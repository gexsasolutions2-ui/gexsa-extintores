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JETA DIGITAL" sheetId="1" state="visible" r:id="rId1"/>
    <sheet xmlns:r="http://schemas.openxmlformats.org/officeDocument/2006/relationships" name="CATALOGO" sheetId="2" state="hidden" r:id="rId2"/>
    <sheet xmlns:r="http://schemas.openxmlformats.org/officeDocument/2006/relationships" name="INSTRUCCIONES" sheetId="3" state="visible" r:id="rId3"/>
    <sheet xmlns:r="http://schemas.openxmlformats.org/officeDocument/2006/relationships" name="BASE_EQUIPOS" sheetId="4" state="hidden" r:id="rId4"/>
    <sheet xmlns:r="http://schemas.openxmlformats.org/officeDocument/2006/relationships" name="BUSQUEDA" sheetId="5" state="hidden" r:id="rId5"/>
  </sheets>
  <definedNames>
    <definedName name="LISTA_N_SERIES">'BUSQUEDA'!$I$2:$I$3993</definedName>
    <definedName name="_xlnm._FilterDatabase" localSheetId="3" hidden="1">'BASE_EQUIPOS'!$A$1:$O$5568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11111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b val="1"/>
    </font>
    <font>
      <name val="Arial"/>
      <b val="1"/>
      <color rgb="00FFFFFF"/>
      <sz val="13"/>
    </font>
    <font>
      <name val="Arial"/>
      <b val="1"/>
      <color rgb="00263747"/>
      <sz val="9"/>
    </font>
    <font>
      <name val="Arial"/>
      <sz val="9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63747"/>
      </patternFill>
    </fill>
    <fill>
      <patternFill patternType="solid">
        <fgColor rgb="00E9EDF0"/>
      </patternFill>
    </fill>
    <fill>
      <patternFill patternType="solid">
        <fgColor rgb="00F7F9FA"/>
      </patternFill>
    </fill>
    <fill>
      <patternFill patternType="solid">
        <fgColor rgb="00D9DEE3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4F5860"/>
      </left>
      <right style="thin">
        <color rgb="004F5860"/>
      </right>
      <top style="thin">
        <color rgb="004F5860"/>
      </top>
      <bottom style="thin">
        <color rgb="004F5860"/>
      </bottom>
    </border>
    <border>
      <left/>
      <right/>
      <top style="thin">
        <color rgb="004F5860"/>
      </top>
      <bottom/>
      <diagonal/>
    </border>
    <border>
      <left/>
      <right style="thin">
        <color rgb="004F5860"/>
      </right>
      <top style="thin">
        <color rgb="004F5860"/>
      </top>
      <bottom/>
      <diagonal/>
    </border>
    <border>
      <left/>
      <right/>
      <top style="thin">
        <color rgb="004F5860"/>
      </top>
      <bottom style="thin">
        <color rgb="004F5860"/>
      </bottom>
      <diagonal/>
    </border>
    <border>
      <left/>
      <right style="thin">
        <color rgb="004F5860"/>
      </right>
      <top style="thin">
        <color rgb="004F5860"/>
      </top>
      <bottom style="thin">
        <color rgb="004F586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4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0" applyAlignment="1" pivotButton="0" quotePrefix="0" xfId="0">
      <alignment horizontal="center" vertical="center"/>
    </xf>
    <xf numFmtId="0" fontId="4" fillId="6" borderId="1" applyAlignment="1" applyProtection="1" pivotButton="0" quotePrefix="0" xfId="0">
      <alignment horizontal="center" vertical="center"/>
      <protection locked="0" hidden="0"/>
    </xf>
    <xf numFmtId="0" fontId="0" fillId="6" borderId="1" pivotButton="0" quotePrefix="0" xfId="0"/>
    <xf numFmtId="0" fontId="4" fillId="6" borderId="1" applyAlignment="1" applyProtection="1" pivotButton="0" quotePrefix="0" xfId="0">
      <alignment vertical="center" wrapText="1"/>
      <protection locked="0" hidden="0"/>
    </xf>
    <xf numFmtId="0" fontId="4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6" fillId="0" borderId="0" pivotButton="0" quotePrefix="0" xfId="0"/>
    <xf numFmtId="0" fontId="1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2" borderId="0" pivotButton="0" quotePrefix="0" xfId="0"/>
    <xf numFmtId="164" fontId="0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165" fontId="4" fillId="6" borderId="1" applyAlignment="1" pivotButton="0" quotePrefix="0" xfId="0">
      <alignment horizontal="center" vertical="center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165" fontId="0" fillId="0" borderId="0" pivotButton="0" quotePrefix="0" xfId="0"/>
    <xf numFmtId="166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49" fontId="4" fillId="4" borderId="1" applyAlignment="1" pivotButton="0" quotePrefix="0" xfId="0">
      <alignment vertical="center" wrapText="1"/>
    </xf>
    <xf numFmtId="49" fontId="4" fillId="4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01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0" customHeight="1"/>
    <row r="2" ht="20" customHeight="1">
      <c r="D2" s="1" t="inlineStr">
        <is>
          <t>TARJETA DE INSPECCIÓN DE EXTINTORES
NORMA NTP 833.030-2001</t>
        </is>
      </c>
    </row>
    <row r="3" ht="20" customHeight="1"/>
    <row r="4" ht="20" customHeight="1"/>
    <row r="5" ht="20" customHeight="1"/>
    <row r="6" ht="20" customHeight="1">
      <c r="B6" s="2" t="inlineStr">
        <is>
          <t>EL SERVICIO VENCE EL AÑO Y MES PERFORADO EN EL
STICKER DE CONTROL ADHERIDO AL EXTINTOR</t>
        </is>
      </c>
    </row>
    <row r="7" ht="20" customHeight="1"/>
    <row r="8" ht="20" customHeight="1"/>
    <row r="9" ht="20" customHeight="1">
      <c r="B9" s="3" t="inlineStr">
        <is>
          <t>TARJETA DE INSPECCIÓN N°</t>
        </is>
      </c>
      <c r="C9" s="20" t="n"/>
      <c r="D9" s="29">
        <f>IFERROR(VLOOKUP(TRIM(H12),BUSQUEDA!$A$2:$G$5568,2,FALSE),"")</f>
        <v/>
      </c>
      <c r="E9" s="21" t="n"/>
      <c r="F9" s="21" t="n"/>
      <c r="G9" s="21" t="n"/>
      <c r="H9" s="21" t="n"/>
      <c r="I9" s="20" t="n"/>
    </row>
    <row r="10" ht="20" customHeight="1">
      <c r="B10" s="3" t="inlineStr">
        <is>
          <t>CLIENTE</t>
        </is>
      </c>
      <c r="C10" s="20" t="n"/>
      <c r="D10" s="29">
        <f>IFERROR(VLOOKUP(TRIM(H12),BUSQUEDA!$A$2:$G$5568,3,FALSE),"")</f>
        <v/>
      </c>
      <c r="E10" s="21" t="n"/>
      <c r="F10" s="21" t="n"/>
      <c r="G10" s="21" t="n"/>
      <c r="H10" s="21" t="n"/>
      <c r="I10" s="20" t="n"/>
    </row>
    <row r="11" ht="20" customHeight="1">
      <c r="B11" s="3" t="inlineStr">
        <is>
          <t>DIRECCIÓN</t>
        </is>
      </c>
      <c r="C11" s="20" t="n"/>
      <c r="D11" s="29">
        <f>IFERROR(VLOOKUP(TRIM(H12),BUSQUEDA!$A$2:$G$5568,4,FALSE),"")</f>
        <v/>
      </c>
      <c r="E11" s="21" t="n"/>
      <c r="F11" s="21" t="n"/>
      <c r="G11" s="21" t="n"/>
      <c r="H11" s="21" t="n"/>
      <c r="I11" s="20" t="n"/>
    </row>
    <row r="12" ht="20" customHeight="1">
      <c r="B12" s="3" t="inlineStr">
        <is>
          <t>EXTINTOR N°</t>
        </is>
      </c>
      <c r="C12" s="20" t="n"/>
      <c r="D12" s="29">
        <f>IFERROR(VLOOKUP(TRIM(H12),BUSQUEDA!$A$2:$G$5568,5,FALSE),"")</f>
        <v/>
      </c>
      <c r="E12" s="20" t="n"/>
      <c r="F12" s="3" t="inlineStr">
        <is>
          <t>N° DE SERIE</t>
        </is>
      </c>
      <c r="G12" s="20" t="n"/>
      <c r="H12" s="30" t="inlineStr"/>
      <c r="I12" s="24" t="n"/>
    </row>
    <row r="13" ht="20" customHeight="1">
      <c r="B13" s="3" t="inlineStr">
        <is>
          <t>CAPACIDAD DE CARGA</t>
        </is>
      </c>
      <c r="C13" s="20" t="n"/>
      <c r="D13" s="29">
        <f>IFERROR(VLOOKUP(TRIM(H12),BUSQUEDA!$A$2:$G$5568,6,FALSE),"")</f>
        <v/>
      </c>
      <c r="E13" s="20" t="n"/>
      <c r="F13" s="3" t="inlineStr">
        <is>
          <t>TIPO</t>
        </is>
      </c>
      <c r="G13" s="20" t="n"/>
      <c r="H13" s="29">
        <f>IFERROR(VLOOKUP(TRIM(H12),BUSQUEDA!$A$2:$G$5568,7,FALSE),"")</f>
        <v/>
      </c>
      <c r="I13" s="20" t="n"/>
    </row>
    <row r="14" ht="20" customHeight="1"/>
    <row r="15" ht="20" customHeight="1">
      <c r="B15" s="7" t="inlineStr">
        <is>
          <t>FECHA</t>
        </is>
      </c>
      <c r="E15" s="7" t="inlineStr">
        <is>
          <t>INSPECTOR</t>
        </is>
      </c>
      <c r="H15" s="7" t="inlineStr">
        <is>
          <t>OBSERVACIONES</t>
        </is>
      </c>
    </row>
    <row r="16" ht="28" customHeight="1">
      <c r="B16" s="22">
        <f>TODAY()</f>
        <v/>
      </c>
      <c r="C16" s="21" t="n"/>
      <c r="D16" s="20" t="n"/>
      <c r="E16" s="8" t="inlineStr"/>
      <c r="F16" s="23" t="n"/>
      <c r="G16" s="24" t="n"/>
      <c r="H16" s="8" t="inlineStr">
        <is>
          <t>NINGUNA</t>
        </is>
      </c>
      <c r="I16" s="24" t="n"/>
    </row>
    <row r="17" ht="28" customHeight="1">
      <c r="B17" s="22">
        <f>TODAY()</f>
        <v/>
      </c>
      <c r="C17" s="21" t="n"/>
      <c r="D17" s="20" t="n"/>
      <c r="E17" s="8" t="inlineStr"/>
      <c r="F17" s="23" t="n"/>
      <c r="G17" s="24" t="n"/>
      <c r="H17" s="8" t="inlineStr">
        <is>
          <t>NINGUNA</t>
        </is>
      </c>
      <c r="I17" s="24" t="n"/>
    </row>
    <row r="18" ht="28" customHeight="1">
      <c r="B18" s="22">
        <f>TODAY()</f>
        <v/>
      </c>
      <c r="C18" s="21" t="n"/>
      <c r="D18" s="20" t="n"/>
      <c r="E18" s="8" t="inlineStr"/>
      <c r="F18" s="23" t="n"/>
      <c r="G18" s="24" t="n"/>
      <c r="H18" s="8" t="inlineStr">
        <is>
          <t>NINGUNA</t>
        </is>
      </c>
      <c r="I18" s="24" t="n"/>
    </row>
    <row r="19" ht="28" customHeight="1">
      <c r="B19" s="22">
        <f>TODAY()</f>
        <v/>
      </c>
      <c r="C19" s="21" t="n"/>
      <c r="D19" s="20" t="n"/>
      <c r="E19" s="8" t="inlineStr"/>
      <c r="F19" s="23" t="n"/>
      <c r="G19" s="24" t="n"/>
      <c r="H19" s="8" t="inlineStr">
        <is>
          <t>NINGUNA</t>
        </is>
      </c>
      <c r="I19" s="24" t="n"/>
    </row>
    <row r="20" ht="28" customHeight="1">
      <c r="B20" s="22">
        <f>TODAY()</f>
        <v/>
      </c>
      <c r="C20" s="21" t="n"/>
      <c r="D20" s="20" t="n"/>
      <c r="E20" s="8" t="inlineStr"/>
      <c r="F20" s="23" t="n"/>
      <c r="G20" s="24" t="n"/>
      <c r="H20" s="8" t="inlineStr">
        <is>
          <t>NINGUNA</t>
        </is>
      </c>
      <c r="I20" s="24" t="n"/>
    </row>
    <row r="21" ht="28" customHeight="1">
      <c r="B21" s="22">
        <f>TODAY()</f>
        <v/>
      </c>
      <c r="C21" s="21" t="n"/>
      <c r="D21" s="20" t="n"/>
      <c r="E21" s="8" t="inlineStr"/>
      <c r="F21" s="23" t="n"/>
      <c r="G21" s="24" t="n"/>
      <c r="H21" s="8" t="inlineStr">
        <is>
          <t>NINGUNA</t>
        </is>
      </c>
      <c r="I21" s="24" t="n"/>
    </row>
    <row r="22" ht="28" customHeight="1">
      <c r="B22" s="22">
        <f>TODAY()</f>
        <v/>
      </c>
      <c r="C22" s="21" t="n"/>
      <c r="D22" s="20" t="n"/>
      <c r="E22" s="8" t="inlineStr"/>
      <c r="F22" s="23" t="n"/>
      <c r="G22" s="24" t="n"/>
      <c r="H22" s="8" t="inlineStr">
        <is>
          <t>NINGUNA</t>
        </is>
      </c>
      <c r="I22" s="24" t="n"/>
    </row>
    <row r="23" ht="28" customHeight="1">
      <c r="B23" s="22">
        <f>TODAY()</f>
        <v/>
      </c>
      <c r="C23" s="21" t="n"/>
      <c r="D23" s="20" t="n"/>
      <c r="E23" s="8" t="inlineStr"/>
      <c r="F23" s="23" t="n"/>
      <c r="G23" s="24" t="n"/>
      <c r="H23" s="8" t="inlineStr">
        <is>
          <t>NINGUNA</t>
        </is>
      </c>
      <c r="I23" s="24" t="n"/>
    </row>
    <row r="24" ht="28" customHeight="1">
      <c r="B24" s="22">
        <f>TODAY()</f>
        <v/>
      </c>
      <c r="C24" s="21" t="n"/>
      <c r="D24" s="20" t="n"/>
      <c r="E24" s="8" t="inlineStr"/>
      <c r="F24" s="23" t="n"/>
      <c r="G24" s="24" t="n"/>
      <c r="H24" s="8" t="inlineStr">
        <is>
          <t>NINGUNA</t>
        </is>
      </c>
      <c r="I24" s="24" t="n"/>
    </row>
    <row r="25" ht="28" customHeight="1">
      <c r="B25" s="22">
        <f>TODAY()</f>
        <v/>
      </c>
      <c r="C25" s="21" t="n"/>
      <c r="D25" s="20" t="n"/>
      <c r="E25" s="8" t="inlineStr"/>
      <c r="F25" s="23" t="n"/>
      <c r="G25" s="24" t="n"/>
      <c r="H25" s="8" t="inlineStr">
        <is>
          <t>NINGUNA</t>
        </is>
      </c>
      <c r="I25" s="24" t="n"/>
    </row>
    <row r="26" ht="28" customHeight="1">
      <c r="B26" s="22">
        <f>TODAY()</f>
        <v/>
      </c>
      <c r="C26" s="21" t="n"/>
      <c r="D26" s="20" t="n"/>
      <c r="E26" s="8" t="inlineStr"/>
      <c r="F26" s="23" t="n"/>
      <c r="G26" s="24" t="n"/>
      <c r="H26" s="8" t="inlineStr">
        <is>
          <t>NINGUNA</t>
        </is>
      </c>
      <c r="I26" s="24" t="n"/>
    </row>
    <row r="27" ht="20" customHeight="1"/>
    <row r="28" ht="20" customHeight="1">
      <c r="B28" s="3" t="inlineStr">
        <is>
          <t>FECHA DE VENCIMIENTO DE RECARGA / PRÓXIMO MANTENIMIENTO</t>
        </is>
      </c>
      <c r="C28" s="21" t="n"/>
      <c r="D28" s="21" t="n"/>
      <c r="E28" s="21" t="n"/>
      <c r="F28" s="20" t="n"/>
      <c r="G28" s="28">
        <f>TODAY()</f>
        <v/>
      </c>
      <c r="H28" s="21" t="n"/>
      <c r="I28" s="20" t="n"/>
    </row>
    <row r="29" ht="20" customHeight="1">
      <c r="B29" s="3" t="inlineStr">
        <is>
          <t>FECHA DE PRÓXIMA PRUEBA HIDROSTÁTICA</t>
        </is>
      </c>
      <c r="C29" s="21" t="n"/>
      <c r="D29" s="21" t="n"/>
      <c r="E29" s="21" t="n"/>
      <c r="F29" s="20" t="n"/>
      <c r="G29" s="28">
        <f>EDATE(G28,60)</f>
        <v/>
      </c>
      <c r="H29" s="21" t="n"/>
      <c r="I29" s="20" t="n"/>
    </row>
    <row r="30">
      <c r="G30" s="26" t="n"/>
    </row>
    <row r="31" ht="20" customHeight="1">
      <c r="B31" s="12" t="inlineStr">
        <is>
          <t>GARANTÍA DE FUNCIONAMIENTO 12 MESES</t>
        </is>
      </c>
    </row>
    <row r="32" ht="20" customHeight="1"/>
    <row r="33" ht="20" customHeight="1"/>
    <row r="34" ht="20" customHeight="1">
      <c r="B34" s="13" t="inlineStr">
        <is>
          <t>DISTRIBUIDO POR GEXSA SOLUTIONS  |  VENTA, MANTENIMIENTO Y RECARGA DE EXTINTORES
AV. TÚPAC AMARU N° 7459 – AÑO NUEVO – COMAS – LIMA  |  (01) 397-9709</t>
        </is>
      </c>
    </row>
    <row r="35" ht="20" customHeight="1"/>
    <row r="36" ht="20" customHeight="1"/>
    <row r="37" ht="20" customHeight="1"/>
    <row r="38" ht="20" customHeight="1">
      <c r="B38" s="12" t="inlineStr">
        <is>
          <t>DESCRIPCIÓN DE OBSERVACIONES</t>
        </is>
      </c>
    </row>
    <row r="39" ht="20" customHeight="1"/>
    <row r="40" ht="42" customHeight="1">
      <c r="B40" s="14" t="inlineStr">
        <is>
          <t>1. MAL UBICADO</t>
        </is>
      </c>
      <c r="C40" s="21" t="n"/>
      <c r="D40" s="21" t="n"/>
      <c r="E40" s="20" t="n"/>
      <c r="F40" s="14" t="inlineStr">
        <is>
          <t>2. ACCESO OBSTRUIDO</t>
        </is>
      </c>
      <c r="G40" s="21" t="n"/>
      <c r="H40" s="21" t="n"/>
      <c r="I40" s="20" t="n"/>
    </row>
    <row r="41" ht="42" customHeight="1">
      <c r="B41" s="14" t="inlineStr">
        <is>
          <t>3. ZONA Y/O EXTINTOR NO NUMERADOS</t>
        </is>
      </c>
      <c r="C41" s="21" t="n"/>
      <c r="D41" s="21" t="n"/>
      <c r="E41" s="20" t="n"/>
      <c r="F41" s="14" t="inlineStr">
        <is>
          <t>4. CARECE/ILEGIBLE PICTOGRAMA DE CLASE DE FUEGO</t>
        </is>
      </c>
      <c r="G41" s="21" t="n"/>
      <c r="H41" s="21" t="n"/>
      <c r="I41" s="20" t="n"/>
    </row>
    <row r="42" ht="42" customHeight="1">
      <c r="B42" s="14" t="inlineStr">
        <is>
          <t>5. CARECE/ILEGIBLE DE FORMA DE USO</t>
        </is>
      </c>
      <c r="C42" s="21" t="n"/>
      <c r="D42" s="21" t="n"/>
      <c r="E42" s="20" t="n"/>
      <c r="F42" s="14" t="inlineStr">
        <is>
          <t>6. CARECE/ILEGIBLE ETIQUETA DE RECARGA</t>
        </is>
      </c>
      <c r="G42" s="21" t="n"/>
      <c r="H42" s="21" t="n"/>
      <c r="I42" s="20" t="n"/>
    </row>
    <row r="43" ht="42" customHeight="1">
      <c r="B43" s="14" t="inlineStr">
        <is>
          <t>7. NO IDENTIFICA TIPO DE CARGA, N° DE PARTE Y/O CONCENTRACIÓN DEL AGENTE IGNÍFUGO ACTIVO</t>
        </is>
      </c>
      <c r="C43" s="21" t="n"/>
      <c r="D43" s="21" t="n"/>
      <c r="E43" s="20" t="n"/>
      <c r="F43" s="14" t="inlineStr">
        <is>
          <t>8. COLGADOR AUSENTE O INADECUADO</t>
        </is>
      </c>
      <c r="G43" s="21" t="n"/>
      <c r="H43" s="21" t="n"/>
      <c r="I43" s="20" t="n"/>
    </row>
    <row r="44" ht="42" customHeight="1">
      <c r="B44" s="14" t="inlineStr">
        <is>
          <t>9. SIN PASADOR Y/O PRECINTO DE SEGURIDAD</t>
        </is>
      </c>
      <c r="C44" s="21" t="n"/>
      <c r="D44" s="21" t="n"/>
      <c r="E44" s="20" t="n"/>
      <c r="F44" s="14" t="inlineStr">
        <is>
          <t>10. MANÓMETRO CON PRESIÓN INADECUADA Y/O DAÑADA</t>
        </is>
      </c>
      <c r="G44" s="21" t="n"/>
      <c r="H44" s="21" t="n"/>
      <c r="I44" s="20" t="n"/>
    </row>
    <row r="45" ht="42" customHeight="1">
      <c r="B45" s="14" t="inlineStr">
        <is>
          <t>11. MANIJA DE ACARREO Y/O PALANCA DE ACTIVACIÓN DE CABEZAL O PISTOLA AUSENTE O DAÑADA</t>
        </is>
      </c>
      <c r="C45" s="21" t="n"/>
      <c r="D45" s="21" t="n"/>
      <c r="E45" s="20" t="n"/>
      <c r="F45" s="14" t="inlineStr">
        <is>
          <t>12. MANGUERA DAÑADA O AUSENTE</t>
        </is>
      </c>
      <c r="G45" s="21" t="n"/>
      <c r="H45" s="21" t="n"/>
      <c r="I45" s="20" t="n"/>
    </row>
    <row r="46" ht="42" customHeight="1">
      <c r="B46" s="14" t="inlineStr">
        <is>
          <t>13. TOBERA, PITÓN O PISTOLA DAÑADA O AUSENTE</t>
        </is>
      </c>
      <c r="C46" s="21" t="n"/>
      <c r="D46" s="21" t="n"/>
      <c r="E46" s="20" t="n"/>
      <c r="F46" s="14" t="inlineStr">
        <is>
          <t>14. ABRAZADERA O SUJETADOR DE MANGUERA INADECUADO, DAÑADO O AUSENTE</t>
        </is>
      </c>
      <c r="G46" s="21" t="n"/>
      <c r="H46" s="21" t="n"/>
      <c r="I46" s="20" t="n"/>
    </row>
    <row r="47" ht="42" customHeight="1">
      <c r="B47" s="14" t="inlineStr">
        <is>
          <t>15. CILINDRO / BOTELLA / CARTUCHO IMPULSOR EN MAL ESTADO</t>
        </is>
      </c>
      <c r="C47" s="21" t="n"/>
      <c r="D47" s="21" t="n"/>
      <c r="E47" s="20" t="n"/>
      <c r="F47" s="14" t="inlineStr">
        <is>
          <t>16. PINTURA DETERIORADA EN: CILINDRO / BOTELLA / CARTUCHO IMPULSOR</t>
        </is>
      </c>
      <c r="G47" s="21" t="n"/>
      <c r="H47" s="21" t="n"/>
      <c r="I47" s="20" t="n"/>
    </row>
    <row r="48" ht="42" customHeight="1">
      <c r="B48" s="14" t="inlineStr">
        <is>
          <t>17. OTROS (INDICAR):</t>
        </is>
      </c>
      <c r="C48" s="21" t="n"/>
      <c r="D48" s="21" t="n"/>
      <c r="E48" s="2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A88"/>
  <mergeCells count="76">
    <mergeCell ref="D11:I11"/>
    <mergeCell ref="B40:E40"/>
    <mergeCell ref="G28:I28"/>
    <mergeCell ref="H20:I20"/>
    <mergeCell ref="E19:G19"/>
    <mergeCell ref="B23:D23"/>
    <mergeCell ref="D2:I4"/>
    <mergeCell ref="F43:I43"/>
    <mergeCell ref="B17:D17"/>
    <mergeCell ref="B6:I7"/>
    <mergeCell ref="F46:I46"/>
    <mergeCell ref="E15:G15"/>
    <mergeCell ref="B12:C12"/>
    <mergeCell ref="B45:E45"/>
    <mergeCell ref="H25:I25"/>
    <mergeCell ref="B41:E41"/>
    <mergeCell ref="F12:G12"/>
    <mergeCell ref="B19:D19"/>
    <mergeCell ref="H21:I21"/>
    <mergeCell ref="B11:C11"/>
    <mergeCell ref="D13:E13"/>
    <mergeCell ref="D9:I9"/>
    <mergeCell ref="F44:I44"/>
    <mergeCell ref="E26:G26"/>
    <mergeCell ref="B47:E47"/>
    <mergeCell ref="B15:D15"/>
    <mergeCell ref="G29:I29"/>
    <mergeCell ref="B46:E46"/>
    <mergeCell ref="B24:D24"/>
    <mergeCell ref="E25:G25"/>
    <mergeCell ref="B20:D20"/>
    <mergeCell ref="E16:G16"/>
    <mergeCell ref="B13:C13"/>
    <mergeCell ref="H17:I17"/>
    <mergeCell ref="B29:F29"/>
    <mergeCell ref="F40:I40"/>
    <mergeCell ref="E22:G22"/>
    <mergeCell ref="H16:I16"/>
    <mergeCell ref="B43:E43"/>
    <mergeCell ref="B28:F28"/>
    <mergeCell ref="B10:C10"/>
    <mergeCell ref="B48:E48"/>
    <mergeCell ref="B26:D26"/>
    <mergeCell ref="E18:G18"/>
    <mergeCell ref="H19:I19"/>
    <mergeCell ref="F13:G13"/>
    <mergeCell ref="B9:C9"/>
    <mergeCell ref="E21:G21"/>
    <mergeCell ref="H13:I13"/>
    <mergeCell ref="H22:I22"/>
    <mergeCell ref="F45:I45"/>
    <mergeCell ref="B25:D25"/>
    <mergeCell ref="B16:D16"/>
    <mergeCell ref="D12:E12"/>
    <mergeCell ref="B31:I32"/>
    <mergeCell ref="B42:E42"/>
    <mergeCell ref="F42:I42"/>
    <mergeCell ref="E24:G24"/>
    <mergeCell ref="D10:I10"/>
    <mergeCell ref="H12:I12"/>
    <mergeCell ref="B34:I36"/>
    <mergeCell ref="F41:I41"/>
    <mergeCell ref="B22:D22"/>
    <mergeCell ref="E23:G23"/>
    <mergeCell ref="H24:I24"/>
    <mergeCell ref="H15:I15"/>
    <mergeCell ref="H18:I18"/>
    <mergeCell ref="B44:E44"/>
    <mergeCell ref="B18:D18"/>
    <mergeCell ref="E17:G17"/>
    <mergeCell ref="F47:I47"/>
    <mergeCell ref="H23:I23"/>
    <mergeCell ref="B21:D21"/>
    <mergeCell ref="B38:I39"/>
    <mergeCell ref="E20:G20"/>
    <mergeCell ref="H26:I26"/>
  </mergeCells>
  <dataValidations count="2">
    <dataValidation sqref="H16:H26" showDropDown="0" showInputMessage="0" showErrorMessage="0" allowBlank="0" errorTitle="Observación no válida" error="Seleccione una observación de la lista." promptTitle="Observaciones" prompt="Seleccione NINGUNA o la observación correspondiente." type="list">
      <formula1>=CATALOGO!$A$2:$A$18</formula1>
    </dataValidation>
    <dataValidation sqref="H12" showDropDown="0" showInputMessage="1" showErrorMessage="1" allowBlank="1" errorTitle="N° DE SERIE NO VÁLIDO" error="Seleccione un N° de serie de la lista." promptTitle="SELECCIONE EL N° DE SERIE" prompt="Haga clic en la flecha y seleccione el número de serie del extintor." type="list">
      <formula1>=LISTA_N_SERIES</formula1>
    </dataValidation>
  </dataValidations>
  <pageMargins left="0.25" right="0.25" top="0.25" bottom="0.25" header="0.1" footer="0.1"/>
  <pageSetup orientation="portrait" paperSize="9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25" customWidth="1" min="2" max="2"/>
  </cols>
  <sheetData>
    <row r="1">
      <c r="A1" s="15" t="inlineStr">
        <is>
          <t>OBSERVACIONES DE INSPECCIÓN</t>
        </is>
      </c>
      <c r="B1" t="inlineStr">
        <is>
          <t>ESTADO</t>
        </is>
      </c>
    </row>
    <row r="2">
      <c r="A2" t="inlineStr">
        <is>
          <t>NINGUNA</t>
        </is>
      </c>
      <c r="B2" t="inlineStr">
        <is>
          <t>SIN OBSERVACIONES</t>
        </is>
      </c>
    </row>
    <row r="3">
      <c r="A3" t="inlineStr">
        <is>
          <t>1. MAL UBICADO</t>
        </is>
      </c>
      <c r="B3" t="inlineStr">
        <is>
          <t>CON OBSERVACIÓN</t>
        </is>
      </c>
    </row>
    <row r="4">
      <c r="A4" t="inlineStr">
        <is>
          <t>2. ACCESO OBSTRUIDO</t>
        </is>
      </c>
      <c r="B4" t="inlineStr">
        <is>
          <t>NO CONFORME</t>
        </is>
      </c>
    </row>
    <row r="5">
      <c r="A5" t="inlineStr">
        <is>
          <t>3. ZONA Y/O EXTINTOR NO NUMERADOS</t>
        </is>
      </c>
    </row>
    <row r="6">
      <c r="A6" t="inlineStr">
        <is>
          <t>4. CARECE/ILEGIBLE PICTOGRAMA DE CLASE DE FUEGO</t>
        </is>
      </c>
    </row>
    <row r="7">
      <c r="A7" t="inlineStr">
        <is>
          <t>5. CARECE/ILEGIBLE DE FORMA DE USO</t>
        </is>
      </c>
    </row>
    <row r="8">
      <c r="A8" t="inlineStr">
        <is>
          <t>6. CARECE/ILEGIBLE ETIQUETA DE RECARGA</t>
        </is>
      </c>
    </row>
    <row r="9">
      <c r="A9" t="inlineStr">
        <is>
          <t>7. NO IDENTIFICA TIPO DE CARGA, N° DE PARTE Y/O CONCENTRACIÓN DEL AGENTE IGNÍFUGO ACTIVO</t>
        </is>
      </c>
    </row>
    <row r="10">
      <c r="A10" t="inlineStr">
        <is>
          <t>8. COLGADOR AUSENTE O INADECUADO</t>
        </is>
      </c>
    </row>
    <row r="11">
      <c r="A11" t="inlineStr">
        <is>
          <t>9. SIN PASADOR Y/O PRECINTO DE SEGURIDAD</t>
        </is>
      </c>
    </row>
    <row r="12">
      <c r="A12" t="inlineStr">
        <is>
          <t>10. MANÓMETRO CON PRESIÓN INADECUADA Y/O DAÑADA</t>
        </is>
      </c>
    </row>
    <row r="13">
      <c r="A13" t="inlineStr">
        <is>
          <t>11. MANIJA DE ACARREO Y/O PALANCA DE ACTIVACIÓN DE CABEZAL O PISTOLA AUSENTE O DAÑADA</t>
        </is>
      </c>
    </row>
    <row r="14">
      <c r="A14" t="inlineStr">
        <is>
          <t>12. MANGUERA DAÑADA O AUSENTE</t>
        </is>
      </c>
    </row>
    <row r="15">
      <c r="A15" t="inlineStr">
        <is>
          <t>13. TOBERA, PITÓN O PISTOLA DAÑADA O AUSENTE</t>
        </is>
      </c>
    </row>
    <row r="16">
      <c r="A16" t="inlineStr">
        <is>
          <t>14. ABRAZADERA O SUJETADOR DE MANGUERA INADECUADO, DAÑADO O AUSENTE</t>
        </is>
      </c>
    </row>
    <row r="17">
      <c r="A17" t="inlineStr">
        <is>
          <t>15. CILINDRO / BOTELLA / CARTUCHO IMPULSOR EN MAL ESTADO</t>
        </is>
      </c>
    </row>
    <row r="18">
      <c r="A18" t="inlineStr">
        <is>
          <t>16. PINTURA DETERIORADA EN: CILINDRO / BOTELLA / CARTUCHO IMPULSOR</t>
        </is>
      </c>
    </row>
    <row r="19">
      <c r="A19" t="inlineStr">
        <is>
          <t>17. OTROS (INDICAR):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6" t="inlineStr">
        <is>
          <t>TARJETA DIGITAL GEXSA – PRIMERA VERSIÓN</t>
        </is>
      </c>
      <c r="B1" s="16" t="n"/>
    </row>
    <row r="2">
      <c r="A2" s="17" t="inlineStr">
        <is>
          <t>Objetivo</t>
        </is>
      </c>
      <c r="B2" s="17" t="inlineStr">
        <is>
          <t>Plantilla compatible con Excel/Google Sheets para digitalizar la tarjeta física de inspección.</t>
        </is>
      </c>
    </row>
    <row r="3">
      <c r="A3" s="17" t="inlineStr">
        <is>
          <t>Editable por el cliente</t>
        </is>
      </c>
      <c r="B3" s="17" t="inlineStr">
        <is>
          <t>Solo las 11 filas mensuales: FECHA, INSPECTOR y OBSERVACIONES.</t>
        </is>
      </c>
    </row>
    <row r="4">
      <c r="A4" s="17" t="inlineStr">
        <is>
          <t>Observaciones</t>
        </is>
      </c>
      <c r="B4" s="17" t="inlineStr">
        <is>
          <t>La columna OBSERVACIONES usa una lista desplegable con las 17 opciones observadas en la tarjeta física.</t>
        </is>
      </c>
    </row>
    <row r="5">
      <c r="A5" s="17" t="inlineStr">
        <is>
          <t>Datos del extintor</t>
        </is>
      </c>
      <c r="B5" s="17" t="inlineStr">
        <is>
          <t>Cliente, dirección, extintor, serie, capacidad y tipo quedan reservados para vincularlos después con la base GEXSA.</t>
        </is>
      </c>
    </row>
    <row r="6">
      <c r="A6" s="17" t="inlineStr">
        <is>
          <t>Siguiente etapa</t>
        </is>
      </c>
      <c r="B6" s="17" t="inlineStr">
        <is>
          <t>Conectar esta plantilla a la base de datos para que, al ingresar/seleccionar el N° de serie, se complete automáticamente la ficha.</t>
        </is>
      </c>
    </row>
    <row r="7">
      <c r="A7" s="17" t="inlineStr">
        <is>
          <t>QR</t>
        </is>
      </c>
      <c r="B7" s="17" t="inlineStr">
        <is>
          <t>El QR no debe apuntar directamente al PDF. En la siguiente etapa apuntará a una página con dos botones: VER CERTIFICADO PDF y LLENAR TARJETA DE INSPECCIÓN.</t>
        </is>
      </c>
    </row>
    <row r="8">
      <c r="A8" s="17" t="inlineStr">
        <is>
          <t>Importante</t>
        </is>
      </c>
      <c r="B8" s="17" t="inlineStr">
        <is>
          <t>La protección de rangos se debe terminar en Google Sheets después de subir esta plantilla, para definir exactamente qué celdas puede editar el cliente.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8" t="inlineStr">
        <is>
          <t>CODIGO_CERTIFICADO</t>
        </is>
      </c>
      <c r="B1" s="18" t="inlineStr">
        <is>
          <t>CLIENTE</t>
        </is>
      </c>
      <c r="C1" s="18" t="inlineStr">
        <is>
          <t>RUC</t>
        </is>
      </c>
      <c r="D1" s="18" t="inlineStr">
        <is>
          <t>DIRECCION</t>
        </is>
      </c>
      <c r="E1" s="18" t="inlineStr">
        <is>
          <t>FECHA_CERTIFICADO</t>
        </is>
      </c>
      <c r="F1" s="18" t="inlineStr">
        <is>
          <t>SERVICIO</t>
        </is>
      </c>
      <c r="G1" s="18" t="inlineStr">
        <is>
          <t>ITEM</t>
        </is>
      </c>
      <c r="H1" s="18" t="inlineStr">
        <is>
          <t>CAPACIDAD</t>
        </is>
      </c>
      <c r="I1" s="18" t="inlineStr">
        <is>
          <t>PRUEBA_HIDROSTATICA</t>
        </is>
      </c>
      <c r="J1" s="18" t="inlineStr">
        <is>
          <t>FECHA_FAB</t>
        </is>
      </c>
      <c r="K1" s="18" t="inlineStr">
        <is>
          <t>FECHA_CARGA</t>
        </is>
      </c>
      <c r="L1" s="18" t="inlineStr">
        <is>
          <t>FECHA_VCMTO</t>
        </is>
      </c>
      <c r="M1" s="18" t="inlineStr">
        <is>
          <t>AGENTE_CLASE</t>
        </is>
      </c>
      <c r="N1" s="18" t="inlineStr">
        <is>
          <t>UBICACION_SERIE</t>
        </is>
      </c>
      <c r="O1" s="18" t="inlineStr">
        <is>
          <t>SERVICIO_ITEM</t>
        </is>
      </c>
      <c r="P1" t="inlineStr">
        <is>
          <t>CLAVE_SERIE</t>
        </is>
      </c>
    </row>
    <row r="2">
      <c r="A2" t="inlineStr">
        <is>
          <t xml:space="preserve"> </t>
        </is>
      </c>
      <c r="B2" t="inlineStr">
        <is>
          <t>PERU MASIVO S.A.</t>
        </is>
      </c>
      <c r="C2" t="inlineStr">
        <is>
          <t>20492392031</t>
        </is>
      </c>
      <c r="D2" t="inlineStr">
        <is>
          <t>AV. LOS INCAS CDRA. 4 PATIO NORTE - COMAS</t>
        </is>
      </c>
      <c r="E2" t="inlineStr">
        <is>
          <t>Lima, 16 de Marzo de 2023</t>
        </is>
      </c>
      <c r="F2" t="inlineStr">
        <is>
          <t>la Recarga y mantenimiento</t>
        </is>
      </c>
      <c r="G2" t="n">
        <v>1</v>
      </c>
      <c r="H2" t="inlineStr">
        <is>
          <t>06 KG</t>
        </is>
      </c>
      <c r="I2" t="inlineStr">
        <is>
          <t>2021</t>
        </is>
      </c>
      <c r="J2" t="n">
        <v>2009</v>
      </c>
      <c r="K2" t="inlineStr">
        <is>
          <t>MARZO 2023</t>
        </is>
      </c>
      <c r="L2" t="inlineStr">
        <is>
          <t>MARZO 2024</t>
        </is>
      </c>
      <c r="M2" t="inlineStr">
        <is>
          <t xml:space="preserve">P.Q.S TIPO ABC AL 90% NACIONAL </t>
        </is>
      </c>
      <c r="N2" t="inlineStr">
        <is>
          <t>11 / 000398</t>
        </is>
      </c>
      <c r="O2" t="inlineStr">
        <is>
          <t>R</t>
        </is>
      </c>
      <c r="P2">
        <f>TRIM(N2)</f>
        <v/>
      </c>
    </row>
    <row r="3">
      <c r="A3" t="inlineStr">
        <is>
          <t xml:space="preserve"> </t>
        </is>
      </c>
      <c r="B3" t="inlineStr">
        <is>
          <t>PERU MASIVO S.A.</t>
        </is>
      </c>
      <c r="C3" t="inlineStr">
        <is>
          <t>20492392031</t>
        </is>
      </c>
      <c r="D3" t="inlineStr">
        <is>
          <t>AV. LOS INCAS CDRA. 4 PATIO NORTE - COMAS</t>
        </is>
      </c>
      <c r="E3" t="inlineStr">
        <is>
          <t>Lima, 16 de Marzo de 2023</t>
        </is>
      </c>
      <c r="F3" t="inlineStr">
        <is>
          <t>la Recarga y mantenimiento</t>
        </is>
      </c>
      <c r="G3" t="n">
        <v>2</v>
      </c>
      <c r="H3" t="inlineStr">
        <is>
          <t>06 KG</t>
        </is>
      </c>
      <c r="I3" t="inlineStr">
        <is>
          <t>2022</t>
        </is>
      </c>
      <c r="J3" t="n">
        <v>2009</v>
      </c>
      <c r="K3" t="inlineStr">
        <is>
          <t>MARZO 2023</t>
        </is>
      </c>
      <c r="L3" t="inlineStr">
        <is>
          <t>MARZO 2024</t>
        </is>
      </c>
      <c r="M3" t="inlineStr">
        <is>
          <t xml:space="preserve">P.Q.S TIPO ABC AL 90% NACIONAL </t>
        </is>
      </c>
      <c r="N3" t="inlineStr">
        <is>
          <t>275 / 000693</t>
        </is>
      </c>
      <c r="O3" t="inlineStr">
        <is>
          <t>R</t>
        </is>
      </c>
      <c r="P3">
        <f>TRIM(N3)</f>
        <v/>
      </c>
    </row>
    <row r="4">
      <c r="A4" t="inlineStr">
        <is>
          <t xml:space="preserve"> </t>
        </is>
      </c>
      <c r="B4" t="inlineStr">
        <is>
          <t>PERU MASIVO S.A.</t>
        </is>
      </c>
      <c r="C4" t="inlineStr">
        <is>
          <t>20492392031</t>
        </is>
      </c>
      <c r="D4" t="inlineStr">
        <is>
          <t>AV. LOS INCAS CDRA. 4 PATIO NORTE - COMAS</t>
        </is>
      </c>
      <c r="E4" t="inlineStr">
        <is>
          <t>Lima, 16 de Marzo de 2023</t>
        </is>
      </c>
      <c r="F4" t="inlineStr">
        <is>
          <t>la Recarga y mantenimiento</t>
        </is>
      </c>
      <c r="G4" t="n">
        <v>3</v>
      </c>
      <c r="H4" t="inlineStr">
        <is>
          <t>06 KG</t>
        </is>
      </c>
      <c r="I4" t="inlineStr">
        <is>
          <t>2021</t>
        </is>
      </c>
      <c r="J4" t="n">
        <v>2009</v>
      </c>
      <c r="K4" t="inlineStr">
        <is>
          <t>MARZO 2023</t>
        </is>
      </c>
      <c r="L4" t="inlineStr">
        <is>
          <t>MARZO 2024</t>
        </is>
      </c>
      <c r="M4" t="inlineStr">
        <is>
          <t xml:space="preserve">P.Q.S TIPO ABC AL 90% NACIONAL </t>
        </is>
      </c>
      <c r="N4" t="inlineStr">
        <is>
          <t>189 / 000999</t>
        </is>
      </c>
      <c r="O4" t="inlineStr">
        <is>
          <t>R</t>
        </is>
      </c>
      <c r="P4">
        <f>TRIM(N4)</f>
        <v/>
      </c>
    </row>
    <row r="5">
      <c r="A5" t="inlineStr">
        <is>
          <t xml:space="preserve"> </t>
        </is>
      </c>
      <c r="B5" t="inlineStr">
        <is>
          <t>PERU MASIVO S.A.</t>
        </is>
      </c>
      <c r="C5" t="inlineStr">
        <is>
          <t>20492392031</t>
        </is>
      </c>
      <c r="D5" t="inlineStr">
        <is>
          <t>AV. LOS INCAS CDRA. 4 PATIO NORTE - COMAS</t>
        </is>
      </c>
      <c r="E5" t="inlineStr">
        <is>
          <t>Lima, 16 de Marzo de 2023</t>
        </is>
      </c>
      <c r="F5" t="inlineStr">
        <is>
          <t>la Recarga y mantenimiento</t>
        </is>
      </c>
      <c r="G5" t="n">
        <v>4</v>
      </c>
      <c r="H5" t="inlineStr">
        <is>
          <t>06 KG</t>
        </is>
      </c>
      <c r="I5" t="inlineStr">
        <is>
          <t>2021</t>
        </is>
      </c>
      <c r="J5" t="n">
        <v>2010</v>
      </c>
      <c r="K5" t="inlineStr">
        <is>
          <t>MARZO 2023</t>
        </is>
      </c>
      <c r="L5" t="inlineStr">
        <is>
          <t>MARZO 2024</t>
        </is>
      </c>
      <c r="M5" t="inlineStr">
        <is>
          <t xml:space="preserve">P.Q.S TIPO ABC AL 90% NACIONAL </t>
        </is>
      </c>
      <c r="N5" t="inlineStr">
        <is>
          <t>260 / 000498</t>
        </is>
      </c>
      <c r="O5" t="inlineStr">
        <is>
          <t>R</t>
        </is>
      </c>
      <c r="P5">
        <f>TRIM(N5)</f>
        <v/>
      </c>
    </row>
    <row r="6">
      <c r="A6" t="inlineStr">
        <is>
          <t xml:space="preserve"> </t>
        </is>
      </c>
      <c r="B6" t="inlineStr">
        <is>
          <t>PERU MASIVO S.A.</t>
        </is>
      </c>
      <c r="C6" t="inlineStr">
        <is>
          <t>20492392031</t>
        </is>
      </c>
      <c r="D6" t="inlineStr">
        <is>
          <t>AV. LOS INCAS CDRA. 4 PATIO NORTE - COMAS</t>
        </is>
      </c>
      <c r="E6" t="inlineStr">
        <is>
          <t>Lima, 16 de Marzo de 2023</t>
        </is>
      </c>
      <c r="F6" t="inlineStr">
        <is>
          <t>la Recarga y mantenimiento</t>
        </is>
      </c>
      <c r="G6" t="n">
        <v>5</v>
      </c>
      <c r="H6" t="inlineStr">
        <is>
          <t>06 KG</t>
        </is>
      </c>
      <c r="I6" t="inlineStr">
        <is>
          <t>2022</t>
        </is>
      </c>
      <c r="J6" t="n">
        <v>2010</v>
      </c>
      <c r="K6" t="inlineStr">
        <is>
          <t>MARZO 2023</t>
        </is>
      </c>
      <c r="L6" t="inlineStr">
        <is>
          <t>MARZO 2024</t>
        </is>
      </c>
      <c r="M6" t="inlineStr">
        <is>
          <t xml:space="preserve">P.Q.S TIPO ABC AL 90% NACIONAL </t>
        </is>
      </c>
      <c r="N6" t="inlineStr">
        <is>
          <t>185 / 000613</t>
        </is>
      </c>
      <c r="O6" t="inlineStr">
        <is>
          <t>R</t>
        </is>
      </c>
      <c r="P6">
        <f>TRIM(N6)</f>
        <v/>
      </c>
    </row>
    <row r="7">
      <c r="A7" t="inlineStr">
        <is>
          <t xml:space="preserve"> </t>
        </is>
      </c>
      <c r="B7" t="inlineStr">
        <is>
          <t>PERU MASIVO S.A.</t>
        </is>
      </c>
      <c r="C7" t="inlineStr">
        <is>
          <t>20492392031</t>
        </is>
      </c>
      <c r="D7" t="inlineStr">
        <is>
          <t>AV. LOS INCAS CDRA. 4 PATIO NORTE - COMAS</t>
        </is>
      </c>
      <c r="E7" t="inlineStr">
        <is>
          <t>Lima, 16 de Marzo de 2023</t>
        </is>
      </c>
      <c r="F7" t="inlineStr">
        <is>
          <t>la Recarga y mantenimiento</t>
        </is>
      </c>
      <c r="G7" t="n">
        <v>6</v>
      </c>
      <c r="H7" t="inlineStr">
        <is>
          <t>06 KG</t>
        </is>
      </c>
      <c r="I7" t="inlineStr">
        <is>
          <t>2020</t>
        </is>
      </c>
      <c r="J7" t="n">
        <v>2009</v>
      </c>
      <c r="K7" t="inlineStr">
        <is>
          <t>MARZO 2023</t>
        </is>
      </c>
      <c r="L7" t="inlineStr">
        <is>
          <t>MARZO 2024</t>
        </is>
      </c>
      <c r="M7" t="inlineStr">
        <is>
          <t xml:space="preserve">P.Q.S TIPO ABC AL 90% NACIONAL </t>
        </is>
      </c>
      <c r="N7" t="inlineStr">
        <is>
          <t>07 / 001500</t>
        </is>
      </c>
      <c r="O7" t="inlineStr">
        <is>
          <t>R</t>
        </is>
      </c>
      <c r="P7">
        <f>TRIM(N7)</f>
        <v/>
      </c>
    </row>
    <row r="8">
      <c r="A8" t="inlineStr">
        <is>
          <t xml:space="preserve"> </t>
        </is>
      </c>
      <c r="B8" t="inlineStr">
        <is>
          <t>PERU MASIVO S.A.</t>
        </is>
      </c>
      <c r="C8" t="inlineStr">
        <is>
          <t>20492392031</t>
        </is>
      </c>
      <c r="D8" t="inlineStr">
        <is>
          <t>AV. LOS INCAS CDRA. 4 PATIO NORTE - COMAS</t>
        </is>
      </c>
      <c r="E8" t="inlineStr">
        <is>
          <t>Lima, 16 de Marzo de 2023</t>
        </is>
      </c>
      <c r="F8" t="inlineStr">
        <is>
          <t>la Recarga y mantenimiento</t>
        </is>
      </c>
      <c r="G8" t="n">
        <v>7</v>
      </c>
      <c r="H8" t="inlineStr">
        <is>
          <t>06 KG</t>
        </is>
      </c>
      <c r="I8" t="inlineStr">
        <is>
          <t>2019</t>
        </is>
      </c>
      <c r="J8" t="n">
        <v>2010</v>
      </c>
      <c r="K8" t="inlineStr">
        <is>
          <t>MARZO 2023</t>
        </is>
      </c>
      <c r="L8" t="inlineStr">
        <is>
          <t>MARZO 2024</t>
        </is>
      </c>
      <c r="M8" t="inlineStr">
        <is>
          <t xml:space="preserve">P.Q.S TIPO ABC AL 90% NACIONAL </t>
        </is>
      </c>
      <c r="N8" t="inlineStr">
        <is>
          <t>140 / 006500</t>
        </is>
      </c>
      <c r="O8" t="inlineStr">
        <is>
          <t>R</t>
        </is>
      </c>
      <c r="P8">
        <f>TRIM(N8)</f>
        <v/>
      </c>
    </row>
    <row r="9">
      <c r="A9" t="inlineStr">
        <is>
          <t xml:space="preserve"> </t>
        </is>
      </c>
      <c r="B9" t="inlineStr">
        <is>
          <t>PERU MASIVO S.A.</t>
        </is>
      </c>
      <c r="C9" t="inlineStr">
        <is>
          <t>20492392031</t>
        </is>
      </c>
      <c r="D9" t="inlineStr">
        <is>
          <t>AV. LOS INCAS CDRA. 4 PATIO NORTE - COMAS</t>
        </is>
      </c>
      <c r="E9" t="inlineStr">
        <is>
          <t>Lima, 16 de Marzo de 2023</t>
        </is>
      </c>
      <c r="F9" t="inlineStr">
        <is>
          <t>la Recarga y mantenimiento</t>
        </is>
      </c>
      <c r="G9" t="n">
        <v>8</v>
      </c>
      <c r="H9" t="inlineStr">
        <is>
          <t>06 KG</t>
        </is>
      </c>
      <c r="I9" t="inlineStr">
        <is>
          <t>2020</t>
        </is>
      </c>
      <c r="J9" t="n">
        <v>2009</v>
      </c>
      <c r="K9" t="inlineStr">
        <is>
          <t>MARZO 2023</t>
        </is>
      </c>
      <c r="L9" t="inlineStr">
        <is>
          <t>MARZO 2024</t>
        </is>
      </c>
      <c r="M9" t="inlineStr">
        <is>
          <t xml:space="preserve">P.Q.S TIPO ABC AL 90% NACIONAL </t>
        </is>
      </c>
      <c r="N9" t="inlineStr">
        <is>
          <t>S/N / 000039</t>
        </is>
      </c>
      <c r="O9" t="inlineStr">
        <is>
          <t>R</t>
        </is>
      </c>
      <c r="P9">
        <f>TRIM(N9)</f>
        <v/>
      </c>
    </row>
    <row r="10">
      <c r="A10" t="inlineStr">
        <is>
          <t xml:space="preserve"> </t>
        </is>
      </c>
      <c r="B10" t="inlineStr">
        <is>
          <t>PERU MASIVO S.A.</t>
        </is>
      </c>
      <c r="C10" t="inlineStr">
        <is>
          <t>20492392031</t>
        </is>
      </c>
      <c r="D10" t="inlineStr">
        <is>
          <t>AV. LOS INCAS CDRA. 4 PATIO NORTE - COMAS</t>
        </is>
      </c>
      <c r="E10" t="inlineStr">
        <is>
          <t>Lima, 16 de Marzo de 2023</t>
        </is>
      </c>
      <c r="F10" t="inlineStr">
        <is>
          <t>la Recarga y mantenimiento</t>
        </is>
      </c>
      <c r="G10" t="n">
        <v>9</v>
      </c>
      <c r="H10" t="inlineStr">
        <is>
          <t>06 KG</t>
        </is>
      </c>
      <c r="I10" t="inlineStr">
        <is>
          <t>2021</t>
        </is>
      </c>
      <c r="J10" t="inlineStr">
        <is>
          <t>S/N</t>
        </is>
      </c>
      <c r="K10" t="inlineStr">
        <is>
          <t>MARZO 2023</t>
        </is>
      </c>
      <c r="L10" t="inlineStr">
        <is>
          <t>MARZO 2024</t>
        </is>
      </c>
      <c r="M10" t="inlineStr">
        <is>
          <t xml:space="preserve">P.Q.S TIPO ABC AL 90% NACIONAL </t>
        </is>
      </c>
      <c r="N10" t="inlineStr">
        <is>
          <t>314 / 002909</t>
        </is>
      </c>
      <c r="O10" t="inlineStr">
        <is>
          <t>R</t>
        </is>
      </c>
      <c r="P10">
        <f>TRIM(N10)</f>
        <v/>
      </c>
    </row>
    <row r="11">
      <c r="A11" t="inlineStr">
        <is>
          <t>CO-001012</t>
        </is>
      </c>
      <c r="B11" t="inlineStr">
        <is>
          <t>IGLESIA METODISTA DEL PERU – LA FLORIDA</t>
        </is>
      </c>
      <c r="D11" t="inlineStr">
        <is>
          <t>CALLE 13 N° 195 Urb. La Florida – Rímac</t>
        </is>
      </c>
      <c r="E11" t="inlineStr">
        <is>
          <t>Lima,19 de Julio de 2022</t>
        </is>
      </c>
      <c r="F11" t="inlineStr">
        <is>
          <t>la Recarga y mantenimiento</t>
        </is>
      </c>
      <c r="G11" t="inlineStr">
        <is>
          <t>-</t>
        </is>
      </c>
      <c r="H11" t="inlineStr">
        <is>
          <t>06 KG</t>
        </is>
      </c>
      <c r="I11" t="inlineStr">
        <is>
          <t>2024</t>
        </is>
      </c>
      <c r="J11" t="n">
        <v>2019</v>
      </c>
      <c r="K11" t="inlineStr">
        <is>
          <t>JULIO 2022</t>
        </is>
      </c>
      <c r="L11" t="inlineStr">
        <is>
          <t>JULIO 2023</t>
        </is>
      </c>
      <c r="M11" t="inlineStr">
        <is>
          <t>P.Q.S. AL 90% TIPO ABC</t>
        </is>
      </c>
      <c r="N11" t="inlineStr">
        <is>
          <t>01/000551</t>
        </is>
      </c>
      <c r="O11" t="inlineStr">
        <is>
          <t>R</t>
        </is>
      </c>
      <c r="P11">
        <f>TRIM(N11)</f>
        <v/>
      </c>
    </row>
    <row r="12">
      <c r="A12" t="inlineStr">
        <is>
          <t>CO-001012</t>
        </is>
      </c>
      <c r="B12" t="inlineStr">
        <is>
          <t>IGLESIA METODISTA DEL PERU – LA FLORIDA</t>
        </is>
      </c>
      <c r="D12" t="inlineStr">
        <is>
          <t>CALLE 13 N° 195 Urb. La Florida – Rímac</t>
        </is>
      </c>
      <c r="E12" t="inlineStr">
        <is>
          <t>Lima,19 de Julio de 2022</t>
        </is>
      </c>
      <c r="F12" t="inlineStr">
        <is>
          <t>la Recarga y mantenimiento</t>
        </is>
      </c>
      <c r="G12" t="n">
        <v>2</v>
      </c>
      <c r="H12" t="inlineStr">
        <is>
          <t>06 KG</t>
        </is>
      </c>
      <c r="I12" t="inlineStr">
        <is>
          <t>2024</t>
        </is>
      </c>
      <c r="J12" t="n">
        <v>2019</v>
      </c>
      <c r="K12" t="inlineStr">
        <is>
          <t>JULIO 2022</t>
        </is>
      </c>
      <c r="L12" t="inlineStr">
        <is>
          <t>JULIO 2023</t>
        </is>
      </c>
      <c r="M12" t="inlineStr">
        <is>
          <t>P.Q.S./ABC</t>
        </is>
      </c>
      <c r="N12" t="inlineStr">
        <is>
          <t>02/000674</t>
        </is>
      </c>
      <c r="O12" t="inlineStr">
        <is>
          <t>R</t>
        </is>
      </c>
      <c r="P12">
        <f>TRIM(N12)</f>
        <v/>
      </c>
    </row>
    <row r="13">
      <c r="A13" t="inlineStr">
        <is>
          <t>CO-001013</t>
        </is>
      </c>
      <c r="B13" t="inlineStr">
        <is>
          <t>IGLESIA METODISTA DEL PERU – LA FLORIDA</t>
        </is>
      </c>
      <c r="D13" t="inlineStr">
        <is>
          <t>CALLE 13 N° 195 Urb. La Florida – Rímac</t>
        </is>
      </c>
      <c r="E13" t="inlineStr">
        <is>
          <t>Lima,19 de Julio de 2023</t>
        </is>
      </c>
      <c r="F13" t="inlineStr">
        <is>
          <t>la Recarga y mantenimiento</t>
        </is>
      </c>
      <c r="G13" t="n">
        <v>1</v>
      </c>
      <c r="H13" t="inlineStr">
        <is>
          <t>6 KG</t>
        </is>
      </c>
      <c r="I13" t="n">
        <v>2027</v>
      </c>
      <c r="J13" t="n">
        <v>2022</v>
      </c>
      <c r="K13" t="inlineStr">
        <is>
          <t>JULIO 2022</t>
        </is>
      </c>
      <c r="L13" t="inlineStr">
        <is>
          <t>JULIO 2023</t>
        </is>
      </c>
      <c r="M13" t="inlineStr">
        <is>
          <t>P.Q.S. AL 90% TIPO ABC</t>
        </is>
      </c>
      <c r="N13" t="inlineStr">
        <is>
          <t>03/015357</t>
        </is>
      </c>
      <c r="P13">
        <f>TRIM(N13)</f>
        <v/>
      </c>
    </row>
    <row r="14">
      <c r="A14" t="inlineStr">
        <is>
          <t>CO-001018</t>
        </is>
      </c>
      <c r="B14" t="inlineStr">
        <is>
          <t>NEGOPEP SRL.</t>
        </is>
      </c>
      <c r="C14" t="n">
        <v>20194160624</v>
      </c>
      <c r="D14" t="inlineStr">
        <is>
          <t>Av. Tupac Amaru 4777 - Comas</t>
        </is>
      </c>
      <c r="E14" t="inlineStr">
        <is>
          <t>Lima,27 de Julio de 2023</t>
        </is>
      </c>
      <c r="F14" t="inlineStr">
        <is>
          <t>la Recarga y mantenimiento</t>
        </is>
      </c>
      <c r="G14" t="inlineStr">
        <is>
          <t>-</t>
        </is>
      </c>
      <c r="H14" t="inlineStr">
        <is>
          <t>06 KG</t>
        </is>
      </c>
      <c r="I14" t="inlineStr">
        <is>
          <t>2022</t>
        </is>
      </c>
      <c r="J14" t="n">
        <v>2005</v>
      </c>
      <c r="K14" t="inlineStr">
        <is>
          <t>JULIO 2022</t>
        </is>
      </c>
      <c r="L14" t="inlineStr">
        <is>
          <t>JULIO 2023</t>
        </is>
      </c>
      <c r="M14" t="inlineStr">
        <is>
          <t>P.Q.S. AL 90% TIPO ABC</t>
        </is>
      </c>
      <c r="N14" t="inlineStr">
        <is>
          <t xml:space="preserve"> 01/002696
</t>
        </is>
      </c>
      <c r="O14" t="inlineStr">
        <is>
          <t>R</t>
        </is>
      </c>
      <c r="P14">
        <f>TRIM(N14)</f>
        <v/>
      </c>
    </row>
    <row r="15">
      <c r="A15" t="inlineStr">
        <is>
          <t>CO-001019</t>
        </is>
      </c>
      <c r="B15" t="inlineStr">
        <is>
          <t>JOSE CARLOS CORANTE MENDOZA</t>
        </is>
      </c>
      <c r="C15" t="inlineStr">
        <is>
          <t>70521103</t>
        </is>
      </c>
      <c r="D15" t="inlineStr">
        <is>
          <t>A0A 217</t>
        </is>
      </c>
      <c r="E15" t="inlineStr">
        <is>
          <t>Lima, 22 de Agosto de 2022</t>
        </is>
      </c>
      <c r="F15" t="inlineStr">
        <is>
          <t>la venta</t>
        </is>
      </c>
      <c r="G15" t="inlineStr">
        <is>
          <t>-</t>
        </is>
      </c>
      <c r="H15" t="inlineStr">
        <is>
          <t>04 KG</t>
        </is>
      </c>
      <c r="I15" t="inlineStr">
        <is>
          <t>2027</t>
        </is>
      </c>
      <c r="J15" t="n">
        <v>2022</v>
      </c>
      <c r="K15" t="inlineStr">
        <is>
          <t>AGOSTO 2022</t>
        </is>
      </c>
      <c r="L15" t="inlineStr">
        <is>
          <t>AGOSTO 2023</t>
        </is>
      </c>
      <c r="M15" t="inlineStr">
        <is>
          <t>P.Q.S.  TIPO ABC</t>
        </is>
      </c>
      <c r="N15" t="inlineStr">
        <is>
          <t>01/617327</t>
        </is>
      </c>
      <c r="O15" t="inlineStr">
        <is>
          <t>V</t>
        </is>
      </c>
      <c r="P15">
        <f>TRIM(N15)</f>
        <v/>
      </c>
    </row>
    <row r="16">
      <c r="A16" t="inlineStr">
        <is>
          <t>CO-001020</t>
        </is>
      </c>
      <c r="B16" t="inlineStr">
        <is>
          <t>DIAZ MALDONADO DOWNNIG GUSTAVO</t>
        </is>
      </c>
      <c r="C16" t="inlineStr">
        <is>
          <t>45099295</t>
        </is>
      </c>
      <c r="D16" t="inlineStr">
        <is>
          <t>D6L 070</t>
        </is>
      </c>
      <c r="E16" t="inlineStr">
        <is>
          <t>Lima, 24 de Agosto de 2023</t>
        </is>
      </c>
      <c r="F16" t="inlineStr">
        <is>
          <t>la venta</t>
        </is>
      </c>
      <c r="G16" t="inlineStr">
        <is>
          <t>-</t>
        </is>
      </c>
      <c r="H16" t="inlineStr">
        <is>
          <t>04 KG</t>
        </is>
      </c>
      <c r="I16" t="inlineStr">
        <is>
          <t>2027</t>
        </is>
      </c>
      <c r="J16" t="n">
        <v>2022</v>
      </c>
      <c r="K16" t="inlineStr">
        <is>
          <t>AGOSTO 2022</t>
        </is>
      </c>
      <c r="L16" t="inlineStr">
        <is>
          <t>AGOSTO 2023</t>
        </is>
      </c>
      <c r="M16" t="inlineStr">
        <is>
          <t>P.Q.S.  TIPO ABC</t>
        </is>
      </c>
      <c r="N16" t="inlineStr">
        <is>
          <t>01/617674</t>
        </is>
      </c>
      <c r="O16" t="inlineStr">
        <is>
          <t>V</t>
        </is>
      </c>
      <c r="P16">
        <f>TRIM(N16)</f>
        <v/>
      </c>
    </row>
    <row r="17">
      <c r="A17" t="inlineStr">
        <is>
          <t>CO-001021</t>
        </is>
      </c>
      <c r="B17" t="inlineStr">
        <is>
          <t>DANY DAVID LEON NAVARRO</t>
        </is>
      </c>
      <c r="C17" t="inlineStr">
        <is>
          <t>41554444</t>
        </is>
      </c>
      <c r="D17" t="inlineStr">
        <is>
          <t>D5B494</t>
        </is>
      </c>
      <c r="E17" t="inlineStr">
        <is>
          <t>Lima, 24 de Agosto de 2022</t>
        </is>
      </c>
      <c r="F17" t="inlineStr">
        <is>
          <t>la Recarga y mantenimiento</t>
        </is>
      </c>
      <c r="G17" t="inlineStr">
        <is>
          <t>-</t>
        </is>
      </c>
      <c r="H17" t="inlineStr">
        <is>
          <t>02 KG</t>
        </is>
      </c>
      <c r="I17" t="inlineStr">
        <is>
          <t>VIGENTE</t>
        </is>
      </c>
      <c r="J17" t="inlineStr">
        <is>
          <t>S/N</t>
        </is>
      </c>
      <c r="K17" t="inlineStr">
        <is>
          <t>AGOSTO 2022</t>
        </is>
      </c>
      <c r="L17" t="inlineStr">
        <is>
          <t>AGOSTO 2023</t>
        </is>
      </c>
      <c r="M17" t="inlineStr">
        <is>
          <t>P.Q.S.  TIPO ABC</t>
        </is>
      </c>
      <c r="N17" t="inlineStr">
        <is>
          <t>S/N</t>
        </is>
      </c>
      <c r="O17" t="inlineStr">
        <is>
          <t>R</t>
        </is>
      </c>
      <c r="P17">
        <f>TRIM(N17)</f>
        <v/>
      </c>
    </row>
    <row r="18">
      <c r="A18" t="inlineStr">
        <is>
          <t>CO-001022</t>
        </is>
      </c>
      <c r="B18" t="inlineStr">
        <is>
          <t>JHOEL OCAÑA MAGUIÑA</t>
        </is>
      </c>
      <c r="C18" t="inlineStr">
        <is>
          <t>10103994441</t>
        </is>
      </c>
      <c r="D18" t="inlineStr">
        <is>
          <t>JR UNIÓN N° 200 URB SAN FELIPE - COMAS</t>
        </is>
      </c>
      <c r="E18" t="inlineStr">
        <is>
          <t>Lima, 29 de Agosto de 2022</t>
        </is>
      </c>
      <c r="F18" t="inlineStr">
        <is>
          <t>la Recarga y mantenimiento</t>
        </is>
      </c>
      <c r="G18" t="inlineStr">
        <is>
          <t>-</t>
        </is>
      </c>
      <c r="H18" t="inlineStr">
        <is>
          <t>06 KG</t>
        </is>
      </c>
      <c r="I18" t="inlineStr">
        <is>
          <t>VIGENTE</t>
        </is>
      </c>
      <c r="J18" t="n">
        <v>2018</v>
      </c>
      <c r="K18" t="inlineStr">
        <is>
          <t>AGOSTO 2022</t>
        </is>
      </c>
      <c r="L18" t="inlineStr">
        <is>
          <t>AGOSTO 2023</t>
        </is>
      </c>
      <c r="M18" t="inlineStr">
        <is>
          <t>P.Q.S.  TIPO ABC</t>
        </is>
      </c>
      <c r="N18" t="inlineStr">
        <is>
          <t>01/185</t>
        </is>
      </c>
      <c r="O18" t="inlineStr">
        <is>
          <t>R</t>
        </is>
      </c>
      <c r="P18">
        <f>TRIM(N18)</f>
        <v/>
      </c>
    </row>
    <row r="19">
      <c r="A19" t="inlineStr">
        <is>
          <t>CO-001022</t>
        </is>
      </c>
      <c r="B19" t="inlineStr">
        <is>
          <t>JHOEL OCAÑA MAGUIÑA</t>
        </is>
      </c>
      <c r="C19" t="inlineStr">
        <is>
          <t>10103994441</t>
        </is>
      </c>
      <c r="D19" t="inlineStr">
        <is>
          <t>JR UNIÓN N° 200 URB SAN FELIPE - COMAS</t>
        </is>
      </c>
      <c r="E19" t="inlineStr">
        <is>
          <t>Lima, 29 de Agosto de 2022</t>
        </is>
      </c>
      <c r="F19" t="inlineStr">
        <is>
          <t>la Recarga y mantenimiento</t>
        </is>
      </c>
      <c r="G19" t="inlineStr">
        <is>
          <t>-</t>
        </is>
      </c>
      <c r="H19" t="inlineStr">
        <is>
          <t>06 KG</t>
        </is>
      </c>
      <c r="I19" t="inlineStr">
        <is>
          <t>VIGENTE</t>
        </is>
      </c>
      <c r="J19" t="n">
        <v>2018</v>
      </c>
      <c r="K19" t="inlineStr">
        <is>
          <t>AGOSTO 2022</t>
        </is>
      </c>
      <c r="L19" t="inlineStr">
        <is>
          <t>AGOSTO 2023</t>
        </is>
      </c>
      <c r="M19" t="inlineStr">
        <is>
          <t>P.Q.S.  TIPO ABC</t>
        </is>
      </c>
      <c r="N19" t="inlineStr">
        <is>
          <t>01/3149</t>
        </is>
      </c>
      <c r="O19" t="inlineStr">
        <is>
          <t>R</t>
        </is>
      </c>
      <c r="P19">
        <f>TRIM(N19)</f>
        <v/>
      </c>
    </row>
    <row r="20">
      <c r="A20" t="inlineStr">
        <is>
          <t>CO-001023</t>
        </is>
      </c>
      <c r="B20" t="inlineStr">
        <is>
          <t>CHATARRERIA AARON</t>
        </is>
      </c>
      <c r="D20" t="inlineStr">
        <is>
          <t>Pasaje 23 MZ J LT 15 Año nuevo - Comas</t>
        </is>
      </c>
      <c r="E20" t="inlineStr">
        <is>
          <t>Lima, 01 de Setiembre de 2022</t>
        </is>
      </c>
      <c r="F20" t="inlineStr">
        <is>
          <t>la Recarga y mantenimiento</t>
        </is>
      </c>
      <c r="G20" t="inlineStr">
        <is>
          <t>-</t>
        </is>
      </c>
      <c r="H20" t="inlineStr">
        <is>
          <t>06 KG</t>
        </is>
      </c>
      <c r="I20" t="inlineStr">
        <is>
          <t>2027</t>
        </is>
      </c>
      <c r="J20" t="n">
        <v>2014</v>
      </c>
      <c r="K20" t="inlineStr">
        <is>
          <t>SETIEMBRE 2022</t>
        </is>
      </c>
      <c r="L20" t="inlineStr">
        <is>
          <t>SETIEMBRE 2023</t>
        </is>
      </c>
      <c r="M20" t="inlineStr">
        <is>
          <t>P.Q.S.  TIPO ABC</t>
        </is>
      </c>
      <c r="N20" t="inlineStr">
        <is>
          <t>01/003505</t>
        </is>
      </c>
      <c r="O20" t="inlineStr">
        <is>
          <t>R</t>
        </is>
      </c>
      <c r="P20">
        <f>TRIM(N20)</f>
        <v/>
      </c>
    </row>
    <row r="21">
      <c r="A21" t="inlineStr">
        <is>
          <t>CO-001023</t>
        </is>
      </c>
      <c r="B21" t="inlineStr">
        <is>
          <t>CHATARRERIA AARON</t>
        </is>
      </c>
      <c r="D21" t="inlineStr">
        <is>
          <t>Pasaje 23 MZ J LT 15 Año nuevo - Comas</t>
        </is>
      </c>
      <c r="E21" t="inlineStr">
        <is>
          <t>Lima, 01 de Setiembre de 2022</t>
        </is>
      </c>
      <c r="F21" t="inlineStr">
        <is>
          <t>la Recarga y mantenimiento</t>
        </is>
      </c>
      <c r="G21" t="inlineStr">
        <is>
          <t>-</t>
        </is>
      </c>
      <c r="H21" t="inlineStr">
        <is>
          <t>06 KG</t>
        </is>
      </c>
      <c r="I21" t="inlineStr">
        <is>
          <t>2023</t>
        </is>
      </c>
      <c r="J21" t="n">
        <v>2018</v>
      </c>
      <c r="K21" t="inlineStr">
        <is>
          <t>SETIEMBRE 2022</t>
        </is>
      </c>
      <c r="L21" t="inlineStr">
        <is>
          <t>SETIEMBRE 2023</t>
        </is>
      </c>
      <c r="M21" t="inlineStr">
        <is>
          <t>P.Q.S.  TIPO ABC</t>
        </is>
      </c>
      <c r="N21" t="inlineStr">
        <is>
          <t>02/003501</t>
        </is>
      </c>
      <c r="O21" t="inlineStr">
        <is>
          <t>R</t>
        </is>
      </c>
      <c r="P21">
        <f>TRIM(N21)</f>
        <v/>
      </c>
    </row>
    <row r="22">
      <c r="A22" t="inlineStr">
        <is>
          <t>CO-001024</t>
        </is>
      </c>
      <c r="B22" t="inlineStr">
        <is>
          <t>FRANCISCO MONTALVO BAÑON</t>
        </is>
      </c>
      <c r="C22" t="inlineStr">
        <is>
          <t>45485735</t>
        </is>
      </c>
      <c r="D22" t="inlineStr">
        <is>
          <t>ATK-907</t>
        </is>
      </c>
      <c r="E22" t="inlineStr">
        <is>
          <t>Lima, 02 de Setiembre de 2022</t>
        </is>
      </c>
      <c r="F22" t="inlineStr">
        <is>
          <t>la Recarga y mantenimiento</t>
        </is>
      </c>
      <c r="G22" t="inlineStr">
        <is>
          <t>-</t>
        </is>
      </c>
      <c r="H22" t="inlineStr">
        <is>
          <t>09 KG</t>
        </is>
      </c>
      <c r="I22" t="inlineStr">
        <is>
          <t>VIGENTE</t>
        </is>
      </c>
      <c r="J22" t="n">
        <v>2015</v>
      </c>
      <c r="K22" t="inlineStr">
        <is>
          <t>SETIEMBRE 2022</t>
        </is>
      </c>
      <c r="L22" t="inlineStr">
        <is>
          <t>SETIEMBRE 2023</t>
        </is>
      </c>
      <c r="M22" t="inlineStr">
        <is>
          <t>P.Q.S.  TIPO ABC</t>
        </is>
      </c>
      <c r="N22" t="inlineStr">
        <is>
          <t>01/000243</t>
        </is>
      </c>
      <c r="O22" t="inlineStr">
        <is>
          <t>R</t>
        </is>
      </c>
      <c r="P22">
        <f>TRIM(N22)</f>
        <v/>
      </c>
    </row>
    <row r="23">
      <c r="A23" t="inlineStr">
        <is>
          <t>CO-001025</t>
        </is>
      </c>
      <c r="B23" t="inlineStr">
        <is>
          <t>FIDENCIO ALBUJAR ACUÑA</t>
        </is>
      </c>
      <c r="C23" t="inlineStr">
        <is>
          <t>23096045</t>
        </is>
      </c>
      <c r="D23" t="inlineStr">
        <is>
          <t>ARH 710</t>
        </is>
      </c>
      <c r="E23" t="inlineStr">
        <is>
          <t>Lima, 05 de Setiembre de 2022</t>
        </is>
      </c>
      <c r="F23" t="inlineStr">
        <is>
          <t>la Recarga y mantenimiento</t>
        </is>
      </c>
      <c r="G23" t="inlineStr">
        <is>
          <t>-</t>
        </is>
      </c>
      <c r="H23" t="inlineStr">
        <is>
          <t>04 KG</t>
        </is>
      </c>
      <c r="I23" t="inlineStr">
        <is>
          <t>VIGENTE</t>
        </is>
      </c>
      <c r="J23" t="n">
        <v>2013</v>
      </c>
      <c r="K23" t="inlineStr">
        <is>
          <t>SETIEMBRE 2022</t>
        </is>
      </c>
      <c r="L23" t="inlineStr">
        <is>
          <t>SETIEMBRE 2023</t>
        </is>
      </c>
      <c r="M23" t="inlineStr">
        <is>
          <t>P.Q.S.  TIPO ABC</t>
        </is>
      </c>
      <c r="N23" t="inlineStr">
        <is>
          <t>01/000306</t>
        </is>
      </c>
      <c r="O23" t="inlineStr">
        <is>
          <t>R</t>
        </is>
      </c>
      <c r="P23">
        <f>TRIM(N23)</f>
        <v/>
      </c>
    </row>
    <row r="24">
      <c r="A24" t="inlineStr">
        <is>
          <t>CO-001026</t>
        </is>
      </c>
      <c r="B24" t="inlineStr">
        <is>
          <t>JOSIAS ALCIDES TARAZONA BACILIO</t>
        </is>
      </c>
      <c r="C24" t="inlineStr">
        <is>
          <t>70215943</t>
        </is>
      </c>
      <c r="E24" t="inlineStr">
        <is>
          <t>Lima, 07 de Setiembre de 2022</t>
        </is>
      </c>
      <c r="F24" t="inlineStr">
        <is>
          <t>la Recarga y mantenimiento</t>
        </is>
      </c>
      <c r="G24" t="inlineStr">
        <is>
          <t>-</t>
        </is>
      </c>
      <c r="H24" t="inlineStr">
        <is>
          <t>06 KG</t>
        </is>
      </c>
      <c r="I24" t="inlineStr">
        <is>
          <t>2023</t>
        </is>
      </c>
      <c r="J24" t="n">
        <v>2018</v>
      </c>
      <c r="K24" t="inlineStr">
        <is>
          <t>SETIEMBRE 2022</t>
        </is>
      </c>
      <c r="L24" t="inlineStr">
        <is>
          <t>SETIEMBRE 2023</t>
        </is>
      </c>
      <c r="M24" t="inlineStr">
        <is>
          <t>P.Q.S.  TIPO ABC</t>
        </is>
      </c>
      <c r="N24" t="inlineStr">
        <is>
          <t>01/021024</t>
        </is>
      </c>
      <c r="O24" t="inlineStr">
        <is>
          <t>R</t>
        </is>
      </c>
      <c r="P24">
        <f>TRIM(N24)</f>
        <v/>
      </c>
    </row>
    <row r="25">
      <c r="A25" t="inlineStr">
        <is>
          <t>CO-001027</t>
        </is>
      </c>
      <c r="B25" t="inlineStr">
        <is>
          <t>EDWIN CUEVA</t>
        </is>
      </c>
      <c r="D25" t="inlineStr">
        <is>
          <t>AV TUPAC AMARU 3931</t>
        </is>
      </c>
      <c r="E25" t="inlineStr">
        <is>
          <t>Lima, 09 de Setiembre de 2022</t>
        </is>
      </c>
      <c r="F25" t="inlineStr">
        <is>
          <t>la Recarga y mantenimiento</t>
        </is>
      </c>
      <c r="G25" t="inlineStr">
        <is>
          <t>-</t>
        </is>
      </c>
      <c r="H25" t="inlineStr">
        <is>
          <t>02 KG</t>
        </is>
      </c>
      <c r="I25" t="inlineStr">
        <is>
          <t>VIGENTE</t>
        </is>
      </c>
      <c r="J25" t="n">
        <v>2005</v>
      </c>
      <c r="K25" t="inlineStr">
        <is>
          <t>SETIEMBRE 2022</t>
        </is>
      </c>
      <c r="L25" t="inlineStr">
        <is>
          <t>SETIEMBRE 2023</t>
        </is>
      </c>
      <c r="M25" t="inlineStr">
        <is>
          <t>P.Q.S.  TIPO ABC</t>
        </is>
      </c>
      <c r="N25" t="inlineStr">
        <is>
          <t>01/001391</t>
        </is>
      </c>
      <c r="O25" t="inlineStr">
        <is>
          <t>R</t>
        </is>
      </c>
      <c r="P25">
        <f>TRIM(N25)</f>
        <v/>
      </c>
    </row>
    <row r="26">
      <c r="A26" t="inlineStr">
        <is>
          <t>CO-001028</t>
        </is>
      </c>
      <c r="B26" t="inlineStr">
        <is>
          <t>DENNIS MIGUEL ALTUNA ANDIA</t>
        </is>
      </c>
      <c r="C26" t="inlineStr">
        <is>
          <t>09990860</t>
        </is>
      </c>
      <c r="D26" t="inlineStr">
        <is>
          <t>A1D-095</t>
        </is>
      </c>
      <c r="E26" t="inlineStr">
        <is>
          <t>Lima, 09 de Setiembre de 2022</t>
        </is>
      </c>
      <c r="F26" t="inlineStr">
        <is>
          <t>la Venta</t>
        </is>
      </c>
      <c r="G26" t="inlineStr">
        <is>
          <t>-</t>
        </is>
      </c>
      <c r="H26" t="inlineStr">
        <is>
          <t>02 KG</t>
        </is>
      </c>
      <c r="I26" t="inlineStr">
        <is>
          <t>2027</t>
        </is>
      </c>
      <c r="J26" t="n">
        <v>2022</v>
      </c>
      <c r="K26" t="inlineStr">
        <is>
          <t>SETIEMBRE 2022</t>
        </is>
      </c>
      <c r="L26" t="inlineStr">
        <is>
          <t>SETIEMBRE 2023</t>
        </is>
      </c>
      <c r="M26" t="inlineStr">
        <is>
          <t>P.Q.S.  TIPO ABC</t>
        </is>
      </c>
      <c r="N26" t="inlineStr">
        <is>
          <t>01/000858</t>
        </is>
      </c>
      <c r="O26" t="inlineStr">
        <is>
          <t>V</t>
        </is>
      </c>
      <c r="P26">
        <f>TRIM(N26)</f>
        <v/>
      </c>
    </row>
    <row r="27">
      <c r="A27" t="inlineStr">
        <is>
          <t>CO-001029</t>
        </is>
      </c>
      <c r="B27" t="inlineStr">
        <is>
          <t xml:space="preserve"> COOPERATIVA DE SERVICIOS ESPECIALES DOS DE MAYO</t>
        </is>
      </c>
      <c r="D27" t="inlineStr">
        <is>
          <t>JR. PIURA N° 166 SAN FELIPE - COMAS</t>
        </is>
      </c>
      <c r="E27" t="inlineStr">
        <is>
          <t>Lima, 09 de Setiembre de 2022</t>
        </is>
      </c>
      <c r="F27" t="inlineStr">
        <is>
          <t>la Recarga y mantenimiento</t>
        </is>
      </c>
      <c r="G27" t="inlineStr">
        <is>
          <t>-</t>
        </is>
      </c>
      <c r="H27" t="inlineStr">
        <is>
          <t>09 KG</t>
        </is>
      </c>
      <c r="I27" t="inlineStr">
        <is>
          <t>2023</t>
        </is>
      </c>
      <c r="J27" t="n">
        <v>2018</v>
      </c>
      <c r="K27" t="inlineStr">
        <is>
          <t>SETIEMBRE 2022</t>
        </is>
      </c>
      <c r="L27" t="inlineStr">
        <is>
          <t>SETIEMBRE 2023</t>
        </is>
      </c>
      <c r="M27" t="inlineStr">
        <is>
          <t>P.Q.S.  TIPO ABC</t>
        </is>
      </c>
      <c r="N27" t="inlineStr">
        <is>
          <t>01/000254</t>
        </is>
      </c>
      <c r="O27" t="inlineStr">
        <is>
          <t>R</t>
        </is>
      </c>
      <c r="P27">
        <f>TRIM(N27)</f>
        <v/>
      </c>
    </row>
    <row r="28">
      <c r="A28" t="inlineStr">
        <is>
          <t>CO-001030</t>
        </is>
      </c>
      <c r="B28" t="inlineStr">
        <is>
          <t>AGFA COLOR/ SRA CRUZ SALAZAR</t>
        </is>
      </c>
      <c r="D28" t="inlineStr">
        <is>
          <t xml:space="preserve">AV CAUDIVILLA MZ G LT 10 URB SANTA ROSA DE PUNCHAUCA </t>
        </is>
      </c>
      <c r="E28" t="inlineStr">
        <is>
          <t>Lima, 09 de Setiembre de 2022</t>
        </is>
      </c>
      <c r="F28" t="inlineStr">
        <is>
          <t>la Recarga y mantenimiento</t>
        </is>
      </c>
      <c r="G28" t="inlineStr">
        <is>
          <t>-</t>
        </is>
      </c>
      <c r="H28" t="inlineStr">
        <is>
          <t>06 KG</t>
        </is>
      </c>
      <c r="I28" t="inlineStr">
        <is>
          <t>2026</t>
        </is>
      </c>
      <c r="J28" t="n">
        <v>2008</v>
      </c>
      <c r="K28" t="inlineStr">
        <is>
          <t>SETIEMBRE 2022</t>
        </is>
      </c>
      <c r="L28" t="inlineStr">
        <is>
          <t>SETIEMBRE 2023</t>
        </is>
      </c>
      <c r="M28" t="inlineStr">
        <is>
          <t>P.Q.S.  TIPO ABC</t>
        </is>
      </c>
      <c r="N28" t="inlineStr">
        <is>
          <t>01/003536</t>
        </is>
      </c>
      <c r="O28" t="inlineStr">
        <is>
          <t>R</t>
        </is>
      </c>
      <c r="P28">
        <f>TRIM(N28)</f>
        <v/>
      </c>
    </row>
    <row r="29">
      <c r="A29" t="inlineStr">
        <is>
          <t>CO-001031</t>
        </is>
      </c>
      <c r="B29" t="inlineStr">
        <is>
          <t>LOLO WILLAN RODRIGUEZ TOMAS</t>
        </is>
      </c>
      <c r="C29" t="inlineStr">
        <is>
          <t>44508485</t>
        </is>
      </c>
      <c r="D29" t="inlineStr">
        <is>
          <t>AV TUPAC AMARU 4668 MZ A LT 7 PUEBLO JOVEN LA PAMPA - COMAS</t>
        </is>
      </c>
      <c r="E29" t="inlineStr">
        <is>
          <t>Lima, 12 de Setiembre de 2022</t>
        </is>
      </c>
      <c r="F29" t="inlineStr">
        <is>
          <t>la venta</t>
        </is>
      </c>
      <c r="G29" t="inlineStr">
        <is>
          <t>-</t>
        </is>
      </c>
      <c r="H29" t="inlineStr">
        <is>
          <t>06 KG</t>
        </is>
      </c>
      <c r="I29" t="inlineStr">
        <is>
          <t>2027</t>
        </is>
      </c>
      <c r="J29" t="n">
        <v>2022</v>
      </c>
      <c r="K29" t="inlineStr">
        <is>
          <t>SETIEMBRE 2022</t>
        </is>
      </c>
      <c r="L29" t="inlineStr">
        <is>
          <t>SETIEMBRE 2023</t>
        </is>
      </c>
      <c r="M29" t="inlineStr">
        <is>
          <t>P.Q.S.  TIPO ABC</t>
        </is>
      </c>
      <c r="N29" t="inlineStr">
        <is>
          <t>01/153603</t>
        </is>
      </c>
      <c r="O29" t="inlineStr">
        <is>
          <t>v</t>
        </is>
      </c>
      <c r="P29">
        <f>TRIM(N29)</f>
        <v/>
      </c>
    </row>
    <row r="30">
      <c r="A30" t="inlineStr">
        <is>
          <t>CO-001032</t>
        </is>
      </c>
      <c r="B30" t="inlineStr">
        <is>
          <t>MELITON ALZAMORA</t>
        </is>
      </c>
      <c r="C30" t="inlineStr">
        <is>
          <t>06272406</t>
        </is>
      </c>
      <c r="D30" t="inlineStr">
        <is>
          <t>F3S-415</t>
        </is>
      </c>
      <c r="E30" t="inlineStr">
        <is>
          <t>Lima, 12 de Setiembre de 2022</t>
        </is>
      </c>
      <c r="F30" t="inlineStr">
        <is>
          <t>la Recarga y mantenimiento</t>
        </is>
      </c>
      <c r="G30" t="inlineStr">
        <is>
          <t>-</t>
        </is>
      </c>
      <c r="H30" t="inlineStr">
        <is>
          <t>02 KG</t>
        </is>
      </c>
      <c r="I30" t="inlineStr">
        <is>
          <t>VIGENTE</t>
        </is>
      </c>
      <c r="J30" t="n">
        <v>2014</v>
      </c>
      <c r="K30" t="inlineStr">
        <is>
          <t>SETIEMBRE 2022</t>
        </is>
      </c>
      <c r="L30" t="inlineStr">
        <is>
          <t>SETIEMBRE 2023</t>
        </is>
      </c>
      <c r="M30" t="inlineStr">
        <is>
          <t>P.Q.S.  TIPO ABC</t>
        </is>
      </c>
      <c r="N30" t="inlineStr">
        <is>
          <t>01/001014</t>
        </is>
      </c>
      <c r="O30" t="inlineStr">
        <is>
          <t>R</t>
        </is>
      </c>
      <c r="P30">
        <f>TRIM(N30)</f>
        <v/>
      </c>
    </row>
    <row r="31">
      <c r="A31" t="inlineStr">
        <is>
          <t>CO-001033</t>
        </is>
      </c>
      <c r="B31" t="inlineStr">
        <is>
          <t>LUZ MARIA PROA VILCHEZ</t>
        </is>
      </c>
      <c r="D31" t="inlineStr">
        <is>
          <t>JR TARAPACA N° 181 COLLIQUE- COMAS</t>
        </is>
      </c>
      <c r="E31" t="inlineStr">
        <is>
          <t>Lima, 12 de Setiembre de 2022</t>
        </is>
      </c>
      <c r="F31" t="inlineStr">
        <is>
          <t>la Recarga y mantenimiento</t>
        </is>
      </c>
      <c r="G31" t="inlineStr">
        <is>
          <t>-</t>
        </is>
      </c>
      <c r="H31" t="inlineStr">
        <is>
          <t>04 KG</t>
        </is>
      </c>
      <c r="I31" t="inlineStr">
        <is>
          <t>2027</t>
        </is>
      </c>
      <c r="J31" t="n">
        <v>2011</v>
      </c>
      <c r="K31" t="inlineStr">
        <is>
          <t>SETIEMBRE 2022</t>
        </is>
      </c>
      <c r="L31" t="inlineStr">
        <is>
          <t>SETIEMBRE 2023</t>
        </is>
      </c>
      <c r="M31" t="inlineStr">
        <is>
          <t>P.Q.S.  TIPO ABC</t>
        </is>
      </c>
      <c r="N31" t="inlineStr">
        <is>
          <t>01/000011</t>
        </is>
      </c>
      <c r="O31" t="inlineStr">
        <is>
          <t>R</t>
        </is>
      </c>
      <c r="P31">
        <f>TRIM(N31)</f>
        <v/>
      </c>
    </row>
    <row r="32">
      <c r="A32" t="inlineStr">
        <is>
          <t>CO-001034</t>
        </is>
      </c>
      <c r="B32" t="inlineStr">
        <is>
          <t>MARIA SOLORZANO</t>
        </is>
      </c>
      <c r="D32" t="inlineStr">
        <is>
          <t xml:space="preserve">VILLA VIOLETA MZ G LT 01 </t>
        </is>
      </c>
      <c r="E32" t="inlineStr">
        <is>
          <t>Lima, 13 de Setiembre de 2022</t>
        </is>
      </c>
      <c r="F32" t="inlineStr">
        <is>
          <t>la Recarga y mantenimiento</t>
        </is>
      </c>
      <c r="G32" t="inlineStr">
        <is>
          <t>-</t>
        </is>
      </c>
      <c r="H32" t="inlineStr">
        <is>
          <t>06 KG</t>
        </is>
      </c>
      <c r="I32" t="inlineStr">
        <is>
          <t>VIGENTE</t>
        </is>
      </c>
      <c r="J32" t="n">
        <v>2005</v>
      </c>
      <c r="K32" t="inlineStr">
        <is>
          <t>SETIEMBRE 2022</t>
        </is>
      </c>
      <c r="L32" t="inlineStr">
        <is>
          <t>SETIEMBRE 2023</t>
        </is>
      </c>
      <c r="M32" t="inlineStr">
        <is>
          <t>P.Q.S.  TIPO ABC</t>
        </is>
      </c>
      <c r="N32" t="inlineStr">
        <is>
          <t>01/001415</t>
        </is>
      </c>
      <c r="O32" t="inlineStr">
        <is>
          <t>R</t>
        </is>
      </c>
      <c r="P32">
        <f>TRIM(N32)</f>
        <v/>
      </c>
    </row>
    <row r="33">
      <c r="A33" t="inlineStr">
        <is>
          <t>CO-001035</t>
        </is>
      </c>
      <c r="B33" t="inlineStr">
        <is>
          <t>MARIA CUCICHE</t>
        </is>
      </c>
      <c r="D33" t="inlineStr">
        <is>
          <t>MERCADO AÑO NUEVO - PUESTO 111</t>
        </is>
      </c>
      <c r="E33" t="inlineStr">
        <is>
          <t>Lima, 15 de Setiembre de 2022</t>
        </is>
      </c>
      <c r="F33" t="inlineStr">
        <is>
          <t>la Recarga y mantenimiento</t>
        </is>
      </c>
      <c r="G33" t="inlineStr">
        <is>
          <t>-</t>
        </is>
      </c>
      <c r="H33" t="inlineStr">
        <is>
          <t>06 KG</t>
        </is>
      </c>
      <c r="I33" t="inlineStr">
        <is>
          <t>VIGENTE</t>
        </is>
      </c>
      <c r="J33" t="inlineStr">
        <is>
          <t>-</t>
        </is>
      </c>
      <c r="K33" t="inlineStr">
        <is>
          <t>SETIEMBRE 2022</t>
        </is>
      </c>
      <c r="L33" t="inlineStr">
        <is>
          <t>SETIEMBRE 2023</t>
        </is>
      </c>
      <c r="M33" t="inlineStr">
        <is>
          <t>P.Q.S.  TIPO ABC</t>
        </is>
      </c>
      <c r="N33" t="inlineStr">
        <is>
          <t>S/N</t>
        </is>
      </c>
      <c r="O33" t="inlineStr">
        <is>
          <t>R</t>
        </is>
      </c>
      <c r="P33">
        <f>TRIM(N33)</f>
        <v/>
      </c>
    </row>
    <row r="34">
      <c r="A34" t="inlineStr">
        <is>
          <t>CO-001036</t>
        </is>
      </c>
      <c r="B34" t="inlineStr">
        <is>
          <t>CELEDONIO PAJUELO</t>
        </is>
      </c>
      <c r="D34" t="inlineStr">
        <is>
          <t>MERCADO AÑO NUEVO - PUESTO 110</t>
        </is>
      </c>
      <c r="E34" t="inlineStr">
        <is>
          <t>Lima, 15 de Setiembre de 2022</t>
        </is>
      </c>
      <c r="F34" t="inlineStr">
        <is>
          <t>la Recarga y mantenimiento</t>
        </is>
      </c>
      <c r="G34" t="inlineStr">
        <is>
          <t>-</t>
        </is>
      </c>
      <c r="H34" t="inlineStr">
        <is>
          <t>06 KG</t>
        </is>
      </c>
      <c r="I34" t="inlineStr">
        <is>
          <t>VIGENTE</t>
        </is>
      </c>
      <c r="J34" t="inlineStr">
        <is>
          <t>-</t>
        </is>
      </c>
      <c r="K34" t="inlineStr">
        <is>
          <t>SETIEMBRE 2022</t>
        </is>
      </c>
      <c r="L34" t="inlineStr">
        <is>
          <t>SETIEMBRE 2023</t>
        </is>
      </c>
      <c r="M34" t="inlineStr">
        <is>
          <t>P.Q.S.  TIPO ABC</t>
        </is>
      </c>
      <c r="N34" t="inlineStr">
        <is>
          <t>01/002910</t>
        </is>
      </c>
      <c r="O34" t="inlineStr">
        <is>
          <t>R</t>
        </is>
      </c>
      <c r="P34">
        <f>TRIM(N34)</f>
        <v/>
      </c>
    </row>
    <row r="35">
      <c r="A35" t="inlineStr">
        <is>
          <t>CO-001037</t>
        </is>
      </c>
      <c r="B35" t="inlineStr">
        <is>
          <t>GLADIS CARDENAS</t>
        </is>
      </c>
      <c r="D35" t="inlineStr">
        <is>
          <t>MERCADO AÑO NUEVO - PUESTO 22</t>
        </is>
      </c>
      <c r="E35" t="inlineStr">
        <is>
          <t>Lima, 15 de Setiembre de 2022</t>
        </is>
      </c>
      <c r="F35" t="inlineStr">
        <is>
          <t>la Recarga y mantenimiento</t>
        </is>
      </c>
      <c r="G35" t="inlineStr">
        <is>
          <t>-</t>
        </is>
      </c>
      <c r="H35" t="inlineStr">
        <is>
          <t>06 KG</t>
        </is>
      </c>
      <c r="I35" t="inlineStr">
        <is>
          <t>VIGENTE</t>
        </is>
      </c>
      <c r="J35" t="inlineStr">
        <is>
          <t>-</t>
        </is>
      </c>
      <c r="K35" t="inlineStr">
        <is>
          <t>SETIEMBRE 2022</t>
        </is>
      </c>
      <c r="L35" t="inlineStr">
        <is>
          <t>SETIEMBRE 2023</t>
        </is>
      </c>
      <c r="M35" t="inlineStr">
        <is>
          <t>P.Q.S.  TIPO ABC</t>
        </is>
      </c>
      <c r="N35" t="inlineStr">
        <is>
          <t>S/N</t>
        </is>
      </c>
      <c r="O35" t="inlineStr">
        <is>
          <t>R</t>
        </is>
      </c>
      <c r="P35">
        <f>TRIM(N35)</f>
        <v/>
      </c>
    </row>
    <row r="36">
      <c r="A36" t="inlineStr">
        <is>
          <t>CO-001038</t>
        </is>
      </c>
      <c r="B36" t="inlineStr">
        <is>
          <t>KEVIN ALVARADO</t>
        </is>
      </c>
      <c r="D36" t="inlineStr">
        <is>
          <t>MERCADO AÑO NUEVO - PUESTO 163</t>
        </is>
      </c>
      <c r="E36" t="inlineStr">
        <is>
          <t>Lima, 15 de Setiembre de 2022</t>
        </is>
      </c>
      <c r="F36" t="inlineStr">
        <is>
          <t>la Recarga y mantenimiento</t>
        </is>
      </c>
      <c r="G36" t="inlineStr">
        <is>
          <t>-</t>
        </is>
      </c>
      <c r="H36" t="inlineStr">
        <is>
          <t>06 KG</t>
        </is>
      </c>
      <c r="I36" t="inlineStr">
        <is>
          <t>VIGENTE</t>
        </is>
      </c>
      <c r="J36" t="inlineStr">
        <is>
          <t>-</t>
        </is>
      </c>
      <c r="K36" t="inlineStr">
        <is>
          <t>SETIEMBRE 2022</t>
        </is>
      </c>
      <c r="L36" t="inlineStr">
        <is>
          <t>SETIEMBRE 2023</t>
        </is>
      </c>
      <c r="M36" t="inlineStr">
        <is>
          <t>P.Q.S.  TIPO ABC</t>
        </is>
      </c>
      <c r="N36" t="inlineStr">
        <is>
          <t>01/000115</t>
        </is>
      </c>
      <c r="O36" t="inlineStr">
        <is>
          <t>R</t>
        </is>
      </c>
      <c r="P36">
        <f>TRIM(N36)</f>
        <v/>
      </c>
    </row>
    <row r="37">
      <c r="A37" t="inlineStr">
        <is>
          <t>CO-001039</t>
        </is>
      </c>
      <c r="B37" t="inlineStr">
        <is>
          <t>SANTOS RODRIGUEZ</t>
        </is>
      </c>
      <c r="D37" t="inlineStr">
        <is>
          <t>MERCADO AÑO NUEVO - PUESTO 167</t>
        </is>
      </c>
      <c r="E37" t="inlineStr">
        <is>
          <t>Lima, 15 de Setiembre de 2022</t>
        </is>
      </c>
      <c r="F37" t="inlineStr">
        <is>
          <t>la Recarga y mantenimiento</t>
        </is>
      </c>
      <c r="G37" t="inlineStr">
        <is>
          <t>-</t>
        </is>
      </c>
      <c r="H37" t="inlineStr">
        <is>
          <t>04 KG</t>
        </is>
      </c>
      <c r="I37" t="inlineStr">
        <is>
          <t>2025</t>
        </is>
      </c>
      <c r="J37" t="n">
        <v>2020</v>
      </c>
      <c r="K37" t="inlineStr">
        <is>
          <t>SETIEMBRE 2022</t>
        </is>
      </c>
      <c r="L37" t="inlineStr">
        <is>
          <t>SETIEMBRE 2023</t>
        </is>
      </c>
      <c r="M37" t="inlineStr">
        <is>
          <t>P.Q.S.  TIPO ABC</t>
        </is>
      </c>
      <c r="N37" t="inlineStr">
        <is>
          <t>01/518004</t>
        </is>
      </c>
      <c r="O37" t="inlineStr">
        <is>
          <t>R</t>
        </is>
      </c>
      <c r="P37">
        <f>TRIM(N37)</f>
        <v/>
      </c>
    </row>
    <row r="38">
      <c r="A38" t="inlineStr">
        <is>
          <t>CO-001040</t>
        </is>
      </c>
      <c r="B38" t="inlineStr">
        <is>
          <t>MAGDALENA TIPULA</t>
        </is>
      </c>
      <c r="D38" t="inlineStr">
        <is>
          <t>MERCADO AÑO NUEVO - PUESTO 108</t>
        </is>
      </c>
      <c r="E38" t="inlineStr">
        <is>
          <t>Lima, 15 de Setiembre de 2022</t>
        </is>
      </c>
      <c r="F38" t="inlineStr">
        <is>
          <t>la Recarga y mantenimiento</t>
        </is>
      </c>
      <c r="G38" t="inlineStr">
        <is>
          <t>-</t>
        </is>
      </c>
      <c r="H38" t="inlineStr">
        <is>
          <t>06 KG</t>
        </is>
      </c>
      <c r="I38" t="inlineStr">
        <is>
          <t>VIGENTE</t>
        </is>
      </c>
      <c r="J38" t="inlineStr">
        <is>
          <t>-</t>
        </is>
      </c>
      <c r="K38" t="inlineStr">
        <is>
          <t>SETIEMBRE 2022</t>
        </is>
      </c>
      <c r="L38" t="inlineStr">
        <is>
          <t>SETIEMBRE 2023</t>
        </is>
      </c>
      <c r="M38" t="inlineStr">
        <is>
          <t>P.Q.S.  TIPO ABC</t>
        </is>
      </c>
      <c r="N38" t="inlineStr">
        <is>
          <t>01/001241</t>
        </is>
      </c>
      <c r="O38" t="inlineStr">
        <is>
          <t>R</t>
        </is>
      </c>
      <c r="P38">
        <f>TRIM(N38)</f>
        <v/>
      </c>
    </row>
    <row r="39">
      <c r="A39" t="inlineStr">
        <is>
          <t>CO-001041</t>
        </is>
      </c>
      <c r="B39" t="inlineStr">
        <is>
          <t>ROCIO SULCE</t>
        </is>
      </c>
      <c r="D39" t="inlineStr">
        <is>
          <t>MERCADO AÑO NUEVO - PUESTO 104</t>
        </is>
      </c>
      <c r="E39" t="inlineStr">
        <is>
          <t>Lima, 15 de Setiembre de 2022</t>
        </is>
      </c>
      <c r="F39" t="inlineStr">
        <is>
          <t>la Recarga y mantenimiento</t>
        </is>
      </c>
      <c r="G39" t="inlineStr">
        <is>
          <t>-</t>
        </is>
      </c>
      <c r="H39" t="inlineStr">
        <is>
          <t>06 KG</t>
        </is>
      </c>
      <c r="I39" t="inlineStr">
        <is>
          <t>VIGENTE</t>
        </is>
      </c>
      <c r="J39" t="n">
        <v>2007</v>
      </c>
      <c r="K39" t="inlineStr">
        <is>
          <t>SETIEMBRE 2022</t>
        </is>
      </c>
      <c r="L39" t="inlineStr">
        <is>
          <t>SETIEMBRE 2023</t>
        </is>
      </c>
      <c r="M39" t="inlineStr">
        <is>
          <t>P.Q.S.  TIPO ABC</t>
        </is>
      </c>
      <c r="N39" t="inlineStr">
        <is>
          <t>01/010204</t>
        </is>
      </c>
      <c r="O39" t="inlineStr">
        <is>
          <t>R</t>
        </is>
      </c>
      <c r="P39">
        <f>TRIM(N39)</f>
        <v/>
      </c>
    </row>
    <row r="40">
      <c r="A40" t="inlineStr">
        <is>
          <t>CO-001042</t>
        </is>
      </c>
      <c r="B40" t="inlineStr">
        <is>
          <t>ANA RODRIGUEZ</t>
        </is>
      </c>
      <c r="D40" t="inlineStr">
        <is>
          <t>MERCADO AÑO NUEVO - PUESTO 103</t>
        </is>
      </c>
      <c r="E40" t="inlineStr">
        <is>
          <t>Lima, 15 de Setiembre de 2022</t>
        </is>
      </c>
      <c r="F40" t="inlineStr">
        <is>
          <t>la Recarga y mantenimiento</t>
        </is>
      </c>
      <c r="G40" t="inlineStr">
        <is>
          <t>-</t>
        </is>
      </c>
      <c r="H40" t="inlineStr">
        <is>
          <t>06 KG</t>
        </is>
      </c>
      <c r="I40" t="inlineStr">
        <is>
          <t>2025</t>
        </is>
      </c>
      <c r="J40" t="n">
        <v>2020</v>
      </c>
      <c r="K40" t="inlineStr">
        <is>
          <t>SETIEMBRE 2022</t>
        </is>
      </c>
      <c r="L40" t="inlineStr">
        <is>
          <t>SETIEMBRE 2023</t>
        </is>
      </c>
      <c r="M40" t="inlineStr">
        <is>
          <t>P.Q.S.  TIPO ABC</t>
        </is>
      </c>
      <c r="N40" t="inlineStr">
        <is>
          <t>01/8001287</t>
        </is>
      </c>
      <c r="O40" t="inlineStr">
        <is>
          <t>R</t>
        </is>
      </c>
      <c r="P40">
        <f>TRIM(N40)</f>
        <v/>
      </c>
    </row>
    <row r="41">
      <c r="A41" t="inlineStr">
        <is>
          <t>CO-001043</t>
        </is>
      </c>
      <c r="B41" t="inlineStr">
        <is>
          <t>URSULA HINOSTROZA</t>
        </is>
      </c>
      <c r="D41" t="inlineStr">
        <is>
          <t>MERCADO AÑO NUEVO - PUESTO 158</t>
        </is>
      </c>
      <c r="E41" t="inlineStr">
        <is>
          <t>Lima, 15 de Setiembre de 2022</t>
        </is>
      </c>
      <c r="F41" t="inlineStr">
        <is>
          <t>la Recarga y mantenimiento</t>
        </is>
      </c>
      <c r="G41" t="inlineStr">
        <is>
          <t>-</t>
        </is>
      </c>
      <c r="H41" t="inlineStr">
        <is>
          <t>06 KG</t>
        </is>
      </c>
      <c r="I41" t="inlineStr">
        <is>
          <t>VIGENTE</t>
        </is>
      </c>
      <c r="J41" t="inlineStr">
        <is>
          <t>-</t>
        </is>
      </c>
      <c r="K41" t="inlineStr">
        <is>
          <t>SETIEMBRE 2022</t>
        </is>
      </c>
      <c r="L41" t="inlineStr">
        <is>
          <t>SETIEMBRE 2023</t>
        </is>
      </c>
      <c r="M41" t="inlineStr">
        <is>
          <t>P.Q.S.  TIPO ABC</t>
        </is>
      </c>
      <c r="N41" t="inlineStr">
        <is>
          <t>01/004026</t>
        </is>
      </c>
      <c r="O41" t="inlineStr">
        <is>
          <t>R</t>
        </is>
      </c>
      <c r="P41">
        <f>TRIM(N41)</f>
        <v/>
      </c>
    </row>
    <row r="42">
      <c r="A42" t="inlineStr">
        <is>
          <t>CO-001044</t>
        </is>
      </c>
      <c r="B42" t="inlineStr">
        <is>
          <t>FLOR PONCIANO</t>
        </is>
      </c>
      <c r="D42" t="inlineStr">
        <is>
          <t>MERCADO AÑO NUEVO - PUESTO 157</t>
        </is>
      </c>
      <c r="E42" t="inlineStr">
        <is>
          <t>Lima, 15 de Setiembre de 2022</t>
        </is>
      </c>
      <c r="F42" t="inlineStr">
        <is>
          <t>la Recarga y mantenimiento</t>
        </is>
      </c>
      <c r="G42" t="inlineStr">
        <is>
          <t>-</t>
        </is>
      </c>
      <c r="H42" t="inlineStr">
        <is>
          <t>06 KG</t>
        </is>
      </c>
      <c r="I42" t="inlineStr">
        <is>
          <t>VIGENTE</t>
        </is>
      </c>
      <c r="J42" t="inlineStr">
        <is>
          <t>-</t>
        </is>
      </c>
      <c r="K42" t="inlineStr">
        <is>
          <t>SETIEMBRE 2022</t>
        </is>
      </c>
      <c r="L42" t="inlineStr">
        <is>
          <t>SETIEMBRE 2023</t>
        </is>
      </c>
      <c r="M42" t="inlineStr">
        <is>
          <t>P.Q.S.  TIPO ABC</t>
        </is>
      </c>
      <c r="N42" t="inlineStr">
        <is>
          <t>S/N</t>
        </is>
      </c>
      <c r="O42" t="inlineStr">
        <is>
          <t>R</t>
        </is>
      </c>
      <c r="P42">
        <f>TRIM(N42)</f>
        <v/>
      </c>
    </row>
    <row r="43">
      <c r="A43" t="inlineStr">
        <is>
          <t>CO-001045</t>
        </is>
      </c>
      <c r="B43" t="inlineStr">
        <is>
          <t>FRANCISCO QUISPE</t>
        </is>
      </c>
      <c r="D43" t="inlineStr">
        <is>
          <t>MERCADO AÑO NUEVO - PUESTO 94</t>
        </is>
      </c>
      <c r="E43" t="inlineStr">
        <is>
          <t>Lima, 15 de Setiembre de 2022</t>
        </is>
      </c>
      <c r="F43" t="inlineStr">
        <is>
          <t>la Recarga y mantenimiento</t>
        </is>
      </c>
      <c r="G43" t="inlineStr">
        <is>
          <t>-</t>
        </is>
      </c>
      <c r="H43" t="inlineStr">
        <is>
          <t>06 KG</t>
        </is>
      </c>
      <c r="I43" t="inlineStr">
        <is>
          <t>VIGENTE</t>
        </is>
      </c>
      <c r="J43" t="inlineStr">
        <is>
          <t>-</t>
        </is>
      </c>
      <c r="K43" t="inlineStr">
        <is>
          <t>SETIEMBRE 2022</t>
        </is>
      </c>
      <c r="L43" t="inlineStr">
        <is>
          <t>SETIEMBRE 2023</t>
        </is>
      </c>
      <c r="M43" t="inlineStr">
        <is>
          <t>P.Q.S.  TIPO ABC</t>
        </is>
      </c>
      <c r="N43" t="inlineStr">
        <is>
          <t>01/000314</t>
        </is>
      </c>
      <c r="O43" t="inlineStr">
        <is>
          <t>R</t>
        </is>
      </c>
      <c r="P43">
        <f>TRIM(N43)</f>
        <v/>
      </c>
    </row>
    <row r="44">
      <c r="A44" t="inlineStr">
        <is>
          <t>CO-001046</t>
        </is>
      </c>
      <c r="B44" t="inlineStr">
        <is>
          <t>JUAN FLORES</t>
        </is>
      </c>
      <c r="D44" t="inlineStr">
        <is>
          <t>MERCADO AÑO NUEVO - PUESTO 153</t>
        </is>
      </c>
      <c r="E44" t="inlineStr">
        <is>
          <t>Lima, 15 de Setiembre de 2022</t>
        </is>
      </c>
      <c r="F44" t="inlineStr">
        <is>
          <t>la Recarga y mantenimiento</t>
        </is>
      </c>
      <c r="G44" t="inlineStr">
        <is>
          <t>-</t>
        </is>
      </c>
      <c r="H44" t="inlineStr">
        <is>
          <t>06 KG</t>
        </is>
      </c>
      <c r="I44" t="inlineStr">
        <is>
          <t>VIGENTE</t>
        </is>
      </c>
      <c r="J44" t="inlineStr">
        <is>
          <t>-</t>
        </is>
      </c>
      <c r="K44" t="inlineStr">
        <is>
          <t>SETIEMBRE 2022</t>
        </is>
      </c>
      <c r="L44" t="inlineStr">
        <is>
          <t>SETIEMBRE 2023</t>
        </is>
      </c>
      <c r="M44" t="inlineStr">
        <is>
          <t>P.Q.S.  TIPO ABC</t>
        </is>
      </c>
      <c r="N44" t="inlineStr">
        <is>
          <t>01/001328</t>
        </is>
      </c>
      <c r="O44" t="inlineStr">
        <is>
          <t>R</t>
        </is>
      </c>
      <c r="P44">
        <f>TRIM(N44)</f>
        <v/>
      </c>
    </row>
    <row r="45">
      <c r="A45" t="inlineStr">
        <is>
          <t>CO-001047</t>
        </is>
      </c>
      <c r="B45" t="inlineStr">
        <is>
          <t>DENISS CARLOS</t>
        </is>
      </c>
      <c r="D45" t="inlineStr">
        <is>
          <t>MERCADO AÑO NUEVO - PUESTO 151</t>
        </is>
      </c>
      <c r="E45" t="inlineStr">
        <is>
          <t>Lima, 15 de Setiembre de 2022</t>
        </is>
      </c>
      <c r="F45" t="inlineStr">
        <is>
          <t>la Recarga y mantenimiento</t>
        </is>
      </c>
      <c r="G45" t="inlineStr">
        <is>
          <t>-</t>
        </is>
      </c>
      <c r="H45" t="inlineStr">
        <is>
          <t>06 KG</t>
        </is>
      </c>
      <c r="I45" t="inlineStr">
        <is>
          <t>VIGENTE</t>
        </is>
      </c>
      <c r="J45" t="inlineStr">
        <is>
          <t>-</t>
        </is>
      </c>
      <c r="K45" t="inlineStr">
        <is>
          <t>SETIEMBRE 2022</t>
        </is>
      </c>
      <c r="L45" t="inlineStr">
        <is>
          <t>SETIEMBRE 2023</t>
        </is>
      </c>
      <c r="M45" t="inlineStr">
        <is>
          <t>P.Q.S.  TIPO ABC</t>
        </is>
      </c>
      <c r="N45" t="inlineStr">
        <is>
          <t>01/000148</t>
        </is>
      </c>
      <c r="O45" t="inlineStr">
        <is>
          <t>R</t>
        </is>
      </c>
      <c r="P45">
        <f>TRIM(N45)</f>
        <v/>
      </c>
    </row>
    <row r="46">
      <c r="A46" t="inlineStr">
        <is>
          <t>CO-001048</t>
        </is>
      </c>
      <c r="B46" t="inlineStr">
        <is>
          <t>JUDITH IZAGUIRRE</t>
        </is>
      </c>
      <c r="D46" t="inlineStr">
        <is>
          <t>MERCADO AÑO NUEVO - PUESTO 152</t>
        </is>
      </c>
      <c r="E46" t="inlineStr">
        <is>
          <t>Lima, 15 de Setiembre de 2022</t>
        </is>
      </c>
      <c r="F46" t="inlineStr">
        <is>
          <t>la Recarga y mantenimiento</t>
        </is>
      </c>
      <c r="G46" t="inlineStr">
        <is>
          <t>-</t>
        </is>
      </c>
      <c r="H46" t="inlineStr">
        <is>
          <t>06 KG</t>
        </is>
      </c>
      <c r="I46" t="inlineStr">
        <is>
          <t>VIGENTE</t>
        </is>
      </c>
      <c r="J46" t="inlineStr">
        <is>
          <t>-</t>
        </is>
      </c>
      <c r="K46" t="inlineStr">
        <is>
          <t>SETIEMBRE 2022</t>
        </is>
      </c>
      <c r="L46" t="inlineStr">
        <is>
          <t>SETIEMBRE 2023</t>
        </is>
      </c>
      <c r="M46" t="inlineStr">
        <is>
          <t>P.Q.S.  TIPO ABC</t>
        </is>
      </c>
      <c r="N46" t="inlineStr">
        <is>
          <t>01/002939</t>
        </is>
      </c>
      <c r="O46" t="inlineStr">
        <is>
          <t>R</t>
        </is>
      </c>
      <c r="P46">
        <f>TRIM(N46)</f>
        <v/>
      </c>
    </row>
    <row r="47">
      <c r="A47" t="inlineStr">
        <is>
          <t>CO-001049</t>
        </is>
      </c>
      <c r="B47" t="inlineStr">
        <is>
          <t>LUIS SANDOVAL</t>
        </is>
      </c>
      <c r="D47" t="inlineStr">
        <is>
          <t>MERCADO AÑO NUEVO - PUESTO 150</t>
        </is>
      </c>
      <c r="E47" t="inlineStr">
        <is>
          <t>Lima, 15 de Setiembre de 2022</t>
        </is>
      </c>
      <c r="F47" t="inlineStr">
        <is>
          <t>la Recarga y mantenimiento</t>
        </is>
      </c>
      <c r="G47" t="inlineStr">
        <is>
          <t>-</t>
        </is>
      </c>
      <c r="H47" t="inlineStr">
        <is>
          <t>06 KG</t>
        </is>
      </c>
      <c r="I47" t="inlineStr">
        <is>
          <t>VIGENTE</t>
        </is>
      </c>
      <c r="J47" t="inlineStr">
        <is>
          <t>-</t>
        </is>
      </c>
      <c r="K47" t="inlineStr">
        <is>
          <t>SETIEMBRE 2022</t>
        </is>
      </c>
      <c r="L47" t="inlineStr">
        <is>
          <t>SETIEMBRE 2023</t>
        </is>
      </c>
      <c r="M47" t="inlineStr">
        <is>
          <t>P.Q.S.  TIPO ABC</t>
        </is>
      </c>
      <c r="N47" t="inlineStr">
        <is>
          <t>01/000150</t>
        </is>
      </c>
      <c r="O47" t="inlineStr">
        <is>
          <t>R</t>
        </is>
      </c>
      <c r="P47">
        <f>TRIM(N47)</f>
        <v/>
      </c>
    </row>
    <row r="48">
      <c r="A48" t="inlineStr">
        <is>
          <t>CO-001050</t>
        </is>
      </c>
      <c r="B48" t="inlineStr">
        <is>
          <t xml:space="preserve">ALFONSO CAJADILLO </t>
        </is>
      </c>
      <c r="D48" t="inlineStr">
        <is>
          <t xml:space="preserve">MERCADO AÑO NUEVO - RENOVADORA DE CALZADO </t>
        </is>
      </c>
      <c r="E48" t="inlineStr">
        <is>
          <t>Lima, 15 de Setiembre de 2022</t>
        </is>
      </c>
      <c r="F48" t="inlineStr">
        <is>
          <t>la Recarga y mantenimiento</t>
        </is>
      </c>
      <c r="G48" t="inlineStr">
        <is>
          <t>-</t>
        </is>
      </c>
      <c r="H48" t="inlineStr">
        <is>
          <t>06 KG</t>
        </is>
      </c>
      <c r="I48" t="inlineStr">
        <is>
          <t>VIGENTE</t>
        </is>
      </c>
      <c r="J48" t="inlineStr">
        <is>
          <t>-</t>
        </is>
      </c>
      <c r="K48" t="inlineStr">
        <is>
          <t>SETIEMBRE 2022</t>
        </is>
      </c>
      <c r="L48" t="inlineStr">
        <is>
          <t>SETIEMBRE 2023</t>
        </is>
      </c>
      <c r="M48" t="inlineStr">
        <is>
          <t>P.Q.S.  TIPO ABC</t>
        </is>
      </c>
      <c r="N48" t="inlineStr">
        <is>
          <t>01/015843</t>
        </is>
      </c>
      <c r="O48" t="inlineStr">
        <is>
          <t>R</t>
        </is>
      </c>
      <c r="P48">
        <f>TRIM(N48)</f>
        <v/>
      </c>
    </row>
    <row r="49">
      <c r="A49" t="inlineStr">
        <is>
          <t>CO-001051</t>
        </is>
      </c>
      <c r="B49" t="inlineStr">
        <is>
          <t>JOSE FERNANDEZ</t>
        </is>
      </c>
      <c r="D49" t="inlineStr">
        <is>
          <t>MERCADO AÑO NUEVO - PUESTO 94 (B)</t>
        </is>
      </c>
      <c r="E49" t="inlineStr">
        <is>
          <t>Lima, 15 de Setiembre de 2022</t>
        </is>
      </c>
      <c r="F49" t="inlineStr">
        <is>
          <t>la Recarga y mantenimiento</t>
        </is>
      </c>
      <c r="G49" t="inlineStr">
        <is>
          <t>-</t>
        </is>
      </c>
      <c r="H49" t="inlineStr">
        <is>
          <t>06 KG</t>
        </is>
      </c>
      <c r="I49" t="inlineStr">
        <is>
          <t>VIGENTE</t>
        </is>
      </c>
      <c r="J49" t="inlineStr">
        <is>
          <t>-</t>
        </is>
      </c>
      <c r="K49" t="inlineStr">
        <is>
          <t>SETIEMBRE 2022</t>
        </is>
      </c>
      <c r="L49" t="inlineStr">
        <is>
          <t>SETIEMBRE 2023</t>
        </is>
      </c>
      <c r="M49" t="inlineStr">
        <is>
          <t>P.Q.S.  TIPO ABC</t>
        </is>
      </c>
      <c r="N49" t="inlineStr">
        <is>
          <t>01/000698</t>
        </is>
      </c>
      <c r="O49" t="inlineStr">
        <is>
          <t>R</t>
        </is>
      </c>
      <c r="P49">
        <f>TRIM(N49)</f>
        <v/>
      </c>
    </row>
    <row r="50">
      <c r="A50" t="inlineStr">
        <is>
          <t>CO-001052</t>
        </is>
      </c>
      <c r="B50" t="inlineStr">
        <is>
          <t>CESAR MAMANI</t>
        </is>
      </c>
      <c r="D50" t="inlineStr">
        <is>
          <t>MERCADO AÑO NUEVO - PUESTO 148</t>
        </is>
      </c>
      <c r="E50" t="inlineStr">
        <is>
          <t>Lima, 15 de Setiembre de 2022</t>
        </is>
      </c>
      <c r="F50" t="inlineStr">
        <is>
          <t>la Recarga y mantenimiento</t>
        </is>
      </c>
      <c r="G50" t="inlineStr">
        <is>
          <t>-</t>
        </is>
      </c>
      <c r="H50" t="inlineStr">
        <is>
          <t>04 KG</t>
        </is>
      </c>
      <c r="I50" t="inlineStr">
        <is>
          <t>VIGENTE</t>
        </is>
      </c>
      <c r="J50" t="inlineStr">
        <is>
          <t>-</t>
        </is>
      </c>
      <c r="K50" t="inlineStr">
        <is>
          <t>SETIEMBRE 2022</t>
        </is>
      </c>
      <c r="L50" t="inlineStr">
        <is>
          <t>SETIEMBRE 2023</t>
        </is>
      </c>
      <c r="M50" t="inlineStr">
        <is>
          <t>P.Q.S.  TIPO ABC</t>
        </is>
      </c>
      <c r="N50" t="inlineStr">
        <is>
          <t>01/002775</t>
        </is>
      </c>
      <c r="O50" t="inlineStr">
        <is>
          <t>R</t>
        </is>
      </c>
      <c r="P50">
        <f>TRIM(N50)</f>
        <v/>
      </c>
    </row>
    <row r="51">
      <c r="A51" t="inlineStr">
        <is>
          <t>CO-001053</t>
        </is>
      </c>
      <c r="B51" t="inlineStr">
        <is>
          <t>SOFIA VALVERDE</t>
        </is>
      </c>
      <c r="D51" t="inlineStr">
        <is>
          <t>MERCADO AÑO NUEVO - PUESTO 183</t>
        </is>
      </c>
      <c r="E51" t="inlineStr">
        <is>
          <t>Lima, 15 de Setiembre de 2022</t>
        </is>
      </c>
      <c r="F51" t="inlineStr">
        <is>
          <t>la Recarga y mantenimiento</t>
        </is>
      </c>
      <c r="G51" t="inlineStr">
        <is>
          <t>-</t>
        </is>
      </c>
      <c r="H51" t="inlineStr">
        <is>
          <t>06 KG</t>
        </is>
      </c>
      <c r="I51" t="inlineStr">
        <is>
          <t>VIGENTE</t>
        </is>
      </c>
      <c r="J51" t="inlineStr">
        <is>
          <t>-</t>
        </is>
      </c>
      <c r="K51" t="inlineStr">
        <is>
          <t>SETIEMBRE 2022</t>
        </is>
      </c>
      <c r="L51" t="inlineStr">
        <is>
          <t>SETIEMBRE 2023</t>
        </is>
      </c>
      <c r="M51" t="inlineStr">
        <is>
          <t>P.Q.S.  TIPO ABC</t>
        </is>
      </c>
      <c r="N51" t="inlineStr">
        <is>
          <t>S/N</t>
        </is>
      </c>
      <c r="O51" t="inlineStr">
        <is>
          <t>R</t>
        </is>
      </c>
      <c r="P51">
        <f>TRIM(N51)</f>
        <v/>
      </c>
    </row>
    <row r="52">
      <c r="A52" t="inlineStr">
        <is>
          <t>CO-001054</t>
        </is>
      </c>
      <c r="B52" t="inlineStr">
        <is>
          <t>GLORIA OSCEO</t>
        </is>
      </c>
      <c r="D52" t="inlineStr">
        <is>
          <t>MERCADO AÑO NUEVO - PUESTO 186</t>
        </is>
      </c>
      <c r="E52" t="inlineStr">
        <is>
          <t>Lima, 15 de Setiembre de 2022</t>
        </is>
      </c>
      <c r="F52" t="inlineStr">
        <is>
          <t>la Recarga y mantenimiento</t>
        </is>
      </c>
      <c r="G52" t="inlineStr">
        <is>
          <t>-</t>
        </is>
      </c>
      <c r="H52" t="inlineStr">
        <is>
          <t>06 KG</t>
        </is>
      </c>
      <c r="I52" t="inlineStr">
        <is>
          <t>VIGENTE</t>
        </is>
      </c>
      <c r="J52" t="inlineStr">
        <is>
          <t>-</t>
        </is>
      </c>
      <c r="K52" t="inlineStr">
        <is>
          <t>SETIEMBRE 2022</t>
        </is>
      </c>
      <c r="L52" t="inlineStr">
        <is>
          <t>SETIEMBRE 2023</t>
        </is>
      </c>
      <c r="M52" t="inlineStr">
        <is>
          <t>P.Q.S.  TIPO ABC</t>
        </is>
      </c>
      <c r="N52" t="inlineStr">
        <is>
          <t>01/003589</t>
        </is>
      </c>
      <c r="O52" t="inlineStr">
        <is>
          <t>R</t>
        </is>
      </c>
      <c r="P52">
        <f>TRIM(N52)</f>
        <v/>
      </c>
    </row>
    <row r="53">
      <c r="A53" t="inlineStr">
        <is>
          <t>CO-001055</t>
        </is>
      </c>
      <c r="B53" t="inlineStr">
        <is>
          <t>BLANCA ESTELA GONZALES</t>
        </is>
      </c>
      <c r="D53" t="inlineStr">
        <is>
          <t>MERCADO AÑO NUEVO - PUESTO 182</t>
        </is>
      </c>
      <c r="E53" t="inlineStr">
        <is>
          <t>Lima, 15 de Setiembre de 2022</t>
        </is>
      </c>
      <c r="F53" t="inlineStr">
        <is>
          <t>la Recarga y mantenimiento</t>
        </is>
      </c>
      <c r="G53" t="inlineStr">
        <is>
          <t>-</t>
        </is>
      </c>
      <c r="H53" t="inlineStr">
        <is>
          <t>06 KG</t>
        </is>
      </c>
      <c r="I53" t="inlineStr">
        <is>
          <t>VIGENTE</t>
        </is>
      </c>
      <c r="J53" t="inlineStr">
        <is>
          <t>-</t>
        </is>
      </c>
      <c r="K53" t="inlineStr">
        <is>
          <t>SETIEMBRE 2022</t>
        </is>
      </c>
      <c r="L53" t="inlineStr">
        <is>
          <t>SETIEMBRE 2023</t>
        </is>
      </c>
      <c r="M53" t="inlineStr">
        <is>
          <t>P.Q.S.  TIPO ABC</t>
        </is>
      </c>
      <c r="N53" t="inlineStr">
        <is>
          <t>01/201106</t>
        </is>
      </c>
      <c r="O53" t="inlineStr">
        <is>
          <t>R</t>
        </is>
      </c>
      <c r="P53">
        <f>TRIM(N53)</f>
        <v/>
      </c>
    </row>
    <row r="54">
      <c r="A54" t="inlineStr">
        <is>
          <t>CO-001056</t>
        </is>
      </c>
      <c r="B54" t="inlineStr">
        <is>
          <t>HILDA HUAMAN</t>
        </is>
      </c>
      <c r="D54" t="inlineStr">
        <is>
          <t>MERCADO AÑO NUEVO - PUESTO 188</t>
        </is>
      </c>
      <c r="E54" t="inlineStr">
        <is>
          <t>Lima, 15 de Setiembre de 2022</t>
        </is>
      </c>
      <c r="F54" t="inlineStr">
        <is>
          <t>la Recarga y mantenimiento</t>
        </is>
      </c>
      <c r="G54" t="inlineStr">
        <is>
          <t>-</t>
        </is>
      </c>
      <c r="H54" t="inlineStr">
        <is>
          <t>04 KG</t>
        </is>
      </c>
      <c r="I54" t="inlineStr">
        <is>
          <t>VIGENTE</t>
        </is>
      </c>
      <c r="J54" t="inlineStr">
        <is>
          <t>-</t>
        </is>
      </c>
      <c r="K54" t="inlineStr">
        <is>
          <t>SETIEMBRE 2022</t>
        </is>
      </c>
      <c r="L54" t="inlineStr">
        <is>
          <t>SETIEMBRE 2023</t>
        </is>
      </c>
      <c r="M54" t="inlineStr">
        <is>
          <t>P.Q.S.  TIPO ABC</t>
        </is>
      </c>
      <c r="N54" t="inlineStr">
        <is>
          <t>S/N</t>
        </is>
      </c>
      <c r="O54" t="inlineStr">
        <is>
          <t>R</t>
        </is>
      </c>
      <c r="P54">
        <f>TRIM(N54)</f>
        <v/>
      </c>
    </row>
    <row r="55">
      <c r="A55" t="inlineStr">
        <is>
          <t>CO-001057</t>
        </is>
      </c>
      <c r="B55" t="inlineStr">
        <is>
          <t>CESAR MAMANI</t>
        </is>
      </c>
      <c r="D55" t="inlineStr">
        <is>
          <t>MERCADO AÑO NUEVO - PUESTO 185</t>
        </is>
      </c>
      <c r="E55" t="inlineStr">
        <is>
          <t>Lima, 15 de Setiembre de 2022</t>
        </is>
      </c>
      <c r="F55" t="inlineStr">
        <is>
          <t>la Recarga y mantenimiento</t>
        </is>
      </c>
      <c r="G55" t="inlineStr">
        <is>
          <t>-</t>
        </is>
      </c>
      <c r="H55" t="inlineStr">
        <is>
          <t>06 KG</t>
        </is>
      </c>
      <c r="I55" t="inlineStr">
        <is>
          <t>VIGENTE</t>
        </is>
      </c>
      <c r="J55" t="inlineStr">
        <is>
          <t>-</t>
        </is>
      </c>
      <c r="K55" t="inlineStr">
        <is>
          <t>SETIEMBRE 2022</t>
        </is>
      </c>
      <c r="L55" t="inlineStr">
        <is>
          <t>SETIEMBRE 2023</t>
        </is>
      </c>
      <c r="M55" t="inlineStr">
        <is>
          <t>P.Q.S.  TIPO ABC</t>
        </is>
      </c>
      <c r="N55" t="inlineStr">
        <is>
          <t>01/010617</t>
        </is>
      </c>
      <c r="O55" t="inlineStr">
        <is>
          <t>R</t>
        </is>
      </c>
      <c r="P55">
        <f>TRIM(N55)</f>
        <v/>
      </c>
    </row>
    <row r="56">
      <c r="A56" t="inlineStr">
        <is>
          <t>CO-001058</t>
        </is>
      </c>
      <c r="B56" t="inlineStr">
        <is>
          <t>MARLENE YANET TOLENTINO</t>
        </is>
      </c>
      <c r="D56" t="inlineStr">
        <is>
          <t>MERCADO AÑO NUEVO - PUESTO 256</t>
        </is>
      </c>
      <c r="E56" t="inlineStr">
        <is>
          <t>Lima, 15 de Setiembre de 2022</t>
        </is>
      </c>
      <c r="F56" t="inlineStr">
        <is>
          <t>la Recarga y mantenimiento</t>
        </is>
      </c>
      <c r="G56" t="inlineStr">
        <is>
          <t>-</t>
        </is>
      </c>
      <c r="H56" t="inlineStr">
        <is>
          <t>06 KG</t>
        </is>
      </c>
      <c r="I56" t="inlineStr">
        <is>
          <t>2027</t>
        </is>
      </c>
      <c r="J56" t="n">
        <v>2022</v>
      </c>
      <c r="K56" t="inlineStr">
        <is>
          <t>SETIEMBRE 2022</t>
        </is>
      </c>
      <c r="L56" t="inlineStr">
        <is>
          <t>SETIEMBRE 2023</t>
        </is>
      </c>
      <c r="M56" t="inlineStr">
        <is>
          <t>P.Q.S.  TIPO ABC</t>
        </is>
      </c>
      <c r="N56" t="inlineStr">
        <is>
          <t>01/152567</t>
        </is>
      </c>
      <c r="O56" t="inlineStr">
        <is>
          <t>V</t>
        </is>
      </c>
      <c r="P56">
        <f>TRIM(N56)</f>
        <v/>
      </c>
    </row>
    <row r="57">
      <c r="A57" t="inlineStr">
        <is>
          <t>CO-001059</t>
        </is>
      </c>
      <c r="B57" t="inlineStr">
        <is>
          <t>CINDY PAYANO</t>
        </is>
      </c>
      <c r="D57" t="inlineStr">
        <is>
          <t>MERCADO AÑO NUEVO - PUESTO 180</t>
        </is>
      </c>
      <c r="E57" t="inlineStr">
        <is>
          <t>Lima, 15 de Setiembre de 2022</t>
        </is>
      </c>
      <c r="F57" t="inlineStr">
        <is>
          <t>la venta</t>
        </is>
      </c>
      <c r="G57" t="inlineStr">
        <is>
          <t>-</t>
        </is>
      </c>
      <c r="H57" t="inlineStr">
        <is>
          <t>06 KG</t>
        </is>
      </c>
      <c r="I57" t="inlineStr">
        <is>
          <t>2027</t>
        </is>
      </c>
      <c r="J57" t="n">
        <v>2022</v>
      </c>
      <c r="K57" t="inlineStr">
        <is>
          <t>SETIEMBRE 2022</t>
        </is>
      </c>
      <c r="L57" t="inlineStr">
        <is>
          <t>SETIEMBRE 2023</t>
        </is>
      </c>
      <c r="M57" t="inlineStr">
        <is>
          <t>P.Q.S.  TIPO ABC</t>
        </is>
      </c>
      <c r="N57" t="inlineStr">
        <is>
          <t>01/152571</t>
        </is>
      </c>
      <c r="O57" t="inlineStr">
        <is>
          <t>V</t>
        </is>
      </c>
      <c r="P57">
        <f>TRIM(N57)</f>
        <v/>
      </c>
    </row>
    <row r="58">
      <c r="A58" t="inlineStr">
        <is>
          <t>CO-001060</t>
        </is>
      </c>
      <c r="B58" t="inlineStr">
        <is>
          <t>JOEL TEJEDA (BAJA)</t>
        </is>
      </c>
      <c r="D58" t="inlineStr">
        <is>
          <t>MERCADO AÑO NUEVO - PUESTO 189</t>
        </is>
      </c>
      <c r="E58" t="inlineStr">
        <is>
          <t>Lima, 15 de Setiembre de 2022</t>
        </is>
      </c>
      <c r="F58" t="inlineStr">
        <is>
          <t>la Recarga y mantenimiento</t>
        </is>
      </c>
      <c r="G58" t="inlineStr">
        <is>
          <t>-</t>
        </is>
      </c>
      <c r="H58" t="inlineStr">
        <is>
          <t>06 KG</t>
        </is>
      </c>
      <c r="I58" t="inlineStr">
        <is>
          <t>VIGENTE</t>
        </is>
      </c>
      <c r="J58" t="inlineStr">
        <is>
          <t>-</t>
        </is>
      </c>
      <c r="K58" t="inlineStr">
        <is>
          <t>SETIEMBRE 2022</t>
        </is>
      </c>
      <c r="L58" t="inlineStr">
        <is>
          <t>SETIEMBRE 2023</t>
        </is>
      </c>
      <c r="M58" t="inlineStr">
        <is>
          <t>P.Q.S.  TIPO ABC</t>
        </is>
      </c>
      <c r="O58" t="inlineStr">
        <is>
          <t>R</t>
        </is>
      </c>
      <c r="P58">
        <f>TRIM(N58)</f>
        <v/>
      </c>
    </row>
    <row r="59">
      <c r="A59" t="inlineStr">
        <is>
          <t>CO-001061</t>
        </is>
      </c>
      <c r="B59" t="inlineStr">
        <is>
          <t>COMERCIAL YOLI (JUAN SAAVEDRA)</t>
        </is>
      </c>
      <c r="D59" t="inlineStr">
        <is>
          <t>MERCADO AÑO NUEVO - PUESTO 30</t>
        </is>
      </c>
      <c r="E59" t="inlineStr">
        <is>
          <t>Lima, 15 de Setiembre de 2022</t>
        </is>
      </c>
      <c r="F59" t="inlineStr">
        <is>
          <t>la venta</t>
        </is>
      </c>
      <c r="G59" t="inlineStr">
        <is>
          <t>-</t>
        </is>
      </c>
      <c r="H59" t="inlineStr">
        <is>
          <t>06 KG</t>
        </is>
      </c>
      <c r="I59" t="inlineStr">
        <is>
          <t>2027</t>
        </is>
      </c>
      <c r="J59" t="n">
        <v>2022</v>
      </c>
      <c r="K59" t="inlineStr">
        <is>
          <t>SETIEMBRE 2022</t>
        </is>
      </c>
      <c r="L59" t="inlineStr">
        <is>
          <t>SETIEMBRE 2023</t>
        </is>
      </c>
      <c r="M59" t="inlineStr">
        <is>
          <t>P.Q.S.  TIPO ABC</t>
        </is>
      </c>
      <c r="N59" t="inlineStr">
        <is>
          <t>01/367758</t>
        </is>
      </c>
      <c r="O59" t="inlineStr">
        <is>
          <t>V</t>
        </is>
      </c>
      <c r="P59">
        <f>TRIM(N59)</f>
        <v/>
      </c>
    </row>
    <row r="60">
      <c r="A60" t="inlineStr">
        <is>
          <t>CO-001062</t>
        </is>
      </c>
      <c r="B60" t="inlineStr">
        <is>
          <t>ROMAN FLORES</t>
        </is>
      </c>
      <c r="D60" t="inlineStr">
        <is>
          <t>MERCADO AÑO NUEVO - PUESTO 176</t>
        </is>
      </c>
      <c r="E60" t="inlineStr">
        <is>
          <t>Lima, 15 de Setiembre de 2022</t>
        </is>
      </c>
      <c r="F60" t="inlineStr">
        <is>
          <t>la Recarga y mantenimiento</t>
        </is>
      </c>
      <c r="G60" t="inlineStr">
        <is>
          <t>-</t>
        </is>
      </c>
      <c r="H60" t="inlineStr">
        <is>
          <t>06 KG</t>
        </is>
      </c>
      <c r="I60" t="inlineStr">
        <is>
          <t>VIGENTE</t>
        </is>
      </c>
      <c r="J60" t="inlineStr">
        <is>
          <t>-</t>
        </is>
      </c>
      <c r="K60" t="inlineStr">
        <is>
          <t>SETIEMBRE 2022</t>
        </is>
      </c>
      <c r="L60" t="inlineStr">
        <is>
          <t>SETIEMBRE 2023</t>
        </is>
      </c>
      <c r="M60" t="inlineStr">
        <is>
          <t>P.Q.S.  TIPO ABC</t>
        </is>
      </c>
      <c r="N60" t="inlineStr">
        <is>
          <t>01/001164</t>
        </is>
      </c>
      <c r="O60" t="inlineStr">
        <is>
          <t>R</t>
        </is>
      </c>
      <c r="P60">
        <f>TRIM(N60)</f>
        <v/>
      </c>
    </row>
    <row r="61">
      <c r="A61" t="inlineStr">
        <is>
          <t>CO-001063</t>
        </is>
      </c>
      <c r="B61" t="inlineStr">
        <is>
          <t>IDELSA ALVA</t>
        </is>
      </c>
      <c r="D61" t="inlineStr">
        <is>
          <t>MERCADO AÑO NUEVO - PUESTO 192</t>
        </is>
      </c>
      <c r="E61" t="inlineStr">
        <is>
          <t>Lima, 15 de Setiembre de 2022</t>
        </is>
      </c>
      <c r="F61" t="inlineStr">
        <is>
          <t>la Recarga y mantenimiento</t>
        </is>
      </c>
      <c r="G61" t="inlineStr">
        <is>
          <t>-</t>
        </is>
      </c>
      <c r="H61" t="inlineStr">
        <is>
          <t>06 KG</t>
        </is>
      </c>
      <c r="I61" t="inlineStr">
        <is>
          <t>VIGENTE</t>
        </is>
      </c>
      <c r="J61" t="inlineStr">
        <is>
          <t>-</t>
        </is>
      </c>
      <c r="K61" t="inlineStr">
        <is>
          <t>SETIEMBRE 2022</t>
        </is>
      </c>
      <c r="L61" t="inlineStr">
        <is>
          <t>SETIEMBRE 2023</t>
        </is>
      </c>
      <c r="M61" t="inlineStr">
        <is>
          <t>P.Q.S.  TIPO ABC</t>
        </is>
      </c>
      <c r="N61" t="inlineStr">
        <is>
          <t>01/002292</t>
        </is>
      </c>
      <c r="O61" t="inlineStr">
        <is>
          <t>R</t>
        </is>
      </c>
      <c r="P61">
        <f>TRIM(N61)</f>
        <v/>
      </c>
    </row>
    <row r="62">
      <c r="A62" t="inlineStr">
        <is>
          <t>CO-001064</t>
        </is>
      </c>
      <c r="B62" t="inlineStr">
        <is>
          <t>ELENA QUIÑONEZ</t>
        </is>
      </c>
      <c r="D62" t="inlineStr">
        <is>
          <t>MERCADO AÑO NUEVO - PUESTO 193</t>
        </is>
      </c>
      <c r="E62" t="inlineStr">
        <is>
          <t>Lima, 15 de Setiembre de 2022</t>
        </is>
      </c>
      <c r="F62" t="inlineStr">
        <is>
          <t>la Recarga y mantenimiento</t>
        </is>
      </c>
      <c r="G62" t="inlineStr">
        <is>
          <t>-</t>
        </is>
      </c>
      <c r="H62" t="inlineStr">
        <is>
          <t>06 KG</t>
        </is>
      </c>
      <c r="I62" t="inlineStr">
        <is>
          <t>VIGENTE</t>
        </is>
      </c>
      <c r="J62" t="inlineStr">
        <is>
          <t>-</t>
        </is>
      </c>
      <c r="K62" t="inlineStr">
        <is>
          <t>SETIEMBRE 2022</t>
        </is>
      </c>
      <c r="L62" t="inlineStr">
        <is>
          <t>SETIEMBRE 2023</t>
        </is>
      </c>
      <c r="M62" t="inlineStr">
        <is>
          <t>P.Q.S.  TIPO ABC</t>
        </is>
      </c>
      <c r="N62" t="inlineStr">
        <is>
          <t>S/N</t>
        </is>
      </c>
      <c r="O62" t="inlineStr">
        <is>
          <t>R</t>
        </is>
      </c>
      <c r="P62">
        <f>TRIM(N62)</f>
        <v/>
      </c>
    </row>
    <row r="63">
      <c r="A63" t="inlineStr">
        <is>
          <t>CO-001065</t>
        </is>
      </c>
      <c r="B63" t="inlineStr">
        <is>
          <t>ELVIRA VEGA</t>
        </is>
      </c>
      <c r="D63" t="inlineStr">
        <is>
          <t>MERCADO AÑO NUEVO - PUESTO 175</t>
        </is>
      </c>
      <c r="E63" t="inlineStr">
        <is>
          <t>Lima, 15 de Setiembre de 2022</t>
        </is>
      </c>
      <c r="F63" t="inlineStr">
        <is>
          <t>la Recarga y mantenimiento</t>
        </is>
      </c>
      <c r="G63" t="inlineStr">
        <is>
          <t>-</t>
        </is>
      </c>
      <c r="H63" t="inlineStr">
        <is>
          <t>06 KG</t>
        </is>
      </c>
      <c r="I63" t="inlineStr">
        <is>
          <t>VIGENTE</t>
        </is>
      </c>
      <c r="J63" t="inlineStr">
        <is>
          <t>-</t>
        </is>
      </c>
      <c r="K63" t="inlineStr">
        <is>
          <t>SETIEMBRE 2022</t>
        </is>
      </c>
      <c r="L63" t="inlineStr">
        <is>
          <t>SETIEMBRE 2023</t>
        </is>
      </c>
      <c r="M63" t="inlineStr">
        <is>
          <t>P.Q.S.  TIPO ABC</t>
        </is>
      </c>
      <c r="N63" t="inlineStr">
        <is>
          <t>01/000866</t>
        </is>
      </c>
      <c r="O63" t="inlineStr">
        <is>
          <t>R</t>
        </is>
      </c>
      <c r="P63">
        <f>TRIM(N63)</f>
        <v/>
      </c>
    </row>
    <row r="64">
      <c r="A64" t="inlineStr">
        <is>
          <t>CO-001066</t>
        </is>
      </c>
      <c r="B64" t="inlineStr">
        <is>
          <t>KLEVER RAMOS V.</t>
        </is>
      </c>
      <c r="D64" t="inlineStr">
        <is>
          <t>MERCADO AÑO NUEVO - PUESTO 172</t>
        </is>
      </c>
      <c r="E64" t="inlineStr">
        <is>
          <t>Lima, 15 de Setiembre de 2022</t>
        </is>
      </c>
      <c r="F64" t="inlineStr">
        <is>
          <t>la Recarga y mantenimiento</t>
        </is>
      </c>
      <c r="G64" t="inlineStr">
        <is>
          <t>-</t>
        </is>
      </c>
      <c r="H64" t="inlineStr">
        <is>
          <t>06 KG</t>
        </is>
      </c>
      <c r="I64" t="inlineStr">
        <is>
          <t>VIGENTE</t>
        </is>
      </c>
      <c r="J64" t="inlineStr">
        <is>
          <t>-</t>
        </is>
      </c>
      <c r="K64" t="inlineStr">
        <is>
          <t>SETIEMBRE 2022</t>
        </is>
      </c>
      <c r="L64" t="inlineStr">
        <is>
          <t>SETIEMBRE 2023</t>
        </is>
      </c>
      <c r="M64" t="inlineStr">
        <is>
          <t>P.Q.S.  TIPO ABC</t>
        </is>
      </c>
      <c r="N64" t="inlineStr">
        <is>
          <t>01/000176</t>
        </is>
      </c>
      <c r="O64" t="inlineStr">
        <is>
          <t>R</t>
        </is>
      </c>
      <c r="P64">
        <f>TRIM(N64)</f>
        <v/>
      </c>
    </row>
    <row r="65">
      <c r="A65" t="inlineStr">
        <is>
          <t>CO-001067</t>
        </is>
      </c>
      <c r="B65" t="inlineStr">
        <is>
          <t>HECTOR FRANCISCO</t>
        </is>
      </c>
      <c r="D65" t="inlineStr">
        <is>
          <t xml:space="preserve">MERCADO AÑO NUEVO - PUESTO 199 </t>
        </is>
      </c>
      <c r="E65" t="inlineStr">
        <is>
          <t>Lima, 15 de Setiembre de 2022</t>
        </is>
      </c>
      <c r="F65" t="inlineStr">
        <is>
          <t>la Recarga y mantenimiento</t>
        </is>
      </c>
      <c r="G65" t="inlineStr">
        <is>
          <t>-</t>
        </is>
      </c>
      <c r="H65" t="inlineStr">
        <is>
          <t>06 KG</t>
        </is>
      </c>
      <c r="I65" t="inlineStr">
        <is>
          <t>VIGENTE</t>
        </is>
      </c>
      <c r="J65" t="inlineStr">
        <is>
          <t>-</t>
        </is>
      </c>
      <c r="K65" t="inlineStr">
        <is>
          <t>SETIEMBRE 2022</t>
        </is>
      </c>
      <c r="L65" t="inlineStr">
        <is>
          <t>SETIEMBRE 2023</t>
        </is>
      </c>
      <c r="M65" t="inlineStr">
        <is>
          <t>P.Q.S.  TIPO ABC</t>
        </is>
      </c>
      <c r="N65" t="inlineStr">
        <is>
          <t>01/000286</t>
        </is>
      </c>
      <c r="O65" t="inlineStr">
        <is>
          <t>R</t>
        </is>
      </c>
      <c r="P65">
        <f>TRIM(N65)</f>
        <v/>
      </c>
    </row>
    <row r="66">
      <c r="A66" t="inlineStr">
        <is>
          <t>CO-001068</t>
        </is>
      </c>
      <c r="B66" t="inlineStr">
        <is>
          <t>LIDIA AYALA</t>
        </is>
      </c>
      <c r="D66" t="inlineStr">
        <is>
          <t>MERCADO AÑO NUEVO - PUESTO 200</t>
        </is>
      </c>
      <c r="E66" t="inlineStr">
        <is>
          <t>Lima, 15 de Setiembre de 2022</t>
        </is>
      </c>
      <c r="F66" t="inlineStr">
        <is>
          <t>la Recarga y mantenimiento</t>
        </is>
      </c>
      <c r="G66" t="inlineStr">
        <is>
          <t>-</t>
        </is>
      </c>
      <c r="H66" t="inlineStr">
        <is>
          <t>06 KG</t>
        </is>
      </c>
      <c r="I66" t="inlineStr">
        <is>
          <t>VIGENTE</t>
        </is>
      </c>
      <c r="J66" t="inlineStr">
        <is>
          <t>-</t>
        </is>
      </c>
      <c r="K66" t="inlineStr">
        <is>
          <t>SETIEMBRE 2022</t>
        </is>
      </c>
      <c r="L66" t="inlineStr">
        <is>
          <t>SETIEMBRE 2023</t>
        </is>
      </c>
      <c r="M66" t="inlineStr">
        <is>
          <t>P.Q.S.  TIPO ABC</t>
        </is>
      </c>
      <c r="N66" t="inlineStr">
        <is>
          <t>01/000115</t>
        </is>
      </c>
      <c r="O66" t="inlineStr">
        <is>
          <t>R</t>
        </is>
      </c>
      <c r="P66">
        <f>TRIM(N66)</f>
        <v/>
      </c>
    </row>
    <row r="67">
      <c r="A67" t="inlineStr">
        <is>
          <t>CO-001069</t>
        </is>
      </c>
      <c r="B67" t="inlineStr">
        <is>
          <t>BIDANGO CAMACHO</t>
        </is>
      </c>
      <c r="D67" t="inlineStr">
        <is>
          <t>MERCADO AÑO NUEVO - PUESTO 205</t>
        </is>
      </c>
      <c r="E67" t="inlineStr">
        <is>
          <t>Lima, 15 de Setiembre de 2022</t>
        </is>
      </c>
      <c r="F67" t="inlineStr">
        <is>
          <t>la venta</t>
        </is>
      </c>
      <c r="G67" t="inlineStr">
        <is>
          <t>-</t>
        </is>
      </c>
      <c r="H67" t="inlineStr">
        <is>
          <t>06 KG</t>
        </is>
      </c>
      <c r="I67" t="inlineStr">
        <is>
          <t>2027</t>
        </is>
      </c>
      <c r="J67" t="n">
        <v>2022</v>
      </c>
      <c r="K67" t="inlineStr">
        <is>
          <t>SETIEMBRE 2022</t>
        </is>
      </c>
      <c r="L67" t="inlineStr">
        <is>
          <t>SETIEMBRE 2023</t>
        </is>
      </c>
      <c r="M67" t="inlineStr">
        <is>
          <t>P.Q.S.  TIPO ABC</t>
        </is>
      </c>
      <c r="N67" t="inlineStr">
        <is>
          <t>01/307193</t>
        </is>
      </c>
      <c r="O67" t="inlineStr">
        <is>
          <t>V</t>
        </is>
      </c>
      <c r="P67">
        <f>TRIM(N67)</f>
        <v/>
      </c>
    </row>
    <row r="68">
      <c r="A68" t="inlineStr">
        <is>
          <t>CO-001070</t>
        </is>
      </c>
      <c r="B68" t="inlineStr">
        <is>
          <t>HARLIN ACUÑA</t>
        </is>
      </c>
      <c r="D68" t="inlineStr">
        <is>
          <t>MERCADO AÑO NUEVO - PUESTO 227</t>
        </is>
      </c>
      <c r="E68" t="inlineStr">
        <is>
          <t>Lima, 15 de Setiembre de 2022</t>
        </is>
      </c>
      <c r="F68" t="inlineStr">
        <is>
          <t>la Recarga y mantenimiento</t>
        </is>
      </c>
      <c r="G68" t="inlineStr">
        <is>
          <t>-</t>
        </is>
      </c>
      <c r="H68" t="inlineStr">
        <is>
          <t>06 KG</t>
        </is>
      </c>
      <c r="I68" t="inlineStr">
        <is>
          <t>VIGENTE</t>
        </is>
      </c>
      <c r="J68" t="inlineStr">
        <is>
          <t>-</t>
        </is>
      </c>
      <c r="K68" t="inlineStr">
        <is>
          <t>SETIEMBRE 2022</t>
        </is>
      </c>
      <c r="L68" t="inlineStr">
        <is>
          <t>SETIEMBRE 2023</t>
        </is>
      </c>
      <c r="M68" t="inlineStr">
        <is>
          <t>P.Q.S.  TIPO ABC</t>
        </is>
      </c>
      <c r="N68" t="inlineStr">
        <is>
          <t>01/000992</t>
        </is>
      </c>
      <c r="O68" t="inlineStr">
        <is>
          <t>R</t>
        </is>
      </c>
      <c r="P68">
        <f>TRIM(N68)</f>
        <v/>
      </c>
    </row>
    <row r="69">
      <c r="A69" t="inlineStr">
        <is>
          <t>CO-001071</t>
        </is>
      </c>
      <c r="B69" t="inlineStr">
        <is>
          <t>MIGUEL ROJAS</t>
        </is>
      </c>
      <c r="D69" t="inlineStr">
        <is>
          <t>MERCADO AÑO NUEVO - PUESTO 207</t>
        </is>
      </c>
      <c r="E69" t="inlineStr">
        <is>
          <t>Lima, 15 de Setiembre de 2022</t>
        </is>
      </c>
      <c r="F69" t="inlineStr">
        <is>
          <t>la Recarga y mantenimiento</t>
        </is>
      </c>
      <c r="G69" t="inlineStr">
        <is>
          <t>-</t>
        </is>
      </c>
      <c r="H69" t="inlineStr">
        <is>
          <t>06 KG</t>
        </is>
      </c>
      <c r="I69" t="inlineStr">
        <is>
          <t>VIGENTE</t>
        </is>
      </c>
      <c r="J69" t="inlineStr">
        <is>
          <t>-</t>
        </is>
      </c>
      <c r="K69" t="inlineStr">
        <is>
          <t>SETIEMBRE 2022</t>
        </is>
      </c>
      <c r="L69" t="inlineStr">
        <is>
          <t>SETIEMBRE 2023</t>
        </is>
      </c>
      <c r="M69" t="inlineStr">
        <is>
          <t>P.Q.S.  TIPO ABC</t>
        </is>
      </c>
      <c r="N69" t="inlineStr">
        <is>
          <t>01/0000005</t>
        </is>
      </c>
      <c r="O69" t="inlineStr">
        <is>
          <t>R</t>
        </is>
      </c>
      <c r="P69">
        <f>TRIM(N69)</f>
        <v/>
      </c>
    </row>
    <row r="70">
      <c r="A70" t="inlineStr">
        <is>
          <t>CO-001072</t>
        </is>
      </c>
      <c r="B70" t="inlineStr">
        <is>
          <t>KARINA FALERO</t>
        </is>
      </c>
      <c r="D70" t="inlineStr">
        <is>
          <t>MERCADO AÑO NUEVO - PUESTO 226</t>
        </is>
      </c>
      <c r="E70" t="inlineStr">
        <is>
          <t>Lima, 15 de Setiembre de 2022</t>
        </is>
      </c>
      <c r="F70" t="inlineStr">
        <is>
          <t>la Recarga y mantenimiento</t>
        </is>
      </c>
      <c r="G70" t="inlineStr">
        <is>
          <t>-</t>
        </is>
      </c>
      <c r="H70" t="inlineStr">
        <is>
          <t>06 KG</t>
        </is>
      </c>
      <c r="I70" t="inlineStr">
        <is>
          <t>VIGENTE</t>
        </is>
      </c>
      <c r="J70" t="inlineStr">
        <is>
          <t>-</t>
        </is>
      </c>
      <c r="K70" t="inlineStr">
        <is>
          <t>SETIEMBRE 2022</t>
        </is>
      </c>
      <c r="L70" t="inlineStr">
        <is>
          <t>SETIEMBRE 2023</t>
        </is>
      </c>
      <c r="M70" t="inlineStr">
        <is>
          <t>P.Q.S.  TIPO ABC</t>
        </is>
      </c>
      <c r="N70" t="inlineStr">
        <is>
          <t>01/002052</t>
        </is>
      </c>
      <c r="O70" t="inlineStr">
        <is>
          <t>R</t>
        </is>
      </c>
      <c r="P70">
        <f>TRIM(N70)</f>
        <v/>
      </c>
    </row>
    <row r="71">
      <c r="A71" t="inlineStr">
        <is>
          <t>CO-001073</t>
        </is>
      </c>
      <c r="B71" t="inlineStr">
        <is>
          <t>LUIS MELCHOR</t>
        </is>
      </c>
      <c r="D71" t="inlineStr">
        <is>
          <t>MERCADO AÑO NUEVO - PUESTO 225</t>
        </is>
      </c>
      <c r="E71" t="inlineStr">
        <is>
          <t>Lima, 15 de Setiembre de 2022</t>
        </is>
      </c>
      <c r="F71" t="inlineStr">
        <is>
          <t>la Recarga y mantenimiento</t>
        </is>
      </c>
      <c r="G71" t="inlineStr">
        <is>
          <t>-</t>
        </is>
      </c>
      <c r="H71" t="inlineStr">
        <is>
          <t>06 KG</t>
        </is>
      </c>
      <c r="I71" t="inlineStr">
        <is>
          <t>VIGENTE</t>
        </is>
      </c>
      <c r="J71" t="inlineStr">
        <is>
          <t>-</t>
        </is>
      </c>
      <c r="K71" t="inlineStr">
        <is>
          <t>SETIEMBRE 2022</t>
        </is>
      </c>
      <c r="L71" t="inlineStr">
        <is>
          <t>SETIEMBRE 2023</t>
        </is>
      </c>
      <c r="M71" t="inlineStr">
        <is>
          <t>P.Q.S.  TIPO ABC</t>
        </is>
      </c>
      <c r="N71" t="inlineStr">
        <is>
          <t>S/N</t>
        </is>
      </c>
      <c r="O71" t="inlineStr">
        <is>
          <t>R</t>
        </is>
      </c>
      <c r="P71">
        <f>TRIM(N71)</f>
        <v/>
      </c>
    </row>
    <row r="72">
      <c r="A72" t="inlineStr">
        <is>
          <t>CO-001074</t>
        </is>
      </c>
      <c r="B72" t="inlineStr">
        <is>
          <t>YOLANDA ALMORA</t>
        </is>
      </c>
      <c r="D72" t="inlineStr">
        <is>
          <t>MERCADO AÑO NUEVO - PUESTO 208</t>
        </is>
      </c>
      <c r="E72" t="inlineStr">
        <is>
          <t>Lima, 15 de Setiembre de 2022</t>
        </is>
      </c>
      <c r="F72" t="inlineStr">
        <is>
          <t>la Recarga y mantenimiento</t>
        </is>
      </c>
      <c r="G72" t="inlineStr">
        <is>
          <t>-</t>
        </is>
      </c>
      <c r="H72" t="inlineStr">
        <is>
          <t>06 KG</t>
        </is>
      </c>
      <c r="I72" t="inlineStr">
        <is>
          <t>VIGENTE</t>
        </is>
      </c>
      <c r="J72" t="inlineStr">
        <is>
          <t>-</t>
        </is>
      </c>
      <c r="K72" t="inlineStr">
        <is>
          <t>SETIEMBRE 2022</t>
        </is>
      </c>
      <c r="L72" t="inlineStr">
        <is>
          <t>SETIEMBRE 2023</t>
        </is>
      </c>
      <c r="M72" t="inlineStr">
        <is>
          <t>P.Q.S.  TIPO ABC</t>
        </is>
      </c>
      <c r="N72" t="inlineStr">
        <is>
          <t>01/000150</t>
        </is>
      </c>
      <c r="O72" t="inlineStr">
        <is>
          <t>R</t>
        </is>
      </c>
      <c r="P72">
        <f>TRIM(N72)</f>
        <v/>
      </c>
    </row>
    <row r="73">
      <c r="A73" t="inlineStr">
        <is>
          <t>CO-001075</t>
        </is>
      </c>
      <c r="B73" t="inlineStr">
        <is>
          <t>PERCY QUISPE</t>
        </is>
      </c>
      <c r="D73" t="inlineStr">
        <is>
          <t>MERCADO AÑO NUEVO - PUESTO 209</t>
        </is>
      </c>
      <c r="E73" t="inlineStr">
        <is>
          <t>Lima, 15 de Setiembre de 2022</t>
        </is>
      </c>
      <c r="F73" t="inlineStr">
        <is>
          <t>la Recarga y mantenimiento</t>
        </is>
      </c>
      <c r="G73" t="inlineStr">
        <is>
          <t>-</t>
        </is>
      </c>
      <c r="H73" t="inlineStr">
        <is>
          <t>06 KG</t>
        </is>
      </c>
      <c r="I73" t="inlineStr">
        <is>
          <t>VIGENTE</t>
        </is>
      </c>
      <c r="J73" t="inlineStr">
        <is>
          <t>-</t>
        </is>
      </c>
      <c r="K73" t="inlineStr">
        <is>
          <t>SETIEMBRE 2022</t>
        </is>
      </c>
      <c r="L73" t="inlineStr">
        <is>
          <t>SETIEMBRE 2023</t>
        </is>
      </c>
      <c r="M73" t="inlineStr">
        <is>
          <t>P.Q.S.  TIPO ABC</t>
        </is>
      </c>
      <c r="N73" t="inlineStr">
        <is>
          <t>01/007493</t>
        </is>
      </c>
      <c r="O73" t="inlineStr">
        <is>
          <t>R</t>
        </is>
      </c>
      <c r="P73">
        <f>TRIM(N73)</f>
        <v/>
      </c>
    </row>
    <row r="74">
      <c r="A74" t="inlineStr">
        <is>
          <t>CO-001076</t>
        </is>
      </c>
      <c r="B74" t="inlineStr">
        <is>
          <t>JOSE LEON</t>
        </is>
      </c>
      <c r="D74" t="inlineStr">
        <is>
          <t>MERCADO AÑO NUEVO - PUESTO 224</t>
        </is>
      </c>
      <c r="E74" t="inlineStr">
        <is>
          <t>Lima, 15 de Setiembre de 2022</t>
        </is>
      </c>
      <c r="F74" t="inlineStr">
        <is>
          <t>la Recarga y mantenimiento</t>
        </is>
      </c>
      <c r="G74" t="inlineStr">
        <is>
          <t>-</t>
        </is>
      </c>
      <c r="H74" t="inlineStr">
        <is>
          <t>06 KG</t>
        </is>
      </c>
      <c r="I74" t="inlineStr">
        <is>
          <t>VIGENTE</t>
        </is>
      </c>
      <c r="J74" t="inlineStr">
        <is>
          <t>-</t>
        </is>
      </c>
      <c r="K74" t="inlineStr">
        <is>
          <t>SETIEMBRE 2022</t>
        </is>
      </c>
      <c r="L74" t="inlineStr">
        <is>
          <t>SETIEMBRE 2023</t>
        </is>
      </c>
      <c r="M74" t="inlineStr">
        <is>
          <t>P.Q.S.  TIPO ABC</t>
        </is>
      </c>
      <c r="N74" t="inlineStr">
        <is>
          <t>S/N</t>
        </is>
      </c>
      <c r="O74" t="inlineStr">
        <is>
          <t>R</t>
        </is>
      </c>
      <c r="P74">
        <f>TRIM(N74)</f>
        <v/>
      </c>
    </row>
    <row r="75">
      <c r="A75" t="inlineStr">
        <is>
          <t>CO-001077</t>
        </is>
      </c>
      <c r="B75" t="inlineStr">
        <is>
          <t>ALEXANDER FALLAN</t>
        </is>
      </c>
      <c r="D75" t="inlineStr">
        <is>
          <t>MERCADO AÑO NUEVO - PUESTO 222</t>
        </is>
      </c>
      <c r="E75" t="inlineStr">
        <is>
          <t>Lima, 15 de Setiembre de 2022</t>
        </is>
      </c>
      <c r="F75" t="inlineStr">
        <is>
          <t>la Recarga y mantenimiento</t>
        </is>
      </c>
      <c r="G75" t="inlineStr">
        <is>
          <t>-</t>
        </is>
      </c>
      <c r="H75" t="inlineStr">
        <is>
          <t>06 KG</t>
        </is>
      </c>
      <c r="I75" t="inlineStr">
        <is>
          <t>VIGENTE</t>
        </is>
      </c>
      <c r="J75" t="inlineStr">
        <is>
          <t>-</t>
        </is>
      </c>
      <c r="K75" t="inlineStr">
        <is>
          <t>SETIEMBRE 2022</t>
        </is>
      </c>
      <c r="L75" t="inlineStr">
        <is>
          <t>SETIEMBRE 2023</t>
        </is>
      </c>
      <c r="M75" t="inlineStr">
        <is>
          <t>P.Q.S.  TIPO ABC</t>
        </is>
      </c>
      <c r="N75" t="inlineStr">
        <is>
          <t>S/N</t>
        </is>
      </c>
      <c r="O75" t="inlineStr">
        <is>
          <t>R</t>
        </is>
      </c>
      <c r="P75">
        <f>TRIM(N75)</f>
        <v/>
      </c>
    </row>
    <row r="76">
      <c r="A76" t="inlineStr">
        <is>
          <t>CO-001078</t>
        </is>
      </c>
      <c r="B76" t="inlineStr">
        <is>
          <t>GUILLERMO ROJAS</t>
        </is>
      </c>
      <c r="D76" t="inlineStr">
        <is>
          <t>MERCADO AÑO NUEVO - PUESTO 221</t>
        </is>
      </c>
      <c r="E76" t="inlineStr">
        <is>
          <t>Lima, 15 de Setiembre de 2022</t>
        </is>
      </c>
      <c r="F76" t="inlineStr">
        <is>
          <t>la Recarga y mantenimiento</t>
        </is>
      </c>
      <c r="G76" t="inlineStr">
        <is>
          <t>-</t>
        </is>
      </c>
      <c r="H76" t="inlineStr">
        <is>
          <t>04KG</t>
        </is>
      </c>
      <c r="I76" t="inlineStr">
        <is>
          <t>VIGENTE</t>
        </is>
      </c>
      <c r="J76" t="inlineStr">
        <is>
          <t>-</t>
        </is>
      </c>
      <c r="K76" t="inlineStr">
        <is>
          <t>SETIEMBRE 2022</t>
        </is>
      </c>
      <c r="L76" t="inlineStr">
        <is>
          <t>SETIEMBRE 2023</t>
        </is>
      </c>
      <c r="M76" t="inlineStr">
        <is>
          <t>P.Q.S.  TIPO ABC</t>
        </is>
      </c>
      <c r="N76" t="inlineStr">
        <is>
          <t>S/N</t>
        </is>
      </c>
      <c r="O76" t="inlineStr">
        <is>
          <t>R</t>
        </is>
      </c>
      <c r="P76">
        <f>TRIM(N76)</f>
        <v/>
      </c>
    </row>
    <row r="77">
      <c r="A77" t="inlineStr">
        <is>
          <t>CO-001079</t>
        </is>
      </c>
      <c r="B77" t="inlineStr">
        <is>
          <t>JUAN GONZALES</t>
        </is>
      </c>
      <c r="D77" t="inlineStr">
        <is>
          <t>MERCADO AÑO NUEVO - PUESTO 212</t>
        </is>
      </c>
      <c r="E77" t="inlineStr">
        <is>
          <t>Lima, 15 de Setiembre de 2022</t>
        </is>
      </c>
      <c r="F77" t="inlineStr">
        <is>
          <t>la Recarga y mantenimiento</t>
        </is>
      </c>
      <c r="G77" t="inlineStr">
        <is>
          <t>-</t>
        </is>
      </c>
      <c r="H77" t="inlineStr">
        <is>
          <t>06 KG</t>
        </is>
      </c>
      <c r="I77" t="inlineStr">
        <is>
          <t>VIGENTE</t>
        </is>
      </c>
      <c r="J77" t="inlineStr">
        <is>
          <t>-</t>
        </is>
      </c>
      <c r="K77" t="inlineStr">
        <is>
          <t>SETIEMBRE 2022</t>
        </is>
      </c>
      <c r="L77" t="inlineStr">
        <is>
          <t>SETIEMBRE 2023</t>
        </is>
      </c>
      <c r="M77" t="inlineStr">
        <is>
          <t>P.Q.S.  TIPO ABC</t>
        </is>
      </c>
      <c r="N77" t="inlineStr">
        <is>
          <t>01/000182</t>
        </is>
      </c>
      <c r="O77" t="inlineStr">
        <is>
          <t>R</t>
        </is>
      </c>
      <c r="P77">
        <f>TRIM(N77)</f>
        <v/>
      </c>
    </row>
    <row r="78">
      <c r="A78" t="inlineStr">
        <is>
          <t>CO-001080</t>
        </is>
      </c>
      <c r="B78" t="inlineStr">
        <is>
          <t>HUGO EZEQUIEL</t>
        </is>
      </c>
      <c r="D78" t="inlineStr">
        <is>
          <t>MERCADO AÑO NUEVO - PUESTO 219</t>
        </is>
      </c>
      <c r="E78" t="inlineStr">
        <is>
          <t>Lima, 15 de Setiembre de 2022</t>
        </is>
      </c>
      <c r="F78" t="inlineStr">
        <is>
          <t>la Recarga y mantenimiento</t>
        </is>
      </c>
      <c r="G78" t="inlineStr">
        <is>
          <t>-</t>
        </is>
      </c>
      <c r="H78" t="inlineStr">
        <is>
          <t>06 KG</t>
        </is>
      </c>
      <c r="I78" t="inlineStr">
        <is>
          <t>VIGENTE</t>
        </is>
      </c>
      <c r="J78" t="n">
        <v>2015</v>
      </c>
      <c r="K78" t="inlineStr">
        <is>
          <t>SETIEMBRE 2022</t>
        </is>
      </c>
      <c r="L78" t="inlineStr">
        <is>
          <t>SETIEMBRE 2023</t>
        </is>
      </c>
      <c r="M78" t="inlineStr">
        <is>
          <t>P.Q.S.  TIPO ABC</t>
        </is>
      </c>
      <c r="N78" t="inlineStr">
        <is>
          <t>01/000001</t>
        </is>
      </c>
      <c r="O78" t="inlineStr">
        <is>
          <t>R</t>
        </is>
      </c>
      <c r="P78">
        <f>TRIM(N78)</f>
        <v/>
      </c>
    </row>
    <row r="79">
      <c r="A79" t="inlineStr">
        <is>
          <t>CO-001081</t>
        </is>
      </c>
      <c r="B79" t="inlineStr">
        <is>
          <t>LAURA CARDENAS</t>
        </is>
      </c>
      <c r="D79" t="inlineStr">
        <is>
          <t>MERCADO AÑO NUEVO - PUESTO 215</t>
        </is>
      </c>
      <c r="E79" t="inlineStr">
        <is>
          <t>Lima, 15 de Setiembre de 2022</t>
        </is>
      </c>
      <c r="F79" t="inlineStr">
        <is>
          <t>la Recarga y mantenimiento</t>
        </is>
      </c>
      <c r="G79" t="inlineStr">
        <is>
          <t>-</t>
        </is>
      </c>
      <c r="H79" t="inlineStr">
        <is>
          <t>06 KG</t>
        </is>
      </c>
      <c r="I79" t="inlineStr">
        <is>
          <t>VIGENTE</t>
        </is>
      </c>
      <c r="J79" t="inlineStr">
        <is>
          <t>-</t>
        </is>
      </c>
      <c r="K79" t="inlineStr">
        <is>
          <t>SETIEMBRE 2022</t>
        </is>
      </c>
      <c r="L79" t="inlineStr">
        <is>
          <t>SETIEMBRE 2023</t>
        </is>
      </c>
      <c r="M79" t="inlineStr">
        <is>
          <t>P.Q.S.  TIPO ABC</t>
        </is>
      </c>
      <c r="N79" t="inlineStr">
        <is>
          <t>01/002215</t>
        </is>
      </c>
      <c r="O79" t="inlineStr">
        <is>
          <t>R</t>
        </is>
      </c>
      <c r="P79">
        <f>TRIM(N79)</f>
        <v/>
      </c>
    </row>
    <row r="80">
      <c r="A80" t="inlineStr">
        <is>
          <t>CO-001082</t>
        </is>
      </c>
      <c r="B80" t="inlineStr">
        <is>
          <t>EDISON CABELLO</t>
        </is>
      </c>
      <c r="D80" t="inlineStr">
        <is>
          <t>MERCADO AÑO NUEVO - PUESTO 217</t>
        </is>
      </c>
      <c r="E80" t="inlineStr">
        <is>
          <t>Lima, 15 de Setiembre de 2022</t>
        </is>
      </c>
      <c r="F80" t="inlineStr">
        <is>
          <t>la Recarga y mantenimiento</t>
        </is>
      </c>
      <c r="G80" t="inlineStr">
        <is>
          <t>-</t>
        </is>
      </c>
      <c r="H80" t="inlineStr">
        <is>
          <t>06 KG</t>
        </is>
      </c>
      <c r="I80" t="inlineStr">
        <is>
          <t>VIGENTE</t>
        </is>
      </c>
      <c r="J80" t="inlineStr">
        <is>
          <t>-</t>
        </is>
      </c>
      <c r="K80" t="inlineStr">
        <is>
          <t>SETIEMBRE 2022</t>
        </is>
      </c>
      <c r="L80" t="inlineStr">
        <is>
          <t>SETIEMBRE 2023</t>
        </is>
      </c>
      <c r="M80" t="inlineStr">
        <is>
          <t>P.Q.S.  TIPO ABC</t>
        </is>
      </c>
      <c r="N80" t="inlineStr">
        <is>
          <t>09/000007</t>
        </is>
      </c>
      <c r="O80" t="inlineStr">
        <is>
          <t>R</t>
        </is>
      </c>
      <c r="P80">
        <f>TRIM(N80)</f>
        <v/>
      </c>
    </row>
    <row r="81">
      <c r="A81" t="inlineStr">
        <is>
          <t>CO-001083</t>
        </is>
      </c>
      <c r="B81" t="inlineStr">
        <is>
          <t>LEINA ROJAS P.</t>
        </is>
      </c>
      <c r="D81" t="inlineStr">
        <is>
          <t>MERCADO AÑO NUEVO - PUESTO 249</t>
        </is>
      </c>
      <c r="E81" t="inlineStr">
        <is>
          <t>Lima, 15 de Setiembre de 2022</t>
        </is>
      </c>
      <c r="F81" t="inlineStr">
        <is>
          <t>la Recarga y mantenimiento</t>
        </is>
      </c>
      <c r="G81" t="inlineStr">
        <is>
          <t>-</t>
        </is>
      </c>
      <c r="H81" t="inlineStr">
        <is>
          <t>06 KG</t>
        </is>
      </c>
      <c r="I81" t="inlineStr">
        <is>
          <t>VIGENTE</t>
        </is>
      </c>
      <c r="J81" t="inlineStr">
        <is>
          <t>-</t>
        </is>
      </c>
      <c r="K81" t="inlineStr">
        <is>
          <t>SETIEMBRE 2022</t>
        </is>
      </c>
      <c r="L81" t="inlineStr">
        <is>
          <t>SETIEMBRE 2023</t>
        </is>
      </c>
      <c r="M81" t="inlineStr">
        <is>
          <t>P.Q.S.  TIPO ABC</t>
        </is>
      </c>
      <c r="N81" t="inlineStr">
        <is>
          <t>01/000417</t>
        </is>
      </c>
      <c r="O81" t="inlineStr">
        <is>
          <t>R</t>
        </is>
      </c>
      <c r="P81">
        <f>TRIM(N81)</f>
        <v/>
      </c>
    </row>
    <row r="82">
      <c r="A82" t="inlineStr">
        <is>
          <t>CO-001084</t>
        </is>
      </c>
      <c r="B82" t="inlineStr">
        <is>
          <t>ROXANA VASQUEZ</t>
        </is>
      </c>
      <c r="D82" t="inlineStr">
        <is>
          <t>MERCADO AÑO NUEVO - PUESTO 246</t>
        </is>
      </c>
      <c r="E82" t="inlineStr">
        <is>
          <t>Lima, 15 de Setiembre de 2022</t>
        </is>
      </c>
      <c r="F82" t="inlineStr">
        <is>
          <t>la Recarga y mantenimiento</t>
        </is>
      </c>
      <c r="G82" t="inlineStr">
        <is>
          <t>-</t>
        </is>
      </c>
      <c r="H82" t="inlineStr">
        <is>
          <t>06 KG</t>
        </is>
      </c>
      <c r="I82" t="inlineStr">
        <is>
          <t>VIGENTE</t>
        </is>
      </c>
      <c r="J82" t="inlineStr">
        <is>
          <t>-</t>
        </is>
      </c>
      <c r="K82" t="inlineStr">
        <is>
          <t>SETIEMBRE 2022</t>
        </is>
      </c>
      <c r="L82" t="inlineStr">
        <is>
          <t>SETIEMBRE 2023</t>
        </is>
      </c>
      <c r="M82" t="inlineStr">
        <is>
          <t>P.Q.S.  TIPO ABC</t>
        </is>
      </c>
      <c r="N82" t="inlineStr">
        <is>
          <t>01/001156</t>
        </is>
      </c>
      <c r="O82" t="inlineStr">
        <is>
          <t>R</t>
        </is>
      </c>
      <c r="P82">
        <f>TRIM(N82)</f>
        <v/>
      </c>
    </row>
    <row r="83">
      <c r="A83" t="inlineStr">
        <is>
          <t>CO-001085</t>
        </is>
      </c>
      <c r="B83" t="inlineStr">
        <is>
          <t>LIZ PRIETO</t>
        </is>
      </c>
      <c r="D83" t="inlineStr">
        <is>
          <t>MERCADO AÑO NUEVO - PUESTO 244</t>
        </is>
      </c>
      <c r="E83" t="inlineStr">
        <is>
          <t>Lima, 15 de Setiembre de 2022</t>
        </is>
      </c>
      <c r="F83" t="inlineStr">
        <is>
          <t>la Recarga y mantenimiento</t>
        </is>
      </c>
      <c r="G83" t="inlineStr">
        <is>
          <t>-</t>
        </is>
      </c>
      <c r="H83" t="inlineStr">
        <is>
          <t>04 KG</t>
        </is>
      </c>
      <c r="I83" t="inlineStr">
        <is>
          <t>VIGENTE</t>
        </is>
      </c>
      <c r="J83" t="inlineStr">
        <is>
          <t>-</t>
        </is>
      </c>
      <c r="K83" t="inlineStr">
        <is>
          <t>SETIEMBRE 2022</t>
        </is>
      </c>
      <c r="L83" t="inlineStr">
        <is>
          <t>SETIEMBRE 2023</t>
        </is>
      </c>
      <c r="M83" t="inlineStr">
        <is>
          <t>P.Q.S.  TIPO ABC</t>
        </is>
      </c>
      <c r="N83" t="inlineStr">
        <is>
          <t>01/002446</t>
        </is>
      </c>
      <c r="O83" t="inlineStr">
        <is>
          <t>R</t>
        </is>
      </c>
      <c r="P83">
        <f>TRIM(N83)</f>
        <v/>
      </c>
    </row>
    <row r="84">
      <c r="A84" t="inlineStr">
        <is>
          <t>CO-001086</t>
        </is>
      </c>
      <c r="B84" t="inlineStr">
        <is>
          <t>CARLOS CABRERA</t>
        </is>
      </c>
      <c r="D84" t="inlineStr">
        <is>
          <t>MERCADO AÑO NUEVO - PUESTO 241</t>
        </is>
      </c>
      <c r="E84" t="inlineStr">
        <is>
          <t>Lima, 15 de Setiembre de 2022</t>
        </is>
      </c>
      <c r="F84" t="inlineStr">
        <is>
          <t>la Recarga y mantenimiento</t>
        </is>
      </c>
      <c r="G84" t="inlineStr">
        <is>
          <t>-</t>
        </is>
      </c>
      <c r="H84" t="inlineStr">
        <is>
          <t>06 KG</t>
        </is>
      </c>
      <c r="I84" t="inlineStr">
        <is>
          <t>VIGENTE</t>
        </is>
      </c>
      <c r="J84" t="inlineStr">
        <is>
          <t>-</t>
        </is>
      </c>
      <c r="K84" t="inlineStr">
        <is>
          <t>SETIEMBRE 2022</t>
        </is>
      </c>
      <c r="L84" t="inlineStr">
        <is>
          <t>SETIEMBRE 2023</t>
        </is>
      </c>
      <c r="M84" t="inlineStr">
        <is>
          <t>P.Q.S.  TIPO ABC</t>
        </is>
      </c>
      <c r="N84" t="inlineStr">
        <is>
          <t>01/000254</t>
        </is>
      </c>
      <c r="O84" t="inlineStr">
        <is>
          <t>R</t>
        </is>
      </c>
      <c r="P84">
        <f>TRIM(N84)</f>
        <v/>
      </c>
    </row>
    <row r="85">
      <c r="A85" t="inlineStr">
        <is>
          <t>CO-001087</t>
        </is>
      </c>
      <c r="B85" t="inlineStr">
        <is>
          <t>CARMEN AGUIRRE</t>
        </is>
      </c>
      <c r="D85" t="inlineStr">
        <is>
          <t>MERCADO AÑO NUEVO - PUESTO 240</t>
        </is>
      </c>
      <c r="E85" t="inlineStr">
        <is>
          <t>Lima, 15 de Setiembre de 2022</t>
        </is>
      </c>
      <c r="F85" t="inlineStr">
        <is>
          <t>la Recarga y mantenimiento</t>
        </is>
      </c>
      <c r="G85" t="inlineStr">
        <is>
          <t>-</t>
        </is>
      </c>
      <c r="H85" t="inlineStr">
        <is>
          <t>06 KG</t>
        </is>
      </c>
      <c r="I85" t="inlineStr">
        <is>
          <t>VIGENTE</t>
        </is>
      </c>
      <c r="J85" t="inlineStr">
        <is>
          <t>-</t>
        </is>
      </c>
      <c r="K85" t="inlineStr">
        <is>
          <t>SETIEMBRE 2022</t>
        </is>
      </c>
      <c r="L85" t="inlineStr">
        <is>
          <t>SETIEMBRE 2023</t>
        </is>
      </c>
      <c r="M85" t="inlineStr">
        <is>
          <t>P.Q.S.  TIPO ABC</t>
        </is>
      </c>
      <c r="N85" t="inlineStr">
        <is>
          <t>01/000301</t>
        </is>
      </c>
      <c r="O85" t="inlineStr">
        <is>
          <t>R</t>
        </is>
      </c>
      <c r="P85">
        <f>TRIM(N85)</f>
        <v/>
      </c>
    </row>
    <row r="86">
      <c r="A86" t="inlineStr">
        <is>
          <t>CO-001088</t>
        </is>
      </c>
      <c r="B86" t="inlineStr">
        <is>
          <t>JAVIER HANCCO</t>
        </is>
      </c>
      <c r="D86" t="inlineStr">
        <is>
          <t>MERCADO AÑO NUEVO - PUESTO 235</t>
        </is>
      </c>
      <c r="E86" t="inlineStr">
        <is>
          <t>Lima, 15 de Setiembre de 2022</t>
        </is>
      </c>
      <c r="F86" t="inlineStr">
        <is>
          <t>la Recarga y mantenimiento</t>
        </is>
      </c>
      <c r="G86" t="inlineStr">
        <is>
          <t>-</t>
        </is>
      </c>
      <c r="H86" t="inlineStr">
        <is>
          <t>04 KG</t>
        </is>
      </c>
      <c r="I86" t="inlineStr">
        <is>
          <t>VIGENTE</t>
        </is>
      </c>
      <c r="J86" t="inlineStr">
        <is>
          <t>-</t>
        </is>
      </c>
      <c r="K86" t="inlineStr">
        <is>
          <t>SETIEMBRE 2022</t>
        </is>
      </c>
      <c r="L86" t="inlineStr">
        <is>
          <t>SETIEMBRE 2023</t>
        </is>
      </c>
      <c r="M86" t="inlineStr">
        <is>
          <t>P.Q.S.  TIPO ABC</t>
        </is>
      </c>
      <c r="N86" t="inlineStr">
        <is>
          <t>01/000847</t>
        </is>
      </c>
      <c r="O86" t="inlineStr">
        <is>
          <t>R</t>
        </is>
      </c>
      <c r="P86">
        <f>TRIM(N86)</f>
        <v/>
      </c>
    </row>
    <row r="87">
      <c r="A87" t="inlineStr">
        <is>
          <t>CO-001089</t>
        </is>
      </c>
      <c r="B87" t="inlineStr">
        <is>
          <t>TERESA CALDERON</t>
        </is>
      </c>
      <c r="D87" t="inlineStr">
        <is>
          <t>MERCADO AÑO NUEVO - PUESTO 234</t>
        </is>
      </c>
      <c r="E87" t="inlineStr">
        <is>
          <t>Lima, 15 de Setiembre de 2022</t>
        </is>
      </c>
      <c r="F87" t="inlineStr">
        <is>
          <t>la Recarga y mantenimiento</t>
        </is>
      </c>
      <c r="G87" t="inlineStr">
        <is>
          <t>-</t>
        </is>
      </c>
      <c r="H87" t="inlineStr">
        <is>
          <t>06 KG</t>
        </is>
      </c>
      <c r="I87" t="inlineStr">
        <is>
          <t>VIGENTE</t>
        </is>
      </c>
      <c r="J87" t="inlineStr">
        <is>
          <t>-</t>
        </is>
      </c>
      <c r="K87" t="inlineStr">
        <is>
          <t>SETIEMBRE 2022</t>
        </is>
      </c>
      <c r="L87" t="inlineStr">
        <is>
          <t>SETIEMBRE 2023</t>
        </is>
      </c>
      <c r="M87" t="inlineStr">
        <is>
          <t>P.Q.S.  TIPO ABC</t>
        </is>
      </c>
      <c r="N87" t="inlineStr">
        <is>
          <t>01/000928</t>
        </is>
      </c>
      <c r="O87" t="inlineStr">
        <is>
          <t>R</t>
        </is>
      </c>
      <c r="P87">
        <f>TRIM(N87)</f>
        <v/>
      </c>
    </row>
    <row r="88">
      <c r="A88" t="inlineStr">
        <is>
          <t>CO-001090</t>
        </is>
      </c>
      <c r="B88" t="inlineStr">
        <is>
          <t>YONNY ROMAN</t>
        </is>
      </c>
      <c r="D88" t="inlineStr">
        <is>
          <t>MERCADO AÑO NUEVO -TIENDA B</t>
        </is>
      </c>
      <c r="E88" t="inlineStr">
        <is>
          <t>Lima, 15 de Setiembre de 2022</t>
        </is>
      </c>
      <c r="F88" t="inlineStr">
        <is>
          <t>la Recarga y mantenimiento</t>
        </is>
      </c>
      <c r="G88" t="inlineStr">
        <is>
          <t>-</t>
        </is>
      </c>
      <c r="H88" t="inlineStr">
        <is>
          <t>06 KG</t>
        </is>
      </c>
      <c r="I88" t="inlineStr">
        <is>
          <t>VIGENTE</t>
        </is>
      </c>
      <c r="J88" t="inlineStr">
        <is>
          <t>-</t>
        </is>
      </c>
      <c r="K88" t="inlineStr">
        <is>
          <t>SETIEMBRE 2022</t>
        </is>
      </c>
      <c r="L88" t="inlineStr">
        <is>
          <t>SETIEMBRE 2023</t>
        </is>
      </c>
      <c r="M88" t="inlineStr">
        <is>
          <t>P.Q.S.  TIPO ABC</t>
        </is>
      </c>
      <c r="N88" t="inlineStr">
        <is>
          <t>01/000067</t>
        </is>
      </c>
      <c r="O88" t="inlineStr">
        <is>
          <t>R</t>
        </is>
      </c>
      <c r="P88">
        <f>TRIM(N88)</f>
        <v/>
      </c>
    </row>
    <row r="89">
      <c r="A89" t="inlineStr">
        <is>
          <t>CO-001091</t>
        </is>
      </c>
      <c r="B89" t="inlineStr">
        <is>
          <t>DORIS MAZA</t>
        </is>
      </c>
      <c r="D89" t="inlineStr">
        <is>
          <t>MERCADO AÑO NUEVO - PUESTO 117</t>
        </is>
      </c>
      <c r="E89" t="inlineStr">
        <is>
          <t>Lima, 15 de Setiembre de 2022</t>
        </is>
      </c>
      <c r="F89" t="inlineStr">
        <is>
          <t>la Recarga y mantenimiento</t>
        </is>
      </c>
      <c r="G89" t="inlineStr">
        <is>
          <t>-</t>
        </is>
      </c>
      <c r="H89" t="inlineStr">
        <is>
          <t>06 KG</t>
        </is>
      </c>
      <c r="I89" t="inlineStr">
        <is>
          <t>VIGENTE</t>
        </is>
      </c>
      <c r="J89" t="inlineStr">
        <is>
          <t>-</t>
        </is>
      </c>
      <c r="K89" t="inlineStr">
        <is>
          <t>SETIEMBRE 2022</t>
        </is>
      </c>
      <c r="L89" t="inlineStr">
        <is>
          <t>SETIEMBRE 2023</t>
        </is>
      </c>
      <c r="M89" t="inlineStr">
        <is>
          <t>P.Q.S.  TIPO ABC</t>
        </is>
      </c>
      <c r="N89" t="inlineStr">
        <is>
          <t>01/003266</t>
        </is>
      </c>
      <c r="O89" t="inlineStr">
        <is>
          <t>R</t>
        </is>
      </c>
      <c r="P89">
        <f>TRIM(N89)</f>
        <v/>
      </c>
    </row>
    <row r="90">
      <c r="A90" t="inlineStr">
        <is>
          <t>CO-001092</t>
        </is>
      </c>
      <c r="B90" t="inlineStr">
        <is>
          <t>MIRIAN VARGAS</t>
        </is>
      </c>
      <c r="D90" t="inlineStr">
        <is>
          <t>MERCADO AÑO NUEVO - PUESTO 295</t>
        </is>
      </c>
      <c r="E90" t="inlineStr">
        <is>
          <t>Lima, 15 de Setiembre de 2022</t>
        </is>
      </c>
      <c r="F90" t="inlineStr">
        <is>
          <t>la Recarga y mantenimiento</t>
        </is>
      </c>
      <c r="G90" t="inlineStr">
        <is>
          <t>-</t>
        </is>
      </c>
      <c r="H90" t="inlineStr">
        <is>
          <t>06 KG</t>
        </is>
      </c>
      <c r="I90" t="inlineStr">
        <is>
          <t>VIGENTE</t>
        </is>
      </c>
      <c r="J90" t="inlineStr">
        <is>
          <t>-</t>
        </is>
      </c>
      <c r="K90" t="inlineStr">
        <is>
          <t>SETIEMBRE 2022</t>
        </is>
      </c>
      <c r="L90" t="inlineStr">
        <is>
          <t>SETIEMBRE 2023</t>
        </is>
      </c>
      <c r="M90" t="inlineStr">
        <is>
          <t>P.Q.S.  TIPO ABC</t>
        </is>
      </c>
      <c r="N90" t="inlineStr">
        <is>
          <t>01/002317</t>
        </is>
      </c>
      <c r="O90" t="inlineStr">
        <is>
          <t>R</t>
        </is>
      </c>
      <c r="P90">
        <f>TRIM(N90)</f>
        <v/>
      </c>
    </row>
    <row r="91">
      <c r="A91" t="inlineStr">
        <is>
          <t>CO-001093</t>
        </is>
      </c>
      <c r="B91" t="inlineStr">
        <is>
          <t>TITO RAMIREZ</t>
        </is>
      </c>
      <c r="D91" t="inlineStr">
        <is>
          <t>MERCADO AÑO NUEVO - PUESTO 294</t>
        </is>
      </c>
      <c r="E91" t="inlineStr">
        <is>
          <t>Lima, 15 de Setiembre de 2022</t>
        </is>
      </c>
      <c r="F91" t="inlineStr">
        <is>
          <t>la Recarga y mantenimiento</t>
        </is>
      </c>
      <c r="G91" t="inlineStr">
        <is>
          <t>-</t>
        </is>
      </c>
      <c r="H91" t="inlineStr">
        <is>
          <t>06 KG</t>
        </is>
      </c>
      <c r="I91" t="inlineStr">
        <is>
          <t>VIGENTE</t>
        </is>
      </c>
      <c r="J91" t="inlineStr">
        <is>
          <t>-</t>
        </is>
      </c>
      <c r="K91" t="inlineStr">
        <is>
          <t>SETIEMBRE 2022</t>
        </is>
      </c>
      <c r="L91" t="inlineStr">
        <is>
          <t>SETIEMBRE 2023</t>
        </is>
      </c>
      <c r="M91" t="inlineStr">
        <is>
          <t>P.Q.S.  TIPO ABC</t>
        </is>
      </c>
      <c r="N91" t="inlineStr">
        <is>
          <t>183/3910</t>
        </is>
      </c>
      <c r="O91" t="inlineStr">
        <is>
          <t>R</t>
        </is>
      </c>
      <c r="P91">
        <f>TRIM(N91)</f>
        <v/>
      </c>
    </row>
    <row r="92">
      <c r="A92" t="inlineStr">
        <is>
          <t>CO-001094</t>
        </is>
      </c>
      <c r="B92" t="inlineStr">
        <is>
          <t>CESAR MEYHUEY</t>
        </is>
      </c>
      <c r="D92" t="inlineStr">
        <is>
          <t>MERCADO AÑO NUEVO - PUESTO 268</t>
        </is>
      </c>
      <c r="E92" t="inlineStr">
        <is>
          <t>Lima, 15 de Setiembre de 2022</t>
        </is>
      </c>
      <c r="F92" t="inlineStr">
        <is>
          <t>la Recarga y mantenimiento</t>
        </is>
      </c>
      <c r="G92" t="inlineStr">
        <is>
          <t>-</t>
        </is>
      </c>
      <c r="H92" t="inlineStr">
        <is>
          <t>06 KG</t>
        </is>
      </c>
      <c r="I92" t="inlineStr">
        <is>
          <t>VIGENTE</t>
        </is>
      </c>
      <c r="J92" t="inlineStr">
        <is>
          <t>-</t>
        </is>
      </c>
      <c r="K92" t="inlineStr">
        <is>
          <t>SETIEMBRE 2022</t>
        </is>
      </c>
      <c r="L92" t="inlineStr">
        <is>
          <t>SETIEMBRE 2023</t>
        </is>
      </c>
      <c r="M92" t="inlineStr">
        <is>
          <t>P.Q.S.  TIPO ABC</t>
        </is>
      </c>
      <c r="N92" t="inlineStr">
        <is>
          <t>01/000515</t>
        </is>
      </c>
      <c r="O92" t="inlineStr">
        <is>
          <t>R</t>
        </is>
      </c>
      <c r="P92">
        <f>TRIM(N92)</f>
        <v/>
      </c>
    </row>
    <row r="93">
      <c r="A93" t="inlineStr">
        <is>
          <t>CO-001095</t>
        </is>
      </c>
      <c r="B93" t="inlineStr">
        <is>
          <t>ABEL FUERTES</t>
        </is>
      </c>
      <c r="D93" t="inlineStr">
        <is>
          <t>MERCADO AÑO NUEVO - PUESTO 293</t>
        </is>
      </c>
      <c r="E93" t="inlineStr">
        <is>
          <t>Lima, 15 de Setiembre de 2022</t>
        </is>
      </c>
      <c r="F93" t="inlineStr">
        <is>
          <t>la Recarga y mantenimiento</t>
        </is>
      </c>
      <c r="G93" t="inlineStr">
        <is>
          <t>-</t>
        </is>
      </c>
      <c r="H93" t="inlineStr">
        <is>
          <t>06 KG</t>
        </is>
      </c>
      <c r="I93" t="inlineStr">
        <is>
          <t>VIGENTE</t>
        </is>
      </c>
      <c r="J93" t="inlineStr">
        <is>
          <t>-</t>
        </is>
      </c>
      <c r="K93" t="inlineStr">
        <is>
          <t>SETIEMBRE 2022</t>
        </is>
      </c>
      <c r="L93" t="inlineStr">
        <is>
          <t>SETIEMBRE 2023</t>
        </is>
      </c>
      <c r="M93" t="inlineStr">
        <is>
          <t>P.Q.S.  TIPO ABC</t>
        </is>
      </c>
      <c r="N93" t="inlineStr">
        <is>
          <t>01/0003486</t>
        </is>
      </c>
      <c r="O93" t="inlineStr">
        <is>
          <t>R</t>
        </is>
      </c>
      <c r="P93">
        <f>TRIM(N93)</f>
        <v/>
      </c>
    </row>
    <row r="94">
      <c r="A94" t="inlineStr">
        <is>
          <t>CO-001096</t>
        </is>
      </c>
      <c r="B94" t="inlineStr">
        <is>
          <t>PAULINO TAQUIRE</t>
        </is>
      </c>
      <c r="D94" t="inlineStr">
        <is>
          <t>MERCADO AÑO NUEVO - PUESTO 292</t>
        </is>
      </c>
      <c r="E94" t="inlineStr">
        <is>
          <t>Lima, 15 de Setiembre de 2022</t>
        </is>
      </c>
      <c r="F94" t="inlineStr">
        <is>
          <t>la Recarga y mantenimiento</t>
        </is>
      </c>
      <c r="G94" t="inlineStr">
        <is>
          <t>-</t>
        </is>
      </c>
      <c r="H94" t="inlineStr">
        <is>
          <t>06 KG</t>
        </is>
      </c>
      <c r="I94" t="inlineStr">
        <is>
          <t>VIGENTE</t>
        </is>
      </c>
      <c r="J94" t="inlineStr">
        <is>
          <t>-</t>
        </is>
      </c>
      <c r="K94" t="inlineStr">
        <is>
          <t>SETIEMBRE 2022</t>
        </is>
      </c>
      <c r="L94" t="inlineStr">
        <is>
          <t>SETIEMBRE 2023</t>
        </is>
      </c>
      <c r="M94" t="inlineStr">
        <is>
          <t>P.Q.S.  TIPO ABC</t>
        </is>
      </c>
      <c r="N94" t="inlineStr">
        <is>
          <t>01/003176</t>
        </is>
      </c>
      <c r="O94" t="inlineStr">
        <is>
          <t>R</t>
        </is>
      </c>
      <c r="P94">
        <f>TRIM(N94)</f>
        <v/>
      </c>
    </row>
    <row r="95">
      <c r="A95" t="inlineStr">
        <is>
          <t>CO-001097</t>
        </is>
      </c>
      <c r="B95" t="inlineStr">
        <is>
          <t>RODOLFO RAMIREZ</t>
        </is>
      </c>
      <c r="D95" t="inlineStr">
        <is>
          <t>MERCADO AÑO NUEVO - PUESTO 288</t>
        </is>
      </c>
      <c r="E95" t="inlineStr">
        <is>
          <t>Lima, 15 de Setiembre de 2022</t>
        </is>
      </c>
      <c r="F95" t="inlineStr">
        <is>
          <t>la Recarga y mantenimiento</t>
        </is>
      </c>
      <c r="G95" t="inlineStr">
        <is>
          <t>-</t>
        </is>
      </c>
      <c r="H95" t="inlineStr">
        <is>
          <t>06 KG</t>
        </is>
      </c>
      <c r="I95" t="inlineStr">
        <is>
          <t>VIGENTE</t>
        </is>
      </c>
      <c r="J95" t="inlineStr">
        <is>
          <t>-</t>
        </is>
      </c>
      <c r="K95" t="inlineStr">
        <is>
          <t>SETIEMBRE 2022</t>
        </is>
      </c>
      <c r="L95" t="inlineStr">
        <is>
          <t>SETIEMBRE 2023</t>
        </is>
      </c>
      <c r="M95" t="inlineStr">
        <is>
          <t>P.Q.S.  TIPO ABC</t>
        </is>
      </c>
      <c r="N95" t="inlineStr">
        <is>
          <t>01/000584</t>
        </is>
      </c>
      <c r="O95" t="inlineStr">
        <is>
          <t>R</t>
        </is>
      </c>
      <c r="P95">
        <f>TRIM(N95)</f>
        <v/>
      </c>
    </row>
    <row r="96">
      <c r="A96" t="inlineStr">
        <is>
          <t>CO-001098</t>
        </is>
      </c>
      <c r="B96" t="inlineStr">
        <is>
          <t>ABRAHAM MENDOZA</t>
        </is>
      </c>
      <c r="D96" t="inlineStr">
        <is>
          <t>MERCADO AÑO NUEVO - PUESTO 285</t>
        </is>
      </c>
      <c r="E96" t="inlineStr">
        <is>
          <t>Lima, 15 de Setiembre de 2022</t>
        </is>
      </c>
      <c r="F96" t="inlineStr">
        <is>
          <t>la Recarga y mantenimiento</t>
        </is>
      </c>
      <c r="G96" t="inlineStr">
        <is>
          <t>-</t>
        </is>
      </c>
      <c r="H96" t="inlineStr">
        <is>
          <t>06 KG</t>
        </is>
      </c>
      <c r="I96" t="inlineStr">
        <is>
          <t>VIGENTE</t>
        </is>
      </c>
      <c r="J96" t="inlineStr">
        <is>
          <t>-</t>
        </is>
      </c>
      <c r="K96" t="inlineStr">
        <is>
          <t>SETIEMBRE 2022</t>
        </is>
      </c>
      <c r="L96" t="inlineStr">
        <is>
          <t>SETIEMBRE 2023</t>
        </is>
      </c>
      <c r="M96" t="inlineStr">
        <is>
          <t>P.Q.S.  TIPO ABC</t>
        </is>
      </c>
      <c r="N96" t="inlineStr">
        <is>
          <t>01/001256</t>
        </is>
      </c>
      <c r="O96" t="inlineStr">
        <is>
          <t>R</t>
        </is>
      </c>
      <c r="P96">
        <f>TRIM(N96)</f>
        <v/>
      </c>
    </row>
    <row r="97">
      <c r="A97" t="inlineStr">
        <is>
          <t>CO-001099</t>
        </is>
      </c>
      <c r="B97" t="inlineStr">
        <is>
          <t>ABRAHAM MENDOZA</t>
        </is>
      </c>
      <c r="D97" t="inlineStr">
        <is>
          <t>MERCADO AÑO NUEVO - PUESTO 283</t>
        </is>
      </c>
      <c r="E97" t="inlineStr">
        <is>
          <t>Lima, 15 de Setiembre de 2022</t>
        </is>
      </c>
      <c r="F97" t="inlineStr">
        <is>
          <t>la Recarga y mantenimiento</t>
        </is>
      </c>
      <c r="G97" t="inlineStr">
        <is>
          <t>-</t>
        </is>
      </c>
      <c r="H97" t="inlineStr">
        <is>
          <t>06 KG</t>
        </is>
      </c>
      <c r="I97" t="inlineStr">
        <is>
          <t>VIGENTE</t>
        </is>
      </c>
      <c r="J97" t="inlineStr">
        <is>
          <t>-</t>
        </is>
      </c>
      <c r="K97" t="inlineStr">
        <is>
          <t>SETIEMBRE 2022</t>
        </is>
      </c>
      <c r="L97" t="inlineStr">
        <is>
          <t>SETIEMBRE 2023</t>
        </is>
      </c>
      <c r="M97" t="inlineStr">
        <is>
          <t>P.Q.S.  TIPO ABC</t>
        </is>
      </c>
      <c r="N97" t="inlineStr">
        <is>
          <t>01/000006</t>
        </is>
      </c>
      <c r="O97" t="inlineStr">
        <is>
          <t>R</t>
        </is>
      </c>
      <c r="P97">
        <f>TRIM(N97)</f>
        <v/>
      </c>
    </row>
    <row r="98">
      <c r="A98" t="inlineStr">
        <is>
          <t>CO-001100</t>
        </is>
      </c>
      <c r="B98" t="inlineStr">
        <is>
          <t>VICTOR CHAVEZ</t>
        </is>
      </c>
      <c r="D98" t="inlineStr">
        <is>
          <t>MERCADO AÑO NUEVO - PUESTO 278</t>
        </is>
      </c>
      <c r="E98" t="inlineStr">
        <is>
          <t>Lima, 15 de Setiembre de 2022</t>
        </is>
      </c>
      <c r="F98" t="inlineStr">
        <is>
          <t>la Recarga y mantenimiento</t>
        </is>
      </c>
      <c r="G98" t="inlineStr">
        <is>
          <t>-</t>
        </is>
      </c>
      <c r="H98" t="inlineStr">
        <is>
          <t>06 KG</t>
        </is>
      </c>
      <c r="I98" t="inlineStr">
        <is>
          <t>VIGENTE</t>
        </is>
      </c>
      <c r="J98" t="inlineStr">
        <is>
          <t>-</t>
        </is>
      </c>
      <c r="K98" t="inlineStr">
        <is>
          <t>SETIEMBRE 2022</t>
        </is>
      </c>
      <c r="L98" t="inlineStr">
        <is>
          <t>SETIEMBRE 2023</t>
        </is>
      </c>
      <c r="M98" t="inlineStr">
        <is>
          <t>P.Q.S.  TIPO ABC</t>
        </is>
      </c>
      <c r="N98" t="inlineStr">
        <is>
          <t>01/000452</t>
        </is>
      </c>
      <c r="O98" t="inlineStr">
        <is>
          <t>R</t>
        </is>
      </c>
      <c r="P98">
        <f>TRIM(N98)</f>
        <v/>
      </c>
    </row>
    <row r="99">
      <c r="A99" t="inlineStr">
        <is>
          <t>CO-001101</t>
        </is>
      </c>
      <c r="B99" t="inlineStr">
        <is>
          <t>ALINA ABARCA</t>
        </is>
      </c>
      <c r="D99" t="inlineStr">
        <is>
          <t>MERCADO AÑO NUEVO - PUESTO 145</t>
        </is>
      </c>
      <c r="E99" t="inlineStr">
        <is>
          <t>Lima, 15 de Setiembre de 2022</t>
        </is>
      </c>
      <c r="F99" t="inlineStr">
        <is>
          <t>la Recarga y mantenimiento</t>
        </is>
      </c>
      <c r="G99" t="inlineStr">
        <is>
          <t>-</t>
        </is>
      </c>
      <c r="H99" t="inlineStr">
        <is>
          <t>06 KG</t>
        </is>
      </c>
      <c r="I99" t="inlineStr">
        <is>
          <t>VIGENTE</t>
        </is>
      </c>
      <c r="J99" t="inlineStr">
        <is>
          <t>-</t>
        </is>
      </c>
      <c r="K99" t="inlineStr">
        <is>
          <t>SETIEMBRE 2022</t>
        </is>
      </c>
      <c r="L99" t="inlineStr">
        <is>
          <t>SETIEMBRE 2023</t>
        </is>
      </c>
      <c r="M99" t="inlineStr">
        <is>
          <t>P.Q.S.  TIPO ABC</t>
        </is>
      </c>
      <c r="N99" t="inlineStr">
        <is>
          <t>01/000372</t>
        </is>
      </c>
      <c r="O99" t="inlineStr">
        <is>
          <t>R</t>
        </is>
      </c>
      <c r="P99">
        <f>TRIM(N99)</f>
        <v/>
      </c>
    </row>
    <row r="100">
      <c r="A100" t="inlineStr">
        <is>
          <t>CO-001102</t>
        </is>
      </c>
      <c r="B100" t="inlineStr">
        <is>
          <t>LUCILA UGARTE</t>
        </is>
      </c>
      <c r="D100" t="inlineStr">
        <is>
          <t>MERCADO AÑO NUEVO - PUESTO 144</t>
        </is>
      </c>
      <c r="E100" t="inlineStr">
        <is>
          <t>Lima, 15 de Setiembre de 2022</t>
        </is>
      </c>
      <c r="F100" t="inlineStr">
        <is>
          <t>la Recarga y mantenimiento</t>
        </is>
      </c>
      <c r="G100" t="inlineStr">
        <is>
          <t>-</t>
        </is>
      </c>
      <c r="H100" t="inlineStr">
        <is>
          <t>06 KG</t>
        </is>
      </c>
      <c r="I100" t="inlineStr">
        <is>
          <t>VIGENTE</t>
        </is>
      </c>
      <c r="J100" t="inlineStr">
        <is>
          <t>-</t>
        </is>
      </c>
      <c r="K100" t="inlineStr">
        <is>
          <t>SETIEMBRE 2022</t>
        </is>
      </c>
      <c r="L100" t="inlineStr">
        <is>
          <t>SETIEMBRE 2023</t>
        </is>
      </c>
      <c r="M100" t="inlineStr">
        <is>
          <t>P.Q.S.  TIPO ABC</t>
        </is>
      </c>
      <c r="N100" t="inlineStr">
        <is>
          <t>01/000270</t>
        </is>
      </c>
      <c r="O100" t="inlineStr">
        <is>
          <t>R</t>
        </is>
      </c>
      <c r="P100">
        <f>TRIM(N100)</f>
        <v/>
      </c>
    </row>
    <row r="101">
      <c r="A101" t="inlineStr">
        <is>
          <t>CO-001103</t>
        </is>
      </c>
      <c r="B101" t="inlineStr">
        <is>
          <t>DORA CUTIPA A.</t>
        </is>
      </c>
      <c r="D101" t="inlineStr">
        <is>
          <t>MERCADO AÑO NUEVO - PUESTO 310</t>
        </is>
      </c>
      <c r="E101" t="inlineStr">
        <is>
          <t>Lima, 15 de Setiembre de 2022</t>
        </is>
      </c>
      <c r="F101" t="inlineStr">
        <is>
          <t>la Recarga y mantenimiento</t>
        </is>
      </c>
      <c r="G101" t="inlineStr">
        <is>
          <t>-</t>
        </is>
      </c>
      <c r="H101" t="inlineStr">
        <is>
          <t>04 KG</t>
        </is>
      </c>
      <c r="I101" t="inlineStr">
        <is>
          <t>VIGENTE</t>
        </is>
      </c>
      <c r="J101" t="n">
        <v>2011</v>
      </c>
      <c r="K101" t="inlineStr">
        <is>
          <t>SETIEMBRE 2022</t>
        </is>
      </c>
      <c r="L101" t="inlineStr">
        <is>
          <t>SETIEMBRE 2023</t>
        </is>
      </c>
      <c r="M101" t="inlineStr">
        <is>
          <t>P.Q.S.  TIPO ABC</t>
        </is>
      </c>
      <c r="N101" t="inlineStr">
        <is>
          <t>01/000006</t>
        </is>
      </c>
      <c r="O101" t="inlineStr">
        <is>
          <t>R</t>
        </is>
      </c>
      <c r="P101">
        <f>TRIM(N101)</f>
        <v/>
      </c>
    </row>
    <row r="102">
      <c r="A102" t="inlineStr">
        <is>
          <t>CO-001104</t>
        </is>
      </c>
      <c r="B102" t="inlineStr">
        <is>
          <t>DORA CUTIPA A.</t>
        </is>
      </c>
      <c r="D102" t="inlineStr">
        <is>
          <t>MERCADO AÑO NUEVO - PUESTO 315</t>
        </is>
      </c>
      <c r="E102" t="inlineStr">
        <is>
          <t>Lima, 15 de Setiembre de 2022</t>
        </is>
      </c>
      <c r="F102" t="inlineStr">
        <is>
          <t>la Recarga y mantenimiento</t>
        </is>
      </c>
      <c r="G102" t="inlineStr">
        <is>
          <t>-</t>
        </is>
      </c>
      <c r="H102" t="inlineStr">
        <is>
          <t>06 KG</t>
        </is>
      </c>
      <c r="I102" t="inlineStr">
        <is>
          <t>VIGENTE</t>
        </is>
      </c>
      <c r="J102" t="inlineStr">
        <is>
          <t>-</t>
        </is>
      </c>
      <c r="K102" t="inlineStr">
        <is>
          <t>SETIEMBRE 2022</t>
        </is>
      </c>
      <c r="L102" t="inlineStr">
        <is>
          <t>SETIEMBRE 2023</t>
        </is>
      </c>
      <c r="M102" t="inlineStr">
        <is>
          <t>P.Q.S.  TIPO ABC</t>
        </is>
      </c>
      <c r="N102" t="inlineStr">
        <is>
          <t>01/115478</t>
        </is>
      </c>
      <c r="O102" t="inlineStr">
        <is>
          <t>R</t>
        </is>
      </c>
      <c r="P102">
        <f>TRIM(N102)</f>
        <v/>
      </c>
    </row>
    <row r="103">
      <c r="A103" t="inlineStr">
        <is>
          <t>CO-001105</t>
        </is>
      </c>
      <c r="B103" t="inlineStr">
        <is>
          <t>HILDA ROBLES</t>
        </is>
      </c>
      <c r="D103" t="inlineStr">
        <is>
          <t>MERCADO AÑO NUEVO - PUESTO 307</t>
        </is>
      </c>
      <c r="E103" t="inlineStr">
        <is>
          <t>Lima, 15 de Setiembre de 2022</t>
        </is>
      </c>
      <c r="F103" t="inlineStr">
        <is>
          <t>la Recarga y mantenimiento</t>
        </is>
      </c>
      <c r="G103" t="inlineStr">
        <is>
          <t>-</t>
        </is>
      </c>
      <c r="H103" t="inlineStr">
        <is>
          <t>06 KG</t>
        </is>
      </c>
      <c r="I103" t="inlineStr">
        <is>
          <t>VIGENTE</t>
        </is>
      </c>
      <c r="J103" t="inlineStr">
        <is>
          <t>-</t>
        </is>
      </c>
      <c r="K103" t="inlineStr">
        <is>
          <t>SETIEMBRE 2022</t>
        </is>
      </c>
      <c r="L103" t="inlineStr">
        <is>
          <t>SETIEMBRE 2023</t>
        </is>
      </c>
      <c r="M103" t="inlineStr">
        <is>
          <t>P.Q.S.  TIPO ABC</t>
        </is>
      </c>
      <c r="N103" t="inlineStr">
        <is>
          <t>01/377908</t>
        </is>
      </c>
      <c r="O103" t="inlineStr">
        <is>
          <t>R</t>
        </is>
      </c>
      <c r="P103">
        <f>TRIM(N103)</f>
        <v/>
      </c>
    </row>
    <row r="104">
      <c r="A104" t="inlineStr">
        <is>
          <t>CO-001106</t>
        </is>
      </c>
      <c r="B104" t="inlineStr">
        <is>
          <t>MARLENI BAUTISTA</t>
        </is>
      </c>
      <c r="D104" t="inlineStr">
        <is>
          <t>MERCADO AÑO NUEVO - PUESTO 302</t>
        </is>
      </c>
      <c r="E104" t="inlineStr">
        <is>
          <t>Lima, 15 de Setiembre de 2022</t>
        </is>
      </c>
      <c r="F104" t="inlineStr">
        <is>
          <t>la Recarga y mantenimiento</t>
        </is>
      </c>
      <c r="G104" t="inlineStr">
        <is>
          <t>-</t>
        </is>
      </c>
      <c r="H104" t="inlineStr">
        <is>
          <t>04 KG</t>
        </is>
      </c>
      <c r="I104" t="inlineStr">
        <is>
          <t>VIGENTE</t>
        </is>
      </c>
      <c r="J104" t="inlineStr">
        <is>
          <t>-</t>
        </is>
      </c>
      <c r="K104" t="inlineStr">
        <is>
          <t>SETIEMBRE 2022</t>
        </is>
      </c>
      <c r="L104" t="inlineStr">
        <is>
          <t>SETIEMBRE 2023</t>
        </is>
      </c>
      <c r="M104" t="inlineStr">
        <is>
          <t>P.Q.S.  TIPO ABC</t>
        </is>
      </c>
      <c r="N104" t="inlineStr">
        <is>
          <t>01/000685</t>
        </is>
      </c>
      <c r="O104" t="inlineStr">
        <is>
          <t>R</t>
        </is>
      </c>
      <c r="P104">
        <f>TRIM(N104)</f>
        <v/>
      </c>
    </row>
    <row r="105">
      <c r="A105" t="inlineStr">
        <is>
          <t>CO-001107</t>
        </is>
      </c>
      <c r="B105" t="inlineStr">
        <is>
          <t>KATHERINE TAQUIRE</t>
        </is>
      </c>
      <c r="D105" t="inlineStr">
        <is>
          <t>MERCADO AÑO NUEVO - PUESTO 301</t>
        </is>
      </c>
      <c r="E105" t="inlineStr">
        <is>
          <t>Lima, 15 de Setiembre de 2022</t>
        </is>
      </c>
      <c r="F105" t="inlineStr">
        <is>
          <t>la Recarga y mantenimiento</t>
        </is>
      </c>
      <c r="G105" t="inlineStr">
        <is>
          <t>-</t>
        </is>
      </c>
      <c r="H105" t="inlineStr">
        <is>
          <t>06 KG</t>
        </is>
      </c>
      <c r="I105" t="inlineStr">
        <is>
          <t>VIGENTE</t>
        </is>
      </c>
      <c r="J105" t="inlineStr">
        <is>
          <t>-</t>
        </is>
      </c>
      <c r="K105" t="inlineStr">
        <is>
          <t>SETIEMBRE 2022</t>
        </is>
      </c>
      <c r="L105" t="inlineStr">
        <is>
          <t>SETIEMBRE 2023</t>
        </is>
      </c>
      <c r="M105" t="inlineStr">
        <is>
          <t>P.Q.S.  TIPO ABC</t>
        </is>
      </c>
      <c r="N105" t="inlineStr">
        <is>
          <t>01/004810</t>
        </is>
      </c>
      <c r="O105" t="inlineStr">
        <is>
          <t>R</t>
        </is>
      </c>
      <c r="P105">
        <f>TRIM(N105)</f>
        <v/>
      </c>
    </row>
    <row r="106">
      <c r="A106" t="inlineStr">
        <is>
          <t>CO-001108</t>
        </is>
      </c>
      <c r="B106" t="inlineStr">
        <is>
          <t>GLORIA ALBERTA</t>
        </is>
      </c>
      <c r="D106" t="inlineStr">
        <is>
          <t>MERCADO AÑO NUEVO - PUESTO 297</t>
        </is>
      </c>
      <c r="E106" t="inlineStr">
        <is>
          <t>Lima, 15 de Setiembre de 2022</t>
        </is>
      </c>
      <c r="F106" t="inlineStr">
        <is>
          <t>la Recarga y mantenimiento</t>
        </is>
      </c>
      <c r="G106" t="inlineStr">
        <is>
          <t>-</t>
        </is>
      </c>
      <c r="H106" t="inlineStr">
        <is>
          <t>04 KG</t>
        </is>
      </c>
      <c r="I106" t="inlineStr">
        <is>
          <t>VIGENTE</t>
        </is>
      </c>
      <c r="J106" t="inlineStr">
        <is>
          <t>-</t>
        </is>
      </c>
      <c r="K106" t="inlineStr">
        <is>
          <t>SETIEMBRE 2022</t>
        </is>
      </c>
      <c r="L106" t="inlineStr">
        <is>
          <t>SETIEMBRE 2023</t>
        </is>
      </c>
      <c r="M106" t="inlineStr">
        <is>
          <t>P.Q.S.  TIPO ABC</t>
        </is>
      </c>
      <c r="N106" t="inlineStr">
        <is>
          <t>01/000645</t>
        </is>
      </c>
      <c r="O106" t="inlineStr">
        <is>
          <t>R</t>
        </is>
      </c>
      <c r="P106">
        <f>TRIM(N106)</f>
        <v/>
      </c>
    </row>
    <row r="107">
      <c r="A107" t="inlineStr">
        <is>
          <t>CO-001109</t>
        </is>
      </c>
      <c r="B107" t="inlineStr">
        <is>
          <t>GENOVEVA CARRERA</t>
        </is>
      </c>
      <c r="D107" t="inlineStr">
        <is>
          <t>MERCADO AÑO NUEVO - PUESTO 125</t>
        </is>
      </c>
      <c r="E107" t="inlineStr">
        <is>
          <t>Lima, 15 de Setiembre de 2022</t>
        </is>
      </c>
      <c r="F107" t="inlineStr">
        <is>
          <t>la Recarga y mantenimiento</t>
        </is>
      </c>
      <c r="G107" t="inlineStr">
        <is>
          <t>-</t>
        </is>
      </c>
      <c r="H107" t="inlineStr">
        <is>
          <t>06 KG</t>
        </is>
      </c>
      <c r="I107" t="inlineStr">
        <is>
          <t>VIGENTE</t>
        </is>
      </c>
      <c r="J107" t="inlineStr">
        <is>
          <t>-</t>
        </is>
      </c>
      <c r="K107" t="inlineStr">
        <is>
          <t>SETIEMBRE 2022</t>
        </is>
      </c>
      <c r="L107" t="inlineStr">
        <is>
          <t>SETIEMBRE 2023</t>
        </is>
      </c>
      <c r="M107" t="inlineStr">
        <is>
          <t>P.Q.S.  TIPO ABC</t>
        </is>
      </c>
      <c r="N107" t="inlineStr">
        <is>
          <t>S/N</t>
        </is>
      </c>
      <c r="O107" t="inlineStr">
        <is>
          <t>R</t>
        </is>
      </c>
      <c r="P107">
        <f>TRIM(N107)</f>
        <v/>
      </c>
    </row>
    <row r="108">
      <c r="A108" t="inlineStr">
        <is>
          <t>CO-001110</t>
        </is>
      </c>
      <c r="B108" t="inlineStr">
        <is>
          <t>DAYVE CASTAÑEDA</t>
        </is>
      </c>
      <c r="D108" t="inlineStr">
        <is>
          <t>MERCADO AÑO NUEVO - PUESTO 126</t>
        </is>
      </c>
      <c r="E108" t="inlineStr">
        <is>
          <t>Lima, 15 de Setiembre de 2022</t>
        </is>
      </c>
      <c r="F108" t="inlineStr">
        <is>
          <t>la Recarga y mantenimiento</t>
        </is>
      </c>
      <c r="G108" t="inlineStr">
        <is>
          <t>-</t>
        </is>
      </c>
      <c r="H108" t="inlineStr">
        <is>
          <t>06 KG</t>
        </is>
      </c>
      <c r="I108" t="inlineStr">
        <is>
          <t>VIGENTE</t>
        </is>
      </c>
      <c r="J108" t="inlineStr">
        <is>
          <t>-</t>
        </is>
      </c>
      <c r="K108" t="inlineStr">
        <is>
          <t>SETIEMBRE 2022</t>
        </is>
      </c>
      <c r="L108" t="inlineStr">
        <is>
          <t>SETIEMBRE 2023</t>
        </is>
      </c>
      <c r="M108" t="inlineStr">
        <is>
          <t>P.Q.S.  TIPO ABC</t>
        </is>
      </c>
      <c r="N108" t="inlineStr">
        <is>
          <t>01/009829</t>
        </is>
      </c>
      <c r="O108" t="inlineStr">
        <is>
          <t>R</t>
        </is>
      </c>
      <c r="P108">
        <f>TRIM(N108)</f>
        <v/>
      </c>
    </row>
    <row r="109">
      <c r="A109" t="inlineStr">
        <is>
          <t>CO-001111</t>
        </is>
      </c>
      <c r="B109" t="inlineStr">
        <is>
          <t>CARMEN YUNGO</t>
        </is>
      </c>
      <c r="D109" t="inlineStr">
        <is>
          <t>MERCADO AÑO NUEVO - PUESTO 127</t>
        </is>
      </c>
      <c r="E109" t="inlineStr">
        <is>
          <t>Lima, 15 de Setiembre de 2022</t>
        </is>
      </c>
      <c r="F109" t="inlineStr">
        <is>
          <t>la Recarga y mantenimiento</t>
        </is>
      </c>
      <c r="G109" t="inlineStr">
        <is>
          <t>-</t>
        </is>
      </c>
      <c r="H109" t="inlineStr">
        <is>
          <t>06 KG</t>
        </is>
      </c>
      <c r="I109" t="inlineStr">
        <is>
          <t>VIGENTE</t>
        </is>
      </c>
      <c r="J109" t="inlineStr">
        <is>
          <t>-</t>
        </is>
      </c>
      <c r="K109" t="inlineStr">
        <is>
          <t>SETIEMBRE 2022</t>
        </is>
      </c>
      <c r="L109" t="inlineStr">
        <is>
          <t>SETIEMBRE 2023</t>
        </is>
      </c>
      <c r="M109" t="inlineStr">
        <is>
          <t>P.Q.S.  TIPO ABC</t>
        </is>
      </c>
      <c r="N109" t="inlineStr">
        <is>
          <t>01/002935</t>
        </is>
      </c>
      <c r="O109" t="inlineStr">
        <is>
          <t>R</t>
        </is>
      </c>
      <c r="P109">
        <f>TRIM(N109)</f>
        <v/>
      </c>
    </row>
    <row r="110">
      <c r="A110" t="inlineStr">
        <is>
          <t>CO-001112</t>
        </is>
      </c>
      <c r="B110" t="inlineStr">
        <is>
          <t>IVAN FABIAN</t>
        </is>
      </c>
      <c r="D110" t="inlineStr">
        <is>
          <t>MERCADO AÑO NUEVO - PUESTO 133</t>
        </is>
      </c>
      <c r="E110" t="inlineStr">
        <is>
          <t>Lima, 15 de Setiembre de 2022</t>
        </is>
      </c>
      <c r="F110" t="inlineStr">
        <is>
          <t>la Recarga y mantenimiento</t>
        </is>
      </c>
      <c r="G110" t="inlineStr">
        <is>
          <t>-</t>
        </is>
      </c>
      <c r="H110" t="inlineStr">
        <is>
          <t>09 KG</t>
        </is>
      </c>
      <c r="I110" t="inlineStr">
        <is>
          <t>VIGENTE</t>
        </is>
      </c>
      <c r="J110" t="inlineStr">
        <is>
          <t>-</t>
        </is>
      </c>
      <c r="K110" t="inlineStr">
        <is>
          <t>SETIEMBRE 2022</t>
        </is>
      </c>
      <c r="L110" t="inlineStr">
        <is>
          <t>SETIEMBRE 2023</t>
        </is>
      </c>
      <c r="M110" t="inlineStr">
        <is>
          <t>P.Q.S.  TIPO ABC</t>
        </is>
      </c>
      <c r="N110" t="inlineStr">
        <is>
          <t>S/N</t>
        </is>
      </c>
      <c r="O110" t="inlineStr">
        <is>
          <t>R</t>
        </is>
      </c>
      <c r="P110">
        <f>TRIM(N110)</f>
        <v/>
      </c>
    </row>
    <row r="111">
      <c r="A111" t="inlineStr">
        <is>
          <t>CO-001113</t>
        </is>
      </c>
      <c r="B111" t="inlineStr">
        <is>
          <t>DENIS VALENZUELA</t>
        </is>
      </c>
      <c r="D111" t="inlineStr">
        <is>
          <t>MERCADO AÑO NUEVO - PUESTO 134</t>
        </is>
      </c>
      <c r="E111" t="inlineStr">
        <is>
          <t>Lima, 15 de Setiembre de 2022</t>
        </is>
      </c>
      <c r="F111" t="inlineStr">
        <is>
          <t>la Recarga y mantenimiento</t>
        </is>
      </c>
      <c r="G111" t="inlineStr">
        <is>
          <t>-</t>
        </is>
      </c>
      <c r="H111" t="inlineStr">
        <is>
          <t>06 KG</t>
        </is>
      </c>
      <c r="I111" t="inlineStr">
        <is>
          <t>VIGENTE</t>
        </is>
      </c>
      <c r="J111" t="inlineStr">
        <is>
          <t>-</t>
        </is>
      </c>
      <c r="K111" t="inlineStr">
        <is>
          <t>SETIEMBRE 2022</t>
        </is>
      </c>
      <c r="L111" t="inlineStr">
        <is>
          <t>SETIEMBRE 2023</t>
        </is>
      </c>
      <c r="M111" t="inlineStr">
        <is>
          <t>P.Q.S.  TIPO ABC</t>
        </is>
      </c>
      <c r="N111" t="inlineStr">
        <is>
          <t>01/000766</t>
        </is>
      </c>
      <c r="O111" t="inlineStr">
        <is>
          <t>R</t>
        </is>
      </c>
      <c r="P111">
        <f>TRIM(N111)</f>
        <v/>
      </c>
    </row>
    <row r="112">
      <c r="A112" t="inlineStr">
        <is>
          <t>CO-001114</t>
        </is>
      </c>
      <c r="B112" t="inlineStr">
        <is>
          <t>DENIS VALENZUELA</t>
        </is>
      </c>
      <c r="D112" t="inlineStr">
        <is>
          <t xml:space="preserve">MERCADO AÑO NUEVO - PUESTO 52  </t>
        </is>
      </c>
      <c r="E112" t="inlineStr">
        <is>
          <t>Lima, 15 de Setiembre de 2022</t>
        </is>
      </c>
      <c r="F112" t="inlineStr">
        <is>
          <t>la venta</t>
        </is>
      </c>
      <c r="G112" t="inlineStr">
        <is>
          <t>-</t>
        </is>
      </c>
      <c r="H112" t="inlineStr">
        <is>
          <t>06 KG</t>
        </is>
      </c>
      <c r="I112" t="inlineStr">
        <is>
          <t>2027</t>
        </is>
      </c>
      <c r="J112" t="n">
        <v>2022</v>
      </c>
      <c r="K112" t="inlineStr">
        <is>
          <t>SETIEMBRE 2022</t>
        </is>
      </c>
      <c r="L112" t="inlineStr">
        <is>
          <t>SETIEMBRE 2023</t>
        </is>
      </c>
      <c r="M112" t="inlineStr">
        <is>
          <t>P.Q.S.  TIPO ABC</t>
        </is>
      </c>
      <c r="N112" t="inlineStr">
        <is>
          <t>01/036764</t>
        </is>
      </c>
      <c r="O112" t="inlineStr">
        <is>
          <t>V</t>
        </is>
      </c>
      <c r="P112">
        <f>TRIM(N112)</f>
        <v/>
      </c>
    </row>
    <row r="113">
      <c r="A113" t="inlineStr">
        <is>
          <t>CO-001115</t>
        </is>
      </c>
      <c r="B113" t="inlineStr">
        <is>
          <t>ROSARIO SALAZAR</t>
        </is>
      </c>
      <c r="D113" t="inlineStr">
        <is>
          <t>MERCADO AÑO NUEVO - PUESTO 135</t>
        </is>
      </c>
      <c r="E113" t="inlineStr">
        <is>
          <t>Lima, 15 de Setiembre de 2022</t>
        </is>
      </c>
      <c r="F113" t="inlineStr">
        <is>
          <t>la Recarga y mantenimiento</t>
        </is>
      </c>
      <c r="G113" t="inlineStr">
        <is>
          <t>-</t>
        </is>
      </c>
      <c r="H113" t="inlineStr">
        <is>
          <t>06 KG</t>
        </is>
      </c>
      <c r="I113" t="inlineStr">
        <is>
          <t>VIGENTE</t>
        </is>
      </c>
      <c r="J113" t="inlineStr">
        <is>
          <t>-</t>
        </is>
      </c>
      <c r="K113" t="inlineStr">
        <is>
          <t>SETIEMBRE 2022</t>
        </is>
      </c>
      <c r="L113" t="inlineStr">
        <is>
          <t>SETIEMBRE 2023</t>
        </is>
      </c>
      <c r="M113" t="inlineStr">
        <is>
          <t>P.Q.S.  TIPO ABC</t>
        </is>
      </c>
      <c r="N113" t="inlineStr">
        <is>
          <t>S/N</t>
        </is>
      </c>
      <c r="O113" t="inlineStr">
        <is>
          <t>R</t>
        </is>
      </c>
      <c r="P113">
        <f>TRIM(N113)</f>
        <v/>
      </c>
    </row>
    <row r="114">
      <c r="A114" t="inlineStr">
        <is>
          <t>CO-001116</t>
        </is>
      </c>
      <c r="B114" t="inlineStr">
        <is>
          <t>LUIS BENDEZÚ</t>
        </is>
      </c>
      <c r="D114" t="inlineStr">
        <is>
          <t>MERCADO AÑO NUEVO - PUESTO 136</t>
        </is>
      </c>
      <c r="E114" t="inlineStr">
        <is>
          <t>Lima, 15 de Setiembre de 2022</t>
        </is>
      </c>
      <c r="F114" t="inlineStr">
        <is>
          <t>la Recarga y mantenimiento</t>
        </is>
      </c>
      <c r="G114" t="inlineStr">
        <is>
          <t>-</t>
        </is>
      </c>
      <c r="H114" t="inlineStr">
        <is>
          <t>06 KG</t>
        </is>
      </c>
      <c r="I114" t="inlineStr">
        <is>
          <t>VIGENTE</t>
        </is>
      </c>
      <c r="J114" t="inlineStr">
        <is>
          <t>-</t>
        </is>
      </c>
      <c r="K114" t="inlineStr">
        <is>
          <t>SETIEMBRE 2022</t>
        </is>
      </c>
      <c r="L114" t="inlineStr">
        <is>
          <t>SETIEMBRE 2023</t>
        </is>
      </c>
      <c r="M114" t="inlineStr">
        <is>
          <t>P.Q.S.  TIPO ABC</t>
        </is>
      </c>
      <c r="N114" t="inlineStr">
        <is>
          <t>01/000752</t>
        </is>
      </c>
      <c r="O114" t="inlineStr">
        <is>
          <t>R</t>
        </is>
      </c>
      <c r="P114">
        <f>TRIM(N114)</f>
        <v/>
      </c>
    </row>
    <row r="115">
      <c r="A115" t="inlineStr">
        <is>
          <t>CO-001117</t>
        </is>
      </c>
      <c r="B115" t="inlineStr">
        <is>
          <t>BASILIA MAMANI</t>
        </is>
      </c>
      <c r="D115" t="inlineStr">
        <is>
          <t>MERCADO AÑO NUEVO - PUESTO 137</t>
        </is>
      </c>
      <c r="E115" t="inlineStr">
        <is>
          <t>Lima, 15 de Setiembre de 2022</t>
        </is>
      </c>
      <c r="F115" t="inlineStr">
        <is>
          <t>la Recarga y mantenimiento</t>
        </is>
      </c>
      <c r="G115" t="inlineStr">
        <is>
          <t>-</t>
        </is>
      </c>
      <c r="H115" t="inlineStr">
        <is>
          <t>06 KG</t>
        </is>
      </c>
      <c r="I115" t="inlineStr">
        <is>
          <t>VIGENTE</t>
        </is>
      </c>
      <c r="J115" t="inlineStr">
        <is>
          <t>-</t>
        </is>
      </c>
      <c r="K115" t="inlineStr">
        <is>
          <t>SETIEMBRE 2022</t>
        </is>
      </c>
      <c r="L115" t="inlineStr">
        <is>
          <t>SETIEMBRE 2023</t>
        </is>
      </c>
      <c r="M115" t="inlineStr">
        <is>
          <t>P.Q.S.  TIPO ABC</t>
        </is>
      </c>
      <c r="N115" t="inlineStr">
        <is>
          <t>01/000089</t>
        </is>
      </c>
      <c r="O115" t="inlineStr">
        <is>
          <t>R</t>
        </is>
      </c>
      <c r="P115">
        <f>TRIM(N115)</f>
        <v/>
      </c>
    </row>
    <row r="116">
      <c r="A116" t="inlineStr">
        <is>
          <t>CO-001118</t>
        </is>
      </c>
      <c r="B116" t="inlineStr">
        <is>
          <t>ROSMERY HUAHUARIMA</t>
        </is>
      </c>
      <c r="D116" t="inlineStr">
        <is>
          <t>MERCADO AÑO NUEVO - PUESTO 139</t>
        </is>
      </c>
      <c r="E116" t="inlineStr">
        <is>
          <t>Lima, 15 de Setiembre de 2022</t>
        </is>
      </c>
      <c r="F116" t="inlineStr">
        <is>
          <t>la Recarga y mantenimiento</t>
        </is>
      </c>
      <c r="G116" t="inlineStr">
        <is>
          <t>-</t>
        </is>
      </c>
      <c r="H116" t="inlineStr">
        <is>
          <t>06 KG</t>
        </is>
      </c>
      <c r="I116" t="inlineStr">
        <is>
          <t>VIGENTE</t>
        </is>
      </c>
      <c r="J116" t="inlineStr">
        <is>
          <t>-</t>
        </is>
      </c>
      <c r="K116" t="inlineStr">
        <is>
          <t>SETIEMBRE 2022</t>
        </is>
      </c>
      <c r="L116" t="inlineStr">
        <is>
          <t>SETIEMBRE 2023</t>
        </is>
      </c>
      <c r="M116" t="inlineStr">
        <is>
          <t>P.Q.S.  TIPO ABC</t>
        </is>
      </c>
      <c r="N116" t="inlineStr">
        <is>
          <t>01/001178</t>
        </is>
      </c>
      <c r="O116" t="inlineStr">
        <is>
          <t>R</t>
        </is>
      </c>
      <c r="P116">
        <f>TRIM(N116)</f>
        <v/>
      </c>
    </row>
    <row r="117">
      <c r="A117" t="inlineStr">
        <is>
          <t>CO-001119</t>
        </is>
      </c>
      <c r="B117" t="inlineStr">
        <is>
          <t>LUZ AYALA</t>
        </is>
      </c>
      <c r="D117" t="inlineStr">
        <is>
          <t>MERCADO AÑO NUEVO - PUESTO 59</t>
        </is>
      </c>
      <c r="E117" t="inlineStr">
        <is>
          <t>Lima, 15 de Setiembre de 2022</t>
        </is>
      </c>
      <c r="F117" t="inlineStr">
        <is>
          <t>la venta</t>
        </is>
      </c>
      <c r="G117" t="inlineStr">
        <is>
          <t>-</t>
        </is>
      </c>
      <c r="H117" t="inlineStr">
        <is>
          <t>06 KG</t>
        </is>
      </c>
      <c r="I117" t="inlineStr">
        <is>
          <t>2027</t>
        </is>
      </c>
      <c r="J117" t="n">
        <v>2022</v>
      </c>
      <c r="K117" t="inlineStr">
        <is>
          <t>SETIEMBRE 2022</t>
        </is>
      </c>
      <c r="L117" t="inlineStr">
        <is>
          <t>SETIEMBRE 2023</t>
        </is>
      </c>
      <c r="M117" t="inlineStr">
        <is>
          <t>P.Q.S.  TIPO ABC</t>
        </is>
      </c>
      <c r="N117" t="inlineStr">
        <is>
          <t>01/306094</t>
        </is>
      </c>
      <c r="O117" t="inlineStr">
        <is>
          <t>V</t>
        </is>
      </c>
      <c r="P117">
        <f>TRIM(N117)</f>
        <v/>
      </c>
    </row>
    <row r="118">
      <c r="A118" t="inlineStr">
        <is>
          <t>CO-001120</t>
        </is>
      </c>
      <c r="B118" t="inlineStr">
        <is>
          <t>AVICOLA GOUS</t>
        </is>
      </c>
      <c r="D118" t="inlineStr">
        <is>
          <t>MERCADO AÑO NUEVO - PUESTO 61 - 60</t>
        </is>
      </c>
      <c r="E118" t="inlineStr">
        <is>
          <t>Lima, 15 de Setiembre de 2022</t>
        </is>
      </c>
      <c r="F118" t="inlineStr">
        <is>
          <t>la venta</t>
        </is>
      </c>
      <c r="G118" t="inlineStr">
        <is>
          <t>-</t>
        </is>
      </c>
      <c r="H118" t="inlineStr">
        <is>
          <t>06 KG</t>
        </is>
      </c>
      <c r="I118" t="inlineStr">
        <is>
          <t>2027</t>
        </is>
      </c>
      <c r="J118" t="n">
        <v>2022</v>
      </c>
      <c r="K118" t="inlineStr">
        <is>
          <t>SETIEMBRE 2022</t>
        </is>
      </c>
      <c r="L118" t="inlineStr">
        <is>
          <t>SETIEMBRE 2023</t>
        </is>
      </c>
      <c r="M118" t="inlineStr">
        <is>
          <t>P.Q.S.  TIPO ABC</t>
        </is>
      </c>
      <c r="N118" t="inlineStr">
        <is>
          <t>01/307159</t>
        </is>
      </c>
      <c r="O118" t="inlineStr">
        <is>
          <t>V</t>
        </is>
      </c>
      <c r="P118">
        <f>TRIM(N118)</f>
        <v/>
      </c>
    </row>
    <row r="119">
      <c r="A119" t="inlineStr">
        <is>
          <t>CO-001120</t>
        </is>
      </c>
      <c r="B119" t="inlineStr">
        <is>
          <t>AVICOLA GOUS</t>
        </is>
      </c>
      <c r="D119" t="inlineStr">
        <is>
          <t>MERCADO AÑO NUEVO - PUESTO 61 - 60</t>
        </is>
      </c>
      <c r="E119" t="inlineStr">
        <is>
          <t>Lima, 15 de Setiembre de 2022</t>
        </is>
      </c>
      <c r="F119" t="inlineStr">
        <is>
          <t>la venta</t>
        </is>
      </c>
      <c r="G119" t="inlineStr">
        <is>
          <t>-</t>
        </is>
      </c>
      <c r="H119" t="inlineStr">
        <is>
          <t>06 KG</t>
        </is>
      </c>
      <c r="I119" t="inlineStr">
        <is>
          <t>2027</t>
        </is>
      </c>
      <c r="J119" t="n">
        <v>2022</v>
      </c>
      <c r="K119" t="inlineStr">
        <is>
          <t>SETIEMBRE 2022</t>
        </is>
      </c>
      <c r="L119" t="inlineStr">
        <is>
          <t>SETIEMBRE 2023</t>
        </is>
      </c>
      <c r="M119" t="inlineStr">
        <is>
          <t>P.Q.S.  TIPO ABC</t>
        </is>
      </c>
      <c r="N119" t="inlineStr">
        <is>
          <t>01/307194</t>
        </is>
      </c>
      <c r="O119" t="inlineStr">
        <is>
          <t>V</t>
        </is>
      </c>
      <c r="P119">
        <f>TRIM(N119)</f>
        <v/>
      </c>
    </row>
    <row r="120">
      <c r="A120" t="inlineStr">
        <is>
          <t>CO-001121</t>
        </is>
      </c>
      <c r="B120" t="inlineStr">
        <is>
          <t>CESAR CARRERA</t>
        </is>
      </c>
      <c r="D120" t="inlineStr">
        <is>
          <t>MERCADO AÑO NUEVO - PUESTO 56</t>
        </is>
      </c>
      <c r="E120" t="inlineStr">
        <is>
          <t>Lima, 15 de Setiembre de 2022</t>
        </is>
      </c>
      <c r="F120" t="inlineStr">
        <is>
          <t>la Recarga y mantenimiento</t>
        </is>
      </c>
      <c r="G120" t="inlineStr">
        <is>
          <t>-</t>
        </is>
      </c>
      <c r="H120" t="inlineStr">
        <is>
          <t>06 KG</t>
        </is>
      </c>
      <c r="I120" t="inlineStr">
        <is>
          <t>VIGENTE</t>
        </is>
      </c>
      <c r="J120" t="inlineStr">
        <is>
          <t>-</t>
        </is>
      </c>
      <c r="K120" t="inlineStr">
        <is>
          <t>SETIEMBRE 2022</t>
        </is>
      </c>
      <c r="L120" t="inlineStr">
        <is>
          <t>SETIEMBRE 2023</t>
        </is>
      </c>
      <c r="M120" t="inlineStr">
        <is>
          <t>P.Q.S.  TIPO ABC</t>
        </is>
      </c>
      <c r="N120" t="inlineStr">
        <is>
          <t>01/018998</t>
        </is>
      </c>
      <c r="O120" t="inlineStr">
        <is>
          <t>R</t>
        </is>
      </c>
      <c r="P120">
        <f>TRIM(N120)</f>
        <v/>
      </c>
    </row>
    <row r="121">
      <c r="A121" t="inlineStr">
        <is>
          <t>CO-001122</t>
        </is>
      </c>
      <c r="B121" t="inlineStr">
        <is>
          <t>CLESY GOYZUETA</t>
        </is>
      </c>
      <c r="D121" t="inlineStr">
        <is>
          <t>MERCADO AÑO NUEVO - PUESTO 55</t>
        </is>
      </c>
      <c r="E121" t="inlineStr">
        <is>
          <t>Lima, 15 de Setiembre de 2022</t>
        </is>
      </c>
      <c r="F121" t="inlineStr">
        <is>
          <t>la Recarga y mantenimiento</t>
        </is>
      </c>
      <c r="G121" t="inlineStr">
        <is>
          <t>-</t>
        </is>
      </c>
      <c r="H121" t="inlineStr">
        <is>
          <t>06 KG</t>
        </is>
      </c>
      <c r="I121" t="inlineStr">
        <is>
          <t>VIGENTE</t>
        </is>
      </c>
      <c r="J121" t="inlineStr">
        <is>
          <t>-</t>
        </is>
      </c>
      <c r="K121" t="inlineStr">
        <is>
          <t>SETIEMBRE 2022</t>
        </is>
      </c>
      <c r="L121" t="inlineStr">
        <is>
          <t>SETIEMBRE 2023</t>
        </is>
      </c>
      <c r="M121" t="inlineStr">
        <is>
          <t>P.Q.S.  TIPO ABC</t>
        </is>
      </c>
      <c r="N121" t="inlineStr">
        <is>
          <t>01/143674</t>
        </is>
      </c>
      <c r="O121" t="inlineStr">
        <is>
          <t>R</t>
        </is>
      </c>
      <c r="P121">
        <f>TRIM(N121)</f>
        <v/>
      </c>
    </row>
    <row r="122">
      <c r="A122" t="inlineStr">
        <is>
          <t>CO-001123</t>
        </is>
      </c>
      <c r="B122" t="inlineStr">
        <is>
          <t>ORTIZ CASTILLO</t>
        </is>
      </c>
      <c r="D122" t="inlineStr">
        <is>
          <t>MERCADO AÑO NUEVO - PUESTO 39</t>
        </is>
      </c>
      <c r="E122" t="inlineStr">
        <is>
          <t>Lima, 15 de Setiembre de 2022</t>
        </is>
      </c>
      <c r="F122" t="inlineStr">
        <is>
          <t>la Recarga y mantenimiento</t>
        </is>
      </c>
      <c r="G122" t="inlineStr">
        <is>
          <t>-</t>
        </is>
      </c>
      <c r="H122" t="inlineStr">
        <is>
          <t>06 KG</t>
        </is>
      </c>
      <c r="I122" t="inlineStr">
        <is>
          <t>VIGENTE</t>
        </is>
      </c>
      <c r="J122" t="inlineStr">
        <is>
          <t>-</t>
        </is>
      </c>
      <c r="K122" t="inlineStr">
        <is>
          <t>SETIEMBRE 2022</t>
        </is>
      </c>
      <c r="L122" t="inlineStr">
        <is>
          <t>SETIEMBRE 2023</t>
        </is>
      </c>
      <c r="M122" t="inlineStr">
        <is>
          <t>P.Q.S.  TIPO ABC</t>
        </is>
      </c>
      <c r="N122" t="inlineStr">
        <is>
          <t>BF-381439</t>
        </is>
      </c>
      <c r="O122" t="inlineStr">
        <is>
          <t>R</t>
        </is>
      </c>
      <c r="P122">
        <f>TRIM(N122)</f>
        <v/>
      </c>
    </row>
    <row r="123">
      <c r="A123" t="inlineStr">
        <is>
          <t>CO-001124</t>
        </is>
      </c>
      <c r="B123" t="inlineStr">
        <is>
          <t>NATALIA SALVADOR</t>
        </is>
      </c>
      <c r="D123" t="inlineStr">
        <is>
          <t>MERCADO AÑO NUEVO - PUESTO 34</t>
        </is>
      </c>
      <c r="E123" t="inlineStr">
        <is>
          <t>Lima, 15 de Setiembre de 2022</t>
        </is>
      </c>
      <c r="F123" t="inlineStr">
        <is>
          <t>la Recarga y mantenimiento</t>
        </is>
      </c>
      <c r="G123" t="inlineStr">
        <is>
          <t>-</t>
        </is>
      </c>
      <c r="H123" t="inlineStr">
        <is>
          <t>06 KG</t>
        </is>
      </c>
      <c r="I123" t="inlineStr">
        <is>
          <t>VIGENTE</t>
        </is>
      </c>
      <c r="J123" t="inlineStr">
        <is>
          <t>-</t>
        </is>
      </c>
      <c r="K123" t="inlineStr">
        <is>
          <t>SETIEMBRE 2022</t>
        </is>
      </c>
      <c r="L123" t="inlineStr">
        <is>
          <t>SETIEMBRE 2023</t>
        </is>
      </c>
      <c r="M123" t="inlineStr">
        <is>
          <t>P.Q.S.  TIPO ABC</t>
        </is>
      </c>
      <c r="N123" t="inlineStr">
        <is>
          <t>01/000080</t>
        </is>
      </c>
      <c r="O123" t="inlineStr">
        <is>
          <t>R</t>
        </is>
      </c>
      <c r="P123">
        <f>TRIM(N123)</f>
        <v/>
      </c>
    </row>
    <row r="124">
      <c r="A124" t="inlineStr">
        <is>
          <t>CO-001125</t>
        </is>
      </c>
      <c r="B124" t="inlineStr">
        <is>
          <t>ANGELICA DEL PILAR CARPIO PANTA</t>
        </is>
      </c>
      <c r="D124" t="inlineStr">
        <is>
          <t>MERCADO AÑO NUEVO - PUESTO 179</t>
        </is>
      </c>
      <c r="E124" t="inlineStr">
        <is>
          <t>Lima, 19 de Setiembre de 2022</t>
        </is>
      </c>
      <c r="F124" t="inlineStr">
        <is>
          <t>la venta</t>
        </is>
      </c>
      <c r="G124" t="inlineStr">
        <is>
          <t>-</t>
        </is>
      </c>
      <c r="H124" t="inlineStr">
        <is>
          <t>06 KG</t>
        </is>
      </c>
      <c r="I124" t="inlineStr">
        <is>
          <t>2027</t>
        </is>
      </c>
      <c r="J124" t="n">
        <v>2022</v>
      </c>
      <c r="K124" t="inlineStr">
        <is>
          <t>SETIEMBRE 2022</t>
        </is>
      </c>
      <c r="L124" t="inlineStr">
        <is>
          <t>SETIEMBRE 2023</t>
        </is>
      </c>
      <c r="M124" t="inlineStr">
        <is>
          <t>P.Q.S.  TIPO ABC</t>
        </is>
      </c>
      <c r="N124" t="inlineStr">
        <is>
          <t>01/306031</t>
        </is>
      </c>
      <c r="O124" t="inlineStr">
        <is>
          <t>V</t>
        </is>
      </c>
      <c r="P124">
        <f>TRIM(N124)</f>
        <v/>
      </c>
    </row>
    <row r="125">
      <c r="A125" t="inlineStr">
        <is>
          <t>CO-001126</t>
        </is>
      </c>
      <c r="B125" t="inlineStr">
        <is>
          <t>ELVIS SANDOVAL</t>
        </is>
      </c>
      <c r="D125" t="inlineStr">
        <is>
          <t>MERCADO AÑO NUEVO - PUESTO 32</t>
        </is>
      </c>
      <c r="E125" t="inlineStr">
        <is>
          <t>Lima, 15 de Setiembre de 2022</t>
        </is>
      </c>
      <c r="F125" t="inlineStr">
        <is>
          <t>la Recarga y mantenimiento</t>
        </is>
      </c>
      <c r="G125" t="inlineStr">
        <is>
          <t>-</t>
        </is>
      </c>
      <c r="H125" t="inlineStr">
        <is>
          <t>06 KG</t>
        </is>
      </c>
      <c r="I125" t="inlineStr">
        <is>
          <t>VIGENTE</t>
        </is>
      </c>
      <c r="J125" t="inlineStr">
        <is>
          <t>-</t>
        </is>
      </c>
      <c r="K125" t="inlineStr">
        <is>
          <t>SETIEMBRE 2022</t>
        </is>
      </c>
      <c r="L125" t="inlineStr">
        <is>
          <t>SETIEMBRE 2023</t>
        </is>
      </c>
      <c r="M125" t="inlineStr">
        <is>
          <t>P.Q.S.  TIPO ABC</t>
        </is>
      </c>
      <c r="N125" t="inlineStr">
        <is>
          <t>01/008036</t>
        </is>
      </c>
      <c r="O125" t="inlineStr">
        <is>
          <t>R</t>
        </is>
      </c>
      <c r="P125">
        <f>TRIM(N125)</f>
        <v/>
      </c>
    </row>
    <row r="126">
      <c r="A126" t="inlineStr">
        <is>
          <t>CO-001127</t>
        </is>
      </c>
      <c r="B126" t="inlineStr">
        <is>
          <t>MARIA BLANCO</t>
        </is>
      </c>
      <c r="D126" t="inlineStr">
        <is>
          <t xml:space="preserve">MERCADO AÑO NUEVO - PUESTO 27 </t>
        </is>
      </c>
      <c r="E126" t="inlineStr">
        <is>
          <t>Lima, 15 de Setiembre de 2022</t>
        </is>
      </c>
      <c r="F126" t="inlineStr">
        <is>
          <t>la Recarga y mantenimiento</t>
        </is>
      </c>
      <c r="G126" t="inlineStr">
        <is>
          <t>-</t>
        </is>
      </c>
      <c r="H126" t="inlineStr">
        <is>
          <t>06 KG</t>
        </is>
      </c>
      <c r="I126" t="inlineStr">
        <is>
          <t>VIGENTE</t>
        </is>
      </c>
      <c r="J126" t="inlineStr">
        <is>
          <t>-</t>
        </is>
      </c>
      <c r="K126" t="inlineStr">
        <is>
          <t>SETIEMBRE 2022</t>
        </is>
      </c>
      <c r="L126" t="inlineStr">
        <is>
          <t>SETIEMBRE 2023</t>
        </is>
      </c>
      <c r="M126" t="inlineStr">
        <is>
          <t>P.Q.S.  TIPO ABC</t>
        </is>
      </c>
      <c r="N126" t="inlineStr">
        <is>
          <t>01/001584</t>
        </is>
      </c>
      <c r="O126" t="inlineStr">
        <is>
          <t>R</t>
        </is>
      </c>
      <c r="P126">
        <f>TRIM(N126)</f>
        <v/>
      </c>
    </row>
    <row r="127">
      <c r="A127" t="inlineStr">
        <is>
          <t>CO-001128</t>
        </is>
      </c>
      <c r="B127" t="inlineStr">
        <is>
          <t>JUAN CARLOS FERNANDEZ</t>
        </is>
      </c>
      <c r="D127" t="inlineStr">
        <is>
          <t>MERCADO AÑO NUEVO - PUESTO 91</t>
        </is>
      </c>
      <c r="E127" t="inlineStr">
        <is>
          <t>Lima, 15 de Setiembre de 2022</t>
        </is>
      </c>
      <c r="F127" t="inlineStr">
        <is>
          <t>la Recarga y mantenimiento</t>
        </is>
      </c>
      <c r="G127" t="inlineStr">
        <is>
          <t>-</t>
        </is>
      </c>
      <c r="H127" t="inlineStr">
        <is>
          <t>06 KG</t>
        </is>
      </c>
      <c r="I127" t="inlineStr">
        <is>
          <t>VIGENTE</t>
        </is>
      </c>
      <c r="J127" t="inlineStr">
        <is>
          <t>-</t>
        </is>
      </c>
      <c r="K127" t="inlineStr">
        <is>
          <t>SETIEMBRE 2022</t>
        </is>
      </c>
      <c r="L127" t="inlineStr">
        <is>
          <t>SETIEMBRE 2023</t>
        </is>
      </c>
      <c r="M127" t="inlineStr">
        <is>
          <t>P.Q.S.  TIPO ABC</t>
        </is>
      </c>
      <c r="N127" t="inlineStr">
        <is>
          <t>01/009146</t>
        </is>
      </c>
      <c r="O127" t="inlineStr">
        <is>
          <t>R</t>
        </is>
      </c>
      <c r="P127">
        <f>TRIM(N127)</f>
        <v/>
      </c>
    </row>
    <row r="128">
      <c r="A128" t="inlineStr">
        <is>
          <t>CO-001129</t>
        </is>
      </c>
      <c r="B128" t="inlineStr">
        <is>
          <t>AQUILINA VARGAS</t>
        </is>
      </c>
      <c r="D128" t="inlineStr">
        <is>
          <t>MERCADO AÑO NUEVO - PUESTO 82</t>
        </is>
      </c>
      <c r="E128" t="inlineStr">
        <is>
          <t>Lima, 15 de Setiembre de 2022</t>
        </is>
      </c>
      <c r="F128" t="inlineStr">
        <is>
          <t>la Recarga y mantenimiento</t>
        </is>
      </c>
      <c r="G128" t="inlineStr">
        <is>
          <t>-</t>
        </is>
      </c>
      <c r="H128" t="inlineStr">
        <is>
          <t>06 KG</t>
        </is>
      </c>
      <c r="I128" t="inlineStr">
        <is>
          <t>VIGENTE</t>
        </is>
      </c>
      <c r="J128" t="inlineStr">
        <is>
          <t>-</t>
        </is>
      </c>
      <c r="K128" t="inlineStr">
        <is>
          <t>SETIEMBRE 2022</t>
        </is>
      </c>
      <c r="L128" t="inlineStr">
        <is>
          <t>SETIEMBRE 2023</t>
        </is>
      </c>
      <c r="M128" t="inlineStr">
        <is>
          <t>P.Q.S.  TIPO ABC</t>
        </is>
      </c>
      <c r="N128" t="inlineStr">
        <is>
          <t>01/001232</t>
        </is>
      </c>
      <c r="O128" t="inlineStr">
        <is>
          <t>R</t>
        </is>
      </c>
      <c r="P128">
        <f>TRIM(N128)</f>
        <v/>
      </c>
    </row>
    <row r="129">
      <c r="A129" t="inlineStr">
        <is>
          <t>CO-001130</t>
        </is>
      </c>
      <c r="B129" t="inlineStr">
        <is>
          <t>JANETH RAZURI</t>
        </is>
      </c>
      <c r="D129" t="inlineStr">
        <is>
          <t>MERCADO AÑO NUEVO - TIENDA 22</t>
        </is>
      </c>
      <c r="E129" t="inlineStr">
        <is>
          <t>Lima, 15 de Setiembre de 2022</t>
        </is>
      </c>
      <c r="F129" t="inlineStr">
        <is>
          <t>la Recarga y mantenimiento</t>
        </is>
      </c>
      <c r="G129" t="inlineStr">
        <is>
          <t>-</t>
        </is>
      </c>
      <c r="H129" t="inlineStr">
        <is>
          <t>06 KG</t>
        </is>
      </c>
      <c r="I129" t="inlineStr">
        <is>
          <t>VIGENTE</t>
        </is>
      </c>
      <c r="J129" t="inlineStr">
        <is>
          <t>-</t>
        </is>
      </c>
      <c r="K129" t="inlineStr">
        <is>
          <t>SETIEMBRE 2022</t>
        </is>
      </c>
      <c r="L129" t="inlineStr">
        <is>
          <t>SETIEMBRE 2023</t>
        </is>
      </c>
      <c r="M129" t="inlineStr">
        <is>
          <t>P.Q.S.  TIPO ABC</t>
        </is>
      </c>
      <c r="N129" t="inlineStr">
        <is>
          <t>01/000005</t>
        </is>
      </c>
      <c r="O129" t="inlineStr">
        <is>
          <t>R</t>
        </is>
      </c>
      <c r="P129">
        <f>TRIM(N129)</f>
        <v/>
      </c>
    </row>
    <row r="130">
      <c r="A130" t="inlineStr">
        <is>
          <t>CO-001131</t>
        </is>
      </c>
      <c r="B130" t="inlineStr">
        <is>
          <t>JESICA FLORES</t>
        </is>
      </c>
      <c r="D130" t="inlineStr">
        <is>
          <t>MERCADO AÑO NUEVO - PUESTO 19</t>
        </is>
      </c>
      <c r="E130" t="inlineStr">
        <is>
          <t>Lima, 15 de Setiembre de 2022</t>
        </is>
      </c>
      <c r="F130" t="inlineStr">
        <is>
          <t>la Recarga y mantenimiento</t>
        </is>
      </c>
      <c r="G130" t="inlineStr">
        <is>
          <t>-</t>
        </is>
      </c>
      <c r="H130" t="inlineStr">
        <is>
          <t>06 KG</t>
        </is>
      </c>
      <c r="I130" t="inlineStr">
        <is>
          <t>VIGENTE</t>
        </is>
      </c>
      <c r="J130" t="inlineStr">
        <is>
          <t>-</t>
        </is>
      </c>
      <c r="K130" t="inlineStr">
        <is>
          <t>SETIEMBRE 2022</t>
        </is>
      </c>
      <c r="L130" t="inlineStr">
        <is>
          <t>SETIEMBRE 2023</t>
        </is>
      </c>
      <c r="M130" t="inlineStr">
        <is>
          <t>P.Q.S.  TIPO ABC</t>
        </is>
      </c>
      <c r="N130" t="inlineStr">
        <is>
          <t>01/000976</t>
        </is>
      </c>
      <c r="O130" t="inlineStr">
        <is>
          <t>R</t>
        </is>
      </c>
      <c r="P130">
        <f>TRIM(N130)</f>
        <v/>
      </c>
    </row>
    <row r="131">
      <c r="A131" t="inlineStr">
        <is>
          <t>CO-001132</t>
        </is>
      </c>
      <c r="B131" t="inlineStr">
        <is>
          <t>MARIA CHUNGA</t>
        </is>
      </c>
      <c r="D131" t="inlineStr">
        <is>
          <t>MERCADO AÑO NUEVO - PUESTO 10</t>
        </is>
      </c>
      <c r="E131" t="inlineStr">
        <is>
          <t>Lima, 15 de Setiembre de 2022</t>
        </is>
      </c>
      <c r="F131" t="inlineStr">
        <is>
          <t>la Recarga y mantenimiento</t>
        </is>
      </c>
      <c r="G131" t="inlineStr">
        <is>
          <t>-</t>
        </is>
      </c>
      <c r="H131" t="inlineStr">
        <is>
          <t>06 KG</t>
        </is>
      </c>
      <c r="I131" t="inlineStr">
        <is>
          <t>VIGENTE</t>
        </is>
      </c>
      <c r="J131" t="inlineStr">
        <is>
          <t>-</t>
        </is>
      </c>
      <c r="K131" t="inlineStr">
        <is>
          <t>SETIEMBRE 2022</t>
        </is>
      </c>
      <c r="L131" t="inlineStr">
        <is>
          <t>SETIEMBRE 2023</t>
        </is>
      </c>
      <c r="M131" t="inlineStr">
        <is>
          <t>P.Q.S.  TIPO ABC</t>
        </is>
      </c>
      <c r="N131" t="inlineStr">
        <is>
          <t>01/002015</t>
        </is>
      </c>
      <c r="O131" t="inlineStr">
        <is>
          <t>R</t>
        </is>
      </c>
      <c r="P131">
        <f>TRIM(N131)</f>
        <v/>
      </c>
    </row>
    <row r="132">
      <c r="A132" t="inlineStr">
        <is>
          <t>CO-001133</t>
        </is>
      </c>
      <c r="B132" t="inlineStr">
        <is>
          <t>VICTOR SALVADOR</t>
        </is>
      </c>
      <c r="D132" t="inlineStr">
        <is>
          <t>MERCADO AÑO NUEVO - PUESTO 74 - B/ 2DO PISO</t>
        </is>
      </c>
      <c r="E132" t="inlineStr">
        <is>
          <t>Lima, 15 de Setiembre de 2022</t>
        </is>
      </c>
      <c r="F132" t="inlineStr">
        <is>
          <t>la Recarga y mantenimiento</t>
        </is>
      </c>
      <c r="G132" t="inlineStr">
        <is>
          <t>-</t>
        </is>
      </c>
      <c r="H132" t="inlineStr">
        <is>
          <t>06 KG</t>
        </is>
      </c>
      <c r="I132" t="inlineStr">
        <is>
          <t>VIGENTE</t>
        </is>
      </c>
      <c r="J132" t="inlineStr">
        <is>
          <t>-</t>
        </is>
      </c>
      <c r="K132" t="inlineStr">
        <is>
          <t>SETIEMBRE 2022</t>
        </is>
      </c>
      <c r="L132" t="inlineStr">
        <is>
          <t>SETIEMBRE 2023</t>
        </is>
      </c>
      <c r="M132" t="inlineStr">
        <is>
          <t>P.Q.S.  TIPO ABC</t>
        </is>
      </c>
      <c r="N132" t="inlineStr">
        <is>
          <t>S/N</t>
        </is>
      </c>
      <c r="O132" t="inlineStr">
        <is>
          <t>R</t>
        </is>
      </c>
      <c r="P132">
        <f>TRIM(N132)</f>
        <v/>
      </c>
    </row>
    <row r="133">
      <c r="A133" t="inlineStr">
        <is>
          <t>CO-001134</t>
        </is>
      </c>
      <c r="B133" t="inlineStr">
        <is>
          <t>EDGAR ARCE</t>
        </is>
      </c>
      <c r="D133" t="inlineStr">
        <is>
          <t>MERCADO AÑO NUEVO - PUESTO 71</t>
        </is>
      </c>
      <c r="E133" t="inlineStr">
        <is>
          <t>Lima, 15 de Setiembre de 2022</t>
        </is>
      </c>
      <c r="F133" t="inlineStr">
        <is>
          <t>la Recarga y mantenimiento</t>
        </is>
      </c>
      <c r="G133" t="inlineStr">
        <is>
          <t>-</t>
        </is>
      </c>
      <c r="H133" t="inlineStr">
        <is>
          <t>06 KG</t>
        </is>
      </c>
      <c r="I133" t="inlineStr">
        <is>
          <t>VIGENTE</t>
        </is>
      </c>
      <c r="J133" t="inlineStr">
        <is>
          <t>-</t>
        </is>
      </c>
      <c r="K133" t="inlineStr">
        <is>
          <t>SETIEMBRE 2022</t>
        </is>
      </c>
      <c r="L133" t="inlineStr">
        <is>
          <t>SETIEMBRE 2023</t>
        </is>
      </c>
      <c r="M133" t="inlineStr">
        <is>
          <t>P.Q.S.  TIPO ABC</t>
        </is>
      </c>
      <c r="N133" t="inlineStr">
        <is>
          <t>01/000812</t>
        </is>
      </c>
      <c r="O133" t="inlineStr">
        <is>
          <t>R</t>
        </is>
      </c>
      <c r="P133">
        <f>TRIM(N133)</f>
        <v/>
      </c>
    </row>
    <row r="134">
      <c r="A134" t="inlineStr">
        <is>
          <t>CO-001135</t>
        </is>
      </c>
      <c r="B134" t="inlineStr">
        <is>
          <t>LIDIA CASIMIRO</t>
        </is>
      </c>
      <c r="D134" t="inlineStr">
        <is>
          <t>MERCADO AÑO NUEVO - TIENDA F</t>
        </is>
      </c>
      <c r="E134" t="inlineStr">
        <is>
          <t>Lima, 15 de Setiembre de 2022</t>
        </is>
      </c>
      <c r="F134" t="inlineStr">
        <is>
          <t>la Recarga y mantenimiento</t>
        </is>
      </c>
      <c r="G134" t="inlineStr">
        <is>
          <t>-</t>
        </is>
      </c>
      <c r="H134" t="inlineStr">
        <is>
          <t>06 KG</t>
        </is>
      </c>
      <c r="I134" t="inlineStr">
        <is>
          <t>VIGENTE</t>
        </is>
      </c>
      <c r="J134" t="inlineStr">
        <is>
          <t>-</t>
        </is>
      </c>
      <c r="K134" t="inlineStr">
        <is>
          <t>SETIEMBRE 2022</t>
        </is>
      </c>
      <c r="L134" t="inlineStr">
        <is>
          <t>SETIEMBRE 2023</t>
        </is>
      </c>
      <c r="M134" t="inlineStr">
        <is>
          <t>P.Q.S.  TIPO ABC</t>
        </is>
      </c>
      <c r="N134" t="inlineStr">
        <is>
          <t>01/000005</t>
        </is>
      </c>
      <c r="O134" t="inlineStr">
        <is>
          <t>R</t>
        </is>
      </c>
      <c r="P134">
        <f>TRIM(N134)</f>
        <v/>
      </c>
    </row>
    <row r="135">
      <c r="A135" t="inlineStr">
        <is>
          <t>CO-001136</t>
        </is>
      </c>
      <c r="B135" t="inlineStr">
        <is>
          <t>TEODICIA QUISPE</t>
        </is>
      </c>
      <c r="D135" t="inlineStr">
        <is>
          <t>MERCADO AÑO NUEVO - PUESTO 62</t>
        </is>
      </c>
      <c r="E135" t="inlineStr">
        <is>
          <t>Lima, 15 de Setiembre de 2022</t>
        </is>
      </c>
      <c r="F135" t="inlineStr">
        <is>
          <t>la Recarga y mantenimiento</t>
        </is>
      </c>
      <c r="G135" t="inlineStr">
        <is>
          <t>-</t>
        </is>
      </c>
      <c r="H135" t="inlineStr">
        <is>
          <t>06 KG</t>
        </is>
      </c>
      <c r="I135" t="inlineStr">
        <is>
          <t>VIGENTE</t>
        </is>
      </c>
      <c r="J135" t="inlineStr">
        <is>
          <t>-</t>
        </is>
      </c>
      <c r="K135" t="inlineStr">
        <is>
          <t>SETIEMBRE 2022</t>
        </is>
      </c>
      <c r="L135" t="inlineStr">
        <is>
          <t>SETIEMBRE 2023</t>
        </is>
      </c>
      <c r="M135" t="inlineStr">
        <is>
          <t>P.Q.S.  TIPO ABC</t>
        </is>
      </c>
      <c r="N135" t="inlineStr">
        <is>
          <t>01/001208</t>
        </is>
      </c>
      <c r="O135" t="inlineStr">
        <is>
          <t>R</t>
        </is>
      </c>
      <c r="P135">
        <f>TRIM(N135)</f>
        <v/>
      </c>
    </row>
    <row r="136">
      <c r="A136" t="inlineStr">
        <is>
          <t>CO-001137</t>
        </is>
      </c>
      <c r="B136" t="inlineStr">
        <is>
          <t>ALEJO RICARDO VARGAS CISNEROS</t>
        </is>
      </c>
      <c r="C136" t="inlineStr">
        <is>
          <t>F9L-766</t>
        </is>
      </c>
      <c r="D136" t="inlineStr">
        <is>
          <t>LIMA</t>
        </is>
      </c>
      <c r="E136" t="inlineStr">
        <is>
          <t>Lima, 15 de Setiembre de 2022</t>
        </is>
      </c>
      <c r="F136" t="inlineStr">
        <is>
          <t>la Recarga y mantenimiento</t>
        </is>
      </c>
      <c r="G136" t="inlineStr">
        <is>
          <t>-</t>
        </is>
      </c>
      <c r="H136" t="inlineStr">
        <is>
          <t>04 KG</t>
        </is>
      </c>
      <c r="I136" t="inlineStr">
        <is>
          <t>VIGENTE</t>
        </is>
      </c>
      <c r="J136" t="inlineStr">
        <is>
          <t>-</t>
        </is>
      </c>
      <c r="K136" t="inlineStr">
        <is>
          <t>SETIEMBRE 2022</t>
        </is>
      </c>
      <c r="L136" t="inlineStr">
        <is>
          <t>SETIEMBRE 2023</t>
        </is>
      </c>
      <c r="M136" t="inlineStr">
        <is>
          <t>P.Q.S.  TIPO ABC</t>
        </is>
      </c>
      <c r="N136" t="inlineStr">
        <is>
          <t>S/N</t>
        </is>
      </c>
      <c r="O136" t="inlineStr">
        <is>
          <t>R</t>
        </is>
      </c>
      <c r="P136">
        <f>TRIM(N136)</f>
        <v/>
      </c>
    </row>
    <row r="137">
      <c r="A137" t="inlineStr">
        <is>
          <t>CO-001138</t>
        </is>
      </c>
      <c r="B137" t="inlineStr">
        <is>
          <t>TITO RAMIREZ</t>
        </is>
      </c>
      <c r="D137" t="inlineStr">
        <is>
          <t>MERCADO AÑO NUEVO - PUESTO 294</t>
        </is>
      </c>
      <c r="E137" t="inlineStr">
        <is>
          <t>Lima, 15 de Setiembre de 2022</t>
        </is>
      </c>
      <c r="F137" t="inlineStr">
        <is>
          <t>la Recarga y mantenimiento</t>
        </is>
      </c>
      <c r="G137" t="inlineStr">
        <is>
          <t>-</t>
        </is>
      </c>
      <c r="H137" t="inlineStr">
        <is>
          <t>06 KG</t>
        </is>
      </c>
      <c r="I137" t="inlineStr">
        <is>
          <t>VIGENTE</t>
        </is>
      </c>
      <c r="J137" t="inlineStr">
        <is>
          <t>-</t>
        </is>
      </c>
      <c r="K137" t="inlineStr">
        <is>
          <t>SETIEMBRE 2022</t>
        </is>
      </c>
      <c r="L137" t="inlineStr">
        <is>
          <t>SETIEMBRE 2023</t>
        </is>
      </c>
      <c r="M137" t="inlineStr">
        <is>
          <t>P.Q.S.  TIPO ABC</t>
        </is>
      </c>
      <c r="N137" t="inlineStr">
        <is>
          <t>01/000183</t>
        </is>
      </c>
      <c r="O137" t="inlineStr">
        <is>
          <t>R</t>
        </is>
      </c>
      <c r="P137">
        <f>TRIM(N137)</f>
        <v/>
      </c>
    </row>
    <row r="138">
      <c r="A138" t="inlineStr">
        <is>
          <t>CO-001139</t>
        </is>
      </c>
      <c r="B138" t="inlineStr">
        <is>
          <t>MARITZA VELASQUEZ</t>
        </is>
      </c>
      <c r="D138" t="inlineStr">
        <is>
          <t>MERCADO AÑO NUEVO - PUESTO 05</t>
        </is>
      </c>
      <c r="E138" t="inlineStr">
        <is>
          <t>Lima, 15 de Setiembre de 2022</t>
        </is>
      </c>
      <c r="F138" t="inlineStr">
        <is>
          <t>la Recarga y mantenimiento</t>
        </is>
      </c>
      <c r="G138" t="inlineStr">
        <is>
          <t>-</t>
        </is>
      </c>
      <c r="H138" t="inlineStr">
        <is>
          <t>06 KG</t>
        </is>
      </c>
      <c r="I138" t="inlineStr">
        <is>
          <t>VIGENTE</t>
        </is>
      </c>
      <c r="J138" t="inlineStr">
        <is>
          <t>-</t>
        </is>
      </c>
      <c r="K138" t="inlineStr">
        <is>
          <t>SETIEMBRE 2022</t>
        </is>
      </c>
      <c r="L138" t="inlineStr">
        <is>
          <t>SETIEMBRE 2023</t>
        </is>
      </c>
      <c r="M138" t="inlineStr">
        <is>
          <t>P.Q.S.  TIPO ABC</t>
        </is>
      </c>
      <c r="N138" t="inlineStr">
        <is>
          <t>01/003061</t>
        </is>
      </c>
      <c r="O138" t="inlineStr">
        <is>
          <t>R</t>
        </is>
      </c>
      <c r="P138">
        <f>TRIM(N138)</f>
        <v/>
      </c>
    </row>
    <row r="139">
      <c r="A139" t="inlineStr">
        <is>
          <t>CO-001140</t>
        </is>
      </c>
      <c r="B139" t="inlineStr">
        <is>
          <t>VILMA CLARITA</t>
        </is>
      </c>
      <c r="D139" t="inlineStr">
        <is>
          <t>MERCADO AÑO NUEVO - PUESTO 115</t>
        </is>
      </c>
      <c r="E139" t="inlineStr">
        <is>
          <t>Lima, 15 de Setiembre de 2022</t>
        </is>
      </c>
      <c r="F139" t="inlineStr">
        <is>
          <t>la Recarga y mantenimiento</t>
        </is>
      </c>
      <c r="G139" t="inlineStr">
        <is>
          <t>-</t>
        </is>
      </c>
      <c r="H139" t="inlineStr">
        <is>
          <t>06 KG</t>
        </is>
      </c>
      <c r="I139" t="inlineStr">
        <is>
          <t>VIGENTE</t>
        </is>
      </c>
      <c r="J139" t="inlineStr">
        <is>
          <t>-</t>
        </is>
      </c>
      <c r="K139" t="inlineStr">
        <is>
          <t>SETIEMBRE 2022</t>
        </is>
      </c>
      <c r="L139" t="inlineStr">
        <is>
          <t>SETIEMBRE 2023</t>
        </is>
      </c>
      <c r="M139" t="inlineStr">
        <is>
          <t>P.Q.S.  TIPO ABC</t>
        </is>
      </c>
      <c r="N139" t="inlineStr">
        <is>
          <t>01/000319</t>
        </is>
      </c>
      <c r="O139" t="inlineStr">
        <is>
          <t>R</t>
        </is>
      </c>
      <c r="P139">
        <f>TRIM(N139)</f>
        <v/>
      </c>
    </row>
    <row r="140">
      <c r="A140" t="inlineStr">
        <is>
          <t>CO-001141</t>
        </is>
      </c>
      <c r="B140" t="inlineStr">
        <is>
          <t>ELISBAN GONZALES</t>
        </is>
      </c>
      <c r="D140" t="inlineStr">
        <is>
          <t>MERCADO AÑO NUEVO - PUESTO 264</t>
        </is>
      </c>
      <c r="E140" t="inlineStr">
        <is>
          <t>Lima, 15 de Setiembre de 2022</t>
        </is>
      </c>
      <c r="F140" t="inlineStr">
        <is>
          <t>la Recarga y mantenimiento</t>
        </is>
      </c>
      <c r="G140" t="inlineStr">
        <is>
          <t>-</t>
        </is>
      </c>
      <c r="H140" t="inlineStr">
        <is>
          <t>06 KG</t>
        </is>
      </c>
      <c r="I140" t="inlineStr">
        <is>
          <t>VIGENTE</t>
        </is>
      </c>
      <c r="J140" t="inlineStr">
        <is>
          <t>-</t>
        </is>
      </c>
      <c r="K140" t="inlineStr">
        <is>
          <t>SETIEMBRE 2022</t>
        </is>
      </c>
      <c r="L140" t="inlineStr">
        <is>
          <t>SETIEMBRE 2023</t>
        </is>
      </c>
      <c r="M140" t="inlineStr">
        <is>
          <t>P.Q.S.  TIPO ABC</t>
        </is>
      </c>
      <c r="N140" t="inlineStr">
        <is>
          <t>01/001359</t>
        </is>
      </c>
      <c r="O140" t="inlineStr">
        <is>
          <t>R</t>
        </is>
      </c>
      <c r="P140">
        <f>TRIM(N140)</f>
        <v/>
      </c>
    </row>
    <row r="141">
      <c r="A141" t="inlineStr">
        <is>
          <t>CO-001142</t>
        </is>
      </c>
      <c r="B141" t="inlineStr">
        <is>
          <t>DORIS GOMEZ</t>
        </is>
      </c>
      <c r="D141" t="inlineStr">
        <is>
          <t>MERCADO AÑO NUEVO - PUESTO 181</t>
        </is>
      </c>
      <c r="E141" t="inlineStr">
        <is>
          <t>Lima, 15 de Setiembre de 2022</t>
        </is>
      </c>
      <c r="F141" t="inlineStr">
        <is>
          <t>la Recarga y mantenimiento</t>
        </is>
      </c>
      <c r="G141" t="inlineStr">
        <is>
          <t>-</t>
        </is>
      </c>
      <c r="H141" t="inlineStr">
        <is>
          <t>06 KG</t>
        </is>
      </c>
      <c r="I141" t="inlineStr">
        <is>
          <t>VIGENTE</t>
        </is>
      </c>
      <c r="J141" t="inlineStr">
        <is>
          <t>-</t>
        </is>
      </c>
      <c r="K141" t="inlineStr">
        <is>
          <t>SETIEMBRE 2022</t>
        </is>
      </c>
      <c r="L141" t="inlineStr">
        <is>
          <t>SETIEMBRE 2023</t>
        </is>
      </c>
      <c r="M141" t="inlineStr">
        <is>
          <t>P.Q.S.  TIPO ABC</t>
        </is>
      </c>
      <c r="N141" t="inlineStr">
        <is>
          <t>01/002011</t>
        </is>
      </c>
      <c r="O141" t="inlineStr">
        <is>
          <t>R</t>
        </is>
      </c>
      <c r="P141">
        <f>TRIM(N141)</f>
        <v/>
      </c>
    </row>
    <row r="142">
      <c r="A142" t="inlineStr">
        <is>
          <t>CO-001143</t>
        </is>
      </c>
      <c r="B142" t="inlineStr">
        <is>
          <t>WALTER LUIS ABANTO GONZALES</t>
        </is>
      </c>
      <c r="C142" t="inlineStr">
        <is>
          <t xml:space="preserve">09483140 </t>
        </is>
      </c>
      <c r="D142" t="inlineStr">
        <is>
          <t>PLACA: AMC 452</t>
        </is>
      </c>
      <c r="E142" t="inlineStr">
        <is>
          <t>Lima, 16 de Setiembre de 2022</t>
        </is>
      </c>
      <c r="F142" t="inlineStr">
        <is>
          <t>la Recarga y mantenimiento</t>
        </is>
      </c>
      <c r="G142" t="inlineStr">
        <is>
          <t>-</t>
        </is>
      </c>
      <c r="H142" t="inlineStr">
        <is>
          <t>02 KG</t>
        </is>
      </c>
      <c r="I142" t="inlineStr">
        <is>
          <t>VIGENTE</t>
        </is>
      </c>
      <c r="J142" t="inlineStr">
        <is>
          <t>-</t>
        </is>
      </c>
      <c r="K142" t="inlineStr">
        <is>
          <t>SETIEMBRE 2022</t>
        </is>
      </c>
      <c r="L142" t="inlineStr">
        <is>
          <t>SETIEMBRE 2023</t>
        </is>
      </c>
      <c r="M142" t="inlineStr">
        <is>
          <t>P.Q.S.  TIPO ABC</t>
        </is>
      </c>
      <c r="N142" t="inlineStr">
        <is>
          <t>S/N</t>
        </is>
      </c>
      <c r="O142" t="inlineStr">
        <is>
          <t>R</t>
        </is>
      </c>
      <c r="P142">
        <f>TRIM(N142)</f>
        <v/>
      </c>
    </row>
    <row r="143">
      <c r="A143" t="inlineStr">
        <is>
          <t>CO-001144</t>
        </is>
      </c>
      <c r="B143" t="inlineStr">
        <is>
          <t>FERNANDO JESUS REYES LANDAURO</t>
        </is>
      </c>
      <c r="C143" t="inlineStr">
        <is>
          <t>10744301</t>
        </is>
      </c>
      <c r="D143" t="inlineStr">
        <is>
          <t>PLACA: D3N-637</t>
        </is>
      </c>
      <c r="E143" t="inlineStr">
        <is>
          <t>Lima, 17 de Setiembre de 2022</t>
        </is>
      </c>
      <c r="F143" t="inlineStr">
        <is>
          <t>la Recarga y mantenimiento</t>
        </is>
      </c>
      <c r="G143" t="inlineStr">
        <is>
          <t>-</t>
        </is>
      </c>
      <c r="H143" t="inlineStr">
        <is>
          <t>01 KG</t>
        </is>
      </c>
      <c r="I143" t="inlineStr">
        <is>
          <t>VIGENTE</t>
        </is>
      </c>
      <c r="J143" t="inlineStr">
        <is>
          <t>-</t>
        </is>
      </c>
      <c r="K143" t="inlineStr">
        <is>
          <t>SETIEMBRE 2022</t>
        </is>
      </c>
      <c r="L143" t="inlineStr">
        <is>
          <t>SETIEMBRE 2023</t>
        </is>
      </c>
      <c r="M143" t="inlineStr">
        <is>
          <t>P.Q.S.  TIPO ABC</t>
        </is>
      </c>
      <c r="N143" t="inlineStr">
        <is>
          <t>01/006637</t>
        </is>
      </c>
      <c r="O143" t="inlineStr">
        <is>
          <t>R</t>
        </is>
      </c>
      <c r="P143">
        <f>TRIM(N143)</f>
        <v/>
      </c>
    </row>
    <row r="144">
      <c r="A144" t="inlineStr">
        <is>
          <t>CO-001145</t>
        </is>
      </c>
      <c r="B144" t="inlineStr">
        <is>
          <t>JORGE LUIS ORTIZ HUAMAN</t>
        </is>
      </c>
      <c r="C144" t="inlineStr">
        <is>
          <t xml:space="preserve">09787702 </t>
        </is>
      </c>
      <c r="D144" t="inlineStr">
        <is>
          <t xml:space="preserve">PACA: B8A-181 </t>
        </is>
      </c>
      <c r="E144" t="inlineStr">
        <is>
          <t>Lima, 17 de Setiembre de 2022</t>
        </is>
      </c>
      <c r="F144" t="inlineStr">
        <is>
          <t>la Recarga y mantenimiento</t>
        </is>
      </c>
      <c r="G144" t="inlineStr">
        <is>
          <t>-</t>
        </is>
      </c>
      <c r="H144" t="inlineStr">
        <is>
          <t>02 KG</t>
        </is>
      </c>
      <c r="I144" t="inlineStr">
        <is>
          <t>VIGENTE</t>
        </is>
      </c>
      <c r="J144" t="inlineStr">
        <is>
          <t>-</t>
        </is>
      </c>
      <c r="K144" t="inlineStr">
        <is>
          <t>SETIEMBRE 2022</t>
        </is>
      </c>
      <c r="L144" t="inlineStr">
        <is>
          <t>SETIEMBRE 2023</t>
        </is>
      </c>
      <c r="M144" t="inlineStr">
        <is>
          <t>P.Q.S.  TIPO ABC</t>
        </is>
      </c>
      <c r="N144" t="inlineStr">
        <is>
          <t>S/N</t>
        </is>
      </c>
      <c r="O144" t="inlineStr">
        <is>
          <t>R</t>
        </is>
      </c>
      <c r="P144">
        <f>TRIM(N144)</f>
        <v/>
      </c>
    </row>
    <row r="145">
      <c r="A145" t="inlineStr">
        <is>
          <t>CO-001146</t>
        </is>
      </c>
      <c r="B145" t="inlineStr">
        <is>
          <t>SUSY MALPARTIDA</t>
        </is>
      </c>
      <c r="D145" t="inlineStr">
        <is>
          <t>MERCADO AÑO NUEVO - PUESTO 164</t>
        </is>
      </c>
      <c r="E145" t="inlineStr">
        <is>
          <t>Lima, 19 de Setiembre de 2022</t>
        </is>
      </c>
      <c r="F145" t="inlineStr">
        <is>
          <t>la Recarga y mantenimiento</t>
        </is>
      </c>
      <c r="G145" t="inlineStr">
        <is>
          <t>-</t>
        </is>
      </c>
      <c r="H145" t="inlineStr">
        <is>
          <t>06 KG</t>
        </is>
      </c>
      <c r="I145" t="inlineStr">
        <is>
          <t>VIGENTE</t>
        </is>
      </c>
      <c r="J145" t="inlineStr">
        <is>
          <t>-</t>
        </is>
      </c>
      <c r="K145" t="inlineStr">
        <is>
          <t>SETIEMBRE 2022</t>
        </is>
      </c>
      <c r="L145" t="inlineStr">
        <is>
          <t>SETIEMBRE 2023</t>
        </is>
      </c>
      <c r="M145" t="inlineStr">
        <is>
          <t>P.Q.S.  TIPO ABC</t>
        </is>
      </c>
      <c r="N145" t="inlineStr">
        <is>
          <t>S/N</t>
        </is>
      </c>
      <c r="O145" t="inlineStr">
        <is>
          <t>R</t>
        </is>
      </c>
      <c r="P145">
        <f>TRIM(N145)</f>
        <v/>
      </c>
    </row>
    <row r="146">
      <c r="A146" t="inlineStr">
        <is>
          <t>CO-001147</t>
        </is>
      </c>
      <c r="B146" t="inlineStr">
        <is>
          <t>LUISA NIETO</t>
        </is>
      </c>
      <c r="D146" t="inlineStr">
        <is>
          <t>MERCADO AÑO NUEVO - PUESTO 162</t>
        </is>
      </c>
      <c r="E146" t="inlineStr">
        <is>
          <t>Lima, 19 de Setiembre de 2022</t>
        </is>
      </c>
      <c r="F146" t="inlineStr">
        <is>
          <t>la Recarga y mantenimiento</t>
        </is>
      </c>
      <c r="G146" t="inlineStr">
        <is>
          <t>-</t>
        </is>
      </c>
      <c r="H146" t="inlineStr">
        <is>
          <t>06 KG</t>
        </is>
      </c>
      <c r="I146" t="inlineStr">
        <is>
          <t>VIGENTE</t>
        </is>
      </c>
      <c r="J146" t="inlineStr">
        <is>
          <t>-</t>
        </is>
      </c>
      <c r="K146" t="inlineStr">
        <is>
          <t>SETIEMBRE 2022</t>
        </is>
      </c>
      <c r="L146" t="inlineStr">
        <is>
          <t>SETIEMBRE 2023</t>
        </is>
      </c>
      <c r="M146" t="inlineStr">
        <is>
          <t>P.Q.S.  TIPO ABC</t>
        </is>
      </c>
      <c r="N146" t="inlineStr">
        <is>
          <t>01/009367</t>
        </is>
      </c>
      <c r="O146" t="inlineStr">
        <is>
          <t>R</t>
        </is>
      </c>
      <c r="P146">
        <f>TRIM(N146)</f>
        <v/>
      </c>
    </row>
    <row r="147">
      <c r="A147" t="inlineStr">
        <is>
          <t>CO-001148</t>
        </is>
      </c>
      <c r="B147" t="inlineStr">
        <is>
          <t>SILVIA SANDOVAL</t>
        </is>
      </c>
      <c r="D147" t="inlineStr">
        <is>
          <t>MERCADO AÑO NUEVO - PUESTO 184</t>
        </is>
      </c>
      <c r="E147" t="inlineStr">
        <is>
          <t>Lima, 19 de Setiembre de 2022</t>
        </is>
      </c>
      <c r="F147" t="inlineStr">
        <is>
          <t>la Recarga y mantenimiento</t>
        </is>
      </c>
      <c r="G147" t="inlineStr">
        <is>
          <t>-</t>
        </is>
      </c>
      <c r="H147" t="inlineStr">
        <is>
          <t>06 KG</t>
        </is>
      </c>
      <c r="I147" t="inlineStr">
        <is>
          <t>VIGENTE</t>
        </is>
      </c>
      <c r="J147" t="inlineStr">
        <is>
          <t>-</t>
        </is>
      </c>
      <c r="K147" t="inlineStr">
        <is>
          <t>SETIEMBRE 2022</t>
        </is>
      </c>
      <c r="L147" t="inlineStr">
        <is>
          <t>SETIEMBRE 2023</t>
        </is>
      </c>
      <c r="M147" t="inlineStr">
        <is>
          <t>P.Q.S.  TIPO ABC</t>
        </is>
      </c>
      <c r="N147" t="inlineStr">
        <is>
          <t>01/000150</t>
        </is>
      </c>
      <c r="O147" t="inlineStr">
        <is>
          <t>R</t>
        </is>
      </c>
      <c r="P147">
        <f>TRIM(N147)</f>
        <v/>
      </c>
    </row>
    <row r="148">
      <c r="A148" t="inlineStr">
        <is>
          <t>CO-001149</t>
        </is>
      </c>
      <c r="B148" t="inlineStr">
        <is>
          <t>CARMEN CAMPOS</t>
        </is>
      </c>
      <c r="D148" t="inlineStr">
        <is>
          <t>MERCADO AÑO NUEVO - PUESTO 237</t>
        </is>
      </c>
      <c r="E148" t="inlineStr">
        <is>
          <t>Lima, 19 de Setiembre de 2022</t>
        </is>
      </c>
      <c r="F148" t="inlineStr">
        <is>
          <t>la Recarga y mantenimiento</t>
        </is>
      </c>
      <c r="G148" t="inlineStr">
        <is>
          <t>-</t>
        </is>
      </c>
      <c r="H148" t="inlineStr">
        <is>
          <t>06 KG</t>
        </is>
      </c>
      <c r="I148" t="inlineStr">
        <is>
          <t>VIGENTE</t>
        </is>
      </c>
      <c r="J148" t="inlineStr">
        <is>
          <t>-</t>
        </is>
      </c>
      <c r="K148" t="inlineStr">
        <is>
          <t>SETIEMBRE 2022</t>
        </is>
      </c>
      <c r="L148" t="inlineStr">
        <is>
          <t>SETIEMBRE 2023</t>
        </is>
      </c>
      <c r="M148" t="inlineStr">
        <is>
          <t>P.Q.S.  TIPO ABC</t>
        </is>
      </c>
      <c r="N148" t="inlineStr">
        <is>
          <t>01/005795</t>
        </is>
      </c>
      <c r="O148" t="inlineStr">
        <is>
          <t>R</t>
        </is>
      </c>
      <c r="P148">
        <f>TRIM(N148)</f>
        <v/>
      </c>
    </row>
    <row r="149">
      <c r="A149" t="inlineStr">
        <is>
          <t>CO-001150</t>
        </is>
      </c>
      <c r="B149" t="inlineStr">
        <is>
          <t>ROSMERY GOMEZ</t>
        </is>
      </c>
      <c r="D149" t="inlineStr">
        <is>
          <t>MERCADO AÑO NUEVO - PUESTO 346</t>
        </is>
      </c>
      <c r="E149" t="inlineStr">
        <is>
          <t>Lima, 19 de Setiembre de 2022</t>
        </is>
      </c>
      <c r="F149" t="inlineStr">
        <is>
          <t>la Recarga y mantenimiento</t>
        </is>
      </c>
      <c r="G149" t="inlineStr">
        <is>
          <t>-</t>
        </is>
      </c>
      <c r="H149" t="inlineStr">
        <is>
          <t>06 KG</t>
        </is>
      </c>
      <c r="I149" t="inlineStr">
        <is>
          <t>VIGENTE</t>
        </is>
      </c>
      <c r="J149" t="inlineStr">
        <is>
          <t>-</t>
        </is>
      </c>
      <c r="K149" t="inlineStr">
        <is>
          <t>SETIEMBRE 2022</t>
        </is>
      </c>
      <c r="L149" t="inlineStr">
        <is>
          <t>SETIEMBRE 2023</t>
        </is>
      </c>
      <c r="M149" t="inlineStr">
        <is>
          <t>P.Q.S.  TIPO ABC</t>
        </is>
      </c>
      <c r="N149" t="inlineStr">
        <is>
          <t>S/N</t>
        </is>
      </c>
      <c r="O149" t="inlineStr">
        <is>
          <t>R</t>
        </is>
      </c>
      <c r="P149">
        <f>TRIM(N149)</f>
        <v/>
      </c>
    </row>
    <row r="150">
      <c r="A150" t="inlineStr">
        <is>
          <t>CO-001151</t>
        </is>
      </c>
      <c r="B150" t="inlineStr">
        <is>
          <t>NANCY SALCEDO</t>
        </is>
      </c>
      <c r="D150" t="inlineStr">
        <is>
          <t>MERCADO AÑO NUEVO - PUESTO 309</t>
        </is>
      </c>
      <c r="E150" t="inlineStr">
        <is>
          <t>Lima, 19 de Setiembre de 2022</t>
        </is>
      </c>
      <c r="F150" t="inlineStr">
        <is>
          <t>la Recarga y mantenimiento</t>
        </is>
      </c>
      <c r="G150" t="inlineStr">
        <is>
          <t>-</t>
        </is>
      </c>
      <c r="H150" t="inlineStr">
        <is>
          <t>06 KG</t>
        </is>
      </c>
      <c r="I150" t="inlineStr">
        <is>
          <t>VIGENTE</t>
        </is>
      </c>
      <c r="J150" t="inlineStr">
        <is>
          <t>-</t>
        </is>
      </c>
      <c r="K150" t="inlineStr">
        <is>
          <t>SETIEMBRE 2022</t>
        </is>
      </c>
      <c r="L150" t="inlineStr">
        <is>
          <t>SETIEMBRE 2023</t>
        </is>
      </c>
      <c r="M150" t="inlineStr">
        <is>
          <t>P.Q.S.  TIPO ABC</t>
        </is>
      </c>
      <c r="N150" t="inlineStr">
        <is>
          <t>01/000011</t>
        </is>
      </c>
      <c r="O150" t="inlineStr">
        <is>
          <t>R</t>
        </is>
      </c>
      <c r="P150">
        <f>TRIM(N150)</f>
        <v/>
      </c>
    </row>
    <row r="151">
      <c r="A151" t="inlineStr">
        <is>
          <t>CO-001152</t>
        </is>
      </c>
      <c r="B151" t="inlineStr">
        <is>
          <t>ANA MARIA ZAVALA</t>
        </is>
      </c>
      <c r="D151" t="inlineStr">
        <is>
          <t>MERCADO AÑO NUEVO - PUESTO 123</t>
        </is>
      </c>
      <c r="E151" t="inlineStr">
        <is>
          <t>Lima, 19 de Setiembre de 2022</t>
        </is>
      </c>
      <c r="F151" t="inlineStr">
        <is>
          <t>la Recarga y mantenimiento</t>
        </is>
      </c>
      <c r="G151" t="inlineStr">
        <is>
          <t>-</t>
        </is>
      </c>
      <c r="H151" t="inlineStr">
        <is>
          <t>06 KG</t>
        </is>
      </c>
      <c r="I151" t="inlineStr">
        <is>
          <t>VIGENTE</t>
        </is>
      </c>
      <c r="J151" t="inlineStr">
        <is>
          <t>-</t>
        </is>
      </c>
      <c r="K151" t="inlineStr">
        <is>
          <t>SETIEMBRE 2022</t>
        </is>
      </c>
      <c r="L151" t="inlineStr">
        <is>
          <t>SETIEMBRE 2023</t>
        </is>
      </c>
      <c r="M151" t="inlineStr">
        <is>
          <t>P.Q.S.  TIPO ABC</t>
        </is>
      </c>
      <c r="N151" t="inlineStr">
        <is>
          <t>01/002585</t>
        </is>
      </c>
      <c r="O151" t="inlineStr">
        <is>
          <t>R</t>
        </is>
      </c>
      <c r="P151">
        <f>TRIM(N151)</f>
        <v/>
      </c>
    </row>
    <row r="152">
      <c r="A152" t="inlineStr">
        <is>
          <t>CO-001153</t>
        </is>
      </c>
      <c r="B152" t="inlineStr">
        <is>
          <t xml:space="preserve">GLORIA YANGA </t>
        </is>
      </c>
      <c r="D152" t="inlineStr">
        <is>
          <t>MERCADO AÑO NUEVO - PUESTO 120</t>
        </is>
      </c>
      <c r="E152" t="inlineStr">
        <is>
          <t>Lima, 19 de Setiembre de 2022</t>
        </is>
      </c>
      <c r="F152" t="inlineStr">
        <is>
          <t>la Recarga y mantenimiento</t>
        </is>
      </c>
      <c r="G152" t="inlineStr">
        <is>
          <t>-</t>
        </is>
      </c>
      <c r="H152" t="inlineStr">
        <is>
          <t>06 KG</t>
        </is>
      </c>
      <c r="I152" t="inlineStr">
        <is>
          <t>VIGENTE</t>
        </is>
      </c>
      <c r="J152" t="inlineStr">
        <is>
          <t>-</t>
        </is>
      </c>
      <c r="K152" t="inlineStr">
        <is>
          <t>SETIEMBRE 2022</t>
        </is>
      </c>
      <c r="L152" t="inlineStr">
        <is>
          <t>SETIEMBRE 2023</t>
        </is>
      </c>
      <c r="M152" t="inlineStr">
        <is>
          <t>P.Q.S.  TIPO ABC</t>
        </is>
      </c>
      <c r="N152" t="inlineStr">
        <is>
          <t>010/000165</t>
        </is>
      </c>
      <c r="O152" t="inlineStr">
        <is>
          <t>R</t>
        </is>
      </c>
      <c r="P152">
        <f>TRIM(N152)</f>
        <v/>
      </c>
    </row>
    <row r="153">
      <c r="A153" t="inlineStr">
        <is>
          <t>CO-001154</t>
        </is>
      </c>
      <c r="B153" t="inlineStr">
        <is>
          <t>DORIS NIEVES</t>
        </is>
      </c>
      <c r="D153" t="inlineStr">
        <is>
          <t>MERCADO AÑO NUEVO - PUESTO 339</t>
        </is>
      </c>
      <c r="E153" t="inlineStr">
        <is>
          <t>Lima, 19 de Setiembre de 2022</t>
        </is>
      </c>
      <c r="F153" t="inlineStr">
        <is>
          <t>la Recarga y mantenimiento</t>
        </is>
      </c>
      <c r="G153" t="inlineStr">
        <is>
          <t>-</t>
        </is>
      </c>
      <c r="H153" t="inlineStr">
        <is>
          <t>06 KG</t>
        </is>
      </c>
      <c r="I153" t="inlineStr">
        <is>
          <t>VIGENTE</t>
        </is>
      </c>
      <c r="J153" t="inlineStr">
        <is>
          <t>-</t>
        </is>
      </c>
      <c r="K153" t="inlineStr">
        <is>
          <t>SETIEMBRE 2022</t>
        </is>
      </c>
      <c r="L153" t="inlineStr">
        <is>
          <t>SETIEMBRE 2023</t>
        </is>
      </c>
      <c r="M153" t="inlineStr">
        <is>
          <t>P.Q.S.  TIPO ABC</t>
        </is>
      </c>
      <c r="N153" t="inlineStr">
        <is>
          <t>01/000753</t>
        </is>
      </c>
      <c r="O153" t="inlineStr">
        <is>
          <t>R</t>
        </is>
      </c>
      <c r="P153">
        <f>TRIM(N153)</f>
        <v/>
      </c>
    </row>
    <row r="154">
      <c r="A154" t="inlineStr">
        <is>
          <t>CO-001155</t>
        </is>
      </c>
      <c r="B154" t="inlineStr">
        <is>
          <t>SEGUNDO FRANCISCO CORTEZ</t>
        </is>
      </c>
      <c r="C154" t="inlineStr">
        <is>
          <t xml:space="preserve">DNI :03890757 </t>
        </is>
      </c>
      <c r="D154" t="inlineStr">
        <is>
          <t>PLACA: D03-701</t>
        </is>
      </c>
      <c r="E154" t="inlineStr">
        <is>
          <t>Lima, 19 de Setiembre de 2022</t>
        </is>
      </c>
      <c r="F154" t="inlineStr">
        <is>
          <t>la Recarga y mantenimiento</t>
        </is>
      </c>
      <c r="G154" t="inlineStr">
        <is>
          <t>-</t>
        </is>
      </c>
      <c r="H154" t="inlineStr">
        <is>
          <t>06 KG</t>
        </is>
      </c>
      <c r="I154" t="inlineStr">
        <is>
          <t>VIGENTE</t>
        </is>
      </c>
      <c r="J154" t="inlineStr">
        <is>
          <t>-</t>
        </is>
      </c>
      <c r="K154" t="inlineStr">
        <is>
          <t>SETIEMBRE 2022</t>
        </is>
      </c>
      <c r="L154" t="inlineStr">
        <is>
          <t>SETIEMBRE 2023</t>
        </is>
      </c>
      <c r="M154" t="inlineStr">
        <is>
          <t>P.Q.S.  TIPO ABC</t>
        </is>
      </c>
      <c r="N154" t="inlineStr">
        <is>
          <t>S/N</t>
        </is>
      </c>
      <c r="O154" t="inlineStr">
        <is>
          <t>R</t>
        </is>
      </c>
      <c r="P154">
        <f>TRIM(N154)</f>
        <v/>
      </c>
    </row>
    <row r="155">
      <c r="A155" t="inlineStr">
        <is>
          <t>CO-001156</t>
        </is>
      </c>
      <c r="B155" t="inlineStr">
        <is>
          <t xml:space="preserve">NESTOR FLORES DE LA TORRE </t>
        </is>
      </c>
      <c r="C155" t="inlineStr">
        <is>
          <t xml:space="preserve">DNI: 70006476 </t>
        </is>
      </c>
      <c r="D155" t="inlineStr">
        <is>
          <t>PLACA D1C-237</t>
        </is>
      </c>
      <c r="E155" t="inlineStr">
        <is>
          <t>Lima, 19 de Setiembre de 2022</t>
        </is>
      </c>
      <c r="F155" t="inlineStr">
        <is>
          <t>la Recarga y mantenimiento</t>
        </is>
      </c>
      <c r="G155" t="inlineStr">
        <is>
          <t>-</t>
        </is>
      </c>
      <c r="H155" t="inlineStr">
        <is>
          <t>02 KG</t>
        </is>
      </c>
      <c r="I155" t="inlineStr">
        <is>
          <t>VIGENTE</t>
        </is>
      </c>
      <c r="J155" t="n">
        <v>2020</v>
      </c>
      <c r="K155" t="inlineStr">
        <is>
          <t>SETIEMBRE 2022</t>
        </is>
      </c>
      <c r="L155" t="inlineStr">
        <is>
          <t>SETIEMBRE 2023</t>
        </is>
      </c>
      <c r="M155" t="inlineStr">
        <is>
          <t>P.Q.S.  TIPO ABC</t>
        </is>
      </c>
      <c r="N155" t="inlineStr">
        <is>
          <t>01/003820</t>
        </is>
      </c>
      <c r="O155" t="inlineStr">
        <is>
          <t>R</t>
        </is>
      </c>
      <c r="P155">
        <f>TRIM(N155)</f>
        <v/>
      </c>
    </row>
    <row r="156">
      <c r="A156" t="inlineStr">
        <is>
          <t>CO-001157</t>
        </is>
      </c>
      <c r="B156" t="inlineStr">
        <is>
          <t xml:space="preserve">ARNALDO SANTOS BLAS DUEÑAS </t>
        </is>
      </c>
      <c r="C156" t="inlineStr">
        <is>
          <t>DNI: 32123441</t>
        </is>
      </c>
      <c r="D156" t="inlineStr">
        <is>
          <t xml:space="preserve">PLACA H2K-804 </t>
        </is>
      </c>
      <c r="E156" t="inlineStr">
        <is>
          <t>Lima, 20 de Setiembre de 2022</t>
        </is>
      </c>
      <c r="F156" t="inlineStr">
        <is>
          <t>la venta</t>
        </is>
      </c>
      <c r="G156" t="inlineStr">
        <is>
          <t>-</t>
        </is>
      </c>
      <c r="H156" t="inlineStr">
        <is>
          <t>06 KG</t>
        </is>
      </c>
      <c r="I156" t="inlineStr">
        <is>
          <t>2027</t>
        </is>
      </c>
      <c r="J156" t="n">
        <v>2022</v>
      </c>
      <c r="K156" t="inlineStr">
        <is>
          <t>SETIEMBRE 2022</t>
        </is>
      </c>
      <c r="L156" t="inlineStr">
        <is>
          <t>SETIEMBRE 2023</t>
        </is>
      </c>
      <c r="M156" t="inlineStr">
        <is>
          <t>P.Q.S.  TIPO ABC</t>
        </is>
      </c>
      <c r="N156" t="inlineStr">
        <is>
          <t>01/015258</t>
        </is>
      </c>
      <c r="O156" t="inlineStr">
        <is>
          <t>v</t>
        </is>
      </c>
      <c r="P156">
        <f>TRIM(N156)</f>
        <v/>
      </c>
    </row>
    <row r="157">
      <c r="A157" t="inlineStr">
        <is>
          <t>CO-001158</t>
        </is>
      </c>
      <c r="B157" t="inlineStr">
        <is>
          <t xml:space="preserve">EDILBERTO JESUS SUERO SALAS </t>
        </is>
      </c>
      <c r="C157" t="inlineStr">
        <is>
          <t>DNI: 45882713</t>
        </is>
      </c>
      <c r="D157" t="inlineStr">
        <is>
          <t xml:space="preserve">MERCADO SANGARARA PUESTO 11 (ESQUINA) </t>
        </is>
      </c>
      <c r="E157" t="inlineStr">
        <is>
          <t>Lima, 20 de Setiembre de 2022</t>
        </is>
      </c>
      <c r="F157" t="inlineStr">
        <is>
          <t>la venta</t>
        </is>
      </c>
      <c r="G157" t="inlineStr">
        <is>
          <t>-</t>
        </is>
      </c>
      <c r="H157" t="inlineStr">
        <is>
          <t>06 KG</t>
        </is>
      </c>
      <c r="I157" t="inlineStr">
        <is>
          <t>2027</t>
        </is>
      </c>
      <c r="J157" t="n">
        <v>2022</v>
      </c>
      <c r="K157" t="inlineStr">
        <is>
          <t>SETIEMBRE 2022</t>
        </is>
      </c>
      <c r="L157" t="inlineStr">
        <is>
          <t>SETIEMBRE 2023</t>
        </is>
      </c>
      <c r="M157" t="inlineStr">
        <is>
          <t>P.Q.S.  TIPO ABC</t>
        </is>
      </c>
      <c r="N157" t="inlineStr">
        <is>
          <t>01/307190</t>
        </is>
      </c>
      <c r="O157" t="inlineStr">
        <is>
          <t>V</t>
        </is>
      </c>
      <c r="P157">
        <f>TRIM(N157)</f>
        <v/>
      </c>
    </row>
    <row r="158">
      <c r="A158" t="inlineStr">
        <is>
          <t>CO-001159</t>
        </is>
      </c>
      <c r="B158" t="inlineStr">
        <is>
          <t>MANUEL ALBINES</t>
        </is>
      </c>
      <c r="D158" t="inlineStr">
        <is>
          <t>AV TUPAC AMARU N° 6845 - COMAS</t>
        </is>
      </c>
      <c r="E158" t="inlineStr">
        <is>
          <t>Lima, 20 de Setiembre de 2022</t>
        </is>
      </c>
      <c r="F158" t="inlineStr">
        <is>
          <t>la Recarga y mantenimiento</t>
        </is>
      </c>
      <c r="G158" t="inlineStr">
        <is>
          <t>-</t>
        </is>
      </c>
      <c r="H158" t="inlineStr">
        <is>
          <t>06 KG</t>
        </is>
      </c>
      <c r="I158" t="inlineStr">
        <is>
          <t>VIGENTE</t>
        </is>
      </c>
      <c r="J158" t="n">
        <v>2012</v>
      </c>
      <c r="K158" t="inlineStr">
        <is>
          <t>SETIEMBRE 2022</t>
        </is>
      </c>
      <c r="L158" t="inlineStr">
        <is>
          <t>SETIEMBRE 2023</t>
        </is>
      </c>
      <c r="M158" t="inlineStr">
        <is>
          <t>P.Q.S.  TIPO ABC</t>
        </is>
      </c>
      <c r="N158" t="inlineStr">
        <is>
          <t>01/000731</t>
        </is>
      </c>
      <c r="O158" t="inlineStr">
        <is>
          <t>R</t>
        </is>
      </c>
      <c r="P158">
        <f>TRIM(N158)</f>
        <v/>
      </c>
    </row>
    <row r="159">
      <c r="A159" t="inlineStr">
        <is>
          <t>CO-001160</t>
        </is>
      </c>
      <c r="B159" t="inlineStr">
        <is>
          <t>CRISTIAN RUIZ MUGUERZA</t>
        </is>
      </c>
      <c r="D159" t="inlineStr">
        <is>
          <t>JR MARTE MZ Z LT 25 URB VILLA COLLIQUE - COMAS</t>
        </is>
      </c>
      <c r="E159" t="inlineStr">
        <is>
          <t>Lima, 20 de Setiembre de 2022</t>
        </is>
      </c>
      <c r="F159" t="inlineStr">
        <is>
          <t>la Recarga y mantenimiento</t>
        </is>
      </c>
      <c r="G159" t="inlineStr">
        <is>
          <t>-</t>
        </is>
      </c>
      <c r="H159" t="inlineStr">
        <is>
          <t>06 KG</t>
        </is>
      </c>
      <c r="I159" t="inlineStr">
        <is>
          <t>VIGENTE</t>
        </is>
      </c>
      <c r="J159" t="n">
        <v>2012</v>
      </c>
      <c r="K159" t="inlineStr">
        <is>
          <t>SETIEMBRE 2022</t>
        </is>
      </c>
      <c r="L159" t="inlineStr">
        <is>
          <t>SETIEMBRE 2023</t>
        </is>
      </c>
      <c r="M159" t="inlineStr">
        <is>
          <t>P.Q.S.  TIPO ABC</t>
        </is>
      </c>
      <c r="N159" t="inlineStr">
        <is>
          <t>01/001991</t>
        </is>
      </c>
      <c r="O159" t="inlineStr">
        <is>
          <t>R</t>
        </is>
      </c>
      <c r="P159">
        <f>TRIM(N159)</f>
        <v/>
      </c>
    </row>
    <row r="160">
      <c r="A160" t="inlineStr">
        <is>
          <t>CO-001161</t>
        </is>
      </c>
      <c r="B160" t="inlineStr">
        <is>
          <t>RODRIGO HUAMANI</t>
        </is>
      </c>
      <c r="D160" t="inlineStr">
        <is>
          <t>MERCADO AÑO NUEVO - PUESTO 261</t>
        </is>
      </c>
      <c r="E160" t="inlineStr">
        <is>
          <t>Lima, 20 de Setiembre de 2022</t>
        </is>
      </c>
      <c r="F160" t="inlineStr">
        <is>
          <t>la Recarga y mantenimiento</t>
        </is>
      </c>
      <c r="G160" t="inlineStr">
        <is>
          <t>-</t>
        </is>
      </c>
      <c r="H160" t="inlineStr">
        <is>
          <t>06 KG</t>
        </is>
      </c>
      <c r="I160" t="inlineStr">
        <is>
          <t>VIGENTE</t>
        </is>
      </c>
      <c r="J160" t="inlineStr">
        <is>
          <t>-</t>
        </is>
      </c>
      <c r="K160" t="inlineStr">
        <is>
          <t>SETIEMBRE 2022</t>
        </is>
      </c>
      <c r="L160" t="inlineStr">
        <is>
          <t>SETIEMBRE 2023</t>
        </is>
      </c>
      <c r="M160" t="inlineStr">
        <is>
          <t>P.Q.S.  TIPO ABC</t>
        </is>
      </c>
      <c r="N160" t="inlineStr">
        <is>
          <t>01/000184</t>
        </is>
      </c>
      <c r="O160" t="inlineStr">
        <is>
          <t>R</t>
        </is>
      </c>
      <c r="P160">
        <f>TRIM(N160)</f>
        <v/>
      </c>
    </row>
    <row r="161">
      <c r="A161" t="inlineStr">
        <is>
          <t>CO-001162</t>
        </is>
      </c>
      <c r="B161" t="inlineStr">
        <is>
          <t>TERESA QUISPE</t>
        </is>
      </c>
      <c r="D161" t="inlineStr">
        <is>
          <t>MERCADO AÑO NUEVO - PUESTO 123-B</t>
        </is>
      </c>
      <c r="E161" t="inlineStr">
        <is>
          <t>Lima, 20 de Setiembre de 2022</t>
        </is>
      </c>
      <c r="F161" t="inlineStr">
        <is>
          <t>la Recarga y mantenimiento</t>
        </is>
      </c>
      <c r="G161" t="inlineStr">
        <is>
          <t>-</t>
        </is>
      </c>
      <c r="H161" t="inlineStr">
        <is>
          <t>06 KG</t>
        </is>
      </c>
      <c r="I161" t="inlineStr">
        <is>
          <t>VIGENTE</t>
        </is>
      </c>
      <c r="J161" t="inlineStr">
        <is>
          <t>-</t>
        </is>
      </c>
      <c r="K161" t="inlineStr">
        <is>
          <t>SETIEMBRE 2022</t>
        </is>
      </c>
      <c r="L161" t="inlineStr">
        <is>
          <t>SETIEMBRE 2023</t>
        </is>
      </c>
      <c r="M161" t="inlineStr">
        <is>
          <t>P.Q.S.  TIPO ABC</t>
        </is>
      </c>
      <c r="N161" t="inlineStr">
        <is>
          <t>01/000939</t>
        </is>
      </c>
      <c r="O161" t="inlineStr">
        <is>
          <t>R</t>
        </is>
      </c>
      <c r="P161">
        <f>TRIM(N161)</f>
        <v/>
      </c>
    </row>
    <row r="162">
      <c r="A162" t="inlineStr">
        <is>
          <t>CO-001163</t>
        </is>
      </c>
      <c r="B162" t="inlineStr">
        <is>
          <t>JUSTIN ACUÑA</t>
        </is>
      </c>
      <c r="D162" t="inlineStr">
        <is>
          <t>MERCADO AÑO NUEVO - PUESTO 230</t>
        </is>
      </c>
      <c r="E162" t="inlineStr">
        <is>
          <t>Lima, 20 de Setiembre de 2022</t>
        </is>
      </c>
      <c r="F162" t="inlineStr">
        <is>
          <t>la Recarga y mantenimiento</t>
        </is>
      </c>
      <c r="G162" t="inlineStr">
        <is>
          <t>-</t>
        </is>
      </c>
      <c r="H162" t="inlineStr">
        <is>
          <t>06 KG</t>
        </is>
      </c>
      <c r="I162" t="inlineStr">
        <is>
          <t>VIGENTE</t>
        </is>
      </c>
      <c r="J162" t="inlineStr">
        <is>
          <t>-</t>
        </is>
      </c>
      <c r="K162" t="inlineStr">
        <is>
          <t>SETIEMBRE 2022</t>
        </is>
      </c>
      <c r="L162" t="inlineStr">
        <is>
          <t>SETIEMBRE 2023</t>
        </is>
      </c>
      <c r="M162" t="inlineStr">
        <is>
          <t>P.Q.S.  TIPO ABC</t>
        </is>
      </c>
      <c r="N162" t="inlineStr">
        <is>
          <t>01/002015</t>
        </is>
      </c>
      <c r="O162" t="inlineStr">
        <is>
          <t>R</t>
        </is>
      </c>
      <c r="P162">
        <f>TRIM(N162)</f>
        <v/>
      </c>
    </row>
    <row r="163">
      <c r="A163" t="inlineStr">
        <is>
          <t>CO-001164</t>
        </is>
      </c>
      <c r="B163" t="inlineStr">
        <is>
          <t>NORKA VARGAS</t>
        </is>
      </c>
      <c r="D163" t="inlineStr">
        <is>
          <t>MERCADO AÑO NUEVO - PUESTO 142</t>
        </is>
      </c>
      <c r="E163" t="inlineStr">
        <is>
          <t>Lima, 20 de Setiembre de 2022</t>
        </is>
      </c>
      <c r="F163" t="inlineStr">
        <is>
          <t>la Recarga y mantenimiento</t>
        </is>
      </c>
      <c r="G163" t="inlineStr">
        <is>
          <t>-</t>
        </is>
      </c>
      <c r="H163" t="inlineStr">
        <is>
          <t>06 KG</t>
        </is>
      </c>
      <c r="I163" t="inlineStr">
        <is>
          <t>VIGENTE</t>
        </is>
      </c>
      <c r="J163" t="inlineStr">
        <is>
          <t>-</t>
        </is>
      </c>
      <c r="K163" t="inlineStr">
        <is>
          <t>SETIEMBRE 2022</t>
        </is>
      </c>
      <c r="L163" t="inlineStr">
        <is>
          <t>SETIEMBRE 2023</t>
        </is>
      </c>
      <c r="M163" t="inlineStr">
        <is>
          <t>P.Q.S.  TIPO ABC</t>
        </is>
      </c>
      <c r="N163" t="inlineStr">
        <is>
          <t>01/000267</t>
        </is>
      </c>
      <c r="O163" t="inlineStr">
        <is>
          <t>R</t>
        </is>
      </c>
      <c r="P163">
        <f>TRIM(N163)</f>
        <v/>
      </c>
    </row>
    <row r="164">
      <c r="A164" t="inlineStr">
        <is>
          <t>CO-001165</t>
        </is>
      </c>
      <c r="B164" t="inlineStr">
        <is>
          <t>NORKA VARGAS</t>
        </is>
      </c>
      <c r="D164" t="inlineStr">
        <is>
          <t>MERCADO AÑO NUEVO - PUESTO 255</t>
        </is>
      </c>
      <c r="E164" t="inlineStr">
        <is>
          <t>Lima, 20 de Setiembre de 2022</t>
        </is>
      </c>
      <c r="F164" t="inlineStr">
        <is>
          <t>la Recarga y mantenimiento</t>
        </is>
      </c>
      <c r="G164" t="inlineStr">
        <is>
          <t>-</t>
        </is>
      </c>
      <c r="H164" t="inlineStr">
        <is>
          <t>06 KG</t>
        </is>
      </c>
      <c r="I164" t="inlineStr">
        <is>
          <t>VIGENTE</t>
        </is>
      </c>
      <c r="J164" t="inlineStr">
        <is>
          <t>-</t>
        </is>
      </c>
      <c r="K164" t="inlineStr">
        <is>
          <t>SETIEMBRE 2022</t>
        </is>
      </c>
      <c r="L164" t="inlineStr">
        <is>
          <t>SETIEMBRE 2023</t>
        </is>
      </c>
      <c r="M164" t="inlineStr">
        <is>
          <t>P.Q.S.  TIPO ABC</t>
        </is>
      </c>
      <c r="N164" t="inlineStr">
        <is>
          <t>01/000280</t>
        </is>
      </c>
      <c r="O164" t="inlineStr">
        <is>
          <t>R</t>
        </is>
      </c>
      <c r="P164">
        <f>TRIM(N164)</f>
        <v/>
      </c>
    </row>
    <row r="165">
      <c r="A165" t="inlineStr">
        <is>
          <t>CO-001166</t>
        </is>
      </c>
      <c r="B165" t="inlineStr">
        <is>
          <t>ELENA CHAUPIS V.</t>
        </is>
      </c>
      <c r="D165" t="inlineStr">
        <is>
          <t>MERCADO AÑO NUEVO - PUESTO 312</t>
        </is>
      </c>
      <c r="E165" t="inlineStr">
        <is>
          <t>Lima, 20 de Setiembre de 2022</t>
        </is>
      </c>
      <c r="F165" t="inlineStr">
        <is>
          <t>la Recarga y mantenimiento</t>
        </is>
      </c>
      <c r="G165" t="inlineStr">
        <is>
          <t>-</t>
        </is>
      </c>
      <c r="H165" t="inlineStr">
        <is>
          <t>06 KG</t>
        </is>
      </c>
      <c r="I165" t="inlineStr">
        <is>
          <t>VIGENTE</t>
        </is>
      </c>
      <c r="J165" t="inlineStr">
        <is>
          <t>-</t>
        </is>
      </c>
      <c r="K165" t="inlineStr">
        <is>
          <t>SETIEMBRE 2022</t>
        </is>
      </c>
      <c r="L165" t="inlineStr">
        <is>
          <t>SETIEMBRE 2023</t>
        </is>
      </c>
      <c r="M165" t="inlineStr">
        <is>
          <t>P.Q.S.  TIPO ABC</t>
        </is>
      </c>
      <c r="N165" t="inlineStr">
        <is>
          <t>S/N</t>
        </is>
      </c>
      <c r="O165" t="inlineStr">
        <is>
          <t>R</t>
        </is>
      </c>
      <c r="P165">
        <f>TRIM(N165)</f>
        <v/>
      </c>
    </row>
    <row r="166">
      <c r="A166" t="inlineStr">
        <is>
          <t>CO-001167</t>
        </is>
      </c>
      <c r="B166" t="inlineStr">
        <is>
          <t>NANCY SALCEDO</t>
        </is>
      </c>
      <c r="D166" t="inlineStr">
        <is>
          <t>MERCADO AÑO NUEVO - PUESTO 309</t>
        </is>
      </c>
      <c r="E166" t="inlineStr">
        <is>
          <t>Lima, 20 de Setiembre de 2022</t>
        </is>
      </c>
      <c r="F166" t="inlineStr">
        <is>
          <t>la Recarga y mantenimiento</t>
        </is>
      </c>
      <c r="G166" t="inlineStr">
        <is>
          <t>-</t>
        </is>
      </c>
      <c r="H166" t="inlineStr">
        <is>
          <t>06 KG</t>
        </is>
      </c>
      <c r="I166" t="inlineStr">
        <is>
          <t>VIGENTE</t>
        </is>
      </c>
      <c r="J166" t="inlineStr">
        <is>
          <t>-</t>
        </is>
      </c>
      <c r="K166" t="inlineStr">
        <is>
          <t>SETIEMBRE 2022</t>
        </is>
      </c>
      <c r="L166" t="inlineStr">
        <is>
          <t>SETIEMBRE 2023</t>
        </is>
      </c>
      <c r="M166" t="inlineStr">
        <is>
          <t>P.Q.S.  TIPO ABC</t>
        </is>
      </c>
      <c r="N166" t="inlineStr">
        <is>
          <t>01/000987</t>
        </is>
      </c>
      <c r="O166" t="inlineStr">
        <is>
          <t>R</t>
        </is>
      </c>
      <c r="P166">
        <f>TRIM(N166)</f>
        <v/>
      </c>
    </row>
    <row r="167">
      <c r="A167" t="inlineStr">
        <is>
          <t>CO-001168</t>
        </is>
      </c>
      <c r="B167" t="inlineStr">
        <is>
          <t>ORLANDO JIMENEZ</t>
        </is>
      </c>
      <c r="D167" t="inlineStr">
        <is>
          <t>PLACA:  F7M-224</t>
        </is>
      </c>
      <c r="E167" t="inlineStr">
        <is>
          <t>Lima, 21 de Setiembre de 2022</t>
        </is>
      </c>
      <c r="F167" t="inlineStr">
        <is>
          <t>la Recarga y mantenimiento</t>
        </is>
      </c>
      <c r="G167" t="inlineStr">
        <is>
          <t>-</t>
        </is>
      </c>
      <c r="H167" t="inlineStr">
        <is>
          <t>02 KG</t>
        </is>
      </c>
      <c r="I167" t="inlineStr">
        <is>
          <t>VIGENTE</t>
        </is>
      </c>
      <c r="J167" t="inlineStr">
        <is>
          <t xml:space="preserve"> - </t>
        </is>
      </c>
      <c r="K167" t="inlineStr">
        <is>
          <t>SETIEMBRE 2022</t>
        </is>
      </c>
      <c r="L167" t="inlineStr">
        <is>
          <t>SETIEMBRE 2023</t>
        </is>
      </c>
      <c r="M167" t="inlineStr">
        <is>
          <t>P.Q.S.  TIPO ABC</t>
        </is>
      </c>
      <c r="N167" t="inlineStr">
        <is>
          <t>01/037532</t>
        </is>
      </c>
      <c r="O167" t="inlineStr">
        <is>
          <t>R</t>
        </is>
      </c>
      <c r="P167">
        <f>TRIM(N167)</f>
        <v/>
      </c>
    </row>
    <row r="168">
      <c r="A168" t="inlineStr">
        <is>
          <t>CO-001169</t>
        </is>
      </c>
      <c r="B168" t="inlineStr">
        <is>
          <t>RODRIGO HUAMANI</t>
        </is>
      </c>
      <c r="D168" t="inlineStr">
        <is>
          <t>MERCADO AÑO NUEVO - TIENDA 14</t>
        </is>
      </c>
      <c r="E168" t="inlineStr">
        <is>
          <t>Lima, 20 de Setiembre de 2022</t>
        </is>
      </c>
      <c r="F168" t="inlineStr">
        <is>
          <t>la Recarga y mantenimiento</t>
        </is>
      </c>
      <c r="G168" t="inlineStr">
        <is>
          <t>-</t>
        </is>
      </c>
      <c r="H168" t="inlineStr">
        <is>
          <t>06 KG</t>
        </is>
      </c>
      <c r="I168" t="inlineStr">
        <is>
          <t>2027</t>
        </is>
      </c>
      <c r="J168" t="n">
        <v>2022</v>
      </c>
      <c r="K168" t="inlineStr">
        <is>
          <t>SETIEMBRE 2022</t>
        </is>
      </c>
      <c r="L168" t="inlineStr">
        <is>
          <t>SETIEMBRE 2023</t>
        </is>
      </c>
      <c r="M168" t="inlineStr">
        <is>
          <t>P.Q.S.  TIPO ABC</t>
        </is>
      </c>
      <c r="N168" t="inlineStr">
        <is>
          <t>01/30200</t>
        </is>
      </c>
      <c r="O168" t="inlineStr">
        <is>
          <t>V</t>
        </is>
      </c>
      <c r="P168">
        <f>TRIM(N168)</f>
        <v/>
      </c>
    </row>
    <row r="169">
      <c r="A169" t="inlineStr">
        <is>
          <t>CO-001170</t>
        </is>
      </c>
      <c r="B169" t="inlineStr">
        <is>
          <t>JUAN SAAVEDRA</t>
        </is>
      </c>
      <c r="D169" t="inlineStr">
        <is>
          <t>MERCADO AÑO NUEVO - PUESTO 177</t>
        </is>
      </c>
      <c r="E169" t="inlineStr">
        <is>
          <t>Lima, 20 de Setiembre de 2022</t>
        </is>
      </c>
      <c r="F169" t="inlineStr">
        <is>
          <t>la Recarga y mantenimiento</t>
        </is>
      </c>
      <c r="G169" t="inlineStr">
        <is>
          <t>-</t>
        </is>
      </c>
      <c r="H169" t="inlineStr">
        <is>
          <t>06 KG</t>
        </is>
      </c>
      <c r="I169" t="inlineStr">
        <is>
          <t>2027</t>
        </is>
      </c>
      <c r="J169" t="n">
        <v>2022</v>
      </c>
      <c r="K169" t="inlineStr">
        <is>
          <t>SETIEMBRE 2022</t>
        </is>
      </c>
      <c r="L169" t="inlineStr">
        <is>
          <t>SETIEMBRE 2023</t>
        </is>
      </c>
      <c r="M169" t="inlineStr">
        <is>
          <t>P.Q.S.  TIPO ABC</t>
        </is>
      </c>
      <c r="N169" t="inlineStr">
        <is>
          <t>01/30600</t>
        </is>
      </c>
      <c r="O169" t="inlineStr">
        <is>
          <t>V</t>
        </is>
      </c>
      <c r="P169">
        <f>TRIM(N169)</f>
        <v/>
      </c>
    </row>
    <row r="170">
      <c r="A170" t="inlineStr">
        <is>
          <t>CO-001171</t>
        </is>
      </c>
      <c r="B170" t="inlineStr">
        <is>
          <t>AIR WELD S.A.C.</t>
        </is>
      </c>
      <c r="C170" t="inlineStr">
        <is>
          <t>20608367854</t>
        </is>
      </c>
      <c r="D170" t="inlineStr">
        <is>
          <t>Av, Los Rosales Nro 328 Shangrilla, Puente Piedra , Lima</t>
        </is>
      </c>
      <c r="E170" t="inlineStr">
        <is>
          <t>Lima, 01 de Octubre de 2022</t>
        </is>
      </c>
      <c r="F170" t="inlineStr">
        <is>
          <t>la Recarga y mantenimiento</t>
        </is>
      </c>
      <c r="G170" t="inlineStr">
        <is>
          <t>-</t>
        </is>
      </c>
      <c r="H170" t="inlineStr">
        <is>
          <t>12 KG</t>
        </is>
      </c>
      <c r="I170" t="inlineStr">
        <is>
          <t>2027</t>
        </is>
      </c>
      <c r="J170" t="n">
        <v>2013</v>
      </c>
      <c r="K170" t="inlineStr">
        <is>
          <t>OCTUBRE 2022</t>
        </is>
      </c>
      <c r="L170" t="inlineStr">
        <is>
          <t>OCTUBRE 2023</t>
        </is>
      </c>
      <c r="M170" t="inlineStr">
        <is>
          <t>P.Q.S.  TIPO ABC</t>
        </is>
      </c>
      <c r="N170" t="inlineStr">
        <is>
          <t>01/000039</t>
        </is>
      </c>
      <c r="O170" t="inlineStr">
        <is>
          <t>R</t>
        </is>
      </c>
      <c r="P170">
        <f>TRIM(N170)</f>
        <v/>
      </c>
    </row>
    <row r="171">
      <c r="A171" t="inlineStr">
        <is>
          <t>CO-001171</t>
        </is>
      </c>
      <c r="B171" t="inlineStr">
        <is>
          <t>AIR WELD S.A.C.</t>
        </is>
      </c>
      <c r="C171" t="inlineStr">
        <is>
          <t>20608367854</t>
        </is>
      </c>
      <c r="D171" t="inlineStr">
        <is>
          <t>Av, Los Rosales Nro 328 Shangrilla, Puente Piedra , Lima</t>
        </is>
      </c>
      <c r="E171" t="inlineStr">
        <is>
          <t>Lima, 01 de Octubre de 2022</t>
        </is>
      </c>
      <c r="F171" t="inlineStr">
        <is>
          <t>la Recarga y mantenimiento</t>
        </is>
      </c>
      <c r="G171" t="n">
        <v>2</v>
      </c>
      <c r="H171" t="inlineStr">
        <is>
          <t>12 KG</t>
        </is>
      </c>
      <c r="I171" t="inlineStr">
        <is>
          <t>2027</t>
        </is>
      </c>
      <c r="J171" t="n">
        <v>2013</v>
      </c>
      <c r="K171" t="inlineStr">
        <is>
          <t>OCTUBRE 2022</t>
        </is>
      </c>
      <c r="L171" t="inlineStr">
        <is>
          <t>OCTUBRE 2023</t>
        </is>
      </c>
      <c r="M171" t="inlineStr">
        <is>
          <t>P.Q.S.  TIPO ABC</t>
        </is>
      </c>
      <c r="N171" t="inlineStr">
        <is>
          <t>02/000299</t>
        </is>
      </c>
      <c r="O171" t="inlineStr">
        <is>
          <t>R</t>
        </is>
      </c>
      <c r="P171">
        <f>TRIM(N171)</f>
        <v/>
      </c>
    </row>
    <row r="172">
      <c r="A172" t="inlineStr">
        <is>
          <t>CO-001171</t>
        </is>
      </c>
      <c r="B172" t="inlineStr">
        <is>
          <t>AIR WELD S.A.C.</t>
        </is>
      </c>
      <c r="C172" t="inlineStr">
        <is>
          <t>20608367854</t>
        </is>
      </c>
      <c r="D172" t="inlineStr">
        <is>
          <t>Av, Los Rosales Nro 328 Shangrilla, Puente Piedra , Lima</t>
        </is>
      </c>
      <c r="E172" t="inlineStr">
        <is>
          <t>Lima, 01 de Octubre de 2022</t>
        </is>
      </c>
      <c r="F172" t="inlineStr">
        <is>
          <t>la Recarga y mantenimiento</t>
        </is>
      </c>
      <c r="G172" t="n">
        <v>3</v>
      </c>
      <c r="H172" t="inlineStr">
        <is>
          <t>06 KG</t>
        </is>
      </c>
      <c r="I172" t="inlineStr">
        <is>
          <t>2027</t>
        </is>
      </c>
      <c r="J172" t="n">
        <v>2014</v>
      </c>
      <c r="K172" t="inlineStr">
        <is>
          <t>OCTUBRE 2022</t>
        </is>
      </c>
      <c r="L172" t="inlineStr">
        <is>
          <t>OCTUBRE 2023</t>
        </is>
      </c>
      <c r="M172" t="inlineStr">
        <is>
          <t>P.Q.S.  TIPO ABC</t>
        </is>
      </c>
      <c r="N172" t="inlineStr">
        <is>
          <t>03/SN</t>
        </is>
      </c>
      <c r="O172" t="inlineStr">
        <is>
          <t>R</t>
        </is>
      </c>
      <c r="P172">
        <f>TRIM(N172)</f>
        <v/>
      </c>
    </row>
    <row r="173">
      <c r="A173" t="inlineStr">
        <is>
          <t>CO-001171</t>
        </is>
      </c>
      <c r="B173" t="inlineStr">
        <is>
          <t>AIR WELD S.A.C.</t>
        </is>
      </c>
      <c r="C173" t="inlineStr">
        <is>
          <t>20608367854</t>
        </is>
      </c>
      <c r="D173" t="inlineStr">
        <is>
          <t>Av, Los Rosales Nro 328 Shangrilla, Puente Piedra , Lima</t>
        </is>
      </c>
      <c r="E173" t="inlineStr">
        <is>
          <t>Lima, 01 de Octubre de 2022</t>
        </is>
      </c>
      <c r="F173" t="inlineStr">
        <is>
          <t>la Recarga y mantenimiento</t>
        </is>
      </c>
      <c r="G173" t="n">
        <v>4</v>
      </c>
      <c r="H173" t="inlineStr">
        <is>
          <t>06 KG</t>
        </is>
      </c>
      <c r="I173" t="inlineStr">
        <is>
          <t>2027</t>
        </is>
      </c>
      <c r="J173" t="n">
        <v>2010</v>
      </c>
      <c r="K173" t="inlineStr">
        <is>
          <t>OCTUBRE 2022</t>
        </is>
      </c>
      <c r="L173" t="inlineStr">
        <is>
          <t>OCTUBRE 2023</t>
        </is>
      </c>
      <c r="M173" t="inlineStr">
        <is>
          <t>P.Q.S.  TIPO ABC</t>
        </is>
      </c>
      <c r="N173" t="inlineStr">
        <is>
          <t>04/007908</t>
        </is>
      </c>
      <c r="O173" t="inlineStr">
        <is>
          <t>R</t>
        </is>
      </c>
      <c r="P173">
        <f>TRIM(N173)</f>
        <v/>
      </c>
    </row>
    <row r="174">
      <c r="A174" t="inlineStr">
        <is>
          <t>CO-001171</t>
        </is>
      </c>
      <c r="B174" t="inlineStr">
        <is>
          <t>AIR WELD S.A.C.</t>
        </is>
      </c>
      <c r="C174" t="inlineStr">
        <is>
          <t>20608367854</t>
        </is>
      </c>
      <c r="D174" t="inlineStr">
        <is>
          <t>Av, Los Rosales Nro 328 Shangrilla, Puente Piedra , Lima</t>
        </is>
      </c>
      <c r="E174" t="inlineStr">
        <is>
          <t>Lima, 01 de Octubre de 2022</t>
        </is>
      </c>
      <c r="F174" t="inlineStr">
        <is>
          <t>la Recarga y mantenimiento</t>
        </is>
      </c>
      <c r="G174" t="n">
        <v>5</v>
      </c>
      <c r="H174" t="inlineStr">
        <is>
          <t>06 KG</t>
        </is>
      </c>
      <c r="I174" t="inlineStr">
        <is>
          <t>2026</t>
        </is>
      </c>
      <c r="J174" t="n">
        <v>2021</v>
      </c>
      <c r="K174" t="inlineStr">
        <is>
          <t>OCTUBRE 2022</t>
        </is>
      </c>
      <c r="L174" t="inlineStr">
        <is>
          <t>OCTUBRE 2023</t>
        </is>
      </c>
      <c r="M174" t="inlineStr">
        <is>
          <t>P.Q.S.  TIPO ABC</t>
        </is>
      </c>
      <c r="N174" t="inlineStr">
        <is>
          <t>05/207774</t>
        </is>
      </c>
      <c r="O174" t="inlineStr">
        <is>
          <t>R</t>
        </is>
      </c>
      <c r="P174">
        <f>TRIM(N174)</f>
        <v/>
      </c>
    </row>
    <row r="175">
      <c r="A175" t="inlineStr">
        <is>
          <t>CO-001172</t>
        </is>
      </c>
      <c r="B175" t="inlineStr">
        <is>
          <t>ROSA BERRROSPI</t>
        </is>
      </c>
      <c r="D175" t="inlineStr">
        <is>
          <t>MERCADO AÑO NUEVO - PUESTO 143</t>
        </is>
      </c>
      <c r="E175" t="inlineStr">
        <is>
          <t>Lima, 26 de Setiembre de 2022</t>
        </is>
      </c>
      <c r="F175" t="inlineStr">
        <is>
          <t>la Recarga y mantenimiento</t>
        </is>
      </c>
      <c r="G175" t="inlineStr">
        <is>
          <t>-</t>
        </is>
      </c>
      <c r="H175" t="inlineStr">
        <is>
          <t>06 KG</t>
        </is>
      </c>
      <c r="I175" t="inlineStr">
        <is>
          <t>VIGENTE</t>
        </is>
      </c>
      <c r="J175" t="n">
        <v>2015</v>
      </c>
      <c r="K175" t="inlineStr">
        <is>
          <t>SETIEMBRE 2022</t>
        </is>
      </c>
      <c r="L175" t="inlineStr">
        <is>
          <t>SETIEMBRE 2023</t>
        </is>
      </c>
      <c r="M175" t="inlineStr">
        <is>
          <t>P.Q.S.  TIPO ABC</t>
        </is>
      </c>
      <c r="N175" t="inlineStr">
        <is>
          <t>01/010060</t>
        </is>
      </c>
      <c r="O175" t="inlineStr">
        <is>
          <t>R</t>
        </is>
      </c>
      <c r="P175">
        <f>TRIM(N175)</f>
        <v/>
      </c>
    </row>
    <row r="176">
      <c r="A176" t="inlineStr">
        <is>
          <t>CO-001173</t>
        </is>
      </c>
      <c r="B176" t="inlineStr">
        <is>
          <t>JHOEL OCAÑA MAGUIÑA</t>
        </is>
      </c>
      <c r="C176" t="inlineStr">
        <is>
          <t>10103994441</t>
        </is>
      </c>
      <c r="D176" t="inlineStr">
        <is>
          <t>JR UNIÓN N° 200 URB SAN FELIPE - COMAS</t>
        </is>
      </c>
      <c r="E176" t="inlineStr">
        <is>
          <t>Lima, 26 de Setiembre de 2022</t>
        </is>
      </c>
      <c r="F176" t="inlineStr">
        <is>
          <t>la Recarga y mantenimiento</t>
        </is>
      </c>
      <c r="G176" t="inlineStr">
        <is>
          <t>-</t>
        </is>
      </c>
      <c r="H176" t="inlineStr">
        <is>
          <t>06 KG</t>
        </is>
      </c>
      <c r="I176" t="inlineStr">
        <is>
          <t>2027</t>
        </is>
      </c>
      <c r="J176" t="n">
        <v>2022</v>
      </c>
      <c r="K176" t="inlineStr">
        <is>
          <t>SETIEMBRE 2022</t>
        </is>
      </c>
      <c r="L176" t="inlineStr">
        <is>
          <t>SETIEMBRE 2023</t>
        </is>
      </c>
      <c r="M176" t="inlineStr">
        <is>
          <t>P.Q.S.  TIPO ABC</t>
        </is>
      </c>
      <c r="N176" t="inlineStr">
        <is>
          <t>03/306085</t>
        </is>
      </c>
      <c r="O176" t="inlineStr">
        <is>
          <t>V</t>
        </is>
      </c>
      <c r="P176">
        <f>TRIM(N176)</f>
        <v/>
      </c>
    </row>
    <row r="177">
      <c r="A177" t="inlineStr">
        <is>
          <t>CO-001174</t>
        </is>
      </c>
      <c r="B177" t="inlineStr">
        <is>
          <t>LINDE PERU S.R.L.</t>
        </is>
      </c>
      <c r="C177" t="inlineStr">
        <is>
          <t>20338570041</t>
        </is>
      </c>
      <c r="D177" t="inlineStr">
        <is>
          <t>AV. ALFREDO BENAVIDES NRO. 801 INT. PI11 URB. MIRAFLORES (AV.PASEO DE LA REPUBLICA5887-5895,PISO11) LIMA - LIMA - MIRAFLORES</t>
        </is>
      </c>
      <c r="E177" t="inlineStr">
        <is>
          <t>Lima, 05 de Octubre de 2022</t>
        </is>
      </c>
      <c r="F177" t="inlineStr">
        <is>
          <t>Venta</t>
        </is>
      </c>
      <c r="G177" t="inlineStr">
        <is>
          <t>-</t>
        </is>
      </c>
      <c r="H177" t="inlineStr">
        <is>
          <t>09 KG</t>
        </is>
      </c>
      <c r="I177" t="inlineStr">
        <is>
          <t>2027</t>
        </is>
      </c>
      <c r="J177" t="n">
        <v>2022</v>
      </c>
      <c r="K177" t="inlineStr">
        <is>
          <t>OCTUBRE 2022</t>
        </is>
      </c>
      <c r="L177" t="inlineStr">
        <is>
          <t>OCTUBRE 2023</t>
        </is>
      </c>
      <c r="M177" t="inlineStr">
        <is>
          <t>P.Q.S.  TIPO ABC AL 90% UL</t>
        </is>
      </c>
      <c r="N177" t="inlineStr">
        <is>
          <t>01/306154</t>
        </is>
      </c>
      <c r="O177" t="inlineStr">
        <is>
          <t>V</t>
        </is>
      </c>
      <c r="P177">
        <f>TRIM(N177)</f>
        <v/>
      </c>
    </row>
    <row r="178">
      <c r="A178" t="inlineStr">
        <is>
          <t>CO-001174</t>
        </is>
      </c>
      <c r="B178" t="inlineStr">
        <is>
          <t>LINDE PERU S.R.L.</t>
        </is>
      </c>
      <c r="C178" t="inlineStr">
        <is>
          <t>20338570041</t>
        </is>
      </c>
      <c r="D178" t="inlineStr">
        <is>
          <t>AV. ALFREDO BENAVIDES NRO. 801 INT. PI11 URB. MIRAFLORES (AV.PASEO DE LA REPUBLICA5887-5895,PISO11) LIMA - LIMA - MIRAFLORES</t>
        </is>
      </c>
      <c r="E178" t="inlineStr">
        <is>
          <t>Lima, 05 de Octubre de 2022</t>
        </is>
      </c>
      <c r="F178" t="inlineStr">
        <is>
          <t>Venta</t>
        </is>
      </c>
      <c r="G178" t="n">
        <v>2</v>
      </c>
      <c r="H178" t="inlineStr">
        <is>
          <t>09 KG</t>
        </is>
      </c>
      <c r="I178" t="inlineStr">
        <is>
          <t>2027</t>
        </is>
      </c>
      <c r="J178" t="n">
        <v>2022</v>
      </c>
      <c r="K178" t="inlineStr">
        <is>
          <t>OCTUBRE 2022</t>
        </is>
      </c>
      <c r="L178" t="inlineStr">
        <is>
          <t>OCTUBRE 2023</t>
        </is>
      </c>
      <c r="M178" t="inlineStr">
        <is>
          <t>P.Q.S.  TIPO ABC AL 90% UL</t>
        </is>
      </c>
      <c r="N178" t="inlineStr">
        <is>
          <t>02/030610</t>
        </is>
      </c>
      <c r="O178" t="inlineStr">
        <is>
          <t>V</t>
        </is>
      </c>
      <c r="P178">
        <f>TRIM(N178)</f>
        <v/>
      </c>
    </row>
    <row r="179">
      <c r="A179" t="inlineStr">
        <is>
          <t>CO-001174</t>
        </is>
      </c>
      <c r="B179" t="inlineStr">
        <is>
          <t>LINDE PERU S.R.L.</t>
        </is>
      </c>
      <c r="C179" t="inlineStr">
        <is>
          <t>20338570041</t>
        </is>
      </c>
      <c r="D179" t="inlineStr">
        <is>
          <t>AV. ALFREDO BENAVIDES NRO. 801 INT. PI11 URB. MIRAFLORES (AV.PASEO DE LA REPUBLICA5887-5895,PISO11) LIMA - LIMA - MIRAFLORES</t>
        </is>
      </c>
      <c r="E179" t="inlineStr">
        <is>
          <t>Lima, 05 de Octubre de 2022</t>
        </is>
      </c>
      <c r="F179" t="inlineStr">
        <is>
          <t>Venta</t>
        </is>
      </c>
      <c r="G179" t="n">
        <v>3</v>
      </c>
      <c r="H179" t="inlineStr">
        <is>
          <t>09 KG</t>
        </is>
      </c>
      <c r="I179" t="inlineStr">
        <is>
          <t>2027</t>
        </is>
      </c>
      <c r="J179" t="n">
        <v>2022</v>
      </c>
      <c r="K179" t="inlineStr">
        <is>
          <t>OCTUBRE 2022</t>
        </is>
      </c>
      <c r="L179" t="inlineStr">
        <is>
          <t>OCTUBRE 2023</t>
        </is>
      </c>
      <c r="M179" t="inlineStr">
        <is>
          <t>P.Q.S.  TIPO ABC AL 90% UL</t>
        </is>
      </c>
      <c r="N179" t="inlineStr">
        <is>
          <t>03/306156</t>
        </is>
      </c>
      <c r="O179" t="inlineStr">
        <is>
          <t>V</t>
        </is>
      </c>
      <c r="P179">
        <f>TRIM(N179)</f>
        <v/>
      </c>
    </row>
    <row r="180">
      <c r="A180" t="inlineStr">
        <is>
          <t>CO-001175</t>
        </is>
      </c>
      <c r="B180" t="inlineStr">
        <is>
          <t>HERNANDO FARFAN</t>
        </is>
      </c>
      <c r="D180" t="inlineStr">
        <is>
          <t>PLACA F1T251</t>
        </is>
      </c>
      <c r="E180" t="inlineStr">
        <is>
          <t>Lima, 07 de Octubre de 2022</t>
        </is>
      </c>
      <c r="F180" t="inlineStr">
        <is>
          <t>la Recarga y mantenimiento</t>
        </is>
      </c>
      <c r="G180" t="inlineStr">
        <is>
          <t>-</t>
        </is>
      </c>
      <c r="H180" t="inlineStr">
        <is>
          <t>02 KG</t>
        </is>
      </c>
      <c r="I180" t="inlineStr">
        <is>
          <t>VIGENTE</t>
        </is>
      </c>
      <c r="J180" t="n">
        <v>2015</v>
      </c>
      <c r="K180" t="inlineStr">
        <is>
          <t>OCTUBRE 2022</t>
        </is>
      </c>
      <c r="L180" t="inlineStr">
        <is>
          <t>OCTUBRE 2023</t>
        </is>
      </c>
      <c r="M180" t="inlineStr">
        <is>
          <t xml:space="preserve">P.Q.S.  TIPO ABC </t>
        </is>
      </c>
      <c r="N180" t="inlineStr">
        <is>
          <t>01/ S/N</t>
        </is>
      </c>
      <c r="O180" t="inlineStr">
        <is>
          <t>R</t>
        </is>
      </c>
      <c r="P180">
        <f>TRIM(N180)</f>
        <v/>
      </c>
    </row>
    <row r="181">
      <c r="A181" t="inlineStr">
        <is>
          <t>CO-001177</t>
        </is>
      </c>
      <c r="B181" t="inlineStr">
        <is>
          <t>LINDE PERU S.R.L.</t>
        </is>
      </c>
      <c r="C181" t="inlineStr">
        <is>
          <t>20338570041</t>
        </is>
      </c>
      <c r="D181" t="inlineStr">
        <is>
          <t>CAR.CARRET.CENTRAL KM.9.5 Z.I. ZONA INDUSTRIAL(DESVIO HUACHIPA LURIGANCHO CHOSICA) LIMA LURIGANCHO</t>
        </is>
      </c>
      <c r="E181" t="inlineStr">
        <is>
          <t>Lima, 10 de Octubre de 2022</t>
        </is>
      </c>
      <c r="F181" t="inlineStr">
        <is>
          <t>la Recarga y mantenimiento</t>
        </is>
      </c>
      <c r="G181" t="inlineStr">
        <is>
          <t xml:space="preserve"> - </t>
        </is>
      </c>
      <c r="H181" t="inlineStr">
        <is>
          <t>06 KG</t>
        </is>
      </c>
      <c r="I181" t="inlineStr">
        <is>
          <t>2027</t>
        </is>
      </c>
      <c r="J181" t="n">
        <v>2011</v>
      </c>
      <c r="K181" t="inlineStr">
        <is>
          <t>OCTUBRE 2022</t>
        </is>
      </c>
      <c r="L181" t="inlineStr">
        <is>
          <t>OCTUBRE 2023</t>
        </is>
      </c>
      <c r="M181" t="inlineStr">
        <is>
          <t>P.Q.S.  TIPO ABC AL 90% UL</t>
        </is>
      </c>
      <c r="N181" t="inlineStr">
        <is>
          <t>S/N/384828</t>
        </is>
      </c>
      <c r="O181" t="inlineStr">
        <is>
          <t>R</t>
        </is>
      </c>
      <c r="P181">
        <f>TRIM(N181)</f>
        <v/>
      </c>
    </row>
    <row r="182">
      <c r="A182" t="inlineStr">
        <is>
          <t>CO-001177</t>
        </is>
      </c>
      <c r="B182" t="inlineStr">
        <is>
          <t>LINDE PERU S.R.L.</t>
        </is>
      </c>
      <c r="C182" t="inlineStr">
        <is>
          <t>20338570041</t>
        </is>
      </c>
      <c r="D182" t="inlineStr">
        <is>
          <t>CAR.CARRET.CENTRAL KM.9.5 Z.I. ZONA INDUSTRIAL(DESVIO HUACHIPA LURIGANCHO CHOSICA) LIMA LURIGANCHO</t>
        </is>
      </c>
      <c r="E182" t="inlineStr">
        <is>
          <t>Lima, 10 de Octubre de 2022</t>
        </is>
      </c>
      <c r="F182" t="inlineStr">
        <is>
          <t>la Recarga y mantenimiento</t>
        </is>
      </c>
      <c r="G182" t="n">
        <v>2</v>
      </c>
      <c r="H182" t="inlineStr">
        <is>
          <t>12 KG</t>
        </is>
      </c>
      <c r="I182" t="inlineStr">
        <is>
          <t>2027</t>
        </is>
      </c>
      <c r="J182" t="n">
        <v>2011</v>
      </c>
      <c r="K182" t="inlineStr">
        <is>
          <t>OCTUBRE 2022</t>
        </is>
      </c>
      <c r="L182" t="inlineStr">
        <is>
          <t>OCTUBRE 2023</t>
        </is>
      </c>
      <c r="M182" t="inlineStr">
        <is>
          <t>P.Q.S.  TIPO ABC AL 90% UL</t>
        </is>
      </c>
      <c r="N182" t="inlineStr">
        <is>
          <t>13/002637</t>
        </is>
      </c>
      <c r="O182" t="inlineStr">
        <is>
          <t>R</t>
        </is>
      </c>
      <c r="P182">
        <f>TRIM(N182)</f>
        <v/>
      </c>
    </row>
    <row r="183">
      <c r="A183" t="inlineStr">
        <is>
          <t>CO-001177</t>
        </is>
      </c>
      <c r="B183" t="inlineStr">
        <is>
          <t>LINDE PERU S.R.L.</t>
        </is>
      </c>
      <c r="C183" t="inlineStr">
        <is>
          <t>20338570041</t>
        </is>
      </c>
      <c r="D183" t="inlineStr">
        <is>
          <t>CAR.CARRET.CENTRAL KM.9.5 Z.I. ZONA INDUSTRIAL(DESVIO HUACHIPA LURIGANCHO CHOSICA) LIMA LURIGANCHO</t>
        </is>
      </c>
      <c r="E183" t="inlineStr">
        <is>
          <t>Lima, 10 de Octubre de 2022</t>
        </is>
      </c>
      <c r="F183" t="inlineStr">
        <is>
          <t>la Recarga y mantenimiento</t>
        </is>
      </c>
      <c r="G183" t="n">
        <v>3</v>
      </c>
      <c r="H183" t="inlineStr">
        <is>
          <t>12 KG</t>
        </is>
      </c>
      <c r="I183" t="inlineStr">
        <is>
          <t>2027</t>
        </is>
      </c>
      <c r="J183" t="n">
        <v>2012</v>
      </c>
      <c r="K183" t="inlineStr">
        <is>
          <t>OCTUBRE 2022</t>
        </is>
      </c>
      <c r="L183" t="inlineStr">
        <is>
          <t>OCTUBRE 2023</t>
        </is>
      </c>
      <c r="M183" t="inlineStr">
        <is>
          <t>P.Q.S.  TIPO ABC AL 90% UL</t>
        </is>
      </c>
      <c r="N183" t="inlineStr">
        <is>
          <t>21/004439</t>
        </is>
      </c>
      <c r="O183" t="inlineStr">
        <is>
          <t>R</t>
        </is>
      </c>
      <c r="P183">
        <f>TRIM(N183)</f>
        <v/>
      </c>
    </row>
    <row r="184">
      <c r="A184" t="inlineStr">
        <is>
          <t>CO-001178</t>
        </is>
      </c>
      <c r="G184" t="n">
        <v>1</v>
      </c>
      <c r="H184" t="inlineStr">
        <is>
          <t>ra</t>
        </is>
      </c>
      <c r="P184">
        <f>TRIM(N184)</f>
        <v/>
      </c>
    </row>
    <row r="185">
      <c r="A185" t="inlineStr">
        <is>
          <t>CO-001179</t>
        </is>
      </c>
      <c r="B185" t="inlineStr">
        <is>
          <t>LINDE PERU S.R.L.</t>
        </is>
      </c>
      <c r="C185" t="inlineStr">
        <is>
          <t>20338570041</t>
        </is>
      </c>
      <c r="D185" t="inlineStr">
        <is>
          <t>CAR.CARRET.CENTRAL KM.9.5 Z.I. ZONA INDUSTRIAL(DESVIO HUACHIPA LURIGANCHO CHOSICA) LIMA LURIGANCHO</t>
        </is>
      </c>
      <c r="E185" t="inlineStr">
        <is>
          <t>Lima, 10 de Octubre de 2022</t>
        </is>
      </c>
      <c r="F185" t="inlineStr">
        <is>
          <t>la Recarga y mantenimiento</t>
        </is>
      </c>
      <c r="G185" t="inlineStr">
        <is>
          <t xml:space="preserve"> - </t>
        </is>
      </c>
      <c r="H185" t="inlineStr">
        <is>
          <t>10 LBS</t>
        </is>
      </c>
      <c r="I185" t="inlineStr">
        <is>
          <t>2026</t>
        </is>
      </c>
      <c r="J185" t="n">
        <v>2010</v>
      </c>
      <c r="K185" t="inlineStr">
        <is>
          <t>OCTUBRE 2022</t>
        </is>
      </c>
      <c r="L185" t="inlineStr">
        <is>
          <t>OCTUBRE 2023</t>
        </is>
      </c>
      <c r="M185" t="inlineStr">
        <is>
          <t>CO2 /TIPO BC</t>
        </is>
      </c>
      <c r="N185" t="inlineStr">
        <is>
          <t>SN/AB-529933</t>
        </is>
      </c>
      <c r="O185" t="inlineStr">
        <is>
          <t>R</t>
        </is>
      </c>
      <c r="P185">
        <f>TRIM(N185)</f>
        <v/>
      </c>
    </row>
    <row r="186">
      <c r="A186" t="inlineStr">
        <is>
          <t>CO-001179</t>
        </is>
      </c>
      <c r="B186" t="inlineStr">
        <is>
          <t>LINDE PERU S.R.L.</t>
        </is>
      </c>
      <c r="C186" t="inlineStr">
        <is>
          <t>20338570041</t>
        </is>
      </c>
      <c r="D186" t="inlineStr">
        <is>
          <t>CAR.CARRET.CENTRAL KM.9.5 Z.I. ZONA INDUSTRIAL(DESVIO HUACHIPA LURIGANCHO CHOSICA) LIMA LURIGANCHO</t>
        </is>
      </c>
      <c r="E186" t="inlineStr">
        <is>
          <t>Lima, 10 de Octubre de 2022</t>
        </is>
      </c>
      <c r="F186" t="inlineStr">
        <is>
          <t>la Recarga y mantenimiento</t>
        </is>
      </c>
      <c r="G186" t="n">
        <v>2</v>
      </c>
      <c r="H186" t="inlineStr">
        <is>
          <t>10 LBS</t>
        </is>
      </c>
      <c r="I186" t="inlineStr">
        <is>
          <t>2027</t>
        </is>
      </c>
      <c r="J186" t="n">
        <v>2011</v>
      </c>
      <c r="K186" t="inlineStr">
        <is>
          <t>OCTUBRE 2022</t>
        </is>
      </c>
      <c r="L186" t="inlineStr">
        <is>
          <t>OCTUBRE 2023</t>
        </is>
      </c>
      <c r="M186" t="inlineStr">
        <is>
          <t>CO2 /TIPO BC</t>
        </is>
      </c>
      <c r="N186" t="inlineStr">
        <is>
          <t>04/000069</t>
        </is>
      </c>
      <c r="O186" t="inlineStr">
        <is>
          <t>R</t>
        </is>
      </c>
      <c r="P186">
        <f>TRIM(N186)</f>
        <v/>
      </c>
    </row>
    <row r="187">
      <c r="A187" t="inlineStr">
        <is>
          <t>CO-001179</t>
        </is>
      </c>
      <c r="B187" t="inlineStr">
        <is>
          <t>LINDE PERU S.R.L.</t>
        </is>
      </c>
      <c r="C187" t="inlineStr">
        <is>
          <t>20338570041</t>
        </is>
      </c>
      <c r="D187" t="inlineStr">
        <is>
          <t>CAR.CARRET.CENTRAL KM.9.5 Z.I. ZONA INDUSTRIAL(DESVIO HUACHIPA LURIGANCHO CHOSICA) LIMA LURIGANCHO</t>
        </is>
      </c>
      <c r="E187" t="inlineStr">
        <is>
          <t>Lima, 10 de Octubre de 2022</t>
        </is>
      </c>
      <c r="F187" t="inlineStr">
        <is>
          <t>la Recarga y mantenimiento</t>
        </is>
      </c>
      <c r="G187" t="n">
        <v>3</v>
      </c>
      <c r="H187" t="inlineStr">
        <is>
          <t>10 LBS</t>
        </is>
      </c>
      <c r="I187" t="inlineStr">
        <is>
          <t>2027</t>
        </is>
      </c>
      <c r="J187" t="n">
        <v>2011</v>
      </c>
      <c r="K187" t="inlineStr">
        <is>
          <t>OCTUBRE 2022</t>
        </is>
      </c>
      <c r="L187" t="inlineStr">
        <is>
          <t>OCTUBRE 2023</t>
        </is>
      </c>
      <c r="M187" t="inlineStr">
        <is>
          <t>CO2 /TIPO BC</t>
        </is>
      </c>
      <c r="N187" t="inlineStr">
        <is>
          <t>05/000132</t>
        </is>
      </c>
      <c r="O187" t="inlineStr">
        <is>
          <t>R</t>
        </is>
      </c>
      <c r="P187">
        <f>TRIM(N187)</f>
        <v/>
      </c>
    </row>
    <row r="188">
      <c r="A188" t="inlineStr">
        <is>
          <t>CO-001179</t>
        </is>
      </c>
      <c r="B188" t="inlineStr">
        <is>
          <t>LINDE PERU S.R.L.</t>
        </is>
      </c>
      <c r="C188" t="inlineStr">
        <is>
          <t>20338570041</t>
        </is>
      </c>
      <c r="D188" t="inlineStr">
        <is>
          <t>CAR.CARRET.CENTRAL KM.9.5 Z.I. ZONA INDUSTRIAL(DESVIO HUACHIPA LURIGANCHO CHOSICA) LIMA LURIGANCHO</t>
        </is>
      </c>
      <c r="E188" t="inlineStr">
        <is>
          <t>Lima, 10 de Octubre de 2022</t>
        </is>
      </c>
      <c r="F188" t="inlineStr">
        <is>
          <t>la Recarga y mantenimiento</t>
        </is>
      </c>
      <c r="G188" t="n">
        <v>4</v>
      </c>
      <c r="H188" t="inlineStr">
        <is>
          <t>20 LBS</t>
        </is>
      </c>
      <c r="I188" t="inlineStr">
        <is>
          <t>2027</t>
        </is>
      </c>
      <c r="J188" t="n">
        <v>2007</v>
      </c>
      <c r="K188" t="inlineStr">
        <is>
          <t>OCTUBRE 2022</t>
        </is>
      </c>
      <c r="L188" t="inlineStr">
        <is>
          <t>OCTUBRE 2023</t>
        </is>
      </c>
      <c r="M188" t="inlineStr">
        <is>
          <t>CO2 /TIPO BC</t>
        </is>
      </c>
      <c r="N188" t="inlineStr">
        <is>
          <t>02/Z-745339</t>
        </is>
      </c>
      <c r="O188" t="inlineStr">
        <is>
          <t>R</t>
        </is>
      </c>
      <c r="P188">
        <f>TRIM(N188)</f>
        <v/>
      </c>
    </row>
    <row r="189">
      <c r="A189" t="inlineStr">
        <is>
          <t>CO-001179</t>
        </is>
      </c>
      <c r="B189" t="inlineStr">
        <is>
          <t>LINDE PERU S.R.L.</t>
        </is>
      </c>
      <c r="C189" t="inlineStr">
        <is>
          <t>20338570041</t>
        </is>
      </c>
      <c r="D189" t="inlineStr">
        <is>
          <t>CAR.CARRET.CENTRAL KM.9.5 Z.I. ZONA INDUSTRIAL(DESVIO HUACHIPA LURIGANCHO CHOSICA) LIMA LURIGANCHO</t>
        </is>
      </c>
      <c r="E189" t="inlineStr">
        <is>
          <t>Lima, 10 de Octubre de 2022</t>
        </is>
      </c>
      <c r="F189" t="inlineStr">
        <is>
          <t>la Recarga y mantenimiento</t>
        </is>
      </c>
      <c r="G189" t="n">
        <v>5</v>
      </c>
      <c r="H189" t="inlineStr">
        <is>
          <t>20 LBS</t>
        </is>
      </c>
      <c r="I189" t="inlineStr">
        <is>
          <t>2027</t>
        </is>
      </c>
      <c r="J189" t="n">
        <v>2007</v>
      </c>
      <c r="K189" t="inlineStr">
        <is>
          <t>OCTUBRE 2022</t>
        </is>
      </c>
      <c r="L189" t="inlineStr">
        <is>
          <t>OCTUBRE 2023</t>
        </is>
      </c>
      <c r="M189" t="inlineStr">
        <is>
          <t>CO2 /TIPO BC</t>
        </is>
      </c>
      <c r="N189" t="inlineStr">
        <is>
          <t>15/Z-745340</t>
        </is>
      </c>
      <c r="O189" t="inlineStr">
        <is>
          <t>R</t>
        </is>
      </c>
      <c r="P189">
        <f>TRIM(N189)</f>
        <v/>
      </c>
    </row>
    <row r="190">
      <c r="A190" t="inlineStr">
        <is>
          <t>CO-001179</t>
        </is>
      </c>
      <c r="B190" t="inlineStr">
        <is>
          <t>LINDE PERU S.R.L.</t>
        </is>
      </c>
      <c r="C190" t="inlineStr">
        <is>
          <t>20338570041</t>
        </is>
      </c>
      <c r="D190" t="inlineStr">
        <is>
          <t>CAR.CARRET.CENTRAL KM.9.5 Z.I. ZONA INDUSTRIAL(DESVIO HUACHIPA LURIGANCHO CHOSICA) LIMA LURIGANCHO</t>
        </is>
      </c>
      <c r="E190" t="inlineStr">
        <is>
          <t>Lima, 10 de Octubre de 2022</t>
        </is>
      </c>
      <c r="F190" t="inlineStr">
        <is>
          <t>la Recarga y mantenimiento</t>
        </is>
      </c>
      <c r="G190" t="n">
        <v>6</v>
      </c>
      <c r="H190" t="inlineStr">
        <is>
          <t>20LBS</t>
        </is>
      </c>
      <c r="I190" t="inlineStr">
        <is>
          <t>2027</t>
        </is>
      </c>
      <c r="J190" t="n">
        <v>2007</v>
      </c>
      <c r="K190" t="inlineStr">
        <is>
          <t>OCTUBRE 2022</t>
        </is>
      </c>
      <c r="L190" t="inlineStr">
        <is>
          <t>OCTUBRE 2023</t>
        </is>
      </c>
      <c r="M190" t="inlineStr">
        <is>
          <t>CO2 /TIPO BC</t>
        </is>
      </c>
      <c r="N190" t="inlineStr">
        <is>
          <t>19/V-862717</t>
        </is>
      </c>
      <c r="O190" t="inlineStr">
        <is>
          <t>R</t>
        </is>
      </c>
      <c r="P190">
        <f>TRIM(N190)</f>
        <v/>
      </c>
    </row>
    <row r="191">
      <c r="A191" t="inlineStr">
        <is>
          <t>CO-001179</t>
        </is>
      </c>
      <c r="B191" t="inlineStr">
        <is>
          <t>LINDE PERU S.R.L.</t>
        </is>
      </c>
      <c r="C191" t="inlineStr">
        <is>
          <t>20338570041</t>
        </is>
      </c>
      <c r="D191" t="inlineStr">
        <is>
          <t>CAR.CARRET.CENTRAL KM.9.5 Z.I. ZONA INDUSTRIAL(DESVIO HUACHIPA LURIGANCHO CHOSICA) LIMA LURIGANCHO</t>
        </is>
      </c>
      <c r="E191" t="inlineStr">
        <is>
          <t>Lima, 10 de Octubre de 2022</t>
        </is>
      </c>
      <c r="F191" t="inlineStr">
        <is>
          <t>la Recarga y mantenimiento</t>
        </is>
      </c>
      <c r="G191" t="n">
        <v>7</v>
      </c>
      <c r="H191" t="inlineStr">
        <is>
          <t>20 LBS</t>
        </is>
      </c>
      <c r="I191" t="inlineStr">
        <is>
          <t>2027</t>
        </is>
      </c>
      <c r="J191" t="n">
        <v>2007</v>
      </c>
      <c r="K191" t="inlineStr">
        <is>
          <t>OCTUBRE 2022</t>
        </is>
      </c>
      <c r="L191" t="inlineStr">
        <is>
          <t>OCTUBRE 2023</t>
        </is>
      </c>
      <c r="M191" t="inlineStr">
        <is>
          <t>CO2 /TIPO BC</t>
        </is>
      </c>
      <c r="N191" t="inlineStr">
        <is>
          <t>25/Z-745343</t>
        </is>
      </c>
      <c r="O191" t="inlineStr">
        <is>
          <t>R</t>
        </is>
      </c>
      <c r="P191">
        <f>TRIM(N191)</f>
        <v/>
      </c>
    </row>
    <row r="192">
      <c r="A192" t="inlineStr">
        <is>
          <t>CO-001179</t>
        </is>
      </c>
      <c r="B192" t="inlineStr">
        <is>
          <t>LINDE PERU S.R.L.</t>
        </is>
      </c>
      <c r="C192" t="inlineStr">
        <is>
          <t>20338570041</t>
        </is>
      </c>
      <c r="D192" t="inlineStr">
        <is>
          <t>CAR.CARRET.CENTRAL KM.9.5 Z.I. ZONA INDUSTRIAL(DESVIO HUACHIPA LURIGANCHO CHOSICA) LIMA LURIGANCHO</t>
        </is>
      </c>
      <c r="E192" t="inlineStr">
        <is>
          <t>Lima, 10 de Octubre de 2022</t>
        </is>
      </c>
      <c r="F192" t="inlineStr">
        <is>
          <t>la Recarga y mantenimiento</t>
        </is>
      </c>
      <c r="G192" t="n">
        <v>8</v>
      </c>
      <c r="H192" t="inlineStr">
        <is>
          <t>20 LBS</t>
        </is>
      </c>
      <c r="I192" t="inlineStr">
        <is>
          <t>2027</t>
        </is>
      </c>
      <c r="J192" t="n">
        <v>2012</v>
      </c>
      <c r="K192" t="inlineStr">
        <is>
          <t>OCTUBRE 2022</t>
        </is>
      </c>
      <c r="L192" t="inlineStr">
        <is>
          <t>OCTUBRE 2023</t>
        </is>
      </c>
      <c r="M192" t="inlineStr">
        <is>
          <t>CO2 /TIPO BC</t>
        </is>
      </c>
      <c r="N192" t="inlineStr">
        <is>
          <t>26/AB-961795</t>
        </is>
      </c>
      <c r="O192" t="inlineStr">
        <is>
          <t>R</t>
        </is>
      </c>
      <c r="P192">
        <f>TRIM(N192)</f>
        <v/>
      </c>
    </row>
    <row r="193">
      <c r="A193" t="inlineStr">
        <is>
          <t>CO-001179</t>
        </is>
      </c>
      <c r="B193" t="inlineStr">
        <is>
          <t>LINDE PERU S.R.L.</t>
        </is>
      </c>
      <c r="C193" t="inlineStr">
        <is>
          <t>20338570041</t>
        </is>
      </c>
      <c r="D193" t="inlineStr">
        <is>
          <t>CAR.CARRET.CENTRAL KM.9.5 Z.I. ZONA INDUSTRIAL(DESVIO HUACHIPA LURIGANCHO CHOSICA) LIMA LURIGANCHO</t>
        </is>
      </c>
      <c r="E193" t="inlineStr">
        <is>
          <t>Lima, 10 de Octubre de 2022</t>
        </is>
      </c>
      <c r="F193" t="inlineStr">
        <is>
          <t>la Recarga y mantenimiento</t>
        </is>
      </c>
      <c r="G193" t="n">
        <v>9</v>
      </c>
      <c r="H193" t="inlineStr">
        <is>
          <t>15 LBS</t>
        </is>
      </c>
      <c r="I193" t="inlineStr">
        <is>
          <t>2027</t>
        </is>
      </c>
      <c r="J193" t="n">
        <v>2012</v>
      </c>
      <c r="K193" t="inlineStr">
        <is>
          <t>OCTUBRE 2022</t>
        </is>
      </c>
      <c r="L193" t="inlineStr">
        <is>
          <t>OCTUBRE 2023</t>
        </is>
      </c>
      <c r="M193" t="inlineStr">
        <is>
          <t>CO2 /TIPO BC</t>
        </is>
      </c>
      <c r="N193" t="inlineStr">
        <is>
          <t>29/AC-224997</t>
        </is>
      </c>
      <c r="O193" t="inlineStr">
        <is>
          <t>R</t>
        </is>
      </c>
      <c r="P193">
        <f>TRIM(N193)</f>
        <v/>
      </c>
    </row>
    <row r="194">
      <c r="A194" t="inlineStr">
        <is>
          <t>CO-001179</t>
        </is>
      </c>
      <c r="B194" t="inlineStr">
        <is>
          <t>LINDE PERU S.R.L.</t>
        </is>
      </c>
      <c r="C194" t="inlineStr">
        <is>
          <t>20338570041</t>
        </is>
      </c>
      <c r="D194" t="inlineStr">
        <is>
          <t>CAR.CARRET.CENTRAL KM.9.5 Z.I. ZONA INDUSTRIAL(DESVIO HUACHIPA LURIGANCHO CHOSICA) LIMA LURIGANCHO</t>
        </is>
      </c>
      <c r="E194" t="inlineStr">
        <is>
          <t>Lima, 10 de Octubre de 2022</t>
        </is>
      </c>
      <c r="F194" t="inlineStr">
        <is>
          <t>la Recarga y mantenimiento</t>
        </is>
      </c>
      <c r="G194" t="n">
        <v>10</v>
      </c>
      <c r="H194" t="inlineStr">
        <is>
          <t>20 LBS</t>
        </is>
      </c>
      <c r="I194" t="inlineStr">
        <is>
          <t>2023</t>
        </is>
      </c>
      <c r="J194" t="n">
        <v>2013</v>
      </c>
      <c r="K194" t="inlineStr">
        <is>
          <t>OCTUBRE 2022</t>
        </is>
      </c>
      <c r="L194" t="inlineStr">
        <is>
          <t>OCTUBRE 2023</t>
        </is>
      </c>
      <c r="M194" t="inlineStr">
        <is>
          <t>CO2 /TIPO BC</t>
        </is>
      </c>
      <c r="N194" t="inlineStr">
        <is>
          <t>34/AC-538135</t>
        </is>
      </c>
      <c r="O194" t="inlineStr">
        <is>
          <t>R</t>
        </is>
      </c>
      <c r="P194">
        <f>TRIM(N194)</f>
        <v/>
      </c>
    </row>
    <row r="195">
      <c r="A195" t="inlineStr">
        <is>
          <t>CO-001180</t>
        </is>
      </c>
      <c r="B195" t="inlineStr">
        <is>
          <t>JOBITO MONTENEGRO</t>
        </is>
      </c>
      <c r="D195" t="inlineStr">
        <is>
          <t>PLACA: D7R-670</t>
        </is>
      </c>
      <c r="E195" t="inlineStr">
        <is>
          <t>Lima, 10 de Octubre de 2022</t>
        </is>
      </c>
      <c r="F195" t="inlineStr">
        <is>
          <t>la Recarga y mantenimiento</t>
        </is>
      </c>
      <c r="G195" t="inlineStr">
        <is>
          <t>-</t>
        </is>
      </c>
      <c r="H195" t="inlineStr">
        <is>
          <t>02 KG</t>
        </is>
      </c>
      <c r="I195" t="inlineStr">
        <is>
          <t>VIGENTE</t>
        </is>
      </c>
      <c r="J195" t="n">
        <v>2009</v>
      </c>
      <c r="K195" t="inlineStr">
        <is>
          <t>OCTUBRE 2022</t>
        </is>
      </c>
      <c r="L195" t="inlineStr">
        <is>
          <t>OCTUBRE 2023</t>
        </is>
      </c>
      <c r="M195" t="inlineStr">
        <is>
          <t xml:space="preserve">P.Q.S.  TIPO ABC </t>
        </is>
      </c>
      <c r="N195" t="inlineStr">
        <is>
          <t>01/ 000025</t>
        </is>
      </c>
      <c r="O195" t="inlineStr">
        <is>
          <t>R</t>
        </is>
      </c>
      <c r="P195">
        <f>TRIM(N195)</f>
        <v/>
      </c>
    </row>
    <row r="196">
      <c r="A196" t="inlineStr">
        <is>
          <t>CO-001181</t>
        </is>
      </c>
      <c r="B196" t="inlineStr">
        <is>
          <t>LINDE PERU S.R.L.</t>
        </is>
      </c>
      <c r="C196" t="inlineStr">
        <is>
          <t>20338570041</t>
        </is>
      </c>
      <c r="D196" t="inlineStr">
        <is>
          <t>CAR.CARRET.CENTRAL KM.9.5 Z.I. ZONA INDUSTRIAL(DESVIO HUACHIPA LURIGANCHO CHOSICA) LIMA LURIGANCHO</t>
        </is>
      </c>
      <c r="E196" t="inlineStr">
        <is>
          <t>Lima, 10 de Octubre de 2022</t>
        </is>
      </c>
      <c r="F196" t="inlineStr">
        <is>
          <t>Mantenimiento</t>
        </is>
      </c>
      <c r="G196" t="n">
        <v>1</v>
      </c>
      <c r="H196" t="inlineStr">
        <is>
          <t>12 KG</t>
        </is>
      </c>
      <c r="I196" t="inlineStr">
        <is>
          <t>2027</t>
        </is>
      </c>
      <c r="J196" t="n">
        <v>2012</v>
      </c>
      <c r="K196" t="inlineStr">
        <is>
          <t>OCTUBRE 2022</t>
        </is>
      </c>
      <c r="L196" t="inlineStr">
        <is>
          <t>OCTUBRE 2023</t>
        </is>
      </c>
      <c r="M196" t="inlineStr">
        <is>
          <t>P.Q.S.  TIPO ABC AL 90% UL</t>
        </is>
      </c>
      <c r="N196" t="inlineStr">
        <is>
          <t>07/004908</t>
        </is>
      </c>
      <c r="O196" t="inlineStr">
        <is>
          <t>M4</t>
        </is>
      </c>
      <c r="P196">
        <f>TRIM(N196)</f>
        <v/>
      </c>
    </row>
    <row r="197">
      <c r="A197" t="inlineStr">
        <is>
          <t>CO-001181</t>
        </is>
      </c>
      <c r="B197" t="inlineStr">
        <is>
          <t>LINDE PERU S.R.L.</t>
        </is>
      </c>
      <c r="C197" t="inlineStr">
        <is>
          <t>20338570041</t>
        </is>
      </c>
      <c r="D197" t="inlineStr">
        <is>
          <t>CAR.CARRET.CENTRAL KM.9.5 Z.I. ZONA INDUSTRIAL(DESVIO HUACHIPA LURIGANCHO CHOSICA) LIMA LURIGANCHO</t>
        </is>
      </c>
      <c r="E197" t="inlineStr">
        <is>
          <t>Lima, 10 de Octubre de 2022</t>
        </is>
      </c>
      <c r="F197" t="inlineStr">
        <is>
          <t>Mantenimiento</t>
        </is>
      </c>
      <c r="G197" t="n">
        <v>2</v>
      </c>
      <c r="H197" t="inlineStr">
        <is>
          <t>12 KG</t>
        </is>
      </c>
      <c r="I197" t="inlineStr">
        <is>
          <t>2027</t>
        </is>
      </c>
      <c r="J197" t="n">
        <v>2012</v>
      </c>
      <c r="K197" t="inlineStr">
        <is>
          <t>OCTUBRE 2022</t>
        </is>
      </c>
      <c r="L197" t="inlineStr">
        <is>
          <t>OCTUBRE 2023</t>
        </is>
      </c>
      <c r="M197" t="inlineStr">
        <is>
          <t>P.Q.S.  TIPO ABC AL 90% UL</t>
        </is>
      </c>
      <c r="N197" t="inlineStr">
        <is>
          <t>08/004291</t>
        </is>
      </c>
      <c r="O197" t="inlineStr">
        <is>
          <t>M4</t>
        </is>
      </c>
      <c r="P197">
        <f>TRIM(N197)</f>
        <v/>
      </c>
    </row>
    <row r="198">
      <c r="A198" t="inlineStr">
        <is>
          <t>CO-001181</t>
        </is>
      </c>
      <c r="B198" t="inlineStr">
        <is>
          <t>LINDE PERU S.R.L.</t>
        </is>
      </c>
      <c r="C198" t="inlineStr">
        <is>
          <t>20338570041</t>
        </is>
      </c>
      <c r="D198" t="inlineStr">
        <is>
          <t>CAR.CARRET.CENTRAL KM.9.5 Z.I. ZONA INDUSTRIAL(DESVIO HUACHIPA LURIGANCHO CHOSICA) LIMA LURIGANCHO</t>
        </is>
      </c>
      <c r="E198" t="inlineStr">
        <is>
          <t>Lima, 10 de Octubre de 2022</t>
        </is>
      </c>
      <c r="F198" t="inlineStr">
        <is>
          <t>Mantenimiento</t>
        </is>
      </c>
      <c r="G198" t="n">
        <v>3</v>
      </c>
      <c r="H198" t="inlineStr">
        <is>
          <t>12 KG</t>
        </is>
      </c>
      <c r="I198" t="inlineStr">
        <is>
          <t>2027</t>
        </is>
      </c>
      <c r="J198" t="n">
        <v>2012</v>
      </c>
      <c r="K198" t="inlineStr">
        <is>
          <t>OCTUBRE 2022</t>
        </is>
      </c>
      <c r="L198" t="inlineStr">
        <is>
          <t>OCTUBRE 2023</t>
        </is>
      </c>
      <c r="M198" t="inlineStr">
        <is>
          <t>P.Q.S.  TIPO ABC AL 90% UL</t>
        </is>
      </c>
      <c r="N198" t="inlineStr">
        <is>
          <t>09/004817</t>
        </is>
      </c>
      <c r="O198" t="inlineStr">
        <is>
          <t>M4</t>
        </is>
      </c>
      <c r="P198">
        <f>TRIM(N198)</f>
        <v/>
      </c>
    </row>
    <row r="199">
      <c r="A199" t="inlineStr">
        <is>
          <t>CO-001181</t>
        </is>
      </c>
      <c r="B199" t="inlineStr">
        <is>
          <t>LINDE PERU S.R.L.</t>
        </is>
      </c>
      <c r="C199" t="inlineStr">
        <is>
          <t>20338570041</t>
        </is>
      </c>
      <c r="D199" t="inlineStr">
        <is>
          <t>CAR.CARRET.CENTRAL KM.9.5 Z.I. ZONA INDUSTRIAL(DESVIO HUACHIPA LURIGANCHO CHOSICA) LIMA LURIGANCHO</t>
        </is>
      </c>
      <c r="E199" t="inlineStr">
        <is>
          <t>Lima, 10 de Octubre de 2022</t>
        </is>
      </c>
      <c r="F199" t="inlineStr">
        <is>
          <t>Mantenimiento</t>
        </is>
      </c>
      <c r="G199" t="n">
        <v>4</v>
      </c>
      <c r="H199" t="inlineStr">
        <is>
          <t>12 KG</t>
        </is>
      </c>
      <c r="I199" t="inlineStr">
        <is>
          <t>2027</t>
        </is>
      </c>
      <c r="J199" t="n">
        <v>2012</v>
      </c>
      <c r="K199" t="inlineStr">
        <is>
          <t>OCTUBRE 2022</t>
        </is>
      </c>
      <c r="L199" t="inlineStr">
        <is>
          <t>OCTUBRE 2023</t>
        </is>
      </c>
      <c r="M199" t="inlineStr">
        <is>
          <t>P.Q.S.  TIPO ABC AL 90% UL</t>
        </is>
      </c>
      <c r="N199" t="inlineStr">
        <is>
          <t>10/004685</t>
        </is>
      </c>
      <c r="O199" t="inlineStr">
        <is>
          <t>M4</t>
        </is>
      </c>
      <c r="P199">
        <f>TRIM(N199)</f>
        <v/>
      </c>
    </row>
    <row r="200">
      <c r="A200" t="inlineStr">
        <is>
          <t>CO-001181</t>
        </is>
      </c>
      <c r="B200" t="inlineStr">
        <is>
          <t>LINDE PERU S.R.L.</t>
        </is>
      </c>
      <c r="C200" t="inlineStr">
        <is>
          <t>20338570041</t>
        </is>
      </c>
      <c r="D200" t="inlineStr">
        <is>
          <t>CAR.CARRET.CENTRAL KM.9.5 Z.I. ZONA INDUSTRIAL(DESVIO HUACHIPA LURIGANCHO CHOSICA) LIMA LURIGANCHO</t>
        </is>
      </c>
      <c r="E200" t="inlineStr">
        <is>
          <t>Lima, 10 de Octubre de 2022</t>
        </is>
      </c>
      <c r="F200" t="inlineStr">
        <is>
          <t>Mantenimiento</t>
        </is>
      </c>
      <c r="G200" t="n">
        <v>5</v>
      </c>
      <c r="H200" t="inlineStr">
        <is>
          <t>12 KG</t>
        </is>
      </c>
      <c r="I200" t="inlineStr">
        <is>
          <t>2027</t>
        </is>
      </c>
      <c r="J200" t="n">
        <v>2012</v>
      </c>
      <c r="K200" t="inlineStr">
        <is>
          <t>OCTUBRE 2022</t>
        </is>
      </c>
      <c r="L200" t="inlineStr">
        <is>
          <t>OCTUBRE 2023</t>
        </is>
      </c>
      <c r="M200" t="inlineStr">
        <is>
          <t>P.Q.S.  TIPO ABC AL 90% UL</t>
        </is>
      </c>
      <c r="N200" t="inlineStr">
        <is>
          <t>11/004760</t>
        </is>
      </c>
      <c r="O200" t="inlineStr">
        <is>
          <t>M4</t>
        </is>
      </c>
      <c r="P200">
        <f>TRIM(N200)</f>
        <v/>
      </c>
    </row>
    <row r="201">
      <c r="A201" t="inlineStr">
        <is>
          <t>CO-001181</t>
        </is>
      </c>
      <c r="B201" t="inlineStr">
        <is>
          <t>LINDE PERU S.R.L.</t>
        </is>
      </c>
      <c r="C201" t="inlineStr">
        <is>
          <t>20338570041</t>
        </is>
      </c>
      <c r="D201" t="inlineStr">
        <is>
          <t>CAR.CARRET.CENTRAL KM.9.5 Z.I. ZONA INDUSTRIAL(DESVIO HUACHIPA LURIGANCHO CHOSICA) LIMA LURIGANCHO</t>
        </is>
      </c>
      <c r="E201" t="inlineStr">
        <is>
          <t>Lima, 10 de Octubre de 2022</t>
        </is>
      </c>
      <c r="F201" t="inlineStr">
        <is>
          <t>Mantenimiento</t>
        </is>
      </c>
      <c r="G201" t="n">
        <v>6</v>
      </c>
      <c r="H201" t="inlineStr">
        <is>
          <t>12 KG</t>
        </is>
      </c>
      <c r="I201" t="inlineStr">
        <is>
          <t>2027</t>
        </is>
      </c>
      <c r="J201" t="n">
        <v>2012</v>
      </c>
      <c r="K201" t="inlineStr">
        <is>
          <t>OCTUBRE 2022</t>
        </is>
      </c>
      <c r="L201" t="inlineStr">
        <is>
          <t>OCTUBRE 2023</t>
        </is>
      </c>
      <c r="M201" t="inlineStr">
        <is>
          <t>P.Q.S.  TIPO ABC AL 90% UL</t>
        </is>
      </c>
      <c r="N201" t="inlineStr">
        <is>
          <t>12/004674</t>
        </is>
      </c>
      <c r="O201" t="inlineStr">
        <is>
          <t>M4</t>
        </is>
      </c>
      <c r="P201">
        <f>TRIM(N201)</f>
        <v/>
      </c>
    </row>
    <row r="202">
      <c r="A202" t="inlineStr">
        <is>
          <t>CO-001181</t>
        </is>
      </c>
      <c r="B202" t="inlineStr">
        <is>
          <t>LINDE PERU S.R.L.</t>
        </is>
      </c>
      <c r="C202" t="inlineStr">
        <is>
          <t>20338570041</t>
        </is>
      </c>
      <c r="D202" t="inlineStr">
        <is>
          <t>CAR.CARRET.CENTRAL KM.9.5 Z.I. ZONA INDUSTRIAL(DESVIO HUACHIPA LURIGANCHO CHOSICA) LIMA LURIGANCHO</t>
        </is>
      </c>
      <c r="E202" t="inlineStr">
        <is>
          <t>Lima, 10 de Octubre de 2022</t>
        </is>
      </c>
      <c r="F202" t="inlineStr">
        <is>
          <t>Mantenimiento</t>
        </is>
      </c>
      <c r="G202" t="n">
        <v>7</v>
      </c>
      <c r="H202" t="inlineStr">
        <is>
          <t>12 KG</t>
        </is>
      </c>
      <c r="I202" t="inlineStr">
        <is>
          <t>2027</t>
        </is>
      </c>
      <c r="J202" t="n">
        <v>2012</v>
      </c>
      <c r="K202" t="inlineStr">
        <is>
          <t>OCTUBRE 2022</t>
        </is>
      </c>
      <c r="L202" t="inlineStr">
        <is>
          <t>OCTUBRE 2023</t>
        </is>
      </c>
      <c r="M202" t="inlineStr">
        <is>
          <t>P.Q.S.  TIPO ABC AL 90% UL</t>
        </is>
      </c>
      <c r="N202" t="inlineStr">
        <is>
          <t>14/004909</t>
        </is>
      </c>
      <c r="O202" t="inlineStr">
        <is>
          <t>M4</t>
        </is>
      </c>
      <c r="P202">
        <f>TRIM(N202)</f>
        <v/>
      </c>
    </row>
    <row r="203">
      <c r="A203" t="inlineStr">
        <is>
          <t>CO-001181</t>
        </is>
      </c>
      <c r="B203" t="inlineStr">
        <is>
          <t>LINDE PERU S.R.L.</t>
        </is>
      </c>
      <c r="C203" t="inlineStr">
        <is>
          <t>20338570041</t>
        </is>
      </c>
      <c r="D203" t="inlineStr">
        <is>
          <t>CAR.CARRET.CENTRAL KM.9.5 Z.I. ZONA INDUSTRIAL(DESVIO HUACHIPA LURIGANCHO CHOSICA) LIMA LURIGANCHO</t>
        </is>
      </c>
      <c r="E203" t="inlineStr">
        <is>
          <t>Lima, 10 de Octubre de 2022</t>
        </is>
      </c>
      <c r="F203" t="inlineStr">
        <is>
          <t>Mantenimiento</t>
        </is>
      </c>
      <c r="G203" t="n">
        <v>8</v>
      </c>
      <c r="H203" t="inlineStr">
        <is>
          <t>12 KG</t>
        </is>
      </c>
      <c r="I203" t="inlineStr">
        <is>
          <t>2027</t>
        </is>
      </c>
      <c r="J203" t="n">
        <v>2012</v>
      </c>
      <c r="K203" t="inlineStr">
        <is>
          <t>OCTUBRE 2022</t>
        </is>
      </c>
      <c r="L203" t="inlineStr">
        <is>
          <t>OCTUBRE 2023</t>
        </is>
      </c>
      <c r="M203" t="inlineStr">
        <is>
          <t>P.Q.S.  TIPO ABC AL 90% UL</t>
        </is>
      </c>
      <c r="N203" t="inlineStr">
        <is>
          <t>16/004972</t>
        </is>
      </c>
      <c r="O203" t="inlineStr">
        <is>
          <t>M4</t>
        </is>
      </c>
      <c r="P203">
        <f>TRIM(N203)</f>
        <v/>
      </c>
    </row>
    <row r="204">
      <c r="A204" t="inlineStr">
        <is>
          <t>CO-001181</t>
        </is>
      </c>
      <c r="B204" t="inlineStr">
        <is>
          <t>LINDE PERU S.R.L.</t>
        </is>
      </c>
      <c r="C204" t="inlineStr">
        <is>
          <t>20338570041</t>
        </is>
      </c>
      <c r="D204" t="inlineStr">
        <is>
          <t>CAR.CARRET.CENTRAL KM.9.5 Z.I. ZONA INDUSTRIAL(DESVIO HUACHIPA LURIGANCHO CHOSICA) LIMA LURIGANCHO</t>
        </is>
      </c>
      <c r="E204" t="inlineStr">
        <is>
          <t>Lima, 10 de Octubre de 2022</t>
        </is>
      </c>
      <c r="F204" t="inlineStr">
        <is>
          <t>Mantenimiento</t>
        </is>
      </c>
      <c r="G204" t="n">
        <v>9</v>
      </c>
      <c r="H204" t="inlineStr">
        <is>
          <t>12 KG</t>
        </is>
      </c>
      <c r="I204" t="inlineStr">
        <is>
          <t>2027</t>
        </is>
      </c>
      <c r="J204" t="n">
        <v>2012</v>
      </c>
      <c r="K204" t="inlineStr">
        <is>
          <t>OCTUBRE 2022</t>
        </is>
      </c>
      <c r="L204" t="inlineStr">
        <is>
          <t>OCTUBRE 2023</t>
        </is>
      </c>
      <c r="M204" t="inlineStr">
        <is>
          <t>P.Q.S.  TIPO ABC AL 90% UL</t>
        </is>
      </c>
      <c r="N204" t="inlineStr">
        <is>
          <t>17/004372</t>
        </is>
      </c>
      <c r="O204" t="inlineStr">
        <is>
          <t>M4</t>
        </is>
      </c>
      <c r="P204">
        <f>TRIM(N204)</f>
        <v/>
      </c>
    </row>
    <row r="205">
      <c r="A205" t="inlineStr">
        <is>
          <t>CO-001181</t>
        </is>
      </c>
      <c r="B205" t="inlineStr">
        <is>
          <t>LINDE PERU S.R.L.</t>
        </is>
      </c>
      <c r="C205" t="inlineStr">
        <is>
          <t>20338570041</t>
        </is>
      </c>
      <c r="D205" t="inlineStr">
        <is>
          <t>CAR.CARRET.CENTRAL KM.9.5 Z.I. ZONA INDUSTRIAL(DESVIO HUACHIPA LURIGANCHO CHOSICA) LIMA LURIGANCHO</t>
        </is>
      </c>
      <c r="E205" t="inlineStr">
        <is>
          <t>Lima, 10 de Octubre de 2022</t>
        </is>
      </c>
      <c r="F205" t="inlineStr">
        <is>
          <t>Mantenimiento</t>
        </is>
      </c>
      <c r="G205" t="n">
        <v>10</v>
      </c>
      <c r="H205" t="inlineStr">
        <is>
          <t>12 KG</t>
        </is>
      </c>
      <c r="I205" t="inlineStr">
        <is>
          <t>2027</t>
        </is>
      </c>
      <c r="J205" t="n">
        <v>2012</v>
      </c>
      <c r="K205" t="inlineStr">
        <is>
          <t>OCTUBRE 2022</t>
        </is>
      </c>
      <c r="L205" t="inlineStr">
        <is>
          <t>OCTUBRE 2023</t>
        </is>
      </c>
      <c r="M205" t="inlineStr">
        <is>
          <t>P.Q.S.  TIPO ABC AL 90% UL</t>
        </is>
      </c>
      <c r="N205" t="inlineStr">
        <is>
          <t>18/004973</t>
        </is>
      </c>
      <c r="O205" t="inlineStr">
        <is>
          <t>M4</t>
        </is>
      </c>
      <c r="P205">
        <f>TRIM(N205)</f>
        <v/>
      </c>
    </row>
    <row r="206">
      <c r="A206" t="inlineStr">
        <is>
          <t>CO-001182</t>
        </is>
      </c>
      <c r="B206" t="inlineStr">
        <is>
          <t>LINDE PERU S.R.L.</t>
        </is>
      </c>
      <c r="C206" t="inlineStr">
        <is>
          <t>20338570041</t>
        </is>
      </c>
      <c r="D206" t="inlineStr">
        <is>
          <t>CAR.CARRET.CENTRAL KM.9.5 Z.I. ZONA INDUSTRIAL(DESVIO HUACHIPA LURIGANCHO CHOSICA) LIMA LURIGANCHO</t>
        </is>
      </c>
      <c r="E206" t="inlineStr">
        <is>
          <t>Lima, 10 de Octubre de 2022</t>
        </is>
      </c>
      <c r="F206" t="inlineStr">
        <is>
          <t>Mantenimiento</t>
        </is>
      </c>
      <c r="G206" t="n">
        <v>1</v>
      </c>
      <c r="H206" t="inlineStr">
        <is>
          <t>12 KG</t>
        </is>
      </c>
      <c r="I206" t="inlineStr">
        <is>
          <t>2027</t>
        </is>
      </c>
      <c r="J206" t="n">
        <v>2012</v>
      </c>
      <c r="K206" t="inlineStr">
        <is>
          <t>OCTUBRE 2022</t>
        </is>
      </c>
      <c r="L206" t="inlineStr">
        <is>
          <t>OCTUBRE 2023</t>
        </is>
      </c>
      <c r="M206" t="inlineStr">
        <is>
          <t>P.Q.S.  TIPO ABC AL 90% UL</t>
        </is>
      </c>
      <c r="N206" t="inlineStr">
        <is>
          <t>20/004767</t>
        </is>
      </c>
      <c r="O206" t="inlineStr">
        <is>
          <t>M4</t>
        </is>
      </c>
      <c r="P206">
        <f>TRIM(N206)</f>
        <v/>
      </c>
    </row>
    <row r="207">
      <c r="A207" t="inlineStr">
        <is>
          <t>CO-001182</t>
        </is>
      </c>
      <c r="B207" t="inlineStr">
        <is>
          <t>LINDE PERU S.R.L.</t>
        </is>
      </c>
      <c r="C207" t="inlineStr">
        <is>
          <t>20338570041</t>
        </is>
      </c>
      <c r="D207" t="inlineStr">
        <is>
          <t>CAR.CARRET.CENTRAL KM.9.5 Z.I. ZONA INDUSTRIAL(DESVIO HUACHIPA LURIGANCHO CHOSICA) LIMA LURIGANCHO</t>
        </is>
      </c>
      <c r="E207" t="inlineStr">
        <is>
          <t>Lima, 10 de Octubre de 2022</t>
        </is>
      </c>
      <c r="F207" t="inlineStr">
        <is>
          <t>Mantenimiento</t>
        </is>
      </c>
      <c r="G207" t="n">
        <v>2</v>
      </c>
      <c r="H207" t="inlineStr">
        <is>
          <t>12 KG</t>
        </is>
      </c>
      <c r="I207" t="inlineStr">
        <is>
          <t>2027</t>
        </is>
      </c>
      <c r="J207" t="n">
        <v>2012</v>
      </c>
      <c r="K207" t="inlineStr">
        <is>
          <t>OCTUBRE 2022</t>
        </is>
      </c>
      <c r="L207" t="inlineStr">
        <is>
          <t>OCTUBRE 2023</t>
        </is>
      </c>
      <c r="M207" t="inlineStr">
        <is>
          <t>P.Q.S.  TIPO ABC AL 90% UL</t>
        </is>
      </c>
      <c r="N207" t="inlineStr">
        <is>
          <t>22/004309</t>
        </is>
      </c>
      <c r="O207" t="inlineStr">
        <is>
          <t>M4</t>
        </is>
      </c>
      <c r="P207">
        <f>TRIM(N207)</f>
        <v/>
      </c>
    </row>
    <row r="208">
      <c r="A208" t="inlineStr">
        <is>
          <t>CO-001182</t>
        </is>
      </c>
      <c r="B208" t="inlineStr">
        <is>
          <t>LINDE PERU S.R.L.</t>
        </is>
      </c>
      <c r="C208" t="inlineStr">
        <is>
          <t>20338570041</t>
        </is>
      </c>
      <c r="D208" t="inlineStr">
        <is>
          <t>CAR.CARRET.CENTRAL KM.9.5 Z.I. ZONA INDUSTRIAL(DESVIO HUACHIPA LURIGANCHO CHOSICA) LIMA LURIGANCHO</t>
        </is>
      </c>
      <c r="E208" t="inlineStr">
        <is>
          <t>Lima, 10 de Octubre de 2022</t>
        </is>
      </c>
      <c r="F208" t="inlineStr">
        <is>
          <t>Mantenimiento</t>
        </is>
      </c>
      <c r="G208" t="n">
        <v>3</v>
      </c>
      <c r="H208" t="inlineStr">
        <is>
          <t>12 KG</t>
        </is>
      </c>
      <c r="I208" t="inlineStr">
        <is>
          <t>2027</t>
        </is>
      </c>
      <c r="J208" t="n">
        <v>2007</v>
      </c>
      <c r="K208" t="inlineStr">
        <is>
          <t>OCTUBRE 2022</t>
        </is>
      </c>
      <c r="L208" t="inlineStr">
        <is>
          <t>OCTUBRE 2023</t>
        </is>
      </c>
      <c r="M208" t="inlineStr">
        <is>
          <t>P.Q.S.  TIPO ABC AL 90% UL</t>
        </is>
      </c>
      <c r="N208" t="inlineStr">
        <is>
          <t>27/000133</t>
        </is>
      </c>
      <c r="O208" t="inlineStr">
        <is>
          <t>M4</t>
        </is>
      </c>
      <c r="P208">
        <f>TRIM(N208)</f>
        <v/>
      </c>
    </row>
    <row r="209">
      <c r="A209" t="inlineStr">
        <is>
          <t>CO-001182</t>
        </is>
      </c>
      <c r="B209" t="inlineStr">
        <is>
          <t>LINDE PERU S.R.L.</t>
        </is>
      </c>
      <c r="C209" t="inlineStr">
        <is>
          <t>20338570041</t>
        </is>
      </c>
      <c r="D209" t="inlineStr">
        <is>
          <t>CAR.CARRET.CENTRAL KM.9.5 Z.I. ZONA INDUSTRIAL(DESVIO HUACHIPA LURIGANCHO CHOSICA) LIMA LURIGANCHO</t>
        </is>
      </c>
      <c r="E209" t="inlineStr">
        <is>
          <t>Lima, 10 de Octubre de 2022</t>
        </is>
      </c>
      <c r="F209" t="inlineStr">
        <is>
          <t>Mantenimiento</t>
        </is>
      </c>
      <c r="G209" t="n">
        <v>4</v>
      </c>
      <c r="H209" t="inlineStr">
        <is>
          <t>12 KG</t>
        </is>
      </c>
      <c r="I209" t="inlineStr">
        <is>
          <t>2027</t>
        </is>
      </c>
      <c r="J209" t="n">
        <v>2007</v>
      </c>
      <c r="K209" t="inlineStr">
        <is>
          <t>OCTUBRE 2022</t>
        </is>
      </c>
      <c r="L209" t="inlineStr">
        <is>
          <t>OCTUBRE 2023</t>
        </is>
      </c>
      <c r="M209" t="inlineStr">
        <is>
          <t>P.Q.S.  TIPO ABC AL 90% UL</t>
        </is>
      </c>
      <c r="N209" t="inlineStr">
        <is>
          <t>28/000116</t>
        </is>
      </c>
      <c r="O209" t="inlineStr">
        <is>
          <t>M4</t>
        </is>
      </c>
      <c r="P209">
        <f>TRIM(N209)</f>
        <v/>
      </c>
    </row>
    <row r="210">
      <c r="A210" t="inlineStr">
        <is>
          <t>CO-001182</t>
        </is>
      </c>
      <c r="B210" t="inlineStr">
        <is>
          <t>LINDE PERU S.R.L.</t>
        </is>
      </c>
      <c r="C210" t="inlineStr">
        <is>
          <t>20338570041</t>
        </is>
      </c>
      <c r="D210" t="inlineStr">
        <is>
          <t>CAR.CARRET.CENTRAL KM.9.5 Z.I. ZONA INDUSTRIAL(DESVIO HUACHIPA LURIGANCHO CHOSICA) LIMA LURIGANCHO</t>
        </is>
      </c>
      <c r="E210" t="inlineStr">
        <is>
          <t>Lima, 10 de Octubre de 2022</t>
        </is>
      </c>
      <c r="F210" t="inlineStr">
        <is>
          <t>Mantenimiento</t>
        </is>
      </c>
      <c r="G210" t="n">
        <v>5</v>
      </c>
      <c r="H210" t="inlineStr">
        <is>
          <t>12 KG</t>
        </is>
      </c>
      <c r="I210" t="inlineStr">
        <is>
          <t>2027</t>
        </is>
      </c>
      <c r="J210" t="n">
        <v>2007</v>
      </c>
      <c r="K210" t="inlineStr">
        <is>
          <t>OCTUBRE 2022</t>
        </is>
      </c>
      <c r="L210" t="inlineStr">
        <is>
          <t>OCTUBRE 2023</t>
        </is>
      </c>
      <c r="M210" t="inlineStr">
        <is>
          <t>P.Q.S.  TIPO ABC AL 90% UL</t>
        </is>
      </c>
      <c r="N210" t="inlineStr">
        <is>
          <t>30/000143</t>
        </is>
      </c>
      <c r="O210" t="inlineStr">
        <is>
          <t>M4</t>
        </is>
      </c>
      <c r="P210">
        <f>TRIM(N210)</f>
        <v/>
      </c>
    </row>
    <row r="211">
      <c r="A211" t="inlineStr">
        <is>
          <t>CO-001182</t>
        </is>
      </c>
      <c r="B211" t="inlineStr">
        <is>
          <t>LINDE PERU S.R.L.</t>
        </is>
      </c>
      <c r="C211" t="inlineStr">
        <is>
          <t>20338570041</t>
        </is>
      </c>
      <c r="D211" t="inlineStr">
        <is>
          <t>CAR.CARRET.CENTRAL KM.9.5 Z.I. ZONA INDUSTRIAL(DESVIO HUACHIPA LURIGANCHO CHOSICA) LIMA LURIGANCHO</t>
        </is>
      </c>
      <c r="E211" t="inlineStr">
        <is>
          <t>Lima, 10 de Octubre de 2022</t>
        </is>
      </c>
      <c r="F211" t="inlineStr">
        <is>
          <t>Mantenimiento</t>
        </is>
      </c>
      <c r="G211" t="n">
        <v>6</v>
      </c>
      <c r="H211" t="inlineStr">
        <is>
          <t>12 KG</t>
        </is>
      </c>
      <c r="I211" t="inlineStr">
        <is>
          <t>2023</t>
        </is>
      </c>
      <c r="J211" t="n">
        <v>2018</v>
      </c>
      <c r="K211" t="inlineStr">
        <is>
          <t>OCTUBRE 2022</t>
        </is>
      </c>
      <c r="L211" t="inlineStr">
        <is>
          <t>OCTUBRE 2023</t>
        </is>
      </c>
      <c r="M211" t="inlineStr">
        <is>
          <t>P.Q.S.  TIPO ABC AL 90% UL</t>
        </is>
      </c>
      <c r="N211" t="inlineStr">
        <is>
          <t>31/004518</t>
        </is>
      </c>
      <c r="O211" t="inlineStr">
        <is>
          <t>M4</t>
        </is>
      </c>
      <c r="P211">
        <f>TRIM(N211)</f>
        <v/>
      </c>
    </row>
    <row r="212">
      <c r="A212" t="inlineStr">
        <is>
          <t>CO-001182</t>
        </is>
      </c>
      <c r="B212" t="inlineStr">
        <is>
          <t>LINDE PERU S.R.L.</t>
        </is>
      </c>
      <c r="C212" t="inlineStr">
        <is>
          <t>20338570041</t>
        </is>
      </c>
      <c r="D212" t="inlineStr">
        <is>
          <t>CAR.CARRET.CENTRAL KM.9.5 Z.I. ZONA INDUSTRIAL(DESVIO HUACHIPA LURIGANCHO CHOSICA) LIMA LURIGANCHO</t>
        </is>
      </c>
      <c r="E212" t="inlineStr">
        <is>
          <t>Lima, 10 de Octubre de 2022</t>
        </is>
      </c>
      <c r="F212" t="inlineStr">
        <is>
          <t>Mantenimiento</t>
        </is>
      </c>
      <c r="G212" t="n">
        <v>7</v>
      </c>
      <c r="H212" t="inlineStr">
        <is>
          <t>12 KG</t>
        </is>
      </c>
      <c r="I212" t="inlineStr">
        <is>
          <t>2027</t>
        </is>
      </c>
      <c r="J212" t="n">
        <v>2012</v>
      </c>
      <c r="K212" t="inlineStr">
        <is>
          <t>OCTUBRE 2022</t>
        </is>
      </c>
      <c r="L212" t="inlineStr">
        <is>
          <t>OCTUBRE 2023</t>
        </is>
      </c>
      <c r="M212" t="inlineStr">
        <is>
          <t>P.Q.S.  TIPO ABC AL 90% UL</t>
        </is>
      </c>
      <c r="N212" t="inlineStr">
        <is>
          <t>32/004864</t>
        </is>
      </c>
      <c r="O212" t="inlineStr">
        <is>
          <t>M4</t>
        </is>
      </c>
      <c r="P212">
        <f>TRIM(N212)</f>
        <v/>
      </c>
    </row>
    <row r="213">
      <c r="A213" t="inlineStr">
        <is>
          <t>CO-001182</t>
        </is>
      </c>
      <c r="B213" t="inlineStr">
        <is>
          <t>LINDE PERU S.R.L.</t>
        </is>
      </c>
      <c r="C213" t="inlineStr">
        <is>
          <t>20338570041</t>
        </is>
      </c>
      <c r="D213" t="inlineStr">
        <is>
          <t>CAR.CARRET.CENTRAL KM.9.5 Z.I. ZONA INDUSTRIAL(DESVIO HUACHIPA LURIGANCHO CHOSICA) LIMA LURIGANCHO</t>
        </is>
      </c>
      <c r="E213" t="inlineStr">
        <is>
          <t>Lima, 10 de Octubre de 2022</t>
        </is>
      </c>
      <c r="F213" t="inlineStr">
        <is>
          <t>Mantenimiento</t>
        </is>
      </c>
      <c r="G213" t="n">
        <v>8</v>
      </c>
      <c r="H213" t="inlineStr">
        <is>
          <t>09 KG</t>
        </is>
      </c>
      <c r="I213" t="inlineStr">
        <is>
          <t>2027</t>
        </is>
      </c>
      <c r="J213" t="n">
        <v>2012</v>
      </c>
      <c r="K213" t="inlineStr">
        <is>
          <t>OCTUBRE 2022</t>
        </is>
      </c>
      <c r="L213" t="inlineStr">
        <is>
          <t>OCTUBRE 2023</t>
        </is>
      </c>
      <c r="M213" t="inlineStr">
        <is>
          <t>P.Q.S.  TIPO ABC AL 90% UL</t>
        </is>
      </c>
      <c r="N213" t="inlineStr">
        <is>
          <t>33/000426</t>
        </is>
      </c>
      <c r="O213" t="inlineStr">
        <is>
          <t>M4</t>
        </is>
      </c>
      <c r="P213">
        <f>TRIM(N213)</f>
        <v/>
      </c>
    </row>
    <row r="214">
      <c r="A214" t="inlineStr">
        <is>
          <t>CO-001182</t>
        </is>
      </c>
      <c r="B214" t="inlineStr">
        <is>
          <t>LINDE PERU S.R.L.</t>
        </is>
      </c>
      <c r="C214" t="inlineStr">
        <is>
          <t>20338570041</t>
        </is>
      </c>
      <c r="D214" t="inlineStr">
        <is>
          <t>CAR.CARRET.CENTRAL KM.9.5 Z.I. ZONA INDUSTRIAL(DESVIO HUACHIPA LURIGANCHO CHOSICA) LIMA LURIGANCHO</t>
        </is>
      </c>
      <c r="E214" t="inlineStr">
        <is>
          <t>Lima, 10 de Octubre de 2022</t>
        </is>
      </c>
      <c r="F214" t="inlineStr">
        <is>
          <t>Mantenimiento</t>
        </is>
      </c>
      <c r="G214" t="n">
        <v>9</v>
      </c>
      <c r="H214" t="inlineStr">
        <is>
          <t>05 LBS</t>
        </is>
      </c>
      <c r="I214" t="inlineStr">
        <is>
          <t>2027</t>
        </is>
      </c>
      <c r="J214" t="n">
        <v>2012</v>
      </c>
      <c r="K214" t="inlineStr">
        <is>
          <t>OCTUBRE 2022</t>
        </is>
      </c>
      <c r="L214" t="inlineStr">
        <is>
          <t>OCTUBRE 2023</t>
        </is>
      </c>
      <c r="M214" t="inlineStr">
        <is>
          <t>HALOTRON 1/TIPO BC</t>
        </is>
      </c>
      <c r="N214" t="inlineStr">
        <is>
          <t>06/Y-290891</t>
        </is>
      </c>
      <c r="O214" t="inlineStr">
        <is>
          <t>M2</t>
        </is>
      </c>
      <c r="P214">
        <f>TRIM(N214)</f>
        <v/>
      </c>
    </row>
    <row r="215">
      <c r="A215" t="inlineStr">
        <is>
          <t>CO-001183</t>
        </is>
      </c>
      <c r="B215" t="inlineStr">
        <is>
          <t>MARCOS QUISPE APOLINARIO</t>
        </is>
      </c>
      <c r="D215" t="inlineStr">
        <is>
          <t xml:space="preserve"> </t>
        </is>
      </c>
      <c r="E215" t="inlineStr">
        <is>
          <t>Lima, 14 de Octubre de 2022</t>
        </is>
      </c>
      <c r="F215" t="inlineStr">
        <is>
          <t>la Recarga y mantenimiento</t>
        </is>
      </c>
      <c r="G215" t="inlineStr">
        <is>
          <t>-</t>
        </is>
      </c>
      <c r="H215" t="inlineStr">
        <is>
          <t>04 KG</t>
        </is>
      </c>
      <c r="I215" t="inlineStr">
        <is>
          <t>VIGENTE</t>
        </is>
      </c>
      <c r="J215" t="n">
        <v>2009</v>
      </c>
      <c r="K215" t="inlineStr">
        <is>
          <t>OCTUBRE 2022</t>
        </is>
      </c>
      <c r="L215" t="inlineStr">
        <is>
          <t>OCTUBRE 2023</t>
        </is>
      </c>
      <c r="M215" t="inlineStr">
        <is>
          <t xml:space="preserve">P.Q.S.  TIPO ABC </t>
        </is>
      </c>
      <c r="N215" t="inlineStr">
        <is>
          <t>01/000906</t>
        </is>
      </c>
      <c r="O215" t="inlineStr">
        <is>
          <t>R</t>
        </is>
      </c>
      <c r="P215">
        <f>TRIM(N215)</f>
        <v/>
      </c>
    </row>
    <row r="216">
      <c r="A216" t="inlineStr">
        <is>
          <t>CO-001184</t>
        </is>
      </c>
      <c r="B216" t="inlineStr">
        <is>
          <t>LINDE PERU S.R.L.</t>
        </is>
      </c>
      <c r="C216" t="inlineStr">
        <is>
          <t>20338570041</t>
        </is>
      </c>
      <c r="D216" t="inlineStr">
        <is>
          <t>CAR.CARRET.CENTRAL KM.9.5 Z.I. ZONA INDUSTRIAL(DESVIO HUACHIPA LURIGANCHO CHOSICA) LIMA LURIGANCHO</t>
        </is>
      </c>
      <c r="E216" t="inlineStr">
        <is>
          <t>Lima, 15 de Octubre de 2022</t>
        </is>
      </c>
      <c r="F216" t="inlineStr">
        <is>
          <t>la Recarga y mantenimiento</t>
        </is>
      </c>
      <c r="G216" t="inlineStr">
        <is>
          <t>-</t>
        </is>
      </c>
      <c r="H216" t="inlineStr">
        <is>
          <t>05 LBS</t>
        </is>
      </c>
      <c r="I216" t="inlineStr">
        <is>
          <t>2027</t>
        </is>
      </c>
      <c r="J216" t="n">
        <v>2012</v>
      </c>
      <c r="K216" t="inlineStr">
        <is>
          <t>OCTUBRE 2022</t>
        </is>
      </c>
      <c r="L216" t="inlineStr">
        <is>
          <t>OCTUBRE 2023</t>
        </is>
      </c>
      <c r="M216" t="inlineStr">
        <is>
          <t>HALOTRON 1/TIPO BC</t>
        </is>
      </c>
      <c r="N216" t="inlineStr">
        <is>
          <t>24/Y-290775</t>
        </is>
      </c>
      <c r="O216" t="inlineStr">
        <is>
          <t>R</t>
        </is>
      </c>
      <c r="P216">
        <f>TRIM(N216)</f>
        <v/>
      </c>
    </row>
    <row r="217">
      <c r="A217" t="inlineStr">
        <is>
          <t>CO-001184</t>
        </is>
      </c>
      <c r="B217" t="inlineStr">
        <is>
          <t>LINDE PERU S.R.L.</t>
        </is>
      </c>
      <c r="C217" t="inlineStr">
        <is>
          <t>20338570041</t>
        </is>
      </c>
      <c r="D217" t="inlineStr">
        <is>
          <t>CAR.CARRET.CENTRAL KM.9.5 Z.I. ZONA INDUSTRIAL(DESVIO HUACHIPA LURIGANCHO CHOSICA) LIMA LURIGANCHO</t>
        </is>
      </c>
      <c r="E217" t="inlineStr">
        <is>
          <t>Lima, 15 de Octubre de 2022</t>
        </is>
      </c>
      <c r="F217" t="inlineStr">
        <is>
          <t>la Recarga y mantenimiento</t>
        </is>
      </c>
      <c r="G217" t="n">
        <v>2</v>
      </c>
      <c r="H217" t="inlineStr">
        <is>
          <t>05 LBS</t>
        </is>
      </c>
      <c r="I217" t="inlineStr">
        <is>
          <t>2027</t>
        </is>
      </c>
      <c r="J217" t="n">
        <v>2012</v>
      </c>
      <c r="K217" t="inlineStr">
        <is>
          <t>OCTUBRE 2022</t>
        </is>
      </c>
      <c r="L217" t="inlineStr">
        <is>
          <t>OCTUBRE 2023</t>
        </is>
      </c>
      <c r="M217" t="inlineStr">
        <is>
          <t>HALOTRON 1/TIPO BC</t>
        </is>
      </c>
      <c r="N217" t="inlineStr">
        <is>
          <t>03/Y-290776</t>
        </is>
      </c>
      <c r="O217" t="inlineStr">
        <is>
          <t>R</t>
        </is>
      </c>
      <c r="P217">
        <f>TRIM(N217)</f>
        <v/>
      </c>
    </row>
    <row r="218">
      <c r="A218" t="inlineStr">
        <is>
          <t>CO-001184</t>
        </is>
      </c>
      <c r="B218" t="inlineStr">
        <is>
          <t>LINDE PERU S.R.L.</t>
        </is>
      </c>
      <c r="C218" t="inlineStr">
        <is>
          <t>20338570041</t>
        </is>
      </c>
      <c r="D218" t="inlineStr">
        <is>
          <t>CAR.CARRET.CENTRAL KM.9.5 Z.I. ZONA INDUSTRIAL(DESVIO HUACHIPA LURIGANCHO CHOSICA) LIMA LURIGANCHO</t>
        </is>
      </c>
      <c r="E218" t="inlineStr">
        <is>
          <t>Lima, 15 de Octubre de 2022</t>
        </is>
      </c>
      <c r="F218" t="inlineStr">
        <is>
          <t>la Recarga y mantenimiento</t>
        </is>
      </c>
      <c r="G218" t="n">
        <v>3</v>
      </c>
      <c r="H218" t="inlineStr">
        <is>
          <t>05 LBS</t>
        </is>
      </c>
      <c r="I218" t="inlineStr">
        <is>
          <t>2024</t>
        </is>
      </c>
      <c r="J218" t="n">
        <v>2014</v>
      </c>
      <c r="K218" t="inlineStr">
        <is>
          <t>OCTUBRE 2022</t>
        </is>
      </c>
      <c r="L218" t="inlineStr">
        <is>
          <t>OCTUBRE 2023</t>
        </is>
      </c>
      <c r="M218" t="inlineStr">
        <is>
          <t>HALOTRON 1/TIPO BC</t>
        </is>
      </c>
      <c r="N218" t="inlineStr">
        <is>
          <t>23/001581</t>
        </is>
      </c>
      <c r="O218" t="inlineStr">
        <is>
          <t>R</t>
        </is>
      </c>
      <c r="P218">
        <f>TRIM(N218)</f>
        <v/>
      </c>
    </row>
    <row r="219">
      <c r="A219" t="inlineStr">
        <is>
          <t>CO-001185</t>
        </is>
      </c>
      <c r="B219" t="inlineStr">
        <is>
          <t>JESUS SILVA DURAND</t>
        </is>
      </c>
      <c r="C219" t="inlineStr">
        <is>
          <t>09400112</t>
        </is>
      </c>
      <c r="D219" t="inlineStr">
        <is>
          <t>Av. Los Incas Mz. J Lt. 15 Urb. San Juan 1ra. Etapa</t>
        </is>
      </c>
      <c r="E219" t="inlineStr">
        <is>
          <t>Lima, 19 de Octubre de 2022</t>
        </is>
      </c>
      <c r="F219" t="inlineStr">
        <is>
          <t>Venta</t>
        </is>
      </c>
      <c r="G219" t="inlineStr">
        <is>
          <t>-</t>
        </is>
      </c>
      <c r="H219" t="inlineStr">
        <is>
          <t>06 KG</t>
        </is>
      </c>
      <c r="I219" t="inlineStr">
        <is>
          <t>2027</t>
        </is>
      </c>
      <c r="J219" t="n">
        <v>2022</v>
      </c>
      <c r="K219" t="inlineStr">
        <is>
          <t>OCTUBRE 2022</t>
        </is>
      </c>
      <c r="L219" t="inlineStr">
        <is>
          <t>OCTUBRE 2023</t>
        </is>
      </c>
      <c r="M219" t="inlineStr">
        <is>
          <t xml:space="preserve">P.Q.S.  TIPO ABC </t>
        </is>
      </c>
      <c r="N219" t="inlineStr">
        <is>
          <t>01/030205</t>
        </is>
      </c>
      <c r="O219" t="inlineStr">
        <is>
          <t>V</t>
        </is>
      </c>
      <c r="P219">
        <f>TRIM(N219)</f>
        <v/>
      </c>
    </row>
    <row r="220">
      <c r="A220" t="inlineStr">
        <is>
          <t>CO-001186</t>
        </is>
      </c>
      <c r="B220" t="inlineStr">
        <is>
          <t>LIMBER FASABI</t>
        </is>
      </c>
      <c r="D220" t="inlineStr">
        <is>
          <t>Av. Los Incas N° 295 Coop. Pablo VI Comas</t>
        </is>
      </c>
      <c r="E220" t="inlineStr">
        <is>
          <t>Lima, 20 de Octubre de 2022</t>
        </is>
      </c>
      <c r="F220" t="inlineStr">
        <is>
          <t>la Recarga y mantenimiento</t>
        </is>
      </c>
      <c r="G220" t="inlineStr">
        <is>
          <t>-</t>
        </is>
      </c>
      <c r="H220" t="inlineStr">
        <is>
          <t>06 KG</t>
        </is>
      </c>
      <c r="I220" t="inlineStr">
        <is>
          <t>VIGENTE</t>
        </is>
      </c>
      <c r="J220" t="n">
        <v>2016</v>
      </c>
      <c r="K220" t="inlineStr">
        <is>
          <t>OCTUBRE 2022</t>
        </is>
      </c>
      <c r="L220" t="inlineStr">
        <is>
          <t>OCTUBRE 2023</t>
        </is>
      </c>
      <c r="M220" t="inlineStr">
        <is>
          <t xml:space="preserve">P.Q.S.  TIPO ABC </t>
        </is>
      </c>
      <c r="N220" t="inlineStr">
        <is>
          <t>01/001067</t>
        </is>
      </c>
      <c r="O220" t="inlineStr">
        <is>
          <t>R</t>
        </is>
      </c>
      <c r="P220">
        <f>TRIM(N220)</f>
        <v/>
      </c>
    </row>
    <row r="221">
      <c r="A221" t="inlineStr">
        <is>
          <t>CO-001187</t>
        </is>
      </c>
      <c r="B221" t="inlineStr">
        <is>
          <t>FOTUNATO SALAS</t>
        </is>
      </c>
      <c r="D221" t="inlineStr">
        <is>
          <t>PLACA: B5J-365</t>
        </is>
      </c>
      <c r="E221" t="inlineStr">
        <is>
          <t>Lima, 20 de Octubre de 2022</t>
        </is>
      </c>
      <c r="F221" t="inlineStr">
        <is>
          <t>la Recarga y mantenimiento</t>
        </is>
      </c>
      <c r="G221" t="inlineStr">
        <is>
          <t>-</t>
        </is>
      </c>
      <c r="H221" t="inlineStr">
        <is>
          <t>02 KG</t>
        </is>
      </c>
      <c r="I221" t="inlineStr">
        <is>
          <t>VIGENTE</t>
        </is>
      </c>
      <c r="J221" t="n">
        <v>2017</v>
      </c>
      <c r="K221" t="inlineStr">
        <is>
          <t>OCTUBRE 2022</t>
        </is>
      </c>
      <c r="L221" t="inlineStr">
        <is>
          <t>OCTUBRE 2023</t>
        </is>
      </c>
      <c r="M221" t="inlineStr">
        <is>
          <t xml:space="preserve">P.Q.S.  TIPO ABC </t>
        </is>
      </c>
      <c r="N221" t="inlineStr">
        <is>
          <t>01/000389</t>
        </is>
      </c>
      <c r="O221" t="inlineStr">
        <is>
          <t>R</t>
        </is>
      </c>
      <c r="P221">
        <f>TRIM(N221)</f>
        <v/>
      </c>
    </row>
    <row r="222">
      <c r="A222" t="inlineStr">
        <is>
          <t>CO-001188</t>
        </is>
      </c>
      <c r="B222" t="inlineStr">
        <is>
          <t>VICTOR GASCO GONZALES</t>
        </is>
      </c>
      <c r="D222" t="inlineStr">
        <is>
          <t>PLACA: B5S-623</t>
        </is>
      </c>
      <c r="E222" t="inlineStr">
        <is>
          <t>Lima, 21 de Octubre de 2022</t>
        </is>
      </c>
      <c r="F222" t="inlineStr">
        <is>
          <t>la Recarga y mantenimiento</t>
        </is>
      </c>
      <c r="G222" t="inlineStr">
        <is>
          <t>-</t>
        </is>
      </c>
      <c r="H222" t="inlineStr">
        <is>
          <t>02 KG</t>
        </is>
      </c>
      <c r="I222" t="inlineStr">
        <is>
          <t>VIGENTE</t>
        </is>
      </c>
      <c r="J222" t="n">
        <v>2009</v>
      </c>
      <c r="K222" t="inlineStr">
        <is>
          <t>OCTUBRE 2022</t>
        </is>
      </c>
      <c r="L222" t="inlineStr">
        <is>
          <t>OCTUBRE 2023</t>
        </is>
      </c>
      <c r="M222" t="inlineStr">
        <is>
          <t xml:space="preserve">P.Q.S.  TIPO ABC </t>
        </is>
      </c>
      <c r="N222" t="inlineStr">
        <is>
          <t>01/00009</t>
        </is>
      </c>
      <c r="O222" t="inlineStr">
        <is>
          <t>R</t>
        </is>
      </c>
      <c r="P222">
        <f>TRIM(N222)</f>
        <v/>
      </c>
    </row>
    <row r="223">
      <c r="A223" t="inlineStr">
        <is>
          <t>CO-001189</t>
        </is>
      </c>
      <c r="B223" t="inlineStr">
        <is>
          <t>GIL CARHUAMACA</t>
        </is>
      </c>
      <c r="D223" t="inlineStr">
        <is>
          <t>PLACA: F1G-046</t>
        </is>
      </c>
      <c r="E223" t="inlineStr">
        <is>
          <t>Lima, 24 de Octubre de 2022</t>
        </is>
      </c>
      <c r="F223" t="inlineStr">
        <is>
          <t>la Recarga y mantenimiento</t>
        </is>
      </c>
      <c r="G223" t="inlineStr">
        <is>
          <t>-</t>
        </is>
      </c>
      <c r="H223" t="inlineStr">
        <is>
          <t>02 KG</t>
        </is>
      </c>
      <c r="I223" t="inlineStr">
        <is>
          <t>VIGENTE</t>
        </is>
      </c>
      <c r="J223" t="n">
        <v>2009</v>
      </c>
      <c r="K223" t="inlineStr">
        <is>
          <t>OCTUBRE 2022</t>
        </is>
      </c>
      <c r="L223" t="inlineStr">
        <is>
          <t>OCTUBRE 2023</t>
        </is>
      </c>
      <c r="M223" t="inlineStr">
        <is>
          <t xml:space="preserve">P.Q.S.  TIPO ABC </t>
        </is>
      </c>
      <c r="N223" t="inlineStr">
        <is>
          <t>01/ S/N</t>
        </is>
      </c>
      <c r="O223" t="inlineStr">
        <is>
          <t>R</t>
        </is>
      </c>
      <c r="P223">
        <f>TRIM(N223)</f>
        <v/>
      </c>
    </row>
    <row r="224">
      <c r="A224" t="inlineStr">
        <is>
          <t>CO-001190</t>
        </is>
      </c>
      <c r="B224" t="inlineStr">
        <is>
          <t>ANA MARIA SALAS</t>
        </is>
      </c>
      <c r="D224" t="inlineStr">
        <is>
          <t>MERCADO 1° DE MAYO - 4° ZONA COLLIQUE PUESTO N°13</t>
        </is>
      </c>
      <c r="E224" t="inlineStr">
        <is>
          <t>Lima, 25 de Octubre de 2022</t>
        </is>
      </c>
      <c r="F224" t="inlineStr">
        <is>
          <t>la Recarga y mantenimiento</t>
        </is>
      </c>
      <c r="G224" t="inlineStr">
        <is>
          <t>-</t>
        </is>
      </c>
      <c r="H224" t="inlineStr">
        <is>
          <t>06 KG</t>
        </is>
      </c>
      <c r="I224" t="inlineStr">
        <is>
          <t>VIGENTE</t>
        </is>
      </c>
      <c r="J224" t="n">
        <v>2015</v>
      </c>
      <c r="K224" t="inlineStr">
        <is>
          <t>OCTUBRE 2022</t>
        </is>
      </c>
      <c r="L224" t="inlineStr">
        <is>
          <t>OCTUBRE 2023</t>
        </is>
      </c>
      <c r="M224" t="inlineStr">
        <is>
          <t xml:space="preserve">P.Q.S.  TIPO ABC </t>
        </is>
      </c>
      <c r="N224" t="inlineStr">
        <is>
          <t>01/ 000895</t>
        </is>
      </c>
      <c r="O224" t="inlineStr">
        <is>
          <t>R</t>
        </is>
      </c>
      <c r="P224">
        <f>TRIM(N224)</f>
        <v/>
      </c>
    </row>
    <row r="225">
      <c r="A225" t="inlineStr">
        <is>
          <t>CO-001191</t>
        </is>
      </c>
      <c r="B225" t="inlineStr">
        <is>
          <t>BODEGA NAYRA</t>
        </is>
      </c>
      <c r="D225" t="inlineStr">
        <is>
          <t>JR.CUSCIO N°400 COPERATIVA PABLO VI</t>
        </is>
      </c>
      <c r="E225" t="inlineStr">
        <is>
          <t>Lima, 26 de Octubre de 2022</t>
        </is>
      </c>
      <c r="F225" t="inlineStr">
        <is>
          <t>la Recarga y mantenimiento</t>
        </is>
      </c>
      <c r="G225" t="inlineStr">
        <is>
          <t>-</t>
        </is>
      </c>
      <c r="H225" t="inlineStr">
        <is>
          <t>06 KG</t>
        </is>
      </c>
      <c r="I225" t="inlineStr">
        <is>
          <t>2024</t>
        </is>
      </c>
      <c r="J225" t="n">
        <v>2019</v>
      </c>
      <c r="K225" t="inlineStr">
        <is>
          <t>OCTUBRE 2022</t>
        </is>
      </c>
      <c r="L225" t="inlineStr">
        <is>
          <t>OCTUBRE 2023</t>
        </is>
      </c>
      <c r="M225" t="inlineStr">
        <is>
          <t xml:space="preserve">P.Q.S.  TIPO ABC </t>
        </is>
      </c>
      <c r="N225" t="inlineStr">
        <is>
          <t>01/008831</t>
        </is>
      </c>
      <c r="O225" t="inlineStr">
        <is>
          <t>R</t>
        </is>
      </c>
      <c r="P225">
        <f>TRIM(N225)</f>
        <v/>
      </c>
    </row>
    <row r="226">
      <c r="A226" t="inlineStr">
        <is>
          <t>CO-001192</t>
        </is>
      </c>
      <c r="B226" t="inlineStr">
        <is>
          <t>FCM  DISTRIBUCIONES Y SERVICIOS GENERALES EIRL</t>
        </is>
      </c>
      <c r="C226" t="n">
        <v>20601280842</v>
      </c>
      <c r="D226" t="inlineStr">
        <is>
          <t>AV. LOS INCAS N°  542-354 URB. SAN JUAN BAUTISTA</t>
        </is>
      </c>
      <c r="E226" t="inlineStr">
        <is>
          <t>Lima, 27 de Octubre de 2022</t>
        </is>
      </c>
      <c r="F226" t="inlineStr">
        <is>
          <t>Venta</t>
        </is>
      </c>
      <c r="G226" t="inlineStr">
        <is>
          <t>-</t>
        </is>
      </c>
      <c r="H226" t="inlineStr">
        <is>
          <t>6 KG</t>
        </is>
      </c>
      <c r="I226" t="inlineStr">
        <is>
          <t>2027</t>
        </is>
      </c>
      <c r="J226" t="n">
        <v>2022</v>
      </c>
      <c r="K226" t="inlineStr">
        <is>
          <t>OCTUBRE 2022</t>
        </is>
      </c>
      <c r="L226" t="inlineStr">
        <is>
          <t>OCTUBRE 2023</t>
        </is>
      </c>
      <c r="M226" t="inlineStr">
        <is>
          <t xml:space="preserve">P.Q.S.  TIPO ABC </t>
        </is>
      </c>
      <c r="N226" t="inlineStr">
        <is>
          <t>01/307179</t>
        </is>
      </c>
      <c r="O226" t="inlineStr">
        <is>
          <t>V</t>
        </is>
      </c>
      <c r="P226">
        <f>TRIM(N226)</f>
        <v/>
      </c>
    </row>
    <row r="227">
      <c r="A227" t="inlineStr">
        <is>
          <t>CO-001193</t>
        </is>
      </c>
      <c r="B227" t="inlineStr">
        <is>
          <t>FCM  DISTRIBUCIONES Y SERVICIOS GENERALES EIRL</t>
        </is>
      </c>
      <c r="C227" t="n">
        <v>20601280842</v>
      </c>
      <c r="D227" t="inlineStr">
        <is>
          <t>AV. LOS INCAS N°  542-354 URB. SAN JUAN BAUTISTA</t>
        </is>
      </c>
      <c r="E227" t="inlineStr">
        <is>
          <t>Lima, 27 de Octubre de 2022</t>
        </is>
      </c>
      <c r="F227" t="inlineStr">
        <is>
          <t>Venta</t>
        </is>
      </c>
      <c r="G227" t="inlineStr">
        <is>
          <t>-</t>
        </is>
      </c>
      <c r="H227" t="inlineStr">
        <is>
          <t>6 KG</t>
        </is>
      </c>
      <c r="I227" t="inlineStr">
        <is>
          <t>2027</t>
        </is>
      </c>
      <c r="J227" t="n">
        <v>2022</v>
      </c>
      <c r="K227" t="inlineStr">
        <is>
          <t>OCTUBRE 2022</t>
        </is>
      </c>
      <c r="L227" t="inlineStr">
        <is>
          <t>OCTUBRE 2023</t>
        </is>
      </c>
      <c r="M227" t="inlineStr">
        <is>
          <t xml:space="preserve">P.Q.S.  TIPO ABC </t>
        </is>
      </c>
      <c r="N227" t="inlineStr">
        <is>
          <t>02/307171</t>
        </is>
      </c>
      <c r="O227" t="inlineStr">
        <is>
          <t>V</t>
        </is>
      </c>
      <c r="P227">
        <f>TRIM(N227)</f>
        <v/>
      </c>
    </row>
    <row r="228">
      <c r="A228" t="inlineStr">
        <is>
          <t>CO-001194</t>
        </is>
      </c>
      <c r="B228" t="inlineStr">
        <is>
          <t>CORPORACION REM SALUD S.A.C.</t>
        </is>
      </c>
      <c r="C228" t="inlineStr">
        <is>
          <t>20608630318</t>
        </is>
      </c>
      <c r="D228" t="inlineStr">
        <is>
          <t xml:space="preserve"> </t>
        </is>
      </c>
      <c r="E228" t="inlineStr">
        <is>
          <t>Lima, 27 de Octubre de 2022</t>
        </is>
      </c>
      <c r="F228" t="inlineStr">
        <is>
          <t>la Recarga y mantenimiento</t>
        </is>
      </c>
      <c r="G228" t="inlineStr">
        <is>
          <t>-</t>
        </is>
      </c>
      <c r="H228" t="inlineStr">
        <is>
          <t>06 KG</t>
        </is>
      </c>
      <c r="I228" t="inlineStr">
        <is>
          <t>2026</t>
        </is>
      </c>
      <c r="J228" t="inlineStr">
        <is>
          <t>2021</t>
        </is>
      </c>
      <c r="K228" t="inlineStr">
        <is>
          <t>OCTUBRE 2022</t>
        </is>
      </c>
      <c r="L228" t="inlineStr">
        <is>
          <t>OCTUBRE 2023</t>
        </is>
      </c>
      <c r="M228" t="inlineStr">
        <is>
          <t xml:space="preserve">P.Q.S.  TIPO ABC </t>
        </is>
      </c>
      <c r="N228" t="inlineStr">
        <is>
          <t>01/300340</t>
        </is>
      </c>
      <c r="O228" t="inlineStr">
        <is>
          <t>R</t>
        </is>
      </c>
      <c r="P228">
        <f>TRIM(N228)</f>
        <v/>
      </c>
    </row>
    <row r="229">
      <c r="A229" t="inlineStr">
        <is>
          <t>CO-001195</t>
        </is>
      </c>
      <c r="B229" t="inlineStr">
        <is>
          <t>TRANSPORTES STARK S.A.C.</t>
        </is>
      </c>
      <c r="C229" t="n">
        <v>20606725664</v>
      </c>
      <c r="D229" t="inlineStr">
        <is>
          <t>CAL.58 MZA. E3 LOTE. 09 A URB. EL PINAR PARCELA 01 (ALTURA DE LA AV EL RETABLO CON LOS INCAS) LIMA - LIMA - COMAS</t>
        </is>
      </c>
      <c r="E229" t="inlineStr">
        <is>
          <t>Lima, 31 de Octubre de 2022</t>
        </is>
      </c>
      <c r="F229" t="inlineStr">
        <is>
          <t>la Recarga y mantenimiento</t>
        </is>
      </c>
      <c r="G229" t="inlineStr">
        <is>
          <t>-</t>
        </is>
      </c>
      <c r="H229" t="inlineStr">
        <is>
          <t>09 KG</t>
        </is>
      </c>
      <c r="I229" t="inlineStr">
        <is>
          <t>2026</t>
        </is>
      </c>
      <c r="J229" t="n">
        <v>2021</v>
      </c>
      <c r="K229" t="inlineStr">
        <is>
          <t>OCTUBRE 2022</t>
        </is>
      </c>
      <c r="L229" t="inlineStr">
        <is>
          <t>OCTUBRE 2023</t>
        </is>
      </c>
      <c r="M229" t="inlineStr">
        <is>
          <t xml:space="preserve">P.Q.S.  TIPO ABC </t>
        </is>
      </c>
      <c r="N229" t="inlineStr">
        <is>
          <t>01/405649</t>
        </is>
      </c>
      <c r="O229" t="inlineStr">
        <is>
          <t>R</t>
        </is>
      </c>
      <c r="P229">
        <f>TRIM(N229)</f>
        <v/>
      </c>
    </row>
    <row r="230">
      <c r="A230" t="inlineStr">
        <is>
          <t>CO-001196</t>
        </is>
      </c>
      <c r="B230" t="inlineStr">
        <is>
          <t>TRANSPORTES STARK S.A.C.</t>
        </is>
      </c>
      <c r="C230" t="n">
        <v>20606725664</v>
      </c>
      <c r="D230" t="inlineStr">
        <is>
          <t>CAL.58 MZA. E3 LOTE. 09 A URB. EL PINAR PARCELA 01 (ALTURA DE LA AV EL RETABLO CON LOS INCAS) LIMA - LIMA - COMAS</t>
        </is>
      </c>
      <c r="E230" t="inlineStr">
        <is>
          <t>Lima, 31 de Octubre de 2022</t>
        </is>
      </c>
      <c r="F230" t="inlineStr">
        <is>
          <t>la Recarga y mantenimiento</t>
        </is>
      </c>
      <c r="G230" t="inlineStr">
        <is>
          <t>-</t>
        </is>
      </c>
      <c r="H230" t="inlineStr">
        <is>
          <t>09 KG</t>
        </is>
      </c>
      <c r="I230" t="inlineStr">
        <is>
          <t>2026</t>
        </is>
      </c>
      <c r="J230" t="n">
        <v>2021</v>
      </c>
      <c r="K230" t="inlineStr">
        <is>
          <t>OCTUBRE 2022</t>
        </is>
      </c>
      <c r="L230" t="inlineStr">
        <is>
          <t>OCTUBRE 2023</t>
        </is>
      </c>
      <c r="M230" t="inlineStr">
        <is>
          <t xml:space="preserve">P.Q.S.  TIPO ABC </t>
        </is>
      </c>
      <c r="N230" t="inlineStr">
        <is>
          <t>02/408912</t>
        </is>
      </c>
      <c r="O230" t="inlineStr">
        <is>
          <t>R</t>
        </is>
      </c>
      <c r="P230">
        <f>TRIM(N230)</f>
        <v/>
      </c>
    </row>
    <row r="231">
      <c r="A231" t="inlineStr">
        <is>
          <t>CO-001197</t>
        </is>
      </c>
      <c r="B231" t="inlineStr">
        <is>
          <t>TRANSPORTE Y SERVICIOS MASARITA S.A.C.</t>
        </is>
      </c>
      <c r="C231" t="inlineStr">
        <is>
          <t xml:space="preserve">20602285406 </t>
        </is>
      </c>
      <c r="D231" t="inlineStr">
        <is>
          <t>JR JOAQUIN CAPELLA N° 128 URB. LA PASCANA COMAS</t>
        </is>
      </c>
      <c r="E231" t="inlineStr">
        <is>
          <t>Lima, 02 de Noviembre de 2022</t>
        </is>
      </c>
      <c r="F231" t="inlineStr">
        <is>
          <t>la Recarga y mantenimiento</t>
        </is>
      </c>
      <c r="G231" t="inlineStr">
        <is>
          <t>-</t>
        </is>
      </c>
      <c r="H231" t="inlineStr">
        <is>
          <t>12 KG</t>
        </is>
      </c>
      <c r="I231" t="inlineStr">
        <is>
          <t>2026</t>
        </is>
      </c>
      <c r="J231" t="n">
        <v>2021</v>
      </c>
      <c r="K231" t="inlineStr">
        <is>
          <t>NOVIEMBRE 2022</t>
        </is>
      </c>
      <c r="L231" t="inlineStr">
        <is>
          <t>NOVIEMBRE 2023</t>
        </is>
      </c>
      <c r="M231" t="inlineStr">
        <is>
          <t xml:space="preserve">P.Q.S.  TIPO ABC </t>
        </is>
      </c>
      <c r="N231" t="inlineStr">
        <is>
          <t>01/000014</t>
        </is>
      </c>
      <c r="O231" t="inlineStr">
        <is>
          <t>R</t>
        </is>
      </c>
      <c r="P231">
        <f>TRIM(N231)</f>
        <v/>
      </c>
    </row>
    <row r="232">
      <c r="A232" t="inlineStr">
        <is>
          <t>CO-001198</t>
        </is>
      </c>
      <c r="B232" t="inlineStr">
        <is>
          <t>SEGUNDO JOSE JIMENEZ</t>
        </is>
      </c>
      <c r="C232" t="inlineStr">
        <is>
          <t xml:space="preserve">09748262 </t>
        </is>
      </c>
      <c r="E232" t="inlineStr">
        <is>
          <t>Lima, 03 de Noviembre de 2022</t>
        </is>
      </c>
      <c r="F232" t="inlineStr">
        <is>
          <t>Venta</t>
        </is>
      </c>
      <c r="G232" t="inlineStr">
        <is>
          <t>-</t>
        </is>
      </c>
      <c r="H232" t="inlineStr">
        <is>
          <t>02KG</t>
        </is>
      </c>
      <c r="I232" t="inlineStr">
        <is>
          <t>2027</t>
        </is>
      </c>
      <c r="J232" t="n">
        <v>2022</v>
      </c>
      <c r="K232" t="inlineStr">
        <is>
          <t>NOVIEMBRE 2022</t>
        </is>
      </c>
      <c r="L232" t="inlineStr">
        <is>
          <t>NOVIEMBRE 2023</t>
        </is>
      </c>
      <c r="M232" t="inlineStr">
        <is>
          <t xml:space="preserve">P.Q.S.  TIPO ABC </t>
        </is>
      </c>
      <c r="N232" t="inlineStr">
        <is>
          <t>01/000709</t>
        </is>
      </c>
      <c r="O232" t="inlineStr">
        <is>
          <t>V</t>
        </is>
      </c>
      <c r="P232">
        <f>TRIM(N232)</f>
        <v/>
      </c>
    </row>
    <row r="233">
      <c r="A233" t="inlineStr">
        <is>
          <t>CO-001199</t>
        </is>
      </c>
      <c r="B233" t="inlineStr">
        <is>
          <t>ARTEMIO SAUL SANTA CRUZ TENORIO</t>
        </is>
      </c>
      <c r="D233" t="inlineStr">
        <is>
          <t>AV. RAMON CASTILLA ZONA 04 - COMAS</t>
        </is>
      </c>
      <c r="E233" t="inlineStr">
        <is>
          <t>Lima, 02 de Noviembre de 2022</t>
        </is>
      </c>
      <c r="F233" t="inlineStr">
        <is>
          <t>la Recarga y mantenimiento</t>
        </is>
      </c>
      <c r="G233" t="inlineStr">
        <is>
          <t>-</t>
        </is>
      </c>
      <c r="H233" t="inlineStr">
        <is>
          <t>02KG</t>
        </is>
      </c>
      <c r="I233" t="inlineStr">
        <is>
          <t>2025</t>
        </is>
      </c>
      <c r="J233" t="n">
        <v>2010</v>
      </c>
      <c r="K233" t="inlineStr">
        <is>
          <t>NOVIEMBRE 2022</t>
        </is>
      </c>
      <c r="L233" t="inlineStr">
        <is>
          <t>NOVIEMBRE 2023</t>
        </is>
      </c>
      <c r="M233" t="inlineStr">
        <is>
          <t xml:space="preserve">P.Q.S.  TIPO ABC </t>
        </is>
      </c>
      <c r="N233" t="inlineStr">
        <is>
          <t>01/008570</t>
        </is>
      </c>
      <c r="O233" t="inlineStr">
        <is>
          <t>R</t>
        </is>
      </c>
      <c r="P233">
        <f>TRIM(N233)</f>
        <v/>
      </c>
    </row>
    <row r="234">
      <c r="A234" t="inlineStr">
        <is>
          <t>CO-001200</t>
        </is>
      </c>
      <c r="B234" t="inlineStr">
        <is>
          <t xml:space="preserve">EMPRESA DE TRANSPORTES ONCE DE NOVIEMBRE </t>
        </is>
      </c>
      <c r="C234" t="inlineStr">
        <is>
          <t>20107884476</t>
        </is>
      </c>
      <c r="D234" t="inlineStr">
        <is>
          <t>JR. VICTOR ANDRES BELAUNDE NRO. 598 URB. REYNOSO (A 2 CDRAS DE LA MUNIC CARMEN DE LA LEGUA) PROV. CONST. DEL CALLAO - PROV. CONST. DEL CALLAO - CARMEN DE LA LEGUA REYNOSO</t>
        </is>
      </c>
      <c r="E234" t="inlineStr">
        <is>
          <t>Lima, 08 de Noviembre de 2022</t>
        </is>
      </c>
      <c r="F234" t="inlineStr">
        <is>
          <t>la Recarga y mantenimiento</t>
        </is>
      </c>
      <c r="G234" t="inlineStr">
        <is>
          <t>-</t>
        </is>
      </c>
      <c r="H234" t="inlineStr">
        <is>
          <t>06 KG</t>
        </is>
      </c>
      <c r="I234" t="inlineStr">
        <is>
          <t>VIGENTE</t>
        </is>
      </c>
      <c r="J234" t="n">
        <v>2020</v>
      </c>
      <c r="K234" t="inlineStr">
        <is>
          <t>NOVIEMBRE 2022</t>
        </is>
      </c>
      <c r="L234" t="inlineStr">
        <is>
          <t>NOVIEMBRE 2023</t>
        </is>
      </c>
      <c r="M234" t="inlineStr">
        <is>
          <t xml:space="preserve">P.Q.S.  TIPO ABC </t>
        </is>
      </c>
      <c r="N234" t="inlineStr">
        <is>
          <t>01/001042</t>
        </is>
      </c>
      <c r="O234" t="inlineStr">
        <is>
          <t>R</t>
        </is>
      </c>
      <c r="P234">
        <f>TRIM(N234)</f>
        <v/>
      </c>
    </row>
    <row r="235">
      <c r="A235" t="inlineStr">
        <is>
          <t>CO-001201</t>
        </is>
      </c>
      <c r="B235" t="inlineStr">
        <is>
          <t xml:space="preserve">EMPRESA DE TRANSPORTES ONCE DE NOVIEMBRE </t>
        </is>
      </c>
      <c r="C235" t="inlineStr">
        <is>
          <t>20107884476</t>
        </is>
      </c>
      <c r="D235" t="inlineStr">
        <is>
          <t>JR. VICTOR ANDRES BELAUNDE NRO. 598 URB. REYNOSO (A 2 CDRAS DE LA MUNIC CARMEN DE LA LEGUA) PROV. CONST. DEL CALLAO - PROV. CONST. DEL CALLAO - CARMEN DE LA LEGUA REYNOSO</t>
        </is>
      </c>
      <c r="E235" t="inlineStr">
        <is>
          <t>Lima, 08 de Noviembre de 2022</t>
        </is>
      </c>
      <c r="F235" t="inlineStr">
        <is>
          <t>la Recarga y mantenimiento</t>
        </is>
      </c>
      <c r="G235" t="inlineStr">
        <is>
          <t>-</t>
        </is>
      </c>
      <c r="H235" t="inlineStr">
        <is>
          <t>06 KG</t>
        </is>
      </c>
      <c r="I235" t="inlineStr">
        <is>
          <t>VIGENTE</t>
        </is>
      </c>
      <c r="J235" t="n">
        <v>2009</v>
      </c>
      <c r="K235" t="inlineStr">
        <is>
          <t>NOVIEMBRE 2022</t>
        </is>
      </c>
      <c r="L235" t="inlineStr">
        <is>
          <t>NOVIEMBRE 2023</t>
        </is>
      </c>
      <c r="M235" t="inlineStr">
        <is>
          <t xml:space="preserve">P.Q.S.  TIPO ABC </t>
        </is>
      </c>
      <c r="N235" t="inlineStr">
        <is>
          <t>02/001231</t>
        </is>
      </c>
      <c r="O235" t="inlineStr">
        <is>
          <t>R</t>
        </is>
      </c>
      <c r="P235">
        <f>TRIM(N235)</f>
        <v/>
      </c>
    </row>
    <row r="236">
      <c r="A236" t="inlineStr">
        <is>
          <t>CO-001202</t>
        </is>
      </c>
      <c r="B236" t="inlineStr">
        <is>
          <t xml:space="preserve">EMPRESA DE TRANSPORTES ONCE DE NOVIEMBRE </t>
        </is>
      </c>
      <c r="C236" t="inlineStr">
        <is>
          <t>20107884476</t>
        </is>
      </c>
      <c r="D236" t="inlineStr">
        <is>
          <t>JR. VICTOR ANDRES BELAUNDE NRO. 598 URB. REYNOSO (A 2 CDRAS DE LA MUNIC CARMEN DE LA LEGUA) PROV. CONST. DEL CALLAO - PROV. CONST. DEL CALLAO - CARMEN DE LA LEGUA REYNOSO</t>
        </is>
      </c>
      <c r="E236" t="inlineStr">
        <is>
          <t>Lima, 08 de Noviembre de 2022</t>
        </is>
      </c>
      <c r="F236" t="inlineStr">
        <is>
          <t>la Recarga y mantenimiento</t>
        </is>
      </c>
      <c r="G236" t="inlineStr">
        <is>
          <t>-</t>
        </is>
      </c>
      <c r="H236" t="inlineStr">
        <is>
          <t>06 KG</t>
        </is>
      </c>
      <c r="I236" t="inlineStr">
        <is>
          <t>VIGENTE</t>
        </is>
      </c>
      <c r="J236" t="n">
        <v>2014</v>
      </c>
      <c r="K236" t="inlineStr">
        <is>
          <t>NOVIEMBRE 2022</t>
        </is>
      </c>
      <c r="L236" t="inlineStr">
        <is>
          <t>NOVIEMBRE 2023</t>
        </is>
      </c>
      <c r="M236" t="inlineStr">
        <is>
          <t xml:space="preserve">P.Q.S.  TIPO ABC </t>
        </is>
      </c>
      <c r="N236" t="inlineStr">
        <is>
          <t>03/013355</t>
        </is>
      </c>
      <c r="O236" t="inlineStr">
        <is>
          <t>R</t>
        </is>
      </c>
      <c r="P236">
        <f>TRIM(N236)</f>
        <v/>
      </c>
    </row>
    <row r="237">
      <c r="A237" t="inlineStr">
        <is>
          <t>CO-001203</t>
        </is>
      </c>
      <c r="B237" t="inlineStr">
        <is>
          <t xml:space="preserve">EMPRESA DE TRANSPORTES ONCE DE NOVIEMBRE </t>
        </is>
      </c>
      <c r="C237" t="inlineStr">
        <is>
          <t>20107884476</t>
        </is>
      </c>
      <c r="D237" t="inlineStr">
        <is>
          <t>JR. VICTOR ANDRES BELAUNDE NRO. 598 URB. REYNOSO (A 2 CDRAS DE LA MUNIC CARMEN DE LA LEGUA) PROV. CONST. DEL CALLAO - PROV. CONST. DEL CALLAO - CARMEN DE LA LEGUA REYNOSO</t>
        </is>
      </c>
      <c r="E237" t="inlineStr">
        <is>
          <t>Lima, 08 de Noviembre de 2022</t>
        </is>
      </c>
      <c r="F237" t="inlineStr">
        <is>
          <t>la Recarga y mantenimiento</t>
        </is>
      </c>
      <c r="G237" t="inlineStr">
        <is>
          <t>-</t>
        </is>
      </c>
      <c r="H237" t="inlineStr">
        <is>
          <t>06 KG</t>
        </is>
      </c>
      <c r="I237" t="inlineStr">
        <is>
          <t>VIGENTE</t>
        </is>
      </c>
      <c r="J237" t="n">
        <v>2021</v>
      </c>
      <c r="K237" t="inlineStr">
        <is>
          <t>NOVIEMBRE 2022</t>
        </is>
      </c>
      <c r="L237" t="inlineStr">
        <is>
          <t>NOVIEMBRE 2023</t>
        </is>
      </c>
      <c r="M237" t="inlineStr">
        <is>
          <t xml:space="preserve">P.Q.S.  TIPO ABC </t>
        </is>
      </c>
      <c r="N237" t="inlineStr">
        <is>
          <t>04/002475</t>
        </is>
      </c>
      <c r="O237" t="inlineStr">
        <is>
          <t>R</t>
        </is>
      </c>
      <c r="P237">
        <f>TRIM(N237)</f>
        <v/>
      </c>
    </row>
    <row r="238">
      <c r="A238" t="inlineStr">
        <is>
          <t>CO-001204</t>
        </is>
      </c>
      <c r="B238" t="inlineStr">
        <is>
          <t xml:space="preserve">EMPRESA DE TRANSPORTES ONCE DE NOVIEMBRE </t>
        </is>
      </c>
      <c r="C238" t="inlineStr">
        <is>
          <t>20107884476</t>
        </is>
      </c>
      <c r="D238" t="inlineStr">
        <is>
          <t>JR. VICTOR ANDRES BELAUNDE NRO. 598 URB. REYNOSO (A 2 CDRAS DE LA MUNIC CARMEN DE LA LEGUA) PROV. CONST. DEL CALLAO - PROV. CONST. DEL CALLAO - CARMEN DE LA LEGUA REYNOSO</t>
        </is>
      </c>
      <c r="E238" t="inlineStr">
        <is>
          <t>Lima, 08 de Noviembre de 2022</t>
        </is>
      </c>
      <c r="F238" t="inlineStr">
        <is>
          <t>la Recarga y mantenimiento</t>
        </is>
      </c>
      <c r="G238" t="inlineStr">
        <is>
          <t>-</t>
        </is>
      </c>
      <c r="H238" t="inlineStr">
        <is>
          <t>06 KG</t>
        </is>
      </c>
      <c r="I238" t="inlineStr">
        <is>
          <t>VIGENTE</t>
        </is>
      </c>
      <c r="J238" t="n">
        <v>2009</v>
      </c>
      <c r="K238" t="inlineStr">
        <is>
          <t>NOVIEMBRE 2022</t>
        </is>
      </c>
      <c r="L238" t="inlineStr">
        <is>
          <t>NOVIEMBRE 2023</t>
        </is>
      </c>
      <c r="M238" t="inlineStr">
        <is>
          <t xml:space="preserve">P.Q.S.  TIPO ABC </t>
        </is>
      </c>
      <c r="N238" t="inlineStr">
        <is>
          <t>05/008958</t>
        </is>
      </c>
      <c r="O238" t="inlineStr">
        <is>
          <t>R</t>
        </is>
      </c>
      <c r="P238">
        <f>TRIM(N238)</f>
        <v/>
      </c>
    </row>
    <row r="239">
      <c r="A239" t="inlineStr">
        <is>
          <t>CO-001205</t>
        </is>
      </c>
      <c r="B239" t="inlineStr">
        <is>
          <t>VETERINARIA MARIVET De: Marilu Pantoja Aquino</t>
        </is>
      </c>
      <c r="C239" t="inlineStr">
        <is>
          <t>DNI: 10214448</t>
        </is>
      </c>
      <c r="D239" t="inlineStr">
        <is>
          <t>Jr. Unión 231 Urb. San Felipe- Comas.</t>
        </is>
      </c>
      <c r="E239" t="inlineStr">
        <is>
          <t>Lima, 10 de Noviembre de 2022</t>
        </is>
      </c>
      <c r="F239" t="inlineStr">
        <is>
          <t>la Recarga y mantenimiento</t>
        </is>
      </c>
      <c r="G239" t="inlineStr">
        <is>
          <t>-</t>
        </is>
      </c>
      <c r="H239" t="inlineStr">
        <is>
          <t>06 KG</t>
        </is>
      </c>
      <c r="I239" t="inlineStr">
        <is>
          <t>2025</t>
        </is>
      </c>
      <c r="J239" t="n">
        <v>2020</v>
      </c>
      <c r="K239" t="inlineStr">
        <is>
          <t>NOVIEMBRE 2022</t>
        </is>
      </c>
      <c r="L239" t="inlineStr">
        <is>
          <t>NOVIEMBRE 2023</t>
        </is>
      </c>
      <c r="M239" t="inlineStr">
        <is>
          <t xml:space="preserve">P.Q.S.  TIPO ABC </t>
        </is>
      </c>
      <c r="N239" t="inlineStr">
        <is>
          <t>01/003390</t>
        </is>
      </c>
      <c r="O239" t="inlineStr">
        <is>
          <t>R</t>
        </is>
      </c>
      <c r="P239">
        <f>TRIM(N239)</f>
        <v/>
      </c>
    </row>
    <row r="240">
      <c r="A240" t="inlineStr">
        <is>
          <t>CO-001206</t>
        </is>
      </c>
      <c r="B240" t="inlineStr">
        <is>
          <t>VETERINARIA MARIVET De: Marilu Pantoja Aquino</t>
        </is>
      </c>
      <c r="C240" t="inlineStr">
        <is>
          <t>DNI: 10214448</t>
        </is>
      </c>
      <c r="D240" t="inlineStr">
        <is>
          <t>Jr. Unión 231 Urb. San Felipe- Comas.</t>
        </is>
      </c>
      <c r="E240" t="inlineStr">
        <is>
          <t>Lima, 10 de Noviembre de 2022</t>
        </is>
      </c>
      <c r="F240" t="inlineStr">
        <is>
          <t>Venta</t>
        </is>
      </c>
      <c r="G240" t="inlineStr">
        <is>
          <t>-</t>
        </is>
      </c>
      <c r="H240" t="inlineStr">
        <is>
          <t>06 KG</t>
        </is>
      </c>
      <c r="I240" t="inlineStr">
        <is>
          <t>2027</t>
        </is>
      </c>
      <c r="J240" t="n">
        <v>2022</v>
      </c>
      <c r="K240" t="inlineStr">
        <is>
          <t>NOVIEMBRE 2022</t>
        </is>
      </c>
      <c r="L240" t="inlineStr">
        <is>
          <t>NOVIEMBRE 2023</t>
        </is>
      </c>
      <c r="M240" t="inlineStr">
        <is>
          <t xml:space="preserve">P.Q.S.  TIPO ABC </t>
        </is>
      </c>
      <c r="N240" t="inlineStr">
        <is>
          <t>02/306937</t>
        </is>
      </c>
      <c r="O240" t="inlineStr">
        <is>
          <t>V</t>
        </is>
      </c>
      <c r="P240">
        <f>TRIM(N240)</f>
        <v/>
      </c>
    </row>
    <row r="241">
      <c r="A241" t="inlineStr">
        <is>
          <t>CO-001207</t>
        </is>
      </c>
      <c r="B241" t="inlineStr">
        <is>
          <t>VETERINARIA MARIVET De: Marilu Pantoja Aquino</t>
        </is>
      </c>
      <c r="C241" t="inlineStr">
        <is>
          <t>DNI: 10214448</t>
        </is>
      </c>
      <c r="D241" t="inlineStr">
        <is>
          <t>Av San Felipe 1351 San Felipe - Comas</t>
        </is>
      </c>
      <c r="E241" t="inlineStr">
        <is>
          <t>Lima, 10 de Noviembre de 2022</t>
        </is>
      </c>
      <c r="F241" t="inlineStr">
        <is>
          <t>Venta</t>
        </is>
      </c>
      <c r="G241" t="inlineStr">
        <is>
          <t>-</t>
        </is>
      </c>
      <c r="H241" t="inlineStr">
        <is>
          <t>06 KG</t>
        </is>
      </c>
      <c r="I241" t="inlineStr">
        <is>
          <t>2027</t>
        </is>
      </c>
      <c r="J241" t="n">
        <v>2022</v>
      </c>
      <c r="K241" t="inlineStr">
        <is>
          <t>NOVIEMBRE 2022</t>
        </is>
      </c>
      <c r="L241" t="inlineStr">
        <is>
          <t>NOVIEMBRE 2023</t>
        </is>
      </c>
      <c r="M241" t="inlineStr">
        <is>
          <t xml:space="preserve">P.Q.S.  TIPO ABC </t>
        </is>
      </c>
      <c r="N241" t="inlineStr">
        <is>
          <t>03/307181</t>
        </is>
      </c>
      <c r="O241" t="inlineStr">
        <is>
          <t>V</t>
        </is>
      </c>
      <c r="P241">
        <f>TRIM(N241)</f>
        <v/>
      </c>
    </row>
    <row r="242">
      <c r="A242" t="inlineStr">
        <is>
          <t>CO-001208</t>
        </is>
      </c>
      <c r="B242" t="inlineStr">
        <is>
          <t>FREDDY SERRATO PALOMINO</t>
        </is>
      </c>
      <c r="C242" t="inlineStr">
        <is>
          <t>DNI: 10391071</t>
        </is>
      </c>
      <c r="E242" t="inlineStr">
        <is>
          <t>Lima, 12 de Noviembre de 2022</t>
        </is>
      </c>
      <c r="F242" t="inlineStr">
        <is>
          <t>la Recarga y mantenimiento</t>
        </is>
      </c>
      <c r="G242" t="inlineStr">
        <is>
          <t>-</t>
        </is>
      </c>
      <c r="H242" t="inlineStr">
        <is>
          <t>04 KG</t>
        </is>
      </c>
      <c r="I242" t="inlineStr">
        <is>
          <t>VIGENTE</t>
        </is>
      </c>
      <c r="J242" t="n">
        <v>2012</v>
      </c>
      <c r="K242" t="inlineStr">
        <is>
          <t>NOVIEMBRE 2022</t>
        </is>
      </c>
      <c r="L242" t="inlineStr">
        <is>
          <t>NOVIEMBRE 2023</t>
        </is>
      </c>
      <c r="M242" t="inlineStr">
        <is>
          <t xml:space="preserve">P.Q.S.  TIPO ABC </t>
        </is>
      </c>
      <c r="N242" t="inlineStr">
        <is>
          <t>01/000723</t>
        </is>
      </c>
      <c r="O242" t="inlineStr">
        <is>
          <t>R</t>
        </is>
      </c>
      <c r="P242">
        <f>TRIM(N242)</f>
        <v/>
      </c>
    </row>
    <row r="243">
      <c r="A243" t="inlineStr">
        <is>
          <t>CO-001209</t>
        </is>
      </c>
      <c r="B243" t="inlineStr">
        <is>
          <t xml:space="preserve">JUAN PEDRO URBIZAGASTEGUI DIAZ </t>
        </is>
      </c>
      <c r="C243" t="inlineStr">
        <is>
          <t>DNI: 10511845</t>
        </is>
      </c>
      <c r="D243" t="inlineStr">
        <is>
          <t xml:space="preserve">SAN JUAN DE LURIGANCHO - LIMA </t>
        </is>
      </c>
      <c r="E243" t="inlineStr">
        <is>
          <t>Lima, 14 de Noviembre de 2022</t>
        </is>
      </c>
      <c r="F243" t="inlineStr">
        <is>
          <t>la Recarga y mantenimiento</t>
        </is>
      </c>
      <c r="G243" t="inlineStr">
        <is>
          <t>-</t>
        </is>
      </c>
      <c r="H243" t="inlineStr">
        <is>
          <t>02 KG</t>
        </is>
      </c>
      <c r="I243" t="inlineStr">
        <is>
          <t>2026</t>
        </is>
      </c>
      <c r="J243" t="n">
        <v>2021</v>
      </c>
      <c r="K243" t="inlineStr">
        <is>
          <t>NOVIEMBRE 2022</t>
        </is>
      </c>
      <c r="L243" t="inlineStr">
        <is>
          <t>NOVIEMBRE 2023</t>
        </is>
      </c>
      <c r="M243" t="inlineStr">
        <is>
          <t xml:space="preserve">P.Q.S.  TIPO ABC </t>
        </is>
      </c>
      <c r="N243" t="inlineStr">
        <is>
          <t>01/010589</t>
        </is>
      </c>
      <c r="O243" t="inlineStr">
        <is>
          <t>R</t>
        </is>
      </c>
      <c r="P243">
        <f>TRIM(N243)</f>
        <v/>
      </c>
    </row>
    <row r="244">
      <c r="A244" t="inlineStr">
        <is>
          <t>CO-001210</t>
        </is>
      </c>
      <c r="B244" t="inlineStr">
        <is>
          <t>OSCAR LUIS HUAMAN CESPEDES</t>
        </is>
      </c>
      <c r="C244" t="inlineStr">
        <is>
          <t>DNI:08584927</t>
        </is>
      </c>
      <c r="E244" t="inlineStr">
        <is>
          <t>Lima, 14 de Noviembre de 2022</t>
        </is>
      </c>
      <c r="F244" t="inlineStr">
        <is>
          <t>Venta</t>
        </is>
      </c>
      <c r="G244" t="inlineStr">
        <is>
          <t>-</t>
        </is>
      </c>
      <c r="H244" t="inlineStr">
        <is>
          <t>02 KG</t>
        </is>
      </c>
      <c r="I244" t="inlineStr">
        <is>
          <t>2027</t>
        </is>
      </c>
      <c r="J244" t="n">
        <v>2022</v>
      </c>
      <c r="K244" t="inlineStr">
        <is>
          <t>NOVIEMBRE 2022</t>
        </is>
      </c>
      <c r="L244" t="inlineStr">
        <is>
          <t>NOVIEMBRE 2023</t>
        </is>
      </c>
      <c r="M244" t="inlineStr">
        <is>
          <t xml:space="preserve">P.Q.S.  TIPO ABC </t>
        </is>
      </c>
      <c r="N244" t="inlineStr">
        <is>
          <t>01/000132</t>
        </is>
      </c>
      <c r="O244" t="inlineStr">
        <is>
          <t>V</t>
        </is>
      </c>
      <c r="P244">
        <f>TRIM(N244)</f>
        <v/>
      </c>
    </row>
    <row r="245">
      <c r="A245" t="inlineStr">
        <is>
          <t>CO-001211</t>
        </is>
      </c>
      <c r="B245" t="inlineStr">
        <is>
          <t>ELIZABETH HAYDEE ORE GARCIA</t>
        </is>
      </c>
      <c r="D245" t="inlineStr">
        <is>
          <t>PLACA: ARQ-943</t>
        </is>
      </c>
      <c r="E245" t="inlineStr">
        <is>
          <t>Lima, 15 de Noviembre de 2022</t>
        </is>
      </c>
      <c r="F245" t="inlineStr">
        <is>
          <t>la Recarga y mantenimiento</t>
        </is>
      </c>
      <c r="G245" t="inlineStr">
        <is>
          <t>-</t>
        </is>
      </c>
      <c r="H245" t="inlineStr">
        <is>
          <t>06 KG</t>
        </is>
      </c>
      <c r="I245" t="inlineStr">
        <is>
          <t>2024</t>
        </is>
      </c>
      <c r="J245" t="n">
        <v>2017</v>
      </c>
      <c r="K245" t="inlineStr">
        <is>
          <t>NOVIEMBRE 2022</t>
        </is>
      </c>
      <c r="L245" t="inlineStr">
        <is>
          <t>NOVIEMBRE 2023</t>
        </is>
      </c>
      <c r="M245" t="inlineStr">
        <is>
          <t xml:space="preserve">P.Q.S.  TIPO ABC </t>
        </is>
      </c>
      <c r="N245" t="inlineStr">
        <is>
          <t>01/001651</t>
        </is>
      </c>
      <c r="O245" t="inlineStr">
        <is>
          <t>R</t>
        </is>
      </c>
      <c r="P245">
        <f>TRIM(N245)</f>
        <v/>
      </c>
    </row>
    <row r="246">
      <c r="A246" t="inlineStr">
        <is>
          <t>CO-001212</t>
        </is>
      </c>
      <c r="B246" t="inlineStr">
        <is>
          <t>MAXIMO RAUL GONZALES QUIJANO</t>
        </is>
      </c>
      <c r="D246" t="inlineStr">
        <is>
          <t>PLACA: DOY-893</t>
        </is>
      </c>
      <c r="E246" t="inlineStr">
        <is>
          <t>Lima, 16 de Noviembre de 2022</t>
        </is>
      </c>
      <c r="F246" t="inlineStr">
        <is>
          <t>la Recarga y mantenimiento</t>
        </is>
      </c>
      <c r="G246" t="inlineStr">
        <is>
          <t>-</t>
        </is>
      </c>
      <c r="H246" t="inlineStr">
        <is>
          <t>06 KG</t>
        </is>
      </c>
      <c r="I246" t="inlineStr">
        <is>
          <t>2023</t>
        </is>
      </c>
      <c r="J246" t="n">
        <v>2018</v>
      </c>
      <c r="K246" t="inlineStr">
        <is>
          <t>NOVIEMBRE 2022</t>
        </is>
      </c>
      <c r="L246" t="inlineStr">
        <is>
          <t>NOVIEMBRE 2023</t>
        </is>
      </c>
      <c r="M246" t="inlineStr">
        <is>
          <t xml:space="preserve">P.Q.S.  TIPO ABC </t>
        </is>
      </c>
      <c r="N246" t="inlineStr">
        <is>
          <t>01/002805</t>
        </is>
      </c>
      <c r="O246" t="inlineStr">
        <is>
          <t>R</t>
        </is>
      </c>
      <c r="P246">
        <f>TRIM(N246)</f>
        <v/>
      </c>
    </row>
    <row r="247">
      <c r="A247" t="inlineStr">
        <is>
          <t>CO-001213</t>
        </is>
      </c>
      <c r="B247" t="inlineStr">
        <is>
          <t>TRANSPORTES STARK S.A.C.</t>
        </is>
      </c>
      <c r="C247" t="n">
        <v>20606725664</v>
      </c>
      <c r="D247" t="inlineStr">
        <is>
          <t>CAL.58 MZA. E3 LOTE. 09 A URB. EL PINAR PARCELA 01 (ALTURA DE LA AV EL RETABLO CON LOS INCAS) LIMA - LIMA - COMAS</t>
        </is>
      </c>
      <c r="E247" t="inlineStr">
        <is>
          <t>Lima,  19 de Noviembre de 2022</t>
        </is>
      </c>
      <c r="F247" t="inlineStr">
        <is>
          <t>la Recarga y mantenimiento</t>
        </is>
      </c>
      <c r="G247" t="inlineStr">
        <is>
          <t>-</t>
        </is>
      </c>
      <c r="H247" t="inlineStr">
        <is>
          <t>09 KG</t>
        </is>
      </c>
      <c r="I247" t="inlineStr">
        <is>
          <t>2026</t>
        </is>
      </c>
      <c r="J247" t="n">
        <v>2011</v>
      </c>
      <c r="K247" t="inlineStr">
        <is>
          <t>NOVIEMBRE 2022</t>
        </is>
      </c>
      <c r="L247" t="inlineStr">
        <is>
          <t>NOVIEMBRE 2023</t>
        </is>
      </c>
      <c r="M247" t="inlineStr">
        <is>
          <t xml:space="preserve">P.Q.S.  TIPO ABC </t>
        </is>
      </c>
      <c r="N247" t="inlineStr">
        <is>
          <t>01/000570</t>
        </is>
      </c>
      <c r="O247" t="inlineStr">
        <is>
          <t>R</t>
        </is>
      </c>
      <c r="P247">
        <f>TRIM(N247)</f>
        <v/>
      </c>
    </row>
    <row r="248">
      <c r="A248" t="inlineStr">
        <is>
          <t>CO-001214</t>
        </is>
      </c>
      <c r="B248" t="inlineStr">
        <is>
          <t>TRANSPORTES STARK S.A.C.</t>
        </is>
      </c>
      <c r="C248" t="n">
        <v>20606725664</v>
      </c>
      <c r="D248" t="inlineStr">
        <is>
          <t>CAL.58 MZA. E3 LOTE. 09 A URB. EL PINAR PARCELA 01 (ALTURA DE LA AV EL RETABLO CON LOS INCAS) LIMA - LIMA - COMAS</t>
        </is>
      </c>
      <c r="E248" t="inlineStr">
        <is>
          <t>Lima,  19 de Noviembre de 2022</t>
        </is>
      </c>
      <c r="F248" t="inlineStr">
        <is>
          <t>la Recarga y mantenimiento</t>
        </is>
      </c>
      <c r="G248" t="inlineStr">
        <is>
          <t>-</t>
        </is>
      </c>
      <c r="H248" t="inlineStr">
        <is>
          <t>09 KG</t>
        </is>
      </c>
      <c r="I248" t="inlineStr">
        <is>
          <t>2025</t>
        </is>
      </c>
      <c r="J248" t="n">
        <v>2020</v>
      </c>
      <c r="K248" t="inlineStr">
        <is>
          <t>NOVIEMBRE 2022</t>
        </is>
      </c>
      <c r="L248" t="inlineStr">
        <is>
          <t>NOVIEMBRE 2023</t>
        </is>
      </c>
      <c r="M248" t="inlineStr">
        <is>
          <t xml:space="preserve">P.Q.S.  TIPO ABC </t>
        </is>
      </c>
      <c r="N248" t="inlineStr">
        <is>
          <t>02/000232</t>
        </is>
      </c>
      <c r="O248" t="inlineStr">
        <is>
          <t>R</t>
        </is>
      </c>
      <c r="P248">
        <f>TRIM(N248)</f>
        <v/>
      </c>
    </row>
    <row r="249">
      <c r="A249" t="inlineStr">
        <is>
          <t>CO-001215</t>
        </is>
      </c>
      <c r="B249" t="inlineStr">
        <is>
          <t>CHIFA ARIANA De: GEINER CUBAS FERNANDEZ</t>
        </is>
      </c>
      <c r="D249" t="inlineStr">
        <is>
          <t>AV. LOS INCAS MZ. J LT.12 - SAN BAUTISTA</t>
        </is>
      </c>
      <c r="E249" t="inlineStr">
        <is>
          <t>Lima,  19 de Noviembre de 2022</t>
        </is>
      </c>
      <c r="F249" t="inlineStr">
        <is>
          <t>la Recarga y mantenimiento</t>
        </is>
      </c>
      <c r="G249" t="inlineStr">
        <is>
          <t>-</t>
        </is>
      </c>
      <c r="H249" t="inlineStr">
        <is>
          <t>06 KG</t>
        </is>
      </c>
      <c r="I249" t="inlineStr">
        <is>
          <t>2026</t>
        </is>
      </c>
      <c r="J249" t="n">
        <v>2021</v>
      </c>
      <c r="K249" t="inlineStr">
        <is>
          <t>NOVIEMBRE 2022</t>
        </is>
      </c>
      <c r="L249" t="inlineStr">
        <is>
          <t>NOVIEMBRE 2023</t>
        </is>
      </c>
      <c r="M249" t="inlineStr">
        <is>
          <t xml:space="preserve">P.Q.S.  TIPO ABC </t>
        </is>
      </c>
      <c r="N249" t="inlineStr">
        <is>
          <t>01/000189</t>
        </is>
      </c>
      <c r="O249" t="inlineStr">
        <is>
          <t>R</t>
        </is>
      </c>
      <c r="P249">
        <f>TRIM(N249)</f>
        <v/>
      </c>
    </row>
    <row r="250">
      <c r="A250" t="inlineStr">
        <is>
          <t>CO-001216</t>
        </is>
      </c>
      <c r="B250" t="inlineStr">
        <is>
          <t>CLIENTE ANONIMO</t>
        </is>
      </c>
      <c r="C250" t="inlineStr">
        <is>
          <t xml:space="preserve">PLACA: </t>
        </is>
      </c>
      <c r="D250" t="inlineStr">
        <is>
          <t>CLIENTE ANONIMO</t>
        </is>
      </c>
      <c r="E250" t="inlineStr">
        <is>
          <t>Lima,  19 de Noviembre de 2022</t>
        </is>
      </c>
      <c r="F250" t="inlineStr">
        <is>
          <t>la Recarga y mantenimiento</t>
        </is>
      </c>
      <c r="G250" t="inlineStr">
        <is>
          <t>-</t>
        </is>
      </c>
      <c r="H250" t="inlineStr">
        <is>
          <t>02KG</t>
        </is>
      </c>
      <c r="I250" t="inlineStr">
        <is>
          <t>2024</t>
        </is>
      </c>
      <c r="J250" t="n">
        <v>2019</v>
      </c>
      <c r="K250" t="inlineStr">
        <is>
          <t>NOVIEMBRE 2022</t>
        </is>
      </c>
      <c r="L250" t="inlineStr">
        <is>
          <t>NOVIEMBRE 2023</t>
        </is>
      </c>
      <c r="M250" t="inlineStr">
        <is>
          <t xml:space="preserve">P.Q.S.  TIPO ABC </t>
        </is>
      </c>
      <c r="N250" t="inlineStr">
        <is>
          <t>01/000453</t>
        </is>
      </c>
      <c r="O250" t="inlineStr">
        <is>
          <t>R</t>
        </is>
      </c>
      <c r="P250">
        <f>TRIM(N250)</f>
        <v/>
      </c>
    </row>
    <row r="251">
      <c r="A251" t="inlineStr">
        <is>
          <t>CO-001217</t>
        </is>
      </c>
      <c r="B251" t="inlineStr">
        <is>
          <t xml:space="preserve">JOSE MELCHOR SANCHEZ HUAMAN </t>
        </is>
      </c>
      <c r="C251" t="inlineStr">
        <is>
          <t>DNI: 41204120</t>
        </is>
      </c>
      <c r="D251" t="inlineStr">
        <is>
          <t>Jr. Marte N° 107 - COMAS</t>
        </is>
      </c>
      <c r="E251" t="inlineStr">
        <is>
          <t>Lima,  22 de Noviembre de 2022</t>
        </is>
      </c>
      <c r="F251" t="inlineStr">
        <is>
          <t>la Recarga y mantenimiento</t>
        </is>
      </c>
      <c r="G251" t="inlineStr">
        <is>
          <t>-</t>
        </is>
      </c>
      <c r="H251" t="inlineStr">
        <is>
          <t>06 KG</t>
        </is>
      </c>
      <c r="I251" t="inlineStr">
        <is>
          <t>2028</t>
        </is>
      </c>
      <c r="J251" t="n">
        <v>2022</v>
      </c>
      <c r="K251" t="inlineStr">
        <is>
          <t>NOVIEMBRE 2022</t>
        </is>
      </c>
      <c r="L251" t="inlineStr">
        <is>
          <t>NOVIEMBRE 2023</t>
        </is>
      </c>
      <c r="M251" t="inlineStr">
        <is>
          <t xml:space="preserve">P.Q.S.  TIPO ABC </t>
        </is>
      </c>
      <c r="N251" t="inlineStr">
        <is>
          <t>01/422693</t>
        </is>
      </c>
      <c r="O251" t="inlineStr">
        <is>
          <t>V</t>
        </is>
      </c>
      <c r="P251">
        <f>TRIM(N251)</f>
        <v/>
      </c>
    </row>
    <row r="252">
      <c r="A252" t="inlineStr">
        <is>
          <t>CO-001217</t>
        </is>
      </c>
      <c r="B252" t="inlineStr">
        <is>
          <t xml:space="preserve">JOSE MELCHOR SANCHEZ HUAMAN </t>
        </is>
      </c>
      <c r="C252" t="inlineStr">
        <is>
          <t>DNI: 41204120</t>
        </is>
      </c>
      <c r="D252" t="inlineStr">
        <is>
          <t>Jr. Marte N° 107 - COMAS</t>
        </is>
      </c>
      <c r="E252" t="inlineStr">
        <is>
          <t>Lima,  22 de Noviembre de 2022</t>
        </is>
      </c>
      <c r="F252" t="inlineStr">
        <is>
          <t>la Recarga y mantenimiento</t>
        </is>
      </c>
      <c r="G252" t="n">
        <v>2</v>
      </c>
      <c r="H252" t="inlineStr">
        <is>
          <t>06 KG</t>
        </is>
      </c>
      <c r="I252" t="inlineStr">
        <is>
          <t>2028</t>
        </is>
      </c>
      <c r="J252" t="n">
        <v>2022</v>
      </c>
      <c r="K252" t="inlineStr">
        <is>
          <t>NOVIEMBRE 2022</t>
        </is>
      </c>
      <c r="L252" t="inlineStr">
        <is>
          <t>NOVIEMBRE 2023</t>
        </is>
      </c>
      <c r="M252" t="inlineStr">
        <is>
          <t xml:space="preserve">P.Q.S.  TIPO ABC </t>
        </is>
      </c>
      <c r="N252" t="inlineStr">
        <is>
          <t>02/501365</t>
        </is>
      </c>
      <c r="O252" t="inlineStr">
        <is>
          <t>V</t>
        </is>
      </c>
      <c r="P252">
        <f>TRIM(N252)</f>
        <v/>
      </c>
    </row>
    <row r="253">
      <c r="A253" t="inlineStr">
        <is>
          <t>CO-001217</t>
        </is>
      </c>
      <c r="B253" t="inlineStr">
        <is>
          <t xml:space="preserve">JOSE MELCHOR SANCHEZ HUAMAN </t>
        </is>
      </c>
      <c r="C253" t="inlineStr">
        <is>
          <t>DNI: 41204120</t>
        </is>
      </c>
      <c r="D253" t="inlineStr">
        <is>
          <t>Jr. Marte N° 107 - COMAS</t>
        </is>
      </c>
      <c r="E253" t="inlineStr">
        <is>
          <t>Lima,  22 de Noviembre de 2022</t>
        </is>
      </c>
      <c r="F253" t="inlineStr">
        <is>
          <t>la Recarga y mantenimiento</t>
        </is>
      </c>
      <c r="G253" t="inlineStr">
        <is>
          <t>03</t>
        </is>
      </c>
      <c r="H253" t="inlineStr">
        <is>
          <t>06 KG</t>
        </is>
      </c>
      <c r="I253" t="inlineStr">
        <is>
          <t>2028</t>
        </is>
      </c>
      <c r="J253" t="n">
        <v>2022</v>
      </c>
      <c r="K253" t="inlineStr">
        <is>
          <t>NOVIEMBRE 2022</t>
        </is>
      </c>
      <c r="L253" t="inlineStr">
        <is>
          <t>NOVIEMBRE 2023</t>
        </is>
      </c>
      <c r="M253" t="inlineStr">
        <is>
          <t xml:space="preserve">P.Q.S.  TIPO ABC </t>
        </is>
      </c>
      <c r="N253" t="inlineStr">
        <is>
          <t>03/501379</t>
        </is>
      </c>
      <c r="O253" t="inlineStr">
        <is>
          <t>V</t>
        </is>
      </c>
      <c r="P253">
        <f>TRIM(N253)</f>
        <v/>
      </c>
    </row>
    <row r="254">
      <c r="A254" t="inlineStr">
        <is>
          <t>CO-001217</t>
        </is>
      </c>
      <c r="B254" t="inlineStr">
        <is>
          <t xml:space="preserve">JOSE MELCHOR SANCHEZ HUAMAN </t>
        </is>
      </c>
      <c r="C254" t="inlineStr">
        <is>
          <t>DNI: 41204120</t>
        </is>
      </c>
      <c r="D254" t="inlineStr">
        <is>
          <t>Jr. Marte N° 107 - COMAS</t>
        </is>
      </c>
      <c r="E254" t="inlineStr">
        <is>
          <t>Lima,  22 de Noviembre de 2022</t>
        </is>
      </c>
      <c r="F254" t="inlineStr">
        <is>
          <t>la Recarga y mantenimiento</t>
        </is>
      </c>
      <c r="G254" t="n">
        <v>4</v>
      </c>
      <c r="H254" t="inlineStr">
        <is>
          <t>06 KG</t>
        </is>
      </c>
      <c r="I254" t="inlineStr">
        <is>
          <t>2028</t>
        </is>
      </c>
      <c r="J254" t="n">
        <v>2022</v>
      </c>
      <c r="K254" t="inlineStr">
        <is>
          <t>NOVIEMBRE 2022</t>
        </is>
      </c>
      <c r="L254" t="inlineStr">
        <is>
          <t>NOVIEMBRE 2023</t>
        </is>
      </c>
      <c r="M254" t="inlineStr">
        <is>
          <t xml:space="preserve">P.Q.S.  TIPO ABC </t>
        </is>
      </c>
      <c r="N254" t="inlineStr">
        <is>
          <t>04/422671</t>
        </is>
      </c>
      <c r="O254" t="inlineStr">
        <is>
          <t>V</t>
        </is>
      </c>
      <c r="P254">
        <f>TRIM(N254)</f>
        <v/>
      </c>
    </row>
    <row r="255">
      <c r="A255" t="inlineStr">
        <is>
          <t>CO-001217</t>
        </is>
      </c>
      <c r="B255" t="inlineStr">
        <is>
          <t xml:space="preserve">JOSE MELCHOR SANCHEZ HUAMAN </t>
        </is>
      </c>
      <c r="C255" t="inlineStr">
        <is>
          <t>DNI: 41204120</t>
        </is>
      </c>
      <c r="D255" t="inlineStr">
        <is>
          <t>Jr. Marte N° 107 - COMAS</t>
        </is>
      </c>
      <c r="E255" t="inlineStr">
        <is>
          <t>Lima,  22 de Noviembre de 2022</t>
        </is>
      </c>
      <c r="F255" t="inlineStr">
        <is>
          <t>la Recarga y mantenimiento</t>
        </is>
      </c>
      <c r="G255" t="n">
        <v>5</v>
      </c>
      <c r="H255" t="inlineStr">
        <is>
          <t>06 KG</t>
        </is>
      </c>
      <c r="I255" t="inlineStr">
        <is>
          <t>2028</t>
        </is>
      </c>
      <c r="J255" t="n">
        <v>2022</v>
      </c>
      <c r="K255" t="inlineStr">
        <is>
          <t>NOVIEMBRE 2022</t>
        </is>
      </c>
      <c r="L255" t="inlineStr">
        <is>
          <t>NOVIEMBRE 2023</t>
        </is>
      </c>
      <c r="M255" t="inlineStr">
        <is>
          <t xml:space="preserve">P.Q.S.  TIPO ABC </t>
        </is>
      </c>
      <c r="N255" t="inlineStr">
        <is>
          <t>05/501345</t>
        </is>
      </c>
      <c r="O255" t="inlineStr">
        <is>
          <t>V</t>
        </is>
      </c>
      <c r="P255">
        <f>TRIM(N255)</f>
        <v/>
      </c>
    </row>
    <row r="256">
      <c r="A256" t="inlineStr">
        <is>
          <t>CO-001217</t>
        </is>
      </c>
      <c r="B256" t="inlineStr">
        <is>
          <t xml:space="preserve">JOSE MELCHOR SANCHEZ HUAMAN </t>
        </is>
      </c>
      <c r="C256" t="inlineStr">
        <is>
          <t>DNI: 41204120</t>
        </is>
      </c>
      <c r="D256" t="inlineStr">
        <is>
          <t>Jr. Marte N° 107 - COMAS</t>
        </is>
      </c>
      <c r="E256" t="inlineStr">
        <is>
          <t>Lima,  22 de Noviembre de 2022</t>
        </is>
      </c>
      <c r="F256" t="inlineStr">
        <is>
          <t>la Recarga y mantenimiento</t>
        </is>
      </c>
      <c r="G256" t="n">
        <v>6</v>
      </c>
      <c r="H256" t="inlineStr">
        <is>
          <t>06 KG</t>
        </is>
      </c>
      <c r="I256" t="inlineStr">
        <is>
          <t>2028</t>
        </is>
      </c>
      <c r="J256" t="n">
        <v>2022</v>
      </c>
      <c r="K256" t="inlineStr">
        <is>
          <t>NOVIEMBRE 2022</t>
        </is>
      </c>
      <c r="L256" t="inlineStr">
        <is>
          <t>NOVIEMBRE 2023</t>
        </is>
      </c>
      <c r="M256" t="inlineStr">
        <is>
          <t xml:space="preserve">P.Q.S.  TIPO ABC </t>
        </is>
      </c>
      <c r="N256" t="inlineStr">
        <is>
          <t>06/501344</t>
        </is>
      </c>
      <c r="O256" t="inlineStr">
        <is>
          <t>V</t>
        </is>
      </c>
      <c r="P256">
        <f>TRIM(N256)</f>
        <v/>
      </c>
    </row>
    <row r="257">
      <c r="A257" t="inlineStr">
        <is>
          <t>CO-001218</t>
        </is>
      </c>
      <c r="B257" t="inlineStr">
        <is>
          <t xml:space="preserve">CARLOS REYES </t>
        </is>
      </c>
      <c r="D257" t="inlineStr">
        <is>
          <t>PLACA: AMB-700</t>
        </is>
      </c>
      <c r="E257" t="inlineStr">
        <is>
          <t>Lima,  24 de Noviembre de 2022</t>
        </is>
      </c>
      <c r="F257" t="inlineStr">
        <is>
          <t>la Recarga y mantenimiento</t>
        </is>
      </c>
      <c r="G257" t="inlineStr">
        <is>
          <t>-</t>
        </is>
      </c>
      <c r="H257" t="inlineStr">
        <is>
          <t>04 KG</t>
        </is>
      </c>
      <c r="I257" t="inlineStr">
        <is>
          <t>2025</t>
        </is>
      </c>
      <c r="J257" t="n">
        <v>2005</v>
      </c>
      <c r="K257" t="inlineStr">
        <is>
          <t>NOVIEMBRE 2022</t>
        </is>
      </c>
      <c r="L257" t="inlineStr">
        <is>
          <t>NOVIEMBRE 2023</t>
        </is>
      </c>
      <c r="M257" t="inlineStr">
        <is>
          <t xml:space="preserve">P.Q.S.  TIPO ABC </t>
        </is>
      </c>
      <c r="N257" t="inlineStr">
        <is>
          <t>01/034031</t>
        </is>
      </c>
      <c r="O257" t="inlineStr">
        <is>
          <t>R</t>
        </is>
      </c>
      <c r="P257">
        <f>TRIM(N257)</f>
        <v/>
      </c>
    </row>
    <row r="258">
      <c r="A258" t="inlineStr">
        <is>
          <t>CO-001219</t>
        </is>
      </c>
      <c r="B258" t="inlineStr">
        <is>
          <t xml:space="preserve">JOSE MELCHOR SANCHEZ HUAMAN </t>
        </is>
      </c>
      <c r="C258" t="inlineStr">
        <is>
          <t>DNI: 41204120</t>
        </is>
      </c>
      <c r="D258" t="inlineStr">
        <is>
          <t>Jr. Marte N° 107 - COMAS</t>
        </is>
      </c>
      <c r="E258" t="inlineStr">
        <is>
          <t>Lima,  24 de Noviembre de 2022</t>
        </is>
      </c>
      <c r="F258" t="inlineStr">
        <is>
          <t>la Recarga y mantenimiento</t>
        </is>
      </c>
      <c r="G258" t="inlineStr">
        <is>
          <t>-</t>
        </is>
      </c>
      <c r="H258" t="inlineStr">
        <is>
          <t>06 KG</t>
        </is>
      </c>
      <c r="I258" t="inlineStr">
        <is>
          <t>2022</t>
        </is>
      </c>
      <c r="J258" t="n">
        <v>2017</v>
      </c>
      <c r="K258" t="inlineStr">
        <is>
          <t>NOVIEMBRE 2022</t>
        </is>
      </c>
      <c r="L258" t="inlineStr">
        <is>
          <t>NOVIEMBRE 2023</t>
        </is>
      </c>
      <c r="M258" t="inlineStr">
        <is>
          <t xml:space="preserve">P.Q.S.  TIPO ABC </t>
        </is>
      </c>
      <c r="N258" t="inlineStr">
        <is>
          <t>07/001336</t>
        </is>
      </c>
      <c r="O258" t="inlineStr">
        <is>
          <t>R</t>
        </is>
      </c>
      <c r="P258">
        <f>TRIM(N258)</f>
        <v/>
      </c>
    </row>
    <row r="259">
      <c r="A259" t="inlineStr">
        <is>
          <t>CO-001220</t>
        </is>
      </c>
      <c r="B259" t="inlineStr">
        <is>
          <t>TRANSPORTES STARK S.A.C.</t>
        </is>
      </c>
      <c r="C259" t="inlineStr">
        <is>
          <t>PLACA: BCU703</t>
        </is>
      </c>
      <c r="D259" t="inlineStr">
        <is>
          <t>CAL.58 MZA. E3 LOTE. 09 A URB. EL PINAR PARCELA 01 (ALTURA DE LA AV EL RETABLO CON LOS INCAS) LIMA - LIMA - COMAS</t>
        </is>
      </c>
      <c r="E259" t="inlineStr">
        <is>
          <t>Lima,  29 de Noviembre de 2022</t>
        </is>
      </c>
      <c r="F259" t="inlineStr">
        <is>
          <t>la Recarga y mantenimiento</t>
        </is>
      </c>
      <c r="G259" t="inlineStr">
        <is>
          <t>-</t>
        </is>
      </c>
      <c r="H259" t="inlineStr">
        <is>
          <t>09 KG</t>
        </is>
      </c>
      <c r="I259" t="inlineStr">
        <is>
          <t>2026</t>
        </is>
      </c>
      <c r="J259" t="n">
        <v>2021</v>
      </c>
      <c r="K259" t="inlineStr">
        <is>
          <t>NOVIEMBRE 2022</t>
        </is>
      </c>
      <c r="L259" t="inlineStr">
        <is>
          <t>NOVIEMBRE 2023</t>
        </is>
      </c>
      <c r="M259" t="inlineStr">
        <is>
          <t xml:space="preserve">P.Q.S.  TIPO ABC </t>
        </is>
      </c>
      <c r="N259" t="inlineStr">
        <is>
          <t>01/001394</t>
        </is>
      </c>
      <c r="O259" t="inlineStr">
        <is>
          <t>R</t>
        </is>
      </c>
      <c r="P259">
        <f>TRIM(N259)</f>
        <v/>
      </c>
    </row>
    <row r="260">
      <c r="A260" t="inlineStr">
        <is>
          <t>CO-001221</t>
        </is>
      </c>
      <c r="B260" t="inlineStr">
        <is>
          <t>TRANSPORTES STARK S.A.C.</t>
        </is>
      </c>
      <c r="C260" t="inlineStr">
        <is>
          <t>PLACA: BCU703</t>
        </is>
      </c>
      <c r="D260" t="inlineStr">
        <is>
          <t>CAL.58 MZA. E3 LOTE. 09 A URB. EL PINAR PARCELA 01 (ALTURA DE LA AV EL RETABLO CON LOS INCAS) LIMA - LIMA - COMAS</t>
        </is>
      </c>
      <c r="E260" t="inlineStr">
        <is>
          <t>Lima,  29 de Noviembre de 2022</t>
        </is>
      </c>
      <c r="F260" t="inlineStr">
        <is>
          <t>la Recarga y mantenimiento</t>
        </is>
      </c>
      <c r="G260" t="inlineStr">
        <is>
          <t>-</t>
        </is>
      </c>
      <c r="H260" t="inlineStr">
        <is>
          <t>09 KG</t>
        </is>
      </c>
      <c r="I260" t="inlineStr">
        <is>
          <t>2026</t>
        </is>
      </c>
      <c r="J260" t="n">
        <v>2021</v>
      </c>
      <c r="K260" t="inlineStr">
        <is>
          <t>NOVIEMBRE 2022</t>
        </is>
      </c>
      <c r="L260" t="inlineStr">
        <is>
          <t>NOVIEMBRE 2023</t>
        </is>
      </c>
      <c r="M260" t="inlineStr">
        <is>
          <t xml:space="preserve">P.Q.S.  TIPO ABC </t>
        </is>
      </c>
      <c r="N260" t="inlineStr">
        <is>
          <t>02/002483</t>
        </is>
      </c>
      <c r="O260" t="inlineStr">
        <is>
          <t>R</t>
        </is>
      </c>
      <c r="P260">
        <f>TRIM(N260)</f>
        <v/>
      </c>
    </row>
    <row r="261">
      <c r="A261" t="inlineStr">
        <is>
          <t>CO-001222</t>
        </is>
      </c>
      <c r="B261" t="inlineStr">
        <is>
          <t>PERCY CRUZ CHAVEZ</t>
        </is>
      </c>
      <c r="C261" t="inlineStr">
        <is>
          <t>DNI: 41718759</t>
        </is>
      </c>
      <c r="D261" t="inlineStr">
        <is>
          <t>CALLE JORGE CHAVEZ 881 ASENT.H. COLLIQUE</t>
        </is>
      </c>
      <c r="E261" t="inlineStr">
        <is>
          <t>Lima,  28 de Noviembre de 2022</t>
        </is>
      </c>
      <c r="F261" t="inlineStr">
        <is>
          <t>la Recarga y mantenimiento</t>
        </is>
      </c>
      <c r="G261" t="inlineStr">
        <is>
          <t>-</t>
        </is>
      </c>
      <c r="H261" t="inlineStr">
        <is>
          <t>06 KG</t>
        </is>
      </c>
      <c r="I261" t="inlineStr">
        <is>
          <t>2027</t>
        </is>
      </c>
      <c r="J261" t="n">
        <v>2022</v>
      </c>
      <c r="K261" t="inlineStr">
        <is>
          <t>NOVIEMBRE 2022</t>
        </is>
      </c>
      <c r="L261" t="inlineStr">
        <is>
          <t>NOVIEMBRE 2023</t>
        </is>
      </c>
      <c r="M261" t="inlineStr">
        <is>
          <t xml:space="preserve">P.Q.S.  TIPO ABC </t>
        </is>
      </c>
      <c r="N261" t="inlineStr">
        <is>
          <t>01/050381</t>
        </is>
      </c>
      <c r="O261" t="inlineStr">
        <is>
          <t>V</t>
        </is>
      </c>
      <c r="P261">
        <f>TRIM(N261)</f>
        <v/>
      </c>
    </row>
    <row r="262">
      <c r="A262" t="inlineStr">
        <is>
          <t>CO-001223</t>
        </is>
      </c>
      <c r="B262" t="inlineStr">
        <is>
          <t>BOTICAS HOUSE FARMA DE: NERY</t>
        </is>
      </c>
      <c r="C262" t="inlineStr">
        <is>
          <t>41420041</t>
        </is>
      </c>
      <c r="D262" t="inlineStr">
        <is>
          <t>SAN PEDRO DE CARABAYLLO</t>
        </is>
      </c>
      <c r="E262" t="inlineStr">
        <is>
          <t>Lima,  01 de Diciembre de 2022</t>
        </is>
      </c>
      <c r="F262" t="inlineStr">
        <is>
          <t>la Recarga y mantenimiento</t>
        </is>
      </c>
      <c r="G262" t="inlineStr">
        <is>
          <t>-</t>
        </is>
      </c>
      <c r="H262" t="inlineStr">
        <is>
          <t>06 KG</t>
        </is>
      </c>
      <c r="I262" t="inlineStr">
        <is>
          <t>2027</t>
        </is>
      </c>
      <c r="J262" t="n">
        <v>2015</v>
      </c>
      <c r="K262" t="inlineStr">
        <is>
          <t>DICIEMBRE 2022</t>
        </is>
      </c>
      <c r="L262" t="inlineStr">
        <is>
          <t>DICIEMBRE 2023</t>
        </is>
      </c>
      <c r="M262" t="inlineStr">
        <is>
          <t xml:space="preserve">P.Q.S.  TIPO ABC </t>
        </is>
      </c>
      <c r="N262" t="inlineStr">
        <is>
          <t>01/005163</t>
        </is>
      </c>
      <c r="O262" t="inlineStr">
        <is>
          <t>R</t>
        </is>
      </c>
      <c r="P262">
        <f>TRIM(N262)</f>
        <v/>
      </c>
    </row>
    <row r="263">
      <c r="A263" t="inlineStr">
        <is>
          <t>CO-001224</t>
        </is>
      </c>
      <c r="B263" t="inlineStr">
        <is>
          <t>JESUS ARTURO QUISPE SAMARITANO</t>
        </is>
      </c>
      <c r="C263" t="inlineStr">
        <is>
          <t>DNI: 72423615</t>
        </is>
      </c>
      <c r="D263" t="inlineStr">
        <is>
          <t>PLACA: BEL-285</t>
        </is>
      </c>
      <c r="E263" t="inlineStr">
        <is>
          <t>Lima,  29 de Noviembre de 2022</t>
        </is>
      </c>
      <c r="F263" t="inlineStr">
        <is>
          <t>la Recarga y mantenimiento</t>
        </is>
      </c>
      <c r="G263" t="inlineStr">
        <is>
          <t>-</t>
        </is>
      </c>
      <c r="H263" t="inlineStr">
        <is>
          <t>02 KG</t>
        </is>
      </c>
      <c r="I263" t="inlineStr">
        <is>
          <t>2026</t>
        </is>
      </c>
      <c r="J263" t="n">
        <v>2021</v>
      </c>
      <c r="K263" t="inlineStr">
        <is>
          <t>NOVIEMBRE 2022</t>
        </is>
      </c>
      <c r="L263" t="inlineStr">
        <is>
          <t>NOVIEMBRE 2023</t>
        </is>
      </c>
      <c r="M263" t="inlineStr">
        <is>
          <t xml:space="preserve">P.Q.S.  TIPO ABC </t>
        </is>
      </c>
      <c r="N263" t="inlineStr">
        <is>
          <t>01/001122</t>
        </is>
      </c>
      <c r="O263" t="inlineStr">
        <is>
          <t>R</t>
        </is>
      </c>
      <c r="P263">
        <f>TRIM(N263)</f>
        <v/>
      </c>
    </row>
    <row r="264">
      <c r="A264" t="inlineStr">
        <is>
          <t>CO-001225</t>
        </is>
      </c>
      <c r="B264" t="inlineStr">
        <is>
          <t>ISAIAS EFRAIN ÑAHUE TINCEG</t>
        </is>
      </c>
      <c r="C264" t="inlineStr">
        <is>
          <t>DNI: 80194711</t>
        </is>
      </c>
      <c r="D264" t="inlineStr">
        <is>
          <t>PLACA: A7W-157</t>
        </is>
      </c>
      <c r="E264" t="inlineStr">
        <is>
          <t>Lima, 01 de Diciembre de 2022</t>
        </is>
      </c>
      <c r="F264" t="inlineStr">
        <is>
          <t>la Recarga y mantenimiento</t>
        </is>
      </c>
      <c r="G264" t="inlineStr">
        <is>
          <t>-</t>
        </is>
      </c>
      <c r="H264" t="inlineStr">
        <is>
          <t>02 KG</t>
        </is>
      </c>
      <c r="I264" t="inlineStr">
        <is>
          <t>VIGENTE</t>
        </is>
      </c>
      <c r="J264" t="n">
        <v>2017</v>
      </c>
      <c r="K264" t="inlineStr">
        <is>
          <t>DICIEMBRE 2022</t>
        </is>
      </c>
      <c r="L264" t="inlineStr">
        <is>
          <t>DICIEMBRE 2023</t>
        </is>
      </c>
      <c r="M264" t="inlineStr">
        <is>
          <t xml:space="preserve">P.Q.S.  TIPO ABC </t>
        </is>
      </c>
      <c r="N264" t="inlineStr">
        <is>
          <t>01/004382</t>
        </is>
      </c>
      <c r="O264" t="inlineStr">
        <is>
          <t>R</t>
        </is>
      </c>
      <c r="P264">
        <f>TRIM(N264)</f>
        <v/>
      </c>
    </row>
    <row r="265">
      <c r="A265" t="inlineStr">
        <is>
          <t>CO-001226</t>
        </is>
      </c>
      <c r="B265" t="inlineStr">
        <is>
          <t>MOISES BERNABE CALDERON SILVA</t>
        </is>
      </c>
      <c r="C265" t="inlineStr">
        <is>
          <t>DNI: 43285810</t>
        </is>
      </c>
      <c r="D265" t="inlineStr">
        <is>
          <t>PLACA: A3P-535</t>
        </is>
      </c>
      <c r="E265" t="inlineStr">
        <is>
          <t>Lima, 08 de Diciembre de 2022</t>
        </is>
      </c>
      <c r="F265" t="inlineStr">
        <is>
          <t>la Recarga y mantenimiento</t>
        </is>
      </c>
      <c r="G265" t="inlineStr">
        <is>
          <t>-</t>
        </is>
      </c>
      <c r="H265" t="inlineStr">
        <is>
          <t>01 KG</t>
        </is>
      </c>
      <c r="I265" t="inlineStr">
        <is>
          <t>VIGENTE</t>
        </is>
      </c>
      <c r="J265" t="n">
        <v>2008</v>
      </c>
      <c r="K265" t="inlineStr">
        <is>
          <t>DICIEMBRE 2022</t>
        </is>
      </c>
      <c r="L265" t="inlineStr">
        <is>
          <t>DICIEMBRE 2023</t>
        </is>
      </c>
      <c r="M265" t="inlineStr">
        <is>
          <t xml:space="preserve">P.Q.S.  TIPO ABC </t>
        </is>
      </c>
      <c r="N265" t="inlineStr">
        <is>
          <t>01/000402</t>
        </is>
      </c>
      <c r="O265" t="inlineStr">
        <is>
          <t>R</t>
        </is>
      </c>
      <c r="P265">
        <f>TRIM(N265)</f>
        <v/>
      </c>
    </row>
    <row r="266">
      <c r="A266" t="inlineStr">
        <is>
          <t>CO-001227</t>
        </is>
      </c>
      <c r="B266" t="inlineStr">
        <is>
          <t>SIMON NOGUERA CONTRERAS</t>
        </is>
      </c>
      <c r="C266" t="inlineStr">
        <is>
          <t>DNI: 08107390</t>
        </is>
      </c>
      <c r="D266" t="inlineStr">
        <is>
          <t>PLACA: D7A-684</t>
        </is>
      </c>
      <c r="E266" t="inlineStr">
        <is>
          <t>Lima, 14 de Diciembre de 2022</t>
        </is>
      </c>
      <c r="F266" t="inlineStr">
        <is>
          <t>la Recarga y mantenimiento</t>
        </is>
      </c>
      <c r="G266" t="inlineStr">
        <is>
          <t>-</t>
        </is>
      </c>
      <c r="H266" t="inlineStr">
        <is>
          <t xml:space="preserve">02 KG </t>
        </is>
      </c>
      <c r="I266" t="inlineStr">
        <is>
          <t>2025</t>
        </is>
      </c>
      <c r="J266" t="n">
        <v>2010</v>
      </c>
      <c r="K266" t="inlineStr">
        <is>
          <t>DICIEMBRE 2022</t>
        </is>
      </c>
      <c r="L266" t="inlineStr">
        <is>
          <t>DICIEMBRE 2023</t>
        </is>
      </c>
      <c r="M266" t="inlineStr">
        <is>
          <t xml:space="preserve">P.Q.S.  TIPO ABC </t>
        </is>
      </c>
      <c r="N266" t="inlineStr">
        <is>
          <t>01/000543</t>
        </is>
      </c>
      <c r="O266" t="inlineStr">
        <is>
          <t>R</t>
        </is>
      </c>
      <c r="P266">
        <f>TRIM(N266)</f>
        <v/>
      </c>
    </row>
    <row r="267">
      <c r="A267" t="inlineStr">
        <is>
          <t>CO-001228</t>
        </is>
      </c>
      <c r="B267" t="inlineStr">
        <is>
          <t>LINDE PERU S.R.L. - YAULI</t>
        </is>
      </c>
      <c r="C267" t="inlineStr">
        <is>
          <t>20338570041</t>
        </is>
      </c>
      <c r="D267" t="inlineStr">
        <is>
          <t>CAR.CARRET.CENTRAL KM.9.5 Z.I. ZONA INDUSTRIAL(DESVIO HUACHIPA LURIGANCHO CHOSICA) LIMA LURIGANCHO</t>
        </is>
      </c>
      <c r="E267" t="inlineStr">
        <is>
          <t>Lima, 15 de Diciembre de 2022</t>
        </is>
      </c>
      <c r="F267" t="inlineStr">
        <is>
          <t>la Recarga y mantenimiento</t>
        </is>
      </c>
      <c r="G267" t="inlineStr">
        <is>
          <t>-</t>
        </is>
      </c>
      <c r="H267" t="inlineStr">
        <is>
          <t>12 KG</t>
        </is>
      </c>
      <c r="I267" t="inlineStr">
        <is>
          <t>2027</t>
        </is>
      </c>
      <c r="J267" t="n">
        <v>2012</v>
      </c>
      <c r="K267" t="inlineStr">
        <is>
          <t>DICIEMBRE 2022</t>
        </is>
      </c>
      <c r="L267" t="inlineStr">
        <is>
          <t>DICIEMBRE 2023</t>
        </is>
      </c>
      <c r="M267" t="inlineStr">
        <is>
          <t>P.Q.S.  TIPO ABC AL 90% UL</t>
        </is>
      </c>
      <c r="N267" t="inlineStr">
        <is>
          <t>01/000136</t>
        </is>
      </c>
      <c r="O267" t="inlineStr">
        <is>
          <t>R</t>
        </is>
      </c>
      <c r="P267">
        <f>TRIM(N267)</f>
        <v/>
      </c>
    </row>
    <row r="268">
      <c r="A268" t="inlineStr">
        <is>
          <t>CO-001228</t>
        </is>
      </c>
      <c r="B268" t="inlineStr">
        <is>
          <t>LINDE PERU S.R.L. - YAULI</t>
        </is>
      </c>
      <c r="C268" t="inlineStr">
        <is>
          <t>20338570041</t>
        </is>
      </c>
      <c r="D268" t="inlineStr">
        <is>
          <t>CAR.CARRET.CENTRAL KM.9.5 Z.I. ZONA INDUSTRIAL(DESVIO HUACHIPA LURIGANCHO CHOSICA) LIMA LURIGANCHO</t>
        </is>
      </c>
      <c r="E268" t="inlineStr">
        <is>
          <t>Lima, 15 de Diciembre de 2022</t>
        </is>
      </c>
      <c r="F268" t="inlineStr">
        <is>
          <t>la Recarga y mantenimiento</t>
        </is>
      </c>
      <c r="G268" t="n">
        <v>2</v>
      </c>
      <c r="H268" t="inlineStr">
        <is>
          <t>12 KG</t>
        </is>
      </c>
      <c r="I268" t="inlineStr">
        <is>
          <t>2027</t>
        </is>
      </c>
      <c r="J268" t="n">
        <v>2012</v>
      </c>
      <c r="K268" t="inlineStr">
        <is>
          <t>DICIEMBRE 2022</t>
        </is>
      </c>
      <c r="L268" t="inlineStr">
        <is>
          <t>DICIEMBRE 2023</t>
        </is>
      </c>
      <c r="M268" t="inlineStr">
        <is>
          <t>P.Q.S.  TIPO ABC AL 90% UL</t>
        </is>
      </c>
      <c r="N268" t="inlineStr">
        <is>
          <t>02/000267</t>
        </is>
      </c>
      <c r="O268" t="inlineStr">
        <is>
          <t>R</t>
        </is>
      </c>
      <c r="P268">
        <f>TRIM(N268)</f>
        <v/>
      </c>
    </row>
    <row r="269">
      <c r="A269" t="inlineStr">
        <is>
          <t>CO-001228</t>
        </is>
      </c>
      <c r="B269" t="inlineStr">
        <is>
          <t>LINDE PERU S.R.L. - YAULI</t>
        </is>
      </c>
      <c r="C269" t="inlineStr">
        <is>
          <t>20338570041</t>
        </is>
      </c>
      <c r="D269" t="inlineStr">
        <is>
          <t>CAR.CARRET.CENTRAL KM.9.5 Z.I. ZONA INDUSTRIAL(DESVIO HUACHIPA LURIGANCHO CHOSICA) LIMA LURIGANCHO</t>
        </is>
      </c>
      <c r="E269" t="inlineStr">
        <is>
          <t>Lima, 15 de Diciembre de 2022</t>
        </is>
      </c>
      <c r="F269" t="inlineStr">
        <is>
          <t>la Recarga y mantenimiento</t>
        </is>
      </c>
      <c r="G269" t="n">
        <v>3</v>
      </c>
      <c r="H269" t="inlineStr">
        <is>
          <t>12 KG</t>
        </is>
      </c>
      <c r="I269" t="inlineStr">
        <is>
          <t>2027</t>
        </is>
      </c>
      <c r="J269" t="n">
        <v>2011</v>
      </c>
      <c r="K269" t="inlineStr">
        <is>
          <t>DICIEMBRE 2022</t>
        </is>
      </c>
      <c r="L269" t="inlineStr">
        <is>
          <t>DICIEMBRE 2023</t>
        </is>
      </c>
      <c r="M269" t="inlineStr">
        <is>
          <t>P.Q.S.  TIPO ABC AL 90% UL</t>
        </is>
      </c>
      <c r="N269" t="inlineStr">
        <is>
          <t>03/000333</t>
        </is>
      </c>
      <c r="O269" t="inlineStr">
        <is>
          <t>R</t>
        </is>
      </c>
      <c r="P269">
        <f>TRIM(N269)</f>
        <v/>
      </c>
    </row>
    <row r="270">
      <c r="A270" t="inlineStr">
        <is>
          <t>CO-001228</t>
        </is>
      </c>
      <c r="B270" t="inlineStr">
        <is>
          <t>LINDE PERU S.R.L. - YAULI</t>
        </is>
      </c>
      <c r="C270" t="inlineStr">
        <is>
          <t>20338570041</t>
        </is>
      </c>
      <c r="D270" t="inlineStr">
        <is>
          <t>CAR.CARRET.CENTRAL KM.9.5 Z.I. ZONA INDUSTRIAL(DESVIO HUACHIPA LURIGANCHO CHOSICA) LIMA LURIGANCHO</t>
        </is>
      </c>
      <c r="E270" t="inlineStr">
        <is>
          <t>Lima, 15 de Diciembre de 2022</t>
        </is>
      </c>
      <c r="F270" t="inlineStr">
        <is>
          <t>la Recarga y mantenimiento</t>
        </is>
      </c>
      <c r="G270" t="n">
        <v>4</v>
      </c>
      <c r="H270" t="inlineStr">
        <is>
          <t>09 KG</t>
        </is>
      </c>
      <c r="I270" t="inlineStr">
        <is>
          <t>2027</t>
        </is>
      </c>
      <c r="J270" t="n">
        <v>2010</v>
      </c>
      <c r="K270" t="inlineStr">
        <is>
          <t>DICIEMBRE 2022</t>
        </is>
      </c>
      <c r="L270" t="inlineStr">
        <is>
          <t>DICIEMBRE 2023</t>
        </is>
      </c>
      <c r="M270" t="inlineStr">
        <is>
          <t>P.Q.S.  TIPO ABC AL 90% UL</t>
        </is>
      </c>
      <c r="N270" t="inlineStr">
        <is>
          <t>05/000006</t>
        </is>
      </c>
      <c r="O270" t="inlineStr">
        <is>
          <t>R</t>
        </is>
      </c>
      <c r="P270">
        <f>TRIM(N270)</f>
        <v/>
      </c>
    </row>
    <row r="271">
      <c r="A271" t="inlineStr">
        <is>
          <t>CO-001228</t>
        </is>
      </c>
      <c r="B271" t="inlineStr">
        <is>
          <t>LINDE PERU S.R.L. - YAULI</t>
        </is>
      </c>
      <c r="C271" t="inlineStr">
        <is>
          <t>20338570041</t>
        </is>
      </c>
      <c r="D271" t="inlineStr">
        <is>
          <t>CAR.CARRET.CENTRAL KM.9.5 Z.I. ZONA INDUSTRIAL(DESVIO HUACHIPA LURIGANCHO CHOSICA) LIMA LURIGANCHO</t>
        </is>
      </c>
      <c r="E271" t="inlineStr">
        <is>
          <t>Lima, 15 de Diciembre de 2022</t>
        </is>
      </c>
      <c r="F271" t="inlineStr">
        <is>
          <t>la Recarga y mantenimiento</t>
        </is>
      </c>
      <c r="G271" t="n">
        <v>5</v>
      </c>
      <c r="H271" t="inlineStr">
        <is>
          <t>12 KG</t>
        </is>
      </c>
      <c r="I271" t="inlineStr">
        <is>
          <t>2027</t>
        </is>
      </c>
      <c r="J271" t="n">
        <v>2019</v>
      </c>
      <c r="K271" t="inlineStr">
        <is>
          <t>DICIEMBRE 2022</t>
        </is>
      </c>
      <c r="L271" t="inlineStr">
        <is>
          <t>DICIEMBRE 2023</t>
        </is>
      </c>
      <c r="M271" t="inlineStr">
        <is>
          <t>P.Q.S.  TIPO ABC AL 90% UL</t>
        </is>
      </c>
      <c r="N271" t="inlineStr">
        <is>
          <t>07/000289</t>
        </is>
      </c>
      <c r="O271" t="inlineStr">
        <is>
          <t>R</t>
        </is>
      </c>
      <c r="P271">
        <f>TRIM(N271)</f>
        <v/>
      </c>
    </row>
    <row r="272">
      <c r="A272" t="inlineStr">
        <is>
          <t>CO-001229</t>
        </is>
      </c>
      <c r="B272" t="inlineStr">
        <is>
          <t>LINDE PERU S.R.L. - YAULI</t>
        </is>
      </c>
      <c r="C272" t="inlineStr">
        <is>
          <t>20338570041</t>
        </is>
      </c>
      <c r="D272" t="inlineStr">
        <is>
          <t>CAR.CARRET.CENTRAL KM.9.5 Z.I. ZONA INDUSTRIAL(DESVIO HUACHIPA LURIGANCHO CHOSICA) LIMA LURIGANCHO</t>
        </is>
      </c>
      <c r="E272" t="inlineStr">
        <is>
          <t>Lima, 15 de Diciembre de 2022</t>
        </is>
      </c>
      <c r="F272" t="inlineStr">
        <is>
          <t>la Recarga y mantenimiento</t>
        </is>
      </c>
      <c r="G272" t="inlineStr">
        <is>
          <t>-</t>
        </is>
      </c>
      <c r="H272" t="inlineStr">
        <is>
          <t>15 LBS</t>
        </is>
      </c>
      <c r="I272" t="inlineStr">
        <is>
          <t>2027</t>
        </is>
      </c>
      <c r="J272" t="n">
        <v>2008</v>
      </c>
      <c r="K272" t="inlineStr">
        <is>
          <t>DICIEMBRE 2022</t>
        </is>
      </c>
      <c r="L272" t="inlineStr">
        <is>
          <t>DICIEMBRE 2023</t>
        </is>
      </c>
      <c r="M272" t="inlineStr">
        <is>
          <t>CO2 /TIPO BC</t>
        </is>
      </c>
      <c r="N272" t="inlineStr">
        <is>
          <t>04/627123</t>
        </is>
      </c>
      <c r="O272" t="inlineStr">
        <is>
          <t>R</t>
        </is>
      </c>
      <c r="P272">
        <f>TRIM(N272)</f>
        <v/>
      </c>
    </row>
    <row r="273">
      <c r="A273" t="inlineStr">
        <is>
          <t>CO-001229</t>
        </is>
      </c>
      <c r="B273" t="inlineStr">
        <is>
          <t>LINDE PERU S.R.L. - YAULI</t>
        </is>
      </c>
      <c r="C273" t="inlineStr">
        <is>
          <t>20338570041</t>
        </is>
      </c>
      <c r="D273" t="inlineStr">
        <is>
          <t>CAR.CARRET.CENTRAL KM.9.5 Z.I. ZONA INDUSTRIAL(DESVIO HUACHIPA LURIGANCHO CHOSICA) LIMA LURIGANCHO</t>
        </is>
      </c>
      <c r="E273" t="inlineStr">
        <is>
          <t>Lima, 15 de Diciembre de 2022</t>
        </is>
      </c>
      <c r="F273" t="inlineStr">
        <is>
          <t>la Recarga y mantenimiento</t>
        </is>
      </c>
      <c r="G273" t="n">
        <v>2</v>
      </c>
      <c r="H273" t="inlineStr">
        <is>
          <t>10 LBS</t>
        </is>
      </c>
      <c r="I273" t="n">
        <v>2027</v>
      </c>
      <c r="J273" t="n">
        <v>2000</v>
      </c>
      <c r="K273" t="inlineStr">
        <is>
          <t>DICIEMBRE 2022</t>
        </is>
      </c>
      <c r="L273" t="inlineStr">
        <is>
          <t>DICIEMBRE 2023</t>
        </is>
      </c>
      <c r="M273" t="inlineStr">
        <is>
          <t>CO2 /TIPO BC</t>
        </is>
      </c>
      <c r="N273" t="inlineStr">
        <is>
          <t>06/700659</t>
        </is>
      </c>
      <c r="O273" t="inlineStr">
        <is>
          <t>R</t>
        </is>
      </c>
      <c r="P273">
        <f>TRIM(N273)</f>
        <v/>
      </c>
    </row>
    <row r="274">
      <c r="A274" t="inlineStr">
        <is>
          <t>CO-001230</t>
        </is>
      </c>
      <c r="B274" t="inlineStr">
        <is>
          <t>JOSE BERNABE HERNANDEZ DELGADO</t>
        </is>
      </c>
      <c r="C274" t="inlineStr">
        <is>
          <t>DNI: 08815648</t>
        </is>
      </c>
      <c r="D274" t="inlineStr">
        <is>
          <t>PLACA: BSL -501</t>
        </is>
      </c>
      <c r="E274" t="inlineStr">
        <is>
          <t>Lima, 26 de Diciembre de 2022</t>
        </is>
      </c>
      <c r="F274" t="inlineStr">
        <is>
          <t>la Recarga y mantenimiento</t>
        </is>
      </c>
      <c r="G274" t="inlineStr">
        <is>
          <t>-</t>
        </is>
      </c>
      <c r="H274" t="inlineStr">
        <is>
          <t>02 KG</t>
        </is>
      </c>
      <c r="I274" t="inlineStr">
        <is>
          <t>2025</t>
        </is>
      </c>
      <c r="J274" t="n">
        <v>2020</v>
      </c>
      <c r="K274" t="inlineStr">
        <is>
          <t>DICIEMBRE 2022</t>
        </is>
      </c>
      <c r="L274" t="inlineStr">
        <is>
          <t>DICIEMBRE 2023</t>
        </is>
      </c>
      <c r="M274" t="inlineStr">
        <is>
          <t xml:space="preserve">P.Q.S.  TIPO ABC </t>
        </is>
      </c>
      <c r="N274" t="inlineStr">
        <is>
          <t>01/000510</t>
        </is>
      </c>
      <c r="O274" t="inlineStr">
        <is>
          <t>R</t>
        </is>
      </c>
      <c r="P274">
        <f>TRIM(N274)</f>
        <v/>
      </c>
    </row>
    <row r="275">
      <c r="A275" t="inlineStr">
        <is>
          <t>CO-001231</t>
        </is>
      </c>
      <c r="B275" t="inlineStr">
        <is>
          <t>ANGEL MARIO LERMA MANUYAMA</t>
        </is>
      </c>
      <c r="C275" t="inlineStr">
        <is>
          <t>DNI: 42929522</t>
        </is>
      </c>
      <c r="D275" t="inlineStr">
        <is>
          <t>PLACA: D2Z-593</t>
        </is>
      </c>
      <c r="E275" t="inlineStr">
        <is>
          <t>Lima, 26 de Diciembre de 2022</t>
        </is>
      </c>
      <c r="F275" t="inlineStr">
        <is>
          <t>la Recarga y mantenimiento</t>
        </is>
      </c>
      <c r="G275" t="inlineStr">
        <is>
          <t>-</t>
        </is>
      </c>
      <c r="H275" t="inlineStr">
        <is>
          <t>02 KG</t>
        </is>
      </c>
      <c r="I275" t="inlineStr">
        <is>
          <t>2023</t>
        </is>
      </c>
      <c r="J275" t="n">
        <v>2018</v>
      </c>
      <c r="K275" t="inlineStr">
        <is>
          <t>DICIEMBRE 2022</t>
        </is>
      </c>
      <c r="L275" t="inlineStr">
        <is>
          <t>DICIEMBRE 2023</t>
        </is>
      </c>
      <c r="M275" t="inlineStr">
        <is>
          <t xml:space="preserve">P.Q.S.  TIPO ABC </t>
        </is>
      </c>
      <c r="N275" t="inlineStr">
        <is>
          <t>01/020658</t>
        </is>
      </c>
      <c r="O275" t="inlineStr">
        <is>
          <t>R</t>
        </is>
      </c>
      <c r="P275">
        <f>TRIM(N275)</f>
        <v/>
      </c>
    </row>
    <row r="276">
      <c r="A276" t="inlineStr">
        <is>
          <t>CO-001232</t>
        </is>
      </c>
      <c r="B276" t="inlineStr">
        <is>
          <t>EDILBERTO OMAR SUAREZ GIRON</t>
        </is>
      </c>
      <c r="C276" t="inlineStr">
        <is>
          <t>DNI: 45828288</t>
        </is>
      </c>
      <c r="D276" t="inlineStr">
        <is>
          <t>PLACA: C9N-094</t>
        </is>
      </c>
      <c r="E276" t="inlineStr">
        <is>
          <t>Lima, 27 de Diciembre de 2022</t>
        </is>
      </c>
      <c r="F276" t="inlineStr">
        <is>
          <t>la Recarga y mantenimiento</t>
        </is>
      </c>
      <c r="G276" t="inlineStr">
        <is>
          <t>-</t>
        </is>
      </c>
      <c r="H276" t="inlineStr">
        <is>
          <t>02 KG</t>
        </is>
      </c>
      <c r="I276" t="inlineStr">
        <is>
          <t>2025</t>
        </is>
      </c>
      <c r="J276" t="n">
        <v>2015</v>
      </c>
      <c r="K276" t="inlineStr">
        <is>
          <t>DICIEMBRE 2022</t>
        </is>
      </c>
      <c r="L276" t="inlineStr">
        <is>
          <t>DICIEMBRE 2023</t>
        </is>
      </c>
      <c r="M276" t="inlineStr">
        <is>
          <t xml:space="preserve">P.Q.S.  TIPO ABC </t>
        </is>
      </c>
      <c r="N276" t="inlineStr">
        <is>
          <t>01/008680</t>
        </is>
      </c>
      <c r="O276" t="inlineStr">
        <is>
          <t>R</t>
        </is>
      </c>
      <c r="P276">
        <f>TRIM(N276)</f>
        <v/>
      </c>
    </row>
    <row r="277">
      <c r="A277" t="inlineStr">
        <is>
          <t>CO-001233</t>
        </is>
      </c>
      <c r="B277" t="inlineStr">
        <is>
          <t xml:space="preserve">JOSE RODOLFO LEON GUTIERREZ </t>
        </is>
      </c>
      <c r="C277" t="inlineStr">
        <is>
          <t xml:space="preserve">DNI: 43177256 </t>
        </is>
      </c>
      <c r="D277" t="inlineStr">
        <is>
          <t>PLACA: BNH - 430</t>
        </is>
      </c>
      <c r="E277" t="inlineStr">
        <is>
          <t>Lima, 28 de Diciembre de 2022</t>
        </is>
      </c>
      <c r="F277" t="inlineStr">
        <is>
          <t>la Recarga y mantenimiento</t>
        </is>
      </c>
      <c r="G277" t="inlineStr">
        <is>
          <t>-</t>
        </is>
      </c>
      <c r="H277" t="inlineStr">
        <is>
          <t>02 KG</t>
        </is>
      </c>
      <c r="I277" t="inlineStr">
        <is>
          <t>2027</t>
        </is>
      </c>
      <c r="J277" t="inlineStr">
        <is>
          <t>2022</t>
        </is>
      </c>
      <c r="K277" t="inlineStr">
        <is>
          <t>DICIEMBRE 2022</t>
        </is>
      </c>
      <c r="L277" t="inlineStr">
        <is>
          <t>DICIEMBRE 2023</t>
        </is>
      </c>
      <c r="M277" t="inlineStr">
        <is>
          <t xml:space="preserve">P.Q.S.  TIPO ABC </t>
        </is>
      </c>
      <c r="N277" t="inlineStr">
        <is>
          <t>01/000454</t>
        </is>
      </c>
      <c r="O277" t="inlineStr">
        <is>
          <t>V</t>
        </is>
      </c>
      <c r="P277">
        <f>TRIM(N277)</f>
        <v/>
      </c>
    </row>
    <row r="278">
      <c r="A278" t="inlineStr">
        <is>
          <t>CO-001234</t>
        </is>
      </c>
      <c r="B278" t="inlineStr">
        <is>
          <t>LINDE PERU S.R.L.</t>
        </is>
      </c>
      <c r="C278" t="inlineStr">
        <is>
          <t>20338570041</t>
        </is>
      </c>
      <c r="D278" t="inlineStr">
        <is>
          <t>CAR.CARRET.CENTRAL KM.9.5 Z.I. ZONA INDUSTRIAL(DESVIO HUACHIPA LURIGANCHO CHOSICA) LIMA LURIGANCHO</t>
        </is>
      </c>
      <c r="E278" t="inlineStr">
        <is>
          <t>Lima, 30 de Diciembre de 2022</t>
        </is>
      </c>
      <c r="F278" t="inlineStr">
        <is>
          <t>la Recarga y mantenimiento</t>
        </is>
      </c>
      <c r="G278" t="inlineStr">
        <is>
          <t>-</t>
        </is>
      </c>
      <c r="H278" t="inlineStr">
        <is>
          <t>20 LBS</t>
        </is>
      </c>
      <c r="I278" t="inlineStr">
        <is>
          <t>2022</t>
        </is>
      </c>
      <c r="J278" t="inlineStr">
        <is>
          <t>2012</t>
        </is>
      </c>
      <c r="K278" t="inlineStr">
        <is>
          <t>DICIEMBRE 2022</t>
        </is>
      </c>
      <c r="L278" t="inlineStr">
        <is>
          <t>DICIEMBRE 2023</t>
        </is>
      </c>
      <c r="M278" t="inlineStr">
        <is>
          <t>CO2 /TIPO BC</t>
        </is>
      </c>
      <c r="N278" t="inlineStr">
        <is>
          <t>08 / U-465576</t>
        </is>
      </c>
      <c r="O278" t="inlineStr">
        <is>
          <t>R</t>
        </is>
      </c>
      <c r="P278">
        <f>TRIM(N278)</f>
        <v/>
      </c>
    </row>
    <row r="279">
      <c r="A279" t="inlineStr">
        <is>
          <t>CO-001235</t>
        </is>
      </c>
      <c r="B279" t="inlineStr">
        <is>
          <t>JIMMY RAUL VILLACORTA BELTRAN</t>
        </is>
      </c>
      <c r="C279" t="inlineStr">
        <is>
          <t>DNI: 40266817</t>
        </is>
      </c>
      <c r="D279" t="inlineStr">
        <is>
          <t>PLACA: BJW-319</t>
        </is>
      </c>
      <c r="E279" t="inlineStr">
        <is>
          <t>Lima, 02 de Enero de 2023</t>
        </is>
      </c>
      <c r="F279" t="inlineStr">
        <is>
          <t>la Recarga y mantenimiento</t>
        </is>
      </c>
      <c r="G279" t="inlineStr">
        <is>
          <t>-</t>
        </is>
      </c>
      <c r="H279" t="inlineStr">
        <is>
          <t>02 KG</t>
        </is>
      </c>
      <c r="I279" t="inlineStr">
        <is>
          <t>2024</t>
        </is>
      </c>
      <c r="J279" t="n">
        <v>2019</v>
      </c>
      <c r="K279" t="inlineStr">
        <is>
          <t>ENERO 2023</t>
        </is>
      </c>
      <c r="L279" t="inlineStr">
        <is>
          <t>ENERO 2024</t>
        </is>
      </c>
      <c r="M279" t="inlineStr">
        <is>
          <t xml:space="preserve">P.Q.S.  TIPO ABC </t>
        </is>
      </c>
      <c r="N279" t="inlineStr">
        <is>
          <t>01/000254</t>
        </is>
      </c>
      <c r="O279" t="inlineStr">
        <is>
          <t>R</t>
        </is>
      </c>
      <c r="P279">
        <f>TRIM(N279)</f>
        <v/>
      </c>
    </row>
    <row r="280">
      <c r="A280" t="inlineStr">
        <is>
          <t>CO-001236</t>
        </is>
      </c>
      <c r="B280" t="inlineStr">
        <is>
          <t>JORGE LUIS RAMIREZ QUISPE</t>
        </is>
      </c>
      <c r="C280" t="inlineStr">
        <is>
          <t>DNI:  09973900</t>
        </is>
      </c>
      <c r="D280" t="inlineStr">
        <is>
          <t>PLACA: AEZ - 491</t>
        </is>
      </c>
      <c r="E280" t="inlineStr">
        <is>
          <t>Lima, 03 de Enero de 2023</t>
        </is>
      </c>
      <c r="F280" t="inlineStr">
        <is>
          <t>la Recarga y mantenimiento</t>
        </is>
      </c>
      <c r="G280" t="inlineStr">
        <is>
          <t>-</t>
        </is>
      </c>
      <c r="H280" t="inlineStr">
        <is>
          <t>02 KG</t>
        </is>
      </c>
      <c r="I280" t="inlineStr">
        <is>
          <t>VIGENTE</t>
        </is>
      </c>
      <c r="J280" t="n">
        <v>2007</v>
      </c>
      <c r="K280" t="inlineStr">
        <is>
          <t>ENERO 2023</t>
        </is>
      </c>
      <c r="L280" t="inlineStr">
        <is>
          <t>ENERO 2024</t>
        </is>
      </c>
      <c r="M280" t="inlineStr">
        <is>
          <t xml:space="preserve">P.Q.S.  TIPO ABC </t>
        </is>
      </c>
      <c r="N280" t="inlineStr">
        <is>
          <t>01/001104</t>
        </is>
      </c>
      <c r="O280" t="inlineStr">
        <is>
          <t>R</t>
        </is>
      </c>
      <c r="P280">
        <f>TRIM(N280)</f>
        <v/>
      </c>
    </row>
    <row r="281">
      <c r="A281" t="inlineStr">
        <is>
          <t>CO-001237</t>
        </is>
      </c>
      <c r="B281" t="inlineStr">
        <is>
          <t>FERRETERIA FERRENORT DE: RUBEN BELLIDO</t>
        </is>
      </c>
      <c r="D281" t="inlineStr">
        <is>
          <t>CA. 4 MZ. P LT. 40 URB. ENACE - CARABAYLLO</t>
        </is>
      </c>
      <c r="E281" t="inlineStr">
        <is>
          <t>Lima, 03 de Enero de 2023</t>
        </is>
      </c>
      <c r="F281" t="inlineStr">
        <is>
          <t>la Recarga y mantenimiento</t>
        </is>
      </c>
      <c r="G281" t="inlineStr">
        <is>
          <t>-</t>
        </is>
      </c>
      <c r="H281" t="inlineStr">
        <is>
          <t>06 KG</t>
        </is>
      </c>
      <c r="I281" t="inlineStr">
        <is>
          <t>2024</t>
        </is>
      </c>
      <c r="J281" t="n">
        <v>2006</v>
      </c>
      <c r="K281" t="inlineStr">
        <is>
          <t>ENERO 2023</t>
        </is>
      </c>
      <c r="L281" t="inlineStr">
        <is>
          <t>ENERO 2024</t>
        </is>
      </c>
      <c r="M281" t="inlineStr">
        <is>
          <t xml:space="preserve">P.Q.S.  TIPO ABC </t>
        </is>
      </c>
      <c r="N281" t="inlineStr">
        <is>
          <t>01/005779</t>
        </is>
      </c>
      <c r="O281" t="inlineStr">
        <is>
          <t>R</t>
        </is>
      </c>
      <c r="P281">
        <f>TRIM(N281)</f>
        <v/>
      </c>
    </row>
    <row r="282">
      <c r="A282" t="inlineStr">
        <is>
          <t>CO-001238</t>
        </is>
      </c>
      <c r="B282" t="inlineStr">
        <is>
          <t>ACADEMIA DE INGLES "SPECTRUM" DE: MANUEL HUMBERTO ACEVEDO RODRIGUEZ</t>
        </is>
      </c>
      <c r="D282" t="inlineStr">
        <is>
          <t>JR. LOS JAZMINES N°275 URB. SANTA ISABEL - CARABAYLLO</t>
        </is>
      </c>
      <c r="E282" t="inlineStr">
        <is>
          <t>Lima, 03 de Enero de 2023</t>
        </is>
      </c>
      <c r="F282" t="inlineStr">
        <is>
          <t>la Recarga y mantenimiento</t>
        </is>
      </c>
      <c r="G282" t="inlineStr">
        <is>
          <t>-</t>
        </is>
      </c>
      <c r="H282" t="inlineStr">
        <is>
          <t>06 KG</t>
        </is>
      </c>
      <c r="I282" t="inlineStr">
        <is>
          <t>2026</t>
        </is>
      </c>
      <c r="J282" t="inlineStr">
        <is>
          <t>2016</t>
        </is>
      </c>
      <c r="K282" t="inlineStr">
        <is>
          <t>ENERO 2023</t>
        </is>
      </c>
      <c r="L282" t="inlineStr">
        <is>
          <t>ENERO 2024</t>
        </is>
      </c>
      <c r="M282" t="inlineStr">
        <is>
          <t xml:space="preserve">P.Q.S.  TIPO ABC </t>
        </is>
      </c>
      <c r="N282" t="inlineStr">
        <is>
          <t>01/020565</t>
        </is>
      </c>
      <c r="O282" t="inlineStr">
        <is>
          <t>R</t>
        </is>
      </c>
      <c r="P282">
        <f>TRIM(N282)</f>
        <v/>
      </c>
    </row>
    <row r="283">
      <c r="A283" t="inlineStr">
        <is>
          <t>CO-001239</t>
        </is>
      </c>
      <c r="B283" t="inlineStr">
        <is>
          <t xml:space="preserve">LIBRERÍA BAZAR REGALOS A&amp;E DE:  PUMA MALDONADO ELSA HERMELINDA </t>
        </is>
      </c>
      <c r="C283" t="n">
        <v>10239341654</v>
      </c>
      <c r="D283" t="inlineStr">
        <is>
          <t xml:space="preserve">JR. LOS MERMBRILLOS N° 253 ASOC. PROP. EL ROBLE - COMAS </t>
        </is>
      </c>
      <c r="E283" t="inlineStr">
        <is>
          <t>Lima, 04 de Enero de 2023</t>
        </is>
      </c>
      <c r="F283" t="inlineStr">
        <is>
          <t>la Recarga y mantenimiento</t>
        </is>
      </c>
      <c r="G283" t="inlineStr">
        <is>
          <t>-</t>
        </is>
      </c>
      <c r="H283" t="inlineStr">
        <is>
          <t>06 KG</t>
        </is>
      </c>
      <c r="I283" t="inlineStr">
        <is>
          <t>2025</t>
        </is>
      </c>
      <c r="J283" t="n">
        <v>2020</v>
      </c>
      <c r="K283" t="inlineStr">
        <is>
          <t>ENERO 2023</t>
        </is>
      </c>
      <c r="L283" t="inlineStr">
        <is>
          <t>ENERO 2024</t>
        </is>
      </c>
      <c r="M283" t="inlineStr">
        <is>
          <t xml:space="preserve">P.Q.S.  TIPO ABC </t>
        </is>
      </c>
      <c r="N283" t="inlineStr">
        <is>
          <t>01/251984</t>
        </is>
      </c>
      <c r="O283" t="inlineStr">
        <is>
          <t>R</t>
        </is>
      </c>
      <c r="P283">
        <f>TRIM(N283)</f>
        <v/>
      </c>
    </row>
    <row r="284">
      <c r="A284" t="inlineStr">
        <is>
          <t>CO-001240</t>
        </is>
      </c>
      <c r="B284" t="inlineStr">
        <is>
          <t>WILLIAM DEMETRIO PANTA RODRIGUEZ</t>
        </is>
      </c>
      <c r="C284" t="inlineStr">
        <is>
          <t>DNI: 15292861</t>
        </is>
      </c>
      <c r="D284" t="inlineStr">
        <is>
          <t>PLACA: B2I - 615</t>
        </is>
      </c>
      <c r="E284" t="inlineStr">
        <is>
          <t>Lima, 05 de Enero de 2023</t>
        </is>
      </c>
      <c r="F284" t="inlineStr">
        <is>
          <t>la Recarga y mantenimiento</t>
        </is>
      </c>
      <c r="G284" t="inlineStr">
        <is>
          <t>-</t>
        </is>
      </c>
      <c r="H284" t="inlineStr">
        <is>
          <t>02 KG</t>
        </is>
      </c>
      <c r="I284" t="inlineStr">
        <is>
          <t>VIGENTE</t>
        </is>
      </c>
      <c r="J284" t="inlineStr">
        <is>
          <t>2009</t>
        </is>
      </c>
      <c r="K284" t="inlineStr">
        <is>
          <t>ENERO 2023</t>
        </is>
      </c>
      <c r="L284" t="inlineStr">
        <is>
          <t>ENERO 2024</t>
        </is>
      </c>
      <c r="M284" t="inlineStr">
        <is>
          <t xml:space="preserve">P.Q.S.  TIPO ABC </t>
        </is>
      </c>
      <c r="N284" t="inlineStr">
        <is>
          <t>01/000707</t>
        </is>
      </c>
      <c r="O284" t="inlineStr">
        <is>
          <t>R</t>
        </is>
      </c>
      <c r="P284">
        <f>TRIM(N284)</f>
        <v/>
      </c>
    </row>
    <row r="285">
      <c r="A285" t="inlineStr">
        <is>
          <t>CO-001241</t>
        </is>
      </c>
      <c r="B285" t="inlineStr">
        <is>
          <t>JUAN MARTIRES SILVA PINEDO</t>
        </is>
      </c>
      <c r="C285" t="inlineStr">
        <is>
          <t>DNI: 06911354</t>
        </is>
      </c>
      <c r="D285" t="inlineStr">
        <is>
          <t>PLACA: BMH-153</t>
        </is>
      </c>
      <c r="E285" t="inlineStr">
        <is>
          <t>Lima, 05 de Enero de 2023</t>
        </is>
      </c>
      <c r="F285" t="inlineStr">
        <is>
          <t>la Recarga y mantenimiento</t>
        </is>
      </c>
      <c r="G285" t="inlineStr">
        <is>
          <t>-</t>
        </is>
      </c>
      <c r="H285" t="inlineStr">
        <is>
          <t>02 KG</t>
        </is>
      </c>
      <c r="I285" t="inlineStr">
        <is>
          <t>VIGENTE</t>
        </is>
      </c>
      <c r="J285" t="n">
        <v>2012</v>
      </c>
      <c r="K285" t="inlineStr">
        <is>
          <t>ENERO 2023</t>
        </is>
      </c>
      <c r="L285" t="inlineStr">
        <is>
          <t>ENERO 2024</t>
        </is>
      </c>
      <c r="M285" t="inlineStr">
        <is>
          <t xml:space="preserve">P.Q.S.  TIPO ABC </t>
        </is>
      </c>
      <c r="N285" t="inlineStr">
        <is>
          <t>01/1001005</t>
        </is>
      </c>
      <c r="O285" t="inlineStr">
        <is>
          <t>R</t>
        </is>
      </c>
      <c r="P285">
        <f>TRIM(N285)</f>
        <v/>
      </c>
    </row>
    <row r="286">
      <c r="A286" t="inlineStr">
        <is>
          <t>CO-001242</t>
        </is>
      </c>
      <c r="B286" t="inlineStr">
        <is>
          <t>ASOCIACIÓN COMERCIAL MERCADO 1° DE MAYO - 4° ZONA COLLIQUE</t>
        </is>
      </c>
      <c r="D286" t="inlineStr">
        <is>
          <t>AV. REVOLUCION CDRA. 28 NRO. S/N COLLIQUE 4TA ZONA - COMAS</t>
        </is>
      </c>
      <c r="E286" t="inlineStr">
        <is>
          <t>Lima, 05 de Enero de 2023</t>
        </is>
      </c>
      <c r="F286" t="inlineStr">
        <is>
          <t>la Recarga y mantenimiento</t>
        </is>
      </c>
      <c r="G286" t="inlineStr">
        <is>
          <t>01</t>
        </is>
      </c>
      <c r="H286" t="inlineStr">
        <is>
          <t>12 KG</t>
        </is>
      </c>
      <c r="I286" t="inlineStr">
        <is>
          <t>2022</t>
        </is>
      </c>
      <c r="J286" t="inlineStr">
        <is>
          <t>2011</t>
        </is>
      </c>
      <c r="K286" t="inlineStr">
        <is>
          <t>ENERO 2023</t>
        </is>
      </c>
      <c r="L286" t="inlineStr">
        <is>
          <t>ENERO 2024</t>
        </is>
      </c>
      <c r="M286" t="inlineStr">
        <is>
          <t xml:space="preserve">P.Q.S.  TIPO ABC </t>
        </is>
      </c>
      <c r="N286" t="inlineStr">
        <is>
          <t>1er. PISO / 000670</t>
        </is>
      </c>
      <c r="O286" t="inlineStr">
        <is>
          <t>R</t>
        </is>
      </c>
      <c r="P286">
        <f>TRIM(N286)</f>
        <v/>
      </c>
    </row>
    <row r="287">
      <c r="A287" t="inlineStr">
        <is>
          <t>CO-001242</t>
        </is>
      </c>
      <c r="B287" t="inlineStr">
        <is>
          <t>ASOCIACIÓN COMERCIAL MERCADO 1° DE MAYO - 4° ZONA COLLIQUE</t>
        </is>
      </c>
      <c r="D287" t="inlineStr">
        <is>
          <t>AV. REVOLUCION CDRA. 28 NRO. S/N COLLIQUE 4TA ZONA - COMAS</t>
        </is>
      </c>
      <c r="E287" t="inlineStr">
        <is>
          <t>Lima, 05 de Enero de 2023</t>
        </is>
      </c>
      <c r="F287" t="inlineStr">
        <is>
          <t>la Recarga y mantenimiento</t>
        </is>
      </c>
      <c r="G287" t="inlineStr">
        <is>
          <t>02</t>
        </is>
      </c>
      <c r="H287" t="inlineStr">
        <is>
          <t>12 KG</t>
        </is>
      </c>
      <c r="I287" t="inlineStr">
        <is>
          <t>2022</t>
        </is>
      </c>
      <c r="J287" t="n">
        <v>2011</v>
      </c>
      <c r="K287" t="inlineStr">
        <is>
          <t>ENERO 2023</t>
        </is>
      </c>
      <c r="L287" t="inlineStr">
        <is>
          <t>ENERO 2024</t>
        </is>
      </c>
      <c r="M287" t="inlineStr">
        <is>
          <t xml:space="preserve">P.Q.S.  TIPO ABC </t>
        </is>
      </c>
      <c r="N287" t="inlineStr">
        <is>
          <t>1er. PISO / 000719</t>
        </is>
      </c>
      <c r="O287" t="inlineStr">
        <is>
          <t>R</t>
        </is>
      </c>
      <c r="P287">
        <f>TRIM(N287)</f>
        <v/>
      </c>
    </row>
    <row r="288">
      <c r="A288" t="inlineStr">
        <is>
          <t>CO-001242</t>
        </is>
      </c>
      <c r="B288" t="inlineStr">
        <is>
          <t>ASOCIACIÓN COMERCIAL MERCADO 1° DE MAYO - 4° ZONA COLLIQUE</t>
        </is>
      </c>
      <c r="D288" t="inlineStr">
        <is>
          <t>AV. REVOLUCION CDRA. 28 NRO. S/N COLLIQUE 4TA ZONA - COMAS</t>
        </is>
      </c>
      <c r="E288" t="inlineStr">
        <is>
          <t>Lima, 05 de Enero de 2023</t>
        </is>
      </c>
      <c r="F288" t="inlineStr">
        <is>
          <t>la Recarga y mantenimiento</t>
        </is>
      </c>
      <c r="G288" t="inlineStr">
        <is>
          <t>03</t>
        </is>
      </c>
      <c r="H288" t="inlineStr">
        <is>
          <t>12 KG</t>
        </is>
      </c>
      <c r="I288" t="inlineStr">
        <is>
          <t>2022</t>
        </is>
      </c>
      <c r="J288" t="inlineStr">
        <is>
          <t>2011</t>
        </is>
      </c>
      <c r="K288" t="inlineStr">
        <is>
          <t>ENERO 2023</t>
        </is>
      </c>
      <c r="L288" t="inlineStr">
        <is>
          <t>ENERO 2024</t>
        </is>
      </c>
      <c r="M288" t="inlineStr">
        <is>
          <t xml:space="preserve">P.Q.S.  TIPO ABC </t>
        </is>
      </c>
      <c r="N288" t="inlineStr">
        <is>
          <t>1er. PISO / 000801</t>
        </is>
      </c>
      <c r="O288" t="inlineStr">
        <is>
          <t>R</t>
        </is>
      </c>
      <c r="P288">
        <f>TRIM(N288)</f>
        <v/>
      </c>
    </row>
    <row r="289">
      <c r="A289" t="inlineStr">
        <is>
          <t>CO-001242</t>
        </is>
      </c>
      <c r="B289" t="inlineStr">
        <is>
          <t>ASOCIACIÓN COMERCIAL MERCADO 1° DE MAYO - 4° ZONA COLLIQUE</t>
        </is>
      </c>
      <c r="D289" t="inlineStr">
        <is>
          <t>AV. REVOLUCION CDRA. 28 NRO. S/N COLLIQUE 4TA ZONA - COMAS</t>
        </is>
      </c>
      <c r="E289" t="inlineStr">
        <is>
          <t>Lima, 05 de Enero de 2023</t>
        </is>
      </c>
      <c r="F289" t="inlineStr">
        <is>
          <t>la Recarga y mantenimiento</t>
        </is>
      </c>
      <c r="G289" t="inlineStr">
        <is>
          <t>04</t>
        </is>
      </c>
      <c r="H289" t="inlineStr">
        <is>
          <t>12 KG</t>
        </is>
      </c>
      <c r="I289" t="inlineStr">
        <is>
          <t>2022</t>
        </is>
      </c>
      <c r="J289" t="n">
        <v>2011</v>
      </c>
      <c r="K289" t="inlineStr">
        <is>
          <t>ENERO 2023</t>
        </is>
      </c>
      <c r="L289" t="inlineStr">
        <is>
          <t>ENERO 2024</t>
        </is>
      </c>
      <c r="M289" t="inlineStr">
        <is>
          <t xml:space="preserve">P.Q.S.  TIPO ABC </t>
        </is>
      </c>
      <c r="N289" t="inlineStr">
        <is>
          <t>1er. PISO / 000388</t>
        </is>
      </c>
      <c r="O289" t="inlineStr">
        <is>
          <t>R</t>
        </is>
      </c>
      <c r="P289">
        <f>TRIM(N289)</f>
        <v/>
      </c>
    </row>
    <row r="290">
      <c r="A290" t="inlineStr">
        <is>
          <t>CO-001242</t>
        </is>
      </c>
      <c r="B290" t="inlineStr">
        <is>
          <t>ASOCIACIÓN COMERCIAL MERCADO 1° DE MAYO - 4° ZONA COLLIQUE</t>
        </is>
      </c>
      <c r="D290" t="inlineStr">
        <is>
          <t>AV. REVOLUCION CDRA. 28 NRO. S/N COLLIQUE 4TA ZONA - COMAS</t>
        </is>
      </c>
      <c r="E290" t="inlineStr">
        <is>
          <t>Lima, 05 de Enero de 2023</t>
        </is>
      </c>
      <c r="F290" t="inlineStr">
        <is>
          <t>la Recarga y mantenimiento</t>
        </is>
      </c>
      <c r="G290" t="inlineStr">
        <is>
          <t>05</t>
        </is>
      </c>
      <c r="H290" t="inlineStr">
        <is>
          <t>12 KG</t>
        </is>
      </c>
      <c r="I290" t="inlineStr">
        <is>
          <t>2022</t>
        </is>
      </c>
      <c r="J290" t="inlineStr">
        <is>
          <t>2015</t>
        </is>
      </c>
      <c r="K290" t="inlineStr">
        <is>
          <t>ENERO 2023</t>
        </is>
      </c>
      <c r="L290" t="inlineStr">
        <is>
          <t>ENERO 2024</t>
        </is>
      </c>
      <c r="M290" t="inlineStr">
        <is>
          <t xml:space="preserve">P.Q.S.  TIPO ABC </t>
        </is>
      </c>
      <c r="N290" t="inlineStr">
        <is>
          <t>2 do. PISO / 000067</t>
        </is>
      </c>
      <c r="O290" t="inlineStr">
        <is>
          <t>R</t>
        </is>
      </c>
      <c r="P290">
        <f>TRIM(N290)</f>
        <v/>
      </c>
    </row>
    <row r="291">
      <c r="A291" t="inlineStr">
        <is>
          <t>CO-001242</t>
        </is>
      </c>
      <c r="B291" t="inlineStr">
        <is>
          <t>ASOCIACIÓN COMERCIAL MERCADO 1° DE MAYO - 4° ZONA COLLIQUE</t>
        </is>
      </c>
      <c r="D291" t="inlineStr">
        <is>
          <t>AV. REVOLUCION CDRA. 28 NRO. S/N COLLIQUE 4TA ZONA - COMAS</t>
        </is>
      </c>
      <c r="E291" t="inlineStr">
        <is>
          <t>Lima, 05 de Enero de 2023</t>
        </is>
      </c>
      <c r="F291" t="inlineStr">
        <is>
          <t>la Recarga y mantenimiento</t>
        </is>
      </c>
      <c r="G291" t="inlineStr">
        <is>
          <t>06</t>
        </is>
      </c>
      <c r="H291" t="inlineStr">
        <is>
          <t>12 KG</t>
        </is>
      </c>
      <c r="I291" t="inlineStr">
        <is>
          <t>2022</t>
        </is>
      </c>
      <c r="J291" t="inlineStr">
        <is>
          <t>2015</t>
        </is>
      </c>
      <c r="K291" t="inlineStr">
        <is>
          <t>ENERO 2023</t>
        </is>
      </c>
      <c r="L291" t="inlineStr">
        <is>
          <t>ENERO 2024</t>
        </is>
      </c>
      <c r="M291" t="inlineStr">
        <is>
          <t xml:space="preserve">P.Q.S.  TIPO ABC </t>
        </is>
      </c>
      <c r="N291" t="inlineStr">
        <is>
          <t>2 do. PISO / 000155</t>
        </is>
      </c>
      <c r="O291" t="inlineStr">
        <is>
          <t>R</t>
        </is>
      </c>
      <c r="P291">
        <f>TRIM(N291)</f>
        <v/>
      </c>
    </row>
    <row r="292">
      <c r="A292" t="inlineStr">
        <is>
          <t>CO-001242</t>
        </is>
      </c>
      <c r="B292" t="inlineStr">
        <is>
          <t>ASOCIACIÓN COMERCIAL MERCADO 1° DE MAYO - 4° ZONA COLLIQUE</t>
        </is>
      </c>
      <c r="D292" t="inlineStr">
        <is>
          <t>AV. REVOLUCION CDRA. 28 NRO. S/N COLLIQUE 4TA ZONA - COMAS</t>
        </is>
      </c>
      <c r="E292" t="inlineStr">
        <is>
          <t>Lima, 05 de Enero de 2023</t>
        </is>
      </c>
      <c r="F292" t="inlineStr">
        <is>
          <t>la Recarga y mantenimiento</t>
        </is>
      </c>
      <c r="G292" t="inlineStr">
        <is>
          <t>07</t>
        </is>
      </c>
      <c r="H292" t="inlineStr">
        <is>
          <t>12 KG</t>
        </is>
      </c>
      <c r="I292" t="inlineStr">
        <is>
          <t>2022</t>
        </is>
      </c>
      <c r="J292" t="inlineStr">
        <is>
          <t>2015</t>
        </is>
      </c>
      <c r="K292" t="inlineStr">
        <is>
          <t>ENERO 2023</t>
        </is>
      </c>
      <c r="L292" t="inlineStr">
        <is>
          <t>ENERO 2024</t>
        </is>
      </c>
      <c r="M292" t="inlineStr">
        <is>
          <t xml:space="preserve">P.Q.S.  TIPO ABC </t>
        </is>
      </c>
      <c r="N292" t="inlineStr">
        <is>
          <t>2 do. PISO / 000286</t>
        </is>
      </c>
      <c r="O292" t="inlineStr">
        <is>
          <t>R</t>
        </is>
      </c>
      <c r="P292">
        <f>TRIM(N292)</f>
        <v/>
      </c>
    </row>
    <row r="293">
      <c r="A293" t="inlineStr">
        <is>
          <t>CO-001242</t>
        </is>
      </c>
      <c r="B293" t="inlineStr">
        <is>
          <t>ASOCIACIÓN COMERCIAL MERCADO 1° DE MAYO - 4° ZONA COLLIQUE</t>
        </is>
      </c>
      <c r="D293" t="inlineStr">
        <is>
          <t>AV. REVOLUCION CDRA. 28 NRO. S/N COLLIQUE 4TA ZONA - COMAS</t>
        </is>
      </c>
      <c r="E293" t="inlineStr">
        <is>
          <t>Lima, 05 de Enero de 2023</t>
        </is>
      </c>
      <c r="F293" t="inlineStr">
        <is>
          <t>la Recarga y mantenimiento</t>
        </is>
      </c>
      <c r="G293" t="inlineStr">
        <is>
          <t>08</t>
        </is>
      </c>
      <c r="H293" t="inlineStr">
        <is>
          <t>12 KG</t>
        </is>
      </c>
      <c r="I293" t="inlineStr">
        <is>
          <t>2022</t>
        </is>
      </c>
      <c r="J293" t="n">
        <v>2017</v>
      </c>
      <c r="K293" t="inlineStr">
        <is>
          <t>ENERO 2023</t>
        </is>
      </c>
      <c r="L293" t="inlineStr">
        <is>
          <t>ENERO 2024</t>
        </is>
      </c>
      <c r="M293" t="inlineStr">
        <is>
          <t xml:space="preserve">P.Q.S.  TIPO ABC </t>
        </is>
      </c>
      <c r="N293" t="inlineStr">
        <is>
          <t>2 do. PISO / 001855</t>
        </is>
      </c>
      <c r="O293" t="inlineStr">
        <is>
          <t>R</t>
        </is>
      </c>
      <c r="P293">
        <f>TRIM(N293)</f>
        <v/>
      </c>
    </row>
    <row r="294">
      <c r="A294" t="inlineStr">
        <is>
          <t>CO-001242</t>
        </is>
      </c>
      <c r="B294" t="inlineStr">
        <is>
          <t>ASOCIACIÓN COMERCIAL MERCADO 1° DE MAYO - 4° ZONA COLLIQUE</t>
        </is>
      </c>
      <c r="D294" t="inlineStr">
        <is>
          <t>AV. REVOLUCION CDRA. 28 NRO. S/N COLLIQUE 4TA ZONA - COMAS</t>
        </is>
      </c>
      <c r="E294" t="inlineStr">
        <is>
          <t>Lima, 05 de Enero de 2023</t>
        </is>
      </c>
      <c r="F294" t="inlineStr">
        <is>
          <t>la Recarga y mantenimiento</t>
        </is>
      </c>
      <c r="G294" t="inlineStr">
        <is>
          <t>09</t>
        </is>
      </c>
      <c r="H294" t="inlineStr">
        <is>
          <t>12 KG</t>
        </is>
      </c>
      <c r="I294" t="inlineStr">
        <is>
          <t>2022</t>
        </is>
      </c>
      <c r="J294" t="inlineStr">
        <is>
          <t>2009</t>
        </is>
      </c>
      <c r="K294" t="inlineStr">
        <is>
          <t>ENERO 2023</t>
        </is>
      </c>
      <c r="L294" t="inlineStr">
        <is>
          <t>ENERO 2024</t>
        </is>
      </c>
      <c r="M294" t="inlineStr">
        <is>
          <t xml:space="preserve">P.Q.S.  TIPO ABC </t>
        </is>
      </c>
      <c r="N294" t="inlineStr">
        <is>
          <t>2 do. PISO / 000272</t>
        </is>
      </c>
      <c r="O294" t="inlineStr">
        <is>
          <t>R</t>
        </is>
      </c>
      <c r="P294">
        <f>TRIM(N294)</f>
        <v/>
      </c>
    </row>
    <row r="295">
      <c r="A295" t="inlineStr">
        <is>
          <t>CO-001242</t>
        </is>
      </c>
      <c r="B295" t="inlineStr">
        <is>
          <t>ASOCIACIÓN COMERCIAL MERCADO 1° DE MAYO - 4° ZONA COLLIQUE</t>
        </is>
      </c>
      <c r="D295" t="inlineStr">
        <is>
          <t>AV. REVOLUCION CDRA. 28 NRO. S/N COLLIQUE 4TA ZONA - COMAS</t>
        </is>
      </c>
      <c r="E295" t="inlineStr">
        <is>
          <t>Lima, 05 de Enero de 2023</t>
        </is>
      </c>
      <c r="F295" t="inlineStr">
        <is>
          <t>la Recarga y mantenimiento</t>
        </is>
      </c>
      <c r="G295" t="inlineStr">
        <is>
          <t>10</t>
        </is>
      </c>
      <c r="H295" t="inlineStr">
        <is>
          <t>12 KG</t>
        </is>
      </c>
      <c r="I295" t="inlineStr">
        <is>
          <t>2022</t>
        </is>
      </c>
      <c r="J295" t="n">
        <v>2017</v>
      </c>
      <c r="K295" t="inlineStr">
        <is>
          <t>ENERO 2023</t>
        </is>
      </c>
      <c r="L295" t="inlineStr">
        <is>
          <t>ENERO 2024</t>
        </is>
      </c>
      <c r="M295" t="inlineStr">
        <is>
          <t xml:space="preserve">P.Q.S.  TIPO ABC </t>
        </is>
      </c>
      <c r="N295" t="inlineStr">
        <is>
          <t>Sotano/000061</t>
        </is>
      </c>
      <c r="O295" t="inlineStr">
        <is>
          <t>R</t>
        </is>
      </c>
      <c r="P295">
        <f>TRIM(N295)</f>
        <v/>
      </c>
    </row>
    <row r="296">
      <c r="A296" t="inlineStr">
        <is>
          <t>CO-001243</t>
        </is>
      </c>
      <c r="B296" t="inlineStr">
        <is>
          <t>JORGE LUIS ROJAS LOPEZ</t>
        </is>
      </c>
      <c r="C296" t="inlineStr">
        <is>
          <t>DNI: 09473152</t>
        </is>
      </c>
      <c r="D296" t="inlineStr">
        <is>
          <t>PLACA: F0Z - 429</t>
        </is>
      </c>
      <c r="E296" t="inlineStr">
        <is>
          <t>Lima, 06 de Enero de 2023</t>
        </is>
      </c>
      <c r="F296" t="inlineStr">
        <is>
          <t>la Recarga y mantenimiento</t>
        </is>
      </c>
      <c r="G296" t="inlineStr">
        <is>
          <t>-</t>
        </is>
      </c>
      <c r="H296" t="inlineStr">
        <is>
          <t xml:space="preserve">02 KG </t>
        </is>
      </c>
      <c r="I296" t="inlineStr">
        <is>
          <t>VIGENTE</t>
        </is>
      </c>
      <c r="J296" t="n">
        <v>2018</v>
      </c>
      <c r="K296" t="inlineStr">
        <is>
          <t>ENERO 2023</t>
        </is>
      </c>
      <c r="L296" t="inlineStr">
        <is>
          <t>ENERO 2024</t>
        </is>
      </c>
      <c r="M296" t="inlineStr">
        <is>
          <t xml:space="preserve">P.Q.S.  TIPO ABC </t>
        </is>
      </c>
      <c r="N296" t="inlineStr">
        <is>
          <t>01/023266</t>
        </is>
      </c>
      <c r="O296" t="inlineStr">
        <is>
          <t>R</t>
        </is>
      </c>
      <c r="P296">
        <f>TRIM(N296)</f>
        <v/>
      </c>
    </row>
    <row r="297">
      <c r="A297" t="inlineStr">
        <is>
          <t>CO-001244</t>
        </is>
      </c>
      <c r="B297" t="inlineStr">
        <is>
          <t>PROSPERA HOCES</t>
        </is>
      </c>
      <c r="D297" t="inlineStr">
        <is>
          <t>MERCADO 1RO DE MAYO - PUESTO 08 2do. Piso</t>
        </is>
      </c>
      <c r="E297" t="inlineStr">
        <is>
          <t>Lima, 10 de Enero de 2023</t>
        </is>
      </c>
      <c r="F297" t="inlineStr">
        <is>
          <t>la Recarga y mantenimiento</t>
        </is>
      </c>
      <c r="G297" t="inlineStr">
        <is>
          <t>-</t>
        </is>
      </c>
      <c r="H297" t="inlineStr">
        <is>
          <t>06 KG</t>
        </is>
      </c>
      <c r="I297" t="inlineStr">
        <is>
          <t>2026</t>
        </is>
      </c>
      <c r="J297" t="n">
        <v>2021</v>
      </c>
      <c r="K297" t="inlineStr">
        <is>
          <t>ENERO 2023</t>
        </is>
      </c>
      <c r="L297" t="inlineStr">
        <is>
          <t>ENERO 2024</t>
        </is>
      </c>
      <c r="M297" t="inlineStr">
        <is>
          <t xml:space="preserve">P.Q.S.  TIPO ABC </t>
        </is>
      </c>
      <c r="N297" t="inlineStr">
        <is>
          <t>01/000432</t>
        </is>
      </c>
      <c r="O297" t="inlineStr">
        <is>
          <t>R</t>
        </is>
      </c>
      <c r="P297">
        <f>TRIM(N297)</f>
        <v/>
      </c>
    </row>
    <row r="298">
      <c r="A298" t="inlineStr">
        <is>
          <t>CO-001245</t>
        </is>
      </c>
      <c r="B298" t="inlineStr">
        <is>
          <t xml:space="preserve">FERRETERIA TOBA S.A. DE: FRANCISCO LUIS TOBALINO HIDALGO </t>
        </is>
      </c>
      <c r="D298" t="inlineStr">
        <is>
          <t>AV. SAN FELIPE N° 981 URB. SAN FELIPE  - COMAS</t>
        </is>
      </c>
      <c r="E298" t="inlineStr">
        <is>
          <t>Lima, 13 de Enero de 2023</t>
        </is>
      </c>
      <c r="F298" t="inlineStr">
        <is>
          <t>la Recarga y mantenimiento</t>
        </is>
      </c>
      <c r="G298" t="inlineStr">
        <is>
          <t>-</t>
        </is>
      </c>
      <c r="H298" t="inlineStr">
        <is>
          <t>06 KG</t>
        </is>
      </c>
      <c r="I298" t="inlineStr">
        <is>
          <t>2022</t>
        </is>
      </c>
      <c r="J298" t="n">
        <v>2006</v>
      </c>
      <c r="K298" t="inlineStr">
        <is>
          <t>ENERO 2023</t>
        </is>
      </c>
      <c r="L298" t="inlineStr">
        <is>
          <t>ENERO 2024</t>
        </is>
      </c>
      <c r="M298" t="inlineStr">
        <is>
          <t xml:space="preserve">P.Q.S.  TIPO ABC </t>
        </is>
      </c>
      <c r="N298" t="inlineStr">
        <is>
          <t>01/003225</t>
        </is>
      </c>
      <c r="O298" t="inlineStr">
        <is>
          <t>R</t>
        </is>
      </c>
      <c r="P298">
        <f>TRIM(N298)</f>
        <v/>
      </c>
    </row>
    <row r="299">
      <c r="A299" t="inlineStr">
        <is>
          <t>CO-001246</t>
        </is>
      </c>
      <c r="B299" t="inlineStr">
        <is>
          <t>LAN CENTER DE: DARIO MAXIMO PIÑIHUAMAN FLORES</t>
        </is>
      </c>
      <c r="D299" t="inlineStr">
        <is>
          <t>AV. REVOLUCION Nº 500 - COLLIQUE</t>
        </is>
      </c>
      <c r="E299" t="inlineStr">
        <is>
          <t>Lima, 13 de Enero de 2023</t>
        </is>
      </c>
      <c r="F299" t="inlineStr">
        <is>
          <t>la Recarga y mantenimiento</t>
        </is>
      </c>
      <c r="G299" t="inlineStr">
        <is>
          <t>-</t>
        </is>
      </c>
      <c r="H299" t="inlineStr">
        <is>
          <t>06 KG</t>
        </is>
      </c>
      <c r="I299" t="inlineStr">
        <is>
          <t>2023</t>
        </is>
      </c>
      <c r="J299" t="n">
        <v>2013</v>
      </c>
      <c r="K299" t="inlineStr">
        <is>
          <t>ENERO 2023</t>
        </is>
      </c>
      <c r="L299" t="inlineStr">
        <is>
          <t>ENERO 2024</t>
        </is>
      </c>
      <c r="M299" t="inlineStr">
        <is>
          <t xml:space="preserve">P.Q.S.  TIPO ABC </t>
        </is>
      </c>
      <c r="N299" t="inlineStr">
        <is>
          <t>01/000005</t>
        </is>
      </c>
      <c r="O299" t="inlineStr">
        <is>
          <t>R</t>
        </is>
      </c>
      <c r="P299">
        <f>TRIM(N299)</f>
        <v/>
      </c>
    </row>
    <row r="300">
      <c r="A300" t="inlineStr">
        <is>
          <t>CO-001247</t>
        </is>
      </c>
      <c r="B300" t="inlineStr">
        <is>
          <t>LINO FERNANDEZ ROMERO</t>
        </is>
      </c>
      <c r="D300" t="inlineStr">
        <is>
          <t>PLACA: BRW-412</t>
        </is>
      </c>
      <c r="E300" t="inlineStr">
        <is>
          <t>Lima, 14 de Enero de 2023</t>
        </is>
      </c>
      <c r="F300" t="inlineStr">
        <is>
          <t>la Recarga y mantenimiento</t>
        </is>
      </c>
      <c r="G300" t="inlineStr">
        <is>
          <t>-</t>
        </is>
      </c>
      <c r="H300" t="inlineStr">
        <is>
          <t xml:space="preserve">02 KG </t>
        </is>
      </c>
      <c r="I300" t="inlineStr">
        <is>
          <t>2026</t>
        </is>
      </c>
      <c r="J300" t="n">
        <v>2021</v>
      </c>
      <c r="K300" t="inlineStr">
        <is>
          <t>ENERO 2023</t>
        </is>
      </c>
      <c r="L300" t="inlineStr">
        <is>
          <t>ENERO 2024</t>
        </is>
      </c>
      <c r="M300" t="inlineStr">
        <is>
          <t xml:space="preserve">P.Q.S.  TIPO ABC </t>
        </is>
      </c>
      <c r="N300" t="inlineStr">
        <is>
          <t>01/001203</t>
        </is>
      </c>
      <c r="O300" t="inlineStr">
        <is>
          <t>R</t>
        </is>
      </c>
      <c r="P300">
        <f>TRIM(N300)</f>
        <v/>
      </c>
    </row>
    <row r="301">
      <c r="A301" t="inlineStr">
        <is>
          <t>CO-001248</t>
        </is>
      </c>
      <c r="B301" t="inlineStr">
        <is>
          <t>CARLOS ALBERTO MENDOZA MEDINA</t>
        </is>
      </c>
      <c r="D301" t="inlineStr">
        <is>
          <t>AV. TUPAC AMARU 5099</t>
        </is>
      </c>
      <c r="E301" t="inlineStr">
        <is>
          <t>Lima, 14 de Enero de 2023</t>
        </is>
      </c>
      <c r="F301" t="inlineStr">
        <is>
          <t>la Recarga y mantenimiento</t>
        </is>
      </c>
      <c r="G301" t="inlineStr">
        <is>
          <t>-</t>
        </is>
      </c>
      <c r="H301" t="inlineStr">
        <is>
          <t>06 KG</t>
        </is>
      </c>
      <c r="I301" t="inlineStr">
        <is>
          <t>2023</t>
        </is>
      </c>
      <c r="J301" t="n">
        <v>2015</v>
      </c>
      <c r="K301" t="inlineStr">
        <is>
          <t>ENERO 2023</t>
        </is>
      </c>
      <c r="L301" t="inlineStr">
        <is>
          <t>ENERO 2024</t>
        </is>
      </c>
      <c r="M301" t="inlineStr">
        <is>
          <t xml:space="preserve">P.Q.S.  TIPO ABC </t>
        </is>
      </c>
      <c r="N301" t="inlineStr">
        <is>
          <t>01/009639</t>
        </is>
      </c>
      <c r="O301" t="inlineStr">
        <is>
          <t>R</t>
        </is>
      </c>
      <c r="P301">
        <f>TRIM(N301)</f>
        <v/>
      </c>
    </row>
    <row r="302">
      <c r="A302" t="inlineStr">
        <is>
          <t>CO-001249</t>
        </is>
      </c>
      <c r="B302" t="inlineStr">
        <is>
          <t xml:space="preserve">EMPRESA DE TRANSPORTES ONCE DE NOVIEMBRE </t>
        </is>
      </c>
      <c r="C302" t="inlineStr">
        <is>
          <t>20107884476</t>
        </is>
      </c>
      <c r="D302" t="inlineStr">
        <is>
          <t>JR. VICTOR ANDRES BELAUNDE NRO. 598 URB. REYNOSO (A 2 CDRAS DE LA MUNIC CARMEN DE LA LEGUA) PROV. CONST. DEL CALLAO - PROV. CONST. DEL CALLAO - CARMEN DE LA LEGUA REYNOSO</t>
        </is>
      </c>
      <c r="E302" t="inlineStr">
        <is>
          <t>Lima, 16 de Enero de 2023</t>
        </is>
      </c>
      <c r="F302" t="inlineStr">
        <is>
          <t>la Recarga y mantenimiento</t>
        </is>
      </c>
      <c r="G302" t="inlineStr">
        <is>
          <t>-</t>
        </is>
      </c>
      <c r="H302" t="inlineStr">
        <is>
          <t>06 KG</t>
        </is>
      </c>
      <c r="I302" t="inlineStr">
        <is>
          <t>VIGENTE</t>
        </is>
      </c>
      <c r="J302" t="n">
        <v>2012</v>
      </c>
      <c r="K302" t="inlineStr">
        <is>
          <t>ENERO 2023</t>
        </is>
      </c>
      <c r="L302" t="inlineStr">
        <is>
          <t>ENERO 2024</t>
        </is>
      </c>
      <c r="M302" t="inlineStr">
        <is>
          <t xml:space="preserve">P.Q.S.  TIPO ABC </t>
        </is>
      </c>
      <c r="N302" t="inlineStr">
        <is>
          <t>001155</t>
        </is>
      </c>
      <c r="O302" t="inlineStr">
        <is>
          <t>R</t>
        </is>
      </c>
      <c r="P302">
        <f>TRIM(N302)</f>
        <v/>
      </c>
    </row>
    <row r="303">
      <c r="A303" t="inlineStr">
        <is>
          <t>CO-001250</t>
        </is>
      </c>
      <c r="B303" t="inlineStr">
        <is>
          <t xml:space="preserve">EMPRESA DE TRANSPORTES ONCE DE NOVIEMBRE </t>
        </is>
      </c>
      <c r="C303" t="inlineStr">
        <is>
          <t>20107884476</t>
        </is>
      </c>
      <c r="D303" t="inlineStr">
        <is>
          <t>JR. VICTOR ANDRES BELAUNDE NRO. 598 URB. REYNOSO (A 2 CDRAS DE LA MUNIC CARMEN DE LA LEGUA) PROV. CONST. DEL CALLAO - PROV. CONST. DEL CALLAO - CARMEN DE LA LEGUA REYNOSO</t>
        </is>
      </c>
      <c r="E303" t="inlineStr">
        <is>
          <t>Lima, 16 de Enero de 2023</t>
        </is>
      </c>
      <c r="F303" t="inlineStr">
        <is>
          <t>la Recarga y mantenimiento</t>
        </is>
      </c>
      <c r="G303" t="inlineStr">
        <is>
          <t>-</t>
        </is>
      </c>
      <c r="H303" t="inlineStr">
        <is>
          <t>06 KG</t>
        </is>
      </c>
      <c r="I303" t="inlineStr">
        <is>
          <t>2026</t>
        </is>
      </c>
      <c r="J303" t="n">
        <v>2021</v>
      </c>
      <c r="K303" t="inlineStr">
        <is>
          <t>ENERO 2023</t>
        </is>
      </c>
      <c r="L303" t="inlineStr">
        <is>
          <t>ENERO 2024</t>
        </is>
      </c>
      <c r="M303" t="inlineStr">
        <is>
          <t xml:space="preserve">P.Q.S.  TIPO ABC </t>
        </is>
      </c>
      <c r="N303" t="inlineStr">
        <is>
          <t>002511</t>
        </is>
      </c>
      <c r="O303" t="inlineStr">
        <is>
          <t>R</t>
        </is>
      </c>
      <c r="P303">
        <f>TRIM(N303)</f>
        <v/>
      </c>
    </row>
    <row r="304">
      <c r="A304" t="inlineStr">
        <is>
          <t>CO-001251</t>
        </is>
      </c>
      <c r="B304" t="inlineStr">
        <is>
          <t xml:space="preserve">EMPRESA DE TRANSPORTES ONCE DE NOVIEMBRE </t>
        </is>
      </c>
      <c r="C304" t="inlineStr">
        <is>
          <t>20107884476</t>
        </is>
      </c>
      <c r="D304" t="inlineStr">
        <is>
          <t>JR. VICTOR ANDRES BELAUNDE NRO. 598 URB. REYNOSO (A 2 CDRAS DE LA MUNIC CARMEN DE LA LEGUA) PROV. CONST. DEL CALLAO - PROV. CONST. DEL CALLAO - CARMEN DE LA LEGUA REYNOSO</t>
        </is>
      </c>
      <c r="E304" t="inlineStr">
        <is>
          <t>Lima, 16 de Enero de 2023</t>
        </is>
      </c>
      <c r="F304" t="inlineStr">
        <is>
          <t>la Recarga y mantenimiento</t>
        </is>
      </c>
      <c r="G304" t="inlineStr">
        <is>
          <t>-</t>
        </is>
      </c>
      <c r="H304" t="inlineStr">
        <is>
          <t>06 KG</t>
        </is>
      </c>
      <c r="I304" t="inlineStr">
        <is>
          <t>2026</t>
        </is>
      </c>
      <c r="J304" t="n">
        <v>2021</v>
      </c>
      <c r="K304" t="inlineStr">
        <is>
          <t>ENERO 2023</t>
        </is>
      </c>
      <c r="L304" t="inlineStr">
        <is>
          <t>ENERO 2024</t>
        </is>
      </c>
      <c r="M304" t="inlineStr">
        <is>
          <t xml:space="preserve">P.Q.S.  TIPO ABC </t>
        </is>
      </c>
      <c r="N304" t="inlineStr">
        <is>
          <t>002512</t>
        </is>
      </c>
      <c r="O304" t="inlineStr">
        <is>
          <t>R</t>
        </is>
      </c>
      <c r="P304">
        <f>TRIM(N304)</f>
        <v/>
      </c>
    </row>
    <row r="305">
      <c r="A305" t="inlineStr">
        <is>
          <t>CO-001252</t>
        </is>
      </c>
      <c r="B305" t="inlineStr">
        <is>
          <t xml:space="preserve">EMPRESA DE TRANSPORTES ONCE DE NOVIEMBRE </t>
        </is>
      </c>
      <c r="C305" t="inlineStr">
        <is>
          <t>20107884476</t>
        </is>
      </c>
      <c r="D305" t="inlineStr">
        <is>
          <t>JR. VICTOR ANDRES BELAUNDE NRO. 598 URB. REYNOSO (A 2 CDRAS DE LA MUNIC CARMEN DE LA LEGUA) PROV. CONST. DEL CALLAO - PROV. CONST. DEL CALLAO - CARMEN DE LA LEGUA REYNOSO</t>
        </is>
      </c>
      <c r="E305" t="inlineStr">
        <is>
          <t>Lima, 16 de Enero de 2023</t>
        </is>
      </c>
      <c r="F305" t="inlineStr">
        <is>
          <t>la Recarga y mantenimiento</t>
        </is>
      </c>
      <c r="G305" t="inlineStr">
        <is>
          <t>-</t>
        </is>
      </c>
      <c r="H305" t="inlineStr">
        <is>
          <t>06 KG</t>
        </is>
      </c>
      <c r="I305" t="inlineStr">
        <is>
          <t>VIGENTE</t>
        </is>
      </c>
      <c r="J305" t="n">
        <v>2017</v>
      </c>
      <c r="K305" t="inlineStr">
        <is>
          <t>ENERO 2023</t>
        </is>
      </c>
      <c r="L305" t="inlineStr">
        <is>
          <t>ENERO 2024</t>
        </is>
      </c>
      <c r="M305" t="inlineStr">
        <is>
          <t xml:space="preserve">P.Q.S.  TIPO ABC </t>
        </is>
      </c>
      <c r="N305" t="inlineStr">
        <is>
          <t>001017</t>
        </is>
      </c>
      <c r="O305" t="inlineStr">
        <is>
          <t>R</t>
        </is>
      </c>
      <c r="P305">
        <f>TRIM(N305)</f>
        <v/>
      </c>
    </row>
    <row r="306">
      <c r="A306" t="inlineStr">
        <is>
          <t>CO-001253</t>
        </is>
      </c>
      <c r="B306" t="inlineStr">
        <is>
          <t xml:space="preserve">EMPRESA DE TRANSPORTES ONCE DE NOVIEMBRE </t>
        </is>
      </c>
      <c r="C306" t="inlineStr">
        <is>
          <t>20107884476</t>
        </is>
      </c>
      <c r="D306" t="inlineStr">
        <is>
          <t>JR. VICTOR ANDRES BELAUNDE NRO. 598 URB. REYNOSO (A 2 CDRAS DE LA MUNIC CARMEN DE LA LEGUA) PROV. CONST. DEL CALLAO - PROV. CONST. DEL CALLAO - CARMEN DE LA LEGUA REYNOSO</t>
        </is>
      </c>
      <c r="E306" t="inlineStr">
        <is>
          <t>Lima, 16 de Enero de 2023</t>
        </is>
      </c>
      <c r="F306" t="inlineStr">
        <is>
          <t>la Recarga y mantenimiento</t>
        </is>
      </c>
      <c r="G306" t="inlineStr">
        <is>
          <t>-</t>
        </is>
      </c>
      <c r="H306" t="inlineStr">
        <is>
          <t>06 KG</t>
        </is>
      </c>
      <c r="I306" t="inlineStr">
        <is>
          <t>VIGENTE</t>
        </is>
      </c>
      <c r="J306" t="n">
        <v>2015</v>
      </c>
      <c r="K306" t="inlineStr">
        <is>
          <t>ENERO 2023</t>
        </is>
      </c>
      <c r="L306" t="inlineStr">
        <is>
          <t>ENERO 2024</t>
        </is>
      </c>
      <c r="M306" t="inlineStr">
        <is>
          <t xml:space="preserve">P.Q.S.  TIPO ABC </t>
        </is>
      </c>
      <c r="N306" t="inlineStr">
        <is>
          <t>115747</t>
        </is>
      </c>
      <c r="O306" t="inlineStr">
        <is>
          <t>R</t>
        </is>
      </c>
      <c r="P306">
        <f>TRIM(N306)</f>
        <v/>
      </c>
    </row>
    <row r="307">
      <c r="A307" t="inlineStr">
        <is>
          <t>CO-001254</t>
        </is>
      </c>
      <c r="B307" t="inlineStr">
        <is>
          <t>SLANDER SERNA</t>
        </is>
      </c>
      <c r="D307" t="inlineStr">
        <is>
          <t>PLACA: BKE-299</t>
        </is>
      </c>
      <c r="E307" t="inlineStr">
        <is>
          <t>Lima, 18 de Enero de 2023</t>
        </is>
      </c>
      <c r="F307" t="inlineStr">
        <is>
          <t>la Recarga y mantenimiento</t>
        </is>
      </c>
      <c r="G307" t="inlineStr">
        <is>
          <t>-</t>
        </is>
      </c>
      <c r="H307" t="inlineStr">
        <is>
          <t xml:space="preserve">02 KG </t>
        </is>
      </c>
      <c r="I307" t="inlineStr">
        <is>
          <t>VIGENTE</t>
        </is>
      </c>
      <c r="J307" t="n">
        <v>2010</v>
      </c>
      <c r="K307" t="inlineStr">
        <is>
          <t>ENERO 2023</t>
        </is>
      </c>
      <c r="L307" t="inlineStr">
        <is>
          <t>ENERO 2024</t>
        </is>
      </c>
      <c r="M307" t="inlineStr">
        <is>
          <t xml:space="preserve">P.Q.S.  TIPO ABC </t>
        </is>
      </c>
      <c r="N307" t="inlineStr">
        <is>
          <t>000009</t>
        </is>
      </c>
      <c r="O307" t="inlineStr">
        <is>
          <t>R</t>
        </is>
      </c>
      <c r="P307">
        <f>TRIM(N307)</f>
        <v/>
      </c>
    </row>
    <row r="308">
      <c r="A308" t="inlineStr">
        <is>
          <t>CO-001255</t>
        </is>
      </c>
      <c r="B308" t="inlineStr">
        <is>
          <t xml:space="preserve">EMANUEL FLORES VASQUEZ </t>
        </is>
      </c>
      <c r="D308" t="inlineStr">
        <is>
          <t>PLACA: ACI - 154</t>
        </is>
      </c>
      <c r="E308" t="inlineStr">
        <is>
          <t>Lima, 26 de Enero de 2023</t>
        </is>
      </c>
      <c r="F308" t="inlineStr">
        <is>
          <t>la Recarga y mantenimiento</t>
        </is>
      </c>
      <c r="G308" t="inlineStr">
        <is>
          <t>-</t>
        </is>
      </c>
      <c r="H308" t="inlineStr">
        <is>
          <t>02 KG</t>
        </is>
      </c>
      <c r="I308" t="inlineStr">
        <is>
          <t>VIGENTE</t>
        </is>
      </c>
      <c r="J308" t="n">
        <v>2017</v>
      </c>
      <c r="K308" t="inlineStr">
        <is>
          <t>ENERO 2023</t>
        </is>
      </c>
      <c r="L308" t="inlineStr">
        <is>
          <t>ENERO 2024</t>
        </is>
      </c>
      <c r="M308" t="inlineStr">
        <is>
          <t xml:space="preserve">P.Q.S.  TIPO ABC </t>
        </is>
      </c>
      <c r="N308" t="inlineStr">
        <is>
          <t>005695</t>
        </is>
      </c>
      <c r="O308" t="inlineStr">
        <is>
          <t>R</t>
        </is>
      </c>
      <c r="P308">
        <f>TRIM(N308)</f>
        <v/>
      </c>
    </row>
    <row r="309">
      <c r="A309" t="inlineStr">
        <is>
          <t>CO-001256</t>
        </is>
      </c>
      <c r="B309" t="inlineStr">
        <is>
          <t>AUTOMOTRIZ MOTOR S.A.C.</t>
        </is>
      </c>
      <c r="C309" t="inlineStr">
        <is>
          <t>20601566177</t>
        </is>
      </c>
      <c r="D309" t="inlineStr">
        <is>
          <t>AV. METROPOLITANA CRUCE CON CALLE 21 URB CARABAYLLO - COMAS</t>
        </is>
      </c>
      <c r="E309" t="inlineStr">
        <is>
          <t>Lima, 27 de Enero de 2023</t>
        </is>
      </c>
      <c r="F309" t="inlineStr">
        <is>
          <t>la Recarga y mantenimiento</t>
        </is>
      </c>
      <c r="G309" t="inlineStr">
        <is>
          <t>01</t>
        </is>
      </c>
      <c r="H309" t="inlineStr">
        <is>
          <t>06 KG</t>
        </is>
      </c>
      <c r="I309" t="inlineStr">
        <is>
          <t>2026</t>
        </is>
      </c>
      <c r="J309" t="n">
        <v>2021</v>
      </c>
      <c r="K309" t="inlineStr">
        <is>
          <t>ENERO 2023</t>
        </is>
      </c>
      <c r="L309" t="inlineStr">
        <is>
          <t>ENERO 2024</t>
        </is>
      </c>
      <c r="M309" t="inlineStr">
        <is>
          <t xml:space="preserve">P.Q.S.  TIPO ABC </t>
        </is>
      </c>
      <c r="N309" t="inlineStr">
        <is>
          <t>020936</t>
        </is>
      </c>
      <c r="O309" t="inlineStr">
        <is>
          <t>R</t>
        </is>
      </c>
      <c r="P309">
        <f>TRIM(N309)</f>
        <v/>
      </c>
    </row>
    <row r="310">
      <c r="A310" t="inlineStr">
        <is>
          <t>CO-001256</t>
        </is>
      </c>
      <c r="B310" t="inlineStr">
        <is>
          <t>AUTOMOTRIZ MOTOR S.A.C.</t>
        </is>
      </c>
      <c r="C310" t="inlineStr">
        <is>
          <t>20601566177</t>
        </is>
      </c>
      <c r="D310" t="inlineStr">
        <is>
          <t>AV. METROPOLITANA CRUCE CON CALLE 21 URB CARABAYLLO - COMAS</t>
        </is>
      </c>
      <c r="E310" t="inlineStr">
        <is>
          <t>Lima, 27 de Enero de 2023</t>
        </is>
      </c>
      <c r="F310" t="inlineStr">
        <is>
          <t>la Recarga y mantenimiento</t>
        </is>
      </c>
      <c r="G310" t="inlineStr">
        <is>
          <t>02</t>
        </is>
      </c>
      <c r="H310" t="inlineStr">
        <is>
          <t>06 KG</t>
        </is>
      </c>
      <c r="I310" t="inlineStr">
        <is>
          <t>2028</t>
        </is>
      </c>
      <c r="J310" t="n">
        <v>2017</v>
      </c>
      <c r="K310" t="inlineStr">
        <is>
          <t>ENERO 2023</t>
        </is>
      </c>
      <c r="L310" t="inlineStr">
        <is>
          <t>ENERO 2024</t>
        </is>
      </c>
      <c r="M310" t="inlineStr">
        <is>
          <t xml:space="preserve">P.Q.S.  TIPO ABC </t>
        </is>
      </c>
      <c r="N310" t="inlineStr">
        <is>
          <t>000442</t>
        </is>
      </c>
      <c r="O310" t="inlineStr">
        <is>
          <t>R</t>
        </is>
      </c>
      <c r="P310">
        <f>TRIM(N310)</f>
        <v/>
      </c>
    </row>
    <row r="311">
      <c r="A311" t="inlineStr">
        <is>
          <t>CO-001256</t>
        </is>
      </c>
      <c r="B311" t="inlineStr">
        <is>
          <t>AUTOMOTRIZ MOTOR S.A.C.</t>
        </is>
      </c>
      <c r="C311" t="inlineStr">
        <is>
          <t>20601566177</t>
        </is>
      </c>
      <c r="D311" t="inlineStr">
        <is>
          <t>AV. METROPOLITANA CRUCE CON CALLE 21 URB CARABAYLLO - COMAS</t>
        </is>
      </c>
      <c r="E311" t="inlineStr">
        <is>
          <t>Lima, 27 de Enero de 2023</t>
        </is>
      </c>
      <c r="F311" t="inlineStr">
        <is>
          <t>la Recarga y mantenimiento</t>
        </is>
      </c>
      <c r="G311" t="inlineStr">
        <is>
          <t>03</t>
        </is>
      </c>
      <c r="H311" t="inlineStr">
        <is>
          <t>06 KG</t>
        </is>
      </c>
      <c r="I311" t="n">
        <v>2028</v>
      </c>
      <c r="J311" t="n">
        <v>2017</v>
      </c>
      <c r="K311" t="inlineStr">
        <is>
          <t>ENERO 2023</t>
        </is>
      </c>
      <c r="L311" t="inlineStr">
        <is>
          <t>ENERO 2024</t>
        </is>
      </c>
      <c r="M311" t="inlineStr">
        <is>
          <t xml:space="preserve">P.Q.S.  TIPO ABC </t>
        </is>
      </c>
      <c r="N311" t="inlineStr">
        <is>
          <t>000643</t>
        </is>
      </c>
      <c r="O311" t="inlineStr">
        <is>
          <t>R</t>
        </is>
      </c>
      <c r="P311">
        <f>TRIM(N311)</f>
        <v/>
      </c>
    </row>
    <row r="312">
      <c r="A312" t="inlineStr">
        <is>
          <t>CO-001257</t>
        </is>
      </c>
      <c r="B312" t="inlineStr">
        <is>
          <t>GRIFO COMARSA - COMARSA &amp; CIA. S.R.L.</t>
        </is>
      </c>
      <c r="C312" t="inlineStr">
        <is>
          <t>20471884741</t>
        </is>
      </c>
      <c r="D312" t="inlineStr">
        <is>
          <t>AV. FELIPE MENDIZABAL 580 - TUNGASUCA - CARABAYLLO</t>
        </is>
      </c>
      <c r="E312" t="inlineStr">
        <is>
          <t>Lima, 27 de Enero de 2023</t>
        </is>
      </c>
      <c r="F312" t="inlineStr">
        <is>
          <t>la Recarga y mantenimiento</t>
        </is>
      </c>
      <c r="G312" t="inlineStr">
        <is>
          <t>-</t>
        </is>
      </c>
      <c r="H312" t="inlineStr">
        <is>
          <t>13.6 KG</t>
        </is>
      </c>
      <c r="I312" t="inlineStr">
        <is>
          <t>2025</t>
        </is>
      </c>
      <c r="J312" t="inlineStr">
        <is>
          <t>S/F</t>
        </is>
      </c>
      <c r="K312" t="inlineStr">
        <is>
          <t>ENERO 2023</t>
        </is>
      </c>
      <c r="L312" t="inlineStr">
        <is>
          <t>ENERO 2024</t>
        </is>
      </c>
      <c r="M312" t="inlineStr">
        <is>
          <t>P.Q.S.  TIPO ABC AL 90% UL</t>
        </is>
      </c>
      <c r="N312" t="inlineStr">
        <is>
          <t>01 / 000855</t>
        </is>
      </c>
      <c r="O312" t="inlineStr">
        <is>
          <t>M3</t>
        </is>
      </c>
      <c r="P312">
        <f>TRIM(N312)</f>
        <v/>
      </c>
    </row>
    <row r="313">
      <c r="A313" t="inlineStr">
        <is>
          <t>CO-001258</t>
        </is>
      </c>
      <c r="B313" t="inlineStr">
        <is>
          <t>GRIFO COMARSA - COMARSA &amp; CIA. S.R.L.</t>
        </is>
      </c>
      <c r="C313" t="inlineStr">
        <is>
          <t>20471884741</t>
        </is>
      </c>
      <c r="D313" t="inlineStr">
        <is>
          <t>AV. FELIPE MENDIZABAL 580 - TUNGASUCA - CARABAYLLO</t>
        </is>
      </c>
      <c r="E313" t="inlineStr">
        <is>
          <t>Lima, 27 de Enero de 2023</t>
        </is>
      </c>
      <c r="F313" t="inlineStr">
        <is>
          <t>la Recarga y mantenimiento</t>
        </is>
      </c>
      <c r="G313" t="inlineStr">
        <is>
          <t>-</t>
        </is>
      </c>
      <c r="H313" t="inlineStr">
        <is>
          <t>06KG</t>
        </is>
      </c>
      <c r="I313" t="inlineStr">
        <is>
          <t>2025</t>
        </is>
      </c>
      <c r="J313" t="n">
        <v>2020</v>
      </c>
      <c r="K313" t="inlineStr">
        <is>
          <t>ENERO 2023</t>
        </is>
      </c>
      <c r="L313" t="inlineStr">
        <is>
          <t>ENERO 2024</t>
        </is>
      </c>
      <c r="M313" t="inlineStr">
        <is>
          <t>P.Q.S.  TIPO ABC AL 90% UL</t>
        </is>
      </c>
      <c r="N313" t="inlineStr">
        <is>
          <t>02 / 143097</t>
        </is>
      </c>
      <c r="O313" t="inlineStr">
        <is>
          <t>R</t>
        </is>
      </c>
      <c r="P313">
        <f>TRIM(N313)</f>
        <v/>
      </c>
    </row>
    <row r="314">
      <c r="A314" t="inlineStr">
        <is>
          <t>CO-001259</t>
        </is>
      </c>
      <c r="B314" t="inlineStr">
        <is>
          <t>SALÓN DE BELLEZA TATIANA</t>
        </is>
      </c>
      <c r="D314" t="inlineStr">
        <is>
          <t>CALLE CHINCHAYSUYO Nº 373 URB. LUCYANA - CARABAYLLO</t>
        </is>
      </c>
      <c r="E314" t="inlineStr">
        <is>
          <t>Lima, 28 de Enero de 2023</t>
        </is>
      </c>
      <c r="F314" t="inlineStr">
        <is>
          <t>la Recarga y mantenimiento</t>
        </is>
      </c>
      <c r="G314" t="inlineStr">
        <is>
          <t>-</t>
        </is>
      </c>
      <c r="H314" t="inlineStr">
        <is>
          <t>09 KG</t>
        </is>
      </c>
      <c r="I314" t="inlineStr">
        <is>
          <t>2028</t>
        </is>
      </c>
      <c r="J314" t="n">
        <v>2017</v>
      </c>
      <c r="K314" t="inlineStr">
        <is>
          <t>ENERO 2023</t>
        </is>
      </c>
      <c r="L314" t="inlineStr">
        <is>
          <t>ENERO 2024</t>
        </is>
      </c>
      <c r="M314" t="inlineStr">
        <is>
          <t xml:space="preserve">P.Q.S.  TIPO ABC </t>
        </is>
      </c>
      <c r="N314" t="inlineStr">
        <is>
          <t>01 / 000582</t>
        </is>
      </c>
      <c r="O314" t="inlineStr">
        <is>
          <t>R</t>
        </is>
      </c>
      <c r="P314">
        <f>TRIM(N314)</f>
        <v/>
      </c>
    </row>
    <row r="315">
      <c r="A315" t="inlineStr">
        <is>
          <t>CO-001260</t>
        </is>
      </c>
      <c r="B315" t="inlineStr">
        <is>
          <t xml:space="preserve">LUIS SANCHEZ TESEN </t>
        </is>
      </c>
      <c r="D315" t="inlineStr">
        <is>
          <t xml:space="preserve">AV. TRAPICHE MZ "I" LT "10" URB. SANTO DOMINGO 2DA ETAPA </t>
        </is>
      </c>
      <c r="E315" t="inlineStr">
        <is>
          <t>Lima, 31 de enero de 2023</t>
        </is>
      </c>
      <c r="F315" t="inlineStr">
        <is>
          <t>la Recarga y mantenimiento</t>
        </is>
      </c>
      <c r="G315" t="inlineStr">
        <is>
          <t>-</t>
        </is>
      </c>
      <c r="H315" t="inlineStr">
        <is>
          <t>02  KG</t>
        </is>
      </c>
      <c r="I315" t="inlineStr">
        <is>
          <t>2028</t>
        </is>
      </c>
      <c r="J315" t="n">
        <v>2018</v>
      </c>
      <c r="K315" t="inlineStr">
        <is>
          <t>ENERO 2023</t>
        </is>
      </c>
      <c r="L315" t="inlineStr">
        <is>
          <t>ENERO 2024</t>
        </is>
      </c>
      <c r="M315" t="inlineStr">
        <is>
          <t xml:space="preserve">P.Q.S.  TIPO ABC </t>
        </is>
      </c>
      <c r="N315" t="inlineStr">
        <is>
          <t>000608</t>
        </is>
      </c>
      <c r="O315" t="inlineStr">
        <is>
          <t>R</t>
        </is>
      </c>
      <c r="P315">
        <f>TRIM(N315)</f>
        <v/>
      </c>
    </row>
    <row r="316">
      <c r="A316" t="inlineStr">
        <is>
          <t>CO-001261</t>
        </is>
      </c>
      <c r="B316" t="inlineStr">
        <is>
          <t xml:space="preserve">LUIS SANCHEZ TESEN </t>
        </is>
      </c>
      <c r="D316" t="inlineStr">
        <is>
          <t xml:space="preserve">AV. TRAPICHE MZ "I" LT "10" URB. SANTO DOMINGO 2DA ETAPA </t>
        </is>
      </c>
      <c r="E316" t="inlineStr">
        <is>
          <t>Lima, 31 de enero de 2023</t>
        </is>
      </c>
      <c r="F316" t="inlineStr">
        <is>
          <t>la Recarga y mantenimiento</t>
        </is>
      </c>
      <c r="G316" t="inlineStr">
        <is>
          <t>-</t>
        </is>
      </c>
      <c r="H316" t="inlineStr">
        <is>
          <t>06 KG</t>
        </is>
      </c>
      <c r="I316" t="inlineStr">
        <is>
          <t>2028</t>
        </is>
      </c>
      <c r="J316" t="n">
        <v>2013</v>
      </c>
      <c r="K316" t="inlineStr">
        <is>
          <t>ENERO 2023</t>
        </is>
      </c>
      <c r="L316" t="inlineStr">
        <is>
          <t>ENERO 2024</t>
        </is>
      </c>
      <c r="M316" t="inlineStr">
        <is>
          <t xml:space="preserve">P.Q.S.  TIPO ABC </t>
        </is>
      </c>
      <c r="N316" t="inlineStr">
        <is>
          <t xml:space="preserve"> 001164</t>
        </is>
      </c>
      <c r="O316" t="inlineStr">
        <is>
          <t>R</t>
        </is>
      </c>
      <c r="P316">
        <f>TRIM(N316)</f>
        <v/>
      </c>
    </row>
    <row r="317">
      <c r="A317" t="inlineStr">
        <is>
          <t>CO-001262</t>
        </is>
      </c>
      <c r="B317" t="inlineStr">
        <is>
          <t xml:space="preserve">FABIO EGÜES GUERRA </t>
        </is>
      </c>
      <c r="D317" t="inlineStr">
        <is>
          <t>PLACA: W3L - 504</t>
        </is>
      </c>
      <c r="E317" t="inlineStr">
        <is>
          <t>Lima, 01 de Febrero de 2023</t>
        </is>
      </c>
      <c r="F317" t="inlineStr">
        <is>
          <t>la Recarga y mantenimiento</t>
        </is>
      </c>
      <c r="G317" t="inlineStr">
        <is>
          <t>-</t>
        </is>
      </c>
      <c r="H317" t="inlineStr">
        <is>
          <t xml:space="preserve">02 KG </t>
        </is>
      </c>
      <c r="I317" t="inlineStr">
        <is>
          <t>2028</t>
        </is>
      </c>
      <c r="J317" t="n">
        <v>2011</v>
      </c>
      <c r="K317" t="inlineStr">
        <is>
          <t>FEBRERO 2023</t>
        </is>
      </c>
      <c r="L317" t="inlineStr">
        <is>
          <t>FEBRERO 2024</t>
        </is>
      </c>
      <c r="M317" t="inlineStr">
        <is>
          <t xml:space="preserve">P.Q.S.  TIPO ABC </t>
        </is>
      </c>
      <c r="N317" t="inlineStr">
        <is>
          <t>000152</t>
        </is>
      </c>
      <c r="O317" t="inlineStr">
        <is>
          <t>R</t>
        </is>
      </c>
      <c r="P317">
        <f>TRIM(N317)</f>
        <v/>
      </c>
    </row>
    <row r="318">
      <c r="A318" t="inlineStr">
        <is>
          <t>CO-001263</t>
        </is>
      </c>
      <c r="B318" t="inlineStr">
        <is>
          <t xml:space="preserve">MECANICA AUTOMOTRIZ FLORES De: Oscar Flores </t>
        </is>
      </c>
      <c r="D318" t="inlineStr">
        <is>
          <t>JR. JUPITER MZ "5" LT "52"</t>
        </is>
      </c>
      <c r="E318" t="inlineStr">
        <is>
          <t>Lima, 01 de Febrero de 2023</t>
        </is>
      </c>
      <c r="F318" t="inlineStr">
        <is>
          <t>la Recarga y mantenimiento</t>
        </is>
      </c>
      <c r="G318" t="n">
        <v>1</v>
      </c>
      <c r="H318" t="inlineStr">
        <is>
          <t>12 KG</t>
        </is>
      </c>
      <c r="I318" t="inlineStr">
        <is>
          <t>2025</t>
        </is>
      </c>
      <c r="J318" t="n">
        <v>2020</v>
      </c>
      <c r="K318" t="inlineStr">
        <is>
          <t>ENERO 2023</t>
        </is>
      </c>
      <c r="L318" t="inlineStr">
        <is>
          <t>ENERO 2024</t>
        </is>
      </c>
      <c r="M318" t="inlineStr">
        <is>
          <t>P.Q.S.  TIPO ABC AL 90% UL</t>
        </is>
      </c>
      <c r="N318" t="inlineStr">
        <is>
          <t>006495</t>
        </is>
      </c>
      <c r="O318" t="inlineStr">
        <is>
          <t>M2</t>
        </is>
      </c>
      <c r="P318">
        <f>TRIM(N318)</f>
        <v/>
      </c>
    </row>
    <row r="319">
      <c r="A319" t="inlineStr">
        <is>
          <t>CO-001263</t>
        </is>
      </c>
      <c r="B319" t="inlineStr">
        <is>
          <t xml:space="preserve">MECANICA AUTOMOTRIZ FLORES De: Oscar Flores </t>
        </is>
      </c>
      <c r="D319" t="inlineStr">
        <is>
          <t>JR. JUPITER MZ "5" LT "52"</t>
        </is>
      </c>
      <c r="E319" t="inlineStr">
        <is>
          <t>Lima, 01 de Febrero de 2023</t>
        </is>
      </c>
      <c r="F319" t="inlineStr">
        <is>
          <t>la Recarga y mantenimiento</t>
        </is>
      </c>
      <c r="G319" t="n">
        <v>2</v>
      </c>
      <c r="H319" t="inlineStr">
        <is>
          <t>09 KG</t>
        </is>
      </c>
      <c r="I319" t="inlineStr">
        <is>
          <t>2028</t>
        </is>
      </c>
      <c r="J319" t="n">
        <v>2006</v>
      </c>
      <c r="K319" t="inlineStr">
        <is>
          <t>ENERO 2023</t>
        </is>
      </c>
      <c r="L319" t="inlineStr">
        <is>
          <t>ENERO 2024</t>
        </is>
      </c>
      <c r="M319" t="inlineStr">
        <is>
          <t>P.Q.S.  TIPO ABC AL 90% UL</t>
        </is>
      </c>
      <c r="N319" t="inlineStr">
        <is>
          <t>000431</t>
        </is>
      </c>
      <c r="O319" t="inlineStr">
        <is>
          <t>M2</t>
        </is>
      </c>
      <c r="P319">
        <f>TRIM(N319)</f>
        <v/>
      </c>
    </row>
    <row r="320">
      <c r="A320" t="inlineStr">
        <is>
          <t>CO-001263</t>
        </is>
      </c>
      <c r="B320" t="inlineStr">
        <is>
          <t xml:space="preserve">MECANICA AUTOMOTRIZ FLORES De: Oscar Flores </t>
        </is>
      </c>
      <c r="D320" t="inlineStr">
        <is>
          <t>JR. JUPITER MZ "5" LT "52"</t>
        </is>
      </c>
      <c r="E320" t="inlineStr">
        <is>
          <t>Lima, 01 de Febrero de 2023</t>
        </is>
      </c>
      <c r="F320" t="inlineStr">
        <is>
          <t>la Recarga y mantenimiento</t>
        </is>
      </c>
      <c r="G320" t="n">
        <v>3</v>
      </c>
      <c r="H320" t="inlineStr">
        <is>
          <t>06 KG</t>
        </is>
      </c>
      <c r="I320" t="n">
        <v>2028</v>
      </c>
      <c r="J320" t="n">
        <v>2005</v>
      </c>
      <c r="K320" t="inlineStr">
        <is>
          <t>ENERO 2023</t>
        </is>
      </c>
      <c r="L320" t="inlineStr">
        <is>
          <t>ENERO 2024</t>
        </is>
      </c>
      <c r="M320" t="inlineStr">
        <is>
          <t>P.Q.S.  TIPO ABC AL 90% UL</t>
        </is>
      </c>
      <c r="N320" t="inlineStr">
        <is>
          <t>000262</t>
        </is>
      </c>
      <c r="O320" t="inlineStr">
        <is>
          <t>M2</t>
        </is>
      </c>
      <c r="P320">
        <f>TRIM(N320)</f>
        <v/>
      </c>
    </row>
    <row r="321">
      <c r="A321" t="inlineStr">
        <is>
          <t>CO-001264</t>
        </is>
      </c>
      <c r="B321" t="inlineStr">
        <is>
          <t xml:space="preserve">EYBER S.A.C </t>
        </is>
      </c>
      <c r="D321" t="inlineStr">
        <is>
          <t>JR. LOS CLAVELES MZ "1" LT "10"</t>
        </is>
      </c>
      <c r="E321" t="inlineStr">
        <is>
          <t>Lima, 02 de Febrero de 2023</t>
        </is>
      </c>
      <c r="F321" t="inlineStr">
        <is>
          <t>la Recarga y mantenimiento</t>
        </is>
      </c>
      <c r="G321" t="inlineStr">
        <is>
          <t>-</t>
        </is>
      </c>
      <c r="H321" t="inlineStr">
        <is>
          <t xml:space="preserve">06 KG </t>
        </is>
      </c>
      <c r="I321" t="inlineStr">
        <is>
          <t>VIGENTE</t>
        </is>
      </c>
      <c r="J321" t="n">
        <v>2018</v>
      </c>
      <c r="K321" t="inlineStr">
        <is>
          <t>FEBRERO 2023</t>
        </is>
      </c>
      <c r="L321" t="inlineStr">
        <is>
          <t>FEBRERO 2024</t>
        </is>
      </c>
      <c r="M321" t="inlineStr">
        <is>
          <t>P.Q.S TIPO ABC</t>
        </is>
      </c>
      <c r="N321" t="inlineStr">
        <is>
          <t>003501</t>
        </is>
      </c>
      <c r="O321" t="inlineStr">
        <is>
          <t>R</t>
        </is>
      </c>
      <c r="P321">
        <f>TRIM(N321)</f>
        <v/>
      </c>
    </row>
    <row r="322">
      <c r="A322" t="inlineStr">
        <is>
          <t>CO-001265</t>
        </is>
      </c>
      <c r="B322" t="inlineStr">
        <is>
          <t>AUTOMOTRIZ MOTOR S.A.C.</t>
        </is>
      </c>
      <c r="C322" t="inlineStr">
        <is>
          <t>20601566177</t>
        </is>
      </c>
      <c r="D322" t="inlineStr">
        <is>
          <t>AV. METROPOLITANA CRUCE CON CALLE 21 URB CARABAYLLO - COMAS</t>
        </is>
      </c>
      <c r="E322" t="inlineStr">
        <is>
          <t>Lima, 02 de Febrero de 2023</t>
        </is>
      </c>
      <c r="F322" t="inlineStr">
        <is>
          <t>la Recarga y mantenimiento</t>
        </is>
      </c>
      <c r="G322" t="n">
        <v>1</v>
      </c>
      <c r="H322" t="inlineStr">
        <is>
          <t>06 KG</t>
        </is>
      </c>
      <c r="I322" t="inlineStr">
        <is>
          <t>2026</t>
        </is>
      </c>
      <c r="J322" t="n">
        <v>2021</v>
      </c>
      <c r="K322" t="inlineStr">
        <is>
          <t>FEBRERO 2023</t>
        </is>
      </c>
      <c r="L322" t="inlineStr">
        <is>
          <t>FEBRERO 2024</t>
        </is>
      </c>
      <c r="M322" t="inlineStr">
        <is>
          <t>P.Q.S TIPO ABC</t>
        </is>
      </c>
      <c r="N322" t="inlineStr">
        <is>
          <t>208102</t>
        </is>
      </c>
      <c r="O322" t="inlineStr">
        <is>
          <t>R</t>
        </is>
      </c>
      <c r="P322">
        <f>TRIM(N322)</f>
        <v/>
      </c>
    </row>
    <row r="323">
      <c r="A323" t="inlineStr">
        <is>
          <t>CO-001265</t>
        </is>
      </c>
      <c r="B323" t="inlineStr">
        <is>
          <t>AUTOMOTRIZ MOTOR S.A.C.</t>
        </is>
      </c>
      <c r="C323" t="inlineStr">
        <is>
          <t>20601566177</t>
        </is>
      </c>
      <c r="D323" t="inlineStr">
        <is>
          <t>AV. METROPOLITANA CRUCE CON CALLE 21 URB CARABAYLLO - COMAS</t>
        </is>
      </c>
      <c r="E323" t="inlineStr">
        <is>
          <t>Lima, 02 de Febrero de 2023</t>
        </is>
      </c>
      <c r="F323" t="inlineStr">
        <is>
          <t>la Recarga y mantenimiento</t>
        </is>
      </c>
      <c r="G323" t="n">
        <v>2</v>
      </c>
      <c r="H323" t="inlineStr">
        <is>
          <t>06 KG</t>
        </is>
      </c>
      <c r="I323" t="inlineStr">
        <is>
          <t>2026</t>
        </is>
      </c>
      <c r="J323" t="n">
        <v>2021</v>
      </c>
      <c r="K323" t="inlineStr">
        <is>
          <t>FEBRERO 2023</t>
        </is>
      </c>
      <c r="L323" t="inlineStr">
        <is>
          <t>FEBRERO 2024</t>
        </is>
      </c>
      <c r="M323" t="inlineStr">
        <is>
          <t>P.Q.S TIPO ABC</t>
        </is>
      </c>
      <c r="N323" t="inlineStr">
        <is>
          <t>223051</t>
        </is>
      </c>
      <c r="O323" t="inlineStr">
        <is>
          <t>R</t>
        </is>
      </c>
      <c r="P323">
        <f>TRIM(N323)</f>
        <v/>
      </c>
    </row>
    <row r="324">
      <c r="A324" t="inlineStr">
        <is>
          <t>CO-001265</t>
        </is>
      </c>
      <c r="B324" t="inlineStr">
        <is>
          <t>AUTOMOTRIZ MOTOR S.A.C.</t>
        </is>
      </c>
      <c r="C324" t="inlineStr">
        <is>
          <t>20601566177</t>
        </is>
      </c>
      <c r="D324" t="inlineStr">
        <is>
          <t>AV. METROPOLITANA CRUCE CON CALLE 21 URB CARABAYLLO - COMAS</t>
        </is>
      </c>
      <c r="E324" t="inlineStr">
        <is>
          <t>Lima, 02 de Febrero de 2023</t>
        </is>
      </c>
      <c r="F324" t="inlineStr">
        <is>
          <t>la Recarga y mantenimiento</t>
        </is>
      </c>
      <c r="G324" t="n">
        <v>3</v>
      </c>
      <c r="H324" t="inlineStr">
        <is>
          <t>04 KG</t>
        </is>
      </c>
      <c r="J324" t="n">
        <v>2017</v>
      </c>
      <c r="K324" t="inlineStr">
        <is>
          <t>FEBRERO 2023</t>
        </is>
      </c>
      <c r="L324" t="inlineStr">
        <is>
          <t>FEBRERO 2024</t>
        </is>
      </c>
      <c r="M324" t="inlineStr">
        <is>
          <t xml:space="preserve">P.Q.S TIPO ABC </t>
        </is>
      </c>
      <c r="N324" t="inlineStr">
        <is>
          <t>001844</t>
        </is>
      </c>
      <c r="O324" t="inlineStr">
        <is>
          <t>R</t>
        </is>
      </c>
      <c r="P324">
        <f>TRIM(N324)</f>
        <v/>
      </c>
    </row>
    <row r="325">
      <c r="A325" t="inlineStr">
        <is>
          <t>CO-001266</t>
        </is>
      </c>
      <c r="B325" t="inlineStr">
        <is>
          <t xml:space="preserve">
TRANSP. A &amp; P YANAVILVA EIRL</t>
        </is>
      </c>
      <c r="C325" t="inlineStr">
        <is>
          <t>20548344116</t>
        </is>
      </c>
      <c r="D325" t="inlineStr">
        <is>
          <t>AV. SAN DIEGO DE ALCALA MZA. L LOTE. 1 DPTO. 503 (EDIFICIO C) LIMA - LIMA - SAN MARTIN DE PORRES</t>
        </is>
      </c>
      <c r="E325" t="inlineStr">
        <is>
          <t>Lima, 03 de Febrero de 2023</t>
        </is>
      </c>
      <c r="F325" t="inlineStr">
        <is>
          <t>la Recarga y mantenimiento</t>
        </is>
      </c>
      <c r="G325" t="n">
        <v>1</v>
      </c>
      <c r="H325" t="inlineStr">
        <is>
          <t>20 LBS</t>
        </is>
      </c>
      <c r="I325" t="inlineStr">
        <is>
          <t>2026</t>
        </is>
      </c>
      <c r="J325" t="n">
        <v>2016</v>
      </c>
      <c r="K325" t="inlineStr">
        <is>
          <t>FEBRERO 2023</t>
        </is>
      </c>
      <c r="L325" t="inlineStr">
        <is>
          <t>FEBRERO 2024</t>
        </is>
      </c>
      <c r="M325" t="inlineStr">
        <is>
          <t>P.Q.S.  TIPO ABC AL 90% UL "USA"</t>
        </is>
      </c>
      <c r="N325" t="inlineStr">
        <is>
          <t>B06338358</t>
        </is>
      </c>
      <c r="O325" t="inlineStr">
        <is>
          <t>R</t>
        </is>
      </c>
      <c r="P325">
        <f>TRIM(N325)</f>
        <v/>
      </c>
    </row>
    <row r="326">
      <c r="A326" t="inlineStr">
        <is>
          <t>CO-001267</t>
        </is>
      </c>
      <c r="B326" t="inlineStr">
        <is>
          <t xml:space="preserve">
TRANSP. A &amp; P YANAVILVA EIRL</t>
        </is>
      </c>
      <c r="C326" t="inlineStr">
        <is>
          <t>20548344116</t>
        </is>
      </c>
      <c r="D326" t="inlineStr">
        <is>
          <t>AV. SAN DIEGO DE ALCALA MZA. L LOTE. 1 DPTO. 503 (EDIFICIO C) LIMA - LIMA - SAN MARTIN DE PORRES</t>
        </is>
      </c>
      <c r="E326" t="inlineStr">
        <is>
          <t>Lima, 03 de Febrero de 2023</t>
        </is>
      </c>
      <c r="F326" t="inlineStr">
        <is>
          <t>la Recarga y mantenimiento</t>
        </is>
      </c>
      <c r="G326" t="n">
        <v>1</v>
      </c>
      <c r="H326" t="inlineStr">
        <is>
          <t>20 LBS</t>
        </is>
      </c>
      <c r="I326" t="inlineStr">
        <is>
          <t>2026</t>
        </is>
      </c>
      <c r="J326" t="n">
        <v>2016</v>
      </c>
      <c r="K326" t="inlineStr">
        <is>
          <t>FEBRERO 2023</t>
        </is>
      </c>
      <c r="L326" t="inlineStr">
        <is>
          <t>FEBRERO 2024</t>
        </is>
      </c>
      <c r="M326" t="inlineStr">
        <is>
          <t>P.Q.S.  TIPO ABC AL 90% UL "USA"</t>
        </is>
      </c>
      <c r="N326" t="inlineStr">
        <is>
          <t>B06338566</t>
        </is>
      </c>
      <c r="O326" t="inlineStr">
        <is>
          <t>R</t>
        </is>
      </c>
      <c r="P326">
        <f>TRIM(N326)</f>
        <v/>
      </c>
    </row>
    <row r="327">
      <c r="A327" t="inlineStr">
        <is>
          <t>CO-001268</t>
        </is>
      </c>
      <c r="B327" t="inlineStr">
        <is>
          <t xml:space="preserve">DAVID LEONIDAS </t>
        </is>
      </c>
      <c r="C327" t="inlineStr">
        <is>
          <t>PLACA : F4F - 577</t>
        </is>
      </c>
      <c r="E327" t="inlineStr">
        <is>
          <t>Lima, 06 de Febrero de 2023</t>
        </is>
      </c>
      <c r="F327" t="inlineStr">
        <is>
          <t>la Recarga y mantenimiento</t>
        </is>
      </c>
      <c r="G327" t="n">
        <v>1</v>
      </c>
      <c r="H327" t="inlineStr">
        <is>
          <t>02 KG</t>
        </is>
      </c>
      <c r="I327" t="inlineStr">
        <is>
          <t>VIGENTE</t>
        </is>
      </c>
      <c r="J327" t="n">
        <v>2008</v>
      </c>
      <c r="K327" t="inlineStr">
        <is>
          <t>FEBRERO 2023</t>
        </is>
      </c>
      <c r="L327" t="inlineStr">
        <is>
          <t>FEBRERO 2024</t>
        </is>
      </c>
      <c r="M327" t="inlineStr">
        <is>
          <t>P.Q.S TIPO ABC</t>
        </is>
      </c>
      <c r="N327" t="inlineStr">
        <is>
          <t>444323</t>
        </is>
      </c>
      <c r="O327" t="inlineStr">
        <is>
          <t>R</t>
        </is>
      </c>
      <c r="P327">
        <f>TRIM(N327)</f>
        <v/>
      </c>
    </row>
    <row r="328">
      <c r="A328" t="inlineStr">
        <is>
          <t>CO-001269</t>
        </is>
      </c>
      <c r="B328" t="inlineStr">
        <is>
          <t>C&amp;R EQUIPOS  SOLUCIONES TECNOLOGICAS SAC.</t>
        </is>
      </c>
      <c r="C328" t="inlineStr">
        <is>
          <t>20609480867</t>
        </is>
      </c>
      <c r="D328" t="inlineStr">
        <is>
          <t>AV. SINCHI ROCA N° 330 - COMAS</t>
        </is>
      </c>
      <c r="E328" t="inlineStr">
        <is>
          <t>Lima, 08 de Febrero de 2023</t>
        </is>
      </c>
      <c r="F328" t="inlineStr">
        <is>
          <t xml:space="preserve"> La Venta</t>
        </is>
      </c>
      <c r="G328" t="n">
        <v>1</v>
      </c>
      <c r="H328" t="inlineStr">
        <is>
          <t>06 KG</t>
        </is>
      </c>
      <c r="I328" t="inlineStr">
        <is>
          <t>2026</t>
        </is>
      </c>
      <c r="J328" t="n">
        <v>2021</v>
      </c>
      <c r="K328" t="inlineStr">
        <is>
          <t>FEBRERO 2023</t>
        </is>
      </c>
      <c r="L328" t="inlineStr">
        <is>
          <t>FEBRERO 2024</t>
        </is>
      </c>
      <c r="M328" t="inlineStr">
        <is>
          <t>P.Q.S TIPO ABC</t>
        </is>
      </c>
      <c r="N328" t="inlineStr">
        <is>
          <t>000434</t>
        </is>
      </c>
      <c r="O328" t="inlineStr">
        <is>
          <t>V</t>
        </is>
      </c>
      <c r="P328">
        <f>TRIM(N328)</f>
        <v/>
      </c>
    </row>
    <row r="329">
      <c r="A329" t="inlineStr">
        <is>
          <t>CO-001270</t>
        </is>
      </c>
      <c r="B329" t="inlineStr">
        <is>
          <t xml:space="preserve">OLIVER CABANILLAS </t>
        </is>
      </c>
      <c r="C329" t="inlineStr">
        <is>
          <t>PLACA: AJO - 941</t>
        </is>
      </c>
      <c r="D329" t="inlineStr">
        <is>
          <t xml:space="preserve">JR. 7 DE FEBRERO MZ "O" LT "10" 5TA DE COLLIQUE </t>
        </is>
      </c>
      <c r="E329" t="inlineStr">
        <is>
          <t>Lima, 09 de Febrero de 2023</t>
        </is>
      </c>
      <c r="F329" t="inlineStr">
        <is>
          <t>la Recarga y mantenimiento</t>
        </is>
      </c>
      <c r="G329" t="n">
        <v>1</v>
      </c>
      <c r="H329" t="inlineStr">
        <is>
          <t>04 KG</t>
        </is>
      </c>
      <c r="I329" t="inlineStr">
        <is>
          <t>2026</t>
        </is>
      </c>
      <c r="J329" t="n">
        <v>2021</v>
      </c>
      <c r="K329" t="inlineStr">
        <is>
          <t>FEBRERO 2023</t>
        </is>
      </c>
      <c r="L329" t="inlineStr">
        <is>
          <t>FEBRERO 2024</t>
        </is>
      </c>
      <c r="M329" t="inlineStr">
        <is>
          <t>P.Q.S TIPO ABC</t>
        </is>
      </c>
      <c r="N329" t="inlineStr">
        <is>
          <t>402127</t>
        </is>
      </c>
      <c r="O329" t="inlineStr">
        <is>
          <t>R</t>
        </is>
      </c>
      <c r="P329">
        <f>TRIM(N329)</f>
        <v/>
      </c>
    </row>
    <row r="330">
      <c r="A330" t="inlineStr">
        <is>
          <t>CO-001271</t>
        </is>
      </c>
      <c r="B330" t="inlineStr">
        <is>
          <t xml:space="preserve">
TRANSP. A &amp; P YANAVILVA EIRL</t>
        </is>
      </c>
      <c r="C330" t="inlineStr">
        <is>
          <t>20548344116</t>
        </is>
      </c>
      <c r="D330" t="inlineStr">
        <is>
          <t>AV. SAN DIEGO DE ALCALA MZA. L LOTE. 1 DPTO. 503 (EDIFICIO C) LIMA - LIMA - SAN MARTIN DE PORRES</t>
        </is>
      </c>
      <c r="E330" t="inlineStr">
        <is>
          <t>Lima, 09 de Febrero de 2023</t>
        </is>
      </c>
      <c r="F330" t="inlineStr">
        <is>
          <t>la Recarga y mantenimiento</t>
        </is>
      </c>
      <c r="G330" t="n">
        <v>3</v>
      </c>
      <c r="H330" t="inlineStr">
        <is>
          <t>13.6 KG</t>
        </is>
      </c>
      <c r="I330" t="inlineStr">
        <is>
          <t>2028</t>
        </is>
      </c>
      <c r="J330" t="n">
        <v>2012</v>
      </c>
      <c r="K330" t="inlineStr">
        <is>
          <t>FEBRERO 2023</t>
        </is>
      </c>
      <c r="L330" t="inlineStr">
        <is>
          <t>FEBRERO 2024</t>
        </is>
      </c>
      <c r="M330" t="inlineStr">
        <is>
          <t>P.Q.S TIPO ABC</t>
        </is>
      </c>
      <c r="N330" t="inlineStr">
        <is>
          <t>000002</t>
        </is>
      </c>
      <c r="O330" t="inlineStr">
        <is>
          <t>R</t>
        </is>
      </c>
      <c r="P330">
        <f>TRIM(N330)</f>
        <v/>
      </c>
    </row>
    <row r="331">
      <c r="A331" t="inlineStr">
        <is>
          <t>CO-001272</t>
        </is>
      </c>
      <c r="B331" t="inlineStr">
        <is>
          <t xml:space="preserve">
TRANSP. A &amp; P YANAVILVA EIRL</t>
        </is>
      </c>
      <c r="C331" t="inlineStr">
        <is>
          <t>20548344116</t>
        </is>
      </c>
      <c r="D331" t="inlineStr">
        <is>
          <t>AV. SAN DIEGO DE ALCALA MZA. L LOTE. 1 DPTO. 503 (EDIFICIO C) LIMA - LIMA - SAN MARTIN DE PORRES</t>
        </is>
      </c>
      <c r="E331" t="inlineStr">
        <is>
          <t>Lima, 09 de Febrero de 2023</t>
        </is>
      </c>
      <c r="F331" t="inlineStr">
        <is>
          <t>la Recarga y mantenimiento</t>
        </is>
      </c>
      <c r="G331" t="n">
        <v>4</v>
      </c>
      <c r="H331" t="inlineStr">
        <is>
          <t>13.6 KG</t>
        </is>
      </c>
      <c r="I331" t="inlineStr">
        <is>
          <t>2028</t>
        </is>
      </c>
      <c r="J331" t="n">
        <v>2012</v>
      </c>
      <c r="K331" t="inlineStr">
        <is>
          <t>FEBRERO 2023</t>
        </is>
      </c>
      <c r="L331" t="inlineStr">
        <is>
          <t>FEBRERO 2024</t>
        </is>
      </c>
      <c r="M331" t="inlineStr">
        <is>
          <t>P.Q.S. BOT.EXTERIOR</t>
        </is>
      </c>
      <c r="N331" t="inlineStr">
        <is>
          <t>000456</t>
        </is>
      </c>
      <c r="O331" t="inlineStr">
        <is>
          <t>R</t>
        </is>
      </c>
      <c r="P331">
        <f>TRIM(N331)</f>
        <v/>
      </c>
    </row>
    <row r="332">
      <c r="A332" t="inlineStr">
        <is>
          <t>CO-001273</t>
        </is>
      </c>
      <c r="B332" t="inlineStr">
        <is>
          <t>JORGE WILLIAM LIZARRAGA RIVERA</t>
        </is>
      </c>
      <c r="C332" t="inlineStr">
        <is>
          <t>DNI: 74952098</t>
        </is>
      </c>
      <c r="D332" t="inlineStr">
        <is>
          <t>PLACA: B7Y - 890</t>
        </is>
      </c>
      <c r="E332" t="inlineStr">
        <is>
          <t>Lima, 11 de Febrero de 2023</t>
        </is>
      </c>
      <c r="F332" t="inlineStr">
        <is>
          <t>la Recarga y mantenimiento</t>
        </is>
      </c>
      <c r="G332" t="n">
        <v>1</v>
      </c>
      <c r="H332" t="inlineStr">
        <is>
          <t>06 KG</t>
        </is>
      </c>
      <c r="I332" t="inlineStr">
        <is>
          <t>VIGENTE</t>
        </is>
      </c>
      <c r="J332" t="n">
        <v>2014</v>
      </c>
      <c r="K332" t="inlineStr">
        <is>
          <t>FEBRERO 2023</t>
        </is>
      </c>
      <c r="L332" t="inlineStr">
        <is>
          <t>FEBRERO 2024</t>
        </is>
      </c>
      <c r="M332" t="inlineStr">
        <is>
          <t>P.Q.S TIPO ABC</t>
        </is>
      </c>
      <c r="N332" t="inlineStr">
        <is>
          <t>001360</t>
        </is>
      </c>
      <c r="O332" t="inlineStr">
        <is>
          <t>R</t>
        </is>
      </c>
      <c r="P332">
        <f>TRIM(N332)</f>
        <v/>
      </c>
    </row>
    <row r="333">
      <c r="A333" t="inlineStr">
        <is>
          <t>CO-001274</t>
        </is>
      </c>
      <c r="B333" t="inlineStr">
        <is>
          <t>MARCO ANTONIO MORANTE AGUIRRE</t>
        </is>
      </c>
      <c r="C333" t="inlineStr">
        <is>
          <t>DNI: 10742418</t>
        </is>
      </c>
      <c r="D333" t="inlineStr">
        <is>
          <t>JR. TINGO MARIA 192 - COMAS</t>
        </is>
      </c>
      <c r="E333" t="inlineStr">
        <is>
          <t>Lima, 11 de Febrero de 2023</t>
        </is>
      </c>
      <c r="F333" t="inlineStr">
        <is>
          <t>la Recarga y mantenimiento</t>
        </is>
      </c>
      <c r="G333" t="n">
        <v>1</v>
      </c>
      <c r="H333" t="inlineStr">
        <is>
          <t>06 KG</t>
        </is>
      </c>
      <c r="I333" t="inlineStr">
        <is>
          <t>2028</t>
        </is>
      </c>
      <c r="J333" t="n">
        <v>2012</v>
      </c>
      <c r="K333" t="inlineStr">
        <is>
          <t>FEBRERO 2023</t>
        </is>
      </c>
      <c r="L333" t="inlineStr">
        <is>
          <t>FEBRERO 2024</t>
        </is>
      </c>
      <c r="M333" t="inlineStr">
        <is>
          <t>P.Q.S TIPO ABC</t>
        </is>
      </c>
      <c r="N333" t="inlineStr">
        <is>
          <t>001035</t>
        </is>
      </c>
      <c r="O333" t="inlineStr">
        <is>
          <t>R</t>
        </is>
      </c>
      <c r="P333">
        <f>TRIM(N333)</f>
        <v/>
      </c>
    </row>
    <row r="334">
      <c r="A334" t="inlineStr">
        <is>
          <t>CO-001275</t>
        </is>
      </c>
      <c r="B334" t="inlineStr">
        <is>
          <t>RONAL ALEJANDRO ROJAS GARCIA</t>
        </is>
      </c>
      <c r="C334" t="inlineStr">
        <is>
          <t>DNI: 40288630</t>
        </is>
      </c>
      <c r="D334" t="inlineStr">
        <is>
          <t>PLACA: AJS - 876</t>
        </is>
      </c>
      <c r="E334" t="inlineStr">
        <is>
          <t>Lima, 14 de Febrero de 2023</t>
        </is>
      </c>
      <c r="F334" t="inlineStr">
        <is>
          <t>la Recarga y mantenimiento</t>
        </is>
      </c>
      <c r="G334" t="n">
        <v>1</v>
      </c>
      <c r="H334" t="inlineStr">
        <is>
          <t>06 KG</t>
        </is>
      </c>
      <c r="I334" t="inlineStr">
        <is>
          <t>2028</t>
        </is>
      </c>
      <c r="J334" t="n">
        <v>2023</v>
      </c>
      <c r="K334" t="inlineStr">
        <is>
          <t>FEBRERO 2023</t>
        </is>
      </c>
      <c r="L334" t="inlineStr">
        <is>
          <t>FEBRERO 2024</t>
        </is>
      </c>
      <c r="M334" t="inlineStr">
        <is>
          <t>P.Q.S TIPO ABC</t>
        </is>
      </c>
      <c r="N334" t="inlineStr">
        <is>
          <t>455135</t>
        </is>
      </c>
      <c r="O334" t="inlineStr">
        <is>
          <t>R</t>
        </is>
      </c>
      <c r="P334">
        <f>TRIM(N334)</f>
        <v/>
      </c>
    </row>
    <row r="335">
      <c r="A335" t="inlineStr">
        <is>
          <t>CO-001276</t>
        </is>
      </c>
      <c r="B335" t="inlineStr">
        <is>
          <t>POLLOS Y PARRILLAS CELY S.A.C</t>
        </is>
      </c>
      <c r="C335" t="inlineStr">
        <is>
          <t>20608356135</t>
        </is>
      </c>
      <c r="D335" t="inlineStr">
        <is>
          <t>AV. LAS PALMERAS 5380 - LOS OLIVOS</t>
        </is>
      </c>
      <c r="E335" t="inlineStr">
        <is>
          <t>Lima, 14 de Febrero de 2023</t>
        </is>
      </c>
      <c r="F335" t="inlineStr">
        <is>
          <t>la Recarga y mantenimiento</t>
        </is>
      </c>
      <c r="G335" t="n">
        <v>1</v>
      </c>
      <c r="H335" t="inlineStr">
        <is>
          <t>06 KG</t>
        </is>
      </c>
      <c r="I335" t="inlineStr">
        <is>
          <t>2028</t>
        </is>
      </c>
      <c r="J335" t="n">
        <v>2019</v>
      </c>
      <c r="K335" t="inlineStr">
        <is>
          <t>FEBRERO 2023</t>
        </is>
      </c>
      <c r="L335" t="inlineStr">
        <is>
          <t>FEBRERO 2024</t>
        </is>
      </c>
      <c r="M335" t="inlineStr">
        <is>
          <t>P.Q.S TIPO ABC</t>
        </is>
      </c>
      <c r="N335" t="inlineStr">
        <is>
          <t>008839</t>
        </is>
      </c>
      <c r="O335" t="inlineStr">
        <is>
          <t>R</t>
        </is>
      </c>
      <c r="P335">
        <f>TRIM(N335)</f>
        <v/>
      </c>
    </row>
    <row r="336">
      <c r="A336" t="inlineStr">
        <is>
          <t>CO-001276</t>
        </is>
      </c>
      <c r="B336" t="inlineStr">
        <is>
          <t>POLLOS Y PARRILLAS CELY S.A.C</t>
        </is>
      </c>
      <c r="C336" t="inlineStr">
        <is>
          <t>20608356135</t>
        </is>
      </c>
      <c r="D336" t="inlineStr">
        <is>
          <t>AV. LAS PALMERAS 5380 - LOS OLIVOS</t>
        </is>
      </c>
      <c r="E336" t="inlineStr">
        <is>
          <t>Lima, 14 de Febrero de 2023</t>
        </is>
      </c>
      <c r="F336" t="inlineStr">
        <is>
          <t>la Recarga y mantenimiento</t>
        </is>
      </c>
      <c r="G336" t="n">
        <v>2</v>
      </c>
      <c r="H336" t="inlineStr">
        <is>
          <t>06 KG</t>
        </is>
      </c>
      <c r="I336" t="inlineStr">
        <is>
          <t>2028</t>
        </is>
      </c>
      <c r="J336" t="n">
        <v>2019</v>
      </c>
      <c r="K336" t="inlineStr">
        <is>
          <t>FEBRERO 2023</t>
        </is>
      </c>
      <c r="L336" t="inlineStr">
        <is>
          <t>FEBRERO 2024</t>
        </is>
      </c>
      <c r="M336" t="inlineStr">
        <is>
          <t>P.Q.S TIPO ABC</t>
        </is>
      </c>
      <c r="N336" t="inlineStr">
        <is>
          <t>002702</t>
        </is>
      </c>
      <c r="O336" t="inlineStr">
        <is>
          <t>R</t>
        </is>
      </c>
      <c r="P336">
        <f>TRIM(N336)</f>
        <v/>
      </c>
    </row>
    <row r="337">
      <c r="A337" t="inlineStr">
        <is>
          <t>CO-001276</t>
        </is>
      </c>
      <c r="B337" t="inlineStr">
        <is>
          <t>POLLOS Y PARRILLAS CELY S.A.C</t>
        </is>
      </c>
      <c r="C337" t="inlineStr">
        <is>
          <t>20608356135</t>
        </is>
      </c>
      <c r="D337" t="inlineStr">
        <is>
          <t>AV. LAS PALMERAS 5380 - LOS OLIVOS</t>
        </is>
      </c>
      <c r="E337" t="inlineStr">
        <is>
          <t>Lima, 14 de Febrero de 2023</t>
        </is>
      </c>
      <c r="F337" t="inlineStr">
        <is>
          <t>la Recarga y mantenimiento</t>
        </is>
      </c>
      <c r="G337" t="n">
        <v>3</v>
      </c>
      <c r="H337" t="inlineStr">
        <is>
          <t>2.5 GLS</t>
        </is>
      </c>
      <c r="I337" t="n">
        <v>2024</v>
      </c>
      <c r="J337" t="n">
        <v>2019</v>
      </c>
      <c r="K337" t="inlineStr">
        <is>
          <t>FEBRERO 2023</t>
        </is>
      </c>
      <c r="L337" t="inlineStr">
        <is>
          <t>FEBRERO 2024</t>
        </is>
      </c>
      <c r="M337" t="inlineStr">
        <is>
          <t xml:space="preserve">ACETATO TIPO K </t>
        </is>
      </c>
      <c r="N337" t="inlineStr">
        <is>
          <t>000207</t>
        </is>
      </c>
      <c r="O337" t="inlineStr">
        <is>
          <t>R</t>
        </is>
      </c>
      <c r="P337">
        <f>TRIM(N337)</f>
        <v/>
      </c>
    </row>
    <row r="338">
      <c r="A338" t="inlineStr">
        <is>
          <t>CO-001277</t>
        </is>
      </c>
      <c r="B338" t="inlineStr">
        <is>
          <t>I.E 8155 "VICTOR RAÚL HAYA DE LA TORRE"</t>
        </is>
      </c>
      <c r="D338" t="inlineStr">
        <is>
          <t>JR.8155 ,, AUGUSTO SALAVERRY, CARABAYLLO</t>
        </is>
      </c>
      <c r="E338" t="inlineStr">
        <is>
          <t>Lima, 14 de Febrero de 2023</t>
        </is>
      </c>
      <c r="F338" t="inlineStr">
        <is>
          <t>la Recarga y mantenimiento</t>
        </is>
      </c>
      <c r="G338" t="n">
        <v>1</v>
      </c>
      <c r="H338" t="inlineStr">
        <is>
          <t>06 KG</t>
        </is>
      </c>
      <c r="I338" t="inlineStr">
        <is>
          <t>VIGENTE</t>
        </is>
      </c>
      <c r="J338" t="n">
        <v>2018</v>
      </c>
      <c r="K338" t="inlineStr">
        <is>
          <t>FEBRERO 2023</t>
        </is>
      </c>
      <c r="L338" t="inlineStr">
        <is>
          <t>FEBRERO 2024</t>
        </is>
      </c>
      <c r="M338" t="inlineStr">
        <is>
          <t>P.Q.S TIPO ABC</t>
        </is>
      </c>
      <c r="N338" t="inlineStr">
        <is>
          <t>000557</t>
        </is>
      </c>
      <c r="O338" t="inlineStr">
        <is>
          <t>R</t>
        </is>
      </c>
      <c r="P338">
        <f>TRIM(N338)</f>
        <v/>
      </c>
    </row>
    <row r="339">
      <c r="A339" t="inlineStr">
        <is>
          <t>CO-001277</t>
        </is>
      </c>
      <c r="B339" t="inlineStr">
        <is>
          <t>I.E 8155 "VICTOR RAÚL HAYA DE LA TORRE"</t>
        </is>
      </c>
      <c r="D339" t="inlineStr">
        <is>
          <t>JR.8155 ,, AUGUSTO SALAVERRY, CARABAYLLO</t>
        </is>
      </c>
      <c r="E339" t="inlineStr">
        <is>
          <t>Lima, 14 de Febrero de 2023</t>
        </is>
      </c>
      <c r="F339" t="inlineStr">
        <is>
          <t>la Recarga y mantenimiento</t>
        </is>
      </c>
      <c r="G339" t="n">
        <v>2</v>
      </c>
      <c r="H339" t="inlineStr">
        <is>
          <t>06 KG</t>
        </is>
      </c>
      <c r="I339" t="inlineStr">
        <is>
          <t>2022</t>
        </is>
      </c>
      <c r="J339" t="n">
        <v>2016</v>
      </c>
      <c r="K339" t="inlineStr">
        <is>
          <t>FEBRERO 2023</t>
        </is>
      </c>
      <c r="L339" t="inlineStr">
        <is>
          <t>FEBRERO 2024</t>
        </is>
      </c>
      <c r="M339" t="inlineStr">
        <is>
          <t>P.Q.S TIPO ABC</t>
        </is>
      </c>
      <c r="N339" t="inlineStr">
        <is>
          <t>000520</t>
        </is>
      </c>
      <c r="O339" t="inlineStr">
        <is>
          <t>R</t>
        </is>
      </c>
      <c r="P339">
        <f>TRIM(N339)</f>
        <v/>
      </c>
    </row>
    <row r="340">
      <c r="A340" t="inlineStr">
        <is>
          <t>CO-001277</t>
        </is>
      </c>
      <c r="B340" t="inlineStr">
        <is>
          <t>I.E 8155 "VICTOR RAÚL HAYA DE LA TORRE"</t>
        </is>
      </c>
      <c r="D340" t="inlineStr">
        <is>
          <t>JR.8155 ,, AUGUSTO SALAVERRY, CARABAYLLO</t>
        </is>
      </c>
      <c r="E340" t="inlineStr">
        <is>
          <t>Lima, 14 de Febrero de 2023</t>
        </is>
      </c>
      <c r="F340" t="inlineStr">
        <is>
          <t>la Recarga y mantenimiento</t>
        </is>
      </c>
      <c r="G340" t="n">
        <v>3</v>
      </c>
      <c r="H340" t="inlineStr">
        <is>
          <t>04 KG</t>
        </is>
      </c>
      <c r="I340" t="n">
        <v>2022</v>
      </c>
      <c r="J340" t="n">
        <v>2013</v>
      </c>
      <c r="K340" t="inlineStr">
        <is>
          <t>FEBRERO 2023</t>
        </is>
      </c>
      <c r="L340" t="inlineStr">
        <is>
          <t>FEBRERO 2024</t>
        </is>
      </c>
      <c r="M340" t="inlineStr">
        <is>
          <t>P.Q.S TIPO ABC</t>
        </is>
      </c>
      <c r="N340" t="inlineStr">
        <is>
          <t>000009</t>
        </is>
      </c>
      <c r="O340" t="inlineStr">
        <is>
          <t>R</t>
        </is>
      </c>
      <c r="P340">
        <f>TRIM(N340)</f>
        <v/>
      </c>
    </row>
    <row r="341">
      <c r="A341" t="inlineStr">
        <is>
          <t>CO-001277</t>
        </is>
      </c>
      <c r="B341" t="inlineStr">
        <is>
          <t>I.E 8155 "VICTOR RAÚL HAYA DE LA TORRE"</t>
        </is>
      </c>
      <c r="D341" t="inlineStr">
        <is>
          <t>JR.8155 ,, AUGUSTO SALAVERRY, CARABAYLLO</t>
        </is>
      </c>
      <c r="E341" t="inlineStr">
        <is>
          <t>Lima, 14 de Febrero de 2023</t>
        </is>
      </c>
      <c r="F341" t="inlineStr">
        <is>
          <t>la Recarga y mantenimiento</t>
        </is>
      </c>
      <c r="G341" t="n">
        <v>4</v>
      </c>
      <c r="H341" t="inlineStr">
        <is>
          <t>04 KG</t>
        </is>
      </c>
      <c r="I341" t="inlineStr">
        <is>
          <t>VIGENTE</t>
        </is>
      </c>
      <c r="J341" t="n">
        <v>2020</v>
      </c>
      <c r="K341" t="inlineStr">
        <is>
          <t>FEBRERO 2023</t>
        </is>
      </c>
      <c r="L341" t="inlineStr">
        <is>
          <t>FEBRERO 2024</t>
        </is>
      </c>
      <c r="M341" t="inlineStr">
        <is>
          <t>P.Q.S TIPO ABC</t>
        </is>
      </c>
      <c r="N341" t="inlineStr">
        <is>
          <t>117669</t>
        </is>
      </c>
      <c r="O341" t="inlineStr">
        <is>
          <t>R</t>
        </is>
      </c>
      <c r="P341">
        <f>TRIM(N341)</f>
        <v/>
      </c>
    </row>
    <row r="342">
      <c r="A342" t="inlineStr">
        <is>
          <t>CO-001278</t>
        </is>
      </c>
      <c r="B342" t="inlineStr">
        <is>
          <t>TRANSPORTES STARK S.A.C.</t>
        </is>
      </c>
      <c r="C342" t="n">
        <v>20606725664</v>
      </c>
      <c r="D342" t="inlineStr">
        <is>
          <t>CAL.58 MZA. E3 LOTE. 09 A URB. EL PINAR PARCELA 01 (ALTURA DE LA AV EL RETABLO CON LOS INCAS) LIMA - LIMA - COMAS</t>
        </is>
      </c>
      <c r="E342" t="inlineStr">
        <is>
          <t>Lima, 21 de Febrero de 2023</t>
        </is>
      </c>
      <c r="F342" t="inlineStr">
        <is>
          <t>la Recarga y mantenimiento</t>
        </is>
      </c>
      <c r="G342" t="inlineStr">
        <is>
          <t>-</t>
        </is>
      </c>
      <c r="H342" t="inlineStr">
        <is>
          <t>09 KG</t>
        </is>
      </c>
      <c r="I342" t="inlineStr">
        <is>
          <t>2025</t>
        </is>
      </c>
      <c r="J342" t="n">
        <v>2020</v>
      </c>
      <c r="K342" t="inlineStr">
        <is>
          <t>FEBRERO 2023</t>
        </is>
      </c>
      <c r="L342" t="inlineStr">
        <is>
          <t>FEBRERO 2024</t>
        </is>
      </c>
      <c r="M342" t="inlineStr">
        <is>
          <t>P.Q.S TIPO ABC</t>
        </is>
      </c>
      <c r="N342" t="inlineStr">
        <is>
          <t>000232</t>
        </is>
      </c>
      <c r="O342" t="inlineStr">
        <is>
          <t>R</t>
        </is>
      </c>
      <c r="P342">
        <f>TRIM(N342)</f>
        <v/>
      </c>
    </row>
    <row r="343">
      <c r="A343" t="inlineStr">
        <is>
          <t>CO-001279</t>
        </is>
      </c>
      <c r="B343" t="inlineStr">
        <is>
          <t>GUNTER CENEPO TANCHIVA</t>
        </is>
      </c>
      <c r="C343" t="inlineStr">
        <is>
          <t>DNI: 45969204</t>
        </is>
      </c>
      <c r="D343" t="inlineStr">
        <is>
          <t>PLACA: BBU - 161</t>
        </is>
      </c>
      <c r="E343" t="inlineStr">
        <is>
          <t>Lima, 21 de Febrero de 2023</t>
        </is>
      </c>
      <c r="F343" t="inlineStr">
        <is>
          <t>la Recarga y mantenimiento</t>
        </is>
      </c>
      <c r="G343" t="inlineStr">
        <is>
          <t>-</t>
        </is>
      </c>
      <c r="H343" t="inlineStr">
        <is>
          <t>02 KG</t>
        </is>
      </c>
      <c r="I343" t="inlineStr">
        <is>
          <t>2029</t>
        </is>
      </c>
      <c r="J343" t="n">
        <v>2024</v>
      </c>
      <c r="K343" t="inlineStr">
        <is>
          <t>FEBRERO 2023</t>
        </is>
      </c>
      <c r="L343" t="inlineStr">
        <is>
          <t>FEBRERO 2024</t>
        </is>
      </c>
      <c r="M343" t="inlineStr">
        <is>
          <t>P.Q.S TIPO ABC</t>
        </is>
      </c>
      <c r="N343" t="inlineStr">
        <is>
          <t>000783</t>
        </is>
      </c>
      <c r="O343" t="inlineStr">
        <is>
          <t>R</t>
        </is>
      </c>
      <c r="P343">
        <f>TRIM(N343)</f>
        <v/>
      </c>
    </row>
    <row r="344">
      <c r="A344" t="inlineStr">
        <is>
          <t>CO-001280</t>
        </is>
      </c>
      <c r="B344" t="inlineStr">
        <is>
          <t>EMPRESA DE TRANSPORTES ONCE DE NOVIEMBRE</t>
        </is>
      </c>
      <c r="C344" t="inlineStr">
        <is>
          <t>PLACA:</t>
        </is>
      </c>
      <c r="D344" t="inlineStr">
        <is>
          <t>Ex – Hacienda Punchauca - Carabayllo</t>
        </is>
      </c>
      <c r="E344" t="inlineStr">
        <is>
          <t>Lima, 01 de marzo de 2023</t>
        </is>
      </c>
      <c r="F344" t="inlineStr">
        <is>
          <t>la Recarga y mantenimiento</t>
        </is>
      </c>
      <c r="G344" t="n">
        <v>1</v>
      </c>
      <c r="H344" t="inlineStr">
        <is>
          <t>06 KG</t>
        </is>
      </c>
      <c r="I344" t="inlineStr">
        <is>
          <t>2024</t>
        </is>
      </c>
      <c r="J344" t="n">
        <v>2019</v>
      </c>
      <c r="K344" t="inlineStr">
        <is>
          <t>FEBRERO 2023</t>
        </is>
      </c>
      <c r="L344" t="inlineStr">
        <is>
          <t>FEBRERO 2024</t>
        </is>
      </c>
      <c r="M344" t="inlineStr">
        <is>
          <t>P.Q.S TIPO ABC</t>
        </is>
      </c>
      <c r="N344" t="inlineStr">
        <is>
          <t>048861</t>
        </is>
      </c>
      <c r="O344" t="inlineStr">
        <is>
          <t>R</t>
        </is>
      </c>
      <c r="P344">
        <f>TRIM(N344)</f>
        <v/>
      </c>
    </row>
    <row r="345">
      <c r="A345" t="inlineStr">
        <is>
          <t>CO-001281</t>
        </is>
      </c>
      <c r="B345" t="inlineStr">
        <is>
          <t>EMPRESA DE TRANSPORTES ONCE DE NOVIEMBRE</t>
        </is>
      </c>
      <c r="C345" t="inlineStr">
        <is>
          <t>PLACA:</t>
        </is>
      </c>
      <c r="D345" t="inlineStr">
        <is>
          <t>Ex – Hacienda Punchauca - Carabayllo</t>
        </is>
      </c>
      <c r="E345" t="inlineStr">
        <is>
          <t>Lima, 01 de marzo de 2023</t>
        </is>
      </c>
      <c r="F345" t="inlineStr">
        <is>
          <t>la Recarga y mantenimiento</t>
        </is>
      </c>
      <c r="G345" t="n">
        <v>2</v>
      </c>
      <c r="H345" t="inlineStr">
        <is>
          <t>06 KG</t>
        </is>
      </c>
      <c r="I345" t="inlineStr">
        <is>
          <t>2026</t>
        </is>
      </c>
      <c r="J345" t="n">
        <v>2021</v>
      </c>
      <c r="K345" t="inlineStr">
        <is>
          <t>FEBRERO 2023</t>
        </is>
      </c>
      <c r="L345" t="inlineStr">
        <is>
          <t>FEBRERO 2024</t>
        </is>
      </c>
      <c r="M345" t="inlineStr">
        <is>
          <t>P.Q.S TIPO ABC</t>
        </is>
      </c>
      <c r="N345" t="inlineStr">
        <is>
          <t>002290</t>
        </is>
      </c>
      <c r="O345" t="inlineStr">
        <is>
          <t>R</t>
        </is>
      </c>
      <c r="P345">
        <f>TRIM(N345)</f>
        <v/>
      </c>
    </row>
    <row r="346">
      <c r="A346" t="inlineStr">
        <is>
          <t>CO-001282</t>
        </is>
      </c>
      <c r="B346" t="inlineStr">
        <is>
          <t>EMPRESA DE TRANSPORTES ONCE DE NOVIEMBRE</t>
        </is>
      </c>
      <c r="C346" t="inlineStr">
        <is>
          <t>PLACA:</t>
        </is>
      </c>
      <c r="D346" t="inlineStr">
        <is>
          <t>Ex – Hacienda Punchauca - Carabayllo</t>
        </is>
      </c>
      <c r="E346" t="inlineStr">
        <is>
          <t>Lima, 01 de marzo de 2023</t>
        </is>
      </c>
      <c r="F346" t="inlineStr">
        <is>
          <t>la Recarga y mantenimiento</t>
        </is>
      </c>
      <c r="G346" t="n">
        <v>3</v>
      </c>
      <c r="H346" t="inlineStr">
        <is>
          <t>06 KG</t>
        </is>
      </c>
      <c r="I346" t="inlineStr">
        <is>
          <t>VIGENTE</t>
        </is>
      </c>
      <c r="J346" t="n">
        <v>2010</v>
      </c>
      <c r="K346" t="inlineStr">
        <is>
          <t>FEBRERO 2023</t>
        </is>
      </c>
      <c r="L346" t="inlineStr">
        <is>
          <t>FEBRERO 2024</t>
        </is>
      </c>
      <c r="M346" t="inlineStr">
        <is>
          <t>P.Q.S TIPO ABC</t>
        </is>
      </c>
      <c r="N346" t="inlineStr">
        <is>
          <t>000001</t>
        </is>
      </c>
      <c r="O346" t="inlineStr">
        <is>
          <t>R</t>
        </is>
      </c>
      <c r="P346">
        <f>TRIM(N346)</f>
        <v/>
      </c>
    </row>
    <row r="347">
      <c r="A347" t="inlineStr">
        <is>
          <t>CO-001283</t>
        </is>
      </c>
      <c r="B347" t="inlineStr">
        <is>
          <t>EMPRESA DE TRANSPORTES ONCE DE NOVIEMBRE</t>
        </is>
      </c>
      <c r="C347" t="inlineStr">
        <is>
          <t>PLACA:</t>
        </is>
      </c>
      <c r="D347" t="inlineStr">
        <is>
          <t>Ex – Hacienda Punchauca - Carabayllo</t>
        </is>
      </c>
      <c r="E347" t="inlineStr">
        <is>
          <t>Lima, 01 de marzo de 2023</t>
        </is>
      </c>
      <c r="F347" t="inlineStr">
        <is>
          <t>la Recarga y mantenimiento</t>
        </is>
      </c>
      <c r="G347" t="n">
        <v>4</v>
      </c>
      <c r="H347" t="inlineStr">
        <is>
          <t>06 KG</t>
        </is>
      </c>
      <c r="I347" t="inlineStr">
        <is>
          <t>2026</t>
        </is>
      </c>
      <c r="J347" t="n">
        <v>2021</v>
      </c>
      <c r="K347" t="inlineStr">
        <is>
          <t>FEBRERO 2023</t>
        </is>
      </c>
      <c r="L347" t="inlineStr">
        <is>
          <t>FEBRERO 2024</t>
        </is>
      </c>
      <c r="M347" t="inlineStr">
        <is>
          <t>P.Q.S TIPO ABC</t>
        </is>
      </c>
      <c r="N347" t="inlineStr">
        <is>
          <t>002439</t>
        </is>
      </c>
      <c r="O347" t="inlineStr">
        <is>
          <t>R</t>
        </is>
      </c>
      <c r="P347">
        <f>TRIM(N347)</f>
        <v/>
      </c>
    </row>
    <row r="348">
      <c r="A348" t="inlineStr">
        <is>
          <t>CO-001284</t>
        </is>
      </c>
      <c r="B348" t="inlineStr">
        <is>
          <t>EMPRESA DE TRANSPORTES ONCE DE NOVIEMBRE</t>
        </is>
      </c>
      <c r="C348" t="inlineStr">
        <is>
          <t>PLACA:</t>
        </is>
      </c>
      <c r="D348" t="inlineStr">
        <is>
          <t>Ex – Hacienda Punchauca - Carabayllo</t>
        </is>
      </c>
      <c r="E348" t="inlineStr">
        <is>
          <t>Lima, 01 de marzo de 2023</t>
        </is>
      </c>
      <c r="F348" t="inlineStr">
        <is>
          <t>la Recarga y mantenimiento</t>
        </is>
      </c>
      <c r="G348" t="n">
        <v>5</v>
      </c>
      <c r="H348" t="inlineStr">
        <is>
          <t>06 KG</t>
        </is>
      </c>
      <c r="I348" t="inlineStr">
        <is>
          <t>VIGENTE</t>
        </is>
      </c>
      <c r="J348" t="n">
        <v>2004</v>
      </c>
      <c r="K348" t="inlineStr">
        <is>
          <t>FEBRERO 2023</t>
        </is>
      </c>
      <c r="L348" t="inlineStr">
        <is>
          <t>FEBRERO 2024</t>
        </is>
      </c>
      <c r="M348" t="inlineStr">
        <is>
          <t>P.Q.S TIPO ABC</t>
        </is>
      </c>
      <c r="N348" t="inlineStr">
        <is>
          <t>000450</t>
        </is>
      </c>
      <c r="O348" t="inlineStr">
        <is>
          <t>R</t>
        </is>
      </c>
      <c r="P348">
        <f>TRIM(N348)</f>
        <v/>
      </c>
    </row>
    <row r="349">
      <c r="A349" t="inlineStr">
        <is>
          <t>CO-001285</t>
        </is>
      </c>
      <c r="B349" t="inlineStr">
        <is>
          <t>EMPRESA DE TRANSPORTES ONCE DE NOVIEMBRE</t>
        </is>
      </c>
      <c r="C349" t="inlineStr">
        <is>
          <t>PLACA:</t>
        </is>
      </c>
      <c r="D349" t="inlineStr">
        <is>
          <t>Ex – Hacienda Punchauca - Carabayllo</t>
        </is>
      </c>
      <c r="E349" t="inlineStr">
        <is>
          <t>Lima, 01 de marzo de 2023</t>
        </is>
      </c>
      <c r="F349" t="inlineStr">
        <is>
          <t>la Recarga y mantenimiento</t>
        </is>
      </c>
      <c r="G349" t="n">
        <v>6</v>
      </c>
      <c r="H349" t="inlineStr">
        <is>
          <t>06 KG</t>
        </is>
      </c>
      <c r="I349" t="inlineStr">
        <is>
          <t>VIGENTE</t>
        </is>
      </c>
      <c r="J349" t="n">
        <v>1995</v>
      </c>
      <c r="K349" t="inlineStr">
        <is>
          <t>FEBRERO 2023</t>
        </is>
      </c>
      <c r="L349" t="inlineStr">
        <is>
          <t>FEBRERO 2024</t>
        </is>
      </c>
      <c r="M349" t="inlineStr">
        <is>
          <t>P.Q.S TIPO ABC</t>
        </is>
      </c>
      <c r="N349" t="inlineStr">
        <is>
          <t>S/N</t>
        </is>
      </c>
      <c r="O349" t="inlineStr">
        <is>
          <t>R</t>
        </is>
      </c>
      <c r="P349">
        <f>TRIM(N349)</f>
        <v/>
      </c>
    </row>
    <row r="350">
      <c r="A350" t="inlineStr">
        <is>
          <t>CO-001286</t>
        </is>
      </c>
      <c r="B350" t="inlineStr">
        <is>
          <t>BOTICA SR. MILAGROS</t>
        </is>
      </c>
      <c r="C350" t="inlineStr">
        <is>
          <t>DNI: 06943420</t>
        </is>
      </c>
      <c r="D350" t="inlineStr">
        <is>
          <t xml:space="preserve">AV.TUPAC AMARU 5175 - S.J.B COMAS </t>
        </is>
      </c>
      <c r="E350" t="inlineStr">
        <is>
          <t>Lima, 06 de marzo de 2023</t>
        </is>
      </c>
      <c r="F350" t="inlineStr">
        <is>
          <t>la Recarga y mantenimiento</t>
        </is>
      </c>
      <c r="G350" t="n">
        <v>1</v>
      </c>
      <c r="H350" t="inlineStr">
        <is>
          <t>06 KG</t>
        </is>
      </c>
      <c r="I350" t="inlineStr">
        <is>
          <t>VIGENTE</t>
        </is>
      </c>
      <c r="J350" t="inlineStr">
        <is>
          <t>S/N</t>
        </is>
      </c>
      <c r="K350" t="inlineStr">
        <is>
          <t>MARZO 2023</t>
        </is>
      </c>
      <c r="L350" t="inlineStr">
        <is>
          <t>MARZO 2024</t>
        </is>
      </c>
      <c r="M350" t="inlineStr">
        <is>
          <t>P.Q.S TIPO ABC</t>
        </is>
      </c>
      <c r="N350" t="inlineStr">
        <is>
          <t>S/N</t>
        </is>
      </c>
      <c r="O350" t="inlineStr">
        <is>
          <t>R</t>
        </is>
      </c>
      <c r="P350">
        <f>TRIM(N350)</f>
        <v/>
      </c>
    </row>
    <row r="351">
      <c r="A351" t="inlineStr">
        <is>
          <t>CO-001287</t>
        </is>
      </c>
      <c r="B351" t="inlineStr">
        <is>
          <t>GRIT LABS S.A.C.</t>
        </is>
      </c>
      <c r="C351" t="inlineStr">
        <is>
          <t xml:space="preserve"> 20607381047</t>
        </is>
      </c>
      <c r="D351" t="inlineStr">
        <is>
          <t>AV. OSCAR R. BENAVIDES  NRO. 1862 - LIMA</t>
        </is>
      </c>
      <c r="E351" t="inlineStr">
        <is>
          <t>Lima, 09 de marzo de 2023</t>
        </is>
      </c>
      <c r="F351" t="inlineStr">
        <is>
          <t>la Recarga y mantenimiento</t>
        </is>
      </c>
      <c r="G351" t="n">
        <v>3</v>
      </c>
      <c r="H351" t="inlineStr">
        <is>
          <t>09 KG</t>
        </is>
      </c>
      <c r="I351" t="inlineStr">
        <is>
          <t>2024</t>
        </is>
      </c>
      <c r="J351" t="n">
        <v>2019</v>
      </c>
      <c r="K351" t="inlineStr">
        <is>
          <t>MARZO 2023</t>
        </is>
      </c>
      <c r="L351" t="inlineStr">
        <is>
          <t>MARZO 2024</t>
        </is>
      </c>
      <c r="M351" t="inlineStr">
        <is>
          <t>P.Q.S TIPO ABC</t>
        </is>
      </c>
      <c r="N351" t="inlineStr">
        <is>
          <t>047182</t>
        </is>
      </c>
      <c r="O351" t="inlineStr">
        <is>
          <t>R</t>
        </is>
      </c>
      <c r="P351">
        <f>TRIM(N351)</f>
        <v/>
      </c>
    </row>
    <row r="352">
      <c r="A352" t="inlineStr">
        <is>
          <t>CO-001288</t>
        </is>
      </c>
      <c r="B352" t="inlineStr">
        <is>
          <t>GRIT LABS S.A.C.</t>
        </is>
      </c>
      <c r="C352" t="inlineStr">
        <is>
          <t xml:space="preserve"> 20607381047</t>
        </is>
      </c>
      <c r="D352" t="inlineStr">
        <is>
          <t>AV. OSCAR R. BENAVIDES  NRO. 1862 - LIMA</t>
        </is>
      </c>
      <c r="E352" t="inlineStr">
        <is>
          <t>Lima, 09 de marzo de 2023</t>
        </is>
      </c>
      <c r="F352" t="inlineStr">
        <is>
          <t xml:space="preserve"> La Venta</t>
        </is>
      </c>
      <c r="G352" t="n">
        <v>1</v>
      </c>
      <c r="H352" t="inlineStr">
        <is>
          <t>12 KG</t>
        </is>
      </c>
      <c r="I352" t="inlineStr">
        <is>
          <t>2027</t>
        </is>
      </c>
      <c r="J352" t="n">
        <v>2022</v>
      </c>
      <c r="K352" t="inlineStr">
        <is>
          <t>MARZO 2023</t>
        </is>
      </c>
      <c r="L352" t="inlineStr">
        <is>
          <t>MARZO 2024</t>
        </is>
      </c>
      <c r="M352" t="inlineStr">
        <is>
          <t>P.Q.S TIPO ABC</t>
        </is>
      </c>
      <c r="N352" t="n">
        <v>304389</v>
      </c>
      <c r="O352" t="inlineStr">
        <is>
          <t>V</t>
        </is>
      </c>
      <c r="P352">
        <f>TRIM(N352)</f>
        <v/>
      </c>
    </row>
    <row r="353">
      <c r="A353" t="inlineStr">
        <is>
          <t>CO-001288</t>
        </is>
      </c>
      <c r="B353" t="inlineStr">
        <is>
          <t>GRIT LABS S.A.C.</t>
        </is>
      </c>
      <c r="C353" t="inlineStr">
        <is>
          <t xml:space="preserve"> 20607381047</t>
        </is>
      </c>
      <c r="D353" t="inlineStr">
        <is>
          <t>AV. OSCAR R. BENAVIDES  NRO. 1862 - LIMA</t>
        </is>
      </c>
      <c r="E353" t="inlineStr">
        <is>
          <t>Lima, 09 de marzo de 2023</t>
        </is>
      </c>
      <c r="F353" t="inlineStr">
        <is>
          <t xml:space="preserve"> La Venta</t>
        </is>
      </c>
      <c r="G353" t="n">
        <v>2</v>
      </c>
      <c r="H353" t="inlineStr">
        <is>
          <t>12 KG</t>
        </is>
      </c>
      <c r="I353" t="inlineStr">
        <is>
          <t>2027</t>
        </is>
      </c>
      <c r="J353" t="n">
        <v>2022</v>
      </c>
      <c r="K353" t="inlineStr">
        <is>
          <t>MARZO 2023</t>
        </is>
      </c>
      <c r="L353" t="inlineStr">
        <is>
          <t>MARZO 2024</t>
        </is>
      </c>
      <c r="M353" t="inlineStr">
        <is>
          <t>P.Q.S TIPO ABC</t>
        </is>
      </c>
      <c r="N353" t="inlineStr">
        <is>
          <t>701632</t>
        </is>
      </c>
      <c r="O353" t="inlineStr">
        <is>
          <t>R</t>
        </is>
      </c>
      <c r="P353">
        <f>TRIM(N353)</f>
        <v/>
      </c>
    </row>
    <row r="354">
      <c r="A354" t="inlineStr">
        <is>
          <t>CO-001289</t>
        </is>
      </c>
      <c r="B354" t="inlineStr">
        <is>
          <t>GRIT LABS S.A.C.</t>
        </is>
      </c>
      <c r="C354" t="inlineStr">
        <is>
          <t xml:space="preserve"> 20607381047</t>
        </is>
      </c>
      <c r="D354" t="inlineStr">
        <is>
          <t>AV. OSCAR R. BENAVIDES  NRO. 1862 - LIMA</t>
        </is>
      </c>
      <c r="E354" t="inlineStr">
        <is>
          <t>Lima, 09 de marzo de 2023</t>
        </is>
      </c>
      <c r="F354" t="inlineStr">
        <is>
          <t>la Recarga y mantenimiento</t>
        </is>
      </c>
      <c r="G354" t="n">
        <v>4</v>
      </c>
      <c r="H354" t="inlineStr">
        <is>
          <t>50 KG</t>
        </is>
      </c>
      <c r="I354" t="inlineStr">
        <is>
          <t>2028</t>
        </is>
      </c>
      <c r="J354" t="n">
        <v>2006</v>
      </c>
      <c r="K354" t="inlineStr">
        <is>
          <t>MARZO 2023</t>
        </is>
      </c>
      <c r="L354" t="inlineStr">
        <is>
          <t>MARZO 2024</t>
        </is>
      </c>
      <c r="M354" t="inlineStr">
        <is>
          <t>P.Q.S TIPO ABC</t>
        </is>
      </c>
      <c r="N354" t="inlineStr">
        <is>
          <t>181476</t>
        </is>
      </c>
      <c r="O354" t="inlineStr">
        <is>
          <t>R</t>
        </is>
      </c>
      <c r="P354">
        <f>TRIM(N354)</f>
        <v/>
      </c>
    </row>
    <row r="355">
      <c r="A355" t="inlineStr">
        <is>
          <t>CO-001289</t>
        </is>
      </c>
      <c r="B355" t="inlineStr">
        <is>
          <t>GRIT LABS S.A.C.</t>
        </is>
      </c>
      <c r="C355" t="inlineStr">
        <is>
          <t xml:space="preserve"> 20607381047</t>
        </is>
      </c>
      <c r="D355" t="inlineStr">
        <is>
          <t>AV. OSCAR R. BENAVIDES  NRO. 1862 - LIMA</t>
        </is>
      </c>
      <c r="E355" t="inlineStr">
        <is>
          <t>Lima, 09 de marzo de 2023</t>
        </is>
      </c>
      <c r="F355" t="inlineStr">
        <is>
          <t>la Recarga y mantenimiento</t>
        </is>
      </c>
      <c r="G355" t="n">
        <v>5</v>
      </c>
      <c r="H355" t="inlineStr">
        <is>
          <t>01 KG</t>
        </is>
      </c>
      <c r="I355" t="inlineStr">
        <is>
          <t>2028</t>
        </is>
      </c>
      <c r="J355" t="n">
        <v>2006</v>
      </c>
      <c r="K355" t="inlineStr">
        <is>
          <t>MARZO 2023</t>
        </is>
      </c>
      <c r="L355" t="inlineStr">
        <is>
          <t>MARZO 2024</t>
        </is>
      </c>
      <c r="M355" t="inlineStr">
        <is>
          <t>P.Q.S TIPO ABC</t>
        </is>
      </c>
      <c r="N355" t="inlineStr">
        <is>
          <t>S/N</t>
        </is>
      </c>
      <c r="O355" t="inlineStr">
        <is>
          <t>R</t>
        </is>
      </c>
      <c r="P355">
        <f>TRIM(N355)</f>
        <v/>
      </c>
    </row>
    <row r="356">
      <c r="A356" t="inlineStr">
        <is>
          <t>CO-001290</t>
        </is>
      </c>
      <c r="B356" t="inlineStr">
        <is>
          <t xml:space="preserve">MUEBLES MIYANA De: Amado Sipion </t>
        </is>
      </c>
      <c r="C356" t="inlineStr">
        <is>
          <t>10102153478</t>
        </is>
      </c>
      <c r="D356" t="inlineStr">
        <is>
          <t>JR. ALFONSO UGARTE Nº 180  (KM 19 - EL PROGRESO) - CARABAYLLO</t>
        </is>
      </c>
      <c r="E356" t="inlineStr">
        <is>
          <t>Lima,10 de marzo de 2023</t>
        </is>
      </c>
      <c r="F356" t="inlineStr">
        <is>
          <t>la Recarga y mantenimiento</t>
        </is>
      </c>
      <c r="G356" t="n">
        <v>1</v>
      </c>
      <c r="H356" t="inlineStr">
        <is>
          <t>06 KG</t>
        </is>
      </c>
      <c r="I356" t="inlineStr">
        <is>
          <t>VIGENTE</t>
        </is>
      </c>
      <c r="J356" t="n">
        <v>2014</v>
      </c>
      <c r="K356" t="inlineStr">
        <is>
          <t>MARZO 2023</t>
        </is>
      </c>
      <c r="L356" t="inlineStr">
        <is>
          <t>MARZO 2024</t>
        </is>
      </c>
      <c r="M356" t="inlineStr">
        <is>
          <t>P.Q.S TIPO ABC</t>
        </is>
      </c>
      <c r="N356" t="inlineStr">
        <is>
          <t>000274</t>
        </is>
      </c>
      <c r="O356" t="inlineStr">
        <is>
          <t>R</t>
        </is>
      </c>
      <c r="P356">
        <f>TRIM(N356)</f>
        <v/>
      </c>
    </row>
    <row r="357">
      <c r="A357" t="inlineStr">
        <is>
          <t>CO-001291</t>
        </is>
      </c>
      <c r="B357" t="inlineStr">
        <is>
          <t>LIBRERIA BAZAR KUSKALLA</t>
        </is>
      </c>
      <c r="C357" t="inlineStr">
        <is>
          <t>10084659121</t>
        </is>
      </c>
      <c r="D357" t="inlineStr">
        <is>
          <t>MZ "H" LT "16 " ASOC. LOS SAUCES DISTRITO DE PUENTE PIEDRA</t>
        </is>
      </c>
      <c r="E357" t="inlineStr">
        <is>
          <t>Lima,10 de marzo de 2023</t>
        </is>
      </c>
      <c r="F357" t="inlineStr">
        <is>
          <t>la Recarga y mantenimiento</t>
        </is>
      </c>
      <c r="G357" t="n">
        <v>1</v>
      </c>
      <c r="H357" t="inlineStr">
        <is>
          <t>06 KG</t>
        </is>
      </c>
      <c r="I357" t="inlineStr">
        <is>
          <t>VIGENTE</t>
        </is>
      </c>
      <c r="J357" t="n">
        <v>2014</v>
      </c>
      <c r="K357" t="inlineStr">
        <is>
          <t>MARZO 2023</t>
        </is>
      </c>
      <c r="L357" t="inlineStr">
        <is>
          <t>MARZO 2024</t>
        </is>
      </c>
      <c r="M357" t="inlineStr">
        <is>
          <t>P.Q.S TIPO ABC</t>
        </is>
      </c>
      <c r="N357" t="inlineStr">
        <is>
          <t>001095</t>
        </is>
      </c>
      <c r="O357" t="inlineStr">
        <is>
          <t>R</t>
        </is>
      </c>
      <c r="P357">
        <f>TRIM(N357)</f>
        <v/>
      </c>
    </row>
    <row r="358">
      <c r="A358" t="inlineStr">
        <is>
          <t>CO-001292</t>
        </is>
      </c>
      <c r="B358" t="inlineStr">
        <is>
          <t xml:space="preserve">MERCADO LA FRONTERA </t>
        </is>
      </c>
      <c r="D358" t="inlineStr">
        <is>
          <t xml:space="preserve">AV. MARIANO CONDORCANQUI  CRUCE CON AV. SEÑOR DE CAUDIVILLA </t>
        </is>
      </c>
      <c r="E358" t="inlineStr">
        <is>
          <t>Lima,10 de marzo de 2023</t>
        </is>
      </c>
      <c r="F358" t="inlineStr">
        <is>
          <t>la Recarga y mantenimiento</t>
        </is>
      </c>
      <c r="G358" t="n">
        <v>1</v>
      </c>
      <c r="H358" t="inlineStr">
        <is>
          <t>12 KG</t>
        </is>
      </c>
      <c r="I358" t="inlineStr">
        <is>
          <t>VIGENTE</t>
        </is>
      </c>
      <c r="J358" t="n">
        <v>2018</v>
      </c>
      <c r="K358" t="inlineStr">
        <is>
          <t>MARZO 2023</t>
        </is>
      </c>
      <c r="L358" t="inlineStr">
        <is>
          <t>MARZO 2024</t>
        </is>
      </c>
      <c r="M358" t="inlineStr">
        <is>
          <t>P.Q.S TIPO ABC</t>
        </is>
      </c>
      <c r="N358" t="inlineStr">
        <is>
          <t>000270</t>
        </is>
      </c>
      <c r="O358" t="inlineStr">
        <is>
          <t>R</t>
        </is>
      </c>
      <c r="P358">
        <f>TRIM(N358)</f>
        <v/>
      </c>
    </row>
    <row r="359">
      <c r="A359" t="inlineStr">
        <is>
          <t>CO-001292</t>
        </is>
      </c>
      <c r="B359" t="inlineStr">
        <is>
          <t xml:space="preserve">MERCADO LA FRONTERA </t>
        </is>
      </c>
      <c r="D359" t="inlineStr">
        <is>
          <t xml:space="preserve">AV. MARIANO CONDORCANQUI  CRUCE CON AV. SEÑOR DE CAUDIVILLA </t>
        </is>
      </c>
      <c r="E359" t="inlineStr">
        <is>
          <t>Lima,10 de marzo de 2023</t>
        </is>
      </c>
      <c r="F359" t="inlineStr">
        <is>
          <t>la Recarga y mantenimiento</t>
        </is>
      </c>
      <c r="G359" t="n">
        <v>2</v>
      </c>
      <c r="H359" t="inlineStr">
        <is>
          <t>12 KG</t>
        </is>
      </c>
      <c r="I359" t="inlineStr">
        <is>
          <t>2025</t>
        </is>
      </c>
      <c r="J359" t="n">
        <v>2020</v>
      </c>
      <c r="K359" t="inlineStr">
        <is>
          <t>MARZO 2023</t>
        </is>
      </c>
      <c r="L359" t="inlineStr">
        <is>
          <t>MARZO 2024</t>
        </is>
      </c>
      <c r="M359" t="inlineStr">
        <is>
          <t>P.Q.S TIPO ABC</t>
        </is>
      </c>
      <c r="N359" t="inlineStr">
        <is>
          <t>000972</t>
        </is>
      </c>
      <c r="O359" t="inlineStr">
        <is>
          <t>R</t>
        </is>
      </c>
      <c r="P359">
        <f>TRIM(N359)</f>
        <v/>
      </c>
    </row>
    <row r="360">
      <c r="A360" t="inlineStr">
        <is>
          <t>CO-001292</t>
        </is>
      </c>
      <c r="B360" t="inlineStr">
        <is>
          <t xml:space="preserve">MERCADO LA FRONTERA </t>
        </is>
      </c>
      <c r="D360" t="inlineStr">
        <is>
          <t xml:space="preserve">AV. MARIANO CONDORCANQUI  CRUCE CON AV. SEÑOR DE CAUDIVILLA </t>
        </is>
      </c>
      <c r="E360" t="inlineStr">
        <is>
          <t>Lima,10 de marzo de 2023</t>
        </is>
      </c>
      <c r="F360" t="inlineStr">
        <is>
          <t>la Recarga y mantenimiento</t>
        </is>
      </c>
      <c r="G360" t="n">
        <v>3</v>
      </c>
      <c r="H360" t="inlineStr">
        <is>
          <t>12 KG</t>
        </is>
      </c>
      <c r="I360" t="inlineStr">
        <is>
          <t>2025</t>
        </is>
      </c>
      <c r="J360" t="n">
        <v>2020</v>
      </c>
      <c r="K360" t="inlineStr">
        <is>
          <t>MARZO 2023</t>
        </is>
      </c>
      <c r="L360" t="inlineStr">
        <is>
          <t>MARZO 2024</t>
        </is>
      </c>
      <c r="M360" t="inlineStr">
        <is>
          <t>P.Q.S TIPO ABC</t>
        </is>
      </c>
      <c r="N360" t="inlineStr">
        <is>
          <t>001050</t>
        </is>
      </c>
      <c r="O360" t="inlineStr">
        <is>
          <t>R</t>
        </is>
      </c>
      <c r="P360">
        <f>TRIM(N360)</f>
        <v/>
      </c>
    </row>
    <row r="361">
      <c r="A361" t="inlineStr">
        <is>
          <t>CO-001292</t>
        </is>
      </c>
      <c r="B361" t="inlineStr">
        <is>
          <t xml:space="preserve">MERCADO LA FRONTERA </t>
        </is>
      </c>
      <c r="D361" t="inlineStr">
        <is>
          <t xml:space="preserve">AV. MARIANO CONDORCANQUI  CRUCE CON AV. SEÑOR DE CAUDIVILLA </t>
        </is>
      </c>
      <c r="E361" t="inlineStr">
        <is>
          <t>Lima,10 de marzo de 2023</t>
        </is>
      </c>
      <c r="F361" t="inlineStr">
        <is>
          <t>la Recarga y mantenimiento</t>
        </is>
      </c>
      <c r="G361" t="n">
        <v>4</v>
      </c>
      <c r="H361" t="inlineStr">
        <is>
          <t>12 KG</t>
        </is>
      </c>
      <c r="I361" t="inlineStr">
        <is>
          <t>2025</t>
        </is>
      </c>
      <c r="J361" t="n">
        <v>2020</v>
      </c>
      <c r="K361" t="inlineStr">
        <is>
          <t>MARZO 2023</t>
        </is>
      </c>
      <c r="L361" t="inlineStr">
        <is>
          <t>MARZO 2024</t>
        </is>
      </c>
      <c r="M361" t="inlineStr">
        <is>
          <t>P.Q.S TIPO ABC</t>
        </is>
      </c>
      <c r="N361" t="inlineStr">
        <is>
          <t>001090</t>
        </is>
      </c>
      <c r="O361" t="inlineStr">
        <is>
          <t>R</t>
        </is>
      </c>
      <c r="P361">
        <f>TRIM(N361)</f>
        <v/>
      </c>
    </row>
    <row r="362">
      <c r="A362" t="inlineStr">
        <is>
          <t>CO-001292</t>
        </is>
      </c>
      <c r="B362" t="inlineStr">
        <is>
          <t xml:space="preserve">MERCADO LA FRONTERA </t>
        </is>
      </c>
      <c r="D362" t="inlineStr">
        <is>
          <t xml:space="preserve">AV. MARIANO CONDORCANQUI  CRUCE CON AV. SEÑOR DE CAUDIVILLA </t>
        </is>
      </c>
      <c r="E362" t="inlineStr">
        <is>
          <t>Lima,10 de marzo de 2023</t>
        </is>
      </c>
      <c r="F362" t="inlineStr">
        <is>
          <t>la Recarga y mantenimiento</t>
        </is>
      </c>
      <c r="G362" t="n">
        <v>5</v>
      </c>
      <c r="H362" t="inlineStr">
        <is>
          <t>12 KG</t>
        </is>
      </c>
      <c r="I362" t="inlineStr">
        <is>
          <t>2025</t>
        </is>
      </c>
      <c r="J362" t="n">
        <v>2020</v>
      </c>
      <c r="K362" t="inlineStr">
        <is>
          <t>MARZO 2023</t>
        </is>
      </c>
      <c r="L362" t="inlineStr">
        <is>
          <t>MARZO 2024</t>
        </is>
      </c>
      <c r="M362" t="inlineStr">
        <is>
          <t>P.Q.S TIPO ABC</t>
        </is>
      </c>
      <c r="N362" t="inlineStr">
        <is>
          <t>001035</t>
        </is>
      </c>
      <c r="O362" t="inlineStr">
        <is>
          <t>R</t>
        </is>
      </c>
      <c r="P362">
        <f>TRIM(N362)</f>
        <v/>
      </c>
    </row>
    <row r="363">
      <c r="A363" t="inlineStr">
        <is>
          <t>CO-001292</t>
        </is>
      </c>
      <c r="B363" t="inlineStr">
        <is>
          <t xml:space="preserve">MERCADO LA FRONTERA </t>
        </is>
      </c>
      <c r="D363" t="inlineStr">
        <is>
          <t xml:space="preserve">AV. MARIANO CONDORCANQUI  CRUCE CON AV. SEÑOR DE CAUDIVILLA </t>
        </is>
      </c>
      <c r="E363" t="inlineStr">
        <is>
          <t>Lima,10 de marzo de 2023</t>
        </is>
      </c>
      <c r="F363" t="inlineStr">
        <is>
          <t>la Recarga y mantenimiento</t>
        </is>
      </c>
      <c r="G363" t="n">
        <v>6</v>
      </c>
      <c r="H363" t="inlineStr">
        <is>
          <t>12 KG</t>
        </is>
      </c>
      <c r="I363" t="inlineStr">
        <is>
          <t>2025</t>
        </is>
      </c>
      <c r="J363" t="n">
        <v>2020</v>
      </c>
      <c r="K363" t="inlineStr">
        <is>
          <t>MARZO 2023</t>
        </is>
      </c>
      <c r="L363" t="inlineStr">
        <is>
          <t>MARZO 2024</t>
        </is>
      </c>
      <c r="M363" t="inlineStr">
        <is>
          <t>P.Q.S TIPO ABC</t>
        </is>
      </c>
      <c r="N363" t="inlineStr">
        <is>
          <t>001015</t>
        </is>
      </c>
      <c r="O363" t="inlineStr">
        <is>
          <t>R</t>
        </is>
      </c>
      <c r="P363">
        <f>TRIM(N363)</f>
        <v/>
      </c>
    </row>
    <row r="364">
      <c r="A364" t="inlineStr">
        <is>
          <t>CO-001292</t>
        </is>
      </c>
      <c r="B364" t="inlineStr">
        <is>
          <t xml:space="preserve">MERCADO LA FRONTERA </t>
        </is>
      </c>
      <c r="D364" t="inlineStr">
        <is>
          <t xml:space="preserve">AV. MARIANO CONDORCANQUI  CRUCE CON AV. SEÑOR DE CAUDIVILLA </t>
        </is>
      </c>
      <c r="E364" t="inlineStr">
        <is>
          <t>Lima,10 de marzo de 2023</t>
        </is>
      </c>
      <c r="F364" t="inlineStr">
        <is>
          <t>la Recarga y mantenimiento</t>
        </is>
      </c>
      <c r="G364" t="n">
        <v>7</v>
      </c>
      <c r="H364" t="inlineStr">
        <is>
          <t>12 KG</t>
        </is>
      </c>
      <c r="I364" t="inlineStr">
        <is>
          <t>2025</t>
        </is>
      </c>
      <c r="J364" t="n">
        <v>2020</v>
      </c>
      <c r="K364" t="inlineStr">
        <is>
          <t>MARZO 2023</t>
        </is>
      </c>
      <c r="L364" t="inlineStr">
        <is>
          <t>MARZO 2024</t>
        </is>
      </c>
      <c r="M364" t="inlineStr">
        <is>
          <t>P.Q.S TIPO ABC</t>
        </is>
      </c>
      <c r="N364" t="inlineStr">
        <is>
          <t>000962</t>
        </is>
      </c>
      <c r="O364" t="inlineStr">
        <is>
          <t>R</t>
        </is>
      </c>
      <c r="P364">
        <f>TRIM(N364)</f>
        <v/>
      </c>
    </row>
    <row r="365">
      <c r="A365" t="inlineStr">
        <is>
          <t>CO-001292</t>
        </is>
      </c>
      <c r="B365" t="inlineStr">
        <is>
          <t xml:space="preserve">MERCADO LA FRONTERA </t>
        </is>
      </c>
      <c r="D365" t="inlineStr">
        <is>
          <t xml:space="preserve">AV. MARIANO CONDORCANQUI  CRUCE CON AV. SEÑOR DE CAUDIVILLA </t>
        </is>
      </c>
      <c r="E365" t="inlineStr">
        <is>
          <t>Lima,10 de marzo de 2023</t>
        </is>
      </c>
      <c r="F365" t="inlineStr">
        <is>
          <t>la Recarga y mantenimiento</t>
        </is>
      </c>
      <c r="G365" t="n">
        <v>8</v>
      </c>
      <c r="H365" t="inlineStr">
        <is>
          <t>12 KG</t>
        </is>
      </c>
      <c r="I365" t="inlineStr">
        <is>
          <t>2025</t>
        </is>
      </c>
      <c r="J365" t="n">
        <v>2020</v>
      </c>
      <c r="K365" t="inlineStr">
        <is>
          <t>MARZO 2023</t>
        </is>
      </c>
      <c r="L365" t="inlineStr">
        <is>
          <t>MARZO 2024</t>
        </is>
      </c>
      <c r="M365" t="inlineStr">
        <is>
          <t>P.Q.S TIPO ABC</t>
        </is>
      </c>
      <c r="N365" t="inlineStr">
        <is>
          <t>000987</t>
        </is>
      </c>
      <c r="O365" t="inlineStr">
        <is>
          <t>R</t>
        </is>
      </c>
      <c r="P365">
        <f>TRIM(N365)</f>
        <v/>
      </c>
    </row>
    <row r="366">
      <c r="A366" t="inlineStr">
        <is>
          <t>CO-001292</t>
        </is>
      </c>
      <c r="B366" t="inlineStr">
        <is>
          <t xml:space="preserve">MERCADO LA FRONTERA </t>
        </is>
      </c>
      <c r="D366" t="inlineStr">
        <is>
          <t xml:space="preserve">AV. MARIANO CONDORCANQUI  CRUCE CON AV. SEÑOR DE CAUDIVILLA </t>
        </is>
      </c>
      <c r="E366" t="inlineStr">
        <is>
          <t>Lima,10 de marzo de 2023</t>
        </is>
      </c>
      <c r="F366" t="inlineStr">
        <is>
          <t>la Recarga y mantenimiento</t>
        </is>
      </c>
      <c r="G366" t="n">
        <v>9</v>
      </c>
      <c r="H366" t="inlineStr">
        <is>
          <t>12 KG</t>
        </is>
      </c>
      <c r="I366" t="inlineStr">
        <is>
          <t>2025</t>
        </is>
      </c>
      <c r="J366" t="n">
        <v>2020</v>
      </c>
      <c r="K366" t="inlineStr">
        <is>
          <t>MARZO 2023</t>
        </is>
      </c>
      <c r="L366" t="inlineStr">
        <is>
          <t>MARZO 2024</t>
        </is>
      </c>
      <c r="M366" t="inlineStr">
        <is>
          <t>P.Q.S TIPO ABC</t>
        </is>
      </c>
      <c r="N366" t="inlineStr">
        <is>
          <t>001055</t>
        </is>
      </c>
      <c r="O366" t="inlineStr">
        <is>
          <t>R</t>
        </is>
      </c>
      <c r="P366">
        <f>TRIM(N366)</f>
        <v/>
      </c>
    </row>
    <row r="367">
      <c r="A367" t="inlineStr">
        <is>
          <t>CO-001293</t>
        </is>
      </c>
      <c r="B367" t="inlineStr">
        <is>
          <t>MAGALY CÓRDOBA CABRERA</t>
        </is>
      </c>
      <c r="D367" t="inlineStr">
        <is>
          <t>MERCADO LA FRONTERA - Puesto: C6</t>
        </is>
      </c>
      <c r="E367" t="inlineStr">
        <is>
          <t>Lima,10 de marzo de 2023</t>
        </is>
      </c>
      <c r="F367" t="inlineStr">
        <is>
          <t>la Recarga y mantenimiento</t>
        </is>
      </c>
      <c r="G367" t="n">
        <v>1</v>
      </c>
      <c r="H367" t="inlineStr">
        <is>
          <t>06 KG</t>
        </is>
      </c>
      <c r="I367" t="inlineStr">
        <is>
          <t>VIGENTE</t>
        </is>
      </c>
      <c r="J367" t="n">
        <v>2016</v>
      </c>
      <c r="K367" t="inlineStr">
        <is>
          <t>MARZO 2023</t>
        </is>
      </c>
      <c r="L367" t="inlineStr">
        <is>
          <t>MARZO 2024</t>
        </is>
      </c>
      <c r="M367" t="inlineStr">
        <is>
          <t>P.Q.S TIPO ABC</t>
        </is>
      </c>
      <c r="N367" t="inlineStr">
        <is>
          <t>000769</t>
        </is>
      </c>
      <c r="O367" t="inlineStr">
        <is>
          <t>R</t>
        </is>
      </c>
      <c r="P367">
        <f>TRIM(N367)</f>
        <v/>
      </c>
    </row>
    <row r="368">
      <c r="A368" t="inlineStr">
        <is>
          <t>CO-001294</t>
        </is>
      </c>
      <c r="B368" t="inlineStr">
        <is>
          <t xml:space="preserve">NAZARENA YAJAMANDO GUERRERO </t>
        </is>
      </c>
      <c r="D368" t="inlineStr">
        <is>
          <t>MERCADO LA FRONTERA - Puesto: F24</t>
        </is>
      </c>
      <c r="E368" t="inlineStr">
        <is>
          <t>Lima,10 de marzo de 2023</t>
        </is>
      </c>
      <c r="F368" t="inlineStr">
        <is>
          <t>la Recarga y mantenimiento</t>
        </is>
      </c>
      <c r="G368" t="n">
        <v>1</v>
      </c>
      <c r="H368" t="inlineStr">
        <is>
          <t>06 KG</t>
        </is>
      </c>
      <c r="I368" t="inlineStr">
        <is>
          <t>VIGENTE</t>
        </is>
      </c>
      <c r="J368" t="n">
        <v>2010</v>
      </c>
      <c r="K368" t="inlineStr">
        <is>
          <t>MARZO 2023</t>
        </is>
      </c>
      <c r="L368" t="inlineStr">
        <is>
          <t>MARZO 2024</t>
        </is>
      </c>
      <c r="M368" t="inlineStr">
        <is>
          <t>P.Q.S TIPO ABC</t>
        </is>
      </c>
      <c r="N368" t="inlineStr">
        <is>
          <t>003291</t>
        </is>
      </c>
      <c r="O368" t="inlineStr">
        <is>
          <t>R</t>
        </is>
      </c>
      <c r="P368">
        <f>TRIM(N368)</f>
        <v/>
      </c>
    </row>
    <row r="369">
      <c r="A369" t="inlineStr">
        <is>
          <t>CO-001295</t>
        </is>
      </c>
      <c r="B369" t="inlineStr">
        <is>
          <t xml:space="preserve">ANA MARÍA CRUZ </t>
        </is>
      </c>
      <c r="D369" t="inlineStr">
        <is>
          <t>MERCADO LA FRONTERA - Puesto: F23</t>
        </is>
      </c>
      <c r="E369" t="inlineStr">
        <is>
          <t>Lima,10 de marzo de 2023</t>
        </is>
      </c>
      <c r="F369" t="inlineStr">
        <is>
          <t>la Recarga y mantenimiento</t>
        </is>
      </c>
      <c r="G369" t="n">
        <v>1</v>
      </c>
      <c r="H369" t="inlineStr">
        <is>
          <t>1.5 GLS</t>
        </is>
      </c>
      <c r="I369" t="inlineStr">
        <is>
          <t>2024</t>
        </is>
      </c>
      <c r="J369" t="n">
        <v>2019</v>
      </c>
      <c r="K369" t="inlineStr">
        <is>
          <t>MARZO 2023</t>
        </is>
      </c>
      <c r="L369" t="inlineStr">
        <is>
          <t>MARZO 2024</t>
        </is>
      </c>
      <c r="M369" t="inlineStr">
        <is>
          <t xml:space="preserve">ACETATO TIPO K </t>
        </is>
      </c>
      <c r="N369" t="inlineStr">
        <is>
          <t>000150</t>
        </is>
      </c>
      <c r="O369" t="inlineStr">
        <is>
          <t>R</t>
        </is>
      </c>
      <c r="P369">
        <f>TRIM(N369)</f>
        <v/>
      </c>
    </row>
    <row r="370">
      <c r="A370" t="inlineStr">
        <is>
          <t>CO-001296</t>
        </is>
      </c>
      <c r="B370" t="inlineStr">
        <is>
          <t xml:space="preserve">VALENTINA HELADERIA Y CAFETERIA FINA  De: Jenifer Huaman Toscano </t>
        </is>
      </c>
      <c r="D370" t="inlineStr">
        <is>
          <t xml:space="preserve">AV. CALLE PARIS 181 - URB. EL PARRAL - COMAS </t>
        </is>
      </c>
      <c r="E370" t="inlineStr">
        <is>
          <t>Lima, 13 de Marzo de 2023</t>
        </is>
      </c>
      <c r="F370" t="inlineStr">
        <is>
          <t>la Recarga y mantenimiento</t>
        </is>
      </c>
      <c r="G370" t="n">
        <v>1</v>
      </c>
      <c r="H370" t="inlineStr">
        <is>
          <t>06 KG</t>
        </is>
      </c>
      <c r="I370" t="inlineStr">
        <is>
          <t>2022</t>
        </is>
      </c>
      <c r="J370" t="n">
        <v>2005</v>
      </c>
      <c r="K370" t="inlineStr">
        <is>
          <t>MARZO 2023</t>
        </is>
      </c>
      <c r="L370" t="inlineStr">
        <is>
          <t>MARZO 2024</t>
        </is>
      </c>
      <c r="M370" t="inlineStr">
        <is>
          <t>P.Q.S TIPO ABC</t>
        </is>
      </c>
      <c r="N370" t="inlineStr">
        <is>
          <t>000197</t>
        </is>
      </c>
      <c r="O370" t="inlineStr">
        <is>
          <t>R</t>
        </is>
      </c>
      <c r="P370">
        <f>TRIM(N370)</f>
        <v/>
      </c>
    </row>
    <row r="371">
      <c r="A371" t="inlineStr">
        <is>
          <t>CO-001297</t>
        </is>
      </c>
      <c r="B371" t="inlineStr">
        <is>
          <t>GRIT LABS S.A.C. De: Fernando Timana</t>
        </is>
      </c>
      <c r="C371" t="inlineStr">
        <is>
          <t xml:space="preserve"> 20607381047</t>
        </is>
      </c>
      <c r="D371" t="inlineStr">
        <is>
          <t>AV. OSCAR R. BENAVIDES  NRO. 1862 - LIMA</t>
        </is>
      </c>
      <c r="E371" t="inlineStr">
        <is>
          <t>Lima, 13 de Marzo de 2023</t>
        </is>
      </c>
      <c r="F371" t="inlineStr">
        <is>
          <t>la Recarga y mantenimiento</t>
        </is>
      </c>
      <c r="G371" t="n">
        <v>1</v>
      </c>
      <c r="H371" t="inlineStr">
        <is>
          <t>06 KG</t>
        </is>
      </c>
      <c r="I371" t="inlineStr">
        <is>
          <t>2028</t>
        </is>
      </c>
      <c r="J371" t="n">
        <v>2011</v>
      </c>
      <c r="K371" t="inlineStr">
        <is>
          <t>MARZO 2023</t>
        </is>
      </c>
      <c r="L371" t="inlineStr">
        <is>
          <t>MARZO 2024</t>
        </is>
      </c>
      <c r="M371" t="inlineStr">
        <is>
          <t>P.Q.S TIPO ABC</t>
        </is>
      </c>
      <c r="N371" t="inlineStr">
        <is>
          <t>003575</t>
        </is>
      </c>
      <c r="O371" t="inlineStr">
        <is>
          <t>R</t>
        </is>
      </c>
      <c r="P371">
        <f>TRIM(N371)</f>
        <v/>
      </c>
    </row>
    <row r="372">
      <c r="A372" t="inlineStr">
        <is>
          <t>CO-001298</t>
        </is>
      </c>
      <c r="B372" t="inlineStr">
        <is>
          <t xml:space="preserve">ELVIRA VEGA </t>
        </is>
      </c>
      <c r="D372" t="inlineStr">
        <is>
          <t>MERCADO  LA FRONTERA - Puesto F30</t>
        </is>
      </c>
      <c r="E372" t="inlineStr">
        <is>
          <t>Lima, 15 de Marzo de 2023</t>
        </is>
      </c>
      <c r="F372" t="inlineStr">
        <is>
          <t>la Recarga y mantenimiento</t>
        </is>
      </c>
      <c r="G372" t="n">
        <v>1</v>
      </c>
      <c r="H372" t="inlineStr">
        <is>
          <t>06 KG</t>
        </is>
      </c>
      <c r="I372" t="inlineStr">
        <is>
          <t>VIGENTE</t>
        </is>
      </c>
      <c r="J372" t="n">
        <v>2017</v>
      </c>
      <c r="K372" t="inlineStr">
        <is>
          <t>MARZO 2023</t>
        </is>
      </c>
      <c r="L372" t="inlineStr">
        <is>
          <t>MARZO 2024</t>
        </is>
      </c>
      <c r="M372" t="inlineStr">
        <is>
          <t>P.Q.S TIPO ABC</t>
        </is>
      </c>
      <c r="N372" t="inlineStr">
        <is>
          <t>000266</t>
        </is>
      </c>
      <c r="O372" t="inlineStr">
        <is>
          <t>R</t>
        </is>
      </c>
      <c r="P372">
        <f>TRIM(N372)</f>
        <v/>
      </c>
    </row>
    <row r="373">
      <c r="A373" t="inlineStr">
        <is>
          <t>CO-001299</t>
        </is>
      </c>
      <c r="B373" t="inlineStr">
        <is>
          <t xml:space="preserve">MERCADO LA FRONTERA </t>
        </is>
      </c>
      <c r="D373" t="inlineStr">
        <is>
          <t>MERCADO LA  FRONTERA PUESTO F7</t>
        </is>
      </c>
      <c r="E373" t="inlineStr">
        <is>
          <t>Lima, 15 de Marzo de 2023</t>
        </is>
      </c>
      <c r="F373" t="inlineStr">
        <is>
          <t>la Recarga y mantenimiento</t>
        </is>
      </c>
      <c r="G373" t="n">
        <v>1</v>
      </c>
      <c r="H373" t="inlineStr">
        <is>
          <t>06 KG</t>
        </is>
      </c>
      <c r="I373" t="inlineStr">
        <is>
          <t>VIGENTE</t>
        </is>
      </c>
      <c r="J373" t="n">
        <v>2016</v>
      </c>
      <c r="K373" t="inlineStr">
        <is>
          <t>MARZO 2023</t>
        </is>
      </c>
      <c r="L373" t="inlineStr">
        <is>
          <t>MARZO 2024</t>
        </is>
      </c>
      <c r="M373" t="inlineStr">
        <is>
          <t>P.Q.S TIPO ABC</t>
        </is>
      </c>
      <c r="N373" t="inlineStr">
        <is>
          <t>000426</t>
        </is>
      </c>
      <c r="O373" t="inlineStr">
        <is>
          <t>R</t>
        </is>
      </c>
      <c r="P373">
        <f>TRIM(N373)</f>
        <v/>
      </c>
    </row>
    <row r="374">
      <c r="A374" t="inlineStr">
        <is>
          <t>CO-001300</t>
        </is>
      </c>
      <c r="B374" t="inlineStr">
        <is>
          <t xml:space="preserve">JESSICA QUISPE DAVILA </t>
        </is>
      </c>
      <c r="D374" t="inlineStr">
        <is>
          <t>MERCADO LA  FRONTERA -Puesto C11</t>
        </is>
      </c>
      <c r="E374" t="inlineStr">
        <is>
          <t>Lima, 15 de Marzo de 2023</t>
        </is>
      </c>
      <c r="F374" t="inlineStr">
        <is>
          <t>la Recarga y mantenimiento</t>
        </is>
      </c>
      <c r="G374" t="n">
        <v>1</v>
      </c>
      <c r="H374" t="inlineStr">
        <is>
          <t>06 KG</t>
        </is>
      </c>
      <c r="I374" t="inlineStr">
        <is>
          <t>VIGENTE</t>
        </is>
      </c>
      <c r="J374" t="n">
        <v>2016</v>
      </c>
      <c r="K374" t="inlineStr">
        <is>
          <t>MARZO 2023</t>
        </is>
      </c>
      <c r="L374" t="inlineStr">
        <is>
          <t>MARZO 2024</t>
        </is>
      </c>
      <c r="M374" t="inlineStr">
        <is>
          <t>P.Q.S TIPO ABC</t>
        </is>
      </c>
      <c r="N374" t="inlineStr">
        <is>
          <t>007371</t>
        </is>
      </c>
      <c r="O374" t="inlineStr">
        <is>
          <t>R</t>
        </is>
      </c>
      <c r="P374">
        <f>TRIM(N374)</f>
        <v/>
      </c>
    </row>
    <row r="375">
      <c r="A375" t="inlineStr">
        <is>
          <t>CO-001301</t>
        </is>
      </c>
      <c r="B375" t="inlineStr">
        <is>
          <t xml:space="preserve">MERCADO LA FRONTERA </t>
        </is>
      </c>
      <c r="D375" t="inlineStr">
        <is>
          <t>MERCADO LA  FRONTERA PUESTO  F5</t>
        </is>
      </c>
      <c r="E375" t="inlineStr">
        <is>
          <t>Lima, 15 de Marzo de 2023</t>
        </is>
      </c>
      <c r="F375" t="inlineStr">
        <is>
          <t>la Recarga y mantenimiento</t>
        </is>
      </c>
      <c r="G375" t="n">
        <v>1</v>
      </c>
      <c r="H375" t="inlineStr">
        <is>
          <t>06 KG</t>
        </is>
      </c>
      <c r="I375" t="inlineStr">
        <is>
          <t>VIGENTE</t>
        </is>
      </c>
      <c r="J375" t="n">
        <v>2016</v>
      </c>
      <c r="K375" t="inlineStr">
        <is>
          <t>MARZO 2023</t>
        </is>
      </c>
      <c r="L375" t="inlineStr">
        <is>
          <t>MARZO 2024</t>
        </is>
      </c>
      <c r="M375" t="inlineStr">
        <is>
          <t>P.Q.S TIPO ABC</t>
        </is>
      </c>
      <c r="N375" t="inlineStr">
        <is>
          <t>001188</t>
        </is>
      </c>
      <c r="O375" t="inlineStr">
        <is>
          <t>R</t>
        </is>
      </c>
      <c r="P375">
        <f>TRIM(N375)</f>
        <v/>
      </c>
    </row>
    <row r="376">
      <c r="A376" t="inlineStr">
        <is>
          <t>CO-001302</t>
        </is>
      </c>
      <c r="B376" t="inlineStr">
        <is>
          <t>EMPRESA DE TRANSPORTES  APOCALIPSIS  S.A</t>
        </is>
      </c>
      <c r="C376" t="inlineStr">
        <is>
          <t>20120578813</t>
        </is>
      </c>
      <c r="D376" t="inlineStr">
        <is>
          <t xml:space="preserve">AV. TUPAC AMARU NRO. 7612 A.H. AÑO NUEVO- ZONA C </t>
        </is>
      </c>
      <c r="E376" t="inlineStr">
        <is>
          <t>Lima, 16 de Marzo de 2023</t>
        </is>
      </c>
      <c r="F376" t="inlineStr">
        <is>
          <t>la Recarga y mantenimiento</t>
        </is>
      </c>
      <c r="G376" t="n">
        <v>1</v>
      </c>
      <c r="H376" t="inlineStr">
        <is>
          <t>12 KG</t>
        </is>
      </c>
      <c r="I376" t="inlineStr">
        <is>
          <t>VIGENTE</t>
        </is>
      </c>
      <c r="J376" t="n">
        <v>2018</v>
      </c>
      <c r="K376" t="inlineStr">
        <is>
          <t>MARZO 2023</t>
        </is>
      </c>
      <c r="L376" t="inlineStr">
        <is>
          <t>MARZO 2024</t>
        </is>
      </c>
      <c r="M376" t="inlineStr">
        <is>
          <t>P.Q.S TIPO ABC</t>
        </is>
      </c>
      <c r="N376" t="inlineStr">
        <is>
          <t>000893</t>
        </is>
      </c>
      <c r="O376" t="inlineStr">
        <is>
          <t>R</t>
        </is>
      </c>
      <c r="P376">
        <f>TRIM(N376)</f>
        <v/>
      </c>
    </row>
    <row r="377">
      <c r="A377" t="inlineStr">
        <is>
          <t>CO-001303</t>
        </is>
      </c>
      <c r="B377" t="inlineStr">
        <is>
          <t>EMPRESA DE TRANSPORTES  APOCALIPSIS  S.A</t>
        </is>
      </c>
      <c r="C377" t="inlineStr">
        <is>
          <t>20120578813</t>
        </is>
      </c>
      <c r="D377" t="inlineStr">
        <is>
          <t xml:space="preserve">AV. TUPAC AMARU NRO. 7612 A.H. AÑO NUEVO- ZONA C </t>
        </is>
      </c>
      <c r="E377" t="inlineStr">
        <is>
          <t>Lima, 16 de Marzo de 2023</t>
        </is>
      </c>
      <c r="F377" t="inlineStr">
        <is>
          <t>la Recarga y mantenimiento</t>
        </is>
      </c>
      <c r="G377" t="n">
        <v>2</v>
      </c>
      <c r="H377" t="inlineStr">
        <is>
          <t>12 KG</t>
        </is>
      </c>
      <c r="I377" t="inlineStr">
        <is>
          <t>VIGENTE</t>
        </is>
      </c>
      <c r="J377" t="n">
        <v>2017</v>
      </c>
      <c r="K377" t="inlineStr">
        <is>
          <t>MARZO 2023</t>
        </is>
      </c>
      <c r="L377" t="inlineStr">
        <is>
          <t>MARZO 2024</t>
        </is>
      </c>
      <c r="M377" t="inlineStr">
        <is>
          <t>P.Q.S TIPO ABC</t>
        </is>
      </c>
      <c r="N377" t="inlineStr">
        <is>
          <t>001226</t>
        </is>
      </c>
      <c r="O377" t="inlineStr">
        <is>
          <t>R</t>
        </is>
      </c>
      <c r="P377">
        <f>TRIM(N377)</f>
        <v/>
      </c>
    </row>
    <row r="378">
      <c r="A378" t="inlineStr">
        <is>
          <t>CO-001304</t>
        </is>
      </c>
      <c r="B378" t="inlineStr">
        <is>
          <t>HUGO ZEVALLOS</t>
        </is>
      </c>
      <c r="D378" t="inlineStr">
        <is>
          <t>JR. TUNGASUCA 133 - AÑO NUEVO</t>
        </is>
      </c>
      <c r="E378" t="inlineStr">
        <is>
          <t>Lima, 17 de Marzo de 2023</t>
        </is>
      </c>
      <c r="F378" t="inlineStr">
        <is>
          <t>la Recarga y mantenimiento</t>
        </is>
      </c>
      <c r="G378" t="n">
        <v>1</v>
      </c>
      <c r="H378" t="inlineStr">
        <is>
          <t>04 KG</t>
        </is>
      </c>
      <c r="I378" t="inlineStr">
        <is>
          <t>VIGENTE</t>
        </is>
      </c>
      <c r="J378" t="n">
        <v>2015</v>
      </c>
      <c r="K378" t="inlineStr">
        <is>
          <t>MARZO 2023</t>
        </is>
      </c>
      <c r="L378" t="inlineStr">
        <is>
          <t>MARZO 2024</t>
        </is>
      </c>
      <c r="M378" t="inlineStr">
        <is>
          <t>P.Q.S TIPO ABC</t>
        </is>
      </c>
      <c r="N378" t="inlineStr">
        <is>
          <t>001663</t>
        </is>
      </c>
      <c r="O378" t="inlineStr">
        <is>
          <t>R</t>
        </is>
      </c>
      <c r="P378">
        <f>TRIM(N378)</f>
        <v/>
      </c>
    </row>
    <row r="379">
      <c r="A379" t="inlineStr">
        <is>
          <t>CO-001305</t>
        </is>
      </c>
      <c r="B379" t="inlineStr">
        <is>
          <t>JHON ALEX JAVIER RESURRECCION</t>
        </is>
      </c>
      <c r="C379" t="inlineStr">
        <is>
          <t>DNI: 42047258</t>
        </is>
      </c>
      <c r="D379" t="inlineStr">
        <is>
          <t>AV. REVOLUCIÓN 1693 COLLIQUE - 3RA ZONA</t>
        </is>
      </c>
      <c r="E379" t="inlineStr">
        <is>
          <t>Lima, 06 de marzo de 2023</t>
        </is>
      </c>
      <c r="F379" t="inlineStr">
        <is>
          <t>la venta</t>
        </is>
      </c>
      <c r="G379" t="n">
        <v>1</v>
      </c>
      <c r="H379" t="inlineStr">
        <is>
          <t>04 KG</t>
        </is>
      </c>
      <c r="I379" t="inlineStr">
        <is>
          <t>2027</t>
        </is>
      </c>
      <c r="J379" t="n">
        <v>2022</v>
      </c>
      <c r="K379" t="inlineStr">
        <is>
          <t>MARZO 2023</t>
        </is>
      </c>
      <c r="L379" t="inlineStr">
        <is>
          <t>MARZO 2024</t>
        </is>
      </c>
      <c r="M379" t="inlineStr">
        <is>
          <t>P.Q.S TIPO ABC</t>
        </is>
      </c>
      <c r="N379" t="inlineStr">
        <is>
          <t>003501</t>
        </is>
      </c>
      <c r="O379" t="inlineStr">
        <is>
          <t>V</t>
        </is>
      </c>
      <c r="P379">
        <f>TRIM(N379)</f>
        <v/>
      </c>
    </row>
    <row r="380">
      <c r="A380" t="inlineStr">
        <is>
          <t>CO-001306</t>
        </is>
      </c>
      <c r="B380" t="inlineStr">
        <is>
          <t>MAGALY SALVADOR ALVARADO</t>
        </is>
      </c>
      <c r="D380" t="inlineStr">
        <is>
          <t>ANDRES A. CACERES  N° 353 - 2DA ZONA DE COLLIQUE</t>
        </is>
      </c>
      <c r="E380" t="inlineStr">
        <is>
          <t>Lima, 20 de Marzo de 2023</t>
        </is>
      </c>
      <c r="F380" t="inlineStr">
        <is>
          <t>la Recarga y mantenimiento</t>
        </is>
      </c>
      <c r="G380" t="n">
        <v>1</v>
      </c>
      <c r="H380" t="inlineStr">
        <is>
          <t>06 KG</t>
        </is>
      </c>
      <c r="I380" t="inlineStr">
        <is>
          <t>VIGENTE</t>
        </is>
      </c>
      <c r="J380" t="n">
        <v>2018</v>
      </c>
      <c r="K380" t="inlineStr">
        <is>
          <t>MARZO 2023</t>
        </is>
      </c>
      <c r="L380" t="inlineStr">
        <is>
          <t>MARZO 2024</t>
        </is>
      </c>
      <c r="M380" t="inlineStr">
        <is>
          <t>P.Q.S TIPO ABC</t>
        </is>
      </c>
      <c r="N380" t="inlineStr">
        <is>
          <t>000001</t>
        </is>
      </c>
      <c r="O380" t="inlineStr">
        <is>
          <t>R</t>
        </is>
      </c>
      <c r="P380">
        <f>TRIM(N380)</f>
        <v/>
      </c>
    </row>
    <row r="381">
      <c r="A381" t="inlineStr">
        <is>
          <t>CO-001307</t>
        </is>
      </c>
      <c r="B381" t="inlineStr">
        <is>
          <t>JORGE LUIS AGUIRRE CARHUAS</t>
        </is>
      </c>
      <c r="C381" t="inlineStr">
        <is>
          <t>DNI :41981911</t>
        </is>
      </c>
      <c r="D381" t="inlineStr">
        <is>
          <t>PLACA: C1U-400</t>
        </is>
      </c>
      <c r="E381" t="inlineStr">
        <is>
          <t>Lima, 21 de Marzo de 2023</t>
        </is>
      </c>
      <c r="F381" t="inlineStr">
        <is>
          <t>la venta</t>
        </is>
      </c>
      <c r="G381" t="n">
        <v>1</v>
      </c>
      <c r="H381" t="inlineStr">
        <is>
          <t>02 KG</t>
        </is>
      </c>
      <c r="I381" t="inlineStr">
        <is>
          <t>2027</t>
        </is>
      </c>
      <c r="J381" t="n">
        <v>2022</v>
      </c>
      <c r="K381" t="inlineStr">
        <is>
          <t>MARZO 2023</t>
        </is>
      </c>
      <c r="L381" t="inlineStr">
        <is>
          <t>MARZO 2024</t>
        </is>
      </c>
      <c r="M381" t="inlineStr">
        <is>
          <t>P.Q.S TIPO ABC</t>
        </is>
      </c>
      <c r="N381" t="inlineStr">
        <is>
          <t>000033</t>
        </is>
      </c>
      <c r="O381" t="inlineStr">
        <is>
          <t>V</t>
        </is>
      </c>
      <c r="P381">
        <f>TRIM(N381)</f>
        <v/>
      </c>
    </row>
    <row r="382">
      <c r="A382" t="inlineStr">
        <is>
          <t>CO-001308</t>
        </is>
      </c>
      <c r="B382" t="inlineStr">
        <is>
          <t>PERU MASIVO S.A.</t>
        </is>
      </c>
      <c r="C382" t="inlineStr">
        <is>
          <t>20492392031</t>
        </is>
      </c>
      <c r="D382" t="inlineStr">
        <is>
          <t>AV. LOS INCAS CDRA. 4 PATIO NORTE - COMAS</t>
        </is>
      </c>
      <c r="E382" t="inlineStr">
        <is>
          <t>Lima, 23 de Marzo de 2023</t>
        </is>
      </c>
      <c r="F382" t="inlineStr">
        <is>
          <t>la Recarga y mantenimiento</t>
        </is>
      </c>
      <c r="G382" t="inlineStr">
        <is>
          <t>1</t>
        </is>
      </c>
      <c r="H382" t="inlineStr">
        <is>
          <t>06 KG</t>
        </is>
      </c>
      <c r="I382" t="inlineStr">
        <is>
          <t>2021</t>
        </is>
      </c>
      <c r="J382" t="n">
        <v>2010</v>
      </c>
      <c r="K382" t="inlineStr">
        <is>
          <t>MARZO 2023</t>
        </is>
      </c>
      <c r="L382" t="inlineStr">
        <is>
          <t>MARZO 2024</t>
        </is>
      </c>
      <c r="M382" t="inlineStr">
        <is>
          <t xml:space="preserve">P.Q.S TIPO ABC AL 90% NACIONAL </t>
        </is>
      </c>
      <c r="N382" t="inlineStr">
        <is>
          <t>220 / 000882</t>
        </is>
      </c>
      <c r="O382" t="inlineStr">
        <is>
          <t>R</t>
        </is>
      </c>
      <c r="P382">
        <f>TRIM(N382)</f>
        <v/>
      </c>
    </row>
    <row r="383">
      <c r="A383" t="inlineStr">
        <is>
          <t>CO-001308</t>
        </is>
      </c>
      <c r="B383" t="inlineStr">
        <is>
          <t>PERU MASIVO S.A.</t>
        </is>
      </c>
      <c r="C383" t="inlineStr">
        <is>
          <t>20492392031</t>
        </is>
      </c>
      <c r="D383" t="inlineStr">
        <is>
          <t>AV. LOS INCAS CDRA. 4 PATIO NORTE - COMAS</t>
        </is>
      </c>
      <c r="E383" t="inlineStr">
        <is>
          <t>Lima, 23 de Marzo de 2023</t>
        </is>
      </c>
      <c r="F383" t="inlineStr">
        <is>
          <t>la Recarga y mantenimiento</t>
        </is>
      </c>
      <c r="G383" t="n">
        <v>2</v>
      </c>
      <c r="H383" t="inlineStr">
        <is>
          <t>06 KG</t>
        </is>
      </c>
      <c r="I383" t="inlineStr">
        <is>
          <t>2021</t>
        </is>
      </c>
      <c r="J383" t="n">
        <v>2009</v>
      </c>
      <c r="K383" t="inlineStr">
        <is>
          <t>MARZO 2023</t>
        </is>
      </c>
      <c r="L383" t="inlineStr">
        <is>
          <t>MARZO 2024</t>
        </is>
      </c>
      <c r="M383" t="inlineStr">
        <is>
          <t xml:space="preserve">P.Q.S TIPO ABC AL 90% NACIONAL </t>
        </is>
      </c>
      <c r="N383" t="inlineStr">
        <is>
          <t>207 / 000768</t>
        </is>
      </c>
      <c r="O383" t="inlineStr">
        <is>
          <t>R</t>
        </is>
      </c>
      <c r="P383">
        <f>TRIM(N383)</f>
        <v/>
      </c>
    </row>
    <row r="384">
      <c r="A384" t="inlineStr">
        <is>
          <t>CO-001308</t>
        </is>
      </c>
      <c r="B384" t="inlineStr">
        <is>
          <t>PERU MASIVO S.A.</t>
        </is>
      </c>
      <c r="C384" t="inlineStr">
        <is>
          <t>20492392031</t>
        </is>
      </c>
      <c r="D384" t="inlineStr">
        <is>
          <t>AV. LOS INCAS CDRA. 4 PATIO NORTE - COMAS</t>
        </is>
      </c>
      <c r="E384" t="inlineStr">
        <is>
          <t>Lima, 23 de Marzo de 2023</t>
        </is>
      </c>
      <c r="F384" t="inlineStr">
        <is>
          <t>la Recarga y mantenimiento</t>
        </is>
      </c>
      <c r="G384" t="n">
        <v>3</v>
      </c>
      <c r="H384" t="inlineStr">
        <is>
          <t>06 KG</t>
        </is>
      </c>
      <c r="I384" t="n">
        <v>2021</v>
      </c>
      <c r="J384" t="n">
        <v>2009</v>
      </c>
      <c r="K384" t="inlineStr">
        <is>
          <t>MARZO 2023</t>
        </is>
      </c>
      <c r="L384" t="inlineStr">
        <is>
          <t>MARZO 2024</t>
        </is>
      </c>
      <c r="M384" t="inlineStr">
        <is>
          <t xml:space="preserve">P.Q.S TIPO ABC AL 90% NACIONAL </t>
        </is>
      </c>
      <c r="N384" t="inlineStr">
        <is>
          <t>181 / 001803</t>
        </is>
      </c>
      <c r="O384" t="inlineStr">
        <is>
          <t>R</t>
        </is>
      </c>
      <c r="P384">
        <f>TRIM(N384)</f>
        <v/>
      </c>
    </row>
    <row r="385">
      <c r="A385" t="inlineStr">
        <is>
          <t>CO-001308</t>
        </is>
      </c>
      <c r="B385" t="inlineStr">
        <is>
          <t>PERU MASIVO S.A.</t>
        </is>
      </c>
      <c r="C385" t="inlineStr">
        <is>
          <t>20492392031</t>
        </is>
      </c>
      <c r="D385" t="inlineStr">
        <is>
          <t>AV. LOS INCAS CDRA. 4 PATIO NORTE - COMAS</t>
        </is>
      </c>
      <c r="E385" t="inlineStr">
        <is>
          <t>Lima, 23 de Marzo de 2023</t>
        </is>
      </c>
      <c r="F385" t="inlineStr">
        <is>
          <t>la Recarga y mantenimiento</t>
        </is>
      </c>
      <c r="G385" t="n">
        <v>4</v>
      </c>
      <c r="H385" t="inlineStr">
        <is>
          <t>06 KG</t>
        </is>
      </c>
      <c r="I385" t="n">
        <v>2020</v>
      </c>
      <c r="J385" t="n">
        <v>2015</v>
      </c>
      <c r="K385" t="inlineStr">
        <is>
          <t>MARZO 2023</t>
        </is>
      </c>
      <c r="L385" t="inlineStr">
        <is>
          <t>MARZO 2024</t>
        </is>
      </c>
      <c r="M385" t="inlineStr">
        <is>
          <t xml:space="preserve">P.Q.S TIPO ABC AL 90% NACIONAL </t>
        </is>
      </c>
      <c r="N385" t="inlineStr">
        <is>
          <t>S/N / 000341</t>
        </is>
      </c>
      <c r="O385" t="inlineStr">
        <is>
          <t>R</t>
        </is>
      </c>
      <c r="P385">
        <f>TRIM(N385)</f>
        <v/>
      </c>
    </row>
    <row r="386">
      <c r="A386" t="inlineStr">
        <is>
          <t>CO-001308</t>
        </is>
      </c>
      <c r="B386" t="inlineStr">
        <is>
          <t>PERU MASIVO S.A.</t>
        </is>
      </c>
      <c r="C386" t="inlineStr">
        <is>
          <t>20492392031</t>
        </is>
      </c>
      <c r="D386" t="inlineStr">
        <is>
          <t>AV. LOS INCAS CDRA. 4 PATIO NORTE - COMAS</t>
        </is>
      </c>
      <c r="E386" t="inlineStr">
        <is>
          <t>Lima, 23 de Marzo de 2023</t>
        </is>
      </c>
      <c r="F386" t="inlineStr">
        <is>
          <t>la Recarga y mantenimiento</t>
        </is>
      </c>
      <c r="G386" t="n">
        <v>5</v>
      </c>
      <c r="H386" t="inlineStr">
        <is>
          <t>06 KG</t>
        </is>
      </c>
      <c r="I386" t="n">
        <v>2021</v>
      </c>
      <c r="J386" t="n">
        <v>2010</v>
      </c>
      <c r="K386" t="inlineStr">
        <is>
          <t>MARZO 2023</t>
        </is>
      </c>
      <c r="L386" t="inlineStr">
        <is>
          <t>MARZO 2024</t>
        </is>
      </c>
      <c r="M386" t="inlineStr">
        <is>
          <t xml:space="preserve">P.Q.S TIPO ABC AL 90% NACIONAL </t>
        </is>
      </c>
      <c r="N386" t="inlineStr">
        <is>
          <t>252 / 002751</t>
        </is>
      </c>
      <c r="O386" t="inlineStr">
        <is>
          <t>R</t>
        </is>
      </c>
      <c r="P386">
        <f>TRIM(N386)</f>
        <v/>
      </c>
    </row>
    <row r="387">
      <c r="A387" t="inlineStr">
        <is>
          <t>CO-001308</t>
        </is>
      </c>
      <c r="B387" t="inlineStr">
        <is>
          <t>PERU MASIVO S.A.</t>
        </is>
      </c>
      <c r="C387" t="inlineStr">
        <is>
          <t>20492392031</t>
        </is>
      </c>
      <c r="D387" t="inlineStr">
        <is>
          <t>AV. LOS INCAS CDRA. 4 PATIO NORTE - COMAS</t>
        </is>
      </c>
      <c r="E387" t="inlineStr">
        <is>
          <t>Lima, 23 de Marzo de 2023</t>
        </is>
      </c>
      <c r="F387" t="inlineStr">
        <is>
          <t>la Recarga y mantenimiento</t>
        </is>
      </c>
      <c r="G387" t="n">
        <v>6</v>
      </c>
      <c r="H387" t="inlineStr">
        <is>
          <t>06 KG</t>
        </is>
      </c>
      <c r="I387" t="n">
        <v>2020</v>
      </c>
      <c r="J387" t="n">
        <v>2009</v>
      </c>
      <c r="K387" t="inlineStr">
        <is>
          <t>MARZO 2023</t>
        </is>
      </c>
      <c r="L387" t="inlineStr">
        <is>
          <t>MARZO 2024</t>
        </is>
      </c>
      <c r="M387" t="inlineStr">
        <is>
          <t xml:space="preserve">P.Q.S TIPO ABC AL 90% NACIONAL </t>
        </is>
      </c>
      <c r="N387" t="inlineStr">
        <is>
          <t>182 / 001279</t>
        </is>
      </c>
      <c r="O387" t="inlineStr">
        <is>
          <t>R</t>
        </is>
      </c>
      <c r="P387">
        <f>TRIM(N387)</f>
        <v/>
      </c>
    </row>
    <row r="388">
      <c r="A388" t="inlineStr">
        <is>
          <t>CO-001308</t>
        </is>
      </c>
      <c r="B388" t="inlineStr">
        <is>
          <t>PERU MASIVO S.A.</t>
        </is>
      </c>
      <c r="C388" t="inlineStr">
        <is>
          <t>20492392031</t>
        </is>
      </c>
      <c r="D388" t="inlineStr">
        <is>
          <t>AV. LOS INCAS CDRA. 4 PATIO NORTE - COMAS</t>
        </is>
      </c>
      <c r="E388" t="inlineStr">
        <is>
          <t>Lima, 23 de Marzo de 2023</t>
        </is>
      </c>
      <c r="F388" t="inlineStr">
        <is>
          <t>la Recarga y mantenimiento</t>
        </is>
      </c>
      <c r="G388" t="n">
        <v>7</v>
      </c>
      <c r="H388" t="inlineStr">
        <is>
          <t>06 KG</t>
        </is>
      </c>
      <c r="I388" t="n">
        <v>2021</v>
      </c>
      <c r="J388" t="n">
        <v>2009</v>
      </c>
      <c r="K388" t="inlineStr">
        <is>
          <t>MARZO 2023</t>
        </is>
      </c>
      <c r="L388" t="inlineStr">
        <is>
          <t>MARZO 2024</t>
        </is>
      </c>
      <c r="M388" t="inlineStr">
        <is>
          <t xml:space="preserve">P.Q.S TIPO ABC AL 90% NACIONAL </t>
        </is>
      </c>
      <c r="N388" t="inlineStr">
        <is>
          <t>259 / 000105</t>
        </is>
      </c>
      <c r="O388" t="inlineStr">
        <is>
          <t>R</t>
        </is>
      </c>
      <c r="P388">
        <f>TRIM(N388)</f>
        <v/>
      </c>
    </row>
    <row r="389">
      <c r="A389" t="inlineStr">
        <is>
          <t>CO-001308</t>
        </is>
      </c>
      <c r="B389" t="inlineStr">
        <is>
          <t>PERU MASIVO S.A.</t>
        </is>
      </c>
      <c r="C389" t="inlineStr">
        <is>
          <t>20492392031</t>
        </is>
      </c>
      <c r="D389" t="inlineStr">
        <is>
          <t>AV. LOS INCAS CDRA. 4 PATIO NORTE - COMAS</t>
        </is>
      </c>
      <c r="E389" t="inlineStr">
        <is>
          <t>Lima, 23 de Marzo de 2023</t>
        </is>
      </c>
      <c r="F389" t="inlineStr">
        <is>
          <t>la Recarga y mantenimiento</t>
        </is>
      </c>
      <c r="G389" t="n">
        <v>8</v>
      </c>
      <c r="H389" t="inlineStr">
        <is>
          <t>06 KG</t>
        </is>
      </c>
      <c r="I389" t="n">
        <v>2022</v>
      </c>
      <c r="J389" t="n">
        <v>2009</v>
      </c>
      <c r="K389" t="inlineStr">
        <is>
          <t>MARZO 2023</t>
        </is>
      </c>
      <c r="L389" t="inlineStr">
        <is>
          <t>MARZO 2024</t>
        </is>
      </c>
      <c r="M389" t="inlineStr">
        <is>
          <t xml:space="preserve">P.Q.S TIPO ABC AL 90% NACIONAL </t>
        </is>
      </c>
      <c r="N389" t="inlineStr">
        <is>
          <t>91 / 001375</t>
        </is>
      </c>
      <c r="O389" t="inlineStr">
        <is>
          <t>R</t>
        </is>
      </c>
      <c r="P389">
        <f>TRIM(N389)</f>
        <v/>
      </c>
    </row>
    <row r="390">
      <c r="A390" t="inlineStr">
        <is>
          <t>CO-001309</t>
        </is>
      </c>
      <c r="B390" t="inlineStr">
        <is>
          <t>EMPRESA DE TRANSPORTES ONCE DE NOVIEMBRE</t>
        </is>
      </c>
      <c r="C390" t="inlineStr">
        <is>
          <t>PLACA:</t>
        </is>
      </c>
      <c r="D390" t="inlineStr">
        <is>
          <t>Ex – Hacienda Punchauca - Carabayllo</t>
        </is>
      </c>
      <c r="E390" t="inlineStr">
        <is>
          <t>Lima, 23 de Marzo de 2023</t>
        </is>
      </c>
      <c r="F390" t="inlineStr">
        <is>
          <t>la Recarga y mantenimiento</t>
        </is>
      </c>
      <c r="G390" t="n">
        <v>1</v>
      </c>
      <c r="H390" t="inlineStr">
        <is>
          <t>06 KG</t>
        </is>
      </c>
      <c r="I390" t="inlineStr">
        <is>
          <t>VIGENTE</t>
        </is>
      </c>
      <c r="J390" t="n">
        <v>2022</v>
      </c>
      <c r="K390" t="inlineStr">
        <is>
          <t>MARZO 2023</t>
        </is>
      </c>
      <c r="L390" t="inlineStr">
        <is>
          <t>MARZO 2024</t>
        </is>
      </c>
      <c r="M390" t="inlineStr">
        <is>
          <t>P.Q.S TIPO ABC</t>
        </is>
      </c>
      <c r="N390" t="inlineStr">
        <is>
          <t>000254</t>
        </is>
      </c>
      <c r="O390" t="inlineStr">
        <is>
          <t>R</t>
        </is>
      </c>
      <c r="P390">
        <f>TRIM(N390)</f>
        <v/>
      </c>
    </row>
    <row r="391">
      <c r="A391" t="inlineStr">
        <is>
          <t>CO-001310</t>
        </is>
      </c>
      <c r="B391" t="inlineStr">
        <is>
          <t>EMPRESA DE TRANSPORTES ONCE DE NOVIEMBRE</t>
        </is>
      </c>
      <c r="C391" t="inlineStr">
        <is>
          <t>PLACA:</t>
        </is>
      </c>
      <c r="D391" t="inlineStr">
        <is>
          <t>Ex – Hacienda Punchauca - Carabayllo</t>
        </is>
      </c>
      <c r="E391" t="inlineStr">
        <is>
          <t>Lima, 23 de Marzo de 2023</t>
        </is>
      </c>
      <c r="F391" t="inlineStr">
        <is>
          <t>la Recarga y mantenimiento</t>
        </is>
      </c>
      <c r="G391" t="n">
        <v>2</v>
      </c>
      <c r="H391" t="inlineStr">
        <is>
          <t>06 KG</t>
        </is>
      </c>
      <c r="I391" t="inlineStr">
        <is>
          <t>VIGENTE</t>
        </is>
      </c>
      <c r="J391" t="n">
        <v>2016</v>
      </c>
      <c r="K391" t="inlineStr">
        <is>
          <t>MARZO 2023</t>
        </is>
      </c>
      <c r="L391" t="inlineStr">
        <is>
          <t>MARZO 2024</t>
        </is>
      </c>
      <c r="M391" t="inlineStr">
        <is>
          <t>P.Q.S TIPO ABC</t>
        </is>
      </c>
      <c r="N391" t="inlineStr">
        <is>
          <t>000309</t>
        </is>
      </c>
      <c r="O391" t="inlineStr">
        <is>
          <t>R</t>
        </is>
      </c>
      <c r="P391">
        <f>TRIM(N391)</f>
        <v/>
      </c>
    </row>
    <row r="392">
      <c r="A392" t="inlineStr">
        <is>
          <t>CO-001311</t>
        </is>
      </c>
      <c r="B392" t="inlineStr">
        <is>
          <t>EMPRESA DE TRANSPORTES ONCE DE NOVIEMBRE</t>
        </is>
      </c>
      <c r="C392" t="inlineStr">
        <is>
          <t>PLACA:</t>
        </is>
      </c>
      <c r="D392" t="inlineStr">
        <is>
          <t>Ex – Hacienda Punchauca - Carabayllo</t>
        </is>
      </c>
      <c r="E392" t="inlineStr">
        <is>
          <t>Lima, 23 de Marzo de 2023</t>
        </is>
      </c>
      <c r="F392" t="inlineStr">
        <is>
          <t>la Recarga y mantenimiento</t>
        </is>
      </c>
      <c r="G392" t="n">
        <v>3</v>
      </c>
      <c r="H392" t="inlineStr">
        <is>
          <t>06 KG</t>
        </is>
      </c>
      <c r="I392" t="inlineStr">
        <is>
          <t>VIGENTE</t>
        </is>
      </c>
      <c r="J392" t="n">
        <v>2009</v>
      </c>
      <c r="K392" t="inlineStr">
        <is>
          <t>MARZO 2023</t>
        </is>
      </c>
      <c r="L392" t="inlineStr">
        <is>
          <t>MARZO 2024</t>
        </is>
      </c>
      <c r="M392" t="inlineStr">
        <is>
          <t>P.Q.S TIPO ABC</t>
        </is>
      </c>
      <c r="N392" t="inlineStr">
        <is>
          <t>008958</t>
        </is>
      </c>
      <c r="O392" t="inlineStr">
        <is>
          <t>R</t>
        </is>
      </c>
      <c r="P392">
        <f>TRIM(N392)</f>
        <v/>
      </c>
    </row>
    <row r="393">
      <c r="A393" t="inlineStr">
        <is>
          <t>CO-001312</t>
        </is>
      </c>
      <c r="B393" t="inlineStr">
        <is>
          <t xml:space="preserve">DIEGO AIME CRUZADO </t>
        </is>
      </c>
      <c r="C393" t="inlineStr">
        <is>
          <t>PLACA:C0E - 601</t>
        </is>
      </c>
      <c r="D393" t="inlineStr">
        <is>
          <t xml:space="preserve">JIRON SANTA CRUZ 183 2DA ZONA - COLLIQUE - COMAS </t>
        </is>
      </c>
      <c r="E393" t="inlineStr">
        <is>
          <t>Lima, 24 de marzo de 2023</t>
        </is>
      </c>
      <c r="F393" t="inlineStr">
        <is>
          <t>la venta</t>
        </is>
      </c>
      <c r="G393" t="n">
        <v>1</v>
      </c>
      <c r="H393" t="inlineStr">
        <is>
          <t>02 KG</t>
        </is>
      </c>
      <c r="I393" t="inlineStr">
        <is>
          <t>2025</t>
        </is>
      </c>
      <c r="J393" t="n">
        <v>2020</v>
      </c>
      <c r="K393" t="inlineStr">
        <is>
          <t>MARZO 2023</t>
        </is>
      </c>
      <c r="L393" t="inlineStr">
        <is>
          <t>MARZO 2024</t>
        </is>
      </c>
      <c r="M393" t="inlineStr">
        <is>
          <t>P.Q.S TIPO ABC</t>
        </is>
      </c>
      <c r="N393" t="inlineStr">
        <is>
          <t>000706</t>
        </is>
      </c>
      <c r="O393" t="inlineStr">
        <is>
          <t>V</t>
        </is>
      </c>
      <c r="P393">
        <f>TRIM(N393)</f>
        <v/>
      </c>
    </row>
    <row r="394">
      <c r="A394" t="inlineStr">
        <is>
          <t>CO-001313</t>
        </is>
      </c>
      <c r="B394" t="inlineStr">
        <is>
          <t>JOSEPH SANTA CRUZ RUIZ</t>
        </is>
      </c>
      <c r="C394" t="inlineStr">
        <is>
          <t>PLACA:</t>
        </is>
      </c>
      <c r="D394" t="inlineStr">
        <is>
          <t xml:space="preserve">JIRON SANTA CRUZ 183 2DA ZONA - COLLIQUE - COMAS </t>
        </is>
      </c>
      <c r="E394" t="inlineStr">
        <is>
          <t>Lima, 24 de marzo de 2023</t>
        </is>
      </c>
      <c r="F394" t="inlineStr">
        <is>
          <t>la venta</t>
        </is>
      </c>
      <c r="G394" t="n">
        <v>1</v>
      </c>
      <c r="H394" t="inlineStr">
        <is>
          <t>02 KG</t>
        </is>
      </c>
      <c r="I394" t="inlineStr">
        <is>
          <t>2025</t>
        </is>
      </c>
      <c r="J394" t="n">
        <v>2020</v>
      </c>
      <c r="K394" t="inlineStr">
        <is>
          <t>MARZO 2023</t>
        </is>
      </c>
      <c r="L394" t="inlineStr">
        <is>
          <t>MARZO 2024</t>
        </is>
      </c>
      <c r="M394" t="inlineStr">
        <is>
          <t>P.Q.S TIPO ABC</t>
        </is>
      </c>
      <c r="N394" t="inlineStr">
        <is>
          <t>000287</t>
        </is>
      </c>
      <c r="O394" t="inlineStr">
        <is>
          <t>V</t>
        </is>
      </c>
      <c r="P394">
        <f>TRIM(N394)</f>
        <v/>
      </c>
    </row>
    <row r="395">
      <c r="A395" t="inlineStr">
        <is>
          <t>CO-001314</t>
        </is>
      </c>
      <c r="B395" t="inlineStr">
        <is>
          <t>María del Pilar Cerdán Ramirez</t>
        </is>
      </c>
      <c r="C395" t="inlineStr">
        <is>
          <t>DNI 09546948</t>
        </is>
      </c>
      <c r="D395" t="inlineStr">
        <is>
          <t>Colegio Victor Raúl Haya de la Torre  -  Agusto Salaverry S/N</t>
        </is>
      </c>
      <c r="E395" t="inlineStr">
        <is>
          <t>Lima. 27 de Marzo de 2023</t>
        </is>
      </c>
      <c r="F395" t="inlineStr">
        <is>
          <t>la venta</t>
        </is>
      </c>
      <c r="G395" t="n">
        <v>1</v>
      </c>
      <c r="H395" t="inlineStr">
        <is>
          <t>06 KG</t>
        </is>
      </c>
      <c r="I395" t="inlineStr">
        <is>
          <t>2028</t>
        </is>
      </c>
      <c r="J395" t="n">
        <v>2023</v>
      </c>
      <c r="K395" t="inlineStr">
        <is>
          <t>MARZO 2023</t>
        </is>
      </c>
      <c r="L395" t="inlineStr">
        <is>
          <t>MARZO 2024</t>
        </is>
      </c>
      <c r="M395" t="inlineStr">
        <is>
          <t>P.Q.S TIPO ABC</t>
        </is>
      </c>
      <c r="N395" t="inlineStr">
        <is>
          <t>4455134</t>
        </is>
      </c>
      <c r="O395" t="inlineStr">
        <is>
          <t>V</t>
        </is>
      </c>
      <c r="P395">
        <f>TRIM(N395)</f>
        <v/>
      </c>
    </row>
    <row r="396">
      <c r="A396" t="inlineStr">
        <is>
          <t>CO-001315</t>
        </is>
      </c>
      <c r="B396" t="inlineStr">
        <is>
          <t xml:space="preserve">PUSSY CAT </t>
        </is>
      </c>
      <c r="D396" t="inlineStr">
        <is>
          <t>MZ. LT "47" Jr. Marte - Villa Collique</t>
        </is>
      </c>
      <c r="E396" t="inlineStr">
        <is>
          <t>Lima. 27 de Marzo de 2023</t>
        </is>
      </c>
      <c r="F396" t="inlineStr">
        <is>
          <t>la Recarga y mantenimiento</t>
        </is>
      </c>
      <c r="G396" t="n">
        <v>1</v>
      </c>
      <c r="H396" t="inlineStr">
        <is>
          <t>06 KG</t>
        </is>
      </c>
      <c r="I396" t="inlineStr">
        <is>
          <t>VIGENTE</t>
        </is>
      </c>
      <c r="J396" t="n">
        <v>2010</v>
      </c>
      <c r="K396" t="inlineStr">
        <is>
          <t>MARZO 2023</t>
        </is>
      </c>
      <c r="L396" t="inlineStr">
        <is>
          <t>MARZO 2024</t>
        </is>
      </c>
      <c r="M396" t="inlineStr">
        <is>
          <t>P.Q.S TIPO ABC</t>
        </is>
      </c>
      <c r="N396" t="inlineStr">
        <is>
          <t>000050</t>
        </is>
      </c>
      <c r="O396" t="inlineStr">
        <is>
          <t>R</t>
        </is>
      </c>
      <c r="P396">
        <f>TRIM(N396)</f>
        <v/>
      </c>
    </row>
    <row r="397">
      <c r="A397" t="inlineStr">
        <is>
          <t>CO-001316</t>
        </is>
      </c>
      <c r="B397" t="inlineStr">
        <is>
          <t>PERU MASIVO S.A.</t>
        </is>
      </c>
      <c r="C397" t="inlineStr">
        <is>
          <t>20492392031</t>
        </is>
      </c>
      <c r="D397" t="inlineStr">
        <is>
          <t>AV. LOS INCAS CDRA. 4 PATIO NORTE - COMAS</t>
        </is>
      </c>
      <c r="E397" t="inlineStr">
        <is>
          <t>Lima. 27 de Marzo de 2023</t>
        </is>
      </c>
      <c r="F397" t="inlineStr">
        <is>
          <t>la Recarga y mantenimiento</t>
        </is>
      </c>
      <c r="G397" t="inlineStr">
        <is>
          <t>1</t>
        </is>
      </c>
      <c r="H397" t="inlineStr">
        <is>
          <t>06 KG</t>
        </is>
      </c>
      <c r="I397" t="inlineStr">
        <is>
          <t>2028</t>
        </is>
      </c>
      <c r="J397" t="n">
        <v>2009</v>
      </c>
      <c r="K397" t="inlineStr">
        <is>
          <t>MARZO 2023</t>
        </is>
      </c>
      <c r="L397" t="inlineStr">
        <is>
          <t>MARZO 2024</t>
        </is>
      </c>
      <c r="M397" t="inlineStr">
        <is>
          <t xml:space="preserve">P.Q.S TIPO ABC AL 90% NACIONAL </t>
        </is>
      </c>
      <c r="N397" t="inlineStr">
        <is>
          <t>249 / 002215</t>
        </is>
      </c>
      <c r="O397" t="inlineStr">
        <is>
          <t>R</t>
        </is>
      </c>
      <c r="P397">
        <f>TRIM(N397)</f>
        <v/>
      </c>
    </row>
    <row r="398">
      <c r="A398" t="inlineStr">
        <is>
          <t>CO-001316</t>
        </is>
      </c>
      <c r="B398" t="inlineStr">
        <is>
          <t>PERU MASIVO S.A.</t>
        </is>
      </c>
      <c r="C398" t="inlineStr">
        <is>
          <t>20492392031</t>
        </is>
      </c>
      <c r="D398" t="inlineStr">
        <is>
          <t>AV. LOS INCAS CDRA. 4 PATIO NORTE - COMAS</t>
        </is>
      </c>
      <c r="E398" t="inlineStr">
        <is>
          <t>Lima. 27 de Marzo de 2023</t>
        </is>
      </c>
      <c r="F398" t="inlineStr">
        <is>
          <t>la Recarga y mantenimiento</t>
        </is>
      </c>
      <c r="G398" t="n">
        <v>2</v>
      </c>
      <c r="H398" t="inlineStr">
        <is>
          <t>06 KG</t>
        </is>
      </c>
      <c r="I398" t="inlineStr">
        <is>
          <t>2026</t>
        </is>
      </c>
      <c r="J398" t="n">
        <v>2010</v>
      </c>
      <c r="K398" t="inlineStr">
        <is>
          <t>MARZO 2023</t>
        </is>
      </c>
      <c r="L398" t="inlineStr">
        <is>
          <t>MARZO 2024</t>
        </is>
      </c>
      <c r="M398" t="inlineStr">
        <is>
          <t xml:space="preserve">P.Q.S TIPO ABC AL 90% NACIONAL </t>
        </is>
      </c>
      <c r="N398" t="inlineStr">
        <is>
          <t>273 / 000593</t>
        </is>
      </c>
      <c r="O398" t="inlineStr">
        <is>
          <t>R</t>
        </is>
      </c>
      <c r="P398">
        <f>TRIM(N398)</f>
        <v/>
      </c>
    </row>
    <row r="399">
      <c r="A399" t="inlineStr">
        <is>
          <t>CO-001316</t>
        </is>
      </c>
      <c r="B399" t="inlineStr">
        <is>
          <t>PERU MASIVO S.A.</t>
        </is>
      </c>
      <c r="C399" t="inlineStr">
        <is>
          <t>20492392031</t>
        </is>
      </c>
      <c r="D399" t="inlineStr">
        <is>
          <t>AV. LOS INCAS CDRA. 4 PATIO NORTE - COMAS</t>
        </is>
      </c>
      <c r="E399" t="inlineStr">
        <is>
          <t>Lima. 27 de Marzo de 2023</t>
        </is>
      </c>
      <c r="F399" t="inlineStr">
        <is>
          <t>la Recarga y mantenimiento</t>
        </is>
      </c>
      <c r="G399" t="n">
        <v>3</v>
      </c>
      <c r="H399" t="inlineStr">
        <is>
          <t>06 KG</t>
        </is>
      </c>
      <c r="I399" t="n">
        <v>2025</v>
      </c>
      <c r="J399" t="n">
        <v>2009</v>
      </c>
      <c r="K399" t="inlineStr">
        <is>
          <t>MARZO 2023</t>
        </is>
      </c>
      <c r="L399" t="inlineStr">
        <is>
          <t>MARZO 2024</t>
        </is>
      </c>
      <c r="M399" t="inlineStr">
        <is>
          <t xml:space="preserve">P.Q.S TIPO ABC AL 90% NACIONAL </t>
        </is>
      </c>
      <c r="N399" t="inlineStr">
        <is>
          <t>298 / 002485</t>
        </is>
      </c>
      <c r="O399" t="inlineStr">
        <is>
          <t>R</t>
        </is>
      </c>
      <c r="P399">
        <f>TRIM(N399)</f>
        <v/>
      </c>
    </row>
    <row r="400">
      <c r="A400" t="inlineStr">
        <is>
          <t>CO-001316</t>
        </is>
      </c>
      <c r="B400" t="inlineStr">
        <is>
          <t>PERU MASIVO S.A.</t>
        </is>
      </c>
      <c r="C400" t="inlineStr">
        <is>
          <t>20492392031</t>
        </is>
      </c>
      <c r="D400" t="inlineStr">
        <is>
          <t>AV. LOS INCAS CDRA. 4 PATIO NORTE - COMAS</t>
        </is>
      </c>
      <c r="E400" t="inlineStr">
        <is>
          <t>Lima. 27 de Marzo de 2023</t>
        </is>
      </c>
      <c r="F400" t="inlineStr">
        <is>
          <t>la Recarga y mantenimiento</t>
        </is>
      </c>
      <c r="G400" t="n">
        <v>4</v>
      </c>
      <c r="H400" t="inlineStr">
        <is>
          <t>06 KG</t>
        </is>
      </c>
      <c r="I400" t="n">
        <v>2024</v>
      </c>
      <c r="J400" t="n">
        <v>2019</v>
      </c>
      <c r="K400" t="inlineStr">
        <is>
          <t>MARZO 2023</t>
        </is>
      </c>
      <c r="L400" t="inlineStr">
        <is>
          <t>MARZO 2024</t>
        </is>
      </c>
      <c r="M400" t="inlineStr">
        <is>
          <t xml:space="preserve">P.Q.S TIPO ABC AL 90% NACIONAL </t>
        </is>
      </c>
      <c r="N400" t="inlineStr">
        <is>
          <t>S/N / 000824</t>
        </is>
      </c>
      <c r="O400" t="inlineStr">
        <is>
          <t>R</t>
        </is>
      </c>
      <c r="P400">
        <f>TRIM(N400)</f>
        <v/>
      </c>
    </row>
    <row r="401">
      <c r="A401" t="inlineStr">
        <is>
          <t>CO-001316</t>
        </is>
      </c>
      <c r="B401" t="inlineStr">
        <is>
          <t>PERU MASIVO S.A.</t>
        </is>
      </c>
      <c r="C401" t="inlineStr">
        <is>
          <t>20492392031</t>
        </is>
      </c>
      <c r="D401" t="inlineStr">
        <is>
          <t>AV. LOS INCAS CDRA. 4 PATIO NORTE - COMAS</t>
        </is>
      </c>
      <c r="E401" t="inlineStr">
        <is>
          <t>Lima. 27 de Marzo de 2023</t>
        </is>
      </c>
      <c r="F401" t="inlineStr">
        <is>
          <t>la Recarga y mantenimiento</t>
        </is>
      </c>
      <c r="G401" t="n">
        <v>5</v>
      </c>
      <c r="H401" t="inlineStr">
        <is>
          <t>06 KG</t>
        </is>
      </c>
      <c r="I401" t="n">
        <v>2028</v>
      </c>
      <c r="J401" t="n">
        <v>2010</v>
      </c>
      <c r="K401" t="inlineStr">
        <is>
          <t>MARZO 2023</t>
        </is>
      </c>
      <c r="L401" t="inlineStr">
        <is>
          <t>MARZO 2024</t>
        </is>
      </c>
      <c r="M401" t="inlineStr">
        <is>
          <t xml:space="preserve">P.Q.S TIPO ABC AL 90% NACIONAL </t>
        </is>
      </c>
      <c r="N401" t="inlineStr">
        <is>
          <t>198 / 000237</t>
        </is>
      </c>
      <c r="O401" t="inlineStr">
        <is>
          <t>R</t>
        </is>
      </c>
      <c r="P401">
        <f>TRIM(N401)</f>
        <v/>
      </c>
    </row>
    <row r="402">
      <c r="A402" t="inlineStr">
        <is>
          <t>CO-001317</t>
        </is>
      </c>
      <c r="B402" t="inlineStr">
        <is>
          <t>PERU MASIVO S.A.</t>
        </is>
      </c>
      <c r="C402" t="inlineStr">
        <is>
          <t>20492392031</t>
        </is>
      </c>
      <c r="D402" t="inlineStr">
        <is>
          <t>AV. LOS INCAS CDRA. 4 PATIO NORTE - COMAS</t>
        </is>
      </c>
      <c r="E402" t="inlineStr">
        <is>
          <t>Lima, 28 de Marzo de 2023</t>
        </is>
      </c>
      <c r="F402" t="inlineStr">
        <is>
          <t>la Recarga y mantenimiento</t>
        </is>
      </c>
      <c r="G402" t="inlineStr">
        <is>
          <t>1</t>
        </is>
      </c>
      <c r="H402" t="inlineStr">
        <is>
          <t>06 KG</t>
        </is>
      </c>
      <c r="I402" t="inlineStr">
        <is>
          <t>2026</t>
        </is>
      </c>
      <c r="J402" t="n">
        <v>2010</v>
      </c>
      <c r="K402" t="inlineStr">
        <is>
          <t>MARZO 2023</t>
        </is>
      </c>
      <c r="L402" t="inlineStr">
        <is>
          <t>MARZO 2024</t>
        </is>
      </c>
      <c r="M402" t="inlineStr">
        <is>
          <t xml:space="preserve">P.Q.S TIPO ABC AL 90% NACIONAL </t>
        </is>
      </c>
      <c r="N402" t="inlineStr">
        <is>
          <t>312 / 000713</t>
        </is>
      </c>
      <c r="O402" t="inlineStr">
        <is>
          <t>R</t>
        </is>
      </c>
      <c r="P402">
        <f>TRIM(N402)</f>
        <v/>
      </c>
    </row>
    <row r="403">
      <c r="A403" t="inlineStr">
        <is>
          <t>CO-001317</t>
        </is>
      </c>
      <c r="B403" t="inlineStr">
        <is>
          <t>PERU MASIVO S.A.</t>
        </is>
      </c>
      <c r="C403" t="inlineStr">
        <is>
          <t>20492392031</t>
        </is>
      </c>
      <c r="D403" t="inlineStr">
        <is>
          <t>AV. LOS INCAS CDRA. 4 PATIO NORTE - COMAS</t>
        </is>
      </c>
      <c r="E403" t="inlineStr">
        <is>
          <t>Lima, 28 de Marzo de 2023</t>
        </is>
      </c>
      <c r="F403" t="inlineStr">
        <is>
          <t>la Recarga y mantenimiento</t>
        </is>
      </c>
      <c r="G403" t="n">
        <v>2</v>
      </c>
      <c r="H403" t="inlineStr">
        <is>
          <t>06 KG</t>
        </is>
      </c>
      <c r="I403" t="inlineStr">
        <is>
          <t>2025</t>
        </is>
      </c>
      <c r="J403" t="inlineStr">
        <is>
          <t>S/N</t>
        </is>
      </c>
      <c r="K403" t="inlineStr">
        <is>
          <t>MARZO 2023</t>
        </is>
      </c>
      <c r="L403" t="inlineStr">
        <is>
          <t>MARZO 2024</t>
        </is>
      </c>
      <c r="M403" t="inlineStr">
        <is>
          <t xml:space="preserve">P.Q.S TIPO ABC AL 90% NACIONAL </t>
        </is>
      </c>
      <c r="N403" t="inlineStr">
        <is>
          <t>S/N /  001537</t>
        </is>
      </c>
      <c r="O403" t="inlineStr">
        <is>
          <t>R</t>
        </is>
      </c>
      <c r="P403">
        <f>TRIM(N403)</f>
        <v/>
      </c>
    </row>
    <row r="404">
      <c r="A404" t="inlineStr">
        <is>
          <t>CO-001317</t>
        </is>
      </c>
      <c r="B404" t="inlineStr">
        <is>
          <t>PERU MASIVO S.A.</t>
        </is>
      </c>
      <c r="C404" t="inlineStr">
        <is>
          <t>20492392031</t>
        </is>
      </c>
      <c r="D404" t="inlineStr">
        <is>
          <t>AV. LOS INCAS CDRA. 4 PATIO NORTE - COMAS</t>
        </is>
      </c>
      <c r="E404" t="inlineStr">
        <is>
          <t>Lima, 28 de Marzo de 2023</t>
        </is>
      </c>
      <c r="F404" t="inlineStr">
        <is>
          <t>la Recarga y mantenimiento</t>
        </is>
      </c>
      <c r="G404" t="n">
        <v>3</v>
      </c>
      <c r="H404" t="inlineStr">
        <is>
          <t>06 KG</t>
        </is>
      </c>
      <c r="I404" t="inlineStr">
        <is>
          <t>2026</t>
        </is>
      </c>
      <c r="J404" t="n">
        <v>2009</v>
      </c>
      <c r="K404" t="inlineStr">
        <is>
          <t>MARZO 2023</t>
        </is>
      </c>
      <c r="L404" t="inlineStr">
        <is>
          <t>MARZO 2024</t>
        </is>
      </c>
      <c r="M404" t="inlineStr">
        <is>
          <t xml:space="preserve">P.Q.S TIPO ABC AL 90% NACIONAL </t>
        </is>
      </c>
      <c r="N404" t="inlineStr">
        <is>
          <t>236 / 001913</t>
        </is>
      </c>
      <c r="O404" t="inlineStr">
        <is>
          <t>R</t>
        </is>
      </c>
      <c r="P404">
        <f>TRIM(N404)</f>
        <v/>
      </c>
    </row>
    <row r="405">
      <c r="A405" t="inlineStr">
        <is>
          <t>CO-001317</t>
        </is>
      </c>
      <c r="B405" t="inlineStr">
        <is>
          <t>PERU MASIVO S.A.</t>
        </is>
      </c>
      <c r="C405" t="inlineStr">
        <is>
          <t>20492392031</t>
        </is>
      </c>
      <c r="D405" t="inlineStr">
        <is>
          <t>AV. LOS INCAS CDRA. 4 PATIO NORTE - COMAS</t>
        </is>
      </c>
      <c r="E405" t="inlineStr">
        <is>
          <t>Lima, 28 de Marzo de 2023</t>
        </is>
      </c>
      <c r="F405" t="inlineStr">
        <is>
          <t>la Recarga y mantenimiento</t>
        </is>
      </c>
      <c r="G405" t="n">
        <v>4</v>
      </c>
      <c r="H405" t="inlineStr">
        <is>
          <t>06 KG</t>
        </is>
      </c>
      <c r="I405" t="inlineStr">
        <is>
          <t>2025</t>
        </is>
      </c>
      <c r="J405" t="n">
        <v>2009</v>
      </c>
      <c r="K405" t="inlineStr">
        <is>
          <t>MARZO 2023</t>
        </is>
      </c>
      <c r="L405" t="inlineStr">
        <is>
          <t>MARZO 2024</t>
        </is>
      </c>
      <c r="M405" t="inlineStr">
        <is>
          <t xml:space="preserve">P.Q.S TIPO ABC AL 90% NACIONAL </t>
        </is>
      </c>
      <c r="N405" t="inlineStr">
        <is>
          <t>81 / 001025</t>
        </is>
      </c>
      <c r="O405" t="inlineStr">
        <is>
          <t>R</t>
        </is>
      </c>
      <c r="P405">
        <f>TRIM(N405)</f>
        <v/>
      </c>
    </row>
    <row r="406">
      <c r="A406" t="inlineStr">
        <is>
          <t>CO-001317</t>
        </is>
      </c>
      <c r="B406" t="inlineStr">
        <is>
          <t>PERU MASIVO S.A.</t>
        </is>
      </c>
      <c r="C406" t="inlineStr">
        <is>
          <t>20492392031</t>
        </is>
      </c>
      <c r="D406" t="inlineStr">
        <is>
          <t>AV. LOS INCAS CDRA. 4 PATIO NORTE - COMAS</t>
        </is>
      </c>
      <c r="E406" t="inlineStr">
        <is>
          <t>Lima, 28 de Marzo de 2023</t>
        </is>
      </c>
      <c r="F406" t="inlineStr">
        <is>
          <t>la Recarga y mantenimiento</t>
        </is>
      </c>
      <c r="G406" t="n">
        <v>5</v>
      </c>
      <c r="H406" t="inlineStr">
        <is>
          <t>06 KG</t>
        </is>
      </c>
      <c r="I406" t="inlineStr">
        <is>
          <t>2026</t>
        </is>
      </c>
      <c r="J406" t="n">
        <v>2009</v>
      </c>
      <c r="K406" t="inlineStr">
        <is>
          <t>MARZO 2023</t>
        </is>
      </c>
      <c r="L406" t="inlineStr">
        <is>
          <t>MARZO 2024</t>
        </is>
      </c>
      <c r="M406" t="inlineStr">
        <is>
          <t xml:space="preserve">P.Q.S TIPO ABC AL 90% NACIONAL </t>
        </is>
      </c>
      <c r="N406" t="inlineStr">
        <is>
          <t>282 / 000201</t>
        </is>
      </c>
      <c r="O406" t="inlineStr">
        <is>
          <t>R</t>
        </is>
      </c>
      <c r="P406">
        <f>TRIM(N406)</f>
        <v/>
      </c>
    </row>
    <row r="407">
      <c r="A407" t="inlineStr">
        <is>
          <t>CO-001317</t>
        </is>
      </c>
      <c r="B407" t="inlineStr">
        <is>
          <t>PERU MASIVO S.A.</t>
        </is>
      </c>
      <c r="C407" t="inlineStr">
        <is>
          <t>20492392031</t>
        </is>
      </c>
      <c r="D407" t="inlineStr">
        <is>
          <t>AV. LOS INCAS CDRA. 4 PATIO NORTE - COMAS</t>
        </is>
      </c>
      <c r="E407" t="inlineStr">
        <is>
          <t>Lima, 28 de Marzo de 2023</t>
        </is>
      </c>
      <c r="F407" t="inlineStr">
        <is>
          <t>la Recarga y mantenimiento</t>
        </is>
      </c>
      <c r="G407" t="n">
        <v>6</v>
      </c>
      <c r="H407" t="inlineStr">
        <is>
          <t>06 KG</t>
        </is>
      </c>
      <c r="I407" t="inlineStr">
        <is>
          <t>2026</t>
        </is>
      </c>
      <c r="J407" t="n">
        <v>2010</v>
      </c>
      <c r="K407" t="inlineStr">
        <is>
          <t>MARZO 2023</t>
        </is>
      </c>
      <c r="L407" t="inlineStr">
        <is>
          <t>MARZO 2024</t>
        </is>
      </c>
      <c r="M407" t="inlineStr">
        <is>
          <t xml:space="preserve">P.Q.S TIPO ABC AL 90% NACIONAL </t>
        </is>
      </c>
      <c r="N407" t="inlineStr">
        <is>
          <t>25 / 000665</t>
        </is>
      </c>
      <c r="O407" t="inlineStr">
        <is>
          <t>R</t>
        </is>
      </c>
      <c r="P407">
        <f>TRIM(N407)</f>
        <v/>
      </c>
    </row>
    <row r="408">
      <c r="A408" t="inlineStr">
        <is>
          <t>CO-001317</t>
        </is>
      </c>
      <c r="B408" t="inlineStr">
        <is>
          <t>PERU MASIVO S.A.</t>
        </is>
      </c>
      <c r="C408" t="inlineStr">
        <is>
          <t>20492392031</t>
        </is>
      </c>
      <c r="D408" t="inlineStr">
        <is>
          <t>AV. LOS INCAS CDRA. 4 PATIO NORTE - COMAS</t>
        </is>
      </c>
      <c r="E408" t="inlineStr">
        <is>
          <t>Lima, 28 de Marzo de 2023</t>
        </is>
      </c>
      <c r="F408" t="inlineStr">
        <is>
          <t>la Recarga y mantenimiento</t>
        </is>
      </c>
      <c r="G408" t="n">
        <v>7</v>
      </c>
      <c r="H408" t="inlineStr">
        <is>
          <t>06 KG</t>
        </is>
      </c>
      <c r="I408" t="inlineStr">
        <is>
          <t>2028</t>
        </is>
      </c>
      <c r="J408" t="n">
        <v>2009</v>
      </c>
      <c r="K408" t="inlineStr">
        <is>
          <t>MARZO 2023</t>
        </is>
      </c>
      <c r="L408" t="inlineStr">
        <is>
          <t>MARZO 2024</t>
        </is>
      </c>
      <c r="M408" t="inlineStr">
        <is>
          <t xml:space="preserve">P.Q.S TIPO ABC AL 90% NACIONAL </t>
        </is>
      </c>
      <c r="N408" t="inlineStr">
        <is>
          <t>280 / 000484</t>
        </is>
      </c>
      <c r="O408" t="inlineStr">
        <is>
          <t>R</t>
        </is>
      </c>
      <c r="P408">
        <f>TRIM(N408)</f>
        <v/>
      </c>
    </row>
    <row r="409">
      <c r="A409" t="inlineStr">
        <is>
          <t>CO-001318</t>
        </is>
      </c>
      <c r="B409" t="inlineStr">
        <is>
          <t xml:space="preserve">JOSE REFAEL ALVARADO AVILES </t>
        </is>
      </c>
      <c r="D409" t="inlineStr">
        <is>
          <t>AV. ANDRES AVELINO CACERES  N°357 TIENDA 6 - COLLIQUE</t>
        </is>
      </c>
      <c r="E409" t="inlineStr">
        <is>
          <t>Lima, 29 de Marzo de 2023</t>
        </is>
      </c>
      <c r="F409" t="inlineStr">
        <is>
          <t>la Recarga y mantenimiento</t>
        </is>
      </c>
      <c r="G409" t="n">
        <v>1</v>
      </c>
      <c r="H409" t="inlineStr">
        <is>
          <t>06 KG</t>
        </is>
      </c>
      <c r="I409" t="inlineStr">
        <is>
          <t>2024</t>
        </is>
      </c>
      <c r="J409" t="n">
        <v>2019</v>
      </c>
      <c r="K409" t="inlineStr">
        <is>
          <t>MARZO 2023</t>
        </is>
      </c>
      <c r="L409" t="inlineStr">
        <is>
          <t>MARZO 2024</t>
        </is>
      </c>
      <c r="M409" t="inlineStr">
        <is>
          <t>P.Q.S TIPO ABC</t>
        </is>
      </c>
      <c r="N409" t="inlineStr">
        <is>
          <t>000090</t>
        </is>
      </c>
      <c r="O409" t="inlineStr">
        <is>
          <t>R</t>
        </is>
      </c>
      <c r="P409">
        <f>TRIM(N409)</f>
        <v/>
      </c>
    </row>
    <row r="410">
      <c r="A410" t="inlineStr">
        <is>
          <t>CO-001319</t>
        </is>
      </c>
      <c r="B410" t="inlineStr">
        <is>
          <t>ALFREDO VICENTE URCUHUARANGA POZO</t>
        </is>
      </c>
      <c r="C410" t="inlineStr">
        <is>
          <t>DNI: 09612051</t>
        </is>
      </c>
      <c r="D410" t="inlineStr">
        <is>
          <t>PLACA: W1B - 056</t>
        </is>
      </c>
      <c r="E410" t="inlineStr">
        <is>
          <t>Lima, 31 de Marzo de 2023</t>
        </is>
      </c>
      <c r="F410" t="inlineStr">
        <is>
          <t>la Recarga y mantenimiento</t>
        </is>
      </c>
      <c r="G410" t="n">
        <v>1</v>
      </c>
      <c r="H410" t="inlineStr">
        <is>
          <t>04 KG</t>
        </is>
      </c>
      <c r="I410" t="inlineStr">
        <is>
          <t>2028</t>
        </is>
      </c>
      <c r="J410" t="n">
        <v>2005</v>
      </c>
      <c r="K410" t="inlineStr">
        <is>
          <t>MARZO 2023</t>
        </is>
      </c>
      <c r="L410" t="inlineStr">
        <is>
          <t>MARZO 2024</t>
        </is>
      </c>
      <c r="M410" t="inlineStr">
        <is>
          <t>P.Q.S TIPO ABC</t>
        </is>
      </c>
      <c r="N410" t="inlineStr">
        <is>
          <t>000364</t>
        </is>
      </c>
      <c r="O410" t="inlineStr">
        <is>
          <t>R</t>
        </is>
      </c>
      <c r="P410">
        <f>TRIM(N410)</f>
        <v/>
      </c>
    </row>
    <row r="411">
      <c r="A411" t="inlineStr">
        <is>
          <t>CO-001320</t>
        </is>
      </c>
      <c r="B411" t="inlineStr">
        <is>
          <t>PIERO VELA HERRERA</t>
        </is>
      </c>
      <c r="D411" t="inlineStr">
        <is>
          <t>PLACA: BMD-351</t>
        </is>
      </c>
      <c r="E411" t="inlineStr">
        <is>
          <t>Lima, 03 de Abril de 2023</t>
        </is>
      </c>
      <c r="F411" t="inlineStr">
        <is>
          <t>la Recarga y mantenimiento</t>
        </is>
      </c>
      <c r="G411" t="n">
        <v>1</v>
      </c>
      <c r="H411" t="inlineStr">
        <is>
          <t>02  KG</t>
        </is>
      </c>
      <c r="I411" t="inlineStr">
        <is>
          <t>VIGENTE</t>
        </is>
      </c>
      <c r="J411" t="n">
        <v>2019</v>
      </c>
      <c r="K411" t="inlineStr">
        <is>
          <t>ABRIL 2023</t>
        </is>
      </c>
      <c r="L411" t="inlineStr">
        <is>
          <t>ABRIL 2024</t>
        </is>
      </c>
      <c r="M411" t="inlineStr">
        <is>
          <t>P.Q.S TIPO ABC</t>
        </is>
      </c>
      <c r="N411" t="inlineStr">
        <is>
          <t>000546</t>
        </is>
      </c>
      <c r="O411" t="inlineStr">
        <is>
          <t>R</t>
        </is>
      </c>
      <c r="P411">
        <f>TRIM(N411)</f>
        <v/>
      </c>
    </row>
    <row r="412">
      <c r="A412" t="inlineStr">
        <is>
          <t>CO-001321</t>
        </is>
      </c>
      <c r="B412" t="inlineStr">
        <is>
          <t>JUAN BARRIENTOS AGUIRRE</t>
        </is>
      </c>
      <c r="C412" t="inlineStr">
        <is>
          <t>DNI: 06891642</t>
        </is>
      </c>
      <c r="D412" t="inlineStr">
        <is>
          <t>PLACA: AZX-090</t>
        </is>
      </c>
      <c r="E412" t="inlineStr">
        <is>
          <t>Lima, 04 de Abril de 2023</t>
        </is>
      </c>
      <c r="F412" t="inlineStr">
        <is>
          <t>la Recarga y mantenimiento</t>
        </is>
      </c>
      <c r="G412" t="n">
        <v>1</v>
      </c>
      <c r="H412" t="inlineStr">
        <is>
          <t>02  KG</t>
        </is>
      </c>
      <c r="I412" t="inlineStr">
        <is>
          <t>2027</t>
        </is>
      </c>
      <c r="J412" t="n">
        <v>2022</v>
      </c>
      <c r="K412" t="inlineStr">
        <is>
          <t>ABRIL 2023</t>
        </is>
      </c>
      <c r="L412" t="inlineStr">
        <is>
          <t>ABRIL 2024</t>
        </is>
      </c>
      <c r="M412" t="inlineStr">
        <is>
          <t>P.Q.S TIPO ABC</t>
        </is>
      </c>
      <c r="N412" t="inlineStr">
        <is>
          <t>000790</t>
        </is>
      </c>
      <c r="O412" t="inlineStr">
        <is>
          <t>V</t>
        </is>
      </c>
      <c r="P412">
        <f>TRIM(N412)</f>
        <v/>
      </c>
    </row>
    <row r="413">
      <c r="A413" t="inlineStr">
        <is>
          <t>CO-001322</t>
        </is>
      </c>
      <c r="B413" t="inlineStr">
        <is>
          <t>PERU MASIVO S.A.</t>
        </is>
      </c>
      <c r="C413" t="inlineStr">
        <is>
          <t>20492392031</t>
        </is>
      </c>
      <c r="D413" t="inlineStr">
        <is>
          <t>AV. LOS INCAS CDRA. 4 PATIO NORTE - COMAS</t>
        </is>
      </c>
      <c r="E413" t="inlineStr">
        <is>
          <t>Lima, 05 de Abril de 2023</t>
        </is>
      </c>
      <c r="F413" t="inlineStr">
        <is>
          <t>la Recarga y mantenimiento</t>
        </is>
      </c>
      <c r="G413" t="inlineStr">
        <is>
          <t>1</t>
        </is>
      </c>
      <c r="H413" t="inlineStr">
        <is>
          <t>06 KG</t>
        </is>
      </c>
      <c r="I413" t="inlineStr">
        <is>
          <t>2026</t>
        </is>
      </c>
      <c r="J413" t="n">
        <v>2010</v>
      </c>
      <c r="K413" t="inlineStr">
        <is>
          <t>ABRIL 2023</t>
        </is>
      </c>
      <c r="L413" t="inlineStr">
        <is>
          <t>ABRIL 2024</t>
        </is>
      </c>
      <c r="M413" t="inlineStr">
        <is>
          <t xml:space="preserve">P.Q.S TIPO ABC AL 90% NACIONAL </t>
        </is>
      </c>
      <c r="N413" t="inlineStr">
        <is>
          <t>346/ 006495</t>
        </is>
      </c>
      <c r="O413" t="inlineStr">
        <is>
          <t>R</t>
        </is>
      </c>
      <c r="P413">
        <f>TRIM(N413)</f>
        <v/>
      </c>
    </row>
    <row r="414">
      <c r="A414" t="inlineStr">
        <is>
          <t>CO-001322</t>
        </is>
      </c>
      <c r="B414" t="inlineStr">
        <is>
          <t>PERU MASIVO S.A.</t>
        </is>
      </c>
      <c r="C414" t="inlineStr">
        <is>
          <t>20492392031</t>
        </is>
      </c>
      <c r="D414" t="inlineStr">
        <is>
          <t>AV. LOS INCAS CDRA. 4 PATIO NORTE - COMAS</t>
        </is>
      </c>
      <c r="E414" t="inlineStr">
        <is>
          <t>Lima, 05 de Abril de 2023</t>
        </is>
      </c>
      <c r="F414" t="inlineStr">
        <is>
          <t>la Recarga y mantenimiento</t>
        </is>
      </c>
      <c r="G414" t="n">
        <v>2</v>
      </c>
      <c r="H414" t="inlineStr">
        <is>
          <t>06 KG</t>
        </is>
      </c>
      <c r="I414" t="inlineStr">
        <is>
          <t>2026</t>
        </is>
      </c>
      <c r="J414" t="n">
        <v>2010</v>
      </c>
      <c r="K414" t="inlineStr">
        <is>
          <t>ABRIL 2023</t>
        </is>
      </c>
      <c r="L414" t="inlineStr">
        <is>
          <t>ABRIL 2024</t>
        </is>
      </c>
      <c r="M414" t="inlineStr">
        <is>
          <t xml:space="preserve">P.Q.S TIPO ABC AL 90% NACIONAL </t>
        </is>
      </c>
      <c r="N414" t="inlineStr">
        <is>
          <t>283/ 000215</t>
        </is>
      </c>
      <c r="O414" t="inlineStr">
        <is>
          <t>R</t>
        </is>
      </c>
      <c r="P414">
        <f>TRIM(N414)</f>
        <v/>
      </c>
    </row>
    <row r="415">
      <c r="A415" t="inlineStr">
        <is>
          <t>CO-001322</t>
        </is>
      </c>
      <c r="B415" t="inlineStr">
        <is>
          <t>PERU MASIVO S.A.</t>
        </is>
      </c>
      <c r="C415" t="inlineStr">
        <is>
          <t>20492392031</t>
        </is>
      </c>
      <c r="D415" t="inlineStr">
        <is>
          <t>AV. LOS INCAS CDRA. 4 PATIO NORTE - COMAS</t>
        </is>
      </c>
      <c r="E415" t="inlineStr">
        <is>
          <t>Lima, 05 de Abril de 2023</t>
        </is>
      </c>
      <c r="F415" t="inlineStr">
        <is>
          <t>la Recarga y mantenimiento</t>
        </is>
      </c>
      <c r="G415" t="n">
        <v>3</v>
      </c>
      <c r="H415" t="inlineStr">
        <is>
          <t>06 KG</t>
        </is>
      </c>
      <c r="I415" t="inlineStr">
        <is>
          <t>2026</t>
        </is>
      </c>
      <c r="J415" t="n">
        <v>2010</v>
      </c>
      <c r="K415" t="inlineStr">
        <is>
          <t>ABRIL 2023</t>
        </is>
      </c>
      <c r="L415" t="inlineStr">
        <is>
          <t>ABRIL 2024</t>
        </is>
      </c>
      <c r="M415" t="inlineStr">
        <is>
          <t xml:space="preserve">P.Q.S TIPO ABC AL 90% NACIONAL </t>
        </is>
      </c>
      <c r="N415" t="inlineStr">
        <is>
          <t>302/ 000659</t>
        </is>
      </c>
      <c r="O415" t="inlineStr">
        <is>
          <t>R</t>
        </is>
      </c>
      <c r="P415">
        <f>TRIM(N415)</f>
        <v/>
      </c>
    </row>
    <row r="416">
      <c r="A416" t="inlineStr">
        <is>
          <t>CO-001322</t>
        </is>
      </c>
      <c r="B416" t="inlineStr">
        <is>
          <t>PERU MASIVO S.A.</t>
        </is>
      </c>
      <c r="C416" t="inlineStr">
        <is>
          <t>20492392031</t>
        </is>
      </c>
      <c r="D416" t="inlineStr">
        <is>
          <t>AV. LOS INCAS CDRA. 4 PATIO NORTE - COMAS</t>
        </is>
      </c>
      <c r="E416" t="inlineStr">
        <is>
          <t>Lima, 05 de Abril de 2023</t>
        </is>
      </c>
      <c r="F416" t="inlineStr">
        <is>
          <t>la Recarga y mantenimiento</t>
        </is>
      </c>
      <c r="G416" t="n">
        <v>4</v>
      </c>
      <c r="H416" t="inlineStr">
        <is>
          <t>06 KG</t>
        </is>
      </c>
      <c r="I416" t="inlineStr">
        <is>
          <t>2026</t>
        </is>
      </c>
      <c r="J416" t="n">
        <v>2010</v>
      </c>
      <c r="K416" t="inlineStr">
        <is>
          <t>ABRIL 2023</t>
        </is>
      </c>
      <c r="L416" t="inlineStr">
        <is>
          <t>ABRIL 2024</t>
        </is>
      </c>
      <c r="M416" t="inlineStr">
        <is>
          <t xml:space="preserve">P.Q.S TIPO ABC AL 90% NACIONAL </t>
        </is>
      </c>
      <c r="N416" t="inlineStr">
        <is>
          <t>240/ 002419</t>
        </is>
      </c>
      <c r="O416" t="inlineStr">
        <is>
          <t>R</t>
        </is>
      </c>
      <c r="P416">
        <f>TRIM(N416)</f>
        <v/>
      </c>
    </row>
    <row r="417">
      <c r="A417" t="inlineStr">
        <is>
          <t>CO-001322</t>
        </is>
      </c>
      <c r="B417" t="inlineStr">
        <is>
          <t>PERU MASIVO S.A.</t>
        </is>
      </c>
      <c r="C417" t="inlineStr">
        <is>
          <t>20492392031</t>
        </is>
      </c>
      <c r="D417" t="inlineStr">
        <is>
          <t>AV. LOS INCAS CDRA. 4 PATIO NORTE - COMAS</t>
        </is>
      </c>
      <c r="E417" t="inlineStr">
        <is>
          <t>Lima, 05 de Abril de 2023</t>
        </is>
      </c>
      <c r="F417" t="inlineStr">
        <is>
          <t>la Recarga y mantenimiento</t>
        </is>
      </c>
      <c r="G417" t="n">
        <v>5</v>
      </c>
      <c r="H417" t="inlineStr">
        <is>
          <t>06 KG</t>
        </is>
      </c>
      <c r="I417" t="inlineStr">
        <is>
          <t>2026</t>
        </is>
      </c>
      <c r="J417" t="n">
        <v>2011</v>
      </c>
      <c r="K417" t="inlineStr">
        <is>
          <t>ABRIL 2023</t>
        </is>
      </c>
      <c r="L417" t="inlineStr">
        <is>
          <t>ABRIL 2024</t>
        </is>
      </c>
      <c r="M417" t="inlineStr">
        <is>
          <t xml:space="preserve">P.Q.S TIPO ABC AL 90% NACIONAL </t>
        </is>
      </c>
      <c r="N417" t="inlineStr">
        <is>
          <t>35/ 000689</t>
        </is>
      </c>
      <c r="O417" t="inlineStr">
        <is>
          <t>R</t>
        </is>
      </c>
      <c r="P417">
        <f>TRIM(N417)</f>
        <v/>
      </c>
    </row>
    <row r="418">
      <c r="A418" t="inlineStr">
        <is>
          <t>CO-001322</t>
        </is>
      </c>
      <c r="B418" t="inlineStr">
        <is>
          <t>PERU MASIVO S.A.</t>
        </is>
      </c>
      <c r="C418" t="inlineStr">
        <is>
          <t>20492392031</t>
        </is>
      </c>
      <c r="D418" t="inlineStr">
        <is>
          <t>AV. LOS INCAS CDRA. 4 PATIO NORTE - COMAS</t>
        </is>
      </c>
      <c r="E418" t="inlineStr">
        <is>
          <t>Lima, 05 de Abril de 2023</t>
        </is>
      </c>
      <c r="F418" t="inlineStr">
        <is>
          <t>la Recarga y mantenimiento</t>
        </is>
      </c>
      <c r="G418" t="n">
        <v>6</v>
      </c>
      <c r="H418" t="inlineStr">
        <is>
          <t>06 KG</t>
        </is>
      </c>
      <c r="I418" t="inlineStr">
        <is>
          <t>2027</t>
        </is>
      </c>
      <c r="J418" t="n">
        <v>2010</v>
      </c>
      <c r="K418" t="inlineStr">
        <is>
          <t>ABRIL 2023</t>
        </is>
      </c>
      <c r="L418" t="inlineStr">
        <is>
          <t>ABRIL 2024</t>
        </is>
      </c>
      <c r="M418" t="inlineStr">
        <is>
          <t xml:space="preserve">P.Q.S TIPO ABC AL 90% NACIONAL </t>
        </is>
      </c>
      <c r="N418" t="inlineStr">
        <is>
          <t>32/ 000354</t>
        </is>
      </c>
      <c r="O418" t="inlineStr">
        <is>
          <t>R</t>
        </is>
      </c>
      <c r="P418">
        <f>TRIM(N418)</f>
        <v/>
      </c>
    </row>
    <row r="419">
      <c r="A419" t="inlineStr">
        <is>
          <t>CO-001322</t>
        </is>
      </c>
      <c r="B419" t="inlineStr">
        <is>
          <t>PERU MASIVO S.A.</t>
        </is>
      </c>
      <c r="C419" t="inlineStr">
        <is>
          <t>20492392031</t>
        </is>
      </c>
      <c r="D419" t="inlineStr">
        <is>
          <t>AV. LOS INCAS CDRA. 4 PATIO NORTE - COMAS</t>
        </is>
      </c>
      <c r="E419" t="inlineStr">
        <is>
          <t>Lima, 05 de Abril de 2023</t>
        </is>
      </c>
      <c r="F419" t="inlineStr">
        <is>
          <t>la Recarga y mantenimiento</t>
        </is>
      </c>
      <c r="G419" t="n">
        <v>7</v>
      </c>
      <c r="H419" t="inlineStr">
        <is>
          <t>06 KG</t>
        </is>
      </c>
      <c r="I419" t="inlineStr">
        <is>
          <t>2027</t>
        </is>
      </c>
      <c r="J419" t="n">
        <v>2017</v>
      </c>
      <c r="K419" t="inlineStr">
        <is>
          <t>ABRIL 2023</t>
        </is>
      </c>
      <c r="L419" t="inlineStr">
        <is>
          <t>ABRIL 2024</t>
        </is>
      </c>
      <c r="M419" t="inlineStr">
        <is>
          <t xml:space="preserve">P.Q.S TIPO ABC AL 90% NACIONAL </t>
        </is>
      </c>
      <c r="N419" t="inlineStr">
        <is>
          <t>S/N /003106</t>
        </is>
      </c>
      <c r="O419" t="inlineStr">
        <is>
          <t>R</t>
        </is>
      </c>
      <c r="P419">
        <f>TRIM(N419)</f>
        <v/>
      </c>
    </row>
    <row r="420">
      <c r="A420" t="inlineStr">
        <is>
          <t>CO-001323</t>
        </is>
      </c>
      <c r="B420" t="inlineStr">
        <is>
          <t>SLANDER SERNA</t>
        </is>
      </c>
      <c r="D420" t="inlineStr">
        <is>
          <t>PLACA: BKE-299</t>
        </is>
      </c>
      <c r="E420" t="inlineStr">
        <is>
          <t>Lima, 10 de Abril  de 2023</t>
        </is>
      </c>
      <c r="F420" t="inlineStr">
        <is>
          <t>la Recarga y mantenimiento</t>
        </is>
      </c>
      <c r="G420" t="inlineStr">
        <is>
          <t>1</t>
        </is>
      </c>
      <c r="H420" t="inlineStr">
        <is>
          <t xml:space="preserve">02 KG </t>
        </is>
      </c>
      <c r="I420" t="inlineStr">
        <is>
          <t>VIGENTE</t>
        </is>
      </c>
      <c r="J420" t="n">
        <v>2010</v>
      </c>
      <c r="K420" t="inlineStr">
        <is>
          <t>ABRIL 2023</t>
        </is>
      </c>
      <c r="L420" t="inlineStr">
        <is>
          <t>ABRIL 2024</t>
        </is>
      </c>
      <c r="M420" t="inlineStr">
        <is>
          <t xml:space="preserve">P.Q.S.  TIPO ABC </t>
        </is>
      </c>
      <c r="N420" t="inlineStr">
        <is>
          <t>000009</t>
        </is>
      </c>
      <c r="O420" t="inlineStr">
        <is>
          <t>R</t>
        </is>
      </c>
      <c r="P420">
        <f>TRIM(N420)</f>
        <v/>
      </c>
    </row>
    <row r="421">
      <c r="A421" t="inlineStr">
        <is>
          <t>CO-001324</t>
        </is>
      </c>
      <c r="B421" t="inlineStr">
        <is>
          <t>ALEX ESTRADA</t>
        </is>
      </c>
      <c r="D421" t="inlineStr">
        <is>
          <t>PLACA: C8E-069</t>
        </is>
      </c>
      <c r="E421" t="inlineStr">
        <is>
          <t>Lima, 10 de Abril  de 2023</t>
        </is>
      </c>
      <c r="F421" t="inlineStr">
        <is>
          <t>la Recarga y mantenimiento</t>
        </is>
      </c>
      <c r="G421" t="inlineStr">
        <is>
          <t>1</t>
        </is>
      </c>
      <c r="H421" t="inlineStr">
        <is>
          <t xml:space="preserve">02 KG </t>
        </is>
      </c>
      <c r="I421" t="inlineStr">
        <is>
          <t>VIGENTE</t>
        </is>
      </c>
      <c r="J421" t="n">
        <v>2015</v>
      </c>
      <c r="K421" t="inlineStr">
        <is>
          <t>ABRIL 2023</t>
        </is>
      </c>
      <c r="L421" t="inlineStr">
        <is>
          <t>ABRIL 2024</t>
        </is>
      </c>
      <c r="M421" t="inlineStr">
        <is>
          <t xml:space="preserve">P.Q.S.  TIPO ABC </t>
        </is>
      </c>
      <c r="N421" t="inlineStr">
        <is>
          <t>048741</t>
        </is>
      </c>
      <c r="O421" t="inlineStr">
        <is>
          <t>R</t>
        </is>
      </c>
      <c r="P421">
        <f>TRIM(N421)</f>
        <v/>
      </c>
    </row>
    <row r="422">
      <c r="A422" t="inlineStr">
        <is>
          <t>CO-001325</t>
        </is>
      </c>
      <c r="B422" t="inlineStr">
        <is>
          <t>PERU MASIVO S.A.</t>
        </is>
      </c>
      <c r="C422" t="inlineStr">
        <is>
          <t>20492392031</t>
        </is>
      </c>
      <c r="D422" t="inlineStr">
        <is>
          <t>AV. LOS INCAS CDRA. 4 PATIO NORTE - COMAS</t>
        </is>
      </c>
      <c r="E422" t="inlineStr">
        <is>
          <t>Lima, 14 de Abril de 2023</t>
        </is>
      </c>
      <c r="F422" t="inlineStr">
        <is>
          <t>la Recarga y mantenimiento</t>
        </is>
      </c>
      <c r="G422" t="inlineStr">
        <is>
          <t>1</t>
        </is>
      </c>
      <c r="H422" t="inlineStr">
        <is>
          <t>06 KG</t>
        </is>
      </c>
      <c r="I422" t="inlineStr">
        <is>
          <t>2028</t>
        </is>
      </c>
      <c r="J422" t="n">
        <v>2009</v>
      </c>
      <c r="K422" t="inlineStr">
        <is>
          <t>ABRIL 2023</t>
        </is>
      </c>
      <c r="L422" t="inlineStr">
        <is>
          <t>ABRIL 2024</t>
        </is>
      </c>
      <c r="M422" t="inlineStr">
        <is>
          <t xml:space="preserve">P.Q.S TIPO ABC AL 90% NACIONAL </t>
        </is>
      </c>
      <c r="N422" t="inlineStr">
        <is>
          <t>296/001459</t>
        </is>
      </c>
      <c r="O422" t="inlineStr">
        <is>
          <t>R</t>
        </is>
      </c>
      <c r="P422">
        <f>TRIM(N422)</f>
        <v/>
      </c>
    </row>
    <row r="423">
      <c r="A423" t="inlineStr">
        <is>
          <t>CO-001325</t>
        </is>
      </c>
      <c r="B423" t="inlineStr">
        <is>
          <t>PERU MASIVO S.A.</t>
        </is>
      </c>
      <c r="C423" t="inlineStr">
        <is>
          <t>20492392031</t>
        </is>
      </c>
      <c r="D423" t="inlineStr">
        <is>
          <t>AV. LOS INCAS CDRA. 4 PATIO NORTE - COMAS</t>
        </is>
      </c>
      <c r="E423" t="inlineStr">
        <is>
          <t>Lima, 14 de Abril de 2023</t>
        </is>
      </c>
      <c r="F423" t="inlineStr">
        <is>
          <t>la Recarga y mantenimiento</t>
        </is>
      </c>
      <c r="G423" t="n">
        <v>2</v>
      </c>
      <c r="H423" t="inlineStr">
        <is>
          <t>06 KG</t>
        </is>
      </c>
      <c r="I423" t="inlineStr">
        <is>
          <t>2028</t>
        </is>
      </c>
      <c r="J423" t="n">
        <v>2007</v>
      </c>
      <c r="K423" t="inlineStr">
        <is>
          <t>ABRIL 2023</t>
        </is>
      </c>
      <c r="L423" t="inlineStr">
        <is>
          <t>ABRIL 2024</t>
        </is>
      </c>
      <c r="M423" t="inlineStr">
        <is>
          <t xml:space="preserve">P.Q.S TIPO ABC AL 90% NACIONAL </t>
        </is>
      </c>
      <c r="N423" t="inlineStr">
        <is>
          <t>239/000129</t>
        </is>
      </c>
      <c r="O423" t="inlineStr">
        <is>
          <t>R</t>
        </is>
      </c>
      <c r="P423">
        <f>TRIM(N423)</f>
        <v/>
      </c>
    </row>
    <row r="424">
      <c r="A424" t="inlineStr">
        <is>
          <t>CO-001325</t>
        </is>
      </c>
      <c r="B424" t="inlineStr">
        <is>
          <t>PERU MASIVO S.A.</t>
        </is>
      </c>
      <c r="C424" t="inlineStr">
        <is>
          <t>20492392031</t>
        </is>
      </c>
      <c r="D424" t="inlineStr">
        <is>
          <t>AV. LOS INCAS CDRA. 4 PATIO NORTE - COMAS</t>
        </is>
      </c>
      <c r="E424" t="inlineStr">
        <is>
          <t>Lima, 14 de Abril de 2023</t>
        </is>
      </c>
      <c r="F424" t="inlineStr">
        <is>
          <t>la Recarga y mantenimiento</t>
        </is>
      </c>
      <c r="G424" t="n">
        <v>3</v>
      </c>
      <c r="H424" t="inlineStr">
        <is>
          <t>06 KG</t>
        </is>
      </c>
      <c r="I424" t="inlineStr">
        <is>
          <t>2028</t>
        </is>
      </c>
      <c r="J424" t="n">
        <v>2009</v>
      </c>
      <c r="K424" t="inlineStr">
        <is>
          <t>ABRIL 2023</t>
        </is>
      </c>
      <c r="L424" t="inlineStr">
        <is>
          <t>ABRIL 2024</t>
        </is>
      </c>
      <c r="M424" t="inlineStr">
        <is>
          <t xml:space="preserve">P.Q.S TIPO ABC AL 90% NACIONAL </t>
        </is>
      </c>
      <c r="N424" t="inlineStr">
        <is>
          <t>327/001393</t>
        </is>
      </c>
      <c r="O424" t="inlineStr">
        <is>
          <t>R</t>
        </is>
      </c>
      <c r="P424">
        <f>TRIM(N424)</f>
        <v/>
      </c>
    </row>
    <row r="425">
      <c r="A425" t="inlineStr">
        <is>
          <t>CO-001325</t>
        </is>
      </c>
      <c r="B425" t="inlineStr">
        <is>
          <t>PERU MASIVO S.A.</t>
        </is>
      </c>
      <c r="C425" t="inlineStr">
        <is>
          <t>20492392031</t>
        </is>
      </c>
      <c r="D425" t="inlineStr">
        <is>
          <t>AV. LOS INCAS CDRA. 4 PATIO NORTE - COMAS</t>
        </is>
      </c>
      <c r="E425" t="inlineStr">
        <is>
          <t>Lima, 14 de Abril de 2023</t>
        </is>
      </c>
      <c r="F425" t="inlineStr">
        <is>
          <t>la Recarga y mantenimiento</t>
        </is>
      </c>
      <c r="G425" t="n">
        <v>4</v>
      </c>
      <c r="H425" t="inlineStr">
        <is>
          <t>06 KG</t>
        </is>
      </c>
      <c r="I425" t="inlineStr">
        <is>
          <t>2028</t>
        </is>
      </c>
      <c r="J425" t="n">
        <v>2009</v>
      </c>
      <c r="K425" t="inlineStr">
        <is>
          <t>ABRIL 2023</t>
        </is>
      </c>
      <c r="L425" t="inlineStr">
        <is>
          <t>ABRIL 2024</t>
        </is>
      </c>
      <c r="M425" t="inlineStr">
        <is>
          <t xml:space="preserve">P.Q.S TIPO ABC AL 90% NACIONAL </t>
        </is>
      </c>
      <c r="N425" t="inlineStr">
        <is>
          <t>241/001353</t>
        </is>
      </c>
      <c r="O425" t="inlineStr">
        <is>
          <t>R</t>
        </is>
      </c>
      <c r="P425">
        <f>TRIM(N425)</f>
        <v/>
      </c>
    </row>
    <row r="426">
      <c r="A426" t="inlineStr">
        <is>
          <t>CO-001325</t>
        </is>
      </c>
      <c r="B426" t="inlineStr">
        <is>
          <t>PERU MASIVO S.A.</t>
        </is>
      </c>
      <c r="C426" t="inlineStr">
        <is>
          <t>20492392031</t>
        </is>
      </c>
      <c r="D426" t="inlineStr">
        <is>
          <t>AV. LOS INCAS CDRA. 4 PATIO NORTE - COMAS</t>
        </is>
      </c>
      <c r="E426" t="inlineStr">
        <is>
          <t>Lima, 14 de Abril de 2023</t>
        </is>
      </c>
      <c r="F426" t="inlineStr">
        <is>
          <t>la Recarga y mantenimiento</t>
        </is>
      </c>
      <c r="G426" t="n">
        <v>5</v>
      </c>
      <c r="H426" t="inlineStr">
        <is>
          <t>06 KG</t>
        </is>
      </c>
      <c r="I426" t="inlineStr">
        <is>
          <t>2028</t>
        </is>
      </c>
      <c r="J426" t="n">
        <v>2016</v>
      </c>
      <c r="K426" t="inlineStr">
        <is>
          <t>ABRIL 2023</t>
        </is>
      </c>
      <c r="L426" t="inlineStr">
        <is>
          <t>ABRIL 2024</t>
        </is>
      </c>
      <c r="M426" t="inlineStr">
        <is>
          <t xml:space="preserve">P.Q.S TIPO ABC AL 90% NACIONAL </t>
        </is>
      </c>
      <c r="N426" t="inlineStr">
        <is>
          <t>S/N /000254</t>
        </is>
      </c>
      <c r="O426" t="inlineStr">
        <is>
          <t>R</t>
        </is>
      </c>
      <c r="P426">
        <f>TRIM(N426)</f>
        <v/>
      </c>
    </row>
    <row r="427">
      <c r="A427" t="inlineStr">
        <is>
          <t>CO-001325</t>
        </is>
      </c>
      <c r="B427" t="inlineStr">
        <is>
          <t>PERU MASIVO S.A.</t>
        </is>
      </c>
      <c r="C427" t="inlineStr">
        <is>
          <t>20492392031</t>
        </is>
      </c>
      <c r="D427" t="inlineStr">
        <is>
          <t>AV. LOS INCAS CDRA. 4 PATIO NORTE - COMAS</t>
        </is>
      </c>
      <c r="E427" t="inlineStr">
        <is>
          <t>Lima, 14 de Abril de 2023</t>
        </is>
      </c>
      <c r="F427" t="inlineStr">
        <is>
          <t>la Recarga y mantenimiento</t>
        </is>
      </c>
      <c r="G427" t="n">
        <v>6</v>
      </c>
      <c r="H427" t="inlineStr">
        <is>
          <t>06 KG</t>
        </is>
      </c>
      <c r="I427" t="inlineStr">
        <is>
          <t>2024</t>
        </is>
      </c>
      <c r="J427" t="n">
        <v>2019</v>
      </c>
      <c r="K427" t="inlineStr">
        <is>
          <t>ABRIL 2023</t>
        </is>
      </c>
      <c r="L427" t="inlineStr">
        <is>
          <t>ABRIL 2024</t>
        </is>
      </c>
      <c r="M427" t="inlineStr">
        <is>
          <t xml:space="preserve">P.Q.S TIPO ABC AL 90% NACIONAL </t>
        </is>
      </c>
      <c r="N427" t="inlineStr">
        <is>
          <t>S/N /000054</t>
        </is>
      </c>
      <c r="O427" t="inlineStr">
        <is>
          <t>R</t>
        </is>
      </c>
      <c r="P427">
        <f>TRIM(N427)</f>
        <v/>
      </c>
    </row>
    <row r="428">
      <c r="A428" t="inlineStr">
        <is>
          <t>CO-001325</t>
        </is>
      </c>
      <c r="B428" t="inlineStr">
        <is>
          <t>PERU MASIVO S.A.</t>
        </is>
      </c>
      <c r="C428" t="inlineStr">
        <is>
          <t>20492392031</t>
        </is>
      </c>
      <c r="D428" t="inlineStr">
        <is>
          <t>AV. LOS INCAS CDRA. 4 PATIO NORTE - COMAS</t>
        </is>
      </c>
      <c r="E428" t="inlineStr">
        <is>
          <t>Lima, 14 de Abril de 2023</t>
        </is>
      </c>
      <c r="F428" t="inlineStr">
        <is>
          <t>la Recarga y mantenimiento</t>
        </is>
      </c>
      <c r="G428" t="n">
        <v>7</v>
      </c>
      <c r="H428" t="inlineStr">
        <is>
          <t>06 KG</t>
        </is>
      </c>
      <c r="I428" t="inlineStr">
        <is>
          <t>2028</t>
        </is>
      </c>
      <c r="J428" t="n">
        <v>2009</v>
      </c>
      <c r="K428" t="inlineStr">
        <is>
          <t>ABRIL 2023</t>
        </is>
      </c>
      <c r="L428" t="inlineStr">
        <is>
          <t>ABRIL 2024</t>
        </is>
      </c>
      <c r="M428" t="inlineStr">
        <is>
          <t xml:space="preserve">P.Q.S TIPO ABC AL 90% NACIONAL </t>
        </is>
      </c>
      <c r="N428" t="inlineStr">
        <is>
          <t>234/001842</t>
        </is>
      </c>
      <c r="O428" t="inlineStr">
        <is>
          <t>R</t>
        </is>
      </c>
      <c r="P428">
        <f>TRIM(N428)</f>
        <v/>
      </c>
    </row>
    <row r="429">
      <c r="A429" t="inlineStr">
        <is>
          <t>CO-001326</t>
        </is>
      </c>
      <c r="B429" t="inlineStr">
        <is>
          <t>PERU MASIVO S.A.</t>
        </is>
      </c>
      <c r="C429" t="inlineStr">
        <is>
          <t>20492392031</t>
        </is>
      </c>
      <c r="D429" t="inlineStr">
        <is>
          <t>AV. LOS INCAS CDRA. 4 PATIO NORTE - COMAS</t>
        </is>
      </c>
      <c r="E429" t="inlineStr">
        <is>
          <t>Lima, 14 de Abril de 2023</t>
        </is>
      </c>
      <c r="F429" t="inlineStr">
        <is>
          <t>la Recarga y mantenimiento</t>
        </is>
      </c>
      <c r="G429" t="inlineStr">
        <is>
          <t>1</t>
        </is>
      </c>
      <c r="H429" t="inlineStr">
        <is>
          <t>06 KG</t>
        </is>
      </c>
      <c r="I429" t="inlineStr">
        <is>
          <t>2028</t>
        </is>
      </c>
      <c r="J429" t="n">
        <v>2009</v>
      </c>
      <c r="K429" t="inlineStr">
        <is>
          <t>ABRIL 2023</t>
        </is>
      </c>
      <c r="L429" t="inlineStr">
        <is>
          <t>ABRIL 2024</t>
        </is>
      </c>
      <c r="M429" t="inlineStr">
        <is>
          <t xml:space="preserve">P.Q.S TIPO ABC AL 90% NACIONAL </t>
        </is>
      </c>
      <c r="N429" t="inlineStr">
        <is>
          <t>292/001002</t>
        </is>
      </c>
      <c r="O429" t="inlineStr">
        <is>
          <t>R</t>
        </is>
      </c>
      <c r="P429">
        <f>TRIM(N429)</f>
        <v/>
      </c>
    </row>
    <row r="430">
      <c r="A430" t="inlineStr">
        <is>
          <t>CO-001326</t>
        </is>
      </c>
      <c r="B430" t="inlineStr">
        <is>
          <t>PERU MASIVO S.A.</t>
        </is>
      </c>
      <c r="C430" t="inlineStr">
        <is>
          <t>20492392031</t>
        </is>
      </c>
      <c r="D430" t="inlineStr">
        <is>
          <t>AV. LOS INCAS CDRA. 4 PATIO NORTE - COMAS</t>
        </is>
      </c>
      <c r="E430" t="inlineStr">
        <is>
          <t>Lima, 14 de Abril de 2023</t>
        </is>
      </c>
      <c r="F430" t="inlineStr">
        <is>
          <t>la Recarga y mantenimiento</t>
        </is>
      </c>
      <c r="G430" t="n">
        <v>2</v>
      </c>
      <c r="H430" t="inlineStr">
        <is>
          <t>06 KG</t>
        </is>
      </c>
      <c r="I430" t="inlineStr">
        <is>
          <t>2028</t>
        </is>
      </c>
      <c r="J430" t="n">
        <v>2016</v>
      </c>
      <c r="K430" t="inlineStr">
        <is>
          <t>ABRIL 2023</t>
        </is>
      </c>
      <c r="L430" t="inlineStr">
        <is>
          <t>ABRIL 2024</t>
        </is>
      </c>
      <c r="M430" t="inlineStr">
        <is>
          <t xml:space="preserve">P.Q.S TIPO ABC AL 90% NACIONAL </t>
        </is>
      </c>
      <c r="N430" t="inlineStr">
        <is>
          <t>S/N /000506</t>
        </is>
      </c>
      <c r="O430" t="inlineStr">
        <is>
          <t>R</t>
        </is>
      </c>
      <c r="P430">
        <f>TRIM(N430)</f>
        <v/>
      </c>
    </row>
    <row r="431">
      <c r="A431" t="inlineStr">
        <is>
          <t>CO-001326</t>
        </is>
      </c>
      <c r="B431" t="inlineStr">
        <is>
          <t>PERU MASIVO S.A.</t>
        </is>
      </c>
      <c r="C431" t="inlineStr">
        <is>
          <t>20492392031</t>
        </is>
      </c>
      <c r="D431" t="inlineStr">
        <is>
          <t>AV. LOS INCAS CDRA. 4 PATIO NORTE - COMAS</t>
        </is>
      </c>
      <c r="E431" t="inlineStr">
        <is>
          <t>Lima, 14 de Abril de 2023</t>
        </is>
      </c>
      <c r="F431" t="inlineStr">
        <is>
          <t>la Recarga y mantenimiento</t>
        </is>
      </c>
      <c r="G431" t="n">
        <v>3</v>
      </c>
      <c r="H431" t="inlineStr">
        <is>
          <t>06 KG</t>
        </is>
      </c>
      <c r="I431" t="inlineStr">
        <is>
          <t>2028</t>
        </is>
      </c>
      <c r="J431" t="n">
        <v>2009</v>
      </c>
      <c r="K431" t="inlineStr">
        <is>
          <t>ABRIL 2023</t>
        </is>
      </c>
      <c r="L431" t="inlineStr">
        <is>
          <t>ABRIL 2024</t>
        </is>
      </c>
      <c r="M431" t="inlineStr">
        <is>
          <t xml:space="preserve">P.Q.S TIPO ABC AL 90% NACIONAL </t>
        </is>
      </c>
      <c r="N431" t="inlineStr">
        <is>
          <t>301/000683</t>
        </is>
      </c>
      <c r="O431" t="inlineStr">
        <is>
          <t>R</t>
        </is>
      </c>
      <c r="P431">
        <f>TRIM(N431)</f>
        <v/>
      </c>
    </row>
    <row r="432">
      <c r="A432" t="inlineStr">
        <is>
          <t>CO-001326</t>
        </is>
      </c>
      <c r="B432" t="inlineStr">
        <is>
          <t>PERU MASIVO S.A.</t>
        </is>
      </c>
      <c r="C432" t="inlineStr">
        <is>
          <t>20492392031</t>
        </is>
      </c>
      <c r="D432" t="inlineStr">
        <is>
          <t>AV. LOS INCAS CDRA. 4 PATIO NORTE - COMAS</t>
        </is>
      </c>
      <c r="E432" t="inlineStr">
        <is>
          <t>Lima, 14 de Abril de 2023</t>
        </is>
      </c>
      <c r="F432" t="inlineStr">
        <is>
          <t>la Recarga y mantenimiento</t>
        </is>
      </c>
      <c r="G432" t="n">
        <v>4</v>
      </c>
      <c r="H432" t="inlineStr">
        <is>
          <t>06 KG</t>
        </is>
      </c>
      <c r="I432" t="inlineStr">
        <is>
          <t>2028</t>
        </is>
      </c>
      <c r="J432" t="n">
        <v>2009</v>
      </c>
      <c r="K432" t="inlineStr">
        <is>
          <t>ABRIL 2023</t>
        </is>
      </c>
      <c r="L432" t="inlineStr">
        <is>
          <t>ABRIL 2024</t>
        </is>
      </c>
      <c r="M432" t="inlineStr">
        <is>
          <t xml:space="preserve">P.Q.S TIPO ABC AL 90% NACIONAL </t>
        </is>
      </c>
      <c r="N432" t="inlineStr">
        <is>
          <t>209/000877</t>
        </is>
      </c>
      <c r="O432" t="inlineStr">
        <is>
          <t>R</t>
        </is>
      </c>
      <c r="P432">
        <f>TRIM(N432)</f>
        <v/>
      </c>
    </row>
    <row r="433">
      <c r="A433" t="inlineStr">
        <is>
          <t>CO-001326</t>
        </is>
      </c>
      <c r="B433" t="inlineStr">
        <is>
          <t>PERU MASIVO S.A.</t>
        </is>
      </c>
      <c r="C433" t="inlineStr">
        <is>
          <t>20492392031</t>
        </is>
      </c>
      <c r="D433" t="inlineStr">
        <is>
          <t>AV. LOS INCAS CDRA. 4 PATIO NORTE - COMAS</t>
        </is>
      </c>
      <c r="E433" t="inlineStr">
        <is>
          <t>Lima, 14 de Abril de 2023</t>
        </is>
      </c>
      <c r="F433" t="inlineStr">
        <is>
          <t>la Recarga y mantenimiento</t>
        </is>
      </c>
      <c r="G433" t="n">
        <v>5</v>
      </c>
      <c r="H433" t="inlineStr">
        <is>
          <t>06 KG</t>
        </is>
      </c>
      <c r="I433" t="inlineStr">
        <is>
          <t>2028</t>
        </is>
      </c>
      <c r="J433" t="n">
        <v>2010</v>
      </c>
      <c r="K433" t="inlineStr">
        <is>
          <t>ABRIL 2023</t>
        </is>
      </c>
      <c r="L433" t="inlineStr">
        <is>
          <t>ABRIL 2024</t>
        </is>
      </c>
      <c r="M433" t="inlineStr">
        <is>
          <t xml:space="preserve">P.Q.S TIPO ABC AL 90% NACIONAL </t>
        </is>
      </c>
      <c r="N433" t="inlineStr">
        <is>
          <t>353/00698</t>
        </is>
      </c>
      <c r="O433" t="inlineStr">
        <is>
          <t>R</t>
        </is>
      </c>
      <c r="P433">
        <f>TRIM(N433)</f>
        <v/>
      </c>
    </row>
    <row r="434">
      <c r="A434" t="inlineStr">
        <is>
          <t>CO-001327</t>
        </is>
      </c>
      <c r="B434" t="inlineStr">
        <is>
          <t>COSPI SAC.</t>
        </is>
      </c>
      <c r="C434" t="inlineStr">
        <is>
          <t>20605798196</t>
        </is>
      </c>
      <c r="D434" t="inlineStr">
        <is>
          <t>CALLE 3 LOTE 34 URB SANTO DOMINGO CARABAYLLO</t>
        </is>
      </c>
      <c r="E434" t="inlineStr">
        <is>
          <t>Lima, 15 de Abril de 2023</t>
        </is>
      </c>
      <c r="F434" t="inlineStr">
        <is>
          <t>la Recarga y mantenimiento</t>
        </is>
      </c>
      <c r="G434" t="n">
        <v>1</v>
      </c>
      <c r="H434" t="inlineStr">
        <is>
          <t>09 KG</t>
        </is>
      </c>
      <c r="I434" t="inlineStr">
        <is>
          <t>2028</t>
        </is>
      </c>
      <c r="J434" t="n">
        <v>2014</v>
      </c>
      <c r="K434" t="inlineStr">
        <is>
          <t>ABRIL 2023</t>
        </is>
      </c>
      <c r="L434" t="inlineStr">
        <is>
          <t>ABRIL 2024</t>
        </is>
      </c>
      <c r="M434" t="inlineStr">
        <is>
          <t xml:space="preserve">P.Q.S TIPO ABC </t>
        </is>
      </c>
      <c r="N434" t="inlineStr">
        <is>
          <t>000284</t>
        </is>
      </c>
      <c r="O434" t="inlineStr">
        <is>
          <t>R</t>
        </is>
      </c>
      <c r="P434">
        <f>TRIM(N434)</f>
        <v/>
      </c>
    </row>
    <row r="435">
      <c r="A435" t="inlineStr">
        <is>
          <t>CO-001327</t>
        </is>
      </c>
      <c r="B435" t="inlineStr">
        <is>
          <t>COSPI SAC.</t>
        </is>
      </c>
      <c r="C435" t="inlineStr">
        <is>
          <t>20605798196</t>
        </is>
      </c>
      <c r="D435" t="inlineStr">
        <is>
          <t>CALLE 3 LOTE 34 URB SANTO DOMINGO CARABAYLLO</t>
        </is>
      </c>
      <c r="E435" t="inlineStr">
        <is>
          <t>Lima, 15 de Abril de 2023</t>
        </is>
      </c>
      <c r="F435" t="inlineStr">
        <is>
          <t>la Recarga y mantenimiento</t>
        </is>
      </c>
      <c r="G435" t="n">
        <v>2</v>
      </c>
      <c r="H435" t="inlineStr">
        <is>
          <t>09 KG</t>
        </is>
      </c>
      <c r="I435" t="inlineStr">
        <is>
          <t>2028</t>
        </is>
      </c>
      <c r="J435" t="n">
        <v>2012</v>
      </c>
      <c r="K435" t="inlineStr">
        <is>
          <t>ABRIL 2023</t>
        </is>
      </c>
      <c r="L435" t="inlineStr">
        <is>
          <t>ABRIL 2024</t>
        </is>
      </c>
      <c r="M435" t="inlineStr">
        <is>
          <t>P.Q.S TIPO ABC</t>
        </is>
      </c>
      <c r="N435" t="inlineStr">
        <is>
          <t>001388</t>
        </is>
      </c>
      <c r="O435" t="inlineStr">
        <is>
          <t>R</t>
        </is>
      </c>
      <c r="P435">
        <f>TRIM(N435)</f>
        <v/>
      </c>
    </row>
    <row r="436">
      <c r="A436" t="inlineStr">
        <is>
          <t>CO-001328</t>
        </is>
      </c>
      <c r="B436" t="inlineStr">
        <is>
          <t>EDISON CARREÑO</t>
        </is>
      </c>
      <c r="C436" t="inlineStr">
        <is>
          <t>09969764</t>
        </is>
      </c>
      <c r="D436" t="inlineStr">
        <is>
          <t>PLACA: F9X-853</t>
        </is>
      </c>
      <c r="E436" t="inlineStr">
        <is>
          <t>Lima, 15 de Abril de 2023</t>
        </is>
      </c>
      <c r="F436" t="inlineStr">
        <is>
          <t>la Recarga y mantenimiento</t>
        </is>
      </c>
      <c r="G436" t="n">
        <v>1</v>
      </c>
      <c r="H436" t="inlineStr">
        <is>
          <t>04 KG</t>
        </is>
      </c>
      <c r="I436" t="inlineStr">
        <is>
          <t>VIGENTE</t>
        </is>
      </c>
      <c r="J436" t="n">
        <v>2010</v>
      </c>
      <c r="K436" t="inlineStr">
        <is>
          <t>ABRIL 2023</t>
        </is>
      </c>
      <c r="L436" t="inlineStr">
        <is>
          <t>ABRIL 2024</t>
        </is>
      </c>
      <c r="M436" t="inlineStr">
        <is>
          <t xml:space="preserve">P.Q.S TIPO ABC </t>
        </is>
      </c>
      <c r="N436" t="inlineStr">
        <is>
          <t>000107</t>
        </is>
      </c>
      <c r="O436" t="inlineStr">
        <is>
          <t>R</t>
        </is>
      </c>
      <c r="P436">
        <f>TRIM(N436)</f>
        <v/>
      </c>
    </row>
    <row r="437">
      <c r="A437" t="inlineStr">
        <is>
          <t>CO-001329</t>
        </is>
      </c>
      <c r="B437" t="inlineStr">
        <is>
          <t>VICTOR CHAVEZ GARIBAY</t>
        </is>
      </c>
      <c r="C437" t="inlineStr">
        <is>
          <t>40225220</t>
        </is>
      </c>
      <c r="D437" t="inlineStr">
        <is>
          <t>PLACA: D8T-648</t>
        </is>
      </c>
      <c r="E437" t="inlineStr">
        <is>
          <t>Lima, 18 de Abril de 2023</t>
        </is>
      </c>
      <c r="F437" t="inlineStr">
        <is>
          <t>la Recarga y mantenimiento</t>
        </is>
      </c>
      <c r="G437" t="n">
        <v>1</v>
      </c>
      <c r="H437" t="inlineStr">
        <is>
          <t>02 KG</t>
        </is>
      </c>
      <c r="I437" t="inlineStr">
        <is>
          <t>2026</t>
        </is>
      </c>
      <c r="J437" t="n">
        <v>2021</v>
      </c>
      <c r="K437" t="inlineStr">
        <is>
          <t>ABRIL 2023</t>
        </is>
      </c>
      <c r="L437" t="inlineStr">
        <is>
          <t>ABRIL 2024</t>
        </is>
      </c>
      <c r="M437" t="inlineStr">
        <is>
          <t xml:space="preserve">P.Q.S TIPO ABC </t>
        </is>
      </c>
      <c r="N437" t="inlineStr">
        <is>
          <t>003938</t>
        </is>
      </c>
      <c r="O437" t="inlineStr">
        <is>
          <t>R</t>
        </is>
      </c>
      <c r="P437">
        <f>TRIM(N437)</f>
        <v/>
      </c>
    </row>
    <row r="438">
      <c r="A438" t="inlineStr">
        <is>
          <t>CO-001330</t>
        </is>
      </c>
      <c r="B438" t="inlineStr">
        <is>
          <t>PABLO SOTO</t>
        </is>
      </c>
      <c r="D438" t="inlineStr">
        <is>
          <t>PLACA: D6V-765</t>
        </is>
      </c>
      <c r="E438" t="inlineStr">
        <is>
          <t>Lima, 18 de Abril de 2023</t>
        </is>
      </c>
      <c r="F438" t="inlineStr">
        <is>
          <t>la Recarga y mantenimiento</t>
        </is>
      </c>
      <c r="G438" t="n">
        <v>1</v>
      </c>
      <c r="H438" t="inlineStr">
        <is>
          <t>04 KG</t>
        </is>
      </c>
      <c r="I438" t="inlineStr">
        <is>
          <t>VIGENTE</t>
        </is>
      </c>
      <c r="J438" t="n">
        <v>2018</v>
      </c>
      <c r="K438" t="inlineStr">
        <is>
          <t>ABRIL 2023</t>
        </is>
      </c>
      <c r="L438" t="inlineStr">
        <is>
          <t>ABRIL 2024</t>
        </is>
      </c>
      <c r="M438" t="inlineStr">
        <is>
          <t xml:space="preserve">P.Q.S TIPO ABC </t>
        </is>
      </c>
      <c r="N438" t="inlineStr">
        <is>
          <t>165045</t>
        </is>
      </c>
      <c r="O438" t="inlineStr">
        <is>
          <t>R</t>
        </is>
      </c>
      <c r="P438">
        <f>TRIM(N438)</f>
        <v/>
      </c>
    </row>
    <row r="439">
      <c r="A439" t="inlineStr">
        <is>
          <t>CO-001331</t>
        </is>
      </c>
      <c r="B439" t="inlineStr">
        <is>
          <t>PERU MASIVO S.A.</t>
        </is>
      </c>
      <c r="C439" t="inlineStr">
        <is>
          <t>20492392031</t>
        </is>
      </c>
      <c r="D439" t="inlineStr">
        <is>
          <t>AV. LOS INCAS CDRA. 4 PATIO NORTE - COMAS</t>
        </is>
      </c>
      <c r="E439" t="inlineStr">
        <is>
          <t>Lima, 20 de Abril de 2023</t>
        </is>
      </c>
      <c r="F439" t="inlineStr">
        <is>
          <t>la Recarga y mantenimiento</t>
        </is>
      </c>
      <c r="G439" t="inlineStr">
        <is>
          <t>1</t>
        </is>
      </c>
      <c r="H439" t="inlineStr">
        <is>
          <t>06 KG</t>
        </is>
      </c>
      <c r="I439" t="inlineStr">
        <is>
          <t>2028</t>
        </is>
      </c>
      <c r="J439" t="n">
        <v>2010</v>
      </c>
      <c r="K439" t="inlineStr">
        <is>
          <t>ABRIL 2023</t>
        </is>
      </c>
      <c r="L439" t="inlineStr">
        <is>
          <t>ABRIL 2024</t>
        </is>
      </c>
      <c r="M439" t="inlineStr">
        <is>
          <t xml:space="preserve">P.Q.S TIPO ABC AL 90% NACIONAL </t>
        </is>
      </c>
      <c r="N439" t="inlineStr">
        <is>
          <t>133/000476</t>
        </is>
      </c>
      <c r="O439" t="inlineStr">
        <is>
          <t>R</t>
        </is>
      </c>
      <c r="P439">
        <f>TRIM(N439)</f>
        <v/>
      </c>
    </row>
    <row r="440">
      <c r="A440" t="inlineStr">
        <is>
          <t>CO-001331</t>
        </is>
      </c>
      <c r="B440" t="inlineStr">
        <is>
          <t>PERU MASIVO S.A.</t>
        </is>
      </c>
      <c r="C440" t="inlineStr">
        <is>
          <t>20492392031</t>
        </is>
      </c>
      <c r="D440" t="inlineStr">
        <is>
          <t>AV. LOS INCAS CDRA. 4 PATIO NORTE - COMAS</t>
        </is>
      </c>
      <c r="E440" t="inlineStr">
        <is>
          <t>Lima, 20 de Abril de 2023</t>
        </is>
      </c>
      <c r="F440" t="inlineStr">
        <is>
          <t>la Recarga y mantenimiento</t>
        </is>
      </c>
      <c r="G440" t="n">
        <v>2</v>
      </c>
      <c r="H440" t="inlineStr">
        <is>
          <t>06 KG</t>
        </is>
      </c>
      <c r="I440" t="inlineStr">
        <is>
          <t>2028</t>
        </is>
      </c>
      <c r="J440" t="n">
        <v>2009</v>
      </c>
      <c r="K440" t="inlineStr">
        <is>
          <t>ABRIL 2023</t>
        </is>
      </c>
      <c r="L440" t="inlineStr">
        <is>
          <t>ABRIL 2024</t>
        </is>
      </c>
      <c r="M440" t="inlineStr">
        <is>
          <t xml:space="preserve">P.Q.S TIPO ABC AL 90% NACIONAL </t>
        </is>
      </c>
      <c r="N440" t="inlineStr">
        <is>
          <t>385/002177</t>
        </is>
      </c>
      <c r="O440" t="inlineStr">
        <is>
          <t>R</t>
        </is>
      </c>
      <c r="P440">
        <f>TRIM(N440)</f>
        <v/>
      </c>
    </row>
    <row r="441">
      <c r="A441" t="inlineStr">
        <is>
          <t>CO-001331</t>
        </is>
      </c>
      <c r="B441" t="inlineStr">
        <is>
          <t>PERU MASIVO S.A.</t>
        </is>
      </c>
      <c r="C441" t="inlineStr">
        <is>
          <t>20492392031</t>
        </is>
      </c>
      <c r="D441" t="inlineStr">
        <is>
          <t>AV. LOS INCAS CDRA. 4 PATIO NORTE - COMAS</t>
        </is>
      </c>
      <c r="E441" t="inlineStr">
        <is>
          <t>Lima, 20 de Abril de 2023</t>
        </is>
      </c>
      <c r="F441" t="inlineStr">
        <is>
          <t>la Recarga y mantenimiento</t>
        </is>
      </c>
      <c r="G441" t="n">
        <v>3</v>
      </c>
      <c r="H441" t="inlineStr">
        <is>
          <t>06 KG</t>
        </is>
      </c>
      <c r="I441" t="inlineStr">
        <is>
          <t>2028</t>
        </is>
      </c>
      <c r="J441" t="n">
        <v>2009</v>
      </c>
      <c r="K441" t="inlineStr">
        <is>
          <t>ABRIL 2023</t>
        </is>
      </c>
      <c r="L441" t="inlineStr">
        <is>
          <t>ABRIL 2024</t>
        </is>
      </c>
      <c r="M441" t="inlineStr">
        <is>
          <t xml:space="preserve">P.Q.S TIPO ABC AL 90% NACIONAL </t>
        </is>
      </c>
      <c r="N441" t="inlineStr">
        <is>
          <t>335/001071</t>
        </is>
      </c>
      <c r="O441" t="inlineStr">
        <is>
          <t>R</t>
        </is>
      </c>
      <c r="P441">
        <f>TRIM(N441)</f>
        <v/>
      </c>
    </row>
    <row r="442">
      <c r="A442" t="inlineStr">
        <is>
          <t>CO-001331</t>
        </is>
      </c>
      <c r="B442" t="inlineStr">
        <is>
          <t>PERU MASIVO S.A.</t>
        </is>
      </c>
      <c r="C442" t="inlineStr">
        <is>
          <t>20492392031</t>
        </is>
      </c>
      <c r="D442" t="inlineStr">
        <is>
          <t>AV. LOS INCAS CDRA. 4 PATIO NORTE - COMAS</t>
        </is>
      </c>
      <c r="E442" t="inlineStr">
        <is>
          <t>Lima, 20 de Abril de 2023</t>
        </is>
      </c>
      <c r="F442" t="inlineStr">
        <is>
          <t>la Recarga y mantenimiento</t>
        </is>
      </c>
      <c r="G442" t="n">
        <v>4</v>
      </c>
      <c r="H442" t="inlineStr">
        <is>
          <t>06 KG</t>
        </is>
      </c>
      <c r="I442" t="inlineStr">
        <is>
          <t>2028</t>
        </is>
      </c>
      <c r="J442" t="n">
        <v>2009</v>
      </c>
      <c r="K442" t="inlineStr">
        <is>
          <t>ABRIL 2023</t>
        </is>
      </c>
      <c r="L442" t="inlineStr">
        <is>
          <t>ABRIL 2024</t>
        </is>
      </c>
      <c r="M442" t="inlineStr">
        <is>
          <t xml:space="preserve">P.Q.S TIPO ABC AL 90% NACIONAL </t>
        </is>
      </c>
      <c r="N442" t="inlineStr">
        <is>
          <t>265/000098</t>
        </is>
      </c>
      <c r="O442" t="inlineStr">
        <is>
          <t>R</t>
        </is>
      </c>
      <c r="P442">
        <f>TRIM(N442)</f>
        <v/>
      </c>
    </row>
    <row r="443">
      <c r="A443" t="inlineStr">
        <is>
          <t>CO-001331</t>
        </is>
      </c>
      <c r="B443" t="inlineStr">
        <is>
          <t>PERU MASIVO S.A.</t>
        </is>
      </c>
      <c r="C443" t="inlineStr">
        <is>
          <t>20492392031</t>
        </is>
      </c>
      <c r="D443" t="inlineStr">
        <is>
          <t>AV. LOS INCAS CDRA. 4 PATIO NORTE - COMAS</t>
        </is>
      </c>
      <c r="E443" t="inlineStr">
        <is>
          <t>Lima, 20 de Abril de 2023</t>
        </is>
      </c>
      <c r="F443" t="inlineStr">
        <is>
          <t>la Recarga y mantenimiento</t>
        </is>
      </c>
      <c r="G443" t="n">
        <v>5</v>
      </c>
      <c r="H443" t="inlineStr">
        <is>
          <t>06 KG</t>
        </is>
      </c>
      <c r="I443" t="inlineStr">
        <is>
          <t>2028</t>
        </is>
      </c>
      <c r="J443" t="n">
        <v>2010</v>
      </c>
      <c r="K443" t="inlineStr">
        <is>
          <t>ABRIL 2023</t>
        </is>
      </c>
      <c r="L443" t="inlineStr">
        <is>
          <t>ABRIL 2024</t>
        </is>
      </c>
      <c r="M443" t="inlineStr">
        <is>
          <t xml:space="preserve">P.Q.S TIPO ABC AL 90% NACIONAL </t>
        </is>
      </c>
      <c r="N443" t="inlineStr">
        <is>
          <t>229/000605</t>
        </is>
      </c>
      <c r="O443" t="inlineStr">
        <is>
          <t>R</t>
        </is>
      </c>
      <c r="P443">
        <f>TRIM(N443)</f>
        <v/>
      </c>
    </row>
    <row r="444">
      <c r="A444" t="inlineStr">
        <is>
          <t>CO-001331</t>
        </is>
      </c>
      <c r="B444" t="inlineStr">
        <is>
          <t>PERU MASIVO S.A.</t>
        </is>
      </c>
      <c r="C444" t="inlineStr">
        <is>
          <t>20492392031</t>
        </is>
      </c>
      <c r="D444" t="inlineStr">
        <is>
          <t>AV. LOS INCAS CDRA. 4 PATIO NORTE - COMAS</t>
        </is>
      </c>
      <c r="E444" t="inlineStr">
        <is>
          <t>Lima, 20 de Abril de 2023</t>
        </is>
      </c>
      <c r="F444" t="inlineStr">
        <is>
          <t>la Recarga y mantenimiento</t>
        </is>
      </c>
      <c r="G444" t="n">
        <v>6</v>
      </c>
      <c r="H444" t="inlineStr">
        <is>
          <t>06 KG</t>
        </is>
      </c>
      <c r="I444" t="inlineStr">
        <is>
          <t>2028</t>
        </is>
      </c>
      <c r="J444" t="inlineStr">
        <is>
          <t>S/N</t>
        </is>
      </c>
      <c r="K444" t="inlineStr">
        <is>
          <t>ABRIL 2023</t>
        </is>
      </c>
      <c r="L444" t="inlineStr">
        <is>
          <t>ABRIL 2024</t>
        </is>
      </c>
      <c r="M444" t="inlineStr">
        <is>
          <t xml:space="preserve">P.Q.S TIPO ABC AL 90% NACIONAL </t>
        </is>
      </c>
      <c r="N444" t="inlineStr">
        <is>
          <t>S/N /010584</t>
        </is>
      </c>
      <c r="O444" t="inlineStr">
        <is>
          <t>R</t>
        </is>
      </c>
      <c r="P444">
        <f>TRIM(N444)</f>
        <v/>
      </c>
    </row>
    <row r="445">
      <c r="A445" t="inlineStr">
        <is>
          <t>CO-001331</t>
        </is>
      </c>
      <c r="B445" t="inlineStr">
        <is>
          <t>PERU MASIVO S.A.</t>
        </is>
      </c>
      <c r="C445" t="inlineStr">
        <is>
          <t>20492392031</t>
        </is>
      </c>
      <c r="D445" t="inlineStr">
        <is>
          <t>AV. LOS INCAS CDRA. 4 PATIO NORTE - COMAS</t>
        </is>
      </c>
      <c r="E445" t="inlineStr">
        <is>
          <t>Lima, 20 de Abril de 2023</t>
        </is>
      </c>
      <c r="F445" t="inlineStr">
        <is>
          <t>la Recarga y mantenimiento</t>
        </is>
      </c>
      <c r="G445" t="n">
        <v>7</v>
      </c>
      <c r="H445" t="inlineStr">
        <is>
          <t>06 KG</t>
        </is>
      </c>
      <c r="I445" t="inlineStr">
        <is>
          <t>2028</t>
        </is>
      </c>
      <c r="J445" t="n">
        <v>2015</v>
      </c>
      <c r="K445" t="inlineStr">
        <is>
          <t>ABRIL 2023</t>
        </is>
      </c>
      <c r="L445" t="inlineStr">
        <is>
          <t>ABRIL 2024</t>
        </is>
      </c>
      <c r="M445" t="inlineStr">
        <is>
          <t xml:space="preserve">P.Q.S TIPO ABC AL 90% NACIONAL </t>
        </is>
      </c>
      <c r="N445" t="inlineStr">
        <is>
          <t>S/N /016160</t>
        </is>
      </c>
      <c r="O445" t="inlineStr">
        <is>
          <t>R</t>
        </is>
      </c>
      <c r="P445">
        <f>TRIM(N445)</f>
        <v/>
      </c>
    </row>
    <row r="446">
      <c r="A446" t="inlineStr">
        <is>
          <t>CO-001331</t>
        </is>
      </c>
      <c r="B446" t="inlineStr">
        <is>
          <t>PERU MASIVO S.A.</t>
        </is>
      </c>
      <c r="C446" t="inlineStr">
        <is>
          <t>20492392031</t>
        </is>
      </c>
      <c r="D446" t="inlineStr">
        <is>
          <t>AV. LOS INCAS CDRA. 4 PATIO NORTE - COMAS</t>
        </is>
      </c>
      <c r="E446" t="inlineStr">
        <is>
          <t>Lima, 20 de Abril de 2023</t>
        </is>
      </c>
      <c r="F446" t="inlineStr">
        <is>
          <t>la Recarga y mantenimiento</t>
        </is>
      </c>
      <c r="G446" t="n">
        <v>8</v>
      </c>
      <c r="H446" t="inlineStr">
        <is>
          <t>06 KG</t>
        </is>
      </c>
      <c r="I446" t="inlineStr">
        <is>
          <t>2028</t>
        </is>
      </c>
      <c r="J446" t="n">
        <v>2010</v>
      </c>
      <c r="K446" t="inlineStr">
        <is>
          <t>ABRIL 2023</t>
        </is>
      </c>
      <c r="L446" t="inlineStr">
        <is>
          <t>ABRIL 2024</t>
        </is>
      </c>
      <c r="M446" t="inlineStr">
        <is>
          <t xml:space="preserve">P.Q.S TIPO ABC AL 90% NACIONAL </t>
        </is>
      </c>
      <c r="N446" t="inlineStr">
        <is>
          <t>145/000469</t>
        </is>
      </c>
      <c r="O446" t="inlineStr">
        <is>
          <t>R</t>
        </is>
      </c>
      <c r="P446">
        <f>TRIM(N446)</f>
        <v/>
      </c>
    </row>
    <row r="447">
      <c r="A447" t="inlineStr">
        <is>
          <t>CO-001332</t>
        </is>
      </c>
      <c r="B447" t="inlineStr">
        <is>
          <t>CORPORACION DENTAL SERPA EIRL</t>
        </is>
      </c>
      <c r="C447" t="inlineStr">
        <is>
          <t>20612042862</t>
        </is>
      </c>
      <c r="D447" t="inlineStr">
        <is>
          <t>AV. CONDORCANQUI MZ. R1 LT. 22 URB. RESIDENCIAL LUCYANA DE CARABAYLLO</t>
        </is>
      </c>
      <c r="E447" t="inlineStr">
        <is>
          <t>Lima, 21 de Abril de 2023</t>
        </is>
      </c>
      <c r="F447" t="inlineStr">
        <is>
          <t>la venta</t>
        </is>
      </c>
      <c r="G447" t="n">
        <v>1</v>
      </c>
      <c r="H447" t="inlineStr">
        <is>
          <t>06 KG</t>
        </is>
      </c>
      <c r="I447" t="inlineStr">
        <is>
          <t>2028</t>
        </is>
      </c>
      <c r="J447" t="n">
        <v>2023</v>
      </c>
      <c r="K447" t="inlineStr">
        <is>
          <t>ABRIL 2023</t>
        </is>
      </c>
      <c r="L447" t="inlineStr">
        <is>
          <t>ABRIL 2024</t>
        </is>
      </c>
      <c r="M447" t="inlineStr">
        <is>
          <t xml:space="preserve">P.Q.S TIPO ABC </t>
        </is>
      </c>
      <c r="N447" t="inlineStr">
        <is>
          <t>000390</t>
        </is>
      </c>
      <c r="O447" t="inlineStr">
        <is>
          <t>V</t>
        </is>
      </c>
      <c r="P447">
        <f>TRIM(N447)</f>
        <v/>
      </c>
    </row>
    <row r="448">
      <c r="A448" t="inlineStr">
        <is>
          <t>CO-001333</t>
        </is>
      </c>
      <c r="B448" t="inlineStr">
        <is>
          <t>FREDDY ROJAS LOPEZ</t>
        </is>
      </c>
      <c r="C448" t="inlineStr">
        <is>
          <t>09466011</t>
        </is>
      </c>
      <c r="D448" t="inlineStr">
        <is>
          <t>PLACA: AMB-151</t>
        </is>
      </c>
      <c r="E448" t="inlineStr">
        <is>
          <t>Lima, 21 de Abril de 2023</t>
        </is>
      </c>
      <c r="F448" t="inlineStr">
        <is>
          <t>la Recarga y mantenimiento</t>
        </is>
      </c>
      <c r="G448" t="n">
        <v>1</v>
      </c>
      <c r="H448" t="inlineStr">
        <is>
          <t>02 KG</t>
        </is>
      </c>
      <c r="I448" t="inlineStr">
        <is>
          <t>VIGENTE</t>
        </is>
      </c>
      <c r="J448" t="n">
        <v>2015</v>
      </c>
      <c r="K448" t="inlineStr">
        <is>
          <t>ABRIL 2023</t>
        </is>
      </c>
      <c r="L448" t="inlineStr">
        <is>
          <t>ABRIL 2024</t>
        </is>
      </c>
      <c r="M448" t="inlineStr">
        <is>
          <t xml:space="preserve">P.Q.S TIPO ABC </t>
        </is>
      </c>
      <c r="N448" t="inlineStr">
        <is>
          <t>024051</t>
        </is>
      </c>
      <c r="O448" t="inlineStr">
        <is>
          <t>R</t>
        </is>
      </c>
      <c r="P448">
        <f>TRIM(N448)</f>
        <v/>
      </c>
    </row>
    <row r="449">
      <c r="A449" t="inlineStr">
        <is>
          <t>CO-001334</t>
        </is>
      </c>
      <c r="B449" t="inlineStr">
        <is>
          <t xml:space="preserve">VALENTINA HELADERIA Y CAFETERIA FINA  De: Jenifer Huaman Toscano </t>
        </is>
      </c>
      <c r="D449" t="inlineStr">
        <is>
          <t xml:space="preserve">AV. CALLE PARIS 181 - URB. EL PARRAL - COMAS </t>
        </is>
      </c>
      <c r="E449" t="inlineStr">
        <is>
          <t>Lima, 22 de Abril de 2023</t>
        </is>
      </c>
      <c r="F449" t="inlineStr">
        <is>
          <t>la Recarga y mantenimiento</t>
        </is>
      </c>
      <c r="G449" t="n">
        <v>1</v>
      </c>
      <c r="H449" t="inlineStr">
        <is>
          <t>06 KG</t>
        </is>
      </c>
      <c r="I449" t="inlineStr">
        <is>
          <t>2027</t>
        </is>
      </c>
      <c r="J449" t="n">
        <v>2022</v>
      </c>
      <c r="K449" t="inlineStr">
        <is>
          <t>ABRIL 2023</t>
        </is>
      </c>
      <c r="L449" t="inlineStr">
        <is>
          <t>ABRIL 2024</t>
        </is>
      </c>
      <c r="M449" t="inlineStr">
        <is>
          <t xml:space="preserve">P.Q.S TIPO ABC </t>
        </is>
      </c>
      <c r="N449" t="inlineStr">
        <is>
          <t>307163</t>
        </is>
      </c>
      <c r="O449" t="inlineStr">
        <is>
          <t>R</t>
        </is>
      </c>
      <c r="P449">
        <f>TRIM(N449)</f>
        <v/>
      </c>
    </row>
    <row r="450">
      <c r="A450" t="inlineStr">
        <is>
          <t>CO-001335</t>
        </is>
      </c>
      <c r="B450" t="inlineStr">
        <is>
          <t>ALFREDO CUEVA GARCIA</t>
        </is>
      </c>
      <c r="C450" t="inlineStr">
        <is>
          <t>06887322</t>
        </is>
      </c>
      <c r="D450" t="inlineStr">
        <is>
          <t>PLACA: B1G-770</t>
        </is>
      </c>
      <c r="E450" t="inlineStr">
        <is>
          <t>Lima, 24 de Abril de 2023</t>
        </is>
      </c>
      <c r="F450" t="inlineStr">
        <is>
          <t>la Recarga y mantenimiento</t>
        </is>
      </c>
      <c r="G450" t="n">
        <v>1</v>
      </c>
      <c r="H450" t="inlineStr">
        <is>
          <t>06 KG</t>
        </is>
      </c>
      <c r="I450" t="inlineStr">
        <is>
          <t>VIGENTE</t>
        </is>
      </c>
      <c r="J450" t="n">
        <v>2010</v>
      </c>
      <c r="K450" t="inlineStr">
        <is>
          <t>ABRIL 2023</t>
        </is>
      </c>
      <c r="L450" t="inlineStr">
        <is>
          <t>ABRIL 2024</t>
        </is>
      </c>
      <c r="M450" t="inlineStr">
        <is>
          <t xml:space="preserve">P.Q.S TIPO ABC </t>
        </is>
      </c>
      <c r="N450" t="inlineStr">
        <is>
          <t>000698</t>
        </is>
      </c>
      <c r="O450" t="inlineStr">
        <is>
          <t>R</t>
        </is>
      </c>
      <c r="P450">
        <f>TRIM(N450)</f>
        <v/>
      </c>
    </row>
    <row r="451">
      <c r="A451" t="inlineStr">
        <is>
          <t>CO-001336</t>
        </is>
      </c>
      <c r="B451" t="inlineStr">
        <is>
          <t>PERU MASIVO S.A.</t>
        </is>
      </c>
      <c r="C451" t="inlineStr">
        <is>
          <t>20492392031</t>
        </is>
      </c>
      <c r="D451" t="inlineStr">
        <is>
          <t>AV. LOS INCAS CDRA. 4 PATIO NORTE - COMAS</t>
        </is>
      </c>
      <c r="E451" t="inlineStr">
        <is>
          <t>Lima, 25 de Abril de 2023</t>
        </is>
      </c>
      <c r="F451" t="inlineStr">
        <is>
          <t>la Recarga y mantenimiento</t>
        </is>
      </c>
      <c r="G451" t="inlineStr">
        <is>
          <t>1</t>
        </is>
      </c>
      <c r="H451" t="inlineStr">
        <is>
          <t>06 KG</t>
        </is>
      </c>
      <c r="I451" t="inlineStr">
        <is>
          <t>2028</t>
        </is>
      </c>
      <c r="J451" t="n">
        <v>2010</v>
      </c>
      <c r="K451" t="inlineStr">
        <is>
          <t>ABRIL 2023</t>
        </is>
      </c>
      <c r="L451" t="inlineStr">
        <is>
          <t>ABRIL 2024</t>
        </is>
      </c>
      <c r="M451" t="inlineStr">
        <is>
          <t xml:space="preserve">P.Q.S TIPO ABC AL 90% NACIONAL </t>
        </is>
      </c>
      <c r="N451" t="inlineStr">
        <is>
          <t>294/000054</t>
        </is>
      </c>
      <c r="O451" t="inlineStr">
        <is>
          <t>R</t>
        </is>
      </c>
      <c r="P451">
        <f>TRIM(N451)</f>
        <v/>
      </c>
    </row>
    <row r="452">
      <c r="A452" t="inlineStr">
        <is>
          <t>CO-001336</t>
        </is>
      </c>
      <c r="B452" t="inlineStr">
        <is>
          <t>PERU MASIVO S.A.</t>
        </is>
      </c>
      <c r="C452" t="inlineStr">
        <is>
          <t>20492392031</t>
        </is>
      </c>
      <c r="D452" t="inlineStr">
        <is>
          <t>AV. LOS INCAS CDRA. 4 PATIO NORTE - COMAS</t>
        </is>
      </c>
      <c r="E452" t="inlineStr">
        <is>
          <t>Lima, 25 de Abril de 2023</t>
        </is>
      </c>
      <c r="F452" t="inlineStr">
        <is>
          <t>la Recarga y mantenimiento</t>
        </is>
      </c>
      <c r="G452" t="n">
        <v>2</v>
      </c>
      <c r="H452" t="inlineStr">
        <is>
          <t>06 KG</t>
        </is>
      </c>
      <c r="I452" t="inlineStr">
        <is>
          <t>2028</t>
        </is>
      </c>
      <c r="J452" t="n">
        <v>2010</v>
      </c>
      <c r="K452" t="inlineStr">
        <is>
          <t>ABRIL 2023</t>
        </is>
      </c>
      <c r="L452" t="inlineStr">
        <is>
          <t>ABRIL 2024</t>
        </is>
      </c>
      <c r="M452" t="inlineStr">
        <is>
          <t xml:space="preserve">P.Q.S TIPO ABC AL 90% NACIONAL </t>
        </is>
      </c>
      <c r="N452" t="inlineStr">
        <is>
          <t>337/000572</t>
        </is>
      </c>
      <c r="O452" t="inlineStr">
        <is>
          <t>R</t>
        </is>
      </c>
      <c r="P452">
        <f>TRIM(N452)</f>
        <v/>
      </c>
    </row>
    <row r="453">
      <c r="A453" t="inlineStr">
        <is>
          <t>CO-001336</t>
        </is>
      </c>
      <c r="B453" t="inlineStr">
        <is>
          <t>PERU MASIVO S.A.</t>
        </is>
      </c>
      <c r="C453" t="inlineStr">
        <is>
          <t>20492392031</t>
        </is>
      </c>
      <c r="D453" t="inlineStr">
        <is>
          <t>AV. LOS INCAS CDRA. 4 PATIO NORTE - COMAS</t>
        </is>
      </c>
      <c r="E453" t="inlineStr">
        <is>
          <t>Lima, 25 de Abril de 2023</t>
        </is>
      </c>
      <c r="F453" t="inlineStr">
        <is>
          <t>la Recarga y mantenimiento</t>
        </is>
      </c>
      <c r="G453" t="n">
        <v>3</v>
      </c>
      <c r="H453" t="inlineStr">
        <is>
          <t>06 KG</t>
        </is>
      </c>
      <c r="I453" t="inlineStr">
        <is>
          <t>2028</t>
        </is>
      </c>
      <c r="J453" t="n">
        <v>2010</v>
      </c>
      <c r="K453" t="inlineStr">
        <is>
          <t>ABRIL 2023</t>
        </is>
      </c>
      <c r="L453" t="inlineStr">
        <is>
          <t>ABRIL 2024</t>
        </is>
      </c>
      <c r="M453" t="inlineStr">
        <is>
          <t xml:space="preserve">P.Q.S TIPO ABC AL 90% NACIONAL </t>
        </is>
      </c>
      <c r="N453" t="inlineStr">
        <is>
          <t>293/000978</t>
        </is>
      </c>
      <c r="O453" t="inlineStr">
        <is>
          <t>R</t>
        </is>
      </c>
      <c r="P453">
        <f>TRIM(N453)</f>
        <v/>
      </c>
    </row>
    <row r="454">
      <c r="A454" t="inlineStr">
        <is>
          <t>CO-001336</t>
        </is>
      </c>
      <c r="B454" t="inlineStr">
        <is>
          <t>PERU MASIVO S.A.</t>
        </is>
      </c>
      <c r="C454" t="inlineStr">
        <is>
          <t>20492392031</t>
        </is>
      </c>
      <c r="D454" t="inlineStr">
        <is>
          <t>AV. LOS INCAS CDRA. 4 PATIO NORTE - COMAS</t>
        </is>
      </c>
      <c r="E454" t="inlineStr">
        <is>
          <t>Lima, 25 de Abril de 2023</t>
        </is>
      </c>
      <c r="F454" t="inlineStr">
        <is>
          <t>la Recarga y mantenimiento</t>
        </is>
      </c>
      <c r="G454" t="n">
        <v>4</v>
      </c>
      <c r="H454" t="inlineStr">
        <is>
          <t>06 KG</t>
        </is>
      </c>
      <c r="I454" t="inlineStr">
        <is>
          <t>2028</t>
        </is>
      </c>
      <c r="J454" t="n">
        <v>2009</v>
      </c>
      <c r="K454" t="inlineStr">
        <is>
          <t>ABRIL 2023</t>
        </is>
      </c>
      <c r="L454" t="inlineStr">
        <is>
          <t>ABRIL 2024</t>
        </is>
      </c>
      <c r="M454" t="inlineStr">
        <is>
          <t xml:space="preserve">P.Q.S TIPO ABC AL 90% NACIONAL </t>
        </is>
      </c>
      <c r="N454" t="inlineStr">
        <is>
          <t>334/000845</t>
        </is>
      </c>
      <c r="O454" t="inlineStr">
        <is>
          <t>R</t>
        </is>
      </c>
      <c r="P454">
        <f>TRIM(N454)</f>
        <v/>
      </c>
    </row>
    <row r="455">
      <c r="A455" t="inlineStr">
        <is>
          <t>CO-001336</t>
        </is>
      </c>
      <c r="B455" t="inlineStr">
        <is>
          <t>PERU MASIVO S.A.</t>
        </is>
      </c>
      <c r="C455" t="inlineStr">
        <is>
          <t>20492392031</t>
        </is>
      </c>
      <c r="D455" t="inlineStr">
        <is>
          <t>AV. LOS INCAS CDRA. 4 PATIO NORTE - COMAS</t>
        </is>
      </c>
      <c r="E455" t="inlineStr">
        <is>
          <t>Lima, 25 de Abril de 2023</t>
        </is>
      </c>
      <c r="F455" t="inlineStr">
        <is>
          <t>la Recarga y mantenimiento</t>
        </is>
      </c>
      <c r="G455" t="n">
        <v>5</v>
      </c>
      <c r="H455" t="inlineStr">
        <is>
          <t>06 KG</t>
        </is>
      </c>
      <c r="I455" t="inlineStr">
        <is>
          <t>2028</t>
        </is>
      </c>
      <c r="J455" t="n">
        <v>2009</v>
      </c>
      <c r="K455" t="inlineStr">
        <is>
          <t>ABRIL 2023</t>
        </is>
      </c>
      <c r="L455" t="inlineStr">
        <is>
          <t>ABRIL 2024</t>
        </is>
      </c>
      <c r="M455" t="inlineStr">
        <is>
          <t xml:space="preserve">P.Q.S TIPO ABC AL 90% NACIONAL </t>
        </is>
      </c>
      <c r="N455" t="inlineStr">
        <is>
          <t>261/001700</t>
        </is>
      </c>
      <c r="O455" t="inlineStr">
        <is>
          <t>R</t>
        </is>
      </c>
      <c r="P455">
        <f>TRIM(N455)</f>
        <v/>
      </c>
    </row>
    <row r="456">
      <c r="A456" t="inlineStr">
        <is>
          <t>CO-001336</t>
        </is>
      </c>
      <c r="B456" t="inlineStr">
        <is>
          <t>PERU MASIVO S.A.</t>
        </is>
      </c>
      <c r="C456" t="inlineStr">
        <is>
          <t>20492392031</t>
        </is>
      </c>
      <c r="D456" t="inlineStr">
        <is>
          <t>AV. LOS INCAS CDRA. 4 PATIO NORTE - COMAS</t>
        </is>
      </c>
      <c r="E456" t="inlineStr">
        <is>
          <t>Lima, 25 de Abril de 2023</t>
        </is>
      </c>
      <c r="F456" t="inlineStr">
        <is>
          <t>la Recarga y mantenimiento</t>
        </is>
      </c>
      <c r="G456" t="n">
        <v>6</v>
      </c>
      <c r="H456" t="inlineStr">
        <is>
          <t>06 KG</t>
        </is>
      </c>
      <c r="I456" t="inlineStr">
        <is>
          <t>2028</t>
        </is>
      </c>
      <c r="J456" t="n">
        <v>2009</v>
      </c>
      <c r="K456" t="inlineStr">
        <is>
          <t>ABRIL 2023</t>
        </is>
      </c>
      <c r="L456" t="inlineStr">
        <is>
          <t>ABRIL 2024</t>
        </is>
      </c>
      <c r="M456" t="inlineStr">
        <is>
          <t xml:space="preserve">P.Q.S TIPO ABC AL 90% NACIONAL </t>
        </is>
      </c>
      <c r="N456" t="inlineStr">
        <is>
          <t>219/001767</t>
        </is>
      </c>
      <c r="O456" t="inlineStr">
        <is>
          <t>R</t>
        </is>
      </c>
      <c r="P456">
        <f>TRIM(N456)</f>
        <v/>
      </c>
    </row>
    <row r="457">
      <c r="A457" t="inlineStr">
        <is>
          <t>CO-001336</t>
        </is>
      </c>
      <c r="B457" t="inlineStr">
        <is>
          <t>PERU MASIVO S.A.</t>
        </is>
      </c>
      <c r="C457" t="inlineStr">
        <is>
          <t>20492392031</t>
        </is>
      </c>
      <c r="D457" t="inlineStr">
        <is>
          <t>AV. LOS INCAS CDRA. 4 PATIO NORTE - COMAS</t>
        </is>
      </c>
      <c r="E457" t="inlineStr">
        <is>
          <t>Lima, 25 de Abril de 2023</t>
        </is>
      </c>
      <c r="F457" t="inlineStr">
        <is>
          <t>la Recarga y mantenimiento</t>
        </is>
      </c>
      <c r="G457" t="n">
        <v>7</v>
      </c>
      <c r="H457" t="inlineStr">
        <is>
          <t>06 KG</t>
        </is>
      </c>
      <c r="I457" t="inlineStr">
        <is>
          <t>2028</t>
        </is>
      </c>
      <c r="J457" t="n">
        <v>2009</v>
      </c>
      <c r="K457" t="inlineStr">
        <is>
          <t>ABRIL 2023</t>
        </is>
      </c>
      <c r="L457" t="inlineStr">
        <is>
          <t>ABRIL 2024</t>
        </is>
      </c>
      <c r="M457" t="inlineStr">
        <is>
          <t xml:space="preserve">P.Q.S TIPO ABC AL 90% NACIONAL </t>
        </is>
      </c>
      <c r="N457" t="inlineStr">
        <is>
          <t>60/001029</t>
        </is>
      </c>
      <c r="O457" t="inlineStr">
        <is>
          <t>R</t>
        </is>
      </c>
      <c r="P457">
        <f>TRIM(N457)</f>
        <v/>
      </c>
    </row>
    <row r="458">
      <c r="A458" t="inlineStr">
        <is>
          <t>CO-001336</t>
        </is>
      </c>
      <c r="B458" t="inlineStr">
        <is>
          <t>PERU MASIVO S.A.</t>
        </is>
      </c>
      <c r="C458" t="inlineStr">
        <is>
          <t>20492392031</t>
        </is>
      </c>
      <c r="D458" t="inlineStr">
        <is>
          <t>AV. LOS INCAS CDRA. 4 PATIO NORTE - COMAS</t>
        </is>
      </c>
      <c r="E458" t="inlineStr">
        <is>
          <t>Lima, 25 de Abril de 2023</t>
        </is>
      </c>
      <c r="F458" t="inlineStr">
        <is>
          <t>la Recarga y mantenimiento</t>
        </is>
      </c>
      <c r="G458" t="n">
        <v>8</v>
      </c>
      <c r="H458" t="inlineStr">
        <is>
          <t>06 KG</t>
        </is>
      </c>
      <c r="I458" t="inlineStr">
        <is>
          <t>2028</t>
        </is>
      </c>
      <c r="J458" t="n">
        <v>2010</v>
      </c>
      <c r="K458" t="inlineStr">
        <is>
          <t>ABRIL 2023</t>
        </is>
      </c>
      <c r="L458" t="inlineStr">
        <is>
          <t>ABRIL 2024</t>
        </is>
      </c>
      <c r="M458" t="inlineStr">
        <is>
          <t xml:space="preserve">P.Q.S TIPO ABC AL 90% NACIONAL </t>
        </is>
      </c>
      <c r="N458" t="inlineStr">
        <is>
          <t>S/N / 000005</t>
        </is>
      </c>
      <c r="O458" t="inlineStr">
        <is>
          <t>R</t>
        </is>
      </c>
      <c r="P458">
        <f>TRIM(N458)</f>
        <v/>
      </c>
    </row>
    <row r="459">
      <c r="A459" t="inlineStr">
        <is>
          <t>CO-001337</t>
        </is>
      </c>
      <c r="B459" t="inlineStr">
        <is>
          <t>PERU MASIVO S.A.</t>
        </is>
      </c>
      <c r="C459" t="inlineStr">
        <is>
          <t>20492392031</t>
        </is>
      </c>
      <c r="D459" t="inlineStr">
        <is>
          <t>AV. LOS INCAS CDRA. 4 PATIO NORTE - COMAS</t>
        </is>
      </c>
      <c r="E459" t="inlineStr">
        <is>
          <t>Lima, 25 de Abril de 2023</t>
        </is>
      </c>
      <c r="F459" t="inlineStr">
        <is>
          <t>la Recarga y mantenimiento</t>
        </is>
      </c>
      <c r="G459" t="inlineStr">
        <is>
          <t>1</t>
        </is>
      </c>
      <c r="H459" t="inlineStr">
        <is>
          <t>06 KG</t>
        </is>
      </c>
      <c r="I459" t="inlineStr">
        <is>
          <t>2028</t>
        </is>
      </c>
      <c r="J459" t="n">
        <v>2015</v>
      </c>
      <c r="K459" t="inlineStr">
        <is>
          <t>ABRIL 2023</t>
        </is>
      </c>
      <c r="L459" t="inlineStr">
        <is>
          <t>ABRIL 2024</t>
        </is>
      </c>
      <c r="M459" t="inlineStr">
        <is>
          <t xml:space="preserve">P.Q.S TIPO ABC AL 90% NACIONAL </t>
        </is>
      </c>
      <c r="N459" t="inlineStr">
        <is>
          <t>S/N 000173</t>
        </is>
      </c>
      <c r="O459" t="inlineStr">
        <is>
          <t>R</t>
        </is>
      </c>
      <c r="P459">
        <f>TRIM(N459)</f>
        <v/>
      </c>
    </row>
    <row r="460">
      <c r="A460" t="inlineStr">
        <is>
          <t>CO-001337</t>
        </is>
      </c>
      <c r="B460" t="inlineStr">
        <is>
          <t>PERU MASIVO S.A.</t>
        </is>
      </c>
      <c r="C460" t="inlineStr">
        <is>
          <t>20492392031</t>
        </is>
      </c>
      <c r="D460" t="inlineStr">
        <is>
          <t>AV. LOS INCAS CDRA. 4 PATIO NORTE - COMAS</t>
        </is>
      </c>
      <c r="E460" t="inlineStr">
        <is>
          <t>Lima, 25 de Abril de 2023</t>
        </is>
      </c>
      <c r="F460" t="inlineStr">
        <is>
          <t>la Recarga y mantenimiento</t>
        </is>
      </c>
      <c r="G460" t="n">
        <v>2</v>
      </c>
      <c r="H460" t="inlineStr">
        <is>
          <t>06 KG</t>
        </is>
      </c>
      <c r="I460" t="inlineStr">
        <is>
          <t>2028</t>
        </is>
      </c>
      <c r="J460" t="n">
        <v>2009</v>
      </c>
      <c r="K460" t="inlineStr">
        <is>
          <t>ABRIL 2023</t>
        </is>
      </c>
      <c r="L460" t="inlineStr">
        <is>
          <t>ABRIL 2024</t>
        </is>
      </c>
      <c r="M460" t="inlineStr">
        <is>
          <t xml:space="preserve">P.Q.S TIPO ABC AL 90% NACIONAL </t>
        </is>
      </c>
      <c r="N460" t="inlineStr">
        <is>
          <t>214/001243</t>
        </is>
      </c>
      <c r="O460" t="inlineStr">
        <is>
          <t>R</t>
        </is>
      </c>
      <c r="P460">
        <f>TRIM(N460)</f>
        <v/>
      </c>
    </row>
    <row r="461">
      <c r="A461" t="inlineStr">
        <is>
          <t>CO-001337</t>
        </is>
      </c>
      <c r="B461" t="inlineStr">
        <is>
          <t>PERU MASIVO S.A.</t>
        </is>
      </c>
      <c r="C461" t="inlineStr">
        <is>
          <t>20492392031</t>
        </is>
      </c>
      <c r="D461" t="inlineStr">
        <is>
          <t>AV. LOS INCAS CDRA. 4 PATIO NORTE - COMAS</t>
        </is>
      </c>
      <c r="E461" t="inlineStr">
        <is>
          <t>Lima, 25 de Abril de 2023</t>
        </is>
      </c>
      <c r="F461" t="inlineStr">
        <is>
          <t>la Recarga y mantenimiento</t>
        </is>
      </c>
      <c r="G461" t="n">
        <v>3</v>
      </c>
      <c r="H461" t="inlineStr">
        <is>
          <t>06 KG</t>
        </is>
      </c>
      <c r="I461" t="inlineStr">
        <is>
          <t>2028</t>
        </is>
      </c>
      <c r="J461" t="n">
        <v>2012</v>
      </c>
      <c r="K461" t="inlineStr">
        <is>
          <t>ABRIL 2023</t>
        </is>
      </c>
      <c r="L461" t="inlineStr">
        <is>
          <t>ABRIL 2024</t>
        </is>
      </c>
      <c r="M461" t="inlineStr">
        <is>
          <t xml:space="preserve">P.Q.S TIPO ABC AL 90% NACIONAL </t>
        </is>
      </c>
      <c r="N461" t="inlineStr">
        <is>
          <t>S/N/ 003125</t>
        </is>
      </c>
      <c r="O461" t="inlineStr">
        <is>
          <t>R</t>
        </is>
      </c>
      <c r="P461">
        <f>TRIM(N461)</f>
        <v/>
      </c>
    </row>
    <row r="462">
      <c r="A462" t="inlineStr">
        <is>
          <t>CO-001337</t>
        </is>
      </c>
      <c r="B462" t="inlineStr">
        <is>
          <t>PERU MASIVO S.A.</t>
        </is>
      </c>
      <c r="C462" t="inlineStr">
        <is>
          <t>20492392031</t>
        </is>
      </c>
      <c r="D462" t="inlineStr">
        <is>
          <t>AV. LOS INCAS CDRA. 4 PATIO NORTE - COMAS</t>
        </is>
      </c>
      <c r="E462" t="inlineStr">
        <is>
          <t>Lima, 25 de Abril de 2023</t>
        </is>
      </c>
      <c r="F462" t="inlineStr">
        <is>
          <t>la Recarga y mantenimiento</t>
        </is>
      </c>
      <c r="G462" t="n">
        <v>4</v>
      </c>
      <c r="H462" t="inlineStr">
        <is>
          <t>06 KG</t>
        </is>
      </c>
      <c r="I462" t="inlineStr">
        <is>
          <t>2028</t>
        </is>
      </c>
      <c r="J462" t="n">
        <v>2009</v>
      </c>
      <c r="K462" t="inlineStr">
        <is>
          <t>ABRIL 2023</t>
        </is>
      </c>
      <c r="L462" t="inlineStr">
        <is>
          <t>ABRIL 2024</t>
        </is>
      </c>
      <c r="M462" t="inlineStr">
        <is>
          <t xml:space="preserve">P.Q.S TIPO ABC AL 90% NACIONAL </t>
        </is>
      </c>
      <c r="N462" t="inlineStr">
        <is>
          <t>101/001632</t>
        </is>
      </c>
      <c r="O462" t="inlineStr">
        <is>
          <t>R</t>
        </is>
      </c>
      <c r="P462">
        <f>TRIM(N462)</f>
        <v/>
      </c>
    </row>
    <row r="463">
      <c r="A463" t="inlineStr">
        <is>
          <t>CO-001337</t>
        </is>
      </c>
      <c r="B463" t="inlineStr">
        <is>
          <t>PERU MASIVO S.A.</t>
        </is>
      </c>
      <c r="C463" t="inlineStr">
        <is>
          <t>20492392031</t>
        </is>
      </c>
      <c r="D463" t="inlineStr">
        <is>
          <t>AV. LOS INCAS CDRA. 4 PATIO NORTE - COMAS</t>
        </is>
      </c>
      <c r="E463" t="inlineStr">
        <is>
          <t>Lima, 25 de Abril de 2023</t>
        </is>
      </c>
      <c r="F463" t="inlineStr">
        <is>
          <t>la Recarga y mantenimiento</t>
        </is>
      </c>
      <c r="G463" t="n">
        <v>5</v>
      </c>
      <c r="H463" t="inlineStr">
        <is>
          <t>06 KG</t>
        </is>
      </c>
      <c r="I463" t="inlineStr">
        <is>
          <t>2028</t>
        </is>
      </c>
      <c r="J463" t="n">
        <v>2009</v>
      </c>
      <c r="K463" t="inlineStr">
        <is>
          <t>ABRIL 2023</t>
        </is>
      </c>
      <c r="L463" t="inlineStr">
        <is>
          <t>ABRIL 2024</t>
        </is>
      </c>
      <c r="M463" t="inlineStr">
        <is>
          <t xml:space="preserve">P.Q.S TIPO ABC AL 90% NACIONAL </t>
        </is>
      </c>
      <c r="N463" t="inlineStr">
        <is>
          <t>277/001108</t>
        </is>
      </c>
      <c r="O463" t="inlineStr">
        <is>
          <t>R</t>
        </is>
      </c>
      <c r="P463">
        <f>TRIM(N463)</f>
        <v/>
      </c>
    </row>
    <row r="464">
      <c r="A464" t="inlineStr">
        <is>
          <t>CO-001338</t>
        </is>
      </c>
      <c r="B464" t="inlineStr">
        <is>
          <t>JEFFER BELLIDO CORAL</t>
        </is>
      </c>
      <c r="D464" t="inlineStr">
        <is>
          <t>PLACA: C8B-068</t>
        </is>
      </c>
      <c r="E464" t="inlineStr">
        <is>
          <t>Lima, 25 de Abril de 2023</t>
        </is>
      </c>
      <c r="F464" t="inlineStr">
        <is>
          <t>la Recarga y mantenimiento</t>
        </is>
      </c>
      <c r="G464" t="n">
        <v>1</v>
      </c>
      <c r="H464" t="inlineStr">
        <is>
          <t>02 KG</t>
        </is>
      </c>
      <c r="I464" t="inlineStr">
        <is>
          <t>VIGENTE</t>
        </is>
      </c>
      <c r="J464" t="n">
        <v>2015</v>
      </c>
      <c r="K464" t="inlineStr">
        <is>
          <t>ABRIL 2023</t>
        </is>
      </c>
      <c r="L464" t="inlineStr">
        <is>
          <t>ABRIL 2024</t>
        </is>
      </c>
      <c r="M464" t="inlineStr">
        <is>
          <t xml:space="preserve">P.Q.S TIPO ABC </t>
        </is>
      </c>
      <c r="N464" t="inlineStr">
        <is>
          <t>040465</t>
        </is>
      </c>
      <c r="O464" t="inlineStr">
        <is>
          <t>R</t>
        </is>
      </c>
      <c r="P464">
        <f>TRIM(N464)</f>
        <v/>
      </c>
    </row>
    <row r="465">
      <c r="A465" t="inlineStr">
        <is>
          <t>CO-001339</t>
        </is>
      </c>
      <c r="B465" t="inlineStr">
        <is>
          <t>CONDOMINIO CLUB EL ROSEDAL- EDIFICIO 04</t>
        </is>
      </c>
      <c r="C465" t="inlineStr">
        <is>
          <t>HUANCAYO - EL TAMBO</t>
        </is>
      </c>
      <c r="D465" t="inlineStr">
        <is>
          <t>AV. INTIHUATANA CRUCE CON  AV. TAHUANTINSUYO</t>
        </is>
      </c>
      <c r="E465" t="inlineStr">
        <is>
          <t>Lima, 25 de Abril de 2023</t>
        </is>
      </c>
      <c r="F465" t="inlineStr">
        <is>
          <t>la Recarga y mantenimiento</t>
        </is>
      </c>
      <c r="G465" t="n">
        <v>1</v>
      </c>
      <c r="H465" t="inlineStr">
        <is>
          <t>09  KG</t>
        </is>
      </c>
      <c r="I465" t="inlineStr">
        <is>
          <t>2025</t>
        </is>
      </c>
      <c r="J465" t="n">
        <v>2020</v>
      </c>
      <c r="K465" t="inlineStr">
        <is>
          <t>ABRIL 2023</t>
        </is>
      </c>
      <c r="L465" t="inlineStr">
        <is>
          <t>ABRIL 2024</t>
        </is>
      </c>
      <c r="M465" t="inlineStr">
        <is>
          <t xml:space="preserve">P.Q.S TIPO ABC </t>
        </is>
      </c>
      <c r="N465" t="inlineStr">
        <is>
          <t>PISO 1/ 000035</t>
        </is>
      </c>
      <c r="O465" t="inlineStr">
        <is>
          <t>R</t>
        </is>
      </c>
      <c r="P465">
        <f>TRIM(N465)</f>
        <v/>
      </c>
    </row>
    <row r="466">
      <c r="A466" t="inlineStr">
        <is>
          <t>CO-001339</t>
        </is>
      </c>
      <c r="B466" t="inlineStr">
        <is>
          <t>CONDOMINIO CLUB EL ROSEDAL- EDIFICIO 04</t>
        </is>
      </c>
      <c r="C466" t="inlineStr">
        <is>
          <t>HUANCAYO - EL TAMBO</t>
        </is>
      </c>
      <c r="D466" t="inlineStr">
        <is>
          <t>AV. INTIHUATANA CRUCE CON  AV. TAHUANTINSUYO</t>
        </is>
      </c>
      <c r="E466" t="inlineStr">
        <is>
          <t>Lima, 25 de Abril de 2023</t>
        </is>
      </c>
      <c r="F466" t="inlineStr">
        <is>
          <t>la Recarga y mantenimiento</t>
        </is>
      </c>
      <c r="G466" t="n">
        <v>2</v>
      </c>
      <c r="H466" t="inlineStr">
        <is>
          <t>09  KG</t>
        </is>
      </c>
      <c r="I466" t="inlineStr">
        <is>
          <t>2025</t>
        </is>
      </c>
      <c r="J466" t="n">
        <v>2020</v>
      </c>
      <c r="K466" t="inlineStr">
        <is>
          <t>ABRIL 2023</t>
        </is>
      </c>
      <c r="L466" t="inlineStr">
        <is>
          <t>ABRIL 2024</t>
        </is>
      </c>
      <c r="M466" t="inlineStr">
        <is>
          <t>P.Q.S TIPO ABC</t>
        </is>
      </c>
      <c r="N466" t="inlineStr">
        <is>
          <t>PISO 2/ 000762</t>
        </is>
      </c>
      <c r="O466" t="inlineStr">
        <is>
          <t>R</t>
        </is>
      </c>
      <c r="P466">
        <f>TRIM(N466)</f>
        <v/>
      </c>
    </row>
    <row r="467">
      <c r="A467" t="inlineStr">
        <is>
          <t>CO-001339</t>
        </is>
      </c>
      <c r="B467" t="inlineStr">
        <is>
          <t>CONDOMINIO CLUB EL ROSEDAL- EDIFICIO 04</t>
        </is>
      </c>
      <c r="C467" t="inlineStr">
        <is>
          <t>HUANCAYO - EL TAMBO</t>
        </is>
      </c>
      <c r="D467" t="inlineStr">
        <is>
          <t>AV. INTIHUATANA CRUCE CON  AV. TAHUANTINSUYO</t>
        </is>
      </c>
      <c r="E467" t="inlineStr">
        <is>
          <t>Lima, 25 de Abril de 2023</t>
        </is>
      </c>
      <c r="F467" t="inlineStr">
        <is>
          <t>la Recarga y mantenimiento</t>
        </is>
      </c>
      <c r="G467" t="n">
        <v>3</v>
      </c>
      <c r="H467" t="inlineStr">
        <is>
          <t>09  KG</t>
        </is>
      </c>
      <c r="I467" t="inlineStr">
        <is>
          <t>2025</t>
        </is>
      </c>
      <c r="J467" t="n">
        <v>2020</v>
      </c>
      <c r="K467" t="inlineStr">
        <is>
          <t>ABRIL 2023</t>
        </is>
      </c>
      <c r="L467" t="inlineStr">
        <is>
          <t>ABRIL 2024</t>
        </is>
      </c>
      <c r="M467" t="inlineStr">
        <is>
          <t xml:space="preserve">P.Q.S TIPO ABC </t>
        </is>
      </c>
      <c r="N467" t="inlineStr">
        <is>
          <t>PISO 3/ 000112</t>
        </is>
      </c>
      <c r="O467" t="inlineStr">
        <is>
          <t>R</t>
        </is>
      </c>
      <c r="P467">
        <f>TRIM(N467)</f>
        <v/>
      </c>
    </row>
    <row r="468">
      <c r="A468" t="inlineStr">
        <is>
          <t>CO-001339</t>
        </is>
      </c>
      <c r="B468" t="inlineStr">
        <is>
          <t>CONDOMINIO CLUB EL ROSEDAL- EDIFICIO 04</t>
        </is>
      </c>
      <c r="C468" t="inlineStr">
        <is>
          <t>HUANCAYO - EL TAMBO</t>
        </is>
      </c>
      <c r="D468" t="inlineStr">
        <is>
          <t>AV. INTIHUATANA CRUCE CON  AV. TAHUANTINSUYO</t>
        </is>
      </c>
      <c r="E468" t="inlineStr">
        <is>
          <t>Lima, 25 de Abril de 2023</t>
        </is>
      </c>
      <c r="F468" t="inlineStr">
        <is>
          <t>la Recarga y mantenimiento</t>
        </is>
      </c>
      <c r="G468" t="n">
        <v>4</v>
      </c>
      <c r="H468" t="inlineStr">
        <is>
          <t>09  KG</t>
        </is>
      </c>
      <c r="I468" t="inlineStr">
        <is>
          <t>2025</t>
        </is>
      </c>
      <c r="J468" t="n">
        <v>2020</v>
      </c>
      <c r="K468" t="inlineStr">
        <is>
          <t>ABRIL 2023</t>
        </is>
      </c>
      <c r="L468" t="inlineStr">
        <is>
          <t>ABRIL 2024</t>
        </is>
      </c>
      <c r="M468" t="inlineStr">
        <is>
          <t xml:space="preserve">P.Q.S TIPO ABC </t>
        </is>
      </c>
      <c r="N468" t="inlineStr">
        <is>
          <t>PISO 4/ 000984</t>
        </is>
      </c>
      <c r="O468" t="inlineStr">
        <is>
          <t>R</t>
        </is>
      </c>
      <c r="P468">
        <f>TRIM(N468)</f>
        <v/>
      </c>
    </row>
    <row r="469">
      <c r="A469" t="inlineStr">
        <is>
          <t>CO-001339</t>
        </is>
      </c>
      <c r="B469" t="inlineStr">
        <is>
          <t>CONDOMINIO CLUB EL ROSEDAL- EDIFICIO 04</t>
        </is>
      </c>
      <c r="C469" t="inlineStr">
        <is>
          <t>HUANCAYO - EL TAMBO</t>
        </is>
      </c>
      <c r="D469" t="inlineStr">
        <is>
          <t>AV. INTIHUATANA CRUCE CON  AV. TAHUANTINSUYO</t>
        </is>
      </c>
      <c r="E469" t="inlineStr">
        <is>
          <t>Lima, 25 de Abril de 2023</t>
        </is>
      </c>
      <c r="F469" t="inlineStr">
        <is>
          <t>la Recarga y mantenimiento</t>
        </is>
      </c>
      <c r="G469" t="n">
        <v>5</v>
      </c>
      <c r="H469" t="inlineStr">
        <is>
          <t>09  KG</t>
        </is>
      </c>
      <c r="I469" t="inlineStr">
        <is>
          <t>2025</t>
        </is>
      </c>
      <c r="J469" t="n">
        <v>2020</v>
      </c>
      <c r="K469" t="inlineStr">
        <is>
          <t>ABRIL 2023</t>
        </is>
      </c>
      <c r="L469" t="inlineStr">
        <is>
          <t>ABRIL 2024</t>
        </is>
      </c>
      <c r="M469" t="inlineStr">
        <is>
          <t xml:space="preserve">P.Q.S TIPO ABC </t>
        </is>
      </c>
      <c r="N469" t="inlineStr">
        <is>
          <t>PISO 5/ 001645</t>
        </is>
      </c>
      <c r="O469" t="inlineStr">
        <is>
          <t>R</t>
        </is>
      </c>
      <c r="P469">
        <f>TRIM(N469)</f>
        <v/>
      </c>
    </row>
    <row r="470">
      <c r="A470" t="inlineStr">
        <is>
          <t>CO-001339</t>
        </is>
      </c>
      <c r="B470" t="inlineStr">
        <is>
          <t>CONDOMINIO CLUB EL ROSEDAL- EDIFICIO 04</t>
        </is>
      </c>
      <c r="C470" t="inlineStr">
        <is>
          <t>HUANCAYO - EL TAMBO</t>
        </is>
      </c>
      <c r="D470" t="inlineStr">
        <is>
          <t>AV. INTIHUATANA CRUCE CON  AV. TAHUANTINSUYO</t>
        </is>
      </c>
      <c r="E470" t="inlineStr">
        <is>
          <t>Lima, 25 de Abril de 2023</t>
        </is>
      </c>
      <c r="F470" t="inlineStr">
        <is>
          <t>la Recarga y mantenimiento</t>
        </is>
      </c>
      <c r="G470" t="n">
        <v>6</v>
      </c>
      <c r="H470" t="inlineStr">
        <is>
          <t>09  KG</t>
        </is>
      </c>
      <c r="I470" t="inlineStr">
        <is>
          <t>2025</t>
        </is>
      </c>
      <c r="J470" t="n">
        <v>2020</v>
      </c>
      <c r="K470" t="inlineStr">
        <is>
          <t>ABRIL 2023</t>
        </is>
      </c>
      <c r="L470" t="inlineStr">
        <is>
          <t>ABRIL 2024</t>
        </is>
      </c>
      <c r="M470" t="inlineStr">
        <is>
          <t xml:space="preserve">P.Q.S TIPO ABC </t>
        </is>
      </c>
      <c r="N470" t="inlineStr">
        <is>
          <t>PISO 6/ 000470</t>
        </is>
      </c>
      <c r="O470" t="inlineStr">
        <is>
          <t>R</t>
        </is>
      </c>
      <c r="P470">
        <f>TRIM(N470)</f>
        <v/>
      </c>
    </row>
    <row r="471">
      <c r="A471" t="inlineStr">
        <is>
          <t>CO-001339</t>
        </is>
      </c>
      <c r="B471" t="inlineStr">
        <is>
          <t>CONDOMINIO CLUB EL ROSEDAL- EDIFICIO 04</t>
        </is>
      </c>
      <c r="C471" t="inlineStr">
        <is>
          <t>HUANCAYO - EL TAMBO</t>
        </is>
      </c>
      <c r="D471" t="inlineStr">
        <is>
          <t>AV. INTIHUATANA CRUCE CON  AV. TAHUANTINSUYO</t>
        </is>
      </c>
      <c r="E471" t="inlineStr">
        <is>
          <t>Lima, 25 de Abril de 2023</t>
        </is>
      </c>
      <c r="F471" t="inlineStr">
        <is>
          <t>la Recarga y mantenimiento</t>
        </is>
      </c>
      <c r="G471" t="n">
        <v>7</v>
      </c>
      <c r="H471" t="inlineStr">
        <is>
          <t>09  KG</t>
        </is>
      </c>
      <c r="I471" t="inlineStr">
        <is>
          <t>2025</t>
        </is>
      </c>
      <c r="J471" t="n">
        <v>2020</v>
      </c>
      <c r="K471" t="inlineStr">
        <is>
          <t>ABRIL 2023</t>
        </is>
      </c>
      <c r="L471" t="inlineStr">
        <is>
          <t>ABRIL 2024</t>
        </is>
      </c>
      <c r="M471" t="inlineStr">
        <is>
          <t xml:space="preserve">P.Q.S TIPO ABC </t>
        </is>
      </c>
      <c r="N471" t="inlineStr">
        <is>
          <t>PISO 7/ 000050</t>
        </is>
      </c>
      <c r="O471" t="inlineStr">
        <is>
          <t>R</t>
        </is>
      </c>
      <c r="P471">
        <f>TRIM(N471)</f>
        <v/>
      </c>
    </row>
    <row r="472">
      <c r="A472" t="inlineStr">
        <is>
          <t>CO-001339</t>
        </is>
      </c>
      <c r="B472" t="inlineStr">
        <is>
          <t>CONDOMINIO CLUB EL ROSEDAL- EDIFICIO 04</t>
        </is>
      </c>
      <c r="C472" t="inlineStr">
        <is>
          <t>HUANCAYO - EL TAMBO</t>
        </is>
      </c>
      <c r="D472" t="inlineStr">
        <is>
          <t>AV. INTIHUATANA CRUCE CON  AV. TAHUANTINSUYO</t>
        </is>
      </c>
      <c r="E472" t="inlineStr">
        <is>
          <t>Lima, 25 de Abril de 2023</t>
        </is>
      </c>
      <c r="F472" t="inlineStr">
        <is>
          <t>la Recarga y mantenimiento</t>
        </is>
      </c>
      <c r="G472" t="n">
        <v>8</v>
      </c>
      <c r="H472" t="inlineStr">
        <is>
          <t>09  KG</t>
        </is>
      </c>
      <c r="I472" t="inlineStr">
        <is>
          <t>2025</t>
        </is>
      </c>
      <c r="J472" t="n">
        <v>2020</v>
      </c>
      <c r="K472" t="inlineStr">
        <is>
          <t>ABRIL 2023</t>
        </is>
      </c>
      <c r="L472" t="inlineStr">
        <is>
          <t>ABRIL 2024</t>
        </is>
      </c>
      <c r="M472" t="inlineStr">
        <is>
          <t xml:space="preserve">P.Q.S TIPO ABC </t>
        </is>
      </c>
      <c r="N472" t="inlineStr">
        <is>
          <t>PISO 8/ 000275</t>
        </is>
      </c>
      <c r="O472" t="inlineStr">
        <is>
          <t>R</t>
        </is>
      </c>
      <c r="P472">
        <f>TRIM(N472)</f>
        <v/>
      </c>
    </row>
    <row r="473">
      <c r="A473" t="inlineStr">
        <is>
          <t>CO-001339</t>
        </is>
      </c>
      <c r="B473" t="inlineStr">
        <is>
          <t>CONDOMINIO CLUB EL ROSEDAL- EDIFICIO 04</t>
        </is>
      </c>
      <c r="C473" t="inlineStr">
        <is>
          <t>HUANCAYO - EL TAMBO</t>
        </is>
      </c>
      <c r="D473" t="inlineStr">
        <is>
          <t>AV. INTIHUATANA CRUCE CON  AV. TAHUANTINSUYO</t>
        </is>
      </c>
      <c r="E473" t="inlineStr">
        <is>
          <t>Lima, 25 de Abril de 2023</t>
        </is>
      </c>
      <c r="F473" t="inlineStr">
        <is>
          <t>la Recarga y mantenimiento</t>
        </is>
      </c>
      <c r="G473" t="n">
        <v>9</v>
      </c>
      <c r="H473" t="inlineStr">
        <is>
          <t>09  KG</t>
        </is>
      </c>
      <c r="I473" t="inlineStr">
        <is>
          <t>2025</t>
        </is>
      </c>
      <c r="J473" t="n">
        <v>2020</v>
      </c>
      <c r="K473" t="inlineStr">
        <is>
          <t>ABRIL 2023</t>
        </is>
      </c>
      <c r="L473" t="inlineStr">
        <is>
          <t>ABRIL 2024</t>
        </is>
      </c>
      <c r="M473" t="inlineStr">
        <is>
          <t xml:space="preserve">P.Q.S TIPO ABC </t>
        </is>
      </c>
      <c r="N473" t="inlineStr">
        <is>
          <t>PISO 9/ 000178</t>
        </is>
      </c>
      <c r="O473" t="inlineStr">
        <is>
          <t>R</t>
        </is>
      </c>
      <c r="P473">
        <f>TRIM(N473)</f>
        <v/>
      </c>
    </row>
    <row r="474">
      <c r="A474" t="inlineStr">
        <is>
          <t>CO-001339</t>
        </is>
      </c>
      <c r="B474" t="inlineStr">
        <is>
          <t>CONDOMINIO CLUB EL ROSEDAL- EDIFICIO 04</t>
        </is>
      </c>
      <c r="C474" t="inlineStr">
        <is>
          <t>HUANCAYO - EL TAMBO</t>
        </is>
      </c>
      <c r="D474" t="inlineStr">
        <is>
          <t>AV. INTIHUATANA CRUCE CON  AV. TAHUANTINSUYO</t>
        </is>
      </c>
      <c r="E474" t="inlineStr">
        <is>
          <t>Lima, 25 de Abril de 2023</t>
        </is>
      </c>
      <c r="F474" t="inlineStr">
        <is>
          <t>la Recarga y mantenimiento</t>
        </is>
      </c>
      <c r="G474" t="n">
        <v>10</v>
      </c>
      <c r="H474" t="inlineStr">
        <is>
          <t>09  KG</t>
        </is>
      </c>
      <c r="I474" t="inlineStr">
        <is>
          <t>2025</t>
        </is>
      </c>
      <c r="J474" t="n">
        <v>2020</v>
      </c>
      <c r="K474" t="inlineStr">
        <is>
          <t>ABRIL 2023</t>
        </is>
      </c>
      <c r="L474" t="inlineStr">
        <is>
          <t>ABRIL 2024</t>
        </is>
      </c>
      <c r="M474" t="inlineStr">
        <is>
          <t xml:space="preserve">P.Q.S TIPO ABC </t>
        </is>
      </c>
      <c r="N474" t="inlineStr">
        <is>
          <t>PISO 10/000967</t>
        </is>
      </c>
      <c r="O474" t="inlineStr">
        <is>
          <t>R</t>
        </is>
      </c>
      <c r="P474">
        <f>TRIM(N474)</f>
        <v/>
      </c>
    </row>
    <row r="475">
      <c r="A475" t="inlineStr">
        <is>
          <t>CO-001340</t>
        </is>
      </c>
      <c r="B475" t="inlineStr">
        <is>
          <t>CONDOMINIO CLUB EL ROSEDAL- EDIFICIO 05</t>
        </is>
      </c>
      <c r="C475" t="inlineStr">
        <is>
          <t>HUANCAYO - EL TAMBO</t>
        </is>
      </c>
      <c r="D475" t="inlineStr">
        <is>
          <t>AV. INTIHUATANA CRUCE CON  AV. TAHUANTINSUYO</t>
        </is>
      </c>
      <c r="E475" t="inlineStr">
        <is>
          <t>Lima, 25 de Abril de 2023</t>
        </is>
      </c>
      <c r="F475" t="inlineStr">
        <is>
          <t>la Recarga y mantenimiento</t>
        </is>
      </c>
      <c r="G475" t="n">
        <v>1</v>
      </c>
      <c r="H475" t="inlineStr">
        <is>
          <t>09  KG</t>
        </is>
      </c>
      <c r="I475" t="inlineStr">
        <is>
          <t>2025</t>
        </is>
      </c>
      <c r="J475" t="n">
        <v>2020</v>
      </c>
      <c r="K475" t="inlineStr">
        <is>
          <t>ABRIL 2023</t>
        </is>
      </c>
      <c r="L475" t="inlineStr">
        <is>
          <t>ABRIL 2024</t>
        </is>
      </c>
      <c r="M475" t="inlineStr">
        <is>
          <t xml:space="preserve">P.Q.S TIPO ABC </t>
        </is>
      </c>
      <c r="N475" t="inlineStr">
        <is>
          <t>PISO 1/ 000038</t>
        </is>
      </c>
      <c r="O475" t="inlineStr">
        <is>
          <t>R</t>
        </is>
      </c>
      <c r="P475">
        <f>TRIM(N475)</f>
        <v/>
      </c>
    </row>
    <row r="476">
      <c r="A476" t="inlineStr">
        <is>
          <t>CO-001340</t>
        </is>
      </c>
      <c r="B476" t="inlineStr">
        <is>
          <t>CONDOMINIO CLUB EL ROSEDAL- EDIFICIO 05</t>
        </is>
      </c>
      <c r="C476" t="inlineStr">
        <is>
          <t>HUANCAYO - EL TAMBO</t>
        </is>
      </c>
      <c r="D476" t="inlineStr">
        <is>
          <t>AV. INTIHUATANA CRUCE CON  AV. TAHUANTINSUYO</t>
        </is>
      </c>
      <c r="E476" t="inlineStr">
        <is>
          <t>Lima, 25 de Abril de 2023</t>
        </is>
      </c>
      <c r="F476" t="inlineStr">
        <is>
          <t>la Recarga y mantenimiento</t>
        </is>
      </c>
      <c r="G476" t="n">
        <v>2</v>
      </c>
      <c r="H476" t="inlineStr">
        <is>
          <t>09  KG</t>
        </is>
      </c>
      <c r="I476" t="inlineStr">
        <is>
          <t>2025</t>
        </is>
      </c>
      <c r="J476" t="n">
        <v>2020</v>
      </c>
      <c r="K476" t="inlineStr">
        <is>
          <t>ABRIL 2023</t>
        </is>
      </c>
      <c r="L476" t="inlineStr">
        <is>
          <t>ABRIL 2024</t>
        </is>
      </c>
      <c r="M476" t="inlineStr">
        <is>
          <t>P.Q.S TIPO ABC</t>
        </is>
      </c>
      <c r="N476" t="inlineStr">
        <is>
          <t>PISO 2/ 000715</t>
        </is>
      </c>
      <c r="O476" t="inlineStr">
        <is>
          <t>R</t>
        </is>
      </c>
      <c r="P476">
        <f>TRIM(N476)</f>
        <v/>
      </c>
    </row>
    <row r="477">
      <c r="A477" t="inlineStr">
        <is>
          <t>CO-001340</t>
        </is>
      </c>
      <c r="B477" t="inlineStr">
        <is>
          <t>CONDOMINIO CLUB EL ROSEDAL- EDIFICIO 05</t>
        </is>
      </c>
      <c r="C477" t="inlineStr">
        <is>
          <t>HUANCAYO - EL TAMBO</t>
        </is>
      </c>
      <c r="D477" t="inlineStr">
        <is>
          <t>AV. INTIHUATANA CRUCE CON  AV. TAHUANTINSUYO</t>
        </is>
      </c>
      <c r="E477" t="inlineStr">
        <is>
          <t>Lima, 25 de Abril de 2023</t>
        </is>
      </c>
      <c r="F477" t="inlineStr">
        <is>
          <t>la Recarga y mantenimiento</t>
        </is>
      </c>
      <c r="G477" t="n">
        <v>3</v>
      </c>
      <c r="H477" t="inlineStr">
        <is>
          <t>09  KG</t>
        </is>
      </c>
      <c r="I477" t="inlineStr">
        <is>
          <t>2025</t>
        </is>
      </c>
      <c r="J477" t="n">
        <v>2020</v>
      </c>
      <c r="K477" t="inlineStr">
        <is>
          <t>ABRIL 2023</t>
        </is>
      </c>
      <c r="L477" t="inlineStr">
        <is>
          <t>ABRIL 2024</t>
        </is>
      </c>
      <c r="M477" t="inlineStr">
        <is>
          <t xml:space="preserve">P.Q.S TIPO ABC </t>
        </is>
      </c>
      <c r="N477" t="inlineStr">
        <is>
          <t>PISO 3/ 000008</t>
        </is>
      </c>
      <c r="O477" t="inlineStr">
        <is>
          <t>R</t>
        </is>
      </c>
      <c r="P477">
        <f>TRIM(N477)</f>
        <v/>
      </c>
    </row>
    <row r="478">
      <c r="A478" t="inlineStr">
        <is>
          <t>CO-001340</t>
        </is>
      </c>
      <c r="B478" t="inlineStr">
        <is>
          <t>CONDOMINIO CLUB EL ROSEDAL- EDIFICIO 05</t>
        </is>
      </c>
      <c r="C478" t="inlineStr">
        <is>
          <t>HUANCAYO - EL TAMBO</t>
        </is>
      </c>
      <c r="D478" t="inlineStr">
        <is>
          <t>AV. INTIHUATANA CRUCE CON  AV. TAHUANTINSUYO</t>
        </is>
      </c>
      <c r="E478" t="inlineStr">
        <is>
          <t>Lima, 25 de Abril de 2023</t>
        </is>
      </c>
      <c r="F478" t="inlineStr">
        <is>
          <t>la Recarga y mantenimiento</t>
        </is>
      </c>
      <c r="G478" t="n">
        <v>4</v>
      </c>
      <c r="H478" t="inlineStr">
        <is>
          <t>09  KG</t>
        </is>
      </c>
      <c r="I478" t="inlineStr">
        <is>
          <t>2025</t>
        </is>
      </c>
      <c r="J478" t="n">
        <v>2020</v>
      </c>
      <c r="K478" t="inlineStr">
        <is>
          <t>ABRIL 2023</t>
        </is>
      </c>
      <c r="L478" t="inlineStr">
        <is>
          <t>ABRIL 2024</t>
        </is>
      </c>
      <c r="M478" t="inlineStr">
        <is>
          <t xml:space="preserve">P.Q.S TIPO ABC </t>
        </is>
      </c>
      <c r="N478" t="inlineStr">
        <is>
          <t>PISO 4/ 000909</t>
        </is>
      </c>
      <c r="O478" t="inlineStr">
        <is>
          <t>R</t>
        </is>
      </c>
      <c r="P478">
        <f>TRIM(N478)</f>
        <v/>
      </c>
    </row>
    <row r="479">
      <c r="A479" t="inlineStr">
        <is>
          <t>CO-001340</t>
        </is>
      </c>
      <c r="B479" t="inlineStr">
        <is>
          <t>CONDOMINIO CLUB EL ROSEDAL- EDIFICIO 05</t>
        </is>
      </c>
      <c r="C479" t="inlineStr">
        <is>
          <t>HUANCAYO - EL TAMBO</t>
        </is>
      </c>
      <c r="D479" t="inlineStr">
        <is>
          <t>AV. INTIHUATANA CRUCE CON  AV. TAHUANTINSUYO</t>
        </is>
      </c>
      <c r="E479" t="inlineStr">
        <is>
          <t>Lima, 25 de Abril de 2023</t>
        </is>
      </c>
      <c r="F479" t="inlineStr">
        <is>
          <t>la Recarga y mantenimiento</t>
        </is>
      </c>
      <c r="G479" t="n">
        <v>5</v>
      </c>
      <c r="H479" t="inlineStr">
        <is>
          <t>09  KG</t>
        </is>
      </c>
      <c r="I479" t="inlineStr">
        <is>
          <t>2025</t>
        </is>
      </c>
      <c r="J479" t="n">
        <v>2020</v>
      </c>
      <c r="K479" t="inlineStr">
        <is>
          <t>ABRIL 2023</t>
        </is>
      </c>
      <c r="L479" t="inlineStr">
        <is>
          <t>ABRIL 2024</t>
        </is>
      </c>
      <c r="M479" t="inlineStr">
        <is>
          <t xml:space="preserve">P.Q.S TIPO ABC </t>
        </is>
      </c>
      <c r="N479" t="inlineStr">
        <is>
          <t>PISO 5/ 000405</t>
        </is>
      </c>
      <c r="O479" t="inlineStr">
        <is>
          <t>R</t>
        </is>
      </c>
      <c r="P479">
        <f>TRIM(N479)</f>
        <v/>
      </c>
    </row>
    <row r="480">
      <c r="A480" t="inlineStr">
        <is>
          <t>CO-001340</t>
        </is>
      </c>
      <c r="B480" t="inlineStr">
        <is>
          <t>CONDOMINIO CLUB EL ROSEDAL- EDIFICIO 05</t>
        </is>
      </c>
      <c r="C480" t="inlineStr">
        <is>
          <t>HUANCAYO - EL TAMBO</t>
        </is>
      </c>
      <c r="D480" t="inlineStr">
        <is>
          <t>AV. INTIHUATANA CRUCE CON  AV. TAHUANTINSUYO</t>
        </is>
      </c>
      <c r="E480" t="inlineStr">
        <is>
          <t>Lima, 25 de Abril de 2023</t>
        </is>
      </c>
      <c r="F480" t="inlineStr">
        <is>
          <t>la Recarga y mantenimiento</t>
        </is>
      </c>
      <c r="G480" t="n">
        <v>6</v>
      </c>
      <c r="H480" t="inlineStr">
        <is>
          <t>09  KG</t>
        </is>
      </c>
      <c r="I480" t="inlineStr">
        <is>
          <t>2025</t>
        </is>
      </c>
      <c r="J480" t="n">
        <v>2020</v>
      </c>
      <c r="K480" t="inlineStr">
        <is>
          <t>ABRIL 2023</t>
        </is>
      </c>
      <c r="L480" t="inlineStr">
        <is>
          <t>ABRIL 2024</t>
        </is>
      </c>
      <c r="M480" t="inlineStr">
        <is>
          <t xml:space="preserve">P.Q.S TIPO ABC </t>
        </is>
      </c>
      <c r="N480" t="inlineStr">
        <is>
          <t>PISO 6/ 000900</t>
        </is>
      </c>
      <c r="O480" t="inlineStr">
        <is>
          <t>R</t>
        </is>
      </c>
      <c r="P480">
        <f>TRIM(N480)</f>
        <v/>
      </c>
    </row>
    <row r="481">
      <c r="A481" t="inlineStr">
        <is>
          <t>CO-001340</t>
        </is>
      </c>
      <c r="B481" t="inlineStr">
        <is>
          <t>CONDOMINIO CLUB EL ROSEDAL- EDIFICIO 05</t>
        </is>
      </c>
      <c r="C481" t="inlineStr">
        <is>
          <t>HUANCAYO - EL TAMBO</t>
        </is>
      </c>
      <c r="D481" t="inlineStr">
        <is>
          <t>AV. INTIHUATANA CRUCE CON  AV. TAHUANTINSUYO</t>
        </is>
      </c>
      <c r="E481" t="inlineStr">
        <is>
          <t>Lima, 25 de Abril de 2023</t>
        </is>
      </c>
      <c r="F481" t="inlineStr">
        <is>
          <t>la Recarga y mantenimiento</t>
        </is>
      </c>
      <c r="G481" t="n">
        <v>7</v>
      </c>
      <c r="H481" t="inlineStr">
        <is>
          <t>09  KG</t>
        </is>
      </c>
      <c r="I481" t="inlineStr">
        <is>
          <t>2025</t>
        </is>
      </c>
      <c r="J481" t="n">
        <v>2020</v>
      </c>
      <c r="K481" t="inlineStr">
        <is>
          <t>ABRIL 2023</t>
        </is>
      </c>
      <c r="L481" t="inlineStr">
        <is>
          <t>ABRIL 2024</t>
        </is>
      </c>
      <c r="M481" t="inlineStr">
        <is>
          <t xml:space="preserve">P.Q.S TIPO ABC </t>
        </is>
      </c>
      <c r="N481" t="inlineStr">
        <is>
          <t>PISO 7/ 000526</t>
        </is>
      </c>
      <c r="O481" t="inlineStr">
        <is>
          <t>R</t>
        </is>
      </c>
      <c r="P481">
        <f>TRIM(N481)</f>
        <v/>
      </c>
    </row>
    <row r="482">
      <c r="A482" t="inlineStr">
        <is>
          <t>CO-001340</t>
        </is>
      </c>
      <c r="B482" t="inlineStr">
        <is>
          <t>CONDOMINIO CLUB EL ROSEDAL- EDIFICIO 05</t>
        </is>
      </c>
      <c r="C482" t="inlineStr">
        <is>
          <t>HUANCAYO - EL TAMBO</t>
        </is>
      </c>
      <c r="D482" t="inlineStr">
        <is>
          <t>AV. INTIHUATANA CRUCE CON  AV. TAHUANTINSUYO</t>
        </is>
      </c>
      <c r="E482" t="inlineStr">
        <is>
          <t>Lima, 25 de Abril de 2023</t>
        </is>
      </c>
      <c r="F482" t="inlineStr">
        <is>
          <t>la Recarga y mantenimiento</t>
        </is>
      </c>
      <c r="G482" t="n">
        <v>8</v>
      </c>
      <c r="H482" t="inlineStr">
        <is>
          <t>09  KG</t>
        </is>
      </c>
      <c r="I482" t="inlineStr">
        <is>
          <t>2025</t>
        </is>
      </c>
      <c r="J482" t="n">
        <v>2020</v>
      </c>
      <c r="K482" t="inlineStr">
        <is>
          <t>ABRIL 2023</t>
        </is>
      </c>
      <c r="L482" t="inlineStr">
        <is>
          <t>ABRIL 2024</t>
        </is>
      </c>
      <c r="M482" t="inlineStr">
        <is>
          <t xml:space="preserve">P.Q.S TIPO ABC </t>
        </is>
      </c>
      <c r="N482" t="inlineStr">
        <is>
          <t>PISO 8/ 000513</t>
        </is>
      </c>
      <c r="O482" t="inlineStr">
        <is>
          <t>R</t>
        </is>
      </c>
      <c r="P482">
        <f>TRIM(N482)</f>
        <v/>
      </c>
    </row>
    <row r="483">
      <c r="A483" t="inlineStr">
        <is>
          <t>CO-001340</t>
        </is>
      </c>
      <c r="B483" t="inlineStr">
        <is>
          <t>CONDOMINIO CLUB EL ROSEDAL- EDIFICIO 05</t>
        </is>
      </c>
      <c r="C483" t="inlineStr">
        <is>
          <t>HUANCAYO - EL TAMBO</t>
        </is>
      </c>
      <c r="D483" t="inlineStr">
        <is>
          <t>AV. INTIHUATANA CRUCE CON  AV. TAHUANTINSUYO</t>
        </is>
      </c>
      <c r="E483" t="inlineStr">
        <is>
          <t>Lima, 25 de Abril de 2023</t>
        </is>
      </c>
      <c r="F483" t="inlineStr">
        <is>
          <t>la Recarga y mantenimiento</t>
        </is>
      </c>
      <c r="G483" t="n">
        <v>9</v>
      </c>
      <c r="H483" t="inlineStr">
        <is>
          <t>09  KG</t>
        </is>
      </c>
      <c r="I483" t="inlineStr">
        <is>
          <t>2025</t>
        </is>
      </c>
      <c r="J483" t="n">
        <v>2020</v>
      </c>
      <c r="K483" t="inlineStr">
        <is>
          <t>ABRIL 2023</t>
        </is>
      </c>
      <c r="L483" t="inlineStr">
        <is>
          <t>ABRIL 2024</t>
        </is>
      </c>
      <c r="M483" t="inlineStr">
        <is>
          <t xml:space="preserve">P.Q.S TIPO ABC </t>
        </is>
      </c>
      <c r="N483" t="inlineStr">
        <is>
          <t>PISO 9/ 000727</t>
        </is>
      </c>
      <c r="O483" t="inlineStr">
        <is>
          <t>R</t>
        </is>
      </c>
      <c r="P483">
        <f>TRIM(N483)</f>
        <v/>
      </c>
    </row>
    <row r="484">
      <c r="A484" t="inlineStr">
        <is>
          <t>CO-001340</t>
        </is>
      </c>
      <c r="B484" t="inlineStr">
        <is>
          <t>CONDOMINIO CLUB EL ROSEDAL- EDIFICIO 05</t>
        </is>
      </c>
      <c r="C484" t="inlineStr">
        <is>
          <t>HUANCAYO - EL TAMBO</t>
        </is>
      </c>
      <c r="D484" t="inlineStr">
        <is>
          <t>AV. INTIHUATANA CRUCE CON  AV. TAHUANTINSUYO</t>
        </is>
      </c>
      <c r="E484" t="inlineStr">
        <is>
          <t>Lima, 25 de Abril de 2023</t>
        </is>
      </c>
      <c r="F484" t="inlineStr">
        <is>
          <t>la Recarga y mantenimiento</t>
        </is>
      </c>
      <c r="G484" t="n">
        <v>10</v>
      </c>
      <c r="H484" t="inlineStr">
        <is>
          <t>09  KG</t>
        </is>
      </c>
      <c r="I484" t="inlineStr">
        <is>
          <t>2025</t>
        </is>
      </c>
      <c r="J484" t="n">
        <v>2020</v>
      </c>
      <c r="K484" t="inlineStr">
        <is>
          <t>ABRIL 2023</t>
        </is>
      </c>
      <c r="L484" t="inlineStr">
        <is>
          <t>ABRIL 2024</t>
        </is>
      </c>
      <c r="M484" t="inlineStr">
        <is>
          <t xml:space="preserve">P.Q.S TIPO ABC </t>
        </is>
      </c>
      <c r="N484" t="inlineStr">
        <is>
          <t>PISO 10/000971</t>
        </is>
      </c>
      <c r="O484" t="inlineStr">
        <is>
          <t>R</t>
        </is>
      </c>
      <c r="P484">
        <f>TRIM(N484)</f>
        <v/>
      </c>
    </row>
    <row r="485">
      <c r="A485" t="inlineStr">
        <is>
          <t>CO-001341</t>
        </is>
      </c>
      <c r="B485" t="inlineStr">
        <is>
          <t>CONDOMINIO CLUB EL ROSEDAL- EDIFICIO 06</t>
        </is>
      </c>
      <c r="C485" t="inlineStr">
        <is>
          <t>HUANCAYO - EL TAMBO</t>
        </is>
      </c>
      <c r="D485" t="inlineStr">
        <is>
          <t>AV. INTIHUATANA CRUCE CON  AV. TAHUANTINSUYO</t>
        </is>
      </c>
      <c r="E485" t="inlineStr">
        <is>
          <t>Lima, 25 de Abril de 2023</t>
        </is>
      </c>
      <c r="F485" t="inlineStr">
        <is>
          <t>la Recarga y mantenimiento</t>
        </is>
      </c>
      <c r="G485" t="n">
        <v>1</v>
      </c>
      <c r="H485" t="inlineStr">
        <is>
          <t>09  KG</t>
        </is>
      </c>
      <c r="I485" t="inlineStr">
        <is>
          <t>2025</t>
        </is>
      </c>
      <c r="J485" t="n">
        <v>2020</v>
      </c>
      <c r="K485" t="inlineStr">
        <is>
          <t>ABRIL 2023</t>
        </is>
      </c>
      <c r="L485" t="inlineStr">
        <is>
          <t>ABRIL 2024</t>
        </is>
      </c>
      <c r="M485" t="inlineStr">
        <is>
          <t xml:space="preserve">P.Q.S TIPO ABC </t>
        </is>
      </c>
      <c r="N485" t="inlineStr">
        <is>
          <t>PISO 1/ 000207</t>
        </is>
      </c>
      <c r="O485" t="inlineStr">
        <is>
          <t>R</t>
        </is>
      </c>
      <c r="P485">
        <f>TRIM(N485)</f>
        <v/>
      </c>
    </row>
    <row r="486">
      <c r="A486" t="inlineStr">
        <is>
          <t>CO-001341</t>
        </is>
      </c>
      <c r="B486" t="inlineStr">
        <is>
          <t>CONDOMINIO CLUB EL ROSEDAL- EDIFICIO 06</t>
        </is>
      </c>
      <c r="C486" t="inlineStr">
        <is>
          <t>HUANCAYO - EL TAMBO</t>
        </is>
      </c>
      <c r="D486" t="inlineStr">
        <is>
          <t>AV. INTIHUATANA CRUCE CON  AV. TAHUANTINSUYO</t>
        </is>
      </c>
      <c r="E486" t="inlineStr">
        <is>
          <t>Lima, 25 de Abril de 2023</t>
        </is>
      </c>
      <c r="F486" t="inlineStr">
        <is>
          <t>la Recarga y mantenimiento</t>
        </is>
      </c>
      <c r="G486" t="n">
        <v>2</v>
      </c>
      <c r="H486" t="inlineStr">
        <is>
          <t>09  KG</t>
        </is>
      </c>
      <c r="I486" t="inlineStr">
        <is>
          <t>2025</t>
        </is>
      </c>
      <c r="J486" t="n">
        <v>2020</v>
      </c>
      <c r="K486" t="inlineStr">
        <is>
          <t>ABRIL 2023</t>
        </is>
      </c>
      <c r="L486" t="inlineStr">
        <is>
          <t>ABRIL 2024</t>
        </is>
      </c>
      <c r="M486" t="inlineStr">
        <is>
          <t>P.Q.S TIPO ABC</t>
        </is>
      </c>
      <c r="N486" t="inlineStr">
        <is>
          <t>PISO 2/ 000054</t>
        </is>
      </c>
      <c r="O486" t="inlineStr">
        <is>
          <t>R</t>
        </is>
      </c>
      <c r="P486">
        <f>TRIM(N486)</f>
        <v/>
      </c>
    </row>
    <row r="487">
      <c r="A487" t="inlineStr">
        <is>
          <t>CO-001341</t>
        </is>
      </c>
      <c r="B487" t="inlineStr">
        <is>
          <t>CONDOMINIO CLUB EL ROSEDAL- EDIFICIO 06</t>
        </is>
      </c>
      <c r="C487" t="inlineStr">
        <is>
          <t>HUANCAYO - EL TAMBO</t>
        </is>
      </c>
      <c r="D487" t="inlineStr">
        <is>
          <t>AV. INTIHUATANA CRUCE CON  AV. TAHUANTINSUYO</t>
        </is>
      </c>
      <c r="E487" t="inlineStr">
        <is>
          <t>Lima, 25 de Abril de 2023</t>
        </is>
      </c>
      <c r="F487" t="inlineStr">
        <is>
          <t>la Recarga y mantenimiento</t>
        </is>
      </c>
      <c r="G487" t="n">
        <v>3</v>
      </c>
      <c r="H487" t="inlineStr">
        <is>
          <t>09  KG</t>
        </is>
      </c>
      <c r="I487" t="inlineStr">
        <is>
          <t>2025</t>
        </is>
      </c>
      <c r="J487" t="n">
        <v>2020</v>
      </c>
      <c r="K487" t="inlineStr">
        <is>
          <t>ABRIL 2023</t>
        </is>
      </c>
      <c r="L487" t="inlineStr">
        <is>
          <t>ABRIL 2024</t>
        </is>
      </c>
      <c r="M487" t="inlineStr">
        <is>
          <t xml:space="preserve">P.Q.S TIPO ABC </t>
        </is>
      </c>
      <c r="N487" t="inlineStr">
        <is>
          <t>PISO 3/ 000907</t>
        </is>
      </c>
      <c r="O487" t="inlineStr">
        <is>
          <t>R</t>
        </is>
      </c>
      <c r="P487">
        <f>TRIM(N487)</f>
        <v/>
      </c>
    </row>
    <row r="488">
      <c r="A488" t="inlineStr">
        <is>
          <t>CO-001341</t>
        </is>
      </c>
      <c r="B488" t="inlineStr">
        <is>
          <t>CONDOMINIO CLUB EL ROSEDAL- EDIFICIO 06</t>
        </is>
      </c>
      <c r="C488" t="inlineStr">
        <is>
          <t>HUANCAYO - EL TAMBO</t>
        </is>
      </c>
      <c r="D488" t="inlineStr">
        <is>
          <t>AV. INTIHUATANA CRUCE CON  AV. TAHUANTINSUYO</t>
        </is>
      </c>
      <c r="E488" t="inlineStr">
        <is>
          <t>Lima, 25 de Abril de 2023</t>
        </is>
      </c>
      <c r="F488" t="inlineStr">
        <is>
          <t>la Recarga y mantenimiento</t>
        </is>
      </c>
      <c r="G488" t="n">
        <v>4</v>
      </c>
      <c r="H488" t="inlineStr">
        <is>
          <t>09  KG</t>
        </is>
      </c>
      <c r="I488" t="inlineStr">
        <is>
          <t>2025</t>
        </is>
      </c>
      <c r="J488" t="n">
        <v>2020</v>
      </c>
      <c r="K488" t="inlineStr">
        <is>
          <t>ABRIL 2023</t>
        </is>
      </c>
      <c r="L488" t="inlineStr">
        <is>
          <t>ABRIL 2024</t>
        </is>
      </c>
      <c r="M488" t="inlineStr">
        <is>
          <t xml:space="preserve">P.Q.S TIPO ABC </t>
        </is>
      </c>
      <c r="N488" t="inlineStr">
        <is>
          <t>PISO 4/ 000849</t>
        </is>
      </c>
      <c r="O488" t="inlineStr">
        <is>
          <t>R</t>
        </is>
      </c>
      <c r="P488">
        <f>TRIM(N488)</f>
        <v/>
      </c>
    </row>
    <row r="489">
      <c r="A489" t="inlineStr">
        <is>
          <t>CO-001341</t>
        </is>
      </c>
      <c r="B489" t="inlineStr">
        <is>
          <t>CONDOMINIO CLUB EL ROSEDAL- EDIFICIO 06</t>
        </is>
      </c>
      <c r="C489" t="inlineStr">
        <is>
          <t>HUANCAYO - EL TAMBO</t>
        </is>
      </c>
      <c r="D489" t="inlineStr">
        <is>
          <t>AV. INTIHUATANA CRUCE CON  AV. TAHUANTINSUYO</t>
        </is>
      </c>
      <c r="E489" t="inlineStr">
        <is>
          <t>Lima, 25 de Abril de 2023</t>
        </is>
      </c>
      <c r="F489" t="inlineStr">
        <is>
          <t>la Recarga y mantenimiento</t>
        </is>
      </c>
      <c r="G489" t="n">
        <v>5</v>
      </c>
      <c r="H489" t="inlineStr">
        <is>
          <t>09  KG</t>
        </is>
      </c>
      <c r="I489" t="inlineStr">
        <is>
          <t>2025</t>
        </is>
      </c>
      <c r="J489" t="n">
        <v>2020</v>
      </c>
      <c r="K489" t="inlineStr">
        <is>
          <t>ABRIL 2023</t>
        </is>
      </c>
      <c r="L489" t="inlineStr">
        <is>
          <t>ABRIL 2024</t>
        </is>
      </c>
      <c r="M489" t="inlineStr">
        <is>
          <t xml:space="preserve">P.Q.S TIPO ABC </t>
        </is>
      </c>
      <c r="N489" t="inlineStr">
        <is>
          <t>PISO 5/ 000840</t>
        </is>
      </c>
      <c r="O489" t="inlineStr">
        <is>
          <t>R</t>
        </is>
      </c>
      <c r="P489">
        <f>TRIM(N489)</f>
        <v/>
      </c>
    </row>
    <row r="490">
      <c r="A490" t="inlineStr">
        <is>
          <t>CO-001341</t>
        </is>
      </c>
      <c r="B490" t="inlineStr">
        <is>
          <t>CONDOMINIO CLUB EL ROSEDAL- EDIFICIO 06</t>
        </is>
      </c>
      <c r="C490" t="inlineStr">
        <is>
          <t>HUANCAYO - EL TAMBO</t>
        </is>
      </c>
      <c r="D490" t="inlineStr">
        <is>
          <t>AV. INTIHUATANA CRUCE CON  AV. TAHUANTINSUYO</t>
        </is>
      </c>
      <c r="E490" t="inlineStr">
        <is>
          <t>Lima, 25 de Abril de 2023</t>
        </is>
      </c>
      <c r="F490" t="inlineStr">
        <is>
          <t>la Recarga y mantenimiento</t>
        </is>
      </c>
      <c r="G490" t="n">
        <v>6</v>
      </c>
      <c r="H490" t="inlineStr">
        <is>
          <t>09  KG</t>
        </is>
      </c>
      <c r="I490" t="inlineStr">
        <is>
          <t>2025</t>
        </is>
      </c>
      <c r="J490" t="n">
        <v>2020</v>
      </c>
      <c r="K490" t="inlineStr">
        <is>
          <t>ABRIL 2023</t>
        </is>
      </c>
      <c r="L490" t="inlineStr">
        <is>
          <t>ABRIL 2024</t>
        </is>
      </c>
      <c r="M490" t="inlineStr">
        <is>
          <t xml:space="preserve">P.Q.S TIPO ABC </t>
        </is>
      </c>
      <c r="N490" t="inlineStr">
        <is>
          <t>PISO 6/ 000544</t>
        </is>
      </c>
      <c r="O490" t="inlineStr">
        <is>
          <t>R</t>
        </is>
      </c>
      <c r="P490">
        <f>TRIM(N490)</f>
        <v/>
      </c>
    </row>
    <row r="491">
      <c r="A491" t="inlineStr">
        <is>
          <t>CO-001341</t>
        </is>
      </c>
      <c r="B491" t="inlineStr">
        <is>
          <t>CONDOMINIO CLUB EL ROSEDAL- EDIFICIO 06</t>
        </is>
      </c>
      <c r="C491" t="inlineStr">
        <is>
          <t>HUANCAYO - EL TAMBO</t>
        </is>
      </c>
      <c r="D491" t="inlineStr">
        <is>
          <t>AV. INTIHUATANA CRUCE CON  AV. TAHUANTINSUYO</t>
        </is>
      </c>
      <c r="E491" t="inlineStr">
        <is>
          <t>Lima, 25 de Abril de 2023</t>
        </is>
      </c>
      <c r="F491" t="inlineStr">
        <is>
          <t>la Recarga y mantenimiento</t>
        </is>
      </c>
      <c r="G491" t="n">
        <v>7</v>
      </c>
      <c r="H491" t="inlineStr">
        <is>
          <t>09  KG</t>
        </is>
      </c>
      <c r="I491" t="inlineStr">
        <is>
          <t>2025</t>
        </is>
      </c>
      <c r="J491" t="n">
        <v>2020</v>
      </c>
      <c r="K491" t="inlineStr">
        <is>
          <t>ABRIL 2023</t>
        </is>
      </c>
      <c r="L491" t="inlineStr">
        <is>
          <t>ABRIL 2024</t>
        </is>
      </c>
      <c r="M491" t="inlineStr">
        <is>
          <t xml:space="preserve">P.Q.S TIPO ABC </t>
        </is>
      </c>
      <c r="N491" t="inlineStr">
        <is>
          <t>PISO 7/ 000930</t>
        </is>
      </c>
      <c r="O491" t="inlineStr">
        <is>
          <t>R</t>
        </is>
      </c>
      <c r="P491">
        <f>TRIM(N491)</f>
        <v/>
      </c>
    </row>
    <row r="492">
      <c r="A492" t="inlineStr">
        <is>
          <t>CO-001341</t>
        </is>
      </c>
      <c r="B492" t="inlineStr">
        <is>
          <t>CONDOMINIO CLUB EL ROSEDAL- EDIFICIO 06</t>
        </is>
      </c>
      <c r="C492" t="inlineStr">
        <is>
          <t>HUANCAYO - EL TAMBO</t>
        </is>
      </c>
      <c r="D492" t="inlineStr">
        <is>
          <t>AV. INTIHUATANA CRUCE CON  AV. TAHUANTINSUYO</t>
        </is>
      </c>
      <c r="E492" t="inlineStr">
        <is>
          <t>Lima, 25 de Abril de 2023</t>
        </is>
      </c>
      <c r="F492" t="inlineStr">
        <is>
          <t>la Recarga y mantenimiento</t>
        </is>
      </c>
      <c r="G492" t="n">
        <v>8</v>
      </c>
      <c r="H492" t="inlineStr">
        <is>
          <t>09  KG</t>
        </is>
      </c>
      <c r="I492" t="inlineStr">
        <is>
          <t>2025</t>
        </is>
      </c>
      <c r="J492" t="n">
        <v>2020</v>
      </c>
      <c r="K492" t="inlineStr">
        <is>
          <t>ABRIL 2023</t>
        </is>
      </c>
      <c r="L492" t="inlineStr">
        <is>
          <t>ABRIL 2024</t>
        </is>
      </c>
      <c r="M492" t="inlineStr">
        <is>
          <t xml:space="preserve">P.Q.S TIPO ABC </t>
        </is>
      </c>
      <c r="N492" t="inlineStr">
        <is>
          <t>PISO 8/ 000676</t>
        </is>
      </c>
      <c r="O492" t="inlineStr">
        <is>
          <t>R</t>
        </is>
      </c>
      <c r="P492">
        <f>TRIM(N492)</f>
        <v/>
      </c>
    </row>
    <row r="493">
      <c r="A493" t="inlineStr">
        <is>
          <t>CO-001341</t>
        </is>
      </c>
      <c r="B493" t="inlineStr">
        <is>
          <t>CONDOMINIO CLUB EL ROSEDAL- EDIFICIO 06</t>
        </is>
      </c>
      <c r="C493" t="inlineStr">
        <is>
          <t>HUANCAYO - EL TAMBO</t>
        </is>
      </c>
      <c r="D493" t="inlineStr">
        <is>
          <t>AV. INTIHUATANA CRUCE CON  AV. TAHUANTINSUYO</t>
        </is>
      </c>
      <c r="E493" t="inlineStr">
        <is>
          <t>Lima, 25 de Abril de 2023</t>
        </is>
      </c>
      <c r="F493" t="inlineStr">
        <is>
          <t>la Recarga y mantenimiento</t>
        </is>
      </c>
      <c r="G493" t="n">
        <v>9</v>
      </c>
      <c r="H493" t="inlineStr">
        <is>
          <t>09  KG</t>
        </is>
      </c>
      <c r="I493" t="inlineStr">
        <is>
          <t>2025</t>
        </is>
      </c>
      <c r="J493" t="n">
        <v>2020</v>
      </c>
      <c r="K493" t="inlineStr">
        <is>
          <t>ABRIL 2023</t>
        </is>
      </c>
      <c r="L493" t="inlineStr">
        <is>
          <t>ABRIL 2024</t>
        </is>
      </c>
      <c r="M493" t="inlineStr">
        <is>
          <t xml:space="preserve">P.Q.S TIPO ABC </t>
        </is>
      </c>
      <c r="N493" t="inlineStr">
        <is>
          <t>PISO 9/ 000330</t>
        </is>
      </c>
      <c r="O493" t="inlineStr">
        <is>
          <t>R</t>
        </is>
      </c>
      <c r="P493">
        <f>TRIM(N493)</f>
        <v/>
      </c>
    </row>
    <row r="494">
      <c r="A494" t="inlineStr">
        <is>
          <t>CO-001341</t>
        </is>
      </c>
      <c r="B494" t="inlineStr">
        <is>
          <t>CONDOMINIO CLUB EL ROSEDAL- EDIFICIO 06</t>
        </is>
      </c>
      <c r="C494" t="inlineStr">
        <is>
          <t>HUANCAYO - EL TAMBO</t>
        </is>
      </c>
      <c r="D494" t="inlineStr">
        <is>
          <t>AV. INTIHUATANA CRUCE CON  AV. TAHUANTINSUYO</t>
        </is>
      </c>
      <c r="E494" t="inlineStr">
        <is>
          <t>Lima, 25 de Abril de 2023</t>
        </is>
      </c>
      <c r="F494" t="inlineStr">
        <is>
          <t>la Recarga y mantenimiento</t>
        </is>
      </c>
      <c r="G494" t="n">
        <v>10</v>
      </c>
      <c r="H494" t="inlineStr">
        <is>
          <t>09  KG</t>
        </is>
      </c>
      <c r="I494" t="inlineStr">
        <is>
          <t>2025</t>
        </is>
      </c>
      <c r="J494" t="n">
        <v>2020</v>
      </c>
      <c r="K494" t="inlineStr">
        <is>
          <t>ABRIL 2023</t>
        </is>
      </c>
      <c r="L494" t="inlineStr">
        <is>
          <t>ABRIL 2024</t>
        </is>
      </c>
      <c r="M494" t="inlineStr">
        <is>
          <t xml:space="preserve">P.Q.S TIPO ABC </t>
        </is>
      </c>
      <c r="N494" t="inlineStr">
        <is>
          <t>PISO 10/000263</t>
        </is>
      </c>
      <c r="O494" t="inlineStr">
        <is>
          <t>R</t>
        </is>
      </c>
      <c r="P494">
        <f>TRIM(N494)</f>
        <v/>
      </c>
    </row>
    <row r="495">
      <c r="A495" t="inlineStr">
        <is>
          <t>CO-001342</t>
        </is>
      </c>
      <c r="B495" t="inlineStr">
        <is>
          <t>PERU MASIVO S.A.</t>
        </is>
      </c>
      <c r="C495" t="inlineStr">
        <is>
          <t>20492392031</t>
        </is>
      </c>
      <c r="D495" t="inlineStr">
        <is>
          <t>AV. LOS INCAS CDRA. 4 PATIO NORTE - COMAS</t>
        </is>
      </c>
      <c r="E495" t="inlineStr">
        <is>
          <t>Lima, 26 de Abril de 2023</t>
        </is>
      </c>
      <c r="F495" t="inlineStr">
        <is>
          <t>la Recarga y mantenimiento</t>
        </is>
      </c>
      <c r="G495" t="inlineStr">
        <is>
          <t>1</t>
        </is>
      </c>
      <c r="H495" t="inlineStr">
        <is>
          <t>06 KG</t>
        </is>
      </c>
      <c r="I495" t="inlineStr">
        <is>
          <t>2028</t>
        </is>
      </c>
      <c r="J495" t="n">
        <v>2017</v>
      </c>
      <c r="K495" t="inlineStr">
        <is>
          <t>ABRIL 2023</t>
        </is>
      </c>
      <c r="L495" t="inlineStr">
        <is>
          <t>ABRIL 2024</t>
        </is>
      </c>
      <c r="M495" t="inlineStr">
        <is>
          <t xml:space="preserve">P.Q.S TIPO ABC AL 90% NACIONAL </t>
        </is>
      </c>
      <c r="N495" t="inlineStr">
        <is>
          <t>S/N /004001</t>
        </is>
      </c>
      <c r="O495" t="inlineStr">
        <is>
          <t>R</t>
        </is>
      </c>
      <c r="P495">
        <f>TRIM(N495)</f>
        <v/>
      </c>
    </row>
    <row r="496">
      <c r="A496" t="inlineStr">
        <is>
          <t>CO-001342</t>
        </is>
      </c>
      <c r="B496" t="inlineStr">
        <is>
          <t>PERU MASIVO S.A.</t>
        </is>
      </c>
      <c r="C496" t="inlineStr">
        <is>
          <t>20492392031</t>
        </is>
      </c>
      <c r="D496" t="inlineStr">
        <is>
          <t>AV. LOS INCAS CDRA. 4 PATIO NORTE - COMAS</t>
        </is>
      </c>
      <c r="E496" t="inlineStr">
        <is>
          <t>Lima, 26 de Abril de 2023</t>
        </is>
      </c>
      <c r="F496" t="inlineStr">
        <is>
          <t>la Recarga y mantenimiento</t>
        </is>
      </c>
      <c r="G496" t="n">
        <v>2</v>
      </c>
      <c r="H496" t="inlineStr">
        <is>
          <t>06 KG</t>
        </is>
      </c>
      <c r="I496" t="inlineStr">
        <is>
          <t>2028</t>
        </is>
      </c>
      <c r="J496" t="n">
        <v>2016</v>
      </c>
      <c r="K496" t="inlineStr">
        <is>
          <t>ABRIL 2023</t>
        </is>
      </c>
      <c r="L496" t="inlineStr">
        <is>
          <t>ABRIL 2024</t>
        </is>
      </c>
      <c r="M496" t="inlineStr">
        <is>
          <t xml:space="preserve">P.Q.S TIPO ABC AL 90% NACIONAL </t>
        </is>
      </c>
      <c r="N496" t="inlineStr">
        <is>
          <t>S/N /00357</t>
        </is>
      </c>
      <c r="O496" t="inlineStr">
        <is>
          <t>R</t>
        </is>
      </c>
      <c r="P496">
        <f>TRIM(N496)</f>
        <v/>
      </c>
    </row>
    <row r="497">
      <c r="A497" t="inlineStr">
        <is>
          <t>CO-001342</t>
        </is>
      </c>
      <c r="B497" t="inlineStr">
        <is>
          <t>PERU MASIVO S.A.</t>
        </is>
      </c>
      <c r="C497" t="inlineStr">
        <is>
          <t>20492392031</t>
        </is>
      </c>
      <c r="D497" t="inlineStr">
        <is>
          <t>AV. LOS INCAS CDRA. 4 PATIO NORTE - COMAS</t>
        </is>
      </c>
      <c r="E497" t="inlineStr">
        <is>
          <t>Lima, 26 de Abril de 2023</t>
        </is>
      </c>
      <c r="F497" t="inlineStr">
        <is>
          <t>la Recarga y mantenimiento</t>
        </is>
      </c>
      <c r="G497" t="n">
        <v>3</v>
      </c>
      <c r="H497" t="inlineStr">
        <is>
          <t>06 KG</t>
        </is>
      </c>
      <c r="I497" t="inlineStr">
        <is>
          <t>2028</t>
        </is>
      </c>
      <c r="J497" t="n">
        <v>2009</v>
      </c>
      <c r="K497" t="inlineStr">
        <is>
          <t>ABRIL 2023</t>
        </is>
      </c>
      <c r="L497" t="inlineStr">
        <is>
          <t>ABRIL 2024</t>
        </is>
      </c>
      <c r="M497" t="inlineStr">
        <is>
          <t xml:space="preserve">P.Q.S TIPO ABC AL 90% NACIONAL </t>
        </is>
      </c>
      <c r="N497" t="inlineStr">
        <is>
          <t>268/001559</t>
        </is>
      </c>
      <c r="O497" t="inlineStr">
        <is>
          <t>R</t>
        </is>
      </c>
      <c r="P497">
        <f>TRIM(N497)</f>
        <v/>
      </c>
    </row>
    <row r="498">
      <c r="A498" t="inlineStr">
        <is>
          <t>CO-001342</t>
        </is>
      </c>
      <c r="B498" t="inlineStr">
        <is>
          <t>PERU MASIVO S.A.</t>
        </is>
      </c>
      <c r="C498" t="inlineStr">
        <is>
          <t>20492392031</t>
        </is>
      </c>
      <c r="D498" t="inlineStr">
        <is>
          <t>AV. LOS INCAS CDRA. 4 PATIO NORTE - COMAS</t>
        </is>
      </c>
      <c r="E498" t="inlineStr">
        <is>
          <t>Lima, 26 de Abril de 2023</t>
        </is>
      </c>
      <c r="F498" t="inlineStr">
        <is>
          <t>la Recarga y mantenimiento</t>
        </is>
      </c>
      <c r="G498" t="n">
        <v>4</v>
      </c>
      <c r="H498" t="inlineStr">
        <is>
          <t>06 KG</t>
        </is>
      </c>
      <c r="I498" t="inlineStr">
        <is>
          <t>2028</t>
        </is>
      </c>
      <c r="J498" t="n">
        <v>2016</v>
      </c>
      <c r="K498" t="inlineStr">
        <is>
          <t>ABRIL 2023</t>
        </is>
      </c>
      <c r="L498" t="inlineStr">
        <is>
          <t>ABRIL 2024</t>
        </is>
      </c>
      <c r="M498" t="inlineStr">
        <is>
          <t xml:space="preserve">P.Q.S TIPO ABC AL 90% NACIONAL </t>
        </is>
      </c>
      <c r="N498" t="inlineStr">
        <is>
          <t>S/N /000942</t>
        </is>
      </c>
      <c r="O498" t="inlineStr">
        <is>
          <t>R</t>
        </is>
      </c>
      <c r="P498">
        <f>TRIM(N498)</f>
        <v/>
      </c>
    </row>
    <row r="499">
      <c r="A499" t="inlineStr">
        <is>
          <t>CO-001342</t>
        </is>
      </c>
      <c r="B499" t="inlineStr">
        <is>
          <t>PERU MASIVO S.A.</t>
        </is>
      </c>
      <c r="C499" t="inlineStr">
        <is>
          <t>20492392031</t>
        </is>
      </c>
      <c r="D499" t="inlineStr">
        <is>
          <t>AV. LOS INCAS CDRA. 4 PATIO NORTE - COMAS</t>
        </is>
      </c>
      <c r="E499" t="inlineStr">
        <is>
          <t>Lima, 26 de Abril de 2023</t>
        </is>
      </c>
      <c r="F499" t="inlineStr">
        <is>
          <t>la Recarga y mantenimiento</t>
        </is>
      </c>
      <c r="G499" t="n">
        <v>5</v>
      </c>
      <c r="H499" t="inlineStr">
        <is>
          <t>06 KG</t>
        </is>
      </c>
      <c r="I499" t="inlineStr">
        <is>
          <t>2028</t>
        </is>
      </c>
      <c r="J499" t="n">
        <v>2010</v>
      </c>
      <c r="K499" t="inlineStr">
        <is>
          <t>ABRIL 2023</t>
        </is>
      </c>
      <c r="L499" t="inlineStr">
        <is>
          <t>ABRIL 2024</t>
        </is>
      </c>
      <c r="M499" t="inlineStr">
        <is>
          <t xml:space="preserve">P.Q.S TIPO ABC AL 90% NACIONAL </t>
        </is>
      </c>
      <c r="N499" t="inlineStr">
        <is>
          <t>216/00241</t>
        </is>
      </c>
      <c r="O499" t="inlineStr">
        <is>
          <t>R</t>
        </is>
      </c>
      <c r="P499">
        <f>TRIM(N499)</f>
        <v/>
      </c>
    </row>
    <row r="500">
      <c r="A500" t="inlineStr">
        <is>
          <t>CO-001342</t>
        </is>
      </c>
      <c r="B500" t="inlineStr">
        <is>
          <t>PERU MASIVO S.A.</t>
        </is>
      </c>
      <c r="C500" t="inlineStr">
        <is>
          <t>20492392031</t>
        </is>
      </c>
      <c r="D500" t="inlineStr">
        <is>
          <t>AV. LOS INCAS CDRA. 4 PATIO NORTE - COMAS</t>
        </is>
      </c>
      <c r="E500" t="inlineStr">
        <is>
          <t>Lima, 26 de Abril de 2023</t>
        </is>
      </c>
      <c r="F500" t="inlineStr">
        <is>
          <t>la Recarga y mantenimiento</t>
        </is>
      </c>
      <c r="G500" t="n">
        <v>6</v>
      </c>
      <c r="H500" t="inlineStr">
        <is>
          <t>06 KG</t>
        </is>
      </c>
      <c r="I500" t="inlineStr">
        <is>
          <t>2028</t>
        </is>
      </c>
      <c r="J500" t="n">
        <v>2009</v>
      </c>
      <c r="K500" t="inlineStr">
        <is>
          <t>ABRIL 2023</t>
        </is>
      </c>
      <c r="L500" t="inlineStr">
        <is>
          <t>ABRIL 2024</t>
        </is>
      </c>
      <c r="M500" t="inlineStr">
        <is>
          <t xml:space="preserve">P.Q.S TIPO ABC AL 90% NACIONAL </t>
        </is>
      </c>
      <c r="N500" t="inlineStr">
        <is>
          <t>299/001414</t>
        </is>
      </c>
      <c r="O500" t="inlineStr">
        <is>
          <t>R</t>
        </is>
      </c>
      <c r="P500">
        <f>TRIM(N500)</f>
        <v/>
      </c>
    </row>
    <row r="501">
      <c r="A501" t="inlineStr">
        <is>
          <t>CO-001342</t>
        </is>
      </c>
      <c r="B501" t="inlineStr">
        <is>
          <t>PERU MASIVO S.A.</t>
        </is>
      </c>
      <c r="C501" t="inlineStr">
        <is>
          <t>20492392031</t>
        </is>
      </c>
      <c r="D501" t="inlineStr">
        <is>
          <t>AV. LOS INCAS CDRA. 4 PATIO NORTE - COMAS</t>
        </is>
      </c>
      <c r="E501" t="inlineStr">
        <is>
          <t>Lima, 26 de Abril de 2023</t>
        </is>
      </c>
      <c r="F501" t="inlineStr">
        <is>
          <t>la Recarga y mantenimiento</t>
        </is>
      </c>
      <c r="G501" t="n">
        <v>7</v>
      </c>
      <c r="H501" t="inlineStr">
        <is>
          <t>06 KG</t>
        </is>
      </c>
      <c r="I501" t="inlineStr">
        <is>
          <t>2028</t>
        </is>
      </c>
      <c r="J501" t="n">
        <v>2010</v>
      </c>
      <c r="K501" t="inlineStr">
        <is>
          <t>ABRIL 2023</t>
        </is>
      </c>
      <c r="L501" t="inlineStr">
        <is>
          <t>ABRIL 2024</t>
        </is>
      </c>
      <c r="M501" t="inlineStr">
        <is>
          <t xml:space="preserve">P.Q.S TIPO ABC AL 90% NACIONAL </t>
        </is>
      </c>
      <c r="N501" t="inlineStr">
        <is>
          <t>254/000988</t>
        </is>
      </c>
      <c r="O501" t="inlineStr">
        <is>
          <t>R</t>
        </is>
      </c>
      <c r="P501">
        <f>TRIM(N501)</f>
        <v/>
      </c>
    </row>
    <row r="502">
      <c r="A502" t="inlineStr">
        <is>
          <t>CO-001342</t>
        </is>
      </c>
      <c r="B502" t="inlineStr">
        <is>
          <t>PERU MASIVO S.A.</t>
        </is>
      </c>
      <c r="C502" t="inlineStr">
        <is>
          <t>20492392031</t>
        </is>
      </c>
      <c r="D502" t="inlineStr">
        <is>
          <t>AV. LOS INCAS CDRA. 4 PATIO NORTE - COMAS</t>
        </is>
      </c>
      <c r="E502" t="inlineStr">
        <is>
          <t>Lima, 26 de Abril de 2023</t>
        </is>
      </c>
      <c r="F502" t="inlineStr">
        <is>
          <t>la Recarga y mantenimiento</t>
        </is>
      </c>
      <c r="G502" t="n">
        <v>8</v>
      </c>
      <c r="H502" t="inlineStr">
        <is>
          <t>06 KG</t>
        </is>
      </c>
      <c r="I502" t="inlineStr">
        <is>
          <t>2028</t>
        </is>
      </c>
      <c r="J502" t="n">
        <v>2010</v>
      </c>
      <c r="K502" t="inlineStr">
        <is>
          <t>ABRIL 2023</t>
        </is>
      </c>
      <c r="L502" t="inlineStr">
        <is>
          <t>ABRIL 2024</t>
        </is>
      </c>
      <c r="M502" t="inlineStr">
        <is>
          <t xml:space="preserve">P.Q.S TIPO ABC AL 90% NACIONAL </t>
        </is>
      </c>
      <c r="N502" t="inlineStr">
        <is>
          <t>163/000854</t>
        </is>
      </c>
      <c r="O502" t="inlineStr">
        <is>
          <t>R</t>
        </is>
      </c>
      <c r="P502">
        <f>TRIM(N502)</f>
        <v/>
      </c>
    </row>
    <row r="503">
      <c r="A503" t="inlineStr">
        <is>
          <t>CO-001342</t>
        </is>
      </c>
      <c r="B503" t="inlineStr">
        <is>
          <t>PERU MASIVO S.A.</t>
        </is>
      </c>
      <c r="C503" t="inlineStr">
        <is>
          <t>20492392031</t>
        </is>
      </c>
      <c r="D503" t="inlineStr">
        <is>
          <t>AV. LOS INCAS CDRA. 4 PATIO NORTE - COMAS</t>
        </is>
      </c>
      <c r="E503" t="inlineStr">
        <is>
          <t>Lima, 26 de Abril de 2023</t>
        </is>
      </c>
      <c r="F503" t="inlineStr">
        <is>
          <t>la Recarga y mantenimiento</t>
        </is>
      </c>
      <c r="G503" t="n">
        <v>9</v>
      </c>
      <c r="H503" t="inlineStr">
        <is>
          <t>06 KG</t>
        </is>
      </c>
      <c r="I503" t="n">
        <v>2028</v>
      </c>
      <c r="J503" t="n">
        <v>2010</v>
      </c>
      <c r="K503" t="inlineStr">
        <is>
          <t>ABRIL 2023</t>
        </is>
      </c>
      <c r="L503" t="inlineStr">
        <is>
          <t>ABRIL 2024</t>
        </is>
      </c>
      <c r="M503" t="inlineStr">
        <is>
          <t xml:space="preserve">P.Q.S TIPO ABC AL 90% NACIONAL </t>
        </is>
      </c>
      <c r="N503" t="inlineStr">
        <is>
          <t>232/000037</t>
        </is>
      </c>
      <c r="O503" t="inlineStr">
        <is>
          <t>R</t>
        </is>
      </c>
      <c r="P503">
        <f>TRIM(N503)</f>
        <v/>
      </c>
    </row>
    <row r="504">
      <c r="A504" t="inlineStr">
        <is>
          <t>CO-001342</t>
        </is>
      </c>
      <c r="B504" t="inlineStr">
        <is>
          <t>PERU MASIVO S.A.</t>
        </is>
      </c>
      <c r="C504" t="inlineStr">
        <is>
          <t>20492392031</t>
        </is>
      </c>
      <c r="D504" t="inlineStr">
        <is>
          <t>AV. LOS INCAS CDRA. 4 PATIO NORTE - COMAS</t>
        </is>
      </c>
      <c r="E504" t="inlineStr">
        <is>
          <t>Lima, 26 de Abril de 2023</t>
        </is>
      </c>
      <c r="F504" t="inlineStr">
        <is>
          <t>la Recarga y mantenimiento</t>
        </is>
      </c>
      <c r="G504" t="n">
        <v>10</v>
      </c>
      <c r="H504" t="inlineStr">
        <is>
          <t>06 KG</t>
        </is>
      </c>
      <c r="I504" t="n">
        <v>2028</v>
      </c>
      <c r="J504" t="n">
        <v>2016</v>
      </c>
      <c r="K504" t="inlineStr">
        <is>
          <t>ABRIL 2023</t>
        </is>
      </c>
      <c r="L504" t="inlineStr">
        <is>
          <t>ABRIL 2024</t>
        </is>
      </c>
      <c r="M504" t="inlineStr">
        <is>
          <t xml:space="preserve">P.Q.S TIPO ABC AL 90% NACIONAL </t>
        </is>
      </c>
      <c r="N504" t="inlineStr">
        <is>
          <t>S/N /020160</t>
        </is>
      </c>
      <c r="O504" t="inlineStr">
        <is>
          <t>R</t>
        </is>
      </c>
      <c r="P504">
        <f>TRIM(N504)</f>
        <v/>
      </c>
    </row>
    <row r="505">
      <c r="A505" t="inlineStr">
        <is>
          <t>CO-001343</t>
        </is>
      </c>
      <c r="B505" t="inlineStr">
        <is>
          <t>LINDO REYES</t>
        </is>
      </c>
      <c r="D505" t="inlineStr">
        <is>
          <t>AV. BOLOGNESI N° 100 (cruce de av. Tupac con av. Bolognesi) - COMAS</t>
        </is>
      </c>
      <c r="E505" t="inlineStr">
        <is>
          <t>Lima, 27 de Abril de 2023</t>
        </is>
      </c>
      <c r="F505" t="inlineStr">
        <is>
          <t>la Recarga y mantenimiento</t>
        </is>
      </c>
      <c r="G505" t="n">
        <v>1</v>
      </c>
      <c r="H505" t="inlineStr">
        <is>
          <t>06 KG</t>
        </is>
      </c>
      <c r="I505" t="inlineStr">
        <is>
          <t>2027</t>
        </is>
      </c>
      <c r="J505" t="n">
        <v>2005</v>
      </c>
      <c r="K505" t="inlineStr">
        <is>
          <t>ABRIL 2023</t>
        </is>
      </c>
      <c r="L505" t="inlineStr">
        <is>
          <t>ABRIL 2024</t>
        </is>
      </c>
      <c r="M505" t="inlineStr">
        <is>
          <t xml:space="preserve">P.Q.S TIPO ABC </t>
        </is>
      </c>
      <c r="N505" t="inlineStr">
        <is>
          <t>002608</t>
        </is>
      </c>
      <c r="O505" t="inlineStr">
        <is>
          <t>R</t>
        </is>
      </c>
      <c r="P505">
        <f>TRIM(N505)</f>
        <v/>
      </c>
    </row>
    <row r="506">
      <c r="A506" t="inlineStr">
        <is>
          <t>CO-001344</t>
        </is>
      </c>
      <c r="B506" t="inlineStr">
        <is>
          <t>PERU MASIVO S.A.</t>
        </is>
      </c>
      <c r="C506" t="inlineStr">
        <is>
          <t>20492392031</t>
        </is>
      </c>
      <c r="D506" t="inlineStr">
        <is>
          <t>AV. LOS INCAS CDRA. 4 PATIO NORTE - COMAS</t>
        </is>
      </c>
      <c r="E506" t="inlineStr">
        <is>
          <t>Lima, 28 de Abril de 2023</t>
        </is>
      </c>
      <c r="F506" t="inlineStr">
        <is>
          <t>la Recarga y mantenimiento</t>
        </is>
      </c>
      <c r="G506" t="inlineStr">
        <is>
          <t>1</t>
        </is>
      </c>
      <c r="H506" t="inlineStr">
        <is>
          <t>06 KG</t>
        </is>
      </c>
      <c r="I506" t="inlineStr">
        <is>
          <t>2028</t>
        </is>
      </c>
      <c r="J506" t="n">
        <v>2016</v>
      </c>
      <c r="K506" t="inlineStr">
        <is>
          <t>ABRIL 2023</t>
        </is>
      </c>
      <c r="L506" t="inlineStr">
        <is>
          <t>ABRIL 2024</t>
        </is>
      </c>
      <c r="M506" t="inlineStr">
        <is>
          <t xml:space="preserve">P.Q.S TIPO ABC AL 90% NACIONAL </t>
        </is>
      </c>
      <c r="N506" t="inlineStr">
        <is>
          <t>S/N / 000375</t>
        </is>
      </c>
      <c r="O506" t="inlineStr">
        <is>
          <t>R</t>
        </is>
      </c>
      <c r="P506">
        <f>TRIM(N506)</f>
        <v/>
      </c>
    </row>
    <row r="507">
      <c r="A507" t="inlineStr">
        <is>
          <t>CO-001344</t>
        </is>
      </c>
      <c r="B507" t="inlineStr">
        <is>
          <t>PERU MASIVO S.A.</t>
        </is>
      </c>
      <c r="C507" t="inlineStr">
        <is>
          <t>20492392031</t>
        </is>
      </c>
      <c r="D507" t="inlineStr">
        <is>
          <t>AV. LOS INCAS CDRA. 4 PATIO NORTE - COMAS</t>
        </is>
      </c>
      <c r="E507" t="inlineStr">
        <is>
          <t>Lima, 28 de Abril de 2023</t>
        </is>
      </c>
      <c r="F507" t="inlineStr">
        <is>
          <t>la Recarga y mantenimiento</t>
        </is>
      </c>
      <c r="G507" t="n">
        <v>2</v>
      </c>
      <c r="H507" t="inlineStr">
        <is>
          <t>06 KG</t>
        </is>
      </c>
      <c r="I507" t="inlineStr">
        <is>
          <t>2028</t>
        </is>
      </c>
      <c r="J507" t="n">
        <v>2009</v>
      </c>
      <c r="K507" t="inlineStr">
        <is>
          <t>ABRIL 2023</t>
        </is>
      </c>
      <c r="L507" t="inlineStr">
        <is>
          <t>ABRIL 2024</t>
        </is>
      </c>
      <c r="M507" t="inlineStr">
        <is>
          <t xml:space="preserve">P.Q.S TIPO ABC AL 90% NACIONAL </t>
        </is>
      </c>
      <c r="N507" t="inlineStr">
        <is>
          <t>305 / 000697</t>
        </is>
      </c>
      <c r="O507" t="inlineStr">
        <is>
          <t>R</t>
        </is>
      </c>
      <c r="P507">
        <f>TRIM(N507)</f>
        <v/>
      </c>
    </row>
    <row r="508">
      <c r="A508" t="inlineStr">
        <is>
          <t>CO-001344</t>
        </is>
      </c>
      <c r="B508" t="inlineStr">
        <is>
          <t>PERU MASIVO S.A.</t>
        </is>
      </c>
      <c r="C508" t="inlineStr">
        <is>
          <t>20492392031</t>
        </is>
      </c>
      <c r="D508" t="inlineStr">
        <is>
          <t>AV. LOS INCAS CDRA. 4 PATIO NORTE - COMAS</t>
        </is>
      </c>
      <c r="E508" t="inlineStr">
        <is>
          <t>Lima, 28 de Abril de 2023</t>
        </is>
      </c>
      <c r="F508" t="inlineStr">
        <is>
          <t>la Recarga y mantenimiento</t>
        </is>
      </c>
      <c r="G508" t="n">
        <v>3</v>
      </c>
      <c r="H508" t="inlineStr">
        <is>
          <t>06 KG</t>
        </is>
      </c>
      <c r="I508" t="inlineStr">
        <is>
          <t>2028</t>
        </is>
      </c>
      <c r="J508" t="n">
        <v>2010</v>
      </c>
      <c r="K508" t="inlineStr">
        <is>
          <t>ABRIL 2023</t>
        </is>
      </c>
      <c r="L508" t="inlineStr">
        <is>
          <t>ABRIL 2024</t>
        </is>
      </c>
      <c r="M508" t="inlineStr">
        <is>
          <t xml:space="preserve">P.Q.S TIPO ABC AL 90% NACIONAL </t>
        </is>
      </c>
      <c r="N508" t="inlineStr">
        <is>
          <t>266 / 000664</t>
        </is>
      </c>
      <c r="O508" t="inlineStr">
        <is>
          <t>R</t>
        </is>
      </c>
      <c r="P508">
        <f>TRIM(N508)</f>
        <v/>
      </c>
    </row>
    <row r="509">
      <c r="A509" t="inlineStr">
        <is>
          <t>CO-001344</t>
        </is>
      </c>
      <c r="B509" t="inlineStr">
        <is>
          <t>PERU MASIVO S.A.</t>
        </is>
      </c>
      <c r="C509" t="inlineStr">
        <is>
          <t>20492392031</t>
        </is>
      </c>
      <c r="D509" t="inlineStr">
        <is>
          <t>AV. LOS INCAS CDRA. 4 PATIO NORTE - COMAS</t>
        </is>
      </c>
      <c r="E509" t="inlineStr">
        <is>
          <t>Lima, 28 de Abril de 2023</t>
        </is>
      </c>
      <c r="F509" t="inlineStr">
        <is>
          <t>la Recarga y mantenimiento</t>
        </is>
      </c>
      <c r="G509" t="n">
        <v>4</v>
      </c>
      <c r="H509" t="inlineStr">
        <is>
          <t>06 KG</t>
        </is>
      </c>
      <c r="I509" t="inlineStr">
        <is>
          <t>2028</t>
        </is>
      </c>
      <c r="J509" t="n">
        <v>2010</v>
      </c>
      <c r="K509" t="inlineStr">
        <is>
          <t>ABRIL 2023</t>
        </is>
      </c>
      <c r="L509" t="inlineStr">
        <is>
          <t>ABRIL 2024</t>
        </is>
      </c>
      <c r="M509" t="inlineStr">
        <is>
          <t xml:space="preserve">P.Q.S TIPO ABC AL 90% NACIONAL </t>
        </is>
      </c>
      <c r="N509" t="inlineStr">
        <is>
          <t>238 / 000597</t>
        </is>
      </c>
      <c r="O509" t="inlineStr">
        <is>
          <t>R</t>
        </is>
      </c>
      <c r="P509">
        <f>TRIM(N509)</f>
        <v/>
      </c>
    </row>
    <row r="510">
      <c r="A510" t="inlineStr">
        <is>
          <t>CO-001344</t>
        </is>
      </c>
      <c r="B510" t="inlineStr">
        <is>
          <t>PERU MASIVO S.A.</t>
        </is>
      </c>
      <c r="C510" t="inlineStr">
        <is>
          <t>20492392031</t>
        </is>
      </c>
      <c r="D510" t="inlineStr">
        <is>
          <t>AV. LOS INCAS CDRA. 4 PATIO NORTE - COMAS</t>
        </is>
      </c>
      <c r="E510" t="inlineStr">
        <is>
          <t>Lima, 28 de Abril de 2023</t>
        </is>
      </c>
      <c r="F510" t="inlineStr">
        <is>
          <t>la Recarga y mantenimiento</t>
        </is>
      </c>
      <c r="G510" t="n">
        <v>5</v>
      </c>
      <c r="H510" t="inlineStr">
        <is>
          <t>06 KG</t>
        </is>
      </c>
      <c r="I510" t="inlineStr">
        <is>
          <t>2028</t>
        </is>
      </c>
      <c r="J510" t="n">
        <v>2009</v>
      </c>
      <c r="K510" t="inlineStr">
        <is>
          <t>ABRIL 2023</t>
        </is>
      </c>
      <c r="L510" t="inlineStr">
        <is>
          <t>ABRIL 2024</t>
        </is>
      </c>
      <c r="M510" t="inlineStr">
        <is>
          <t xml:space="preserve">P.Q.S TIPO ABC AL 90% NACIONAL </t>
        </is>
      </c>
      <c r="N510" t="inlineStr">
        <is>
          <t>355 / 001330</t>
        </is>
      </c>
      <c r="O510" t="inlineStr">
        <is>
          <t>R</t>
        </is>
      </c>
      <c r="P510">
        <f>TRIM(N510)</f>
        <v/>
      </c>
    </row>
    <row r="511">
      <c r="A511" t="inlineStr">
        <is>
          <t>CO-001344</t>
        </is>
      </c>
      <c r="B511" t="inlineStr">
        <is>
          <t>PERU MASIVO S.A.</t>
        </is>
      </c>
      <c r="C511" t="inlineStr">
        <is>
          <t>20492392031</t>
        </is>
      </c>
      <c r="D511" t="inlineStr">
        <is>
          <t>AV. LOS INCAS CDRA. 4 PATIO NORTE - COMAS</t>
        </is>
      </c>
      <c r="E511" t="inlineStr">
        <is>
          <t>Lima, 28 de Abril de 2023</t>
        </is>
      </c>
      <c r="F511" t="inlineStr">
        <is>
          <t>la Recarga y mantenimiento</t>
        </is>
      </c>
      <c r="G511" t="n">
        <v>6</v>
      </c>
      <c r="H511" t="inlineStr">
        <is>
          <t>06 KG</t>
        </is>
      </c>
      <c r="I511" t="inlineStr">
        <is>
          <t>2028</t>
        </is>
      </c>
      <c r="J511" t="n">
        <v>2014</v>
      </c>
      <c r="K511" t="inlineStr">
        <is>
          <t>ABRIL 2023</t>
        </is>
      </c>
      <c r="L511" t="inlineStr">
        <is>
          <t>ABRIL 2024</t>
        </is>
      </c>
      <c r="M511" t="inlineStr">
        <is>
          <t xml:space="preserve">P.Q.S TIPO ABC AL 90% NACIONAL </t>
        </is>
      </c>
      <c r="N511" t="inlineStr">
        <is>
          <t>S/N / 000338</t>
        </is>
      </c>
      <c r="O511" t="inlineStr">
        <is>
          <t>R</t>
        </is>
      </c>
      <c r="P511">
        <f>TRIM(N511)</f>
        <v/>
      </c>
    </row>
    <row r="512">
      <c r="A512" t="inlineStr">
        <is>
          <t>CO-001344</t>
        </is>
      </c>
      <c r="B512" t="inlineStr">
        <is>
          <t>PERU MASIVO S.A.</t>
        </is>
      </c>
      <c r="C512" t="inlineStr">
        <is>
          <t>20492392031</t>
        </is>
      </c>
      <c r="D512" t="inlineStr">
        <is>
          <t>AV. LOS INCAS CDRA. 4 PATIO NORTE - COMAS</t>
        </is>
      </c>
      <c r="E512" t="inlineStr">
        <is>
          <t>Lima, 28 de Abril de 2023</t>
        </is>
      </c>
      <c r="F512" t="inlineStr">
        <is>
          <t>la Recarga y mantenimiento</t>
        </is>
      </c>
      <c r="G512" t="n">
        <v>7</v>
      </c>
      <c r="H512" t="inlineStr">
        <is>
          <t>06 KG</t>
        </is>
      </c>
      <c r="I512" t="inlineStr">
        <is>
          <t>2028</t>
        </is>
      </c>
      <c r="J512" t="n">
        <v>2009</v>
      </c>
      <c r="K512" t="inlineStr">
        <is>
          <t>ABRIL 2023</t>
        </is>
      </c>
      <c r="L512" t="inlineStr">
        <is>
          <t>ABRIL 2024</t>
        </is>
      </c>
      <c r="M512" t="inlineStr">
        <is>
          <t xml:space="preserve">P.Q.S TIPO ABC AL 90% NACIONAL </t>
        </is>
      </c>
      <c r="N512" t="inlineStr">
        <is>
          <t>291 / 002708</t>
        </is>
      </c>
      <c r="O512" t="inlineStr">
        <is>
          <t>R</t>
        </is>
      </c>
      <c r="P512">
        <f>TRIM(N512)</f>
        <v/>
      </c>
    </row>
    <row r="513">
      <c r="A513" t="inlineStr">
        <is>
          <t>CO-001344</t>
        </is>
      </c>
      <c r="B513" t="inlineStr">
        <is>
          <t>PERU MASIVO S.A.</t>
        </is>
      </c>
      <c r="C513" t="inlineStr">
        <is>
          <t>20492392031</t>
        </is>
      </c>
      <c r="D513" t="inlineStr">
        <is>
          <t>AV. LOS INCAS CDRA. 4 PATIO NORTE - COMAS</t>
        </is>
      </c>
      <c r="E513" t="inlineStr">
        <is>
          <t>Lima, 28 de Abril de 2023</t>
        </is>
      </c>
      <c r="F513" t="inlineStr">
        <is>
          <t>la Recarga y mantenimiento</t>
        </is>
      </c>
      <c r="G513" t="n">
        <v>8</v>
      </c>
      <c r="H513" t="inlineStr">
        <is>
          <t>06 KG</t>
        </is>
      </c>
      <c r="I513" t="inlineStr">
        <is>
          <t>2028</t>
        </is>
      </c>
      <c r="J513" t="inlineStr">
        <is>
          <t>S/F</t>
        </is>
      </c>
      <c r="K513" t="inlineStr">
        <is>
          <t>ABRIL 2023</t>
        </is>
      </c>
      <c r="L513" t="inlineStr">
        <is>
          <t>ABRIL 2024</t>
        </is>
      </c>
      <c r="M513" t="inlineStr">
        <is>
          <t xml:space="preserve">P.Q.S TIPO ABC AL 90% NACIONAL </t>
        </is>
      </c>
      <c r="N513" t="inlineStr">
        <is>
          <t>242 / 001183</t>
        </is>
      </c>
      <c r="O513" t="inlineStr">
        <is>
          <t>R</t>
        </is>
      </c>
      <c r="P513">
        <f>TRIM(N513)</f>
        <v/>
      </c>
    </row>
    <row r="514">
      <c r="A514" t="inlineStr">
        <is>
          <t>CO-001344</t>
        </is>
      </c>
      <c r="B514" t="inlineStr">
        <is>
          <t>PERU MASIVO S.A.</t>
        </is>
      </c>
      <c r="C514" t="inlineStr">
        <is>
          <t>20492392031</t>
        </is>
      </c>
      <c r="D514" t="inlineStr">
        <is>
          <t>AV. LOS INCAS CDRA. 4 PATIO NORTE - COMAS</t>
        </is>
      </c>
      <c r="E514" t="inlineStr">
        <is>
          <t>Lima, 28 de Abril de 2023</t>
        </is>
      </c>
      <c r="F514" t="inlineStr">
        <is>
          <t>la Recarga y mantenimiento</t>
        </is>
      </c>
      <c r="G514" t="n">
        <v>9</v>
      </c>
      <c r="H514" t="inlineStr">
        <is>
          <t>06 KG</t>
        </is>
      </c>
      <c r="I514" t="inlineStr">
        <is>
          <t>2028</t>
        </is>
      </c>
      <c r="J514" t="n">
        <v>2010</v>
      </c>
      <c r="K514" t="inlineStr">
        <is>
          <t>ABRIL 2023</t>
        </is>
      </c>
      <c r="L514" t="inlineStr">
        <is>
          <t>ABRIL 2024</t>
        </is>
      </c>
      <c r="M514" t="inlineStr">
        <is>
          <t xml:space="preserve">P.Q.S TIPO ABC AL 90% NACIONAL </t>
        </is>
      </c>
      <c r="N514" t="inlineStr">
        <is>
          <t>226 / 001739</t>
        </is>
      </c>
      <c r="O514" t="inlineStr">
        <is>
          <t>R</t>
        </is>
      </c>
      <c r="P514">
        <f>TRIM(N514)</f>
        <v/>
      </c>
    </row>
    <row r="515">
      <c r="A515" t="inlineStr">
        <is>
          <t>CO-001344</t>
        </is>
      </c>
      <c r="B515" t="inlineStr">
        <is>
          <t>PERU MASIVO S.A.</t>
        </is>
      </c>
      <c r="C515" t="inlineStr">
        <is>
          <t>20492392031</t>
        </is>
      </c>
      <c r="D515" t="inlineStr">
        <is>
          <t>AV. LOS INCAS CDRA. 4 PATIO NORTE - COMAS</t>
        </is>
      </c>
      <c r="E515" t="inlineStr">
        <is>
          <t>Lima, 28 de Abril de 2023</t>
        </is>
      </c>
      <c r="F515" t="inlineStr">
        <is>
          <t>la Recarga y mantenimiento</t>
        </is>
      </c>
      <c r="G515" t="n">
        <v>10</v>
      </c>
      <c r="H515" t="inlineStr">
        <is>
          <t>06 KG</t>
        </is>
      </c>
      <c r="I515" t="inlineStr">
        <is>
          <t>2028</t>
        </is>
      </c>
      <c r="J515" t="n">
        <v>2009</v>
      </c>
      <c r="K515" t="inlineStr">
        <is>
          <t>ABRIL 2023</t>
        </is>
      </c>
      <c r="L515" t="inlineStr">
        <is>
          <t>ABRIL 2024</t>
        </is>
      </c>
      <c r="M515" t="inlineStr">
        <is>
          <t xml:space="preserve">P.Q.S TIPO ABC AL 90% NACIONAL </t>
        </is>
      </c>
      <c r="N515" t="inlineStr">
        <is>
          <t>172 / 000942</t>
        </is>
      </c>
      <c r="O515" t="inlineStr">
        <is>
          <t>R</t>
        </is>
      </c>
      <c r="P515">
        <f>TRIM(N515)</f>
        <v/>
      </c>
    </row>
    <row r="516">
      <c r="A516" t="inlineStr">
        <is>
          <t>CO-001344</t>
        </is>
      </c>
      <c r="B516" t="inlineStr">
        <is>
          <t>PERU MASIVO S.A.</t>
        </is>
      </c>
      <c r="C516" t="inlineStr">
        <is>
          <t>20492392031</t>
        </is>
      </c>
      <c r="D516" t="inlineStr">
        <is>
          <t>AV. LOS INCAS CDRA. 4 PATIO NORTE - COMAS</t>
        </is>
      </c>
      <c r="E516" t="inlineStr">
        <is>
          <t>Lima, 28 de Abril de 2023</t>
        </is>
      </c>
      <c r="F516" t="inlineStr">
        <is>
          <t>la Recarga y mantenimiento</t>
        </is>
      </c>
      <c r="G516" t="n">
        <v>11</v>
      </c>
      <c r="H516" t="inlineStr">
        <is>
          <t>06 KG</t>
        </is>
      </c>
      <c r="I516" t="inlineStr">
        <is>
          <t>2028</t>
        </is>
      </c>
      <c r="J516" t="n">
        <v>2010</v>
      </c>
      <c r="K516" t="inlineStr">
        <is>
          <t>ABRIL 2023</t>
        </is>
      </c>
      <c r="L516" t="inlineStr">
        <is>
          <t>ABRIL 2024</t>
        </is>
      </c>
      <c r="M516" t="inlineStr">
        <is>
          <t xml:space="preserve">P.Q.S TIPO ABC AL 90% NACIONAL </t>
        </is>
      </c>
      <c r="N516" t="inlineStr">
        <is>
          <t>48 / 000877</t>
        </is>
      </c>
      <c r="O516" t="inlineStr">
        <is>
          <t>R</t>
        </is>
      </c>
      <c r="P516">
        <f>TRIM(N516)</f>
        <v/>
      </c>
    </row>
    <row r="517">
      <c r="A517" t="inlineStr">
        <is>
          <t>CO-001344</t>
        </is>
      </c>
      <c r="B517" t="inlineStr">
        <is>
          <t>PERU MASIVO S.A.</t>
        </is>
      </c>
      <c r="C517" t="inlineStr">
        <is>
          <t>20492392031</t>
        </is>
      </c>
      <c r="D517" t="inlineStr">
        <is>
          <t>AV. LOS INCAS CDRA. 4 PATIO NORTE - COMAS</t>
        </is>
      </c>
      <c r="E517" t="inlineStr">
        <is>
          <t>Lima, 28 de Abril de 2023</t>
        </is>
      </c>
      <c r="F517" t="inlineStr">
        <is>
          <t>la Recarga y mantenimiento</t>
        </is>
      </c>
      <c r="G517" t="n">
        <v>12</v>
      </c>
      <c r="H517" t="inlineStr">
        <is>
          <t>06 KG</t>
        </is>
      </c>
      <c r="I517" t="inlineStr">
        <is>
          <t>2028</t>
        </is>
      </c>
      <c r="J517" t="n">
        <v>2009</v>
      </c>
      <c r="K517" t="inlineStr">
        <is>
          <t>ABRIL 2023</t>
        </is>
      </c>
      <c r="L517" t="inlineStr">
        <is>
          <t>ABRIL 2024</t>
        </is>
      </c>
      <c r="M517" t="inlineStr">
        <is>
          <t xml:space="preserve">P.Q.S TIPO ABC AL 90% NACIONAL </t>
        </is>
      </c>
      <c r="N517" t="inlineStr">
        <is>
          <t>215 / 001118</t>
        </is>
      </c>
      <c r="O517" t="inlineStr">
        <is>
          <t>R</t>
        </is>
      </c>
      <c r="P517">
        <f>TRIM(N517)</f>
        <v/>
      </c>
    </row>
    <row r="518">
      <c r="A518" t="inlineStr">
        <is>
          <t>CO-001345</t>
        </is>
      </c>
      <c r="B518" t="inlineStr">
        <is>
          <t>PIERO ANTONIO GUTIERREZ GARCIA</t>
        </is>
      </c>
      <c r="D518" t="inlineStr">
        <is>
          <t>PLACA ; FON-131</t>
        </is>
      </c>
      <c r="E518" t="inlineStr">
        <is>
          <t>Lima, 28 de Abril de 2023</t>
        </is>
      </c>
      <c r="F518" t="inlineStr">
        <is>
          <t>la Recarga y mantenimiento</t>
        </is>
      </c>
      <c r="G518" t="n">
        <v>1</v>
      </c>
      <c r="H518" t="inlineStr">
        <is>
          <t>02 KG</t>
        </is>
      </c>
      <c r="I518" t="inlineStr">
        <is>
          <t>VIGENTE</t>
        </is>
      </c>
      <c r="J518" t="n">
        <v>2012</v>
      </c>
      <c r="K518" t="inlineStr">
        <is>
          <t>ABRIL 2023</t>
        </is>
      </c>
      <c r="L518" t="inlineStr">
        <is>
          <t>ABRIL 2024</t>
        </is>
      </c>
      <c r="M518" t="inlineStr">
        <is>
          <t xml:space="preserve">P.Q.S TIPO ABC </t>
        </is>
      </c>
      <c r="N518" t="inlineStr">
        <is>
          <t>S/N</t>
        </is>
      </c>
      <c r="O518" t="inlineStr">
        <is>
          <t>R</t>
        </is>
      </c>
      <c r="P518">
        <f>TRIM(N518)</f>
        <v/>
      </c>
    </row>
    <row r="519">
      <c r="A519" t="inlineStr">
        <is>
          <t>CO-001346</t>
        </is>
      </c>
      <c r="B519" t="inlineStr">
        <is>
          <t>YOLANDA SILVIA GALINDO FLORES</t>
        </is>
      </c>
      <c r="C519" t="inlineStr">
        <is>
          <t>45916421</t>
        </is>
      </c>
      <c r="D519" t="inlineStr">
        <is>
          <t>C.C. MEGA 80 PSTO. K18</t>
        </is>
      </c>
      <c r="E519" t="inlineStr">
        <is>
          <t>Lima, 02 de mayo de 2023</t>
        </is>
      </c>
      <c r="F519" t="inlineStr">
        <is>
          <t>la Recarga y mantenimiento</t>
        </is>
      </c>
      <c r="G519" t="n">
        <v>1</v>
      </c>
      <c r="H519" t="inlineStr">
        <is>
          <t>02 KG</t>
        </is>
      </c>
      <c r="I519" t="inlineStr">
        <is>
          <t>2027</t>
        </is>
      </c>
      <c r="J519" t="n">
        <v>2022</v>
      </c>
      <c r="K519" t="inlineStr">
        <is>
          <t>ABRIL 2023</t>
        </is>
      </c>
      <c r="L519" t="inlineStr">
        <is>
          <t>ABRIL 2024</t>
        </is>
      </c>
      <c r="M519" t="inlineStr">
        <is>
          <t xml:space="preserve">P.Q.S TIPO ABC </t>
        </is>
      </c>
      <c r="N519" t="inlineStr">
        <is>
          <t>000444</t>
        </is>
      </c>
      <c r="O519" t="inlineStr">
        <is>
          <t>V</t>
        </is>
      </c>
      <c r="P519">
        <f>TRIM(N519)</f>
        <v/>
      </c>
    </row>
    <row r="520">
      <c r="A520" t="inlineStr">
        <is>
          <t>CO-001347</t>
        </is>
      </c>
      <c r="B520" t="inlineStr">
        <is>
          <t>PERU MASIVO S.A.</t>
        </is>
      </c>
      <c r="C520" t="inlineStr">
        <is>
          <t>20492392031</t>
        </is>
      </c>
      <c r="D520" t="inlineStr">
        <is>
          <t>AV. LOS INCAS CDRA. 4 PATIO NORTE - COMAS</t>
        </is>
      </c>
      <c r="E520" t="inlineStr">
        <is>
          <t>Lima, 02  de Mayo de 2023</t>
        </is>
      </c>
      <c r="F520" t="inlineStr">
        <is>
          <t>la Recarga y mantenimiento</t>
        </is>
      </c>
      <c r="G520" t="inlineStr">
        <is>
          <t>1</t>
        </is>
      </c>
      <c r="H520" t="inlineStr">
        <is>
          <t>06 KG</t>
        </is>
      </c>
      <c r="I520" t="inlineStr">
        <is>
          <t>2028</t>
        </is>
      </c>
      <c r="J520" t="n">
        <v>2009</v>
      </c>
      <c r="K520" t="inlineStr">
        <is>
          <t>MAYO 2023</t>
        </is>
      </c>
      <c r="L520" t="inlineStr">
        <is>
          <t>MAYO 2024</t>
        </is>
      </c>
      <c r="M520" t="inlineStr">
        <is>
          <t xml:space="preserve">P.Q.S TIPO ABC AL 90% NACIONAL </t>
        </is>
      </c>
      <c r="N520" t="inlineStr">
        <is>
          <t>324/002625</t>
        </is>
      </c>
      <c r="O520" t="inlineStr">
        <is>
          <t>R</t>
        </is>
      </c>
      <c r="P520">
        <f>TRIM(N520)</f>
        <v/>
      </c>
    </row>
    <row r="521">
      <c r="A521" t="inlineStr">
        <is>
          <t>CO-001348</t>
        </is>
      </c>
      <c r="B521" t="inlineStr">
        <is>
          <t>ROSARIO CRISTINA HOSTIA HERNANDEZ</t>
        </is>
      </c>
      <c r="D521" t="inlineStr">
        <is>
          <t>JR. ANGEL MORALES N° 110 COOP.SAN HILARION - AÑO NUEVO - COMAS</t>
        </is>
      </c>
      <c r="E521" t="inlineStr">
        <is>
          <t>Lima, 03  de Mayo  de 2023</t>
        </is>
      </c>
      <c r="F521" t="inlineStr">
        <is>
          <t>la Recarga y mantenimiento</t>
        </is>
      </c>
      <c r="G521" t="n">
        <v>1</v>
      </c>
      <c r="H521" t="inlineStr">
        <is>
          <t>06 KG</t>
        </is>
      </c>
      <c r="I521" t="inlineStr">
        <is>
          <t>2027</t>
        </is>
      </c>
      <c r="J521" t="n">
        <v>2016</v>
      </c>
      <c r="K521" t="inlineStr">
        <is>
          <t>MAYO 2023</t>
        </is>
      </c>
      <c r="L521" t="inlineStr">
        <is>
          <t>MAYO 2024</t>
        </is>
      </c>
      <c r="M521" t="inlineStr">
        <is>
          <t xml:space="preserve">P.Q.S TIPO ABC </t>
        </is>
      </c>
      <c r="N521" t="inlineStr">
        <is>
          <t>026758</t>
        </is>
      </c>
      <c r="O521" t="inlineStr">
        <is>
          <t>R</t>
        </is>
      </c>
      <c r="P521">
        <f>TRIM(N521)</f>
        <v/>
      </c>
    </row>
    <row r="522">
      <c r="A522" t="inlineStr">
        <is>
          <t>CO-001349</t>
        </is>
      </c>
      <c r="B522" t="inlineStr">
        <is>
          <t>PERU MASIVO S.A.</t>
        </is>
      </c>
      <c r="C522" t="inlineStr">
        <is>
          <t>20492392031</t>
        </is>
      </c>
      <c r="D522" t="inlineStr">
        <is>
          <t>AV. LOS INCAS CDRA. 4 PATIO NORTE - COMAS</t>
        </is>
      </c>
      <c r="E522" t="inlineStr">
        <is>
          <t>Lima, 05 de mayo de 2023</t>
        </is>
      </c>
      <c r="F522" t="inlineStr">
        <is>
          <t>la Recarga y mantenimiento</t>
        </is>
      </c>
      <c r="G522" t="inlineStr">
        <is>
          <t>1</t>
        </is>
      </c>
      <c r="H522" t="inlineStr">
        <is>
          <t>06 KG</t>
        </is>
      </c>
      <c r="I522" t="inlineStr">
        <is>
          <t>2028</t>
        </is>
      </c>
      <c r="J522" t="n">
        <v>2009</v>
      </c>
      <c r="K522" t="inlineStr">
        <is>
          <t>MAYO 2023</t>
        </is>
      </c>
      <c r="L522" t="inlineStr">
        <is>
          <t>MAYO 2024</t>
        </is>
      </c>
      <c r="M522" t="inlineStr">
        <is>
          <t xml:space="preserve">P.Q.S TIPO ABC AL 90% NACIONAL </t>
        </is>
      </c>
      <c r="N522" t="inlineStr">
        <is>
          <t>08/002713</t>
        </is>
      </c>
      <c r="O522" t="inlineStr">
        <is>
          <t>R</t>
        </is>
      </c>
      <c r="P522">
        <f>TRIM(N522)</f>
        <v/>
      </c>
    </row>
    <row r="523">
      <c r="A523" t="inlineStr">
        <is>
          <t>CO-001349</t>
        </is>
      </c>
      <c r="B523" t="inlineStr">
        <is>
          <t>PERU MASIVO S.A.</t>
        </is>
      </c>
      <c r="C523" t="inlineStr">
        <is>
          <t>20492392031</t>
        </is>
      </c>
      <c r="D523" t="inlineStr">
        <is>
          <t>AV. LOS INCAS CDRA. 4 PATIO NORTE - COMAS</t>
        </is>
      </c>
      <c r="E523" t="inlineStr">
        <is>
          <t>Lima, 05 de mayo de 2023</t>
        </is>
      </c>
      <c r="F523" t="inlineStr">
        <is>
          <t>la Recarga y mantenimiento</t>
        </is>
      </c>
      <c r="G523" t="n">
        <v>2</v>
      </c>
      <c r="H523" t="inlineStr">
        <is>
          <t>06 KG</t>
        </is>
      </c>
      <c r="I523" t="inlineStr">
        <is>
          <t>2028</t>
        </is>
      </c>
      <c r="J523" t="n">
        <v>2009</v>
      </c>
      <c r="K523" t="inlineStr">
        <is>
          <t>MAYO 2023</t>
        </is>
      </c>
      <c r="L523" t="inlineStr">
        <is>
          <t>MAYO 2024</t>
        </is>
      </c>
      <c r="M523" t="inlineStr">
        <is>
          <t xml:space="preserve">P.Q.S TIPO ABC AL 90% NACIONAL </t>
        </is>
      </c>
      <c r="N523" t="inlineStr">
        <is>
          <t>23/000448</t>
        </is>
      </c>
      <c r="O523" t="inlineStr">
        <is>
          <t>R</t>
        </is>
      </c>
      <c r="P523">
        <f>TRIM(N523)</f>
        <v/>
      </c>
    </row>
    <row r="524">
      <c r="A524" t="inlineStr">
        <is>
          <t>CO-001349</t>
        </is>
      </c>
      <c r="B524" t="inlineStr">
        <is>
          <t>PERU MASIVO S.A.</t>
        </is>
      </c>
      <c r="C524" t="inlineStr">
        <is>
          <t>20492392031</t>
        </is>
      </c>
      <c r="D524" t="inlineStr">
        <is>
          <t>AV. LOS INCAS CDRA. 4 PATIO NORTE - COMAS</t>
        </is>
      </c>
      <c r="E524" t="inlineStr">
        <is>
          <t>Lima, 05 de mayo de 2023</t>
        </is>
      </c>
      <c r="F524" t="inlineStr">
        <is>
          <t>la Recarga y mantenimiento</t>
        </is>
      </c>
      <c r="G524" t="n">
        <v>3</v>
      </c>
      <c r="H524" t="inlineStr">
        <is>
          <t>06 KG</t>
        </is>
      </c>
      <c r="I524" t="inlineStr">
        <is>
          <t>2028</t>
        </is>
      </c>
      <c r="J524" t="n">
        <v>2010</v>
      </c>
      <c r="K524" t="inlineStr">
        <is>
          <t>MAYO 2023</t>
        </is>
      </c>
      <c r="L524" t="inlineStr">
        <is>
          <t>MAYO 2024</t>
        </is>
      </c>
      <c r="M524" t="inlineStr">
        <is>
          <t xml:space="preserve">P.Q.S TIPO ABC AL 90% NACIONAL </t>
        </is>
      </c>
      <c r="N524" t="inlineStr">
        <is>
          <t>206/001475</t>
        </is>
      </c>
      <c r="O524" t="inlineStr">
        <is>
          <t>R</t>
        </is>
      </c>
      <c r="P524">
        <f>TRIM(N524)</f>
        <v/>
      </c>
    </row>
    <row r="525">
      <c r="A525" t="inlineStr">
        <is>
          <t>CO-001349</t>
        </is>
      </c>
      <c r="B525" t="inlineStr">
        <is>
          <t>PERU MASIVO S.A.</t>
        </is>
      </c>
      <c r="C525" t="inlineStr">
        <is>
          <t>20492392031</t>
        </is>
      </c>
      <c r="D525" t="inlineStr">
        <is>
          <t>AV. LOS INCAS CDRA. 4 PATIO NORTE - COMAS</t>
        </is>
      </c>
      <c r="E525" t="inlineStr">
        <is>
          <t>Lima, 05 de mayo de 2023</t>
        </is>
      </c>
      <c r="F525" t="inlineStr">
        <is>
          <t>la Recarga y mantenimiento</t>
        </is>
      </c>
      <c r="G525" t="n">
        <v>4</v>
      </c>
      <c r="H525" t="inlineStr">
        <is>
          <t>06 KG</t>
        </is>
      </c>
      <c r="I525" t="inlineStr">
        <is>
          <t>2028</t>
        </is>
      </c>
      <c r="J525" t="n">
        <v>2011</v>
      </c>
      <c r="K525" t="inlineStr">
        <is>
          <t>MAYO 2023</t>
        </is>
      </c>
      <c r="L525" t="inlineStr">
        <is>
          <t>MAYO 2024</t>
        </is>
      </c>
      <c r="M525" t="inlineStr">
        <is>
          <t xml:space="preserve">P.Q.S TIPO ABC AL 90% NACIONAL </t>
        </is>
      </c>
      <c r="N525" t="inlineStr">
        <is>
          <t>175/000431</t>
        </is>
      </c>
      <c r="O525" t="inlineStr">
        <is>
          <t>R</t>
        </is>
      </c>
      <c r="P525">
        <f>TRIM(N525)</f>
        <v/>
      </c>
    </row>
    <row r="526">
      <c r="A526" t="inlineStr">
        <is>
          <t>CO-001349</t>
        </is>
      </c>
      <c r="B526" t="inlineStr">
        <is>
          <t>PERU MASIVO S.A.</t>
        </is>
      </c>
      <c r="C526" t="inlineStr">
        <is>
          <t>20492392031</t>
        </is>
      </c>
      <c r="D526" t="inlineStr">
        <is>
          <t>AV. LOS INCAS CDRA. 4 PATIO NORTE - COMAS</t>
        </is>
      </c>
      <c r="E526" t="inlineStr">
        <is>
          <t>Lima, 05 de mayo de 2023</t>
        </is>
      </c>
      <c r="F526" t="inlineStr">
        <is>
          <t>la Recarga y mantenimiento</t>
        </is>
      </c>
      <c r="G526" t="n">
        <v>5</v>
      </c>
      <c r="H526" t="inlineStr">
        <is>
          <t>06 KG</t>
        </is>
      </c>
      <c r="I526" t="inlineStr">
        <is>
          <t>2028</t>
        </is>
      </c>
      <c r="J526" t="n">
        <v>2011</v>
      </c>
      <c r="K526" t="inlineStr">
        <is>
          <t>MAYO 2023</t>
        </is>
      </c>
      <c r="L526" t="inlineStr">
        <is>
          <t>MAYO 2024</t>
        </is>
      </c>
      <c r="M526" t="inlineStr">
        <is>
          <t xml:space="preserve">P.Q.S TIPO ABC AL 90% NACIONAL </t>
        </is>
      </c>
      <c r="N526" t="inlineStr">
        <is>
          <t>311/001700</t>
        </is>
      </c>
      <c r="O526" t="inlineStr">
        <is>
          <t>R</t>
        </is>
      </c>
      <c r="P526">
        <f>TRIM(N526)</f>
        <v/>
      </c>
    </row>
    <row r="527">
      <c r="A527" t="inlineStr">
        <is>
          <t>CO-001349</t>
        </is>
      </c>
      <c r="B527" t="inlineStr">
        <is>
          <t>PERU MASIVO S.A.</t>
        </is>
      </c>
      <c r="C527" t="inlineStr">
        <is>
          <t>20492392031</t>
        </is>
      </c>
      <c r="D527" t="inlineStr">
        <is>
          <t>AV. LOS INCAS CDRA. 4 PATIO NORTE - COMAS</t>
        </is>
      </c>
      <c r="E527" t="inlineStr">
        <is>
          <t>Lima, 05 de mayo de 2023</t>
        </is>
      </c>
      <c r="F527" t="inlineStr">
        <is>
          <t>la Recarga y mantenimiento</t>
        </is>
      </c>
      <c r="G527" t="n">
        <v>6</v>
      </c>
      <c r="H527" t="inlineStr">
        <is>
          <t>06 KG</t>
        </is>
      </c>
      <c r="I527" t="inlineStr">
        <is>
          <t>2028</t>
        </is>
      </c>
      <c r="J527" t="n">
        <v>2011</v>
      </c>
      <c r="K527" t="inlineStr">
        <is>
          <t>MAYO 2023</t>
        </is>
      </c>
      <c r="L527" t="inlineStr">
        <is>
          <t>MAYO 2024</t>
        </is>
      </c>
      <c r="M527" t="inlineStr">
        <is>
          <t xml:space="preserve">P.Q.S TIPO ABC AL 90% NACIONAL </t>
        </is>
      </c>
      <c r="N527" t="inlineStr">
        <is>
          <t>267/000732</t>
        </is>
      </c>
      <c r="O527" t="inlineStr">
        <is>
          <t>R</t>
        </is>
      </c>
      <c r="P527">
        <f>TRIM(N527)</f>
        <v/>
      </c>
    </row>
    <row r="528">
      <c r="A528" t="inlineStr">
        <is>
          <t>CO-001349</t>
        </is>
      </c>
      <c r="B528" t="inlineStr">
        <is>
          <t>PERU MASIVO S.A.</t>
        </is>
      </c>
      <c r="C528" t="inlineStr">
        <is>
          <t>20492392031</t>
        </is>
      </c>
      <c r="D528" t="inlineStr">
        <is>
          <t>AV. LOS INCAS CDRA. 4 PATIO NORTE - COMAS</t>
        </is>
      </c>
      <c r="E528" t="inlineStr">
        <is>
          <t>Lima, 05 de mayo de 2023</t>
        </is>
      </c>
      <c r="F528" t="inlineStr">
        <is>
          <t>la Recarga y mantenimiento</t>
        </is>
      </c>
      <c r="G528" t="n">
        <v>7</v>
      </c>
      <c r="H528" t="inlineStr">
        <is>
          <t>06 KG</t>
        </is>
      </c>
      <c r="I528" t="inlineStr">
        <is>
          <t>2028</t>
        </is>
      </c>
      <c r="J528" t="n">
        <v>2014</v>
      </c>
      <c r="K528" t="inlineStr">
        <is>
          <t>MAYO 2023</t>
        </is>
      </c>
      <c r="L528" t="inlineStr">
        <is>
          <t>MAYO 2024</t>
        </is>
      </c>
      <c r="M528" t="inlineStr">
        <is>
          <t xml:space="preserve">P.Q.S TIPO ABC AL 90% NACIONAL </t>
        </is>
      </c>
      <c r="N528" t="inlineStr">
        <is>
          <t>S/N /000377</t>
        </is>
      </c>
      <c r="O528" t="inlineStr">
        <is>
          <t>R</t>
        </is>
      </c>
      <c r="P528">
        <f>TRIM(N528)</f>
        <v/>
      </c>
    </row>
    <row r="529">
      <c r="A529" t="inlineStr">
        <is>
          <t>CO-001349</t>
        </is>
      </c>
      <c r="B529" t="inlineStr">
        <is>
          <t>PERU MASIVO S.A.</t>
        </is>
      </c>
      <c r="C529" t="inlineStr">
        <is>
          <t>20492392031</t>
        </is>
      </c>
      <c r="D529" t="inlineStr">
        <is>
          <t>AV. LOS INCAS CDRA. 4 PATIO NORTE - COMAS</t>
        </is>
      </c>
      <c r="E529" t="inlineStr">
        <is>
          <t>Lima, 05 de mayo de 2023</t>
        </is>
      </c>
      <c r="F529" t="inlineStr">
        <is>
          <t>la Recarga y mantenimiento</t>
        </is>
      </c>
      <c r="G529" t="n">
        <v>8</v>
      </c>
      <c r="H529" t="inlineStr">
        <is>
          <t>06 KG</t>
        </is>
      </c>
      <c r="I529" t="inlineStr">
        <is>
          <t>2028</t>
        </is>
      </c>
      <c r="J529" t="n">
        <v>2010</v>
      </c>
      <c r="K529" t="inlineStr">
        <is>
          <t>MAYO 2023</t>
        </is>
      </c>
      <c r="L529" t="inlineStr">
        <is>
          <t>MAYO 2024</t>
        </is>
      </c>
      <c r="M529" t="inlineStr">
        <is>
          <t xml:space="preserve">P.Q.S TIPO ABC AL 90% NACIONAL </t>
        </is>
      </c>
      <c r="N529" t="inlineStr">
        <is>
          <t>308/000301</t>
        </is>
      </c>
      <c r="O529" t="inlineStr">
        <is>
          <t>R</t>
        </is>
      </c>
      <c r="P529">
        <f>TRIM(N529)</f>
        <v/>
      </c>
    </row>
    <row r="530">
      <c r="A530" t="inlineStr">
        <is>
          <t>CO-001349</t>
        </is>
      </c>
      <c r="B530" t="inlineStr">
        <is>
          <t>PERU MASIVO S.A.</t>
        </is>
      </c>
      <c r="C530" t="inlineStr">
        <is>
          <t>20492392031</t>
        </is>
      </c>
      <c r="D530" t="inlineStr">
        <is>
          <t>AV. LOS INCAS CDRA. 4 PATIO NORTE - COMAS</t>
        </is>
      </c>
      <c r="E530" t="inlineStr">
        <is>
          <t>Lima, 05 de mayo de 2023</t>
        </is>
      </c>
      <c r="F530" t="inlineStr">
        <is>
          <t>la Recarga y mantenimiento</t>
        </is>
      </c>
      <c r="G530" t="n">
        <v>9</v>
      </c>
      <c r="H530" t="inlineStr">
        <is>
          <t>06 KG</t>
        </is>
      </c>
      <c r="I530" t="inlineStr">
        <is>
          <t>2028</t>
        </is>
      </c>
      <c r="J530" t="n">
        <v>2009</v>
      </c>
      <c r="K530" t="inlineStr">
        <is>
          <t>MAYO 2023</t>
        </is>
      </c>
      <c r="L530" t="inlineStr">
        <is>
          <t>MAYO 2024</t>
        </is>
      </c>
      <c r="M530" t="inlineStr">
        <is>
          <t xml:space="preserve">P.Q.S TIPO ABC AL 90% NACIONAL </t>
        </is>
      </c>
      <c r="N530" t="inlineStr">
        <is>
          <t>287/000680</t>
        </is>
      </c>
      <c r="O530" t="inlineStr">
        <is>
          <t>R</t>
        </is>
      </c>
      <c r="P530">
        <f>TRIM(N530)</f>
        <v/>
      </c>
    </row>
    <row r="531">
      <c r="A531" t="inlineStr">
        <is>
          <t>CO-001349</t>
        </is>
      </c>
      <c r="B531" t="inlineStr">
        <is>
          <t>PERU MASIVO S.A.</t>
        </is>
      </c>
      <c r="C531" t="inlineStr">
        <is>
          <t>20492392031</t>
        </is>
      </c>
      <c r="D531" t="inlineStr">
        <is>
          <t>AV. LOS INCAS CDRA. 4 PATIO NORTE - COMAS</t>
        </is>
      </c>
      <c r="E531" t="inlineStr">
        <is>
          <t>Lima, 05 de mayo de 2023</t>
        </is>
      </c>
      <c r="F531" t="inlineStr">
        <is>
          <t>la Recarga y mantenimiento</t>
        </is>
      </c>
      <c r="G531" t="n">
        <v>10</v>
      </c>
      <c r="H531" t="inlineStr">
        <is>
          <t>06 KG</t>
        </is>
      </c>
      <c r="I531" t="inlineStr">
        <is>
          <t>2028</t>
        </is>
      </c>
      <c r="J531" t="n">
        <v>2010</v>
      </c>
      <c r="K531" t="inlineStr">
        <is>
          <t>MAYO 2023</t>
        </is>
      </c>
      <c r="L531" t="inlineStr">
        <is>
          <t>MAYO 2024</t>
        </is>
      </c>
      <c r="M531" t="inlineStr">
        <is>
          <t xml:space="preserve">P.Q.S TIPO ABC AL 90% NACIONAL </t>
        </is>
      </c>
      <c r="N531" t="inlineStr">
        <is>
          <t>243/000409</t>
        </is>
      </c>
      <c r="O531" t="inlineStr">
        <is>
          <t>R</t>
        </is>
      </c>
      <c r="P531">
        <f>TRIM(N531)</f>
        <v/>
      </c>
    </row>
    <row r="532">
      <c r="A532" t="inlineStr">
        <is>
          <t>CO-001349</t>
        </is>
      </c>
      <c r="B532" t="inlineStr">
        <is>
          <t>PERU MASIVO S.A.</t>
        </is>
      </c>
      <c r="C532" t="inlineStr">
        <is>
          <t>20492392031</t>
        </is>
      </c>
      <c r="D532" t="inlineStr">
        <is>
          <t>AV. LOS INCAS CDRA. 4 PATIO NORTE - COMAS</t>
        </is>
      </c>
      <c r="E532" t="inlineStr">
        <is>
          <t>Lima, 05 de mayo de 2023</t>
        </is>
      </c>
      <c r="F532" t="inlineStr">
        <is>
          <t>la Recarga y mantenimiento</t>
        </is>
      </c>
      <c r="G532" t="n">
        <v>11</v>
      </c>
      <c r="H532" t="inlineStr">
        <is>
          <t>06 KG</t>
        </is>
      </c>
      <c r="I532" t="inlineStr">
        <is>
          <t>2028</t>
        </is>
      </c>
      <c r="J532" t="n">
        <v>2019</v>
      </c>
      <c r="K532" t="inlineStr">
        <is>
          <t>MAYO 2023</t>
        </is>
      </c>
      <c r="L532" t="inlineStr">
        <is>
          <t>MAYO 2024</t>
        </is>
      </c>
      <c r="M532" t="inlineStr">
        <is>
          <t xml:space="preserve">P.Q.S TIPO ABC AL 90% NACIONAL </t>
        </is>
      </c>
      <c r="N532" t="inlineStr">
        <is>
          <t>S/N /001150</t>
        </is>
      </c>
      <c r="O532" t="inlineStr">
        <is>
          <t>R</t>
        </is>
      </c>
      <c r="P532">
        <f>TRIM(N532)</f>
        <v/>
      </c>
    </row>
    <row r="533">
      <c r="A533" t="inlineStr">
        <is>
          <t>CO-001350</t>
        </is>
      </c>
      <c r="B533" t="inlineStr">
        <is>
          <t>SUSANA MORENO PLASCENCIA</t>
        </is>
      </c>
      <c r="C533" t="inlineStr">
        <is>
          <t>DNI: 18054395</t>
        </is>
      </c>
      <c r="D533" t="inlineStr">
        <is>
          <t>MERCADO LA FRONTERA PSTO. E3</t>
        </is>
      </c>
      <c r="E533" t="inlineStr">
        <is>
          <t>Lima, 05  de Mayo  de 2023</t>
        </is>
      </c>
      <c r="F533" t="inlineStr">
        <is>
          <t>la Recarga y mantenimiento</t>
        </is>
      </c>
      <c r="G533" t="n">
        <v>1</v>
      </c>
      <c r="H533" t="inlineStr">
        <is>
          <t>06 KG</t>
        </is>
      </c>
      <c r="I533" t="inlineStr">
        <is>
          <t>2026</t>
        </is>
      </c>
      <c r="J533" t="n">
        <v>2015</v>
      </c>
      <c r="K533" t="inlineStr">
        <is>
          <t>MAYO 2023</t>
        </is>
      </c>
      <c r="L533" t="inlineStr">
        <is>
          <t>MAYO 2024</t>
        </is>
      </c>
      <c r="M533" t="inlineStr">
        <is>
          <t xml:space="preserve">P.Q.S TIPO ABC </t>
        </is>
      </c>
      <c r="N533" t="inlineStr">
        <is>
          <t>003115</t>
        </is>
      </c>
      <c r="O533" t="inlineStr">
        <is>
          <t>R</t>
        </is>
      </c>
      <c r="P533">
        <f>TRIM(N533)</f>
        <v/>
      </c>
    </row>
    <row r="534">
      <c r="A534" t="inlineStr">
        <is>
          <t>CO-001351</t>
        </is>
      </c>
      <c r="B534" t="inlineStr">
        <is>
          <t>SUSANA MORENO PLASCENCIA</t>
        </is>
      </c>
      <c r="C534" t="inlineStr">
        <is>
          <t>DNI: 18054395</t>
        </is>
      </c>
      <c r="D534" t="inlineStr">
        <is>
          <t>MERCADO LA FRONTERA PSTO. G18</t>
        </is>
      </c>
      <c r="E534" t="inlineStr">
        <is>
          <t>Lima, 05  de Mayo  de 2023</t>
        </is>
      </c>
      <c r="F534" t="inlineStr">
        <is>
          <t>la Recarga y mantenimiento</t>
        </is>
      </c>
      <c r="G534" t="n">
        <v>1</v>
      </c>
      <c r="H534" t="inlineStr">
        <is>
          <t>06 KG</t>
        </is>
      </c>
      <c r="I534" t="inlineStr">
        <is>
          <t>2028</t>
        </is>
      </c>
      <c r="J534" t="n">
        <v>2017</v>
      </c>
      <c r="K534" t="inlineStr">
        <is>
          <t>MAYO 2023</t>
        </is>
      </c>
      <c r="L534" t="inlineStr">
        <is>
          <t>MAYO 2024</t>
        </is>
      </c>
      <c r="M534" t="inlineStr">
        <is>
          <t xml:space="preserve">P.Q.S TIPO ABC </t>
        </is>
      </c>
      <c r="N534" t="inlineStr">
        <is>
          <t>003699</t>
        </is>
      </c>
      <c r="O534" t="inlineStr">
        <is>
          <t>R</t>
        </is>
      </c>
      <c r="P534">
        <f>TRIM(N534)</f>
        <v/>
      </c>
    </row>
    <row r="535">
      <c r="A535" t="inlineStr">
        <is>
          <t>CO-001352</t>
        </is>
      </c>
      <c r="B535" t="inlineStr">
        <is>
          <t>ROBERTO INFANTE</t>
        </is>
      </c>
      <c r="C535" t="inlineStr">
        <is>
          <t>DNI: 10399411</t>
        </is>
      </c>
      <c r="D535" t="inlineStr">
        <is>
          <t>MERCADO LA FRONTERA PSTO. G16</t>
        </is>
      </c>
      <c r="E535" t="inlineStr">
        <is>
          <t>Lima, 05  de Mayo  de 2023</t>
        </is>
      </c>
      <c r="F535" t="inlineStr">
        <is>
          <t>la Recarga y mantenimiento</t>
        </is>
      </c>
      <c r="G535" t="n">
        <v>1</v>
      </c>
      <c r="H535" t="inlineStr">
        <is>
          <t>06 KG</t>
        </is>
      </c>
      <c r="I535" t="inlineStr">
        <is>
          <t>2026</t>
        </is>
      </c>
      <c r="J535" t="n">
        <v>2016</v>
      </c>
      <c r="K535" t="inlineStr">
        <is>
          <t>MAYO 2023</t>
        </is>
      </c>
      <c r="L535" t="inlineStr">
        <is>
          <t>MAYO 2024</t>
        </is>
      </c>
      <c r="M535" t="inlineStr">
        <is>
          <t xml:space="preserve">P.Q.S TIPO ABC </t>
        </is>
      </c>
      <c r="N535" t="inlineStr">
        <is>
          <t>000086</t>
        </is>
      </c>
      <c r="O535" t="inlineStr">
        <is>
          <t>R</t>
        </is>
      </c>
      <c r="P535">
        <f>TRIM(N535)</f>
        <v/>
      </c>
    </row>
    <row r="536">
      <c r="A536" t="inlineStr">
        <is>
          <t>CO-001353</t>
        </is>
      </c>
      <c r="B536" t="inlineStr">
        <is>
          <t>GRACE VASQUEZ SOTO</t>
        </is>
      </c>
      <c r="D536" t="inlineStr">
        <is>
          <t>MERCADO LA FRONTERA PSTO. G14</t>
        </is>
      </c>
      <c r="E536" t="inlineStr">
        <is>
          <t>Lima, 05  de Mayo  de 2023</t>
        </is>
      </c>
      <c r="F536" t="inlineStr">
        <is>
          <t>la Recarga y mantenimiento</t>
        </is>
      </c>
      <c r="G536" t="n">
        <v>1</v>
      </c>
      <c r="H536" t="inlineStr">
        <is>
          <t>06 KG</t>
        </is>
      </c>
      <c r="I536" t="inlineStr">
        <is>
          <t>VIGENTE</t>
        </is>
      </c>
      <c r="J536" t="n">
        <v>2016</v>
      </c>
      <c r="K536" t="inlineStr">
        <is>
          <t>MAYO 2023</t>
        </is>
      </c>
      <c r="L536" t="inlineStr">
        <is>
          <t>MAYO 2024</t>
        </is>
      </c>
      <c r="M536" t="inlineStr">
        <is>
          <t xml:space="preserve">P.Q.S TIPO ABC </t>
        </is>
      </c>
      <c r="N536" t="inlineStr">
        <is>
          <t>001160</t>
        </is>
      </c>
      <c r="O536" t="inlineStr">
        <is>
          <t>R</t>
        </is>
      </c>
      <c r="P536">
        <f>TRIM(N536)</f>
        <v/>
      </c>
    </row>
    <row r="537">
      <c r="A537" t="inlineStr">
        <is>
          <t>CO-001354</t>
        </is>
      </c>
      <c r="B537" t="inlineStr">
        <is>
          <t>PEDRO INFANTE GARCIA</t>
        </is>
      </c>
      <c r="C537" t="inlineStr">
        <is>
          <t>DNI: 09736248</t>
        </is>
      </c>
      <c r="D537" t="inlineStr">
        <is>
          <t>MERCADO LA FRONTERA PSTO. F8</t>
        </is>
      </c>
      <c r="E537" t="inlineStr">
        <is>
          <t>Lima, 05  de Mayo  de 2023</t>
        </is>
      </c>
      <c r="F537" t="inlineStr">
        <is>
          <t>la Recarga y mantenimiento</t>
        </is>
      </c>
      <c r="G537" t="n">
        <v>1</v>
      </c>
      <c r="H537" t="inlineStr">
        <is>
          <t>06 KG</t>
        </is>
      </c>
      <c r="I537" t="inlineStr">
        <is>
          <t>2026</t>
        </is>
      </c>
      <c r="J537" t="n">
        <v>2014</v>
      </c>
      <c r="K537" t="inlineStr">
        <is>
          <t>MAYO 2023</t>
        </is>
      </c>
      <c r="L537" t="inlineStr">
        <is>
          <t>MAYO 2024</t>
        </is>
      </c>
      <c r="M537" t="inlineStr">
        <is>
          <t xml:space="preserve">P.Q.S TIPO ABC </t>
        </is>
      </c>
      <c r="N537" t="inlineStr">
        <is>
          <t>000504</t>
        </is>
      </c>
      <c r="O537" t="inlineStr">
        <is>
          <t>R</t>
        </is>
      </c>
      <c r="P537">
        <f>TRIM(N537)</f>
        <v/>
      </c>
    </row>
    <row r="538">
      <c r="A538" t="inlineStr">
        <is>
          <t>CO-001355</t>
        </is>
      </c>
      <c r="B538" t="inlineStr">
        <is>
          <t>RUTH SEDANO</t>
        </is>
      </c>
      <c r="C538" t="inlineStr">
        <is>
          <t>DNI: 09981728</t>
        </is>
      </c>
      <c r="D538" t="inlineStr">
        <is>
          <t>MERCADO LA FRONTERA PSTO. N13</t>
        </is>
      </c>
      <c r="E538" t="inlineStr">
        <is>
          <t>Lima, 05  de Mayo  de 2023</t>
        </is>
      </c>
      <c r="F538" t="inlineStr">
        <is>
          <t>la Recarga y mantenimiento</t>
        </is>
      </c>
      <c r="G538" t="n">
        <v>1</v>
      </c>
      <c r="H538" t="inlineStr">
        <is>
          <t>02 KG</t>
        </is>
      </c>
      <c r="I538" t="inlineStr">
        <is>
          <t>VIGENTE</t>
        </is>
      </c>
      <c r="J538" t="n">
        <v>2016</v>
      </c>
      <c r="K538" t="inlineStr">
        <is>
          <t>MAYO 2023</t>
        </is>
      </c>
      <c r="L538" t="inlineStr">
        <is>
          <t>MAYO 2024</t>
        </is>
      </c>
      <c r="M538" t="inlineStr">
        <is>
          <t xml:space="preserve">P.Q.S TIPO ABC </t>
        </is>
      </c>
      <c r="N538" t="inlineStr">
        <is>
          <t>010372</t>
        </is>
      </c>
      <c r="O538" t="inlineStr">
        <is>
          <t>R</t>
        </is>
      </c>
      <c r="P538">
        <f>TRIM(N538)</f>
        <v/>
      </c>
    </row>
    <row r="539">
      <c r="A539" t="inlineStr">
        <is>
          <t>CO-001356</t>
        </is>
      </c>
      <c r="B539" t="inlineStr">
        <is>
          <t>ADRIANO VASQUEZ</t>
        </is>
      </c>
      <c r="C539" t="inlineStr">
        <is>
          <t>DNI: 47317598</t>
        </is>
      </c>
      <c r="D539" t="inlineStr">
        <is>
          <t>MERCADO LA FRONTERA PSTO. I3</t>
        </is>
      </c>
      <c r="E539" t="inlineStr">
        <is>
          <t>Lima, 05  de Mayo  de 2023</t>
        </is>
      </c>
      <c r="F539" t="inlineStr">
        <is>
          <t>la Recarga y mantenimiento</t>
        </is>
      </c>
      <c r="G539" t="n">
        <v>1</v>
      </c>
      <c r="H539" t="inlineStr">
        <is>
          <t>06 KG</t>
        </is>
      </c>
      <c r="I539" t="inlineStr">
        <is>
          <t>2026</t>
        </is>
      </c>
      <c r="J539" t="n">
        <v>2021</v>
      </c>
      <c r="K539" t="inlineStr">
        <is>
          <t>MAYO 2023</t>
        </is>
      </c>
      <c r="L539" t="inlineStr">
        <is>
          <t>MAYO 2024</t>
        </is>
      </c>
      <c r="M539" t="inlineStr">
        <is>
          <t xml:space="preserve">P.Q.S TIPO ABC </t>
        </is>
      </c>
      <c r="N539" t="inlineStr">
        <is>
          <t>139914</t>
        </is>
      </c>
      <c r="O539" t="inlineStr">
        <is>
          <t>R</t>
        </is>
      </c>
      <c r="P539">
        <f>TRIM(N539)</f>
        <v/>
      </c>
    </row>
    <row r="540">
      <c r="A540" t="inlineStr">
        <is>
          <t>CO-001357</t>
        </is>
      </c>
      <c r="B540" t="inlineStr">
        <is>
          <t>WILMER ROJAS ESPINOZA</t>
        </is>
      </c>
      <c r="C540" t="inlineStr">
        <is>
          <t>DNI: 10626526</t>
        </is>
      </c>
      <c r="D540" t="inlineStr">
        <is>
          <t>MERCADO LA FRONTERA PSTO. I14</t>
        </is>
      </c>
      <c r="E540" t="inlineStr">
        <is>
          <t>Lima, 05  de Mayo  de 2023</t>
        </is>
      </c>
      <c r="F540" t="inlineStr">
        <is>
          <t>la Recarga y mantenimiento</t>
        </is>
      </c>
      <c r="G540" t="n">
        <v>1</v>
      </c>
      <c r="H540" t="inlineStr">
        <is>
          <t>06 KG</t>
        </is>
      </c>
      <c r="I540" t="inlineStr">
        <is>
          <t>VIGENTE</t>
        </is>
      </c>
      <c r="J540" t="n">
        <v>2010</v>
      </c>
      <c r="K540" t="inlineStr">
        <is>
          <t>MAYO 2023</t>
        </is>
      </c>
      <c r="L540" t="inlineStr">
        <is>
          <t>MAYO 2024</t>
        </is>
      </c>
      <c r="M540" t="inlineStr">
        <is>
          <t xml:space="preserve">P.Q.S TIPO ABC </t>
        </is>
      </c>
      <c r="N540" t="inlineStr">
        <is>
          <t>008010</t>
        </is>
      </c>
      <c r="O540" t="inlineStr">
        <is>
          <t>R</t>
        </is>
      </c>
      <c r="P540">
        <f>TRIM(N540)</f>
        <v/>
      </c>
    </row>
    <row r="541">
      <c r="A541" t="inlineStr">
        <is>
          <t>CO-001358</t>
        </is>
      </c>
      <c r="B541" t="inlineStr">
        <is>
          <t>MARIA TORRES DELGADO</t>
        </is>
      </c>
      <c r="C541" t="inlineStr">
        <is>
          <t>DNI: 27398204</t>
        </is>
      </c>
      <c r="D541" t="inlineStr">
        <is>
          <t>MERCADO LA FRONTERA PSTO. F2</t>
        </is>
      </c>
      <c r="E541" t="inlineStr">
        <is>
          <t>Lima, 05  de Mayo  de 2023</t>
        </is>
      </c>
      <c r="F541" t="inlineStr">
        <is>
          <t>la Recarga y mantenimiento</t>
        </is>
      </c>
      <c r="G541" t="n">
        <v>1</v>
      </c>
      <c r="H541" t="inlineStr">
        <is>
          <t>06 KG</t>
        </is>
      </c>
      <c r="I541" t="inlineStr">
        <is>
          <t>2028</t>
        </is>
      </c>
      <c r="J541" t="n">
        <v>2014</v>
      </c>
      <c r="K541" t="inlineStr">
        <is>
          <t>MAYO 2023</t>
        </is>
      </c>
      <c r="L541" t="inlineStr">
        <is>
          <t>MAYO 2024</t>
        </is>
      </c>
      <c r="M541" t="inlineStr">
        <is>
          <t xml:space="preserve">P.Q.S TIPO ABC </t>
        </is>
      </c>
      <c r="N541" t="inlineStr">
        <is>
          <t>000258</t>
        </is>
      </c>
      <c r="O541" t="inlineStr">
        <is>
          <t>R</t>
        </is>
      </c>
      <c r="P541">
        <f>TRIM(N541)</f>
        <v/>
      </c>
    </row>
    <row r="542">
      <c r="A542" t="inlineStr">
        <is>
          <t>CO-001359</t>
        </is>
      </c>
      <c r="B542" t="inlineStr">
        <is>
          <t>EDELMIRA CORSINO ALBERTO</t>
        </is>
      </c>
      <c r="C542" t="inlineStr">
        <is>
          <t>DNI: 07201055</t>
        </is>
      </c>
      <c r="D542" t="inlineStr">
        <is>
          <t>MERCADO LA FRONTERA PSTO. H8</t>
        </is>
      </c>
      <c r="E542" t="inlineStr">
        <is>
          <t>Lima, 05  de Mayo  de 2023</t>
        </is>
      </c>
      <c r="F542" t="inlineStr">
        <is>
          <t>la Recarga y mantenimiento</t>
        </is>
      </c>
      <c r="G542" t="n">
        <v>1</v>
      </c>
      <c r="H542" t="inlineStr">
        <is>
          <t>06 KG</t>
        </is>
      </c>
      <c r="I542" t="inlineStr">
        <is>
          <t>2028</t>
        </is>
      </c>
      <c r="J542" t="n">
        <v>2017</v>
      </c>
      <c r="K542" t="inlineStr">
        <is>
          <t>MAYO 2023</t>
        </is>
      </c>
      <c r="L542" t="inlineStr">
        <is>
          <t>MAYO 2024</t>
        </is>
      </c>
      <c r="M542" t="inlineStr">
        <is>
          <t xml:space="preserve">P.Q.S TIPO ABC </t>
        </is>
      </c>
      <c r="N542" t="inlineStr">
        <is>
          <t>001598</t>
        </is>
      </c>
      <c r="O542" t="inlineStr">
        <is>
          <t>R</t>
        </is>
      </c>
      <c r="P542">
        <f>TRIM(N542)</f>
        <v/>
      </c>
    </row>
    <row r="543">
      <c r="A543" t="inlineStr">
        <is>
          <t>CO-001360</t>
        </is>
      </c>
      <c r="B543" t="inlineStr">
        <is>
          <t>CELESTINO POMA BASILIO</t>
        </is>
      </c>
      <c r="D543" t="inlineStr">
        <is>
          <t>MERCADO LA FRONTERA PSTO. K5</t>
        </is>
      </c>
      <c r="E543" t="inlineStr">
        <is>
          <t>Lima, 05  de Mayo  de 2023</t>
        </is>
      </c>
      <c r="F543" t="inlineStr">
        <is>
          <t>la Recarga y mantenimiento</t>
        </is>
      </c>
      <c r="G543" t="n">
        <v>1</v>
      </c>
      <c r="H543" t="inlineStr">
        <is>
          <t>06 KG</t>
        </is>
      </c>
      <c r="I543" t="inlineStr">
        <is>
          <t>2028</t>
        </is>
      </c>
      <c r="J543" t="n">
        <v>2016</v>
      </c>
      <c r="K543" t="inlineStr">
        <is>
          <t>MAYO 2023</t>
        </is>
      </c>
      <c r="L543" t="inlineStr">
        <is>
          <t>MAYO 2024</t>
        </is>
      </c>
      <c r="M543" t="inlineStr">
        <is>
          <t xml:space="preserve">P.Q.S TIPO ABC </t>
        </is>
      </c>
      <c r="N543" t="inlineStr">
        <is>
          <t>001384</t>
        </is>
      </c>
      <c r="O543" t="inlineStr">
        <is>
          <t>R</t>
        </is>
      </c>
      <c r="P543">
        <f>TRIM(N543)</f>
        <v/>
      </c>
    </row>
    <row r="544">
      <c r="A544" t="inlineStr">
        <is>
          <t>CO-001361</t>
        </is>
      </c>
      <c r="B544" t="inlineStr">
        <is>
          <t>MARISOL QUIROZ TERRONES</t>
        </is>
      </c>
      <c r="C544" t="inlineStr">
        <is>
          <t>DNI: 16712364</t>
        </is>
      </c>
      <c r="D544" t="inlineStr">
        <is>
          <t>MERCADO LA FRONTERA PSTO. G1</t>
        </is>
      </c>
      <c r="E544" t="inlineStr">
        <is>
          <t>Lima, 05  de Mayo  de 2023</t>
        </is>
      </c>
      <c r="F544" t="inlineStr">
        <is>
          <t>la Recarga y mantenimiento</t>
        </is>
      </c>
      <c r="G544" t="n">
        <v>1</v>
      </c>
      <c r="H544" t="inlineStr">
        <is>
          <t>06 KG</t>
        </is>
      </c>
      <c r="I544" t="inlineStr">
        <is>
          <t>VIGENTE</t>
        </is>
      </c>
      <c r="J544" t="n">
        <v>2005</v>
      </c>
      <c r="K544" t="inlineStr">
        <is>
          <t>MAYO 2023</t>
        </is>
      </c>
      <c r="L544" t="inlineStr">
        <is>
          <t>MAYO 2024</t>
        </is>
      </c>
      <c r="M544" t="inlineStr">
        <is>
          <t xml:space="preserve">P.Q.S TIPO ABC </t>
        </is>
      </c>
      <c r="N544" t="inlineStr">
        <is>
          <t>000048</t>
        </is>
      </c>
      <c r="O544" t="inlineStr">
        <is>
          <t>R</t>
        </is>
      </c>
      <c r="P544">
        <f>TRIM(N544)</f>
        <v/>
      </c>
    </row>
    <row r="545">
      <c r="A545" t="inlineStr">
        <is>
          <t>CO-001362</t>
        </is>
      </c>
      <c r="B545" t="inlineStr">
        <is>
          <t>LUIS ESPINOZA</t>
        </is>
      </c>
      <c r="C545" t="inlineStr">
        <is>
          <t>DNI: 08156694</t>
        </is>
      </c>
      <c r="D545" t="inlineStr">
        <is>
          <t>MERCADO LA FRONTERA PSTO. G3</t>
        </is>
      </c>
      <c r="E545" t="inlineStr">
        <is>
          <t>Lima, 05  de Mayo  de 2023</t>
        </is>
      </c>
      <c r="F545" t="inlineStr">
        <is>
          <t>la Recarga y mantenimiento</t>
        </is>
      </c>
      <c r="G545" t="n">
        <v>1</v>
      </c>
      <c r="H545" t="inlineStr">
        <is>
          <t>06 KG</t>
        </is>
      </c>
      <c r="I545" t="inlineStr">
        <is>
          <t>VIGENTE</t>
        </is>
      </c>
      <c r="J545" t="n">
        <v>2016</v>
      </c>
      <c r="K545" t="inlineStr">
        <is>
          <t>MAYO 2023</t>
        </is>
      </c>
      <c r="L545" t="inlineStr">
        <is>
          <t>MAYO 2024</t>
        </is>
      </c>
      <c r="M545" t="inlineStr">
        <is>
          <t xml:space="preserve">P.Q.S TIPO ABC </t>
        </is>
      </c>
      <c r="N545" t="inlineStr">
        <is>
          <t>001361</t>
        </is>
      </c>
      <c r="O545" t="inlineStr">
        <is>
          <t>R</t>
        </is>
      </c>
      <c r="P545">
        <f>TRIM(N545)</f>
        <v/>
      </c>
    </row>
    <row r="546">
      <c r="A546" t="inlineStr">
        <is>
          <t>CO-001363</t>
        </is>
      </c>
      <c r="B546" t="inlineStr">
        <is>
          <t>ALEX SALVADOR</t>
        </is>
      </c>
      <c r="C546" t="inlineStr">
        <is>
          <t>DNI: 45662393</t>
        </is>
      </c>
      <c r="D546" t="inlineStr">
        <is>
          <t>MERCADO LA FRONTERA PSTO. H2</t>
        </is>
      </c>
      <c r="E546" t="inlineStr">
        <is>
          <t>Lima, 05  de Mayo  de 2023</t>
        </is>
      </c>
      <c r="F546" t="inlineStr">
        <is>
          <t>Venta</t>
        </is>
      </c>
      <c r="G546" t="n">
        <v>1</v>
      </c>
      <c r="H546" t="inlineStr">
        <is>
          <t>06 KG</t>
        </is>
      </c>
      <c r="I546" t="inlineStr">
        <is>
          <t>2028</t>
        </is>
      </c>
      <c r="J546" t="n">
        <v>2023</v>
      </c>
      <c r="K546" t="inlineStr">
        <is>
          <t>MAYO 2023</t>
        </is>
      </c>
      <c r="L546" t="inlineStr">
        <is>
          <t>MAYO 2024</t>
        </is>
      </c>
      <c r="M546" t="inlineStr">
        <is>
          <t xml:space="preserve">P.Q.S TIPO ABC </t>
        </is>
      </c>
      <c r="N546" t="inlineStr">
        <is>
          <t>000106</t>
        </is>
      </c>
      <c r="O546" t="inlineStr">
        <is>
          <t>V</t>
        </is>
      </c>
      <c r="P546">
        <f>TRIM(N546)</f>
        <v/>
      </c>
    </row>
    <row r="547">
      <c r="A547" t="inlineStr">
        <is>
          <t>CO-001364</t>
        </is>
      </c>
      <c r="B547" t="inlineStr">
        <is>
          <t>CARIANGEL ALEXANDRA MOLINA GONZALES</t>
        </is>
      </c>
      <c r="D547" t="inlineStr">
        <is>
          <t>AV. TUPAC AMARU 7817 URB. SAN JUAN BAUTISTA - COMAS</t>
        </is>
      </c>
      <c r="E547" t="inlineStr">
        <is>
          <t>Lima, 08  de Mayo  de 2023</t>
        </is>
      </c>
      <c r="F547" t="inlineStr">
        <is>
          <t>la Recarga y mantenimiento</t>
        </is>
      </c>
      <c r="G547" t="n">
        <v>1</v>
      </c>
      <c r="H547" t="inlineStr">
        <is>
          <t>09 KG</t>
        </is>
      </c>
      <c r="I547" t="inlineStr">
        <is>
          <t>2027</t>
        </is>
      </c>
      <c r="J547" t="n">
        <v>2022</v>
      </c>
      <c r="K547" t="inlineStr">
        <is>
          <t>MAYO 2023</t>
        </is>
      </c>
      <c r="L547" t="inlineStr">
        <is>
          <t>MAYO 2024</t>
        </is>
      </c>
      <c r="M547" t="inlineStr">
        <is>
          <t xml:space="preserve">P.Q.S TIPO ABC </t>
        </is>
      </c>
      <c r="N547" t="inlineStr">
        <is>
          <t>004303</t>
        </is>
      </c>
      <c r="O547" t="inlineStr">
        <is>
          <t>R</t>
        </is>
      </c>
      <c r="P547">
        <f>TRIM(N547)</f>
        <v/>
      </c>
    </row>
    <row r="548">
      <c r="A548" t="inlineStr">
        <is>
          <t>CO-001365</t>
        </is>
      </c>
      <c r="B548" t="inlineStr">
        <is>
          <t>PEDRO LUIS LUIS</t>
        </is>
      </c>
      <c r="D548" t="inlineStr">
        <is>
          <t>PLACA: BBI-749</t>
        </is>
      </c>
      <c r="E548" t="inlineStr">
        <is>
          <t>Lima, 08  de Mayo  de 2023</t>
        </is>
      </c>
      <c r="F548" t="inlineStr">
        <is>
          <t>la Recarga y mantenimiento</t>
        </is>
      </c>
      <c r="G548" t="n">
        <v>1</v>
      </c>
      <c r="H548" t="inlineStr">
        <is>
          <t>06 KG</t>
        </is>
      </c>
      <c r="I548" t="inlineStr">
        <is>
          <t>2025</t>
        </is>
      </c>
      <c r="J548" t="n">
        <v>2020</v>
      </c>
      <c r="K548" t="inlineStr">
        <is>
          <t>MAYO 2023</t>
        </is>
      </c>
      <c r="L548" t="inlineStr">
        <is>
          <t>MAYO 2024</t>
        </is>
      </c>
      <c r="M548" t="inlineStr">
        <is>
          <t xml:space="preserve">P.Q.S TIPO ABC </t>
        </is>
      </c>
      <c r="N548" t="inlineStr">
        <is>
          <t>000306</t>
        </is>
      </c>
      <c r="O548" t="inlineStr">
        <is>
          <t>R</t>
        </is>
      </c>
      <c r="P548">
        <f>TRIM(N548)</f>
        <v/>
      </c>
    </row>
    <row r="549">
      <c r="A549" t="inlineStr">
        <is>
          <t>CO-001366</t>
        </is>
      </c>
      <c r="B549" t="inlineStr">
        <is>
          <t>ENRIQUE MATTA</t>
        </is>
      </c>
      <c r="D549" t="inlineStr">
        <is>
          <t>PLACA:</t>
        </is>
      </c>
      <c r="E549" t="inlineStr">
        <is>
          <t>Lima, 08 de Mayo  de 2023</t>
        </is>
      </c>
      <c r="F549" t="inlineStr">
        <is>
          <t>la Recarga y mantenimiento</t>
        </is>
      </c>
      <c r="G549" t="n">
        <v>1</v>
      </c>
      <c r="H549" t="inlineStr">
        <is>
          <t>02 KG</t>
        </is>
      </c>
      <c r="I549" t="inlineStr">
        <is>
          <t>VIGENTE</t>
        </is>
      </c>
      <c r="J549" t="n">
        <v>2007</v>
      </c>
      <c r="K549" t="inlineStr">
        <is>
          <t>MAYO 2023</t>
        </is>
      </c>
      <c r="L549" t="inlineStr">
        <is>
          <t>MAYO 2024</t>
        </is>
      </c>
      <c r="M549" t="inlineStr">
        <is>
          <t xml:space="preserve">P.Q.S TIPO ABC </t>
        </is>
      </c>
      <c r="N549" t="inlineStr">
        <is>
          <t>S/N</t>
        </is>
      </c>
      <c r="O549" t="inlineStr">
        <is>
          <t>R</t>
        </is>
      </c>
      <c r="P549">
        <f>TRIM(N549)</f>
        <v/>
      </c>
    </row>
    <row r="550">
      <c r="A550" t="inlineStr">
        <is>
          <t>CO-001367</t>
        </is>
      </c>
      <c r="B550" t="inlineStr">
        <is>
          <t>ALBERTO ANCALLA MILLIO</t>
        </is>
      </c>
      <c r="D550" t="inlineStr">
        <is>
          <t>AV. TUPAC AMARU 4893 PUEBLO JOVEN EL PROGRESO - COMAS</t>
        </is>
      </c>
      <c r="E550" t="inlineStr">
        <is>
          <t>Lima, 02 de Agosto 2022</t>
        </is>
      </c>
      <c r="F550" t="inlineStr">
        <is>
          <t>Venta</t>
        </is>
      </c>
      <c r="G550" t="n">
        <v>1</v>
      </c>
      <c r="H550" t="inlineStr">
        <is>
          <t>06 KG</t>
        </is>
      </c>
      <c r="I550" t="inlineStr">
        <is>
          <t>2027</t>
        </is>
      </c>
      <c r="J550" t="n">
        <v>2022</v>
      </c>
      <c r="K550" t="inlineStr">
        <is>
          <t>AGOSTO 2022</t>
        </is>
      </c>
      <c r="L550" t="inlineStr">
        <is>
          <t>AGOSTO 2023</t>
        </is>
      </c>
      <c r="M550" t="inlineStr">
        <is>
          <t xml:space="preserve">P.Q.S TIPO ABC </t>
        </is>
      </c>
      <c r="N550" t="inlineStr">
        <is>
          <t>307134</t>
        </is>
      </c>
      <c r="O550" t="inlineStr">
        <is>
          <t>V</t>
        </is>
      </c>
      <c r="P550">
        <f>TRIM(N550)</f>
        <v/>
      </c>
    </row>
    <row r="551">
      <c r="A551" t="inlineStr">
        <is>
          <t>CO-001368</t>
        </is>
      </c>
      <c r="B551" t="inlineStr">
        <is>
          <t>ADELICIO HUAMAN MEJIA</t>
        </is>
      </c>
      <c r="D551" t="inlineStr">
        <is>
          <t>AV. TUPAC AMARU 7813 URB. SAN JUAN BAUTISTA - COMAS</t>
        </is>
      </c>
      <c r="E551" t="inlineStr">
        <is>
          <t>Lima, 09 de Mayo  de 2023</t>
        </is>
      </c>
      <c r="F551" t="inlineStr">
        <is>
          <t>la Recarga y mantenimiento</t>
        </is>
      </c>
      <c r="G551" t="n">
        <v>1</v>
      </c>
      <c r="H551" t="inlineStr">
        <is>
          <t>06 KG</t>
        </is>
      </c>
      <c r="I551" t="inlineStr">
        <is>
          <t xml:space="preserve">  </t>
        </is>
      </c>
      <c r="J551" t="n">
        <v>2022</v>
      </c>
      <c r="K551" t="inlineStr">
        <is>
          <t>MAYO 2023</t>
        </is>
      </c>
      <c r="L551" t="inlineStr">
        <is>
          <t>MAYO 2024</t>
        </is>
      </c>
      <c r="M551" t="inlineStr">
        <is>
          <t xml:space="preserve">P.Q.S TIPO ABC </t>
        </is>
      </c>
      <c r="N551" t="inlineStr">
        <is>
          <t>304255</t>
        </is>
      </c>
      <c r="O551" t="inlineStr">
        <is>
          <t>R</t>
        </is>
      </c>
      <c r="P551">
        <f>TRIM(N551)</f>
        <v/>
      </c>
    </row>
    <row r="552">
      <c r="A552" t="inlineStr">
        <is>
          <t>CO-001369</t>
        </is>
      </c>
      <c r="B552" t="inlineStr">
        <is>
          <t>GREGORIO SANCHEZ</t>
        </is>
      </c>
      <c r="C552" t="inlineStr">
        <is>
          <t>DNI: 06862509</t>
        </is>
      </c>
      <c r="D552" t="inlineStr">
        <is>
          <t>MERCADO LA FRONTERA PSTO. L6</t>
        </is>
      </c>
      <c r="E552" t="inlineStr">
        <is>
          <t>Lima, 10  de Mayo  de 2023</t>
        </is>
      </c>
      <c r="F552" t="inlineStr">
        <is>
          <t>la Recarga y mantenimiento</t>
        </is>
      </c>
      <c r="G552" t="n">
        <v>1</v>
      </c>
      <c r="H552" t="inlineStr">
        <is>
          <t>06 KG</t>
        </is>
      </c>
      <c r="I552" t="inlineStr">
        <is>
          <t>2024</t>
        </is>
      </c>
      <c r="J552" t="n">
        <v>2010</v>
      </c>
      <c r="K552" t="inlineStr">
        <is>
          <t>MAYO 2023</t>
        </is>
      </c>
      <c r="L552" t="inlineStr">
        <is>
          <t>MAYO 2024</t>
        </is>
      </c>
      <c r="M552" t="inlineStr">
        <is>
          <t xml:space="preserve">P.Q.S TIPO ABC </t>
        </is>
      </c>
      <c r="N552" t="inlineStr">
        <is>
          <t>000169</t>
        </is>
      </c>
      <c r="O552" t="inlineStr">
        <is>
          <t>R</t>
        </is>
      </c>
      <c r="P552">
        <f>TRIM(N552)</f>
        <v/>
      </c>
    </row>
    <row r="553">
      <c r="A553" t="inlineStr">
        <is>
          <t>CO-001370</t>
        </is>
      </c>
      <c r="B553" t="inlineStr">
        <is>
          <t>MAGALY CHUNGA</t>
        </is>
      </c>
      <c r="C553" t="inlineStr">
        <is>
          <t>DNI: 40617480</t>
        </is>
      </c>
      <c r="D553" t="inlineStr">
        <is>
          <t>MERCADO LA FRONTERA PSTO. H1 / H10</t>
        </is>
      </c>
      <c r="E553" t="inlineStr">
        <is>
          <t>Lima, 10  de Mayo  de 2023</t>
        </is>
      </c>
      <c r="F553" t="inlineStr">
        <is>
          <t>la Recarga y mantenimiento</t>
        </is>
      </c>
      <c r="G553" t="n">
        <v>1</v>
      </c>
      <c r="H553" t="inlineStr">
        <is>
          <t>06 KG</t>
        </is>
      </c>
      <c r="I553" t="inlineStr">
        <is>
          <t>2028</t>
        </is>
      </c>
      <c r="J553" t="n">
        <v>2005</v>
      </c>
      <c r="K553" t="inlineStr">
        <is>
          <t>MAYO 2023</t>
        </is>
      </c>
      <c r="L553" t="inlineStr">
        <is>
          <t>MAYO 2024</t>
        </is>
      </c>
      <c r="M553" t="inlineStr">
        <is>
          <t xml:space="preserve">P.Q.S TIPO ABC </t>
        </is>
      </c>
      <c r="N553" t="inlineStr">
        <is>
          <t>006618</t>
        </is>
      </c>
      <c r="O553" t="inlineStr">
        <is>
          <t>R</t>
        </is>
      </c>
      <c r="P553">
        <f>TRIM(N553)</f>
        <v/>
      </c>
    </row>
    <row r="554">
      <c r="A554" t="inlineStr">
        <is>
          <t>CO-001371</t>
        </is>
      </c>
      <c r="B554" t="inlineStr">
        <is>
          <t>AARON CALDERON</t>
        </is>
      </c>
      <c r="C554" t="inlineStr">
        <is>
          <t>DNI: 76875852</t>
        </is>
      </c>
      <c r="D554" t="inlineStr">
        <is>
          <t>MERCADO LA FRONTERA PSTO. D1</t>
        </is>
      </c>
      <c r="E554" t="inlineStr">
        <is>
          <t>Lima, 10  de Mayo  de 2023</t>
        </is>
      </c>
      <c r="F554" t="inlineStr">
        <is>
          <t>la Recarga y mantenimiento</t>
        </is>
      </c>
      <c r="G554" t="n">
        <v>1</v>
      </c>
      <c r="H554" t="inlineStr">
        <is>
          <t>06 KG</t>
        </is>
      </c>
      <c r="I554" t="inlineStr">
        <is>
          <t>2024</t>
        </is>
      </c>
      <c r="J554" t="n">
        <v>2019</v>
      </c>
      <c r="K554" t="inlineStr">
        <is>
          <t>MAYO 2023</t>
        </is>
      </c>
      <c r="L554" t="inlineStr">
        <is>
          <t>MAYO 2024</t>
        </is>
      </c>
      <c r="M554" t="inlineStr">
        <is>
          <t xml:space="preserve">P.Q.S TIPO ABC </t>
        </is>
      </c>
      <c r="N554" t="inlineStr">
        <is>
          <t>001857</t>
        </is>
      </c>
      <c r="O554" t="inlineStr">
        <is>
          <t>R</t>
        </is>
      </c>
      <c r="P554">
        <f>TRIM(N554)</f>
        <v/>
      </c>
    </row>
    <row r="555">
      <c r="A555" t="inlineStr">
        <is>
          <t>CO-001372</t>
        </is>
      </c>
      <c r="B555" t="inlineStr">
        <is>
          <t>PERU MASIVO S.A.</t>
        </is>
      </c>
      <c r="C555" t="inlineStr">
        <is>
          <t>20492392031</t>
        </is>
      </c>
      <c r="D555" t="inlineStr">
        <is>
          <t>AV. LOS INCAS CDRA. 4 PATIO NORTE - COMAS</t>
        </is>
      </c>
      <c r="E555" t="inlineStr">
        <is>
          <t>Lima, 10 de mayo de 2023</t>
        </is>
      </c>
      <c r="F555" t="inlineStr">
        <is>
          <t>la Recarga y mantenimiento</t>
        </is>
      </c>
      <c r="G555" t="inlineStr">
        <is>
          <t>1</t>
        </is>
      </c>
      <c r="H555" t="inlineStr">
        <is>
          <t>06 KG</t>
        </is>
      </c>
      <c r="I555" t="inlineStr">
        <is>
          <t>2028</t>
        </is>
      </c>
      <c r="J555" t="n">
        <v>2010</v>
      </c>
      <c r="K555" t="inlineStr">
        <is>
          <t>MAYO 2023</t>
        </is>
      </c>
      <c r="L555" t="inlineStr">
        <is>
          <t>MAYO 2024</t>
        </is>
      </c>
      <c r="M555" t="inlineStr">
        <is>
          <t xml:space="preserve">P.Q.S TIPO ABC AL 90% NACIONAL </t>
        </is>
      </c>
      <c r="N555" t="inlineStr">
        <is>
          <t>253/000611</t>
        </is>
      </c>
      <c r="O555" t="inlineStr">
        <is>
          <t>R</t>
        </is>
      </c>
      <c r="P555">
        <f>TRIM(N555)</f>
        <v/>
      </c>
    </row>
    <row r="556">
      <c r="A556" t="inlineStr">
        <is>
          <t>CO-001372</t>
        </is>
      </c>
      <c r="B556" t="inlineStr">
        <is>
          <t>PERU MASIVO S.A.</t>
        </is>
      </c>
      <c r="C556" t="inlineStr">
        <is>
          <t>20492392031</t>
        </is>
      </c>
      <c r="D556" t="inlineStr">
        <is>
          <t>AV. LOS INCAS CDRA. 4 PATIO NORTE - COMAS</t>
        </is>
      </c>
      <c r="E556" t="inlineStr">
        <is>
          <t>Lima, 10 de mayo de 2023</t>
        </is>
      </c>
      <c r="F556" t="inlineStr">
        <is>
          <t>la Recarga y mantenimiento</t>
        </is>
      </c>
      <c r="G556" t="n">
        <v>2</v>
      </c>
      <c r="H556" t="inlineStr">
        <is>
          <t>06 KG</t>
        </is>
      </c>
      <c r="I556" t="inlineStr">
        <is>
          <t>2028</t>
        </is>
      </c>
      <c r="J556" t="n">
        <v>2015</v>
      </c>
      <c r="K556" t="inlineStr">
        <is>
          <t>MAYO 2023</t>
        </is>
      </c>
      <c r="L556" t="inlineStr">
        <is>
          <t>MAYO 2024</t>
        </is>
      </c>
      <c r="M556" t="inlineStr">
        <is>
          <t xml:space="preserve">P.Q.S TIPO ABC AL 90% NACIONAL </t>
        </is>
      </c>
      <c r="N556" t="inlineStr">
        <is>
          <t>S/N /000689</t>
        </is>
      </c>
      <c r="O556" t="inlineStr">
        <is>
          <t>R</t>
        </is>
      </c>
      <c r="P556">
        <f>TRIM(N556)</f>
        <v/>
      </c>
    </row>
    <row r="557">
      <c r="A557" t="inlineStr">
        <is>
          <t>CO-001372</t>
        </is>
      </c>
      <c r="B557" t="inlineStr">
        <is>
          <t>PERU MASIVO S.A.</t>
        </is>
      </c>
      <c r="C557" t="inlineStr">
        <is>
          <t>20492392031</t>
        </is>
      </c>
      <c r="D557" t="inlineStr">
        <is>
          <t>AV. LOS INCAS CDRA. 4 PATIO NORTE - COMAS</t>
        </is>
      </c>
      <c r="E557" t="inlineStr">
        <is>
          <t>Lima, 10 de mayo de 2023</t>
        </is>
      </c>
      <c r="F557" t="inlineStr">
        <is>
          <t>la Recarga y mantenimiento</t>
        </is>
      </c>
      <c r="G557" t="n">
        <v>3</v>
      </c>
      <c r="H557" t="inlineStr">
        <is>
          <t>06 KG</t>
        </is>
      </c>
      <c r="I557" t="inlineStr">
        <is>
          <t>2024</t>
        </is>
      </c>
      <c r="J557" t="n">
        <v>2019</v>
      </c>
      <c r="K557" t="inlineStr">
        <is>
          <t>MAYO 2023</t>
        </is>
      </c>
      <c r="L557" t="inlineStr">
        <is>
          <t>MAYO 2024</t>
        </is>
      </c>
      <c r="M557" t="inlineStr">
        <is>
          <t xml:space="preserve">P.Q.S TIPO ABC AL 90% NACIONAL </t>
        </is>
      </c>
      <c r="N557" t="inlineStr">
        <is>
          <t>S/N /000737</t>
        </is>
      </c>
      <c r="O557" t="inlineStr">
        <is>
          <t>R</t>
        </is>
      </c>
      <c r="P557">
        <f>TRIM(N557)</f>
        <v/>
      </c>
    </row>
    <row r="558">
      <c r="A558" t="inlineStr">
        <is>
          <t>CO-001372</t>
        </is>
      </c>
      <c r="B558" t="inlineStr">
        <is>
          <t>PERU MASIVO S.A.</t>
        </is>
      </c>
      <c r="C558" t="inlineStr">
        <is>
          <t>20492392031</t>
        </is>
      </c>
      <c r="D558" t="inlineStr">
        <is>
          <t>AV. LOS INCAS CDRA. 4 PATIO NORTE - COMAS</t>
        </is>
      </c>
      <c r="E558" t="inlineStr">
        <is>
          <t>Lima, 10 de mayo de 2023</t>
        </is>
      </c>
      <c r="F558" t="inlineStr">
        <is>
          <t>la Recarga y mantenimiento</t>
        </is>
      </c>
      <c r="G558" t="n">
        <v>4</v>
      </c>
      <c r="H558" t="inlineStr">
        <is>
          <t>06 KG</t>
        </is>
      </c>
      <c r="I558" t="inlineStr">
        <is>
          <t>2028</t>
        </is>
      </c>
      <c r="J558" t="n">
        <v>2010</v>
      </c>
      <c r="K558" t="inlineStr">
        <is>
          <t>MAYO 2023</t>
        </is>
      </c>
      <c r="L558" t="inlineStr">
        <is>
          <t>MAYO 2024</t>
        </is>
      </c>
      <c r="M558" t="inlineStr">
        <is>
          <t xml:space="preserve">P.Q.S TIPO ABC AL 90% NACIONAL </t>
        </is>
      </c>
      <c r="N558" t="inlineStr">
        <is>
          <t>94/000005</t>
        </is>
      </c>
      <c r="O558" t="inlineStr">
        <is>
          <t>R</t>
        </is>
      </c>
      <c r="P558">
        <f>TRIM(N558)</f>
        <v/>
      </c>
    </row>
    <row r="559">
      <c r="A559" t="inlineStr">
        <is>
          <t>CO-001372</t>
        </is>
      </c>
      <c r="B559" t="inlineStr">
        <is>
          <t>PERU MASIVO S.A.</t>
        </is>
      </c>
      <c r="C559" t="inlineStr">
        <is>
          <t>20492392031</t>
        </is>
      </c>
      <c r="D559" t="inlineStr">
        <is>
          <t>AV. LOS INCAS CDRA. 4 PATIO NORTE - COMAS</t>
        </is>
      </c>
      <c r="E559" t="inlineStr">
        <is>
          <t>Lima, 10 de mayo de 2023</t>
        </is>
      </c>
      <c r="F559" t="inlineStr">
        <is>
          <t>la Recarga y mantenimiento</t>
        </is>
      </c>
      <c r="G559" t="n">
        <v>5</v>
      </c>
      <c r="H559" t="inlineStr">
        <is>
          <t>06 KG</t>
        </is>
      </c>
      <c r="I559" t="inlineStr">
        <is>
          <t>2028</t>
        </is>
      </c>
      <c r="J559" t="n">
        <v>2010</v>
      </c>
      <c r="K559" t="inlineStr">
        <is>
          <t>MAYO 2023</t>
        </is>
      </c>
      <c r="L559" t="inlineStr">
        <is>
          <t>MAYO 2024</t>
        </is>
      </c>
      <c r="M559" t="inlineStr">
        <is>
          <t xml:space="preserve">P.Q.S TIPO ABC AL 90% NACIONAL </t>
        </is>
      </c>
      <c r="N559" t="inlineStr">
        <is>
          <t>286/001921</t>
        </is>
      </c>
      <c r="O559" t="inlineStr">
        <is>
          <t>R</t>
        </is>
      </c>
      <c r="P559">
        <f>TRIM(N559)</f>
        <v/>
      </c>
    </row>
    <row r="560">
      <c r="A560" t="inlineStr">
        <is>
          <t>CO-001372</t>
        </is>
      </c>
      <c r="B560" t="inlineStr">
        <is>
          <t>PERU MASIVO S.A.</t>
        </is>
      </c>
      <c r="C560" t="inlineStr">
        <is>
          <t>20492392031</t>
        </is>
      </c>
      <c r="D560" t="inlineStr">
        <is>
          <t>AV. LOS INCAS CDRA. 4 PATIO NORTE - COMAS</t>
        </is>
      </c>
      <c r="E560" t="inlineStr">
        <is>
          <t>Lima, 10 de mayo de 2023</t>
        </is>
      </c>
      <c r="F560" t="inlineStr">
        <is>
          <t>la Recarga y mantenimiento</t>
        </is>
      </c>
      <c r="G560" t="n">
        <v>6</v>
      </c>
      <c r="H560" t="inlineStr">
        <is>
          <t>06 KG</t>
        </is>
      </c>
      <c r="I560" t="inlineStr">
        <is>
          <t>2028</t>
        </is>
      </c>
      <c r="J560" t="n">
        <v>2009</v>
      </c>
      <c r="K560" t="inlineStr">
        <is>
          <t>MAYO 2023</t>
        </is>
      </c>
      <c r="L560" t="inlineStr">
        <is>
          <t>MAYO 2024</t>
        </is>
      </c>
      <c r="M560" t="inlineStr">
        <is>
          <t xml:space="preserve">P.Q.S TIPO ABC AL 90% NACIONAL </t>
        </is>
      </c>
      <c r="N560" t="inlineStr">
        <is>
          <t>322/001677</t>
        </is>
      </c>
      <c r="O560" t="inlineStr">
        <is>
          <t>R</t>
        </is>
      </c>
      <c r="P560">
        <f>TRIM(N560)</f>
        <v/>
      </c>
    </row>
    <row r="561">
      <c r="A561" t="inlineStr">
        <is>
          <t>CO-001372</t>
        </is>
      </c>
      <c r="B561" t="inlineStr">
        <is>
          <t>PERU MASIVO S.A.</t>
        </is>
      </c>
      <c r="C561" t="inlineStr">
        <is>
          <t>20492392031</t>
        </is>
      </c>
      <c r="D561" t="inlineStr">
        <is>
          <t>AV. LOS INCAS CDRA. 4 PATIO NORTE - COMAS</t>
        </is>
      </c>
      <c r="E561" t="inlineStr">
        <is>
          <t>Lima, 10 de mayo de 2023</t>
        </is>
      </c>
      <c r="F561" t="inlineStr">
        <is>
          <t>la Recarga y mantenimiento</t>
        </is>
      </c>
      <c r="G561" t="n">
        <v>7</v>
      </c>
      <c r="H561" t="inlineStr">
        <is>
          <t>06 KG</t>
        </is>
      </c>
      <c r="I561" t="inlineStr">
        <is>
          <t>2028</t>
        </is>
      </c>
      <c r="J561" t="n">
        <v>2010</v>
      </c>
      <c r="K561" t="inlineStr">
        <is>
          <t>MAYO 2023</t>
        </is>
      </c>
      <c r="L561" t="inlineStr">
        <is>
          <t>MAYO 2024</t>
        </is>
      </c>
      <c r="M561" t="inlineStr">
        <is>
          <t xml:space="preserve">P.Q.S TIPO ABC AL 90% NACIONAL </t>
        </is>
      </c>
      <c r="N561" t="inlineStr">
        <is>
          <t>30/000138</t>
        </is>
      </c>
      <c r="O561" t="inlineStr">
        <is>
          <t>R</t>
        </is>
      </c>
      <c r="P561">
        <f>TRIM(N561)</f>
        <v/>
      </c>
    </row>
    <row r="562">
      <c r="A562" t="inlineStr">
        <is>
          <t>CO-001372</t>
        </is>
      </c>
      <c r="B562" t="inlineStr">
        <is>
          <t>PERU MASIVO S.A.</t>
        </is>
      </c>
      <c r="C562" t="inlineStr">
        <is>
          <t>20492392031</t>
        </is>
      </c>
      <c r="D562" t="inlineStr">
        <is>
          <t>AV. LOS INCAS CDRA. 4 PATIO NORTE - COMAS</t>
        </is>
      </c>
      <c r="E562" t="inlineStr">
        <is>
          <t>Lima, 10 de mayo de 2023</t>
        </is>
      </c>
      <c r="F562" t="inlineStr">
        <is>
          <t>la Recarga y mantenimiento</t>
        </is>
      </c>
      <c r="G562" t="n">
        <v>8</v>
      </c>
      <c r="H562" t="inlineStr">
        <is>
          <t>06 KG</t>
        </is>
      </c>
      <c r="I562" t="inlineStr">
        <is>
          <t>2028</t>
        </is>
      </c>
      <c r="J562" t="n">
        <v>2010</v>
      </c>
      <c r="K562" t="inlineStr">
        <is>
          <t>MAYO 2023</t>
        </is>
      </c>
      <c r="L562" t="inlineStr">
        <is>
          <t>MAYO 2024</t>
        </is>
      </c>
      <c r="M562" t="inlineStr">
        <is>
          <t xml:space="preserve">P.Q.S TIPO ABC AL 90% NACIONAL </t>
        </is>
      </c>
      <c r="N562" t="inlineStr">
        <is>
          <t>15/002423</t>
        </is>
      </c>
      <c r="O562" t="inlineStr">
        <is>
          <t>R</t>
        </is>
      </c>
      <c r="P562">
        <f>TRIM(N562)</f>
        <v/>
      </c>
    </row>
    <row r="563">
      <c r="A563" t="inlineStr">
        <is>
          <t>CO-001373</t>
        </is>
      </c>
      <c r="B563" t="inlineStr">
        <is>
          <t>PERU MASIVO S.A.</t>
        </is>
      </c>
      <c r="C563" t="inlineStr">
        <is>
          <t>20492392031</t>
        </is>
      </c>
      <c r="D563" t="inlineStr">
        <is>
          <t>AV. LOS INCAS CDRA. 4 PATIO NORTE - COMAS</t>
        </is>
      </c>
      <c r="E563" t="inlineStr">
        <is>
          <t>Lima, 10 de mayo de 2023</t>
        </is>
      </c>
      <c r="F563" t="inlineStr">
        <is>
          <t>la Recarga y mantenimiento</t>
        </is>
      </c>
      <c r="G563" t="inlineStr">
        <is>
          <t>1</t>
        </is>
      </c>
      <c r="H563" t="inlineStr">
        <is>
          <t>06 KG</t>
        </is>
      </c>
      <c r="I563" t="inlineStr">
        <is>
          <t>2028</t>
        </is>
      </c>
      <c r="J563" t="n">
        <v>2010</v>
      </c>
      <c r="K563" t="inlineStr">
        <is>
          <t>MAYO 2023</t>
        </is>
      </c>
      <c r="L563" t="inlineStr">
        <is>
          <t>MAYO 2024</t>
        </is>
      </c>
      <c r="M563" t="inlineStr">
        <is>
          <t xml:space="preserve">P.Q.S TIPO ABC AL 90% NACIONAL </t>
        </is>
      </c>
      <c r="N563" t="inlineStr">
        <is>
          <t>350/001026</t>
        </is>
      </c>
      <c r="O563" t="inlineStr">
        <is>
          <t>R</t>
        </is>
      </c>
      <c r="P563">
        <f>TRIM(N563)</f>
        <v/>
      </c>
    </row>
    <row r="564">
      <c r="A564" t="inlineStr">
        <is>
          <t>CO-001373</t>
        </is>
      </c>
      <c r="B564" t="inlineStr">
        <is>
          <t>PERU MASIVO S.A.</t>
        </is>
      </c>
      <c r="C564" t="inlineStr">
        <is>
          <t>20492392031</t>
        </is>
      </c>
      <c r="D564" t="inlineStr">
        <is>
          <t>AV. LOS INCAS CDRA. 4 PATIO NORTE - COMAS</t>
        </is>
      </c>
      <c r="E564" t="inlineStr">
        <is>
          <t>Lima, 10 de mayo de 2023</t>
        </is>
      </c>
      <c r="F564" t="inlineStr">
        <is>
          <t>la Recarga y mantenimiento</t>
        </is>
      </c>
      <c r="G564" t="n">
        <v>2</v>
      </c>
      <c r="H564" t="inlineStr">
        <is>
          <t>06 KG</t>
        </is>
      </c>
      <c r="I564" t="inlineStr">
        <is>
          <t>2028</t>
        </is>
      </c>
      <c r="J564" t="n">
        <v>2009</v>
      </c>
      <c r="K564" t="inlineStr">
        <is>
          <t>MAYO 2023</t>
        </is>
      </c>
      <c r="L564" t="inlineStr">
        <is>
          <t>MAYO 2024</t>
        </is>
      </c>
      <c r="M564" t="inlineStr">
        <is>
          <t xml:space="preserve">P.Q.S TIPO ABC AL 90% NACIONAL </t>
        </is>
      </c>
      <c r="N564" t="inlineStr">
        <is>
          <t>12/001619</t>
        </is>
      </c>
      <c r="O564" t="inlineStr">
        <is>
          <t>R</t>
        </is>
      </c>
      <c r="P564">
        <f>TRIM(N564)</f>
        <v/>
      </c>
    </row>
    <row r="565">
      <c r="A565" t="inlineStr">
        <is>
          <t>CO-001373</t>
        </is>
      </c>
      <c r="B565" t="inlineStr">
        <is>
          <t>PERU MASIVO S.A.</t>
        </is>
      </c>
      <c r="C565" t="inlineStr">
        <is>
          <t>20492392031</t>
        </is>
      </c>
      <c r="D565" t="inlineStr">
        <is>
          <t>AV. LOS INCAS CDRA. 4 PATIO NORTE - COMAS</t>
        </is>
      </c>
      <c r="E565" t="inlineStr">
        <is>
          <t>Lima, 10 de mayo de 2023</t>
        </is>
      </c>
      <c r="F565" t="inlineStr">
        <is>
          <t>la Recarga y mantenimiento</t>
        </is>
      </c>
      <c r="G565" t="n">
        <v>3</v>
      </c>
      <c r="H565" t="inlineStr">
        <is>
          <t>06 KG</t>
        </is>
      </c>
      <c r="I565" t="inlineStr">
        <is>
          <t>2028</t>
        </is>
      </c>
      <c r="J565" t="n">
        <v>2009</v>
      </c>
      <c r="K565" t="inlineStr">
        <is>
          <t>MAYO 2023</t>
        </is>
      </c>
      <c r="L565" t="inlineStr">
        <is>
          <t>MAYO 2024</t>
        </is>
      </c>
      <c r="M565" t="inlineStr">
        <is>
          <t xml:space="preserve">P.Q.S TIPO ABC AL 90% NACIONAL </t>
        </is>
      </c>
      <c r="N565" t="inlineStr">
        <is>
          <t>367/001937</t>
        </is>
      </c>
      <c r="O565" t="inlineStr">
        <is>
          <t>R</t>
        </is>
      </c>
      <c r="P565">
        <f>TRIM(N565)</f>
        <v/>
      </c>
    </row>
    <row r="566">
      <c r="A566" t="inlineStr">
        <is>
          <t>CO-001373</t>
        </is>
      </c>
      <c r="B566" t="inlineStr">
        <is>
          <t>PERU MASIVO S.A.</t>
        </is>
      </c>
      <c r="C566" t="inlineStr">
        <is>
          <t>20492392031</t>
        </is>
      </c>
      <c r="D566" t="inlineStr">
        <is>
          <t>AV. LOS INCAS CDRA. 4 PATIO NORTE - COMAS</t>
        </is>
      </c>
      <c r="E566" t="inlineStr">
        <is>
          <t>Lima, 10 de mayo de 2023</t>
        </is>
      </c>
      <c r="F566" t="inlineStr">
        <is>
          <t>la Recarga y mantenimiento</t>
        </is>
      </c>
      <c r="G566" t="n">
        <v>4</v>
      </c>
      <c r="H566" t="inlineStr">
        <is>
          <t>06 KG</t>
        </is>
      </c>
      <c r="I566" t="inlineStr">
        <is>
          <t>2028</t>
        </is>
      </c>
      <c r="J566" t="n">
        <v>2009</v>
      </c>
      <c r="K566" t="inlineStr">
        <is>
          <t>MAYO 2023</t>
        </is>
      </c>
      <c r="L566" t="inlineStr">
        <is>
          <t>MAYO 2024</t>
        </is>
      </c>
      <c r="M566" t="inlineStr">
        <is>
          <t xml:space="preserve">P.Q.S TIPO ABC AL 90% NACIONAL </t>
        </is>
      </c>
      <c r="N566" t="inlineStr">
        <is>
          <t>275/000693</t>
        </is>
      </c>
      <c r="O566" t="inlineStr">
        <is>
          <t>R</t>
        </is>
      </c>
      <c r="P566">
        <f>TRIM(N566)</f>
        <v/>
      </c>
    </row>
    <row r="567">
      <c r="A567" t="inlineStr">
        <is>
          <t>CO-001373</t>
        </is>
      </c>
      <c r="B567" t="inlineStr">
        <is>
          <t>PERU MASIVO S.A.</t>
        </is>
      </c>
      <c r="C567" t="inlineStr">
        <is>
          <t>20492392031</t>
        </is>
      </c>
      <c r="D567" t="inlineStr">
        <is>
          <t>AV. LOS INCAS CDRA. 4 PATIO NORTE - COMAS</t>
        </is>
      </c>
      <c r="E567" t="inlineStr">
        <is>
          <t>Lima, 10 de mayo de 2023</t>
        </is>
      </c>
      <c r="F567" t="inlineStr">
        <is>
          <t>la Recarga y mantenimiento</t>
        </is>
      </c>
      <c r="G567" t="n">
        <v>5</v>
      </c>
      <c r="H567" t="inlineStr">
        <is>
          <t>06 KG</t>
        </is>
      </c>
      <c r="I567" t="inlineStr">
        <is>
          <t>2026</t>
        </is>
      </c>
      <c r="J567" t="n">
        <v>2021</v>
      </c>
      <c r="K567" t="inlineStr">
        <is>
          <t>MAYO 2023</t>
        </is>
      </c>
      <c r="L567" t="inlineStr">
        <is>
          <t>MAYO 2024</t>
        </is>
      </c>
      <c r="M567" t="inlineStr">
        <is>
          <t xml:space="preserve">P.Q.S TIPO ABC AL 90% NACIONAL </t>
        </is>
      </c>
      <c r="N567" t="inlineStr">
        <is>
          <t>S/N /194056</t>
        </is>
      </c>
      <c r="O567" t="inlineStr">
        <is>
          <t>R</t>
        </is>
      </c>
      <c r="P567">
        <f>TRIM(N567)</f>
        <v/>
      </c>
    </row>
    <row r="568">
      <c r="A568" t="inlineStr">
        <is>
          <t>CO-001374</t>
        </is>
      </c>
      <c r="B568" t="inlineStr">
        <is>
          <t>RUTH ARRANTEA TOLE</t>
        </is>
      </c>
      <c r="C568" t="inlineStr">
        <is>
          <t>DNI: 09550988</t>
        </is>
      </c>
      <c r="D568" t="inlineStr">
        <is>
          <t>MERCADO LA FRONTERA PSTO. C9</t>
        </is>
      </c>
      <c r="E568" t="inlineStr">
        <is>
          <t>Lima, 13  de Mayo  de 2023</t>
        </is>
      </c>
      <c r="F568" t="inlineStr">
        <is>
          <t>la Recarga y mantenimiento</t>
        </is>
      </c>
      <c r="G568" t="n">
        <v>1</v>
      </c>
      <c r="H568" t="inlineStr">
        <is>
          <t>06 KG</t>
        </is>
      </c>
      <c r="I568" t="inlineStr">
        <is>
          <t>2028</t>
        </is>
      </c>
      <c r="J568" t="n">
        <v>2016</v>
      </c>
      <c r="K568" t="inlineStr">
        <is>
          <t>MAYO 2023</t>
        </is>
      </c>
      <c r="L568" t="inlineStr">
        <is>
          <t>MAYO 2024</t>
        </is>
      </c>
      <c r="M568" t="inlineStr">
        <is>
          <t xml:space="preserve">P.Q.S TIPO ABC </t>
        </is>
      </c>
      <c r="N568" t="inlineStr">
        <is>
          <t>007379</t>
        </is>
      </c>
      <c r="O568" t="inlineStr">
        <is>
          <t>R</t>
        </is>
      </c>
      <c r="P568">
        <f>TRIM(N568)</f>
        <v/>
      </c>
    </row>
    <row r="569">
      <c r="A569" t="inlineStr">
        <is>
          <t>CO-001375</t>
        </is>
      </c>
      <c r="B569" t="inlineStr">
        <is>
          <t>MIRELLA REYNOSO</t>
        </is>
      </c>
      <c r="D569" t="inlineStr">
        <is>
          <t>GALERIA 5TA AVENIDA TIENDA 01</t>
        </is>
      </c>
      <c r="E569" t="inlineStr">
        <is>
          <t>Lima, 13  de Mayo  de 2023</t>
        </is>
      </c>
      <c r="F569" t="inlineStr">
        <is>
          <t>la Recarga y mantenimiento</t>
        </is>
      </c>
      <c r="G569" t="n">
        <v>1</v>
      </c>
      <c r="H569" t="inlineStr">
        <is>
          <t>06 KG</t>
        </is>
      </c>
      <c r="I569" t="inlineStr">
        <is>
          <t>2028</t>
        </is>
      </c>
      <c r="J569" t="n">
        <v>2013</v>
      </c>
      <c r="K569" t="inlineStr">
        <is>
          <t>MAYO 2023</t>
        </is>
      </c>
      <c r="L569" t="inlineStr">
        <is>
          <t>MAYO 2024</t>
        </is>
      </c>
      <c r="M569" t="inlineStr">
        <is>
          <t xml:space="preserve">P.Q.S TIPO ABC </t>
        </is>
      </c>
      <c r="N569" t="inlineStr">
        <is>
          <t>001469</t>
        </is>
      </c>
      <c r="O569" t="inlineStr">
        <is>
          <t>R</t>
        </is>
      </c>
      <c r="P569">
        <f>TRIM(N569)</f>
        <v/>
      </c>
    </row>
    <row r="570">
      <c r="A570" t="inlineStr">
        <is>
          <t>CO-001376</t>
        </is>
      </c>
      <c r="B570" t="inlineStr">
        <is>
          <t>PERU MASIVO S.A.</t>
        </is>
      </c>
      <c r="C570" t="inlineStr">
        <is>
          <t>20492392031</t>
        </is>
      </c>
      <c r="D570" t="inlineStr">
        <is>
          <t>AV. LOS INCAS CDRA. 4 PATIO NORTE - COMAS</t>
        </is>
      </c>
      <c r="E570" t="inlineStr">
        <is>
          <t>Lima, 15 de mayo de 2023</t>
        </is>
      </c>
      <c r="F570" t="inlineStr">
        <is>
          <t>la Recarga y mantenimiento</t>
        </is>
      </c>
      <c r="G570" t="inlineStr">
        <is>
          <t>1</t>
        </is>
      </c>
      <c r="H570" t="inlineStr">
        <is>
          <t>06 KG</t>
        </is>
      </c>
      <c r="I570" t="inlineStr">
        <is>
          <t>2028</t>
        </is>
      </c>
      <c r="J570" t="n">
        <v>2009</v>
      </c>
      <c r="K570" t="inlineStr">
        <is>
          <t>MAYO 2023</t>
        </is>
      </c>
      <c r="L570" t="inlineStr">
        <is>
          <t>MAYO 2024</t>
        </is>
      </c>
      <c r="M570" t="inlineStr">
        <is>
          <t xml:space="preserve">P.Q.S TIPO ABC AL 90% NACIONAL </t>
        </is>
      </c>
      <c r="N570" t="inlineStr">
        <is>
          <t>344/002162</t>
        </is>
      </c>
      <c r="O570" t="inlineStr">
        <is>
          <t>R</t>
        </is>
      </c>
      <c r="P570">
        <f>TRIM(N570)</f>
        <v/>
      </c>
    </row>
    <row r="571">
      <c r="A571" t="inlineStr">
        <is>
          <t>CO-001376</t>
        </is>
      </c>
      <c r="B571" t="inlineStr">
        <is>
          <t>PERU MASIVO S.A.</t>
        </is>
      </c>
      <c r="C571" t="inlineStr">
        <is>
          <t>20492392031</t>
        </is>
      </c>
      <c r="D571" t="inlineStr">
        <is>
          <t>AV. LOS INCAS CDRA. 4 PATIO NORTE - COMAS</t>
        </is>
      </c>
      <c r="E571" t="inlineStr">
        <is>
          <t>Lima, 15 de mayo de 2023</t>
        </is>
      </c>
      <c r="F571" t="inlineStr">
        <is>
          <t>la Recarga y mantenimiento</t>
        </is>
      </c>
      <c r="G571" t="n">
        <v>2</v>
      </c>
      <c r="H571" t="inlineStr">
        <is>
          <t>06 KG</t>
        </is>
      </c>
      <c r="I571" t="inlineStr">
        <is>
          <t>2028</t>
        </is>
      </c>
      <c r="J571" t="n">
        <v>2013</v>
      </c>
      <c r="K571" t="inlineStr">
        <is>
          <t>MAYO 2023</t>
        </is>
      </c>
      <c r="L571" t="inlineStr">
        <is>
          <t>MAYO 2024</t>
        </is>
      </c>
      <c r="M571" t="inlineStr">
        <is>
          <t xml:space="preserve">P.Q.S TIPO ABC AL 90% NACIONAL </t>
        </is>
      </c>
      <c r="N571" t="inlineStr">
        <is>
          <t>132/001015</t>
        </is>
      </c>
      <c r="O571" t="inlineStr">
        <is>
          <t>R</t>
        </is>
      </c>
      <c r="P571">
        <f>TRIM(N571)</f>
        <v/>
      </c>
    </row>
    <row r="572">
      <c r="A572" t="inlineStr">
        <is>
          <t>CO-001376</t>
        </is>
      </c>
      <c r="B572" t="inlineStr">
        <is>
          <t>PERU MASIVO S.A.</t>
        </is>
      </c>
      <c r="C572" t="inlineStr">
        <is>
          <t>20492392031</t>
        </is>
      </c>
      <c r="D572" t="inlineStr">
        <is>
          <t>AV. LOS INCAS CDRA. 4 PATIO NORTE - COMAS</t>
        </is>
      </c>
      <c r="E572" t="inlineStr">
        <is>
          <t>Lima, 15 de mayo de 2023</t>
        </is>
      </c>
      <c r="F572" t="inlineStr">
        <is>
          <t>la Recarga y mantenimiento</t>
        </is>
      </c>
      <c r="G572" t="n">
        <v>3</v>
      </c>
      <c r="H572" t="inlineStr">
        <is>
          <t>06 KG</t>
        </is>
      </c>
      <c r="I572" t="inlineStr">
        <is>
          <t>2028</t>
        </is>
      </c>
      <c r="J572" t="n">
        <v>2010</v>
      </c>
      <c r="K572" t="inlineStr">
        <is>
          <t>MAYO 2023</t>
        </is>
      </c>
      <c r="L572" t="inlineStr">
        <is>
          <t>MAYO 2024</t>
        </is>
      </c>
      <c r="M572" t="inlineStr">
        <is>
          <t xml:space="preserve">P.Q.S TIPO ABC AL 90% NACIONAL </t>
        </is>
      </c>
      <c r="N572" t="inlineStr">
        <is>
          <t>319/000923</t>
        </is>
      </c>
      <c r="O572" t="inlineStr">
        <is>
          <t>R</t>
        </is>
      </c>
      <c r="P572">
        <f>TRIM(N572)</f>
        <v/>
      </c>
    </row>
    <row r="573">
      <c r="A573" t="inlineStr">
        <is>
          <t>CO-001376</t>
        </is>
      </c>
      <c r="B573" t="inlineStr">
        <is>
          <t>PERU MASIVO S.A.</t>
        </is>
      </c>
      <c r="C573" t="inlineStr">
        <is>
          <t>20492392031</t>
        </is>
      </c>
      <c r="D573" t="inlineStr">
        <is>
          <t>AV. LOS INCAS CDRA. 4 PATIO NORTE - COMAS</t>
        </is>
      </c>
      <c r="E573" t="inlineStr">
        <is>
          <t>Lima, 15 de mayo de 2023</t>
        </is>
      </c>
      <c r="F573" t="inlineStr">
        <is>
          <t>la Recarga y mantenimiento</t>
        </is>
      </c>
      <c r="G573" t="n">
        <v>4</v>
      </c>
      <c r="H573" t="inlineStr">
        <is>
          <t>06 KG</t>
        </is>
      </c>
      <c r="I573" t="inlineStr">
        <is>
          <t>2028</t>
        </is>
      </c>
      <c r="J573" t="n">
        <v>2015</v>
      </c>
      <c r="K573" t="inlineStr">
        <is>
          <t>MAYO 2023</t>
        </is>
      </c>
      <c r="L573" t="inlineStr">
        <is>
          <t>MAYO 2024</t>
        </is>
      </c>
      <c r="M573" t="inlineStr">
        <is>
          <t xml:space="preserve">P.Q.S TIPO ABC AL 90% NACIONAL </t>
        </is>
      </c>
      <c r="N573" t="inlineStr">
        <is>
          <t>S/N /000915</t>
        </is>
      </c>
      <c r="O573" t="inlineStr">
        <is>
          <t>R</t>
        </is>
      </c>
      <c r="P573">
        <f>TRIM(N573)</f>
        <v/>
      </c>
    </row>
    <row r="574">
      <c r="A574" t="inlineStr">
        <is>
          <t>CO-001376</t>
        </is>
      </c>
      <c r="B574" t="inlineStr">
        <is>
          <t>PERU MASIVO S.A.</t>
        </is>
      </c>
      <c r="C574" t="inlineStr">
        <is>
          <t>20492392031</t>
        </is>
      </c>
      <c r="D574" t="inlineStr">
        <is>
          <t>AV. LOS INCAS CDRA. 4 PATIO NORTE - COMAS</t>
        </is>
      </c>
      <c r="E574" t="inlineStr">
        <is>
          <t>Lima, 15 de mayo de 2023</t>
        </is>
      </c>
      <c r="F574" t="inlineStr">
        <is>
          <t>la Recarga y mantenimiento</t>
        </is>
      </c>
      <c r="G574" t="n">
        <v>5</v>
      </c>
      <c r="H574" t="inlineStr">
        <is>
          <t>06 KG</t>
        </is>
      </c>
      <c r="I574" t="inlineStr">
        <is>
          <t>2028</t>
        </is>
      </c>
      <c r="J574" t="n">
        <v>2010</v>
      </c>
      <c r="K574" t="inlineStr">
        <is>
          <t>MAYO 2023</t>
        </is>
      </c>
      <c r="L574" t="inlineStr">
        <is>
          <t>MAYO 2024</t>
        </is>
      </c>
      <c r="M574" t="inlineStr">
        <is>
          <t xml:space="preserve">P.Q.S TIPO ABC AL 90% NACIONAL </t>
        </is>
      </c>
      <c r="N574" t="inlineStr">
        <is>
          <t>343/000597</t>
        </is>
      </c>
      <c r="O574" t="inlineStr">
        <is>
          <t>R</t>
        </is>
      </c>
      <c r="P574">
        <f>TRIM(N574)</f>
        <v/>
      </c>
    </row>
    <row r="575">
      <c r="A575" t="inlineStr">
        <is>
          <t>CO-001376</t>
        </is>
      </c>
      <c r="B575" t="inlineStr">
        <is>
          <t>PERU MASIVO S.A.</t>
        </is>
      </c>
      <c r="C575" t="inlineStr">
        <is>
          <t>20492392031</t>
        </is>
      </c>
      <c r="D575" t="inlineStr">
        <is>
          <t>AV. LOS INCAS CDRA. 4 PATIO NORTE - COMAS</t>
        </is>
      </c>
      <c r="E575" t="inlineStr">
        <is>
          <t>Lima, 15 de mayo de 2023</t>
        </is>
      </c>
      <c r="F575" t="inlineStr">
        <is>
          <t>la Recarga y mantenimiento</t>
        </is>
      </c>
      <c r="G575" t="n">
        <v>6</v>
      </c>
      <c r="H575" t="inlineStr">
        <is>
          <t>06 KG</t>
        </is>
      </c>
      <c r="I575" t="inlineStr">
        <is>
          <t>2028</t>
        </is>
      </c>
      <c r="J575" t="n">
        <v>2009</v>
      </c>
      <c r="K575" t="inlineStr">
        <is>
          <t>MAYO 2023</t>
        </is>
      </c>
      <c r="L575" t="inlineStr">
        <is>
          <t>MAYO 2024</t>
        </is>
      </c>
      <c r="M575" t="inlineStr">
        <is>
          <t xml:space="preserve">P.Q.S TIPO ABC AL 90% NACIONAL </t>
        </is>
      </c>
      <c r="N575" t="inlineStr">
        <is>
          <t>S/N /001584</t>
        </is>
      </c>
      <c r="O575" t="inlineStr">
        <is>
          <t>R</t>
        </is>
      </c>
      <c r="P575">
        <f>TRIM(N575)</f>
        <v/>
      </c>
    </row>
    <row r="576">
      <c r="A576" t="inlineStr">
        <is>
          <t>CO-001376</t>
        </is>
      </c>
      <c r="B576" t="inlineStr">
        <is>
          <t>PERU MASIVO S.A.</t>
        </is>
      </c>
      <c r="C576" t="inlineStr">
        <is>
          <t>20492392031</t>
        </is>
      </c>
      <c r="D576" t="inlineStr">
        <is>
          <t>AV. LOS INCAS CDRA. 4 PATIO NORTE - COMAS</t>
        </is>
      </c>
      <c r="E576" t="inlineStr">
        <is>
          <t>Lima, 15 de mayo de 2023</t>
        </is>
      </c>
      <c r="F576" t="inlineStr">
        <is>
          <t>la Recarga y mantenimiento</t>
        </is>
      </c>
      <c r="G576" t="n">
        <v>7</v>
      </c>
      <c r="H576" t="inlineStr">
        <is>
          <t>06 KG</t>
        </is>
      </c>
      <c r="I576" t="inlineStr">
        <is>
          <t>2028</t>
        </is>
      </c>
      <c r="J576" t="n">
        <v>2015</v>
      </c>
      <c r="K576" t="inlineStr">
        <is>
          <t>MAYO 2023</t>
        </is>
      </c>
      <c r="L576" t="inlineStr">
        <is>
          <t>MAYO 2024</t>
        </is>
      </c>
      <c r="M576" t="inlineStr">
        <is>
          <t xml:space="preserve">P.Q.S TIPO ABC AL 90% NACIONAL </t>
        </is>
      </c>
      <c r="N576" t="inlineStr">
        <is>
          <t>285/000853</t>
        </is>
      </c>
      <c r="O576" t="inlineStr">
        <is>
          <t>R</t>
        </is>
      </c>
      <c r="P576">
        <f>TRIM(N576)</f>
        <v/>
      </c>
    </row>
    <row r="577">
      <c r="A577" t="inlineStr">
        <is>
          <t>CO-001376</t>
        </is>
      </c>
      <c r="B577" t="inlineStr">
        <is>
          <t>PERU MASIVO S.A.</t>
        </is>
      </c>
      <c r="C577" t="inlineStr">
        <is>
          <t>20492392031</t>
        </is>
      </c>
      <c r="D577" t="inlineStr">
        <is>
          <t>AV. LOS INCAS CDRA. 4 PATIO NORTE - COMAS</t>
        </is>
      </c>
      <c r="E577" t="inlineStr">
        <is>
          <t>Lima, 15 de mayo de 2023</t>
        </is>
      </c>
      <c r="F577" t="inlineStr">
        <is>
          <t>la Recarga y mantenimiento</t>
        </is>
      </c>
      <c r="G577" t="n">
        <v>8</v>
      </c>
      <c r="H577" t="inlineStr">
        <is>
          <t>06 KG</t>
        </is>
      </c>
      <c r="I577" t="inlineStr">
        <is>
          <t>2028</t>
        </is>
      </c>
      <c r="J577" t="n">
        <v>2010</v>
      </c>
      <c r="K577" t="inlineStr">
        <is>
          <t>MAYO 2023</t>
        </is>
      </c>
      <c r="L577" t="inlineStr">
        <is>
          <t>MAYO 2024</t>
        </is>
      </c>
      <c r="M577" t="inlineStr">
        <is>
          <t xml:space="preserve">P.Q.S TIPO ABC AL 90% NACIONAL </t>
        </is>
      </c>
      <c r="N577" t="inlineStr">
        <is>
          <t>S/N / 000802</t>
        </is>
      </c>
      <c r="O577" t="inlineStr">
        <is>
          <t>R</t>
        </is>
      </c>
      <c r="P577">
        <f>TRIM(N577)</f>
        <v/>
      </c>
    </row>
    <row r="578">
      <c r="A578" t="inlineStr">
        <is>
          <t>CO-001377</t>
        </is>
      </c>
      <c r="B578" t="inlineStr">
        <is>
          <t>PERU MASIVO S.A.</t>
        </is>
      </c>
      <c r="C578" t="inlineStr">
        <is>
          <t>20492392031</t>
        </is>
      </c>
      <c r="D578" t="inlineStr">
        <is>
          <t>AV. LOS INCAS CDRA. 4 PATIO NORTE - COMAS</t>
        </is>
      </c>
      <c r="E578" t="inlineStr">
        <is>
          <t>Lima, 15 de mayo de 2023</t>
        </is>
      </c>
      <c r="F578" t="inlineStr">
        <is>
          <t>la Recarga y mantenimiento</t>
        </is>
      </c>
      <c r="G578" t="inlineStr">
        <is>
          <t>1</t>
        </is>
      </c>
      <c r="H578" t="inlineStr">
        <is>
          <t>06 KG</t>
        </is>
      </c>
      <c r="I578" t="inlineStr">
        <is>
          <t>2028</t>
        </is>
      </c>
      <c r="J578" t="n">
        <v>2011</v>
      </c>
      <c r="K578" t="inlineStr">
        <is>
          <t>MAYO 2023</t>
        </is>
      </c>
      <c r="L578" t="inlineStr">
        <is>
          <t>MAYO 2024</t>
        </is>
      </c>
      <c r="M578" t="inlineStr">
        <is>
          <t xml:space="preserve">P.Q.S TIPO ABC AL 90% NACIONAL </t>
        </is>
      </c>
      <c r="N578" t="inlineStr">
        <is>
          <t>S/N 001782</t>
        </is>
      </c>
      <c r="O578" t="inlineStr">
        <is>
          <t>R</t>
        </is>
      </c>
      <c r="P578">
        <f>TRIM(N578)</f>
        <v/>
      </c>
    </row>
    <row r="579">
      <c r="A579" t="inlineStr">
        <is>
          <t>CO-001377</t>
        </is>
      </c>
      <c r="B579" t="inlineStr">
        <is>
          <t>PERU MASIVO S.A.</t>
        </is>
      </c>
      <c r="C579" t="inlineStr">
        <is>
          <t>20492392031</t>
        </is>
      </c>
      <c r="D579" t="inlineStr">
        <is>
          <t>AV. LOS INCAS CDRA. 4 PATIO NORTE - COMAS</t>
        </is>
      </c>
      <c r="E579" t="inlineStr">
        <is>
          <t>Lima, 15 de mayo de 2023</t>
        </is>
      </c>
      <c r="F579" t="inlineStr">
        <is>
          <t>la Recarga y mantenimiento</t>
        </is>
      </c>
      <c r="G579" t="n">
        <v>2</v>
      </c>
      <c r="H579" t="inlineStr">
        <is>
          <t>06 KG</t>
        </is>
      </c>
      <c r="I579" t="inlineStr">
        <is>
          <t>2028</t>
        </is>
      </c>
      <c r="J579" t="n">
        <v>2015</v>
      </c>
      <c r="K579" t="inlineStr">
        <is>
          <t>MAYO 2023</t>
        </is>
      </c>
      <c r="L579" t="inlineStr">
        <is>
          <t>MAYO 2024</t>
        </is>
      </c>
      <c r="M579" t="inlineStr">
        <is>
          <t xml:space="preserve">P.Q.S TIPO ABC AL 90% NACIONAL </t>
        </is>
      </c>
      <c r="N579" t="inlineStr">
        <is>
          <t>S/N /001999</t>
        </is>
      </c>
      <c r="O579" t="inlineStr">
        <is>
          <t>R</t>
        </is>
      </c>
      <c r="P579">
        <f>TRIM(N579)</f>
        <v/>
      </c>
    </row>
    <row r="580">
      <c r="A580" t="inlineStr">
        <is>
          <t>CO-001377</t>
        </is>
      </c>
      <c r="B580" t="inlineStr">
        <is>
          <t>PERU MASIVO S.A.</t>
        </is>
      </c>
      <c r="C580" t="inlineStr">
        <is>
          <t>20492392031</t>
        </is>
      </c>
      <c r="D580" t="inlineStr">
        <is>
          <t>AV. LOS INCAS CDRA. 4 PATIO NORTE - COMAS</t>
        </is>
      </c>
      <c r="E580" t="inlineStr">
        <is>
          <t>Lima, 15 de mayo de 2023</t>
        </is>
      </c>
      <c r="F580" t="inlineStr">
        <is>
          <t>la Recarga y mantenimiento</t>
        </is>
      </c>
      <c r="G580" t="n">
        <v>3</v>
      </c>
      <c r="H580" t="inlineStr">
        <is>
          <t>06 KG</t>
        </is>
      </c>
      <c r="I580" t="inlineStr">
        <is>
          <t>2028</t>
        </is>
      </c>
      <c r="J580" t="n">
        <v>2015</v>
      </c>
      <c r="K580" t="inlineStr">
        <is>
          <t>MAYO 2023</t>
        </is>
      </c>
      <c r="L580" t="inlineStr">
        <is>
          <t>MAYO 2024</t>
        </is>
      </c>
      <c r="M580" t="inlineStr">
        <is>
          <t xml:space="preserve">P.Q.S TIPO ABC AL 90% NACIONAL </t>
        </is>
      </c>
      <c r="N580" t="inlineStr">
        <is>
          <t>230/001201</t>
        </is>
      </c>
      <c r="O580" t="inlineStr">
        <is>
          <t>R</t>
        </is>
      </c>
      <c r="P580">
        <f>TRIM(N580)</f>
        <v/>
      </c>
    </row>
    <row r="581">
      <c r="A581" t="inlineStr">
        <is>
          <t>CO-001377</t>
        </is>
      </c>
      <c r="B581" t="inlineStr">
        <is>
          <t>PERU MASIVO S.A.</t>
        </is>
      </c>
      <c r="C581" t="inlineStr">
        <is>
          <t>20492392031</t>
        </is>
      </c>
      <c r="D581" t="inlineStr">
        <is>
          <t>AV. LOS INCAS CDRA. 4 PATIO NORTE - COMAS</t>
        </is>
      </c>
      <c r="E581" t="inlineStr">
        <is>
          <t>Lima, 15 de mayo de 2023</t>
        </is>
      </c>
      <c r="F581" t="inlineStr">
        <is>
          <t>la Recarga y mantenimiento</t>
        </is>
      </c>
      <c r="G581" t="n">
        <v>4</v>
      </c>
      <c r="H581" t="inlineStr">
        <is>
          <t>06 KG</t>
        </is>
      </c>
      <c r="I581" t="inlineStr">
        <is>
          <t>2028</t>
        </is>
      </c>
      <c r="J581" t="n">
        <v>2010</v>
      </c>
      <c r="K581" t="inlineStr">
        <is>
          <t>MAYO 2023</t>
        </is>
      </c>
      <c r="L581" t="inlineStr">
        <is>
          <t>MAYO 2024</t>
        </is>
      </c>
      <c r="M581" t="inlineStr">
        <is>
          <t xml:space="preserve">P.Q.S TIPO ABC AL 90% NACIONAL </t>
        </is>
      </c>
      <c r="N581" t="inlineStr">
        <is>
          <t>138/000534</t>
        </is>
      </c>
      <c r="O581" t="inlineStr">
        <is>
          <t>R</t>
        </is>
      </c>
      <c r="P581">
        <f>TRIM(N581)</f>
        <v/>
      </c>
    </row>
    <row r="582">
      <c r="A582" t="inlineStr">
        <is>
          <t>CO-001377</t>
        </is>
      </c>
      <c r="B582" t="inlineStr">
        <is>
          <t>PERU MASIVO S.A.</t>
        </is>
      </c>
      <c r="C582" t="inlineStr">
        <is>
          <t>20492392031</t>
        </is>
      </c>
      <c r="D582" t="inlineStr">
        <is>
          <t>AV. LOS INCAS CDRA. 4 PATIO NORTE - COMAS</t>
        </is>
      </c>
      <c r="E582" t="inlineStr">
        <is>
          <t>Lima, 15 de mayo de 2023</t>
        </is>
      </c>
      <c r="F582" t="inlineStr">
        <is>
          <t>la Recarga y mantenimiento</t>
        </is>
      </c>
      <c r="G582" t="n">
        <v>5</v>
      </c>
      <c r="H582" t="inlineStr">
        <is>
          <t>06 KG</t>
        </is>
      </c>
      <c r="I582" t="inlineStr">
        <is>
          <t>2028</t>
        </is>
      </c>
      <c r="J582" t="n">
        <v>2010</v>
      </c>
      <c r="K582" t="inlineStr">
        <is>
          <t>MAYO 2023</t>
        </is>
      </c>
      <c r="L582" t="inlineStr">
        <is>
          <t>MAYO 2024</t>
        </is>
      </c>
      <c r="M582" t="inlineStr">
        <is>
          <t xml:space="preserve">P.Q.S TIPO ABC AL 90% NACIONAL </t>
        </is>
      </c>
      <c r="N582" t="inlineStr">
        <is>
          <t>S/N /000257</t>
        </is>
      </c>
      <c r="O582" t="inlineStr">
        <is>
          <t>R</t>
        </is>
      </c>
      <c r="P582">
        <f>TRIM(N582)</f>
        <v/>
      </c>
    </row>
    <row r="583">
      <c r="A583" t="inlineStr">
        <is>
          <t>CO-001377</t>
        </is>
      </c>
      <c r="B583" t="inlineStr">
        <is>
          <t>PERU MASIVO S.A.</t>
        </is>
      </c>
      <c r="C583" t="inlineStr">
        <is>
          <t>20492392031</t>
        </is>
      </c>
      <c r="D583" t="inlineStr">
        <is>
          <t>AV. LOS INCAS CDRA. 4 PATIO NORTE - COMAS</t>
        </is>
      </c>
      <c r="E583" t="inlineStr">
        <is>
          <t>Lima, 15 de mayo de 2023</t>
        </is>
      </c>
      <c r="F583" t="inlineStr">
        <is>
          <t>la Recarga y mantenimiento</t>
        </is>
      </c>
      <c r="G583" t="n">
        <v>6</v>
      </c>
      <c r="H583" t="inlineStr">
        <is>
          <t>06 KG</t>
        </is>
      </c>
      <c r="I583" t="inlineStr">
        <is>
          <t>2024</t>
        </is>
      </c>
      <c r="J583" t="n">
        <v>2019</v>
      </c>
      <c r="K583" t="inlineStr">
        <is>
          <t>MAYO 2023</t>
        </is>
      </c>
      <c r="L583" t="inlineStr">
        <is>
          <t>MAYO 2024</t>
        </is>
      </c>
      <c r="M583" t="inlineStr">
        <is>
          <t xml:space="preserve">P.Q.S TIPO ABC AL 90% NACIONAL </t>
        </is>
      </c>
      <c r="N583" t="inlineStr">
        <is>
          <t>S/N /001640</t>
        </is>
      </c>
      <c r="O583" t="inlineStr">
        <is>
          <t>R</t>
        </is>
      </c>
      <c r="P583">
        <f>TRIM(N583)</f>
        <v/>
      </c>
    </row>
    <row r="584">
      <c r="A584" t="inlineStr">
        <is>
          <t>CO-001377</t>
        </is>
      </c>
      <c r="B584" t="inlineStr">
        <is>
          <t>PERU MASIVO S.A.</t>
        </is>
      </c>
      <c r="C584" t="inlineStr">
        <is>
          <t>20492392031</t>
        </is>
      </c>
      <c r="D584" t="inlineStr">
        <is>
          <t>AV. LOS INCAS CDRA. 4 PATIO NORTE - COMAS</t>
        </is>
      </c>
      <c r="E584" t="inlineStr">
        <is>
          <t>Lima, 15 de mayo de 2023</t>
        </is>
      </c>
      <c r="F584" t="inlineStr">
        <is>
          <t>la Recarga y mantenimiento</t>
        </is>
      </c>
      <c r="G584" t="n">
        <v>7</v>
      </c>
      <c r="H584" t="inlineStr">
        <is>
          <t>06 KG</t>
        </is>
      </c>
      <c r="I584" t="inlineStr">
        <is>
          <t>2028</t>
        </is>
      </c>
      <c r="J584" t="n">
        <v>2014</v>
      </c>
      <c r="K584" t="inlineStr">
        <is>
          <t>MAYO 2023</t>
        </is>
      </c>
      <c r="L584" t="inlineStr">
        <is>
          <t>MAYO 2024</t>
        </is>
      </c>
      <c r="M584" t="inlineStr">
        <is>
          <t xml:space="preserve">P.Q.S TIPO ABC AL 90% NACIONAL </t>
        </is>
      </c>
      <c r="N584" t="inlineStr">
        <is>
          <t>S/N /000098</t>
        </is>
      </c>
      <c r="O584" t="inlineStr">
        <is>
          <t>R</t>
        </is>
      </c>
      <c r="P584">
        <f>TRIM(N584)</f>
        <v/>
      </c>
    </row>
    <row r="585">
      <c r="A585" t="inlineStr">
        <is>
          <t>CO-001377</t>
        </is>
      </c>
      <c r="B585" t="inlineStr">
        <is>
          <t>PERU MASIVO S.A.</t>
        </is>
      </c>
      <c r="C585" t="inlineStr">
        <is>
          <t>20492392031</t>
        </is>
      </c>
      <c r="D585" t="inlineStr">
        <is>
          <t>AV. LOS INCAS CDRA. 4 PATIO NORTE - COMAS</t>
        </is>
      </c>
      <c r="E585" t="inlineStr">
        <is>
          <t>Lima, 15 de mayo de 2023</t>
        </is>
      </c>
      <c r="F585" t="inlineStr">
        <is>
          <t>la Recarga y mantenimiento</t>
        </is>
      </c>
      <c r="G585" t="n">
        <v>8</v>
      </c>
      <c r="H585" t="inlineStr">
        <is>
          <t>06 KG</t>
        </is>
      </c>
      <c r="I585" t="inlineStr">
        <is>
          <t>2028</t>
        </is>
      </c>
      <c r="J585" t="n">
        <v>2016</v>
      </c>
      <c r="K585" t="inlineStr">
        <is>
          <t>MAYO 2023</t>
        </is>
      </c>
      <c r="L585" t="inlineStr">
        <is>
          <t>MAYO 2024</t>
        </is>
      </c>
      <c r="M585" t="inlineStr">
        <is>
          <t xml:space="preserve">P.Q.S TIPO ABC AL 90% NACIONAL </t>
        </is>
      </c>
      <c r="N585" t="inlineStr">
        <is>
          <t>S/N / 001187</t>
        </is>
      </c>
      <c r="O585" t="inlineStr">
        <is>
          <t>R</t>
        </is>
      </c>
      <c r="P585">
        <f>TRIM(N585)</f>
        <v/>
      </c>
    </row>
    <row r="586">
      <c r="A586" t="inlineStr">
        <is>
          <t>CO-001378</t>
        </is>
      </c>
      <c r="B586" t="inlineStr">
        <is>
          <t>CLAUDIO QUINTANILLA MARTINEZ</t>
        </is>
      </c>
      <c r="C586" t="inlineStr">
        <is>
          <t xml:space="preserve">DNI: 09016482 </t>
        </is>
      </c>
      <c r="D586" t="inlineStr">
        <is>
          <t xml:space="preserve"> AV. TUPAC AMARU 8468 ANTERIORMENTE 5496 - COMAS</t>
        </is>
      </c>
      <c r="E586" t="inlineStr">
        <is>
          <t>Lima, 16 de Mayo  de 2023</t>
        </is>
      </c>
      <c r="F586" t="inlineStr">
        <is>
          <t>Venta</t>
        </is>
      </c>
      <c r="G586" t="n">
        <v>1</v>
      </c>
      <c r="H586" t="inlineStr">
        <is>
          <t>06 KG</t>
        </is>
      </c>
      <c r="I586" t="inlineStr">
        <is>
          <t>2028</t>
        </is>
      </c>
      <c r="J586" t="n">
        <v>2023</v>
      </c>
      <c r="K586" t="inlineStr">
        <is>
          <t>MAYO 2023</t>
        </is>
      </c>
      <c r="L586" t="inlineStr">
        <is>
          <t>MAYO 2024</t>
        </is>
      </c>
      <c r="M586" t="inlineStr">
        <is>
          <t xml:space="preserve">P.Q.S TIPO ABC </t>
        </is>
      </c>
      <c r="N586" t="inlineStr">
        <is>
          <t>000612</t>
        </is>
      </c>
      <c r="O586" t="inlineStr">
        <is>
          <t>V</t>
        </is>
      </c>
      <c r="P586">
        <f>TRIM(N586)</f>
        <v/>
      </c>
    </row>
    <row r="587">
      <c r="A587" t="inlineStr">
        <is>
          <t>CO-001379</t>
        </is>
      </c>
      <c r="B587" t="inlineStr">
        <is>
          <t>CLAUDIO QUINTANILLA MARTINEZ</t>
        </is>
      </c>
      <c r="C587" t="inlineStr">
        <is>
          <t xml:space="preserve">DNI: 09016482 </t>
        </is>
      </c>
      <c r="D587" t="inlineStr">
        <is>
          <t xml:space="preserve"> AV. TUPAC AMARU 8468 ANTERIORMENTE 5496 - COMAS</t>
        </is>
      </c>
      <c r="E587" t="inlineStr">
        <is>
          <t>Lima, 16 de Mayo  de 2023</t>
        </is>
      </c>
      <c r="F587" t="inlineStr">
        <is>
          <t>Venta</t>
        </is>
      </c>
      <c r="G587" t="n">
        <v>1</v>
      </c>
      <c r="H587" t="inlineStr">
        <is>
          <t>2.5 GLS</t>
        </is>
      </c>
      <c r="I587" t="inlineStr">
        <is>
          <t>2028</t>
        </is>
      </c>
      <c r="J587" t="n">
        <v>2018</v>
      </c>
      <c r="K587" t="inlineStr">
        <is>
          <t>MAYO 2023</t>
        </is>
      </c>
      <c r="L587" t="inlineStr">
        <is>
          <t>MAYO 2024</t>
        </is>
      </c>
      <c r="M587" t="inlineStr">
        <is>
          <t>ACETATO DE POTASIO TIPO K</t>
        </is>
      </c>
      <c r="N587" t="inlineStr">
        <is>
          <t>000009</t>
        </is>
      </c>
      <c r="O587" t="inlineStr">
        <is>
          <t>V</t>
        </is>
      </c>
      <c r="P587">
        <f>TRIM(N587)</f>
        <v/>
      </c>
    </row>
    <row r="588">
      <c r="A588" t="inlineStr">
        <is>
          <t>CO-001380</t>
        </is>
      </c>
      <c r="B588" t="inlineStr">
        <is>
          <t>PERU MASIVO S.A.</t>
        </is>
      </c>
      <c r="C588" t="inlineStr">
        <is>
          <t>20492392031</t>
        </is>
      </c>
      <c r="D588" t="inlineStr">
        <is>
          <t>AV. LOS INCAS CDRA. 4 PATIO NORTE - COMAS</t>
        </is>
      </c>
      <c r="E588" t="inlineStr">
        <is>
          <t>Lima, 18 de mayo de 2023</t>
        </is>
      </c>
      <c r="F588" t="inlineStr">
        <is>
          <t>la Recarga y mantenimiento</t>
        </is>
      </c>
      <c r="G588" t="inlineStr">
        <is>
          <t>1</t>
        </is>
      </c>
      <c r="H588" t="inlineStr">
        <is>
          <t>06 KG</t>
        </is>
      </c>
      <c r="I588" t="inlineStr">
        <is>
          <t>2028</t>
        </is>
      </c>
      <c r="J588" t="n">
        <v>2009</v>
      </c>
      <c r="K588" t="inlineStr">
        <is>
          <t>MAYO 2023</t>
        </is>
      </c>
      <c r="L588" t="inlineStr">
        <is>
          <t>MAYO 2024</t>
        </is>
      </c>
      <c r="M588" t="inlineStr">
        <is>
          <t xml:space="preserve">P.Q.S TIPO ABC AL 90% NACIONAL </t>
        </is>
      </c>
      <c r="N588" t="inlineStr">
        <is>
          <t>352/001485</t>
        </is>
      </c>
      <c r="O588" t="inlineStr">
        <is>
          <t>R</t>
        </is>
      </c>
      <c r="P588">
        <f>TRIM(N588)</f>
        <v/>
      </c>
    </row>
    <row r="589">
      <c r="A589" t="inlineStr">
        <is>
          <t>CO-001380</t>
        </is>
      </c>
      <c r="B589" t="inlineStr">
        <is>
          <t>PERU MASIVO S.A.</t>
        </is>
      </c>
      <c r="C589" t="inlineStr">
        <is>
          <t>20492392031</t>
        </is>
      </c>
      <c r="D589" t="inlineStr">
        <is>
          <t>AV. LOS INCAS CDRA. 4 PATIO NORTE - COMAS</t>
        </is>
      </c>
      <c r="E589" t="inlineStr">
        <is>
          <t>Lima, 18 de mayo de 2023</t>
        </is>
      </c>
      <c r="F589" t="inlineStr">
        <is>
          <t>la Recarga y mantenimiento</t>
        </is>
      </c>
      <c r="G589" t="n">
        <v>2</v>
      </c>
      <c r="H589" t="inlineStr">
        <is>
          <t>06 KG</t>
        </is>
      </c>
      <c r="I589" t="inlineStr">
        <is>
          <t>2028</t>
        </is>
      </c>
      <c r="J589" t="n">
        <v>2009</v>
      </c>
      <c r="K589" t="inlineStr">
        <is>
          <t>MAYO 2023</t>
        </is>
      </c>
      <c r="L589" t="inlineStr">
        <is>
          <t>MAYO 2024</t>
        </is>
      </c>
      <c r="M589" t="inlineStr">
        <is>
          <t xml:space="preserve">P.Q.S TIPO ABC AL 90% NACIONAL </t>
        </is>
      </c>
      <c r="N589" t="inlineStr">
        <is>
          <t>346/001151</t>
        </is>
      </c>
      <c r="O589" t="inlineStr">
        <is>
          <t>R</t>
        </is>
      </c>
      <c r="P589">
        <f>TRIM(N589)</f>
        <v/>
      </c>
    </row>
    <row r="590">
      <c r="A590" t="inlineStr">
        <is>
          <t>CO-001380</t>
        </is>
      </c>
      <c r="B590" t="inlineStr">
        <is>
          <t>PERU MASIVO S.A.</t>
        </is>
      </c>
      <c r="C590" t="inlineStr">
        <is>
          <t>20492392031</t>
        </is>
      </c>
      <c r="D590" t="inlineStr">
        <is>
          <t>AV. LOS INCAS CDRA. 4 PATIO NORTE - COMAS</t>
        </is>
      </c>
      <c r="E590" t="inlineStr">
        <is>
          <t>Lima, 18 de mayo de 2023</t>
        </is>
      </c>
      <c r="F590" t="inlineStr">
        <is>
          <t>la Recarga y mantenimiento</t>
        </is>
      </c>
      <c r="G590" t="n">
        <v>3</v>
      </c>
      <c r="H590" t="inlineStr">
        <is>
          <t>06 KG</t>
        </is>
      </c>
      <c r="I590" t="inlineStr">
        <is>
          <t>2028</t>
        </is>
      </c>
      <c r="J590" t="n">
        <v>2009</v>
      </c>
      <c r="K590" t="inlineStr">
        <is>
          <t>MAYO 2023</t>
        </is>
      </c>
      <c r="L590" t="inlineStr">
        <is>
          <t>MAYO 2024</t>
        </is>
      </c>
      <c r="M590" t="inlineStr">
        <is>
          <t xml:space="preserve">P.Q.S TIPO ABC AL 90% NACIONAL </t>
        </is>
      </c>
      <c r="N590" t="inlineStr">
        <is>
          <t>270/002018</t>
        </is>
      </c>
      <c r="O590" t="inlineStr">
        <is>
          <t>R</t>
        </is>
      </c>
      <c r="P590">
        <f>TRIM(N590)</f>
        <v/>
      </c>
    </row>
    <row r="591">
      <c r="A591" t="inlineStr">
        <is>
          <t>CO-001380</t>
        </is>
      </c>
      <c r="B591" t="inlineStr">
        <is>
          <t>PERU MASIVO S.A.</t>
        </is>
      </c>
      <c r="C591" t="inlineStr">
        <is>
          <t>20492392031</t>
        </is>
      </c>
      <c r="D591" t="inlineStr">
        <is>
          <t>AV. LOS INCAS CDRA. 4 PATIO NORTE - COMAS</t>
        </is>
      </c>
      <c r="E591" t="inlineStr">
        <is>
          <t>Lima, 18 de mayo de 2023</t>
        </is>
      </c>
      <c r="F591" t="inlineStr">
        <is>
          <t>la Recarga y mantenimiento</t>
        </is>
      </c>
      <c r="G591" t="n">
        <v>4</v>
      </c>
      <c r="H591" t="inlineStr">
        <is>
          <t>06 KG</t>
        </is>
      </c>
      <c r="I591" t="inlineStr">
        <is>
          <t>2028</t>
        </is>
      </c>
      <c r="J591" t="n">
        <v>2009</v>
      </c>
      <c r="K591" t="inlineStr">
        <is>
          <t>MAYO 2023</t>
        </is>
      </c>
      <c r="L591" t="inlineStr">
        <is>
          <t>MAYO 2024</t>
        </is>
      </c>
      <c r="M591" t="inlineStr">
        <is>
          <t xml:space="preserve">P.Q.S TIPO ABC AL 90% NACIONAL </t>
        </is>
      </c>
      <c r="N591" t="inlineStr">
        <is>
          <t>223/00170</t>
        </is>
      </c>
      <c r="O591" t="inlineStr">
        <is>
          <t>R</t>
        </is>
      </c>
      <c r="P591">
        <f>TRIM(N591)</f>
        <v/>
      </c>
    </row>
    <row r="592">
      <c r="A592" t="inlineStr">
        <is>
          <t>CO-001380</t>
        </is>
      </c>
      <c r="B592" t="inlineStr">
        <is>
          <t>PERU MASIVO S.A.</t>
        </is>
      </c>
      <c r="C592" t="inlineStr">
        <is>
          <t>20492392031</t>
        </is>
      </c>
      <c r="D592" t="inlineStr">
        <is>
          <t>AV. LOS INCAS CDRA. 4 PATIO NORTE - COMAS</t>
        </is>
      </c>
      <c r="E592" t="inlineStr">
        <is>
          <t>Lima, 18 de mayo de 2023</t>
        </is>
      </c>
      <c r="F592" t="inlineStr">
        <is>
          <t>la Recarga y mantenimiento</t>
        </is>
      </c>
      <c r="G592" t="n">
        <v>5</v>
      </c>
      <c r="H592" t="inlineStr">
        <is>
          <t>06 KG</t>
        </is>
      </c>
      <c r="I592" t="inlineStr">
        <is>
          <t>2028</t>
        </is>
      </c>
      <c r="J592" t="n">
        <v>2009</v>
      </c>
      <c r="K592" t="inlineStr">
        <is>
          <t>MAYO 2023</t>
        </is>
      </c>
      <c r="L592" t="inlineStr">
        <is>
          <t>MAYO 2024</t>
        </is>
      </c>
      <c r="M592" t="inlineStr">
        <is>
          <t xml:space="preserve">P.Q.S TIPO ABC AL 90% NACIONAL </t>
        </is>
      </c>
      <c r="N592" t="inlineStr">
        <is>
          <t>332/001050</t>
        </is>
      </c>
      <c r="O592" t="inlineStr">
        <is>
          <t>R</t>
        </is>
      </c>
      <c r="P592">
        <f>TRIM(N592)</f>
        <v/>
      </c>
    </row>
    <row r="593">
      <c r="A593" t="inlineStr">
        <is>
          <t>CO-001380</t>
        </is>
      </c>
      <c r="B593" t="inlineStr">
        <is>
          <t>PERU MASIVO S.A.</t>
        </is>
      </c>
      <c r="C593" t="inlineStr">
        <is>
          <t>20492392031</t>
        </is>
      </c>
      <c r="D593" t="inlineStr">
        <is>
          <t>AV. LOS INCAS CDRA. 4 PATIO NORTE - COMAS</t>
        </is>
      </c>
      <c r="E593" t="inlineStr">
        <is>
          <t>Lima, 18 de mayo de 2023</t>
        </is>
      </c>
      <c r="F593" t="inlineStr">
        <is>
          <t>la Recarga y mantenimiento</t>
        </is>
      </c>
      <c r="G593" t="n">
        <v>6</v>
      </c>
      <c r="H593" t="inlineStr">
        <is>
          <t>06 KG</t>
        </is>
      </c>
      <c r="I593" t="inlineStr">
        <is>
          <t>2028</t>
        </is>
      </c>
      <c r="J593" t="n">
        <v>2009</v>
      </c>
      <c r="K593" t="inlineStr">
        <is>
          <t>MAYO 2023</t>
        </is>
      </c>
      <c r="L593" t="inlineStr">
        <is>
          <t>MAYO 2024</t>
        </is>
      </c>
      <c r="M593" t="inlineStr">
        <is>
          <t xml:space="preserve">P.Q.S TIPO ABC AL 90% NACIONAL </t>
        </is>
      </c>
      <c r="N593" t="inlineStr">
        <is>
          <t>123/001622</t>
        </is>
      </c>
      <c r="O593" t="inlineStr">
        <is>
          <t>R</t>
        </is>
      </c>
      <c r="P593">
        <f>TRIM(N593)</f>
        <v/>
      </c>
    </row>
    <row r="594">
      <c r="A594" t="inlineStr">
        <is>
          <t>CO-001380</t>
        </is>
      </c>
      <c r="B594" t="inlineStr">
        <is>
          <t>PERU MASIVO S.A.</t>
        </is>
      </c>
      <c r="C594" t="inlineStr">
        <is>
          <t>20492392031</t>
        </is>
      </c>
      <c r="D594" t="inlineStr">
        <is>
          <t>AV. LOS INCAS CDRA. 4 PATIO NORTE - COMAS</t>
        </is>
      </c>
      <c r="E594" t="inlineStr">
        <is>
          <t>Lima, 18 de mayo de 2023</t>
        </is>
      </c>
      <c r="F594" t="inlineStr">
        <is>
          <t>la Recarga y mantenimiento</t>
        </is>
      </c>
      <c r="G594" t="n">
        <v>7</v>
      </c>
      <c r="H594" t="inlineStr">
        <is>
          <t>06 KG</t>
        </is>
      </c>
      <c r="I594" t="inlineStr">
        <is>
          <t>2028</t>
        </is>
      </c>
      <c r="J594" t="n">
        <v>2009</v>
      </c>
      <c r="K594" t="inlineStr">
        <is>
          <t>MAYO 2023</t>
        </is>
      </c>
      <c r="L594" t="inlineStr">
        <is>
          <t>MAYO 2024</t>
        </is>
      </c>
      <c r="M594" t="inlineStr">
        <is>
          <t xml:space="preserve">P.Q.S TIPO ABC AL 90% NACIONAL </t>
        </is>
      </c>
      <c r="N594" t="inlineStr">
        <is>
          <t>323/000579</t>
        </is>
      </c>
      <c r="O594" t="inlineStr">
        <is>
          <t>R</t>
        </is>
      </c>
      <c r="P594">
        <f>TRIM(N594)</f>
        <v/>
      </c>
    </row>
    <row r="595">
      <c r="A595" t="inlineStr">
        <is>
          <t>CO-001380</t>
        </is>
      </c>
      <c r="B595" t="inlineStr">
        <is>
          <t>PERU MASIVO S.A.</t>
        </is>
      </c>
      <c r="C595" t="inlineStr">
        <is>
          <t>20492392031</t>
        </is>
      </c>
      <c r="D595" t="inlineStr">
        <is>
          <t>AV. LOS INCAS CDRA. 4 PATIO NORTE - COMAS</t>
        </is>
      </c>
      <c r="E595" t="inlineStr">
        <is>
          <t>Lima, 18 de mayo de 2023</t>
        </is>
      </c>
      <c r="F595" t="inlineStr">
        <is>
          <t>la Recarga y mantenimiento</t>
        </is>
      </c>
      <c r="G595" t="n">
        <v>8</v>
      </c>
      <c r="H595" t="inlineStr">
        <is>
          <t>06 KG</t>
        </is>
      </c>
      <c r="I595" t="inlineStr">
        <is>
          <t>2028</t>
        </is>
      </c>
      <c r="J595" t="n">
        <v>2010</v>
      </c>
      <c r="K595" t="inlineStr">
        <is>
          <t>MAYO 2023</t>
        </is>
      </c>
      <c r="L595" t="inlineStr">
        <is>
          <t>MAYO 2024</t>
        </is>
      </c>
      <c r="M595" t="inlineStr">
        <is>
          <t xml:space="preserve">P.Q.S TIPO ABC AL 90% NACIONAL </t>
        </is>
      </c>
      <c r="N595" t="inlineStr">
        <is>
          <t>192/000168</t>
        </is>
      </c>
      <c r="O595" t="inlineStr">
        <is>
          <t>R</t>
        </is>
      </c>
      <c r="P595">
        <f>TRIM(N595)</f>
        <v/>
      </c>
    </row>
    <row r="596">
      <c r="A596" t="inlineStr">
        <is>
          <t>CO-001380</t>
        </is>
      </c>
      <c r="B596" t="inlineStr">
        <is>
          <t>PERU MASIVO S.A.</t>
        </is>
      </c>
      <c r="C596" t="inlineStr">
        <is>
          <t>20492392031</t>
        </is>
      </c>
      <c r="D596" t="inlineStr">
        <is>
          <t>AV. LOS INCAS CDRA. 4 PATIO NORTE - COMAS</t>
        </is>
      </c>
      <c r="E596" t="inlineStr">
        <is>
          <t>Lima, 18 de mayo de 2023</t>
        </is>
      </c>
      <c r="F596" t="inlineStr">
        <is>
          <t>la Recarga y mantenimiento</t>
        </is>
      </c>
      <c r="G596" t="n">
        <v>9</v>
      </c>
      <c r="H596" t="inlineStr">
        <is>
          <t>06 KG</t>
        </is>
      </c>
      <c r="I596" t="inlineStr">
        <is>
          <t>2028</t>
        </is>
      </c>
      <c r="J596" t="n">
        <v>2010</v>
      </c>
      <c r="K596" t="inlineStr">
        <is>
          <t>MAYO 2023</t>
        </is>
      </c>
      <c r="L596" t="inlineStr">
        <is>
          <t>MAYO 2024</t>
        </is>
      </c>
      <c r="M596" t="inlineStr">
        <is>
          <t xml:space="preserve">P.Q.S TIPO ABC AL 90% NACIONAL </t>
        </is>
      </c>
      <c r="N596" t="inlineStr">
        <is>
          <t>295/000704</t>
        </is>
      </c>
      <c r="O596" t="inlineStr">
        <is>
          <t>R</t>
        </is>
      </c>
      <c r="P596">
        <f>TRIM(N596)</f>
        <v/>
      </c>
    </row>
    <row r="597">
      <c r="A597" t="inlineStr">
        <is>
          <t>CO-001380</t>
        </is>
      </c>
      <c r="B597" t="inlineStr">
        <is>
          <t>PERU MASIVO S.A.</t>
        </is>
      </c>
      <c r="C597" t="inlineStr">
        <is>
          <t>20492392031</t>
        </is>
      </c>
      <c r="D597" t="inlineStr">
        <is>
          <t>AV. LOS INCAS CDRA. 4 PATIO NORTE - COMAS</t>
        </is>
      </c>
      <c r="E597" t="inlineStr">
        <is>
          <t>Lima, 18 de mayo de 2023</t>
        </is>
      </c>
      <c r="F597" t="inlineStr">
        <is>
          <t>la Recarga y mantenimiento</t>
        </is>
      </c>
      <c r="G597" t="n">
        <v>10</v>
      </c>
      <c r="H597" t="inlineStr">
        <is>
          <t>06 KG</t>
        </is>
      </c>
      <c r="I597" t="inlineStr">
        <is>
          <t>2028</t>
        </is>
      </c>
      <c r="J597" t="n">
        <v>2009</v>
      </c>
      <c r="K597" t="inlineStr">
        <is>
          <t>MAYO 2023</t>
        </is>
      </c>
      <c r="L597" t="inlineStr">
        <is>
          <t>MAYO 2024</t>
        </is>
      </c>
      <c r="M597" t="inlineStr">
        <is>
          <t xml:space="preserve">P.Q.S TIPO ABC AL 90% NACIONAL </t>
        </is>
      </c>
      <c r="N597" t="inlineStr">
        <is>
          <t>333/001048</t>
        </is>
      </c>
      <c r="O597" t="inlineStr">
        <is>
          <t>R</t>
        </is>
      </c>
      <c r="P597">
        <f>TRIM(N597)</f>
        <v/>
      </c>
    </row>
    <row r="598">
      <c r="A598" t="inlineStr">
        <is>
          <t>CO-001381</t>
        </is>
      </c>
      <c r="B598" t="inlineStr">
        <is>
          <t>PERU MASIVO S.A.</t>
        </is>
      </c>
      <c r="C598" t="inlineStr">
        <is>
          <t>20492392031</t>
        </is>
      </c>
      <c r="D598" t="inlineStr">
        <is>
          <t>AV. LOS INCAS CDRA. 4 PATIO NORTE - COMAS</t>
        </is>
      </c>
      <c r="E598" t="inlineStr">
        <is>
          <t>Lima, 23 de mayo de 2023</t>
        </is>
      </c>
      <c r="F598" t="inlineStr">
        <is>
          <t>la Recarga y mantenimiento</t>
        </is>
      </c>
      <c r="G598" t="inlineStr">
        <is>
          <t>1</t>
        </is>
      </c>
      <c r="H598" t="inlineStr">
        <is>
          <t>06 KG</t>
        </is>
      </c>
      <c r="I598" t="inlineStr">
        <is>
          <t>2028</t>
        </is>
      </c>
      <c r="J598" t="n">
        <v>2009</v>
      </c>
      <c r="K598" t="inlineStr">
        <is>
          <t>MAYO 2023</t>
        </is>
      </c>
      <c r="L598" t="inlineStr">
        <is>
          <t>MAYO 2024</t>
        </is>
      </c>
      <c r="M598" t="inlineStr">
        <is>
          <t xml:space="preserve">P.Q.S TIPO ABC AL 90% NACIONAL </t>
        </is>
      </c>
      <c r="N598" t="inlineStr">
        <is>
          <t>245/001309</t>
        </is>
      </c>
      <c r="O598" t="inlineStr">
        <is>
          <t>R</t>
        </is>
      </c>
      <c r="P598">
        <f>TRIM(N598)</f>
        <v/>
      </c>
    </row>
    <row r="599">
      <c r="A599" t="inlineStr">
        <is>
          <t>CO-001381</t>
        </is>
      </c>
      <c r="B599" t="inlineStr">
        <is>
          <t>PERU MASIVO S.A.</t>
        </is>
      </c>
      <c r="C599" t="inlineStr">
        <is>
          <t>20492392031</t>
        </is>
      </c>
      <c r="D599" t="inlineStr">
        <is>
          <t>AV. LOS INCAS CDRA. 4 PATIO NORTE - COMAS</t>
        </is>
      </c>
      <c r="E599" t="inlineStr">
        <is>
          <t>Lima, 23 de mayo de 2023</t>
        </is>
      </c>
      <c r="F599" t="inlineStr">
        <is>
          <t>la Recarga y mantenimiento</t>
        </is>
      </c>
      <c r="G599" t="n">
        <v>2</v>
      </c>
      <c r="H599" t="inlineStr">
        <is>
          <t>06 KG</t>
        </is>
      </c>
      <c r="I599" t="inlineStr">
        <is>
          <t>2028</t>
        </is>
      </c>
      <c r="J599" t="n">
        <v>2010</v>
      </c>
      <c r="K599" t="inlineStr">
        <is>
          <t>MAYO 2023</t>
        </is>
      </c>
      <c r="L599" t="inlineStr">
        <is>
          <t>MAYO 2024</t>
        </is>
      </c>
      <c r="M599" t="inlineStr">
        <is>
          <t xml:space="preserve">P.Q.S TIPO ABC AL 90% NACIONAL </t>
        </is>
      </c>
      <c r="N599" t="inlineStr">
        <is>
          <t>113/000005</t>
        </is>
      </c>
      <c r="O599" t="inlineStr">
        <is>
          <t>R</t>
        </is>
      </c>
      <c r="P599">
        <f>TRIM(N599)</f>
        <v/>
      </c>
    </row>
    <row r="600">
      <c r="A600" t="inlineStr">
        <is>
          <t>CO-001381</t>
        </is>
      </c>
      <c r="B600" t="inlineStr">
        <is>
          <t>PERU MASIVO S.A.</t>
        </is>
      </c>
      <c r="C600" t="inlineStr">
        <is>
          <t>20492392031</t>
        </is>
      </c>
      <c r="D600" t="inlineStr">
        <is>
          <t>AV. LOS INCAS CDRA. 4 PATIO NORTE - COMAS</t>
        </is>
      </c>
      <c r="E600" t="inlineStr">
        <is>
          <t>Lima, 23 de mayo de 2023</t>
        </is>
      </c>
      <c r="F600" t="inlineStr">
        <is>
          <t>la Recarga y mantenimiento</t>
        </is>
      </c>
      <c r="G600" t="n">
        <v>3</v>
      </c>
      <c r="H600" t="inlineStr">
        <is>
          <t>06 KG</t>
        </is>
      </c>
      <c r="I600" t="inlineStr">
        <is>
          <t>2028</t>
        </is>
      </c>
      <c r="J600" t="n">
        <v>2009</v>
      </c>
      <c r="K600" t="inlineStr">
        <is>
          <t>MAYO 2023</t>
        </is>
      </c>
      <c r="L600" t="inlineStr">
        <is>
          <t>MAYO 2024</t>
        </is>
      </c>
      <c r="M600" t="inlineStr">
        <is>
          <t xml:space="preserve">P.Q.S TIPO ABC AL 90% NACIONAL </t>
        </is>
      </c>
      <c r="N600" t="inlineStr">
        <is>
          <t>10/001664</t>
        </is>
      </c>
      <c r="O600" t="inlineStr">
        <is>
          <t>R</t>
        </is>
      </c>
      <c r="P600">
        <f>TRIM(N600)</f>
        <v/>
      </c>
    </row>
    <row r="601">
      <c r="A601" t="inlineStr">
        <is>
          <t>CO-001381</t>
        </is>
      </c>
      <c r="B601" t="inlineStr">
        <is>
          <t>PERU MASIVO S.A.</t>
        </is>
      </c>
      <c r="C601" t="inlineStr">
        <is>
          <t>20492392031</t>
        </is>
      </c>
      <c r="D601" t="inlineStr">
        <is>
          <t>AV. LOS INCAS CDRA. 4 PATIO NORTE - COMAS</t>
        </is>
      </c>
      <c r="E601" t="inlineStr">
        <is>
          <t>Lima, 23 de mayo de 2023</t>
        </is>
      </c>
      <c r="F601" t="inlineStr">
        <is>
          <t>la Recarga y mantenimiento</t>
        </is>
      </c>
      <c r="G601" t="n">
        <v>4</v>
      </c>
      <c r="H601" t="inlineStr">
        <is>
          <t>06 KG</t>
        </is>
      </c>
      <c r="I601" t="inlineStr">
        <is>
          <t>2028</t>
        </is>
      </c>
      <c r="J601" t="n">
        <v>2015</v>
      </c>
      <c r="K601" t="inlineStr">
        <is>
          <t>MAYO 2023</t>
        </is>
      </c>
      <c r="L601" t="inlineStr">
        <is>
          <t>MAYO 2024</t>
        </is>
      </c>
      <c r="M601" t="inlineStr">
        <is>
          <t xml:space="preserve">P.Q.S TIPO ABC AL 90% NACIONAL </t>
        </is>
      </c>
      <c r="N601" t="inlineStr">
        <is>
          <t>S/N /001353</t>
        </is>
      </c>
      <c r="O601" t="inlineStr">
        <is>
          <t>R</t>
        </is>
      </c>
      <c r="P601">
        <f>TRIM(N601)</f>
        <v/>
      </c>
    </row>
    <row r="602">
      <c r="A602" t="inlineStr">
        <is>
          <t>CO-001381</t>
        </is>
      </c>
      <c r="B602" t="inlineStr">
        <is>
          <t>PERU MASIVO S.A.</t>
        </is>
      </c>
      <c r="C602" t="inlineStr">
        <is>
          <t>20492392031</t>
        </is>
      </c>
      <c r="D602" t="inlineStr">
        <is>
          <t>AV. LOS INCAS CDRA. 4 PATIO NORTE - COMAS</t>
        </is>
      </c>
      <c r="E602" t="inlineStr">
        <is>
          <t>Lima, 23 de mayo de 2023</t>
        </is>
      </c>
      <c r="F602" t="inlineStr">
        <is>
          <t>la Recarga y mantenimiento</t>
        </is>
      </c>
      <c r="G602" t="n">
        <v>5</v>
      </c>
      <c r="H602" t="inlineStr">
        <is>
          <t>06 KG</t>
        </is>
      </c>
      <c r="I602" t="inlineStr">
        <is>
          <t>2028</t>
        </is>
      </c>
      <c r="J602" t="n">
        <v>2010</v>
      </c>
      <c r="K602" t="inlineStr">
        <is>
          <t>MAYO 2023</t>
        </is>
      </c>
      <c r="L602" t="inlineStr">
        <is>
          <t>MAYO 2024</t>
        </is>
      </c>
      <c r="M602" t="inlineStr">
        <is>
          <t xml:space="preserve">P.Q.S TIPO ABC AL 90% NACIONAL </t>
        </is>
      </c>
      <c r="N602" t="inlineStr">
        <is>
          <t>211/000005</t>
        </is>
      </c>
      <c r="O602" t="inlineStr">
        <is>
          <t>R</t>
        </is>
      </c>
      <c r="P602">
        <f>TRIM(N602)</f>
        <v/>
      </c>
    </row>
    <row r="603">
      <c r="A603" t="inlineStr">
        <is>
          <t>CO-001381</t>
        </is>
      </c>
      <c r="B603" t="inlineStr">
        <is>
          <t>PERU MASIVO S.A.</t>
        </is>
      </c>
      <c r="C603" t="inlineStr">
        <is>
          <t>20492392031</t>
        </is>
      </c>
      <c r="D603" t="inlineStr">
        <is>
          <t>AV. LOS INCAS CDRA. 4 PATIO NORTE - COMAS</t>
        </is>
      </c>
      <c r="E603" t="inlineStr">
        <is>
          <t>Lima, 23 de mayo de 2023</t>
        </is>
      </c>
      <c r="F603" t="inlineStr">
        <is>
          <t>la Recarga y mantenimiento</t>
        </is>
      </c>
      <c r="G603" t="n">
        <v>6</v>
      </c>
      <c r="H603" t="inlineStr">
        <is>
          <t>06 KG</t>
        </is>
      </c>
      <c r="I603" t="inlineStr">
        <is>
          <t>2028</t>
        </is>
      </c>
      <c r="J603" t="n">
        <v>2010</v>
      </c>
      <c r="K603" t="inlineStr">
        <is>
          <t>MAYO 2023</t>
        </is>
      </c>
      <c r="L603" t="inlineStr">
        <is>
          <t>MAYO 2024</t>
        </is>
      </c>
      <c r="M603" t="inlineStr">
        <is>
          <t xml:space="preserve">P.Q.S TIPO ABC AL 90% NACIONAL </t>
        </is>
      </c>
      <c r="N603" t="inlineStr">
        <is>
          <t>103/000245</t>
        </is>
      </c>
      <c r="O603" t="inlineStr">
        <is>
          <t>R</t>
        </is>
      </c>
      <c r="P603">
        <f>TRIM(N603)</f>
        <v/>
      </c>
    </row>
    <row r="604">
      <c r="A604" t="inlineStr">
        <is>
          <t>CO-001381</t>
        </is>
      </c>
      <c r="B604" t="inlineStr">
        <is>
          <t>PERU MASIVO S.A.</t>
        </is>
      </c>
      <c r="C604" t="inlineStr">
        <is>
          <t>20492392031</t>
        </is>
      </c>
      <c r="D604" t="inlineStr">
        <is>
          <t>AV. LOS INCAS CDRA. 4 PATIO NORTE - COMAS</t>
        </is>
      </c>
      <c r="E604" t="inlineStr">
        <is>
          <t>Lima, 23 de mayo de 2023</t>
        </is>
      </c>
      <c r="F604" t="inlineStr">
        <is>
          <t>la Recarga y mantenimiento</t>
        </is>
      </c>
      <c r="G604" t="n">
        <v>7</v>
      </c>
      <c r="H604" t="inlineStr">
        <is>
          <t>06 KG</t>
        </is>
      </c>
      <c r="I604" t="inlineStr">
        <is>
          <t>2028</t>
        </is>
      </c>
      <c r="J604" t="n">
        <v>2014</v>
      </c>
      <c r="K604" t="inlineStr">
        <is>
          <t>MAYO 2023</t>
        </is>
      </c>
      <c r="L604" t="inlineStr">
        <is>
          <t>MAYO 2024</t>
        </is>
      </c>
      <c r="M604" t="inlineStr">
        <is>
          <t xml:space="preserve">P.Q.S TIPO ABC AL 90% NACIONAL </t>
        </is>
      </c>
      <c r="N604" t="inlineStr">
        <is>
          <t>S/N /002142</t>
        </is>
      </c>
      <c r="O604" t="inlineStr">
        <is>
          <t>R</t>
        </is>
      </c>
      <c r="P604">
        <f>TRIM(N604)</f>
        <v/>
      </c>
    </row>
    <row r="605">
      <c r="A605" t="inlineStr">
        <is>
          <t>CO-001381</t>
        </is>
      </c>
      <c r="B605" t="inlineStr">
        <is>
          <t>PERU MASIVO S.A.</t>
        </is>
      </c>
      <c r="C605" t="inlineStr">
        <is>
          <t>20492392031</t>
        </is>
      </c>
      <c r="D605" t="inlineStr">
        <is>
          <t>AV. LOS INCAS CDRA. 4 PATIO NORTE - COMAS</t>
        </is>
      </c>
      <c r="E605" t="inlineStr">
        <is>
          <t>Lima, 23 de mayo de 2023</t>
        </is>
      </c>
      <c r="F605" t="inlineStr">
        <is>
          <t>la Recarga y mantenimiento</t>
        </is>
      </c>
      <c r="G605" t="n">
        <v>8</v>
      </c>
      <c r="H605" t="inlineStr">
        <is>
          <t>06 KG</t>
        </is>
      </c>
      <c r="I605" t="inlineStr">
        <is>
          <t>2028</t>
        </is>
      </c>
      <c r="J605" t="n">
        <v>2009</v>
      </c>
      <c r="K605" t="inlineStr">
        <is>
          <t>MAYO 2023</t>
        </is>
      </c>
      <c r="L605" t="inlineStr">
        <is>
          <t>MAYO 2024</t>
        </is>
      </c>
      <c r="M605" t="inlineStr">
        <is>
          <t xml:space="preserve">P.Q.S TIPO ABC AL 90% NACIONAL </t>
        </is>
      </c>
      <c r="N605" t="inlineStr">
        <is>
          <t>290/002769</t>
        </is>
      </c>
      <c r="O605" t="inlineStr">
        <is>
          <t>R</t>
        </is>
      </c>
      <c r="P605">
        <f>TRIM(N605)</f>
        <v/>
      </c>
    </row>
    <row r="606">
      <c r="A606" t="inlineStr">
        <is>
          <t>CO-001382</t>
        </is>
      </c>
      <c r="B606" t="inlineStr">
        <is>
          <t>PERU MASIVO S.A.</t>
        </is>
      </c>
      <c r="C606" t="inlineStr">
        <is>
          <t>20492392031</t>
        </is>
      </c>
      <c r="D606" t="inlineStr">
        <is>
          <t>AV. LOS INCAS CDRA. 4 PATIO NORTE - COMAS</t>
        </is>
      </c>
      <c r="E606" t="inlineStr">
        <is>
          <t>Lima, 16 de Junio de 2023.</t>
        </is>
      </c>
      <c r="F606" t="inlineStr">
        <is>
          <t>la Presurizacion</t>
        </is>
      </c>
      <c r="G606" t="inlineStr">
        <is>
          <t>1</t>
        </is>
      </c>
      <c r="H606" t="inlineStr">
        <is>
          <t>06 KG</t>
        </is>
      </c>
      <c r="I606" t="inlineStr">
        <is>
          <t>VIGENTE</t>
        </is>
      </c>
      <c r="J606" t="n">
        <v>2010</v>
      </c>
      <c r="K606" t="inlineStr">
        <is>
          <t>FEBRERO 2023</t>
        </is>
      </c>
      <c r="L606" t="inlineStr">
        <is>
          <t>FEBRERO 2024</t>
        </is>
      </c>
      <c r="M606" t="inlineStr">
        <is>
          <t>PQS ABC</t>
        </is>
      </c>
      <c r="N606" t="inlineStr">
        <is>
          <t>007/003056</t>
        </is>
      </c>
      <c r="O606" t="inlineStr">
        <is>
          <t>P</t>
        </is>
      </c>
      <c r="P606">
        <f>TRIM(N606)</f>
        <v/>
      </c>
    </row>
    <row r="607">
      <c r="A607" t="inlineStr">
        <is>
          <t>CO-001382</t>
        </is>
      </c>
      <c r="B607" t="inlineStr">
        <is>
          <t>PERU MASIVO S.A.</t>
        </is>
      </c>
      <c r="C607" t="inlineStr">
        <is>
          <t>20492392031</t>
        </is>
      </c>
      <c r="D607" t="inlineStr">
        <is>
          <t>AV. LOS INCAS CDRA. 4 PATIO NORTE - COMAS</t>
        </is>
      </c>
      <c r="E607" t="inlineStr">
        <is>
          <t>Lima, 16 de Junio de 2023.</t>
        </is>
      </c>
      <c r="F607" t="inlineStr">
        <is>
          <t>la Presurizacion</t>
        </is>
      </c>
      <c r="G607" t="n">
        <v>2</v>
      </c>
      <c r="H607" t="inlineStr">
        <is>
          <t>06 KG</t>
        </is>
      </c>
      <c r="I607" t="inlineStr">
        <is>
          <t>VIGENTE</t>
        </is>
      </c>
      <c r="J607" t="n">
        <v>2010</v>
      </c>
      <c r="K607" t="inlineStr">
        <is>
          <t>FEBRERO 2023</t>
        </is>
      </c>
      <c r="L607" t="inlineStr">
        <is>
          <t>FEBRERO 2024</t>
        </is>
      </c>
      <c r="M607" t="inlineStr">
        <is>
          <t>PQS ABC</t>
        </is>
      </c>
      <c r="N607" t="inlineStr">
        <is>
          <t>011/000154</t>
        </is>
      </c>
      <c r="O607" t="inlineStr">
        <is>
          <t>P</t>
        </is>
      </c>
      <c r="P607">
        <f>TRIM(N607)</f>
        <v/>
      </c>
    </row>
    <row r="608">
      <c r="A608" t="inlineStr">
        <is>
          <t>CO-001383</t>
        </is>
      </c>
      <c r="B608" t="inlineStr">
        <is>
          <t>PERU MASIVO S.A.</t>
        </is>
      </c>
      <c r="C608" t="inlineStr">
        <is>
          <t>20492392031</t>
        </is>
      </c>
      <c r="D608" t="inlineStr">
        <is>
          <t>AV. LOS INCAS CDRA. 4 PATIO NORTE - COMAS</t>
        </is>
      </c>
      <c r="E608" t="inlineStr">
        <is>
          <t>Lima, 27 de mayo de 2023</t>
        </is>
      </c>
      <c r="F608" t="inlineStr">
        <is>
          <t>Venta</t>
        </is>
      </c>
      <c r="G608" t="inlineStr">
        <is>
          <t>1</t>
        </is>
      </c>
      <c r="H608" t="inlineStr">
        <is>
          <t>06 KG</t>
        </is>
      </c>
      <c r="I608" t="inlineStr">
        <is>
          <t>2028</t>
        </is>
      </c>
      <c r="J608" t="n">
        <v>2023</v>
      </c>
      <c r="K608" t="inlineStr">
        <is>
          <t>MAYO 2023</t>
        </is>
      </c>
      <c r="L608" t="inlineStr">
        <is>
          <t>MAYO 2024</t>
        </is>
      </c>
      <c r="M608" t="inlineStr">
        <is>
          <t xml:space="preserve">P.Q.S TIPO ABC AL 90% NACIONAL </t>
        </is>
      </c>
      <c r="N608" t="inlineStr">
        <is>
          <t>03 / 000120</t>
        </is>
      </c>
      <c r="O608" t="inlineStr">
        <is>
          <t>V</t>
        </is>
      </c>
      <c r="P608">
        <f>TRIM(N608)</f>
        <v/>
      </c>
    </row>
    <row r="609">
      <c r="A609" t="inlineStr">
        <is>
          <t>CO-001384</t>
        </is>
      </c>
      <c r="B609" t="inlineStr">
        <is>
          <t>CONDOMINIO LOMAS  DE CARABAYLLO</t>
        </is>
      </c>
      <c r="C609" t="inlineStr">
        <is>
          <t>20604861218</t>
        </is>
      </c>
      <c r="D609" t="inlineStr">
        <is>
          <t>CALLE 6  N° 165 ALEDAÑA A LA URB. VILLA GLORIA - CARABAYLLO</t>
        </is>
      </c>
      <c r="E609" t="inlineStr">
        <is>
          <t>Lima, 02 de Junio de 2023</t>
        </is>
      </c>
      <c r="F609" t="inlineStr">
        <is>
          <t>la Recarga y mantenimiento</t>
        </is>
      </c>
      <c r="G609" t="n">
        <v>1</v>
      </c>
      <c r="H609" t="inlineStr">
        <is>
          <t>09 KG</t>
        </is>
      </c>
      <c r="I609" t="inlineStr">
        <is>
          <t>2028</t>
        </is>
      </c>
      <c r="J609" t="n">
        <v>2016</v>
      </c>
      <c r="K609" t="inlineStr">
        <is>
          <t>JUNIO 2023</t>
        </is>
      </c>
      <c r="L609" t="inlineStr">
        <is>
          <t>JUNIO 2024</t>
        </is>
      </c>
      <c r="M609" t="inlineStr">
        <is>
          <t>P.Q.S TIPO ABC AL 75%</t>
        </is>
      </c>
      <c r="N609" t="inlineStr">
        <is>
          <t>01/002454</t>
        </is>
      </c>
      <c r="O609" t="inlineStr">
        <is>
          <t>R</t>
        </is>
      </c>
      <c r="P609">
        <f>TRIM(N609)</f>
        <v/>
      </c>
    </row>
    <row r="610">
      <c r="A610" t="inlineStr">
        <is>
          <t>CO-001384</t>
        </is>
      </c>
      <c r="B610" t="inlineStr">
        <is>
          <t>CONDOMINIO LOMAS  DE CARABAYLLO</t>
        </is>
      </c>
      <c r="C610" t="inlineStr">
        <is>
          <t>20604861218</t>
        </is>
      </c>
      <c r="D610" t="inlineStr">
        <is>
          <t>CALLE 6  N° 165 ALEDAÑA A LA URB. VILLA GLORIA - CARABAYLLO</t>
        </is>
      </c>
      <c r="E610" t="inlineStr">
        <is>
          <t>Lima, 02 de Junio de 2023</t>
        </is>
      </c>
      <c r="F610" t="inlineStr">
        <is>
          <t>la Recarga y mantenimiento</t>
        </is>
      </c>
      <c r="G610" t="n">
        <v>2</v>
      </c>
      <c r="H610" t="inlineStr">
        <is>
          <t>09 KG</t>
        </is>
      </c>
      <c r="I610" t="inlineStr">
        <is>
          <t>2028</t>
        </is>
      </c>
      <c r="J610" t="n">
        <v>2016</v>
      </c>
      <c r="K610" t="inlineStr">
        <is>
          <t>JUNIO 2023</t>
        </is>
      </c>
      <c r="L610" t="inlineStr">
        <is>
          <t>JUNIO 2024</t>
        </is>
      </c>
      <c r="M610" t="inlineStr">
        <is>
          <t>P.Q.S TIPO ABC AL 75%</t>
        </is>
      </c>
      <c r="N610" t="inlineStr">
        <is>
          <t>02/002830</t>
        </is>
      </c>
      <c r="O610" t="inlineStr">
        <is>
          <t>R</t>
        </is>
      </c>
      <c r="P610">
        <f>TRIM(N610)</f>
        <v/>
      </c>
    </row>
    <row r="611">
      <c r="A611" t="inlineStr">
        <is>
          <t>CO-001384</t>
        </is>
      </c>
      <c r="B611" t="inlineStr">
        <is>
          <t>CONDOMINIO LOMAS  DE CARABAYLLO</t>
        </is>
      </c>
      <c r="C611" t="inlineStr">
        <is>
          <t>20604861218</t>
        </is>
      </c>
      <c r="D611" t="inlineStr">
        <is>
          <t>CALLE 6  N° 165 ALEDAÑA A LA URB. VILLA GLORIA - CARABAYLLO</t>
        </is>
      </c>
      <c r="E611" t="inlineStr">
        <is>
          <t>Lima, 02 de Junio de 2023</t>
        </is>
      </c>
      <c r="F611" t="inlineStr">
        <is>
          <t>la Recarga y mantenimiento</t>
        </is>
      </c>
      <c r="G611" t="n">
        <v>3</v>
      </c>
      <c r="H611" t="inlineStr">
        <is>
          <t>09 KG</t>
        </is>
      </c>
      <c r="I611" t="inlineStr">
        <is>
          <t>2028</t>
        </is>
      </c>
      <c r="J611" t="n">
        <v>2016</v>
      </c>
      <c r="K611" t="inlineStr">
        <is>
          <t>JUNIO 2023</t>
        </is>
      </c>
      <c r="L611" t="inlineStr">
        <is>
          <t>JUNIO 2024</t>
        </is>
      </c>
      <c r="M611" t="inlineStr">
        <is>
          <t>P.Q.S TIPO ABC AL 75%</t>
        </is>
      </c>
      <c r="N611" t="inlineStr">
        <is>
          <t>03/002465</t>
        </is>
      </c>
      <c r="O611" t="inlineStr">
        <is>
          <t>R</t>
        </is>
      </c>
      <c r="P611">
        <f>TRIM(N611)</f>
        <v/>
      </c>
    </row>
    <row r="612">
      <c r="A612" t="inlineStr">
        <is>
          <t>CO-001384</t>
        </is>
      </c>
      <c r="B612" t="inlineStr">
        <is>
          <t>CONDOMINIO LOMAS  DE CARABAYLLO</t>
        </is>
      </c>
      <c r="C612" t="inlineStr">
        <is>
          <t>20604861218</t>
        </is>
      </c>
      <c r="D612" t="inlineStr">
        <is>
          <t>CALLE 6  N° 165 ALEDAÑA A LA URB. VILLA GLORIA - CARABAYLLO</t>
        </is>
      </c>
      <c r="E612" t="inlineStr">
        <is>
          <t>Lima, 02 de Junio de 2023</t>
        </is>
      </c>
      <c r="F612" t="inlineStr">
        <is>
          <t>la Recarga y mantenimiento</t>
        </is>
      </c>
      <c r="G612" t="n">
        <v>4</v>
      </c>
      <c r="H612" t="inlineStr">
        <is>
          <t>09 KG</t>
        </is>
      </c>
      <c r="I612" t="inlineStr">
        <is>
          <t>2028</t>
        </is>
      </c>
      <c r="J612" t="n">
        <v>2016</v>
      </c>
      <c r="K612" t="inlineStr">
        <is>
          <t>JUNIO 2023</t>
        </is>
      </c>
      <c r="L612" t="inlineStr">
        <is>
          <t>JUNIO 2024</t>
        </is>
      </c>
      <c r="M612" t="inlineStr">
        <is>
          <t>P.Q.S TIPO ABC AL 75%</t>
        </is>
      </c>
      <c r="N612" t="inlineStr">
        <is>
          <t>04/003026</t>
        </is>
      </c>
      <c r="O612" t="inlineStr">
        <is>
          <t>R</t>
        </is>
      </c>
      <c r="P612">
        <f>TRIM(N612)</f>
        <v/>
      </c>
    </row>
    <row r="613">
      <c r="A613" t="inlineStr">
        <is>
          <t>CO-001384</t>
        </is>
      </c>
      <c r="B613" t="inlineStr">
        <is>
          <t>CONDOMINIO LOMAS  DE CARABAYLLO</t>
        </is>
      </c>
      <c r="C613" t="inlineStr">
        <is>
          <t>20604861218</t>
        </is>
      </c>
      <c r="D613" t="inlineStr">
        <is>
          <t>CALLE 6  N° 165 ALEDAÑA A LA URB. VILLA GLORIA - CARABAYLLO</t>
        </is>
      </c>
      <c r="E613" t="inlineStr">
        <is>
          <t>Lima, 02 de Junio de 2023</t>
        </is>
      </c>
      <c r="F613" t="inlineStr">
        <is>
          <t>la Recarga y mantenimiento</t>
        </is>
      </c>
      <c r="G613" t="n">
        <v>5</v>
      </c>
      <c r="H613" t="inlineStr">
        <is>
          <t>09 KG</t>
        </is>
      </c>
      <c r="I613" t="n">
        <v>2028</v>
      </c>
      <c r="J613" t="n">
        <v>2016</v>
      </c>
      <c r="K613" t="inlineStr">
        <is>
          <t>JUNIO 2023</t>
        </is>
      </c>
      <c r="L613" t="inlineStr">
        <is>
          <t>JUNIO 2024</t>
        </is>
      </c>
      <c r="M613" t="inlineStr">
        <is>
          <t>P.Q.S TIPO ABC AL 75%</t>
        </is>
      </c>
      <c r="N613" t="inlineStr">
        <is>
          <t>05/003060</t>
        </is>
      </c>
      <c r="O613" t="inlineStr">
        <is>
          <t>R</t>
        </is>
      </c>
      <c r="P613">
        <f>TRIM(N613)</f>
        <v/>
      </c>
    </row>
    <row r="614">
      <c r="A614" t="inlineStr">
        <is>
          <t>CO-001385</t>
        </is>
      </c>
      <c r="B614" t="inlineStr">
        <is>
          <t>CESAR DEL CAMPO ANDONAYRE</t>
        </is>
      </c>
      <c r="C614" t="inlineStr">
        <is>
          <t>DNI: 07568438</t>
        </is>
      </c>
      <c r="D614" t="inlineStr">
        <is>
          <t>PLACA: A3P-574</t>
        </is>
      </c>
      <c r="E614" t="inlineStr">
        <is>
          <t>Lima, 07 de Junio de 2023</t>
        </is>
      </c>
      <c r="F614" t="inlineStr">
        <is>
          <t>la Recarga y mantenimiento</t>
        </is>
      </c>
      <c r="G614" t="n">
        <v>1</v>
      </c>
      <c r="H614" t="inlineStr">
        <is>
          <t>02 KG</t>
        </is>
      </c>
      <c r="I614" t="inlineStr">
        <is>
          <t>VIGENTE</t>
        </is>
      </c>
      <c r="J614" t="n">
        <v>2017</v>
      </c>
      <c r="K614" t="inlineStr">
        <is>
          <t>JUNIO 2023</t>
        </is>
      </c>
      <c r="L614" t="inlineStr">
        <is>
          <t>JUNIO 2024</t>
        </is>
      </c>
      <c r="M614" t="inlineStr">
        <is>
          <t>P.Q.S TIPO ABC</t>
        </is>
      </c>
      <c r="N614" t="inlineStr">
        <is>
          <t>005674</t>
        </is>
      </c>
      <c r="O614" t="inlineStr">
        <is>
          <t>R</t>
        </is>
      </c>
      <c r="P614">
        <f>TRIM(N614)</f>
        <v/>
      </c>
    </row>
    <row r="615">
      <c r="A615" t="inlineStr">
        <is>
          <t>CO-001386</t>
        </is>
      </c>
      <c r="B615" t="inlineStr">
        <is>
          <t>LINDE PERU S.R.L. - YAULI</t>
        </is>
      </c>
      <c r="C615" t="inlineStr">
        <is>
          <t>20338570041</t>
        </is>
      </c>
      <c r="D615" t="inlineStr">
        <is>
          <t>Av. Benavides 801 oficina 1102. Miraflores, Lima – Perú</t>
        </is>
      </c>
      <c r="E615" t="inlineStr">
        <is>
          <t>Lima, 15 de Junio de 2023</t>
        </is>
      </c>
      <c r="F615" t="inlineStr">
        <is>
          <t>la Recarga y mantenimiento</t>
        </is>
      </c>
      <c r="G615" t="n">
        <v>1</v>
      </c>
      <c r="H615" t="inlineStr">
        <is>
          <t>20 LBS</t>
        </is>
      </c>
      <c r="I615" t="inlineStr">
        <is>
          <t>2028</t>
        </is>
      </c>
      <c r="J615" t="n">
        <v>2016</v>
      </c>
      <c r="K615" t="inlineStr">
        <is>
          <t>JUNIO 2023</t>
        </is>
      </c>
      <c r="L615" t="inlineStr">
        <is>
          <t>JUNIO 2024</t>
        </is>
      </c>
      <c r="M615" t="inlineStr">
        <is>
          <t>P.Q.S.  TIPO ABC AL 90% UL</t>
        </is>
      </c>
      <c r="N615" t="inlineStr">
        <is>
          <t>15/A39014701</t>
        </is>
      </c>
      <c r="O615" t="inlineStr">
        <is>
          <t>R</t>
        </is>
      </c>
      <c r="P615">
        <f>TRIM(N615)</f>
        <v/>
      </c>
    </row>
    <row r="616">
      <c r="A616" t="inlineStr">
        <is>
          <t>CO-001386</t>
        </is>
      </c>
      <c r="B616" t="inlineStr">
        <is>
          <t>LINDE PERU S.R.L. - YAULI</t>
        </is>
      </c>
      <c r="C616" t="inlineStr">
        <is>
          <t>20338570041</t>
        </is>
      </c>
      <c r="D616" t="inlineStr">
        <is>
          <t>Av. Benavides 801 oficina 1102. Miraflores, Lima – Perú</t>
        </is>
      </c>
      <c r="E616" t="inlineStr">
        <is>
          <t>Lima, 15 de Junio de 2023</t>
        </is>
      </c>
      <c r="F616" t="inlineStr">
        <is>
          <t>la Recarga y mantenimiento</t>
        </is>
      </c>
      <c r="G616" t="n">
        <v>2</v>
      </c>
      <c r="H616" t="inlineStr">
        <is>
          <t>20 LBS</t>
        </is>
      </c>
      <c r="I616" t="inlineStr">
        <is>
          <t>2028</t>
        </is>
      </c>
      <c r="J616" t="n">
        <v>2016</v>
      </c>
      <c r="K616" t="inlineStr">
        <is>
          <t>JUNIO 2023</t>
        </is>
      </c>
      <c r="L616" t="inlineStr">
        <is>
          <t>JUNIO 2024</t>
        </is>
      </c>
      <c r="M616" t="inlineStr">
        <is>
          <t>P.Q.S.  TIPO ABC AL 90% UL</t>
        </is>
      </c>
      <c r="N616" t="inlineStr">
        <is>
          <t>16/A39013789</t>
        </is>
      </c>
      <c r="O616" t="inlineStr">
        <is>
          <t>R</t>
        </is>
      </c>
      <c r="P616">
        <f>TRIM(N616)</f>
        <v/>
      </c>
    </row>
    <row r="617">
      <c r="A617" t="inlineStr">
        <is>
          <t>CO-001386</t>
        </is>
      </c>
      <c r="B617" t="inlineStr">
        <is>
          <t>LINDE PERU S.R.L. - YAULI</t>
        </is>
      </c>
      <c r="C617" t="inlineStr">
        <is>
          <t>20338570041</t>
        </is>
      </c>
      <c r="D617" t="inlineStr">
        <is>
          <t>Av. Benavides 801 oficina 1102. Miraflores, Lima – Perú</t>
        </is>
      </c>
      <c r="E617" t="inlineStr">
        <is>
          <t>Lima, 15 de Junio de 2023</t>
        </is>
      </c>
      <c r="F617" t="inlineStr">
        <is>
          <t>la Recarga y mantenimiento</t>
        </is>
      </c>
      <c r="G617" t="n">
        <v>3</v>
      </c>
      <c r="H617" t="inlineStr">
        <is>
          <t>20 LBS</t>
        </is>
      </c>
      <c r="I617" t="inlineStr">
        <is>
          <t>2028</t>
        </is>
      </c>
      <c r="J617" t="n">
        <v>2018</v>
      </c>
      <c r="K617" t="inlineStr">
        <is>
          <t>JUNIO 2023</t>
        </is>
      </c>
      <c r="L617" t="inlineStr">
        <is>
          <t>JUNIO 2024</t>
        </is>
      </c>
      <c r="M617" t="inlineStr">
        <is>
          <t>P.Q.S.  TIPO ABC AL 90% UL</t>
        </is>
      </c>
      <c r="N617" t="inlineStr">
        <is>
          <t>17/E96499222</t>
        </is>
      </c>
      <c r="O617" t="inlineStr">
        <is>
          <t>R</t>
        </is>
      </c>
      <c r="P617">
        <f>TRIM(N617)</f>
        <v/>
      </c>
    </row>
    <row r="618">
      <c r="A618" t="inlineStr">
        <is>
          <t>CO-001386</t>
        </is>
      </c>
      <c r="B618" t="inlineStr">
        <is>
          <t>LINDE PERU S.R.L. - YAULI</t>
        </is>
      </c>
      <c r="C618" t="inlineStr">
        <is>
          <t>20338570041</t>
        </is>
      </c>
      <c r="D618" t="inlineStr">
        <is>
          <t>Av. Benavides 801 oficina 1102. Miraflores, Lima – Perú</t>
        </is>
      </c>
      <c r="E618" t="inlineStr">
        <is>
          <t>Lima, 15 de Junio de 2023</t>
        </is>
      </c>
      <c r="F618" t="inlineStr">
        <is>
          <t>la Recarga y mantenimiento</t>
        </is>
      </c>
      <c r="G618" t="n">
        <v>4</v>
      </c>
      <c r="H618" t="inlineStr">
        <is>
          <t>10 LBS</t>
        </is>
      </c>
      <c r="I618" t="inlineStr">
        <is>
          <t>2028</t>
        </is>
      </c>
      <c r="J618" t="n">
        <v>2009</v>
      </c>
      <c r="K618" t="inlineStr">
        <is>
          <t>JUNIO 2023</t>
        </is>
      </c>
      <c r="L618" t="inlineStr">
        <is>
          <t>JUNIO 2024</t>
        </is>
      </c>
      <c r="M618" t="inlineStr">
        <is>
          <t>P.Q.S.  TIPO ABC AL 90% UL</t>
        </is>
      </c>
      <c r="N618" t="inlineStr">
        <is>
          <t>18/ ZB643976</t>
        </is>
      </c>
      <c r="O618" t="inlineStr">
        <is>
          <t>R</t>
        </is>
      </c>
      <c r="P618">
        <f>TRIM(N618)</f>
        <v/>
      </c>
    </row>
    <row r="619">
      <c r="A619" t="inlineStr">
        <is>
          <t>CO-001386</t>
        </is>
      </c>
      <c r="B619" t="inlineStr">
        <is>
          <t>LINDE PERU S.R.L. - YAULI</t>
        </is>
      </c>
      <c r="C619" t="inlineStr">
        <is>
          <t>20338570041</t>
        </is>
      </c>
      <c r="D619" t="inlineStr">
        <is>
          <t>Av. Benavides 801 oficina 1102. Miraflores, Lima – Perú</t>
        </is>
      </c>
      <c r="E619" t="inlineStr">
        <is>
          <t>Lima, 15 de Junio de 2023</t>
        </is>
      </c>
      <c r="F619" t="inlineStr">
        <is>
          <t>la Recarga y mantenimiento</t>
        </is>
      </c>
      <c r="G619" t="n">
        <v>5</v>
      </c>
      <c r="H619" t="inlineStr">
        <is>
          <t>10 LBS</t>
        </is>
      </c>
      <c r="I619" t="inlineStr">
        <is>
          <t>2028</t>
        </is>
      </c>
      <c r="J619" t="n">
        <v>2009</v>
      </c>
      <c r="K619" t="inlineStr">
        <is>
          <t>JUNIO 2023</t>
        </is>
      </c>
      <c r="L619" t="inlineStr">
        <is>
          <t>JUNIO 2024</t>
        </is>
      </c>
      <c r="M619" t="inlineStr">
        <is>
          <t>P.Q.S.  TIPO ABC AL 90% UL</t>
        </is>
      </c>
      <c r="N619" t="inlineStr">
        <is>
          <t>19/YN429127</t>
        </is>
      </c>
      <c r="O619" t="inlineStr">
        <is>
          <t>R</t>
        </is>
      </c>
      <c r="P619">
        <f>TRIM(N619)</f>
        <v/>
      </c>
    </row>
    <row r="620">
      <c r="A620" t="inlineStr">
        <is>
          <t>CO-001386</t>
        </is>
      </c>
      <c r="B620" t="inlineStr">
        <is>
          <t>LINDE PERU S.R.L. - YAULI</t>
        </is>
      </c>
      <c r="C620" t="inlineStr">
        <is>
          <t>20338570041</t>
        </is>
      </c>
      <c r="D620" t="inlineStr">
        <is>
          <t>Av. Benavides 801 oficina 1102. Miraflores, Lima – Perú</t>
        </is>
      </c>
      <c r="E620" t="inlineStr">
        <is>
          <t>Lima, 15 de Junio de 2023</t>
        </is>
      </c>
      <c r="F620" t="inlineStr">
        <is>
          <t>la Recarga y mantenimiento</t>
        </is>
      </c>
      <c r="G620" t="n">
        <v>6</v>
      </c>
      <c r="H620" t="inlineStr">
        <is>
          <t>10 LBS</t>
        </is>
      </c>
      <c r="I620" t="inlineStr">
        <is>
          <t>2028</t>
        </is>
      </c>
      <c r="J620" t="n">
        <v>2009</v>
      </c>
      <c r="K620" t="inlineStr">
        <is>
          <t>JUNIO 2023</t>
        </is>
      </c>
      <c r="L620" t="inlineStr">
        <is>
          <t>JUNIO 2024</t>
        </is>
      </c>
      <c r="M620" t="inlineStr">
        <is>
          <t>P.Q.S.  TIPO ABC AL 90% UL</t>
        </is>
      </c>
      <c r="N620" t="inlineStr">
        <is>
          <t>20/ ZB643962</t>
        </is>
      </c>
      <c r="O620" t="inlineStr">
        <is>
          <t>R</t>
        </is>
      </c>
      <c r="P620">
        <f>TRIM(N620)</f>
        <v/>
      </c>
    </row>
    <row r="621">
      <c r="A621" t="inlineStr">
        <is>
          <t>CO-001386</t>
        </is>
      </c>
      <c r="B621" t="inlineStr">
        <is>
          <t>LINDE PERU S.R.L. - YAULI</t>
        </is>
      </c>
      <c r="C621" t="inlineStr">
        <is>
          <t>20338570041</t>
        </is>
      </c>
      <c r="D621" t="inlineStr">
        <is>
          <t>Av. Benavides 801 oficina 1102. Miraflores, Lima – Perú</t>
        </is>
      </c>
      <c r="E621" t="inlineStr">
        <is>
          <t>Lima, 15 de Junio de 2023</t>
        </is>
      </c>
      <c r="F621" t="inlineStr">
        <is>
          <t>la Recarga y mantenimiento</t>
        </is>
      </c>
      <c r="G621" t="n">
        <v>7</v>
      </c>
      <c r="H621" t="inlineStr">
        <is>
          <t>10 LBS</t>
        </is>
      </c>
      <c r="I621" t="inlineStr">
        <is>
          <t>2028</t>
        </is>
      </c>
      <c r="J621" t="n">
        <v>2009</v>
      </c>
      <c r="K621" t="inlineStr">
        <is>
          <t>JUNIO 2023</t>
        </is>
      </c>
      <c r="L621" t="inlineStr">
        <is>
          <t>JUNIO 2024</t>
        </is>
      </c>
      <c r="M621" t="inlineStr">
        <is>
          <t>P.Q.S.  TIPO ABC AL 90% UL</t>
        </is>
      </c>
      <c r="N621" t="inlineStr">
        <is>
          <t>21/ZB643994</t>
        </is>
      </c>
      <c r="O621" t="inlineStr">
        <is>
          <t>R</t>
        </is>
      </c>
      <c r="P621">
        <f>TRIM(N621)</f>
        <v/>
      </c>
    </row>
    <row r="622">
      <c r="A622" t="inlineStr">
        <is>
          <t>CO-001387</t>
        </is>
      </c>
      <c r="B622" t="inlineStr">
        <is>
          <t>LINDE PERU S.R.L. - YAULI</t>
        </is>
      </c>
      <c r="C622" t="inlineStr">
        <is>
          <t>20338570041</t>
        </is>
      </c>
      <c r="D622" t="inlineStr">
        <is>
          <t>Av. Benavides 801 oficina 1102. Miraflores, Lima – Perú</t>
        </is>
      </c>
      <c r="E622" t="inlineStr">
        <is>
          <t>Lima, 15 de Junio de 2023</t>
        </is>
      </c>
      <c r="F622" t="inlineStr">
        <is>
          <t>la Recarga y mantenimiento</t>
        </is>
      </c>
      <c r="G622" t="n">
        <v>1</v>
      </c>
      <c r="H622" t="inlineStr">
        <is>
          <t>15 LBS</t>
        </is>
      </c>
      <c r="I622" t="inlineStr">
        <is>
          <t>2028</t>
        </is>
      </c>
      <c r="J622" t="n">
        <v>2009</v>
      </c>
      <c r="K622" t="inlineStr">
        <is>
          <t>JUNIO 2023</t>
        </is>
      </c>
      <c r="L622" t="inlineStr">
        <is>
          <t>JUNIO 2024</t>
        </is>
      </c>
      <c r="M622" t="inlineStr">
        <is>
          <t>CO2 /TIPO BC</t>
        </is>
      </c>
      <c r="N622" t="inlineStr">
        <is>
          <t>01/YE004059</t>
        </is>
      </c>
      <c r="O622" t="inlineStr">
        <is>
          <t>R</t>
        </is>
      </c>
      <c r="P622">
        <f>TRIM(N622)</f>
        <v/>
      </c>
    </row>
    <row r="623">
      <c r="A623" t="inlineStr">
        <is>
          <t>CO-001387</t>
        </is>
      </c>
      <c r="B623" t="inlineStr">
        <is>
          <t>LINDE PERU S.R.L. - YAULI</t>
        </is>
      </c>
      <c r="C623" t="inlineStr">
        <is>
          <t>20338570041</t>
        </is>
      </c>
      <c r="D623" t="inlineStr">
        <is>
          <t>Av. Benavides 801 oficina 1102. Miraflores, Lima – Perú</t>
        </is>
      </c>
      <c r="E623" t="inlineStr">
        <is>
          <t>Lima, 15 de Junio de 2023</t>
        </is>
      </c>
      <c r="F623" t="inlineStr">
        <is>
          <t>la Recarga y mantenimiento</t>
        </is>
      </c>
      <c r="G623" t="n">
        <v>2</v>
      </c>
      <c r="H623" t="inlineStr">
        <is>
          <t>15 LBS</t>
        </is>
      </c>
      <c r="I623" t="inlineStr">
        <is>
          <t>2028</t>
        </is>
      </c>
      <c r="J623" t="n">
        <v>2009</v>
      </c>
      <c r="K623" t="inlineStr">
        <is>
          <t>JUNIO 2023</t>
        </is>
      </c>
      <c r="L623" t="inlineStr">
        <is>
          <t>JUNIO 2024</t>
        </is>
      </c>
      <c r="M623" t="inlineStr">
        <is>
          <t>CO2 /TIPO BC</t>
        </is>
      </c>
      <c r="N623" t="inlineStr">
        <is>
          <t>02/YE008773</t>
        </is>
      </c>
      <c r="O623" t="inlineStr">
        <is>
          <t>R</t>
        </is>
      </c>
      <c r="P623">
        <f>TRIM(N623)</f>
        <v/>
      </c>
    </row>
    <row r="624">
      <c r="A624" t="inlineStr">
        <is>
          <t>CO-001387</t>
        </is>
      </c>
      <c r="B624" t="inlineStr">
        <is>
          <t>LINDE PERU S.R.L. - YAULI</t>
        </is>
      </c>
      <c r="C624" t="inlineStr">
        <is>
          <t>20338570041</t>
        </is>
      </c>
      <c r="D624" t="inlineStr">
        <is>
          <t>Av. Benavides 801 oficina 1102. Miraflores, Lima – Perú</t>
        </is>
      </c>
      <c r="E624" t="inlineStr">
        <is>
          <t>Lima, 15 de Junio de 2023</t>
        </is>
      </c>
      <c r="F624" t="inlineStr">
        <is>
          <t>la Recarga y mantenimiento</t>
        </is>
      </c>
      <c r="G624" t="n">
        <v>3</v>
      </c>
      <c r="H624" t="inlineStr">
        <is>
          <t>15 LBS</t>
        </is>
      </c>
      <c r="I624" t="inlineStr">
        <is>
          <t>2028</t>
        </is>
      </c>
      <c r="J624" t="n">
        <v>2008</v>
      </c>
      <c r="K624" t="inlineStr">
        <is>
          <t>JUNIO 2023</t>
        </is>
      </c>
      <c r="L624" t="inlineStr">
        <is>
          <t>JUNIO 2024</t>
        </is>
      </c>
      <c r="M624" t="inlineStr">
        <is>
          <t>CO2 /TIPO BC</t>
        </is>
      </c>
      <c r="N624" t="inlineStr">
        <is>
          <t>03/V644983</t>
        </is>
      </c>
      <c r="O624" t="inlineStr">
        <is>
          <t>R</t>
        </is>
      </c>
      <c r="P624">
        <f>TRIM(N624)</f>
        <v/>
      </c>
    </row>
    <row r="625">
      <c r="A625" t="inlineStr">
        <is>
          <t>CO-001387</t>
        </is>
      </c>
      <c r="B625" t="inlineStr">
        <is>
          <t>LINDE PERU S.R.L. - YAULI</t>
        </is>
      </c>
      <c r="C625" t="inlineStr">
        <is>
          <t>20338570041</t>
        </is>
      </c>
      <c r="D625" t="inlineStr">
        <is>
          <t>Av. Benavides 801 oficina 1102. Miraflores, Lima – Perú</t>
        </is>
      </c>
      <c r="E625" t="inlineStr">
        <is>
          <t>Lima, 15 de Junio de 2023</t>
        </is>
      </c>
      <c r="F625" t="inlineStr">
        <is>
          <t>la Recarga y mantenimiento</t>
        </is>
      </c>
      <c r="G625" t="n">
        <v>4</v>
      </c>
      <c r="H625" t="inlineStr">
        <is>
          <t>15 LBS</t>
        </is>
      </c>
      <c r="I625" t="inlineStr">
        <is>
          <t>2028</t>
        </is>
      </c>
      <c r="J625" t="n">
        <v>2016</v>
      </c>
      <c r="K625" t="inlineStr">
        <is>
          <t>JUNIO 2023</t>
        </is>
      </c>
      <c r="L625" t="inlineStr">
        <is>
          <t>JUNIO 2024</t>
        </is>
      </c>
      <c r="M625" t="inlineStr">
        <is>
          <t>CO2 /TIPO BC</t>
        </is>
      </c>
      <c r="N625" t="inlineStr">
        <is>
          <t>04/V921454</t>
        </is>
      </c>
      <c r="O625" t="inlineStr">
        <is>
          <t>R</t>
        </is>
      </c>
      <c r="P625">
        <f>TRIM(N625)</f>
        <v/>
      </c>
    </row>
    <row r="626">
      <c r="A626" t="inlineStr">
        <is>
          <t>CO-001387</t>
        </is>
      </c>
      <c r="B626" t="inlineStr">
        <is>
          <t>LINDE PERU S.R.L. - YAULI</t>
        </is>
      </c>
      <c r="C626" t="inlineStr">
        <is>
          <t>20338570041</t>
        </is>
      </c>
      <c r="D626" t="inlineStr">
        <is>
          <t>Av. Benavides 801 oficina 1102. Miraflores, Lima – Perú</t>
        </is>
      </c>
      <c r="E626" t="inlineStr">
        <is>
          <t>Lima, 15 de Junio de 2023</t>
        </is>
      </c>
      <c r="F626" t="inlineStr">
        <is>
          <t>la Recarga y mantenimiento</t>
        </is>
      </c>
      <c r="G626" t="n">
        <v>5</v>
      </c>
      <c r="H626" t="inlineStr">
        <is>
          <t>15 LBS</t>
        </is>
      </c>
      <c r="I626" t="inlineStr">
        <is>
          <t>2028</t>
        </is>
      </c>
      <c r="J626" t="n">
        <v>2009</v>
      </c>
      <c r="K626" t="inlineStr">
        <is>
          <t>JUNIO 2023</t>
        </is>
      </c>
      <c r="L626" t="inlineStr">
        <is>
          <t>JUNIO 2024</t>
        </is>
      </c>
      <c r="M626" t="inlineStr">
        <is>
          <t>CO2 /TIPO BC</t>
        </is>
      </c>
      <c r="N626" t="inlineStr">
        <is>
          <t>06/YE008772</t>
        </is>
      </c>
      <c r="O626" t="inlineStr">
        <is>
          <t>R</t>
        </is>
      </c>
      <c r="P626">
        <f>TRIM(N626)</f>
        <v/>
      </c>
    </row>
    <row r="627">
      <c r="A627" t="inlineStr">
        <is>
          <t>CO-001387</t>
        </is>
      </c>
      <c r="B627" t="inlineStr">
        <is>
          <t>LINDE PERU S.R.L. - YAULI</t>
        </is>
      </c>
      <c r="C627" t="inlineStr">
        <is>
          <t>20338570041</t>
        </is>
      </c>
      <c r="D627" t="inlineStr">
        <is>
          <t>Av. Benavides 801 oficina 1102. Miraflores, Lima – Perú</t>
        </is>
      </c>
      <c r="E627" t="inlineStr">
        <is>
          <t>Lima, 15 de Junio de 2023</t>
        </is>
      </c>
      <c r="F627" t="inlineStr">
        <is>
          <t>la Recarga y mantenimiento</t>
        </is>
      </c>
      <c r="G627" t="n">
        <v>6</v>
      </c>
      <c r="H627" t="inlineStr">
        <is>
          <t>15 LBS</t>
        </is>
      </c>
      <c r="I627" t="inlineStr">
        <is>
          <t>2028</t>
        </is>
      </c>
      <c r="J627" t="n">
        <v>2009</v>
      </c>
      <c r="K627" t="inlineStr">
        <is>
          <t>JUNIO 2023</t>
        </is>
      </c>
      <c r="L627" t="inlineStr">
        <is>
          <t>JUNIO 2024</t>
        </is>
      </c>
      <c r="M627" t="inlineStr">
        <is>
          <t>CO2 /TIPO BC</t>
        </is>
      </c>
      <c r="N627" t="inlineStr">
        <is>
          <t>07/V678692</t>
        </is>
      </c>
      <c r="O627" t="inlineStr">
        <is>
          <t>R</t>
        </is>
      </c>
      <c r="P627">
        <f>TRIM(N627)</f>
        <v/>
      </c>
    </row>
    <row r="628">
      <c r="A628" t="inlineStr">
        <is>
          <t>CO-001387</t>
        </is>
      </c>
      <c r="B628" t="inlineStr">
        <is>
          <t>LINDE PERU S.R.L. - YAULI</t>
        </is>
      </c>
      <c r="C628" t="inlineStr">
        <is>
          <t>20338570041</t>
        </is>
      </c>
      <c r="D628" t="inlineStr">
        <is>
          <t>Av. Benavides 801 oficina 1102. Miraflores, Lima – Perú</t>
        </is>
      </c>
      <c r="E628" t="inlineStr">
        <is>
          <t>Lima, 15 de Junio de 2023</t>
        </is>
      </c>
      <c r="F628" t="inlineStr">
        <is>
          <t>la Recarga y mantenimiento</t>
        </is>
      </c>
      <c r="G628" t="n">
        <v>7</v>
      </c>
      <c r="H628" t="inlineStr">
        <is>
          <t>15 LBS</t>
        </is>
      </c>
      <c r="I628" t="inlineStr">
        <is>
          <t>2028</t>
        </is>
      </c>
      <c r="J628" t="n">
        <v>2009</v>
      </c>
      <c r="K628" t="inlineStr">
        <is>
          <t>JUNIO 2023</t>
        </is>
      </c>
      <c r="L628" t="inlineStr">
        <is>
          <t>JUNIO 2024</t>
        </is>
      </c>
      <c r="M628" t="inlineStr">
        <is>
          <t>CO2 /TIPO BC</t>
        </is>
      </c>
      <c r="N628" t="inlineStr">
        <is>
          <t>09/V678443</t>
        </is>
      </c>
      <c r="O628" t="inlineStr">
        <is>
          <t>R</t>
        </is>
      </c>
      <c r="P628">
        <f>TRIM(N628)</f>
        <v/>
      </c>
    </row>
    <row r="629">
      <c r="A629" t="inlineStr">
        <is>
          <t>CO-001387</t>
        </is>
      </c>
      <c r="B629" t="inlineStr">
        <is>
          <t>LINDE PERU S.R.L. - YAULI</t>
        </is>
      </c>
      <c r="C629" t="inlineStr">
        <is>
          <t>20338570041</t>
        </is>
      </c>
      <c r="D629" t="inlineStr">
        <is>
          <t>Av. Benavides 801 oficina 1102. Miraflores, Lima – Perú</t>
        </is>
      </c>
      <c r="E629" t="inlineStr">
        <is>
          <t>Lima, 15 de Junio de 2023</t>
        </is>
      </c>
      <c r="F629" t="inlineStr">
        <is>
          <t>la Recarga y mantenimiento</t>
        </is>
      </c>
      <c r="G629" t="n">
        <v>8</v>
      </c>
      <c r="H629" t="inlineStr">
        <is>
          <t>15 LBS</t>
        </is>
      </c>
      <c r="I629" t="inlineStr">
        <is>
          <t>2028</t>
        </is>
      </c>
      <c r="J629" t="n">
        <v>2009</v>
      </c>
      <c r="K629" t="inlineStr">
        <is>
          <t>JUNIO 2023</t>
        </is>
      </c>
      <c r="L629" t="inlineStr">
        <is>
          <t>JUNIO 2024</t>
        </is>
      </c>
      <c r="M629" t="inlineStr">
        <is>
          <t>CO2 /TIPO BC</t>
        </is>
      </c>
      <c r="N629" t="inlineStr">
        <is>
          <t>10/YE005060</t>
        </is>
      </c>
      <c r="O629" t="inlineStr">
        <is>
          <t>R</t>
        </is>
      </c>
      <c r="P629">
        <f>TRIM(N629)</f>
        <v/>
      </c>
    </row>
    <row r="630">
      <c r="A630" t="inlineStr">
        <is>
          <t>CO-001387</t>
        </is>
      </c>
      <c r="B630" t="inlineStr">
        <is>
          <t>LINDE PERU S.R.L. - YAULI</t>
        </is>
      </c>
      <c r="C630" t="inlineStr">
        <is>
          <t>20338570041</t>
        </is>
      </c>
      <c r="D630" t="inlineStr">
        <is>
          <t>Av. Benavides 801 oficina 1102. Miraflores, Lima – Perú</t>
        </is>
      </c>
      <c r="E630" t="inlineStr">
        <is>
          <t>Lima, 15 de Junio de 2023</t>
        </is>
      </c>
      <c r="F630" t="inlineStr">
        <is>
          <t>la Recarga y mantenimiento</t>
        </is>
      </c>
      <c r="G630" t="n">
        <v>9</v>
      </c>
      <c r="H630" t="inlineStr">
        <is>
          <t>15 LBS</t>
        </is>
      </c>
      <c r="I630" t="inlineStr">
        <is>
          <t>2028</t>
        </is>
      </c>
      <c r="J630" t="n">
        <v>2016</v>
      </c>
      <c r="K630" t="inlineStr">
        <is>
          <t>JUNIO 2023</t>
        </is>
      </c>
      <c r="L630" t="inlineStr">
        <is>
          <t>JUNIO 2024</t>
        </is>
      </c>
      <c r="M630" t="inlineStr">
        <is>
          <t>CO2 /TIPO BC</t>
        </is>
      </c>
      <c r="N630" t="inlineStr">
        <is>
          <t>11/V921544</t>
        </is>
      </c>
      <c r="O630" t="inlineStr">
        <is>
          <t>R</t>
        </is>
      </c>
      <c r="P630">
        <f>TRIM(N630)</f>
        <v/>
      </c>
    </row>
    <row r="631">
      <c r="A631" t="inlineStr">
        <is>
          <t>CO-001387</t>
        </is>
      </c>
      <c r="B631" t="inlineStr">
        <is>
          <t>LINDE PERU S.R.L. - YAULI</t>
        </is>
      </c>
      <c r="C631" t="inlineStr">
        <is>
          <t>20338570041</t>
        </is>
      </c>
      <c r="D631" t="inlineStr">
        <is>
          <t>Av. Benavides 801 oficina 1102. Miraflores, Lima – Perú</t>
        </is>
      </c>
      <c r="E631" t="inlineStr">
        <is>
          <t>Lima, 15 de Junio de 2023</t>
        </is>
      </c>
      <c r="F631" t="inlineStr">
        <is>
          <t>la Recarga y mantenimiento</t>
        </is>
      </c>
      <c r="G631" t="n">
        <v>10</v>
      </c>
      <c r="H631" t="inlineStr">
        <is>
          <t>15 LBS</t>
        </is>
      </c>
      <c r="I631" t="inlineStr">
        <is>
          <t>2028</t>
        </is>
      </c>
      <c r="J631" t="n">
        <v>2008</v>
      </c>
      <c r="K631" t="inlineStr">
        <is>
          <t>JUNIO 2023</t>
        </is>
      </c>
      <c r="L631" t="inlineStr">
        <is>
          <t>JUNIO 2024</t>
        </is>
      </c>
      <c r="M631" t="inlineStr">
        <is>
          <t>CO2 /TIPO BC</t>
        </is>
      </c>
      <c r="N631" t="inlineStr">
        <is>
          <t>12/V642666</t>
        </is>
      </c>
      <c r="O631" t="inlineStr">
        <is>
          <t>R</t>
        </is>
      </c>
      <c r="P631">
        <f>TRIM(N631)</f>
        <v/>
      </c>
    </row>
    <row r="632">
      <c r="A632" t="inlineStr">
        <is>
          <t>CO-001387</t>
        </is>
      </c>
      <c r="B632" t="inlineStr">
        <is>
          <t>LINDE PERU S.R.L. - YAULI</t>
        </is>
      </c>
      <c r="C632" t="inlineStr">
        <is>
          <t>20338570041</t>
        </is>
      </c>
      <c r="D632" t="inlineStr">
        <is>
          <t>Av. Benavides 801 oficina 1102. Miraflores, Lima – Perú</t>
        </is>
      </c>
      <c r="E632" t="inlineStr">
        <is>
          <t>Lima, 15 de Junio de 2023</t>
        </is>
      </c>
      <c r="F632" t="inlineStr">
        <is>
          <t>la Recarga y mantenimiento</t>
        </is>
      </c>
      <c r="G632" t="n">
        <v>11</v>
      </c>
      <c r="H632" t="inlineStr">
        <is>
          <t>15 LBS</t>
        </is>
      </c>
      <c r="I632" t="inlineStr">
        <is>
          <t>2028</t>
        </is>
      </c>
      <c r="J632" t="n">
        <v>2009</v>
      </c>
      <c r="K632" t="inlineStr">
        <is>
          <t>JUNIO 2023</t>
        </is>
      </c>
      <c r="L632" t="inlineStr">
        <is>
          <t>JUNIO 2024</t>
        </is>
      </c>
      <c r="M632" t="inlineStr">
        <is>
          <t>CO2 /TIPO BC</t>
        </is>
      </c>
      <c r="N632" t="inlineStr">
        <is>
          <t>13/V677363</t>
        </is>
      </c>
      <c r="O632" t="inlineStr">
        <is>
          <t>R</t>
        </is>
      </c>
      <c r="P632">
        <f>TRIM(N632)</f>
        <v/>
      </c>
    </row>
    <row r="633">
      <c r="A633" t="inlineStr">
        <is>
          <t>CO-001388</t>
        </is>
      </c>
      <c r="B633" t="inlineStr">
        <is>
          <t>LINDE PERU S.R.L. - YAULI</t>
        </is>
      </c>
      <c r="C633" t="inlineStr">
        <is>
          <t>20338570041</t>
        </is>
      </c>
      <c r="D633" t="inlineStr">
        <is>
          <t>CAR.CARRET.CENTRAL KM.9.5 Z.I. ZONA INDUSTRIAL(DESVIO HUACHIPA LURIGANCHO CHOSICA) LIMA LURIGANCHO</t>
        </is>
      </c>
      <c r="E633" t="inlineStr">
        <is>
          <t>Lima, 08 de Junio de 2023</t>
        </is>
      </c>
      <c r="F633" t="inlineStr">
        <is>
          <t>la Recarga y mantenimiento</t>
        </is>
      </c>
      <c r="G633" t="n">
        <v>1</v>
      </c>
      <c r="H633" t="inlineStr">
        <is>
          <t>ANULADO</t>
        </is>
      </c>
      <c r="P633">
        <f>TRIM(N633)</f>
        <v/>
      </c>
    </row>
    <row r="634">
      <c r="A634" t="inlineStr">
        <is>
          <t>CO-001389</t>
        </is>
      </c>
      <c r="B634" t="inlineStr">
        <is>
          <t>CRISTINA MACHACUAY</t>
        </is>
      </c>
      <c r="C634" t="inlineStr">
        <is>
          <t>09226363</t>
        </is>
      </c>
      <c r="D634" t="inlineStr">
        <is>
          <t>MERCADO LA FRONTERA PSTO. I4 - I5</t>
        </is>
      </c>
      <c r="E634" t="inlineStr">
        <is>
          <t>Lima, 15 de Junio de 2023</t>
        </is>
      </c>
      <c r="F634" t="inlineStr">
        <is>
          <t>la Recarga y mantenimiento</t>
        </is>
      </c>
      <c r="G634" t="n">
        <v>1</v>
      </c>
      <c r="H634" t="inlineStr">
        <is>
          <t>10 LBS</t>
        </is>
      </c>
      <c r="I634" t="inlineStr">
        <is>
          <t>2028</t>
        </is>
      </c>
      <c r="J634" t="n">
        <v>2015</v>
      </c>
      <c r="K634" t="inlineStr">
        <is>
          <t>JUNIO 2023</t>
        </is>
      </c>
      <c r="L634" t="inlineStr">
        <is>
          <t>JUNIO 2024</t>
        </is>
      </c>
      <c r="M634" t="inlineStr">
        <is>
          <t>CO2 /TIPO BC</t>
        </is>
      </c>
      <c r="N634" t="inlineStr">
        <is>
          <t>000089</t>
        </is>
      </c>
      <c r="O634" t="inlineStr">
        <is>
          <t>R</t>
        </is>
      </c>
      <c r="P634">
        <f>TRIM(N634)</f>
        <v/>
      </c>
    </row>
    <row r="635">
      <c r="A635" t="inlineStr">
        <is>
          <t>CO-001390</t>
        </is>
      </c>
      <c r="B635" t="inlineStr">
        <is>
          <t>MARIA ISABEL ZARATE</t>
        </is>
      </c>
      <c r="C635" t="inlineStr">
        <is>
          <t>10634861</t>
        </is>
      </c>
      <c r="D635" t="inlineStr">
        <is>
          <t>MERCADO LA FRONTERA PSTO. H5</t>
        </is>
      </c>
      <c r="E635" t="inlineStr">
        <is>
          <t>Lima, 15 de Junio de 2023</t>
        </is>
      </c>
      <c r="F635" t="inlineStr">
        <is>
          <t>la Recarga y mantenimiento</t>
        </is>
      </c>
      <c r="G635" t="n">
        <v>1</v>
      </c>
      <c r="H635" t="inlineStr">
        <is>
          <t>04 KG</t>
        </is>
      </c>
      <c r="I635" t="inlineStr">
        <is>
          <t>VIGENTE</t>
        </is>
      </c>
      <c r="J635" t="n">
        <v>2010</v>
      </c>
      <c r="K635" t="inlineStr">
        <is>
          <t>JUNIO 2023</t>
        </is>
      </c>
      <c r="L635" t="inlineStr">
        <is>
          <t>JUNIO 2024</t>
        </is>
      </c>
      <c r="M635" t="inlineStr">
        <is>
          <t xml:space="preserve">P.Q.S TIPO ABC </t>
        </is>
      </c>
      <c r="N635" t="inlineStr">
        <is>
          <t>008299</t>
        </is>
      </c>
      <c r="O635" t="inlineStr">
        <is>
          <t>R</t>
        </is>
      </c>
      <c r="P635">
        <f>TRIM(N635)</f>
        <v/>
      </c>
    </row>
    <row r="636">
      <c r="A636" t="inlineStr">
        <is>
          <t>CO-001391</t>
        </is>
      </c>
      <c r="B636" t="inlineStr">
        <is>
          <t>EVELYN MORAYA</t>
        </is>
      </c>
      <c r="C636" t="inlineStr">
        <is>
          <t>43971632</t>
        </is>
      </c>
      <c r="D636" t="inlineStr">
        <is>
          <t>MERCADO LA FRONTERA PSTO. B2</t>
        </is>
      </c>
      <c r="E636" t="inlineStr">
        <is>
          <t>Lima, 15 de Junio de 2023</t>
        </is>
      </c>
      <c r="F636" t="inlineStr">
        <is>
          <t>la Recarga y mantenimiento</t>
        </is>
      </c>
      <c r="G636" t="inlineStr">
        <is>
          <t>01</t>
        </is>
      </c>
      <c r="H636" t="inlineStr">
        <is>
          <t>06 KG</t>
        </is>
      </c>
      <c r="I636" t="inlineStr">
        <is>
          <t>2028</t>
        </is>
      </c>
      <c r="J636" t="n">
        <v>2015</v>
      </c>
      <c r="K636" t="inlineStr">
        <is>
          <t>JUNIO 2023</t>
        </is>
      </c>
      <c r="L636" t="inlineStr">
        <is>
          <t>JUNIO 2024</t>
        </is>
      </c>
      <c r="M636" t="inlineStr">
        <is>
          <t xml:space="preserve">P.Q.S TIPO ABC </t>
        </is>
      </c>
      <c r="N636" t="inlineStr">
        <is>
          <t>002268</t>
        </is>
      </c>
      <c r="O636" t="inlineStr">
        <is>
          <t>R</t>
        </is>
      </c>
      <c r="P636">
        <f>TRIM(N636)</f>
        <v/>
      </c>
    </row>
    <row r="637">
      <c r="A637" t="inlineStr">
        <is>
          <t>CO-001392</t>
        </is>
      </c>
      <c r="B637" t="inlineStr">
        <is>
          <t>JOEL ARRATEA</t>
        </is>
      </c>
      <c r="C637" t="inlineStr">
        <is>
          <t>48494811</t>
        </is>
      </c>
      <c r="D637" t="inlineStr">
        <is>
          <t>MERCADO LA FRONTERA PSTO. F34</t>
        </is>
      </c>
      <c r="E637" t="inlineStr">
        <is>
          <t>Lima, 15 de Junio de 2023</t>
        </is>
      </c>
      <c r="F637" t="inlineStr">
        <is>
          <t>la Recarga y mantenimiento</t>
        </is>
      </c>
      <c r="G637" t="inlineStr">
        <is>
          <t>01</t>
        </is>
      </c>
      <c r="H637" t="inlineStr">
        <is>
          <t>06 KG</t>
        </is>
      </c>
      <c r="I637" t="inlineStr">
        <is>
          <t>VIGENTE</t>
        </is>
      </c>
      <c r="J637" t="n">
        <v>2008</v>
      </c>
      <c r="K637" t="inlineStr">
        <is>
          <t>JULIO 2023</t>
        </is>
      </c>
      <c r="L637" t="inlineStr">
        <is>
          <t>JULIO 2024</t>
        </is>
      </c>
      <c r="M637" t="inlineStr">
        <is>
          <t xml:space="preserve">P.Q.S TIPO ABC </t>
        </is>
      </c>
      <c r="N637" t="inlineStr">
        <is>
          <t>003581</t>
        </is>
      </c>
      <c r="O637" t="inlineStr">
        <is>
          <t>R</t>
        </is>
      </c>
      <c r="P637">
        <f>TRIM(N637)</f>
        <v/>
      </c>
    </row>
    <row r="638">
      <c r="A638" t="inlineStr">
        <is>
          <t>CO-001393</t>
        </is>
      </c>
      <c r="B638" t="inlineStr">
        <is>
          <t>MILAGROS VALLEJOS</t>
        </is>
      </c>
      <c r="C638" t="inlineStr">
        <is>
          <t>09917151</t>
        </is>
      </c>
      <c r="D638" t="inlineStr">
        <is>
          <t>MERCADO LA FRONTERA PSTO. G17</t>
        </is>
      </c>
      <c r="E638" t="inlineStr">
        <is>
          <t>Lima, 15 de Junio de 2023</t>
        </is>
      </c>
      <c r="F638" t="inlineStr">
        <is>
          <t>la Recarga y mantenimiento</t>
        </is>
      </c>
      <c r="G638" t="inlineStr">
        <is>
          <t>01</t>
        </is>
      </c>
      <c r="H638" t="inlineStr">
        <is>
          <t>06 KG</t>
        </is>
      </c>
      <c r="I638" t="inlineStr">
        <is>
          <t>VIGENTE</t>
        </is>
      </c>
      <c r="J638" t="n">
        <v>2015</v>
      </c>
      <c r="K638" t="inlineStr">
        <is>
          <t>JULIO 2023</t>
        </is>
      </c>
      <c r="L638" t="inlineStr">
        <is>
          <t>JULIO 2024</t>
        </is>
      </c>
      <c r="M638" t="inlineStr">
        <is>
          <t xml:space="preserve">P.Q.S TIPO ABC </t>
        </is>
      </c>
      <c r="N638" t="inlineStr">
        <is>
          <t>000471</t>
        </is>
      </c>
      <c r="O638" t="inlineStr">
        <is>
          <t>R</t>
        </is>
      </c>
      <c r="P638">
        <f>TRIM(N638)</f>
        <v/>
      </c>
    </row>
    <row r="639">
      <c r="A639" t="inlineStr">
        <is>
          <t>CO-001394</t>
        </is>
      </c>
      <c r="B639" t="inlineStr">
        <is>
          <t>PERU MASIVO S.A.</t>
        </is>
      </c>
      <c r="C639" t="inlineStr">
        <is>
          <t>20492392031</t>
        </is>
      </c>
      <c r="D639" t="inlineStr">
        <is>
          <t>AV. LOS INCAS CDRA. 4 PATIO NORTE - COMAS</t>
        </is>
      </c>
      <c r="E639" t="inlineStr">
        <is>
          <t>Lima, 18 de mayo de 2023</t>
        </is>
      </c>
      <c r="F639" t="inlineStr">
        <is>
          <t>la Recarga y mantenimiento</t>
        </is>
      </c>
      <c r="G639" t="inlineStr">
        <is>
          <t>1</t>
        </is>
      </c>
      <c r="H639" t="inlineStr">
        <is>
          <t>06 KG</t>
        </is>
      </c>
      <c r="I639" t="inlineStr">
        <is>
          <t>2028</t>
        </is>
      </c>
      <c r="J639" t="n">
        <v>2009</v>
      </c>
      <c r="K639" t="inlineStr">
        <is>
          <t>MAYO 2023</t>
        </is>
      </c>
      <c r="L639" t="inlineStr">
        <is>
          <t>MAYO 2024</t>
        </is>
      </c>
      <c r="M639" t="inlineStr">
        <is>
          <t xml:space="preserve">P.Q.S TIPO ABC AL 90% NACIONAL </t>
        </is>
      </c>
      <c r="N639" t="inlineStr">
        <is>
          <t>352/001485</t>
        </is>
      </c>
      <c r="O639" t="inlineStr">
        <is>
          <t>R</t>
        </is>
      </c>
      <c r="P639">
        <f>TRIM(N639)</f>
        <v/>
      </c>
    </row>
    <row r="640">
      <c r="A640" t="inlineStr">
        <is>
          <t>CO-001394</t>
        </is>
      </c>
      <c r="B640" t="inlineStr">
        <is>
          <t>PERU MASIVO S.A.</t>
        </is>
      </c>
      <c r="C640" t="inlineStr">
        <is>
          <t>20492392031</t>
        </is>
      </c>
      <c r="D640" t="inlineStr">
        <is>
          <t>AV. LOS INCAS CDRA. 4 PATIO NORTE - COMAS</t>
        </is>
      </c>
      <c r="E640" t="inlineStr">
        <is>
          <t>Lima, 18 de mayo de 2023</t>
        </is>
      </c>
      <c r="F640" t="inlineStr">
        <is>
          <t>la Recarga y mantenimiento</t>
        </is>
      </c>
      <c r="G640" t="n">
        <v>2</v>
      </c>
      <c r="H640" t="inlineStr">
        <is>
          <t>06 KG</t>
        </is>
      </c>
      <c r="I640" t="inlineStr">
        <is>
          <t>2028</t>
        </is>
      </c>
      <c r="J640" t="n">
        <v>2009</v>
      </c>
      <c r="K640" t="inlineStr">
        <is>
          <t>MAYO 2023</t>
        </is>
      </c>
      <c r="L640" t="inlineStr">
        <is>
          <t>MAYO 2024</t>
        </is>
      </c>
      <c r="M640" t="inlineStr">
        <is>
          <t xml:space="preserve">P.Q.S TIPO ABC AL 90% NACIONAL </t>
        </is>
      </c>
      <c r="N640" t="inlineStr">
        <is>
          <t>346/001151</t>
        </is>
      </c>
      <c r="O640" t="inlineStr">
        <is>
          <t>R</t>
        </is>
      </c>
      <c r="P640">
        <f>TRIM(N640)</f>
        <v/>
      </c>
    </row>
    <row r="641">
      <c r="A641" t="inlineStr">
        <is>
          <t>CO-001395</t>
        </is>
      </c>
      <c r="B641" t="inlineStr">
        <is>
          <t>PERU MASIVO S.A.</t>
        </is>
      </c>
      <c r="C641" t="inlineStr">
        <is>
          <t>20492392031</t>
        </is>
      </c>
      <c r="D641" t="inlineStr">
        <is>
          <t>AV. LOS INCAS CDRA. 4 PATIO NORTE - COMAS</t>
        </is>
      </c>
      <c r="E641" t="inlineStr">
        <is>
          <t>Lima, 18 de mayo de 2023</t>
        </is>
      </c>
      <c r="F641" t="inlineStr">
        <is>
          <t>la Recarga y mantenimiento</t>
        </is>
      </c>
      <c r="G641" t="inlineStr">
        <is>
          <t>1</t>
        </is>
      </c>
      <c r="H641" t="inlineStr">
        <is>
          <t>06 KG</t>
        </is>
      </c>
      <c r="I641" t="inlineStr">
        <is>
          <t>2028</t>
        </is>
      </c>
      <c r="J641" t="n">
        <v>2009</v>
      </c>
      <c r="K641" t="inlineStr">
        <is>
          <t>MAYO 2023</t>
        </is>
      </c>
      <c r="L641" t="inlineStr">
        <is>
          <t>MAYO 2024</t>
        </is>
      </c>
      <c r="M641" t="inlineStr">
        <is>
          <t xml:space="preserve">P.Q.S TIPO ABC AL 90% NACIONAL </t>
        </is>
      </c>
      <c r="N641" t="inlineStr">
        <is>
          <t>352/001485</t>
        </is>
      </c>
      <c r="O641" t="inlineStr">
        <is>
          <t>R</t>
        </is>
      </c>
      <c r="P641">
        <f>TRIM(N641)</f>
        <v/>
      </c>
    </row>
    <row r="642">
      <c r="A642" t="inlineStr">
        <is>
          <t>CO-001395</t>
        </is>
      </c>
      <c r="B642" t="inlineStr">
        <is>
          <t>PERU MASIVO S.A.</t>
        </is>
      </c>
      <c r="C642" t="inlineStr">
        <is>
          <t>20492392031</t>
        </is>
      </c>
      <c r="D642" t="inlineStr">
        <is>
          <t>AV. LOS INCAS CDRA. 4 PATIO NORTE - COMAS</t>
        </is>
      </c>
      <c r="E642" t="inlineStr">
        <is>
          <t>Lima, 18 de mayo de 2023</t>
        </is>
      </c>
      <c r="F642" t="inlineStr">
        <is>
          <t>la Recarga y mantenimiento</t>
        </is>
      </c>
      <c r="G642" t="n">
        <v>2</v>
      </c>
      <c r="H642" t="inlineStr">
        <is>
          <t>06 KG</t>
        </is>
      </c>
      <c r="I642" t="inlineStr">
        <is>
          <t>2028</t>
        </is>
      </c>
      <c r="J642" t="n">
        <v>2009</v>
      </c>
      <c r="K642" t="inlineStr">
        <is>
          <t>MAYO 2023</t>
        </is>
      </c>
      <c r="L642" t="inlineStr">
        <is>
          <t>MAYO 2024</t>
        </is>
      </c>
      <c r="M642" t="inlineStr">
        <is>
          <t xml:space="preserve">P.Q.S TIPO ABC AL 90% NACIONAL </t>
        </is>
      </c>
      <c r="N642" t="inlineStr">
        <is>
          <t>346/001151</t>
        </is>
      </c>
      <c r="O642" t="inlineStr">
        <is>
          <t>R</t>
        </is>
      </c>
      <c r="P642">
        <f>TRIM(N642)</f>
        <v/>
      </c>
    </row>
    <row r="643">
      <c r="A643" t="inlineStr">
        <is>
          <t>CO-001396</t>
        </is>
      </c>
      <c r="B643" t="inlineStr">
        <is>
          <t>TRANSPORTES STARK S.A.C.</t>
        </is>
      </c>
      <c r="C643" t="n">
        <v>20606725664</v>
      </c>
      <c r="D643" t="inlineStr">
        <is>
          <t>CAL.58 MZA. E3 LOTE. 09 A URB. EL PINAR PARCELA 01 (ALTURA DE LA AV EL RETABLO CON LOS INCAS) LIMA - LIMA - COMAS</t>
        </is>
      </c>
      <c r="F643" t="inlineStr">
        <is>
          <t>la venta</t>
        </is>
      </c>
      <c r="G643" t="inlineStr">
        <is>
          <t>-</t>
        </is>
      </c>
      <c r="H643" t="inlineStr">
        <is>
          <t>09 KG</t>
        </is>
      </c>
      <c r="I643" t="inlineStr">
        <is>
          <t>2028</t>
        </is>
      </c>
      <c r="J643" t="n">
        <v>2023</v>
      </c>
      <c r="K643" t="inlineStr">
        <is>
          <t>JUNIO 2023</t>
        </is>
      </c>
      <c r="L643" t="inlineStr">
        <is>
          <t>JUNIO 2024</t>
        </is>
      </c>
      <c r="M643" t="inlineStr">
        <is>
          <t>P.Q.S TIPO ABC AL 75%</t>
        </is>
      </c>
      <c r="O643" t="inlineStr">
        <is>
          <t>V</t>
        </is>
      </c>
      <c r="P643">
        <f>TRIM(N643)</f>
        <v/>
      </c>
    </row>
    <row r="644">
      <c r="A644" t="inlineStr">
        <is>
          <t>CO-001397</t>
        </is>
      </c>
      <c r="B644" t="inlineStr">
        <is>
          <t>TRANSPORTES STARK S.A.C.</t>
        </is>
      </c>
      <c r="C644" t="n">
        <v>20606725664</v>
      </c>
      <c r="D644" t="inlineStr">
        <is>
          <t>CAL.58 MZA. E3 LOTE. 09 A URB. EL PINAR PARCELA 01 (ALTURA DE LA AV EL RETABLO CON LOS INCAS) LIMA - LIMA - COMAS</t>
        </is>
      </c>
      <c r="F644" t="inlineStr">
        <is>
          <t>la venta</t>
        </is>
      </c>
      <c r="G644" t="inlineStr">
        <is>
          <t>-</t>
        </is>
      </c>
      <c r="H644" t="inlineStr">
        <is>
          <t>09 KG</t>
        </is>
      </c>
      <c r="I644" t="inlineStr">
        <is>
          <t>2028</t>
        </is>
      </c>
      <c r="J644" t="n">
        <v>2023</v>
      </c>
      <c r="K644" t="inlineStr">
        <is>
          <t>JUNIO 2023</t>
        </is>
      </c>
      <c r="L644" t="inlineStr">
        <is>
          <t>JUNIO 2024</t>
        </is>
      </c>
      <c r="M644" t="inlineStr">
        <is>
          <t>P.Q.S TIPO ABC AL 75%</t>
        </is>
      </c>
      <c r="O644" t="inlineStr">
        <is>
          <t>V</t>
        </is>
      </c>
      <c r="P644">
        <f>TRIM(N644)</f>
        <v/>
      </c>
    </row>
    <row r="645">
      <c r="A645" t="inlineStr">
        <is>
          <t>CO-001398</t>
        </is>
      </c>
      <c r="B645" t="inlineStr">
        <is>
          <t>LINCOL TECH SAC</t>
        </is>
      </c>
      <c r="C645" t="inlineStr">
        <is>
          <t>20608072927</t>
        </is>
      </c>
      <c r="D645" t="inlineStr">
        <is>
          <t>AV. LOS ROSALES NRO. 328 ASC. SHANGRILLA LIMA - LIMA - PUENTE PIEDRA</t>
        </is>
      </c>
      <c r="E645" t="inlineStr">
        <is>
          <t>Lima, 15 de Junio de 2023</t>
        </is>
      </c>
      <c r="F645" t="inlineStr">
        <is>
          <t>la Venta</t>
        </is>
      </c>
      <c r="G645" t="inlineStr">
        <is>
          <t>01</t>
        </is>
      </c>
      <c r="H645" t="inlineStr">
        <is>
          <t>12 KG</t>
        </is>
      </c>
      <c r="I645" t="inlineStr">
        <is>
          <t>2028</t>
        </is>
      </c>
      <c r="J645" t="n">
        <v>2023</v>
      </c>
      <c r="K645" t="inlineStr">
        <is>
          <t>JUNIO 2023</t>
        </is>
      </c>
      <c r="L645" t="inlineStr">
        <is>
          <t>JUNIO 2024</t>
        </is>
      </c>
      <c r="M645" t="inlineStr">
        <is>
          <t>P.Q.S TIPO ABC AL 75%</t>
        </is>
      </c>
      <c r="N645" t="inlineStr">
        <is>
          <t>159677</t>
        </is>
      </c>
      <c r="O645" t="inlineStr">
        <is>
          <t>V</t>
        </is>
      </c>
      <c r="P645">
        <f>TRIM(N645)</f>
        <v/>
      </c>
    </row>
    <row r="646">
      <c r="A646" t="inlineStr">
        <is>
          <t>CO-001399</t>
        </is>
      </c>
      <c r="B646" t="inlineStr">
        <is>
          <t>LINCOL TECH SAC</t>
        </is>
      </c>
      <c r="C646" t="inlineStr">
        <is>
          <t>20608072927</t>
        </is>
      </c>
      <c r="D646" t="inlineStr">
        <is>
          <t>AV. LOS ROSALES NRO. 328 ASC. SHANGRILLA LIMA - LIMA - PUENTE PIEDRA</t>
        </is>
      </c>
      <c r="E646" t="inlineStr">
        <is>
          <t>Lima, 15 de Junio de 2023</t>
        </is>
      </c>
      <c r="F646" t="inlineStr">
        <is>
          <t>la Venta</t>
        </is>
      </c>
      <c r="G646" t="inlineStr">
        <is>
          <t>01</t>
        </is>
      </c>
      <c r="H646" t="inlineStr">
        <is>
          <t>12 KG</t>
        </is>
      </c>
      <c r="I646" t="inlineStr">
        <is>
          <t>2028</t>
        </is>
      </c>
      <c r="J646" t="n">
        <v>2023</v>
      </c>
      <c r="K646" t="inlineStr">
        <is>
          <t>JUNIO 2023</t>
        </is>
      </c>
      <c r="L646" t="inlineStr">
        <is>
          <t>JUNIO 2024</t>
        </is>
      </c>
      <c r="M646" t="inlineStr">
        <is>
          <t>P.Q.S TIPO ABC AL 75%</t>
        </is>
      </c>
      <c r="N646" t="inlineStr">
        <is>
          <t>034499</t>
        </is>
      </c>
      <c r="O646" t="inlineStr">
        <is>
          <t>V</t>
        </is>
      </c>
      <c r="P646">
        <f>TRIM(N646)</f>
        <v/>
      </c>
    </row>
    <row r="647">
      <c r="A647" t="inlineStr">
        <is>
          <t>CO-001400</t>
        </is>
      </c>
      <c r="B647" t="inlineStr">
        <is>
          <t>RAFAEL ROVALINO RICALDE</t>
        </is>
      </c>
      <c r="C647" t="inlineStr">
        <is>
          <t>DNI: 44872302</t>
        </is>
      </c>
      <c r="D647" t="inlineStr">
        <is>
          <t>JR. TARMA N° 601  - COMAS</t>
        </is>
      </c>
      <c r="E647" t="inlineStr">
        <is>
          <t>Lima, 16 de Junio de 2023.</t>
        </is>
      </c>
      <c r="F647" t="inlineStr">
        <is>
          <t>la venta</t>
        </is>
      </c>
      <c r="G647" t="inlineStr">
        <is>
          <t>01</t>
        </is>
      </c>
      <c r="H647" t="inlineStr">
        <is>
          <t>06 KG</t>
        </is>
      </c>
      <c r="I647" t="inlineStr">
        <is>
          <t>2028</t>
        </is>
      </c>
      <c r="J647" t="n">
        <v>2023</v>
      </c>
      <c r="K647" t="inlineStr">
        <is>
          <t>JUNIO 2023</t>
        </is>
      </c>
      <c r="L647" t="inlineStr">
        <is>
          <t>JUNIO 2024</t>
        </is>
      </c>
      <c r="M647" t="inlineStr">
        <is>
          <t>P.Q.S TIPO ABC AL 75%</t>
        </is>
      </c>
      <c r="N647" t="inlineStr">
        <is>
          <t>002721</t>
        </is>
      </c>
      <c r="O647" t="inlineStr">
        <is>
          <t>V</t>
        </is>
      </c>
      <c r="P647">
        <f>TRIM(N647)</f>
        <v/>
      </c>
    </row>
    <row r="648">
      <c r="A648" t="inlineStr">
        <is>
          <t>CO-001401</t>
        </is>
      </c>
      <c r="B648" t="inlineStr">
        <is>
          <t>QELLPU PERU S.A.</t>
        </is>
      </c>
      <c r="C648" t="n">
        <v>20492318656</v>
      </c>
      <c r="D648" t="inlineStr">
        <is>
          <t>AV. LOS INCAS CDRA. 4 PATIO NORTE - COMAS</t>
        </is>
      </c>
      <c r="E648" t="inlineStr">
        <is>
          <t>Lima, 16 de Junio de 2023.</t>
        </is>
      </c>
      <c r="F648" t="inlineStr">
        <is>
          <t>la Presurizacion</t>
        </is>
      </c>
      <c r="G648" t="inlineStr">
        <is>
          <t>01</t>
        </is>
      </c>
      <c r="H648" t="inlineStr">
        <is>
          <t>06 KG</t>
        </is>
      </c>
      <c r="I648" t="inlineStr">
        <is>
          <t>2028</t>
        </is>
      </c>
      <c r="J648" t="n">
        <v>2009</v>
      </c>
      <c r="K648" t="inlineStr">
        <is>
          <t>FEBRERO 2023</t>
        </is>
      </c>
      <c r="L648" t="inlineStr">
        <is>
          <t>FEBRERO 2024</t>
        </is>
      </c>
      <c r="M648" t="inlineStr">
        <is>
          <t xml:space="preserve">P.Q.S TIPO ABC </t>
        </is>
      </c>
      <c r="N648" t="inlineStr">
        <is>
          <t>030/001644</t>
        </is>
      </c>
      <c r="O648" t="inlineStr">
        <is>
          <t>P</t>
        </is>
      </c>
      <c r="P648">
        <f>TRIM(N648)</f>
        <v/>
      </c>
    </row>
    <row r="649">
      <c r="A649" t="inlineStr">
        <is>
          <t>CO-001401</t>
        </is>
      </c>
      <c r="B649" t="inlineStr">
        <is>
          <t>QELLPU PERU S.A.</t>
        </is>
      </c>
      <c r="C649" t="n">
        <v>20492318656</v>
      </c>
      <c r="D649" t="inlineStr">
        <is>
          <t>AV. LOS INCAS CDRA. 4 PATIO NORTE - COMAS</t>
        </is>
      </c>
      <c r="E649" t="inlineStr">
        <is>
          <t>Lima, 16 de Junio de 2023.</t>
        </is>
      </c>
      <c r="F649" t="inlineStr">
        <is>
          <t>la Presurizacion</t>
        </is>
      </c>
      <c r="G649" t="n">
        <v>2</v>
      </c>
      <c r="H649" t="inlineStr">
        <is>
          <t>12 KG</t>
        </is>
      </c>
      <c r="I649" t="inlineStr">
        <is>
          <t>VIGENTE</t>
        </is>
      </c>
      <c r="J649" t="n">
        <v>2012</v>
      </c>
      <c r="K649" t="inlineStr">
        <is>
          <t>FEBRERO 2023</t>
        </is>
      </c>
      <c r="L649" t="inlineStr">
        <is>
          <t>FEBRERO 2024</t>
        </is>
      </c>
      <c r="M649" t="inlineStr">
        <is>
          <t>P.Q.S TIPO ABC</t>
        </is>
      </c>
      <c r="N649" t="inlineStr">
        <is>
          <t>031/000395</t>
        </is>
      </c>
      <c r="O649" t="inlineStr">
        <is>
          <t>P</t>
        </is>
      </c>
      <c r="P649">
        <f>TRIM(N649)</f>
        <v/>
      </c>
    </row>
    <row r="650">
      <c r="A650" t="inlineStr">
        <is>
          <t>CO-001402</t>
        </is>
      </c>
      <c r="B650" t="inlineStr">
        <is>
          <t>PERU MASIVO S.A.</t>
        </is>
      </c>
      <c r="C650" t="inlineStr">
        <is>
          <t>20492392031</t>
        </is>
      </c>
      <c r="D650" t="inlineStr">
        <is>
          <t>AV. LOS INCAS CDRA. 4 PATIO NORTE - COMAS</t>
        </is>
      </c>
      <c r="E650" t="inlineStr">
        <is>
          <t>Lima, 16 de Junio de 2023</t>
        </is>
      </c>
      <c r="F650" t="inlineStr">
        <is>
          <t>la Recarga y mantenimiento</t>
        </is>
      </c>
      <c r="G650" t="inlineStr">
        <is>
          <t>1</t>
        </is>
      </c>
      <c r="H650" t="inlineStr">
        <is>
          <t>06 KG</t>
        </is>
      </c>
      <c r="I650" t="inlineStr">
        <is>
          <t>2028</t>
        </is>
      </c>
      <c r="J650" t="n">
        <v>2009</v>
      </c>
      <c r="K650" t="inlineStr">
        <is>
          <t>JUNIO 2023</t>
        </is>
      </c>
      <c r="L650" t="inlineStr">
        <is>
          <t>JUNIO 2024</t>
        </is>
      </c>
      <c r="M650" t="inlineStr">
        <is>
          <t xml:space="preserve">P.Q.S TIPO ABC AL 90% NACIONAL </t>
        </is>
      </c>
      <c r="N650" t="inlineStr">
        <is>
          <t>02/000770</t>
        </is>
      </c>
      <c r="O650" t="inlineStr">
        <is>
          <t>R</t>
        </is>
      </c>
      <c r="P650">
        <f>TRIM(N650)</f>
        <v/>
      </c>
    </row>
    <row r="651">
      <c r="A651" t="inlineStr">
        <is>
          <t>CO-001402</t>
        </is>
      </c>
      <c r="B651" t="inlineStr">
        <is>
          <t>PERU MASIVO S.A.</t>
        </is>
      </c>
      <c r="C651" t="inlineStr">
        <is>
          <t>20492392031</t>
        </is>
      </c>
      <c r="D651" t="inlineStr">
        <is>
          <t>AV. LOS INCAS CDRA. 4 PATIO NORTE - COMAS</t>
        </is>
      </c>
      <c r="E651" t="inlineStr">
        <is>
          <t>Lima, 16 de Junio de 2023</t>
        </is>
      </c>
      <c r="F651" t="inlineStr">
        <is>
          <t>la Recarga y mantenimiento</t>
        </is>
      </c>
      <c r="G651" t="inlineStr">
        <is>
          <t>02</t>
        </is>
      </c>
      <c r="H651" t="inlineStr">
        <is>
          <t>06 KG</t>
        </is>
      </c>
      <c r="I651" t="inlineStr">
        <is>
          <t>2028</t>
        </is>
      </c>
      <c r="J651" t="n">
        <v>2010</v>
      </c>
      <c r="K651" t="inlineStr">
        <is>
          <t>JUNIO 2023</t>
        </is>
      </c>
      <c r="L651" t="inlineStr">
        <is>
          <t>JUNIO 2024</t>
        </is>
      </c>
      <c r="M651" t="inlineStr">
        <is>
          <t xml:space="preserve">P.Q.S TIPO ABC AL 90% NACIONAL </t>
        </is>
      </c>
      <c r="N651" t="inlineStr">
        <is>
          <t>317/000005</t>
        </is>
      </c>
      <c r="O651" t="inlineStr">
        <is>
          <t>R</t>
        </is>
      </c>
      <c r="P651">
        <f>TRIM(N651)</f>
        <v/>
      </c>
    </row>
    <row r="652">
      <c r="A652" t="inlineStr">
        <is>
          <t>CO-001403</t>
        </is>
      </c>
      <c r="B652" t="inlineStr">
        <is>
          <t>MIGUEL MARCHAND</t>
        </is>
      </c>
      <c r="C652" t="inlineStr">
        <is>
          <t>41451192</t>
        </is>
      </c>
      <c r="D652" t="inlineStr">
        <is>
          <t>MERCADO LA FRONTERA PSTO. I6</t>
        </is>
      </c>
      <c r="E652" t="inlineStr">
        <is>
          <t>Lima, 22 de Junio de 2023</t>
        </is>
      </c>
      <c r="F652" t="inlineStr">
        <is>
          <t>la Recarga y mantenimiento</t>
        </is>
      </c>
      <c r="G652" t="inlineStr">
        <is>
          <t>01</t>
        </is>
      </c>
      <c r="H652" t="inlineStr">
        <is>
          <t>06 KG</t>
        </is>
      </c>
      <c r="I652" t="inlineStr">
        <is>
          <t>2024</t>
        </is>
      </c>
      <c r="J652" t="n">
        <v>2019</v>
      </c>
      <c r="K652" t="inlineStr">
        <is>
          <t>JUNIO 2023</t>
        </is>
      </c>
      <c r="L652" t="inlineStr">
        <is>
          <t>JUNIO 2024</t>
        </is>
      </c>
      <c r="M652" t="inlineStr">
        <is>
          <t xml:space="preserve">P.Q.S TIPO ABC </t>
        </is>
      </c>
      <c r="N652" t="inlineStr">
        <is>
          <t>000598</t>
        </is>
      </c>
      <c r="O652" t="inlineStr">
        <is>
          <t>R</t>
        </is>
      </c>
      <c r="P652">
        <f>TRIM(N652)</f>
        <v/>
      </c>
    </row>
    <row r="653">
      <c r="A653" t="inlineStr">
        <is>
          <t>CO-001404</t>
        </is>
      </c>
      <c r="B653" t="inlineStr">
        <is>
          <t>EMPRESA DE TRANSPORTES ONCE DE NOVIEMBRE</t>
        </is>
      </c>
      <c r="C653" t="inlineStr">
        <is>
          <t>PLACA:</t>
        </is>
      </c>
      <c r="D653" t="inlineStr">
        <is>
          <t>Ex – Hacienda Punchauca - Carabayllo</t>
        </is>
      </c>
      <c r="E653" t="inlineStr">
        <is>
          <t>Lima, 22 de Junio de 2023</t>
        </is>
      </c>
      <c r="F653" t="inlineStr">
        <is>
          <t>la Recarga y mantenimiento</t>
        </is>
      </c>
      <c r="G653" t="inlineStr">
        <is>
          <t>01</t>
        </is>
      </c>
      <c r="H653" t="inlineStr">
        <is>
          <t>06 KG</t>
        </is>
      </c>
      <c r="I653" t="inlineStr">
        <is>
          <t>VIGENTE</t>
        </is>
      </c>
      <c r="J653" t="n">
        <v>2009</v>
      </c>
      <c r="K653" t="inlineStr">
        <is>
          <t>JUNIO 2023</t>
        </is>
      </c>
      <c r="L653" t="inlineStr">
        <is>
          <t>JUNIO 2024</t>
        </is>
      </c>
      <c r="M653" t="inlineStr">
        <is>
          <t xml:space="preserve">P.Q.S TIPO ABC </t>
        </is>
      </c>
      <c r="N653" t="inlineStr">
        <is>
          <t>001231</t>
        </is>
      </c>
      <c r="O653" t="inlineStr">
        <is>
          <t>R</t>
        </is>
      </c>
      <c r="P653">
        <f>TRIM(N653)</f>
        <v/>
      </c>
    </row>
    <row r="654">
      <c r="A654" t="inlineStr">
        <is>
          <t>CO-001405</t>
        </is>
      </c>
      <c r="B654" t="inlineStr">
        <is>
          <t>EMPRESA DE TRANSPORTES ONCE DE NOVIEMBRE</t>
        </is>
      </c>
      <c r="C654" t="inlineStr">
        <is>
          <t>PLACA:</t>
        </is>
      </c>
      <c r="D654" t="inlineStr">
        <is>
          <t>Ex – Hacienda Punchauca - Carabayllo</t>
        </is>
      </c>
      <c r="E654" t="inlineStr">
        <is>
          <t>Lima, 22 de Junio de 2023</t>
        </is>
      </c>
      <c r="F654" t="inlineStr">
        <is>
          <t>la Recarga y mantenimiento</t>
        </is>
      </c>
      <c r="G654" t="inlineStr">
        <is>
          <t>01</t>
        </is>
      </c>
      <c r="H654" t="inlineStr">
        <is>
          <t>06 KG</t>
        </is>
      </c>
      <c r="I654" t="inlineStr">
        <is>
          <t>VIGENTE</t>
        </is>
      </c>
      <c r="J654" t="n">
        <v>2018</v>
      </c>
      <c r="K654" t="inlineStr">
        <is>
          <t>JUNIO 2023</t>
        </is>
      </c>
      <c r="L654" t="inlineStr">
        <is>
          <t>JUNIO 2024</t>
        </is>
      </c>
      <c r="M654" t="inlineStr">
        <is>
          <t xml:space="preserve">P.Q.S TIPO ABC </t>
        </is>
      </c>
      <c r="N654" t="inlineStr">
        <is>
          <t>003642</t>
        </is>
      </c>
      <c r="O654" t="inlineStr">
        <is>
          <t>R</t>
        </is>
      </c>
      <c r="P654">
        <f>TRIM(N654)</f>
        <v/>
      </c>
    </row>
    <row r="655">
      <c r="A655" t="inlineStr">
        <is>
          <t>CO-001406</t>
        </is>
      </c>
      <c r="B655" t="inlineStr">
        <is>
          <t>EMPRESA DE TRANSPORTES ONCE DE NOVIEMBRE</t>
        </is>
      </c>
      <c r="C655" t="inlineStr">
        <is>
          <t>PLACA:</t>
        </is>
      </c>
      <c r="D655" t="inlineStr">
        <is>
          <t>Ex – Hacienda Punchauca - Carabayllo</t>
        </is>
      </c>
      <c r="E655" t="inlineStr">
        <is>
          <t>Lima, 22 de Junio de 2023</t>
        </is>
      </c>
      <c r="F655" t="inlineStr">
        <is>
          <t>la Recarga y mantenimiento</t>
        </is>
      </c>
      <c r="G655" t="inlineStr">
        <is>
          <t>01</t>
        </is>
      </c>
      <c r="H655" t="inlineStr">
        <is>
          <t>06 KG</t>
        </is>
      </c>
      <c r="I655" t="inlineStr">
        <is>
          <t>VIGENTE</t>
        </is>
      </c>
      <c r="J655" t="n">
        <v>2014</v>
      </c>
      <c r="K655" t="inlineStr">
        <is>
          <t>JUNIO 2023</t>
        </is>
      </c>
      <c r="L655" t="inlineStr">
        <is>
          <t>JUNIO 2024</t>
        </is>
      </c>
      <c r="M655" t="inlineStr">
        <is>
          <t xml:space="preserve">P.Q.S TIPO ABC </t>
        </is>
      </c>
      <c r="N655" t="inlineStr">
        <is>
          <t>014515</t>
        </is>
      </c>
      <c r="O655" t="inlineStr">
        <is>
          <t>R</t>
        </is>
      </c>
      <c r="P655">
        <f>TRIM(N655)</f>
        <v/>
      </c>
    </row>
    <row r="656">
      <c r="A656" t="inlineStr">
        <is>
          <t>CO-001407</t>
        </is>
      </c>
      <c r="B656" t="inlineStr">
        <is>
          <t>EMPRESA DE TRANSPORTES ONCE DE NOVIEMBRE</t>
        </is>
      </c>
      <c r="C656" t="inlineStr">
        <is>
          <t>PLACA:</t>
        </is>
      </c>
      <c r="D656" t="inlineStr">
        <is>
          <t>Ex – Hacienda Punchauca - Carabayllo</t>
        </is>
      </c>
      <c r="E656" t="inlineStr">
        <is>
          <t>Lima, 22 de Junio de 2023</t>
        </is>
      </c>
      <c r="F656" t="inlineStr">
        <is>
          <t>la Recarga y mantenimiento</t>
        </is>
      </c>
      <c r="G656" t="inlineStr">
        <is>
          <t>01</t>
        </is>
      </c>
      <c r="H656" t="inlineStr">
        <is>
          <t>06 KG</t>
        </is>
      </c>
      <c r="I656" t="inlineStr">
        <is>
          <t>VIGENTE</t>
        </is>
      </c>
      <c r="J656" t="inlineStr">
        <is>
          <t>S/N</t>
        </is>
      </c>
      <c r="K656" t="inlineStr">
        <is>
          <t>JUNIO 2023</t>
        </is>
      </c>
      <c r="L656" t="inlineStr">
        <is>
          <t>JUNIO 2024</t>
        </is>
      </c>
      <c r="M656" t="inlineStr">
        <is>
          <t xml:space="preserve">P.Q.S TIPO ABC </t>
        </is>
      </c>
      <c r="N656" t="inlineStr">
        <is>
          <t>S/N</t>
        </is>
      </c>
      <c r="O656" t="inlineStr">
        <is>
          <t>R</t>
        </is>
      </c>
      <c r="P656">
        <f>TRIM(N656)</f>
        <v/>
      </c>
    </row>
    <row r="657">
      <c r="A657" t="inlineStr">
        <is>
          <t>CO-001408</t>
        </is>
      </c>
      <c r="B657" t="inlineStr">
        <is>
          <t>EMPRESA DE TRANSPORTES ONCE DE NOVIEMBRE</t>
        </is>
      </c>
      <c r="C657" t="inlineStr">
        <is>
          <t>PLACA:</t>
        </is>
      </c>
      <c r="D657" t="inlineStr">
        <is>
          <t>Ex – Hacienda Punchauca - Carabayllo</t>
        </is>
      </c>
      <c r="E657" t="inlineStr">
        <is>
          <t>Lima, 22 de Junio de 2023</t>
        </is>
      </c>
      <c r="F657" t="inlineStr">
        <is>
          <t>la Recarga y mantenimiento</t>
        </is>
      </c>
      <c r="G657" t="inlineStr">
        <is>
          <t>01</t>
        </is>
      </c>
      <c r="H657" t="inlineStr">
        <is>
          <t>06 KG</t>
        </is>
      </c>
      <c r="I657" t="inlineStr">
        <is>
          <t>VIGENTE</t>
        </is>
      </c>
      <c r="J657" t="n">
        <v>2015</v>
      </c>
      <c r="K657" t="inlineStr">
        <is>
          <t>JUNIO 2023</t>
        </is>
      </c>
      <c r="L657" t="inlineStr">
        <is>
          <t>JUNIO 2024</t>
        </is>
      </c>
      <c r="M657" t="inlineStr">
        <is>
          <t xml:space="preserve">P.Q.S TIPO ABC </t>
        </is>
      </c>
      <c r="N657" t="inlineStr">
        <is>
          <t>118818</t>
        </is>
      </c>
      <c r="O657" t="inlineStr">
        <is>
          <t>R</t>
        </is>
      </c>
      <c r="P657">
        <f>TRIM(N657)</f>
        <v/>
      </c>
    </row>
    <row r="658">
      <c r="A658" t="inlineStr">
        <is>
          <t>CO-001409</t>
        </is>
      </c>
      <c r="B658" t="inlineStr">
        <is>
          <t>ROBERTO MEJIA</t>
        </is>
      </c>
      <c r="C658" t="inlineStr">
        <is>
          <t>PLACA: CFK-577</t>
        </is>
      </c>
      <c r="E658" t="inlineStr">
        <is>
          <t>Lima, 23 de Junio de 2023</t>
        </is>
      </c>
      <c r="F658" t="inlineStr">
        <is>
          <t>la venta</t>
        </is>
      </c>
      <c r="G658" t="inlineStr">
        <is>
          <t>01</t>
        </is>
      </c>
      <c r="H658" t="inlineStr">
        <is>
          <t>02 KG</t>
        </is>
      </c>
      <c r="I658" t="inlineStr">
        <is>
          <t>2027</t>
        </is>
      </c>
      <c r="J658" t="n">
        <v>2022</v>
      </c>
      <c r="K658" t="inlineStr">
        <is>
          <t>JUNIO 2023</t>
        </is>
      </c>
      <c r="L658" t="inlineStr">
        <is>
          <t>JUNIO 2024</t>
        </is>
      </c>
      <c r="M658" t="inlineStr">
        <is>
          <t xml:space="preserve">P.Q.S TIPO ABC </t>
        </is>
      </c>
      <c r="N658" t="inlineStr">
        <is>
          <t>000745</t>
        </is>
      </c>
      <c r="O658" t="inlineStr">
        <is>
          <t>V</t>
        </is>
      </c>
      <c r="P658">
        <f>TRIM(N658)</f>
        <v/>
      </c>
    </row>
    <row r="659">
      <c r="A659" t="inlineStr">
        <is>
          <t>CO-001410</t>
        </is>
      </c>
      <c r="B659" t="inlineStr">
        <is>
          <t>ROSAS ROSARIO AGUIRRE CURE</t>
        </is>
      </c>
      <c r="C659" t="inlineStr">
        <is>
          <t>PLACA: ACT-504</t>
        </is>
      </c>
      <c r="E659" t="inlineStr">
        <is>
          <t>Lima, 26 de Junio de 2023</t>
        </is>
      </c>
      <c r="F659" t="inlineStr">
        <is>
          <t>la Recarga y mantenimiento</t>
        </is>
      </c>
      <c r="G659" t="inlineStr">
        <is>
          <t>01</t>
        </is>
      </c>
      <c r="H659" t="inlineStr">
        <is>
          <t>02 KG</t>
        </is>
      </c>
      <c r="I659" t="inlineStr">
        <is>
          <t>2027</t>
        </is>
      </c>
      <c r="J659" t="n">
        <v>2022</v>
      </c>
      <c r="K659" t="inlineStr">
        <is>
          <t>JUNIO 2023</t>
        </is>
      </c>
      <c r="L659" t="inlineStr">
        <is>
          <t>JUNIO 2024</t>
        </is>
      </c>
      <c r="M659" t="inlineStr">
        <is>
          <t xml:space="preserve">P.Q.S TIPO ABC </t>
        </is>
      </c>
      <c r="N659" t="inlineStr">
        <is>
          <t>000154</t>
        </is>
      </c>
      <c r="O659" t="inlineStr">
        <is>
          <t>V</t>
        </is>
      </c>
      <c r="P659">
        <f>TRIM(N659)</f>
        <v/>
      </c>
    </row>
    <row r="660">
      <c r="A660" t="inlineStr">
        <is>
          <t>CO-001411</t>
        </is>
      </c>
      <c r="B660" t="inlineStr">
        <is>
          <t>PERU MASIVO S.A.</t>
        </is>
      </c>
      <c r="C660" t="inlineStr">
        <is>
          <t>20492392031</t>
        </is>
      </c>
      <c r="D660" t="inlineStr">
        <is>
          <t>AV. LOS INCAS CDRA. 4 PATIO NORTE - COMAS</t>
        </is>
      </c>
      <c r="E660" t="inlineStr">
        <is>
          <t>Lima, 04 de Julio de 2023</t>
        </is>
      </c>
      <c r="F660" t="inlineStr">
        <is>
          <t>la Recarga y mantenimiento</t>
        </is>
      </c>
      <c r="G660" t="inlineStr">
        <is>
          <t>1</t>
        </is>
      </c>
      <c r="H660" t="inlineStr">
        <is>
          <t>06 KG</t>
        </is>
      </c>
      <c r="I660" t="inlineStr">
        <is>
          <t>2028</t>
        </is>
      </c>
      <c r="J660" t="n">
        <v>2010</v>
      </c>
      <c r="K660" t="inlineStr">
        <is>
          <t>JULIO 2023</t>
        </is>
      </c>
      <c r="L660" t="inlineStr">
        <is>
          <t>JULIO 2024</t>
        </is>
      </c>
      <c r="M660" t="inlineStr">
        <is>
          <t xml:space="preserve">P.Q.S TIPO ABC AL 90% NACIONAL </t>
        </is>
      </c>
      <c r="N660" t="inlineStr">
        <is>
          <t>151/000124</t>
        </is>
      </c>
      <c r="O660" t="inlineStr">
        <is>
          <t>R</t>
        </is>
      </c>
      <c r="P660">
        <f>TRIM(N660)</f>
        <v/>
      </c>
    </row>
    <row r="661">
      <c r="A661" t="inlineStr">
        <is>
          <t>CO-001411</t>
        </is>
      </c>
      <c r="B661" t="inlineStr">
        <is>
          <t>PERU MASIVO S.A.</t>
        </is>
      </c>
      <c r="C661" t="inlineStr">
        <is>
          <t>20492392031</t>
        </is>
      </c>
      <c r="D661" t="inlineStr">
        <is>
          <t>AV. LOS INCAS CDRA. 4 PATIO NORTE - COMAS</t>
        </is>
      </c>
      <c r="E661" t="inlineStr">
        <is>
          <t>Lima, 04 de Julio de 2023</t>
        </is>
      </c>
      <c r="F661" t="inlineStr">
        <is>
          <t>la Recarga y mantenimiento</t>
        </is>
      </c>
      <c r="G661" t="inlineStr">
        <is>
          <t>02</t>
        </is>
      </c>
      <c r="H661" t="inlineStr">
        <is>
          <t>06 KG</t>
        </is>
      </c>
      <c r="I661" t="inlineStr">
        <is>
          <t>2028</t>
        </is>
      </c>
      <c r="J661" t="n">
        <v>2010</v>
      </c>
      <c r="K661" t="inlineStr">
        <is>
          <t>JULIO 2023</t>
        </is>
      </c>
      <c r="L661" t="inlineStr">
        <is>
          <t>JULIO 2024</t>
        </is>
      </c>
      <c r="M661" t="inlineStr">
        <is>
          <t xml:space="preserve">P.Q.S TIPO ABC AL 90% NACIONAL </t>
        </is>
      </c>
      <c r="N661" t="inlineStr">
        <is>
          <t>177/000005</t>
        </is>
      </c>
      <c r="O661" t="inlineStr">
        <is>
          <t>R</t>
        </is>
      </c>
      <c r="P661">
        <f>TRIM(N661)</f>
        <v/>
      </c>
    </row>
    <row r="662">
      <c r="A662" t="inlineStr">
        <is>
          <t>CO-001411</t>
        </is>
      </c>
      <c r="B662" t="inlineStr">
        <is>
          <t>PERU MASIVO S.A.</t>
        </is>
      </c>
      <c r="C662" t="inlineStr">
        <is>
          <t>20492392031</t>
        </is>
      </c>
      <c r="D662" t="inlineStr">
        <is>
          <t>AV. LOS INCAS CDRA. 4 PATIO NORTE - COMAS</t>
        </is>
      </c>
      <c r="E662" t="inlineStr">
        <is>
          <t>Lima, 04 de Julio de 2023</t>
        </is>
      </c>
      <c r="F662" t="inlineStr">
        <is>
          <t>la Recarga y mantenimiento</t>
        </is>
      </c>
      <c r="G662" t="n">
        <v>3</v>
      </c>
      <c r="H662" t="inlineStr">
        <is>
          <t>06 KG</t>
        </is>
      </c>
      <c r="I662" t="n">
        <v>2028</v>
      </c>
      <c r="J662" t="n">
        <v>2009</v>
      </c>
      <c r="K662" t="inlineStr">
        <is>
          <t>JULIO 2023</t>
        </is>
      </c>
      <c r="L662" t="inlineStr">
        <is>
          <t>JULIO 2024</t>
        </is>
      </c>
      <c r="M662" t="inlineStr">
        <is>
          <t xml:space="preserve">P.Q.S TIPO ABC AL 90% NACIONAL </t>
        </is>
      </c>
      <c r="N662" t="inlineStr">
        <is>
          <t>80/000956</t>
        </is>
      </c>
      <c r="O662" t="inlineStr">
        <is>
          <t>R</t>
        </is>
      </c>
      <c r="P662">
        <f>TRIM(N662)</f>
        <v/>
      </c>
    </row>
    <row r="663">
      <c r="A663" t="inlineStr">
        <is>
          <t>CO-001411</t>
        </is>
      </c>
      <c r="B663" t="inlineStr">
        <is>
          <t>PERU MASIVO S.A.</t>
        </is>
      </c>
      <c r="C663" t="inlineStr">
        <is>
          <t>20492392031</t>
        </is>
      </c>
      <c r="D663" t="inlineStr">
        <is>
          <t>AV. LOS INCAS CDRA. 4 PATIO NORTE - COMAS</t>
        </is>
      </c>
      <c r="E663" t="inlineStr">
        <is>
          <t>Lima, 04 de Julio de 2023</t>
        </is>
      </c>
      <c r="F663" t="inlineStr">
        <is>
          <t>la Recarga y mantenimiento</t>
        </is>
      </c>
      <c r="G663" t="n">
        <v>4</v>
      </c>
      <c r="H663" t="inlineStr">
        <is>
          <t>06 KG</t>
        </is>
      </c>
      <c r="I663" t="n">
        <v>2028</v>
      </c>
      <c r="J663" t="n">
        <v>2010</v>
      </c>
      <c r="K663" t="inlineStr">
        <is>
          <t>JULIO 2023</t>
        </is>
      </c>
      <c r="L663" t="inlineStr">
        <is>
          <t>JULIO 2024</t>
        </is>
      </c>
      <c r="M663" t="inlineStr">
        <is>
          <t xml:space="preserve">P.Q.S TIPO ABC AL 90% NACIONAL </t>
        </is>
      </c>
      <c r="N663" t="inlineStr">
        <is>
          <t>152/000048</t>
        </is>
      </c>
      <c r="O663" t="inlineStr">
        <is>
          <t>R</t>
        </is>
      </c>
      <c r="P663">
        <f>TRIM(N663)</f>
        <v/>
      </c>
    </row>
    <row r="664">
      <c r="A664" t="inlineStr">
        <is>
          <t>CO-001411</t>
        </is>
      </c>
      <c r="B664" t="inlineStr">
        <is>
          <t>PERU MASIVO S.A.</t>
        </is>
      </c>
      <c r="C664" t="inlineStr">
        <is>
          <t>20492392031</t>
        </is>
      </c>
      <c r="D664" t="inlineStr">
        <is>
          <t>AV. LOS INCAS CDRA. 4 PATIO NORTE - COMAS</t>
        </is>
      </c>
      <c r="E664" t="inlineStr">
        <is>
          <t>Lima, 04 de Julio de 2023</t>
        </is>
      </c>
      <c r="F664" t="inlineStr">
        <is>
          <t>la Recarga y mantenimiento</t>
        </is>
      </c>
      <c r="G664" t="n">
        <v>5</v>
      </c>
      <c r="H664" t="inlineStr">
        <is>
          <t>06 KG</t>
        </is>
      </c>
      <c r="I664" t="n">
        <v>2028</v>
      </c>
      <c r="J664" t="n">
        <v>2010</v>
      </c>
      <c r="K664" t="inlineStr">
        <is>
          <t>JULIO 2023</t>
        </is>
      </c>
      <c r="L664" t="inlineStr">
        <is>
          <t>JULIO 2024</t>
        </is>
      </c>
      <c r="M664" t="inlineStr">
        <is>
          <t xml:space="preserve">P.Q.S TIPO ABC AL 90% NACIONAL </t>
        </is>
      </c>
      <c r="N664" t="inlineStr">
        <is>
          <t>369/001484</t>
        </is>
      </c>
      <c r="O664" t="inlineStr">
        <is>
          <t>R</t>
        </is>
      </c>
      <c r="P664">
        <f>TRIM(N664)</f>
        <v/>
      </c>
    </row>
    <row r="665">
      <c r="A665" t="inlineStr">
        <is>
          <t>CO-001411</t>
        </is>
      </c>
      <c r="B665" t="inlineStr">
        <is>
          <t>PERU MASIVO S.A.</t>
        </is>
      </c>
      <c r="C665" t="inlineStr">
        <is>
          <t>20492392031</t>
        </is>
      </c>
      <c r="D665" t="inlineStr">
        <is>
          <t>AV. LOS INCAS CDRA. 4 PATIO NORTE - COMAS</t>
        </is>
      </c>
      <c r="E665" t="inlineStr">
        <is>
          <t>Lima, 04 de Julio de 2023</t>
        </is>
      </c>
      <c r="F665" t="inlineStr">
        <is>
          <t>la Recarga y mantenimiento</t>
        </is>
      </c>
      <c r="G665" t="n">
        <v>6</v>
      </c>
      <c r="H665" t="inlineStr">
        <is>
          <t>06 KG</t>
        </is>
      </c>
      <c r="I665" t="n">
        <v>2028</v>
      </c>
      <c r="J665" t="n">
        <v>2009</v>
      </c>
      <c r="K665" t="inlineStr">
        <is>
          <t>JULIO 2023</t>
        </is>
      </c>
      <c r="L665" t="inlineStr">
        <is>
          <t>JULIO 2024</t>
        </is>
      </c>
      <c r="M665" t="inlineStr">
        <is>
          <t xml:space="preserve">P.Q.S TIPO ABC AL 90% NACIONAL </t>
        </is>
      </c>
      <c r="N665" t="inlineStr">
        <is>
          <t>195/001026</t>
        </is>
      </c>
      <c r="O665" t="inlineStr">
        <is>
          <t>R</t>
        </is>
      </c>
      <c r="P665">
        <f>TRIM(N665)</f>
        <v/>
      </c>
    </row>
    <row r="666">
      <c r="A666" t="inlineStr">
        <is>
          <t>CO-001411</t>
        </is>
      </c>
      <c r="B666" t="inlineStr">
        <is>
          <t>PERU MASIVO S.A.</t>
        </is>
      </c>
      <c r="C666" t="inlineStr">
        <is>
          <t>20492392031</t>
        </is>
      </c>
      <c r="D666" t="inlineStr">
        <is>
          <t>AV. LOS INCAS CDRA. 4 PATIO NORTE - COMAS</t>
        </is>
      </c>
      <c r="E666" t="inlineStr">
        <is>
          <t>Lima, 04 de Julio de 2023</t>
        </is>
      </c>
      <c r="F666" t="inlineStr">
        <is>
          <t>la Recarga y mantenimiento</t>
        </is>
      </c>
      <c r="G666" t="n">
        <v>7</v>
      </c>
      <c r="H666" t="inlineStr">
        <is>
          <t>06 KG</t>
        </is>
      </c>
      <c r="I666" t="n">
        <v>2028</v>
      </c>
      <c r="J666" t="n">
        <v>2009</v>
      </c>
      <c r="K666" t="inlineStr">
        <is>
          <t>JULIO 2023</t>
        </is>
      </c>
      <c r="L666" t="inlineStr">
        <is>
          <t>JULIO 2024</t>
        </is>
      </c>
      <c r="M666" t="inlineStr">
        <is>
          <t xml:space="preserve">P.Q.S TIPO ABC AL 90% NACIONAL </t>
        </is>
      </c>
      <c r="N666" t="inlineStr">
        <is>
          <t>374/001418</t>
        </is>
      </c>
      <c r="O666" t="inlineStr">
        <is>
          <t>R</t>
        </is>
      </c>
      <c r="P666">
        <f>TRIM(N666)</f>
        <v/>
      </c>
    </row>
    <row r="667">
      <c r="A667" t="inlineStr">
        <is>
          <t>CO-001411</t>
        </is>
      </c>
      <c r="B667" t="inlineStr">
        <is>
          <t>PERU MASIVO S.A.</t>
        </is>
      </c>
      <c r="C667" t="inlineStr">
        <is>
          <t>20492392031</t>
        </is>
      </c>
      <c r="D667" t="inlineStr">
        <is>
          <t>AV. LOS INCAS CDRA. 4 PATIO NORTE - COMAS</t>
        </is>
      </c>
      <c r="E667" t="inlineStr">
        <is>
          <t>Lima, 04 de Julio de 2023</t>
        </is>
      </c>
      <c r="F667" t="inlineStr">
        <is>
          <t>la Recarga y mantenimiento</t>
        </is>
      </c>
      <c r="G667" t="n">
        <v>8</v>
      </c>
      <c r="H667" t="inlineStr">
        <is>
          <t>06 KG</t>
        </is>
      </c>
      <c r="I667" t="n">
        <v>2028</v>
      </c>
      <c r="J667" t="n">
        <v>2009</v>
      </c>
      <c r="K667" t="inlineStr">
        <is>
          <t>JULIO 2023</t>
        </is>
      </c>
      <c r="L667" t="inlineStr">
        <is>
          <t>JULIO 2024</t>
        </is>
      </c>
      <c r="M667" t="inlineStr">
        <is>
          <t xml:space="preserve">P.Q.S TIPO ABC AL 90% NACIONAL </t>
        </is>
      </c>
      <c r="N667" t="inlineStr">
        <is>
          <t>S/N/000966</t>
        </is>
      </c>
      <c r="O667" t="inlineStr">
        <is>
          <t>R</t>
        </is>
      </c>
      <c r="P667">
        <f>TRIM(N667)</f>
        <v/>
      </c>
    </row>
    <row r="668">
      <c r="A668" t="inlineStr">
        <is>
          <t>CO-001411</t>
        </is>
      </c>
      <c r="B668" t="inlineStr">
        <is>
          <t>PERU MASIVO S.A.</t>
        </is>
      </c>
      <c r="C668" t="inlineStr">
        <is>
          <t>20492392031</t>
        </is>
      </c>
      <c r="D668" t="inlineStr">
        <is>
          <t>AV. LOS INCAS CDRA. 4 PATIO NORTE - COMAS</t>
        </is>
      </c>
      <c r="E668" t="inlineStr">
        <is>
          <t>Lima, 04 de Julio de 2023</t>
        </is>
      </c>
      <c r="F668" t="inlineStr">
        <is>
          <t>la Recarga y mantenimiento</t>
        </is>
      </c>
      <c r="G668" t="n">
        <v>9</v>
      </c>
      <c r="H668" t="inlineStr">
        <is>
          <t>06 KG</t>
        </is>
      </c>
      <c r="I668" t="n">
        <v>2028</v>
      </c>
      <c r="J668" t="n">
        <v>2013</v>
      </c>
      <c r="K668" t="inlineStr">
        <is>
          <t>JULIO 2023</t>
        </is>
      </c>
      <c r="L668" t="inlineStr">
        <is>
          <t>JULIO 2024</t>
        </is>
      </c>
      <c r="M668" t="inlineStr">
        <is>
          <t xml:space="preserve">P.Q.S TIPO ABC AL 90% NACIONAL </t>
        </is>
      </c>
      <c r="N668" t="inlineStr">
        <is>
          <t>354/017130</t>
        </is>
      </c>
      <c r="O668" t="inlineStr">
        <is>
          <t>R</t>
        </is>
      </c>
      <c r="P668">
        <f>TRIM(N668)</f>
        <v/>
      </c>
    </row>
    <row r="669">
      <c r="A669" t="inlineStr">
        <is>
          <t>CO-001411</t>
        </is>
      </c>
      <c r="B669" t="inlineStr">
        <is>
          <t>PERU MASIVO S.A.</t>
        </is>
      </c>
      <c r="C669" t="inlineStr">
        <is>
          <t>20492392031</t>
        </is>
      </c>
      <c r="D669" t="inlineStr">
        <is>
          <t>AV. LOS INCAS CDRA. 4 PATIO NORTE - COMAS</t>
        </is>
      </c>
      <c r="E669" t="inlineStr">
        <is>
          <t>Lima, 04 de Julio de 2023</t>
        </is>
      </c>
      <c r="F669" t="inlineStr">
        <is>
          <t>la Recarga y mantenimiento</t>
        </is>
      </c>
      <c r="G669" t="n">
        <v>10</v>
      </c>
      <c r="H669" t="inlineStr">
        <is>
          <t>06 KG</t>
        </is>
      </c>
      <c r="I669" t="n">
        <v>2028</v>
      </c>
      <c r="J669" t="n">
        <v>2009</v>
      </c>
      <c r="K669" t="inlineStr">
        <is>
          <t>JULIO 2023</t>
        </is>
      </c>
      <c r="L669" t="inlineStr">
        <is>
          <t>JULIO 2024</t>
        </is>
      </c>
      <c r="M669" t="inlineStr">
        <is>
          <t xml:space="preserve">P.Q.S TIPO ABC AL 90% NACIONAL </t>
        </is>
      </c>
      <c r="N669" t="inlineStr">
        <is>
          <t>281/002480</t>
        </is>
      </c>
      <c r="O669" t="inlineStr">
        <is>
          <t>R</t>
        </is>
      </c>
      <c r="P669">
        <f>TRIM(N669)</f>
        <v/>
      </c>
    </row>
    <row r="670">
      <c r="A670" t="inlineStr">
        <is>
          <t>CO-001412</t>
        </is>
      </c>
      <c r="B670" t="inlineStr">
        <is>
          <t>PERU MASIVO S.A.</t>
        </is>
      </c>
      <c r="C670" t="inlineStr">
        <is>
          <t>20492392031</t>
        </is>
      </c>
      <c r="D670" t="inlineStr">
        <is>
          <t>AV. LOS INCAS CDRA. 4 PATIO NORTE - COMAS</t>
        </is>
      </c>
      <c r="E670" t="inlineStr">
        <is>
          <t>Lima, 04 de Julio de 2023</t>
        </is>
      </c>
      <c r="F670" t="inlineStr">
        <is>
          <t>la Recarga y mantenimiento</t>
        </is>
      </c>
      <c r="G670" t="inlineStr">
        <is>
          <t>1</t>
        </is>
      </c>
      <c r="H670" t="inlineStr">
        <is>
          <t>06 KG</t>
        </is>
      </c>
      <c r="I670" t="inlineStr">
        <is>
          <t>2028</t>
        </is>
      </c>
      <c r="J670" t="n">
        <v>2010</v>
      </c>
      <c r="K670" t="inlineStr">
        <is>
          <t>JULIO 2023</t>
        </is>
      </c>
      <c r="L670" t="inlineStr">
        <is>
          <t>JULIO 2024</t>
        </is>
      </c>
      <c r="M670" t="inlineStr">
        <is>
          <t xml:space="preserve">P.Q.S TIPO ABC AL 90% NACIONAL </t>
        </is>
      </c>
      <c r="N670" t="inlineStr">
        <is>
          <t>213/000476</t>
        </is>
      </c>
      <c r="O670" t="inlineStr">
        <is>
          <t>R</t>
        </is>
      </c>
      <c r="P670">
        <f>TRIM(N670)</f>
        <v/>
      </c>
    </row>
    <row r="671">
      <c r="A671" t="inlineStr">
        <is>
          <t>CO-001412</t>
        </is>
      </c>
      <c r="B671" t="inlineStr">
        <is>
          <t>PERU MASIVO S.A.</t>
        </is>
      </c>
      <c r="C671" t="inlineStr">
        <is>
          <t>20492392031</t>
        </is>
      </c>
      <c r="D671" t="inlineStr">
        <is>
          <t>AV. LOS INCAS CDRA. 4 PATIO NORTE - COMAS</t>
        </is>
      </c>
      <c r="E671" t="inlineStr">
        <is>
          <t>Lima, 04 de Julio de 2023</t>
        </is>
      </c>
      <c r="F671" t="inlineStr">
        <is>
          <t>la Recarga y mantenimiento</t>
        </is>
      </c>
      <c r="G671" t="inlineStr">
        <is>
          <t>02</t>
        </is>
      </c>
      <c r="H671" t="inlineStr">
        <is>
          <t>06 KG</t>
        </is>
      </c>
      <c r="I671" t="inlineStr">
        <is>
          <t>2028</t>
        </is>
      </c>
      <c r="J671" t="n">
        <v>2009</v>
      </c>
      <c r="K671" t="inlineStr">
        <is>
          <t>JULIO 2023</t>
        </is>
      </c>
      <c r="L671" t="inlineStr">
        <is>
          <t>JULIO 2024</t>
        </is>
      </c>
      <c r="M671" t="inlineStr">
        <is>
          <t xml:space="preserve">P.Q.S TIPO ABC AL 90% NACIONAL </t>
        </is>
      </c>
      <c r="N671" t="inlineStr">
        <is>
          <t>90/001457</t>
        </is>
      </c>
      <c r="O671" t="inlineStr">
        <is>
          <t>R</t>
        </is>
      </c>
      <c r="P671">
        <f>TRIM(N671)</f>
        <v/>
      </c>
    </row>
    <row r="672">
      <c r="A672" t="inlineStr">
        <is>
          <t>CO-001412</t>
        </is>
      </c>
      <c r="B672" t="inlineStr">
        <is>
          <t>PERU MASIVO S.A.</t>
        </is>
      </c>
      <c r="C672" t="inlineStr">
        <is>
          <t>20492392031</t>
        </is>
      </c>
      <c r="D672" t="inlineStr">
        <is>
          <t>AV. LOS INCAS CDRA. 4 PATIO NORTE - COMAS</t>
        </is>
      </c>
      <c r="E672" t="inlineStr">
        <is>
          <t>Lima, 04 de Julio de 2023</t>
        </is>
      </c>
      <c r="F672" t="inlineStr">
        <is>
          <t>la Recarga y mantenimiento</t>
        </is>
      </c>
      <c r="G672" t="n">
        <v>3</v>
      </c>
      <c r="H672" t="inlineStr">
        <is>
          <t>06 KG</t>
        </is>
      </c>
      <c r="I672" t="n">
        <v>2028</v>
      </c>
      <c r="J672" t="n">
        <v>2009</v>
      </c>
      <c r="K672" t="inlineStr">
        <is>
          <t>JULIO 2023</t>
        </is>
      </c>
      <c r="L672" t="inlineStr">
        <is>
          <t>JULIO 2024</t>
        </is>
      </c>
      <c r="M672" t="inlineStr">
        <is>
          <t xml:space="preserve">P.Q.S TIPO ABC AL 90% NACIONAL </t>
        </is>
      </c>
      <c r="N672" t="inlineStr">
        <is>
          <t>202/000148</t>
        </is>
      </c>
      <c r="O672" t="inlineStr">
        <is>
          <t>R</t>
        </is>
      </c>
      <c r="P672">
        <f>TRIM(N672)</f>
        <v/>
      </c>
    </row>
    <row r="673">
      <c r="A673" t="inlineStr">
        <is>
          <t>CO-001412</t>
        </is>
      </c>
      <c r="B673" t="inlineStr">
        <is>
          <t>PERU MASIVO S.A.</t>
        </is>
      </c>
      <c r="C673" t="inlineStr">
        <is>
          <t>20492392031</t>
        </is>
      </c>
      <c r="D673" t="inlineStr">
        <is>
          <t>AV. LOS INCAS CDRA. 4 PATIO NORTE - COMAS</t>
        </is>
      </c>
      <c r="E673" t="inlineStr">
        <is>
          <t>Lima, 04 de Julio de 2023</t>
        </is>
      </c>
      <c r="F673" t="inlineStr">
        <is>
          <t>la Recarga y mantenimiento</t>
        </is>
      </c>
      <c r="G673" t="n">
        <v>4</v>
      </c>
      <c r="H673" t="inlineStr">
        <is>
          <t>06 KG</t>
        </is>
      </c>
      <c r="I673" t="n">
        <v>2028</v>
      </c>
      <c r="J673" t="n">
        <v>2016</v>
      </c>
      <c r="K673" t="inlineStr">
        <is>
          <t>JULIO 2023</t>
        </is>
      </c>
      <c r="L673" t="inlineStr">
        <is>
          <t>JULIO 2024</t>
        </is>
      </c>
      <c r="M673" t="inlineStr">
        <is>
          <t xml:space="preserve">P.Q.S TIPO ABC AL 90% NACIONAL </t>
        </is>
      </c>
      <c r="N673" t="inlineStr">
        <is>
          <t>S/N/000375</t>
        </is>
      </c>
      <c r="O673" t="inlineStr">
        <is>
          <t>R</t>
        </is>
      </c>
      <c r="P673">
        <f>TRIM(N673)</f>
        <v/>
      </c>
    </row>
    <row r="674">
      <c r="A674" t="inlineStr">
        <is>
          <t>CO-001412</t>
        </is>
      </c>
      <c r="B674" t="inlineStr">
        <is>
          <t>PERU MASIVO S.A.</t>
        </is>
      </c>
      <c r="C674" t="inlineStr">
        <is>
          <t>20492392031</t>
        </is>
      </c>
      <c r="D674" t="inlineStr">
        <is>
          <t>AV. LOS INCAS CDRA. 4 PATIO NORTE - COMAS</t>
        </is>
      </c>
      <c r="E674" t="inlineStr">
        <is>
          <t>Lima, 04 de Julio de 2023</t>
        </is>
      </c>
      <c r="F674" t="inlineStr">
        <is>
          <t>la Recarga y mantenimiento</t>
        </is>
      </c>
      <c r="G674" t="n">
        <v>5</v>
      </c>
      <c r="H674" t="inlineStr">
        <is>
          <t>06 KG</t>
        </is>
      </c>
      <c r="I674" t="n">
        <v>2028</v>
      </c>
      <c r="J674" t="n">
        <v>2010</v>
      </c>
      <c r="K674" t="inlineStr">
        <is>
          <t>JULIO 2023</t>
        </is>
      </c>
      <c r="L674" t="inlineStr">
        <is>
          <t>JULIO 2024</t>
        </is>
      </c>
      <c r="M674" t="inlineStr">
        <is>
          <t xml:space="preserve">P.Q.S TIPO ABC AL 90% NACIONAL </t>
        </is>
      </c>
      <c r="N674" t="inlineStr">
        <is>
          <t>S/N/000005</t>
        </is>
      </c>
      <c r="O674" t="inlineStr">
        <is>
          <t>R</t>
        </is>
      </c>
      <c r="P674">
        <f>TRIM(N674)</f>
        <v/>
      </c>
    </row>
    <row r="675">
      <c r="A675" t="inlineStr">
        <is>
          <t>CO-001413</t>
        </is>
      </c>
      <c r="B675" t="inlineStr">
        <is>
          <t>CESAR BRUNO GAMBOA GUTIERREZ</t>
        </is>
      </c>
      <c r="C675" t="inlineStr">
        <is>
          <t>PLACA: BLR300</t>
        </is>
      </c>
      <c r="D675" t="inlineStr">
        <is>
          <t>Calle las Dalias 130 Urb La Alborada Comas</t>
        </is>
      </c>
      <c r="E675" t="inlineStr">
        <is>
          <t>Lima, 04 de Julio de 2023</t>
        </is>
      </c>
      <c r="F675" t="inlineStr">
        <is>
          <t>la Recarga y mantenimiento</t>
        </is>
      </c>
      <c r="G675" t="inlineStr">
        <is>
          <t>01</t>
        </is>
      </c>
      <c r="H675" t="inlineStr">
        <is>
          <t>02 KG</t>
        </is>
      </c>
      <c r="I675" t="inlineStr">
        <is>
          <t>VIGENTE</t>
        </is>
      </c>
      <c r="J675" t="n">
        <v>2010</v>
      </c>
      <c r="K675" t="inlineStr">
        <is>
          <t>JULIO 2023</t>
        </is>
      </c>
      <c r="L675" t="inlineStr">
        <is>
          <t>JULIO 2024</t>
        </is>
      </c>
      <c r="M675" t="inlineStr">
        <is>
          <t xml:space="preserve">P.Q.S TIPO ABC </t>
        </is>
      </c>
      <c r="N675" t="inlineStr">
        <is>
          <t>006519</t>
        </is>
      </c>
      <c r="O675" t="inlineStr">
        <is>
          <t>R</t>
        </is>
      </c>
      <c r="P675">
        <f>TRIM(N675)</f>
        <v/>
      </c>
    </row>
    <row r="676">
      <c r="A676" t="inlineStr">
        <is>
          <t>CO-001414</t>
        </is>
      </c>
      <c r="B676" t="inlineStr">
        <is>
          <t>ALFREDO RUBIÑOS BOVE</t>
        </is>
      </c>
      <c r="C676" t="inlineStr">
        <is>
          <t>PLACA: GO1654</t>
        </is>
      </c>
      <c r="E676" t="inlineStr">
        <is>
          <t>Lima, 07 de Julio de 2023</t>
        </is>
      </c>
      <c r="F676" t="inlineStr">
        <is>
          <t>la Recarga y mantenimiento</t>
        </is>
      </c>
      <c r="G676" t="inlineStr">
        <is>
          <t>01</t>
        </is>
      </c>
      <c r="H676" t="inlineStr">
        <is>
          <t>02 KG</t>
        </is>
      </c>
      <c r="I676" t="inlineStr">
        <is>
          <t>2028</t>
        </is>
      </c>
      <c r="J676" t="n">
        <v>2017</v>
      </c>
      <c r="K676" t="inlineStr">
        <is>
          <t>JULIO 2023</t>
        </is>
      </c>
      <c r="L676" t="inlineStr">
        <is>
          <t>JULIO 2024</t>
        </is>
      </c>
      <c r="M676" t="inlineStr">
        <is>
          <t xml:space="preserve">P.Q.S TIPO ABC </t>
        </is>
      </c>
      <c r="N676" t="inlineStr">
        <is>
          <t>000133</t>
        </is>
      </c>
      <c r="O676" t="inlineStr">
        <is>
          <t>R</t>
        </is>
      </c>
      <c r="P676">
        <f>TRIM(N676)</f>
        <v/>
      </c>
    </row>
    <row r="677">
      <c r="A677" t="inlineStr">
        <is>
          <t>CO-001415</t>
        </is>
      </c>
      <c r="B677" t="inlineStr">
        <is>
          <t>DEYSI FLORES BENITES</t>
        </is>
      </c>
      <c r="D677" t="inlineStr">
        <is>
          <t>AV LOS INCAS 734</t>
        </is>
      </c>
      <c r="E677" t="inlineStr">
        <is>
          <t>Lima, 07 de Julio de 2023</t>
        </is>
      </c>
      <c r="F677" t="inlineStr">
        <is>
          <t>la Recarga y mantenimiento</t>
        </is>
      </c>
      <c r="G677" t="inlineStr">
        <is>
          <t>01</t>
        </is>
      </c>
      <c r="H677" t="inlineStr">
        <is>
          <t>06 KG</t>
        </is>
      </c>
      <c r="I677" t="inlineStr">
        <is>
          <t>2028</t>
        </is>
      </c>
      <c r="J677" t="n">
        <v>2016</v>
      </c>
      <c r="K677" t="inlineStr">
        <is>
          <t>JULIO 2023</t>
        </is>
      </c>
      <c r="L677" t="inlineStr">
        <is>
          <t>JULIO 2024</t>
        </is>
      </c>
      <c r="M677" t="inlineStr">
        <is>
          <t xml:space="preserve">P.Q.S TIPO ABC </t>
        </is>
      </c>
      <c r="N677" t="inlineStr">
        <is>
          <t>009840</t>
        </is>
      </c>
      <c r="O677" t="inlineStr">
        <is>
          <t>R</t>
        </is>
      </c>
      <c r="P677">
        <f>TRIM(N677)</f>
        <v/>
      </c>
    </row>
    <row r="678">
      <c r="A678" t="inlineStr">
        <is>
          <t>CO-001416</t>
        </is>
      </c>
      <c r="B678" t="inlineStr">
        <is>
          <t>DEISI VILLOSLADA REGALADO</t>
        </is>
      </c>
      <c r="D678" t="inlineStr">
        <is>
          <t>AV LOS INCAS 734-B MZ J LT 19 SAN JUAN BAUTISTA</t>
        </is>
      </c>
      <c r="E678" t="inlineStr">
        <is>
          <t>Lima, 07 de Julio de 2023</t>
        </is>
      </c>
      <c r="F678" t="inlineStr">
        <is>
          <t>la Recarga y mantenimiento</t>
        </is>
      </c>
      <c r="G678" t="inlineStr">
        <is>
          <t>01</t>
        </is>
      </c>
      <c r="H678" t="inlineStr">
        <is>
          <t>06 KG</t>
        </is>
      </c>
      <c r="I678" t="inlineStr">
        <is>
          <t>2028</t>
        </is>
      </c>
      <c r="J678" t="n">
        <v>2017</v>
      </c>
      <c r="K678" t="inlineStr">
        <is>
          <t>JULIO 2023</t>
        </is>
      </c>
      <c r="L678" t="inlineStr">
        <is>
          <t>JULIO 2024</t>
        </is>
      </c>
      <c r="M678" t="inlineStr">
        <is>
          <t xml:space="preserve">P.Q.S TIPO ABC </t>
        </is>
      </c>
      <c r="N678" t="inlineStr">
        <is>
          <t>063638</t>
        </is>
      </c>
      <c r="O678" t="inlineStr">
        <is>
          <t>R</t>
        </is>
      </c>
      <c r="P678">
        <f>TRIM(N678)</f>
        <v/>
      </c>
    </row>
    <row r="679">
      <c r="A679" t="inlineStr">
        <is>
          <t>CO-001417</t>
        </is>
      </c>
      <c r="B679" t="inlineStr">
        <is>
          <t>EDELMIRA RODRIGUEZ</t>
        </is>
      </c>
      <c r="C679" t="inlineStr">
        <is>
          <t>44109364</t>
        </is>
      </c>
      <c r="D679" t="inlineStr">
        <is>
          <t>MERCADO LA FRONTERA PSTO. E1</t>
        </is>
      </c>
      <c r="E679" t="inlineStr">
        <is>
          <t>Lima, 07 de Julio de 2023</t>
        </is>
      </c>
      <c r="F679" t="inlineStr">
        <is>
          <t>la Recarga y mantenimiento</t>
        </is>
      </c>
      <c r="G679" t="inlineStr">
        <is>
          <t>01</t>
        </is>
      </c>
      <c r="H679" t="inlineStr">
        <is>
          <t>06 KG</t>
        </is>
      </c>
      <c r="I679" t="inlineStr">
        <is>
          <t>VIGENTE</t>
        </is>
      </c>
      <c r="J679" t="n">
        <v>2010</v>
      </c>
      <c r="K679" t="inlineStr">
        <is>
          <t>JULIO 2023</t>
        </is>
      </c>
      <c r="L679" t="inlineStr">
        <is>
          <t>JULIO 2024</t>
        </is>
      </c>
      <c r="M679" t="inlineStr">
        <is>
          <t xml:space="preserve">P.Q.S TIPO ABC </t>
        </is>
      </c>
      <c r="N679" t="inlineStr">
        <is>
          <t>005463</t>
        </is>
      </c>
      <c r="O679" t="inlineStr">
        <is>
          <t>R</t>
        </is>
      </c>
      <c r="P679">
        <f>TRIM(N679)</f>
        <v/>
      </c>
    </row>
    <row r="680">
      <c r="A680" t="inlineStr">
        <is>
          <t>CO-001418</t>
        </is>
      </c>
      <c r="B680" t="inlineStr">
        <is>
          <t>EDELMIRA RODRIGUEZ</t>
        </is>
      </c>
      <c r="C680" t="inlineStr">
        <is>
          <t>44109364</t>
        </is>
      </c>
      <c r="D680" t="inlineStr">
        <is>
          <t>MERCADO LA FRONTERA PSTO. E20</t>
        </is>
      </c>
      <c r="E680" t="inlineStr">
        <is>
          <t>Lima, 07 de Julio de 2023</t>
        </is>
      </c>
      <c r="F680" t="inlineStr">
        <is>
          <t>la Recarga y mantenimiento</t>
        </is>
      </c>
      <c r="G680" t="inlineStr">
        <is>
          <t>01</t>
        </is>
      </c>
      <c r="H680" t="inlineStr">
        <is>
          <t>06 KG</t>
        </is>
      </c>
      <c r="I680" t="inlineStr">
        <is>
          <t>VIGENTE</t>
        </is>
      </c>
      <c r="J680" t="n">
        <v>2021</v>
      </c>
      <c r="K680" t="inlineStr">
        <is>
          <t>JULIO 2023</t>
        </is>
      </c>
      <c r="L680" t="inlineStr">
        <is>
          <t>JULIO 2024</t>
        </is>
      </c>
      <c r="M680" t="inlineStr">
        <is>
          <t xml:space="preserve">P.Q.S TIPO ABC </t>
        </is>
      </c>
      <c r="N680" t="inlineStr">
        <is>
          <t>013389</t>
        </is>
      </c>
      <c r="O680" t="inlineStr">
        <is>
          <t>R</t>
        </is>
      </c>
      <c r="P680">
        <f>TRIM(N680)</f>
        <v/>
      </c>
    </row>
    <row r="681">
      <c r="A681" t="inlineStr">
        <is>
          <t>CO-001419</t>
        </is>
      </c>
      <c r="B681" t="inlineStr">
        <is>
          <t>FANNY VICENTE</t>
        </is>
      </c>
      <c r="C681" t="inlineStr">
        <is>
          <t>10069987</t>
        </is>
      </c>
      <c r="D681" t="inlineStr">
        <is>
          <t>MERCADO LA FRONTERA PSTO. J9</t>
        </is>
      </c>
      <c r="E681" t="inlineStr">
        <is>
          <t>Lima, 07 de Julio de 2023</t>
        </is>
      </c>
      <c r="F681" t="inlineStr">
        <is>
          <t>la Recarga y mantenimiento</t>
        </is>
      </c>
      <c r="G681" t="inlineStr">
        <is>
          <t>01</t>
        </is>
      </c>
      <c r="H681" t="inlineStr">
        <is>
          <t>06 KG</t>
        </is>
      </c>
      <c r="I681" t="inlineStr">
        <is>
          <t>2028</t>
        </is>
      </c>
      <c r="J681" t="n">
        <v>2016</v>
      </c>
      <c r="K681" t="inlineStr">
        <is>
          <t>JULIO 2023</t>
        </is>
      </c>
      <c r="L681" t="inlineStr">
        <is>
          <t>JULIO 2024</t>
        </is>
      </c>
      <c r="M681" t="inlineStr">
        <is>
          <t xml:space="preserve">P.Q.S TIPO ABC </t>
        </is>
      </c>
      <c r="N681" t="inlineStr">
        <is>
          <t>007353</t>
        </is>
      </c>
      <c r="O681" t="inlineStr">
        <is>
          <t>R</t>
        </is>
      </c>
      <c r="P681">
        <f>TRIM(N681)</f>
        <v/>
      </c>
    </row>
    <row r="682">
      <c r="A682" t="inlineStr">
        <is>
          <t>CO-001420</t>
        </is>
      </c>
      <c r="B682" t="inlineStr">
        <is>
          <t>MARY HIDALGO</t>
        </is>
      </c>
      <c r="C682" t="inlineStr">
        <is>
          <t>44202702</t>
        </is>
      </c>
      <c r="D682" t="inlineStr">
        <is>
          <t>MERCADO LA FRONTERA PSTO. J1</t>
        </is>
      </c>
      <c r="E682" t="inlineStr">
        <is>
          <t>Lima, 07 de Julio de 2023</t>
        </is>
      </c>
      <c r="F682" t="inlineStr">
        <is>
          <t>la Recarga y mantenimiento</t>
        </is>
      </c>
      <c r="G682" t="inlineStr">
        <is>
          <t>01</t>
        </is>
      </c>
      <c r="H682" t="inlineStr">
        <is>
          <t>06 KG</t>
        </is>
      </c>
      <c r="I682" t="inlineStr">
        <is>
          <t>VIGENTE</t>
        </is>
      </c>
      <c r="J682" t="n">
        <v>2011</v>
      </c>
      <c r="K682" t="inlineStr">
        <is>
          <t>JULIO 2023</t>
        </is>
      </c>
      <c r="L682" t="inlineStr">
        <is>
          <t>JULIO 2024</t>
        </is>
      </c>
      <c r="M682" t="inlineStr">
        <is>
          <t xml:space="preserve">P.Q.S TIPO ABC </t>
        </is>
      </c>
      <c r="N682" t="inlineStr">
        <is>
          <t>000008</t>
        </is>
      </c>
      <c r="O682" t="inlineStr">
        <is>
          <t>R</t>
        </is>
      </c>
      <c r="P682">
        <f>TRIM(N682)</f>
        <v/>
      </c>
    </row>
    <row r="683">
      <c r="A683" t="inlineStr">
        <is>
          <t>CO-001421</t>
        </is>
      </c>
      <c r="B683" t="inlineStr">
        <is>
          <t>YOLANDA VERGARA</t>
        </is>
      </c>
      <c r="C683" t="inlineStr">
        <is>
          <t>09084800</t>
        </is>
      </c>
      <c r="D683" t="inlineStr">
        <is>
          <t>MERCADO LA FRONTERA PSTO. F1</t>
        </is>
      </c>
      <c r="E683" t="inlineStr">
        <is>
          <t>Lima, 07 de Julio de 2023</t>
        </is>
      </c>
      <c r="F683" t="inlineStr">
        <is>
          <t>la Recarga y mantenimiento</t>
        </is>
      </c>
      <c r="G683" t="inlineStr">
        <is>
          <t>01</t>
        </is>
      </c>
      <c r="H683" t="inlineStr">
        <is>
          <t>06 KG</t>
        </is>
      </c>
      <c r="I683" t="inlineStr">
        <is>
          <t>2024</t>
        </is>
      </c>
      <c r="J683" t="n">
        <v>2019</v>
      </c>
      <c r="K683" t="inlineStr">
        <is>
          <t>JULIO 2023</t>
        </is>
      </c>
      <c r="L683" t="inlineStr">
        <is>
          <t>JULIO 2024</t>
        </is>
      </c>
      <c r="M683" t="inlineStr">
        <is>
          <t xml:space="preserve">P.Q.S TIPO ABC </t>
        </is>
      </c>
      <c r="N683" t="inlineStr">
        <is>
          <t>001604</t>
        </is>
      </c>
      <c r="O683" t="inlineStr">
        <is>
          <t>R</t>
        </is>
      </c>
      <c r="P683">
        <f>TRIM(N683)</f>
        <v/>
      </c>
    </row>
    <row r="684">
      <c r="A684" t="inlineStr">
        <is>
          <t>CO-001422</t>
        </is>
      </c>
      <c r="B684" t="inlineStr">
        <is>
          <t>MARILYN PRUDENCIO</t>
        </is>
      </c>
      <c r="D684" t="inlineStr">
        <is>
          <t>JR. MADRE SELVA 333 STA ISABEL</t>
        </is>
      </c>
      <c r="E684" t="inlineStr">
        <is>
          <t>Lima, 07 de Julio de 2023</t>
        </is>
      </c>
      <c r="F684" t="inlineStr">
        <is>
          <t>la Recarga y mantenimiento</t>
        </is>
      </c>
      <c r="G684" t="inlineStr">
        <is>
          <t>01</t>
        </is>
      </c>
      <c r="H684" t="inlineStr">
        <is>
          <t>06 KG</t>
        </is>
      </c>
      <c r="I684" t="inlineStr">
        <is>
          <t>2028</t>
        </is>
      </c>
      <c r="J684" t="n">
        <v>2015</v>
      </c>
      <c r="K684" t="inlineStr">
        <is>
          <t>JULIO 2023</t>
        </is>
      </c>
      <c r="L684" t="inlineStr">
        <is>
          <t>JULIO 2024</t>
        </is>
      </c>
      <c r="M684" t="inlineStr">
        <is>
          <t xml:space="preserve">P.Q.S TIPO ABC </t>
        </is>
      </c>
      <c r="N684" t="inlineStr">
        <is>
          <t>002197</t>
        </is>
      </c>
      <c r="O684" t="inlineStr">
        <is>
          <t>R</t>
        </is>
      </c>
      <c r="P684">
        <f>TRIM(N684)</f>
        <v/>
      </c>
    </row>
    <row r="685">
      <c r="A685" t="inlineStr">
        <is>
          <t>CO-001423</t>
        </is>
      </c>
      <c r="B685" t="inlineStr">
        <is>
          <t>PERU MASIVO S.A.</t>
        </is>
      </c>
      <c r="C685" t="inlineStr">
        <is>
          <t>20492392031</t>
        </is>
      </c>
      <c r="D685" t="inlineStr">
        <is>
          <t>AV. LOS INCAS CDRA. 4 PATIO NORTE - COMAS</t>
        </is>
      </c>
      <c r="E685" t="inlineStr">
        <is>
          <t>Lima, 11 de Julio de 2023</t>
        </is>
      </c>
      <c r="F685" t="inlineStr">
        <is>
          <t>la Recarga y mantenimiento</t>
        </is>
      </c>
      <c r="G685" t="inlineStr">
        <is>
          <t>01</t>
        </is>
      </c>
      <c r="H685" t="inlineStr">
        <is>
          <t>06 KG</t>
        </is>
      </c>
      <c r="I685" t="inlineStr">
        <is>
          <t>2028</t>
        </is>
      </c>
      <c r="J685" t="n">
        <v>2010</v>
      </c>
      <c r="K685" t="inlineStr">
        <is>
          <t>JULIO 2023</t>
        </is>
      </c>
      <c r="L685" t="inlineStr">
        <is>
          <t>JULIO 2024</t>
        </is>
      </c>
      <c r="M685" t="inlineStr">
        <is>
          <t xml:space="preserve">P.Q.S TIPO ABC AL 90% NACIONAL </t>
        </is>
      </c>
      <c r="N685" t="inlineStr">
        <is>
          <t>15/000005</t>
        </is>
      </c>
      <c r="O685" t="inlineStr">
        <is>
          <t>R</t>
        </is>
      </c>
      <c r="P685">
        <f>TRIM(N685)</f>
        <v/>
      </c>
    </row>
    <row r="686">
      <c r="A686" t="inlineStr">
        <is>
          <t>CO-001423</t>
        </is>
      </c>
      <c r="B686" t="inlineStr">
        <is>
          <t>PERU MASIVO S.A.</t>
        </is>
      </c>
      <c r="C686" t="inlineStr">
        <is>
          <t>20492392031</t>
        </is>
      </c>
      <c r="D686" t="inlineStr">
        <is>
          <t>AV. LOS INCAS CDRA. 4 PATIO NORTE - COMAS</t>
        </is>
      </c>
      <c r="E686" t="inlineStr">
        <is>
          <t>Lima, 11 de Julio de 2023</t>
        </is>
      </c>
      <c r="F686" t="inlineStr">
        <is>
          <t>la Recarga y mantenimiento</t>
        </is>
      </c>
      <c r="G686" t="inlineStr">
        <is>
          <t>02</t>
        </is>
      </c>
      <c r="H686" t="inlineStr">
        <is>
          <t>06 KG</t>
        </is>
      </c>
      <c r="I686" t="inlineStr">
        <is>
          <t>2028</t>
        </is>
      </c>
      <c r="J686" t="n">
        <v>2010</v>
      </c>
      <c r="K686" t="inlineStr">
        <is>
          <t>JULIO 2023</t>
        </is>
      </c>
      <c r="L686" t="inlineStr">
        <is>
          <t>JULIO 2024</t>
        </is>
      </c>
      <c r="M686" t="inlineStr">
        <is>
          <t xml:space="preserve">P.Q.S TIPO ABC AL 90% NACIONAL </t>
        </is>
      </c>
      <c r="N686" t="inlineStr">
        <is>
          <t>16/000223</t>
        </is>
      </c>
      <c r="O686" t="inlineStr">
        <is>
          <t>R</t>
        </is>
      </c>
      <c r="P686">
        <f>TRIM(N686)</f>
        <v/>
      </c>
    </row>
    <row r="687">
      <c r="A687" t="inlineStr">
        <is>
          <t>CO-001424</t>
        </is>
      </c>
      <c r="B687" t="inlineStr">
        <is>
          <t>QELLPU PERU S.A.</t>
        </is>
      </c>
      <c r="C687" t="n">
        <v>20492318656</v>
      </c>
      <c r="D687" t="inlineStr">
        <is>
          <t>AV. LOS INCAS CDRA. 4 PATIO NORTE - COMAS</t>
        </is>
      </c>
      <c r="E687" t="inlineStr">
        <is>
          <t>Lima, 11 de Julio de 2023</t>
        </is>
      </c>
      <c r="F687" t="inlineStr">
        <is>
          <t>la Presurizacion</t>
        </is>
      </c>
      <c r="G687" t="inlineStr">
        <is>
          <t>01</t>
        </is>
      </c>
      <c r="H687" t="inlineStr">
        <is>
          <t>06 KG</t>
        </is>
      </c>
      <c r="I687" t="inlineStr">
        <is>
          <t>2028</t>
        </is>
      </c>
      <c r="J687" t="n">
        <v>2009</v>
      </c>
      <c r="K687" t="inlineStr">
        <is>
          <t>JULIO 2023</t>
        </is>
      </c>
      <c r="L687" t="inlineStr">
        <is>
          <t>JULIO 2024</t>
        </is>
      </c>
      <c r="M687" t="inlineStr">
        <is>
          <t xml:space="preserve">P.Q.S TIPO ABC </t>
        </is>
      </c>
      <c r="N687" t="inlineStr">
        <is>
          <t>23/002313</t>
        </is>
      </c>
      <c r="O687" t="inlineStr">
        <is>
          <t>P</t>
        </is>
      </c>
      <c r="P687">
        <f>TRIM(N687)</f>
        <v/>
      </c>
    </row>
    <row r="688">
      <c r="A688" t="inlineStr">
        <is>
          <t>CO-001425</t>
        </is>
      </c>
      <c r="B688" t="inlineStr">
        <is>
          <t>JESUS ESTEBAN URETA CHOCCARI</t>
        </is>
      </c>
      <c r="C688" t="inlineStr">
        <is>
          <t>06901277</t>
        </is>
      </c>
      <c r="D688" t="inlineStr">
        <is>
          <t>MERCADO LA FRONTERA PSTO. A7</t>
        </is>
      </c>
      <c r="E688" t="inlineStr">
        <is>
          <t>Lima, 13 de Julio de 2023</t>
        </is>
      </c>
      <c r="F688" t="inlineStr">
        <is>
          <t>la Recarga y mantenimiento</t>
        </is>
      </c>
      <c r="G688" t="inlineStr">
        <is>
          <t>01</t>
        </is>
      </c>
      <c r="H688" t="inlineStr">
        <is>
          <t>06 KG</t>
        </is>
      </c>
      <c r="I688" t="inlineStr">
        <is>
          <t>VIGENTE</t>
        </is>
      </c>
      <c r="J688" t="n">
        <v>2015</v>
      </c>
      <c r="K688" t="inlineStr">
        <is>
          <t>JULIO 2023</t>
        </is>
      </c>
      <c r="L688" t="inlineStr">
        <is>
          <t>JULIO 2024</t>
        </is>
      </c>
      <c r="M688" t="inlineStr">
        <is>
          <t xml:space="preserve">P.Q.S TIPO ABC </t>
        </is>
      </c>
      <c r="N688" t="inlineStr">
        <is>
          <t>001991</t>
        </is>
      </c>
      <c r="O688" t="inlineStr">
        <is>
          <t>R</t>
        </is>
      </c>
      <c r="P688">
        <f>TRIM(N688)</f>
        <v/>
      </c>
    </row>
    <row r="689">
      <c r="A689" t="inlineStr">
        <is>
          <t>CO-001426</t>
        </is>
      </c>
      <c r="B689" t="inlineStr">
        <is>
          <t>MARIBEL VICTORIA URETA CERON</t>
        </is>
      </c>
      <c r="C689" t="inlineStr">
        <is>
          <t>10743092</t>
        </is>
      </c>
      <c r="D689" t="inlineStr">
        <is>
          <t>MERCADO LA FRONTERA PSTO. A6</t>
        </is>
      </c>
      <c r="E689" t="inlineStr">
        <is>
          <t>Lima, 13 de Julio de 2023</t>
        </is>
      </c>
      <c r="F689" t="inlineStr">
        <is>
          <t>la Recarga y mantenimiento</t>
        </is>
      </c>
      <c r="G689" t="inlineStr">
        <is>
          <t>01</t>
        </is>
      </c>
      <c r="H689" t="inlineStr">
        <is>
          <t>06 KG</t>
        </is>
      </c>
      <c r="I689" t="inlineStr">
        <is>
          <t>VIGENTE</t>
        </is>
      </c>
      <c r="J689" t="n">
        <v>2019</v>
      </c>
      <c r="K689" t="inlineStr">
        <is>
          <t>JULIO 2023</t>
        </is>
      </c>
      <c r="L689" t="inlineStr">
        <is>
          <t>JULIO 2024</t>
        </is>
      </c>
      <c r="M689" t="inlineStr">
        <is>
          <t xml:space="preserve">P.Q.S TIPO ABC </t>
        </is>
      </c>
      <c r="N689" t="inlineStr">
        <is>
          <t>008682</t>
        </is>
      </c>
      <c r="O689" t="inlineStr">
        <is>
          <t>R</t>
        </is>
      </c>
      <c r="P689">
        <f>TRIM(N689)</f>
        <v/>
      </c>
    </row>
    <row r="690">
      <c r="A690" t="inlineStr">
        <is>
          <t>CO-001427</t>
        </is>
      </c>
      <c r="B690" t="inlineStr">
        <is>
          <t>PERU MASIVO S.A.</t>
        </is>
      </c>
      <c r="C690" t="inlineStr">
        <is>
          <t>20492392031</t>
        </is>
      </c>
      <c r="D690" t="inlineStr">
        <is>
          <t>AV. LOS INCAS CDRA. 4 PATIO NORTE - COMAS</t>
        </is>
      </c>
      <c r="E690" t="inlineStr">
        <is>
          <t>Lima, 14 de Julio de 2023</t>
        </is>
      </c>
      <c r="F690" t="inlineStr">
        <is>
          <t>la Recarga y mantenimiento</t>
        </is>
      </c>
      <c r="G690" t="inlineStr">
        <is>
          <t>01</t>
        </is>
      </c>
      <c r="H690" t="inlineStr">
        <is>
          <t>06 KG</t>
        </is>
      </c>
      <c r="I690" t="inlineStr">
        <is>
          <t>2028</t>
        </is>
      </c>
      <c r="J690" t="n">
        <v>2009</v>
      </c>
      <c r="K690" t="inlineStr">
        <is>
          <t>JULIO 2023</t>
        </is>
      </c>
      <c r="L690" t="inlineStr">
        <is>
          <t>JULIO 2024</t>
        </is>
      </c>
      <c r="M690" t="inlineStr">
        <is>
          <t xml:space="preserve">P.Q.S TIPO ABC AL 90% NACIONAL </t>
        </is>
      </c>
      <c r="N690" t="inlineStr">
        <is>
          <t>257/001322</t>
        </is>
      </c>
      <c r="O690" t="inlineStr">
        <is>
          <t>R</t>
        </is>
      </c>
      <c r="P690">
        <f>TRIM(N690)</f>
        <v/>
      </c>
    </row>
    <row r="691">
      <c r="A691" t="inlineStr">
        <is>
          <t>CO-001427</t>
        </is>
      </c>
      <c r="B691" t="inlineStr">
        <is>
          <t>PERU MASIVO S.A.</t>
        </is>
      </c>
      <c r="C691" t="inlineStr">
        <is>
          <t>20492392031</t>
        </is>
      </c>
      <c r="D691" t="inlineStr">
        <is>
          <t>AV. LOS INCAS CDRA. 4 PATIO NORTE - COMAS</t>
        </is>
      </c>
      <c r="E691" t="inlineStr">
        <is>
          <t>Lima, 14 de Julio de 2023</t>
        </is>
      </c>
      <c r="F691" t="inlineStr">
        <is>
          <t>la Recarga y mantenimiento</t>
        </is>
      </c>
      <c r="G691" t="inlineStr">
        <is>
          <t>02</t>
        </is>
      </c>
      <c r="H691" t="inlineStr">
        <is>
          <t>06 KG</t>
        </is>
      </c>
      <c r="I691" t="inlineStr">
        <is>
          <t>2028</t>
        </is>
      </c>
      <c r="J691" t="n">
        <v>2009</v>
      </c>
      <c r="K691" t="inlineStr">
        <is>
          <t>JULIO 2023</t>
        </is>
      </c>
      <c r="L691" t="inlineStr">
        <is>
          <t>JULIO 2024</t>
        </is>
      </c>
      <c r="M691" t="inlineStr">
        <is>
          <t xml:space="preserve">P.Q.S TIPO ABC AL 90% NACIONAL </t>
        </is>
      </c>
      <c r="N691" t="inlineStr">
        <is>
          <t>383/001109</t>
        </is>
      </c>
      <c r="O691" t="inlineStr">
        <is>
          <t>R</t>
        </is>
      </c>
      <c r="P691">
        <f>TRIM(N691)</f>
        <v/>
      </c>
    </row>
    <row r="692">
      <c r="A692" t="inlineStr">
        <is>
          <t>CO-001427</t>
        </is>
      </c>
      <c r="B692" t="inlineStr">
        <is>
          <t>PERU MASIVO S.A.</t>
        </is>
      </c>
      <c r="C692" t="inlineStr">
        <is>
          <t>20492392031</t>
        </is>
      </c>
      <c r="D692" t="inlineStr">
        <is>
          <t>AV. LOS INCAS CDRA. 4 PATIO NORTE - COMAS</t>
        </is>
      </c>
      <c r="E692" t="inlineStr">
        <is>
          <t>Lima, 14 de Julio de 2023</t>
        </is>
      </c>
      <c r="F692" t="inlineStr">
        <is>
          <t>la Recarga y mantenimiento</t>
        </is>
      </c>
      <c r="G692" t="n">
        <v>3</v>
      </c>
      <c r="H692" t="inlineStr">
        <is>
          <t>06 KG</t>
        </is>
      </c>
      <c r="I692" t="inlineStr">
        <is>
          <t>2028</t>
        </is>
      </c>
      <c r="J692" t="n">
        <v>2010</v>
      </c>
      <c r="K692" t="inlineStr">
        <is>
          <t>JULIO 2023</t>
        </is>
      </c>
      <c r="L692" t="inlineStr">
        <is>
          <t>JULIO 2024</t>
        </is>
      </c>
      <c r="M692" t="inlineStr">
        <is>
          <t xml:space="preserve">P.Q.S TIPO ABC AL 90% NACIONAL </t>
        </is>
      </c>
      <c r="N692" t="inlineStr">
        <is>
          <t>186/000494</t>
        </is>
      </c>
      <c r="O692" t="inlineStr">
        <is>
          <t>R</t>
        </is>
      </c>
      <c r="P692">
        <f>TRIM(N692)</f>
        <v/>
      </c>
    </row>
    <row r="693">
      <c r="A693" t="inlineStr">
        <is>
          <t>CO-001427</t>
        </is>
      </c>
      <c r="B693" t="inlineStr">
        <is>
          <t>PERU MASIVO S.A.</t>
        </is>
      </c>
      <c r="C693" t="inlineStr">
        <is>
          <t>20492392031</t>
        </is>
      </c>
      <c r="D693" t="inlineStr">
        <is>
          <t>AV. LOS INCAS CDRA. 4 PATIO NORTE - COMAS</t>
        </is>
      </c>
      <c r="E693" t="inlineStr">
        <is>
          <t>Lima, 14 de Julio de 2023</t>
        </is>
      </c>
      <c r="F693" t="inlineStr">
        <is>
          <t>la Recarga y mantenimiento</t>
        </is>
      </c>
      <c r="G693" t="n">
        <v>4</v>
      </c>
      <c r="H693" t="inlineStr">
        <is>
          <t>06 KG</t>
        </is>
      </c>
      <c r="I693" t="inlineStr">
        <is>
          <t>2028</t>
        </is>
      </c>
      <c r="J693" t="n">
        <v>2010</v>
      </c>
      <c r="K693" t="inlineStr">
        <is>
          <t>JULIO 2023</t>
        </is>
      </c>
      <c r="L693" t="inlineStr">
        <is>
          <t>JULIO 2024</t>
        </is>
      </c>
      <c r="M693" t="inlineStr">
        <is>
          <t xml:space="preserve">P.Q.S TIPO ABC AL 90% NACIONAL </t>
        </is>
      </c>
      <c r="N693" t="inlineStr">
        <is>
          <t>S/N/000555</t>
        </is>
      </c>
      <c r="O693" t="inlineStr">
        <is>
          <t>R</t>
        </is>
      </c>
      <c r="P693">
        <f>TRIM(N693)</f>
        <v/>
      </c>
    </row>
    <row r="694">
      <c r="A694" t="inlineStr">
        <is>
          <t>CO-001427</t>
        </is>
      </c>
      <c r="B694" t="inlineStr">
        <is>
          <t>PERU MASIVO S.A.</t>
        </is>
      </c>
      <c r="C694" t="inlineStr">
        <is>
          <t>20492392031</t>
        </is>
      </c>
      <c r="D694" t="inlineStr">
        <is>
          <t>AV. LOS INCAS CDRA. 4 PATIO NORTE - COMAS</t>
        </is>
      </c>
      <c r="E694" t="inlineStr">
        <is>
          <t>Lima, 14 de Julio de 2023</t>
        </is>
      </c>
      <c r="F694" t="inlineStr">
        <is>
          <t>la Recarga y mantenimiento</t>
        </is>
      </c>
      <c r="G694" t="n">
        <v>5</v>
      </c>
      <c r="H694" t="inlineStr">
        <is>
          <t>06 KG</t>
        </is>
      </c>
      <c r="I694" t="inlineStr">
        <is>
          <t>2028</t>
        </is>
      </c>
      <c r="J694" t="n">
        <v>2010</v>
      </c>
      <c r="K694" t="inlineStr">
        <is>
          <t>JULIO 2023</t>
        </is>
      </c>
      <c r="L694" t="inlineStr">
        <is>
          <t>JULIO 2024</t>
        </is>
      </c>
      <c r="M694" t="inlineStr">
        <is>
          <t xml:space="preserve">P.Q.S TIPO ABC AL 90% NACIONAL </t>
        </is>
      </c>
      <c r="N694" t="inlineStr">
        <is>
          <t>169/000005</t>
        </is>
      </c>
      <c r="O694" t="inlineStr">
        <is>
          <t>R</t>
        </is>
      </c>
      <c r="P694">
        <f>TRIM(N694)</f>
        <v/>
      </c>
    </row>
    <row r="695">
      <c r="A695" t="inlineStr">
        <is>
          <t>CO-001427</t>
        </is>
      </c>
      <c r="B695" t="inlineStr">
        <is>
          <t>PERU MASIVO S.A.</t>
        </is>
      </c>
      <c r="C695" t="inlineStr">
        <is>
          <t>20492392031</t>
        </is>
      </c>
      <c r="D695" t="inlineStr">
        <is>
          <t>AV. LOS INCAS CDRA. 4 PATIO NORTE - COMAS</t>
        </is>
      </c>
      <c r="E695" t="inlineStr">
        <is>
          <t>Lima, 14 de Julio de 2023</t>
        </is>
      </c>
      <c r="F695" t="inlineStr">
        <is>
          <t>la Recarga y mantenimiento</t>
        </is>
      </c>
      <c r="G695" t="n">
        <v>6</v>
      </c>
      <c r="H695" t="inlineStr">
        <is>
          <t>06 KG</t>
        </is>
      </c>
      <c r="I695" t="inlineStr">
        <is>
          <t>2028</t>
        </is>
      </c>
      <c r="J695" t="n">
        <v>2009</v>
      </c>
      <c r="K695" t="inlineStr">
        <is>
          <t>JULIO 2023</t>
        </is>
      </c>
      <c r="L695" t="inlineStr">
        <is>
          <t>JULIO 2024</t>
        </is>
      </c>
      <c r="M695" t="inlineStr">
        <is>
          <t xml:space="preserve">P.Q.S TIPO ABC AL 90% NACIONAL </t>
        </is>
      </c>
      <c r="N695" t="inlineStr">
        <is>
          <t>358/000586</t>
        </is>
      </c>
      <c r="O695" t="inlineStr">
        <is>
          <t>R</t>
        </is>
      </c>
      <c r="P695">
        <f>TRIM(N695)</f>
        <v/>
      </c>
    </row>
    <row r="696">
      <c r="A696" t="inlineStr">
        <is>
          <t>CO-001427</t>
        </is>
      </c>
      <c r="B696" t="inlineStr">
        <is>
          <t>PERU MASIVO S.A.</t>
        </is>
      </c>
      <c r="C696" t="inlineStr">
        <is>
          <t>20492392031</t>
        </is>
      </c>
      <c r="D696" t="inlineStr">
        <is>
          <t>AV. LOS INCAS CDRA. 4 PATIO NORTE - COMAS</t>
        </is>
      </c>
      <c r="E696" t="inlineStr">
        <is>
          <t>Lima, 14 de Julio de 2023</t>
        </is>
      </c>
      <c r="F696" t="inlineStr">
        <is>
          <t>la Recarga y mantenimiento</t>
        </is>
      </c>
      <c r="G696" t="n">
        <v>7</v>
      </c>
      <c r="H696" t="inlineStr">
        <is>
          <t>06 KG</t>
        </is>
      </c>
      <c r="I696" t="inlineStr">
        <is>
          <t>2028</t>
        </is>
      </c>
      <c r="J696" t="n">
        <v>2010</v>
      </c>
      <c r="K696" t="inlineStr">
        <is>
          <t>JULIO 2023</t>
        </is>
      </c>
      <c r="L696" t="inlineStr">
        <is>
          <t>JULIO 2024</t>
        </is>
      </c>
      <c r="M696" t="inlineStr">
        <is>
          <t xml:space="preserve">P.Q.S TIPO ABC AL 90% NACIONAL </t>
        </is>
      </c>
      <c r="N696" t="inlineStr">
        <is>
          <t>357/000005</t>
        </is>
      </c>
      <c r="O696" t="inlineStr">
        <is>
          <t>R</t>
        </is>
      </c>
      <c r="P696">
        <f>TRIM(N696)</f>
        <v/>
      </c>
    </row>
    <row r="697">
      <c r="A697" t="inlineStr">
        <is>
          <t>CO-001427</t>
        </is>
      </c>
      <c r="B697" t="inlineStr">
        <is>
          <t>PERU MASIVO S.A.</t>
        </is>
      </c>
      <c r="C697" t="inlineStr">
        <is>
          <t>20492392031</t>
        </is>
      </c>
      <c r="D697" t="inlineStr">
        <is>
          <t>AV. LOS INCAS CDRA. 4 PATIO NORTE - COMAS</t>
        </is>
      </c>
      <c r="E697" t="inlineStr">
        <is>
          <t>Lima, 14 de Julio de 2023</t>
        </is>
      </c>
      <c r="F697" t="inlineStr">
        <is>
          <t>la Recarga y mantenimiento</t>
        </is>
      </c>
      <c r="G697" t="n">
        <v>8</v>
      </c>
      <c r="H697" t="inlineStr">
        <is>
          <t>06 KG</t>
        </is>
      </c>
      <c r="I697" t="inlineStr">
        <is>
          <t>2028</t>
        </is>
      </c>
      <c r="J697" t="inlineStr">
        <is>
          <t>S/N</t>
        </is>
      </c>
      <c r="K697" t="inlineStr">
        <is>
          <t>JULIO 2023</t>
        </is>
      </c>
      <c r="L697" t="inlineStr">
        <is>
          <t>JULIO 2024</t>
        </is>
      </c>
      <c r="M697" t="inlineStr">
        <is>
          <t xml:space="preserve">P.Q.S TIPO ABC AL 90% NACIONAL </t>
        </is>
      </c>
      <c r="N697" t="inlineStr">
        <is>
          <t>137/000705</t>
        </is>
      </c>
      <c r="O697" t="inlineStr">
        <is>
          <t>R</t>
        </is>
      </c>
      <c r="P697">
        <f>TRIM(N697)</f>
        <v/>
      </c>
    </row>
    <row r="698">
      <c r="A698" t="inlineStr">
        <is>
          <t>CO-001427</t>
        </is>
      </c>
      <c r="B698" t="inlineStr">
        <is>
          <t>PERU MASIVO S.A.</t>
        </is>
      </c>
      <c r="C698" t="inlineStr">
        <is>
          <t>20492392031</t>
        </is>
      </c>
      <c r="D698" t="inlineStr">
        <is>
          <t>AV. LOS INCAS CDRA. 4 PATIO NORTE - COMAS</t>
        </is>
      </c>
      <c r="E698" t="inlineStr">
        <is>
          <t>Lima, 14 de Julio de 2023</t>
        </is>
      </c>
      <c r="F698" t="inlineStr">
        <is>
          <t>la Recarga y mantenimiento</t>
        </is>
      </c>
      <c r="G698" t="n">
        <v>9</v>
      </c>
      <c r="H698" t="inlineStr">
        <is>
          <t>06 KG</t>
        </is>
      </c>
      <c r="I698" t="inlineStr">
        <is>
          <t>2028</t>
        </is>
      </c>
      <c r="J698" t="n">
        <v>2015</v>
      </c>
      <c r="K698" t="inlineStr">
        <is>
          <t>JULIO 2023</t>
        </is>
      </c>
      <c r="L698" t="inlineStr">
        <is>
          <t>JULIO 2024</t>
        </is>
      </c>
      <c r="M698" t="inlineStr">
        <is>
          <t xml:space="preserve">P.Q.S TIPO ABC AL 90% NACIONAL </t>
        </is>
      </c>
      <c r="N698" t="inlineStr">
        <is>
          <t>S/N/016379</t>
        </is>
      </c>
      <c r="O698" t="inlineStr">
        <is>
          <t>R</t>
        </is>
      </c>
      <c r="P698">
        <f>TRIM(N698)</f>
        <v/>
      </c>
    </row>
    <row r="699">
      <c r="A699" t="inlineStr">
        <is>
          <t>CO-001427</t>
        </is>
      </c>
      <c r="B699" t="inlineStr">
        <is>
          <t>PERU MASIVO S.A.</t>
        </is>
      </c>
      <c r="C699" t="inlineStr">
        <is>
          <t>20492392031</t>
        </is>
      </c>
      <c r="D699" t="inlineStr">
        <is>
          <t>AV. LOS INCAS CDRA. 4 PATIO NORTE - COMAS</t>
        </is>
      </c>
      <c r="E699" t="inlineStr">
        <is>
          <t>Lima, 14 de Julio de 2023</t>
        </is>
      </c>
      <c r="F699" t="inlineStr">
        <is>
          <t>la Recarga y mantenimiento</t>
        </is>
      </c>
      <c r="G699" t="n">
        <v>10</v>
      </c>
      <c r="H699" t="inlineStr">
        <is>
          <t>06 KG</t>
        </is>
      </c>
      <c r="I699" t="inlineStr">
        <is>
          <t>2028</t>
        </is>
      </c>
      <c r="J699" t="n">
        <v>2010</v>
      </c>
      <c r="K699" t="inlineStr">
        <is>
          <t>JULIO 2023</t>
        </is>
      </c>
      <c r="L699" t="inlineStr">
        <is>
          <t>JULIO 2024</t>
        </is>
      </c>
      <c r="M699" t="inlineStr">
        <is>
          <t xml:space="preserve">P.Q.S TIPO ABC AL 90% NACIONAL </t>
        </is>
      </c>
      <c r="N699" t="inlineStr">
        <is>
          <t>59/000050</t>
        </is>
      </c>
      <c r="O699" t="inlineStr">
        <is>
          <t>R</t>
        </is>
      </c>
      <c r="P699">
        <f>TRIM(N699)</f>
        <v/>
      </c>
    </row>
    <row r="700">
      <c r="A700" t="inlineStr">
        <is>
          <t>CO-001427</t>
        </is>
      </c>
      <c r="B700" t="inlineStr">
        <is>
          <t>PERU MASIVO S.A.</t>
        </is>
      </c>
      <c r="C700" t="inlineStr">
        <is>
          <t>20492392031</t>
        </is>
      </c>
      <c r="D700" t="inlineStr">
        <is>
          <t>AV. LOS INCAS CDRA. 4 PATIO NORTE - COMAS</t>
        </is>
      </c>
      <c r="E700" t="inlineStr">
        <is>
          <t>Lima, 14 de Julio de 2023</t>
        </is>
      </c>
      <c r="F700" t="inlineStr">
        <is>
          <t>la Recarga y mantenimiento</t>
        </is>
      </c>
      <c r="G700" t="n">
        <v>11</v>
      </c>
      <c r="H700" t="inlineStr">
        <is>
          <t>06 KG</t>
        </is>
      </c>
      <c r="I700" t="inlineStr">
        <is>
          <t>2028</t>
        </is>
      </c>
      <c r="J700" t="n">
        <v>2009</v>
      </c>
      <c r="K700" t="inlineStr">
        <is>
          <t>JULIO 2023</t>
        </is>
      </c>
      <c r="L700" t="inlineStr">
        <is>
          <t>JULIO 2024</t>
        </is>
      </c>
      <c r="M700" t="inlineStr">
        <is>
          <t xml:space="preserve">P.Q.S TIPO ABC AL 90% NACIONAL </t>
        </is>
      </c>
      <c r="N700" t="inlineStr">
        <is>
          <t>362/002191</t>
        </is>
      </c>
      <c r="O700" t="inlineStr">
        <is>
          <t>R</t>
        </is>
      </c>
      <c r="P700">
        <f>TRIM(N700)</f>
        <v/>
      </c>
    </row>
    <row r="701">
      <c r="A701" t="inlineStr">
        <is>
          <t>CO-001427</t>
        </is>
      </c>
      <c r="B701" t="inlineStr">
        <is>
          <t>PERU MASIVO S.A.</t>
        </is>
      </c>
      <c r="C701" t="inlineStr">
        <is>
          <t>20492392031</t>
        </is>
      </c>
      <c r="D701" t="inlineStr">
        <is>
          <t>AV. LOS INCAS CDRA. 4 PATIO NORTE - COMAS</t>
        </is>
      </c>
      <c r="E701" t="inlineStr">
        <is>
          <t>Lima, 14 de Julio de 2023</t>
        </is>
      </c>
      <c r="F701" t="inlineStr">
        <is>
          <t>la Recarga y mantenimiento</t>
        </is>
      </c>
      <c r="G701" t="n">
        <v>12</v>
      </c>
      <c r="H701" t="inlineStr">
        <is>
          <t>06 KG</t>
        </is>
      </c>
      <c r="I701" t="inlineStr">
        <is>
          <t>2028</t>
        </is>
      </c>
      <c r="J701" t="n">
        <v>2010</v>
      </c>
      <c r="K701" t="inlineStr">
        <is>
          <t>JULIO 2023</t>
        </is>
      </c>
      <c r="L701" t="inlineStr">
        <is>
          <t>JULIO 2024</t>
        </is>
      </c>
      <c r="M701" t="inlineStr">
        <is>
          <t xml:space="preserve">P.Q.S TIPO ABC AL 90% NACIONAL </t>
        </is>
      </c>
      <c r="N701" t="inlineStr">
        <is>
          <t>237/002081</t>
        </is>
      </c>
      <c r="O701" t="inlineStr">
        <is>
          <t>R</t>
        </is>
      </c>
      <c r="P701">
        <f>TRIM(N701)</f>
        <v/>
      </c>
    </row>
    <row r="702">
      <c r="A702" t="inlineStr">
        <is>
          <t>CO-001428</t>
        </is>
      </c>
      <c r="B702" t="inlineStr">
        <is>
          <t>BIORICA OYARCE</t>
        </is>
      </c>
      <c r="C702" t="inlineStr">
        <is>
          <t>05381549</t>
        </is>
      </c>
      <c r="D702" t="inlineStr">
        <is>
          <t>MERCADO LA FRONTERA PSTO. L3</t>
        </is>
      </c>
      <c r="E702" t="inlineStr">
        <is>
          <t>Lima, 15 de Julio de 2023</t>
        </is>
      </c>
      <c r="F702" t="inlineStr">
        <is>
          <t>la Recarga y mantenimiento</t>
        </is>
      </c>
      <c r="G702" t="inlineStr">
        <is>
          <t>01</t>
        </is>
      </c>
      <c r="H702" t="inlineStr">
        <is>
          <t>06 KG</t>
        </is>
      </c>
      <c r="I702" t="inlineStr">
        <is>
          <t>2025</t>
        </is>
      </c>
      <c r="J702" t="n">
        <v>2020</v>
      </c>
      <c r="K702" t="inlineStr">
        <is>
          <t>JULIO 2023</t>
        </is>
      </c>
      <c r="L702" t="inlineStr">
        <is>
          <t>JULIO 2024</t>
        </is>
      </c>
      <c r="M702" t="inlineStr">
        <is>
          <t xml:space="preserve">P.Q.S TIPO ABC </t>
        </is>
      </c>
      <c r="N702" t="inlineStr">
        <is>
          <t>001083</t>
        </is>
      </c>
      <c r="O702" t="inlineStr">
        <is>
          <t>R</t>
        </is>
      </c>
      <c r="P702">
        <f>TRIM(N702)</f>
        <v/>
      </c>
    </row>
    <row r="703">
      <c r="A703" t="inlineStr">
        <is>
          <t>CO-001429</t>
        </is>
      </c>
      <c r="B703" t="inlineStr">
        <is>
          <t>DEBORA TANTALEAN</t>
        </is>
      </c>
      <c r="C703" t="inlineStr">
        <is>
          <t>74640285</t>
        </is>
      </c>
      <c r="D703" t="inlineStr">
        <is>
          <t>MERCADO LA FRONTERA PSTO. G6</t>
        </is>
      </c>
      <c r="E703" t="inlineStr">
        <is>
          <t>Lima, 15 de Julio de 2023</t>
        </is>
      </c>
      <c r="F703" t="inlineStr">
        <is>
          <t>la Recarga y mantenimiento</t>
        </is>
      </c>
      <c r="G703" t="inlineStr">
        <is>
          <t>01</t>
        </is>
      </c>
      <c r="H703" t="inlineStr">
        <is>
          <t>06 KG</t>
        </is>
      </c>
      <c r="I703" t="inlineStr">
        <is>
          <t>VIGENTE</t>
        </is>
      </c>
      <c r="J703" t="n">
        <v>2015</v>
      </c>
      <c r="K703" t="inlineStr">
        <is>
          <t>JULIO 2023</t>
        </is>
      </c>
      <c r="L703" t="inlineStr">
        <is>
          <t>JULIO 2024</t>
        </is>
      </c>
      <c r="M703" t="inlineStr">
        <is>
          <t xml:space="preserve">P.Q.S TIPO ABC </t>
        </is>
      </c>
      <c r="N703" t="inlineStr">
        <is>
          <t>000086</t>
        </is>
      </c>
      <c r="O703" t="inlineStr">
        <is>
          <t>R</t>
        </is>
      </c>
      <c r="P703">
        <f>TRIM(N703)</f>
        <v/>
      </c>
    </row>
    <row r="704">
      <c r="A704" t="inlineStr">
        <is>
          <t>CO-001430</t>
        </is>
      </c>
      <c r="B704" t="inlineStr">
        <is>
          <t>DORIS ZELADA</t>
        </is>
      </c>
      <c r="C704" t="inlineStr">
        <is>
          <t>09052508</t>
        </is>
      </c>
      <c r="D704" t="inlineStr">
        <is>
          <t>MERCADO LA FRONTERA PSTO. E10</t>
        </is>
      </c>
      <c r="E704" t="inlineStr">
        <is>
          <t>Lima, 15 de Julio de 2023</t>
        </is>
      </c>
      <c r="F704" t="inlineStr">
        <is>
          <t>la Recarga y mantenimiento</t>
        </is>
      </c>
      <c r="G704" t="inlineStr">
        <is>
          <t>01</t>
        </is>
      </c>
      <c r="H704" t="inlineStr">
        <is>
          <t>06 KG</t>
        </is>
      </c>
      <c r="I704" t="inlineStr">
        <is>
          <t>VIGENTE</t>
        </is>
      </c>
      <c r="J704" t="n">
        <v>2017</v>
      </c>
      <c r="K704" t="inlineStr">
        <is>
          <t>JULIO 2023</t>
        </is>
      </c>
      <c r="L704" t="inlineStr">
        <is>
          <t>JULIO 2024</t>
        </is>
      </c>
      <c r="M704" t="inlineStr">
        <is>
          <t xml:space="preserve">P.Q.S TIPO ABC </t>
        </is>
      </c>
      <c r="N704" t="inlineStr">
        <is>
          <t>008988</t>
        </is>
      </c>
      <c r="O704" t="inlineStr">
        <is>
          <t>R</t>
        </is>
      </c>
      <c r="P704">
        <f>TRIM(N704)</f>
        <v/>
      </c>
    </row>
    <row r="705">
      <c r="A705" t="inlineStr">
        <is>
          <t>CO-001431</t>
        </is>
      </c>
      <c r="B705" t="inlineStr">
        <is>
          <t>DANTE HUAYLLASCO</t>
        </is>
      </c>
      <c r="D705" t="inlineStr">
        <is>
          <t>PLACA: A7W-664</t>
        </is>
      </c>
      <c r="E705" t="inlineStr">
        <is>
          <t>Lima, 15 de Julio de 2023</t>
        </is>
      </c>
      <c r="F705" t="inlineStr">
        <is>
          <t>la Recarga y mantenimiento</t>
        </is>
      </c>
      <c r="G705" t="inlineStr">
        <is>
          <t>01</t>
        </is>
      </c>
      <c r="H705" t="inlineStr">
        <is>
          <t>02 KG</t>
        </is>
      </c>
      <c r="I705" t="inlineStr">
        <is>
          <t>VIGENTE</t>
        </is>
      </c>
      <c r="J705" t="n">
        <v>2017</v>
      </c>
      <c r="K705" t="inlineStr">
        <is>
          <t>JULIO 2023</t>
        </is>
      </c>
      <c r="L705" t="inlineStr">
        <is>
          <t>JULIO 2024</t>
        </is>
      </c>
      <c r="M705" t="inlineStr">
        <is>
          <t xml:space="preserve">P.Q.S TIPO ABC </t>
        </is>
      </c>
      <c r="N705" t="inlineStr">
        <is>
          <t>S/N</t>
        </is>
      </c>
      <c r="O705" t="inlineStr">
        <is>
          <t>R</t>
        </is>
      </c>
      <c r="P705">
        <f>TRIM(N705)</f>
        <v/>
      </c>
    </row>
    <row r="706">
      <c r="A706" t="inlineStr">
        <is>
          <t>CO-001432</t>
        </is>
      </c>
      <c r="B706" t="inlineStr">
        <is>
          <t>CESAR DEL CAMPO ANDONAYRE</t>
        </is>
      </c>
      <c r="C706" t="inlineStr">
        <is>
          <t>DNI: 07568438</t>
        </is>
      </c>
      <c r="D706" t="inlineStr">
        <is>
          <t>PLACA: A3P-574</t>
        </is>
      </c>
      <c r="E706" t="inlineStr">
        <is>
          <t>Lima, 18 de Julio de 2023</t>
        </is>
      </c>
      <c r="F706" t="inlineStr">
        <is>
          <t>la Recarga y mantenimiento</t>
        </is>
      </c>
      <c r="G706" t="inlineStr">
        <is>
          <t>01</t>
        </is>
      </c>
      <c r="H706" t="inlineStr">
        <is>
          <t>02KG</t>
        </is>
      </c>
      <c r="I706" t="inlineStr">
        <is>
          <t>VIGENTE</t>
        </is>
      </c>
      <c r="J706" t="n">
        <v>2011</v>
      </c>
      <c r="K706" t="inlineStr">
        <is>
          <t>JULIO 2023</t>
        </is>
      </c>
      <c r="L706" t="inlineStr">
        <is>
          <t>JULIO 2024</t>
        </is>
      </c>
      <c r="M706" t="inlineStr">
        <is>
          <t>P.Q.S TIPO ABC</t>
        </is>
      </c>
      <c r="N706" t="inlineStr">
        <is>
          <t>003071</t>
        </is>
      </c>
      <c r="O706" t="inlineStr">
        <is>
          <t>R</t>
        </is>
      </c>
      <c r="P706">
        <f>TRIM(N706)</f>
        <v/>
      </c>
    </row>
    <row r="707">
      <c r="A707" t="inlineStr">
        <is>
          <t>CO-001433</t>
        </is>
      </c>
      <c r="B707" t="inlineStr">
        <is>
          <t>IGLESIA METODISTA DEL PERU – LA FLORIDA</t>
        </is>
      </c>
      <c r="D707" t="inlineStr">
        <is>
          <t>CALLE 13 N° 195 Urb. La Florida – Rímac</t>
        </is>
      </c>
      <c r="E707" t="inlineStr">
        <is>
          <t>Lima, 20 de Julio de 2023</t>
        </is>
      </c>
      <c r="F707" t="inlineStr">
        <is>
          <t>la Recarga y mantenimiento</t>
        </is>
      </c>
      <c r="G707" t="inlineStr">
        <is>
          <t>01</t>
        </is>
      </c>
      <c r="H707" t="inlineStr">
        <is>
          <t>06 KG</t>
        </is>
      </c>
      <c r="I707" t="inlineStr">
        <is>
          <t>2024</t>
        </is>
      </c>
      <c r="J707" t="n">
        <v>2019</v>
      </c>
      <c r="K707" t="inlineStr">
        <is>
          <t>JULIO 2023</t>
        </is>
      </c>
      <c r="L707" t="inlineStr">
        <is>
          <t>JULIO 2024</t>
        </is>
      </c>
      <c r="M707" t="inlineStr">
        <is>
          <t>P.Q.S./ABC</t>
        </is>
      </c>
      <c r="N707" t="inlineStr">
        <is>
          <t>01/000551</t>
        </is>
      </c>
      <c r="O707" t="inlineStr">
        <is>
          <t>R</t>
        </is>
      </c>
      <c r="P707">
        <f>TRIM(N707)</f>
        <v/>
      </c>
    </row>
    <row r="708">
      <c r="A708" t="inlineStr">
        <is>
          <t>CO-001433</t>
        </is>
      </c>
      <c r="B708" t="inlineStr">
        <is>
          <t>IGLESIA METODISTA DEL PERU – LA FLORIDA</t>
        </is>
      </c>
      <c r="D708" t="inlineStr">
        <is>
          <t>CALLE 13 N° 195 Urb. La Florida – Rímac</t>
        </is>
      </c>
      <c r="E708" t="inlineStr">
        <is>
          <t>Lima, 20 de Julio de 2023</t>
        </is>
      </c>
      <c r="F708" t="inlineStr">
        <is>
          <t>la Recarga y mantenimiento</t>
        </is>
      </c>
      <c r="G708" t="inlineStr">
        <is>
          <t>02</t>
        </is>
      </c>
      <c r="H708" t="inlineStr">
        <is>
          <t>06KG</t>
        </is>
      </c>
      <c r="I708" t="inlineStr">
        <is>
          <t>2024</t>
        </is>
      </c>
      <c r="J708" t="n">
        <v>2019</v>
      </c>
      <c r="K708" t="inlineStr">
        <is>
          <t>JULIO 2023</t>
        </is>
      </c>
      <c r="L708" t="inlineStr">
        <is>
          <t>JULIO 2024</t>
        </is>
      </c>
      <c r="M708" t="inlineStr">
        <is>
          <t>P.Q.S./ABC</t>
        </is>
      </c>
      <c r="N708" t="inlineStr">
        <is>
          <t>02/000674</t>
        </is>
      </c>
      <c r="O708" t="inlineStr">
        <is>
          <t>R</t>
        </is>
      </c>
      <c r="P708">
        <f>TRIM(N708)</f>
        <v/>
      </c>
    </row>
    <row r="709">
      <c r="A709" t="inlineStr">
        <is>
          <t>CO-001433</t>
        </is>
      </c>
      <c r="B709" t="inlineStr">
        <is>
          <t>IGLESIA METODISTA DEL PERU – LA FLORIDA</t>
        </is>
      </c>
      <c r="D709" t="inlineStr">
        <is>
          <t>CALLE 13 N° 195 Urb. La Florida – Rímac</t>
        </is>
      </c>
      <c r="E709" t="inlineStr">
        <is>
          <t>Lima, 20 de Julio de 2023</t>
        </is>
      </c>
      <c r="F709" t="inlineStr">
        <is>
          <t>la Recarga y mantenimiento</t>
        </is>
      </c>
      <c r="G709" t="inlineStr">
        <is>
          <t>03</t>
        </is>
      </c>
      <c r="H709" t="inlineStr">
        <is>
          <t>06KG</t>
        </is>
      </c>
      <c r="I709" t="n">
        <v>2027</v>
      </c>
      <c r="J709" t="n">
        <v>2022</v>
      </c>
      <c r="K709" t="inlineStr">
        <is>
          <t>JULIO 2023</t>
        </is>
      </c>
      <c r="L709" t="inlineStr">
        <is>
          <t>JULIO 2024</t>
        </is>
      </c>
      <c r="M709" t="inlineStr">
        <is>
          <t>P.Q.S./ABC</t>
        </is>
      </c>
      <c r="N709" t="inlineStr">
        <is>
          <t>03/000357</t>
        </is>
      </c>
      <c r="O709" t="inlineStr">
        <is>
          <t>R</t>
        </is>
      </c>
      <c r="P709">
        <f>TRIM(N709)</f>
        <v/>
      </c>
    </row>
    <row r="710">
      <c r="A710" t="inlineStr">
        <is>
          <t>CO-001434</t>
        </is>
      </c>
      <c r="B710" t="inlineStr">
        <is>
          <t xml:space="preserve">MERCADO LA FRONTERA </t>
        </is>
      </c>
      <c r="D710" t="inlineStr">
        <is>
          <t xml:space="preserve">AV. MARIANO CONDORCANQUI  CRUCE CON AV. SEÑOR DE CAUDIVILLA </t>
        </is>
      </c>
      <c r="E710" t="inlineStr">
        <is>
          <t>Lima,24 de Julio de 2023</t>
        </is>
      </c>
      <c r="F710" t="inlineStr">
        <is>
          <t>la Recarga y mantenimiento</t>
        </is>
      </c>
      <c r="G710" t="inlineStr">
        <is>
          <t>01</t>
        </is>
      </c>
      <c r="H710" t="inlineStr">
        <is>
          <t>12  KG</t>
        </is>
      </c>
      <c r="I710" t="inlineStr">
        <is>
          <t>2025</t>
        </is>
      </c>
      <c r="J710" t="n">
        <v>2020</v>
      </c>
      <c r="K710" t="inlineStr">
        <is>
          <t>JULIO 2023</t>
        </is>
      </c>
      <c r="L710" t="inlineStr">
        <is>
          <t>JULIO 2024</t>
        </is>
      </c>
      <c r="M710" t="inlineStr">
        <is>
          <t>P.Q.S./ABC</t>
        </is>
      </c>
      <c r="N710" t="inlineStr">
        <is>
          <t>02/001015</t>
        </is>
      </c>
      <c r="O710" t="inlineStr">
        <is>
          <t>R</t>
        </is>
      </c>
      <c r="P710">
        <f>TRIM(N710)</f>
        <v/>
      </c>
    </row>
    <row r="711">
      <c r="A711" t="inlineStr">
        <is>
          <t>CO-001435</t>
        </is>
      </c>
      <c r="B711" t="inlineStr">
        <is>
          <t>PERU MASIVO S.A.</t>
        </is>
      </c>
      <c r="C711" t="inlineStr">
        <is>
          <t>20492392031</t>
        </is>
      </c>
      <c r="D711" t="inlineStr">
        <is>
          <t>AV. LOS INCAS CDRA. 4 PATIO NORTE - COMAS</t>
        </is>
      </c>
      <c r="E711" t="inlineStr">
        <is>
          <t>Lima, 27 de Julio de 2023</t>
        </is>
      </c>
      <c r="F711" t="inlineStr">
        <is>
          <t>la Recarga y mantenimiento</t>
        </is>
      </c>
      <c r="G711" t="inlineStr">
        <is>
          <t>01</t>
        </is>
      </c>
      <c r="H711" t="inlineStr">
        <is>
          <t>06 KG</t>
        </is>
      </c>
      <c r="I711" t="inlineStr">
        <is>
          <t>2028</t>
        </is>
      </c>
      <c r="J711" t="n">
        <v>2014</v>
      </c>
      <c r="K711" t="inlineStr">
        <is>
          <t>JULIO 2023</t>
        </is>
      </c>
      <c r="L711" t="inlineStr">
        <is>
          <t>JULIO 2024</t>
        </is>
      </c>
      <c r="M711" t="inlineStr">
        <is>
          <t xml:space="preserve">P.Q.S TIPO ABC AL 90% NACIONAL </t>
        </is>
      </c>
      <c r="N711" t="inlineStr">
        <is>
          <t>S/N / 000330</t>
        </is>
      </c>
      <c r="O711" t="inlineStr">
        <is>
          <t>R</t>
        </is>
      </c>
      <c r="P711">
        <f>TRIM(N711)</f>
        <v/>
      </c>
    </row>
    <row r="712">
      <c r="A712" t="inlineStr">
        <is>
          <t>CO-001435</t>
        </is>
      </c>
      <c r="B712" t="inlineStr">
        <is>
          <t>PERU MASIVO S.A.</t>
        </is>
      </c>
      <c r="C712" t="inlineStr">
        <is>
          <t>20492392031</t>
        </is>
      </c>
      <c r="D712" t="inlineStr">
        <is>
          <t>AV. LOS INCAS CDRA. 4 PATIO NORTE - COMAS</t>
        </is>
      </c>
      <c r="E712" t="inlineStr">
        <is>
          <t>Lima, 27 de Julio de 2023</t>
        </is>
      </c>
      <c r="F712" t="inlineStr">
        <is>
          <t>la Recarga y mantenimiento</t>
        </is>
      </c>
      <c r="G712" t="inlineStr">
        <is>
          <t>02</t>
        </is>
      </c>
      <c r="H712" t="inlineStr">
        <is>
          <t>06 KG</t>
        </is>
      </c>
      <c r="I712" t="inlineStr">
        <is>
          <t>2028</t>
        </is>
      </c>
      <c r="J712" t="n">
        <v>2009</v>
      </c>
      <c r="K712" t="inlineStr">
        <is>
          <t>JULIO 2023</t>
        </is>
      </c>
      <c r="L712" t="inlineStr">
        <is>
          <t>JULIO 2024</t>
        </is>
      </c>
      <c r="M712" t="inlineStr">
        <is>
          <t xml:space="preserve">P.Q.S TIPO ABC AL 90% NACIONAL </t>
        </is>
      </c>
      <c r="N712" t="inlineStr">
        <is>
          <t>14/002158</t>
        </is>
      </c>
      <c r="O712" t="inlineStr">
        <is>
          <t>R</t>
        </is>
      </c>
      <c r="P712">
        <f>TRIM(N712)</f>
        <v/>
      </c>
    </row>
    <row r="713">
      <c r="A713" t="inlineStr">
        <is>
          <t>CO-001435</t>
        </is>
      </c>
      <c r="B713" t="inlineStr">
        <is>
          <t>PERU MASIVO S.A.</t>
        </is>
      </c>
      <c r="C713" t="inlineStr">
        <is>
          <t>20492392031</t>
        </is>
      </c>
      <c r="D713" t="inlineStr">
        <is>
          <t>AV. LOS INCAS CDRA. 4 PATIO NORTE - COMAS</t>
        </is>
      </c>
      <c r="E713" t="inlineStr">
        <is>
          <t>Lima, 27 de Julio de 2023</t>
        </is>
      </c>
      <c r="F713" t="inlineStr">
        <is>
          <t>la Recarga y mantenimiento</t>
        </is>
      </c>
      <c r="G713" t="n">
        <v>3</v>
      </c>
      <c r="H713" t="inlineStr">
        <is>
          <t>06 KG</t>
        </is>
      </c>
      <c r="I713" t="inlineStr">
        <is>
          <t>2028</t>
        </is>
      </c>
      <c r="J713" t="n">
        <v>2014</v>
      </c>
      <c r="K713" t="inlineStr">
        <is>
          <t>JULIO 2023</t>
        </is>
      </c>
      <c r="L713" t="inlineStr">
        <is>
          <t>JULIO 2024</t>
        </is>
      </c>
      <c r="M713" t="inlineStr">
        <is>
          <t xml:space="preserve">P.Q.S TIPO ABC AL 90% NACIONAL </t>
        </is>
      </c>
      <c r="N713" t="inlineStr">
        <is>
          <t>S/N /001487</t>
        </is>
      </c>
      <c r="O713" t="inlineStr">
        <is>
          <t>R</t>
        </is>
      </c>
      <c r="P713">
        <f>TRIM(N713)</f>
        <v/>
      </c>
    </row>
    <row r="714">
      <c r="A714" t="inlineStr">
        <is>
          <t>CO-001435</t>
        </is>
      </c>
      <c r="B714" t="inlineStr">
        <is>
          <t>PERU MASIVO S.A.</t>
        </is>
      </c>
      <c r="C714" t="inlineStr">
        <is>
          <t>20492392031</t>
        </is>
      </c>
      <c r="D714" t="inlineStr">
        <is>
          <t>AV. LOS INCAS CDRA. 4 PATIO NORTE - COMAS</t>
        </is>
      </c>
      <c r="E714" t="inlineStr">
        <is>
          <t>Lima, 27 de Julio de 2023</t>
        </is>
      </c>
      <c r="F714" t="inlineStr">
        <is>
          <t>la Recarga y mantenimiento</t>
        </is>
      </c>
      <c r="G714" t="n">
        <v>4</v>
      </c>
      <c r="H714" t="inlineStr">
        <is>
          <t>06 KG</t>
        </is>
      </c>
      <c r="I714" t="inlineStr">
        <is>
          <t>2028</t>
        </is>
      </c>
      <c r="J714" t="n">
        <v>2009</v>
      </c>
      <c r="K714" t="inlineStr">
        <is>
          <t>JULIO 2023</t>
        </is>
      </c>
      <c r="L714" t="inlineStr">
        <is>
          <t>JULIO 2024</t>
        </is>
      </c>
      <c r="M714" t="inlineStr">
        <is>
          <t xml:space="preserve">P.Q.S TIPO ABC AL 90% NACIONAL </t>
        </is>
      </c>
      <c r="N714" t="inlineStr">
        <is>
          <t>41/001746</t>
        </is>
      </c>
      <c r="O714" t="inlineStr">
        <is>
          <t>R</t>
        </is>
      </c>
      <c r="P714">
        <f>TRIM(N714)</f>
        <v/>
      </c>
    </row>
    <row r="715">
      <c r="A715" t="inlineStr">
        <is>
          <t>CO-001435</t>
        </is>
      </c>
      <c r="B715" t="inlineStr">
        <is>
          <t>PERU MASIVO S.A.</t>
        </is>
      </c>
      <c r="C715" t="inlineStr">
        <is>
          <t>20492392031</t>
        </is>
      </c>
      <c r="D715" t="inlineStr">
        <is>
          <t>AV. LOS INCAS CDRA. 4 PATIO NORTE - COMAS</t>
        </is>
      </c>
      <c r="E715" t="inlineStr">
        <is>
          <t>Lima, 27 de Julio de 2023</t>
        </is>
      </c>
      <c r="F715" t="inlineStr">
        <is>
          <t>la Recarga y mantenimiento</t>
        </is>
      </c>
      <c r="G715" t="n">
        <v>5</v>
      </c>
      <c r="H715" t="inlineStr">
        <is>
          <t>06 KG</t>
        </is>
      </c>
      <c r="I715" t="inlineStr">
        <is>
          <t>2028</t>
        </is>
      </c>
      <c r="J715" t="n">
        <v>2009</v>
      </c>
      <c r="K715" t="inlineStr">
        <is>
          <t>JULIO 2023</t>
        </is>
      </c>
      <c r="L715" t="inlineStr">
        <is>
          <t>JULIO 2024</t>
        </is>
      </c>
      <c r="M715" t="inlineStr">
        <is>
          <t xml:space="preserve">P.Q.S TIPO ABC AL 90% NACIONAL </t>
        </is>
      </c>
      <c r="N715" t="inlineStr">
        <is>
          <t>325/000667</t>
        </is>
      </c>
      <c r="O715" t="inlineStr">
        <is>
          <t>R</t>
        </is>
      </c>
      <c r="P715">
        <f>TRIM(N715)</f>
        <v/>
      </c>
    </row>
    <row r="716">
      <c r="A716" t="inlineStr">
        <is>
          <t>CO-001435</t>
        </is>
      </c>
      <c r="B716" t="inlineStr">
        <is>
          <t>PERU MASIVO S.A.</t>
        </is>
      </c>
      <c r="C716" t="inlineStr">
        <is>
          <t>20492392031</t>
        </is>
      </c>
      <c r="D716" t="inlineStr">
        <is>
          <t>AV. LOS INCAS CDRA. 4 PATIO NORTE - COMAS</t>
        </is>
      </c>
      <c r="E716" t="inlineStr">
        <is>
          <t>Lima, 27 de Julio de 2023</t>
        </is>
      </c>
      <c r="F716" t="inlineStr">
        <is>
          <t>la Recarga y mantenimiento</t>
        </is>
      </c>
      <c r="G716" t="n">
        <v>6</v>
      </c>
      <c r="H716" t="inlineStr">
        <is>
          <t>06 KG</t>
        </is>
      </c>
      <c r="I716" t="inlineStr">
        <is>
          <t>2024</t>
        </is>
      </c>
      <c r="J716" t="n">
        <v>2019</v>
      </c>
      <c r="K716" t="inlineStr">
        <is>
          <t>JULIO 2023</t>
        </is>
      </c>
      <c r="L716" t="inlineStr">
        <is>
          <t>JULIO 2024</t>
        </is>
      </c>
      <c r="M716" t="inlineStr">
        <is>
          <t xml:space="preserve">P.Q.S TIPO ABC AL 90% NACIONAL </t>
        </is>
      </c>
      <c r="N716" t="inlineStr">
        <is>
          <t>S/N /001745</t>
        </is>
      </c>
      <c r="O716" t="inlineStr">
        <is>
          <t>R</t>
        </is>
      </c>
      <c r="P716">
        <f>TRIM(N716)</f>
        <v/>
      </c>
    </row>
    <row r="717">
      <c r="A717" t="inlineStr">
        <is>
          <t>CO-001435</t>
        </is>
      </c>
      <c r="B717" t="inlineStr">
        <is>
          <t>PERU MASIVO S.A.</t>
        </is>
      </c>
      <c r="C717" t="inlineStr">
        <is>
          <t>20492392031</t>
        </is>
      </c>
      <c r="D717" t="inlineStr">
        <is>
          <t>AV. LOS INCAS CDRA. 4 PATIO NORTE - COMAS</t>
        </is>
      </c>
      <c r="E717" t="inlineStr">
        <is>
          <t>Lima, 27 de Julio de 2023</t>
        </is>
      </c>
      <c r="F717" t="inlineStr">
        <is>
          <t>la Recarga y mantenimiento</t>
        </is>
      </c>
      <c r="G717" t="n">
        <v>7</v>
      </c>
      <c r="H717" t="inlineStr">
        <is>
          <t>06 KG</t>
        </is>
      </c>
      <c r="I717" t="inlineStr">
        <is>
          <t>2028</t>
        </is>
      </c>
      <c r="J717" t="n">
        <v>2009</v>
      </c>
      <c r="K717" t="inlineStr">
        <is>
          <t>JULIO 2023</t>
        </is>
      </c>
      <c r="L717" t="inlineStr">
        <is>
          <t>JULIO 2024</t>
        </is>
      </c>
      <c r="M717" t="inlineStr">
        <is>
          <t xml:space="preserve">P.Q.S TIPO ABC AL 90% NACIONAL </t>
        </is>
      </c>
      <c r="N717" t="inlineStr">
        <is>
          <t>331/000811</t>
        </is>
      </c>
      <c r="O717" t="inlineStr">
        <is>
          <t>R</t>
        </is>
      </c>
      <c r="P717">
        <f>TRIM(N717)</f>
        <v/>
      </c>
    </row>
    <row r="718">
      <c r="A718" t="inlineStr">
        <is>
          <t>CO-001435</t>
        </is>
      </c>
      <c r="B718" t="inlineStr">
        <is>
          <t>PERU MASIVO S.A.</t>
        </is>
      </c>
      <c r="C718" t="inlineStr">
        <is>
          <t>20492392031</t>
        </is>
      </c>
      <c r="D718" t="inlineStr">
        <is>
          <t>AV. LOS INCAS CDRA. 4 PATIO NORTE - COMAS</t>
        </is>
      </c>
      <c r="E718" t="inlineStr">
        <is>
          <t>Lima, 27 de Julio de 2023</t>
        </is>
      </c>
      <c r="F718" t="inlineStr">
        <is>
          <t>la Recarga y mantenimiento</t>
        </is>
      </c>
      <c r="G718" t="n">
        <v>8</v>
      </c>
      <c r="H718" t="inlineStr">
        <is>
          <t>06 KG</t>
        </is>
      </c>
      <c r="I718" t="inlineStr">
        <is>
          <t>2028</t>
        </is>
      </c>
      <c r="J718" t="n">
        <v>2010</v>
      </c>
      <c r="K718" t="inlineStr">
        <is>
          <t>JULIO 2023</t>
        </is>
      </c>
      <c r="L718" t="inlineStr">
        <is>
          <t>JULIO 2024</t>
        </is>
      </c>
      <c r="M718" t="inlineStr">
        <is>
          <t xml:space="preserve">P.Q.S TIPO ABC AL 90% NACIONAL </t>
        </is>
      </c>
      <c r="N718" t="inlineStr">
        <is>
          <t>110/006511</t>
        </is>
      </c>
      <c r="O718" t="inlineStr">
        <is>
          <t>R</t>
        </is>
      </c>
      <c r="P718">
        <f>TRIM(N718)</f>
        <v/>
      </c>
    </row>
    <row r="719">
      <c r="A719" t="inlineStr">
        <is>
          <t>CO-001435</t>
        </is>
      </c>
      <c r="B719" t="inlineStr">
        <is>
          <t>PERU MASIVO S.A.</t>
        </is>
      </c>
      <c r="C719" t="inlineStr">
        <is>
          <t>20492392031</t>
        </is>
      </c>
      <c r="D719" t="inlineStr">
        <is>
          <t>AV. LOS INCAS CDRA. 4 PATIO NORTE - COMAS</t>
        </is>
      </c>
      <c r="E719" t="inlineStr">
        <is>
          <t>Lima, 27 de Julio de 2023</t>
        </is>
      </c>
      <c r="F719" t="inlineStr">
        <is>
          <t>la Recarga y mantenimiento</t>
        </is>
      </c>
      <c r="G719" t="n">
        <v>9</v>
      </c>
      <c r="H719" t="inlineStr">
        <is>
          <t>06 KG</t>
        </is>
      </c>
      <c r="I719" t="inlineStr">
        <is>
          <t>2028</t>
        </is>
      </c>
      <c r="J719" t="n">
        <v>2009</v>
      </c>
      <c r="K719" t="inlineStr">
        <is>
          <t>JULIO 2023</t>
        </is>
      </c>
      <c r="L719" t="inlineStr">
        <is>
          <t>JULIO 2024</t>
        </is>
      </c>
      <c r="M719" t="inlineStr">
        <is>
          <t xml:space="preserve">P.Q.S TIPO ABC AL 90% NACIONAL </t>
        </is>
      </c>
      <c r="N719" t="inlineStr">
        <is>
          <t>187/001121</t>
        </is>
      </c>
      <c r="O719" t="inlineStr">
        <is>
          <t>R</t>
        </is>
      </c>
      <c r="P719">
        <f>TRIM(N719)</f>
        <v/>
      </c>
    </row>
    <row r="720">
      <c r="A720" t="inlineStr">
        <is>
          <t>CO-001435</t>
        </is>
      </c>
      <c r="B720" t="inlineStr">
        <is>
          <t>PERU MASIVO S.A.</t>
        </is>
      </c>
      <c r="C720" t="inlineStr">
        <is>
          <t>20492392031</t>
        </is>
      </c>
      <c r="D720" t="inlineStr">
        <is>
          <t>AV. LOS INCAS CDRA. 4 PATIO NORTE - COMAS</t>
        </is>
      </c>
      <c r="E720" t="inlineStr">
        <is>
          <t>Lima, 27 de Julio de 2023</t>
        </is>
      </c>
      <c r="F720" t="inlineStr">
        <is>
          <t>la Recarga y mantenimiento</t>
        </is>
      </c>
      <c r="G720" t="n">
        <v>10</v>
      </c>
      <c r="H720" t="inlineStr">
        <is>
          <t>06 KG</t>
        </is>
      </c>
      <c r="I720" t="inlineStr">
        <is>
          <t>2028</t>
        </is>
      </c>
      <c r="J720" t="n">
        <v>2010</v>
      </c>
      <c r="K720" t="inlineStr">
        <is>
          <t>JULIO 2023</t>
        </is>
      </c>
      <c r="L720" t="inlineStr">
        <is>
          <t>JULIO 2024</t>
        </is>
      </c>
      <c r="M720" t="inlineStr">
        <is>
          <t xml:space="preserve">P.Q.S TIPO ABC AL 90% NACIONAL </t>
        </is>
      </c>
      <c r="N720" t="inlineStr">
        <is>
          <t>S/N / 005496</t>
        </is>
      </c>
      <c r="O720" t="inlineStr">
        <is>
          <t>R</t>
        </is>
      </c>
      <c r="P720">
        <f>TRIM(N720)</f>
        <v/>
      </c>
    </row>
    <row r="721">
      <c r="A721" t="inlineStr">
        <is>
          <t>CO-001435</t>
        </is>
      </c>
      <c r="B721" t="inlineStr">
        <is>
          <t>PERU MASIVO S.A.</t>
        </is>
      </c>
      <c r="C721" t="inlineStr">
        <is>
          <t>20492392031</t>
        </is>
      </c>
      <c r="D721" t="inlineStr">
        <is>
          <t>AV. LOS INCAS CDRA. 4 PATIO NORTE - COMAS</t>
        </is>
      </c>
      <c r="E721" t="inlineStr">
        <is>
          <t>Lima, 27 de Julio de 2023</t>
        </is>
      </c>
      <c r="F721" t="inlineStr">
        <is>
          <t>la Recarga y mantenimiento</t>
        </is>
      </c>
      <c r="G721" t="n">
        <v>11</v>
      </c>
      <c r="H721" t="inlineStr">
        <is>
          <t>06 KG</t>
        </is>
      </c>
      <c r="I721" t="inlineStr">
        <is>
          <t>2028</t>
        </is>
      </c>
      <c r="J721" t="n">
        <v>2009</v>
      </c>
      <c r="K721" t="inlineStr">
        <is>
          <t>JULIO 2023</t>
        </is>
      </c>
      <c r="L721" t="inlineStr">
        <is>
          <t>JULIO 2024</t>
        </is>
      </c>
      <c r="M721" t="inlineStr">
        <is>
          <t xml:space="preserve">P.Q.S TIPO ABC AL 90% NACIONAL </t>
        </is>
      </c>
      <c r="N721" t="inlineStr">
        <is>
          <t>334/000845</t>
        </is>
      </c>
      <c r="O721" t="inlineStr">
        <is>
          <t>R</t>
        </is>
      </c>
      <c r="P721">
        <f>TRIM(N721)</f>
        <v/>
      </c>
    </row>
    <row r="722">
      <c r="A722" t="inlineStr">
        <is>
          <t>CO-001436</t>
        </is>
      </c>
      <c r="B722" t="inlineStr">
        <is>
          <t>WILLIAM NARCISO MURILLO CARRANZA</t>
        </is>
      </c>
      <c r="C722" t="inlineStr">
        <is>
          <t>44228616</t>
        </is>
      </c>
      <c r="D722" t="inlineStr">
        <is>
          <t>PLACA: BVY-787</t>
        </is>
      </c>
      <c r="E722" t="inlineStr">
        <is>
          <t>Lima, 30 de Julio de 2023</t>
        </is>
      </c>
      <c r="F722" t="inlineStr">
        <is>
          <t>la venta</t>
        </is>
      </c>
      <c r="G722" t="inlineStr">
        <is>
          <t>01</t>
        </is>
      </c>
      <c r="H722" t="inlineStr">
        <is>
          <t>06 KG</t>
        </is>
      </c>
      <c r="I722" t="inlineStr">
        <is>
          <t>2028</t>
        </is>
      </c>
      <c r="J722" t="n">
        <v>2023</v>
      </c>
      <c r="K722" t="inlineStr">
        <is>
          <t>JULIO 2023</t>
        </is>
      </c>
      <c r="L722" t="inlineStr">
        <is>
          <t>JULIO 2024</t>
        </is>
      </c>
      <c r="M722" t="inlineStr">
        <is>
          <t xml:space="preserve">P.Q.S TIPO ABC </t>
        </is>
      </c>
      <c r="N722" t="inlineStr">
        <is>
          <t>01/002440</t>
        </is>
      </c>
      <c r="O722" t="inlineStr">
        <is>
          <t>V</t>
        </is>
      </c>
      <c r="P722">
        <f>TRIM(N722)</f>
        <v/>
      </c>
    </row>
    <row r="723">
      <c r="A723" t="inlineStr">
        <is>
          <t>CO-001437</t>
        </is>
      </c>
      <c r="B723" t="inlineStr">
        <is>
          <t>ALBERTO ANCALLA MILLIO</t>
        </is>
      </c>
      <c r="D723" t="inlineStr">
        <is>
          <t>AV. TUPAC AMARU 4893 PUEBLO JOVEN EL PROGRESO - COMAS</t>
        </is>
      </c>
      <c r="E723" t="inlineStr">
        <is>
          <t>Lima, 01 de Agosto 2023</t>
        </is>
      </c>
      <c r="F723" t="inlineStr">
        <is>
          <t>la Recarga y mantenimiento</t>
        </is>
      </c>
      <c r="G723" t="inlineStr">
        <is>
          <t>01</t>
        </is>
      </c>
      <c r="H723" t="inlineStr">
        <is>
          <t>06 KG</t>
        </is>
      </c>
      <c r="I723" t="inlineStr">
        <is>
          <t>2027</t>
        </is>
      </c>
      <c r="J723" t="n">
        <v>2022</v>
      </c>
      <c r="K723" t="inlineStr">
        <is>
          <t>AGOSTO 2023</t>
        </is>
      </c>
      <c r="L723" t="inlineStr">
        <is>
          <t>AGOSTO 2024</t>
        </is>
      </c>
      <c r="M723" t="inlineStr">
        <is>
          <t xml:space="preserve">P.Q.S TIPO ABC </t>
        </is>
      </c>
      <c r="N723" t="inlineStr">
        <is>
          <t>307134</t>
        </is>
      </c>
      <c r="O723" t="inlineStr">
        <is>
          <t>R</t>
        </is>
      </c>
      <c r="P723">
        <f>TRIM(N723)</f>
        <v/>
      </c>
    </row>
    <row r="724">
      <c r="A724" t="inlineStr">
        <is>
          <t>CO-001438</t>
        </is>
      </c>
      <c r="B724" t="inlineStr">
        <is>
          <t>EL SABOR PERUANO DE CASA DE: KEVIN JORDI TAPIA CALLERI</t>
        </is>
      </c>
      <c r="D724" t="inlineStr">
        <is>
          <t>AV TUPAC AMARU 4975</t>
        </is>
      </c>
      <c r="E724" t="inlineStr">
        <is>
          <t>Lima, 02 de Agosto 2023</t>
        </is>
      </c>
      <c r="F724" t="inlineStr">
        <is>
          <t>la Recarga y mantenimiento</t>
        </is>
      </c>
      <c r="G724" t="inlineStr">
        <is>
          <t>01</t>
        </is>
      </c>
      <c r="H724" t="inlineStr">
        <is>
          <t>06 KG</t>
        </is>
      </c>
      <c r="I724" t="inlineStr">
        <is>
          <t>2026</t>
        </is>
      </c>
      <c r="J724" t="n">
        <v>2015</v>
      </c>
      <c r="K724" t="inlineStr">
        <is>
          <t>AGOSTO 2023</t>
        </is>
      </c>
      <c r="L724" t="inlineStr">
        <is>
          <t>AGOSTO 2024</t>
        </is>
      </c>
      <c r="M724" t="inlineStr">
        <is>
          <t xml:space="preserve">P.Q.S TIPO ABC </t>
        </is>
      </c>
      <c r="N724" t="inlineStr">
        <is>
          <t>01/020549</t>
        </is>
      </c>
      <c r="O724" t="inlineStr">
        <is>
          <t>R</t>
        </is>
      </c>
      <c r="P724">
        <f>TRIM(N724)</f>
        <v/>
      </c>
    </row>
    <row r="725">
      <c r="A725" t="inlineStr">
        <is>
          <t>CO-001438</t>
        </is>
      </c>
      <c r="B725" t="inlineStr">
        <is>
          <t>EL SABOR PERUANO DE CASA DE: KEVIN JORDI TAPIA CALLERI</t>
        </is>
      </c>
      <c r="D725" t="inlineStr">
        <is>
          <t>AV TUPAC AMARU 4975</t>
        </is>
      </c>
      <c r="E725" t="inlineStr">
        <is>
          <t>Lima, 02 de Agosto 2023</t>
        </is>
      </c>
      <c r="F725" t="inlineStr">
        <is>
          <t>la Recarga y mantenimiento</t>
        </is>
      </c>
      <c r="G725" t="inlineStr">
        <is>
          <t>02</t>
        </is>
      </c>
      <c r="H725" t="inlineStr">
        <is>
          <t>1.5 GLS.</t>
        </is>
      </c>
      <c r="I725" t="inlineStr">
        <is>
          <t>2025</t>
        </is>
      </c>
      <c r="J725" t="n">
        <v>2020</v>
      </c>
      <c r="K725" t="inlineStr">
        <is>
          <t>AGOSTO 2023</t>
        </is>
      </c>
      <c r="L725" t="inlineStr">
        <is>
          <t>AGOSTO 2024</t>
        </is>
      </c>
      <c r="M725" t="inlineStr">
        <is>
          <t>ACETATO TIPO K</t>
        </is>
      </c>
      <c r="N725" t="inlineStr">
        <is>
          <t>02/000149</t>
        </is>
      </c>
      <c r="O725" t="inlineStr">
        <is>
          <t>R</t>
        </is>
      </c>
      <c r="P725">
        <f>TRIM(N725)</f>
        <v/>
      </c>
    </row>
    <row r="726">
      <c r="A726" t="inlineStr">
        <is>
          <t>CO-001439</t>
        </is>
      </c>
      <c r="B726" t="inlineStr">
        <is>
          <t>MERCADO EL PARAISO</t>
        </is>
      </c>
      <c r="D726" t="inlineStr">
        <is>
          <t>Urb. El Paraiso Mz. F Lote 6 / 16 - Carabayllo</t>
        </is>
      </c>
      <c r="E726" t="inlineStr">
        <is>
          <t>Lima, 02 de Agosto 2023</t>
        </is>
      </c>
      <c r="F726" t="inlineStr">
        <is>
          <t>la Recarga y mantenimiento</t>
        </is>
      </c>
      <c r="G726" t="inlineStr">
        <is>
          <t>01</t>
        </is>
      </c>
      <c r="H726" t="inlineStr">
        <is>
          <t>06 KG</t>
        </is>
      </c>
      <c r="I726" t="inlineStr">
        <is>
          <t>2027</t>
        </is>
      </c>
      <c r="J726" t="n">
        <v>2016</v>
      </c>
      <c r="K726" t="inlineStr">
        <is>
          <t>AGOSTO 2023</t>
        </is>
      </c>
      <c r="L726" t="inlineStr">
        <is>
          <t>AGOSTO 2024</t>
        </is>
      </c>
      <c r="M726" t="inlineStr">
        <is>
          <t xml:space="preserve">P.Q.S TIPO ABC </t>
        </is>
      </c>
      <c r="N726" t="inlineStr">
        <is>
          <t>01/001143</t>
        </is>
      </c>
      <c r="O726" t="inlineStr">
        <is>
          <t>R</t>
        </is>
      </c>
      <c r="P726">
        <f>TRIM(N726)</f>
        <v/>
      </c>
    </row>
    <row r="727">
      <c r="A727" t="inlineStr">
        <is>
          <t>CO-001439</t>
        </is>
      </c>
      <c r="B727" t="inlineStr">
        <is>
          <t>MERCADO EL PARAISO</t>
        </is>
      </c>
      <c r="D727" t="inlineStr">
        <is>
          <t>Urb. El Paraiso Mz. F Lote 6 / 16 - Carabayllo</t>
        </is>
      </c>
      <c r="E727" t="inlineStr">
        <is>
          <t>Lima, 02 de Agosto 2023</t>
        </is>
      </c>
      <c r="F727" t="inlineStr">
        <is>
          <t>la Recarga y mantenimiento</t>
        </is>
      </c>
      <c r="G727" t="inlineStr">
        <is>
          <t>02</t>
        </is>
      </c>
      <c r="H727" t="inlineStr">
        <is>
          <t>06 KG</t>
        </is>
      </c>
      <c r="I727" t="inlineStr">
        <is>
          <t>2028</t>
        </is>
      </c>
      <c r="J727" t="n">
        <v>2010</v>
      </c>
      <c r="K727" t="inlineStr">
        <is>
          <t>AGOSTO 2023</t>
        </is>
      </c>
      <c r="L727" t="inlineStr">
        <is>
          <t>AGOSTO 2024</t>
        </is>
      </c>
      <c r="M727" t="inlineStr">
        <is>
          <t xml:space="preserve">P.Q.S TIPO ABC </t>
        </is>
      </c>
      <c r="N727" t="inlineStr">
        <is>
          <t>02/001460</t>
        </is>
      </c>
      <c r="O727" t="inlineStr">
        <is>
          <t>R</t>
        </is>
      </c>
      <c r="P727">
        <f>TRIM(N727)</f>
        <v/>
      </c>
    </row>
    <row r="728">
      <c r="A728" t="inlineStr">
        <is>
          <t>CO-001439</t>
        </is>
      </c>
      <c r="B728" t="inlineStr">
        <is>
          <t>MERCADO EL PARAISO</t>
        </is>
      </c>
      <c r="D728" t="inlineStr">
        <is>
          <t>Urb. El Paraiso Mz. F Lote 6 / 16 - Carabayllo</t>
        </is>
      </c>
      <c r="E728" t="inlineStr">
        <is>
          <t>Lima, 02 de Agosto 2023</t>
        </is>
      </c>
      <c r="F728" t="inlineStr">
        <is>
          <t>la Recarga y mantenimiento</t>
        </is>
      </c>
      <c r="G728" t="inlineStr">
        <is>
          <t>03</t>
        </is>
      </c>
      <c r="H728" t="inlineStr">
        <is>
          <t>06 KG</t>
        </is>
      </c>
      <c r="I728" t="n">
        <v>2024</v>
      </c>
      <c r="J728" t="n">
        <v>2014</v>
      </c>
      <c r="K728" t="inlineStr">
        <is>
          <t>AGOSTO 2023</t>
        </is>
      </c>
      <c r="L728" t="inlineStr">
        <is>
          <t>AGOSTO 2024</t>
        </is>
      </c>
      <c r="M728" t="inlineStr">
        <is>
          <t xml:space="preserve">P.Q.S TIPO ABC </t>
        </is>
      </c>
      <c r="N728" t="inlineStr">
        <is>
          <t>03/002591</t>
        </is>
      </c>
      <c r="O728" t="inlineStr">
        <is>
          <t>R</t>
        </is>
      </c>
      <c r="P728">
        <f>TRIM(N728)</f>
        <v/>
      </c>
    </row>
    <row r="729">
      <c r="A729" t="inlineStr">
        <is>
          <t>CO-001439</t>
        </is>
      </c>
      <c r="B729" t="inlineStr">
        <is>
          <t>MERCADO EL PARAISO</t>
        </is>
      </c>
      <c r="D729" t="inlineStr">
        <is>
          <t>Urb. El Paraiso Mz. F Lote 6 / 16 - Carabayllo</t>
        </is>
      </c>
      <c r="E729" t="inlineStr">
        <is>
          <t>Lima, 02 de Agosto 2023</t>
        </is>
      </c>
      <c r="F729" t="inlineStr">
        <is>
          <t>la Recarga y mantenimiento</t>
        </is>
      </c>
      <c r="G729" t="inlineStr">
        <is>
          <t>04</t>
        </is>
      </c>
      <c r="H729" t="inlineStr">
        <is>
          <t>06 KG</t>
        </is>
      </c>
      <c r="I729" t="n">
        <v>2025</v>
      </c>
      <c r="J729" t="n">
        <v>2015</v>
      </c>
      <c r="K729" t="inlineStr">
        <is>
          <t>AGOSTO 2023</t>
        </is>
      </c>
      <c r="L729" t="inlineStr">
        <is>
          <t>AGOSTO 2024</t>
        </is>
      </c>
      <c r="M729" t="inlineStr">
        <is>
          <t xml:space="preserve">P.Q.S TIPO ABC </t>
        </is>
      </c>
      <c r="N729" t="inlineStr">
        <is>
          <t>04/001377</t>
        </is>
      </c>
      <c r="O729" t="inlineStr">
        <is>
          <t>R</t>
        </is>
      </c>
      <c r="P729">
        <f>TRIM(N729)</f>
        <v/>
      </c>
    </row>
    <row r="730">
      <c r="A730" t="inlineStr">
        <is>
          <t>CO-001439</t>
        </is>
      </c>
      <c r="B730" t="inlineStr">
        <is>
          <t>MERCADO EL PARAISO</t>
        </is>
      </c>
      <c r="D730" t="inlineStr">
        <is>
          <t>Urb. El Paraiso Mz. F Lote 6 / 16 - Carabayllo</t>
        </is>
      </c>
      <c r="E730" t="inlineStr">
        <is>
          <t>Lima, 02 de Agosto 2023</t>
        </is>
      </c>
      <c r="F730" t="inlineStr">
        <is>
          <t>la Recarga y mantenimiento</t>
        </is>
      </c>
      <c r="G730" t="inlineStr">
        <is>
          <t>05</t>
        </is>
      </c>
      <c r="H730" t="inlineStr">
        <is>
          <t>06 KG</t>
        </is>
      </c>
      <c r="I730" t="n">
        <v>2027</v>
      </c>
      <c r="J730" t="n">
        <v>2016</v>
      </c>
      <c r="K730" t="inlineStr">
        <is>
          <t>AGOSTO 2023</t>
        </is>
      </c>
      <c r="L730" t="inlineStr">
        <is>
          <t>AGOSTO 2024</t>
        </is>
      </c>
      <c r="M730" t="inlineStr">
        <is>
          <t xml:space="preserve">P.Q.S TIPO ABC </t>
        </is>
      </c>
      <c r="N730" t="inlineStr">
        <is>
          <t>05/001095</t>
        </is>
      </c>
      <c r="O730" t="inlineStr">
        <is>
          <t>R</t>
        </is>
      </c>
      <c r="P730">
        <f>TRIM(N730)</f>
        <v/>
      </c>
    </row>
    <row r="731">
      <c r="A731" t="inlineStr">
        <is>
          <t>CO-001440</t>
        </is>
      </c>
      <c r="B731" t="inlineStr">
        <is>
          <t xml:space="preserve">JOSE MELCHOR SANCHEZ HUAMAN </t>
        </is>
      </c>
      <c r="C731" t="inlineStr">
        <is>
          <t>DNI: 41204120</t>
        </is>
      </c>
      <c r="D731" t="inlineStr">
        <is>
          <t>Jr. Marte N° 107 Año nuevo - Comas</t>
        </is>
      </c>
      <c r="E731" t="inlineStr">
        <is>
          <t>Lima, 02 de Agosto 2023</t>
        </is>
      </c>
      <c r="F731" t="inlineStr">
        <is>
          <t>la Recarga y mantenimiento</t>
        </is>
      </c>
      <c r="G731" t="inlineStr">
        <is>
          <t>01</t>
        </is>
      </c>
      <c r="H731" t="inlineStr">
        <is>
          <t>06 KG</t>
        </is>
      </c>
      <c r="I731" t="inlineStr">
        <is>
          <t>2027</t>
        </is>
      </c>
      <c r="J731" t="n">
        <v>2017</v>
      </c>
      <c r="K731" t="inlineStr">
        <is>
          <t>AGOSTO 2023</t>
        </is>
      </c>
      <c r="L731" t="inlineStr">
        <is>
          <t>AGOSTO 2024</t>
        </is>
      </c>
      <c r="M731" t="inlineStr">
        <is>
          <t xml:space="preserve">P.Q.S TIPO ABC </t>
        </is>
      </c>
      <c r="N731" t="inlineStr">
        <is>
          <t>07/001336</t>
        </is>
      </c>
      <c r="O731" t="inlineStr">
        <is>
          <t>R</t>
        </is>
      </c>
      <c r="P731">
        <f>TRIM(N731)</f>
        <v/>
      </c>
    </row>
    <row r="732">
      <c r="A732" t="inlineStr">
        <is>
          <t>CO-001440</t>
        </is>
      </c>
      <c r="B732" t="inlineStr">
        <is>
          <t xml:space="preserve">JOSE MELCHOR SANCHEZ HUAMAN </t>
        </is>
      </c>
      <c r="C732" t="inlineStr">
        <is>
          <t>DNI: 41204120</t>
        </is>
      </c>
      <c r="D732" t="inlineStr">
        <is>
          <t>Jr. Marte N° 107 Año nuevo - Comas</t>
        </is>
      </c>
      <c r="E732" t="inlineStr">
        <is>
          <t>Lima, 02 de Agosto 2023</t>
        </is>
      </c>
      <c r="F732" t="inlineStr">
        <is>
          <t>la Recarga y mantenimiento</t>
        </is>
      </c>
      <c r="G732" t="inlineStr">
        <is>
          <t>02</t>
        </is>
      </c>
      <c r="H732" t="inlineStr">
        <is>
          <t>06 KG</t>
        </is>
      </c>
      <c r="I732" t="inlineStr">
        <is>
          <t>2027</t>
        </is>
      </c>
      <c r="J732" t="n">
        <v>2022</v>
      </c>
      <c r="K732" t="inlineStr">
        <is>
          <t>AGOSTO 2023</t>
        </is>
      </c>
      <c r="L732" t="inlineStr">
        <is>
          <t>AGOSTO 2024</t>
        </is>
      </c>
      <c r="M732" t="inlineStr">
        <is>
          <t xml:space="preserve">P.Q.S TIPO ABC </t>
        </is>
      </c>
      <c r="N732" t="inlineStr">
        <is>
          <t>01/422693</t>
        </is>
      </c>
      <c r="O732" t="inlineStr">
        <is>
          <t>R</t>
        </is>
      </c>
      <c r="P732">
        <f>TRIM(N732)</f>
        <v/>
      </c>
    </row>
    <row r="733">
      <c r="A733" t="inlineStr">
        <is>
          <t>CO-001441</t>
        </is>
      </c>
      <c r="B733" t="inlineStr">
        <is>
          <t>GRIFO COMARSA - COMARSA &amp; CIA. S.R.L.</t>
        </is>
      </c>
      <c r="C733" t="inlineStr">
        <is>
          <t>20471884741</t>
        </is>
      </c>
      <c r="D733" t="inlineStr">
        <is>
          <t>AV. FELIPE MENDIZABAL 580 - TUNGASUCA - CARABAYLLO</t>
        </is>
      </c>
      <c r="E733" t="inlineStr">
        <is>
          <t>Lima, 03 de Agosto 2023</t>
        </is>
      </c>
      <c r="F733" t="inlineStr">
        <is>
          <t>el mantenimiento</t>
        </is>
      </c>
      <c r="G733" t="inlineStr">
        <is>
          <t>01</t>
        </is>
      </c>
      <c r="H733" t="inlineStr">
        <is>
          <t>12 KG</t>
        </is>
      </c>
      <c r="I733" t="inlineStr">
        <is>
          <t>2025</t>
        </is>
      </c>
      <c r="J733" t="inlineStr">
        <is>
          <t>S/N</t>
        </is>
      </c>
      <c r="K733" t="inlineStr">
        <is>
          <t>AGOSTO 2023</t>
        </is>
      </c>
      <c r="L733" t="inlineStr">
        <is>
          <t>AGOSTO 2024</t>
        </is>
      </c>
      <c r="M733" t="inlineStr">
        <is>
          <t>P.Q.S TIPO ABC AL 90% UL</t>
        </is>
      </c>
      <c r="N733" t="inlineStr">
        <is>
          <t>03/000326</t>
        </is>
      </c>
      <c r="O733" t="inlineStr">
        <is>
          <t>M4</t>
        </is>
      </c>
      <c r="P733">
        <f>TRIM(N733)</f>
        <v/>
      </c>
    </row>
    <row r="734">
      <c r="A734" t="inlineStr">
        <is>
          <t>CO-001441</t>
        </is>
      </c>
      <c r="B734" t="inlineStr">
        <is>
          <t>GRIFO COMARSA - COMARSA &amp; CIA. S.R.L.</t>
        </is>
      </c>
      <c r="C734" t="inlineStr">
        <is>
          <t>20471884741</t>
        </is>
      </c>
      <c r="D734" t="inlineStr">
        <is>
          <t>AV. FELIPE MENDIZABAL 580 - TUNGASUCA - CARABAYLLO</t>
        </is>
      </c>
      <c r="E734" t="inlineStr">
        <is>
          <t>Lima, 03 de Agosto 2023</t>
        </is>
      </c>
      <c r="F734" t="inlineStr">
        <is>
          <t>el mantenimiento</t>
        </is>
      </c>
      <c r="G734" t="inlineStr">
        <is>
          <t>02</t>
        </is>
      </c>
      <c r="H734" t="inlineStr">
        <is>
          <t>13.6 KG</t>
        </is>
      </c>
      <c r="I734" t="inlineStr">
        <is>
          <t>2025</t>
        </is>
      </c>
      <c r="J734" t="inlineStr">
        <is>
          <t>S/N</t>
        </is>
      </c>
      <c r="K734" t="inlineStr">
        <is>
          <t>AGOSTO 2023</t>
        </is>
      </c>
      <c r="L734" t="inlineStr">
        <is>
          <t>AGOSTO 2024</t>
        </is>
      </c>
      <c r="M734" t="inlineStr">
        <is>
          <t>P.Q.S TIPO ABC AL 90% UL</t>
        </is>
      </c>
      <c r="N734" t="inlineStr">
        <is>
          <t>03/000738</t>
        </is>
      </c>
      <c r="O734" t="inlineStr">
        <is>
          <t>M4</t>
        </is>
      </c>
      <c r="P734">
        <f>TRIM(N734)</f>
        <v/>
      </c>
    </row>
    <row r="735">
      <c r="A735" t="inlineStr">
        <is>
          <t>CO-001442</t>
        </is>
      </c>
      <c r="B735" t="inlineStr">
        <is>
          <t>ASCENCIA BOCANGELINO VALENCIA</t>
        </is>
      </c>
      <c r="C735" t="inlineStr">
        <is>
          <t>23987031</t>
        </is>
      </c>
      <c r="D735" t="inlineStr">
        <is>
          <t>Urb. El Paraiso Mz. F Lote 05 - Carabayllo</t>
        </is>
      </c>
      <c r="E735" t="inlineStr">
        <is>
          <t>Lima, 03 de Agosto 2023</t>
        </is>
      </c>
      <c r="F735" t="inlineStr">
        <is>
          <t>Venta</t>
        </is>
      </c>
      <c r="G735" t="inlineStr">
        <is>
          <t>01</t>
        </is>
      </c>
      <c r="H735" t="inlineStr">
        <is>
          <t>06 KG</t>
        </is>
      </c>
      <c r="I735" t="inlineStr">
        <is>
          <t>2028</t>
        </is>
      </c>
      <c r="J735" t="n">
        <v>2023</v>
      </c>
      <c r="K735" t="inlineStr">
        <is>
          <t>AGOSTO 2023</t>
        </is>
      </c>
      <c r="L735" t="inlineStr">
        <is>
          <t>AGOSTO 2024</t>
        </is>
      </c>
      <c r="M735" t="inlineStr">
        <is>
          <t xml:space="preserve">P.Q.S TIPO ABC </t>
        </is>
      </c>
      <c r="N735" t="inlineStr">
        <is>
          <t>01/002405</t>
        </is>
      </c>
      <c r="O735" t="inlineStr">
        <is>
          <t>V</t>
        </is>
      </c>
      <c r="P735">
        <f>TRIM(N735)</f>
        <v/>
      </c>
    </row>
    <row r="736">
      <c r="A736" t="inlineStr">
        <is>
          <t>CO-001443</t>
        </is>
      </c>
      <c r="B736" t="inlineStr">
        <is>
          <t>BAZAR EDITH</t>
        </is>
      </c>
      <c r="D736" t="inlineStr">
        <is>
          <t>Calle Manuel Odria N° 460 Carabayllo</t>
        </is>
      </c>
      <c r="E736" t="inlineStr">
        <is>
          <t>Lima, 04 de Agosto 2023</t>
        </is>
      </c>
      <c r="F736" t="inlineStr">
        <is>
          <t>la Recarga y mantenimiento</t>
        </is>
      </c>
      <c r="G736" t="inlineStr">
        <is>
          <t>01</t>
        </is>
      </c>
      <c r="H736" t="inlineStr">
        <is>
          <t>06 KG</t>
        </is>
      </c>
      <c r="I736" t="inlineStr">
        <is>
          <t>VIGENTE</t>
        </is>
      </c>
      <c r="J736" t="n">
        <v>2010</v>
      </c>
      <c r="K736" t="inlineStr">
        <is>
          <t>AGOSTO 2023</t>
        </is>
      </c>
      <c r="L736" t="inlineStr">
        <is>
          <t>AGOSTO 2024</t>
        </is>
      </c>
      <c r="M736" t="inlineStr">
        <is>
          <t xml:space="preserve">P.Q.S TIPO ABC </t>
        </is>
      </c>
      <c r="N736" t="inlineStr">
        <is>
          <t>0002211</t>
        </is>
      </c>
      <c r="O736" t="inlineStr">
        <is>
          <t>R</t>
        </is>
      </c>
      <c r="P736">
        <f>TRIM(N736)</f>
        <v/>
      </c>
    </row>
    <row r="737">
      <c r="A737" t="inlineStr">
        <is>
          <t>CO-001444</t>
        </is>
      </c>
      <c r="B737" t="inlineStr">
        <is>
          <t>LIDIA QUILLAHUAMAN CHALLCO</t>
        </is>
      </c>
      <c r="D737" t="inlineStr">
        <is>
          <t>Av. Revolucion N° 2686 4ta. Zona Collique Comas</t>
        </is>
      </c>
      <c r="E737" t="inlineStr">
        <is>
          <t>Lima, 09 de Agosto 2023</t>
        </is>
      </c>
      <c r="F737" t="inlineStr">
        <is>
          <t>la Recarga y mantenimiento</t>
        </is>
      </c>
      <c r="G737" t="inlineStr">
        <is>
          <t>01</t>
        </is>
      </c>
      <c r="H737" t="inlineStr">
        <is>
          <t>06 KG</t>
        </is>
      </c>
      <c r="I737" t="inlineStr">
        <is>
          <t>2027</t>
        </is>
      </c>
      <c r="J737" t="n">
        <v>2022</v>
      </c>
      <c r="K737" t="inlineStr">
        <is>
          <t>AGOSTO 2023</t>
        </is>
      </c>
      <c r="L737" t="inlineStr">
        <is>
          <t>AGOSTO 2024</t>
        </is>
      </c>
      <c r="M737" t="inlineStr">
        <is>
          <t xml:space="preserve">P.Q.S TIPO ABC </t>
        </is>
      </c>
      <c r="N737" t="inlineStr">
        <is>
          <t>042515</t>
        </is>
      </c>
      <c r="O737" t="inlineStr">
        <is>
          <t>R</t>
        </is>
      </c>
      <c r="P737">
        <f>TRIM(N737)</f>
        <v/>
      </c>
    </row>
    <row r="738">
      <c r="A738" t="inlineStr">
        <is>
          <t>CO-001445</t>
        </is>
      </c>
      <c r="B738" t="inlineStr">
        <is>
          <t>TEOFILO QUILLAHUAMAN</t>
        </is>
      </c>
      <c r="D738" t="inlineStr">
        <is>
          <t>Av. Revolucion N° 2684 4ta. Zona Collique Comas</t>
        </is>
      </c>
      <c r="E738" t="inlineStr">
        <is>
          <t>Lima, 09 de Agosto 2023</t>
        </is>
      </c>
      <c r="F738" t="inlineStr">
        <is>
          <t>la Recarga y mantenimiento</t>
        </is>
      </c>
      <c r="G738" t="inlineStr">
        <is>
          <t>01</t>
        </is>
      </c>
      <c r="H738" t="inlineStr">
        <is>
          <t>04 KG</t>
        </is>
      </c>
      <c r="I738" t="inlineStr">
        <is>
          <t>VIGENTE</t>
        </is>
      </c>
      <c r="J738" t="n">
        <v>2013</v>
      </c>
      <c r="K738" t="inlineStr">
        <is>
          <t>AGOSTO 2023</t>
        </is>
      </c>
      <c r="L738" t="inlineStr">
        <is>
          <t>AGOSTO 2024</t>
        </is>
      </c>
      <c r="M738" t="inlineStr">
        <is>
          <t xml:space="preserve">P.Q.S TIPO ABC </t>
        </is>
      </c>
      <c r="N738" t="inlineStr">
        <is>
          <t>000005</t>
        </is>
      </c>
      <c r="O738" t="inlineStr">
        <is>
          <t>R</t>
        </is>
      </c>
      <c r="P738">
        <f>TRIM(N738)</f>
        <v/>
      </c>
    </row>
    <row r="739">
      <c r="A739" t="inlineStr">
        <is>
          <t>CO-001446</t>
        </is>
      </c>
      <c r="B739" t="inlineStr">
        <is>
          <t>CIRILA NELIDA CORDERO</t>
        </is>
      </c>
      <c r="D739" t="inlineStr">
        <is>
          <t>PSTO. 11 - MERCADO 1RO. DE MAYO - COLLIQUE</t>
        </is>
      </c>
      <c r="E739" t="inlineStr">
        <is>
          <t>Lima, 09 de Agosto 2023</t>
        </is>
      </c>
      <c r="F739" t="inlineStr">
        <is>
          <t>la Recarga y mantenimiento</t>
        </is>
      </c>
      <c r="G739" t="inlineStr">
        <is>
          <t>01</t>
        </is>
      </c>
      <c r="H739" t="inlineStr">
        <is>
          <t>06 KG</t>
        </is>
      </c>
      <c r="I739" t="inlineStr">
        <is>
          <t>VIGENTE</t>
        </is>
      </c>
      <c r="J739" t="n">
        <v>2017</v>
      </c>
      <c r="K739" t="inlineStr">
        <is>
          <t>AGOSTO 2023</t>
        </is>
      </c>
      <c r="L739" t="inlineStr">
        <is>
          <t>AGOSTO 2024</t>
        </is>
      </c>
      <c r="M739" t="inlineStr">
        <is>
          <t xml:space="preserve">P.Q.S TIPO ABC </t>
        </is>
      </c>
      <c r="N739" t="inlineStr">
        <is>
          <t>000353</t>
        </is>
      </c>
      <c r="O739" t="inlineStr">
        <is>
          <t>R</t>
        </is>
      </c>
      <c r="P739">
        <f>TRIM(N739)</f>
        <v/>
      </c>
    </row>
    <row r="740">
      <c r="A740" t="inlineStr">
        <is>
          <t>CO-001447</t>
        </is>
      </c>
      <c r="B740" t="inlineStr">
        <is>
          <t>JULIA HUERTA PANIZO</t>
        </is>
      </c>
      <c r="D740" t="inlineStr">
        <is>
          <t>PSTO. 01 - MERCADO 1RO. DE MAYO - COLLIQUE</t>
        </is>
      </c>
      <c r="E740" t="inlineStr">
        <is>
          <t>Lima, 09 de Agosto 2023</t>
        </is>
      </c>
      <c r="F740" t="inlineStr">
        <is>
          <t>la Recarga y mantenimiento</t>
        </is>
      </c>
      <c r="G740" t="inlineStr">
        <is>
          <t>01</t>
        </is>
      </c>
      <c r="H740" t="inlineStr">
        <is>
          <t>04 KG</t>
        </is>
      </c>
      <c r="I740" t="inlineStr">
        <is>
          <t>VIGENTE</t>
        </is>
      </c>
      <c r="J740" t="n">
        <v>2016</v>
      </c>
      <c r="K740" t="inlineStr">
        <is>
          <t>AGOSTO 2023</t>
        </is>
      </c>
      <c r="L740" t="inlineStr">
        <is>
          <t>AGOSTO 2024</t>
        </is>
      </c>
      <c r="M740" t="inlineStr">
        <is>
          <t xml:space="preserve">P.Q.S TIPO ABC </t>
        </is>
      </c>
      <c r="N740" t="inlineStr">
        <is>
          <t>000004</t>
        </is>
      </c>
      <c r="O740" t="inlineStr">
        <is>
          <t>R</t>
        </is>
      </c>
      <c r="P740">
        <f>TRIM(N740)</f>
        <v/>
      </c>
    </row>
    <row r="741">
      <c r="A741" t="inlineStr">
        <is>
          <t>CO-001448</t>
        </is>
      </c>
      <c r="B741" t="inlineStr">
        <is>
          <t>TARCISIA ASUNTA NIETO HUMPIRE</t>
        </is>
      </c>
      <c r="D741" t="inlineStr">
        <is>
          <t>PSTO. 12 - MERCADO 1RO. DE MAYO - COLLIQUE</t>
        </is>
      </c>
      <c r="E741" t="inlineStr">
        <is>
          <t>Lima, 09 de Agosto 2023</t>
        </is>
      </c>
      <c r="F741" t="inlineStr">
        <is>
          <t>la Recarga y mantenimiento</t>
        </is>
      </c>
      <c r="G741" t="inlineStr">
        <is>
          <t>01</t>
        </is>
      </c>
      <c r="H741" t="inlineStr">
        <is>
          <t>06 KG</t>
        </is>
      </c>
      <c r="I741" t="inlineStr">
        <is>
          <t>VIGENTE</t>
        </is>
      </c>
      <c r="J741" t="n">
        <v>2017</v>
      </c>
      <c r="K741" t="inlineStr">
        <is>
          <t>AGOSTO 2023</t>
        </is>
      </c>
      <c r="L741" t="inlineStr">
        <is>
          <t>AGOSTO 2024</t>
        </is>
      </c>
      <c r="M741" t="inlineStr">
        <is>
          <t xml:space="preserve">P.Q.S TIPO ABC </t>
        </is>
      </c>
      <c r="N741" t="inlineStr">
        <is>
          <t>000856</t>
        </is>
      </c>
      <c r="O741" t="inlineStr">
        <is>
          <t>R</t>
        </is>
      </c>
      <c r="P741">
        <f>TRIM(N741)</f>
        <v/>
      </c>
    </row>
    <row r="742">
      <c r="A742" t="inlineStr">
        <is>
          <t>CO-001449</t>
        </is>
      </c>
      <c r="B742" t="inlineStr">
        <is>
          <t>TEOBALDO PATILLA EGAS</t>
        </is>
      </c>
      <c r="D742" t="inlineStr">
        <is>
          <t>PSTO. 47 - MERCADO 1RO. DE MAYO - COLLIQUE</t>
        </is>
      </c>
      <c r="E742" t="inlineStr">
        <is>
          <t>Lima, 09 de Agosto 2023</t>
        </is>
      </c>
      <c r="F742" t="inlineStr">
        <is>
          <t>la Recarga y mantenimiento</t>
        </is>
      </c>
      <c r="G742" t="inlineStr">
        <is>
          <t>01</t>
        </is>
      </c>
      <c r="H742" t="inlineStr">
        <is>
          <t>06 KG</t>
        </is>
      </c>
      <c r="I742" t="inlineStr">
        <is>
          <t>2028</t>
        </is>
      </c>
      <c r="J742" t="n">
        <v>2017</v>
      </c>
      <c r="K742" t="inlineStr">
        <is>
          <t>AGOSTO 2023</t>
        </is>
      </c>
      <c r="L742" t="inlineStr">
        <is>
          <t>AGOSTO 2024</t>
        </is>
      </c>
      <c r="M742" t="inlineStr">
        <is>
          <t xml:space="preserve">P.Q.S TIPO ABC </t>
        </is>
      </c>
      <c r="N742" t="inlineStr">
        <is>
          <t>000539</t>
        </is>
      </c>
      <c r="O742" t="inlineStr">
        <is>
          <t>R</t>
        </is>
      </c>
      <c r="P742">
        <f>TRIM(N742)</f>
        <v/>
      </c>
    </row>
    <row r="743">
      <c r="A743" t="inlineStr">
        <is>
          <t>CO-001450</t>
        </is>
      </c>
      <c r="B743" t="inlineStr">
        <is>
          <t>PAULINA CURI FELICES</t>
        </is>
      </c>
      <c r="D743" t="inlineStr">
        <is>
          <t>PSTO. 49 - MERCADO 1RO. DE MAYO - COLLIQUE</t>
        </is>
      </c>
      <c r="E743" t="inlineStr">
        <is>
          <t>Lima, 09 de Agosto 2023</t>
        </is>
      </c>
      <c r="F743" t="inlineStr">
        <is>
          <t>la Recarga y mantenimiento</t>
        </is>
      </c>
      <c r="G743" t="inlineStr">
        <is>
          <t>01</t>
        </is>
      </c>
      <c r="H743" t="inlineStr">
        <is>
          <t>06 KG</t>
        </is>
      </c>
      <c r="I743" t="inlineStr">
        <is>
          <t>VIGENTE</t>
        </is>
      </c>
      <c r="J743" t="n">
        <v>2018</v>
      </c>
      <c r="K743" t="inlineStr">
        <is>
          <t>AGOSTO 2023</t>
        </is>
      </c>
      <c r="L743" t="inlineStr">
        <is>
          <t>AGOSTO 2024</t>
        </is>
      </c>
      <c r="M743" t="inlineStr">
        <is>
          <t xml:space="preserve">P.Q.S TIPO ABC </t>
        </is>
      </c>
      <c r="N743" t="inlineStr">
        <is>
          <t>003501</t>
        </is>
      </c>
      <c r="O743" t="inlineStr">
        <is>
          <t>R</t>
        </is>
      </c>
      <c r="P743">
        <f>TRIM(N743)</f>
        <v/>
      </c>
    </row>
    <row r="744">
      <c r="A744" t="inlineStr">
        <is>
          <t>CO-001451</t>
        </is>
      </c>
      <c r="B744" t="inlineStr">
        <is>
          <t>ERICK ANTHONY VALENTE BUSTAMANTE</t>
        </is>
      </c>
      <c r="D744" t="inlineStr">
        <is>
          <t>PSTO. 55 - MERCADO 1RO. DE MAYO - COLLIQUE</t>
        </is>
      </c>
      <c r="E744" t="inlineStr">
        <is>
          <t>Lima, 09 de Agosto 2023</t>
        </is>
      </c>
      <c r="F744" t="inlineStr">
        <is>
          <t>la Recarga y mantenimiento</t>
        </is>
      </c>
      <c r="G744" t="inlineStr">
        <is>
          <t>01</t>
        </is>
      </c>
      <c r="H744" t="inlineStr">
        <is>
          <t>06 KG</t>
        </is>
      </c>
      <c r="I744" t="inlineStr">
        <is>
          <t>2025</t>
        </is>
      </c>
      <c r="J744" t="n">
        <v>2020</v>
      </c>
      <c r="K744" t="inlineStr">
        <is>
          <t>AGOSTO 2023</t>
        </is>
      </c>
      <c r="L744" t="inlineStr">
        <is>
          <t>AGOSTO 2024</t>
        </is>
      </c>
      <c r="M744" t="inlineStr">
        <is>
          <t xml:space="preserve">P.Q.S TIPO ABC </t>
        </is>
      </c>
      <c r="N744" t="inlineStr">
        <is>
          <t>121350</t>
        </is>
      </c>
      <c r="O744" t="inlineStr">
        <is>
          <t>R</t>
        </is>
      </c>
      <c r="P744">
        <f>TRIM(N744)</f>
        <v/>
      </c>
    </row>
    <row r="745">
      <c r="A745" t="inlineStr">
        <is>
          <t>CO-001452</t>
        </is>
      </c>
      <c r="B745" t="inlineStr">
        <is>
          <t>LEVI HARON DOMINGUEZ CARDENAS</t>
        </is>
      </c>
      <c r="D745" t="inlineStr">
        <is>
          <t>PSTO. 58 - MERCADO 1RO. DE MAYO - COLLIQUE</t>
        </is>
      </c>
      <c r="E745" t="inlineStr">
        <is>
          <t>Lima, 09 de Agosto 2023</t>
        </is>
      </c>
      <c r="F745" t="inlineStr">
        <is>
          <t>la Recarga y mantenimiento</t>
        </is>
      </c>
      <c r="G745" t="inlineStr">
        <is>
          <t>01</t>
        </is>
      </c>
      <c r="H745" t="inlineStr">
        <is>
          <t>06 KG</t>
        </is>
      </c>
      <c r="I745" t="inlineStr">
        <is>
          <t>VIGENTE</t>
        </is>
      </c>
      <c r="J745" t="n">
        <v>2017</v>
      </c>
      <c r="K745" t="inlineStr">
        <is>
          <t>AGOSTO 2023</t>
        </is>
      </c>
      <c r="L745" t="inlineStr">
        <is>
          <t>AGOSTO 2024</t>
        </is>
      </c>
      <c r="M745" t="inlineStr">
        <is>
          <t xml:space="preserve">P.Q.S TIPO ABC </t>
        </is>
      </c>
      <c r="N745" t="inlineStr">
        <is>
          <t>000288</t>
        </is>
      </c>
      <c r="O745" t="inlineStr">
        <is>
          <t>R</t>
        </is>
      </c>
      <c r="P745">
        <f>TRIM(N745)</f>
        <v/>
      </c>
    </row>
    <row r="746">
      <c r="A746" t="inlineStr">
        <is>
          <t>CO-001453</t>
        </is>
      </c>
      <c r="B746" t="inlineStr">
        <is>
          <t>APOLINARIO HUAMAN CERRO</t>
        </is>
      </c>
      <c r="D746" t="inlineStr">
        <is>
          <t>PSTO. 59 - MERCADO 1RO. DE MAYO - COLLIQUE</t>
        </is>
      </c>
      <c r="E746" t="inlineStr">
        <is>
          <t>Lima, 09 de Agosto 2023</t>
        </is>
      </c>
      <c r="F746" t="inlineStr">
        <is>
          <t>la Recarga y mantenimiento</t>
        </is>
      </c>
      <c r="G746" t="inlineStr">
        <is>
          <t>01</t>
        </is>
      </c>
      <c r="H746" t="inlineStr">
        <is>
          <t>06 KG</t>
        </is>
      </c>
      <c r="I746" t="inlineStr">
        <is>
          <t>VIGENTE</t>
        </is>
      </c>
      <c r="J746" t="n">
        <v>2017</v>
      </c>
      <c r="K746" t="inlineStr">
        <is>
          <t>AGOSTO 2023</t>
        </is>
      </c>
      <c r="L746" t="inlineStr">
        <is>
          <t>AGOSTO 2024</t>
        </is>
      </c>
      <c r="M746" t="inlineStr">
        <is>
          <t xml:space="preserve">P.Q.S TIPO ABC </t>
        </is>
      </c>
      <c r="N746" t="inlineStr">
        <is>
          <t>000588</t>
        </is>
      </c>
      <c r="O746" t="inlineStr">
        <is>
          <t>R</t>
        </is>
      </c>
      <c r="P746">
        <f>TRIM(N746)</f>
        <v/>
      </c>
    </row>
    <row r="747">
      <c r="A747" t="inlineStr">
        <is>
          <t>CO-001453</t>
        </is>
      </c>
      <c r="B747" t="inlineStr">
        <is>
          <t>APOLINARIO HUAMAN CERRO</t>
        </is>
      </c>
      <c r="D747" t="inlineStr">
        <is>
          <t>PSTO. 59 - MERCADO 1RO. DE MAYO - COLLIQUE</t>
        </is>
      </c>
      <c r="E747" t="inlineStr">
        <is>
          <t>Lima, 09 de Agosto 2023</t>
        </is>
      </c>
      <c r="F747" t="inlineStr">
        <is>
          <t>la Recarga y mantenimiento</t>
        </is>
      </c>
      <c r="G747" t="inlineStr">
        <is>
          <t>02</t>
        </is>
      </c>
      <c r="H747" t="inlineStr">
        <is>
          <t>06 KG</t>
        </is>
      </c>
      <c r="I747" t="inlineStr">
        <is>
          <t>VIGENTE</t>
        </is>
      </c>
      <c r="J747" t="n">
        <v>2017</v>
      </c>
      <c r="K747" t="inlineStr">
        <is>
          <t>AGOSTO 2023</t>
        </is>
      </c>
      <c r="L747" t="inlineStr">
        <is>
          <t>AGOSTO 2024</t>
        </is>
      </c>
      <c r="M747" t="inlineStr">
        <is>
          <t xml:space="preserve">P.Q.S TIPO ABC </t>
        </is>
      </c>
      <c r="N747" t="inlineStr">
        <is>
          <t>001063</t>
        </is>
      </c>
      <c r="O747" t="inlineStr">
        <is>
          <t>R</t>
        </is>
      </c>
      <c r="P747">
        <f>TRIM(N747)</f>
        <v/>
      </c>
    </row>
    <row r="748">
      <c r="A748" t="inlineStr">
        <is>
          <t>CO-001454</t>
        </is>
      </c>
      <c r="B748" t="inlineStr">
        <is>
          <t>GIOVANNA CARRILLO PUMA</t>
        </is>
      </c>
      <c r="D748" t="inlineStr">
        <is>
          <t>PSTO. 60 - MERCADO 1RO. DE MAYO - COLLIQUE</t>
        </is>
      </c>
      <c r="E748" t="inlineStr">
        <is>
          <t>Lima, 09 de Agosto 2023</t>
        </is>
      </c>
      <c r="F748" t="inlineStr">
        <is>
          <t>la Recarga y mantenimiento</t>
        </is>
      </c>
      <c r="G748" t="inlineStr">
        <is>
          <t>01</t>
        </is>
      </c>
      <c r="H748" t="inlineStr">
        <is>
          <t>06 KG</t>
        </is>
      </c>
      <c r="I748" t="inlineStr">
        <is>
          <t>VIGENTE</t>
        </is>
      </c>
      <c r="J748" t="n">
        <v>2017</v>
      </c>
      <c r="K748" t="inlineStr">
        <is>
          <t>AGOSTO 2023</t>
        </is>
      </c>
      <c r="L748" t="inlineStr">
        <is>
          <t>AGOSTO 2024</t>
        </is>
      </c>
      <c r="M748" t="inlineStr">
        <is>
          <t xml:space="preserve">P.Q.S TIPO ABC </t>
        </is>
      </c>
      <c r="N748" t="inlineStr">
        <is>
          <t>000178</t>
        </is>
      </c>
      <c r="O748" t="inlineStr">
        <is>
          <t>R</t>
        </is>
      </c>
      <c r="P748">
        <f>TRIM(N748)</f>
        <v/>
      </c>
    </row>
    <row r="749">
      <c r="A749" t="inlineStr">
        <is>
          <t>CO-001454</t>
        </is>
      </c>
      <c r="B749" t="inlineStr">
        <is>
          <t>GIOVANNA CARRILLO PUMA</t>
        </is>
      </c>
      <c r="D749" t="inlineStr">
        <is>
          <t>PSTO. 60 - MERCADO 1RO. DE MAYO - COLLIQUE</t>
        </is>
      </c>
      <c r="E749" t="inlineStr">
        <is>
          <t>Lima, 09 de Agosto 2023</t>
        </is>
      </c>
      <c r="F749" t="inlineStr">
        <is>
          <t>la Recarga y mantenimiento</t>
        </is>
      </c>
      <c r="G749" t="inlineStr">
        <is>
          <t>02</t>
        </is>
      </c>
      <c r="H749" t="inlineStr">
        <is>
          <t>06 KG</t>
        </is>
      </c>
      <c r="I749" t="inlineStr">
        <is>
          <t>VIGENTE</t>
        </is>
      </c>
      <c r="J749" t="n">
        <v>2017</v>
      </c>
      <c r="K749" t="inlineStr">
        <is>
          <t>AGOSTO 2023</t>
        </is>
      </c>
      <c r="L749" t="inlineStr">
        <is>
          <t>AGOSTO 2024</t>
        </is>
      </c>
      <c r="M749" t="inlineStr">
        <is>
          <t xml:space="preserve">P.Q.S TIPO ABC </t>
        </is>
      </c>
      <c r="N749" t="inlineStr">
        <is>
          <t>003303</t>
        </is>
      </c>
      <c r="O749" t="inlineStr">
        <is>
          <t>R</t>
        </is>
      </c>
      <c r="P749">
        <f>TRIM(N749)</f>
        <v/>
      </c>
    </row>
    <row r="750">
      <c r="A750" t="inlineStr">
        <is>
          <t>CO-001455</t>
        </is>
      </c>
      <c r="B750" t="inlineStr">
        <is>
          <t>ERICKA PATILLA</t>
        </is>
      </c>
      <c r="D750" t="inlineStr">
        <is>
          <t>AV. REVOLUCION N° 2656 4TA ZONA COLLIQUE - COMAS</t>
        </is>
      </c>
      <c r="E750" t="inlineStr">
        <is>
          <t>Lima, 09 de Agosto 2023</t>
        </is>
      </c>
      <c r="F750" t="inlineStr">
        <is>
          <t>la Recarga y mantenimiento</t>
        </is>
      </c>
      <c r="G750" t="inlineStr">
        <is>
          <t>01</t>
        </is>
      </c>
      <c r="H750" t="inlineStr">
        <is>
          <t>06 KG</t>
        </is>
      </c>
      <c r="I750" t="inlineStr">
        <is>
          <t>2028</t>
        </is>
      </c>
      <c r="J750" t="n">
        <v>2017</v>
      </c>
      <c r="K750" t="inlineStr">
        <is>
          <t>AGOSTO 2023</t>
        </is>
      </c>
      <c r="L750" t="inlineStr">
        <is>
          <t>AGOSTO 2024</t>
        </is>
      </c>
      <c r="M750" t="inlineStr">
        <is>
          <t xml:space="preserve">P.Q.S TIPO ABC </t>
        </is>
      </c>
      <c r="N750" t="inlineStr">
        <is>
          <t>002236</t>
        </is>
      </c>
      <c r="O750" t="inlineStr">
        <is>
          <t>R</t>
        </is>
      </c>
      <c r="P750">
        <f>TRIM(N750)</f>
        <v/>
      </c>
    </row>
    <row r="751">
      <c r="A751" t="inlineStr">
        <is>
          <t>CO-001456</t>
        </is>
      </c>
      <c r="B751" t="inlineStr">
        <is>
          <t>KELLY KATHERINNE OJEDA SIMEON</t>
        </is>
      </c>
      <c r="D751" t="inlineStr">
        <is>
          <t>AV. REVOLUCION N° 2700 CRUCE CON JULIO C. TELLO 4TA. ZONA COLLIQUE - COMAS</t>
        </is>
      </c>
      <c r="E751" t="inlineStr">
        <is>
          <t>Lima, 09 de Agosto 2023</t>
        </is>
      </c>
      <c r="F751" t="inlineStr">
        <is>
          <t>la Recarga y mantenimiento</t>
        </is>
      </c>
      <c r="G751" t="inlineStr">
        <is>
          <t>01</t>
        </is>
      </c>
      <c r="H751" t="inlineStr">
        <is>
          <t>06 KG</t>
        </is>
      </c>
      <c r="I751" t="inlineStr">
        <is>
          <t>2025</t>
        </is>
      </c>
      <c r="J751" t="n">
        <v>2020</v>
      </c>
      <c r="K751" t="inlineStr">
        <is>
          <t>AGOSTO 2023</t>
        </is>
      </c>
      <c r="L751" t="inlineStr">
        <is>
          <t>AGOSTO 2024</t>
        </is>
      </c>
      <c r="M751" t="inlineStr">
        <is>
          <t xml:space="preserve">P.Q.S TIPO ABC </t>
        </is>
      </c>
      <c r="N751" t="inlineStr">
        <is>
          <t>011789</t>
        </is>
      </c>
      <c r="O751" t="inlineStr">
        <is>
          <t>R</t>
        </is>
      </c>
      <c r="P751">
        <f>TRIM(N751)</f>
        <v/>
      </c>
    </row>
    <row r="752">
      <c r="A752" t="inlineStr">
        <is>
          <t>CO-001457</t>
        </is>
      </c>
      <c r="B752" t="inlineStr">
        <is>
          <t>ROXANA SANCHEZ CALERO</t>
        </is>
      </c>
      <c r="D752" t="inlineStr">
        <is>
          <t>PSTO. 03 - MERCADO 1RO. DE MAYO - COLLIQUE</t>
        </is>
      </c>
      <c r="E752" t="inlineStr">
        <is>
          <t>Lima, 11 de Agosto 2023</t>
        </is>
      </c>
      <c r="F752" t="inlineStr">
        <is>
          <t>la Recarga y mantenimiento</t>
        </is>
      </c>
      <c r="G752" t="inlineStr">
        <is>
          <t>01</t>
        </is>
      </c>
      <c r="H752" t="inlineStr">
        <is>
          <t>06 KG</t>
        </is>
      </c>
      <c r="I752" t="inlineStr">
        <is>
          <t>VIGENTE</t>
        </is>
      </c>
      <c r="J752" t="n">
        <v>2017</v>
      </c>
      <c r="K752" t="inlineStr">
        <is>
          <t>AGOSTO 2023</t>
        </is>
      </c>
      <c r="L752" t="inlineStr">
        <is>
          <t>AGOSTO 2024</t>
        </is>
      </c>
      <c r="M752" t="inlineStr">
        <is>
          <t xml:space="preserve">P.Q.S TIPO ABC </t>
        </is>
      </c>
      <c r="N752" t="inlineStr">
        <is>
          <t>000117</t>
        </is>
      </c>
      <c r="O752" t="inlineStr">
        <is>
          <t>R</t>
        </is>
      </c>
      <c r="P752">
        <f>TRIM(N752)</f>
        <v/>
      </c>
    </row>
    <row r="753">
      <c r="A753" t="inlineStr">
        <is>
          <t>CO-001458</t>
        </is>
      </c>
      <c r="B753" t="inlineStr">
        <is>
          <t>LUFINA ESPINOZA LLACHAC</t>
        </is>
      </c>
      <c r="D753" t="inlineStr">
        <is>
          <t>PSTO. 11 - MERCADO 1RO. DE MAYO - COLLIQUE</t>
        </is>
      </c>
      <c r="E753" t="inlineStr">
        <is>
          <t>Lima, 11 de Agosto 2023</t>
        </is>
      </c>
      <c r="F753" t="inlineStr">
        <is>
          <t>la Recarga y mantenimiento</t>
        </is>
      </c>
      <c r="G753" t="inlineStr">
        <is>
          <t>01</t>
        </is>
      </c>
      <c r="H753" t="inlineStr">
        <is>
          <t>06 KG</t>
        </is>
      </c>
      <c r="I753" t="inlineStr">
        <is>
          <t>VIGENTE</t>
        </is>
      </c>
      <c r="J753" t="n">
        <v>2017</v>
      </c>
      <c r="K753" t="inlineStr">
        <is>
          <t>AGOSTO 2023</t>
        </is>
      </c>
      <c r="L753" t="inlineStr">
        <is>
          <t>AGOSTO 2024</t>
        </is>
      </c>
      <c r="M753" t="inlineStr">
        <is>
          <t xml:space="preserve">P.Q.S TIPO ABC </t>
        </is>
      </c>
      <c r="N753" t="inlineStr">
        <is>
          <t>000303</t>
        </is>
      </c>
      <c r="O753" t="inlineStr">
        <is>
          <t>R</t>
        </is>
      </c>
      <c r="P753">
        <f>TRIM(N753)</f>
        <v/>
      </c>
    </row>
    <row r="754">
      <c r="A754" t="inlineStr">
        <is>
          <t>CO-001459</t>
        </is>
      </c>
      <c r="B754" t="inlineStr">
        <is>
          <t>FAUSTINO CRUZ CARBAJAL</t>
        </is>
      </c>
      <c r="D754" t="inlineStr">
        <is>
          <t>PSTO. 02 - MERCADO 1RO. DE MAYO - COLLIQUE</t>
        </is>
      </c>
      <c r="E754" t="inlineStr">
        <is>
          <t>Lima, 11 de Agosto 2023</t>
        </is>
      </c>
      <c r="F754" t="inlineStr">
        <is>
          <t>la Recarga y mantenimiento</t>
        </is>
      </c>
      <c r="G754" t="inlineStr">
        <is>
          <t>01</t>
        </is>
      </c>
      <c r="H754" t="inlineStr">
        <is>
          <t>06 KG</t>
        </is>
      </c>
      <c r="I754" t="inlineStr">
        <is>
          <t>VIGENTE</t>
        </is>
      </c>
      <c r="J754" t="n">
        <v>2017</v>
      </c>
      <c r="K754" t="inlineStr">
        <is>
          <t>AGOSTO 2023</t>
        </is>
      </c>
      <c r="L754" t="inlineStr">
        <is>
          <t>AGOSTO 2024</t>
        </is>
      </c>
      <c r="M754" t="inlineStr">
        <is>
          <t xml:space="preserve">P.Q.S TIPO ABC </t>
        </is>
      </c>
      <c r="N754" t="inlineStr">
        <is>
          <t>002921</t>
        </is>
      </c>
      <c r="O754" t="inlineStr">
        <is>
          <t>R</t>
        </is>
      </c>
      <c r="P754">
        <f>TRIM(N754)</f>
        <v/>
      </c>
    </row>
    <row r="755">
      <c r="A755" t="inlineStr">
        <is>
          <t>CO-001460</t>
        </is>
      </c>
      <c r="B755" t="inlineStr">
        <is>
          <t>EUFENIA MEZA CLIMASCCA</t>
        </is>
      </c>
      <c r="D755" t="inlineStr">
        <is>
          <t>PSTO. 46 - MERCADO 1RO. DE MAYO - COLLIQUE</t>
        </is>
      </c>
      <c r="E755" t="inlineStr">
        <is>
          <t>Lima, 11 de Agosto 2023</t>
        </is>
      </c>
      <c r="F755" t="inlineStr">
        <is>
          <t>la Recarga y mantenimiento</t>
        </is>
      </c>
      <c r="G755" t="inlineStr">
        <is>
          <t>01</t>
        </is>
      </c>
      <c r="H755" t="inlineStr">
        <is>
          <t>06 KG</t>
        </is>
      </c>
      <c r="I755" t="inlineStr">
        <is>
          <t>VIGENTE</t>
        </is>
      </c>
      <c r="J755" t="n">
        <v>2017</v>
      </c>
      <c r="K755" t="inlineStr">
        <is>
          <t>AGOSTO 2023</t>
        </is>
      </c>
      <c r="L755" t="inlineStr">
        <is>
          <t>AGOSTO 2024</t>
        </is>
      </c>
      <c r="M755" t="inlineStr">
        <is>
          <t xml:space="preserve">P.Q.S TIPO ABC </t>
        </is>
      </c>
      <c r="N755" t="inlineStr">
        <is>
          <t>000721</t>
        </is>
      </c>
      <c r="O755" t="inlineStr">
        <is>
          <t>R</t>
        </is>
      </c>
      <c r="P755">
        <f>TRIM(N755)</f>
        <v/>
      </c>
    </row>
    <row r="756">
      <c r="A756" t="inlineStr">
        <is>
          <t>CO-001461</t>
        </is>
      </c>
      <c r="B756" t="inlineStr">
        <is>
          <t>AMANCIO CUBILLAS</t>
        </is>
      </c>
      <c r="D756" t="inlineStr">
        <is>
          <t>PSTO. 52 - MERCADO 1RO. DE MAYO - COLLIQUE</t>
        </is>
      </c>
      <c r="E756" t="inlineStr">
        <is>
          <t>Lima, 11 de Agosto 2023</t>
        </is>
      </c>
      <c r="F756" t="inlineStr">
        <is>
          <t>la Recarga y mantenimiento</t>
        </is>
      </c>
      <c r="G756" t="inlineStr">
        <is>
          <t>01</t>
        </is>
      </c>
      <c r="H756" t="inlineStr">
        <is>
          <t>06 KG</t>
        </is>
      </c>
      <c r="I756" t="inlineStr">
        <is>
          <t>VIGENTE</t>
        </is>
      </c>
      <c r="J756" t="n">
        <v>2017</v>
      </c>
      <c r="K756" t="inlineStr">
        <is>
          <t>AGOSTO 2023</t>
        </is>
      </c>
      <c r="L756" t="inlineStr">
        <is>
          <t>AGOSTO 2024</t>
        </is>
      </c>
      <c r="M756" t="inlineStr">
        <is>
          <t xml:space="preserve">P.Q.S TIPO ABC </t>
        </is>
      </c>
      <c r="N756" t="inlineStr">
        <is>
          <t>000203</t>
        </is>
      </c>
      <c r="O756" t="inlineStr">
        <is>
          <t>R</t>
        </is>
      </c>
      <c r="P756">
        <f>TRIM(N756)</f>
        <v/>
      </c>
    </row>
    <row r="757">
      <c r="A757" t="inlineStr">
        <is>
          <t>CO-001462</t>
        </is>
      </c>
      <c r="B757" t="inlineStr">
        <is>
          <t>GEORGE FRANCIA ARCAYO</t>
        </is>
      </c>
      <c r="D757" t="inlineStr">
        <is>
          <t>PSTO. 04 - MERCADO 1RO. DE MAYO - COLLIQUE</t>
        </is>
      </c>
      <c r="E757" t="inlineStr">
        <is>
          <t>Lima, 11 de Agosto 2023</t>
        </is>
      </c>
      <c r="F757" t="inlineStr">
        <is>
          <t>la Recarga y mantenimiento</t>
        </is>
      </c>
      <c r="G757" t="inlineStr">
        <is>
          <t>01</t>
        </is>
      </c>
      <c r="H757" t="inlineStr">
        <is>
          <t>06 KG</t>
        </is>
      </c>
      <c r="I757" t="inlineStr">
        <is>
          <t>VIGENTE</t>
        </is>
      </c>
      <c r="J757" t="n">
        <v>2017</v>
      </c>
      <c r="K757" t="inlineStr">
        <is>
          <t>AGOSTO 2023</t>
        </is>
      </c>
      <c r="L757" t="inlineStr">
        <is>
          <t>AGOSTO 2024</t>
        </is>
      </c>
      <c r="M757" t="inlineStr">
        <is>
          <t xml:space="preserve">P.Q.S TIPO ABC </t>
        </is>
      </c>
      <c r="N757" t="inlineStr">
        <is>
          <t>000164</t>
        </is>
      </c>
      <c r="O757" t="inlineStr">
        <is>
          <t>R</t>
        </is>
      </c>
      <c r="P757">
        <f>TRIM(N757)</f>
        <v/>
      </c>
    </row>
    <row r="758">
      <c r="A758" t="inlineStr">
        <is>
          <t>CO-001463</t>
        </is>
      </c>
      <c r="B758" t="inlineStr">
        <is>
          <t>LUCI VERGARA ALBA</t>
        </is>
      </c>
      <c r="D758" t="inlineStr">
        <is>
          <t>PSTO. 09 - MERCADO 1RO. DE MAYO - COLLIQUE</t>
        </is>
      </c>
      <c r="E758" t="inlineStr">
        <is>
          <t>Lima, 11 de Agosto 2023</t>
        </is>
      </c>
      <c r="F758" t="inlineStr">
        <is>
          <t>la Recarga y mantenimiento</t>
        </is>
      </c>
      <c r="G758" t="inlineStr">
        <is>
          <t>01</t>
        </is>
      </c>
      <c r="H758" t="inlineStr">
        <is>
          <t>06 KG</t>
        </is>
      </c>
      <c r="I758" t="inlineStr">
        <is>
          <t>VIGENTE</t>
        </is>
      </c>
      <c r="J758" t="n">
        <v>2017</v>
      </c>
      <c r="K758" t="inlineStr">
        <is>
          <t>AGOSTO 2023</t>
        </is>
      </c>
      <c r="L758" t="inlineStr">
        <is>
          <t>AGOSTO 2024</t>
        </is>
      </c>
      <c r="M758" t="inlineStr">
        <is>
          <t xml:space="preserve">P.Q.S TIPO ABC </t>
        </is>
      </c>
      <c r="N758" t="inlineStr">
        <is>
          <t>000198</t>
        </is>
      </c>
      <c r="O758" t="inlineStr">
        <is>
          <t>R</t>
        </is>
      </c>
      <c r="P758">
        <f>TRIM(N758)</f>
        <v/>
      </c>
    </row>
    <row r="759">
      <c r="A759" t="inlineStr">
        <is>
          <t>CO-001464</t>
        </is>
      </c>
      <c r="B759" t="inlineStr">
        <is>
          <t>MAX PERALTA PEÑA</t>
        </is>
      </c>
      <c r="C759" t="inlineStr">
        <is>
          <t>42674691</t>
        </is>
      </c>
      <c r="D759" t="inlineStr">
        <is>
          <t>PLACA: AFK-139</t>
        </is>
      </c>
      <c r="E759" t="inlineStr">
        <is>
          <t>Lima, 11 de Agosto 2023</t>
        </is>
      </c>
      <c r="F759" t="inlineStr">
        <is>
          <t>la Recarga y mantenimiento</t>
        </is>
      </c>
      <c r="G759" t="inlineStr">
        <is>
          <t>01</t>
        </is>
      </c>
      <c r="H759" t="inlineStr">
        <is>
          <t>01 KG</t>
        </is>
      </c>
      <c r="I759" t="inlineStr">
        <is>
          <t>2026</t>
        </is>
      </c>
      <c r="J759" t="n">
        <v>2021</v>
      </c>
      <c r="K759" t="inlineStr">
        <is>
          <t>AGOSTO 2023</t>
        </is>
      </c>
      <c r="L759" t="inlineStr">
        <is>
          <t>AGOSTO 2024</t>
        </is>
      </c>
      <c r="M759" t="inlineStr">
        <is>
          <t xml:space="preserve">P.Q.S TIPO ABC </t>
        </is>
      </c>
      <c r="N759" t="inlineStr">
        <is>
          <t>036298</t>
        </is>
      </c>
      <c r="O759" t="inlineStr">
        <is>
          <t>R</t>
        </is>
      </c>
      <c r="P759">
        <f>TRIM(N759)</f>
        <v/>
      </c>
    </row>
    <row r="760">
      <c r="A760" t="inlineStr">
        <is>
          <t>CO-001464</t>
        </is>
      </c>
      <c r="B760" t="inlineStr">
        <is>
          <t>MAX PERALTA PEÑA</t>
        </is>
      </c>
      <c r="C760" t="inlineStr">
        <is>
          <t>42674691</t>
        </is>
      </c>
      <c r="D760" t="inlineStr">
        <is>
          <t>PLACA: AFK-139</t>
        </is>
      </c>
      <c r="E760" t="inlineStr">
        <is>
          <t>Lima, 11 de Agosto 2023</t>
        </is>
      </c>
      <c r="F760" t="inlineStr">
        <is>
          <t>la Recarga y mantenimiento</t>
        </is>
      </c>
      <c r="G760" t="inlineStr">
        <is>
          <t>02</t>
        </is>
      </c>
      <c r="H760" t="inlineStr">
        <is>
          <t>02 KG</t>
        </is>
      </c>
      <c r="I760" t="inlineStr">
        <is>
          <t>2026</t>
        </is>
      </c>
      <c r="J760" t="n">
        <v>2021</v>
      </c>
      <c r="K760" t="inlineStr">
        <is>
          <t>AGOSTO 2023</t>
        </is>
      </c>
      <c r="L760" t="inlineStr">
        <is>
          <t>AGOSTO 2024</t>
        </is>
      </c>
      <c r="M760" t="inlineStr">
        <is>
          <t xml:space="preserve">P.Q.S TIPO ABC </t>
        </is>
      </c>
      <c r="N760" t="inlineStr">
        <is>
          <t>000005</t>
        </is>
      </c>
      <c r="O760" t="inlineStr">
        <is>
          <t>R</t>
        </is>
      </c>
      <c r="P760">
        <f>TRIM(N760)</f>
        <v/>
      </c>
    </row>
    <row r="761">
      <c r="A761" t="inlineStr">
        <is>
          <t>CO-001465</t>
        </is>
      </c>
      <c r="B761" t="inlineStr">
        <is>
          <t>ALEX LOPEZ MUÑOZ</t>
        </is>
      </c>
      <c r="D761" t="inlineStr">
        <is>
          <t>CALLE ANDRES A. CACERES N° 107 - EL PROGRESO - CARABAYLLO</t>
        </is>
      </c>
      <c r="E761" t="inlineStr">
        <is>
          <t>Lima, 12 de Agosto 2023</t>
        </is>
      </c>
      <c r="F761" t="inlineStr">
        <is>
          <t>la Recarga y mantenimiento</t>
        </is>
      </c>
      <c r="G761" t="inlineStr">
        <is>
          <t>01</t>
        </is>
      </c>
      <c r="H761" t="inlineStr">
        <is>
          <t>06 KG</t>
        </is>
      </c>
      <c r="I761" t="inlineStr">
        <is>
          <t>2028</t>
        </is>
      </c>
      <c r="J761" t="n">
        <v>2016</v>
      </c>
      <c r="K761" t="inlineStr">
        <is>
          <t>AGOSTO 2023</t>
        </is>
      </c>
      <c r="L761" t="inlineStr">
        <is>
          <t>AGOSTO 2024</t>
        </is>
      </c>
      <c r="M761" t="inlineStr">
        <is>
          <t xml:space="preserve">P.Q.S TIPO ABC </t>
        </is>
      </c>
      <c r="N761" t="inlineStr">
        <is>
          <t>001440</t>
        </is>
      </c>
      <c r="O761" t="inlineStr">
        <is>
          <t>R</t>
        </is>
      </c>
      <c r="P761">
        <f>TRIM(N761)</f>
        <v/>
      </c>
    </row>
    <row r="762">
      <c r="A762" t="inlineStr">
        <is>
          <t>CO-001466</t>
        </is>
      </c>
      <c r="B762" t="inlineStr">
        <is>
          <t>MARIA ELENA BERNAL</t>
        </is>
      </c>
      <c r="D762" t="inlineStr">
        <is>
          <t>PSTO. 19 - MERCADO 1RO. DE MAYO - COLLIQUE</t>
        </is>
      </c>
      <c r="E762" t="inlineStr">
        <is>
          <t>Lima, 14 de Agosto 2023</t>
        </is>
      </c>
      <c r="F762" t="inlineStr">
        <is>
          <t>la Recarga y mantenimiento</t>
        </is>
      </c>
      <c r="G762" t="inlineStr">
        <is>
          <t>01</t>
        </is>
      </c>
      <c r="H762" t="inlineStr">
        <is>
          <t>06 KG</t>
        </is>
      </c>
      <c r="I762" t="inlineStr">
        <is>
          <t>VIGENTE</t>
        </is>
      </c>
      <c r="J762" t="n">
        <v>2017</v>
      </c>
      <c r="K762" t="inlineStr">
        <is>
          <t>AGOSTO 2023</t>
        </is>
      </c>
      <c r="L762" t="inlineStr">
        <is>
          <t>AGOSTO 2024</t>
        </is>
      </c>
      <c r="M762" t="inlineStr">
        <is>
          <t xml:space="preserve">P.Q.S TIPO ABC </t>
        </is>
      </c>
      <c r="N762" t="inlineStr">
        <is>
          <t>001097</t>
        </is>
      </c>
      <c r="O762" t="inlineStr">
        <is>
          <t>R</t>
        </is>
      </c>
      <c r="P762">
        <f>TRIM(N762)</f>
        <v/>
      </c>
    </row>
    <row r="763">
      <c r="A763" t="inlineStr">
        <is>
          <t>CO-001467</t>
        </is>
      </c>
      <c r="B763" t="inlineStr">
        <is>
          <t>CARMEN ROSA ALBORNOZ</t>
        </is>
      </c>
      <c r="D763" t="inlineStr">
        <is>
          <t>PSTO. 53 - MERCADO 1RO. DE MAYO - COLLIQUE</t>
        </is>
      </c>
      <c r="E763" t="inlineStr">
        <is>
          <t>Lima, 14 de Agosto 2023</t>
        </is>
      </c>
      <c r="F763" t="inlineStr">
        <is>
          <t>la Recarga y mantenimiento</t>
        </is>
      </c>
      <c r="G763" t="inlineStr">
        <is>
          <t>01</t>
        </is>
      </c>
      <c r="H763" t="inlineStr">
        <is>
          <t>06 KG</t>
        </is>
      </c>
      <c r="I763" t="inlineStr">
        <is>
          <t>VIGENTE</t>
        </is>
      </c>
      <c r="J763" t="n">
        <v>2017</v>
      </c>
      <c r="K763" t="inlineStr">
        <is>
          <t>AGOSTO 2023</t>
        </is>
      </c>
      <c r="L763" t="inlineStr">
        <is>
          <t>AGOSTO 2024</t>
        </is>
      </c>
      <c r="M763" t="inlineStr">
        <is>
          <t xml:space="preserve">P.Q.S TIPO ABC </t>
        </is>
      </c>
      <c r="N763" t="inlineStr">
        <is>
          <t>000875</t>
        </is>
      </c>
      <c r="O763" t="inlineStr">
        <is>
          <t>R</t>
        </is>
      </c>
      <c r="P763">
        <f>TRIM(N763)</f>
        <v/>
      </c>
    </row>
    <row r="764">
      <c r="A764" t="inlineStr">
        <is>
          <t>CO-001468</t>
        </is>
      </c>
      <c r="B764" t="inlineStr">
        <is>
          <t>CARLOS HERNANDEZ BARRUETO</t>
        </is>
      </c>
      <c r="D764" t="inlineStr">
        <is>
          <t>PSTO. 57 - MERCADO 1RO. DE MAYO - COLLIQUE</t>
        </is>
      </c>
      <c r="E764" t="inlineStr">
        <is>
          <t>Lima, 14 de Agosto 2023</t>
        </is>
      </c>
      <c r="F764" t="inlineStr">
        <is>
          <t>la Recarga y mantenimiento</t>
        </is>
      </c>
      <c r="G764" t="inlineStr">
        <is>
          <t>01</t>
        </is>
      </c>
      <c r="H764" t="inlineStr">
        <is>
          <t>06 KG</t>
        </is>
      </c>
      <c r="I764" t="inlineStr">
        <is>
          <t>2025</t>
        </is>
      </c>
      <c r="J764" t="n">
        <v>2020</v>
      </c>
      <c r="K764" t="inlineStr">
        <is>
          <t>AGOSTO 2023</t>
        </is>
      </c>
      <c r="L764" t="inlineStr">
        <is>
          <t>AGOSTO 2024</t>
        </is>
      </c>
      <c r="M764" t="inlineStr">
        <is>
          <t xml:space="preserve">P.Q.S TIPO ABC </t>
        </is>
      </c>
      <c r="N764" t="inlineStr">
        <is>
          <t>000015</t>
        </is>
      </c>
      <c r="O764" t="inlineStr">
        <is>
          <t>R</t>
        </is>
      </c>
      <c r="P764">
        <f>TRIM(N764)</f>
        <v/>
      </c>
    </row>
    <row r="765">
      <c r="A765" t="inlineStr">
        <is>
          <t>CO-001469</t>
        </is>
      </c>
      <c r="B765" t="inlineStr">
        <is>
          <t>LINDE PERU S.R.L. - YAULI</t>
        </is>
      </c>
      <c r="C765" t="inlineStr">
        <is>
          <t>20338570041</t>
        </is>
      </c>
      <c r="D765" t="inlineStr">
        <is>
          <t>Av. Benavides 801 oficina 1102. Miraflores, Lima – Perú</t>
        </is>
      </c>
      <c r="E765" t="inlineStr">
        <is>
          <t>Lima, 14 de Agosto de 2023</t>
        </is>
      </c>
      <c r="F765" t="inlineStr">
        <is>
          <t>la Venta</t>
        </is>
      </c>
      <c r="G765" t="inlineStr">
        <is>
          <t>01</t>
        </is>
      </c>
      <c r="H765" t="inlineStr">
        <is>
          <t>15 LBS</t>
        </is>
      </c>
      <c r="I765" t="inlineStr">
        <is>
          <t>2027</t>
        </is>
      </c>
      <c r="J765" t="n">
        <v>2022</v>
      </c>
      <c r="K765" t="inlineStr">
        <is>
          <t>AGOSTO 2023</t>
        </is>
      </c>
      <c r="L765" t="inlineStr">
        <is>
          <t>AGOSTO 2024</t>
        </is>
      </c>
      <c r="M765" t="inlineStr">
        <is>
          <t>CO2 /TIPO BC</t>
        </is>
      </c>
      <c r="N765" t="inlineStr">
        <is>
          <t>05/ V343259</t>
        </is>
      </c>
      <c r="O765" t="inlineStr">
        <is>
          <t>V</t>
        </is>
      </c>
      <c r="P765">
        <f>TRIM(N765)</f>
        <v/>
      </c>
    </row>
    <row r="766">
      <c r="A766" t="inlineStr">
        <is>
          <t>CO-001469</t>
        </is>
      </c>
      <c r="B766" t="inlineStr">
        <is>
          <t>LINDE PERU S.R.L. - YAULI</t>
        </is>
      </c>
      <c r="C766" t="inlineStr">
        <is>
          <t>20338570041</t>
        </is>
      </c>
      <c r="D766" t="inlineStr">
        <is>
          <t>Av. Benavides 801 oficina 1102. Miraflores, Lima – Perú</t>
        </is>
      </c>
      <c r="E766" t="inlineStr">
        <is>
          <t>Lima, 14 de Agosto de 2023</t>
        </is>
      </c>
      <c r="F766" t="inlineStr">
        <is>
          <t>la Venta</t>
        </is>
      </c>
      <c r="G766" t="inlineStr">
        <is>
          <t>02</t>
        </is>
      </c>
      <c r="H766" t="inlineStr">
        <is>
          <t>15 LBS</t>
        </is>
      </c>
      <c r="I766" t="inlineStr">
        <is>
          <t>2027</t>
        </is>
      </c>
      <c r="J766" t="n">
        <v>2022</v>
      </c>
      <c r="K766" t="inlineStr">
        <is>
          <t>AGOSTO 2023</t>
        </is>
      </c>
      <c r="L766" t="inlineStr">
        <is>
          <t>AGOSTO 2024</t>
        </is>
      </c>
      <c r="M766" t="inlineStr">
        <is>
          <t>CO2 /TIPO BC</t>
        </is>
      </c>
      <c r="N766" t="inlineStr">
        <is>
          <t>08/ V343951</t>
        </is>
      </c>
      <c r="O766" t="inlineStr">
        <is>
          <t>V</t>
        </is>
      </c>
      <c r="P766">
        <f>TRIM(N766)</f>
        <v/>
      </c>
    </row>
    <row r="767">
      <c r="A767" t="inlineStr">
        <is>
          <t>CO-001469</t>
        </is>
      </c>
      <c r="B767" t="inlineStr">
        <is>
          <t>LINDE PERU S.R.L. - YAULI</t>
        </is>
      </c>
      <c r="C767" t="inlineStr">
        <is>
          <t>20338570041</t>
        </is>
      </c>
      <c r="D767" t="inlineStr">
        <is>
          <t>Av. Benavides 801 oficina 1102. Miraflores, Lima – Perú</t>
        </is>
      </c>
      <c r="E767" t="inlineStr">
        <is>
          <t>Lima, 14 de Agosto de 2023</t>
        </is>
      </c>
      <c r="F767" t="inlineStr">
        <is>
          <t>la Venta</t>
        </is>
      </c>
      <c r="G767" t="inlineStr">
        <is>
          <t>03</t>
        </is>
      </c>
      <c r="H767" t="inlineStr">
        <is>
          <t>15 LBS</t>
        </is>
      </c>
      <c r="I767" t="inlineStr">
        <is>
          <t>2027</t>
        </is>
      </c>
      <c r="J767" t="n">
        <v>2022</v>
      </c>
      <c r="K767" t="inlineStr">
        <is>
          <t>AGOSTO 2023</t>
        </is>
      </c>
      <c r="L767" t="inlineStr">
        <is>
          <t>AGOSTO 2024</t>
        </is>
      </c>
      <c r="M767" t="inlineStr">
        <is>
          <t>CO2 /TIPO BC</t>
        </is>
      </c>
      <c r="N767" t="inlineStr">
        <is>
          <t>14/ V343964</t>
        </is>
      </c>
      <c r="O767" t="inlineStr">
        <is>
          <t>V</t>
        </is>
      </c>
      <c r="P767">
        <f>TRIM(N767)</f>
        <v/>
      </c>
    </row>
    <row r="768">
      <c r="A768" t="inlineStr">
        <is>
          <t>CO-001470</t>
        </is>
      </c>
      <c r="B768" t="inlineStr">
        <is>
          <t>CHATARRERIA MARLENE De: Marlene Rocio Gomez Povis</t>
        </is>
      </c>
      <c r="C768" t="inlineStr">
        <is>
          <t>42596486</t>
        </is>
      </c>
      <c r="D768" t="inlineStr">
        <is>
          <t>Av. Carabayllo Parcela N°06 Asoc. Agropecuaria Sta. Cruz - Carabayllo</t>
        </is>
      </c>
      <c r="E768" t="inlineStr">
        <is>
          <t>Lima, 17 de Agosto de 2023</t>
        </is>
      </c>
      <c r="F768" t="inlineStr">
        <is>
          <t>la Venta</t>
        </is>
      </c>
      <c r="G768" t="inlineStr">
        <is>
          <t>01</t>
        </is>
      </c>
      <c r="H768" t="inlineStr">
        <is>
          <t>06 KG</t>
        </is>
      </c>
      <c r="I768" t="inlineStr">
        <is>
          <t>2028</t>
        </is>
      </c>
      <c r="J768" t="n">
        <v>2023</v>
      </c>
      <c r="K768" t="inlineStr">
        <is>
          <t>AGOSTO 2023</t>
        </is>
      </c>
      <c r="L768" t="inlineStr">
        <is>
          <t>AGOSTO 2024</t>
        </is>
      </c>
      <c r="M768" t="inlineStr">
        <is>
          <t xml:space="preserve">P.Q.S TIPO ABC </t>
        </is>
      </c>
      <c r="N768" t="inlineStr">
        <is>
          <t>01/004846</t>
        </is>
      </c>
      <c r="O768" t="inlineStr">
        <is>
          <t>V</t>
        </is>
      </c>
      <c r="P768">
        <f>TRIM(N768)</f>
        <v/>
      </c>
    </row>
    <row r="769">
      <c r="A769" t="inlineStr">
        <is>
          <t>CO-001470</t>
        </is>
      </c>
      <c r="B769" t="inlineStr">
        <is>
          <t>CHATARRERIA MARLENE De: Marlene Rocio Gomez Povis</t>
        </is>
      </c>
      <c r="C769" t="inlineStr">
        <is>
          <t>42596486</t>
        </is>
      </c>
      <c r="D769" t="inlineStr">
        <is>
          <t>Av. Carabayllo Parcela N°06 Asoc. Agropecuaria Sta. Cruz - Carabayllo</t>
        </is>
      </c>
      <c r="E769" t="inlineStr">
        <is>
          <t>Lima, 17 de Agosto de 2023</t>
        </is>
      </c>
      <c r="F769" t="inlineStr">
        <is>
          <t>la Venta</t>
        </is>
      </c>
      <c r="G769" t="inlineStr">
        <is>
          <t>02</t>
        </is>
      </c>
      <c r="H769" t="inlineStr">
        <is>
          <t>06 KG</t>
        </is>
      </c>
      <c r="I769" t="inlineStr">
        <is>
          <t>2028</t>
        </is>
      </c>
      <c r="J769" t="n">
        <v>2023</v>
      </c>
      <c r="K769" t="inlineStr">
        <is>
          <t>AGOSTO 2023</t>
        </is>
      </c>
      <c r="L769" t="inlineStr">
        <is>
          <t>AGOSTO 2024</t>
        </is>
      </c>
      <c r="M769" t="inlineStr">
        <is>
          <t xml:space="preserve">P.Q.S TIPO ABC </t>
        </is>
      </c>
      <c r="N769" t="inlineStr">
        <is>
          <t>02/001714</t>
        </is>
      </c>
      <c r="P769">
        <f>TRIM(N769)</f>
        <v/>
      </c>
    </row>
    <row r="770">
      <c r="A770" t="inlineStr">
        <is>
          <t>CO-001471</t>
        </is>
      </c>
      <c r="B770" t="inlineStr">
        <is>
          <t>PERU MASIVO S.A.</t>
        </is>
      </c>
      <c r="C770" t="inlineStr">
        <is>
          <t>20492392031</t>
        </is>
      </c>
      <c r="D770" t="inlineStr">
        <is>
          <t>AV. LOS INCAS CDRA. 4 PATIO NORTE - COMAS</t>
        </is>
      </c>
      <c r="E770" t="inlineStr">
        <is>
          <t>Lima, 23 de Agostode 2023</t>
        </is>
      </c>
      <c r="F770" t="inlineStr">
        <is>
          <t>la Recarga y mantenimiento</t>
        </is>
      </c>
      <c r="G770" t="inlineStr">
        <is>
          <t>01</t>
        </is>
      </c>
      <c r="H770" t="inlineStr">
        <is>
          <t>06 KG</t>
        </is>
      </c>
      <c r="I770" t="inlineStr">
        <is>
          <t>2028</t>
        </is>
      </c>
      <c r="J770" t="n">
        <v>2010</v>
      </c>
      <c r="K770" t="inlineStr">
        <is>
          <t>AGOSTO 2023</t>
        </is>
      </c>
      <c r="L770" t="inlineStr">
        <is>
          <t>AGOSTO 2024</t>
        </is>
      </c>
      <c r="M770" t="inlineStr">
        <is>
          <t xml:space="preserve">P.Q.S TIPO ABC AL 90% NACIONAL </t>
        </is>
      </c>
      <c r="N770" t="inlineStr">
        <is>
          <t>360/001989</t>
        </is>
      </c>
      <c r="O770" t="inlineStr">
        <is>
          <t>R</t>
        </is>
      </c>
      <c r="P770">
        <f>TRIM(N770)</f>
        <v/>
      </c>
    </row>
    <row r="771">
      <c r="A771" t="inlineStr">
        <is>
          <t>CO-001471</t>
        </is>
      </c>
      <c r="B771" t="inlineStr">
        <is>
          <t>PERU MASIVO S.A.</t>
        </is>
      </c>
      <c r="C771" t="inlineStr">
        <is>
          <t>20492392031</t>
        </is>
      </c>
      <c r="D771" t="inlineStr">
        <is>
          <t>AV. LOS INCAS CDRA. 4 PATIO NORTE - COMAS</t>
        </is>
      </c>
      <c r="E771" t="inlineStr">
        <is>
          <t>Lima, 23 de Agostode 2023</t>
        </is>
      </c>
      <c r="F771" t="inlineStr">
        <is>
          <t>la Recarga y mantenimiento</t>
        </is>
      </c>
      <c r="G771" t="inlineStr">
        <is>
          <t>02</t>
        </is>
      </c>
      <c r="H771" t="inlineStr">
        <is>
          <t>06 KG</t>
        </is>
      </c>
      <c r="I771" t="inlineStr">
        <is>
          <t>2028</t>
        </is>
      </c>
      <c r="J771" t="n">
        <v>2010</v>
      </c>
      <c r="K771" t="inlineStr">
        <is>
          <t>AGOSTO 2023</t>
        </is>
      </c>
      <c r="L771" t="inlineStr">
        <is>
          <t>AGOSTO 2024</t>
        </is>
      </c>
      <c r="M771" t="inlineStr">
        <is>
          <t xml:space="preserve">P.Q.S TIPO ABC AL 90% NACIONAL </t>
        </is>
      </c>
      <c r="N771" t="inlineStr">
        <is>
          <t>278/000259</t>
        </is>
      </c>
      <c r="O771" t="inlineStr">
        <is>
          <t>R</t>
        </is>
      </c>
      <c r="P771">
        <f>TRIM(N771)</f>
        <v/>
      </c>
    </row>
    <row r="772">
      <c r="A772" t="inlineStr">
        <is>
          <t>CO-001471</t>
        </is>
      </c>
      <c r="B772" t="inlineStr">
        <is>
          <t>PERU MASIVO S.A.</t>
        </is>
      </c>
      <c r="C772" t="inlineStr">
        <is>
          <t>20492392031</t>
        </is>
      </c>
      <c r="D772" t="inlineStr">
        <is>
          <t>AV. LOS INCAS CDRA. 4 PATIO NORTE - COMAS</t>
        </is>
      </c>
      <c r="E772" t="inlineStr">
        <is>
          <t>Lima, 23 de Agostode 2023</t>
        </is>
      </c>
      <c r="F772" t="inlineStr">
        <is>
          <t>la Recarga y mantenimiento</t>
        </is>
      </c>
      <c r="G772" t="inlineStr">
        <is>
          <t>03</t>
        </is>
      </c>
      <c r="H772" t="inlineStr">
        <is>
          <t>06 KG</t>
        </is>
      </c>
      <c r="I772" t="inlineStr">
        <is>
          <t>2028</t>
        </is>
      </c>
      <c r="J772" t="n">
        <v>2009</v>
      </c>
      <c r="K772" t="inlineStr">
        <is>
          <t>AGOSTO 2023</t>
        </is>
      </c>
      <c r="L772" t="inlineStr">
        <is>
          <t>AGOSTO 2024</t>
        </is>
      </c>
      <c r="M772" t="inlineStr">
        <is>
          <t xml:space="preserve">P.Q.S TIPO ABC AL 90% NACIONAL </t>
        </is>
      </c>
      <c r="N772" t="inlineStr">
        <is>
          <t>04/001724</t>
        </is>
      </c>
      <c r="O772" t="inlineStr">
        <is>
          <t>R</t>
        </is>
      </c>
      <c r="P772">
        <f>TRIM(N772)</f>
        <v/>
      </c>
    </row>
    <row r="773">
      <c r="A773" t="inlineStr">
        <is>
          <t>CO-001471</t>
        </is>
      </c>
      <c r="B773" t="inlineStr">
        <is>
          <t>PERU MASIVO S.A.</t>
        </is>
      </c>
      <c r="C773" t="inlineStr">
        <is>
          <t>20492392031</t>
        </is>
      </c>
      <c r="D773" t="inlineStr">
        <is>
          <t>AV. LOS INCAS CDRA. 4 PATIO NORTE - COMAS</t>
        </is>
      </c>
      <c r="E773" t="inlineStr">
        <is>
          <t>Lima, 23 de Agostode 2023</t>
        </is>
      </c>
      <c r="F773" t="inlineStr">
        <is>
          <t>la Recarga y mantenimiento</t>
        </is>
      </c>
      <c r="G773" t="inlineStr">
        <is>
          <t>04</t>
        </is>
      </c>
      <c r="H773" t="inlineStr">
        <is>
          <t>06 KG</t>
        </is>
      </c>
      <c r="I773" t="inlineStr">
        <is>
          <t>2028</t>
        </is>
      </c>
      <c r="J773" t="n">
        <v>2009</v>
      </c>
      <c r="K773" t="inlineStr">
        <is>
          <t>AGOSTO 2023</t>
        </is>
      </c>
      <c r="L773" t="inlineStr">
        <is>
          <t>AGOSTO 2024</t>
        </is>
      </c>
      <c r="M773" t="inlineStr">
        <is>
          <t xml:space="preserve">P.Q.S TIPO ABC AL 90% NACIONAL </t>
        </is>
      </c>
      <c r="N773" t="inlineStr">
        <is>
          <t>101/001632</t>
        </is>
      </c>
      <c r="O773" t="inlineStr">
        <is>
          <t>R</t>
        </is>
      </c>
      <c r="P773">
        <f>TRIM(N773)</f>
        <v/>
      </c>
    </row>
    <row r="774">
      <c r="A774" t="inlineStr">
        <is>
          <t>CO-001471</t>
        </is>
      </c>
      <c r="B774" t="inlineStr">
        <is>
          <t>PERU MASIVO S.A.</t>
        </is>
      </c>
      <c r="C774" t="inlineStr">
        <is>
          <t>20492392031</t>
        </is>
      </c>
      <c r="D774" t="inlineStr">
        <is>
          <t>AV. LOS INCAS CDRA. 4 PATIO NORTE - COMAS</t>
        </is>
      </c>
      <c r="E774" t="inlineStr">
        <is>
          <t>Lima, 23 de Agostode 2023</t>
        </is>
      </c>
      <c r="F774" t="inlineStr">
        <is>
          <t>la Recarga y mantenimiento</t>
        </is>
      </c>
      <c r="G774" t="inlineStr">
        <is>
          <t>05</t>
        </is>
      </c>
      <c r="H774" t="inlineStr">
        <is>
          <t>06 KG</t>
        </is>
      </c>
      <c r="I774" t="inlineStr">
        <is>
          <t>2028</t>
        </is>
      </c>
      <c r="J774" t="n">
        <v>2009</v>
      </c>
      <c r="K774" t="inlineStr">
        <is>
          <t>AGOSTO 2023</t>
        </is>
      </c>
      <c r="L774" t="inlineStr">
        <is>
          <t>AGOSTO 2024</t>
        </is>
      </c>
      <c r="M774" t="inlineStr">
        <is>
          <t xml:space="preserve">P.Q.S TIPO ABC AL 90% NACIONAL </t>
        </is>
      </c>
      <c r="N774" t="inlineStr">
        <is>
          <t>S/N /000970</t>
        </is>
      </c>
      <c r="O774" t="inlineStr">
        <is>
          <t>R</t>
        </is>
      </c>
      <c r="P774">
        <f>TRIM(N774)</f>
        <v/>
      </c>
    </row>
    <row r="775">
      <c r="A775" t="inlineStr">
        <is>
          <t>CO-001471</t>
        </is>
      </c>
      <c r="B775" t="inlineStr">
        <is>
          <t>PERU MASIVO S.A.</t>
        </is>
      </c>
      <c r="C775" t="inlineStr">
        <is>
          <t>20492392031</t>
        </is>
      </c>
      <c r="D775" t="inlineStr">
        <is>
          <t>AV. LOS INCAS CDRA. 4 PATIO NORTE - COMAS</t>
        </is>
      </c>
      <c r="E775" t="inlineStr">
        <is>
          <t>Lima, 23 de Agostode 2023</t>
        </is>
      </c>
      <c r="F775" t="inlineStr">
        <is>
          <t>la Recarga y mantenimiento</t>
        </is>
      </c>
      <c r="G775" t="inlineStr">
        <is>
          <t>06</t>
        </is>
      </c>
      <c r="H775" t="inlineStr">
        <is>
          <t>06 KG</t>
        </is>
      </c>
      <c r="I775" t="inlineStr">
        <is>
          <t>2028</t>
        </is>
      </c>
      <c r="J775" t="n">
        <v>2010</v>
      </c>
      <c r="K775" t="inlineStr">
        <is>
          <t>AGOSTO 2023</t>
        </is>
      </c>
      <c r="L775" t="inlineStr">
        <is>
          <t>AGOSTO 2024</t>
        </is>
      </c>
      <c r="M775" t="inlineStr">
        <is>
          <t xml:space="preserve">P.Q.S TIPO ABC AL 90% NACIONAL </t>
        </is>
      </c>
      <c r="N775" t="inlineStr">
        <is>
          <t>169/000005</t>
        </is>
      </c>
      <c r="O775" t="inlineStr">
        <is>
          <t>R</t>
        </is>
      </c>
      <c r="P775">
        <f>TRIM(N775)</f>
        <v/>
      </c>
    </row>
    <row r="776">
      <c r="A776" t="inlineStr">
        <is>
          <t>CO-001471</t>
        </is>
      </c>
      <c r="B776" t="inlineStr">
        <is>
          <t>PERU MASIVO S.A.</t>
        </is>
      </c>
      <c r="C776" t="inlineStr">
        <is>
          <t>20492392031</t>
        </is>
      </c>
      <c r="D776" t="inlineStr">
        <is>
          <t>AV. LOS INCAS CDRA. 4 PATIO NORTE - COMAS</t>
        </is>
      </c>
      <c r="E776" t="inlineStr">
        <is>
          <t>Lima, 23 de Agostode 2023</t>
        </is>
      </c>
      <c r="F776" t="inlineStr">
        <is>
          <t>la Recarga y mantenimiento</t>
        </is>
      </c>
      <c r="G776" t="inlineStr">
        <is>
          <t>07</t>
        </is>
      </c>
      <c r="H776" t="inlineStr">
        <is>
          <t>06 KG</t>
        </is>
      </c>
      <c r="I776" t="inlineStr">
        <is>
          <t>2028</t>
        </is>
      </c>
      <c r="J776" t="n">
        <v>2009</v>
      </c>
      <c r="K776" t="inlineStr">
        <is>
          <t>AGOSTO 2023</t>
        </is>
      </c>
      <c r="L776" t="inlineStr">
        <is>
          <t>AGOSTO 2024</t>
        </is>
      </c>
      <c r="M776" t="inlineStr">
        <is>
          <t xml:space="preserve">P.Q.S TIPO ABC AL 90% NACIONAL </t>
        </is>
      </c>
      <c r="N776" t="inlineStr">
        <is>
          <t>87/000451</t>
        </is>
      </c>
      <c r="O776" t="inlineStr">
        <is>
          <t>R</t>
        </is>
      </c>
      <c r="P776">
        <f>TRIM(N776)</f>
        <v/>
      </c>
    </row>
    <row r="777">
      <c r="A777" t="inlineStr">
        <is>
          <t>CO-001471</t>
        </is>
      </c>
      <c r="B777" t="inlineStr">
        <is>
          <t>PERU MASIVO S.A.</t>
        </is>
      </c>
      <c r="C777" t="inlineStr">
        <is>
          <t>20492392031</t>
        </is>
      </c>
      <c r="D777" t="inlineStr">
        <is>
          <t>AV. LOS INCAS CDRA. 4 PATIO NORTE - COMAS</t>
        </is>
      </c>
      <c r="E777" t="inlineStr">
        <is>
          <t>Lima, 23 de Agostode 2023</t>
        </is>
      </c>
      <c r="F777" t="inlineStr">
        <is>
          <t>la Recarga y mantenimiento</t>
        </is>
      </c>
      <c r="G777" t="inlineStr">
        <is>
          <t>08</t>
        </is>
      </c>
      <c r="H777" t="inlineStr">
        <is>
          <t>06 KG</t>
        </is>
      </c>
      <c r="I777" t="inlineStr">
        <is>
          <t>2028</t>
        </is>
      </c>
      <c r="J777" t="n">
        <v>2009</v>
      </c>
      <c r="K777" t="inlineStr">
        <is>
          <t>AGOSTO 2023</t>
        </is>
      </c>
      <c r="L777" t="inlineStr">
        <is>
          <t>AGOSTO 2024</t>
        </is>
      </c>
      <c r="M777" t="inlineStr">
        <is>
          <t xml:space="preserve">P.Q.S TIPO ABC AL 90% NACIONAL </t>
        </is>
      </c>
      <c r="N777" t="inlineStr">
        <is>
          <t>40/001546</t>
        </is>
      </c>
      <c r="O777" t="inlineStr">
        <is>
          <t>R</t>
        </is>
      </c>
      <c r="P777">
        <f>TRIM(N777)</f>
        <v/>
      </c>
    </row>
    <row r="778">
      <c r="A778" t="inlineStr">
        <is>
          <t>CO-001471</t>
        </is>
      </c>
      <c r="B778" t="inlineStr">
        <is>
          <t>PERU MASIVO S.A.</t>
        </is>
      </c>
      <c r="C778" t="inlineStr">
        <is>
          <t>20492392031</t>
        </is>
      </c>
      <c r="D778" t="inlineStr">
        <is>
          <t>AV. LOS INCAS CDRA. 4 PATIO NORTE - COMAS</t>
        </is>
      </c>
      <c r="E778" t="inlineStr">
        <is>
          <t>Lima, 23 de Agostode 2023</t>
        </is>
      </c>
      <c r="F778" t="inlineStr">
        <is>
          <t>la Recarga y mantenimiento</t>
        </is>
      </c>
      <c r="G778" t="inlineStr">
        <is>
          <t>09</t>
        </is>
      </c>
      <c r="H778" t="inlineStr">
        <is>
          <t>06 KG</t>
        </is>
      </c>
      <c r="I778" t="inlineStr">
        <is>
          <t>2028</t>
        </is>
      </c>
      <c r="J778" t="n">
        <v>2009</v>
      </c>
      <c r="K778" t="inlineStr">
        <is>
          <t>AGOSTO 2023</t>
        </is>
      </c>
      <c r="L778" t="inlineStr">
        <is>
          <t>AGOSTO 2024</t>
        </is>
      </c>
      <c r="M778" t="inlineStr">
        <is>
          <t xml:space="preserve">P.Q.S TIPO ABC AL 90% NACIONAL </t>
        </is>
      </c>
      <c r="N778" t="inlineStr">
        <is>
          <t>205/000691</t>
        </is>
      </c>
      <c r="O778" t="inlineStr">
        <is>
          <t>R</t>
        </is>
      </c>
      <c r="P778">
        <f>TRIM(N778)</f>
        <v/>
      </c>
    </row>
    <row r="779">
      <c r="A779" t="inlineStr">
        <is>
          <t>CO-001471</t>
        </is>
      </c>
      <c r="B779" t="inlineStr">
        <is>
          <t>PERU MASIVO S.A.</t>
        </is>
      </c>
      <c r="C779" t="inlineStr">
        <is>
          <t>20492392031</t>
        </is>
      </c>
      <c r="D779" t="inlineStr">
        <is>
          <t>AV. LOS INCAS CDRA. 4 PATIO NORTE - COMAS</t>
        </is>
      </c>
      <c r="E779" t="inlineStr">
        <is>
          <t>Lima, 23 de Agostode 2023</t>
        </is>
      </c>
      <c r="F779" t="inlineStr">
        <is>
          <t>la Recarga y mantenimiento</t>
        </is>
      </c>
      <c r="G779" t="n">
        <v>10</v>
      </c>
      <c r="H779" t="inlineStr">
        <is>
          <t>06 KG</t>
        </is>
      </c>
      <c r="I779" t="inlineStr">
        <is>
          <t>2028</t>
        </is>
      </c>
      <c r="J779" t="n">
        <v>2009</v>
      </c>
      <c r="K779" t="inlineStr">
        <is>
          <t>AGOSTO 2023</t>
        </is>
      </c>
      <c r="L779" t="inlineStr">
        <is>
          <t>AGOSTO 2024</t>
        </is>
      </c>
      <c r="M779" t="inlineStr">
        <is>
          <t xml:space="preserve">P.Q.S TIPO ABC AL 90% NACIONAL </t>
        </is>
      </c>
      <c r="N779" t="inlineStr">
        <is>
          <t>284/000101</t>
        </is>
      </c>
      <c r="O779" t="inlineStr">
        <is>
          <t>R</t>
        </is>
      </c>
      <c r="P779">
        <f>TRIM(N779)</f>
        <v/>
      </c>
    </row>
    <row r="780">
      <c r="A780" t="inlineStr">
        <is>
          <t>CO-001471</t>
        </is>
      </c>
      <c r="B780" t="inlineStr">
        <is>
          <t>PERU MASIVO S.A.</t>
        </is>
      </c>
      <c r="C780" t="inlineStr">
        <is>
          <t>20492392031</t>
        </is>
      </c>
      <c r="D780" t="inlineStr">
        <is>
          <t>AV. LOS INCAS CDRA. 4 PATIO NORTE - COMAS</t>
        </is>
      </c>
      <c r="E780" t="inlineStr">
        <is>
          <t>Lima, 23 de Agostode 2023</t>
        </is>
      </c>
      <c r="F780" t="inlineStr">
        <is>
          <t>la Recarga y mantenimiento</t>
        </is>
      </c>
      <c r="G780" t="n">
        <v>11</v>
      </c>
      <c r="H780" t="inlineStr">
        <is>
          <t>06 KG</t>
        </is>
      </c>
      <c r="I780" t="inlineStr">
        <is>
          <t>2028</t>
        </is>
      </c>
      <c r="J780" t="n">
        <v>2010</v>
      </c>
      <c r="K780" t="inlineStr">
        <is>
          <t>AGOSTO 2023</t>
        </is>
      </c>
      <c r="L780" t="inlineStr">
        <is>
          <t>AGOSTO 2024</t>
        </is>
      </c>
      <c r="M780" t="inlineStr">
        <is>
          <t xml:space="preserve">P.Q.S TIPO ABC AL 90% NACIONAL </t>
        </is>
      </c>
      <c r="N780" t="inlineStr">
        <is>
          <t>11/000005</t>
        </is>
      </c>
      <c r="O780" t="inlineStr">
        <is>
          <t>R</t>
        </is>
      </c>
      <c r="P780">
        <f>TRIM(N780)</f>
        <v/>
      </c>
    </row>
    <row r="781">
      <c r="A781" t="inlineStr">
        <is>
          <t>CO-001471</t>
        </is>
      </c>
      <c r="B781" t="inlineStr">
        <is>
          <t>PERU MASIVO S.A.</t>
        </is>
      </c>
      <c r="C781" t="inlineStr">
        <is>
          <t>20492392031</t>
        </is>
      </c>
      <c r="D781" t="inlineStr">
        <is>
          <t>AV. LOS INCAS CDRA. 4 PATIO NORTE - COMAS</t>
        </is>
      </c>
      <c r="E781" t="inlineStr">
        <is>
          <t>Lima, 23 de Agostode 2023</t>
        </is>
      </c>
      <c r="F781" t="inlineStr">
        <is>
          <t>la Recarga y mantenimiento</t>
        </is>
      </c>
      <c r="G781" t="n">
        <v>12</v>
      </c>
      <c r="H781" t="inlineStr">
        <is>
          <t>06 KG</t>
        </is>
      </c>
      <c r="I781" t="n">
        <v>2028</v>
      </c>
      <c r="J781" t="n">
        <v>2009</v>
      </c>
      <c r="K781" t="inlineStr">
        <is>
          <t>AGOSTO 2023</t>
        </is>
      </c>
      <c r="L781" t="inlineStr">
        <is>
          <t>AGOSTO 2024</t>
        </is>
      </c>
      <c r="M781" t="inlineStr">
        <is>
          <t xml:space="preserve">P.Q.S TIPO ABC AL 90% NACIONAL </t>
        </is>
      </c>
      <c r="N781" t="inlineStr">
        <is>
          <t>380/000380</t>
        </is>
      </c>
      <c r="O781" t="inlineStr">
        <is>
          <t>R</t>
        </is>
      </c>
      <c r="P781">
        <f>TRIM(N781)</f>
        <v/>
      </c>
    </row>
    <row r="782">
      <c r="A782" t="inlineStr">
        <is>
          <t>CO-001472</t>
        </is>
      </c>
      <c r="B782" t="inlineStr">
        <is>
          <t>RUSSVELT YANAC SIGUEÑAS</t>
        </is>
      </c>
      <c r="D782" t="inlineStr">
        <is>
          <t>PSTO. 07 - MERCADO 1RO. DE MAYO - COLLIQUE</t>
        </is>
      </c>
      <c r="E782" t="inlineStr">
        <is>
          <t>Lima,31 de Agosto de 2023</t>
        </is>
      </c>
      <c r="F782" t="inlineStr">
        <is>
          <t>la Recarga y mantenimiento</t>
        </is>
      </c>
      <c r="G782" t="inlineStr">
        <is>
          <t>01</t>
        </is>
      </c>
      <c r="H782" t="inlineStr">
        <is>
          <t>06 KG</t>
        </is>
      </c>
      <c r="I782" t="inlineStr">
        <is>
          <t>VIGENTE</t>
        </is>
      </c>
      <c r="J782" t="n">
        <v>2017</v>
      </c>
      <c r="K782" t="inlineStr">
        <is>
          <t>AGOSTO 2023</t>
        </is>
      </c>
      <c r="L782" t="inlineStr">
        <is>
          <t>AGOSTO 2024</t>
        </is>
      </c>
      <c r="M782" t="inlineStr">
        <is>
          <t xml:space="preserve">P.Q.S TIPO ABC </t>
        </is>
      </c>
      <c r="N782" t="inlineStr">
        <is>
          <t>000042</t>
        </is>
      </c>
      <c r="O782" t="inlineStr">
        <is>
          <t>R</t>
        </is>
      </c>
      <c r="P782">
        <f>TRIM(N782)</f>
        <v/>
      </c>
    </row>
    <row r="783">
      <c r="A783" t="inlineStr">
        <is>
          <t>CO-001473</t>
        </is>
      </c>
      <c r="B783" t="inlineStr">
        <is>
          <t>ZOILO HERNANDEZ FLORES</t>
        </is>
      </c>
      <c r="D783" t="inlineStr">
        <is>
          <t>PSTO. 61 - MERCADO 1RO. DE MAYO - COLLIQUE</t>
        </is>
      </c>
      <c r="E783" t="inlineStr">
        <is>
          <t>Lima,31 de Agosto de 2023</t>
        </is>
      </c>
      <c r="F783" t="inlineStr">
        <is>
          <t>la Recarga y mantenimiento</t>
        </is>
      </c>
      <c r="G783" t="inlineStr">
        <is>
          <t>01</t>
        </is>
      </c>
      <c r="H783" t="inlineStr">
        <is>
          <t>06 KG</t>
        </is>
      </c>
      <c r="I783" t="inlineStr">
        <is>
          <t>VIGENTE</t>
        </is>
      </c>
      <c r="J783" t="n">
        <v>2017</v>
      </c>
      <c r="K783" t="inlineStr">
        <is>
          <t>AGOSTO 2023</t>
        </is>
      </c>
      <c r="L783" t="inlineStr">
        <is>
          <t>AGOSTO 2024</t>
        </is>
      </c>
      <c r="M783" t="inlineStr">
        <is>
          <t>P.Q.S TIPO ABC</t>
        </is>
      </c>
      <c r="N783" t="inlineStr">
        <is>
          <t>000534</t>
        </is>
      </c>
      <c r="O783" t="inlineStr">
        <is>
          <t>R</t>
        </is>
      </c>
      <c r="P783">
        <f>TRIM(N783)</f>
        <v/>
      </c>
    </row>
    <row r="784">
      <c r="A784" t="inlineStr">
        <is>
          <t>CO-001474</t>
        </is>
      </c>
      <c r="B784" t="inlineStr">
        <is>
          <t>WILLIAM ANGEL GARCIA QUINTANA</t>
        </is>
      </c>
      <c r="C784" t="inlineStr">
        <is>
          <t>099977968</t>
        </is>
      </c>
      <c r="D784" t="inlineStr">
        <is>
          <t>PLACA: AHC-097</t>
        </is>
      </c>
      <c r="E784" t="inlineStr">
        <is>
          <t>Lima, 05 de Setiembre de 2023</t>
        </is>
      </c>
      <c r="F784" t="inlineStr">
        <is>
          <t>la Recarga y mantenimiento</t>
        </is>
      </c>
      <c r="G784" t="inlineStr">
        <is>
          <t>01</t>
        </is>
      </c>
      <c r="H784" t="inlineStr">
        <is>
          <t>02 KG</t>
        </is>
      </c>
      <c r="I784" t="inlineStr">
        <is>
          <t>2028</t>
        </is>
      </c>
      <c r="J784" t="n">
        <v>2016</v>
      </c>
      <c r="K784" t="inlineStr">
        <is>
          <t xml:space="preserve">SETIEMBRE 2023 </t>
        </is>
      </c>
      <c r="L784" t="inlineStr">
        <is>
          <t>SETIEMBRE 2024</t>
        </is>
      </c>
      <c r="M784" t="inlineStr">
        <is>
          <t>P.Q.S TIPO ABC</t>
        </is>
      </c>
      <c r="N784" t="inlineStr">
        <is>
          <t>144323</t>
        </is>
      </c>
      <c r="O784" t="inlineStr">
        <is>
          <t>R</t>
        </is>
      </c>
      <c r="P784">
        <f>TRIM(N784)</f>
        <v/>
      </c>
    </row>
    <row r="785">
      <c r="A785" t="inlineStr">
        <is>
          <t>CO-001475</t>
        </is>
      </c>
      <c r="B785" t="inlineStr">
        <is>
          <t>CHATARRERIA AARON</t>
        </is>
      </c>
      <c r="D785" t="inlineStr">
        <is>
          <t>Pasaje 23 MZ J LT 15 Año nuevo - Comas</t>
        </is>
      </c>
      <c r="E785" t="inlineStr">
        <is>
          <t>Lima.,05 de Setiembre de 2023</t>
        </is>
      </c>
      <c r="F785" t="inlineStr">
        <is>
          <t>la Recarga y mantenimiento</t>
        </is>
      </c>
      <c r="G785" t="inlineStr">
        <is>
          <t>01</t>
        </is>
      </c>
      <c r="H785" t="inlineStr">
        <is>
          <t xml:space="preserve">06 KG </t>
        </is>
      </c>
      <c r="I785" t="inlineStr">
        <is>
          <t>2028</t>
        </is>
      </c>
      <c r="J785" t="n">
        <v>2018</v>
      </c>
      <c r="K785" t="inlineStr">
        <is>
          <t>SETIEMBRE 2023</t>
        </is>
      </c>
      <c r="L785" t="inlineStr">
        <is>
          <t>SETIEMBRE 2024</t>
        </is>
      </c>
      <c r="M785" t="inlineStr">
        <is>
          <t>P.Q.S TIPO ABC</t>
        </is>
      </c>
      <c r="N785" t="inlineStr">
        <is>
          <t>01/003501</t>
        </is>
      </c>
      <c r="O785" t="inlineStr">
        <is>
          <t>R</t>
        </is>
      </c>
      <c r="P785">
        <f>TRIM(N785)</f>
        <v/>
      </c>
    </row>
    <row r="786">
      <c r="A786" t="inlineStr">
        <is>
          <t>CO-001475</t>
        </is>
      </c>
      <c r="B786" t="inlineStr">
        <is>
          <t>CHATARRERIA AARON</t>
        </is>
      </c>
      <c r="D786" t="inlineStr">
        <is>
          <t>Pasaje 23 MZ J LT 15 Año nuevo - Comas</t>
        </is>
      </c>
      <c r="E786" t="inlineStr">
        <is>
          <t>Lima.,05 de Setiembre de 2023</t>
        </is>
      </c>
      <c r="F786" t="inlineStr">
        <is>
          <t>la Recarga y mantenimiento</t>
        </is>
      </c>
      <c r="G786" t="inlineStr">
        <is>
          <t>02</t>
        </is>
      </c>
      <c r="H786" t="inlineStr">
        <is>
          <t>06 KG</t>
        </is>
      </c>
      <c r="I786" t="inlineStr">
        <is>
          <t>2027</t>
        </is>
      </c>
      <c r="J786" t="n">
        <v>2014</v>
      </c>
      <c r="K786" t="inlineStr">
        <is>
          <t>SETIEMBRE 2023</t>
        </is>
      </c>
      <c r="L786" t="inlineStr">
        <is>
          <t xml:space="preserve">SETIEMBRE 2024 </t>
        </is>
      </c>
      <c r="M786" t="inlineStr">
        <is>
          <t>P.Q.S TIPO ABC</t>
        </is>
      </c>
      <c r="N786" t="inlineStr">
        <is>
          <t>02/003505</t>
        </is>
      </c>
      <c r="O786" t="inlineStr">
        <is>
          <t>R</t>
        </is>
      </c>
      <c r="P786">
        <f>TRIM(N786)</f>
        <v/>
      </c>
    </row>
    <row r="787">
      <c r="A787" t="inlineStr">
        <is>
          <t>CO-001476</t>
        </is>
      </c>
      <c r="B787" t="inlineStr">
        <is>
          <t>DANY DAVID LEON NAVARRO</t>
        </is>
      </c>
      <c r="C787" t="inlineStr">
        <is>
          <t>41554444</t>
        </is>
      </c>
      <c r="D787" t="inlineStr">
        <is>
          <t>PLACA: D5B-494</t>
        </is>
      </c>
      <c r="E787" t="inlineStr">
        <is>
          <t>Lima,05 de Setiembre de 2023</t>
        </is>
      </c>
      <c r="F787" t="inlineStr">
        <is>
          <t>la Recarga y mantenimiento</t>
        </is>
      </c>
      <c r="G787" t="inlineStr">
        <is>
          <t>01</t>
        </is>
      </c>
      <c r="H787" t="inlineStr">
        <is>
          <t>02 KG</t>
        </is>
      </c>
      <c r="I787" t="inlineStr">
        <is>
          <t>2028</t>
        </is>
      </c>
      <c r="J787" t="inlineStr">
        <is>
          <t>S/N</t>
        </is>
      </c>
      <c r="K787" t="inlineStr">
        <is>
          <t>SETIEMBRE 2023</t>
        </is>
      </c>
      <c r="L787" t="inlineStr">
        <is>
          <t>SETIEMBRE 2024</t>
        </is>
      </c>
      <c r="M787" t="inlineStr">
        <is>
          <t>P.Q.S TIPO ABC</t>
        </is>
      </c>
      <c r="N787" t="inlineStr">
        <is>
          <t>S/N</t>
        </is>
      </c>
      <c r="O787" t="inlineStr">
        <is>
          <t>R</t>
        </is>
      </c>
      <c r="P787">
        <f>TRIM(N787)</f>
        <v/>
      </c>
    </row>
    <row r="788">
      <c r="A788" t="inlineStr">
        <is>
          <t>CO-001477</t>
        </is>
      </c>
      <c r="B788" t="inlineStr">
        <is>
          <t>EMILIANO RODRIGUEZ TORRES</t>
        </is>
      </c>
      <c r="C788" t="inlineStr">
        <is>
          <t>09026034</t>
        </is>
      </c>
      <c r="D788" t="inlineStr">
        <is>
          <t>AV. TUPAC AMARU N° 4877  COOP. AÑO NUEVO - COMAS</t>
        </is>
      </c>
      <c r="E788" t="inlineStr">
        <is>
          <t>Lima, 05 de Setiembre de 2023</t>
        </is>
      </c>
      <c r="F788" t="inlineStr">
        <is>
          <t>la Recarga y mantenimiento</t>
        </is>
      </c>
      <c r="G788" t="inlineStr">
        <is>
          <t>01</t>
        </is>
      </c>
      <c r="H788" t="inlineStr">
        <is>
          <t>06 KG</t>
        </is>
      </c>
      <c r="I788" t="inlineStr">
        <is>
          <t>2027</t>
        </is>
      </c>
      <c r="J788" t="n">
        <v>2022</v>
      </c>
      <c r="K788" t="inlineStr">
        <is>
          <t>SETIEMBRE 2023</t>
        </is>
      </c>
      <c r="L788" t="inlineStr">
        <is>
          <t>SETIEMBRE 2024</t>
        </is>
      </c>
      <c r="M788" t="inlineStr">
        <is>
          <t>P.Q.S TIPO ABC</t>
        </is>
      </c>
      <c r="N788" t="inlineStr">
        <is>
          <t>153491</t>
        </is>
      </c>
      <c r="O788" t="inlineStr">
        <is>
          <t>R</t>
        </is>
      </c>
      <c r="P788">
        <f>TRIM(N788)</f>
        <v/>
      </c>
    </row>
    <row r="789">
      <c r="A789" t="inlineStr">
        <is>
          <t>CO-001478</t>
        </is>
      </c>
      <c r="B789" t="inlineStr">
        <is>
          <t xml:space="preserve">LUIS MEZA RECOBA </t>
        </is>
      </c>
      <c r="C789" t="inlineStr">
        <is>
          <t>42551510</t>
        </is>
      </c>
      <c r="D789" t="inlineStr">
        <is>
          <t>PLACA: D7X-871</t>
        </is>
      </c>
      <c r="E789" t="inlineStr">
        <is>
          <t>Lima, 06 de Setiembre de 2023</t>
        </is>
      </c>
      <c r="F789" t="inlineStr">
        <is>
          <t>la Recarga y mantenimiento</t>
        </is>
      </c>
      <c r="G789" t="inlineStr">
        <is>
          <t>01</t>
        </is>
      </c>
      <c r="H789" t="inlineStr">
        <is>
          <t>09 KG</t>
        </is>
      </c>
      <c r="I789" t="inlineStr">
        <is>
          <t>2028</t>
        </is>
      </c>
      <c r="J789" t="n">
        <v>2011</v>
      </c>
      <c r="K789" t="inlineStr">
        <is>
          <t>SETIEMBRE 2023</t>
        </is>
      </c>
      <c r="L789" t="inlineStr">
        <is>
          <t>SETIEMBRE 2024</t>
        </is>
      </c>
      <c r="M789" t="inlineStr">
        <is>
          <t>P.Q.S TIPO ABC</t>
        </is>
      </c>
      <c r="N789" t="inlineStr">
        <is>
          <t>000531</t>
        </is>
      </c>
      <c r="O789" t="inlineStr">
        <is>
          <t>R</t>
        </is>
      </c>
      <c r="P789">
        <f>TRIM(N789)</f>
        <v/>
      </c>
    </row>
    <row r="790">
      <c r="A790" t="inlineStr">
        <is>
          <t>CO-001479</t>
        </is>
      </c>
      <c r="B790" t="inlineStr">
        <is>
          <t>ISIDRO VELARDE  CEL: 943249793</t>
        </is>
      </c>
      <c r="C790" t="inlineStr">
        <is>
          <t>42213912</t>
        </is>
      </c>
      <c r="D790" t="inlineStr">
        <is>
          <t>PLACA: F2J-310</t>
        </is>
      </c>
      <c r="E790" t="inlineStr">
        <is>
          <t>Lima,06 de Setiembre de 2023</t>
        </is>
      </c>
      <c r="F790" t="inlineStr">
        <is>
          <t>la Recarga y mantenimiento</t>
        </is>
      </c>
      <c r="G790" t="inlineStr">
        <is>
          <t>01</t>
        </is>
      </c>
      <c r="H790" t="inlineStr">
        <is>
          <t>01  KG</t>
        </is>
      </c>
      <c r="I790" t="inlineStr">
        <is>
          <t>2024</t>
        </is>
      </c>
      <c r="J790" t="n">
        <v>2013</v>
      </c>
      <c r="K790" t="inlineStr">
        <is>
          <t>SETIEMBRE 2023</t>
        </is>
      </c>
      <c r="L790" t="inlineStr">
        <is>
          <t>SETIEMBRE 2024</t>
        </is>
      </c>
      <c r="M790" t="inlineStr">
        <is>
          <t>P.Q.S TIPO ABC</t>
        </is>
      </c>
      <c r="N790" t="inlineStr">
        <is>
          <t>002926</t>
        </is>
      </c>
      <c r="O790" t="inlineStr">
        <is>
          <t>R</t>
        </is>
      </c>
      <c r="P790">
        <f>TRIM(N790)</f>
        <v/>
      </c>
    </row>
    <row r="791">
      <c r="A791" t="inlineStr">
        <is>
          <t>CO-001480</t>
        </is>
      </c>
      <c r="B791" t="inlineStr">
        <is>
          <t>CLINICA DENTAL MIODENT</t>
        </is>
      </c>
      <c r="C791" t="inlineStr">
        <is>
          <t>20609716143</t>
        </is>
      </c>
      <c r="D791" t="inlineStr">
        <is>
          <t>AV. TUPAC AMARU N°4886 - COMAS</t>
        </is>
      </c>
      <c r="E791" t="inlineStr">
        <is>
          <t>Lima, 06 de Setiembre de 2023</t>
        </is>
      </c>
      <c r="F791" t="inlineStr">
        <is>
          <t>la Recarga y mantenimiento</t>
        </is>
      </c>
      <c r="G791" t="inlineStr">
        <is>
          <t>01</t>
        </is>
      </c>
      <c r="H791" t="inlineStr">
        <is>
          <t>06 KG</t>
        </is>
      </c>
      <c r="I791" t="inlineStr">
        <is>
          <t>2027</t>
        </is>
      </c>
      <c r="J791" t="n">
        <v>2022</v>
      </c>
      <c r="K791" t="inlineStr">
        <is>
          <t>SETIEMBRE 2023</t>
        </is>
      </c>
      <c r="L791" t="inlineStr">
        <is>
          <t>SETIEMBRE 2024</t>
        </is>
      </c>
      <c r="M791" t="inlineStr">
        <is>
          <t>P.Q.S TIPO ABC</t>
        </is>
      </c>
      <c r="N791" t="inlineStr">
        <is>
          <t>153603</t>
        </is>
      </c>
      <c r="O791" t="inlineStr">
        <is>
          <t>R</t>
        </is>
      </c>
      <c r="P791">
        <f>TRIM(N791)</f>
        <v/>
      </c>
    </row>
    <row r="792">
      <c r="A792" t="inlineStr">
        <is>
          <t>CO-001481</t>
        </is>
      </c>
      <c r="B792" t="inlineStr">
        <is>
          <t>CHATARRERIA AGUSTIN</t>
        </is>
      </c>
      <c r="C792" t="inlineStr">
        <is>
          <t>73727139</t>
        </is>
      </c>
      <c r="D792" t="inlineStr">
        <is>
          <t>MZ N  LT 11 - AV PARQUE ZONAL - CARABAYLLO CRUCE DE UNIVERSITARIA C/ PARQUE ZONAL</t>
        </is>
      </c>
      <c r="E792" t="inlineStr">
        <is>
          <t>Lima, 06 de Setiembre de 2023</t>
        </is>
      </c>
      <c r="F792" t="inlineStr">
        <is>
          <t>la Recarga y mantenimiento</t>
        </is>
      </c>
      <c r="G792" t="inlineStr">
        <is>
          <t>01</t>
        </is>
      </c>
      <c r="H792" t="inlineStr">
        <is>
          <t>06 KG</t>
        </is>
      </c>
      <c r="I792" t="inlineStr">
        <is>
          <t>2027</t>
        </is>
      </c>
      <c r="J792" t="n">
        <v>2022</v>
      </c>
      <c r="K792" t="inlineStr">
        <is>
          <t>SETIEMBRE 2023</t>
        </is>
      </c>
      <c r="L792" t="inlineStr">
        <is>
          <t>SETIEMBRE 2024</t>
        </is>
      </c>
      <c r="M792" t="inlineStr">
        <is>
          <t>P.Q.S TIPO ABC</t>
        </is>
      </c>
      <c r="N792" t="inlineStr">
        <is>
          <t>000818</t>
        </is>
      </c>
      <c r="O792" t="inlineStr">
        <is>
          <t>R</t>
        </is>
      </c>
      <c r="P792">
        <f>TRIM(N792)</f>
        <v/>
      </c>
    </row>
    <row r="793">
      <c r="A793" t="inlineStr">
        <is>
          <t>CO-001481</t>
        </is>
      </c>
      <c r="B793" t="inlineStr">
        <is>
          <t>CHATARRERIA AGUSTIN</t>
        </is>
      </c>
      <c r="C793" t="inlineStr">
        <is>
          <t>73727139</t>
        </is>
      </c>
      <c r="D793" t="inlineStr">
        <is>
          <t>MZ N  LT 11 - AV PARQUE ZONAL - CARABAYLLO CRUCE DE UNIVERSITARIA C/ PARQUE ZONAL</t>
        </is>
      </c>
      <c r="E793" t="inlineStr">
        <is>
          <t>Lima, 06 de Setiembre de 2023</t>
        </is>
      </c>
      <c r="F793" t="inlineStr">
        <is>
          <t>la Recarga y mantenimiento</t>
        </is>
      </c>
      <c r="G793" t="inlineStr">
        <is>
          <t>02</t>
        </is>
      </c>
      <c r="H793" t="inlineStr">
        <is>
          <t>06 KG</t>
        </is>
      </c>
      <c r="I793" t="inlineStr">
        <is>
          <t>2028</t>
        </is>
      </c>
      <c r="J793" t="n">
        <v>2015</v>
      </c>
      <c r="K793" t="inlineStr">
        <is>
          <t>SETIEMBRE 2023</t>
        </is>
      </c>
      <c r="L793" t="inlineStr">
        <is>
          <t xml:space="preserve">SETIEMBRE 2024 </t>
        </is>
      </c>
      <c r="M793" t="inlineStr">
        <is>
          <t>P.Q.S TIPO ABC</t>
        </is>
      </c>
      <c r="N793" t="inlineStr">
        <is>
          <t>000006</t>
        </is>
      </c>
      <c r="O793" t="inlineStr">
        <is>
          <t>R</t>
        </is>
      </c>
      <c r="P793">
        <f>TRIM(N793)</f>
        <v/>
      </c>
    </row>
    <row r="794">
      <c r="A794" t="inlineStr">
        <is>
          <t>CO-001482</t>
        </is>
      </c>
      <c r="B794" t="inlineStr">
        <is>
          <t>PERU MASIVO S.A.</t>
        </is>
      </c>
      <c r="C794" t="inlineStr">
        <is>
          <t>20492392031</t>
        </is>
      </c>
      <c r="D794" t="inlineStr">
        <is>
          <t>AV. LOS INCAS CDRA. 4 PATIO NORTE - COMAS</t>
        </is>
      </c>
      <c r="E794" t="inlineStr">
        <is>
          <t>Lima, 11 de Setiembre de 2023</t>
        </is>
      </c>
      <c r="F794" t="inlineStr">
        <is>
          <t>la Recarga y mantenimiento</t>
        </is>
      </c>
      <c r="G794" t="inlineStr">
        <is>
          <t>01</t>
        </is>
      </c>
      <c r="H794" t="inlineStr">
        <is>
          <t>06 KG</t>
        </is>
      </c>
      <c r="I794" t="inlineStr">
        <is>
          <t>2028</t>
        </is>
      </c>
      <c r="J794" t="n">
        <v>2010</v>
      </c>
      <c r="K794" t="inlineStr">
        <is>
          <t>SETIEMBRE 2023</t>
        </is>
      </c>
      <c r="L794" t="inlineStr">
        <is>
          <t>SETIEMBRE 2024</t>
        </is>
      </c>
      <c r="M794" t="inlineStr">
        <is>
          <t xml:space="preserve">P.Q.S TIPO ABC AL 90% NACIONAL </t>
        </is>
      </c>
      <c r="N794" t="inlineStr">
        <is>
          <t>89/000407</t>
        </is>
      </c>
      <c r="O794" t="inlineStr">
        <is>
          <t>R</t>
        </is>
      </c>
      <c r="P794">
        <f>TRIM(N794)</f>
        <v/>
      </c>
    </row>
    <row r="795">
      <c r="A795" t="inlineStr">
        <is>
          <t>CO-001482</t>
        </is>
      </c>
      <c r="B795" t="inlineStr">
        <is>
          <t>PERU MASIVO S.A.</t>
        </is>
      </c>
      <c r="C795" t="inlineStr">
        <is>
          <t>20492392031</t>
        </is>
      </c>
      <c r="D795" t="inlineStr">
        <is>
          <t>AV. LOS INCAS CDRA. 4 PATIO NORTE - COMAS</t>
        </is>
      </c>
      <c r="E795" t="inlineStr">
        <is>
          <t>Lima, 11 de Setiembre de 2023</t>
        </is>
      </c>
      <c r="F795" t="inlineStr">
        <is>
          <t>la Recarga y mantenimiento</t>
        </is>
      </c>
      <c r="G795" t="inlineStr">
        <is>
          <t>02</t>
        </is>
      </c>
      <c r="H795" t="inlineStr">
        <is>
          <t>06 KG</t>
        </is>
      </c>
      <c r="I795" t="inlineStr">
        <is>
          <t>2028</t>
        </is>
      </c>
      <c r="J795" t="n">
        <v>2017</v>
      </c>
      <c r="K795" t="inlineStr">
        <is>
          <t>SETIEMBRE 2023</t>
        </is>
      </c>
      <c r="L795" t="inlineStr">
        <is>
          <t xml:space="preserve">SETIEMBRE 2024 </t>
        </is>
      </c>
      <c r="M795" t="inlineStr">
        <is>
          <t xml:space="preserve">P.Q.S TIPO ABC AL 90% NACIONAL </t>
        </is>
      </c>
      <c r="N795" t="inlineStr">
        <is>
          <t>S/N/003686</t>
        </is>
      </c>
      <c r="O795" t="inlineStr">
        <is>
          <t>R</t>
        </is>
      </c>
      <c r="P795">
        <f>TRIM(N795)</f>
        <v/>
      </c>
    </row>
    <row r="796">
      <c r="A796" t="inlineStr">
        <is>
          <t>CO-001482</t>
        </is>
      </c>
      <c r="B796" t="inlineStr">
        <is>
          <t>PERU MASIVO S.A.</t>
        </is>
      </c>
      <c r="C796" t="inlineStr">
        <is>
          <t>20492392031</t>
        </is>
      </c>
      <c r="D796" t="inlineStr">
        <is>
          <t>AV. LOS INCAS CDRA. 4 PATIO NORTE - COMAS</t>
        </is>
      </c>
      <c r="E796" t="inlineStr">
        <is>
          <t>Lima, 11 de Setiembre de 2023</t>
        </is>
      </c>
      <c r="F796" t="inlineStr">
        <is>
          <t>la Recarga y mantenimiento</t>
        </is>
      </c>
      <c r="G796" t="inlineStr">
        <is>
          <t>03</t>
        </is>
      </c>
      <c r="H796" t="inlineStr">
        <is>
          <t xml:space="preserve">06 KG </t>
        </is>
      </c>
      <c r="I796" t="n">
        <v>2028</v>
      </c>
      <c r="J796" t="n">
        <v>2010</v>
      </c>
      <c r="K796" t="inlineStr">
        <is>
          <t>SETIEMBRE 2023</t>
        </is>
      </c>
      <c r="L796" t="inlineStr">
        <is>
          <t>SETIEMBRE 2024</t>
        </is>
      </c>
      <c r="M796" t="inlineStr">
        <is>
          <t xml:space="preserve">P.Q.S TIPO ABC AL 90% NACIONAL </t>
        </is>
      </c>
      <c r="N796" t="inlineStr">
        <is>
          <t>390/000448</t>
        </is>
      </c>
      <c r="O796" t="inlineStr">
        <is>
          <t>R</t>
        </is>
      </c>
      <c r="P796">
        <f>TRIM(N796)</f>
        <v/>
      </c>
    </row>
    <row r="797">
      <c r="A797" t="inlineStr">
        <is>
          <t>CO-001482</t>
        </is>
      </c>
      <c r="B797" t="inlineStr">
        <is>
          <t>PERU MASIVO S.A.</t>
        </is>
      </c>
      <c r="C797" t="inlineStr">
        <is>
          <t>20492392031</t>
        </is>
      </c>
      <c r="D797" t="inlineStr">
        <is>
          <t>AV. LOS INCAS CDRA. 4 PATIO NORTE - COMAS</t>
        </is>
      </c>
      <c r="E797" t="inlineStr">
        <is>
          <t>Lima, 11 de Setiembre de 2023</t>
        </is>
      </c>
      <c r="F797" t="inlineStr">
        <is>
          <t>la Recarga y mantenimiento</t>
        </is>
      </c>
      <c r="G797" t="inlineStr">
        <is>
          <t>04</t>
        </is>
      </c>
      <c r="H797" t="inlineStr">
        <is>
          <t>06 KG</t>
        </is>
      </c>
      <c r="I797" t="n">
        <v>2028</v>
      </c>
      <c r="J797" t="n">
        <v>2009</v>
      </c>
      <c r="K797" t="inlineStr">
        <is>
          <t>SETIEMBRE 2023</t>
        </is>
      </c>
      <c r="L797" t="inlineStr">
        <is>
          <t>SETIEMBRE 2024</t>
        </is>
      </c>
      <c r="M797" t="inlineStr">
        <is>
          <t xml:space="preserve">P.Q.S TIPO ABC AL 90% NACIONAL </t>
        </is>
      </c>
      <c r="N797" t="inlineStr">
        <is>
          <t>38/002703</t>
        </is>
      </c>
      <c r="O797" t="inlineStr">
        <is>
          <t>R</t>
        </is>
      </c>
      <c r="P797">
        <f>TRIM(N797)</f>
        <v/>
      </c>
    </row>
    <row r="798">
      <c r="A798" t="inlineStr">
        <is>
          <t>CO-001482</t>
        </is>
      </c>
      <c r="B798" t="inlineStr">
        <is>
          <t>PERU MASIVO S.A.</t>
        </is>
      </c>
      <c r="C798" t="inlineStr">
        <is>
          <t>20492392031</t>
        </is>
      </c>
      <c r="D798" t="inlineStr">
        <is>
          <t>AV. LOS INCAS CDRA. 4 PATIO NORTE - COMAS</t>
        </is>
      </c>
      <c r="E798" t="inlineStr">
        <is>
          <t>Lima, 11 de Setiembre de 2023</t>
        </is>
      </c>
      <c r="F798" t="inlineStr">
        <is>
          <t>la Recarga y mantenimiento</t>
        </is>
      </c>
      <c r="G798" t="inlineStr">
        <is>
          <t>05</t>
        </is>
      </c>
      <c r="H798" t="inlineStr">
        <is>
          <t>06 KG</t>
        </is>
      </c>
      <c r="I798" t="inlineStr">
        <is>
          <t>2028</t>
        </is>
      </c>
      <c r="J798" t="inlineStr">
        <is>
          <t>2017</t>
        </is>
      </c>
      <c r="K798" t="inlineStr">
        <is>
          <t>SETIEMBRE 2023</t>
        </is>
      </c>
      <c r="L798" t="inlineStr">
        <is>
          <t>SETIEMBRE 2024</t>
        </is>
      </c>
      <c r="M798" t="inlineStr">
        <is>
          <t xml:space="preserve">P.Q.S TIPO ABC AL 90% NACIONAL </t>
        </is>
      </c>
      <c r="N798" t="inlineStr">
        <is>
          <t>S/N/000202</t>
        </is>
      </c>
      <c r="O798" t="inlineStr">
        <is>
          <t>R</t>
        </is>
      </c>
      <c r="P798">
        <f>TRIM(N798)</f>
        <v/>
      </c>
    </row>
    <row r="799">
      <c r="A799" t="inlineStr">
        <is>
          <t>CO-001482</t>
        </is>
      </c>
      <c r="B799" t="inlineStr">
        <is>
          <t>PERU MASIVO S.A.</t>
        </is>
      </c>
      <c r="C799" t="inlineStr">
        <is>
          <t>20492392031</t>
        </is>
      </c>
      <c r="D799" t="inlineStr">
        <is>
          <t>AV. LOS INCAS CDRA. 4 PATIO NORTE - COMAS</t>
        </is>
      </c>
      <c r="E799" t="inlineStr">
        <is>
          <t>Lima, 11 de Setiembre de 2023</t>
        </is>
      </c>
      <c r="F799" t="inlineStr">
        <is>
          <t>la Recarga y mantenimiento</t>
        </is>
      </c>
      <c r="G799" t="inlineStr">
        <is>
          <t>06</t>
        </is>
      </c>
      <c r="H799" t="inlineStr">
        <is>
          <t>06 KG</t>
        </is>
      </c>
      <c r="I799" t="inlineStr">
        <is>
          <t>2028</t>
        </is>
      </c>
      <c r="J799" t="inlineStr">
        <is>
          <t>2009</t>
        </is>
      </c>
      <c r="K799" t="inlineStr">
        <is>
          <t>SETIEMBRE 2023</t>
        </is>
      </c>
      <c r="L799" t="inlineStr">
        <is>
          <t>SETIEMBRE 2024</t>
        </is>
      </c>
      <c r="M799" t="inlineStr">
        <is>
          <t xml:space="preserve">P.Q.S TIPO ABC AL 90% NACIONAL </t>
        </is>
      </c>
      <c r="N799" t="inlineStr">
        <is>
          <t>339/001165</t>
        </is>
      </c>
      <c r="O799" t="inlineStr">
        <is>
          <t>R</t>
        </is>
      </c>
      <c r="P799">
        <f>TRIM(N799)</f>
        <v/>
      </c>
    </row>
    <row r="800">
      <c r="A800" t="inlineStr">
        <is>
          <t>CO-001482</t>
        </is>
      </c>
      <c r="B800" t="inlineStr">
        <is>
          <t>PERU MASIVO S.A.</t>
        </is>
      </c>
      <c r="C800" t="inlineStr">
        <is>
          <t>20492392031</t>
        </is>
      </c>
      <c r="D800" t="inlineStr">
        <is>
          <t>AV. LOS INCAS CDRA. 4 PATIO NORTE - COMAS</t>
        </is>
      </c>
      <c r="E800" t="inlineStr">
        <is>
          <t>Lima, 11 de Setiembre de 2023</t>
        </is>
      </c>
      <c r="F800" t="inlineStr">
        <is>
          <t>la Recarga y mantenimiento</t>
        </is>
      </c>
      <c r="G800" t="inlineStr">
        <is>
          <t>07</t>
        </is>
      </c>
      <c r="H800" t="inlineStr">
        <is>
          <t>06 KG</t>
        </is>
      </c>
      <c r="I800" t="inlineStr">
        <is>
          <t>2028</t>
        </is>
      </c>
      <c r="J800" t="inlineStr">
        <is>
          <t>2009</t>
        </is>
      </c>
      <c r="K800" t="inlineStr">
        <is>
          <t>SETIEMBRE 2023</t>
        </is>
      </c>
      <c r="L800" t="inlineStr">
        <is>
          <t>SETIEMBRE 2024</t>
        </is>
      </c>
      <c r="M800" t="inlineStr">
        <is>
          <t xml:space="preserve">P.Q.S TIPO ABC AL 90% NACIONAL </t>
        </is>
      </c>
      <c r="N800" t="inlineStr">
        <is>
          <t>180/000271</t>
        </is>
      </c>
      <c r="O800" t="inlineStr">
        <is>
          <t>R</t>
        </is>
      </c>
      <c r="P800">
        <f>TRIM(N800)</f>
        <v/>
      </c>
    </row>
    <row r="801">
      <c r="A801" t="inlineStr">
        <is>
          <t>CO-001482</t>
        </is>
      </c>
      <c r="B801" t="inlineStr">
        <is>
          <t>PERU MASIVO S.A.</t>
        </is>
      </c>
      <c r="C801" t="inlineStr">
        <is>
          <t>20492392031</t>
        </is>
      </c>
      <c r="D801" t="inlineStr">
        <is>
          <t>AV. LOS INCAS CDRA. 4 PATIO NORTE - COMAS</t>
        </is>
      </c>
      <c r="E801" t="inlineStr">
        <is>
          <t>Lima, 11 de Setiembre de 2023</t>
        </is>
      </c>
      <c r="F801" t="inlineStr">
        <is>
          <t>la Recarga y mantenimiento</t>
        </is>
      </c>
      <c r="G801" t="inlineStr">
        <is>
          <t>08</t>
        </is>
      </c>
      <c r="H801" t="inlineStr">
        <is>
          <t xml:space="preserve">06 KG </t>
        </is>
      </c>
      <c r="I801" t="inlineStr">
        <is>
          <t>2028</t>
        </is>
      </c>
      <c r="J801" t="inlineStr">
        <is>
          <t>2010</t>
        </is>
      </c>
      <c r="K801" t="inlineStr">
        <is>
          <t>SETIEMBRE 2023</t>
        </is>
      </c>
      <c r="L801" t="inlineStr">
        <is>
          <t>SETIEMBRE 2024</t>
        </is>
      </c>
      <c r="M801" t="inlineStr">
        <is>
          <t xml:space="preserve">P.Q.S TIPO ABC AL 90% NACIONAL </t>
        </is>
      </c>
      <c r="N801" t="inlineStr">
        <is>
          <t>384/000005</t>
        </is>
      </c>
      <c r="O801" t="inlineStr">
        <is>
          <t>R</t>
        </is>
      </c>
      <c r="P801">
        <f>TRIM(N801)</f>
        <v/>
      </c>
    </row>
    <row r="802">
      <c r="A802" t="inlineStr">
        <is>
          <t>CO-001482</t>
        </is>
      </c>
      <c r="B802" t="inlineStr">
        <is>
          <t>PERU MASIVO S.A.</t>
        </is>
      </c>
      <c r="C802" t="inlineStr">
        <is>
          <t>20492392031</t>
        </is>
      </c>
      <c r="D802" t="inlineStr">
        <is>
          <t>AV. LOS INCAS CDRA. 4 PATIO NORTE - COMAS</t>
        </is>
      </c>
      <c r="E802" t="inlineStr">
        <is>
          <t>Lima, 11 de Setiembre de 2023</t>
        </is>
      </c>
      <c r="F802" t="inlineStr">
        <is>
          <t>la Recarga y mantenimiento</t>
        </is>
      </c>
      <c r="G802" t="inlineStr">
        <is>
          <t>09</t>
        </is>
      </c>
      <c r="H802" t="inlineStr">
        <is>
          <t>06 KG</t>
        </is>
      </c>
      <c r="I802" t="inlineStr">
        <is>
          <t>2028</t>
        </is>
      </c>
      <c r="J802" t="inlineStr">
        <is>
          <t>2010</t>
        </is>
      </c>
      <c r="K802" t="inlineStr">
        <is>
          <t>SETIEMBRE 2023</t>
        </is>
      </c>
      <c r="L802" t="inlineStr">
        <is>
          <t>SETIEMBRE 2024</t>
        </is>
      </c>
      <c r="M802" t="inlineStr">
        <is>
          <t xml:space="preserve">P.Q.S TIPO ABC AL 90% NACIONAL </t>
        </is>
      </c>
      <c r="N802" t="inlineStr">
        <is>
          <t>S/N/000005</t>
        </is>
      </c>
      <c r="O802" t="inlineStr">
        <is>
          <t>R</t>
        </is>
      </c>
      <c r="P802">
        <f>TRIM(N802)</f>
        <v/>
      </c>
    </row>
    <row r="803">
      <c r="A803" t="inlineStr">
        <is>
          <t>CO-001483</t>
        </is>
      </c>
      <c r="B803" t="inlineStr">
        <is>
          <t>RICARDO VARGAS CISNEROS</t>
        </is>
      </c>
      <c r="C803" t="inlineStr">
        <is>
          <t>09973555</t>
        </is>
      </c>
      <c r="D803" t="inlineStr">
        <is>
          <t>PLACA: F9L-766</t>
        </is>
      </c>
      <c r="E803" t="inlineStr">
        <is>
          <t>Lima, 11 de Setiembre de 2023</t>
        </is>
      </c>
      <c r="F803" t="inlineStr">
        <is>
          <t>la Recarga y mantenimiento</t>
        </is>
      </c>
      <c r="G803" t="inlineStr">
        <is>
          <t>01</t>
        </is>
      </c>
      <c r="H803" t="inlineStr">
        <is>
          <t>04 KG</t>
        </is>
      </c>
      <c r="I803" t="inlineStr">
        <is>
          <t>VIGENTE</t>
        </is>
      </c>
      <c r="J803" t="n">
        <v>2017</v>
      </c>
      <c r="K803" t="inlineStr">
        <is>
          <t>SETIEMBRE 2023</t>
        </is>
      </c>
      <c r="L803" t="inlineStr">
        <is>
          <t>SETIEMBRE 2024</t>
        </is>
      </c>
      <c r="M803" t="inlineStr">
        <is>
          <t>P.Q.S TIPO ABC</t>
        </is>
      </c>
      <c r="O803" t="inlineStr">
        <is>
          <t>R</t>
        </is>
      </c>
      <c r="P803">
        <f>TRIM(N803)</f>
        <v/>
      </c>
    </row>
    <row r="804">
      <c r="A804" t="inlineStr">
        <is>
          <t>CO-001484</t>
        </is>
      </c>
      <c r="B804" t="inlineStr">
        <is>
          <t>FRANCISCO MONTALVO BAÑON</t>
        </is>
      </c>
      <c r="C804" t="inlineStr">
        <is>
          <t>45485735</t>
        </is>
      </c>
      <c r="D804" t="inlineStr">
        <is>
          <t>PLACA: ATK-907</t>
        </is>
      </c>
      <c r="E804" t="inlineStr">
        <is>
          <t>Lima,11 de Setiembre de 2023</t>
        </is>
      </c>
      <c r="F804" t="inlineStr">
        <is>
          <t>la Recarga y mantenimiento</t>
        </is>
      </c>
      <c r="G804" t="inlineStr">
        <is>
          <t>01</t>
        </is>
      </c>
      <c r="H804" t="inlineStr">
        <is>
          <t>09 KG</t>
        </is>
      </c>
      <c r="I804" t="inlineStr">
        <is>
          <t>VIGENTE</t>
        </is>
      </c>
      <c r="J804" t="n">
        <v>2015</v>
      </c>
      <c r="K804" t="inlineStr">
        <is>
          <t>SETIEMBRE 2023</t>
        </is>
      </c>
      <c r="L804" t="inlineStr">
        <is>
          <t>SETIEMBRE 2024</t>
        </is>
      </c>
      <c r="M804" t="inlineStr">
        <is>
          <t>P.Q.S TIPO ABC</t>
        </is>
      </c>
      <c r="N804" t="inlineStr">
        <is>
          <t>01/000243</t>
        </is>
      </c>
      <c r="O804" t="inlineStr">
        <is>
          <t>R</t>
        </is>
      </c>
      <c r="P804">
        <f>TRIM(N804)</f>
        <v/>
      </c>
    </row>
    <row r="805">
      <c r="A805" t="inlineStr">
        <is>
          <t>CO-001485</t>
        </is>
      </c>
      <c r="B805" t="inlineStr">
        <is>
          <t>CARLOS CHAVEZ</t>
        </is>
      </c>
      <c r="C805" t="inlineStr">
        <is>
          <t>06190102</t>
        </is>
      </c>
      <c r="D805" t="inlineStr">
        <is>
          <t>AV TUPAC AMARU 7461 COOP. AÑO NUEVO - COMAS</t>
        </is>
      </c>
      <c r="E805" t="inlineStr">
        <is>
          <t>Lima,11 de Setiembre de 2023</t>
        </is>
      </c>
      <c r="F805" t="inlineStr">
        <is>
          <t>la Recarga y mantenimiento</t>
        </is>
      </c>
      <c r="G805" t="inlineStr">
        <is>
          <t>01</t>
        </is>
      </c>
      <c r="H805" t="inlineStr">
        <is>
          <t>04 KG</t>
        </is>
      </c>
      <c r="I805" t="inlineStr">
        <is>
          <t>VIGENTE</t>
        </is>
      </c>
      <c r="J805" t="n">
        <v>2014</v>
      </c>
      <c r="K805" t="inlineStr">
        <is>
          <t>SETIEMBRE 2023</t>
        </is>
      </c>
      <c r="L805" t="inlineStr">
        <is>
          <t>SETIEMBRE 2024</t>
        </is>
      </c>
      <c r="M805" t="inlineStr">
        <is>
          <t>P.Q.S TIPO ABC</t>
        </is>
      </c>
      <c r="N805" t="inlineStr">
        <is>
          <t>000721</t>
        </is>
      </c>
      <c r="O805" t="inlineStr">
        <is>
          <t>R</t>
        </is>
      </c>
      <c r="P805">
        <f>TRIM(N805)</f>
        <v/>
      </c>
    </row>
    <row r="806">
      <c r="A806" t="inlineStr">
        <is>
          <t>CO-001486</t>
        </is>
      </c>
      <c r="B806" t="inlineStr">
        <is>
          <t>VIDRIERIA FLORES</t>
        </is>
      </c>
      <c r="D806" t="inlineStr">
        <is>
          <t>AV. TUPAC AMARU 7601</t>
        </is>
      </c>
      <c r="E806" t="inlineStr">
        <is>
          <t>Lima,12 de Setiembre de 2023</t>
        </is>
      </c>
      <c r="F806" t="inlineStr">
        <is>
          <t>la Recarga y mantenimiento</t>
        </is>
      </c>
      <c r="G806" t="inlineStr">
        <is>
          <t>01</t>
        </is>
      </c>
      <c r="H806" t="inlineStr">
        <is>
          <t>06 KG</t>
        </is>
      </c>
      <c r="I806" t="inlineStr">
        <is>
          <t>2026</t>
        </is>
      </c>
      <c r="J806" t="n">
        <v>2021</v>
      </c>
      <c r="K806" t="inlineStr">
        <is>
          <t>SETIEMBRE 2023</t>
        </is>
      </c>
      <c r="L806" t="inlineStr">
        <is>
          <t>SETIEMBRE 2024</t>
        </is>
      </c>
      <c r="M806" t="inlineStr">
        <is>
          <t xml:space="preserve">P.Q.S TIPO ABC </t>
        </is>
      </c>
      <c r="N806" t="inlineStr">
        <is>
          <t>003132</t>
        </is>
      </c>
      <c r="O806" t="inlineStr">
        <is>
          <t>R</t>
        </is>
      </c>
      <c r="P806">
        <f>TRIM(N806)</f>
        <v/>
      </c>
    </row>
    <row r="807">
      <c r="A807" t="inlineStr">
        <is>
          <t>CO-001487</t>
        </is>
      </c>
      <c r="B807" t="inlineStr">
        <is>
          <t>FUTURA INVERSIONES INMOBILIARIA  S.A.C</t>
        </is>
      </c>
      <c r="C807" t="inlineStr">
        <is>
          <t>20392993992</t>
        </is>
      </c>
      <c r="D807" t="inlineStr">
        <is>
          <t>AV. ELMER FAUCETT NRO. 235 URB. MARANGA ET. CUATRO DPTO. 502. SAN MIGUEL LIMA LIMA</t>
        </is>
      </c>
      <c r="E807" t="inlineStr">
        <is>
          <t>Lima,12 de Setiembre de 2023</t>
        </is>
      </c>
      <c r="F807" t="inlineStr">
        <is>
          <t>la Recarga y mantenimiento</t>
        </is>
      </c>
      <c r="G807" t="inlineStr">
        <is>
          <t>01</t>
        </is>
      </c>
      <c r="H807" t="inlineStr">
        <is>
          <t>06 KG</t>
        </is>
      </c>
      <c r="I807" t="inlineStr">
        <is>
          <t>2028</t>
        </is>
      </c>
      <c r="J807" t="n">
        <v>2023</v>
      </c>
      <c r="K807" t="inlineStr">
        <is>
          <t>SETIEMBRE 2023</t>
        </is>
      </c>
      <c r="L807" t="inlineStr">
        <is>
          <t>SETIEMBRE 2024</t>
        </is>
      </c>
      <c r="M807" t="inlineStr">
        <is>
          <t xml:space="preserve">P.Q.S TIPO ABC AL 75% </t>
        </is>
      </c>
      <c r="N807" t="inlineStr">
        <is>
          <t>096661</t>
        </is>
      </c>
      <c r="O807" t="inlineStr">
        <is>
          <t>R</t>
        </is>
      </c>
      <c r="P807">
        <f>TRIM(N807)</f>
        <v/>
      </c>
    </row>
    <row r="808">
      <c r="A808" t="inlineStr">
        <is>
          <t>CO-001487</t>
        </is>
      </c>
      <c r="B808" t="inlineStr">
        <is>
          <t>FUTURA INVERSIONES INMOBILIARIA  S.A.C</t>
        </is>
      </c>
      <c r="C808" t="inlineStr">
        <is>
          <t>20392993992</t>
        </is>
      </c>
      <c r="D808" t="inlineStr">
        <is>
          <t>AV. ELMER FAUCETT NRO. 235 URB. MARANGA ET. CUATRO DPTO. 502. SAN MIGUEL LIMA LIMA</t>
        </is>
      </c>
      <c r="E808" t="inlineStr">
        <is>
          <t>Lima,12 de Setiembre de 2023</t>
        </is>
      </c>
      <c r="F808" t="inlineStr">
        <is>
          <t>la Recarga y mantenimiento</t>
        </is>
      </c>
      <c r="G808" t="inlineStr">
        <is>
          <t>02</t>
        </is>
      </c>
      <c r="H808" t="inlineStr">
        <is>
          <t>06 KG</t>
        </is>
      </c>
      <c r="I808" t="inlineStr">
        <is>
          <t>2028</t>
        </is>
      </c>
      <c r="J808" t="n">
        <v>2023</v>
      </c>
      <c r="K808" t="inlineStr">
        <is>
          <t>SETIEMBRE 2023</t>
        </is>
      </c>
      <c r="L808" t="inlineStr">
        <is>
          <t xml:space="preserve">SETIEMBRE 2024 </t>
        </is>
      </c>
      <c r="M808" t="inlineStr">
        <is>
          <t xml:space="preserve">P.Q.S TIPO ABC AL 75% </t>
        </is>
      </c>
      <c r="N808" t="inlineStr">
        <is>
          <t>071960</t>
        </is>
      </c>
      <c r="O808" t="inlineStr">
        <is>
          <t>R</t>
        </is>
      </c>
      <c r="P808">
        <f>TRIM(N808)</f>
        <v/>
      </c>
    </row>
    <row r="809">
      <c r="A809" t="inlineStr">
        <is>
          <t>CO-001487</t>
        </is>
      </c>
      <c r="B809" t="inlineStr">
        <is>
          <t>FUTURA INVERSIONES INMOBILIARIA  S.A.C</t>
        </is>
      </c>
      <c r="C809" t="inlineStr">
        <is>
          <t>20392993992</t>
        </is>
      </c>
      <c r="D809" t="inlineStr">
        <is>
          <t>AV. ELMER FAUCETT NRO. 235 URB. MARANGA ET. CUATRO DPTO. 502. SAN MIGUEL LIMA LIMA</t>
        </is>
      </c>
      <c r="E809" t="inlineStr">
        <is>
          <t>Lima,12 de Setiembre de 2023</t>
        </is>
      </c>
      <c r="F809" t="inlineStr">
        <is>
          <t>la Recarga y mantenimiento</t>
        </is>
      </c>
      <c r="G809" t="inlineStr">
        <is>
          <t>03</t>
        </is>
      </c>
      <c r="H809" t="inlineStr">
        <is>
          <t>06 KG</t>
        </is>
      </c>
      <c r="I809" t="n">
        <v>2028</v>
      </c>
      <c r="J809" t="n">
        <v>2023</v>
      </c>
      <c r="K809" t="inlineStr">
        <is>
          <t>SETIEMBRE 2023</t>
        </is>
      </c>
      <c r="L809" t="inlineStr">
        <is>
          <t>SETIEMBRE 2024</t>
        </is>
      </c>
      <c r="M809" t="inlineStr">
        <is>
          <t xml:space="preserve">P.Q.S TIPO ABC AL 75% </t>
        </is>
      </c>
      <c r="N809" t="inlineStr">
        <is>
          <t>096367</t>
        </is>
      </c>
      <c r="O809" t="inlineStr">
        <is>
          <t>R</t>
        </is>
      </c>
      <c r="P809">
        <f>TRIM(N809)</f>
        <v/>
      </c>
    </row>
    <row r="810">
      <c r="A810" t="inlineStr">
        <is>
          <t>CO-001487</t>
        </is>
      </c>
      <c r="B810" t="inlineStr">
        <is>
          <t>FUTURA INVERSIONES INMOBILIARIA  S.A.C</t>
        </is>
      </c>
      <c r="C810" t="inlineStr">
        <is>
          <t>20392993992</t>
        </is>
      </c>
      <c r="D810" t="inlineStr">
        <is>
          <t>AV. ELMER FAUCETT NRO. 235 URB. MARANGA ET. CUATRO DPTO. 502. SAN MIGUEL LIMA LIMA</t>
        </is>
      </c>
      <c r="E810" t="inlineStr">
        <is>
          <t>Lima,12 de Setiembre de 2023</t>
        </is>
      </c>
      <c r="F810" t="inlineStr">
        <is>
          <t>la Recarga y mantenimiento</t>
        </is>
      </c>
      <c r="G810" t="inlineStr">
        <is>
          <t>04</t>
        </is>
      </c>
      <c r="H810" t="inlineStr">
        <is>
          <t>06 KG</t>
        </is>
      </c>
      <c r="I810" t="n">
        <v>2027</v>
      </c>
      <c r="J810" t="n">
        <v>2022</v>
      </c>
      <c r="K810" t="inlineStr">
        <is>
          <t>SETIEMBRE 2023</t>
        </is>
      </c>
      <c r="L810" t="inlineStr">
        <is>
          <t>SETIEMBRE 2024</t>
        </is>
      </c>
      <c r="M810" t="inlineStr">
        <is>
          <t xml:space="preserve">P.Q.S TIPO ABC AL 75% </t>
        </is>
      </c>
      <c r="N810" t="inlineStr">
        <is>
          <t>000233</t>
        </is>
      </c>
      <c r="O810" t="inlineStr">
        <is>
          <t>R</t>
        </is>
      </c>
      <c r="P810">
        <f>TRIM(N810)</f>
        <v/>
      </c>
    </row>
    <row r="811">
      <c r="A811" t="inlineStr">
        <is>
          <t>CO-001487</t>
        </is>
      </c>
      <c r="B811" t="inlineStr">
        <is>
          <t>FUTURA INVERSIONES INMOBILIARIA  S.A.C</t>
        </is>
      </c>
      <c r="C811" t="inlineStr">
        <is>
          <t>20392993992</t>
        </is>
      </c>
      <c r="D811" t="inlineStr">
        <is>
          <t>AV. ELMER FAUCETT NRO. 235 URB. MARANGA ET. CUATRO DPTO. 502. SAN MIGUEL LIMA LIMA</t>
        </is>
      </c>
      <c r="E811" t="inlineStr">
        <is>
          <t>Lima,12 de Setiembre de 2023</t>
        </is>
      </c>
      <c r="F811" t="inlineStr">
        <is>
          <t>la Recarga y mantenimiento</t>
        </is>
      </c>
      <c r="G811" t="inlineStr">
        <is>
          <t>05</t>
        </is>
      </c>
      <c r="H811" t="inlineStr">
        <is>
          <t>12 KG</t>
        </is>
      </c>
      <c r="I811" t="n">
        <v>2028</v>
      </c>
      <c r="J811" t="n">
        <v>2023</v>
      </c>
      <c r="K811" t="inlineStr">
        <is>
          <t>SETIEMBRE 2023</t>
        </is>
      </c>
      <c r="L811" t="inlineStr">
        <is>
          <t>SETIEMBRE 2024</t>
        </is>
      </c>
      <c r="M811" t="inlineStr">
        <is>
          <t xml:space="preserve">P.Q.S TIPO ABC AL 75% </t>
        </is>
      </c>
      <c r="N811" t="inlineStr">
        <is>
          <t>152251</t>
        </is>
      </c>
      <c r="O811" t="inlineStr">
        <is>
          <t>R</t>
        </is>
      </c>
      <c r="P811">
        <f>TRIM(N811)</f>
        <v/>
      </c>
    </row>
    <row r="812">
      <c r="A812" t="inlineStr">
        <is>
          <t>CO-001488</t>
        </is>
      </c>
      <c r="B812" t="inlineStr">
        <is>
          <t>LIZ FARMA De: Lizbeth Karina Lachira Fabian</t>
        </is>
      </c>
      <c r="D812" t="inlineStr">
        <is>
          <t>ASOCIACION EL PARAISO MZ F LOTE 04 - CARABAYLLO</t>
        </is>
      </c>
      <c r="E812" t="inlineStr">
        <is>
          <t>Lima,18 de Octubre de 2023</t>
        </is>
      </c>
      <c r="F812" t="inlineStr">
        <is>
          <t>la Recarga y mantenimiento</t>
        </is>
      </c>
      <c r="G812" t="inlineStr">
        <is>
          <t>01</t>
        </is>
      </c>
      <c r="H812" t="inlineStr">
        <is>
          <t>06 KG</t>
        </is>
      </c>
      <c r="I812" t="inlineStr">
        <is>
          <t>2024</t>
        </is>
      </c>
      <c r="J812" t="n">
        <v>2019</v>
      </c>
      <c r="K812" t="inlineStr">
        <is>
          <t>OCTUBRE 2023</t>
        </is>
      </c>
      <c r="L812" t="inlineStr">
        <is>
          <t>OCTUBRE 2024</t>
        </is>
      </c>
      <c r="M812" t="inlineStr">
        <is>
          <t xml:space="preserve">P.Q.S TIPO ABC </t>
        </is>
      </c>
      <c r="N812" t="inlineStr">
        <is>
          <t>01/008725</t>
        </is>
      </c>
      <c r="O812" t="inlineStr">
        <is>
          <t>R</t>
        </is>
      </c>
      <c r="P812">
        <f>TRIM(N812)</f>
        <v/>
      </c>
    </row>
    <row r="813">
      <c r="A813" t="inlineStr">
        <is>
          <t>CO-001489</t>
        </is>
      </c>
      <c r="B813" t="inlineStr">
        <is>
          <t>FREDI TOSCANO</t>
        </is>
      </c>
      <c r="C813" t="inlineStr">
        <is>
          <t>06943420</t>
        </is>
      </c>
      <c r="D813" t="inlineStr">
        <is>
          <t>PLACA: D1R - 483</t>
        </is>
      </c>
      <c r="E813" t="inlineStr">
        <is>
          <t>Lima,13 de Setiembre de 2023</t>
        </is>
      </c>
      <c r="F813" t="inlineStr">
        <is>
          <t>la Recarga y mantenimiento</t>
        </is>
      </c>
      <c r="G813" t="inlineStr">
        <is>
          <t>01</t>
        </is>
      </c>
      <c r="H813" t="inlineStr">
        <is>
          <t>02 KG</t>
        </is>
      </c>
      <c r="I813" t="inlineStr">
        <is>
          <t>VIGENTE</t>
        </is>
      </c>
      <c r="J813" t="n">
        <v>2006</v>
      </c>
      <c r="K813" t="inlineStr">
        <is>
          <t>SETIEMBRE 2023</t>
        </is>
      </c>
      <c r="L813" t="inlineStr">
        <is>
          <t>SETIEMBRE 2024</t>
        </is>
      </c>
      <c r="M813" t="inlineStr">
        <is>
          <t>P.Q.S TIPO ABC</t>
        </is>
      </c>
      <c r="N813" t="inlineStr">
        <is>
          <t>001994</t>
        </is>
      </c>
      <c r="O813" t="inlineStr">
        <is>
          <t>R</t>
        </is>
      </c>
      <c r="P813">
        <f>TRIM(N813)</f>
        <v/>
      </c>
    </row>
    <row r="814">
      <c r="A814" t="inlineStr">
        <is>
          <t>CO-001490</t>
        </is>
      </c>
      <c r="B814" t="inlineStr">
        <is>
          <t>EDWIN CUEVA</t>
        </is>
      </c>
      <c r="D814" t="inlineStr">
        <is>
          <t>AV TUPAC AMARU 3931</t>
        </is>
      </c>
      <c r="E814" t="inlineStr">
        <is>
          <t>Lima,13 de Setiembre de 2023</t>
        </is>
      </c>
      <c r="F814" t="inlineStr">
        <is>
          <t>la Recarga y mantenimiento</t>
        </is>
      </c>
      <c r="G814" t="inlineStr">
        <is>
          <t>01</t>
        </is>
      </c>
      <c r="H814" t="inlineStr">
        <is>
          <t>02 KG</t>
        </is>
      </c>
      <c r="I814" t="inlineStr">
        <is>
          <t>VIGENTE</t>
        </is>
      </c>
      <c r="J814" t="n">
        <v>2005</v>
      </c>
      <c r="K814" t="inlineStr">
        <is>
          <t>SETIEMBRE 2023</t>
        </is>
      </c>
      <c r="L814" t="inlineStr">
        <is>
          <t>SETIEMBRE 2024</t>
        </is>
      </c>
      <c r="M814" t="inlineStr">
        <is>
          <t>P.Q.S TIPO ABC</t>
        </is>
      </c>
      <c r="N814" t="inlineStr">
        <is>
          <t>001391</t>
        </is>
      </c>
      <c r="O814" t="inlineStr">
        <is>
          <t>R</t>
        </is>
      </c>
      <c r="P814">
        <f>TRIM(N814)</f>
        <v/>
      </c>
    </row>
    <row r="815">
      <c r="A815" t="inlineStr">
        <is>
          <t>CO-001491</t>
        </is>
      </c>
      <c r="B815" t="inlineStr">
        <is>
          <t>FARMACIA INCAPERU 
De: Clara Nélida  Mayorga Huaringa</t>
        </is>
      </c>
      <c r="D815" t="inlineStr">
        <is>
          <t xml:space="preserve"> AV. PROCERES DE HUANDOY MZ. D LOTE 26 INT. B AA.HH. LOS ROSALES DE HUANDOY - LOS OLIVOS</t>
        </is>
      </c>
      <c r="E815" t="inlineStr">
        <is>
          <t>Lima,13 de Setiembre de 2023</t>
        </is>
      </c>
      <c r="F815" t="inlineStr">
        <is>
          <t>la Recarga y mantenimiento</t>
        </is>
      </c>
      <c r="G815" t="inlineStr">
        <is>
          <t>01</t>
        </is>
      </c>
      <c r="H815" t="inlineStr">
        <is>
          <t>06 KG</t>
        </is>
      </c>
      <c r="I815" t="inlineStr">
        <is>
          <t>2026</t>
        </is>
      </c>
      <c r="J815" t="n">
        <v>2015</v>
      </c>
      <c r="K815" t="inlineStr">
        <is>
          <t>SETIEMBRE 2023</t>
        </is>
      </c>
      <c r="L815" t="inlineStr">
        <is>
          <t>SETIEMBRE 2024</t>
        </is>
      </c>
      <c r="M815" t="inlineStr">
        <is>
          <t>P.Q.S TIPO ABC</t>
        </is>
      </c>
      <c r="N815" t="inlineStr">
        <is>
          <t>010020</t>
        </is>
      </c>
      <c r="O815" t="inlineStr">
        <is>
          <t>R</t>
        </is>
      </c>
      <c r="P815">
        <f>TRIM(N815)</f>
        <v/>
      </c>
    </row>
    <row r="816">
      <c r="A816" t="inlineStr">
        <is>
          <t>CO-001492</t>
        </is>
      </c>
      <c r="B816" t="inlineStr">
        <is>
          <t xml:space="preserve">JESUS HUAMAN </t>
        </is>
      </c>
      <c r="C816" t="inlineStr">
        <is>
          <t>09469826</t>
        </is>
      </c>
      <c r="D816" t="inlineStr">
        <is>
          <t>PLACA: BVL-573</t>
        </is>
      </c>
      <c r="E816" t="inlineStr">
        <is>
          <t>Lima, 15 de Setiembre de 2023</t>
        </is>
      </c>
      <c r="F816" t="inlineStr">
        <is>
          <t>la Recarga y mantenimiento</t>
        </is>
      </c>
      <c r="G816" t="inlineStr">
        <is>
          <t>01</t>
        </is>
      </c>
      <c r="H816" t="inlineStr">
        <is>
          <t>02 KG</t>
        </is>
      </c>
      <c r="I816" t="inlineStr">
        <is>
          <t>VIGENTE</t>
        </is>
      </c>
      <c r="J816" t="n">
        <v>2017</v>
      </c>
      <c r="K816" t="inlineStr">
        <is>
          <t>SETIEMBRE 2023</t>
        </is>
      </c>
      <c r="L816" t="inlineStr">
        <is>
          <t>SETIEMBRE 2024</t>
        </is>
      </c>
      <c r="M816" t="inlineStr">
        <is>
          <t xml:space="preserve">P.Q.S TIPO ABC </t>
        </is>
      </c>
      <c r="N816" t="inlineStr">
        <is>
          <t>012586</t>
        </is>
      </c>
      <c r="O816" t="inlineStr">
        <is>
          <t>R</t>
        </is>
      </c>
      <c r="P816">
        <f>TRIM(N816)</f>
        <v/>
      </c>
    </row>
    <row r="817">
      <c r="A817" t="inlineStr">
        <is>
          <t>CO-001493</t>
        </is>
      </c>
      <c r="B817" t="inlineStr">
        <is>
          <t>ROXANA RAMIREZ</t>
        </is>
      </c>
      <c r="D817" t="inlineStr">
        <is>
          <t>MERCADO AÑO NUEVO - PUESTO 289</t>
        </is>
      </c>
      <c r="E817" t="inlineStr">
        <is>
          <t>Lima, 18 de Setiembre de 2023</t>
        </is>
      </c>
      <c r="F817" t="inlineStr">
        <is>
          <t>la venta</t>
        </is>
      </c>
      <c r="G817" t="inlineStr">
        <is>
          <t>01</t>
        </is>
      </c>
      <c r="H817" t="inlineStr">
        <is>
          <t>06 KG</t>
        </is>
      </c>
      <c r="I817" t="inlineStr">
        <is>
          <t>2028</t>
        </is>
      </c>
      <c r="J817" t="n">
        <v>2023</v>
      </c>
      <c r="K817" t="inlineStr">
        <is>
          <t>SETIEMRE 2023</t>
        </is>
      </c>
      <c r="L817" t="inlineStr">
        <is>
          <t>SETIEMBRE 2024</t>
        </is>
      </c>
      <c r="M817" t="inlineStr">
        <is>
          <t>P.Q.S TIPO ABC</t>
        </is>
      </c>
      <c r="N817" t="inlineStr">
        <is>
          <t>002660</t>
        </is>
      </c>
      <c r="O817" t="inlineStr">
        <is>
          <t>R</t>
        </is>
      </c>
      <c r="P817">
        <f>TRIM(N817)</f>
        <v/>
      </c>
    </row>
    <row r="818">
      <c r="A818" t="inlineStr">
        <is>
          <t>CO-001494</t>
        </is>
      </c>
      <c r="B818" t="inlineStr">
        <is>
          <t>PERCY TICSE FLORES</t>
        </is>
      </c>
      <c r="D818" t="inlineStr">
        <is>
          <t>MERCADO AÑO NUEVO - PUESTO 43</t>
        </is>
      </c>
      <c r="E818" t="inlineStr">
        <is>
          <t>Lima, 15 de Noviembre de 2023</t>
        </is>
      </c>
      <c r="F818" t="inlineStr">
        <is>
          <t>la Venta</t>
        </is>
      </c>
      <c r="G818" t="inlineStr">
        <is>
          <t>01</t>
        </is>
      </c>
      <c r="H818" t="inlineStr">
        <is>
          <t>06 KG</t>
        </is>
      </c>
      <c r="I818" t="inlineStr">
        <is>
          <t>2028</t>
        </is>
      </c>
      <c r="J818" t="n">
        <v>2023</v>
      </c>
      <c r="K818" t="inlineStr">
        <is>
          <t>NOVIEMBRE 2023</t>
        </is>
      </c>
      <c r="L818" t="inlineStr">
        <is>
          <t>NOVIEMBRE 2024</t>
        </is>
      </c>
      <c r="M818" t="inlineStr">
        <is>
          <t xml:space="preserve">P.Q.S TIPO ABC </t>
        </is>
      </c>
      <c r="N818" t="inlineStr">
        <is>
          <t>000949</t>
        </is>
      </c>
      <c r="O818" t="inlineStr">
        <is>
          <t>V</t>
        </is>
      </c>
      <c r="P818">
        <f>TRIM(N818)</f>
        <v/>
      </c>
    </row>
    <row r="819">
      <c r="A819" t="inlineStr">
        <is>
          <t>CO-001495</t>
        </is>
      </c>
      <c r="B819" t="inlineStr">
        <is>
          <t>CELEDONIO PAJUELO</t>
        </is>
      </c>
      <c r="D819" t="inlineStr">
        <is>
          <t>MERCADO AÑO NUEVO - PUESTO 110</t>
        </is>
      </c>
      <c r="E819" t="inlineStr">
        <is>
          <t>Lima, 18 de Setiembre de 2023</t>
        </is>
      </c>
      <c r="F819" t="inlineStr">
        <is>
          <t>la Recarga y mantenimiento</t>
        </is>
      </c>
      <c r="G819" t="inlineStr">
        <is>
          <t>01</t>
        </is>
      </c>
      <c r="H819" t="inlineStr">
        <is>
          <t>06 KG</t>
        </is>
      </c>
      <c r="I819" t="inlineStr">
        <is>
          <t>VIGENTE</t>
        </is>
      </c>
      <c r="J819" t="inlineStr">
        <is>
          <t>S/N</t>
        </is>
      </c>
      <c r="K819" t="inlineStr">
        <is>
          <t>SETIEMBRE 2023</t>
        </is>
      </c>
      <c r="L819" t="inlineStr">
        <is>
          <t>SETIEMBRE 2024</t>
        </is>
      </c>
      <c r="M819" t="inlineStr">
        <is>
          <t>P.Q.S TIPO ABC</t>
        </is>
      </c>
      <c r="N819" t="inlineStr">
        <is>
          <t>002910</t>
        </is>
      </c>
      <c r="O819" t="inlineStr">
        <is>
          <t>R</t>
        </is>
      </c>
      <c r="P819">
        <f>TRIM(N819)</f>
        <v/>
      </c>
    </row>
    <row r="820">
      <c r="A820" t="inlineStr">
        <is>
          <t>CO-001496</t>
        </is>
      </c>
      <c r="B820" t="inlineStr">
        <is>
          <t>KEVIN CADILLO</t>
        </is>
      </c>
      <c r="D820" t="inlineStr">
        <is>
          <t>MERCADO AÑO NUEVO - PUESTO 163</t>
        </is>
      </c>
      <c r="E820" t="inlineStr">
        <is>
          <t>Lima, 18 de Setiembre de 2023</t>
        </is>
      </c>
      <c r="F820" t="inlineStr">
        <is>
          <t>la Recarga y mantenimiento</t>
        </is>
      </c>
      <c r="G820" t="inlineStr">
        <is>
          <t>01</t>
        </is>
      </c>
      <c r="H820" t="inlineStr">
        <is>
          <t>06 KG</t>
        </is>
      </c>
      <c r="I820" t="inlineStr">
        <is>
          <t>VIGENTE</t>
        </is>
      </c>
      <c r="J820" t="inlineStr">
        <is>
          <t>S/N</t>
        </is>
      </c>
      <c r="K820" t="inlineStr">
        <is>
          <t>SETIEMBRE 2023</t>
        </is>
      </c>
      <c r="L820" t="inlineStr">
        <is>
          <t>SETIEMBRE 2024</t>
        </is>
      </c>
      <c r="M820" t="inlineStr">
        <is>
          <t>P.Q.S TIPO ABC</t>
        </is>
      </c>
      <c r="N820" t="inlineStr">
        <is>
          <t>000115</t>
        </is>
      </c>
      <c r="O820" t="inlineStr">
        <is>
          <t>R</t>
        </is>
      </c>
      <c r="P820">
        <f>TRIM(N820)</f>
        <v/>
      </c>
    </row>
    <row r="821">
      <c r="A821" t="inlineStr">
        <is>
          <t>CO-001497</t>
        </is>
      </c>
      <c r="B821" t="inlineStr">
        <is>
          <t xml:space="preserve">MAGDALENA TIPULA </t>
        </is>
      </c>
      <c r="D821" t="inlineStr">
        <is>
          <t>MERCADO AÑO NUEVO - PUESTO 108</t>
        </is>
      </c>
      <c r="E821" t="inlineStr">
        <is>
          <t>Lima, 18 de Setiembre de 2023</t>
        </is>
      </c>
      <c r="F821" t="inlineStr">
        <is>
          <t>la Recarga y mantenimiento</t>
        </is>
      </c>
      <c r="G821" t="inlineStr">
        <is>
          <t>01</t>
        </is>
      </c>
      <c r="H821" t="inlineStr">
        <is>
          <t>06 KG</t>
        </is>
      </c>
      <c r="I821" t="inlineStr">
        <is>
          <t>VIGENTE</t>
        </is>
      </c>
      <c r="J821" t="inlineStr">
        <is>
          <t>-</t>
        </is>
      </c>
      <c r="K821" t="inlineStr">
        <is>
          <t>SETIEMBRE 2023</t>
        </is>
      </c>
      <c r="L821" t="inlineStr">
        <is>
          <t>SETIEMBRE 2024</t>
        </is>
      </c>
      <c r="M821" t="inlineStr">
        <is>
          <t>P.Q.S TIPO ABC</t>
        </is>
      </c>
      <c r="N821" t="inlineStr">
        <is>
          <t>001241</t>
        </is>
      </c>
      <c r="O821" t="inlineStr">
        <is>
          <t>R</t>
        </is>
      </c>
      <c r="P821">
        <f>TRIM(N821)</f>
        <v/>
      </c>
    </row>
    <row r="822">
      <c r="A822" t="inlineStr">
        <is>
          <t>CO-001498</t>
        </is>
      </c>
      <c r="B822" t="inlineStr">
        <is>
          <t xml:space="preserve">ROCIO SULCA </t>
        </is>
      </c>
      <c r="D822" t="inlineStr">
        <is>
          <t>MERCADO AÑO NUEVO - PUESTO 104</t>
        </is>
      </c>
      <c r="E822" t="inlineStr">
        <is>
          <t>Lima, 18 de Setiembre de 2023</t>
        </is>
      </c>
      <c r="F822" t="inlineStr">
        <is>
          <t>la Recarga y mantenimiento</t>
        </is>
      </c>
      <c r="G822" t="inlineStr">
        <is>
          <t>01</t>
        </is>
      </c>
      <c r="H822" t="inlineStr">
        <is>
          <t>06 KG</t>
        </is>
      </c>
      <c r="I822" t="inlineStr">
        <is>
          <t>VIGENTE</t>
        </is>
      </c>
      <c r="J822" t="n">
        <v>2007</v>
      </c>
      <c r="K822" t="inlineStr">
        <is>
          <t>SETIEMBRE 2023</t>
        </is>
      </c>
      <c r="L822" t="inlineStr">
        <is>
          <t>SETIEMBRE 2024</t>
        </is>
      </c>
      <c r="M822" t="inlineStr">
        <is>
          <t>P.Q.S TIPO ABC</t>
        </is>
      </c>
      <c r="N822" t="inlineStr">
        <is>
          <t>010204</t>
        </is>
      </c>
      <c r="O822" t="inlineStr">
        <is>
          <t>R</t>
        </is>
      </c>
      <c r="P822">
        <f>TRIM(N822)</f>
        <v/>
      </c>
    </row>
    <row r="823">
      <c r="A823" t="inlineStr">
        <is>
          <t>CO-001499</t>
        </is>
      </c>
      <c r="B823" t="inlineStr">
        <is>
          <t>ANA RODRIGUEZ</t>
        </is>
      </c>
      <c r="D823" t="inlineStr">
        <is>
          <t>MERCADO AÑO NUEVO - PUESTO 103</t>
        </is>
      </c>
      <c r="E823" t="inlineStr">
        <is>
          <t>Lima, 18 de Setiembre de 2023</t>
        </is>
      </c>
      <c r="F823" t="inlineStr">
        <is>
          <t>la Recarga y mantenimiento</t>
        </is>
      </c>
      <c r="G823" t="inlineStr">
        <is>
          <t>01</t>
        </is>
      </c>
      <c r="H823" t="inlineStr">
        <is>
          <t>06 KG</t>
        </is>
      </c>
      <c r="I823" t="inlineStr">
        <is>
          <t>2025</t>
        </is>
      </c>
      <c r="J823" t="n">
        <v>2020</v>
      </c>
      <c r="K823" t="inlineStr">
        <is>
          <t>SETIEMBRE 2023</t>
        </is>
      </c>
      <c r="L823" t="inlineStr">
        <is>
          <t>SETIEMBRE 2024</t>
        </is>
      </c>
      <c r="M823" t="inlineStr">
        <is>
          <t>P.Q.S TIPO ABC</t>
        </is>
      </c>
      <c r="N823" t="inlineStr">
        <is>
          <t>001287</t>
        </is>
      </c>
      <c r="O823" t="inlineStr">
        <is>
          <t>R</t>
        </is>
      </c>
      <c r="P823">
        <f>TRIM(N823)</f>
        <v/>
      </c>
    </row>
    <row r="824">
      <c r="A824" t="inlineStr">
        <is>
          <t>CO-001500</t>
        </is>
      </c>
      <c r="B824" t="inlineStr">
        <is>
          <t>URSULA HINOSTROZA</t>
        </is>
      </c>
      <c r="D824" t="inlineStr">
        <is>
          <t>MERCADO AÑO NUEVO - PUESTO  158</t>
        </is>
      </c>
      <c r="E824" t="inlineStr">
        <is>
          <t>Lima, 18 de Setiembre de 2023</t>
        </is>
      </c>
      <c r="F824" t="inlineStr">
        <is>
          <t>la Recarga y mantenimiento</t>
        </is>
      </c>
      <c r="G824" t="inlineStr">
        <is>
          <t>01</t>
        </is>
      </c>
      <c r="H824" t="inlineStr">
        <is>
          <t>06 KG</t>
        </is>
      </c>
      <c r="I824" t="inlineStr">
        <is>
          <t>VIGENTE</t>
        </is>
      </c>
      <c r="J824" t="inlineStr">
        <is>
          <t>-</t>
        </is>
      </c>
      <c r="K824" t="inlineStr">
        <is>
          <t>SETIEMBRE 2023</t>
        </is>
      </c>
      <c r="L824" t="inlineStr">
        <is>
          <t>SETIEMBRE 2024</t>
        </is>
      </c>
      <c r="M824" t="inlineStr">
        <is>
          <t>P.Q.S TIPO ABC</t>
        </is>
      </c>
      <c r="N824" t="inlineStr">
        <is>
          <t>004025</t>
        </is>
      </c>
      <c r="O824" t="inlineStr">
        <is>
          <t>R</t>
        </is>
      </c>
      <c r="P824">
        <f>TRIM(N824)</f>
        <v/>
      </c>
    </row>
    <row r="825">
      <c r="A825" t="inlineStr">
        <is>
          <t>CO-001501</t>
        </is>
      </c>
      <c r="B825" t="inlineStr">
        <is>
          <t>FLOR PONCIANO</t>
        </is>
      </c>
      <c r="D825" t="inlineStr">
        <is>
          <t>MERCADO AÑO NUEVO - PUESTO 157</t>
        </is>
      </c>
      <c r="E825" t="inlineStr">
        <is>
          <t>Lima, 18 de Setiembre de 2023</t>
        </is>
      </c>
      <c r="F825" t="inlineStr">
        <is>
          <t>la Recarga y mantenimiento</t>
        </is>
      </c>
      <c r="G825" t="inlineStr">
        <is>
          <t>01</t>
        </is>
      </c>
      <c r="H825" t="inlineStr">
        <is>
          <t>06 KG</t>
        </is>
      </c>
      <c r="I825" t="inlineStr">
        <is>
          <t>VIGENTE</t>
        </is>
      </c>
      <c r="J825" t="inlineStr">
        <is>
          <t>-</t>
        </is>
      </c>
      <c r="K825" t="inlineStr">
        <is>
          <t>SETIEMBRE 2023</t>
        </is>
      </c>
      <c r="L825" t="inlineStr">
        <is>
          <t>SETIEMBRE 2024</t>
        </is>
      </c>
      <c r="M825" t="inlineStr">
        <is>
          <t>P.Q.S TIPO ABC</t>
        </is>
      </c>
      <c r="N825" t="inlineStr">
        <is>
          <t>S/N</t>
        </is>
      </c>
      <c r="O825" t="inlineStr">
        <is>
          <t>R</t>
        </is>
      </c>
      <c r="P825">
        <f>TRIM(N825)</f>
        <v/>
      </c>
    </row>
    <row r="826">
      <c r="A826" t="inlineStr">
        <is>
          <t>CO-001502</t>
        </is>
      </c>
      <c r="B826" t="inlineStr">
        <is>
          <t>FRANCISCA QUISPE</t>
        </is>
      </c>
      <c r="D826" t="inlineStr">
        <is>
          <t>MERCADO AÑO NUEVO - PUESTO 94</t>
        </is>
      </c>
      <c r="E826" t="inlineStr">
        <is>
          <t>Lima, 18 de Setiembre de 2023</t>
        </is>
      </c>
      <c r="F826" t="inlineStr">
        <is>
          <t>la Recarga y mantenimiento</t>
        </is>
      </c>
      <c r="G826" t="inlineStr">
        <is>
          <t>01</t>
        </is>
      </c>
      <c r="H826" t="inlineStr">
        <is>
          <t>06 KG</t>
        </is>
      </c>
      <c r="I826" t="inlineStr">
        <is>
          <t>VIGENTE</t>
        </is>
      </c>
      <c r="J826" t="e">
        <v>#VALUE!</v>
      </c>
      <c r="K826" t="inlineStr">
        <is>
          <t>SETIEMBRE 2023</t>
        </is>
      </c>
      <c r="L826" t="inlineStr">
        <is>
          <t>SETIEMBRE 2024</t>
        </is>
      </c>
      <c r="M826" t="inlineStr">
        <is>
          <t>P.Q.S TIPO ABC</t>
        </is>
      </c>
      <c r="N826" t="inlineStr">
        <is>
          <t>000314</t>
        </is>
      </c>
      <c r="O826" t="inlineStr">
        <is>
          <t>R</t>
        </is>
      </c>
      <c r="P826">
        <f>TRIM(N826)</f>
        <v/>
      </c>
    </row>
    <row r="827">
      <c r="A827" t="inlineStr">
        <is>
          <t>CO-001503</t>
        </is>
      </c>
      <c r="B827" t="inlineStr">
        <is>
          <t>JUDITH IZAGUIRRE</t>
        </is>
      </c>
      <c r="D827" t="inlineStr">
        <is>
          <t>MERCADO AÑO NUEVO - PUESTO 152</t>
        </is>
      </c>
      <c r="E827" t="inlineStr">
        <is>
          <t>Lima, 18 de Setiembre de 2023</t>
        </is>
      </c>
      <c r="F827" t="inlineStr">
        <is>
          <t>la Recarga y mantenimiento</t>
        </is>
      </c>
      <c r="G827" t="inlineStr">
        <is>
          <t>01</t>
        </is>
      </c>
      <c r="H827" t="inlineStr">
        <is>
          <t>06 KG</t>
        </is>
      </c>
      <c r="I827" t="inlineStr">
        <is>
          <t>VIGENTE</t>
        </is>
      </c>
      <c r="J827" t="inlineStr">
        <is>
          <t>-</t>
        </is>
      </c>
      <c r="K827" t="inlineStr">
        <is>
          <t>SETIEMBRE 2023</t>
        </is>
      </c>
      <c r="L827" t="inlineStr">
        <is>
          <t>SETIEMBRE 2024</t>
        </is>
      </c>
      <c r="M827" t="inlineStr">
        <is>
          <t>P.Q.S TIPO ABC</t>
        </is>
      </c>
      <c r="N827" t="inlineStr">
        <is>
          <t>002939</t>
        </is>
      </c>
      <c r="O827" t="inlineStr">
        <is>
          <t>R</t>
        </is>
      </c>
      <c r="P827">
        <f>TRIM(N827)</f>
        <v/>
      </c>
    </row>
    <row r="828">
      <c r="A828" t="inlineStr">
        <is>
          <t>CO-001504</t>
        </is>
      </c>
      <c r="B828" t="inlineStr">
        <is>
          <t xml:space="preserve">ALFONSO CAJADILLO </t>
        </is>
      </c>
      <c r="D828" t="inlineStr">
        <is>
          <t xml:space="preserve">MERCADO AÑO NUEVO - RENOVADORA DE CALZADO </t>
        </is>
      </c>
      <c r="E828" t="inlineStr">
        <is>
          <t>Lima, 18 de Setiembre de 2023</t>
        </is>
      </c>
      <c r="F828" t="inlineStr">
        <is>
          <t>la Recarga y mantenimiento</t>
        </is>
      </c>
      <c r="G828" t="inlineStr">
        <is>
          <t>01</t>
        </is>
      </c>
      <c r="H828" t="inlineStr">
        <is>
          <t>06 KG</t>
        </is>
      </c>
      <c r="I828" t="inlineStr">
        <is>
          <t>VIGENTE</t>
        </is>
      </c>
      <c r="J828" t="inlineStr">
        <is>
          <t>-</t>
        </is>
      </c>
      <c r="K828" t="inlineStr">
        <is>
          <t>SETIEMBRE 2023</t>
        </is>
      </c>
      <c r="L828" t="inlineStr">
        <is>
          <t>SETIEMBRE 2024</t>
        </is>
      </c>
      <c r="M828" t="inlineStr">
        <is>
          <t>P.Q.S TIPO ABC</t>
        </is>
      </c>
      <c r="N828" t="inlineStr">
        <is>
          <t>015843</t>
        </is>
      </c>
      <c r="O828" t="inlineStr">
        <is>
          <t>R</t>
        </is>
      </c>
      <c r="P828">
        <f>TRIM(N828)</f>
        <v/>
      </c>
    </row>
    <row r="829">
      <c r="A829" t="inlineStr">
        <is>
          <t>CO-001505</t>
        </is>
      </c>
      <c r="B829" t="inlineStr">
        <is>
          <t>BLANCA ESTELA GONZALES</t>
        </is>
      </c>
      <c r="D829" t="inlineStr">
        <is>
          <t>MERCADO AÑO NUEVO - PUESTO 182</t>
        </is>
      </c>
      <c r="E829" t="inlineStr">
        <is>
          <t>Lima, 18 de Setiembre de 2023</t>
        </is>
      </c>
      <c r="F829" t="inlineStr">
        <is>
          <t>la Recarga y mantenimiento</t>
        </is>
      </c>
      <c r="G829" t="inlineStr">
        <is>
          <t>01</t>
        </is>
      </c>
      <c r="H829" t="inlineStr">
        <is>
          <t>06 KG</t>
        </is>
      </c>
      <c r="I829" t="inlineStr">
        <is>
          <t>VIGENTE</t>
        </is>
      </c>
      <c r="J829" t="inlineStr">
        <is>
          <t>-</t>
        </is>
      </c>
      <c r="K829" t="inlineStr">
        <is>
          <t>SETIEMBRE 2023</t>
        </is>
      </c>
      <c r="L829" t="inlineStr">
        <is>
          <t>SETIEMBRE 2024</t>
        </is>
      </c>
      <c r="M829" t="inlineStr">
        <is>
          <t>P.Q.S TIPO ABC</t>
        </is>
      </c>
      <c r="N829" t="inlineStr">
        <is>
          <t>201106</t>
        </is>
      </c>
      <c r="O829" t="inlineStr">
        <is>
          <t>R</t>
        </is>
      </c>
      <c r="P829">
        <f>TRIM(N829)</f>
        <v/>
      </c>
    </row>
    <row r="830">
      <c r="A830" t="inlineStr">
        <is>
          <t>CO-001506</t>
        </is>
      </c>
      <c r="B830" t="inlineStr">
        <is>
          <t>ELENA QUIÑONES</t>
        </is>
      </c>
      <c r="D830" t="inlineStr">
        <is>
          <t>MERCADO AÑO NUEVO - PUESTO 193</t>
        </is>
      </c>
      <c r="E830" t="inlineStr">
        <is>
          <t>Lima, 18 de Setiembre de 2023</t>
        </is>
      </c>
      <c r="F830" t="inlineStr">
        <is>
          <t>la Recarga y mantenimiento</t>
        </is>
      </c>
      <c r="G830" t="inlineStr">
        <is>
          <t>01</t>
        </is>
      </c>
      <c r="H830" t="inlineStr">
        <is>
          <t>06 KG</t>
        </is>
      </c>
      <c r="I830" t="inlineStr">
        <is>
          <t>VIGENTE</t>
        </is>
      </c>
      <c r="J830" t="inlineStr">
        <is>
          <t>-</t>
        </is>
      </c>
      <c r="K830" t="inlineStr">
        <is>
          <t>SETIEMBRE 2023</t>
        </is>
      </c>
      <c r="L830" t="inlineStr">
        <is>
          <t>SETIEMBRE 2024</t>
        </is>
      </c>
      <c r="M830" t="inlineStr">
        <is>
          <t>P.Q.S TIPO ABC</t>
        </is>
      </c>
      <c r="N830" t="inlineStr">
        <is>
          <t>S/N</t>
        </is>
      </c>
      <c r="O830" t="inlineStr">
        <is>
          <t>R</t>
        </is>
      </c>
      <c r="P830">
        <f>TRIM(N830)</f>
        <v/>
      </c>
    </row>
    <row r="831">
      <c r="A831" t="inlineStr">
        <is>
          <t>CO-001507</t>
        </is>
      </c>
      <c r="B831" t="inlineStr">
        <is>
          <t>ELVIRA VEGA</t>
        </is>
      </c>
      <c r="D831" t="inlineStr">
        <is>
          <t>MERCADO AÑO NUEVO - PUESTO 175</t>
        </is>
      </c>
      <c r="E831" t="inlineStr">
        <is>
          <t>Lima, 18 de Setiembre de 2023</t>
        </is>
      </c>
      <c r="F831" t="inlineStr">
        <is>
          <t>la Recarga y mantenimiento</t>
        </is>
      </c>
      <c r="G831" t="inlineStr">
        <is>
          <t>01</t>
        </is>
      </c>
      <c r="H831" t="inlineStr">
        <is>
          <t>06 KG</t>
        </is>
      </c>
      <c r="I831" t="inlineStr">
        <is>
          <t>VIGENTE</t>
        </is>
      </c>
      <c r="J831" t="inlineStr">
        <is>
          <t>-</t>
        </is>
      </c>
      <c r="K831" t="inlineStr">
        <is>
          <t>SETIEMBRE 2023</t>
        </is>
      </c>
      <c r="L831" t="inlineStr">
        <is>
          <t>SETIEMBRE 2024</t>
        </is>
      </c>
      <c r="M831" t="inlineStr">
        <is>
          <t>P.Q.S TIPO ABC</t>
        </is>
      </c>
      <c r="N831" t="inlineStr">
        <is>
          <t>000866</t>
        </is>
      </c>
      <c r="O831" t="inlineStr">
        <is>
          <t>R</t>
        </is>
      </c>
      <c r="P831">
        <f>TRIM(N831)</f>
        <v/>
      </c>
    </row>
    <row r="832">
      <c r="A832" t="inlineStr">
        <is>
          <t>CO-001508</t>
        </is>
      </c>
      <c r="B832" t="inlineStr">
        <is>
          <t>HECTOR FRANCISCO</t>
        </is>
      </c>
      <c r="D832" t="inlineStr">
        <is>
          <t xml:space="preserve">MERCADO AÑO NUEVO - PUESTO 199 </t>
        </is>
      </c>
      <c r="E832" t="inlineStr">
        <is>
          <t>Lima, 18 de Setiembre de 2023</t>
        </is>
      </c>
      <c r="F832" t="inlineStr">
        <is>
          <t>la Recarga y mantenimiento</t>
        </is>
      </c>
      <c r="G832" t="inlineStr">
        <is>
          <t>01</t>
        </is>
      </c>
      <c r="H832" t="inlineStr">
        <is>
          <t>06 KG</t>
        </is>
      </c>
      <c r="I832" t="inlineStr">
        <is>
          <t>VIGENTE</t>
        </is>
      </c>
      <c r="J832" t="inlineStr">
        <is>
          <t>-</t>
        </is>
      </c>
      <c r="K832" t="inlineStr">
        <is>
          <t>SETIEMBRE 2023</t>
        </is>
      </c>
      <c r="L832" t="inlineStr">
        <is>
          <t>SETIEMBRE 2024</t>
        </is>
      </c>
      <c r="M832" t="inlineStr">
        <is>
          <t>P.Q.S TIPO ABC</t>
        </is>
      </c>
      <c r="N832" t="inlineStr">
        <is>
          <t>000286</t>
        </is>
      </c>
      <c r="O832" t="inlineStr">
        <is>
          <t>R</t>
        </is>
      </c>
      <c r="P832">
        <f>TRIM(N832)</f>
        <v/>
      </c>
    </row>
    <row r="833">
      <c r="A833" t="inlineStr">
        <is>
          <t>CO-001509</t>
        </is>
      </c>
      <c r="B833" t="inlineStr">
        <is>
          <t>LIDIA AYALA</t>
        </is>
      </c>
      <c r="D833" t="inlineStr">
        <is>
          <t>MERCADO AÑO NUEVO - PUESTO 200</t>
        </is>
      </c>
      <c r="E833" t="inlineStr">
        <is>
          <t>Lima, 18 de Setiembre de 2023</t>
        </is>
      </c>
      <c r="F833" t="inlineStr">
        <is>
          <t>la Recarga y mantenimiento</t>
        </is>
      </c>
      <c r="G833" t="inlineStr">
        <is>
          <t>-</t>
        </is>
      </c>
      <c r="H833" t="inlineStr">
        <is>
          <t>06 KG</t>
        </is>
      </c>
      <c r="I833" t="inlineStr">
        <is>
          <t>VIGENTE</t>
        </is>
      </c>
      <c r="J833" t="inlineStr">
        <is>
          <t>-</t>
        </is>
      </c>
      <c r="K833" t="inlineStr">
        <is>
          <t>SETIEMBRE 2023</t>
        </is>
      </c>
      <c r="L833" t="inlineStr">
        <is>
          <t>SETIEMBRE 2024</t>
        </is>
      </c>
      <c r="M833" t="inlineStr">
        <is>
          <t>P.Q.S.  TIPO ABC</t>
        </is>
      </c>
      <c r="N833" t="inlineStr">
        <is>
          <t>01/000115</t>
        </is>
      </c>
      <c r="O833" t="inlineStr">
        <is>
          <t>R</t>
        </is>
      </c>
      <c r="P833">
        <f>TRIM(N833)</f>
        <v/>
      </c>
    </row>
    <row r="834">
      <c r="A834" t="inlineStr">
        <is>
          <t>CO-001510</t>
        </is>
      </c>
      <c r="B834" t="inlineStr">
        <is>
          <t>MIGUEL ROJAS</t>
        </is>
      </c>
      <c r="D834" t="inlineStr">
        <is>
          <t>MERCADO AÑO NUEVO - PUESTO  207</t>
        </is>
      </c>
      <c r="E834" t="inlineStr">
        <is>
          <t>Lima, 18 de Setiembre de 2023</t>
        </is>
      </c>
      <c r="F834" t="inlineStr">
        <is>
          <t>la Recarga y mantenimiento</t>
        </is>
      </c>
      <c r="G834" t="inlineStr">
        <is>
          <t>01</t>
        </is>
      </c>
      <c r="H834" t="inlineStr">
        <is>
          <t>06 KG</t>
        </is>
      </c>
      <c r="I834" t="inlineStr">
        <is>
          <t>VIGENTE</t>
        </is>
      </c>
      <c r="J834" t="inlineStr">
        <is>
          <t>-</t>
        </is>
      </c>
      <c r="K834" t="inlineStr">
        <is>
          <t>SETIEMBRE 2023</t>
        </is>
      </c>
      <c r="L834" t="inlineStr">
        <is>
          <t>SETIEMBRE 2024</t>
        </is>
      </c>
      <c r="M834" t="inlineStr">
        <is>
          <t>P.Q.S TIPO ABC</t>
        </is>
      </c>
      <c r="N834" t="inlineStr">
        <is>
          <t>0000005</t>
        </is>
      </c>
      <c r="O834" t="inlineStr">
        <is>
          <t>R</t>
        </is>
      </c>
      <c r="P834">
        <f>TRIM(N834)</f>
        <v/>
      </c>
    </row>
    <row r="835">
      <c r="A835" t="inlineStr">
        <is>
          <t>CO-001511</t>
        </is>
      </c>
      <c r="B835" t="inlineStr">
        <is>
          <t>HUGO EZEQUIEL</t>
        </is>
      </c>
      <c r="D835" t="inlineStr">
        <is>
          <t>MERCADO AÑO NUEVO - PUESTO  219</t>
        </is>
      </c>
      <c r="E835" t="inlineStr">
        <is>
          <t>Lima, 18 de Setiembre de 2023</t>
        </is>
      </c>
      <c r="F835" t="inlineStr">
        <is>
          <t>la Recarga y mantenimiento</t>
        </is>
      </c>
      <c r="G835" t="inlineStr">
        <is>
          <t>01</t>
        </is>
      </c>
      <c r="H835" t="inlineStr">
        <is>
          <t>06 KG</t>
        </is>
      </c>
      <c r="I835" t="inlineStr">
        <is>
          <t>VIGENTE</t>
        </is>
      </c>
      <c r="J835" t="n">
        <v>2015</v>
      </c>
      <c r="K835" t="inlineStr">
        <is>
          <t>SETIEMBRE 2023</t>
        </is>
      </c>
      <c r="L835" t="inlineStr">
        <is>
          <t>SETIEMBRE 2024</t>
        </is>
      </c>
      <c r="M835" t="inlineStr">
        <is>
          <t>P.Q.S TIPO ABC</t>
        </is>
      </c>
      <c r="N835" t="inlineStr">
        <is>
          <t>000001</t>
        </is>
      </c>
      <c r="O835" t="inlineStr">
        <is>
          <t>R</t>
        </is>
      </c>
      <c r="P835">
        <f>TRIM(N835)</f>
        <v/>
      </c>
    </row>
    <row r="836">
      <c r="A836" t="inlineStr">
        <is>
          <t>CO-001512</t>
        </is>
      </c>
      <c r="B836" t="inlineStr">
        <is>
          <t>LEINA ROJAS P.</t>
        </is>
      </c>
      <c r="D836" t="inlineStr">
        <is>
          <t>MERCADO AÑO NUEVO - PUESTO  249</t>
        </is>
      </c>
      <c r="E836" t="inlineStr">
        <is>
          <t>Lima, 18 de Setiembre de 2023</t>
        </is>
      </c>
      <c r="F836" t="inlineStr">
        <is>
          <t>la Recarga y mantenimiento</t>
        </is>
      </c>
      <c r="G836" t="inlineStr">
        <is>
          <t>01</t>
        </is>
      </c>
      <c r="H836" t="inlineStr">
        <is>
          <t>06 KG</t>
        </is>
      </c>
      <c r="I836" t="inlineStr">
        <is>
          <t>VIGENTE</t>
        </is>
      </c>
      <c r="J836" t="inlineStr">
        <is>
          <t>-</t>
        </is>
      </c>
      <c r="K836" t="inlineStr">
        <is>
          <t>SETIEMBRE 2023</t>
        </is>
      </c>
      <c r="L836" t="inlineStr">
        <is>
          <t>SETIEMBRE 2024</t>
        </is>
      </c>
      <c r="M836" t="inlineStr">
        <is>
          <t>P.Q.S TIPO ABC</t>
        </is>
      </c>
      <c r="N836" t="inlineStr">
        <is>
          <t>000417</t>
        </is>
      </c>
      <c r="O836" t="inlineStr">
        <is>
          <t>R</t>
        </is>
      </c>
      <c r="P836">
        <f>TRIM(N836)</f>
        <v/>
      </c>
    </row>
    <row r="837">
      <c r="A837" t="inlineStr">
        <is>
          <t>CO-001513</t>
        </is>
      </c>
      <c r="B837" t="inlineStr">
        <is>
          <t>ROXANA VASQUEZ</t>
        </is>
      </c>
      <c r="D837" t="inlineStr">
        <is>
          <t>MERCADO AÑO NUEVO - PUESTO  246</t>
        </is>
      </c>
      <c r="E837" t="inlineStr">
        <is>
          <t>Lima, 18 de Setiembre de 2023</t>
        </is>
      </c>
      <c r="F837" t="inlineStr">
        <is>
          <t>la Recarga y mantenimiento</t>
        </is>
      </c>
      <c r="G837" t="inlineStr">
        <is>
          <t>01</t>
        </is>
      </c>
      <c r="H837" t="inlineStr">
        <is>
          <t>06 KG</t>
        </is>
      </c>
      <c r="I837" t="inlineStr">
        <is>
          <t>VIGENTE</t>
        </is>
      </c>
      <c r="J837" t="inlineStr">
        <is>
          <t>-</t>
        </is>
      </c>
      <c r="K837" t="inlineStr">
        <is>
          <t>SETIEMBRE 2023</t>
        </is>
      </c>
      <c r="L837" t="inlineStr">
        <is>
          <t>SETIEMBRE 2024</t>
        </is>
      </c>
      <c r="M837" t="inlineStr">
        <is>
          <t>P.Q.S TIPO ABC</t>
        </is>
      </c>
      <c r="N837" t="inlineStr">
        <is>
          <t>001156</t>
        </is>
      </c>
      <c r="O837" t="inlineStr">
        <is>
          <t>R</t>
        </is>
      </c>
      <c r="P837">
        <f>TRIM(N837)</f>
        <v/>
      </c>
    </row>
    <row r="838">
      <c r="A838" t="inlineStr">
        <is>
          <t>CO-001514</t>
        </is>
      </c>
      <c r="B838" t="inlineStr">
        <is>
          <t>CARLOS CABRERA</t>
        </is>
      </c>
      <c r="D838" t="inlineStr">
        <is>
          <t>MERCADO AÑO NUEVO - PUESTO  241</t>
        </is>
      </c>
      <c r="E838" t="inlineStr">
        <is>
          <t>Lima, 18 de Setiembre de 2023</t>
        </is>
      </c>
      <c r="F838" t="inlineStr">
        <is>
          <t>la Recarga y mantenimiento</t>
        </is>
      </c>
      <c r="G838" t="inlineStr">
        <is>
          <t>01</t>
        </is>
      </c>
      <c r="H838" t="inlineStr">
        <is>
          <t>06 KG</t>
        </is>
      </c>
      <c r="I838" t="inlineStr">
        <is>
          <t>VIGENTE</t>
        </is>
      </c>
      <c r="J838" t="inlineStr">
        <is>
          <t>-</t>
        </is>
      </c>
      <c r="K838" t="inlineStr">
        <is>
          <t>SETIEMBRE 2023</t>
        </is>
      </c>
      <c r="L838" t="inlineStr">
        <is>
          <t>SETIEMBRE 2024</t>
        </is>
      </c>
      <c r="M838" t="inlineStr">
        <is>
          <t>P.Q.S TIPO ABC</t>
        </is>
      </c>
      <c r="N838" t="inlineStr">
        <is>
          <t>000254</t>
        </is>
      </c>
      <c r="O838" t="inlineStr">
        <is>
          <t>R</t>
        </is>
      </c>
      <c r="P838">
        <f>TRIM(N838)</f>
        <v/>
      </c>
    </row>
    <row r="839">
      <c r="A839" t="inlineStr">
        <is>
          <t>CO-001515</t>
        </is>
      </c>
      <c r="B839" t="inlineStr">
        <is>
          <t>PAULINO TAQUIRE</t>
        </is>
      </c>
      <c r="D839" t="inlineStr">
        <is>
          <t>MERCADO AÑO NUEVO - PUESTO  292</t>
        </is>
      </c>
      <c r="E839" t="inlineStr">
        <is>
          <t>Lima, 18 de Setiembre de 2023</t>
        </is>
      </c>
      <c r="F839" t="inlineStr">
        <is>
          <t>la Recarga y mantenimiento</t>
        </is>
      </c>
      <c r="G839" t="inlineStr">
        <is>
          <t>01</t>
        </is>
      </c>
      <c r="H839" t="inlineStr">
        <is>
          <t>06 KG</t>
        </is>
      </c>
      <c r="I839" t="inlineStr">
        <is>
          <t>VIGENTE</t>
        </is>
      </c>
      <c r="J839" t="inlineStr">
        <is>
          <t>-</t>
        </is>
      </c>
      <c r="K839" t="inlineStr">
        <is>
          <t>SETIEMBRE 2023</t>
        </is>
      </c>
      <c r="L839" t="inlineStr">
        <is>
          <t>SETIEMBRE 2024</t>
        </is>
      </c>
      <c r="M839" t="inlineStr">
        <is>
          <t>P.Q.S TIPO ABC</t>
        </is>
      </c>
      <c r="N839" t="inlineStr">
        <is>
          <t>003176</t>
        </is>
      </c>
      <c r="O839" t="inlineStr">
        <is>
          <t>R</t>
        </is>
      </c>
      <c r="P839">
        <f>TRIM(N839)</f>
        <v/>
      </c>
    </row>
    <row r="840">
      <c r="A840" t="inlineStr">
        <is>
          <t>CO-001516</t>
        </is>
      </c>
      <c r="B840" t="inlineStr">
        <is>
          <t xml:space="preserve">ADOLFO RAMIREZ </t>
        </is>
      </c>
      <c r="D840" t="inlineStr">
        <is>
          <t>MERCADO AÑO NUEVO - PUESTO  288</t>
        </is>
      </c>
      <c r="E840" t="inlineStr">
        <is>
          <t>Lima, 18 de Setiembre de 2023</t>
        </is>
      </c>
      <c r="F840" t="inlineStr">
        <is>
          <t>la Recarga y mantenimiento</t>
        </is>
      </c>
      <c r="G840" t="inlineStr">
        <is>
          <t>01</t>
        </is>
      </c>
      <c r="H840" t="inlineStr">
        <is>
          <t>06 KG</t>
        </is>
      </c>
      <c r="I840" t="inlineStr">
        <is>
          <t>VIGENTE</t>
        </is>
      </c>
      <c r="J840" t="inlineStr">
        <is>
          <t>-</t>
        </is>
      </c>
      <c r="K840" t="inlineStr">
        <is>
          <t>SETIEMBRE 2023</t>
        </is>
      </c>
      <c r="L840" t="inlineStr">
        <is>
          <t>SETIEMBRE 2024</t>
        </is>
      </c>
      <c r="M840" t="inlineStr">
        <is>
          <t>P.Q.S TIPO ABC</t>
        </is>
      </c>
      <c r="N840" t="inlineStr">
        <is>
          <t>000584</t>
        </is>
      </c>
      <c r="O840" t="inlineStr">
        <is>
          <t>R</t>
        </is>
      </c>
      <c r="P840">
        <f>TRIM(N840)</f>
        <v/>
      </c>
    </row>
    <row r="841">
      <c r="A841" t="inlineStr">
        <is>
          <t>CO-001517</t>
        </is>
      </c>
      <c r="B841" t="inlineStr">
        <is>
          <t>LUCILA UGARTE</t>
        </is>
      </c>
      <c r="D841" t="inlineStr">
        <is>
          <t>MERCADO AÑO NUEVO - PUESTO  144</t>
        </is>
      </c>
      <c r="E841" t="inlineStr">
        <is>
          <t>Lima, 18 de Setiembre de 2023</t>
        </is>
      </c>
      <c r="F841" t="inlineStr">
        <is>
          <t>la Recarga y mantenimiento</t>
        </is>
      </c>
      <c r="G841" t="inlineStr">
        <is>
          <t>01</t>
        </is>
      </c>
      <c r="H841" t="inlineStr">
        <is>
          <t>06 KG</t>
        </is>
      </c>
      <c r="I841" t="inlineStr">
        <is>
          <t>VIGENTE</t>
        </is>
      </c>
      <c r="J841" t="inlineStr">
        <is>
          <t>-</t>
        </is>
      </c>
      <c r="K841" t="inlineStr">
        <is>
          <t>SETIEMBRE 2023</t>
        </is>
      </c>
      <c r="L841" t="inlineStr">
        <is>
          <t>SETIEMBRE 2024</t>
        </is>
      </c>
      <c r="M841" t="inlineStr">
        <is>
          <t>P.Q.S TIPO ABC</t>
        </is>
      </c>
      <c r="N841" t="inlineStr">
        <is>
          <t>000270</t>
        </is>
      </c>
      <c r="O841" t="inlineStr">
        <is>
          <t>R</t>
        </is>
      </c>
      <c r="P841">
        <f>TRIM(N841)</f>
        <v/>
      </c>
    </row>
    <row r="842">
      <c r="A842" t="inlineStr">
        <is>
          <t>CO-001518</t>
        </is>
      </c>
      <c r="B842" t="inlineStr">
        <is>
          <t>DORA CUTIPA A.</t>
        </is>
      </c>
      <c r="C842" t="inlineStr">
        <is>
          <t>06919028</t>
        </is>
      </c>
      <c r="D842" t="inlineStr">
        <is>
          <t>MERCADO AÑO NUEVO - PUESTO  310</t>
        </is>
      </c>
      <c r="E842" t="inlineStr">
        <is>
          <t>Lima, 18 de Setiembre de 2023</t>
        </is>
      </c>
      <c r="F842" t="inlineStr">
        <is>
          <t>la Recarga y mantenimiento</t>
        </is>
      </c>
      <c r="G842" t="inlineStr">
        <is>
          <t>01</t>
        </is>
      </c>
      <c r="H842" t="inlineStr">
        <is>
          <t>04 KG</t>
        </is>
      </c>
      <c r="I842" t="inlineStr">
        <is>
          <t>VIGENTE</t>
        </is>
      </c>
      <c r="J842" t="n">
        <v>2011</v>
      </c>
      <c r="K842" t="inlineStr">
        <is>
          <t>SETIEMBRE 2023</t>
        </is>
      </c>
      <c r="L842" t="inlineStr">
        <is>
          <t>SETIEMBRE 2024</t>
        </is>
      </c>
      <c r="M842" t="inlineStr">
        <is>
          <t>P.Q.S TIPO ABC</t>
        </is>
      </c>
      <c r="N842" t="inlineStr">
        <is>
          <t>000006</t>
        </is>
      </c>
      <c r="O842" t="inlineStr">
        <is>
          <t>R</t>
        </is>
      </c>
      <c r="P842">
        <f>TRIM(N842)</f>
        <v/>
      </c>
    </row>
    <row r="843">
      <c r="A843" t="inlineStr">
        <is>
          <t>CO-001519</t>
        </is>
      </c>
      <c r="B843" t="inlineStr">
        <is>
          <t>HILDA ROBLES</t>
        </is>
      </c>
      <c r="D843" t="inlineStr">
        <is>
          <t>MERCADO AÑO NUEVO - PUESTO  307</t>
        </is>
      </c>
      <c r="E843" t="inlineStr">
        <is>
          <t>Lima, 18 de Setiembre de 2023</t>
        </is>
      </c>
      <c r="F843" t="inlineStr">
        <is>
          <t>la Recarga y mantenimiento</t>
        </is>
      </c>
      <c r="G843" t="inlineStr">
        <is>
          <t>01</t>
        </is>
      </c>
      <c r="H843" t="inlineStr">
        <is>
          <t>06 KG</t>
        </is>
      </c>
      <c r="I843" t="inlineStr">
        <is>
          <t>VIGENTE</t>
        </is>
      </c>
      <c r="J843" t="inlineStr">
        <is>
          <t>-</t>
        </is>
      </c>
      <c r="K843" t="inlineStr">
        <is>
          <t>SETIEMBRE 2023</t>
        </is>
      </c>
      <c r="L843" t="inlineStr">
        <is>
          <t>SETIEMBRE 2024</t>
        </is>
      </c>
      <c r="M843" t="inlineStr">
        <is>
          <t>P.Q.S TIPO ABC</t>
        </is>
      </c>
      <c r="N843" t="inlineStr">
        <is>
          <t>377908</t>
        </is>
      </c>
      <c r="O843" t="inlineStr">
        <is>
          <t>R</t>
        </is>
      </c>
      <c r="P843">
        <f>TRIM(N843)</f>
        <v/>
      </c>
    </row>
    <row r="844">
      <c r="A844" t="inlineStr">
        <is>
          <t>CO-001520</t>
        </is>
      </c>
      <c r="B844" t="inlineStr">
        <is>
          <t>ALBERTO ROJAS</t>
        </is>
      </c>
      <c r="D844" t="inlineStr">
        <is>
          <t>MERCADO AÑO NUEVO - PUESTO  297</t>
        </is>
      </c>
      <c r="E844" t="inlineStr">
        <is>
          <t>Lima, 18 de Setiembre de 2023</t>
        </is>
      </c>
      <c r="F844" t="inlineStr">
        <is>
          <t>la Recarga y mantenimiento</t>
        </is>
      </c>
      <c r="G844" t="inlineStr">
        <is>
          <t>01</t>
        </is>
      </c>
      <c r="H844" t="inlineStr">
        <is>
          <t>04 KG</t>
        </is>
      </c>
      <c r="I844" t="inlineStr">
        <is>
          <t>VIGENTE</t>
        </is>
      </c>
      <c r="J844" t="inlineStr">
        <is>
          <t>-</t>
        </is>
      </c>
      <c r="K844" t="inlineStr">
        <is>
          <t>SETIEMBRE 2023</t>
        </is>
      </c>
      <c r="L844" t="inlineStr">
        <is>
          <t>SETIEMBRE 2024</t>
        </is>
      </c>
      <c r="M844" t="inlineStr">
        <is>
          <t>P.Q.S TIPO ABC</t>
        </is>
      </c>
      <c r="N844" t="inlineStr">
        <is>
          <t>000645</t>
        </is>
      </c>
      <c r="O844" t="inlineStr">
        <is>
          <t>R</t>
        </is>
      </c>
      <c r="P844">
        <f>TRIM(N844)</f>
        <v/>
      </c>
    </row>
    <row r="845">
      <c r="A845" t="inlineStr">
        <is>
          <t>CO-001521</t>
        </is>
      </c>
      <c r="B845" t="inlineStr">
        <is>
          <t>GENOVEVA CARRERA</t>
        </is>
      </c>
      <c r="D845" t="inlineStr">
        <is>
          <t>MERCADO AÑO NUEVO - PUESTO  125</t>
        </is>
      </c>
      <c r="E845" t="inlineStr">
        <is>
          <t>Lima, 18 de Setiembre de 2023</t>
        </is>
      </c>
      <c r="F845" t="inlineStr">
        <is>
          <t>la Recarga y mantenimiento</t>
        </is>
      </c>
      <c r="G845" t="inlineStr">
        <is>
          <t>01</t>
        </is>
      </c>
      <c r="H845" t="inlineStr">
        <is>
          <t>06 KG</t>
        </is>
      </c>
      <c r="I845" t="inlineStr">
        <is>
          <t>VIGENTE</t>
        </is>
      </c>
      <c r="J845" t="inlineStr">
        <is>
          <t>-</t>
        </is>
      </c>
      <c r="K845" t="inlineStr">
        <is>
          <t>SETIEMBRE 2023</t>
        </is>
      </c>
      <c r="L845" t="inlineStr">
        <is>
          <t>SETIEMBRE 2024</t>
        </is>
      </c>
      <c r="M845" t="inlineStr">
        <is>
          <t>P.Q.S TIPO ABC</t>
        </is>
      </c>
      <c r="N845" t="inlineStr">
        <is>
          <t>S/N</t>
        </is>
      </c>
      <c r="O845" t="inlineStr">
        <is>
          <t>R</t>
        </is>
      </c>
      <c r="P845">
        <f>TRIM(N845)</f>
        <v/>
      </c>
    </row>
    <row r="846">
      <c r="A846" t="inlineStr">
        <is>
          <t>CO-001522</t>
        </is>
      </c>
      <c r="B846" t="inlineStr">
        <is>
          <t>CARMEN YUNGO</t>
        </is>
      </c>
      <c r="D846" t="inlineStr">
        <is>
          <t>MERCADO AÑO NUEVO - PUESTO 127</t>
        </is>
      </c>
      <c r="E846" t="inlineStr">
        <is>
          <t>Lima, 18 de Setiembre de 2023</t>
        </is>
      </c>
      <c r="F846" t="inlineStr">
        <is>
          <t>la Recarga y mantenimiento</t>
        </is>
      </c>
      <c r="G846" t="inlineStr">
        <is>
          <t>01</t>
        </is>
      </c>
      <c r="H846" t="inlineStr">
        <is>
          <t>06 KG</t>
        </is>
      </c>
      <c r="I846" t="inlineStr">
        <is>
          <t>VIGENTE</t>
        </is>
      </c>
      <c r="J846" t="inlineStr">
        <is>
          <t>-</t>
        </is>
      </c>
      <c r="K846" t="inlineStr">
        <is>
          <t>SETIEMBRE 2023</t>
        </is>
      </c>
      <c r="L846" t="inlineStr">
        <is>
          <t>SETIEMBRE 2024</t>
        </is>
      </c>
      <c r="M846" t="inlineStr">
        <is>
          <t>P.Q.S TIPO ABC</t>
        </is>
      </c>
      <c r="N846" t="inlineStr">
        <is>
          <t>002935</t>
        </is>
      </c>
      <c r="O846" t="inlineStr">
        <is>
          <t>R</t>
        </is>
      </c>
      <c r="P846">
        <f>TRIM(N846)</f>
        <v/>
      </c>
    </row>
    <row r="847">
      <c r="A847" t="inlineStr">
        <is>
          <t>CO-001523</t>
        </is>
      </c>
      <c r="B847" t="inlineStr">
        <is>
          <t>FABIAN SALAZAR</t>
        </is>
      </c>
      <c r="D847" t="inlineStr">
        <is>
          <t>MERCADO AÑO NUEVO - PUESTO  133</t>
        </is>
      </c>
      <c r="E847" t="inlineStr">
        <is>
          <t>Lima, 18 de Setiembre de 2023</t>
        </is>
      </c>
      <c r="F847" t="inlineStr">
        <is>
          <t>la Recarga y mantenimiento</t>
        </is>
      </c>
      <c r="G847" t="inlineStr">
        <is>
          <t>01</t>
        </is>
      </c>
      <c r="H847" t="inlineStr">
        <is>
          <t>09 KG</t>
        </is>
      </c>
      <c r="I847" t="inlineStr">
        <is>
          <t>VIGENTE</t>
        </is>
      </c>
      <c r="J847" t="inlineStr">
        <is>
          <t>-</t>
        </is>
      </c>
      <c r="K847" t="inlineStr">
        <is>
          <t>SETIEMBRE 2023</t>
        </is>
      </c>
      <c r="L847" t="inlineStr">
        <is>
          <t>SETIEMBRE 2024</t>
        </is>
      </c>
      <c r="M847" t="inlineStr">
        <is>
          <t>P.Q.S TIPO ABC</t>
        </is>
      </c>
      <c r="N847" t="inlineStr">
        <is>
          <t>S/N</t>
        </is>
      </c>
      <c r="O847" t="inlineStr">
        <is>
          <t>R</t>
        </is>
      </c>
      <c r="P847">
        <f>TRIM(N847)</f>
        <v/>
      </c>
    </row>
    <row r="848">
      <c r="A848" t="inlineStr">
        <is>
          <t>CO-001524</t>
        </is>
      </c>
      <c r="B848" t="inlineStr">
        <is>
          <t>ROSARIO SALAZAR</t>
        </is>
      </c>
      <c r="D848" t="inlineStr">
        <is>
          <t>MERCADO AÑO NUEVO - PUESTO  135</t>
        </is>
      </c>
      <c r="E848" t="inlineStr">
        <is>
          <t>Lima, 18 de Setiembre de 2023</t>
        </is>
      </c>
      <c r="F848" t="inlineStr">
        <is>
          <t>la Recarga y mantenimiento</t>
        </is>
      </c>
      <c r="G848" t="inlineStr">
        <is>
          <t>01</t>
        </is>
      </c>
      <c r="H848" t="inlineStr">
        <is>
          <t>06 KG</t>
        </is>
      </c>
      <c r="I848" t="inlineStr">
        <is>
          <t>VIGENTE</t>
        </is>
      </c>
      <c r="J848" t="inlineStr">
        <is>
          <t>-</t>
        </is>
      </c>
      <c r="K848" t="inlineStr">
        <is>
          <t>SETIEMBRE 2023</t>
        </is>
      </c>
      <c r="L848" t="inlineStr">
        <is>
          <t>SETIEMBRE 2024</t>
        </is>
      </c>
      <c r="M848" t="inlineStr">
        <is>
          <t>P.Q.S TIPO ABC</t>
        </is>
      </c>
      <c r="N848" t="inlineStr">
        <is>
          <t>S/N</t>
        </is>
      </c>
      <c r="O848" t="inlineStr">
        <is>
          <t>R</t>
        </is>
      </c>
      <c r="P848">
        <f>TRIM(N848)</f>
        <v/>
      </c>
    </row>
    <row r="849">
      <c r="A849" t="inlineStr">
        <is>
          <t>CO-001525</t>
        </is>
      </c>
      <c r="B849" t="inlineStr">
        <is>
          <t>LUIS BENDEZÚ</t>
        </is>
      </c>
      <c r="D849" t="inlineStr">
        <is>
          <t>MERCADO AÑO NUEVO - PUESTO  136</t>
        </is>
      </c>
      <c r="E849" t="inlineStr">
        <is>
          <t>Lima, 18 de Setiembre de 2023</t>
        </is>
      </c>
      <c r="F849" t="inlineStr">
        <is>
          <t>la Recarga y mantenimiento</t>
        </is>
      </c>
      <c r="G849" t="inlineStr">
        <is>
          <t>01</t>
        </is>
      </c>
      <c r="H849" t="inlineStr">
        <is>
          <t>06KG</t>
        </is>
      </c>
      <c r="I849" t="inlineStr">
        <is>
          <t>VIGENTE</t>
        </is>
      </c>
      <c r="J849" t="inlineStr">
        <is>
          <t>-</t>
        </is>
      </c>
      <c r="K849" t="inlineStr">
        <is>
          <t>SETIEMBRE 2023</t>
        </is>
      </c>
      <c r="L849" t="inlineStr">
        <is>
          <t>SETIEMBRE 2024</t>
        </is>
      </c>
      <c r="M849" t="inlineStr">
        <is>
          <t>P.Q.S TIPO ABC</t>
        </is>
      </c>
      <c r="N849" t="inlineStr">
        <is>
          <t>000752</t>
        </is>
      </c>
      <c r="O849" t="inlineStr">
        <is>
          <t>R</t>
        </is>
      </c>
      <c r="P849">
        <f>TRIM(N849)</f>
        <v/>
      </c>
    </row>
    <row r="850">
      <c r="A850" t="inlineStr">
        <is>
          <t>CO-001526</t>
        </is>
      </c>
      <c r="B850" t="inlineStr">
        <is>
          <t>MERY HUAHUARIMA</t>
        </is>
      </c>
      <c r="D850" t="inlineStr">
        <is>
          <t>MERCADO AÑO NUEVO - PUESTO  139</t>
        </is>
      </c>
      <c r="E850" t="inlineStr">
        <is>
          <t>Lima, 18 de Setiembre de 2023</t>
        </is>
      </c>
      <c r="F850" t="inlineStr">
        <is>
          <t>la Recarga y mantenimiento</t>
        </is>
      </c>
      <c r="G850" t="inlineStr">
        <is>
          <t>01</t>
        </is>
      </c>
      <c r="H850" t="inlineStr">
        <is>
          <t>06 KG</t>
        </is>
      </c>
      <c r="I850" t="inlineStr">
        <is>
          <t>VIGENTE</t>
        </is>
      </c>
      <c r="K850" t="inlineStr">
        <is>
          <t>SETIEMBRE 2023</t>
        </is>
      </c>
      <c r="L850" t="inlineStr">
        <is>
          <t>SETIEMBRE 2024</t>
        </is>
      </c>
      <c r="M850" t="inlineStr">
        <is>
          <t>P.Q.S TIPO ABC</t>
        </is>
      </c>
      <c r="N850" t="inlineStr">
        <is>
          <t>001178</t>
        </is>
      </c>
      <c r="O850" t="inlineStr">
        <is>
          <t>R</t>
        </is>
      </c>
      <c r="P850">
        <f>TRIM(N850)</f>
        <v/>
      </c>
    </row>
    <row r="851">
      <c r="A851" t="inlineStr">
        <is>
          <t>CO-001527</t>
        </is>
      </c>
      <c r="B851" t="inlineStr">
        <is>
          <t>ELVIS SANDOVAL</t>
        </is>
      </c>
      <c r="D851" t="inlineStr">
        <is>
          <t>MERCADO AÑO NUEVO - PUESTO 32</t>
        </is>
      </c>
      <c r="E851" t="inlineStr">
        <is>
          <t>Lima, 18 de Setiembre de 2023</t>
        </is>
      </c>
      <c r="F851" t="inlineStr">
        <is>
          <t>la Recarga y mantenimiento</t>
        </is>
      </c>
      <c r="G851" t="inlineStr">
        <is>
          <t>-</t>
        </is>
      </c>
      <c r="H851" t="inlineStr">
        <is>
          <t>06 KG</t>
        </is>
      </c>
      <c r="I851" t="inlineStr">
        <is>
          <t>VIGENTE</t>
        </is>
      </c>
      <c r="J851" t="inlineStr">
        <is>
          <t>-</t>
        </is>
      </c>
      <c r="K851" t="inlineStr">
        <is>
          <t>SETIEMBRE 2023</t>
        </is>
      </c>
      <c r="L851" t="inlineStr">
        <is>
          <t>SETIEMBRE 2024</t>
        </is>
      </c>
      <c r="M851" t="inlineStr">
        <is>
          <t>P.Q.S.  TIPO ABC</t>
        </is>
      </c>
      <c r="N851" t="inlineStr">
        <is>
          <t>008036</t>
        </is>
      </c>
      <c r="O851" t="inlineStr">
        <is>
          <t>R</t>
        </is>
      </c>
      <c r="P851">
        <f>TRIM(N851)</f>
        <v/>
      </c>
    </row>
    <row r="852">
      <c r="A852" t="inlineStr">
        <is>
          <t>CO-001528</t>
        </is>
      </c>
      <c r="B852" t="inlineStr">
        <is>
          <t>ANGELICA DEL PILAR CARPIO</t>
        </is>
      </c>
      <c r="D852" t="inlineStr">
        <is>
          <t>MERCADO AÑO NUEVO - PUESTO  179</t>
        </is>
      </c>
      <c r="E852" t="inlineStr">
        <is>
          <t>Lima, 18 de Setiembre de 2023</t>
        </is>
      </c>
      <c r="F852" t="inlineStr">
        <is>
          <t>la Recarga y mantenimiento</t>
        </is>
      </c>
      <c r="G852" t="inlineStr">
        <is>
          <t>01</t>
        </is>
      </c>
      <c r="H852" t="inlineStr">
        <is>
          <t>06 KG</t>
        </is>
      </c>
      <c r="I852" t="inlineStr">
        <is>
          <t>2028</t>
        </is>
      </c>
      <c r="J852" t="n">
        <v>2023</v>
      </c>
      <c r="K852" t="inlineStr">
        <is>
          <t>SETIEMBRE 2023</t>
        </is>
      </c>
      <c r="L852" t="inlineStr">
        <is>
          <t>SETIEMBRE 2024</t>
        </is>
      </c>
      <c r="M852" t="inlineStr">
        <is>
          <t>P.Q.S TIPO ABC</t>
        </is>
      </c>
      <c r="N852" t="inlineStr">
        <is>
          <t>306031</t>
        </is>
      </c>
      <c r="O852" t="inlineStr">
        <is>
          <t>R</t>
        </is>
      </c>
      <c r="P852">
        <f>TRIM(N852)</f>
        <v/>
      </c>
    </row>
    <row r="853">
      <c r="A853" t="inlineStr">
        <is>
          <t>CO-001529</t>
        </is>
      </c>
      <c r="B853" t="inlineStr">
        <is>
          <t xml:space="preserve">MARIA BLANCO </t>
        </is>
      </c>
      <c r="D853" t="inlineStr">
        <is>
          <t>MERCADO AÑO NUEVO - PUESTO  27</t>
        </is>
      </c>
      <c r="E853" t="inlineStr">
        <is>
          <t>Lima, 18 de Setiembre de 2023</t>
        </is>
      </c>
      <c r="F853" t="inlineStr">
        <is>
          <t>la Recarga y mantenimiento</t>
        </is>
      </c>
      <c r="G853" t="inlineStr">
        <is>
          <t>01</t>
        </is>
      </c>
      <c r="H853" t="inlineStr">
        <is>
          <t>06 KG</t>
        </is>
      </c>
      <c r="I853" t="inlineStr">
        <is>
          <t>VIGENTE</t>
        </is>
      </c>
      <c r="J853" t="inlineStr">
        <is>
          <t>-</t>
        </is>
      </c>
      <c r="K853" t="inlineStr">
        <is>
          <t>SETIEMBRE 2023</t>
        </is>
      </c>
      <c r="L853" t="inlineStr">
        <is>
          <t>SETIEMBRE 2024</t>
        </is>
      </c>
      <c r="M853" t="inlineStr">
        <is>
          <t>P.Q.S TIPO ABC</t>
        </is>
      </c>
      <c r="N853" t="inlineStr">
        <is>
          <t>001584</t>
        </is>
      </c>
      <c r="O853" t="inlineStr">
        <is>
          <t>R</t>
        </is>
      </c>
      <c r="P853">
        <f>TRIM(N853)</f>
        <v/>
      </c>
    </row>
    <row r="854">
      <c r="A854" t="inlineStr">
        <is>
          <t>CO-001530</t>
        </is>
      </c>
      <c r="B854" t="inlineStr">
        <is>
          <t>JUAN CARLOS FERNANDEZ</t>
        </is>
      </c>
      <c r="D854" t="inlineStr">
        <is>
          <t>MERCADO AÑO NUEVO - PUESTO  91</t>
        </is>
      </c>
      <c r="E854" t="inlineStr">
        <is>
          <t>Lima, 18 de Setiembre de 2023</t>
        </is>
      </c>
      <c r="F854" t="inlineStr">
        <is>
          <t>la Recarga y mantenimiento</t>
        </is>
      </c>
      <c r="G854" t="inlineStr">
        <is>
          <t>01</t>
        </is>
      </c>
      <c r="H854" t="inlineStr">
        <is>
          <t>06 KG</t>
        </is>
      </c>
      <c r="I854" t="inlineStr">
        <is>
          <t>VIGENTE</t>
        </is>
      </c>
      <c r="J854" t="inlineStr">
        <is>
          <t>-</t>
        </is>
      </c>
      <c r="K854" t="inlineStr">
        <is>
          <t>SETIEMBRE 2023</t>
        </is>
      </c>
      <c r="L854" t="inlineStr">
        <is>
          <t>SETIEMBRE 2024</t>
        </is>
      </c>
      <c r="M854" t="inlineStr">
        <is>
          <t>P.Q.S TIPO ABC</t>
        </is>
      </c>
      <c r="N854" t="inlineStr">
        <is>
          <t>009146</t>
        </is>
      </c>
      <c r="O854" t="inlineStr">
        <is>
          <t>R</t>
        </is>
      </c>
      <c r="P854">
        <f>TRIM(N854)</f>
        <v/>
      </c>
    </row>
    <row r="855">
      <c r="A855" t="inlineStr">
        <is>
          <t>CO-001531</t>
        </is>
      </c>
      <c r="B855" t="inlineStr">
        <is>
          <t>AQUILINA VARGAS</t>
        </is>
      </c>
      <c r="D855" t="inlineStr">
        <is>
          <t>MERCADO AÑO NUEVO - PUESTO  82</t>
        </is>
      </c>
      <c r="E855" t="inlineStr">
        <is>
          <t>Lima, 18 de Setiembre de 2023</t>
        </is>
      </c>
      <c r="F855" t="inlineStr">
        <is>
          <t>la Recarga y mantenimiento</t>
        </is>
      </c>
      <c r="G855" t="inlineStr">
        <is>
          <t>01</t>
        </is>
      </c>
      <c r="H855" t="inlineStr">
        <is>
          <t>06 KG</t>
        </is>
      </c>
      <c r="I855" t="inlineStr">
        <is>
          <t>VIGENTE</t>
        </is>
      </c>
      <c r="J855" t="inlineStr">
        <is>
          <t>-</t>
        </is>
      </c>
      <c r="K855" t="inlineStr">
        <is>
          <t>SETIEMBRE 2023</t>
        </is>
      </c>
      <c r="L855" t="inlineStr">
        <is>
          <t>SETIEMBRE 2024</t>
        </is>
      </c>
      <c r="M855" t="inlineStr">
        <is>
          <t>P.Q.S TIPO ABC</t>
        </is>
      </c>
      <c r="N855" t="inlineStr">
        <is>
          <t>001232</t>
        </is>
      </c>
      <c r="O855" t="inlineStr">
        <is>
          <t>R</t>
        </is>
      </c>
      <c r="P855">
        <f>TRIM(N855)</f>
        <v/>
      </c>
    </row>
    <row r="856">
      <c r="A856" t="inlineStr">
        <is>
          <t>CO-001532</t>
        </is>
      </c>
      <c r="B856" t="inlineStr">
        <is>
          <t>JANETH RAZURI</t>
        </is>
      </c>
      <c r="D856" t="inlineStr">
        <is>
          <t>MERCADO AÑO NUEVO - TIENDA 22</t>
        </is>
      </c>
      <c r="E856" t="inlineStr">
        <is>
          <t>Lima, 18 de Setiembre de 2023</t>
        </is>
      </c>
      <c r="F856" t="inlineStr">
        <is>
          <t>la Recarga y mantenimiento</t>
        </is>
      </c>
      <c r="G856" t="inlineStr">
        <is>
          <t>01</t>
        </is>
      </c>
      <c r="H856" t="inlineStr">
        <is>
          <t>06 KG</t>
        </is>
      </c>
      <c r="I856" t="inlineStr">
        <is>
          <t>VIGENTE</t>
        </is>
      </c>
      <c r="J856" t="inlineStr">
        <is>
          <t>-</t>
        </is>
      </c>
      <c r="K856" t="inlineStr">
        <is>
          <t>SETIEMBRE 2023</t>
        </is>
      </c>
      <c r="L856" t="inlineStr">
        <is>
          <t>SETIEMBRE 2024</t>
        </is>
      </c>
      <c r="M856" t="inlineStr">
        <is>
          <t>P.Q.S TIPO ABC</t>
        </is>
      </c>
      <c r="N856" t="inlineStr">
        <is>
          <t>000005</t>
        </is>
      </c>
      <c r="O856" t="inlineStr">
        <is>
          <t>R</t>
        </is>
      </c>
      <c r="P856">
        <f>TRIM(N856)</f>
        <v/>
      </c>
    </row>
    <row r="857">
      <c r="A857" t="inlineStr">
        <is>
          <t>CO-001533</t>
        </is>
      </c>
      <c r="B857" t="inlineStr">
        <is>
          <t>MARIA CHUNGA</t>
        </is>
      </c>
      <c r="D857" t="inlineStr">
        <is>
          <t>MERCADO AÑO NUEVO - PUESTO  10</t>
        </is>
      </c>
      <c r="E857" t="inlineStr">
        <is>
          <t>Lima, 18 de Setiembre de 2023</t>
        </is>
      </c>
      <c r="F857" t="inlineStr">
        <is>
          <t>la Recarga y mantenimiento</t>
        </is>
      </c>
      <c r="G857" t="inlineStr">
        <is>
          <t>01</t>
        </is>
      </c>
      <c r="H857" t="inlineStr">
        <is>
          <t>06 KG</t>
        </is>
      </c>
      <c r="I857" t="inlineStr">
        <is>
          <t>VIGENTE</t>
        </is>
      </c>
      <c r="J857" t="inlineStr">
        <is>
          <t>-</t>
        </is>
      </c>
      <c r="K857" t="inlineStr">
        <is>
          <t>SETIEMBRE 2023</t>
        </is>
      </c>
      <c r="L857" t="inlineStr">
        <is>
          <t>SETIEMBRE 2024</t>
        </is>
      </c>
      <c r="M857" t="inlineStr">
        <is>
          <t>P.Q.S TIPO ABC</t>
        </is>
      </c>
      <c r="N857" t="inlineStr">
        <is>
          <t>002015</t>
        </is>
      </c>
      <c r="O857" t="inlineStr">
        <is>
          <t>R</t>
        </is>
      </c>
      <c r="P857">
        <f>TRIM(N857)</f>
        <v/>
      </c>
    </row>
    <row r="858">
      <c r="A858" t="inlineStr">
        <is>
          <t>CO-001534</t>
        </is>
      </c>
      <c r="B858" t="inlineStr">
        <is>
          <t>MERCERDES ORTIZ CASTILLO</t>
        </is>
      </c>
      <c r="D858" t="inlineStr">
        <is>
          <t>MERCADO AÑO NUEVO - PUESTO  39</t>
        </is>
      </c>
      <c r="E858" t="inlineStr">
        <is>
          <t>Lima, 18 de Setiembre de 2023</t>
        </is>
      </c>
      <c r="F858" t="inlineStr">
        <is>
          <t>la Recarga y mantenimiento</t>
        </is>
      </c>
      <c r="G858" t="inlineStr">
        <is>
          <t>01</t>
        </is>
      </c>
      <c r="H858" t="inlineStr">
        <is>
          <t>10 LBS</t>
        </is>
      </c>
      <c r="I858" t="inlineStr">
        <is>
          <t>VIGENTE</t>
        </is>
      </c>
      <c r="J858" t="inlineStr">
        <is>
          <t>-</t>
        </is>
      </c>
      <c r="K858" t="inlineStr">
        <is>
          <t>SETIEMBRE 2023</t>
        </is>
      </c>
      <c r="L858" t="inlineStr">
        <is>
          <t>SETIEMBRE 2024</t>
        </is>
      </c>
      <c r="M858" t="inlineStr">
        <is>
          <t>P.Q.S TIPO ABC</t>
        </is>
      </c>
      <c r="N858" t="inlineStr">
        <is>
          <t>BF-381439</t>
        </is>
      </c>
      <c r="O858" t="inlineStr">
        <is>
          <t>R</t>
        </is>
      </c>
      <c r="P858">
        <f>TRIM(N858)</f>
        <v/>
      </c>
    </row>
    <row r="859">
      <c r="A859" t="inlineStr">
        <is>
          <t>CO-001535</t>
        </is>
      </c>
      <c r="B859" t="inlineStr">
        <is>
          <t>NATALIA SALVADOR</t>
        </is>
      </c>
      <c r="D859" t="inlineStr">
        <is>
          <t>MERCADO AÑO NUEVO - PUESTO  34</t>
        </is>
      </c>
      <c r="E859" t="inlineStr">
        <is>
          <t>Lima, 18 de Setiembre de 2023</t>
        </is>
      </c>
      <c r="F859" t="inlineStr">
        <is>
          <t>la Recarga y mantenimiento</t>
        </is>
      </c>
      <c r="G859" t="inlineStr">
        <is>
          <t>01</t>
        </is>
      </c>
      <c r="H859" t="inlineStr">
        <is>
          <t>06 KG</t>
        </is>
      </c>
      <c r="I859" t="inlineStr">
        <is>
          <t>VIGENTE</t>
        </is>
      </c>
      <c r="J859" t="inlineStr">
        <is>
          <t>-</t>
        </is>
      </c>
      <c r="K859" t="inlineStr">
        <is>
          <t>SETIEMBRE 2023</t>
        </is>
      </c>
      <c r="L859" t="inlineStr">
        <is>
          <t>SETIEMBRE 2024</t>
        </is>
      </c>
      <c r="M859" t="inlineStr">
        <is>
          <t>P.Q.S TIPO ABC</t>
        </is>
      </c>
      <c r="N859" t="inlineStr">
        <is>
          <t>000080</t>
        </is>
      </c>
      <c r="O859" t="inlineStr">
        <is>
          <t>R</t>
        </is>
      </c>
      <c r="P859">
        <f>TRIM(N859)</f>
        <v/>
      </c>
    </row>
    <row r="860">
      <c r="A860" t="inlineStr">
        <is>
          <t>CO-001536</t>
        </is>
      </c>
      <c r="B860" t="inlineStr">
        <is>
          <t>SUSY MALPARTIDA</t>
        </is>
      </c>
      <c r="D860" t="inlineStr">
        <is>
          <t>MERCADO AÑO NUEVO - PUESTO  164</t>
        </is>
      </c>
      <c r="E860" t="inlineStr">
        <is>
          <t>Lima, 18 de Setiembre de 2023</t>
        </is>
      </c>
      <c r="F860" t="inlineStr">
        <is>
          <t>la Recarga y mantenimiento</t>
        </is>
      </c>
      <c r="G860" t="inlineStr">
        <is>
          <t>01</t>
        </is>
      </c>
      <c r="H860" t="inlineStr">
        <is>
          <t>06 KG</t>
        </is>
      </c>
      <c r="I860" t="inlineStr">
        <is>
          <t>VIGENTE</t>
        </is>
      </c>
      <c r="J860" t="inlineStr">
        <is>
          <t>-</t>
        </is>
      </c>
      <c r="K860" t="inlineStr">
        <is>
          <t>SETIEMBRE 2023</t>
        </is>
      </c>
      <c r="L860" t="inlineStr">
        <is>
          <t>SETIEMBRE 2024</t>
        </is>
      </c>
      <c r="M860" t="inlineStr">
        <is>
          <t>P.Q.S TIPO ABC</t>
        </is>
      </c>
      <c r="N860" t="inlineStr">
        <is>
          <t>S/N</t>
        </is>
      </c>
      <c r="O860" t="inlineStr">
        <is>
          <t>R</t>
        </is>
      </c>
      <c r="P860">
        <f>TRIM(N860)</f>
        <v/>
      </c>
    </row>
    <row r="861">
      <c r="A861" t="inlineStr">
        <is>
          <t>CO-001537</t>
        </is>
      </c>
      <c r="B861" t="inlineStr">
        <is>
          <t>LUISA NIETO</t>
        </is>
      </c>
      <c r="D861" t="inlineStr">
        <is>
          <t>MERCADO AÑO NUEVO - PUESTO  162</t>
        </is>
      </c>
      <c r="E861" t="inlineStr">
        <is>
          <t>Lima, 18 de Setiembre de 2023</t>
        </is>
      </c>
      <c r="F861" t="inlineStr">
        <is>
          <t>la Recarga y mantenimiento</t>
        </is>
      </c>
      <c r="G861" t="inlineStr">
        <is>
          <t>01</t>
        </is>
      </c>
      <c r="H861" t="inlineStr">
        <is>
          <t>06KG</t>
        </is>
      </c>
      <c r="I861" t="inlineStr">
        <is>
          <t>VIGENTE</t>
        </is>
      </c>
      <c r="J861" t="inlineStr">
        <is>
          <t>-</t>
        </is>
      </c>
      <c r="K861" t="inlineStr">
        <is>
          <t>SETIEMBRE 2023</t>
        </is>
      </c>
      <c r="L861" t="inlineStr">
        <is>
          <t>SETIEMBRE 2024</t>
        </is>
      </c>
      <c r="M861" t="inlineStr">
        <is>
          <t>P.Q.S TIPO ABC</t>
        </is>
      </c>
      <c r="N861" t="inlineStr">
        <is>
          <t>009367</t>
        </is>
      </c>
      <c r="O861" t="inlineStr">
        <is>
          <t>R</t>
        </is>
      </c>
      <c r="P861">
        <f>TRIM(N861)</f>
        <v/>
      </c>
    </row>
    <row r="862">
      <c r="A862" t="inlineStr">
        <is>
          <t>CO-001538</t>
        </is>
      </c>
      <c r="B862" t="inlineStr">
        <is>
          <t>SILVIA SANDOVAL</t>
        </is>
      </c>
      <c r="D862" t="inlineStr">
        <is>
          <t>MERCADO AÑO NUEVO - PUESTO  184</t>
        </is>
      </c>
      <c r="E862" t="inlineStr">
        <is>
          <t>Lima, 18 de Setiembre de 2023</t>
        </is>
      </c>
      <c r="F862" t="inlineStr">
        <is>
          <t>la Recarga y mantenimiento</t>
        </is>
      </c>
      <c r="G862" t="inlineStr">
        <is>
          <t>01</t>
        </is>
      </c>
      <c r="H862" t="inlineStr">
        <is>
          <t>06 KG</t>
        </is>
      </c>
      <c r="I862" t="inlineStr">
        <is>
          <t>VIGENTE</t>
        </is>
      </c>
      <c r="J862" t="inlineStr">
        <is>
          <t>-</t>
        </is>
      </c>
      <c r="K862" t="inlineStr">
        <is>
          <t>SETIEMBRE 2023</t>
        </is>
      </c>
      <c r="L862" t="inlineStr">
        <is>
          <t>SETIEMBRE 2024</t>
        </is>
      </c>
      <c r="M862" t="inlineStr">
        <is>
          <t>P.Q.S TIPO ABC</t>
        </is>
      </c>
      <c r="N862" t="inlineStr">
        <is>
          <t>000150</t>
        </is>
      </c>
      <c r="O862" t="inlineStr">
        <is>
          <t>R</t>
        </is>
      </c>
      <c r="P862">
        <f>TRIM(N862)</f>
        <v/>
      </c>
    </row>
    <row r="863">
      <c r="A863" t="inlineStr">
        <is>
          <t>CO-001539</t>
        </is>
      </c>
      <c r="B863" t="inlineStr">
        <is>
          <t>ANA MARIA ZAVALA</t>
        </is>
      </c>
      <c r="D863" t="inlineStr">
        <is>
          <t>MERCADO AÑO NUEVO - PUESTO  123</t>
        </is>
      </c>
      <c r="E863" t="inlineStr">
        <is>
          <t>Lima, 18 de Setiembre de 2023</t>
        </is>
      </c>
      <c r="F863" t="inlineStr">
        <is>
          <t>la Recarga y mantenimiento</t>
        </is>
      </c>
      <c r="G863" t="inlineStr">
        <is>
          <t>01</t>
        </is>
      </c>
      <c r="H863" t="inlineStr">
        <is>
          <t>06 KG</t>
        </is>
      </c>
      <c r="I863" t="inlineStr">
        <is>
          <t>VIGENTE</t>
        </is>
      </c>
      <c r="J863" t="inlineStr">
        <is>
          <t>-</t>
        </is>
      </c>
      <c r="K863" t="inlineStr">
        <is>
          <t>SETIEMBRE 2023</t>
        </is>
      </c>
      <c r="L863" t="inlineStr">
        <is>
          <t>SETIEMBRE 2024</t>
        </is>
      </c>
      <c r="M863" t="inlineStr">
        <is>
          <t>P.Q.S TIPO ABC</t>
        </is>
      </c>
      <c r="N863" t="inlineStr">
        <is>
          <t>002585</t>
        </is>
      </c>
      <c r="O863" t="inlineStr">
        <is>
          <t>R</t>
        </is>
      </c>
      <c r="P863">
        <f>TRIM(N863)</f>
        <v/>
      </c>
    </row>
    <row r="864">
      <c r="A864" t="inlineStr">
        <is>
          <t>CO-001540</t>
        </is>
      </c>
      <c r="B864" t="inlineStr">
        <is>
          <t>TERESA QUISPE</t>
        </is>
      </c>
      <c r="D864" t="inlineStr">
        <is>
          <t>MERCADO AÑO NUEVO - PUESTO  123-B</t>
        </is>
      </c>
      <c r="E864" t="inlineStr">
        <is>
          <t>Lima, 18 de Setiembre de 2023</t>
        </is>
      </c>
      <c r="F864" t="inlineStr">
        <is>
          <t>la Recarga y mantenimiento</t>
        </is>
      </c>
      <c r="G864" t="inlineStr">
        <is>
          <t>01</t>
        </is>
      </c>
      <c r="H864" t="inlineStr">
        <is>
          <t>06 KG</t>
        </is>
      </c>
      <c r="I864" t="inlineStr">
        <is>
          <t>VIGENTE</t>
        </is>
      </c>
      <c r="J864" t="inlineStr">
        <is>
          <t>-</t>
        </is>
      </c>
      <c r="K864" t="inlineStr">
        <is>
          <t>SETIEMBRE 2023</t>
        </is>
      </c>
      <c r="L864" t="inlineStr">
        <is>
          <t>SETIEMBRE 2024</t>
        </is>
      </c>
      <c r="M864" t="inlineStr">
        <is>
          <t>P.Q.S TIPO ABC</t>
        </is>
      </c>
      <c r="N864" t="inlineStr">
        <is>
          <t>000939</t>
        </is>
      </c>
      <c r="O864" t="inlineStr">
        <is>
          <t>R</t>
        </is>
      </c>
      <c r="P864">
        <f>TRIM(N864)</f>
        <v/>
      </c>
    </row>
    <row r="865">
      <c r="A865" t="inlineStr">
        <is>
          <t>CO-001541</t>
        </is>
      </c>
      <c r="B865" t="inlineStr">
        <is>
          <t>NORKA VARGAS</t>
        </is>
      </c>
      <c r="D865" t="inlineStr">
        <is>
          <t>MERCADO AÑO NUEVO - PUESTO  142</t>
        </is>
      </c>
      <c r="E865" t="inlineStr">
        <is>
          <t>Lima, 18 de Setiembre de 2023</t>
        </is>
      </c>
      <c r="F865" t="inlineStr">
        <is>
          <t>la Recarga y mantenimiento</t>
        </is>
      </c>
      <c r="G865" t="inlineStr">
        <is>
          <t>01</t>
        </is>
      </c>
      <c r="H865" t="inlineStr">
        <is>
          <t>06 KG</t>
        </is>
      </c>
      <c r="I865" t="inlineStr">
        <is>
          <t>VIGENTE</t>
        </is>
      </c>
      <c r="J865" t="inlineStr">
        <is>
          <t>-</t>
        </is>
      </c>
      <c r="K865" t="inlineStr">
        <is>
          <t>SETIEMBRE 2023</t>
        </is>
      </c>
      <c r="L865" t="inlineStr">
        <is>
          <t>SETIEMBRE 2024</t>
        </is>
      </c>
      <c r="M865" t="inlineStr">
        <is>
          <t>P.Q.S TIPO ABC</t>
        </is>
      </c>
      <c r="N865" t="inlineStr">
        <is>
          <t>000267</t>
        </is>
      </c>
      <c r="O865" t="inlineStr">
        <is>
          <t>R</t>
        </is>
      </c>
      <c r="P865">
        <f>TRIM(N865)</f>
        <v/>
      </c>
    </row>
    <row r="866">
      <c r="A866" t="inlineStr">
        <is>
          <t>CO-001542</t>
        </is>
      </c>
      <c r="B866" t="inlineStr">
        <is>
          <t>ADELINA GUZMAN  A.</t>
        </is>
      </c>
      <c r="D866" t="inlineStr">
        <is>
          <t>MERCADO AÑO NUEVO - PUESTO  109</t>
        </is>
      </c>
      <c r="E866" t="inlineStr">
        <is>
          <t>Lima, 18 de Setiembre de 2023</t>
        </is>
      </c>
      <c r="F866" t="inlineStr">
        <is>
          <t>la Recarga y mantenimiento</t>
        </is>
      </c>
      <c r="G866" t="inlineStr">
        <is>
          <t>01</t>
        </is>
      </c>
      <c r="H866" t="inlineStr">
        <is>
          <t>06 KG</t>
        </is>
      </c>
      <c r="I866" t="inlineStr">
        <is>
          <t>VIGENTE</t>
        </is>
      </c>
      <c r="J866" t="inlineStr">
        <is>
          <t>S/N</t>
        </is>
      </c>
      <c r="K866" t="inlineStr">
        <is>
          <t>SETIEMBRE 2023</t>
        </is>
      </c>
      <c r="L866" t="inlineStr">
        <is>
          <t>SETIEMBRE 2024</t>
        </is>
      </c>
      <c r="M866" t="inlineStr">
        <is>
          <t>P.Q.S TIPO ABC</t>
        </is>
      </c>
      <c r="N866" t="inlineStr">
        <is>
          <t>S/N</t>
        </is>
      </c>
      <c r="O866" t="inlineStr">
        <is>
          <t>R</t>
        </is>
      </c>
      <c r="P866">
        <f>TRIM(N866)</f>
        <v/>
      </c>
    </row>
    <row r="867">
      <c r="A867" t="inlineStr">
        <is>
          <t>CO-001543</t>
        </is>
      </c>
      <c r="B867" t="inlineStr">
        <is>
          <t xml:space="preserve">PAULA SOLANO </t>
        </is>
      </c>
      <c r="D867" t="inlineStr">
        <is>
          <t>MERCADO AÑO NUEVO - PUESTO  114</t>
        </is>
      </c>
      <c r="E867" t="inlineStr">
        <is>
          <t>Lima, 18 de Setiembre de 2023</t>
        </is>
      </c>
      <c r="F867" t="inlineStr">
        <is>
          <t>la Recarga y mantenimiento</t>
        </is>
      </c>
      <c r="G867" t="inlineStr">
        <is>
          <t>01</t>
        </is>
      </c>
      <c r="H867" t="inlineStr">
        <is>
          <t>06 KG</t>
        </is>
      </c>
      <c r="I867" t="inlineStr">
        <is>
          <t>VIGENTE</t>
        </is>
      </c>
      <c r="J867" t="n">
        <v>2013</v>
      </c>
      <c r="K867" t="inlineStr">
        <is>
          <t>SETIEMBRE 2023</t>
        </is>
      </c>
      <c r="L867" t="inlineStr">
        <is>
          <t>SETIEMBRE 2024</t>
        </is>
      </c>
      <c r="M867" t="inlineStr">
        <is>
          <t>P.Q.S TIPO ABC</t>
        </is>
      </c>
      <c r="N867" t="inlineStr">
        <is>
          <t>000178</t>
        </is>
      </c>
      <c r="O867" t="inlineStr">
        <is>
          <t>R</t>
        </is>
      </c>
      <c r="P867">
        <f>TRIM(N867)</f>
        <v/>
      </c>
    </row>
    <row r="868">
      <c r="A868" t="inlineStr">
        <is>
          <t>CO-001544</t>
        </is>
      </c>
      <c r="B868" t="inlineStr">
        <is>
          <t>LUIS CABEZA JARA</t>
        </is>
      </c>
      <c r="D868" t="inlineStr">
        <is>
          <t>MERCADO AÑO NUEVO - PUESTO  113</t>
        </is>
      </c>
      <c r="E868" t="inlineStr">
        <is>
          <t>Lima, 18 de Setiembre de 2023</t>
        </is>
      </c>
      <c r="F868" t="inlineStr">
        <is>
          <t>la Recarga y mantenimiento</t>
        </is>
      </c>
      <c r="G868" t="inlineStr">
        <is>
          <t>01</t>
        </is>
      </c>
      <c r="H868" t="inlineStr">
        <is>
          <t>06 KG</t>
        </is>
      </c>
      <c r="I868" t="inlineStr">
        <is>
          <t>VIGENTE</t>
        </is>
      </c>
      <c r="J868" t="inlineStr">
        <is>
          <t>S/N</t>
        </is>
      </c>
      <c r="K868" t="inlineStr">
        <is>
          <t>SETIEMBRE 2023</t>
        </is>
      </c>
      <c r="L868" t="inlineStr">
        <is>
          <t>SETIEMBRE 2024</t>
        </is>
      </c>
      <c r="M868" t="inlineStr">
        <is>
          <t>P.Q.S TIPO ABC</t>
        </is>
      </c>
      <c r="N868" t="inlineStr">
        <is>
          <t>002001</t>
        </is>
      </c>
      <c r="O868" t="inlineStr">
        <is>
          <t>R</t>
        </is>
      </c>
      <c r="P868">
        <f>TRIM(N868)</f>
        <v/>
      </c>
    </row>
    <row r="869">
      <c r="A869" t="inlineStr">
        <is>
          <t>CO-001545</t>
        </is>
      </c>
      <c r="B869" t="inlineStr">
        <is>
          <t>GRACIELA VEGA</t>
        </is>
      </c>
      <c r="D869" t="inlineStr">
        <is>
          <t>MERCADO AÑO NUEVO - PUESTO 220</t>
        </is>
      </c>
      <c r="E869" t="inlineStr">
        <is>
          <t>Lima, 18 de Setiembre de 2023</t>
        </is>
      </c>
      <c r="F869" t="inlineStr">
        <is>
          <t>la Recarga y mantenimiento</t>
        </is>
      </c>
      <c r="G869" t="inlineStr">
        <is>
          <t>01</t>
        </is>
      </c>
      <c r="H869" t="inlineStr">
        <is>
          <t>04 KG</t>
        </is>
      </c>
      <c r="I869" t="inlineStr">
        <is>
          <t>VIGENTE</t>
        </is>
      </c>
      <c r="J869" t="inlineStr">
        <is>
          <t>-</t>
        </is>
      </c>
      <c r="K869" t="inlineStr">
        <is>
          <t>SETIEMBRE 2023</t>
        </is>
      </c>
      <c r="L869" t="inlineStr">
        <is>
          <t>SETIEMBRE 2024</t>
        </is>
      </c>
      <c r="M869" t="inlineStr">
        <is>
          <t>P.Q.S TIPO ABC</t>
        </is>
      </c>
      <c r="N869" t="inlineStr">
        <is>
          <t>000148</t>
        </is>
      </c>
      <c r="O869" t="inlineStr">
        <is>
          <t>R</t>
        </is>
      </c>
      <c r="P869">
        <f>TRIM(N869)</f>
        <v/>
      </c>
    </row>
    <row r="870">
      <c r="A870" t="inlineStr">
        <is>
          <t>CO-001546</t>
        </is>
      </c>
      <c r="B870" t="inlineStr">
        <is>
          <t>MARIA OLANO</t>
        </is>
      </c>
      <c r="D870" t="inlineStr">
        <is>
          <t>MERCADO AÑO NUEVO - PUESTO  203</t>
        </is>
      </c>
      <c r="E870" t="inlineStr">
        <is>
          <t>Lima, 18 de Setiembre de 2023</t>
        </is>
      </c>
      <c r="F870" t="inlineStr">
        <is>
          <t>la Recarga y mantenimiento</t>
        </is>
      </c>
      <c r="G870" t="inlineStr">
        <is>
          <t>01</t>
        </is>
      </c>
      <c r="H870" t="inlineStr">
        <is>
          <t>06 KG</t>
        </is>
      </c>
      <c r="I870" t="inlineStr">
        <is>
          <t>VIGENTE</t>
        </is>
      </c>
      <c r="J870" t="n">
        <v>2013</v>
      </c>
      <c r="K870" t="inlineStr">
        <is>
          <t>SETIEMBRE 2023</t>
        </is>
      </c>
      <c r="L870" t="inlineStr">
        <is>
          <t>SETIEMBRE 2024</t>
        </is>
      </c>
      <c r="M870" t="inlineStr">
        <is>
          <t>P.Q.S TIPO ABC</t>
        </is>
      </c>
      <c r="N870" t="inlineStr">
        <is>
          <t>000146</t>
        </is>
      </c>
      <c r="O870" t="inlineStr">
        <is>
          <t>R</t>
        </is>
      </c>
      <c r="P870">
        <f>TRIM(N870)</f>
        <v/>
      </c>
    </row>
    <row r="871">
      <c r="A871" t="inlineStr">
        <is>
          <t>CO-001547</t>
        </is>
      </c>
      <c r="B871" t="inlineStr">
        <is>
          <t>JHONY ROMAN</t>
        </is>
      </c>
      <c r="D871" t="inlineStr">
        <is>
          <t>MERCADO AÑO NUEVO - TIENDA B</t>
        </is>
      </c>
      <c r="E871" t="inlineStr">
        <is>
          <t>Lima, 18 de Setiembre de 2023</t>
        </is>
      </c>
      <c r="F871" t="inlineStr">
        <is>
          <t>la Recarga y mantenimiento</t>
        </is>
      </c>
      <c r="G871" t="inlineStr">
        <is>
          <t>01</t>
        </is>
      </c>
      <c r="H871" t="inlineStr">
        <is>
          <t>06 KG</t>
        </is>
      </c>
      <c r="I871" t="inlineStr">
        <is>
          <t>VIGENTE</t>
        </is>
      </c>
      <c r="J871" t="inlineStr">
        <is>
          <t>-</t>
        </is>
      </c>
      <c r="K871" t="inlineStr">
        <is>
          <t>SETIEMBRE 2023</t>
        </is>
      </c>
      <c r="L871" t="inlineStr">
        <is>
          <t>SETIEMBRE 2024</t>
        </is>
      </c>
      <c r="M871" t="inlineStr">
        <is>
          <t>P.Q.S TIPO ABC</t>
        </is>
      </c>
      <c r="N871" t="inlineStr">
        <is>
          <t>000067</t>
        </is>
      </c>
      <c r="O871" t="inlineStr">
        <is>
          <t>R</t>
        </is>
      </c>
      <c r="P871">
        <f>TRIM(N871)</f>
        <v/>
      </c>
    </row>
    <row r="872">
      <c r="A872" t="inlineStr">
        <is>
          <t>CO-001548</t>
        </is>
      </c>
      <c r="B872" t="inlineStr">
        <is>
          <t>CARMEN CAMPOS</t>
        </is>
      </c>
      <c r="D872" t="inlineStr">
        <is>
          <t>MERCADO AÑO NUEVO - PUESTO  237</t>
        </is>
      </c>
      <c r="E872" t="inlineStr">
        <is>
          <t>Lima, 18 de Setiembre de 2023</t>
        </is>
      </c>
      <c r="F872" t="inlineStr">
        <is>
          <t>la Recarga y mantenimiento</t>
        </is>
      </c>
      <c r="G872" t="inlineStr">
        <is>
          <t>01</t>
        </is>
      </c>
      <c r="H872" t="inlineStr">
        <is>
          <t>06 KG</t>
        </is>
      </c>
      <c r="I872" t="inlineStr">
        <is>
          <t>VIGENTE</t>
        </is>
      </c>
      <c r="J872" t="inlineStr">
        <is>
          <t>-</t>
        </is>
      </c>
      <c r="K872" t="inlineStr">
        <is>
          <t>SETIEMBRE 2023</t>
        </is>
      </c>
      <c r="L872" t="inlineStr">
        <is>
          <t>SETIEMBRE 2024</t>
        </is>
      </c>
      <c r="M872" t="inlineStr">
        <is>
          <t>P.Q.S TIPO ABC</t>
        </is>
      </c>
      <c r="N872" t="inlineStr">
        <is>
          <t>005795</t>
        </is>
      </c>
      <c r="O872" t="inlineStr">
        <is>
          <t>R</t>
        </is>
      </c>
      <c r="P872">
        <f>TRIM(N872)</f>
        <v/>
      </c>
    </row>
    <row r="873">
      <c r="A873" t="inlineStr">
        <is>
          <t>CO-001549</t>
        </is>
      </c>
      <c r="B873" t="inlineStr">
        <is>
          <t>GONZALO GUADALUPE</t>
        </is>
      </c>
      <c r="D873" t="inlineStr">
        <is>
          <t>MERCADO AÑO NUEVO - PUESTO  239</t>
        </is>
      </c>
      <c r="E873" t="inlineStr">
        <is>
          <t>Lima, 18 de Setiembre de 2023</t>
        </is>
      </c>
      <c r="F873" t="inlineStr">
        <is>
          <t>la Recarga y mantenimiento</t>
        </is>
      </c>
      <c r="G873" t="inlineStr">
        <is>
          <t>01</t>
        </is>
      </c>
      <c r="H873" t="inlineStr">
        <is>
          <t>06 KG</t>
        </is>
      </c>
      <c r="I873" t="inlineStr">
        <is>
          <t>VIGENTE</t>
        </is>
      </c>
      <c r="J873" t="inlineStr">
        <is>
          <t>-</t>
        </is>
      </c>
      <c r="K873" t="inlineStr">
        <is>
          <t>SETIEMBRE 2023</t>
        </is>
      </c>
      <c r="L873" t="inlineStr">
        <is>
          <t>SETIEMBRE 2024</t>
        </is>
      </c>
      <c r="M873" t="inlineStr">
        <is>
          <t>P.Q.S TIPO ABC</t>
        </is>
      </c>
      <c r="N873" t="inlineStr">
        <is>
          <t>006242</t>
        </is>
      </c>
      <c r="O873" t="inlineStr">
        <is>
          <t>R</t>
        </is>
      </c>
      <c r="P873">
        <f>TRIM(N873)</f>
        <v/>
      </c>
    </row>
    <row r="874">
      <c r="A874" t="inlineStr">
        <is>
          <t>CO-001550</t>
        </is>
      </c>
      <c r="B874" t="inlineStr">
        <is>
          <t>EDWIN MATTA</t>
        </is>
      </c>
      <c r="D874" t="inlineStr">
        <is>
          <t>MERCADO AÑO NUEVO - PUESTO  257</t>
        </is>
      </c>
      <c r="E874" t="inlineStr">
        <is>
          <t>Lima, 18 de Setiembre de 2023</t>
        </is>
      </c>
      <c r="F874" t="inlineStr">
        <is>
          <t>la Recarga y mantenimiento</t>
        </is>
      </c>
      <c r="G874" t="inlineStr">
        <is>
          <t>01</t>
        </is>
      </c>
      <c r="H874" t="inlineStr">
        <is>
          <t>06 KG</t>
        </is>
      </c>
      <c r="I874" t="inlineStr">
        <is>
          <t>VIGENTE</t>
        </is>
      </c>
      <c r="J874" t="inlineStr">
        <is>
          <t>-</t>
        </is>
      </c>
      <c r="K874" t="inlineStr">
        <is>
          <t>SETIEMBRE 2023</t>
        </is>
      </c>
      <c r="L874" t="inlineStr">
        <is>
          <t>SETIEMBRE 2024</t>
        </is>
      </c>
      <c r="M874" t="inlineStr">
        <is>
          <t>P.Q.S TIPO ABC</t>
        </is>
      </c>
      <c r="N874" t="inlineStr">
        <is>
          <t>00249</t>
        </is>
      </c>
      <c r="O874" t="inlineStr">
        <is>
          <t>R</t>
        </is>
      </c>
      <c r="P874">
        <f>TRIM(N874)</f>
        <v/>
      </c>
    </row>
    <row r="875">
      <c r="A875" t="inlineStr">
        <is>
          <t>CO-001551</t>
        </is>
      </c>
      <c r="B875" t="inlineStr">
        <is>
          <t>VICENTE ZUÑIGA</t>
        </is>
      </c>
      <c r="D875" t="inlineStr">
        <is>
          <t>MERCADO AÑO NUEVO - PUESTO  251</t>
        </is>
      </c>
      <c r="E875" t="inlineStr">
        <is>
          <t>Lima, 18 de Setiembre de 2023</t>
        </is>
      </c>
      <c r="F875" t="inlineStr">
        <is>
          <t>la Recarga y mantenimiento</t>
        </is>
      </c>
      <c r="G875" t="inlineStr">
        <is>
          <t>01</t>
        </is>
      </c>
      <c r="H875" t="inlineStr">
        <is>
          <t>04 KG</t>
        </is>
      </c>
      <c r="I875" t="inlineStr">
        <is>
          <t>VIGENTE</t>
        </is>
      </c>
      <c r="J875" t="inlineStr">
        <is>
          <t>-</t>
        </is>
      </c>
      <c r="K875" t="inlineStr">
        <is>
          <t>SETIEMBRE 2023</t>
        </is>
      </c>
      <c r="L875" t="inlineStr">
        <is>
          <t>SETIEMBRE 2024</t>
        </is>
      </c>
      <c r="M875" t="inlineStr">
        <is>
          <t>P.Q.S TIPO ABC</t>
        </is>
      </c>
      <c r="N875" t="inlineStr">
        <is>
          <t>001416</t>
        </is>
      </c>
      <c r="O875" t="inlineStr">
        <is>
          <t>R</t>
        </is>
      </c>
      <c r="P875">
        <f>TRIM(N875)</f>
        <v/>
      </c>
    </row>
    <row r="876">
      <c r="A876" t="inlineStr">
        <is>
          <t>CO-001552</t>
        </is>
      </c>
      <c r="B876" t="inlineStr">
        <is>
          <t>JESSICA CASTILLO CHAQUILA</t>
        </is>
      </c>
      <c r="D876" t="inlineStr">
        <is>
          <t>MERCADO AÑO NUEVO - PUESTO  266</t>
        </is>
      </c>
      <c r="E876" t="inlineStr">
        <is>
          <t>Lima, 18 de Setiembre de 2023</t>
        </is>
      </c>
      <c r="F876" t="inlineStr">
        <is>
          <t>la Recarga y mantenimiento</t>
        </is>
      </c>
      <c r="G876" t="inlineStr">
        <is>
          <t>01</t>
        </is>
      </c>
      <c r="H876" t="inlineStr">
        <is>
          <t>06 KG</t>
        </is>
      </c>
      <c r="I876" t="inlineStr">
        <is>
          <t>VIGENTE</t>
        </is>
      </c>
      <c r="J876" t="inlineStr">
        <is>
          <t>-</t>
        </is>
      </c>
      <c r="K876" t="inlineStr">
        <is>
          <t>SETIEMBRE 2023</t>
        </is>
      </c>
      <c r="L876" t="inlineStr">
        <is>
          <t>SETIEMBRE 2024</t>
        </is>
      </c>
      <c r="M876" t="inlineStr">
        <is>
          <t>P.Q.S TIPO ABC</t>
        </is>
      </c>
      <c r="N876" t="inlineStr">
        <is>
          <t>S/N</t>
        </is>
      </c>
      <c r="O876" t="inlineStr">
        <is>
          <t>R</t>
        </is>
      </c>
      <c r="P876">
        <f>TRIM(N876)</f>
        <v/>
      </c>
    </row>
    <row r="877">
      <c r="A877" t="inlineStr">
        <is>
          <t>CO-001553</t>
        </is>
      </c>
      <c r="B877" t="inlineStr">
        <is>
          <t>JOSE ALBERTO FLOR</t>
        </is>
      </c>
      <c r="D877" t="inlineStr">
        <is>
          <t>MERCADO AÑO NUEVO - PUESTO  326</t>
        </is>
      </c>
      <c r="E877" t="inlineStr">
        <is>
          <t>Lima, 18 de Setiembre de 2023</t>
        </is>
      </c>
      <c r="F877" t="inlineStr">
        <is>
          <t>la Recarga y mantenimiento</t>
        </is>
      </c>
      <c r="G877" t="inlineStr">
        <is>
          <t>01</t>
        </is>
      </c>
      <c r="H877" t="inlineStr">
        <is>
          <t>06 KG</t>
        </is>
      </c>
      <c r="I877" t="inlineStr">
        <is>
          <t>VIGENTE</t>
        </is>
      </c>
      <c r="J877" t="inlineStr">
        <is>
          <t>-</t>
        </is>
      </c>
      <c r="K877" t="inlineStr">
        <is>
          <t>SETIEMBRE 2023</t>
        </is>
      </c>
      <c r="L877" t="inlineStr">
        <is>
          <t>SETIEMBRE 2024</t>
        </is>
      </c>
      <c r="M877" t="inlineStr">
        <is>
          <t>P.Q.S TIPO ABC</t>
        </is>
      </c>
      <c r="N877" t="inlineStr">
        <is>
          <t>000723</t>
        </is>
      </c>
      <c r="O877" t="inlineStr">
        <is>
          <t>R</t>
        </is>
      </c>
      <c r="P877">
        <f>TRIM(N877)</f>
        <v/>
      </c>
    </row>
    <row r="878">
      <c r="A878" t="inlineStr">
        <is>
          <t>CO-001554</t>
        </is>
      </c>
      <c r="B878" t="inlineStr">
        <is>
          <t>ELVIS BAYLON</t>
        </is>
      </c>
      <c r="D878" t="inlineStr">
        <is>
          <t>MERCADO AÑO NUEVO - PUESTO  313</t>
        </is>
      </c>
      <c r="E878" t="inlineStr">
        <is>
          <t>Lima, 18 de Setiembre de 2023</t>
        </is>
      </c>
      <c r="F878" t="inlineStr">
        <is>
          <t>la Recarga y mantenimiento</t>
        </is>
      </c>
      <c r="G878" t="inlineStr">
        <is>
          <t>01</t>
        </is>
      </c>
      <c r="H878" t="inlineStr">
        <is>
          <t>06 KG</t>
        </is>
      </c>
      <c r="I878" t="inlineStr">
        <is>
          <t>VIGENTE</t>
        </is>
      </c>
      <c r="J878" t="inlineStr">
        <is>
          <t>-</t>
        </is>
      </c>
      <c r="K878" t="inlineStr">
        <is>
          <t>SETIEMBRE 2023</t>
        </is>
      </c>
      <c r="L878" t="inlineStr">
        <is>
          <t>SETIEMBRE 2024</t>
        </is>
      </c>
      <c r="M878" t="inlineStr">
        <is>
          <t>P.Q.S TIPO ABC</t>
        </is>
      </c>
      <c r="N878" t="inlineStr">
        <is>
          <t>000287</t>
        </is>
      </c>
      <c r="O878" t="inlineStr">
        <is>
          <t>R</t>
        </is>
      </c>
      <c r="P878">
        <f>TRIM(N878)</f>
        <v/>
      </c>
    </row>
    <row r="879">
      <c r="A879" t="inlineStr">
        <is>
          <t>CO-001555</t>
        </is>
      </c>
      <c r="B879" t="inlineStr">
        <is>
          <t>TITO CRUZ CAMARENA</t>
        </is>
      </c>
      <c r="D879" t="inlineStr">
        <is>
          <t>MERCADO AÑO NUEVO - PUESTO  141</t>
        </is>
      </c>
      <c r="E879" t="inlineStr">
        <is>
          <t>Lima, 18 de Setiembre de 2023</t>
        </is>
      </c>
      <c r="F879" t="inlineStr">
        <is>
          <t>la Recarga y mantenimiento</t>
        </is>
      </c>
      <c r="G879" t="inlineStr">
        <is>
          <t>01</t>
        </is>
      </c>
      <c r="H879" t="inlineStr">
        <is>
          <t>06 KG</t>
        </is>
      </c>
      <c r="I879" t="inlineStr">
        <is>
          <t>VIGENTE</t>
        </is>
      </c>
      <c r="J879" t="inlineStr">
        <is>
          <t>-</t>
        </is>
      </c>
      <c r="K879" t="inlineStr">
        <is>
          <t>SETIEMBRE 2023</t>
        </is>
      </c>
      <c r="L879" t="inlineStr">
        <is>
          <t>SETIEMBRE 2024</t>
        </is>
      </c>
      <c r="M879" t="inlineStr">
        <is>
          <t>P.Q.S TIPO ABC</t>
        </is>
      </c>
      <c r="N879" t="inlineStr">
        <is>
          <t>010915</t>
        </is>
      </c>
      <c r="O879" t="inlineStr">
        <is>
          <t>R</t>
        </is>
      </c>
      <c r="P879">
        <f>TRIM(N879)</f>
        <v/>
      </c>
    </row>
    <row r="880">
      <c r="A880" t="inlineStr">
        <is>
          <t>CO-001556</t>
        </is>
      </c>
      <c r="B880" t="inlineStr">
        <is>
          <t>CARMEN VALENZUELA</t>
        </is>
      </c>
      <c r="D880" t="inlineStr">
        <is>
          <t>MERCADO AÑO NUEVO - PUESTO  314</t>
        </is>
      </c>
      <c r="E880" t="inlineStr">
        <is>
          <t>Lima, 18 de Setiembre de 2023</t>
        </is>
      </c>
      <c r="F880" t="inlineStr">
        <is>
          <t>la Recarga y mantenimiento</t>
        </is>
      </c>
      <c r="G880" t="inlineStr">
        <is>
          <t>01</t>
        </is>
      </c>
      <c r="H880" t="inlineStr">
        <is>
          <t>06 KG</t>
        </is>
      </c>
      <c r="I880" t="inlineStr">
        <is>
          <t>VIGENTE</t>
        </is>
      </c>
      <c r="J880" t="n">
        <v>2013</v>
      </c>
      <c r="K880" t="inlineStr">
        <is>
          <t>SETIEMBRE 2023</t>
        </is>
      </c>
      <c r="L880" t="inlineStr">
        <is>
          <t>SETIEMBRE 2024</t>
        </is>
      </c>
      <c r="M880" t="inlineStr">
        <is>
          <t>P.Q.S TIPO ABC</t>
        </is>
      </c>
      <c r="N880" t="inlineStr">
        <is>
          <t>00298</t>
        </is>
      </c>
      <c r="O880" t="inlineStr">
        <is>
          <t>R</t>
        </is>
      </c>
      <c r="P880">
        <f>TRIM(N880)</f>
        <v/>
      </c>
    </row>
    <row r="881">
      <c r="A881" t="inlineStr">
        <is>
          <t>CO-001557</t>
        </is>
      </c>
      <c r="B881" t="inlineStr">
        <is>
          <t>BEATRIZ MOSCOSO</t>
        </is>
      </c>
      <c r="D881" t="inlineStr">
        <is>
          <t>MERCADO AÑO NUEVO - PUESTO  124</t>
        </is>
      </c>
      <c r="E881" t="inlineStr">
        <is>
          <t>Lima, 18 de Setiembre de 2023</t>
        </is>
      </c>
      <c r="F881" t="inlineStr">
        <is>
          <t>la Recarga y mantenimiento</t>
        </is>
      </c>
      <c r="G881" t="inlineStr">
        <is>
          <t>01</t>
        </is>
      </c>
      <c r="H881" t="inlineStr">
        <is>
          <t>06 KG</t>
        </is>
      </c>
      <c r="I881" t="inlineStr">
        <is>
          <t>2026</t>
        </is>
      </c>
      <c r="J881" t="n">
        <v>2021</v>
      </c>
      <c r="K881" t="inlineStr">
        <is>
          <t>SETIEMBRE 2023</t>
        </is>
      </c>
      <c r="L881" t="inlineStr">
        <is>
          <t>SETIEMBRE 2024</t>
        </is>
      </c>
      <c r="M881" t="inlineStr">
        <is>
          <t>P.Q.S TIPO ABC</t>
        </is>
      </c>
      <c r="N881" t="inlineStr">
        <is>
          <t>017146</t>
        </is>
      </c>
      <c r="O881" t="inlineStr">
        <is>
          <t>R</t>
        </is>
      </c>
      <c r="P881">
        <f>TRIM(N881)</f>
        <v/>
      </c>
    </row>
    <row r="882">
      <c r="A882" t="inlineStr">
        <is>
          <t>CO-001558</t>
        </is>
      </c>
      <c r="B882" t="inlineStr">
        <is>
          <t>PETRONILA MAMANI  C.</t>
        </is>
      </c>
      <c r="D882" t="inlineStr">
        <is>
          <t>MERCADO AÑO NUEVO - PUESTO  38</t>
        </is>
      </c>
      <c r="E882" t="inlineStr">
        <is>
          <t>Lima, 18 de Setiembre de 2023</t>
        </is>
      </c>
      <c r="F882" t="inlineStr">
        <is>
          <t>la Recarga y mantenimiento</t>
        </is>
      </c>
      <c r="G882" t="inlineStr">
        <is>
          <t>01</t>
        </is>
      </c>
      <c r="H882" t="inlineStr">
        <is>
          <t>06 KG</t>
        </is>
      </c>
      <c r="I882" t="inlineStr">
        <is>
          <t>VIGENTE</t>
        </is>
      </c>
      <c r="J882" t="inlineStr">
        <is>
          <t>-</t>
        </is>
      </c>
      <c r="K882" t="inlineStr">
        <is>
          <t>SETIEMBRE 2023</t>
        </is>
      </c>
      <c r="L882" t="inlineStr">
        <is>
          <t>SETIEMBRE 2024</t>
        </is>
      </c>
      <c r="M882" t="inlineStr">
        <is>
          <t>P.Q.S TIPO ABC</t>
        </is>
      </c>
      <c r="N882" t="inlineStr">
        <is>
          <t>S/N</t>
        </is>
      </c>
      <c r="O882" t="inlineStr">
        <is>
          <t>R</t>
        </is>
      </c>
      <c r="P882">
        <f>TRIM(N882)</f>
        <v/>
      </c>
    </row>
    <row r="883">
      <c r="A883" t="inlineStr">
        <is>
          <t>CO-001559</t>
        </is>
      </c>
      <c r="B883" t="inlineStr">
        <is>
          <t>MARIA RAMIREZ</t>
        </is>
      </c>
      <c r="D883" t="inlineStr">
        <is>
          <t>MERCADO AÑO NUEVO - TIENDA I</t>
        </is>
      </c>
      <c r="E883" t="inlineStr">
        <is>
          <t>Lima, 18 de Setiembre de 2023</t>
        </is>
      </c>
      <c r="F883" t="inlineStr">
        <is>
          <t>la Recarga y mantenimiento</t>
        </is>
      </c>
      <c r="G883" t="inlineStr">
        <is>
          <t>01</t>
        </is>
      </c>
      <c r="H883" t="inlineStr">
        <is>
          <t>06 KG</t>
        </is>
      </c>
      <c r="I883" t="inlineStr">
        <is>
          <t>2024</t>
        </is>
      </c>
      <c r="J883" t="n">
        <v>2019</v>
      </c>
      <c r="K883" t="inlineStr">
        <is>
          <t>SETIEMBRE 2023</t>
        </is>
      </c>
      <c r="L883" t="inlineStr">
        <is>
          <t>SETIEMBRE 2024</t>
        </is>
      </c>
      <c r="M883" t="inlineStr">
        <is>
          <t>P.Q.S TIPO ABC</t>
        </is>
      </c>
      <c r="N883" t="inlineStr">
        <is>
          <t>033723</t>
        </is>
      </c>
      <c r="O883" t="inlineStr">
        <is>
          <t>R</t>
        </is>
      </c>
      <c r="P883">
        <f>TRIM(N883)</f>
        <v/>
      </c>
    </row>
    <row r="884">
      <c r="A884" t="inlineStr">
        <is>
          <t>CO-001560</t>
        </is>
      </c>
      <c r="B884" t="inlineStr">
        <is>
          <t>VICENTA HUAMAN</t>
        </is>
      </c>
      <c r="D884" t="inlineStr">
        <is>
          <t>MERCADO AÑO NUEVO - PUESTO  197</t>
        </is>
      </c>
      <c r="E884" t="inlineStr">
        <is>
          <t>Lima, 18 de Setiembre de 2023</t>
        </is>
      </c>
      <c r="F884" t="inlineStr">
        <is>
          <t>la Recarga y mantenimiento</t>
        </is>
      </c>
      <c r="G884" t="inlineStr">
        <is>
          <t>01</t>
        </is>
      </c>
      <c r="H884" t="inlineStr">
        <is>
          <t>06 KG</t>
        </is>
      </c>
      <c r="I884" t="inlineStr">
        <is>
          <t>VIGENTE</t>
        </is>
      </c>
      <c r="J884" t="n">
        <v>2013</v>
      </c>
      <c r="K884" t="inlineStr">
        <is>
          <t>SETIEMBRE 2023</t>
        </is>
      </c>
      <c r="L884" t="inlineStr">
        <is>
          <t>SETIEMBRE 2024</t>
        </is>
      </c>
      <c r="M884" t="inlineStr">
        <is>
          <t>P.Q.S TIPO ABC</t>
        </is>
      </c>
      <c r="N884" t="inlineStr">
        <is>
          <t>000245</t>
        </is>
      </c>
      <c r="O884" t="inlineStr">
        <is>
          <t>R</t>
        </is>
      </c>
      <c r="P884">
        <f>TRIM(N884)</f>
        <v/>
      </c>
    </row>
    <row r="885">
      <c r="A885" t="inlineStr">
        <is>
          <t>CO-001561</t>
        </is>
      </c>
      <c r="B885" t="inlineStr">
        <is>
          <t>LIZ MONTALVO</t>
        </is>
      </c>
      <c r="D885" t="inlineStr">
        <is>
          <t>MERCADO AÑO NUEVO - PUESTO  18</t>
        </is>
      </c>
      <c r="E885" t="inlineStr">
        <is>
          <t>Lima, 18 de Setiembre de 2023</t>
        </is>
      </c>
      <c r="F885" t="inlineStr">
        <is>
          <t>la Recarga y mantenimiento</t>
        </is>
      </c>
      <c r="G885" t="inlineStr">
        <is>
          <t>01</t>
        </is>
      </c>
      <c r="H885" t="inlineStr">
        <is>
          <t>06 KG</t>
        </is>
      </c>
      <c r="I885" t="inlineStr">
        <is>
          <t>2024</t>
        </is>
      </c>
      <c r="J885" t="n">
        <v>2019</v>
      </c>
      <c r="K885" t="inlineStr">
        <is>
          <t>SETIEMBRE 2023</t>
        </is>
      </c>
      <c r="L885" t="inlineStr">
        <is>
          <t>SETIEMBRE 2024</t>
        </is>
      </c>
      <c r="M885" t="inlineStr">
        <is>
          <t>P.Q.S TIPO ABC</t>
        </is>
      </c>
      <c r="N885" t="inlineStr">
        <is>
          <t>002764</t>
        </is>
      </c>
      <c r="O885" t="inlineStr">
        <is>
          <t>R</t>
        </is>
      </c>
      <c r="P885">
        <f>TRIM(N885)</f>
        <v/>
      </c>
    </row>
    <row r="886">
      <c r="A886" t="inlineStr">
        <is>
          <t>CO-001562</t>
        </is>
      </c>
      <c r="B886" t="inlineStr">
        <is>
          <t>MARIA HUANCA</t>
        </is>
      </c>
      <c r="D886" t="inlineStr">
        <is>
          <t>MERCADO AÑO NUEVO - PUESTO  76</t>
        </is>
      </c>
      <c r="E886" t="inlineStr">
        <is>
          <t>Lima, 18 de Setiembre de 2023</t>
        </is>
      </c>
      <c r="F886" t="inlineStr">
        <is>
          <t>la Recarga y mantenimiento</t>
        </is>
      </c>
      <c r="G886" t="inlineStr">
        <is>
          <t>01</t>
        </is>
      </c>
      <c r="H886" t="inlineStr">
        <is>
          <t>06 KG</t>
        </is>
      </c>
      <c r="I886" t="inlineStr">
        <is>
          <t>VIGENTE</t>
        </is>
      </c>
      <c r="J886" t="inlineStr">
        <is>
          <t>-</t>
        </is>
      </c>
      <c r="K886" t="inlineStr">
        <is>
          <t>SETIEMBRE 2023</t>
        </is>
      </c>
      <c r="L886" t="inlineStr">
        <is>
          <t>SETIEMBRE 2024</t>
        </is>
      </c>
      <c r="M886" t="inlineStr">
        <is>
          <t>P.Q.S TIPO ABC</t>
        </is>
      </c>
      <c r="N886" t="inlineStr">
        <is>
          <t>S/N</t>
        </is>
      </c>
      <c r="O886" t="inlineStr">
        <is>
          <t>R</t>
        </is>
      </c>
      <c r="P886">
        <f>TRIM(N886)</f>
        <v/>
      </c>
    </row>
    <row r="887">
      <c r="A887" t="inlineStr">
        <is>
          <t>CO-001563</t>
        </is>
      </c>
      <c r="B887" t="inlineStr">
        <is>
          <t>PABLO TRUJILLO</t>
        </is>
      </c>
      <c r="D887" t="inlineStr">
        <is>
          <t xml:space="preserve">MERCADO AÑO NUEVO - PUESTO  79 </t>
        </is>
      </c>
      <c r="E887" t="inlineStr">
        <is>
          <t>Lima, 18 de Setiembre de 2023</t>
        </is>
      </c>
      <c r="F887" t="inlineStr">
        <is>
          <t>la Recarga y mantenimiento</t>
        </is>
      </c>
      <c r="G887" t="inlineStr">
        <is>
          <t>01</t>
        </is>
      </c>
      <c r="H887" t="inlineStr">
        <is>
          <t>06 KG</t>
        </is>
      </c>
      <c r="I887" t="inlineStr">
        <is>
          <t>VIGENTE</t>
        </is>
      </c>
      <c r="J887" t="n">
        <v>2015</v>
      </c>
      <c r="K887" t="inlineStr">
        <is>
          <t>SETIEMBRE 2023</t>
        </is>
      </c>
      <c r="L887" t="inlineStr">
        <is>
          <t>SETIEMBRE 2024</t>
        </is>
      </c>
      <c r="M887" t="inlineStr">
        <is>
          <t>P.Q.S TIPO ABC</t>
        </is>
      </c>
      <c r="N887" t="inlineStr">
        <is>
          <t>000010</t>
        </is>
      </c>
      <c r="O887" t="inlineStr">
        <is>
          <t>R</t>
        </is>
      </c>
      <c r="P887">
        <f>TRIM(N887)</f>
        <v/>
      </c>
    </row>
    <row r="888">
      <c r="A888" t="inlineStr">
        <is>
          <t>CO-001564</t>
        </is>
      </c>
      <c r="B888" t="inlineStr">
        <is>
          <t>VICTORIA TRUJILLO</t>
        </is>
      </c>
      <c r="D888" t="inlineStr">
        <is>
          <t xml:space="preserve">MERCADO AÑO NUEVO - PUESTO  81 </t>
        </is>
      </c>
      <c r="E888" t="inlineStr">
        <is>
          <t>Lima, 18 de Setiembre de 2023</t>
        </is>
      </c>
      <c r="F888" t="inlineStr">
        <is>
          <t>la Recarga y mantenimiento</t>
        </is>
      </c>
      <c r="G888" t="inlineStr">
        <is>
          <t>01</t>
        </is>
      </c>
      <c r="H888" t="inlineStr">
        <is>
          <t>06 KG</t>
        </is>
      </c>
      <c r="I888" t="inlineStr">
        <is>
          <t>VIGENTE</t>
        </is>
      </c>
      <c r="J888" t="n">
        <v>2011</v>
      </c>
      <c r="K888" t="inlineStr">
        <is>
          <t>SETIEMBRE 2023</t>
        </is>
      </c>
      <c r="L888" t="inlineStr">
        <is>
          <t>SETIEMBRE 2024</t>
        </is>
      </c>
      <c r="M888" t="inlineStr">
        <is>
          <t>P.Q.S TIPO ABC</t>
        </is>
      </c>
      <c r="N888" t="inlineStr">
        <is>
          <t>000009</t>
        </is>
      </c>
      <c r="O888" t="inlineStr">
        <is>
          <t>R</t>
        </is>
      </c>
      <c r="P888">
        <f>TRIM(N888)</f>
        <v/>
      </c>
    </row>
    <row r="889">
      <c r="A889" t="inlineStr">
        <is>
          <t>CO-001565</t>
        </is>
      </c>
      <c r="B889" t="inlineStr">
        <is>
          <t>VICTOR HUGO AROTUMA</t>
        </is>
      </c>
      <c r="D889" t="inlineStr">
        <is>
          <t>MERCADO AÑO NUEVO - PUESTO  92</t>
        </is>
      </c>
      <c r="E889" t="inlineStr">
        <is>
          <t>Lima, 18 de Setiembre de 2023</t>
        </is>
      </c>
      <c r="F889" t="inlineStr">
        <is>
          <t>la Recarga y mantenimiento</t>
        </is>
      </c>
      <c r="G889" t="inlineStr">
        <is>
          <t>01</t>
        </is>
      </c>
      <c r="H889" t="inlineStr">
        <is>
          <t>06 KG</t>
        </is>
      </c>
      <c r="I889" t="inlineStr">
        <is>
          <t>VIGENTE</t>
        </is>
      </c>
      <c r="J889" t="inlineStr">
        <is>
          <t>-</t>
        </is>
      </c>
      <c r="K889" t="inlineStr">
        <is>
          <t>SETIEMBRE 2023</t>
        </is>
      </c>
      <c r="L889" t="inlineStr">
        <is>
          <t>SETIEMBRE 2024</t>
        </is>
      </c>
      <c r="M889" t="inlineStr">
        <is>
          <t>P.Q.S TIPO ABC</t>
        </is>
      </c>
      <c r="N889" t="inlineStr">
        <is>
          <t>000090</t>
        </is>
      </c>
      <c r="O889" t="inlineStr">
        <is>
          <t>R</t>
        </is>
      </c>
      <c r="P889">
        <f>TRIM(N889)</f>
        <v/>
      </c>
    </row>
    <row r="890">
      <c r="A890" t="inlineStr">
        <is>
          <t>CO-001566</t>
        </is>
      </c>
      <c r="B890" t="inlineStr">
        <is>
          <t>TERESA CALDERON</t>
        </is>
      </c>
      <c r="D890" t="inlineStr">
        <is>
          <t>MERCADO AÑO NUEVO - PUESTO  234</t>
        </is>
      </c>
      <c r="E890" t="inlineStr">
        <is>
          <t>Lima, 18 de Setiembre de 2023</t>
        </is>
      </c>
      <c r="F890" t="inlineStr">
        <is>
          <t>la Recarga y mantenimiento</t>
        </is>
      </c>
      <c r="G890" t="inlineStr">
        <is>
          <t>01</t>
        </is>
      </c>
      <c r="H890" t="inlineStr">
        <is>
          <t>06 KG</t>
        </is>
      </c>
      <c r="I890" t="inlineStr">
        <is>
          <t>VIGENTE</t>
        </is>
      </c>
      <c r="J890" t="inlineStr">
        <is>
          <t>-</t>
        </is>
      </c>
      <c r="K890" t="inlineStr">
        <is>
          <t>SETIEMBRE 2023</t>
        </is>
      </c>
      <c r="L890" t="inlineStr">
        <is>
          <t>SETIEMBRE 2024</t>
        </is>
      </c>
      <c r="M890" t="inlineStr">
        <is>
          <t>P.Q.S TIPO ABC</t>
        </is>
      </c>
      <c r="N890" t="inlineStr">
        <is>
          <t>000928</t>
        </is>
      </c>
      <c r="O890" t="inlineStr">
        <is>
          <t>R</t>
        </is>
      </c>
      <c r="P890">
        <f>TRIM(N890)</f>
        <v/>
      </c>
    </row>
    <row r="891">
      <c r="A891" t="inlineStr">
        <is>
          <t>CO-001567</t>
        </is>
      </c>
      <c r="B891" t="inlineStr">
        <is>
          <t>LAURA CARDENAS</t>
        </is>
      </c>
      <c r="D891" t="inlineStr">
        <is>
          <t>MERCADO AÑO NUEVO - PUESTO  215</t>
        </is>
      </c>
      <c r="E891" t="inlineStr">
        <is>
          <t>Lima, 18 de Setiembre de 2023</t>
        </is>
      </c>
      <c r="F891" t="inlineStr">
        <is>
          <t>la Recarga y mantenimiento</t>
        </is>
      </c>
      <c r="G891" t="inlineStr">
        <is>
          <t>01</t>
        </is>
      </c>
      <c r="H891" t="inlineStr">
        <is>
          <t>06 KG</t>
        </is>
      </c>
      <c r="I891" t="inlineStr">
        <is>
          <t>VIGENTE</t>
        </is>
      </c>
      <c r="J891" t="inlineStr">
        <is>
          <t>-</t>
        </is>
      </c>
      <c r="K891" t="inlineStr">
        <is>
          <t>SETIEMBRE 2023</t>
        </is>
      </c>
      <c r="L891" t="inlineStr">
        <is>
          <t>SETIEMBRE 2024</t>
        </is>
      </c>
      <c r="M891" t="inlineStr">
        <is>
          <t>P.Q.S TIPO ABC</t>
        </is>
      </c>
      <c r="N891" t="inlineStr">
        <is>
          <t>002215</t>
        </is>
      </c>
      <c r="O891" t="inlineStr">
        <is>
          <t>R</t>
        </is>
      </c>
      <c r="P891">
        <f>TRIM(N891)</f>
        <v/>
      </c>
    </row>
    <row r="892">
      <c r="A892" t="inlineStr">
        <is>
          <t>CO-001568</t>
        </is>
      </c>
      <c r="B892" t="inlineStr">
        <is>
          <t>EDISON CABELLO</t>
        </is>
      </c>
      <c r="D892" t="inlineStr">
        <is>
          <t>MERCADO AÑO NUEVO - PUESTO 217</t>
        </is>
      </c>
      <c r="E892" t="inlineStr">
        <is>
          <t>Lima, 18 de Setiembre de 2023</t>
        </is>
      </c>
      <c r="F892" t="inlineStr">
        <is>
          <t>la Recarga y mantenimiento</t>
        </is>
      </c>
      <c r="G892" t="inlineStr">
        <is>
          <t>01</t>
        </is>
      </c>
      <c r="H892" t="inlineStr">
        <is>
          <t>06 KG</t>
        </is>
      </c>
      <c r="I892" t="inlineStr">
        <is>
          <t>VIGENTE</t>
        </is>
      </c>
      <c r="J892" t="inlineStr">
        <is>
          <t>-</t>
        </is>
      </c>
      <c r="K892" t="inlineStr">
        <is>
          <t>SETIEMBRE 2023</t>
        </is>
      </c>
      <c r="L892" t="inlineStr">
        <is>
          <t>SETIEMBRE 2024</t>
        </is>
      </c>
      <c r="M892" t="inlineStr">
        <is>
          <t>P.Q.S TIPO ABC</t>
        </is>
      </c>
      <c r="N892" t="inlineStr">
        <is>
          <t>000007</t>
        </is>
      </c>
      <c r="O892" t="inlineStr">
        <is>
          <t>R</t>
        </is>
      </c>
      <c r="P892">
        <f>TRIM(N892)</f>
        <v/>
      </c>
    </row>
    <row r="893">
      <c r="A893" t="inlineStr">
        <is>
          <t>CO-001569</t>
        </is>
      </c>
      <c r="B893" t="inlineStr">
        <is>
          <t>JUAN GONZALES</t>
        </is>
      </c>
      <c r="D893" t="inlineStr">
        <is>
          <t>MERCADO AÑO NUEVO - PUESTO  212</t>
        </is>
      </c>
      <c r="E893" t="inlineStr">
        <is>
          <t>Lima, 18 de Setiembre de 2023</t>
        </is>
      </c>
      <c r="F893" t="inlineStr">
        <is>
          <t>la Recarga y mantenimiento</t>
        </is>
      </c>
      <c r="G893" t="inlineStr">
        <is>
          <t>01</t>
        </is>
      </c>
      <c r="H893" t="inlineStr">
        <is>
          <t>06 KG</t>
        </is>
      </c>
      <c r="I893" t="inlineStr">
        <is>
          <t>VIGENTE</t>
        </is>
      </c>
      <c r="J893" t="inlineStr">
        <is>
          <t>-</t>
        </is>
      </c>
      <c r="K893" t="inlineStr">
        <is>
          <t>SETIEMBRE 2023</t>
        </is>
      </c>
      <c r="L893" t="inlineStr">
        <is>
          <t>SETIEMBRE 2024</t>
        </is>
      </c>
      <c r="M893" t="inlineStr">
        <is>
          <t>P.Q.S TIPO ABC</t>
        </is>
      </c>
      <c r="N893" t="inlineStr">
        <is>
          <t>000182</t>
        </is>
      </c>
      <c r="O893" t="inlineStr">
        <is>
          <t>R</t>
        </is>
      </c>
      <c r="P893">
        <f>TRIM(N893)</f>
        <v/>
      </c>
    </row>
    <row r="894">
      <c r="A894" t="inlineStr">
        <is>
          <t>CO-001570</t>
        </is>
      </c>
      <c r="B894" t="inlineStr">
        <is>
          <t>BASILIA MAMANI</t>
        </is>
      </c>
      <c r="D894" t="inlineStr">
        <is>
          <t>MERCADO AÑO NUEVO - PUESTO  137</t>
        </is>
      </c>
      <c r="E894" t="inlineStr">
        <is>
          <t>Lima, 18 de Setiembre de 2023</t>
        </is>
      </c>
      <c r="F894" t="inlineStr">
        <is>
          <t>la Recarga y mantenimiento</t>
        </is>
      </c>
      <c r="G894" t="inlineStr">
        <is>
          <t>01</t>
        </is>
      </c>
      <c r="H894" t="inlineStr">
        <is>
          <t>06 KG</t>
        </is>
      </c>
      <c r="I894" t="inlineStr">
        <is>
          <t>VIGENTE</t>
        </is>
      </c>
      <c r="J894" t="inlineStr">
        <is>
          <t>-</t>
        </is>
      </c>
      <c r="K894" t="inlineStr">
        <is>
          <t>SETIEMBRE 2023</t>
        </is>
      </c>
      <c r="L894" t="inlineStr">
        <is>
          <t>SETIEMBRE 2024</t>
        </is>
      </c>
      <c r="M894" t="inlineStr">
        <is>
          <t>P.Q.S TIPO ABC</t>
        </is>
      </c>
      <c r="N894" t="inlineStr">
        <is>
          <t>000089</t>
        </is>
      </c>
      <c r="O894" t="inlineStr">
        <is>
          <t>R</t>
        </is>
      </c>
      <c r="P894">
        <f>TRIM(N894)</f>
        <v/>
      </c>
    </row>
    <row r="895">
      <c r="A895" t="inlineStr">
        <is>
          <t>CO-001571</t>
        </is>
      </c>
      <c r="B895" t="inlineStr">
        <is>
          <t>JOSE CABEZA</t>
        </is>
      </c>
      <c r="D895" t="inlineStr">
        <is>
          <t>MERCADO AÑO NUEVO - PUESTO  345</t>
        </is>
      </c>
      <c r="E895" t="inlineStr">
        <is>
          <t>Lima, 18 de Setiembre de 2023</t>
        </is>
      </c>
      <c r="F895" t="inlineStr">
        <is>
          <t>la Recarga y mantenimiento</t>
        </is>
      </c>
      <c r="G895" t="inlineStr">
        <is>
          <t>01</t>
        </is>
      </c>
      <c r="H895" t="inlineStr">
        <is>
          <t>06 KG</t>
        </is>
      </c>
      <c r="I895" t="inlineStr">
        <is>
          <t>VIGENTE</t>
        </is>
      </c>
      <c r="J895" t="n">
        <v>2015</v>
      </c>
      <c r="K895" t="inlineStr">
        <is>
          <t>SETIEMBRE 2023</t>
        </is>
      </c>
      <c r="L895" t="inlineStr">
        <is>
          <t>SETIEMBRE 2024</t>
        </is>
      </c>
      <c r="M895" t="inlineStr">
        <is>
          <t>P.Q.S TIPO ABC</t>
        </is>
      </c>
      <c r="N895" t="inlineStr">
        <is>
          <t>000090</t>
        </is>
      </c>
      <c r="O895" t="inlineStr">
        <is>
          <t>R</t>
        </is>
      </c>
      <c r="P895">
        <f>TRIM(N895)</f>
        <v/>
      </c>
    </row>
    <row r="896">
      <c r="A896" t="inlineStr">
        <is>
          <t>CO-001572</t>
        </is>
      </c>
      <c r="B896" t="inlineStr">
        <is>
          <t>LEYLA CABANILLAS</t>
        </is>
      </c>
      <c r="D896" t="inlineStr">
        <is>
          <t>MERCADO AÑO NUEVO - PUESTO  282</t>
        </is>
      </c>
      <c r="E896" t="inlineStr">
        <is>
          <t>Lima, 18 de Setiembre de 2023</t>
        </is>
      </c>
      <c r="F896" t="inlineStr">
        <is>
          <t>la Recarga y mantenimiento</t>
        </is>
      </c>
      <c r="G896" t="inlineStr">
        <is>
          <t>01</t>
        </is>
      </c>
      <c r="H896" t="inlineStr">
        <is>
          <t>04  KG</t>
        </is>
      </c>
      <c r="I896" t="inlineStr">
        <is>
          <t>VIGENTE</t>
        </is>
      </c>
      <c r="J896" t="n">
        <v>2010</v>
      </c>
      <c r="K896" t="inlineStr">
        <is>
          <t>SETIEMBRE 2023</t>
        </is>
      </c>
      <c r="L896" t="inlineStr">
        <is>
          <t>SETIEMBRE 2024</t>
        </is>
      </c>
      <c r="M896" t="inlineStr">
        <is>
          <t>P.Q.S TIPO ABC</t>
        </is>
      </c>
      <c r="N896" t="inlineStr">
        <is>
          <t>000001</t>
        </is>
      </c>
      <c r="O896" t="inlineStr">
        <is>
          <t>R</t>
        </is>
      </c>
      <c r="P896">
        <f>TRIM(N896)</f>
        <v/>
      </c>
    </row>
    <row r="897">
      <c r="A897" t="inlineStr">
        <is>
          <t>CO-001573</t>
        </is>
      </c>
      <c r="B897" t="inlineStr">
        <is>
          <t>RAUL VASQUEZ</t>
        </is>
      </c>
      <c r="D897" t="inlineStr">
        <is>
          <t>MERCADO AÑO NUEVO - PUESTO  286</t>
        </is>
      </c>
      <c r="E897" t="inlineStr">
        <is>
          <t>Lima, 18 de Setiembre de 2023</t>
        </is>
      </c>
      <c r="F897" t="inlineStr">
        <is>
          <t>la Recarga y mantenimiento</t>
        </is>
      </c>
      <c r="G897" t="inlineStr">
        <is>
          <t>01</t>
        </is>
      </c>
      <c r="H897" t="inlineStr">
        <is>
          <t>06 KG</t>
        </is>
      </c>
      <c r="I897" t="inlineStr">
        <is>
          <t>VIGENTE</t>
        </is>
      </c>
      <c r="J897" t="inlineStr">
        <is>
          <t>-</t>
        </is>
      </c>
      <c r="K897" t="inlineStr">
        <is>
          <t>SETIEMBRE 2023</t>
        </is>
      </c>
      <c r="L897" t="inlineStr">
        <is>
          <t>SETIEMBRE 2024</t>
        </is>
      </c>
      <c r="M897" t="inlineStr">
        <is>
          <t>P.Q.S TIPO ABC</t>
        </is>
      </c>
      <c r="N897" t="inlineStr">
        <is>
          <t>001846</t>
        </is>
      </c>
      <c r="O897" t="inlineStr">
        <is>
          <t>p</t>
        </is>
      </c>
      <c r="P897">
        <f>TRIM(N897)</f>
        <v/>
      </c>
    </row>
    <row r="898">
      <c r="A898" t="inlineStr">
        <is>
          <t>CO-001574</t>
        </is>
      </c>
      <c r="B898" t="inlineStr">
        <is>
          <t>MARIA GARCIA</t>
        </is>
      </c>
      <c r="D898" t="inlineStr">
        <is>
          <t>MERCADO AÑO NUEVO - PUESTO  130</t>
        </is>
      </c>
      <c r="E898" t="inlineStr">
        <is>
          <t>Lima, 18 de Setiembre de 2023</t>
        </is>
      </c>
      <c r="F898" t="inlineStr">
        <is>
          <t>la Recarga y mantenimiento</t>
        </is>
      </c>
      <c r="G898" t="inlineStr">
        <is>
          <t>01</t>
        </is>
      </c>
      <c r="H898" t="inlineStr">
        <is>
          <t>06 KG</t>
        </is>
      </c>
      <c r="I898" t="inlineStr">
        <is>
          <t>VIGENTE</t>
        </is>
      </c>
      <c r="J898" t="n">
        <v>2013</v>
      </c>
      <c r="K898" t="inlineStr">
        <is>
          <t>SETIEMBRE 2023</t>
        </is>
      </c>
      <c r="L898" t="inlineStr">
        <is>
          <t>SETIEMBRE 2024</t>
        </is>
      </c>
      <c r="M898" t="inlineStr">
        <is>
          <t>P.Q.S TIPO ABC</t>
        </is>
      </c>
      <c r="N898" t="inlineStr">
        <is>
          <t>000241</t>
        </is>
      </c>
      <c r="O898" t="inlineStr">
        <is>
          <t>R</t>
        </is>
      </c>
      <c r="P898">
        <f>TRIM(N898)</f>
        <v/>
      </c>
    </row>
    <row r="899">
      <c r="A899" t="inlineStr">
        <is>
          <t>CO-001575</t>
        </is>
      </c>
      <c r="B899" t="inlineStr">
        <is>
          <t>PERU MASIVO S.A.</t>
        </is>
      </c>
      <c r="C899" t="inlineStr">
        <is>
          <t>20492392031</t>
        </is>
      </c>
      <c r="D899" t="inlineStr">
        <is>
          <t>AV. LOS INCAS CDRA. 4 PATIO NORTE - COMAS</t>
        </is>
      </c>
      <c r="E899" t="inlineStr">
        <is>
          <t>Lima,18 de Setiembre de 2023</t>
        </is>
      </c>
      <c r="F899" t="inlineStr">
        <is>
          <t>la Recarga y mantenimiento</t>
        </is>
      </c>
      <c r="G899" t="inlineStr">
        <is>
          <t>01</t>
        </is>
      </c>
      <c r="H899" t="inlineStr">
        <is>
          <t>06 KG</t>
        </is>
      </c>
      <c r="I899" t="inlineStr">
        <is>
          <t>2028</t>
        </is>
      </c>
      <c r="J899" t="n">
        <v>2009</v>
      </c>
      <c r="K899" t="inlineStr">
        <is>
          <t>SETIEMBRE 2023</t>
        </is>
      </c>
      <c r="L899" t="inlineStr">
        <is>
          <t>SETIEMBRE 2024</t>
        </is>
      </c>
      <c r="M899" t="inlineStr">
        <is>
          <t xml:space="preserve">P.Q.S TIPO ABC AL 90% NACIONAL </t>
        </is>
      </c>
      <c r="N899" t="inlineStr">
        <is>
          <t>001096</t>
        </is>
      </c>
      <c r="O899" t="inlineStr">
        <is>
          <t>R</t>
        </is>
      </c>
      <c r="P899">
        <f>TRIM(N899)</f>
        <v/>
      </c>
    </row>
    <row r="900">
      <c r="A900" t="inlineStr">
        <is>
          <t>CO-001575</t>
        </is>
      </c>
      <c r="B900" t="inlineStr">
        <is>
          <t>PERU MASIVO S.A.</t>
        </is>
      </c>
      <c r="C900" t="inlineStr">
        <is>
          <t>20492392031</t>
        </is>
      </c>
      <c r="D900" t="inlineStr">
        <is>
          <t>AV. LOS INCAS CDRA. 4 PATIO NORTE - COMAS</t>
        </is>
      </c>
      <c r="E900" t="inlineStr">
        <is>
          <t>Lima,18 de Setiembre de 2023</t>
        </is>
      </c>
      <c r="F900" t="inlineStr">
        <is>
          <t>la Recarga y mantenimiento</t>
        </is>
      </c>
      <c r="G900" t="inlineStr">
        <is>
          <t>02</t>
        </is>
      </c>
      <c r="H900" t="inlineStr">
        <is>
          <t>06 KG</t>
        </is>
      </c>
      <c r="I900" t="inlineStr">
        <is>
          <t>2028</t>
        </is>
      </c>
      <c r="J900" t="n">
        <v>2009</v>
      </c>
      <c r="K900" t="inlineStr">
        <is>
          <t>SETIEMBRE 2023</t>
        </is>
      </c>
      <c r="L900" t="inlineStr">
        <is>
          <t xml:space="preserve">SETIEMBRE 2024 </t>
        </is>
      </c>
      <c r="M900" t="inlineStr">
        <is>
          <t xml:space="preserve">P.Q.S TIPO ABC AL 90% NACIONAL </t>
        </is>
      </c>
      <c r="N900" t="inlineStr">
        <is>
          <t>000961</t>
        </is>
      </c>
      <c r="O900" t="inlineStr">
        <is>
          <t>R</t>
        </is>
      </c>
      <c r="P900">
        <f>TRIM(N900)</f>
        <v/>
      </c>
    </row>
    <row r="901">
      <c r="A901" t="inlineStr">
        <is>
          <t>CO-001575</t>
        </is>
      </c>
      <c r="B901" t="inlineStr">
        <is>
          <t>PERU MASIVO S.A.</t>
        </is>
      </c>
      <c r="C901" t="inlineStr">
        <is>
          <t>20492392031</t>
        </is>
      </c>
      <c r="D901" t="inlineStr">
        <is>
          <t>AV. LOS INCAS CDRA. 4 PATIO NORTE - COMAS</t>
        </is>
      </c>
      <c r="E901" t="inlineStr">
        <is>
          <t>Lima,18 de Setiembre de 2023</t>
        </is>
      </c>
      <c r="F901" t="inlineStr">
        <is>
          <t>la Recarga y mantenimiento</t>
        </is>
      </c>
      <c r="G901" t="inlineStr">
        <is>
          <t>03</t>
        </is>
      </c>
      <c r="H901" t="inlineStr">
        <is>
          <t xml:space="preserve">06 KG </t>
        </is>
      </c>
      <c r="I901" t="n">
        <v>2028</v>
      </c>
      <c r="J901" t="n">
        <v>2009</v>
      </c>
      <c r="K901" t="inlineStr">
        <is>
          <t>SETIEMBRE 2023</t>
        </is>
      </c>
      <c r="L901" t="inlineStr">
        <is>
          <t>SETIEMBRE 2024</t>
        </is>
      </c>
      <c r="M901" t="inlineStr">
        <is>
          <t xml:space="preserve">P.Q.S TIPO ABC AL 90% NACIONAL </t>
        </is>
      </c>
      <c r="N901" t="inlineStr">
        <is>
          <t>000003</t>
        </is>
      </c>
      <c r="O901" t="inlineStr">
        <is>
          <t>R</t>
        </is>
      </c>
      <c r="P901">
        <f>TRIM(N901)</f>
        <v/>
      </c>
    </row>
    <row r="902">
      <c r="A902" t="inlineStr">
        <is>
          <t>CO-001575</t>
        </is>
      </c>
      <c r="B902" t="inlineStr">
        <is>
          <t>PERU MASIVO S.A.</t>
        </is>
      </c>
      <c r="C902" t="inlineStr">
        <is>
          <t>20492392031</t>
        </is>
      </c>
      <c r="D902" t="inlineStr">
        <is>
          <t>AV. LOS INCAS CDRA. 4 PATIO NORTE - COMAS</t>
        </is>
      </c>
      <c r="E902" t="inlineStr">
        <is>
          <t>Lima,18 de Setiembre de 2023</t>
        </is>
      </c>
      <c r="F902" t="inlineStr">
        <is>
          <t>la Recarga y mantenimiento</t>
        </is>
      </c>
      <c r="G902" t="inlineStr">
        <is>
          <t>04</t>
        </is>
      </c>
      <c r="H902" t="inlineStr">
        <is>
          <t>06 KG</t>
        </is>
      </c>
      <c r="I902" t="inlineStr">
        <is>
          <t>2028</t>
        </is>
      </c>
      <c r="J902" t="inlineStr">
        <is>
          <t>2009</t>
        </is>
      </c>
      <c r="K902" t="inlineStr">
        <is>
          <t>SETIEMBRE 2023</t>
        </is>
      </c>
      <c r="L902" t="inlineStr">
        <is>
          <t>SETIEMBRE 2024</t>
        </is>
      </c>
      <c r="M902" t="inlineStr">
        <is>
          <t xml:space="preserve">P.Q.S TIPO ABC AL 90% NACIONAL </t>
        </is>
      </c>
      <c r="N902" t="inlineStr">
        <is>
          <t>002623</t>
        </is>
      </c>
      <c r="O902" t="inlineStr">
        <is>
          <t>R</t>
        </is>
      </c>
      <c r="P902">
        <f>TRIM(N902)</f>
        <v/>
      </c>
    </row>
    <row r="903">
      <c r="A903" t="inlineStr">
        <is>
          <t>CO-001575</t>
        </is>
      </c>
      <c r="B903" t="inlineStr">
        <is>
          <t>PERU MASIVO S.A.</t>
        </is>
      </c>
      <c r="C903" t="inlineStr">
        <is>
          <t>20492392031</t>
        </is>
      </c>
      <c r="D903" t="inlineStr">
        <is>
          <t>AV. LOS INCAS CDRA. 4 PATIO NORTE - COMAS</t>
        </is>
      </c>
      <c r="E903" t="inlineStr">
        <is>
          <t>Lima,18 de Setiembre de 2023</t>
        </is>
      </c>
      <c r="F903" t="inlineStr">
        <is>
          <t>la Recarga y mantenimiento</t>
        </is>
      </c>
      <c r="G903" t="inlineStr">
        <is>
          <t>05</t>
        </is>
      </c>
      <c r="H903" t="inlineStr">
        <is>
          <t>06 KG</t>
        </is>
      </c>
      <c r="I903" t="inlineStr">
        <is>
          <t>2028</t>
        </is>
      </c>
      <c r="J903" t="inlineStr">
        <is>
          <t>2012</t>
        </is>
      </c>
      <c r="K903" t="inlineStr">
        <is>
          <t>SETIEMBRE 2023</t>
        </is>
      </c>
      <c r="L903" t="inlineStr">
        <is>
          <t>SETIEMBRE 2024</t>
        </is>
      </c>
      <c r="M903" t="inlineStr">
        <is>
          <t xml:space="preserve">P.Q.S TIPO ABC AL 90% NACIONAL </t>
        </is>
      </c>
      <c r="N903" t="inlineStr">
        <is>
          <t>000667</t>
        </is>
      </c>
      <c r="O903" t="inlineStr">
        <is>
          <t>R</t>
        </is>
      </c>
      <c r="P903">
        <f>TRIM(N903)</f>
        <v/>
      </c>
    </row>
    <row r="904">
      <c r="A904" t="inlineStr">
        <is>
          <t>CO-001575</t>
        </is>
      </c>
      <c r="B904" t="inlineStr">
        <is>
          <t>PERU MASIVO S.A.</t>
        </is>
      </c>
      <c r="C904" t="inlineStr">
        <is>
          <t>20492392031</t>
        </is>
      </c>
      <c r="D904" t="inlineStr">
        <is>
          <t>AV. LOS INCAS CDRA. 4 PATIO NORTE - COMAS</t>
        </is>
      </c>
      <c r="E904" t="inlineStr">
        <is>
          <t>Lima,18 de Setiembre de 2023</t>
        </is>
      </c>
      <c r="F904" t="inlineStr">
        <is>
          <t>la Recarga y mantenimiento</t>
        </is>
      </c>
      <c r="G904" t="inlineStr">
        <is>
          <t>06</t>
        </is>
      </c>
      <c r="H904" t="inlineStr">
        <is>
          <t>06 KG</t>
        </is>
      </c>
      <c r="I904" t="inlineStr">
        <is>
          <t>2028</t>
        </is>
      </c>
      <c r="J904" t="inlineStr">
        <is>
          <t>2010</t>
        </is>
      </c>
      <c r="K904" t="inlineStr">
        <is>
          <t>SETIEMBRE 2023</t>
        </is>
      </c>
      <c r="L904" t="inlineStr">
        <is>
          <t>SETIEMBRE 2024</t>
        </is>
      </c>
      <c r="M904" t="inlineStr">
        <is>
          <t xml:space="preserve">P.Q.S TIPO ABC AL 90% NACIONAL </t>
        </is>
      </c>
      <c r="N904" t="inlineStr">
        <is>
          <t>000847</t>
        </is>
      </c>
      <c r="O904" t="inlineStr">
        <is>
          <t>R</t>
        </is>
      </c>
      <c r="P904">
        <f>TRIM(N904)</f>
        <v/>
      </c>
    </row>
    <row r="905">
      <c r="A905" t="inlineStr">
        <is>
          <t>CO-001575</t>
        </is>
      </c>
      <c r="B905" t="inlineStr">
        <is>
          <t>PERU MASIVO S.A.</t>
        </is>
      </c>
      <c r="C905" t="inlineStr">
        <is>
          <t>20492392031</t>
        </is>
      </c>
      <c r="D905" t="inlineStr">
        <is>
          <t>AV. LOS INCAS CDRA. 4 PATIO NORTE - COMAS</t>
        </is>
      </c>
      <c r="E905" t="inlineStr">
        <is>
          <t>Lima,18 de Setiembre de 2023</t>
        </is>
      </c>
      <c r="F905" t="inlineStr">
        <is>
          <t>la Recarga y mantenimiento</t>
        </is>
      </c>
      <c r="G905" t="inlineStr">
        <is>
          <t>07</t>
        </is>
      </c>
      <c r="H905" t="inlineStr">
        <is>
          <t>06 KG</t>
        </is>
      </c>
      <c r="I905" t="inlineStr">
        <is>
          <t>2028</t>
        </is>
      </c>
      <c r="J905" t="inlineStr">
        <is>
          <t>2015</t>
        </is>
      </c>
      <c r="K905" t="inlineStr">
        <is>
          <t>SETIEMBRE 2023</t>
        </is>
      </c>
      <c r="L905" t="inlineStr">
        <is>
          <t>SETIEMBRE 2024</t>
        </is>
      </c>
      <c r="M905" t="inlineStr">
        <is>
          <t xml:space="preserve">P.Q.S TIPO ABC AL 90% NACIONAL </t>
        </is>
      </c>
      <c r="N905" t="inlineStr">
        <is>
          <t>020537</t>
        </is>
      </c>
      <c r="O905" t="inlineStr">
        <is>
          <t>R</t>
        </is>
      </c>
      <c r="P905">
        <f>TRIM(N905)</f>
        <v/>
      </c>
    </row>
    <row r="906">
      <c r="A906" t="inlineStr">
        <is>
          <t>CO-001575</t>
        </is>
      </c>
      <c r="B906" t="inlineStr">
        <is>
          <t>PERU MASIVO S.A.</t>
        </is>
      </c>
      <c r="C906" t="inlineStr">
        <is>
          <t>20492392031</t>
        </is>
      </c>
      <c r="D906" t="inlineStr">
        <is>
          <t>AV. LOS INCAS CDRA. 4 PATIO NORTE - COMAS</t>
        </is>
      </c>
      <c r="E906" t="inlineStr">
        <is>
          <t>Lima,18 de Setiembre de 2023</t>
        </is>
      </c>
      <c r="F906" t="inlineStr">
        <is>
          <t>la Recarga y mantenimiento</t>
        </is>
      </c>
      <c r="G906" t="inlineStr">
        <is>
          <t>08</t>
        </is>
      </c>
      <c r="H906" t="inlineStr">
        <is>
          <t>06 KG</t>
        </is>
      </c>
      <c r="I906" t="inlineStr">
        <is>
          <t>2028</t>
        </is>
      </c>
      <c r="J906" t="inlineStr">
        <is>
          <t>2014</t>
        </is>
      </c>
      <c r="K906" t="inlineStr">
        <is>
          <t>SETIEMBRE 2023</t>
        </is>
      </c>
      <c r="L906" t="inlineStr">
        <is>
          <t>SETIEMBRE 2024</t>
        </is>
      </c>
      <c r="M906" t="inlineStr">
        <is>
          <t xml:space="preserve">P.Q.S TIPO ABC AL 90% NACIONAL </t>
        </is>
      </c>
      <c r="N906" t="inlineStr">
        <is>
          <t>001886</t>
        </is>
      </c>
      <c r="O906" t="inlineStr">
        <is>
          <t>R</t>
        </is>
      </c>
      <c r="P906">
        <f>TRIM(N906)</f>
        <v/>
      </c>
    </row>
    <row r="907">
      <c r="A907" t="inlineStr">
        <is>
          <t>CO-001575</t>
        </is>
      </c>
      <c r="B907" t="inlineStr">
        <is>
          <t>PERU MASIVO S.A.</t>
        </is>
      </c>
      <c r="C907" t="inlineStr">
        <is>
          <t>20492392031</t>
        </is>
      </c>
      <c r="D907" t="inlineStr">
        <is>
          <t>AV. LOS INCAS CDRA. 4 PATIO NORTE - COMAS</t>
        </is>
      </c>
      <c r="E907" t="inlineStr">
        <is>
          <t>Lima,18 de Setiembre de 2023</t>
        </is>
      </c>
      <c r="F907" t="inlineStr">
        <is>
          <t>la Recarga y mantenimiento</t>
        </is>
      </c>
      <c r="G907" t="inlineStr">
        <is>
          <t>09</t>
        </is>
      </c>
      <c r="H907" t="inlineStr">
        <is>
          <t>06 KG</t>
        </is>
      </c>
      <c r="I907" t="inlineStr">
        <is>
          <t>2028</t>
        </is>
      </c>
      <c r="J907" t="inlineStr">
        <is>
          <t>2010</t>
        </is>
      </c>
      <c r="K907" t="inlineStr">
        <is>
          <t>SETIEMBRE 2023</t>
        </is>
      </c>
      <c r="L907" t="inlineStr">
        <is>
          <t>SETIEMBRE 2024</t>
        </is>
      </c>
      <c r="M907" t="inlineStr">
        <is>
          <t xml:space="preserve">P.Q.S TIPO ABC AL 90% NACIONAL </t>
        </is>
      </c>
      <c r="N907" t="inlineStr">
        <is>
          <t>000005</t>
        </is>
      </c>
      <c r="O907" t="inlineStr">
        <is>
          <t>R</t>
        </is>
      </c>
      <c r="P907">
        <f>TRIM(N907)</f>
        <v/>
      </c>
    </row>
    <row r="908">
      <c r="A908" t="inlineStr">
        <is>
          <t>CO-001575</t>
        </is>
      </c>
      <c r="B908" t="inlineStr">
        <is>
          <t>PERU MASIVO S.A.</t>
        </is>
      </c>
      <c r="C908" t="inlineStr">
        <is>
          <t>20492392031</t>
        </is>
      </c>
      <c r="D908" t="inlineStr">
        <is>
          <t>AV. LOS INCAS CDRA. 4 PATIO NORTE - COMAS</t>
        </is>
      </c>
      <c r="E908" t="inlineStr">
        <is>
          <t>Lima,18 de Setiembre de 2023</t>
        </is>
      </c>
      <c r="F908" t="inlineStr">
        <is>
          <t>la Recarga y mantenimiento</t>
        </is>
      </c>
      <c r="G908" t="inlineStr">
        <is>
          <t>10</t>
        </is>
      </c>
      <c r="H908" t="inlineStr">
        <is>
          <t>06 KG</t>
        </is>
      </c>
      <c r="I908" t="inlineStr">
        <is>
          <t>2028</t>
        </is>
      </c>
      <c r="J908" t="inlineStr">
        <is>
          <t>2017</t>
        </is>
      </c>
      <c r="K908" t="inlineStr">
        <is>
          <t>SETIEMBRE 2023</t>
        </is>
      </c>
      <c r="L908" t="inlineStr">
        <is>
          <t>SETIEMBRE 2024</t>
        </is>
      </c>
      <c r="M908" t="inlineStr">
        <is>
          <t xml:space="preserve">P.Q.S TIPO ABC AL 90% NACIONAL </t>
        </is>
      </c>
      <c r="N908" t="inlineStr">
        <is>
          <t>003064</t>
        </is>
      </c>
      <c r="O908" t="inlineStr">
        <is>
          <t>R</t>
        </is>
      </c>
      <c r="P908">
        <f>TRIM(N908)</f>
        <v/>
      </c>
    </row>
    <row r="909">
      <c r="A909" t="inlineStr">
        <is>
          <t>CO-001575</t>
        </is>
      </c>
      <c r="B909" t="inlineStr">
        <is>
          <t>PERU MASIVO S.A.</t>
        </is>
      </c>
      <c r="C909" t="inlineStr">
        <is>
          <t>20492392031</t>
        </is>
      </c>
      <c r="D909" t="inlineStr">
        <is>
          <t>AV. LOS INCAS CDRA. 4 PATIO NORTE - COMAS</t>
        </is>
      </c>
      <c r="E909" t="inlineStr">
        <is>
          <t>Lima,18 de Setiembre de 2023</t>
        </is>
      </c>
      <c r="F909" t="inlineStr">
        <is>
          <t>la Recarga y mantenimiento</t>
        </is>
      </c>
      <c r="G909" t="inlineStr">
        <is>
          <t>11</t>
        </is>
      </c>
      <c r="H909" t="inlineStr">
        <is>
          <t>06 KG</t>
        </is>
      </c>
      <c r="I909" t="inlineStr">
        <is>
          <t>2028</t>
        </is>
      </c>
      <c r="J909" t="inlineStr">
        <is>
          <t>2013</t>
        </is>
      </c>
      <c r="K909" t="inlineStr">
        <is>
          <t>SETIEMBRE 2023</t>
        </is>
      </c>
      <c r="L909" t="inlineStr">
        <is>
          <t>SETIEMBRE 2024</t>
        </is>
      </c>
      <c r="M909" t="inlineStr">
        <is>
          <t xml:space="preserve">P.Q.S TIPO ABC AL 90% NACIONAL </t>
        </is>
      </c>
      <c r="N909" t="inlineStr">
        <is>
          <t>000445</t>
        </is>
      </c>
      <c r="O909" t="inlineStr">
        <is>
          <t>R</t>
        </is>
      </c>
      <c r="P909">
        <f>TRIM(N909)</f>
        <v/>
      </c>
    </row>
    <row r="910">
      <c r="A910" t="inlineStr">
        <is>
          <t>CO-001575</t>
        </is>
      </c>
      <c r="B910" t="inlineStr">
        <is>
          <t>PERU MASIVO S.A.</t>
        </is>
      </c>
      <c r="C910" t="inlineStr">
        <is>
          <t>20492392031</t>
        </is>
      </c>
      <c r="D910" t="inlineStr">
        <is>
          <t>AV. LOS INCAS CDRA. 4 PATIO NORTE - COMAS</t>
        </is>
      </c>
      <c r="E910" t="inlineStr">
        <is>
          <t>Lima,18 de Setiembre de 2023</t>
        </is>
      </c>
      <c r="F910" t="inlineStr">
        <is>
          <t>la Recarga y mantenimiento</t>
        </is>
      </c>
      <c r="G910" t="inlineStr">
        <is>
          <t>12</t>
        </is>
      </c>
      <c r="H910" t="inlineStr">
        <is>
          <t>06 KG</t>
        </is>
      </c>
      <c r="I910" t="inlineStr">
        <is>
          <t>2028</t>
        </is>
      </c>
      <c r="J910" t="inlineStr">
        <is>
          <t>2009</t>
        </is>
      </c>
      <c r="K910" t="inlineStr">
        <is>
          <t>SETIEMBRE 2023</t>
        </is>
      </c>
      <c r="L910" t="inlineStr">
        <is>
          <t>SETIEMBRE 2024</t>
        </is>
      </c>
      <c r="M910" t="inlineStr">
        <is>
          <t xml:space="preserve">P.Q.S TIPO ABC AL 90% NACIONAL </t>
        </is>
      </c>
      <c r="N910" t="inlineStr">
        <is>
          <t>000474</t>
        </is>
      </c>
      <c r="O910" t="inlineStr">
        <is>
          <t>R</t>
        </is>
      </c>
      <c r="P910">
        <f>TRIM(N910)</f>
        <v/>
      </c>
    </row>
    <row r="911">
      <c r="A911" t="inlineStr">
        <is>
          <t>CO-001575</t>
        </is>
      </c>
      <c r="B911" t="inlineStr">
        <is>
          <t>PERU MASIVO S.A.</t>
        </is>
      </c>
      <c r="C911" t="inlineStr">
        <is>
          <t>20492392031</t>
        </is>
      </c>
      <c r="D911" t="inlineStr">
        <is>
          <t>AV. LOS INCAS CDRA. 4 PATIO NORTE - COMAS</t>
        </is>
      </c>
      <c r="E911" t="inlineStr">
        <is>
          <t>Lima,18 de Setiembre de 2023</t>
        </is>
      </c>
      <c r="F911" t="inlineStr">
        <is>
          <t>la Recarga y mantenimiento</t>
        </is>
      </c>
      <c r="G911" t="inlineStr">
        <is>
          <t>13</t>
        </is>
      </c>
      <c r="H911" t="inlineStr">
        <is>
          <t>06 KG</t>
        </is>
      </c>
      <c r="I911" t="inlineStr">
        <is>
          <t>2028</t>
        </is>
      </c>
      <c r="J911" t="inlineStr">
        <is>
          <t>2009</t>
        </is>
      </c>
      <c r="K911" t="inlineStr">
        <is>
          <t>SETIEMBRE 2023</t>
        </is>
      </c>
      <c r="L911" t="inlineStr">
        <is>
          <t>SETIEMBRE 2024</t>
        </is>
      </c>
      <c r="M911" t="inlineStr">
        <is>
          <t xml:space="preserve">P.Q.S TIPO ABC AL 90% NACIONAL </t>
        </is>
      </c>
      <c r="N911" t="inlineStr">
        <is>
          <t>000971</t>
        </is>
      </c>
      <c r="O911" t="inlineStr">
        <is>
          <t>R</t>
        </is>
      </c>
      <c r="P911">
        <f>TRIM(N911)</f>
        <v/>
      </c>
    </row>
    <row r="912">
      <c r="A912" t="inlineStr">
        <is>
          <t>CO-001576</t>
        </is>
      </c>
      <c r="B912" t="inlineStr">
        <is>
          <t>VM SAN MIGUEL ARCANGEL  E.I.R.L</t>
        </is>
      </c>
      <c r="D912" t="inlineStr">
        <is>
          <t>AV. TUPAC AMARU  N° 7266 P.J AÑO NUEVO - COMAS</t>
        </is>
      </c>
      <c r="E912" t="inlineStr">
        <is>
          <t>Lima,18 de Setiembre de 2023</t>
        </is>
      </c>
      <c r="F912" t="inlineStr">
        <is>
          <t>la Recarga y mantenimiento</t>
        </is>
      </c>
      <c r="G912" t="inlineStr">
        <is>
          <t>01</t>
        </is>
      </c>
      <c r="H912" t="inlineStr">
        <is>
          <t>06 KG</t>
        </is>
      </c>
      <c r="I912" t="inlineStr">
        <is>
          <t>2028</t>
        </is>
      </c>
      <c r="J912" t="n">
        <v>2016</v>
      </c>
      <c r="K912" t="inlineStr">
        <is>
          <t>SETIEMBRE 2023</t>
        </is>
      </c>
      <c r="L912" t="inlineStr">
        <is>
          <t>SETIEMBRE 2024</t>
        </is>
      </c>
      <c r="M912" t="inlineStr">
        <is>
          <t>P.Q.S TIPO ABC</t>
        </is>
      </c>
      <c r="N912" t="inlineStr">
        <is>
          <t>001591</t>
        </is>
      </c>
      <c r="O912" t="inlineStr">
        <is>
          <t>R</t>
        </is>
      </c>
      <c r="P912">
        <f>TRIM(N912)</f>
        <v/>
      </c>
    </row>
    <row r="913">
      <c r="A913" t="inlineStr">
        <is>
          <t>CO-001577</t>
        </is>
      </c>
      <c r="B913" t="inlineStr">
        <is>
          <t>BODEGA  NAYRA</t>
        </is>
      </c>
      <c r="D913" t="inlineStr">
        <is>
          <t>JR.CUSCO N°400 COPERATIVA PABLO VI - COMAS</t>
        </is>
      </c>
      <c r="E913" t="inlineStr">
        <is>
          <t>Lima,18 de Setiembre de 2023</t>
        </is>
      </c>
      <c r="F913" t="inlineStr">
        <is>
          <t>la Venta</t>
        </is>
      </c>
      <c r="G913" t="inlineStr">
        <is>
          <t>01</t>
        </is>
      </c>
      <c r="H913" t="inlineStr">
        <is>
          <t>06 KG</t>
        </is>
      </c>
      <c r="I913" t="inlineStr">
        <is>
          <t>2028</t>
        </is>
      </c>
      <c r="J913" t="n">
        <v>2023</v>
      </c>
      <c r="K913" t="inlineStr">
        <is>
          <t>SETIEMBRE 2023</t>
        </is>
      </c>
      <c r="L913" t="inlineStr">
        <is>
          <t>SETIEMBRE 2024</t>
        </is>
      </c>
      <c r="M913" t="inlineStr">
        <is>
          <t>P.Q.S TIPO ABC</t>
        </is>
      </c>
      <c r="N913" t="inlineStr">
        <is>
          <t>002488</t>
        </is>
      </c>
      <c r="O913" t="inlineStr">
        <is>
          <t>V</t>
        </is>
      </c>
      <c r="P913">
        <f>TRIM(N913)</f>
        <v/>
      </c>
    </row>
    <row r="914">
      <c r="A914" t="inlineStr">
        <is>
          <t>CO-001578</t>
        </is>
      </c>
      <c r="B914" t="inlineStr">
        <is>
          <t>VANESSA RAQUEL VILLANUEVA GONZALES</t>
        </is>
      </c>
      <c r="D914" t="inlineStr">
        <is>
          <t>AV. TUPAC AMARU 7451 AÑO NUEVO - COMAS</t>
        </is>
      </c>
      <c r="E914" t="inlineStr">
        <is>
          <t>Lima, 18 de Setiembre de 2023</t>
        </is>
      </c>
      <c r="F914" t="inlineStr">
        <is>
          <t>la Recarga y mantenimiento</t>
        </is>
      </c>
      <c r="G914" t="inlineStr">
        <is>
          <t>01</t>
        </is>
      </c>
      <c r="H914" t="inlineStr">
        <is>
          <t>09 KG</t>
        </is>
      </c>
      <c r="I914" t="inlineStr">
        <is>
          <t>VIGENTE</t>
        </is>
      </c>
      <c r="J914" t="n">
        <v>2016</v>
      </c>
      <c r="K914" t="inlineStr">
        <is>
          <t>SETIEMBRE 2023</t>
        </is>
      </c>
      <c r="L914" t="inlineStr">
        <is>
          <t>SETIEMBRE 2024</t>
        </is>
      </c>
      <c r="M914" t="inlineStr">
        <is>
          <t>P.Q.S TIPO ABC</t>
        </is>
      </c>
      <c r="N914" t="inlineStr">
        <is>
          <t>000049</t>
        </is>
      </c>
      <c r="O914" t="inlineStr">
        <is>
          <t>R</t>
        </is>
      </c>
      <c r="P914">
        <f>TRIM(N914)</f>
        <v/>
      </c>
    </row>
    <row r="915">
      <c r="A915" t="inlineStr">
        <is>
          <t>CO-001579</t>
        </is>
      </c>
      <c r="B915" t="inlineStr">
        <is>
          <t>ESCOLASTICO  PEÑA  ROMERO</t>
        </is>
      </c>
      <c r="C915" t="inlineStr">
        <is>
          <t>06847590</t>
        </is>
      </c>
      <c r="D915" t="inlineStr">
        <is>
          <t>AV. SAN FELIPE N°825 - COMAS</t>
        </is>
      </c>
      <c r="E915" t="inlineStr">
        <is>
          <t>Lima, 19 de Setiembre de 2023</t>
        </is>
      </c>
      <c r="F915" t="inlineStr">
        <is>
          <t>la Recarga y mantenimiento</t>
        </is>
      </c>
      <c r="G915" t="inlineStr">
        <is>
          <t>01</t>
        </is>
      </c>
      <c r="H915" t="inlineStr">
        <is>
          <t>06 KG</t>
        </is>
      </c>
      <c r="I915" t="inlineStr">
        <is>
          <t>VIGENTE</t>
        </is>
      </c>
      <c r="J915" t="n">
        <v>2015</v>
      </c>
      <c r="K915" t="inlineStr">
        <is>
          <t>SETIEMBRE 2023</t>
        </is>
      </c>
      <c r="L915" t="inlineStr">
        <is>
          <t>SETIEMBRE 2024</t>
        </is>
      </c>
      <c r="M915" t="inlineStr">
        <is>
          <t>P.Q.S TIPO ABC</t>
        </is>
      </c>
      <c r="N915" t="inlineStr">
        <is>
          <t>009655</t>
        </is>
      </c>
      <c r="O915" t="inlineStr">
        <is>
          <t>R</t>
        </is>
      </c>
      <c r="P915">
        <f>TRIM(N915)</f>
        <v/>
      </c>
    </row>
    <row r="916">
      <c r="A916" t="inlineStr">
        <is>
          <t>CO-001580</t>
        </is>
      </c>
      <c r="B916" t="inlineStr">
        <is>
          <t>GREGORIA CARRASCO CORDOVA</t>
        </is>
      </c>
      <c r="D916" t="inlineStr">
        <is>
          <t>AV. SAN FELIPE N° 827 - COMAS</t>
        </is>
      </c>
      <c r="E916" t="inlineStr">
        <is>
          <t>Lima, 19 de Setiembre de 2023</t>
        </is>
      </c>
      <c r="F916" t="inlineStr">
        <is>
          <t>la Recarga y mantenimiento</t>
        </is>
      </c>
      <c r="G916" t="inlineStr">
        <is>
          <t>01</t>
        </is>
      </c>
      <c r="H916" t="inlineStr">
        <is>
          <t>06 KG</t>
        </is>
      </c>
      <c r="I916" t="inlineStr">
        <is>
          <t>VIGENTE</t>
        </is>
      </c>
      <c r="J916" t="inlineStr">
        <is>
          <t>S/N</t>
        </is>
      </c>
      <c r="K916" t="inlineStr">
        <is>
          <t>SETIEMBRE 2023</t>
        </is>
      </c>
      <c r="L916" t="inlineStr">
        <is>
          <t>SETIEMBRE 2024</t>
        </is>
      </c>
      <c r="M916" t="inlineStr">
        <is>
          <t>P.Q.S  TIPO ABC</t>
        </is>
      </c>
      <c r="N916" t="inlineStr">
        <is>
          <t>S/N</t>
        </is>
      </c>
      <c r="O916" t="inlineStr">
        <is>
          <t>R</t>
        </is>
      </c>
      <c r="P916">
        <f>TRIM(N916)</f>
        <v/>
      </c>
    </row>
    <row r="917">
      <c r="A917" t="inlineStr">
        <is>
          <t>CO-001581</t>
        </is>
      </c>
      <c r="B917" t="inlineStr">
        <is>
          <t>KLEVER RAMOS V.</t>
        </is>
      </c>
      <c r="D917" t="inlineStr">
        <is>
          <t>MERCADO AÑO NUEVO - PUESTO  172</t>
        </is>
      </c>
      <c r="E917" t="inlineStr">
        <is>
          <t>Lima, 20 de Setiembre de 2023</t>
        </is>
      </c>
      <c r="F917" t="inlineStr">
        <is>
          <t>la Recarga y mantenimiento</t>
        </is>
      </c>
      <c r="G917" t="inlineStr">
        <is>
          <t>01</t>
        </is>
      </c>
      <c r="H917" t="inlineStr">
        <is>
          <t>06 KG</t>
        </is>
      </c>
      <c r="I917" t="inlineStr">
        <is>
          <t>VIGENTE</t>
        </is>
      </c>
      <c r="J917" t="inlineStr">
        <is>
          <t>-</t>
        </is>
      </c>
      <c r="K917" t="inlineStr">
        <is>
          <t>SETIEMBRE 2023</t>
        </is>
      </c>
      <c r="L917" t="inlineStr">
        <is>
          <t>SETIEMBRE 2024</t>
        </is>
      </c>
      <c r="M917" t="inlineStr">
        <is>
          <t>P.Q.S TIPO ABC</t>
        </is>
      </c>
      <c r="N917" t="inlineStr">
        <is>
          <t>000176</t>
        </is>
      </c>
      <c r="O917" t="inlineStr">
        <is>
          <t>R</t>
        </is>
      </c>
      <c r="P917">
        <f>TRIM(N917)</f>
        <v/>
      </c>
    </row>
    <row r="918">
      <c r="A918" t="inlineStr">
        <is>
          <t>CO-001582</t>
        </is>
      </c>
      <c r="B918" t="inlineStr">
        <is>
          <t>BIDANGO CAMACHO</t>
        </is>
      </c>
      <c r="D918" t="inlineStr">
        <is>
          <t>MERCADO AÑO NUEVO - PUESTO 205</t>
        </is>
      </c>
      <c r="E918" t="inlineStr">
        <is>
          <t>Lima, 20 de Setiembre de 2023</t>
        </is>
      </c>
      <c r="F918" t="inlineStr">
        <is>
          <t>la Recarga y mantenimiento</t>
        </is>
      </c>
      <c r="G918" t="inlineStr">
        <is>
          <t>01</t>
        </is>
      </c>
      <c r="H918" t="inlineStr">
        <is>
          <t>06 KG</t>
        </is>
      </c>
      <c r="I918" t="inlineStr">
        <is>
          <t>VIGENTE</t>
        </is>
      </c>
      <c r="J918" t="inlineStr">
        <is>
          <t>-</t>
        </is>
      </c>
      <c r="K918" t="inlineStr">
        <is>
          <t>SETIEMBRE 2023</t>
        </is>
      </c>
      <c r="L918" t="inlineStr">
        <is>
          <t>SETIEMBRE 2024</t>
        </is>
      </c>
      <c r="M918" t="inlineStr">
        <is>
          <t>P.Q.S TIPO ABC</t>
        </is>
      </c>
      <c r="N918" t="inlineStr">
        <is>
          <t>015258</t>
        </is>
      </c>
      <c r="O918" t="inlineStr">
        <is>
          <t>R</t>
        </is>
      </c>
      <c r="P918">
        <f>TRIM(N918)</f>
        <v/>
      </c>
    </row>
    <row r="919">
      <c r="A919" t="inlineStr">
        <is>
          <t>CO-001583</t>
        </is>
      </c>
      <c r="B919" t="inlineStr">
        <is>
          <t>KARINA FALERO</t>
        </is>
      </c>
      <c r="D919" t="inlineStr">
        <is>
          <t>MERCADO AÑO NUEVO - PUESTO 226</t>
        </is>
      </c>
      <c r="E919" t="inlineStr">
        <is>
          <t xml:space="preserve">Lima, 20 de Setiembre de 2023 </t>
        </is>
      </c>
      <c r="F919" t="inlineStr">
        <is>
          <t>la Recarga y mantenimiento</t>
        </is>
      </c>
      <c r="G919" t="inlineStr">
        <is>
          <t>01</t>
        </is>
      </c>
      <c r="H919" t="inlineStr">
        <is>
          <t>06 KG</t>
        </is>
      </c>
      <c r="I919" t="inlineStr">
        <is>
          <t>VIGENTE</t>
        </is>
      </c>
      <c r="J919" t="inlineStr">
        <is>
          <t>-</t>
        </is>
      </c>
      <c r="K919" t="inlineStr">
        <is>
          <t>SETIEMBRE 2023</t>
        </is>
      </c>
      <c r="L919" t="inlineStr">
        <is>
          <t>SETIEMBRE 2024</t>
        </is>
      </c>
      <c r="M919" t="inlineStr">
        <is>
          <t>P.Q.S TIPO ABC</t>
        </is>
      </c>
      <c r="N919" t="inlineStr">
        <is>
          <t>002052</t>
        </is>
      </c>
      <c r="O919" t="inlineStr">
        <is>
          <t>R</t>
        </is>
      </c>
      <c r="P919">
        <f>TRIM(N919)</f>
        <v/>
      </c>
    </row>
    <row r="920">
      <c r="A920" t="inlineStr">
        <is>
          <t>CO-001584</t>
        </is>
      </c>
      <c r="B920" t="inlineStr">
        <is>
          <t xml:space="preserve">DORA CUTIPA </t>
        </is>
      </c>
      <c r="D920" t="inlineStr">
        <is>
          <t>MERCADO AÑO NUEVO - PUESTO 315</t>
        </is>
      </c>
      <c r="E920" t="inlineStr">
        <is>
          <t>Lima, 20 de Setiembre de 2023</t>
        </is>
      </c>
      <c r="F920" t="inlineStr">
        <is>
          <t>la Recarga y mantenimiento</t>
        </is>
      </c>
      <c r="G920" t="inlineStr">
        <is>
          <t>01</t>
        </is>
      </c>
      <c r="H920" t="inlineStr">
        <is>
          <t>06 KG</t>
        </is>
      </c>
      <c r="I920" t="inlineStr">
        <is>
          <t>VIGENTE</t>
        </is>
      </c>
      <c r="J920" t="inlineStr">
        <is>
          <t>-</t>
        </is>
      </c>
      <c r="K920" t="inlineStr">
        <is>
          <t>SETIEMBRE 2023</t>
        </is>
      </c>
      <c r="L920" t="inlineStr">
        <is>
          <t>SETIEMBRE 2024</t>
        </is>
      </c>
      <c r="M920" t="inlineStr">
        <is>
          <t>P.Q.S TIPO ABC</t>
        </is>
      </c>
      <c r="N920" t="inlineStr">
        <is>
          <t>115478</t>
        </is>
      </c>
      <c r="O920" t="inlineStr">
        <is>
          <t>R</t>
        </is>
      </c>
      <c r="P920">
        <f>TRIM(N920)</f>
        <v/>
      </c>
    </row>
    <row r="921">
      <c r="A921" t="inlineStr">
        <is>
          <t>CO-001585</t>
        </is>
      </c>
      <c r="B921" t="inlineStr">
        <is>
          <t>DEYVI CASTAÑEDA</t>
        </is>
      </c>
      <c r="D921" t="inlineStr">
        <is>
          <t>MERCADO AÑO NUEVO - PUESTO  126</t>
        </is>
      </c>
      <c r="E921" t="inlineStr">
        <is>
          <t>Lima, 20 de Setiembre de 2023</t>
        </is>
      </c>
      <c r="F921" t="inlineStr">
        <is>
          <t>la Recarga y mantenimiento</t>
        </is>
      </c>
      <c r="G921" t="inlineStr">
        <is>
          <t>01</t>
        </is>
      </c>
      <c r="H921" t="inlineStr">
        <is>
          <t>06 KG</t>
        </is>
      </c>
      <c r="I921" t="inlineStr">
        <is>
          <t>VIGENTE</t>
        </is>
      </c>
      <c r="J921" t="inlineStr">
        <is>
          <t>-</t>
        </is>
      </c>
      <c r="K921" t="inlineStr">
        <is>
          <t>SETIEMBRE 2023</t>
        </is>
      </c>
      <c r="L921" t="inlineStr">
        <is>
          <t>SETIEMBRE 2024</t>
        </is>
      </c>
      <c r="M921" t="inlineStr">
        <is>
          <t>P.Q.S TIPO ABC</t>
        </is>
      </c>
      <c r="N921" t="inlineStr">
        <is>
          <t>009829</t>
        </is>
      </c>
      <c r="O921" t="inlineStr">
        <is>
          <t>R</t>
        </is>
      </c>
      <c r="P921">
        <f>TRIM(N921)</f>
        <v/>
      </c>
    </row>
    <row r="922">
      <c r="A922" t="inlineStr">
        <is>
          <t>CO-001586</t>
        </is>
      </c>
      <c r="B922" t="inlineStr">
        <is>
          <t>NANCY SALCEDO</t>
        </is>
      </c>
      <c r="D922" t="inlineStr">
        <is>
          <t>MERCADO AÑO NUEVO - PUESTO 309</t>
        </is>
      </c>
      <c r="E922" t="inlineStr">
        <is>
          <t>Lima, 20 de Setiembre de 2023</t>
        </is>
      </c>
      <c r="F922" t="inlineStr">
        <is>
          <t>la Recarga y mantenimiento</t>
        </is>
      </c>
      <c r="G922" t="inlineStr">
        <is>
          <t>01</t>
        </is>
      </c>
      <c r="H922" t="inlineStr">
        <is>
          <t>06 KG</t>
        </is>
      </c>
      <c r="I922" t="inlineStr">
        <is>
          <t>VIGENTE</t>
        </is>
      </c>
      <c r="J922" t="inlineStr">
        <is>
          <t>-</t>
        </is>
      </c>
      <c r="K922" t="inlineStr">
        <is>
          <t>SETIEMBRE 2023</t>
        </is>
      </c>
      <c r="L922" t="inlineStr">
        <is>
          <t>SETIEMBRE 2024</t>
        </is>
      </c>
      <c r="M922" t="inlineStr">
        <is>
          <t>P.Q.S TIPO ABC</t>
        </is>
      </c>
      <c r="N922" t="inlineStr">
        <is>
          <t>000011</t>
        </is>
      </c>
      <c r="O922" t="inlineStr">
        <is>
          <t>R</t>
        </is>
      </c>
      <c r="P922">
        <f>TRIM(N922)</f>
        <v/>
      </c>
    </row>
    <row r="923">
      <c r="A923" t="inlineStr">
        <is>
          <t>CO-001586</t>
        </is>
      </c>
      <c r="B923" t="inlineStr">
        <is>
          <t>NANCY SALCEDO</t>
        </is>
      </c>
      <c r="D923" t="inlineStr">
        <is>
          <t>MERCADO AÑO NUEVO - PUESTO 309</t>
        </is>
      </c>
      <c r="E923" t="inlineStr">
        <is>
          <t>Lima, 20 de Setiembre de 2023</t>
        </is>
      </c>
      <c r="F923" t="inlineStr">
        <is>
          <t>la Recarga y mantenimiento</t>
        </is>
      </c>
      <c r="G923" t="inlineStr">
        <is>
          <t>02</t>
        </is>
      </c>
      <c r="H923" t="inlineStr">
        <is>
          <t>06 KG</t>
        </is>
      </c>
      <c r="I923" t="inlineStr">
        <is>
          <t>VIGENTE</t>
        </is>
      </c>
      <c r="J923" t="inlineStr">
        <is>
          <t>-</t>
        </is>
      </c>
      <c r="K923" t="inlineStr">
        <is>
          <t>SETIEMBRE 2023</t>
        </is>
      </c>
      <c r="L923" t="inlineStr">
        <is>
          <t xml:space="preserve">SETIEMBRE 2024 </t>
        </is>
      </c>
      <c r="M923" t="inlineStr">
        <is>
          <t>P.Q.S TIPO ABC</t>
        </is>
      </c>
      <c r="N923" t="inlineStr">
        <is>
          <t>000345</t>
        </is>
      </c>
      <c r="O923" t="inlineStr">
        <is>
          <t>R</t>
        </is>
      </c>
      <c r="P923">
        <f>TRIM(N923)</f>
        <v/>
      </c>
    </row>
    <row r="924">
      <c r="A924" t="inlineStr">
        <is>
          <t>CO-001587</t>
        </is>
      </c>
      <c r="B924" t="inlineStr">
        <is>
          <t>ROSA REYES</t>
        </is>
      </c>
      <c r="D924" t="inlineStr">
        <is>
          <t>MERCADO AÑO NUEVO - PUESTO 334</t>
        </is>
      </c>
      <c r="E924" t="inlineStr">
        <is>
          <t>Lima, 20 de Setiembre de 2023</t>
        </is>
      </c>
      <c r="F924" t="inlineStr">
        <is>
          <t>la Recarga y mantenimiento</t>
        </is>
      </c>
      <c r="G924" t="inlineStr">
        <is>
          <t>01</t>
        </is>
      </c>
      <c r="H924" t="inlineStr">
        <is>
          <t>06 KG</t>
        </is>
      </c>
      <c r="I924" t="inlineStr">
        <is>
          <t>2026</t>
        </is>
      </c>
      <c r="J924" t="n">
        <v>2021</v>
      </c>
      <c r="K924" t="inlineStr">
        <is>
          <t>SETIEMBRE 2023</t>
        </is>
      </c>
      <c r="L924" t="inlineStr">
        <is>
          <t>SETIEMBRE 2024</t>
        </is>
      </c>
      <c r="M924" t="inlineStr">
        <is>
          <t>P.Q.S TIPO ABC</t>
        </is>
      </c>
      <c r="N924" t="inlineStr">
        <is>
          <t>404085</t>
        </is>
      </c>
      <c r="O924" t="inlineStr">
        <is>
          <t>R</t>
        </is>
      </c>
      <c r="P924">
        <f>TRIM(N924)</f>
        <v/>
      </c>
    </row>
    <row r="925">
      <c r="A925" t="inlineStr">
        <is>
          <t>CO-001588</t>
        </is>
      </c>
      <c r="B925" t="inlineStr">
        <is>
          <t>MARLENE PAMPA TIPULA</t>
        </is>
      </c>
      <c r="D925" t="inlineStr">
        <is>
          <t>MERCADO AÑO NUEVO - PUESTO 323</t>
        </is>
      </c>
      <c r="E925" t="inlineStr">
        <is>
          <t>Lima, 20 de Setiembre de 2023</t>
        </is>
      </c>
      <c r="F925" t="inlineStr">
        <is>
          <t>la Recarga y mantenimiento</t>
        </is>
      </c>
      <c r="G925" t="inlineStr">
        <is>
          <t>01</t>
        </is>
      </c>
      <c r="H925" t="inlineStr">
        <is>
          <t>06 KG</t>
        </is>
      </c>
      <c r="I925" t="inlineStr">
        <is>
          <t>VIGENTE</t>
        </is>
      </c>
      <c r="J925" t="n">
        <v>2013</v>
      </c>
      <c r="K925" t="inlineStr">
        <is>
          <t>SETIEMBRE 2023</t>
        </is>
      </c>
      <c r="L925" t="inlineStr">
        <is>
          <t>SETIEMBRE 2024</t>
        </is>
      </c>
      <c r="M925" t="inlineStr">
        <is>
          <t>P.Q.S TIPO ABC</t>
        </is>
      </c>
      <c r="N925" t="inlineStr">
        <is>
          <t>000323</t>
        </is>
      </c>
      <c r="O925" t="inlineStr">
        <is>
          <t>R</t>
        </is>
      </c>
      <c r="P925">
        <f>TRIM(N925)</f>
        <v/>
      </c>
    </row>
    <row r="926">
      <c r="A926" t="inlineStr">
        <is>
          <t>CO-001589</t>
        </is>
      </c>
      <c r="B926" t="inlineStr">
        <is>
          <t xml:space="preserve">EMANUEL FLORES VASQUEZ </t>
        </is>
      </c>
      <c r="C926" t="inlineStr">
        <is>
          <t>44548840</t>
        </is>
      </c>
      <c r="D926" t="inlineStr">
        <is>
          <t xml:space="preserve">PLACA: ACI - 154 </t>
        </is>
      </c>
      <c r="E926" t="inlineStr">
        <is>
          <t>Lima, 20 de Setiembre de 2023</t>
        </is>
      </c>
      <c r="F926" t="inlineStr">
        <is>
          <t>la Recarga y mantenimiento</t>
        </is>
      </c>
      <c r="G926" t="inlineStr">
        <is>
          <t>-</t>
        </is>
      </c>
      <c r="H926" t="inlineStr">
        <is>
          <t>02 KG</t>
        </is>
      </c>
      <c r="I926" t="inlineStr">
        <is>
          <t>VIGENTE</t>
        </is>
      </c>
      <c r="J926" t="n">
        <v>2017</v>
      </c>
      <c r="K926" t="inlineStr">
        <is>
          <t>SETIEMBRE 2023</t>
        </is>
      </c>
      <c r="L926" t="inlineStr">
        <is>
          <t>SETIEMBRE 2024</t>
        </is>
      </c>
      <c r="M926" t="inlineStr">
        <is>
          <t>P.Q.S TIPO ABC</t>
        </is>
      </c>
      <c r="N926" t="inlineStr">
        <is>
          <t>005695</t>
        </is>
      </c>
      <c r="O926" t="inlineStr">
        <is>
          <t>R</t>
        </is>
      </c>
      <c r="P926">
        <f>TRIM(N926)</f>
        <v/>
      </c>
    </row>
    <row r="927">
      <c r="A927" t="inlineStr">
        <is>
          <t>CO-001590</t>
        </is>
      </c>
      <c r="B927" t="inlineStr">
        <is>
          <t xml:space="preserve">EDILBERTO SUERO </t>
        </is>
      </c>
      <c r="D927" t="inlineStr">
        <is>
          <t xml:space="preserve">MERCADO SANGARARA -  PUESTO 11 </t>
        </is>
      </c>
      <c r="E927" t="inlineStr">
        <is>
          <t>Lima,21 de Setiembre de 2023</t>
        </is>
      </c>
      <c r="F927" t="inlineStr">
        <is>
          <t>la Recarga y mantenimiento</t>
        </is>
      </c>
      <c r="G927" t="inlineStr">
        <is>
          <t>01</t>
        </is>
      </c>
      <c r="H927" t="inlineStr">
        <is>
          <t>06 KG</t>
        </is>
      </c>
      <c r="I927" t="inlineStr">
        <is>
          <t>2027</t>
        </is>
      </c>
      <c r="J927" t="n">
        <v>2022</v>
      </c>
      <c r="K927" t="inlineStr">
        <is>
          <t>SETIEMBRE 2023</t>
        </is>
      </c>
      <c r="L927" t="inlineStr">
        <is>
          <t>SETIEMBRE 2024</t>
        </is>
      </c>
      <c r="M927" t="inlineStr">
        <is>
          <t>P.Q.S.  TIPO ABC</t>
        </is>
      </c>
      <c r="N927" t="inlineStr">
        <is>
          <t>01/307190</t>
        </is>
      </c>
      <c r="O927" t="inlineStr">
        <is>
          <t>R</t>
        </is>
      </c>
      <c r="P927">
        <f>TRIM(N927)</f>
        <v/>
      </c>
    </row>
    <row r="928">
      <c r="A928" t="inlineStr">
        <is>
          <t>CO-001591</t>
        </is>
      </c>
      <c r="B928" t="inlineStr">
        <is>
          <t>BODEGA  NAYRA</t>
        </is>
      </c>
      <c r="D928" t="inlineStr">
        <is>
          <t>JR.CUSCO N°400 COPERATIVA PABLO VI - COMAS</t>
        </is>
      </c>
      <c r="E928" t="inlineStr">
        <is>
          <t>Lima,22 de Setiembre de 2023</t>
        </is>
      </c>
      <c r="F928" t="inlineStr">
        <is>
          <t>la Recarga y mantenimiento</t>
        </is>
      </c>
      <c r="G928" t="inlineStr">
        <is>
          <t>01</t>
        </is>
      </c>
      <c r="H928" t="inlineStr">
        <is>
          <t>06 KG</t>
        </is>
      </c>
      <c r="I928" t="inlineStr">
        <is>
          <t>2024</t>
        </is>
      </c>
      <c r="J928" t="n">
        <v>2019</v>
      </c>
      <c r="K928" t="inlineStr">
        <is>
          <t>SETIEMBRE 2023</t>
        </is>
      </c>
      <c r="L928" t="inlineStr">
        <is>
          <t>SETIEMBRE 2024</t>
        </is>
      </c>
      <c r="M928" t="inlineStr">
        <is>
          <t>P.Q.S TIPO ABC</t>
        </is>
      </c>
      <c r="N928" t="inlineStr">
        <is>
          <t>008831</t>
        </is>
      </c>
      <c r="O928" t="inlineStr">
        <is>
          <t>R</t>
        </is>
      </c>
      <c r="P928">
        <f>TRIM(N928)</f>
        <v/>
      </c>
    </row>
    <row r="929">
      <c r="A929" t="inlineStr">
        <is>
          <t>CO-001592</t>
        </is>
      </c>
      <c r="B929" t="inlineStr">
        <is>
          <t>PERU MASIVO S.A.</t>
        </is>
      </c>
      <c r="C929" t="inlineStr">
        <is>
          <t>20492392031</t>
        </is>
      </c>
      <c r="D929" t="inlineStr">
        <is>
          <t>AV. LOS INCAS CDRA. 4 PATIO NORTE - COMAS</t>
        </is>
      </c>
      <c r="E929" t="inlineStr">
        <is>
          <t>Lima,26 de Setiembre de 2023</t>
        </is>
      </c>
      <c r="F929" t="inlineStr">
        <is>
          <t>la Recarga y mantenimiento</t>
        </is>
      </c>
      <c r="G929" t="inlineStr">
        <is>
          <t>01</t>
        </is>
      </c>
      <c r="H929" t="inlineStr">
        <is>
          <t>06 KG</t>
        </is>
      </c>
      <c r="I929" t="inlineStr">
        <is>
          <t>2028</t>
        </is>
      </c>
      <c r="J929" t="n">
        <v>2009</v>
      </c>
      <c r="K929" t="inlineStr">
        <is>
          <t>SETIEMBRE 2023</t>
        </is>
      </c>
      <c r="L929" t="inlineStr">
        <is>
          <t>SETIEMBRE 2024</t>
        </is>
      </c>
      <c r="M929" t="inlineStr">
        <is>
          <t xml:space="preserve">P.Q.S TIPO ABC AL 90% NACIONAL </t>
        </is>
      </c>
      <c r="N929" t="inlineStr">
        <is>
          <t>264/000858</t>
        </is>
      </c>
      <c r="O929" t="inlineStr">
        <is>
          <t>R</t>
        </is>
      </c>
      <c r="P929">
        <f>TRIM(N929)</f>
        <v/>
      </c>
    </row>
    <row r="930">
      <c r="A930" t="inlineStr">
        <is>
          <t>CO-001592</t>
        </is>
      </c>
      <c r="B930" t="inlineStr">
        <is>
          <t>PERU MASIVO S.A.</t>
        </is>
      </c>
      <c r="C930" t="inlineStr">
        <is>
          <t>20492392031</t>
        </is>
      </c>
      <c r="D930" t="inlineStr">
        <is>
          <t>AV. LOS INCAS CDRA. 4 PATIO NORTE - COMAS</t>
        </is>
      </c>
      <c r="E930" t="inlineStr">
        <is>
          <t>Lima,26 de Setiembre de 2023</t>
        </is>
      </c>
      <c r="F930" t="inlineStr">
        <is>
          <t>la Recarga y mantenimiento</t>
        </is>
      </c>
      <c r="G930" t="inlineStr">
        <is>
          <t>02</t>
        </is>
      </c>
      <c r="H930" t="inlineStr">
        <is>
          <t>06 KG</t>
        </is>
      </c>
      <c r="I930" t="inlineStr">
        <is>
          <t>2028</t>
        </is>
      </c>
      <c r="J930" t="n">
        <v>2017</v>
      </c>
      <c r="K930" t="inlineStr">
        <is>
          <t>SETIEMBRE 2023</t>
        </is>
      </c>
      <c r="L930" t="inlineStr">
        <is>
          <t xml:space="preserve">SETIEMBRE 2024 </t>
        </is>
      </c>
      <c r="M930" t="inlineStr">
        <is>
          <t xml:space="preserve">P.Q.S TIPO ABC AL 90% NACIONAL </t>
        </is>
      </c>
      <c r="N930" t="inlineStr">
        <is>
          <t>S/N/003212</t>
        </is>
      </c>
      <c r="O930" t="inlineStr">
        <is>
          <t>R</t>
        </is>
      </c>
      <c r="P930">
        <f>TRIM(N930)</f>
        <v/>
      </c>
    </row>
    <row r="931">
      <c r="A931" t="inlineStr">
        <is>
          <t>CO-001592</t>
        </is>
      </c>
      <c r="B931" t="inlineStr">
        <is>
          <t>PERU MASIVO S.A.</t>
        </is>
      </c>
      <c r="C931" t="inlineStr">
        <is>
          <t>20492392031</t>
        </is>
      </c>
      <c r="D931" t="inlineStr">
        <is>
          <t>AV. LOS INCAS CDRA. 4 PATIO NORTE - COMAS</t>
        </is>
      </c>
      <c r="E931" t="inlineStr">
        <is>
          <t>Lima,26 de Setiembre de 2023</t>
        </is>
      </c>
      <c r="F931" t="inlineStr">
        <is>
          <t>la Recarga y mantenimiento</t>
        </is>
      </c>
      <c r="G931" t="inlineStr">
        <is>
          <t>03</t>
        </is>
      </c>
      <c r="H931" t="inlineStr">
        <is>
          <t>06 KG</t>
        </is>
      </c>
      <c r="I931" t="n">
        <v>2028</v>
      </c>
      <c r="J931" t="n">
        <v>2014</v>
      </c>
      <c r="K931" t="inlineStr">
        <is>
          <t>SETIEMBRE 2023</t>
        </is>
      </c>
      <c r="L931" t="inlineStr">
        <is>
          <t>SETIEMBRE 2024</t>
        </is>
      </c>
      <c r="M931" t="inlineStr">
        <is>
          <t xml:space="preserve">P.Q.S TIPO ABC AL 90% NACIONAL </t>
        </is>
      </c>
      <c r="N931" t="inlineStr">
        <is>
          <t>S/N/000242</t>
        </is>
      </c>
      <c r="O931" t="inlineStr">
        <is>
          <t>R</t>
        </is>
      </c>
      <c r="P931">
        <f>TRIM(N931)</f>
        <v/>
      </c>
    </row>
    <row r="932">
      <c r="A932" t="inlineStr">
        <is>
          <t>CO-001592</t>
        </is>
      </c>
      <c r="B932" t="inlineStr">
        <is>
          <t>PERU MASIVO S.A.</t>
        </is>
      </c>
      <c r="C932" t="inlineStr">
        <is>
          <t>20492392031</t>
        </is>
      </c>
      <c r="D932" t="inlineStr">
        <is>
          <t>AV. LOS INCAS CDRA. 4 PATIO NORTE - COMAS</t>
        </is>
      </c>
      <c r="E932" t="inlineStr">
        <is>
          <t>Lima,26 de Setiembre de 2023</t>
        </is>
      </c>
      <c r="F932" t="inlineStr">
        <is>
          <t>la Recarga y mantenimiento</t>
        </is>
      </c>
      <c r="G932" t="inlineStr">
        <is>
          <t>04</t>
        </is>
      </c>
      <c r="H932" t="inlineStr">
        <is>
          <t>06 KG</t>
        </is>
      </c>
      <c r="I932" t="n">
        <v>2028</v>
      </c>
      <c r="J932" t="n">
        <v>2009</v>
      </c>
      <c r="K932" t="inlineStr">
        <is>
          <t>SETIEMBRE 2023</t>
        </is>
      </c>
      <c r="L932" t="inlineStr">
        <is>
          <t>SETIEMBRE 2024</t>
        </is>
      </c>
      <c r="M932" t="inlineStr">
        <is>
          <t xml:space="preserve">P.Q.S TIPO ABC AL 90% NACIONAL </t>
        </is>
      </c>
      <c r="N932" t="inlineStr">
        <is>
          <t>320/002699</t>
        </is>
      </c>
      <c r="O932" t="inlineStr">
        <is>
          <t>R</t>
        </is>
      </c>
      <c r="P932">
        <f>TRIM(N932)</f>
        <v/>
      </c>
    </row>
    <row r="933">
      <c r="A933" t="inlineStr">
        <is>
          <t>CO-001592</t>
        </is>
      </c>
      <c r="B933" t="inlineStr">
        <is>
          <t>PERU MASIVO S.A.</t>
        </is>
      </c>
      <c r="C933" t="inlineStr">
        <is>
          <t>20492392031</t>
        </is>
      </c>
      <c r="D933" t="inlineStr">
        <is>
          <t>AV. LOS INCAS CDRA. 4 PATIO NORTE - COMAS</t>
        </is>
      </c>
      <c r="E933" t="inlineStr">
        <is>
          <t>Lima,26 de Setiembre de 2023</t>
        </is>
      </c>
      <c r="F933" t="inlineStr">
        <is>
          <t>la Recarga y mantenimiento</t>
        </is>
      </c>
      <c r="G933" t="inlineStr">
        <is>
          <t>05</t>
        </is>
      </c>
      <c r="H933" t="inlineStr">
        <is>
          <t>06 KG</t>
        </is>
      </c>
      <c r="I933" t="inlineStr">
        <is>
          <t>2028</t>
        </is>
      </c>
      <c r="J933" t="inlineStr">
        <is>
          <t>2009</t>
        </is>
      </c>
      <c r="K933" t="inlineStr">
        <is>
          <t>SETIEMBRE 2023</t>
        </is>
      </c>
      <c r="L933" t="inlineStr">
        <is>
          <t>SETIEMBRE 2024</t>
        </is>
      </c>
      <c r="M933" t="inlineStr">
        <is>
          <t xml:space="preserve">P.Q.S TIPO ABC AL 90% NACIONAL </t>
        </is>
      </c>
      <c r="N933" t="inlineStr">
        <is>
          <t>225/001938</t>
        </is>
      </c>
      <c r="O933" t="inlineStr">
        <is>
          <t>R</t>
        </is>
      </c>
      <c r="P933">
        <f>TRIM(N933)</f>
        <v/>
      </c>
    </row>
    <row r="934">
      <c r="A934" t="inlineStr">
        <is>
          <t>CO-001592</t>
        </is>
      </c>
      <c r="B934" t="inlineStr">
        <is>
          <t>PERU MASIVO S.A.</t>
        </is>
      </c>
      <c r="C934" t="inlineStr">
        <is>
          <t>20492392031</t>
        </is>
      </c>
      <c r="D934" t="inlineStr">
        <is>
          <t>AV. LOS INCAS CDRA. 4 PATIO NORTE - COMAS</t>
        </is>
      </c>
      <c r="E934" t="inlineStr">
        <is>
          <t>Lima,26 de Setiembre de 2023</t>
        </is>
      </c>
      <c r="F934" t="inlineStr">
        <is>
          <t>la Recarga y mantenimiento</t>
        </is>
      </c>
      <c r="G934" t="inlineStr">
        <is>
          <t>06</t>
        </is>
      </c>
      <c r="H934" t="inlineStr">
        <is>
          <t>06 KG</t>
        </is>
      </c>
      <c r="I934" t="inlineStr">
        <is>
          <t>2028</t>
        </is>
      </c>
      <c r="J934" t="inlineStr">
        <is>
          <t>2009</t>
        </is>
      </c>
      <c r="K934" t="inlineStr">
        <is>
          <t>SETIEMBRE 2023</t>
        </is>
      </c>
      <c r="L934" t="inlineStr">
        <is>
          <t>SETIEMBRE 2024</t>
        </is>
      </c>
      <c r="M934" t="inlineStr">
        <is>
          <t xml:space="preserve">P.Q.S TIPO ABC AL 90% NACIONAL </t>
        </is>
      </c>
      <c r="N934" t="inlineStr">
        <is>
          <t>73/001523</t>
        </is>
      </c>
      <c r="O934" t="inlineStr">
        <is>
          <t>R</t>
        </is>
      </c>
      <c r="P934">
        <f>TRIM(N934)</f>
        <v/>
      </c>
    </row>
    <row r="935">
      <c r="A935" t="inlineStr">
        <is>
          <t>CO-001592</t>
        </is>
      </c>
      <c r="B935" t="inlineStr">
        <is>
          <t>PERU MASIVO S.A.</t>
        </is>
      </c>
      <c r="C935" t="inlineStr">
        <is>
          <t>20492392031</t>
        </is>
      </c>
      <c r="D935" t="inlineStr">
        <is>
          <t>AV. LOS INCAS CDRA. 4 PATIO NORTE - COMAS</t>
        </is>
      </c>
      <c r="E935" t="inlineStr">
        <is>
          <t>Lima,26 de Setiembre de 2023</t>
        </is>
      </c>
      <c r="F935" t="inlineStr">
        <is>
          <t>la Recarga y mantenimiento</t>
        </is>
      </c>
      <c r="G935" t="inlineStr">
        <is>
          <t>07</t>
        </is>
      </c>
      <c r="H935" t="inlineStr">
        <is>
          <t>06 KG</t>
        </is>
      </c>
      <c r="I935" t="inlineStr">
        <is>
          <t>2028</t>
        </is>
      </c>
      <c r="J935" t="inlineStr">
        <is>
          <t>2009</t>
        </is>
      </c>
      <c r="K935" t="inlineStr">
        <is>
          <t>SETIEMBRE 2023</t>
        </is>
      </c>
      <c r="L935" t="inlineStr">
        <is>
          <t>SETIEMBRE 2024</t>
        </is>
      </c>
      <c r="M935" t="inlineStr">
        <is>
          <t xml:space="preserve">P.Q.S TIPO ABC AL 90% NACIONAL </t>
        </is>
      </c>
      <c r="N935" t="inlineStr">
        <is>
          <t>370/001130</t>
        </is>
      </c>
      <c r="O935" t="inlineStr">
        <is>
          <t>R</t>
        </is>
      </c>
      <c r="P935">
        <f>TRIM(N935)</f>
        <v/>
      </c>
    </row>
    <row r="936">
      <c r="A936" t="inlineStr">
        <is>
          <t>CO-001592</t>
        </is>
      </c>
      <c r="B936" t="inlineStr">
        <is>
          <t>PERU MASIVO S.A.</t>
        </is>
      </c>
      <c r="C936" t="inlineStr">
        <is>
          <t>20492392031</t>
        </is>
      </c>
      <c r="D936" t="inlineStr">
        <is>
          <t>AV. LOS INCAS CDRA. 4 PATIO NORTE - COMAS</t>
        </is>
      </c>
      <c r="E936" t="inlineStr">
        <is>
          <t>Lima,26 de Setiembre de 2023</t>
        </is>
      </c>
      <c r="F936" t="inlineStr">
        <is>
          <t>la Recarga y mantenimiento</t>
        </is>
      </c>
      <c r="G936" t="inlineStr">
        <is>
          <t>08</t>
        </is>
      </c>
      <c r="H936" t="inlineStr">
        <is>
          <t>06 KG</t>
        </is>
      </c>
      <c r="I936" t="inlineStr">
        <is>
          <t>2028</t>
        </is>
      </c>
      <c r="J936" t="inlineStr">
        <is>
          <t>2009</t>
        </is>
      </c>
      <c r="K936" t="inlineStr">
        <is>
          <t>SETIEMBRE 2023</t>
        </is>
      </c>
      <c r="L936" t="inlineStr">
        <is>
          <t>SETIEMBRE 2024</t>
        </is>
      </c>
      <c r="M936" t="inlineStr">
        <is>
          <t xml:space="preserve">P.Q.S TIPO ABC AL 90% NACIONAL </t>
        </is>
      </c>
      <c r="N936" t="inlineStr">
        <is>
          <t>82/001024</t>
        </is>
      </c>
      <c r="O936" t="inlineStr">
        <is>
          <t>R</t>
        </is>
      </c>
      <c r="P936">
        <f>TRIM(N936)</f>
        <v/>
      </c>
    </row>
    <row r="937">
      <c r="A937" t="inlineStr">
        <is>
          <t>CO-001592</t>
        </is>
      </c>
      <c r="B937" t="inlineStr">
        <is>
          <t>PERU MASIVO S.A.</t>
        </is>
      </c>
      <c r="C937" t="inlineStr">
        <is>
          <t>20492392031</t>
        </is>
      </c>
      <c r="D937" t="inlineStr">
        <is>
          <t>AV. LOS INCAS CDRA. 4 PATIO NORTE - COMAS</t>
        </is>
      </c>
      <c r="E937" t="inlineStr">
        <is>
          <t>Lima,26 de Setiembre de 2023</t>
        </is>
      </c>
      <c r="F937" t="inlineStr">
        <is>
          <t>la Recarga y mantenimiento</t>
        </is>
      </c>
      <c r="G937" t="inlineStr">
        <is>
          <t>09</t>
        </is>
      </c>
      <c r="H937" t="inlineStr">
        <is>
          <t>06 KG</t>
        </is>
      </c>
      <c r="I937" t="inlineStr">
        <is>
          <t>2028</t>
        </is>
      </c>
      <c r="J937" t="inlineStr">
        <is>
          <t>2009</t>
        </is>
      </c>
      <c r="K937" t="inlineStr">
        <is>
          <t>SETIEMBRE 2023</t>
        </is>
      </c>
      <c r="L937" t="inlineStr">
        <is>
          <t>SETIEMBRE 2024</t>
        </is>
      </c>
      <c r="M937" t="inlineStr">
        <is>
          <t xml:space="preserve">P.Q.S TIPO ABC AL 90% NACIONAL </t>
        </is>
      </c>
      <c r="N937" t="inlineStr">
        <is>
          <t>100/001093</t>
        </is>
      </c>
      <c r="O937" t="inlineStr">
        <is>
          <t>R</t>
        </is>
      </c>
      <c r="P937">
        <f>TRIM(N937)</f>
        <v/>
      </c>
    </row>
    <row r="938">
      <c r="A938" t="inlineStr">
        <is>
          <t>CO-001592</t>
        </is>
      </c>
      <c r="B938" t="inlineStr">
        <is>
          <t>PERU MASIVO S.A.</t>
        </is>
      </c>
      <c r="C938" t="inlineStr">
        <is>
          <t>20492392031</t>
        </is>
      </c>
      <c r="D938" t="inlineStr">
        <is>
          <t>AV. LOS INCAS CDRA. 4 PATIO NORTE - COMAS</t>
        </is>
      </c>
      <c r="E938" t="inlineStr">
        <is>
          <t>Lima,26 de Setiembre de 2023</t>
        </is>
      </c>
      <c r="F938" t="inlineStr">
        <is>
          <t>la Recarga y mantenimiento</t>
        </is>
      </c>
      <c r="G938" t="inlineStr">
        <is>
          <t>10</t>
        </is>
      </c>
      <c r="H938" t="inlineStr">
        <is>
          <t>06 KG</t>
        </is>
      </c>
      <c r="I938" t="inlineStr">
        <is>
          <t>2028</t>
        </is>
      </c>
      <c r="J938" t="inlineStr">
        <is>
          <t>2010</t>
        </is>
      </c>
      <c r="K938" t="inlineStr">
        <is>
          <t>SETIEMBRE 2023</t>
        </is>
      </c>
      <c r="L938" t="inlineStr">
        <is>
          <t>SETIEMBRE 2024</t>
        </is>
      </c>
      <c r="M938" t="inlineStr">
        <is>
          <t xml:space="preserve">P.Q.S TIPO ABC AL 90% NACIONAL </t>
        </is>
      </c>
      <c r="N938" t="inlineStr">
        <is>
          <t>272/000558</t>
        </is>
      </c>
      <c r="O938" t="inlineStr">
        <is>
          <t>R</t>
        </is>
      </c>
      <c r="P938">
        <f>TRIM(N938)</f>
        <v/>
      </c>
    </row>
    <row r="939">
      <c r="A939" t="inlineStr">
        <is>
          <t>CO-001592</t>
        </is>
      </c>
      <c r="B939" t="inlineStr">
        <is>
          <t>PERU MASIVO S.A.</t>
        </is>
      </c>
      <c r="C939" t="inlineStr">
        <is>
          <t>20492392031</t>
        </is>
      </c>
      <c r="D939" t="inlineStr">
        <is>
          <t>AV. LOS INCAS CDRA. 4 PATIO NORTE - COMAS</t>
        </is>
      </c>
      <c r="E939" t="inlineStr">
        <is>
          <t>Lima,26 de Setiembre de 2023</t>
        </is>
      </c>
      <c r="F939" t="inlineStr">
        <is>
          <t>la Recarga y mantenimiento</t>
        </is>
      </c>
      <c r="G939" t="inlineStr">
        <is>
          <t>11</t>
        </is>
      </c>
      <c r="H939" t="inlineStr">
        <is>
          <t>06 KG</t>
        </is>
      </c>
      <c r="I939" t="inlineStr">
        <is>
          <t>2028</t>
        </is>
      </c>
      <c r="J939" t="inlineStr">
        <is>
          <t>2014</t>
        </is>
      </c>
      <c r="K939" t="inlineStr">
        <is>
          <t>SETIEMBRE 2023</t>
        </is>
      </c>
      <c r="L939" t="inlineStr">
        <is>
          <t>SETIEMBRE 2024</t>
        </is>
      </c>
      <c r="M939" t="inlineStr">
        <is>
          <t xml:space="preserve">P.Q.S TIPO ABC AL 90% NACIONAL </t>
        </is>
      </c>
      <c r="N939" t="inlineStr">
        <is>
          <t>S/N/000472</t>
        </is>
      </c>
      <c r="O939" t="inlineStr">
        <is>
          <t>R</t>
        </is>
      </c>
      <c r="P939">
        <f>TRIM(N939)</f>
        <v/>
      </c>
    </row>
    <row r="940">
      <c r="A940" t="inlineStr">
        <is>
          <t>CO-001592</t>
        </is>
      </c>
      <c r="B940" t="inlineStr">
        <is>
          <t>PERU MASIVO S.A.</t>
        </is>
      </c>
      <c r="C940" t="inlineStr">
        <is>
          <t>20492392031</t>
        </is>
      </c>
      <c r="D940" t="inlineStr">
        <is>
          <t>AV. LOS INCAS CDRA. 4 PATIO NORTE - COMAS</t>
        </is>
      </c>
      <c r="E940" t="inlineStr">
        <is>
          <t>Lima,26 de Setiembre de 2023</t>
        </is>
      </c>
      <c r="F940" t="inlineStr">
        <is>
          <t>la Recarga y mantenimiento</t>
        </is>
      </c>
      <c r="G940" t="inlineStr">
        <is>
          <t>12</t>
        </is>
      </c>
      <c r="H940" t="inlineStr">
        <is>
          <t>06 KG</t>
        </is>
      </c>
      <c r="I940" t="inlineStr">
        <is>
          <t>2028</t>
        </is>
      </c>
      <c r="J940" t="inlineStr">
        <is>
          <t>2011</t>
        </is>
      </c>
      <c r="K940" t="inlineStr">
        <is>
          <t>SETIEMBRE 2023</t>
        </is>
      </c>
      <c r="L940" t="inlineStr">
        <is>
          <t>SETIEMBRE 2024</t>
        </is>
      </c>
      <c r="M940" t="inlineStr">
        <is>
          <t xml:space="preserve">P.Q.S TIPO ABC AL 90% NACIONAL </t>
        </is>
      </c>
      <c r="N940" t="inlineStr">
        <is>
          <t>S/N/000006</t>
        </is>
      </c>
      <c r="O940" t="inlineStr">
        <is>
          <t>R</t>
        </is>
      </c>
      <c r="P940">
        <f>TRIM(N940)</f>
        <v/>
      </c>
    </row>
    <row r="941">
      <c r="A941" t="inlineStr">
        <is>
          <t>CO-001592</t>
        </is>
      </c>
      <c r="B941" t="inlineStr">
        <is>
          <t>PERU MASIVO S.A.</t>
        </is>
      </c>
      <c r="C941" t="inlineStr">
        <is>
          <t>20492392031</t>
        </is>
      </c>
      <c r="D941" t="inlineStr">
        <is>
          <t>AV. LOS INCAS CDRA. 4 PATIO NORTE - COMAS</t>
        </is>
      </c>
      <c r="E941" t="inlineStr">
        <is>
          <t>Lima,26 de Setiembre de 2023</t>
        </is>
      </c>
      <c r="F941" t="inlineStr">
        <is>
          <t>la Recarga y mantenimiento</t>
        </is>
      </c>
      <c r="G941" t="inlineStr">
        <is>
          <t>13</t>
        </is>
      </c>
      <c r="H941" t="inlineStr">
        <is>
          <t>06 KG</t>
        </is>
      </c>
      <c r="I941" t="inlineStr">
        <is>
          <t>2028</t>
        </is>
      </c>
      <c r="J941" t="inlineStr">
        <is>
          <t>2010</t>
        </is>
      </c>
      <c r="K941" t="inlineStr">
        <is>
          <t>SETIEMBRE 2023</t>
        </is>
      </c>
      <c r="L941" t="inlineStr">
        <is>
          <t>SETIEMBRE 2024</t>
        </is>
      </c>
      <c r="M941" t="inlineStr">
        <is>
          <t xml:space="preserve">P.Q.S TIPO ABC AL 90% NACIONAL </t>
        </is>
      </c>
      <c r="N941" t="inlineStr">
        <is>
          <t>26/000905</t>
        </is>
      </c>
      <c r="O941" t="inlineStr">
        <is>
          <t>R</t>
        </is>
      </c>
      <c r="P941">
        <f>TRIM(N941)</f>
        <v/>
      </c>
    </row>
    <row r="942">
      <c r="A942" t="inlineStr">
        <is>
          <t>CO-001593</t>
        </is>
      </c>
      <c r="B942" t="inlineStr">
        <is>
          <t>VIRGINIA BAILON PATRICIO</t>
        </is>
      </c>
      <c r="D942" t="inlineStr">
        <is>
          <t>JR AREQUIPA 391 - COMAS</t>
        </is>
      </c>
      <c r="E942" t="inlineStr">
        <is>
          <t>Lima,26 de Setiembre de 2023</t>
        </is>
      </c>
      <c r="F942" t="inlineStr">
        <is>
          <t>la Recarga y mantenimiento</t>
        </is>
      </c>
      <c r="G942" t="inlineStr">
        <is>
          <t>01</t>
        </is>
      </c>
      <c r="H942" t="inlineStr">
        <is>
          <t>06 KG</t>
        </is>
      </c>
      <c r="I942" t="inlineStr">
        <is>
          <t>2024</t>
        </is>
      </c>
      <c r="J942" t="n">
        <v>2019</v>
      </c>
      <c r="K942" t="inlineStr">
        <is>
          <t>SETIEMBRE 2023</t>
        </is>
      </c>
      <c r="L942" t="inlineStr">
        <is>
          <t>SETIEMBRE 2024</t>
        </is>
      </c>
      <c r="M942" t="inlineStr">
        <is>
          <t>P.Q.S TIPO ABC</t>
        </is>
      </c>
      <c r="N942" t="inlineStr">
        <is>
          <t>01/000167</t>
        </is>
      </c>
      <c r="O942" t="inlineStr">
        <is>
          <t>R</t>
        </is>
      </c>
      <c r="P942">
        <f>TRIM(N942)</f>
        <v/>
      </c>
    </row>
    <row r="943">
      <c r="A943" t="inlineStr">
        <is>
          <t>CO-001594</t>
        </is>
      </c>
      <c r="B943" t="inlineStr">
        <is>
          <t>AVICOLA GOUS</t>
        </is>
      </c>
      <c r="D943" t="inlineStr">
        <is>
          <t>MERCADO AÑO NUEVO - PUESTO 60-61</t>
        </is>
      </c>
      <c r="E943" t="inlineStr">
        <is>
          <t>Lima,26 de Setiembre de 2023</t>
        </is>
      </c>
      <c r="F943" t="inlineStr">
        <is>
          <t>la Recarga y mantenimiento</t>
        </is>
      </c>
      <c r="G943" t="inlineStr">
        <is>
          <t>01</t>
        </is>
      </c>
      <c r="H943" t="inlineStr">
        <is>
          <t>06 KG</t>
        </is>
      </c>
      <c r="I943" t="inlineStr">
        <is>
          <t>2027</t>
        </is>
      </c>
      <c r="J943" t="n">
        <v>2022</v>
      </c>
      <c r="K943" t="inlineStr">
        <is>
          <t>SETIEMBRE 2023</t>
        </is>
      </c>
      <c r="L943" t="inlineStr">
        <is>
          <t>SETIEMBRE 2024</t>
        </is>
      </c>
      <c r="M943" t="inlineStr">
        <is>
          <t>P.Q.S TIPO ABC</t>
        </is>
      </c>
      <c r="N943" t="inlineStr">
        <is>
          <t>01/307159</t>
        </is>
      </c>
      <c r="O943" t="inlineStr">
        <is>
          <t>R</t>
        </is>
      </c>
      <c r="P943">
        <f>TRIM(N943)</f>
        <v/>
      </c>
    </row>
    <row r="944">
      <c r="A944" t="inlineStr">
        <is>
          <t>CO-001594</t>
        </is>
      </c>
      <c r="B944" t="inlineStr">
        <is>
          <t>AVICOLA GOUS</t>
        </is>
      </c>
      <c r="D944" t="inlineStr">
        <is>
          <t>MERCADO AÑO NUEVO - PUESTO 60-61</t>
        </is>
      </c>
      <c r="E944" t="inlineStr">
        <is>
          <t>Lima,26 de Setiembre de 2023</t>
        </is>
      </c>
      <c r="F944" t="inlineStr">
        <is>
          <t>la Recarga y mantenimiento</t>
        </is>
      </c>
      <c r="G944" t="inlineStr">
        <is>
          <t>02</t>
        </is>
      </c>
      <c r="H944" t="inlineStr">
        <is>
          <t>06 KG</t>
        </is>
      </c>
      <c r="I944" t="inlineStr">
        <is>
          <t>2027</t>
        </is>
      </c>
      <c r="J944" t="n">
        <v>2022</v>
      </c>
      <c r="K944" t="inlineStr">
        <is>
          <t>SETIEMBRE 2023</t>
        </is>
      </c>
      <c r="L944" t="inlineStr">
        <is>
          <t xml:space="preserve">SETIEMBRE 2024 </t>
        </is>
      </c>
      <c r="M944" t="inlineStr">
        <is>
          <t>P.Q.S TIPO ABC</t>
        </is>
      </c>
      <c r="N944" t="inlineStr">
        <is>
          <t>01/307194</t>
        </is>
      </c>
      <c r="O944" t="inlineStr">
        <is>
          <t>R</t>
        </is>
      </c>
      <c r="P944">
        <f>TRIM(N944)</f>
        <v/>
      </c>
    </row>
    <row r="945">
      <c r="A945" t="inlineStr">
        <is>
          <t>CO-001595</t>
        </is>
      </c>
      <c r="B945" t="inlineStr">
        <is>
          <t>TEODOCIA QUISPE</t>
        </is>
      </c>
      <c r="D945" t="inlineStr">
        <is>
          <t>MERCADO AÑO NUEVO - PUESTO 62</t>
        </is>
      </c>
      <c r="E945" t="inlineStr">
        <is>
          <t>Lima,26 de Setiembre de 2023</t>
        </is>
      </c>
      <c r="F945" t="inlineStr">
        <is>
          <t>la Recarga y mantenimiento</t>
        </is>
      </c>
      <c r="G945" t="inlineStr">
        <is>
          <t>01</t>
        </is>
      </c>
      <c r="H945" t="inlineStr">
        <is>
          <t>06 KG</t>
        </is>
      </c>
      <c r="I945" t="inlineStr">
        <is>
          <t>VIGENTE</t>
        </is>
      </c>
      <c r="J945" t="n">
        <v>2015</v>
      </c>
      <c r="K945" t="inlineStr">
        <is>
          <t>SETIEMBRE 2023</t>
        </is>
      </c>
      <c r="L945" t="inlineStr">
        <is>
          <t>SETIEMBRE 2024</t>
        </is>
      </c>
      <c r="M945" t="inlineStr">
        <is>
          <t>P.Q.S TIPO ABC</t>
        </is>
      </c>
      <c r="N945" t="inlineStr">
        <is>
          <t>01/001208</t>
        </is>
      </c>
      <c r="O945" t="inlineStr">
        <is>
          <t>R</t>
        </is>
      </c>
      <c r="P945">
        <f>TRIM(N945)</f>
        <v/>
      </c>
    </row>
    <row r="946">
      <c r="A946" t="inlineStr">
        <is>
          <t>CO-001596</t>
        </is>
      </c>
      <c r="B946" t="inlineStr">
        <is>
          <t>RELOJERIA LEYVA</t>
        </is>
      </c>
      <c r="D946" t="inlineStr">
        <is>
          <t>MERCADO AÑO NUEVO - PUESTO 211</t>
        </is>
      </c>
      <c r="E946" t="inlineStr">
        <is>
          <t>Lima,26 de Setiembre de 2023</t>
        </is>
      </c>
      <c r="F946" t="inlineStr">
        <is>
          <t>la Recarga y mantenimiento</t>
        </is>
      </c>
      <c r="G946" t="inlineStr">
        <is>
          <t>01</t>
        </is>
      </c>
      <c r="H946" t="inlineStr">
        <is>
          <t>06 KG</t>
        </is>
      </c>
      <c r="I946" t="inlineStr">
        <is>
          <t>VIGENTE</t>
        </is>
      </c>
      <c r="J946" t="n">
        <v>2013</v>
      </c>
      <c r="K946" t="inlineStr">
        <is>
          <t>SETIEMBRE 2023</t>
        </is>
      </c>
      <c r="L946" t="inlineStr">
        <is>
          <t>SETIEMBRE 2024</t>
        </is>
      </c>
      <c r="M946" t="inlineStr">
        <is>
          <t>P.Q.S TIPO ABC</t>
        </is>
      </c>
      <c r="N946" t="inlineStr">
        <is>
          <t>01/000327</t>
        </is>
      </c>
      <c r="O946" t="inlineStr">
        <is>
          <t>R</t>
        </is>
      </c>
      <c r="P946">
        <f>TRIM(N946)</f>
        <v/>
      </c>
    </row>
    <row r="947">
      <c r="A947" t="inlineStr">
        <is>
          <t>CO-001597</t>
        </is>
      </c>
      <c r="B947" t="inlineStr">
        <is>
          <t>ACUMERCAN</t>
        </is>
      </c>
      <c r="D947" t="inlineStr">
        <is>
          <t>MERCADO AÑO NUEVO</t>
        </is>
      </c>
      <c r="E947" t="inlineStr">
        <is>
          <t>Lima,27 de Setiembre de 2023</t>
        </is>
      </c>
      <c r="F947" t="inlineStr">
        <is>
          <t>la Recarga y mantenimiento</t>
        </is>
      </c>
      <c r="G947" t="inlineStr">
        <is>
          <t>01</t>
        </is>
      </c>
      <c r="H947" t="inlineStr">
        <is>
          <t>12 KG</t>
        </is>
      </c>
      <c r="I947" t="inlineStr">
        <is>
          <t>2025</t>
        </is>
      </c>
      <c r="J947" t="n">
        <v>2012</v>
      </c>
      <c r="K947" t="inlineStr">
        <is>
          <t>SETIEMBRE 2023</t>
        </is>
      </c>
      <c r="L947" t="inlineStr">
        <is>
          <t>SETIEMBRE 2024</t>
        </is>
      </c>
      <c r="M947" t="inlineStr">
        <is>
          <t xml:space="preserve">P.Q.S TIPO ABC AL 75% </t>
        </is>
      </c>
      <c r="N947" t="inlineStr">
        <is>
          <t>01/000358</t>
        </is>
      </c>
      <c r="O947" t="inlineStr">
        <is>
          <t>R</t>
        </is>
      </c>
      <c r="P947">
        <f>TRIM(N947)</f>
        <v/>
      </c>
    </row>
    <row r="948">
      <c r="A948" t="inlineStr">
        <is>
          <t>CO-001597</t>
        </is>
      </c>
      <c r="B948" t="inlineStr">
        <is>
          <t>ACUMERCAN</t>
        </is>
      </c>
      <c r="D948" t="inlineStr">
        <is>
          <t>MERCADO AÑO NUEVO</t>
        </is>
      </c>
      <c r="E948" t="inlineStr">
        <is>
          <t>Lima,27 de Setiembre de 2023</t>
        </is>
      </c>
      <c r="F948" t="inlineStr">
        <is>
          <t>la Recarga y mantenimiento</t>
        </is>
      </c>
      <c r="G948" t="inlineStr">
        <is>
          <t>02</t>
        </is>
      </c>
      <c r="H948" t="inlineStr">
        <is>
          <t>12 KG</t>
        </is>
      </c>
      <c r="I948" t="inlineStr">
        <is>
          <t>2025</t>
        </is>
      </c>
      <c r="J948" t="n">
        <v>2000</v>
      </c>
      <c r="K948" t="inlineStr">
        <is>
          <t>SETIEMBRE 2023</t>
        </is>
      </c>
      <c r="L948" t="inlineStr">
        <is>
          <t xml:space="preserve">SETIEMBRE 2024 </t>
        </is>
      </c>
      <c r="M948" t="inlineStr">
        <is>
          <t>P.Q.S TIPO ABC AL 75%</t>
        </is>
      </c>
      <c r="N948" t="inlineStr">
        <is>
          <t>02/000925</t>
        </is>
      </c>
      <c r="O948" t="inlineStr">
        <is>
          <t>R</t>
        </is>
      </c>
      <c r="P948">
        <f>TRIM(N948)</f>
        <v/>
      </c>
    </row>
    <row r="949">
      <c r="A949" t="inlineStr">
        <is>
          <t>CO-001597</t>
        </is>
      </c>
      <c r="B949" t="inlineStr">
        <is>
          <t>ACUMERCAN</t>
        </is>
      </c>
      <c r="D949" t="inlineStr">
        <is>
          <t>MERCADO AÑO NUEVO</t>
        </is>
      </c>
      <c r="E949" t="inlineStr">
        <is>
          <t>Lima,27 de Setiembre de 2023</t>
        </is>
      </c>
      <c r="F949" t="inlineStr">
        <is>
          <t>la Recarga y mantenimiento</t>
        </is>
      </c>
      <c r="G949" t="inlineStr">
        <is>
          <t>03</t>
        </is>
      </c>
      <c r="H949" t="inlineStr">
        <is>
          <t>12 KG</t>
        </is>
      </c>
      <c r="I949" t="n">
        <v>2025</v>
      </c>
      <c r="J949" t="n">
        <v>2009</v>
      </c>
      <c r="K949" t="inlineStr">
        <is>
          <t>SETIEMBRE 2023</t>
        </is>
      </c>
      <c r="L949" t="inlineStr">
        <is>
          <t>SETIEMBRE 2024</t>
        </is>
      </c>
      <c r="M949" t="inlineStr">
        <is>
          <t>P.Q.S TIPO ABC AL 75%</t>
        </is>
      </c>
      <c r="N949" t="inlineStr">
        <is>
          <t>03/000449</t>
        </is>
      </c>
      <c r="O949" t="inlineStr">
        <is>
          <t>R</t>
        </is>
      </c>
      <c r="P949">
        <f>TRIM(N949)</f>
        <v/>
      </c>
    </row>
    <row r="950">
      <c r="A950" t="inlineStr">
        <is>
          <t>CO-001597</t>
        </is>
      </c>
      <c r="B950" t="inlineStr">
        <is>
          <t>ACUMERCAN</t>
        </is>
      </c>
      <c r="D950" t="inlineStr">
        <is>
          <t>MERCADO AÑO NUEVO</t>
        </is>
      </c>
      <c r="E950" t="inlineStr">
        <is>
          <t>Lima,27 de Setiembre de 2023</t>
        </is>
      </c>
      <c r="F950" t="inlineStr">
        <is>
          <t>la Recarga y mantenimiento</t>
        </is>
      </c>
      <c r="G950" t="inlineStr">
        <is>
          <t>04</t>
        </is>
      </c>
      <c r="H950" t="inlineStr">
        <is>
          <t>12 KG</t>
        </is>
      </c>
      <c r="I950" t="n">
        <v>2025</v>
      </c>
      <c r="J950" t="n">
        <v>2009</v>
      </c>
      <c r="K950" t="inlineStr">
        <is>
          <t>SETIEMBRE 2023</t>
        </is>
      </c>
      <c r="L950" t="inlineStr">
        <is>
          <t>SETIEMBRE 2024</t>
        </is>
      </c>
      <c r="M950" t="inlineStr">
        <is>
          <t>P.Q.S TIPO ABC AL 75%</t>
        </is>
      </c>
      <c r="N950" t="inlineStr">
        <is>
          <t>04/000090</t>
        </is>
      </c>
      <c r="O950" t="inlineStr">
        <is>
          <t>R</t>
        </is>
      </c>
      <c r="P950">
        <f>TRIM(N950)</f>
        <v/>
      </c>
    </row>
    <row r="951">
      <c r="A951" t="inlineStr">
        <is>
          <t>CO-001597</t>
        </is>
      </c>
      <c r="B951" t="inlineStr">
        <is>
          <t>ACUMERCAN</t>
        </is>
      </c>
      <c r="D951" t="inlineStr">
        <is>
          <t>MERCADO AÑO NUEVO</t>
        </is>
      </c>
      <c r="E951" t="inlineStr">
        <is>
          <t>Lima,27 de Setiembre de 2023</t>
        </is>
      </c>
      <c r="F951" t="inlineStr">
        <is>
          <t>la Recarga y mantenimiento</t>
        </is>
      </c>
      <c r="G951" t="inlineStr">
        <is>
          <t>05</t>
        </is>
      </c>
      <c r="H951" t="inlineStr">
        <is>
          <t>12 KG</t>
        </is>
      </c>
      <c r="I951" t="n">
        <v>2025</v>
      </c>
      <c r="J951" t="n">
        <v>2015</v>
      </c>
      <c r="K951" t="inlineStr">
        <is>
          <t>SETIEMBRE 2023</t>
        </is>
      </c>
      <c r="L951" t="inlineStr">
        <is>
          <t>SETIEMBRE 2024</t>
        </is>
      </c>
      <c r="M951" t="inlineStr">
        <is>
          <t>P.Q.S TIPO ABC AL 75%</t>
        </is>
      </c>
      <c r="N951" t="inlineStr">
        <is>
          <t>05/000299</t>
        </is>
      </c>
      <c r="O951" t="inlineStr">
        <is>
          <t>R</t>
        </is>
      </c>
      <c r="P951">
        <f>TRIM(N951)</f>
        <v/>
      </c>
    </row>
    <row r="952">
      <c r="A952" t="inlineStr">
        <is>
          <t>CO-001597</t>
        </is>
      </c>
      <c r="B952" t="inlineStr">
        <is>
          <t>ACUMERCAN</t>
        </is>
      </c>
      <c r="D952" t="inlineStr">
        <is>
          <t>MERCADO AÑO NUEVO</t>
        </is>
      </c>
      <c r="E952" t="inlineStr">
        <is>
          <t>Lima,27 de Setiembre de 2023</t>
        </is>
      </c>
      <c r="F952" t="inlineStr">
        <is>
          <t>la Recarga y mantenimiento</t>
        </is>
      </c>
      <c r="G952" t="inlineStr">
        <is>
          <t>06</t>
        </is>
      </c>
      <c r="H952" t="inlineStr">
        <is>
          <t>12 KG</t>
        </is>
      </c>
      <c r="I952" t="n">
        <v>2025</v>
      </c>
      <c r="J952" t="n">
        <v>2020</v>
      </c>
      <c r="K952" t="inlineStr">
        <is>
          <t>SETIEMBRE 2023</t>
        </is>
      </c>
      <c r="L952" t="inlineStr">
        <is>
          <t>SETIEMBRE 2024</t>
        </is>
      </c>
      <c r="M952" t="inlineStr">
        <is>
          <t>P.Q.S TIPO ABC AL 75%</t>
        </is>
      </c>
      <c r="N952" t="inlineStr">
        <is>
          <t>06/000458</t>
        </is>
      </c>
      <c r="O952" t="inlineStr">
        <is>
          <t>R</t>
        </is>
      </c>
      <c r="P952">
        <f>TRIM(N952)</f>
        <v/>
      </c>
    </row>
    <row r="953">
      <c r="A953" t="inlineStr">
        <is>
          <t>CO-001597</t>
        </is>
      </c>
      <c r="B953" t="inlineStr">
        <is>
          <t>ACUMERCAN</t>
        </is>
      </c>
      <c r="D953" t="inlineStr">
        <is>
          <t>MERCADO AÑO NUEVO</t>
        </is>
      </c>
      <c r="E953" t="inlineStr">
        <is>
          <t>Lima,27 de Setiembre de 2023</t>
        </is>
      </c>
      <c r="F953" t="inlineStr">
        <is>
          <t>la Recarga y mantenimiento</t>
        </is>
      </c>
      <c r="G953" t="inlineStr">
        <is>
          <t>07</t>
        </is>
      </c>
      <c r="H953" t="inlineStr">
        <is>
          <t>06 KG</t>
        </is>
      </c>
      <c r="I953" t="n">
        <v>2025</v>
      </c>
      <c r="J953" t="n">
        <v>2011</v>
      </c>
      <c r="K953" t="inlineStr">
        <is>
          <t>SETIEMBRE 2023</t>
        </is>
      </c>
      <c r="L953" t="inlineStr">
        <is>
          <t>SETIEMBRE 2024</t>
        </is>
      </c>
      <c r="M953" t="inlineStr">
        <is>
          <t>P.Q.S TIPO ABC AL 75%</t>
        </is>
      </c>
      <c r="N953" t="inlineStr">
        <is>
          <t>S/N</t>
        </is>
      </c>
      <c r="O953" t="inlineStr">
        <is>
          <t>R</t>
        </is>
      </c>
      <c r="P953">
        <f>TRIM(N953)</f>
        <v/>
      </c>
    </row>
    <row r="954">
      <c r="A954" t="inlineStr">
        <is>
          <t>CO-001597</t>
        </is>
      </c>
      <c r="B954" t="inlineStr">
        <is>
          <t>ACUMERCAN</t>
        </is>
      </c>
      <c r="D954" t="inlineStr">
        <is>
          <t>MERCADO AÑO NUEVO</t>
        </is>
      </c>
      <c r="E954" t="inlineStr">
        <is>
          <t>Lima,27 de Setiembre de 2023</t>
        </is>
      </c>
      <c r="F954" t="inlineStr">
        <is>
          <t>la Recarga y mantenimiento</t>
        </is>
      </c>
      <c r="G954" t="inlineStr">
        <is>
          <t>08</t>
        </is>
      </c>
      <c r="H954" t="inlineStr">
        <is>
          <t>12 KG</t>
        </is>
      </c>
      <c r="I954" t="n">
        <v>2025</v>
      </c>
      <c r="J954" t="n">
        <v>2012</v>
      </c>
      <c r="K954" t="inlineStr">
        <is>
          <t>SETIEMBRE 2023</t>
        </is>
      </c>
      <c r="L954" t="inlineStr">
        <is>
          <t>SETIEMBRE 2024</t>
        </is>
      </c>
      <c r="M954" t="inlineStr">
        <is>
          <t>P.Q.S TIPO ABC AL 75%</t>
        </is>
      </c>
      <c r="N954" t="inlineStr">
        <is>
          <t>08/000064</t>
        </is>
      </c>
      <c r="O954" t="inlineStr">
        <is>
          <t>R</t>
        </is>
      </c>
      <c r="P954">
        <f>TRIM(N954)</f>
        <v/>
      </c>
    </row>
    <row r="955">
      <c r="A955" t="inlineStr">
        <is>
          <t>CO-001597</t>
        </is>
      </c>
      <c r="B955" t="inlineStr">
        <is>
          <t>ACUMERCAN</t>
        </is>
      </c>
      <c r="D955" t="inlineStr">
        <is>
          <t>MERCADO AÑO NUEVO</t>
        </is>
      </c>
      <c r="E955" t="inlineStr">
        <is>
          <t>Lima,27 de Setiembre de 2023</t>
        </is>
      </c>
      <c r="F955" t="inlineStr">
        <is>
          <t>la Recarga y mantenimiento</t>
        </is>
      </c>
      <c r="G955" t="inlineStr">
        <is>
          <t>09</t>
        </is>
      </c>
      <c r="H955" t="inlineStr">
        <is>
          <t>12 KG</t>
        </is>
      </c>
      <c r="I955" t="n">
        <v>2025</v>
      </c>
      <c r="J955" t="inlineStr">
        <is>
          <t>-</t>
        </is>
      </c>
      <c r="K955" t="inlineStr">
        <is>
          <t>SETIEMBRE 2023</t>
        </is>
      </c>
      <c r="L955" t="inlineStr">
        <is>
          <t>SETIEMBRE 2024</t>
        </is>
      </c>
      <c r="M955" t="inlineStr">
        <is>
          <t>P.Q.S TIPO ABC AL 75%</t>
        </is>
      </c>
      <c r="N955" t="inlineStr">
        <is>
          <t>S/N</t>
        </is>
      </c>
      <c r="O955" t="inlineStr">
        <is>
          <t>R</t>
        </is>
      </c>
      <c r="P955">
        <f>TRIM(N955)</f>
        <v/>
      </c>
    </row>
    <row r="956">
      <c r="A956" t="inlineStr">
        <is>
          <t>CO-001597</t>
        </is>
      </c>
      <c r="B956" t="inlineStr">
        <is>
          <t>ACUMERCAN</t>
        </is>
      </c>
      <c r="D956" t="inlineStr">
        <is>
          <t>MERCADO AÑO NUEVO</t>
        </is>
      </c>
      <c r="E956" t="inlineStr">
        <is>
          <t>Lima,27 de Setiembre de 2023</t>
        </is>
      </c>
      <c r="F956" t="inlineStr">
        <is>
          <t>la Recarga y mantenimiento</t>
        </is>
      </c>
      <c r="G956" t="n">
        <v>10</v>
      </c>
      <c r="H956" t="inlineStr">
        <is>
          <t>12 KG</t>
        </is>
      </c>
      <c r="I956" t="n">
        <v>2025</v>
      </c>
      <c r="J956" t="inlineStr">
        <is>
          <t>-</t>
        </is>
      </c>
      <c r="K956" t="inlineStr">
        <is>
          <t>SETIEMBRE 2023</t>
        </is>
      </c>
      <c r="L956" t="inlineStr">
        <is>
          <t>SETIEMBRE 2024</t>
        </is>
      </c>
      <c r="M956" t="inlineStr">
        <is>
          <t>P.Q.S TIPO ABC AL 75%</t>
        </is>
      </c>
      <c r="N956" t="inlineStr">
        <is>
          <t>S/N</t>
        </is>
      </c>
      <c r="O956" t="inlineStr">
        <is>
          <t>R</t>
        </is>
      </c>
      <c r="P956">
        <f>TRIM(N956)</f>
        <v/>
      </c>
    </row>
    <row r="957">
      <c r="A957" t="inlineStr">
        <is>
          <t>CO-001597</t>
        </is>
      </c>
      <c r="B957" t="inlineStr">
        <is>
          <t>ACUMERCAN</t>
        </is>
      </c>
      <c r="D957" t="inlineStr">
        <is>
          <t>MERCADO AÑO NUEVO</t>
        </is>
      </c>
      <c r="E957" t="inlineStr">
        <is>
          <t>Lima,27 de Setiembre de 2023</t>
        </is>
      </c>
      <c r="F957" t="inlineStr">
        <is>
          <t>la Recarga y mantenimiento</t>
        </is>
      </c>
      <c r="G957" t="n">
        <v>11</v>
      </c>
      <c r="H957" t="inlineStr">
        <is>
          <t>12 KG</t>
        </is>
      </c>
      <c r="I957" t="n">
        <v>2025</v>
      </c>
      <c r="J957" t="inlineStr">
        <is>
          <t>-</t>
        </is>
      </c>
      <c r="K957" t="inlineStr">
        <is>
          <t>SETIEMBRE 2023</t>
        </is>
      </c>
      <c r="L957" t="inlineStr">
        <is>
          <t>SETIEMBRE 2024</t>
        </is>
      </c>
      <c r="M957" t="inlineStr">
        <is>
          <t>P.Q.S TIPO ABC AL 75%</t>
        </is>
      </c>
      <c r="N957" t="inlineStr">
        <is>
          <t>S/N</t>
        </is>
      </c>
      <c r="O957" t="inlineStr">
        <is>
          <t>R</t>
        </is>
      </c>
      <c r="P957">
        <f>TRIM(N957)</f>
        <v/>
      </c>
    </row>
    <row r="958">
      <c r="A958" t="inlineStr">
        <is>
          <t>CO-001597</t>
        </is>
      </c>
      <c r="B958" t="inlineStr">
        <is>
          <t>ACUMERCAN</t>
        </is>
      </c>
      <c r="D958" t="inlineStr">
        <is>
          <t>MERCADO AÑO NUEVO</t>
        </is>
      </c>
      <c r="E958" t="inlineStr">
        <is>
          <t>Lima,27 de Setiembre de 2023</t>
        </is>
      </c>
      <c r="F958" t="inlineStr">
        <is>
          <t>la Recarga y mantenimiento</t>
        </is>
      </c>
      <c r="G958" t="n">
        <v>12</v>
      </c>
      <c r="H958" t="inlineStr">
        <is>
          <t>12 KG</t>
        </is>
      </c>
      <c r="I958" t="n">
        <v>2025</v>
      </c>
      <c r="J958" t="n">
        <v>2015</v>
      </c>
      <c r="K958" t="inlineStr">
        <is>
          <t>SETIEMBRE 2023</t>
        </is>
      </c>
      <c r="L958" t="inlineStr">
        <is>
          <t>SETIEMBRE 2024</t>
        </is>
      </c>
      <c r="M958" t="inlineStr">
        <is>
          <t>P.Q.S TIPO ABC AL 75%</t>
        </is>
      </c>
      <c r="N958" t="inlineStr">
        <is>
          <t>12/000092</t>
        </is>
      </c>
      <c r="O958" t="inlineStr">
        <is>
          <t>R</t>
        </is>
      </c>
      <c r="P958">
        <f>TRIM(N958)</f>
        <v/>
      </c>
    </row>
    <row r="959">
      <c r="A959" t="inlineStr">
        <is>
          <t>CO-001598</t>
        </is>
      </c>
      <c r="B959" t="inlineStr">
        <is>
          <t>RUBEN BALBIN ARTEAGA</t>
        </is>
      </c>
      <c r="C959" t="inlineStr">
        <is>
          <t>19986722</t>
        </is>
      </c>
      <c r="D959" t="inlineStr">
        <is>
          <t xml:space="preserve">MZ A LT 13 URBANIZACION EL ALAMO </t>
        </is>
      </c>
      <c r="E959" t="inlineStr">
        <is>
          <t>Lima,28 de Setiembre de 2023</t>
        </is>
      </c>
      <c r="F959" t="inlineStr">
        <is>
          <t>la Recarga y mantenimiento</t>
        </is>
      </c>
      <c r="G959" t="inlineStr">
        <is>
          <t>01</t>
        </is>
      </c>
      <c r="H959" t="inlineStr">
        <is>
          <t>06 KG</t>
        </is>
      </c>
      <c r="I959" t="inlineStr">
        <is>
          <t>VIGENTE</t>
        </is>
      </c>
      <c r="J959" t="n">
        <v>2016</v>
      </c>
      <c r="K959" t="inlineStr">
        <is>
          <t>SETIEMBRE 2023</t>
        </is>
      </c>
      <c r="L959" t="inlineStr">
        <is>
          <t>SETIEMBRE 2024</t>
        </is>
      </c>
      <c r="M959" t="inlineStr">
        <is>
          <t>P.Q.S TIPO ABC</t>
        </is>
      </c>
      <c r="N959" t="inlineStr">
        <is>
          <t>01/007888</t>
        </is>
      </c>
      <c r="O959" t="inlineStr">
        <is>
          <t>R</t>
        </is>
      </c>
      <c r="P959">
        <f>TRIM(N959)</f>
        <v/>
      </c>
    </row>
    <row r="960">
      <c r="A960" t="inlineStr">
        <is>
          <t>CO-001599</t>
        </is>
      </c>
      <c r="B960" t="inlineStr">
        <is>
          <t>JORGE ENRIQUE OSORIO MERCADO</t>
        </is>
      </c>
      <c r="C960" t="inlineStr">
        <is>
          <t>09467067</t>
        </is>
      </c>
      <c r="D960" t="inlineStr">
        <is>
          <t>PLACA: D0N-369</t>
        </is>
      </c>
      <c r="E960" t="inlineStr">
        <is>
          <t>Lima,02 de Octubre de 2023</t>
        </is>
      </c>
      <c r="F960" t="inlineStr">
        <is>
          <t>la venta</t>
        </is>
      </c>
      <c r="G960" t="inlineStr">
        <is>
          <t>01</t>
        </is>
      </c>
      <c r="H960" t="inlineStr">
        <is>
          <t>02 KG</t>
        </is>
      </c>
      <c r="I960" t="inlineStr">
        <is>
          <t>2028</t>
        </is>
      </c>
      <c r="J960" t="n">
        <v>2022</v>
      </c>
      <c r="K960" t="inlineStr">
        <is>
          <t>OCTUBRE 2023</t>
        </is>
      </c>
      <c r="L960" t="inlineStr">
        <is>
          <t>OCTUBRE 2024</t>
        </is>
      </c>
      <c r="M960" t="inlineStr">
        <is>
          <t>P.Q.S TIPO ABC</t>
        </is>
      </c>
      <c r="N960" t="inlineStr">
        <is>
          <t>01/000531</t>
        </is>
      </c>
      <c r="O960" t="inlineStr">
        <is>
          <t>V</t>
        </is>
      </c>
      <c r="P960">
        <f>TRIM(N960)</f>
        <v/>
      </c>
    </row>
    <row r="961">
      <c r="A961" t="inlineStr">
        <is>
          <t>CO-001600</t>
        </is>
      </c>
      <c r="B961" t="inlineStr">
        <is>
          <t>GUSTAVO  TABOADA FIERRO</t>
        </is>
      </c>
      <c r="C961" t="inlineStr">
        <is>
          <t>41527239</t>
        </is>
      </c>
      <c r="D961" t="inlineStr">
        <is>
          <t>PLACA: BMK-561</t>
        </is>
      </c>
      <c r="E961" t="inlineStr">
        <is>
          <t>Lima,02 de Octubre de 2023</t>
        </is>
      </c>
      <c r="F961" t="inlineStr">
        <is>
          <t>la Recarga y mantenimiento</t>
        </is>
      </c>
      <c r="G961" t="inlineStr">
        <is>
          <t>01</t>
        </is>
      </c>
      <c r="H961" t="inlineStr">
        <is>
          <t>02 KG</t>
        </is>
      </c>
      <c r="I961" t="inlineStr">
        <is>
          <t>2025</t>
        </is>
      </c>
      <c r="J961" t="n">
        <v>2020</v>
      </c>
      <c r="K961" t="inlineStr">
        <is>
          <t>OCTUBRE 2023</t>
        </is>
      </c>
      <c r="L961" t="inlineStr">
        <is>
          <t>OCTUBRE 2024</t>
        </is>
      </c>
      <c r="M961" t="inlineStr">
        <is>
          <t>P.Q.S TIPO ABC</t>
        </is>
      </c>
      <c r="N961" t="inlineStr">
        <is>
          <t>01/000005</t>
        </is>
      </c>
      <c r="O961" t="inlineStr">
        <is>
          <t>R</t>
        </is>
      </c>
      <c r="P961">
        <f>TRIM(N961)</f>
        <v/>
      </c>
    </row>
    <row r="962">
      <c r="A962" t="inlineStr">
        <is>
          <t>CO-001601</t>
        </is>
      </c>
      <c r="B962" t="inlineStr">
        <is>
          <t>JHERSON NARVASTA ROJAS</t>
        </is>
      </c>
      <c r="C962" t="inlineStr">
        <is>
          <t>72817257</t>
        </is>
      </c>
      <c r="D962" t="inlineStr">
        <is>
          <t>PLACA: BVD-902</t>
        </is>
      </c>
      <c r="E962" t="inlineStr">
        <is>
          <t>Lima,04 de Octubre de 2023</t>
        </is>
      </c>
      <c r="F962" t="inlineStr">
        <is>
          <t>la Recarga y mantenimiento</t>
        </is>
      </c>
      <c r="G962" t="inlineStr">
        <is>
          <t>01</t>
        </is>
      </c>
      <c r="H962" t="inlineStr">
        <is>
          <t>04 KG</t>
        </is>
      </c>
      <c r="I962" t="inlineStr">
        <is>
          <t>2025</t>
        </is>
      </c>
      <c r="J962" t="n">
        <v>2020</v>
      </c>
      <c r="K962" t="inlineStr">
        <is>
          <t>OCTUBRE 2023</t>
        </is>
      </c>
      <c r="L962" t="inlineStr">
        <is>
          <t>OCTUBRE 2024</t>
        </is>
      </c>
      <c r="M962" t="inlineStr">
        <is>
          <t>P.Q.S TIPO ABC</t>
        </is>
      </c>
      <c r="N962" t="inlineStr">
        <is>
          <t>01/000641</t>
        </is>
      </c>
      <c r="O962" t="inlineStr">
        <is>
          <t>R</t>
        </is>
      </c>
      <c r="P962">
        <f>TRIM(N962)</f>
        <v/>
      </c>
    </row>
    <row r="963">
      <c r="A963" t="inlineStr">
        <is>
          <t>CO-001602</t>
        </is>
      </c>
      <c r="B963" t="inlineStr">
        <is>
          <t>LUZ MARIA PROA VILCHEZ</t>
        </is>
      </c>
      <c r="D963" t="inlineStr">
        <is>
          <t>JR TARAPACA N° 181 COLLIQUE- COMAS</t>
        </is>
      </c>
      <c r="E963" t="inlineStr">
        <is>
          <t>Lima,05 de Octubre de 2023</t>
        </is>
      </c>
      <c r="F963" t="inlineStr">
        <is>
          <t>la Recarga y mantenimiento</t>
        </is>
      </c>
      <c r="G963" t="inlineStr">
        <is>
          <t>01</t>
        </is>
      </c>
      <c r="H963" t="inlineStr">
        <is>
          <t>04 KG</t>
        </is>
      </c>
      <c r="I963" t="inlineStr">
        <is>
          <t>2027</t>
        </is>
      </c>
      <c r="J963" t="n">
        <v>2011</v>
      </c>
      <c r="K963" t="inlineStr">
        <is>
          <t>OCTUBRE 2023</t>
        </is>
      </c>
      <c r="L963" t="inlineStr">
        <is>
          <t>OCTUBRE 2024</t>
        </is>
      </c>
      <c r="M963" t="inlineStr">
        <is>
          <t>P.Q.S TIPO ABC</t>
        </is>
      </c>
      <c r="N963" t="inlineStr">
        <is>
          <t>01/000011</t>
        </is>
      </c>
      <c r="O963" t="inlineStr">
        <is>
          <t>R</t>
        </is>
      </c>
      <c r="P963">
        <f>TRIM(N963)</f>
        <v/>
      </c>
    </row>
    <row r="964">
      <c r="A964" t="inlineStr">
        <is>
          <t>CO-001603</t>
        </is>
      </c>
      <c r="B964" t="inlineStr">
        <is>
          <t>ELENA PARIONA ROJAS</t>
        </is>
      </c>
      <c r="C964" t="inlineStr">
        <is>
          <t>09965650</t>
        </is>
      </c>
      <c r="D964" t="inlineStr">
        <is>
          <t>AV. CASANAVE N°217 - COMAS</t>
        </is>
      </c>
      <c r="E964" t="inlineStr">
        <is>
          <t>Lima, 06 de Octubre de 2023</t>
        </is>
      </c>
      <c r="F964" t="inlineStr">
        <is>
          <t>la Recarga y mantenimiento</t>
        </is>
      </c>
      <c r="G964" t="inlineStr">
        <is>
          <t>01</t>
        </is>
      </c>
      <c r="H964" t="inlineStr">
        <is>
          <t>06 KG</t>
        </is>
      </c>
      <c r="I964" t="inlineStr">
        <is>
          <t>VIGENTE</t>
        </is>
      </c>
      <c r="J964" t="n">
        <v>2007</v>
      </c>
      <c r="K964" t="inlineStr">
        <is>
          <t>OCTUBRE 2023</t>
        </is>
      </c>
      <c r="L964" t="inlineStr">
        <is>
          <t>OCTUBRE 2024</t>
        </is>
      </c>
      <c r="M964" t="inlineStr">
        <is>
          <t>P.Q.S TIPO ABC</t>
        </is>
      </c>
      <c r="N964" t="inlineStr">
        <is>
          <t>01/006131</t>
        </is>
      </c>
      <c r="O964" t="inlineStr">
        <is>
          <t>R</t>
        </is>
      </c>
      <c r="P964">
        <f>TRIM(N964)</f>
        <v/>
      </c>
    </row>
    <row r="965">
      <c r="A965" t="inlineStr">
        <is>
          <t>CO-001603</t>
        </is>
      </c>
      <c r="B965" t="inlineStr">
        <is>
          <t>ELENA PARIONA ROJAS</t>
        </is>
      </c>
      <c r="C965" t="inlineStr">
        <is>
          <t>09965650</t>
        </is>
      </c>
      <c r="D965" t="inlineStr">
        <is>
          <t>AV. CASANAVE N°217 - COMAS</t>
        </is>
      </c>
      <c r="E965" t="inlineStr">
        <is>
          <t>Lima, 06 de Octubre de 2023</t>
        </is>
      </c>
      <c r="F965" t="inlineStr">
        <is>
          <t>la Recarga y mantenimiento</t>
        </is>
      </c>
      <c r="G965" t="inlineStr">
        <is>
          <t>02</t>
        </is>
      </c>
      <c r="H965" t="inlineStr">
        <is>
          <t>06 KG</t>
        </is>
      </c>
      <c r="I965" t="inlineStr">
        <is>
          <t>VIGENTE</t>
        </is>
      </c>
      <c r="J965" t="n">
        <v>2023</v>
      </c>
      <c r="K965" t="inlineStr">
        <is>
          <t>OCTUBRE 2023</t>
        </is>
      </c>
      <c r="L965" t="inlineStr">
        <is>
          <t>OCTUBRE 2024</t>
        </is>
      </c>
      <c r="M965" t="inlineStr">
        <is>
          <t>P.Q.S TIPO ABC</t>
        </is>
      </c>
      <c r="N965" t="inlineStr">
        <is>
          <t>02/001696</t>
        </is>
      </c>
      <c r="O965" t="inlineStr">
        <is>
          <t>V</t>
        </is>
      </c>
      <c r="P965">
        <f>TRIM(N965)</f>
        <v/>
      </c>
    </row>
    <row r="966">
      <c r="A966" t="inlineStr">
        <is>
          <t>CO-001604</t>
        </is>
      </c>
      <c r="B966" t="inlineStr">
        <is>
          <t>PERU MASIVO S.A.</t>
        </is>
      </c>
      <c r="C966" t="inlineStr">
        <is>
          <t>20492392031</t>
        </is>
      </c>
      <c r="D966" t="inlineStr">
        <is>
          <t>AV. LOS INCAS CDRA. 4 PATIO NORTE - COMAS</t>
        </is>
      </c>
      <c r="E966" t="inlineStr">
        <is>
          <t>Lima, 02 de Octubre de 2023</t>
        </is>
      </c>
      <c r="F966" t="inlineStr">
        <is>
          <t>la Recarga y mantenimiento</t>
        </is>
      </c>
      <c r="G966" t="inlineStr">
        <is>
          <t>01</t>
        </is>
      </c>
      <c r="H966" t="inlineStr">
        <is>
          <t>06 KG</t>
        </is>
      </c>
      <c r="I966" t="inlineStr">
        <is>
          <t>2028</t>
        </is>
      </c>
      <c r="J966" t="n">
        <v>2009</v>
      </c>
      <c r="K966" t="inlineStr">
        <is>
          <t>OCTUBRE 2023</t>
        </is>
      </c>
      <c r="L966" t="inlineStr">
        <is>
          <t>OCTUBRE 2024</t>
        </is>
      </c>
      <c r="M966" t="inlineStr">
        <is>
          <t>P.Q.S TIPO ABC AL 90 % NACIONAL</t>
        </is>
      </c>
      <c r="N966" t="inlineStr">
        <is>
          <t>16/001941</t>
        </is>
      </c>
      <c r="O966" t="inlineStr">
        <is>
          <t>R</t>
        </is>
      </c>
      <c r="P966">
        <f>TRIM(N966)</f>
        <v/>
      </c>
    </row>
    <row r="967">
      <c r="A967" t="inlineStr">
        <is>
          <t>CO-001604</t>
        </is>
      </c>
      <c r="B967" t="inlineStr">
        <is>
          <t>PERU MASIVO S.A.</t>
        </is>
      </c>
      <c r="C967" t="inlineStr">
        <is>
          <t>20492392031</t>
        </is>
      </c>
      <c r="D967" t="inlineStr">
        <is>
          <t>AV. LOS INCAS CDRA. 4 PATIO NORTE - COMAS</t>
        </is>
      </c>
      <c r="E967" t="inlineStr">
        <is>
          <t>Lima, 02 de Octubre de 2023</t>
        </is>
      </c>
      <c r="F967" t="inlineStr">
        <is>
          <t>la Recarga y mantenimiento</t>
        </is>
      </c>
      <c r="G967" t="inlineStr">
        <is>
          <t>02</t>
        </is>
      </c>
      <c r="H967" t="inlineStr">
        <is>
          <t>06 KG</t>
        </is>
      </c>
      <c r="I967" t="inlineStr">
        <is>
          <t>2028</t>
        </is>
      </c>
      <c r="J967" t="n">
        <v>2007</v>
      </c>
      <c r="K967" t="inlineStr">
        <is>
          <t>OCTUBRE 2023</t>
        </is>
      </c>
      <c r="L967" t="inlineStr">
        <is>
          <t>OCTUBRE 2024</t>
        </is>
      </c>
      <c r="M967" t="inlineStr">
        <is>
          <t xml:space="preserve">P.Q.S TIPO ABC AL 90% NACIONAL </t>
        </is>
      </c>
      <c r="N967" t="inlineStr">
        <is>
          <t>210/000982</t>
        </is>
      </c>
      <c r="O967" t="inlineStr">
        <is>
          <t>R</t>
        </is>
      </c>
      <c r="P967">
        <f>TRIM(N967)</f>
        <v/>
      </c>
    </row>
    <row r="968">
      <c r="A968" t="inlineStr">
        <is>
          <t>CO-001604</t>
        </is>
      </c>
      <c r="B968" t="inlineStr">
        <is>
          <t>PERU MASIVO S.A.</t>
        </is>
      </c>
      <c r="C968" t="inlineStr">
        <is>
          <t>20492392031</t>
        </is>
      </c>
      <c r="D968" t="inlineStr">
        <is>
          <t>AV. LOS INCAS CDRA. 4 PATIO NORTE - COMAS</t>
        </is>
      </c>
      <c r="E968" t="inlineStr">
        <is>
          <t>Lima, 02 de Octubre de 2023</t>
        </is>
      </c>
      <c r="F968" t="inlineStr">
        <is>
          <t>la Recarga y mantenimiento</t>
        </is>
      </c>
      <c r="G968" t="inlineStr">
        <is>
          <t>03</t>
        </is>
      </c>
      <c r="H968" t="inlineStr">
        <is>
          <t>06 KG</t>
        </is>
      </c>
      <c r="I968" t="n">
        <v>2028</v>
      </c>
      <c r="J968" t="n">
        <v>2011</v>
      </c>
      <c r="K968" t="inlineStr">
        <is>
          <t>OCTUBRE 2023</t>
        </is>
      </c>
      <c r="L968" t="inlineStr">
        <is>
          <t>OCTUBRE 2024</t>
        </is>
      </c>
      <c r="M968" t="inlineStr">
        <is>
          <t xml:space="preserve">P.Q.S TIPO ABC AL 90% NACIONAL </t>
        </is>
      </c>
      <c r="N968" t="inlineStr">
        <is>
          <t>S/N/201106</t>
        </is>
      </c>
      <c r="O968" t="inlineStr">
        <is>
          <t>R</t>
        </is>
      </c>
      <c r="P968">
        <f>TRIM(N968)</f>
        <v/>
      </c>
    </row>
    <row r="969">
      <c r="A969" t="inlineStr">
        <is>
          <t>CO-001604</t>
        </is>
      </c>
      <c r="B969" t="inlineStr">
        <is>
          <t>PERU MASIVO S.A.</t>
        </is>
      </c>
      <c r="C969" t="inlineStr">
        <is>
          <t>20492392031</t>
        </is>
      </c>
      <c r="D969" t="inlineStr">
        <is>
          <t>AV. LOS INCAS CDRA. 4 PATIO NORTE - COMAS</t>
        </is>
      </c>
      <c r="E969" t="inlineStr">
        <is>
          <t>Lima, 02 de Octubre de 2023</t>
        </is>
      </c>
      <c r="F969" t="inlineStr">
        <is>
          <t>la Recarga y mantenimiento</t>
        </is>
      </c>
      <c r="G969" t="inlineStr">
        <is>
          <t>04</t>
        </is>
      </c>
      <c r="H969" t="inlineStr">
        <is>
          <t>06 KG</t>
        </is>
      </c>
      <c r="I969" t="n">
        <v>2028</v>
      </c>
      <c r="J969" t="n">
        <v>2010</v>
      </c>
      <c r="K969" t="inlineStr">
        <is>
          <t>OCTUBRE 2023</t>
        </is>
      </c>
      <c r="L969" t="inlineStr">
        <is>
          <t>OCTUBRE 2024</t>
        </is>
      </c>
      <c r="M969" t="inlineStr">
        <is>
          <t xml:space="preserve">P.Q.S TIPO ABC AL 90% NACIONAL </t>
        </is>
      </c>
      <c r="N969" t="inlineStr">
        <is>
          <t>S/N/000201</t>
        </is>
      </c>
      <c r="O969" t="inlineStr">
        <is>
          <t>R</t>
        </is>
      </c>
      <c r="P969">
        <f>TRIM(N969)</f>
        <v/>
      </c>
    </row>
    <row r="970">
      <c r="A970" t="inlineStr">
        <is>
          <t>CO-001604</t>
        </is>
      </c>
      <c r="B970" t="inlineStr">
        <is>
          <t>PERU MASIVO S.A.</t>
        </is>
      </c>
      <c r="C970" t="inlineStr">
        <is>
          <t>20492392031</t>
        </is>
      </c>
      <c r="D970" t="inlineStr">
        <is>
          <t>AV. LOS INCAS CDRA. 4 PATIO NORTE - COMAS</t>
        </is>
      </c>
      <c r="E970" t="inlineStr">
        <is>
          <t>Lima, 02 de Octubre de 2023</t>
        </is>
      </c>
      <c r="F970" t="inlineStr">
        <is>
          <t>la Recarga y mantenimiento</t>
        </is>
      </c>
      <c r="G970" t="inlineStr">
        <is>
          <t>05</t>
        </is>
      </c>
      <c r="H970" t="inlineStr">
        <is>
          <t>06 KG</t>
        </is>
      </c>
      <c r="I970" t="n">
        <v>2028</v>
      </c>
      <c r="J970" t="n">
        <v>2010</v>
      </c>
      <c r="K970" t="inlineStr">
        <is>
          <t>OCTUBRE 2023</t>
        </is>
      </c>
      <c r="L970" t="inlineStr">
        <is>
          <t>OCTUBRE 2024</t>
        </is>
      </c>
      <c r="M970" t="inlineStr">
        <is>
          <t xml:space="preserve">P.Q.S TIPO ABC AL 90% NACIONAL </t>
        </is>
      </c>
      <c r="N970" t="inlineStr">
        <is>
          <t>03/000038</t>
        </is>
      </c>
      <c r="O970" t="inlineStr">
        <is>
          <t>R</t>
        </is>
      </c>
      <c r="P970">
        <f>TRIM(N970)</f>
        <v/>
      </c>
    </row>
    <row r="971">
      <c r="A971" t="inlineStr">
        <is>
          <t>CO-001604</t>
        </is>
      </c>
      <c r="B971" t="inlineStr">
        <is>
          <t>PERU MASIVO S.A.</t>
        </is>
      </c>
      <c r="C971" t="inlineStr">
        <is>
          <t>20492392031</t>
        </is>
      </c>
      <c r="D971" t="inlineStr">
        <is>
          <t>AV. LOS INCAS CDRA. 4 PATIO NORTE - COMAS</t>
        </is>
      </c>
      <c r="E971" t="inlineStr">
        <is>
          <t>Lima, 02 de Octubre de 2023</t>
        </is>
      </c>
      <c r="F971" t="inlineStr">
        <is>
          <t>la Recarga y mantenimiento</t>
        </is>
      </c>
      <c r="G971" t="inlineStr">
        <is>
          <t>06</t>
        </is>
      </c>
      <c r="H971" t="inlineStr">
        <is>
          <t>06 KG</t>
        </is>
      </c>
      <c r="I971" t="n">
        <v>2028</v>
      </c>
      <c r="J971" t="n">
        <v>2017</v>
      </c>
      <c r="K971" t="inlineStr">
        <is>
          <t>OCTUBRE 2023</t>
        </is>
      </c>
      <c r="L971" t="inlineStr">
        <is>
          <t>OCTUBRE 2024</t>
        </is>
      </c>
      <c r="M971" t="inlineStr">
        <is>
          <t xml:space="preserve">P.Q.S TIPO ABC AL 90% NACIONAL </t>
        </is>
      </c>
      <c r="N971" t="inlineStr">
        <is>
          <t>S/N/003136</t>
        </is>
      </c>
      <c r="O971" t="inlineStr">
        <is>
          <t>R</t>
        </is>
      </c>
      <c r="P971">
        <f>TRIM(N971)</f>
        <v/>
      </c>
    </row>
    <row r="972">
      <c r="A972" t="inlineStr">
        <is>
          <t>CO-001604</t>
        </is>
      </c>
      <c r="B972" t="inlineStr">
        <is>
          <t>PERU MASIVO S.A.</t>
        </is>
      </c>
      <c r="C972" t="inlineStr">
        <is>
          <t>20492392031</t>
        </is>
      </c>
      <c r="D972" t="inlineStr">
        <is>
          <t>AV. LOS INCAS CDRA. 4 PATIO NORTE - COMAS</t>
        </is>
      </c>
      <c r="E972" t="inlineStr">
        <is>
          <t>Lima, 02 de Octubre de 2023</t>
        </is>
      </c>
      <c r="F972" t="inlineStr">
        <is>
          <t>la Recarga y mantenimiento</t>
        </is>
      </c>
      <c r="G972" t="inlineStr">
        <is>
          <t>07</t>
        </is>
      </c>
      <c r="H972" t="inlineStr">
        <is>
          <t>06 KG</t>
        </is>
      </c>
      <c r="I972" t="n">
        <v>2028</v>
      </c>
      <c r="J972" t="n">
        <v>2010</v>
      </c>
      <c r="K972" t="inlineStr">
        <is>
          <t>OCTUBRE 2023</t>
        </is>
      </c>
      <c r="L972" t="inlineStr">
        <is>
          <t>OCTUBRE 2024</t>
        </is>
      </c>
      <c r="M972" t="inlineStr">
        <is>
          <t xml:space="preserve">P.Q.S TIPO ABC AL 90% NACIONAL </t>
        </is>
      </c>
      <c r="N972" t="inlineStr">
        <is>
          <t>S/N/201005</t>
        </is>
      </c>
      <c r="O972" t="inlineStr">
        <is>
          <t>R</t>
        </is>
      </c>
      <c r="P972">
        <f>TRIM(N972)</f>
        <v/>
      </c>
    </row>
    <row r="973">
      <c r="A973" t="inlineStr">
        <is>
          <t>CO-001604</t>
        </is>
      </c>
      <c r="B973" t="inlineStr">
        <is>
          <t>PERU MASIVO S.A.</t>
        </is>
      </c>
      <c r="C973" t="inlineStr">
        <is>
          <t>20492392031</t>
        </is>
      </c>
      <c r="D973" t="inlineStr">
        <is>
          <t>AV. LOS INCAS CDRA. 4 PATIO NORTE - COMAS</t>
        </is>
      </c>
      <c r="E973" t="inlineStr">
        <is>
          <t>Lima, 02 de Octubre de 2023</t>
        </is>
      </c>
      <c r="F973" t="inlineStr">
        <is>
          <t>la Recarga y mantenimiento</t>
        </is>
      </c>
      <c r="G973" t="inlineStr">
        <is>
          <t>08</t>
        </is>
      </c>
      <c r="H973" t="inlineStr">
        <is>
          <t>06 KG</t>
        </is>
      </c>
      <c r="I973" t="n">
        <v>2028</v>
      </c>
      <c r="J973" t="n">
        <v>2016</v>
      </c>
      <c r="K973" t="inlineStr">
        <is>
          <t>OCTUBRE 2023</t>
        </is>
      </c>
      <c r="L973" t="inlineStr">
        <is>
          <t>OCTUBRE 2024</t>
        </is>
      </c>
      <c r="M973" t="inlineStr">
        <is>
          <t xml:space="preserve">P.Q.S TIPO ABC AL 90% NACIONAL </t>
        </is>
      </c>
      <c r="N973" t="inlineStr">
        <is>
          <t>S/N/000002</t>
        </is>
      </c>
      <c r="O973" t="inlineStr">
        <is>
          <t>R</t>
        </is>
      </c>
      <c r="P973">
        <f>TRIM(N973)</f>
        <v/>
      </c>
    </row>
    <row r="974">
      <c r="A974" t="inlineStr">
        <is>
          <t>CO-001604</t>
        </is>
      </c>
      <c r="B974" t="inlineStr">
        <is>
          <t>PERU MASIVO S.A.</t>
        </is>
      </c>
      <c r="C974" t="inlineStr">
        <is>
          <t>20492392031</t>
        </is>
      </c>
      <c r="D974" t="inlineStr">
        <is>
          <t>AV. LOS INCAS CDRA. 4 PATIO NORTE - COMAS</t>
        </is>
      </c>
      <c r="E974" t="inlineStr">
        <is>
          <t>Lima, 02 de Octubre de 2023</t>
        </is>
      </c>
      <c r="F974" t="inlineStr">
        <is>
          <t>la Recarga y mantenimiento</t>
        </is>
      </c>
      <c r="G974" t="inlineStr">
        <is>
          <t>09</t>
        </is>
      </c>
      <c r="H974" t="inlineStr">
        <is>
          <t>06 KG</t>
        </is>
      </c>
      <c r="I974" t="n">
        <v>2028</v>
      </c>
      <c r="J974" t="n">
        <v>2010</v>
      </c>
      <c r="K974" t="inlineStr">
        <is>
          <t>OCTUBRE 2023</t>
        </is>
      </c>
      <c r="L974" t="inlineStr">
        <is>
          <t>OCTUBRE 2024</t>
        </is>
      </c>
      <c r="M974" t="inlineStr">
        <is>
          <t xml:space="preserve">P.Q.S TIPO ABC AL 90% NACIONAL </t>
        </is>
      </c>
      <c r="N974" t="inlineStr">
        <is>
          <t>105/000033</t>
        </is>
      </c>
      <c r="O974" t="inlineStr">
        <is>
          <t>R</t>
        </is>
      </c>
      <c r="P974">
        <f>TRIM(N974)</f>
        <v/>
      </c>
    </row>
    <row r="975">
      <c r="A975" t="inlineStr">
        <is>
          <t>CO-001604</t>
        </is>
      </c>
      <c r="B975" t="inlineStr">
        <is>
          <t>PERU MASIVO S.A.</t>
        </is>
      </c>
      <c r="C975" t="inlineStr">
        <is>
          <t>20492392031</t>
        </is>
      </c>
      <c r="D975" t="inlineStr">
        <is>
          <t>AV. LOS INCAS CDRA. 4 PATIO NORTE - COMAS</t>
        </is>
      </c>
      <c r="E975" t="inlineStr">
        <is>
          <t>Lima, 02 de Octubre de 2023</t>
        </is>
      </c>
      <c r="F975" t="inlineStr">
        <is>
          <t>la Recarga y mantenimiento</t>
        </is>
      </c>
      <c r="G975" t="n">
        <v>10</v>
      </c>
      <c r="H975" t="inlineStr">
        <is>
          <t>06 KG</t>
        </is>
      </c>
      <c r="I975" t="n">
        <v>2028</v>
      </c>
      <c r="J975" t="n">
        <v>2012</v>
      </c>
      <c r="K975" t="inlineStr">
        <is>
          <t>OCTUBRE 2023</t>
        </is>
      </c>
      <c r="L975" t="inlineStr">
        <is>
          <t>OCTUBRE 2024</t>
        </is>
      </c>
      <c r="M975" t="inlineStr">
        <is>
          <t xml:space="preserve">P.Q.S TIPO ABC AL 90% NACIONAL </t>
        </is>
      </c>
      <c r="N975" t="inlineStr">
        <is>
          <t>S/N/000406</t>
        </is>
      </c>
      <c r="O975" t="inlineStr">
        <is>
          <t>R</t>
        </is>
      </c>
      <c r="P975">
        <f>TRIM(N975)</f>
        <v/>
      </c>
    </row>
    <row r="976">
      <c r="A976" t="inlineStr">
        <is>
          <t>CO-001604</t>
        </is>
      </c>
      <c r="B976" t="inlineStr">
        <is>
          <t>PERU MASIVO S.A.</t>
        </is>
      </c>
      <c r="C976" t="inlineStr">
        <is>
          <t>20492392031</t>
        </is>
      </c>
      <c r="D976" t="inlineStr">
        <is>
          <t>AV. LOS INCAS CDRA. 4 PATIO NORTE - COMAS</t>
        </is>
      </c>
      <c r="E976" t="inlineStr">
        <is>
          <t>Lima, 02 de Octubre de 2023</t>
        </is>
      </c>
      <c r="F976" t="inlineStr">
        <is>
          <t>la Recarga y mantenimiento</t>
        </is>
      </c>
      <c r="G976" t="n">
        <v>11</v>
      </c>
      <c r="H976" t="inlineStr">
        <is>
          <t>06 KG</t>
        </is>
      </c>
      <c r="I976" t="n">
        <v>2028</v>
      </c>
      <c r="J976" t="n">
        <v>2017</v>
      </c>
      <c r="K976" t="inlineStr">
        <is>
          <t>OCTUBRE 2023</t>
        </is>
      </c>
      <c r="L976" t="inlineStr">
        <is>
          <t>OCTUBRE 2024</t>
        </is>
      </c>
      <c r="M976" t="inlineStr">
        <is>
          <t xml:space="preserve">P.Q.S TIPO ABC AL 90% NACIONAL </t>
        </is>
      </c>
      <c r="N976" t="inlineStr">
        <is>
          <t>S/N/003347</t>
        </is>
      </c>
      <c r="O976" t="inlineStr">
        <is>
          <t>R</t>
        </is>
      </c>
      <c r="P976">
        <f>TRIM(N976)</f>
        <v/>
      </c>
    </row>
    <row r="977">
      <c r="A977" t="inlineStr">
        <is>
          <t>CO-001604</t>
        </is>
      </c>
      <c r="B977" t="inlineStr">
        <is>
          <t>PERU MASIVO S.A.</t>
        </is>
      </c>
      <c r="C977" t="inlineStr">
        <is>
          <t>20492392031</t>
        </is>
      </c>
      <c r="D977" t="inlineStr">
        <is>
          <t>AV. LOS INCAS CDRA. 4 PATIO NORTE - COMAS</t>
        </is>
      </c>
      <c r="E977" t="inlineStr">
        <is>
          <t>Lima, 02 de Octubre de 2023</t>
        </is>
      </c>
      <c r="F977" t="inlineStr">
        <is>
          <t>la Recarga y mantenimiento</t>
        </is>
      </c>
      <c r="G977" t="n">
        <v>12</v>
      </c>
      <c r="H977" t="inlineStr">
        <is>
          <t>06 KG</t>
        </is>
      </c>
      <c r="I977" t="n">
        <v>2028</v>
      </c>
      <c r="J977" t="n">
        <v>2010</v>
      </c>
      <c r="K977" t="inlineStr">
        <is>
          <t>OCTUBRE 2023</t>
        </is>
      </c>
      <c r="L977" t="inlineStr">
        <is>
          <t>OCTUBRE 2024</t>
        </is>
      </c>
      <c r="M977" t="inlineStr">
        <is>
          <t xml:space="preserve">P.Q.S TIPO ABC AL 90% NACIONAL </t>
        </is>
      </c>
      <c r="N977" t="inlineStr">
        <is>
          <t>79/002579</t>
        </is>
      </c>
      <c r="O977" t="inlineStr">
        <is>
          <t>R</t>
        </is>
      </c>
      <c r="P977">
        <f>TRIM(N977)</f>
        <v/>
      </c>
    </row>
    <row r="978">
      <c r="A978" t="inlineStr">
        <is>
          <t>CO-001605</t>
        </is>
      </c>
      <c r="B978" t="inlineStr">
        <is>
          <t>PERU MASIVO S.A.</t>
        </is>
      </c>
      <c r="C978" t="inlineStr">
        <is>
          <t>20492392031</t>
        </is>
      </c>
      <c r="D978" t="inlineStr">
        <is>
          <t>AV. LOS INCAS CDRA. 4 PATIO NORTE - COMAS</t>
        </is>
      </c>
      <c r="E978" t="inlineStr">
        <is>
          <t>Lima,05 de Octubre de 2023</t>
        </is>
      </c>
      <c r="F978" t="inlineStr">
        <is>
          <t>la Recarga y mantenimiento</t>
        </is>
      </c>
      <c r="G978" t="inlineStr">
        <is>
          <t>01</t>
        </is>
      </c>
      <c r="H978" t="inlineStr">
        <is>
          <t>06 KG</t>
        </is>
      </c>
      <c r="I978" t="inlineStr">
        <is>
          <t>2028</t>
        </is>
      </c>
      <c r="J978" t="n">
        <v>2010</v>
      </c>
      <c r="K978" t="inlineStr">
        <is>
          <t xml:space="preserve">OCTUBRE 2023 </t>
        </is>
      </c>
      <c r="L978" t="inlineStr">
        <is>
          <t>OCTUBRE 2024</t>
        </is>
      </c>
      <c r="M978" t="inlineStr">
        <is>
          <t>P.Q.S TIPO ABC AL 90 % NACIONAL</t>
        </is>
      </c>
      <c r="N978" t="inlineStr">
        <is>
          <t>54/000008</t>
        </is>
      </c>
      <c r="O978" t="inlineStr">
        <is>
          <t>R</t>
        </is>
      </c>
      <c r="P978">
        <f>TRIM(N978)</f>
        <v/>
      </c>
    </row>
    <row r="979">
      <c r="A979" t="inlineStr">
        <is>
          <t>CO-001605</t>
        </is>
      </c>
      <c r="B979" t="inlineStr">
        <is>
          <t>PERU MASIVO S.A.</t>
        </is>
      </c>
      <c r="C979" t="inlineStr">
        <is>
          <t>20492392031</t>
        </is>
      </c>
      <c r="D979" t="inlineStr">
        <is>
          <t>AV. LOS INCAS CDRA. 4 PATIO NORTE - COMAS</t>
        </is>
      </c>
      <c r="E979" t="inlineStr">
        <is>
          <t>Lima,05 de Octubre de 2023</t>
        </is>
      </c>
      <c r="F979" t="inlineStr">
        <is>
          <t>la Recarga y mantenimiento</t>
        </is>
      </c>
      <c r="G979" t="inlineStr">
        <is>
          <t>02</t>
        </is>
      </c>
      <c r="H979" t="inlineStr">
        <is>
          <t>06 KG</t>
        </is>
      </c>
      <c r="I979" t="inlineStr">
        <is>
          <t>2028</t>
        </is>
      </c>
      <c r="J979" t="n">
        <v>2009</v>
      </c>
      <c r="K979" t="inlineStr">
        <is>
          <t>OCTUBRE 2023</t>
        </is>
      </c>
      <c r="L979" t="inlineStr">
        <is>
          <t>OCTUBRE 2024</t>
        </is>
      </c>
      <c r="M979" t="inlineStr">
        <is>
          <t xml:space="preserve">P.Q.S TIPO ABC AL 90% NACIONAL </t>
        </is>
      </c>
      <c r="N979" t="inlineStr">
        <is>
          <t>171/002270</t>
        </is>
      </c>
      <c r="O979" t="inlineStr">
        <is>
          <t>R</t>
        </is>
      </c>
      <c r="P979">
        <f>TRIM(N979)</f>
        <v/>
      </c>
    </row>
    <row r="980">
      <c r="A980" t="inlineStr">
        <is>
          <t>CO-001605</t>
        </is>
      </c>
      <c r="B980" t="inlineStr">
        <is>
          <t>PERU MASIVO S.A.</t>
        </is>
      </c>
      <c r="C980" t="inlineStr">
        <is>
          <t>20492392031</t>
        </is>
      </c>
      <c r="D980" t="inlineStr">
        <is>
          <t>AV. LOS INCAS CDRA. 4 PATIO NORTE - COMAS</t>
        </is>
      </c>
      <c r="E980" t="inlineStr">
        <is>
          <t>Lima,05 de Octubre de 2023</t>
        </is>
      </c>
      <c r="F980" t="inlineStr">
        <is>
          <t>la Recarga y mantenimiento</t>
        </is>
      </c>
      <c r="G980" t="inlineStr">
        <is>
          <t>03</t>
        </is>
      </c>
      <c r="H980" t="inlineStr">
        <is>
          <t>06 KG</t>
        </is>
      </c>
      <c r="I980" t="n">
        <v>2028</v>
      </c>
      <c r="J980" t="n">
        <v>2014</v>
      </c>
      <c r="K980" t="inlineStr">
        <is>
          <t>OCTUBRE 2023</t>
        </is>
      </c>
      <c r="L980" t="inlineStr">
        <is>
          <t>OCTUBRE 2024</t>
        </is>
      </c>
      <c r="M980" t="inlineStr">
        <is>
          <t xml:space="preserve">P.Q.S TIPO ABC AL 90% NACIONAL </t>
        </is>
      </c>
      <c r="N980" t="inlineStr">
        <is>
          <t>S/N/001249</t>
        </is>
      </c>
      <c r="O980" t="inlineStr">
        <is>
          <t>R</t>
        </is>
      </c>
      <c r="P980">
        <f>TRIM(N980)</f>
        <v/>
      </c>
    </row>
    <row r="981">
      <c r="A981" t="inlineStr">
        <is>
          <t>CO-001605</t>
        </is>
      </c>
      <c r="B981" t="inlineStr">
        <is>
          <t>PERU MASIVO S.A.</t>
        </is>
      </c>
      <c r="C981" t="inlineStr">
        <is>
          <t>20492392031</t>
        </is>
      </c>
      <c r="D981" t="inlineStr">
        <is>
          <t>AV. LOS INCAS CDRA. 4 PATIO NORTE - COMAS</t>
        </is>
      </c>
      <c r="E981" t="inlineStr">
        <is>
          <t>Lima,05 de Octubre de 2023</t>
        </is>
      </c>
      <c r="F981" t="inlineStr">
        <is>
          <t>la Recarga y mantenimiento</t>
        </is>
      </c>
      <c r="G981" t="inlineStr">
        <is>
          <t>04</t>
        </is>
      </c>
      <c r="H981" t="inlineStr">
        <is>
          <t>06 KG</t>
        </is>
      </c>
      <c r="I981" t="n">
        <v>2028</v>
      </c>
      <c r="J981" t="n">
        <v>2010</v>
      </c>
      <c r="K981" t="inlineStr">
        <is>
          <t>OCTUBRE 2023</t>
        </is>
      </c>
      <c r="L981" t="inlineStr">
        <is>
          <t>OCTUBRE 2024</t>
        </is>
      </c>
      <c r="M981" t="inlineStr">
        <is>
          <t>P.Q.S TIPO ABC AL 90% NACIONAL</t>
        </is>
      </c>
      <c r="N981" t="inlineStr">
        <is>
          <t>34/006422</t>
        </is>
      </c>
      <c r="O981" t="inlineStr">
        <is>
          <t>R</t>
        </is>
      </c>
      <c r="P981">
        <f>TRIM(N981)</f>
        <v/>
      </c>
    </row>
    <row r="982">
      <c r="A982" t="inlineStr">
        <is>
          <t>CO-001605</t>
        </is>
      </c>
      <c r="B982" t="inlineStr">
        <is>
          <t>PERU MASIVO S.A.</t>
        </is>
      </c>
      <c r="C982" t="inlineStr">
        <is>
          <t>20492392031</t>
        </is>
      </c>
      <c r="D982" t="inlineStr">
        <is>
          <t>AV. LOS INCAS CDRA. 4 PATIO NORTE - COMAS</t>
        </is>
      </c>
      <c r="E982" t="inlineStr">
        <is>
          <t>Lima,05 de Octubre de 2023</t>
        </is>
      </c>
      <c r="F982" t="inlineStr">
        <is>
          <t>la Recarga y mantenimiento</t>
        </is>
      </c>
      <c r="G982" t="inlineStr">
        <is>
          <t>05</t>
        </is>
      </c>
      <c r="H982" t="inlineStr">
        <is>
          <t>06 KG</t>
        </is>
      </c>
      <c r="I982" t="n">
        <v>2028</v>
      </c>
      <c r="J982" t="n">
        <v>2010</v>
      </c>
      <c r="K982" t="inlineStr">
        <is>
          <t>OCTUBRE 2023</t>
        </is>
      </c>
      <c r="L982" t="inlineStr">
        <is>
          <t>OCTUBRE 2024</t>
        </is>
      </c>
      <c r="M982" t="inlineStr">
        <is>
          <t xml:space="preserve">P.Q.S TIPO ABC AL 90% NACIONAL </t>
        </is>
      </c>
      <c r="N982" t="inlineStr">
        <is>
          <t>28/000005</t>
        </is>
      </c>
      <c r="O982" t="inlineStr">
        <is>
          <t>R</t>
        </is>
      </c>
      <c r="P982">
        <f>TRIM(N982)</f>
        <v/>
      </c>
    </row>
    <row r="983">
      <c r="A983" t="inlineStr">
        <is>
          <t>CO-001605</t>
        </is>
      </c>
      <c r="B983" t="inlineStr">
        <is>
          <t>PERU MASIVO S.A.</t>
        </is>
      </c>
      <c r="C983" t="inlineStr">
        <is>
          <t>20492392031</t>
        </is>
      </c>
      <c r="D983" t="inlineStr">
        <is>
          <t>AV. LOS INCAS CDRA. 4 PATIO NORTE - COMAS</t>
        </is>
      </c>
      <c r="E983" t="inlineStr">
        <is>
          <t>Lima,05 de Octubre de 2023</t>
        </is>
      </c>
      <c r="F983" t="inlineStr">
        <is>
          <t>la Recarga y mantenimiento</t>
        </is>
      </c>
      <c r="G983" t="inlineStr">
        <is>
          <t>06</t>
        </is>
      </c>
      <c r="H983" t="inlineStr">
        <is>
          <t>06 KG</t>
        </is>
      </c>
      <c r="I983" t="n">
        <v>2028</v>
      </c>
      <c r="J983" t="n">
        <v>2009</v>
      </c>
      <c r="K983" t="inlineStr">
        <is>
          <t>OCTUBRE 2023</t>
        </is>
      </c>
      <c r="L983" t="inlineStr">
        <is>
          <t>OCTUBRE 2024</t>
        </is>
      </c>
      <c r="M983" t="inlineStr">
        <is>
          <t xml:space="preserve">P.Q.S TIPO ABC AL 90% NACIONAL </t>
        </is>
      </c>
      <c r="N983" t="inlineStr">
        <is>
          <t>147/000750</t>
        </is>
      </c>
      <c r="O983" t="inlineStr">
        <is>
          <t>R</t>
        </is>
      </c>
      <c r="P983">
        <f>TRIM(N983)</f>
        <v/>
      </c>
    </row>
    <row r="984">
      <c r="A984" t="inlineStr">
        <is>
          <t>CO-001605</t>
        </is>
      </c>
      <c r="B984" t="inlineStr">
        <is>
          <t>PERU MASIVO S.A.</t>
        </is>
      </c>
      <c r="C984" t="inlineStr">
        <is>
          <t>20492392031</t>
        </is>
      </c>
      <c r="D984" t="inlineStr">
        <is>
          <t>AV. LOS INCAS CDRA. 4 PATIO NORTE - COMAS</t>
        </is>
      </c>
      <c r="E984" t="inlineStr">
        <is>
          <t>Lima,05 de Octubre de 2023</t>
        </is>
      </c>
      <c r="F984" t="inlineStr">
        <is>
          <t>la Recarga y mantenimiento</t>
        </is>
      </c>
      <c r="G984" t="inlineStr">
        <is>
          <t>07</t>
        </is>
      </c>
      <c r="H984" t="inlineStr">
        <is>
          <t>06 KG</t>
        </is>
      </c>
      <c r="I984" t="n">
        <v>2028</v>
      </c>
      <c r="J984" t="n">
        <v>2010</v>
      </c>
      <c r="K984" t="inlineStr">
        <is>
          <t>OCTUBRE 2023</t>
        </is>
      </c>
      <c r="L984" t="inlineStr">
        <is>
          <t>OCTUBRE 2024</t>
        </is>
      </c>
      <c r="M984" t="inlineStr">
        <is>
          <t xml:space="preserve">P.Q.S TIPO ABC AL 90% NACIONAL </t>
        </is>
      </c>
      <c r="N984" t="inlineStr">
        <is>
          <t>86/000005</t>
        </is>
      </c>
      <c r="O984" t="inlineStr">
        <is>
          <t>R</t>
        </is>
      </c>
      <c r="P984">
        <f>TRIM(N984)</f>
        <v/>
      </c>
    </row>
    <row r="985">
      <c r="A985" t="inlineStr">
        <is>
          <t>CO-001605</t>
        </is>
      </c>
      <c r="B985" t="inlineStr">
        <is>
          <t>PERU MASIVO S.A.</t>
        </is>
      </c>
      <c r="C985" t="inlineStr">
        <is>
          <t>20492392031</t>
        </is>
      </c>
      <c r="D985" t="inlineStr">
        <is>
          <t>AV. LOS INCAS CDRA. 4 PATIO NORTE - COMAS</t>
        </is>
      </c>
      <c r="E985" t="inlineStr">
        <is>
          <t>Lima,05 de Octubre de 2023</t>
        </is>
      </c>
      <c r="F985" t="inlineStr">
        <is>
          <t>la Recarga y mantenimiento</t>
        </is>
      </c>
      <c r="G985" t="inlineStr">
        <is>
          <t>08</t>
        </is>
      </c>
      <c r="H985" t="inlineStr">
        <is>
          <t>06 KG</t>
        </is>
      </c>
      <c r="I985" t="n">
        <v>2028</v>
      </c>
      <c r="J985" t="n">
        <v>2009</v>
      </c>
      <c r="K985" t="inlineStr">
        <is>
          <t>OCTUBRE 2023</t>
        </is>
      </c>
      <c r="L985" t="inlineStr">
        <is>
          <t>OCTUBRE 2024</t>
        </is>
      </c>
      <c r="M985" t="inlineStr">
        <is>
          <t xml:space="preserve">P.Q.S TIPO ABC AL 90% NACIONAL </t>
        </is>
      </c>
      <c r="N985" t="inlineStr">
        <is>
          <t>279/001422</t>
        </is>
      </c>
      <c r="O985" t="inlineStr">
        <is>
          <t>R</t>
        </is>
      </c>
      <c r="P985">
        <f>TRIM(N985)</f>
        <v/>
      </c>
    </row>
    <row r="986">
      <c r="A986" t="inlineStr">
        <is>
          <t>CO-001605</t>
        </is>
      </c>
      <c r="B986" t="inlineStr">
        <is>
          <t>PERU MASIVO S.A.</t>
        </is>
      </c>
      <c r="C986" t="inlineStr">
        <is>
          <t>20492392031</t>
        </is>
      </c>
      <c r="D986" t="inlineStr">
        <is>
          <t>AV. LOS INCAS CDRA. 4 PATIO NORTE - COMAS</t>
        </is>
      </c>
      <c r="E986" t="inlineStr">
        <is>
          <t>Lima,05 de Octubre de 2023</t>
        </is>
      </c>
      <c r="F986" t="inlineStr">
        <is>
          <t>la Recarga y mantenimiento</t>
        </is>
      </c>
      <c r="G986" t="inlineStr">
        <is>
          <t>09</t>
        </is>
      </c>
      <c r="H986" t="inlineStr">
        <is>
          <t>06 KG</t>
        </is>
      </c>
      <c r="I986" t="n">
        <v>2028</v>
      </c>
      <c r="J986" t="n">
        <v>2009</v>
      </c>
      <c r="K986" t="inlineStr">
        <is>
          <t>OCTUBRE 2023</t>
        </is>
      </c>
      <c r="L986" t="inlineStr">
        <is>
          <t>OCTUBRE 2024</t>
        </is>
      </c>
      <c r="M986" t="inlineStr">
        <is>
          <t xml:space="preserve">P.Q.S TIPO ABC AL 90% NACIONAL </t>
        </is>
      </c>
      <c r="N986" t="inlineStr">
        <is>
          <t>375/001502</t>
        </is>
      </c>
      <c r="O986" t="inlineStr">
        <is>
          <t>R</t>
        </is>
      </c>
      <c r="P986">
        <f>TRIM(N986)</f>
        <v/>
      </c>
    </row>
    <row r="987">
      <c r="A987" t="inlineStr">
        <is>
          <t>CO-001605</t>
        </is>
      </c>
      <c r="B987" t="inlineStr">
        <is>
          <t>PERU MASIVO S.A.</t>
        </is>
      </c>
      <c r="C987" t="inlineStr">
        <is>
          <t>20492392031</t>
        </is>
      </c>
      <c r="D987" t="inlineStr">
        <is>
          <t>AV. LOS INCAS CDRA. 4 PATIO NORTE - COMAS</t>
        </is>
      </c>
      <c r="E987" t="inlineStr">
        <is>
          <t>Lima,05 de Octubre de 2023</t>
        </is>
      </c>
      <c r="F987" t="inlineStr">
        <is>
          <t>la Recarga y mantenimiento</t>
        </is>
      </c>
      <c r="G987" t="n">
        <v>10</v>
      </c>
      <c r="H987" t="inlineStr">
        <is>
          <t>06 KG</t>
        </is>
      </c>
      <c r="I987" t="n">
        <v>2028</v>
      </c>
      <c r="J987" t="n">
        <v>2009</v>
      </c>
      <c r="K987" t="inlineStr">
        <is>
          <t>OCTUBRE 2023</t>
        </is>
      </c>
      <c r="L987" t="inlineStr">
        <is>
          <t>OCTUBRE 2024</t>
        </is>
      </c>
      <c r="M987" t="inlineStr">
        <is>
          <t xml:space="preserve">P.Q.S TIPO ABC AL 90% NACIONAL </t>
        </is>
      </c>
      <c r="N987" t="inlineStr">
        <is>
          <t>274/001185</t>
        </is>
      </c>
      <c r="O987" t="inlineStr">
        <is>
          <t>R</t>
        </is>
      </c>
      <c r="P987">
        <f>TRIM(N987)</f>
        <v/>
      </c>
    </row>
    <row r="988">
      <c r="A988" t="inlineStr">
        <is>
          <t>CO-001605</t>
        </is>
      </c>
      <c r="B988" t="inlineStr">
        <is>
          <t>PERU MASIVO S.A.</t>
        </is>
      </c>
      <c r="C988" t="inlineStr">
        <is>
          <t>20492392031</t>
        </is>
      </c>
      <c r="D988" t="inlineStr">
        <is>
          <t>AV. LOS INCAS CDRA. 4 PATIO NORTE - COMAS</t>
        </is>
      </c>
      <c r="E988" t="inlineStr">
        <is>
          <t>Lima,05 de Octubre de 2023</t>
        </is>
      </c>
      <c r="F988" t="inlineStr">
        <is>
          <t>la Recarga y mantenimiento</t>
        </is>
      </c>
      <c r="G988" t="n">
        <v>11</v>
      </c>
      <c r="H988" t="inlineStr">
        <is>
          <t>06 KG</t>
        </is>
      </c>
      <c r="I988" t="n">
        <v>2028</v>
      </c>
      <c r="J988" t="n">
        <v>2009</v>
      </c>
      <c r="K988" t="inlineStr">
        <is>
          <t>OCTUBRE 2023</t>
        </is>
      </c>
      <c r="L988" t="inlineStr">
        <is>
          <t>OCTUBRE 2024</t>
        </is>
      </c>
      <c r="M988" t="inlineStr">
        <is>
          <t>P.Q.S TIPO ABC AL 90% NACIONAL</t>
        </is>
      </c>
      <c r="N988" t="inlineStr">
        <is>
          <t>99/002341</t>
        </is>
      </c>
      <c r="O988" t="inlineStr">
        <is>
          <t>R</t>
        </is>
      </c>
      <c r="P988">
        <f>TRIM(N988)</f>
        <v/>
      </c>
    </row>
    <row r="989">
      <c r="A989" t="inlineStr">
        <is>
          <t>CO-001605</t>
        </is>
      </c>
      <c r="B989" t="inlineStr">
        <is>
          <t>PERU MASIVO S.A.</t>
        </is>
      </c>
      <c r="C989" t="inlineStr">
        <is>
          <t>20492392031</t>
        </is>
      </c>
      <c r="D989" t="inlineStr">
        <is>
          <t>AV. LOS INCAS CDRA. 4 PATIO NORTE - COMAS</t>
        </is>
      </c>
      <c r="E989" t="inlineStr">
        <is>
          <t>Lima,05 de Octubre de 2023</t>
        </is>
      </c>
      <c r="F989" t="inlineStr">
        <is>
          <t>la Recarga y mantenimiento</t>
        </is>
      </c>
      <c r="G989" t="n">
        <v>12</v>
      </c>
      <c r="H989" t="inlineStr">
        <is>
          <t>06 KG</t>
        </is>
      </c>
      <c r="I989" t="n">
        <v>2028</v>
      </c>
      <c r="J989" t="n">
        <v>2009</v>
      </c>
      <c r="K989" t="inlineStr">
        <is>
          <t>OCTUBRE 2023</t>
        </is>
      </c>
      <c r="L989" t="inlineStr">
        <is>
          <t>OCTUBRE 2024</t>
        </is>
      </c>
      <c r="M989" t="inlineStr">
        <is>
          <t xml:space="preserve">P.Q.S TIPO ABC AL 90% NACIONAL </t>
        </is>
      </c>
      <c r="N989" t="inlineStr">
        <is>
          <t>104/002582</t>
        </is>
      </c>
      <c r="O989" t="inlineStr">
        <is>
          <t>R</t>
        </is>
      </c>
      <c r="P989">
        <f>TRIM(N989)</f>
        <v/>
      </c>
    </row>
    <row r="990">
      <c r="A990" t="inlineStr">
        <is>
          <t>CO-001605</t>
        </is>
      </c>
      <c r="B990" t="inlineStr">
        <is>
          <t>PERU MASIVO S.A.</t>
        </is>
      </c>
      <c r="C990" t="inlineStr">
        <is>
          <t>20492392031</t>
        </is>
      </c>
      <c r="D990" t="inlineStr">
        <is>
          <t>AV. LOS INCAS CDRA. 4 PATIO NORTE - COMAS</t>
        </is>
      </c>
      <c r="E990" t="inlineStr">
        <is>
          <t>Lima,05 de Octubre de 2023</t>
        </is>
      </c>
      <c r="F990" t="inlineStr">
        <is>
          <t>la Recarga y mantenimiento</t>
        </is>
      </c>
      <c r="G990" t="n">
        <v>13</v>
      </c>
      <c r="H990" t="inlineStr">
        <is>
          <t>06 KG</t>
        </is>
      </c>
      <c r="I990" t="n">
        <v>2028</v>
      </c>
      <c r="J990" t="n">
        <v>2009</v>
      </c>
      <c r="K990" t="inlineStr">
        <is>
          <t>OCTUBRE 2023</t>
        </is>
      </c>
      <c r="L990" t="inlineStr">
        <is>
          <t>OCTUBRE 2024</t>
        </is>
      </c>
      <c r="M990" t="inlineStr">
        <is>
          <t>P.Q.S TIPO ABC AL 90% NACIONAL</t>
        </is>
      </c>
      <c r="N990" t="inlineStr">
        <is>
          <t>345/001655</t>
        </is>
      </c>
      <c r="O990" t="inlineStr">
        <is>
          <t>R</t>
        </is>
      </c>
      <c r="P990">
        <f>TRIM(N990)</f>
        <v/>
      </c>
    </row>
    <row r="991">
      <c r="A991" t="inlineStr">
        <is>
          <t>CO-001606</t>
        </is>
      </c>
      <c r="B991" t="inlineStr">
        <is>
          <t>POLLOS Y PARRILLAS CELY S.A.C</t>
        </is>
      </c>
      <c r="C991" t="inlineStr">
        <is>
          <t>20608356135</t>
        </is>
      </c>
      <c r="D991" t="inlineStr">
        <is>
          <t>AV. LAS PALMERAS 5380 - LOS OLIVOS</t>
        </is>
      </c>
      <c r="E991" t="inlineStr">
        <is>
          <t>Lima,05 de Octubre de 2023</t>
        </is>
      </c>
      <c r="F991" t="inlineStr">
        <is>
          <t>la Recarga y mantenimiento</t>
        </is>
      </c>
      <c r="G991" t="inlineStr">
        <is>
          <t>01</t>
        </is>
      </c>
      <c r="H991" t="inlineStr">
        <is>
          <t>06 KG</t>
        </is>
      </c>
      <c r="I991" t="inlineStr">
        <is>
          <t>2024</t>
        </is>
      </c>
      <c r="J991" t="n">
        <v>2019</v>
      </c>
      <c r="K991" t="inlineStr">
        <is>
          <t>OCTUBRE 2023</t>
        </is>
      </c>
      <c r="L991" t="inlineStr">
        <is>
          <t>OCTUBRE 2024</t>
        </is>
      </c>
      <c r="M991" t="inlineStr">
        <is>
          <t>P.Q.S TIPO ABC</t>
        </is>
      </c>
      <c r="N991" t="inlineStr">
        <is>
          <t>000702</t>
        </is>
      </c>
      <c r="O991" t="inlineStr">
        <is>
          <t>R</t>
        </is>
      </c>
      <c r="P991">
        <f>TRIM(N991)</f>
        <v/>
      </c>
    </row>
    <row r="992">
      <c r="A992" t="inlineStr">
        <is>
          <t>CO-001606</t>
        </is>
      </c>
      <c r="B992" t="inlineStr">
        <is>
          <t>POLLOS Y PARRILLAS CELY S.A.C</t>
        </is>
      </c>
      <c r="C992" t="inlineStr">
        <is>
          <t>20608356135</t>
        </is>
      </c>
      <c r="D992" t="inlineStr">
        <is>
          <t>AV. LAS PALMERAS 5380 - LOS OLIVOS</t>
        </is>
      </c>
      <c r="E992" t="inlineStr">
        <is>
          <t>Lima,05 de Octubre de 2023</t>
        </is>
      </c>
      <c r="F992" t="inlineStr">
        <is>
          <t>la Recarga y mantenimiento</t>
        </is>
      </c>
      <c r="G992" t="inlineStr">
        <is>
          <t>02</t>
        </is>
      </c>
      <c r="H992" t="inlineStr">
        <is>
          <t>2.5 GLS</t>
        </is>
      </c>
      <c r="I992" t="inlineStr">
        <is>
          <t>2024</t>
        </is>
      </c>
      <c r="J992" t="n">
        <v>2019</v>
      </c>
      <c r="K992" t="inlineStr">
        <is>
          <t>OCTUBRE 2023</t>
        </is>
      </c>
      <c r="L992" t="inlineStr">
        <is>
          <t>OCTUBRE 2024</t>
        </is>
      </c>
      <c r="M992" t="inlineStr">
        <is>
          <t xml:space="preserve">ACETATO TIPO K </t>
        </is>
      </c>
      <c r="N992" t="inlineStr">
        <is>
          <t>000207</t>
        </is>
      </c>
      <c r="O992" t="inlineStr">
        <is>
          <t>R</t>
        </is>
      </c>
      <c r="P992">
        <f>TRIM(N992)</f>
        <v/>
      </c>
    </row>
    <row r="993">
      <c r="A993" t="inlineStr">
        <is>
          <t>CO-001607</t>
        </is>
      </c>
      <c r="B993" t="inlineStr">
        <is>
          <t>MANUEL TOLENTINO</t>
        </is>
      </c>
      <c r="D993" t="inlineStr">
        <is>
          <t>PLACA: F0K-300</t>
        </is>
      </c>
      <c r="E993" t="inlineStr">
        <is>
          <t>Lima,06 de Octubre de 2023</t>
        </is>
      </c>
      <c r="F993" t="inlineStr">
        <is>
          <t>la Recarga y mantenimiento</t>
        </is>
      </c>
      <c r="G993" t="inlineStr">
        <is>
          <t>01</t>
        </is>
      </c>
      <c r="H993" t="inlineStr">
        <is>
          <t>06 KG</t>
        </is>
      </c>
      <c r="I993" t="inlineStr">
        <is>
          <t>VIGENTE</t>
        </is>
      </c>
      <c r="J993" t="inlineStr">
        <is>
          <t>S/N</t>
        </is>
      </c>
      <c r="K993" t="inlineStr">
        <is>
          <t>OCTUBRE 2023</t>
        </is>
      </c>
      <c r="L993" t="inlineStr">
        <is>
          <t>OCTUBRE 2024</t>
        </is>
      </c>
      <c r="M993" t="inlineStr">
        <is>
          <t>P.Q.S TIPO ABC</t>
        </is>
      </c>
      <c r="N993" t="inlineStr">
        <is>
          <t>000464</t>
        </is>
      </c>
      <c r="O993" t="inlineStr">
        <is>
          <t>R</t>
        </is>
      </c>
      <c r="P993">
        <f>TRIM(N993)</f>
        <v/>
      </c>
    </row>
    <row r="994">
      <c r="A994" t="inlineStr">
        <is>
          <t>CO-001608</t>
        </is>
      </c>
      <c r="B994" t="inlineStr">
        <is>
          <t>YHONI HUAYANAY VICTORIANO</t>
        </is>
      </c>
      <c r="C994" t="inlineStr">
        <is>
          <t>09963191</t>
        </is>
      </c>
      <c r="D994" t="inlineStr">
        <is>
          <t>PLACA: COE-072</t>
        </is>
      </c>
      <c r="E994" t="inlineStr">
        <is>
          <t>Lima,09 de Octubre de 2023</t>
        </is>
      </c>
      <c r="F994" t="inlineStr">
        <is>
          <t>la Recarga y mantenimiento</t>
        </is>
      </c>
      <c r="G994" t="inlineStr">
        <is>
          <t>01</t>
        </is>
      </c>
      <c r="H994" t="inlineStr">
        <is>
          <t>04 KG</t>
        </is>
      </c>
      <c r="I994" t="inlineStr">
        <is>
          <t>VIGENTE</t>
        </is>
      </c>
      <c r="J994" t="n">
        <v>2017</v>
      </c>
      <c r="K994" t="inlineStr">
        <is>
          <t>OCTUBRE 2023</t>
        </is>
      </c>
      <c r="L994" t="inlineStr">
        <is>
          <t>OCTUBRE 2024</t>
        </is>
      </c>
      <c r="M994" t="inlineStr">
        <is>
          <t>P.Q.S TIPO ABC</t>
        </is>
      </c>
      <c r="N994" t="inlineStr">
        <is>
          <t>000011</t>
        </is>
      </c>
      <c r="O994" t="inlineStr">
        <is>
          <t>R</t>
        </is>
      </c>
      <c r="P994">
        <f>TRIM(N994)</f>
        <v/>
      </c>
    </row>
    <row r="995">
      <c r="A995" t="inlineStr">
        <is>
          <t>CO-001609</t>
        </is>
      </c>
      <c r="B995" t="inlineStr">
        <is>
          <t>PERU MASIVO S.A.</t>
        </is>
      </c>
      <c r="C995" t="inlineStr">
        <is>
          <t>20492392031</t>
        </is>
      </c>
      <c r="D995" t="inlineStr">
        <is>
          <t>AV. LOS INCAS CDRA. 4 PATIO NORTE - COMAS</t>
        </is>
      </c>
      <c r="E995" t="inlineStr">
        <is>
          <t>Lima, 11 de Octubre de 2023</t>
        </is>
      </c>
      <c r="F995" t="inlineStr">
        <is>
          <t>la Recarga y mantenimiento</t>
        </is>
      </c>
      <c r="G995" t="inlineStr">
        <is>
          <t>01</t>
        </is>
      </c>
      <c r="H995" t="inlineStr">
        <is>
          <t>06 KG</t>
        </is>
      </c>
      <c r="I995" t="inlineStr">
        <is>
          <t>2028</t>
        </is>
      </c>
      <c r="J995" t="n">
        <v>2009</v>
      </c>
      <c r="K995" t="inlineStr">
        <is>
          <t xml:space="preserve">OCTUBRE 2023 </t>
        </is>
      </c>
      <c r="L995" t="inlineStr">
        <is>
          <t>OCTUBRE 2024</t>
        </is>
      </c>
      <c r="M995" t="inlineStr">
        <is>
          <t>P.Q.S TIPO ABC AL 90 % NACIONAL</t>
        </is>
      </c>
      <c r="N995" t="inlineStr">
        <is>
          <t>76/001940</t>
        </is>
      </c>
      <c r="O995" t="inlineStr">
        <is>
          <t>R</t>
        </is>
      </c>
      <c r="P995">
        <f>TRIM(N995)</f>
        <v/>
      </c>
    </row>
    <row r="996">
      <c r="A996" t="inlineStr">
        <is>
          <t>CO-001609</t>
        </is>
      </c>
      <c r="B996" t="inlineStr">
        <is>
          <t>PERU MASIVO S.A.</t>
        </is>
      </c>
      <c r="C996" t="inlineStr">
        <is>
          <t>20492392031</t>
        </is>
      </c>
      <c r="D996" t="inlineStr">
        <is>
          <t>AV. LOS INCAS CDRA. 4 PATIO NORTE - COMAS</t>
        </is>
      </c>
      <c r="E996" t="inlineStr">
        <is>
          <t>Lima, 11 de Octubre de 2023</t>
        </is>
      </c>
      <c r="F996" t="inlineStr">
        <is>
          <t>la Recarga y mantenimiento</t>
        </is>
      </c>
      <c r="G996" t="inlineStr">
        <is>
          <t>02</t>
        </is>
      </c>
      <c r="H996" t="inlineStr">
        <is>
          <t>06 KG</t>
        </is>
      </c>
      <c r="I996" t="inlineStr">
        <is>
          <t>2028</t>
        </is>
      </c>
      <c r="J996" t="n">
        <v>2009</v>
      </c>
      <c r="K996" t="inlineStr">
        <is>
          <t>OCTUBRE 2023</t>
        </is>
      </c>
      <c r="L996" t="inlineStr">
        <is>
          <t>OCTUBRE 2024</t>
        </is>
      </c>
      <c r="M996" t="inlineStr">
        <is>
          <t xml:space="preserve">P.Q.S TIPO ABC AL 90% NACIONAL </t>
        </is>
      </c>
      <c r="N996" t="inlineStr">
        <is>
          <t>52/000349</t>
        </is>
      </c>
      <c r="O996" t="inlineStr">
        <is>
          <t>R</t>
        </is>
      </c>
      <c r="P996">
        <f>TRIM(N996)</f>
        <v/>
      </c>
    </row>
    <row r="997">
      <c r="A997" t="inlineStr">
        <is>
          <t>CO-001609</t>
        </is>
      </c>
      <c r="B997" t="inlineStr">
        <is>
          <t>PERU MASIVO S.A.</t>
        </is>
      </c>
      <c r="C997" t="inlineStr">
        <is>
          <t>20492392031</t>
        </is>
      </c>
      <c r="D997" t="inlineStr">
        <is>
          <t>AV. LOS INCAS CDRA. 4 PATIO NORTE - COMAS</t>
        </is>
      </c>
      <c r="E997" t="inlineStr">
        <is>
          <t>Lima, 11 de Octubre de 2023</t>
        </is>
      </c>
      <c r="F997" t="inlineStr">
        <is>
          <t>la Recarga y mantenimiento</t>
        </is>
      </c>
      <c r="G997" t="inlineStr">
        <is>
          <t>03</t>
        </is>
      </c>
      <c r="H997" t="inlineStr">
        <is>
          <t>06 KG</t>
        </is>
      </c>
      <c r="I997" t="n">
        <v>2028</v>
      </c>
      <c r="J997" t="n">
        <v>2009</v>
      </c>
      <c r="K997" t="inlineStr">
        <is>
          <t>OCTUBRE 2023</t>
        </is>
      </c>
      <c r="L997" t="inlineStr">
        <is>
          <t>OCTUBRE 2024</t>
        </is>
      </c>
      <c r="M997" t="inlineStr">
        <is>
          <t xml:space="preserve">P.Q.S TIPO ABC AL 90% NACIONAL </t>
        </is>
      </c>
      <c r="N997" t="inlineStr">
        <is>
          <t>40/000194</t>
        </is>
      </c>
      <c r="O997" t="inlineStr">
        <is>
          <t>R</t>
        </is>
      </c>
      <c r="P997">
        <f>TRIM(N997)</f>
        <v/>
      </c>
    </row>
    <row r="998">
      <c r="A998" t="inlineStr">
        <is>
          <t>CO-001609</t>
        </is>
      </c>
      <c r="B998" t="inlineStr">
        <is>
          <t>PERU MASIVO S.A.</t>
        </is>
      </c>
      <c r="C998" t="inlineStr">
        <is>
          <t>20492392031</t>
        </is>
      </c>
      <c r="D998" t="inlineStr">
        <is>
          <t>AV. LOS INCAS CDRA. 4 PATIO NORTE - COMAS</t>
        </is>
      </c>
      <c r="E998" t="inlineStr">
        <is>
          <t>Lima, 11 de Octubre de 2023</t>
        </is>
      </c>
      <c r="F998" t="inlineStr">
        <is>
          <t>la Recarga y mantenimiento</t>
        </is>
      </c>
      <c r="G998" t="inlineStr">
        <is>
          <t>04</t>
        </is>
      </c>
      <c r="H998" t="inlineStr">
        <is>
          <t>06 KG</t>
        </is>
      </c>
      <c r="I998" t="n">
        <v>2028</v>
      </c>
      <c r="J998" t="n">
        <v>2009</v>
      </c>
      <c r="K998" t="inlineStr">
        <is>
          <t>OCTUBRE 2023</t>
        </is>
      </c>
      <c r="L998" t="inlineStr">
        <is>
          <t>OCTUBRE 2024</t>
        </is>
      </c>
      <c r="M998" t="inlineStr">
        <is>
          <t>P.Q.S TIPO ABC AL 90% NACIONAL</t>
        </is>
      </c>
      <c r="N998" t="inlineStr">
        <is>
          <t>01/001057</t>
        </is>
      </c>
      <c r="O998" t="inlineStr">
        <is>
          <t>R</t>
        </is>
      </c>
      <c r="P998">
        <f>TRIM(N998)</f>
        <v/>
      </c>
    </row>
    <row r="999">
      <c r="A999" t="inlineStr">
        <is>
          <t>CO-001609</t>
        </is>
      </c>
      <c r="B999" t="inlineStr">
        <is>
          <t>PERU MASIVO S.A.</t>
        </is>
      </c>
      <c r="C999" t="inlineStr">
        <is>
          <t>20492392031</t>
        </is>
      </c>
      <c r="D999" t="inlineStr">
        <is>
          <t>AV. LOS INCAS CDRA. 4 PATIO NORTE - COMAS</t>
        </is>
      </c>
      <c r="E999" t="inlineStr">
        <is>
          <t>Lima, 11 de Octubre de 2023</t>
        </is>
      </c>
      <c r="F999" t="inlineStr">
        <is>
          <t>la Recarga y mantenimiento</t>
        </is>
      </c>
      <c r="G999" t="inlineStr">
        <is>
          <t>05</t>
        </is>
      </c>
      <c r="H999" t="inlineStr">
        <is>
          <t>06 KG</t>
        </is>
      </c>
      <c r="I999" t="n">
        <v>2028</v>
      </c>
      <c r="J999" t="n">
        <v>2009</v>
      </c>
      <c r="K999" t="inlineStr">
        <is>
          <t>OCTUBRE 2023</t>
        </is>
      </c>
      <c r="L999" t="inlineStr">
        <is>
          <t>OCTUBRE 2024</t>
        </is>
      </c>
      <c r="M999" t="inlineStr">
        <is>
          <t xml:space="preserve">P.Q.S TIPO ABC AL 90% NACIONAL </t>
        </is>
      </c>
      <c r="N999" t="inlineStr">
        <is>
          <t>13/001952</t>
        </is>
      </c>
      <c r="O999" t="inlineStr">
        <is>
          <t>R</t>
        </is>
      </c>
      <c r="P999">
        <f>TRIM(N999)</f>
        <v/>
      </c>
    </row>
    <row r="1000">
      <c r="A1000" t="inlineStr">
        <is>
          <t>CO-001609</t>
        </is>
      </c>
      <c r="B1000" t="inlineStr">
        <is>
          <t>PERU MASIVO S.A.</t>
        </is>
      </c>
      <c r="C1000" t="inlineStr">
        <is>
          <t>20492392031</t>
        </is>
      </c>
      <c r="D1000" t="inlineStr">
        <is>
          <t>AV. LOS INCAS CDRA. 4 PATIO NORTE - COMAS</t>
        </is>
      </c>
      <c r="E1000" t="inlineStr">
        <is>
          <t>Lima, 11 de Octubre de 2023</t>
        </is>
      </c>
      <c r="F1000" t="inlineStr">
        <is>
          <t>la Recarga y mantenimiento</t>
        </is>
      </c>
      <c r="G1000" t="inlineStr">
        <is>
          <t>06</t>
        </is>
      </c>
      <c r="H1000" t="inlineStr">
        <is>
          <t>06 KG</t>
        </is>
      </c>
      <c r="I1000" t="n">
        <v>2028</v>
      </c>
      <c r="J1000" t="n">
        <v>2012</v>
      </c>
      <c r="K1000" t="inlineStr">
        <is>
          <t>OCTUBRE 2023</t>
        </is>
      </c>
      <c r="L1000" t="inlineStr">
        <is>
          <t>OCTUBRE 2024</t>
        </is>
      </c>
      <c r="M1000" t="inlineStr">
        <is>
          <t xml:space="preserve">P.Q.S TIPO ABC AL 90% NACIONAL </t>
        </is>
      </c>
      <c r="N1000" t="inlineStr">
        <is>
          <t>104/005034</t>
        </is>
      </c>
      <c r="O1000" t="inlineStr">
        <is>
          <t>R</t>
        </is>
      </c>
      <c r="P1000">
        <f>TRIM(N1000)</f>
        <v/>
      </c>
    </row>
    <row r="1001">
      <c r="A1001" t="inlineStr">
        <is>
          <t>CO-001609</t>
        </is>
      </c>
      <c r="B1001" t="inlineStr">
        <is>
          <t>PERU MASIVO S.A.</t>
        </is>
      </c>
      <c r="C1001" t="inlineStr">
        <is>
          <t>20492392031</t>
        </is>
      </c>
      <c r="D1001" t="inlineStr">
        <is>
          <t>AV. LOS INCAS CDRA. 4 PATIO NORTE - COMAS</t>
        </is>
      </c>
      <c r="E1001" t="inlineStr">
        <is>
          <t>Lima, 11 de Octubre de 2023</t>
        </is>
      </c>
      <c r="F1001" t="inlineStr">
        <is>
          <t>la Recarga y mantenimiento</t>
        </is>
      </c>
      <c r="G1001" t="inlineStr">
        <is>
          <t>07</t>
        </is>
      </c>
      <c r="H1001" t="inlineStr">
        <is>
          <t>06 KG</t>
        </is>
      </c>
      <c r="I1001" t="n">
        <v>2028</v>
      </c>
      <c r="J1001" t="n">
        <v>2009</v>
      </c>
      <c r="K1001" t="inlineStr">
        <is>
          <t>OCTUBRE 2023</t>
        </is>
      </c>
      <c r="L1001" t="inlineStr">
        <is>
          <t>OCTUBRE 2024</t>
        </is>
      </c>
      <c r="M1001" t="inlineStr">
        <is>
          <t xml:space="preserve">P.Q.S TIPO ABC AL 90% NACIONAL </t>
        </is>
      </c>
      <c r="N1001" t="inlineStr">
        <is>
          <t>135/001737</t>
        </is>
      </c>
      <c r="O1001" t="inlineStr">
        <is>
          <t>R</t>
        </is>
      </c>
      <c r="P1001">
        <f>TRIM(N1001)</f>
        <v/>
      </c>
    </row>
    <row r="1002">
      <c r="A1002" t="inlineStr">
        <is>
          <t>CO-001609</t>
        </is>
      </c>
      <c r="B1002" t="inlineStr">
        <is>
          <t>PERU MASIVO S.A.</t>
        </is>
      </c>
      <c r="C1002" t="inlineStr">
        <is>
          <t>20492392031</t>
        </is>
      </c>
      <c r="D1002" t="inlineStr">
        <is>
          <t>AV. LOS INCAS CDRA. 4 PATIO NORTE - COMAS</t>
        </is>
      </c>
      <c r="E1002" t="inlineStr">
        <is>
          <t>Lima, 11 de Octubre de 2023</t>
        </is>
      </c>
      <c r="F1002" t="inlineStr">
        <is>
          <t>la Recarga y mantenimiento</t>
        </is>
      </c>
      <c r="G1002" t="inlineStr">
        <is>
          <t>08</t>
        </is>
      </c>
      <c r="H1002" t="inlineStr">
        <is>
          <t>06 KG</t>
        </is>
      </c>
      <c r="I1002" t="n">
        <v>2028</v>
      </c>
      <c r="J1002" t="n">
        <v>2009</v>
      </c>
      <c r="K1002" t="inlineStr">
        <is>
          <t>OCTUBRE 2023</t>
        </is>
      </c>
      <c r="L1002" t="inlineStr">
        <is>
          <t>OCTUBRE 2024</t>
        </is>
      </c>
      <c r="M1002" t="inlineStr">
        <is>
          <t xml:space="preserve">P.Q.S TIPO ABC AL 90% NACIONAL </t>
        </is>
      </c>
      <c r="N1002" t="inlineStr">
        <is>
          <t>84/001386</t>
        </is>
      </c>
      <c r="O1002" t="inlineStr">
        <is>
          <t>R</t>
        </is>
      </c>
      <c r="P1002">
        <f>TRIM(N1002)</f>
        <v/>
      </c>
    </row>
    <row r="1003">
      <c r="A1003" t="inlineStr">
        <is>
          <t>CO-001609</t>
        </is>
      </c>
      <c r="B1003" t="inlineStr">
        <is>
          <t>PERU MASIVO S.A.</t>
        </is>
      </c>
      <c r="C1003" t="inlineStr">
        <is>
          <t>20492392031</t>
        </is>
      </c>
      <c r="D1003" t="inlineStr">
        <is>
          <t>AV. LOS INCAS CDRA. 4 PATIO NORTE - COMAS</t>
        </is>
      </c>
      <c r="E1003" t="inlineStr">
        <is>
          <t>Lima, 11 de Octubre de 2023</t>
        </is>
      </c>
      <c r="F1003" t="inlineStr">
        <is>
          <t>la Recarga y mantenimiento</t>
        </is>
      </c>
      <c r="G1003" t="inlineStr">
        <is>
          <t>09</t>
        </is>
      </c>
      <c r="H1003" t="inlineStr">
        <is>
          <t>06 KG</t>
        </is>
      </c>
      <c r="I1003" t="n">
        <v>2028</v>
      </c>
      <c r="J1003" t="n">
        <v>2014</v>
      </c>
      <c r="K1003" t="inlineStr">
        <is>
          <t>OCTUBRE 2023</t>
        </is>
      </c>
      <c r="L1003" t="inlineStr">
        <is>
          <t>OCTUBRE 2024</t>
        </is>
      </c>
      <c r="M1003" t="inlineStr">
        <is>
          <t xml:space="preserve">P.Q.S TIPO ABC AL 90% NACIONAL </t>
        </is>
      </c>
      <c r="N1003" t="inlineStr">
        <is>
          <t>S/N/002831</t>
        </is>
      </c>
      <c r="O1003" t="inlineStr">
        <is>
          <t>R</t>
        </is>
      </c>
      <c r="P1003">
        <f>TRIM(N1003)</f>
        <v/>
      </c>
    </row>
    <row r="1004">
      <c r="A1004" t="inlineStr">
        <is>
          <t>CO-001609</t>
        </is>
      </c>
      <c r="B1004" t="inlineStr">
        <is>
          <t>PERU MASIVO S.A.</t>
        </is>
      </c>
      <c r="C1004" t="inlineStr">
        <is>
          <t>20492392031</t>
        </is>
      </c>
      <c r="D1004" t="inlineStr">
        <is>
          <t>AV. LOS INCAS CDRA. 4 PATIO NORTE - COMAS</t>
        </is>
      </c>
      <c r="E1004" t="inlineStr">
        <is>
          <t>Lima, 11 de Octubre de 2023</t>
        </is>
      </c>
      <c r="F1004" t="inlineStr">
        <is>
          <t>la Recarga y mantenimiento</t>
        </is>
      </c>
      <c r="G1004" t="n">
        <v>10</v>
      </c>
      <c r="H1004" t="inlineStr">
        <is>
          <t>06 KG</t>
        </is>
      </c>
      <c r="I1004" t="n">
        <v>2028</v>
      </c>
      <c r="J1004" t="n">
        <v>2010</v>
      </c>
      <c r="K1004" t="inlineStr">
        <is>
          <t>OCTUBRE 2023</t>
        </is>
      </c>
      <c r="L1004" t="inlineStr">
        <is>
          <t>OCTUBRE 2024</t>
        </is>
      </c>
      <c r="M1004" t="inlineStr">
        <is>
          <t xml:space="preserve">P.Q.S TIPO ABC AL 90% NACIONAL </t>
        </is>
      </c>
      <c r="N1004" t="inlineStr">
        <is>
          <t>69/000005</t>
        </is>
      </c>
      <c r="O1004" t="inlineStr">
        <is>
          <t>R</t>
        </is>
      </c>
      <c r="P1004">
        <f>TRIM(N1004)</f>
        <v/>
      </c>
    </row>
    <row r="1005">
      <c r="A1005" t="inlineStr">
        <is>
          <t>CO-001609</t>
        </is>
      </c>
      <c r="B1005" t="inlineStr">
        <is>
          <t>PERU MASIVO S.A.</t>
        </is>
      </c>
      <c r="C1005" t="inlineStr">
        <is>
          <t>20492392031</t>
        </is>
      </c>
      <c r="D1005" t="inlineStr">
        <is>
          <t>AV. LOS INCAS CDRA. 4 PATIO NORTE - COMAS</t>
        </is>
      </c>
      <c r="E1005" t="inlineStr">
        <is>
          <t>Lima, 11 de Octubre de 2023</t>
        </is>
      </c>
      <c r="F1005" t="inlineStr">
        <is>
          <t>la Recarga y mantenimiento</t>
        </is>
      </c>
      <c r="G1005" t="n">
        <v>11</v>
      </c>
      <c r="H1005" t="inlineStr">
        <is>
          <t>06 KG</t>
        </is>
      </c>
      <c r="I1005" t="n">
        <v>2028</v>
      </c>
      <c r="J1005" t="n">
        <v>2009</v>
      </c>
      <c r="K1005" t="inlineStr">
        <is>
          <t>OCTUBRE 2023</t>
        </is>
      </c>
      <c r="L1005" t="inlineStr">
        <is>
          <t>OCTUBRE 2024</t>
        </is>
      </c>
      <c r="M1005" t="inlineStr">
        <is>
          <t>P.Q.S TIPO ABC AL 90% NACIONAL</t>
        </is>
      </c>
      <c r="N1005" t="inlineStr">
        <is>
          <t>46/001272</t>
        </is>
      </c>
      <c r="O1005" t="inlineStr">
        <is>
          <t>R</t>
        </is>
      </c>
      <c r="P1005">
        <f>TRIM(N1005)</f>
        <v/>
      </c>
    </row>
    <row r="1006">
      <c r="A1006" t="inlineStr">
        <is>
          <t>CO-001609</t>
        </is>
      </c>
      <c r="B1006" t="inlineStr">
        <is>
          <t>PERU MASIVO S.A.</t>
        </is>
      </c>
      <c r="C1006" t="inlineStr">
        <is>
          <t>20492392031</t>
        </is>
      </c>
      <c r="D1006" t="inlineStr">
        <is>
          <t>AV. LOS INCAS CDRA. 4 PATIO NORTE - COMAS</t>
        </is>
      </c>
      <c r="E1006" t="inlineStr">
        <is>
          <t>Lima, 11 de Octubre de 2023</t>
        </is>
      </c>
      <c r="F1006" t="inlineStr">
        <is>
          <t>la Recarga y mantenimiento</t>
        </is>
      </c>
      <c r="G1006" t="n">
        <v>12</v>
      </c>
      <c r="H1006" t="inlineStr">
        <is>
          <t>06 KG</t>
        </is>
      </c>
      <c r="I1006" t="n">
        <v>2028</v>
      </c>
      <c r="J1006" t="n">
        <v>2010</v>
      </c>
      <c r="K1006" t="inlineStr">
        <is>
          <t>OCTUBRE 2023</t>
        </is>
      </c>
      <c r="L1006" t="inlineStr">
        <is>
          <t>OCTUBRE 2024</t>
        </is>
      </c>
      <c r="M1006" t="inlineStr">
        <is>
          <t xml:space="preserve">P.Q.S TIPO ABC AL 90% NACIONAL </t>
        </is>
      </c>
      <c r="N1006" t="inlineStr">
        <is>
          <t>313/000416</t>
        </is>
      </c>
      <c r="O1006" t="inlineStr">
        <is>
          <t>R</t>
        </is>
      </c>
      <c r="P1006">
        <f>TRIM(N1006)</f>
        <v/>
      </c>
    </row>
    <row r="1007">
      <c r="A1007" t="inlineStr">
        <is>
          <t>CO-001609</t>
        </is>
      </c>
      <c r="B1007" t="inlineStr">
        <is>
          <t>PERU MASIVO S.A.</t>
        </is>
      </c>
      <c r="C1007" t="inlineStr">
        <is>
          <t>20492392031</t>
        </is>
      </c>
      <c r="D1007" t="inlineStr">
        <is>
          <t>AV. LOS INCAS CDRA. 4 PATIO NORTE - COMAS</t>
        </is>
      </c>
      <c r="E1007" t="inlineStr">
        <is>
          <t>Lima, 11 de Octubre de 2023</t>
        </is>
      </c>
      <c r="F1007" t="inlineStr">
        <is>
          <t>la Recarga y mantenimiento</t>
        </is>
      </c>
      <c r="G1007" t="n">
        <v>13</v>
      </c>
      <c r="H1007" t="inlineStr">
        <is>
          <t>06 KG</t>
        </is>
      </c>
      <c r="I1007" t="n">
        <v>2028</v>
      </c>
      <c r="J1007" t="n">
        <v>2010</v>
      </c>
      <c r="K1007" t="inlineStr">
        <is>
          <t>OCTUBRE 2023</t>
        </is>
      </c>
      <c r="L1007" t="inlineStr">
        <is>
          <t>OCTUBRE 2024</t>
        </is>
      </c>
      <c r="M1007" t="inlineStr">
        <is>
          <t>P.Q.S TIPO ABC AL 90% NACIONAL</t>
        </is>
      </c>
      <c r="N1007" t="inlineStr">
        <is>
          <t>302/000070</t>
        </is>
      </c>
      <c r="O1007" t="inlineStr">
        <is>
          <t>R</t>
        </is>
      </c>
      <c r="P1007">
        <f>TRIM(N1007)</f>
        <v/>
      </c>
    </row>
    <row r="1008">
      <c r="A1008" t="inlineStr">
        <is>
          <t>CO-001610</t>
        </is>
      </c>
      <c r="B1008" t="inlineStr">
        <is>
          <t>EDGAR BRAVO SANTILLAN</t>
        </is>
      </c>
      <c r="C1008" t="inlineStr">
        <is>
          <t>09966147</t>
        </is>
      </c>
      <c r="D1008" t="inlineStr">
        <is>
          <t>PLACA: ALS-219</t>
        </is>
      </c>
      <c r="E1008" t="inlineStr">
        <is>
          <t>Lima, 11 de Octubre de 2023</t>
        </is>
      </c>
      <c r="F1008" t="inlineStr">
        <is>
          <t>la Recarga y mantenimiento</t>
        </is>
      </c>
      <c r="G1008" t="inlineStr">
        <is>
          <t>01</t>
        </is>
      </c>
      <c r="H1008" t="inlineStr">
        <is>
          <t>02 KG</t>
        </is>
      </c>
      <c r="I1008" t="inlineStr">
        <is>
          <t>VIGENTE</t>
        </is>
      </c>
      <c r="J1008" t="n">
        <v>2015</v>
      </c>
      <c r="K1008" t="inlineStr">
        <is>
          <t>OCTUBRE 2023</t>
        </is>
      </c>
      <c r="L1008" t="inlineStr">
        <is>
          <t>OCTUBRE 2024</t>
        </is>
      </c>
      <c r="M1008" t="inlineStr">
        <is>
          <t>P.Q.S TIPO ABC</t>
        </is>
      </c>
      <c r="N1008" t="inlineStr">
        <is>
          <t>01/867910</t>
        </is>
      </c>
      <c r="O1008" t="inlineStr">
        <is>
          <t>R</t>
        </is>
      </c>
      <c r="P1008">
        <f>TRIM(N1008)</f>
        <v/>
      </c>
    </row>
    <row r="1009">
      <c r="A1009" t="inlineStr">
        <is>
          <t>CO-001611</t>
        </is>
      </c>
      <c r="B1009" t="inlineStr">
        <is>
          <t>FELIPE BOBADILLA CABRERA</t>
        </is>
      </c>
      <c r="C1009" t="inlineStr">
        <is>
          <t>08504522</t>
        </is>
      </c>
      <c r="D1009" t="inlineStr">
        <is>
          <t>PLACA: D5R-210</t>
        </is>
      </c>
      <c r="E1009" t="inlineStr">
        <is>
          <t>Lima, 11 de Octubre de 2023</t>
        </is>
      </c>
      <c r="F1009" t="inlineStr">
        <is>
          <t>la venta</t>
        </is>
      </c>
      <c r="G1009" t="inlineStr">
        <is>
          <t>01</t>
        </is>
      </c>
      <c r="H1009" t="inlineStr">
        <is>
          <t>04 KG</t>
        </is>
      </c>
      <c r="I1009" t="inlineStr">
        <is>
          <t>2028</t>
        </is>
      </c>
      <c r="J1009" t="n">
        <v>2023</v>
      </c>
      <c r="K1009" t="inlineStr">
        <is>
          <t>OCTUBRE 2023</t>
        </is>
      </c>
      <c r="L1009" t="inlineStr">
        <is>
          <t>OCTUBRE 2024</t>
        </is>
      </c>
      <c r="M1009" t="inlineStr">
        <is>
          <t>P.Q.S TIPO ABC</t>
        </is>
      </c>
      <c r="N1009" t="inlineStr">
        <is>
          <t>01/458952</t>
        </is>
      </c>
      <c r="O1009" t="inlineStr">
        <is>
          <t>V</t>
        </is>
      </c>
      <c r="P1009">
        <f>TRIM(N1009)</f>
        <v/>
      </c>
    </row>
    <row r="1010">
      <c r="A1010" t="inlineStr">
        <is>
          <t>CO-001612</t>
        </is>
      </c>
      <c r="B1010" t="inlineStr">
        <is>
          <t>WILSON  YZAGUIRRE ESPINOZA</t>
        </is>
      </c>
      <c r="C1010" t="inlineStr">
        <is>
          <t>10390332</t>
        </is>
      </c>
      <c r="D1010" t="inlineStr">
        <is>
          <t>PLACA: D1O-502</t>
        </is>
      </c>
      <c r="E1010" t="inlineStr">
        <is>
          <t>Lima, 11 de Octubre de 2023</t>
        </is>
      </c>
      <c r="F1010" t="inlineStr">
        <is>
          <t>la Recarga y mantenimiento</t>
        </is>
      </c>
      <c r="G1010" t="inlineStr">
        <is>
          <t>01</t>
        </is>
      </c>
      <c r="H1010" t="inlineStr">
        <is>
          <t>02 KG</t>
        </is>
      </c>
      <c r="I1010" t="inlineStr">
        <is>
          <t>VIGENTE</t>
        </is>
      </c>
      <c r="J1010" t="n">
        <v>2014</v>
      </c>
      <c r="K1010" t="inlineStr">
        <is>
          <t>OCTUBRE 2023</t>
        </is>
      </c>
      <c r="L1010" t="inlineStr">
        <is>
          <t>OCTUBRE 2024</t>
        </is>
      </c>
      <c r="M1010" t="inlineStr">
        <is>
          <t>P.Q.S TIPO ABC</t>
        </is>
      </c>
      <c r="N1010" t="inlineStr">
        <is>
          <t>01/921119</t>
        </is>
      </c>
      <c r="O1010" t="inlineStr">
        <is>
          <t>R</t>
        </is>
      </c>
      <c r="P1010">
        <f>TRIM(N1010)</f>
        <v/>
      </c>
    </row>
    <row r="1011">
      <c r="A1011" t="inlineStr">
        <is>
          <t xml:space="preserve"> </t>
        </is>
      </c>
      <c r="B1011" t="inlineStr">
        <is>
          <t>DIESY SKARLE SANCHEZ RODRIGUEZ</t>
        </is>
      </c>
      <c r="C1011" t="inlineStr">
        <is>
          <t>15611603018</t>
        </is>
      </c>
      <c r="D1011" t="inlineStr">
        <is>
          <t>CALLE JAVIER HERAUD URB LUCYANA</t>
        </is>
      </c>
      <c r="E1011" t="inlineStr">
        <is>
          <t>Lima, 11 de Octubre de 2023</t>
        </is>
      </c>
      <c r="F1011" t="inlineStr">
        <is>
          <t>la Venta</t>
        </is>
      </c>
      <c r="G1011" t="inlineStr">
        <is>
          <t>01</t>
        </is>
      </c>
      <c r="H1011" t="inlineStr">
        <is>
          <t>06 KG</t>
        </is>
      </c>
      <c r="I1011" t="inlineStr">
        <is>
          <t>2028</t>
        </is>
      </c>
      <c r="J1011" t="n">
        <v>2023</v>
      </c>
      <c r="K1011" t="inlineStr">
        <is>
          <t>OCTUBRE 2023</t>
        </is>
      </c>
      <c r="L1011" t="inlineStr">
        <is>
          <t>OCTUBRE 2024</t>
        </is>
      </c>
      <c r="M1011" t="inlineStr">
        <is>
          <t>P.Q.S TIPO ABC</t>
        </is>
      </c>
      <c r="N1011" t="inlineStr">
        <is>
          <t>01/002617</t>
        </is>
      </c>
      <c r="O1011" t="inlineStr">
        <is>
          <t>V</t>
        </is>
      </c>
      <c r="P1011">
        <f>TRIM(N1011)</f>
        <v/>
      </c>
    </row>
    <row r="1012">
      <c r="A1012" t="inlineStr">
        <is>
          <t>CO-001614</t>
        </is>
      </c>
      <c r="B1012" t="inlineStr">
        <is>
          <t xml:space="preserve">RICHARD CARHUAMACA SANCHEZ </t>
        </is>
      </c>
      <c r="C1012" t="inlineStr">
        <is>
          <t>09976059</t>
        </is>
      </c>
      <c r="D1012" t="inlineStr">
        <is>
          <t>PLACA: C8J-647</t>
        </is>
      </c>
      <c r="E1012" t="inlineStr">
        <is>
          <t>Lima,16 de Octubre de 2023</t>
        </is>
      </c>
      <c r="F1012" t="inlineStr">
        <is>
          <t>la Recarga y mantenimiento</t>
        </is>
      </c>
      <c r="G1012" t="inlineStr">
        <is>
          <t>01</t>
        </is>
      </c>
      <c r="H1012" t="inlineStr">
        <is>
          <t>02 KG</t>
        </is>
      </c>
      <c r="I1012" t="inlineStr">
        <is>
          <t>2024</t>
        </is>
      </c>
      <c r="J1012" t="n">
        <v>2019</v>
      </c>
      <c r="K1012" t="inlineStr">
        <is>
          <t>OCTUBRE 2023</t>
        </is>
      </c>
      <c r="L1012" t="inlineStr">
        <is>
          <t>OCTUBRE 2024</t>
        </is>
      </c>
      <c r="M1012" t="inlineStr">
        <is>
          <t>P.Q.S TIPO ABC</t>
        </is>
      </c>
      <c r="N1012" t="inlineStr">
        <is>
          <t>01/000023</t>
        </is>
      </c>
      <c r="O1012" t="inlineStr">
        <is>
          <t>R</t>
        </is>
      </c>
      <c r="P1012">
        <f>TRIM(N1012)</f>
        <v/>
      </c>
    </row>
    <row r="1013">
      <c r="A1013" t="inlineStr">
        <is>
          <t>CO-001615</t>
        </is>
      </c>
      <c r="B1013" t="inlineStr">
        <is>
          <t>JOSE QUISPE FIGUEROA</t>
        </is>
      </c>
      <c r="C1013" t="inlineStr">
        <is>
          <t>40143258</t>
        </is>
      </c>
      <c r="D1013" t="inlineStr">
        <is>
          <t>PLACA: D6C-699</t>
        </is>
      </c>
      <c r="E1013" t="inlineStr">
        <is>
          <t>Lima,16 de Octubre de 2023</t>
        </is>
      </c>
      <c r="F1013" t="inlineStr">
        <is>
          <t>la Recarga y mantenimiento</t>
        </is>
      </c>
      <c r="G1013" t="inlineStr">
        <is>
          <t>01</t>
        </is>
      </c>
      <c r="H1013" t="inlineStr">
        <is>
          <t>02 KG</t>
        </is>
      </c>
      <c r="I1013" t="inlineStr">
        <is>
          <t>VIGENTE</t>
        </is>
      </c>
      <c r="J1013" t="n">
        <v>2011</v>
      </c>
      <c r="K1013" t="inlineStr">
        <is>
          <t>OCTUBRE 2023</t>
        </is>
      </c>
      <c r="L1013" t="inlineStr">
        <is>
          <t>OCTUBRE 2024</t>
        </is>
      </c>
      <c r="M1013" t="inlineStr">
        <is>
          <t>P.Q.S TIPO ABC</t>
        </is>
      </c>
      <c r="N1013" t="inlineStr">
        <is>
          <t>01/001006</t>
        </is>
      </c>
      <c r="O1013" t="inlineStr">
        <is>
          <t>R</t>
        </is>
      </c>
      <c r="P1013">
        <f>TRIM(N1013)</f>
        <v/>
      </c>
    </row>
    <row r="1014">
      <c r="A1014" t="inlineStr">
        <is>
          <t>CO-001616</t>
        </is>
      </c>
      <c r="B1014" t="inlineStr">
        <is>
          <t>HUAÑAHUE PAUCA DIONET</t>
        </is>
      </c>
      <c r="C1014" t="inlineStr">
        <is>
          <t>44969408</t>
        </is>
      </c>
      <c r="D1014" t="inlineStr">
        <is>
          <t>PLACA: CAT-093</t>
        </is>
      </c>
      <c r="E1014" t="inlineStr">
        <is>
          <t>Lima,17 de Octubre de 2023</t>
        </is>
      </c>
      <c r="F1014" t="inlineStr">
        <is>
          <t>la Recarga y mantenimiento</t>
        </is>
      </c>
      <c r="G1014" t="inlineStr">
        <is>
          <t>01</t>
        </is>
      </c>
      <c r="H1014" t="inlineStr">
        <is>
          <t>06 KG</t>
        </is>
      </c>
      <c r="I1014" t="inlineStr">
        <is>
          <t>2027</t>
        </is>
      </c>
      <c r="J1014" t="n">
        <v>2022</v>
      </c>
      <c r="K1014" t="inlineStr">
        <is>
          <t>OCTUBRE 2023</t>
        </is>
      </c>
      <c r="L1014" t="inlineStr">
        <is>
          <t>OCTUBRE 2024</t>
        </is>
      </c>
      <c r="M1014" t="inlineStr">
        <is>
          <t>P.Q.S TIPO ABC</t>
        </is>
      </c>
      <c r="N1014" t="inlineStr">
        <is>
          <t>01/019919</t>
        </is>
      </c>
      <c r="O1014" t="inlineStr">
        <is>
          <t>R</t>
        </is>
      </c>
      <c r="P1014">
        <f>TRIM(N1014)</f>
        <v/>
      </c>
    </row>
    <row r="1015">
      <c r="A1015" t="inlineStr">
        <is>
          <t>CO-001617</t>
        </is>
      </c>
      <c r="B1015" t="inlineStr">
        <is>
          <t>LIZ FARMA De: Lizbeth Karina Lachira Fabian</t>
        </is>
      </c>
      <c r="D1015" t="inlineStr">
        <is>
          <t>AV. MANUEL PRADO S/N  MZ.J  LT. 05 -  PROG. VIV. SAN FRANCISCO DE CARABAYLLO - CARABAYLLO</t>
        </is>
      </c>
      <c r="E1015" t="inlineStr">
        <is>
          <t>Lima,18 de Octubre de 2023</t>
        </is>
      </c>
      <c r="F1015" t="inlineStr">
        <is>
          <t>la Recarga y mantenimiento</t>
        </is>
      </c>
      <c r="G1015" t="inlineStr">
        <is>
          <t>01</t>
        </is>
      </c>
      <c r="H1015" t="inlineStr">
        <is>
          <t>06 KG</t>
        </is>
      </c>
      <c r="I1015" t="inlineStr">
        <is>
          <t>VIGENTE</t>
        </is>
      </c>
      <c r="J1015" t="n">
        <v>2016</v>
      </c>
      <c r="K1015" t="inlineStr">
        <is>
          <t>OCTUBRE 2023</t>
        </is>
      </c>
      <c r="L1015" t="inlineStr">
        <is>
          <t>OCTUBRE 2024</t>
        </is>
      </c>
      <c r="M1015" t="inlineStr">
        <is>
          <t>P.Q.S TIPO ABC</t>
        </is>
      </c>
      <c r="N1015" t="inlineStr">
        <is>
          <t>01/001077</t>
        </is>
      </c>
      <c r="O1015" t="inlineStr">
        <is>
          <t>R</t>
        </is>
      </c>
      <c r="P1015">
        <f>TRIM(N1015)</f>
        <v/>
      </c>
    </row>
    <row r="1016">
      <c r="A1016" t="inlineStr">
        <is>
          <t>CO-001618</t>
        </is>
      </c>
      <c r="B1016" t="inlineStr">
        <is>
          <t>QFLEET DEL ORIENTE S.A.</t>
        </is>
      </c>
      <c r="C1016" t="inlineStr">
        <is>
          <t>20607429091</t>
        </is>
      </c>
      <c r="D1016" t="inlineStr">
        <is>
          <t>PJ. LA PAZ NRO. 205 CALLERIA CORONEL PORTILLO UCAYALI</t>
        </is>
      </c>
      <c r="E1016" t="inlineStr">
        <is>
          <t>Lima,19 de Octubre de 2023</t>
        </is>
      </c>
      <c r="F1016" t="inlineStr">
        <is>
          <t>la Venta</t>
        </is>
      </c>
      <c r="G1016" t="inlineStr">
        <is>
          <t>01</t>
        </is>
      </c>
      <c r="H1016" t="inlineStr">
        <is>
          <t xml:space="preserve">06 KG </t>
        </is>
      </c>
      <c r="I1016" t="inlineStr">
        <is>
          <t>2028</t>
        </is>
      </c>
      <c r="J1016" t="n">
        <v>2023</v>
      </c>
      <c r="K1016" t="inlineStr">
        <is>
          <t>OCTUBRE 2023</t>
        </is>
      </c>
      <c r="L1016" t="inlineStr">
        <is>
          <t>OCTUBRE 2024</t>
        </is>
      </c>
      <c r="M1016" t="inlineStr">
        <is>
          <t xml:space="preserve">P.Q.S TIPO ABC AL 90% NACIONAL </t>
        </is>
      </c>
      <c r="N1016" t="inlineStr">
        <is>
          <t>01/000491</t>
        </is>
      </c>
      <c r="O1016" t="inlineStr">
        <is>
          <t>V</t>
        </is>
      </c>
      <c r="P1016">
        <f>TRIM(N1016)</f>
        <v/>
      </c>
    </row>
    <row r="1017">
      <c r="A1017" t="inlineStr">
        <is>
          <t>CO-001618</t>
        </is>
      </c>
      <c r="B1017" t="inlineStr">
        <is>
          <t>QFLEET DEL ORIENTE S.A.</t>
        </is>
      </c>
      <c r="C1017" t="inlineStr">
        <is>
          <t>20607429091</t>
        </is>
      </c>
      <c r="D1017" t="inlineStr">
        <is>
          <t>PJ. LA PAZ NRO. 205 CALLERIA CORONEL PORTILLO UCAYALI</t>
        </is>
      </c>
      <c r="E1017" t="inlineStr">
        <is>
          <t>Lima,19 de Octubre de 2023</t>
        </is>
      </c>
      <c r="F1017" t="inlineStr">
        <is>
          <t>la Venta</t>
        </is>
      </c>
      <c r="G1017" t="inlineStr">
        <is>
          <t>02</t>
        </is>
      </c>
      <c r="H1017" t="inlineStr">
        <is>
          <t>06 KG</t>
        </is>
      </c>
      <c r="I1017" t="inlineStr">
        <is>
          <t>2028</t>
        </is>
      </c>
      <c r="J1017" t="n">
        <v>2023</v>
      </c>
      <c r="K1017" t="inlineStr">
        <is>
          <t>OCTUBRE 2023</t>
        </is>
      </c>
      <c r="L1017" t="inlineStr">
        <is>
          <t>OCTUBRE 2024</t>
        </is>
      </c>
      <c r="M1017" t="inlineStr">
        <is>
          <t xml:space="preserve">P.Q.S TIPO ABC AL 90% NACIONAL </t>
        </is>
      </c>
      <c r="N1017" t="inlineStr">
        <is>
          <t>02/000342</t>
        </is>
      </c>
      <c r="O1017" t="inlineStr">
        <is>
          <t>V</t>
        </is>
      </c>
      <c r="P1017">
        <f>TRIM(N1017)</f>
        <v/>
      </c>
    </row>
    <row r="1018">
      <c r="A1018" t="inlineStr">
        <is>
          <t>CO-001618</t>
        </is>
      </c>
      <c r="B1018" t="inlineStr">
        <is>
          <t>QFLEET DEL ORIENTE S.A.</t>
        </is>
      </c>
      <c r="C1018" t="inlineStr">
        <is>
          <t>20607429091</t>
        </is>
      </c>
      <c r="D1018" t="inlineStr">
        <is>
          <t>PJ. LA PAZ NRO. 205 CALLERIA CORONEL PORTILLO UCAYALI</t>
        </is>
      </c>
      <c r="E1018" t="inlineStr">
        <is>
          <t>Lima,19 de Octubre de 2023</t>
        </is>
      </c>
      <c r="F1018" t="inlineStr">
        <is>
          <t>la Venta</t>
        </is>
      </c>
      <c r="G1018" t="inlineStr">
        <is>
          <t>03</t>
        </is>
      </c>
      <c r="H1018" t="inlineStr">
        <is>
          <t>06 KG</t>
        </is>
      </c>
      <c r="I1018" t="n">
        <v>2028</v>
      </c>
      <c r="J1018" t="n">
        <v>2023</v>
      </c>
      <c r="K1018" t="inlineStr">
        <is>
          <t>OCTUBRE 2023</t>
        </is>
      </c>
      <c r="L1018" t="inlineStr">
        <is>
          <t>OCTUBRE 2024</t>
        </is>
      </c>
      <c r="M1018" t="inlineStr">
        <is>
          <t xml:space="preserve">P.Q.S TIPO ABC AL 90% NACIONAL </t>
        </is>
      </c>
      <c r="N1018" t="inlineStr">
        <is>
          <t>03/001944</t>
        </is>
      </c>
      <c r="O1018" t="inlineStr">
        <is>
          <t>V</t>
        </is>
      </c>
      <c r="P1018">
        <f>TRIM(N1018)</f>
        <v/>
      </c>
    </row>
    <row r="1019">
      <c r="A1019" t="inlineStr">
        <is>
          <t>CO-001618</t>
        </is>
      </c>
      <c r="B1019" t="inlineStr">
        <is>
          <t>QFLEET DEL ORIENTE S.A.</t>
        </is>
      </c>
      <c r="C1019" t="inlineStr">
        <is>
          <t>20607429091</t>
        </is>
      </c>
      <c r="D1019" t="inlineStr">
        <is>
          <t>PJ. LA PAZ NRO. 205 CALLERIA CORONEL PORTILLO UCAYALI</t>
        </is>
      </c>
      <c r="E1019" t="inlineStr">
        <is>
          <t>Lima,19 de Octubre de 2023</t>
        </is>
      </c>
      <c r="F1019" t="inlineStr">
        <is>
          <t>la Venta</t>
        </is>
      </c>
      <c r="G1019" t="inlineStr">
        <is>
          <t>04</t>
        </is>
      </c>
      <c r="H1019" t="inlineStr">
        <is>
          <t>06 KG</t>
        </is>
      </c>
      <c r="I1019" t="n">
        <v>2028</v>
      </c>
      <c r="J1019" t="n">
        <v>2023</v>
      </c>
      <c r="K1019" t="inlineStr">
        <is>
          <t>OCTUBRE 2023</t>
        </is>
      </c>
      <c r="L1019" t="inlineStr">
        <is>
          <t>OCTUBRE 2024</t>
        </is>
      </c>
      <c r="M1019" t="inlineStr">
        <is>
          <t xml:space="preserve">P.Q.S TIPO ABC AL 90% NACIONAL </t>
        </is>
      </c>
      <c r="N1019" t="inlineStr">
        <is>
          <t>04/000617</t>
        </is>
      </c>
      <c r="O1019" t="inlineStr">
        <is>
          <t>V</t>
        </is>
      </c>
      <c r="P1019">
        <f>TRIM(N1019)</f>
        <v/>
      </c>
    </row>
    <row r="1020">
      <c r="A1020" t="inlineStr">
        <is>
          <t>CO-001618</t>
        </is>
      </c>
      <c r="B1020" t="inlineStr">
        <is>
          <t>QFLEET DEL ORIENTE S.A.</t>
        </is>
      </c>
      <c r="C1020" t="inlineStr">
        <is>
          <t>20607429091</t>
        </is>
      </c>
      <c r="D1020" t="inlineStr">
        <is>
          <t>PJ. LA PAZ NRO. 205 CALLERIA CORONEL PORTILLO UCAYALI</t>
        </is>
      </c>
      <c r="E1020" t="inlineStr">
        <is>
          <t>Lima,19 de Octubre de 2023</t>
        </is>
      </c>
      <c r="F1020" t="inlineStr">
        <is>
          <t>la Venta</t>
        </is>
      </c>
      <c r="G1020" t="inlineStr">
        <is>
          <t>05</t>
        </is>
      </c>
      <c r="H1020" t="inlineStr">
        <is>
          <t>2.5 GLS</t>
        </is>
      </c>
      <c r="I1020" t="n">
        <v>2027</v>
      </c>
      <c r="J1020" t="n">
        <v>2022</v>
      </c>
      <c r="K1020" t="inlineStr">
        <is>
          <t>OCTUBRE 2023</t>
        </is>
      </c>
      <c r="L1020" t="inlineStr">
        <is>
          <t>OCTUBRE 2024</t>
        </is>
      </c>
      <c r="M1020" t="inlineStr">
        <is>
          <t>EXTINTOR DE ESPUMA AFFF AL 6% TIPO AB</t>
        </is>
      </c>
      <c r="N1020" t="inlineStr">
        <is>
          <t>01/000078</t>
        </is>
      </c>
      <c r="O1020" t="inlineStr">
        <is>
          <t>V</t>
        </is>
      </c>
      <c r="P1020">
        <f>TRIM(N1020)</f>
        <v/>
      </c>
    </row>
    <row r="1021">
      <c r="A1021" t="inlineStr">
        <is>
          <t>CO-001619</t>
        </is>
      </c>
      <c r="B1021" t="inlineStr">
        <is>
          <t>CENTRO CLINICO BIENESTAR</t>
        </is>
      </c>
      <c r="C1021" t="inlineStr">
        <is>
          <t>20611617233</t>
        </is>
      </c>
      <c r="D1021" t="inlineStr">
        <is>
          <t>AV. UNIVERSITARIA NORTE 9341</t>
        </is>
      </c>
      <c r="E1021" t="inlineStr">
        <is>
          <t>Lima,19 de Octubre de 2023</t>
        </is>
      </c>
      <c r="F1021" t="inlineStr">
        <is>
          <t>la Venta</t>
        </is>
      </c>
      <c r="G1021" t="inlineStr">
        <is>
          <t>01</t>
        </is>
      </c>
      <c r="H1021" t="inlineStr">
        <is>
          <t>06 KG</t>
        </is>
      </c>
      <c r="I1021" t="inlineStr">
        <is>
          <t>2028</t>
        </is>
      </c>
      <c r="J1021" t="n">
        <v>2023</v>
      </c>
      <c r="K1021" t="inlineStr">
        <is>
          <t>OCTUBRE 2023</t>
        </is>
      </c>
      <c r="L1021" t="inlineStr">
        <is>
          <t>OCTUBRE 2024</t>
        </is>
      </c>
      <c r="M1021" t="inlineStr">
        <is>
          <t>P.Q.S TIPO ABC</t>
        </is>
      </c>
      <c r="N1021" t="inlineStr">
        <is>
          <t>01/001543</t>
        </is>
      </c>
      <c r="O1021" t="inlineStr">
        <is>
          <t>V</t>
        </is>
      </c>
      <c r="P1021">
        <f>TRIM(N1021)</f>
        <v/>
      </c>
    </row>
    <row r="1022">
      <c r="A1022" t="inlineStr">
        <is>
          <t>CO-001620</t>
        </is>
      </c>
      <c r="B1022" t="inlineStr">
        <is>
          <t>JOSE LUIS FLORES CAYO</t>
        </is>
      </c>
      <c r="C1022" t="inlineStr">
        <is>
          <t>09990105</t>
        </is>
      </c>
      <c r="D1022" t="inlineStr">
        <is>
          <t>PLACA: ASR-211</t>
        </is>
      </c>
      <c r="E1022" t="inlineStr">
        <is>
          <t>Lima,21 de Octubre de 2023</t>
        </is>
      </c>
      <c r="F1022" t="inlineStr">
        <is>
          <t>la Recarga y mantenimiento</t>
        </is>
      </c>
      <c r="G1022" t="inlineStr">
        <is>
          <t>01</t>
        </is>
      </c>
      <c r="H1022" t="inlineStr">
        <is>
          <t>02 KG</t>
        </is>
      </c>
      <c r="I1022" t="inlineStr">
        <is>
          <t>VIGENTE</t>
        </is>
      </c>
      <c r="J1022" t="n">
        <v>2014</v>
      </c>
      <c r="K1022" t="inlineStr">
        <is>
          <t>OCTUBRE 2023</t>
        </is>
      </c>
      <c r="L1022" t="inlineStr">
        <is>
          <t>OCTUBRE 2024</t>
        </is>
      </c>
      <c r="M1022" t="inlineStr">
        <is>
          <t>P.Q.S TIPO ABC</t>
        </is>
      </c>
      <c r="N1022" t="inlineStr">
        <is>
          <t>01/000005</t>
        </is>
      </c>
      <c r="O1022" t="inlineStr">
        <is>
          <t>R</t>
        </is>
      </c>
      <c r="P1022">
        <f>TRIM(N1022)</f>
        <v/>
      </c>
    </row>
    <row r="1023">
      <c r="A1023" t="inlineStr">
        <is>
          <t>CO-001621</t>
        </is>
      </c>
      <c r="B1023" t="inlineStr">
        <is>
          <t xml:space="preserve">LINDE PERU S.R.L. </t>
        </is>
      </c>
      <c r="C1023" t="inlineStr">
        <is>
          <t>20338570041</t>
        </is>
      </c>
      <c r="D1023" t="inlineStr">
        <is>
          <t>CAR.CARRET.CENTRAL KM.9.5 Z.I. ZONA INDUSTRIAL(DESVIO HUACHIPA LURIGANCHO CHOSICA) LIMA LURIGANCHO</t>
        </is>
      </c>
      <c r="E1023" t="inlineStr">
        <is>
          <t>Lima, 23 de Octubre de 2023</t>
        </is>
      </c>
      <c r="F1023" t="inlineStr">
        <is>
          <t>la Recarga y mantenimiento</t>
        </is>
      </c>
      <c r="G1023" t="inlineStr">
        <is>
          <t>01</t>
        </is>
      </c>
      <c r="H1023" t="inlineStr">
        <is>
          <t>12 KG</t>
        </is>
      </c>
      <c r="I1023" t="inlineStr">
        <is>
          <t>2027</t>
        </is>
      </c>
      <c r="J1023" t="n">
        <v>2012</v>
      </c>
      <c r="K1023" t="inlineStr">
        <is>
          <t>OCTUBRE 2023</t>
        </is>
      </c>
      <c r="L1023" t="inlineStr">
        <is>
          <t>OCTUBRE 2024</t>
        </is>
      </c>
      <c r="M1023" t="inlineStr">
        <is>
          <t>P.Q.S TIPO ABC AL 90% UL</t>
        </is>
      </c>
      <c r="N1023" t="inlineStr">
        <is>
          <t>07/004908</t>
        </is>
      </c>
      <c r="O1023" t="inlineStr">
        <is>
          <t>R</t>
        </is>
      </c>
      <c r="P1023">
        <f>TRIM(N1023)</f>
        <v/>
      </c>
    </row>
    <row r="1024">
      <c r="A1024" t="inlineStr">
        <is>
          <t>CO-001621</t>
        </is>
      </c>
      <c r="B1024" t="inlineStr">
        <is>
          <t xml:space="preserve">LINDE PERU S.R.L. </t>
        </is>
      </c>
      <c r="C1024" t="inlineStr">
        <is>
          <t>20338570041</t>
        </is>
      </c>
      <c r="D1024" t="inlineStr">
        <is>
          <t>CAR.CARRET.CENTRAL KM.9.5 Z.I. ZONA INDUSTRIAL(DESVIO HUACHIPA LURIGANCHO CHOSICA) LIMA LURIGANCHO</t>
        </is>
      </c>
      <c r="E1024" t="inlineStr">
        <is>
          <t>Lima, 23 de Octubre de 2023</t>
        </is>
      </c>
      <c r="F1024" t="inlineStr">
        <is>
          <t>la Recarga y mantenimiento</t>
        </is>
      </c>
      <c r="G1024" t="inlineStr">
        <is>
          <t>02</t>
        </is>
      </c>
      <c r="H1024" t="inlineStr">
        <is>
          <t>12 KG</t>
        </is>
      </c>
      <c r="I1024" t="inlineStr">
        <is>
          <t>2027</t>
        </is>
      </c>
      <c r="J1024" t="n">
        <v>2012</v>
      </c>
      <c r="K1024" t="inlineStr">
        <is>
          <t>OCTUBRE 2023</t>
        </is>
      </c>
      <c r="L1024" t="inlineStr">
        <is>
          <t>OCTUBRE 2024</t>
        </is>
      </c>
      <c r="M1024" t="inlineStr">
        <is>
          <t>P.Q.S TIPO ABC AL 90% UL</t>
        </is>
      </c>
      <c r="N1024" t="inlineStr">
        <is>
          <t>08/004291</t>
        </is>
      </c>
      <c r="O1024" t="inlineStr">
        <is>
          <t>R</t>
        </is>
      </c>
      <c r="P1024">
        <f>TRIM(N1024)</f>
        <v/>
      </c>
    </row>
    <row r="1025">
      <c r="A1025" t="inlineStr">
        <is>
          <t>CO-001621</t>
        </is>
      </c>
      <c r="B1025" t="inlineStr">
        <is>
          <t xml:space="preserve">LINDE PERU S.R.L. </t>
        </is>
      </c>
      <c r="C1025" t="inlineStr">
        <is>
          <t>20338570041</t>
        </is>
      </c>
      <c r="D1025" t="inlineStr">
        <is>
          <t>CAR.CARRET.CENTRAL KM.9.5 Z.I. ZONA INDUSTRIAL(DESVIO HUACHIPA LURIGANCHO CHOSICA) LIMA LURIGANCHO</t>
        </is>
      </c>
      <c r="E1025" t="inlineStr">
        <is>
          <t>Lima, 23 de Octubre de 2023</t>
        </is>
      </c>
      <c r="F1025" t="inlineStr">
        <is>
          <t>la Recarga y mantenimiento</t>
        </is>
      </c>
      <c r="G1025" t="inlineStr">
        <is>
          <t>03</t>
        </is>
      </c>
      <c r="H1025" t="inlineStr">
        <is>
          <t>12 KG</t>
        </is>
      </c>
      <c r="I1025" t="n">
        <v>2027</v>
      </c>
      <c r="J1025" t="n">
        <v>2012</v>
      </c>
      <c r="K1025" t="inlineStr">
        <is>
          <t>OCTUBRE 2023</t>
        </is>
      </c>
      <c r="L1025" t="inlineStr">
        <is>
          <t>OCTUBRE 2024</t>
        </is>
      </c>
      <c r="M1025" t="inlineStr">
        <is>
          <t>P.Q.S TIPO ABC AL 90% UL</t>
        </is>
      </c>
      <c r="N1025" t="inlineStr">
        <is>
          <t>09/004817</t>
        </is>
      </c>
      <c r="O1025" t="inlineStr">
        <is>
          <t>R</t>
        </is>
      </c>
      <c r="P1025">
        <f>TRIM(N1025)</f>
        <v/>
      </c>
    </row>
    <row r="1026">
      <c r="A1026" t="inlineStr">
        <is>
          <t>CO-001621</t>
        </is>
      </c>
      <c r="B1026" t="inlineStr">
        <is>
          <t xml:space="preserve">LINDE PERU S.R.L. </t>
        </is>
      </c>
      <c r="C1026" t="inlineStr">
        <is>
          <t>20338570041</t>
        </is>
      </c>
      <c r="D1026" t="inlineStr">
        <is>
          <t>CAR.CARRET.CENTRAL KM.9.5 Z.I. ZONA INDUSTRIAL(DESVIO HUACHIPA LURIGANCHO CHOSICA) LIMA LURIGANCHO</t>
        </is>
      </c>
      <c r="E1026" t="inlineStr">
        <is>
          <t>Lima, 23 de Octubre de 2023</t>
        </is>
      </c>
      <c r="F1026" t="inlineStr">
        <is>
          <t>la Recarga y mantenimiento</t>
        </is>
      </c>
      <c r="G1026" t="inlineStr">
        <is>
          <t>04</t>
        </is>
      </c>
      <c r="H1026" t="inlineStr">
        <is>
          <t>12 KG</t>
        </is>
      </c>
      <c r="I1026" t="n">
        <v>2027</v>
      </c>
      <c r="J1026" t="n">
        <v>2012</v>
      </c>
      <c r="K1026" t="inlineStr">
        <is>
          <t>OCTUBRE 2023</t>
        </is>
      </c>
      <c r="L1026" t="inlineStr">
        <is>
          <t>OCTUBRE 2024</t>
        </is>
      </c>
      <c r="M1026" t="inlineStr">
        <is>
          <t>P.Q.S TIPO ABC AL 90% UL</t>
        </is>
      </c>
      <c r="N1026" t="inlineStr">
        <is>
          <t>10/004685</t>
        </is>
      </c>
      <c r="O1026" t="inlineStr">
        <is>
          <t>R</t>
        </is>
      </c>
      <c r="P1026">
        <f>TRIM(N1026)</f>
        <v/>
      </c>
    </row>
    <row r="1027">
      <c r="A1027" t="inlineStr">
        <is>
          <t>CO-001621</t>
        </is>
      </c>
      <c r="B1027" t="inlineStr">
        <is>
          <t xml:space="preserve">LINDE PERU S.R.L. </t>
        </is>
      </c>
      <c r="C1027" t="inlineStr">
        <is>
          <t>20338570041</t>
        </is>
      </c>
      <c r="D1027" t="inlineStr">
        <is>
          <t>CAR.CARRET.CENTRAL KM.9.5 Z.I. ZONA INDUSTRIAL(DESVIO HUACHIPA LURIGANCHO CHOSICA) LIMA LURIGANCHO</t>
        </is>
      </c>
      <c r="E1027" t="inlineStr">
        <is>
          <t>Lima, 23 de Octubre de 2023</t>
        </is>
      </c>
      <c r="F1027" t="inlineStr">
        <is>
          <t>la Recarga y mantenimiento</t>
        </is>
      </c>
      <c r="G1027" t="inlineStr">
        <is>
          <t>05</t>
        </is>
      </c>
      <c r="H1027" t="inlineStr">
        <is>
          <t>12 KG</t>
        </is>
      </c>
      <c r="I1027" t="n">
        <v>2027</v>
      </c>
      <c r="J1027" t="n">
        <v>2012</v>
      </c>
      <c r="K1027" t="inlineStr">
        <is>
          <t>OCTUBRE 2023</t>
        </is>
      </c>
      <c r="L1027" t="inlineStr">
        <is>
          <t>OCTUBRE 2024</t>
        </is>
      </c>
      <c r="M1027" t="inlineStr">
        <is>
          <t>P.Q.S TIPO ABC AL 90% UL</t>
        </is>
      </c>
      <c r="N1027" t="inlineStr">
        <is>
          <t>11/004760</t>
        </is>
      </c>
      <c r="O1027" t="inlineStr">
        <is>
          <t>R</t>
        </is>
      </c>
      <c r="P1027">
        <f>TRIM(N1027)</f>
        <v/>
      </c>
    </row>
    <row r="1028">
      <c r="A1028" t="inlineStr">
        <is>
          <t>CO-001621</t>
        </is>
      </c>
      <c r="B1028" t="inlineStr">
        <is>
          <t xml:space="preserve">LINDE PERU S.R.L. </t>
        </is>
      </c>
      <c r="C1028" t="inlineStr">
        <is>
          <t>20338570041</t>
        </is>
      </c>
      <c r="D1028" t="inlineStr">
        <is>
          <t>CAR.CARRET.CENTRAL KM.9.5 Z.I. ZONA INDUSTRIAL(DESVIO HUACHIPA LURIGANCHO CHOSICA) LIMA LURIGANCHO</t>
        </is>
      </c>
      <c r="E1028" t="inlineStr">
        <is>
          <t>Lima, 23 de Octubre de 2023</t>
        </is>
      </c>
      <c r="F1028" t="inlineStr">
        <is>
          <t>la Recarga y mantenimiento</t>
        </is>
      </c>
      <c r="G1028" t="inlineStr">
        <is>
          <t>06</t>
        </is>
      </c>
      <c r="H1028" t="inlineStr">
        <is>
          <t>12 KG</t>
        </is>
      </c>
      <c r="I1028" t="n">
        <v>2027</v>
      </c>
      <c r="J1028" t="n">
        <v>2012</v>
      </c>
      <c r="K1028" t="inlineStr">
        <is>
          <t>OCTUBRE 2023</t>
        </is>
      </c>
      <c r="L1028" t="inlineStr">
        <is>
          <t>OCTUBRE 2024</t>
        </is>
      </c>
      <c r="M1028" t="inlineStr">
        <is>
          <t>P.Q.S TIPO ABC AL 90% UL</t>
        </is>
      </c>
      <c r="N1028" t="inlineStr">
        <is>
          <t>12/004674</t>
        </is>
      </c>
      <c r="O1028" t="inlineStr">
        <is>
          <t>R</t>
        </is>
      </c>
      <c r="P1028">
        <f>TRIM(N1028)</f>
        <v/>
      </c>
    </row>
    <row r="1029">
      <c r="A1029" t="inlineStr">
        <is>
          <t>CO-001621</t>
        </is>
      </c>
      <c r="B1029" t="inlineStr">
        <is>
          <t xml:space="preserve">LINDE PERU S.R.L. </t>
        </is>
      </c>
      <c r="C1029" t="inlineStr">
        <is>
          <t>20338570041</t>
        </is>
      </c>
      <c r="D1029" t="inlineStr">
        <is>
          <t>CAR.CARRET.CENTRAL KM.9.5 Z.I. ZONA INDUSTRIAL(DESVIO HUACHIPA LURIGANCHO CHOSICA) LIMA LURIGANCHO</t>
        </is>
      </c>
      <c r="E1029" t="inlineStr">
        <is>
          <t>Lima, 23 de Octubre de 2023</t>
        </is>
      </c>
      <c r="F1029" t="inlineStr">
        <is>
          <t>la Recarga y mantenimiento</t>
        </is>
      </c>
      <c r="G1029" t="inlineStr">
        <is>
          <t>07</t>
        </is>
      </c>
      <c r="H1029" t="inlineStr">
        <is>
          <t>12 KG</t>
        </is>
      </c>
      <c r="I1029" t="n">
        <v>2027</v>
      </c>
      <c r="J1029" t="n">
        <v>2012</v>
      </c>
      <c r="K1029" t="inlineStr">
        <is>
          <t>OCTUBRE 2023</t>
        </is>
      </c>
      <c r="L1029" t="inlineStr">
        <is>
          <t>OCTUBRE 2024</t>
        </is>
      </c>
      <c r="M1029" t="inlineStr">
        <is>
          <t>P.Q.S TIPO ABC AL 90% UL</t>
        </is>
      </c>
      <c r="N1029" t="inlineStr">
        <is>
          <t>14/004909</t>
        </is>
      </c>
      <c r="O1029" t="inlineStr">
        <is>
          <t>R</t>
        </is>
      </c>
      <c r="P1029">
        <f>TRIM(N1029)</f>
        <v/>
      </c>
    </row>
    <row r="1030">
      <c r="A1030" t="inlineStr">
        <is>
          <t>CO-001621</t>
        </is>
      </c>
      <c r="B1030" t="inlineStr">
        <is>
          <t xml:space="preserve">LINDE PERU S.R.L. </t>
        </is>
      </c>
      <c r="C1030" t="inlineStr">
        <is>
          <t>20338570041</t>
        </is>
      </c>
      <c r="D1030" t="inlineStr">
        <is>
          <t>CAR.CARRET.CENTRAL KM.9.5 Z.I. ZONA INDUSTRIAL(DESVIO HUACHIPA LURIGANCHO CHOSICA) LIMA LURIGANCHO</t>
        </is>
      </c>
      <c r="E1030" t="inlineStr">
        <is>
          <t>Lima, 23 de Octubre de 2023</t>
        </is>
      </c>
      <c r="F1030" t="inlineStr">
        <is>
          <t>la Recarga y mantenimiento</t>
        </is>
      </c>
      <c r="G1030" t="inlineStr">
        <is>
          <t>08</t>
        </is>
      </c>
      <c r="H1030" t="inlineStr">
        <is>
          <t>12 KG</t>
        </is>
      </c>
      <c r="I1030" t="n">
        <v>2027</v>
      </c>
      <c r="J1030" t="n">
        <v>2012</v>
      </c>
      <c r="K1030" t="inlineStr">
        <is>
          <t>OCTUBRE 2023</t>
        </is>
      </c>
      <c r="L1030" t="inlineStr">
        <is>
          <t>OCTUBRE 2024</t>
        </is>
      </c>
      <c r="M1030" t="inlineStr">
        <is>
          <t>P.Q.S TIPO ABC AL 90 % UL</t>
        </is>
      </c>
      <c r="N1030" t="inlineStr">
        <is>
          <t>16/004972</t>
        </is>
      </c>
      <c r="O1030" t="inlineStr">
        <is>
          <t>R</t>
        </is>
      </c>
      <c r="P1030">
        <f>TRIM(N1030)</f>
        <v/>
      </c>
    </row>
    <row r="1031">
      <c r="A1031" t="inlineStr">
        <is>
          <t>CO-001621</t>
        </is>
      </c>
      <c r="B1031" t="inlineStr">
        <is>
          <t xml:space="preserve">LINDE PERU S.R.L. </t>
        </is>
      </c>
      <c r="C1031" t="inlineStr">
        <is>
          <t>20338570041</t>
        </is>
      </c>
      <c r="D1031" t="inlineStr">
        <is>
          <t>CAR.CARRET.CENTRAL KM.9.5 Z.I. ZONA INDUSTRIAL(DESVIO HUACHIPA LURIGANCHO CHOSICA) LIMA LURIGANCHO</t>
        </is>
      </c>
      <c r="E1031" t="inlineStr">
        <is>
          <t>Lima, 23 de Octubre de 2023</t>
        </is>
      </c>
      <c r="F1031" t="inlineStr">
        <is>
          <t>la Recarga y mantenimiento</t>
        </is>
      </c>
      <c r="G1031" t="inlineStr">
        <is>
          <t>09</t>
        </is>
      </c>
      <c r="H1031" t="inlineStr">
        <is>
          <t>12 KG</t>
        </is>
      </c>
      <c r="I1031" t="n">
        <v>2027</v>
      </c>
      <c r="J1031" t="n">
        <v>2012</v>
      </c>
      <c r="K1031" t="inlineStr">
        <is>
          <t>OCTUBRE 2023</t>
        </is>
      </c>
      <c r="L1031" t="inlineStr">
        <is>
          <t>OCTUBRE 2024</t>
        </is>
      </c>
      <c r="M1031" t="inlineStr">
        <is>
          <t xml:space="preserve">P.Q.S TIPO ABC AL 90% UL </t>
        </is>
      </c>
      <c r="N1031" t="inlineStr">
        <is>
          <t>17/004372</t>
        </is>
      </c>
      <c r="O1031" t="inlineStr">
        <is>
          <t>R</t>
        </is>
      </c>
      <c r="P1031">
        <f>TRIM(N1031)</f>
        <v/>
      </c>
    </row>
    <row r="1032">
      <c r="A1032" t="inlineStr">
        <is>
          <t>CO-001621</t>
        </is>
      </c>
      <c r="B1032" t="inlineStr">
        <is>
          <t xml:space="preserve">LINDE PERU S.R.L. </t>
        </is>
      </c>
      <c r="C1032" t="inlineStr">
        <is>
          <t>20338570041</t>
        </is>
      </c>
      <c r="D1032" t="inlineStr">
        <is>
          <t>CAR.CARRET.CENTRAL KM.9.5 Z.I. ZONA INDUSTRIAL(DESVIO HUACHIPA LURIGANCHO CHOSICA) LIMA LURIGANCHO</t>
        </is>
      </c>
      <c r="E1032" t="inlineStr">
        <is>
          <t>Lima, 23 de Octubre de 2023</t>
        </is>
      </c>
      <c r="F1032" t="inlineStr">
        <is>
          <t>la Recarga y mantenimiento</t>
        </is>
      </c>
      <c r="G1032" t="n">
        <v>10</v>
      </c>
      <c r="H1032" t="inlineStr">
        <is>
          <t>12 KG</t>
        </is>
      </c>
      <c r="I1032" t="n">
        <v>2027</v>
      </c>
      <c r="J1032" t="n">
        <v>2012</v>
      </c>
      <c r="K1032" t="inlineStr">
        <is>
          <t>OCTUBRE 2023</t>
        </is>
      </c>
      <c r="L1032" t="inlineStr">
        <is>
          <t>OCTUBRE 2024</t>
        </is>
      </c>
      <c r="M1032" t="inlineStr">
        <is>
          <t>P.Q.S TIPO ABC AL 90% UL</t>
        </is>
      </c>
      <c r="N1032" t="inlineStr">
        <is>
          <t>18/004973</t>
        </is>
      </c>
      <c r="O1032" t="inlineStr">
        <is>
          <t>R</t>
        </is>
      </c>
      <c r="P1032">
        <f>TRIM(N1032)</f>
        <v/>
      </c>
    </row>
    <row r="1033">
      <c r="A1033" t="inlineStr">
        <is>
          <t>CO-001622</t>
        </is>
      </c>
      <c r="B1033" t="inlineStr">
        <is>
          <t xml:space="preserve">LINDE PERU S.R.L. </t>
        </is>
      </c>
      <c r="C1033" t="inlineStr">
        <is>
          <t>20338570041</t>
        </is>
      </c>
      <c r="D1033" t="inlineStr">
        <is>
          <t>CAR.CARRET.CENTRAL KM.9.5 Z.I. ZONA INDUSTRIAL(DESVIO HUACHIPA LURIGANCHO CHOSICA) LIMA LURIGANCHO</t>
        </is>
      </c>
      <c r="E1033" t="inlineStr">
        <is>
          <t>Lima, 23 de Octubre de 2023</t>
        </is>
      </c>
      <c r="F1033" t="inlineStr">
        <is>
          <t>la Recarga y mantenimiento</t>
        </is>
      </c>
      <c r="G1033" t="inlineStr">
        <is>
          <t>01</t>
        </is>
      </c>
      <c r="H1033" t="inlineStr">
        <is>
          <t>12 KG</t>
        </is>
      </c>
      <c r="I1033" t="inlineStr">
        <is>
          <t>2027</t>
        </is>
      </c>
      <c r="J1033" t="n">
        <v>2012</v>
      </c>
      <c r="K1033" t="inlineStr">
        <is>
          <t>OCTUBRE 2023</t>
        </is>
      </c>
      <c r="L1033" t="inlineStr">
        <is>
          <t>OCTUBRE 2024</t>
        </is>
      </c>
      <c r="M1033" t="inlineStr">
        <is>
          <t>P.Q.S TIPO ABC AL 90% UL</t>
        </is>
      </c>
      <c r="N1033" t="inlineStr">
        <is>
          <t>20/004767</t>
        </is>
      </c>
      <c r="O1033" t="inlineStr">
        <is>
          <t>R</t>
        </is>
      </c>
      <c r="P1033">
        <f>TRIM(N1033)</f>
        <v/>
      </c>
    </row>
    <row r="1034">
      <c r="A1034" t="inlineStr">
        <is>
          <t>CO-001622</t>
        </is>
      </c>
      <c r="B1034" t="inlineStr">
        <is>
          <t xml:space="preserve">LINDE PERU S.R.L. </t>
        </is>
      </c>
      <c r="C1034" t="inlineStr">
        <is>
          <t>20338570041</t>
        </is>
      </c>
      <c r="D1034" t="inlineStr">
        <is>
          <t>CAR.CARRET.CENTRAL KM.9.5 Z.I. ZONA INDUSTRIAL(DESVIO HUACHIPA LURIGANCHO CHOSICA) LIMA LURIGANCHO</t>
        </is>
      </c>
      <c r="E1034" t="inlineStr">
        <is>
          <t>Lima, 23 de Octubre de 2023</t>
        </is>
      </c>
      <c r="F1034" t="inlineStr">
        <is>
          <t>la Recarga y mantenimiento</t>
        </is>
      </c>
      <c r="G1034" t="inlineStr">
        <is>
          <t>02</t>
        </is>
      </c>
      <c r="H1034" t="inlineStr">
        <is>
          <t>12 KG</t>
        </is>
      </c>
      <c r="I1034" t="inlineStr">
        <is>
          <t>2027</t>
        </is>
      </c>
      <c r="J1034" t="n">
        <v>2012</v>
      </c>
      <c r="K1034" t="inlineStr">
        <is>
          <t>OCTUBRE 2023</t>
        </is>
      </c>
      <c r="L1034" t="inlineStr">
        <is>
          <t>OCTUBRE 2024</t>
        </is>
      </c>
      <c r="M1034" t="inlineStr">
        <is>
          <t>P.Q.S TIPO ABC AL 90% UL</t>
        </is>
      </c>
      <c r="N1034" t="inlineStr">
        <is>
          <t>22/004309</t>
        </is>
      </c>
      <c r="O1034" t="inlineStr">
        <is>
          <t>R</t>
        </is>
      </c>
      <c r="P1034">
        <f>TRIM(N1034)</f>
        <v/>
      </c>
    </row>
    <row r="1035">
      <c r="A1035" t="inlineStr">
        <is>
          <t>CO-001622</t>
        </is>
      </c>
      <c r="B1035" t="inlineStr">
        <is>
          <t xml:space="preserve">LINDE PERU S.R.L. </t>
        </is>
      </c>
      <c r="C1035" t="inlineStr">
        <is>
          <t>20338570041</t>
        </is>
      </c>
      <c r="D1035" t="inlineStr">
        <is>
          <t>CAR.CARRET.CENTRAL KM.9.5 Z.I. ZONA INDUSTRIAL(DESVIO HUACHIPA LURIGANCHO CHOSICA) LIMA LURIGANCHO</t>
        </is>
      </c>
      <c r="E1035" t="inlineStr">
        <is>
          <t>Lima, 23 de Octubre de 2023</t>
        </is>
      </c>
      <c r="F1035" t="inlineStr">
        <is>
          <t>la Recarga y mantenimiento</t>
        </is>
      </c>
      <c r="G1035" t="inlineStr">
        <is>
          <t>03</t>
        </is>
      </c>
      <c r="H1035" t="inlineStr">
        <is>
          <t>12 KG</t>
        </is>
      </c>
      <c r="I1035" t="n">
        <v>2027</v>
      </c>
      <c r="J1035" t="n">
        <v>2012</v>
      </c>
      <c r="K1035" t="inlineStr">
        <is>
          <t>OCTUBRE 2023</t>
        </is>
      </c>
      <c r="L1035" t="inlineStr">
        <is>
          <t>OCTUBRE 2024</t>
        </is>
      </c>
      <c r="M1035" t="inlineStr">
        <is>
          <t>P.Q.S TIPO ABC AL 90% UL</t>
        </is>
      </c>
      <c r="N1035" t="inlineStr">
        <is>
          <t>27/000133</t>
        </is>
      </c>
      <c r="O1035" t="inlineStr">
        <is>
          <t>R</t>
        </is>
      </c>
      <c r="P1035">
        <f>TRIM(N1035)</f>
        <v/>
      </c>
    </row>
    <row r="1036">
      <c r="A1036" t="inlineStr">
        <is>
          <t>CO-001622</t>
        </is>
      </c>
      <c r="B1036" t="inlineStr">
        <is>
          <t xml:space="preserve">LINDE PERU S.R.L. </t>
        </is>
      </c>
      <c r="C1036" t="inlineStr">
        <is>
          <t>20338570041</t>
        </is>
      </c>
      <c r="D1036" t="inlineStr">
        <is>
          <t>CAR.CARRET.CENTRAL KM.9.5 Z.I. ZONA INDUSTRIAL(DESVIO HUACHIPA LURIGANCHO CHOSICA) LIMA LURIGANCHO</t>
        </is>
      </c>
      <c r="E1036" t="inlineStr">
        <is>
          <t>Lima, 23 de Octubre de 2023</t>
        </is>
      </c>
      <c r="F1036" t="inlineStr">
        <is>
          <t>la Recarga y mantenimiento</t>
        </is>
      </c>
      <c r="G1036" t="inlineStr">
        <is>
          <t>04</t>
        </is>
      </c>
      <c r="H1036" t="inlineStr">
        <is>
          <t>12 KG</t>
        </is>
      </c>
      <c r="I1036" t="n">
        <v>2027</v>
      </c>
      <c r="J1036" t="n">
        <v>2012</v>
      </c>
      <c r="K1036" t="inlineStr">
        <is>
          <t>OCTUBRE 2023</t>
        </is>
      </c>
      <c r="L1036" t="inlineStr">
        <is>
          <t>OCTUBRE 2024</t>
        </is>
      </c>
      <c r="M1036" t="inlineStr">
        <is>
          <t>P.Q.S TIPO ABC AL 90% UL</t>
        </is>
      </c>
      <c r="N1036" t="inlineStr">
        <is>
          <t>28/000116</t>
        </is>
      </c>
      <c r="O1036" t="inlineStr">
        <is>
          <t>R</t>
        </is>
      </c>
      <c r="P1036">
        <f>TRIM(N1036)</f>
        <v/>
      </c>
    </row>
    <row r="1037">
      <c r="A1037" t="inlineStr">
        <is>
          <t>CO-001622</t>
        </is>
      </c>
      <c r="B1037" t="inlineStr">
        <is>
          <t xml:space="preserve">LINDE PERU S.R.L. </t>
        </is>
      </c>
      <c r="C1037" t="inlineStr">
        <is>
          <t>20338570041</t>
        </is>
      </c>
      <c r="D1037" t="inlineStr">
        <is>
          <t>CAR.CARRET.CENTRAL KM.9.5 Z.I. ZONA INDUSTRIAL(DESVIO HUACHIPA LURIGANCHO CHOSICA) LIMA LURIGANCHO</t>
        </is>
      </c>
      <c r="E1037" t="inlineStr">
        <is>
          <t>Lima, 23 de Octubre de 2023</t>
        </is>
      </c>
      <c r="F1037" t="inlineStr">
        <is>
          <t>la Recarga y mantenimiento</t>
        </is>
      </c>
      <c r="G1037" t="inlineStr">
        <is>
          <t>05</t>
        </is>
      </c>
      <c r="H1037" t="inlineStr">
        <is>
          <t>12 KG</t>
        </is>
      </c>
      <c r="I1037" t="n">
        <v>2027</v>
      </c>
      <c r="J1037" t="n">
        <v>2012</v>
      </c>
      <c r="K1037" t="inlineStr">
        <is>
          <t>OCTUBRE 2023</t>
        </is>
      </c>
      <c r="L1037" t="inlineStr">
        <is>
          <t>OCTUBRE 2024</t>
        </is>
      </c>
      <c r="M1037" t="inlineStr">
        <is>
          <t>P.Q.S TIPO ABC AL 90% UL</t>
        </is>
      </c>
      <c r="N1037" t="inlineStr">
        <is>
          <t>30/000143</t>
        </is>
      </c>
      <c r="O1037" t="inlineStr">
        <is>
          <t>R</t>
        </is>
      </c>
      <c r="P1037">
        <f>TRIM(N1037)</f>
        <v/>
      </c>
    </row>
    <row r="1038">
      <c r="A1038" t="inlineStr">
        <is>
          <t>CO-001622</t>
        </is>
      </c>
      <c r="B1038" t="inlineStr">
        <is>
          <t xml:space="preserve">LINDE PERU S.R.L. </t>
        </is>
      </c>
      <c r="C1038" t="inlineStr">
        <is>
          <t>20338570041</t>
        </is>
      </c>
      <c r="D1038" t="inlineStr">
        <is>
          <t>CAR.CARRET.CENTRAL KM.9.5 Z.I. ZONA INDUSTRIAL(DESVIO HUACHIPA LURIGANCHO CHOSICA) LIMA LURIGANCHO</t>
        </is>
      </c>
      <c r="E1038" t="inlineStr">
        <is>
          <t>Lima, 23 de Octubre de 2023</t>
        </is>
      </c>
      <c r="F1038" t="inlineStr">
        <is>
          <t>la Recarga y mantenimiento</t>
        </is>
      </c>
      <c r="G1038" t="inlineStr">
        <is>
          <t>06</t>
        </is>
      </c>
      <c r="H1038" t="inlineStr">
        <is>
          <t>12 KG</t>
        </is>
      </c>
      <c r="I1038" t="n">
        <v>2028</v>
      </c>
      <c r="J1038" t="n">
        <v>2018</v>
      </c>
      <c r="K1038" t="inlineStr">
        <is>
          <t>OCTUBRE 2023</t>
        </is>
      </c>
      <c r="L1038" t="inlineStr">
        <is>
          <t>OCTUBRE 2024</t>
        </is>
      </c>
      <c r="M1038" t="inlineStr">
        <is>
          <t>P.Q.S TIPO ABC AL 90% UL</t>
        </is>
      </c>
      <c r="N1038" t="inlineStr">
        <is>
          <t>31/0004518</t>
        </is>
      </c>
      <c r="O1038" t="inlineStr">
        <is>
          <t>R</t>
        </is>
      </c>
      <c r="P1038">
        <f>TRIM(N1038)</f>
        <v/>
      </c>
    </row>
    <row r="1039">
      <c r="A1039" t="inlineStr">
        <is>
          <t>CO-001622</t>
        </is>
      </c>
      <c r="B1039" t="inlineStr">
        <is>
          <t xml:space="preserve">LINDE PERU S.R.L. </t>
        </is>
      </c>
      <c r="C1039" t="inlineStr">
        <is>
          <t>20338570041</t>
        </is>
      </c>
      <c r="D1039" t="inlineStr">
        <is>
          <t>CAR.CARRET.CENTRAL KM.9.5 Z.I. ZONA INDUSTRIAL(DESVIO HUACHIPA LURIGANCHO CHOSICA) LIMA LURIGANCHO</t>
        </is>
      </c>
      <c r="E1039" t="inlineStr">
        <is>
          <t>Lima, 23 de Octubre de 2023</t>
        </is>
      </c>
      <c r="F1039" t="inlineStr">
        <is>
          <t>la Recarga y mantenimiento</t>
        </is>
      </c>
      <c r="G1039" t="inlineStr">
        <is>
          <t>07</t>
        </is>
      </c>
      <c r="H1039" t="inlineStr">
        <is>
          <t>12 KG</t>
        </is>
      </c>
      <c r="I1039" t="n">
        <v>2027</v>
      </c>
      <c r="J1039" t="n">
        <v>2012</v>
      </c>
      <c r="K1039" t="inlineStr">
        <is>
          <t>OCTUBRE 2023</t>
        </is>
      </c>
      <c r="L1039" t="inlineStr">
        <is>
          <t>OCTUBRE 2024</t>
        </is>
      </c>
      <c r="M1039" t="inlineStr">
        <is>
          <t>P.Q.S TIPO ABC AL 90% UL</t>
        </is>
      </c>
      <c r="N1039" t="inlineStr">
        <is>
          <t>32/004864</t>
        </is>
      </c>
      <c r="O1039" t="inlineStr">
        <is>
          <t>R</t>
        </is>
      </c>
      <c r="P1039">
        <f>TRIM(N1039)</f>
        <v/>
      </c>
    </row>
    <row r="1040">
      <c r="A1040" t="inlineStr">
        <is>
          <t>CO-001622</t>
        </is>
      </c>
      <c r="B1040" t="inlineStr">
        <is>
          <t xml:space="preserve">LINDE PERU S.R.L. </t>
        </is>
      </c>
      <c r="C1040" t="inlineStr">
        <is>
          <t>20338570041</t>
        </is>
      </c>
      <c r="D1040" t="inlineStr">
        <is>
          <t>CAR.CARRET.CENTRAL KM.9.5 Z.I. ZONA INDUSTRIAL(DESVIO HUACHIPA LURIGANCHO CHOSICA) LIMA LURIGANCHO</t>
        </is>
      </c>
      <c r="E1040" t="inlineStr">
        <is>
          <t>Lima, 23 de Octubre de 2023</t>
        </is>
      </c>
      <c r="F1040" t="inlineStr">
        <is>
          <t>la Recarga y mantenimiento</t>
        </is>
      </c>
      <c r="G1040" t="inlineStr">
        <is>
          <t>08</t>
        </is>
      </c>
      <c r="H1040" t="inlineStr">
        <is>
          <t>09 KG</t>
        </is>
      </c>
      <c r="I1040" t="n">
        <v>2027</v>
      </c>
      <c r="J1040" t="n">
        <v>2012</v>
      </c>
      <c r="K1040" t="inlineStr">
        <is>
          <t>OCTUBRE 2023</t>
        </is>
      </c>
      <c r="L1040" t="inlineStr">
        <is>
          <t>OCTUBRE 2024</t>
        </is>
      </c>
      <c r="M1040" t="inlineStr">
        <is>
          <t>P.Q.S TIPO ABC AL 90 % UL</t>
        </is>
      </c>
      <c r="N1040" t="inlineStr">
        <is>
          <t>33/000426</t>
        </is>
      </c>
      <c r="O1040" t="inlineStr">
        <is>
          <t>R</t>
        </is>
      </c>
      <c r="P1040">
        <f>TRIM(N1040)</f>
        <v/>
      </c>
    </row>
    <row r="1041">
      <c r="A1041" t="inlineStr">
        <is>
          <t>CO-001623</t>
        </is>
      </c>
      <c r="B1041" t="inlineStr">
        <is>
          <t xml:space="preserve">LINDE PERU S.R.L. </t>
        </is>
      </c>
      <c r="C1041" t="inlineStr">
        <is>
          <t>20338570041</t>
        </is>
      </c>
      <c r="D1041" t="inlineStr">
        <is>
          <t>CAR.CARRET.CENTRAL KM.9.5 Z.I. ZONA INDUSTRIAL(DESVIO HUACHIPA LURIGANCHO CHOSICA) LIMA LURIGANCHO</t>
        </is>
      </c>
      <c r="E1041" t="inlineStr">
        <is>
          <t>Lima, 23 de Octubre de 2023</t>
        </is>
      </c>
      <c r="F1041" t="inlineStr">
        <is>
          <t>Mantenimiento</t>
        </is>
      </c>
      <c r="G1041" t="inlineStr">
        <is>
          <t>01</t>
        </is>
      </c>
      <c r="H1041" t="inlineStr">
        <is>
          <t>06 KG</t>
        </is>
      </c>
      <c r="I1041" t="inlineStr">
        <is>
          <t>2027</t>
        </is>
      </c>
      <c r="J1041" t="n">
        <v>2011</v>
      </c>
      <c r="K1041" t="inlineStr">
        <is>
          <t>OCTUBRE 2023</t>
        </is>
      </c>
      <c r="L1041" t="inlineStr">
        <is>
          <t>OCTUBRE 2024</t>
        </is>
      </c>
      <c r="M1041" t="inlineStr">
        <is>
          <t>P.Q.S TIPO ABC AL 90% UL</t>
        </is>
      </c>
      <c r="N1041" t="inlineStr">
        <is>
          <t>S/N/384828</t>
        </is>
      </c>
      <c r="O1041" t="inlineStr">
        <is>
          <t>M1</t>
        </is>
      </c>
      <c r="P1041">
        <f>TRIM(N1041)</f>
        <v/>
      </c>
    </row>
    <row r="1042">
      <c r="A1042" t="inlineStr">
        <is>
          <t>CO-001623</t>
        </is>
      </c>
      <c r="B1042" t="inlineStr">
        <is>
          <t xml:space="preserve">LINDE PERU S.R.L. </t>
        </is>
      </c>
      <c r="C1042" t="inlineStr">
        <is>
          <t>20338570041</t>
        </is>
      </c>
      <c r="D1042" t="inlineStr">
        <is>
          <t>CAR.CARRET.CENTRAL KM.9.5 Z.I. ZONA INDUSTRIAL(DESVIO HUACHIPA LURIGANCHO CHOSICA) LIMA LURIGANCHO</t>
        </is>
      </c>
      <c r="E1042" t="inlineStr">
        <is>
          <t>Lima, 23 de Octubre de 2023</t>
        </is>
      </c>
      <c r="F1042" t="inlineStr">
        <is>
          <t>Mantenimiento</t>
        </is>
      </c>
      <c r="G1042" t="inlineStr">
        <is>
          <t>02</t>
        </is>
      </c>
      <c r="H1042" t="inlineStr">
        <is>
          <t>12 KG</t>
        </is>
      </c>
      <c r="I1042" t="inlineStr">
        <is>
          <t>2027</t>
        </is>
      </c>
      <c r="J1042" t="n">
        <v>2011</v>
      </c>
      <c r="K1042" t="inlineStr">
        <is>
          <t>OCTUBRE 2023</t>
        </is>
      </c>
      <c r="L1042" t="inlineStr">
        <is>
          <t>OCTUBRE 2024</t>
        </is>
      </c>
      <c r="M1042" t="inlineStr">
        <is>
          <t>P.Q.S TIPO ABC AL 90% UL</t>
        </is>
      </c>
      <c r="N1042" t="inlineStr">
        <is>
          <t>13/002637</t>
        </is>
      </c>
      <c r="O1042" t="inlineStr">
        <is>
          <t>M1</t>
        </is>
      </c>
      <c r="P1042">
        <f>TRIM(N1042)</f>
        <v/>
      </c>
    </row>
    <row r="1043">
      <c r="A1043" t="inlineStr">
        <is>
          <t>CO-001623</t>
        </is>
      </c>
      <c r="B1043" t="inlineStr">
        <is>
          <t xml:space="preserve">LINDE PERU S.R.L. </t>
        </is>
      </c>
      <c r="C1043" t="inlineStr">
        <is>
          <t>20338570041</t>
        </is>
      </c>
      <c r="D1043" t="inlineStr">
        <is>
          <t>CAR.CARRET.CENTRAL KM.9.5 Z.I. ZONA INDUSTRIAL(DESVIO HUACHIPA LURIGANCHO CHOSICA) LIMA LURIGANCHO</t>
        </is>
      </c>
      <c r="E1043" t="inlineStr">
        <is>
          <t>Lima, 23 de Octubre de 2023</t>
        </is>
      </c>
      <c r="F1043" t="inlineStr">
        <is>
          <t>Mantenimiento</t>
        </is>
      </c>
      <c r="G1043" t="inlineStr">
        <is>
          <t>03</t>
        </is>
      </c>
      <c r="H1043" t="inlineStr">
        <is>
          <t>12 KG</t>
        </is>
      </c>
      <c r="I1043" t="n">
        <v>2027</v>
      </c>
      <c r="J1043" t="n">
        <v>2012</v>
      </c>
      <c r="K1043" t="inlineStr">
        <is>
          <t>OCTUBRE 2023</t>
        </is>
      </c>
      <c r="L1043" t="inlineStr">
        <is>
          <t>OCTUBRE 2024</t>
        </is>
      </c>
      <c r="M1043" t="inlineStr">
        <is>
          <t>P.Q.S TIPO ABC AL 90% UL</t>
        </is>
      </c>
      <c r="N1043" t="inlineStr">
        <is>
          <t>21/004439</t>
        </is>
      </c>
      <c r="O1043" t="inlineStr">
        <is>
          <t>M1</t>
        </is>
      </c>
      <c r="P1043">
        <f>TRIM(N1043)</f>
        <v/>
      </c>
    </row>
    <row r="1044">
      <c r="A1044" t="inlineStr">
        <is>
          <t>CO-001624</t>
        </is>
      </c>
      <c r="B1044" t="inlineStr">
        <is>
          <t xml:space="preserve">LINDE PERU S.R.L. </t>
        </is>
      </c>
      <c r="C1044" t="inlineStr">
        <is>
          <t>20338570041</t>
        </is>
      </c>
      <c r="D1044" t="inlineStr">
        <is>
          <t>CAR.CARRET.CENTRAL KM.9.5 Z.I. ZONA INDUSTRIAL(DESVIO HUACHIPA LURIGANCHO CHOSICA) LIMA LURIGANCHO</t>
        </is>
      </c>
      <c r="E1044" t="inlineStr">
        <is>
          <t>Lima, 23 de Octubre de 2023</t>
        </is>
      </c>
      <c r="F1044" t="inlineStr">
        <is>
          <t>Mantenimiento</t>
        </is>
      </c>
      <c r="G1044" t="inlineStr">
        <is>
          <t>01</t>
        </is>
      </c>
      <c r="H1044" t="inlineStr">
        <is>
          <t>05 LBS</t>
        </is>
      </c>
      <c r="I1044" t="inlineStr">
        <is>
          <t>2027</t>
        </is>
      </c>
      <c r="J1044" t="n">
        <v>2012</v>
      </c>
      <c r="K1044" t="inlineStr">
        <is>
          <t>OCTUBRE 2023</t>
        </is>
      </c>
      <c r="L1044" t="inlineStr">
        <is>
          <t>OCTUBRE 2024</t>
        </is>
      </c>
      <c r="M1044" t="inlineStr">
        <is>
          <t>HALOTRON 1/TIPO BC</t>
        </is>
      </c>
      <c r="N1044" t="inlineStr">
        <is>
          <t>03/Y-290776</t>
        </is>
      </c>
      <c r="O1044" t="inlineStr">
        <is>
          <t>M1</t>
        </is>
      </c>
      <c r="P1044">
        <f>TRIM(N1044)</f>
        <v/>
      </c>
    </row>
    <row r="1045">
      <c r="A1045" t="inlineStr">
        <is>
          <t>CO-001624</t>
        </is>
      </c>
      <c r="B1045" t="inlineStr">
        <is>
          <t xml:space="preserve">LINDE PERU S.R.L. </t>
        </is>
      </c>
      <c r="C1045" t="inlineStr">
        <is>
          <t>20338570041</t>
        </is>
      </c>
      <c r="D1045" t="inlineStr">
        <is>
          <t>CAR.CARRET.CENTRAL KM.9.5 Z.I. ZONA INDUSTRIAL(DESVIO HUACHIPA LURIGANCHO CHOSICA) LIMA LURIGANCHO</t>
        </is>
      </c>
      <c r="E1045" t="inlineStr">
        <is>
          <t>Lima, 23 de Octubre de 2023</t>
        </is>
      </c>
      <c r="F1045" t="inlineStr">
        <is>
          <t>Mantenimiento</t>
        </is>
      </c>
      <c r="G1045" t="inlineStr">
        <is>
          <t>02</t>
        </is>
      </c>
      <c r="H1045" t="inlineStr">
        <is>
          <t>05 LBS</t>
        </is>
      </c>
      <c r="I1045" t="inlineStr">
        <is>
          <t>2027</t>
        </is>
      </c>
      <c r="J1045" t="n">
        <v>2012</v>
      </c>
      <c r="K1045" t="inlineStr">
        <is>
          <t>OCTUBRE 2023</t>
        </is>
      </c>
      <c r="L1045" t="inlineStr">
        <is>
          <t>OCTUBRE 2024</t>
        </is>
      </c>
      <c r="M1045" t="inlineStr">
        <is>
          <t>HALOTRON 1/TIPO BC</t>
        </is>
      </c>
      <c r="N1045" t="inlineStr">
        <is>
          <t>06/Y-290891</t>
        </is>
      </c>
      <c r="O1045" t="inlineStr">
        <is>
          <t>M3</t>
        </is>
      </c>
      <c r="P1045">
        <f>TRIM(N1045)</f>
        <v/>
      </c>
    </row>
    <row r="1046">
      <c r="A1046" t="inlineStr">
        <is>
          <t>CO-001624</t>
        </is>
      </c>
      <c r="B1046" t="inlineStr">
        <is>
          <t xml:space="preserve">LINDE PERU S.R.L. </t>
        </is>
      </c>
      <c r="C1046" t="inlineStr">
        <is>
          <t>20338570041</t>
        </is>
      </c>
      <c r="D1046" t="inlineStr">
        <is>
          <t>CAR.CARRET.CENTRAL KM.9.5 Z.I. ZONA INDUSTRIAL(DESVIO HUACHIPA LURIGANCHO CHOSICA) LIMA LURIGANCHO</t>
        </is>
      </c>
      <c r="E1046" t="inlineStr">
        <is>
          <t>Lima, 23 de Octubre de 2023</t>
        </is>
      </c>
      <c r="F1046" t="inlineStr">
        <is>
          <t>Mantenimiento</t>
        </is>
      </c>
      <c r="G1046" t="inlineStr">
        <is>
          <t>03</t>
        </is>
      </c>
      <c r="H1046" t="inlineStr">
        <is>
          <t>05 LBS</t>
        </is>
      </c>
      <c r="I1046" t="n">
        <v>2024</v>
      </c>
      <c r="J1046" t="n">
        <v>2014</v>
      </c>
      <c r="K1046" t="inlineStr">
        <is>
          <t>OCTUBRE 2023</t>
        </is>
      </c>
      <c r="L1046" t="inlineStr">
        <is>
          <t>OCTUBRE 2024</t>
        </is>
      </c>
      <c r="M1046" t="inlineStr">
        <is>
          <t>HALOTRON 1/TIPO BC</t>
        </is>
      </c>
      <c r="N1046" t="inlineStr">
        <is>
          <t>23/001581</t>
        </is>
      </c>
      <c r="O1046" t="inlineStr">
        <is>
          <t>M1</t>
        </is>
      </c>
      <c r="P1046">
        <f>TRIM(N1046)</f>
        <v/>
      </c>
    </row>
    <row r="1047">
      <c r="A1047" t="inlineStr">
        <is>
          <t>CO-001624</t>
        </is>
      </c>
      <c r="B1047" t="inlineStr">
        <is>
          <t xml:space="preserve">LINDE PERU S.R.L. </t>
        </is>
      </c>
      <c r="C1047" t="inlineStr">
        <is>
          <t>20338570041</t>
        </is>
      </c>
      <c r="D1047" t="inlineStr">
        <is>
          <t>CAR.CARRET.CENTRAL KM.9.5 Z.I. ZONA INDUSTRIAL(DESVIO HUACHIPA LURIGANCHO CHOSICA) LIMA LURIGANCHO</t>
        </is>
      </c>
      <c r="E1047" t="inlineStr">
        <is>
          <t>Lima, 23 de Octubre de 2023</t>
        </is>
      </c>
      <c r="F1047" t="inlineStr">
        <is>
          <t>Mantenimiento</t>
        </is>
      </c>
      <c r="G1047" t="inlineStr">
        <is>
          <t>04</t>
        </is>
      </c>
      <c r="H1047" t="inlineStr">
        <is>
          <t>05 LBS</t>
        </is>
      </c>
      <c r="I1047" t="n">
        <v>2027</v>
      </c>
      <c r="J1047" t="n">
        <v>2012</v>
      </c>
      <c r="K1047" t="inlineStr">
        <is>
          <t>OCTUBRE 2023</t>
        </is>
      </c>
      <c r="L1047" t="inlineStr">
        <is>
          <t>OCTUBRE 2024</t>
        </is>
      </c>
      <c r="M1047" t="inlineStr">
        <is>
          <t>HALOTRON 1/TIPO BC</t>
        </is>
      </c>
      <c r="N1047" t="inlineStr">
        <is>
          <t>24/Y-290775</t>
        </is>
      </c>
      <c r="O1047" t="inlineStr">
        <is>
          <t>M1</t>
        </is>
      </c>
      <c r="P1047">
        <f>TRIM(N1047)</f>
        <v/>
      </c>
    </row>
    <row r="1048">
      <c r="A1048" t="inlineStr">
        <is>
          <t>CO-001625</t>
        </is>
      </c>
      <c r="B1048" t="inlineStr">
        <is>
          <t>LINDE PERU S.R.L</t>
        </is>
      </c>
      <c r="C1048" t="inlineStr">
        <is>
          <t>20338570041</t>
        </is>
      </c>
      <c r="D1048" t="inlineStr">
        <is>
          <t>CAR.CARRET.CENTRAL KM.9.5 Z.I. ZONA INDUSTRIAL(DESVIO HUACHIPA LURIGANCHO CHOSICA) LIMA LURIGANCHO</t>
        </is>
      </c>
      <c r="E1048" t="inlineStr">
        <is>
          <t>Lima, 23 de Octubre de 2023</t>
        </is>
      </c>
      <c r="F1048" t="inlineStr">
        <is>
          <t>la Recarga y mantenimiento</t>
        </is>
      </c>
      <c r="G1048" t="inlineStr">
        <is>
          <t>01</t>
        </is>
      </c>
      <c r="H1048" t="inlineStr">
        <is>
          <t>10 LBS</t>
        </is>
      </c>
      <c r="I1048" t="inlineStr">
        <is>
          <t>2026</t>
        </is>
      </c>
      <c r="J1048" t="n">
        <v>2010</v>
      </c>
      <c r="K1048" t="inlineStr">
        <is>
          <t>OCTUBRE 2023</t>
        </is>
      </c>
      <c r="L1048" t="inlineStr">
        <is>
          <t>OCTUBRE 2024</t>
        </is>
      </c>
      <c r="M1048" t="inlineStr">
        <is>
          <t>CO2 / TIPO BC</t>
        </is>
      </c>
      <c r="N1048" t="inlineStr">
        <is>
          <t>S/N/AB-529933</t>
        </is>
      </c>
      <c r="O1048" t="inlineStr">
        <is>
          <t>R</t>
        </is>
      </c>
      <c r="P1048">
        <f>TRIM(N1048)</f>
        <v/>
      </c>
    </row>
    <row r="1049">
      <c r="A1049" t="inlineStr">
        <is>
          <t>CO-001625</t>
        </is>
      </c>
      <c r="B1049" t="inlineStr">
        <is>
          <t>LINDE PERU S.R.L</t>
        </is>
      </c>
      <c r="C1049" t="inlineStr">
        <is>
          <t>20338570041</t>
        </is>
      </c>
      <c r="D1049" t="inlineStr">
        <is>
          <t>CAR.CARRET.CENTRAL KM.9.5 Z.I. ZONA INDUSTRIAL(DESVIO HUACHIPA LURIGANCHO CHOSICA) LIMA LURIGANCHO</t>
        </is>
      </c>
      <c r="E1049" t="inlineStr">
        <is>
          <t>Lima, 23 de Octubre de 2023</t>
        </is>
      </c>
      <c r="F1049" t="inlineStr">
        <is>
          <t>la Recarga y mantenimiento</t>
        </is>
      </c>
      <c r="G1049" t="inlineStr">
        <is>
          <t>02</t>
        </is>
      </c>
      <c r="H1049" t="inlineStr">
        <is>
          <t>10 LBS</t>
        </is>
      </c>
      <c r="I1049" t="inlineStr">
        <is>
          <t>2027</t>
        </is>
      </c>
      <c r="J1049" t="n">
        <v>2011</v>
      </c>
      <c r="K1049" t="inlineStr">
        <is>
          <t>OCTUBRE 2023</t>
        </is>
      </c>
      <c r="L1049" t="inlineStr">
        <is>
          <t>OCTUBRE 2024</t>
        </is>
      </c>
      <c r="M1049" t="inlineStr">
        <is>
          <t>CO2 /TIPO BC</t>
        </is>
      </c>
      <c r="N1049" t="inlineStr">
        <is>
          <t>04/000069</t>
        </is>
      </c>
      <c r="O1049" t="inlineStr">
        <is>
          <t>R</t>
        </is>
      </c>
      <c r="P1049">
        <f>TRIM(N1049)</f>
        <v/>
      </c>
    </row>
    <row r="1050">
      <c r="A1050" t="inlineStr">
        <is>
          <t>CO-001625</t>
        </is>
      </c>
      <c r="B1050" t="inlineStr">
        <is>
          <t>LINDE PERU S.R.L</t>
        </is>
      </c>
      <c r="C1050" t="inlineStr">
        <is>
          <t>20338570041</t>
        </is>
      </c>
      <c r="D1050" t="inlineStr">
        <is>
          <t>CAR.CARRET.CENTRAL KM.9.5 Z.I. ZONA INDUSTRIAL(DESVIO HUACHIPA LURIGANCHO CHOSICA) LIMA LURIGANCHO</t>
        </is>
      </c>
      <c r="E1050" t="inlineStr">
        <is>
          <t>Lima, 23 de Octubre de 2023</t>
        </is>
      </c>
      <c r="F1050" t="inlineStr">
        <is>
          <t>la Recarga y mantenimiento</t>
        </is>
      </c>
      <c r="G1050" t="inlineStr">
        <is>
          <t>03</t>
        </is>
      </c>
      <c r="H1050" t="inlineStr">
        <is>
          <t>10 LBS</t>
        </is>
      </c>
      <c r="I1050" t="n">
        <v>2027</v>
      </c>
      <c r="J1050" t="n">
        <v>2011</v>
      </c>
      <c r="K1050" t="inlineStr">
        <is>
          <t>OCTUBRE 2023</t>
        </is>
      </c>
      <c r="L1050" t="inlineStr">
        <is>
          <t>OCTUBRE 2024</t>
        </is>
      </c>
      <c r="M1050" t="inlineStr">
        <is>
          <t>CO2 /TIPO BC</t>
        </is>
      </c>
      <c r="N1050" t="inlineStr">
        <is>
          <t>05/000132</t>
        </is>
      </c>
      <c r="O1050" t="inlineStr">
        <is>
          <t>R</t>
        </is>
      </c>
      <c r="P1050">
        <f>TRIM(N1050)</f>
        <v/>
      </c>
    </row>
    <row r="1051">
      <c r="A1051" t="inlineStr">
        <is>
          <t>CO-001625</t>
        </is>
      </c>
      <c r="B1051" t="inlineStr">
        <is>
          <t>LINDE PERU S.R.L</t>
        </is>
      </c>
      <c r="C1051" t="inlineStr">
        <is>
          <t>20338570041</t>
        </is>
      </c>
      <c r="D1051" t="inlineStr">
        <is>
          <t>CAR.CARRET.CENTRAL KM.9.5 Z.I. ZONA INDUSTRIAL(DESVIO HUACHIPA LURIGANCHO CHOSICA) LIMA LURIGANCHO</t>
        </is>
      </c>
      <c r="E1051" t="inlineStr">
        <is>
          <t>Lima, 23 de Octubre de 2023</t>
        </is>
      </c>
      <c r="F1051" t="inlineStr">
        <is>
          <t>la Recarga y mantenimiento</t>
        </is>
      </c>
      <c r="G1051" t="inlineStr">
        <is>
          <t>04</t>
        </is>
      </c>
      <c r="H1051" t="inlineStr">
        <is>
          <t>15 LBS</t>
        </is>
      </c>
      <c r="I1051" t="n">
        <v>2027</v>
      </c>
      <c r="J1051" t="n">
        <v>2012</v>
      </c>
      <c r="K1051" t="inlineStr">
        <is>
          <t>OCTUBRE 2023</t>
        </is>
      </c>
      <c r="L1051" t="inlineStr">
        <is>
          <t>OCTUBRE 2024</t>
        </is>
      </c>
      <c r="M1051" t="inlineStr">
        <is>
          <t>CO2 /TIPO BC</t>
        </is>
      </c>
      <c r="N1051" t="inlineStr">
        <is>
          <t>29/AC-224997</t>
        </is>
      </c>
      <c r="O1051" t="inlineStr">
        <is>
          <t>R</t>
        </is>
      </c>
      <c r="P1051">
        <f>TRIM(N1051)</f>
        <v/>
      </c>
    </row>
    <row r="1052">
      <c r="A1052" t="inlineStr">
        <is>
          <t>CO-001625</t>
        </is>
      </c>
      <c r="B1052" t="inlineStr">
        <is>
          <t>LINDE PERU S.R.L</t>
        </is>
      </c>
      <c r="C1052" t="inlineStr">
        <is>
          <t>20338570041</t>
        </is>
      </c>
      <c r="D1052" t="inlineStr">
        <is>
          <t>CAR.CARRET.CENTRAL KM.9.5 Z.I. ZONA INDUSTRIAL(DESVIO HUACHIPA LURIGANCHO CHOSICA) LIMA LURIGANCHO</t>
        </is>
      </c>
      <c r="E1052" t="inlineStr">
        <is>
          <t>Lima, 23 de Octubre de 2023</t>
        </is>
      </c>
      <c r="F1052" t="inlineStr">
        <is>
          <t>la Recarga y mantenimiento</t>
        </is>
      </c>
      <c r="G1052" t="inlineStr">
        <is>
          <t>05</t>
        </is>
      </c>
      <c r="H1052" t="inlineStr">
        <is>
          <t>20 LBS</t>
        </is>
      </c>
      <c r="I1052" t="n">
        <v>2027</v>
      </c>
      <c r="J1052" t="n">
        <v>2007</v>
      </c>
      <c r="K1052" t="inlineStr">
        <is>
          <t>OCTUBRE 2023</t>
        </is>
      </c>
      <c r="L1052" t="inlineStr">
        <is>
          <t>OCTUBRE 2024</t>
        </is>
      </c>
      <c r="M1052" t="inlineStr">
        <is>
          <t>CO2 /TIPO BC</t>
        </is>
      </c>
      <c r="N1052" t="inlineStr">
        <is>
          <t>02/Z-745339</t>
        </is>
      </c>
      <c r="O1052" t="inlineStr">
        <is>
          <t>R</t>
        </is>
      </c>
      <c r="P1052">
        <f>TRIM(N1052)</f>
        <v/>
      </c>
    </row>
    <row r="1053">
      <c r="A1053" t="inlineStr">
        <is>
          <t>CO-001625</t>
        </is>
      </c>
      <c r="B1053" t="inlineStr">
        <is>
          <t>LINDE PERU S.R.L</t>
        </is>
      </c>
      <c r="C1053" t="inlineStr">
        <is>
          <t>20338570041</t>
        </is>
      </c>
      <c r="D1053" t="inlineStr">
        <is>
          <t>CAR.CARRET.CENTRAL KM.9.5 Z.I. ZONA INDUSTRIAL(DESVIO HUACHIPA LURIGANCHO CHOSICA) LIMA LURIGANCHO</t>
        </is>
      </c>
      <c r="E1053" t="inlineStr">
        <is>
          <t>Lima, 23 de Octubre de 2023</t>
        </is>
      </c>
      <c r="F1053" t="inlineStr">
        <is>
          <t>la Recarga y mantenimiento</t>
        </is>
      </c>
      <c r="G1053" t="inlineStr">
        <is>
          <t>06</t>
        </is>
      </c>
      <c r="H1053" t="inlineStr">
        <is>
          <t>20 LBS</t>
        </is>
      </c>
      <c r="I1053" t="n">
        <v>2027</v>
      </c>
      <c r="J1053" t="n">
        <v>2007</v>
      </c>
      <c r="K1053" t="inlineStr">
        <is>
          <t>OCTUBRE 2023</t>
        </is>
      </c>
      <c r="L1053" t="inlineStr">
        <is>
          <t>OCTUBRE 2024</t>
        </is>
      </c>
      <c r="M1053" t="inlineStr">
        <is>
          <t>CO2 /TIPO BC</t>
        </is>
      </c>
      <c r="N1053" t="inlineStr">
        <is>
          <t>15/Z-745340</t>
        </is>
      </c>
      <c r="O1053" t="inlineStr">
        <is>
          <t>R</t>
        </is>
      </c>
      <c r="P1053">
        <f>TRIM(N1053)</f>
        <v/>
      </c>
    </row>
    <row r="1054">
      <c r="A1054" t="inlineStr">
        <is>
          <t>CO-001625</t>
        </is>
      </c>
      <c r="B1054" t="inlineStr">
        <is>
          <t>LINDE PERU S.R.L</t>
        </is>
      </c>
      <c r="C1054" t="inlineStr">
        <is>
          <t>20338570041</t>
        </is>
      </c>
      <c r="D1054" t="inlineStr">
        <is>
          <t>CAR.CARRET.CENTRAL KM.9.5 Z.I. ZONA INDUSTRIAL(DESVIO HUACHIPA LURIGANCHO CHOSICA) LIMA LURIGANCHO</t>
        </is>
      </c>
      <c r="E1054" t="inlineStr">
        <is>
          <t>Lima, 23 de Octubre de 2023</t>
        </is>
      </c>
      <c r="F1054" t="inlineStr">
        <is>
          <t>la Recarga y mantenimiento</t>
        </is>
      </c>
      <c r="G1054" t="inlineStr">
        <is>
          <t>07</t>
        </is>
      </c>
      <c r="H1054" t="inlineStr">
        <is>
          <t>20 LBS</t>
        </is>
      </c>
      <c r="I1054" t="n">
        <v>2027</v>
      </c>
      <c r="J1054" t="n">
        <v>2007</v>
      </c>
      <c r="K1054" t="inlineStr">
        <is>
          <t>OCTUBRE 2023</t>
        </is>
      </c>
      <c r="L1054" t="inlineStr">
        <is>
          <t>OCTUBRE 2024</t>
        </is>
      </c>
      <c r="M1054" t="inlineStr">
        <is>
          <t>CO2 /TIPO BC</t>
        </is>
      </c>
      <c r="N1054" t="inlineStr">
        <is>
          <t>19/V-862717</t>
        </is>
      </c>
      <c r="O1054" t="inlineStr">
        <is>
          <t>R</t>
        </is>
      </c>
      <c r="P1054">
        <f>TRIM(N1054)</f>
        <v/>
      </c>
    </row>
    <row r="1055">
      <c r="A1055" t="inlineStr">
        <is>
          <t>CO-001625</t>
        </is>
      </c>
      <c r="B1055" t="inlineStr">
        <is>
          <t>LINDE PERU S.R.L</t>
        </is>
      </c>
      <c r="C1055" t="inlineStr">
        <is>
          <t>20338570041</t>
        </is>
      </c>
      <c r="D1055" t="inlineStr">
        <is>
          <t>CAR.CARRET.CENTRAL KM.9.5 Z.I. ZONA INDUSTRIAL(DESVIO HUACHIPA LURIGANCHO CHOSICA) LIMA LURIGANCHO</t>
        </is>
      </c>
      <c r="E1055" t="inlineStr">
        <is>
          <t>Lima, 23 de Octubre de 2023</t>
        </is>
      </c>
      <c r="F1055" t="inlineStr">
        <is>
          <t>la Recarga y mantenimiento</t>
        </is>
      </c>
      <c r="G1055" t="inlineStr">
        <is>
          <t>08</t>
        </is>
      </c>
      <c r="H1055" t="inlineStr">
        <is>
          <t>20 LBS</t>
        </is>
      </c>
      <c r="I1055" t="n">
        <v>2027</v>
      </c>
      <c r="J1055" t="n">
        <v>2007</v>
      </c>
      <c r="K1055" t="inlineStr">
        <is>
          <t>OCTUBRE 2023</t>
        </is>
      </c>
      <c r="L1055" t="inlineStr">
        <is>
          <t>OCTUBRE 2024</t>
        </is>
      </c>
      <c r="M1055" t="inlineStr">
        <is>
          <t>CO2 /TIPO BC</t>
        </is>
      </c>
      <c r="N1055" t="inlineStr">
        <is>
          <t>25/Z-745343</t>
        </is>
      </c>
      <c r="O1055" t="inlineStr">
        <is>
          <t>R</t>
        </is>
      </c>
      <c r="P1055">
        <f>TRIM(N1055)</f>
        <v/>
      </c>
    </row>
    <row r="1056">
      <c r="A1056" t="inlineStr">
        <is>
          <t>CO-001625</t>
        </is>
      </c>
      <c r="B1056" t="inlineStr">
        <is>
          <t>LINDE PERU S.R.L</t>
        </is>
      </c>
      <c r="C1056" t="inlineStr">
        <is>
          <t>20338570041</t>
        </is>
      </c>
      <c r="D1056" t="inlineStr">
        <is>
          <t>CAR.CARRET.CENTRAL KM.9.5 Z.I. ZONA INDUSTRIAL(DESVIO HUACHIPA LURIGANCHO CHOSICA) LIMA LURIGANCHO</t>
        </is>
      </c>
      <c r="E1056" t="inlineStr">
        <is>
          <t>Lima, 23 de Octubre de 2023</t>
        </is>
      </c>
      <c r="F1056" t="inlineStr">
        <is>
          <t>la Recarga y mantenimiento</t>
        </is>
      </c>
      <c r="G1056" t="inlineStr">
        <is>
          <t>09</t>
        </is>
      </c>
      <c r="H1056" t="inlineStr">
        <is>
          <t>20 LBS</t>
        </is>
      </c>
      <c r="I1056" t="n">
        <v>2027</v>
      </c>
      <c r="J1056" t="n">
        <v>2012</v>
      </c>
      <c r="K1056" t="inlineStr">
        <is>
          <t>OCTUBRE 2023</t>
        </is>
      </c>
      <c r="L1056" t="inlineStr">
        <is>
          <t>OCTUBRE 2024</t>
        </is>
      </c>
      <c r="M1056" t="inlineStr">
        <is>
          <t>CO2 /TIPO BC</t>
        </is>
      </c>
      <c r="N1056" t="inlineStr">
        <is>
          <t>26/AB-961795</t>
        </is>
      </c>
      <c r="O1056" t="inlineStr">
        <is>
          <t>R</t>
        </is>
      </c>
      <c r="P1056">
        <f>TRIM(N1056)</f>
        <v/>
      </c>
    </row>
    <row r="1057">
      <c r="A1057" t="inlineStr">
        <is>
          <t>CO-001625</t>
        </is>
      </c>
      <c r="B1057" t="inlineStr">
        <is>
          <t>LINDE PERU S.R.L</t>
        </is>
      </c>
      <c r="C1057" t="inlineStr">
        <is>
          <t>20338570041</t>
        </is>
      </c>
      <c r="D1057" t="inlineStr">
        <is>
          <t>CAR.CARRET.CENTRAL KM.9.5 Z.I. ZONA INDUSTRIAL(DESVIO HUACHIPA LURIGANCHO CHOSICA) LIMA LURIGANCHO</t>
        </is>
      </c>
      <c r="E1057" t="inlineStr">
        <is>
          <t>Lima, 23 de Octubre de 2023</t>
        </is>
      </c>
      <c r="F1057" t="inlineStr">
        <is>
          <t>la Recarga y mantenimiento</t>
        </is>
      </c>
      <c r="G1057" t="n">
        <v>10</v>
      </c>
      <c r="H1057" t="inlineStr">
        <is>
          <t>20 LBS</t>
        </is>
      </c>
      <c r="I1057" t="n">
        <v>2027</v>
      </c>
      <c r="J1057" t="n">
        <v>2012</v>
      </c>
      <c r="K1057" t="inlineStr">
        <is>
          <t>OCTUBRE 2023</t>
        </is>
      </c>
      <c r="L1057" t="inlineStr">
        <is>
          <t>OCTUBRE 2024</t>
        </is>
      </c>
      <c r="M1057" t="inlineStr">
        <is>
          <t>CO2 /TIPO BC</t>
        </is>
      </c>
      <c r="N1057" t="inlineStr">
        <is>
          <t>34/AC-538135</t>
        </is>
      </c>
      <c r="O1057" t="inlineStr">
        <is>
          <t>R</t>
        </is>
      </c>
      <c r="P1057">
        <f>TRIM(N1057)</f>
        <v/>
      </c>
    </row>
    <row r="1058">
      <c r="A1058" t="inlineStr">
        <is>
          <t>CO-001626</t>
        </is>
      </c>
      <c r="B1058" t="inlineStr">
        <is>
          <t>LIZ FARMA De: Lizbeth Karina Lachira Fabian</t>
        </is>
      </c>
      <c r="C1058" t="inlineStr">
        <is>
          <t>10423399878</t>
        </is>
      </c>
      <c r="D1058" t="inlineStr">
        <is>
          <t>AV. MANUEL PRADO S/N  MZ.J  LT. 18 -  PROG. VIV. SAN FRANCISCO DE CARABAYLLO - CARABAYLLO</t>
        </is>
      </c>
      <c r="E1058" t="inlineStr">
        <is>
          <t>Lima,30 de Mayo de 2023</t>
        </is>
      </c>
      <c r="F1058" t="inlineStr">
        <is>
          <t>la Recarga y mantenimiento</t>
        </is>
      </c>
      <c r="G1058" t="inlineStr">
        <is>
          <t>01</t>
        </is>
      </c>
      <c r="H1058" t="inlineStr">
        <is>
          <t>06 KG</t>
        </is>
      </c>
      <c r="I1058" t="inlineStr">
        <is>
          <t>2026</t>
        </is>
      </c>
      <c r="J1058" t="n">
        <v>2021</v>
      </c>
      <c r="K1058" t="inlineStr">
        <is>
          <t>JUNIO 2023</t>
        </is>
      </c>
      <c r="L1058" t="inlineStr">
        <is>
          <t>JUNIO 2024</t>
        </is>
      </c>
      <c r="M1058" t="inlineStr">
        <is>
          <t>P.Q.S TIPO ABC</t>
        </is>
      </c>
      <c r="N1058" t="inlineStr">
        <is>
          <t>01/262951</t>
        </is>
      </c>
      <c r="O1058" t="inlineStr">
        <is>
          <t>R</t>
        </is>
      </c>
      <c r="P1058">
        <f>TRIM(N1058)</f>
        <v/>
      </c>
    </row>
    <row r="1059">
      <c r="A1059" t="inlineStr">
        <is>
          <t>CO-001627</t>
        </is>
      </c>
      <c r="B1059" t="inlineStr">
        <is>
          <t>FERRETERIA EL CHASQUI: DE ALBERTO JULCA MORI</t>
        </is>
      </c>
      <c r="D1059" t="inlineStr">
        <is>
          <t xml:space="preserve">AV. SEIS MZ  78B   LT 15   URB. TORRE BLANCA - CARABAYLLO </t>
        </is>
      </c>
      <c r="E1059" t="inlineStr">
        <is>
          <t>Lima,26 de Octubre de 2023</t>
        </is>
      </c>
      <c r="F1059" t="inlineStr">
        <is>
          <t>la Recarga y mantenimiento</t>
        </is>
      </c>
      <c r="G1059" t="inlineStr">
        <is>
          <t>01</t>
        </is>
      </c>
      <c r="H1059" t="inlineStr">
        <is>
          <t>06 KG</t>
        </is>
      </c>
      <c r="I1059" t="inlineStr">
        <is>
          <t>2026</t>
        </is>
      </c>
      <c r="J1059" t="n">
        <v>2015</v>
      </c>
      <c r="K1059" t="inlineStr">
        <is>
          <t>OCTUBRE 2023</t>
        </is>
      </c>
      <c r="L1059" t="inlineStr">
        <is>
          <t>OCTUBRE 2024</t>
        </is>
      </c>
      <c r="M1059" t="inlineStr">
        <is>
          <t>P.Q.S TIPO ABC</t>
        </is>
      </c>
      <c r="N1059" t="inlineStr">
        <is>
          <t>01/002023</t>
        </is>
      </c>
      <c r="O1059" t="inlineStr">
        <is>
          <t>R</t>
        </is>
      </c>
      <c r="P1059">
        <f>TRIM(N1059)</f>
        <v/>
      </c>
    </row>
    <row r="1060">
      <c r="A1060" t="inlineStr">
        <is>
          <t>CO-001627</t>
        </is>
      </c>
      <c r="B1060" t="inlineStr">
        <is>
          <t>FERRETERIA EL CHASQUI: DE ALBERTO JULCA MORI</t>
        </is>
      </c>
      <c r="D1060" t="inlineStr">
        <is>
          <t xml:space="preserve">AV. SEIS MZ  78B   LT 15   URB. TORRE BLANCA - CARABAYLLO </t>
        </is>
      </c>
      <c r="E1060" t="inlineStr">
        <is>
          <t>Lima,26 de Octubre de 2023</t>
        </is>
      </c>
      <c r="F1060" t="inlineStr">
        <is>
          <t>la Recarga y mantenimiento</t>
        </is>
      </c>
      <c r="G1060" t="inlineStr">
        <is>
          <t>02</t>
        </is>
      </c>
      <c r="H1060" t="inlineStr">
        <is>
          <t xml:space="preserve">06 KG </t>
        </is>
      </c>
      <c r="I1060" t="inlineStr">
        <is>
          <t>2026</t>
        </is>
      </c>
      <c r="J1060" t="n">
        <v>2011</v>
      </c>
      <c r="K1060" t="inlineStr">
        <is>
          <t>OCTUBRE 2023</t>
        </is>
      </c>
      <c r="L1060" t="inlineStr">
        <is>
          <t>OCTUBRE 2024</t>
        </is>
      </c>
      <c r="M1060" t="inlineStr">
        <is>
          <t>P.Q.S TIPO ABC</t>
        </is>
      </c>
      <c r="N1060" t="inlineStr">
        <is>
          <t>02/009882</t>
        </is>
      </c>
      <c r="O1060" t="inlineStr">
        <is>
          <t>R</t>
        </is>
      </c>
      <c r="P1060">
        <f>TRIM(N1060)</f>
        <v/>
      </c>
    </row>
    <row r="1061">
      <c r="A1061" t="inlineStr">
        <is>
          <t>CO-001628</t>
        </is>
      </c>
      <c r="B1061" t="inlineStr">
        <is>
          <t>POLLERIA LOS OTAROLA</t>
        </is>
      </c>
      <c r="D1061" t="inlineStr">
        <is>
          <t>AV. MIGUEL GRAU 332 - AÑO NUEVO - COMAS</t>
        </is>
      </c>
      <c r="E1061" t="inlineStr">
        <is>
          <t>Lima,26 de Octubre de 2023</t>
        </is>
      </c>
      <c r="F1061" t="inlineStr">
        <is>
          <t>la Recarga y mantenimiento</t>
        </is>
      </c>
      <c r="G1061" t="inlineStr">
        <is>
          <t>01</t>
        </is>
      </c>
      <c r="H1061" t="inlineStr">
        <is>
          <t>06 KG</t>
        </is>
      </c>
      <c r="I1061" t="inlineStr">
        <is>
          <t>2024</t>
        </is>
      </c>
      <c r="J1061" t="n">
        <v>2019</v>
      </c>
      <c r="K1061" t="inlineStr">
        <is>
          <t>OCTUBRE 2023</t>
        </is>
      </c>
      <c r="L1061" t="inlineStr">
        <is>
          <t>OCTUBRE 2024</t>
        </is>
      </c>
      <c r="M1061" t="inlineStr">
        <is>
          <t>P.Q.S TIPO ABC</t>
        </is>
      </c>
      <c r="N1061" t="inlineStr">
        <is>
          <t>03/085218</t>
        </is>
      </c>
      <c r="O1061" t="inlineStr">
        <is>
          <t>R</t>
        </is>
      </c>
      <c r="P1061">
        <f>TRIM(N1061)</f>
        <v/>
      </c>
    </row>
    <row r="1062">
      <c r="A1062" t="inlineStr">
        <is>
          <t>CO-001628</t>
        </is>
      </c>
      <c r="B1062" t="inlineStr">
        <is>
          <t>POLLERIA LOS OTAROLA</t>
        </is>
      </c>
      <c r="D1062" t="inlineStr">
        <is>
          <t>AV. MIGUEL GRAU 332 - AÑO NUEVO - COMAS</t>
        </is>
      </c>
      <c r="E1062" t="inlineStr">
        <is>
          <t>Lima,26 de Octubre de 2023</t>
        </is>
      </c>
      <c r="F1062" t="inlineStr">
        <is>
          <t>la Recarga y mantenimiento</t>
        </is>
      </c>
      <c r="G1062" t="inlineStr">
        <is>
          <t xml:space="preserve">02 </t>
        </is>
      </c>
      <c r="H1062" t="inlineStr">
        <is>
          <t>06 KG</t>
        </is>
      </c>
      <c r="I1062" t="inlineStr">
        <is>
          <t>S/N</t>
        </is>
      </c>
      <c r="J1062" t="inlineStr">
        <is>
          <t>S/N</t>
        </is>
      </c>
      <c r="K1062" t="inlineStr">
        <is>
          <t>OCTUBRE 2023</t>
        </is>
      </c>
      <c r="L1062" t="inlineStr">
        <is>
          <t>OCTUBRE 2024</t>
        </is>
      </c>
      <c r="M1062" t="inlineStr">
        <is>
          <t>P.Q.S TIPO ABC</t>
        </is>
      </c>
      <c r="N1062" t="inlineStr">
        <is>
          <t>02 / S/N</t>
        </is>
      </c>
      <c r="O1062" t="inlineStr">
        <is>
          <t>R</t>
        </is>
      </c>
      <c r="P1062">
        <f>TRIM(N1062)</f>
        <v/>
      </c>
    </row>
    <row r="1063">
      <c r="A1063" t="inlineStr">
        <is>
          <t>CO-001629</t>
        </is>
      </c>
      <c r="B1063" t="inlineStr">
        <is>
          <t>ANGELICA MEZA</t>
        </is>
      </c>
      <c r="D1063" t="inlineStr">
        <is>
          <t>AV. AGRUPACION DE MORADORES ELIANE KARP DE TOLEDO MZ B1 LT 3 - CARABAYLLO</t>
        </is>
      </c>
      <c r="E1063" t="inlineStr">
        <is>
          <t>Lima, 26 de Octubre de 2023</t>
        </is>
      </c>
      <c r="F1063" t="inlineStr">
        <is>
          <t>la Recarga y mantenimiento</t>
        </is>
      </c>
      <c r="G1063" t="inlineStr">
        <is>
          <t>01</t>
        </is>
      </c>
      <c r="H1063" t="inlineStr">
        <is>
          <t>02 KG</t>
        </is>
      </c>
      <c r="I1063" t="inlineStr">
        <is>
          <t>VIGENTE</t>
        </is>
      </c>
      <c r="J1063" t="inlineStr">
        <is>
          <t>S/N</t>
        </is>
      </c>
      <c r="K1063" t="inlineStr">
        <is>
          <t>OCTUBRE 2023</t>
        </is>
      </c>
      <c r="L1063" t="inlineStr">
        <is>
          <t>OCTUBRE 2024</t>
        </is>
      </c>
      <c r="M1063" t="inlineStr">
        <is>
          <t>P.Q.S TIPO ABC</t>
        </is>
      </c>
      <c r="N1063" t="inlineStr">
        <is>
          <t>01/000990</t>
        </is>
      </c>
      <c r="O1063" t="inlineStr">
        <is>
          <t>R</t>
        </is>
      </c>
      <c r="P1063">
        <f>TRIM(N1063)</f>
        <v/>
      </c>
    </row>
    <row r="1064">
      <c r="A1064" t="inlineStr">
        <is>
          <t>CO-001630</t>
        </is>
      </c>
      <c r="B1064" t="inlineStr">
        <is>
          <t>RAUL CAMONES</t>
        </is>
      </c>
      <c r="D1064" t="inlineStr">
        <is>
          <t xml:space="preserve">RESTAURANTE RAULITO - MERCADO AÑO NUEVO </t>
        </is>
      </c>
      <c r="E1064" t="inlineStr">
        <is>
          <t>Lima, 28 de Octubre de 2023</t>
        </is>
      </c>
      <c r="F1064" t="inlineStr">
        <is>
          <t>la Recarga y mantenimiento</t>
        </is>
      </c>
      <c r="G1064" t="inlineStr">
        <is>
          <t>01</t>
        </is>
      </c>
      <c r="H1064" t="inlineStr">
        <is>
          <t>04 KG</t>
        </is>
      </c>
      <c r="I1064" t="inlineStr">
        <is>
          <t>VIGENTE</t>
        </is>
      </c>
      <c r="J1064" t="n">
        <v>2012</v>
      </c>
      <c r="K1064" t="inlineStr">
        <is>
          <t>OCTUBRE 2023</t>
        </is>
      </c>
      <c r="L1064" t="inlineStr">
        <is>
          <t>OCTUBRE 2024</t>
        </is>
      </c>
      <c r="M1064" t="inlineStr">
        <is>
          <t>P.Q.S TIPO ABC</t>
        </is>
      </c>
      <c r="N1064" t="inlineStr">
        <is>
          <t>01/002919</t>
        </is>
      </c>
      <c r="O1064" t="inlineStr">
        <is>
          <t>R</t>
        </is>
      </c>
      <c r="P1064">
        <f>TRIM(N1064)</f>
        <v/>
      </c>
    </row>
    <row r="1065">
      <c r="A1065" t="inlineStr">
        <is>
          <t>CO-001631</t>
        </is>
      </c>
      <c r="B1065" t="inlineStr">
        <is>
          <t>FCM DISTRIBUCIONES Y SERVICIOS GENERALES EIRL.</t>
        </is>
      </c>
      <c r="D1065" t="inlineStr">
        <is>
          <t>AV. LOS INCAS 352-354 - COMAS</t>
        </is>
      </c>
      <c r="E1065" t="inlineStr">
        <is>
          <t>Lima,02 de Noviembre de 2023</t>
        </is>
      </c>
      <c r="F1065" t="inlineStr">
        <is>
          <t>la Recarga y mantenimiento</t>
        </is>
      </c>
      <c r="G1065" t="inlineStr">
        <is>
          <t>01</t>
        </is>
      </c>
      <c r="H1065" t="inlineStr">
        <is>
          <t>06 KG</t>
        </is>
      </c>
      <c r="I1065" t="inlineStr">
        <is>
          <t>2027</t>
        </is>
      </c>
      <c r="J1065" t="n">
        <v>2022</v>
      </c>
      <c r="K1065" t="inlineStr">
        <is>
          <t>NOVIEMBRE 2023</t>
        </is>
      </c>
      <c r="L1065" t="inlineStr">
        <is>
          <t>NOVIEMBRE 2024</t>
        </is>
      </c>
      <c r="M1065" t="inlineStr">
        <is>
          <t>P.Q.S TIPO ABC</t>
        </is>
      </c>
      <c r="N1065" t="inlineStr">
        <is>
          <t>01/307179</t>
        </is>
      </c>
      <c r="O1065" t="inlineStr">
        <is>
          <t>R</t>
        </is>
      </c>
      <c r="P1065">
        <f>TRIM(N1065)</f>
        <v/>
      </c>
    </row>
    <row r="1066">
      <c r="A1066" t="inlineStr">
        <is>
          <t>CO-001631</t>
        </is>
      </c>
      <c r="B1066" t="inlineStr">
        <is>
          <t>FCM DISTRIBUCIONES Y SERVICIOS GENERALES EIRL.</t>
        </is>
      </c>
      <c r="D1066" t="inlineStr">
        <is>
          <t>AV. LOS INCAS 352-354 - COMAS</t>
        </is>
      </c>
      <c r="E1066" t="inlineStr">
        <is>
          <t>Lima,02 de Noviembre de 2023</t>
        </is>
      </c>
      <c r="F1066" t="inlineStr">
        <is>
          <t>la Recarga y mantenimiento</t>
        </is>
      </c>
      <c r="G1066" t="inlineStr">
        <is>
          <t>02</t>
        </is>
      </c>
      <c r="H1066" t="inlineStr">
        <is>
          <t>06 KG</t>
        </is>
      </c>
      <c r="I1066" t="inlineStr">
        <is>
          <t>2027</t>
        </is>
      </c>
      <c r="J1066" t="n">
        <v>2022</v>
      </c>
      <c r="K1066" t="inlineStr">
        <is>
          <t>NOVIEMBRE 2023</t>
        </is>
      </c>
      <c r="L1066" t="inlineStr">
        <is>
          <t>NOVIEMBRE 2024</t>
        </is>
      </c>
      <c r="M1066" t="inlineStr">
        <is>
          <t>P.Q.S TIPO ABC</t>
        </is>
      </c>
      <c r="N1066" t="inlineStr">
        <is>
          <t>02/307171</t>
        </is>
      </c>
      <c r="O1066" t="inlineStr">
        <is>
          <t>R</t>
        </is>
      </c>
      <c r="P1066">
        <f>TRIM(N1066)</f>
        <v/>
      </c>
    </row>
    <row r="1067">
      <c r="A1067" t="inlineStr">
        <is>
          <t>CO-001632</t>
        </is>
      </c>
      <c r="B1067" t="inlineStr">
        <is>
          <t>REM SALUD</t>
        </is>
      </c>
      <c r="D1067" t="inlineStr">
        <is>
          <t>JR LA ALBORADA N°117 - COMAS</t>
        </is>
      </c>
      <c r="E1067" t="inlineStr">
        <is>
          <t>Lima,30 de Octubre de 2023</t>
        </is>
      </c>
      <c r="F1067" t="inlineStr">
        <is>
          <t>la Recarga y mantenimiento</t>
        </is>
      </c>
      <c r="G1067" t="inlineStr">
        <is>
          <t>01</t>
        </is>
      </c>
      <c r="H1067" t="inlineStr">
        <is>
          <t>06 KG</t>
        </is>
      </c>
      <c r="I1067" t="inlineStr">
        <is>
          <t>2026</t>
        </is>
      </c>
      <c r="J1067" t="n">
        <v>2021</v>
      </c>
      <c r="K1067" t="inlineStr">
        <is>
          <t>OCTUBRE 2023</t>
        </is>
      </c>
      <c r="L1067" t="inlineStr">
        <is>
          <t>OCTUBRE 2024</t>
        </is>
      </c>
      <c r="M1067" t="inlineStr">
        <is>
          <t>P.Q.S TIPO ABC</t>
        </is>
      </c>
      <c r="N1067" t="inlineStr">
        <is>
          <t>01/000340</t>
        </is>
      </c>
      <c r="O1067" t="inlineStr">
        <is>
          <t>R</t>
        </is>
      </c>
      <c r="P1067">
        <f>TRIM(N1067)</f>
        <v/>
      </c>
    </row>
    <row r="1068">
      <c r="A1068" t="inlineStr">
        <is>
          <t>CO-001633</t>
        </is>
      </c>
      <c r="B1068" t="inlineStr">
        <is>
          <t>ROSA MARIA ULLOA FLORES</t>
        </is>
      </c>
      <c r="D1068" t="inlineStr">
        <is>
          <t xml:space="preserve">JR. UNION  N°279 - COMAS </t>
        </is>
      </c>
      <c r="E1068" t="inlineStr">
        <is>
          <t>Lima,30 de Octubre de 2023</t>
        </is>
      </c>
      <c r="F1068" t="inlineStr">
        <is>
          <t>la Recarga y mantenimiento</t>
        </is>
      </c>
      <c r="G1068" t="inlineStr">
        <is>
          <t>01</t>
        </is>
      </c>
      <c r="H1068" t="inlineStr">
        <is>
          <t>06 KG</t>
        </is>
      </c>
      <c r="I1068" t="inlineStr">
        <is>
          <t>VIGENTE</t>
        </is>
      </c>
      <c r="J1068" t="n">
        <v>2018</v>
      </c>
      <c r="K1068" t="inlineStr">
        <is>
          <t>OCTUBRE 2023</t>
        </is>
      </c>
      <c r="L1068" t="inlineStr">
        <is>
          <t>OCTUBRE 2024</t>
        </is>
      </c>
      <c r="M1068" t="inlineStr">
        <is>
          <t>P.Q.S TIPO ABC</t>
        </is>
      </c>
      <c r="N1068" t="inlineStr">
        <is>
          <t>01/003509</t>
        </is>
      </c>
      <c r="O1068" t="inlineStr">
        <is>
          <t>R</t>
        </is>
      </c>
      <c r="P1068">
        <f>TRIM(N1068)</f>
        <v/>
      </c>
    </row>
    <row r="1069">
      <c r="A1069" t="inlineStr">
        <is>
          <t>CO-001634</t>
        </is>
      </c>
      <c r="B1069" t="inlineStr">
        <is>
          <t>MARIA SOLORZANO</t>
        </is>
      </c>
      <c r="D1069" t="inlineStr">
        <is>
          <t xml:space="preserve">VILLA VIOLETA MZ G LT 01 </t>
        </is>
      </c>
      <c r="E1069" t="inlineStr">
        <is>
          <t>Lima,02 de Noviembre de 2023</t>
        </is>
      </c>
      <c r="F1069" t="inlineStr">
        <is>
          <t>la Recarga y mantenimiento</t>
        </is>
      </c>
      <c r="G1069" t="inlineStr">
        <is>
          <t>01</t>
        </is>
      </c>
      <c r="H1069" t="inlineStr">
        <is>
          <t>06 KG</t>
        </is>
      </c>
      <c r="I1069" t="inlineStr">
        <is>
          <t>VIGENTE</t>
        </is>
      </c>
      <c r="J1069" t="n">
        <v>2005</v>
      </c>
      <c r="K1069" t="inlineStr">
        <is>
          <t>NOVIEMBRE 2023</t>
        </is>
      </c>
      <c r="L1069" t="inlineStr">
        <is>
          <t>NOVIEMBRE 2024</t>
        </is>
      </c>
      <c r="M1069" t="inlineStr">
        <is>
          <t>P.Q.S TIPO ABC</t>
        </is>
      </c>
      <c r="N1069" t="inlineStr">
        <is>
          <t>01/001415</t>
        </is>
      </c>
      <c r="O1069" t="inlineStr">
        <is>
          <t>R</t>
        </is>
      </c>
      <c r="P1069">
        <f>TRIM(N1069)</f>
        <v/>
      </c>
    </row>
    <row r="1070">
      <c r="A1070" t="inlineStr">
        <is>
          <t>CO-001634</t>
        </is>
      </c>
      <c r="B1070" t="inlineStr">
        <is>
          <t>MARIA SOLORZANO</t>
        </is>
      </c>
      <c r="D1070" t="inlineStr">
        <is>
          <t xml:space="preserve">VILLA VIOLETA MZ G LT 01 </t>
        </is>
      </c>
      <c r="E1070" t="inlineStr">
        <is>
          <t>Lima,02 de Noviembre de 2023</t>
        </is>
      </c>
      <c r="F1070" t="inlineStr">
        <is>
          <t>la Recarga y mantenimiento</t>
        </is>
      </c>
      <c r="G1070" t="inlineStr">
        <is>
          <t xml:space="preserve">02 </t>
        </is>
      </c>
      <c r="H1070" t="inlineStr">
        <is>
          <t>06 KG</t>
        </is>
      </c>
      <c r="I1070" t="inlineStr">
        <is>
          <t>2025</t>
        </is>
      </c>
      <c r="J1070" t="n">
        <v>2020</v>
      </c>
      <c r="K1070" t="inlineStr">
        <is>
          <t>NOVIEMBRE 2023</t>
        </is>
      </c>
      <c r="L1070" t="inlineStr">
        <is>
          <t>NOVIEMBRE 2024</t>
        </is>
      </c>
      <c r="M1070" t="inlineStr">
        <is>
          <t>P.Q.S TIPO ABC</t>
        </is>
      </c>
      <c r="N1070" t="inlineStr">
        <is>
          <t>02/000495</t>
        </is>
      </c>
      <c r="O1070" t="inlineStr">
        <is>
          <t>R</t>
        </is>
      </c>
      <c r="P1070">
        <f>TRIM(N1070)</f>
        <v/>
      </c>
    </row>
    <row r="1071">
      <c r="A1071" t="inlineStr">
        <is>
          <t>CO-001635</t>
        </is>
      </c>
      <c r="B1071" t="inlineStr">
        <is>
          <t xml:space="preserve">JOSE MELCHOR SANCHEZ HUAMAN </t>
        </is>
      </c>
      <c r="C1071" t="inlineStr">
        <is>
          <t>41204120</t>
        </is>
      </c>
      <c r="D1071" t="inlineStr">
        <is>
          <t>JR. MARTE N°107 AÑO NUEVO - COMAS</t>
        </is>
      </c>
      <c r="E1071" t="inlineStr">
        <is>
          <t>Lima,02 de Noviembre de 2023</t>
        </is>
      </c>
      <c r="F1071" t="inlineStr">
        <is>
          <t>la Recarga y mantenimiento</t>
        </is>
      </c>
      <c r="G1071" t="inlineStr">
        <is>
          <t>01</t>
        </is>
      </c>
      <c r="H1071" t="inlineStr">
        <is>
          <t>06 KG</t>
        </is>
      </c>
      <c r="I1071" t="inlineStr">
        <is>
          <t>2027</t>
        </is>
      </c>
      <c r="J1071" t="n">
        <v>2022</v>
      </c>
      <c r="K1071" t="inlineStr">
        <is>
          <t>NOVIEMBRE 2023</t>
        </is>
      </c>
      <c r="L1071" t="inlineStr">
        <is>
          <t>NOVIEMBRE 2024</t>
        </is>
      </c>
      <c r="M1071" t="inlineStr">
        <is>
          <t>P.Q.S TIPO ABC</t>
        </is>
      </c>
      <c r="N1071" t="inlineStr">
        <is>
          <t>02/001379</t>
        </is>
      </c>
      <c r="O1071" t="inlineStr">
        <is>
          <t>R</t>
        </is>
      </c>
      <c r="P1071">
        <f>TRIM(N1071)</f>
        <v/>
      </c>
    </row>
    <row r="1072">
      <c r="A1072" t="inlineStr">
        <is>
          <t>CO-001635</t>
        </is>
      </c>
      <c r="B1072" t="inlineStr">
        <is>
          <t xml:space="preserve">JOSE MELCHOR SANCHEZ HUAMAN </t>
        </is>
      </c>
      <c r="C1072" t="inlineStr">
        <is>
          <t>41204120</t>
        </is>
      </c>
      <c r="D1072" t="inlineStr">
        <is>
          <t>JR. MARTE N°107 AÑO NUEVO - COMAS</t>
        </is>
      </c>
      <c r="E1072" t="inlineStr">
        <is>
          <t>Lima,02 de Noviembre de 2023</t>
        </is>
      </c>
      <c r="F1072" t="inlineStr">
        <is>
          <t>la Recarga y mantenimiento</t>
        </is>
      </c>
      <c r="G1072" t="inlineStr">
        <is>
          <t>02</t>
        </is>
      </c>
      <c r="H1072" t="inlineStr">
        <is>
          <t>06 KG</t>
        </is>
      </c>
      <c r="I1072" t="inlineStr">
        <is>
          <t>2027</t>
        </is>
      </c>
      <c r="J1072" t="n">
        <v>2022</v>
      </c>
      <c r="K1072" t="inlineStr">
        <is>
          <t>NOVIEMBRE 2023</t>
        </is>
      </c>
      <c r="L1072" t="inlineStr">
        <is>
          <t>NOVIEMBRE 2024</t>
        </is>
      </c>
      <c r="M1072" t="inlineStr">
        <is>
          <t>P.Q.S TIPO ABC</t>
        </is>
      </c>
      <c r="N1072" t="inlineStr">
        <is>
          <t>03/001344</t>
        </is>
      </c>
      <c r="O1072" t="inlineStr">
        <is>
          <t>R</t>
        </is>
      </c>
      <c r="P1072">
        <f>TRIM(N1072)</f>
        <v/>
      </c>
    </row>
    <row r="1073">
      <c r="A1073" t="inlineStr">
        <is>
          <t>CO-001635</t>
        </is>
      </c>
      <c r="B1073" t="inlineStr">
        <is>
          <t xml:space="preserve">JOSE MELCHOR SANCHEZ HUAMAN </t>
        </is>
      </c>
      <c r="C1073" t="inlineStr">
        <is>
          <t>41204120</t>
        </is>
      </c>
      <c r="D1073" t="inlineStr">
        <is>
          <t>JR. MARTE N°107 AÑO NUEVO - COMAS</t>
        </is>
      </c>
      <c r="E1073" t="inlineStr">
        <is>
          <t>Lima,02 de Noviembre de 2023</t>
        </is>
      </c>
      <c r="F1073" t="inlineStr">
        <is>
          <t>la Recarga y mantenimiento</t>
        </is>
      </c>
      <c r="G1073" t="inlineStr">
        <is>
          <t>03</t>
        </is>
      </c>
      <c r="H1073" t="inlineStr">
        <is>
          <t>06 KG</t>
        </is>
      </c>
      <c r="I1073" t="n">
        <v>2027</v>
      </c>
      <c r="J1073" t="n">
        <v>2022</v>
      </c>
      <c r="K1073" t="inlineStr">
        <is>
          <t>NOVIEMBRE 2023</t>
        </is>
      </c>
      <c r="L1073" t="inlineStr">
        <is>
          <t>NOVIEMBRE 2024</t>
        </is>
      </c>
      <c r="M1073" t="inlineStr">
        <is>
          <t>P.Q.S TIPO ABC</t>
        </is>
      </c>
      <c r="N1073" t="inlineStr">
        <is>
          <t>04/002674</t>
        </is>
      </c>
      <c r="O1073" t="inlineStr">
        <is>
          <t>R</t>
        </is>
      </c>
      <c r="P1073">
        <f>TRIM(N1073)</f>
        <v/>
      </c>
    </row>
    <row r="1074">
      <c r="A1074" t="inlineStr">
        <is>
          <t>CO-001635</t>
        </is>
      </c>
      <c r="B1074" t="inlineStr">
        <is>
          <t xml:space="preserve">JOSE MELCHOR SANCHEZ HUAMAN </t>
        </is>
      </c>
      <c r="C1074" t="inlineStr">
        <is>
          <t>41204120</t>
        </is>
      </c>
      <c r="D1074" t="inlineStr">
        <is>
          <t>JR. MARTE N°107 AÑO NUEVO - COMAS</t>
        </is>
      </c>
      <c r="E1074" t="inlineStr">
        <is>
          <t>Lima,02 de Noviembre de 2023</t>
        </is>
      </c>
      <c r="F1074" t="inlineStr">
        <is>
          <t>la Recarga y mantenimiento</t>
        </is>
      </c>
      <c r="G1074" t="inlineStr">
        <is>
          <t>04</t>
        </is>
      </c>
      <c r="H1074" t="inlineStr">
        <is>
          <t>06 KG</t>
        </is>
      </c>
      <c r="I1074" t="n">
        <v>2027</v>
      </c>
      <c r="J1074" t="n">
        <v>2022</v>
      </c>
      <c r="K1074" t="inlineStr">
        <is>
          <t>NOVIEMBRE 2023</t>
        </is>
      </c>
      <c r="L1074" t="inlineStr">
        <is>
          <t>NOVIEMBRE 2024</t>
        </is>
      </c>
      <c r="M1074" t="inlineStr">
        <is>
          <t xml:space="preserve">P.Q.S TIPO ABC </t>
        </is>
      </c>
      <c r="N1074" t="inlineStr">
        <is>
          <t>05/001365</t>
        </is>
      </c>
      <c r="O1074" t="inlineStr">
        <is>
          <t>R</t>
        </is>
      </c>
      <c r="P1074">
        <f>TRIM(N1074)</f>
        <v/>
      </c>
    </row>
    <row r="1075">
      <c r="A1075" t="inlineStr">
        <is>
          <t>CO-001635</t>
        </is>
      </c>
      <c r="B1075" t="inlineStr">
        <is>
          <t xml:space="preserve">JOSE MELCHOR SANCHEZ HUAMAN </t>
        </is>
      </c>
      <c r="C1075" t="inlineStr">
        <is>
          <t>41204120</t>
        </is>
      </c>
      <c r="D1075" t="inlineStr">
        <is>
          <t>JR. MARTE N°107 AÑO NUEVO - COMAS</t>
        </is>
      </c>
      <c r="E1075" t="inlineStr">
        <is>
          <t>Lima,02 de Noviembre de 2023</t>
        </is>
      </c>
      <c r="F1075" t="inlineStr">
        <is>
          <t>la Recarga y mantenimiento</t>
        </is>
      </c>
      <c r="G1075" t="inlineStr">
        <is>
          <t>05</t>
        </is>
      </c>
      <c r="H1075" t="inlineStr">
        <is>
          <t>06 KG</t>
        </is>
      </c>
      <c r="I1075" t="n">
        <v>2027</v>
      </c>
      <c r="J1075" t="n">
        <v>2022</v>
      </c>
      <c r="K1075" t="inlineStr">
        <is>
          <t>NOVIEMBRE 2023</t>
        </is>
      </c>
      <c r="L1075" t="inlineStr">
        <is>
          <t>NOVIEMBRE 2024</t>
        </is>
      </c>
      <c r="M1075" t="inlineStr">
        <is>
          <t>P.Q.S TIPO ABC</t>
        </is>
      </c>
      <c r="N1075" t="inlineStr">
        <is>
          <t>06/001345</t>
        </is>
      </c>
      <c r="O1075" t="inlineStr">
        <is>
          <t>R</t>
        </is>
      </c>
      <c r="P1075">
        <f>TRIM(N1075)</f>
        <v/>
      </c>
    </row>
    <row r="1076">
      <c r="A1076" t="inlineStr">
        <is>
          <t>CO-001636</t>
        </is>
      </c>
      <c r="B1076" t="inlineStr">
        <is>
          <t>CHIFA ARIANA De: GEINER CUBAS FERNANDEZ</t>
        </is>
      </c>
      <c r="D1076" t="inlineStr">
        <is>
          <t>AV. LOS INCAS MZ. J LT.12  SAN BAUTISTA - COMAS</t>
        </is>
      </c>
      <c r="E1076" t="inlineStr">
        <is>
          <t>Lima,02 de Noviembre de 2023</t>
        </is>
      </c>
      <c r="F1076" t="inlineStr">
        <is>
          <t>la Recarga y mantenimiento</t>
        </is>
      </c>
      <c r="G1076" t="inlineStr">
        <is>
          <t>01</t>
        </is>
      </c>
      <c r="H1076" t="inlineStr">
        <is>
          <t>06 KG</t>
        </is>
      </c>
      <c r="I1076" t="inlineStr">
        <is>
          <t>VIGENTE</t>
        </is>
      </c>
      <c r="J1076" t="n">
        <v>2011</v>
      </c>
      <c r="K1076" t="inlineStr">
        <is>
          <t>NOVIEMBRE 2023</t>
        </is>
      </c>
      <c r="L1076" t="inlineStr">
        <is>
          <t>NOVIEMBRE 2024</t>
        </is>
      </c>
      <c r="M1076" t="inlineStr">
        <is>
          <t>P.Q.S TIPO ABC</t>
        </is>
      </c>
      <c r="N1076" t="inlineStr">
        <is>
          <t>01/000189</t>
        </is>
      </c>
      <c r="O1076" t="inlineStr">
        <is>
          <t>R</t>
        </is>
      </c>
      <c r="P1076">
        <f>TRIM(N1076)</f>
        <v/>
      </c>
    </row>
    <row r="1077">
      <c r="A1077" t="inlineStr">
        <is>
          <t>CO-001637</t>
        </is>
      </c>
      <c r="B1077" t="inlineStr">
        <is>
          <t>JHOINER PEREZ</t>
        </is>
      </c>
      <c r="D1077" t="inlineStr">
        <is>
          <t>MERCADO AÑO NUEVO  S/N</t>
        </is>
      </c>
      <c r="E1077" t="inlineStr">
        <is>
          <t>Lima,02 de Noviembre de 2023</t>
        </is>
      </c>
      <c r="F1077" t="inlineStr">
        <is>
          <t>la Recarga y mantenimiento</t>
        </is>
      </c>
      <c r="G1077" t="inlineStr">
        <is>
          <t>01</t>
        </is>
      </c>
      <c r="H1077" t="inlineStr">
        <is>
          <t>06 KG</t>
        </is>
      </c>
      <c r="I1077" t="inlineStr">
        <is>
          <t>VIGENTE</t>
        </is>
      </c>
      <c r="J1077" t="n">
        <v>2011</v>
      </c>
      <c r="K1077" t="inlineStr">
        <is>
          <t>NOVIEMBRE 2023</t>
        </is>
      </c>
      <c r="L1077" t="inlineStr">
        <is>
          <t>NOVIEMBRE 2024</t>
        </is>
      </c>
      <c r="M1077" t="inlineStr">
        <is>
          <t>P.Q.S TIPO ABC</t>
        </is>
      </c>
      <c r="N1077" t="inlineStr">
        <is>
          <t>01/000009</t>
        </is>
      </c>
      <c r="O1077" t="inlineStr">
        <is>
          <t>R</t>
        </is>
      </c>
      <c r="P1077">
        <f>TRIM(N1077)</f>
        <v/>
      </c>
    </row>
    <row r="1078">
      <c r="A1078" t="inlineStr">
        <is>
          <t>CO-001638</t>
        </is>
      </c>
      <c r="B1078" t="inlineStr">
        <is>
          <t>MARY VET</t>
        </is>
      </c>
      <c r="D1078" t="inlineStr">
        <is>
          <t>AV. SAN FELIPE  N° 1351 - COMAS</t>
        </is>
      </c>
      <c r="E1078" t="inlineStr">
        <is>
          <t>Lima,02 de Noviembre de 2023</t>
        </is>
      </c>
      <c r="F1078" t="inlineStr">
        <is>
          <t>la Recarga y mantenimiento</t>
        </is>
      </c>
      <c r="G1078" t="inlineStr">
        <is>
          <t>01</t>
        </is>
      </c>
      <c r="H1078" t="inlineStr">
        <is>
          <t>06 KG</t>
        </is>
      </c>
      <c r="I1078" t="inlineStr">
        <is>
          <t>2027</t>
        </is>
      </c>
      <c r="J1078" t="n">
        <v>2022</v>
      </c>
      <c r="K1078" t="inlineStr">
        <is>
          <t>NOVIEMBRE 2023</t>
        </is>
      </c>
      <c r="L1078" t="inlineStr">
        <is>
          <t>NOVIEMBRE 2024</t>
        </is>
      </c>
      <c r="M1078" t="inlineStr">
        <is>
          <t>P.Q.S TIPO ABC</t>
        </is>
      </c>
      <c r="N1078" t="inlineStr">
        <is>
          <t>01/007181</t>
        </is>
      </c>
      <c r="O1078" t="inlineStr">
        <is>
          <t>R</t>
        </is>
      </c>
      <c r="P1078">
        <f>TRIM(N1078)</f>
        <v/>
      </c>
    </row>
    <row r="1079">
      <c r="A1079" t="inlineStr">
        <is>
          <t>CO-001639</t>
        </is>
      </c>
      <c r="B1079" t="inlineStr">
        <is>
          <t>MARY VET</t>
        </is>
      </c>
      <c r="D1079" t="inlineStr">
        <is>
          <t>JR. UNION N°231  SAN FELIPE - COMAS</t>
        </is>
      </c>
      <c r="E1079" t="inlineStr">
        <is>
          <t>Lima,02 de Noviembre de 2023</t>
        </is>
      </c>
      <c r="F1079" t="inlineStr">
        <is>
          <t>la Recarga y mantenimiento</t>
        </is>
      </c>
      <c r="G1079" t="inlineStr">
        <is>
          <t>01</t>
        </is>
      </c>
      <c r="H1079" t="inlineStr">
        <is>
          <t>06 KG</t>
        </is>
      </c>
      <c r="I1079" t="inlineStr">
        <is>
          <t>2025</t>
        </is>
      </c>
      <c r="J1079" t="n">
        <v>2020</v>
      </c>
      <c r="K1079" t="inlineStr">
        <is>
          <t>NOVIEMBRE 2023</t>
        </is>
      </c>
      <c r="L1079" t="inlineStr">
        <is>
          <t>NOVIEMBRE 2024</t>
        </is>
      </c>
      <c r="M1079" t="inlineStr">
        <is>
          <t>P.Q.S TIPO ABC</t>
        </is>
      </c>
      <c r="N1079" t="inlineStr">
        <is>
          <t>01/003390</t>
        </is>
      </c>
      <c r="O1079" t="inlineStr">
        <is>
          <t>R</t>
        </is>
      </c>
      <c r="P1079">
        <f>TRIM(N1079)</f>
        <v/>
      </c>
    </row>
    <row r="1080">
      <c r="A1080" t="inlineStr">
        <is>
          <t>CO-001639</t>
        </is>
      </c>
      <c r="B1080" t="inlineStr">
        <is>
          <t>MARY VET</t>
        </is>
      </c>
      <c r="D1080" t="inlineStr">
        <is>
          <t>JR. UNION N°231  SAN FELIPE - COMAS</t>
        </is>
      </c>
      <c r="E1080" t="inlineStr">
        <is>
          <t>Lima,02 de Noviembre de 2023</t>
        </is>
      </c>
      <c r="F1080" t="inlineStr">
        <is>
          <t>la Recarga y mantenimiento</t>
        </is>
      </c>
      <c r="G1080" t="inlineStr">
        <is>
          <t>02</t>
        </is>
      </c>
      <c r="H1080" t="inlineStr">
        <is>
          <t>06 KG</t>
        </is>
      </c>
      <c r="I1080" t="inlineStr">
        <is>
          <t>2027</t>
        </is>
      </c>
      <c r="J1080" t="n">
        <v>2022</v>
      </c>
      <c r="K1080" t="inlineStr">
        <is>
          <t>NOVIEMBRE 2023</t>
        </is>
      </c>
      <c r="L1080" t="inlineStr">
        <is>
          <t>NOVIEMBRE 2024</t>
        </is>
      </c>
      <c r="M1080" t="inlineStr">
        <is>
          <t>P.Q.S TIPO ABC</t>
        </is>
      </c>
      <c r="N1080" t="inlineStr">
        <is>
          <t>02/006937</t>
        </is>
      </c>
      <c r="O1080" t="inlineStr">
        <is>
          <t>R</t>
        </is>
      </c>
      <c r="P1080">
        <f>TRIM(N1080)</f>
        <v/>
      </c>
    </row>
    <row r="1081">
      <c r="A1081" t="inlineStr">
        <is>
          <t>CO-001640</t>
        </is>
      </c>
      <c r="B1081" t="inlineStr">
        <is>
          <t>JAVIER MARCOS DAMIAN</t>
        </is>
      </c>
      <c r="C1081" t="inlineStr">
        <is>
          <t>45515769</t>
        </is>
      </c>
      <c r="D1081" t="inlineStr">
        <is>
          <t>PLACA: D0L-777</t>
        </is>
      </c>
      <c r="E1081" t="inlineStr">
        <is>
          <t>Lima,04 de Noviembre de 2023</t>
        </is>
      </c>
      <c r="F1081" t="inlineStr">
        <is>
          <t>la Recarga y mantenimiento</t>
        </is>
      </c>
      <c r="G1081" t="inlineStr">
        <is>
          <t>01</t>
        </is>
      </c>
      <c r="H1081" t="inlineStr">
        <is>
          <t>06 KG</t>
        </is>
      </c>
      <c r="I1081" t="inlineStr">
        <is>
          <t>2028</t>
        </is>
      </c>
      <c r="J1081" t="n">
        <v>2023</v>
      </c>
      <c r="K1081" t="inlineStr">
        <is>
          <t>NOVIEMBRE 2023</t>
        </is>
      </c>
      <c r="L1081" t="inlineStr">
        <is>
          <t>NOVIEMBRE 2024</t>
        </is>
      </c>
      <c r="M1081" t="inlineStr">
        <is>
          <t>P.Q.S TIPO ABC</t>
        </is>
      </c>
      <c r="N1081" t="inlineStr">
        <is>
          <t>01/001000</t>
        </is>
      </c>
      <c r="O1081" t="inlineStr">
        <is>
          <t>R</t>
        </is>
      </c>
      <c r="P1081">
        <f>TRIM(N1081)</f>
        <v/>
      </c>
    </row>
    <row r="1082">
      <c r="A1082" t="inlineStr">
        <is>
          <t>CO-001641</t>
        </is>
      </c>
      <c r="B1082" t="inlineStr">
        <is>
          <t>PERU MASIVO S.A.</t>
        </is>
      </c>
      <c r="C1082" t="inlineStr">
        <is>
          <t>20492392031</t>
        </is>
      </c>
      <c r="D1082" t="inlineStr">
        <is>
          <t>AV. LOS INCAS CDRA. 4 PATIO NORTE - COMAS</t>
        </is>
      </c>
      <c r="E1082" t="inlineStr">
        <is>
          <t>Lima,06 de Noviembre de 2023</t>
        </is>
      </c>
      <c r="F1082" t="inlineStr">
        <is>
          <t>la Recarga y mantenimiento</t>
        </is>
      </c>
      <c r="G1082" t="inlineStr">
        <is>
          <t>01</t>
        </is>
      </c>
      <c r="H1082" t="inlineStr">
        <is>
          <t>06 KG</t>
        </is>
      </c>
      <c r="I1082" t="inlineStr">
        <is>
          <t>2028</t>
        </is>
      </c>
      <c r="J1082" t="n">
        <v>2009</v>
      </c>
      <c r="K1082" t="inlineStr">
        <is>
          <t>NOVIEMBRE 2023</t>
        </is>
      </c>
      <c r="L1082" t="inlineStr">
        <is>
          <t>NOVIEMBRE 2024</t>
        </is>
      </c>
      <c r="M1082" t="inlineStr">
        <is>
          <t>P.Q.S TIPO ABC AL 90 % NACIONAL</t>
        </is>
      </c>
      <c r="N1082" t="inlineStr">
        <is>
          <t>83/000672</t>
        </is>
      </c>
      <c r="O1082" t="inlineStr">
        <is>
          <t>R</t>
        </is>
      </c>
      <c r="P1082">
        <f>TRIM(N1082)</f>
        <v/>
      </c>
    </row>
    <row r="1083">
      <c r="A1083" t="inlineStr">
        <is>
          <t>CO-001641</t>
        </is>
      </c>
      <c r="B1083" t="inlineStr">
        <is>
          <t>PERU MASIVO S.A.</t>
        </is>
      </c>
      <c r="C1083" t="inlineStr">
        <is>
          <t>20492392031</t>
        </is>
      </c>
      <c r="D1083" t="inlineStr">
        <is>
          <t>AV. LOS INCAS CDRA. 4 PATIO NORTE - COMAS</t>
        </is>
      </c>
      <c r="E1083" t="inlineStr">
        <is>
          <t>Lima,06 de Noviembre de 2023</t>
        </is>
      </c>
      <c r="F1083" t="inlineStr">
        <is>
          <t>la Recarga y mantenimiento</t>
        </is>
      </c>
      <c r="G1083" t="inlineStr">
        <is>
          <t>02</t>
        </is>
      </c>
      <c r="H1083" t="inlineStr">
        <is>
          <t>06 KG</t>
        </is>
      </c>
      <c r="I1083" t="inlineStr">
        <is>
          <t>2028</t>
        </is>
      </c>
      <c r="J1083" t="n">
        <v>2009</v>
      </c>
      <c r="K1083" t="inlineStr">
        <is>
          <t>NOVIEMBRE 2023</t>
        </is>
      </c>
      <c r="L1083" t="inlineStr">
        <is>
          <t>NOVIEMBRE 2024</t>
        </is>
      </c>
      <c r="M1083" t="inlineStr">
        <is>
          <t xml:space="preserve">P.Q.S TIPO ABC AL 90% NACIONAL </t>
        </is>
      </c>
      <c r="N1083" t="inlineStr">
        <is>
          <t>66/001780</t>
        </is>
      </c>
      <c r="O1083" t="inlineStr">
        <is>
          <t>R</t>
        </is>
      </c>
      <c r="P1083">
        <f>TRIM(N1083)</f>
        <v/>
      </c>
    </row>
    <row r="1084">
      <c r="A1084" t="inlineStr">
        <is>
          <t>CO-001641</t>
        </is>
      </c>
      <c r="B1084" t="inlineStr">
        <is>
          <t>PERU MASIVO S.A.</t>
        </is>
      </c>
      <c r="C1084" t="inlineStr">
        <is>
          <t>20492392031</t>
        </is>
      </c>
      <c r="D1084" t="inlineStr">
        <is>
          <t>AV. LOS INCAS CDRA. 4 PATIO NORTE - COMAS</t>
        </is>
      </c>
      <c r="E1084" t="inlineStr">
        <is>
          <t>Lima,06 de Noviembre de 2023</t>
        </is>
      </c>
      <c r="F1084" t="inlineStr">
        <is>
          <t>la Recarga y mantenimiento</t>
        </is>
      </c>
      <c r="G1084" t="inlineStr">
        <is>
          <t>03</t>
        </is>
      </c>
      <c r="H1084" t="inlineStr">
        <is>
          <t>06 KG</t>
        </is>
      </c>
      <c r="I1084" t="n">
        <v>2028</v>
      </c>
      <c r="J1084" t="n">
        <v>2010</v>
      </c>
      <c r="K1084" t="inlineStr">
        <is>
          <t>NOVIEMBRE 2023</t>
        </is>
      </c>
      <c r="L1084" t="inlineStr">
        <is>
          <t>NOVIEMBRE 2024</t>
        </is>
      </c>
      <c r="M1084" t="inlineStr">
        <is>
          <t xml:space="preserve">P.Q.S TIPO ABC AL 90% NACIONAL </t>
        </is>
      </c>
      <c r="N1084" t="inlineStr">
        <is>
          <t>122/000008</t>
        </is>
      </c>
      <c r="O1084" t="inlineStr">
        <is>
          <t>R</t>
        </is>
      </c>
      <c r="P1084">
        <f>TRIM(N1084)</f>
        <v/>
      </c>
    </row>
    <row r="1085">
      <c r="A1085" t="inlineStr">
        <is>
          <t>CO-001641</t>
        </is>
      </c>
      <c r="B1085" t="inlineStr">
        <is>
          <t>PERU MASIVO S.A.</t>
        </is>
      </c>
      <c r="C1085" t="inlineStr">
        <is>
          <t>20492392031</t>
        </is>
      </c>
      <c r="D1085" t="inlineStr">
        <is>
          <t>AV. LOS INCAS CDRA. 4 PATIO NORTE - COMAS</t>
        </is>
      </c>
      <c r="E1085" t="inlineStr">
        <is>
          <t>Lima,06 de Noviembre de 2023</t>
        </is>
      </c>
      <c r="F1085" t="inlineStr">
        <is>
          <t>la Recarga y mantenimiento</t>
        </is>
      </c>
      <c r="G1085" t="inlineStr">
        <is>
          <t>04</t>
        </is>
      </c>
      <c r="H1085" t="inlineStr">
        <is>
          <t>06 KG</t>
        </is>
      </c>
      <c r="I1085" t="n">
        <v>2028</v>
      </c>
      <c r="J1085" t="n">
        <v>2009</v>
      </c>
      <c r="K1085" t="inlineStr">
        <is>
          <t>NOVIEMBRE 2023</t>
        </is>
      </c>
      <c r="L1085" t="inlineStr">
        <is>
          <t>NOVIEMBRE 2024</t>
        </is>
      </c>
      <c r="M1085" t="inlineStr">
        <is>
          <t>P.Q.S TIPO ABC AL 90% NACIONAL</t>
        </is>
      </c>
      <c r="N1085" t="inlineStr">
        <is>
          <t>S/N/001415</t>
        </is>
      </c>
      <c r="O1085" t="inlineStr">
        <is>
          <t>R</t>
        </is>
      </c>
      <c r="P1085">
        <f>TRIM(N1085)</f>
        <v/>
      </c>
    </row>
    <row r="1086">
      <c r="A1086" t="inlineStr">
        <is>
          <t>CO-001641</t>
        </is>
      </c>
      <c r="B1086" t="inlineStr">
        <is>
          <t>PERU MASIVO S.A.</t>
        </is>
      </c>
      <c r="C1086" t="inlineStr">
        <is>
          <t>20492392031</t>
        </is>
      </c>
      <c r="D1086" t="inlineStr">
        <is>
          <t>AV. LOS INCAS CDRA. 4 PATIO NORTE - COMAS</t>
        </is>
      </c>
      <c r="E1086" t="inlineStr">
        <is>
          <t>Lima,06 de Noviembre de 2023</t>
        </is>
      </c>
      <c r="F1086" t="inlineStr">
        <is>
          <t>la Recarga y mantenimiento</t>
        </is>
      </c>
      <c r="G1086" t="inlineStr">
        <is>
          <t>05</t>
        </is>
      </c>
      <c r="H1086" t="inlineStr">
        <is>
          <t>06 KG</t>
        </is>
      </c>
      <c r="I1086" t="n">
        <v>2028</v>
      </c>
      <c r="J1086" t="n">
        <v>2010</v>
      </c>
      <c r="K1086" t="inlineStr">
        <is>
          <t>NOVIEMBRE 2023</t>
        </is>
      </c>
      <c r="L1086" t="inlineStr">
        <is>
          <t>NOVIEMBRE 2024</t>
        </is>
      </c>
      <c r="M1086" t="inlineStr">
        <is>
          <t xml:space="preserve">P.Q.S TIPO ABC AL 90% NACIONAL </t>
        </is>
      </c>
      <c r="N1086" t="inlineStr">
        <is>
          <t>300/000448</t>
        </is>
      </c>
      <c r="O1086" t="inlineStr">
        <is>
          <t>R</t>
        </is>
      </c>
      <c r="P1086">
        <f>TRIM(N1086)</f>
        <v/>
      </c>
    </row>
    <row r="1087">
      <c r="A1087" t="inlineStr">
        <is>
          <t>CO-001641</t>
        </is>
      </c>
      <c r="B1087" t="inlineStr">
        <is>
          <t>PERU MASIVO S.A.</t>
        </is>
      </c>
      <c r="C1087" t="inlineStr">
        <is>
          <t>20492392031</t>
        </is>
      </c>
      <c r="D1087" t="inlineStr">
        <is>
          <t>AV. LOS INCAS CDRA. 4 PATIO NORTE - COMAS</t>
        </is>
      </c>
      <c r="E1087" t="inlineStr">
        <is>
          <t>Lima,06 de Noviembre de 2023</t>
        </is>
      </c>
      <c r="F1087" t="inlineStr">
        <is>
          <t>la Recarga y mantenimiento</t>
        </is>
      </c>
      <c r="G1087" t="inlineStr">
        <is>
          <t>06</t>
        </is>
      </c>
      <c r="H1087" t="inlineStr">
        <is>
          <t>06 KG</t>
        </is>
      </c>
      <c r="I1087" t="n">
        <v>2028</v>
      </c>
      <c r="J1087" t="n">
        <v>2013</v>
      </c>
      <c r="K1087" t="inlineStr">
        <is>
          <t>NOVIEMBRE 2023</t>
        </is>
      </c>
      <c r="L1087" t="inlineStr">
        <is>
          <t>NOVIEMBRE 2024</t>
        </is>
      </c>
      <c r="M1087" t="inlineStr">
        <is>
          <t xml:space="preserve">P.Q.S TIPO ABC AL 90% NACIONAL </t>
        </is>
      </c>
      <c r="N1087" t="inlineStr">
        <is>
          <t>S/N/001425</t>
        </is>
      </c>
      <c r="O1087" t="inlineStr">
        <is>
          <t>R</t>
        </is>
      </c>
      <c r="P1087">
        <f>TRIM(N1087)</f>
        <v/>
      </c>
    </row>
    <row r="1088">
      <c r="A1088" t="inlineStr">
        <is>
          <t>CO-001641</t>
        </is>
      </c>
      <c r="B1088" t="inlineStr">
        <is>
          <t>PERU MASIVO S.A.</t>
        </is>
      </c>
      <c r="C1088" t="inlineStr">
        <is>
          <t>20492392031</t>
        </is>
      </c>
      <c r="D1088" t="inlineStr">
        <is>
          <t>AV. LOS INCAS CDRA. 4 PATIO NORTE - COMAS</t>
        </is>
      </c>
      <c r="E1088" t="inlineStr">
        <is>
          <t>Lima,06 de Noviembre de 2023</t>
        </is>
      </c>
      <c r="F1088" t="inlineStr">
        <is>
          <t>la Recarga y mantenimiento</t>
        </is>
      </c>
      <c r="G1088" t="inlineStr">
        <is>
          <t>07</t>
        </is>
      </c>
      <c r="H1088" t="inlineStr">
        <is>
          <t>06 KG</t>
        </is>
      </c>
      <c r="I1088" t="n">
        <v>2028</v>
      </c>
      <c r="J1088" t="n">
        <v>2009</v>
      </c>
      <c r="K1088" t="inlineStr">
        <is>
          <t>NOVIEMBRE 2023</t>
        </is>
      </c>
      <c r="L1088" t="inlineStr">
        <is>
          <t>NOVIEMBRE 2024</t>
        </is>
      </c>
      <c r="M1088" t="inlineStr">
        <is>
          <t xml:space="preserve">P.Q.S TIPO ABC AL 90% NACIONAL </t>
        </is>
      </c>
      <c r="N1088" t="inlineStr">
        <is>
          <t>154/002014</t>
        </is>
      </c>
      <c r="O1088" t="inlineStr">
        <is>
          <t>R</t>
        </is>
      </c>
      <c r="P1088">
        <f>TRIM(N1088)</f>
        <v/>
      </c>
    </row>
    <row r="1089">
      <c r="A1089" t="inlineStr">
        <is>
          <t>CO-001641</t>
        </is>
      </c>
      <c r="B1089" t="inlineStr">
        <is>
          <t>PERU MASIVO S.A.</t>
        </is>
      </c>
      <c r="C1089" t="inlineStr">
        <is>
          <t>20492392031</t>
        </is>
      </c>
      <c r="D1089" t="inlineStr">
        <is>
          <t>AV. LOS INCAS CDRA. 4 PATIO NORTE - COMAS</t>
        </is>
      </c>
      <c r="E1089" t="inlineStr">
        <is>
          <t>Lima,06 de Noviembre de 2023</t>
        </is>
      </c>
      <c r="F1089" t="inlineStr">
        <is>
          <t>la Recarga y mantenimiento</t>
        </is>
      </c>
      <c r="G1089" t="inlineStr">
        <is>
          <t>08</t>
        </is>
      </c>
      <c r="H1089" t="inlineStr">
        <is>
          <t>06 KG</t>
        </is>
      </c>
      <c r="I1089" t="n">
        <v>2028</v>
      </c>
      <c r="J1089" t="n">
        <v>2017</v>
      </c>
      <c r="K1089" t="inlineStr">
        <is>
          <t>NOVIEMBRE 2023</t>
        </is>
      </c>
      <c r="L1089" t="inlineStr">
        <is>
          <t>NOVIEMBRE 2024</t>
        </is>
      </c>
      <c r="M1089" t="inlineStr">
        <is>
          <t xml:space="preserve">P.Q.S TIPO ABC AL 90% NACIONAL </t>
        </is>
      </c>
      <c r="N1089" t="inlineStr">
        <is>
          <t>S/N/004016</t>
        </is>
      </c>
      <c r="O1089" t="inlineStr">
        <is>
          <t>R</t>
        </is>
      </c>
      <c r="P1089">
        <f>TRIM(N1089)</f>
        <v/>
      </c>
    </row>
    <row r="1090">
      <c r="A1090" t="inlineStr">
        <is>
          <t>CO-001642</t>
        </is>
      </c>
      <c r="B1090" t="inlineStr">
        <is>
          <t>AIR WELD S.A.C.</t>
        </is>
      </c>
      <c r="C1090" t="inlineStr">
        <is>
          <t>20608367854</t>
        </is>
      </c>
      <c r="D1090" t="inlineStr">
        <is>
          <t>AV. LOS ROSALES N° 328 INT. A1  ASC. SHANGRILLA PUENTE PIEDRA LIMA</t>
        </is>
      </c>
      <c r="E1090" t="inlineStr">
        <is>
          <t>Lima,06 de Noviembre de 2023</t>
        </is>
      </c>
      <c r="F1090" t="inlineStr">
        <is>
          <t>la Recarga y mantenimiento</t>
        </is>
      </c>
      <c r="G1090" t="inlineStr">
        <is>
          <t>01</t>
        </is>
      </c>
      <c r="H1090" t="inlineStr">
        <is>
          <t>12 KG</t>
        </is>
      </c>
      <c r="I1090" t="inlineStr">
        <is>
          <t>2027</t>
        </is>
      </c>
      <c r="J1090" t="n">
        <v>2013</v>
      </c>
      <c r="K1090" t="inlineStr">
        <is>
          <t>NOVIEMBRE 2023</t>
        </is>
      </c>
      <c r="L1090" t="inlineStr">
        <is>
          <t>NOVIEMBRE 2024</t>
        </is>
      </c>
      <c r="M1090" t="inlineStr">
        <is>
          <t>P.Q.S TIPO ABC</t>
        </is>
      </c>
      <c r="N1090" t="inlineStr">
        <is>
          <t>01/000039</t>
        </is>
      </c>
      <c r="O1090" t="inlineStr">
        <is>
          <t>R</t>
        </is>
      </c>
      <c r="P1090">
        <f>TRIM(N1090)</f>
        <v/>
      </c>
    </row>
    <row r="1091">
      <c r="A1091" t="inlineStr">
        <is>
          <t>CO-001642</t>
        </is>
      </c>
      <c r="B1091" t="inlineStr">
        <is>
          <t>AIR WELD S.A.C.</t>
        </is>
      </c>
      <c r="C1091" t="inlineStr">
        <is>
          <t>20608367854</t>
        </is>
      </c>
      <c r="D1091" t="inlineStr">
        <is>
          <t>AV. LOS ROSALES N° 328 INT. A1  ASC. SHANGRILLA PUENTE PIEDRA LIMA</t>
        </is>
      </c>
      <c r="E1091" t="inlineStr">
        <is>
          <t>Lima,06 de Noviembre de 2023</t>
        </is>
      </c>
      <c r="F1091" t="inlineStr">
        <is>
          <t>la Recarga y mantenimiento</t>
        </is>
      </c>
      <c r="G1091" t="inlineStr">
        <is>
          <t>02</t>
        </is>
      </c>
      <c r="H1091" t="inlineStr">
        <is>
          <t>12 KG</t>
        </is>
      </c>
      <c r="I1091" t="inlineStr">
        <is>
          <t>2027</t>
        </is>
      </c>
      <c r="J1091" t="n">
        <v>2013</v>
      </c>
      <c r="K1091" t="inlineStr">
        <is>
          <t>NOVIEMBRE 2023</t>
        </is>
      </c>
      <c r="L1091" t="inlineStr">
        <is>
          <t>NOVIEMBRE 2024</t>
        </is>
      </c>
      <c r="M1091" t="inlineStr">
        <is>
          <t>P.Q.S TIPO ABC</t>
        </is>
      </c>
      <c r="N1091" t="inlineStr">
        <is>
          <t>02/000299</t>
        </is>
      </c>
      <c r="O1091" t="inlineStr">
        <is>
          <t>R</t>
        </is>
      </c>
      <c r="P1091">
        <f>TRIM(N1091)</f>
        <v/>
      </c>
    </row>
    <row r="1092">
      <c r="A1092" t="inlineStr">
        <is>
          <t>CO-001642</t>
        </is>
      </c>
      <c r="B1092" t="inlineStr">
        <is>
          <t>AIR WELD S.A.C.</t>
        </is>
      </c>
      <c r="C1092" t="inlineStr">
        <is>
          <t>20608367854</t>
        </is>
      </c>
      <c r="D1092" t="inlineStr">
        <is>
          <t>AV. LOS ROSALES N° 328 INT. A1  ASC. SHANGRILLA PUENTE PIEDRA LIMA</t>
        </is>
      </c>
      <c r="E1092" t="inlineStr">
        <is>
          <t>Lima,06 de Noviembre de 2023</t>
        </is>
      </c>
      <c r="F1092" t="inlineStr">
        <is>
          <t>la Recarga y mantenimiento</t>
        </is>
      </c>
      <c r="G1092" t="inlineStr">
        <is>
          <t>03</t>
        </is>
      </c>
      <c r="H1092" t="inlineStr">
        <is>
          <t>06 KG</t>
        </is>
      </c>
      <c r="I1092" t="n">
        <v>2027</v>
      </c>
      <c r="J1092" t="n">
        <v>2013</v>
      </c>
      <c r="K1092" t="inlineStr">
        <is>
          <t>NOVIEMBRE 2023</t>
        </is>
      </c>
      <c r="L1092" t="inlineStr">
        <is>
          <t>NOVIEMBRE 2024</t>
        </is>
      </c>
      <c r="M1092" t="inlineStr">
        <is>
          <t>P.Q.S TIPO ABC</t>
        </is>
      </c>
      <c r="N1092" t="inlineStr">
        <is>
          <t>04/007908</t>
        </is>
      </c>
      <c r="O1092" t="inlineStr">
        <is>
          <t>R</t>
        </is>
      </c>
      <c r="P1092">
        <f>TRIM(N1092)</f>
        <v/>
      </c>
    </row>
    <row r="1093">
      <c r="A1093" t="inlineStr">
        <is>
          <t>CO-001642</t>
        </is>
      </c>
      <c r="B1093" t="inlineStr">
        <is>
          <t>AIR WELD S.A.C.</t>
        </is>
      </c>
      <c r="C1093" t="inlineStr">
        <is>
          <t>20608367854</t>
        </is>
      </c>
      <c r="D1093" t="inlineStr">
        <is>
          <t>AV. LOS ROSALES N° 328 INT. A1  ASC. SHANGRILLA PUENTE PIEDRA LIMA</t>
        </is>
      </c>
      <c r="E1093" t="inlineStr">
        <is>
          <t>Lima,06 de Noviembre de 2023</t>
        </is>
      </c>
      <c r="F1093" t="inlineStr">
        <is>
          <t>la Recarga y mantenimiento</t>
        </is>
      </c>
      <c r="G1093" t="inlineStr">
        <is>
          <t>04</t>
        </is>
      </c>
      <c r="H1093" t="inlineStr">
        <is>
          <t>06 KG</t>
        </is>
      </c>
      <c r="I1093" t="n">
        <v>2027</v>
      </c>
      <c r="J1093" t="n">
        <v>2021</v>
      </c>
      <c r="K1093" t="inlineStr">
        <is>
          <t>NOVIEMBRE 2023</t>
        </is>
      </c>
      <c r="L1093" t="inlineStr">
        <is>
          <t>NOVIEMBRE 2024</t>
        </is>
      </c>
      <c r="M1093" t="inlineStr">
        <is>
          <t>P.Q.S TIPO ABC</t>
        </is>
      </c>
      <c r="N1093" t="inlineStr">
        <is>
          <t>05/297774</t>
        </is>
      </c>
      <c r="O1093" t="inlineStr">
        <is>
          <t>R</t>
        </is>
      </c>
      <c r="P1093">
        <f>TRIM(N1093)</f>
        <v/>
      </c>
    </row>
    <row r="1094">
      <c r="A1094" t="inlineStr">
        <is>
          <t>CO-001642</t>
        </is>
      </c>
      <c r="B1094" t="inlineStr">
        <is>
          <t>AIR WELD S.A.C.</t>
        </is>
      </c>
      <c r="C1094" t="inlineStr">
        <is>
          <t>20608367854</t>
        </is>
      </c>
      <c r="D1094" t="inlineStr">
        <is>
          <t>AV. LOS ROSALES N° 328 INT. A1  ASC. SHANGRILLA PUENTE PIEDRA LIMA</t>
        </is>
      </c>
      <c r="E1094" t="inlineStr">
        <is>
          <t>Lima,06 de Noviembre de 2023</t>
        </is>
      </c>
      <c r="F1094" t="inlineStr">
        <is>
          <t>la Recarga y mantenimiento</t>
        </is>
      </c>
      <c r="G1094" t="inlineStr">
        <is>
          <t>05</t>
        </is>
      </c>
      <c r="H1094" t="inlineStr">
        <is>
          <t>04 KG</t>
        </is>
      </c>
      <c r="I1094" t="inlineStr">
        <is>
          <t>VIGENTE</t>
        </is>
      </c>
      <c r="J1094" t="n">
        <v>2017</v>
      </c>
      <c r="K1094" t="inlineStr">
        <is>
          <t>NOVIEMBRE 2023</t>
        </is>
      </c>
      <c r="L1094" t="inlineStr">
        <is>
          <t>NOVIEMBRE 2024</t>
        </is>
      </c>
      <c r="M1094" t="inlineStr">
        <is>
          <t>P.Q.S TIPO ABC</t>
        </is>
      </c>
      <c r="N1094" t="inlineStr">
        <is>
          <t>06/000317</t>
        </is>
      </c>
      <c r="O1094" t="inlineStr">
        <is>
          <t>R</t>
        </is>
      </c>
      <c r="P1094">
        <f>TRIM(N1094)</f>
        <v/>
      </c>
    </row>
    <row r="1095">
      <c r="A1095" t="inlineStr">
        <is>
          <t>CO-001643</t>
        </is>
      </c>
      <c r="B1095" t="inlineStr">
        <is>
          <t>JOBITO MONTENEGRO RIVERA</t>
        </is>
      </c>
      <c r="C1095" t="inlineStr">
        <is>
          <t>06852429</t>
        </is>
      </c>
      <c r="D1095" t="inlineStr">
        <is>
          <t>PLACA: D7R-670</t>
        </is>
      </c>
      <c r="E1095" t="inlineStr">
        <is>
          <t>Lima, 08 de Noviembre de 2023</t>
        </is>
      </c>
      <c r="F1095" t="inlineStr">
        <is>
          <t>la Recarga y mantenimiento</t>
        </is>
      </c>
      <c r="G1095" t="inlineStr">
        <is>
          <t>01</t>
        </is>
      </c>
      <c r="H1095" t="inlineStr">
        <is>
          <t>02  KG</t>
        </is>
      </c>
      <c r="I1095" t="inlineStr">
        <is>
          <t>VIGENTE</t>
        </is>
      </c>
      <c r="J1095" t="n">
        <v>2009</v>
      </c>
      <c r="K1095" t="inlineStr">
        <is>
          <t>NOVIEMBRE 2023</t>
        </is>
      </c>
      <c r="L1095" t="inlineStr">
        <is>
          <t>NOVIEMBRE 2024</t>
        </is>
      </c>
      <c r="M1095" t="inlineStr">
        <is>
          <t>P.Q.S TIPO ABC</t>
        </is>
      </c>
      <c r="N1095" t="inlineStr">
        <is>
          <t>01/000025</t>
        </is>
      </c>
      <c r="O1095" t="inlineStr">
        <is>
          <t>R</t>
        </is>
      </c>
      <c r="P1095">
        <f>TRIM(N1095)</f>
        <v/>
      </c>
    </row>
    <row r="1096">
      <c r="A1096" t="inlineStr">
        <is>
          <t>CO-001644</t>
        </is>
      </c>
      <c r="B1096" t="inlineStr">
        <is>
          <t>QELLPU PERU S.A.</t>
        </is>
      </c>
      <c r="C1096" t="n">
        <v>20492318656</v>
      </c>
      <c r="D1096" t="inlineStr">
        <is>
          <t>AV. LOS INCAS CDRA. 4 PATIO NORTE - COMAS</t>
        </is>
      </c>
      <c r="E1096" t="inlineStr">
        <is>
          <t>Lima, 08 de Noviembre de 2023</t>
        </is>
      </c>
      <c r="F1096" t="inlineStr">
        <is>
          <t>la Recarga y mantenimiento</t>
        </is>
      </c>
      <c r="G1096" t="inlineStr">
        <is>
          <t>01</t>
        </is>
      </c>
      <c r="H1096" t="inlineStr">
        <is>
          <t>06 KG</t>
        </is>
      </c>
      <c r="I1096" t="inlineStr">
        <is>
          <t>2024</t>
        </is>
      </c>
      <c r="J1096" t="n">
        <v>2009</v>
      </c>
      <c r="K1096" t="inlineStr">
        <is>
          <t>NOVIEMBRE 2023</t>
        </is>
      </c>
      <c r="L1096" t="inlineStr">
        <is>
          <t>NOVIEMBRE 2024</t>
        </is>
      </c>
      <c r="M1096" t="inlineStr">
        <is>
          <t>P.Q.S TIPO ABC AL 90 % NACIONAL</t>
        </is>
      </c>
      <c r="N1096" t="inlineStr">
        <is>
          <t>28/001080</t>
        </is>
      </c>
      <c r="O1096" t="inlineStr">
        <is>
          <t>R</t>
        </is>
      </c>
      <c r="P1096">
        <f>TRIM(N1096)</f>
        <v/>
      </c>
    </row>
    <row r="1097">
      <c r="A1097" t="inlineStr">
        <is>
          <t>CO-001645</t>
        </is>
      </c>
      <c r="B1097" t="inlineStr">
        <is>
          <t>QELLPU PERU S.A.</t>
        </is>
      </c>
      <c r="C1097" t="n">
        <v>20492318656</v>
      </c>
      <c r="D1097" t="inlineStr">
        <is>
          <t>AV. LOS INCAS CDRA. 4 PATIO NORTE - COMAS</t>
        </is>
      </c>
      <c r="E1097" t="inlineStr">
        <is>
          <t>Lima, 08 de Noviembre  de 2023</t>
        </is>
      </c>
      <c r="F1097" t="inlineStr">
        <is>
          <t>la Recarga y mantenimiento</t>
        </is>
      </c>
      <c r="G1097" t="inlineStr">
        <is>
          <t>01</t>
        </is>
      </c>
      <c r="H1097" t="inlineStr">
        <is>
          <t>12 KG</t>
        </is>
      </c>
      <c r="I1097" t="inlineStr">
        <is>
          <t>2024</t>
        </is>
      </c>
      <c r="J1097" t="n">
        <v>2012</v>
      </c>
      <c r="K1097" t="inlineStr">
        <is>
          <t>NOVIEMBRE 2023</t>
        </is>
      </c>
      <c r="L1097" t="inlineStr">
        <is>
          <t>NOVIEMBRE 2024</t>
        </is>
      </c>
      <c r="M1097" t="inlineStr">
        <is>
          <t>P.Q.S TIPO ABC AL 90 % NACIONAL</t>
        </is>
      </c>
      <c r="N1097" t="inlineStr">
        <is>
          <t>31/000395</t>
        </is>
      </c>
      <c r="O1097" t="inlineStr">
        <is>
          <t>R</t>
        </is>
      </c>
      <c r="P1097">
        <f>TRIM(N1097)</f>
        <v/>
      </c>
    </row>
    <row r="1098">
      <c r="A1098" t="inlineStr">
        <is>
          <t>CO-001646</t>
        </is>
      </c>
      <c r="B1098" t="inlineStr">
        <is>
          <t>PERU MASIVO S.A.</t>
        </is>
      </c>
      <c r="C1098" t="inlineStr">
        <is>
          <t>20492392031</t>
        </is>
      </c>
      <c r="D1098" t="inlineStr">
        <is>
          <t>AV. LOS INCAS CDRA. 4 PATIO NORTE - COMAS</t>
        </is>
      </c>
      <c r="E1098" t="inlineStr">
        <is>
          <t>Lima, 08 de Noviembre  de 2023</t>
        </is>
      </c>
      <c r="F1098" t="inlineStr">
        <is>
          <t>la Presurizacion</t>
        </is>
      </c>
      <c r="G1098" t="inlineStr">
        <is>
          <t>01</t>
        </is>
      </c>
      <c r="H1098" t="inlineStr">
        <is>
          <t>06 KG</t>
        </is>
      </c>
      <c r="I1098" t="inlineStr">
        <is>
          <t>2028</t>
        </is>
      </c>
      <c r="J1098" t="n">
        <v>2010</v>
      </c>
      <c r="K1098" t="inlineStr">
        <is>
          <t>NOVIEMBRE 2023</t>
        </is>
      </c>
      <c r="L1098" t="inlineStr">
        <is>
          <t>NOVIEMBRE 2024</t>
        </is>
      </c>
      <c r="M1098" t="inlineStr">
        <is>
          <t>P.Q.S TIPO ABC AL 90 % NACIONAL</t>
        </is>
      </c>
      <c r="N1098" t="inlineStr">
        <is>
          <t>07/003056</t>
        </is>
      </c>
      <c r="O1098" t="inlineStr">
        <is>
          <t>R</t>
        </is>
      </c>
      <c r="P1098">
        <f>TRIM(N1098)</f>
        <v/>
      </c>
    </row>
    <row r="1099">
      <c r="A1099" t="inlineStr">
        <is>
          <t>CO-001647</t>
        </is>
      </c>
      <c r="B1099" t="inlineStr">
        <is>
          <t>LA ECONOMICA INV. GENERALES SAC.</t>
        </is>
      </c>
      <c r="C1099" t="n">
        <v>20605862153</v>
      </c>
      <c r="D1099" t="inlineStr">
        <is>
          <t>MZ.A LT.01  PRO. VIV. SAN JUDAS TADEO - CARABAYLLO</t>
        </is>
      </c>
      <c r="E1099" t="inlineStr">
        <is>
          <t>Lima, 10 de Noviembre  de 2023</t>
        </is>
      </c>
      <c r="F1099" t="inlineStr">
        <is>
          <t>la Recarga y mantenimiento</t>
        </is>
      </c>
      <c r="G1099" t="inlineStr">
        <is>
          <t>01</t>
        </is>
      </c>
      <c r="H1099" t="inlineStr">
        <is>
          <t>09 KG</t>
        </is>
      </c>
      <c r="I1099" t="inlineStr">
        <is>
          <t>2025</t>
        </is>
      </c>
      <c r="J1099" t="n">
        <v>2016</v>
      </c>
      <c r="K1099" t="inlineStr">
        <is>
          <t>NOVIEMBRE 2023</t>
        </is>
      </c>
      <c r="L1099" t="inlineStr">
        <is>
          <t>NOVIEMBRE 2024</t>
        </is>
      </c>
      <c r="M1099" t="inlineStr">
        <is>
          <t>P.Q.S TIPO ABC</t>
        </is>
      </c>
      <c r="N1099" t="inlineStr">
        <is>
          <t>01/004897</t>
        </is>
      </c>
      <c r="O1099" t="inlineStr">
        <is>
          <t>R</t>
        </is>
      </c>
      <c r="P1099">
        <f>TRIM(N1099)</f>
        <v/>
      </c>
    </row>
    <row r="1100">
      <c r="A1100" t="inlineStr">
        <is>
          <t>CO-001647</t>
        </is>
      </c>
      <c r="B1100" t="inlineStr">
        <is>
          <t>LA ECONOMICA INV. GENERALES SAC.</t>
        </is>
      </c>
      <c r="C1100" t="n">
        <v>20605862153</v>
      </c>
      <c r="D1100" t="inlineStr">
        <is>
          <t>MZ.A LT.01  PRO. VIV. SAN JUDAS TADEO - CARABAYLLO</t>
        </is>
      </c>
      <c r="E1100" t="inlineStr">
        <is>
          <t>Lima, 10 de Noviembre  de 2023</t>
        </is>
      </c>
      <c r="F1100" t="inlineStr">
        <is>
          <t>la Recarga y mantenimiento</t>
        </is>
      </c>
      <c r="G1100" t="inlineStr">
        <is>
          <t>02</t>
        </is>
      </c>
      <c r="H1100" t="inlineStr">
        <is>
          <t>09 KG</t>
        </is>
      </c>
      <c r="I1100" t="inlineStr">
        <is>
          <t>2025</t>
        </is>
      </c>
      <c r="J1100" t="n">
        <v>2020</v>
      </c>
      <c r="K1100" t="inlineStr">
        <is>
          <t>NOVIEMBRE 2023</t>
        </is>
      </c>
      <c r="L1100" t="inlineStr">
        <is>
          <t>NOVIEMBRE 2024</t>
        </is>
      </c>
      <c r="M1100" t="inlineStr">
        <is>
          <t>P.Q.S TIPO ABC</t>
        </is>
      </c>
      <c r="N1100" t="inlineStr">
        <is>
          <t>02/001894</t>
        </is>
      </c>
      <c r="O1100" t="inlineStr">
        <is>
          <t>R</t>
        </is>
      </c>
      <c r="P1100">
        <f>TRIM(N1100)</f>
        <v/>
      </c>
    </row>
    <row r="1101">
      <c r="A1101" t="inlineStr">
        <is>
          <t>CO-001647</t>
        </is>
      </c>
      <c r="B1101" t="inlineStr">
        <is>
          <t>LA ECONOMICA INV. GENERALES SAC.</t>
        </is>
      </c>
      <c r="C1101" t="n">
        <v>20605862153</v>
      </c>
      <c r="D1101" t="inlineStr">
        <is>
          <t>MZ.A LT.01  PRO. VIV. SAN JUDAS TADEO - CARABAYLLO</t>
        </is>
      </c>
      <c r="E1101" t="inlineStr">
        <is>
          <t>Lima, 10 de Noviembre  de 2023</t>
        </is>
      </c>
      <c r="F1101" t="inlineStr">
        <is>
          <t>la Recarga y mantenimiento</t>
        </is>
      </c>
      <c r="G1101" t="inlineStr">
        <is>
          <t>03</t>
        </is>
      </c>
      <c r="H1101" t="inlineStr">
        <is>
          <t>09 KG</t>
        </is>
      </c>
      <c r="I1101" t="inlineStr">
        <is>
          <t>2025</t>
        </is>
      </c>
      <c r="J1101" t="n">
        <v>2016</v>
      </c>
      <c r="K1101" t="inlineStr">
        <is>
          <t>NOVIEMBRE 2023</t>
        </is>
      </c>
      <c r="L1101" t="inlineStr">
        <is>
          <t>NOVIEMBRE 2024</t>
        </is>
      </c>
      <c r="M1101" t="inlineStr">
        <is>
          <t>P.Q.S TIPO ABC</t>
        </is>
      </c>
      <c r="N1101" t="inlineStr">
        <is>
          <t>03/000026</t>
        </is>
      </c>
      <c r="O1101" t="inlineStr">
        <is>
          <t>R</t>
        </is>
      </c>
      <c r="P1101">
        <f>TRIM(N1101)</f>
        <v/>
      </c>
    </row>
    <row r="1102">
      <c r="A1102" t="inlineStr">
        <is>
          <t>CO-001648</t>
        </is>
      </c>
      <c r="B1102" t="inlineStr">
        <is>
          <t>LA ECONOMICA INV. GENERALES SAC. "ALMACEN"</t>
        </is>
      </c>
      <c r="C1102" t="n">
        <v>20605862153</v>
      </c>
      <c r="D1102" t="inlineStr">
        <is>
          <t>MZ.A LT.09  PRO. VIV. EL OLIVAR - CARABAYLLO</t>
        </is>
      </c>
      <c r="E1102" t="inlineStr">
        <is>
          <t>Lima, 10 de Noviembre  de 2023</t>
        </is>
      </c>
      <c r="F1102" t="inlineStr">
        <is>
          <t>la Recarga y mantenimiento</t>
        </is>
      </c>
      <c r="G1102" t="inlineStr">
        <is>
          <t>01</t>
        </is>
      </c>
      <c r="H1102" t="inlineStr">
        <is>
          <t>09 KG</t>
        </is>
      </c>
      <c r="I1102" t="inlineStr">
        <is>
          <t>2024</t>
        </is>
      </c>
      <c r="J1102" t="n">
        <v>2014</v>
      </c>
      <c r="K1102" t="inlineStr">
        <is>
          <t>NOVIEMBRE 2023</t>
        </is>
      </c>
      <c r="L1102" t="inlineStr">
        <is>
          <t>NOVIEMBRE 2024</t>
        </is>
      </c>
      <c r="M1102" t="inlineStr">
        <is>
          <t>P.Q.S TIPO ABC</t>
        </is>
      </c>
      <c r="N1102" t="inlineStr">
        <is>
          <t>04/000518</t>
        </is>
      </c>
      <c r="O1102" t="inlineStr">
        <is>
          <t>R</t>
        </is>
      </c>
      <c r="P1102">
        <f>TRIM(N1102)</f>
        <v/>
      </c>
    </row>
    <row r="1103">
      <c r="A1103" t="inlineStr">
        <is>
          <t>CO-001648</t>
        </is>
      </c>
      <c r="B1103" t="inlineStr">
        <is>
          <t>LA ECONOMICA INV. GENERALES SAC. "ALMACEN"</t>
        </is>
      </c>
      <c r="C1103" t="n">
        <v>20605862153</v>
      </c>
      <c r="D1103" t="inlineStr">
        <is>
          <t>MZ.A LT.09  PRO. VIV. EL OLIVAR - CARABAYLLO</t>
        </is>
      </c>
      <c r="E1103" t="inlineStr">
        <is>
          <t>Lima, 10 de Noviembre  de 2023</t>
        </is>
      </c>
      <c r="F1103" t="inlineStr">
        <is>
          <t>la Recarga y mantenimiento</t>
        </is>
      </c>
      <c r="G1103" t="inlineStr">
        <is>
          <t>02</t>
        </is>
      </c>
      <c r="H1103" t="inlineStr">
        <is>
          <t>09 KG</t>
        </is>
      </c>
      <c r="I1103" t="inlineStr">
        <is>
          <t>2025</t>
        </is>
      </c>
      <c r="J1103" t="n">
        <v>2016</v>
      </c>
      <c r="K1103" t="inlineStr">
        <is>
          <t>NOVIEMBRE 2023</t>
        </is>
      </c>
      <c r="L1103" t="inlineStr">
        <is>
          <t>NOVIEMBRE 2024</t>
        </is>
      </c>
      <c r="M1103" t="inlineStr">
        <is>
          <t>P.Q.S TIPO ABC</t>
        </is>
      </c>
      <c r="N1103" t="inlineStr">
        <is>
          <t>05/004950</t>
        </is>
      </c>
      <c r="O1103" t="inlineStr">
        <is>
          <t>R</t>
        </is>
      </c>
      <c r="P1103">
        <f>TRIM(N1103)</f>
        <v/>
      </c>
    </row>
    <row r="1104">
      <c r="A1104" t="inlineStr">
        <is>
          <t>CO-001648</t>
        </is>
      </c>
      <c r="B1104" t="inlineStr">
        <is>
          <t>LA ECONOMICA INV. GENERALES SAC. "ALMACEN"</t>
        </is>
      </c>
      <c r="C1104" t="n">
        <v>20605862153</v>
      </c>
      <c r="D1104" t="inlineStr">
        <is>
          <t>MZ.A LT.09  PRO. VIV. EL OLIVAR - CARABAYLLO</t>
        </is>
      </c>
      <c r="E1104" t="inlineStr">
        <is>
          <t>Lima, 10 de Noviembre  de 2023</t>
        </is>
      </c>
      <c r="F1104" t="inlineStr">
        <is>
          <t>la Recarga y mantenimiento</t>
        </is>
      </c>
      <c r="G1104" t="inlineStr">
        <is>
          <t>03</t>
        </is>
      </c>
      <c r="H1104" t="inlineStr">
        <is>
          <t>09 KG</t>
        </is>
      </c>
      <c r="I1104" t="inlineStr">
        <is>
          <t>2025</t>
        </is>
      </c>
      <c r="J1104" t="n">
        <v>2016</v>
      </c>
      <c r="K1104" t="inlineStr">
        <is>
          <t>NOVIEMBRE 2023</t>
        </is>
      </c>
      <c r="L1104" t="inlineStr">
        <is>
          <t>NOVIEMBRE 2024</t>
        </is>
      </c>
      <c r="M1104" t="inlineStr">
        <is>
          <t>P.Q.S TIPO ABC</t>
        </is>
      </c>
      <c r="N1104" t="inlineStr">
        <is>
          <t>06/004902</t>
        </is>
      </c>
      <c r="O1104" t="inlineStr">
        <is>
          <t>R</t>
        </is>
      </c>
      <c r="P1104">
        <f>TRIM(N1104)</f>
        <v/>
      </c>
    </row>
    <row r="1105">
      <c r="A1105" t="inlineStr">
        <is>
          <t>CO-001649</t>
        </is>
      </c>
      <c r="B1105" t="inlineStr">
        <is>
          <t>LA ECONOMICA INV. GENERALES SAC.</t>
        </is>
      </c>
      <c r="C1105" t="n">
        <v>20605862153</v>
      </c>
      <c r="D1105" t="inlineStr">
        <is>
          <t>MZ.A LT.01  PRO. VIV. SAN JUDAS TADEO - CARABAYLLO</t>
        </is>
      </c>
      <c r="E1105" t="inlineStr">
        <is>
          <t>Lima, 10 de Noviembre  de 2023</t>
        </is>
      </c>
      <c r="F1105" t="inlineStr">
        <is>
          <t>la Recarga y mantenimiento</t>
        </is>
      </c>
      <c r="G1105" t="inlineStr">
        <is>
          <t>01</t>
        </is>
      </c>
      <c r="H1105" t="inlineStr">
        <is>
          <t>09 KG</t>
        </is>
      </c>
      <c r="I1105" t="inlineStr">
        <is>
          <t>2025</t>
        </is>
      </c>
      <c r="J1105" t="n">
        <v>2016</v>
      </c>
      <c r="K1105" t="inlineStr">
        <is>
          <t>NOVIEMBRE 2023</t>
        </is>
      </c>
      <c r="L1105" t="inlineStr">
        <is>
          <t>NOVIEMBRE 2024</t>
        </is>
      </c>
      <c r="M1105" t="inlineStr">
        <is>
          <t>P.Q.S TIPO ABC</t>
        </is>
      </c>
      <c r="N1105" t="inlineStr">
        <is>
          <t>07/002531</t>
        </is>
      </c>
      <c r="O1105" t="inlineStr">
        <is>
          <t>R</t>
        </is>
      </c>
      <c r="P1105">
        <f>TRIM(N1105)</f>
        <v/>
      </c>
    </row>
    <row r="1106">
      <c r="A1106" t="inlineStr">
        <is>
          <t>CO-001650</t>
        </is>
      </c>
      <c r="B1106" t="inlineStr">
        <is>
          <t>LA ECONOMICA INV. GENERALES SAC.</t>
        </is>
      </c>
      <c r="C1106" t="n">
        <v>20605862153</v>
      </c>
      <c r="D1106" t="inlineStr">
        <is>
          <t>MZ.A LT.01  PRO. VIV. SAN JUDAS TADEO - CARABAYLLO</t>
        </is>
      </c>
      <c r="E1106" t="inlineStr">
        <is>
          <t>Lima, 10 de Noviembre  de 2023</t>
        </is>
      </c>
      <c r="F1106" t="inlineStr">
        <is>
          <t>la Recarga y mantenimiento</t>
        </is>
      </c>
      <c r="G1106" t="inlineStr">
        <is>
          <t>01</t>
        </is>
      </c>
      <c r="H1106" t="inlineStr">
        <is>
          <t>06 KG</t>
        </is>
      </c>
      <c r="I1106" t="inlineStr">
        <is>
          <t>2025</t>
        </is>
      </c>
      <c r="J1106" t="n">
        <v>2020</v>
      </c>
      <c r="K1106" t="inlineStr">
        <is>
          <t>NOVIEMBRE 2023</t>
        </is>
      </c>
      <c r="L1106" t="inlineStr">
        <is>
          <t>NOVIEMBRE 2024</t>
        </is>
      </c>
      <c r="M1106" t="inlineStr">
        <is>
          <t>P.Q.S TIPO ABC</t>
        </is>
      </c>
      <c r="N1106" t="inlineStr">
        <is>
          <t>08/000551</t>
        </is>
      </c>
      <c r="O1106" t="inlineStr">
        <is>
          <t>R</t>
        </is>
      </c>
      <c r="P1106">
        <f>TRIM(N1106)</f>
        <v/>
      </c>
    </row>
    <row r="1107">
      <c r="A1107" t="inlineStr">
        <is>
          <t>CO-001651</t>
        </is>
      </c>
      <c r="B1107" t="inlineStr">
        <is>
          <t>PANADERIA ALEX De: Alejandro Soto</t>
        </is>
      </c>
      <c r="C1107" t="inlineStr">
        <is>
          <t>10437769848</t>
        </is>
      </c>
      <c r="D1107" t="inlineStr">
        <is>
          <t>AA.HH. AÑO NUEVO SECTOR 10 - LIBERTAD -COMAS</t>
        </is>
      </c>
      <c r="E1107" t="inlineStr">
        <is>
          <t>Lima, 10 de Noviembre  de 2023</t>
        </is>
      </c>
      <c r="F1107" t="inlineStr">
        <is>
          <t>la Recarga y mantenimiento</t>
        </is>
      </c>
      <c r="G1107" t="inlineStr">
        <is>
          <t>01</t>
        </is>
      </c>
      <c r="H1107" t="inlineStr">
        <is>
          <t>06 KG</t>
        </is>
      </c>
      <c r="I1107" t="inlineStr">
        <is>
          <t>2024</t>
        </is>
      </c>
      <c r="J1107" t="n">
        <v>2018</v>
      </c>
      <c r="K1107" t="inlineStr">
        <is>
          <t>NOVIEMBRE 2023</t>
        </is>
      </c>
      <c r="L1107" t="inlineStr">
        <is>
          <t>NOVIEMBRE 2024</t>
        </is>
      </c>
      <c r="M1107" t="inlineStr">
        <is>
          <t>P.Q.S TIPO ABC</t>
        </is>
      </c>
      <c r="N1107" t="inlineStr">
        <is>
          <t>01/007196</t>
        </is>
      </c>
      <c r="O1107" t="inlineStr">
        <is>
          <t>R</t>
        </is>
      </c>
      <c r="P1107">
        <f>TRIM(N1107)</f>
        <v/>
      </c>
    </row>
    <row r="1108">
      <c r="A1108" t="inlineStr">
        <is>
          <t>CO-001652</t>
        </is>
      </c>
      <c r="B1108" t="inlineStr">
        <is>
          <t>DOMINICO MARCELO ROSADO ANDAMAYO</t>
        </is>
      </c>
      <c r="C1108" t="inlineStr">
        <is>
          <t>10437769848</t>
        </is>
      </c>
      <c r="D1108" t="inlineStr">
        <is>
          <t>PLACA: C4D-231</t>
        </is>
      </c>
      <c r="E1108" t="inlineStr">
        <is>
          <t>Lima, 11 de Noviembre  de 2023</t>
        </is>
      </c>
      <c r="F1108" t="inlineStr">
        <is>
          <t>la Recarga y mantenimiento</t>
        </is>
      </c>
      <c r="G1108" t="inlineStr">
        <is>
          <t>01</t>
        </is>
      </c>
      <c r="H1108" t="inlineStr">
        <is>
          <t>02 KG</t>
        </is>
      </c>
      <c r="I1108" t="inlineStr">
        <is>
          <t>VIGENTE</t>
        </is>
      </c>
      <c r="J1108" t="n">
        <v>2014</v>
      </c>
      <c r="K1108" t="inlineStr">
        <is>
          <t>NOVIEMBRE 2023</t>
        </is>
      </c>
      <c r="L1108" t="inlineStr">
        <is>
          <t>NOVIEMBRE 2024</t>
        </is>
      </c>
      <c r="M1108" t="inlineStr">
        <is>
          <t>P.Q.S TIPO ABC</t>
        </is>
      </c>
      <c r="N1108" t="inlineStr">
        <is>
          <t>009905</t>
        </is>
      </c>
      <c r="O1108" t="inlineStr">
        <is>
          <t>R</t>
        </is>
      </c>
      <c r="P1108">
        <f>TRIM(N1108)</f>
        <v/>
      </c>
    </row>
    <row r="1109">
      <c r="A1109" t="inlineStr">
        <is>
          <t>CO-001653</t>
        </is>
      </c>
      <c r="B1109" t="inlineStr">
        <is>
          <t>LA ECONOMICA INV. GENERALES SAC.</t>
        </is>
      </c>
      <c r="C1109" t="n">
        <v>20605862153</v>
      </c>
      <c r="D1109" t="inlineStr">
        <is>
          <t>MZ.A LT.01  PRO. VIV. SAN JUDAS TADEO - CARABAYLLO</t>
        </is>
      </c>
      <c r="E1109" t="inlineStr">
        <is>
          <t>Lima, 10 de Noviembre  de 2023</t>
        </is>
      </c>
      <c r="F1109" t="inlineStr">
        <is>
          <t>la Recarga y mantenimiento</t>
        </is>
      </c>
      <c r="G1109" t="inlineStr">
        <is>
          <t>01</t>
        </is>
      </c>
      <c r="H1109" t="inlineStr">
        <is>
          <t>09  KG</t>
        </is>
      </c>
      <c r="I1109" t="inlineStr">
        <is>
          <t>2025</t>
        </is>
      </c>
      <c r="J1109" t="n">
        <v>2016</v>
      </c>
      <c r="K1109" t="inlineStr">
        <is>
          <t>NOVIEMBRE 2023</t>
        </is>
      </c>
      <c r="L1109" t="inlineStr">
        <is>
          <t>NOVIEMBRE 2024</t>
        </is>
      </c>
      <c r="M1109" t="inlineStr">
        <is>
          <t>P.Q.S TIPO ABC</t>
        </is>
      </c>
      <c r="N1109" t="inlineStr">
        <is>
          <t>09/000491</t>
        </is>
      </c>
      <c r="O1109" t="inlineStr">
        <is>
          <t>R</t>
        </is>
      </c>
      <c r="P1109">
        <f>TRIM(N1109)</f>
        <v/>
      </c>
    </row>
    <row r="1110">
      <c r="A1110" t="inlineStr">
        <is>
          <t>CO-001654</t>
        </is>
      </c>
      <c r="B1110" t="inlineStr">
        <is>
          <t>LA ECONOMICA INV. GENERALES SAC.</t>
        </is>
      </c>
      <c r="C1110" t="n">
        <v>20605862153</v>
      </c>
      <c r="D1110" t="inlineStr">
        <is>
          <t>MZ.A LT.01  PRO. VIV. SAN JUDAS TADEO - CARABAYLLO</t>
        </is>
      </c>
      <c r="E1110" t="inlineStr">
        <is>
          <t>Lima, 10 de Noviembre  de 2023</t>
        </is>
      </c>
      <c r="F1110" t="inlineStr">
        <is>
          <t>la Recarga y mantenimiento</t>
        </is>
      </c>
      <c r="G1110" t="inlineStr">
        <is>
          <t>01</t>
        </is>
      </c>
      <c r="H1110" t="inlineStr">
        <is>
          <t>09 KG</t>
        </is>
      </c>
      <c r="I1110" t="inlineStr">
        <is>
          <t>2026</t>
        </is>
      </c>
      <c r="J1110" t="n">
        <v>2021</v>
      </c>
      <c r="K1110" t="inlineStr">
        <is>
          <t>NOVIEMBRE 2023</t>
        </is>
      </c>
      <c r="L1110" t="inlineStr">
        <is>
          <t>NOVIEMBRE 2024</t>
        </is>
      </c>
      <c r="M1110" t="inlineStr">
        <is>
          <t>P.Q.S TIPO ABC</t>
        </is>
      </c>
      <c r="N1110" t="inlineStr">
        <is>
          <t>10/000183</t>
        </is>
      </c>
      <c r="O1110" t="inlineStr">
        <is>
          <t>R</t>
        </is>
      </c>
      <c r="P1110">
        <f>TRIM(N1110)</f>
        <v/>
      </c>
    </row>
    <row r="1111">
      <c r="A1111" t="inlineStr">
        <is>
          <t>CO-001655</t>
        </is>
      </c>
      <c r="B1111" t="inlineStr">
        <is>
          <t>ANA MARIA SALAS</t>
        </is>
      </c>
      <c r="D1111" t="inlineStr">
        <is>
          <t>MERCADO 1° DE MAYO - 4° ZONA COLLIQUE PUESTO N°13</t>
        </is>
      </c>
      <c r="E1111" t="inlineStr">
        <is>
          <t>Lima, 15 de Noviembre de 2023</t>
        </is>
      </c>
      <c r="F1111" t="inlineStr">
        <is>
          <t>la Recarga y mantenimiento</t>
        </is>
      </c>
      <c r="G1111" t="inlineStr">
        <is>
          <t>01</t>
        </is>
      </c>
      <c r="H1111" t="inlineStr">
        <is>
          <t>06 KG</t>
        </is>
      </c>
      <c r="I1111" t="inlineStr">
        <is>
          <t>VIGENTE</t>
        </is>
      </c>
      <c r="J1111" t="n">
        <v>2015</v>
      </c>
      <c r="K1111" t="inlineStr">
        <is>
          <t>NOVIEMBRE 2023</t>
        </is>
      </c>
      <c r="L1111" t="inlineStr">
        <is>
          <t>NOVIEMBRE 2024</t>
        </is>
      </c>
      <c r="M1111" t="inlineStr">
        <is>
          <t>P.Q.S TIPO ABC</t>
        </is>
      </c>
      <c r="N1111" t="inlineStr">
        <is>
          <t>01/ 000895</t>
        </is>
      </c>
      <c r="O1111" t="inlineStr">
        <is>
          <t>R</t>
        </is>
      </c>
      <c r="P1111">
        <f>TRIM(N1111)</f>
        <v/>
      </c>
    </row>
    <row r="1112">
      <c r="A1112" t="inlineStr">
        <is>
          <t>CO-001656</t>
        </is>
      </c>
      <c r="B1112" t="inlineStr">
        <is>
          <t>MACHACA ÑAHUINRIPA FELIX CRISTIAN</t>
        </is>
      </c>
      <c r="C1112" t="inlineStr">
        <is>
          <t>10412151122</t>
        </is>
      </c>
      <c r="D1112" t="inlineStr">
        <is>
          <t>JR. DE LA UNION NRO. 141 A.H. AÑO NUEVO COMAS LIMA LIMA</t>
        </is>
      </c>
      <c r="E1112" t="inlineStr">
        <is>
          <t>Lima, 15 de Noviembre de 2023</t>
        </is>
      </c>
      <c r="F1112" t="inlineStr">
        <is>
          <t>la Recarga y mantenimiento</t>
        </is>
      </c>
      <c r="G1112" t="inlineStr">
        <is>
          <t>01</t>
        </is>
      </c>
      <c r="H1112" t="inlineStr">
        <is>
          <t>06 KG</t>
        </is>
      </c>
      <c r="I1112" t="inlineStr">
        <is>
          <t>2026</t>
        </is>
      </c>
      <c r="J1112" t="n">
        <v>2021</v>
      </c>
      <c r="K1112" t="inlineStr">
        <is>
          <t>NOVIEMBRE 2023</t>
        </is>
      </c>
      <c r="L1112" t="inlineStr">
        <is>
          <t>NOVIEMBRE 2024</t>
        </is>
      </c>
      <c r="M1112" t="inlineStr">
        <is>
          <t>P.Q.S TIPO ABC</t>
        </is>
      </c>
      <c r="N1112" t="inlineStr">
        <is>
          <t>01/ 208297</t>
        </is>
      </c>
      <c r="O1112" t="inlineStr">
        <is>
          <t>R</t>
        </is>
      </c>
      <c r="P1112">
        <f>TRIM(N1112)</f>
        <v/>
      </c>
    </row>
    <row r="1113">
      <c r="A1113" t="inlineStr">
        <is>
          <t>CO-001657</t>
        </is>
      </c>
      <c r="B1113" t="inlineStr">
        <is>
          <t>WALTER LUIS ABANTO GONZALES</t>
        </is>
      </c>
      <c r="C1113" t="inlineStr">
        <is>
          <t xml:space="preserve">09483140 </t>
        </is>
      </c>
      <c r="D1113" t="inlineStr">
        <is>
          <t>PLACA: AMC 452</t>
        </is>
      </c>
      <c r="E1113" t="inlineStr">
        <is>
          <t>Lima, 15 de Noviembre de 2023</t>
        </is>
      </c>
      <c r="F1113" t="inlineStr">
        <is>
          <t>la Recarga y mantenimiento</t>
        </is>
      </c>
      <c r="G1113" t="inlineStr">
        <is>
          <t>-</t>
        </is>
      </c>
      <c r="H1113" t="inlineStr">
        <is>
          <t>02 KG</t>
        </is>
      </c>
      <c r="I1113" t="inlineStr">
        <is>
          <t>VIGENTE</t>
        </is>
      </c>
      <c r="J1113" t="inlineStr">
        <is>
          <t>-</t>
        </is>
      </c>
      <c r="K1113" t="inlineStr">
        <is>
          <t>NOVIEMBRE 2023</t>
        </is>
      </c>
      <c r="L1113" t="inlineStr">
        <is>
          <t>NOVIEMBRE 2024</t>
        </is>
      </c>
      <c r="M1113" t="inlineStr">
        <is>
          <t>P.Q.S TIPO ABC</t>
        </is>
      </c>
      <c r="N1113" t="inlineStr">
        <is>
          <t>S/N</t>
        </is>
      </c>
      <c r="O1113" t="inlineStr">
        <is>
          <t>R</t>
        </is>
      </c>
      <c r="P1113">
        <f>TRIM(N1113)</f>
        <v/>
      </c>
    </row>
    <row r="1114">
      <c r="A1114" t="inlineStr">
        <is>
          <t>CO-001658</t>
        </is>
      </c>
      <c r="B1114" t="inlineStr">
        <is>
          <t>TRANSPORTES STARK S.A.C.</t>
        </is>
      </c>
      <c r="C1114" t="n">
        <v>20606725664</v>
      </c>
      <c r="D1114" t="inlineStr">
        <is>
          <t>CAL.58 MZA. E3 LOTE. 09 A URB. EL PINAR PARCELA 01 (ALTURA DE LA AV EL RETABLO CON LOS INCAS) LIMA - LIMA - COMAS</t>
        </is>
      </c>
      <c r="E1114" t="inlineStr">
        <is>
          <t>Lima,  16 de Noviembre de 2023</t>
        </is>
      </c>
      <c r="F1114" t="inlineStr">
        <is>
          <t>la Recarga y mantenimiento</t>
        </is>
      </c>
      <c r="G1114" t="inlineStr">
        <is>
          <t>01</t>
        </is>
      </c>
      <c r="H1114" t="inlineStr">
        <is>
          <t>09 KG</t>
        </is>
      </c>
      <c r="I1114" t="inlineStr">
        <is>
          <t>2026</t>
        </is>
      </c>
      <c r="J1114" t="n">
        <v>2011</v>
      </c>
      <c r="K1114" t="inlineStr">
        <is>
          <t>NOVIEMBRE 2023</t>
        </is>
      </c>
      <c r="L1114" t="inlineStr">
        <is>
          <t>NOVIEMBRE 2024</t>
        </is>
      </c>
      <c r="M1114" t="inlineStr">
        <is>
          <t xml:space="preserve">P.Q.S.  TIPO ABC </t>
        </is>
      </c>
      <c r="N1114" t="inlineStr">
        <is>
          <t>01/000570</t>
        </is>
      </c>
      <c r="O1114" t="inlineStr">
        <is>
          <t>R</t>
        </is>
      </c>
      <c r="P1114">
        <f>TRIM(N1114)</f>
        <v/>
      </c>
    </row>
    <row r="1115">
      <c r="A1115" t="inlineStr">
        <is>
          <t>CO-001659</t>
        </is>
      </c>
      <c r="B1115" t="inlineStr">
        <is>
          <t>TRANSPORTES STARK S.A.C.</t>
        </is>
      </c>
      <c r="C1115" t="n">
        <v>20606725664</v>
      </c>
      <c r="D1115" t="inlineStr">
        <is>
          <t>CAL.58 MZA. E3 LOTE. 09 A URB. EL PINAR PARCELA 01 (ALTURA DE LA AV EL RETABLO CON LOS INCAS) LIMA - LIMA - COMAS</t>
        </is>
      </c>
      <c r="E1115" t="inlineStr">
        <is>
          <t>Lima,  16 de Noviembre de 2023</t>
        </is>
      </c>
      <c r="F1115" t="inlineStr">
        <is>
          <t>la Recarga y mantenimiento</t>
        </is>
      </c>
      <c r="G1115" t="inlineStr">
        <is>
          <t>01</t>
        </is>
      </c>
      <c r="H1115" t="inlineStr">
        <is>
          <t>09 KG</t>
        </is>
      </c>
      <c r="I1115" t="inlineStr">
        <is>
          <t>2025</t>
        </is>
      </c>
      <c r="J1115" t="n">
        <v>2020</v>
      </c>
      <c r="K1115" t="inlineStr">
        <is>
          <t>NOVIEMBRE 2023</t>
        </is>
      </c>
      <c r="L1115" t="inlineStr">
        <is>
          <t>NOVIEMBRE 2024</t>
        </is>
      </c>
      <c r="M1115" t="inlineStr">
        <is>
          <t xml:space="preserve">P.Q.S.  TIPO ABC </t>
        </is>
      </c>
      <c r="N1115" t="inlineStr">
        <is>
          <t>02/000232</t>
        </is>
      </c>
      <c r="O1115" t="inlineStr">
        <is>
          <t>R</t>
        </is>
      </c>
      <c r="P1115">
        <f>TRIM(N1115)</f>
        <v/>
      </c>
    </row>
    <row r="1116">
      <c r="A1116" t="inlineStr">
        <is>
          <t>CO-001660</t>
        </is>
      </c>
      <c r="B1116" t="inlineStr">
        <is>
          <t>CLAUDIO SOTOMAYOR DELGADILLO</t>
        </is>
      </c>
      <c r="D1116" t="inlineStr">
        <is>
          <t xml:space="preserve">AV. LOS INCAS N° 301 - COOP. PABLO VI - COMAS </t>
        </is>
      </c>
      <c r="E1116" t="inlineStr">
        <is>
          <t>Lima,  16 de Noviembre de 2023</t>
        </is>
      </c>
      <c r="F1116" t="inlineStr">
        <is>
          <t>la Recarga y mantenimiento</t>
        </is>
      </c>
      <c r="G1116" t="inlineStr">
        <is>
          <t>01</t>
        </is>
      </c>
      <c r="H1116" t="inlineStr">
        <is>
          <t>06 KG</t>
        </is>
      </c>
      <c r="I1116" t="inlineStr">
        <is>
          <t>2024</t>
        </is>
      </c>
      <c r="J1116" t="n">
        <v>2019</v>
      </c>
      <c r="K1116" t="inlineStr">
        <is>
          <t>NOVIEMBRE 2023</t>
        </is>
      </c>
      <c r="L1116" t="inlineStr">
        <is>
          <t>NOVIEMBRE 2024</t>
        </is>
      </c>
      <c r="M1116" t="inlineStr">
        <is>
          <t xml:space="preserve">P.Q.S.  TIPO ABC </t>
        </is>
      </c>
      <c r="N1116" t="inlineStr">
        <is>
          <t>01/ 053101</t>
        </is>
      </c>
      <c r="O1116" t="inlineStr">
        <is>
          <t>R</t>
        </is>
      </c>
      <c r="P1116">
        <f>TRIM(N1116)</f>
        <v/>
      </c>
    </row>
    <row r="1117">
      <c r="A1117" t="inlineStr">
        <is>
          <t>CO-001661</t>
        </is>
      </c>
      <c r="B1117" t="inlineStr">
        <is>
          <t>OSCAR HUAMAN CESPEDES</t>
        </is>
      </c>
      <c r="D1117" t="inlineStr">
        <is>
          <t>PLACA : BAY-047</t>
        </is>
      </c>
      <c r="E1117" t="inlineStr">
        <is>
          <t>Lima,  16 de Noviembre de 2023</t>
        </is>
      </c>
      <c r="F1117" t="inlineStr">
        <is>
          <t>la Recarga y mantenimiento</t>
        </is>
      </c>
      <c r="G1117" t="inlineStr">
        <is>
          <t>01</t>
        </is>
      </c>
      <c r="H1117" t="inlineStr">
        <is>
          <t>02 KG</t>
        </is>
      </c>
      <c r="I1117" t="inlineStr">
        <is>
          <t>2027</t>
        </is>
      </c>
      <c r="J1117" t="n">
        <v>2022</v>
      </c>
      <c r="K1117" t="inlineStr">
        <is>
          <t>NOVIEMBRE 2023</t>
        </is>
      </c>
      <c r="L1117" t="inlineStr">
        <is>
          <t>NOVIEMBRE 2024</t>
        </is>
      </c>
      <c r="M1117" t="inlineStr">
        <is>
          <t xml:space="preserve">P.Q.S.  TIPO ABC </t>
        </is>
      </c>
      <c r="N1117" t="inlineStr">
        <is>
          <t>000132</t>
        </is>
      </c>
      <c r="O1117" t="inlineStr">
        <is>
          <t>R</t>
        </is>
      </c>
      <c r="P1117">
        <f>TRIM(N1117)</f>
        <v/>
      </c>
    </row>
    <row r="1118">
      <c r="A1118" t="inlineStr">
        <is>
          <t>CO-001662</t>
        </is>
      </c>
      <c r="B1118" t="inlineStr">
        <is>
          <t>SERCAM S.R.L.</t>
        </is>
      </c>
      <c r="C1118" t="inlineStr">
        <is>
          <t>20527409242</t>
        </is>
      </c>
      <c r="D1118" t="inlineStr">
        <is>
          <t>PLACA : AXN-710</t>
        </is>
      </c>
      <c r="E1118" t="inlineStr">
        <is>
          <t>Lima,  17 de Noviembre de 2023</t>
        </is>
      </c>
      <c r="F1118" t="inlineStr">
        <is>
          <t>la Recarga y mantenimiento</t>
        </is>
      </c>
      <c r="G1118" t="inlineStr">
        <is>
          <t>01</t>
        </is>
      </c>
      <c r="H1118" t="inlineStr">
        <is>
          <t>12 KG</t>
        </is>
      </c>
      <c r="I1118" t="inlineStr">
        <is>
          <t>VIGENTE</t>
        </is>
      </c>
      <c r="J1118" t="inlineStr">
        <is>
          <t>S/N</t>
        </is>
      </c>
      <c r="K1118" t="inlineStr">
        <is>
          <t>NOVIEMBRE 2023</t>
        </is>
      </c>
      <c r="L1118" t="inlineStr">
        <is>
          <t>NOVIEMBRE 2024</t>
        </is>
      </c>
      <c r="M1118" t="inlineStr">
        <is>
          <t xml:space="preserve">P.Q.S.  TIPO ABC </t>
        </is>
      </c>
      <c r="N1118" t="inlineStr">
        <is>
          <t>000025</t>
        </is>
      </c>
      <c r="O1118" t="inlineStr">
        <is>
          <t>R</t>
        </is>
      </c>
      <c r="P1118">
        <f>TRIM(N1118)</f>
        <v/>
      </c>
    </row>
    <row r="1119">
      <c r="A1119" t="inlineStr">
        <is>
          <t>CO-001663</t>
        </is>
      </c>
      <c r="B1119" t="inlineStr">
        <is>
          <t>LICORERIA BETO</t>
        </is>
      </c>
      <c r="D1119" t="inlineStr">
        <is>
          <t>JR. TEODORO GARRIDO N°1424</t>
        </is>
      </c>
      <c r="E1119" t="inlineStr">
        <is>
          <t>Lima,  17 de Noviembre de 2023</t>
        </is>
      </c>
      <c r="F1119" t="inlineStr">
        <is>
          <t>la Recarga y mantenimiento</t>
        </is>
      </c>
      <c r="G1119" t="inlineStr">
        <is>
          <t>01</t>
        </is>
      </c>
      <c r="H1119" t="inlineStr">
        <is>
          <t>06 KG</t>
        </is>
      </c>
      <c r="I1119" t="inlineStr">
        <is>
          <t>VIGENTE</t>
        </is>
      </c>
      <c r="J1119" t="n">
        <v>2016</v>
      </c>
      <c r="K1119" t="inlineStr">
        <is>
          <t>NOVIEMBRE 2023</t>
        </is>
      </c>
      <c r="L1119" t="inlineStr">
        <is>
          <t>NOVIEMBRE 2024</t>
        </is>
      </c>
      <c r="M1119" t="inlineStr">
        <is>
          <t xml:space="preserve">P.Q.S.  TIPO ABC </t>
        </is>
      </c>
      <c r="N1119" t="inlineStr">
        <is>
          <t>001455</t>
        </is>
      </c>
      <c r="O1119" t="inlineStr">
        <is>
          <t>R</t>
        </is>
      </c>
      <c r="P1119">
        <f>TRIM(N1119)</f>
        <v/>
      </c>
    </row>
    <row r="1120">
      <c r="A1120" t="inlineStr">
        <is>
          <t>CO-001664</t>
        </is>
      </c>
      <c r="B1120" t="inlineStr">
        <is>
          <t>MANUEL ALBINES</t>
        </is>
      </c>
      <c r="D1120" t="inlineStr">
        <is>
          <t>AV TUPAC AMARU N° 6845 - COMAS</t>
        </is>
      </c>
      <c r="E1120" t="inlineStr">
        <is>
          <t>Lima,  17 de Noviembre de 2023</t>
        </is>
      </c>
      <c r="F1120" t="inlineStr">
        <is>
          <t>la Recarga y mantenimiento</t>
        </is>
      </c>
      <c r="G1120" t="inlineStr">
        <is>
          <t>01</t>
        </is>
      </c>
      <c r="H1120" t="inlineStr">
        <is>
          <t>06 KG</t>
        </is>
      </c>
      <c r="I1120" t="inlineStr">
        <is>
          <t>2027</t>
        </is>
      </c>
      <c r="J1120" t="n">
        <v>2012</v>
      </c>
      <c r="K1120" t="inlineStr">
        <is>
          <t>NOVIEMBRE 2023</t>
        </is>
      </c>
      <c r="L1120" t="inlineStr">
        <is>
          <t>NOVIEMBRE 2024</t>
        </is>
      </c>
      <c r="M1120" t="inlineStr">
        <is>
          <t xml:space="preserve">P.Q.S.  TIPO ABC </t>
        </is>
      </c>
      <c r="N1120" t="inlineStr">
        <is>
          <t>000731</t>
        </is>
      </c>
      <c r="O1120" t="inlineStr">
        <is>
          <t>R</t>
        </is>
      </c>
      <c r="P1120">
        <f>TRIM(N1120)</f>
        <v/>
      </c>
    </row>
    <row r="1121">
      <c r="A1121" t="inlineStr">
        <is>
          <t>CO-001665</t>
        </is>
      </c>
      <c r="B1121" t="inlineStr">
        <is>
          <t>FUNCTIONAL MEDICAL CARE SAC.</t>
        </is>
      </c>
      <c r="C1121" t="inlineStr">
        <is>
          <t>20610160744</t>
        </is>
      </c>
      <c r="D1121" t="inlineStr">
        <is>
          <t>AV. LOS INCAS N° 1049 MZ X1 LT. 16 URB. EL PINAR</t>
        </is>
      </c>
      <c r="E1121" t="inlineStr">
        <is>
          <t>Lima,  20 de Noviembre de 2023</t>
        </is>
      </c>
      <c r="F1121" t="inlineStr">
        <is>
          <t>la venta</t>
        </is>
      </c>
      <c r="G1121" t="inlineStr">
        <is>
          <t>01</t>
        </is>
      </c>
      <c r="H1121" t="inlineStr">
        <is>
          <t>06 KG</t>
        </is>
      </c>
      <c r="I1121" t="inlineStr">
        <is>
          <t>2028</t>
        </is>
      </c>
      <c r="J1121" t="n">
        <v>2023</v>
      </c>
      <c r="K1121" t="inlineStr">
        <is>
          <t>NOVIEMBRE 2023</t>
        </is>
      </c>
      <c r="L1121" t="inlineStr">
        <is>
          <t>NOVIEMBRE 2024</t>
        </is>
      </c>
      <c r="M1121" t="inlineStr">
        <is>
          <t xml:space="preserve">P.Q.S.  TIPO ABC </t>
        </is>
      </c>
      <c r="N1121" t="inlineStr">
        <is>
          <t>000950</t>
        </is>
      </c>
      <c r="O1121" t="inlineStr">
        <is>
          <t>V</t>
        </is>
      </c>
      <c r="P1121">
        <f>TRIM(N1121)</f>
        <v/>
      </c>
    </row>
    <row r="1122">
      <c r="A1122" t="inlineStr">
        <is>
          <t>CO-001666</t>
        </is>
      </c>
      <c r="B1122" t="inlineStr">
        <is>
          <t>FUNCTIONAL MEDICAL CARE SAC.</t>
        </is>
      </c>
      <c r="C1122" t="inlineStr">
        <is>
          <t>20610160744</t>
        </is>
      </c>
      <c r="D1122" t="inlineStr">
        <is>
          <t>AV. LOS INCAS N° 1049 MZ X1 LT. 16 URB. EL PINAR</t>
        </is>
      </c>
      <c r="E1122" t="inlineStr">
        <is>
          <t>Lima,  20 de Noviembre de 2023</t>
        </is>
      </c>
      <c r="F1122" t="inlineStr">
        <is>
          <t>la recarga y mantenimiento</t>
        </is>
      </c>
      <c r="G1122" t="inlineStr">
        <is>
          <t>01</t>
        </is>
      </c>
      <c r="H1122" t="inlineStr">
        <is>
          <t>06 KG</t>
        </is>
      </c>
      <c r="I1122" t="inlineStr">
        <is>
          <t>2027</t>
        </is>
      </c>
      <c r="J1122" t="n">
        <v>2022</v>
      </c>
      <c r="K1122" t="inlineStr">
        <is>
          <t>NOVIEMBRE 2023</t>
        </is>
      </c>
      <c r="L1122" t="inlineStr">
        <is>
          <t>NOVIEMBRE 2024</t>
        </is>
      </c>
      <c r="M1122" t="inlineStr">
        <is>
          <t xml:space="preserve">P.Q.S.  TIPO ABC </t>
        </is>
      </c>
      <c r="N1122" t="inlineStr">
        <is>
          <t>02/032127</t>
        </is>
      </c>
      <c r="O1122" t="inlineStr">
        <is>
          <t>R</t>
        </is>
      </c>
      <c r="P1122">
        <f>TRIM(N1122)</f>
        <v/>
      </c>
    </row>
    <row r="1123">
      <c r="A1123" t="inlineStr">
        <is>
          <t>CO-001667</t>
        </is>
      </c>
      <c r="B1123" t="inlineStr">
        <is>
          <t>POLLERIA LOS OTAROLA</t>
        </is>
      </c>
      <c r="D1123" t="inlineStr">
        <is>
          <t>AV. MIGUEL GRAU 332 - AÑO NUEVO - COMAS</t>
        </is>
      </c>
      <c r="E1123" t="inlineStr">
        <is>
          <t>Lima,20 de Noviembre de 2023</t>
        </is>
      </c>
      <c r="F1123" t="inlineStr">
        <is>
          <t>la venta</t>
        </is>
      </c>
      <c r="G1123" t="inlineStr">
        <is>
          <t>01</t>
        </is>
      </c>
      <c r="H1123" t="inlineStr">
        <is>
          <t>2.5 GLS</t>
        </is>
      </c>
      <c r="I1123" t="inlineStr">
        <is>
          <t>2028</t>
        </is>
      </c>
      <c r="J1123" t="n">
        <v>2023</v>
      </c>
      <c r="K1123" t="inlineStr">
        <is>
          <t>NOVIEMBRE 2023</t>
        </is>
      </c>
      <c r="L1123" t="inlineStr">
        <is>
          <t>NOVIEMBRE 2024</t>
        </is>
      </c>
      <c r="M1123" t="inlineStr">
        <is>
          <t xml:space="preserve">ACETATO TIPO K </t>
        </is>
      </c>
      <c r="N1123" t="inlineStr">
        <is>
          <t>01/000193</t>
        </is>
      </c>
      <c r="O1123" t="inlineStr">
        <is>
          <t>V</t>
        </is>
      </c>
      <c r="P1123">
        <f>TRIM(N1123)</f>
        <v/>
      </c>
    </row>
    <row r="1124">
      <c r="A1124" t="inlineStr">
        <is>
          <t>CO-001668</t>
        </is>
      </c>
      <c r="B1124" t="inlineStr">
        <is>
          <t>BRAYAN  CUSI</t>
        </is>
      </c>
      <c r="C1124" t="inlineStr">
        <is>
          <t xml:space="preserve"> </t>
        </is>
      </c>
      <c r="D1124" t="inlineStr">
        <is>
          <t>PLACA: BHE-014</t>
        </is>
      </c>
      <c r="E1124" t="inlineStr">
        <is>
          <t>Lima,21 de Noviembre de 2023</t>
        </is>
      </c>
      <c r="F1124" t="inlineStr">
        <is>
          <t>la venta</t>
        </is>
      </c>
      <c r="G1124" t="inlineStr">
        <is>
          <t>01</t>
        </is>
      </c>
      <c r="H1124" t="inlineStr">
        <is>
          <t>02 KG</t>
        </is>
      </c>
      <c r="I1124" t="inlineStr">
        <is>
          <t>2024</t>
        </is>
      </c>
      <c r="J1124" t="n">
        <v>2019</v>
      </c>
      <c r="K1124" t="inlineStr">
        <is>
          <t>NOVIEMBRE 2023</t>
        </is>
      </c>
      <c r="L1124" t="inlineStr">
        <is>
          <t>NOVIEMBRE 2024</t>
        </is>
      </c>
      <c r="M1124" t="inlineStr">
        <is>
          <t>PQS TIPO ABC</t>
        </is>
      </c>
      <c r="N1124" t="inlineStr">
        <is>
          <t>001901</t>
        </is>
      </c>
      <c r="O1124" t="inlineStr">
        <is>
          <t>R</t>
        </is>
      </c>
      <c r="P1124">
        <f>TRIM(N1124)</f>
        <v/>
      </c>
    </row>
    <row r="1125">
      <c r="A1125" t="inlineStr">
        <is>
          <t>CO-001669</t>
        </is>
      </c>
      <c r="B1125" t="inlineStr">
        <is>
          <t>EZAUTD DELGADO MENDOZA</t>
        </is>
      </c>
      <c r="C1125" t="inlineStr">
        <is>
          <t>09544252</t>
        </is>
      </c>
      <c r="D1125" t="inlineStr">
        <is>
          <t xml:space="preserve">JR. ALAMEDA UNION N° 572 COOP. PROGRESO - COMAS </t>
        </is>
      </c>
      <c r="E1125" t="inlineStr">
        <is>
          <t>Lima, 22 de Noviembre de 2023</t>
        </is>
      </c>
      <c r="F1125" t="inlineStr">
        <is>
          <t>la Recarga y mantenimiento</t>
        </is>
      </c>
      <c r="G1125" t="inlineStr">
        <is>
          <t>01</t>
        </is>
      </c>
      <c r="H1125" t="inlineStr">
        <is>
          <t>06 KG</t>
        </is>
      </c>
      <c r="I1125" t="inlineStr">
        <is>
          <t>2024</t>
        </is>
      </c>
      <c r="J1125" t="n">
        <v>2019</v>
      </c>
      <c r="K1125" t="inlineStr">
        <is>
          <t>NOVIEMBRE 2023</t>
        </is>
      </c>
      <c r="L1125" t="inlineStr">
        <is>
          <t>NOVIEMBRE 2024</t>
        </is>
      </c>
      <c r="M1125" t="inlineStr">
        <is>
          <t>PQS TIPO ABC</t>
        </is>
      </c>
      <c r="N1125" t="inlineStr">
        <is>
          <t>021522</t>
        </is>
      </c>
      <c r="O1125" t="inlineStr">
        <is>
          <t>R</t>
        </is>
      </c>
      <c r="P1125">
        <f>TRIM(N1125)</f>
        <v/>
      </c>
    </row>
    <row r="1126">
      <c r="A1126" t="inlineStr">
        <is>
          <t>CO-001670</t>
        </is>
      </c>
      <c r="B1126" t="inlineStr">
        <is>
          <t>MARIA LUISA REYES</t>
        </is>
      </c>
      <c r="D1126" t="inlineStr">
        <is>
          <t>PLACA: Z6Y-189</t>
        </is>
      </c>
      <c r="E1126" t="inlineStr">
        <is>
          <t>Lima, 22 de Noviembre de 2023</t>
        </is>
      </c>
      <c r="F1126" t="inlineStr">
        <is>
          <t>la Recarga y mantenimiento</t>
        </is>
      </c>
      <c r="G1126" t="inlineStr">
        <is>
          <t>01</t>
        </is>
      </c>
      <c r="H1126" t="inlineStr">
        <is>
          <t>02 KG</t>
        </is>
      </c>
      <c r="I1126" t="inlineStr">
        <is>
          <t>2026</t>
        </is>
      </c>
      <c r="J1126" t="n">
        <v>2021</v>
      </c>
      <c r="K1126" t="inlineStr">
        <is>
          <t>NOVIEMBRE 2023</t>
        </is>
      </c>
      <c r="L1126" t="inlineStr">
        <is>
          <t>NOVIEMBRE 2024</t>
        </is>
      </c>
      <c r="M1126" t="inlineStr">
        <is>
          <t>PQS TIPO ABC</t>
        </is>
      </c>
      <c r="N1126" t="inlineStr">
        <is>
          <t>009368</t>
        </is>
      </c>
      <c r="O1126" t="inlineStr">
        <is>
          <t>R</t>
        </is>
      </c>
      <c r="P1126">
        <f>TRIM(N1126)</f>
        <v/>
      </c>
    </row>
    <row r="1127">
      <c r="A1127" t="inlineStr">
        <is>
          <t>CO-001671</t>
        </is>
      </c>
      <c r="B1127" t="inlineStr">
        <is>
          <t>PERU MASIVO S.A.</t>
        </is>
      </c>
      <c r="C1127" t="inlineStr">
        <is>
          <t>20492392031</t>
        </is>
      </c>
      <c r="D1127" t="inlineStr">
        <is>
          <t>AV. LOS INCAS CDRA. 4 PATIO NORTE - COMAS</t>
        </is>
      </c>
      <c r="E1127" t="inlineStr">
        <is>
          <t>Lima, 23 de Noviembre de 2023</t>
        </is>
      </c>
      <c r="F1127" t="inlineStr">
        <is>
          <t>la Recarga y mantenimiento</t>
        </is>
      </c>
      <c r="G1127" t="inlineStr">
        <is>
          <t>01</t>
        </is>
      </c>
      <c r="H1127" t="inlineStr">
        <is>
          <t>06 KG</t>
        </is>
      </c>
      <c r="I1127" t="inlineStr">
        <is>
          <t>2028</t>
        </is>
      </c>
      <c r="J1127" t="n">
        <v>2010</v>
      </c>
      <c r="K1127" t="inlineStr">
        <is>
          <t>NOVIEMBRE 2023</t>
        </is>
      </c>
      <c r="L1127" t="inlineStr">
        <is>
          <t>NOVIEMBRE 2024</t>
        </is>
      </c>
      <c r="M1127" t="inlineStr">
        <is>
          <t>P.Q.S TIPO ABC AL 90 % NACIONAL</t>
        </is>
      </c>
      <c r="N1127" t="inlineStr">
        <is>
          <t>S/N /000005</t>
        </is>
      </c>
      <c r="O1127" t="inlineStr">
        <is>
          <t>R</t>
        </is>
      </c>
      <c r="P1127">
        <f>TRIM(N1127)</f>
        <v/>
      </c>
    </row>
    <row r="1128">
      <c r="A1128" t="inlineStr">
        <is>
          <t>CO-001671</t>
        </is>
      </c>
      <c r="B1128" t="inlineStr">
        <is>
          <t>PERU MASIVO S.A.</t>
        </is>
      </c>
      <c r="C1128" t="inlineStr">
        <is>
          <t>20492392031</t>
        </is>
      </c>
      <c r="D1128" t="inlineStr">
        <is>
          <t>AV. LOS INCAS CDRA. 4 PATIO NORTE - COMAS</t>
        </is>
      </c>
      <c r="E1128" t="inlineStr">
        <is>
          <t>Lima, 23 de Noviembre de 2023</t>
        </is>
      </c>
      <c r="F1128" t="inlineStr">
        <is>
          <t>la Recarga y mantenimiento</t>
        </is>
      </c>
      <c r="G1128" t="inlineStr">
        <is>
          <t>02</t>
        </is>
      </c>
      <c r="H1128" t="inlineStr">
        <is>
          <t>06 KG</t>
        </is>
      </c>
      <c r="I1128" t="inlineStr">
        <is>
          <t>2028</t>
        </is>
      </c>
      <c r="J1128" t="n">
        <v>2009</v>
      </c>
      <c r="K1128" t="inlineStr">
        <is>
          <t>NOVIEMBRE 2023</t>
        </is>
      </c>
      <c r="L1128" t="inlineStr">
        <is>
          <t>NOVIEMBRE 2024</t>
        </is>
      </c>
      <c r="M1128" t="inlineStr">
        <is>
          <t xml:space="preserve">P.Q.S TIPO ABC AL 90% NACIONAL </t>
        </is>
      </c>
      <c r="N1128" t="inlineStr">
        <is>
          <t>173/000490</t>
        </is>
      </c>
      <c r="O1128" t="inlineStr">
        <is>
          <t>R</t>
        </is>
      </c>
      <c r="P1128">
        <f>TRIM(N1128)</f>
        <v/>
      </c>
    </row>
    <row r="1129">
      <c r="A1129" t="inlineStr">
        <is>
          <t>CO-001671</t>
        </is>
      </c>
      <c r="B1129" t="inlineStr">
        <is>
          <t>PERU MASIVO S.A.</t>
        </is>
      </c>
      <c r="C1129" t="inlineStr">
        <is>
          <t>20492392031</t>
        </is>
      </c>
      <c r="D1129" t="inlineStr">
        <is>
          <t>AV. LOS INCAS CDRA. 4 PATIO NORTE - COMAS</t>
        </is>
      </c>
      <c r="E1129" t="inlineStr">
        <is>
          <t>Lima, 23 de Noviembre de 2023</t>
        </is>
      </c>
      <c r="F1129" t="inlineStr">
        <is>
          <t>la Recarga y mantenimiento</t>
        </is>
      </c>
      <c r="G1129" t="inlineStr">
        <is>
          <t>03</t>
        </is>
      </c>
      <c r="H1129" t="inlineStr">
        <is>
          <t>06 KG</t>
        </is>
      </c>
      <c r="I1129" t="n">
        <v>2028</v>
      </c>
      <c r="J1129" t="n">
        <v>2017</v>
      </c>
      <c r="K1129" t="inlineStr">
        <is>
          <t>NOVIEMBRE 2023</t>
        </is>
      </c>
      <c r="L1129" t="inlineStr">
        <is>
          <t>NOVIEMBRE 2024</t>
        </is>
      </c>
      <c r="M1129" t="inlineStr">
        <is>
          <t xml:space="preserve">P.Q.S TIPO ABC AL 90% NACIONAL </t>
        </is>
      </c>
      <c r="N1129" t="inlineStr">
        <is>
          <t>S/N /003666</t>
        </is>
      </c>
      <c r="O1129" t="inlineStr">
        <is>
          <t>R</t>
        </is>
      </c>
      <c r="P1129">
        <f>TRIM(N1129)</f>
        <v/>
      </c>
    </row>
    <row r="1130">
      <c r="A1130" t="inlineStr">
        <is>
          <t>CO-001671</t>
        </is>
      </c>
      <c r="B1130" t="inlineStr">
        <is>
          <t>PERU MASIVO S.A.</t>
        </is>
      </c>
      <c r="C1130" t="inlineStr">
        <is>
          <t>20492392031</t>
        </is>
      </c>
      <c r="D1130" t="inlineStr">
        <is>
          <t>AV. LOS INCAS CDRA. 4 PATIO NORTE - COMAS</t>
        </is>
      </c>
      <c r="E1130" t="inlineStr">
        <is>
          <t>Lima, 23 de Noviembre de 2023</t>
        </is>
      </c>
      <c r="F1130" t="inlineStr">
        <is>
          <t>la Recarga y mantenimiento</t>
        </is>
      </c>
      <c r="G1130" t="inlineStr">
        <is>
          <t>04</t>
        </is>
      </c>
      <c r="H1130" t="inlineStr">
        <is>
          <t>06 KG</t>
        </is>
      </c>
      <c r="I1130" t="n">
        <v>2028</v>
      </c>
      <c r="J1130" t="n">
        <v>2009</v>
      </c>
      <c r="K1130" t="inlineStr">
        <is>
          <t>NOVIEMBRE 2023</t>
        </is>
      </c>
      <c r="L1130" t="inlineStr">
        <is>
          <t>NOVIEMBRE 2024</t>
        </is>
      </c>
      <c r="M1130" t="inlineStr">
        <is>
          <t>P.Q.S TIPO ABC AL 90% NACIONAL</t>
        </is>
      </c>
      <c r="N1130" t="inlineStr">
        <is>
          <t>361/001112</t>
        </is>
      </c>
      <c r="O1130" t="inlineStr">
        <is>
          <t>R</t>
        </is>
      </c>
      <c r="P1130">
        <f>TRIM(N1130)</f>
        <v/>
      </c>
    </row>
    <row r="1131">
      <c r="A1131" t="inlineStr">
        <is>
          <t>CO-001671</t>
        </is>
      </c>
      <c r="B1131" t="inlineStr">
        <is>
          <t>PERU MASIVO S.A.</t>
        </is>
      </c>
      <c r="C1131" t="inlineStr">
        <is>
          <t>20492392031</t>
        </is>
      </c>
      <c r="D1131" t="inlineStr">
        <is>
          <t>AV. LOS INCAS CDRA. 4 PATIO NORTE - COMAS</t>
        </is>
      </c>
      <c r="E1131" t="inlineStr">
        <is>
          <t>Lima, 23 de Noviembre de 2023</t>
        </is>
      </c>
      <c r="F1131" t="inlineStr">
        <is>
          <t>la Recarga y mantenimiento</t>
        </is>
      </c>
      <c r="G1131" t="inlineStr">
        <is>
          <t>05</t>
        </is>
      </c>
      <c r="H1131" t="inlineStr">
        <is>
          <t>06 KG</t>
        </is>
      </c>
      <c r="I1131" t="n">
        <v>2028</v>
      </c>
      <c r="J1131" t="n">
        <v>2010</v>
      </c>
      <c r="K1131" t="inlineStr">
        <is>
          <t>NOVIEMBRE 2023</t>
        </is>
      </c>
      <c r="L1131" t="inlineStr">
        <is>
          <t>NOVIEMBRE 2024</t>
        </is>
      </c>
      <c r="M1131" t="inlineStr">
        <is>
          <t xml:space="preserve">P.Q.S TIPO ABC AL 90% NACIONAL </t>
        </is>
      </c>
      <c r="N1131" t="inlineStr">
        <is>
          <t>318/000009</t>
        </is>
      </c>
      <c r="O1131" t="inlineStr">
        <is>
          <t>R</t>
        </is>
      </c>
      <c r="P1131">
        <f>TRIM(N1131)</f>
        <v/>
      </c>
    </row>
    <row r="1132">
      <c r="A1132" t="inlineStr">
        <is>
          <t>CO-001671</t>
        </is>
      </c>
      <c r="B1132" t="inlineStr">
        <is>
          <t>PERU MASIVO S.A.</t>
        </is>
      </c>
      <c r="C1132" t="inlineStr">
        <is>
          <t>20492392031</t>
        </is>
      </c>
      <c r="D1132" t="inlineStr">
        <is>
          <t>AV. LOS INCAS CDRA. 4 PATIO NORTE - COMAS</t>
        </is>
      </c>
      <c r="E1132" t="inlineStr">
        <is>
          <t>Lima, 23 de Noviembre de 2023</t>
        </is>
      </c>
      <c r="F1132" t="inlineStr">
        <is>
          <t>la Recarga y mantenimiento</t>
        </is>
      </c>
      <c r="G1132" t="inlineStr">
        <is>
          <t>06</t>
        </is>
      </c>
      <c r="H1132" t="inlineStr">
        <is>
          <t>06 KG</t>
        </is>
      </c>
      <c r="I1132" t="n">
        <v>2028</v>
      </c>
      <c r="J1132" t="n">
        <v>2009</v>
      </c>
      <c r="K1132" t="inlineStr">
        <is>
          <t>NOVIEMBRE 2023</t>
        </is>
      </c>
      <c r="L1132" t="inlineStr">
        <is>
          <t>NOVIEMBRE 2024</t>
        </is>
      </c>
      <c r="M1132" t="inlineStr">
        <is>
          <t xml:space="preserve">P.Q.S TIPO ABC AL 90% NACIONAL </t>
        </is>
      </c>
      <c r="N1132" t="inlineStr">
        <is>
          <t>06/000979</t>
        </is>
      </c>
      <c r="O1132" t="inlineStr">
        <is>
          <t>R</t>
        </is>
      </c>
      <c r="P1132">
        <f>TRIM(N1132)</f>
        <v/>
      </c>
    </row>
    <row r="1133">
      <c r="A1133" t="inlineStr">
        <is>
          <t>CO-001672</t>
        </is>
      </c>
      <c r="B1133" t="inlineStr">
        <is>
          <t>PERU MASIVO S.A. (INFRAESTRUCTURA)</t>
        </is>
      </c>
      <c r="C1133" t="inlineStr">
        <is>
          <t>20492392031</t>
        </is>
      </c>
      <c r="D1133" t="inlineStr">
        <is>
          <t>AV. LOS INCAS CDRA. 4 PATIO NORTE - COMAS</t>
        </is>
      </c>
      <c r="E1133" t="inlineStr">
        <is>
          <t>Lima, 23 de Noviembre de 2023</t>
        </is>
      </c>
      <c r="F1133" t="inlineStr">
        <is>
          <t>la Recarga y mantenimiento</t>
        </is>
      </c>
      <c r="G1133" t="inlineStr">
        <is>
          <t>01</t>
        </is>
      </c>
      <c r="H1133" t="inlineStr">
        <is>
          <t>10 LBS</t>
        </is>
      </c>
      <c r="I1133" t="inlineStr">
        <is>
          <t>2025</t>
        </is>
      </c>
      <c r="J1133" t="n">
        <v>2012</v>
      </c>
      <c r="K1133" t="inlineStr">
        <is>
          <t>NOVIEMBRE 2023</t>
        </is>
      </c>
      <c r="L1133" t="inlineStr">
        <is>
          <t>NOVIEMBRE 2024</t>
        </is>
      </c>
      <c r="M1133" t="inlineStr">
        <is>
          <t>CO2 / TIPO BC</t>
        </is>
      </c>
      <c r="N1133" t="inlineStr">
        <is>
          <t>06/014570</t>
        </is>
      </c>
      <c r="O1133" t="inlineStr">
        <is>
          <t>R</t>
        </is>
      </c>
      <c r="P1133">
        <f>TRIM(N1133)</f>
        <v/>
      </c>
    </row>
    <row r="1134">
      <c r="A1134" t="inlineStr">
        <is>
          <t>CO-001672</t>
        </is>
      </c>
      <c r="B1134" t="inlineStr">
        <is>
          <t>PERU MASIVO S.A. (INFRAESTRUCTURA)</t>
        </is>
      </c>
      <c r="C1134" t="inlineStr">
        <is>
          <t>20492392031</t>
        </is>
      </c>
      <c r="D1134" t="inlineStr">
        <is>
          <t>AV. LOS INCAS CDRA. 4 PATIO NORTE - COMAS</t>
        </is>
      </c>
      <c r="E1134" t="inlineStr">
        <is>
          <t>Lima, 23 de Noviembre de 2023</t>
        </is>
      </c>
      <c r="F1134" t="inlineStr">
        <is>
          <t>la Recarga y mantenimiento</t>
        </is>
      </c>
      <c r="G1134" t="inlineStr">
        <is>
          <t>02</t>
        </is>
      </c>
      <c r="H1134" t="inlineStr">
        <is>
          <t>10 LBS</t>
        </is>
      </c>
      <c r="I1134" t="inlineStr">
        <is>
          <t>2025</t>
        </is>
      </c>
      <c r="J1134" t="n">
        <v>2012</v>
      </c>
      <c r="K1134" t="inlineStr">
        <is>
          <t>NOVIEMBRE 2023</t>
        </is>
      </c>
      <c r="L1134" t="inlineStr">
        <is>
          <t>NOVIEMBRE 2024</t>
        </is>
      </c>
      <c r="M1134" t="inlineStr">
        <is>
          <t>CO2 /TIPO BC</t>
        </is>
      </c>
      <c r="N1134" t="inlineStr">
        <is>
          <t>02/0014496</t>
        </is>
      </c>
      <c r="O1134" t="inlineStr">
        <is>
          <t>R</t>
        </is>
      </c>
      <c r="P1134">
        <f>TRIM(N1134)</f>
        <v/>
      </c>
    </row>
    <row r="1135">
      <c r="A1135" t="inlineStr">
        <is>
          <t>CO-001672</t>
        </is>
      </c>
      <c r="B1135" t="inlineStr">
        <is>
          <t>PERU MASIVO S.A. (INFRAESTRUCTURA)</t>
        </is>
      </c>
      <c r="C1135" t="inlineStr">
        <is>
          <t>20492392031</t>
        </is>
      </c>
      <c r="D1135" t="inlineStr">
        <is>
          <t>AV. LOS INCAS CDRA. 4 PATIO NORTE - COMAS</t>
        </is>
      </c>
      <c r="E1135" t="inlineStr">
        <is>
          <t>Lima, 23 de Noviembre de 2023</t>
        </is>
      </c>
      <c r="F1135" t="inlineStr">
        <is>
          <t>la Recarga y mantenimiento</t>
        </is>
      </c>
      <c r="G1135" t="inlineStr">
        <is>
          <t>03</t>
        </is>
      </c>
      <c r="H1135" t="inlineStr">
        <is>
          <t>06 KG</t>
        </is>
      </c>
      <c r="I1135" t="n">
        <v>2028</v>
      </c>
      <c r="J1135" t="n">
        <v>2009</v>
      </c>
      <c r="K1135" t="inlineStr">
        <is>
          <t>NOVIEMBRE 2023</t>
        </is>
      </c>
      <c r="L1135" t="inlineStr">
        <is>
          <t>NOVIEMBRE 2024</t>
        </is>
      </c>
      <c r="M1135" t="inlineStr">
        <is>
          <t xml:space="preserve">P.Q.S TIPO ABC AL 90% NACIONAL </t>
        </is>
      </c>
      <c r="N1135" t="inlineStr">
        <is>
          <t>01/000603</t>
        </is>
      </c>
      <c r="O1135" t="inlineStr">
        <is>
          <t>R</t>
        </is>
      </c>
      <c r="P1135">
        <f>TRIM(N1135)</f>
        <v/>
      </c>
    </row>
    <row r="1136">
      <c r="A1136" t="inlineStr">
        <is>
          <t>CO-001672</t>
        </is>
      </c>
      <c r="B1136" t="inlineStr">
        <is>
          <t>PERU MASIVO S.A. (INFRAESTRUCTURA)</t>
        </is>
      </c>
      <c r="C1136" t="inlineStr">
        <is>
          <t>20492392031</t>
        </is>
      </c>
      <c r="D1136" t="inlineStr">
        <is>
          <t>AV. LOS INCAS CDRA. 4 PATIO NORTE - COMAS</t>
        </is>
      </c>
      <c r="E1136" t="inlineStr">
        <is>
          <t>Lima, 23 de Noviembre de 2023</t>
        </is>
      </c>
      <c r="F1136" t="inlineStr">
        <is>
          <t>la Recarga y mantenimiento</t>
        </is>
      </c>
      <c r="G1136" t="inlineStr">
        <is>
          <t>04</t>
        </is>
      </c>
      <c r="H1136" t="inlineStr">
        <is>
          <t>06 KG</t>
        </is>
      </c>
      <c r="I1136" t="n">
        <v>2028</v>
      </c>
      <c r="J1136" t="n">
        <v>2017</v>
      </c>
      <c r="K1136" t="inlineStr">
        <is>
          <t>NOVIEMBRE 2023</t>
        </is>
      </c>
      <c r="L1136" t="inlineStr">
        <is>
          <t>NOVIEMBRE 2024</t>
        </is>
      </c>
      <c r="M1136" t="inlineStr">
        <is>
          <t xml:space="preserve">P.Q.S TIPO ABC AL 90% NACIONAL </t>
        </is>
      </c>
      <c r="N1136" t="inlineStr">
        <is>
          <t>20/003286</t>
        </is>
      </c>
      <c r="O1136" t="inlineStr">
        <is>
          <t>R</t>
        </is>
      </c>
      <c r="P1136">
        <f>TRIM(N1136)</f>
        <v/>
      </c>
    </row>
    <row r="1137">
      <c r="A1137" t="inlineStr">
        <is>
          <t>CO-001672</t>
        </is>
      </c>
      <c r="B1137" t="inlineStr">
        <is>
          <t>PERU MASIVO S.A. (INFRAESTRUCTURA)</t>
        </is>
      </c>
      <c r="C1137" t="inlineStr">
        <is>
          <t>20492392031</t>
        </is>
      </c>
      <c r="D1137" t="inlineStr">
        <is>
          <t>AV. LOS INCAS CDRA. 4 PATIO NORTE - COMAS</t>
        </is>
      </c>
      <c r="E1137" t="inlineStr">
        <is>
          <t>Lima, 23 de Noviembre de 2023</t>
        </is>
      </c>
      <c r="F1137" t="inlineStr">
        <is>
          <t>la Recarga y mantenimiento</t>
        </is>
      </c>
      <c r="G1137" t="inlineStr">
        <is>
          <t>05</t>
        </is>
      </c>
      <c r="H1137" t="inlineStr">
        <is>
          <t>06 KG</t>
        </is>
      </c>
      <c r="I1137" t="n">
        <v>2028</v>
      </c>
      <c r="J1137" t="n">
        <v>2010</v>
      </c>
      <c r="K1137" t="inlineStr">
        <is>
          <t>NOVIEMBRE 2023</t>
        </is>
      </c>
      <c r="L1137" t="inlineStr">
        <is>
          <t>NOVIEMBRE 2024</t>
        </is>
      </c>
      <c r="M1137" t="inlineStr">
        <is>
          <t xml:space="preserve">P.Q.S TIPO ABC AL 90% NACIONAL </t>
        </is>
      </c>
      <c r="N1137" t="inlineStr">
        <is>
          <t>19/001140</t>
        </is>
      </c>
      <c r="O1137" t="inlineStr">
        <is>
          <t>R</t>
        </is>
      </c>
      <c r="P1137">
        <f>TRIM(N1137)</f>
        <v/>
      </c>
    </row>
    <row r="1138">
      <c r="A1138" t="inlineStr">
        <is>
          <t>CO-001672</t>
        </is>
      </c>
      <c r="B1138" t="inlineStr">
        <is>
          <t>PERU MASIVO S.A. (INFRAESTRUCTURA)</t>
        </is>
      </c>
      <c r="C1138" t="inlineStr">
        <is>
          <t>20492392031</t>
        </is>
      </c>
      <c r="D1138" t="inlineStr">
        <is>
          <t>AV. LOS INCAS CDRA. 4 PATIO NORTE - COMAS</t>
        </is>
      </c>
      <c r="E1138" t="inlineStr">
        <is>
          <t>Lima, 23 de Noviembre de 2023</t>
        </is>
      </c>
      <c r="F1138" t="inlineStr">
        <is>
          <t>la Recarga y mantenimiento</t>
        </is>
      </c>
      <c r="G1138" t="inlineStr">
        <is>
          <t>06</t>
        </is>
      </c>
      <c r="H1138" t="inlineStr">
        <is>
          <t>06 KG</t>
        </is>
      </c>
      <c r="I1138" t="n">
        <v>2028</v>
      </c>
      <c r="J1138" t="n">
        <v>2009</v>
      </c>
      <c r="K1138" t="inlineStr">
        <is>
          <t>NOVIEMBRE 2023</t>
        </is>
      </c>
      <c r="L1138" t="inlineStr">
        <is>
          <t>NOVIEMBRE 2024</t>
        </is>
      </c>
      <c r="M1138" t="inlineStr">
        <is>
          <t xml:space="preserve">P.Q.S TIPO ABC AL 90% NACIONAL </t>
        </is>
      </c>
      <c r="N1138" t="inlineStr">
        <is>
          <t>12/001381</t>
        </is>
      </c>
      <c r="O1138" t="inlineStr">
        <is>
          <t>R</t>
        </is>
      </c>
      <c r="P1138">
        <f>TRIM(N1138)</f>
        <v/>
      </c>
    </row>
    <row r="1139">
      <c r="A1139" t="inlineStr">
        <is>
          <t>CO-001672</t>
        </is>
      </c>
      <c r="B1139" t="inlineStr">
        <is>
          <t>PERU MASIVO S.A. (INFRAESTRUCTURA)</t>
        </is>
      </c>
      <c r="C1139" t="inlineStr">
        <is>
          <t>20492392031</t>
        </is>
      </c>
      <c r="D1139" t="inlineStr">
        <is>
          <t>AV. LOS INCAS CDRA. 4 PATIO NORTE - COMAS</t>
        </is>
      </c>
      <c r="E1139" t="inlineStr">
        <is>
          <t>Lima, 23 de Noviembre de 2023</t>
        </is>
      </c>
      <c r="F1139" t="inlineStr">
        <is>
          <t>la Recarga y mantenimiento</t>
        </is>
      </c>
      <c r="G1139" t="inlineStr">
        <is>
          <t>07</t>
        </is>
      </c>
      <c r="H1139" t="inlineStr">
        <is>
          <t>06 KG</t>
        </is>
      </c>
      <c r="I1139" t="n">
        <v>2028</v>
      </c>
      <c r="J1139" t="n">
        <v>2010</v>
      </c>
      <c r="K1139" t="inlineStr">
        <is>
          <t>NOVIEMBRE 2023</t>
        </is>
      </c>
      <c r="L1139" t="inlineStr">
        <is>
          <t>NOVIEMBRE 2024</t>
        </is>
      </c>
      <c r="M1139" t="inlineStr">
        <is>
          <t xml:space="preserve">P.Q.S TIPO ABC AL 90% NACIONAL </t>
        </is>
      </c>
      <c r="N1139" t="inlineStr">
        <is>
          <t>18/001541</t>
        </is>
      </c>
      <c r="O1139" t="inlineStr">
        <is>
          <t>R</t>
        </is>
      </c>
      <c r="P1139">
        <f>TRIM(N1139)</f>
        <v/>
      </c>
    </row>
    <row r="1140">
      <c r="A1140" t="inlineStr">
        <is>
          <t>CO-001672</t>
        </is>
      </c>
      <c r="B1140" t="inlineStr">
        <is>
          <t>PERU MASIVO S.A. (INFRAESTRUCTURA)</t>
        </is>
      </c>
      <c r="C1140" t="inlineStr">
        <is>
          <t>20492392031</t>
        </is>
      </c>
      <c r="D1140" t="inlineStr">
        <is>
          <t>AV. LOS INCAS CDRA. 4 PATIO NORTE - COMAS</t>
        </is>
      </c>
      <c r="E1140" t="inlineStr">
        <is>
          <t>Lima, 23 de Noviembre de 2023</t>
        </is>
      </c>
      <c r="F1140" t="inlineStr">
        <is>
          <t>la Recarga y mantenimiento</t>
        </is>
      </c>
      <c r="G1140" t="inlineStr">
        <is>
          <t>08</t>
        </is>
      </c>
      <c r="H1140" t="inlineStr">
        <is>
          <t>06 KG</t>
        </is>
      </c>
      <c r="I1140" t="n">
        <v>2028</v>
      </c>
      <c r="J1140" t="n">
        <v>2009</v>
      </c>
      <c r="K1140" t="inlineStr">
        <is>
          <t>NOVIEMBRE 2023</t>
        </is>
      </c>
      <c r="L1140" t="inlineStr">
        <is>
          <t>NOVIEMBRE 2024</t>
        </is>
      </c>
      <c r="M1140" t="inlineStr">
        <is>
          <t xml:space="preserve">P.Q.S TIPO ABC AL 90% NACIONAL </t>
        </is>
      </c>
      <c r="N1140" t="inlineStr">
        <is>
          <t>21/000096</t>
        </is>
      </c>
      <c r="O1140" t="inlineStr">
        <is>
          <t>R</t>
        </is>
      </c>
      <c r="P1140">
        <f>TRIM(N1140)</f>
        <v/>
      </c>
    </row>
    <row r="1141">
      <c r="A1141" t="inlineStr">
        <is>
          <t>CO-001673</t>
        </is>
      </c>
      <c r="B1141" t="inlineStr">
        <is>
          <t>ETSACOCSA</t>
        </is>
      </c>
      <c r="D1141" t="inlineStr">
        <is>
          <t>PLACA: ATK-861</t>
        </is>
      </c>
      <c r="E1141" t="inlineStr">
        <is>
          <t>Lima, 24 de Noviembre de 2023</t>
        </is>
      </c>
      <c r="F1141" t="inlineStr">
        <is>
          <t>la Recarga y mantenimiento</t>
        </is>
      </c>
      <c r="G1141" t="inlineStr">
        <is>
          <t>01</t>
        </is>
      </c>
      <c r="H1141" t="inlineStr">
        <is>
          <t>09 KG</t>
        </is>
      </c>
      <c r="I1141" t="inlineStr">
        <is>
          <t>VIGENTE</t>
        </is>
      </c>
      <c r="J1141" t="n">
        <v>2017</v>
      </c>
      <c r="K1141" t="inlineStr">
        <is>
          <t>NOVIEMBRE 2023</t>
        </is>
      </c>
      <c r="L1141" t="inlineStr">
        <is>
          <t>NOVIEMBRE 2024</t>
        </is>
      </c>
      <c r="M1141" t="inlineStr">
        <is>
          <t>PQS TIPO ABC</t>
        </is>
      </c>
      <c r="N1141" t="inlineStr">
        <is>
          <t>016827</t>
        </is>
      </c>
      <c r="O1141" t="inlineStr">
        <is>
          <t>R</t>
        </is>
      </c>
      <c r="P1141">
        <f>TRIM(N1141)</f>
        <v/>
      </c>
    </row>
    <row r="1142">
      <c r="A1142" t="inlineStr">
        <is>
          <t>CO-001674</t>
        </is>
      </c>
      <c r="B1142" t="inlineStr">
        <is>
          <t>EUGENIO FIGUEROA ALVARON</t>
        </is>
      </c>
      <c r="C1142" t="inlineStr">
        <is>
          <t>09971426</t>
        </is>
      </c>
      <c r="D1142" t="inlineStr">
        <is>
          <t>CALLE PAUCARPATA MZ. F. LOTE 33 5TA DE COLLIQUE</t>
        </is>
      </c>
      <c r="E1142" t="inlineStr">
        <is>
          <t>Lima, 27 de Noviembre de 2023</t>
        </is>
      </c>
      <c r="F1142" t="inlineStr">
        <is>
          <t>la Recarga y mantenimiento</t>
        </is>
      </c>
      <c r="G1142" t="inlineStr">
        <is>
          <t>01</t>
        </is>
      </c>
      <c r="H1142" t="inlineStr">
        <is>
          <t>06 KG</t>
        </is>
      </c>
      <c r="I1142" t="inlineStr">
        <is>
          <t>VIGENTE</t>
        </is>
      </c>
      <c r="J1142" t="n">
        <v>2012</v>
      </c>
      <c r="K1142" t="inlineStr">
        <is>
          <t>NOVIEMBRE 2023</t>
        </is>
      </c>
      <c r="L1142" t="inlineStr">
        <is>
          <t>NOVIEMBRE 2024</t>
        </is>
      </c>
      <c r="M1142" t="inlineStr">
        <is>
          <t>PQS TIPO ABC</t>
        </is>
      </c>
      <c r="N1142" t="inlineStr">
        <is>
          <t>029712</t>
        </is>
      </c>
      <c r="O1142" t="inlineStr">
        <is>
          <t>R</t>
        </is>
      </c>
      <c r="P1142">
        <f>TRIM(N1142)</f>
        <v/>
      </c>
    </row>
    <row r="1143">
      <c r="A1143" t="inlineStr">
        <is>
          <t>CO-001675</t>
        </is>
      </c>
      <c r="B1143" t="inlineStr">
        <is>
          <t>ZUÑIGA SANCHEZ, GLODY</t>
        </is>
      </c>
      <c r="C1143" t="inlineStr">
        <is>
          <t>17251874824</t>
        </is>
      </c>
      <c r="D1143" t="inlineStr">
        <is>
          <t>KM. 42.5 CARRETERA LIMA CANTA - COCAYALTA - DISTRITO: SANTA ROSA DE QUIVES</t>
        </is>
      </c>
      <c r="E1143" t="inlineStr">
        <is>
          <t>Lima, 27 de Noviembre de 2023</t>
        </is>
      </c>
      <c r="F1143" t="inlineStr">
        <is>
          <t>la Recarga y mantenimiento</t>
        </is>
      </c>
      <c r="G1143" t="inlineStr">
        <is>
          <t>01</t>
        </is>
      </c>
      <c r="H1143" t="inlineStr">
        <is>
          <t>30 LBS</t>
        </is>
      </c>
      <c r="I1143" t="inlineStr">
        <is>
          <t>2026</t>
        </is>
      </c>
      <c r="J1143" t="n">
        <v>2021</v>
      </c>
      <c r="K1143" t="inlineStr">
        <is>
          <t>NOVIEMBRE 2023</t>
        </is>
      </c>
      <c r="L1143" t="inlineStr">
        <is>
          <t>NOVIEMBRE 2024</t>
        </is>
      </c>
      <c r="M1143" t="inlineStr">
        <is>
          <t>P.Q.S. / ABC AL 90% UL</t>
        </is>
      </c>
      <c r="N1143" t="inlineStr">
        <is>
          <t>G-39956721</t>
        </is>
      </c>
      <c r="O1143" t="inlineStr">
        <is>
          <t>M2</t>
        </is>
      </c>
      <c r="P1143">
        <f>TRIM(N1143)</f>
        <v/>
      </c>
    </row>
    <row r="1144">
      <c r="A1144" t="inlineStr">
        <is>
          <t>CO-001675</t>
        </is>
      </c>
      <c r="B1144" t="inlineStr">
        <is>
          <t>ZUÑIGA SANCHEZ, GLODY</t>
        </is>
      </c>
      <c r="C1144" t="inlineStr">
        <is>
          <t>17251874824</t>
        </is>
      </c>
      <c r="D1144" t="inlineStr">
        <is>
          <t>KM. 42.5 CARRETERA LIMA CANTA - COCAYALTA - DISTRITO: SANTA ROSA DE QUIVES</t>
        </is>
      </c>
      <c r="E1144" t="inlineStr">
        <is>
          <t>Lima, 27 de Noviembre de 2023</t>
        </is>
      </c>
      <c r="F1144" t="inlineStr">
        <is>
          <t>la Recarga y mantenimiento</t>
        </is>
      </c>
      <c r="G1144" t="inlineStr">
        <is>
          <t>02</t>
        </is>
      </c>
      <c r="H1144" t="inlineStr">
        <is>
          <t>125 LBS</t>
        </is>
      </c>
      <c r="I1144" t="inlineStr">
        <is>
          <t>2024</t>
        </is>
      </c>
      <c r="J1144" t="n">
        <v>2019</v>
      </c>
      <c r="K1144" t="inlineStr">
        <is>
          <t>NOVIEMBRE 2023</t>
        </is>
      </c>
      <c r="L1144" t="inlineStr">
        <is>
          <t>NOVIEMBRE 2024</t>
        </is>
      </c>
      <c r="M1144" t="inlineStr">
        <is>
          <t>P.Q.S. / ABC AL 90% UL</t>
        </is>
      </c>
      <c r="N1144" t="inlineStr">
        <is>
          <t>F-46647653</t>
        </is>
      </c>
      <c r="O1144" t="inlineStr">
        <is>
          <t>M4</t>
        </is>
      </c>
      <c r="P1144">
        <f>TRIM(N1144)</f>
        <v/>
      </c>
    </row>
    <row r="1145">
      <c r="A1145" t="inlineStr">
        <is>
          <t>CO-001675</t>
        </is>
      </c>
      <c r="B1145" t="inlineStr">
        <is>
          <t>ZUÑIGA SANCHEZ, GLODY</t>
        </is>
      </c>
      <c r="C1145" t="inlineStr">
        <is>
          <t>17251874824</t>
        </is>
      </c>
      <c r="D1145" t="inlineStr">
        <is>
          <t>KM. 42.5 CARRETERA LIMA CANTA - COCAYALTA - DISTRITO: SANTA ROSA DE QUIVES</t>
        </is>
      </c>
      <c r="E1145" t="inlineStr">
        <is>
          <t>Lima, 27 de Noviembre de 2023</t>
        </is>
      </c>
      <c r="F1145" t="inlineStr">
        <is>
          <t>la Recarga y mantenimiento</t>
        </is>
      </c>
      <c r="G1145" t="inlineStr">
        <is>
          <t>03</t>
        </is>
      </c>
      <c r="H1145" t="inlineStr">
        <is>
          <t>20 LBS</t>
        </is>
      </c>
      <c r="I1145" t="n">
        <v>2028</v>
      </c>
      <c r="J1145" t="n">
        <v>2018</v>
      </c>
      <c r="K1145" t="inlineStr">
        <is>
          <t>NOVIEMBRE 2023</t>
        </is>
      </c>
      <c r="L1145" t="inlineStr">
        <is>
          <t>NOVIEMBRE 2024</t>
        </is>
      </c>
      <c r="M1145" t="inlineStr">
        <is>
          <t>P.Q.S. / ABC AL 90% UL</t>
        </is>
      </c>
      <c r="N1145" t="inlineStr">
        <is>
          <t>E-82857538</t>
        </is>
      </c>
      <c r="O1145" t="inlineStr">
        <is>
          <t>R</t>
        </is>
      </c>
      <c r="P1145">
        <f>TRIM(N1145)</f>
        <v/>
      </c>
    </row>
    <row r="1146">
      <c r="A1146" t="inlineStr">
        <is>
          <t>CO-001675</t>
        </is>
      </c>
      <c r="B1146" t="inlineStr">
        <is>
          <t>ZUÑIGA SANCHEZ, GLODY</t>
        </is>
      </c>
      <c r="C1146" t="inlineStr">
        <is>
          <t>17251874824</t>
        </is>
      </c>
      <c r="D1146" t="inlineStr">
        <is>
          <t>KM. 42.5 CARRETERA LIMA CANTA - COCAYALTA - DISTRITO: SANTA ROSA DE QUIVES</t>
        </is>
      </c>
      <c r="E1146" t="inlineStr">
        <is>
          <t>Lima, 27 de Noviembre de 2023</t>
        </is>
      </c>
      <c r="F1146" t="inlineStr">
        <is>
          <t>la Recarga y mantenimiento</t>
        </is>
      </c>
      <c r="G1146" t="inlineStr">
        <is>
          <t>04</t>
        </is>
      </c>
      <c r="H1146" t="inlineStr">
        <is>
          <t>20 LBS</t>
        </is>
      </c>
      <c r="I1146" t="n">
        <v>2028</v>
      </c>
      <c r="J1146" t="n">
        <v>2018</v>
      </c>
      <c r="K1146" t="inlineStr">
        <is>
          <t>NOVIEMBRE 2023</t>
        </is>
      </c>
      <c r="L1146" t="inlineStr">
        <is>
          <t>NOVIEMBRE 2024</t>
        </is>
      </c>
      <c r="M1146" t="inlineStr">
        <is>
          <t>P.Q.S. / ABC AL 90% UL</t>
        </is>
      </c>
      <c r="N1146" t="inlineStr">
        <is>
          <t>E-82857540</t>
        </is>
      </c>
      <c r="O1146" t="inlineStr">
        <is>
          <t>R</t>
        </is>
      </c>
      <c r="P1146">
        <f>TRIM(N1146)</f>
        <v/>
      </c>
    </row>
    <row r="1147">
      <c r="A1147" t="inlineStr">
        <is>
          <t>CO-001676</t>
        </is>
      </c>
      <c r="B1147" t="inlineStr">
        <is>
          <t>PERU MASIVO S.A.</t>
        </is>
      </c>
      <c r="C1147" t="inlineStr">
        <is>
          <t>20492392031</t>
        </is>
      </c>
      <c r="D1147" t="inlineStr">
        <is>
          <t>AV. LOS INCAS CDRA. 4 PATIO NORTE - COMAS</t>
        </is>
      </c>
      <c r="E1147" t="inlineStr">
        <is>
          <t>Lima, 28 de Noviembre de 2023</t>
        </is>
      </c>
      <c r="F1147" t="inlineStr">
        <is>
          <t>la Recarga y mantenimiento</t>
        </is>
      </c>
      <c r="G1147" t="inlineStr">
        <is>
          <t>01</t>
        </is>
      </c>
      <c r="H1147" t="inlineStr">
        <is>
          <t>06 KG</t>
        </is>
      </c>
      <c r="I1147" t="inlineStr">
        <is>
          <t>2028</t>
        </is>
      </c>
      <c r="J1147" t="n">
        <v>2010</v>
      </c>
      <c r="K1147" t="inlineStr">
        <is>
          <t>NOVIEMBRE 2023</t>
        </is>
      </c>
      <c r="L1147" t="inlineStr">
        <is>
          <t>NOVIEMBRE 2024</t>
        </is>
      </c>
      <c r="M1147" t="inlineStr">
        <is>
          <t>P.Q.S TIPO ABC AL 90 % NACIONAL</t>
        </is>
      </c>
      <c r="N1147" t="inlineStr">
        <is>
          <t>269 / 000496</t>
        </is>
      </c>
      <c r="O1147" t="inlineStr">
        <is>
          <t>R</t>
        </is>
      </c>
      <c r="P1147">
        <f>TRIM(N1147)</f>
        <v/>
      </c>
    </row>
    <row r="1148">
      <c r="A1148" t="inlineStr">
        <is>
          <t>CO-001676</t>
        </is>
      </c>
      <c r="B1148" t="inlineStr">
        <is>
          <t>PERU MASIVO S.A.</t>
        </is>
      </c>
      <c r="C1148" t="inlineStr">
        <is>
          <t>20492392031</t>
        </is>
      </c>
      <c r="D1148" t="inlineStr">
        <is>
          <t>AV. LOS INCAS CDRA. 4 PATIO NORTE - COMAS</t>
        </is>
      </c>
      <c r="E1148" t="inlineStr">
        <is>
          <t>Lima, 28 de Noviembre de 2023</t>
        </is>
      </c>
      <c r="F1148" t="inlineStr">
        <is>
          <t>la Recarga y mantenimiento</t>
        </is>
      </c>
      <c r="G1148" t="inlineStr">
        <is>
          <t>02</t>
        </is>
      </c>
      <c r="H1148" t="inlineStr">
        <is>
          <t>06 KG</t>
        </is>
      </c>
      <c r="I1148" t="inlineStr">
        <is>
          <t>2028</t>
        </is>
      </c>
      <c r="J1148" t="n">
        <v>2009</v>
      </c>
      <c r="K1148" t="inlineStr">
        <is>
          <t>NOVIEMBRE 2023</t>
        </is>
      </c>
      <c r="L1148" t="inlineStr">
        <is>
          <t>NOVIEMBRE 2024</t>
        </is>
      </c>
      <c r="M1148" t="inlineStr">
        <is>
          <t xml:space="preserve">P.Q.S TIPO ABC AL 90% NACIONAL </t>
        </is>
      </c>
      <c r="N1148" t="inlineStr">
        <is>
          <t>356 / 000212</t>
        </is>
      </c>
      <c r="O1148" t="inlineStr">
        <is>
          <t>R</t>
        </is>
      </c>
      <c r="P1148">
        <f>TRIM(N1148)</f>
        <v/>
      </c>
    </row>
    <row r="1149">
      <c r="A1149" t="inlineStr">
        <is>
          <t>CO-001676</t>
        </is>
      </c>
      <c r="B1149" t="inlineStr">
        <is>
          <t>PERU MASIVO S.A.</t>
        </is>
      </c>
      <c r="C1149" t="inlineStr">
        <is>
          <t>20492392031</t>
        </is>
      </c>
      <c r="D1149" t="inlineStr">
        <is>
          <t>AV. LOS INCAS CDRA. 4 PATIO NORTE - COMAS</t>
        </is>
      </c>
      <c r="E1149" t="inlineStr">
        <is>
          <t>Lima, 28 de Noviembre de 2023</t>
        </is>
      </c>
      <c r="F1149" t="inlineStr">
        <is>
          <t>la Recarga y mantenimiento</t>
        </is>
      </c>
      <c r="G1149" t="inlineStr">
        <is>
          <t>03</t>
        </is>
      </c>
      <c r="H1149" t="inlineStr">
        <is>
          <t>06 KG</t>
        </is>
      </c>
      <c r="I1149" t="n">
        <v>2028</v>
      </c>
      <c r="J1149" t="n">
        <v>2017</v>
      </c>
      <c r="K1149" t="inlineStr">
        <is>
          <t>NOVIEMBRE 2023</t>
        </is>
      </c>
      <c r="L1149" t="inlineStr">
        <is>
          <t>NOVIEMBRE 2024</t>
        </is>
      </c>
      <c r="M1149" t="inlineStr">
        <is>
          <t xml:space="preserve">P.Q.S TIPO ABC AL 90% NACIONAL </t>
        </is>
      </c>
      <c r="N1149" t="inlineStr">
        <is>
          <t>S/N / 003884</t>
        </is>
      </c>
      <c r="O1149" t="inlineStr">
        <is>
          <t>R</t>
        </is>
      </c>
      <c r="P1149">
        <f>TRIM(N1149)</f>
        <v/>
      </c>
    </row>
    <row r="1150">
      <c r="A1150" t="inlineStr">
        <is>
          <t>CO-001676</t>
        </is>
      </c>
      <c r="B1150" t="inlineStr">
        <is>
          <t>PERU MASIVO S.A.</t>
        </is>
      </c>
      <c r="C1150" t="inlineStr">
        <is>
          <t>20492392031</t>
        </is>
      </c>
      <c r="D1150" t="inlineStr">
        <is>
          <t>AV. LOS INCAS CDRA. 4 PATIO NORTE - COMAS</t>
        </is>
      </c>
      <c r="E1150" t="inlineStr">
        <is>
          <t>Lima, 28 de Noviembre de 2023</t>
        </is>
      </c>
      <c r="F1150" t="inlineStr">
        <is>
          <t>la Recarga y mantenimiento</t>
        </is>
      </c>
      <c r="G1150" t="inlineStr">
        <is>
          <t>04</t>
        </is>
      </c>
      <c r="H1150" t="inlineStr">
        <is>
          <t>06 KG</t>
        </is>
      </c>
      <c r="I1150" t="n">
        <v>2028</v>
      </c>
      <c r="J1150" t="n">
        <v>2010</v>
      </c>
      <c r="K1150" t="inlineStr">
        <is>
          <t>NOVIEMBRE 2023</t>
        </is>
      </c>
      <c r="L1150" t="inlineStr">
        <is>
          <t>NOVIEMBRE 2024</t>
        </is>
      </c>
      <c r="M1150" t="inlineStr">
        <is>
          <t>P.Q.S TIPO ABC AL 90% NACIONAL</t>
        </is>
      </c>
      <c r="N1150" t="inlineStr">
        <is>
          <t>51 / 000065</t>
        </is>
      </c>
      <c r="O1150" t="inlineStr">
        <is>
          <t>R</t>
        </is>
      </c>
      <c r="P1150">
        <f>TRIM(N1150)</f>
        <v/>
      </c>
    </row>
    <row r="1151">
      <c r="A1151" t="inlineStr">
        <is>
          <t>CO-001676</t>
        </is>
      </c>
      <c r="B1151" t="inlineStr">
        <is>
          <t>PERU MASIVO S.A.</t>
        </is>
      </c>
      <c r="C1151" t="inlineStr">
        <is>
          <t>20492392031</t>
        </is>
      </c>
      <c r="D1151" t="inlineStr">
        <is>
          <t>AV. LOS INCAS CDRA. 4 PATIO NORTE - COMAS</t>
        </is>
      </c>
      <c r="E1151" t="inlineStr">
        <is>
          <t>Lima, 28 de Noviembre de 2023</t>
        </is>
      </c>
      <c r="F1151" t="inlineStr">
        <is>
          <t>la Recarga y mantenimiento</t>
        </is>
      </c>
      <c r="G1151" t="inlineStr">
        <is>
          <t>05</t>
        </is>
      </c>
      <c r="H1151" t="inlineStr">
        <is>
          <t>06 KG</t>
        </is>
      </c>
      <c r="I1151" t="n">
        <v>2028</v>
      </c>
      <c r="J1151" t="n">
        <v>2009</v>
      </c>
      <c r="K1151" t="inlineStr">
        <is>
          <t>NOVIEMBRE 2023</t>
        </is>
      </c>
      <c r="L1151" t="inlineStr">
        <is>
          <t>NOVIEMBRE 2024</t>
        </is>
      </c>
      <c r="M1151" t="inlineStr">
        <is>
          <t xml:space="preserve">P.Q.S TIPO ABC AL 90% NACIONAL </t>
        </is>
      </c>
      <c r="N1151" t="inlineStr">
        <is>
          <t>212 / 003073</t>
        </is>
      </c>
      <c r="O1151" t="inlineStr">
        <is>
          <t>R</t>
        </is>
      </c>
      <c r="P1151">
        <f>TRIM(N1151)</f>
        <v/>
      </c>
    </row>
    <row r="1152">
      <c r="A1152" t="inlineStr">
        <is>
          <t>CO-001676</t>
        </is>
      </c>
      <c r="B1152" t="inlineStr">
        <is>
          <t>PERU MASIVO S.A.</t>
        </is>
      </c>
      <c r="C1152" t="inlineStr">
        <is>
          <t>20492392031</t>
        </is>
      </c>
      <c r="D1152" t="inlineStr">
        <is>
          <t>AV. LOS INCAS CDRA. 4 PATIO NORTE - COMAS</t>
        </is>
      </c>
      <c r="E1152" t="inlineStr">
        <is>
          <t>Lima, 28 de Noviembre de 2023</t>
        </is>
      </c>
      <c r="F1152" t="inlineStr">
        <is>
          <t>la Recarga y mantenimiento</t>
        </is>
      </c>
      <c r="G1152" t="inlineStr">
        <is>
          <t>06</t>
        </is>
      </c>
      <c r="H1152" t="inlineStr">
        <is>
          <t>06 KG</t>
        </is>
      </c>
      <c r="I1152" t="n">
        <v>2028</v>
      </c>
      <c r="J1152" t="n">
        <v>2009</v>
      </c>
      <c r="K1152" t="inlineStr">
        <is>
          <t>NOVIEMBRE 2023</t>
        </is>
      </c>
      <c r="L1152" t="inlineStr">
        <is>
          <t>NOVIEMBRE 2024</t>
        </is>
      </c>
      <c r="M1152" t="inlineStr">
        <is>
          <t xml:space="preserve">P.Q.S TIPO ABC AL 90% NACIONAL </t>
        </is>
      </c>
      <c r="N1152" t="inlineStr">
        <is>
          <t>248 / 001793</t>
        </is>
      </c>
      <c r="O1152" t="inlineStr">
        <is>
          <t>R</t>
        </is>
      </c>
      <c r="P1152">
        <f>TRIM(N1152)</f>
        <v/>
      </c>
    </row>
    <row r="1153">
      <c r="A1153" t="inlineStr">
        <is>
          <t>CO-001676</t>
        </is>
      </c>
      <c r="B1153" t="inlineStr">
        <is>
          <t>PERU MASIVO S.A.</t>
        </is>
      </c>
      <c r="C1153" t="inlineStr">
        <is>
          <t>20492392031</t>
        </is>
      </c>
      <c r="D1153" t="inlineStr">
        <is>
          <t>AV. LOS INCAS CDRA. 4 PATIO NORTE - COMAS</t>
        </is>
      </c>
      <c r="E1153" t="inlineStr">
        <is>
          <t>Lima, 28 de Noviembre de 2023</t>
        </is>
      </c>
      <c r="F1153" t="inlineStr">
        <is>
          <t>la Recarga y mantenimiento</t>
        </is>
      </c>
      <c r="G1153" t="inlineStr">
        <is>
          <t>07</t>
        </is>
      </c>
      <c r="H1153" t="inlineStr">
        <is>
          <t>06 KG</t>
        </is>
      </c>
      <c r="I1153" t="n">
        <v>2028</v>
      </c>
      <c r="J1153" t="n">
        <v>2016</v>
      </c>
      <c r="K1153" t="inlineStr">
        <is>
          <t>NOVIEMBRE 2023</t>
        </is>
      </c>
      <c r="L1153" t="inlineStr">
        <is>
          <t>NOVIEMBRE 2024</t>
        </is>
      </c>
      <c r="M1153" t="inlineStr">
        <is>
          <t xml:space="preserve">P.Q.S TIPO ABC AL 90% NACIONAL </t>
        </is>
      </c>
      <c r="N1153" t="inlineStr">
        <is>
          <t>S/N / 020140</t>
        </is>
      </c>
      <c r="O1153" t="inlineStr">
        <is>
          <t>R</t>
        </is>
      </c>
      <c r="P1153">
        <f>TRIM(N1153)</f>
        <v/>
      </c>
    </row>
    <row r="1154">
      <c r="A1154" t="inlineStr">
        <is>
          <t>CO-001677</t>
        </is>
      </c>
      <c r="B1154" t="inlineStr">
        <is>
          <t>INGRID SOTO PILCO</t>
        </is>
      </c>
      <c r="C1154" t="inlineStr">
        <is>
          <t>43418188</t>
        </is>
      </c>
      <c r="D1154" t="inlineStr">
        <is>
          <t>AV. MIGUEL GRAU 176 / SEGUNDO PISO AÑO NUEVO - COMAS</t>
        </is>
      </c>
      <c r="E1154" t="inlineStr">
        <is>
          <t>Lima, 30 de Noviembre de 2023</t>
        </is>
      </c>
      <c r="F1154" t="inlineStr">
        <is>
          <t>la Recarga y mantenimiento</t>
        </is>
      </c>
      <c r="G1154" t="inlineStr">
        <is>
          <t>01</t>
        </is>
      </c>
      <c r="H1154" t="inlineStr">
        <is>
          <t>06 KG</t>
        </is>
      </c>
      <c r="I1154" t="inlineStr">
        <is>
          <t>2026</t>
        </is>
      </c>
      <c r="J1154" t="n">
        <v>2021</v>
      </c>
      <c r="K1154" t="inlineStr">
        <is>
          <t>NOVIEMBRE 2023</t>
        </is>
      </c>
      <c r="L1154" t="inlineStr">
        <is>
          <t>NOVIEMBRE 2024</t>
        </is>
      </c>
      <c r="M1154" t="inlineStr">
        <is>
          <t>PQS TIPO ABC</t>
        </is>
      </c>
      <c r="N1154" t="inlineStr">
        <is>
          <t>112614</t>
        </is>
      </c>
      <c r="O1154" t="inlineStr">
        <is>
          <t>R</t>
        </is>
      </c>
      <c r="P1154">
        <f>TRIM(N1154)</f>
        <v/>
      </c>
    </row>
    <row r="1155">
      <c r="A1155" t="inlineStr">
        <is>
          <t>CO-001677</t>
        </is>
      </c>
      <c r="B1155" t="inlineStr">
        <is>
          <t>INGRID SOTO PILCO</t>
        </is>
      </c>
      <c r="C1155" t="inlineStr">
        <is>
          <t>43418188</t>
        </is>
      </c>
      <c r="D1155" t="inlineStr">
        <is>
          <t>AV. MIGUEL GRAU 176 / SEGUNDO PISO AÑO NUEVO - COMAS</t>
        </is>
      </c>
      <c r="E1155" t="inlineStr">
        <is>
          <t>Lima, 30 de Noviembre de 2023</t>
        </is>
      </c>
      <c r="F1155" t="inlineStr">
        <is>
          <t>la Recarga y mantenimiento</t>
        </is>
      </c>
      <c r="G1155" t="inlineStr">
        <is>
          <t>02</t>
        </is>
      </c>
      <c r="H1155" t="inlineStr">
        <is>
          <t>06 KG</t>
        </is>
      </c>
      <c r="I1155" t="inlineStr">
        <is>
          <t>2026</t>
        </is>
      </c>
      <c r="J1155" t="n">
        <v>2021</v>
      </c>
      <c r="K1155" t="inlineStr">
        <is>
          <t>NOVIEMBRE 2023</t>
        </is>
      </c>
      <c r="L1155" t="inlineStr">
        <is>
          <t>NOVIEMBRE 2024</t>
        </is>
      </c>
      <c r="M1155" t="inlineStr">
        <is>
          <t>PQS TIPO ABC</t>
        </is>
      </c>
      <c r="N1155" t="inlineStr">
        <is>
          <t>112123</t>
        </is>
      </c>
      <c r="O1155" t="inlineStr">
        <is>
          <t>R</t>
        </is>
      </c>
      <c r="P1155">
        <f>TRIM(N1155)</f>
        <v/>
      </c>
    </row>
    <row r="1156">
      <c r="A1156" t="inlineStr">
        <is>
          <t>CO-001678</t>
        </is>
      </c>
      <c r="B1156" t="inlineStr">
        <is>
          <t>ASOCIACIÓN DE PROPIETARIOS LOS ROSALES DE PABLO SEXTO</t>
        </is>
      </c>
      <c r="C1156" t="inlineStr">
        <is>
          <t>06932522</t>
        </is>
      </c>
      <c r="D1156" t="inlineStr">
        <is>
          <t>AV. LOS INCAS 201- COMAS</t>
        </is>
      </c>
      <c r="E1156" t="inlineStr">
        <is>
          <t>Lima, 02 de Diciembre de 2023</t>
        </is>
      </c>
      <c r="F1156" t="inlineStr">
        <is>
          <t>la Recarga y mantenimiento</t>
        </is>
      </c>
      <c r="G1156" t="inlineStr">
        <is>
          <t>01</t>
        </is>
      </c>
      <c r="H1156" t="inlineStr">
        <is>
          <t>09 KG</t>
        </is>
      </c>
      <c r="I1156" t="inlineStr">
        <is>
          <t>2028</t>
        </is>
      </c>
      <c r="J1156" t="n">
        <v>2003</v>
      </c>
      <c r="K1156" t="inlineStr">
        <is>
          <t>DICIEMBRE 2023</t>
        </is>
      </c>
      <c r="L1156" t="inlineStr">
        <is>
          <t>DICIEMBRE 2024</t>
        </is>
      </c>
      <c r="M1156" t="inlineStr">
        <is>
          <t>PQS TIPO ABC</t>
        </is>
      </c>
      <c r="N1156" t="inlineStr">
        <is>
          <t>S/N</t>
        </is>
      </c>
      <c r="O1156" t="inlineStr">
        <is>
          <t>R</t>
        </is>
      </c>
      <c r="P1156">
        <f>TRIM(N1156)</f>
        <v/>
      </c>
    </row>
    <row r="1157">
      <c r="A1157" t="inlineStr">
        <is>
          <t>CO-001679</t>
        </is>
      </c>
      <c r="B1157" t="inlineStr">
        <is>
          <t>CONFECCIONES LIAM S.A.C.</t>
        </is>
      </c>
      <c r="C1157" t="inlineStr">
        <is>
          <t>20610575685</t>
        </is>
      </c>
      <c r="D1157" t="inlineStr">
        <is>
          <t>AV. CONDORCANQUI MZ. A LT. 4 URB. SAN ISIDRO SAN FELIPE - COMAS</t>
        </is>
      </c>
      <c r="E1157" t="inlineStr">
        <is>
          <t>Lima, 04 de Diciembre de 2023</t>
        </is>
      </c>
      <c r="F1157" t="inlineStr">
        <is>
          <t>la Recarga y mantenimiento</t>
        </is>
      </c>
      <c r="G1157" t="inlineStr">
        <is>
          <t>01</t>
        </is>
      </c>
      <c r="H1157" t="inlineStr">
        <is>
          <t>09 KG</t>
        </is>
      </c>
      <c r="I1157" t="inlineStr">
        <is>
          <t>2026</t>
        </is>
      </c>
      <c r="J1157" t="n">
        <v>2021</v>
      </c>
      <c r="K1157" t="inlineStr">
        <is>
          <t>DICIEMBRE 2023</t>
        </is>
      </c>
      <c r="L1157" t="inlineStr">
        <is>
          <t>DICIEMBRE 2024</t>
        </is>
      </c>
      <c r="M1157" t="inlineStr">
        <is>
          <t>PQS TIPO ABC</t>
        </is>
      </c>
      <c r="N1157" t="inlineStr">
        <is>
          <t>287225</t>
        </is>
      </c>
      <c r="O1157" t="inlineStr">
        <is>
          <t>R</t>
        </is>
      </c>
      <c r="P1157">
        <f>TRIM(N1157)</f>
        <v/>
      </c>
    </row>
    <row r="1158">
      <c r="A1158" t="inlineStr">
        <is>
          <t>CO-001680</t>
        </is>
      </c>
      <c r="B1158" t="inlineStr">
        <is>
          <t>QELLPU PERU S.A.</t>
        </is>
      </c>
      <c r="C1158" t="n">
        <v>20492318656</v>
      </c>
      <c r="D1158" t="inlineStr">
        <is>
          <t>AV. LOS INCAS CDRA. 4 PATIO NORTE - COMAS</t>
        </is>
      </c>
      <c r="E1158" t="inlineStr">
        <is>
          <t>Lima, 04 de Diciembre de 2023</t>
        </is>
      </c>
      <c r="F1158" t="inlineStr">
        <is>
          <t>la Recarga y mantenimiento</t>
        </is>
      </c>
      <c r="G1158" t="inlineStr">
        <is>
          <t>01</t>
        </is>
      </c>
      <c r="H1158" t="inlineStr">
        <is>
          <t>06 KG</t>
        </is>
      </c>
      <c r="I1158" t="inlineStr">
        <is>
          <t>2028</t>
        </is>
      </c>
      <c r="J1158" t="n">
        <v>2010</v>
      </c>
      <c r="K1158" t="inlineStr">
        <is>
          <t>DICIEMBRE 2023</t>
        </is>
      </c>
      <c r="L1158" t="inlineStr">
        <is>
          <t>DICIEMBRE 2024</t>
        </is>
      </c>
      <c r="M1158" t="inlineStr">
        <is>
          <t>P.Q.S TIPO ABC AL 90 % NACIONAL</t>
        </is>
      </c>
      <c r="N1158" t="inlineStr">
        <is>
          <t>22 / 000232</t>
        </is>
      </c>
      <c r="O1158" t="inlineStr">
        <is>
          <t>R</t>
        </is>
      </c>
      <c r="P1158">
        <f>TRIM(N1158)</f>
        <v/>
      </c>
    </row>
    <row r="1159">
      <c r="A1159" t="inlineStr">
        <is>
          <t>CO-001680</t>
        </is>
      </c>
      <c r="B1159" t="inlineStr">
        <is>
          <t>QELLPU PERU S.A.</t>
        </is>
      </c>
      <c r="C1159" t="n">
        <v>20492318656</v>
      </c>
      <c r="D1159" t="inlineStr">
        <is>
          <t>AV. LOS INCAS CDRA. 4 PATIO NORTE - COMAS</t>
        </is>
      </c>
      <c r="E1159" t="inlineStr">
        <is>
          <t>Lima, 04 de Diciembre de 2023</t>
        </is>
      </c>
      <c r="F1159" t="inlineStr">
        <is>
          <t>la Recarga y mantenimiento</t>
        </is>
      </c>
      <c r="G1159" t="inlineStr">
        <is>
          <t>02</t>
        </is>
      </c>
      <c r="H1159" t="inlineStr">
        <is>
          <t>06 KG</t>
        </is>
      </c>
      <c r="I1159" t="inlineStr">
        <is>
          <t>2028</t>
        </is>
      </c>
      <c r="J1159" t="n">
        <v>2010</v>
      </c>
      <c r="K1159" t="inlineStr">
        <is>
          <t>DICIEMBRE 2023</t>
        </is>
      </c>
      <c r="L1159" t="inlineStr">
        <is>
          <t>DICIEMBRE 2024</t>
        </is>
      </c>
      <c r="M1159" t="inlineStr">
        <is>
          <t>P.Q.S TIPO ABC AL 90 % NACIONAL</t>
        </is>
      </c>
      <c r="N1159" t="inlineStr">
        <is>
          <t>23 / 002313</t>
        </is>
      </c>
      <c r="O1159" t="inlineStr">
        <is>
          <t>R</t>
        </is>
      </c>
      <c r="P1159">
        <f>TRIM(N1159)</f>
        <v/>
      </c>
    </row>
    <row r="1160">
      <c r="A1160" t="inlineStr">
        <is>
          <t>CO-001680</t>
        </is>
      </c>
      <c r="B1160" t="inlineStr">
        <is>
          <t>QELLPU PERU S.A.</t>
        </is>
      </c>
      <c r="C1160" t="n">
        <v>20492318656</v>
      </c>
      <c r="D1160" t="inlineStr">
        <is>
          <t>AV. LOS INCAS CDRA. 4 PATIO NORTE - COMAS</t>
        </is>
      </c>
      <c r="E1160" t="inlineStr">
        <is>
          <t>Lima, 04 de Diciembre de 2023</t>
        </is>
      </c>
      <c r="F1160" t="inlineStr">
        <is>
          <t>la Recarga y mantenimiento</t>
        </is>
      </c>
      <c r="G1160" t="inlineStr">
        <is>
          <t>03</t>
        </is>
      </c>
      <c r="H1160" t="inlineStr">
        <is>
          <t>06 KG</t>
        </is>
      </c>
      <c r="I1160" t="inlineStr">
        <is>
          <t>2028</t>
        </is>
      </c>
      <c r="J1160" t="n">
        <v>2010</v>
      </c>
      <c r="K1160" t="inlineStr">
        <is>
          <t>DICIEMBRE 2023</t>
        </is>
      </c>
      <c r="L1160" t="inlineStr">
        <is>
          <t>DICIEMBRE 2024</t>
        </is>
      </c>
      <c r="M1160" t="inlineStr">
        <is>
          <t>P.Q.S TIPO ABC AL 90 % NACIONAL</t>
        </is>
      </c>
      <c r="N1160" t="inlineStr">
        <is>
          <t>24 / 000005</t>
        </is>
      </c>
      <c r="O1160" t="inlineStr">
        <is>
          <t>R</t>
        </is>
      </c>
      <c r="P1160">
        <f>TRIM(N1160)</f>
        <v/>
      </c>
    </row>
    <row r="1161">
      <c r="A1161" t="inlineStr">
        <is>
          <t>CO-001680</t>
        </is>
      </c>
      <c r="B1161" t="inlineStr">
        <is>
          <t>QELLPU PERU S.A.</t>
        </is>
      </c>
      <c r="C1161" t="n">
        <v>20492318656</v>
      </c>
      <c r="D1161" t="inlineStr">
        <is>
          <t>AV. LOS INCAS CDRA. 4 PATIO NORTE - COMAS</t>
        </is>
      </c>
      <c r="E1161" t="inlineStr">
        <is>
          <t>Lima, 04 de Diciembre de 2023</t>
        </is>
      </c>
      <c r="F1161" t="inlineStr">
        <is>
          <t>la Recarga y mantenimiento</t>
        </is>
      </c>
      <c r="G1161" t="inlineStr">
        <is>
          <t>04</t>
        </is>
      </c>
      <c r="H1161" t="inlineStr">
        <is>
          <t>06 KG</t>
        </is>
      </c>
      <c r="I1161" t="inlineStr">
        <is>
          <t>2028</t>
        </is>
      </c>
      <c r="J1161" t="n">
        <v>2011</v>
      </c>
      <c r="K1161" t="inlineStr">
        <is>
          <t>DICIEMBRE 2023</t>
        </is>
      </c>
      <c r="L1161" t="inlineStr">
        <is>
          <t>DICIEMBRE 2024</t>
        </is>
      </c>
      <c r="M1161" t="inlineStr">
        <is>
          <t>P.Q.S TIPO ABC AL 90 % NACIONAL</t>
        </is>
      </c>
      <c r="N1161" t="inlineStr">
        <is>
          <t>25 / 000057</t>
        </is>
      </c>
      <c r="O1161" t="inlineStr">
        <is>
          <t>R</t>
        </is>
      </c>
      <c r="P1161">
        <f>TRIM(N1161)</f>
        <v/>
      </c>
    </row>
    <row r="1162">
      <c r="A1162" t="inlineStr">
        <is>
          <t>CO-001680</t>
        </is>
      </c>
      <c r="B1162" t="inlineStr">
        <is>
          <t>QELLPU PERU S.A.</t>
        </is>
      </c>
      <c r="C1162" t="n">
        <v>20492318656</v>
      </c>
      <c r="D1162" t="inlineStr">
        <is>
          <t>AV. LOS INCAS CDRA. 4 PATIO NORTE - COMAS</t>
        </is>
      </c>
      <c r="E1162" t="inlineStr">
        <is>
          <t>Lima, 04 de Diciembre de 2023</t>
        </is>
      </c>
      <c r="F1162" t="inlineStr">
        <is>
          <t>la Recarga y mantenimiento</t>
        </is>
      </c>
      <c r="G1162" t="inlineStr">
        <is>
          <t>05</t>
        </is>
      </c>
      <c r="H1162" t="inlineStr">
        <is>
          <t>2.5 GLS</t>
        </is>
      </c>
      <c r="I1162" t="inlineStr">
        <is>
          <t>2028</t>
        </is>
      </c>
      <c r="J1162" t="n">
        <v>2020</v>
      </c>
      <c r="K1162" t="inlineStr">
        <is>
          <t>DICIEMBRE 2023</t>
        </is>
      </c>
      <c r="L1162" t="inlineStr">
        <is>
          <t>DICIEMBRE 2024</t>
        </is>
      </c>
      <c r="M1162" t="inlineStr">
        <is>
          <t>EXTINTOR DE ESPUMA AFFF AL 6% TIPO AB</t>
        </is>
      </c>
      <c r="N1162" t="inlineStr">
        <is>
          <t>26 / 000417</t>
        </is>
      </c>
      <c r="O1162" t="inlineStr">
        <is>
          <t>R</t>
        </is>
      </c>
      <c r="P1162">
        <f>TRIM(N1162)</f>
        <v/>
      </c>
    </row>
    <row r="1163">
      <c r="A1163" t="inlineStr">
        <is>
          <t>CO-001680</t>
        </is>
      </c>
      <c r="B1163" t="inlineStr">
        <is>
          <t>QELLPU PERU S.A.</t>
        </is>
      </c>
      <c r="C1163" t="n">
        <v>20492318656</v>
      </c>
      <c r="D1163" t="inlineStr">
        <is>
          <t>AV. LOS INCAS CDRA. 4 PATIO NORTE - COMAS</t>
        </is>
      </c>
      <c r="E1163" t="inlineStr">
        <is>
          <t>Lima, 04 de Diciembre de 2023</t>
        </is>
      </c>
      <c r="F1163" t="inlineStr">
        <is>
          <t>la Recarga y mantenimiento</t>
        </is>
      </c>
      <c r="G1163" t="inlineStr">
        <is>
          <t>06</t>
        </is>
      </c>
      <c r="H1163" t="inlineStr">
        <is>
          <t>06 KG</t>
        </is>
      </c>
      <c r="I1163" t="inlineStr">
        <is>
          <t>2028</t>
        </is>
      </c>
      <c r="J1163" t="n">
        <v>2010</v>
      </c>
      <c r="K1163" t="inlineStr">
        <is>
          <t>DICIEMBRE 2023</t>
        </is>
      </c>
      <c r="L1163" t="inlineStr">
        <is>
          <t>DICIEMBRE 2024</t>
        </is>
      </c>
      <c r="M1163" t="inlineStr">
        <is>
          <t>P.Q.S TIPO ABC AL 90 % NACIONAL</t>
        </is>
      </c>
      <c r="N1163" t="inlineStr">
        <is>
          <t>27 / 001046</t>
        </is>
      </c>
      <c r="O1163" t="inlineStr">
        <is>
          <t>R</t>
        </is>
      </c>
      <c r="P1163">
        <f>TRIM(N1163)</f>
        <v/>
      </c>
    </row>
    <row r="1164">
      <c r="A1164" t="inlineStr">
        <is>
          <t>CO-001680</t>
        </is>
      </c>
      <c r="B1164" t="inlineStr">
        <is>
          <t>QELLPU PERU S.A.</t>
        </is>
      </c>
      <c r="C1164" t="n">
        <v>20492318656</v>
      </c>
      <c r="D1164" t="inlineStr">
        <is>
          <t>AV. LOS INCAS CDRA. 4 PATIO NORTE - COMAS</t>
        </is>
      </c>
      <c r="E1164" t="inlineStr">
        <is>
          <t>Lima, 04 de Diciembre de 2023</t>
        </is>
      </c>
      <c r="F1164" t="inlineStr">
        <is>
          <t>la Recarga y mantenimiento</t>
        </is>
      </c>
      <c r="G1164" t="inlineStr">
        <is>
          <t>07</t>
        </is>
      </c>
      <c r="H1164" t="inlineStr">
        <is>
          <t>10 LBS</t>
        </is>
      </c>
      <c r="I1164" t="n">
        <v>2025</v>
      </c>
      <c r="J1164" t="inlineStr">
        <is>
          <t>S / N</t>
        </is>
      </c>
      <c r="K1164" t="inlineStr">
        <is>
          <t>DICIEMBRE 2023</t>
        </is>
      </c>
      <c r="L1164" t="inlineStr">
        <is>
          <t>DICIEMBRE 2024</t>
        </is>
      </c>
      <c r="M1164" t="inlineStr">
        <is>
          <t>CO2 / TIPO BC</t>
        </is>
      </c>
      <c r="N1164" t="inlineStr">
        <is>
          <t>05 / S / N</t>
        </is>
      </c>
      <c r="O1164" t="inlineStr">
        <is>
          <t>R</t>
        </is>
      </c>
      <c r="P1164">
        <f>TRIM(N1164)</f>
        <v/>
      </c>
    </row>
    <row r="1165">
      <c r="A1165" t="inlineStr">
        <is>
          <t>CO-001681</t>
        </is>
      </c>
      <c r="B1165" t="inlineStr">
        <is>
          <t>BOTICAS HOUSE FARMA DE: NERY</t>
        </is>
      </c>
      <c r="C1165" t="inlineStr">
        <is>
          <t>41420041</t>
        </is>
      </c>
      <c r="D1165" t="inlineStr">
        <is>
          <t>SAN PEDRO DE CARABAYLLO</t>
        </is>
      </c>
      <c r="E1165" t="inlineStr">
        <is>
          <t>Lima,  05 de Diciembre de 2023</t>
        </is>
      </c>
      <c r="F1165" t="inlineStr">
        <is>
          <t>la Recarga y mantenimiento</t>
        </is>
      </c>
      <c r="G1165" t="inlineStr">
        <is>
          <t>01</t>
        </is>
      </c>
      <c r="H1165" t="inlineStr">
        <is>
          <t>06 KG</t>
        </is>
      </c>
      <c r="I1165" t="inlineStr">
        <is>
          <t>2027</t>
        </is>
      </c>
      <c r="J1165" t="n">
        <v>2015</v>
      </c>
      <c r="K1165" t="inlineStr">
        <is>
          <t>DICIEMBRE 2023</t>
        </is>
      </c>
      <c r="L1165" t="inlineStr">
        <is>
          <t>DICIEMBRE 2024</t>
        </is>
      </c>
      <c r="M1165" t="inlineStr">
        <is>
          <t xml:space="preserve">P.Q.S.  TIPO ABC </t>
        </is>
      </c>
      <c r="N1165" t="inlineStr">
        <is>
          <t>01 / 005163</t>
        </is>
      </c>
      <c r="O1165" t="inlineStr">
        <is>
          <t>R</t>
        </is>
      </c>
      <c r="P1165">
        <f>TRIM(N1165)</f>
        <v/>
      </c>
    </row>
    <row r="1166">
      <c r="A1166" t="inlineStr">
        <is>
          <t>CO-001682</t>
        </is>
      </c>
      <c r="B1166" t="inlineStr">
        <is>
          <t>CONSULTORIO MEDICO MI SALVADOR</t>
        </is>
      </c>
      <c r="C1166" t="inlineStr">
        <is>
          <t>45429456</t>
        </is>
      </c>
      <c r="D1166" t="inlineStr">
        <is>
          <t>MZ "A" LT "5" ASOC. VIVIENDA SAN LUIS - CARABAYLLO</t>
        </is>
      </c>
      <c r="E1166" t="inlineStr">
        <is>
          <t>Lima,  06 de Diciembre de 2023</t>
        </is>
      </c>
      <c r="F1166" t="inlineStr">
        <is>
          <t>la Recarga y mantenimiento</t>
        </is>
      </c>
      <c r="G1166" t="inlineStr">
        <is>
          <t>01</t>
        </is>
      </c>
      <c r="H1166" t="inlineStr">
        <is>
          <t>06 KG</t>
        </is>
      </c>
      <c r="I1166" t="inlineStr">
        <is>
          <t>2026</t>
        </is>
      </c>
      <c r="J1166" t="n">
        <v>2021</v>
      </c>
      <c r="K1166" t="inlineStr">
        <is>
          <t>DICIEMBRE 2023</t>
        </is>
      </c>
      <c r="L1166" t="inlineStr">
        <is>
          <t>DICIEMBRE 2024</t>
        </is>
      </c>
      <c r="M1166" t="inlineStr">
        <is>
          <t xml:space="preserve">P.Q.S.  TIPO ABC </t>
        </is>
      </c>
      <c r="N1166" t="inlineStr">
        <is>
          <t>137832</t>
        </is>
      </c>
      <c r="O1166" t="inlineStr">
        <is>
          <t>R</t>
        </is>
      </c>
      <c r="P1166">
        <f>TRIM(N1166)</f>
        <v/>
      </c>
    </row>
    <row r="1167">
      <c r="A1167" t="inlineStr">
        <is>
          <t>CO-001682</t>
        </is>
      </c>
      <c r="B1167" t="inlineStr">
        <is>
          <t>CONSULTORIO MEDICO MI SALVADOR</t>
        </is>
      </c>
      <c r="C1167" t="inlineStr">
        <is>
          <t>45429456</t>
        </is>
      </c>
      <c r="D1167" t="inlineStr">
        <is>
          <t>MZ "A" LT "5" ASOC. VIVIENDA SAN LUIS - CARABAYLLO</t>
        </is>
      </c>
      <c r="E1167" t="inlineStr">
        <is>
          <t>Lima,  06 de Diciembre de 2023</t>
        </is>
      </c>
      <c r="F1167" t="inlineStr">
        <is>
          <t>la Recarga y mantenimiento</t>
        </is>
      </c>
      <c r="G1167" t="inlineStr">
        <is>
          <t>02</t>
        </is>
      </c>
      <c r="H1167" t="inlineStr">
        <is>
          <t>06 KG</t>
        </is>
      </c>
      <c r="I1167" t="inlineStr">
        <is>
          <t>2026</t>
        </is>
      </c>
      <c r="J1167" t="n">
        <v>2021</v>
      </c>
      <c r="K1167" t="inlineStr">
        <is>
          <t>DICIEMBRE 2023</t>
        </is>
      </c>
      <c r="L1167" t="inlineStr">
        <is>
          <t>DICIEMBRE 2024</t>
        </is>
      </c>
      <c r="M1167" t="inlineStr">
        <is>
          <t xml:space="preserve">P.Q.S.  TIPO ABC </t>
        </is>
      </c>
      <c r="N1167" t="inlineStr">
        <is>
          <t>137777</t>
        </is>
      </c>
      <c r="O1167" t="inlineStr">
        <is>
          <t>R</t>
        </is>
      </c>
      <c r="P1167">
        <f>TRIM(N1167)</f>
        <v/>
      </c>
    </row>
    <row r="1168">
      <c r="A1168" t="inlineStr">
        <is>
          <t>CO-001683</t>
        </is>
      </c>
      <c r="B1168" t="inlineStr">
        <is>
          <t>MERCADO MODELO LA ALBORADA</t>
        </is>
      </c>
      <c r="C1168" t="inlineStr">
        <is>
          <t>20492406512</t>
        </is>
      </c>
      <c r="D1168" t="inlineStr">
        <is>
          <t>CALLE VIOLETAS 170 URB. LA ALBORADA ZONA A - COMAS</t>
        </is>
      </c>
      <c r="E1168" t="inlineStr">
        <is>
          <t>Lima, 14 de Diciembre de 2023</t>
        </is>
      </c>
      <c r="F1168" t="inlineStr">
        <is>
          <t>la Recarga y mantenimiento</t>
        </is>
      </c>
      <c r="G1168" t="inlineStr">
        <is>
          <t>01</t>
        </is>
      </c>
      <c r="H1168" t="inlineStr">
        <is>
          <t>06 KG</t>
        </is>
      </c>
      <c r="I1168" t="inlineStr">
        <is>
          <t>VIGENTE</t>
        </is>
      </c>
      <c r="J1168" t="n">
        <v>2014</v>
      </c>
      <c r="K1168" t="inlineStr">
        <is>
          <t>DICIEMBRE 2023</t>
        </is>
      </c>
      <c r="L1168" t="inlineStr">
        <is>
          <t>DICIEMBRE 2024</t>
        </is>
      </c>
      <c r="M1168" t="inlineStr">
        <is>
          <t xml:space="preserve">P.Q.S.  TIPO ABC </t>
        </is>
      </c>
      <c r="N1168" t="inlineStr">
        <is>
          <t>000017</t>
        </is>
      </c>
      <c r="O1168" t="inlineStr">
        <is>
          <t>R</t>
        </is>
      </c>
      <c r="P1168">
        <f>TRIM(N1168)</f>
        <v/>
      </c>
    </row>
    <row r="1169">
      <c r="A1169" t="inlineStr">
        <is>
          <t>CO-001683</t>
        </is>
      </c>
      <c r="B1169" t="inlineStr">
        <is>
          <t>MERCADO MODELO LA ALBORADA</t>
        </is>
      </c>
      <c r="C1169" t="inlineStr">
        <is>
          <t>20492406512</t>
        </is>
      </c>
      <c r="D1169" t="inlineStr">
        <is>
          <t>CALLE VIOLETAS 170 URB. LA ALBORADA ZONA A - COMAS</t>
        </is>
      </c>
      <c r="E1169" t="inlineStr">
        <is>
          <t>Lima, 14 de Diciembre de 2023</t>
        </is>
      </c>
      <c r="F1169" t="inlineStr">
        <is>
          <t>la Recarga y mantenimiento</t>
        </is>
      </c>
      <c r="G1169" t="inlineStr">
        <is>
          <t>02</t>
        </is>
      </c>
      <c r="H1169" t="inlineStr">
        <is>
          <t>06 KG</t>
        </is>
      </c>
      <c r="I1169" t="inlineStr">
        <is>
          <t>VIGENTE</t>
        </is>
      </c>
      <c r="J1169" t="n">
        <v>2017</v>
      </c>
      <c r="K1169" t="inlineStr">
        <is>
          <t>DICIEMBRE 2023</t>
        </is>
      </c>
      <c r="L1169" t="inlineStr">
        <is>
          <t>DICIEMBRE 2024</t>
        </is>
      </c>
      <c r="M1169" t="inlineStr">
        <is>
          <t xml:space="preserve">P.Q.S.  TIPO ABC </t>
        </is>
      </c>
      <c r="N1169" t="inlineStr">
        <is>
          <t>000369</t>
        </is>
      </c>
      <c r="P1169">
        <f>TRIM(N1169)</f>
        <v/>
      </c>
    </row>
    <row r="1170">
      <c r="A1170" t="inlineStr">
        <is>
          <t>CO-001684</t>
        </is>
      </c>
      <c r="B1170" t="inlineStr">
        <is>
          <t>PERU MASIVO S.A.</t>
        </is>
      </c>
      <c r="C1170" t="inlineStr">
        <is>
          <t>20492392031</t>
        </is>
      </c>
      <c r="D1170" t="inlineStr">
        <is>
          <t>AV. LOS INCAS CDRA. 4 PATIO NORTE - COMAS</t>
        </is>
      </c>
      <c r="E1170" t="inlineStr">
        <is>
          <t>Lima, 15 de Diciembre de 2023</t>
        </is>
      </c>
      <c r="F1170" t="inlineStr">
        <is>
          <t>la Recarga y mantenimiento</t>
        </is>
      </c>
      <c r="G1170" t="inlineStr">
        <is>
          <t>01</t>
        </is>
      </c>
      <c r="H1170" t="inlineStr">
        <is>
          <t>06 KG</t>
        </is>
      </c>
      <c r="I1170" t="inlineStr">
        <is>
          <t>2028</t>
        </is>
      </c>
      <c r="J1170" t="n">
        <v>2010</v>
      </c>
      <c r="K1170" t="inlineStr">
        <is>
          <t>DICIEMBRE 2023</t>
        </is>
      </c>
      <c r="L1170" t="inlineStr">
        <is>
          <t>DICIEMBRE 2024</t>
        </is>
      </c>
      <c r="M1170" t="inlineStr">
        <is>
          <t>P.Q.S TIPO ABC AL 90 % NACIONAL</t>
        </is>
      </c>
      <c r="N1170" t="inlineStr">
        <is>
          <t>11 / 000005</t>
        </is>
      </c>
      <c r="O1170" t="inlineStr">
        <is>
          <t>R</t>
        </is>
      </c>
      <c r="P1170">
        <f>TRIM(N1170)</f>
        <v/>
      </c>
    </row>
    <row r="1171">
      <c r="A1171" t="inlineStr">
        <is>
          <t>CO-001684</t>
        </is>
      </c>
      <c r="B1171" t="inlineStr">
        <is>
          <t>PERU MASIVO S.A.</t>
        </is>
      </c>
      <c r="C1171" t="inlineStr">
        <is>
          <t>20492392031</t>
        </is>
      </c>
      <c r="D1171" t="inlineStr">
        <is>
          <t>AV. LOS INCAS CDRA. 4 PATIO NORTE - COMAS</t>
        </is>
      </c>
      <c r="E1171" t="inlineStr">
        <is>
          <t>Lima, 15 de Diciembre de 2023</t>
        </is>
      </c>
      <c r="F1171" t="inlineStr">
        <is>
          <t>la Recarga y mantenimiento</t>
        </is>
      </c>
      <c r="G1171" t="inlineStr">
        <is>
          <t>02</t>
        </is>
      </c>
      <c r="H1171" t="inlineStr">
        <is>
          <t>06 KG</t>
        </is>
      </c>
      <c r="I1171" t="inlineStr">
        <is>
          <t>2028</t>
        </is>
      </c>
      <c r="J1171" t="n">
        <v>2010</v>
      </c>
      <c r="K1171" t="inlineStr">
        <is>
          <t>DICIEMBRE 2023</t>
        </is>
      </c>
      <c r="L1171" t="inlineStr">
        <is>
          <t>DICIEMBRE 2024</t>
        </is>
      </c>
      <c r="M1171" t="inlineStr">
        <is>
          <t>P.Q.S TIPO ABC AL 90 % NACIONAL</t>
        </is>
      </c>
      <c r="N1171" t="inlineStr">
        <is>
          <t>255 / 000108</t>
        </is>
      </c>
      <c r="O1171" t="inlineStr">
        <is>
          <t>R</t>
        </is>
      </c>
      <c r="P1171">
        <f>TRIM(N1171)</f>
        <v/>
      </c>
    </row>
    <row r="1172">
      <c r="A1172" t="inlineStr">
        <is>
          <t>CO-001684</t>
        </is>
      </c>
      <c r="B1172" t="inlineStr">
        <is>
          <t>PERU MASIVO S.A.</t>
        </is>
      </c>
      <c r="C1172" t="inlineStr">
        <is>
          <t>20492392031</t>
        </is>
      </c>
      <c r="D1172" t="inlineStr">
        <is>
          <t>AV. LOS INCAS CDRA. 4 PATIO NORTE - COMAS</t>
        </is>
      </c>
      <c r="E1172" t="inlineStr">
        <is>
          <t>Lima, 15 de Diciembre de 2023</t>
        </is>
      </c>
      <c r="F1172" t="inlineStr">
        <is>
          <t>la Recarga y mantenimiento</t>
        </is>
      </c>
      <c r="G1172" t="inlineStr">
        <is>
          <t>03</t>
        </is>
      </c>
      <c r="H1172" t="inlineStr">
        <is>
          <t>06 KG</t>
        </is>
      </c>
      <c r="I1172" t="n">
        <v>2028</v>
      </c>
      <c r="J1172" t="n">
        <v>2009</v>
      </c>
      <c r="K1172" t="inlineStr">
        <is>
          <t>DICIEMBRE 2023</t>
        </is>
      </c>
      <c r="L1172" t="inlineStr">
        <is>
          <t>DICIEMBRE 2024</t>
        </is>
      </c>
      <c r="M1172" t="inlineStr">
        <is>
          <t>P.Q.S TIPO ABC AL 90 % NACIONAL</t>
        </is>
      </c>
      <c r="N1172" t="inlineStr">
        <is>
          <t>221 / 001544</t>
        </is>
      </c>
      <c r="O1172" t="inlineStr">
        <is>
          <t>R</t>
        </is>
      </c>
      <c r="P1172">
        <f>TRIM(N1172)</f>
        <v/>
      </c>
    </row>
    <row r="1173">
      <c r="A1173" t="inlineStr">
        <is>
          <t>CO-001684</t>
        </is>
      </c>
      <c r="B1173" t="inlineStr">
        <is>
          <t>PERU MASIVO S.A.</t>
        </is>
      </c>
      <c r="C1173" t="inlineStr">
        <is>
          <t>20492392031</t>
        </is>
      </c>
      <c r="D1173" t="inlineStr">
        <is>
          <t>AV. LOS INCAS CDRA. 4 PATIO NORTE - COMAS</t>
        </is>
      </c>
      <c r="E1173" t="inlineStr">
        <is>
          <t>Lima, 15 de Diciembre de 2023</t>
        </is>
      </c>
      <c r="F1173" t="inlineStr">
        <is>
          <t>la Recarga y mantenimiento</t>
        </is>
      </c>
      <c r="G1173" t="inlineStr">
        <is>
          <t>04</t>
        </is>
      </c>
      <c r="H1173" t="inlineStr">
        <is>
          <t>06 KG</t>
        </is>
      </c>
      <c r="I1173" t="n">
        <v>2028</v>
      </c>
      <c r="J1173" t="n">
        <v>2009</v>
      </c>
      <c r="K1173" t="inlineStr">
        <is>
          <t>DICIEMBRE 2023</t>
        </is>
      </c>
      <c r="L1173" t="inlineStr">
        <is>
          <t>DICIEMBRE 2024</t>
        </is>
      </c>
      <c r="M1173" t="inlineStr">
        <is>
          <t>P.Q.S TIPO ABC AL 90 % NACIONAL</t>
        </is>
      </c>
      <c r="N1173" t="inlineStr">
        <is>
          <t>304 / 001244</t>
        </is>
      </c>
      <c r="O1173" t="inlineStr">
        <is>
          <t>R</t>
        </is>
      </c>
      <c r="P1173">
        <f>TRIM(N1173)</f>
        <v/>
      </c>
    </row>
    <row r="1174">
      <c r="A1174" t="inlineStr">
        <is>
          <t>CO-001684</t>
        </is>
      </c>
      <c r="B1174" t="inlineStr">
        <is>
          <t>PERU MASIVO S.A.</t>
        </is>
      </c>
      <c r="C1174" t="inlineStr">
        <is>
          <t>20492392031</t>
        </is>
      </c>
      <c r="D1174" t="inlineStr">
        <is>
          <t>AV. LOS INCAS CDRA. 4 PATIO NORTE - COMAS</t>
        </is>
      </c>
      <c r="E1174" t="inlineStr">
        <is>
          <t>Lima, 15 de Diciembre de 2023</t>
        </is>
      </c>
      <c r="F1174" t="inlineStr">
        <is>
          <t>la Recarga y mantenimiento</t>
        </is>
      </c>
      <c r="G1174" t="inlineStr">
        <is>
          <t>05</t>
        </is>
      </c>
      <c r="H1174" t="inlineStr">
        <is>
          <t>06 KG</t>
        </is>
      </c>
      <c r="I1174" t="n">
        <v>2028</v>
      </c>
      <c r="J1174" t="n">
        <v>2010</v>
      </c>
      <c r="K1174" t="inlineStr">
        <is>
          <t>DICIEMBRE 2023</t>
        </is>
      </c>
      <c r="L1174" t="inlineStr">
        <is>
          <t>DICIEMBRE 2024</t>
        </is>
      </c>
      <c r="M1174" t="inlineStr">
        <is>
          <t>P.Q.S TIPO ABC AL 90 % NACIONAL</t>
        </is>
      </c>
      <c r="N1174" t="inlineStr">
        <is>
          <t>342 / 000934</t>
        </is>
      </c>
      <c r="O1174" t="inlineStr">
        <is>
          <t>R</t>
        </is>
      </c>
      <c r="P1174">
        <f>TRIM(N1174)</f>
        <v/>
      </c>
    </row>
    <row r="1175">
      <c r="A1175" t="inlineStr">
        <is>
          <t>CO-001684</t>
        </is>
      </c>
      <c r="B1175" t="inlineStr">
        <is>
          <t>PERU MASIVO S.A.</t>
        </is>
      </c>
      <c r="C1175" t="inlineStr">
        <is>
          <t>20492392031</t>
        </is>
      </c>
      <c r="D1175" t="inlineStr">
        <is>
          <t>AV. LOS INCAS CDRA. 4 PATIO NORTE - COMAS</t>
        </is>
      </c>
      <c r="E1175" t="inlineStr">
        <is>
          <t>Lima, 15 de Diciembre de 2023</t>
        </is>
      </c>
      <c r="F1175" t="inlineStr">
        <is>
          <t>la Recarga y mantenimiento</t>
        </is>
      </c>
      <c r="G1175" t="inlineStr">
        <is>
          <t>06</t>
        </is>
      </c>
      <c r="H1175" t="inlineStr">
        <is>
          <t>06 KG</t>
        </is>
      </c>
      <c r="I1175" t="n">
        <v>2028</v>
      </c>
      <c r="J1175" t="n">
        <v>2017</v>
      </c>
      <c r="K1175" t="inlineStr">
        <is>
          <t>DICIEMBRE 2023</t>
        </is>
      </c>
      <c r="L1175" t="inlineStr">
        <is>
          <t>DICIEMBRE 2024</t>
        </is>
      </c>
      <c r="M1175" t="inlineStr">
        <is>
          <t>P.Q.S TIPO ABC AL 90 % NACIONAL</t>
        </is>
      </c>
      <c r="N1175" t="inlineStr">
        <is>
          <t>S/N / 000638</t>
        </is>
      </c>
      <c r="O1175" t="inlineStr">
        <is>
          <t>R</t>
        </is>
      </c>
      <c r="P1175">
        <f>TRIM(N1175)</f>
        <v/>
      </c>
    </row>
    <row r="1176">
      <c r="A1176" t="inlineStr">
        <is>
          <t>CO-001684</t>
        </is>
      </c>
      <c r="B1176" t="inlineStr">
        <is>
          <t>PERU MASIVO S.A.</t>
        </is>
      </c>
      <c r="C1176" t="inlineStr">
        <is>
          <t>20492392031</t>
        </is>
      </c>
      <c r="D1176" t="inlineStr">
        <is>
          <t>AV. LOS INCAS CDRA. 4 PATIO NORTE - COMAS</t>
        </is>
      </c>
      <c r="E1176" t="inlineStr">
        <is>
          <t>Lima, 15 de Diciembre de 2023</t>
        </is>
      </c>
      <c r="F1176" t="inlineStr">
        <is>
          <t>la Recarga y mantenimiento</t>
        </is>
      </c>
      <c r="G1176" t="inlineStr">
        <is>
          <t>07</t>
        </is>
      </c>
      <c r="H1176" t="inlineStr">
        <is>
          <t>06 KG</t>
        </is>
      </c>
      <c r="I1176" t="n">
        <v>2028</v>
      </c>
      <c r="J1176" t="n">
        <v>2010</v>
      </c>
      <c r="K1176" t="inlineStr">
        <is>
          <t>DICIEMBRE 2023</t>
        </is>
      </c>
      <c r="L1176" t="inlineStr">
        <is>
          <t>DICIEMBRE 2024</t>
        </is>
      </c>
      <c r="M1176" t="inlineStr">
        <is>
          <t>P.Q.S TIPO ABC AL 90 % NACIONAL</t>
        </is>
      </c>
      <c r="N1176" t="inlineStr">
        <is>
          <t>S/N / 000005</t>
        </is>
      </c>
      <c r="O1176" t="inlineStr">
        <is>
          <t>R</t>
        </is>
      </c>
      <c r="P1176">
        <f>TRIM(N1176)</f>
        <v/>
      </c>
    </row>
    <row r="1177">
      <c r="A1177" t="inlineStr">
        <is>
          <t>CO-001684</t>
        </is>
      </c>
      <c r="B1177" t="inlineStr">
        <is>
          <t>PERU MASIVO S.A.</t>
        </is>
      </c>
      <c r="C1177" t="inlineStr">
        <is>
          <t>20492392031</t>
        </is>
      </c>
      <c r="D1177" t="inlineStr">
        <is>
          <t>AV. LOS INCAS CDRA. 4 PATIO NORTE - COMAS</t>
        </is>
      </c>
      <c r="E1177" t="inlineStr">
        <is>
          <t>Lima, 15 de Diciembre de 2023</t>
        </is>
      </c>
      <c r="F1177" t="inlineStr">
        <is>
          <t>la Recarga y mantenimiento</t>
        </is>
      </c>
      <c r="G1177" t="inlineStr">
        <is>
          <t>08</t>
        </is>
      </c>
      <c r="H1177" t="inlineStr">
        <is>
          <t xml:space="preserve">06 KG </t>
        </is>
      </c>
      <c r="I1177" t="n">
        <v>2028</v>
      </c>
      <c r="J1177" t="inlineStr">
        <is>
          <t>S/N</t>
        </is>
      </c>
      <c r="K1177" t="inlineStr">
        <is>
          <t>DICIEMBRE 2023</t>
        </is>
      </c>
      <c r="L1177" t="inlineStr">
        <is>
          <t>DICIEMBRE 2024</t>
        </is>
      </c>
      <c r="M1177" t="inlineStr">
        <is>
          <t>P.Q.S TIPO ABC AL 90 % NACIONAL</t>
        </is>
      </c>
      <c r="N1177" t="inlineStr">
        <is>
          <t>S/N / 010584</t>
        </is>
      </c>
      <c r="O1177" t="inlineStr">
        <is>
          <t>R</t>
        </is>
      </c>
      <c r="P1177">
        <f>TRIM(N1177)</f>
        <v/>
      </c>
    </row>
    <row r="1178">
      <c r="A1178" t="inlineStr">
        <is>
          <t>CO-001684</t>
        </is>
      </c>
      <c r="B1178" t="inlineStr">
        <is>
          <t>PERU MASIVO S.A.</t>
        </is>
      </c>
      <c r="C1178" t="inlineStr">
        <is>
          <t>20492392031</t>
        </is>
      </c>
      <c r="D1178" t="inlineStr">
        <is>
          <t>AV. LOS INCAS CDRA. 4 PATIO NORTE - COMAS</t>
        </is>
      </c>
      <c r="E1178" t="inlineStr">
        <is>
          <t>Lima, 15 de Diciembre de 2023</t>
        </is>
      </c>
      <c r="F1178" t="inlineStr">
        <is>
          <t>la Recarga y mantenimiento</t>
        </is>
      </c>
      <c r="G1178" t="inlineStr">
        <is>
          <t>09</t>
        </is>
      </c>
      <c r="H1178" t="inlineStr">
        <is>
          <t>06 KG</t>
        </is>
      </c>
      <c r="I1178" t="n">
        <v>2028</v>
      </c>
      <c r="J1178" t="n">
        <v>2011</v>
      </c>
      <c r="K1178" t="inlineStr">
        <is>
          <t>DICIEMBRE 2023</t>
        </is>
      </c>
      <c r="L1178" t="inlineStr">
        <is>
          <t>DICIEMBRE 2024</t>
        </is>
      </c>
      <c r="M1178" t="inlineStr">
        <is>
          <t>P.Q.S TIPO ABC AL 90 % NACIONAL</t>
        </is>
      </c>
      <c r="N1178" t="inlineStr">
        <is>
          <t>S/N 201106</t>
        </is>
      </c>
      <c r="O1178" t="inlineStr">
        <is>
          <t>R</t>
        </is>
      </c>
      <c r="P1178">
        <f>TRIM(N1178)</f>
        <v/>
      </c>
    </row>
    <row r="1179">
      <c r="A1179" t="inlineStr">
        <is>
          <t>CO-001684</t>
        </is>
      </c>
      <c r="B1179" t="inlineStr">
        <is>
          <t>PERU MASIVO S.A.</t>
        </is>
      </c>
      <c r="C1179" t="inlineStr">
        <is>
          <t>20492392031</t>
        </is>
      </c>
      <c r="D1179" t="inlineStr">
        <is>
          <t>AV. LOS INCAS CDRA. 4 PATIO NORTE - COMAS</t>
        </is>
      </c>
      <c r="E1179" t="inlineStr">
        <is>
          <t>Lima, 15 de Diciembre de 2023</t>
        </is>
      </c>
      <c r="F1179" t="inlineStr">
        <is>
          <t>la Recarga y mantenimiento</t>
        </is>
      </c>
      <c r="G1179" t="n">
        <v>10</v>
      </c>
      <c r="H1179" t="inlineStr">
        <is>
          <t>06 KG</t>
        </is>
      </c>
      <c r="I1179" t="n">
        <v>2028</v>
      </c>
      <c r="J1179" t="n">
        <v>2009</v>
      </c>
      <c r="K1179" t="inlineStr">
        <is>
          <t>DICIEMBRE 2023</t>
        </is>
      </c>
      <c r="L1179" t="inlineStr">
        <is>
          <t>DICIEMBRE 2024</t>
        </is>
      </c>
      <c r="M1179" t="inlineStr">
        <is>
          <t>P.Q.S TIPO ABC AL 90 % NACIONAL</t>
        </is>
      </c>
      <c r="N1179" t="inlineStr">
        <is>
          <t>32 / 001288</t>
        </is>
      </c>
      <c r="O1179" t="inlineStr">
        <is>
          <t>R</t>
        </is>
      </c>
      <c r="P1179">
        <f>TRIM(N1179)</f>
        <v/>
      </c>
    </row>
    <row r="1180">
      <c r="A1180" t="inlineStr">
        <is>
          <t>CO-001684</t>
        </is>
      </c>
      <c r="B1180" t="inlineStr">
        <is>
          <t>PERU MASIVO S.A.</t>
        </is>
      </c>
      <c r="C1180" t="inlineStr">
        <is>
          <t>20492392031</t>
        </is>
      </c>
      <c r="D1180" t="inlineStr">
        <is>
          <t>AV. LOS INCAS CDRA. 4 PATIO NORTE - COMAS</t>
        </is>
      </c>
      <c r="E1180" t="inlineStr">
        <is>
          <t>Lima, 15 de Diciembre de 2023</t>
        </is>
      </c>
      <c r="F1180" t="inlineStr">
        <is>
          <t>la Recarga y mantenimiento</t>
        </is>
      </c>
      <c r="G1180" t="n">
        <v>11</v>
      </c>
      <c r="H1180" t="inlineStr">
        <is>
          <t>06 KG</t>
        </is>
      </c>
      <c r="I1180" t="n">
        <v>2028</v>
      </c>
      <c r="J1180" t="n">
        <v>2012</v>
      </c>
      <c r="K1180" t="inlineStr">
        <is>
          <t>DICIEMBRE 2023</t>
        </is>
      </c>
      <c r="L1180" t="inlineStr">
        <is>
          <t>DICIEMBRE 2024</t>
        </is>
      </c>
      <c r="M1180" t="inlineStr">
        <is>
          <t>P.Q.S TIPO ABC AL 90 % NACIONAL</t>
        </is>
      </c>
      <c r="N1180" t="inlineStr">
        <is>
          <t>399 / 000553</t>
        </is>
      </c>
      <c r="O1180" t="inlineStr">
        <is>
          <t>R</t>
        </is>
      </c>
      <c r="P1180">
        <f>TRIM(N1180)</f>
        <v/>
      </c>
    </row>
    <row r="1181">
      <c r="A1181" t="inlineStr">
        <is>
          <t>CO-001684</t>
        </is>
      </c>
      <c r="B1181" t="inlineStr">
        <is>
          <t>PERU MASIVO S.A.</t>
        </is>
      </c>
      <c r="C1181" t="inlineStr">
        <is>
          <t>20492392031</t>
        </is>
      </c>
      <c r="D1181" t="inlineStr">
        <is>
          <t>AV. LOS INCAS CDRA. 4 PATIO NORTE - COMAS</t>
        </is>
      </c>
      <c r="E1181" t="inlineStr">
        <is>
          <t>Lima, 15 de Diciembre de 2023</t>
        </is>
      </c>
      <c r="F1181" t="inlineStr">
        <is>
          <t>la Recarga y mantenimiento</t>
        </is>
      </c>
      <c r="G1181" t="n">
        <v>12</v>
      </c>
      <c r="H1181" t="inlineStr">
        <is>
          <t>06 KG</t>
        </is>
      </c>
      <c r="I1181" t="n">
        <v>2028</v>
      </c>
      <c r="J1181" t="n">
        <v>2009</v>
      </c>
      <c r="K1181" t="inlineStr">
        <is>
          <t>DICIEMBRE 2023</t>
        </is>
      </c>
      <c r="L1181" t="inlineStr">
        <is>
          <t>DICIEMBRE 2024</t>
        </is>
      </c>
      <c r="M1181" t="inlineStr">
        <is>
          <t>P.Q.S TIPO ABC AL 90 % NACIONAL</t>
        </is>
      </c>
      <c r="N1181" t="inlineStr">
        <is>
          <t>31 / 001337</t>
        </is>
      </c>
      <c r="O1181" t="inlineStr">
        <is>
          <t>R</t>
        </is>
      </c>
      <c r="P1181">
        <f>TRIM(N1181)</f>
        <v/>
      </c>
    </row>
    <row r="1182">
      <c r="A1182" t="inlineStr">
        <is>
          <t>CO-001684</t>
        </is>
      </c>
      <c r="B1182" t="inlineStr">
        <is>
          <t>PERU MASIVO S.A.</t>
        </is>
      </c>
      <c r="C1182" t="inlineStr">
        <is>
          <t>20492392031</t>
        </is>
      </c>
      <c r="D1182" t="inlineStr">
        <is>
          <t>AV. LOS INCAS CDRA. 4 PATIO NORTE - COMAS</t>
        </is>
      </c>
      <c r="E1182" t="inlineStr">
        <is>
          <t>Lima, 15 de Diciembre de 2023</t>
        </is>
      </c>
      <c r="F1182" t="inlineStr">
        <is>
          <t>la Recarga y mantenimiento</t>
        </is>
      </c>
      <c r="G1182" t="n">
        <v>13</v>
      </c>
      <c r="H1182" t="inlineStr">
        <is>
          <t>06 KG</t>
        </is>
      </c>
      <c r="I1182" t="n">
        <v>2028</v>
      </c>
      <c r="J1182" t="n">
        <v>2009</v>
      </c>
      <c r="K1182" t="inlineStr">
        <is>
          <t>DICIEMBRE 2023</t>
        </is>
      </c>
      <c r="L1182" t="inlineStr">
        <is>
          <t>DICIEMBRE 2024</t>
        </is>
      </c>
      <c r="M1182" t="inlineStr">
        <is>
          <t>P.Q.S TIPO ABC AL 90 % NACIONAL</t>
        </is>
      </c>
      <c r="N1182" t="inlineStr">
        <is>
          <t>42 / 001270</t>
        </is>
      </c>
      <c r="O1182" t="inlineStr">
        <is>
          <t>R</t>
        </is>
      </c>
      <c r="P1182">
        <f>TRIM(N1182)</f>
        <v/>
      </c>
    </row>
    <row r="1183">
      <c r="A1183" t="inlineStr">
        <is>
          <t>CO-001685</t>
        </is>
      </c>
      <c r="B1183" t="inlineStr">
        <is>
          <t>ROSTROS ADRIANA</t>
        </is>
      </c>
      <c r="C1183" t="inlineStr">
        <is>
          <t>006058801</t>
        </is>
      </c>
      <c r="D1183" t="inlineStr">
        <is>
          <t>MERCADO RETABLO</t>
        </is>
      </c>
      <c r="E1183" t="inlineStr">
        <is>
          <t>Lima, 18 de Diciembre de 2023</t>
        </is>
      </c>
      <c r="F1183" t="inlineStr">
        <is>
          <t>la Recarga y mantenimiento</t>
        </is>
      </c>
      <c r="G1183" t="inlineStr">
        <is>
          <t>01</t>
        </is>
      </c>
      <c r="H1183" t="inlineStr">
        <is>
          <t>04 KG</t>
        </is>
      </c>
      <c r="I1183" t="inlineStr">
        <is>
          <t>2026</t>
        </is>
      </c>
      <c r="J1183" t="n">
        <v>2021</v>
      </c>
      <c r="K1183" t="inlineStr">
        <is>
          <t>DICIEMBRE 2023</t>
        </is>
      </c>
      <c r="L1183" t="inlineStr">
        <is>
          <t>DICIEMBRE 2024</t>
        </is>
      </c>
      <c r="M1183" t="inlineStr">
        <is>
          <t xml:space="preserve">P.Q.S.  TIPO ABC </t>
        </is>
      </c>
      <c r="N1183" t="inlineStr">
        <is>
          <t>402182</t>
        </is>
      </c>
      <c r="O1183" t="inlineStr">
        <is>
          <t>R</t>
        </is>
      </c>
      <c r="P1183">
        <f>TRIM(N1183)</f>
        <v/>
      </c>
    </row>
    <row r="1184">
      <c r="A1184" t="inlineStr">
        <is>
          <t>CO-001685</t>
        </is>
      </c>
      <c r="B1184" t="inlineStr">
        <is>
          <t>ROSTROS ADRIANA</t>
        </is>
      </c>
      <c r="C1184" t="inlineStr">
        <is>
          <t>006058801</t>
        </is>
      </c>
      <c r="D1184" t="inlineStr">
        <is>
          <t>MERCADO RETABLO</t>
        </is>
      </c>
      <c r="E1184" t="inlineStr">
        <is>
          <t>Lima, 18 de Diciembre de 2023</t>
        </is>
      </c>
      <c r="F1184" t="inlineStr">
        <is>
          <t>la Recarga y mantenimiento</t>
        </is>
      </c>
      <c r="G1184" t="inlineStr">
        <is>
          <t>02</t>
        </is>
      </c>
      <c r="H1184" t="inlineStr">
        <is>
          <t>06 KG</t>
        </is>
      </c>
      <c r="I1184" t="inlineStr">
        <is>
          <t>VIGENTE</t>
        </is>
      </c>
      <c r="J1184" t="n">
        <v>2013</v>
      </c>
      <c r="K1184" t="inlineStr">
        <is>
          <t>DICIEMBRE 2023</t>
        </is>
      </c>
      <c r="L1184" t="inlineStr">
        <is>
          <t>DICIEMBRE 2024</t>
        </is>
      </c>
      <c r="M1184" t="inlineStr">
        <is>
          <t xml:space="preserve">P.Q.S.  TIPO ABC </t>
        </is>
      </c>
      <c r="N1184" t="inlineStr">
        <is>
          <t>000712</t>
        </is>
      </c>
      <c r="O1184" t="inlineStr">
        <is>
          <t>R</t>
        </is>
      </c>
      <c r="P1184">
        <f>TRIM(N1184)</f>
        <v/>
      </c>
    </row>
    <row r="1185">
      <c r="A1185" t="inlineStr">
        <is>
          <t>CO-001686</t>
        </is>
      </c>
      <c r="B1185" t="inlineStr">
        <is>
          <t>JORGE RAMIREZ CATALAN</t>
        </is>
      </c>
      <c r="C1185" t="inlineStr">
        <is>
          <t>06909102</t>
        </is>
      </c>
      <c r="D1185" t="inlineStr">
        <is>
          <t>MERCADO RETABLO</t>
        </is>
      </c>
      <c r="E1185" t="inlineStr">
        <is>
          <t>Lima, 18 de Diciembre de 2023</t>
        </is>
      </c>
      <c r="F1185" t="inlineStr">
        <is>
          <t>la Recarga y mantenimiento</t>
        </is>
      </c>
      <c r="G1185" t="inlineStr">
        <is>
          <t>01</t>
        </is>
      </c>
      <c r="H1185" t="inlineStr">
        <is>
          <t>04 KG</t>
        </is>
      </c>
      <c r="I1185" t="inlineStr">
        <is>
          <t>VIGENTE</t>
        </is>
      </c>
      <c r="J1185" t="n">
        <v>2010</v>
      </c>
      <c r="K1185" t="inlineStr">
        <is>
          <t>DICIEMBRE 2023</t>
        </is>
      </c>
      <c r="L1185" t="inlineStr">
        <is>
          <t>DICIEMBRE 2024</t>
        </is>
      </c>
      <c r="M1185" t="inlineStr">
        <is>
          <t xml:space="preserve">P.Q.S.  TIPO ABC </t>
        </is>
      </c>
      <c r="N1185" t="inlineStr">
        <is>
          <t>000008</t>
        </is>
      </c>
      <c r="O1185" t="inlineStr">
        <is>
          <t>R</t>
        </is>
      </c>
      <c r="P1185">
        <f>TRIM(N1185)</f>
        <v/>
      </c>
    </row>
    <row r="1186">
      <c r="A1186" t="inlineStr">
        <is>
          <t>CO-001687</t>
        </is>
      </c>
      <c r="B1186" t="inlineStr">
        <is>
          <t>HENRY PULIDO AROZQUIPA</t>
        </is>
      </c>
      <c r="C1186" t="inlineStr">
        <is>
          <t>41617550</t>
        </is>
      </c>
      <c r="D1186" t="inlineStr">
        <is>
          <t>MERCADO RETABLO</t>
        </is>
      </c>
      <c r="E1186" t="inlineStr">
        <is>
          <t>Lima, 18 de Diciembre de 2023</t>
        </is>
      </c>
      <c r="F1186" t="inlineStr">
        <is>
          <t>la Recarga y mantenimiento</t>
        </is>
      </c>
      <c r="G1186" t="inlineStr">
        <is>
          <t>01</t>
        </is>
      </c>
      <c r="H1186" t="inlineStr">
        <is>
          <t>06 KG</t>
        </is>
      </c>
      <c r="I1186" t="inlineStr">
        <is>
          <t>VIGENTE</t>
        </is>
      </c>
      <c r="J1186" t="inlineStr">
        <is>
          <t>S/N</t>
        </is>
      </c>
      <c r="K1186" t="inlineStr">
        <is>
          <t>DICIEMBRE 2023</t>
        </is>
      </c>
      <c r="L1186" t="inlineStr">
        <is>
          <t>DICIEMBRE 2024</t>
        </is>
      </c>
      <c r="M1186" t="inlineStr">
        <is>
          <t xml:space="preserve">P.Q.S.  TIPO ABC </t>
        </is>
      </c>
      <c r="N1186" t="inlineStr">
        <is>
          <t>000959</t>
        </is>
      </c>
      <c r="O1186" t="inlineStr">
        <is>
          <t>R</t>
        </is>
      </c>
      <c r="P1186">
        <f>TRIM(N1186)</f>
        <v/>
      </c>
    </row>
    <row r="1187">
      <c r="A1187" t="inlineStr">
        <is>
          <t>CO-001688</t>
        </is>
      </c>
      <c r="B1187" t="inlineStr">
        <is>
          <t>ALIPIO QUISPE HUAMAN</t>
        </is>
      </c>
      <c r="C1187" t="inlineStr">
        <is>
          <t>10425600058</t>
        </is>
      </c>
      <c r="D1187" t="inlineStr">
        <is>
          <t>PLACA: ARA-809</t>
        </is>
      </c>
      <c r="E1187" t="inlineStr">
        <is>
          <t>Lima, 20 de Diciembre de 2023</t>
        </is>
      </c>
      <c r="F1187" t="inlineStr">
        <is>
          <t>la Recarga y mantenimiento</t>
        </is>
      </c>
      <c r="G1187" t="inlineStr">
        <is>
          <t>01</t>
        </is>
      </c>
      <c r="H1187" t="inlineStr">
        <is>
          <t>09 KG</t>
        </is>
      </c>
      <c r="I1187" t="inlineStr">
        <is>
          <t>VIGENTE</t>
        </is>
      </c>
      <c r="J1187" t="inlineStr">
        <is>
          <t>S/N</t>
        </is>
      </c>
      <c r="K1187" t="inlineStr">
        <is>
          <t>DICIEMBRE 2023</t>
        </is>
      </c>
      <c r="L1187" t="inlineStr">
        <is>
          <t>DICIEMBRE 2024</t>
        </is>
      </c>
      <c r="M1187" t="inlineStr">
        <is>
          <t xml:space="preserve">P.Q.S.  TIPO ABC </t>
        </is>
      </c>
      <c r="N1187" t="inlineStr">
        <is>
          <t>S/N</t>
        </is>
      </c>
      <c r="O1187" t="inlineStr">
        <is>
          <t>R</t>
        </is>
      </c>
      <c r="P1187">
        <f>TRIM(N1187)</f>
        <v/>
      </c>
    </row>
    <row r="1188">
      <c r="A1188" t="inlineStr">
        <is>
          <t>CO-001689</t>
        </is>
      </c>
      <c r="B1188" t="inlineStr">
        <is>
          <t>FLOR DE MARIA AGUIRRE ESPINOZA</t>
        </is>
      </c>
      <c r="C1188" t="inlineStr">
        <is>
          <t>09033514</t>
        </is>
      </c>
      <c r="D1188" t="inlineStr">
        <is>
          <t>MERCADO RETABLO</t>
        </is>
      </c>
      <c r="E1188" t="inlineStr">
        <is>
          <t>Lima, 21 de Diciembre de 2023</t>
        </is>
      </c>
      <c r="F1188" t="inlineStr">
        <is>
          <t>la Recarga y mantenimiento</t>
        </is>
      </c>
      <c r="G1188" t="inlineStr">
        <is>
          <t>01</t>
        </is>
      </c>
      <c r="H1188" t="inlineStr">
        <is>
          <t>04 KG</t>
        </is>
      </c>
      <c r="I1188" t="inlineStr">
        <is>
          <t>VIGENTE</t>
        </is>
      </c>
      <c r="J1188" t="n">
        <v>2010</v>
      </c>
      <c r="K1188" t="inlineStr">
        <is>
          <t>DICIEMBRE 2023</t>
        </is>
      </c>
      <c r="L1188" t="inlineStr">
        <is>
          <t>DICIEMBRE 2024</t>
        </is>
      </c>
      <c r="M1188" t="inlineStr">
        <is>
          <t xml:space="preserve">P.Q.S.  TIPO ABC </t>
        </is>
      </c>
      <c r="N1188" t="inlineStr">
        <is>
          <t>002680</t>
        </is>
      </c>
      <c r="O1188" t="inlineStr">
        <is>
          <t>R</t>
        </is>
      </c>
      <c r="P1188">
        <f>TRIM(N1188)</f>
        <v/>
      </c>
    </row>
    <row r="1189">
      <c r="A1189" t="inlineStr">
        <is>
          <t>CO-001690</t>
        </is>
      </c>
      <c r="B1189" t="inlineStr">
        <is>
          <t>JOSE LEON GUTIERREZ</t>
        </is>
      </c>
      <c r="C1189" t="inlineStr">
        <is>
          <t>43177256</t>
        </is>
      </c>
      <c r="D1189" t="inlineStr">
        <is>
          <t>PLACA: BNH-430</t>
        </is>
      </c>
      <c r="E1189" t="inlineStr">
        <is>
          <t>Lima, 21 de Diciembre de 2023</t>
        </is>
      </c>
      <c r="F1189" t="inlineStr">
        <is>
          <t>la Recarga y mantenimiento</t>
        </is>
      </c>
      <c r="G1189" t="inlineStr">
        <is>
          <t>01</t>
        </is>
      </c>
      <c r="H1189" t="inlineStr">
        <is>
          <t>02 KG</t>
        </is>
      </c>
      <c r="I1189" t="inlineStr">
        <is>
          <t>2027</t>
        </is>
      </c>
      <c r="J1189" t="n">
        <v>2022</v>
      </c>
      <c r="K1189" t="inlineStr">
        <is>
          <t>DICIEMBRE 2023</t>
        </is>
      </c>
      <c r="L1189" t="inlineStr">
        <is>
          <t>DICIEMBRE 2024</t>
        </is>
      </c>
      <c r="M1189" t="inlineStr">
        <is>
          <t xml:space="preserve">P.Q.S.  TIPO ABC </t>
        </is>
      </c>
      <c r="N1189" t="inlineStr">
        <is>
          <t>000454</t>
        </is>
      </c>
      <c r="O1189" t="inlineStr">
        <is>
          <t>R</t>
        </is>
      </c>
      <c r="P1189">
        <f>TRIM(N1189)</f>
        <v/>
      </c>
    </row>
    <row r="1190">
      <c r="A1190" t="inlineStr">
        <is>
          <t>CO-001691</t>
        </is>
      </c>
      <c r="B1190" t="inlineStr">
        <is>
          <t>CONDOMINIO RECIDENCIAL ALAMEDA SAN JUAN DE CARABAYLLO</t>
        </is>
      </c>
      <c r="D1190" t="inlineStr">
        <is>
          <t>AV. JOSE SACO ROJAS KM 3/2 S/N CARABAYLLO</t>
        </is>
      </c>
      <c r="E1190" t="inlineStr">
        <is>
          <t>Lima, 22 de Diciembre de 2023</t>
        </is>
      </c>
      <c r="F1190" t="inlineStr">
        <is>
          <t>la Recarga y mantenimiento</t>
        </is>
      </c>
      <c r="G1190" t="inlineStr">
        <is>
          <t>01</t>
        </is>
      </c>
      <c r="H1190" t="inlineStr">
        <is>
          <t>06 KG</t>
        </is>
      </c>
      <c r="I1190" t="inlineStr">
        <is>
          <t>VIGENTE</t>
        </is>
      </c>
      <c r="J1190" t="n">
        <v>2011</v>
      </c>
      <c r="K1190" t="inlineStr">
        <is>
          <t>DICIEMBRE 2023</t>
        </is>
      </c>
      <c r="L1190" t="inlineStr">
        <is>
          <t>DICIEMBRE 2024</t>
        </is>
      </c>
      <c r="M1190" t="inlineStr">
        <is>
          <t xml:space="preserve">P.Q.S.  TIPO ABC </t>
        </is>
      </c>
      <c r="N1190" t="inlineStr">
        <is>
          <t>000006</t>
        </is>
      </c>
      <c r="O1190" t="inlineStr">
        <is>
          <t>R</t>
        </is>
      </c>
      <c r="P1190">
        <f>TRIM(N1190)</f>
        <v/>
      </c>
    </row>
    <row r="1191">
      <c r="A1191" t="inlineStr">
        <is>
          <t>CO-001691</t>
        </is>
      </c>
      <c r="B1191" t="inlineStr">
        <is>
          <t>CONDOMINIO RECIDENCIAL ALAMEDA SAN JUAN DE CARABAYLLO</t>
        </is>
      </c>
      <c r="D1191" t="inlineStr">
        <is>
          <t>AV. JOSE SACO ROJAS KM 3/2 S/N CARABAYLLO</t>
        </is>
      </c>
      <c r="E1191" t="inlineStr">
        <is>
          <t>Lima, 22 de Diciembre de 2023</t>
        </is>
      </c>
      <c r="F1191" t="inlineStr">
        <is>
          <t>la Recarga y mantenimiento</t>
        </is>
      </c>
      <c r="G1191" t="inlineStr">
        <is>
          <t>02</t>
        </is>
      </c>
      <c r="H1191" t="inlineStr">
        <is>
          <t>06 KG</t>
        </is>
      </c>
      <c r="I1191" t="inlineStr">
        <is>
          <t>VIGENTE</t>
        </is>
      </c>
      <c r="J1191" t="n">
        <v>2014</v>
      </c>
      <c r="K1191" t="inlineStr">
        <is>
          <t>DICIEMBRE 2023</t>
        </is>
      </c>
      <c r="L1191" t="inlineStr">
        <is>
          <t>DICIEMBRE 2024</t>
        </is>
      </c>
      <c r="M1191" t="inlineStr">
        <is>
          <t xml:space="preserve">P.Q.S.  TIPO ABC </t>
        </is>
      </c>
      <c r="N1191" t="inlineStr">
        <is>
          <t>000013</t>
        </is>
      </c>
      <c r="O1191" t="inlineStr">
        <is>
          <t>R</t>
        </is>
      </c>
      <c r="P1191">
        <f>TRIM(N1191)</f>
        <v/>
      </c>
    </row>
    <row r="1192">
      <c r="A1192" t="inlineStr">
        <is>
          <t>CO-001691</t>
        </is>
      </c>
      <c r="B1192" t="inlineStr">
        <is>
          <t>CONDOMINIO RECIDENCIAL ALAMEDA SAN JUAN DE CARABAYLLO</t>
        </is>
      </c>
      <c r="D1192" t="inlineStr">
        <is>
          <t>AV. JOSE SACO ROJAS KM 3/2 S/N CARABAYLLO</t>
        </is>
      </c>
      <c r="E1192" t="inlineStr">
        <is>
          <t>Lima, 22 de Diciembre de 2023</t>
        </is>
      </c>
      <c r="F1192" t="inlineStr">
        <is>
          <t>la Recarga y mantenimiento</t>
        </is>
      </c>
      <c r="G1192" t="inlineStr">
        <is>
          <t>03</t>
        </is>
      </c>
      <c r="H1192" t="inlineStr">
        <is>
          <t>09 KG</t>
        </is>
      </c>
      <c r="I1192" t="inlineStr">
        <is>
          <t>VIGENTE</t>
        </is>
      </c>
      <c r="J1192" t="n">
        <v>2016</v>
      </c>
      <c r="K1192" t="inlineStr">
        <is>
          <t>DICIEMBRE 2023</t>
        </is>
      </c>
      <c r="L1192" t="inlineStr">
        <is>
          <t>DICIEMBRE 2024</t>
        </is>
      </c>
      <c r="M1192" t="inlineStr">
        <is>
          <t xml:space="preserve">P.Q.S.  TIPO ABC </t>
        </is>
      </c>
      <c r="N1192" t="inlineStr">
        <is>
          <t>003895</t>
        </is>
      </c>
      <c r="O1192" t="inlineStr">
        <is>
          <t>R</t>
        </is>
      </c>
      <c r="P1192">
        <f>TRIM(N1192)</f>
        <v/>
      </c>
    </row>
    <row r="1193">
      <c r="A1193" t="inlineStr">
        <is>
          <t>CO-001691</t>
        </is>
      </c>
      <c r="B1193" t="inlineStr">
        <is>
          <t>CONDOMINIO RECIDENCIAL ALAMEDA SAN JUAN DE CARABAYLLO</t>
        </is>
      </c>
      <c r="D1193" t="inlineStr">
        <is>
          <t>AV. JOSE SACO ROJAS KM 3/2 S/N CARABAYLLO</t>
        </is>
      </c>
      <c r="E1193" t="inlineStr">
        <is>
          <t>Lima, 22 de Diciembre de 2023</t>
        </is>
      </c>
      <c r="F1193" t="inlineStr">
        <is>
          <t>la Recarga y mantenimiento</t>
        </is>
      </c>
      <c r="G1193" t="inlineStr">
        <is>
          <t>04</t>
        </is>
      </c>
      <c r="H1193" t="inlineStr">
        <is>
          <t>04 KG</t>
        </is>
      </c>
      <c r="I1193" t="inlineStr">
        <is>
          <t>VIGENTE</t>
        </is>
      </c>
      <c r="J1193" t="n">
        <v>2014</v>
      </c>
      <c r="K1193" t="inlineStr">
        <is>
          <t>DICIEMBRE 2023</t>
        </is>
      </c>
      <c r="L1193" t="inlineStr">
        <is>
          <t>DICIEMBRE 2024</t>
        </is>
      </c>
      <c r="M1193" t="inlineStr">
        <is>
          <t xml:space="preserve">P.Q.S.  TIPO ABC </t>
        </is>
      </c>
      <c r="N1193" t="inlineStr">
        <is>
          <t>000104</t>
        </is>
      </c>
      <c r="O1193" t="inlineStr">
        <is>
          <t>R</t>
        </is>
      </c>
      <c r="P1193">
        <f>TRIM(N1193)</f>
        <v/>
      </c>
    </row>
    <row r="1194">
      <c r="A1194" t="inlineStr">
        <is>
          <t>CO-001691</t>
        </is>
      </c>
      <c r="B1194" t="inlineStr">
        <is>
          <t>CONDOMINIO RECIDENCIAL ALAMEDA SAN JUAN DE CARABAYLLO</t>
        </is>
      </c>
      <c r="D1194" t="inlineStr">
        <is>
          <t>AV. JOSE SACO ROJAS KM 3/2 S/N CARABAYLLO</t>
        </is>
      </c>
      <c r="E1194" t="inlineStr">
        <is>
          <t>Lima, 22 de Diciembre de 2023</t>
        </is>
      </c>
      <c r="F1194" t="inlineStr">
        <is>
          <t>la Recarga y mantenimiento</t>
        </is>
      </c>
      <c r="G1194" t="inlineStr">
        <is>
          <t>05</t>
        </is>
      </c>
      <c r="H1194" t="inlineStr">
        <is>
          <t>04 KG</t>
        </is>
      </c>
      <c r="I1194" t="inlineStr">
        <is>
          <t>VIGENTE</t>
        </is>
      </c>
      <c r="J1194" t="n">
        <v>2011</v>
      </c>
      <c r="K1194" t="inlineStr">
        <is>
          <t>DICIEMBRE 2023</t>
        </is>
      </c>
      <c r="L1194" t="inlineStr">
        <is>
          <t>DICIEMBRE 2024</t>
        </is>
      </c>
      <c r="M1194" t="inlineStr">
        <is>
          <t xml:space="preserve">P.Q.S.  TIPO ABC </t>
        </is>
      </c>
      <c r="N1194" t="inlineStr">
        <is>
          <t>000041</t>
        </is>
      </c>
      <c r="O1194" t="inlineStr">
        <is>
          <t>R</t>
        </is>
      </c>
      <c r="P1194">
        <f>TRIM(N1194)</f>
        <v/>
      </c>
    </row>
    <row r="1195">
      <c r="A1195" t="inlineStr">
        <is>
          <t>CO-001692</t>
        </is>
      </c>
      <c r="B1195" t="inlineStr">
        <is>
          <t>ROBERTO ZEGARRA URQUIA</t>
        </is>
      </c>
      <c r="C1195" t="inlineStr">
        <is>
          <t>26717618</t>
        </is>
      </c>
      <c r="D1195" t="inlineStr">
        <is>
          <t>PLACA: CAL-027</t>
        </is>
      </c>
      <c r="E1195" t="inlineStr">
        <is>
          <t>Lima, 22 de Diciembre de 2023</t>
        </is>
      </c>
      <c r="F1195" t="inlineStr">
        <is>
          <t>la Recarga y mantenimiento</t>
        </is>
      </c>
      <c r="G1195" t="inlineStr">
        <is>
          <t>01</t>
        </is>
      </c>
      <c r="H1195" t="inlineStr">
        <is>
          <t>02 KG</t>
        </is>
      </c>
      <c r="I1195" t="inlineStr">
        <is>
          <t>VIGENTE</t>
        </is>
      </c>
      <c r="J1195" t="n">
        <v>2019</v>
      </c>
      <c r="K1195" t="inlineStr">
        <is>
          <t>DICIEMBRE 2023</t>
        </is>
      </c>
      <c r="L1195" t="inlineStr">
        <is>
          <t>DICIEMBRE 2024</t>
        </is>
      </c>
      <c r="M1195" t="inlineStr">
        <is>
          <t xml:space="preserve">P.Q.S.  TIPO ABC </t>
        </is>
      </c>
      <c r="N1195" t="inlineStr">
        <is>
          <t>137242</t>
        </is>
      </c>
      <c r="O1195" t="inlineStr">
        <is>
          <t>R</t>
        </is>
      </c>
      <c r="P1195">
        <f>TRIM(N1195)</f>
        <v/>
      </c>
    </row>
    <row r="1196">
      <c r="A1196" t="inlineStr">
        <is>
          <t>CO-001693</t>
        </is>
      </c>
      <c r="B1196" t="inlineStr">
        <is>
          <t>PERU MASIVO S.A.</t>
        </is>
      </c>
      <c r="C1196" t="inlineStr">
        <is>
          <t>20492392031</t>
        </is>
      </c>
      <c r="D1196" t="inlineStr">
        <is>
          <t>AV. LOS INCAS CDRA. 4 PATIO NORTE - COMAS</t>
        </is>
      </c>
      <c r="E1196" t="inlineStr">
        <is>
          <t>Lima, 22 de Diciembre de 2023</t>
        </is>
      </c>
      <c r="F1196" t="inlineStr">
        <is>
          <t>la Recarga y mantenimiento</t>
        </is>
      </c>
      <c r="G1196" t="inlineStr">
        <is>
          <t>01</t>
        </is>
      </c>
      <c r="H1196" t="inlineStr">
        <is>
          <t>06 KG</t>
        </is>
      </c>
      <c r="I1196" t="inlineStr">
        <is>
          <t>2028</t>
        </is>
      </c>
      <c r="J1196" t="n">
        <v>2010</v>
      </c>
      <c r="K1196" t="inlineStr">
        <is>
          <t>DICIEMBRE 2023</t>
        </is>
      </c>
      <c r="L1196" t="inlineStr">
        <is>
          <t>DICIEMBRE 2024</t>
        </is>
      </c>
      <c r="M1196" t="inlineStr">
        <is>
          <t>P.Q.S TIPO ABC AL 90 % NACIONAL</t>
        </is>
      </c>
      <c r="N1196" t="inlineStr">
        <is>
          <t>309 / 000234</t>
        </is>
      </c>
      <c r="O1196" t="inlineStr">
        <is>
          <t>R</t>
        </is>
      </c>
      <c r="P1196">
        <f>TRIM(N1196)</f>
        <v/>
      </c>
    </row>
    <row r="1197">
      <c r="A1197" t="inlineStr">
        <is>
          <t>CO-001693</t>
        </is>
      </c>
      <c r="B1197" t="inlineStr">
        <is>
          <t>PERU MASIVO S.A.</t>
        </is>
      </c>
      <c r="C1197" t="inlineStr">
        <is>
          <t>20492392031</t>
        </is>
      </c>
      <c r="D1197" t="inlineStr">
        <is>
          <t>AV. LOS INCAS CDRA. 4 PATIO NORTE - COMAS</t>
        </is>
      </c>
      <c r="E1197" t="inlineStr">
        <is>
          <t>Lima, 22 de Diciembre de 2023</t>
        </is>
      </c>
      <c r="F1197" t="inlineStr">
        <is>
          <t>la Recarga y mantenimiento</t>
        </is>
      </c>
      <c r="G1197" t="inlineStr">
        <is>
          <t>02</t>
        </is>
      </c>
      <c r="H1197" t="inlineStr">
        <is>
          <t>06 KG</t>
        </is>
      </c>
      <c r="I1197" t="inlineStr">
        <is>
          <t>2028</t>
        </is>
      </c>
      <c r="J1197" t="n">
        <v>2010</v>
      </c>
      <c r="K1197" t="inlineStr">
        <is>
          <t>DICIEMBRE 2023</t>
        </is>
      </c>
      <c r="L1197" t="inlineStr">
        <is>
          <t>DICIEMBRE 2024</t>
        </is>
      </c>
      <c r="M1197" t="inlineStr">
        <is>
          <t>P.Q.S TIPO ABC AL 90 % NACIONAL</t>
        </is>
      </c>
      <c r="N1197" t="inlineStr">
        <is>
          <t>106 / 000837</t>
        </is>
      </c>
      <c r="O1197" t="inlineStr">
        <is>
          <t>R</t>
        </is>
      </c>
      <c r="P1197">
        <f>TRIM(N1197)</f>
        <v/>
      </c>
    </row>
    <row r="1198">
      <c r="A1198" t="inlineStr">
        <is>
          <t>CO-001693</t>
        </is>
      </c>
      <c r="B1198" t="inlineStr">
        <is>
          <t>PERU MASIVO S.A.</t>
        </is>
      </c>
      <c r="C1198" t="inlineStr">
        <is>
          <t>20492392031</t>
        </is>
      </c>
      <c r="D1198" t="inlineStr">
        <is>
          <t>AV. LOS INCAS CDRA. 4 PATIO NORTE - COMAS</t>
        </is>
      </c>
      <c r="E1198" t="inlineStr">
        <is>
          <t>Lima, 22 de Diciembre de 2023</t>
        </is>
      </c>
      <c r="F1198" t="inlineStr">
        <is>
          <t>la Recarga y mantenimiento</t>
        </is>
      </c>
      <c r="G1198" t="inlineStr">
        <is>
          <t>03</t>
        </is>
      </c>
      <c r="H1198" t="inlineStr">
        <is>
          <t>06 KG</t>
        </is>
      </c>
      <c r="I1198" t="inlineStr">
        <is>
          <t>2028</t>
        </is>
      </c>
      <c r="J1198" t="n">
        <v>2011</v>
      </c>
      <c r="K1198" t="inlineStr">
        <is>
          <t>DICIEMBRE 2023</t>
        </is>
      </c>
      <c r="L1198" t="inlineStr">
        <is>
          <t>DICIEMBRE 2024</t>
        </is>
      </c>
      <c r="M1198" t="inlineStr">
        <is>
          <t>P.Q.S TIPO ABC AL 90 % NACIONAL</t>
        </is>
      </c>
      <c r="N1198" t="inlineStr">
        <is>
          <t>128 / 006508</t>
        </is>
      </c>
      <c r="O1198" t="inlineStr">
        <is>
          <t>R</t>
        </is>
      </c>
      <c r="P1198">
        <f>TRIM(N1198)</f>
        <v/>
      </c>
    </row>
    <row r="1199">
      <c r="A1199" t="inlineStr">
        <is>
          <t>CO-001693</t>
        </is>
      </c>
      <c r="B1199" t="inlineStr">
        <is>
          <t>PERU MASIVO S.A.</t>
        </is>
      </c>
      <c r="C1199" t="inlineStr">
        <is>
          <t>20492392031</t>
        </is>
      </c>
      <c r="D1199" t="inlineStr">
        <is>
          <t>AV. LOS INCAS CDRA. 4 PATIO NORTE - COMAS</t>
        </is>
      </c>
      <c r="E1199" t="inlineStr">
        <is>
          <t>Lima, 22 de Diciembre de 2023</t>
        </is>
      </c>
      <c r="F1199" t="inlineStr">
        <is>
          <t>la Recarga y mantenimiento</t>
        </is>
      </c>
      <c r="G1199" t="inlineStr">
        <is>
          <t>04</t>
        </is>
      </c>
      <c r="H1199" t="inlineStr">
        <is>
          <t>06 KG</t>
        </is>
      </c>
      <c r="I1199" t="inlineStr">
        <is>
          <t>2028</t>
        </is>
      </c>
      <c r="J1199" t="n">
        <v>2009</v>
      </c>
      <c r="K1199" t="inlineStr">
        <is>
          <t>DICIEMBRE 2023</t>
        </is>
      </c>
      <c r="L1199" t="inlineStr">
        <is>
          <t>DICIEMBRE 2024</t>
        </is>
      </c>
      <c r="M1199" t="inlineStr">
        <is>
          <t>P.Q.S TIPO ABC AL 90 % NACIONAL</t>
        </is>
      </c>
      <c r="N1199" t="inlineStr">
        <is>
          <t>61 / 001482</t>
        </is>
      </c>
      <c r="O1199" t="inlineStr">
        <is>
          <t>R</t>
        </is>
      </c>
      <c r="P1199">
        <f>TRIM(N1199)</f>
        <v/>
      </c>
    </row>
    <row r="1200">
      <c r="A1200" t="inlineStr">
        <is>
          <t>CO-001693</t>
        </is>
      </c>
      <c r="B1200" t="inlineStr">
        <is>
          <t>PERU MASIVO S.A.</t>
        </is>
      </c>
      <c r="C1200" t="inlineStr">
        <is>
          <t>20492392031</t>
        </is>
      </c>
      <c r="D1200" t="inlineStr">
        <is>
          <t>AV. LOS INCAS CDRA. 4 PATIO NORTE - COMAS</t>
        </is>
      </c>
      <c r="E1200" t="inlineStr">
        <is>
          <t>Lima, 22 de Diciembre de 2023</t>
        </is>
      </c>
      <c r="F1200" t="inlineStr">
        <is>
          <t>la Recarga y mantenimiento</t>
        </is>
      </c>
      <c r="G1200" t="inlineStr">
        <is>
          <t>05</t>
        </is>
      </c>
      <c r="H1200" t="inlineStr">
        <is>
          <t>06 KG</t>
        </is>
      </c>
      <c r="I1200" t="inlineStr">
        <is>
          <t>2028</t>
        </is>
      </c>
      <c r="J1200" t="n">
        <v>2009</v>
      </c>
      <c r="K1200" t="inlineStr">
        <is>
          <t>DICIEMBRE 2023</t>
        </is>
      </c>
      <c r="L1200" t="inlineStr">
        <is>
          <t>DICIEMBRE 2024</t>
        </is>
      </c>
      <c r="M1200" t="inlineStr">
        <is>
          <t>P.Q.S TIPO ABC AL 90 % NACIONAL</t>
        </is>
      </c>
      <c r="N1200" t="inlineStr">
        <is>
          <t>155 / 001375</t>
        </is>
      </c>
      <c r="O1200" t="inlineStr">
        <is>
          <t>R</t>
        </is>
      </c>
      <c r="P1200">
        <f>TRIM(N1200)</f>
        <v/>
      </c>
    </row>
    <row r="1201">
      <c r="A1201" t="inlineStr">
        <is>
          <t>CO-001693</t>
        </is>
      </c>
      <c r="B1201" t="inlineStr">
        <is>
          <t>PERU MASIVO S.A.</t>
        </is>
      </c>
      <c r="C1201" t="inlineStr">
        <is>
          <t>20492392031</t>
        </is>
      </c>
      <c r="D1201" t="inlineStr">
        <is>
          <t>AV. LOS INCAS CDRA. 4 PATIO NORTE - COMAS</t>
        </is>
      </c>
      <c r="E1201" t="inlineStr">
        <is>
          <t>Lima, 22 de Diciembre de 2023</t>
        </is>
      </c>
      <c r="F1201" t="inlineStr">
        <is>
          <t>la Recarga y mantenimiento</t>
        </is>
      </c>
      <c r="G1201" t="inlineStr">
        <is>
          <t>06</t>
        </is>
      </c>
      <c r="H1201" t="inlineStr">
        <is>
          <t>06 KG</t>
        </is>
      </c>
      <c r="I1201" t="inlineStr">
        <is>
          <t>2028</t>
        </is>
      </c>
      <c r="J1201" t="n">
        <v>2010</v>
      </c>
      <c r="K1201" t="inlineStr">
        <is>
          <t>DICIEMBRE 2023</t>
        </is>
      </c>
      <c r="L1201" t="inlineStr">
        <is>
          <t>DICIEMBRE 2024</t>
        </is>
      </c>
      <c r="M1201" t="inlineStr">
        <is>
          <t>P.Q.S TIPO ABC AL 90 % NACIONAL</t>
        </is>
      </c>
      <c r="N1201" t="inlineStr">
        <is>
          <t>58 / 000312</t>
        </is>
      </c>
      <c r="O1201" t="inlineStr">
        <is>
          <t>R</t>
        </is>
      </c>
      <c r="P1201">
        <f>TRIM(N1201)</f>
        <v/>
      </c>
    </row>
    <row r="1202">
      <c r="A1202" t="inlineStr">
        <is>
          <t>CO-001693</t>
        </is>
      </c>
      <c r="B1202" t="inlineStr">
        <is>
          <t>PERU MASIVO S.A.</t>
        </is>
      </c>
      <c r="C1202" t="inlineStr">
        <is>
          <t>20492392031</t>
        </is>
      </c>
      <c r="D1202" t="inlineStr">
        <is>
          <t>AV. LOS INCAS CDRA. 4 PATIO NORTE - COMAS</t>
        </is>
      </c>
      <c r="E1202" t="inlineStr">
        <is>
          <t>Lima, 22 de Diciembre de 2023</t>
        </is>
      </c>
      <c r="F1202" t="inlineStr">
        <is>
          <t>la Recarga y mantenimiento</t>
        </is>
      </c>
      <c r="G1202" t="inlineStr">
        <is>
          <t>07</t>
        </is>
      </c>
      <c r="H1202" t="inlineStr">
        <is>
          <t>06 KG</t>
        </is>
      </c>
      <c r="I1202" t="inlineStr">
        <is>
          <t>2028</t>
        </is>
      </c>
      <c r="J1202" t="n">
        <v>2009</v>
      </c>
      <c r="K1202" t="inlineStr">
        <is>
          <t>DICIEMBRE 2023</t>
        </is>
      </c>
      <c r="L1202" t="inlineStr">
        <is>
          <t>DICIEMBRE 2024</t>
        </is>
      </c>
      <c r="M1202" t="inlineStr">
        <is>
          <t>P.Q.S TIPO ABC AL 90 % NACIONAL</t>
        </is>
      </c>
      <c r="N1202" t="inlineStr">
        <is>
          <t>100 / 000139</t>
        </is>
      </c>
      <c r="O1202" t="inlineStr">
        <is>
          <t>R</t>
        </is>
      </c>
      <c r="P1202">
        <f>TRIM(N1202)</f>
        <v/>
      </c>
    </row>
    <row r="1203">
      <c r="A1203" t="inlineStr">
        <is>
          <t>CO-001693</t>
        </is>
      </c>
      <c r="B1203" t="inlineStr">
        <is>
          <t>PERU MASIVO S.A.</t>
        </is>
      </c>
      <c r="C1203" t="inlineStr">
        <is>
          <t>20492392031</t>
        </is>
      </c>
      <c r="D1203" t="inlineStr">
        <is>
          <t>AV. LOS INCAS CDRA. 4 PATIO NORTE - COMAS</t>
        </is>
      </c>
      <c r="E1203" t="inlineStr">
        <is>
          <t>Lima, 22 de Diciembre de 2023</t>
        </is>
      </c>
      <c r="F1203" t="inlineStr">
        <is>
          <t>la Recarga y mantenimiento</t>
        </is>
      </c>
      <c r="G1203" t="inlineStr">
        <is>
          <t>08</t>
        </is>
      </c>
      <c r="H1203" t="inlineStr">
        <is>
          <t>06 KG</t>
        </is>
      </c>
      <c r="I1203" t="inlineStr">
        <is>
          <t>2028</t>
        </is>
      </c>
      <c r="J1203" t="n">
        <v>2017</v>
      </c>
      <c r="K1203" t="inlineStr">
        <is>
          <t>DICIEMBRE 2023</t>
        </is>
      </c>
      <c r="L1203" t="inlineStr">
        <is>
          <t>DICIEMBRE 2024</t>
        </is>
      </c>
      <c r="M1203" t="inlineStr">
        <is>
          <t>P.Q.S TIPO ABC AL 90 % NACIONAL</t>
        </is>
      </c>
      <c r="N1203" t="inlineStr">
        <is>
          <t>S/N / 004887</t>
        </is>
      </c>
      <c r="O1203" t="inlineStr">
        <is>
          <t>R</t>
        </is>
      </c>
      <c r="P1203">
        <f>TRIM(N1203)</f>
        <v/>
      </c>
    </row>
    <row r="1204">
      <c r="A1204" t="inlineStr">
        <is>
          <t>CO-001693</t>
        </is>
      </c>
      <c r="B1204" t="inlineStr">
        <is>
          <t>PERU MASIVO S.A.</t>
        </is>
      </c>
      <c r="C1204" t="inlineStr">
        <is>
          <t>20492392031</t>
        </is>
      </c>
      <c r="D1204" t="inlineStr">
        <is>
          <t>AV. LOS INCAS CDRA. 4 PATIO NORTE - COMAS</t>
        </is>
      </c>
      <c r="E1204" t="inlineStr">
        <is>
          <t>Lima, 22 de Diciembre de 2023</t>
        </is>
      </c>
      <c r="F1204" t="inlineStr">
        <is>
          <t>la Recarga y mantenimiento</t>
        </is>
      </c>
      <c r="G1204" t="inlineStr">
        <is>
          <t>09</t>
        </is>
      </c>
      <c r="H1204" t="inlineStr">
        <is>
          <t>06 KG</t>
        </is>
      </c>
      <c r="I1204" t="inlineStr">
        <is>
          <t>2028</t>
        </is>
      </c>
      <c r="J1204" t="n">
        <v>2010</v>
      </c>
      <c r="K1204" t="inlineStr">
        <is>
          <t>DICIEMBRE 2023</t>
        </is>
      </c>
      <c r="L1204" t="inlineStr">
        <is>
          <t>DICIEMBRE 2024</t>
        </is>
      </c>
      <c r="M1204" t="inlineStr">
        <is>
          <t>P.Q.S TIPO ABC AL 90 % NACIONAL</t>
        </is>
      </c>
      <c r="N1204" t="inlineStr">
        <is>
          <t>S/N / 000066</t>
        </is>
      </c>
      <c r="O1204" t="inlineStr">
        <is>
          <t>R</t>
        </is>
      </c>
      <c r="P1204">
        <f>TRIM(N1204)</f>
        <v/>
      </c>
    </row>
    <row r="1205">
      <c r="A1205" t="inlineStr">
        <is>
          <t>CO-001694</t>
        </is>
      </c>
      <c r="B1205" t="inlineStr">
        <is>
          <t xml:space="preserve">CLEVAC S.A.C. </t>
        </is>
      </c>
      <c r="C1205" t="inlineStr">
        <is>
          <t>20601530610</t>
        </is>
      </c>
      <c r="D1205" t="inlineStr">
        <is>
          <t>PARCELACION LA ENSENADA MZ J LT 3, PUENTE PIEDRA</t>
        </is>
      </c>
      <c r="E1205" t="inlineStr">
        <is>
          <t>Lima, 22 de Diciembre de 2023</t>
        </is>
      </c>
      <c r="F1205" t="inlineStr">
        <is>
          <t>la Recarga y mantenimiento</t>
        </is>
      </c>
      <c r="G1205" t="inlineStr">
        <is>
          <t>01</t>
        </is>
      </c>
      <c r="H1205" t="inlineStr">
        <is>
          <t>06 KG</t>
        </is>
      </c>
      <c r="I1205" t="inlineStr">
        <is>
          <t>2028</t>
        </is>
      </c>
      <c r="J1205" t="n">
        <v>2023</v>
      </c>
      <c r="K1205" t="inlineStr">
        <is>
          <t>DICIEMBRE 2023</t>
        </is>
      </c>
      <c r="L1205" t="inlineStr">
        <is>
          <t>DICIEMBRE 2024</t>
        </is>
      </c>
      <c r="M1205" t="inlineStr">
        <is>
          <t xml:space="preserve">P.Q.S.  TIPO ABC </t>
        </is>
      </c>
      <c r="N1205" t="inlineStr">
        <is>
          <t>000744</t>
        </is>
      </c>
      <c r="O1205" t="inlineStr">
        <is>
          <t>R</t>
        </is>
      </c>
      <c r="P1205">
        <f>TRIM(N1205)</f>
        <v/>
      </c>
    </row>
    <row r="1206">
      <c r="A1206" t="inlineStr">
        <is>
          <t>CO-001695</t>
        </is>
      </c>
      <c r="B1206" t="inlineStr">
        <is>
          <t>ADRIAN BLAS SANCHEZ</t>
        </is>
      </c>
      <c r="C1206" t="inlineStr">
        <is>
          <t>42088935</t>
        </is>
      </c>
      <c r="D1206" t="inlineStr">
        <is>
          <t>MERCADO MINA DE ORO</t>
        </is>
      </c>
      <c r="E1206" t="inlineStr">
        <is>
          <t>Lima, 22 de Diciembre de 2023</t>
        </is>
      </c>
      <c r="F1206" t="inlineStr">
        <is>
          <t>la Recarga y mantenimiento</t>
        </is>
      </c>
      <c r="G1206" t="inlineStr">
        <is>
          <t>01</t>
        </is>
      </c>
      <c r="H1206" t="inlineStr">
        <is>
          <t>06 KG</t>
        </is>
      </c>
      <c r="I1206" t="inlineStr">
        <is>
          <t>VIGENTE</t>
        </is>
      </c>
      <c r="J1206" t="inlineStr">
        <is>
          <t>S/N</t>
        </is>
      </c>
      <c r="K1206" t="inlineStr">
        <is>
          <t>DICIEMBRE 2023</t>
        </is>
      </c>
      <c r="L1206" t="inlineStr">
        <is>
          <t>DICIEMBRE 2024</t>
        </is>
      </c>
      <c r="M1206" t="inlineStr">
        <is>
          <t xml:space="preserve">P.Q.S.  TIPO ABC </t>
        </is>
      </c>
      <c r="N1206" t="inlineStr">
        <is>
          <t>017104</t>
        </is>
      </c>
      <c r="O1206" t="inlineStr">
        <is>
          <t>R</t>
        </is>
      </c>
      <c r="P1206">
        <f>TRIM(N1206)</f>
        <v/>
      </c>
    </row>
    <row r="1207">
      <c r="A1207" t="inlineStr">
        <is>
          <t>CO-001696</t>
        </is>
      </c>
      <c r="B1207" t="inlineStr">
        <is>
          <t>EDWAR SILVESTRE CORTEZ POLANCO</t>
        </is>
      </c>
      <c r="C1207" t="inlineStr">
        <is>
          <t>10391781</t>
        </is>
      </c>
      <c r="D1207" t="inlineStr">
        <is>
          <t>PLACA: F71-523</t>
        </is>
      </c>
      <c r="E1207" t="inlineStr">
        <is>
          <t>Lima, 22 de Diciembre de 2023</t>
        </is>
      </c>
      <c r="F1207" t="inlineStr">
        <is>
          <t>la Recarga y mantenimiento</t>
        </is>
      </c>
      <c r="G1207" t="inlineStr">
        <is>
          <t>01</t>
        </is>
      </c>
      <c r="H1207" t="inlineStr">
        <is>
          <t>02 KG</t>
        </is>
      </c>
      <c r="I1207" t="inlineStr">
        <is>
          <t>VIGENTE</t>
        </is>
      </c>
      <c r="J1207" t="inlineStr">
        <is>
          <t>S/N</t>
        </is>
      </c>
      <c r="K1207" t="inlineStr">
        <is>
          <t>DICIEMBRE 2023</t>
        </is>
      </c>
      <c r="L1207" t="inlineStr">
        <is>
          <t>DICIEMBRE 2024</t>
        </is>
      </c>
      <c r="M1207" t="inlineStr">
        <is>
          <t xml:space="preserve">P.Q.S.  TIPO ABC </t>
        </is>
      </c>
      <c r="N1207" t="inlineStr">
        <is>
          <t>000949</t>
        </is>
      </c>
      <c r="O1207" t="inlineStr">
        <is>
          <t>R</t>
        </is>
      </c>
      <c r="P1207">
        <f>TRIM(N1207)</f>
        <v/>
      </c>
    </row>
    <row r="1208">
      <c r="A1208" t="inlineStr">
        <is>
          <t>CO-001697</t>
        </is>
      </c>
      <c r="B1208" t="inlineStr">
        <is>
          <t>OSCAR ELIDIO QUISPE GUARNIZ</t>
        </is>
      </c>
      <c r="C1208" t="inlineStr">
        <is>
          <t>43454017</t>
        </is>
      </c>
      <c r="D1208" t="inlineStr">
        <is>
          <t>MERCADO MINA DE ORO</t>
        </is>
      </c>
      <c r="E1208" t="inlineStr">
        <is>
          <t>Lima, 26 de Diciembre de 2023</t>
        </is>
      </c>
      <c r="F1208" t="inlineStr">
        <is>
          <t>la Recarga y mantenimiento</t>
        </is>
      </c>
      <c r="G1208" t="inlineStr">
        <is>
          <t>01</t>
        </is>
      </c>
      <c r="H1208" t="inlineStr">
        <is>
          <t>06 KG</t>
        </is>
      </c>
      <c r="I1208" t="inlineStr">
        <is>
          <t>2028</t>
        </is>
      </c>
      <c r="J1208" t="n">
        <v>2023</v>
      </c>
      <c r="K1208" t="inlineStr">
        <is>
          <t>DICIEMBRE 2023</t>
        </is>
      </c>
      <c r="L1208" t="inlineStr">
        <is>
          <t>DICIEMBRE 2024</t>
        </is>
      </c>
      <c r="M1208" t="inlineStr">
        <is>
          <t xml:space="preserve">P.Q.S.  TIPO ABC </t>
        </is>
      </c>
      <c r="N1208" t="inlineStr">
        <is>
          <t>002476</t>
        </is>
      </c>
      <c r="O1208" t="inlineStr">
        <is>
          <t>V</t>
        </is>
      </c>
      <c r="P1208">
        <f>TRIM(N1208)</f>
        <v/>
      </c>
    </row>
    <row r="1209">
      <c r="A1209" t="inlineStr">
        <is>
          <t>CO-001698</t>
        </is>
      </c>
      <c r="B1209" t="inlineStr">
        <is>
          <t>PERU MASIVO S.A.</t>
        </is>
      </c>
      <c r="C1209" t="inlineStr">
        <is>
          <t>20492392031</t>
        </is>
      </c>
      <c r="D1209" t="inlineStr">
        <is>
          <t>AV. LOS INCAS CDRA. 4 PATIO NORTE - COMAS</t>
        </is>
      </c>
      <c r="E1209" t="inlineStr">
        <is>
          <t>Lima, 28 de Diciembre de 2023</t>
        </is>
      </c>
      <c r="F1209" t="inlineStr">
        <is>
          <t>la Recarga y mantenimiento</t>
        </is>
      </c>
      <c r="G1209" t="inlineStr">
        <is>
          <t>01</t>
        </is>
      </c>
      <c r="H1209" t="inlineStr">
        <is>
          <t>06 KG</t>
        </is>
      </c>
      <c r="I1209" t="inlineStr">
        <is>
          <t>2028</t>
        </is>
      </c>
      <c r="J1209" t="n">
        <v>2010</v>
      </c>
      <c r="K1209" t="inlineStr">
        <is>
          <t>DICIEMBRE 2023</t>
        </is>
      </c>
      <c r="L1209" t="inlineStr">
        <is>
          <t>DICIEMBRE 2024</t>
        </is>
      </c>
      <c r="M1209" t="inlineStr">
        <is>
          <t>P.Q.S TIPO ABC AL 90 % NACIONAL</t>
        </is>
      </c>
      <c r="N1209" t="inlineStr">
        <is>
          <t>136 / 000008</t>
        </is>
      </c>
      <c r="O1209" t="inlineStr">
        <is>
          <t>R</t>
        </is>
      </c>
      <c r="P1209">
        <f>TRIM(N1209)</f>
        <v/>
      </c>
    </row>
    <row r="1210">
      <c r="A1210" t="inlineStr">
        <is>
          <t>CO-001698</t>
        </is>
      </c>
      <c r="B1210" t="inlineStr">
        <is>
          <t>PERU MASIVO S.A.</t>
        </is>
      </c>
      <c r="C1210" t="inlineStr">
        <is>
          <t>20492392031</t>
        </is>
      </c>
      <c r="D1210" t="inlineStr">
        <is>
          <t>AV. LOS INCAS CDRA. 4 PATIO NORTE - COMAS</t>
        </is>
      </c>
      <c r="E1210" t="inlineStr">
        <is>
          <t>Lima, 28 de Diciembre de 2023</t>
        </is>
      </c>
      <c r="F1210" t="inlineStr">
        <is>
          <t>la Recarga y mantenimiento</t>
        </is>
      </c>
      <c r="G1210" t="inlineStr">
        <is>
          <t>02</t>
        </is>
      </c>
      <c r="H1210" t="inlineStr">
        <is>
          <t>06 KG</t>
        </is>
      </c>
      <c r="I1210" t="inlineStr">
        <is>
          <t>2028</t>
        </is>
      </c>
      <c r="J1210" t="n">
        <v>2017</v>
      </c>
      <c r="K1210" t="inlineStr">
        <is>
          <t>DICIEMBRE 2023</t>
        </is>
      </c>
      <c r="L1210" t="inlineStr">
        <is>
          <t>DICIEMBRE 2024</t>
        </is>
      </c>
      <c r="M1210" t="inlineStr">
        <is>
          <t>P.Q.S TIPO ABC AL 90 % NACIONAL</t>
        </is>
      </c>
      <c r="N1210" t="inlineStr">
        <is>
          <t>S/N / 004208</t>
        </is>
      </c>
      <c r="O1210" t="inlineStr">
        <is>
          <t>R</t>
        </is>
      </c>
      <c r="P1210">
        <f>TRIM(N1210)</f>
        <v/>
      </c>
    </row>
    <row r="1211">
      <c r="A1211" t="inlineStr">
        <is>
          <t>CO-001698</t>
        </is>
      </c>
      <c r="B1211" t="inlineStr">
        <is>
          <t>PERU MASIVO S.A.</t>
        </is>
      </c>
      <c r="C1211" t="inlineStr">
        <is>
          <t>20492392031</t>
        </is>
      </c>
      <c r="D1211" t="inlineStr">
        <is>
          <t>AV. LOS INCAS CDRA. 4 PATIO NORTE - COMAS</t>
        </is>
      </c>
      <c r="E1211" t="inlineStr">
        <is>
          <t>Lima, 28 de Diciembre de 2023</t>
        </is>
      </c>
      <c r="F1211" t="inlineStr">
        <is>
          <t>la Recarga y mantenimiento</t>
        </is>
      </c>
      <c r="G1211" t="inlineStr">
        <is>
          <t>03</t>
        </is>
      </c>
      <c r="H1211" t="inlineStr">
        <is>
          <t>06 KG</t>
        </is>
      </c>
      <c r="I1211" t="inlineStr">
        <is>
          <t>2028</t>
        </is>
      </c>
      <c r="J1211" t="n">
        <v>2010</v>
      </c>
      <c r="K1211" t="inlineStr">
        <is>
          <t>DICIEMBRE 2023</t>
        </is>
      </c>
      <c r="L1211" t="inlineStr">
        <is>
          <t>DICIEMBRE 2024</t>
        </is>
      </c>
      <c r="M1211" t="inlineStr">
        <is>
          <t>P.Q.S TIPO ABC AL 90 % NACIONAL</t>
        </is>
      </c>
      <c r="N1211" t="inlineStr">
        <is>
          <t>336 / 000307</t>
        </is>
      </c>
      <c r="O1211" t="inlineStr">
        <is>
          <t>R</t>
        </is>
      </c>
      <c r="P1211">
        <f>TRIM(N1211)</f>
        <v/>
      </c>
    </row>
    <row r="1212">
      <c r="A1212" t="inlineStr">
        <is>
          <t>CO-001698</t>
        </is>
      </c>
      <c r="B1212" t="inlineStr">
        <is>
          <t>PERU MASIVO S.A.</t>
        </is>
      </c>
      <c r="C1212" t="inlineStr">
        <is>
          <t>20492392031</t>
        </is>
      </c>
      <c r="D1212" t="inlineStr">
        <is>
          <t>AV. LOS INCAS CDRA. 4 PATIO NORTE - COMAS</t>
        </is>
      </c>
      <c r="E1212" t="inlineStr">
        <is>
          <t>Lima, 28 de Diciembre de 2023</t>
        </is>
      </c>
      <c r="F1212" t="inlineStr">
        <is>
          <t>la Recarga y mantenimiento</t>
        </is>
      </c>
      <c r="G1212" t="inlineStr">
        <is>
          <t>04</t>
        </is>
      </c>
      <c r="H1212" t="inlineStr">
        <is>
          <t>06 KG</t>
        </is>
      </c>
      <c r="I1212" t="inlineStr">
        <is>
          <t>2028</t>
        </is>
      </c>
      <c r="J1212" t="n">
        <v>2009</v>
      </c>
      <c r="K1212" t="inlineStr">
        <is>
          <t>DICIEMBRE 2023</t>
        </is>
      </c>
      <c r="L1212" t="inlineStr">
        <is>
          <t>DICIEMBRE 2024</t>
        </is>
      </c>
      <c r="M1212" t="inlineStr">
        <is>
          <t>P.Q.S TIPO ABC AL 90 % NACIONAL</t>
        </is>
      </c>
      <c r="N1212" t="inlineStr">
        <is>
          <t>34 / 001548</t>
        </is>
      </c>
      <c r="O1212" t="inlineStr">
        <is>
          <t>R</t>
        </is>
      </c>
      <c r="P1212">
        <f>TRIM(N1212)</f>
        <v/>
      </c>
    </row>
    <row r="1213">
      <c r="A1213" t="inlineStr">
        <is>
          <t>CO-001698</t>
        </is>
      </c>
      <c r="B1213" t="inlineStr">
        <is>
          <t>PERU MASIVO S.A.</t>
        </is>
      </c>
      <c r="C1213" t="inlineStr">
        <is>
          <t>20492392031</t>
        </is>
      </c>
      <c r="D1213" t="inlineStr">
        <is>
          <t>AV. LOS INCAS CDRA. 4 PATIO NORTE - COMAS</t>
        </is>
      </c>
      <c r="E1213" t="inlineStr">
        <is>
          <t>Lima, 28 de Diciembre de 2023</t>
        </is>
      </c>
      <c r="F1213" t="inlineStr">
        <is>
          <t>la Recarga y mantenimiento</t>
        </is>
      </c>
      <c r="G1213" t="inlineStr">
        <is>
          <t>05</t>
        </is>
      </c>
      <c r="H1213" t="inlineStr">
        <is>
          <t>06 KG</t>
        </is>
      </c>
      <c r="I1213" t="inlineStr">
        <is>
          <t>2028</t>
        </is>
      </c>
      <c r="J1213" t="n">
        <v>2009</v>
      </c>
      <c r="K1213" t="inlineStr">
        <is>
          <t>DICIEMBRE 2023</t>
        </is>
      </c>
      <c r="L1213" t="inlineStr">
        <is>
          <t>DICIEMBRE 2024</t>
        </is>
      </c>
      <c r="M1213" t="inlineStr">
        <is>
          <t>P.Q.S TIPO ABC AL 90 % NACIONAL</t>
        </is>
      </c>
      <c r="N1213" t="inlineStr">
        <is>
          <t>303 / 001225</t>
        </is>
      </c>
      <c r="O1213" t="inlineStr">
        <is>
          <t>R</t>
        </is>
      </c>
      <c r="P1213">
        <f>TRIM(N1213)</f>
        <v/>
      </c>
    </row>
    <row r="1214">
      <c r="A1214" t="inlineStr">
        <is>
          <t>CO-001698</t>
        </is>
      </c>
      <c r="B1214" t="inlineStr">
        <is>
          <t>PERU MASIVO S.A.</t>
        </is>
      </c>
      <c r="C1214" t="inlineStr">
        <is>
          <t>20492392031</t>
        </is>
      </c>
      <c r="D1214" t="inlineStr">
        <is>
          <t>AV. LOS INCAS CDRA. 4 PATIO NORTE - COMAS</t>
        </is>
      </c>
      <c r="E1214" t="inlineStr">
        <is>
          <t>Lima, 28 de Diciembre de 2023</t>
        </is>
      </c>
      <c r="F1214" t="inlineStr">
        <is>
          <t>la Recarga y mantenimiento</t>
        </is>
      </c>
      <c r="G1214" t="inlineStr">
        <is>
          <t>06</t>
        </is>
      </c>
      <c r="H1214" t="inlineStr">
        <is>
          <t>06 KG</t>
        </is>
      </c>
      <c r="I1214" t="inlineStr">
        <is>
          <t>2028</t>
        </is>
      </c>
      <c r="J1214" t="n">
        <v>2019</v>
      </c>
      <c r="K1214" t="inlineStr">
        <is>
          <t>DICIEMBRE 2023</t>
        </is>
      </c>
      <c r="L1214" t="inlineStr">
        <is>
          <t>DICIEMBRE 2024</t>
        </is>
      </c>
      <c r="M1214" t="inlineStr">
        <is>
          <t>P.Q.S TIPO ABC AL 90 % NACIONAL</t>
        </is>
      </c>
      <c r="N1214" t="inlineStr">
        <is>
          <t>S/N / 001015</t>
        </is>
      </c>
      <c r="O1214" t="inlineStr">
        <is>
          <t>R</t>
        </is>
      </c>
      <c r="P1214">
        <f>TRIM(N1214)</f>
        <v/>
      </c>
    </row>
    <row r="1215">
      <c r="A1215" t="inlineStr">
        <is>
          <t>CO-001698</t>
        </is>
      </c>
      <c r="B1215" t="inlineStr">
        <is>
          <t>PERU MASIVO S.A.</t>
        </is>
      </c>
      <c r="C1215" t="inlineStr">
        <is>
          <t>20492392031</t>
        </is>
      </c>
      <c r="D1215" t="inlineStr">
        <is>
          <t>AV. LOS INCAS CDRA. 4 PATIO NORTE - COMAS</t>
        </is>
      </c>
      <c r="E1215" t="inlineStr">
        <is>
          <t>Lima, 28 de Diciembre de 2023</t>
        </is>
      </c>
      <c r="F1215" t="inlineStr">
        <is>
          <t>la Recarga y mantenimiento</t>
        </is>
      </c>
      <c r="G1215" t="inlineStr">
        <is>
          <t>07</t>
        </is>
      </c>
      <c r="H1215" t="inlineStr">
        <is>
          <t>06 KG</t>
        </is>
      </c>
      <c r="I1215" t="inlineStr">
        <is>
          <t>2028</t>
        </is>
      </c>
      <c r="J1215" t="n">
        <v>2009</v>
      </c>
      <c r="K1215" t="inlineStr">
        <is>
          <t>DICIEMBRE 2023</t>
        </is>
      </c>
      <c r="L1215" t="inlineStr">
        <is>
          <t>DICIEMBRE 2024</t>
        </is>
      </c>
      <c r="M1215" t="inlineStr">
        <is>
          <t>P.Q.S TIPO ABC AL 90 % NACIONAL</t>
        </is>
      </c>
      <c r="N1215" t="inlineStr">
        <is>
          <t>142 / 000123</t>
        </is>
      </c>
      <c r="O1215" t="inlineStr">
        <is>
          <t>R</t>
        </is>
      </c>
      <c r="P1215">
        <f>TRIM(N1215)</f>
        <v/>
      </c>
    </row>
    <row r="1216">
      <c r="A1216" t="inlineStr">
        <is>
          <t>CO-001698</t>
        </is>
      </c>
      <c r="B1216" t="inlineStr">
        <is>
          <t>PERU MASIVO S.A.</t>
        </is>
      </c>
      <c r="C1216" t="inlineStr">
        <is>
          <t>20492392031</t>
        </is>
      </c>
      <c r="D1216" t="inlineStr">
        <is>
          <t>AV. LOS INCAS CDRA. 4 PATIO NORTE - COMAS</t>
        </is>
      </c>
      <c r="E1216" t="inlineStr">
        <is>
          <t>Lima, 28 de Diciembre de 2023</t>
        </is>
      </c>
      <c r="F1216" t="inlineStr">
        <is>
          <t>la Recarga y mantenimiento</t>
        </is>
      </c>
      <c r="G1216" t="inlineStr">
        <is>
          <t>08</t>
        </is>
      </c>
      <c r="H1216" t="inlineStr">
        <is>
          <t>06 KG</t>
        </is>
      </c>
      <c r="I1216" t="inlineStr">
        <is>
          <t>2028</t>
        </is>
      </c>
      <c r="J1216" t="n">
        <v>2009</v>
      </c>
      <c r="K1216" t="inlineStr">
        <is>
          <t>DICIEMBRE 2023</t>
        </is>
      </c>
      <c r="L1216" t="inlineStr">
        <is>
          <t>DICIEMBRE 2024</t>
        </is>
      </c>
      <c r="M1216" t="inlineStr">
        <is>
          <t>P.Q.S TIPO ABC AL 90 % NACIONAL</t>
        </is>
      </c>
      <c r="N1216" t="inlineStr">
        <is>
          <t>S/N / 000313</t>
        </is>
      </c>
      <c r="O1216" t="inlineStr">
        <is>
          <t>R</t>
        </is>
      </c>
      <c r="P1216">
        <f>TRIM(N1216)</f>
        <v/>
      </c>
    </row>
    <row r="1217">
      <c r="A1217" t="inlineStr">
        <is>
          <t>CO-001698</t>
        </is>
      </c>
      <c r="B1217" t="inlineStr">
        <is>
          <t>PERU MASIVO S.A.</t>
        </is>
      </c>
      <c r="C1217" t="inlineStr">
        <is>
          <t>20492392031</t>
        </is>
      </c>
      <c r="D1217" t="inlineStr">
        <is>
          <t>AV. LOS INCAS CDRA. 4 PATIO NORTE - COMAS</t>
        </is>
      </c>
      <c r="E1217" t="inlineStr">
        <is>
          <t>Lima, 28 de Diciembre de 2023</t>
        </is>
      </c>
      <c r="F1217" t="inlineStr">
        <is>
          <t>la Recarga y mantenimiento</t>
        </is>
      </c>
      <c r="G1217" t="inlineStr">
        <is>
          <t>09</t>
        </is>
      </c>
      <c r="H1217" t="inlineStr">
        <is>
          <t>06 KG</t>
        </is>
      </c>
      <c r="I1217" t="inlineStr">
        <is>
          <t>2028</t>
        </is>
      </c>
      <c r="J1217" t="n">
        <v>2017</v>
      </c>
      <c r="K1217" t="inlineStr">
        <is>
          <t>DICIEMBRE 2023</t>
        </is>
      </c>
      <c r="L1217" t="inlineStr">
        <is>
          <t>DICIEMBRE 2024</t>
        </is>
      </c>
      <c r="M1217" t="inlineStr">
        <is>
          <t>P.Q.S TIPO ABC AL 90 % NACIONAL</t>
        </is>
      </c>
      <c r="N1217" t="inlineStr">
        <is>
          <t>S/N 000483</t>
        </is>
      </c>
      <c r="O1217" t="inlineStr">
        <is>
          <t>R</t>
        </is>
      </c>
      <c r="P1217">
        <f>TRIM(N1217)</f>
        <v/>
      </c>
    </row>
    <row r="1218">
      <c r="A1218" t="inlineStr">
        <is>
          <t>CO-001699</t>
        </is>
      </c>
      <c r="B1218" t="inlineStr">
        <is>
          <t>TITO LINO FERNANDEZ ROMERO</t>
        </is>
      </c>
      <c r="C1218" t="inlineStr">
        <is>
          <t>09889661</t>
        </is>
      </c>
      <c r="D1218" t="inlineStr">
        <is>
          <t>AV. REPUBLICA DE ISRAEL MZ. Y1 LT. 22 URB. ALAMO COMAS</t>
        </is>
      </c>
      <c r="E1218" t="inlineStr">
        <is>
          <t>Lima, 28 de Diciembre de 2023</t>
        </is>
      </c>
      <c r="F1218" t="inlineStr">
        <is>
          <t>la Recarga y mantenimiento</t>
        </is>
      </c>
      <c r="G1218" t="inlineStr">
        <is>
          <t>01</t>
        </is>
      </c>
      <c r="H1218" t="inlineStr">
        <is>
          <t>06 KG</t>
        </is>
      </c>
      <c r="I1218" t="inlineStr">
        <is>
          <t>2028</t>
        </is>
      </c>
      <c r="J1218" t="n">
        <v>2017</v>
      </c>
      <c r="K1218" t="inlineStr">
        <is>
          <t>DICIEMBRE 2023</t>
        </is>
      </c>
      <c r="L1218" t="inlineStr">
        <is>
          <t>DICIEMBRE 2024</t>
        </is>
      </c>
      <c r="M1218" t="inlineStr">
        <is>
          <t xml:space="preserve">P.Q.S.  TIPO ABC </t>
        </is>
      </c>
      <c r="N1218" t="inlineStr">
        <is>
          <t>005195</t>
        </is>
      </c>
      <c r="O1218" t="inlineStr">
        <is>
          <t>R</t>
        </is>
      </c>
      <c r="P1218">
        <f>TRIM(N1218)</f>
        <v/>
      </c>
    </row>
    <row r="1219">
      <c r="A1219" t="inlineStr">
        <is>
          <t>CO-001700</t>
        </is>
      </c>
      <c r="B1219" t="inlineStr">
        <is>
          <t xml:space="preserve">FERRETERIA TOBA S.A. DE: FRANCISCO LUIS TOBALINO HIDALGO </t>
        </is>
      </c>
      <c r="C1219" t="inlineStr">
        <is>
          <t>10062587178</t>
        </is>
      </c>
      <c r="D1219" t="inlineStr">
        <is>
          <t>AV. SAN FELIPE N° 981 URB. SAN FELIPE  - COMAS</t>
        </is>
      </c>
      <c r="E1219" t="inlineStr">
        <is>
          <t>Lima, 29 de Diciembre de 2023</t>
        </is>
      </c>
      <c r="F1219" t="inlineStr">
        <is>
          <t>la Recarga y mantenimiento</t>
        </is>
      </c>
      <c r="G1219" t="inlineStr">
        <is>
          <t>01</t>
        </is>
      </c>
      <c r="H1219" t="inlineStr">
        <is>
          <t>09 KG</t>
        </is>
      </c>
      <c r="I1219" t="inlineStr">
        <is>
          <t>VIGENTE</t>
        </is>
      </c>
      <c r="J1219" t="inlineStr">
        <is>
          <t>S/N</t>
        </is>
      </c>
      <c r="K1219" t="inlineStr">
        <is>
          <t>DICIEMBRE 2023</t>
        </is>
      </c>
      <c r="L1219" t="inlineStr">
        <is>
          <t>DICIEMBRE 2024</t>
        </is>
      </c>
      <c r="M1219" t="inlineStr">
        <is>
          <t xml:space="preserve">P.Q.S.  TIPO ABC </t>
        </is>
      </c>
      <c r="N1219" t="inlineStr">
        <is>
          <t>005092</t>
        </is>
      </c>
      <c r="O1219" t="inlineStr">
        <is>
          <t>R</t>
        </is>
      </c>
      <c r="P1219">
        <f>TRIM(N1219)</f>
        <v/>
      </c>
    </row>
    <row r="1220">
      <c r="A1220" t="inlineStr">
        <is>
          <t>CO-001701</t>
        </is>
      </c>
      <c r="B1220" t="inlineStr">
        <is>
          <t>CENTRO DE CAPACITACION MISIONAL - ASPERSUD</t>
        </is>
      </c>
      <c r="C1220" t="inlineStr">
        <is>
          <t>20145915164</t>
        </is>
      </c>
      <c r="D1220" t="inlineStr">
        <is>
          <t>AV. MELGAREJO 164 - LA MOLINA</t>
        </is>
      </c>
      <c r="E1220" t="inlineStr">
        <is>
          <t>Lima, 29 de Diciembre de 2023</t>
        </is>
      </c>
      <c r="F1220" t="inlineStr">
        <is>
          <t>la venta</t>
        </is>
      </c>
      <c r="G1220" t="inlineStr">
        <is>
          <t>01</t>
        </is>
      </c>
      <c r="H1220" t="inlineStr">
        <is>
          <t>10 LBS</t>
        </is>
      </c>
      <c r="I1220" t="inlineStr">
        <is>
          <t>2028</t>
        </is>
      </c>
      <c r="J1220" t="n">
        <v>2023</v>
      </c>
      <c r="K1220" t="inlineStr">
        <is>
          <t>DICIEMBRE 2023</t>
        </is>
      </c>
      <c r="L1220" t="inlineStr">
        <is>
          <t>DICIEMBRE 2024</t>
        </is>
      </c>
      <c r="M1220" t="inlineStr">
        <is>
          <t>P.Q.S. TIPO ABC AL 90% UL</t>
        </is>
      </c>
      <c r="N1220" t="inlineStr">
        <is>
          <t>01 / H89373094</t>
        </is>
      </c>
      <c r="O1220" t="inlineStr">
        <is>
          <t>V</t>
        </is>
      </c>
      <c r="P1220">
        <f>TRIM(N1220)</f>
        <v/>
      </c>
    </row>
    <row r="1221">
      <c r="A1221" t="inlineStr">
        <is>
          <t>CO-001701</t>
        </is>
      </c>
      <c r="B1221" t="inlineStr">
        <is>
          <t>CENTRO DE CAPACITACION MISIONAL - ASPERSUD</t>
        </is>
      </c>
      <c r="C1221" t="inlineStr">
        <is>
          <t>20145915164</t>
        </is>
      </c>
      <c r="D1221" t="inlineStr">
        <is>
          <t>AV. MELGAREJO 164 - LA MOLINA</t>
        </is>
      </c>
      <c r="E1221" t="inlineStr">
        <is>
          <t>Lima, 29 de Diciembre de 2023</t>
        </is>
      </c>
      <c r="F1221" t="inlineStr">
        <is>
          <t>la venta</t>
        </is>
      </c>
      <c r="G1221" t="inlineStr">
        <is>
          <t>02</t>
        </is>
      </c>
      <c r="H1221" t="inlineStr">
        <is>
          <t>10 LBS</t>
        </is>
      </c>
      <c r="I1221" t="inlineStr">
        <is>
          <t>2028</t>
        </is>
      </c>
      <c r="J1221" t="n">
        <v>2023</v>
      </c>
      <c r="K1221" t="inlineStr">
        <is>
          <t>DICIEMBRE 2023</t>
        </is>
      </c>
      <c r="L1221" t="inlineStr">
        <is>
          <t>DICIEMBRE 2024</t>
        </is>
      </c>
      <c r="M1221" t="inlineStr">
        <is>
          <t>P.Q.S. TIPO ABC AL 90% UL</t>
        </is>
      </c>
      <c r="N1221" t="inlineStr">
        <is>
          <t>02 / H89368374</t>
        </is>
      </c>
      <c r="O1221" t="inlineStr">
        <is>
          <t>V</t>
        </is>
      </c>
      <c r="P1221">
        <f>TRIM(N1221)</f>
        <v/>
      </c>
    </row>
    <row r="1222">
      <c r="A1222" t="inlineStr">
        <is>
          <t>CO-001701</t>
        </is>
      </c>
      <c r="B1222" t="inlineStr">
        <is>
          <t>CENTRO DE CAPACITACION MISIONAL - ASPERSUD</t>
        </is>
      </c>
      <c r="C1222" t="inlineStr">
        <is>
          <t>20145915164</t>
        </is>
      </c>
      <c r="D1222" t="inlineStr">
        <is>
          <t>AV. MELGAREJO 164 - LA MOLINA</t>
        </is>
      </c>
      <c r="E1222" t="inlineStr">
        <is>
          <t>Lima, 29 de Diciembre de 2023</t>
        </is>
      </c>
      <c r="F1222" t="inlineStr">
        <is>
          <t>la venta</t>
        </is>
      </c>
      <c r="G1222" t="inlineStr">
        <is>
          <t>03</t>
        </is>
      </c>
      <c r="H1222" t="inlineStr">
        <is>
          <t>10 LBS</t>
        </is>
      </c>
      <c r="I1222" t="inlineStr">
        <is>
          <t>2028</t>
        </is>
      </c>
      <c r="J1222" t="n">
        <v>2023</v>
      </c>
      <c r="K1222" t="inlineStr">
        <is>
          <t>DICIEMBRE 2023</t>
        </is>
      </c>
      <c r="L1222" t="inlineStr">
        <is>
          <t>DICIEMBRE 2024</t>
        </is>
      </c>
      <c r="M1222" t="inlineStr">
        <is>
          <t>P.Q.S. TIPO ABC AL 90% UL</t>
        </is>
      </c>
      <c r="N1222" t="inlineStr">
        <is>
          <t>03 / H89373060</t>
        </is>
      </c>
      <c r="O1222" t="inlineStr">
        <is>
          <t>V</t>
        </is>
      </c>
      <c r="P1222">
        <f>TRIM(N1222)</f>
        <v/>
      </c>
    </row>
    <row r="1223">
      <c r="A1223" t="inlineStr">
        <is>
          <t>CO-001702</t>
        </is>
      </c>
      <c r="B1223" t="inlineStr">
        <is>
          <t>PERU MASIVO S.A.</t>
        </is>
      </c>
      <c r="C1223" t="inlineStr">
        <is>
          <t>20492392031</t>
        </is>
      </c>
      <c r="D1223" t="inlineStr">
        <is>
          <t>AV. LOS INCAS CDRA. 4 PATIO NORTE - COMAS</t>
        </is>
      </c>
      <c r="E1223" t="inlineStr">
        <is>
          <t>Lima, 02 de Enero de 2024</t>
        </is>
      </c>
      <c r="F1223" t="inlineStr">
        <is>
          <t>la Recarga y mantenimiento</t>
        </is>
      </c>
      <c r="G1223" t="inlineStr">
        <is>
          <t>01</t>
        </is>
      </c>
      <c r="H1223" t="inlineStr">
        <is>
          <t>06 KG</t>
        </is>
      </c>
      <c r="I1223" t="inlineStr">
        <is>
          <t>2029</t>
        </is>
      </c>
      <c r="J1223" t="n">
        <v>2009</v>
      </c>
      <c r="K1223" t="inlineStr">
        <is>
          <t>ENERO 2024</t>
        </is>
      </c>
      <c r="L1223" t="inlineStr">
        <is>
          <t>ENERO 2025</t>
        </is>
      </c>
      <c r="M1223" t="inlineStr">
        <is>
          <t>P.Q.S TIPO ABC AL 90 % NACIONAL</t>
        </is>
      </c>
      <c r="N1223" t="inlineStr">
        <is>
          <t>127 / 000176</t>
        </is>
      </c>
      <c r="O1223" t="inlineStr">
        <is>
          <t>R</t>
        </is>
      </c>
      <c r="P1223">
        <f>TRIM(N1223)</f>
        <v/>
      </c>
    </row>
    <row r="1224">
      <c r="A1224" t="inlineStr">
        <is>
          <t>CO-001702</t>
        </is>
      </c>
      <c r="B1224" t="inlineStr">
        <is>
          <t>PERU MASIVO S.A.</t>
        </is>
      </c>
      <c r="C1224" t="inlineStr">
        <is>
          <t>20492392031</t>
        </is>
      </c>
      <c r="D1224" t="inlineStr">
        <is>
          <t>AV. LOS INCAS CDRA. 4 PATIO NORTE - COMAS</t>
        </is>
      </c>
      <c r="E1224" t="inlineStr">
        <is>
          <t>Lima, 02 de Enero de 2024</t>
        </is>
      </c>
      <c r="F1224" t="inlineStr">
        <is>
          <t>la Recarga y mantenimiento</t>
        </is>
      </c>
      <c r="G1224" t="inlineStr">
        <is>
          <t>02</t>
        </is>
      </c>
      <c r="H1224" t="inlineStr">
        <is>
          <t>06 KG</t>
        </is>
      </c>
      <c r="I1224" t="inlineStr">
        <is>
          <t>2029</t>
        </is>
      </c>
      <c r="J1224" t="n">
        <v>2009</v>
      </c>
      <c r="K1224" t="inlineStr">
        <is>
          <t>ENERO 2024</t>
        </is>
      </c>
      <c r="L1224" t="inlineStr">
        <is>
          <t>ENERO 2025</t>
        </is>
      </c>
      <c r="M1224" t="inlineStr">
        <is>
          <t>P.Q.S TIPO ABC AL 90 % NACIONAL</t>
        </is>
      </c>
      <c r="N1224" t="inlineStr">
        <is>
          <t>104 / 001188</t>
        </is>
      </c>
      <c r="O1224" t="inlineStr">
        <is>
          <t>R</t>
        </is>
      </c>
      <c r="P1224">
        <f>TRIM(N1224)</f>
        <v/>
      </c>
    </row>
    <row r="1225">
      <c r="A1225" t="inlineStr">
        <is>
          <t>CO-001702</t>
        </is>
      </c>
      <c r="B1225" t="inlineStr">
        <is>
          <t>PERU MASIVO S.A.</t>
        </is>
      </c>
      <c r="C1225" t="inlineStr">
        <is>
          <t>20492392031</t>
        </is>
      </c>
      <c r="D1225" t="inlineStr">
        <is>
          <t>AV. LOS INCAS CDRA. 4 PATIO NORTE - COMAS</t>
        </is>
      </c>
      <c r="E1225" t="inlineStr">
        <is>
          <t>Lima, 02 de Enero de 2024</t>
        </is>
      </c>
      <c r="F1225" t="inlineStr">
        <is>
          <t>la Recarga y mantenimiento</t>
        </is>
      </c>
      <c r="G1225" t="inlineStr">
        <is>
          <t>03</t>
        </is>
      </c>
      <c r="H1225" t="inlineStr">
        <is>
          <t>06 KG</t>
        </is>
      </c>
      <c r="I1225" t="inlineStr">
        <is>
          <t>2029</t>
        </is>
      </c>
      <c r="J1225" t="n">
        <v>2012</v>
      </c>
      <c r="K1225" t="inlineStr">
        <is>
          <t>ENERO 2024</t>
        </is>
      </c>
      <c r="L1225" t="inlineStr">
        <is>
          <t>ENERO 2025</t>
        </is>
      </c>
      <c r="M1225" t="inlineStr">
        <is>
          <t>P.Q.S TIPO ABC AL 90 % NACIONAL</t>
        </is>
      </c>
      <c r="N1225" t="inlineStr">
        <is>
          <t>A2 / 002474</t>
        </is>
      </c>
      <c r="O1225" t="inlineStr">
        <is>
          <t>R</t>
        </is>
      </c>
      <c r="P1225">
        <f>TRIM(N1225)</f>
        <v/>
      </c>
    </row>
    <row r="1226">
      <c r="A1226" t="inlineStr">
        <is>
          <t>CO-001702</t>
        </is>
      </c>
      <c r="B1226" t="inlineStr">
        <is>
          <t>PERU MASIVO S.A.</t>
        </is>
      </c>
      <c r="C1226" t="inlineStr">
        <is>
          <t>20492392031</t>
        </is>
      </c>
      <c r="D1226" t="inlineStr">
        <is>
          <t>AV. LOS INCAS CDRA. 4 PATIO NORTE - COMAS</t>
        </is>
      </c>
      <c r="E1226" t="inlineStr">
        <is>
          <t>Lima, 02 de Enero de 2024</t>
        </is>
      </c>
      <c r="F1226" t="inlineStr">
        <is>
          <t>la Recarga y mantenimiento</t>
        </is>
      </c>
      <c r="G1226" t="inlineStr">
        <is>
          <t>04</t>
        </is>
      </c>
      <c r="H1226" t="inlineStr">
        <is>
          <t>06 KG</t>
        </is>
      </c>
      <c r="I1226" t="inlineStr">
        <is>
          <t>2029</t>
        </is>
      </c>
      <c r="J1226" t="n">
        <v>2010</v>
      </c>
      <c r="K1226" t="inlineStr">
        <is>
          <t>ENERO 2024</t>
        </is>
      </c>
      <c r="L1226" t="inlineStr">
        <is>
          <t>ENERO 2025</t>
        </is>
      </c>
      <c r="M1226" t="inlineStr">
        <is>
          <t>P.Q.S TIPO ABC AL 90 % NACIONAL</t>
        </is>
      </c>
      <c r="N1226" t="inlineStr">
        <is>
          <t>108 / 000008</t>
        </is>
      </c>
      <c r="O1226" t="inlineStr">
        <is>
          <t>R</t>
        </is>
      </c>
      <c r="P1226">
        <f>TRIM(N1226)</f>
        <v/>
      </c>
    </row>
    <row r="1227">
      <c r="A1227" t="inlineStr">
        <is>
          <t>CO-001702</t>
        </is>
      </c>
      <c r="B1227" t="inlineStr">
        <is>
          <t>PERU MASIVO S.A.</t>
        </is>
      </c>
      <c r="C1227" t="inlineStr">
        <is>
          <t>20492392031</t>
        </is>
      </c>
      <c r="D1227" t="inlineStr">
        <is>
          <t>AV. LOS INCAS CDRA. 4 PATIO NORTE - COMAS</t>
        </is>
      </c>
      <c r="E1227" t="inlineStr">
        <is>
          <t>Lima, 02 de Enero de 2024</t>
        </is>
      </c>
      <c r="F1227" t="inlineStr">
        <is>
          <t>la Recarga y mantenimiento</t>
        </is>
      </c>
      <c r="G1227" t="inlineStr">
        <is>
          <t>05</t>
        </is>
      </c>
      <c r="H1227" t="inlineStr">
        <is>
          <t>06 KG</t>
        </is>
      </c>
      <c r="I1227" t="inlineStr">
        <is>
          <t>2029</t>
        </is>
      </c>
      <c r="J1227" t="n">
        <v>2015</v>
      </c>
      <c r="K1227" t="inlineStr">
        <is>
          <t>ENERO 2024</t>
        </is>
      </c>
      <c r="L1227" t="inlineStr">
        <is>
          <t>ENERO 2025</t>
        </is>
      </c>
      <c r="M1227" t="inlineStr">
        <is>
          <t>P.Q.S TIPO ABC AL 90 % NACIONAL</t>
        </is>
      </c>
      <c r="N1227" t="inlineStr">
        <is>
          <t>S/N / 001548</t>
        </is>
      </c>
      <c r="O1227" t="inlineStr">
        <is>
          <t>R</t>
        </is>
      </c>
      <c r="P1227">
        <f>TRIM(N1227)</f>
        <v/>
      </c>
    </row>
    <row r="1228">
      <c r="A1228" t="inlineStr">
        <is>
          <t>CO-001703</t>
        </is>
      </c>
      <c r="B1228" t="inlineStr">
        <is>
          <t>SANTIAGO TACUNAN BONIFACIO</t>
        </is>
      </c>
      <c r="C1228" t="inlineStr">
        <is>
          <t>09978369</t>
        </is>
      </c>
      <c r="D1228" t="inlineStr">
        <is>
          <t>PLACA: DOM - 166</t>
        </is>
      </c>
      <c r="E1228" t="inlineStr">
        <is>
          <t>Lima, 02 de Enero de 2024</t>
        </is>
      </c>
      <c r="F1228" t="inlineStr">
        <is>
          <t>la Recarga y mantenimiento</t>
        </is>
      </c>
      <c r="G1228" t="inlineStr">
        <is>
          <t>01</t>
        </is>
      </c>
      <c r="H1228" t="inlineStr">
        <is>
          <t>02 KG</t>
        </is>
      </c>
      <c r="I1228" t="inlineStr">
        <is>
          <t>VIGENTE</t>
        </is>
      </c>
      <c r="J1228" t="n">
        <v>2012</v>
      </c>
      <c r="K1228" t="inlineStr">
        <is>
          <t>ENERO 2024</t>
        </is>
      </c>
      <c r="L1228" t="inlineStr">
        <is>
          <t>ENERO 2025</t>
        </is>
      </c>
      <c r="M1228" t="inlineStr">
        <is>
          <t xml:space="preserve">P.Q.S.  TIPO ABC </t>
        </is>
      </c>
      <c r="N1228" t="inlineStr">
        <is>
          <t>014467</t>
        </is>
      </c>
      <c r="O1228" t="inlineStr">
        <is>
          <t>R</t>
        </is>
      </c>
      <c r="P1228">
        <f>TRIM(N1228)</f>
        <v/>
      </c>
    </row>
    <row r="1229">
      <c r="A1229" t="inlineStr">
        <is>
          <t>CO-001704</t>
        </is>
      </c>
      <c r="B1229" t="inlineStr">
        <is>
          <t>SALON DE BELLEZA TATIANA</t>
        </is>
      </c>
      <c r="C1229" t="inlineStr">
        <is>
          <t>40373068</t>
        </is>
      </c>
      <c r="D1229" t="inlineStr">
        <is>
          <t>CHINCHAYSUYO MZ O LT 51 URB. LUCYANA - CARABAYLLO</t>
        </is>
      </c>
      <c r="E1229" t="inlineStr">
        <is>
          <t>Lima, 03 de Enero de 2024</t>
        </is>
      </c>
      <c r="F1229" t="inlineStr">
        <is>
          <t>la Recarga y mantenimiento</t>
        </is>
      </c>
      <c r="G1229" t="inlineStr">
        <is>
          <t>01</t>
        </is>
      </c>
      <c r="H1229" t="inlineStr">
        <is>
          <t>09 KG</t>
        </is>
      </c>
      <c r="I1229" t="inlineStr">
        <is>
          <t>2028</t>
        </is>
      </c>
      <c r="J1229" t="n">
        <v>2017</v>
      </c>
      <c r="K1229" t="inlineStr">
        <is>
          <t>ENERO 2024</t>
        </is>
      </c>
      <c r="L1229" t="inlineStr">
        <is>
          <t>ENERO 2025</t>
        </is>
      </c>
      <c r="M1229" t="inlineStr">
        <is>
          <t xml:space="preserve">P.Q.S.  TIPO ABC </t>
        </is>
      </c>
      <c r="N1229" t="inlineStr">
        <is>
          <t>00582</t>
        </is>
      </c>
      <c r="O1229" t="inlineStr">
        <is>
          <t>R</t>
        </is>
      </c>
      <c r="P1229">
        <f>TRIM(N1229)</f>
        <v/>
      </c>
    </row>
    <row r="1230">
      <c r="A1230" t="inlineStr">
        <is>
          <t>CO-001705</t>
        </is>
      </c>
      <c r="B1230" t="inlineStr">
        <is>
          <t xml:space="preserve">LUIS SANCHEZ TESEN </t>
        </is>
      </c>
      <c r="C1230" t="inlineStr">
        <is>
          <t>43479669</t>
        </is>
      </c>
      <c r="D1230" t="inlineStr">
        <is>
          <t>AV. TRAPICHE MZ I LT 10 URB. SANTO DOMINGO 2DA ETAPA</t>
        </is>
      </c>
      <c r="E1230" t="inlineStr">
        <is>
          <t>Lima, 03 de Enero de 2024</t>
        </is>
      </c>
      <c r="F1230" t="inlineStr">
        <is>
          <t>la Recarga y mantenimiento</t>
        </is>
      </c>
      <c r="G1230" t="inlineStr">
        <is>
          <t>01</t>
        </is>
      </c>
      <c r="H1230" t="inlineStr">
        <is>
          <t>06 KG</t>
        </is>
      </c>
      <c r="I1230" t="inlineStr">
        <is>
          <t>2025</t>
        </is>
      </c>
      <c r="J1230" t="n">
        <v>2013</v>
      </c>
      <c r="K1230" t="inlineStr">
        <is>
          <t>ENERO 2024</t>
        </is>
      </c>
      <c r="L1230" t="inlineStr">
        <is>
          <t>ENERO 2025</t>
        </is>
      </c>
      <c r="M1230" t="inlineStr">
        <is>
          <t xml:space="preserve">P.Q.S.  TIPO ABC </t>
        </is>
      </c>
      <c r="N1230" t="inlineStr">
        <is>
          <t>001164</t>
        </is>
      </c>
      <c r="O1230" t="inlineStr">
        <is>
          <t>R</t>
        </is>
      </c>
      <c r="P1230">
        <f>TRIM(N1230)</f>
        <v/>
      </c>
    </row>
    <row r="1231">
      <c r="A1231" t="inlineStr">
        <is>
          <t>CO-001706</t>
        </is>
      </c>
      <c r="B1231" t="inlineStr">
        <is>
          <t xml:space="preserve">LUIS SANCHEZ TESEN </t>
        </is>
      </c>
      <c r="C1231" t="inlineStr">
        <is>
          <t>43479669</t>
        </is>
      </c>
      <c r="D1231" t="inlineStr">
        <is>
          <t>PLACA: BDL - 652</t>
        </is>
      </c>
      <c r="E1231" t="inlineStr">
        <is>
          <t>Lima, 03 de Enero de 2024</t>
        </is>
      </c>
      <c r="F1231" t="inlineStr">
        <is>
          <t>la Recarga y mantenimiento</t>
        </is>
      </c>
      <c r="G1231" t="inlineStr">
        <is>
          <t>01</t>
        </is>
      </c>
      <c r="H1231" t="inlineStr">
        <is>
          <t>02 KG</t>
        </is>
      </c>
      <c r="I1231" t="inlineStr">
        <is>
          <t>2025</t>
        </is>
      </c>
      <c r="J1231" t="n">
        <v>2013</v>
      </c>
      <c r="K1231" t="inlineStr">
        <is>
          <t>ENERO 2024</t>
        </is>
      </c>
      <c r="L1231" t="inlineStr">
        <is>
          <t>ENERO 2025</t>
        </is>
      </c>
      <c r="M1231" t="inlineStr">
        <is>
          <t xml:space="preserve">P.Q.S.  TIPO ABC </t>
        </is>
      </c>
      <c r="N1231" t="inlineStr">
        <is>
          <t>000608</t>
        </is>
      </c>
      <c r="O1231" t="inlineStr">
        <is>
          <t>R</t>
        </is>
      </c>
      <c r="P1231">
        <f>TRIM(N1231)</f>
        <v/>
      </c>
    </row>
    <row r="1232">
      <c r="A1232" t="inlineStr">
        <is>
          <t>CO-001707</t>
        </is>
      </c>
      <c r="B1232" t="inlineStr">
        <is>
          <t>GRIFO COMARSA - COMARSA &amp; CIA. S.R.L.</t>
        </is>
      </c>
      <c r="C1232" t="inlineStr">
        <is>
          <t>20471884741</t>
        </is>
      </c>
      <c r="D1232" t="inlineStr">
        <is>
          <t>AV. FELIPE MENDIZABAL 580 - TUNGASUCA - CARABAYLLO</t>
        </is>
      </c>
      <c r="E1232" t="inlineStr">
        <is>
          <t>Lima, 03 de Enero de 2024</t>
        </is>
      </c>
      <c r="F1232" t="inlineStr">
        <is>
          <t>la Recarga y mantenimiento</t>
        </is>
      </c>
      <c r="G1232" t="inlineStr">
        <is>
          <t>01</t>
        </is>
      </c>
      <c r="H1232" t="inlineStr">
        <is>
          <t>13.6 KG</t>
        </is>
      </c>
      <c r="I1232" t="inlineStr">
        <is>
          <t>2025</t>
        </is>
      </c>
      <c r="J1232" t="inlineStr">
        <is>
          <t>S/F</t>
        </is>
      </c>
      <c r="K1232" t="inlineStr">
        <is>
          <t>ENERO 2024</t>
        </is>
      </c>
      <c r="L1232" t="inlineStr">
        <is>
          <t>ENERO 2025</t>
        </is>
      </c>
      <c r="M1232" t="inlineStr">
        <is>
          <t>P.Q.S.  TIPO ABC AL 90% UL</t>
        </is>
      </c>
      <c r="N1232" t="inlineStr">
        <is>
          <t>01 / 000855</t>
        </is>
      </c>
      <c r="O1232" t="inlineStr">
        <is>
          <t>M4</t>
        </is>
      </c>
      <c r="P1232">
        <f>TRIM(N1232)</f>
        <v/>
      </c>
    </row>
    <row r="1233">
      <c r="A1233" t="inlineStr">
        <is>
          <t>CO-001708</t>
        </is>
      </c>
      <c r="B1233" t="inlineStr">
        <is>
          <t>GRIFO COMARSA - COMARSA &amp; CIA. S.R.L.</t>
        </is>
      </c>
      <c r="C1233" t="inlineStr">
        <is>
          <t>20471884741</t>
        </is>
      </c>
      <c r="D1233" t="inlineStr">
        <is>
          <t>AV. FELIPE MENDIZABAL 580 - TUNGASUCA - CARABAYLLO</t>
        </is>
      </c>
      <c r="E1233" t="inlineStr">
        <is>
          <t>Lima, 03 de Enero de 2024</t>
        </is>
      </c>
      <c r="F1233" t="inlineStr">
        <is>
          <t>la Recarga y mantenimiento</t>
        </is>
      </c>
      <c r="G1233" t="inlineStr">
        <is>
          <t>01</t>
        </is>
      </c>
      <c r="H1233" t="inlineStr">
        <is>
          <t>06KG</t>
        </is>
      </c>
      <c r="I1233" t="inlineStr">
        <is>
          <t>2025</t>
        </is>
      </c>
      <c r="J1233" t="n">
        <v>2020</v>
      </c>
      <c r="K1233" t="inlineStr">
        <is>
          <t>ENERO 2024</t>
        </is>
      </c>
      <c r="L1233" t="inlineStr">
        <is>
          <t>ENERO 2025</t>
        </is>
      </c>
      <c r="M1233" t="inlineStr">
        <is>
          <t>P.Q.S.  TIPO ABC AL 90% UL</t>
        </is>
      </c>
      <c r="N1233" t="inlineStr">
        <is>
          <t>02 / 143097</t>
        </is>
      </c>
      <c r="O1233" t="inlineStr">
        <is>
          <t>M1</t>
        </is>
      </c>
      <c r="P1233">
        <f>TRIM(N1233)</f>
        <v/>
      </c>
    </row>
    <row r="1234">
      <c r="A1234" t="inlineStr">
        <is>
          <t>CO-001709</t>
        </is>
      </c>
      <c r="B1234" t="inlineStr">
        <is>
          <t>LUIS PALACIOS</t>
        </is>
      </c>
      <c r="C1234" t="inlineStr">
        <is>
          <t>44469425</t>
        </is>
      </c>
      <c r="D1234" t="inlineStr">
        <is>
          <t>PLACA: BUT - 048</t>
        </is>
      </c>
      <c r="E1234" t="inlineStr">
        <is>
          <t>Lima, 03 de Enero de 2024</t>
        </is>
      </c>
      <c r="F1234" t="inlineStr">
        <is>
          <t>la Recarga y mantenimiento</t>
        </is>
      </c>
      <c r="G1234" t="inlineStr">
        <is>
          <t>01</t>
        </is>
      </c>
      <c r="H1234" t="inlineStr">
        <is>
          <t>02 KG</t>
        </is>
      </c>
      <c r="I1234" t="inlineStr">
        <is>
          <t>VIGENTE</t>
        </is>
      </c>
      <c r="J1234" t="n">
        <v>2020</v>
      </c>
      <c r="K1234" t="inlineStr">
        <is>
          <t>ENERO 2024</t>
        </is>
      </c>
      <c r="L1234" t="inlineStr">
        <is>
          <t>ENERO 2025</t>
        </is>
      </c>
      <c r="M1234" t="inlineStr">
        <is>
          <t xml:space="preserve">P.Q.S.  TIPO ABC </t>
        </is>
      </c>
      <c r="N1234" t="inlineStr">
        <is>
          <t>048322</t>
        </is>
      </c>
      <c r="O1234" t="inlineStr">
        <is>
          <t>R</t>
        </is>
      </c>
      <c r="P1234">
        <f>TRIM(N1234)</f>
        <v/>
      </c>
    </row>
    <row r="1235">
      <c r="A1235" t="inlineStr">
        <is>
          <t>CO-001710</t>
        </is>
      </c>
      <c r="B1235" t="inlineStr">
        <is>
          <t>JUAN CARLOS BALDERA VELASQUEZ</t>
        </is>
      </c>
      <c r="C1235" t="inlineStr">
        <is>
          <t>44469425</t>
        </is>
      </c>
      <c r="D1235" t="inlineStr">
        <is>
          <t>PLACA: Y10-871</t>
        </is>
      </c>
      <c r="E1235" t="inlineStr">
        <is>
          <t>Lima, 04 de Enero de 2024</t>
        </is>
      </c>
      <c r="F1235" t="inlineStr">
        <is>
          <t>la Recarga y mantenimiento</t>
        </is>
      </c>
      <c r="G1235" t="inlineStr">
        <is>
          <t>01</t>
        </is>
      </c>
      <c r="H1235" t="inlineStr">
        <is>
          <t>06 KG</t>
        </is>
      </c>
      <c r="I1235" t="inlineStr">
        <is>
          <t>VIGENTE</t>
        </is>
      </c>
      <c r="J1235" t="n">
        <v>2018</v>
      </c>
      <c r="K1235" t="inlineStr">
        <is>
          <t>ENERO 2024</t>
        </is>
      </c>
      <c r="L1235" t="inlineStr">
        <is>
          <t>ENERO 2025</t>
        </is>
      </c>
      <c r="M1235" t="inlineStr">
        <is>
          <t xml:space="preserve">P.Q.S.  TIPO ABC </t>
        </is>
      </c>
      <c r="N1235" t="inlineStr">
        <is>
          <t>001154</t>
        </is>
      </c>
      <c r="O1235" t="inlineStr">
        <is>
          <t>R</t>
        </is>
      </c>
      <c r="P1235">
        <f>TRIM(N1235)</f>
        <v/>
      </c>
    </row>
    <row r="1236">
      <c r="A1236" t="inlineStr">
        <is>
          <t>CO-001711</t>
        </is>
      </c>
      <c r="B1236" t="inlineStr">
        <is>
          <t>SERVICIOS INDUSTRIALES SALESIANO E.I.R.L - SERINDSA</t>
        </is>
      </c>
      <c r="C1236" t="inlineStr">
        <is>
          <t>20549207091</t>
        </is>
      </c>
      <c r="D1236" t="inlineStr">
        <is>
          <t>JR. CIRO ALEGRIA 174 - 4TA COLLIQUE - COMAS</t>
        </is>
      </c>
      <c r="E1236" t="inlineStr">
        <is>
          <t>Lima, 05 de Enero de 2024</t>
        </is>
      </c>
      <c r="F1236" t="inlineStr">
        <is>
          <t>la Recarga y mantenimiento</t>
        </is>
      </c>
      <c r="G1236" t="inlineStr">
        <is>
          <t>01</t>
        </is>
      </c>
      <c r="H1236" t="inlineStr">
        <is>
          <t>04 KG</t>
        </is>
      </c>
      <c r="I1236" t="inlineStr">
        <is>
          <t>VIGENTE</t>
        </is>
      </c>
      <c r="J1236" t="n">
        <v>2014</v>
      </c>
      <c r="K1236" t="inlineStr">
        <is>
          <t>ENERO 2024</t>
        </is>
      </c>
      <c r="L1236" t="inlineStr">
        <is>
          <t>ENERO 2025</t>
        </is>
      </c>
      <c r="M1236" t="inlineStr">
        <is>
          <t xml:space="preserve">P.Q.S.  TIPO ABC </t>
        </is>
      </c>
      <c r="N1236" t="inlineStr">
        <is>
          <t>000017</t>
        </is>
      </c>
      <c r="O1236" t="inlineStr">
        <is>
          <t>R</t>
        </is>
      </c>
      <c r="P1236">
        <f>TRIM(N1236)</f>
        <v/>
      </c>
    </row>
    <row r="1237">
      <c r="A1237" t="inlineStr">
        <is>
          <t>CO-001712</t>
        </is>
      </c>
      <c r="B1237" t="inlineStr">
        <is>
          <t>ZULEMA LILI CAHUANA GRANADOS</t>
        </is>
      </c>
      <c r="C1237" t="inlineStr">
        <is>
          <t>09546963</t>
        </is>
      </c>
      <c r="D1237" t="inlineStr">
        <is>
          <t>MERCADO FRONTERA</t>
        </is>
      </c>
      <c r="E1237" t="inlineStr">
        <is>
          <t>Lima, 06 de Enero de 2024</t>
        </is>
      </c>
      <c r="F1237" t="inlineStr">
        <is>
          <t>la Recarga y mantenimiento</t>
        </is>
      </c>
      <c r="G1237" t="inlineStr">
        <is>
          <t>01</t>
        </is>
      </c>
      <c r="H1237" t="inlineStr">
        <is>
          <t>06 KG</t>
        </is>
      </c>
      <c r="I1237" t="inlineStr">
        <is>
          <t>VIGENTE</t>
        </is>
      </c>
      <c r="J1237" t="n">
        <v>2017</v>
      </c>
      <c r="K1237" t="inlineStr">
        <is>
          <t>ENERO 2024</t>
        </is>
      </c>
      <c r="L1237" t="inlineStr">
        <is>
          <t>ENERO 2025</t>
        </is>
      </c>
      <c r="M1237" t="inlineStr">
        <is>
          <t xml:space="preserve">P.Q.S.  TIPO ABC </t>
        </is>
      </c>
      <c r="N1237" t="inlineStr">
        <is>
          <t>000365</t>
        </is>
      </c>
      <c r="O1237" t="inlineStr">
        <is>
          <t>R</t>
        </is>
      </c>
      <c r="P1237">
        <f>TRIM(N1237)</f>
        <v/>
      </c>
    </row>
    <row r="1238">
      <c r="A1238" t="inlineStr">
        <is>
          <t>CO-001713</t>
        </is>
      </c>
      <c r="B1238" t="inlineStr">
        <is>
          <t xml:space="preserve">VILLEGAS CAHUANA KEVIN REYNALDO  </t>
        </is>
      </c>
      <c r="C1238" t="inlineStr">
        <is>
          <t>10752858476</t>
        </is>
      </c>
      <c r="D1238" t="inlineStr">
        <is>
          <t>AV. SIEMPRE VIVA 164 - URB. SANTA ISABEL</t>
        </is>
      </c>
      <c r="E1238" t="inlineStr">
        <is>
          <t>Lima, 06 de Enero de 2024</t>
        </is>
      </c>
      <c r="F1238" t="inlineStr">
        <is>
          <t>la Recarga y mantenimiento</t>
        </is>
      </c>
      <c r="G1238" t="inlineStr">
        <is>
          <t>01</t>
        </is>
      </c>
      <c r="H1238" t="inlineStr">
        <is>
          <t>06 KG</t>
        </is>
      </c>
      <c r="I1238" t="inlineStr">
        <is>
          <t>VIGENTE</t>
        </is>
      </c>
      <c r="J1238" t="n">
        <v>2023</v>
      </c>
      <c r="K1238" t="inlineStr">
        <is>
          <t>ENERO 2024</t>
        </is>
      </c>
      <c r="L1238" t="inlineStr">
        <is>
          <t>ENERO 2025</t>
        </is>
      </c>
      <c r="M1238" t="inlineStr">
        <is>
          <t xml:space="preserve">P.Q.S.  TIPO ABC </t>
        </is>
      </c>
      <c r="N1238" t="inlineStr">
        <is>
          <t>002515</t>
        </is>
      </c>
      <c r="O1238" t="inlineStr">
        <is>
          <t>R</t>
        </is>
      </c>
      <c r="P1238">
        <f>TRIM(N1238)</f>
        <v/>
      </c>
    </row>
    <row r="1239">
      <c r="A1239" t="inlineStr">
        <is>
          <t>CO-001713</t>
        </is>
      </c>
      <c r="B1239" t="inlineStr">
        <is>
          <t xml:space="preserve">VILLEGAS CAHUANA KEVIN REYNALDO  </t>
        </is>
      </c>
      <c r="C1239" t="inlineStr">
        <is>
          <t>10752858476</t>
        </is>
      </c>
      <c r="D1239" t="inlineStr">
        <is>
          <t>AV. SIEMPRE VIVA 164 - URB. SANTA ISABEL</t>
        </is>
      </c>
      <c r="E1239" t="inlineStr">
        <is>
          <t>Lima, 06 de Enero de 2024</t>
        </is>
      </c>
      <c r="F1239" t="inlineStr">
        <is>
          <t>la Recarga y mantenimiento</t>
        </is>
      </c>
      <c r="G1239" t="inlineStr">
        <is>
          <t>02</t>
        </is>
      </c>
      <c r="H1239" t="inlineStr">
        <is>
          <t>06 KG</t>
        </is>
      </c>
      <c r="I1239" t="inlineStr">
        <is>
          <t>VIGENTE</t>
        </is>
      </c>
      <c r="J1239" t="n">
        <v>2019</v>
      </c>
      <c r="K1239" t="inlineStr">
        <is>
          <t>ENERO 2024</t>
        </is>
      </c>
      <c r="L1239" t="inlineStr">
        <is>
          <t>ENERO 2025</t>
        </is>
      </c>
      <c r="M1239" t="inlineStr">
        <is>
          <t xml:space="preserve">P.Q.S.  TIPO ABC </t>
        </is>
      </c>
      <c r="N1239" t="inlineStr">
        <is>
          <t>000979</t>
        </is>
      </c>
      <c r="O1239" t="inlineStr">
        <is>
          <t>R</t>
        </is>
      </c>
      <c r="P1239">
        <f>TRIM(N1239)</f>
        <v/>
      </c>
    </row>
    <row r="1240">
      <c r="A1240" t="inlineStr">
        <is>
          <t>CO-001714</t>
        </is>
      </c>
      <c r="B1240" t="inlineStr">
        <is>
          <t>GRANEROS DEL SUR SOCIEDAD ANONIMA CERRADA</t>
        </is>
      </c>
      <c r="C1240" t="inlineStr">
        <is>
          <t>20600821211</t>
        </is>
      </c>
      <c r="D1240" t="inlineStr">
        <is>
          <t>AV. MARIANO CONDORCANQUI  MZ. R LT 23 - URB LUCYANA</t>
        </is>
      </c>
      <c r="E1240" t="inlineStr">
        <is>
          <t>Lima, 06 de Enero de 2024</t>
        </is>
      </c>
      <c r="F1240" t="inlineStr">
        <is>
          <t>la Recarga y mantenimiento</t>
        </is>
      </c>
      <c r="G1240" t="inlineStr">
        <is>
          <t>01</t>
        </is>
      </c>
      <c r="H1240" t="inlineStr">
        <is>
          <t>06 KG</t>
        </is>
      </c>
      <c r="I1240" t="inlineStr">
        <is>
          <t>VIGENTE</t>
        </is>
      </c>
      <c r="J1240" t="n">
        <v>2020</v>
      </c>
      <c r="K1240" t="inlineStr">
        <is>
          <t>ENERO 2024</t>
        </is>
      </c>
      <c r="L1240" t="inlineStr">
        <is>
          <t>ENERO 2025</t>
        </is>
      </c>
      <c r="M1240" t="inlineStr">
        <is>
          <t xml:space="preserve">P.Q.S.  TIPO ABC </t>
        </is>
      </c>
      <c r="N1240" t="inlineStr">
        <is>
          <t>153208</t>
        </is>
      </c>
      <c r="O1240" t="inlineStr">
        <is>
          <t>R</t>
        </is>
      </c>
      <c r="P1240">
        <f>TRIM(N1240)</f>
        <v/>
      </c>
    </row>
    <row r="1241">
      <c r="A1241" t="inlineStr">
        <is>
          <t>CO-001714</t>
        </is>
      </c>
      <c r="B1241" t="inlineStr">
        <is>
          <t>GRANEROS DEL SUR SOCIEDAD ANONIMA CERRADA</t>
        </is>
      </c>
      <c r="C1241" t="inlineStr">
        <is>
          <t>20600821211</t>
        </is>
      </c>
      <c r="D1241" t="inlineStr">
        <is>
          <t>AV. MARIANO CONDORCANQUI  MZ. R LT 23 - URB LUCYANA</t>
        </is>
      </c>
      <c r="E1241" t="inlineStr">
        <is>
          <t>Lima, 06 de Enero de 2024</t>
        </is>
      </c>
      <c r="F1241" t="inlineStr">
        <is>
          <t>la Recarga y mantenimiento</t>
        </is>
      </c>
      <c r="G1241" t="inlineStr">
        <is>
          <t>02</t>
        </is>
      </c>
      <c r="H1241" t="inlineStr">
        <is>
          <t>06 KG</t>
        </is>
      </c>
      <c r="I1241" t="inlineStr">
        <is>
          <t>VIGENTE</t>
        </is>
      </c>
      <c r="J1241" t="n">
        <v>2012</v>
      </c>
      <c r="K1241" t="inlineStr">
        <is>
          <t>ENERO 2024</t>
        </is>
      </c>
      <c r="L1241" t="inlineStr">
        <is>
          <t>ENERO 2025</t>
        </is>
      </c>
      <c r="M1241" t="inlineStr">
        <is>
          <t xml:space="preserve">P.Q.S.  TIPO ABC </t>
        </is>
      </c>
      <c r="N1241" t="inlineStr">
        <is>
          <t>001010</t>
        </is>
      </c>
      <c r="O1241" t="inlineStr">
        <is>
          <t>R</t>
        </is>
      </c>
      <c r="P1241">
        <f>TRIM(N1241)</f>
        <v/>
      </c>
    </row>
    <row r="1242">
      <c r="A1242" t="inlineStr">
        <is>
          <t>CO-001714</t>
        </is>
      </c>
      <c r="B1242" t="inlineStr">
        <is>
          <t>GRANEROS DEL SUR SOCIEDAD ANONIMA CERRADA</t>
        </is>
      </c>
      <c r="C1242" t="inlineStr">
        <is>
          <t>20600821211</t>
        </is>
      </c>
      <c r="D1242" t="inlineStr">
        <is>
          <t>AV. MARIANO CONDORCANQUI  MZ. R LT 23 - URB LUCYANA</t>
        </is>
      </c>
      <c r="E1242" t="inlineStr">
        <is>
          <t>Lima, 06 de Enero de 2024</t>
        </is>
      </c>
      <c r="F1242" t="inlineStr">
        <is>
          <t>la Recarga y mantenimiento</t>
        </is>
      </c>
      <c r="G1242" t="inlineStr">
        <is>
          <t>03</t>
        </is>
      </c>
      <c r="H1242" t="inlineStr">
        <is>
          <t>06 KG</t>
        </is>
      </c>
      <c r="I1242" t="inlineStr">
        <is>
          <t>VIGENTE</t>
        </is>
      </c>
      <c r="J1242" t="inlineStr">
        <is>
          <t>S/N</t>
        </is>
      </c>
      <c r="K1242" t="inlineStr">
        <is>
          <t>ENERO 2024</t>
        </is>
      </c>
      <c r="L1242" t="inlineStr">
        <is>
          <t>ENERO 2025</t>
        </is>
      </c>
      <c r="M1242" t="inlineStr">
        <is>
          <t xml:space="preserve">P.Q.S.  TIPO ABC </t>
        </is>
      </c>
      <c r="N1242" t="inlineStr">
        <is>
          <t>S/N</t>
        </is>
      </c>
      <c r="O1242" t="inlineStr">
        <is>
          <t>R</t>
        </is>
      </c>
      <c r="P1242">
        <f>TRIM(N1242)</f>
        <v/>
      </c>
    </row>
    <row r="1243">
      <c r="A1243" t="inlineStr">
        <is>
          <t>CO-001715</t>
        </is>
      </c>
      <c r="B1243" t="inlineStr">
        <is>
          <t>IVAN FRANKLIN QUILICHE PICON</t>
        </is>
      </c>
      <c r="C1243" t="inlineStr">
        <is>
          <t>40719534</t>
        </is>
      </c>
      <c r="D1243" t="inlineStr">
        <is>
          <t>PLACA: D8P - 575</t>
        </is>
      </c>
      <c r="E1243" t="inlineStr">
        <is>
          <t>Lima, 06 de Enero de 2024</t>
        </is>
      </c>
      <c r="F1243" t="inlineStr">
        <is>
          <t>la Recarga y mantenimiento</t>
        </is>
      </c>
      <c r="G1243" t="inlineStr">
        <is>
          <t>01</t>
        </is>
      </c>
      <c r="H1243" t="inlineStr">
        <is>
          <t>02 KG</t>
        </is>
      </c>
      <c r="I1243" t="inlineStr">
        <is>
          <t>VIGENTE</t>
        </is>
      </c>
      <c r="J1243" t="n">
        <v>2007</v>
      </c>
      <c r="K1243" t="inlineStr">
        <is>
          <t>ENERO 2024</t>
        </is>
      </c>
      <c r="L1243" t="inlineStr">
        <is>
          <t>ENERO 2025</t>
        </is>
      </c>
      <c r="M1243" t="inlineStr">
        <is>
          <t xml:space="preserve">P.Q.S.  TIPO ABC </t>
        </is>
      </c>
      <c r="N1243" t="inlineStr">
        <is>
          <t>000474</t>
        </is>
      </c>
      <c r="O1243" t="inlineStr">
        <is>
          <t>R</t>
        </is>
      </c>
      <c r="P1243">
        <f>TRIM(N1243)</f>
        <v/>
      </c>
    </row>
    <row r="1244">
      <c r="A1244" t="inlineStr">
        <is>
          <t>CO-001716</t>
        </is>
      </c>
      <c r="B1244" t="inlineStr">
        <is>
          <t>CONSUELO VILCA VILCHEZ</t>
        </is>
      </c>
      <c r="C1244" t="inlineStr">
        <is>
          <t>10385419</t>
        </is>
      </c>
      <c r="D1244" t="inlineStr">
        <is>
          <t>SECTOR MALETAS - PUESTO 07</t>
        </is>
      </c>
      <c r="E1244" t="inlineStr">
        <is>
          <t>Lima, 08 de Enero de 2024</t>
        </is>
      </c>
      <c r="F1244" t="inlineStr">
        <is>
          <t>la venta</t>
        </is>
      </c>
      <c r="G1244" t="inlineStr">
        <is>
          <t>01</t>
        </is>
      </c>
      <c r="H1244" t="inlineStr">
        <is>
          <t>04 KG</t>
        </is>
      </c>
      <c r="I1244" t="inlineStr">
        <is>
          <t>2028</t>
        </is>
      </c>
      <c r="J1244" t="n">
        <v>2023</v>
      </c>
      <c r="K1244" t="inlineStr">
        <is>
          <t>ENERO 2024</t>
        </is>
      </c>
      <c r="L1244" t="inlineStr">
        <is>
          <t>ENERO 2025</t>
        </is>
      </c>
      <c r="M1244" t="inlineStr">
        <is>
          <t xml:space="preserve">P.Q.S.  TIPO ABC </t>
        </is>
      </c>
      <c r="N1244" t="inlineStr">
        <is>
          <t>000887</t>
        </is>
      </c>
      <c r="O1244" t="inlineStr">
        <is>
          <t>V</t>
        </is>
      </c>
      <c r="P1244">
        <f>TRIM(N1244)</f>
        <v/>
      </c>
    </row>
    <row r="1245">
      <c r="A1245" t="inlineStr">
        <is>
          <t>CO-001717</t>
        </is>
      </c>
      <c r="B1245" t="inlineStr">
        <is>
          <t>ROXANA OLIVARES ZAPATA</t>
        </is>
      </c>
      <c r="D1245" t="inlineStr">
        <is>
          <t>SECTOR ROPA - PUESTO 28</t>
        </is>
      </c>
      <c r="E1245" t="inlineStr">
        <is>
          <t>Lima, 08 de Enero de 2024</t>
        </is>
      </c>
      <c r="F1245" t="inlineStr">
        <is>
          <t>la venta</t>
        </is>
      </c>
      <c r="G1245" t="inlineStr">
        <is>
          <t>01</t>
        </is>
      </c>
      <c r="H1245" t="inlineStr">
        <is>
          <t>04 KG</t>
        </is>
      </c>
      <c r="I1245" t="inlineStr">
        <is>
          <t>2028</t>
        </is>
      </c>
      <c r="J1245" t="n">
        <v>2023</v>
      </c>
      <c r="K1245" t="inlineStr">
        <is>
          <t>ENERO 2024</t>
        </is>
      </c>
      <c r="L1245" t="inlineStr">
        <is>
          <t>ENERO 2025</t>
        </is>
      </c>
      <c r="M1245" t="inlineStr">
        <is>
          <t xml:space="preserve">P.Q.S.  TIPO ABC </t>
        </is>
      </c>
      <c r="N1245" t="inlineStr">
        <is>
          <t>000702</t>
        </is>
      </c>
      <c r="O1245" t="inlineStr">
        <is>
          <t>V</t>
        </is>
      </c>
      <c r="P1245">
        <f>TRIM(N1245)</f>
        <v/>
      </c>
    </row>
    <row r="1246">
      <c r="A1246" t="inlineStr">
        <is>
          <t>CO-001718</t>
        </is>
      </c>
      <c r="B1246" t="inlineStr">
        <is>
          <t>NICOLAS SANDOVAL REYES</t>
        </is>
      </c>
      <c r="C1246" t="inlineStr">
        <is>
          <t>06929505</t>
        </is>
      </c>
      <c r="D1246" t="inlineStr">
        <is>
          <t>SECTOR ROPA - PUESTO 08</t>
        </is>
      </c>
      <c r="E1246" t="inlineStr">
        <is>
          <t>Lima, 08 de Enero de 2024</t>
        </is>
      </c>
      <c r="F1246" t="inlineStr">
        <is>
          <t>la venta</t>
        </is>
      </c>
      <c r="G1246" t="inlineStr">
        <is>
          <t>01</t>
        </is>
      </c>
      <c r="H1246" t="inlineStr">
        <is>
          <t>04 KG</t>
        </is>
      </c>
      <c r="I1246" t="inlineStr">
        <is>
          <t>2028</t>
        </is>
      </c>
      <c r="J1246" t="n">
        <v>2023</v>
      </c>
      <c r="K1246" t="inlineStr">
        <is>
          <t>ENERO 2024</t>
        </is>
      </c>
      <c r="L1246" t="inlineStr">
        <is>
          <t>ENERO 2025</t>
        </is>
      </c>
      <c r="M1246" t="inlineStr">
        <is>
          <t xml:space="preserve">P.Q.S.  TIPO ABC </t>
        </is>
      </c>
      <c r="N1246" t="inlineStr">
        <is>
          <t>000815</t>
        </is>
      </c>
      <c r="O1246" t="inlineStr">
        <is>
          <t>V</t>
        </is>
      </c>
      <c r="P1246">
        <f>TRIM(N1246)</f>
        <v/>
      </c>
    </row>
    <row r="1247">
      <c r="A1247" t="inlineStr">
        <is>
          <t>CO-001719</t>
        </is>
      </c>
      <c r="B1247" t="inlineStr">
        <is>
          <t>FILONIL ROJAS VICENTE</t>
        </is>
      </c>
      <c r="D1247" t="inlineStr">
        <is>
          <t>SECTOR DEPORTES - PUESTO 01</t>
        </is>
      </c>
      <c r="E1247" t="inlineStr">
        <is>
          <t>Lima, 08 de Enero de 2024</t>
        </is>
      </c>
      <c r="F1247" t="inlineStr">
        <is>
          <t>la venta</t>
        </is>
      </c>
      <c r="G1247" t="inlineStr">
        <is>
          <t>01</t>
        </is>
      </c>
      <c r="H1247" t="inlineStr">
        <is>
          <t>04 KG</t>
        </is>
      </c>
      <c r="I1247" t="inlineStr">
        <is>
          <t>2028</t>
        </is>
      </c>
      <c r="J1247" t="n">
        <v>2023</v>
      </c>
      <c r="K1247" t="inlineStr">
        <is>
          <t>ENERO 2024</t>
        </is>
      </c>
      <c r="L1247" t="inlineStr">
        <is>
          <t>ENERO 2025</t>
        </is>
      </c>
      <c r="M1247" t="inlineStr">
        <is>
          <t xml:space="preserve">P.Q.S.  TIPO ABC </t>
        </is>
      </c>
      <c r="N1247" t="inlineStr">
        <is>
          <t>000805</t>
        </is>
      </c>
      <c r="O1247" t="inlineStr">
        <is>
          <t>V</t>
        </is>
      </c>
      <c r="P1247">
        <f>TRIM(N1247)</f>
        <v/>
      </c>
    </row>
    <row r="1248">
      <c r="A1248" t="inlineStr">
        <is>
          <t>CO-001720</t>
        </is>
      </c>
      <c r="B1248" t="inlineStr">
        <is>
          <t>ZUYIN AVELINA SARRIA CARRION</t>
        </is>
      </c>
      <c r="C1248" t="inlineStr">
        <is>
          <t>10399706</t>
        </is>
      </c>
      <c r="D1248" t="inlineStr">
        <is>
          <t>SECTOR COSMETICOS - PUESTO 01</t>
        </is>
      </c>
      <c r="E1248" t="inlineStr">
        <is>
          <t>Lima, 08 de Enero de 2024</t>
        </is>
      </c>
      <c r="F1248" t="inlineStr">
        <is>
          <t>la venta</t>
        </is>
      </c>
      <c r="G1248" t="inlineStr">
        <is>
          <t>01</t>
        </is>
      </c>
      <c r="H1248" t="inlineStr">
        <is>
          <t>04 KG</t>
        </is>
      </c>
      <c r="I1248" t="inlineStr">
        <is>
          <t>2028</t>
        </is>
      </c>
      <c r="J1248" t="n">
        <v>2023</v>
      </c>
      <c r="K1248" t="inlineStr">
        <is>
          <t>ENERO 2024</t>
        </is>
      </c>
      <c r="L1248" t="inlineStr">
        <is>
          <t>ENERO 2025</t>
        </is>
      </c>
      <c r="M1248" t="inlineStr">
        <is>
          <t xml:space="preserve">P.Q.S.  TIPO ABC </t>
        </is>
      </c>
      <c r="N1248" t="inlineStr">
        <is>
          <t>000718</t>
        </is>
      </c>
      <c r="O1248" t="inlineStr">
        <is>
          <t>V</t>
        </is>
      </c>
      <c r="P1248">
        <f>TRIM(N1248)</f>
        <v/>
      </c>
    </row>
    <row r="1249">
      <c r="A1249" t="inlineStr">
        <is>
          <t>CO-001721</t>
        </is>
      </c>
      <c r="B1249" t="inlineStr">
        <is>
          <t>EULALIA SAPALLANAY DIEGO DE LAZARO</t>
        </is>
      </c>
      <c r="C1249" t="inlineStr">
        <is>
          <t>06926365</t>
        </is>
      </c>
      <c r="D1249" t="inlineStr">
        <is>
          <t>SECTOR CARNES - PUESTO 02</t>
        </is>
      </c>
      <c r="E1249" t="inlineStr">
        <is>
          <t>Lima, 08 de Enero de 2024</t>
        </is>
      </c>
      <c r="F1249" t="inlineStr">
        <is>
          <t>la venta</t>
        </is>
      </c>
      <c r="G1249" t="inlineStr">
        <is>
          <t>01</t>
        </is>
      </c>
      <c r="H1249" t="inlineStr">
        <is>
          <t>04 KG</t>
        </is>
      </c>
      <c r="I1249" t="inlineStr">
        <is>
          <t>2028</t>
        </is>
      </c>
      <c r="J1249" t="n">
        <v>2023</v>
      </c>
      <c r="K1249" t="inlineStr">
        <is>
          <t>ENERO 2024</t>
        </is>
      </c>
      <c r="L1249" t="inlineStr">
        <is>
          <t>ENERO 2025</t>
        </is>
      </c>
      <c r="M1249" t="inlineStr">
        <is>
          <t xml:space="preserve">P.Q.S.  TIPO ABC </t>
        </is>
      </c>
      <c r="N1249" t="inlineStr">
        <is>
          <t>000771</t>
        </is>
      </c>
      <c r="O1249" t="inlineStr">
        <is>
          <t>V</t>
        </is>
      </c>
      <c r="P1249">
        <f>TRIM(N1249)</f>
        <v/>
      </c>
    </row>
    <row r="1250">
      <c r="A1250" t="inlineStr">
        <is>
          <t>CO-001722</t>
        </is>
      </c>
      <c r="B1250" t="inlineStr">
        <is>
          <t>MAGDALENA FLORES ACEVEDO</t>
        </is>
      </c>
      <c r="C1250" t="inlineStr">
        <is>
          <t>09483194</t>
        </is>
      </c>
      <c r="D1250" t="inlineStr">
        <is>
          <t>SECTOR CARNES - PUESTO 05</t>
        </is>
      </c>
      <c r="E1250" t="inlineStr">
        <is>
          <t>Lima, 08 de Enero de 2024</t>
        </is>
      </c>
      <c r="F1250" t="inlineStr">
        <is>
          <t>la venta</t>
        </is>
      </c>
      <c r="G1250" t="inlineStr">
        <is>
          <t>01</t>
        </is>
      </c>
      <c r="H1250" t="inlineStr">
        <is>
          <t>04 KG</t>
        </is>
      </c>
      <c r="I1250" t="inlineStr">
        <is>
          <t>2028</t>
        </is>
      </c>
      <c r="J1250" t="n">
        <v>2023</v>
      </c>
      <c r="K1250" t="inlineStr">
        <is>
          <t>ENERO 2024</t>
        </is>
      </c>
      <c r="L1250" t="inlineStr">
        <is>
          <t>ENERO 2025</t>
        </is>
      </c>
      <c r="M1250" t="inlineStr">
        <is>
          <t xml:space="preserve">P.Q.S.  TIPO ABC </t>
        </is>
      </c>
      <c r="N1250" t="inlineStr">
        <is>
          <t>000817</t>
        </is>
      </c>
      <c r="O1250" t="inlineStr">
        <is>
          <t>V</t>
        </is>
      </c>
      <c r="P1250">
        <f>TRIM(N1250)</f>
        <v/>
      </c>
    </row>
    <row r="1251">
      <c r="A1251" t="inlineStr">
        <is>
          <t>CO-001723</t>
        </is>
      </c>
      <c r="B1251" t="inlineStr">
        <is>
          <t>TEODOCIA FIAFILIO BION DE ROJAS</t>
        </is>
      </c>
      <c r="C1251" t="inlineStr">
        <is>
          <t>06891720</t>
        </is>
      </c>
      <c r="D1251" t="inlineStr">
        <is>
          <t>SECTOR FRUTAS - PUESTO 39</t>
        </is>
      </c>
      <c r="E1251" t="inlineStr">
        <is>
          <t>Lima, 08 de Enero de 2024</t>
        </is>
      </c>
      <c r="F1251" t="inlineStr">
        <is>
          <t>la venta</t>
        </is>
      </c>
      <c r="G1251" t="inlineStr">
        <is>
          <t>01</t>
        </is>
      </c>
      <c r="H1251" t="inlineStr">
        <is>
          <t>04 KG</t>
        </is>
      </c>
      <c r="I1251" t="inlineStr">
        <is>
          <t>2028</t>
        </is>
      </c>
      <c r="J1251" t="n">
        <v>2023</v>
      </c>
      <c r="K1251" t="inlineStr">
        <is>
          <t>ENERO 2024</t>
        </is>
      </c>
      <c r="L1251" t="inlineStr">
        <is>
          <t>ENERO 2025</t>
        </is>
      </c>
      <c r="M1251" t="inlineStr">
        <is>
          <t xml:space="preserve">P.Q.S.  TIPO ABC </t>
        </is>
      </c>
      <c r="N1251" t="inlineStr">
        <is>
          <t>000850</t>
        </is>
      </c>
      <c r="O1251" t="inlineStr">
        <is>
          <t>V</t>
        </is>
      </c>
      <c r="P1251">
        <f>TRIM(N1251)</f>
        <v/>
      </c>
    </row>
    <row r="1252">
      <c r="A1252" t="inlineStr">
        <is>
          <t>CO-001724</t>
        </is>
      </c>
      <c r="B1252" t="inlineStr">
        <is>
          <t>SABINA SILVA MUÑOZ</t>
        </is>
      </c>
      <c r="C1252" t="inlineStr">
        <is>
          <t>06944229</t>
        </is>
      </c>
      <c r="D1252" t="inlineStr">
        <is>
          <t>SECTOR ABARROTES - PUESTO 03</t>
        </is>
      </c>
      <c r="E1252" t="inlineStr">
        <is>
          <t>Lima, 08 de Enero de 2024</t>
        </is>
      </c>
      <c r="F1252" t="inlineStr">
        <is>
          <t>la venta</t>
        </is>
      </c>
      <c r="G1252" t="inlineStr">
        <is>
          <t>01</t>
        </is>
      </c>
      <c r="H1252" t="inlineStr">
        <is>
          <t>04 KG</t>
        </is>
      </c>
      <c r="I1252" t="inlineStr">
        <is>
          <t>2028</t>
        </is>
      </c>
      <c r="J1252" t="n">
        <v>2023</v>
      </c>
      <c r="K1252" t="inlineStr">
        <is>
          <t>ENERO 2024</t>
        </is>
      </c>
      <c r="L1252" t="inlineStr">
        <is>
          <t>ENERO 2025</t>
        </is>
      </c>
      <c r="M1252" t="inlineStr">
        <is>
          <t xml:space="preserve">P.Q.S.  TIPO ABC </t>
        </is>
      </c>
      <c r="N1252" t="inlineStr">
        <is>
          <t>000879</t>
        </is>
      </c>
      <c r="O1252" t="inlineStr">
        <is>
          <t>V</t>
        </is>
      </c>
      <c r="P1252">
        <f>TRIM(N1252)</f>
        <v/>
      </c>
    </row>
    <row r="1253">
      <c r="A1253" t="inlineStr">
        <is>
          <t>CO-001725</t>
        </is>
      </c>
      <c r="B1253" t="inlineStr">
        <is>
          <t>ROSA RODRIGUEZ M.</t>
        </is>
      </c>
      <c r="C1253" t="inlineStr">
        <is>
          <t>09734970</t>
        </is>
      </c>
      <c r="D1253" t="inlineStr">
        <is>
          <t>SECTOR VERDURAS - PUESTO 59</t>
        </is>
      </c>
      <c r="E1253" t="inlineStr">
        <is>
          <t>Lima, 08 de Enero de 2024</t>
        </is>
      </c>
      <c r="F1253" t="inlineStr">
        <is>
          <t>la venta</t>
        </is>
      </c>
      <c r="G1253" t="inlineStr">
        <is>
          <t>01</t>
        </is>
      </c>
      <c r="H1253" t="inlineStr">
        <is>
          <t>04 KG</t>
        </is>
      </c>
      <c r="I1253" t="inlineStr">
        <is>
          <t>2028</t>
        </is>
      </c>
      <c r="J1253" t="n">
        <v>2023</v>
      </c>
      <c r="K1253" t="inlineStr">
        <is>
          <t>ENERO 2024</t>
        </is>
      </c>
      <c r="L1253" t="inlineStr">
        <is>
          <t>ENERO 2025</t>
        </is>
      </c>
      <c r="M1253" t="inlineStr">
        <is>
          <t xml:space="preserve">P.Q.S.  TIPO ABC </t>
        </is>
      </c>
      <c r="N1253" t="inlineStr">
        <is>
          <t>001007</t>
        </is>
      </c>
      <c r="O1253" t="inlineStr">
        <is>
          <t>V</t>
        </is>
      </c>
      <c r="P1253">
        <f>TRIM(N1253)</f>
        <v/>
      </c>
    </row>
    <row r="1254">
      <c r="A1254" t="inlineStr">
        <is>
          <t>CO-001726</t>
        </is>
      </c>
      <c r="B1254" t="inlineStr">
        <is>
          <t>DORIS ARENAS CARHUAS</t>
        </is>
      </c>
      <c r="C1254" t="inlineStr">
        <is>
          <t>10417264</t>
        </is>
      </c>
      <c r="D1254" t="inlineStr">
        <is>
          <t>SECTOR ABARROTES - PUESTO 01</t>
        </is>
      </c>
      <c r="E1254" t="inlineStr">
        <is>
          <t>Lima, 08 de Enero de 2024</t>
        </is>
      </c>
      <c r="F1254" t="inlineStr">
        <is>
          <t>la venta</t>
        </is>
      </c>
      <c r="G1254" t="inlineStr">
        <is>
          <t>01</t>
        </is>
      </c>
      <c r="H1254" t="inlineStr">
        <is>
          <t>04 KG</t>
        </is>
      </c>
      <c r="I1254" t="inlineStr">
        <is>
          <t>2028</t>
        </is>
      </c>
      <c r="J1254" t="n">
        <v>2023</v>
      </c>
      <c r="K1254" t="inlineStr">
        <is>
          <t>ENERO 2024</t>
        </is>
      </c>
      <c r="L1254" t="inlineStr">
        <is>
          <t>ENERO 2025</t>
        </is>
      </c>
      <c r="M1254" t="inlineStr">
        <is>
          <t xml:space="preserve">P.Q.S.  TIPO ABC </t>
        </is>
      </c>
      <c r="N1254" t="inlineStr">
        <is>
          <t>000923</t>
        </is>
      </c>
      <c r="O1254" t="inlineStr">
        <is>
          <t>V</t>
        </is>
      </c>
      <c r="P1254">
        <f>TRIM(N1254)</f>
        <v/>
      </c>
    </row>
    <row r="1255">
      <c r="A1255" t="inlineStr">
        <is>
          <t>CO-001727</t>
        </is>
      </c>
      <c r="B1255" t="inlineStr">
        <is>
          <t>ROSA BUSTINZA FELIX</t>
        </is>
      </c>
      <c r="C1255" t="inlineStr">
        <is>
          <t>08578340</t>
        </is>
      </c>
      <c r="D1255" t="inlineStr">
        <is>
          <t>SECTOR DEPORTES - PUESTO 03</t>
        </is>
      </c>
      <c r="E1255" t="inlineStr">
        <is>
          <t>Lima, 08 de Enero de 2024</t>
        </is>
      </c>
      <c r="F1255" t="inlineStr">
        <is>
          <t>la venta</t>
        </is>
      </c>
      <c r="G1255" t="inlineStr">
        <is>
          <t>01</t>
        </is>
      </c>
      <c r="H1255" t="inlineStr">
        <is>
          <t>04 KG</t>
        </is>
      </c>
      <c r="I1255" t="inlineStr">
        <is>
          <t>2028</t>
        </is>
      </c>
      <c r="J1255" t="n">
        <v>2023</v>
      </c>
      <c r="K1255" t="inlineStr">
        <is>
          <t>ENERO 2024</t>
        </is>
      </c>
      <c r="L1255" t="inlineStr">
        <is>
          <t>ENERO 2025</t>
        </is>
      </c>
      <c r="M1255" t="inlineStr">
        <is>
          <t xml:space="preserve">P.Q.S.  TIPO ABC </t>
        </is>
      </c>
      <c r="N1255" t="inlineStr">
        <is>
          <t>000833</t>
        </is>
      </c>
      <c r="O1255" t="inlineStr">
        <is>
          <t>V</t>
        </is>
      </c>
      <c r="P1255">
        <f>TRIM(N1255)</f>
        <v/>
      </c>
    </row>
    <row r="1256">
      <c r="A1256" t="inlineStr">
        <is>
          <t>CO-001728</t>
        </is>
      </c>
      <c r="B1256" t="inlineStr">
        <is>
          <t>NELLY SUÑIGA GUERRA</t>
        </is>
      </c>
      <c r="C1256" t="inlineStr">
        <is>
          <t>06911148</t>
        </is>
      </c>
      <c r="D1256" t="inlineStr">
        <is>
          <t>SECTOR DISCOS - PUESTO 01</t>
        </is>
      </c>
      <c r="E1256" t="inlineStr">
        <is>
          <t>Lima, 08 de Enero de 2024</t>
        </is>
      </c>
      <c r="F1256" t="inlineStr">
        <is>
          <t>la venta</t>
        </is>
      </c>
      <c r="G1256" t="inlineStr">
        <is>
          <t>01</t>
        </is>
      </c>
      <c r="H1256" t="inlineStr">
        <is>
          <t>04 KG</t>
        </is>
      </c>
      <c r="I1256" t="inlineStr">
        <is>
          <t>2028</t>
        </is>
      </c>
      <c r="J1256" t="n">
        <v>2023</v>
      </c>
      <c r="K1256" t="inlineStr">
        <is>
          <t>ENERO 2024</t>
        </is>
      </c>
      <c r="L1256" t="inlineStr">
        <is>
          <t>ENERO 2025</t>
        </is>
      </c>
      <c r="M1256" t="inlineStr">
        <is>
          <t xml:space="preserve">P.Q.S.  TIPO ABC </t>
        </is>
      </c>
      <c r="N1256" t="inlineStr">
        <is>
          <t>000781</t>
        </is>
      </c>
      <c r="O1256" t="inlineStr">
        <is>
          <t>V</t>
        </is>
      </c>
      <c r="P1256">
        <f>TRIM(N1256)</f>
        <v/>
      </c>
    </row>
    <row r="1257">
      <c r="A1257" t="inlineStr">
        <is>
          <t>CO-001729</t>
        </is>
      </c>
      <c r="B1257" t="inlineStr">
        <is>
          <t>YRENE YSABEL CAMACHO CHIROQUE DE AREVALO</t>
        </is>
      </c>
      <c r="C1257" t="inlineStr">
        <is>
          <t>06845010</t>
        </is>
      </c>
      <c r="D1257" t="inlineStr">
        <is>
          <t>SECTOR ABARROTES - PUESTO 06</t>
        </is>
      </c>
      <c r="E1257" t="inlineStr">
        <is>
          <t>Lima, 08 de Enero de 2024</t>
        </is>
      </c>
      <c r="F1257" t="inlineStr">
        <is>
          <t>la venta</t>
        </is>
      </c>
      <c r="G1257" t="inlineStr">
        <is>
          <t>01</t>
        </is>
      </c>
      <c r="H1257" t="inlineStr">
        <is>
          <t>04 KG</t>
        </is>
      </c>
      <c r="I1257" t="inlineStr">
        <is>
          <t>2028</t>
        </is>
      </c>
      <c r="J1257" t="n">
        <v>2023</v>
      </c>
      <c r="K1257" t="inlineStr">
        <is>
          <t>ENERO 2024</t>
        </is>
      </c>
      <c r="L1257" t="inlineStr">
        <is>
          <t>ENERO 2025</t>
        </is>
      </c>
      <c r="M1257" t="inlineStr">
        <is>
          <t xml:space="preserve">P.Q.S.  TIPO ABC </t>
        </is>
      </c>
      <c r="N1257" t="inlineStr">
        <is>
          <t>000976</t>
        </is>
      </c>
      <c r="O1257" t="inlineStr">
        <is>
          <t>V</t>
        </is>
      </c>
      <c r="P1257">
        <f>TRIM(N1257)</f>
        <v/>
      </c>
    </row>
    <row r="1258">
      <c r="A1258" t="inlineStr">
        <is>
          <t>CO-001730</t>
        </is>
      </c>
      <c r="B1258" t="inlineStr">
        <is>
          <t>NELLY NORMA SUAZO MEZA</t>
        </is>
      </c>
      <c r="C1258" t="inlineStr">
        <is>
          <t>06927199</t>
        </is>
      </c>
      <c r="D1258" t="inlineStr">
        <is>
          <t>SECTOR COMIDA - PUESTO 02</t>
        </is>
      </c>
      <c r="E1258" t="inlineStr">
        <is>
          <t>Lima, 08 de Enero de 2024</t>
        </is>
      </c>
      <c r="F1258" t="inlineStr">
        <is>
          <t>la venta</t>
        </is>
      </c>
      <c r="G1258" t="inlineStr">
        <is>
          <t>01</t>
        </is>
      </c>
      <c r="H1258" t="inlineStr">
        <is>
          <t>04 KG</t>
        </is>
      </c>
      <c r="I1258" t="inlineStr">
        <is>
          <t>2028</t>
        </is>
      </c>
      <c r="J1258" t="n">
        <v>2023</v>
      </c>
      <c r="K1258" t="inlineStr">
        <is>
          <t>ENERO 2024</t>
        </is>
      </c>
      <c r="L1258" t="inlineStr">
        <is>
          <t>ENERO 2025</t>
        </is>
      </c>
      <c r="M1258" t="inlineStr">
        <is>
          <t xml:space="preserve">P.Q.S.  TIPO ABC </t>
        </is>
      </c>
      <c r="N1258" t="inlineStr">
        <is>
          <t>001000</t>
        </is>
      </c>
      <c r="O1258" t="inlineStr">
        <is>
          <t>V</t>
        </is>
      </c>
      <c r="P1258">
        <f>TRIM(N1258)</f>
        <v/>
      </c>
    </row>
    <row r="1259">
      <c r="A1259" t="inlineStr">
        <is>
          <t>CO-001731</t>
        </is>
      </c>
      <c r="B1259" t="inlineStr">
        <is>
          <t>NORIS LESBITH DOMINGUEZ ARELLANO</t>
        </is>
      </c>
      <c r="C1259" t="inlineStr">
        <is>
          <t>43539606</t>
        </is>
      </c>
      <c r="D1259" t="inlineStr">
        <is>
          <t>SECTOR JUGOS - PUESTO 07</t>
        </is>
      </c>
      <c r="E1259" t="inlineStr">
        <is>
          <t>Lima, 08 de Enero de 2024</t>
        </is>
      </c>
      <c r="F1259" t="inlineStr">
        <is>
          <t>la venta</t>
        </is>
      </c>
      <c r="G1259" t="inlineStr">
        <is>
          <t>01</t>
        </is>
      </c>
      <c r="H1259" t="inlineStr">
        <is>
          <t>06 KG</t>
        </is>
      </c>
      <c r="I1259" t="inlineStr">
        <is>
          <t>2028</t>
        </is>
      </c>
      <c r="J1259" t="n">
        <v>2023</v>
      </c>
      <c r="K1259" t="inlineStr">
        <is>
          <t>ENERO 2024</t>
        </is>
      </c>
      <c r="L1259" t="inlineStr">
        <is>
          <t>ENERO 2025</t>
        </is>
      </c>
      <c r="M1259" t="inlineStr">
        <is>
          <t xml:space="preserve">P.Q.S.  TIPO ABC </t>
        </is>
      </c>
      <c r="N1259" t="inlineStr">
        <is>
          <t>002261</t>
        </is>
      </c>
      <c r="O1259" t="inlineStr">
        <is>
          <t>V</t>
        </is>
      </c>
      <c r="P1259">
        <f>TRIM(N1259)</f>
        <v/>
      </c>
    </row>
    <row r="1260">
      <c r="A1260" t="inlineStr">
        <is>
          <t>CO-001732</t>
        </is>
      </c>
      <c r="B1260" t="inlineStr">
        <is>
          <t>NORIS LESBITH DOMINGUEZ ARELLANO</t>
        </is>
      </c>
      <c r="C1260" t="inlineStr">
        <is>
          <t>43539606</t>
        </is>
      </c>
      <c r="D1260" t="inlineStr">
        <is>
          <t>SECTOR MENUDENCIA - PUESTO 06</t>
        </is>
      </c>
      <c r="E1260" t="inlineStr">
        <is>
          <t>Lima, 08 de Enero de 2024</t>
        </is>
      </c>
      <c r="F1260" t="inlineStr">
        <is>
          <t>la venta</t>
        </is>
      </c>
      <c r="G1260" t="inlineStr">
        <is>
          <t>01</t>
        </is>
      </c>
      <c r="H1260" t="inlineStr">
        <is>
          <t>06 KG</t>
        </is>
      </c>
      <c r="I1260" t="inlineStr">
        <is>
          <t>2028</t>
        </is>
      </c>
      <c r="J1260" t="n">
        <v>2023</v>
      </c>
      <c r="K1260" t="inlineStr">
        <is>
          <t>ENERO 2024</t>
        </is>
      </c>
      <c r="L1260" t="inlineStr">
        <is>
          <t>ENERO 2025</t>
        </is>
      </c>
      <c r="M1260" t="inlineStr">
        <is>
          <t xml:space="preserve">P.Q.S.  TIPO ABC </t>
        </is>
      </c>
      <c r="N1260" t="inlineStr">
        <is>
          <t>002073</t>
        </is>
      </c>
      <c r="O1260" t="inlineStr">
        <is>
          <t>V</t>
        </is>
      </c>
      <c r="P1260">
        <f>TRIM(N1260)</f>
        <v/>
      </c>
    </row>
    <row r="1261">
      <c r="A1261" t="inlineStr">
        <is>
          <t>CO-001733</t>
        </is>
      </c>
      <c r="B1261" t="inlineStr">
        <is>
          <t>FIDELINA ARELLANO VILLANUEVA DE DOMINGUEZ</t>
        </is>
      </c>
      <c r="C1261" t="inlineStr">
        <is>
          <t>06858522</t>
        </is>
      </c>
      <c r="D1261" t="inlineStr">
        <is>
          <t>SECTOR POLLO - PUESTO 12</t>
        </is>
      </c>
      <c r="E1261" t="inlineStr">
        <is>
          <t>Lima, 08 de Enero de 2024</t>
        </is>
      </c>
      <c r="F1261" t="inlineStr">
        <is>
          <t>la venta</t>
        </is>
      </c>
      <c r="G1261" t="inlineStr">
        <is>
          <t>01</t>
        </is>
      </c>
      <c r="H1261" t="inlineStr">
        <is>
          <t>06 KG</t>
        </is>
      </c>
      <c r="I1261" t="inlineStr">
        <is>
          <t>2028</t>
        </is>
      </c>
      <c r="J1261" t="n">
        <v>2023</v>
      </c>
      <c r="K1261" t="inlineStr">
        <is>
          <t>ENERO 2024</t>
        </is>
      </c>
      <c r="L1261" t="inlineStr">
        <is>
          <t>ENERO 2025</t>
        </is>
      </c>
      <c r="M1261" t="inlineStr">
        <is>
          <t xml:space="preserve">P.Q.S.  TIPO ABC </t>
        </is>
      </c>
      <c r="N1261" t="inlineStr">
        <is>
          <t>002110</t>
        </is>
      </c>
      <c r="O1261" t="inlineStr">
        <is>
          <t>V</t>
        </is>
      </c>
      <c r="P1261">
        <f>TRIM(N1261)</f>
        <v/>
      </c>
    </row>
    <row r="1262">
      <c r="A1262" t="inlineStr">
        <is>
          <t>CO-001734</t>
        </is>
      </c>
      <c r="B1262" t="inlineStr">
        <is>
          <t>MARIA DEL PILAR GOMEZ SANCHEZ</t>
        </is>
      </c>
      <c r="D1262" t="inlineStr">
        <is>
          <t>SECTOR COMIDA - PUESTO 11</t>
        </is>
      </c>
      <c r="E1262" t="inlineStr">
        <is>
          <t>Lima, 08 de Enero de 2024</t>
        </is>
      </c>
      <c r="F1262" t="inlineStr">
        <is>
          <t>la venta</t>
        </is>
      </c>
      <c r="G1262" t="inlineStr">
        <is>
          <t>01</t>
        </is>
      </c>
      <c r="H1262" t="inlineStr">
        <is>
          <t>1.5 GLS</t>
        </is>
      </c>
      <c r="I1262" t="inlineStr">
        <is>
          <t>2028</t>
        </is>
      </c>
      <c r="J1262" t="n">
        <v>2023</v>
      </c>
      <c r="K1262" t="inlineStr">
        <is>
          <t>ENERO 2024</t>
        </is>
      </c>
      <c r="L1262" t="inlineStr">
        <is>
          <t>ENERO 2025</t>
        </is>
      </c>
      <c r="M1262" t="inlineStr">
        <is>
          <t>ACETATO DE POTASIO TIPO K</t>
        </is>
      </c>
      <c r="N1262" t="inlineStr">
        <is>
          <t>000427</t>
        </is>
      </c>
      <c r="O1262" t="inlineStr">
        <is>
          <t>V</t>
        </is>
      </c>
      <c r="P1262">
        <f>TRIM(N1262)</f>
        <v/>
      </c>
    </row>
    <row r="1263">
      <c r="A1263" t="inlineStr">
        <is>
          <t>CO-001735</t>
        </is>
      </c>
      <c r="B1263" t="inlineStr">
        <is>
          <t>FELICITA BERROCAL</t>
        </is>
      </c>
      <c r="D1263" t="inlineStr">
        <is>
          <t>SECTOR COMIDA - PUESTO 12</t>
        </is>
      </c>
      <c r="E1263" t="inlineStr">
        <is>
          <t>Lima, 08 de Enero de 2024</t>
        </is>
      </c>
      <c r="F1263" t="inlineStr">
        <is>
          <t>la venta</t>
        </is>
      </c>
      <c r="G1263" t="inlineStr">
        <is>
          <t>01</t>
        </is>
      </c>
      <c r="H1263" t="inlineStr">
        <is>
          <t>1.5 GLS</t>
        </is>
      </c>
      <c r="I1263" t="inlineStr">
        <is>
          <t>2028</t>
        </is>
      </c>
      <c r="J1263" t="n">
        <v>2023</v>
      </c>
      <c r="K1263" t="inlineStr">
        <is>
          <t>ENERO 2024</t>
        </is>
      </c>
      <c r="L1263" t="inlineStr">
        <is>
          <t>ENERO 2025</t>
        </is>
      </c>
      <c r="M1263" t="inlineStr">
        <is>
          <t>ACETATO DE POTASIO TIPO K</t>
        </is>
      </c>
      <c r="N1263" t="inlineStr">
        <is>
          <t>000277</t>
        </is>
      </c>
      <c r="O1263" t="inlineStr">
        <is>
          <t>V</t>
        </is>
      </c>
      <c r="P1263">
        <f>TRIM(N1263)</f>
        <v/>
      </c>
    </row>
    <row r="1264">
      <c r="A1264" t="inlineStr">
        <is>
          <t>CO-001736</t>
        </is>
      </c>
      <c r="B1264" t="inlineStr">
        <is>
          <t>ASOCIACION DE PROPIETARIOS DEL MERCADO MODELO LA ALBORADA</t>
        </is>
      </c>
      <c r="C1264" t="inlineStr">
        <is>
          <t>20492406512</t>
        </is>
      </c>
      <c r="D1264" t="inlineStr">
        <is>
          <t>MERCADO LA ALBORADA</t>
        </is>
      </c>
      <c r="E1264" t="inlineStr">
        <is>
          <t>Lima, 08 de Enero de 2024</t>
        </is>
      </c>
      <c r="F1264" t="inlineStr">
        <is>
          <t>la venta</t>
        </is>
      </c>
      <c r="G1264" t="inlineStr">
        <is>
          <t>01</t>
        </is>
      </c>
      <c r="H1264" t="inlineStr">
        <is>
          <t>04 KG</t>
        </is>
      </c>
      <c r="I1264" t="inlineStr">
        <is>
          <t>2028</t>
        </is>
      </c>
      <c r="J1264" t="n">
        <v>2023</v>
      </c>
      <c r="K1264" t="inlineStr">
        <is>
          <t>ENERO 2024</t>
        </is>
      </c>
      <c r="L1264" t="inlineStr">
        <is>
          <t>ENERO 2025</t>
        </is>
      </c>
      <c r="M1264" t="inlineStr">
        <is>
          <t xml:space="preserve">P.Q.S.  TIPO ABC </t>
        </is>
      </c>
      <c r="N1264" t="inlineStr">
        <is>
          <t>000565</t>
        </is>
      </c>
      <c r="O1264" t="inlineStr">
        <is>
          <t>V</t>
        </is>
      </c>
      <c r="P1264">
        <f>TRIM(N1264)</f>
        <v/>
      </c>
    </row>
    <row r="1265">
      <c r="A1265" t="inlineStr">
        <is>
          <t>CO-001736</t>
        </is>
      </c>
      <c r="B1265" t="inlineStr">
        <is>
          <t>ASOCIACION DE PROPIETARIOS DEL MERCADO MODELO LA ALBORADA</t>
        </is>
      </c>
      <c r="C1265" t="inlineStr">
        <is>
          <t>20492406512</t>
        </is>
      </c>
      <c r="D1265" t="inlineStr">
        <is>
          <t>MERCADO LA ALBORADA</t>
        </is>
      </c>
      <c r="E1265" t="inlineStr">
        <is>
          <t>Lima, 08 de Enero de 2024</t>
        </is>
      </c>
      <c r="F1265" t="inlineStr">
        <is>
          <t>la venta</t>
        </is>
      </c>
      <c r="G1265" t="inlineStr">
        <is>
          <t>02</t>
        </is>
      </c>
      <c r="H1265" t="inlineStr">
        <is>
          <t>04 KG</t>
        </is>
      </c>
      <c r="I1265" t="inlineStr">
        <is>
          <t>2028</t>
        </is>
      </c>
      <c r="J1265" t="n">
        <v>2023</v>
      </c>
      <c r="K1265" t="inlineStr">
        <is>
          <t>ENERO 2024</t>
        </is>
      </c>
      <c r="L1265" t="inlineStr">
        <is>
          <t>ENERO 2025</t>
        </is>
      </c>
      <c r="M1265" t="inlineStr">
        <is>
          <t xml:space="preserve">P.Q.S.  TIPO ABC </t>
        </is>
      </c>
      <c r="N1265" t="inlineStr">
        <is>
          <t>000592</t>
        </is>
      </c>
      <c r="O1265" t="inlineStr">
        <is>
          <t>V</t>
        </is>
      </c>
      <c r="P1265">
        <f>TRIM(N1265)</f>
        <v/>
      </c>
    </row>
    <row r="1266">
      <c r="A1266" t="inlineStr">
        <is>
          <t>CO-001737</t>
        </is>
      </c>
      <c r="B1266" t="inlineStr">
        <is>
          <t>LEONARDO FABIO ESPINOZA PARIONA</t>
        </is>
      </c>
      <c r="C1266" t="inlineStr">
        <is>
          <t>10154781</t>
        </is>
      </c>
      <c r="D1266" t="inlineStr">
        <is>
          <t>SECTOR ABARROTES - PUESTO 06</t>
        </is>
      </c>
      <c r="E1266" t="inlineStr">
        <is>
          <t>Lima, 08 de Enero de 2024</t>
        </is>
      </c>
      <c r="F1266" t="inlineStr">
        <is>
          <t>la venta</t>
        </is>
      </c>
      <c r="G1266" t="inlineStr">
        <is>
          <t>01</t>
        </is>
      </c>
      <c r="H1266" t="inlineStr">
        <is>
          <t>04 KG</t>
        </is>
      </c>
      <c r="I1266" t="inlineStr">
        <is>
          <t>2028</t>
        </is>
      </c>
      <c r="J1266" t="n">
        <v>2023</v>
      </c>
      <c r="K1266" t="inlineStr">
        <is>
          <t>ENERO 2024</t>
        </is>
      </c>
      <c r="L1266" t="inlineStr">
        <is>
          <t>ENERO 2025</t>
        </is>
      </c>
      <c r="M1266" t="inlineStr">
        <is>
          <t xml:space="preserve">P.Q.S.  TIPO ABC </t>
        </is>
      </c>
      <c r="N1266" t="inlineStr">
        <is>
          <t>000608</t>
        </is>
      </c>
      <c r="O1266" t="inlineStr">
        <is>
          <t>V</t>
        </is>
      </c>
      <c r="P1266">
        <f>TRIM(N1266)</f>
        <v/>
      </c>
    </row>
    <row r="1267">
      <c r="A1267" t="inlineStr">
        <is>
          <t>CO-001738</t>
        </is>
      </c>
      <c r="B1267" t="inlineStr">
        <is>
          <t>DORIS ARENAS CARHUAS</t>
        </is>
      </c>
      <c r="C1267" t="inlineStr">
        <is>
          <t>10417264</t>
        </is>
      </c>
      <c r="D1267" t="inlineStr">
        <is>
          <t>SECTOR COSMETICOS - PUESTO 04</t>
        </is>
      </c>
      <c r="E1267" t="inlineStr">
        <is>
          <t>Lima, 08 de Enero de 2024</t>
        </is>
      </c>
      <c r="F1267" t="inlineStr">
        <is>
          <t>la venta</t>
        </is>
      </c>
      <c r="G1267" t="inlineStr">
        <is>
          <t>01</t>
        </is>
      </c>
      <c r="H1267" t="inlineStr">
        <is>
          <t>04 KG</t>
        </is>
      </c>
      <c r="I1267" t="inlineStr">
        <is>
          <t>2028</t>
        </is>
      </c>
      <c r="J1267" t="n">
        <v>2023</v>
      </c>
      <c r="K1267" t="inlineStr">
        <is>
          <t>ENERO 2024</t>
        </is>
      </c>
      <c r="L1267" t="inlineStr">
        <is>
          <t>ENERO 2025</t>
        </is>
      </c>
      <c r="M1267" t="inlineStr">
        <is>
          <t xml:space="preserve">P.Q.S.  TIPO ABC </t>
        </is>
      </c>
      <c r="N1267" t="inlineStr">
        <is>
          <t>000843</t>
        </is>
      </c>
      <c r="O1267" t="inlineStr">
        <is>
          <t>V</t>
        </is>
      </c>
      <c r="P1267">
        <f>TRIM(N1267)</f>
        <v/>
      </c>
    </row>
    <row r="1268">
      <c r="A1268" t="inlineStr">
        <is>
          <t>CO-001739</t>
        </is>
      </c>
      <c r="B1268" t="inlineStr">
        <is>
          <t>HERCILIA ESTEBAN</t>
        </is>
      </c>
      <c r="D1268" t="inlineStr">
        <is>
          <t>SECTOR VARIOS - PUESTO 04</t>
        </is>
      </c>
      <c r="E1268" t="inlineStr">
        <is>
          <t>Lima, 10 de Enero de 2024</t>
        </is>
      </c>
      <c r="F1268" t="inlineStr">
        <is>
          <t>la Recarga y mantenimiento</t>
        </is>
      </c>
      <c r="G1268" t="inlineStr">
        <is>
          <t>01</t>
        </is>
      </c>
      <c r="H1268" t="inlineStr">
        <is>
          <t>06 KG</t>
        </is>
      </c>
      <c r="I1268" t="inlineStr">
        <is>
          <t>2029</t>
        </is>
      </c>
      <c r="J1268" t="n">
        <v>2015</v>
      </c>
      <c r="K1268" t="inlineStr">
        <is>
          <t>ENERO 2024</t>
        </is>
      </c>
      <c r="L1268" t="inlineStr">
        <is>
          <t>ENERO 2025</t>
        </is>
      </c>
      <c r="M1268" t="inlineStr">
        <is>
          <t xml:space="preserve">P.Q.S.  TIPO ABC </t>
        </is>
      </c>
      <c r="N1268" t="inlineStr">
        <is>
          <t>001978</t>
        </is>
      </c>
      <c r="O1268" t="inlineStr">
        <is>
          <t>R</t>
        </is>
      </c>
      <c r="P1268">
        <f>TRIM(N1268)</f>
        <v/>
      </c>
    </row>
    <row r="1269">
      <c r="A1269" t="inlineStr">
        <is>
          <t>CO-001740</t>
        </is>
      </c>
      <c r="B1269" t="inlineStr">
        <is>
          <t>HIPOLITO CARRILLO</t>
        </is>
      </c>
      <c r="D1269" t="inlineStr">
        <is>
          <t>SECTOR PASAMANERIA - PUESTO 08</t>
        </is>
      </c>
      <c r="E1269" t="inlineStr">
        <is>
          <t>Lima, 10 de Enero de 2024</t>
        </is>
      </c>
      <c r="F1269" t="inlineStr">
        <is>
          <t>la Recarga y mantenimiento</t>
        </is>
      </c>
      <c r="G1269" t="inlineStr">
        <is>
          <t>01</t>
        </is>
      </c>
      <c r="H1269" t="inlineStr">
        <is>
          <t>04 KG</t>
        </is>
      </c>
      <c r="I1269" t="inlineStr">
        <is>
          <t>2029</t>
        </is>
      </c>
      <c r="J1269" t="n">
        <v>2003</v>
      </c>
      <c r="K1269" t="inlineStr">
        <is>
          <t>ENERO 2024</t>
        </is>
      </c>
      <c r="L1269" t="inlineStr">
        <is>
          <t>ENERO 2025</t>
        </is>
      </c>
      <c r="M1269" t="inlineStr">
        <is>
          <t xml:space="preserve">P.Q.S.  TIPO ABC </t>
        </is>
      </c>
      <c r="N1269" t="inlineStr">
        <is>
          <t>001917</t>
        </is>
      </c>
      <c r="O1269" t="inlineStr">
        <is>
          <t>R</t>
        </is>
      </c>
      <c r="P1269">
        <f>TRIM(N1269)</f>
        <v/>
      </c>
    </row>
    <row r="1270">
      <c r="A1270" t="inlineStr">
        <is>
          <t>CO-001741</t>
        </is>
      </c>
      <c r="B1270" t="inlineStr">
        <is>
          <t>ELENA LAZARO</t>
        </is>
      </c>
      <c r="D1270" t="inlineStr">
        <is>
          <t>SECTOR POLLO - PUESTO 11</t>
        </is>
      </c>
      <c r="E1270" t="inlineStr">
        <is>
          <t>Lima, 10 de Enero de 2024</t>
        </is>
      </c>
      <c r="F1270" t="inlineStr">
        <is>
          <t>la venta</t>
        </is>
      </c>
      <c r="G1270" t="inlineStr">
        <is>
          <t>01</t>
        </is>
      </c>
      <c r="H1270" t="inlineStr">
        <is>
          <t>06 KG</t>
        </is>
      </c>
      <c r="I1270" t="inlineStr">
        <is>
          <t>2028</t>
        </is>
      </c>
      <c r="J1270" t="n">
        <v>2023</v>
      </c>
      <c r="K1270" t="inlineStr">
        <is>
          <t>ENERO 2024</t>
        </is>
      </c>
      <c r="L1270" t="inlineStr">
        <is>
          <t>ENERO 2025</t>
        </is>
      </c>
      <c r="M1270" t="inlineStr">
        <is>
          <t xml:space="preserve">P.Q.S.  TIPO ABC </t>
        </is>
      </c>
      <c r="N1270" t="inlineStr">
        <is>
          <t>000064</t>
        </is>
      </c>
      <c r="O1270" t="inlineStr">
        <is>
          <t>V</t>
        </is>
      </c>
      <c r="P1270">
        <f>TRIM(N1270)</f>
        <v/>
      </c>
    </row>
    <row r="1271">
      <c r="A1271" t="inlineStr">
        <is>
          <t>CO-001742</t>
        </is>
      </c>
      <c r="B1271" t="inlineStr">
        <is>
          <t>BOOPER'S BURGER SAC</t>
        </is>
      </c>
      <c r="C1271" t="inlineStr">
        <is>
          <t>20610852867</t>
        </is>
      </c>
      <c r="D1271" t="inlineStr">
        <is>
          <t>AV. LOS PINOS N° 1687 - EL PINAR - COMAS</t>
        </is>
      </c>
      <c r="E1271" t="inlineStr">
        <is>
          <t>Lima, 09 de Enero de 2024</t>
        </is>
      </c>
      <c r="F1271" t="inlineStr">
        <is>
          <t>la Recarga y mantenimiento</t>
        </is>
      </c>
      <c r="G1271" t="inlineStr">
        <is>
          <t>01</t>
        </is>
      </c>
      <c r="H1271" t="inlineStr">
        <is>
          <t>06 KG</t>
        </is>
      </c>
      <c r="I1271" t="inlineStr">
        <is>
          <t>2029</t>
        </is>
      </c>
      <c r="J1271" t="n">
        <v>2021</v>
      </c>
      <c r="K1271" t="inlineStr">
        <is>
          <t>ENERO 2024</t>
        </is>
      </c>
      <c r="L1271" t="inlineStr">
        <is>
          <t>ENERO 2025</t>
        </is>
      </c>
      <c r="M1271" t="inlineStr">
        <is>
          <t xml:space="preserve">P.Q.S.  TIPO ABC </t>
        </is>
      </c>
      <c r="N1271" t="inlineStr">
        <is>
          <t>000721</t>
        </is>
      </c>
      <c r="O1271" t="inlineStr">
        <is>
          <t>R</t>
        </is>
      </c>
      <c r="P1271">
        <f>TRIM(N1271)</f>
        <v/>
      </c>
    </row>
    <row r="1272">
      <c r="A1272" t="inlineStr">
        <is>
          <t>CO-001743</t>
        </is>
      </c>
      <c r="B1272" t="inlineStr">
        <is>
          <t>PROYECTO LIDERES DEL PERU S.A.C.</t>
        </is>
      </c>
      <c r="C1272" t="inlineStr">
        <is>
          <t>20612009482</t>
        </is>
      </c>
      <c r="D1272" t="inlineStr">
        <is>
          <t>AV. LAS PALMERAS NRO. 4181 URB. MICAELA BASTIDAS LIMA - LIMA - LOS OLIVOS</t>
        </is>
      </c>
      <c r="E1272" t="inlineStr">
        <is>
          <t>Lima, 30 de Noviembre de 2023</t>
        </is>
      </c>
      <c r="F1272" t="inlineStr">
        <is>
          <t>la venta</t>
        </is>
      </c>
      <c r="G1272" t="inlineStr">
        <is>
          <t>01</t>
        </is>
      </c>
      <c r="H1272" t="inlineStr">
        <is>
          <t>06 KG</t>
        </is>
      </c>
      <c r="I1272" t="inlineStr">
        <is>
          <t>2028</t>
        </is>
      </c>
      <c r="J1272" t="n">
        <v>2023</v>
      </c>
      <c r="K1272" t="inlineStr">
        <is>
          <t>DICIEMBRE 2023</t>
        </is>
      </c>
      <c r="L1272" t="inlineStr">
        <is>
          <t>DICIEMBRE 2024</t>
        </is>
      </c>
      <c r="M1272" t="inlineStr">
        <is>
          <t xml:space="preserve">P.Q.S.  TIPO ABC </t>
        </is>
      </c>
      <c r="N1272" t="inlineStr">
        <is>
          <t>201739</t>
        </is>
      </c>
      <c r="O1272" t="inlineStr">
        <is>
          <t>V</t>
        </is>
      </c>
      <c r="P1272">
        <f>TRIM(N1272)</f>
        <v/>
      </c>
    </row>
    <row r="1273">
      <c r="A1273" t="inlineStr">
        <is>
          <t>CO-001743</t>
        </is>
      </c>
      <c r="B1273" t="inlineStr">
        <is>
          <t>PROYECTO LIDERES DEL PERU S.A.C.</t>
        </is>
      </c>
      <c r="C1273" t="inlineStr">
        <is>
          <t>20612009482</t>
        </is>
      </c>
      <c r="D1273" t="inlineStr">
        <is>
          <t>AV. LAS PALMERAS NRO. 4181 URB. MICAELA BASTIDAS LIMA - LIMA - LOS OLIVOS</t>
        </is>
      </c>
      <c r="E1273" t="inlineStr">
        <is>
          <t>Lima, 30 de Noviembre de 2023</t>
        </is>
      </c>
      <c r="F1273" t="inlineStr">
        <is>
          <t>la venta</t>
        </is>
      </c>
      <c r="G1273" t="inlineStr">
        <is>
          <t>02</t>
        </is>
      </c>
      <c r="H1273" t="inlineStr">
        <is>
          <t>06 KG</t>
        </is>
      </c>
      <c r="I1273" t="inlineStr">
        <is>
          <t>2028</t>
        </is>
      </c>
      <c r="J1273" t="n">
        <v>2023</v>
      </c>
      <c r="K1273" t="inlineStr">
        <is>
          <t>DICIEMBRE 2023</t>
        </is>
      </c>
      <c r="L1273" t="inlineStr">
        <is>
          <t>DICIEMBRE 2024</t>
        </is>
      </c>
      <c r="M1273" t="inlineStr">
        <is>
          <t xml:space="preserve">P.Q.S.  TIPO ABC </t>
        </is>
      </c>
      <c r="N1273" t="inlineStr">
        <is>
          <t>001610</t>
        </is>
      </c>
      <c r="O1273" t="inlineStr">
        <is>
          <t>V</t>
        </is>
      </c>
      <c r="P1273">
        <f>TRIM(N1273)</f>
        <v/>
      </c>
    </row>
    <row r="1274">
      <c r="A1274" t="inlineStr">
        <is>
          <t>CO-001743</t>
        </is>
      </c>
      <c r="B1274" t="inlineStr">
        <is>
          <t>PROYECTO LIDERES DEL PERU S.A.C.</t>
        </is>
      </c>
      <c r="C1274" t="inlineStr">
        <is>
          <t>20612009482</t>
        </is>
      </c>
      <c r="D1274" t="inlineStr">
        <is>
          <t>AV. LAS PALMERAS NRO. 4181 URB. MICAELA BASTIDAS LIMA - LIMA - LOS OLIVOS</t>
        </is>
      </c>
      <c r="E1274" t="inlineStr">
        <is>
          <t>Lima, 30 de Noviembre de 2023</t>
        </is>
      </c>
      <c r="F1274" t="inlineStr">
        <is>
          <t>la venta</t>
        </is>
      </c>
      <c r="G1274" t="inlineStr">
        <is>
          <t>03</t>
        </is>
      </c>
      <c r="H1274" t="inlineStr">
        <is>
          <t>06 KG</t>
        </is>
      </c>
      <c r="I1274" t="inlineStr">
        <is>
          <t>2028</t>
        </is>
      </c>
      <c r="J1274" t="n">
        <v>2023</v>
      </c>
      <c r="K1274" t="inlineStr">
        <is>
          <t>DICIEMBRE 2023</t>
        </is>
      </c>
      <c r="L1274" t="inlineStr">
        <is>
          <t>DICIEMBRE 2024</t>
        </is>
      </c>
      <c r="M1274" t="inlineStr">
        <is>
          <t xml:space="preserve">P.Q.S.  TIPO ABC </t>
        </is>
      </c>
      <c r="N1274" t="inlineStr">
        <is>
          <t>001584</t>
        </is>
      </c>
      <c r="O1274" t="inlineStr">
        <is>
          <t>V</t>
        </is>
      </c>
      <c r="P1274">
        <f>TRIM(N1274)</f>
        <v/>
      </c>
    </row>
    <row r="1275">
      <c r="A1275" t="inlineStr">
        <is>
          <t>CO-001743</t>
        </is>
      </c>
      <c r="B1275" t="inlineStr">
        <is>
          <t>PROYECTO LIDERES DEL PERU S.A.C.</t>
        </is>
      </c>
      <c r="C1275" t="inlineStr">
        <is>
          <t>20612009482</t>
        </is>
      </c>
      <c r="D1275" t="inlineStr">
        <is>
          <t>AV. LAS PALMERAS NRO. 4181 URB. MICAELA BASTIDAS LIMA - LIMA - LOS OLIVOS</t>
        </is>
      </c>
      <c r="E1275" t="inlineStr">
        <is>
          <t>Lima, 30 de Noviembre de 2023</t>
        </is>
      </c>
      <c r="F1275" t="inlineStr">
        <is>
          <t>la venta</t>
        </is>
      </c>
      <c r="G1275" t="inlineStr">
        <is>
          <t>04</t>
        </is>
      </c>
      <c r="H1275" t="inlineStr">
        <is>
          <t>06 KG</t>
        </is>
      </c>
      <c r="I1275" t="inlineStr">
        <is>
          <t>2028</t>
        </is>
      </c>
      <c r="J1275" t="n">
        <v>2023</v>
      </c>
      <c r="K1275" t="inlineStr">
        <is>
          <t>DICIEMBRE 2023</t>
        </is>
      </c>
      <c r="L1275" t="inlineStr">
        <is>
          <t>DICIEMBRE 2024</t>
        </is>
      </c>
      <c r="M1275" t="inlineStr">
        <is>
          <t xml:space="preserve">P.Q.S.  TIPO ABC </t>
        </is>
      </c>
      <c r="N1275" t="inlineStr">
        <is>
          <t>009870</t>
        </is>
      </c>
      <c r="O1275" t="inlineStr">
        <is>
          <t>V</t>
        </is>
      </c>
      <c r="P1275">
        <f>TRIM(N1275)</f>
        <v/>
      </c>
    </row>
    <row r="1276">
      <c r="A1276" t="inlineStr">
        <is>
          <t>CO-001743</t>
        </is>
      </c>
      <c r="B1276" t="inlineStr">
        <is>
          <t>PROYECTO LIDERES DEL PERU S.A.C.</t>
        </is>
      </c>
      <c r="C1276" t="inlineStr">
        <is>
          <t>20612009482</t>
        </is>
      </c>
      <c r="D1276" t="inlineStr">
        <is>
          <t>AV. LAS PALMERAS NRO. 4181 URB. MICAELA BASTIDAS LIMA - LIMA - LOS OLIVOS</t>
        </is>
      </c>
      <c r="E1276" t="inlineStr">
        <is>
          <t>Lima, 30 de Noviembre de 2023</t>
        </is>
      </c>
      <c r="F1276" t="inlineStr">
        <is>
          <t>la venta</t>
        </is>
      </c>
      <c r="G1276" t="inlineStr">
        <is>
          <t>05</t>
        </is>
      </c>
      <c r="H1276" t="inlineStr">
        <is>
          <t>06 KG</t>
        </is>
      </c>
      <c r="I1276" t="inlineStr">
        <is>
          <t>2028</t>
        </is>
      </c>
      <c r="J1276" t="n">
        <v>2023</v>
      </c>
      <c r="K1276" t="inlineStr">
        <is>
          <t>DICIEMBRE 2023</t>
        </is>
      </c>
      <c r="L1276" t="inlineStr">
        <is>
          <t>DICIEMBRE 2024</t>
        </is>
      </c>
      <c r="M1276" t="inlineStr">
        <is>
          <t xml:space="preserve">P.Q.S.  TIPO ABC </t>
        </is>
      </c>
      <c r="N1276" t="inlineStr">
        <is>
          <t>000941</t>
        </is>
      </c>
      <c r="O1276" t="inlineStr">
        <is>
          <t>V</t>
        </is>
      </c>
      <c r="P1276">
        <f>TRIM(N1276)</f>
        <v/>
      </c>
    </row>
    <row r="1277">
      <c r="A1277" t="inlineStr">
        <is>
          <t>CO-001744</t>
        </is>
      </c>
      <c r="B1277" t="inlineStr">
        <is>
          <t>SALUSTRIO ISAIAS TORRES TRUJILLO</t>
        </is>
      </c>
      <c r="C1277" t="inlineStr">
        <is>
          <t>09946719</t>
        </is>
      </c>
      <c r="D1277" t="inlineStr">
        <is>
          <t>PLACA: F5L-537</t>
        </is>
      </c>
      <c r="E1277" t="inlineStr">
        <is>
          <t>Lima, 10 de Enero de 2024</t>
        </is>
      </c>
      <c r="F1277" t="inlineStr">
        <is>
          <t>la Recarga y mantenimiento</t>
        </is>
      </c>
      <c r="G1277" t="inlineStr">
        <is>
          <t>01</t>
        </is>
      </c>
      <c r="H1277" t="inlineStr">
        <is>
          <t>02 KG</t>
        </is>
      </c>
      <c r="I1277" t="inlineStr">
        <is>
          <t>VIGENTE</t>
        </is>
      </c>
      <c r="J1277" t="n">
        <v>2012</v>
      </c>
      <c r="K1277" t="inlineStr">
        <is>
          <t>ENERO 2024</t>
        </is>
      </c>
      <c r="L1277" t="inlineStr">
        <is>
          <t>ENERO 2025</t>
        </is>
      </c>
      <c r="M1277" t="inlineStr">
        <is>
          <t xml:space="preserve">P.Q.S.  TIPO ABC </t>
        </is>
      </c>
      <c r="N1277" t="inlineStr">
        <is>
          <t>000493</t>
        </is>
      </c>
      <c r="O1277" t="inlineStr">
        <is>
          <t>R</t>
        </is>
      </c>
      <c r="P1277">
        <f>TRIM(N1277)</f>
        <v/>
      </c>
    </row>
    <row r="1278">
      <c r="A1278" t="inlineStr">
        <is>
          <t>CO-001745</t>
        </is>
      </c>
      <c r="B1278" t="inlineStr">
        <is>
          <t>ANGELITA FORTUNATA RODRIGUEZ MANRIQUE</t>
        </is>
      </c>
      <c r="C1278" t="inlineStr">
        <is>
          <t>09998465</t>
        </is>
      </c>
      <c r="D1278" t="inlineStr">
        <is>
          <t>SECTOR VERDURAS - PUESTO 01</t>
        </is>
      </c>
      <c r="E1278" t="inlineStr">
        <is>
          <t>Lima, 08 de Enero de 2024</t>
        </is>
      </c>
      <c r="F1278" t="inlineStr">
        <is>
          <t>la venta</t>
        </is>
      </c>
      <c r="G1278" t="inlineStr">
        <is>
          <t>01</t>
        </is>
      </c>
      <c r="H1278" t="inlineStr">
        <is>
          <t>04 KG</t>
        </is>
      </c>
      <c r="I1278" t="inlineStr">
        <is>
          <t>2028</t>
        </is>
      </c>
      <c r="J1278" t="n">
        <v>2023</v>
      </c>
      <c r="K1278" t="inlineStr">
        <is>
          <t>ENERO 2024</t>
        </is>
      </c>
      <c r="L1278" t="inlineStr">
        <is>
          <t>ENERO 2025</t>
        </is>
      </c>
      <c r="M1278" t="inlineStr">
        <is>
          <t xml:space="preserve">P.Q.S.  TIPO ABC </t>
        </is>
      </c>
      <c r="N1278" t="inlineStr">
        <is>
          <t>000872</t>
        </is>
      </c>
      <c r="O1278" t="inlineStr">
        <is>
          <t>V</t>
        </is>
      </c>
      <c r="P1278">
        <f>TRIM(N1278)</f>
        <v/>
      </c>
    </row>
    <row r="1279">
      <c r="A1279" t="inlineStr">
        <is>
          <t>CO-001746</t>
        </is>
      </c>
      <c r="B1279" t="inlineStr">
        <is>
          <t>JOHN DENIS BAUTISTA CHAVEZ</t>
        </is>
      </c>
      <c r="C1279" t="inlineStr">
        <is>
          <t>41282774</t>
        </is>
      </c>
      <c r="D1279" t="inlineStr">
        <is>
          <t>PLACA: B0Z-115</t>
        </is>
      </c>
      <c r="E1279" t="inlineStr">
        <is>
          <t>Lima, 10 de Enero de 2024</t>
        </is>
      </c>
      <c r="F1279" t="inlineStr">
        <is>
          <t>la Recarga y mantenimiento</t>
        </is>
      </c>
      <c r="G1279" t="inlineStr">
        <is>
          <t>01</t>
        </is>
      </c>
      <c r="H1279" t="inlineStr">
        <is>
          <t>02 KG</t>
        </is>
      </c>
      <c r="I1279" t="inlineStr">
        <is>
          <t>VIGENTE</t>
        </is>
      </c>
      <c r="J1279" t="n">
        <v>2017</v>
      </c>
      <c r="K1279" t="inlineStr">
        <is>
          <t>ENERO 2024</t>
        </is>
      </c>
      <c r="L1279" t="inlineStr">
        <is>
          <t>ENERO 2025</t>
        </is>
      </c>
      <c r="M1279" t="inlineStr">
        <is>
          <t xml:space="preserve">P.Q.S.  TIPO ABC </t>
        </is>
      </c>
      <c r="N1279" t="inlineStr">
        <is>
          <t>096319</t>
        </is>
      </c>
      <c r="O1279" t="inlineStr">
        <is>
          <t>R</t>
        </is>
      </c>
      <c r="P1279">
        <f>TRIM(N1279)</f>
        <v/>
      </c>
    </row>
    <row r="1280">
      <c r="A1280" t="inlineStr">
        <is>
          <t>CO-001747</t>
        </is>
      </c>
      <c r="B1280" t="inlineStr">
        <is>
          <t>EUGENIA ASCENCIO</t>
        </is>
      </c>
      <c r="D1280" t="inlineStr">
        <is>
          <t>MERCADO MINA DE ORO</t>
        </is>
      </c>
      <c r="E1280" t="inlineStr">
        <is>
          <t>Lima, 11 de Enero de 2024</t>
        </is>
      </c>
      <c r="F1280" t="inlineStr">
        <is>
          <t>la Recarga y mantenimiento</t>
        </is>
      </c>
      <c r="G1280" t="inlineStr">
        <is>
          <t>01</t>
        </is>
      </c>
      <c r="H1280" t="inlineStr">
        <is>
          <t>06 KG</t>
        </is>
      </c>
      <c r="I1280" t="inlineStr">
        <is>
          <t>2026</t>
        </is>
      </c>
      <c r="J1280" t="n">
        <v>2011</v>
      </c>
      <c r="K1280" t="inlineStr">
        <is>
          <t>ENERO 2024</t>
        </is>
      </c>
      <c r="L1280" t="inlineStr">
        <is>
          <t>ENERO 2025</t>
        </is>
      </c>
      <c r="M1280" t="inlineStr">
        <is>
          <t xml:space="preserve">P.Q.S.  TIPO ABC </t>
        </is>
      </c>
      <c r="N1280" t="inlineStr">
        <is>
          <t>003759</t>
        </is>
      </c>
      <c r="O1280" t="inlineStr">
        <is>
          <t>R</t>
        </is>
      </c>
      <c r="P1280">
        <f>TRIM(N1280)</f>
        <v/>
      </c>
    </row>
    <row r="1281">
      <c r="A1281" t="inlineStr">
        <is>
          <t>CO-001748</t>
        </is>
      </c>
      <c r="B1281" t="inlineStr">
        <is>
          <t>JENNY URTEAGA</t>
        </is>
      </c>
      <c r="D1281" t="inlineStr">
        <is>
          <t>MERCADO MINA DE ORO</t>
        </is>
      </c>
      <c r="E1281" t="inlineStr">
        <is>
          <t>Lima, 11 de Enero de 2024</t>
        </is>
      </c>
      <c r="F1281" t="inlineStr">
        <is>
          <t>la Recarga y mantenimiento</t>
        </is>
      </c>
      <c r="G1281" t="inlineStr">
        <is>
          <t>01</t>
        </is>
      </c>
      <c r="H1281" t="inlineStr">
        <is>
          <t>06 KG</t>
        </is>
      </c>
      <c r="I1281" t="inlineStr">
        <is>
          <t>2025</t>
        </is>
      </c>
      <c r="J1281" t="n">
        <v>2020</v>
      </c>
      <c r="K1281" t="inlineStr">
        <is>
          <t>ENERO 2024</t>
        </is>
      </c>
      <c r="L1281" t="inlineStr">
        <is>
          <t>ENERO 2025</t>
        </is>
      </c>
      <c r="M1281" t="inlineStr">
        <is>
          <t xml:space="preserve">P.Q.S.  TIPO ABC </t>
        </is>
      </c>
      <c r="N1281" t="inlineStr">
        <is>
          <t>144903</t>
        </is>
      </c>
      <c r="O1281" t="inlineStr">
        <is>
          <t>R</t>
        </is>
      </c>
      <c r="P1281">
        <f>TRIM(N1281)</f>
        <v/>
      </c>
    </row>
    <row r="1282">
      <c r="A1282" t="inlineStr">
        <is>
          <t>CO-001749</t>
        </is>
      </c>
      <c r="B1282" t="inlineStr">
        <is>
          <t>ELOISA DELGADO</t>
        </is>
      </c>
      <c r="D1282" t="inlineStr">
        <is>
          <t>MERCADO MINA DE ORO</t>
        </is>
      </c>
      <c r="E1282" t="inlineStr">
        <is>
          <t>Lima, 11 de Enero de 2024</t>
        </is>
      </c>
      <c r="F1282" t="inlineStr">
        <is>
          <t>la Recarga y mantenimiento</t>
        </is>
      </c>
      <c r="G1282" t="inlineStr">
        <is>
          <t>01</t>
        </is>
      </c>
      <c r="H1282" t="inlineStr">
        <is>
          <t>06 KG</t>
        </is>
      </c>
      <c r="I1282" t="inlineStr">
        <is>
          <t>VIGENTE</t>
        </is>
      </c>
      <c r="J1282" t="n">
        <v>2017</v>
      </c>
      <c r="K1282" t="inlineStr">
        <is>
          <t>ENERO 2024</t>
        </is>
      </c>
      <c r="L1282" t="inlineStr">
        <is>
          <t>ENERO 2025</t>
        </is>
      </c>
      <c r="M1282" t="inlineStr">
        <is>
          <t xml:space="preserve">P.Q.S.  TIPO ABC </t>
        </is>
      </c>
      <c r="N1282" t="inlineStr">
        <is>
          <t>000147</t>
        </is>
      </c>
      <c r="O1282" t="inlineStr">
        <is>
          <t>R</t>
        </is>
      </c>
      <c r="P1282">
        <f>TRIM(N1282)</f>
        <v/>
      </c>
    </row>
    <row r="1283">
      <c r="A1283" t="inlineStr">
        <is>
          <t>CO-001750</t>
        </is>
      </c>
      <c r="B1283" t="inlineStr">
        <is>
          <t>GRACIELA TAFUR</t>
        </is>
      </c>
      <c r="D1283" t="inlineStr">
        <is>
          <t>MERCADO MINA DE ORO</t>
        </is>
      </c>
      <c r="E1283" t="inlineStr">
        <is>
          <t>Lima, 11 de Enero de 2024</t>
        </is>
      </c>
      <c r="F1283" t="inlineStr">
        <is>
          <t>la Recarga y mantenimiento</t>
        </is>
      </c>
      <c r="G1283" t="inlineStr">
        <is>
          <t>01</t>
        </is>
      </c>
      <c r="H1283" t="inlineStr">
        <is>
          <t>06 KG</t>
        </is>
      </c>
      <c r="I1283" t="inlineStr">
        <is>
          <t>2026</t>
        </is>
      </c>
      <c r="J1283" t="n">
        <v>2016</v>
      </c>
      <c r="K1283" t="inlineStr">
        <is>
          <t>ENERO 2024</t>
        </is>
      </c>
      <c r="L1283" t="inlineStr">
        <is>
          <t>ENERO 2025</t>
        </is>
      </c>
      <c r="M1283" t="inlineStr">
        <is>
          <t xml:space="preserve">P.Q.S.  TIPO ABC </t>
        </is>
      </c>
      <c r="N1283" t="inlineStr">
        <is>
          <t>001170</t>
        </is>
      </c>
      <c r="O1283" t="inlineStr">
        <is>
          <t>R</t>
        </is>
      </c>
      <c r="P1283">
        <f>TRIM(N1283)</f>
        <v/>
      </c>
    </row>
    <row r="1284">
      <c r="A1284" t="inlineStr">
        <is>
          <t>CO-001751</t>
        </is>
      </c>
      <c r="B1284" t="inlineStr">
        <is>
          <t>JUAN RICARDO</t>
        </is>
      </c>
      <c r="D1284" t="inlineStr">
        <is>
          <t>MERCADO MINA DE ORO</t>
        </is>
      </c>
      <c r="E1284" t="inlineStr">
        <is>
          <t>Lima, 11 de Enero de 2024</t>
        </is>
      </c>
      <c r="F1284" t="inlineStr">
        <is>
          <t>la Recarga y mantenimiento</t>
        </is>
      </c>
      <c r="G1284" t="inlineStr">
        <is>
          <t>01</t>
        </is>
      </c>
      <c r="H1284" t="inlineStr">
        <is>
          <t>06 KG</t>
        </is>
      </c>
      <c r="I1284" t="inlineStr">
        <is>
          <t>2029</t>
        </is>
      </c>
      <c r="J1284" t="n">
        <v>2016</v>
      </c>
      <c r="K1284" t="inlineStr">
        <is>
          <t>ENERO 2024</t>
        </is>
      </c>
      <c r="L1284" t="inlineStr">
        <is>
          <t>ENERO 2025</t>
        </is>
      </c>
      <c r="M1284" t="inlineStr">
        <is>
          <t xml:space="preserve">P.Q.S.  TIPO ABC </t>
        </is>
      </c>
      <c r="N1284" t="inlineStr">
        <is>
          <t>010486</t>
        </is>
      </c>
      <c r="O1284" t="inlineStr">
        <is>
          <t>R</t>
        </is>
      </c>
      <c r="P1284">
        <f>TRIM(N1284)</f>
        <v/>
      </c>
    </row>
    <row r="1285">
      <c r="A1285" t="inlineStr">
        <is>
          <t>CO-001752</t>
        </is>
      </c>
      <c r="B1285" t="inlineStr">
        <is>
          <t>ROSA MONTESINOS</t>
        </is>
      </c>
      <c r="D1285" t="inlineStr">
        <is>
          <t>MERCADO MINA DE ORO</t>
        </is>
      </c>
      <c r="E1285" t="inlineStr">
        <is>
          <t>Lima, 11 de Enero de 2024</t>
        </is>
      </c>
      <c r="F1285" t="inlineStr">
        <is>
          <t>la Recarga y mantenimiento</t>
        </is>
      </c>
      <c r="G1285" t="inlineStr">
        <is>
          <t>01</t>
        </is>
      </c>
      <c r="H1285" t="inlineStr">
        <is>
          <t>06 KG</t>
        </is>
      </c>
      <c r="I1285" t="inlineStr">
        <is>
          <t>2029</t>
        </is>
      </c>
      <c r="J1285" t="n">
        <v>2017</v>
      </c>
      <c r="K1285" t="inlineStr">
        <is>
          <t>ENERO 2024</t>
        </is>
      </c>
      <c r="L1285" t="inlineStr">
        <is>
          <t>ENERO 2025</t>
        </is>
      </c>
      <c r="M1285" t="inlineStr">
        <is>
          <t xml:space="preserve">P.Q.S.  TIPO ABC </t>
        </is>
      </c>
      <c r="N1285" t="inlineStr">
        <is>
          <t>000511</t>
        </is>
      </c>
      <c r="O1285" t="inlineStr">
        <is>
          <t>R</t>
        </is>
      </c>
      <c r="P1285">
        <f>TRIM(N1285)</f>
        <v/>
      </c>
    </row>
    <row r="1286">
      <c r="A1286" t="inlineStr">
        <is>
          <t>CO-001753</t>
        </is>
      </c>
      <c r="B1286" t="inlineStr">
        <is>
          <t>BONIFACIO AGUIRRE</t>
        </is>
      </c>
      <c r="D1286" t="inlineStr">
        <is>
          <t>MERCADO MINA DE ORO</t>
        </is>
      </c>
      <c r="E1286" t="inlineStr">
        <is>
          <t>Lima, 11 de Enero de 2024</t>
        </is>
      </c>
      <c r="F1286" t="inlineStr">
        <is>
          <t>la Recarga y mantenimiento</t>
        </is>
      </c>
      <c r="G1286" t="inlineStr">
        <is>
          <t>01</t>
        </is>
      </c>
      <c r="H1286" t="inlineStr">
        <is>
          <t>06 KG</t>
        </is>
      </c>
      <c r="I1286" t="inlineStr">
        <is>
          <t>2029</t>
        </is>
      </c>
      <c r="J1286" t="n">
        <v>2019</v>
      </c>
      <c r="K1286" t="inlineStr">
        <is>
          <t>ENERO 2024</t>
        </is>
      </c>
      <c r="L1286" t="inlineStr">
        <is>
          <t>ENERO 2025</t>
        </is>
      </c>
      <c r="M1286" t="inlineStr">
        <is>
          <t xml:space="preserve">P.Q.S.  TIPO ABC </t>
        </is>
      </c>
      <c r="N1286" t="inlineStr">
        <is>
          <t>000600</t>
        </is>
      </c>
      <c r="O1286" t="inlineStr">
        <is>
          <t>R</t>
        </is>
      </c>
      <c r="P1286">
        <f>TRIM(N1286)</f>
        <v/>
      </c>
    </row>
    <row r="1287">
      <c r="A1287" t="inlineStr">
        <is>
          <t>CO-001754</t>
        </is>
      </c>
      <c r="B1287" t="inlineStr">
        <is>
          <t>CEFERINA ESPADA</t>
        </is>
      </c>
      <c r="D1287" t="inlineStr">
        <is>
          <t>MERCADO MINA DE ORO</t>
        </is>
      </c>
      <c r="E1287" t="inlineStr">
        <is>
          <t>Lima, 11 de Enero de 2024</t>
        </is>
      </c>
      <c r="F1287" t="inlineStr">
        <is>
          <t>la Recarga y mantenimiento</t>
        </is>
      </c>
      <c r="G1287" t="inlineStr">
        <is>
          <t>01</t>
        </is>
      </c>
      <c r="H1287" t="inlineStr">
        <is>
          <t>06 KG</t>
        </is>
      </c>
      <c r="I1287" t="inlineStr">
        <is>
          <t>2029</t>
        </is>
      </c>
      <c r="J1287" t="n">
        <v>2017</v>
      </c>
      <c r="K1287" t="inlineStr">
        <is>
          <t>ENERO 2024</t>
        </is>
      </c>
      <c r="L1287" t="inlineStr">
        <is>
          <t>ENERO 2025</t>
        </is>
      </c>
      <c r="M1287" t="inlineStr">
        <is>
          <t xml:space="preserve">P.Q.S.  TIPO ABC </t>
        </is>
      </c>
      <c r="N1287" t="inlineStr">
        <is>
          <t>000198</t>
        </is>
      </c>
      <c r="O1287" t="inlineStr">
        <is>
          <t>R</t>
        </is>
      </c>
      <c r="P1287">
        <f>TRIM(N1287)</f>
        <v/>
      </c>
    </row>
    <row r="1288">
      <c r="A1288" t="inlineStr">
        <is>
          <t>CO-001755</t>
        </is>
      </c>
      <c r="B1288" t="inlineStr">
        <is>
          <t>GLADIS ESTRELLA</t>
        </is>
      </c>
      <c r="D1288" t="inlineStr">
        <is>
          <t>MERCADO MINA DE ORO</t>
        </is>
      </c>
      <c r="E1288" t="inlineStr">
        <is>
          <t>Lima, 11 de Enero de 2024</t>
        </is>
      </c>
      <c r="F1288" t="inlineStr">
        <is>
          <t>la Recarga y mantenimiento</t>
        </is>
      </c>
      <c r="G1288" t="inlineStr">
        <is>
          <t>01</t>
        </is>
      </c>
      <c r="H1288" t="inlineStr">
        <is>
          <t>06 KG</t>
        </is>
      </c>
      <c r="I1288" t="inlineStr">
        <is>
          <t>2029</t>
        </is>
      </c>
      <c r="J1288" t="n">
        <v>2017</v>
      </c>
      <c r="K1288" t="inlineStr">
        <is>
          <t>ENERO 2024</t>
        </is>
      </c>
      <c r="L1288" t="inlineStr">
        <is>
          <t>ENERO 2025</t>
        </is>
      </c>
      <c r="M1288" t="inlineStr">
        <is>
          <t xml:space="preserve">P.Q.S.  TIPO ABC </t>
        </is>
      </c>
      <c r="N1288" t="inlineStr">
        <is>
          <t>000087</t>
        </is>
      </c>
      <c r="O1288" t="inlineStr">
        <is>
          <t>R</t>
        </is>
      </c>
      <c r="P1288">
        <f>TRIM(N1288)</f>
        <v/>
      </c>
    </row>
    <row r="1289">
      <c r="A1289" t="inlineStr">
        <is>
          <t>CO-001756</t>
        </is>
      </c>
      <c r="B1289" t="inlineStr">
        <is>
          <t>FRIDA AZNARAN</t>
        </is>
      </c>
      <c r="D1289" t="inlineStr">
        <is>
          <t>MERCADO MINA DE ORO</t>
        </is>
      </c>
      <c r="E1289" t="inlineStr">
        <is>
          <t>Lima, 11 de Enero de 2024</t>
        </is>
      </c>
      <c r="F1289" t="inlineStr">
        <is>
          <t>la Recarga y mantenimiento</t>
        </is>
      </c>
      <c r="G1289" t="inlineStr">
        <is>
          <t>01</t>
        </is>
      </c>
      <c r="H1289" t="inlineStr">
        <is>
          <t>06 KG</t>
        </is>
      </c>
      <c r="I1289" t="inlineStr">
        <is>
          <t>2029</t>
        </is>
      </c>
      <c r="J1289" t="n">
        <v>2018</v>
      </c>
      <c r="K1289" t="inlineStr">
        <is>
          <t>ENERO 2024</t>
        </is>
      </c>
      <c r="L1289" t="inlineStr">
        <is>
          <t>ENERO 2025</t>
        </is>
      </c>
      <c r="M1289" t="inlineStr">
        <is>
          <t xml:space="preserve">P.Q.S.  TIPO ABC </t>
        </is>
      </c>
      <c r="N1289" t="inlineStr">
        <is>
          <t>000075</t>
        </is>
      </c>
      <c r="O1289" t="inlineStr">
        <is>
          <t>R</t>
        </is>
      </c>
      <c r="P1289">
        <f>TRIM(N1289)</f>
        <v/>
      </c>
    </row>
    <row r="1290">
      <c r="A1290" t="inlineStr">
        <is>
          <t>CO-001757</t>
        </is>
      </c>
      <c r="B1290" t="inlineStr">
        <is>
          <t>LUCIA MONTALVO</t>
        </is>
      </c>
      <c r="D1290" t="inlineStr">
        <is>
          <t>MERCADO MINA DE ORO</t>
        </is>
      </c>
      <c r="E1290" t="inlineStr">
        <is>
          <t>Lima, 11 de Enero de 2024</t>
        </is>
      </c>
      <c r="F1290" t="inlineStr">
        <is>
          <t>la Recarga y mantenimiento</t>
        </is>
      </c>
      <c r="G1290" t="inlineStr">
        <is>
          <t>01</t>
        </is>
      </c>
      <c r="H1290" t="inlineStr">
        <is>
          <t>06 KG</t>
        </is>
      </c>
      <c r="I1290" t="inlineStr">
        <is>
          <t>2026</t>
        </is>
      </c>
      <c r="J1290" t="n">
        <v>2013</v>
      </c>
      <c r="K1290" t="inlineStr">
        <is>
          <t>ENERO 2024</t>
        </is>
      </c>
      <c r="L1290" t="inlineStr">
        <is>
          <t>ENERO 2025</t>
        </is>
      </c>
      <c r="M1290" t="inlineStr">
        <is>
          <t xml:space="preserve">P.Q.S.  TIPO ABC </t>
        </is>
      </c>
      <c r="N1290" t="inlineStr">
        <is>
          <t>002267</t>
        </is>
      </c>
      <c r="O1290" t="inlineStr">
        <is>
          <t>R</t>
        </is>
      </c>
      <c r="P1290">
        <f>TRIM(N1290)</f>
        <v/>
      </c>
    </row>
    <row r="1291">
      <c r="A1291" t="inlineStr">
        <is>
          <t>CO-001758</t>
        </is>
      </c>
      <c r="B1291" t="inlineStr">
        <is>
          <t>JULISSA CUBAS</t>
        </is>
      </c>
      <c r="D1291" t="inlineStr">
        <is>
          <t>MERCADO MINA DE ORO</t>
        </is>
      </c>
      <c r="E1291" t="inlineStr">
        <is>
          <t>Lima, 11 de Enero de 2024</t>
        </is>
      </c>
      <c r="F1291" t="inlineStr">
        <is>
          <t>la Recarga y mantenimiento</t>
        </is>
      </c>
      <c r="G1291" t="inlineStr">
        <is>
          <t>01</t>
        </is>
      </c>
      <c r="H1291" t="inlineStr">
        <is>
          <t>06 KG</t>
        </is>
      </c>
      <c r="I1291" t="inlineStr">
        <is>
          <t>2029</t>
        </is>
      </c>
      <c r="J1291" t="n">
        <v>2017</v>
      </c>
      <c r="K1291" t="inlineStr">
        <is>
          <t>ENERO 2024</t>
        </is>
      </c>
      <c r="L1291" t="inlineStr">
        <is>
          <t>ENERO 2025</t>
        </is>
      </c>
      <c r="M1291" t="inlineStr">
        <is>
          <t xml:space="preserve">P.Q.S.  TIPO ABC </t>
        </is>
      </c>
      <c r="N1291" t="inlineStr">
        <is>
          <t>001879</t>
        </is>
      </c>
      <c r="O1291" t="inlineStr">
        <is>
          <t>R</t>
        </is>
      </c>
      <c r="P1291">
        <f>TRIM(N1291)</f>
        <v/>
      </c>
    </row>
    <row r="1292">
      <c r="A1292" t="inlineStr">
        <is>
          <t>CO-001759</t>
        </is>
      </c>
      <c r="B1292" t="inlineStr">
        <is>
          <t>MERCADO CENTRAL MINA DE ORO</t>
        </is>
      </c>
      <c r="D1292" t="inlineStr">
        <is>
          <t>MERCADO MINA DE ORO</t>
        </is>
      </c>
      <c r="E1292" t="inlineStr">
        <is>
          <t>Lima, 11 de Enero de 2024</t>
        </is>
      </c>
      <c r="F1292" t="inlineStr">
        <is>
          <t>la Recarga y mantenimiento</t>
        </is>
      </c>
      <c r="G1292" t="inlineStr">
        <is>
          <t>01</t>
        </is>
      </c>
      <c r="H1292" t="inlineStr">
        <is>
          <t>06 KG</t>
        </is>
      </c>
      <c r="I1292" t="inlineStr">
        <is>
          <t>2029</t>
        </is>
      </c>
      <c r="J1292" t="n">
        <v>2017</v>
      </c>
      <c r="K1292" t="inlineStr">
        <is>
          <t>ENERO 2024</t>
        </is>
      </c>
      <c r="L1292" t="inlineStr">
        <is>
          <t>ENERO 2025</t>
        </is>
      </c>
      <c r="M1292" t="inlineStr">
        <is>
          <t xml:space="preserve">P.Q.S.  TIPO ABC </t>
        </is>
      </c>
      <c r="N1292" t="inlineStr">
        <is>
          <t>01 / 006417</t>
        </is>
      </c>
      <c r="O1292" t="inlineStr">
        <is>
          <t>R</t>
        </is>
      </c>
      <c r="P1292">
        <f>TRIM(N1292)</f>
        <v/>
      </c>
    </row>
    <row r="1293">
      <c r="A1293" t="inlineStr">
        <is>
          <t>CO-001759</t>
        </is>
      </c>
      <c r="B1293" t="inlineStr">
        <is>
          <t>MERCADO CENTRAL MINA DE ORO</t>
        </is>
      </c>
      <c r="D1293" t="inlineStr">
        <is>
          <t>MERCADO MINA DE ORO</t>
        </is>
      </c>
      <c r="E1293" t="inlineStr">
        <is>
          <t>Lima, 11 de Enero de 2024</t>
        </is>
      </c>
      <c r="F1293" t="inlineStr">
        <is>
          <t>la Recarga y mantenimiento</t>
        </is>
      </c>
      <c r="G1293" t="inlineStr">
        <is>
          <t>02</t>
        </is>
      </c>
      <c r="H1293" t="inlineStr">
        <is>
          <t>06 KG</t>
        </is>
      </c>
      <c r="I1293" t="inlineStr">
        <is>
          <t>2029</t>
        </is>
      </c>
      <c r="J1293" t="n">
        <v>2018</v>
      </c>
      <c r="K1293" t="inlineStr">
        <is>
          <t>ENERO 2024</t>
        </is>
      </c>
      <c r="L1293" t="inlineStr">
        <is>
          <t>ENERO 2025</t>
        </is>
      </c>
      <c r="M1293" t="inlineStr">
        <is>
          <t xml:space="preserve">P.Q.S.  TIPO ABC </t>
        </is>
      </c>
      <c r="N1293" t="inlineStr">
        <is>
          <t>02 / 006422</t>
        </is>
      </c>
      <c r="O1293" t="inlineStr">
        <is>
          <t>R</t>
        </is>
      </c>
      <c r="P1293">
        <f>TRIM(N1293)</f>
        <v/>
      </c>
    </row>
    <row r="1294">
      <c r="A1294" t="inlineStr">
        <is>
          <t>CO-001759</t>
        </is>
      </c>
      <c r="B1294" t="inlineStr">
        <is>
          <t>MERCADO CENTRAL MINA DE ORO</t>
        </is>
      </c>
      <c r="D1294" t="inlineStr">
        <is>
          <t>MERCADO MINA DE ORO</t>
        </is>
      </c>
      <c r="E1294" t="inlineStr">
        <is>
          <t>Lima, 11 de Enero de 2024</t>
        </is>
      </c>
      <c r="F1294" t="inlineStr">
        <is>
          <t>la Recarga y mantenimiento</t>
        </is>
      </c>
      <c r="G1294" t="inlineStr">
        <is>
          <t>03</t>
        </is>
      </c>
      <c r="H1294" t="inlineStr">
        <is>
          <t>06 KG</t>
        </is>
      </c>
      <c r="I1294" t="inlineStr">
        <is>
          <t>2029</t>
        </is>
      </c>
      <c r="J1294" t="n">
        <v>2018</v>
      </c>
      <c r="K1294" t="inlineStr">
        <is>
          <t>ENERO 2024</t>
        </is>
      </c>
      <c r="L1294" t="inlineStr">
        <is>
          <t>ENERO 2025</t>
        </is>
      </c>
      <c r="M1294" t="inlineStr">
        <is>
          <t xml:space="preserve">P.Q.S.  TIPO ABC </t>
        </is>
      </c>
      <c r="N1294" t="inlineStr">
        <is>
          <t>03 / 006454</t>
        </is>
      </c>
      <c r="O1294" t="inlineStr">
        <is>
          <t>R</t>
        </is>
      </c>
      <c r="P1294">
        <f>TRIM(N1294)</f>
        <v/>
      </c>
    </row>
    <row r="1295">
      <c r="A1295" t="inlineStr">
        <is>
          <t>CO-001759</t>
        </is>
      </c>
      <c r="B1295" t="inlineStr">
        <is>
          <t>MERCADO CENTRAL MINA DE ORO</t>
        </is>
      </c>
      <c r="D1295" t="inlineStr">
        <is>
          <t>MERCADO MINA DE ORO</t>
        </is>
      </c>
      <c r="E1295" t="inlineStr">
        <is>
          <t>Lima, 11 de Enero de 2024</t>
        </is>
      </c>
      <c r="F1295" t="inlineStr">
        <is>
          <t>la Recarga y mantenimiento</t>
        </is>
      </c>
      <c r="G1295" t="inlineStr">
        <is>
          <t>04</t>
        </is>
      </c>
      <c r="H1295" t="inlineStr">
        <is>
          <t>06 KG</t>
        </is>
      </c>
      <c r="I1295" t="inlineStr">
        <is>
          <t>2029</t>
        </is>
      </c>
      <c r="J1295" t="n">
        <v>2018</v>
      </c>
      <c r="K1295" t="inlineStr">
        <is>
          <t>ENERO 2024</t>
        </is>
      </c>
      <c r="L1295" t="inlineStr">
        <is>
          <t>ENERO 2025</t>
        </is>
      </c>
      <c r="M1295" t="inlineStr">
        <is>
          <t xml:space="preserve">P.Q.S.  TIPO ABC </t>
        </is>
      </c>
      <c r="N1295" t="inlineStr">
        <is>
          <t>04 / 005948</t>
        </is>
      </c>
      <c r="O1295" t="inlineStr">
        <is>
          <t>R</t>
        </is>
      </c>
      <c r="P1295">
        <f>TRIM(N1295)</f>
        <v/>
      </c>
    </row>
    <row r="1296">
      <c r="A1296" t="inlineStr">
        <is>
          <t>CO-001760</t>
        </is>
      </c>
      <c r="B1296" t="inlineStr">
        <is>
          <t>BETTY COLLANTES</t>
        </is>
      </c>
      <c r="D1296" t="inlineStr">
        <is>
          <t>MERCADO MINA DE ORO</t>
        </is>
      </c>
      <c r="E1296" t="inlineStr">
        <is>
          <t>Lima, 11 de Enero de 2024</t>
        </is>
      </c>
      <c r="F1296" t="inlineStr">
        <is>
          <t>la Recarga y mantenimiento</t>
        </is>
      </c>
      <c r="G1296" t="inlineStr">
        <is>
          <t>01</t>
        </is>
      </c>
      <c r="H1296" t="inlineStr">
        <is>
          <t>04 KG</t>
        </is>
      </c>
      <c r="I1296" t="inlineStr">
        <is>
          <t>2025</t>
        </is>
      </c>
      <c r="J1296" t="n">
        <v>2020</v>
      </c>
      <c r="K1296" t="inlineStr">
        <is>
          <t>ENERO 2024</t>
        </is>
      </c>
      <c r="L1296" t="inlineStr">
        <is>
          <t>ENERO 2025</t>
        </is>
      </c>
      <c r="M1296" t="inlineStr">
        <is>
          <t xml:space="preserve">P.Q.S.  TIPO ABC </t>
        </is>
      </c>
      <c r="N1296" t="inlineStr">
        <is>
          <t>000748</t>
        </is>
      </c>
      <c r="O1296" t="inlineStr">
        <is>
          <t>R</t>
        </is>
      </c>
      <c r="P1296">
        <f>TRIM(N1296)</f>
        <v/>
      </c>
    </row>
    <row r="1297">
      <c r="A1297" t="inlineStr">
        <is>
          <t>CO-001761</t>
        </is>
      </c>
      <c r="B1297" t="inlineStr">
        <is>
          <t>BETTY COLLANTES</t>
        </is>
      </c>
      <c r="D1297" t="inlineStr">
        <is>
          <t>MERCADO MINA DE ORO</t>
        </is>
      </c>
      <c r="E1297" t="inlineStr">
        <is>
          <t>Lima, 11 de Enero de 2024</t>
        </is>
      </c>
      <c r="F1297" t="inlineStr">
        <is>
          <t>la Recarga y mantenimiento</t>
        </is>
      </c>
      <c r="G1297" t="inlineStr">
        <is>
          <t>01</t>
        </is>
      </c>
      <c r="H1297" t="inlineStr">
        <is>
          <t>04 KG</t>
        </is>
      </c>
      <c r="I1297" t="inlineStr">
        <is>
          <t>2025</t>
        </is>
      </c>
      <c r="J1297" t="n">
        <v>2020</v>
      </c>
      <c r="K1297" t="inlineStr">
        <is>
          <t>ENERO 2024</t>
        </is>
      </c>
      <c r="L1297" t="inlineStr">
        <is>
          <t>ENERO 2025</t>
        </is>
      </c>
      <c r="M1297" t="inlineStr">
        <is>
          <t xml:space="preserve">P.Q.S.  TIPO ABC </t>
        </is>
      </c>
      <c r="N1297" t="inlineStr">
        <is>
          <t>001284</t>
        </is>
      </c>
      <c r="O1297" t="inlineStr">
        <is>
          <t>R</t>
        </is>
      </c>
      <c r="P1297">
        <f>TRIM(N1297)</f>
        <v/>
      </c>
    </row>
    <row r="1298">
      <c r="A1298" t="inlineStr">
        <is>
          <t>CO-001762</t>
        </is>
      </c>
      <c r="B1298" t="inlineStr">
        <is>
          <t>RUFINA ROMERO</t>
        </is>
      </c>
      <c r="D1298" t="inlineStr">
        <is>
          <t>MERCADO MINA DE ORO</t>
        </is>
      </c>
      <c r="E1298" t="inlineStr">
        <is>
          <t>Lima, 11 de Enero de 2024</t>
        </is>
      </c>
      <c r="F1298" t="inlineStr">
        <is>
          <t>la Recarga y mantenimiento</t>
        </is>
      </c>
      <c r="G1298" t="inlineStr">
        <is>
          <t>01</t>
        </is>
      </c>
      <c r="H1298" t="inlineStr">
        <is>
          <t>04 KG</t>
        </is>
      </c>
      <c r="I1298" t="inlineStr">
        <is>
          <t>2029</t>
        </is>
      </c>
      <c r="J1298" t="n">
        <v>2015</v>
      </c>
      <c r="K1298" t="inlineStr">
        <is>
          <t>ENERO 2024</t>
        </is>
      </c>
      <c r="L1298" t="inlineStr">
        <is>
          <t>ENERO 2025</t>
        </is>
      </c>
      <c r="M1298" t="inlineStr">
        <is>
          <t xml:space="preserve">P.Q.S.  TIPO ABC </t>
        </is>
      </c>
      <c r="N1298" t="inlineStr">
        <is>
          <t>110681</t>
        </is>
      </c>
      <c r="O1298" t="inlineStr">
        <is>
          <t>R</t>
        </is>
      </c>
      <c r="P1298">
        <f>TRIM(N1298)</f>
        <v/>
      </c>
    </row>
    <row r="1299">
      <c r="A1299" t="inlineStr">
        <is>
          <t>CO-001763</t>
        </is>
      </c>
      <c r="B1299" t="inlineStr">
        <is>
          <t>SARA GARAY</t>
        </is>
      </c>
      <c r="D1299" t="inlineStr">
        <is>
          <t>MERCADO MINA DE ORO</t>
        </is>
      </c>
      <c r="E1299" t="inlineStr">
        <is>
          <t>Lima, 11 de Enero de 2024</t>
        </is>
      </c>
      <c r="F1299" t="inlineStr">
        <is>
          <t>la Recarga y mantenimiento</t>
        </is>
      </c>
      <c r="G1299" t="inlineStr">
        <is>
          <t>01</t>
        </is>
      </c>
      <c r="H1299" t="inlineStr">
        <is>
          <t>04 KG</t>
        </is>
      </c>
      <c r="I1299" t="inlineStr">
        <is>
          <t>2026</t>
        </is>
      </c>
      <c r="J1299" t="n">
        <v>2012</v>
      </c>
      <c r="K1299" t="inlineStr">
        <is>
          <t>ENERO 2024</t>
        </is>
      </c>
      <c r="L1299" t="inlineStr">
        <is>
          <t>ENERO 2025</t>
        </is>
      </c>
      <c r="M1299" t="inlineStr">
        <is>
          <t xml:space="preserve">P.Q.S.  TIPO ABC </t>
        </is>
      </c>
      <c r="N1299" t="inlineStr">
        <is>
          <t>000335</t>
        </is>
      </c>
      <c r="O1299" t="inlineStr">
        <is>
          <t>R</t>
        </is>
      </c>
      <c r="P1299">
        <f>TRIM(N1299)</f>
        <v/>
      </c>
    </row>
    <row r="1300">
      <c r="A1300" t="inlineStr">
        <is>
          <t>CO-001764</t>
        </is>
      </c>
      <c r="B1300" t="inlineStr">
        <is>
          <t>LUISA PONCE</t>
        </is>
      </c>
      <c r="D1300" t="inlineStr">
        <is>
          <t>MERCADO MINA DE ORO</t>
        </is>
      </c>
      <c r="E1300" t="inlineStr">
        <is>
          <t>Lima, 11 de Enero de 2024</t>
        </is>
      </c>
      <c r="F1300" t="inlineStr">
        <is>
          <t>la venta</t>
        </is>
      </c>
      <c r="G1300" t="inlineStr">
        <is>
          <t>01</t>
        </is>
      </c>
      <c r="H1300" t="inlineStr">
        <is>
          <t>04 KG</t>
        </is>
      </c>
      <c r="I1300" t="inlineStr">
        <is>
          <t>2028</t>
        </is>
      </c>
      <c r="J1300" t="n">
        <v>2023</v>
      </c>
      <c r="K1300" t="inlineStr">
        <is>
          <t>ENERO 2024</t>
        </is>
      </c>
      <c r="L1300" t="inlineStr">
        <is>
          <t>ENERO 2025</t>
        </is>
      </c>
      <c r="M1300" t="inlineStr">
        <is>
          <t xml:space="preserve">P.Q.S.  TIPO ABC </t>
        </is>
      </c>
      <c r="N1300" t="inlineStr">
        <is>
          <t>000786</t>
        </is>
      </c>
      <c r="O1300" t="inlineStr">
        <is>
          <t>V</t>
        </is>
      </c>
      <c r="P1300">
        <f>TRIM(N1300)</f>
        <v/>
      </c>
    </row>
    <row r="1301">
      <c r="A1301" t="inlineStr">
        <is>
          <t>CO-001765</t>
        </is>
      </c>
      <c r="B1301" t="inlineStr">
        <is>
          <t>MARIA LEGARIA</t>
        </is>
      </c>
      <c r="D1301" t="inlineStr">
        <is>
          <t>MERCADO MINA DE ORO</t>
        </is>
      </c>
      <c r="E1301" t="inlineStr">
        <is>
          <t>Lima, 11 de Enero de 2024</t>
        </is>
      </c>
      <c r="F1301" t="inlineStr">
        <is>
          <t>la venta</t>
        </is>
      </c>
      <c r="G1301" t="inlineStr">
        <is>
          <t>01</t>
        </is>
      </c>
      <c r="H1301" t="inlineStr">
        <is>
          <t>04 KG</t>
        </is>
      </c>
      <c r="I1301" t="inlineStr">
        <is>
          <t>2028</t>
        </is>
      </c>
      <c r="J1301" t="n">
        <v>2023</v>
      </c>
      <c r="K1301" t="inlineStr">
        <is>
          <t>ENERO 2024</t>
        </is>
      </c>
      <c r="L1301" t="inlineStr">
        <is>
          <t>ENERO 2025</t>
        </is>
      </c>
      <c r="M1301" t="inlineStr">
        <is>
          <t xml:space="preserve">P.Q.S.  TIPO ABC </t>
        </is>
      </c>
      <c r="N1301" t="inlineStr">
        <is>
          <t>000999</t>
        </is>
      </c>
      <c r="O1301" t="inlineStr">
        <is>
          <t>V</t>
        </is>
      </c>
      <c r="P1301">
        <f>TRIM(N1301)</f>
        <v/>
      </c>
    </row>
    <row r="1302">
      <c r="A1302" t="inlineStr">
        <is>
          <t>CO-001766</t>
        </is>
      </c>
      <c r="B1302" t="inlineStr">
        <is>
          <t>CLARIBEL BAZAN</t>
        </is>
      </c>
      <c r="D1302" t="inlineStr">
        <is>
          <t>MERCADO MINA DE ORO</t>
        </is>
      </c>
      <c r="E1302" t="inlineStr">
        <is>
          <t>Lima, 11 de Enero de 2024</t>
        </is>
      </c>
      <c r="F1302" t="inlineStr">
        <is>
          <t>la venta</t>
        </is>
      </c>
      <c r="G1302" t="inlineStr">
        <is>
          <t>01</t>
        </is>
      </c>
      <c r="H1302" t="inlineStr">
        <is>
          <t>04 KG</t>
        </is>
      </c>
      <c r="I1302" t="inlineStr">
        <is>
          <t>2028</t>
        </is>
      </c>
      <c r="J1302" t="n">
        <v>2023</v>
      </c>
      <c r="K1302" t="inlineStr">
        <is>
          <t>ENERO 2024</t>
        </is>
      </c>
      <c r="L1302" t="inlineStr">
        <is>
          <t>ENERO 2025</t>
        </is>
      </c>
      <c r="M1302" t="inlineStr">
        <is>
          <t xml:space="preserve">P.Q.S.  TIPO ABC </t>
        </is>
      </c>
      <c r="N1302" t="inlineStr">
        <is>
          <t>000993</t>
        </is>
      </c>
      <c r="O1302" t="inlineStr">
        <is>
          <t>V</t>
        </is>
      </c>
      <c r="P1302">
        <f>TRIM(N1302)</f>
        <v/>
      </c>
    </row>
    <row r="1303">
      <c r="A1303" t="inlineStr">
        <is>
          <t>CO-001767</t>
        </is>
      </c>
      <c r="B1303" t="inlineStr">
        <is>
          <t>ELI SANCHEZ</t>
        </is>
      </c>
      <c r="D1303" t="inlineStr">
        <is>
          <t>MERCADO MINA DE ORO</t>
        </is>
      </c>
      <c r="E1303" t="inlineStr">
        <is>
          <t>Lima, 11 de Enero de 2024</t>
        </is>
      </c>
      <c r="F1303" t="inlineStr">
        <is>
          <t>la venta</t>
        </is>
      </c>
      <c r="G1303" t="inlineStr">
        <is>
          <t>01</t>
        </is>
      </c>
      <c r="H1303" t="inlineStr">
        <is>
          <t>04 KG</t>
        </is>
      </c>
      <c r="I1303" t="inlineStr">
        <is>
          <t>2028</t>
        </is>
      </c>
      <c r="J1303" t="n">
        <v>2023</v>
      </c>
      <c r="K1303" t="inlineStr">
        <is>
          <t>ENERO 2024</t>
        </is>
      </c>
      <c r="L1303" t="inlineStr">
        <is>
          <t>ENERO 2025</t>
        </is>
      </c>
      <c r="M1303" t="inlineStr">
        <is>
          <t xml:space="preserve">P.Q.S.  TIPO ABC </t>
        </is>
      </c>
      <c r="N1303" t="inlineStr">
        <is>
          <t>000634</t>
        </is>
      </c>
      <c r="O1303" t="inlineStr">
        <is>
          <t>V</t>
        </is>
      </c>
      <c r="P1303">
        <f>TRIM(N1303)</f>
        <v/>
      </c>
    </row>
    <row r="1304">
      <c r="A1304" t="inlineStr">
        <is>
          <t>CO-001768</t>
        </is>
      </c>
      <c r="B1304" t="inlineStr">
        <is>
          <t>LAURA SALAZAR</t>
        </is>
      </c>
      <c r="D1304" t="inlineStr">
        <is>
          <t>MERCADO MINA DE ORO</t>
        </is>
      </c>
      <c r="E1304" t="inlineStr">
        <is>
          <t>Lima, 11 de Enero de 2024</t>
        </is>
      </c>
      <c r="F1304" t="inlineStr">
        <is>
          <t>la venta</t>
        </is>
      </c>
      <c r="G1304" t="inlineStr">
        <is>
          <t>01</t>
        </is>
      </c>
      <c r="H1304" t="inlineStr">
        <is>
          <t>04 KG</t>
        </is>
      </c>
      <c r="I1304" t="inlineStr">
        <is>
          <t>2028</t>
        </is>
      </c>
      <c r="J1304" t="n">
        <v>2023</v>
      </c>
      <c r="K1304" t="inlineStr">
        <is>
          <t>ENERO 2024</t>
        </is>
      </c>
      <c r="L1304" t="inlineStr">
        <is>
          <t>ENERO 2025</t>
        </is>
      </c>
      <c r="M1304" t="inlineStr">
        <is>
          <t xml:space="preserve">P.Q.S.  TIPO ABC </t>
        </is>
      </c>
      <c r="N1304" t="inlineStr">
        <is>
          <t>779627</t>
        </is>
      </c>
      <c r="O1304" t="inlineStr">
        <is>
          <t>V</t>
        </is>
      </c>
      <c r="P1304">
        <f>TRIM(N1304)</f>
        <v/>
      </c>
    </row>
    <row r="1305">
      <c r="A1305" t="inlineStr">
        <is>
          <t>CO-001769</t>
        </is>
      </c>
      <c r="B1305" t="inlineStr">
        <is>
          <t>TEODOLINDA DOLORES SALAZAR GONZALES</t>
        </is>
      </c>
      <c r="C1305" t="inlineStr">
        <is>
          <t>44811753</t>
        </is>
      </c>
      <c r="D1305" t="inlineStr">
        <is>
          <t>MERCADO MINA DE ORO</t>
        </is>
      </c>
      <c r="E1305" t="inlineStr">
        <is>
          <t>Lima, 11 de Enero de 2024</t>
        </is>
      </c>
      <c r="F1305" t="inlineStr">
        <is>
          <t>la venta</t>
        </is>
      </c>
      <c r="G1305" t="inlineStr">
        <is>
          <t>01</t>
        </is>
      </c>
      <c r="H1305" t="inlineStr">
        <is>
          <t>04 KG</t>
        </is>
      </c>
      <c r="I1305" t="inlineStr">
        <is>
          <t>2028</t>
        </is>
      </c>
      <c r="J1305" t="n">
        <v>2023</v>
      </c>
      <c r="K1305" t="inlineStr">
        <is>
          <t>ENERO 2024</t>
        </is>
      </c>
      <c r="L1305" t="inlineStr">
        <is>
          <t>ENERO 2025</t>
        </is>
      </c>
      <c r="M1305" t="inlineStr">
        <is>
          <t xml:space="preserve">P.Q.S.  TIPO ABC </t>
        </is>
      </c>
      <c r="N1305" t="inlineStr">
        <is>
          <t>779649</t>
        </is>
      </c>
      <c r="O1305" t="inlineStr">
        <is>
          <t>V</t>
        </is>
      </c>
      <c r="P1305">
        <f>TRIM(N1305)</f>
        <v/>
      </c>
    </row>
    <row r="1306">
      <c r="A1306" t="inlineStr">
        <is>
          <t>CO-001770</t>
        </is>
      </c>
      <c r="B1306" t="inlineStr">
        <is>
          <t>CAMILA CHALCO COTOHUANCA</t>
        </is>
      </c>
      <c r="C1306" t="inlineStr">
        <is>
          <t>06844763</t>
        </is>
      </c>
      <c r="D1306" t="inlineStr">
        <is>
          <t>SECTOR VERDURAS - PUESTO 56</t>
        </is>
      </c>
      <c r="E1306" t="inlineStr">
        <is>
          <t>Lima, 11 de Enero de 2024</t>
        </is>
      </c>
      <c r="F1306" t="inlineStr">
        <is>
          <t>la venta</t>
        </is>
      </c>
      <c r="G1306" t="inlineStr">
        <is>
          <t>01</t>
        </is>
      </c>
      <c r="H1306" t="inlineStr">
        <is>
          <t>04 KG</t>
        </is>
      </c>
      <c r="I1306" t="inlineStr">
        <is>
          <t>2028</t>
        </is>
      </c>
      <c r="J1306" t="n">
        <v>2023</v>
      </c>
      <c r="K1306" t="inlineStr">
        <is>
          <t>ENERO 2024</t>
        </is>
      </c>
      <c r="L1306" t="inlineStr">
        <is>
          <t>ENERO 2025</t>
        </is>
      </c>
      <c r="M1306" t="inlineStr">
        <is>
          <t xml:space="preserve">P.Q.S.  TIPO ABC </t>
        </is>
      </c>
      <c r="N1306" t="inlineStr">
        <is>
          <t>000829</t>
        </is>
      </c>
      <c r="O1306" t="inlineStr">
        <is>
          <t>V</t>
        </is>
      </c>
      <c r="P1306">
        <f>TRIM(N1306)</f>
        <v/>
      </c>
    </row>
    <row r="1307">
      <c r="A1307" t="inlineStr">
        <is>
          <t>CO-001771</t>
        </is>
      </c>
      <c r="B1307" t="inlineStr">
        <is>
          <t>DANI DANIEL GUERRERO MONTALVO</t>
        </is>
      </c>
      <c r="C1307" t="inlineStr">
        <is>
          <t>43064756</t>
        </is>
      </c>
      <c r="D1307" t="inlineStr">
        <is>
          <t>PLACA: F3U - 794</t>
        </is>
      </c>
      <c r="E1307" t="inlineStr">
        <is>
          <t>Lima, 11 de Enero de 2024</t>
        </is>
      </c>
      <c r="F1307" t="inlineStr">
        <is>
          <t>la Recarga y mantenimiento</t>
        </is>
      </c>
      <c r="G1307" t="inlineStr">
        <is>
          <t>01</t>
        </is>
      </c>
      <c r="H1307" t="inlineStr">
        <is>
          <t>04 KG</t>
        </is>
      </c>
      <c r="I1307" t="inlineStr">
        <is>
          <t>VIGENTE</t>
        </is>
      </c>
      <c r="J1307" t="n">
        <v>2011</v>
      </c>
      <c r="K1307" t="inlineStr">
        <is>
          <t>ENERO 2024</t>
        </is>
      </c>
      <c r="L1307" t="inlineStr">
        <is>
          <t>ENERO 2025</t>
        </is>
      </c>
      <c r="M1307" t="inlineStr">
        <is>
          <t xml:space="preserve">P.Q.S.  TIPO ABC </t>
        </is>
      </c>
      <c r="N1307" t="inlineStr">
        <is>
          <t>002565</t>
        </is>
      </c>
      <c r="O1307" t="inlineStr">
        <is>
          <t>R</t>
        </is>
      </c>
      <c r="P1307">
        <f>TRIM(N1307)</f>
        <v/>
      </c>
    </row>
    <row r="1308">
      <c r="A1308" t="inlineStr">
        <is>
          <t>CO-001772</t>
        </is>
      </c>
      <c r="B1308" t="inlineStr">
        <is>
          <t>JACINTO TRUJILLO REBAZA MENDOZA</t>
        </is>
      </c>
      <c r="C1308" t="inlineStr">
        <is>
          <t>09543913</t>
        </is>
      </c>
      <c r="D1308" t="inlineStr">
        <is>
          <t>MERCADO MINA DE ORO</t>
        </is>
      </c>
      <c r="E1308" t="inlineStr">
        <is>
          <t>Lima, 17 de Enero de 2024</t>
        </is>
      </c>
      <c r="F1308" t="inlineStr">
        <is>
          <t>la venta</t>
        </is>
      </c>
      <c r="G1308" t="inlineStr">
        <is>
          <t>01</t>
        </is>
      </c>
      <c r="H1308" t="inlineStr">
        <is>
          <t>04 KG</t>
        </is>
      </c>
      <c r="I1308" t="inlineStr">
        <is>
          <t>2029</t>
        </is>
      </c>
      <c r="J1308" t="n">
        <v>2024</v>
      </c>
      <c r="K1308" t="inlineStr">
        <is>
          <t>ENERO 2024</t>
        </is>
      </c>
      <c r="L1308" t="inlineStr">
        <is>
          <t>ENERO 2025</t>
        </is>
      </c>
      <c r="M1308" t="inlineStr">
        <is>
          <t xml:space="preserve">P.Q.S.  TIPO ABC </t>
        </is>
      </c>
      <c r="N1308" t="inlineStr">
        <is>
          <t>000869</t>
        </is>
      </c>
      <c r="O1308" t="inlineStr">
        <is>
          <t>V</t>
        </is>
      </c>
      <c r="P1308">
        <f>TRIM(N1308)</f>
        <v/>
      </c>
    </row>
    <row r="1309">
      <c r="A1309" t="inlineStr">
        <is>
          <t>CO-001773</t>
        </is>
      </c>
      <c r="B1309" t="inlineStr">
        <is>
          <t>KAREN HUAMANI ROJAS</t>
        </is>
      </c>
      <c r="D1309" t="inlineStr">
        <is>
          <t>MERCADO MINA DE ORO</t>
        </is>
      </c>
      <c r="E1309" t="inlineStr">
        <is>
          <t>Lima, 17 de Enero de 2024</t>
        </is>
      </c>
      <c r="F1309" t="inlineStr">
        <is>
          <t>la Recarga y mantenimiento</t>
        </is>
      </c>
      <c r="G1309" t="inlineStr">
        <is>
          <t>01</t>
        </is>
      </c>
      <c r="H1309" t="inlineStr">
        <is>
          <t>06 KG</t>
        </is>
      </c>
      <c r="I1309" t="inlineStr">
        <is>
          <t>2025</t>
        </is>
      </c>
      <c r="J1309" t="n">
        <v>2020</v>
      </c>
      <c r="K1309" t="inlineStr">
        <is>
          <t>ENERO 2024</t>
        </is>
      </c>
      <c r="L1309" t="inlineStr">
        <is>
          <t>ENERO 2025</t>
        </is>
      </c>
      <c r="M1309" t="inlineStr">
        <is>
          <t xml:space="preserve">P.Q.S.  TIPO ABC </t>
        </is>
      </c>
      <c r="N1309" t="inlineStr">
        <is>
          <t>001079</t>
        </is>
      </c>
      <c r="O1309" t="inlineStr">
        <is>
          <t>R</t>
        </is>
      </c>
      <c r="P1309">
        <f>TRIM(N1309)</f>
        <v/>
      </c>
    </row>
    <row r="1310">
      <c r="A1310" t="inlineStr">
        <is>
          <t>CO-001774</t>
        </is>
      </c>
      <c r="B1310" t="inlineStr">
        <is>
          <t>ZENAIDA MENDOZA TARAZONA</t>
        </is>
      </c>
      <c r="C1310" t="inlineStr">
        <is>
          <t>06902862</t>
        </is>
      </c>
      <c r="D1310" t="inlineStr">
        <is>
          <t>SECTOR ABARROTES - PUESTO 08</t>
        </is>
      </c>
      <c r="E1310" t="inlineStr">
        <is>
          <t>Lima, 17 de Enero de 2024</t>
        </is>
      </c>
      <c r="F1310" t="inlineStr">
        <is>
          <t>la venta</t>
        </is>
      </c>
      <c r="G1310" t="inlineStr">
        <is>
          <t>01</t>
        </is>
      </c>
      <c r="H1310" t="inlineStr">
        <is>
          <t>04 KG</t>
        </is>
      </c>
      <c r="I1310" t="inlineStr">
        <is>
          <t>2029</t>
        </is>
      </c>
      <c r="J1310" t="n">
        <v>2024</v>
      </c>
      <c r="K1310" t="inlineStr">
        <is>
          <t>ENERO 2024</t>
        </is>
      </c>
      <c r="L1310" t="inlineStr">
        <is>
          <t>ENERO 2025</t>
        </is>
      </c>
      <c r="M1310" t="inlineStr">
        <is>
          <t xml:space="preserve">P.Q.S.  TIPO ABC </t>
        </is>
      </c>
      <c r="N1310" t="inlineStr">
        <is>
          <t>001000</t>
        </is>
      </c>
      <c r="O1310" t="inlineStr">
        <is>
          <t>V</t>
        </is>
      </c>
      <c r="P1310">
        <f>TRIM(N1310)</f>
        <v/>
      </c>
    </row>
    <row r="1311">
      <c r="A1311" t="inlineStr">
        <is>
          <t>CO-001775</t>
        </is>
      </c>
      <c r="B1311" t="inlineStr">
        <is>
          <t>VICTOR JUSTO SALAZAR PALACIOS</t>
        </is>
      </c>
      <c r="C1311" t="inlineStr">
        <is>
          <t>06881495</t>
        </is>
      </c>
      <c r="D1311" t="inlineStr">
        <is>
          <t>SECTOR PASAMANERIA - PUESTO 05</t>
        </is>
      </c>
      <c r="E1311" t="inlineStr">
        <is>
          <t>Lima, 17 de Enero de 2024</t>
        </is>
      </c>
      <c r="F1311" t="inlineStr">
        <is>
          <t>la venta</t>
        </is>
      </c>
      <c r="G1311" t="inlineStr">
        <is>
          <t>01</t>
        </is>
      </c>
      <c r="H1311" t="inlineStr">
        <is>
          <t>04 KG</t>
        </is>
      </c>
      <c r="I1311" t="inlineStr">
        <is>
          <t>2029</t>
        </is>
      </c>
      <c r="J1311" t="n">
        <v>2024</v>
      </c>
      <c r="K1311" t="inlineStr">
        <is>
          <t>ENERO 2024</t>
        </is>
      </c>
      <c r="L1311" t="inlineStr">
        <is>
          <t>ENERO 2025</t>
        </is>
      </c>
      <c r="M1311" t="inlineStr">
        <is>
          <t xml:space="preserve">P.Q.S.  TIPO ABC </t>
        </is>
      </c>
      <c r="N1311" t="inlineStr">
        <is>
          <t>000342</t>
        </is>
      </c>
      <c r="O1311" t="inlineStr">
        <is>
          <t>V</t>
        </is>
      </c>
      <c r="P1311">
        <f>TRIM(N1311)</f>
        <v/>
      </c>
    </row>
    <row r="1312">
      <c r="A1312" t="inlineStr">
        <is>
          <t>CO-001776</t>
        </is>
      </c>
      <c r="B1312" t="inlineStr">
        <is>
          <t>MANUEL ACEVEDO RODRIGUEZ</t>
        </is>
      </c>
      <c r="C1312" t="inlineStr">
        <is>
          <t>09544670</t>
        </is>
      </c>
      <c r="D1312" t="inlineStr">
        <is>
          <t>JR. LOS JAZMINES N° 275 URB SANTA ISABEL</t>
        </is>
      </c>
      <c r="E1312" t="inlineStr">
        <is>
          <t>Lima, 16 de Enero de 2024</t>
        </is>
      </c>
      <c r="F1312" t="inlineStr">
        <is>
          <t>la Recarga y mantenimiento</t>
        </is>
      </c>
      <c r="G1312" t="inlineStr">
        <is>
          <t>01</t>
        </is>
      </c>
      <c r="H1312" t="inlineStr">
        <is>
          <t>06 KG</t>
        </is>
      </c>
      <c r="I1312" t="inlineStr">
        <is>
          <t>VIGENTE</t>
        </is>
      </c>
      <c r="J1312" t="n">
        <v>2015</v>
      </c>
      <c r="K1312" t="inlineStr">
        <is>
          <t>ENERO 2024</t>
        </is>
      </c>
      <c r="L1312" t="inlineStr">
        <is>
          <t>ENERO 2025</t>
        </is>
      </c>
      <c r="M1312" t="inlineStr">
        <is>
          <t xml:space="preserve">P.Q.S.  TIPO ABC </t>
        </is>
      </c>
      <c r="N1312" t="inlineStr">
        <is>
          <t>026565</t>
        </is>
      </c>
      <c r="O1312" t="inlineStr">
        <is>
          <t>R</t>
        </is>
      </c>
      <c r="P1312">
        <f>TRIM(N1312)</f>
        <v/>
      </c>
    </row>
    <row r="1313">
      <c r="A1313" t="inlineStr">
        <is>
          <t>CO-001777</t>
        </is>
      </c>
      <c r="B1313" t="inlineStr">
        <is>
          <t>POLLERIA EL GORDO DE: GIAN FRANCO CJURO HUACHO</t>
        </is>
      </c>
      <c r="C1313" t="inlineStr">
        <is>
          <t>47104409</t>
        </is>
      </c>
      <c r="D1313" t="inlineStr">
        <is>
          <t>AV. TUPAC AMARU  N° 12402 MZ. 72 LT. 01 TORRE BLANCA</t>
        </is>
      </c>
      <c r="E1313" t="inlineStr">
        <is>
          <t>Lima, 16 de Enero de 2024</t>
        </is>
      </c>
      <c r="F1313" t="inlineStr">
        <is>
          <t>la Recarga y mantenimiento</t>
        </is>
      </c>
      <c r="G1313" t="inlineStr">
        <is>
          <t>01</t>
        </is>
      </c>
      <c r="H1313" t="inlineStr">
        <is>
          <t>06 KG</t>
        </is>
      </c>
      <c r="I1313" t="inlineStr">
        <is>
          <t>2029</t>
        </is>
      </c>
      <c r="J1313" t="n">
        <v>2016</v>
      </c>
      <c r="K1313" t="inlineStr">
        <is>
          <t>ENERO 2024</t>
        </is>
      </c>
      <c r="L1313" t="inlineStr">
        <is>
          <t>ENERO 2025</t>
        </is>
      </c>
      <c r="M1313" t="inlineStr">
        <is>
          <t xml:space="preserve">P.Q.S.  TIPO ABC </t>
        </is>
      </c>
      <c r="N1313" t="inlineStr">
        <is>
          <t>001042</t>
        </is>
      </c>
      <c r="O1313" t="inlineStr">
        <is>
          <t>R</t>
        </is>
      </c>
      <c r="P1313">
        <f>TRIM(N1313)</f>
        <v/>
      </c>
    </row>
    <row r="1314">
      <c r="A1314" t="inlineStr">
        <is>
          <t>CO-001778</t>
        </is>
      </c>
      <c r="B1314" t="inlineStr">
        <is>
          <t>POLLERIA EL GORDO DE: GIAN FRANCO CJURO HUACHO</t>
        </is>
      </c>
      <c r="C1314" t="inlineStr">
        <is>
          <t>47104409</t>
        </is>
      </c>
      <c r="D1314" t="inlineStr">
        <is>
          <t>AV. TUPAC AMARU  N° 12402 MZ. 72 LT. 01 TORRE BLANCA</t>
        </is>
      </c>
      <c r="E1314" t="inlineStr">
        <is>
          <t>Lima, 16 de Enero de 2024</t>
        </is>
      </c>
      <c r="F1314" t="inlineStr">
        <is>
          <t>la Recarga y mantenimiento</t>
        </is>
      </c>
      <c r="G1314" t="inlineStr">
        <is>
          <t>01</t>
        </is>
      </c>
      <c r="H1314" t="inlineStr">
        <is>
          <t>1.5 GLS</t>
        </is>
      </c>
      <c r="I1314" t="inlineStr">
        <is>
          <t>2027</t>
        </is>
      </c>
      <c r="J1314" t="n">
        <v>2022</v>
      </c>
      <c r="K1314" t="inlineStr">
        <is>
          <t>ENERO 2024</t>
        </is>
      </c>
      <c r="L1314" t="inlineStr">
        <is>
          <t>ENERO 2025</t>
        </is>
      </c>
      <c r="M1314" t="inlineStr">
        <is>
          <t>ACETATO DE POTASIO TIPO K</t>
        </is>
      </c>
      <c r="N1314" t="inlineStr">
        <is>
          <t>000195</t>
        </is>
      </c>
      <c r="O1314" t="inlineStr">
        <is>
          <t>R</t>
        </is>
      </c>
      <c r="P1314">
        <f>TRIM(N1314)</f>
        <v/>
      </c>
    </row>
    <row r="1315">
      <c r="A1315" t="inlineStr">
        <is>
          <t>CO-001779</t>
        </is>
      </c>
      <c r="B1315" t="inlineStr">
        <is>
          <t>JIMMY RAUL VILLACORTA BELTRAN</t>
        </is>
      </c>
      <c r="C1315" t="inlineStr">
        <is>
          <t>40266817</t>
        </is>
      </c>
      <c r="D1315" t="inlineStr">
        <is>
          <t>PLACA: BJW - 319</t>
        </is>
      </c>
      <c r="E1315" t="inlineStr">
        <is>
          <t>Lima, 16 de Enero de 2024</t>
        </is>
      </c>
      <c r="F1315" t="inlineStr">
        <is>
          <t>la Recarga y mantenimiento</t>
        </is>
      </c>
      <c r="G1315" t="inlineStr">
        <is>
          <t>01</t>
        </is>
      </c>
      <c r="H1315" t="inlineStr">
        <is>
          <t>02 KG</t>
        </is>
      </c>
      <c r="I1315" t="inlineStr">
        <is>
          <t>VIGENTE</t>
        </is>
      </c>
      <c r="J1315" t="n">
        <v>2019</v>
      </c>
      <c r="K1315" t="inlineStr">
        <is>
          <t>ENERO 2024</t>
        </is>
      </c>
      <c r="L1315" t="inlineStr">
        <is>
          <t>ENERO 2025</t>
        </is>
      </c>
      <c r="M1315" t="inlineStr">
        <is>
          <t xml:space="preserve">P.Q.S.  TIPO ABC </t>
        </is>
      </c>
      <c r="N1315" t="inlineStr">
        <is>
          <t>000254</t>
        </is>
      </c>
      <c r="O1315" t="inlineStr">
        <is>
          <t>R</t>
        </is>
      </c>
      <c r="P1315">
        <f>TRIM(N1315)</f>
        <v/>
      </c>
    </row>
    <row r="1316">
      <c r="A1316" t="inlineStr">
        <is>
          <t>CO-001780</t>
        </is>
      </c>
      <c r="B1316" t="inlineStr">
        <is>
          <t>CARMEN CHOCACA VENTURA</t>
        </is>
      </c>
      <c r="C1316" t="inlineStr">
        <is>
          <t>08563909</t>
        </is>
      </c>
      <c r="D1316" t="inlineStr">
        <is>
          <t>SECTOR PESCADO - PUESTO 53</t>
        </is>
      </c>
      <c r="E1316" t="inlineStr">
        <is>
          <t>Lima, 17 de Enero de 2024</t>
        </is>
      </c>
      <c r="F1316" t="inlineStr">
        <is>
          <t>la venta</t>
        </is>
      </c>
      <c r="G1316" t="inlineStr">
        <is>
          <t>01</t>
        </is>
      </c>
      <c r="H1316" t="inlineStr">
        <is>
          <t>04 KG</t>
        </is>
      </c>
      <c r="I1316" t="inlineStr">
        <is>
          <t>2029</t>
        </is>
      </c>
      <c r="J1316" t="n">
        <v>2024</v>
      </c>
      <c r="K1316" t="inlineStr">
        <is>
          <t>ENERO 2024</t>
        </is>
      </c>
      <c r="L1316" t="inlineStr">
        <is>
          <t>ENERO 2025</t>
        </is>
      </c>
      <c r="M1316" t="inlineStr">
        <is>
          <t xml:space="preserve">P.Q.S.  TIPO ABC </t>
        </is>
      </c>
      <c r="N1316" t="inlineStr">
        <is>
          <t>000273</t>
        </is>
      </c>
      <c r="O1316" t="inlineStr">
        <is>
          <t>V</t>
        </is>
      </c>
      <c r="P1316">
        <f>TRIM(N1316)</f>
        <v/>
      </c>
    </row>
    <row r="1317">
      <c r="A1317" t="inlineStr">
        <is>
          <t>CO-001781</t>
        </is>
      </c>
      <c r="B1317" t="inlineStr">
        <is>
          <t>CARMEN CHOCACA VENTURA</t>
        </is>
      </c>
      <c r="C1317" t="inlineStr">
        <is>
          <t>08563909</t>
        </is>
      </c>
      <c r="D1317" t="inlineStr">
        <is>
          <t>SECTOR ABARROTES - PUESTO 09</t>
        </is>
      </c>
      <c r="E1317" t="inlineStr">
        <is>
          <t>Lima, 17 de Enero de 2024</t>
        </is>
      </c>
      <c r="F1317" t="inlineStr">
        <is>
          <t>la venta</t>
        </is>
      </c>
      <c r="G1317" t="inlineStr">
        <is>
          <t>01</t>
        </is>
      </c>
      <c r="H1317" t="inlineStr">
        <is>
          <t>04 KG</t>
        </is>
      </c>
      <c r="I1317" t="inlineStr">
        <is>
          <t>2029</t>
        </is>
      </c>
      <c r="J1317" t="n">
        <v>2024</v>
      </c>
      <c r="K1317" t="inlineStr">
        <is>
          <t>ENERO 2024</t>
        </is>
      </c>
      <c r="L1317" t="inlineStr">
        <is>
          <t>ENERO 2025</t>
        </is>
      </c>
      <c r="M1317" t="inlineStr">
        <is>
          <t xml:space="preserve">P.Q.S.  TIPO ABC </t>
        </is>
      </c>
      <c r="N1317" t="inlineStr">
        <is>
          <t>000978</t>
        </is>
      </c>
      <c r="O1317" t="inlineStr">
        <is>
          <t>V</t>
        </is>
      </c>
      <c r="P1317">
        <f>TRIM(N1317)</f>
        <v/>
      </c>
    </row>
    <row r="1318">
      <c r="A1318" t="inlineStr">
        <is>
          <t>CO-001782</t>
        </is>
      </c>
      <c r="B1318" t="inlineStr">
        <is>
          <t>PAULINO CHIPAYO CANO</t>
        </is>
      </c>
      <c r="C1318" t="inlineStr">
        <is>
          <t>06877595</t>
        </is>
      </c>
      <c r="D1318" t="inlineStr">
        <is>
          <t>SECTOR EMBUTIDOS - PUESTO 05</t>
        </is>
      </c>
      <c r="E1318" t="inlineStr">
        <is>
          <t>Lima, 17 de Enero de 2024</t>
        </is>
      </c>
      <c r="F1318" t="inlineStr">
        <is>
          <t>la venta</t>
        </is>
      </c>
      <c r="G1318" t="inlineStr">
        <is>
          <t>01</t>
        </is>
      </c>
      <c r="H1318" t="inlineStr">
        <is>
          <t>04 KG</t>
        </is>
      </c>
      <c r="I1318" t="inlineStr">
        <is>
          <t>2029</t>
        </is>
      </c>
      <c r="J1318" t="n">
        <v>2024</v>
      </c>
      <c r="K1318" t="inlineStr">
        <is>
          <t>ENERO 2024</t>
        </is>
      </c>
      <c r="L1318" t="inlineStr">
        <is>
          <t>ENERO 2025</t>
        </is>
      </c>
      <c r="M1318" t="inlineStr">
        <is>
          <t xml:space="preserve">P.Q.S.  TIPO ABC </t>
        </is>
      </c>
      <c r="N1318" t="inlineStr">
        <is>
          <t>000587</t>
        </is>
      </c>
      <c r="O1318" t="inlineStr">
        <is>
          <t>V</t>
        </is>
      </c>
      <c r="P1318">
        <f>TRIM(N1318)</f>
        <v/>
      </c>
    </row>
    <row r="1319">
      <c r="A1319" t="inlineStr">
        <is>
          <t>CO-001783</t>
        </is>
      </c>
      <c r="B1319" t="inlineStr">
        <is>
          <t>YESSICA ROJAS NINATANTA</t>
        </is>
      </c>
      <c r="C1319" t="inlineStr">
        <is>
          <t>10738414</t>
        </is>
      </c>
      <c r="D1319" t="inlineStr">
        <is>
          <t>SECTOR PELUQUERIA - PUESTO 17</t>
        </is>
      </c>
      <c r="E1319" t="inlineStr">
        <is>
          <t>Lima, 17 de Enero de 2024</t>
        </is>
      </c>
      <c r="F1319" t="inlineStr">
        <is>
          <t>la venta</t>
        </is>
      </c>
      <c r="G1319" t="inlineStr">
        <is>
          <t>01</t>
        </is>
      </c>
      <c r="H1319" t="inlineStr">
        <is>
          <t>04 KG</t>
        </is>
      </c>
      <c r="I1319" t="inlineStr">
        <is>
          <t>2029</t>
        </is>
      </c>
      <c r="J1319" t="n">
        <v>2024</v>
      </c>
      <c r="K1319" t="inlineStr">
        <is>
          <t>ENERO 2024</t>
        </is>
      </c>
      <c r="L1319" t="inlineStr">
        <is>
          <t>ENERO 2025</t>
        </is>
      </c>
      <c r="M1319" t="inlineStr">
        <is>
          <t xml:space="preserve">P.Q.S.  TIPO ABC </t>
        </is>
      </c>
      <c r="N1319" t="inlineStr">
        <is>
          <t>000853</t>
        </is>
      </c>
      <c r="O1319" t="inlineStr">
        <is>
          <t>V</t>
        </is>
      </c>
      <c r="P1319">
        <f>TRIM(N1319)</f>
        <v/>
      </c>
    </row>
    <row r="1320">
      <c r="A1320" t="inlineStr">
        <is>
          <t>CO-001784</t>
        </is>
      </c>
      <c r="B1320" t="inlineStr">
        <is>
          <t>AMERICA MONTALVO SOSA</t>
        </is>
      </c>
      <c r="C1320" t="inlineStr">
        <is>
          <t>06924717</t>
        </is>
      </c>
      <c r="D1320" t="inlineStr">
        <is>
          <t>SECTOR COMIDAS - PUESTO 03</t>
        </is>
      </c>
      <c r="E1320" t="inlineStr">
        <is>
          <t>Lima, 17 de Enero de 2024</t>
        </is>
      </c>
      <c r="F1320" t="inlineStr">
        <is>
          <t>la venta</t>
        </is>
      </c>
      <c r="G1320" t="inlineStr">
        <is>
          <t>01</t>
        </is>
      </c>
      <c r="H1320" t="inlineStr">
        <is>
          <t>1.5 GLS</t>
        </is>
      </c>
      <c r="I1320" t="inlineStr">
        <is>
          <t>2028</t>
        </is>
      </c>
      <c r="J1320" t="n">
        <v>2023</v>
      </c>
      <c r="K1320" t="inlineStr">
        <is>
          <t>ENERO 2024</t>
        </is>
      </c>
      <c r="L1320" t="inlineStr">
        <is>
          <t>ENERO 2025</t>
        </is>
      </c>
      <c r="M1320" t="inlineStr">
        <is>
          <t>ACETATO DE POTASIO TIPO K</t>
        </is>
      </c>
      <c r="N1320" t="inlineStr">
        <is>
          <t>000318</t>
        </is>
      </c>
      <c r="O1320" t="inlineStr">
        <is>
          <t>V</t>
        </is>
      </c>
      <c r="P1320">
        <f>TRIM(N1320)</f>
        <v/>
      </c>
    </row>
    <row r="1321">
      <c r="A1321" t="inlineStr">
        <is>
          <t>CO-001785</t>
        </is>
      </c>
      <c r="B1321" t="inlineStr">
        <is>
          <t>ALFREDO CUEVA GARCIA</t>
        </is>
      </c>
      <c r="C1321" t="inlineStr">
        <is>
          <t>06878322</t>
        </is>
      </c>
      <c r="D1321" t="inlineStr">
        <is>
          <t>JR. MARIA PRADO N° 732 - COLLIQUE COMAS</t>
        </is>
      </c>
      <c r="E1321" t="inlineStr">
        <is>
          <t>Lima, 19 de Enero de 2024</t>
        </is>
      </c>
      <c r="F1321" t="inlineStr">
        <is>
          <t>la Recarga y mantenimiento</t>
        </is>
      </c>
      <c r="G1321" t="inlineStr">
        <is>
          <t>01</t>
        </is>
      </c>
      <c r="H1321" t="inlineStr">
        <is>
          <t>06 KG</t>
        </is>
      </c>
      <c r="I1321" t="inlineStr">
        <is>
          <t>VIGENTE</t>
        </is>
      </c>
      <c r="J1321" t="n">
        <v>2019</v>
      </c>
      <c r="K1321" t="inlineStr">
        <is>
          <t>ENERO 2024</t>
        </is>
      </c>
      <c r="L1321" t="inlineStr">
        <is>
          <t>ENERO 2025</t>
        </is>
      </c>
      <c r="M1321" t="inlineStr">
        <is>
          <t xml:space="preserve">P.Q.S.  TIPO ABC </t>
        </is>
      </c>
      <c r="N1321" t="inlineStr">
        <is>
          <t>000861</t>
        </is>
      </c>
      <c r="O1321" t="inlineStr">
        <is>
          <t>R</t>
        </is>
      </c>
      <c r="P1321">
        <f>TRIM(N1321)</f>
        <v/>
      </c>
    </row>
    <row r="1322">
      <c r="A1322" t="inlineStr">
        <is>
          <t>CO-001786</t>
        </is>
      </c>
      <c r="B1322" t="inlineStr">
        <is>
          <t>PERU MASIVO S.A.</t>
        </is>
      </c>
      <c r="C1322" t="inlineStr">
        <is>
          <t>20492392031</t>
        </is>
      </c>
      <c r="D1322" t="inlineStr">
        <is>
          <t>AV. LOS INCAS CDRA. 4 PATIO NORTE - COMAS</t>
        </is>
      </c>
      <c r="E1322" t="inlineStr">
        <is>
          <t>Lima, 20 de Enero de 2024</t>
        </is>
      </c>
      <c r="F1322" t="inlineStr">
        <is>
          <t>la Recarga y mantenimiento</t>
        </is>
      </c>
      <c r="G1322" t="inlineStr">
        <is>
          <t>01</t>
        </is>
      </c>
      <c r="H1322" t="inlineStr">
        <is>
          <t>06 KG</t>
        </is>
      </c>
      <c r="I1322" t="inlineStr">
        <is>
          <t>2029</t>
        </is>
      </c>
      <c r="J1322" t="n">
        <v>2010</v>
      </c>
      <c r="K1322" t="inlineStr">
        <is>
          <t>ENERO 2024</t>
        </is>
      </c>
      <c r="L1322" t="inlineStr">
        <is>
          <t>ENERO 2025</t>
        </is>
      </c>
      <c r="M1322" t="inlineStr">
        <is>
          <t>P.Q.S TIPO ABC AL 90 % NACIONAL</t>
        </is>
      </c>
      <c r="N1322" t="inlineStr">
        <is>
          <t>126 / 001005</t>
        </is>
      </c>
      <c r="O1322" t="inlineStr">
        <is>
          <t>R</t>
        </is>
      </c>
      <c r="P1322">
        <f>TRIM(N1322)</f>
        <v/>
      </c>
    </row>
    <row r="1323">
      <c r="A1323" t="inlineStr">
        <is>
          <t>CO-001786</t>
        </is>
      </c>
      <c r="B1323" t="inlineStr">
        <is>
          <t>PERU MASIVO S.A.</t>
        </is>
      </c>
      <c r="C1323" t="inlineStr">
        <is>
          <t>20492392031</t>
        </is>
      </c>
      <c r="D1323" t="inlineStr">
        <is>
          <t>AV. LOS INCAS CDRA. 4 PATIO NORTE - COMAS</t>
        </is>
      </c>
      <c r="E1323" t="inlineStr">
        <is>
          <t>Lima, 20 de Enero de 2024</t>
        </is>
      </c>
      <c r="F1323" t="inlineStr">
        <is>
          <t>la Recarga y mantenimiento</t>
        </is>
      </c>
      <c r="G1323" t="inlineStr">
        <is>
          <t>02</t>
        </is>
      </c>
      <c r="H1323" t="inlineStr">
        <is>
          <t>06 KG</t>
        </is>
      </c>
      <c r="I1323" t="inlineStr">
        <is>
          <t>2029</t>
        </is>
      </c>
      <c r="J1323" t="n">
        <v>2016</v>
      </c>
      <c r="K1323" t="inlineStr">
        <is>
          <t>ENERO 2024</t>
        </is>
      </c>
      <c r="L1323" t="inlineStr">
        <is>
          <t>ENERO 2025</t>
        </is>
      </c>
      <c r="M1323" t="inlineStr">
        <is>
          <t>P.Q.S TIPO ABC AL 90 % NACIONAL</t>
        </is>
      </c>
      <c r="N1323" t="inlineStr">
        <is>
          <t>S/N / 011039</t>
        </is>
      </c>
      <c r="O1323" t="inlineStr">
        <is>
          <t>R</t>
        </is>
      </c>
      <c r="P1323">
        <f>TRIM(N1323)</f>
        <v/>
      </c>
    </row>
    <row r="1324">
      <c r="A1324" t="inlineStr">
        <is>
          <t>CO-001786</t>
        </is>
      </c>
      <c r="B1324" t="inlineStr">
        <is>
          <t>PERU MASIVO S.A.</t>
        </is>
      </c>
      <c r="C1324" t="inlineStr">
        <is>
          <t>20492392031</t>
        </is>
      </c>
      <c r="D1324" t="inlineStr">
        <is>
          <t>AV. LOS INCAS CDRA. 4 PATIO NORTE - COMAS</t>
        </is>
      </c>
      <c r="E1324" t="inlineStr">
        <is>
          <t>Lima, 20 de Enero de 2024</t>
        </is>
      </c>
      <c r="F1324" t="inlineStr">
        <is>
          <t>la Recarga y mantenimiento</t>
        </is>
      </c>
      <c r="G1324" t="inlineStr">
        <is>
          <t>03</t>
        </is>
      </c>
      <c r="H1324" t="inlineStr">
        <is>
          <t>06 KG</t>
        </is>
      </c>
      <c r="I1324" t="inlineStr">
        <is>
          <t>2029</t>
        </is>
      </c>
      <c r="J1324" t="n">
        <v>2010</v>
      </c>
      <c r="K1324" t="inlineStr">
        <is>
          <t>ENERO 2024</t>
        </is>
      </c>
      <c r="L1324" t="inlineStr">
        <is>
          <t>ENERO 2025</t>
        </is>
      </c>
      <c r="M1324" t="inlineStr">
        <is>
          <t>P.Q.S TIPO ABC AL 90 % NACIONAL</t>
        </is>
      </c>
      <c r="N1324" t="inlineStr">
        <is>
          <t>S/N / 006512</t>
        </is>
      </c>
      <c r="O1324" t="inlineStr">
        <is>
          <t>R</t>
        </is>
      </c>
      <c r="P1324">
        <f>TRIM(N1324)</f>
        <v/>
      </c>
    </row>
    <row r="1325">
      <c r="A1325" t="inlineStr">
        <is>
          <t>CO-001786</t>
        </is>
      </c>
      <c r="B1325" t="inlineStr">
        <is>
          <t>PERU MASIVO S.A.</t>
        </is>
      </c>
      <c r="C1325" t="inlineStr">
        <is>
          <t>20492392031</t>
        </is>
      </c>
      <c r="D1325" t="inlineStr">
        <is>
          <t>AV. LOS INCAS CDRA. 4 PATIO NORTE - COMAS</t>
        </is>
      </c>
      <c r="E1325" t="inlineStr">
        <is>
          <t>Lima, 20 de Enero de 2024</t>
        </is>
      </c>
      <c r="F1325" t="inlineStr">
        <is>
          <t>la Recarga y mantenimiento</t>
        </is>
      </c>
      <c r="G1325" t="inlineStr">
        <is>
          <t>04</t>
        </is>
      </c>
      <c r="H1325" t="inlineStr">
        <is>
          <t>06 KG</t>
        </is>
      </c>
      <c r="I1325" t="inlineStr">
        <is>
          <t>2029</t>
        </is>
      </c>
      <c r="J1325" t="n">
        <v>2010</v>
      </c>
      <c r="K1325" t="inlineStr">
        <is>
          <t>ENERO 2024</t>
        </is>
      </c>
      <c r="L1325" t="inlineStr">
        <is>
          <t>ENERO 2025</t>
        </is>
      </c>
      <c r="M1325" t="inlineStr">
        <is>
          <t>P.Q.S TIPO ABC AL 90 % NACIONAL</t>
        </is>
      </c>
      <c r="N1325" t="inlineStr">
        <is>
          <t>92 / 000649</t>
        </is>
      </c>
      <c r="O1325" t="inlineStr">
        <is>
          <t>R</t>
        </is>
      </c>
      <c r="P1325">
        <f>TRIM(N1325)</f>
        <v/>
      </c>
    </row>
    <row r="1326">
      <c r="A1326" t="inlineStr">
        <is>
          <t>CO-001786</t>
        </is>
      </c>
      <c r="B1326" t="inlineStr">
        <is>
          <t>PERU MASIVO S.A.</t>
        </is>
      </c>
      <c r="C1326" t="inlineStr">
        <is>
          <t>20492392031</t>
        </is>
      </c>
      <c r="D1326" t="inlineStr">
        <is>
          <t>AV. LOS INCAS CDRA. 4 PATIO NORTE - COMAS</t>
        </is>
      </c>
      <c r="E1326" t="inlineStr">
        <is>
          <t>Lima, 20 de Enero de 2024</t>
        </is>
      </c>
      <c r="F1326" t="inlineStr">
        <is>
          <t>la Recarga y mantenimiento</t>
        </is>
      </c>
      <c r="G1326" t="inlineStr">
        <is>
          <t>05</t>
        </is>
      </c>
      <c r="H1326" t="inlineStr">
        <is>
          <t>06 KG</t>
        </is>
      </c>
      <c r="I1326" t="inlineStr">
        <is>
          <t>2029</t>
        </is>
      </c>
      <c r="J1326" t="n">
        <v>2009</v>
      </c>
      <c r="K1326" t="inlineStr">
        <is>
          <t>ENERO 2024</t>
        </is>
      </c>
      <c r="L1326" t="inlineStr">
        <is>
          <t>ENERO 2025</t>
        </is>
      </c>
      <c r="M1326" t="inlineStr">
        <is>
          <t>P.Q.S TIPO ABC AL 90 % NACIONAL</t>
        </is>
      </c>
      <c r="N1326" t="inlineStr">
        <is>
          <t>363 / 001595</t>
        </is>
      </c>
      <c r="O1326" t="inlineStr">
        <is>
          <t>R</t>
        </is>
      </c>
      <c r="P1326">
        <f>TRIM(N1326)</f>
        <v/>
      </c>
    </row>
    <row r="1327">
      <c r="A1327" t="inlineStr">
        <is>
          <t>CO-001786</t>
        </is>
      </c>
      <c r="B1327" t="inlineStr">
        <is>
          <t>PERU MASIVO S.A.</t>
        </is>
      </c>
      <c r="C1327" t="inlineStr">
        <is>
          <t>20492392031</t>
        </is>
      </c>
      <c r="D1327" t="inlineStr">
        <is>
          <t>AV. LOS INCAS CDRA. 4 PATIO NORTE - COMAS</t>
        </is>
      </c>
      <c r="E1327" t="inlineStr">
        <is>
          <t>Lima, 20 de Enero de 2024</t>
        </is>
      </c>
      <c r="F1327" t="inlineStr">
        <is>
          <t>la Recarga y mantenimiento</t>
        </is>
      </c>
      <c r="G1327" t="inlineStr">
        <is>
          <t>06</t>
        </is>
      </c>
      <c r="H1327" t="inlineStr">
        <is>
          <t>06 KG</t>
        </is>
      </c>
      <c r="I1327" t="inlineStr">
        <is>
          <t>2029</t>
        </is>
      </c>
      <c r="J1327" t="n">
        <v>2010</v>
      </c>
      <c r="K1327" t="inlineStr">
        <is>
          <t>ENERO 2024</t>
        </is>
      </c>
      <c r="L1327" t="inlineStr">
        <is>
          <t>ENERO 2025</t>
        </is>
      </c>
      <c r="M1327" t="inlineStr">
        <is>
          <t>P.Q.S TIPO ABC AL 90 % NACIONAL</t>
        </is>
      </c>
      <c r="N1327" t="inlineStr">
        <is>
          <t>289 / 000598</t>
        </is>
      </c>
      <c r="O1327" t="inlineStr">
        <is>
          <t>R</t>
        </is>
      </c>
      <c r="P1327">
        <f>TRIM(N1327)</f>
        <v/>
      </c>
    </row>
    <row r="1328">
      <c r="A1328" t="inlineStr">
        <is>
          <t>CO-001786</t>
        </is>
      </c>
      <c r="B1328" t="inlineStr">
        <is>
          <t>PERU MASIVO S.A.</t>
        </is>
      </c>
      <c r="C1328" t="inlineStr">
        <is>
          <t>20492392031</t>
        </is>
      </c>
      <c r="D1328" t="inlineStr">
        <is>
          <t>AV. LOS INCAS CDRA. 4 PATIO NORTE - COMAS</t>
        </is>
      </c>
      <c r="E1328" t="inlineStr">
        <is>
          <t>Lima, 20 de Enero de 2024</t>
        </is>
      </c>
      <c r="F1328" t="inlineStr">
        <is>
          <t>la Recarga y mantenimiento</t>
        </is>
      </c>
      <c r="G1328" t="inlineStr">
        <is>
          <t>07</t>
        </is>
      </c>
      <c r="H1328" t="inlineStr">
        <is>
          <t>06 KG</t>
        </is>
      </c>
      <c r="I1328" t="inlineStr">
        <is>
          <t>2026</t>
        </is>
      </c>
      <c r="J1328" t="n">
        <v>2021</v>
      </c>
      <c r="K1328" t="inlineStr">
        <is>
          <t>ENERO 2024</t>
        </is>
      </c>
      <c r="L1328" t="inlineStr">
        <is>
          <t>ENERO 2025</t>
        </is>
      </c>
      <c r="M1328" t="inlineStr">
        <is>
          <t>P.Q.S TIPO ABC AL 90 % NACIONAL</t>
        </is>
      </c>
      <c r="N1328" t="inlineStr">
        <is>
          <t>S/N / 007813</t>
        </is>
      </c>
      <c r="O1328" t="inlineStr">
        <is>
          <t>R</t>
        </is>
      </c>
      <c r="P1328">
        <f>TRIM(N1328)</f>
        <v/>
      </c>
    </row>
    <row r="1329">
      <c r="A1329" t="inlineStr">
        <is>
          <t>CO-001786</t>
        </is>
      </c>
      <c r="B1329" t="inlineStr">
        <is>
          <t>PERU MASIVO S.A.</t>
        </is>
      </c>
      <c r="C1329" t="inlineStr">
        <is>
          <t>20492392031</t>
        </is>
      </c>
      <c r="D1329" t="inlineStr">
        <is>
          <t>AV. LOS INCAS CDRA. 4 PATIO NORTE - COMAS</t>
        </is>
      </c>
      <c r="E1329" t="inlineStr">
        <is>
          <t>Lima, 20 de Enero de 2024</t>
        </is>
      </c>
      <c r="F1329" t="inlineStr">
        <is>
          <t>la Recarga y mantenimiento</t>
        </is>
      </c>
      <c r="G1329" t="inlineStr">
        <is>
          <t>08</t>
        </is>
      </c>
      <c r="H1329" t="inlineStr">
        <is>
          <t>06 KG</t>
        </is>
      </c>
      <c r="I1329" t="inlineStr">
        <is>
          <t>2028</t>
        </is>
      </c>
      <c r="J1329" t="n">
        <v>2010</v>
      </c>
      <c r="K1329" t="inlineStr">
        <is>
          <t>ENERO 2024</t>
        </is>
      </c>
      <c r="L1329" t="inlineStr">
        <is>
          <t>ENERO 2025</t>
        </is>
      </c>
      <c r="M1329" t="inlineStr">
        <is>
          <t>P.Q.S TIPO ABC AL 90 % NACIONAL</t>
        </is>
      </c>
      <c r="N1329" t="inlineStr">
        <is>
          <t>297 / 000847</t>
        </is>
      </c>
      <c r="O1329" t="inlineStr">
        <is>
          <t>R</t>
        </is>
      </c>
      <c r="P1329">
        <f>TRIM(N1329)</f>
        <v/>
      </c>
    </row>
    <row r="1330">
      <c r="A1330" t="inlineStr">
        <is>
          <t>CO-001786</t>
        </is>
      </c>
      <c r="B1330" t="inlineStr">
        <is>
          <t>PERU MASIVO S.A.</t>
        </is>
      </c>
      <c r="C1330" t="inlineStr">
        <is>
          <t>20492392031</t>
        </is>
      </c>
      <c r="D1330" t="inlineStr">
        <is>
          <t>AV. LOS INCAS CDRA. 4 PATIO NORTE - COMAS</t>
        </is>
      </c>
      <c r="E1330" t="inlineStr">
        <is>
          <t>Lima, 20 de Enero de 2024</t>
        </is>
      </c>
      <c r="F1330" t="inlineStr">
        <is>
          <t>la Recarga y mantenimiento</t>
        </is>
      </c>
      <c r="G1330" t="inlineStr">
        <is>
          <t>09</t>
        </is>
      </c>
      <c r="H1330" t="inlineStr">
        <is>
          <t>06 KG</t>
        </is>
      </c>
      <c r="I1330" t="inlineStr">
        <is>
          <t>2028</t>
        </is>
      </c>
      <c r="J1330" t="n">
        <v>2009</v>
      </c>
      <c r="K1330" t="inlineStr">
        <is>
          <t>ENERO 2024</t>
        </is>
      </c>
      <c r="L1330" t="inlineStr">
        <is>
          <t>ENERO 2025</t>
        </is>
      </c>
      <c r="M1330" t="inlineStr">
        <is>
          <t>P.Q.S TIPO ABC AL 90 % NACIONAL</t>
        </is>
      </c>
      <c r="N1330" t="inlineStr">
        <is>
          <t>02 / 000770</t>
        </is>
      </c>
      <c r="O1330" t="inlineStr">
        <is>
          <t>R</t>
        </is>
      </c>
      <c r="P1330">
        <f>TRIM(N1330)</f>
        <v/>
      </c>
    </row>
    <row r="1331">
      <c r="A1331" t="inlineStr">
        <is>
          <t>CO-001786</t>
        </is>
      </c>
      <c r="B1331" t="inlineStr">
        <is>
          <t>PERU MASIVO S.A.</t>
        </is>
      </c>
      <c r="C1331" t="inlineStr">
        <is>
          <t>20492392031</t>
        </is>
      </c>
      <c r="D1331" t="inlineStr">
        <is>
          <t>AV. LOS INCAS CDRA. 4 PATIO NORTE - COMAS</t>
        </is>
      </c>
      <c r="E1331" t="inlineStr">
        <is>
          <t>Lima, 20 de Enero de 2024</t>
        </is>
      </c>
      <c r="F1331" t="inlineStr">
        <is>
          <t>la Recarga y mantenimiento</t>
        </is>
      </c>
      <c r="G1331" t="n">
        <v>10</v>
      </c>
      <c r="H1331" t="inlineStr">
        <is>
          <t>06 KG</t>
        </is>
      </c>
      <c r="I1331" t="inlineStr">
        <is>
          <t>2028</t>
        </is>
      </c>
      <c r="J1331" t="n">
        <v>2009</v>
      </c>
      <c r="K1331" t="inlineStr">
        <is>
          <t>ENERO 2024</t>
        </is>
      </c>
      <c r="L1331" t="inlineStr">
        <is>
          <t>ENERO 2025</t>
        </is>
      </c>
      <c r="M1331" t="inlineStr">
        <is>
          <t>P.Q.S TIPO ABC AL 90 % NACIONAL</t>
        </is>
      </c>
      <c r="N1331" t="inlineStr">
        <is>
          <t>248 / 001793</t>
        </is>
      </c>
      <c r="O1331" t="inlineStr">
        <is>
          <t>R</t>
        </is>
      </c>
      <c r="P1331">
        <f>TRIM(N1331)</f>
        <v/>
      </c>
    </row>
    <row r="1332">
      <c r="A1332" t="inlineStr">
        <is>
          <t>CO-001786</t>
        </is>
      </c>
      <c r="B1332" t="inlineStr">
        <is>
          <t>PERU MASIVO S.A.</t>
        </is>
      </c>
      <c r="C1332" t="inlineStr">
        <is>
          <t>20492392031</t>
        </is>
      </c>
      <c r="D1332" t="inlineStr">
        <is>
          <t>AV. LOS INCAS CDRA. 4 PATIO NORTE - COMAS</t>
        </is>
      </c>
      <c r="E1332" t="inlineStr">
        <is>
          <t>Lima, 20 de Enero de 2024</t>
        </is>
      </c>
      <c r="F1332" t="inlineStr">
        <is>
          <t>la Recarga y mantenimiento</t>
        </is>
      </c>
      <c r="G1332" t="n">
        <v>11</v>
      </c>
      <c r="H1332" t="inlineStr">
        <is>
          <t>06 KG</t>
        </is>
      </c>
      <c r="I1332" t="inlineStr">
        <is>
          <t>2028</t>
        </is>
      </c>
      <c r="J1332" t="n">
        <v>2010</v>
      </c>
      <c r="K1332" t="inlineStr">
        <is>
          <t>ENERO 2024</t>
        </is>
      </c>
      <c r="L1332" t="inlineStr">
        <is>
          <t>ENERO 2025</t>
        </is>
      </c>
      <c r="M1332" t="inlineStr">
        <is>
          <t>P.Q.S TIPO ABC AL 90 % NACIONAL</t>
        </is>
      </c>
      <c r="N1332" t="inlineStr">
        <is>
          <t>59 / 000050</t>
        </is>
      </c>
      <c r="O1332" t="inlineStr">
        <is>
          <t>R</t>
        </is>
      </c>
      <c r="P1332">
        <f>TRIM(N1332)</f>
        <v/>
      </c>
    </row>
    <row r="1333">
      <c r="A1333" t="inlineStr">
        <is>
          <t>CO-001787</t>
        </is>
      </c>
      <c r="B1333" t="inlineStr">
        <is>
          <t>PERU MASIVO S.A. (INFRAESTRUCTURA)</t>
        </is>
      </c>
      <c r="C1333" t="inlineStr">
        <is>
          <t>20492392031</t>
        </is>
      </c>
      <c r="D1333" t="inlineStr">
        <is>
          <t xml:space="preserve">AV. ANTONIO MIROQUESADA NRO. 457 INT. 1201 MAGDALENA DEL MAR LIMA </t>
        </is>
      </c>
      <c r="E1333" t="inlineStr">
        <is>
          <t>Lima, 20 de Enero de 2024</t>
        </is>
      </c>
      <c r="F1333" t="inlineStr">
        <is>
          <t>la Recarga y mantenimiento</t>
        </is>
      </c>
      <c r="G1333" t="inlineStr">
        <is>
          <t>01</t>
        </is>
      </c>
      <c r="H1333" t="inlineStr">
        <is>
          <t>10 LBS</t>
        </is>
      </c>
      <c r="I1333" t="inlineStr">
        <is>
          <t>2025</t>
        </is>
      </c>
      <c r="J1333" t="n">
        <v>2015</v>
      </c>
      <c r="K1333" t="inlineStr">
        <is>
          <t>ENERO 2024</t>
        </is>
      </c>
      <c r="L1333" t="inlineStr">
        <is>
          <t>ENERO 2025</t>
        </is>
      </c>
      <c r="M1333" t="inlineStr">
        <is>
          <t>CO2 / TIPO BC</t>
        </is>
      </c>
      <c r="N1333" t="inlineStr">
        <is>
          <t>01 / 000405</t>
        </is>
      </c>
      <c r="O1333" t="inlineStr">
        <is>
          <t>R</t>
        </is>
      </c>
      <c r="P1333">
        <f>TRIM(N1333)</f>
        <v/>
      </c>
    </row>
    <row r="1334">
      <c r="A1334" t="inlineStr">
        <is>
          <t>CO-001787</t>
        </is>
      </c>
      <c r="B1334" t="inlineStr">
        <is>
          <t>PERU MASIVO S.A. (INFRAESTRUCTURA)</t>
        </is>
      </c>
      <c r="C1334" t="inlineStr">
        <is>
          <t>20492392031</t>
        </is>
      </c>
      <c r="D1334" t="inlineStr">
        <is>
          <t xml:space="preserve">AV. ANTONIO MIROQUESADA NRO. 457 INT. 1201 MAGDALENA DEL MAR LIMA </t>
        </is>
      </c>
      <c r="E1334" t="inlineStr">
        <is>
          <t>Lima, 20 de Enero de 2024</t>
        </is>
      </c>
      <c r="F1334" t="inlineStr">
        <is>
          <t>la Recarga y mantenimiento</t>
        </is>
      </c>
      <c r="G1334" t="inlineStr">
        <is>
          <t>02</t>
        </is>
      </c>
      <c r="H1334" t="inlineStr">
        <is>
          <t>09 KG</t>
        </is>
      </c>
      <c r="I1334" t="inlineStr">
        <is>
          <t>2029</t>
        </is>
      </c>
      <c r="J1334" t="n">
        <v>2015</v>
      </c>
      <c r="K1334" t="inlineStr">
        <is>
          <t>ENERO 2024</t>
        </is>
      </c>
      <c r="L1334" t="inlineStr">
        <is>
          <t>ENERO 2025</t>
        </is>
      </c>
      <c r="M1334" t="inlineStr">
        <is>
          <t>P.Q.S TIPO ABC AL 90 % NACIONAL</t>
        </is>
      </c>
      <c r="N1334" t="inlineStr">
        <is>
          <t xml:space="preserve">02 / 002536 </t>
        </is>
      </c>
      <c r="O1334" t="inlineStr">
        <is>
          <t>R</t>
        </is>
      </c>
      <c r="P1334">
        <f>TRIM(N1334)</f>
        <v/>
      </c>
    </row>
    <row r="1335">
      <c r="A1335" t="inlineStr">
        <is>
          <t>CO-001787</t>
        </is>
      </c>
      <c r="B1335" t="inlineStr">
        <is>
          <t>PERU MASIVO S.A. (INFRAESTRUCTURA)</t>
        </is>
      </c>
      <c r="C1335" t="inlineStr">
        <is>
          <t>20492392031</t>
        </is>
      </c>
      <c r="D1335" t="inlineStr">
        <is>
          <t xml:space="preserve">AV. ANTONIO MIROQUESADA NRO. 457 INT. 1201 MAGDALENA DEL MAR LIMA </t>
        </is>
      </c>
      <c r="E1335" t="inlineStr">
        <is>
          <t>Lima, 20 de Enero de 2024</t>
        </is>
      </c>
      <c r="F1335" t="inlineStr">
        <is>
          <t>la Recarga y mantenimiento</t>
        </is>
      </c>
      <c r="G1335" t="inlineStr">
        <is>
          <t>03</t>
        </is>
      </c>
      <c r="H1335" t="inlineStr">
        <is>
          <t>06 KG</t>
        </is>
      </c>
      <c r="I1335" t="inlineStr">
        <is>
          <t>2029</t>
        </is>
      </c>
      <c r="J1335" t="n">
        <v>2015</v>
      </c>
      <c r="K1335" t="inlineStr">
        <is>
          <t>ENERO 2024</t>
        </is>
      </c>
      <c r="L1335" t="inlineStr">
        <is>
          <t>ENERO 2025</t>
        </is>
      </c>
      <c r="M1335" t="inlineStr">
        <is>
          <t>P.Q.S TIPO ABC AL 90 % NACIONAL</t>
        </is>
      </c>
      <c r="N1335" t="inlineStr">
        <is>
          <t>03 / 016106</t>
        </is>
      </c>
      <c r="O1335" t="inlineStr">
        <is>
          <t>R</t>
        </is>
      </c>
      <c r="P1335">
        <f>TRIM(N1335)</f>
        <v/>
      </c>
    </row>
    <row r="1336">
      <c r="A1336" t="inlineStr">
        <is>
          <t>CO-001787</t>
        </is>
      </c>
      <c r="B1336" t="inlineStr">
        <is>
          <t>PERU MASIVO S.A. (INFRAESTRUCTURA)</t>
        </is>
      </c>
      <c r="C1336" t="inlineStr">
        <is>
          <t>20492392031</t>
        </is>
      </c>
      <c r="D1336" t="inlineStr">
        <is>
          <t xml:space="preserve">AV. ANTONIO MIROQUESADA NRO. 457 INT. 1201 MAGDALENA DEL MAR LIMA </t>
        </is>
      </c>
      <c r="E1336" t="inlineStr">
        <is>
          <t>Lima, 20 de Enero de 2024</t>
        </is>
      </c>
      <c r="F1336" t="inlineStr">
        <is>
          <t>la Recarga y mantenimiento</t>
        </is>
      </c>
      <c r="G1336" t="inlineStr">
        <is>
          <t>04</t>
        </is>
      </c>
      <c r="H1336" t="inlineStr">
        <is>
          <t>10 LBS</t>
        </is>
      </c>
      <c r="I1336" t="inlineStr">
        <is>
          <t>2025</t>
        </is>
      </c>
      <c r="J1336" t="n">
        <v>2015</v>
      </c>
      <c r="K1336" t="inlineStr">
        <is>
          <t>ENERO 2024</t>
        </is>
      </c>
      <c r="L1336" t="inlineStr">
        <is>
          <t>ENERO 2025</t>
        </is>
      </c>
      <c r="M1336" t="inlineStr">
        <is>
          <t>CO2 / TIPO BC</t>
        </is>
      </c>
      <c r="N1336" t="inlineStr">
        <is>
          <t>04 / 000378</t>
        </is>
      </c>
      <c r="O1336" t="inlineStr">
        <is>
          <t>R</t>
        </is>
      </c>
      <c r="P1336">
        <f>TRIM(N1336)</f>
        <v/>
      </c>
    </row>
    <row r="1337">
      <c r="A1337" t="inlineStr">
        <is>
          <t>CO-001787</t>
        </is>
      </c>
      <c r="B1337" t="inlineStr">
        <is>
          <t>PERU MASIVO S.A. (INFRAESTRUCTURA)</t>
        </is>
      </c>
      <c r="C1337" t="inlineStr">
        <is>
          <t>20492392031</t>
        </is>
      </c>
      <c r="D1337" t="inlineStr">
        <is>
          <t xml:space="preserve">AV. ANTONIO MIROQUESADA NRO. 457 INT. 1201 MAGDALENA DEL MAR LIMA </t>
        </is>
      </c>
      <c r="E1337" t="inlineStr">
        <is>
          <t>Lima, 20 de Enero de 2024</t>
        </is>
      </c>
      <c r="F1337" t="inlineStr">
        <is>
          <t>la Recarga y mantenimiento</t>
        </is>
      </c>
      <c r="G1337" t="inlineStr">
        <is>
          <t>05</t>
        </is>
      </c>
      <c r="H1337" t="inlineStr">
        <is>
          <t>06 KG</t>
        </is>
      </c>
      <c r="I1337" t="inlineStr">
        <is>
          <t>2029</t>
        </is>
      </c>
      <c r="J1337" t="n">
        <v>2015</v>
      </c>
      <c r="K1337" t="inlineStr">
        <is>
          <t>ENERO 2024</t>
        </is>
      </c>
      <c r="L1337" t="inlineStr">
        <is>
          <t>ENERO 2025</t>
        </is>
      </c>
      <c r="M1337" t="inlineStr">
        <is>
          <t>P.Q.S TIPO ABC AL 90 % NACIONAL</t>
        </is>
      </c>
      <c r="N1337" t="inlineStr">
        <is>
          <t>05 / 015794</t>
        </is>
      </c>
      <c r="O1337" t="inlineStr">
        <is>
          <t>R</t>
        </is>
      </c>
      <c r="P1337">
        <f>TRIM(N1337)</f>
        <v/>
      </c>
    </row>
    <row r="1338">
      <c r="A1338" t="inlineStr">
        <is>
          <t>CO-001787</t>
        </is>
      </c>
      <c r="B1338" t="inlineStr">
        <is>
          <t>PERU MASIVO S.A. (INFRAESTRUCTURA)</t>
        </is>
      </c>
      <c r="C1338" t="inlineStr">
        <is>
          <t>20492392031</t>
        </is>
      </c>
      <c r="D1338" t="inlineStr">
        <is>
          <t xml:space="preserve">AV. ANTONIO MIROQUESADA NRO. 457 INT. 1201 MAGDALENA DEL MAR LIMA </t>
        </is>
      </c>
      <c r="E1338" t="inlineStr">
        <is>
          <t>Lima, 20 de Enero de 2024</t>
        </is>
      </c>
      <c r="F1338" t="inlineStr">
        <is>
          <t>la Recarga y mantenimiento</t>
        </is>
      </c>
      <c r="G1338" t="inlineStr">
        <is>
          <t>06</t>
        </is>
      </c>
      <c r="H1338" t="inlineStr">
        <is>
          <t>06 KG</t>
        </is>
      </c>
      <c r="I1338" t="inlineStr">
        <is>
          <t>2029</t>
        </is>
      </c>
      <c r="J1338" t="n">
        <v>2015</v>
      </c>
      <c r="K1338" t="inlineStr">
        <is>
          <t>ENERO 2024</t>
        </is>
      </c>
      <c r="L1338" t="inlineStr">
        <is>
          <t>ENERO 2025</t>
        </is>
      </c>
      <c r="M1338" t="inlineStr">
        <is>
          <t>P.Q.S TIPO ABC AL 90 % NACIONAL</t>
        </is>
      </c>
      <c r="N1338" t="inlineStr">
        <is>
          <t>06 / 015890</t>
        </is>
      </c>
      <c r="O1338" t="inlineStr">
        <is>
          <t>R</t>
        </is>
      </c>
      <c r="P1338">
        <f>TRIM(N1338)</f>
        <v/>
      </c>
    </row>
    <row r="1339">
      <c r="A1339" t="inlineStr">
        <is>
          <t>CO-001788</t>
        </is>
      </c>
      <c r="B1339" t="inlineStr">
        <is>
          <t>ALD AUTOMOTIVE PERU S.A.C. - ALD PERU S.A.C.</t>
        </is>
      </c>
      <c r="C1339" t="inlineStr">
        <is>
          <t>20601129826</t>
        </is>
      </c>
      <c r="D1339" t="inlineStr">
        <is>
          <t>PLACA: BNB - 885</t>
        </is>
      </c>
      <c r="E1339" t="inlineStr">
        <is>
          <t>Lima, 22 de Enero de 2024</t>
        </is>
      </c>
      <c r="F1339" t="inlineStr">
        <is>
          <t>la venta</t>
        </is>
      </c>
      <c r="G1339" t="inlineStr">
        <is>
          <t>01</t>
        </is>
      </c>
      <c r="H1339" t="inlineStr">
        <is>
          <t>06 KG</t>
        </is>
      </c>
      <c r="I1339" t="inlineStr">
        <is>
          <t>2028</t>
        </is>
      </c>
      <c r="J1339" t="n">
        <v>2023</v>
      </c>
      <c r="K1339" t="inlineStr">
        <is>
          <t>ENERO 2024</t>
        </is>
      </c>
      <c r="L1339" t="inlineStr">
        <is>
          <t>ENERO 2025</t>
        </is>
      </c>
      <c r="M1339" t="inlineStr">
        <is>
          <t>P.Q.S. TIPO ABC AL 75%</t>
        </is>
      </c>
      <c r="N1339" t="inlineStr">
        <is>
          <t>000244</t>
        </is>
      </c>
      <c r="O1339" t="inlineStr">
        <is>
          <t>V</t>
        </is>
      </c>
      <c r="P1339">
        <f>TRIM(N1339)</f>
        <v/>
      </c>
    </row>
    <row r="1340">
      <c r="A1340" t="inlineStr">
        <is>
          <t>CO-001789</t>
        </is>
      </c>
      <c r="B1340" t="inlineStr">
        <is>
          <t>JORGE MONTENEGRO PALOMINO</t>
        </is>
      </c>
      <c r="C1340" t="inlineStr">
        <is>
          <t>46385931</t>
        </is>
      </c>
      <c r="D1340" t="inlineStr">
        <is>
          <t>PLACA: AHU - 895</t>
        </is>
      </c>
      <c r="E1340" t="inlineStr">
        <is>
          <t>Lima, 23 de Enero de 2024</t>
        </is>
      </c>
      <c r="F1340" t="inlineStr">
        <is>
          <t>la Recarga y mantenimiento</t>
        </is>
      </c>
      <c r="G1340" t="inlineStr">
        <is>
          <t>01</t>
        </is>
      </c>
      <c r="H1340" t="inlineStr">
        <is>
          <t>06 KG</t>
        </is>
      </c>
      <c r="I1340" t="inlineStr">
        <is>
          <t>VIGENTE</t>
        </is>
      </c>
      <c r="J1340" t="n">
        <v>2013</v>
      </c>
      <c r="K1340" t="inlineStr">
        <is>
          <t>ENERO 2024</t>
        </is>
      </c>
      <c r="L1340" t="inlineStr">
        <is>
          <t>ENERO 2025</t>
        </is>
      </c>
      <c r="M1340" t="inlineStr">
        <is>
          <t>P.Q.S. TIPO ABC AL 75%</t>
        </is>
      </c>
      <c r="N1340" t="inlineStr">
        <is>
          <t>000145</t>
        </is>
      </c>
      <c r="O1340" t="inlineStr">
        <is>
          <t>R</t>
        </is>
      </c>
      <c r="P1340">
        <f>TRIM(N1340)</f>
        <v/>
      </c>
    </row>
    <row r="1341">
      <c r="A1341" t="inlineStr">
        <is>
          <t>CO-001790</t>
        </is>
      </c>
      <c r="B1341" t="inlineStr">
        <is>
          <t xml:space="preserve">MECANICA AUTOMOTRIZ FLORES De: Oscar Flores </t>
        </is>
      </c>
      <c r="C1341" t="inlineStr">
        <is>
          <t>09986215</t>
        </is>
      </c>
      <c r="D1341" t="inlineStr">
        <is>
          <t>JR. JUPITER MZ "5" LT "52" VILLA COLLIQUE</t>
        </is>
      </c>
      <c r="E1341" t="inlineStr">
        <is>
          <t>Lima, 24 de Enero de 2024</t>
        </is>
      </c>
      <c r="F1341" t="inlineStr">
        <is>
          <t>la Recarga y mantenimiento</t>
        </is>
      </c>
      <c r="G1341" t="inlineStr">
        <is>
          <t>01</t>
        </is>
      </c>
      <c r="H1341" t="inlineStr">
        <is>
          <t>12 KG</t>
        </is>
      </c>
      <c r="I1341" t="inlineStr">
        <is>
          <t>2025</t>
        </is>
      </c>
      <c r="J1341" t="n">
        <v>2020</v>
      </c>
      <c r="K1341" t="inlineStr">
        <is>
          <t>ENERO 2024</t>
        </is>
      </c>
      <c r="L1341" t="inlineStr">
        <is>
          <t>ENERO 2025</t>
        </is>
      </c>
      <c r="M1341" t="inlineStr">
        <is>
          <t>P.Q.S.  TIPO ABC AL 90% UL</t>
        </is>
      </c>
      <c r="N1341" t="inlineStr">
        <is>
          <t>006495</t>
        </is>
      </c>
      <c r="O1341" t="inlineStr">
        <is>
          <t>M3</t>
        </is>
      </c>
      <c r="P1341">
        <f>TRIM(N1341)</f>
        <v/>
      </c>
    </row>
    <row r="1342">
      <c r="A1342" t="inlineStr">
        <is>
          <t>CO-001790</t>
        </is>
      </c>
      <c r="B1342" t="inlineStr">
        <is>
          <t xml:space="preserve">MECANICA AUTOMOTRIZ FLORES De: Oscar Flores </t>
        </is>
      </c>
      <c r="C1342" t="inlineStr">
        <is>
          <t>09986215</t>
        </is>
      </c>
      <c r="D1342" t="inlineStr">
        <is>
          <t>JR. JUPITER MZ "5" LT "52" VILLA COLLIQUE</t>
        </is>
      </c>
      <c r="E1342" t="inlineStr">
        <is>
          <t>Lima, 24 de Enero de 2024</t>
        </is>
      </c>
      <c r="F1342" t="inlineStr">
        <is>
          <t>la Recarga y mantenimiento</t>
        </is>
      </c>
      <c r="G1342" t="inlineStr">
        <is>
          <t>02</t>
        </is>
      </c>
      <c r="H1342" t="inlineStr">
        <is>
          <t>09 KG</t>
        </is>
      </c>
      <c r="I1342" t="inlineStr">
        <is>
          <t>2028</t>
        </is>
      </c>
      <c r="J1342" t="n">
        <v>2006</v>
      </c>
      <c r="K1342" t="inlineStr">
        <is>
          <t>ENERO 2024</t>
        </is>
      </c>
      <c r="L1342" t="inlineStr">
        <is>
          <t>ENERO 2025</t>
        </is>
      </c>
      <c r="M1342" t="inlineStr">
        <is>
          <t>P.Q.S.  TIPO ABC AL 90% UL</t>
        </is>
      </c>
      <c r="N1342" t="inlineStr">
        <is>
          <t>000431</t>
        </is>
      </c>
      <c r="O1342" t="inlineStr">
        <is>
          <t>M3</t>
        </is>
      </c>
      <c r="P1342">
        <f>TRIM(N1342)</f>
        <v/>
      </c>
    </row>
    <row r="1343">
      <c r="A1343" t="inlineStr">
        <is>
          <t>CO-001790</t>
        </is>
      </c>
      <c r="B1343" t="inlineStr">
        <is>
          <t xml:space="preserve">MECANICA AUTOMOTRIZ FLORES De: Oscar Flores </t>
        </is>
      </c>
      <c r="C1343" t="inlineStr">
        <is>
          <t>09986215</t>
        </is>
      </c>
      <c r="D1343" t="inlineStr">
        <is>
          <t>JR. JUPITER MZ "5" LT "52" VILLA COLLIQUE</t>
        </is>
      </c>
      <c r="E1343" t="inlineStr">
        <is>
          <t>Lima, 24 de Enero de 2024</t>
        </is>
      </c>
      <c r="F1343" t="inlineStr">
        <is>
          <t>la Recarga y mantenimiento</t>
        </is>
      </c>
      <c r="G1343" t="inlineStr">
        <is>
          <t>03</t>
        </is>
      </c>
      <c r="H1343" t="inlineStr">
        <is>
          <t>06 KG</t>
        </is>
      </c>
      <c r="I1343" t="n">
        <v>2028</v>
      </c>
      <c r="J1343" t="n">
        <v>2005</v>
      </c>
      <c r="K1343" t="inlineStr">
        <is>
          <t>ENERO 2024</t>
        </is>
      </c>
      <c r="L1343" t="inlineStr">
        <is>
          <t>ENERO 2025</t>
        </is>
      </c>
      <c r="M1343" t="inlineStr">
        <is>
          <t>P.Q.S.  TIPO ABC AL 90% UL</t>
        </is>
      </c>
      <c r="N1343" t="inlineStr">
        <is>
          <t>000262</t>
        </is>
      </c>
      <c r="O1343" t="inlineStr">
        <is>
          <t>M3</t>
        </is>
      </c>
      <c r="P1343">
        <f>TRIM(N1343)</f>
        <v/>
      </c>
    </row>
    <row r="1344">
      <c r="A1344" t="inlineStr">
        <is>
          <t>CO-001791</t>
        </is>
      </c>
      <c r="B1344" t="inlineStr">
        <is>
          <t>ALD AUTOMOTIVE PERU S.A.C. - ALD PERU S.A.C.</t>
        </is>
      </c>
      <c r="C1344" t="inlineStr">
        <is>
          <t>20601129826</t>
        </is>
      </c>
      <c r="D1344" t="inlineStr">
        <is>
          <t>PLACA: BEH - 725</t>
        </is>
      </c>
      <c r="E1344" t="inlineStr">
        <is>
          <t>Lima, 24 de Enero de 2024</t>
        </is>
      </c>
      <c r="F1344" t="inlineStr">
        <is>
          <t>la Recarga y mantenimiento</t>
        </is>
      </c>
      <c r="G1344" t="inlineStr">
        <is>
          <t>01</t>
        </is>
      </c>
      <c r="H1344" t="inlineStr">
        <is>
          <t>06 KG</t>
        </is>
      </c>
      <c r="I1344" t="inlineStr">
        <is>
          <t>2028</t>
        </is>
      </c>
      <c r="J1344" t="n">
        <v>2023</v>
      </c>
      <c r="K1344" t="inlineStr">
        <is>
          <t>ENERO 2024</t>
        </is>
      </c>
      <c r="L1344" t="inlineStr">
        <is>
          <t>ENERO 2025</t>
        </is>
      </c>
      <c r="M1344" t="inlineStr">
        <is>
          <t>P.Q.S. TIPO ABC AL 75%</t>
        </is>
      </c>
      <c r="N1344" t="inlineStr">
        <is>
          <t>002715</t>
        </is>
      </c>
      <c r="O1344" t="inlineStr">
        <is>
          <t>R</t>
        </is>
      </c>
      <c r="P1344">
        <f>TRIM(N1344)</f>
        <v/>
      </c>
    </row>
    <row r="1345">
      <c r="A1345" t="inlineStr">
        <is>
          <t>CO-001792</t>
        </is>
      </c>
      <c r="B1345" t="inlineStr">
        <is>
          <t>ORIEL MEJIA ALVARO</t>
        </is>
      </c>
      <c r="C1345" t="inlineStr">
        <is>
          <t>22061038</t>
        </is>
      </c>
      <c r="D1345" t="inlineStr">
        <is>
          <t>PLACA: ATY - 887</t>
        </is>
      </c>
      <c r="E1345" t="inlineStr">
        <is>
          <t>Lima, 24 de Enero de 2024</t>
        </is>
      </c>
      <c r="F1345" t="inlineStr">
        <is>
          <t>la Recarga y mantenimiento</t>
        </is>
      </c>
      <c r="G1345" t="inlineStr">
        <is>
          <t>01</t>
        </is>
      </c>
      <c r="H1345" t="inlineStr">
        <is>
          <t>06 KG</t>
        </is>
      </c>
      <c r="I1345" t="inlineStr">
        <is>
          <t>VIGENTE</t>
        </is>
      </c>
      <c r="J1345" t="n">
        <v>2017</v>
      </c>
      <c r="K1345" t="inlineStr">
        <is>
          <t>ENERO 2024</t>
        </is>
      </c>
      <c r="L1345" t="inlineStr">
        <is>
          <t>ENERO 2025</t>
        </is>
      </c>
      <c r="M1345" t="inlineStr">
        <is>
          <t>P.Q.S. TIPO ABC AL 75%</t>
        </is>
      </c>
      <c r="N1345" t="inlineStr">
        <is>
          <t>000343</t>
        </is>
      </c>
      <c r="O1345" t="inlineStr">
        <is>
          <t>R</t>
        </is>
      </c>
      <c r="P1345">
        <f>TRIM(N1345)</f>
        <v/>
      </c>
    </row>
    <row r="1346">
      <c r="A1346" t="inlineStr">
        <is>
          <t>CO-001793</t>
        </is>
      </c>
      <c r="B1346" t="inlineStr">
        <is>
          <t>CARLOS MANUEL CENTENO SEGURA</t>
        </is>
      </c>
      <c r="C1346" t="inlineStr">
        <is>
          <t>06897908</t>
        </is>
      </c>
      <c r="D1346" t="inlineStr">
        <is>
          <t>PLACA: C3Q - 482</t>
        </is>
      </c>
      <c r="E1346" t="inlineStr">
        <is>
          <t>Lima, 25 de Enero de 2024</t>
        </is>
      </c>
      <c r="F1346" t="inlineStr">
        <is>
          <t>la Recarga y mantenimiento</t>
        </is>
      </c>
      <c r="G1346" t="inlineStr">
        <is>
          <t>01</t>
        </is>
      </c>
      <c r="H1346" t="inlineStr">
        <is>
          <t>02 KG</t>
        </is>
      </c>
      <c r="I1346" t="inlineStr">
        <is>
          <t>VIGENTE</t>
        </is>
      </c>
      <c r="J1346" t="n">
        <v>2009</v>
      </c>
      <c r="K1346" t="inlineStr">
        <is>
          <t>ENERO 2024</t>
        </is>
      </c>
      <c r="L1346" t="inlineStr">
        <is>
          <t>ENERO 2025</t>
        </is>
      </c>
      <c r="M1346" t="inlineStr">
        <is>
          <t>P.Q.S. TIPO ABC AL 75%</t>
        </is>
      </c>
      <c r="N1346" t="inlineStr">
        <is>
          <t>000272</t>
        </is>
      </c>
      <c r="O1346" t="inlineStr">
        <is>
          <t>R</t>
        </is>
      </c>
      <c r="P1346">
        <f>TRIM(N1346)</f>
        <v/>
      </c>
    </row>
    <row r="1347">
      <c r="A1347" t="inlineStr">
        <is>
          <t>CO-001794</t>
        </is>
      </c>
      <c r="B1347" t="inlineStr">
        <is>
          <t>TOMAS OCHOA TATAJE</t>
        </is>
      </c>
      <c r="C1347" t="inlineStr">
        <is>
          <t>08248387</t>
        </is>
      </c>
      <c r="D1347" t="inlineStr">
        <is>
          <t>PLACA: AWE - 515</t>
        </is>
      </c>
      <c r="E1347" t="inlineStr">
        <is>
          <t>Lima, 25 de Enero de 2024</t>
        </is>
      </c>
      <c r="F1347" t="inlineStr">
        <is>
          <t>la Recarga y mantenimiento</t>
        </is>
      </c>
      <c r="G1347" t="inlineStr">
        <is>
          <t>01</t>
        </is>
      </c>
      <c r="H1347" t="inlineStr">
        <is>
          <t>02 KG</t>
        </is>
      </c>
      <c r="I1347" t="inlineStr">
        <is>
          <t>2027</t>
        </is>
      </c>
      <c r="J1347" t="n">
        <v>2022</v>
      </c>
      <c r="K1347" t="inlineStr">
        <is>
          <t>ENERO 2024</t>
        </is>
      </c>
      <c r="L1347" t="inlineStr">
        <is>
          <t>ENERO 2025</t>
        </is>
      </c>
      <c r="M1347" t="inlineStr">
        <is>
          <t>P.Q.S. TIPO ABC AL 75%</t>
        </is>
      </c>
      <c r="N1347" t="inlineStr">
        <is>
          <t>000141</t>
        </is>
      </c>
      <c r="O1347" t="inlineStr">
        <is>
          <t>R</t>
        </is>
      </c>
      <c r="P1347">
        <f>TRIM(N1347)</f>
        <v/>
      </c>
    </row>
    <row r="1348">
      <c r="A1348" t="inlineStr">
        <is>
          <t>CO-001795</t>
        </is>
      </c>
      <c r="B1348" t="inlineStr">
        <is>
          <t>PERU MASIVO S.A.</t>
        </is>
      </c>
      <c r="C1348" t="inlineStr">
        <is>
          <t>20492392031</t>
        </is>
      </c>
      <c r="D1348" t="inlineStr">
        <is>
          <t>AV. LOS INCAS CDRA. 4 PATIO NORTE - COMAS</t>
        </is>
      </c>
      <c r="E1348" t="inlineStr">
        <is>
          <t>Lima, 26 de Enero de 2024</t>
        </is>
      </c>
      <c r="F1348" t="inlineStr">
        <is>
          <t>la Recarga y mantenimiento</t>
        </is>
      </c>
      <c r="G1348" t="inlineStr">
        <is>
          <t>01</t>
        </is>
      </c>
      <c r="H1348" t="inlineStr">
        <is>
          <t>06 KG</t>
        </is>
      </c>
      <c r="I1348" t="inlineStr">
        <is>
          <t>2029</t>
        </is>
      </c>
      <c r="J1348" t="n">
        <v>2009</v>
      </c>
      <c r="K1348" t="inlineStr">
        <is>
          <t>ENERO 2024</t>
        </is>
      </c>
      <c r="L1348" t="inlineStr">
        <is>
          <t>ENERO 2025</t>
        </is>
      </c>
      <c r="M1348" t="inlineStr">
        <is>
          <t>P.Q.S TIPO ABC AL 90 % NACIONAL</t>
        </is>
      </c>
      <c r="N1348" t="inlineStr">
        <is>
          <t>348 / 001137</t>
        </is>
      </c>
      <c r="O1348" t="inlineStr">
        <is>
          <t>R</t>
        </is>
      </c>
      <c r="P1348">
        <f>TRIM(N1348)</f>
        <v/>
      </c>
    </row>
    <row r="1349">
      <c r="A1349" t="inlineStr">
        <is>
          <t>CO-001795</t>
        </is>
      </c>
      <c r="B1349" t="inlineStr">
        <is>
          <t>PERU MASIVO S.A.</t>
        </is>
      </c>
      <c r="C1349" t="inlineStr">
        <is>
          <t>20492392031</t>
        </is>
      </c>
      <c r="D1349" t="inlineStr">
        <is>
          <t>AV. LOS INCAS CDRA. 4 PATIO NORTE - COMAS</t>
        </is>
      </c>
      <c r="E1349" t="inlineStr">
        <is>
          <t>Lima, 26 de Enero de 2024</t>
        </is>
      </c>
      <c r="F1349" t="inlineStr">
        <is>
          <t>la Recarga y mantenimiento</t>
        </is>
      </c>
      <c r="G1349" t="inlineStr">
        <is>
          <t>02</t>
        </is>
      </c>
      <c r="H1349" t="inlineStr">
        <is>
          <t>06 KG</t>
        </is>
      </c>
      <c r="I1349" t="inlineStr">
        <is>
          <t>2029</t>
        </is>
      </c>
      <c r="J1349" t="n">
        <v>2009</v>
      </c>
      <c r="K1349" t="inlineStr">
        <is>
          <t>ENERO 2024</t>
        </is>
      </c>
      <c r="L1349" t="inlineStr">
        <is>
          <t>ENERO 2025</t>
        </is>
      </c>
      <c r="M1349" t="inlineStr">
        <is>
          <t>P.Q.S TIPO ABC AL 90 % NACIONAL</t>
        </is>
      </c>
      <c r="N1349" t="inlineStr">
        <is>
          <t>368 / 002766</t>
        </is>
      </c>
      <c r="O1349" t="inlineStr">
        <is>
          <t>R</t>
        </is>
      </c>
      <c r="P1349">
        <f>TRIM(N1349)</f>
        <v/>
      </c>
    </row>
    <row r="1350">
      <c r="A1350" t="inlineStr">
        <is>
          <t>CO-001795</t>
        </is>
      </c>
      <c r="B1350" t="inlineStr">
        <is>
          <t>PERU MASIVO S.A.</t>
        </is>
      </c>
      <c r="C1350" t="inlineStr">
        <is>
          <t>20492392031</t>
        </is>
      </c>
      <c r="D1350" t="inlineStr">
        <is>
          <t>AV. LOS INCAS CDRA. 4 PATIO NORTE - COMAS</t>
        </is>
      </c>
      <c r="E1350" t="inlineStr">
        <is>
          <t>Lima, 26 de Enero de 2024</t>
        </is>
      </c>
      <c r="F1350" t="inlineStr">
        <is>
          <t>la Recarga y mantenimiento</t>
        </is>
      </c>
      <c r="G1350" t="inlineStr">
        <is>
          <t>03</t>
        </is>
      </c>
      <c r="H1350" t="inlineStr">
        <is>
          <t>06 KG</t>
        </is>
      </c>
      <c r="I1350" t="inlineStr">
        <is>
          <t>2029</t>
        </is>
      </c>
      <c r="J1350" t="n">
        <v>2009</v>
      </c>
      <c r="K1350" t="inlineStr">
        <is>
          <t>ENERO 2024</t>
        </is>
      </c>
      <c r="L1350" t="inlineStr">
        <is>
          <t>ENERO 2025</t>
        </is>
      </c>
      <c r="M1350" t="inlineStr">
        <is>
          <t>P.Q.S TIPO ABC AL 90 % NACIONAL</t>
        </is>
      </c>
      <c r="N1350" t="inlineStr">
        <is>
          <t>98 / 002612</t>
        </is>
      </c>
      <c r="O1350" t="inlineStr">
        <is>
          <t>R</t>
        </is>
      </c>
      <c r="P1350">
        <f>TRIM(N1350)</f>
        <v/>
      </c>
    </row>
    <row r="1351">
      <c r="A1351" t="inlineStr">
        <is>
          <t>CO-001795</t>
        </is>
      </c>
      <c r="B1351" t="inlineStr">
        <is>
          <t>PERU MASIVO S.A.</t>
        </is>
      </c>
      <c r="C1351" t="inlineStr">
        <is>
          <t>20492392031</t>
        </is>
      </c>
      <c r="D1351" t="inlineStr">
        <is>
          <t>AV. LOS INCAS CDRA. 4 PATIO NORTE - COMAS</t>
        </is>
      </c>
      <c r="E1351" t="inlineStr">
        <is>
          <t>Lima, 26 de Enero de 2024</t>
        </is>
      </c>
      <c r="F1351" t="inlineStr">
        <is>
          <t>la Recarga y mantenimiento</t>
        </is>
      </c>
      <c r="G1351" t="inlineStr">
        <is>
          <t>04</t>
        </is>
      </c>
      <c r="H1351" t="inlineStr">
        <is>
          <t>06 KG</t>
        </is>
      </c>
      <c r="I1351" t="inlineStr">
        <is>
          <t>2029</t>
        </is>
      </c>
      <c r="J1351" t="n">
        <v>2010</v>
      </c>
      <c r="K1351" t="inlineStr">
        <is>
          <t>ENERO 2024</t>
        </is>
      </c>
      <c r="L1351" t="inlineStr">
        <is>
          <t>ENERO 2025</t>
        </is>
      </c>
      <c r="M1351" t="inlineStr">
        <is>
          <t>P.Q.S TIPO ABC AL 90 % NACIONAL</t>
        </is>
      </c>
      <c r="N1351" t="inlineStr">
        <is>
          <t>106 / 000638</t>
        </is>
      </c>
      <c r="O1351" t="inlineStr">
        <is>
          <t>R</t>
        </is>
      </c>
      <c r="P1351">
        <f>TRIM(N1351)</f>
        <v/>
      </c>
    </row>
    <row r="1352">
      <c r="A1352" t="inlineStr">
        <is>
          <t>CO-001795</t>
        </is>
      </c>
      <c r="B1352" t="inlineStr">
        <is>
          <t>PERU MASIVO S.A.</t>
        </is>
      </c>
      <c r="C1352" t="inlineStr">
        <is>
          <t>20492392031</t>
        </is>
      </c>
      <c r="D1352" t="inlineStr">
        <is>
          <t>AV. LOS INCAS CDRA. 4 PATIO NORTE - COMAS</t>
        </is>
      </c>
      <c r="E1352" t="inlineStr">
        <is>
          <t>Lima, 26 de Enero de 2024</t>
        </is>
      </c>
      <c r="F1352" t="inlineStr">
        <is>
          <t>la Recarga y mantenimiento</t>
        </is>
      </c>
      <c r="G1352" t="inlineStr">
        <is>
          <t>05</t>
        </is>
      </c>
      <c r="H1352" t="inlineStr">
        <is>
          <t>06 KG</t>
        </is>
      </c>
      <c r="I1352" t="inlineStr">
        <is>
          <t>2029</t>
        </is>
      </c>
      <c r="J1352" t="n">
        <v>2013</v>
      </c>
      <c r="K1352" t="inlineStr">
        <is>
          <t>ENERO 2024</t>
        </is>
      </c>
      <c r="L1352" t="inlineStr">
        <is>
          <t>ENERO 2025</t>
        </is>
      </c>
      <c r="M1352" t="inlineStr">
        <is>
          <t>P.Q.S TIPO ABC AL 90 % NACIONAL</t>
        </is>
      </c>
      <c r="N1352" t="inlineStr">
        <is>
          <t>S/N 003327</t>
        </is>
      </c>
      <c r="O1352" t="inlineStr">
        <is>
          <t>R</t>
        </is>
      </c>
      <c r="P1352">
        <f>TRIM(N1352)</f>
        <v/>
      </c>
    </row>
    <row r="1353">
      <c r="A1353" t="inlineStr">
        <is>
          <t>CO-001795</t>
        </is>
      </c>
      <c r="B1353" t="inlineStr">
        <is>
          <t>PERU MASIVO S.A.</t>
        </is>
      </c>
      <c r="C1353" t="inlineStr">
        <is>
          <t>20492392031</t>
        </is>
      </c>
      <c r="D1353" t="inlineStr">
        <is>
          <t>AV. LOS INCAS CDRA. 4 PATIO NORTE - COMAS</t>
        </is>
      </c>
      <c r="E1353" t="inlineStr">
        <is>
          <t>Lima, 26 de Enero de 2024</t>
        </is>
      </c>
      <c r="F1353" t="inlineStr">
        <is>
          <t>la Recarga y mantenimiento</t>
        </is>
      </c>
      <c r="G1353" t="inlineStr">
        <is>
          <t>06</t>
        </is>
      </c>
      <c r="H1353" t="inlineStr">
        <is>
          <t>06 KG</t>
        </is>
      </c>
      <c r="I1353" t="inlineStr">
        <is>
          <t>2029</t>
        </is>
      </c>
      <c r="J1353" t="n">
        <v>2009</v>
      </c>
      <c r="K1353" t="inlineStr">
        <is>
          <t>ENERO 2024</t>
        </is>
      </c>
      <c r="L1353" t="inlineStr">
        <is>
          <t>ENERO 2025</t>
        </is>
      </c>
      <c r="M1353" t="inlineStr">
        <is>
          <t>P.Q.S TIPO ABC AL 90 % NACIONAL</t>
        </is>
      </c>
      <c r="N1353" t="inlineStr">
        <is>
          <t>62 / 000351</t>
        </is>
      </c>
      <c r="O1353" t="inlineStr">
        <is>
          <t>R</t>
        </is>
      </c>
      <c r="P1353">
        <f>TRIM(N1353)</f>
        <v/>
      </c>
    </row>
    <row r="1354">
      <c r="A1354" t="inlineStr">
        <is>
          <t>CO-001795</t>
        </is>
      </c>
      <c r="B1354" t="inlineStr">
        <is>
          <t>PERU MASIVO S.A.</t>
        </is>
      </c>
      <c r="C1354" t="inlineStr">
        <is>
          <t>20492392031</t>
        </is>
      </c>
      <c r="D1354" t="inlineStr">
        <is>
          <t>AV. LOS INCAS CDRA. 4 PATIO NORTE - COMAS</t>
        </is>
      </c>
      <c r="E1354" t="inlineStr">
        <is>
          <t>Lima, 26 de Enero de 2024</t>
        </is>
      </c>
      <c r="F1354" t="inlineStr">
        <is>
          <t>la Recarga y mantenimiento</t>
        </is>
      </c>
      <c r="G1354" t="inlineStr">
        <is>
          <t>07</t>
        </is>
      </c>
      <c r="H1354" t="inlineStr">
        <is>
          <t>06 KG</t>
        </is>
      </c>
      <c r="I1354" t="inlineStr">
        <is>
          <t>2028</t>
        </is>
      </c>
      <c r="J1354" t="n">
        <v>2016</v>
      </c>
      <c r="K1354" t="inlineStr">
        <is>
          <t>ENERO 2024</t>
        </is>
      </c>
      <c r="L1354" t="inlineStr">
        <is>
          <t>ENERO 2025</t>
        </is>
      </c>
      <c r="M1354" t="inlineStr">
        <is>
          <t>P.Q.S TIPO ABC AL 90 % NACIONAL</t>
        </is>
      </c>
      <c r="N1354" t="inlineStr">
        <is>
          <t>S/N / 000357</t>
        </is>
      </c>
      <c r="O1354" t="inlineStr">
        <is>
          <t>R</t>
        </is>
      </c>
      <c r="P1354">
        <f>TRIM(N1354)</f>
        <v/>
      </c>
    </row>
    <row r="1355">
      <c r="A1355" t="inlineStr">
        <is>
          <t>CO-001795</t>
        </is>
      </c>
      <c r="B1355" t="inlineStr">
        <is>
          <t>PERU MASIVO S.A.</t>
        </is>
      </c>
      <c r="C1355" t="inlineStr">
        <is>
          <t>20492392031</t>
        </is>
      </c>
      <c r="D1355" t="inlineStr">
        <is>
          <t>AV. LOS INCAS CDRA. 4 PATIO NORTE - COMAS</t>
        </is>
      </c>
      <c r="E1355" t="inlineStr">
        <is>
          <t>Lima, 26 de Enero de 2024</t>
        </is>
      </c>
      <c r="F1355" t="inlineStr">
        <is>
          <t>la Recarga y mantenimiento</t>
        </is>
      </c>
      <c r="G1355" t="inlineStr">
        <is>
          <t>08</t>
        </is>
      </c>
      <c r="H1355" t="inlineStr">
        <is>
          <t>06 KG</t>
        </is>
      </c>
      <c r="I1355" t="inlineStr">
        <is>
          <t>2029</t>
        </is>
      </c>
      <c r="J1355" t="n">
        <v>2009</v>
      </c>
      <c r="K1355" t="inlineStr">
        <is>
          <t>ENERO 2024</t>
        </is>
      </c>
      <c r="L1355" t="inlineStr">
        <is>
          <t>ENERO 2025</t>
        </is>
      </c>
      <c r="M1355" t="inlineStr">
        <is>
          <t>P.Q.S TIPO ABC AL 90 % NACIONAL</t>
        </is>
      </c>
      <c r="N1355" t="inlineStr">
        <is>
          <t>18 / 001163</t>
        </is>
      </c>
      <c r="O1355" t="inlineStr">
        <is>
          <t>R</t>
        </is>
      </c>
      <c r="P1355">
        <f>TRIM(N1355)</f>
        <v/>
      </c>
    </row>
    <row r="1356">
      <c r="A1356" t="inlineStr">
        <is>
          <t>CO-001795</t>
        </is>
      </c>
      <c r="B1356" t="inlineStr">
        <is>
          <t>PERU MASIVO S.A.</t>
        </is>
      </c>
      <c r="C1356" t="inlineStr">
        <is>
          <t>20492392031</t>
        </is>
      </c>
      <c r="D1356" t="inlineStr">
        <is>
          <t>AV. LOS INCAS CDRA. 4 PATIO NORTE - COMAS</t>
        </is>
      </c>
      <c r="E1356" t="inlineStr">
        <is>
          <t>Lima, 26 de Enero de 2024</t>
        </is>
      </c>
      <c r="F1356" t="inlineStr">
        <is>
          <t>la Recarga y mantenimiento</t>
        </is>
      </c>
      <c r="G1356" t="inlineStr">
        <is>
          <t>09</t>
        </is>
      </c>
      <c r="H1356" t="inlineStr">
        <is>
          <t>06 KG</t>
        </is>
      </c>
      <c r="I1356" t="inlineStr">
        <is>
          <t>2029</t>
        </is>
      </c>
      <c r="J1356" t="n">
        <v>2017</v>
      </c>
      <c r="K1356" t="inlineStr">
        <is>
          <t>ENERO 2024</t>
        </is>
      </c>
      <c r="L1356" t="inlineStr">
        <is>
          <t>ENERO 2025</t>
        </is>
      </c>
      <c r="M1356" t="inlineStr">
        <is>
          <t>P.Q.S TIPO ABC AL 90 % NACIONAL</t>
        </is>
      </c>
      <c r="N1356" t="inlineStr">
        <is>
          <t>S/N / 005946</t>
        </is>
      </c>
      <c r="O1356" t="inlineStr">
        <is>
          <t>R</t>
        </is>
      </c>
      <c r="P1356">
        <f>TRIM(N1356)</f>
        <v/>
      </c>
    </row>
    <row r="1357">
      <c r="A1357" t="inlineStr">
        <is>
          <t>CO-001795</t>
        </is>
      </c>
      <c r="B1357" t="inlineStr">
        <is>
          <t>PERU MASIVO S.A.</t>
        </is>
      </c>
      <c r="C1357" t="inlineStr">
        <is>
          <t>20492392031</t>
        </is>
      </c>
      <c r="D1357" t="inlineStr">
        <is>
          <t>AV. LOS INCAS CDRA. 4 PATIO NORTE - COMAS</t>
        </is>
      </c>
      <c r="E1357" t="inlineStr">
        <is>
          <t>Lima, 26 de Enero de 2024</t>
        </is>
      </c>
      <c r="F1357" t="inlineStr">
        <is>
          <t>la Recarga y mantenimiento</t>
        </is>
      </c>
      <c r="G1357" t="n">
        <v>10</v>
      </c>
      <c r="H1357" t="inlineStr">
        <is>
          <t>06 KG</t>
        </is>
      </c>
      <c r="I1357" t="inlineStr">
        <is>
          <t>2029</t>
        </is>
      </c>
      <c r="J1357" t="n">
        <v>2013</v>
      </c>
      <c r="K1357" t="inlineStr">
        <is>
          <t>ENERO 2024</t>
        </is>
      </c>
      <c r="L1357" t="inlineStr">
        <is>
          <t>ENERO 2025</t>
        </is>
      </c>
      <c r="M1357" t="inlineStr">
        <is>
          <t>P.Q.S TIPO ABC AL 90 % NACIONAL</t>
        </is>
      </c>
      <c r="N1357" t="inlineStr">
        <is>
          <t>S/N 000728</t>
        </is>
      </c>
      <c r="O1357" t="inlineStr">
        <is>
          <t>R</t>
        </is>
      </c>
      <c r="P1357">
        <f>TRIM(N1357)</f>
        <v/>
      </c>
    </row>
    <row r="1358">
      <c r="A1358" t="inlineStr">
        <is>
          <t>CO-001795</t>
        </is>
      </c>
      <c r="B1358" t="inlineStr">
        <is>
          <t>PERU MASIVO S.A.</t>
        </is>
      </c>
      <c r="C1358" t="inlineStr">
        <is>
          <t>20492392031</t>
        </is>
      </c>
      <c r="D1358" t="inlineStr">
        <is>
          <t>AV. LOS INCAS CDRA. 4 PATIO NORTE - COMAS</t>
        </is>
      </c>
      <c r="E1358" t="inlineStr">
        <is>
          <t>Lima, 26 de Enero de 2024</t>
        </is>
      </c>
      <c r="F1358" t="inlineStr">
        <is>
          <t>la Recarga y mantenimiento</t>
        </is>
      </c>
      <c r="G1358" t="n">
        <v>11</v>
      </c>
      <c r="H1358" t="inlineStr">
        <is>
          <t>06 KG</t>
        </is>
      </c>
      <c r="I1358" t="inlineStr">
        <is>
          <t>2029</t>
        </is>
      </c>
      <c r="J1358" t="n">
        <v>2010</v>
      </c>
      <c r="K1358" t="inlineStr">
        <is>
          <t>ENERO 2024</t>
        </is>
      </c>
      <c r="L1358" t="inlineStr">
        <is>
          <t>ENERO 2025</t>
        </is>
      </c>
      <c r="M1358" t="inlineStr">
        <is>
          <t>P.Q.S TIPO ABC AL 90 % NACIONAL</t>
        </is>
      </c>
      <c r="N1358" t="inlineStr">
        <is>
          <t>381 / 001019</t>
        </is>
      </c>
      <c r="O1358" t="inlineStr">
        <is>
          <t>R</t>
        </is>
      </c>
      <c r="P1358">
        <f>TRIM(N1358)</f>
        <v/>
      </c>
    </row>
    <row r="1359">
      <c r="A1359" t="inlineStr">
        <is>
          <t>CO-001795</t>
        </is>
      </c>
      <c r="B1359" t="inlineStr">
        <is>
          <t>PERU MASIVO S.A.</t>
        </is>
      </c>
      <c r="C1359" t="inlineStr">
        <is>
          <t>20492392031</t>
        </is>
      </c>
      <c r="D1359" t="inlineStr">
        <is>
          <t>AV. LOS INCAS CDRA. 4 PATIO NORTE - COMAS</t>
        </is>
      </c>
      <c r="E1359" t="inlineStr">
        <is>
          <t>Lima, 26 de Enero de 2024</t>
        </is>
      </c>
      <c r="F1359" t="inlineStr">
        <is>
          <t>la Recarga y mantenimiento</t>
        </is>
      </c>
      <c r="G1359" t="n">
        <v>12</v>
      </c>
      <c r="H1359" t="inlineStr">
        <is>
          <t>06 KG</t>
        </is>
      </c>
      <c r="I1359" t="inlineStr">
        <is>
          <t>2029</t>
        </is>
      </c>
      <c r="J1359" t="n">
        <v>2010</v>
      </c>
      <c r="K1359" t="inlineStr">
        <is>
          <t>ENERO 2024</t>
        </is>
      </c>
      <c r="L1359" t="inlineStr">
        <is>
          <t>ENERO 2025</t>
        </is>
      </c>
      <c r="M1359" t="inlineStr">
        <is>
          <t>P.Q.S TIPO ABC AL 90 % NACIONAL</t>
        </is>
      </c>
      <c r="N1359" t="inlineStr">
        <is>
          <t>65 / 000125</t>
        </is>
      </c>
      <c r="O1359" t="inlineStr">
        <is>
          <t>R</t>
        </is>
      </c>
      <c r="P1359">
        <f>TRIM(N1359)</f>
        <v/>
      </c>
    </row>
    <row r="1360">
      <c r="A1360" t="inlineStr">
        <is>
          <t>CO-001796</t>
        </is>
      </c>
      <c r="B1360" t="inlineStr">
        <is>
          <t>FANNY FRANCIS FUERTES ESPINOZA DE VEGA</t>
        </is>
      </c>
      <c r="C1360" t="inlineStr">
        <is>
          <t>06847861</t>
        </is>
      </c>
      <c r="D1360" t="inlineStr">
        <is>
          <t>SECTOR LIBRERÍA - PUESTO 04</t>
        </is>
      </c>
      <c r="E1360" t="inlineStr">
        <is>
          <t>Lima, 27 de Enero de 2024</t>
        </is>
      </c>
      <c r="F1360" t="inlineStr">
        <is>
          <t>la venta</t>
        </is>
      </c>
      <c r="G1360" t="inlineStr">
        <is>
          <t>01</t>
        </is>
      </c>
      <c r="H1360" t="inlineStr">
        <is>
          <t>04 KG</t>
        </is>
      </c>
      <c r="I1360" t="inlineStr">
        <is>
          <t>2029</t>
        </is>
      </c>
      <c r="J1360" t="n">
        <v>2024</v>
      </c>
      <c r="K1360" t="inlineStr">
        <is>
          <t>ENERO 2024</t>
        </is>
      </c>
      <c r="L1360" t="inlineStr">
        <is>
          <t>ENERO 2025</t>
        </is>
      </c>
      <c r="M1360" t="inlineStr">
        <is>
          <t xml:space="preserve">P.Q.S.  TIPO ABC </t>
        </is>
      </c>
      <c r="N1360" t="inlineStr">
        <is>
          <t>000002</t>
        </is>
      </c>
      <c r="O1360" t="inlineStr">
        <is>
          <t>V</t>
        </is>
      </c>
      <c r="P1360">
        <f>TRIM(N1360)</f>
        <v/>
      </c>
    </row>
    <row r="1361">
      <c r="A1361" t="inlineStr">
        <is>
          <t>CO-001797</t>
        </is>
      </c>
      <c r="B1361" t="inlineStr">
        <is>
          <t>ASOCIACIÓN COMERCIAL MERCADO 1° DE MAYO - 4° ZONA COLLIQUE</t>
        </is>
      </c>
      <c r="D1361" t="inlineStr">
        <is>
          <t>AV. REVOLUCION CDRA. 28 NRO. S/N COLLIQUE 4TA ZONA - COMAS</t>
        </is>
      </c>
      <c r="E1361" t="inlineStr">
        <is>
          <t>Lima, 31 de Enero de 2024</t>
        </is>
      </c>
      <c r="F1361" t="inlineStr">
        <is>
          <t>la Recarga y mantenimiento</t>
        </is>
      </c>
      <c r="G1361" t="inlineStr">
        <is>
          <t>01</t>
        </is>
      </c>
      <c r="H1361" t="inlineStr">
        <is>
          <t>12 KG</t>
        </is>
      </c>
      <c r="I1361" t="inlineStr">
        <is>
          <t>2027</t>
        </is>
      </c>
      <c r="J1361" t="inlineStr">
        <is>
          <t>2011</t>
        </is>
      </c>
      <c r="K1361" t="inlineStr">
        <is>
          <t>ENERO 2024</t>
        </is>
      </c>
      <c r="L1361" t="inlineStr">
        <is>
          <t>ENERO 2025</t>
        </is>
      </c>
      <c r="M1361" t="inlineStr">
        <is>
          <t xml:space="preserve">P.Q.S.  TIPO ABC </t>
        </is>
      </c>
      <c r="N1361" t="inlineStr">
        <is>
          <t>1er. PISO / 000670</t>
        </is>
      </c>
      <c r="O1361" t="inlineStr">
        <is>
          <t>R</t>
        </is>
      </c>
      <c r="P1361">
        <f>TRIM(N1361)</f>
        <v/>
      </c>
    </row>
    <row r="1362">
      <c r="A1362" t="inlineStr">
        <is>
          <t>CO-001797</t>
        </is>
      </c>
      <c r="B1362" t="inlineStr">
        <is>
          <t>ASOCIACIÓN COMERCIAL MERCADO 1° DE MAYO - 4° ZONA COLLIQUE</t>
        </is>
      </c>
      <c r="D1362" t="inlineStr">
        <is>
          <t>AV. REVOLUCION CDRA. 28 NRO. S/N COLLIQUE 4TA ZONA - COMAS</t>
        </is>
      </c>
      <c r="E1362" t="inlineStr">
        <is>
          <t>Lima, 31 de Enero de 2024</t>
        </is>
      </c>
      <c r="F1362" t="inlineStr">
        <is>
          <t>la Recarga y mantenimiento</t>
        </is>
      </c>
      <c r="G1362" t="inlineStr">
        <is>
          <t>02</t>
        </is>
      </c>
      <c r="H1362" t="inlineStr">
        <is>
          <t>12 KG</t>
        </is>
      </c>
      <c r="I1362" t="inlineStr">
        <is>
          <t>2027</t>
        </is>
      </c>
      <c r="J1362" t="n">
        <v>2011</v>
      </c>
      <c r="K1362" t="inlineStr">
        <is>
          <t>ENERO 2024</t>
        </is>
      </c>
      <c r="L1362" t="inlineStr">
        <is>
          <t>ENERO 2025</t>
        </is>
      </c>
      <c r="M1362" t="inlineStr">
        <is>
          <t xml:space="preserve">P.Q.S.  TIPO ABC </t>
        </is>
      </c>
      <c r="N1362" t="inlineStr">
        <is>
          <t>1er. PISO / 000719</t>
        </is>
      </c>
      <c r="O1362" t="inlineStr">
        <is>
          <t>R</t>
        </is>
      </c>
      <c r="P1362">
        <f>TRIM(N1362)</f>
        <v/>
      </c>
    </row>
    <row r="1363">
      <c r="A1363" t="inlineStr">
        <is>
          <t>CO-001797</t>
        </is>
      </c>
      <c r="B1363" t="inlineStr">
        <is>
          <t>ASOCIACIÓN COMERCIAL MERCADO 1° DE MAYO - 4° ZONA COLLIQUE</t>
        </is>
      </c>
      <c r="D1363" t="inlineStr">
        <is>
          <t>AV. REVOLUCION CDRA. 28 NRO. S/N COLLIQUE 4TA ZONA - COMAS</t>
        </is>
      </c>
      <c r="E1363" t="inlineStr">
        <is>
          <t>Lima, 31 de Enero de 2024</t>
        </is>
      </c>
      <c r="F1363" t="inlineStr">
        <is>
          <t>la Recarga y mantenimiento</t>
        </is>
      </c>
      <c r="G1363" t="inlineStr">
        <is>
          <t>03</t>
        </is>
      </c>
      <c r="H1363" t="inlineStr">
        <is>
          <t>12 KG</t>
        </is>
      </c>
      <c r="I1363" t="inlineStr">
        <is>
          <t>2027</t>
        </is>
      </c>
      <c r="J1363" t="n">
        <v>2011</v>
      </c>
      <c r="K1363" t="inlineStr">
        <is>
          <t>ENERO 2024</t>
        </is>
      </c>
      <c r="L1363" t="inlineStr">
        <is>
          <t>ENERO 2025</t>
        </is>
      </c>
      <c r="M1363" t="inlineStr">
        <is>
          <t xml:space="preserve">P.Q.S.  TIPO ABC </t>
        </is>
      </c>
      <c r="N1363" t="inlineStr">
        <is>
          <t>1er. PISO / 000801</t>
        </is>
      </c>
      <c r="O1363" t="inlineStr">
        <is>
          <t>R</t>
        </is>
      </c>
      <c r="P1363">
        <f>TRIM(N1363)</f>
        <v/>
      </c>
    </row>
    <row r="1364">
      <c r="A1364" t="inlineStr">
        <is>
          <t>CO-001797</t>
        </is>
      </c>
      <c r="B1364" t="inlineStr">
        <is>
          <t>ASOCIACIÓN COMERCIAL MERCADO 1° DE MAYO - 4° ZONA COLLIQUE</t>
        </is>
      </c>
      <c r="D1364" t="inlineStr">
        <is>
          <t>AV. REVOLUCION CDRA. 28 NRO. S/N COLLIQUE 4TA ZONA - COMAS</t>
        </is>
      </c>
      <c r="E1364" t="inlineStr">
        <is>
          <t>Lima, 31 de Enero de 2024</t>
        </is>
      </c>
      <c r="F1364" t="inlineStr">
        <is>
          <t>la Recarga y mantenimiento</t>
        </is>
      </c>
      <c r="G1364" t="inlineStr">
        <is>
          <t>04</t>
        </is>
      </c>
      <c r="H1364" t="inlineStr">
        <is>
          <t>12 KG</t>
        </is>
      </c>
      <c r="I1364" t="inlineStr">
        <is>
          <t>2027</t>
        </is>
      </c>
      <c r="J1364" t="n">
        <v>2011</v>
      </c>
      <c r="K1364" t="inlineStr">
        <is>
          <t>ENERO 2024</t>
        </is>
      </c>
      <c r="L1364" t="inlineStr">
        <is>
          <t>ENERO 2025</t>
        </is>
      </c>
      <c r="M1364" t="inlineStr">
        <is>
          <t xml:space="preserve">P.Q.S.  TIPO ABC </t>
        </is>
      </c>
      <c r="N1364" t="inlineStr">
        <is>
          <t>1er. PISO / 000388</t>
        </is>
      </c>
      <c r="O1364" t="inlineStr">
        <is>
          <t>R</t>
        </is>
      </c>
      <c r="P1364">
        <f>TRIM(N1364)</f>
        <v/>
      </c>
    </row>
    <row r="1365">
      <c r="A1365" t="inlineStr">
        <is>
          <t>CO-001797</t>
        </is>
      </c>
      <c r="B1365" t="inlineStr">
        <is>
          <t>ASOCIACIÓN COMERCIAL MERCADO 1° DE MAYO - 4° ZONA COLLIQUE</t>
        </is>
      </c>
      <c r="D1365" t="inlineStr">
        <is>
          <t>AV. REVOLUCION CDRA. 28 NRO. S/N COLLIQUE 4TA ZONA - COMAS</t>
        </is>
      </c>
      <c r="E1365" t="inlineStr">
        <is>
          <t>Lima, 31 de Enero de 2024</t>
        </is>
      </c>
      <c r="F1365" t="inlineStr">
        <is>
          <t>la Recarga y mantenimiento</t>
        </is>
      </c>
      <c r="G1365" t="inlineStr">
        <is>
          <t>05</t>
        </is>
      </c>
      <c r="H1365" t="inlineStr">
        <is>
          <t>12 KG</t>
        </is>
      </c>
      <c r="I1365" t="inlineStr">
        <is>
          <t>2027</t>
        </is>
      </c>
      <c r="J1365" t="n">
        <v>2015</v>
      </c>
      <c r="K1365" t="inlineStr">
        <is>
          <t>ENERO 2024</t>
        </is>
      </c>
      <c r="L1365" t="inlineStr">
        <is>
          <t>ENERO 2025</t>
        </is>
      </c>
      <c r="M1365" t="inlineStr">
        <is>
          <t xml:space="preserve">P.Q.S.  TIPO ABC </t>
        </is>
      </c>
      <c r="N1365" t="inlineStr">
        <is>
          <t>2 do. PISO / 000067</t>
        </is>
      </c>
      <c r="O1365" t="inlineStr">
        <is>
          <t>R</t>
        </is>
      </c>
      <c r="P1365">
        <f>TRIM(N1365)</f>
        <v/>
      </c>
    </row>
    <row r="1366">
      <c r="A1366" t="inlineStr">
        <is>
          <t>CO-001797</t>
        </is>
      </c>
      <c r="B1366" t="inlineStr">
        <is>
          <t>ASOCIACIÓN COMERCIAL MERCADO 1° DE MAYO - 4° ZONA COLLIQUE</t>
        </is>
      </c>
      <c r="D1366" t="inlineStr">
        <is>
          <t>AV. REVOLUCION CDRA. 28 NRO. S/N COLLIQUE 4TA ZONA - COMAS</t>
        </is>
      </c>
      <c r="E1366" t="inlineStr">
        <is>
          <t>Lima, 31 de Enero de 2024</t>
        </is>
      </c>
      <c r="F1366" t="inlineStr">
        <is>
          <t>la Recarga y mantenimiento</t>
        </is>
      </c>
      <c r="G1366" t="inlineStr">
        <is>
          <t>06</t>
        </is>
      </c>
      <c r="H1366" t="inlineStr">
        <is>
          <t>12 KG</t>
        </is>
      </c>
      <c r="I1366" t="inlineStr">
        <is>
          <t>2027</t>
        </is>
      </c>
      <c r="J1366" t="n">
        <v>2015</v>
      </c>
      <c r="K1366" t="inlineStr">
        <is>
          <t>ENERO 2024</t>
        </is>
      </c>
      <c r="L1366" t="inlineStr">
        <is>
          <t>ENERO 2025</t>
        </is>
      </c>
      <c r="M1366" t="inlineStr">
        <is>
          <t xml:space="preserve">P.Q.S.  TIPO ABC </t>
        </is>
      </c>
      <c r="N1366" t="inlineStr">
        <is>
          <t>2 do. PISO / 000155</t>
        </is>
      </c>
      <c r="O1366" t="inlineStr">
        <is>
          <t>R</t>
        </is>
      </c>
      <c r="P1366">
        <f>TRIM(N1366)</f>
        <v/>
      </c>
    </row>
    <row r="1367">
      <c r="A1367" t="inlineStr">
        <is>
          <t>CO-001797</t>
        </is>
      </c>
      <c r="B1367" t="inlineStr">
        <is>
          <t>ASOCIACIÓN COMERCIAL MERCADO 1° DE MAYO - 4° ZONA COLLIQUE</t>
        </is>
      </c>
      <c r="D1367" t="inlineStr">
        <is>
          <t>AV. REVOLUCION CDRA. 28 NRO. S/N COLLIQUE 4TA ZONA - COMAS</t>
        </is>
      </c>
      <c r="E1367" t="inlineStr">
        <is>
          <t>Lima, 31 de Enero de 2024</t>
        </is>
      </c>
      <c r="F1367" t="inlineStr">
        <is>
          <t>la Recarga y mantenimiento</t>
        </is>
      </c>
      <c r="G1367" t="inlineStr">
        <is>
          <t>07</t>
        </is>
      </c>
      <c r="H1367" t="inlineStr">
        <is>
          <t>12 KG</t>
        </is>
      </c>
      <c r="I1367" t="inlineStr">
        <is>
          <t>2027</t>
        </is>
      </c>
      <c r="J1367" t="n">
        <v>2015</v>
      </c>
      <c r="K1367" t="inlineStr">
        <is>
          <t>ENERO 2024</t>
        </is>
      </c>
      <c r="L1367" t="inlineStr">
        <is>
          <t>ENERO 2025</t>
        </is>
      </c>
      <c r="M1367" t="inlineStr">
        <is>
          <t xml:space="preserve">P.Q.S.  TIPO ABC </t>
        </is>
      </c>
      <c r="N1367" t="inlineStr">
        <is>
          <t>2 do. PISO / 000286</t>
        </is>
      </c>
      <c r="O1367" t="inlineStr">
        <is>
          <t>R</t>
        </is>
      </c>
      <c r="P1367">
        <f>TRIM(N1367)</f>
        <v/>
      </c>
    </row>
    <row r="1368">
      <c r="A1368" t="inlineStr">
        <is>
          <t>CO-001797</t>
        </is>
      </c>
      <c r="B1368" t="inlineStr">
        <is>
          <t>ASOCIACIÓN COMERCIAL MERCADO 1° DE MAYO - 4° ZONA COLLIQUE</t>
        </is>
      </c>
      <c r="D1368" t="inlineStr">
        <is>
          <t>AV. REVOLUCION CDRA. 28 NRO. S/N COLLIQUE 4TA ZONA - COMAS</t>
        </is>
      </c>
      <c r="E1368" t="inlineStr">
        <is>
          <t>Lima, 31 de Enero de 2024</t>
        </is>
      </c>
      <c r="F1368" t="inlineStr">
        <is>
          <t>la Recarga y mantenimiento</t>
        </is>
      </c>
      <c r="G1368" t="inlineStr">
        <is>
          <t>08</t>
        </is>
      </c>
      <c r="H1368" t="inlineStr">
        <is>
          <t>12 KG</t>
        </is>
      </c>
      <c r="I1368" t="inlineStr">
        <is>
          <t>2027</t>
        </is>
      </c>
      <c r="J1368" t="n">
        <v>2017</v>
      </c>
      <c r="K1368" t="inlineStr">
        <is>
          <t>ENERO 2024</t>
        </is>
      </c>
      <c r="L1368" t="inlineStr">
        <is>
          <t>ENERO 2025</t>
        </is>
      </c>
      <c r="M1368" t="inlineStr">
        <is>
          <t xml:space="preserve">P.Q.S.  TIPO ABC </t>
        </is>
      </c>
      <c r="N1368" t="inlineStr">
        <is>
          <t>2 do. PISO / 001855</t>
        </is>
      </c>
      <c r="O1368" t="inlineStr">
        <is>
          <t>R</t>
        </is>
      </c>
      <c r="P1368">
        <f>TRIM(N1368)</f>
        <v/>
      </c>
    </row>
    <row r="1369">
      <c r="A1369" t="inlineStr">
        <is>
          <t>CO-001797</t>
        </is>
      </c>
      <c r="B1369" t="inlineStr">
        <is>
          <t>ASOCIACIÓN COMERCIAL MERCADO 1° DE MAYO - 4° ZONA COLLIQUE</t>
        </is>
      </c>
      <c r="D1369" t="inlineStr">
        <is>
          <t>AV. REVOLUCION CDRA. 28 NRO. S/N COLLIQUE 4TA ZONA - COMAS</t>
        </is>
      </c>
      <c r="E1369" t="inlineStr">
        <is>
          <t>Lima, 31 de Enero de 2024</t>
        </is>
      </c>
      <c r="F1369" t="inlineStr">
        <is>
          <t>la Recarga y mantenimiento</t>
        </is>
      </c>
      <c r="G1369" t="inlineStr">
        <is>
          <t>09</t>
        </is>
      </c>
      <c r="H1369" t="inlineStr">
        <is>
          <t>12 KG</t>
        </is>
      </c>
      <c r="I1369" t="inlineStr">
        <is>
          <t>2027</t>
        </is>
      </c>
      <c r="J1369" t="n">
        <v>2009</v>
      </c>
      <c r="K1369" t="inlineStr">
        <is>
          <t>ENERO 2024</t>
        </is>
      </c>
      <c r="L1369" t="inlineStr">
        <is>
          <t>ENERO 2025</t>
        </is>
      </c>
      <c r="M1369" t="inlineStr">
        <is>
          <t xml:space="preserve">P.Q.S.  TIPO ABC </t>
        </is>
      </c>
      <c r="N1369" t="inlineStr">
        <is>
          <t>2 do. PISO / 000272</t>
        </is>
      </c>
      <c r="O1369" t="inlineStr">
        <is>
          <t>R</t>
        </is>
      </c>
      <c r="P1369">
        <f>TRIM(N1369)</f>
        <v/>
      </c>
    </row>
    <row r="1370">
      <c r="A1370" t="inlineStr">
        <is>
          <t>CO-001797</t>
        </is>
      </c>
      <c r="B1370" t="inlineStr">
        <is>
          <t>ASOCIACIÓN COMERCIAL MERCADO 1° DE MAYO - 4° ZONA COLLIQUE</t>
        </is>
      </c>
      <c r="D1370" t="inlineStr">
        <is>
          <t>AV. REVOLUCION CDRA. 28 NRO. S/N COLLIQUE 4TA ZONA - COMAS</t>
        </is>
      </c>
      <c r="E1370" t="inlineStr">
        <is>
          <t>Lima, 31 de Enero de 2024</t>
        </is>
      </c>
      <c r="F1370" t="inlineStr">
        <is>
          <t>la Recarga y mantenimiento</t>
        </is>
      </c>
      <c r="G1370" t="inlineStr">
        <is>
          <t>10</t>
        </is>
      </c>
      <c r="H1370" t="inlineStr">
        <is>
          <t>12 KG</t>
        </is>
      </c>
      <c r="I1370" t="inlineStr">
        <is>
          <t>2027</t>
        </is>
      </c>
      <c r="J1370" t="n">
        <v>2017</v>
      </c>
      <c r="K1370" t="inlineStr">
        <is>
          <t>ENERO 2024</t>
        </is>
      </c>
      <c r="L1370" t="inlineStr">
        <is>
          <t>ENERO 2025</t>
        </is>
      </c>
      <c r="M1370" t="inlineStr">
        <is>
          <t xml:space="preserve">P.Q.S.  TIPO ABC </t>
        </is>
      </c>
      <c r="N1370" t="inlineStr">
        <is>
          <t>Sotano / 000061</t>
        </is>
      </c>
      <c r="O1370" t="inlineStr">
        <is>
          <t>R</t>
        </is>
      </c>
      <c r="P1370">
        <f>TRIM(N1370)</f>
        <v/>
      </c>
    </row>
    <row r="1371">
      <c r="A1371" t="inlineStr">
        <is>
          <t>CO-001798</t>
        </is>
      </c>
      <c r="B1371" t="inlineStr">
        <is>
          <t>PEDRO ALFREDO QUISPE CARDENAS</t>
        </is>
      </c>
      <c r="C1371" t="inlineStr">
        <is>
          <t>09748706</t>
        </is>
      </c>
      <c r="D1371" t="inlineStr">
        <is>
          <t>PLACA: D3G - 409</t>
        </is>
      </c>
      <c r="E1371" t="inlineStr">
        <is>
          <t>Lima, 27 de Enero de 2024</t>
        </is>
      </c>
      <c r="F1371" t="inlineStr">
        <is>
          <t>la Recarga y mantenimiento</t>
        </is>
      </c>
      <c r="G1371" t="inlineStr">
        <is>
          <t>01</t>
        </is>
      </c>
      <c r="H1371" t="inlineStr">
        <is>
          <t>02 KG</t>
        </is>
      </c>
      <c r="I1371" t="inlineStr">
        <is>
          <t>VIGENTE</t>
        </is>
      </c>
      <c r="J1371" t="n">
        <v>2012</v>
      </c>
      <c r="K1371" t="inlineStr">
        <is>
          <t>ENERO 2024</t>
        </is>
      </c>
      <c r="L1371" t="inlineStr">
        <is>
          <t>ENERO 2025</t>
        </is>
      </c>
      <c r="M1371" t="inlineStr">
        <is>
          <t xml:space="preserve">P.Q.S.  TIPO ABC </t>
        </is>
      </c>
      <c r="N1371" t="inlineStr">
        <is>
          <t>000685</t>
        </is>
      </c>
      <c r="O1371" t="inlineStr">
        <is>
          <t>R</t>
        </is>
      </c>
      <c r="P1371">
        <f>TRIM(N1371)</f>
        <v/>
      </c>
    </row>
    <row r="1372">
      <c r="A1372" t="inlineStr">
        <is>
          <t>CO-001799</t>
        </is>
      </c>
      <c r="B1372" t="inlineStr">
        <is>
          <t>JOSE ANTONIO GUTIERREZ VELASQUEZ</t>
        </is>
      </c>
      <c r="C1372" t="inlineStr">
        <is>
          <t>09467396</t>
        </is>
      </c>
      <c r="D1372" t="inlineStr">
        <is>
          <t>PLACA: F6I - 754</t>
        </is>
      </c>
      <c r="E1372" t="inlineStr">
        <is>
          <t>Lima, 29 de Enero de 2024</t>
        </is>
      </c>
      <c r="F1372" t="inlineStr">
        <is>
          <t>la Recarga y mantenimiento</t>
        </is>
      </c>
      <c r="G1372" t="inlineStr">
        <is>
          <t>01</t>
        </is>
      </c>
      <c r="H1372" t="inlineStr">
        <is>
          <t>04 KG</t>
        </is>
      </c>
      <c r="I1372" t="inlineStr">
        <is>
          <t>VIGENTE</t>
        </is>
      </c>
      <c r="J1372" t="n">
        <v>2019</v>
      </c>
      <c r="K1372" t="inlineStr">
        <is>
          <t>ENERO 2024</t>
        </is>
      </c>
      <c r="L1372" t="inlineStr">
        <is>
          <t>ENERO 2025</t>
        </is>
      </c>
      <c r="M1372" t="inlineStr">
        <is>
          <t xml:space="preserve">P.Q.S.  TIPO ABC </t>
        </is>
      </c>
      <c r="N1372" t="inlineStr">
        <is>
          <t>032593</t>
        </is>
      </c>
      <c r="O1372" t="inlineStr">
        <is>
          <t>R</t>
        </is>
      </c>
      <c r="P1372">
        <f>TRIM(N1372)</f>
        <v/>
      </c>
    </row>
    <row r="1373">
      <c r="A1373" t="inlineStr">
        <is>
          <t>CO-001800</t>
        </is>
      </c>
      <c r="B1373" t="inlineStr">
        <is>
          <t>IMPORT KYC S.A.C.</t>
        </is>
      </c>
      <c r="C1373" t="inlineStr">
        <is>
          <t>20609370671</t>
        </is>
      </c>
      <c r="D1373" t="inlineStr">
        <is>
          <t>CAL.TUNGASUCA NRO. 161 A.H. AÑO NUEVO (ALT. GRIFO AÑO NUEVO)</t>
        </is>
      </c>
      <c r="E1373" t="inlineStr">
        <is>
          <t>Lima, 31 de Enero de 2024</t>
        </is>
      </c>
      <c r="F1373" t="inlineStr">
        <is>
          <t>la venta</t>
        </is>
      </c>
      <c r="G1373" t="inlineStr">
        <is>
          <t>01</t>
        </is>
      </c>
      <c r="H1373" t="inlineStr">
        <is>
          <t>06 KG</t>
        </is>
      </c>
      <c r="I1373" t="inlineStr">
        <is>
          <t>2028</t>
        </is>
      </c>
      <c r="J1373" t="n">
        <v>2023</v>
      </c>
      <c r="K1373" t="inlineStr">
        <is>
          <t>ENERO 2024</t>
        </is>
      </c>
      <c r="L1373" t="inlineStr">
        <is>
          <t>ENERO 2025</t>
        </is>
      </c>
      <c r="M1373" t="inlineStr">
        <is>
          <t>P.Q.S.  TIPO ABC AL 75%</t>
        </is>
      </c>
      <c r="N1373" t="inlineStr">
        <is>
          <t>01 / 002797</t>
        </is>
      </c>
      <c r="O1373" t="inlineStr">
        <is>
          <t>V</t>
        </is>
      </c>
      <c r="P1373">
        <f>TRIM(N1373)</f>
        <v/>
      </c>
    </row>
    <row r="1374">
      <c r="A1374" t="inlineStr">
        <is>
          <t>CO-001800</t>
        </is>
      </c>
      <c r="B1374" t="inlineStr">
        <is>
          <t>IMPORT KYC S.A.C.</t>
        </is>
      </c>
      <c r="C1374" t="inlineStr">
        <is>
          <t>20609370671</t>
        </is>
      </c>
      <c r="D1374" t="inlineStr">
        <is>
          <t>CAL.TUNGASUCA NRO. 161 A.H. AÑO NUEVO (ALT. GRIFO AÑO NUEVO)</t>
        </is>
      </c>
      <c r="E1374" t="inlineStr">
        <is>
          <t>Lima, 31 de Enero de 2024</t>
        </is>
      </c>
      <c r="F1374" t="inlineStr">
        <is>
          <t>la venta</t>
        </is>
      </c>
      <c r="G1374" t="inlineStr">
        <is>
          <t>02</t>
        </is>
      </c>
      <c r="H1374" t="inlineStr">
        <is>
          <t>06 KG</t>
        </is>
      </c>
      <c r="I1374" t="inlineStr">
        <is>
          <t>2028</t>
        </is>
      </c>
      <c r="J1374" t="n">
        <v>2023</v>
      </c>
      <c r="K1374" t="inlineStr">
        <is>
          <t>ENERO 2024</t>
        </is>
      </c>
      <c r="L1374" t="inlineStr">
        <is>
          <t>ENERO 2025</t>
        </is>
      </c>
      <c r="M1374" t="inlineStr">
        <is>
          <t>P.Q.S.  TIPO ABC AL 75%</t>
        </is>
      </c>
      <c r="N1374" t="inlineStr">
        <is>
          <t>02 / 002574</t>
        </is>
      </c>
      <c r="O1374" t="inlineStr">
        <is>
          <t>V</t>
        </is>
      </c>
      <c r="P1374">
        <f>TRIM(N1374)</f>
        <v/>
      </c>
    </row>
    <row r="1375">
      <c r="A1375" t="inlineStr">
        <is>
          <t>CO-001801</t>
        </is>
      </c>
      <c r="B1375" t="inlineStr">
        <is>
          <t>MAZAL INTERNACIONAL PROYECTOS Y SERVICIOS S.A.C.</t>
        </is>
      </c>
      <c r="C1375" t="inlineStr">
        <is>
          <t>20606733021</t>
        </is>
      </c>
      <c r="D1375" t="inlineStr">
        <is>
          <t>CALLE FRANCISCO DEL CASTILLO 643 - BARRANCA</t>
        </is>
      </c>
      <c r="E1375" t="inlineStr">
        <is>
          <t>Lima, 31 de Enero de 2024</t>
        </is>
      </c>
      <c r="F1375" t="inlineStr">
        <is>
          <t>la Recarga y mantenimiento</t>
        </is>
      </c>
      <c r="G1375" t="inlineStr">
        <is>
          <t>01</t>
        </is>
      </c>
      <c r="H1375" t="inlineStr">
        <is>
          <t>06 KG</t>
        </is>
      </c>
      <c r="I1375" t="inlineStr">
        <is>
          <t>2027</t>
        </is>
      </c>
      <c r="J1375" t="n">
        <v>2022</v>
      </c>
      <c r="K1375" t="inlineStr">
        <is>
          <t>ENERO 2024</t>
        </is>
      </c>
      <c r="L1375" t="inlineStr">
        <is>
          <t>ENERO 2025</t>
        </is>
      </c>
      <c r="M1375" t="inlineStr">
        <is>
          <t xml:space="preserve">P.Q.S.  TIPO ABC </t>
        </is>
      </c>
      <c r="N1375" t="inlineStr">
        <is>
          <t>000934</t>
        </is>
      </c>
      <c r="O1375" t="inlineStr">
        <is>
          <t>R</t>
        </is>
      </c>
      <c r="P1375">
        <f>TRIM(N1375)</f>
        <v/>
      </c>
    </row>
    <row r="1376">
      <c r="A1376" t="inlineStr">
        <is>
          <t>CO-001801</t>
        </is>
      </c>
      <c r="B1376" t="inlineStr">
        <is>
          <t>MAZAL INTERNACIONAL PROYECTOS Y SERVICIOS S.A.C.</t>
        </is>
      </c>
      <c r="C1376" t="inlineStr">
        <is>
          <t>20606733021</t>
        </is>
      </c>
      <c r="D1376" t="inlineStr">
        <is>
          <t>CALLE FRANCISCO DEL CASTILLO 643 - BARRANCA</t>
        </is>
      </c>
      <c r="E1376" t="inlineStr">
        <is>
          <t>Lima, 31 de Enero de 2024</t>
        </is>
      </c>
      <c r="F1376" t="inlineStr">
        <is>
          <t>la Recarga y mantenimiento</t>
        </is>
      </c>
      <c r="G1376" t="inlineStr">
        <is>
          <t>02</t>
        </is>
      </c>
      <c r="H1376" t="inlineStr">
        <is>
          <t>05 LBS</t>
        </is>
      </c>
      <c r="I1376" t="inlineStr">
        <is>
          <t>2027</t>
        </is>
      </c>
      <c r="J1376" t="n">
        <v>2022</v>
      </c>
      <c r="K1376" t="inlineStr">
        <is>
          <t>ENERO 2024</t>
        </is>
      </c>
      <c r="L1376" t="inlineStr">
        <is>
          <t>ENERO 2025</t>
        </is>
      </c>
      <c r="M1376" t="inlineStr">
        <is>
          <t>CO2 /TIPO BC</t>
        </is>
      </c>
      <c r="N1376" t="inlineStr">
        <is>
          <t>000223</t>
        </is>
      </c>
      <c r="O1376" t="inlineStr">
        <is>
          <t>R</t>
        </is>
      </c>
      <c r="P1376">
        <f>TRIM(N1376)</f>
        <v/>
      </c>
    </row>
    <row r="1377">
      <c r="A1377" t="inlineStr">
        <is>
          <t>CO-001802</t>
        </is>
      </c>
      <c r="B1377" t="inlineStr">
        <is>
          <t>HAMANN DISEÑO Y CONSTRUCCION S.A.C.</t>
        </is>
      </c>
      <c r="C1377" t="inlineStr">
        <is>
          <t>20514795569</t>
        </is>
      </c>
      <c r="D1377" t="inlineStr">
        <is>
          <t>CAL. CAPITAN ELIAS AGUIRRE NRO. 180 URB. SURQUILLO MIRAFLORES LIMA LIMA</t>
        </is>
      </c>
      <c r="E1377" t="inlineStr">
        <is>
          <t>Lima, 31 de Enero de 2024</t>
        </is>
      </c>
      <c r="F1377" t="inlineStr">
        <is>
          <t>la venta</t>
        </is>
      </c>
      <c r="G1377" t="inlineStr">
        <is>
          <t>01</t>
        </is>
      </c>
      <c r="H1377" t="inlineStr">
        <is>
          <t>06 KG</t>
        </is>
      </c>
      <c r="I1377" t="inlineStr">
        <is>
          <t>2028</t>
        </is>
      </c>
      <c r="J1377" t="n">
        <v>2023</v>
      </c>
      <c r="K1377" t="inlineStr">
        <is>
          <t>ENERO 2024</t>
        </is>
      </c>
      <c r="L1377" t="inlineStr">
        <is>
          <t>ENERO 2025</t>
        </is>
      </c>
      <c r="M1377" t="inlineStr">
        <is>
          <t>P.Q.S.  TIPO ABC AL 75%</t>
        </is>
      </c>
      <c r="N1377" t="inlineStr">
        <is>
          <t>01 / 002594</t>
        </is>
      </c>
      <c r="O1377" t="inlineStr">
        <is>
          <t>V</t>
        </is>
      </c>
      <c r="P1377">
        <f>TRIM(N1377)</f>
        <v/>
      </c>
    </row>
    <row r="1378">
      <c r="A1378" t="inlineStr">
        <is>
          <t>CO-001802</t>
        </is>
      </c>
      <c r="B1378" t="inlineStr">
        <is>
          <t>HAMANN DISEÑO Y CONSTRUCCION S.A.C.</t>
        </is>
      </c>
      <c r="C1378" t="inlineStr">
        <is>
          <t>20514795569</t>
        </is>
      </c>
      <c r="D1378" t="inlineStr">
        <is>
          <t>CAL. CAPITAN ELIAS AGUIRRE NRO. 180 URB. SURQUILLO MIRAFLORES LIMA LIMA</t>
        </is>
      </c>
      <c r="E1378" t="inlineStr">
        <is>
          <t>Lima, 31 de Enero de 2024</t>
        </is>
      </c>
      <c r="F1378" t="inlineStr">
        <is>
          <t>la venta</t>
        </is>
      </c>
      <c r="G1378" t="inlineStr">
        <is>
          <t>02</t>
        </is>
      </c>
      <c r="H1378" t="inlineStr">
        <is>
          <t>06 KG</t>
        </is>
      </c>
      <c r="I1378" t="inlineStr">
        <is>
          <t>2028</t>
        </is>
      </c>
      <c r="J1378" t="n">
        <v>2023</v>
      </c>
      <c r="K1378" t="inlineStr">
        <is>
          <t>ENERO 2024</t>
        </is>
      </c>
      <c r="L1378" t="inlineStr">
        <is>
          <t>ENERO 2025</t>
        </is>
      </c>
      <c r="M1378" t="inlineStr">
        <is>
          <t>P.Q.S.  TIPO ABC AL 75%</t>
        </is>
      </c>
      <c r="N1378" t="inlineStr">
        <is>
          <t>02 / 001458</t>
        </is>
      </c>
      <c r="O1378" t="inlineStr">
        <is>
          <t>V</t>
        </is>
      </c>
      <c r="P1378">
        <f>TRIM(N1378)</f>
        <v/>
      </c>
    </row>
    <row r="1379">
      <c r="A1379" t="inlineStr">
        <is>
          <t>CO-001803</t>
        </is>
      </c>
      <c r="B1379" t="inlineStr">
        <is>
          <t xml:space="preserve">EYBER S.A.C </t>
        </is>
      </c>
      <c r="C1379" t="inlineStr">
        <is>
          <t>20516380340</t>
        </is>
      </c>
      <c r="D1379" t="inlineStr">
        <is>
          <t>JR. LOS CLAVELES MZ "1" LT "10" - CARABAYLLO</t>
        </is>
      </c>
      <c r="E1379" t="inlineStr">
        <is>
          <t>Lima, 01 de Febrero de 2024</t>
        </is>
      </c>
      <c r="F1379" t="inlineStr">
        <is>
          <t>la Recarga y mantenimiento</t>
        </is>
      </c>
      <c r="G1379" t="inlineStr">
        <is>
          <t>01</t>
        </is>
      </c>
      <c r="H1379" t="inlineStr">
        <is>
          <t xml:space="preserve">06 KG </t>
        </is>
      </c>
      <c r="I1379" t="inlineStr">
        <is>
          <t>VIGENTE</t>
        </is>
      </c>
      <c r="J1379" t="n">
        <v>2018</v>
      </c>
      <c r="K1379" t="inlineStr">
        <is>
          <t>FEBRERO 2024</t>
        </is>
      </c>
      <c r="L1379" t="inlineStr">
        <is>
          <t>FEBRERO 2025</t>
        </is>
      </c>
      <c r="M1379" t="inlineStr">
        <is>
          <t>P.Q.S TIPO ABC</t>
        </is>
      </c>
      <c r="N1379" t="inlineStr">
        <is>
          <t>003501</t>
        </is>
      </c>
      <c r="O1379" t="inlineStr">
        <is>
          <t>R</t>
        </is>
      </c>
      <c r="P1379">
        <f>TRIM(N1379)</f>
        <v/>
      </c>
    </row>
    <row r="1380">
      <c r="A1380" t="inlineStr">
        <is>
          <t>CO-001804</t>
        </is>
      </c>
      <c r="B1380" t="inlineStr">
        <is>
          <t>JESUS ARQUIMEDES FUERTES FLORES</t>
        </is>
      </c>
      <c r="C1380" t="inlineStr">
        <is>
          <t>40709830</t>
        </is>
      </c>
      <c r="D1380" t="inlineStr">
        <is>
          <t>PLACA: C5J - 295</t>
        </is>
      </c>
      <c r="E1380" t="inlineStr">
        <is>
          <t>Lima, 31 de Enero de 2024</t>
        </is>
      </c>
      <c r="F1380" t="inlineStr">
        <is>
          <t>la Recarga y mantenimiento</t>
        </is>
      </c>
      <c r="G1380" t="inlineStr">
        <is>
          <t>01</t>
        </is>
      </c>
      <c r="H1380" t="inlineStr">
        <is>
          <t>02 KG</t>
        </is>
      </c>
      <c r="I1380" t="inlineStr">
        <is>
          <t>VIGENTE</t>
        </is>
      </c>
      <c r="J1380" t="n">
        <v>2019</v>
      </c>
      <c r="K1380" t="inlineStr">
        <is>
          <t>ENERO 2024</t>
        </is>
      </c>
      <c r="L1380" t="inlineStr">
        <is>
          <t>ENERO 2025</t>
        </is>
      </c>
      <c r="M1380" t="inlineStr">
        <is>
          <t xml:space="preserve">P.Q.S.  TIPO ABC </t>
        </is>
      </c>
      <c r="N1380" t="inlineStr">
        <is>
          <t>004445</t>
        </is>
      </c>
      <c r="O1380" t="inlineStr">
        <is>
          <t>R</t>
        </is>
      </c>
      <c r="P1380">
        <f>TRIM(N1380)</f>
        <v/>
      </c>
    </row>
    <row r="1381">
      <c r="A1381" t="inlineStr">
        <is>
          <t>CO-001805</t>
        </is>
      </c>
      <c r="B1381" t="inlineStr">
        <is>
          <t>YLDEFONSO YANGALI ARAUJO</t>
        </is>
      </c>
      <c r="C1381" t="inlineStr">
        <is>
          <t>21010024</t>
        </is>
      </c>
      <c r="D1381" t="inlineStr">
        <is>
          <t>PLACA: T1Q - 760</t>
        </is>
      </c>
      <c r="E1381" t="inlineStr">
        <is>
          <t>Lima, 01 de Febrero de 2024</t>
        </is>
      </c>
      <c r="F1381" t="inlineStr">
        <is>
          <t>la Recarga y mantenimiento</t>
        </is>
      </c>
      <c r="G1381" t="inlineStr">
        <is>
          <t>01</t>
        </is>
      </c>
      <c r="H1381" t="inlineStr">
        <is>
          <t>04 KG</t>
        </is>
      </c>
      <c r="I1381" t="inlineStr">
        <is>
          <t>VIGENTE</t>
        </is>
      </c>
      <c r="J1381" t="n">
        <v>2013</v>
      </c>
      <c r="K1381" t="inlineStr">
        <is>
          <t>FEBRERO 2024</t>
        </is>
      </c>
      <c r="L1381" t="inlineStr">
        <is>
          <t>FEBRERO 2025</t>
        </is>
      </c>
      <c r="M1381" t="inlineStr">
        <is>
          <t>P.Q.S TIPO ABC</t>
        </is>
      </c>
      <c r="N1381" t="inlineStr">
        <is>
          <t>001888</t>
        </is>
      </c>
      <c r="O1381" t="inlineStr">
        <is>
          <t>R</t>
        </is>
      </c>
      <c r="P1381">
        <f>TRIM(N1381)</f>
        <v/>
      </c>
    </row>
    <row r="1382">
      <c r="A1382" t="inlineStr">
        <is>
          <t>CO-001806</t>
        </is>
      </c>
      <c r="B1382" t="inlineStr">
        <is>
          <t>PARQUE DE DIVERSION (JUEGOS INFANTILES)</t>
        </is>
      </c>
      <c r="C1382" t="inlineStr">
        <is>
          <t xml:space="preserve">10420160025 </t>
        </is>
      </c>
      <c r="D1382" t="inlineStr">
        <is>
          <t>AV.ALFONSO UGARTE 576 (2DO PISO) - AÑO NUEVO</t>
        </is>
      </c>
      <c r="E1382" t="inlineStr">
        <is>
          <t>Lima, 02 de Febrero de 2024</t>
        </is>
      </c>
      <c r="F1382" t="inlineStr">
        <is>
          <t>la Recarga y mantenimiento</t>
        </is>
      </c>
      <c r="G1382" t="inlineStr">
        <is>
          <t>01</t>
        </is>
      </c>
      <c r="H1382" t="inlineStr">
        <is>
          <t>06 KG</t>
        </is>
      </c>
      <c r="I1382" t="inlineStr">
        <is>
          <t>2027</t>
        </is>
      </c>
      <c r="J1382" t="n">
        <v>2022</v>
      </c>
      <c r="K1382" t="inlineStr">
        <is>
          <t>FEBRERO 2024</t>
        </is>
      </c>
      <c r="L1382" t="inlineStr">
        <is>
          <t>FEBRERO 2025</t>
        </is>
      </c>
      <c r="M1382" t="inlineStr">
        <is>
          <t>P.Q.S TIPO ABC</t>
        </is>
      </c>
      <c r="N1382" t="inlineStr">
        <is>
          <t>000345</t>
        </is>
      </c>
      <c r="O1382" t="inlineStr">
        <is>
          <t>R</t>
        </is>
      </c>
      <c r="P1382">
        <f>TRIM(N1382)</f>
        <v/>
      </c>
    </row>
    <row r="1383">
      <c r="A1383" t="inlineStr">
        <is>
          <t>CO-001807</t>
        </is>
      </c>
      <c r="B1383" t="inlineStr">
        <is>
          <t>MARCO ANTONIO MORANTE AGUIRRE</t>
        </is>
      </c>
      <c r="C1383" t="inlineStr">
        <is>
          <t>10742418</t>
        </is>
      </c>
      <c r="D1383" t="inlineStr">
        <is>
          <t>JR. TINGO MARIA 192 - COMAS</t>
        </is>
      </c>
      <c r="E1383" t="inlineStr">
        <is>
          <t>Lima, 01 de Febrero de 2024</t>
        </is>
      </c>
      <c r="F1383" t="inlineStr">
        <is>
          <t>la Recarga y mantenimiento</t>
        </is>
      </c>
      <c r="G1383" t="inlineStr">
        <is>
          <t>01</t>
        </is>
      </c>
      <c r="H1383" t="inlineStr">
        <is>
          <t>06 KG</t>
        </is>
      </c>
      <c r="I1383" t="inlineStr">
        <is>
          <t>2028</t>
        </is>
      </c>
      <c r="J1383" t="n">
        <v>2010</v>
      </c>
      <c r="K1383" t="inlineStr">
        <is>
          <t>FEBRERO 2024</t>
        </is>
      </c>
      <c r="L1383" t="inlineStr">
        <is>
          <t>FEBRERO 2025</t>
        </is>
      </c>
      <c r="M1383" t="inlineStr">
        <is>
          <t>P.Q.S TIPO ABC</t>
        </is>
      </c>
      <c r="N1383" t="inlineStr">
        <is>
          <t>009903</t>
        </is>
      </c>
      <c r="O1383" t="inlineStr">
        <is>
          <t>R</t>
        </is>
      </c>
      <c r="P1383">
        <f>TRIM(N1383)</f>
        <v/>
      </c>
    </row>
    <row r="1384">
      <c r="A1384" t="inlineStr">
        <is>
          <t>CO-001807</t>
        </is>
      </c>
      <c r="B1384" t="inlineStr">
        <is>
          <t>MARCO ANTONIO MORANTE AGUIRRE</t>
        </is>
      </c>
      <c r="C1384" t="inlineStr">
        <is>
          <t>10742418</t>
        </is>
      </c>
      <c r="D1384" t="inlineStr">
        <is>
          <t>JR. TINGO MARIA 192 - COMAS</t>
        </is>
      </c>
      <c r="E1384" t="inlineStr">
        <is>
          <t>Lima, 01 de Febrero de 2024</t>
        </is>
      </c>
      <c r="F1384" t="inlineStr">
        <is>
          <t>la Recarga y mantenimiento</t>
        </is>
      </c>
      <c r="G1384" t="inlineStr">
        <is>
          <t>02</t>
        </is>
      </c>
      <c r="H1384" t="inlineStr">
        <is>
          <t>06 KG</t>
        </is>
      </c>
      <c r="I1384" t="inlineStr">
        <is>
          <t>VIGENTE</t>
        </is>
      </c>
      <c r="J1384" t="n">
        <v>2012</v>
      </c>
      <c r="K1384" t="inlineStr">
        <is>
          <t>FEBRERO 2024</t>
        </is>
      </c>
      <c r="L1384" t="inlineStr">
        <is>
          <t>FEBRERO 2025</t>
        </is>
      </c>
      <c r="M1384" t="inlineStr">
        <is>
          <t>P.Q.S TIPO ABC</t>
        </is>
      </c>
      <c r="N1384" t="inlineStr">
        <is>
          <t>001535</t>
        </is>
      </c>
      <c r="O1384" t="inlineStr">
        <is>
          <t>R</t>
        </is>
      </c>
      <c r="P1384">
        <f>TRIM(N1384)</f>
        <v/>
      </c>
    </row>
    <row r="1385">
      <c r="A1385" t="inlineStr">
        <is>
          <t>CO-001808</t>
        </is>
      </c>
      <c r="B1385" t="inlineStr">
        <is>
          <t>PERU MASIVO S.A.</t>
        </is>
      </c>
      <c r="C1385" t="inlineStr">
        <is>
          <t>20492392031</t>
        </is>
      </c>
      <c r="D1385" t="inlineStr">
        <is>
          <t>AV. LOS INCAS CDRA. 4 PATIO NORTE - COMAS</t>
        </is>
      </c>
      <c r="E1385" t="inlineStr">
        <is>
          <t>Lima, 05 de Febrero de 2024</t>
        </is>
      </c>
      <c r="F1385" t="inlineStr">
        <is>
          <t>la Recarga y mantenimiento</t>
        </is>
      </c>
      <c r="G1385" t="inlineStr">
        <is>
          <t>01</t>
        </is>
      </c>
      <c r="H1385" t="inlineStr">
        <is>
          <t>06 KG</t>
        </is>
      </c>
      <c r="I1385" t="inlineStr">
        <is>
          <t>2029</t>
        </is>
      </c>
      <c r="J1385" t="n">
        <v>2010</v>
      </c>
      <c r="K1385" t="inlineStr">
        <is>
          <t>FEBRERO 2024</t>
        </is>
      </c>
      <c r="L1385" t="inlineStr">
        <is>
          <t>FEBRERO 2025</t>
        </is>
      </c>
      <c r="M1385" t="inlineStr">
        <is>
          <t>P.Q.S TIPO ABC AL 90 % NACIONAL</t>
        </is>
      </c>
      <c r="N1385" t="inlineStr">
        <is>
          <t>24 / 000590</t>
        </is>
      </c>
      <c r="O1385" t="inlineStr">
        <is>
          <t>R</t>
        </is>
      </c>
      <c r="P1385">
        <f>TRIM(N1385)</f>
        <v/>
      </c>
    </row>
    <row r="1386">
      <c r="A1386" t="inlineStr">
        <is>
          <t>CO-001808</t>
        </is>
      </c>
      <c r="B1386" t="inlineStr">
        <is>
          <t>PERU MASIVO S.A.</t>
        </is>
      </c>
      <c r="C1386" t="inlineStr">
        <is>
          <t>20492392031</t>
        </is>
      </c>
      <c r="D1386" t="inlineStr">
        <is>
          <t>AV. LOS INCAS CDRA. 4 PATIO NORTE - COMAS</t>
        </is>
      </c>
      <c r="E1386" t="inlineStr">
        <is>
          <t>Lima, 05 de Febrero de 2024</t>
        </is>
      </c>
      <c r="F1386" t="inlineStr">
        <is>
          <t>la Recarga y mantenimiento</t>
        </is>
      </c>
      <c r="G1386" t="inlineStr">
        <is>
          <t>02</t>
        </is>
      </c>
      <c r="H1386" t="inlineStr">
        <is>
          <t>06 KG</t>
        </is>
      </c>
      <c r="I1386" t="inlineStr">
        <is>
          <t>2029</t>
        </is>
      </c>
      <c r="J1386" t="n">
        <v>2011</v>
      </c>
      <c r="K1386" t="inlineStr">
        <is>
          <t>FEBRERO 2024</t>
        </is>
      </c>
      <c r="L1386" t="inlineStr">
        <is>
          <t>FEBRERO 2025</t>
        </is>
      </c>
      <c r="M1386" t="inlineStr">
        <is>
          <t>P.Q.S TIPO ABC AL 90 % NACIONAL</t>
        </is>
      </c>
      <c r="N1386" t="inlineStr">
        <is>
          <t>93 / 000299</t>
        </is>
      </c>
      <c r="O1386" t="inlineStr">
        <is>
          <t>R</t>
        </is>
      </c>
      <c r="P1386">
        <f>TRIM(N1386)</f>
        <v/>
      </c>
    </row>
    <row r="1387">
      <c r="A1387" t="inlineStr">
        <is>
          <t>CO-001808</t>
        </is>
      </c>
      <c r="B1387" t="inlineStr">
        <is>
          <t>PERU MASIVO S.A.</t>
        </is>
      </c>
      <c r="C1387" t="inlineStr">
        <is>
          <t>20492392031</t>
        </is>
      </c>
      <c r="D1387" t="inlineStr">
        <is>
          <t>AV. LOS INCAS CDRA. 4 PATIO NORTE - COMAS</t>
        </is>
      </c>
      <c r="E1387" t="inlineStr">
        <is>
          <t>Lima, 05 de Febrero de 2024</t>
        </is>
      </c>
      <c r="F1387" t="inlineStr">
        <is>
          <t>la Recarga y mantenimiento</t>
        </is>
      </c>
      <c r="G1387" t="inlineStr">
        <is>
          <t>03</t>
        </is>
      </c>
      <c r="H1387" t="inlineStr">
        <is>
          <t>06 KG</t>
        </is>
      </c>
      <c r="I1387" t="inlineStr">
        <is>
          <t>2029</t>
        </is>
      </c>
      <c r="J1387" t="n">
        <v>2009</v>
      </c>
      <c r="K1387" t="inlineStr">
        <is>
          <t>FEBRERO 2024</t>
        </is>
      </c>
      <c r="L1387" t="inlineStr">
        <is>
          <t>FEBRERO 2025</t>
        </is>
      </c>
      <c r="M1387" t="inlineStr">
        <is>
          <t>P.Q.S TIPO ABC AL 90 % NACIONAL</t>
        </is>
      </c>
      <c r="N1387" t="inlineStr">
        <is>
          <t>354 / 000816</t>
        </is>
      </c>
      <c r="O1387" t="inlineStr">
        <is>
          <t>R</t>
        </is>
      </c>
      <c r="P1387">
        <f>TRIM(N1387)</f>
        <v/>
      </c>
    </row>
    <row r="1388">
      <c r="A1388" t="inlineStr">
        <is>
          <t>CO-001808</t>
        </is>
      </c>
      <c r="B1388" t="inlineStr">
        <is>
          <t>PERU MASIVO S.A.</t>
        </is>
      </c>
      <c r="C1388" t="inlineStr">
        <is>
          <t>20492392031</t>
        </is>
      </c>
      <c r="D1388" t="inlineStr">
        <is>
          <t>AV. LOS INCAS CDRA. 4 PATIO NORTE - COMAS</t>
        </is>
      </c>
      <c r="E1388" t="inlineStr">
        <is>
          <t>Lima, 05 de Febrero de 2024</t>
        </is>
      </c>
      <c r="F1388" t="inlineStr">
        <is>
          <t>la Recarga y mantenimiento</t>
        </is>
      </c>
      <c r="G1388" t="inlineStr">
        <is>
          <t>04</t>
        </is>
      </c>
      <c r="H1388" t="inlineStr">
        <is>
          <t>06 KG</t>
        </is>
      </c>
      <c r="I1388" t="inlineStr">
        <is>
          <t>2029</t>
        </is>
      </c>
      <c r="J1388" t="n">
        <v>2017</v>
      </c>
      <c r="K1388" t="inlineStr">
        <is>
          <t>FEBRERO 2024</t>
        </is>
      </c>
      <c r="L1388" t="inlineStr">
        <is>
          <t>FEBRERO 2025</t>
        </is>
      </c>
      <c r="M1388" t="inlineStr">
        <is>
          <t>P.Q.S TIPO ABC AL 90 % NACIONAL</t>
        </is>
      </c>
      <c r="N1388" t="inlineStr">
        <is>
          <t>S/N / 000308</t>
        </is>
      </c>
      <c r="O1388" t="inlineStr">
        <is>
          <t>R</t>
        </is>
      </c>
      <c r="P1388">
        <f>TRIM(N1388)</f>
        <v/>
      </c>
    </row>
    <row r="1389">
      <c r="A1389" t="inlineStr">
        <is>
          <t>CO-001808</t>
        </is>
      </c>
      <c r="B1389" t="inlineStr">
        <is>
          <t>PERU MASIVO S.A.</t>
        </is>
      </c>
      <c r="C1389" t="inlineStr">
        <is>
          <t>20492392031</t>
        </is>
      </c>
      <c r="D1389" t="inlineStr">
        <is>
          <t>AV. LOS INCAS CDRA. 4 PATIO NORTE - COMAS</t>
        </is>
      </c>
      <c r="E1389" t="inlineStr">
        <is>
          <t>Lima, 05 de Febrero de 2024</t>
        </is>
      </c>
      <c r="F1389" t="inlineStr">
        <is>
          <t>la Recarga y mantenimiento</t>
        </is>
      </c>
      <c r="G1389" t="inlineStr">
        <is>
          <t>05</t>
        </is>
      </c>
      <c r="H1389" t="inlineStr">
        <is>
          <t>06 KG</t>
        </is>
      </c>
      <c r="I1389" t="inlineStr">
        <is>
          <t>2029</t>
        </is>
      </c>
      <c r="J1389" t="n">
        <v>2017</v>
      </c>
      <c r="K1389" t="inlineStr">
        <is>
          <t>FEBRERO 2024</t>
        </is>
      </c>
      <c r="L1389" t="inlineStr">
        <is>
          <t>FEBRERO 2025</t>
        </is>
      </c>
      <c r="M1389" t="inlineStr">
        <is>
          <t>P.Q.S TIPO ABC AL 90 % NACIONAL</t>
        </is>
      </c>
      <c r="N1389" t="inlineStr">
        <is>
          <t>S/N / 000178</t>
        </is>
      </c>
      <c r="O1389" t="inlineStr">
        <is>
          <t>R</t>
        </is>
      </c>
      <c r="P1389">
        <f>TRIM(N1389)</f>
        <v/>
      </c>
    </row>
    <row r="1390">
      <c r="A1390" t="inlineStr">
        <is>
          <t>CO-001808</t>
        </is>
      </c>
      <c r="B1390" t="inlineStr">
        <is>
          <t>PERU MASIVO S.A.</t>
        </is>
      </c>
      <c r="C1390" t="inlineStr">
        <is>
          <t>20492392031</t>
        </is>
      </c>
      <c r="D1390" t="inlineStr">
        <is>
          <t>AV. LOS INCAS CDRA. 4 PATIO NORTE - COMAS</t>
        </is>
      </c>
      <c r="E1390" t="inlineStr">
        <is>
          <t>Lima, 05 de Febrero de 2024</t>
        </is>
      </c>
      <c r="F1390" t="inlineStr">
        <is>
          <t>la Recarga y mantenimiento</t>
        </is>
      </c>
      <c r="G1390" t="inlineStr">
        <is>
          <t>06</t>
        </is>
      </c>
      <c r="H1390" t="inlineStr">
        <is>
          <t>06 KG</t>
        </is>
      </c>
      <c r="I1390" t="inlineStr">
        <is>
          <t>2029</t>
        </is>
      </c>
      <c r="J1390" t="n">
        <v>2010</v>
      </c>
      <c r="K1390" t="inlineStr">
        <is>
          <t>FEBRERO 2024</t>
        </is>
      </c>
      <c r="L1390" t="inlineStr">
        <is>
          <t>FEBRERO 2025</t>
        </is>
      </c>
      <c r="M1390" t="inlineStr">
        <is>
          <t>P.Q.S TIPO ABC AL 90 % NACIONAL</t>
        </is>
      </c>
      <c r="N1390" t="inlineStr">
        <is>
          <t>159 / 000597</t>
        </is>
      </c>
      <c r="O1390" t="inlineStr">
        <is>
          <t>R</t>
        </is>
      </c>
      <c r="P1390">
        <f>TRIM(N1390)</f>
        <v/>
      </c>
    </row>
    <row r="1391">
      <c r="A1391" t="inlineStr">
        <is>
          <t>CO-001808</t>
        </is>
      </c>
      <c r="B1391" t="inlineStr">
        <is>
          <t>PERU MASIVO S.A.</t>
        </is>
      </c>
      <c r="C1391" t="inlineStr">
        <is>
          <t>20492392031</t>
        </is>
      </c>
      <c r="D1391" t="inlineStr">
        <is>
          <t>AV. LOS INCAS CDRA. 4 PATIO NORTE - COMAS</t>
        </is>
      </c>
      <c r="E1391" t="inlineStr">
        <is>
          <t>Lima, 05 de Febrero de 2024</t>
        </is>
      </c>
      <c r="F1391" t="inlineStr">
        <is>
          <t>la Recarga y mantenimiento</t>
        </is>
      </c>
      <c r="G1391" t="inlineStr">
        <is>
          <t>07</t>
        </is>
      </c>
      <c r="H1391" t="inlineStr">
        <is>
          <t>06 KG</t>
        </is>
      </c>
      <c r="I1391" t="inlineStr">
        <is>
          <t>2029</t>
        </is>
      </c>
      <c r="J1391" t="n">
        <v>2015</v>
      </c>
      <c r="K1391" t="inlineStr">
        <is>
          <t>FEBRERO 2024</t>
        </is>
      </c>
      <c r="L1391" t="inlineStr">
        <is>
          <t>FEBRERO 2025</t>
        </is>
      </c>
      <c r="M1391" t="inlineStr">
        <is>
          <t>P.Q.S TIPO ABC AL 90 % NACIONAL</t>
        </is>
      </c>
      <c r="N1391" t="inlineStr">
        <is>
          <t>S/N / 001170</t>
        </is>
      </c>
      <c r="O1391" t="inlineStr">
        <is>
          <t>R</t>
        </is>
      </c>
      <c r="P1391">
        <f>TRIM(N1391)</f>
        <v/>
      </c>
    </row>
    <row r="1392">
      <c r="A1392" t="inlineStr">
        <is>
          <t>CO-001808</t>
        </is>
      </c>
      <c r="B1392" t="inlineStr">
        <is>
          <t>PERU MASIVO S.A.</t>
        </is>
      </c>
      <c r="C1392" t="inlineStr">
        <is>
          <t>20492392031</t>
        </is>
      </c>
      <c r="D1392" t="inlineStr">
        <is>
          <t>AV. LOS INCAS CDRA. 4 PATIO NORTE - COMAS</t>
        </is>
      </c>
      <c r="E1392" t="inlineStr">
        <is>
          <t>Lima, 05 de Febrero de 2024</t>
        </is>
      </c>
      <c r="F1392" t="inlineStr">
        <is>
          <t>la Recarga y mantenimiento</t>
        </is>
      </c>
      <c r="G1392" t="inlineStr">
        <is>
          <t>08</t>
        </is>
      </c>
      <c r="H1392" t="inlineStr">
        <is>
          <t>06 KG</t>
        </is>
      </c>
      <c r="I1392" t="inlineStr">
        <is>
          <t>2029</t>
        </is>
      </c>
      <c r="J1392" t="n">
        <v>2009</v>
      </c>
      <c r="K1392" t="inlineStr">
        <is>
          <t>FEBRERO 2024</t>
        </is>
      </c>
      <c r="L1392" t="inlineStr">
        <is>
          <t>FEBRERO 2025</t>
        </is>
      </c>
      <c r="M1392" t="inlineStr">
        <is>
          <t>P.Q.S TIPO ABC AL 90 % NACIONAL</t>
        </is>
      </c>
      <c r="N1392" t="inlineStr">
        <is>
          <t>129 / 001994</t>
        </is>
      </c>
      <c r="O1392" t="inlineStr">
        <is>
          <t>R</t>
        </is>
      </c>
      <c r="P1392">
        <f>TRIM(N1392)</f>
        <v/>
      </c>
    </row>
    <row r="1393">
      <c r="A1393" t="inlineStr">
        <is>
          <t>CO-001808</t>
        </is>
      </c>
      <c r="B1393" t="inlineStr">
        <is>
          <t>PERU MASIVO S.A.</t>
        </is>
      </c>
      <c r="C1393" t="inlineStr">
        <is>
          <t>20492392031</t>
        </is>
      </c>
      <c r="D1393" t="inlineStr">
        <is>
          <t>AV. LOS INCAS CDRA. 4 PATIO NORTE - COMAS</t>
        </is>
      </c>
      <c r="E1393" t="inlineStr">
        <is>
          <t>Lima, 05 de Febrero de 2024</t>
        </is>
      </c>
      <c r="F1393" t="inlineStr">
        <is>
          <t>la Recarga y mantenimiento</t>
        </is>
      </c>
      <c r="G1393" t="inlineStr">
        <is>
          <t>09</t>
        </is>
      </c>
      <c r="H1393" t="inlineStr">
        <is>
          <t>06 KG</t>
        </is>
      </c>
      <c r="I1393" t="inlineStr">
        <is>
          <t>2029</t>
        </is>
      </c>
      <c r="J1393" t="n">
        <v>2017</v>
      </c>
      <c r="K1393" t="inlineStr">
        <is>
          <t>FEBRERO 2024</t>
        </is>
      </c>
      <c r="L1393" t="inlineStr">
        <is>
          <t>FEBRERO 2025</t>
        </is>
      </c>
      <c r="M1393" t="inlineStr">
        <is>
          <t>P.Q.S TIPO ABC AL 90 % NACIONAL</t>
        </is>
      </c>
      <c r="N1393" t="inlineStr">
        <is>
          <t>S/N / 000190</t>
        </is>
      </c>
      <c r="O1393" t="inlineStr">
        <is>
          <t>R</t>
        </is>
      </c>
      <c r="P1393">
        <f>TRIM(N1393)</f>
        <v/>
      </c>
    </row>
    <row r="1394">
      <c r="A1394" t="inlineStr">
        <is>
          <t>CO-001808</t>
        </is>
      </c>
      <c r="B1394" t="inlineStr">
        <is>
          <t>PERU MASIVO S.A.</t>
        </is>
      </c>
      <c r="C1394" t="inlineStr">
        <is>
          <t>20492392031</t>
        </is>
      </c>
      <c r="D1394" t="inlineStr">
        <is>
          <t>AV. LOS INCAS CDRA. 4 PATIO NORTE - COMAS</t>
        </is>
      </c>
      <c r="E1394" t="inlineStr">
        <is>
          <t>Lima, 05 de Febrero de 2024</t>
        </is>
      </c>
      <c r="F1394" t="inlineStr">
        <is>
          <t>la Recarga y mantenimiento</t>
        </is>
      </c>
      <c r="G1394" t="n">
        <v>10</v>
      </c>
      <c r="H1394" t="inlineStr">
        <is>
          <t>06 KG</t>
        </is>
      </c>
      <c r="I1394" t="inlineStr">
        <is>
          <t>2029</t>
        </is>
      </c>
      <c r="J1394" t="n">
        <v>2009</v>
      </c>
      <c r="K1394" t="inlineStr">
        <is>
          <t>FEBRERO 2024</t>
        </is>
      </c>
      <c r="L1394" t="inlineStr">
        <is>
          <t>FEBRERO 2025</t>
        </is>
      </c>
      <c r="M1394" t="inlineStr">
        <is>
          <t>P.Q.S TIPO ABC AL 90 % NACIONAL</t>
        </is>
      </c>
      <c r="N1394" t="inlineStr">
        <is>
          <t>218 / 000980</t>
        </is>
      </c>
      <c r="O1394" t="inlineStr">
        <is>
          <t>R</t>
        </is>
      </c>
      <c r="P1394">
        <f>TRIM(N1394)</f>
        <v/>
      </c>
    </row>
    <row r="1395">
      <c r="A1395" t="inlineStr">
        <is>
          <t>CO-001809</t>
        </is>
      </c>
      <c r="B1395" t="inlineStr">
        <is>
          <t>LEONARDA ESPINOZA DE LA ROSA</t>
        </is>
      </c>
      <c r="C1395" t="inlineStr">
        <is>
          <t>06101587</t>
        </is>
      </c>
      <c r="D1395" t="inlineStr">
        <is>
          <t>SECTOR LOCERIA - PUESTO 08</t>
        </is>
      </c>
      <c r="E1395" t="inlineStr">
        <is>
          <t>Lima, 05 de Febrero de 2024</t>
        </is>
      </c>
      <c r="F1395" t="inlineStr">
        <is>
          <t>la venta</t>
        </is>
      </c>
      <c r="G1395" t="inlineStr">
        <is>
          <t>01</t>
        </is>
      </c>
      <c r="H1395" t="inlineStr">
        <is>
          <t>04 KG</t>
        </is>
      </c>
      <c r="I1395" t="inlineStr">
        <is>
          <t>2029</t>
        </is>
      </c>
      <c r="J1395" t="n">
        <v>2024</v>
      </c>
      <c r="K1395" t="inlineStr">
        <is>
          <t>FEBRERO 2024</t>
        </is>
      </c>
      <c r="L1395" t="inlineStr">
        <is>
          <t>FEBRERO 2025</t>
        </is>
      </c>
      <c r="M1395" t="inlineStr">
        <is>
          <t>P.Q.S TIPO ABC</t>
        </is>
      </c>
      <c r="N1395" t="inlineStr">
        <is>
          <t>000320</t>
        </is>
      </c>
      <c r="O1395" t="inlineStr">
        <is>
          <t>V</t>
        </is>
      </c>
      <c r="P1395">
        <f>TRIM(N1395)</f>
        <v/>
      </c>
    </row>
    <row r="1396">
      <c r="A1396" t="inlineStr">
        <is>
          <t>CO-001810</t>
        </is>
      </c>
      <c r="B1396" t="inlineStr">
        <is>
          <t>JUANA CHALCO COTOHUANCA DE CANTANI</t>
        </is>
      </c>
      <c r="C1396" t="inlineStr">
        <is>
          <t>06848191</t>
        </is>
      </c>
      <c r="D1396" t="inlineStr">
        <is>
          <t>SECTOR TELAS - PUESTO 37</t>
        </is>
      </c>
      <c r="E1396" t="inlineStr">
        <is>
          <t>Lima, 05 de Febrero de 2024</t>
        </is>
      </c>
      <c r="F1396" t="inlineStr">
        <is>
          <t>la venta</t>
        </is>
      </c>
      <c r="G1396" t="inlineStr">
        <is>
          <t>01</t>
        </is>
      </c>
      <c r="H1396" t="inlineStr">
        <is>
          <t>04 KG</t>
        </is>
      </c>
      <c r="I1396" t="inlineStr">
        <is>
          <t>2029</t>
        </is>
      </c>
      <c r="J1396" t="n">
        <v>2024</v>
      </c>
      <c r="K1396" t="inlineStr">
        <is>
          <t>FEBRERO 2024</t>
        </is>
      </c>
      <c r="L1396" t="inlineStr">
        <is>
          <t>FEBRERO 2025</t>
        </is>
      </c>
      <c r="M1396" t="inlineStr">
        <is>
          <t>P.Q.S TIPO ABC</t>
        </is>
      </c>
      <c r="N1396" t="inlineStr">
        <is>
          <t>000860</t>
        </is>
      </c>
      <c r="O1396" t="inlineStr">
        <is>
          <t>V</t>
        </is>
      </c>
      <c r="P1396">
        <f>TRIM(N1396)</f>
        <v/>
      </c>
    </row>
    <row r="1397">
      <c r="A1397" t="inlineStr">
        <is>
          <t>CO-001811</t>
        </is>
      </c>
      <c r="B1397" t="inlineStr">
        <is>
          <t>ALD AUTOMOTIVE PERU S.A.C. - ALD PERU S.A.C.</t>
        </is>
      </c>
      <c r="C1397" t="inlineStr">
        <is>
          <t>20601129826</t>
        </is>
      </c>
      <c r="D1397" t="inlineStr">
        <is>
          <t>PLACA: BRC - 806</t>
        </is>
      </c>
      <c r="E1397" t="inlineStr">
        <is>
          <t>Lima, 06 de Febrero de 2024</t>
        </is>
      </c>
      <c r="F1397" t="inlineStr">
        <is>
          <t>la Recarga y mantenimiento</t>
        </is>
      </c>
      <c r="G1397" t="inlineStr">
        <is>
          <t>01</t>
        </is>
      </c>
      <c r="H1397" t="inlineStr">
        <is>
          <t>06 KG</t>
        </is>
      </c>
      <c r="I1397" t="inlineStr">
        <is>
          <t>2028</t>
        </is>
      </c>
      <c r="J1397" t="n">
        <v>2023</v>
      </c>
      <c r="K1397" t="inlineStr">
        <is>
          <t>FEBRERO 2024</t>
        </is>
      </c>
      <c r="L1397" t="inlineStr">
        <is>
          <t>FEBRERO 2025</t>
        </is>
      </c>
      <c r="M1397" t="inlineStr">
        <is>
          <t>P.Q.S. TIPO ABC AL 75%</t>
        </is>
      </c>
      <c r="N1397" t="inlineStr">
        <is>
          <t>006999</t>
        </is>
      </c>
      <c r="O1397" t="inlineStr">
        <is>
          <t>R</t>
        </is>
      </c>
      <c r="P1397">
        <f>TRIM(N1397)</f>
        <v/>
      </c>
    </row>
    <row r="1398">
      <c r="A1398" t="inlineStr">
        <is>
          <t>CO-001812</t>
        </is>
      </c>
      <c r="B1398" t="inlineStr">
        <is>
          <t>POLLOS Y PARRILLAS CELY S.A.C</t>
        </is>
      </c>
      <c r="C1398" t="inlineStr">
        <is>
          <t>20608356135</t>
        </is>
      </c>
      <c r="D1398" t="inlineStr">
        <is>
          <t>AV. LAS PALMERAS 5380 - LOS OLIVOS</t>
        </is>
      </c>
      <c r="E1398" t="inlineStr">
        <is>
          <t>Lima, 06 de Febrero de 2024</t>
        </is>
      </c>
      <c r="F1398" t="inlineStr">
        <is>
          <t>la Recarga y mantenimiento</t>
        </is>
      </c>
      <c r="G1398" t="inlineStr">
        <is>
          <t>01</t>
        </is>
      </c>
      <c r="H1398" t="inlineStr">
        <is>
          <t>06 KG</t>
        </is>
      </c>
      <c r="I1398" t="inlineStr">
        <is>
          <t>2028</t>
        </is>
      </c>
      <c r="J1398" t="n">
        <v>2019</v>
      </c>
      <c r="K1398" t="inlineStr">
        <is>
          <t>FEBRERO 2024</t>
        </is>
      </c>
      <c r="L1398" t="inlineStr">
        <is>
          <t>FEBRERO 2025</t>
        </is>
      </c>
      <c r="M1398" t="inlineStr">
        <is>
          <t>P.Q.S TIPO ABC</t>
        </is>
      </c>
      <c r="N1398" t="inlineStr">
        <is>
          <t>008839</t>
        </is>
      </c>
      <c r="O1398" t="inlineStr">
        <is>
          <t>R</t>
        </is>
      </c>
      <c r="P1398">
        <f>TRIM(N1398)</f>
        <v/>
      </c>
    </row>
    <row r="1399">
      <c r="A1399" t="inlineStr">
        <is>
          <t>CO-001813</t>
        </is>
      </c>
      <c r="B1399" t="inlineStr">
        <is>
          <t>ELVIS  GUTIERREZ RAYMONDI</t>
        </is>
      </c>
      <c r="C1399" t="inlineStr">
        <is>
          <t>09976523</t>
        </is>
      </c>
      <c r="D1399" t="inlineStr">
        <is>
          <t>PLACA: D3A - 451</t>
        </is>
      </c>
      <c r="E1399" t="inlineStr">
        <is>
          <t>Lima, 06 de Febrero de 2024</t>
        </is>
      </c>
      <c r="F1399" t="inlineStr">
        <is>
          <t>la venta</t>
        </is>
      </c>
      <c r="G1399" t="inlineStr">
        <is>
          <t>01</t>
        </is>
      </c>
      <c r="H1399" t="inlineStr">
        <is>
          <t>02 KG</t>
        </is>
      </c>
      <c r="I1399" t="inlineStr">
        <is>
          <t>2028</t>
        </is>
      </c>
      <c r="J1399" t="n">
        <v>2023</v>
      </c>
      <c r="K1399" t="inlineStr">
        <is>
          <t>FEBRERO 2024</t>
        </is>
      </c>
      <c r="L1399" t="inlineStr">
        <is>
          <t>FEBRERO 2025</t>
        </is>
      </c>
      <c r="M1399" t="inlineStr">
        <is>
          <t>P.Q.S TIPO ABC</t>
        </is>
      </c>
      <c r="N1399" t="inlineStr">
        <is>
          <t>000667</t>
        </is>
      </c>
      <c r="O1399" t="inlineStr">
        <is>
          <t>V</t>
        </is>
      </c>
      <c r="P1399">
        <f>TRIM(N1399)</f>
        <v/>
      </c>
    </row>
    <row r="1400">
      <c r="A1400" t="inlineStr">
        <is>
          <t>CO-001814</t>
        </is>
      </c>
      <c r="B1400" t="inlineStr">
        <is>
          <t>E.T. VIRGEN DE LA PUERTA</t>
        </is>
      </c>
      <c r="D1400" t="inlineStr">
        <is>
          <t>PLACA: F1U - 820</t>
        </is>
      </c>
      <c r="E1400" t="inlineStr">
        <is>
          <t>Lima, 06 de Febrero de 2024</t>
        </is>
      </c>
      <c r="F1400" t="inlineStr">
        <is>
          <t>la Recarga y mantenimiento</t>
        </is>
      </c>
      <c r="G1400" t="inlineStr">
        <is>
          <t>01</t>
        </is>
      </c>
      <c r="H1400" t="inlineStr">
        <is>
          <t>06 KG</t>
        </is>
      </c>
      <c r="I1400" t="inlineStr">
        <is>
          <t>VIGENTE</t>
        </is>
      </c>
      <c r="J1400" t="n">
        <v>2014</v>
      </c>
      <c r="K1400" t="inlineStr">
        <is>
          <t>FEBRERO 2024</t>
        </is>
      </c>
      <c r="L1400" t="inlineStr">
        <is>
          <t>FEBRERO 2025</t>
        </is>
      </c>
      <c r="M1400" t="inlineStr">
        <is>
          <t>P.Q.S TIPO ABC</t>
        </is>
      </c>
      <c r="N1400" t="inlineStr">
        <is>
          <t>000787</t>
        </is>
      </c>
      <c r="O1400" t="inlineStr">
        <is>
          <t>R</t>
        </is>
      </c>
      <c r="P1400">
        <f>TRIM(N1400)</f>
        <v/>
      </c>
    </row>
    <row r="1401">
      <c r="A1401" t="inlineStr">
        <is>
          <t>CO-001815</t>
        </is>
      </c>
      <c r="B1401" t="inlineStr">
        <is>
          <t>LAN CENTER DE: DARIO MAXIMO PIÑAHUAMAN FLORES</t>
        </is>
      </c>
      <c r="C1401" t="inlineStr">
        <is>
          <t>42062478</t>
        </is>
      </c>
      <c r="D1401" t="inlineStr">
        <is>
          <t>AV. REVOLUCION Nº 500 - COLLIQUE</t>
        </is>
      </c>
      <c r="E1401" t="inlineStr">
        <is>
          <t>Lima, 14 de Febrero de 2024</t>
        </is>
      </c>
      <c r="F1401" t="inlineStr">
        <is>
          <t>la Recarga y mantenimiento</t>
        </is>
      </c>
      <c r="G1401" t="inlineStr">
        <is>
          <t>01</t>
        </is>
      </c>
      <c r="H1401" t="inlineStr">
        <is>
          <t>06 KG</t>
        </is>
      </c>
      <c r="I1401" t="inlineStr">
        <is>
          <t>2028</t>
        </is>
      </c>
      <c r="J1401" t="n">
        <v>2013</v>
      </c>
      <c r="K1401" t="inlineStr">
        <is>
          <t>FEBRERO 2024</t>
        </is>
      </c>
      <c r="L1401" t="inlineStr">
        <is>
          <t>FEBRERO 2025</t>
        </is>
      </c>
      <c r="M1401" t="inlineStr">
        <is>
          <t xml:space="preserve">P.Q.S.  TIPO ABC </t>
        </is>
      </c>
      <c r="N1401" t="inlineStr">
        <is>
          <t>000005</t>
        </is>
      </c>
      <c r="O1401" t="inlineStr">
        <is>
          <t>R</t>
        </is>
      </c>
      <c r="P1401">
        <f>TRIM(N1401)</f>
        <v/>
      </c>
    </row>
    <row r="1402">
      <c r="A1402" t="inlineStr">
        <is>
          <t>CO-001816</t>
        </is>
      </c>
      <c r="B1402" t="inlineStr">
        <is>
          <t>PERU MASIVO S.A. (INFRAESTRUCTURA)</t>
        </is>
      </c>
      <c r="C1402" t="inlineStr">
        <is>
          <t>20492392031</t>
        </is>
      </c>
      <c r="D1402" t="inlineStr">
        <is>
          <t>AV. LOS INCAS CDRA. 4 PATIO NORTE - COMAS</t>
        </is>
      </c>
      <c r="E1402" t="inlineStr">
        <is>
          <t>Lima, 14 de Febrero de 2024</t>
        </is>
      </c>
      <c r="F1402" t="inlineStr">
        <is>
          <t>la Recarga y mantenimiento</t>
        </is>
      </c>
      <c r="G1402" t="inlineStr">
        <is>
          <t>01</t>
        </is>
      </c>
      <c r="H1402" t="inlineStr">
        <is>
          <t>06 KG</t>
        </is>
      </c>
      <c r="I1402" t="inlineStr">
        <is>
          <t>2028</t>
        </is>
      </c>
      <c r="J1402" t="n">
        <v>2010</v>
      </c>
      <c r="K1402" t="inlineStr">
        <is>
          <t>FEBRERO 2024</t>
        </is>
      </c>
      <c r="L1402" t="inlineStr">
        <is>
          <t>FEBRERO 2025</t>
        </is>
      </c>
      <c r="M1402" t="inlineStr">
        <is>
          <t>P.Q.S TIPO ABC AL 90 % NACIONAL</t>
        </is>
      </c>
      <c r="N1402" t="inlineStr">
        <is>
          <t>7 / 003056</t>
        </is>
      </c>
      <c r="O1402" t="inlineStr">
        <is>
          <t>R</t>
        </is>
      </c>
      <c r="P1402">
        <f>TRIM(N1402)</f>
        <v/>
      </c>
    </row>
    <row r="1403">
      <c r="A1403" t="inlineStr">
        <is>
          <t>CO-001816</t>
        </is>
      </c>
      <c r="B1403" t="inlineStr">
        <is>
          <t>PERU MASIVO S.A. (INFRAESTRUCTURA)</t>
        </is>
      </c>
      <c r="C1403" t="inlineStr">
        <is>
          <t>20492392031</t>
        </is>
      </c>
      <c r="D1403" t="inlineStr">
        <is>
          <t>AV. LOS INCAS CDRA. 4 PATIO NORTE - COMAS</t>
        </is>
      </c>
      <c r="E1403" t="inlineStr">
        <is>
          <t>Lima, 14 de Febrero de 2024</t>
        </is>
      </c>
      <c r="F1403" t="inlineStr">
        <is>
          <t>la Recarga y mantenimiento</t>
        </is>
      </c>
      <c r="G1403" t="inlineStr">
        <is>
          <t>02</t>
        </is>
      </c>
      <c r="H1403" t="inlineStr">
        <is>
          <t>06 KG</t>
        </is>
      </c>
      <c r="I1403" t="inlineStr">
        <is>
          <t>2029</t>
        </is>
      </c>
      <c r="J1403" t="n">
        <v>2009</v>
      </c>
      <c r="K1403" t="inlineStr">
        <is>
          <t>FEBRERO 2024</t>
        </is>
      </c>
      <c r="L1403" t="inlineStr">
        <is>
          <t>FEBRERO 2025</t>
        </is>
      </c>
      <c r="M1403" t="inlineStr">
        <is>
          <t>P.Q.S TIPO ABC AL 90 % NACIONAL</t>
        </is>
      </c>
      <c r="N1403" t="inlineStr">
        <is>
          <t>8 / 002569</t>
        </is>
      </c>
      <c r="O1403" t="inlineStr">
        <is>
          <t>R</t>
        </is>
      </c>
      <c r="P1403">
        <f>TRIM(N1403)</f>
        <v/>
      </c>
    </row>
    <row r="1404">
      <c r="A1404" t="inlineStr">
        <is>
          <t>CO-001816</t>
        </is>
      </c>
      <c r="B1404" t="inlineStr">
        <is>
          <t>PERU MASIVO S.A. (INFRAESTRUCTURA)</t>
        </is>
      </c>
      <c r="C1404" t="inlineStr">
        <is>
          <t>20492392031</t>
        </is>
      </c>
      <c r="D1404" t="inlineStr">
        <is>
          <t>AV. LOS INCAS CDRA. 4 PATIO NORTE - COMAS</t>
        </is>
      </c>
      <c r="E1404" t="inlineStr">
        <is>
          <t>Lima, 14 de Febrero de 2024</t>
        </is>
      </c>
      <c r="F1404" t="inlineStr">
        <is>
          <t>la Recarga y mantenimiento</t>
        </is>
      </c>
      <c r="G1404" t="inlineStr">
        <is>
          <t>03</t>
        </is>
      </c>
      <c r="H1404" t="inlineStr">
        <is>
          <t>10 LBS</t>
        </is>
      </c>
      <c r="I1404" t="inlineStr">
        <is>
          <t>2028</t>
        </is>
      </c>
      <c r="J1404" t="n">
        <v>2012</v>
      </c>
      <c r="K1404" t="inlineStr">
        <is>
          <t>FEBRERO 2024</t>
        </is>
      </c>
      <c r="L1404" t="inlineStr">
        <is>
          <t>FEBRERO 2025</t>
        </is>
      </c>
      <c r="M1404" t="inlineStr">
        <is>
          <t>CO2 / TIPO BC</t>
        </is>
      </c>
      <c r="N1404" t="inlineStr">
        <is>
          <t>9 / 010909</t>
        </is>
      </c>
      <c r="O1404" t="inlineStr">
        <is>
          <t>R</t>
        </is>
      </c>
      <c r="P1404">
        <f>TRIM(N1404)</f>
        <v/>
      </c>
    </row>
    <row r="1405">
      <c r="A1405" t="inlineStr">
        <is>
          <t>CO-001816</t>
        </is>
      </c>
      <c r="B1405" t="inlineStr">
        <is>
          <t>PERU MASIVO S.A. (INFRAESTRUCTURA)</t>
        </is>
      </c>
      <c r="C1405" t="inlineStr">
        <is>
          <t>20492392031</t>
        </is>
      </c>
      <c r="D1405" t="inlineStr">
        <is>
          <t>AV. LOS INCAS CDRA. 4 PATIO NORTE - COMAS</t>
        </is>
      </c>
      <c r="E1405" t="inlineStr">
        <is>
          <t>Lima, 14 de Febrero de 2024</t>
        </is>
      </c>
      <c r="F1405" t="inlineStr">
        <is>
          <t>la Recarga y mantenimiento</t>
        </is>
      </c>
      <c r="G1405" t="inlineStr">
        <is>
          <t>04</t>
        </is>
      </c>
      <c r="H1405" t="inlineStr">
        <is>
          <t>06 KG</t>
        </is>
      </c>
      <c r="I1405" t="inlineStr">
        <is>
          <t>2029</t>
        </is>
      </c>
      <c r="J1405" t="n">
        <v>2009</v>
      </c>
      <c r="K1405" t="inlineStr">
        <is>
          <t>FEBRERO 2024</t>
        </is>
      </c>
      <c r="L1405" t="inlineStr">
        <is>
          <t>FEBRERO 2025</t>
        </is>
      </c>
      <c r="M1405" t="inlineStr">
        <is>
          <t>P.Q.S TIPO ABC AL 90 % NACIONAL</t>
        </is>
      </c>
      <c r="N1405" t="inlineStr">
        <is>
          <t>10 / 000744</t>
        </is>
      </c>
      <c r="O1405" t="inlineStr">
        <is>
          <t>R</t>
        </is>
      </c>
      <c r="P1405">
        <f>TRIM(N1405)</f>
        <v/>
      </c>
    </row>
    <row r="1406">
      <c r="A1406" t="inlineStr">
        <is>
          <t>CO-001816</t>
        </is>
      </c>
      <c r="B1406" t="inlineStr">
        <is>
          <t>PERU MASIVO S.A. (INFRAESTRUCTURA)</t>
        </is>
      </c>
      <c r="C1406" t="inlineStr">
        <is>
          <t>20492392031</t>
        </is>
      </c>
      <c r="D1406" t="inlineStr">
        <is>
          <t>AV. LOS INCAS CDRA. 4 PATIO NORTE - COMAS</t>
        </is>
      </c>
      <c r="E1406" t="inlineStr">
        <is>
          <t>Lima, 14 de Febrero de 2024</t>
        </is>
      </c>
      <c r="F1406" t="inlineStr">
        <is>
          <t>la Recarga y mantenimiento</t>
        </is>
      </c>
      <c r="G1406" t="inlineStr">
        <is>
          <t>05</t>
        </is>
      </c>
      <c r="H1406" t="inlineStr">
        <is>
          <t>06 KG</t>
        </is>
      </c>
      <c r="I1406" t="inlineStr">
        <is>
          <t>2029</t>
        </is>
      </c>
      <c r="J1406" t="n">
        <v>2010</v>
      </c>
      <c r="K1406" t="inlineStr">
        <is>
          <t>FEBRERO 2024</t>
        </is>
      </c>
      <c r="L1406" t="inlineStr">
        <is>
          <t>FEBRERO 2025</t>
        </is>
      </c>
      <c r="M1406" t="inlineStr">
        <is>
          <t>P.Q.S TIPO ABC AL 90 % NACIONAL</t>
        </is>
      </c>
      <c r="N1406" t="inlineStr">
        <is>
          <t>11 / 000154</t>
        </is>
      </c>
      <c r="O1406" t="inlineStr">
        <is>
          <t>R</t>
        </is>
      </c>
      <c r="P1406">
        <f>TRIM(N1406)</f>
        <v/>
      </c>
    </row>
    <row r="1407">
      <c r="A1407" t="inlineStr">
        <is>
          <t>CO-001816</t>
        </is>
      </c>
      <c r="B1407" t="inlineStr">
        <is>
          <t>PERU MASIVO S.A. (INFRAESTRUCTURA)</t>
        </is>
      </c>
      <c r="C1407" t="inlineStr">
        <is>
          <t>20492392031</t>
        </is>
      </c>
      <c r="D1407" t="inlineStr">
        <is>
          <t>AV. LOS INCAS CDRA. 4 PATIO NORTE - COMAS</t>
        </is>
      </c>
      <c r="E1407" t="inlineStr">
        <is>
          <t>Lima, 14 de Febrero de 2024</t>
        </is>
      </c>
      <c r="F1407" t="inlineStr">
        <is>
          <t>la Recarga y mantenimiento</t>
        </is>
      </c>
      <c r="G1407" t="inlineStr">
        <is>
          <t>06</t>
        </is>
      </c>
      <c r="H1407" t="inlineStr">
        <is>
          <t>10 LBS</t>
        </is>
      </c>
      <c r="I1407" t="inlineStr">
        <is>
          <t>2028</t>
        </is>
      </c>
      <c r="J1407" t="n">
        <v>2012</v>
      </c>
      <c r="K1407" t="inlineStr">
        <is>
          <t>FEBRERO 2024</t>
        </is>
      </c>
      <c r="L1407" t="inlineStr">
        <is>
          <t>FEBRERO 2025</t>
        </is>
      </c>
      <c r="M1407" t="inlineStr">
        <is>
          <t>CO2 / TIPO BC</t>
        </is>
      </c>
      <c r="N1407" t="inlineStr">
        <is>
          <t>13 / 082151</t>
        </is>
      </c>
      <c r="O1407" t="inlineStr">
        <is>
          <t>R</t>
        </is>
      </c>
      <c r="P1407">
        <f>TRIM(N1407)</f>
        <v/>
      </c>
    </row>
    <row r="1408">
      <c r="A1408" t="inlineStr">
        <is>
          <t>CO-001816</t>
        </is>
      </c>
      <c r="B1408" t="inlineStr">
        <is>
          <t>PERU MASIVO S.A. (INFRAESTRUCTURA)</t>
        </is>
      </c>
      <c r="C1408" t="inlineStr">
        <is>
          <t>20492392031</t>
        </is>
      </c>
      <c r="D1408" t="inlineStr">
        <is>
          <t>AV. LOS INCAS CDRA. 4 PATIO NORTE - COMAS</t>
        </is>
      </c>
      <c r="E1408" t="inlineStr">
        <is>
          <t>Lima, 14 de Febrero de 2024</t>
        </is>
      </c>
      <c r="F1408" t="inlineStr">
        <is>
          <t>la Recarga y mantenimiento</t>
        </is>
      </c>
      <c r="G1408" t="inlineStr">
        <is>
          <t>07</t>
        </is>
      </c>
      <c r="H1408" t="inlineStr">
        <is>
          <t>06 KG</t>
        </is>
      </c>
      <c r="I1408" t="inlineStr">
        <is>
          <t>2029</t>
        </is>
      </c>
      <c r="J1408" t="n">
        <v>2009</v>
      </c>
      <c r="K1408" t="inlineStr">
        <is>
          <t>FEBRERO 2024</t>
        </is>
      </c>
      <c r="L1408" t="inlineStr">
        <is>
          <t>FEBRERO 2025</t>
        </is>
      </c>
      <c r="M1408" t="inlineStr">
        <is>
          <t>P.Q.S TIPO ABC AL 90 % NACIONAL</t>
        </is>
      </c>
      <c r="N1408" t="inlineStr">
        <is>
          <t>14 / 000903</t>
        </is>
      </c>
      <c r="O1408" t="inlineStr">
        <is>
          <t>R</t>
        </is>
      </c>
      <c r="P1408">
        <f>TRIM(N1408)</f>
        <v/>
      </c>
    </row>
    <row r="1409">
      <c r="A1409" t="inlineStr">
        <is>
          <t>CO-001816</t>
        </is>
      </c>
      <c r="B1409" t="inlineStr">
        <is>
          <t>PERU MASIVO S.A. (INFRAESTRUCTURA)</t>
        </is>
      </c>
      <c r="C1409" t="inlineStr">
        <is>
          <t>20492392031</t>
        </is>
      </c>
      <c r="D1409" t="inlineStr">
        <is>
          <t>AV. LOS INCAS CDRA. 4 PATIO NORTE - COMAS</t>
        </is>
      </c>
      <c r="E1409" t="inlineStr">
        <is>
          <t>Lima, 14 de Febrero de 2024</t>
        </is>
      </c>
      <c r="F1409" t="inlineStr">
        <is>
          <t>la Recarga y mantenimiento</t>
        </is>
      </c>
      <c r="G1409" t="inlineStr">
        <is>
          <t>08</t>
        </is>
      </c>
      <c r="H1409" t="inlineStr">
        <is>
          <t>06 KG</t>
        </is>
      </c>
      <c r="I1409" t="inlineStr">
        <is>
          <t>2029</t>
        </is>
      </c>
      <c r="J1409" t="n">
        <v>2006</v>
      </c>
      <c r="K1409" t="inlineStr">
        <is>
          <t>FEBRERO 2024</t>
        </is>
      </c>
      <c r="L1409" t="inlineStr">
        <is>
          <t>FEBRERO 2025</t>
        </is>
      </c>
      <c r="M1409" t="inlineStr">
        <is>
          <t>P.Q.S TIPO ABC AL 90 % NACIONAL</t>
        </is>
      </c>
      <c r="N1409" t="inlineStr">
        <is>
          <t>17 / 000062</t>
        </is>
      </c>
      <c r="O1409" t="inlineStr">
        <is>
          <t>R</t>
        </is>
      </c>
      <c r="P1409">
        <f>TRIM(N1409)</f>
        <v/>
      </c>
    </row>
    <row r="1410">
      <c r="A1410" t="inlineStr">
        <is>
          <t>CO-001817</t>
        </is>
      </c>
      <c r="B1410" t="inlineStr">
        <is>
          <t>QELLPU PERU S.A.</t>
        </is>
      </c>
      <c r="C1410" t="n">
        <v>20492318656</v>
      </c>
      <c r="D1410" t="inlineStr">
        <is>
          <t>AV. LOS INCAS CDRA. 4 PATIO NORTE - COMAS</t>
        </is>
      </c>
      <c r="E1410" t="inlineStr">
        <is>
          <t>Lima, 14 de Febrero de 2024</t>
        </is>
      </c>
      <c r="F1410" t="inlineStr">
        <is>
          <t>la Recarga y mantenimiento</t>
        </is>
      </c>
      <c r="G1410" t="inlineStr">
        <is>
          <t>01</t>
        </is>
      </c>
      <c r="H1410" t="inlineStr">
        <is>
          <t>06 KG</t>
        </is>
      </c>
      <c r="I1410" t="inlineStr">
        <is>
          <t>2029</t>
        </is>
      </c>
      <c r="J1410" t="n">
        <v>2009</v>
      </c>
      <c r="K1410" t="inlineStr">
        <is>
          <t>FEBRERO 2024</t>
        </is>
      </c>
      <c r="L1410" t="inlineStr">
        <is>
          <t>FEBRERO 2025</t>
        </is>
      </c>
      <c r="M1410" t="inlineStr">
        <is>
          <t>P.Q.S TIPO ABC AL 90 % NACIONAL</t>
        </is>
      </c>
      <c r="N1410" t="inlineStr">
        <is>
          <t>4 / 001619</t>
        </is>
      </c>
      <c r="O1410" t="inlineStr">
        <is>
          <t>R</t>
        </is>
      </c>
      <c r="P1410">
        <f>TRIM(N1410)</f>
        <v/>
      </c>
    </row>
    <row r="1411">
      <c r="A1411" t="inlineStr">
        <is>
          <t>CO-001817</t>
        </is>
      </c>
      <c r="B1411" t="inlineStr">
        <is>
          <t>QELLPU PERU S.A.</t>
        </is>
      </c>
      <c r="C1411" t="n">
        <v>20492318656</v>
      </c>
      <c r="D1411" t="inlineStr">
        <is>
          <t>AV. LOS INCAS CDRA. 4 PATIO NORTE - COMAS</t>
        </is>
      </c>
      <c r="E1411" t="inlineStr">
        <is>
          <t>Lima, 14 de Febrero de 2024</t>
        </is>
      </c>
      <c r="F1411" t="inlineStr">
        <is>
          <t>la Recarga y mantenimiento</t>
        </is>
      </c>
      <c r="G1411" t="inlineStr">
        <is>
          <t>02</t>
        </is>
      </c>
      <c r="H1411" t="inlineStr">
        <is>
          <t>06 KG</t>
        </is>
      </c>
      <c r="I1411" t="inlineStr">
        <is>
          <t>2029</t>
        </is>
      </c>
      <c r="J1411" t="n">
        <v>2009</v>
      </c>
      <c r="K1411" t="inlineStr">
        <is>
          <t>FEBRERO 2024</t>
        </is>
      </c>
      <c r="L1411" t="inlineStr">
        <is>
          <t>FEBRERO 2025</t>
        </is>
      </c>
      <c r="M1411" t="inlineStr">
        <is>
          <t>P.Q.S TIPO ABC AL 90 % NACIONAL</t>
        </is>
      </c>
      <c r="N1411" t="inlineStr">
        <is>
          <t>30 / 001644</t>
        </is>
      </c>
      <c r="O1411" t="inlineStr">
        <is>
          <t>R</t>
        </is>
      </c>
      <c r="P1411">
        <f>TRIM(N1411)</f>
        <v/>
      </c>
    </row>
    <row r="1412">
      <c r="A1412" t="inlineStr">
        <is>
          <t>CO-001817</t>
        </is>
      </c>
      <c r="B1412" t="inlineStr">
        <is>
          <t>QELLPU PERU S.A.</t>
        </is>
      </c>
      <c r="C1412" t="n">
        <v>20492318656</v>
      </c>
      <c r="D1412" t="inlineStr">
        <is>
          <t>AV. LOS INCAS CDRA. 4 PATIO NORTE - COMAS</t>
        </is>
      </c>
      <c r="E1412" t="inlineStr">
        <is>
          <t>Lima, 14 de Febrero de 2024</t>
        </is>
      </c>
      <c r="F1412" t="inlineStr">
        <is>
          <t>la Recarga y mantenimiento</t>
        </is>
      </c>
      <c r="G1412" t="inlineStr">
        <is>
          <t>03</t>
        </is>
      </c>
      <c r="H1412" t="inlineStr">
        <is>
          <t>10 LBS</t>
        </is>
      </c>
      <c r="I1412" t="inlineStr">
        <is>
          <t>2025</t>
        </is>
      </c>
      <c r="J1412" t="n">
        <v>2010</v>
      </c>
      <c r="K1412" t="inlineStr">
        <is>
          <t>FEBRERO 2024</t>
        </is>
      </c>
      <c r="L1412" t="inlineStr">
        <is>
          <t>FEBRERO 2025</t>
        </is>
      </c>
      <c r="M1412" t="inlineStr">
        <is>
          <t>CO2 / TIPO BC</t>
        </is>
      </c>
      <c r="N1412" t="inlineStr">
        <is>
          <t>32 / 000012</t>
        </is>
      </c>
      <c r="O1412" t="inlineStr">
        <is>
          <t>R</t>
        </is>
      </c>
      <c r="P1412">
        <f>TRIM(N1412)</f>
        <v/>
      </c>
    </row>
    <row r="1413">
      <c r="A1413" t="inlineStr">
        <is>
          <t>CO-001818</t>
        </is>
      </c>
      <c r="B1413" t="inlineStr">
        <is>
          <t>EMPRESA DE TRANSPORTES ONCE DE NOVIEMBRE</t>
        </is>
      </c>
      <c r="C1413" t="inlineStr">
        <is>
          <t>20107884476</t>
        </is>
      </c>
      <c r="D1413" t="inlineStr">
        <is>
          <t>PUNCHAUCA CARABAYLLO</t>
        </is>
      </c>
      <c r="E1413" t="inlineStr">
        <is>
          <t>Lima, 14 de Febrero de 2024</t>
        </is>
      </c>
      <c r="F1413" t="inlineStr">
        <is>
          <t>la Recarga y mantenimiento</t>
        </is>
      </c>
      <c r="G1413" t="inlineStr">
        <is>
          <t>01</t>
        </is>
      </c>
      <c r="H1413" t="inlineStr">
        <is>
          <t>06 KG</t>
        </is>
      </c>
      <c r="I1413" t="inlineStr">
        <is>
          <t>VIGENTE</t>
        </is>
      </c>
      <c r="J1413" t="n">
        <v>2010</v>
      </c>
      <c r="K1413" t="inlineStr">
        <is>
          <t>FEBRERO 2024</t>
        </is>
      </c>
      <c r="L1413" t="inlineStr">
        <is>
          <t>FEBRERO 2025</t>
        </is>
      </c>
      <c r="M1413" t="inlineStr">
        <is>
          <t xml:space="preserve">P.Q.S.  TIPO ABC </t>
        </is>
      </c>
      <c r="N1413" t="inlineStr">
        <is>
          <t>1 / 000398</t>
        </is>
      </c>
      <c r="O1413" t="inlineStr">
        <is>
          <t>R</t>
        </is>
      </c>
      <c r="P1413">
        <f>TRIM(N1413)</f>
        <v/>
      </c>
    </row>
    <row r="1414">
      <c r="A1414" t="inlineStr">
        <is>
          <t>CO-001818</t>
        </is>
      </c>
      <c r="B1414" t="inlineStr">
        <is>
          <t>EMPRESA DE TRANSPORTES ONCE DE NOVIEMBRE</t>
        </is>
      </c>
      <c r="C1414" t="inlineStr">
        <is>
          <t>20107884476</t>
        </is>
      </c>
      <c r="D1414" t="inlineStr">
        <is>
          <t>PUNCHAUCA CARABAYLLO</t>
        </is>
      </c>
      <c r="E1414" t="inlineStr">
        <is>
          <t>Lima, 14 de Febrero de 2024</t>
        </is>
      </c>
      <c r="F1414" t="inlineStr">
        <is>
          <t>la Recarga y mantenimiento</t>
        </is>
      </c>
      <c r="G1414" t="inlineStr">
        <is>
          <t>02</t>
        </is>
      </c>
      <c r="H1414" t="inlineStr">
        <is>
          <t>06 KG</t>
        </is>
      </c>
      <c r="I1414" t="inlineStr">
        <is>
          <t>VIGENTE</t>
        </is>
      </c>
      <c r="J1414" t="n">
        <v>2020</v>
      </c>
      <c r="K1414" t="inlineStr">
        <is>
          <t>FEBRERO 2024</t>
        </is>
      </c>
      <c r="L1414" t="inlineStr">
        <is>
          <t>FEBRERO 2025</t>
        </is>
      </c>
      <c r="M1414" t="inlineStr">
        <is>
          <t>PQS TIPO ABC</t>
        </is>
      </c>
      <c r="N1414" t="inlineStr">
        <is>
          <t>02 / 129351</t>
        </is>
      </c>
      <c r="O1414" t="inlineStr">
        <is>
          <t>R</t>
        </is>
      </c>
      <c r="P1414">
        <f>TRIM(N1414)</f>
        <v/>
      </c>
    </row>
    <row r="1415">
      <c r="A1415" t="inlineStr">
        <is>
          <t>CO-001818</t>
        </is>
      </c>
      <c r="B1415" t="inlineStr">
        <is>
          <t>EMPRESA DE TRANSPORTES ONCE DE NOVIEMBRE</t>
        </is>
      </c>
      <c r="C1415" t="inlineStr">
        <is>
          <t>20107884476</t>
        </is>
      </c>
      <c r="D1415" t="inlineStr">
        <is>
          <t>PUNCHAUCA CARABAYLLO</t>
        </is>
      </c>
      <c r="E1415" t="inlineStr">
        <is>
          <t>Lima, 14 de Febrero de 2024</t>
        </is>
      </c>
      <c r="F1415" t="inlineStr">
        <is>
          <t>la Recarga y mantenimiento</t>
        </is>
      </c>
      <c r="G1415" t="inlineStr">
        <is>
          <t>03</t>
        </is>
      </c>
      <c r="H1415" t="inlineStr">
        <is>
          <t>06 KG</t>
        </is>
      </c>
      <c r="I1415" t="inlineStr">
        <is>
          <t>VIGENTE</t>
        </is>
      </c>
      <c r="J1415" t="n">
        <v>2011</v>
      </c>
      <c r="K1415" t="inlineStr">
        <is>
          <t>FEBRERO 2024</t>
        </is>
      </c>
      <c r="L1415" t="inlineStr">
        <is>
          <t>FEBRERO 2025</t>
        </is>
      </c>
      <c r="M1415" t="inlineStr">
        <is>
          <t>PQS TIPO ABC</t>
        </is>
      </c>
      <c r="N1415" t="inlineStr">
        <is>
          <t>03 / S/N</t>
        </is>
      </c>
      <c r="O1415" t="inlineStr">
        <is>
          <t>R</t>
        </is>
      </c>
      <c r="P1415">
        <f>TRIM(N1415)</f>
        <v/>
      </c>
    </row>
    <row r="1416">
      <c r="A1416" t="inlineStr">
        <is>
          <t>CO-001818</t>
        </is>
      </c>
      <c r="B1416" t="inlineStr">
        <is>
          <t>EMPRESA DE TRANSPORTES ONCE DE NOVIEMBRE</t>
        </is>
      </c>
      <c r="C1416" t="inlineStr">
        <is>
          <t>20107884476</t>
        </is>
      </c>
      <c r="D1416" t="inlineStr">
        <is>
          <t>PUNCHAUCA CARABAYLLO</t>
        </is>
      </c>
      <c r="E1416" t="inlineStr">
        <is>
          <t>Lima, 14 de Febrero de 2024</t>
        </is>
      </c>
      <c r="F1416" t="inlineStr">
        <is>
          <t>la Recarga y mantenimiento</t>
        </is>
      </c>
      <c r="G1416" t="inlineStr">
        <is>
          <t>04</t>
        </is>
      </c>
      <c r="H1416" t="inlineStr">
        <is>
          <t>06 KG</t>
        </is>
      </c>
      <c r="I1416" t="inlineStr">
        <is>
          <t>VIGENTE</t>
        </is>
      </c>
      <c r="J1416" t="n">
        <v>2019</v>
      </c>
      <c r="K1416" t="inlineStr">
        <is>
          <t>FEBRERO 2024</t>
        </is>
      </c>
      <c r="L1416" t="inlineStr">
        <is>
          <t>FEBRERO 2025</t>
        </is>
      </c>
      <c r="M1416" t="inlineStr">
        <is>
          <t>PQS TIPO ABC</t>
        </is>
      </c>
      <c r="N1416" t="inlineStr">
        <is>
          <t>04 / 048722</t>
        </is>
      </c>
      <c r="O1416" t="inlineStr">
        <is>
          <t>R</t>
        </is>
      </c>
      <c r="P1416">
        <f>TRIM(N1416)</f>
        <v/>
      </c>
    </row>
    <row r="1417">
      <c r="A1417" t="inlineStr">
        <is>
          <t>CO-001818</t>
        </is>
      </c>
      <c r="B1417" t="inlineStr">
        <is>
          <t>EMPRESA DE TRANSPORTES ONCE DE NOVIEMBRE</t>
        </is>
      </c>
      <c r="C1417" t="inlineStr">
        <is>
          <t>20107884476</t>
        </is>
      </c>
      <c r="D1417" t="inlineStr">
        <is>
          <t>PUNCHAUCA CARABAYLLO</t>
        </is>
      </c>
      <c r="E1417" t="inlineStr">
        <is>
          <t>Lima, 14 de Febrero de 2024</t>
        </is>
      </c>
      <c r="F1417" t="inlineStr">
        <is>
          <t>la Recarga y mantenimiento</t>
        </is>
      </c>
      <c r="G1417" t="inlineStr">
        <is>
          <t>05</t>
        </is>
      </c>
      <c r="H1417" t="inlineStr">
        <is>
          <t>06 KG</t>
        </is>
      </c>
      <c r="I1417" t="inlineStr">
        <is>
          <t>VIGENTE</t>
        </is>
      </c>
      <c r="J1417" t="n">
        <v>2016</v>
      </c>
      <c r="K1417" t="inlineStr">
        <is>
          <t>FEBRERO 2024</t>
        </is>
      </c>
      <c r="L1417" t="inlineStr">
        <is>
          <t>FEBRERO 2025</t>
        </is>
      </c>
      <c r="M1417" t="inlineStr">
        <is>
          <t>PQS TIPO ABC</t>
        </is>
      </c>
      <c r="N1417" t="inlineStr">
        <is>
          <t>05 / 018601</t>
        </is>
      </c>
      <c r="O1417" t="inlineStr">
        <is>
          <t>R</t>
        </is>
      </c>
      <c r="P1417">
        <f>TRIM(N1417)</f>
        <v/>
      </c>
    </row>
    <row r="1418">
      <c r="A1418" t="inlineStr">
        <is>
          <t>CO-001818</t>
        </is>
      </c>
      <c r="B1418" t="inlineStr">
        <is>
          <t>EMPRESA DE TRANSPORTES ONCE DE NOVIEMBRE</t>
        </is>
      </c>
      <c r="C1418" t="inlineStr">
        <is>
          <t>20107884476</t>
        </is>
      </c>
      <c r="D1418" t="inlineStr">
        <is>
          <t>PUNCHAUCA CARABAYLLO</t>
        </is>
      </c>
      <c r="E1418" t="inlineStr">
        <is>
          <t>Lima, 14 de Febrero de 2024</t>
        </is>
      </c>
      <c r="F1418" t="inlineStr">
        <is>
          <t>la Recarga y mantenimiento</t>
        </is>
      </c>
      <c r="G1418" t="inlineStr">
        <is>
          <t>06</t>
        </is>
      </c>
      <c r="H1418" t="inlineStr">
        <is>
          <t>06 KG</t>
        </is>
      </c>
      <c r="I1418" t="inlineStr">
        <is>
          <t>VIGENTE</t>
        </is>
      </c>
      <c r="J1418" t="n">
        <v>2019</v>
      </c>
      <c r="K1418" t="inlineStr">
        <is>
          <t>FEBRERO 2024</t>
        </is>
      </c>
      <c r="L1418" t="inlineStr">
        <is>
          <t>FEBRERO 2025</t>
        </is>
      </c>
      <c r="M1418" t="inlineStr">
        <is>
          <t>PQS TIPO ABC</t>
        </is>
      </c>
      <c r="N1418" t="inlineStr">
        <is>
          <t>06 / 048861</t>
        </is>
      </c>
      <c r="O1418" t="inlineStr">
        <is>
          <t>R</t>
        </is>
      </c>
      <c r="P1418">
        <f>TRIM(N1418)</f>
        <v/>
      </c>
    </row>
    <row r="1419">
      <c r="A1419" t="inlineStr">
        <is>
          <t>CO-001819</t>
        </is>
      </c>
      <c r="B1419" t="inlineStr">
        <is>
          <t>SERVICIOS EN CONSTRUCCION SATELITAL G &amp; CH E.I.R.L. - SERCONSAT E.I.R.L.</t>
        </is>
      </c>
      <c r="C1419" t="inlineStr">
        <is>
          <t>20602948278</t>
        </is>
      </c>
      <c r="D1419" t="inlineStr">
        <is>
          <t>CAL. LAS BEGONIAS MZ. V LT. 14 URB. LA ALBORADA COMAS</t>
        </is>
      </c>
      <c r="E1419" t="inlineStr">
        <is>
          <t>Lima, 12 de Febrero de 2024</t>
        </is>
      </c>
      <c r="F1419" t="inlineStr">
        <is>
          <t>la Recarga y mantenimiento</t>
        </is>
      </c>
      <c r="G1419" t="inlineStr">
        <is>
          <t>01</t>
        </is>
      </c>
      <c r="H1419" t="inlineStr">
        <is>
          <t>04 KG</t>
        </is>
      </c>
      <c r="I1419" t="inlineStr">
        <is>
          <t>VIGENTE</t>
        </is>
      </c>
      <c r="J1419" t="n">
        <v>2009</v>
      </c>
      <c r="K1419" t="inlineStr">
        <is>
          <t>FEBRERO 2024</t>
        </is>
      </c>
      <c r="L1419" t="inlineStr">
        <is>
          <t>FEBRERO 2025</t>
        </is>
      </c>
      <c r="M1419" t="inlineStr">
        <is>
          <t xml:space="preserve">P.Q.S.  TIPO ABC </t>
        </is>
      </c>
      <c r="N1419" t="inlineStr">
        <is>
          <t>000059</t>
        </is>
      </c>
      <c r="O1419" t="inlineStr">
        <is>
          <t>R</t>
        </is>
      </c>
      <c r="P1419">
        <f>TRIM(N1419)</f>
        <v/>
      </c>
    </row>
    <row r="1420">
      <c r="A1420" t="inlineStr">
        <is>
          <t>CO-001820</t>
        </is>
      </c>
      <c r="B1420" t="inlineStr">
        <is>
          <t>JULIO CESAR PAZ PILCO</t>
        </is>
      </c>
      <c r="C1420" t="inlineStr">
        <is>
          <t>74709645</t>
        </is>
      </c>
      <c r="D1420" t="inlineStr">
        <is>
          <t>JR. JUPITER MZ. 8 LT. 85 - AÑO NUEVO COMAS</t>
        </is>
      </c>
      <c r="E1420" t="inlineStr">
        <is>
          <t>Lima, 12 de Febrero de 2024</t>
        </is>
      </c>
      <c r="F1420" t="inlineStr">
        <is>
          <t>la Recarga y mantenimiento</t>
        </is>
      </c>
      <c r="G1420" t="inlineStr">
        <is>
          <t>01</t>
        </is>
      </c>
      <c r="H1420" t="inlineStr">
        <is>
          <t>06 KG</t>
        </is>
      </c>
      <c r="I1420" t="inlineStr">
        <is>
          <t>2027</t>
        </is>
      </c>
      <c r="J1420" t="n">
        <v>2022</v>
      </c>
      <c r="K1420" t="inlineStr">
        <is>
          <t>FEBRERO 2024</t>
        </is>
      </c>
      <c r="L1420" t="inlineStr">
        <is>
          <t>FEBRERO 2025</t>
        </is>
      </c>
      <c r="M1420" t="inlineStr">
        <is>
          <t xml:space="preserve">P.Q.S.  TIPO ABC </t>
        </is>
      </c>
      <c r="N1420" t="inlineStr">
        <is>
          <t>01 / 031863</t>
        </is>
      </c>
      <c r="O1420" t="inlineStr">
        <is>
          <t>R</t>
        </is>
      </c>
      <c r="P1420">
        <f>TRIM(N1420)</f>
        <v/>
      </c>
    </row>
    <row r="1421">
      <c r="A1421" t="inlineStr">
        <is>
          <t>CO-001820</t>
        </is>
      </c>
      <c r="B1421" t="inlineStr">
        <is>
          <t>JULIO CESAR PAZ PILCO</t>
        </is>
      </c>
      <c r="C1421" t="inlineStr">
        <is>
          <t>74709645</t>
        </is>
      </c>
      <c r="D1421" t="inlineStr">
        <is>
          <t>JR. JUPITER MZ. 8 LT. 85 - AÑO NUEVO COMAS</t>
        </is>
      </c>
      <c r="E1421" t="inlineStr">
        <is>
          <t>Lima, 12 de Febrero de 2024</t>
        </is>
      </c>
      <c r="F1421" t="inlineStr">
        <is>
          <t>la Recarga y mantenimiento</t>
        </is>
      </c>
      <c r="G1421" t="inlineStr">
        <is>
          <t>02</t>
        </is>
      </c>
      <c r="H1421" t="inlineStr">
        <is>
          <t>06 KG</t>
        </is>
      </c>
      <c r="I1421" t="inlineStr">
        <is>
          <t>2027</t>
        </is>
      </c>
      <c r="J1421" t="n">
        <v>2022</v>
      </c>
      <c r="K1421" t="inlineStr">
        <is>
          <t>FEBRERO 2024</t>
        </is>
      </c>
      <c r="L1421" t="inlineStr">
        <is>
          <t>FEBRERO 2025</t>
        </is>
      </c>
      <c r="M1421" t="inlineStr">
        <is>
          <t xml:space="preserve">P.Q.S.  TIPO ABC </t>
        </is>
      </c>
      <c r="N1421" t="inlineStr">
        <is>
          <t>02 / 026947</t>
        </is>
      </c>
      <c r="O1421" t="inlineStr">
        <is>
          <t>R</t>
        </is>
      </c>
      <c r="P1421">
        <f>TRIM(N1421)</f>
        <v/>
      </c>
    </row>
    <row r="1422">
      <c r="A1422" t="inlineStr">
        <is>
          <t>CO-001821</t>
        </is>
      </c>
      <c r="B1422" t="inlineStr">
        <is>
          <t>RG SERVINDUSTRIAS E.I.R.L.</t>
        </is>
      </c>
      <c r="C1422" t="inlineStr">
        <is>
          <t>20611068191</t>
        </is>
      </c>
      <c r="D1422" t="inlineStr">
        <is>
          <t>AV. CHACRA CERRO NRO. 811 OTR. PARCELA CH CERRO COMAS</t>
        </is>
      </c>
      <c r="E1422" t="inlineStr">
        <is>
          <t>Lima, 13 de Febrero de 2024</t>
        </is>
      </c>
      <c r="F1422" t="inlineStr">
        <is>
          <t>la Recarga y mantenimiento</t>
        </is>
      </c>
      <c r="G1422" t="inlineStr">
        <is>
          <t>01</t>
        </is>
      </c>
      <c r="H1422" t="inlineStr">
        <is>
          <t>06 KG</t>
        </is>
      </c>
      <c r="I1422" t="inlineStr">
        <is>
          <t>2028</t>
        </is>
      </c>
      <c r="J1422" t="n">
        <v>2023</v>
      </c>
      <c r="K1422" t="inlineStr">
        <is>
          <t>FEBRERO 2024</t>
        </is>
      </c>
      <c r="L1422" t="inlineStr">
        <is>
          <t>FEBRERO 2025</t>
        </is>
      </c>
      <c r="M1422" t="inlineStr">
        <is>
          <t xml:space="preserve">P.Q.S.  TIPO ABC </t>
        </is>
      </c>
      <c r="N1422" t="inlineStr">
        <is>
          <t>455135</t>
        </is>
      </c>
      <c r="O1422" t="inlineStr">
        <is>
          <t>R</t>
        </is>
      </c>
      <c r="P1422">
        <f>TRIM(N1422)</f>
        <v/>
      </c>
    </row>
    <row r="1423">
      <c r="A1423" t="inlineStr">
        <is>
          <t>CO-001822</t>
        </is>
      </c>
      <c r="B1423" t="inlineStr">
        <is>
          <t>PABLO MERCADO PALLE</t>
        </is>
      </c>
      <c r="C1423" t="inlineStr">
        <is>
          <t>40962033</t>
        </is>
      </c>
      <c r="D1423" t="inlineStr">
        <is>
          <t>PLACA: AKG - 155</t>
        </is>
      </c>
      <c r="E1423" t="inlineStr">
        <is>
          <t>Lima, 13 de Febrero de 2024</t>
        </is>
      </c>
      <c r="F1423" t="inlineStr">
        <is>
          <t>la Recarga y mantenimiento</t>
        </is>
      </c>
      <c r="G1423" t="inlineStr">
        <is>
          <t>01</t>
        </is>
      </c>
      <c r="H1423" t="inlineStr">
        <is>
          <t>02 KG</t>
        </is>
      </c>
      <c r="I1423" t="inlineStr">
        <is>
          <t>2025</t>
        </is>
      </c>
      <c r="J1423" t="n">
        <v>2020</v>
      </c>
      <c r="K1423" t="inlineStr">
        <is>
          <t>FEBRERO 2024</t>
        </is>
      </c>
      <c r="L1423" t="inlineStr">
        <is>
          <t>FEBRERO 2025</t>
        </is>
      </c>
      <c r="M1423" t="inlineStr">
        <is>
          <t xml:space="preserve">P.Q.S.  TIPO ABC </t>
        </is>
      </c>
      <c r="N1423" t="inlineStr">
        <is>
          <t>000105</t>
        </is>
      </c>
      <c r="O1423" t="inlineStr">
        <is>
          <t>R</t>
        </is>
      </c>
      <c r="P1423">
        <f>TRIM(N1423)</f>
        <v/>
      </c>
    </row>
    <row r="1424">
      <c r="A1424" t="inlineStr">
        <is>
          <t>CO-001823</t>
        </is>
      </c>
      <c r="B1424" t="inlineStr">
        <is>
          <t>MEDIK &amp; FARMACEUTICA AZUL S.A.C. / BOTICA AZUL</t>
        </is>
      </c>
      <c r="C1424" t="inlineStr">
        <is>
          <t>20601476747</t>
        </is>
      </c>
      <c r="D1424" t="inlineStr">
        <is>
          <t>AV. TUPAC AMARU NRO. 7947</t>
        </is>
      </c>
      <c r="E1424" t="inlineStr">
        <is>
          <t>Lima, 16 de Febrero de 2024</t>
        </is>
      </c>
      <c r="F1424" t="inlineStr">
        <is>
          <t>la Recarga y mantenimiento</t>
        </is>
      </c>
      <c r="G1424" t="inlineStr">
        <is>
          <t>01</t>
        </is>
      </c>
      <c r="H1424" t="inlineStr">
        <is>
          <t>06 KG</t>
        </is>
      </c>
      <c r="I1424" t="inlineStr">
        <is>
          <t>2025</t>
        </is>
      </c>
      <c r="J1424" t="n">
        <v>2018</v>
      </c>
      <c r="K1424" t="inlineStr">
        <is>
          <t>FEBRERO 2024</t>
        </is>
      </c>
      <c r="L1424" t="inlineStr">
        <is>
          <t>FEBRERO 2025</t>
        </is>
      </c>
      <c r="M1424" t="inlineStr">
        <is>
          <t xml:space="preserve">P.Q.S.  TIPO ABC </t>
        </is>
      </c>
      <c r="N1424" t="inlineStr">
        <is>
          <t>000028</t>
        </is>
      </c>
      <c r="O1424" t="inlineStr">
        <is>
          <t>R</t>
        </is>
      </c>
      <c r="P1424">
        <f>TRIM(N1424)</f>
        <v/>
      </c>
    </row>
    <row r="1425">
      <c r="A1425" t="inlineStr">
        <is>
          <t>CO-001823</t>
        </is>
      </c>
      <c r="B1425" t="inlineStr">
        <is>
          <t>MEDIK &amp; FARMACEUTICA AZUL S.A.C. / BOTICA AZUL</t>
        </is>
      </c>
      <c r="C1425" t="inlineStr">
        <is>
          <t>20601476747</t>
        </is>
      </c>
      <c r="D1425" t="inlineStr">
        <is>
          <t>AV. TUPAC AMARU NRO. 7947</t>
        </is>
      </c>
      <c r="E1425" t="inlineStr">
        <is>
          <t>Lima, 16 de Febrero de 2024</t>
        </is>
      </c>
      <c r="F1425" t="inlineStr">
        <is>
          <t>la Recarga y mantenimiento</t>
        </is>
      </c>
      <c r="G1425" t="inlineStr">
        <is>
          <t>02</t>
        </is>
      </c>
      <c r="H1425" t="inlineStr">
        <is>
          <t>06 KG</t>
        </is>
      </c>
      <c r="I1425" t="inlineStr">
        <is>
          <t>2025</t>
        </is>
      </c>
      <c r="J1425" t="n">
        <v>2016</v>
      </c>
      <c r="K1425" t="inlineStr">
        <is>
          <t>FEBRERO 2024</t>
        </is>
      </c>
      <c r="L1425" t="inlineStr">
        <is>
          <t>FEBRERO 2025</t>
        </is>
      </c>
      <c r="M1425" t="inlineStr">
        <is>
          <t xml:space="preserve">P.Q.S.  TIPO ABC </t>
        </is>
      </c>
      <c r="N1425" t="inlineStr">
        <is>
          <t>021378</t>
        </is>
      </c>
      <c r="O1425" t="inlineStr">
        <is>
          <t>R</t>
        </is>
      </c>
      <c r="P1425">
        <f>TRIM(N1425)</f>
        <v/>
      </c>
    </row>
    <row r="1426">
      <c r="A1426" t="inlineStr">
        <is>
          <t>CO-001823</t>
        </is>
      </c>
      <c r="B1426" t="inlineStr">
        <is>
          <t>MEDIK &amp; FARMACEUTICA AZUL S.A.C. / BOTICA AZUL</t>
        </is>
      </c>
      <c r="C1426" t="inlineStr">
        <is>
          <t>20601476747</t>
        </is>
      </c>
      <c r="D1426" t="inlineStr">
        <is>
          <t>AV. TUPAC AMARU NRO. 7947</t>
        </is>
      </c>
      <c r="E1426" t="inlineStr">
        <is>
          <t>Lima, 16 de Febrero de 2024</t>
        </is>
      </c>
      <c r="F1426" t="inlineStr">
        <is>
          <t>la Recarga y mantenimiento</t>
        </is>
      </c>
      <c r="G1426" t="inlineStr">
        <is>
          <t>03</t>
        </is>
      </c>
      <c r="H1426" t="inlineStr">
        <is>
          <t>04 KG</t>
        </is>
      </c>
      <c r="I1426" t="inlineStr">
        <is>
          <t>VIGENTE</t>
        </is>
      </c>
      <c r="J1426" t="n">
        <v>2003</v>
      </c>
      <c r="K1426" t="inlineStr">
        <is>
          <t>FEBRERO 2024</t>
        </is>
      </c>
      <c r="L1426" t="inlineStr">
        <is>
          <t>FEBRERO 2025</t>
        </is>
      </c>
      <c r="M1426" t="inlineStr">
        <is>
          <t xml:space="preserve">P.Q.S.  TIPO ABC </t>
        </is>
      </c>
      <c r="N1426" t="inlineStr">
        <is>
          <t>S/N</t>
        </is>
      </c>
      <c r="O1426" t="inlineStr">
        <is>
          <t>R</t>
        </is>
      </c>
      <c r="P1426">
        <f>TRIM(N1426)</f>
        <v/>
      </c>
    </row>
    <row r="1427">
      <c r="A1427" t="inlineStr">
        <is>
          <t>CO-001824</t>
        </is>
      </c>
      <c r="B1427" t="inlineStr">
        <is>
          <t>MIGUEL ANGEL OLIVAR ALARCON</t>
        </is>
      </c>
      <c r="C1427" t="inlineStr">
        <is>
          <t>43073017</t>
        </is>
      </c>
      <c r="D1427" t="inlineStr">
        <is>
          <t>PLACA: B6H - 745</t>
        </is>
      </c>
      <c r="E1427" t="inlineStr">
        <is>
          <t>Lima, 17 de Febrero de 2024</t>
        </is>
      </c>
      <c r="F1427" t="inlineStr">
        <is>
          <t>la Recarga y mantenimiento</t>
        </is>
      </c>
      <c r="G1427" t="inlineStr">
        <is>
          <t>01</t>
        </is>
      </c>
      <c r="H1427" t="inlineStr">
        <is>
          <t>06 KG</t>
        </is>
      </c>
      <c r="I1427" t="inlineStr">
        <is>
          <t>VIGENTE</t>
        </is>
      </c>
      <c r="J1427" t="n">
        <v>2017</v>
      </c>
      <c r="K1427" t="inlineStr">
        <is>
          <t>FEBRERO 2024</t>
        </is>
      </c>
      <c r="L1427" t="inlineStr">
        <is>
          <t>FEBRERO 2025</t>
        </is>
      </c>
      <c r="M1427" t="inlineStr">
        <is>
          <t xml:space="preserve">P.Q.S.  TIPO ABC </t>
        </is>
      </c>
      <c r="N1427" t="inlineStr">
        <is>
          <t>000437</t>
        </is>
      </c>
      <c r="O1427" t="inlineStr">
        <is>
          <t>R</t>
        </is>
      </c>
      <c r="P1427">
        <f>TRIM(N1427)</f>
        <v/>
      </c>
    </row>
    <row r="1428">
      <c r="A1428" t="inlineStr">
        <is>
          <t>CO-001825</t>
        </is>
      </c>
      <c r="B1428" t="inlineStr">
        <is>
          <t>SALON TIJERAS Y MANOS DE: KATHERINE LIDIA PURUGUAY VALVERDE</t>
        </is>
      </c>
      <c r="C1428" t="inlineStr">
        <is>
          <t>10420459144</t>
        </is>
      </c>
      <c r="D1428" t="inlineStr">
        <is>
          <t>AV. TUPAC AMARU NRO. 3664, LA PASCANA</t>
        </is>
      </c>
      <c r="E1428" t="inlineStr">
        <is>
          <t>Lima, 20 de Febrero de 2024</t>
        </is>
      </c>
      <c r="F1428" t="inlineStr">
        <is>
          <t>la Recarga y mantenimiento</t>
        </is>
      </c>
      <c r="G1428" t="inlineStr">
        <is>
          <t>01</t>
        </is>
      </c>
      <c r="H1428" t="inlineStr">
        <is>
          <t>06 KG</t>
        </is>
      </c>
      <c r="I1428" t="inlineStr">
        <is>
          <t>VIGENTE</t>
        </is>
      </c>
      <c r="J1428" t="n">
        <v>2016</v>
      </c>
      <c r="K1428" t="inlineStr">
        <is>
          <t>FEBRERO 2024</t>
        </is>
      </c>
      <c r="L1428" t="inlineStr">
        <is>
          <t>FEBRERO 2025</t>
        </is>
      </c>
      <c r="M1428" t="inlineStr">
        <is>
          <t xml:space="preserve">P.Q.S.  TIPO ABC </t>
        </is>
      </c>
      <c r="N1428" t="inlineStr">
        <is>
          <t>01 / 020520</t>
        </is>
      </c>
      <c r="O1428" t="inlineStr">
        <is>
          <t>R</t>
        </is>
      </c>
      <c r="P1428">
        <f>TRIM(N1428)</f>
        <v/>
      </c>
    </row>
    <row r="1429">
      <c r="A1429" t="inlineStr">
        <is>
          <t>CO-001825</t>
        </is>
      </c>
      <c r="B1429" t="inlineStr">
        <is>
          <t>SALON TIJERAS Y MANOS DE: KATHERINE LIDIA PURUGUAY VALVERDE</t>
        </is>
      </c>
      <c r="C1429" t="inlineStr">
        <is>
          <t>10420459144</t>
        </is>
      </c>
      <c r="D1429" t="inlineStr">
        <is>
          <t>AV. TUPAC AMARU NRO. 3664, LA PASCANA</t>
        </is>
      </c>
      <c r="E1429" t="inlineStr">
        <is>
          <t>Lima, 20 de Febrero de 2024</t>
        </is>
      </c>
      <c r="F1429" t="inlineStr">
        <is>
          <t>la Recarga y mantenimiento</t>
        </is>
      </c>
      <c r="G1429" t="inlineStr">
        <is>
          <t>02</t>
        </is>
      </c>
      <c r="H1429" t="inlineStr">
        <is>
          <t>06 KG</t>
        </is>
      </c>
      <c r="I1429" t="inlineStr">
        <is>
          <t>2028</t>
        </is>
      </c>
      <c r="J1429" t="n">
        <v>2023</v>
      </c>
      <c r="K1429" t="inlineStr">
        <is>
          <t>FEBRERO 2024</t>
        </is>
      </c>
      <c r="L1429" t="inlineStr">
        <is>
          <t>FEBRERO 2025</t>
        </is>
      </c>
      <c r="M1429" t="inlineStr">
        <is>
          <t xml:space="preserve">P.Q.S.  TIPO ABC </t>
        </is>
      </c>
      <c r="N1429" t="inlineStr">
        <is>
          <t>03 / 152931</t>
        </is>
      </c>
      <c r="O1429" t="inlineStr">
        <is>
          <t>R</t>
        </is>
      </c>
      <c r="P1429">
        <f>TRIM(N1429)</f>
        <v/>
      </c>
    </row>
    <row r="1430">
      <c r="A1430" t="inlineStr">
        <is>
          <t>CO-001826</t>
        </is>
      </c>
      <c r="B1430" t="inlineStr">
        <is>
          <t>DIANA CONTRERAS TAYPE</t>
        </is>
      </c>
      <c r="C1430" t="inlineStr">
        <is>
          <t>10441119106</t>
        </is>
      </c>
      <c r="D1430" t="inlineStr">
        <is>
          <t>CALLE LAS VIOLETAS - MERCADO ALBORADA SECTOR CAFETERIA - TIENDA 18</t>
        </is>
      </c>
      <c r="E1430" t="inlineStr">
        <is>
          <t>Lima, 22 de Febrero de 2024</t>
        </is>
      </c>
      <c r="F1430" t="inlineStr">
        <is>
          <t>la venta</t>
        </is>
      </c>
      <c r="G1430" t="inlineStr">
        <is>
          <t>01</t>
        </is>
      </c>
      <c r="H1430" t="inlineStr">
        <is>
          <t>1.5 GLS</t>
        </is>
      </c>
      <c r="I1430" t="inlineStr">
        <is>
          <t>2029</t>
        </is>
      </c>
      <c r="J1430" t="n">
        <v>2024</v>
      </c>
      <c r="K1430" t="inlineStr">
        <is>
          <t>FEBRERO 2024</t>
        </is>
      </c>
      <c r="L1430" t="inlineStr">
        <is>
          <t>FEBRERO 2025</t>
        </is>
      </c>
      <c r="M1430" t="inlineStr">
        <is>
          <t>ACETATO DE POTASIO TIPO K</t>
        </is>
      </c>
      <c r="N1430" t="inlineStr">
        <is>
          <t>000500</t>
        </is>
      </c>
      <c r="O1430" t="inlineStr">
        <is>
          <t>V</t>
        </is>
      </c>
      <c r="P1430">
        <f>TRIM(N1430)</f>
        <v/>
      </c>
    </row>
    <row r="1431">
      <c r="A1431" t="inlineStr">
        <is>
          <t>CO-001827</t>
        </is>
      </c>
      <c r="B1431" t="inlineStr">
        <is>
          <t>I.E.P. CORAZON DE MARIA</t>
        </is>
      </c>
      <c r="C1431" t="inlineStr">
        <is>
          <t>20512612165</t>
        </is>
      </c>
      <c r="D1431" t="inlineStr">
        <is>
          <t>AV. SANGARARA</t>
        </is>
      </c>
      <c r="E1431" t="inlineStr">
        <is>
          <t>Lima, 26 de Febrero de 2024</t>
        </is>
      </c>
      <c r="F1431" t="inlineStr">
        <is>
          <t>la Recarga y mantenimiento</t>
        </is>
      </c>
      <c r="G1431" t="inlineStr">
        <is>
          <t>01</t>
        </is>
      </c>
      <c r="H1431" t="inlineStr">
        <is>
          <t>04 KG</t>
        </is>
      </c>
      <c r="I1431" t="inlineStr">
        <is>
          <t>2027</t>
        </is>
      </c>
      <c r="J1431" t="n">
        <v>2011</v>
      </c>
      <c r="K1431" t="inlineStr">
        <is>
          <t>FEBRERO 2024</t>
        </is>
      </c>
      <c r="L1431" t="inlineStr">
        <is>
          <t>FEBRERO 2025</t>
        </is>
      </c>
      <c r="M1431" t="inlineStr">
        <is>
          <t xml:space="preserve">P.Q.S.  TIPO ABC </t>
        </is>
      </c>
      <c r="N1431" t="inlineStr">
        <is>
          <t>01 / 002600</t>
        </is>
      </c>
      <c r="O1431" t="inlineStr">
        <is>
          <t>R</t>
        </is>
      </c>
      <c r="P1431">
        <f>TRIM(N1431)</f>
        <v/>
      </c>
    </row>
    <row r="1432">
      <c r="A1432" t="inlineStr">
        <is>
          <t>CO-001827</t>
        </is>
      </c>
      <c r="B1432" t="inlineStr">
        <is>
          <t>I.E.P. CORAZON DE MARIA</t>
        </is>
      </c>
      <c r="C1432" t="inlineStr">
        <is>
          <t>20512612165</t>
        </is>
      </c>
      <c r="D1432" t="inlineStr">
        <is>
          <t>AV. SANGARARA</t>
        </is>
      </c>
      <c r="E1432" t="inlineStr">
        <is>
          <t>Lima, 26 de Febrero de 2024</t>
        </is>
      </c>
      <c r="F1432" t="inlineStr">
        <is>
          <t>la Recarga y mantenimiento</t>
        </is>
      </c>
      <c r="G1432" t="inlineStr">
        <is>
          <t>02</t>
        </is>
      </c>
      <c r="H1432" t="inlineStr">
        <is>
          <t>04 KG</t>
        </is>
      </c>
      <c r="I1432" t="inlineStr">
        <is>
          <t>2027</t>
        </is>
      </c>
      <c r="J1432" t="n">
        <v>2009</v>
      </c>
      <c r="K1432" t="inlineStr">
        <is>
          <t>FEBRERO 2024</t>
        </is>
      </c>
      <c r="L1432" t="inlineStr">
        <is>
          <t>FEBRERO 2025</t>
        </is>
      </c>
      <c r="M1432" t="inlineStr">
        <is>
          <t xml:space="preserve">P.Q.S.  TIPO ABC </t>
        </is>
      </c>
      <c r="N1432" t="inlineStr">
        <is>
          <t>02 / 000152</t>
        </is>
      </c>
      <c r="O1432" t="inlineStr">
        <is>
          <t>R</t>
        </is>
      </c>
      <c r="P1432">
        <f>TRIM(N1432)</f>
        <v/>
      </c>
    </row>
    <row r="1433">
      <c r="A1433" t="inlineStr">
        <is>
          <t>CO-001828</t>
        </is>
      </c>
      <c r="B1433" t="inlineStr">
        <is>
          <t>PERU MASIVO S.A.</t>
        </is>
      </c>
      <c r="C1433" t="inlineStr">
        <is>
          <t>20492392031</t>
        </is>
      </c>
      <c r="D1433" t="inlineStr">
        <is>
          <t>AV. LOS INCAS CDRA. 4 PATIO NORTE - COMAS</t>
        </is>
      </c>
      <c r="E1433" t="inlineStr">
        <is>
          <t>Lima, 26 de Febrero de 2024</t>
        </is>
      </c>
      <c r="F1433" t="inlineStr">
        <is>
          <t>la Recarga y mantenimiento</t>
        </is>
      </c>
      <c r="G1433" t="inlineStr">
        <is>
          <t>01</t>
        </is>
      </c>
      <c r="H1433" t="inlineStr">
        <is>
          <t>06 KG</t>
        </is>
      </c>
      <c r="I1433" t="inlineStr">
        <is>
          <t>2028</t>
        </is>
      </c>
      <c r="J1433" t="n">
        <v>2014</v>
      </c>
      <c r="K1433" t="inlineStr">
        <is>
          <t>FEBRERO 2024</t>
        </is>
      </c>
      <c r="L1433" t="inlineStr">
        <is>
          <t>FEBRERO 2025</t>
        </is>
      </c>
      <c r="M1433" t="inlineStr">
        <is>
          <t>P.Q.S TIPO ABC AL 90 % NACIONAL</t>
        </is>
      </c>
      <c r="N1433" t="inlineStr">
        <is>
          <t>S/N 002831</t>
        </is>
      </c>
      <c r="O1433" t="inlineStr">
        <is>
          <t>R</t>
        </is>
      </c>
      <c r="P1433">
        <f>TRIM(N1433)</f>
        <v/>
      </c>
    </row>
    <row r="1434">
      <c r="A1434" t="inlineStr">
        <is>
          <t>CO-001828</t>
        </is>
      </c>
      <c r="B1434" t="inlineStr">
        <is>
          <t>PERU MASIVO S.A.</t>
        </is>
      </c>
      <c r="C1434" t="inlineStr">
        <is>
          <t>20492392031</t>
        </is>
      </c>
      <c r="D1434" t="inlineStr">
        <is>
          <t>AV. LOS INCAS CDRA. 4 PATIO NORTE - COMAS</t>
        </is>
      </c>
      <c r="E1434" t="inlineStr">
        <is>
          <t>Lima, 26 de Febrero de 2024</t>
        </is>
      </c>
      <c r="F1434" t="inlineStr">
        <is>
          <t>la Recarga y mantenimiento</t>
        </is>
      </c>
      <c r="G1434" t="inlineStr">
        <is>
          <t>02</t>
        </is>
      </c>
      <c r="H1434" t="inlineStr">
        <is>
          <t>06 KG</t>
        </is>
      </c>
      <c r="I1434" t="inlineStr">
        <is>
          <t>2029</t>
        </is>
      </c>
      <c r="J1434" t="n">
        <v>2010</v>
      </c>
      <c r="K1434" t="inlineStr">
        <is>
          <t>FEBRERO 2024</t>
        </is>
      </c>
      <c r="L1434" t="inlineStr">
        <is>
          <t>FEBRERO 2025</t>
        </is>
      </c>
      <c r="M1434" t="inlineStr">
        <is>
          <t>P.Q.S TIPO ABC AL 90 % NACIONAL</t>
        </is>
      </c>
      <c r="N1434" t="inlineStr">
        <is>
          <t>95 / 000125</t>
        </is>
      </c>
      <c r="O1434" t="inlineStr">
        <is>
          <t>R</t>
        </is>
      </c>
      <c r="P1434">
        <f>TRIM(N1434)</f>
        <v/>
      </c>
    </row>
    <row r="1435">
      <c r="A1435" t="inlineStr">
        <is>
          <t>CO-001828</t>
        </is>
      </c>
      <c r="B1435" t="inlineStr">
        <is>
          <t>PERU MASIVO S.A.</t>
        </is>
      </c>
      <c r="C1435" t="inlineStr">
        <is>
          <t>20492392031</t>
        </is>
      </c>
      <c r="D1435" t="inlineStr">
        <is>
          <t>AV. LOS INCAS CDRA. 4 PATIO NORTE - COMAS</t>
        </is>
      </c>
      <c r="E1435" t="inlineStr">
        <is>
          <t>Lima, 26 de Febrero de 2024</t>
        </is>
      </c>
      <c r="F1435" t="inlineStr">
        <is>
          <t>la Recarga y mantenimiento</t>
        </is>
      </c>
      <c r="G1435" t="inlineStr">
        <is>
          <t>03</t>
        </is>
      </c>
      <c r="H1435" t="inlineStr">
        <is>
          <t>06 KG</t>
        </is>
      </c>
      <c r="I1435" t="inlineStr">
        <is>
          <t>2028</t>
        </is>
      </c>
      <c r="J1435" t="n">
        <v>2010</v>
      </c>
      <c r="K1435" t="inlineStr">
        <is>
          <t>FEBRERO 2024</t>
        </is>
      </c>
      <c r="L1435" t="inlineStr">
        <is>
          <t>FEBRERO 2025</t>
        </is>
      </c>
      <c r="M1435" t="inlineStr">
        <is>
          <t>P.Q.S TIPO ABC AL 90 % NACIONAL</t>
        </is>
      </c>
      <c r="N1435" t="inlineStr">
        <is>
          <t>297 / 000847</t>
        </is>
      </c>
      <c r="O1435" t="inlineStr">
        <is>
          <t>R</t>
        </is>
      </c>
      <c r="P1435">
        <f>TRIM(N1435)</f>
        <v/>
      </c>
    </row>
    <row r="1436">
      <c r="A1436" t="inlineStr">
        <is>
          <t>CO-001828</t>
        </is>
      </c>
      <c r="B1436" t="inlineStr">
        <is>
          <t>PERU MASIVO S.A.</t>
        </is>
      </c>
      <c r="C1436" t="inlineStr">
        <is>
          <t>20492392031</t>
        </is>
      </c>
      <c r="D1436" t="inlineStr">
        <is>
          <t>AV. LOS INCAS CDRA. 4 PATIO NORTE - COMAS</t>
        </is>
      </c>
      <c r="E1436" t="inlineStr">
        <is>
          <t>Lima, 26 de Febrero de 2024</t>
        </is>
      </c>
      <c r="F1436" t="inlineStr">
        <is>
          <t>la Recarga y mantenimiento</t>
        </is>
      </c>
      <c r="G1436" t="inlineStr">
        <is>
          <t>04</t>
        </is>
      </c>
      <c r="H1436" t="inlineStr">
        <is>
          <t>06 KG</t>
        </is>
      </c>
      <c r="I1436" t="inlineStr">
        <is>
          <t>2029</t>
        </is>
      </c>
      <c r="J1436" t="n">
        <v>2010</v>
      </c>
      <c r="K1436" t="inlineStr">
        <is>
          <t>FEBRERO 2024</t>
        </is>
      </c>
      <c r="L1436" t="inlineStr">
        <is>
          <t>FEBRERO 2025</t>
        </is>
      </c>
      <c r="M1436" t="inlineStr">
        <is>
          <t>P.Q.S TIPO ABC AL 90 % NACIONAL</t>
        </is>
      </c>
      <c r="N1436" t="inlineStr">
        <is>
          <t>S/N / 006512</t>
        </is>
      </c>
      <c r="O1436" t="inlineStr">
        <is>
          <t>R</t>
        </is>
      </c>
      <c r="P1436">
        <f>TRIM(N1436)</f>
        <v/>
      </c>
    </row>
    <row r="1437">
      <c r="A1437" t="inlineStr">
        <is>
          <t>CO-001828</t>
        </is>
      </c>
      <c r="B1437" t="inlineStr">
        <is>
          <t>PERU MASIVO S.A.</t>
        </is>
      </c>
      <c r="C1437" t="inlineStr">
        <is>
          <t>20492392031</t>
        </is>
      </c>
      <c r="D1437" t="inlineStr">
        <is>
          <t>AV. LOS INCAS CDRA. 4 PATIO NORTE - COMAS</t>
        </is>
      </c>
      <c r="E1437" t="inlineStr">
        <is>
          <t>Lima, 26 de Febrero de 2024</t>
        </is>
      </c>
      <c r="F1437" t="inlineStr">
        <is>
          <t>la Recarga y mantenimiento</t>
        </is>
      </c>
      <c r="G1437" t="inlineStr">
        <is>
          <t>05</t>
        </is>
      </c>
      <c r="H1437" t="inlineStr">
        <is>
          <t>06 KG</t>
        </is>
      </c>
      <c r="I1437" t="inlineStr">
        <is>
          <t>2029</t>
        </is>
      </c>
      <c r="J1437" t="n">
        <v>2009</v>
      </c>
      <c r="K1437" t="inlineStr">
        <is>
          <t>FEBRERO 2024</t>
        </is>
      </c>
      <c r="L1437" t="inlineStr">
        <is>
          <t>FEBRERO 2025</t>
        </is>
      </c>
      <c r="M1437" t="inlineStr">
        <is>
          <t>P.Q.S TIPO ABC AL 90 % NACIONAL</t>
        </is>
      </c>
      <c r="N1437" t="inlineStr">
        <is>
          <t>62 / 000351</t>
        </is>
      </c>
      <c r="O1437" t="inlineStr">
        <is>
          <t>R</t>
        </is>
      </c>
      <c r="P1437">
        <f>TRIM(N1437)</f>
        <v/>
      </c>
    </row>
    <row r="1438">
      <c r="A1438" t="inlineStr">
        <is>
          <t>CO-001828</t>
        </is>
      </c>
      <c r="B1438" t="inlineStr">
        <is>
          <t>PERU MASIVO S.A.</t>
        </is>
      </c>
      <c r="C1438" t="inlineStr">
        <is>
          <t>20492392031</t>
        </is>
      </c>
      <c r="D1438" t="inlineStr">
        <is>
          <t>AV. LOS INCAS CDRA. 4 PATIO NORTE - COMAS</t>
        </is>
      </c>
      <c r="E1438" t="inlineStr">
        <is>
          <t>Lima, 26 de Febrero de 2024</t>
        </is>
      </c>
      <c r="F1438" t="inlineStr">
        <is>
          <t>la Recarga y mantenimiento</t>
        </is>
      </c>
      <c r="G1438" t="inlineStr">
        <is>
          <t>06</t>
        </is>
      </c>
      <c r="H1438" t="inlineStr">
        <is>
          <t>06 KG</t>
        </is>
      </c>
      <c r="I1438" t="inlineStr">
        <is>
          <t>2029</t>
        </is>
      </c>
      <c r="J1438" t="n">
        <v>2010</v>
      </c>
      <c r="K1438" t="inlineStr">
        <is>
          <t>FEBRERO 2024</t>
        </is>
      </c>
      <c r="L1438" t="inlineStr">
        <is>
          <t>FEBRERO 2025</t>
        </is>
      </c>
      <c r="M1438" t="inlineStr">
        <is>
          <t>P.Q.S TIPO ABC AL 90 % NACIONAL</t>
        </is>
      </c>
      <c r="N1438" t="inlineStr">
        <is>
          <t>144 / 000333</t>
        </is>
      </c>
      <c r="O1438" t="inlineStr">
        <is>
          <t>R</t>
        </is>
      </c>
      <c r="P1438">
        <f>TRIM(N1438)</f>
        <v/>
      </c>
    </row>
    <row r="1439">
      <c r="A1439" t="inlineStr">
        <is>
          <t>CO-001828</t>
        </is>
      </c>
      <c r="B1439" t="inlineStr">
        <is>
          <t>PERU MASIVO S.A.</t>
        </is>
      </c>
      <c r="C1439" t="inlineStr">
        <is>
          <t>20492392031</t>
        </is>
      </c>
      <c r="D1439" t="inlineStr">
        <is>
          <t>AV. LOS INCAS CDRA. 4 PATIO NORTE - COMAS</t>
        </is>
      </c>
      <c r="E1439" t="inlineStr">
        <is>
          <t>Lima, 26 de Febrero de 2024</t>
        </is>
      </c>
      <c r="F1439" t="inlineStr">
        <is>
          <t>la Recarga y mantenimiento</t>
        </is>
      </c>
      <c r="G1439" t="inlineStr">
        <is>
          <t>07</t>
        </is>
      </c>
      <c r="H1439" t="inlineStr">
        <is>
          <t>06 KG</t>
        </is>
      </c>
      <c r="I1439" t="inlineStr">
        <is>
          <t>2029</t>
        </is>
      </c>
      <c r="J1439" t="n">
        <v>2010</v>
      </c>
      <c r="K1439" t="inlineStr">
        <is>
          <t>FEBRERO 2024</t>
        </is>
      </c>
      <c r="L1439" t="inlineStr">
        <is>
          <t>FEBRERO 2025</t>
        </is>
      </c>
      <c r="M1439" t="inlineStr">
        <is>
          <t>P.Q.S TIPO ABC AL 90 % NACIONAL</t>
        </is>
      </c>
      <c r="N1439" t="inlineStr">
        <is>
          <t>17 / 002530</t>
        </is>
      </c>
      <c r="O1439" t="inlineStr">
        <is>
          <t>R</t>
        </is>
      </c>
      <c r="P1439">
        <f>TRIM(N1439)</f>
        <v/>
      </c>
    </row>
    <row r="1440">
      <c r="A1440" t="inlineStr">
        <is>
          <t>CO-001828</t>
        </is>
      </c>
      <c r="B1440" t="inlineStr">
        <is>
          <t>PERU MASIVO S.A.</t>
        </is>
      </c>
      <c r="C1440" t="inlineStr">
        <is>
          <t>20492392031</t>
        </is>
      </c>
      <c r="D1440" t="inlineStr">
        <is>
          <t>AV. LOS INCAS CDRA. 4 PATIO NORTE - COMAS</t>
        </is>
      </c>
      <c r="E1440" t="inlineStr">
        <is>
          <t>Lima, 26 de Febrero de 2024</t>
        </is>
      </c>
      <c r="F1440" t="inlineStr">
        <is>
          <t>la Recarga y mantenimiento</t>
        </is>
      </c>
      <c r="G1440" t="inlineStr">
        <is>
          <t>08</t>
        </is>
      </c>
      <c r="H1440" t="inlineStr">
        <is>
          <t>06 KG</t>
        </is>
      </c>
      <c r="I1440" t="inlineStr">
        <is>
          <t>2029</t>
        </is>
      </c>
      <c r="J1440" t="n">
        <v>2009</v>
      </c>
      <c r="K1440" t="inlineStr">
        <is>
          <t>FEBRERO 2024</t>
        </is>
      </c>
      <c r="L1440" t="inlineStr">
        <is>
          <t>FEBRERO 2025</t>
        </is>
      </c>
      <c r="M1440" t="inlineStr">
        <is>
          <t>P.Q.S TIPO ABC AL 90 % NACIONAL</t>
        </is>
      </c>
      <c r="N1440" t="inlineStr">
        <is>
          <t>161 / 000569</t>
        </is>
      </c>
      <c r="O1440" t="inlineStr">
        <is>
          <t>R</t>
        </is>
      </c>
      <c r="P1440">
        <f>TRIM(N1440)</f>
        <v/>
      </c>
    </row>
    <row r="1441">
      <c r="A1441" t="inlineStr">
        <is>
          <t>CO-001828</t>
        </is>
      </c>
      <c r="B1441" t="inlineStr">
        <is>
          <t>PERU MASIVO S.A.</t>
        </is>
      </c>
      <c r="C1441" t="inlineStr">
        <is>
          <t>20492392031</t>
        </is>
      </c>
      <c r="D1441" t="inlineStr">
        <is>
          <t>AV. LOS INCAS CDRA. 4 PATIO NORTE - COMAS</t>
        </is>
      </c>
      <c r="E1441" t="inlineStr">
        <is>
          <t>Lima, 26 de Febrero de 2024</t>
        </is>
      </c>
      <c r="F1441" t="inlineStr">
        <is>
          <t>la Recarga y mantenimiento</t>
        </is>
      </c>
      <c r="G1441" t="inlineStr">
        <is>
          <t>09</t>
        </is>
      </c>
      <c r="H1441" t="inlineStr">
        <is>
          <t>06 KG</t>
        </is>
      </c>
      <c r="I1441" t="inlineStr">
        <is>
          <t>2029</t>
        </is>
      </c>
      <c r="J1441" t="n">
        <v>2009</v>
      </c>
      <c r="K1441" t="inlineStr">
        <is>
          <t>FEBRERO 2024</t>
        </is>
      </c>
      <c r="L1441" t="inlineStr">
        <is>
          <t>FEBRERO 2025</t>
        </is>
      </c>
      <c r="M1441" t="inlineStr">
        <is>
          <t>P.Q.S TIPO ABC AL 90 % NACIONAL</t>
        </is>
      </c>
      <c r="N1441" t="inlineStr">
        <is>
          <t>366 / 001128</t>
        </is>
      </c>
      <c r="O1441" t="inlineStr">
        <is>
          <t>R</t>
        </is>
      </c>
      <c r="P1441">
        <f>TRIM(N1441)</f>
        <v/>
      </c>
    </row>
    <row r="1442">
      <c r="A1442" t="inlineStr">
        <is>
          <t>CO-001828</t>
        </is>
      </c>
      <c r="B1442" t="inlineStr">
        <is>
          <t>PERU MASIVO S.A.</t>
        </is>
      </c>
      <c r="C1442" t="inlineStr">
        <is>
          <t>20492392031</t>
        </is>
      </c>
      <c r="D1442" t="inlineStr">
        <is>
          <t>AV. LOS INCAS CDRA. 4 PATIO NORTE - COMAS</t>
        </is>
      </c>
      <c r="E1442" t="inlineStr">
        <is>
          <t>Lima, 26 de Febrero de 2024</t>
        </is>
      </c>
      <c r="F1442" t="inlineStr">
        <is>
          <t>la Recarga y mantenimiento</t>
        </is>
      </c>
      <c r="G1442" t="n">
        <v>10</v>
      </c>
      <c r="H1442" t="inlineStr">
        <is>
          <t>06 KG</t>
        </is>
      </c>
      <c r="I1442" t="inlineStr">
        <is>
          <t>2029</t>
        </is>
      </c>
      <c r="J1442" t="n">
        <v>2010</v>
      </c>
      <c r="K1442" t="inlineStr">
        <is>
          <t>FEBRERO 2024</t>
        </is>
      </c>
      <c r="L1442" t="inlineStr">
        <is>
          <t>FEBRERO 2025</t>
        </is>
      </c>
      <c r="M1442" t="inlineStr">
        <is>
          <t>P.Q.S TIPO ABC AL 90 % NACIONAL</t>
        </is>
      </c>
      <c r="N1442" t="inlineStr">
        <is>
          <t>141 / 000275</t>
        </is>
      </c>
      <c r="O1442" t="inlineStr">
        <is>
          <t>R</t>
        </is>
      </c>
      <c r="P1442">
        <f>TRIM(N1442)</f>
        <v/>
      </c>
    </row>
    <row r="1443">
      <c r="A1443" t="inlineStr">
        <is>
          <t>CO-001828</t>
        </is>
      </c>
      <c r="B1443" t="inlineStr">
        <is>
          <t>PERU MASIVO S.A.</t>
        </is>
      </c>
      <c r="C1443" t="inlineStr">
        <is>
          <t>20492392031</t>
        </is>
      </c>
      <c r="D1443" t="inlineStr">
        <is>
          <t>AV. LOS INCAS CDRA. 4 PATIO NORTE - COMAS</t>
        </is>
      </c>
      <c r="E1443" t="inlineStr">
        <is>
          <t>Lima, 26 de Febrero de 2024</t>
        </is>
      </c>
      <c r="F1443" t="inlineStr">
        <is>
          <t>la Recarga y mantenimiento</t>
        </is>
      </c>
      <c r="G1443" t="n">
        <v>11</v>
      </c>
      <c r="H1443" t="inlineStr">
        <is>
          <t>06 KG</t>
        </is>
      </c>
      <c r="I1443" t="inlineStr">
        <is>
          <t>2029</t>
        </is>
      </c>
      <c r="J1443" t="n">
        <v>2009</v>
      </c>
      <c r="K1443" t="inlineStr">
        <is>
          <t>FEBRERO 2024</t>
        </is>
      </c>
      <c r="L1443" t="inlineStr">
        <is>
          <t>FEBRERO 2025</t>
        </is>
      </c>
      <c r="M1443" t="inlineStr">
        <is>
          <t>P.Q.S TIPO ABC AL 90 % NACIONAL</t>
        </is>
      </c>
      <c r="N1443" t="inlineStr">
        <is>
          <t>341 / 001534</t>
        </is>
      </c>
      <c r="O1443" t="inlineStr">
        <is>
          <t>R</t>
        </is>
      </c>
      <c r="P1443">
        <f>TRIM(N1443)</f>
        <v/>
      </c>
    </row>
    <row r="1444">
      <c r="A1444" t="inlineStr">
        <is>
          <t>CO-001828</t>
        </is>
      </c>
      <c r="B1444" t="inlineStr">
        <is>
          <t>PERU MASIVO S.A.</t>
        </is>
      </c>
      <c r="C1444" t="inlineStr">
        <is>
          <t>20492392031</t>
        </is>
      </c>
      <c r="D1444" t="inlineStr">
        <is>
          <t>AV. LOS INCAS CDRA. 4 PATIO NORTE - COMAS</t>
        </is>
      </c>
      <c r="E1444" t="inlineStr">
        <is>
          <t>Lima, 26 de Febrero de 2024</t>
        </is>
      </c>
      <c r="F1444" t="inlineStr">
        <is>
          <t>la Recarga y mantenimiento</t>
        </is>
      </c>
      <c r="G1444" t="n">
        <v>12</v>
      </c>
      <c r="H1444" t="inlineStr">
        <is>
          <t>06 KG</t>
        </is>
      </c>
      <c r="I1444" t="inlineStr">
        <is>
          <t>2029</t>
        </is>
      </c>
      <c r="J1444" t="n">
        <v>2017</v>
      </c>
      <c r="K1444" t="inlineStr">
        <is>
          <t>FEBRERO 2024</t>
        </is>
      </c>
      <c r="L1444" t="inlineStr">
        <is>
          <t>FEBRERO 2025</t>
        </is>
      </c>
      <c r="M1444" t="inlineStr">
        <is>
          <t>P.Q.S TIPO ABC AL 90 % NACIONAL</t>
        </is>
      </c>
      <c r="N1444" t="inlineStr">
        <is>
          <t>S/N / 000287</t>
        </is>
      </c>
      <c r="O1444" t="inlineStr">
        <is>
          <t>R</t>
        </is>
      </c>
      <c r="P1444">
        <f>TRIM(N1444)</f>
        <v/>
      </c>
    </row>
    <row r="1445">
      <c r="A1445" t="inlineStr">
        <is>
          <t>CO-001828</t>
        </is>
      </c>
      <c r="B1445" t="inlineStr">
        <is>
          <t>PERU MASIVO S.A.</t>
        </is>
      </c>
      <c r="C1445" t="inlineStr">
        <is>
          <t>20492392031</t>
        </is>
      </c>
      <c r="D1445" t="inlineStr">
        <is>
          <t>AV. LOS INCAS CDRA. 4 PATIO NORTE - COMAS</t>
        </is>
      </c>
      <c r="E1445" t="inlineStr">
        <is>
          <t>Lima, 26 de Febrero de 2024</t>
        </is>
      </c>
      <c r="F1445" t="inlineStr">
        <is>
          <t>la Recarga y mantenimiento</t>
        </is>
      </c>
      <c r="G1445" t="n">
        <v>13</v>
      </c>
      <c r="H1445" t="inlineStr">
        <is>
          <t>06 KG</t>
        </is>
      </c>
      <c r="I1445" t="inlineStr">
        <is>
          <t>2029</t>
        </is>
      </c>
      <c r="J1445" t="n">
        <v>2010</v>
      </c>
      <c r="K1445" t="inlineStr">
        <is>
          <t>FEBRERO 2024</t>
        </is>
      </c>
      <c r="L1445" t="inlineStr">
        <is>
          <t>FEBRERO 2025</t>
        </is>
      </c>
      <c r="M1445" t="inlineStr">
        <is>
          <t>P.Q.S TIPO ABC AL 90 % NACIONAL</t>
        </is>
      </c>
      <c r="N1445" t="inlineStr">
        <is>
          <t>16 / 000444</t>
        </is>
      </c>
      <c r="O1445" t="inlineStr">
        <is>
          <t>R</t>
        </is>
      </c>
      <c r="P1445">
        <f>TRIM(N1445)</f>
        <v/>
      </c>
    </row>
    <row r="1446">
      <c r="A1446" t="inlineStr">
        <is>
          <t>CO-001829</t>
        </is>
      </c>
      <c r="B1446" t="inlineStr">
        <is>
          <t>ASOCIACION DE PROPIETARIOS DEL MERCADO MODELO LA ALBORADA</t>
        </is>
      </c>
      <c r="C1446" t="inlineStr">
        <is>
          <t>20492406512</t>
        </is>
      </c>
      <c r="D1446" t="inlineStr">
        <is>
          <t>MERCADO LA ALBORADA</t>
        </is>
      </c>
      <c r="E1446" t="inlineStr">
        <is>
          <t>Lima, 22 de Febrero de 2024</t>
        </is>
      </c>
      <c r="F1446" t="inlineStr">
        <is>
          <t>la venta</t>
        </is>
      </c>
      <c r="G1446" t="inlineStr">
        <is>
          <t>01</t>
        </is>
      </c>
      <c r="H1446" t="inlineStr">
        <is>
          <t>06 KG</t>
        </is>
      </c>
      <c r="I1446" t="inlineStr">
        <is>
          <t>2028</t>
        </is>
      </c>
      <c r="J1446" t="n">
        <v>2023</v>
      </c>
      <c r="K1446" t="inlineStr">
        <is>
          <t>FEBRERO 2024</t>
        </is>
      </c>
      <c r="L1446" t="inlineStr">
        <is>
          <t>FEBRERO 2025</t>
        </is>
      </c>
      <c r="M1446" t="inlineStr">
        <is>
          <t xml:space="preserve">P.Q.S.  TIPO ABC </t>
        </is>
      </c>
      <c r="N1446" t="inlineStr">
        <is>
          <t>002697</t>
        </is>
      </c>
      <c r="O1446" t="inlineStr">
        <is>
          <t>V</t>
        </is>
      </c>
      <c r="P1446">
        <f>TRIM(N1446)</f>
        <v/>
      </c>
    </row>
    <row r="1447">
      <c r="A1447" t="inlineStr">
        <is>
          <t>CO-001829</t>
        </is>
      </c>
      <c r="B1447" t="inlineStr">
        <is>
          <t>ASOCIACION DE PROPIETARIOS DEL MERCADO MODELO LA ALBORADA</t>
        </is>
      </c>
      <c r="C1447" t="inlineStr">
        <is>
          <t>20492406512</t>
        </is>
      </c>
      <c r="D1447" t="inlineStr">
        <is>
          <t>MERCADO LA ALBORADA</t>
        </is>
      </c>
      <c r="E1447" t="inlineStr">
        <is>
          <t>Lima, 22 de Febrero de 2024</t>
        </is>
      </c>
      <c r="F1447" t="inlineStr">
        <is>
          <t>la venta</t>
        </is>
      </c>
      <c r="G1447" t="inlineStr">
        <is>
          <t>02</t>
        </is>
      </c>
      <c r="H1447" t="inlineStr">
        <is>
          <t>09 KG</t>
        </is>
      </c>
      <c r="I1447" t="inlineStr">
        <is>
          <t>2027</t>
        </is>
      </c>
      <c r="J1447" t="n">
        <v>2022</v>
      </c>
      <c r="K1447" t="inlineStr">
        <is>
          <t>FEBRERO 2024</t>
        </is>
      </c>
      <c r="L1447" t="inlineStr">
        <is>
          <t>FEBRERO 2025</t>
        </is>
      </c>
      <c r="M1447" t="inlineStr">
        <is>
          <t xml:space="preserve">P.Q.S.  TIPO ABC </t>
        </is>
      </c>
      <c r="N1447" t="inlineStr">
        <is>
          <t>306139</t>
        </is>
      </c>
      <c r="O1447" t="inlineStr">
        <is>
          <t>V</t>
        </is>
      </c>
      <c r="P1447">
        <f>TRIM(N1447)</f>
        <v/>
      </c>
    </row>
    <row r="1448">
      <c r="A1448" t="inlineStr">
        <is>
          <t>CO-001830</t>
        </is>
      </c>
      <c r="B1448" t="inlineStr">
        <is>
          <t>JASON ANGELO TAPIA MARTINEZ</t>
        </is>
      </c>
      <c r="C1448" t="inlineStr">
        <is>
          <t>75016750</t>
        </is>
      </c>
      <c r="D1448" t="inlineStr">
        <is>
          <t>PLACA: F7W - 177</t>
        </is>
      </c>
      <c r="E1448" t="inlineStr">
        <is>
          <t>Lima, 22 de Febrero de 2024</t>
        </is>
      </c>
      <c r="F1448" t="inlineStr">
        <is>
          <t>la Recarga y mantenimiento</t>
        </is>
      </c>
      <c r="G1448" t="inlineStr">
        <is>
          <t>01</t>
        </is>
      </c>
      <c r="H1448" t="inlineStr">
        <is>
          <t>02 KG</t>
        </is>
      </c>
      <c r="I1448" t="inlineStr">
        <is>
          <t>2027</t>
        </is>
      </c>
      <c r="J1448" t="n">
        <v>2022</v>
      </c>
      <c r="K1448" t="inlineStr">
        <is>
          <t>FEBRERO 2024</t>
        </is>
      </c>
      <c r="L1448" t="inlineStr">
        <is>
          <t>FEBRERO 2025</t>
        </is>
      </c>
      <c r="M1448" t="inlineStr">
        <is>
          <t xml:space="preserve">P.Q.S.  TIPO ABC </t>
        </is>
      </c>
      <c r="N1448" t="inlineStr">
        <is>
          <t>000405</t>
        </is>
      </c>
      <c r="O1448" t="inlineStr">
        <is>
          <t>R</t>
        </is>
      </c>
      <c r="P1448">
        <f>TRIM(N1448)</f>
        <v/>
      </c>
    </row>
    <row r="1449">
      <c r="A1449" t="inlineStr">
        <is>
          <t>CO-001831</t>
        </is>
      </c>
      <c r="B1449" t="inlineStr">
        <is>
          <t>TRANSPORTES STARK S.A.C.</t>
        </is>
      </c>
      <c r="C1449" t="n">
        <v>20606725664</v>
      </c>
      <c r="D1449" t="inlineStr">
        <is>
          <t>CAL.58 MZA. E3 LOTE. 09 A URB. EL PINAR PARCELA 01 (ALTURA DE LA AV EL RETABLO CON LOS INCAS) LIMA - LIMA - COMAS</t>
        </is>
      </c>
      <c r="E1449" t="inlineStr">
        <is>
          <t>Lima, 26 de Febrero de 2024</t>
        </is>
      </c>
      <c r="F1449" t="inlineStr">
        <is>
          <t>la Recarga y mantenimiento</t>
        </is>
      </c>
      <c r="G1449" t="inlineStr">
        <is>
          <t>01</t>
        </is>
      </c>
      <c r="H1449" t="inlineStr">
        <is>
          <t>09 KG</t>
        </is>
      </c>
      <c r="I1449" t="inlineStr">
        <is>
          <t>2026</t>
        </is>
      </c>
      <c r="J1449" t="n">
        <v>2021</v>
      </c>
      <c r="K1449" t="inlineStr">
        <is>
          <t>FEBRERO 2024</t>
        </is>
      </c>
      <c r="L1449" t="inlineStr">
        <is>
          <t>FEBRERO 2025</t>
        </is>
      </c>
      <c r="M1449" t="inlineStr">
        <is>
          <t xml:space="preserve">P.Q.S.  TIPO ABC </t>
        </is>
      </c>
      <c r="N1449" t="inlineStr">
        <is>
          <t>01 / 001394</t>
        </is>
      </c>
      <c r="O1449" t="inlineStr">
        <is>
          <t>R</t>
        </is>
      </c>
      <c r="P1449">
        <f>TRIM(N1449)</f>
        <v/>
      </c>
    </row>
    <row r="1450">
      <c r="A1450" t="inlineStr">
        <is>
          <t>CO-001831</t>
        </is>
      </c>
      <c r="B1450" t="inlineStr">
        <is>
          <t>TRANSPORTES STARK S.A.C.</t>
        </is>
      </c>
      <c r="C1450" t="n">
        <v>20606725664</v>
      </c>
      <c r="D1450" t="inlineStr">
        <is>
          <t>CAL.58 MZA. E3 LOTE. 09 A URB. EL PINAR PARCELA 01 (ALTURA DE LA AV EL RETABLO CON LOS INCAS) LIMA - LIMA - COMAS</t>
        </is>
      </c>
      <c r="E1450" t="inlineStr">
        <is>
          <t>Lima, 26 de Febrero de 2024</t>
        </is>
      </c>
      <c r="F1450" t="inlineStr">
        <is>
          <t>la Recarga y mantenimiento</t>
        </is>
      </c>
      <c r="G1450" t="inlineStr">
        <is>
          <t>02</t>
        </is>
      </c>
      <c r="H1450" t="inlineStr">
        <is>
          <t>09 KG</t>
        </is>
      </c>
      <c r="I1450" t="inlineStr">
        <is>
          <t>2026</t>
        </is>
      </c>
      <c r="J1450" t="n">
        <v>2021</v>
      </c>
      <c r="K1450" t="inlineStr">
        <is>
          <t>FEBRERO 2024</t>
        </is>
      </c>
      <c r="L1450" t="inlineStr">
        <is>
          <t>FEBRERO 2025</t>
        </is>
      </c>
      <c r="M1450" t="inlineStr">
        <is>
          <t xml:space="preserve">P.Q.S.  TIPO ABC </t>
        </is>
      </c>
      <c r="N1450" t="inlineStr">
        <is>
          <t>02 / 002483</t>
        </is>
      </c>
      <c r="O1450" t="inlineStr">
        <is>
          <t>R</t>
        </is>
      </c>
      <c r="P1450">
        <f>TRIM(N1450)</f>
        <v/>
      </c>
    </row>
    <row r="1451">
      <c r="A1451" t="inlineStr">
        <is>
          <t>CO-001832</t>
        </is>
      </c>
      <c r="B1451" t="inlineStr">
        <is>
          <t>TEODORO PERALTA TURCO</t>
        </is>
      </c>
      <c r="C1451" t="inlineStr">
        <is>
          <t>06882696</t>
        </is>
      </c>
      <c r="D1451" t="inlineStr">
        <is>
          <t>CASA</t>
        </is>
      </c>
      <c r="E1451" t="inlineStr">
        <is>
          <t>Lima, 27 de Febrero de 2024</t>
        </is>
      </c>
      <c r="F1451" t="inlineStr">
        <is>
          <t>la Recarga y mantenimiento</t>
        </is>
      </c>
      <c r="G1451" t="inlineStr">
        <is>
          <t>01</t>
        </is>
      </c>
      <c r="H1451" t="inlineStr">
        <is>
          <t>02 KG</t>
        </is>
      </c>
      <c r="I1451" t="inlineStr">
        <is>
          <t>VIGENTE</t>
        </is>
      </c>
      <c r="J1451" t="n">
        <v>2016</v>
      </c>
      <c r="K1451" t="inlineStr">
        <is>
          <t>FEBRERO 2024</t>
        </is>
      </c>
      <c r="L1451" t="inlineStr">
        <is>
          <t>FEBRERO 2025</t>
        </is>
      </c>
      <c r="M1451" t="inlineStr">
        <is>
          <t xml:space="preserve">P.Q.S.  TIPO ABC </t>
        </is>
      </c>
      <c r="N1451" t="inlineStr">
        <is>
          <t>000414</t>
        </is>
      </c>
      <c r="O1451" t="inlineStr">
        <is>
          <t>R</t>
        </is>
      </c>
      <c r="P1451">
        <f>TRIM(N1451)</f>
        <v/>
      </c>
    </row>
    <row r="1452">
      <c r="A1452" t="inlineStr">
        <is>
          <t>CO-001833</t>
        </is>
      </c>
      <c r="B1452" t="inlineStr">
        <is>
          <t>ALFREDO VICENTE URCUHUARANGA POZO</t>
        </is>
      </c>
      <c r="C1452" t="inlineStr">
        <is>
          <t>09612051</t>
        </is>
      </c>
      <c r="D1452" t="inlineStr">
        <is>
          <t>PLACA: W1B - 056</t>
        </is>
      </c>
      <c r="E1452" t="inlineStr">
        <is>
          <t>Lima, 27 de Febrero de 2024</t>
        </is>
      </c>
      <c r="F1452" t="inlineStr">
        <is>
          <t>la Recarga y mantenimiento</t>
        </is>
      </c>
      <c r="G1452" t="inlineStr">
        <is>
          <t>01</t>
        </is>
      </c>
      <c r="H1452" t="inlineStr">
        <is>
          <t>04 KG</t>
        </is>
      </c>
      <c r="I1452" t="inlineStr">
        <is>
          <t>2028</t>
        </is>
      </c>
      <c r="J1452" t="n">
        <v>2005</v>
      </c>
      <c r="K1452" t="inlineStr">
        <is>
          <t>FEBRERO 2024</t>
        </is>
      </c>
      <c r="L1452" t="inlineStr">
        <is>
          <t>FEBRERO 2025</t>
        </is>
      </c>
      <c r="M1452" t="inlineStr">
        <is>
          <t xml:space="preserve">P.Q.S.  TIPO ABC </t>
        </is>
      </c>
      <c r="N1452" t="inlineStr">
        <is>
          <t>000364</t>
        </is>
      </c>
      <c r="O1452" t="inlineStr">
        <is>
          <t>R</t>
        </is>
      </c>
      <c r="P1452">
        <f>TRIM(N1452)</f>
        <v/>
      </c>
    </row>
    <row r="1453">
      <c r="A1453" t="inlineStr">
        <is>
          <t>CO-001834</t>
        </is>
      </c>
      <c r="B1453" t="inlineStr">
        <is>
          <t>FERNANDEZ SOLANO JUAN CARLOS</t>
        </is>
      </c>
      <c r="C1453" t="inlineStr">
        <is>
          <t>10449896811</t>
        </is>
      </c>
      <c r="D1453" t="inlineStr">
        <is>
          <t>PLACA: B6A - 305</t>
        </is>
      </c>
      <c r="E1453" t="inlineStr">
        <is>
          <t>Lima, 27 de Febrero de 2024</t>
        </is>
      </c>
      <c r="F1453" t="inlineStr">
        <is>
          <t>la Recarga y mantenimiento</t>
        </is>
      </c>
      <c r="G1453" t="inlineStr">
        <is>
          <t>01</t>
        </is>
      </c>
      <c r="H1453" t="inlineStr">
        <is>
          <t>02 KG</t>
        </is>
      </c>
      <c r="I1453" t="inlineStr">
        <is>
          <t>VIGENTE</t>
        </is>
      </c>
      <c r="J1453" t="n">
        <v>2013</v>
      </c>
      <c r="K1453" t="inlineStr">
        <is>
          <t>FEBRERO 2024</t>
        </is>
      </c>
      <c r="L1453" t="inlineStr">
        <is>
          <t>FEBRERO 2025</t>
        </is>
      </c>
      <c r="M1453" t="inlineStr">
        <is>
          <t xml:space="preserve">P.Q.S.  TIPO ABC </t>
        </is>
      </c>
      <c r="N1453" t="inlineStr">
        <is>
          <t>000004</t>
        </is>
      </c>
      <c r="O1453" t="inlineStr">
        <is>
          <t>R</t>
        </is>
      </c>
      <c r="P1453">
        <f>TRIM(N1453)</f>
        <v/>
      </c>
    </row>
    <row r="1454">
      <c r="A1454" t="inlineStr">
        <is>
          <t>CO-001835</t>
        </is>
      </c>
      <c r="B1454" t="inlineStr">
        <is>
          <t>PERU MASIVO S.A.</t>
        </is>
      </c>
      <c r="C1454" t="inlineStr">
        <is>
          <t>20492392031</t>
        </is>
      </c>
      <c r="D1454" t="inlineStr">
        <is>
          <t>AV. LOS INCAS CDRA. 4 PATIO NORTE - COMAS</t>
        </is>
      </c>
      <c r="E1454" t="inlineStr">
        <is>
          <t>Lima, 28 de Febrero de 2024</t>
        </is>
      </c>
      <c r="F1454" t="inlineStr">
        <is>
          <t>la Recarga y mantenimiento</t>
        </is>
      </c>
      <c r="G1454" t="inlineStr">
        <is>
          <t>01</t>
        </is>
      </c>
      <c r="H1454" t="inlineStr">
        <is>
          <t>06 KG</t>
        </is>
      </c>
      <c r="I1454" t="inlineStr">
        <is>
          <t>2029</t>
        </is>
      </c>
      <c r="J1454" t="n">
        <v>2009</v>
      </c>
      <c r="K1454" t="inlineStr">
        <is>
          <t>FEBRERO 2024</t>
        </is>
      </c>
      <c r="L1454" t="inlineStr">
        <is>
          <t>FEBRERO 2025</t>
        </is>
      </c>
      <c r="M1454" t="inlineStr">
        <is>
          <t>P.Q.S TIPO ABC AL 90 % NACIONAL</t>
        </is>
      </c>
      <c r="N1454" t="inlineStr">
        <is>
          <t>251 / 001843</t>
        </is>
      </c>
      <c r="O1454" t="inlineStr">
        <is>
          <t>R</t>
        </is>
      </c>
      <c r="P1454">
        <f>TRIM(N1454)</f>
        <v/>
      </c>
    </row>
    <row r="1455">
      <c r="A1455" t="inlineStr">
        <is>
          <t>CO-001835</t>
        </is>
      </c>
      <c r="B1455" t="inlineStr">
        <is>
          <t>PERU MASIVO S.A.</t>
        </is>
      </c>
      <c r="C1455" t="inlineStr">
        <is>
          <t>20492392031</t>
        </is>
      </c>
      <c r="D1455" t="inlineStr">
        <is>
          <t>AV. LOS INCAS CDRA. 4 PATIO NORTE - COMAS</t>
        </is>
      </c>
      <c r="E1455" t="inlineStr">
        <is>
          <t>Lima, 28 de Febrero de 2024</t>
        </is>
      </c>
      <c r="F1455" t="inlineStr">
        <is>
          <t>la Recarga y mantenimiento</t>
        </is>
      </c>
      <c r="G1455" t="inlineStr">
        <is>
          <t>02</t>
        </is>
      </c>
      <c r="H1455" t="inlineStr">
        <is>
          <t>06 KG</t>
        </is>
      </c>
      <c r="I1455" t="inlineStr">
        <is>
          <t>2029</t>
        </is>
      </c>
      <c r="J1455" t="n">
        <v>2009</v>
      </c>
      <c r="K1455" t="inlineStr">
        <is>
          <t>FEBRERO 2024</t>
        </is>
      </c>
      <c r="L1455" t="inlineStr">
        <is>
          <t>FEBRERO 2025</t>
        </is>
      </c>
      <c r="M1455" t="inlineStr">
        <is>
          <t>P.Q.S TIPO ABC AL 90 % NACIONAL</t>
        </is>
      </c>
      <c r="N1455" t="inlineStr">
        <is>
          <t>387 / 000451</t>
        </is>
      </c>
      <c r="O1455" t="inlineStr">
        <is>
          <t>R</t>
        </is>
      </c>
      <c r="P1455">
        <f>TRIM(N1455)</f>
        <v/>
      </c>
    </row>
    <row r="1456">
      <c r="A1456" t="inlineStr">
        <is>
          <t>CO-001835</t>
        </is>
      </c>
      <c r="B1456" t="inlineStr">
        <is>
          <t>PERU MASIVO S.A.</t>
        </is>
      </c>
      <c r="C1456" t="inlineStr">
        <is>
          <t>20492392031</t>
        </is>
      </c>
      <c r="D1456" t="inlineStr">
        <is>
          <t>AV. LOS INCAS CDRA. 4 PATIO NORTE - COMAS</t>
        </is>
      </c>
      <c r="E1456" t="inlineStr">
        <is>
          <t>Lima, 28 de Febrero de 2024</t>
        </is>
      </c>
      <c r="F1456" t="inlineStr">
        <is>
          <t>la Recarga y mantenimiento</t>
        </is>
      </c>
      <c r="G1456" t="inlineStr">
        <is>
          <t>03</t>
        </is>
      </c>
      <c r="H1456" t="inlineStr">
        <is>
          <t>06 KG</t>
        </is>
      </c>
      <c r="I1456" t="inlineStr">
        <is>
          <t>2029</t>
        </is>
      </c>
      <c r="J1456" t="n">
        <v>2010</v>
      </c>
      <c r="K1456" t="inlineStr">
        <is>
          <t>FEBRERO 2024</t>
        </is>
      </c>
      <c r="L1456" t="inlineStr">
        <is>
          <t>FEBRERO 2025</t>
        </is>
      </c>
      <c r="M1456" t="inlineStr">
        <is>
          <t>P.Q.S TIPO ABC AL 90 % NACIONAL</t>
        </is>
      </c>
      <c r="N1456" t="inlineStr">
        <is>
          <t>312 / 000002</t>
        </is>
      </c>
      <c r="O1456" t="inlineStr">
        <is>
          <t>R</t>
        </is>
      </c>
      <c r="P1456">
        <f>TRIM(N1456)</f>
        <v/>
      </c>
    </row>
    <row r="1457">
      <c r="A1457" t="inlineStr">
        <is>
          <t>CO-001835</t>
        </is>
      </c>
      <c r="B1457" t="inlineStr">
        <is>
          <t>PERU MASIVO S.A.</t>
        </is>
      </c>
      <c r="C1457" t="inlineStr">
        <is>
          <t>20492392031</t>
        </is>
      </c>
      <c r="D1457" t="inlineStr">
        <is>
          <t>AV. LOS INCAS CDRA. 4 PATIO NORTE - COMAS</t>
        </is>
      </c>
      <c r="E1457" t="inlineStr">
        <is>
          <t>Lima, 28 de Febrero de 2024</t>
        </is>
      </c>
      <c r="F1457" t="inlineStr">
        <is>
          <t>la Recarga y mantenimiento</t>
        </is>
      </c>
      <c r="G1457" t="inlineStr">
        <is>
          <t>04</t>
        </is>
      </c>
      <c r="H1457" t="inlineStr">
        <is>
          <t>06 KG</t>
        </is>
      </c>
      <c r="I1457" t="inlineStr">
        <is>
          <t>2029</t>
        </is>
      </c>
      <c r="J1457" t="n">
        <v>2010</v>
      </c>
      <c r="K1457" t="inlineStr">
        <is>
          <t>FEBRERO 2024</t>
        </is>
      </c>
      <c r="L1457" t="inlineStr">
        <is>
          <t>FEBRERO 2025</t>
        </is>
      </c>
      <c r="M1457" t="inlineStr">
        <is>
          <t>P.Q.S TIPO ABC AL 90 % NACIONAL</t>
        </is>
      </c>
      <c r="N1457" t="inlineStr">
        <is>
          <t>148 / 000544</t>
        </is>
      </c>
      <c r="O1457" t="inlineStr">
        <is>
          <t>R</t>
        </is>
      </c>
      <c r="P1457">
        <f>TRIM(N1457)</f>
        <v/>
      </c>
    </row>
    <row r="1458">
      <c r="A1458" t="inlineStr">
        <is>
          <t>CO-001835</t>
        </is>
      </c>
      <c r="B1458" t="inlineStr">
        <is>
          <t>PERU MASIVO S.A.</t>
        </is>
      </c>
      <c r="C1458" t="inlineStr">
        <is>
          <t>20492392031</t>
        </is>
      </c>
      <c r="D1458" t="inlineStr">
        <is>
          <t>AV. LOS INCAS CDRA. 4 PATIO NORTE - COMAS</t>
        </is>
      </c>
      <c r="E1458" t="inlineStr">
        <is>
          <t>Lima, 28 de Febrero de 2024</t>
        </is>
      </c>
      <c r="F1458" t="inlineStr">
        <is>
          <t>la Recarga y mantenimiento</t>
        </is>
      </c>
      <c r="G1458" t="inlineStr">
        <is>
          <t>05</t>
        </is>
      </c>
      <c r="H1458" t="inlineStr">
        <is>
          <t>06 KG</t>
        </is>
      </c>
      <c r="I1458" t="inlineStr">
        <is>
          <t>2029</t>
        </is>
      </c>
      <c r="J1458" t="n">
        <v>2010</v>
      </c>
      <c r="K1458" t="inlineStr">
        <is>
          <t>FEBRERO 2024</t>
        </is>
      </c>
      <c r="L1458" t="inlineStr">
        <is>
          <t>FEBRERO 2025</t>
        </is>
      </c>
      <c r="M1458" t="inlineStr">
        <is>
          <t>P.Q.S TIPO ABC AL 90 % NACIONAL</t>
        </is>
      </c>
      <c r="N1458" t="inlineStr">
        <is>
          <t>140 / 003215</t>
        </is>
      </c>
      <c r="O1458" t="inlineStr">
        <is>
          <t>R</t>
        </is>
      </c>
      <c r="P1458">
        <f>TRIM(N1458)</f>
        <v/>
      </c>
    </row>
    <row r="1459">
      <c r="A1459" t="inlineStr">
        <is>
          <t>CO-001835</t>
        </is>
      </c>
      <c r="B1459" t="inlineStr">
        <is>
          <t>PERU MASIVO S.A.</t>
        </is>
      </c>
      <c r="C1459" t="inlineStr">
        <is>
          <t>20492392031</t>
        </is>
      </c>
      <c r="D1459" t="inlineStr">
        <is>
          <t>AV. LOS INCAS CDRA. 4 PATIO NORTE - COMAS</t>
        </is>
      </c>
      <c r="E1459" t="inlineStr">
        <is>
          <t>Lima, 28 de Febrero de 2024</t>
        </is>
      </c>
      <c r="F1459" t="inlineStr">
        <is>
          <t>la Recarga y mantenimiento</t>
        </is>
      </c>
      <c r="G1459" t="inlineStr">
        <is>
          <t>06</t>
        </is>
      </c>
      <c r="H1459" t="inlineStr">
        <is>
          <t>06 KG</t>
        </is>
      </c>
      <c r="I1459" t="inlineStr">
        <is>
          <t>2029</t>
        </is>
      </c>
      <c r="J1459" t="n">
        <v>2009</v>
      </c>
      <c r="K1459" t="inlineStr">
        <is>
          <t>FEBRERO 2024</t>
        </is>
      </c>
      <c r="L1459" t="inlineStr">
        <is>
          <t>FEBRERO 2025</t>
        </is>
      </c>
      <c r="M1459" t="inlineStr">
        <is>
          <t>P.Q.S TIPO ABC AL 90 % NACIONAL</t>
        </is>
      </c>
      <c r="N1459" t="inlineStr">
        <is>
          <t>174 / 001932</t>
        </is>
      </c>
      <c r="O1459" t="inlineStr">
        <is>
          <t>R</t>
        </is>
      </c>
      <c r="P1459">
        <f>TRIM(N1459)</f>
        <v/>
      </c>
    </row>
    <row r="1460">
      <c r="A1460" t="inlineStr">
        <is>
          <t>CO-001835</t>
        </is>
      </c>
      <c r="B1460" t="inlineStr">
        <is>
          <t>PERU MASIVO S.A.</t>
        </is>
      </c>
      <c r="C1460" t="inlineStr">
        <is>
          <t>20492392031</t>
        </is>
      </c>
      <c r="D1460" t="inlineStr">
        <is>
          <t>AV. LOS INCAS CDRA. 4 PATIO NORTE - COMAS</t>
        </is>
      </c>
      <c r="E1460" t="inlineStr">
        <is>
          <t>Lima, 28 de Febrero de 2024</t>
        </is>
      </c>
      <c r="F1460" t="inlineStr">
        <is>
          <t>la Recarga y mantenimiento</t>
        </is>
      </c>
      <c r="G1460" t="inlineStr">
        <is>
          <t>07</t>
        </is>
      </c>
      <c r="H1460" t="inlineStr">
        <is>
          <t>06 KG</t>
        </is>
      </c>
      <c r="I1460" t="inlineStr">
        <is>
          <t>2029</t>
        </is>
      </c>
      <c r="J1460" t="n">
        <v>2015</v>
      </c>
      <c r="K1460" t="inlineStr">
        <is>
          <t>FEBRERO 2024</t>
        </is>
      </c>
      <c r="L1460" t="inlineStr">
        <is>
          <t>FEBRERO 2025</t>
        </is>
      </c>
      <c r="M1460" t="inlineStr">
        <is>
          <t>P.Q.S TIPO ABC AL 90 % NACIONAL</t>
        </is>
      </c>
      <c r="N1460" t="inlineStr">
        <is>
          <t>S/N / 000420</t>
        </is>
      </c>
      <c r="O1460" t="inlineStr">
        <is>
          <t>R</t>
        </is>
      </c>
      <c r="P1460">
        <f>TRIM(N1460)</f>
        <v/>
      </c>
    </row>
    <row r="1461">
      <c r="A1461" t="inlineStr">
        <is>
          <t>CO-001835</t>
        </is>
      </c>
      <c r="B1461" t="inlineStr">
        <is>
          <t>PERU MASIVO S.A.</t>
        </is>
      </c>
      <c r="C1461" t="inlineStr">
        <is>
          <t>20492392031</t>
        </is>
      </c>
      <c r="D1461" t="inlineStr">
        <is>
          <t>AV. LOS INCAS CDRA. 4 PATIO NORTE - COMAS</t>
        </is>
      </c>
      <c r="E1461" t="inlineStr">
        <is>
          <t>Lima, 28 de Febrero de 2024</t>
        </is>
      </c>
      <c r="F1461" t="inlineStr">
        <is>
          <t>la Recarga y mantenimiento</t>
        </is>
      </c>
      <c r="G1461" t="inlineStr">
        <is>
          <t>08</t>
        </is>
      </c>
      <c r="H1461" t="inlineStr">
        <is>
          <t>06 KG</t>
        </is>
      </c>
      <c r="I1461" t="inlineStr">
        <is>
          <t>2029</t>
        </is>
      </c>
      <c r="J1461" t="n">
        <v>2010</v>
      </c>
      <c r="K1461" t="inlineStr">
        <is>
          <t>FEBRERO 2024</t>
        </is>
      </c>
      <c r="L1461" t="inlineStr">
        <is>
          <t>FEBRERO 2025</t>
        </is>
      </c>
      <c r="M1461" t="inlineStr">
        <is>
          <t>P.Q.S TIPO ABC AL 90 % NACIONAL</t>
        </is>
      </c>
      <c r="N1461" t="inlineStr">
        <is>
          <t>179 / 000005</t>
        </is>
      </c>
      <c r="O1461" t="inlineStr">
        <is>
          <t>R</t>
        </is>
      </c>
      <c r="P1461">
        <f>TRIM(N1461)</f>
        <v/>
      </c>
    </row>
    <row r="1462">
      <c r="A1462" t="inlineStr">
        <is>
          <t>CO-001835</t>
        </is>
      </c>
      <c r="B1462" t="inlineStr">
        <is>
          <t>PERU MASIVO S.A.</t>
        </is>
      </c>
      <c r="C1462" t="inlineStr">
        <is>
          <t>20492392031</t>
        </is>
      </c>
      <c r="D1462" t="inlineStr">
        <is>
          <t>AV. LOS INCAS CDRA. 4 PATIO NORTE - COMAS</t>
        </is>
      </c>
      <c r="E1462" t="inlineStr">
        <is>
          <t>Lima, 28 de Febrero de 2024</t>
        </is>
      </c>
      <c r="F1462" t="inlineStr">
        <is>
          <t>la Recarga y mantenimiento</t>
        </is>
      </c>
      <c r="G1462" t="inlineStr">
        <is>
          <t>09</t>
        </is>
      </c>
      <c r="H1462" t="inlineStr">
        <is>
          <t>06 KG</t>
        </is>
      </c>
      <c r="I1462" t="inlineStr">
        <is>
          <t>2029</t>
        </is>
      </c>
      <c r="J1462" t="n">
        <v>2010</v>
      </c>
      <c r="K1462" t="inlineStr">
        <is>
          <t>FEBRERO 2024</t>
        </is>
      </c>
      <c r="L1462" t="inlineStr">
        <is>
          <t>FEBRERO 2025</t>
        </is>
      </c>
      <c r="M1462" t="inlineStr">
        <is>
          <t>P.Q.S TIPO ABC AL 90 % NACIONAL</t>
        </is>
      </c>
      <c r="N1462" t="inlineStr">
        <is>
          <t>386 / 001467</t>
        </is>
      </c>
      <c r="O1462" t="inlineStr">
        <is>
          <t>R</t>
        </is>
      </c>
      <c r="P1462">
        <f>TRIM(N1462)</f>
        <v/>
      </c>
    </row>
    <row r="1463">
      <c r="A1463" t="inlineStr">
        <is>
          <t>CO-001835</t>
        </is>
      </c>
      <c r="B1463" t="inlineStr">
        <is>
          <t>PERU MASIVO S.A.</t>
        </is>
      </c>
      <c r="C1463" t="inlineStr">
        <is>
          <t>20492392031</t>
        </is>
      </c>
      <c r="D1463" t="inlineStr">
        <is>
          <t>AV. LOS INCAS CDRA. 4 PATIO NORTE - COMAS</t>
        </is>
      </c>
      <c r="E1463" t="inlineStr">
        <is>
          <t>Lima, 28 de Febrero de 2024</t>
        </is>
      </c>
      <c r="F1463" t="inlineStr">
        <is>
          <t>la Recarga y mantenimiento</t>
        </is>
      </c>
      <c r="G1463" t="n">
        <v>10</v>
      </c>
      <c r="H1463" t="inlineStr">
        <is>
          <t>06 KG</t>
        </is>
      </c>
      <c r="I1463" t="inlineStr">
        <is>
          <t>2029</t>
        </is>
      </c>
      <c r="J1463" t="n">
        <v>2009</v>
      </c>
      <c r="K1463" t="inlineStr">
        <is>
          <t>FEBRERO 2024</t>
        </is>
      </c>
      <c r="L1463" t="inlineStr">
        <is>
          <t>FEBRERO 2025</t>
        </is>
      </c>
      <c r="M1463" t="inlineStr">
        <is>
          <t>P.Q.S TIPO ABC AL 90 % NACIONAL</t>
        </is>
      </c>
      <c r="N1463" t="inlineStr">
        <is>
          <t>321 / 000581</t>
        </is>
      </c>
      <c r="O1463" t="inlineStr">
        <is>
          <t>R</t>
        </is>
      </c>
      <c r="P1463">
        <f>TRIM(N1463)</f>
        <v/>
      </c>
    </row>
    <row r="1464">
      <c r="A1464" t="inlineStr">
        <is>
          <t>CO-001835</t>
        </is>
      </c>
      <c r="B1464" t="inlineStr">
        <is>
          <t>PERU MASIVO S.A.</t>
        </is>
      </c>
      <c r="C1464" t="inlineStr">
        <is>
          <t>20492392031</t>
        </is>
      </c>
      <c r="D1464" t="inlineStr">
        <is>
          <t>AV. LOS INCAS CDRA. 4 PATIO NORTE - COMAS</t>
        </is>
      </c>
      <c r="E1464" t="inlineStr">
        <is>
          <t>Lima, 28 de Febrero de 2024</t>
        </is>
      </c>
      <c r="F1464" t="inlineStr">
        <is>
          <t>la Recarga y mantenimiento</t>
        </is>
      </c>
      <c r="G1464" t="n">
        <v>11</v>
      </c>
      <c r="H1464" t="inlineStr">
        <is>
          <t>06 KG</t>
        </is>
      </c>
      <c r="I1464" t="inlineStr">
        <is>
          <t>2029</t>
        </is>
      </c>
      <c r="J1464" t="n">
        <v>2010</v>
      </c>
      <c r="K1464" t="inlineStr">
        <is>
          <t>FEBRERO 2024</t>
        </is>
      </c>
      <c r="L1464" t="inlineStr">
        <is>
          <t>FEBRERO 2025</t>
        </is>
      </c>
      <c r="M1464" t="inlineStr">
        <is>
          <t>P.Q.S TIPO ABC AL 90 % NACIONAL</t>
        </is>
      </c>
      <c r="N1464" t="inlineStr">
        <is>
          <t>203 / 001605</t>
        </is>
      </c>
      <c r="O1464" t="inlineStr">
        <is>
          <t>R</t>
        </is>
      </c>
      <c r="P1464">
        <f>TRIM(N1464)</f>
        <v/>
      </c>
    </row>
    <row r="1465">
      <c r="A1465" t="inlineStr">
        <is>
          <t>CO-001835</t>
        </is>
      </c>
      <c r="B1465" t="inlineStr">
        <is>
          <t>PERU MASIVO S.A.</t>
        </is>
      </c>
      <c r="C1465" t="inlineStr">
        <is>
          <t>20492392031</t>
        </is>
      </c>
      <c r="D1465" t="inlineStr">
        <is>
          <t>AV. LOS INCAS CDRA. 4 PATIO NORTE - COMAS</t>
        </is>
      </c>
      <c r="E1465" t="inlineStr">
        <is>
          <t>Lima, 28 de Febrero de 2024</t>
        </is>
      </c>
      <c r="F1465" t="inlineStr">
        <is>
          <t>la Recarga y mantenimiento</t>
        </is>
      </c>
      <c r="G1465" t="n">
        <v>12</v>
      </c>
      <c r="H1465" t="inlineStr">
        <is>
          <t>06 KG</t>
        </is>
      </c>
      <c r="I1465" t="inlineStr">
        <is>
          <t>2029</t>
        </is>
      </c>
      <c r="J1465" t="n">
        <v>2009</v>
      </c>
      <c r="K1465" t="inlineStr">
        <is>
          <t>FEBRERO 2024</t>
        </is>
      </c>
      <c r="L1465" t="inlineStr">
        <is>
          <t>FEBRERO 2025</t>
        </is>
      </c>
      <c r="M1465" t="inlineStr">
        <is>
          <t>P.Q.S TIPO ABC AL 90 % NACIONAL</t>
        </is>
      </c>
      <c r="N1465" t="inlineStr">
        <is>
          <t>49 / 000944</t>
        </is>
      </c>
      <c r="O1465" t="inlineStr">
        <is>
          <t>R</t>
        </is>
      </c>
      <c r="P1465">
        <f>TRIM(N1465)</f>
        <v/>
      </c>
    </row>
    <row r="1466">
      <c r="A1466" t="inlineStr">
        <is>
          <t>CO-001835</t>
        </is>
      </c>
      <c r="B1466" t="inlineStr">
        <is>
          <t>PERU MASIVO S.A.</t>
        </is>
      </c>
      <c r="C1466" t="inlineStr">
        <is>
          <t>20492392031</t>
        </is>
      </c>
      <c r="D1466" t="inlineStr">
        <is>
          <t>AV. LOS INCAS CDRA. 4 PATIO NORTE - COMAS</t>
        </is>
      </c>
      <c r="E1466" t="inlineStr">
        <is>
          <t>Lima, 28 de Febrero de 2024</t>
        </is>
      </c>
      <c r="F1466" t="inlineStr">
        <is>
          <t>la Recarga y mantenimiento</t>
        </is>
      </c>
      <c r="G1466" t="n">
        <v>13</v>
      </c>
      <c r="H1466" t="inlineStr">
        <is>
          <t>06 KG</t>
        </is>
      </c>
      <c r="I1466" t="inlineStr">
        <is>
          <t>2029</t>
        </is>
      </c>
      <c r="J1466" t="n">
        <v>2009</v>
      </c>
      <c r="K1466" t="inlineStr">
        <is>
          <t>FEBRERO 2024</t>
        </is>
      </c>
      <c r="L1466" t="inlineStr">
        <is>
          <t>FEBRERO 2025</t>
        </is>
      </c>
      <c r="M1466" t="inlineStr">
        <is>
          <t>P.Q.S TIPO ABC AL 90 % NACIONAL</t>
        </is>
      </c>
      <c r="N1466" t="inlineStr">
        <is>
          <t>224 / 000265</t>
        </is>
      </c>
      <c r="O1466" t="inlineStr">
        <is>
          <t>R</t>
        </is>
      </c>
      <c r="P1466">
        <f>TRIM(N1466)</f>
        <v/>
      </c>
    </row>
    <row r="1467">
      <c r="A1467" t="inlineStr">
        <is>
          <t>CO-001836</t>
        </is>
      </c>
      <c r="B1467" t="inlineStr">
        <is>
          <t>FERRETERIA FERRENORT DE: RUBEN BELLIDO</t>
        </is>
      </c>
      <c r="D1467" t="inlineStr">
        <is>
          <t>URB. EL PINAR MZ. N4 LT. 20</t>
        </is>
      </c>
      <c r="E1467" t="inlineStr">
        <is>
          <t>Lima, 29 de Febrero de 2024</t>
        </is>
      </c>
      <c r="F1467" t="inlineStr">
        <is>
          <t>la Recarga y mantenimiento</t>
        </is>
      </c>
      <c r="G1467" t="inlineStr">
        <is>
          <t>01</t>
        </is>
      </c>
      <c r="H1467" t="inlineStr">
        <is>
          <t>06 KG</t>
        </is>
      </c>
      <c r="I1467" t="inlineStr">
        <is>
          <t>2029</t>
        </is>
      </c>
      <c r="J1467" t="n">
        <v>2006</v>
      </c>
      <c r="K1467" t="inlineStr">
        <is>
          <t>FEBRERO 2024</t>
        </is>
      </c>
      <c r="L1467" t="inlineStr">
        <is>
          <t>FEBRERO 2025</t>
        </is>
      </c>
      <c r="M1467" t="inlineStr">
        <is>
          <t xml:space="preserve">P.Q.S.  TIPO ABC </t>
        </is>
      </c>
      <c r="N1467" t="inlineStr">
        <is>
          <t>005779</t>
        </is>
      </c>
      <c r="O1467" t="inlineStr">
        <is>
          <t>R</t>
        </is>
      </c>
      <c r="P1467">
        <f>TRIM(N1467)</f>
        <v/>
      </c>
    </row>
    <row r="1468">
      <c r="A1468" t="inlineStr">
        <is>
          <t>CO-001837</t>
        </is>
      </c>
      <c r="B1468" t="inlineStr">
        <is>
          <t>TEODOCIA ROMAN VDA. DE POVEA</t>
        </is>
      </c>
      <c r="C1468" t="inlineStr">
        <is>
          <t>10388660</t>
        </is>
      </c>
      <c r="D1468" t="inlineStr">
        <is>
          <t>SECTOR ROPA - PUESTO 34</t>
        </is>
      </c>
      <c r="E1468" t="inlineStr">
        <is>
          <t>Lima, 29 de Febrero de 2024</t>
        </is>
      </c>
      <c r="F1468" t="inlineStr">
        <is>
          <t>la venta</t>
        </is>
      </c>
      <c r="G1468" t="inlineStr">
        <is>
          <t>01</t>
        </is>
      </c>
      <c r="H1468" t="inlineStr">
        <is>
          <t>04 KG</t>
        </is>
      </c>
      <c r="I1468" t="inlineStr">
        <is>
          <t>2028</t>
        </is>
      </c>
      <c r="J1468" t="n">
        <v>2023</v>
      </c>
      <c r="K1468" t="inlineStr">
        <is>
          <t>FEBRERO 2024</t>
        </is>
      </c>
      <c r="L1468" t="inlineStr">
        <is>
          <t>FEBRERO 2025</t>
        </is>
      </c>
      <c r="M1468" t="inlineStr">
        <is>
          <t xml:space="preserve">P.Q.S.  TIPO ABC </t>
        </is>
      </c>
      <c r="N1468" t="inlineStr">
        <is>
          <t>358911</t>
        </is>
      </c>
      <c r="O1468" t="inlineStr">
        <is>
          <t>V</t>
        </is>
      </c>
      <c r="P1468">
        <f>TRIM(N1468)</f>
        <v/>
      </c>
    </row>
    <row r="1469">
      <c r="A1469" t="inlineStr">
        <is>
          <t>CO-001838</t>
        </is>
      </c>
      <c r="B1469" t="inlineStr">
        <is>
          <t>JUAN JESUS VILLANUEVA ORTIZ</t>
        </is>
      </c>
      <c r="C1469" t="inlineStr">
        <is>
          <t>44889183</t>
        </is>
      </c>
      <c r="D1469" t="inlineStr">
        <is>
          <t>PLACA: CDE - 267</t>
        </is>
      </c>
      <c r="E1469" t="inlineStr">
        <is>
          <t>Lima, 02 de Marzo de 2024</t>
        </is>
      </c>
      <c r="F1469" t="inlineStr">
        <is>
          <t>la Recarga y mantenimiento</t>
        </is>
      </c>
      <c r="G1469" t="inlineStr">
        <is>
          <t>01</t>
        </is>
      </c>
      <c r="H1469" t="inlineStr">
        <is>
          <t>04 KG</t>
        </is>
      </c>
      <c r="I1469" t="inlineStr">
        <is>
          <t>2027</t>
        </is>
      </c>
      <c r="J1469" t="n">
        <v>2022</v>
      </c>
      <c r="K1469" t="inlineStr">
        <is>
          <t>FEBRERO 2024</t>
        </is>
      </c>
      <c r="L1469" t="inlineStr">
        <is>
          <t>FEBRERO 2025</t>
        </is>
      </c>
      <c r="M1469" t="inlineStr">
        <is>
          <t xml:space="preserve">P.Q.S.  TIPO ABC </t>
        </is>
      </c>
      <c r="N1469" t="inlineStr">
        <is>
          <t>001089</t>
        </is>
      </c>
      <c r="O1469" t="inlineStr">
        <is>
          <t>R</t>
        </is>
      </c>
      <c r="P1469">
        <f>TRIM(N1469)</f>
        <v/>
      </c>
    </row>
    <row r="1470">
      <c r="A1470" t="inlineStr">
        <is>
          <t>CO-001839</t>
        </is>
      </c>
      <c r="B1470" t="inlineStr">
        <is>
          <t>PERU MASIVO S.A.</t>
        </is>
      </c>
      <c r="C1470" t="inlineStr">
        <is>
          <t>20492392031</t>
        </is>
      </c>
      <c r="D1470" t="inlineStr">
        <is>
          <t>AV. LOS INCAS CDRA. 4 PATIO NORTE - COMAS</t>
        </is>
      </c>
      <c r="E1470" t="inlineStr">
        <is>
          <t>Lima, 02 de Marzo de 2024</t>
        </is>
      </c>
      <c r="F1470" t="inlineStr">
        <is>
          <t>la Recarga y mantenimiento</t>
        </is>
      </c>
      <c r="G1470" t="inlineStr">
        <is>
          <t>01</t>
        </is>
      </c>
      <c r="H1470" t="inlineStr">
        <is>
          <t>06 KG</t>
        </is>
      </c>
      <c r="I1470" t="inlineStr">
        <is>
          <t>2026</t>
        </is>
      </c>
      <c r="J1470" t="n">
        <v>2021</v>
      </c>
      <c r="K1470" t="inlineStr">
        <is>
          <t>MARZO 2024</t>
        </is>
      </c>
      <c r="L1470" t="inlineStr">
        <is>
          <t>MARZO 2025</t>
        </is>
      </c>
      <c r="M1470" t="inlineStr">
        <is>
          <t>P.Q.S TIPO ABC AL 90 % NACIONAL</t>
        </is>
      </c>
      <c r="N1470" t="inlineStr">
        <is>
          <t>S/N / 009608</t>
        </is>
      </c>
      <c r="O1470" t="inlineStr">
        <is>
          <t>R</t>
        </is>
      </c>
      <c r="P1470">
        <f>TRIM(N1470)</f>
        <v/>
      </c>
    </row>
    <row r="1471">
      <c r="A1471" t="inlineStr">
        <is>
          <t>CO-001839</t>
        </is>
      </c>
      <c r="B1471" t="inlineStr">
        <is>
          <t>PERU MASIVO S.A.</t>
        </is>
      </c>
      <c r="C1471" t="inlineStr">
        <is>
          <t>20492392031</t>
        </is>
      </c>
      <c r="D1471" t="inlineStr">
        <is>
          <t>AV. LOS INCAS CDRA. 4 PATIO NORTE - COMAS</t>
        </is>
      </c>
      <c r="E1471" t="inlineStr">
        <is>
          <t>Lima, 02 de Marzo de 2024</t>
        </is>
      </c>
      <c r="F1471" t="inlineStr">
        <is>
          <t>la Recarga y mantenimiento</t>
        </is>
      </c>
      <c r="G1471" t="inlineStr">
        <is>
          <t>02</t>
        </is>
      </c>
      <c r="H1471" t="inlineStr">
        <is>
          <t>06 KG</t>
        </is>
      </c>
      <c r="I1471" t="inlineStr">
        <is>
          <t>2029</t>
        </is>
      </c>
      <c r="J1471" t="n">
        <v>2010</v>
      </c>
      <c r="K1471" t="inlineStr">
        <is>
          <t>MARZO 2024</t>
        </is>
      </c>
      <c r="L1471" t="inlineStr">
        <is>
          <t>MARZO 2025</t>
        </is>
      </c>
      <c r="M1471" t="inlineStr">
        <is>
          <t>P.Q.S TIPO ABC AL 90 % NACIONAL</t>
        </is>
      </c>
      <c r="N1471" t="inlineStr">
        <is>
          <t>150 / 006500</t>
        </is>
      </c>
      <c r="O1471" t="inlineStr">
        <is>
          <t>R</t>
        </is>
      </c>
      <c r="P1471">
        <f>TRIM(N1471)</f>
        <v/>
      </c>
    </row>
    <row r="1472">
      <c r="A1472" t="inlineStr">
        <is>
          <t>CO-001839</t>
        </is>
      </c>
      <c r="B1472" t="inlineStr">
        <is>
          <t>PERU MASIVO S.A.</t>
        </is>
      </c>
      <c r="C1472" t="inlineStr">
        <is>
          <t>20492392031</t>
        </is>
      </c>
      <c r="D1472" t="inlineStr">
        <is>
          <t>AV. LOS INCAS CDRA. 4 PATIO NORTE - COMAS</t>
        </is>
      </c>
      <c r="E1472" t="inlineStr">
        <is>
          <t>Lima, 02 de Marzo de 2024</t>
        </is>
      </c>
      <c r="F1472" t="inlineStr">
        <is>
          <t>la Recarga y mantenimiento</t>
        </is>
      </c>
      <c r="G1472" t="inlineStr">
        <is>
          <t>03</t>
        </is>
      </c>
      <c r="H1472" t="inlineStr">
        <is>
          <t>06 KG</t>
        </is>
      </c>
      <c r="I1472" t="inlineStr">
        <is>
          <t>2029</t>
        </is>
      </c>
      <c r="J1472" t="n">
        <v>2009</v>
      </c>
      <c r="K1472" t="inlineStr">
        <is>
          <t>MARZO 2024</t>
        </is>
      </c>
      <c r="L1472" t="inlineStr">
        <is>
          <t>MARZO 2025</t>
        </is>
      </c>
      <c r="M1472" t="inlineStr">
        <is>
          <t>P.Q.S TIPO ABC AL 90 % NACIONAL</t>
        </is>
      </c>
      <c r="N1472" t="inlineStr">
        <is>
          <t>347 / 000592</t>
        </is>
      </c>
      <c r="O1472" t="inlineStr">
        <is>
          <t>R</t>
        </is>
      </c>
      <c r="P1472">
        <f>TRIM(N1472)</f>
        <v/>
      </c>
    </row>
    <row r="1473">
      <c r="A1473" t="inlineStr">
        <is>
          <t>CO-001839</t>
        </is>
      </c>
      <c r="B1473" t="inlineStr">
        <is>
          <t>PERU MASIVO S.A.</t>
        </is>
      </c>
      <c r="C1473" t="inlineStr">
        <is>
          <t>20492392031</t>
        </is>
      </c>
      <c r="D1473" t="inlineStr">
        <is>
          <t>AV. LOS INCAS CDRA. 4 PATIO NORTE - COMAS</t>
        </is>
      </c>
      <c r="E1473" t="inlineStr">
        <is>
          <t>Lima, 02 de Marzo de 2024</t>
        </is>
      </c>
      <c r="F1473" t="inlineStr">
        <is>
          <t>la Recarga y mantenimiento</t>
        </is>
      </c>
      <c r="G1473" t="inlineStr">
        <is>
          <t>04</t>
        </is>
      </c>
      <c r="H1473" t="inlineStr">
        <is>
          <t>06 KG</t>
        </is>
      </c>
      <c r="I1473" t="inlineStr">
        <is>
          <t>2029</t>
        </is>
      </c>
      <c r="J1473" t="n">
        <v>2009</v>
      </c>
      <c r="K1473" t="inlineStr">
        <is>
          <t>MARZO 2024</t>
        </is>
      </c>
      <c r="L1473" t="inlineStr">
        <is>
          <t>MARZO 2025</t>
        </is>
      </c>
      <c r="M1473" t="inlineStr">
        <is>
          <t>P.Q.S TIPO ABC AL 90 % NACIONAL</t>
        </is>
      </c>
      <c r="N1473" t="inlineStr">
        <is>
          <t>246 / 002593</t>
        </is>
      </c>
      <c r="O1473" t="inlineStr">
        <is>
          <t>R</t>
        </is>
      </c>
      <c r="P1473">
        <f>TRIM(N1473)</f>
        <v/>
      </c>
    </row>
    <row r="1474">
      <c r="A1474" t="inlineStr">
        <is>
          <t>CO-001839</t>
        </is>
      </c>
      <c r="B1474" t="inlineStr">
        <is>
          <t>PERU MASIVO S.A.</t>
        </is>
      </c>
      <c r="C1474" t="inlineStr">
        <is>
          <t>20492392031</t>
        </is>
      </c>
      <c r="D1474" t="inlineStr">
        <is>
          <t>AV. LOS INCAS CDRA. 4 PATIO NORTE - COMAS</t>
        </is>
      </c>
      <c r="E1474" t="inlineStr">
        <is>
          <t>Lima, 02 de Marzo de 2024</t>
        </is>
      </c>
      <c r="F1474" t="inlineStr">
        <is>
          <t>la Recarga y mantenimiento</t>
        </is>
      </c>
      <c r="G1474" t="inlineStr">
        <is>
          <t>05</t>
        </is>
      </c>
      <c r="H1474" t="inlineStr">
        <is>
          <t>06 KG</t>
        </is>
      </c>
      <c r="I1474" t="inlineStr">
        <is>
          <t>2026</t>
        </is>
      </c>
      <c r="J1474" t="n">
        <v>2021</v>
      </c>
      <c r="K1474" t="inlineStr">
        <is>
          <t>MARZO 2024</t>
        </is>
      </c>
      <c r="L1474" t="inlineStr">
        <is>
          <t>MARZO 2025</t>
        </is>
      </c>
      <c r="M1474" t="inlineStr">
        <is>
          <t>P.Q.S TIPO ABC AL 90 % NACIONAL</t>
        </is>
      </c>
      <c r="N1474" t="inlineStr">
        <is>
          <t>S/N / 008129</t>
        </is>
      </c>
      <c r="O1474" t="inlineStr">
        <is>
          <t>R</t>
        </is>
      </c>
      <c r="P1474">
        <f>TRIM(N1474)</f>
        <v/>
      </c>
    </row>
    <row r="1475">
      <c r="A1475" t="inlineStr">
        <is>
          <t>CO-001839</t>
        </is>
      </c>
      <c r="B1475" t="inlineStr">
        <is>
          <t>PERU MASIVO S.A.</t>
        </is>
      </c>
      <c r="C1475" t="inlineStr">
        <is>
          <t>20492392031</t>
        </is>
      </c>
      <c r="D1475" t="inlineStr">
        <is>
          <t>AV. LOS INCAS CDRA. 4 PATIO NORTE - COMAS</t>
        </is>
      </c>
      <c r="E1475" t="inlineStr">
        <is>
          <t>Lima, 02 de Marzo de 2024</t>
        </is>
      </c>
      <c r="F1475" t="inlineStr">
        <is>
          <t>la Recarga y mantenimiento</t>
        </is>
      </c>
      <c r="G1475" t="inlineStr">
        <is>
          <t>06</t>
        </is>
      </c>
      <c r="H1475" t="inlineStr">
        <is>
          <t>06 KG</t>
        </is>
      </c>
      <c r="I1475" t="inlineStr">
        <is>
          <t>2029</t>
        </is>
      </c>
      <c r="J1475" t="n">
        <v>2009</v>
      </c>
      <c r="K1475" t="inlineStr">
        <is>
          <t>MARZO 2024</t>
        </is>
      </c>
      <c r="L1475" t="inlineStr">
        <is>
          <t>MARZO 2025</t>
        </is>
      </c>
      <c r="M1475" t="inlineStr">
        <is>
          <t>P.Q.S TIPO ABC AL 90 % NACIONAL</t>
        </is>
      </c>
      <c r="N1475" t="inlineStr">
        <is>
          <t>193 / 002197</t>
        </is>
      </c>
      <c r="O1475" t="inlineStr">
        <is>
          <t>R</t>
        </is>
      </c>
      <c r="P1475">
        <f>TRIM(N1475)</f>
        <v/>
      </c>
    </row>
    <row r="1476">
      <c r="A1476" t="inlineStr">
        <is>
          <t>CO-001839</t>
        </is>
      </c>
      <c r="B1476" t="inlineStr">
        <is>
          <t>PERU MASIVO S.A.</t>
        </is>
      </c>
      <c r="C1476" t="inlineStr">
        <is>
          <t>20492392031</t>
        </is>
      </c>
      <c r="D1476" t="inlineStr">
        <is>
          <t>AV. LOS INCAS CDRA. 4 PATIO NORTE - COMAS</t>
        </is>
      </c>
      <c r="E1476" t="inlineStr">
        <is>
          <t>Lima, 02 de Marzo de 2024</t>
        </is>
      </c>
      <c r="F1476" t="inlineStr">
        <is>
          <t>la Recarga y mantenimiento</t>
        </is>
      </c>
      <c r="G1476" t="inlineStr">
        <is>
          <t>07</t>
        </is>
      </c>
      <c r="H1476" t="inlineStr">
        <is>
          <t>06 KG</t>
        </is>
      </c>
      <c r="I1476" t="inlineStr">
        <is>
          <t>2029</t>
        </is>
      </c>
      <c r="J1476" t="n">
        <v>2009</v>
      </c>
      <c r="K1476" t="inlineStr">
        <is>
          <t>MARZO 2024</t>
        </is>
      </c>
      <c r="L1476" t="inlineStr">
        <is>
          <t>MARZO 2025</t>
        </is>
      </c>
      <c r="M1476" t="inlineStr">
        <is>
          <t>P.Q.S TIPO ABC AL 90 % NACIONAL</t>
        </is>
      </c>
      <c r="N1476" t="inlineStr">
        <is>
          <t>167 / 002616</t>
        </is>
      </c>
      <c r="O1476" t="inlineStr">
        <is>
          <t>R</t>
        </is>
      </c>
      <c r="P1476">
        <f>TRIM(N1476)</f>
        <v/>
      </c>
    </row>
    <row r="1477">
      <c r="A1477" t="inlineStr">
        <is>
          <t>CO-001839</t>
        </is>
      </c>
      <c r="B1477" t="inlineStr">
        <is>
          <t>PERU MASIVO S.A.</t>
        </is>
      </c>
      <c r="C1477" t="inlineStr">
        <is>
          <t>20492392031</t>
        </is>
      </c>
      <c r="D1477" t="inlineStr">
        <is>
          <t>AV. LOS INCAS CDRA. 4 PATIO NORTE - COMAS</t>
        </is>
      </c>
      <c r="E1477" t="inlineStr">
        <is>
          <t>Lima, 02 de Marzo de 2024</t>
        </is>
      </c>
      <c r="F1477" t="inlineStr">
        <is>
          <t>la Recarga y mantenimiento</t>
        </is>
      </c>
      <c r="G1477" t="inlineStr">
        <is>
          <t>08</t>
        </is>
      </c>
      <c r="H1477" t="inlineStr">
        <is>
          <t>06 KG</t>
        </is>
      </c>
      <c r="I1477" t="inlineStr">
        <is>
          <t>2026</t>
        </is>
      </c>
      <c r="J1477" t="n">
        <v>2021</v>
      </c>
      <c r="K1477" t="inlineStr">
        <is>
          <t>MARZO 2024</t>
        </is>
      </c>
      <c r="L1477" t="inlineStr">
        <is>
          <t>MARZO 2025</t>
        </is>
      </c>
      <c r="M1477" t="inlineStr">
        <is>
          <t>P.Q.S TIPO ABC AL 90 % NACIONAL</t>
        </is>
      </c>
      <c r="N1477" t="inlineStr">
        <is>
          <t>S/N / 009766</t>
        </is>
      </c>
      <c r="O1477" t="inlineStr">
        <is>
          <t>R</t>
        </is>
      </c>
      <c r="P1477">
        <f>TRIM(N1477)</f>
        <v/>
      </c>
    </row>
    <row r="1478">
      <c r="A1478" t="inlineStr">
        <is>
          <t>CO-001839</t>
        </is>
      </c>
      <c r="B1478" t="inlineStr">
        <is>
          <t>PERU MASIVO S.A.</t>
        </is>
      </c>
      <c r="C1478" t="inlineStr">
        <is>
          <t>20492392031</t>
        </is>
      </c>
      <c r="D1478" t="inlineStr">
        <is>
          <t>AV. LOS INCAS CDRA. 4 PATIO NORTE - COMAS</t>
        </is>
      </c>
      <c r="E1478" t="inlineStr">
        <is>
          <t>Lima, 02 de Marzo de 2024</t>
        </is>
      </c>
      <c r="F1478" t="inlineStr">
        <is>
          <t>la Recarga y mantenimiento</t>
        </is>
      </c>
      <c r="G1478" t="inlineStr">
        <is>
          <t>09</t>
        </is>
      </c>
      <c r="H1478" t="inlineStr">
        <is>
          <t>06 KG</t>
        </is>
      </c>
      <c r="I1478" t="inlineStr">
        <is>
          <t>2029</t>
        </is>
      </c>
      <c r="J1478" t="n">
        <v>2010</v>
      </c>
      <c r="K1478" t="inlineStr">
        <is>
          <t>MARZO 2024</t>
        </is>
      </c>
      <c r="L1478" t="inlineStr">
        <is>
          <t>MARZO 2025</t>
        </is>
      </c>
      <c r="M1478" t="inlineStr">
        <is>
          <t>P.Q.S TIPO ABC AL 90 % NACIONAL</t>
        </is>
      </c>
      <c r="N1478" t="inlineStr">
        <is>
          <t>176 / 000884</t>
        </is>
      </c>
      <c r="O1478" t="inlineStr">
        <is>
          <t>R</t>
        </is>
      </c>
      <c r="P1478">
        <f>TRIM(N1478)</f>
        <v/>
      </c>
    </row>
    <row r="1479">
      <c r="A1479" t="inlineStr">
        <is>
          <t>CO-001839</t>
        </is>
      </c>
      <c r="B1479" t="inlineStr">
        <is>
          <t>PERU MASIVO S.A.</t>
        </is>
      </c>
      <c r="C1479" t="inlineStr">
        <is>
          <t>20492392031</t>
        </is>
      </c>
      <c r="D1479" t="inlineStr">
        <is>
          <t>AV. LOS INCAS CDRA. 4 PATIO NORTE - COMAS</t>
        </is>
      </c>
      <c r="E1479" t="inlineStr">
        <is>
          <t>Lima, 02 de Marzo de 2024</t>
        </is>
      </c>
      <c r="F1479" t="inlineStr">
        <is>
          <t>la Recarga y mantenimiento</t>
        </is>
      </c>
      <c r="G1479" t="n">
        <v>10</v>
      </c>
      <c r="H1479" t="inlineStr">
        <is>
          <t>06 KG</t>
        </is>
      </c>
      <c r="I1479" t="inlineStr">
        <is>
          <t>2026</t>
        </is>
      </c>
      <c r="J1479" t="n">
        <v>2021</v>
      </c>
      <c r="K1479" t="inlineStr">
        <is>
          <t>MARZO 2024</t>
        </is>
      </c>
      <c r="L1479" t="inlineStr">
        <is>
          <t>MARZO 2025</t>
        </is>
      </c>
      <c r="M1479" t="inlineStr">
        <is>
          <t>P.Q.S TIPO ABC AL 90 % NACIONAL</t>
        </is>
      </c>
      <c r="N1479" t="inlineStr">
        <is>
          <t>S/N / 009075</t>
        </is>
      </c>
      <c r="O1479" t="inlineStr">
        <is>
          <t>R</t>
        </is>
      </c>
      <c r="P1479">
        <f>TRIM(N1479)</f>
        <v/>
      </c>
    </row>
    <row r="1480">
      <c r="A1480" t="inlineStr">
        <is>
          <t>CO-001839</t>
        </is>
      </c>
      <c r="B1480" t="inlineStr">
        <is>
          <t>PERU MASIVO S.A.</t>
        </is>
      </c>
      <c r="C1480" t="inlineStr">
        <is>
          <t>20492392031</t>
        </is>
      </c>
      <c r="D1480" t="inlineStr">
        <is>
          <t>AV. LOS INCAS CDRA. 4 PATIO NORTE - COMAS</t>
        </is>
      </c>
      <c r="E1480" t="inlineStr">
        <is>
          <t>Lima, 02 de Marzo de 2024</t>
        </is>
      </c>
      <c r="F1480" t="inlineStr">
        <is>
          <t>la Recarga y mantenimiento</t>
        </is>
      </c>
      <c r="G1480" t="n">
        <v>11</v>
      </c>
      <c r="H1480" t="inlineStr">
        <is>
          <t>06 KG</t>
        </is>
      </c>
      <c r="I1480" t="inlineStr">
        <is>
          <t>2029</t>
        </is>
      </c>
      <c r="J1480" t="n">
        <v>2014</v>
      </c>
      <c r="K1480" t="inlineStr">
        <is>
          <t>MARZO 2024</t>
        </is>
      </c>
      <c r="L1480" t="inlineStr">
        <is>
          <t>MARZO 2025</t>
        </is>
      </c>
      <c r="M1480" t="inlineStr">
        <is>
          <t>P.Q.S TIPO ABC AL 90 % NACIONAL</t>
        </is>
      </c>
      <c r="N1480" t="inlineStr">
        <is>
          <t>S/N / 001460</t>
        </is>
      </c>
      <c r="O1480" t="inlineStr">
        <is>
          <t>R</t>
        </is>
      </c>
      <c r="P1480">
        <f>TRIM(N1480)</f>
        <v/>
      </c>
    </row>
    <row r="1481">
      <c r="A1481" t="inlineStr">
        <is>
          <t>CO-001839</t>
        </is>
      </c>
      <c r="B1481" t="inlineStr">
        <is>
          <t>PERU MASIVO S.A.</t>
        </is>
      </c>
      <c r="C1481" t="inlineStr">
        <is>
          <t>20492392031</t>
        </is>
      </c>
      <c r="D1481" t="inlineStr">
        <is>
          <t>AV. LOS INCAS CDRA. 4 PATIO NORTE - COMAS</t>
        </is>
      </c>
      <c r="E1481" t="inlineStr">
        <is>
          <t>Lima, 02 de Marzo de 2024</t>
        </is>
      </c>
      <c r="F1481" t="inlineStr">
        <is>
          <t>la Recarga y mantenimiento</t>
        </is>
      </c>
      <c r="G1481" t="n">
        <v>12</v>
      </c>
      <c r="H1481" t="inlineStr">
        <is>
          <t>06 KG</t>
        </is>
      </c>
      <c r="I1481" t="inlineStr">
        <is>
          <t>2028</t>
        </is>
      </c>
      <c r="J1481" t="n">
        <v>2009</v>
      </c>
      <c r="K1481" t="inlineStr">
        <is>
          <t>MARZO 2024</t>
        </is>
      </c>
      <c r="L1481" t="inlineStr">
        <is>
          <t>MARZO 2025</t>
        </is>
      </c>
      <c r="M1481" t="inlineStr">
        <is>
          <t>P.Q.S TIPO ABC AL 90 % NACIONAL</t>
        </is>
      </c>
      <c r="N1481" t="inlineStr">
        <is>
          <t>02 / 000770</t>
        </is>
      </c>
      <c r="O1481" t="inlineStr">
        <is>
          <t>R</t>
        </is>
      </c>
      <c r="P1481">
        <f>TRIM(N1481)</f>
        <v/>
      </c>
    </row>
    <row r="1482">
      <c r="A1482" t="inlineStr">
        <is>
          <t>CO-001839</t>
        </is>
      </c>
      <c r="B1482" t="inlineStr">
        <is>
          <t>PERU MASIVO S.A.</t>
        </is>
      </c>
      <c r="C1482" t="inlineStr">
        <is>
          <t>20492392031</t>
        </is>
      </c>
      <c r="D1482" t="inlineStr">
        <is>
          <t>AV. LOS INCAS CDRA. 4 PATIO NORTE - COMAS</t>
        </is>
      </c>
      <c r="E1482" t="inlineStr">
        <is>
          <t>Lima, 02 de Marzo de 2024</t>
        </is>
      </c>
      <c r="F1482" t="inlineStr">
        <is>
          <t>la Recarga y mantenimiento</t>
        </is>
      </c>
      <c r="G1482" t="n">
        <v>13</v>
      </c>
      <c r="H1482" t="inlineStr">
        <is>
          <t>06 KG</t>
        </is>
      </c>
      <c r="I1482" t="inlineStr">
        <is>
          <t>2029</t>
        </is>
      </c>
      <c r="J1482" t="n">
        <v>2011</v>
      </c>
      <c r="K1482" t="inlineStr">
        <is>
          <t>MARZO 2024</t>
        </is>
      </c>
      <c r="L1482" t="inlineStr">
        <is>
          <t>MARZO 2025</t>
        </is>
      </c>
      <c r="M1482" t="inlineStr">
        <is>
          <t>P.Q.S TIPO ABC AL 90 % NACIONAL</t>
        </is>
      </c>
      <c r="N1482" t="inlineStr">
        <is>
          <t>328 / 002884</t>
        </is>
      </c>
      <c r="O1482" t="inlineStr">
        <is>
          <t>R</t>
        </is>
      </c>
      <c r="P1482">
        <f>TRIM(N1482)</f>
        <v/>
      </c>
    </row>
    <row r="1483">
      <c r="A1483" t="inlineStr">
        <is>
          <t>CO-001839</t>
        </is>
      </c>
      <c r="B1483" t="inlineStr">
        <is>
          <t>PERU MASIVO S.A.</t>
        </is>
      </c>
      <c r="C1483" t="inlineStr">
        <is>
          <t>20492392031</t>
        </is>
      </c>
      <c r="D1483" t="inlineStr">
        <is>
          <t>AV. LOS INCAS CDRA. 4 PATIO NORTE - COMAS</t>
        </is>
      </c>
      <c r="E1483" t="inlineStr">
        <is>
          <t>Lima, 02 de Marzo de 2024</t>
        </is>
      </c>
      <c r="F1483" t="inlineStr">
        <is>
          <t>la Recarga y mantenimiento</t>
        </is>
      </c>
      <c r="G1483" t="n">
        <v>14</v>
      </c>
      <c r="H1483" t="inlineStr">
        <is>
          <t>06 KG</t>
        </is>
      </c>
      <c r="I1483" t="inlineStr">
        <is>
          <t>2026</t>
        </is>
      </c>
      <c r="J1483" t="n">
        <v>2021</v>
      </c>
      <c r="K1483" t="inlineStr">
        <is>
          <t>MARZO 2024</t>
        </is>
      </c>
      <c r="L1483" t="inlineStr">
        <is>
          <t>MARZO 2025</t>
        </is>
      </c>
      <c r="M1483" t="inlineStr">
        <is>
          <t>P.Q.S TIPO ABC AL 90 % NACIONAL</t>
        </is>
      </c>
      <c r="N1483" t="inlineStr">
        <is>
          <t>S/N / 007848</t>
        </is>
      </c>
      <c r="O1483" t="inlineStr">
        <is>
          <t>R</t>
        </is>
      </c>
      <c r="P1483">
        <f>TRIM(N1483)</f>
        <v/>
      </c>
    </row>
    <row r="1484">
      <c r="A1484" t="inlineStr">
        <is>
          <t>CO-001840</t>
        </is>
      </c>
      <c r="B1484" t="inlineStr">
        <is>
          <t>QELLPU PERU S.A.</t>
        </is>
      </c>
      <c r="C1484" t="n">
        <v>20492318656</v>
      </c>
      <c r="D1484" t="inlineStr">
        <is>
          <t>AV. LOS INCAS CDRA. 4 PATIO NORTE - COMAS</t>
        </is>
      </c>
      <c r="E1484" t="inlineStr">
        <is>
          <t>Lima, 04 de Marzo de 2024</t>
        </is>
      </c>
      <c r="F1484" t="inlineStr">
        <is>
          <t>la Recarga y mantenimiento</t>
        </is>
      </c>
      <c r="G1484" t="inlineStr">
        <is>
          <t>01</t>
        </is>
      </c>
      <c r="H1484" t="inlineStr">
        <is>
          <t>10 LBS</t>
        </is>
      </c>
      <c r="I1484" t="inlineStr">
        <is>
          <t>2025</t>
        </is>
      </c>
      <c r="J1484" t="n">
        <v>2014</v>
      </c>
      <c r="K1484" t="inlineStr">
        <is>
          <t>MARZO 2024</t>
        </is>
      </c>
      <c r="L1484" t="inlineStr">
        <is>
          <t>MARZO 2025</t>
        </is>
      </c>
      <c r="M1484" t="inlineStr">
        <is>
          <t>CO2 / TIPO BC</t>
        </is>
      </c>
      <c r="N1484" t="inlineStr">
        <is>
          <t>29 / 000204</t>
        </is>
      </c>
      <c r="O1484" t="inlineStr">
        <is>
          <t>R</t>
        </is>
      </c>
      <c r="P1484">
        <f>TRIM(N1484)</f>
        <v/>
      </c>
    </row>
    <row r="1485">
      <c r="A1485" t="inlineStr">
        <is>
          <t>CO-001841</t>
        </is>
      </c>
      <c r="B1485" t="inlineStr">
        <is>
          <t>PROYECTO LIDERES DEL PERU S.A.C.</t>
        </is>
      </c>
      <c r="C1485" t="inlineStr">
        <is>
          <t>20612009482</t>
        </is>
      </c>
      <c r="D1485" t="inlineStr">
        <is>
          <t>AV. LOS INCAS N° 1054 URB. EL PINAR - COMAS</t>
        </is>
      </c>
      <c r="E1485" t="inlineStr">
        <is>
          <t>Lima, 04 de Marzo de 2024</t>
        </is>
      </c>
      <c r="F1485" t="inlineStr">
        <is>
          <t>la Recarga y mantenimiento</t>
        </is>
      </c>
      <c r="G1485" t="inlineStr">
        <is>
          <t>01</t>
        </is>
      </c>
      <c r="H1485" t="inlineStr">
        <is>
          <t>06 KG</t>
        </is>
      </c>
      <c r="I1485" t="inlineStr">
        <is>
          <t>2027</t>
        </is>
      </c>
      <c r="J1485" t="n">
        <v>2022</v>
      </c>
      <c r="K1485" t="inlineStr">
        <is>
          <t>MARZO 2024</t>
        </is>
      </c>
      <c r="L1485" t="inlineStr">
        <is>
          <t>MARZO 2025</t>
        </is>
      </c>
      <c r="M1485" t="inlineStr">
        <is>
          <t xml:space="preserve">P.Q.S.  TIPO ABC </t>
        </is>
      </c>
      <c r="N1485" t="inlineStr">
        <is>
          <t>501127</t>
        </is>
      </c>
      <c r="O1485" t="inlineStr">
        <is>
          <t>R</t>
        </is>
      </c>
      <c r="P1485">
        <f>TRIM(N1485)</f>
        <v/>
      </c>
    </row>
    <row r="1486">
      <c r="A1486" t="inlineStr">
        <is>
          <t>CO-001841</t>
        </is>
      </c>
      <c r="B1486" t="inlineStr">
        <is>
          <t>PROYECTO LIDERES DEL PERU S.A.C.</t>
        </is>
      </c>
      <c r="C1486" t="inlineStr">
        <is>
          <t>20612009482</t>
        </is>
      </c>
      <c r="D1486" t="inlineStr">
        <is>
          <t>AV. LOS INCAS N° 1054 URB. EL PINAR - COMAS</t>
        </is>
      </c>
      <c r="E1486" t="inlineStr">
        <is>
          <t>Lima, 04 de Marzo de 2024</t>
        </is>
      </c>
      <c r="F1486" t="inlineStr">
        <is>
          <t>la Recarga y mantenimiento</t>
        </is>
      </c>
      <c r="G1486" t="inlineStr">
        <is>
          <t>02</t>
        </is>
      </c>
      <c r="H1486" t="inlineStr">
        <is>
          <t>06 KG</t>
        </is>
      </c>
      <c r="I1486" t="inlineStr">
        <is>
          <t>2029</t>
        </is>
      </c>
      <c r="J1486" t="n">
        <v>2017</v>
      </c>
      <c r="K1486" t="inlineStr">
        <is>
          <t>MARZO 2024</t>
        </is>
      </c>
      <c r="L1486" t="inlineStr">
        <is>
          <t>MARZO 2025</t>
        </is>
      </c>
      <c r="M1486" t="inlineStr">
        <is>
          <t xml:space="preserve">P.Q.S.  TIPO ABC </t>
        </is>
      </c>
      <c r="N1486" t="inlineStr">
        <is>
          <t>000244</t>
        </is>
      </c>
      <c r="O1486" t="inlineStr">
        <is>
          <t>R</t>
        </is>
      </c>
      <c r="P1486">
        <f>TRIM(N1486)</f>
        <v/>
      </c>
    </row>
    <row r="1487">
      <c r="A1487" t="inlineStr">
        <is>
          <t>CO-001841</t>
        </is>
      </c>
      <c r="B1487" t="inlineStr">
        <is>
          <t>PROYECTO LIDERES DEL PERU S.A.C.</t>
        </is>
      </c>
      <c r="C1487" t="inlineStr">
        <is>
          <t>20612009482</t>
        </is>
      </c>
      <c r="D1487" t="inlineStr">
        <is>
          <t>AV. LOS INCAS N° 1054 URB. EL PINAR - COMAS</t>
        </is>
      </c>
      <c r="E1487" t="inlineStr">
        <is>
          <t>Lima, 04 de Marzo de 2024</t>
        </is>
      </c>
      <c r="F1487" t="inlineStr">
        <is>
          <t>la Recarga y mantenimiento</t>
        </is>
      </c>
      <c r="G1487" t="inlineStr">
        <is>
          <t>03</t>
        </is>
      </c>
      <c r="H1487" t="inlineStr">
        <is>
          <t>06 KG</t>
        </is>
      </c>
      <c r="I1487" t="inlineStr">
        <is>
          <t>2029</t>
        </is>
      </c>
      <c r="J1487" t="n">
        <v>2012</v>
      </c>
      <c r="K1487" t="inlineStr">
        <is>
          <t>MARZO 2024</t>
        </is>
      </c>
      <c r="L1487" t="inlineStr">
        <is>
          <t>MARZO 2025</t>
        </is>
      </c>
      <c r="M1487" t="inlineStr">
        <is>
          <t xml:space="preserve">P.Q.S.  TIPO ABC </t>
        </is>
      </c>
      <c r="N1487" t="inlineStr">
        <is>
          <t>001722</t>
        </is>
      </c>
      <c r="O1487" t="inlineStr">
        <is>
          <t>R</t>
        </is>
      </c>
      <c r="P1487">
        <f>TRIM(N1487)</f>
        <v/>
      </c>
    </row>
    <row r="1488">
      <c r="A1488" t="inlineStr">
        <is>
          <t>CO-001841</t>
        </is>
      </c>
      <c r="B1488" t="inlineStr">
        <is>
          <t>PROYECTO LIDERES DEL PERU S.A.C.</t>
        </is>
      </c>
      <c r="C1488" t="inlineStr">
        <is>
          <t>20612009482</t>
        </is>
      </c>
      <c r="D1488" t="inlineStr">
        <is>
          <t>AV. LOS INCAS N° 1054 URB. EL PINAR - COMAS</t>
        </is>
      </c>
      <c r="E1488" t="inlineStr">
        <is>
          <t>Lima, 04 de Marzo de 2024</t>
        </is>
      </c>
      <c r="F1488" t="inlineStr">
        <is>
          <t>la Recarga y mantenimiento</t>
        </is>
      </c>
      <c r="G1488" t="inlineStr">
        <is>
          <t>04</t>
        </is>
      </c>
      <c r="H1488" t="inlineStr">
        <is>
          <t>06 KG</t>
        </is>
      </c>
      <c r="I1488" t="inlineStr">
        <is>
          <t>2027</t>
        </is>
      </c>
      <c r="J1488" t="n">
        <v>2022</v>
      </c>
      <c r="K1488" t="inlineStr">
        <is>
          <t>MARZO 2024</t>
        </is>
      </c>
      <c r="L1488" t="inlineStr">
        <is>
          <t>MARZO 2025</t>
        </is>
      </c>
      <c r="M1488" t="inlineStr">
        <is>
          <t xml:space="preserve">P.Q.S.  TIPO ABC </t>
        </is>
      </c>
      <c r="N1488" t="inlineStr">
        <is>
          <t>492684</t>
        </is>
      </c>
      <c r="O1488" t="inlineStr">
        <is>
          <t>R</t>
        </is>
      </c>
      <c r="P1488">
        <f>TRIM(N1488)</f>
        <v/>
      </c>
    </row>
    <row r="1489">
      <c r="A1489" t="inlineStr">
        <is>
          <t>CO-001841</t>
        </is>
      </c>
      <c r="B1489" t="inlineStr">
        <is>
          <t>PROYECTO LIDERES DEL PERU S.A.C.</t>
        </is>
      </c>
      <c r="C1489" t="inlineStr">
        <is>
          <t>20612009482</t>
        </is>
      </c>
      <c r="D1489" t="inlineStr">
        <is>
          <t>AV. LOS INCAS N° 1054 URB. EL PINAR - COMAS</t>
        </is>
      </c>
      <c r="E1489" t="inlineStr">
        <is>
          <t>Lima, 04 de Marzo de 2024</t>
        </is>
      </c>
      <c r="F1489" t="inlineStr">
        <is>
          <t>la Recarga y mantenimiento</t>
        </is>
      </c>
      <c r="G1489" t="inlineStr">
        <is>
          <t>05</t>
        </is>
      </c>
      <c r="H1489" t="inlineStr">
        <is>
          <t>06 KG</t>
        </is>
      </c>
      <c r="I1489" t="inlineStr">
        <is>
          <t>2029</t>
        </is>
      </c>
      <c r="J1489" t="n">
        <v>2016</v>
      </c>
      <c r="K1489" t="inlineStr">
        <is>
          <t>MARZO 2024</t>
        </is>
      </c>
      <c r="L1489" t="inlineStr">
        <is>
          <t>MARZO 2025</t>
        </is>
      </c>
      <c r="M1489" t="inlineStr">
        <is>
          <t xml:space="preserve">P.Q.S.  TIPO ABC </t>
        </is>
      </c>
      <c r="N1489" t="inlineStr">
        <is>
          <t>000016</t>
        </is>
      </c>
      <c r="O1489" t="inlineStr">
        <is>
          <t>R</t>
        </is>
      </c>
      <c r="P1489">
        <f>TRIM(N1489)</f>
        <v/>
      </c>
    </row>
    <row r="1490">
      <c r="A1490" t="inlineStr">
        <is>
          <t>CO-001842</t>
        </is>
      </c>
      <c r="B1490" t="inlineStr">
        <is>
          <t>DOMINGO RICARDO MENDOZA CASTRO</t>
        </is>
      </c>
      <c r="C1490" t="inlineStr">
        <is>
          <t>09024788</t>
        </is>
      </c>
      <c r="D1490" t="inlineStr">
        <is>
          <t>PLACA: A3N - 919</t>
        </is>
      </c>
      <c r="E1490" t="inlineStr">
        <is>
          <t>Lima, 04 de Marzo de 2024</t>
        </is>
      </c>
      <c r="F1490" t="inlineStr">
        <is>
          <t>la Recarga y mantenimiento</t>
        </is>
      </c>
      <c r="G1490" t="inlineStr">
        <is>
          <t>01</t>
        </is>
      </c>
      <c r="H1490" t="inlineStr">
        <is>
          <t>02 KG</t>
        </is>
      </c>
      <c r="I1490" t="inlineStr">
        <is>
          <t>VIGENTE</t>
        </is>
      </c>
      <c r="J1490" t="n">
        <v>2014</v>
      </c>
      <c r="K1490" t="inlineStr">
        <is>
          <t>MARZO 2024</t>
        </is>
      </c>
      <c r="L1490" t="inlineStr">
        <is>
          <t>MARZO 2025</t>
        </is>
      </c>
      <c r="M1490" t="inlineStr">
        <is>
          <t xml:space="preserve">P.Q.S.  TIPO ABC </t>
        </is>
      </c>
      <c r="N1490" t="inlineStr">
        <is>
          <t>001222</t>
        </is>
      </c>
      <c r="O1490" t="inlineStr">
        <is>
          <t>R</t>
        </is>
      </c>
      <c r="P1490">
        <f>TRIM(N1490)</f>
        <v/>
      </c>
    </row>
    <row r="1491">
      <c r="A1491" t="inlineStr">
        <is>
          <t>CO-001843</t>
        </is>
      </c>
      <c r="B1491" t="inlineStr">
        <is>
          <t>CESAR GAMBOA GUTIERREZ</t>
        </is>
      </c>
      <c r="C1491" t="inlineStr">
        <is>
          <t>06789317</t>
        </is>
      </c>
      <c r="D1491" t="inlineStr">
        <is>
          <t>PLACA: AKC - 346</t>
        </is>
      </c>
      <c r="E1491" t="inlineStr">
        <is>
          <t>Lima, 05 de Marzo de 2024</t>
        </is>
      </c>
      <c r="F1491" t="inlineStr">
        <is>
          <t>la Recarga y mantenimiento</t>
        </is>
      </c>
      <c r="G1491" t="inlineStr">
        <is>
          <t>01</t>
        </is>
      </c>
      <c r="H1491" t="inlineStr">
        <is>
          <t>02 KG</t>
        </is>
      </c>
      <c r="I1491" t="inlineStr">
        <is>
          <t>VIGENTE</t>
        </is>
      </c>
      <c r="J1491" t="n">
        <v>2010</v>
      </c>
      <c r="K1491" t="inlineStr">
        <is>
          <t>MARZO 2024</t>
        </is>
      </c>
      <c r="L1491" t="inlineStr">
        <is>
          <t>MARZO 2025</t>
        </is>
      </c>
      <c r="M1491" t="inlineStr">
        <is>
          <t xml:space="preserve">P.Q.S.  TIPO ABC </t>
        </is>
      </c>
      <c r="N1491" t="inlineStr">
        <is>
          <t>177013</t>
        </is>
      </c>
      <c r="O1491" t="inlineStr">
        <is>
          <t>R</t>
        </is>
      </c>
      <c r="P1491">
        <f>TRIM(N1491)</f>
        <v/>
      </c>
    </row>
    <row r="1492">
      <c r="A1492" t="inlineStr">
        <is>
          <t>CO-001844</t>
        </is>
      </c>
      <c r="B1492" t="inlineStr">
        <is>
          <t>MAIRA LUCERO CALERO ROSALES</t>
        </is>
      </c>
      <c r="C1492" t="inlineStr">
        <is>
          <t>47072521</t>
        </is>
      </c>
      <c r="E1492" t="inlineStr">
        <is>
          <t>Lima, 06 de Marzo de 2024</t>
        </is>
      </c>
      <c r="F1492" t="inlineStr">
        <is>
          <t>la Recarga y mantenimiento</t>
        </is>
      </c>
      <c r="G1492" t="inlineStr">
        <is>
          <t>01</t>
        </is>
      </c>
      <c r="H1492" t="inlineStr">
        <is>
          <t>04 KG</t>
        </is>
      </c>
      <c r="I1492" t="inlineStr">
        <is>
          <t>2027</t>
        </is>
      </c>
      <c r="J1492" t="n">
        <v>2022</v>
      </c>
      <c r="K1492" t="inlineStr">
        <is>
          <t>MARZO 2024</t>
        </is>
      </c>
      <c r="L1492" t="inlineStr">
        <is>
          <t>MARZO 2025</t>
        </is>
      </c>
      <c r="M1492" t="inlineStr">
        <is>
          <t xml:space="preserve">P.Q.S.  TIPO ABC </t>
        </is>
      </c>
      <c r="N1492" t="inlineStr">
        <is>
          <t>000490</t>
        </is>
      </c>
      <c r="O1492" t="inlineStr">
        <is>
          <t>R</t>
        </is>
      </c>
      <c r="P1492">
        <f>TRIM(N1492)</f>
        <v/>
      </c>
    </row>
    <row r="1493">
      <c r="A1493" t="inlineStr">
        <is>
          <t>CO-001845</t>
        </is>
      </c>
      <c r="B1493" t="inlineStr">
        <is>
          <t>MAIRA LUCERO CALERO ROSALES</t>
        </is>
      </c>
      <c r="C1493" t="inlineStr">
        <is>
          <t>47072521</t>
        </is>
      </c>
      <c r="E1493" t="inlineStr">
        <is>
          <t>Lima, 06 de Marzo de 2024</t>
        </is>
      </c>
      <c r="F1493" t="inlineStr">
        <is>
          <t>la venta</t>
        </is>
      </c>
      <c r="G1493" t="inlineStr">
        <is>
          <t>01</t>
        </is>
      </c>
      <c r="H1493" t="inlineStr">
        <is>
          <t>04 KG</t>
        </is>
      </c>
      <c r="I1493" t="inlineStr">
        <is>
          <t>2028</t>
        </is>
      </c>
      <c r="J1493" t="n">
        <v>2023</v>
      </c>
      <c r="K1493" t="inlineStr">
        <is>
          <t>MARZO 2024</t>
        </is>
      </c>
      <c r="L1493" t="inlineStr">
        <is>
          <t>MARZO 2025</t>
        </is>
      </c>
      <c r="M1493" t="inlineStr">
        <is>
          <t xml:space="preserve">P.Q.S.  TIPO ABC </t>
        </is>
      </c>
      <c r="N1493" t="inlineStr">
        <is>
          <t>458967</t>
        </is>
      </c>
      <c r="O1493" t="inlineStr">
        <is>
          <t>V</t>
        </is>
      </c>
      <c r="P1493">
        <f>TRIM(N1493)</f>
        <v/>
      </c>
    </row>
    <row r="1494">
      <c r="A1494" t="inlineStr">
        <is>
          <t>CO-001846</t>
        </is>
      </c>
      <c r="B1494" t="inlineStr">
        <is>
          <t>FLOR RICARDINA ZEVALLOS FRANCIA</t>
        </is>
      </c>
      <c r="C1494" t="inlineStr">
        <is>
          <t>06037715</t>
        </is>
      </c>
      <c r="D1494" t="inlineStr">
        <is>
          <t>PLACA: ADY - 912</t>
        </is>
      </c>
      <c r="E1494" t="inlineStr">
        <is>
          <t>Lima, 05 de Marzo de 2024</t>
        </is>
      </c>
      <c r="F1494" t="inlineStr">
        <is>
          <t>la Recarga y mantenimiento</t>
        </is>
      </c>
      <c r="G1494" t="inlineStr">
        <is>
          <t>01</t>
        </is>
      </c>
      <c r="H1494" t="inlineStr">
        <is>
          <t>04 KG</t>
        </is>
      </c>
      <c r="I1494" t="inlineStr">
        <is>
          <t>VIGENTE</t>
        </is>
      </c>
      <c r="J1494" t="n">
        <v>2010</v>
      </c>
      <c r="K1494" t="inlineStr">
        <is>
          <t>MARZO 2024</t>
        </is>
      </c>
      <c r="L1494" t="inlineStr">
        <is>
          <t>MARZO 2025</t>
        </is>
      </c>
      <c r="M1494" t="inlineStr">
        <is>
          <t xml:space="preserve">P.Q.S.  TIPO ABC </t>
        </is>
      </c>
      <c r="N1494" t="inlineStr">
        <is>
          <t>071794</t>
        </is>
      </c>
      <c r="O1494" t="inlineStr">
        <is>
          <t>R</t>
        </is>
      </c>
      <c r="P1494">
        <f>TRIM(N1494)</f>
        <v/>
      </c>
    </row>
    <row r="1495">
      <c r="A1495" t="inlineStr">
        <is>
          <t>CO-001847</t>
        </is>
      </c>
      <c r="B1495" t="inlineStr">
        <is>
          <t>PERU MASIVO S.A.</t>
        </is>
      </c>
      <c r="C1495" t="inlineStr">
        <is>
          <t>20492392031</t>
        </is>
      </c>
      <c r="D1495" t="inlineStr">
        <is>
          <t>AV. LOS INCAS CDRA. 4 PATIO NORTE - COMAS</t>
        </is>
      </c>
      <c r="E1495" t="inlineStr">
        <is>
          <t>Lima, 06 de Marzo de 2024</t>
        </is>
      </c>
      <c r="F1495" t="inlineStr">
        <is>
          <t>la Recarga y mantenimiento</t>
        </is>
      </c>
      <c r="G1495" t="inlineStr">
        <is>
          <t>01</t>
        </is>
      </c>
      <c r="H1495" t="inlineStr">
        <is>
          <t>06 KG</t>
        </is>
      </c>
      <c r="I1495" t="inlineStr">
        <is>
          <t>2028</t>
        </is>
      </c>
      <c r="J1495" t="n">
        <v>2010</v>
      </c>
      <c r="K1495" t="inlineStr">
        <is>
          <t>MARZO 2024</t>
        </is>
      </c>
      <c r="L1495" t="inlineStr">
        <is>
          <t>MARZO 2025</t>
        </is>
      </c>
      <c r="M1495" t="inlineStr">
        <is>
          <t>P.Q.S TIPO ABC AL 90 % NACIONAL</t>
        </is>
      </c>
      <c r="N1495" t="inlineStr">
        <is>
          <t>S/N / 000005</t>
        </is>
      </c>
      <c r="O1495" t="inlineStr">
        <is>
          <t>R</t>
        </is>
      </c>
      <c r="P1495">
        <f>TRIM(N1495)</f>
        <v/>
      </c>
    </row>
    <row r="1496">
      <c r="A1496" t="inlineStr">
        <is>
          <t>CO-001848</t>
        </is>
      </c>
      <c r="B1496" t="inlineStr">
        <is>
          <t>BOTICA SR. MILAGROS</t>
        </is>
      </c>
      <c r="D1496" t="inlineStr">
        <is>
          <t>AV. TUPAC AMARU 5175 - S.J.B COMAS</t>
        </is>
      </c>
      <c r="E1496" t="inlineStr">
        <is>
          <t>Lima, 07 de Marzo de 2024</t>
        </is>
      </c>
      <c r="F1496" t="inlineStr">
        <is>
          <t>la Recarga y mantenimiento</t>
        </is>
      </c>
      <c r="G1496" t="inlineStr">
        <is>
          <t>01</t>
        </is>
      </c>
      <c r="H1496" t="inlineStr">
        <is>
          <t>06 KG</t>
        </is>
      </c>
      <c r="I1496" t="inlineStr">
        <is>
          <t>VIGENTE</t>
        </is>
      </c>
      <c r="J1496" t="inlineStr">
        <is>
          <t>S/N</t>
        </is>
      </c>
      <c r="K1496" t="inlineStr">
        <is>
          <t>MARZO 2024</t>
        </is>
      </c>
      <c r="L1496" t="inlineStr">
        <is>
          <t>MARZO 2025</t>
        </is>
      </c>
      <c r="M1496" t="inlineStr">
        <is>
          <t xml:space="preserve">P.Q.S.  TIPO ABC </t>
        </is>
      </c>
      <c r="N1496" t="inlineStr">
        <is>
          <t>S/N</t>
        </is>
      </c>
      <c r="O1496" t="inlineStr">
        <is>
          <t>R</t>
        </is>
      </c>
      <c r="P1496">
        <f>TRIM(N1496)</f>
        <v/>
      </c>
    </row>
    <row r="1497">
      <c r="A1497" t="inlineStr">
        <is>
          <t>CO-001849</t>
        </is>
      </c>
      <c r="B1497" t="inlineStr">
        <is>
          <t xml:space="preserve">
TRANSP. A &amp; P YANAVILVA EIRL</t>
        </is>
      </c>
      <c r="C1497" t="inlineStr">
        <is>
          <t>20548344116</t>
        </is>
      </c>
      <c r="D1497" t="inlineStr">
        <is>
          <t>AV. PRINCIPAL ESQ. CON CALLE PORVENIR, CP SAN JOSE DE LOS CHORRILLOS</t>
        </is>
      </c>
      <c r="E1497" t="inlineStr">
        <is>
          <t>Lima, 08 de Marzo de 2024</t>
        </is>
      </c>
      <c r="F1497" t="inlineStr">
        <is>
          <t>la Recarga y mantenimiento</t>
        </is>
      </c>
      <c r="G1497" t="inlineStr">
        <is>
          <t>01</t>
        </is>
      </c>
      <c r="H1497" t="inlineStr">
        <is>
          <t>20 LBS</t>
        </is>
      </c>
      <c r="I1497" t="inlineStr">
        <is>
          <t>2026</t>
        </is>
      </c>
      <c r="J1497" t="n">
        <v>2016</v>
      </c>
      <c r="K1497" t="inlineStr">
        <is>
          <t>MARZO 2024</t>
        </is>
      </c>
      <c r="L1497" t="inlineStr">
        <is>
          <t>MARZO 2025</t>
        </is>
      </c>
      <c r="M1497" t="inlineStr">
        <is>
          <t>P.Q.S.  TIPO ABC AL 90% UL "USA"</t>
        </is>
      </c>
      <c r="N1497" t="inlineStr">
        <is>
          <t>B06338358</t>
        </is>
      </c>
      <c r="O1497" t="inlineStr">
        <is>
          <t>R</t>
        </is>
      </c>
      <c r="P1497">
        <f>TRIM(N1497)</f>
        <v/>
      </c>
    </row>
    <row r="1498">
      <c r="A1498" t="inlineStr">
        <is>
          <t>CO-001850</t>
        </is>
      </c>
      <c r="B1498" t="inlineStr">
        <is>
          <t xml:space="preserve">
TRANSP. A &amp; P YANAVILVA EIRL</t>
        </is>
      </c>
      <c r="C1498" t="inlineStr">
        <is>
          <t>20548344116</t>
        </is>
      </c>
      <c r="D1498" t="inlineStr">
        <is>
          <t>AV. PRINCIPAL ESQ. CON CALLE PORVENIR, CP SAN JOSE DE LOS CHORRILLOS</t>
        </is>
      </c>
      <c r="E1498" t="inlineStr">
        <is>
          <t>Lima, 08 de Marzo de 2024</t>
        </is>
      </c>
      <c r="F1498" t="inlineStr">
        <is>
          <t>la Recarga y mantenimiento</t>
        </is>
      </c>
      <c r="G1498" t="inlineStr">
        <is>
          <t>01</t>
        </is>
      </c>
      <c r="H1498" t="inlineStr">
        <is>
          <t>20 LBS</t>
        </is>
      </c>
      <c r="I1498" t="inlineStr">
        <is>
          <t>2026</t>
        </is>
      </c>
      <c r="J1498" t="n">
        <v>2016</v>
      </c>
      <c r="K1498" t="inlineStr">
        <is>
          <t>MARZO 2024</t>
        </is>
      </c>
      <c r="L1498" t="inlineStr">
        <is>
          <t>MARZO 2025</t>
        </is>
      </c>
      <c r="M1498" t="inlineStr">
        <is>
          <t>P.Q.S.  TIPO ABC AL 90% UL "USA"</t>
        </is>
      </c>
      <c r="N1498" t="inlineStr">
        <is>
          <t>B06338566</t>
        </is>
      </c>
      <c r="O1498" t="inlineStr">
        <is>
          <t>R</t>
        </is>
      </c>
      <c r="P1498">
        <f>TRIM(N1498)</f>
        <v/>
      </c>
    </row>
    <row r="1499">
      <c r="A1499" t="inlineStr">
        <is>
          <t>CO-001851</t>
        </is>
      </c>
      <c r="B1499" t="inlineStr">
        <is>
          <t xml:space="preserve">
TRANSP. A &amp; P YANAVILVA EIRL</t>
        </is>
      </c>
      <c r="C1499" t="inlineStr">
        <is>
          <t>20548344116</t>
        </is>
      </c>
      <c r="D1499" t="inlineStr">
        <is>
          <t>PLACA: B5J - 797</t>
        </is>
      </c>
      <c r="E1499" t="inlineStr">
        <is>
          <t>Lima, 08 de Marzo de 2024</t>
        </is>
      </c>
      <c r="F1499" t="inlineStr">
        <is>
          <t>la Recarga y mantenimiento</t>
        </is>
      </c>
      <c r="G1499" t="inlineStr">
        <is>
          <t>01</t>
        </is>
      </c>
      <c r="H1499" t="inlineStr">
        <is>
          <t>13.6 KG</t>
        </is>
      </c>
      <c r="I1499" t="inlineStr">
        <is>
          <t>2028</t>
        </is>
      </c>
      <c r="J1499" t="n">
        <v>2012</v>
      </c>
      <c r="K1499" t="inlineStr">
        <is>
          <t>MARZO 2024</t>
        </is>
      </c>
      <c r="L1499" t="inlineStr">
        <is>
          <t>MARZO 2025</t>
        </is>
      </c>
      <c r="M1499" t="inlineStr">
        <is>
          <t>P.Q.S TIPO ABC</t>
        </is>
      </c>
      <c r="N1499" t="inlineStr">
        <is>
          <t>000002</t>
        </is>
      </c>
      <c r="O1499" t="inlineStr">
        <is>
          <t>M1</t>
        </is>
      </c>
      <c r="P1499">
        <f>TRIM(N1499)</f>
        <v/>
      </c>
    </row>
    <row r="1500">
      <c r="A1500" t="inlineStr">
        <is>
          <t>CO-001852</t>
        </is>
      </c>
      <c r="B1500" t="inlineStr">
        <is>
          <t xml:space="preserve">
TRANSP. A &amp; P YANAVILVA EIRL</t>
        </is>
      </c>
      <c r="C1500" t="inlineStr">
        <is>
          <t>20548344116</t>
        </is>
      </c>
      <c r="D1500" t="inlineStr">
        <is>
          <t>PLACA: APQ - 787</t>
        </is>
      </c>
      <c r="E1500" t="inlineStr">
        <is>
          <t>Lima, 08 de Marzo de 2024</t>
        </is>
      </c>
      <c r="F1500" t="inlineStr">
        <is>
          <t>la Recarga y mantenimiento</t>
        </is>
      </c>
      <c r="G1500" t="inlineStr">
        <is>
          <t>01</t>
        </is>
      </c>
      <c r="H1500" t="inlineStr">
        <is>
          <t>13.6 KG</t>
        </is>
      </c>
      <c r="I1500" t="inlineStr">
        <is>
          <t>2028</t>
        </is>
      </c>
      <c r="J1500" t="n">
        <v>2012</v>
      </c>
      <c r="K1500" t="inlineStr">
        <is>
          <t>MARZO 2024</t>
        </is>
      </c>
      <c r="L1500" t="inlineStr">
        <is>
          <t>MARZO 2025</t>
        </is>
      </c>
      <c r="M1500" t="inlineStr">
        <is>
          <t>P.Q.S. BOT.EXTERIOR</t>
        </is>
      </c>
      <c r="N1500" t="inlineStr">
        <is>
          <t>000456</t>
        </is>
      </c>
      <c r="O1500" t="inlineStr">
        <is>
          <t>M1</t>
        </is>
      </c>
      <c r="P1500">
        <f>TRIM(N1500)</f>
        <v/>
      </c>
    </row>
    <row r="1501">
      <c r="A1501" t="inlineStr">
        <is>
          <t>CO-001853</t>
        </is>
      </c>
      <c r="B1501" t="inlineStr">
        <is>
          <t>MARIO FELIPE SING URDANIVIA</t>
        </is>
      </c>
      <c r="C1501" t="inlineStr">
        <is>
          <t>06875099</t>
        </is>
      </c>
      <c r="D1501" t="inlineStr">
        <is>
          <t>PLACA: CDJ - 269</t>
        </is>
      </c>
      <c r="E1501" t="inlineStr">
        <is>
          <t>Lima, 07 de Marzo de 2024</t>
        </is>
      </c>
      <c r="F1501" t="inlineStr">
        <is>
          <t>la Recarga y mantenimiento</t>
        </is>
      </c>
      <c r="G1501" t="inlineStr">
        <is>
          <t>01</t>
        </is>
      </c>
      <c r="H1501" t="inlineStr">
        <is>
          <t>02 KG</t>
        </is>
      </c>
      <c r="I1501" t="inlineStr">
        <is>
          <t>2027</t>
        </is>
      </c>
      <c r="J1501" t="n">
        <v>2022</v>
      </c>
      <c r="K1501" t="inlineStr">
        <is>
          <t>MARZO 2024</t>
        </is>
      </c>
      <c r="L1501" t="inlineStr">
        <is>
          <t>MARZO 2025</t>
        </is>
      </c>
      <c r="M1501" t="inlineStr">
        <is>
          <t xml:space="preserve">P.Q.S.  TIPO ABC </t>
        </is>
      </c>
      <c r="N1501" t="inlineStr">
        <is>
          <t>003275</t>
        </is>
      </c>
      <c r="O1501" t="inlineStr">
        <is>
          <t>R</t>
        </is>
      </c>
      <c r="P1501">
        <f>TRIM(N1501)</f>
        <v/>
      </c>
    </row>
    <row r="1502">
      <c r="A1502" t="inlineStr">
        <is>
          <t>CO-001854</t>
        </is>
      </c>
      <c r="B1502" t="inlineStr">
        <is>
          <t>SODEXO - HUB DE PRODUCCION</t>
        </is>
      </c>
      <c r="C1502" t="inlineStr">
        <is>
          <t>20414766308</t>
        </is>
      </c>
      <c r="D1502" t="inlineStr">
        <is>
          <t>AV LOS FRUTALES 220 ATE</t>
        </is>
      </c>
      <c r="E1502" t="inlineStr">
        <is>
          <t>Lima, 07 de Marzo de 2024</t>
        </is>
      </c>
      <c r="F1502" t="inlineStr">
        <is>
          <t>la Recarga y mantenimiento</t>
        </is>
      </c>
      <c r="G1502" t="inlineStr">
        <is>
          <t>01</t>
        </is>
      </c>
      <c r="H1502" t="inlineStr">
        <is>
          <t>10 LBS</t>
        </is>
      </c>
      <c r="I1502" t="inlineStr">
        <is>
          <t>2025</t>
        </is>
      </c>
      <c r="J1502" t="n">
        <v>2020</v>
      </c>
      <c r="K1502" t="inlineStr">
        <is>
          <t>MARZO 2024</t>
        </is>
      </c>
      <c r="L1502" t="inlineStr">
        <is>
          <t>MARZO 2025</t>
        </is>
      </c>
      <c r="M1502" t="inlineStr">
        <is>
          <t>P.Q.S.  TIPO ABC AL 90% UL</t>
        </is>
      </c>
      <c r="N1502" t="inlineStr">
        <is>
          <t>G09014474</t>
        </is>
      </c>
      <c r="O1502" t="inlineStr">
        <is>
          <t>M1</t>
        </is>
      </c>
      <c r="P1502">
        <f>TRIM(N1502)</f>
        <v/>
      </c>
    </row>
    <row r="1503">
      <c r="A1503" t="inlineStr">
        <is>
          <t>CO-001855</t>
        </is>
      </c>
      <c r="B1503" t="inlineStr">
        <is>
          <t>SODEXO - HUB DE PRODUCCION</t>
        </is>
      </c>
      <c r="C1503" t="inlineStr">
        <is>
          <t>20414766308</t>
        </is>
      </c>
      <c r="D1503" t="inlineStr">
        <is>
          <t>AV LOS FRUTALES 220 ATE</t>
        </is>
      </c>
      <c r="E1503" t="inlineStr">
        <is>
          <t>Lima, 07 de Marzo de 2024</t>
        </is>
      </c>
      <c r="F1503" t="inlineStr">
        <is>
          <t>la Recarga y mantenimiento</t>
        </is>
      </c>
      <c r="G1503" t="inlineStr">
        <is>
          <t>01</t>
        </is>
      </c>
      <c r="H1503" t="inlineStr">
        <is>
          <t>10 LBS</t>
        </is>
      </c>
      <c r="I1503" t="inlineStr">
        <is>
          <t>2025</t>
        </is>
      </c>
      <c r="J1503" t="n">
        <v>2020</v>
      </c>
      <c r="K1503" t="inlineStr">
        <is>
          <t>MARZO 2024</t>
        </is>
      </c>
      <c r="L1503" t="inlineStr">
        <is>
          <t>MARZO 2025</t>
        </is>
      </c>
      <c r="M1503" t="inlineStr">
        <is>
          <t>P.Q.S.  TIPO ABC AL 90% UL</t>
        </is>
      </c>
      <c r="N1503" t="inlineStr">
        <is>
          <t>G09014365</t>
        </is>
      </c>
      <c r="O1503" t="inlineStr">
        <is>
          <t>M1</t>
        </is>
      </c>
      <c r="P1503">
        <f>TRIM(N1503)</f>
        <v/>
      </c>
    </row>
    <row r="1504">
      <c r="A1504" t="inlineStr">
        <is>
          <t>CO-001856</t>
        </is>
      </c>
      <c r="B1504" t="inlineStr">
        <is>
          <t>SODEXO - HUB DE PRODUCCION</t>
        </is>
      </c>
      <c r="C1504" t="inlineStr">
        <is>
          <t>20414766308</t>
        </is>
      </c>
      <c r="D1504" t="inlineStr">
        <is>
          <t>AV LOS FRUTALES 220 ATE</t>
        </is>
      </c>
      <c r="E1504" t="inlineStr">
        <is>
          <t>Lima, 07 de Marzo de 2024</t>
        </is>
      </c>
      <c r="F1504" t="inlineStr">
        <is>
          <t>la Recarga y mantenimiento</t>
        </is>
      </c>
      <c r="G1504" t="inlineStr">
        <is>
          <t>01</t>
        </is>
      </c>
      <c r="H1504" t="inlineStr">
        <is>
          <t>10 LBS</t>
        </is>
      </c>
      <c r="I1504" t="inlineStr">
        <is>
          <t>2025</t>
        </is>
      </c>
      <c r="J1504" t="n">
        <v>2020</v>
      </c>
      <c r="K1504" t="inlineStr">
        <is>
          <t>MARZO 2024</t>
        </is>
      </c>
      <c r="L1504" t="inlineStr">
        <is>
          <t>MARZO 2025</t>
        </is>
      </c>
      <c r="M1504" t="inlineStr">
        <is>
          <t>CO2  TIPO BC</t>
        </is>
      </c>
      <c r="N1504" t="inlineStr">
        <is>
          <t>695600</t>
        </is>
      </c>
      <c r="O1504" t="inlineStr">
        <is>
          <t>R</t>
        </is>
      </c>
      <c r="P1504">
        <f>TRIM(N1504)</f>
        <v/>
      </c>
    </row>
    <row r="1505">
      <c r="A1505" t="inlineStr">
        <is>
          <t>CO-001857</t>
        </is>
      </c>
      <c r="B1505" t="inlineStr">
        <is>
          <t>SODEXO - HUB DE PRODUCCION</t>
        </is>
      </c>
      <c r="C1505" t="inlineStr">
        <is>
          <t>20414766308</t>
        </is>
      </c>
      <c r="D1505" t="inlineStr">
        <is>
          <t>AV LOS FRUTALES 220 ATE</t>
        </is>
      </c>
      <c r="E1505" t="inlineStr">
        <is>
          <t>Lima, 07 de Marzo de 2024</t>
        </is>
      </c>
      <c r="F1505" t="inlineStr">
        <is>
          <t>la Recarga y mantenimiento</t>
        </is>
      </c>
      <c r="G1505" t="inlineStr">
        <is>
          <t>01</t>
        </is>
      </c>
      <c r="H1505" t="inlineStr">
        <is>
          <t>10 LBS</t>
        </is>
      </c>
      <c r="I1505" t="inlineStr">
        <is>
          <t>2025</t>
        </is>
      </c>
      <c r="J1505" t="n">
        <v>2020</v>
      </c>
      <c r="K1505" t="inlineStr">
        <is>
          <t>MARZO 2024</t>
        </is>
      </c>
      <c r="L1505" t="inlineStr">
        <is>
          <t>MARZO 2025</t>
        </is>
      </c>
      <c r="M1505" t="inlineStr">
        <is>
          <t>CO2  TIPO BC</t>
        </is>
      </c>
      <c r="N1505" t="inlineStr">
        <is>
          <t>743028</t>
        </is>
      </c>
      <c r="O1505" t="inlineStr">
        <is>
          <t>R</t>
        </is>
      </c>
      <c r="P1505">
        <f>TRIM(N1505)</f>
        <v/>
      </c>
    </row>
    <row r="1506">
      <c r="A1506" t="inlineStr">
        <is>
          <t>CO-001858</t>
        </is>
      </c>
      <c r="B1506" t="inlineStr">
        <is>
          <t>SODEXO - HUB DE PRODUCCION</t>
        </is>
      </c>
      <c r="C1506" t="inlineStr">
        <is>
          <t>20414766308</t>
        </is>
      </c>
      <c r="D1506" t="inlineStr">
        <is>
          <t>AV LOS FRUTALES 220 ATE</t>
        </is>
      </c>
      <c r="E1506" t="inlineStr">
        <is>
          <t>Lima, 07 de Marzo de 2024</t>
        </is>
      </c>
      <c r="F1506" t="inlineStr">
        <is>
          <t>la Recarga y mantenimiento</t>
        </is>
      </c>
      <c r="G1506" t="inlineStr">
        <is>
          <t>01</t>
        </is>
      </c>
      <c r="H1506" t="inlineStr">
        <is>
          <t>2.5 GLS</t>
        </is>
      </c>
      <c r="I1506" t="inlineStr">
        <is>
          <t>2026</t>
        </is>
      </c>
      <c r="J1506" t="n">
        <v>2021</v>
      </c>
      <c r="K1506" t="inlineStr">
        <is>
          <t>MARZO 2024</t>
        </is>
      </c>
      <c r="L1506" t="inlineStr">
        <is>
          <t>MARZO 2025</t>
        </is>
      </c>
      <c r="M1506" t="inlineStr">
        <is>
          <t>ACETATO DE POTASIO TIPO K</t>
        </is>
      </c>
      <c r="N1506" t="inlineStr">
        <is>
          <t>000074</t>
        </is>
      </c>
      <c r="O1506" t="inlineStr">
        <is>
          <t>R</t>
        </is>
      </c>
      <c r="P1506">
        <f>TRIM(N1506)</f>
        <v/>
      </c>
    </row>
    <row r="1507">
      <c r="A1507" t="inlineStr">
        <is>
          <t>CO-001859</t>
        </is>
      </c>
      <c r="B1507" t="inlineStr">
        <is>
          <t>VIDA LIGHT</t>
        </is>
      </c>
      <c r="C1507" t="inlineStr">
        <is>
          <t>10073783092</t>
        </is>
      </c>
      <c r="D1507" t="inlineStr">
        <is>
          <t>AV. SAN FELIPE 812 URB. SAN FELIPE</t>
        </is>
      </c>
      <c r="E1507" t="inlineStr">
        <is>
          <t>Lima, 07 de Marzo de 2024</t>
        </is>
      </c>
      <c r="F1507" t="inlineStr">
        <is>
          <t>la Recarga y mantenimiento</t>
        </is>
      </c>
      <c r="G1507" t="inlineStr">
        <is>
          <t>01</t>
        </is>
      </c>
      <c r="H1507" t="inlineStr">
        <is>
          <t>04 KG</t>
        </is>
      </c>
      <c r="I1507" t="inlineStr">
        <is>
          <t>2029</t>
        </is>
      </c>
      <c r="J1507" t="n">
        <v>2005</v>
      </c>
      <c r="K1507" t="inlineStr">
        <is>
          <t>MARZO 2024</t>
        </is>
      </c>
      <c r="L1507" t="inlineStr">
        <is>
          <t>MARZO 2025</t>
        </is>
      </c>
      <c r="M1507" t="inlineStr">
        <is>
          <t xml:space="preserve">P.Q.S.  TIPO ABC </t>
        </is>
      </c>
      <c r="N1507" t="inlineStr">
        <is>
          <t>S/N</t>
        </is>
      </c>
      <c r="O1507" t="inlineStr">
        <is>
          <t>R</t>
        </is>
      </c>
      <c r="P1507">
        <f>TRIM(N1507)</f>
        <v/>
      </c>
    </row>
    <row r="1508">
      <c r="A1508" t="inlineStr">
        <is>
          <t>CO-001860</t>
        </is>
      </c>
      <c r="B1508" t="inlineStr">
        <is>
          <t>OSCAR SECUNDINO DIAZ RAMOS</t>
        </is>
      </c>
      <c r="C1508" t="inlineStr">
        <is>
          <t>09987410</t>
        </is>
      </c>
      <c r="D1508" t="inlineStr">
        <is>
          <t>PLACA: ASU - 229</t>
        </is>
      </c>
      <c r="E1508" t="inlineStr">
        <is>
          <t>Lima, 09 de Marzo de 2024</t>
        </is>
      </c>
      <c r="F1508" t="inlineStr">
        <is>
          <t>la Recarga y mantenimiento</t>
        </is>
      </c>
      <c r="G1508" t="inlineStr">
        <is>
          <t>01</t>
        </is>
      </c>
      <c r="H1508" t="inlineStr">
        <is>
          <t>02 KG</t>
        </is>
      </c>
      <c r="I1508" t="inlineStr">
        <is>
          <t>2025</t>
        </is>
      </c>
      <c r="J1508" t="n">
        <v>2020</v>
      </c>
      <c r="K1508" t="inlineStr">
        <is>
          <t>MARZO 2024</t>
        </is>
      </c>
      <c r="L1508" t="inlineStr">
        <is>
          <t>MARZO 2025</t>
        </is>
      </c>
      <c r="M1508" t="inlineStr">
        <is>
          <t xml:space="preserve">P.Q.S.  TIPO ABC </t>
        </is>
      </c>
      <c r="N1508" t="inlineStr">
        <is>
          <t>002974</t>
        </is>
      </c>
      <c r="O1508" t="inlineStr">
        <is>
          <t>R</t>
        </is>
      </c>
      <c r="P1508">
        <f>TRIM(N1508)</f>
        <v/>
      </c>
    </row>
    <row r="1509">
      <c r="A1509" t="inlineStr">
        <is>
          <t>CO-001861</t>
        </is>
      </c>
      <c r="B1509" t="inlineStr">
        <is>
          <t>EMPRESA DE TRANSPORTES ONCE DE NOVIEMBRE</t>
        </is>
      </c>
      <c r="C1509" t="inlineStr">
        <is>
          <t>20107884476</t>
        </is>
      </c>
      <c r="D1509" t="inlineStr">
        <is>
          <t>PUNCHAUCA CARABAYLLO</t>
        </is>
      </c>
      <c r="E1509" t="inlineStr">
        <is>
          <t>Lima, 11 de Marzo de 2024</t>
        </is>
      </c>
      <c r="F1509" t="inlineStr">
        <is>
          <t>la Recarga y mantenimiento</t>
        </is>
      </c>
      <c r="G1509" t="inlineStr">
        <is>
          <t>01</t>
        </is>
      </c>
      <c r="H1509" t="inlineStr">
        <is>
          <t>06 KG</t>
        </is>
      </c>
      <c r="I1509" t="inlineStr">
        <is>
          <t>VIGENTE</t>
        </is>
      </c>
      <c r="J1509" t="n">
        <v>2018</v>
      </c>
      <c r="K1509" t="inlineStr">
        <is>
          <t>MARZO 2024</t>
        </is>
      </c>
      <c r="L1509" t="inlineStr">
        <is>
          <t>MARZO 2025</t>
        </is>
      </c>
      <c r="M1509" t="inlineStr">
        <is>
          <t xml:space="preserve">P.Q.S.  TIPO ABC </t>
        </is>
      </c>
      <c r="N1509" t="inlineStr">
        <is>
          <t>000201</t>
        </is>
      </c>
      <c r="O1509" t="inlineStr">
        <is>
          <t>R</t>
        </is>
      </c>
      <c r="P1509">
        <f>TRIM(N1509)</f>
        <v/>
      </c>
    </row>
    <row r="1510">
      <c r="A1510" t="inlineStr">
        <is>
          <t>CO-001862</t>
        </is>
      </c>
      <c r="B1510" t="inlineStr">
        <is>
          <t>AUTOMOTORES YOSHIVAL S.A.C.</t>
        </is>
      </c>
      <c r="C1510" t="inlineStr">
        <is>
          <t>20408104638</t>
        </is>
      </c>
      <c r="D1510" t="inlineStr">
        <is>
          <t>Motor Plaza, Av. Los Ángeles 560</t>
        </is>
      </c>
      <c r="E1510" t="inlineStr">
        <is>
          <t>Lima, 11 de Marzo de 2024</t>
        </is>
      </c>
      <c r="F1510" t="inlineStr">
        <is>
          <t>la Recarga y mantenimiento</t>
        </is>
      </c>
      <c r="G1510" t="inlineStr">
        <is>
          <t>01</t>
        </is>
      </c>
      <c r="H1510" t="inlineStr">
        <is>
          <t>06 KG</t>
        </is>
      </c>
      <c r="I1510" t="inlineStr">
        <is>
          <t>2029</t>
        </is>
      </c>
      <c r="J1510" t="n">
        <v>2019</v>
      </c>
      <c r="K1510" t="inlineStr">
        <is>
          <t>MARZO 2024</t>
        </is>
      </c>
      <c r="L1510" t="inlineStr">
        <is>
          <t>MARZO 2025</t>
        </is>
      </c>
      <c r="M1510" t="inlineStr">
        <is>
          <t xml:space="preserve">P.Q.S.  TIPO ABC </t>
        </is>
      </c>
      <c r="N1510" t="inlineStr">
        <is>
          <t>21 / 022251</t>
        </is>
      </c>
      <c r="O1510" t="inlineStr">
        <is>
          <t>R</t>
        </is>
      </c>
      <c r="P1510">
        <f>TRIM(N1510)</f>
        <v/>
      </c>
    </row>
    <row r="1511">
      <c r="A1511" t="inlineStr">
        <is>
          <t>CO-001862</t>
        </is>
      </c>
      <c r="B1511" t="inlineStr">
        <is>
          <t>AUTOMOTORES YOSHIVAL S.A.C.</t>
        </is>
      </c>
      <c r="C1511" t="inlineStr">
        <is>
          <t>20408104638</t>
        </is>
      </c>
      <c r="D1511" t="inlineStr">
        <is>
          <t>Motor Plaza, Av. Los Ángeles 560</t>
        </is>
      </c>
      <c r="E1511" t="inlineStr">
        <is>
          <t>Lima, 11 de Marzo de 2024</t>
        </is>
      </c>
      <c r="F1511" t="inlineStr">
        <is>
          <t>la Recarga y mantenimiento</t>
        </is>
      </c>
      <c r="G1511" t="inlineStr">
        <is>
          <t>02</t>
        </is>
      </c>
      <c r="H1511" t="inlineStr">
        <is>
          <t>06 KG</t>
        </is>
      </c>
      <c r="I1511" t="inlineStr">
        <is>
          <t>2029</t>
        </is>
      </c>
      <c r="J1511" t="n">
        <v>2021</v>
      </c>
      <c r="K1511" t="inlineStr">
        <is>
          <t>MARZO 2024</t>
        </is>
      </c>
      <c r="L1511" t="inlineStr">
        <is>
          <t>MARZO 2025</t>
        </is>
      </c>
      <c r="M1511" t="inlineStr">
        <is>
          <t xml:space="preserve">P.Q.S.  TIPO ABC </t>
        </is>
      </c>
      <c r="N1511" t="inlineStr">
        <is>
          <t>22 / 007042</t>
        </is>
      </c>
      <c r="O1511" t="inlineStr">
        <is>
          <t>R</t>
        </is>
      </c>
      <c r="P1511">
        <f>TRIM(N1511)</f>
        <v/>
      </c>
    </row>
    <row r="1512">
      <c r="A1512" t="inlineStr">
        <is>
          <t>CO-001863</t>
        </is>
      </c>
      <c r="B1512" t="inlineStr">
        <is>
          <t>AUTOMOTORES YOSHIVAL S.A.C.</t>
        </is>
      </c>
      <c r="C1512" t="inlineStr">
        <is>
          <t>20408104638</t>
        </is>
      </c>
      <c r="D1512" t="inlineStr">
        <is>
          <t>Motor Plaza, Av. Los Ángeles 560</t>
        </is>
      </c>
      <c r="E1512" t="inlineStr">
        <is>
          <t>Lima, 11 de Marzo de 2024</t>
        </is>
      </c>
      <c r="F1512" t="inlineStr">
        <is>
          <t>la venta</t>
        </is>
      </c>
      <c r="G1512" t="inlineStr">
        <is>
          <t>01</t>
        </is>
      </c>
      <c r="H1512" t="inlineStr">
        <is>
          <t>05 LBS</t>
        </is>
      </c>
      <c r="I1512" t="inlineStr">
        <is>
          <t>2028</t>
        </is>
      </c>
      <c r="J1512" t="n">
        <v>2023</v>
      </c>
      <c r="K1512" t="inlineStr">
        <is>
          <t>MARZO 2024</t>
        </is>
      </c>
      <c r="L1512" t="inlineStr">
        <is>
          <t>MARZO 2025</t>
        </is>
      </c>
      <c r="M1512" t="inlineStr">
        <is>
          <t>CO2 TIPO BC</t>
        </is>
      </c>
      <c r="N1512" t="inlineStr">
        <is>
          <t>000133</t>
        </is>
      </c>
      <c r="O1512" t="inlineStr">
        <is>
          <t>V</t>
        </is>
      </c>
      <c r="P1512">
        <f>TRIM(N1512)</f>
        <v/>
      </c>
    </row>
    <row r="1513">
      <c r="A1513" t="inlineStr">
        <is>
          <t>CO-001864</t>
        </is>
      </c>
      <c r="B1513" t="inlineStr">
        <is>
          <t>EMPRESA DE TRANSPORTES ONCE DE NOVIEMBRE</t>
        </is>
      </c>
      <c r="C1513" t="inlineStr">
        <is>
          <t>20107884476</t>
        </is>
      </c>
      <c r="D1513" t="inlineStr">
        <is>
          <t>PUNCHAUCA CARABAYLLO</t>
        </is>
      </c>
      <c r="E1513" t="inlineStr">
        <is>
          <t>Lima, 11 de Marzo de 2024</t>
        </is>
      </c>
      <c r="F1513" t="inlineStr">
        <is>
          <t>la Recarga y mantenimiento</t>
        </is>
      </c>
      <c r="G1513" t="inlineStr">
        <is>
          <t>01</t>
        </is>
      </c>
      <c r="H1513" t="inlineStr">
        <is>
          <t>06 KG</t>
        </is>
      </c>
      <c r="I1513" t="inlineStr">
        <is>
          <t>VIGENTE</t>
        </is>
      </c>
      <c r="J1513" t="n">
        <v>2019</v>
      </c>
      <c r="K1513" t="inlineStr">
        <is>
          <t>MARZO 2024</t>
        </is>
      </c>
      <c r="L1513" t="inlineStr">
        <is>
          <t>MARZO 2025</t>
        </is>
      </c>
      <c r="M1513" t="inlineStr">
        <is>
          <t xml:space="preserve">P.Q.S.  TIPO ABC </t>
        </is>
      </c>
      <c r="N1513" t="inlineStr">
        <is>
          <t>048736</t>
        </is>
      </c>
      <c r="O1513" t="inlineStr">
        <is>
          <t>R</t>
        </is>
      </c>
      <c r="P1513">
        <f>TRIM(N1513)</f>
        <v/>
      </c>
    </row>
    <row r="1514">
      <c r="A1514" t="inlineStr">
        <is>
          <t>CO-001865</t>
        </is>
      </c>
      <c r="B1514" t="inlineStr">
        <is>
          <t>EMPRESA DE TRANSPORTES ONCE DE NOVIEMBRE</t>
        </is>
      </c>
      <c r="C1514" t="inlineStr">
        <is>
          <t>20107884476</t>
        </is>
      </c>
      <c r="D1514" t="inlineStr">
        <is>
          <t>PUNCHAUCA CARABAYLLO</t>
        </is>
      </c>
      <c r="E1514" t="inlineStr">
        <is>
          <t>Lima, 11 de Marzo de 2024</t>
        </is>
      </c>
      <c r="F1514" t="inlineStr">
        <is>
          <t>la Recarga y mantenimiento</t>
        </is>
      </c>
      <c r="G1514" t="inlineStr">
        <is>
          <t>01</t>
        </is>
      </c>
      <c r="H1514" t="inlineStr">
        <is>
          <t>06 KG</t>
        </is>
      </c>
      <c r="I1514" t="inlineStr">
        <is>
          <t>VIGENTE</t>
        </is>
      </c>
      <c r="J1514" t="n">
        <v>2019</v>
      </c>
      <c r="K1514" t="inlineStr">
        <is>
          <t>MARZO 2024</t>
        </is>
      </c>
      <c r="L1514" t="inlineStr">
        <is>
          <t>MARZO 2025</t>
        </is>
      </c>
      <c r="M1514" t="inlineStr">
        <is>
          <t xml:space="preserve">P.Q.S.  TIPO ABC </t>
        </is>
      </c>
      <c r="N1514" t="inlineStr">
        <is>
          <t>001149</t>
        </is>
      </c>
      <c r="O1514" t="inlineStr">
        <is>
          <t>R</t>
        </is>
      </c>
      <c r="P1514">
        <f>TRIM(N1514)</f>
        <v/>
      </c>
    </row>
    <row r="1515">
      <c r="A1515" t="inlineStr">
        <is>
          <t>CO-001866</t>
        </is>
      </c>
      <c r="B1515" t="inlineStr">
        <is>
          <t>EMPRESA DE TRANSPORTES ONCE DE NOVIEMBRE</t>
        </is>
      </c>
      <c r="C1515" t="inlineStr">
        <is>
          <t>20107884476</t>
        </is>
      </c>
      <c r="D1515" t="inlineStr">
        <is>
          <t>PUNCHAUCA CARABAYLLO</t>
        </is>
      </c>
      <c r="E1515" t="inlineStr">
        <is>
          <t>Lima, 11 de Marzo de 2024</t>
        </is>
      </c>
      <c r="F1515" t="inlineStr">
        <is>
          <t>la Recarga y mantenimiento</t>
        </is>
      </c>
      <c r="G1515" t="inlineStr">
        <is>
          <t>01</t>
        </is>
      </c>
      <c r="H1515" t="inlineStr">
        <is>
          <t>06 KG</t>
        </is>
      </c>
      <c r="I1515" t="inlineStr">
        <is>
          <t>VIGENTE</t>
        </is>
      </c>
      <c r="J1515" t="n">
        <v>2021</v>
      </c>
      <c r="K1515" t="inlineStr">
        <is>
          <t>MARZO 2024</t>
        </is>
      </c>
      <c r="L1515" t="inlineStr">
        <is>
          <t>MARZO 2025</t>
        </is>
      </c>
      <c r="M1515" t="inlineStr">
        <is>
          <t xml:space="preserve">P.Q.S.  TIPO ABC </t>
        </is>
      </c>
      <c r="N1515" t="inlineStr">
        <is>
          <t>002290</t>
        </is>
      </c>
      <c r="O1515" t="inlineStr">
        <is>
          <t>R</t>
        </is>
      </c>
      <c r="P1515">
        <f>TRIM(N1515)</f>
        <v/>
      </c>
    </row>
    <row r="1516">
      <c r="A1516" t="inlineStr">
        <is>
          <t>CO-001867</t>
        </is>
      </c>
      <c r="B1516" t="inlineStr">
        <is>
          <t>VICTOR HUGO CHAVEZ GARIBAY</t>
        </is>
      </c>
      <c r="C1516" t="inlineStr">
        <is>
          <t xml:space="preserve">40225220 </t>
        </is>
      </c>
      <c r="D1516" t="inlineStr">
        <is>
          <t>PLACA: D8T - 648</t>
        </is>
      </c>
      <c r="E1516" t="inlineStr">
        <is>
          <t>Lima, 12 de Marzo de 2024</t>
        </is>
      </c>
      <c r="F1516" t="inlineStr">
        <is>
          <t>la Recarga y mantenimiento</t>
        </is>
      </c>
      <c r="G1516" t="inlineStr">
        <is>
          <t>01</t>
        </is>
      </c>
      <c r="H1516" t="inlineStr">
        <is>
          <t>02 KG</t>
        </is>
      </c>
      <c r="I1516" t="inlineStr">
        <is>
          <t>2026</t>
        </is>
      </c>
      <c r="J1516" t="n">
        <v>2021</v>
      </c>
      <c r="K1516" t="inlineStr">
        <is>
          <t>MARZO 2024</t>
        </is>
      </c>
      <c r="L1516" t="inlineStr">
        <is>
          <t>MARZO 2025</t>
        </is>
      </c>
      <c r="M1516" t="inlineStr">
        <is>
          <t xml:space="preserve">P.Q.S.  TIPO ABC </t>
        </is>
      </c>
      <c r="N1516" t="inlineStr">
        <is>
          <t>003938</t>
        </is>
      </c>
      <c r="O1516" t="inlineStr">
        <is>
          <t>R</t>
        </is>
      </c>
      <c r="P1516">
        <f>TRIM(N1516)</f>
        <v/>
      </c>
    </row>
    <row r="1517">
      <c r="A1517" t="inlineStr">
        <is>
          <t>CO-001868</t>
        </is>
      </c>
      <c r="B1517" t="inlineStr">
        <is>
          <t>I.E. JOSE MARIA ARGUEDAS</t>
        </is>
      </c>
      <c r="C1517" t="inlineStr">
        <is>
          <t>20517814149</t>
        </is>
      </c>
      <c r="D1517" t="inlineStr">
        <is>
          <t>PROLONGACION SANCHEZ CERRO S/N - CARABAYLLO</t>
        </is>
      </c>
      <c r="E1517" t="inlineStr">
        <is>
          <t>Lima, 15 de Marzo de 2024</t>
        </is>
      </c>
      <c r="F1517" t="inlineStr">
        <is>
          <t>la Recarga y mantenimiento</t>
        </is>
      </c>
      <c r="G1517" t="inlineStr">
        <is>
          <t>01</t>
        </is>
      </c>
      <c r="H1517" t="inlineStr">
        <is>
          <t>06 KG</t>
        </is>
      </c>
      <c r="I1517" t="inlineStr">
        <is>
          <t>VIGENTE</t>
        </is>
      </c>
      <c r="J1517" t="n">
        <v>2014</v>
      </c>
      <c r="K1517" t="inlineStr">
        <is>
          <t>MARZO 2024</t>
        </is>
      </c>
      <c r="L1517" t="inlineStr">
        <is>
          <t>MARZO 2025</t>
        </is>
      </c>
      <c r="M1517" t="inlineStr">
        <is>
          <t xml:space="preserve">P.Q.S.  TIPO ABC </t>
        </is>
      </c>
      <c r="N1517" t="inlineStr">
        <is>
          <t>004844</t>
        </is>
      </c>
      <c r="O1517" t="inlineStr">
        <is>
          <t>R</t>
        </is>
      </c>
      <c r="P1517">
        <f>TRIM(N1517)</f>
        <v/>
      </c>
    </row>
    <row r="1518">
      <c r="A1518" t="inlineStr">
        <is>
          <t>CO-001869</t>
        </is>
      </c>
      <c r="B1518" t="inlineStr">
        <is>
          <t>I.E. JOSE MARIA ARGUEDAS</t>
        </is>
      </c>
      <c r="C1518" t="inlineStr">
        <is>
          <t>20517814149</t>
        </is>
      </c>
      <c r="D1518" t="inlineStr">
        <is>
          <t>PROLONGACION SANCHEZ CERRO S/N - CARABAYLLO</t>
        </is>
      </c>
      <c r="E1518" t="inlineStr">
        <is>
          <t>Lima, 15 de Marzo de 2024</t>
        </is>
      </c>
      <c r="F1518" t="inlineStr">
        <is>
          <t>la venta</t>
        </is>
      </c>
      <c r="G1518" t="inlineStr">
        <is>
          <t>01</t>
        </is>
      </c>
      <c r="H1518" t="inlineStr">
        <is>
          <t>06 KG</t>
        </is>
      </c>
      <c r="I1518" t="inlineStr">
        <is>
          <t>2028</t>
        </is>
      </c>
      <c r="J1518" t="n">
        <v>2023</v>
      </c>
      <c r="K1518" t="inlineStr">
        <is>
          <t>MARZO 2024</t>
        </is>
      </c>
      <c r="L1518" t="inlineStr">
        <is>
          <t>MARZO 2025</t>
        </is>
      </c>
      <c r="M1518" t="inlineStr">
        <is>
          <t xml:space="preserve">P.Q.S.  TIPO ABC </t>
        </is>
      </c>
      <c r="N1518" t="inlineStr">
        <is>
          <t>002499</t>
        </is>
      </c>
      <c r="O1518" t="inlineStr">
        <is>
          <t>V</t>
        </is>
      </c>
      <c r="P1518">
        <f>TRIM(N1518)</f>
        <v/>
      </c>
    </row>
    <row r="1519">
      <c r="A1519" t="inlineStr">
        <is>
          <t>CO-001870</t>
        </is>
      </c>
      <c r="B1519" t="inlineStr">
        <is>
          <t>PERU MASIVO S.A.</t>
        </is>
      </c>
      <c r="C1519" t="inlineStr">
        <is>
          <t>20492392031</t>
        </is>
      </c>
      <c r="D1519" t="inlineStr">
        <is>
          <t>AV. LOS INCAS CDRA. 4 PATIO NORTE - COMAS</t>
        </is>
      </c>
      <c r="E1519" t="inlineStr">
        <is>
          <t>Lima, 19 de Marzo de 2024</t>
        </is>
      </c>
      <c r="F1519" t="inlineStr">
        <is>
          <t>la Recarga y mantenimiento</t>
        </is>
      </c>
      <c r="G1519" t="inlineStr">
        <is>
          <t>01</t>
        </is>
      </c>
      <c r="H1519" t="inlineStr">
        <is>
          <t>06 KG</t>
        </is>
      </c>
      <c r="I1519" t="inlineStr">
        <is>
          <t>2029</t>
        </is>
      </c>
      <c r="J1519" t="n">
        <v>2011</v>
      </c>
      <c r="K1519" t="inlineStr">
        <is>
          <t>MARZO 2024</t>
        </is>
      </c>
      <c r="L1519" t="inlineStr">
        <is>
          <t>MARZO 2025</t>
        </is>
      </c>
      <c r="M1519" t="inlineStr">
        <is>
          <t>P.Q.S TIPO ABC AL 90 % NACIONAL</t>
        </is>
      </c>
      <c r="N1519" t="inlineStr">
        <is>
          <t>131 / 000326</t>
        </is>
      </c>
      <c r="O1519" t="inlineStr">
        <is>
          <t>R</t>
        </is>
      </c>
      <c r="P1519">
        <f>TRIM(N1519)</f>
        <v/>
      </c>
    </row>
    <row r="1520">
      <c r="A1520" t="inlineStr">
        <is>
          <t>CO-001870</t>
        </is>
      </c>
      <c r="B1520" t="inlineStr">
        <is>
          <t>PERU MASIVO S.A.</t>
        </is>
      </c>
      <c r="C1520" t="inlineStr">
        <is>
          <t>20492392031</t>
        </is>
      </c>
      <c r="D1520" t="inlineStr">
        <is>
          <t>AV. LOS INCAS CDRA. 4 PATIO NORTE - COMAS</t>
        </is>
      </c>
      <c r="E1520" t="inlineStr">
        <is>
          <t>Lima, 19 de Marzo de 2024</t>
        </is>
      </c>
      <c r="F1520" t="inlineStr">
        <is>
          <t>la Recarga y mantenimiento</t>
        </is>
      </c>
      <c r="G1520" t="inlineStr">
        <is>
          <t>02</t>
        </is>
      </c>
      <c r="H1520" t="inlineStr">
        <is>
          <t>06 KG</t>
        </is>
      </c>
      <c r="I1520" t="inlineStr">
        <is>
          <t>2029</t>
        </is>
      </c>
      <c r="J1520" t="n">
        <v>2010</v>
      </c>
      <c r="K1520" t="inlineStr">
        <is>
          <t>MARZO 2024</t>
        </is>
      </c>
      <c r="L1520" t="inlineStr">
        <is>
          <t>MARZO 2025</t>
        </is>
      </c>
      <c r="M1520" t="inlineStr">
        <is>
          <t>P.Q.S TIPO ABC AL 90 % NACIONAL</t>
        </is>
      </c>
      <c r="N1520" t="inlineStr">
        <is>
          <t>164 / 002173</t>
        </is>
      </c>
      <c r="O1520" t="inlineStr">
        <is>
          <t>R</t>
        </is>
      </c>
      <c r="P1520">
        <f>TRIM(N1520)</f>
        <v/>
      </c>
    </row>
    <row r="1521">
      <c r="A1521" t="inlineStr">
        <is>
          <t>CO-001870</t>
        </is>
      </c>
      <c r="B1521" t="inlineStr">
        <is>
          <t>PERU MASIVO S.A.</t>
        </is>
      </c>
      <c r="C1521" t="inlineStr">
        <is>
          <t>20492392031</t>
        </is>
      </c>
      <c r="D1521" t="inlineStr">
        <is>
          <t>AV. LOS INCAS CDRA. 4 PATIO NORTE - COMAS</t>
        </is>
      </c>
      <c r="E1521" t="inlineStr">
        <is>
          <t>Lima, 19 de Marzo de 2024</t>
        </is>
      </c>
      <c r="F1521" t="inlineStr">
        <is>
          <t>la Recarga y mantenimiento</t>
        </is>
      </c>
      <c r="G1521" t="inlineStr">
        <is>
          <t>03</t>
        </is>
      </c>
      <c r="H1521" t="inlineStr">
        <is>
          <t>06 KG</t>
        </is>
      </c>
      <c r="I1521" t="inlineStr">
        <is>
          <t>2029</t>
        </is>
      </c>
      <c r="J1521" t="n">
        <v>2010</v>
      </c>
      <c r="K1521" t="inlineStr">
        <is>
          <t>MARZO 2024</t>
        </is>
      </c>
      <c r="L1521" t="inlineStr">
        <is>
          <t>MARZO 2025</t>
        </is>
      </c>
      <c r="M1521" t="inlineStr">
        <is>
          <t>P.Q.S TIPO ABC AL 90 % NACIONAL</t>
        </is>
      </c>
      <c r="N1521" t="inlineStr">
        <is>
          <t>153 / 000005</t>
        </is>
      </c>
      <c r="O1521" t="inlineStr">
        <is>
          <t>R</t>
        </is>
      </c>
      <c r="P1521">
        <f>TRIM(N1521)</f>
        <v/>
      </c>
    </row>
    <row r="1522">
      <c r="A1522" t="inlineStr">
        <is>
          <t>CO-001870</t>
        </is>
      </c>
      <c r="B1522" t="inlineStr">
        <is>
          <t>PERU MASIVO S.A.</t>
        </is>
      </c>
      <c r="C1522" t="inlineStr">
        <is>
          <t>20492392031</t>
        </is>
      </c>
      <c r="D1522" t="inlineStr">
        <is>
          <t>AV. LOS INCAS CDRA. 4 PATIO NORTE - COMAS</t>
        </is>
      </c>
      <c r="E1522" t="inlineStr">
        <is>
          <t>Lima, 19 de Marzo de 2024</t>
        </is>
      </c>
      <c r="F1522" t="inlineStr">
        <is>
          <t>la Recarga y mantenimiento</t>
        </is>
      </c>
      <c r="G1522" t="inlineStr">
        <is>
          <t>04</t>
        </is>
      </c>
      <c r="H1522" t="inlineStr">
        <is>
          <t>06 KG</t>
        </is>
      </c>
      <c r="I1522" t="inlineStr">
        <is>
          <t>2029</t>
        </is>
      </c>
      <c r="J1522" t="n">
        <v>2009</v>
      </c>
      <c r="K1522" t="inlineStr">
        <is>
          <t>MARZO 2024</t>
        </is>
      </c>
      <c r="L1522" t="inlineStr">
        <is>
          <t>MARZO 2025</t>
        </is>
      </c>
      <c r="M1522" t="inlineStr">
        <is>
          <t>P.Q.S TIPO ABC AL 90 % NACIONAL</t>
        </is>
      </c>
      <c r="N1522" t="inlineStr">
        <is>
          <t>191 / 001416</t>
        </is>
      </c>
      <c r="O1522" t="inlineStr">
        <is>
          <t>R</t>
        </is>
      </c>
      <c r="P1522">
        <f>TRIM(N1522)</f>
        <v/>
      </c>
    </row>
    <row r="1523">
      <c r="A1523" t="inlineStr">
        <is>
          <t>CO-001870</t>
        </is>
      </c>
      <c r="B1523" t="inlineStr">
        <is>
          <t>PERU MASIVO S.A.</t>
        </is>
      </c>
      <c r="C1523" t="inlineStr">
        <is>
          <t>20492392031</t>
        </is>
      </c>
      <c r="D1523" t="inlineStr">
        <is>
          <t>AV. LOS INCAS CDRA. 4 PATIO NORTE - COMAS</t>
        </is>
      </c>
      <c r="E1523" t="inlineStr">
        <is>
          <t>Lima, 19 de Marzo de 2024</t>
        </is>
      </c>
      <c r="F1523" t="inlineStr">
        <is>
          <t>la Recarga y mantenimiento</t>
        </is>
      </c>
      <c r="G1523" t="inlineStr">
        <is>
          <t>05</t>
        </is>
      </c>
      <c r="H1523" t="inlineStr">
        <is>
          <t>06 KG</t>
        </is>
      </c>
      <c r="I1523" t="inlineStr">
        <is>
          <t>2029</t>
        </is>
      </c>
      <c r="J1523" t="inlineStr">
        <is>
          <t>S/N</t>
        </is>
      </c>
      <c r="K1523" t="inlineStr">
        <is>
          <t>MARZO 2024</t>
        </is>
      </c>
      <c r="L1523" t="inlineStr">
        <is>
          <t>MARZO 2025</t>
        </is>
      </c>
      <c r="M1523" t="inlineStr">
        <is>
          <t>P.Q.S TIPO ABC AL 90 % NACIONAL</t>
        </is>
      </c>
      <c r="N1523" t="inlineStr">
        <is>
          <t>314 / 2909</t>
        </is>
      </c>
      <c r="O1523" t="inlineStr">
        <is>
          <t>R</t>
        </is>
      </c>
      <c r="P1523">
        <f>TRIM(N1523)</f>
        <v/>
      </c>
    </row>
    <row r="1524">
      <c r="A1524" t="inlineStr">
        <is>
          <t>CO-001870</t>
        </is>
      </c>
      <c r="B1524" t="inlineStr">
        <is>
          <t>PERU MASIVO S.A.</t>
        </is>
      </c>
      <c r="C1524" t="inlineStr">
        <is>
          <t>20492392031</t>
        </is>
      </c>
      <c r="D1524" t="inlineStr">
        <is>
          <t>AV. LOS INCAS CDRA. 4 PATIO NORTE - COMAS</t>
        </is>
      </c>
      <c r="E1524" t="inlineStr">
        <is>
          <t>Lima, 19 de Marzo de 2024</t>
        </is>
      </c>
      <c r="F1524" t="inlineStr">
        <is>
          <t>la Recarga y mantenimiento</t>
        </is>
      </c>
      <c r="G1524" t="inlineStr">
        <is>
          <t>06</t>
        </is>
      </c>
      <c r="H1524" t="inlineStr">
        <is>
          <t>06 KG</t>
        </is>
      </c>
      <c r="I1524" t="inlineStr">
        <is>
          <t>2029</t>
        </is>
      </c>
      <c r="J1524" t="n">
        <v>2016</v>
      </c>
      <c r="K1524" t="inlineStr">
        <is>
          <t>MARZO 2024</t>
        </is>
      </c>
      <c r="L1524" t="inlineStr">
        <is>
          <t>MARZO 2025</t>
        </is>
      </c>
      <c r="M1524" t="inlineStr">
        <is>
          <t>P.Q.S TIPO ABC AL 90 % NACIONAL</t>
        </is>
      </c>
      <c r="N1524" t="inlineStr">
        <is>
          <t>S/N / 021354</t>
        </is>
      </c>
      <c r="O1524" t="inlineStr">
        <is>
          <t>R</t>
        </is>
      </c>
      <c r="P1524">
        <f>TRIM(N1524)</f>
        <v/>
      </c>
    </row>
    <row r="1525">
      <c r="A1525" t="inlineStr">
        <is>
          <t>CO-001870</t>
        </is>
      </c>
      <c r="B1525" t="inlineStr">
        <is>
          <t>PERU MASIVO S.A.</t>
        </is>
      </c>
      <c r="C1525" t="inlineStr">
        <is>
          <t>20492392031</t>
        </is>
      </c>
      <c r="D1525" t="inlineStr">
        <is>
          <t>AV. LOS INCAS CDRA. 4 PATIO NORTE - COMAS</t>
        </is>
      </c>
      <c r="E1525" t="inlineStr">
        <is>
          <t>Lima, 19 de Marzo de 2024</t>
        </is>
      </c>
      <c r="F1525" t="inlineStr">
        <is>
          <t>la Recarga y mantenimiento</t>
        </is>
      </c>
      <c r="G1525" t="inlineStr">
        <is>
          <t>07</t>
        </is>
      </c>
      <c r="H1525" t="inlineStr">
        <is>
          <t>06 KG</t>
        </is>
      </c>
      <c r="I1525" t="inlineStr">
        <is>
          <t>2029</t>
        </is>
      </c>
      <c r="J1525" t="n">
        <v>2010</v>
      </c>
      <c r="K1525" t="inlineStr">
        <is>
          <t>MARZO 2024</t>
        </is>
      </c>
      <c r="L1525" t="inlineStr">
        <is>
          <t>MARZO 2025</t>
        </is>
      </c>
      <c r="M1525" t="inlineStr">
        <is>
          <t>P.Q.S TIPO ABC AL 90 % NACIONAL</t>
        </is>
      </c>
      <c r="N1525" t="inlineStr">
        <is>
          <t>104 / 000188</t>
        </is>
      </c>
      <c r="O1525" t="inlineStr">
        <is>
          <t>R</t>
        </is>
      </c>
      <c r="P1525">
        <f>TRIM(N1525)</f>
        <v/>
      </c>
    </row>
    <row r="1526">
      <c r="A1526" t="inlineStr">
        <is>
          <t>CO-001871</t>
        </is>
      </c>
      <c r="B1526" t="inlineStr">
        <is>
          <t>CAYO PARDO ESPAÑA</t>
        </is>
      </c>
      <c r="C1526" t="inlineStr">
        <is>
          <t>42801864</t>
        </is>
      </c>
      <c r="D1526" t="inlineStr">
        <is>
          <t>PLACA: V3R - 809</t>
        </is>
      </c>
      <c r="E1526" t="inlineStr">
        <is>
          <t>Lima, 20 de Marzo de 2024</t>
        </is>
      </c>
      <c r="F1526" t="inlineStr">
        <is>
          <t>la Recarga y mantenimiento</t>
        </is>
      </c>
      <c r="G1526" t="inlineStr">
        <is>
          <t>01</t>
        </is>
      </c>
      <c r="H1526" t="inlineStr">
        <is>
          <t>09 KG</t>
        </is>
      </c>
      <c r="I1526" t="inlineStr">
        <is>
          <t>2026</t>
        </is>
      </c>
      <c r="J1526" t="n">
        <v>2021</v>
      </c>
      <c r="K1526" t="inlineStr">
        <is>
          <t>MARZO 2024</t>
        </is>
      </c>
      <c r="L1526" t="inlineStr">
        <is>
          <t>MARZO 2025</t>
        </is>
      </c>
      <c r="M1526" t="inlineStr">
        <is>
          <t xml:space="preserve">P.Q.S.  TIPO ABC </t>
        </is>
      </c>
      <c r="N1526" t="inlineStr">
        <is>
          <t>401798</t>
        </is>
      </c>
      <c r="O1526" t="inlineStr">
        <is>
          <t>R</t>
        </is>
      </c>
      <c r="P1526">
        <f>TRIM(N1526)</f>
        <v/>
      </c>
    </row>
    <row r="1527">
      <c r="A1527" t="inlineStr">
        <is>
          <t>CO-001872</t>
        </is>
      </c>
      <c r="B1527" t="inlineStr">
        <is>
          <t>JOSMELL MAX PERALTA PEÑA</t>
        </is>
      </c>
      <c r="C1527" t="inlineStr">
        <is>
          <t>42674691</t>
        </is>
      </c>
      <c r="D1527" t="inlineStr">
        <is>
          <t>AV. SAN CARLOS 330</t>
        </is>
      </c>
      <c r="E1527" t="inlineStr">
        <is>
          <t>Lima, 21 de Marzo de 2024</t>
        </is>
      </c>
      <c r="F1527" t="inlineStr">
        <is>
          <t>la Recarga y mantenimiento</t>
        </is>
      </c>
      <c r="G1527" t="inlineStr">
        <is>
          <t>01</t>
        </is>
      </c>
      <c r="H1527" t="inlineStr">
        <is>
          <t>06 KG</t>
        </is>
      </c>
      <c r="I1527" t="inlineStr">
        <is>
          <t>VIGENTE</t>
        </is>
      </c>
      <c r="J1527" t="n">
        <v>2007</v>
      </c>
      <c r="K1527" t="inlineStr">
        <is>
          <t>MARZO 2024</t>
        </is>
      </c>
      <c r="L1527" t="inlineStr">
        <is>
          <t>MARZO 2025</t>
        </is>
      </c>
      <c r="M1527" t="inlineStr">
        <is>
          <t xml:space="preserve">P.Q.S.  TIPO ABC </t>
        </is>
      </c>
      <c r="N1527" t="inlineStr">
        <is>
          <t>000344</t>
        </is>
      </c>
      <c r="O1527" t="inlineStr">
        <is>
          <t>R</t>
        </is>
      </c>
      <c r="P1527">
        <f>TRIM(N1527)</f>
        <v/>
      </c>
    </row>
    <row r="1528">
      <c r="A1528" t="inlineStr">
        <is>
          <t>CO-001872</t>
        </is>
      </c>
      <c r="B1528" t="inlineStr">
        <is>
          <t>JOSMELL MAX PERALTA PEÑA</t>
        </is>
      </c>
      <c r="C1528" t="inlineStr">
        <is>
          <t>42674691</t>
        </is>
      </c>
      <c r="D1528" t="inlineStr">
        <is>
          <t>AV. SAN CARLOS 330</t>
        </is>
      </c>
      <c r="E1528" t="inlineStr">
        <is>
          <t>Lima, 21 de Marzo de 2024</t>
        </is>
      </c>
      <c r="F1528" t="inlineStr">
        <is>
          <t>la Recarga y mantenimiento</t>
        </is>
      </c>
      <c r="G1528" t="inlineStr">
        <is>
          <t>02</t>
        </is>
      </c>
      <c r="H1528" t="inlineStr">
        <is>
          <t>04 KG</t>
        </is>
      </c>
      <c r="I1528" t="inlineStr">
        <is>
          <t>VIGENTE</t>
        </is>
      </c>
      <c r="J1528" t="inlineStr">
        <is>
          <t>S/N</t>
        </is>
      </c>
      <c r="K1528" t="inlineStr">
        <is>
          <t>MARZO 2024</t>
        </is>
      </c>
      <c r="L1528" t="inlineStr">
        <is>
          <t>MARZO 2025</t>
        </is>
      </c>
      <c r="M1528" t="inlineStr">
        <is>
          <t xml:space="preserve">P.Q.S.  TIPO ABC </t>
        </is>
      </c>
      <c r="N1528" t="inlineStr">
        <is>
          <t>S/N</t>
        </is>
      </c>
      <c r="O1528" t="inlineStr">
        <is>
          <t>R</t>
        </is>
      </c>
      <c r="P1528">
        <f>TRIM(N1528)</f>
        <v/>
      </c>
    </row>
    <row r="1529">
      <c r="A1529" t="inlineStr">
        <is>
          <t>CO-001872</t>
        </is>
      </c>
      <c r="B1529" t="inlineStr">
        <is>
          <t>JOSMELL MAX PERALTA PEÑA</t>
        </is>
      </c>
      <c r="C1529" t="inlineStr">
        <is>
          <t>42674691</t>
        </is>
      </c>
      <c r="D1529" t="inlineStr">
        <is>
          <t>AV. SAN CARLOS 330</t>
        </is>
      </c>
      <c r="E1529" t="inlineStr">
        <is>
          <t>Lima, 21 de Marzo de 2024</t>
        </is>
      </c>
      <c r="F1529" t="inlineStr">
        <is>
          <t>la Recarga y mantenimiento</t>
        </is>
      </c>
      <c r="G1529" t="inlineStr">
        <is>
          <t>03</t>
        </is>
      </c>
      <c r="H1529" t="inlineStr">
        <is>
          <t>02 KG</t>
        </is>
      </c>
      <c r="I1529" t="inlineStr">
        <is>
          <t>VIGENTE</t>
        </is>
      </c>
      <c r="J1529" t="n">
        <v>2013</v>
      </c>
      <c r="K1529" t="inlineStr">
        <is>
          <t>MARZO 2024</t>
        </is>
      </c>
      <c r="L1529" t="inlineStr">
        <is>
          <t>MARZO 2025</t>
        </is>
      </c>
      <c r="M1529" t="inlineStr">
        <is>
          <t xml:space="preserve">P.Q.S.  TIPO ABC </t>
        </is>
      </c>
      <c r="N1529" t="inlineStr">
        <is>
          <t>002949</t>
        </is>
      </c>
      <c r="O1529" t="inlineStr">
        <is>
          <t>R</t>
        </is>
      </c>
      <c r="P1529">
        <f>TRIM(N1529)</f>
        <v/>
      </c>
    </row>
    <row r="1530">
      <c r="A1530" t="inlineStr">
        <is>
          <t>CO-001872</t>
        </is>
      </c>
      <c r="B1530" t="inlineStr">
        <is>
          <t>JOSMELL MAX PERALTA PEÑA</t>
        </is>
      </c>
      <c r="C1530" t="inlineStr">
        <is>
          <t>42674691</t>
        </is>
      </c>
      <c r="D1530" t="inlineStr">
        <is>
          <t>AV. SAN CARLOS 330</t>
        </is>
      </c>
      <c r="E1530" t="inlineStr">
        <is>
          <t>Lima, 21 de Marzo de 2024</t>
        </is>
      </c>
      <c r="F1530" t="inlineStr">
        <is>
          <t>la Recarga y mantenimiento</t>
        </is>
      </c>
      <c r="G1530" t="inlineStr">
        <is>
          <t>04</t>
        </is>
      </c>
      <c r="H1530" t="inlineStr">
        <is>
          <t>09 KG</t>
        </is>
      </c>
      <c r="I1530" t="inlineStr">
        <is>
          <t>VIGENTE</t>
        </is>
      </c>
      <c r="J1530" t="n">
        <v>2015</v>
      </c>
      <c r="K1530" t="inlineStr">
        <is>
          <t>MARZO 2024</t>
        </is>
      </c>
      <c r="L1530" t="inlineStr">
        <is>
          <t>MARZO 2025</t>
        </is>
      </c>
      <c r="M1530" t="inlineStr">
        <is>
          <t xml:space="preserve">P.Q.S.  TIPO ABC </t>
        </is>
      </c>
      <c r="N1530" t="inlineStr">
        <is>
          <t>00R987</t>
        </is>
      </c>
      <c r="O1530" t="inlineStr">
        <is>
          <t>R</t>
        </is>
      </c>
      <c r="P1530">
        <f>TRIM(N1530)</f>
        <v/>
      </c>
    </row>
    <row r="1531">
      <c r="A1531" t="inlineStr">
        <is>
          <t>CO-001873</t>
        </is>
      </c>
      <c r="B1531" t="inlineStr">
        <is>
          <t>JOSMELL MAX PERALTA PEÑA</t>
        </is>
      </c>
      <c r="C1531" t="inlineStr">
        <is>
          <t>42674691</t>
        </is>
      </c>
      <c r="D1531" t="inlineStr">
        <is>
          <t>AV. SAN CARLOS 330</t>
        </is>
      </c>
      <c r="E1531" t="inlineStr">
        <is>
          <t>Lima, 21 de Marzo de 2024</t>
        </is>
      </c>
      <c r="F1531" t="inlineStr">
        <is>
          <t>la Recarga y mantenimiento</t>
        </is>
      </c>
      <c r="G1531" t="inlineStr">
        <is>
          <t>01</t>
        </is>
      </c>
      <c r="H1531" t="inlineStr">
        <is>
          <t>04 KG</t>
        </is>
      </c>
      <c r="I1531" t="inlineStr">
        <is>
          <t>VIGENTE</t>
        </is>
      </c>
      <c r="J1531" t="n">
        <v>2020</v>
      </c>
      <c r="K1531" t="inlineStr">
        <is>
          <t>MARZO 2024</t>
        </is>
      </c>
      <c r="L1531" t="inlineStr">
        <is>
          <t>MARZO 2025</t>
        </is>
      </c>
      <c r="M1531" t="inlineStr">
        <is>
          <t xml:space="preserve">P.Q.S.  TIPO ABC </t>
        </is>
      </c>
      <c r="N1531" t="inlineStr">
        <is>
          <t>006803</t>
        </is>
      </c>
      <c r="O1531" t="inlineStr">
        <is>
          <t>R</t>
        </is>
      </c>
      <c r="P1531">
        <f>TRIM(N1531)</f>
        <v/>
      </c>
    </row>
    <row r="1532">
      <c r="A1532" t="inlineStr">
        <is>
          <t>CO-001874</t>
        </is>
      </c>
      <c r="B1532" t="inlineStr">
        <is>
          <t>PERU MASIVO S.A.</t>
        </is>
      </c>
      <c r="C1532" t="inlineStr">
        <is>
          <t>20492392031</t>
        </is>
      </c>
      <c r="D1532" t="inlineStr">
        <is>
          <t>AV. LOS INCAS CDRA. 4 PATIO NORTE - COMAS</t>
        </is>
      </c>
      <c r="E1532" t="inlineStr">
        <is>
          <t>Lima, 22 de Marzo de 2024</t>
        </is>
      </c>
      <c r="F1532" t="inlineStr">
        <is>
          <t>la Recarga y mantenimiento</t>
        </is>
      </c>
      <c r="G1532" t="inlineStr">
        <is>
          <t>01</t>
        </is>
      </c>
      <c r="H1532" t="inlineStr">
        <is>
          <t>06 KG</t>
        </is>
      </c>
      <c r="I1532" t="inlineStr">
        <is>
          <t>2026</t>
        </is>
      </c>
      <c r="J1532" t="n">
        <v>2021</v>
      </c>
      <c r="K1532" t="inlineStr">
        <is>
          <t>MARZO 2024</t>
        </is>
      </c>
      <c r="L1532" t="inlineStr">
        <is>
          <t>MARZO 2025</t>
        </is>
      </c>
      <c r="M1532" t="inlineStr">
        <is>
          <t>P.Q.S TIPO ABC AL 90 % NACIONAL</t>
        </is>
      </c>
      <c r="N1532" t="inlineStr">
        <is>
          <t xml:space="preserve">S/N / 008539 </t>
        </is>
      </c>
      <c r="O1532" t="inlineStr">
        <is>
          <t>R</t>
        </is>
      </c>
      <c r="P1532">
        <f>TRIM(N1532)</f>
        <v/>
      </c>
    </row>
    <row r="1533">
      <c r="A1533" t="inlineStr">
        <is>
          <t>CO-001874</t>
        </is>
      </c>
      <c r="B1533" t="inlineStr">
        <is>
          <t>PERU MASIVO S.A.</t>
        </is>
      </c>
      <c r="C1533" t="inlineStr">
        <is>
          <t>20492392031</t>
        </is>
      </c>
      <c r="D1533" t="inlineStr">
        <is>
          <t>AV. LOS INCAS CDRA. 4 PATIO NORTE - COMAS</t>
        </is>
      </c>
      <c r="E1533" t="inlineStr">
        <is>
          <t>Lima, 22 de Marzo de 2024</t>
        </is>
      </c>
      <c r="F1533" t="inlineStr">
        <is>
          <t>la Recarga y mantenimiento</t>
        </is>
      </c>
      <c r="G1533" t="inlineStr">
        <is>
          <t>02</t>
        </is>
      </c>
      <c r="H1533" t="inlineStr">
        <is>
          <t>06 KG</t>
        </is>
      </c>
      <c r="I1533" t="inlineStr">
        <is>
          <t>2029</t>
        </is>
      </c>
      <c r="J1533" t="n">
        <v>2017</v>
      </c>
      <c r="K1533" t="inlineStr">
        <is>
          <t>MARZO 2024</t>
        </is>
      </c>
      <c r="L1533" t="inlineStr">
        <is>
          <t>MARZO 2025</t>
        </is>
      </c>
      <c r="M1533" t="inlineStr">
        <is>
          <t>P.Q.S TIPO ABC AL 90 % NACIONAL</t>
        </is>
      </c>
      <c r="N1533" t="inlineStr">
        <is>
          <t>S/N / 003890</t>
        </is>
      </c>
      <c r="O1533" t="inlineStr">
        <is>
          <t>R</t>
        </is>
      </c>
      <c r="P1533">
        <f>TRIM(N1533)</f>
        <v/>
      </c>
    </row>
    <row r="1534">
      <c r="A1534" t="inlineStr">
        <is>
          <t>CO-001874</t>
        </is>
      </c>
      <c r="B1534" t="inlineStr">
        <is>
          <t>PERU MASIVO S.A.</t>
        </is>
      </c>
      <c r="C1534" t="inlineStr">
        <is>
          <t>20492392031</t>
        </is>
      </c>
      <c r="D1534" t="inlineStr">
        <is>
          <t>AV. LOS INCAS CDRA. 4 PATIO NORTE - COMAS</t>
        </is>
      </c>
      <c r="E1534" t="inlineStr">
        <is>
          <t>Lima, 22 de Marzo de 2024</t>
        </is>
      </c>
      <c r="F1534" t="inlineStr">
        <is>
          <t>la Recarga y mantenimiento</t>
        </is>
      </c>
      <c r="G1534" t="inlineStr">
        <is>
          <t>03</t>
        </is>
      </c>
      <c r="H1534" t="inlineStr">
        <is>
          <t>06 KG</t>
        </is>
      </c>
      <c r="I1534" t="inlineStr">
        <is>
          <t>2028</t>
        </is>
      </c>
      <c r="J1534" t="n">
        <v>2010</v>
      </c>
      <c r="K1534" t="inlineStr">
        <is>
          <t>MARZO 2024</t>
        </is>
      </c>
      <c r="L1534" t="inlineStr">
        <is>
          <t>MARZO 2025</t>
        </is>
      </c>
      <c r="M1534" t="inlineStr">
        <is>
          <t>P.Q.S TIPO ABC AL 90 % NACIONAL</t>
        </is>
      </c>
      <c r="N1534" t="inlineStr">
        <is>
          <t>163 / 000854</t>
        </is>
      </c>
      <c r="O1534" t="inlineStr">
        <is>
          <t>R</t>
        </is>
      </c>
      <c r="P1534">
        <f>TRIM(N1534)</f>
        <v/>
      </c>
    </row>
    <row r="1535">
      <c r="A1535" t="inlineStr">
        <is>
          <t>CO-001874</t>
        </is>
      </c>
      <c r="B1535" t="inlineStr">
        <is>
          <t>PERU MASIVO S.A.</t>
        </is>
      </c>
      <c r="C1535" t="inlineStr">
        <is>
          <t>20492392031</t>
        </is>
      </c>
      <c r="D1535" t="inlineStr">
        <is>
          <t>AV. LOS INCAS CDRA. 4 PATIO NORTE - COMAS</t>
        </is>
      </c>
      <c r="E1535" t="inlineStr">
        <is>
          <t>Lima, 22 de Marzo de 2024</t>
        </is>
      </c>
      <c r="F1535" t="inlineStr">
        <is>
          <t>la Recarga y mantenimiento</t>
        </is>
      </c>
      <c r="G1535" t="inlineStr">
        <is>
          <t>04</t>
        </is>
      </c>
      <c r="H1535" t="inlineStr">
        <is>
          <t>06 KG</t>
        </is>
      </c>
      <c r="I1535" t="inlineStr">
        <is>
          <t>2029</t>
        </is>
      </c>
      <c r="J1535" t="n">
        <v>2010</v>
      </c>
      <c r="K1535" t="inlineStr">
        <is>
          <t>MARZO 2024</t>
        </is>
      </c>
      <c r="L1535" t="inlineStr">
        <is>
          <t>MARZO 2025</t>
        </is>
      </c>
      <c r="M1535" t="inlineStr">
        <is>
          <t>P.Q.S TIPO ABC AL 90 % NACIONAL</t>
        </is>
      </c>
      <c r="N1535" t="inlineStr">
        <is>
          <t>250 / 000089</t>
        </is>
      </c>
      <c r="O1535" t="inlineStr">
        <is>
          <t>R</t>
        </is>
      </c>
      <c r="P1535">
        <f>TRIM(N1535)</f>
        <v/>
      </c>
    </row>
    <row r="1536">
      <c r="A1536" t="inlineStr">
        <is>
          <t>CO-001874</t>
        </is>
      </c>
      <c r="B1536" t="inlineStr">
        <is>
          <t>PERU MASIVO S.A.</t>
        </is>
      </c>
      <c r="C1536" t="inlineStr">
        <is>
          <t>20492392031</t>
        </is>
      </c>
      <c r="D1536" t="inlineStr">
        <is>
          <t>AV. LOS INCAS CDRA. 4 PATIO NORTE - COMAS</t>
        </is>
      </c>
      <c r="E1536" t="inlineStr">
        <is>
          <t>Lima, 22 de Marzo de 2024</t>
        </is>
      </c>
      <c r="F1536" t="inlineStr">
        <is>
          <t>la Recarga y mantenimiento</t>
        </is>
      </c>
      <c r="G1536" t="inlineStr">
        <is>
          <t>05</t>
        </is>
      </c>
      <c r="H1536" t="inlineStr">
        <is>
          <t>06 KG</t>
        </is>
      </c>
      <c r="I1536" t="inlineStr">
        <is>
          <t>2028</t>
        </is>
      </c>
      <c r="J1536" t="n">
        <v>2010</v>
      </c>
      <c r="K1536" t="inlineStr">
        <is>
          <t>MARZO 2024</t>
        </is>
      </c>
      <c r="L1536" t="inlineStr">
        <is>
          <t>MARZO 2025</t>
        </is>
      </c>
      <c r="M1536" t="inlineStr">
        <is>
          <t>P.Q.S TIPO ABC AL 90 % NACIONAL</t>
        </is>
      </c>
      <c r="N1536" t="inlineStr">
        <is>
          <t>S/N / 000005</t>
        </is>
      </c>
      <c r="O1536" t="inlineStr">
        <is>
          <t>R</t>
        </is>
      </c>
      <c r="P1536">
        <f>TRIM(N1536)</f>
        <v/>
      </c>
    </row>
    <row r="1537">
      <c r="A1537" t="inlineStr">
        <is>
          <t>CO-001874</t>
        </is>
      </c>
      <c r="B1537" t="inlineStr">
        <is>
          <t>PERU MASIVO S.A.</t>
        </is>
      </c>
      <c r="C1537" t="inlineStr">
        <is>
          <t>20492392031</t>
        </is>
      </c>
      <c r="D1537" t="inlineStr">
        <is>
          <t>AV. LOS INCAS CDRA. 4 PATIO NORTE - COMAS</t>
        </is>
      </c>
      <c r="E1537" t="inlineStr">
        <is>
          <t>Lima, 22 de Marzo de 2024</t>
        </is>
      </c>
      <c r="F1537" t="inlineStr">
        <is>
          <t>la Recarga y mantenimiento</t>
        </is>
      </c>
      <c r="G1537" t="inlineStr">
        <is>
          <t>06</t>
        </is>
      </c>
      <c r="H1537" t="inlineStr">
        <is>
          <t>06 KG</t>
        </is>
      </c>
      <c r="I1537" t="inlineStr">
        <is>
          <t>2028</t>
        </is>
      </c>
      <c r="J1537" t="n">
        <v>2009</v>
      </c>
      <c r="K1537" t="inlineStr">
        <is>
          <t>MARZO 2024</t>
        </is>
      </c>
      <c r="L1537" t="inlineStr">
        <is>
          <t>MARZO 2025</t>
        </is>
      </c>
      <c r="M1537" t="inlineStr">
        <is>
          <t>P.Q.S TIPO ABC AL 90 % NACIONAL</t>
        </is>
      </c>
      <c r="N1537" t="inlineStr">
        <is>
          <t>251 / 001843</t>
        </is>
      </c>
      <c r="O1537" t="inlineStr">
        <is>
          <t>R</t>
        </is>
      </c>
      <c r="P1537">
        <f>TRIM(N1537)</f>
        <v/>
      </c>
    </row>
    <row r="1538">
      <c r="A1538" t="inlineStr">
        <is>
          <t>CO-001874</t>
        </is>
      </c>
      <c r="B1538" t="inlineStr">
        <is>
          <t>PERU MASIVO S.A.</t>
        </is>
      </c>
      <c r="C1538" t="inlineStr">
        <is>
          <t>20492392031</t>
        </is>
      </c>
      <c r="D1538" t="inlineStr">
        <is>
          <t>AV. LOS INCAS CDRA. 4 PATIO NORTE - COMAS</t>
        </is>
      </c>
      <c r="E1538" t="inlineStr">
        <is>
          <t>Lima, 22 de Marzo de 2024</t>
        </is>
      </c>
      <c r="F1538" t="inlineStr">
        <is>
          <t>la Recarga y mantenimiento</t>
        </is>
      </c>
      <c r="G1538" t="inlineStr">
        <is>
          <t>07</t>
        </is>
      </c>
      <c r="H1538" t="inlineStr">
        <is>
          <t>06 KG</t>
        </is>
      </c>
      <c r="I1538" t="inlineStr">
        <is>
          <t>2029</t>
        </is>
      </c>
      <c r="J1538" t="n">
        <v>2010</v>
      </c>
      <c r="K1538" t="inlineStr">
        <is>
          <t>MARZO 2024</t>
        </is>
      </c>
      <c r="L1538" t="inlineStr">
        <is>
          <t>MARZO 2025</t>
        </is>
      </c>
      <c r="M1538" t="inlineStr">
        <is>
          <t>P.Q.S TIPO ABC AL 90 % NACIONAL</t>
        </is>
      </c>
      <c r="N1538" t="inlineStr">
        <is>
          <t>252 / 002751</t>
        </is>
      </c>
      <c r="O1538" t="inlineStr">
        <is>
          <t>R</t>
        </is>
      </c>
      <c r="P1538">
        <f>TRIM(N1538)</f>
        <v/>
      </c>
    </row>
    <row r="1539">
      <c r="A1539" t="inlineStr">
        <is>
          <t>CO-001874</t>
        </is>
      </c>
      <c r="B1539" t="inlineStr">
        <is>
          <t>PERU MASIVO S.A.</t>
        </is>
      </c>
      <c r="C1539" t="inlineStr">
        <is>
          <t>20492392031</t>
        </is>
      </c>
      <c r="D1539" t="inlineStr">
        <is>
          <t>AV. LOS INCAS CDRA. 4 PATIO NORTE - COMAS</t>
        </is>
      </c>
      <c r="E1539" t="inlineStr">
        <is>
          <t>Lima, 22 de Marzo de 2024</t>
        </is>
      </c>
      <c r="F1539" t="inlineStr">
        <is>
          <t>la Recarga y mantenimiento</t>
        </is>
      </c>
      <c r="G1539" t="inlineStr">
        <is>
          <t>08</t>
        </is>
      </c>
      <c r="H1539" t="inlineStr">
        <is>
          <t>06 KG</t>
        </is>
      </c>
      <c r="I1539" t="inlineStr">
        <is>
          <t>2029</t>
        </is>
      </c>
      <c r="J1539" t="n">
        <v>2009</v>
      </c>
      <c r="K1539" t="inlineStr">
        <is>
          <t>MARZO 2024</t>
        </is>
      </c>
      <c r="L1539" t="inlineStr">
        <is>
          <t>MARZO 2025</t>
        </is>
      </c>
      <c r="M1539" t="inlineStr">
        <is>
          <t>P.Q.S TIPO ABC AL 90 % NACIONAL</t>
        </is>
      </c>
      <c r="N1539" t="inlineStr">
        <is>
          <t>91 / 001375</t>
        </is>
      </c>
      <c r="O1539" t="inlineStr">
        <is>
          <t>R</t>
        </is>
      </c>
      <c r="P1539">
        <f>TRIM(N1539)</f>
        <v/>
      </c>
    </row>
    <row r="1540">
      <c r="A1540" t="inlineStr">
        <is>
          <t>CO-001874</t>
        </is>
      </c>
      <c r="B1540" t="inlineStr">
        <is>
          <t>PERU MASIVO S.A.</t>
        </is>
      </c>
      <c r="C1540" t="inlineStr">
        <is>
          <t>20492392031</t>
        </is>
      </c>
      <c r="D1540" t="inlineStr">
        <is>
          <t>AV. LOS INCAS CDRA. 4 PATIO NORTE - COMAS</t>
        </is>
      </c>
      <c r="E1540" t="inlineStr">
        <is>
          <t>Lima, 22 de Marzo de 2024</t>
        </is>
      </c>
      <c r="F1540" t="inlineStr">
        <is>
          <t>la Recarga y mantenimiento</t>
        </is>
      </c>
      <c r="G1540" t="inlineStr">
        <is>
          <t>09</t>
        </is>
      </c>
      <c r="H1540" t="inlineStr">
        <is>
          <t>06 KG</t>
        </is>
      </c>
      <c r="I1540" t="inlineStr">
        <is>
          <t>2029</t>
        </is>
      </c>
      <c r="J1540" t="n">
        <v>2009</v>
      </c>
      <c r="K1540" t="inlineStr">
        <is>
          <t>MARZO 2024</t>
        </is>
      </c>
      <c r="L1540" t="inlineStr">
        <is>
          <t>MARZO 2025</t>
        </is>
      </c>
      <c r="M1540" t="inlineStr">
        <is>
          <t>P.Q.S TIPO ABC AL 90 % NACIONAL</t>
        </is>
      </c>
      <c r="N1540" t="inlineStr">
        <is>
          <t>11 / 000398</t>
        </is>
      </c>
      <c r="O1540" t="inlineStr">
        <is>
          <t>R</t>
        </is>
      </c>
      <c r="P1540">
        <f>TRIM(N1540)</f>
        <v/>
      </c>
    </row>
    <row r="1541">
      <c r="A1541" t="inlineStr">
        <is>
          <t>CO-001874</t>
        </is>
      </c>
      <c r="B1541" t="inlineStr">
        <is>
          <t>PERU MASIVO S.A.</t>
        </is>
      </c>
      <c r="C1541" t="inlineStr">
        <is>
          <t>20492392031</t>
        </is>
      </c>
      <c r="D1541" t="inlineStr">
        <is>
          <t>AV. LOS INCAS CDRA. 4 PATIO NORTE - COMAS</t>
        </is>
      </c>
      <c r="E1541" t="inlineStr">
        <is>
          <t>Lima, 22 de Marzo de 2024</t>
        </is>
      </c>
      <c r="F1541" t="inlineStr">
        <is>
          <t>la Recarga y mantenimiento</t>
        </is>
      </c>
      <c r="G1541" t="n">
        <v>10</v>
      </c>
      <c r="H1541" t="inlineStr">
        <is>
          <t>06 KG</t>
        </is>
      </c>
      <c r="I1541" t="inlineStr">
        <is>
          <t>2029</t>
        </is>
      </c>
      <c r="J1541" t="n">
        <v>2009</v>
      </c>
      <c r="K1541" t="inlineStr">
        <is>
          <t>MARZO 2024</t>
        </is>
      </c>
      <c r="L1541" t="inlineStr">
        <is>
          <t>MARZO 2025</t>
        </is>
      </c>
      <c r="M1541" t="inlineStr">
        <is>
          <t>P.Q.S TIPO ABC AL 90 % NACIONAL</t>
        </is>
      </c>
      <c r="N1541" t="inlineStr">
        <is>
          <t>181 / 001803</t>
        </is>
      </c>
      <c r="O1541" t="inlineStr">
        <is>
          <t>R</t>
        </is>
      </c>
      <c r="P1541">
        <f>TRIM(N1541)</f>
        <v/>
      </c>
    </row>
    <row r="1542">
      <c r="A1542" t="inlineStr">
        <is>
          <t>CO-001874</t>
        </is>
      </c>
      <c r="B1542" t="inlineStr">
        <is>
          <t>PERU MASIVO S.A.</t>
        </is>
      </c>
      <c r="C1542" t="inlineStr">
        <is>
          <t>20492392031</t>
        </is>
      </c>
      <c r="D1542" t="inlineStr">
        <is>
          <t>AV. LOS INCAS CDRA. 4 PATIO NORTE - COMAS</t>
        </is>
      </c>
      <c r="E1542" t="inlineStr">
        <is>
          <t>Lima, 22 de Marzo de 2024</t>
        </is>
      </c>
      <c r="F1542" t="inlineStr">
        <is>
          <t>la Recarga y mantenimiento</t>
        </is>
      </c>
      <c r="G1542" t="n">
        <v>11</v>
      </c>
      <c r="H1542" t="inlineStr">
        <is>
          <t>06 KG</t>
        </is>
      </c>
      <c r="I1542" t="inlineStr">
        <is>
          <t>2029</t>
        </is>
      </c>
      <c r="J1542" t="n">
        <v>2015</v>
      </c>
      <c r="K1542" t="inlineStr">
        <is>
          <t>MARZO 2024</t>
        </is>
      </c>
      <c r="L1542" t="inlineStr">
        <is>
          <t>MARZO 2025</t>
        </is>
      </c>
      <c r="M1542" t="inlineStr">
        <is>
          <t>P.Q.S TIPO ABC AL 90 % NACIONAL</t>
        </is>
      </c>
      <c r="N1542" t="inlineStr">
        <is>
          <t>S/N / 000341</t>
        </is>
      </c>
      <c r="O1542" t="inlineStr">
        <is>
          <t>R</t>
        </is>
      </c>
      <c r="P1542">
        <f>TRIM(N1542)</f>
        <v/>
      </c>
    </row>
    <row r="1543">
      <c r="A1543" t="inlineStr">
        <is>
          <t>CO-001874</t>
        </is>
      </c>
      <c r="B1543" t="inlineStr">
        <is>
          <t>PERU MASIVO S.A.</t>
        </is>
      </c>
      <c r="C1543" t="inlineStr">
        <is>
          <t>20492392031</t>
        </is>
      </c>
      <c r="D1543" t="inlineStr">
        <is>
          <t>AV. LOS INCAS CDRA. 4 PATIO NORTE - COMAS</t>
        </is>
      </c>
      <c r="E1543" t="inlineStr">
        <is>
          <t>Lima, 22 de Marzo de 2024</t>
        </is>
      </c>
      <c r="F1543" t="inlineStr">
        <is>
          <t>la Recarga y mantenimiento</t>
        </is>
      </c>
      <c r="G1543" t="n">
        <v>12</v>
      </c>
      <c r="H1543" t="inlineStr">
        <is>
          <t>06 KG</t>
        </is>
      </c>
      <c r="I1543" t="inlineStr">
        <is>
          <t>2029</t>
        </is>
      </c>
      <c r="J1543" t="n">
        <v>2010</v>
      </c>
      <c r="K1543" t="inlineStr">
        <is>
          <t>MARZO 2024</t>
        </is>
      </c>
      <c r="L1543" t="inlineStr">
        <is>
          <t>MARZO 2025</t>
        </is>
      </c>
      <c r="M1543" t="inlineStr">
        <is>
          <t>P.Q.S TIPO ABC AL 90 % NACIONAL</t>
        </is>
      </c>
      <c r="N1543" t="inlineStr">
        <is>
          <t>185 / 000613</t>
        </is>
      </c>
      <c r="O1543" t="inlineStr">
        <is>
          <t>R</t>
        </is>
      </c>
      <c r="P1543">
        <f>TRIM(N1543)</f>
        <v/>
      </c>
    </row>
    <row r="1544">
      <c r="A1544" t="inlineStr">
        <is>
          <t>CO-001874</t>
        </is>
      </c>
      <c r="B1544" t="inlineStr">
        <is>
          <t>PERU MASIVO S.A.</t>
        </is>
      </c>
      <c r="C1544" t="inlineStr">
        <is>
          <t>20492392031</t>
        </is>
      </c>
      <c r="D1544" t="inlineStr">
        <is>
          <t>AV. LOS INCAS CDRA. 4 PATIO NORTE - COMAS</t>
        </is>
      </c>
      <c r="E1544" t="inlineStr">
        <is>
          <t>Lima, 22 de Marzo de 2024</t>
        </is>
      </c>
      <c r="F1544" t="inlineStr">
        <is>
          <t>la Recarga y mantenimiento</t>
        </is>
      </c>
      <c r="G1544" t="n">
        <v>13</v>
      </c>
      <c r="H1544" t="inlineStr">
        <is>
          <t>06 KG</t>
        </is>
      </c>
      <c r="I1544" t="inlineStr">
        <is>
          <t>2029</t>
        </is>
      </c>
      <c r="J1544" t="inlineStr">
        <is>
          <t>S/N</t>
        </is>
      </c>
      <c r="K1544" t="inlineStr">
        <is>
          <t>MARZO 2024</t>
        </is>
      </c>
      <c r="L1544" t="inlineStr">
        <is>
          <t>MARZO 2025</t>
        </is>
      </c>
      <c r="M1544" t="inlineStr">
        <is>
          <t>P.Q.S TIPO ABC AL 90 % NACIONAL</t>
        </is>
      </c>
      <c r="N1544" t="inlineStr">
        <is>
          <t>166 / 002216</t>
        </is>
      </c>
      <c r="O1544" t="inlineStr">
        <is>
          <t>R</t>
        </is>
      </c>
      <c r="P1544">
        <f>TRIM(N1544)</f>
        <v/>
      </c>
    </row>
    <row r="1545">
      <c r="A1545" t="inlineStr">
        <is>
          <t>CO-001875</t>
        </is>
      </c>
      <c r="B1545" t="inlineStr">
        <is>
          <t>JOSE MARIA LIZANA YAJAHUANCA</t>
        </is>
      </c>
      <c r="C1545" t="inlineStr">
        <is>
          <t>06863656</t>
        </is>
      </c>
      <c r="D1545" t="inlineStr">
        <is>
          <t>SECTOR FLORES - PUESTO 48</t>
        </is>
      </c>
      <c r="E1545" t="inlineStr">
        <is>
          <t>Lima, 23 de Marzo de 2024</t>
        </is>
      </c>
      <c r="F1545" t="inlineStr">
        <is>
          <t>la venta</t>
        </is>
      </c>
      <c r="G1545" t="inlineStr">
        <is>
          <t>01</t>
        </is>
      </c>
      <c r="H1545" t="inlineStr">
        <is>
          <t>04 KG</t>
        </is>
      </c>
      <c r="I1545" t="inlineStr">
        <is>
          <t>2028</t>
        </is>
      </c>
      <c r="J1545" t="n">
        <v>2023</v>
      </c>
      <c r="K1545" t="inlineStr">
        <is>
          <t>MARZO 2024</t>
        </is>
      </c>
      <c r="L1545" t="inlineStr">
        <is>
          <t>MARZO 2025</t>
        </is>
      </c>
      <c r="M1545" t="inlineStr">
        <is>
          <t xml:space="preserve">P.Q.S.  TIPO ABC </t>
        </is>
      </c>
      <c r="N1545" t="inlineStr">
        <is>
          <t>458960</t>
        </is>
      </c>
      <c r="O1545" t="inlineStr">
        <is>
          <t>V</t>
        </is>
      </c>
      <c r="P1545">
        <f>TRIM(N1545)</f>
        <v/>
      </c>
    </row>
    <row r="1546">
      <c r="A1546" t="inlineStr">
        <is>
          <t>CO-001876</t>
        </is>
      </c>
      <c r="B1546" t="inlineStr">
        <is>
          <t>LINDE PERU SRL</t>
        </is>
      </c>
      <c r="C1546" t="inlineStr">
        <is>
          <t>20338570041</t>
        </is>
      </c>
      <c r="D1546" t="inlineStr">
        <is>
          <t>SECTOR PACHACHACA LOTE G-1 YAULI, JUNIN, PERÚ</t>
        </is>
      </c>
      <c r="E1546" t="inlineStr">
        <is>
          <t>Lima, 25 de Marzo de 2024</t>
        </is>
      </c>
      <c r="F1546" t="inlineStr">
        <is>
          <t>la Recarga y mantenimiento</t>
        </is>
      </c>
      <c r="G1546" t="inlineStr">
        <is>
          <t>01</t>
        </is>
      </c>
      <c r="H1546" t="inlineStr">
        <is>
          <t>12 KG</t>
        </is>
      </c>
      <c r="I1546" t="inlineStr">
        <is>
          <t>2029</t>
        </is>
      </c>
      <c r="J1546" t="inlineStr">
        <is>
          <t>S/N</t>
        </is>
      </c>
      <c r="K1546" t="inlineStr">
        <is>
          <t>MARZO 2024</t>
        </is>
      </c>
      <c r="L1546" t="inlineStr">
        <is>
          <t>MARZO 2025</t>
        </is>
      </c>
      <c r="M1546" t="inlineStr">
        <is>
          <t xml:space="preserve">P.Q.S.  TIPO ABC </t>
        </is>
      </c>
      <c r="N1546" t="inlineStr">
        <is>
          <t>01 / 000136</t>
        </is>
      </c>
      <c r="O1546" t="inlineStr">
        <is>
          <t>R</t>
        </is>
      </c>
      <c r="P1546">
        <f>TRIM(N1546)</f>
        <v/>
      </c>
    </row>
    <row r="1547">
      <c r="A1547" t="inlineStr">
        <is>
          <t>CO-001876</t>
        </is>
      </c>
      <c r="B1547" t="inlineStr">
        <is>
          <t>LINDE PERU SRL</t>
        </is>
      </c>
      <c r="C1547" t="inlineStr">
        <is>
          <t>20338570041</t>
        </is>
      </c>
      <c r="D1547" t="inlineStr">
        <is>
          <t>SECTOR PACHACHACA LOTE G-1 YAULI, JUNIN, PERÚ</t>
        </is>
      </c>
      <c r="E1547" t="inlineStr">
        <is>
          <t>Lima, 25 de Marzo de 2024</t>
        </is>
      </c>
      <c r="F1547" t="inlineStr">
        <is>
          <t>la Recarga y mantenimiento</t>
        </is>
      </c>
      <c r="G1547" t="inlineStr">
        <is>
          <t>02</t>
        </is>
      </c>
      <c r="H1547" t="inlineStr">
        <is>
          <t>12 KG</t>
        </is>
      </c>
      <c r="I1547" t="inlineStr">
        <is>
          <t>2029</t>
        </is>
      </c>
      <c r="J1547" t="inlineStr">
        <is>
          <t>S/N</t>
        </is>
      </c>
      <c r="K1547" t="inlineStr">
        <is>
          <t>MARZO 2024</t>
        </is>
      </c>
      <c r="L1547" t="inlineStr">
        <is>
          <t>MARZO 2025</t>
        </is>
      </c>
      <c r="M1547" t="inlineStr">
        <is>
          <t xml:space="preserve">P.Q.S.  TIPO ABC </t>
        </is>
      </c>
      <c r="N1547" t="inlineStr">
        <is>
          <t>02 / 000267</t>
        </is>
      </c>
      <c r="O1547" t="inlineStr">
        <is>
          <t>R</t>
        </is>
      </c>
      <c r="P1547">
        <f>TRIM(N1547)</f>
        <v/>
      </c>
    </row>
    <row r="1548">
      <c r="A1548" t="inlineStr">
        <is>
          <t>CO-001876</t>
        </is>
      </c>
      <c r="B1548" t="inlineStr">
        <is>
          <t>LINDE PERU SRL</t>
        </is>
      </c>
      <c r="C1548" t="inlineStr">
        <is>
          <t>20338570041</t>
        </is>
      </c>
      <c r="D1548" t="inlineStr">
        <is>
          <t>SECTOR PACHACHACA LOTE G-1 YAULI, JUNIN, PERÚ</t>
        </is>
      </c>
      <c r="E1548" t="inlineStr">
        <is>
          <t>Lima, 25 de Marzo de 2024</t>
        </is>
      </c>
      <c r="F1548" t="inlineStr">
        <is>
          <t>la Recarga y mantenimiento</t>
        </is>
      </c>
      <c r="G1548" t="inlineStr">
        <is>
          <t>03</t>
        </is>
      </c>
      <c r="H1548" t="inlineStr">
        <is>
          <t>12 KG</t>
        </is>
      </c>
      <c r="I1548" t="n">
        <v>2029</v>
      </c>
      <c r="J1548" t="n">
        <v>2011</v>
      </c>
      <c r="K1548" t="inlineStr">
        <is>
          <t>MARZO 2024</t>
        </is>
      </c>
      <c r="L1548" t="inlineStr">
        <is>
          <t>MARZO 2025</t>
        </is>
      </c>
      <c r="M1548" t="inlineStr">
        <is>
          <t xml:space="preserve">P.Q.S.  TIPO ABC </t>
        </is>
      </c>
      <c r="N1548" t="inlineStr">
        <is>
          <t>03 / 000333</t>
        </is>
      </c>
      <c r="O1548" t="inlineStr">
        <is>
          <t>R</t>
        </is>
      </c>
      <c r="P1548">
        <f>TRIM(N1548)</f>
        <v/>
      </c>
    </row>
    <row r="1549">
      <c r="A1549" t="inlineStr">
        <is>
          <t>CO-001876</t>
        </is>
      </c>
      <c r="B1549" t="inlineStr">
        <is>
          <t>LINDE PERU SRL</t>
        </is>
      </c>
      <c r="C1549" t="inlineStr">
        <is>
          <t>20338570041</t>
        </is>
      </c>
      <c r="D1549" t="inlineStr">
        <is>
          <t>SECTOR PACHACHACA LOTE G-1 YAULI, JUNIN, PERÚ</t>
        </is>
      </c>
      <c r="E1549" t="inlineStr">
        <is>
          <t>Lima, 25 de Marzo de 2024</t>
        </is>
      </c>
      <c r="F1549" t="inlineStr">
        <is>
          <t>la Recarga y mantenimiento</t>
        </is>
      </c>
      <c r="G1549" t="inlineStr">
        <is>
          <t>04</t>
        </is>
      </c>
      <c r="H1549" t="inlineStr">
        <is>
          <t>15 LBS</t>
        </is>
      </c>
      <c r="I1549" t="n">
        <v>2029</v>
      </c>
      <c r="J1549" t="n">
        <v>2008</v>
      </c>
      <c r="K1549" t="inlineStr">
        <is>
          <t>MARZO 2024</t>
        </is>
      </c>
      <c r="L1549" t="inlineStr">
        <is>
          <t>MARZO 2025</t>
        </is>
      </c>
      <c r="M1549" t="inlineStr">
        <is>
          <t>CO2 / TIPO BC</t>
        </is>
      </c>
      <c r="N1549" t="inlineStr">
        <is>
          <t>04 / 627123</t>
        </is>
      </c>
      <c r="O1549" t="inlineStr">
        <is>
          <t>R</t>
        </is>
      </c>
      <c r="P1549">
        <f>TRIM(N1549)</f>
        <v/>
      </c>
    </row>
    <row r="1550">
      <c r="A1550" t="inlineStr">
        <is>
          <t>CO-001876</t>
        </is>
      </c>
      <c r="B1550" t="inlineStr">
        <is>
          <t>LINDE PERU SRL</t>
        </is>
      </c>
      <c r="C1550" t="inlineStr">
        <is>
          <t>20338570041</t>
        </is>
      </c>
      <c r="D1550" t="inlineStr">
        <is>
          <t>SECTOR PACHACHACA LOTE G-1 YAULI, JUNIN, PERÚ</t>
        </is>
      </c>
      <c r="E1550" t="inlineStr">
        <is>
          <t>Lima, 25 de Marzo de 2024</t>
        </is>
      </c>
      <c r="F1550" t="inlineStr">
        <is>
          <t>la Recarga y mantenimiento</t>
        </is>
      </c>
      <c r="G1550" t="inlineStr">
        <is>
          <t>05</t>
        </is>
      </c>
      <c r="H1550" t="inlineStr">
        <is>
          <t>09 KG</t>
        </is>
      </c>
      <c r="I1550" t="n">
        <v>2029</v>
      </c>
      <c r="J1550" t="n">
        <v>2010</v>
      </c>
      <c r="K1550" t="inlineStr">
        <is>
          <t>MARZO 2024</t>
        </is>
      </c>
      <c r="L1550" t="inlineStr">
        <is>
          <t>MARZO 2025</t>
        </is>
      </c>
      <c r="M1550" t="inlineStr">
        <is>
          <t xml:space="preserve">P.Q.S.  TIPO ABC </t>
        </is>
      </c>
      <c r="N1550" t="inlineStr">
        <is>
          <t>05 / 000006</t>
        </is>
      </c>
      <c r="O1550" t="inlineStr">
        <is>
          <t>R</t>
        </is>
      </c>
      <c r="P1550">
        <f>TRIM(N1550)</f>
        <v/>
      </c>
    </row>
    <row r="1551">
      <c r="A1551" t="inlineStr">
        <is>
          <t>CO-001876</t>
        </is>
      </c>
      <c r="B1551" t="inlineStr">
        <is>
          <t>LINDE PERU SRL</t>
        </is>
      </c>
      <c r="C1551" t="inlineStr">
        <is>
          <t>20338570041</t>
        </is>
      </c>
      <c r="D1551" t="inlineStr">
        <is>
          <t>SECTOR PACHACHACA LOTE G-1 YAULI, JUNIN, PERÚ</t>
        </is>
      </c>
      <c r="E1551" t="inlineStr">
        <is>
          <t>Lima, 25 de Marzo de 2024</t>
        </is>
      </c>
      <c r="F1551" t="inlineStr">
        <is>
          <t>la Recarga y mantenimiento</t>
        </is>
      </c>
      <c r="G1551" t="inlineStr">
        <is>
          <t>06</t>
        </is>
      </c>
      <c r="H1551" t="inlineStr">
        <is>
          <t>10 LBS</t>
        </is>
      </c>
      <c r="I1551" t="n">
        <v>2029</v>
      </c>
      <c r="J1551" t="n">
        <v>2000</v>
      </c>
      <c r="K1551" t="inlineStr">
        <is>
          <t>MARZO 2024</t>
        </is>
      </c>
      <c r="L1551" t="inlineStr">
        <is>
          <t>MARZO 2025</t>
        </is>
      </c>
      <c r="M1551" t="inlineStr">
        <is>
          <t>CO2 / TIPO BC</t>
        </is>
      </c>
      <c r="N1551" t="inlineStr">
        <is>
          <t>06 / 7000659</t>
        </is>
      </c>
      <c r="O1551" t="inlineStr">
        <is>
          <t>R</t>
        </is>
      </c>
      <c r="P1551">
        <f>TRIM(N1551)</f>
        <v/>
      </c>
    </row>
    <row r="1552">
      <c r="A1552" t="inlineStr">
        <is>
          <t>CO-001876</t>
        </is>
      </c>
      <c r="B1552" t="inlineStr">
        <is>
          <t>LINDE PERU SRL</t>
        </is>
      </c>
      <c r="C1552" t="inlineStr">
        <is>
          <t>20338570041</t>
        </is>
      </c>
      <c r="D1552" t="inlineStr">
        <is>
          <t>SECTOR PACHACHACA LOTE G-1 YAULI, JUNIN, PERÚ</t>
        </is>
      </c>
      <c r="E1552" t="inlineStr">
        <is>
          <t>Lima, 25 de Marzo de 2024</t>
        </is>
      </c>
      <c r="F1552" t="inlineStr">
        <is>
          <t>la Recarga y mantenimiento</t>
        </is>
      </c>
      <c r="G1552" t="inlineStr">
        <is>
          <t>07</t>
        </is>
      </c>
      <c r="H1552" t="inlineStr">
        <is>
          <t>12 KG</t>
        </is>
      </c>
      <c r="I1552" t="n">
        <v>2029</v>
      </c>
      <c r="J1552" t="n">
        <v>2019</v>
      </c>
      <c r="K1552" t="inlineStr">
        <is>
          <t>MARZO 2024</t>
        </is>
      </c>
      <c r="L1552" t="inlineStr">
        <is>
          <t>MARZO 2025</t>
        </is>
      </c>
      <c r="M1552" t="inlineStr">
        <is>
          <t xml:space="preserve">P.Q.S.  TIPO ABC </t>
        </is>
      </c>
      <c r="N1552" t="inlineStr">
        <is>
          <t>07 / 000289</t>
        </is>
      </c>
      <c r="O1552" t="inlineStr">
        <is>
          <t>R</t>
        </is>
      </c>
      <c r="P1552">
        <f>TRIM(N1552)</f>
        <v/>
      </c>
    </row>
    <row r="1553">
      <c r="A1553" t="inlineStr">
        <is>
          <t>CO-001877</t>
        </is>
      </c>
      <c r="B1553" t="inlineStr">
        <is>
          <t>UNIGRAF SAC</t>
        </is>
      </c>
      <c r="C1553" t="inlineStr">
        <is>
          <t>20113367955</t>
        </is>
      </c>
      <c r="D1553" t="inlineStr">
        <is>
          <t>CALLE LOS CEDROS MZ C1 LT1 CPM HUACHIPA, LURIGANCHO CHOSICA</t>
        </is>
      </c>
      <c r="E1553" t="inlineStr">
        <is>
          <t>Lima, 25 de Marzo de 2024</t>
        </is>
      </c>
      <c r="F1553" t="inlineStr">
        <is>
          <t>la Recarga y mantenimiento</t>
        </is>
      </c>
      <c r="G1553" t="inlineStr">
        <is>
          <t>01</t>
        </is>
      </c>
      <c r="H1553" t="inlineStr">
        <is>
          <t>12 KG</t>
        </is>
      </c>
      <c r="I1553" t="inlineStr">
        <is>
          <t>2025</t>
        </is>
      </c>
      <c r="J1553" t="n">
        <v>2008</v>
      </c>
      <c r="K1553" t="inlineStr">
        <is>
          <t>MARZO 2024</t>
        </is>
      </c>
      <c r="L1553" t="inlineStr">
        <is>
          <t>MARZO 2025</t>
        </is>
      </c>
      <c r="M1553" t="inlineStr">
        <is>
          <t xml:space="preserve">P.Q.S.  TIPO ABC </t>
        </is>
      </c>
      <c r="N1553" t="inlineStr">
        <is>
          <t>02 / 000715</t>
        </is>
      </c>
      <c r="O1553" t="inlineStr">
        <is>
          <t>R</t>
        </is>
      </c>
      <c r="P1553">
        <f>TRIM(N1553)</f>
        <v/>
      </c>
    </row>
    <row r="1554">
      <c r="A1554" t="inlineStr">
        <is>
          <t>CO-001877</t>
        </is>
      </c>
      <c r="B1554" t="inlineStr">
        <is>
          <t>UNIGRAF SAC</t>
        </is>
      </c>
      <c r="C1554" t="inlineStr">
        <is>
          <t>20113367955</t>
        </is>
      </c>
      <c r="D1554" t="inlineStr">
        <is>
          <t>CALLE LOS CEDROS MZ C1 LT1 CPM HUACHIPA, LURIGANCHO CHOSICA</t>
        </is>
      </c>
      <c r="E1554" t="inlineStr">
        <is>
          <t>Lima, 25 de Marzo de 2024</t>
        </is>
      </c>
      <c r="F1554" t="inlineStr">
        <is>
          <t>la Recarga y mantenimiento</t>
        </is>
      </c>
      <c r="G1554" t="inlineStr">
        <is>
          <t>02</t>
        </is>
      </c>
      <c r="H1554" t="inlineStr">
        <is>
          <t>12 KG</t>
        </is>
      </c>
      <c r="I1554" t="inlineStr">
        <is>
          <t>2025</t>
        </is>
      </c>
      <c r="J1554" t="n">
        <v>2011</v>
      </c>
      <c r="K1554" t="inlineStr">
        <is>
          <t>MARZO 2024</t>
        </is>
      </c>
      <c r="L1554" t="inlineStr">
        <is>
          <t>MARZO 2025</t>
        </is>
      </c>
      <c r="M1554" t="inlineStr">
        <is>
          <t xml:space="preserve">P.Q.S.  TIPO ABC </t>
        </is>
      </c>
      <c r="N1554" t="inlineStr">
        <is>
          <t>11 / 000338</t>
        </is>
      </c>
      <c r="O1554" t="inlineStr">
        <is>
          <t>R</t>
        </is>
      </c>
      <c r="P1554">
        <f>TRIM(N1554)</f>
        <v/>
      </c>
    </row>
    <row r="1555">
      <c r="A1555" t="inlineStr">
        <is>
          <t>CO-001877</t>
        </is>
      </c>
      <c r="B1555" t="inlineStr">
        <is>
          <t>UNIGRAF SAC</t>
        </is>
      </c>
      <c r="C1555" t="inlineStr">
        <is>
          <t>20113367955</t>
        </is>
      </c>
      <c r="D1555" t="inlineStr">
        <is>
          <t>CALLE LOS CEDROS MZ C1 LT1 CPM HUACHIPA, LURIGANCHO CHOSICA</t>
        </is>
      </c>
      <c r="E1555" t="inlineStr">
        <is>
          <t>Lima, 25 de Marzo de 2024</t>
        </is>
      </c>
      <c r="F1555" t="inlineStr">
        <is>
          <t>la Recarga y mantenimiento</t>
        </is>
      </c>
      <c r="G1555" t="inlineStr">
        <is>
          <t>03</t>
        </is>
      </c>
      <c r="H1555" t="inlineStr">
        <is>
          <t>12 KG</t>
        </is>
      </c>
      <c r="I1555" t="n">
        <v>2025</v>
      </c>
      <c r="J1555" t="n">
        <v>2003</v>
      </c>
      <c r="K1555" t="inlineStr">
        <is>
          <t>MARZO 2024</t>
        </is>
      </c>
      <c r="L1555" t="inlineStr">
        <is>
          <t>MARZO 2025</t>
        </is>
      </c>
      <c r="M1555" t="inlineStr">
        <is>
          <t xml:space="preserve">P.Q.S.  TIPO ABC </t>
        </is>
      </c>
      <c r="N1555" t="inlineStr">
        <is>
          <t>12 / S/N</t>
        </is>
      </c>
      <c r="O1555" t="inlineStr">
        <is>
          <t>R</t>
        </is>
      </c>
      <c r="P1555">
        <f>TRIM(N1555)</f>
        <v/>
      </c>
    </row>
    <row r="1556">
      <c r="A1556" t="inlineStr">
        <is>
          <t>CO-001877</t>
        </is>
      </c>
      <c r="B1556" t="inlineStr">
        <is>
          <t>UNIGRAF SAC</t>
        </is>
      </c>
      <c r="C1556" t="inlineStr">
        <is>
          <t>20113367955</t>
        </is>
      </c>
      <c r="D1556" t="inlineStr">
        <is>
          <t>CALLE LOS CEDROS MZ C1 LT1 CPM HUACHIPA, LURIGANCHO CHOSICA</t>
        </is>
      </c>
      <c r="E1556" t="inlineStr">
        <is>
          <t>Lima, 25 de Marzo de 2024</t>
        </is>
      </c>
      <c r="F1556" t="inlineStr">
        <is>
          <t>la Recarga y mantenimiento</t>
        </is>
      </c>
      <c r="G1556" t="inlineStr">
        <is>
          <t>04</t>
        </is>
      </c>
      <c r="H1556" t="inlineStr">
        <is>
          <t>12 KG</t>
        </is>
      </c>
      <c r="I1556" t="n">
        <v>2025</v>
      </c>
      <c r="J1556" t="n">
        <v>2000</v>
      </c>
      <c r="K1556" t="inlineStr">
        <is>
          <t>MARZO 2024</t>
        </is>
      </c>
      <c r="L1556" t="inlineStr">
        <is>
          <t>MARZO 2025</t>
        </is>
      </c>
      <c r="M1556" t="inlineStr">
        <is>
          <t xml:space="preserve">P.Q.S.  TIPO ABC </t>
        </is>
      </c>
      <c r="N1556" t="inlineStr">
        <is>
          <t>14 / 000077</t>
        </is>
      </c>
      <c r="O1556" t="inlineStr">
        <is>
          <t>R</t>
        </is>
      </c>
      <c r="P1556">
        <f>TRIM(N1556)</f>
        <v/>
      </c>
    </row>
    <row r="1557">
      <c r="A1557" t="inlineStr">
        <is>
          <t>CO-001877</t>
        </is>
      </c>
      <c r="B1557" t="inlineStr">
        <is>
          <t>UNIGRAF SAC</t>
        </is>
      </c>
      <c r="C1557" t="inlineStr">
        <is>
          <t>20113367955</t>
        </is>
      </c>
      <c r="D1557" t="inlineStr">
        <is>
          <t>CALLE LOS CEDROS MZ C1 LT1 CPM HUACHIPA, LURIGANCHO CHOSICA</t>
        </is>
      </c>
      <c r="E1557" t="inlineStr">
        <is>
          <t>Lima, 25 de Marzo de 2024</t>
        </is>
      </c>
      <c r="F1557" t="inlineStr">
        <is>
          <t>la Recarga y mantenimiento</t>
        </is>
      </c>
      <c r="G1557" t="inlineStr">
        <is>
          <t>05</t>
        </is>
      </c>
      <c r="H1557" t="inlineStr">
        <is>
          <t>12 KG</t>
        </is>
      </c>
      <c r="I1557" t="n">
        <v>2026</v>
      </c>
      <c r="J1557" t="n">
        <v>2008</v>
      </c>
      <c r="K1557" t="inlineStr">
        <is>
          <t>MARZO 2024</t>
        </is>
      </c>
      <c r="L1557" t="inlineStr">
        <is>
          <t>MARZO 2025</t>
        </is>
      </c>
      <c r="M1557" t="inlineStr">
        <is>
          <t xml:space="preserve">P.Q.S.  TIPO ABC </t>
        </is>
      </c>
      <c r="N1557" t="inlineStr">
        <is>
          <t>18 / S/N</t>
        </is>
      </c>
      <c r="O1557" t="inlineStr">
        <is>
          <t>R</t>
        </is>
      </c>
      <c r="P1557">
        <f>TRIM(N1557)</f>
        <v/>
      </c>
    </row>
    <row r="1558">
      <c r="A1558" t="inlineStr">
        <is>
          <t>CO-001878</t>
        </is>
      </c>
      <c r="B1558" t="inlineStr">
        <is>
          <t>UNIGRAF SAC</t>
        </is>
      </c>
      <c r="C1558" t="inlineStr">
        <is>
          <t>20113367955</t>
        </is>
      </c>
      <c r="D1558" t="inlineStr">
        <is>
          <t>CALLE LOS CEDROS MZ C1 LT1 CPM HUACHIPA, LURIGANCHO CHOSICA</t>
        </is>
      </c>
      <c r="E1558" t="inlineStr">
        <is>
          <t>Lima, 25 de Marzo de 2024</t>
        </is>
      </c>
      <c r="F1558" t="inlineStr">
        <is>
          <t>la venta</t>
        </is>
      </c>
      <c r="G1558" t="inlineStr">
        <is>
          <t>01</t>
        </is>
      </c>
      <c r="H1558" t="inlineStr">
        <is>
          <t>06 KG</t>
        </is>
      </c>
      <c r="I1558" t="inlineStr">
        <is>
          <t>2028</t>
        </is>
      </c>
      <c r="J1558" t="n">
        <v>2023</v>
      </c>
      <c r="K1558" t="inlineStr">
        <is>
          <t>MARZO 2024</t>
        </is>
      </c>
      <c r="L1558" t="inlineStr">
        <is>
          <t>MARZO 2025</t>
        </is>
      </c>
      <c r="M1558" t="inlineStr">
        <is>
          <t xml:space="preserve">P.Q.S.  TIPO ABC </t>
        </is>
      </c>
      <c r="N1558" t="inlineStr">
        <is>
          <t>001350</t>
        </is>
      </c>
      <c r="O1558" t="inlineStr">
        <is>
          <t>V</t>
        </is>
      </c>
      <c r="P1558">
        <f>TRIM(N1558)</f>
        <v/>
      </c>
    </row>
    <row r="1559">
      <c r="A1559" t="inlineStr">
        <is>
          <t>CO-001879</t>
        </is>
      </c>
      <c r="B1559" t="inlineStr">
        <is>
          <t xml:space="preserve">MERCADO LA FRONTERA </t>
        </is>
      </c>
      <c r="D1559" t="inlineStr">
        <is>
          <t xml:space="preserve">AV. MARIANO CONDORCANQUI  CRUCE CON AV. SEÑOR DE CAUDIVILLA </t>
        </is>
      </c>
      <c r="E1559" t="inlineStr">
        <is>
          <t>Lima, 25 de Marzo de 2024</t>
        </is>
      </c>
      <c r="F1559" t="inlineStr">
        <is>
          <t>la Recarga y mantenimiento</t>
        </is>
      </c>
      <c r="G1559" t="inlineStr">
        <is>
          <t>01</t>
        </is>
      </c>
      <c r="H1559" t="inlineStr">
        <is>
          <t>12 KG</t>
        </is>
      </c>
      <c r="I1559" t="inlineStr">
        <is>
          <t>2025</t>
        </is>
      </c>
      <c r="J1559" t="n">
        <v>2020</v>
      </c>
      <c r="K1559" t="inlineStr">
        <is>
          <t>MARZO 2024</t>
        </is>
      </c>
      <c r="L1559" t="inlineStr">
        <is>
          <t>MARZO 2025</t>
        </is>
      </c>
      <c r="M1559" t="inlineStr">
        <is>
          <t>P.Q.S TIPO ABC</t>
        </is>
      </c>
      <c r="N1559" t="inlineStr">
        <is>
          <t>01 / 001055</t>
        </is>
      </c>
      <c r="O1559" t="inlineStr">
        <is>
          <t>R</t>
        </is>
      </c>
      <c r="P1559">
        <f>TRIM(N1559)</f>
        <v/>
      </c>
    </row>
    <row r="1560">
      <c r="A1560" t="inlineStr">
        <is>
          <t>CO-001879</t>
        </is>
      </c>
      <c r="B1560" t="inlineStr">
        <is>
          <t xml:space="preserve">MERCADO LA FRONTERA </t>
        </is>
      </c>
      <c r="D1560" t="inlineStr">
        <is>
          <t xml:space="preserve">AV. MARIANO CONDORCANQUI  CRUCE CON AV. SEÑOR DE CAUDIVILLA </t>
        </is>
      </c>
      <c r="E1560" t="inlineStr">
        <is>
          <t>Lima, 25 de Marzo de 2024</t>
        </is>
      </c>
      <c r="F1560" t="inlineStr">
        <is>
          <t>la Recarga y mantenimiento</t>
        </is>
      </c>
      <c r="G1560" t="inlineStr">
        <is>
          <t>02</t>
        </is>
      </c>
      <c r="H1560" t="inlineStr">
        <is>
          <t>12 KG</t>
        </is>
      </c>
      <c r="I1560" t="inlineStr">
        <is>
          <t>2025</t>
        </is>
      </c>
      <c r="J1560" t="n">
        <v>2020</v>
      </c>
      <c r="K1560" t="inlineStr">
        <is>
          <t>MARZO 2024</t>
        </is>
      </c>
      <c r="L1560" t="inlineStr">
        <is>
          <t>MARZO 2025</t>
        </is>
      </c>
      <c r="M1560" t="inlineStr">
        <is>
          <t>P.Q.S TIPO ABC</t>
        </is>
      </c>
      <c r="N1560" t="inlineStr">
        <is>
          <t>02 / 001015</t>
        </is>
      </c>
      <c r="O1560" t="inlineStr">
        <is>
          <t>R</t>
        </is>
      </c>
      <c r="P1560">
        <f>TRIM(N1560)</f>
        <v/>
      </c>
    </row>
    <row r="1561">
      <c r="A1561" t="inlineStr">
        <is>
          <t>CO-001879</t>
        </is>
      </c>
      <c r="B1561" t="inlineStr">
        <is>
          <t xml:space="preserve">MERCADO LA FRONTERA </t>
        </is>
      </c>
      <c r="D1561" t="inlineStr">
        <is>
          <t xml:space="preserve">AV. MARIANO CONDORCANQUI  CRUCE CON AV. SEÑOR DE CAUDIVILLA </t>
        </is>
      </c>
      <c r="E1561" t="inlineStr">
        <is>
          <t>Lima, 25 de Marzo de 2024</t>
        </is>
      </c>
      <c r="F1561" t="inlineStr">
        <is>
          <t>la Recarga y mantenimiento</t>
        </is>
      </c>
      <c r="G1561" t="inlineStr">
        <is>
          <t>03</t>
        </is>
      </c>
      <c r="H1561" t="inlineStr">
        <is>
          <t>12 KG</t>
        </is>
      </c>
      <c r="I1561" t="inlineStr">
        <is>
          <t>2029</t>
        </is>
      </c>
      <c r="J1561" t="n">
        <v>2018</v>
      </c>
      <c r="K1561" t="inlineStr">
        <is>
          <t>MARZO 2024</t>
        </is>
      </c>
      <c r="L1561" t="inlineStr">
        <is>
          <t>MARZO 2025</t>
        </is>
      </c>
      <c r="M1561" t="inlineStr">
        <is>
          <t>P.Q.S TIPO ABC</t>
        </is>
      </c>
      <c r="N1561" t="inlineStr">
        <is>
          <t>03 / 000270</t>
        </is>
      </c>
      <c r="O1561" t="inlineStr">
        <is>
          <t>R</t>
        </is>
      </c>
      <c r="P1561">
        <f>TRIM(N1561)</f>
        <v/>
      </c>
    </row>
    <row r="1562">
      <c r="A1562" t="inlineStr">
        <is>
          <t>CO-001879</t>
        </is>
      </c>
      <c r="B1562" t="inlineStr">
        <is>
          <t xml:space="preserve">MERCADO LA FRONTERA </t>
        </is>
      </c>
      <c r="D1562" t="inlineStr">
        <is>
          <t xml:space="preserve">AV. MARIANO CONDORCANQUI  CRUCE CON AV. SEÑOR DE CAUDIVILLA </t>
        </is>
      </c>
      <c r="E1562" t="inlineStr">
        <is>
          <t>Lima, 25 de Marzo de 2024</t>
        </is>
      </c>
      <c r="F1562" t="inlineStr">
        <is>
          <t>la Recarga y mantenimiento</t>
        </is>
      </c>
      <c r="G1562" t="inlineStr">
        <is>
          <t>04</t>
        </is>
      </c>
      <c r="H1562" t="inlineStr">
        <is>
          <t>12 KG</t>
        </is>
      </c>
      <c r="I1562" t="inlineStr">
        <is>
          <t>2025</t>
        </is>
      </c>
      <c r="J1562" t="n">
        <v>2020</v>
      </c>
      <c r="K1562" t="inlineStr">
        <is>
          <t>MARZO 2024</t>
        </is>
      </c>
      <c r="L1562" t="inlineStr">
        <is>
          <t>MARZO 2025</t>
        </is>
      </c>
      <c r="M1562" t="inlineStr">
        <is>
          <t>P.Q.S TIPO ABC</t>
        </is>
      </c>
      <c r="N1562" t="inlineStr">
        <is>
          <t>04 / 000962</t>
        </is>
      </c>
      <c r="O1562" t="inlineStr">
        <is>
          <t>R</t>
        </is>
      </c>
      <c r="P1562">
        <f>TRIM(N1562)</f>
        <v/>
      </c>
    </row>
    <row r="1563">
      <c r="A1563" t="inlineStr">
        <is>
          <t>CO-001879</t>
        </is>
      </c>
      <c r="B1563" t="inlineStr">
        <is>
          <t xml:space="preserve">MERCADO LA FRONTERA </t>
        </is>
      </c>
      <c r="D1563" t="inlineStr">
        <is>
          <t xml:space="preserve">AV. MARIANO CONDORCANQUI  CRUCE CON AV. SEÑOR DE CAUDIVILLA </t>
        </is>
      </c>
      <c r="E1563" t="inlineStr">
        <is>
          <t>Lima, 25 de Marzo de 2024</t>
        </is>
      </c>
      <c r="F1563" t="inlineStr">
        <is>
          <t>la Recarga y mantenimiento</t>
        </is>
      </c>
      <c r="G1563" t="inlineStr">
        <is>
          <t>05</t>
        </is>
      </c>
      <c r="H1563" t="inlineStr">
        <is>
          <t>12 KG</t>
        </is>
      </c>
      <c r="I1563" t="inlineStr">
        <is>
          <t>2025</t>
        </is>
      </c>
      <c r="J1563" t="n">
        <v>2020</v>
      </c>
      <c r="K1563" t="inlineStr">
        <is>
          <t>MARZO 2024</t>
        </is>
      </c>
      <c r="L1563" t="inlineStr">
        <is>
          <t>MARZO 2025</t>
        </is>
      </c>
      <c r="M1563" t="inlineStr">
        <is>
          <t>P.Q.S TIPO ABC</t>
        </is>
      </c>
      <c r="N1563" t="inlineStr">
        <is>
          <t>05 / 001050</t>
        </is>
      </c>
      <c r="O1563" t="inlineStr">
        <is>
          <t>R</t>
        </is>
      </c>
      <c r="P1563">
        <f>TRIM(N1563)</f>
        <v/>
      </c>
    </row>
    <row r="1564">
      <c r="A1564" t="inlineStr">
        <is>
          <t>CO-001879</t>
        </is>
      </c>
      <c r="B1564" t="inlineStr">
        <is>
          <t xml:space="preserve">MERCADO LA FRONTERA </t>
        </is>
      </c>
      <c r="D1564" t="inlineStr">
        <is>
          <t xml:space="preserve">AV. MARIANO CONDORCANQUI  CRUCE CON AV. SEÑOR DE CAUDIVILLA </t>
        </is>
      </c>
      <c r="E1564" t="inlineStr">
        <is>
          <t>Lima, 25 de Marzo de 2024</t>
        </is>
      </c>
      <c r="F1564" t="inlineStr">
        <is>
          <t>la Recarga y mantenimiento</t>
        </is>
      </c>
      <c r="G1564" t="inlineStr">
        <is>
          <t>06</t>
        </is>
      </c>
      <c r="H1564" t="inlineStr">
        <is>
          <t>12 KG</t>
        </is>
      </c>
      <c r="I1564" t="inlineStr">
        <is>
          <t>2025</t>
        </is>
      </c>
      <c r="J1564" t="n">
        <v>2020</v>
      </c>
      <c r="K1564" t="inlineStr">
        <is>
          <t>MARZO 2024</t>
        </is>
      </c>
      <c r="L1564" t="inlineStr">
        <is>
          <t>MARZO 2025</t>
        </is>
      </c>
      <c r="M1564" t="inlineStr">
        <is>
          <t>P.Q.S TIPO ABC</t>
        </is>
      </c>
      <c r="N1564" t="inlineStr">
        <is>
          <t>06 / 000987</t>
        </is>
      </c>
      <c r="O1564" t="inlineStr">
        <is>
          <t>R</t>
        </is>
      </c>
      <c r="P1564">
        <f>TRIM(N1564)</f>
        <v/>
      </c>
    </row>
    <row r="1565">
      <c r="A1565" t="inlineStr">
        <is>
          <t>CO-001879</t>
        </is>
      </c>
      <c r="B1565" t="inlineStr">
        <is>
          <t xml:space="preserve">MERCADO LA FRONTERA </t>
        </is>
      </c>
      <c r="D1565" t="inlineStr">
        <is>
          <t xml:space="preserve">AV. MARIANO CONDORCANQUI  CRUCE CON AV. SEÑOR DE CAUDIVILLA </t>
        </is>
      </c>
      <c r="E1565" t="inlineStr">
        <is>
          <t>Lima, 25 de Marzo de 2024</t>
        </is>
      </c>
      <c r="F1565" t="inlineStr">
        <is>
          <t>la Recarga y mantenimiento</t>
        </is>
      </c>
      <c r="G1565" t="inlineStr">
        <is>
          <t>07</t>
        </is>
      </c>
      <c r="H1565" t="inlineStr">
        <is>
          <t>12 KG</t>
        </is>
      </c>
      <c r="I1565" t="inlineStr">
        <is>
          <t>2025</t>
        </is>
      </c>
      <c r="J1565" t="n">
        <v>2020</v>
      </c>
      <c r="K1565" t="inlineStr">
        <is>
          <t>MARZO 2024</t>
        </is>
      </c>
      <c r="L1565" t="inlineStr">
        <is>
          <t>MARZO 2025</t>
        </is>
      </c>
      <c r="M1565" t="inlineStr">
        <is>
          <t>P.Q.S TIPO ABC</t>
        </is>
      </c>
      <c r="N1565" t="inlineStr">
        <is>
          <t>07 / 000135</t>
        </is>
      </c>
      <c r="O1565" t="inlineStr">
        <is>
          <t>R</t>
        </is>
      </c>
      <c r="P1565">
        <f>TRIM(N1565)</f>
        <v/>
      </c>
    </row>
    <row r="1566">
      <c r="A1566" t="inlineStr">
        <is>
          <t>CO-001879</t>
        </is>
      </c>
      <c r="B1566" t="inlineStr">
        <is>
          <t xml:space="preserve">MERCADO LA FRONTERA </t>
        </is>
      </c>
      <c r="D1566" t="inlineStr">
        <is>
          <t xml:space="preserve">AV. MARIANO CONDORCANQUI  CRUCE CON AV. SEÑOR DE CAUDIVILLA </t>
        </is>
      </c>
      <c r="E1566" t="inlineStr">
        <is>
          <t>Lima, 25 de Marzo de 2024</t>
        </is>
      </c>
      <c r="F1566" t="inlineStr">
        <is>
          <t>la Recarga y mantenimiento</t>
        </is>
      </c>
      <c r="G1566" t="inlineStr">
        <is>
          <t>08</t>
        </is>
      </c>
      <c r="H1566" t="inlineStr">
        <is>
          <t>12 KG</t>
        </is>
      </c>
      <c r="I1566" t="inlineStr">
        <is>
          <t>2025</t>
        </is>
      </c>
      <c r="J1566" t="n">
        <v>2020</v>
      </c>
      <c r="K1566" t="inlineStr">
        <is>
          <t>MARZO 2024</t>
        </is>
      </c>
      <c r="L1566" t="inlineStr">
        <is>
          <t>MARZO 2025</t>
        </is>
      </c>
      <c r="M1566" t="inlineStr">
        <is>
          <t>P.Q.S TIPO ABC</t>
        </is>
      </c>
      <c r="N1566" t="inlineStr">
        <is>
          <t>08 / 000972</t>
        </is>
      </c>
      <c r="O1566" t="inlineStr">
        <is>
          <t>R</t>
        </is>
      </c>
      <c r="P1566">
        <f>TRIM(N1566)</f>
        <v/>
      </c>
    </row>
    <row r="1567">
      <c r="A1567" t="inlineStr">
        <is>
          <t>CO-001879</t>
        </is>
      </c>
      <c r="B1567" t="inlineStr">
        <is>
          <t xml:space="preserve">MERCADO LA FRONTERA </t>
        </is>
      </c>
      <c r="D1567" t="inlineStr">
        <is>
          <t xml:space="preserve">AV. MARIANO CONDORCANQUI  CRUCE CON AV. SEÑOR DE CAUDIVILLA </t>
        </is>
      </c>
      <c r="E1567" t="inlineStr">
        <is>
          <t>Lima, 25 de Marzo de 2024</t>
        </is>
      </c>
      <c r="F1567" t="inlineStr">
        <is>
          <t>la Recarga y mantenimiento</t>
        </is>
      </c>
      <c r="G1567" t="inlineStr">
        <is>
          <t>09</t>
        </is>
      </c>
      <c r="H1567" t="inlineStr">
        <is>
          <t>12 KG</t>
        </is>
      </c>
      <c r="I1567" t="inlineStr">
        <is>
          <t>2025</t>
        </is>
      </c>
      <c r="J1567" t="n">
        <v>2020</v>
      </c>
      <c r="K1567" t="inlineStr">
        <is>
          <t>MARZO 2024</t>
        </is>
      </c>
      <c r="L1567" t="inlineStr">
        <is>
          <t>MARZO 2025</t>
        </is>
      </c>
      <c r="M1567" t="inlineStr">
        <is>
          <t>P.Q.S TIPO ABC</t>
        </is>
      </c>
      <c r="N1567" t="inlineStr">
        <is>
          <t>09 / 001090</t>
        </is>
      </c>
      <c r="O1567" t="inlineStr">
        <is>
          <t>R</t>
        </is>
      </c>
      <c r="P1567">
        <f>TRIM(N1567)</f>
        <v/>
      </c>
    </row>
    <row r="1568">
      <c r="A1568" t="inlineStr">
        <is>
          <t>CO-001880</t>
        </is>
      </c>
      <c r="B1568" t="inlineStr">
        <is>
          <t>PERU MASIVO S.A.</t>
        </is>
      </c>
      <c r="C1568" t="inlineStr">
        <is>
          <t>20492392031</t>
        </is>
      </c>
      <c r="D1568" t="inlineStr">
        <is>
          <t>AV. LOS INCAS CDRA. 4 PATIO NORTE - COMAS</t>
        </is>
      </c>
      <c r="E1568" t="inlineStr">
        <is>
          <t>Lima, 25 de Marzo de 2024</t>
        </is>
      </c>
      <c r="F1568" t="inlineStr">
        <is>
          <t>la Recarga y mantenimiento</t>
        </is>
      </c>
      <c r="G1568" t="inlineStr">
        <is>
          <t>01</t>
        </is>
      </c>
      <c r="H1568" t="inlineStr">
        <is>
          <t>06 KG</t>
        </is>
      </c>
      <c r="I1568" t="inlineStr">
        <is>
          <t>2029</t>
        </is>
      </c>
      <c r="J1568" t="n">
        <v>2012</v>
      </c>
      <c r="K1568" t="inlineStr">
        <is>
          <t>MARZO 2024</t>
        </is>
      </c>
      <c r="L1568" t="inlineStr">
        <is>
          <t>MARZO 2025</t>
        </is>
      </c>
      <c r="M1568" t="inlineStr">
        <is>
          <t>P.Q.S TIPO ABC AL 90 % NACIONAL</t>
        </is>
      </c>
      <c r="N1568" t="inlineStr">
        <is>
          <t>50 / 003076</t>
        </is>
      </c>
      <c r="O1568" t="inlineStr">
        <is>
          <t>R</t>
        </is>
      </c>
      <c r="P1568">
        <f>TRIM(N1568)</f>
        <v/>
      </c>
    </row>
    <row r="1569">
      <c r="A1569" t="inlineStr">
        <is>
          <t>CO-001880</t>
        </is>
      </c>
      <c r="B1569" t="inlineStr">
        <is>
          <t>PERU MASIVO S.A.</t>
        </is>
      </c>
      <c r="C1569" t="inlineStr">
        <is>
          <t>20492392031</t>
        </is>
      </c>
      <c r="D1569" t="inlineStr">
        <is>
          <t>AV. LOS INCAS CDRA. 4 PATIO NORTE - COMAS</t>
        </is>
      </c>
      <c r="E1569" t="inlineStr">
        <is>
          <t>Lima, 25 de Marzo de 2024</t>
        </is>
      </c>
      <c r="F1569" t="inlineStr">
        <is>
          <t>la Recarga y mantenimiento</t>
        </is>
      </c>
      <c r="G1569" t="inlineStr">
        <is>
          <t>02</t>
        </is>
      </c>
      <c r="H1569" t="inlineStr">
        <is>
          <t>06 KG</t>
        </is>
      </c>
      <c r="I1569" t="inlineStr">
        <is>
          <t>2029</t>
        </is>
      </c>
      <c r="J1569" t="n">
        <v>2009</v>
      </c>
      <c r="K1569" t="inlineStr">
        <is>
          <t>MARZO 2024</t>
        </is>
      </c>
      <c r="L1569" t="inlineStr">
        <is>
          <t>MARZO 2025</t>
        </is>
      </c>
      <c r="M1569" t="inlineStr">
        <is>
          <t>P.Q.S TIPO ABC AL 90 % NACIONAL</t>
        </is>
      </c>
      <c r="N1569" t="inlineStr">
        <is>
          <t>207 / 000768</t>
        </is>
      </c>
      <c r="O1569" t="inlineStr">
        <is>
          <t>R</t>
        </is>
      </c>
      <c r="P1569">
        <f>TRIM(N1569)</f>
        <v/>
      </c>
    </row>
    <row r="1570">
      <c r="A1570" t="inlineStr">
        <is>
          <t>CO-001880</t>
        </is>
      </c>
      <c r="B1570" t="inlineStr">
        <is>
          <t>PERU MASIVO S.A.</t>
        </is>
      </c>
      <c r="C1570" t="inlineStr">
        <is>
          <t>20492392031</t>
        </is>
      </c>
      <c r="D1570" t="inlineStr">
        <is>
          <t>AV. LOS INCAS CDRA. 4 PATIO NORTE - COMAS</t>
        </is>
      </c>
      <c r="E1570" t="inlineStr">
        <is>
          <t>Lima, 25 de Marzo de 2024</t>
        </is>
      </c>
      <c r="F1570" t="inlineStr">
        <is>
          <t>la Recarga y mantenimiento</t>
        </is>
      </c>
      <c r="G1570" t="inlineStr">
        <is>
          <t>03</t>
        </is>
      </c>
      <c r="H1570" t="inlineStr">
        <is>
          <t>06 KG</t>
        </is>
      </c>
      <c r="I1570" t="inlineStr">
        <is>
          <t>2029</t>
        </is>
      </c>
      <c r="J1570" t="n">
        <v>2010</v>
      </c>
      <c r="K1570" t="inlineStr">
        <is>
          <t>MARZO 2024</t>
        </is>
      </c>
      <c r="L1570" t="inlineStr">
        <is>
          <t>MARZO 2025</t>
        </is>
      </c>
      <c r="M1570" t="inlineStr">
        <is>
          <t>P.Q.S TIPO ABC AL 90 % NACIONAL</t>
        </is>
      </c>
      <c r="N1570" t="inlineStr">
        <is>
          <t>197 / 000132</t>
        </is>
      </c>
      <c r="O1570" t="inlineStr">
        <is>
          <t>R</t>
        </is>
      </c>
      <c r="P1570">
        <f>TRIM(N1570)</f>
        <v/>
      </c>
    </row>
    <row r="1571">
      <c r="A1571" t="inlineStr">
        <is>
          <t>CO-001880</t>
        </is>
      </c>
      <c r="B1571" t="inlineStr">
        <is>
          <t>PERU MASIVO S.A.</t>
        </is>
      </c>
      <c r="C1571" t="inlineStr">
        <is>
          <t>20492392031</t>
        </is>
      </c>
      <c r="D1571" t="inlineStr">
        <is>
          <t>AV. LOS INCAS CDRA. 4 PATIO NORTE - COMAS</t>
        </is>
      </c>
      <c r="E1571" t="inlineStr">
        <is>
          <t>Lima, 25 de Marzo de 2024</t>
        </is>
      </c>
      <c r="F1571" t="inlineStr">
        <is>
          <t>la Recarga y mantenimiento</t>
        </is>
      </c>
      <c r="G1571" t="inlineStr">
        <is>
          <t>04</t>
        </is>
      </c>
      <c r="H1571" t="inlineStr">
        <is>
          <t>06 KG</t>
        </is>
      </c>
      <c r="I1571" t="inlineStr">
        <is>
          <t>2029</t>
        </is>
      </c>
      <c r="J1571" t="n">
        <v>2009</v>
      </c>
      <c r="K1571" t="inlineStr">
        <is>
          <t>MARZO 2024</t>
        </is>
      </c>
      <c r="L1571" t="inlineStr">
        <is>
          <t>MARZO 2025</t>
        </is>
      </c>
      <c r="M1571" t="inlineStr">
        <is>
          <t>P.Q.S TIPO ABC AL 90 % NACIONAL</t>
        </is>
      </c>
      <c r="N1571" t="inlineStr">
        <is>
          <t>259 / 000105</t>
        </is>
      </c>
      <c r="O1571" t="inlineStr">
        <is>
          <t>R</t>
        </is>
      </c>
      <c r="P1571">
        <f>TRIM(N1571)</f>
        <v/>
      </c>
    </row>
    <row r="1572">
      <c r="A1572" t="inlineStr">
        <is>
          <t>CO-001880</t>
        </is>
      </c>
      <c r="B1572" t="inlineStr">
        <is>
          <t>PERU MASIVO S.A.</t>
        </is>
      </c>
      <c r="C1572" t="inlineStr">
        <is>
          <t>20492392031</t>
        </is>
      </c>
      <c r="D1572" t="inlineStr">
        <is>
          <t>AV. LOS INCAS CDRA. 4 PATIO NORTE - COMAS</t>
        </is>
      </c>
      <c r="E1572" t="inlineStr">
        <is>
          <t>Lima, 25 de Marzo de 2024</t>
        </is>
      </c>
      <c r="F1572" t="inlineStr">
        <is>
          <t>la Recarga y mantenimiento</t>
        </is>
      </c>
      <c r="G1572" t="inlineStr">
        <is>
          <t>05</t>
        </is>
      </c>
      <c r="H1572" t="inlineStr">
        <is>
          <t>06 KG</t>
        </is>
      </c>
      <c r="I1572" t="inlineStr">
        <is>
          <t>2029</t>
        </is>
      </c>
      <c r="J1572" t="n">
        <v>2009</v>
      </c>
      <c r="K1572" t="inlineStr">
        <is>
          <t>MARZO 2024</t>
        </is>
      </c>
      <c r="L1572" t="inlineStr">
        <is>
          <t>MARZO 2025</t>
        </is>
      </c>
      <c r="M1572" t="inlineStr">
        <is>
          <t>P.Q.S TIPO ABC AL 90 % NACIONAL</t>
        </is>
      </c>
      <c r="N1572" t="inlineStr">
        <is>
          <t>182 / 001279</t>
        </is>
      </c>
      <c r="O1572" t="inlineStr">
        <is>
          <t>R</t>
        </is>
      </c>
      <c r="P1572">
        <f>TRIM(N1572)</f>
        <v/>
      </c>
    </row>
    <row r="1573">
      <c r="A1573" t="inlineStr">
        <is>
          <t>CO-001880</t>
        </is>
      </c>
      <c r="B1573" t="inlineStr">
        <is>
          <t>PERU MASIVO S.A.</t>
        </is>
      </c>
      <c r="C1573" t="inlineStr">
        <is>
          <t>20492392031</t>
        </is>
      </c>
      <c r="D1573" t="inlineStr">
        <is>
          <t>AV. LOS INCAS CDRA. 4 PATIO NORTE - COMAS</t>
        </is>
      </c>
      <c r="E1573" t="inlineStr">
        <is>
          <t>Lima, 25 de Marzo de 2024</t>
        </is>
      </c>
      <c r="F1573" t="inlineStr">
        <is>
          <t>la Recarga y mantenimiento</t>
        </is>
      </c>
      <c r="G1573" t="inlineStr">
        <is>
          <t>06</t>
        </is>
      </c>
      <c r="H1573" t="inlineStr">
        <is>
          <t>06 KG</t>
        </is>
      </c>
      <c r="I1573" t="inlineStr">
        <is>
          <t>2029</t>
        </is>
      </c>
      <c r="J1573" t="n">
        <v>2009</v>
      </c>
      <c r="K1573" t="inlineStr">
        <is>
          <t>MARZO 2024</t>
        </is>
      </c>
      <c r="L1573" t="inlineStr">
        <is>
          <t>MARZO 2025</t>
        </is>
      </c>
      <c r="M1573" t="inlineStr">
        <is>
          <t>P.Q.S TIPO ABC AL 90 % NACIONAL</t>
        </is>
      </c>
      <c r="N1573" t="inlineStr">
        <is>
          <t>282 / 000201</t>
        </is>
      </c>
      <c r="O1573" t="inlineStr">
        <is>
          <t>R</t>
        </is>
      </c>
      <c r="P1573">
        <f>TRIM(N1573)</f>
        <v/>
      </c>
    </row>
    <row r="1574">
      <c r="A1574" t="inlineStr">
        <is>
          <t>CO-001880</t>
        </is>
      </c>
      <c r="B1574" t="inlineStr">
        <is>
          <t>PERU MASIVO S.A.</t>
        </is>
      </c>
      <c r="C1574" t="inlineStr">
        <is>
          <t>20492392031</t>
        </is>
      </c>
      <c r="D1574" t="inlineStr">
        <is>
          <t>AV. LOS INCAS CDRA. 4 PATIO NORTE - COMAS</t>
        </is>
      </c>
      <c r="E1574" t="inlineStr">
        <is>
          <t>Lima, 25 de Marzo de 2024</t>
        </is>
      </c>
      <c r="F1574" t="inlineStr">
        <is>
          <t>la Recarga y mantenimiento</t>
        </is>
      </c>
      <c r="G1574" t="inlineStr">
        <is>
          <t>07</t>
        </is>
      </c>
      <c r="H1574" t="inlineStr">
        <is>
          <t>06 KG</t>
        </is>
      </c>
      <c r="I1574" t="inlineStr">
        <is>
          <t>2029</t>
        </is>
      </c>
      <c r="J1574" t="n">
        <v>2010</v>
      </c>
      <c r="K1574" t="inlineStr">
        <is>
          <t>MARZO 2024</t>
        </is>
      </c>
      <c r="L1574" t="inlineStr">
        <is>
          <t>MARZO 2025</t>
        </is>
      </c>
      <c r="M1574" t="inlineStr">
        <is>
          <t>P.Q.S TIPO ABC AL 90 % NACIONAL</t>
        </is>
      </c>
      <c r="N1574" t="inlineStr">
        <is>
          <t>25 / 000665</t>
        </is>
      </c>
      <c r="O1574" t="inlineStr">
        <is>
          <t>R</t>
        </is>
      </c>
      <c r="P1574">
        <f>TRIM(N1574)</f>
        <v/>
      </c>
    </row>
    <row r="1575">
      <c r="A1575" t="inlineStr">
        <is>
          <t>CO-001880</t>
        </is>
      </c>
      <c r="B1575" t="inlineStr">
        <is>
          <t>PERU MASIVO S.A.</t>
        </is>
      </c>
      <c r="C1575" t="inlineStr">
        <is>
          <t>20492392031</t>
        </is>
      </c>
      <c r="D1575" t="inlineStr">
        <is>
          <t>AV. LOS INCAS CDRA. 4 PATIO NORTE - COMAS</t>
        </is>
      </c>
      <c r="E1575" t="inlineStr">
        <is>
          <t>Lima, 25 de Marzo de 2024</t>
        </is>
      </c>
      <c r="F1575" t="inlineStr">
        <is>
          <t>la Recarga y mantenimiento</t>
        </is>
      </c>
      <c r="G1575" t="inlineStr">
        <is>
          <t>08</t>
        </is>
      </c>
      <c r="H1575" t="inlineStr">
        <is>
          <t>06 KG</t>
        </is>
      </c>
      <c r="I1575" t="inlineStr">
        <is>
          <t>2028</t>
        </is>
      </c>
      <c r="J1575" t="n">
        <v>2009</v>
      </c>
      <c r="K1575" t="inlineStr">
        <is>
          <t>MARZO 2024</t>
        </is>
      </c>
      <c r="L1575" t="inlineStr">
        <is>
          <t>MARZO 2025</t>
        </is>
      </c>
      <c r="M1575" t="inlineStr">
        <is>
          <t>P.Q.S TIPO ABC AL 90 % NACIONAL</t>
        </is>
      </c>
      <c r="N1575" t="inlineStr">
        <is>
          <t>249 / 002215</t>
        </is>
      </c>
      <c r="O1575" t="inlineStr">
        <is>
          <t>R</t>
        </is>
      </c>
      <c r="P1575">
        <f>TRIM(N1575)</f>
        <v/>
      </c>
    </row>
    <row r="1576">
      <c r="A1576" t="inlineStr">
        <is>
          <t>CO-001880</t>
        </is>
      </c>
      <c r="B1576" t="inlineStr">
        <is>
          <t>PERU MASIVO S.A.</t>
        </is>
      </c>
      <c r="C1576" t="inlineStr">
        <is>
          <t>20492392031</t>
        </is>
      </c>
      <c r="D1576" t="inlineStr">
        <is>
          <t>AV. LOS INCAS CDRA. 4 PATIO NORTE - COMAS</t>
        </is>
      </c>
      <c r="E1576" t="inlineStr">
        <is>
          <t>Lima, 25 de Marzo de 2024</t>
        </is>
      </c>
      <c r="F1576" t="inlineStr">
        <is>
          <t>la Recarga y mantenimiento</t>
        </is>
      </c>
      <c r="G1576" t="inlineStr">
        <is>
          <t>09</t>
        </is>
      </c>
      <c r="H1576" t="inlineStr">
        <is>
          <t>06 KG</t>
        </is>
      </c>
      <c r="I1576" t="inlineStr">
        <is>
          <t>2029</t>
        </is>
      </c>
      <c r="J1576" t="n">
        <v>2009</v>
      </c>
      <c r="K1576" t="inlineStr">
        <is>
          <t>MARZO 2024</t>
        </is>
      </c>
      <c r="L1576" t="inlineStr">
        <is>
          <t>MARZO 2025</t>
        </is>
      </c>
      <c r="M1576" t="inlineStr">
        <is>
          <t>P.Q.S TIPO ABC AL 90 % NACIONAL</t>
        </is>
      </c>
      <c r="N1576" t="inlineStr">
        <is>
          <t>158 / 002165</t>
        </is>
      </c>
      <c r="O1576" t="inlineStr">
        <is>
          <t>R</t>
        </is>
      </c>
      <c r="P1576">
        <f>TRIM(N1576)</f>
        <v/>
      </c>
    </row>
    <row r="1577">
      <c r="A1577" t="inlineStr">
        <is>
          <t>CO-001880</t>
        </is>
      </c>
      <c r="B1577" t="inlineStr">
        <is>
          <t>PERU MASIVO S.A.</t>
        </is>
      </c>
      <c r="C1577" t="inlineStr">
        <is>
          <t>20492392031</t>
        </is>
      </c>
      <c r="D1577" t="inlineStr">
        <is>
          <t>AV. LOS INCAS CDRA. 4 PATIO NORTE - COMAS</t>
        </is>
      </c>
      <c r="E1577" t="inlineStr">
        <is>
          <t>Lima, 25 de Marzo de 2024</t>
        </is>
      </c>
      <c r="F1577" t="inlineStr">
        <is>
          <t>la Recarga y mantenimiento</t>
        </is>
      </c>
      <c r="G1577" t="n">
        <v>10</v>
      </c>
      <c r="H1577" t="inlineStr">
        <is>
          <t>06 KG</t>
        </is>
      </c>
      <c r="I1577" t="inlineStr">
        <is>
          <t>2028</t>
        </is>
      </c>
      <c r="J1577" t="n">
        <v>2017</v>
      </c>
      <c r="K1577" t="inlineStr">
        <is>
          <t>MARZO 2024</t>
        </is>
      </c>
      <c r="L1577" t="inlineStr">
        <is>
          <t>MARZO 2025</t>
        </is>
      </c>
      <c r="M1577" t="inlineStr">
        <is>
          <t>P.Q.S TIPO ABC AL 90 % NACIONAL</t>
        </is>
      </c>
      <c r="N1577" t="inlineStr">
        <is>
          <t>53 / 004208</t>
        </is>
      </c>
      <c r="O1577" t="inlineStr">
        <is>
          <t>R</t>
        </is>
      </c>
      <c r="P1577">
        <f>TRIM(N1577)</f>
        <v/>
      </c>
    </row>
    <row r="1578">
      <c r="A1578" t="inlineStr">
        <is>
          <t>CO-001880</t>
        </is>
      </c>
      <c r="B1578" t="inlineStr">
        <is>
          <t>PERU MASIVO S.A.</t>
        </is>
      </c>
      <c r="C1578" t="inlineStr">
        <is>
          <t>20492392031</t>
        </is>
      </c>
      <c r="D1578" t="inlineStr">
        <is>
          <t>AV. LOS INCAS CDRA. 4 PATIO NORTE - COMAS</t>
        </is>
      </c>
      <c r="E1578" t="inlineStr">
        <is>
          <t>Lima, 25 de Marzo de 2024</t>
        </is>
      </c>
      <c r="F1578" t="inlineStr">
        <is>
          <t>la Recarga y mantenimiento</t>
        </is>
      </c>
      <c r="G1578" t="n">
        <v>11</v>
      </c>
      <c r="H1578" t="inlineStr">
        <is>
          <t>06 KG</t>
        </is>
      </c>
      <c r="I1578" t="inlineStr">
        <is>
          <t>2029</t>
        </is>
      </c>
      <c r="J1578" t="n">
        <v>2010</v>
      </c>
      <c r="K1578" t="inlineStr">
        <is>
          <t>MARZO 2024</t>
        </is>
      </c>
      <c r="L1578" t="inlineStr">
        <is>
          <t>MARZO 2025</t>
        </is>
      </c>
      <c r="M1578" t="inlineStr">
        <is>
          <t>P.Q.S TIPO ABC AL 90 % NACIONAL</t>
        </is>
      </c>
      <c r="N1578" t="inlineStr">
        <is>
          <t>244 / 001534</t>
        </is>
      </c>
      <c r="O1578" t="inlineStr">
        <is>
          <t>R</t>
        </is>
      </c>
      <c r="P1578">
        <f>TRIM(N1578)</f>
        <v/>
      </c>
    </row>
    <row r="1579">
      <c r="A1579" t="inlineStr">
        <is>
          <t>CO-001880</t>
        </is>
      </c>
      <c r="B1579" t="inlineStr">
        <is>
          <t>PERU MASIVO S.A.</t>
        </is>
      </c>
      <c r="C1579" t="inlineStr">
        <is>
          <t>20492392031</t>
        </is>
      </c>
      <c r="D1579" t="inlineStr">
        <is>
          <t>AV. LOS INCAS CDRA. 4 PATIO NORTE - COMAS</t>
        </is>
      </c>
      <c r="E1579" t="inlineStr">
        <is>
          <t>Lima, 25 de Marzo de 2024</t>
        </is>
      </c>
      <c r="F1579" t="inlineStr">
        <is>
          <t>la Recarga y mantenimiento</t>
        </is>
      </c>
      <c r="G1579" t="n">
        <v>12</v>
      </c>
      <c r="H1579" t="inlineStr">
        <is>
          <t>06 KG</t>
        </is>
      </c>
      <c r="I1579" t="inlineStr">
        <is>
          <t>2028</t>
        </is>
      </c>
      <c r="J1579" t="n">
        <v>2009</v>
      </c>
      <c r="K1579" t="inlineStr">
        <is>
          <t>MARZO 2024</t>
        </is>
      </c>
      <c r="L1579" t="inlineStr">
        <is>
          <t>MARZO 2025</t>
        </is>
      </c>
      <c r="M1579" t="inlineStr">
        <is>
          <t>P.Q.S TIPO ABC AL 90 % NACIONAL</t>
        </is>
      </c>
      <c r="N1579" t="inlineStr">
        <is>
          <t>361 / 001112</t>
        </is>
      </c>
      <c r="O1579" t="inlineStr">
        <is>
          <t>R</t>
        </is>
      </c>
      <c r="P1579">
        <f>TRIM(N1579)</f>
        <v/>
      </c>
    </row>
    <row r="1580">
      <c r="A1580" t="inlineStr">
        <is>
          <t>CO-001880</t>
        </is>
      </c>
      <c r="B1580" t="inlineStr">
        <is>
          <t>PERU MASIVO S.A.</t>
        </is>
      </c>
      <c r="C1580" t="inlineStr">
        <is>
          <t>20492392031</t>
        </is>
      </c>
      <c r="D1580" t="inlineStr">
        <is>
          <t>AV. LOS INCAS CDRA. 4 PATIO NORTE - COMAS</t>
        </is>
      </c>
      <c r="E1580" t="inlineStr">
        <is>
          <t>Lima, 25 de Marzo de 2024</t>
        </is>
      </c>
      <c r="F1580" t="inlineStr">
        <is>
          <t>la Recarga y mantenimiento</t>
        </is>
      </c>
      <c r="G1580" t="n">
        <v>13</v>
      </c>
      <c r="H1580" t="inlineStr">
        <is>
          <t>06 KG</t>
        </is>
      </c>
      <c r="I1580" t="inlineStr">
        <is>
          <t>2028</t>
        </is>
      </c>
      <c r="J1580" t="n">
        <v>2009</v>
      </c>
      <c r="K1580" t="inlineStr">
        <is>
          <t>MARZO 2024</t>
        </is>
      </c>
      <c r="L1580" t="inlineStr">
        <is>
          <t>MARZO 2025</t>
        </is>
      </c>
      <c r="M1580" t="inlineStr">
        <is>
          <t>P.Q.S TIPO ABC AL 90 % NACIONAL</t>
        </is>
      </c>
      <c r="N1580" t="inlineStr">
        <is>
          <t>173 / 000490</t>
        </is>
      </c>
      <c r="O1580" t="inlineStr">
        <is>
          <t>R</t>
        </is>
      </c>
      <c r="P1580">
        <f>TRIM(N1580)</f>
        <v/>
      </c>
    </row>
    <row r="1581">
      <c r="A1581" t="inlineStr">
        <is>
          <t>CO-001880</t>
        </is>
      </c>
      <c r="B1581" t="inlineStr">
        <is>
          <t>PERU MASIVO S.A.</t>
        </is>
      </c>
      <c r="C1581" t="inlineStr">
        <is>
          <t>20492392031</t>
        </is>
      </c>
      <c r="D1581" t="inlineStr">
        <is>
          <t>AV. LOS INCAS CDRA. 4 PATIO NORTE - COMAS</t>
        </is>
      </c>
      <c r="E1581" t="inlineStr">
        <is>
          <t>Lima, 25 de Marzo de 2024</t>
        </is>
      </c>
      <c r="F1581" t="inlineStr">
        <is>
          <t>la Recarga y mantenimiento</t>
        </is>
      </c>
      <c r="G1581" t="n">
        <v>14</v>
      </c>
      <c r="H1581" t="inlineStr">
        <is>
          <t>06 KG</t>
        </is>
      </c>
      <c r="I1581" t="inlineStr">
        <is>
          <t>2029</t>
        </is>
      </c>
      <c r="J1581" t="n">
        <v>2009</v>
      </c>
      <c r="K1581" t="inlineStr">
        <is>
          <t>MARZO 2024</t>
        </is>
      </c>
      <c r="L1581" t="inlineStr">
        <is>
          <t>MARZO 2025</t>
        </is>
      </c>
      <c r="M1581" t="inlineStr">
        <is>
          <t>P.Q.S TIPO ABC AL 90 % NACIONAL</t>
        </is>
      </c>
      <c r="N1581" t="inlineStr">
        <is>
          <t>330 / 002300</t>
        </is>
      </c>
      <c r="O1581" t="inlineStr">
        <is>
          <t>R</t>
        </is>
      </c>
      <c r="P1581">
        <f>TRIM(N1581)</f>
        <v/>
      </c>
    </row>
    <row r="1582">
      <c r="A1582" t="inlineStr">
        <is>
          <t>CO-001880</t>
        </is>
      </c>
      <c r="B1582" t="inlineStr">
        <is>
          <t>PERU MASIVO S.A.</t>
        </is>
      </c>
      <c r="C1582" t="inlineStr">
        <is>
          <t>20492392031</t>
        </is>
      </c>
      <c r="D1582" t="inlineStr">
        <is>
          <t>AV. LOS INCAS CDRA. 4 PATIO NORTE - COMAS</t>
        </is>
      </c>
      <c r="E1582" t="inlineStr">
        <is>
          <t>Lima, 25 de Marzo de 2024</t>
        </is>
      </c>
      <c r="F1582" t="inlineStr">
        <is>
          <t>la Recarga y mantenimiento</t>
        </is>
      </c>
      <c r="G1582" t="n">
        <v>15</v>
      </c>
      <c r="H1582" t="inlineStr">
        <is>
          <t>06 KG</t>
        </is>
      </c>
      <c r="I1582" t="inlineStr">
        <is>
          <t>2029</t>
        </is>
      </c>
      <c r="J1582" t="n">
        <v>2010</v>
      </c>
      <c r="K1582" t="inlineStr">
        <is>
          <t>MARZO 2024</t>
        </is>
      </c>
      <c r="L1582" t="inlineStr">
        <is>
          <t>MARZO 2025</t>
        </is>
      </c>
      <c r="M1582" t="inlineStr">
        <is>
          <t>P.Q.S TIPO ABC AL 90 % NACIONAL</t>
        </is>
      </c>
      <c r="N1582" t="inlineStr">
        <is>
          <t>55 / 006497</t>
        </is>
      </c>
      <c r="P1582">
        <f>TRIM(N1582)</f>
        <v/>
      </c>
    </row>
    <row r="1583">
      <c r="A1583" t="inlineStr">
        <is>
          <t>CO-001881</t>
        </is>
      </c>
      <c r="B1583" t="inlineStr">
        <is>
          <t xml:space="preserve">ELVIRA VEGA </t>
        </is>
      </c>
      <c r="D1583" t="inlineStr">
        <is>
          <t>MERCADO  LA FRONTERA - Puesto F30</t>
        </is>
      </c>
      <c r="E1583" t="inlineStr">
        <is>
          <t>Lima, 26 de Marzo de 2024</t>
        </is>
      </c>
      <c r="F1583" t="inlineStr">
        <is>
          <t>la Recarga y mantenimiento</t>
        </is>
      </c>
      <c r="G1583" t="inlineStr">
        <is>
          <t>01</t>
        </is>
      </c>
      <c r="H1583" t="inlineStr">
        <is>
          <t>06 KG</t>
        </is>
      </c>
      <c r="I1583" t="inlineStr">
        <is>
          <t>VIGENTE</t>
        </is>
      </c>
      <c r="J1583" t="n">
        <v>2017</v>
      </c>
      <c r="K1583" t="inlineStr">
        <is>
          <t>MARZO 2024</t>
        </is>
      </c>
      <c r="L1583" t="inlineStr">
        <is>
          <t>MARZO 2025</t>
        </is>
      </c>
      <c r="M1583" t="inlineStr">
        <is>
          <t>P.Q.S TIPO ABC</t>
        </is>
      </c>
      <c r="N1583" t="inlineStr">
        <is>
          <t>000266</t>
        </is>
      </c>
      <c r="O1583" t="inlineStr">
        <is>
          <t>R</t>
        </is>
      </c>
      <c r="P1583">
        <f>TRIM(N1583)</f>
        <v/>
      </c>
    </row>
    <row r="1584">
      <c r="A1584" t="inlineStr">
        <is>
          <t>CO-001882</t>
        </is>
      </c>
      <c r="B1584" t="inlineStr">
        <is>
          <t xml:space="preserve">JESSICA QUISPE DAVILA </t>
        </is>
      </c>
      <c r="D1584" t="inlineStr">
        <is>
          <t>MERCADO LA  FRONTERA -Puesto C11</t>
        </is>
      </c>
      <c r="E1584" t="inlineStr">
        <is>
          <t>Lima, 26 de Marzo de 2024</t>
        </is>
      </c>
      <c r="F1584" t="inlineStr">
        <is>
          <t>la Recarga y mantenimiento</t>
        </is>
      </c>
      <c r="G1584" t="inlineStr">
        <is>
          <t>01</t>
        </is>
      </c>
      <c r="H1584" t="inlineStr">
        <is>
          <t>06 KG</t>
        </is>
      </c>
      <c r="I1584" t="inlineStr">
        <is>
          <t>VIGENTE</t>
        </is>
      </c>
      <c r="J1584" t="n">
        <v>2016</v>
      </c>
      <c r="K1584" t="inlineStr">
        <is>
          <t>MARZO 2024</t>
        </is>
      </c>
      <c r="L1584" t="inlineStr">
        <is>
          <t>MARZO 2025</t>
        </is>
      </c>
      <c r="M1584" t="inlineStr">
        <is>
          <t>P.Q.S TIPO ABC</t>
        </is>
      </c>
      <c r="N1584" t="inlineStr">
        <is>
          <t>007371</t>
        </is>
      </c>
      <c r="O1584" t="inlineStr">
        <is>
          <t>R</t>
        </is>
      </c>
      <c r="P1584">
        <f>TRIM(N1584)</f>
        <v/>
      </c>
    </row>
    <row r="1585">
      <c r="A1585" t="inlineStr">
        <is>
          <t>CO-001883</t>
        </is>
      </c>
      <c r="B1585" t="inlineStr">
        <is>
          <t>ANA GONZALES SPOZZITO</t>
        </is>
      </c>
      <c r="C1585" t="inlineStr">
        <is>
          <t>40018506</t>
        </is>
      </c>
      <c r="D1585" t="inlineStr">
        <is>
          <t>MERCADO LA  FRONTERA - Puesto  F5</t>
        </is>
      </c>
      <c r="E1585" t="inlineStr">
        <is>
          <t>Lima, 26 de Marzo de 2024</t>
        </is>
      </c>
      <c r="F1585" t="inlineStr">
        <is>
          <t>la Recarga y mantenimiento</t>
        </is>
      </c>
      <c r="G1585" t="inlineStr">
        <is>
          <t>01</t>
        </is>
      </c>
      <c r="H1585" t="inlineStr">
        <is>
          <t>06 KG</t>
        </is>
      </c>
      <c r="I1585" t="inlineStr">
        <is>
          <t>VIGENTE</t>
        </is>
      </c>
      <c r="J1585" t="n">
        <v>2016</v>
      </c>
      <c r="K1585" t="inlineStr">
        <is>
          <t>MARZO 2024</t>
        </is>
      </c>
      <c r="L1585" t="inlineStr">
        <is>
          <t>MARZO 2025</t>
        </is>
      </c>
      <c r="M1585" t="inlineStr">
        <is>
          <t>P.Q.S TIPO ABC</t>
        </is>
      </c>
      <c r="N1585" t="inlineStr">
        <is>
          <t>001188</t>
        </is>
      </c>
      <c r="O1585" t="inlineStr">
        <is>
          <t>R</t>
        </is>
      </c>
      <c r="P1585">
        <f>TRIM(N1585)</f>
        <v/>
      </c>
    </row>
    <row r="1586">
      <c r="A1586" t="inlineStr">
        <is>
          <t>CO-001884</t>
        </is>
      </c>
      <c r="B1586" t="inlineStr">
        <is>
          <t>EJEMPLO</t>
        </is>
      </c>
      <c r="C1586" t="inlineStr">
        <is>
          <t>000000000</t>
        </is>
      </c>
      <c r="D1586" t="inlineStr">
        <is>
          <t>DISTRITO, CIUDAD</t>
        </is>
      </c>
      <c r="E1586" t="inlineStr">
        <is>
          <t>FECHA</t>
        </is>
      </c>
      <c r="F1586" t="inlineStr">
        <is>
          <t>la Recarga y mantenimiento</t>
        </is>
      </c>
      <c r="G1586" t="inlineStr">
        <is>
          <t>01</t>
        </is>
      </c>
      <c r="H1586" t="inlineStr">
        <is>
          <t>PESO</t>
        </is>
      </c>
      <c r="I1586" t="inlineStr">
        <is>
          <t>PROXIMA PH</t>
        </is>
      </c>
      <c r="J1586" t="inlineStr">
        <is>
          <t>FECHA</t>
        </is>
      </c>
      <c r="K1586" t="inlineStr">
        <is>
          <t>FECHA DE RECARGA</t>
        </is>
      </c>
      <c r="L1586" t="inlineStr">
        <is>
          <t>FECHA DE PROX RECARGA</t>
        </is>
      </c>
      <c r="M1586" t="inlineStr">
        <is>
          <t>TIPO DE EXTINTOR</t>
        </is>
      </c>
      <c r="N1586" t="inlineStr">
        <is>
          <t>SERIE</t>
        </is>
      </c>
      <c r="O1586" t="inlineStr">
        <is>
          <t>R</t>
        </is>
      </c>
      <c r="P1586">
        <f>TRIM(N1586)</f>
        <v/>
      </c>
    </row>
    <row r="1587">
      <c r="A1587" t="inlineStr">
        <is>
          <t>CO-001884</t>
        </is>
      </c>
      <c r="B1587" t="inlineStr">
        <is>
          <t>EJEMPLO</t>
        </is>
      </c>
      <c r="C1587" t="inlineStr">
        <is>
          <t>000000000</t>
        </is>
      </c>
      <c r="D1587" t="inlineStr">
        <is>
          <t>DISTRITO, CIUDAD</t>
        </is>
      </c>
      <c r="E1587" t="inlineStr">
        <is>
          <t>FECHA</t>
        </is>
      </c>
      <c r="F1587" t="inlineStr">
        <is>
          <t>la Recarga y mantenimiento</t>
        </is>
      </c>
      <c r="G1587" t="inlineStr">
        <is>
          <t>02</t>
        </is>
      </c>
      <c r="H1587" t="inlineStr">
        <is>
          <t>PESO</t>
        </is>
      </c>
      <c r="I1587" t="inlineStr">
        <is>
          <t>PROXIMA PH</t>
        </is>
      </c>
      <c r="J1587" t="inlineStr">
        <is>
          <t>FECHA</t>
        </is>
      </c>
      <c r="K1587" t="inlineStr">
        <is>
          <t>FECHA DE RECARGA</t>
        </is>
      </c>
      <c r="L1587" t="inlineStr">
        <is>
          <t>FECHA DE PROX RECARGA</t>
        </is>
      </c>
      <c r="M1587" t="inlineStr">
        <is>
          <t>TIPO DE EXTINTOR</t>
        </is>
      </c>
      <c r="N1587" t="inlineStr">
        <is>
          <t>SERIE</t>
        </is>
      </c>
      <c r="O1587" t="inlineStr">
        <is>
          <t>R</t>
        </is>
      </c>
      <c r="P1587">
        <f>TRIM(N1587)</f>
        <v/>
      </c>
    </row>
    <row r="1588">
      <c r="A1588" t="inlineStr">
        <is>
          <t>CO-001885</t>
        </is>
      </c>
      <c r="B1588" t="inlineStr">
        <is>
          <t>LUIS MIGUEL AZAÑERO BLAS</t>
        </is>
      </c>
      <c r="C1588" t="inlineStr">
        <is>
          <t>42412187</t>
        </is>
      </c>
      <c r="D1588" t="inlineStr">
        <is>
          <t>PLACA: BWU - 080</t>
        </is>
      </c>
      <c r="E1588" t="inlineStr">
        <is>
          <t>Lima, 26 de Marzo de 2024</t>
        </is>
      </c>
      <c r="F1588" t="inlineStr">
        <is>
          <t>la Recarga y mantenimiento</t>
        </is>
      </c>
      <c r="G1588" t="inlineStr">
        <is>
          <t>01</t>
        </is>
      </c>
      <c r="H1588" t="inlineStr">
        <is>
          <t>01 KG</t>
        </is>
      </c>
      <c r="I1588" t="inlineStr">
        <is>
          <t>2026</t>
        </is>
      </c>
      <c r="J1588" t="n">
        <v>2021</v>
      </c>
      <c r="K1588" t="inlineStr">
        <is>
          <t>MARZO 2024</t>
        </is>
      </c>
      <c r="L1588" t="inlineStr">
        <is>
          <t>MARZO 2025</t>
        </is>
      </c>
      <c r="M1588" t="inlineStr">
        <is>
          <t>P.Q.S TIPO ABC</t>
        </is>
      </c>
      <c r="N1588" t="inlineStr">
        <is>
          <t>085362</t>
        </is>
      </c>
      <c r="O1588" t="inlineStr">
        <is>
          <t>R</t>
        </is>
      </c>
      <c r="P1588">
        <f>TRIM(N1588)</f>
        <v/>
      </c>
    </row>
    <row r="1589">
      <c r="A1589" t="inlineStr">
        <is>
          <t>CO-001886</t>
        </is>
      </c>
      <c r="B1589" t="inlineStr">
        <is>
          <t>BEMBURGUER de Jose Vasquez</t>
        </is>
      </c>
      <c r="C1589" t="inlineStr">
        <is>
          <t>41270480</t>
        </is>
      </c>
      <c r="D1589" t="inlineStr">
        <is>
          <t>AV. ALMIRANTE MIGUEL GRAU 168</t>
        </is>
      </c>
      <c r="E1589" t="inlineStr">
        <is>
          <t>Lima, 27 de Marzo de 2024</t>
        </is>
      </c>
      <c r="F1589" t="inlineStr">
        <is>
          <t>la venta</t>
        </is>
      </c>
      <c r="G1589" t="inlineStr">
        <is>
          <t>01</t>
        </is>
      </c>
      <c r="H1589" t="inlineStr">
        <is>
          <t>06 KG</t>
        </is>
      </c>
      <c r="I1589" t="inlineStr">
        <is>
          <t>2028</t>
        </is>
      </c>
      <c r="J1589" t="n">
        <v>2023</v>
      </c>
      <c r="K1589" t="inlineStr">
        <is>
          <t>MARZO 2024</t>
        </is>
      </c>
      <c r="L1589" t="inlineStr">
        <is>
          <t>MARZO 2025</t>
        </is>
      </c>
      <c r="M1589" t="inlineStr">
        <is>
          <t>P.Q.S TIPO ABC</t>
        </is>
      </c>
      <c r="N1589" t="inlineStr">
        <is>
          <t>002668</t>
        </is>
      </c>
      <c r="O1589" t="inlineStr">
        <is>
          <t>V</t>
        </is>
      </c>
      <c r="P1589">
        <f>TRIM(N1589)</f>
        <v/>
      </c>
    </row>
    <row r="1590">
      <c r="A1590" t="inlineStr">
        <is>
          <t>CO-001886</t>
        </is>
      </c>
      <c r="B1590" t="inlineStr">
        <is>
          <t>BEMBURGUER de Jose Vasquez</t>
        </is>
      </c>
      <c r="C1590" t="inlineStr">
        <is>
          <t>41270480</t>
        </is>
      </c>
      <c r="D1590" t="inlineStr">
        <is>
          <t>AV. ALMIRANTE MIGUEL GRAU 168</t>
        </is>
      </c>
      <c r="E1590" t="inlineStr">
        <is>
          <t>Lima, 27 de Marzo de 2024</t>
        </is>
      </c>
      <c r="F1590" t="inlineStr">
        <is>
          <t>la venta</t>
        </is>
      </c>
      <c r="G1590" t="inlineStr">
        <is>
          <t>02</t>
        </is>
      </c>
      <c r="H1590" t="inlineStr">
        <is>
          <t>1.5 GLS.</t>
        </is>
      </c>
      <c r="I1590" t="inlineStr">
        <is>
          <t>2029</t>
        </is>
      </c>
      <c r="J1590" t="n">
        <v>2024</v>
      </c>
      <c r="K1590" t="inlineStr">
        <is>
          <t>MARZO 2024</t>
        </is>
      </c>
      <c r="L1590" t="inlineStr">
        <is>
          <t>MARZO 2025</t>
        </is>
      </c>
      <c r="M1590" t="inlineStr">
        <is>
          <t xml:space="preserve">ACETATO TIPO K </t>
        </is>
      </c>
      <c r="N1590" t="inlineStr">
        <is>
          <t>000229</t>
        </is>
      </c>
      <c r="O1590" t="inlineStr">
        <is>
          <t>V</t>
        </is>
      </c>
      <c r="P1590">
        <f>TRIM(N1590)</f>
        <v/>
      </c>
    </row>
    <row r="1591">
      <c r="A1591" t="inlineStr">
        <is>
          <t>CO-001887</t>
        </is>
      </c>
      <c r="B1591" t="inlineStr">
        <is>
          <t>RICHARD BARBARAN MEDINA</t>
        </is>
      </c>
      <c r="C1591" t="inlineStr">
        <is>
          <t>45749836</t>
        </is>
      </c>
      <c r="D1591" t="inlineStr">
        <is>
          <t>PLACA: AZJ - 878</t>
        </is>
      </c>
      <c r="E1591" t="inlineStr">
        <is>
          <t>Lima, 01 de Abril de 2024</t>
        </is>
      </c>
      <c r="F1591" t="inlineStr">
        <is>
          <t>la Recarga y mantenimiento</t>
        </is>
      </c>
      <c r="G1591" t="inlineStr">
        <is>
          <t>01</t>
        </is>
      </c>
      <c r="H1591" t="inlineStr">
        <is>
          <t>06 KG</t>
        </is>
      </c>
      <c r="I1591" t="inlineStr">
        <is>
          <t>2025</t>
        </is>
      </c>
      <c r="J1591" t="n">
        <v>2020</v>
      </c>
      <c r="K1591" t="inlineStr">
        <is>
          <t>ABRIL 2024</t>
        </is>
      </c>
      <c r="L1591" t="inlineStr">
        <is>
          <t>ABRIL 2025</t>
        </is>
      </c>
      <c r="M1591" t="inlineStr">
        <is>
          <t>P.Q.S TIPO ABC</t>
        </is>
      </c>
      <c r="N1591" t="inlineStr">
        <is>
          <t>164939</t>
        </is>
      </c>
      <c r="O1591" t="inlineStr">
        <is>
          <t>R</t>
        </is>
      </c>
      <c r="P1591">
        <f>TRIM(N1591)</f>
        <v/>
      </c>
    </row>
    <row r="1592">
      <c r="A1592" t="inlineStr">
        <is>
          <t>CO-001888</t>
        </is>
      </c>
      <c r="B1592" t="inlineStr">
        <is>
          <t>CORPORACION DENTAL SERPA E.I.R.L. DE SANDRA QUISPE</t>
        </is>
      </c>
      <c r="C1592" t="inlineStr">
        <is>
          <t>20612042862</t>
        </is>
      </c>
      <c r="D1592" t="inlineStr">
        <is>
          <t>AV. CONDORCANQUI MZ. R1 LT. 22 URB. RESIDENCIAL LUCYANA CARABAYLLO LIMA</t>
        </is>
      </c>
      <c r="E1592" t="inlineStr">
        <is>
          <t>Lima, 01 de Abril de 2024</t>
        </is>
      </c>
      <c r="F1592" t="inlineStr">
        <is>
          <t>la Recarga y mantenimiento</t>
        </is>
      </c>
      <c r="G1592" t="inlineStr">
        <is>
          <t>01</t>
        </is>
      </c>
      <c r="H1592" t="inlineStr">
        <is>
          <t>06 KG</t>
        </is>
      </c>
      <c r="I1592" t="inlineStr">
        <is>
          <t>2028</t>
        </is>
      </c>
      <c r="J1592" t="n">
        <v>2023</v>
      </c>
      <c r="K1592" t="inlineStr">
        <is>
          <t>ABRIL 2024</t>
        </is>
      </c>
      <c r="L1592" t="inlineStr">
        <is>
          <t>ABRIL 2025</t>
        </is>
      </c>
      <c r="M1592" t="inlineStr">
        <is>
          <t>P.Q.S TIPO ABC</t>
        </is>
      </c>
      <c r="N1592" t="inlineStr">
        <is>
          <t>000390</t>
        </is>
      </c>
      <c r="O1592" t="inlineStr">
        <is>
          <t>R</t>
        </is>
      </c>
      <c r="P1592">
        <f>TRIM(N1592)</f>
        <v/>
      </c>
    </row>
    <row r="1593">
      <c r="A1593" t="inlineStr">
        <is>
          <t>CO-001889</t>
        </is>
      </c>
      <c r="B1593" t="inlineStr">
        <is>
          <t>PERU MASIVO S.A.</t>
        </is>
      </c>
      <c r="C1593" t="inlineStr">
        <is>
          <t>20492392031</t>
        </is>
      </c>
      <c r="D1593" t="inlineStr">
        <is>
          <t>AV. LOS INCAS CDRA. 4 PATIO NORTE - COMAS</t>
        </is>
      </c>
      <c r="E1593" t="inlineStr">
        <is>
          <t>Lima, 02 de Abril de 2024</t>
        </is>
      </c>
      <c r="F1593" t="inlineStr">
        <is>
          <t>la Recarga y mantenimiento</t>
        </is>
      </c>
      <c r="G1593" t="inlineStr">
        <is>
          <t>01</t>
        </is>
      </c>
      <c r="H1593" t="inlineStr">
        <is>
          <t>06 KG</t>
        </is>
      </c>
      <c r="I1593" t="inlineStr">
        <is>
          <t>2029</t>
        </is>
      </c>
      <c r="J1593" t="n">
        <v>2009</v>
      </c>
      <c r="K1593" t="inlineStr">
        <is>
          <t>ABRIL 2024</t>
        </is>
      </c>
      <c r="L1593" t="inlineStr">
        <is>
          <t>ABRIL 2025</t>
        </is>
      </c>
      <c r="M1593" t="inlineStr">
        <is>
          <t>P.Q.S TIPO ABC AL 90 % NACIONAL</t>
        </is>
      </c>
      <c r="N1593" t="inlineStr">
        <is>
          <t>07 / 001500</t>
        </is>
      </c>
      <c r="O1593" t="inlineStr">
        <is>
          <t>R</t>
        </is>
      </c>
      <c r="P1593">
        <f>TRIM(N1593)</f>
        <v/>
      </c>
    </row>
    <row r="1594">
      <c r="A1594" t="inlineStr">
        <is>
          <t>CO-001889</t>
        </is>
      </c>
      <c r="B1594" t="inlineStr">
        <is>
          <t>PERU MASIVO S.A.</t>
        </is>
      </c>
      <c r="C1594" t="inlineStr">
        <is>
          <t>20492392031</t>
        </is>
      </c>
      <c r="D1594" t="inlineStr">
        <is>
          <t>AV. LOS INCAS CDRA. 4 PATIO NORTE - COMAS</t>
        </is>
      </c>
      <c r="E1594" t="inlineStr">
        <is>
          <t>Lima, 02 de Abril de 2024</t>
        </is>
      </c>
      <c r="F1594" t="inlineStr">
        <is>
          <t>la Recarga y mantenimiento</t>
        </is>
      </c>
      <c r="G1594" t="inlineStr">
        <is>
          <t>02</t>
        </is>
      </c>
      <c r="H1594" t="inlineStr">
        <is>
          <t>06 KG</t>
        </is>
      </c>
      <c r="I1594" t="inlineStr">
        <is>
          <t>2029</t>
        </is>
      </c>
      <c r="J1594" t="n">
        <v>2010</v>
      </c>
      <c r="K1594" t="inlineStr">
        <is>
          <t>ABRIL 2024</t>
        </is>
      </c>
      <c r="L1594" t="inlineStr">
        <is>
          <t>ABRIL 2025</t>
        </is>
      </c>
      <c r="M1594" t="inlineStr">
        <is>
          <t>P.Q.S TIPO ABC AL 90 % NACIONAL</t>
        </is>
      </c>
      <c r="N1594" t="inlineStr">
        <is>
          <t>220 / 000882</t>
        </is>
      </c>
      <c r="O1594" t="inlineStr">
        <is>
          <t>R</t>
        </is>
      </c>
      <c r="P1594">
        <f>TRIM(N1594)</f>
        <v/>
      </c>
    </row>
    <row r="1595">
      <c r="A1595" t="inlineStr">
        <is>
          <t>CO-001889</t>
        </is>
      </c>
      <c r="B1595" t="inlineStr">
        <is>
          <t>PERU MASIVO S.A.</t>
        </is>
      </c>
      <c r="C1595" t="inlineStr">
        <is>
          <t>20492392031</t>
        </is>
      </c>
      <c r="D1595" t="inlineStr">
        <is>
          <t>AV. LOS INCAS CDRA. 4 PATIO NORTE - COMAS</t>
        </is>
      </c>
      <c r="E1595" t="inlineStr">
        <is>
          <t>Lima, 02 de Abril de 2024</t>
        </is>
      </c>
      <c r="F1595" t="inlineStr">
        <is>
          <t>la Recarga y mantenimiento</t>
        </is>
      </c>
      <c r="G1595" t="inlineStr">
        <is>
          <t>03</t>
        </is>
      </c>
      <c r="H1595" t="inlineStr">
        <is>
          <t>06 KG</t>
        </is>
      </c>
      <c r="I1595" t="inlineStr">
        <is>
          <t>2029</t>
        </is>
      </c>
      <c r="J1595" t="n">
        <v>2009</v>
      </c>
      <c r="K1595" t="inlineStr">
        <is>
          <t>ABRIL 2024</t>
        </is>
      </c>
      <c r="L1595" t="inlineStr">
        <is>
          <t>ABRIL 2025</t>
        </is>
      </c>
      <c r="M1595" t="inlineStr">
        <is>
          <t>P.Q.S TIPO ABC AL 90 % NACIONAL</t>
        </is>
      </c>
      <c r="N1595" t="inlineStr">
        <is>
          <t>81 / 001025</t>
        </is>
      </c>
      <c r="O1595" t="inlineStr">
        <is>
          <t>R</t>
        </is>
      </c>
      <c r="P1595">
        <f>TRIM(N1595)</f>
        <v/>
      </c>
    </row>
    <row r="1596">
      <c r="A1596" t="inlineStr">
        <is>
          <t>CO-001889</t>
        </is>
      </c>
      <c r="B1596" t="inlineStr">
        <is>
          <t>PERU MASIVO S.A.</t>
        </is>
      </c>
      <c r="C1596" t="inlineStr">
        <is>
          <t>20492392031</t>
        </is>
      </c>
      <c r="D1596" t="inlineStr">
        <is>
          <t>AV. LOS INCAS CDRA. 4 PATIO NORTE - COMAS</t>
        </is>
      </c>
      <c r="E1596" t="inlineStr">
        <is>
          <t>Lima, 02 de Abril de 2024</t>
        </is>
      </c>
      <c r="F1596" t="inlineStr">
        <is>
          <t>la Recarga y mantenimiento</t>
        </is>
      </c>
      <c r="G1596" t="inlineStr">
        <is>
          <t>04</t>
        </is>
      </c>
      <c r="H1596" t="inlineStr">
        <is>
          <t>06 KG</t>
        </is>
      </c>
      <c r="I1596" t="inlineStr">
        <is>
          <t>2029</t>
        </is>
      </c>
      <c r="J1596" t="n">
        <v>2010</v>
      </c>
      <c r="K1596" t="inlineStr">
        <is>
          <t>ABRIL 2024</t>
        </is>
      </c>
      <c r="L1596" t="inlineStr">
        <is>
          <t>ABRIL 2025</t>
        </is>
      </c>
      <c r="M1596" t="inlineStr">
        <is>
          <t>P.Q.S TIPO ABC AL 90 % NACIONAL</t>
        </is>
      </c>
      <c r="N1596" t="inlineStr">
        <is>
          <t>140 / 006506</t>
        </is>
      </c>
      <c r="O1596" t="inlineStr">
        <is>
          <t>R</t>
        </is>
      </c>
      <c r="P1596">
        <f>TRIM(N1596)</f>
        <v/>
      </c>
    </row>
    <row r="1597">
      <c r="A1597" t="inlineStr">
        <is>
          <t>CO-001889</t>
        </is>
      </c>
      <c r="B1597" t="inlineStr">
        <is>
          <t>PERU MASIVO S.A.</t>
        </is>
      </c>
      <c r="C1597" t="inlineStr">
        <is>
          <t>20492392031</t>
        </is>
      </c>
      <c r="D1597" t="inlineStr">
        <is>
          <t>AV. LOS INCAS CDRA. 4 PATIO NORTE - COMAS</t>
        </is>
      </c>
      <c r="E1597" t="inlineStr">
        <is>
          <t>Lima, 02 de Abril de 2024</t>
        </is>
      </c>
      <c r="F1597" t="inlineStr">
        <is>
          <t>la Recarga y mantenimiento</t>
        </is>
      </c>
      <c r="G1597" t="inlineStr">
        <is>
          <t>05</t>
        </is>
      </c>
      <c r="H1597" t="inlineStr">
        <is>
          <t>06 KG</t>
        </is>
      </c>
      <c r="I1597" t="inlineStr">
        <is>
          <t>2028</t>
        </is>
      </c>
      <c r="J1597" t="n">
        <v>2010</v>
      </c>
      <c r="K1597" t="inlineStr">
        <is>
          <t>ABRIL 2024</t>
        </is>
      </c>
      <c r="L1597" t="inlineStr">
        <is>
          <t>ABRIL 2025</t>
        </is>
      </c>
      <c r="M1597" t="inlineStr">
        <is>
          <t>P.Q.S TIPO ABC AL 90 % NACIONAL</t>
        </is>
      </c>
      <c r="N1597" t="inlineStr">
        <is>
          <t>198 / 000287</t>
        </is>
      </c>
      <c r="O1597" t="inlineStr">
        <is>
          <t>R</t>
        </is>
      </c>
      <c r="P1597">
        <f>TRIM(N1597)</f>
        <v/>
      </c>
    </row>
    <row r="1598">
      <c r="A1598" t="inlineStr">
        <is>
          <t>CO-001889</t>
        </is>
      </c>
      <c r="B1598" t="inlineStr">
        <is>
          <t>PERU MASIVO S.A.</t>
        </is>
      </c>
      <c r="C1598" t="inlineStr">
        <is>
          <t>20492392031</t>
        </is>
      </c>
      <c r="D1598" t="inlineStr">
        <is>
          <t>AV. LOS INCAS CDRA. 4 PATIO NORTE - COMAS</t>
        </is>
      </c>
      <c r="E1598" t="inlineStr">
        <is>
          <t>Lima, 02 de Abril de 2024</t>
        </is>
      </c>
      <c r="F1598" t="inlineStr">
        <is>
          <t>la Recarga y mantenimiento</t>
        </is>
      </c>
      <c r="G1598" t="inlineStr">
        <is>
          <t>06</t>
        </is>
      </c>
      <c r="H1598" t="inlineStr">
        <is>
          <t>06 KG</t>
        </is>
      </c>
      <c r="I1598" t="inlineStr">
        <is>
          <t>2029</t>
        </is>
      </c>
      <c r="J1598" t="n">
        <v>2019</v>
      </c>
      <c r="K1598" t="inlineStr">
        <is>
          <t>ABRIL 2024</t>
        </is>
      </c>
      <c r="L1598" t="inlineStr">
        <is>
          <t>ABRIL 2025</t>
        </is>
      </c>
      <c r="M1598" t="inlineStr">
        <is>
          <t>P.Q.S TIPO ABC AL 90 % NACIONAL</t>
        </is>
      </c>
      <c r="N1598" t="inlineStr">
        <is>
          <t>56 / 000824</t>
        </is>
      </c>
      <c r="O1598" t="inlineStr">
        <is>
          <t>R</t>
        </is>
      </c>
      <c r="P1598">
        <f>TRIM(N1598)</f>
        <v/>
      </c>
    </row>
    <row r="1599">
      <c r="A1599" t="inlineStr">
        <is>
          <t>CO-001889</t>
        </is>
      </c>
      <c r="B1599" t="inlineStr">
        <is>
          <t>PERU MASIVO S.A.</t>
        </is>
      </c>
      <c r="C1599" t="inlineStr">
        <is>
          <t>20492392031</t>
        </is>
      </c>
      <c r="D1599" t="inlineStr">
        <is>
          <t>AV. LOS INCAS CDRA. 4 PATIO NORTE - COMAS</t>
        </is>
      </c>
      <c r="E1599" t="inlineStr">
        <is>
          <t>Lima, 02 de Abril de 2024</t>
        </is>
      </c>
      <c r="F1599" t="inlineStr">
        <is>
          <t>la Recarga y mantenimiento</t>
        </is>
      </c>
      <c r="G1599" t="inlineStr">
        <is>
          <t>07</t>
        </is>
      </c>
      <c r="H1599" t="inlineStr">
        <is>
          <t>06 KG</t>
        </is>
      </c>
      <c r="I1599" t="inlineStr">
        <is>
          <t>2029</t>
        </is>
      </c>
      <c r="J1599" t="n">
        <v>2012</v>
      </c>
      <c r="K1599" t="inlineStr">
        <is>
          <t>ABRIL 2024</t>
        </is>
      </c>
      <c r="L1599" t="inlineStr">
        <is>
          <t>ABRIL 2025</t>
        </is>
      </c>
      <c r="M1599" t="inlineStr">
        <is>
          <t>P.Q.S TIPO ABC AL 90 % NACIONAL</t>
        </is>
      </c>
      <c r="N1599" t="inlineStr">
        <is>
          <t>57 / 001537</t>
        </is>
      </c>
      <c r="O1599" t="inlineStr">
        <is>
          <t>R</t>
        </is>
      </c>
      <c r="P1599">
        <f>TRIM(N1599)</f>
        <v/>
      </c>
    </row>
    <row r="1600">
      <c r="A1600" t="inlineStr">
        <is>
          <t>CO-001889</t>
        </is>
      </c>
      <c r="B1600" t="inlineStr">
        <is>
          <t>PERU MASIVO S.A.</t>
        </is>
      </c>
      <c r="C1600" t="inlineStr">
        <is>
          <t>20492392031</t>
        </is>
      </c>
      <c r="D1600" t="inlineStr">
        <is>
          <t>AV. LOS INCAS CDRA. 4 PATIO NORTE - COMAS</t>
        </is>
      </c>
      <c r="E1600" t="inlineStr">
        <is>
          <t>Lima, 02 de Abril de 2024</t>
        </is>
      </c>
      <c r="F1600" t="inlineStr">
        <is>
          <t>la Recarga y mantenimiento</t>
        </is>
      </c>
      <c r="G1600" t="inlineStr">
        <is>
          <t>08</t>
        </is>
      </c>
      <c r="H1600" t="inlineStr">
        <is>
          <t>06 KG</t>
        </is>
      </c>
      <c r="I1600" t="inlineStr">
        <is>
          <t>2029</t>
        </is>
      </c>
      <c r="J1600" t="n">
        <v>2010</v>
      </c>
      <c r="K1600" t="inlineStr">
        <is>
          <t>ABRIL 2024</t>
        </is>
      </c>
      <c r="L1600" t="inlineStr">
        <is>
          <t>ABRIL 2025</t>
        </is>
      </c>
      <c r="M1600" t="inlineStr">
        <is>
          <t>P.Q.S TIPO ABC AL 90 % NACIONAL</t>
        </is>
      </c>
      <c r="N1600" t="inlineStr">
        <is>
          <t>273 / 000598</t>
        </is>
      </c>
      <c r="O1600" t="inlineStr">
        <is>
          <t>R</t>
        </is>
      </c>
      <c r="P1600">
        <f>TRIM(N1600)</f>
        <v/>
      </c>
    </row>
    <row r="1601">
      <c r="A1601" t="inlineStr">
        <is>
          <t>CO-001889</t>
        </is>
      </c>
      <c r="B1601" t="inlineStr">
        <is>
          <t>PERU MASIVO S.A.</t>
        </is>
      </c>
      <c r="C1601" t="inlineStr">
        <is>
          <t>20492392031</t>
        </is>
      </c>
      <c r="D1601" t="inlineStr">
        <is>
          <t>AV. LOS INCAS CDRA. 4 PATIO NORTE - COMAS</t>
        </is>
      </c>
      <c r="E1601" t="inlineStr">
        <is>
          <t>Lima, 02 de Abril de 2024</t>
        </is>
      </c>
      <c r="F1601" t="inlineStr">
        <is>
          <t>la Recarga y mantenimiento</t>
        </is>
      </c>
      <c r="G1601" t="inlineStr">
        <is>
          <t>09</t>
        </is>
      </c>
      <c r="H1601" t="inlineStr">
        <is>
          <t>06 KG</t>
        </is>
      </c>
      <c r="I1601" t="inlineStr">
        <is>
          <t>2028</t>
        </is>
      </c>
      <c r="J1601" t="n">
        <v>2010</v>
      </c>
      <c r="K1601" t="inlineStr">
        <is>
          <t>ABRIL 2024</t>
        </is>
      </c>
      <c r="L1601" t="inlineStr">
        <is>
          <t>ABRIL 2025</t>
        </is>
      </c>
      <c r="M1601" t="inlineStr">
        <is>
          <t>P.Q.S TIPO ABC AL 90 % NACIONAL</t>
        </is>
      </c>
      <c r="N1601" t="inlineStr">
        <is>
          <t>03 / 000938</t>
        </is>
      </c>
      <c r="O1601" t="inlineStr">
        <is>
          <t>R</t>
        </is>
      </c>
      <c r="P1601">
        <f>TRIM(N1601)</f>
        <v/>
      </c>
    </row>
    <row r="1602">
      <c r="A1602" t="inlineStr">
        <is>
          <t>CO-001889</t>
        </is>
      </c>
      <c r="B1602" t="inlineStr">
        <is>
          <t>PERU MASIVO S.A.</t>
        </is>
      </c>
      <c r="C1602" t="inlineStr">
        <is>
          <t>20492392031</t>
        </is>
      </c>
      <c r="D1602" t="inlineStr">
        <is>
          <t>AV. LOS INCAS CDRA. 4 PATIO NORTE - COMAS</t>
        </is>
      </c>
      <c r="E1602" t="inlineStr">
        <is>
          <t>Lima, 02 de Abril de 2024</t>
        </is>
      </c>
      <c r="F1602" t="inlineStr">
        <is>
          <t>la Recarga y mantenimiento</t>
        </is>
      </c>
      <c r="G1602" t="n">
        <v>10</v>
      </c>
      <c r="H1602" t="inlineStr">
        <is>
          <t>06 KG</t>
        </is>
      </c>
      <c r="I1602" t="inlineStr">
        <is>
          <t>2029</t>
        </is>
      </c>
      <c r="J1602" t="n">
        <v>2009</v>
      </c>
      <c r="K1602" t="inlineStr">
        <is>
          <t>ABRIL 2024</t>
        </is>
      </c>
      <c r="L1602" t="inlineStr">
        <is>
          <t>ABRIL 2025</t>
        </is>
      </c>
      <c r="M1602" t="inlineStr">
        <is>
          <t>P.Q.S TIPO ABC AL 90 % NACIONAL</t>
        </is>
      </c>
      <c r="N1602" t="inlineStr">
        <is>
          <t>338 / 000727</t>
        </is>
      </c>
      <c r="O1602" t="inlineStr">
        <is>
          <t>R</t>
        </is>
      </c>
      <c r="P1602">
        <f>TRIM(N1602)</f>
        <v/>
      </c>
    </row>
    <row r="1603">
      <c r="A1603" t="inlineStr">
        <is>
          <t>CO-001889</t>
        </is>
      </c>
      <c r="B1603" t="inlineStr">
        <is>
          <t>PERU MASIVO S.A.</t>
        </is>
      </c>
      <c r="C1603" t="inlineStr">
        <is>
          <t>20492392031</t>
        </is>
      </c>
      <c r="D1603" t="inlineStr">
        <is>
          <t>AV. LOS INCAS CDRA. 4 PATIO NORTE - COMAS</t>
        </is>
      </c>
      <c r="E1603" t="inlineStr">
        <is>
          <t>Lima, 02 de Abril de 2024</t>
        </is>
      </c>
      <c r="F1603" t="inlineStr">
        <is>
          <t>la Recarga y mantenimiento</t>
        </is>
      </c>
      <c r="G1603" t="n">
        <v>11</v>
      </c>
      <c r="H1603" t="inlineStr">
        <is>
          <t>06 KG</t>
        </is>
      </c>
      <c r="I1603" t="inlineStr">
        <is>
          <t>2026</t>
        </is>
      </c>
      <c r="J1603" t="n">
        <v>2021</v>
      </c>
      <c r="K1603" t="inlineStr">
        <is>
          <t>ABRIL 2024</t>
        </is>
      </c>
      <c r="L1603" t="inlineStr">
        <is>
          <t>ABRIL 2025</t>
        </is>
      </c>
      <c r="M1603" t="inlineStr">
        <is>
          <t>P.Q.S TIPO ABC AL 90 % NACIONAL</t>
        </is>
      </c>
      <c r="N1603" t="inlineStr">
        <is>
          <t>63 / 002071</t>
        </is>
      </c>
      <c r="O1603" t="inlineStr">
        <is>
          <t>R</t>
        </is>
      </c>
      <c r="P1603">
        <f>TRIM(N1603)</f>
        <v/>
      </c>
    </row>
    <row r="1604">
      <c r="A1604" t="inlineStr">
        <is>
          <t>CO-001889</t>
        </is>
      </c>
      <c r="B1604" t="inlineStr">
        <is>
          <t>PERU MASIVO S.A.</t>
        </is>
      </c>
      <c r="C1604" t="inlineStr">
        <is>
          <t>20492392031</t>
        </is>
      </c>
      <c r="D1604" t="inlineStr">
        <is>
          <t>AV. LOS INCAS CDRA. 4 PATIO NORTE - COMAS</t>
        </is>
      </c>
      <c r="E1604" t="inlineStr">
        <is>
          <t>Lima, 02 de Abril de 2024</t>
        </is>
      </c>
      <c r="F1604" t="inlineStr">
        <is>
          <t>la Recarga y mantenimiento</t>
        </is>
      </c>
      <c r="G1604" t="n">
        <v>12</v>
      </c>
      <c r="H1604" t="inlineStr">
        <is>
          <t>06 KG</t>
        </is>
      </c>
      <c r="I1604" t="inlineStr">
        <is>
          <t>2029</t>
        </is>
      </c>
      <c r="J1604" t="n">
        <v>2010</v>
      </c>
      <c r="K1604" t="inlineStr">
        <is>
          <t>ABRIL 2024</t>
        </is>
      </c>
      <c r="L1604" t="inlineStr">
        <is>
          <t>ABRIL 2025</t>
        </is>
      </c>
      <c r="M1604" t="inlineStr">
        <is>
          <t>P.Q.S TIPO ABC AL 90 % NACIONAL</t>
        </is>
      </c>
      <c r="N1604" t="inlineStr">
        <is>
          <t>101 / 000383</t>
        </is>
      </c>
      <c r="O1604" t="inlineStr">
        <is>
          <t>R</t>
        </is>
      </c>
      <c r="P1604">
        <f>TRIM(N1604)</f>
        <v/>
      </c>
    </row>
    <row r="1605">
      <c r="A1605" t="inlineStr">
        <is>
          <t>CO-001890</t>
        </is>
      </c>
      <c r="B1605" t="inlineStr">
        <is>
          <t>MERCADO LA FRONTERA PUESTO F7</t>
        </is>
      </c>
      <c r="D1605" t="inlineStr">
        <is>
          <t>MERCADO LA  FRONTERA - Puesto  F7</t>
        </is>
      </c>
      <c r="E1605" t="inlineStr">
        <is>
          <t>Lima, 03 de Abril de 2024</t>
        </is>
      </c>
      <c r="F1605" t="inlineStr">
        <is>
          <t>la Recarga y mantenimiento</t>
        </is>
      </c>
      <c r="G1605" t="inlineStr">
        <is>
          <t>01</t>
        </is>
      </c>
      <c r="H1605" t="inlineStr">
        <is>
          <t>06 KG</t>
        </is>
      </c>
      <c r="I1605" t="inlineStr">
        <is>
          <t>VIGENTE</t>
        </is>
      </c>
      <c r="J1605" t="n">
        <v>2016</v>
      </c>
      <c r="K1605" t="inlineStr">
        <is>
          <t>ABRIL 2024</t>
        </is>
      </c>
      <c r="L1605" t="inlineStr">
        <is>
          <t>ABRIL 2025</t>
        </is>
      </c>
      <c r="M1605" t="inlineStr">
        <is>
          <t>P.Q.S TIPO ABC</t>
        </is>
      </c>
      <c r="N1605" t="inlineStr">
        <is>
          <t>000426</t>
        </is>
      </c>
      <c r="O1605" t="inlineStr">
        <is>
          <t>R</t>
        </is>
      </c>
      <c r="P1605">
        <f>TRIM(N1605)</f>
        <v/>
      </c>
    </row>
    <row r="1606">
      <c r="A1606" t="inlineStr">
        <is>
          <t>CO-001891</t>
        </is>
      </c>
      <c r="B1606" t="inlineStr">
        <is>
          <t>JORGE ARTURO MORI VEGA</t>
        </is>
      </c>
      <c r="C1606" t="inlineStr">
        <is>
          <t>33431591</t>
        </is>
      </c>
      <c r="D1606" t="inlineStr">
        <is>
          <t>PLACA: FOZ - 767</t>
        </is>
      </c>
      <c r="E1606" t="inlineStr">
        <is>
          <t>Lima, 03 de Abril de 2024</t>
        </is>
      </c>
      <c r="F1606" t="inlineStr">
        <is>
          <t>la Recarga y mantenimiento</t>
        </is>
      </c>
      <c r="G1606" t="inlineStr">
        <is>
          <t>01</t>
        </is>
      </c>
      <c r="H1606" t="inlineStr">
        <is>
          <t>06 KG</t>
        </is>
      </c>
      <c r="I1606" t="inlineStr">
        <is>
          <t>VIGENTE</t>
        </is>
      </c>
      <c r="J1606" t="n">
        <v>2015</v>
      </c>
      <c r="K1606" t="inlineStr">
        <is>
          <t>ABRIL 2024</t>
        </is>
      </c>
      <c r="L1606" t="inlineStr">
        <is>
          <t>ABRIL 2025</t>
        </is>
      </c>
      <c r="M1606" t="inlineStr">
        <is>
          <t>P.Q.S TIPO ABC</t>
        </is>
      </c>
      <c r="N1606" t="inlineStr">
        <is>
          <t>001662</t>
        </is>
      </c>
      <c r="O1606" t="inlineStr">
        <is>
          <t>R</t>
        </is>
      </c>
      <c r="P1606">
        <f>TRIM(N1606)</f>
        <v/>
      </c>
    </row>
    <row r="1607">
      <c r="A1607" t="inlineStr">
        <is>
          <t>CO-001892</t>
        </is>
      </c>
      <c r="B1607" t="inlineStr">
        <is>
          <t xml:space="preserve">MUEBLES MINAYA DE: SIPION TENA AMADOR HERBART     </t>
        </is>
      </c>
      <c r="C1607" t="inlineStr">
        <is>
          <t>10102153478</t>
        </is>
      </c>
      <c r="D1607" t="inlineStr">
        <is>
          <t>JR. ALFONSO UGARTE 180</t>
        </is>
      </c>
      <c r="E1607" t="inlineStr">
        <is>
          <t>Lima, 05 de Abril de 2024</t>
        </is>
      </c>
      <c r="F1607" t="inlineStr">
        <is>
          <t>la Recarga y mantenimiento</t>
        </is>
      </c>
      <c r="G1607" t="inlineStr">
        <is>
          <t>01</t>
        </is>
      </c>
      <c r="H1607" t="inlineStr">
        <is>
          <t>06 KG</t>
        </is>
      </c>
      <c r="I1607" t="inlineStr">
        <is>
          <t>VIGENTE</t>
        </is>
      </c>
      <c r="J1607" t="n">
        <v>2014</v>
      </c>
      <c r="K1607" t="inlineStr">
        <is>
          <t>ABRIL 2024</t>
        </is>
      </c>
      <c r="L1607" t="inlineStr">
        <is>
          <t>ABRIL 2025</t>
        </is>
      </c>
      <c r="M1607" t="inlineStr">
        <is>
          <t>P.Q.S TIPO ABC</t>
        </is>
      </c>
      <c r="N1607" t="inlineStr">
        <is>
          <t>000274</t>
        </is>
      </c>
      <c r="O1607" t="inlineStr">
        <is>
          <t>R</t>
        </is>
      </c>
      <c r="P1607">
        <f>TRIM(N1607)</f>
        <v/>
      </c>
    </row>
    <row r="1608">
      <c r="A1608" t="inlineStr">
        <is>
          <t>CO-001893</t>
        </is>
      </c>
      <c r="B1608" t="inlineStr">
        <is>
          <t>ASOCIACION DE COMERCIANTES MEGA COSMOS</t>
        </is>
      </c>
      <c r="D1608" t="inlineStr">
        <is>
          <t>JR. LOS PLANETAS S/N MZ. 06 LT.85 VILLA COLLIQUE - AÑO NUEVO COMAS</t>
        </is>
      </c>
      <c r="E1608" t="inlineStr">
        <is>
          <t>Lima, 06 de Abril de 2024</t>
        </is>
      </c>
      <c r="F1608" t="inlineStr">
        <is>
          <t>la Recarga y mantenimiento</t>
        </is>
      </c>
      <c r="G1608" t="inlineStr">
        <is>
          <t>01</t>
        </is>
      </c>
      <c r="H1608" t="inlineStr">
        <is>
          <t>06 KG</t>
        </is>
      </c>
      <c r="I1608" t="inlineStr">
        <is>
          <t>2026</t>
        </is>
      </c>
      <c r="J1608" t="n">
        <v>2016</v>
      </c>
      <c r="K1608" t="inlineStr">
        <is>
          <t>ABRIL 2024</t>
        </is>
      </c>
      <c r="L1608" t="inlineStr">
        <is>
          <t>ABRIL 2025</t>
        </is>
      </c>
      <c r="M1608" t="inlineStr">
        <is>
          <t>P.Q.S TIPO ABC</t>
        </is>
      </c>
      <c r="N1608" t="inlineStr">
        <is>
          <t>01 / 010620</t>
        </is>
      </c>
      <c r="O1608" t="inlineStr">
        <is>
          <t>R</t>
        </is>
      </c>
      <c r="P1608">
        <f>TRIM(N1608)</f>
        <v/>
      </c>
    </row>
    <row r="1609">
      <c r="A1609" t="inlineStr">
        <is>
          <t>CO-001893</t>
        </is>
      </c>
      <c r="B1609" t="inlineStr">
        <is>
          <t>ASOCIACION DE COMERCIANTES MEGA COSMOS</t>
        </is>
      </c>
      <c r="D1609" t="inlineStr">
        <is>
          <t>JR. LOS PLANETAS S/N MZ. 06 LT.85 VILLA COLLIQUE - AÑO NUEVO COMAS</t>
        </is>
      </c>
      <c r="E1609" t="inlineStr">
        <is>
          <t>Lima, 06 de Abril de 2024</t>
        </is>
      </c>
      <c r="F1609" t="inlineStr">
        <is>
          <t>la Recarga y mantenimiento</t>
        </is>
      </c>
      <c r="G1609" t="inlineStr">
        <is>
          <t>02</t>
        </is>
      </c>
      <c r="H1609" t="inlineStr">
        <is>
          <t>06 KG</t>
        </is>
      </c>
      <c r="I1609" t="inlineStr">
        <is>
          <t>2026</t>
        </is>
      </c>
      <c r="J1609" t="n">
        <v>2016</v>
      </c>
      <c r="K1609" t="inlineStr">
        <is>
          <t>ABRIL 2024</t>
        </is>
      </c>
      <c r="L1609" t="inlineStr">
        <is>
          <t>ABRIL 2025</t>
        </is>
      </c>
      <c r="M1609" t="inlineStr">
        <is>
          <t>P.Q.S TIPO ABC</t>
        </is>
      </c>
      <c r="N1609" t="inlineStr">
        <is>
          <t>02 / 010762</t>
        </is>
      </c>
      <c r="O1609" t="inlineStr">
        <is>
          <t>R</t>
        </is>
      </c>
      <c r="P1609">
        <f>TRIM(N1609)</f>
        <v/>
      </c>
    </row>
    <row r="1610">
      <c r="A1610" t="inlineStr">
        <is>
          <t>CO-001893</t>
        </is>
      </c>
      <c r="B1610" t="inlineStr">
        <is>
          <t>ASOCIACION DE COMERCIANTES MEGA COSMOS</t>
        </is>
      </c>
      <c r="D1610" t="inlineStr">
        <is>
          <t>JR. LOS PLANETAS S/N MZ. 06 LT.85 VILLA COLLIQUE - AÑO NUEVO COMAS</t>
        </is>
      </c>
      <c r="E1610" t="inlineStr">
        <is>
          <t>Lima, 06 de Abril de 2024</t>
        </is>
      </c>
      <c r="F1610" t="inlineStr">
        <is>
          <t>la Recarga y mantenimiento</t>
        </is>
      </c>
      <c r="G1610" t="inlineStr">
        <is>
          <t>03</t>
        </is>
      </c>
      <c r="H1610" t="inlineStr">
        <is>
          <t>06 KG</t>
        </is>
      </c>
      <c r="I1610" t="n">
        <v>2026</v>
      </c>
      <c r="J1610" t="n">
        <v>2016</v>
      </c>
      <c r="K1610" t="inlineStr">
        <is>
          <t>ABRIL 2024</t>
        </is>
      </c>
      <c r="L1610" t="inlineStr">
        <is>
          <t>ABRIL 2025</t>
        </is>
      </c>
      <c r="M1610" t="inlineStr">
        <is>
          <t>P.Q.S TIPO ABC</t>
        </is>
      </c>
      <c r="N1610" t="inlineStr">
        <is>
          <t>03 / 010734</t>
        </is>
      </c>
      <c r="O1610" t="inlineStr">
        <is>
          <t>R</t>
        </is>
      </c>
      <c r="P1610">
        <f>TRIM(N1610)</f>
        <v/>
      </c>
    </row>
    <row r="1611">
      <c r="A1611" t="inlineStr">
        <is>
          <t>CO-001893</t>
        </is>
      </c>
      <c r="B1611" t="inlineStr">
        <is>
          <t>ASOCIACION DE COMERCIANTES MEGA COSMOS</t>
        </is>
      </c>
      <c r="D1611" t="inlineStr">
        <is>
          <t>JR. LOS PLANETAS S/N MZ. 06 LT.85 VILLA COLLIQUE - AÑO NUEVO COMAS</t>
        </is>
      </c>
      <c r="E1611" t="inlineStr">
        <is>
          <t>Lima, 06 de Abril de 2024</t>
        </is>
      </c>
      <c r="F1611" t="inlineStr">
        <is>
          <t>la Recarga y mantenimiento</t>
        </is>
      </c>
      <c r="G1611" t="inlineStr">
        <is>
          <t>04</t>
        </is>
      </c>
      <c r="H1611" t="inlineStr">
        <is>
          <t>06 KG</t>
        </is>
      </c>
      <c r="I1611" t="n">
        <v>2026</v>
      </c>
      <c r="J1611" t="n">
        <v>2016</v>
      </c>
      <c r="K1611" t="inlineStr">
        <is>
          <t>ABRIL 2024</t>
        </is>
      </c>
      <c r="L1611" t="inlineStr">
        <is>
          <t>ABRIL 2025</t>
        </is>
      </c>
      <c r="M1611" t="inlineStr">
        <is>
          <t>P.Q.S TIPO ABC</t>
        </is>
      </c>
      <c r="N1611" t="inlineStr">
        <is>
          <t>04 / 010624</t>
        </is>
      </c>
      <c r="O1611" t="inlineStr">
        <is>
          <t>R</t>
        </is>
      </c>
      <c r="P1611">
        <f>TRIM(N1611)</f>
        <v/>
      </c>
    </row>
    <row r="1612">
      <c r="A1612" t="inlineStr">
        <is>
          <t>CO-001894</t>
        </is>
      </c>
      <c r="B1612" t="inlineStr">
        <is>
          <t>PERU MASIVO S.A.</t>
        </is>
      </c>
      <c r="C1612" t="inlineStr">
        <is>
          <t>20492392031</t>
        </is>
      </c>
      <c r="D1612" t="inlineStr">
        <is>
          <t>AV. LOS INCAS CDRA. 4 PATIO NORTE - COMAS</t>
        </is>
      </c>
      <c r="E1612" t="inlineStr">
        <is>
          <t>Lima, 08 de Abril de 2024</t>
        </is>
      </c>
      <c r="F1612" t="inlineStr">
        <is>
          <t>la Recarga y mantenimiento</t>
        </is>
      </c>
      <c r="G1612" t="inlineStr">
        <is>
          <t>01</t>
        </is>
      </c>
      <c r="H1612" t="inlineStr">
        <is>
          <t>06 KG</t>
        </is>
      </c>
      <c r="I1612" t="inlineStr">
        <is>
          <t>2029</t>
        </is>
      </c>
      <c r="J1612" t="n">
        <v>2019</v>
      </c>
      <c r="K1612" t="inlineStr">
        <is>
          <t>ABRIL 2024</t>
        </is>
      </c>
      <c r="L1612" t="inlineStr">
        <is>
          <t>ABRIL 2025</t>
        </is>
      </c>
      <c r="M1612" t="inlineStr">
        <is>
          <t>P.Q.S TIPO ABC AL 90 % NACIONAL</t>
        </is>
      </c>
      <c r="N1612" t="inlineStr">
        <is>
          <t>64 / 000054</t>
        </is>
      </c>
      <c r="O1612" t="inlineStr">
        <is>
          <t>R</t>
        </is>
      </c>
      <c r="P1612">
        <f>TRIM(N1612)</f>
        <v/>
      </c>
    </row>
    <row r="1613">
      <c r="A1613" t="inlineStr">
        <is>
          <t>CO-001894</t>
        </is>
      </c>
      <c r="B1613" t="inlineStr">
        <is>
          <t>PERU MASIVO S.A.</t>
        </is>
      </c>
      <c r="C1613" t="inlineStr">
        <is>
          <t>20492392031</t>
        </is>
      </c>
      <c r="D1613" t="inlineStr">
        <is>
          <t>AV. LOS INCAS CDRA. 4 PATIO NORTE - COMAS</t>
        </is>
      </c>
      <c r="E1613" t="inlineStr">
        <is>
          <t>Lima, 08 de Abril de 2024</t>
        </is>
      </c>
      <c r="F1613" t="inlineStr">
        <is>
          <t>la Recarga y mantenimiento</t>
        </is>
      </c>
      <c r="G1613" t="inlineStr">
        <is>
          <t>02</t>
        </is>
      </c>
      <c r="H1613" t="inlineStr">
        <is>
          <t>06 KG</t>
        </is>
      </c>
      <c r="I1613" t="inlineStr">
        <is>
          <t>2029</t>
        </is>
      </c>
      <c r="J1613" t="n">
        <v>2009</v>
      </c>
      <c r="K1613" t="inlineStr">
        <is>
          <t>ABRIL 2024</t>
        </is>
      </c>
      <c r="L1613" t="inlineStr">
        <is>
          <t>ABRIL 2025</t>
        </is>
      </c>
      <c r="M1613" t="inlineStr">
        <is>
          <t>P.Q.S TIPO ABC AL 90 % NACIONAL</t>
        </is>
      </c>
      <c r="N1613" t="inlineStr">
        <is>
          <t>67 / 001573</t>
        </is>
      </c>
      <c r="O1613" t="inlineStr">
        <is>
          <t>R</t>
        </is>
      </c>
      <c r="P1613">
        <f>TRIM(N1613)</f>
        <v/>
      </c>
    </row>
    <row r="1614">
      <c r="A1614" t="inlineStr">
        <is>
          <t>CO-001894</t>
        </is>
      </c>
      <c r="B1614" t="inlineStr">
        <is>
          <t>PERU MASIVO S.A.</t>
        </is>
      </c>
      <c r="C1614" t="inlineStr">
        <is>
          <t>20492392031</t>
        </is>
      </c>
      <c r="D1614" t="inlineStr">
        <is>
          <t>AV. LOS INCAS CDRA. 4 PATIO NORTE - COMAS</t>
        </is>
      </c>
      <c r="E1614" t="inlineStr">
        <is>
          <t>Lima, 08 de Abril de 2024</t>
        </is>
      </c>
      <c r="F1614" t="inlineStr">
        <is>
          <t>la Recarga y mantenimiento</t>
        </is>
      </c>
      <c r="G1614" t="inlineStr">
        <is>
          <t>03</t>
        </is>
      </c>
      <c r="H1614" t="inlineStr">
        <is>
          <t>06 KG</t>
        </is>
      </c>
      <c r="I1614" t="inlineStr">
        <is>
          <t>2029</t>
        </is>
      </c>
      <c r="J1614" t="n">
        <v>2009</v>
      </c>
      <c r="K1614" t="inlineStr">
        <is>
          <t>ABRIL 2024</t>
        </is>
      </c>
      <c r="L1614" t="inlineStr">
        <is>
          <t>ABRIL 2025</t>
        </is>
      </c>
      <c r="M1614" t="inlineStr">
        <is>
          <t>P.Q.S TIPO ABC AL 90 % NACIONAL</t>
        </is>
      </c>
      <c r="N1614" t="inlineStr">
        <is>
          <t>209 / 000877</t>
        </is>
      </c>
      <c r="O1614" t="inlineStr">
        <is>
          <t>R</t>
        </is>
      </c>
      <c r="P1614">
        <f>TRIM(N1614)</f>
        <v/>
      </c>
    </row>
    <row r="1615">
      <c r="A1615" t="inlineStr">
        <is>
          <t>CO-001894</t>
        </is>
      </c>
      <c r="B1615" t="inlineStr">
        <is>
          <t>PERU MASIVO S.A.</t>
        </is>
      </c>
      <c r="C1615" t="inlineStr">
        <is>
          <t>20492392031</t>
        </is>
      </c>
      <c r="D1615" t="inlineStr">
        <is>
          <t>AV. LOS INCAS CDRA. 4 PATIO NORTE - COMAS</t>
        </is>
      </c>
      <c r="E1615" t="inlineStr">
        <is>
          <t>Lima, 08 de Abril de 2024</t>
        </is>
      </c>
      <c r="F1615" t="inlineStr">
        <is>
          <t>la Recarga y mantenimiento</t>
        </is>
      </c>
      <c r="G1615" t="inlineStr">
        <is>
          <t>04</t>
        </is>
      </c>
      <c r="H1615" t="inlineStr">
        <is>
          <t>06 KG</t>
        </is>
      </c>
      <c r="I1615" t="inlineStr">
        <is>
          <t>2026</t>
        </is>
      </c>
      <c r="J1615" t="n">
        <v>2016</v>
      </c>
      <c r="K1615" t="inlineStr">
        <is>
          <t>ABRIL 2024</t>
        </is>
      </c>
      <c r="L1615" t="inlineStr">
        <is>
          <t>ABRIL 2025</t>
        </is>
      </c>
      <c r="M1615" t="inlineStr">
        <is>
          <t>P.Q.S TIPO ABC AL 90 % NACIONAL</t>
        </is>
      </c>
      <c r="N1615" t="inlineStr">
        <is>
          <t>68 / 000506</t>
        </is>
      </c>
      <c r="O1615" t="inlineStr">
        <is>
          <t>R</t>
        </is>
      </c>
      <c r="P1615">
        <f>TRIM(N1615)</f>
        <v/>
      </c>
    </row>
    <row r="1616">
      <c r="A1616" t="inlineStr">
        <is>
          <t>CO-001894</t>
        </is>
      </c>
      <c r="B1616" t="inlineStr">
        <is>
          <t>PERU MASIVO S.A.</t>
        </is>
      </c>
      <c r="C1616" t="inlineStr">
        <is>
          <t>20492392031</t>
        </is>
      </c>
      <c r="D1616" t="inlineStr">
        <is>
          <t>AV. LOS INCAS CDRA. 4 PATIO NORTE - COMAS</t>
        </is>
      </c>
      <c r="E1616" t="inlineStr">
        <is>
          <t>Lima, 08 de Abril de 2024</t>
        </is>
      </c>
      <c r="F1616" t="inlineStr">
        <is>
          <t>la Recarga y mantenimiento</t>
        </is>
      </c>
      <c r="G1616" t="inlineStr">
        <is>
          <t>05</t>
        </is>
      </c>
      <c r="H1616" t="inlineStr">
        <is>
          <t>06 KG</t>
        </is>
      </c>
      <c r="I1616" t="inlineStr">
        <is>
          <t>2029</t>
        </is>
      </c>
      <c r="J1616" t="n">
        <v>2009</v>
      </c>
      <c r="K1616" t="inlineStr">
        <is>
          <t>ABRIL 2024</t>
        </is>
      </c>
      <c r="L1616" t="inlineStr">
        <is>
          <t>ABRIL 2025</t>
        </is>
      </c>
      <c r="M1616" t="inlineStr">
        <is>
          <t>P.Q.S TIPO ABC AL 90 % NACIONAL</t>
        </is>
      </c>
      <c r="N1616" t="inlineStr">
        <is>
          <t>236 / 001913</t>
        </is>
      </c>
      <c r="O1616" t="inlineStr">
        <is>
          <t>R</t>
        </is>
      </c>
      <c r="P1616">
        <f>TRIM(N1616)</f>
        <v/>
      </c>
    </row>
    <row r="1617">
      <c r="A1617" t="inlineStr">
        <is>
          <t>CO-001894</t>
        </is>
      </c>
      <c r="B1617" t="inlineStr">
        <is>
          <t>PERU MASIVO S.A.</t>
        </is>
      </c>
      <c r="C1617" t="inlineStr">
        <is>
          <t>20492392031</t>
        </is>
      </c>
      <c r="D1617" t="inlineStr">
        <is>
          <t>AV. LOS INCAS CDRA. 4 PATIO NORTE - COMAS</t>
        </is>
      </c>
      <c r="E1617" t="inlineStr">
        <is>
          <t>Lima, 08 de Abril de 2024</t>
        </is>
      </c>
      <c r="F1617" t="inlineStr">
        <is>
          <t>la Recarga y mantenimiento</t>
        </is>
      </c>
      <c r="G1617" t="inlineStr">
        <is>
          <t>06</t>
        </is>
      </c>
      <c r="H1617" t="inlineStr">
        <is>
          <t>06 KG</t>
        </is>
      </c>
      <c r="I1617" t="inlineStr">
        <is>
          <t>2025</t>
        </is>
      </c>
      <c r="J1617" t="n">
        <v>2010</v>
      </c>
      <c r="K1617" t="inlineStr">
        <is>
          <t>ABRIL 2024</t>
        </is>
      </c>
      <c r="L1617" t="inlineStr">
        <is>
          <t>ABRIL 2025</t>
        </is>
      </c>
      <c r="M1617" t="inlineStr">
        <is>
          <t>P.Q.S TIPO ABC AL 90 % NACIONAL</t>
        </is>
      </c>
      <c r="N1617" t="inlineStr">
        <is>
          <t>204 / 000054</t>
        </is>
      </c>
      <c r="O1617" t="inlineStr">
        <is>
          <t>R</t>
        </is>
      </c>
      <c r="P1617">
        <f>TRIM(N1617)</f>
        <v/>
      </c>
    </row>
    <row r="1618">
      <c r="A1618" t="inlineStr">
        <is>
          <t>CO-001894</t>
        </is>
      </c>
      <c r="B1618" t="inlineStr">
        <is>
          <t>PERU MASIVO S.A.</t>
        </is>
      </c>
      <c r="C1618" t="inlineStr">
        <is>
          <t>20492392031</t>
        </is>
      </c>
      <c r="D1618" t="inlineStr">
        <is>
          <t>AV. LOS INCAS CDRA. 4 PATIO NORTE - COMAS</t>
        </is>
      </c>
      <c r="E1618" t="inlineStr">
        <is>
          <t>Lima, 08 de Abril de 2024</t>
        </is>
      </c>
      <c r="F1618" t="inlineStr">
        <is>
          <t>la Recarga y mantenimiento</t>
        </is>
      </c>
      <c r="G1618" t="inlineStr">
        <is>
          <t>07</t>
        </is>
      </c>
      <c r="H1618" t="inlineStr">
        <is>
          <t>06 KG</t>
        </is>
      </c>
      <c r="I1618" t="inlineStr">
        <is>
          <t>2029</t>
        </is>
      </c>
      <c r="J1618" t="n">
        <v>2009</v>
      </c>
      <c r="K1618" t="inlineStr">
        <is>
          <t>ABRIL 2024</t>
        </is>
      </c>
      <c r="L1618" t="inlineStr">
        <is>
          <t>ABRIL 2025</t>
        </is>
      </c>
      <c r="M1618" t="inlineStr">
        <is>
          <t>P.Q.S TIPO ABC AL 90 % NACIONAL</t>
        </is>
      </c>
      <c r="N1618" t="inlineStr">
        <is>
          <t>189 / 000999</t>
        </is>
      </c>
      <c r="O1618" t="inlineStr">
        <is>
          <t>R</t>
        </is>
      </c>
      <c r="P1618">
        <f>TRIM(N1618)</f>
        <v/>
      </c>
    </row>
    <row r="1619">
      <c r="A1619" t="inlineStr">
        <is>
          <t>CO-001894</t>
        </is>
      </c>
      <c r="B1619" t="inlineStr">
        <is>
          <t>PERU MASIVO S.A.</t>
        </is>
      </c>
      <c r="C1619" t="inlineStr">
        <is>
          <t>20492392031</t>
        </is>
      </c>
      <c r="D1619" t="inlineStr">
        <is>
          <t>AV. LOS INCAS CDRA. 4 PATIO NORTE - COMAS</t>
        </is>
      </c>
      <c r="E1619" t="inlineStr">
        <is>
          <t>Lima, 08 de Abril de 2024</t>
        </is>
      </c>
      <c r="F1619" t="inlineStr">
        <is>
          <t>la Recarga y mantenimiento</t>
        </is>
      </c>
      <c r="G1619" t="inlineStr">
        <is>
          <t>08</t>
        </is>
      </c>
      <c r="H1619" t="inlineStr">
        <is>
          <t>06 KG</t>
        </is>
      </c>
      <c r="I1619" t="inlineStr">
        <is>
          <t>2029</t>
        </is>
      </c>
      <c r="J1619" t="n">
        <v>2010</v>
      </c>
      <c r="K1619" t="inlineStr">
        <is>
          <t>ABRIL 2024</t>
        </is>
      </c>
      <c r="L1619" t="inlineStr">
        <is>
          <t>ABRIL 2025</t>
        </is>
      </c>
      <c r="M1619" t="inlineStr">
        <is>
          <t>P.Q.S TIPO ABC AL 90 % NACIONAL</t>
        </is>
      </c>
      <c r="N1619" t="inlineStr">
        <is>
          <t>312 / 000713</t>
        </is>
      </c>
      <c r="O1619" t="inlineStr">
        <is>
          <t>R</t>
        </is>
      </c>
      <c r="P1619">
        <f>TRIM(N1619)</f>
        <v/>
      </c>
    </row>
    <row r="1620">
      <c r="A1620" t="inlineStr">
        <is>
          <t>CO-001894</t>
        </is>
      </c>
      <c r="B1620" t="inlineStr">
        <is>
          <t>PERU MASIVO S.A.</t>
        </is>
      </c>
      <c r="C1620" t="inlineStr">
        <is>
          <t>20492392031</t>
        </is>
      </c>
      <c r="D1620" t="inlineStr">
        <is>
          <t>AV. LOS INCAS CDRA. 4 PATIO NORTE - COMAS</t>
        </is>
      </c>
      <c r="E1620" t="inlineStr">
        <is>
          <t>Lima, 08 de Abril de 2024</t>
        </is>
      </c>
      <c r="F1620" t="inlineStr">
        <is>
          <t>la Recarga y mantenimiento</t>
        </is>
      </c>
      <c r="G1620" t="inlineStr">
        <is>
          <t>09</t>
        </is>
      </c>
      <c r="H1620" t="inlineStr">
        <is>
          <t>06 KG</t>
        </is>
      </c>
      <c r="I1620" t="inlineStr">
        <is>
          <t>2028</t>
        </is>
      </c>
      <c r="J1620" t="n">
        <v>2009</v>
      </c>
      <c r="K1620" t="inlineStr">
        <is>
          <t>ABRIL 2024</t>
        </is>
      </c>
      <c r="L1620" t="inlineStr">
        <is>
          <t>ABRIL 2025</t>
        </is>
      </c>
      <c r="M1620" t="inlineStr">
        <is>
          <t>P.Q.S TIPO ABC AL 90 % NACIONAL</t>
        </is>
      </c>
      <c r="N1620" t="inlineStr">
        <is>
          <t>280 / 000484</t>
        </is>
      </c>
      <c r="O1620" t="inlineStr">
        <is>
          <t>R</t>
        </is>
      </c>
      <c r="P1620">
        <f>TRIM(N1620)</f>
        <v/>
      </c>
    </row>
    <row r="1621">
      <c r="A1621" t="inlineStr">
        <is>
          <t>CO-001894</t>
        </is>
      </c>
      <c r="B1621" t="inlineStr">
        <is>
          <t>PERU MASIVO S.A.</t>
        </is>
      </c>
      <c r="C1621" t="inlineStr">
        <is>
          <t>20492392031</t>
        </is>
      </c>
      <c r="D1621" t="inlineStr">
        <is>
          <t>AV. LOS INCAS CDRA. 4 PATIO NORTE - COMAS</t>
        </is>
      </c>
      <c r="E1621" t="inlineStr">
        <is>
          <t>Lima, 08 de Abril de 2024</t>
        </is>
      </c>
      <c r="F1621" t="inlineStr">
        <is>
          <t>la Recarga y mantenimiento</t>
        </is>
      </c>
      <c r="G1621" t="inlineStr">
        <is>
          <t>10</t>
        </is>
      </c>
      <c r="H1621" t="inlineStr">
        <is>
          <t>06 KG</t>
        </is>
      </c>
      <c r="I1621" t="inlineStr">
        <is>
          <t>2029</t>
        </is>
      </c>
      <c r="J1621" t="n">
        <v>2010</v>
      </c>
      <c r="K1621" t="inlineStr">
        <is>
          <t>ABRIL 2024</t>
        </is>
      </c>
      <c r="L1621" t="inlineStr">
        <is>
          <t>ABRIL 2025</t>
        </is>
      </c>
      <c r="M1621" t="inlineStr">
        <is>
          <t>P.Q.S TIPO ABC AL 90 % NACIONAL</t>
        </is>
      </c>
      <c r="N1621" t="inlineStr">
        <is>
          <t>70 / 000005</t>
        </is>
      </c>
      <c r="O1621" t="inlineStr">
        <is>
          <t>R</t>
        </is>
      </c>
      <c r="P1621">
        <f>TRIM(N1621)</f>
        <v/>
      </c>
    </row>
    <row r="1622">
      <c r="A1622" t="inlineStr">
        <is>
          <t>CO-001894</t>
        </is>
      </c>
      <c r="B1622" t="inlineStr">
        <is>
          <t>PERU MASIVO S.A.</t>
        </is>
      </c>
      <c r="C1622" t="inlineStr">
        <is>
          <t>20492392031</t>
        </is>
      </c>
      <c r="D1622" t="inlineStr">
        <is>
          <t>AV. LOS INCAS CDRA. 4 PATIO NORTE - COMAS</t>
        </is>
      </c>
      <c r="E1622" t="inlineStr">
        <is>
          <t>Lima, 08 de Abril de 2024</t>
        </is>
      </c>
      <c r="F1622" t="inlineStr">
        <is>
          <t>la Recarga y mantenimiento</t>
        </is>
      </c>
      <c r="G1622" t="inlineStr">
        <is>
          <t>11</t>
        </is>
      </c>
      <c r="H1622" t="inlineStr">
        <is>
          <t>06 KG</t>
        </is>
      </c>
      <c r="I1622" t="inlineStr">
        <is>
          <t>2029</t>
        </is>
      </c>
      <c r="J1622" t="n">
        <v>2009</v>
      </c>
      <c r="K1622" t="inlineStr">
        <is>
          <t>ABRIL 2024</t>
        </is>
      </c>
      <c r="L1622" t="inlineStr">
        <is>
          <t>ABRIL 2025</t>
        </is>
      </c>
      <c r="M1622" t="inlineStr">
        <is>
          <t>P.Q.S TIPO ABC AL 90 % NACIONAL</t>
        </is>
      </c>
      <c r="N1622" t="inlineStr">
        <is>
          <t>298 / 002485</t>
        </is>
      </c>
      <c r="O1622" t="inlineStr">
        <is>
          <t>R</t>
        </is>
      </c>
      <c r="P1622">
        <f>TRIM(N1622)</f>
        <v/>
      </c>
    </row>
    <row r="1623">
      <c r="A1623" t="inlineStr">
        <is>
          <t>CO-001894</t>
        </is>
      </c>
      <c r="B1623" t="inlineStr">
        <is>
          <t>PERU MASIVO S.A.</t>
        </is>
      </c>
      <c r="C1623" t="inlineStr">
        <is>
          <t>20492392031</t>
        </is>
      </c>
      <c r="D1623" t="inlineStr">
        <is>
          <t>AV. LOS INCAS CDRA. 4 PATIO NORTE - COMAS</t>
        </is>
      </c>
      <c r="E1623" t="inlineStr">
        <is>
          <t>Lima, 08 de Abril de 2024</t>
        </is>
      </c>
      <c r="F1623" t="inlineStr">
        <is>
          <t>la Recarga y mantenimiento</t>
        </is>
      </c>
      <c r="G1623" t="inlineStr">
        <is>
          <t>12</t>
        </is>
      </c>
      <c r="H1623" t="inlineStr">
        <is>
          <t>06 KG</t>
        </is>
      </c>
      <c r="I1623" t="inlineStr">
        <is>
          <t>2029</t>
        </is>
      </c>
      <c r="J1623" t="n">
        <v>2009</v>
      </c>
      <c r="K1623" t="inlineStr">
        <is>
          <t>ABRIL 2024</t>
        </is>
      </c>
      <c r="L1623" t="inlineStr">
        <is>
          <t>ABRIL 2025</t>
        </is>
      </c>
      <c r="M1623" t="inlineStr">
        <is>
          <t>P.Q.S TIPO ABC AL 90 % NACIONAL</t>
        </is>
      </c>
      <c r="N1623" t="inlineStr">
        <is>
          <t>71 / 000039</t>
        </is>
      </c>
      <c r="O1623" t="inlineStr">
        <is>
          <t>R</t>
        </is>
      </c>
      <c r="P1623">
        <f>TRIM(N1623)</f>
        <v/>
      </c>
    </row>
    <row r="1624">
      <c r="A1624" t="inlineStr">
        <is>
          <t>CO-001894</t>
        </is>
      </c>
      <c r="B1624" t="inlineStr">
        <is>
          <t>PERU MASIVO S.A.</t>
        </is>
      </c>
      <c r="C1624" t="inlineStr">
        <is>
          <t>20492392031</t>
        </is>
      </c>
      <c r="D1624" t="inlineStr">
        <is>
          <t>AV. LOS INCAS CDRA. 4 PATIO NORTE - COMAS</t>
        </is>
      </c>
      <c r="E1624" t="inlineStr">
        <is>
          <t>Lima, 08 de Abril de 2024</t>
        </is>
      </c>
      <c r="F1624" t="inlineStr">
        <is>
          <t>la Recarga y mantenimiento</t>
        </is>
      </c>
      <c r="G1624" t="inlineStr">
        <is>
          <t>13</t>
        </is>
      </c>
      <c r="H1624" t="inlineStr">
        <is>
          <t>06 KG</t>
        </is>
      </c>
      <c r="I1624" t="inlineStr">
        <is>
          <t>2028</t>
        </is>
      </c>
      <c r="J1624" t="n">
        <v>2009</v>
      </c>
      <c r="K1624" t="inlineStr">
        <is>
          <t>ABRIL 2024</t>
        </is>
      </c>
      <c r="L1624" t="inlineStr">
        <is>
          <t>ABRIL 2025</t>
        </is>
      </c>
      <c r="M1624" t="inlineStr">
        <is>
          <t>P.Q.S TIPO ABC AL 90 % NACIONAL</t>
        </is>
      </c>
      <c r="N1624" t="inlineStr">
        <is>
          <t>277 / 001108</t>
        </is>
      </c>
      <c r="O1624" t="inlineStr">
        <is>
          <t>R</t>
        </is>
      </c>
      <c r="P1624">
        <f>TRIM(N1624)</f>
        <v/>
      </c>
    </row>
    <row r="1625">
      <c r="A1625" t="inlineStr">
        <is>
          <t>CO-001894</t>
        </is>
      </c>
      <c r="B1625" t="inlineStr">
        <is>
          <t>PERU MASIVO S.A.</t>
        </is>
      </c>
      <c r="C1625" t="inlineStr">
        <is>
          <t>20492392031</t>
        </is>
      </c>
      <c r="D1625" t="inlineStr">
        <is>
          <t>AV. LOS INCAS CDRA. 4 PATIO NORTE - COMAS</t>
        </is>
      </c>
      <c r="E1625" t="inlineStr">
        <is>
          <t>Lima, 08 de Abril de 2024</t>
        </is>
      </c>
      <c r="F1625" t="inlineStr">
        <is>
          <t>la Recarga y mantenimiento</t>
        </is>
      </c>
      <c r="G1625" t="inlineStr">
        <is>
          <t>14</t>
        </is>
      </c>
      <c r="H1625" t="inlineStr">
        <is>
          <t>06 KG</t>
        </is>
      </c>
      <c r="I1625" t="inlineStr">
        <is>
          <t>2028</t>
        </is>
      </c>
      <c r="J1625" t="n">
        <v>2015</v>
      </c>
      <c r="K1625" t="inlineStr">
        <is>
          <t>ABRIL 2024</t>
        </is>
      </c>
      <c r="L1625" t="inlineStr">
        <is>
          <t>ABRIL 2025</t>
        </is>
      </c>
      <c r="M1625" t="inlineStr">
        <is>
          <t>P.Q.S TIPO ABC AL 90 % NACIONAL</t>
        </is>
      </c>
      <c r="N1625" t="inlineStr">
        <is>
          <t>72 / 000966</t>
        </is>
      </c>
      <c r="O1625" t="inlineStr">
        <is>
          <t>R</t>
        </is>
      </c>
      <c r="P1625">
        <f>TRIM(N1625)</f>
        <v/>
      </c>
    </row>
    <row r="1626">
      <c r="A1626" t="inlineStr">
        <is>
          <t>CO-001895</t>
        </is>
      </c>
      <c r="B1626" t="inlineStr">
        <is>
          <t>MIGUEL ANTONIO PINEDO MEZA</t>
        </is>
      </c>
      <c r="C1626" t="inlineStr">
        <is>
          <t>10660393</t>
        </is>
      </c>
      <c r="D1626" t="inlineStr">
        <is>
          <t>PLACA: BUQ - 691</t>
        </is>
      </c>
      <c r="E1626" t="inlineStr">
        <is>
          <t>Lima, 08 de Abril de 2024</t>
        </is>
      </c>
      <c r="F1626" t="inlineStr">
        <is>
          <t>la Recarga y mantenimiento</t>
        </is>
      </c>
      <c r="G1626" t="inlineStr">
        <is>
          <t>01</t>
        </is>
      </c>
      <c r="H1626" t="inlineStr">
        <is>
          <t>02 KG</t>
        </is>
      </c>
      <c r="I1626" t="inlineStr">
        <is>
          <t>VIGENTE</t>
        </is>
      </c>
      <c r="J1626" t="n">
        <v>2019</v>
      </c>
      <c r="K1626" t="inlineStr">
        <is>
          <t>ABRIL 2024</t>
        </is>
      </c>
      <c r="L1626" t="inlineStr">
        <is>
          <t>ABRIL 2025</t>
        </is>
      </c>
      <c r="M1626" t="inlineStr">
        <is>
          <t>P.Q.S TIPO ABC</t>
        </is>
      </c>
      <c r="N1626" t="inlineStr">
        <is>
          <t>000664</t>
        </is>
      </c>
      <c r="O1626" t="inlineStr">
        <is>
          <t>R</t>
        </is>
      </c>
      <c r="P1626">
        <f>TRIM(N1626)</f>
        <v/>
      </c>
    </row>
    <row r="1627">
      <c r="A1627" t="inlineStr">
        <is>
          <t>CO-001896</t>
        </is>
      </c>
      <c r="B1627" t="inlineStr">
        <is>
          <t>UNIGRAF SAC</t>
        </is>
      </c>
      <c r="C1627" t="inlineStr">
        <is>
          <t>20113367955</t>
        </is>
      </c>
      <c r="D1627" t="inlineStr">
        <is>
          <t>CALLE LOS CEDROS MZ C1 LT1 CPM HUACHIPA, LURIGANCHO CHOSICA</t>
        </is>
      </c>
      <c r="E1627" t="inlineStr">
        <is>
          <t>Lima, 11 de Abril de 2024</t>
        </is>
      </c>
      <c r="F1627" t="inlineStr">
        <is>
          <t>la Recarga y mantenimiento</t>
        </is>
      </c>
      <c r="G1627" t="inlineStr">
        <is>
          <t>01</t>
        </is>
      </c>
      <c r="H1627" t="inlineStr">
        <is>
          <t>06 KG</t>
        </is>
      </c>
      <c r="I1627" t="inlineStr">
        <is>
          <t>2026</t>
        </is>
      </c>
      <c r="J1627" t="n">
        <v>2013</v>
      </c>
      <c r="K1627" t="inlineStr">
        <is>
          <t>ABRIL 2024</t>
        </is>
      </c>
      <c r="L1627" t="inlineStr">
        <is>
          <t>ABRIL 2025</t>
        </is>
      </c>
      <c r="M1627" t="inlineStr">
        <is>
          <t>P.Q.S TIPO ABC</t>
        </is>
      </c>
      <c r="N1627" t="inlineStr">
        <is>
          <t>19 / 002492</t>
        </is>
      </c>
      <c r="O1627" t="inlineStr">
        <is>
          <t>R</t>
        </is>
      </c>
      <c r="P1627">
        <f>TRIM(N1627)</f>
        <v/>
      </c>
    </row>
    <row r="1628">
      <c r="A1628" t="inlineStr">
        <is>
          <t>CO-001896</t>
        </is>
      </c>
      <c r="B1628" t="inlineStr">
        <is>
          <t>UNIGRAF SAC</t>
        </is>
      </c>
      <c r="C1628" t="inlineStr">
        <is>
          <t>20113367955</t>
        </is>
      </c>
      <c r="D1628" t="inlineStr">
        <is>
          <t>CALLE LOS CEDROS MZ C1 LT1 CPM HUACHIPA, LURIGANCHO CHOSICA</t>
        </is>
      </c>
      <c r="E1628" t="inlineStr">
        <is>
          <t>Lima, 11 de Abril de 2024</t>
        </is>
      </c>
      <c r="F1628" t="inlineStr">
        <is>
          <t>la Recarga y mantenimiento</t>
        </is>
      </c>
      <c r="G1628" t="inlineStr">
        <is>
          <t>02</t>
        </is>
      </c>
      <c r="H1628" t="inlineStr">
        <is>
          <t>06 KG</t>
        </is>
      </c>
      <c r="I1628" t="inlineStr">
        <is>
          <t>2025</t>
        </is>
      </c>
      <c r="J1628" t="n">
        <v>2011</v>
      </c>
      <c r="K1628" t="inlineStr">
        <is>
          <t>ABRIL 2024</t>
        </is>
      </c>
      <c r="L1628" t="inlineStr">
        <is>
          <t>ABRIL 2025</t>
        </is>
      </c>
      <c r="M1628" t="inlineStr">
        <is>
          <t>P.Q.S TIPO ABC</t>
        </is>
      </c>
      <c r="N1628" t="inlineStr">
        <is>
          <t>21 / 002016</t>
        </is>
      </c>
      <c r="O1628" t="inlineStr">
        <is>
          <t>R</t>
        </is>
      </c>
      <c r="P1628">
        <f>TRIM(N1628)</f>
        <v/>
      </c>
    </row>
    <row r="1629">
      <c r="A1629" t="inlineStr">
        <is>
          <t>CO-001896</t>
        </is>
      </c>
      <c r="B1629" t="inlineStr">
        <is>
          <t>UNIGRAF SAC</t>
        </is>
      </c>
      <c r="C1629" t="inlineStr">
        <is>
          <t>20113367955</t>
        </is>
      </c>
      <c r="D1629" t="inlineStr">
        <is>
          <t>CALLE LOS CEDROS MZ C1 LT1 CPM HUACHIPA, LURIGANCHO CHOSICA</t>
        </is>
      </c>
      <c r="E1629" t="inlineStr">
        <is>
          <t>Lima, 11 de Abril de 2024</t>
        </is>
      </c>
      <c r="F1629" t="inlineStr">
        <is>
          <t>la Recarga y mantenimiento</t>
        </is>
      </c>
      <c r="G1629" t="inlineStr">
        <is>
          <t>03</t>
        </is>
      </c>
      <c r="H1629" t="inlineStr">
        <is>
          <t>06 KG</t>
        </is>
      </c>
      <c r="I1629" t="n">
        <v>2025</v>
      </c>
      <c r="J1629" t="n">
        <v>2008</v>
      </c>
      <c r="K1629" t="inlineStr">
        <is>
          <t>ABRIL 2024</t>
        </is>
      </c>
      <c r="L1629" t="inlineStr">
        <is>
          <t>ABRIL 2025</t>
        </is>
      </c>
      <c r="M1629" t="inlineStr">
        <is>
          <t>P.Q.S TIPO ABC</t>
        </is>
      </c>
      <c r="N1629" t="inlineStr">
        <is>
          <t>S/N / 005887</t>
        </is>
      </c>
      <c r="O1629" t="inlineStr">
        <is>
          <t>R</t>
        </is>
      </c>
      <c r="P1629">
        <f>TRIM(N1629)</f>
        <v/>
      </c>
    </row>
    <row r="1630">
      <c r="A1630" t="inlineStr">
        <is>
          <t>CO-001896</t>
        </is>
      </c>
      <c r="B1630" t="inlineStr">
        <is>
          <t>UNIGRAF SAC</t>
        </is>
      </c>
      <c r="C1630" t="inlineStr">
        <is>
          <t>20113367955</t>
        </is>
      </c>
      <c r="D1630" t="inlineStr">
        <is>
          <t>CALLE LOS CEDROS MZ C1 LT1 CPM HUACHIPA, LURIGANCHO CHOSICA</t>
        </is>
      </c>
      <c r="E1630" t="inlineStr">
        <is>
          <t>Lima, 11 de Abril de 2024</t>
        </is>
      </c>
      <c r="F1630" t="inlineStr">
        <is>
          <t>la Recarga y mantenimiento</t>
        </is>
      </c>
      <c r="G1630" t="inlineStr">
        <is>
          <t>04</t>
        </is>
      </c>
      <c r="H1630" t="inlineStr">
        <is>
          <t>06 KG</t>
        </is>
      </c>
      <c r="I1630" t="n">
        <v>2026</v>
      </c>
      <c r="J1630" t="n">
        <v>2013</v>
      </c>
      <c r="K1630" t="inlineStr">
        <is>
          <t>ABRIL 2024</t>
        </is>
      </c>
      <c r="L1630" t="inlineStr">
        <is>
          <t>ABRIL 2025</t>
        </is>
      </c>
      <c r="M1630" t="inlineStr">
        <is>
          <t>P.Q.S TIPO ABC</t>
        </is>
      </c>
      <c r="N1630" t="inlineStr">
        <is>
          <t>10 / 002455</t>
        </is>
      </c>
      <c r="O1630" t="inlineStr">
        <is>
          <t>R</t>
        </is>
      </c>
      <c r="P1630">
        <f>TRIM(N1630)</f>
        <v/>
      </c>
    </row>
    <row r="1631">
      <c r="A1631" t="inlineStr">
        <is>
          <t>CO-001896</t>
        </is>
      </c>
      <c r="B1631" t="inlineStr">
        <is>
          <t>UNIGRAF SAC</t>
        </is>
      </c>
      <c r="C1631" t="inlineStr">
        <is>
          <t>20113367955</t>
        </is>
      </c>
      <c r="D1631" t="inlineStr">
        <is>
          <t>CALLE LOS CEDROS MZ C1 LT1 CPM HUACHIPA, LURIGANCHO CHOSICA</t>
        </is>
      </c>
      <c r="E1631" t="inlineStr">
        <is>
          <t>Lima, 11 de Abril de 2024</t>
        </is>
      </c>
      <c r="F1631" t="inlineStr">
        <is>
          <t>la Recarga y mantenimiento</t>
        </is>
      </c>
      <c r="G1631" t="inlineStr">
        <is>
          <t>05</t>
        </is>
      </c>
      <c r="H1631" t="inlineStr">
        <is>
          <t>06 KG</t>
        </is>
      </c>
      <c r="I1631" t="n">
        <v>2029</v>
      </c>
      <c r="J1631" t="n">
        <v>2013</v>
      </c>
      <c r="K1631" t="inlineStr">
        <is>
          <t>ABRIL 2024</t>
        </is>
      </c>
      <c r="L1631" t="inlineStr">
        <is>
          <t>ABRIL 2025</t>
        </is>
      </c>
      <c r="M1631" t="inlineStr">
        <is>
          <t>P.Q.S TIPO ABC</t>
        </is>
      </c>
      <c r="N1631" t="inlineStr">
        <is>
          <t>S/N / 000645</t>
        </is>
      </c>
      <c r="O1631" t="inlineStr">
        <is>
          <t>R</t>
        </is>
      </c>
      <c r="P1631">
        <f>TRIM(N1631)</f>
        <v/>
      </c>
    </row>
    <row r="1632">
      <c r="A1632" t="inlineStr">
        <is>
          <t>CO-001896</t>
        </is>
      </c>
      <c r="B1632" t="inlineStr">
        <is>
          <t>UNIGRAF SAC</t>
        </is>
      </c>
      <c r="C1632" t="inlineStr">
        <is>
          <t>20113367955</t>
        </is>
      </c>
      <c r="D1632" t="inlineStr">
        <is>
          <t>CALLE LOS CEDROS MZ C1 LT1 CPM HUACHIPA, LURIGANCHO CHOSICA</t>
        </is>
      </c>
      <c r="E1632" t="inlineStr">
        <is>
          <t>Lima, 11 de Abril de 2024</t>
        </is>
      </c>
      <c r="F1632" t="inlineStr">
        <is>
          <t>la Recarga y mantenimiento</t>
        </is>
      </c>
      <c r="G1632" t="inlineStr">
        <is>
          <t>06</t>
        </is>
      </c>
      <c r="H1632" t="inlineStr">
        <is>
          <t>06 KG</t>
        </is>
      </c>
      <c r="I1632" t="n">
        <v>2026</v>
      </c>
      <c r="J1632" t="n">
        <v>2003</v>
      </c>
      <c r="K1632" t="inlineStr">
        <is>
          <t>ABRIL 2024</t>
        </is>
      </c>
      <c r="L1632" t="inlineStr">
        <is>
          <t>ABRIL 2025</t>
        </is>
      </c>
      <c r="M1632" t="inlineStr">
        <is>
          <t>P.Q.S TIPO ABC</t>
        </is>
      </c>
      <c r="N1632" t="inlineStr">
        <is>
          <t>S/N / 000008</t>
        </is>
      </c>
      <c r="O1632" t="inlineStr">
        <is>
          <t>R</t>
        </is>
      </c>
      <c r="P1632">
        <f>TRIM(N1632)</f>
        <v/>
      </c>
    </row>
    <row r="1633">
      <c r="A1633" t="inlineStr">
        <is>
          <t>CO-001897</t>
        </is>
      </c>
      <c r="B1633" t="inlineStr">
        <is>
          <t>PERU MASIVO S.A.</t>
        </is>
      </c>
      <c r="C1633" t="inlineStr">
        <is>
          <t>20492392031</t>
        </is>
      </c>
      <c r="D1633" t="inlineStr">
        <is>
          <t>AV. LOS INCAS CDRA. 4 PATIO NORTE - COMAS</t>
        </is>
      </c>
      <c r="E1633" t="inlineStr">
        <is>
          <t>Lima, 11 de Abril de 2024</t>
        </is>
      </c>
      <c r="F1633" t="inlineStr">
        <is>
          <t>la Recarga y mantenimiento</t>
        </is>
      </c>
      <c r="G1633" t="inlineStr">
        <is>
          <t>01</t>
        </is>
      </c>
      <c r="H1633" t="inlineStr">
        <is>
          <t>06 KG</t>
        </is>
      </c>
      <c r="I1633" t="inlineStr">
        <is>
          <t>2028</t>
        </is>
      </c>
      <c r="J1633" t="n">
        <v>2010</v>
      </c>
      <c r="K1633" t="inlineStr">
        <is>
          <t>ABRIL 2024</t>
        </is>
      </c>
      <c r="L1633" t="inlineStr">
        <is>
          <t>ABRIL 2025</t>
        </is>
      </c>
      <c r="M1633" t="inlineStr">
        <is>
          <t>P.Q.S TIPO ABC AL 90 % NACIONAL</t>
        </is>
      </c>
      <c r="N1633" t="inlineStr">
        <is>
          <t>216 / 000241</t>
        </is>
      </c>
      <c r="O1633" t="inlineStr">
        <is>
          <t>R</t>
        </is>
      </c>
      <c r="P1633">
        <f>TRIM(N1633)</f>
        <v/>
      </c>
    </row>
    <row r="1634">
      <c r="A1634" t="inlineStr">
        <is>
          <t>CO-001898</t>
        </is>
      </c>
      <c r="B1634" t="inlineStr">
        <is>
          <t>POLLOS Y PARRILLAS CELY S.A.C</t>
        </is>
      </c>
      <c r="C1634" t="inlineStr">
        <is>
          <t>20608356135</t>
        </is>
      </c>
      <c r="D1634" t="inlineStr">
        <is>
          <t>AV. LAS PALMERAS 5380 - LOS OLIVOS</t>
        </is>
      </c>
      <c r="E1634" t="inlineStr">
        <is>
          <t>Lima, 23 de Abril de 2024</t>
        </is>
      </c>
      <c r="F1634" t="inlineStr">
        <is>
          <t>la Recarga y mantenimiento</t>
        </is>
      </c>
      <c r="G1634" t="inlineStr">
        <is>
          <t>01</t>
        </is>
      </c>
      <c r="H1634" t="inlineStr">
        <is>
          <t>06 KG</t>
        </is>
      </c>
      <c r="I1634" t="inlineStr">
        <is>
          <t>2028</t>
        </is>
      </c>
      <c r="J1634" t="n">
        <v>2019</v>
      </c>
      <c r="K1634" t="inlineStr">
        <is>
          <t>ABRIL 2024</t>
        </is>
      </c>
      <c r="L1634" t="inlineStr">
        <is>
          <t>ABRIL 2025</t>
        </is>
      </c>
      <c r="M1634" t="inlineStr">
        <is>
          <t>P.Q.S TIPO ABC</t>
        </is>
      </c>
      <c r="N1634" t="inlineStr">
        <is>
          <t>008839</t>
        </is>
      </c>
      <c r="O1634" t="inlineStr">
        <is>
          <t>R</t>
        </is>
      </c>
      <c r="P1634">
        <f>TRIM(N1634)</f>
        <v/>
      </c>
    </row>
    <row r="1635">
      <c r="A1635" t="inlineStr">
        <is>
          <t>CO-001898</t>
        </is>
      </c>
      <c r="B1635" t="inlineStr">
        <is>
          <t>POLLOS Y PARRILLAS CELY S.A.C</t>
        </is>
      </c>
      <c r="C1635" t="inlineStr">
        <is>
          <t>20608356135</t>
        </is>
      </c>
      <c r="D1635" t="inlineStr">
        <is>
          <t>AV. LAS PALMERAS 5380 - LOS OLIVOS</t>
        </is>
      </c>
      <c r="E1635" t="inlineStr">
        <is>
          <t>Lima, 23 de Abril de 2024</t>
        </is>
      </c>
      <c r="F1635" t="inlineStr">
        <is>
          <t>la Recarga y mantenimiento</t>
        </is>
      </c>
      <c r="G1635" t="inlineStr">
        <is>
          <t>02</t>
        </is>
      </c>
      <c r="H1635" t="inlineStr">
        <is>
          <t>06 KG</t>
        </is>
      </c>
      <c r="I1635" t="inlineStr">
        <is>
          <t>2029</t>
        </is>
      </c>
      <c r="J1635" t="n">
        <v>2019</v>
      </c>
      <c r="K1635" t="inlineStr">
        <is>
          <t>ABRIL 2024</t>
        </is>
      </c>
      <c r="L1635" t="inlineStr">
        <is>
          <t>ABRIL 2025</t>
        </is>
      </c>
      <c r="M1635" t="inlineStr">
        <is>
          <t>P.Q.S TIPO ABC</t>
        </is>
      </c>
      <c r="N1635" t="inlineStr">
        <is>
          <t>002702</t>
        </is>
      </c>
      <c r="O1635" t="inlineStr">
        <is>
          <t>R</t>
        </is>
      </c>
      <c r="P1635">
        <f>TRIM(N1635)</f>
        <v/>
      </c>
    </row>
    <row r="1636">
      <c r="A1636" t="inlineStr">
        <is>
          <t>CO-001899</t>
        </is>
      </c>
      <c r="B1636" t="inlineStr">
        <is>
          <t>LUIS DANIEL RICHARD OCHOA PASTRANA</t>
        </is>
      </c>
      <c r="C1636" t="inlineStr">
        <is>
          <t>10430949301</t>
        </is>
      </c>
      <c r="D1636" t="inlineStr">
        <is>
          <t>AV. CARABAYLLO (CALLE 127) N°1247 URB. SANTA LUZMILA</t>
        </is>
      </c>
      <c r="E1636" t="inlineStr">
        <is>
          <t>Lima, 24 de Abril de 2024</t>
        </is>
      </c>
      <c r="F1636" t="inlineStr">
        <is>
          <t>la venta</t>
        </is>
      </c>
      <c r="G1636" t="inlineStr">
        <is>
          <t>01</t>
        </is>
      </c>
      <c r="H1636" t="inlineStr">
        <is>
          <t>06 KG</t>
        </is>
      </c>
      <c r="I1636" t="inlineStr">
        <is>
          <t>2029</t>
        </is>
      </c>
      <c r="J1636" t="n">
        <v>2024</v>
      </c>
      <c r="K1636" t="inlineStr">
        <is>
          <t>ABRIL 2024</t>
        </is>
      </c>
      <c r="L1636" t="inlineStr">
        <is>
          <t>ABRIL 2025</t>
        </is>
      </c>
      <c r="M1636" t="inlineStr">
        <is>
          <t>P.Q.S TIPO ABC AL 90 %</t>
        </is>
      </c>
      <c r="N1636" t="inlineStr">
        <is>
          <t>000979</t>
        </is>
      </c>
      <c r="O1636" t="inlineStr">
        <is>
          <t>V</t>
        </is>
      </c>
      <c r="P1636">
        <f>TRIM(N1636)</f>
        <v/>
      </c>
    </row>
    <row r="1637">
      <c r="A1637" t="inlineStr">
        <is>
          <t>CO-001899</t>
        </is>
      </c>
      <c r="B1637" t="inlineStr">
        <is>
          <t>LUIS DANIEL RICHARD OCHOA PASTRANA</t>
        </is>
      </c>
      <c r="C1637" t="inlineStr">
        <is>
          <t>10430949301</t>
        </is>
      </c>
      <c r="D1637" t="inlineStr">
        <is>
          <t>AV. CARABAYLLO (CALLE 127) N°1247 URB. SANTA LUZMILA</t>
        </is>
      </c>
      <c r="E1637" t="inlineStr">
        <is>
          <t>Lima, 24 de Abril de 2024</t>
        </is>
      </c>
      <c r="F1637" t="inlineStr">
        <is>
          <t>la venta</t>
        </is>
      </c>
      <c r="G1637" t="inlineStr">
        <is>
          <t>02</t>
        </is>
      </c>
      <c r="H1637" t="inlineStr">
        <is>
          <t>06 KG</t>
        </is>
      </c>
      <c r="I1637" t="inlineStr">
        <is>
          <t>2029</t>
        </is>
      </c>
      <c r="J1637" t="n">
        <v>2024</v>
      </c>
      <c r="K1637" t="inlineStr">
        <is>
          <t>ABRIL 2024</t>
        </is>
      </c>
      <c r="L1637" t="inlineStr">
        <is>
          <t>ABRIL 2025</t>
        </is>
      </c>
      <c r="M1637" t="inlineStr">
        <is>
          <t>P.Q.S TIPO ABC AL 90 %</t>
        </is>
      </c>
      <c r="N1637" t="inlineStr">
        <is>
          <t>001041</t>
        </is>
      </c>
      <c r="O1637" t="inlineStr">
        <is>
          <t>V</t>
        </is>
      </c>
      <c r="P1637">
        <f>TRIM(N1637)</f>
        <v/>
      </c>
    </row>
    <row r="1638">
      <c r="A1638" t="inlineStr">
        <is>
          <t>CO-001900</t>
        </is>
      </c>
      <c r="B1638" t="inlineStr">
        <is>
          <t>PERU MASIVO S.A.</t>
        </is>
      </c>
      <c r="C1638" t="inlineStr">
        <is>
          <t>20492392031</t>
        </is>
      </c>
      <c r="D1638" t="inlineStr">
        <is>
          <t>AV. LOS INCAS CDRA. 4 PATIO NORTE - COMAS</t>
        </is>
      </c>
      <c r="E1638" t="inlineStr">
        <is>
          <t>Lima, 25 de Abril de 2024</t>
        </is>
      </c>
      <c r="F1638" t="inlineStr">
        <is>
          <t>la Recarga y mantenimiento</t>
        </is>
      </c>
      <c r="G1638" t="inlineStr">
        <is>
          <t>01</t>
        </is>
      </c>
      <c r="H1638" t="inlineStr">
        <is>
          <t>06 KG</t>
        </is>
      </c>
      <c r="I1638" t="inlineStr">
        <is>
          <t>2028</t>
        </is>
      </c>
      <c r="J1638" t="n">
        <v>2010</v>
      </c>
      <c r="K1638" t="inlineStr">
        <is>
          <t>ABRIL 2024</t>
        </is>
      </c>
      <c r="L1638" t="inlineStr">
        <is>
          <t>ABRIL 2025</t>
        </is>
      </c>
      <c r="M1638" t="inlineStr">
        <is>
          <t>P.Q.S TIPO ABC AL 90 % NACIONAL</t>
        </is>
      </c>
      <c r="N1638" t="inlineStr">
        <is>
          <t>238 / 000597</t>
        </is>
      </c>
      <c r="O1638" t="inlineStr">
        <is>
          <t>R</t>
        </is>
      </c>
      <c r="P1638">
        <f>TRIM(N1638)</f>
        <v/>
      </c>
    </row>
    <row r="1639">
      <c r="A1639" t="inlineStr">
        <is>
          <t>CO-001900</t>
        </is>
      </c>
      <c r="B1639" t="inlineStr">
        <is>
          <t>PERU MASIVO S.A.</t>
        </is>
      </c>
      <c r="C1639" t="inlineStr">
        <is>
          <t>20492392031</t>
        </is>
      </c>
      <c r="D1639" t="inlineStr">
        <is>
          <t>AV. LOS INCAS CDRA. 4 PATIO NORTE - COMAS</t>
        </is>
      </c>
      <c r="E1639" t="inlineStr">
        <is>
          <t>Lima, 25 de Abril de 2024</t>
        </is>
      </c>
      <c r="F1639" t="inlineStr">
        <is>
          <t>la Recarga y mantenimiento</t>
        </is>
      </c>
      <c r="G1639" t="inlineStr">
        <is>
          <t>02</t>
        </is>
      </c>
      <c r="H1639" t="inlineStr">
        <is>
          <t>06 KG</t>
        </is>
      </c>
      <c r="I1639" t="inlineStr">
        <is>
          <t>2028</t>
        </is>
      </c>
      <c r="J1639" t="n">
        <v>2009</v>
      </c>
      <c r="K1639" t="inlineStr">
        <is>
          <t>ABRIL 2024</t>
        </is>
      </c>
      <c r="L1639" t="inlineStr">
        <is>
          <t>ABRIL 2025</t>
        </is>
      </c>
      <c r="M1639" t="inlineStr">
        <is>
          <t>P.Q.S TIPO ABC AL 90 % NACIONAL</t>
        </is>
      </c>
      <c r="N1639" t="inlineStr">
        <is>
          <t>296 / 001459</t>
        </is>
      </c>
      <c r="O1639" t="inlineStr">
        <is>
          <t>R</t>
        </is>
      </c>
      <c r="P1639">
        <f>TRIM(N1639)</f>
        <v/>
      </c>
    </row>
    <row r="1640">
      <c r="A1640" t="inlineStr">
        <is>
          <t>CO-001900</t>
        </is>
      </c>
      <c r="B1640" t="inlineStr">
        <is>
          <t>PERU MASIVO S.A.</t>
        </is>
      </c>
      <c r="C1640" t="inlineStr">
        <is>
          <t>20492392031</t>
        </is>
      </c>
      <c r="D1640" t="inlineStr">
        <is>
          <t>AV. LOS INCAS CDRA. 4 PATIO NORTE - COMAS</t>
        </is>
      </c>
      <c r="E1640" t="inlineStr">
        <is>
          <t>Lima, 25 de Abril de 2024</t>
        </is>
      </c>
      <c r="F1640" t="inlineStr">
        <is>
          <t>la Recarga y mantenimiento</t>
        </is>
      </c>
      <c r="G1640" t="inlineStr">
        <is>
          <t>03</t>
        </is>
      </c>
      <c r="H1640" t="inlineStr">
        <is>
          <t>06 KG</t>
        </is>
      </c>
      <c r="I1640" t="inlineStr">
        <is>
          <t>2028</t>
        </is>
      </c>
      <c r="J1640" t="n">
        <v>2009</v>
      </c>
      <c r="K1640" t="inlineStr">
        <is>
          <t>ABRIL 2024</t>
        </is>
      </c>
      <c r="L1640" t="inlineStr">
        <is>
          <t>ABRIL 2025</t>
        </is>
      </c>
      <c r="M1640" t="inlineStr">
        <is>
          <t>P.Q.S TIPO ABC AL 90 % NACIONAL</t>
        </is>
      </c>
      <c r="N1640" t="inlineStr">
        <is>
          <t>214 / 001243</t>
        </is>
      </c>
      <c r="O1640" t="inlineStr">
        <is>
          <t>R</t>
        </is>
      </c>
      <c r="P1640">
        <f>TRIM(N1640)</f>
        <v/>
      </c>
    </row>
    <row r="1641">
      <c r="A1641" t="inlineStr">
        <is>
          <t>CO-001900</t>
        </is>
      </c>
      <c r="B1641" t="inlineStr">
        <is>
          <t>PERU MASIVO S.A.</t>
        </is>
      </c>
      <c r="C1641" t="inlineStr">
        <is>
          <t>20492392031</t>
        </is>
      </c>
      <c r="D1641" t="inlineStr">
        <is>
          <t>AV. LOS INCAS CDRA. 4 PATIO NORTE - COMAS</t>
        </is>
      </c>
      <c r="E1641" t="inlineStr">
        <is>
          <t>Lima, 25 de Abril de 2024</t>
        </is>
      </c>
      <c r="F1641" t="inlineStr">
        <is>
          <t>la Recarga y mantenimiento</t>
        </is>
      </c>
      <c r="G1641" t="inlineStr">
        <is>
          <t>04</t>
        </is>
      </c>
      <c r="H1641" t="inlineStr">
        <is>
          <t>06 KG</t>
        </is>
      </c>
      <c r="I1641" t="inlineStr">
        <is>
          <t>2028</t>
        </is>
      </c>
      <c r="J1641" t="n">
        <v>2010</v>
      </c>
      <c r="K1641" t="inlineStr">
        <is>
          <t>ABRIL 2024</t>
        </is>
      </c>
      <c r="L1641" t="inlineStr">
        <is>
          <t>ABRIL 2025</t>
        </is>
      </c>
      <c r="M1641" t="inlineStr">
        <is>
          <t>P.Q.S TIPO ABC AL 90 % NACIONAL</t>
        </is>
      </c>
      <c r="N1641" t="inlineStr">
        <is>
          <t>211 / 000005</t>
        </is>
      </c>
      <c r="O1641" t="inlineStr">
        <is>
          <t>R</t>
        </is>
      </c>
      <c r="P1641">
        <f>TRIM(N1641)</f>
        <v/>
      </c>
    </row>
    <row r="1642">
      <c r="A1642" t="inlineStr">
        <is>
          <t>CO-001900</t>
        </is>
      </c>
      <c r="B1642" t="inlineStr">
        <is>
          <t>PERU MASIVO S.A.</t>
        </is>
      </c>
      <c r="C1642" t="inlineStr">
        <is>
          <t>20492392031</t>
        </is>
      </c>
      <c r="D1642" t="inlineStr">
        <is>
          <t>AV. LOS INCAS CDRA. 4 PATIO NORTE - COMAS</t>
        </is>
      </c>
      <c r="E1642" t="inlineStr">
        <is>
          <t>Lima, 25 de Abril de 2024</t>
        </is>
      </c>
      <c r="F1642" t="inlineStr">
        <is>
          <t>la Recarga y mantenimiento</t>
        </is>
      </c>
      <c r="G1642" t="inlineStr">
        <is>
          <t>05</t>
        </is>
      </c>
      <c r="H1642" t="inlineStr">
        <is>
          <t>06 KG</t>
        </is>
      </c>
      <c r="I1642" t="inlineStr">
        <is>
          <t>2028</t>
        </is>
      </c>
      <c r="J1642" t="n">
        <v>2009</v>
      </c>
      <c r="K1642" t="inlineStr">
        <is>
          <t>ABRIL 2024</t>
        </is>
      </c>
      <c r="L1642" t="inlineStr">
        <is>
          <t>ABRIL 2025</t>
        </is>
      </c>
      <c r="M1642" t="inlineStr">
        <is>
          <t>P.Q.S TIPO ABC AL 90 % NACIONAL</t>
        </is>
      </c>
      <c r="N1642" t="inlineStr">
        <is>
          <t>291 / 002708</t>
        </is>
      </c>
      <c r="O1642" t="inlineStr">
        <is>
          <t>R</t>
        </is>
      </c>
      <c r="P1642">
        <f>TRIM(N1642)</f>
        <v/>
      </c>
    </row>
    <row r="1643">
      <c r="A1643" t="inlineStr">
        <is>
          <t>CO-001900</t>
        </is>
      </c>
      <c r="B1643" t="inlineStr">
        <is>
          <t>PERU MASIVO S.A.</t>
        </is>
      </c>
      <c r="C1643" t="inlineStr">
        <is>
          <t>20492392031</t>
        </is>
      </c>
      <c r="D1643" t="inlineStr">
        <is>
          <t>AV. LOS INCAS CDRA. 4 PATIO NORTE - COMAS</t>
        </is>
      </c>
      <c r="E1643" t="inlineStr">
        <is>
          <t>Lima, 25 de Abril de 2024</t>
        </is>
      </c>
      <c r="F1643" t="inlineStr">
        <is>
          <t>la Recarga y mantenimiento</t>
        </is>
      </c>
      <c r="G1643" t="inlineStr">
        <is>
          <t>06</t>
        </is>
      </c>
      <c r="H1643" t="inlineStr">
        <is>
          <t>06 KG</t>
        </is>
      </c>
      <c r="I1643" t="inlineStr">
        <is>
          <t>2028</t>
        </is>
      </c>
      <c r="J1643" t="n">
        <v>2010</v>
      </c>
      <c r="K1643" t="inlineStr">
        <is>
          <t>ABRIL 2024</t>
        </is>
      </c>
      <c r="L1643" t="inlineStr">
        <is>
          <t>ABRIL 2025</t>
        </is>
      </c>
      <c r="M1643" t="inlineStr">
        <is>
          <t>P.Q.S TIPO ABC AL 90 % NACIONAL</t>
        </is>
      </c>
      <c r="N1643" t="inlineStr">
        <is>
          <t>102 / 000005</t>
        </is>
      </c>
      <c r="O1643" t="inlineStr">
        <is>
          <t>R</t>
        </is>
      </c>
      <c r="P1643">
        <f>TRIM(N1643)</f>
        <v/>
      </c>
    </row>
    <row r="1644">
      <c r="A1644" t="inlineStr">
        <is>
          <t>CO-001900</t>
        </is>
      </c>
      <c r="B1644" t="inlineStr">
        <is>
          <t>PERU MASIVO S.A.</t>
        </is>
      </c>
      <c r="C1644" t="inlineStr">
        <is>
          <t>20492392031</t>
        </is>
      </c>
      <c r="D1644" t="inlineStr">
        <is>
          <t>AV. LOS INCAS CDRA. 4 PATIO NORTE - COMAS</t>
        </is>
      </c>
      <c r="E1644" t="inlineStr">
        <is>
          <t>Lima, 25 de Abril de 2024</t>
        </is>
      </c>
      <c r="F1644" t="inlineStr">
        <is>
          <t>la Recarga y mantenimiento</t>
        </is>
      </c>
      <c r="G1644" t="inlineStr">
        <is>
          <t>07</t>
        </is>
      </c>
      <c r="H1644" t="inlineStr">
        <is>
          <t>06 KG</t>
        </is>
      </c>
      <c r="I1644" t="inlineStr">
        <is>
          <t>2028</t>
        </is>
      </c>
      <c r="J1644" t="n">
        <v>2016</v>
      </c>
      <c r="K1644" t="inlineStr">
        <is>
          <t>ABRIL 2024</t>
        </is>
      </c>
      <c r="L1644" t="inlineStr">
        <is>
          <t>ABRIL 2025</t>
        </is>
      </c>
      <c r="M1644" t="inlineStr">
        <is>
          <t>P.Q.S TIPO ABC AL 90 % NACIONAL</t>
        </is>
      </c>
      <c r="N1644" t="inlineStr">
        <is>
          <t>107 / 000942</t>
        </is>
      </c>
      <c r="O1644" t="inlineStr">
        <is>
          <t>R</t>
        </is>
      </c>
      <c r="P1644">
        <f>TRIM(N1644)</f>
        <v/>
      </c>
    </row>
    <row r="1645">
      <c r="A1645" t="inlineStr">
        <is>
          <t>CO-001900</t>
        </is>
      </c>
      <c r="B1645" t="inlineStr">
        <is>
          <t>PERU MASIVO S.A.</t>
        </is>
      </c>
      <c r="C1645" t="inlineStr">
        <is>
          <t>20492392031</t>
        </is>
      </c>
      <c r="D1645" t="inlineStr">
        <is>
          <t>AV. LOS INCAS CDRA. 4 PATIO NORTE - COMAS</t>
        </is>
      </c>
      <c r="E1645" t="inlineStr">
        <is>
          <t>Lima, 25 de Abril de 2024</t>
        </is>
      </c>
      <c r="F1645" t="inlineStr">
        <is>
          <t>la Recarga y mantenimiento</t>
        </is>
      </c>
      <c r="G1645" t="inlineStr">
        <is>
          <t>08</t>
        </is>
      </c>
      <c r="H1645" t="inlineStr">
        <is>
          <t>06 KG</t>
        </is>
      </c>
      <c r="I1645" t="inlineStr">
        <is>
          <t>2028</t>
        </is>
      </c>
      <c r="J1645" t="n">
        <v>2010</v>
      </c>
      <c r="K1645" t="inlineStr">
        <is>
          <t>ABRIL 2024</t>
        </is>
      </c>
      <c r="L1645" t="inlineStr">
        <is>
          <t>ABRIL 2025</t>
        </is>
      </c>
      <c r="M1645" t="inlineStr">
        <is>
          <t>P.Q.S TIPO ABC AL 90 % NACIONAL</t>
        </is>
      </c>
      <c r="N1645" t="inlineStr">
        <is>
          <t>254 / 000988</t>
        </is>
      </c>
      <c r="O1645" t="inlineStr">
        <is>
          <t>R</t>
        </is>
      </c>
      <c r="P1645">
        <f>TRIM(N1645)</f>
        <v/>
      </c>
    </row>
    <row r="1646">
      <c r="A1646" t="inlineStr">
        <is>
          <t>CO-001900</t>
        </is>
      </c>
      <c r="B1646" t="inlineStr">
        <is>
          <t>PERU MASIVO S.A.</t>
        </is>
      </c>
      <c r="C1646" t="inlineStr">
        <is>
          <t>20492392031</t>
        </is>
      </c>
      <c r="D1646" t="inlineStr">
        <is>
          <t>AV. LOS INCAS CDRA. 4 PATIO NORTE - COMAS</t>
        </is>
      </c>
      <c r="E1646" t="inlineStr">
        <is>
          <t>Lima, 25 de Abril de 2024</t>
        </is>
      </c>
      <c r="F1646" t="inlineStr">
        <is>
          <t>la Recarga y mantenimiento</t>
        </is>
      </c>
      <c r="G1646" t="inlineStr">
        <is>
          <t>09</t>
        </is>
      </c>
      <c r="H1646" t="inlineStr">
        <is>
          <t>06 KG</t>
        </is>
      </c>
      <c r="I1646" t="inlineStr">
        <is>
          <t>2028</t>
        </is>
      </c>
      <c r="J1646" t="n">
        <v>2016</v>
      </c>
      <c r="K1646" t="inlineStr">
        <is>
          <t>ABRIL 2024</t>
        </is>
      </c>
      <c r="L1646" t="inlineStr">
        <is>
          <t>ABRIL 2025</t>
        </is>
      </c>
      <c r="M1646" t="inlineStr">
        <is>
          <t>P.Q.S TIPO ABC AL 90 % NACIONAL</t>
        </is>
      </c>
      <c r="N1646" t="inlineStr">
        <is>
          <t>109 / 000254</t>
        </is>
      </c>
      <c r="O1646" t="inlineStr">
        <is>
          <t>R</t>
        </is>
      </c>
      <c r="P1646">
        <f>TRIM(N1646)</f>
        <v/>
      </c>
    </row>
    <row r="1647">
      <c r="A1647" t="inlineStr">
        <is>
          <t>CO-001900</t>
        </is>
      </c>
      <c r="B1647" t="inlineStr">
        <is>
          <t>PERU MASIVO S.A.</t>
        </is>
      </c>
      <c r="C1647" t="inlineStr">
        <is>
          <t>20492392031</t>
        </is>
      </c>
      <c r="D1647" t="inlineStr">
        <is>
          <t>AV. LOS INCAS CDRA. 4 PATIO NORTE - COMAS</t>
        </is>
      </c>
      <c r="E1647" t="inlineStr">
        <is>
          <t>Lima, 25 de Abril de 2024</t>
        </is>
      </c>
      <c r="F1647" t="inlineStr">
        <is>
          <t>la Recarga y mantenimiento</t>
        </is>
      </c>
      <c r="G1647" t="inlineStr">
        <is>
          <t>10</t>
        </is>
      </c>
      <c r="H1647" t="inlineStr">
        <is>
          <t>06 KG</t>
        </is>
      </c>
      <c r="I1647" t="inlineStr">
        <is>
          <t>2028</t>
        </is>
      </c>
      <c r="J1647" t="n">
        <v>2009</v>
      </c>
      <c r="K1647" t="inlineStr">
        <is>
          <t>ABRIL 2024</t>
        </is>
      </c>
      <c r="L1647" t="inlineStr">
        <is>
          <t>ABRIL 2025</t>
        </is>
      </c>
      <c r="M1647" t="inlineStr">
        <is>
          <t>P.Q.S TIPO ABC AL 90 % NACIONAL</t>
        </is>
      </c>
      <c r="N1647" t="inlineStr">
        <is>
          <t>305 / 000697</t>
        </is>
      </c>
      <c r="O1647" t="inlineStr">
        <is>
          <t>R</t>
        </is>
      </c>
      <c r="P1647">
        <f>TRIM(N1647)</f>
        <v/>
      </c>
    </row>
    <row r="1648">
      <c r="A1648" t="inlineStr">
        <is>
          <t>CO-001901</t>
        </is>
      </c>
      <c r="B1648" t="inlineStr">
        <is>
          <t>PERU MASIVO S.A.</t>
        </is>
      </c>
      <c r="C1648" t="inlineStr">
        <is>
          <t>20492392031</t>
        </is>
      </c>
      <c r="D1648" t="inlineStr">
        <is>
          <t>AV. LOS INCAS CDRA. 4 PATIO NORTE - COMAS</t>
        </is>
      </c>
      <c r="E1648" t="inlineStr">
        <is>
          <t>Lima, 29 de Abril de 2024</t>
        </is>
      </c>
      <c r="F1648" t="inlineStr">
        <is>
          <t>la venta</t>
        </is>
      </c>
      <c r="G1648" t="inlineStr">
        <is>
          <t>01</t>
        </is>
      </c>
      <c r="H1648" t="inlineStr">
        <is>
          <t>06 KG</t>
        </is>
      </c>
      <c r="I1648" t="inlineStr">
        <is>
          <t>2029</t>
        </is>
      </c>
      <c r="J1648" t="n">
        <v>2024</v>
      </c>
      <c r="K1648" t="inlineStr">
        <is>
          <t>ABRIL 2024</t>
        </is>
      </c>
      <c r="L1648" t="inlineStr">
        <is>
          <t>ABRIL 2025</t>
        </is>
      </c>
      <c r="M1648" t="inlineStr">
        <is>
          <t>P.Q.S TIPO ABC AL 90 % NACIONAL</t>
        </is>
      </c>
      <c r="N1648" t="inlineStr">
        <is>
          <t>002987</t>
        </is>
      </c>
      <c r="O1648" t="inlineStr">
        <is>
          <t>V</t>
        </is>
      </c>
      <c r="P1648">
        <f>TRIM(N1648)</f>
        <v/>
      </c>
    </row>
    <row r="1649">
      <c r="A1649" t="inlineStr">
        <is>
          <t>CO-001901</t>
        </is>
      </c>
      <c r="B1649" t="inlineStr">
        <is>
          <t>PERU MASIVO S.A.</t>
        </is>
      </c>
      <c r="C1649" t="inlineStr">
        <is>
          <t>20492392031</t>
        </is>
      </c>
      <c r="D1649" t="inlineStr">
        <is>
          <t>AV. LOS INCAS CDRA. 4 PATIO NORTE - COMAS</t>
        </is>
      </c>
      <c r="E1649" t="inlineStr">
        <is>
          <t>Lima, 29 de Abril de 2024</t>
        </is>
      </c>
      <c r="F1649" t="inlineStr">
        <is>
          <t>la venta</t>
        </is>
      </c>
      <c r="G1649" t="inlineStr">
        <is>
          <t>02</t>
        </is>
      </c>
      <c r="H1649" t="inlineStr">
        <is>
          <t>06 KG</t>
        </is>
      </c>
      <c r="I1649" t="inlineStr">
        <is>
          <t>2029</t>
        </is>
      </c>
      <c r="J1649" t="n">
        <v>2024</v>
      </c>
      <c r="K1649" t="inlineStr">
        <is>
          <t>ABRIL 2024</t>
        </is>
      </c>
      <c r="L1649" t="inlineStr">
        <is>
          <t>ABRIL 2025</t>
        </is>
      </c>
      <c r="M1649" t="inlineStr">
        <is>
          <t>P.Q.S TIPO ABC AL 90 % NACIONAL</t>
        </is>
      </c>
      <c r="N1649" t="inlineStr">
        <is>
          <t>003851</t>
        </is>
      </c>
      <c r="O1649" t="inlineStr">
        <is>
          <t>V</t>
        </is>
      </c>
      <c r="P1649">
        <f>TRIM(N1649)</f>
        <v/>
      </c>
    </row>
    <row r="1650">
      <c r="A1650" t="inlineStr">
        <is>
          <t>CO-001901</t>
        </is>
      </c>
      <c r="B1650" t="inlineStr">
        <is>
          <t>PERU MASIVO S.A.</t>
        </is>
      </c>
      <c r="C1650" t="inlineStr">
        <is>
          <t>20492392031</t>
        </is>
      </c>
      <c r="D1650" t="inlineStr">
        <is>
          <t>AV. LOS INCAS CDRA. 4 PATIO NORTE - COMAS</t>
        </is>
      </c>
      <c r="E1650" t="inlineStr">
        <is>
          <t>Lima, 29 de Abril de 2024</t>
        </is>
      </c>
      <c r="F1650" t="inlineStr">
        <is>
          <t>la venta</t>
        </is>
      </c>
      <c r="G1650" t="inlineStr">
        <is>
          <t>03</t>
        </is>
      </c>
      <c r="H1650" t="inlineStr">
        <is>
          <t>06 KG</t>
        </is>
      </c>
      <c r="I1650" t="inlineStr">
        <is>
          <t>2029</t>
        </is>
      </c>
      <c r="J1650" t="n">
        <v>2024</v>
      </c>
      <c r="K1650" t="inlineStr">
        <is>
          <t>ABRIL 2024</t>
        </is>
      </c>
      <c r="L1650" t="inlineStr">
        <is>
          <t>ABRIL 2025</t>
        </is>
      </c>
      <c r="M1650" t="inlineStr">
        <is>
          <t>P.Q.S TIPO ABC AL 90 % NACIONAL</t>
        </is>
      </c>
      <c r="N1650" t="inlineStr">
        <is>
          <t>003097</t>
        </is>
      </c>
      <c r="O1650" t="inlineStr">
        <is>
          <t>V</t>
        </is>
      </c>
      <c r="P1650">
        <f>TRIM(N1650)</f>
        <v/>
      </c>
    </row>
    <row r="1651">
      <c r="A1651" t="inlineStr">
        <is>
          <t>CO-001902</t>
        </is>
      </c>
      <c r="B1651" t="inlineStr">
        <is>
          <t>PERU MASIVO S.A. INFRAESTRUCTURA</t>
        </is>
      </c>
      <c r="C1651" t="inlineStr">
        <is>
          <t>20492392031</t>
        </is>
      </c>
      <c r="D1651" t="inlineStr">
        <is>
          <t>AV. LOS INCAS CDRA. 4 PATIO NORTE - COMAS</t>
        </is>
      </c>
      <c r="E1651" t="inlineStr">
        <is>
          <t>Lima, 26 de Abril de 2024</t>
        </is>
      </c>
      <c r="F1651" t="inlineStr">
        <is>
          <t>la Recarga y mantenimiento</t>
        </is>
      </c>
      <c r="G1651" t="inlineStr">
        <is>
          <t>01</t>
        </is>
      </c>
      <c r="H1651" t="inlineStr">
        <is>
          <t>10 LBS</t>
        </is>
      </c>
      <c r="I1651" t="inlineStr">
        <is>
          <t>2025</t>
        </is>
      </c>
      <c r="J1651" t="n">
        <v>2012</v>
      </c>
      <c r="K1651" t="inlineStr">
        <is>
          <t>ABRIL 2024</t>
        </is>
      </c>
      <c r="L1651" t="inlineStr">
        <is>
          <t>ABRIL 2025</t>
        </is>
      </c>
      <c r="M1651" t="inlineStr">
        <is>
          <t>CO2 TIPO BC</t>
        </is>
      </c>
      <c r="N1651" t="inlineStr">
        <is>
          <t>02 / 014496</t>
        </is>
      </c>
      <c r="O1651" t="inlineStr">
        <is>
          <t>R</t>
        </is>
      </c>
      <c r="P1651">
        <f>TRIM(N1651)</f>
        <v/>
      </c>
    </row>
    <row r="1652">
      <c r="A1652" t="inlineStr">
        <is>
          <t>CO-001903</t>
        </is>
      </c>
      <c r="B1652" t="inlineStr">
        <is>
          <t>PERU MASIVO S.A.</t>
        </is>
      </c>
      <c r="C1652" t="inlineStr">
        <is>
          <t>20492392031</t>
        </is>
      </c>
      <c r="D1652" t="inlineStr">
        <is>
          <t>AV. LOS INCAS CDRA. 4 PATIO NORTE - COMAS</t>
        </is>
      </c>
      <c r="E1652" t="inlineStr">
        <is>
          <t>Lima, 02 de Mayo de 2024</t>
        </is>
      </c>
      <c r="F1652" t="inlineStr">
        <is>
          <t>la Recarga y mantenimiento</t>
        </is>
      </c>
      <c r="G1652" t="inlineStr">
        <is>
          <t>01</t>
        </is>
      </c>
      <c r="H1652" t="inlineStr">
        <is>
          <t>06 KG</t>
        </is>
      </c>
      <c r="I1652" t="inlineStr">
        <is>
          <t>2029</t>
        </is>
      </c>
      <c r="J1652" t="n">
        <v>2010</v>
      </c>
      <c r="K1652" t="inlineStr">
        <is>
          <t>MAYO 2024</t>
        </is>
      </c>
      <c r="L1652" t="inlineStr">
        <is>
          <t>MAYO 2025</t>
        </is>
      </c>
      <c r="M1652" t="inlineStr">
        <is>
          <t>P.Q.S TIPO ABC AL 90 % NACIONAL</t>
        </is>
      </c>
      <c r="N1652" t="inlineStr">
        <is>
          <t>141 / 000275</t>
        </is>
      </c>
      <c r="O1652" t="inlineStr">
        <is>
          <t>R</t>
        </is>
      </c>
      <c r="P1652">
        <f>TRIM(N1652)</f>
        <v/>
      </c>
    </row>
    <row r="1653">
      <c r="A1653" t="inlineStr">
        <is>
          <t>CO-001903</t>
        </is>
      </c>
      <c r="B1653" t="inlineStr">
        <is>
          <t>PERU MASIVO S.A.</t>
        </is>
      </c>
      <c r="C1653" t="inlineStr">
        <is>
          <t>20492392031</t>
        </is>
      </c>
      <c r="D1653" t="inlineStr">
        <is>
          <t>AV. LOS INCAS CDRA. 4 PATIO NORTE - COMAS</t>
        </is>
      </c>
      <c r="E1653" t="inlineStr">
        <is>
          <t>Lima, 02 de Mayo de 2024</t>
        </is>
      </c>
      <c r="F1653" t="inlineStr">
        <is>
          <t>la Recarga y mantenimiento</t>
        </is>
      </c>
      <c r="G1653" t="inlineStr">
        <is>
          <t>02</t>
        </is>
      </c>
      <c r="H1653" t="inlineStr">
        <is>
          <t>06 KG</t>
        </is>
      </c>
      <c r="I1653" t="inlineStr">
        <is>
          <t>2028</t>
        </is>
      </c>
      <c r="J1653" t="n">
        <v>2009</v>
      </c>
      <c r="K1653" t="inlineStr">
        <is>
          <t>MAYO 2024</t>
        </is>
      </c>
      <c r="L1653" t="inlineStr">
        <is>
          <t>MAYO 2025</t>
        </is>
      </c>
      <c r="M1653" t="inlineStr">
        <is>
          <t>P.Q.S TIPO ABC AL 90 % NACIONAL</t>
        </is>
      </c>
      <c r="N1653" t="inlineStr">
        <is>
          <t>219 / 001767</t>
        </is>
      </c>
      <c r="O1653" t="inlineStr">
        <is>
          <t>R</t>
        </is>
      </c>
      <c r="P1653">
        <f>TRIM(N1653)</f>
        <v/>
      </c>
    </row>
    <row r="1654">
      <c r="A1654" t="inlineStr">
        <is>
          <t>CO-001903</t>
        </is>
      </c>
      <c r="B1654" t="inlineStr">
        <is>
          <t>PERU MASIVO S.A.</t>
        </is>
      </c>
      <c r="C1654" t="inlineStr">
        <is>
          <t>20492392031</t>
        </is>
      </c>
      <c r="D1654" t="inlineStr">
        <is>
          <t>AV. LOS INCAS CDRA. 4 PATIO NORTE - COMAS</t>
        </is>
      </c>
      <c r="E1654" t="inlineStr">
        <is>
          <t>Lima, 02 de Mayo de 2024</t>
        </is>
      </c>
      <c r="F1654" t="inlineStr">
        <is>
          <t>la Recarga y mantenimiento</t>
        </is>
      </c>
      <c r="G1654" t="inlineStr">
        <is>
          <t>03</t>
        </is>
      </c>
      <c r="H1654" t="inlineStr">
        <is>
          <t>06 KG</t>
        </is>
      </c>
      <c r="I1654" t="inlineStr">
        <is>
          <t>2028</t>
        </is>
      </c>
      <c r="J1654" t="n">
        <v>2009</v>
      </c>
      <c r="K1654" t="inlineStr">
        <is>
          <t>MAYO 2024</t>
        </is>
      </c>
      <c r="L1654" t="inlineStr">
        <is>
          <t>MAYO 2025</t>
        </is>
      </c>
      <c r="M1654" t="inlineStr">
        <is>
          <t>P.Q.S TIPO ABC AL 90 % NACIONAL</t>
        </is>
      </c>
      <c r="N1654" t="inlineStr">
        <is>
          <t>172 / 000942</t>
        </is>
      </c>
      <c r="O1654" t="inlineStr">
        <is>
          <t>R</t>
        </is>
      </c>
      <c r="P1654">
        <f>TRIM(N1654)</f>
        <v/>
      </c>
    </row>
    <row r="1655">
      <c r="A1655" t="inlineStr">
        <is>
          <t>CO-001903</t>
        </is>
      </c>
      <c r="B1655" t="inlineStr">
        <is>
          <t>PERU MASIVO S.A.</t>
        </is>
      </c>
      <c r="C1655" t="inlineStr">
        <is>
          <t>20492392031</t>
        </is>
      </c>
      <c r="D1655" t="inlineStr">
        <is>
          <t>AV. LOS INCAS CDRA. 4 PATIO NORTE - COMAS</t>
        </is>
      </c>
      <c r="E1655" t="inlineStr">
        <is>
          <t>Lima, 02 de Mayo de 2024</t>
        </is>
      </c>
      <c r="F1655" t="inlineStr">
        <is>
          <t>la Recarga y mantenimiento</t>
        </is>
      </c>
      <c r="G1655" t="inlineStr">
        <is>
          <t>04</t>
        </is>
      </c>
      <c r="H1655" t="inlineStr">
        <is>
          <t>06 KG</t>
        </is>
      </c>
      <c r="I1655" t="inlineStr">
        <is>
          <t>2028</t>
        </is>
      </c>
      <c r="J1655" t="n">
        <v>2015</v>
      </c>
      <c r="K1655" t="inlineStr">
        <is>
          <t>MAYO 2024</t>
        </is>
      </c>
      <c r="L1655" t="inlineStr">
        <is>
          <t>MAYO 2025</t>
        </is>
      </c>
      <c r="M1655" t="inlineStr">
        <is>
          <t>P.Q.S TIPO ABC AL 90 % NACIONAL</t>
        </is>
      </c>
      <c r="N1655" t="inlineStr">
        <is>
          <t>200 / 000173</t>
        </is>
      </c>
      <c r="O1655" t="inlineStr">
        <is>
          <t>R</t>
        </is>
      </c>
      <c r="P1655">
        <f>TRIM(N1655)</f>
        <v/>
      </c>
    </row>
    <row r="1656">
      <c r="A1656" t="inlineStr">
        <is>
          <t>CO-001903</t>
        </is>
      </c>
      <c r="B1656" t="inlineStr">
        <is>
          <t>PERU MASIVO S.A.</t>
        </is>
      </c>
      <c r="C1656" t="inlineStr">
        <is>
          <t>20492392031</t>
        </is>
      </c>
      <c r="D1656" t="inlineStr">
        <is>
          <t>AV. LOS INCAS CDRA. 4 PATIO NORTE - COMAS</t>
        </is>
      </c>
      <c r="E1656" t="inlineStr">
        <is>
          <t>Lima, 02 de Mayo de 2024</t>
        </is>
      </c>
      <c r="F1656" t="inlineStr">
        <is>
          <t>la Recarga y mantenimiento</t>
        </is>
      </c>
      <c r="G1656" t="inlineStr">
        <is>
          <t>05</t>
        </is>
      </c>
      <c r="H1656" t="inlineStr">
        <is>
          <t>06 KG</t>
        </is>
      </c>
      <c r="I1656" t="inlineStr">
        <is>
          <t>2028</t>
        </is>
      </c>
      <c r="J1656" t="n">
        <v>2009</v>
      </c>
      <c r="K1656" t="inlineStr">
        <is>
          <t>MAYO 2024</t>
        </is>
      </c>
      <c r="L1656" t="inlineStr">
        <is>
          <t>MAYO 2025</t>
        </is>
      </c>
      <c r="M1656" t="inlineStr">
        <is>
          <t>P.Q.S TIPO ABC AL 90 % NACIONAL</t>
        </is>
      </c>
      <c r="N1656" t="inlineStr">
        <is>
          <t>355 / 001880</t>
        </is>
      </c>
      <c r="O1656" t="inlineStr">
        <is>
          <t>R</t>
        </is>
      </c>
      <c r="P1656">
        <f>TRIM(N1656)</f>
        <v/>
      </c>
    </row>
    <row r="1657">
      <c r="A1657" t="inlineStr">
        <is>
          <t>CO-001903</t>
        </is>
      </c>
      <c r="B1657" t="inlineStr">
        <is>
          <t>PERU MASIVO S.A.</t>
        </is>
      </c>
      <c r="C1657" t="inlineStr">
        <is>
          <t>20492392031</t>
        </is>
      </c>
      <c r="D1657" t="inlineStr">
        <is>
          <t>AV. LOS INCAS CDRA. 4 PATIO NORTE - COMAS</t>
        </is>
      </c>
      <c r="E1657" t="inlineStr">
        <is>
          <t>Lima, 02 de Mayo de 2024</t>
        </is>
      </c>
      <c r="F1657" t="inlineStr">
        <is>
          <t>la Recarga y mantenimiento</t>
        </is>
      </c>
      <c r="G1657" t="inlineStr">
        <is>
          <t>06</t>
        </is>
      </c>
      <c r="H1657" t="inlineStr">
        <is>
          <t>06 KG</t>
        </is>
      </c>
      <c r="I1657" t="inlineStr">
        <is>
          <t>2028</t>
        </is>
      </c>
      <c r="J1657" t="n">
        <v>2010</v>
      </c>
      <c r="K1657" t="inlineStr">
        <is>
          <t>MAYO 2024</t>
        </is>
      </c>
      <c r="L1657" t="inlineStr">
        <is>
          <t>MAYO 2025</t>
        </is>
      </c>
      <c r="M1657" t="inlineStr">
        <is>
          <t>P.Q.S TIPO ABC AL 90 % NACIONAL</t>
        </is>
      </c>
      <c r="N1657" t="inlineStr">
        <is>
          <t>337 / 000572</t>
        </is>
      </c>
      <c r="O1657" t="inlineStr">
        <is>
          <t>R</t>
        </is>
      </c>
      <c r="P1657">
        <f>TRIM(N1657)</f>
        <v/>
      </c>
    </row>
    <row r="1658">
      <c r="A1658" t="inlineStr">
        <is>
          <t>CO-001904</t>
        </is>
      </c>
      <c r="B1658" t="inlineStr">
        <is>
          <t>PERU MASIVO S.A.</t>
        </is>
      </c>
      <c r="C1658" t="inlineStr">
        <is>
          <t>20492392031</t>
        </is>
      </c>
      <c r="D1658" t="inlineStr">
        <is>
          <t>AV. LOS INCAS CDRA. 4 PATIO NORTE - COMAS</t>
        </is>
      </c>
      <c r="E1658" t="inlineStr">
        <is>
          <t>Lima, 04 de Mayo de 2024</t>
        </is>
      </c>
      <c r="F1658" t="inlineStr">
        <is>
          <t>la Recarga y mantenimiento</t>
        </is>
      </c>
      <c r="G1658" t="inlineStr">
        <is>
          <t>01</t>
        </is>
      </c>
      <c r="H1658" t="inlineStr">
        <is>
          <t>06 KG</t>
        </is>
      </c>
      <c r="I1658" t="inlineStr">
        <is>
          <t>2028</t>
        </is>
      </c>
      <c r="J1658" t="n">
        <v>2010</v>
      </c>
      <c r="K1658" t="inlineStr">
        <is>
          <t>MAYO 2024</t>
        </is>
      </c>
      <c r="L1658" t="inlineStr">
        <is>
          <t>MAYO 2025</t>
        </is>
      </c>
      <c r="M1658" t="inlineStr">
        <is>
          <t>P.Q.S TIPO ABC AL 90 % NACIONAL</t>
        </is>
      </c>
      <c r="N1658" t="inlineStr">
        <is>
          <t>48 / 000877</t>
        </is>
      </c>
      <c r="O1658" t="inlineStr">
        <is>
          <t>R</t>
        </is>
      </c>
      <c r="P1658">
        <f>TRIM(N1658)</f>
        <v/>
      </c>
    </row>
    <row r="1659">
      <c r="A1659" t="inlineStr">
        <is>
          <t>CO-001904</t>
        </is>
      </c>
      <c r="B1659" t="inlineStr">
        <is>
          <t>PERU MASIVO S.A.</t>
        </is>
      </c>
      <c r="C1659" t="inlineStr">
        <is>
          <t>20492392031</t>
        </is>
      </c>
      <c r="D1659" t="inlineStr">
        <is>
          <t>AV. LOS INCAS CDRA. 4 PATIO NORTE - COMAS</t>
        </is>
      </c>
      <c r="E1659" t="inlineStr">
        <is>
          <t>Lima, 04 de Mayo de 2024</t>
        </is>
      </c>
      <c r="F1659" t="inlineStr">
        <is>
          <t>la Recarga y mantenimiento</t>
        </is>
      </c>
      <c r="G1659" t="inlineStr">
        <is>
          <t>02</t>
        </is>
      </c>
      <c r="H1659" t="inlineStr">
        <is>
          <t>06 KG</t>
        </is>
      </c>
      <c r="I1659" t="inlineStr">
        <is>
          <t>2028</t>
        </is>
      </c>
      <c r="J1659" t="n">
        <v>2009</v>
      </c>
      <c r="K1659" t="inlineStr">
        <is>
          <t>MAYO 2024</t>
        </is>
      </c>
      <c r="L1659" t="inlineStr">
        <is>
          <t>MAYO 2025</t>
        </is>
      </c>
      <c r="M1659" t="inlineStr">
        <is>
          <t>P.Q.S TIPO ABC AL 90 % NACIONAL</t>
        </is>
      </c>
      <c r="N1659" t="inlineStr">
        <is>
          <t>234 / 001842</t>
        </is>
      </c>
      <c r="O1659" t="inlineStr">
        <is>
          <t>R</t>
        </is>
      </c>
      <c r="P1659">
        <f>TRIM(N1659)</f>
        <v/>
      </c>
    </row>
    <row r="1660">
      <c r="A1660" t="inlineStr">
        <is>
          <t>CO-001904</t>
        </is>
      </c>
      <c r="B1660" t="inlineStr">
        <is>
          <t>PERU MASIVO S.A.</t>
        </is>
      </c>
      <c r="C1660" t="inlineStr">
        <is>
          <t>20492392031</t>
        </is>
      </c>
      <c r="D1660" t="inlineStr">
        <is>
          <t>AV. LOS INCAS CDRA. 4 PATIO NORTE - COMAS</t>
        </is>
      </c>
      <c r="E1660" t="inlineStr">
        <is>
          <t>Lima, 04 de Mayo de 2024</t>
        </is>
      </c>
      <c r="F1660" t="inlineStr">
        <is>
          <t>la Recarga y mantenimiento</t>
        </is>
      </c>
      <c r="G1660" t="inlineStr">
        <is>
          <t>03</t>
        </is>
      </c>
      <c r="H1660" t="inlineStr">
        <is>
          <t>06 KG</t>
        </is>
      </c>
      <c r="I1660" t="inlineStr">
        <is>
          <t>2028</t>
        </is>
      </c>
      <c r="J1660" t="n">
        <v>2009</v>
      </c>
      <c r="K1660" t="inlineStr">
        <is>
          <t>MAYO 2024</t>
        </is>
      </c>
      <c r="L1660" t="inlineStr">
        <is>
          <t>MAYO 2025</t>
        </is>
      </c>
      <c r="M1660" t="inlineStr">
        <is>
          <t>P.Q.S TIPO ABC AL 90 % NACIONAL</t>
        </is>
      </c>
      <c r="N1660" t="inlineStr">
        <is>
          <t>226 / 001739</t>
        </is>
      </c>
      <c r="O1660" t="inlineStr">
        <is>
          <t>R</t>
        </is>
      </c>
      <c r="P1660">
        <f>TRIM(N1660)</f>
        <v/>
      </c>
    </row>
    <row r="1661">
      <c r="A1661" t="inlineStr">
        <is>
          <t>CO-001904</t>
        </is>
      </c>
      <c r="B1661" t="inlineStr">
        <is>
          <t>PERU MASIVO S.A.</t>
        </is>
      </c>
      <c r="C1661" t="inlineStr">
        <is>
          <t>20492392031</t>
        </is>
      </c>
      <c r="D1661" t="inlineStr">
        <is>
          <t>AV. LOS INCAS CDRA. 4 PATIO NORTE - COMAS</t>
        </is>
      </c>
      <c r="E1661" t="inlineStr">
        <is>
          <t>Lima, 04 de Mayo de 2024</t>
        </is>
      </c>
      <c r="F1661" t="inlineStr">
        <is>
          <t>la Recarga y mantenimiento</t>
        </is>
      </c>
      <c r="G1661" t="inlineStr">
        <is>
          <t>04</t>
        </is>
      </c>
      <c r="H1661" t="inlineStr">
        <is>
          <t>06 KG</t>
        </is>
      </c>
      <c r="I1661" t="inlineStr">
        <is>
          <t>2029</t>
        </is>
      </c>
      <c r="J1661" t="n">
        <v>2010</v>
      </c>
      <c r="K1661" t="inlineStr">
        <is>
          <t>MAYO 2024</t>
        </is>
      </c>
      <c r="L1661" t="inlineStr">
        <is>
          <t>MAYO 2025</t>
        </is>
      </c>
      <c r="M1661" t="inlineStr">
        <is>
          <t>P.Q.S TIPO ABC AL 90 % NACIONAL</t>
        </is>
      </c>
      <c r="N1661" t="inlineStr">
        <is>
          <t>302 / 000659</t>
        </is>
      </c>
      <c r="O1661" t="inlineStr">
        <is>
          <t>R</t>
        </is>
      </c>
      <c r="P1661">
        <f>TRIM(N1661)</f>
        <v/>
      </c>
    </row>
    <row r="1662">
      <c r="A1662" t="inlineStr">
        <is>
          <t>CO-001904</t>
        </is>
      </c>
      <c r="B1662" t="inlineStr">
        <is>
          <t>PERU MASIVO S.A.</t>
        </is>
      </c>
      <c r="C1662" t="inlineStr">
        <is>
          <t>20492392031</t>
        </is>
      </c>
      <c r="D1662" t="inlineStr">
        <is>
          <t>AV. LOS INCAS CDRA. 4 PATIO NORTE - COMAS</t>
        </is>
      </c>
      <c r="E1662" t="inlineStr">
        <is>
          <t>Lima, 04 de Mayo de 2024</t>
        </is>
      </c>
      <c r="F1662" t="inlineStr">
        <is>
          <t>la Recarga y mantenimiento</t>
        </is>
      </c>
      <c r="G1662" t="inlineStr">
        <is>
          <t>05</t>
        </is>
      </c>
      <c r="H1662" t="inlineStr">
        <is>
          <t>06 KG</t>
        </is>
      </c>
      <c r="I1662" t="inlineStr">
        <is>
          <t>2028</t>
        </is>
      </c>
      <c r="J1662" t="n">
        <v>2009</v>
      </c>
      <c r="K1662" t="inlineStr">
        <is>
          <t>MAYO 2024</t>
        </is>
      </c>
      <c r="L1662" t="inlineStr">
        <is>
          <t>MAYO 2025</t>
        </is>
      </c>
      <c r="M1662" t="inlineStr">
        <is>
          <t>P.Q.S TIPO ABC AL 90 % NACIONAL</t>
        </is>
      </c>
      <c r="N1662" t="inlineStr">
        <is>
          <t>268 / 001559</t>
        </is>
      </c>
      <c r="O1662" t="inlineStr">
        <is>
          <t>R</t>
        </is>
      </c>
      <c r="P1662">
        <f>TRIM(N1662)</f>
        <v/>
      </c>
    </row>
    <row r="1663">
      <c r="A1663" t="inlineStr">
        <is>
          <t>CO-001904</t>
        </is>
      </c>
      <c r="B1663" t="inlineStr">
        <is>
          <t>PERU MASIVO S.A.</t>
        </is>
      </c>
      <c r="C1663" t="inlineStr">
        <is>
          <t>20492392031</t>
        </is>
      </c>
      <c r="D1663" t="inlineStr">
        <is>
          <t>AV. LOS INCAS CDRA. 4 PATIO NORTE - COMAS</t>
        </is>
      </c>
      <c r="E1663" t="inlineStr">
        <is>
          <t>Lima, 04 de Mayo de 2024</t>
        </is>
      </c>
      <c r="F1663" t="inlineStr">
        <is>
          <t>la Recarga y mantenimiento</t>
        </is>
      </c>
      <c r="G1663" t="inlineStr">
        <is>
          <t>06</t>
        </is>
      </c>
      <c r="H1663" t="inlineStr">
        <is>
          <t>06 KG</t>
        </is>
      </c>
      <c r="I1663" t="inlineStr">
        <is>
          <t>2029</t>
        </is>
      </c>
      <c r="J1663" t="n">
        <v>2015</v>
      </c>
      <c r="K1663" t="inlineStr">
        <is>
          <t>MAYO 2024</t>
        </is>
      </c>
      <c r="L1663" t="inlineStr">
        <is>
          <t>MAYO 2025</t>
        </is>
      </c>
      <c r="M1663" t="inlineStr">
        <is>
          <t>P.Q.S TIPO ABC AL 90 % NACIONAL</t>
        </is>
      </c>
      <c r="N1663" t="inlineStr">
        <is>
          <t>201 / 000609</t>
        </is>
      </c>
      <c r="O1663" t="inlineStr">
        <is>
          <t>R</t>
        </is>
      </c>
      <c r="P1663">
        <f>TRIM(N1663)</f>
        <v/>
      </c>
    </row>
    <row r="1664">
      <c r="A1664" t="inlineStr">
        <is>
          <t>CO-001904</t>
        </is>
      </c>
      <c r="B1664" t="inlineStr">
        <is>
          <t>PERU MASIVO S.A.</t>
        </is>
      </c>
      <c r="C1664" t="inlineStr">
        <is>
          <t>20492392031</t>
        </is>
      </c>
      <c r="D1664" t="inlineStr">
        <is>
          <t>AV. LOS INCAS CDRA. 4 PATIO NORTE - COMAS</t>
        </is>
      </c>
      <c r="E1664" t="inlineStr">
        <is>
          <t>Lima, 04 de Mayo de 2024</t>
        </is>
      </c>
      <c r="F1664" t="inlineStr">
        <is>
          <t>la Recarga y mantenimiento</t>
        </is>
      </c>
      <c r="G1664" t="inlineStr">
        <is>
          <t>07</t>
        </is>
      </c>
      <c r="H1664" t="inlineStr">
        <is>
          <t>06 KG</t>
        </is>
      </c>
      <c r="I1664" t="inlineStr">
        <is>
          <t>2028</t>
        </is>
      </c>
      <c r="J1664" t="n">
        <v>2009</v>
      </c>
      <c r="K1664" t="inlineStr">
        <is>
          <t>MAYO 2024</t>
        </is>
      </c>
      <c r="L1664" t="inlineStr">
        <is>
          <t>MAYO 2025</t>
        </is>
      </c>
      <c r="M1664" t="inlineStr">
        <is>
          <t>P.Q.S TIPO ABC AL 90 % NACIONAL</t>
        </is>
      </c>
      <c r="N1664" t="inlineStr">
        <is>
          <t>327 / 001393</t>
        </is>
      </c>
      <c r="O1664" t="inlineStr">
        <is>
          <t>R</t>
        </is>
      </c>
      <c r="P1664">
        <f>TRIM(N1664)</f>
        <v/>
      </c>
    </row>
    <row r="1665">
      <c r="A1665" t="inlineStr">
        <is>
          <t>CO-001904</t>
        </is>
      </c>
      <c r="B1665" t="inlineStr">
        <is>
          <t>PERU MASIVO S.A.</t>
        </is>
      </c>
      <c r="C1665" t="inlineStr">
        <is>
          <t>20492392031</t>
        </is>
      </c>
      <c r="D1665" t="inlineStr">
        <is>
          <t>AV. LOS INCAS CDRA. 4 PATIO NORTE - COMAS</t>
        </is>
      </c>
      <c r="E1665" t="inlineStr">
        <is>
          <t>Lima, 04 de Mayo de 2024</t>
        </is>
      </c>
      <c r="F1665" t="inlineStr">
        <is>
          <t>la Recarga y mantenimiento</t>
        </is>
      </c>
      <c r="G1665" t="inlineStr">
        <is>
          <t>08</t>
        </is>
      </c>
      <c r="H1665" t="inlineStr">
        <is>
          <t>06 KG</t>
        </is>
      </c>
      <c r="I1665" t="inlineStr">
        <is>
          <t>2028</t>
        </is>
      </c>
      <c r="J1665" t="n">
        <v>2010</v>
      </c>
      <c r="K1665" t="inlineStr">
        <is>
          <t>MAYO 2024</t>
        </is>
      </c>
      <c r="L1665" t="inlineStr">
        <is>
          <t>MAYO 2025</t>
        </is>
      </c>
      <c r="M1665" t="inlineStr">
        <is>
          <t>P.Q.S TIPO ABC AL 90 % NACIONAL</t>
        </is>
      </c>
      <c r="N1665" t="inlineStr">
        <is>
          <t>232 / 000037</t>
        </is>
      </c>
      <c r="O1665" t="inlineStr">
        <is>
          <t>R</t>
        </is>
      </c>
      <c r="P1665">
        <f>TRIM(N1665)</f>
        <v/>
      </c>
    </row>
    <row r="1666">
      <c r="A1666" t="inlineStr">
        <is>
          <t>CO-001904</t>
        </is>
      </c>
      <c r="B1666" t="inlineStr">
        <is>
          <t>PERU MASIVO S.A.</t>
        </is>
      </c>
      <c r="C1666" t="inlineStr">
        <is>
          <t>20492392031</t>
        </is>
      </c>
      <c r="D1666" t="inlineStr">
        <is>
          <t>AV. LOS INCAS CDRA. 4 PATIO NORTE - COMAS</t>
        </is>
      </c>
      <c r="E1666" t="inlineStr">
        <is>
          <t>Lima, 04 de Mayo de 2024</t>
        </is>
      </c>
      <c r="F1666" t="inlineStr">
        <is>
          <t>la Recarga y mantenimiento</t>
        </is>
      </c>
      <c r="G1666" t="inlineStr">
        <is>
          <t>09</t>
        </is>
      </c>
      <c r="H1666" t="inlineStr">
        <is>
          <t>06 KG</t>
        </is>
      </c>
      <c r="I1666" t="inlineStr">
        <is>
          <t>2028</t>
        </is>
      </c>
      <c r="J1666" t="n">
        <v>2009</v>
      </c>
      <c r="K1666" t="inlineStr">
        <is>
          <t>MAYO 2024</t>
        </is>
      </c>
      <c r="L1666" t="inlineStr">
        <is>
          <t>MAYO 2025</t>
        </is>
      </c>
      <c r="M1666" t="inlineStr">
        <is>
          <t>P.Q.S TIPO ABC AL 90 % NACIONAL</t>
        </is>
      </c>
      <c r="N1666" t="inlineStr">
        <is>
          <t>215 / 001118</t>
        </is>
      </c>
      <c r="O1666" t="inlineStr">
        <is>
          <t>R</t>
        </is>
      </c>
      <c r="P1666">
        <f>TRIM(N1666)</f>
        <v/>
      </c>
    </row>
    <row r="1667">
      <c r="A1667" t="inlineStr">
        <is>
          <t>CO-001904</t>
        </is>
      </c>
      <c r="B1667" t="inlineStr">
        <is>
          <t>PERU MASIVO S.A.</t>
        </is>
      </c>
      <c r="C1667" t="inlineStr">
        <is>
          <t>20492392031</t>
        </is>
      </c>
      <c r="D1667" t="inlineStr">
        <is>
          <t>AV. LOS INCAS CDRA. 4 PATIO NORTE - COMAS</t>
        </is>
      </c>
      <c r="E1667" t="inlineStr">
        <is>
          <t>Lima, 04 de Mayo de 2024</t>
        </is>
      </c>
      <c r="F1667" t="inlineStr">
        <is>
          <t>la Recarga y mantenimiento</t>
        </is>
      </c>
      <c r="G1667" t="n">
        <v>10</v>
      </c>
      <c r="H1667" t="inlineStr">
        <is>
          <t>06 KG</t>
        </is>
      </c>
      <c r="I1667" t="inlineStr">
        <is>
          <t>2029</t>
        </is>
      </c>
      <c r="J1667" t="n">
        <v>2010</v>
      </c>
      <c r="K1667" t="inlineStr">
        <is>
          <t>MAYO 2024</t>
        </is>
      </c>
      <c r="L1667" t="inlineStr">
        <is>
          <t>MAYO 2025</t>
        </is>
      </c>
      <c r="M1667" t="inlineStr">
        <is>
          <t>P.Q.S TIPO ABC AL 90 % NACIONAL</t>
        </is>
      </c>
      <c r="N1667" t="inlineStr">
        <is>
          <t>283 / 000215</t>
        </is>
      </c>
      <c r="O1667" t="inlineStr">
        <is>
          <t>R</t>
        </is>
      </c>
      <c r="P1667">
        <f>TRIM(N1667)</f>
        <v/>
      </c>
    </row>
    <row r="1668">
      <c r="A1668" t="inlineStr">
        <is>
          <t>CO-001904</t>
        </is>
      </c>
      <c r="B1668" t="inlineStr">
        <is>
          <t>PERU MASIVO S.A.</t>
        </is>
      </c>
      <c r="C1668" t="inlineStr">
        <is>
          <t>20492392031</t>
        </is>
      </c>
      <c r="D1668" t="inlineStr">
        <is>
          <t>AV. LOS INCAS CDRA. 4 PATIO NORTE - COMAS</t>
        </is>
      </c>
      <c r="E1668" t="inlineStr">
        <is>
          <t>Lima, 04 de Mayo de 2024</t>
        </is>
      </c>
      <c r="F1668" t="inlineStr">
        <is>
          <t>la Recarga y mantenimiento</t>
        </is>
      </c>
      <c r="G1668" t="n">
        <v>11</v>
      </c>
      <c r="H1668" t="inlineStr">
        <is>
          <t>06 KG</t>
        </is>
      </c>
      <c r="I1668" t="inlineStr">
        <is>
          <t>2028</t>
        </is>
      </c>
      <c r="J1668" t="n">
        <v>2010</v>
      </c>
      <c r="K1668" t="inlineStr">
        <is>
          <t>MAYO 2024</t>
        </is>
      </c>
      <c r="L1668" t="inlineStr">
        <is>
          <t>MAYO 2025</t>
        </is>
      </c>
      <c r="M1668" t="inlineStr">
        <is>
          <t>P.Q.S TIPO ABC AL 90 % NACIONAL</t>
        </is>
      </c>
      <c r="N1668" t="inlineStr">
        <is>
          <t>229 / 000605</t>
        </is>
      </c>
      <c r="O1668" t="inlineStr">
        <is>
          <t>R</t>
        </is>
      </c>
      <c r="P1668">
        <f>TRIM(N1668)</f>
        <v/>
      </c>
    </row>
    <row r="1669">
      <c r="A1669" t="inlineStr">
        <is>
          <t>CO-001904</t>
        </is>
      </c>
      <c r="B1669" t="inlineStr">
        <is>
          <t>PERU MASIVO S.A.</t>
        </is>
      </c>
      <c r="C1669" t="inlineStr">
        <is>
          <t>20492392031</t>
        </is>
      </c>
      <c r="D1669" t="inlineStr">
        <is>
          <t>AV. LOS INCAS CDRA. 4 PATIO NORTE - COMAS</t>
        </is>
      </c>
      <c r="E1669" t="inlineStr">
        <is>
          <t>Lima, 04 de Mayo de 2024</t>
        </is>
      </c>
      <c r="F1669" t="inlineStr">
        <is>
          <t>la Recarga y mantenimiento</t>
        </is>
      </c>
      <c r="G1669" t="n">
        <v>12</v>
      </c>
      <c r="H1669" t="inlineStr">
        <is>
          <t>06 KG</t>
        </is>
      </c>
      <c r="I1669" t="inlineStr">
        <is>
          <t>2028</t>
        </is>
      </c>
      <c r="J1669" t="n">
        <v>2009</v>
      </c>
      <c r="K1669" t="inlineStr">
        <is>
          <t>MAYO 2024</t>
        </is>
      </c>
      <c r="L1669" t="inlineStr">
        <is>
          <t>MAYO 2025</t>
        </is>
      </c>
      <c r="M1669" t="inlineStr">
        <is>
          <t>P.Q.S TIPO ABC AL 90 % NACIONAL</t>
        </is>
      </c>
      <c r="N1669" t="inlineStr">
        <is>
          <t>299 / 001414</t>
        </is>
      </c>
      <c r="O1669" t="inlineStr">
        <is>
          <t>R</t>
        </is>
      </c>
      <c r="P1669">
        <f>TRIM(N1669)</f>
        <v/>
      </c>
    </row>
    <row r="1670">
      <c r="A1670" t="inlineStr">
        <is>
          <t>CO-001904</t>
        </is>
      </c>
      <c r="B1670" t="inlineStr">
        <is>
          <t>PERU MASIVO S.A.</t>
        </is>
      </c>
      <c r="C1670" t="inlineStr">
        <is>
          <t>20492392031</t>
        </is>
      </c>
      <c r="D1670" t="inlineStr">
        <is>
          <t>AV. LOS INCAS CDRA. 4 PATIO NORTE - COMAS</t>
        </is>
      </c>
      <c r="E1670" t="inlineStr">
        <is>
          <t>Lima, 04 de Mayo de 2024</t>
        </is>
      </c>
      <c r="F1670" t="inlineStr">
        <is>
          <t>la Recarga y mantenimiento</t>
        </is>
      </c>
      <c r="G1670" t="n">
        <v>13</v>
      </c>
      <c r="H1670" t="inlineStr">
        <is>
          <t>06 KG</t>
        </is>
      </c>
      <c r="I1670" t="inlineStr">
        <is>
          <t>2029</t>
        </is>
      </c>
      <c r="J1670" t="n">
        <v>2017</v>
      </c>
      <c r="K1670" t="inlineStr">
        <is>
          <t>MAYO 2024</t>
        </is>
      </c>
      <c r="L1670" t="inlineStr">
        <is>
          <t>MAYO 2025</t>
        </is>
      </c>
      <c r="M1670" t="inlineStr">
        <is>
          <t>P.Q.S TIPO ABC AL 90 % NACIONAL</t>
        </is>
      </c>
      <c r="N1670" t="inlineStr">
        <is>
          <t>204 / 003106</t>
        </is>
      </c>
      <c r="O1670" t="inlineStr">
        <is>
          <t>R</t>
        </is>
      </c>
      <c r="P1670">
        <f>TRIM(N1670)</f>
        <v/>
      </c>
    </row>
    <row r="1671">
      <c r="A1671" t="inlineStr">
        <is>
          <t>CO-001904</t>
        </is>
      </c>
      <c r="B1671" t="inlineStr">
        <is>
          <t>PERU MASIVO S.A.</t>
        </is>
      </c>
      <c r="C1671" t="inlineStr">
        <is>
          <t>20492392031</t>
        </is>
      </c>
      <c r="D1671" t="inlineStr">
        <is>
          <t>AV. LOS INCAS CDRA. 4 PATIO NORTE - COMAS</t>
        </is>
      </c>
      <c r="E1671" t="inlineStr">
        <is>
          <t>Lima, 04 de Mayo de 2024</t>
        </is>
      </c>
      <c r="F1671" t="inlineStr">
        <is>
          <t>la Recarga y mantenimiento</t>
        </is>
      </c>
      <c r="G1671" t="n">
        <v>14</v>
      </c>
      <c r="H1671" t="inlineStr">
        <is>
          <t>06 KG</t>
        </is>
      </c>
      <c r="I1671" t="inlineStr">
        <is>
          <t>2028</t>
        </is>
      </c>
      <c r="J1671" t="n">
        <v>2010</v>
      </c>
      <c r="K1671" t="inlineStr">
        <is>
          <t>MAYO 2024</t>
        </is>
      </c>
      <c r="L1671" t="inlineStr">
        <is>
          <t>MAYO 2025</t>
        </is>
      </c>
      <c r="M1671" t="inlineStr">
        <is>
          <t>P.Q.S TIPO ABC AL 90 % NACIONAL</t>
        </is>
      </c>
      <c r="N1671" t="inlineStr">
        <is>
          <t>239 / 000129</t>
        </is>
      </c>
      <c r="O1671" t="inlineStr">
        <is>
          <t>R</t>
        </is>
      </c>
      <c r="P1671">
        <f>TRIM(N1671)</f>
        <v/>
      </c>
    </row>
    <row r="1672">
      <c r="A1672" t="inlineStr">
        <is>
          <t>CO-001904</t>
        </is>
      </c>
      <c r="B1672" t="inlineStr">
        <is>
          <t>PERU MASIVO S.A.</t>
        </is>
      </c>
      <c r="C1672" t="inlineStr">
        <is>
          <t>20492392031</t>
        </is>
      </c>
      <c r="D1672" t="inlineStr">
        <is>
          <t>AV. LOS INCAS CDRA. 4 PATIO NORTE - COMAS</t>
        </is>
      </c>
      <c r="E1672" t="inlineStr">
        <is>
          <t>Lima, 04 de Mayo de 2024</t>
        </is>
      </c>
      <c r="F1672" t="inlineStr">
        <is>
          <t>la Recarga y mantenimiento</t>
        </is>
      </c>
      <c r="G1672" t="n">
        <v>15</v>
      </c>
      <c r="H1672" t="inlineStr">
        <is>
          <t>06 KG</t>
        </is>
      </c>
      <c r="I1672" t="inlineStr">
        <is>
          <t>2028</t>
        </is>
      </c>
      <c r="J1672" t="inlineStr">
        <is>
          <t>S/N</t>
        </is>
      </c>
      <c r="K1672" t="inlineStr">
        <is>
          <t>MAYO 2024</t>
        </is>
      </c>
      <c r="L1672" t="inlineStr">
        <is>
          <t>MAYO 2025</t>
        </is>
      </c>
      <c r="M1672" t="inlineStr">
        <is>
          <t>P.Q.S TIPO ABC AL 90 % NACIONAL</t>
        </is>
      </c>
      <c r="N1672" t="inlineStr">
        <is>
          <t>242 / 001183</t>
        </is>
      </c>
      <c r="P1672">
        <f>TRIM(N1672)</f>
        <v/>
      </c>
    </row>
    <row r="1673">
      <c r="A1673" t="inlineStr">
        <is>
          <t>CO-001905</t>
        </is>
      </c>
      <c r="B1673" t="inlineStr">
        <is>
          <t>GRIT LABS S.A.C.</t>
        </is>
      </c>
      <c r="C1673" t="inlineStr">
        <is>
          <t>20471884741</t>
        </is>
      </c>
      <c r="D1673" t="inlineStr">
        <is>
          <t>AV. MÉXICO 423 - COMAS</t>
        </is>
      </c>
      <c r="E1673" t="inlineStr">
        <is>
          <t>Lima, 06 de Mayo de 2024</t>
        </is>
      </c>
      <c r="F1673" t="inlineStr">
        <is>
          <t>la Recarga y mantenimiento</t>
        </is>
      </c>
      <c r="G1673" t="inlineStr">
        <is>
          <t>01</t>
        </is>
      </c>
      <c r="H1673" t="inlineStr">
        <is>
          <t>06 KG</t>
        </is>
      </c>
      <c r="I1673" t="inlineStr">
        <is>
          <t>2028</t>
        </is>
      </c>
      <c r="J1673" t="n">
        <v>2023</v>
      </c>
      <c r="K1673" t="inlineStr">
        <is>
          <t>MAYO 2024</t>
        </is>
      </c>
      <c r="L1673" t="inlineStr">
        <is>
          <t>MAYO 2025</t>
        </is>
      </c>
      <c r="M1673" t="inlineStr">
        <is>
          <t>P.Q.S TIPO ABC</t>
        </is>
      </c>
      <c r="N1673" t="inlineStr">
        <is>
          <t>001473</t>
        </is>
      </c>
      <c r="O1673" t="inlineStr">
        <is>
          <t>R</t>
        </is>
      </c>
      <c r="P1673">
        <f>TRIM(N1673)</f>
        <v/>
      </c>
    </row>
    <row r="1674">
      <c r="A1674" t="inlineStr">
        <is>
          <t>CO-001905</t>
        </is>
      </c>
      <c r="B1674" t="inlineStr">
        <is>
          <t>GRIT LABS S.A.C.</t>
        </is>
      </c>
      <c r="C1674" t="inlineStr">
        <is>
          <t>20471884741</t>
        </is>
      </c>
      <c r="D1674" t="inlineStr">
        <is>
          <t>AV. MÉXICO 423 - COMAS</t>
        </is>
      </c>
      <c r="E1674" t="inlineStr">
        <is>
          <t>Lima, 06 de Mayo de 2024</t>
        </is>
      </c>
      <c r="F1674" t="inlineStr">
        <is>
          <t>la Recarga y mantenimiento</t>
        </is>
      </c>
      <c r="G1674" t="inlineStr">
        <is>
          <t>02</t>
        </is>
      </c>
      <c r="H1674" t="inlineStr">
        <is>
          <t>06 KG</t>
        </is>
      </c>
      <c r="I1674" t="inlineStr">
        <is>
          <t>2028</t>
        </is>
      </c>
      <c r="J1674" t="n">
        <v>2023</v>
      </c>
      <c r="K1674" t="inlineStr">
        <is>
          <t>MAYO 2024</t>
        </is>
      </c>
      <c r="L1674" t="inlineStr">
        <is>
          <t>MAYO 2025</t>
        </is>
      </c>
      <c r="M1674" t="inlineStr">
        <is>
          <t>P.Q.S TIPO ABC</t>
        </is>
      </c>
      <c r="N1674" t="inlineStr">
        <is>
          <t>001443</t>
        </is>
      </c>
      <c r="O1674" t="inlineStr">
        <is>
          <t>R</t>
        </is>
      </c>
      <c r="P1674">
        <f>TRIM(N1674)</f>
        <v/>
      </c>
    </row>
    <row r="1675">
      <c r="A1675" t="inlineStr">
        <is>
          <t>CO-001905</t>
        </is>
      </c>
      <c r="B1675" t="inlineStr">
        <is>
          <t>GRIT LABS S.A.C.</t>
        </is>
      </c>
      <c r="C1675" t="inlineStr">
        <is>
          <t>20471884741</t>
        </is>
      </c>
      <c r="D1675" t="inlineStr">
        <is>
          <t>AV. MÉXICO 423 - COMAS</t>
        </is>
      </c>
      <c r="E1675" t="inlineStr">
        <is>
          <t>Lima, 06 de Mayo de 2024</t>
        </is>
      </c>
      <c r="F1675" t="inlineStr">
        <is>
          <t>la Recarga y mantenimiento</t>
        </is>
      </c>
      <c r="G1675" t="inlineStr">
        <is>
          <t>03</t>
        </is>
      </c>
      <c r="H1675" t="inlineStr">
        <is>
          <t>06 KG</t>
        </is>
      </c>
      <c r="I1675" t="inlineStr">
        <is>
          <t>2028</t>
        </is>
      </c>
      <c r="J1675" t="n">
        <v>2023</v>
      </c>
      <c r="K1675" t="inlineStr">
        <is>
          <t>MAYO 2024</t>
        </is>
      </c>
      <c r="L1675" t="inlineStr">
        <is>
          <t>MAYO 2025</t>
        </is>
      </c>
      <c r="M1675" t="inlineStr">
        <is>
          <t>P.Q.S TIPO ABC</t>
        </is>
      </c>
      <c r="N1675" t="inlineStr">
        <is>
          <t>001488</t>
        </is>
      </c>
      <c r="O1675" t="inlineStr">
        <is>
          <t>R</t>
        </is>
      </c>
      <c r="P1675">
        <f>TRIM(N1675)</f>
        <v/>
      </c>
    </row>
    <row r="1676">
      <c r="A1676" t="inlineStr">
        <is>
          <t>CO-001905</t>
        </is>
      </c>
      <c r="B1676" t="inlineStr">
        <is>
          <t>GRIT LABS S.A.C.</t>
        </is>
      </c>
      <c r="C1676" t="inlineStr">
        <is>
          <t>20471884741</t>
        </is>
      </c>
      <c r="D1676" t="inlineStr">
        <is>
          <t>AV. MÉXICO 423 - COMAS</t>
        </is>
      </c>
      <c r="E1676" t="inlineStr">
        <is>
          <t>Lima, 06 de Mayo de 2024</t>
        </is>
      </c>
      <c r="F1676" t="inlineStr">
        <is>
          <t>la Recarga y mantenimiento</t>
        </is>
      </c>
      <c r="G1676" t="inlineStr">
        <is>
          <t>04</t>
        </is>
      </c>
      <c r="H1676" t="inlineStr">
        <is>
          <t>06 KG</t>
        </is>
      </c>
      <c r="I1676" t="inlineStr">
        <is>
          <t>2028</t>
        </is>
      </c>
      <c r="J1676" t="n">
        <v>2023</v>
      </c>
      <c r="K1676" t="inlineStr">
        <is>
          <t>MAYO 2024</t>
        </is>
      </c>
      <c r="L1676" t="inlineStr">
        <is>
          <t>MAYO 2025</t>
        </is>
      </c>
      <c r="M1676" t="inlineStr">
        <is>
          <t>P.Q.S TIPO ABC</t>
        </is>
      </c>
      <c r="N1676" t="inlineStr">
        <is>
          <t>001484</t>
        </is>
      </c>
      <c r="O1676" t="inlineStr">
        <is>
          <t>R</t>
        </is>
      </c>
      <c r="P1676">
        <f>TRIM(N1676)</f>
        <v/>
      </c>
    </row>
    <row r="1677">
      <c r="A1677" t="inlineStr">
        <is>
          <t>CO-001905</t>
        </is>
      </c>
      <c r="B1677" t="inlineStr">
        <is>
          <t>GRIT LABS S.A.C.</t>
        </is>
      </c>
      <c r="C1677" t="inlineStr">
        <is>
          <t>20471884741</t>
        </is>
      </c>
      <c r="D1677" t="inlineStr">
        <is>
          <t>AV. MÉXICO 423 - COMAS</t>
        </is>
      </c>
      <c r="E1677" t="inlineStr">
        <is>
          <t>Lima, 06 de Mayo de 2024</t>
        </is>
      </c>
      <c r="F1677" t="inlineStr">
        <is>
          <t>la Recarga y mantenimiento</t>
        </is>
      </c>
      <c r="G1677" t="inlineStr">
        <is>
          <t>05</t>
        </is>
      </c>
      <c r="H1677" t="inlineStr">
        <is>
          <t>06 KG</t>
        </is>
      </c>
      <c r="I1677" t="inlineStr">
        <is>
          <t>2028</t>
        </is>
      </c>
      <c r="J1677" t="n">
        <v>2023</v>
      </c>
      <c r="K1677" t="inlineStr">
        <is>
          <t>MAYO 2024</t>
        </is>
      </c>
      <c r="L1677" t="inlineStr">
        <is>
          <t>MAYO 2025</t>
        </is>
      </c>
      <c r="M1677" t="inlineStr">
        <is>
          <t>P.Q.S TIPO ABC</t>
        </is>
      </c>
      <c r="N1677" t="inlineStr">
        <is>
          <t>001470</t>
        </is>
      </c>
      <c r="O1677" t="inlineStr">
        <is>
          <t>R</t>
        </is>
      </c>
      <c r="P1677">
        <f>TRIM(N1677)</f>
        <v/>
      </c>
    </row>
    <row r="1678">
      <c r="A1678" t="inlineStr">
        <is>
          <t>CO-001905</t>
        </is>
      </c>
      <c r="B1678" t="inlineStr">
        <is>
          <t>GRIT LABS S.A.C.</t>
        </is>
      </c>
      <c r="C1678" t="inlineStr">
        <is>
          <t>20471884741</t>
        </is>
      </c>
      <c r="D1678" t="inlineStr">
        <is>
          <t>AV. MÉXICO 423 - COMAS</t>
        </is>
      </c>
      <c r="E1678" t="inlineStr">
        <is>
          <t>Lima, 06 de Mayo de 2024</t>
        </is>
      </c>
      <c r="F1678" t="inlineStr">
        <is>
          <t>la Recarga y mantenimiento</t>
        </is>
      </c>
      <c r="G1678" t="inlineStr">
        <is>
          <t>06</t>
        </is>
      </c>
      <c r="H1678" t="inlineStr">
        <is>
          <t>06 KG</t>
        </is>
      </c>
      <c r="I1678" t="inlineStr">
        <is>
          <t>2028</t>
        </is>
      </c>
      <c r="J1678" t="n">
        <v>2028</v>
      </c>
      <c r="K1678" t="inlineStr">
        <is>
          <t>MAYO 2024</t>
        </is>
      </c>
      <c r="L1678" t="inlineStr">
        <is>
          <t>MAYO 2025</t>
        </is>
      </c>
      <c r="M1678" t="inlineStr">
        <is>
          <t>P.Q.S TIPO ABC</t>
        </is>
      </c>
      <c r="N1678" t="inlineStr">
        <is>
          <t>001462</t>
        </is>
      </c>
      <c r="O1678" t="inlineStr">
        <is>
          <t>R</t>
        </is>
      </c>
      <c r="P1678">
        <f>TRIM(N1678)</f>
        <v/>
      </c>
    </row>
    <row r="1679">
      <c r="A1679" t="inlineStr">
        <is>
          <t>CO-001905</t>
        </is>
      </c>
      <c r="B1679" t="inlineStr">
        <is>
          <t>GRIT LABS S.A.C.</t>
        </is>
      </c>
      <c r="C1679" t="inlineStr">
        <is>
          <t>20471884741</t>
        </is>
      </c>
      <c r="D1679" t="inlineStr">
        <is>
          <t>AV. MÉXICO 423 - COMAS</t>
        </is>
      </c>
      <c r="E1679" t="inlineStr">
        <is>
          <t>Lima, 06 de Mayo de 2024</t>
        </is>
      </c>
      <c r="F1679" t="inlineStr">
        <is>
          <t>la Recarga y mantenimiento</t>
        </is>
      </c>
      <c r="G1679" t="inlineStr">
        <is>
          <t>07</t>
        </is>
      </c>
      <c r="H1679" t="inlineStr">
        <is>
          <t>06 KG</t>
        </is>
      </c>
      <c r="I1679" t="inlineStr">
        <is>
          <t>2028</t>
        </is>
      </c>
      <c r="J1679" t="n">
        <v>2023</v>
      </c>
      <c r="K1679" t="inlineStr">
        <is>
          <t>MAYO 2024</t>
        </is>
      </c>
      <c r="L1679" t="inlineStr">
        <is>
          <t>MAYO 2025</t>
        </is>
      </c>
      <c r="M1679" t="inlineStr">
        <is>
          <t>P.Q.S TIPO ABC</t>
        </is>
      </c>
      <c r="N1679" t="inlineStr">
        <is>
          <t>001461</t>
        </is>
      </c>
      <c r="O1679" t="inlineStr">
        <is>
          <t>R</t>
        </is>
      </c>
      <c r="P1679">
        <f>TRIM(N1679)</f>
        <v/>
      </c>
    </row>
    <row r="1680">
      <c r="A1680" t="inlineStr">
        <is>
          <t>CO-001906</t>
        </is>
      </c>
      <c r="B1680" t="inlineStr">
        <is>
          <t>GRIT LABS S.A.C.</t>
        </is>
      </c>
      <c r="C1680" t="inlineStr">
        <is>
          <t>20471884741</t>
        </is>
      </c>
      <c r="D1680" t="inlineStr">
        <is>
          <t>AV. MÉXICO 423 - COMAS</t>
        </is>
      </c>
      <c r="E1680" t="inlineStr">
        <is>
          <t>Lima, 06 de Mayo de 2024</t>
        </is>
      </c>
      <c r="F1680" t="inlineStr">
        <is>
          <t>la venta</t>
        </is>
      </c>
      <c r="G1680" t="inlineStr">
        <is>
          <t>01</t>
        </is>
      </c>
      <c r="H1680" t="inlineStr">
        <is>
          <t>06 KG</t>
        </is>
      </c>
      <c r="I1680" t="inlineStr">
        <is>
          <t>2029</t>
        </is>
      </c>
      <c r="J1680" t="n">
        <v>2024</v>
      </c>
      <c r="K1680" t="inlineStr">
        <is>
          <t>MAYO 2024</t>
        </is>
      </c>
      <c r="L1680" t="inlineStr">
        <is>
          <t>MAYO 2025</t>
        </is>
      </c>
      <c r="M1680" t="inlineStr">
        <is>
          <t>P.Q.S TIPO ABC</t>
        </is>
      </c>
      <c r="N1680" t="inlineStr">
        <is>
          <t>000259</t>
        </is>
      </c>
      <c r="O1680" t="inlineStr">
        <is>
          <t>V</t>
        </is>
      </c>
      <c r="P1680">
        <f>TRIM(N1680)</f>
        <v/>
      </c>
    </row>
    <row r="1681">
      <c r="A1681" t="inlineStr">
        <is>
          <t>CO-001907</t>
        </is>
      </c>
      <c r="B1681" t="inlineStr">
        <is>
          <t>PIERO ANTONIO GUTIERREZ GARCIA</t>
        </is>
      </c>
      <c r="C1681" t="inlineStr">
        <is>
          <t>40126113</t>
        </is>
      </c>
      <c r="D1681" t="inlineStr">
        <is>
          <t>PLACA: F0N - 131</t>
        </is>
      </c>
      <c r="E1681" t="inlineStr">
        <is>
          <t>Lima, 06 de Mayo de 2024</t>
        </is>
      </c>
      <c r="F1681" t="inlineStr">
        <is>
          <t>la Recarga y mantenimiento</t>
        </is>
      </c>
      <c r="G1681" t="inlineStr">
        <is>
          <t>01</t>
        </is>
      </c>
      <c r="H1681" t="inlineStr">
        <is>
          <t>02 KG</t>
        </is>
      </c>
      <c r="I1681" t="inlineStr">
        <is>
          <t>VIGENTE</t>
        </is>
      </c>
      <c r="J1681" t="n">
        <v>2012</v>
      </c>
      <c r="K1681" t="inlineStr">
        <is>
          <t>MAYO 2024</t>
        </is>
      </c>
      <c r="L1681" t="inlineStr">
        <is>
          <t>MAYO 2025</t>
        </is>
      </c>
      <c r="M1681" t="inlineStr">
        <is>
          <t>P.Q.S TIPO ABC</t>
        </is>
      </c>
      <c r="N1681" t="inlineStr">
        <is>
          <t>S/N</t>
        </is>
      </c>
      <c r="O1681" t="inlineStr">
        <is>
          <t>R</t>
        </is>
      </c>
      <c r="P1681">
        <f>TRIM(N1681)</f>
        <v/>
      </c>
    </row>
    <row r="1682">
      <c r="A1682" t="inlineStr">
        <is>
          <t>CO-001908</t>
        </is>
      </c>
      <c r="B1682" t="inlineStr">
        <is>
          <t>ROBERT BLAS NIÑO SILVA</t>
        </is>
      </c>
      <c r="C1682" t="inlineStr">
        <is>
          <t>08574730</t>
        </is>
      </c>
      <c r="D1682" t="inlineStr">
        <is>
          <t>PLACA: AZM - 127</t>
        </is>
      </c>
      <c r="E1682" t="inlineStr">
        <is>
          <t>Lima, 06 de Mayo de 2024</t>
        </is>
      </c>
      <c r="F1682" t="inlineStr">
        <is>
          <t>la Recarga y mantenimiento</t>
        </is>
      </c>
      <c r="G1682" t="inlineStr">
        <is>
          <t>01</t>
        </is>
      </c>
      <c r="H1682" t="inlineStr">
        <is>
          <t>02 KG</t>
        </is>
      </c>
      <c r="I1682" t="inlineStr">
        <is>
          <t>VIGENTE</t>
        </is>
      </c>
      <c r="J1682" t="n">
        <v>2017</v>
      </c>
      <c r="K1682" t="inlineStr">
        <is>
          <t>MAYO 2024</t>
        </is>
      </c>
      <c r="L1682" t="inlineStr">
        <is>
          <t>MAYO 2025</t>
        </is>
      </c>
      <c r="M1682" t="inlineStr">
        <is>
          <t>P.Q.S TIPO ABC</t>
        </is>
      </c>
      <c r="N1682" t="inlineStr">
        <is>
          <t>004832</t>
        </is>
      </c>
      <c r="O1682" t="inlineStr">
        <is>
          <t>R</t>
        </is>
      </c>
      <c r="P1682">
        <f>TRIM(N1682)</f>
        <v/>
      </c>
    </row>
    <row r="1683">
      <c r="A1683" t="inlineStr">
        <is>
          <t>CO-001909</t>
        </is>
      </c>
      <c r="B1683" t="inlineStr">
        <is>
          <t>AUTOMOTRIZ MOTOR S.A.C.</t>
        </is>
      </c>
      <c r="C1683" t="inlineStr">
        <is>
          <t>20601566177</t>
        </is>
      </c>
      <c r="D1683" t="inlineStr">
        <is>
          <t>AV. METROPOLITANA MZ. K LT. 18 - COMAS</t>
        </is>
      </c>
      <c r="E1683" t="inlineStr">
        <is>
          <t>Lima, 06 de Mayo de 2024</t>
        </is>
      </c>
      <c r="F1683" t="inlineStr">
        <is>
          <t>la Recarga y mantenimiento</t>
        </is>
      </c>
      <c r="G1683" t="inlineStr">
        <is>
          <t>01</t>
        </is>
      </c>
      <c r="H1683" t="inlineStr">
        <is>
          <t>04 KG</t>
        </is>
      </c>
      <c r="I1683" t="inlineStr">
        <is>
          <t>2028</t>
        </is>
      </c>
      <c r="J1683" t="n">
        <v>2017</v>
      </c>
      <c r="K1683" t="inlineStr">
        <is>
          <t>MAYO 2024</t>
        </is>
      </c>
      <c r="L1683" t="inlineStr">
        <is>
          <t>MAYO 2025</t>
        </is>
      </c>
      <c r="M1683" t="inlineStr">
        <is>
          <t>P.Q.S TIPO ABC</t>
        </is>
      </c>
      <c r="N1683" t="inlineStr">
        <is>
          <t>001344</t>
        </is>
      </c>
      <c r="O1683" t="inlineStr">
        <is>
          <t>R</t>
        </is>
      </c>
      <c r="P1683">
        <f>TRIM(N1683)</f>
        <v/>
      </c>
    </row>
    <row r="1684">
      <c r="A1684" t="inlineStr">
        <is>
          <t>CO-001909</t>
        </is>
      </c>
      <c r="B1684" t="inlineStr">
        <is>
          <t>AUTOMOTRIZ MOTOR S.A.C.</t>
        </is>
      </c>
      <c r="C1684" t="inlineStr">
        <is>
          <t>20601566177</t>
        </is>
      </c>
      <c r="D1684" t="inlineStr">
        <is>
          <t>AV. METROPOLITANA MZ. K LT. 18 - COMAS</t>
        </is>
      </c>
      <c r="E1684" t="inlineStr">
        <is>
          <t>Lima, 06 de Mayo de 2024</t>
        </is>
      </c>
      <c r="F1684" t="inlineStr">
        <is>
          <t>la Recarga y mantenimiento</t>
        </is>
      </c>
      <c r="G1684" t="inlineStr">
        <is>
          <t>02</t>
        </is>
      </c>
      <c r="H1684" t="inlineStr">
        <is>
          <t>06 KG</t>
        </is>
      </c>
      <c r="I1684" t="inlineStr">
        <is>
          <t>2026</t>
        </is>
      </c>
      <c r="J1684" t="n">
        <v>2021</v>
      </c>
      <c r="K1684" t="inlineStr">
        <is>
          <t>MAYO 2024</t>
        </is>
      </c>
      <c r="L1684" t="inlineStr">
        <is>
          <t>MAYO 2025</t>
        </is>
      </c>
      <c r="M1684" t="inlineStr">
        <is>
          <t>P.Q.S TIPO ABC</t>
        </is>
      </c>
      <c r="N1684" t="inlineStr">
        <is>
          <t>002093</t>
        </is>
      </c>
      <c r="O1684" t="inlineStr">
        <is>
          <t>R</t>
        </is>
      </c>
      <c r="P1684">
        <f>TRIM(N1684)</f>
        <v/>
      </c>
    </row>
    <row r="1685">
      <c r="A1685" t="inlineStr">
        <is>
          <t>CO-001909</t>
        </is>
      </c>
      <c r="B1685" t="inlineStr">
        <is>
          <t>AUTOMOTRIZ MOTOR S.A.C.</t>
        </is>
      </c>
      <c r="C1685" t="inlineStr">
        <is>
          <t>20601566177</t>
        </is>
      </c>
      <c r="D1685" t="inlineStr">
        <is>
          <t>AV. METROPOLITANA MZ. K LT. 18 - COMAS</t>
        </is>
      </c>
      <c r="E1685" t="inlineStr">
        <is>
          <t>Lima, 06 de Mayo de 2024</t>
        </is>
      </c>
      <c r="F1685" t="inlineStr">
        <is>
          <t>la Recarga y mantenimiento</t>
        </is>
      </c>
      <c r="G1685" t="inlineStr">
        <is>
          <t>03</t>
        </is>
      </c>
      <c r="H1685" t="inlineStr">
        <is>
          <t>06 KG</t>
        </is>
      </c>
      <c r="I1685" t="inlineStr">
        <is>
          <t>2026</t>
        </is>
      </c>
      <c r="J1685" t="n">
        <v>2021</v>
      </c>
      <c r="K1685" t="inlineStr">
        <is>
          <t>MAYO 2024</t>
        </is>
      </c>
      <c r="L1685" t="inlineStr">
        <is>
          <t>MAYO 2025</t>
        </is>
      </c>
      <c r="M1685" t="inlineStr">
        <is>
          <t>P.Q.S TIPO ABC</t>
        </is>
      </c>
      <c r="N1685" t="inlineStr">
        <is>
          <t>009102</t>
        </is>
      </c>
      <c r="O1685" t="inlineStr">
        <is>
          <t>R</t>
        </is>
      </c>
      <c r="P1685">
        <f>TRIM(N1685)</f>
        <v/>
      </c>
    </row>
    <row r="1686">
      <c r="A1686" t="inlineStr">
        <is>
          <t>CO-001909</t>
        </is>
      </c>
      <c r="B1686" t="inlineStr">
        <is>
          <t>AUTOMOTRIZ MOTOR S.A.C.</t>
        </is>
      </c>
      <c r="C1686" t="inlineStr">
        <is>
          <t>20601566177</t>
        </is>
      </c>
      <c r="D1686" t="inlineStr">
        <is>
          <t>AV. METROPOLITANA MZ. K LT. 18 - COMAS</t>
        </is>
      </c>
      <c r="E1686" t="inlineStr">
        <is>
          <t>Lima, 06 de Mayo de 2024</t>
        </is>
      </c>
      <c r="F1686" t="inlineStr">
        <is>
          <t>la Recarga y mantenimiento</t>
        </is>
      </c>
      <c r="G1686" t="inlineStr">
        <is>
          <t>04</t>
        </is>
      </c>
      <c r="H1686" t="inlineStr">
        <is>
          <t>06 KG</t>
        </is>
      </c>
      <c r="I1686" t="inlineStr">
        <is>
          <t>2028</t>
        </is>
      </c>
      <c r="J1686" t="n">
        <v>2017</v>
      </c>
      <c r="K1686" t="inlineStr">
        <is>
          <t>MAYO 2024</t>
        </is>
      </c>
      <c r="L1686" t="inlineStr">
        <is>
          <t>MAYO 2025</t>
        </is>
      </c>
      <c r="M1686" t="inlineStr">
        <is>
          <t>P.Q.S TIPO ABC</t>
        </is>
      </c>
      <c r="N1686" t="inlineStr">
        <is>
          <t>000442</t>
        </is>
      </c>
      <c r="O1686" t="inlineStr">
        <is>
          <t>R</t>
        </is>
      </c>
      <c r="P1686">
        <f>TRIM(N1686)</f>
        <v/>
      </c>
    </row>
    <row r="1687">
      <c r="A1687" t="inlineStr">
        <is>
          <t>CO-001909</t>
        </is>
      </c>
      <c r="B1687" t="inlineStr">
        <is>
          <t>AUTOMOTRIZ MOTOR S.A.C.</t>
        </is>
      </c>
      <c r="C1687" t="inlineStr">
        <is>
          <t>20601566177</t>
        </is>
      </c>
      <c r="D1687" t="inlineStr">
        <is>
          <t>AV. METROPOLITANA MZ. K LT. 18 - COMAS</t>
        </is>
      </c>
      <c r="E1687" t="inlineStr">
        <is>
          <t>Lima, 06 de Mayo de 2024</t>
        </is>
      </c>
      <c r="F1687" t="inlineStr">
        <is>
          <t>la Recarga y mantenimiento</t>
        </is>
      </c>
      <c r="G1687" t="inlineStr">
        <is>
          <t>05</t>
        </is>
      </c>
      <c r="H1687" t="inlineStr">
        <is>
          <t>06 KG</t>
        </is>
      </c>
      <c r="I1687" t="inlineStr">
        <is>
          <t>2028</t>
        </is>
      </c>
      <c r="J1687" t="n">
        <v>2017</v>
      </c>
      <c r="K1687" t="inlineStr">
        <is>
          <t>MAYO 2024</t>
        </is>
      </c>
      <c r="L1687" t="inlineStr">
        <is>
          <t>MAYO 2025</t>
        </is>
      </c>
      <c r="M1687" t="inlineStr">
        <is>
          <t>P.Q.S TIPO ABC</t>
        </is>
      </c>
      <c r="N1687" t="inlineStr">
        <is>
          <t>000643</t>
        </is>
      </c>
      <c r="O1687" t="inlineStr">
        <is>
          <t>R</t>
        </is>
      </c>
      <c r="P1687">
        <f>TRIM(N1687)</f>
        <v/>
      </c>
    </row>
    <row r="1688">
      <c r="A1688" t="inlineStr">
        <is>
          <t>CO-001909</t>
        </is>
      </c>
      <c r="B1688" t="inlineStr">
        <is>
          <t>AUTOMOTRIZ MOTOR S.A.C.</t>
        </is>
      </c>
      <c r="C1688" t="inlineStr">
        <is>
          <t>20601566177</t>
        </is>
      </c>
      <c r="D1688" t="inlineStr">
        <is>
          <t>AV. METROPOLITANA MZ. K LT. 18 - COMAS</t>
        </is>
      </c>
      <c r="E1688" t="inlineStr">
        <is>
          <t>Lima, 06 de Mayo de 2024</t>
        </is>
      </c>
      <c r="F1688" t="inlineStr">
        <is>
          <t>la Recarga y mantenimiento</t>
        </is>
      </c>
      <c r="G1688" t="inlineStr">
        <is>
          <t>06</t>
        </is>
      </c>
      <c r="H1688" t="inlineStr">
        <is>
          <t>06 KG</t>
        </is>
      </c>
      <c r="I1688" t="inlineStr">
        <is>
          <t>2026</t>
        </is>
      </c>
      <c r="J1688" t="n">
        <v>2021</v>
      </c>
      <c r="K1688" t="inlineStr">
        <is>
          <t>MAYO 2024</t>
        </is>
      </c>
      <c r="L1688" t="inlineStr">
        <is>
          <t>MAYO 2025</t>
        </is>
      </c>
      <c r="M1688" t="inlineStr">
        <is>
          <t>P.Q.S TIPO ABC</t>
        </is>
      </c>
      <c r="N1688" t="inlineStr">
        <is>
          <t>023051</t>
        </is>
      </c>
      <c r="O1688" t="inlineStr">
        <is>
          <t>R</t>
        </is>
      </c>
      <c r="P1688">
        <f>TRIM(N1688)</f>
        <v/>
      </c>
    </row>
    <row r="1689">
      <c r="A1689" t="inlineStr">
        <is>
          <t>CO-001909</t>
        </is>
      </c>
      <c r="B1689" t="inlineStr">
        <is>
          <t>AUTOMOTRIZ MOTOR S.A.C.</t>
        </is>
      </c>
      <c r="C1689" t="inlineStr">
        <is>
          <t>20601566177</t>
        </is>
      </c>
      <c r="D1689" t="inlineStr">
        <is>
          <t>AV. METROPOLITANA MZ. K LT. 18 - COMAS</t>
        </is>
      </c>
      <c r="E1689" t="inlineStr">
        <is>
          <t>Lima, 06 de Mayo de 2024</t>
        </is>
      </c>
      <c r="F1689" t="inlineStr">
        <is>
          <t>la Recarga y mantenimiento</t>
        </is>
      </c>
      <c r="G1689" t="inlineStr">
        <is>
          <t>07</t>
        </is>
      </c>
      <c r="H1689" t="inlineStr">
        <is>
          <t>06 KG</t>
        </is>
      </c>
      <c r="I1689" t="inlineStr">
        <is>
          <t>2028</t>
        </is>
      </c>
      <c r="J1689" t="n">
        <v>2017</v>
      </c>
      <c r="K1689" t="inlineStr">
        <is>
          <t>MAYO 2024</t>
        </is>
      </c>
      <c r="L1689" t="inlineStr">
        <is>
          <t>MAYO 2025</t>
        </is>
      </c>
      <c r="M1689" t="inlineStr">
        <is>
          <t>P.Q.S TIPO ABC</t>
        </is>
      </c>
      <c r="N1689" t="inlineStr">
        <is>
          <t>000441</t>
        </is>
      </c>
      <c r="O1689" t="inlineStr">
        <is>
          <t>R</t>
        </is>
      </c>
      <c r="P1689">
        <f>TRIM(N1689)</f>
        <v/>
      </c>
    </row>
    <row r="1690">
      <c r="A1690" t="inlineStr">
        <is>
          <t>CO-001910</t>
        </is>
      </c>
      <c r="B1690" t="inlineStr">
        <is>
          <t>LIZ FARMA De: Lizbeth Karina Lachira Fabian</t>
        </is>
      </c>
      <c r="C1690" t="inlineStr">
        <is>
          <t>10423399878</t>
        </is>
      </c>
      <c r="D1690" t="inlineStr">
        <is>
          <t>asociacion el paraíso mz f lote 4 - CARABAYLLO</t>
        </is>
      </c>
      <c r="E1690" t="inlineStr">
        <is>
          <t>Lima,11 de Mayo de 2024</t>
        </is>
      </c>
      <c r="F1690" t="inlineStr">
        <is>
          <t>la Recarga y mantenimiento</t>
        </is>
      </c>
      <c r="G1690" t="inlineStr">
        <is>
          <t>01</t>
        </is>
      </c>
      <c r="H1690" t="inlineStr">
        <is>
          <t>06 KG</t>
        </is>
      </c>
      <c r="I1690" t="inlineStr">
        <is>
          <t>2026</t>
        </is>
      </c>
      <c r="J1690" t="n">
        <v>2021</v>
      </c>
      <c r="K1690" t="inlineStr">
        <is>
          <t>MAYO 2024</t>
        </is>
      </c>
      <c r="L1690" t="inlineStr">
        <is>
          <t>MAYO 2025</t>
        </is>
      </c>
      <c r="M1690" t="inlineStr">
        <is>
          <t>P.Q.S TIPO ABC</t>
        </is>
      </c>
      <c r="N1690" t="inlineStr">
        <is>
          <t>01/262951</t>
        </is>
      </c>
      <c r="O1690" t="inlineStr">
        <is>
          <t>R</t>
        </is>
      </c>
      <c r="P1690">
        <f>TRIM(N1690)</f>
        <v/>
      </c>
    </row>
    <row r="1691">
      <c r="A1691" t="inlineStr">
        <is>
          <t>CO-001911</t>
        </is>
      </c>
      <c r="B1691" t="inlineStr">
        <is>
          <t>PERU MASIVO S.A.</t>
        </is>
      </c>
      <c r="C1691" t="inlineStr">
        <is>
          <t>20492392031</t>
        </is>
      </c>
      <c r="D1691" t="inlineStr">
        <is>
          <t>AV. LOS INCAS CDRA. 4 PATIO NORTE - COMAS</t>
        </is>
      </c>
      <c r="E1691" t="inlineStr">
        <is>
          <t>Lima, 14 de Mayo de 2024</t>
        </is>
      </c>
      <c r="F1691" t="inlineStr">
        <is>
          <t>la Recarga y mantenimiento</t>
        </is>
      </c>
      <c r="G1691" t="inlineStr">
        <is>
          <t>01</t>
        </is>
      </c>
      <c r="H1691" t="inlineStr">
        <is>
          <t>06 KG</t>
        </is>
      </c>
      <c r="I1691" t="inlineStr">
        <is>
          <t>2028</t>
        </is>
      </c>
      <c r="J1691" t="n">
        <v>2009</v>
      </c>
      <c r="K1691" t="inlineStr">
        <is>
          <t>MAYO 2024</t>
        </is>
      </c>
      <c r="L1691" t="inlineStr">
        <is>
          <t>MAYO 2025</t>
        </is>
      </c>
      <c r="M1691" t="inlineStr">
        <is>
          <t>P.Q.S TIPO ABC AL 90 % NACIONAL</t>
        </is>
      </c>
      <c r="N1691" t="inlineStr">
        <is>
          <t>343 / 001584</t>
        </is>
      </c>
      <c r="O1691" t="inlineStr">
        <is>
          <t>R</t>
        </is>
      </c>
      <c r="P1691">
        <f>TRIM(N1691)</f>
        <v/>
      </c>
    </row>
    <row r="1692">
      <c r="A1692" t="inlineStr">
        <is>
          <t>CO-001911</t>
        </is>
      </c>
      <c r="B1692" t="inlineStr">
        <is>
          <t>PERU MASIVO S.A.</t>
        </is>
      </c>
      <c r="C1692" t="inlineStr">
        <is>
          <t>20492392031</t>
        </is>
      </c>
      <c r="D1692" t="inlineStr">
        <is>
          <t>AV. LOS INCAS CDRA. 4 PATIO NORTE - COMAS</t>
        </is>
      </c>
      <c r="E1692" t="inlineStr">
        <is>
          <t>Lima, 14 de Mayo de 2024</t>
        </is>
      </c>
      <c r="F1692" t="inlineStr">
        <is>
          <t>la Recarga y mantenimiento</t>
        </is>
      </c>
      <c r="G1692" t="inlineStr">
        <is>
          <t>02</t>
        </is>
      </c>
      <c r="H1692" t="inlineStr">
        <is>
          <t>06 KG</t>
        </is>
      </c>
      <c r="I1692" t="inlineStr">
        <is>
          <t>2029</t>
        </is>
      </c>
      <c r="J1692" t="n">
        <v>2009</v>
      </c>
      <c r="K1692" t="inlineStr">
        <is>
          <t>MAYO 2024</t>
        </is>
      </c>
      <c r="L1692" t="inlineStr">
        <is>
          <t>MAYO 2025</t>
        </is>
      </c>
      <c r="M1692" t="inlineStr">
        <is>
          <t>P.Q.S TIPO ABC AL 90 % NACIONAL</t>
        </is>
      </c>
      <c r="N1692" t="inlineStr">
        <is>
          <t>240 / 002499</t>
        </is>
      </c>
      <c r="O1692" t="inlineStr">
        <is>
          <t>R</t>
        </is>
      </c>
      <c r="P1692">
        <f>TRIM(N1692)</f>
        <v/>
      </c>
    </row>
    <row r="1693">
      <c r="A1693" t="inlineStr">
        <is>
          <t>CO-001911</t>
        </is>
      </c>
      <c r="B1693" t="inlineStr">
        <is>
          <t>PERU MASIVO S.A.</t>
        </is>
      </c>
      <c r="C1693" t="inlineStr">
        <is>
          <t>20492392031</t>
        </is>
      </c>
      <c r="D1693" t="inlineStr">
        <is>
          <t>AV. LOS INCAS CDRA. 4 PATIO NORTE - COMAS</t>
        </is>
      </c>
      <c r="E1693" t="inlineStr">
        <is>
          <t>Lima, 14 de Mayo de 2024</t>
        </is>
      </c>
      <c r="F1693" t="inlineStr">
        <is>
          <t>la Recarga y mantenimiento</t>
        </is>
      </c>
      <c r="G1693" t="inlineStr">
        <is>
          <t>03</t>
        </is>
      </c>
      <c r="H1693" t="inlineStr">
        <is>
          <t>06 KG</t>
        </is>
      </c>
      <c r="I1693" t="inlineStr">
        <is>
          <t>2028</t>
        </is>
      </c>
      <c r="J1693" t="n">
        <v>2009</v>
      </c>
      <c r="K1693" t="inlineStr">
        <is>
          <t>MAYO 2024</t>
        </is>
      </c>
      <c r="L1693" t="inlineStr">
        <is>
          <t>MAYO 2025</t>
        </is>
      </c>
      <c r="M1693" t="inlineStr">
        <is>
          <t>P.Q.S TIPO ABC AL 90 % NACIONAL</t>
        </is>
      </c>
      <c r="N1693" t="inlineStr">
        <is>
          <t>301 / 000683</t>
        </is>
      </c>
      <c r="O1693" t="inlineStr">
        <is>
          <t>R</t>
        </is>
      </c>
      <c r="P1693">
        <f>TRIM(N1693)</f>
        <v/>
      </c>
    </row>
    <row r="1694">
      <c r="A1694" t="inlineStr">
        <is>
          <t>CO-001911</t>
        </is>
      </c>
      <c r="B1694" t="inlineStr">
        <is>
          <t>PERU MASIVO S.A.</t>
        </is>
      </c>
      <c r="C1694" t="inlineStr">
        <is>
          <t>20492392031</t>
        </is>
      </c>
      <c r="D1694" t="inlineStr">
        <is>
          <t>AV. LOS INCAS CDRA. 4 PATIO NORTE - COMAS</t>
        </is>
      </c>
      <c r="E1694" t="inlineStr">
        <is>
          <t>Lima, 14 de Mayo de 2024</t>
        </is>
      </c>
      <c r="F1694" t="inlineStr">
        <is>
          <t>la Recarga y mantenimiento</t>
        </is>
      </c>
      <c r="G1694" t="inlineStr">
        <is>
          <t>04</t>
        </is>
      </c>
      <c r="H1694" t="inlineStr">
        <is>
          <t>06 KG</t>
        </is>
      </c>
      <c r="I1694" t="inlineStr">
        <is>
          <t>2028</t>
        </is>
      </c>
      <c r="J1694" t="n">
        <v>2010</v>
      </c>
      <c r="K1694" t="inlineStr">
        <is>
          <t>MAYO 2024</t>
        </is>
      </c>
      <c r="L1694" t="inlineStr">
        <is>
          <t>MAYO 2025</t>
        </is>
      </c>
      <c r="M1694" t="inlineStr">
        <is>
          <t>P.Q.S TIPO ABC AL 90 % NACIONAL</t>
        </is>
      </c>
      <c r="N1694" t="inlineStr">
        <is>
          <t>353 / 000698</t>
        </is>
      </c>
      <c r="O1694" t="inlineStr">
        <is>
          <t>R</t>
        </is>
      </c>
      <c r="P1694">
        <f>TRIM(N1694)</f>
        <v/>
      </c>
    </row>
    <row r="1695">
      <c r="A1695" t="inlineStr">
        <is>
          <t>CO-001911</t>
        </is>
      </c>
      <c r="B1695" t="inlineStr">
        <is>
          <t>PERU MASIVO S.A.</t>
        </is>
      </c>
      <c r="C1695" t="inlineStr">
        <is>
          <t>20492392031</t>
        </is>
      </c>
      <c r="D1695" t="inlineStr">
        <is>
          <t>AV. LOS INCAS CDRA. 4 PATIO NORTE - COMAS</t>
        </is>
      </c>
      <c r="E1695" t="inlineStr">
        <is>
          <t>Lima, 14 de Mayo de 2024</t>
        </is>
      </c>
      <c r="F1695" t="inlineStr">
        <is>
          <t>la Recarga y mantenimiento</t>
        </is>
      </c>
      <c r="G1695" t="inlineStr">
        <is>
          <t>05</t>
        </is>
      </c>
      <c r="H1695" t="inlineStr">
        <is>
          <t>06 KG</t>
        </is>
      </c>
      <c r="I1695" t="inlineStr">
        <is>
          <t>2028</t>
        </is>
      </c>
      <c r="J1695" t="n">
        <v>2010</v>
      </c>
      <c r="K1695" t="inlineStr">
        <is>
          <t>MAYO 2024</t>
        </is>
      </c>
      <c r="L1695" t="inlineStr">
        <is>
          <t>MAYO 2025</t>
        </is>
      </c>
      <c r="M1695" t="inlineStr">
        <is>
          <t>P.Q.S TIPO ABC AL 90 % NACIONAL</t>
        </is>
      </c>
      <c r="N1695" t="inlineStr">
        <is>
          <t>192 / 000168</t>
        </is>
      </c>
      <c r="O1695" t="inlineStr">
        <is>
          <t>R</t>
        </is>
      </c>
      <c r="P1695">
        <f>TRIM(N1695)</f>
        <v/>
      </c>
    </row>
    <row r="1696">
      <c r="A1696" t="inlineStr">
        <is>
          <t>CO-001911</t>
        </is>
      </c>
      <c r="B1696" t="inlineStr">
        <is>
          <t>PERU MASIVO S.A.</t>
        </is>
      </c>
      <c r="C1696" t="inlineStr">
        <is>
          <t>20492392031</t>
        </is>
      </c>
      <c r="D1696" t="inlineStr">
        <is>
          <t>AV. LOS INCAS CDRA. 4 PATIO NORTE - COMAS</t>
        </is>
      </c>
      <c r="E1696" t="inlineStr">
        <is>
          <t>Lima, 14 de Mayo de 2024</t>
        </is>
      </c>
      <c r="F1696" t="inlineStr">
        <is>
          <t>la Recarga y mantenimiento</t>
        </is>
      </c>
      <c r="G1696" t="inlineStr">
        <is>
          <t>06</t>
        </is>
      </c>
      <c r="H1696" t="inlineStr">
        <is>
          <t>06 KG</t>
        </is>
      </c>
      <c r="I1696" t="inlineStr">
        <is>
          <t>2029</t>
        </is>
      </c>
      <c r="J1696" t="n">
        <v>2010</v>
      </c>
      <c r="K1696" t="inlineStr">
        <is>
          <t>MAYO 2024</t>
        </is>
      </c>
      <c r="L1696" t="inlineStr">
        <is>
          <t>MAYO 2025</t>
        </is>
      </c>
      <c r="M1696" t="inlineStr">
        <is>
          <t>P.Q.S TIPO ABC AL 90 % NACIONAL</t>
        </is>
      </c>
      <c r="N1696" t="inlineStr">
        <is>
          <t>32 / 000354</t>
        </is>
      </c>
      <c r="O1696" t="inlineStr">
        <is>
          <t>R</t>
        </is>
      </c>
      <c r="P1696">
        <f>TRIM(N1696)</f>
        <v/>
      </c>
    </row>
    <row r="1697">
      <c r="A1697" t="inlineStr">
        <is>
          <t>CO-001911</t>
        </is>
      </c>
      <c r="B1697" t="inlineStr">
        <is>
          <t>PERU MASIVO S.A.</t>
        </is>
      </c>
      <c r="C1697" t="inlineStr">
        <is>
          <t>20492392031</t>
        </is>
      </c>
      <c r="D1697" t="inlineStr">
        <is>
          <t>AV. LOS INCAS CDRA. 4 PATIO NORTE - COMAS</t>
        </is>
      </c>
      <c r="E1697" t="inlineStr">
        <is>
          <t>Lima, 14 de Mayo de 2024</t>
        </is>
      </c>
      <c r="F1697" t="inlineStr">
        <is>
          <t>la Recarga y mantenimiento</t>
        </is>
      </c>
      <c r="G1697" t="inlineStr">
        <is>
          <t>07</t>
        </is>
      </c>
      <c r="H1697" t="inlineStr">
        <is>
          <t>06 KG</t>
        </is>
      </c>
      <c r="I1697" t="inlineStr">
        <is>
          <t>2028</t>
        </is>
      </c>
      <c r="J1697" t="n">
        <v>2017</v>
      </c>
      <c r="K1697" t="inlineStr">
        <is>
          <t>MAYO 2024</t>
        </is>
      </c>
      <c r="L1697" t="inlineStr">
        <is>
          <t>MAYO 2025</t>
        </is>
      </c>
      <c r="M1697" t="inlineStr">
        <is>
          <t>P.Q.S TIPO ABC AL 90 % NACIONAL</t>
        </is>
      </c>
      <c r="N1697" t="inlineStr">
        <is>
          <t>111 / 004001</t>
        </is>
      </c>
      <c r="O1697" t="inlineStr">
        <is>
          <t>R</t>
        </is>
      </c>
      <c r="P1697">
        <f>TRIM(N1697)</f>
        <v/>
      </c>
    </row>
    <row r="1698">
      <c r="A1698" t="inlineStr">
        <is>
          <t>CO-001911</t>
        </is>
      </c>
      <c r="B1698" t="inlineStr">
        <is>
          <t>PERU MASIVO S.A.</t>
        </is>
      </c>
      <c r="C1698" t="inlineStr">
        <is>
          <t>20492392031</t>
        </is>
      </c>
      <c r="D1698" t="inlineStr">
        <is>
          <t>AV. LOS INCAS CDRA. 4 PATIO NORTE - COMAS</t>
        </is>
      </c>
      <c r="E1698" t="inlineStr">
        <is>
          <t>Lima, 14 de Mayo de 2024</t>
        </is>
      </c>
      <c r="F1698" t="inlineStr">
        <is>
          <t>la Recarga y mantenimiento</t>
        </is>
      </c>
      <c r="G1698" t="inlineStr">
        <is>
          <t>08</t>
        </is>
      </c>
      <c r="H1698" t="inlineStr">
        <is>
          <t>06 KG</t>
        </is>
      </c>
      <c r="I1698" t="inlineStr">
        <is>
          <t>2029</t>
        </is>
      </c>
      <c r="J1698" t="n">
        <v>2010</v>
      </c>
      <c r="K1698" t="inlineStr">
        <is>
          <t>MAYO 2024</t>
        </is>
      </c>
      <c r="L1698" t="inlineStr">
        <is>
          <t>MAYO 2025</t>
        </is>
      </c>
      <c r="M1698" t="inlineStr">
        <is>
          <t>P.Q.S TIPO ABC AL 90 % NACIONAL</t>
        </is>
      </c>
      <c r="N1698" t="inlineStr">
        <is>
          <t>346 / 006495</t>
        </is>
      </c>
      <c r="O1698" t="inlineStr">
        <is>
          <t>R</t>
        </is>
      </c>
      <c r="P1698">
        <f>TRIM(N1698)</f>
        <v/>
      </c>
    </row>
    <row r="1699">
      <c r="A1699" t="inlineStr">
        <is>
          <t>CO-001911</t>
        </is>
      </c>
      <c r="B1699" t="inlineStr">
        <is>
          <t>PERU MASIVO S.A.</t>
        </is>
      </c>
      <c r="C1699" t="inlineStr">
        <is>
          <t>20492392031</t>
        </is>
      </c>
      <c r="D1699" t="inlineStr">
        <is>
          <t>AV. LOS INCAS CDRA. 4 PATIO NORTE - COMAS</t>
        </is>
      </c>
      <c r="E1699" t="inlineStr">
        <is>
          <t>Lima, 14 de Mayo de 2024</t>
        </is>
      </c>
      <c r="F1699" t="inlineStr">
        <is>
          <t>la Recarga y mantenimiento</t>
        </is>
      </c>
      <c r="G1699" t="inlineStr">
        <is>
          <t>09</t>
        </is>
      </c>
      <c r="H1699" t="inlineStr">
        <is>
          <t>06 KG</t>
        </is>
      </c>
      <c r="I1699" t="inlineStr">
        <is>
          <t>2028</t>
        </is>
      </c>
      <c r="J1699" t="n">
        <v>2012</v>
      </c>
      <c r="K1699" t="inlineStr">
        <is>
          <t>MAYO 2024</t>
        </is>
      </c>
      <c r="L1699" t="inlineStr">
        <is>
          <t>MAYO 2025</t>
        </is>
      </c>
      <c r="M1699" t="inlineStr">
        <is>
          <t>P.Q.S TIPO ABC AL 90 % NACIONAL</t>
        </is>
      </c>
      <c r="N1699" t="inlineStr">
        <is>
          <t>112 / 003125</t>
        </is>
      </c>
      <c r="O1699" t="inlineStr">
        <is>
          <t>R</t>
        </is>
      </c>
      <c r="P1699">
        <f>TRIM(N1699)</f>
        <v/>
      </c>
    </row>
    <row r="1700">
      <c r="A1700" t="inlineStr">
        <is>
          <t>CO-001911</t>
        </is>
      </c>
      <c r="B1700" t="inlineStr">
        <is>
          <t>PERU MASIVO S.A.</t>
        </is>
      </c>
      <c r="C1700" t="inlineStr">
        <is>
          <t>20492392031</t>
        </is>
      </c>
      <c r="D1700" t="inlineStr">
        <is>
          <t>AV. LOS INCAS CDRA. 4 PATIO NORTE - COMAS</t>
        </is>
      </c>
      <c r="E1700" t="inlineStr">
        <is>
          <t>Lima, 14 de Mayo de 2024</t>
        </is>
      </c>
      <c r="F1700" t="inlineStr">
        <is>
          <t>la Recarga y mantenimiento</t>
        </is>
      </c>
      <c r="G1700" t="n">
        <v>10</v>
      </c>
      <c r="H1700" t="inlineStr">
        <is>
          <t>06 KG</t>
        </is>
      </c>
      <c r="I1700" t="inlineStr">
        <is>
          <t>2028</t>
        </is>
      </c>
      <c r="J1700" t="n">
        <v>2009</v>
      </c>
      <c r="K1700" t="inlineStr">
        <is>
          <t>MAYO 2024</t>
        </is>
      </c>
      <c r="L1700" t="inlineStr">
        <is>
          <t>MAYO 2025</t>
        </is>
      </c>
      <c r="M1700" t="inlineStr">
        <is>
          <t>P.Q.S TIPO ABC AL 90 % NACIONAL</t>
        </is>
      </c>
      <c r="N1700" t="inlineStr">
        <is>
          <t>385 / 002177</t>
        </is>
      </c>
      <c r="O1700" t="inlineStr">
        <is>
          <t>R</t>
        </is>
      </c>
      <c r="P1700">
        <f>TRIM(N1700)</f>
        <v/>
      </c>
    </row>
    <row r="1701">
      <c r="A1701" t="inlineStr">
        <is>
          <t>CO-001911</t>
        </is>
      </c>
      <c r="B1701" t="inlineStr">
        <is>
          <t>PERU MASIVO S.A.</t>
        </is>
      </c>
      <c r="C1701" t="inlineStr">
        <is>
          <t>20492392031</t>
        </is>
      </c>
      <c r="D1701" t="inlineStr">
        <is>
          <t>AV. LOS INCAS CDRA. 4 PATIO NORTE - COMAS</t>
        </is>
      </c>
      <c r="E1701" t="inlineStr">
        <is>
          <t>Lima, 14 de Mayo de 2024</t>
        </is>
      </c>
      <c r="F1701" t="inlineStr">
        <is>
          <t>la Recarga y mantenimiento</t>
        </is>
      </c>
      <c r="G1701" t="n">
        <v>11</v>
      </c>
      <c r="H1701" t="inlineStr">
        <is>
          <t>06 KG</t>
        </is>
      </c>
      <c r="I1701" t="inlineStr">
        <is>
          <t>2028</t>
        </is>
      </c>
      <c r="J1701" t="n">
        <v>2009</v>
      </c>
      <c r="K1701" t="inlineStr">
        <is>
          <t>MAYO 2024</t>
        </is>
      </c>
      <c r="L1701" t="inlineStr">
        <is>
          <t>MAYO 2025</t>
        </is>
      </c>
      <c r="M1701" t="inlineStr">
        <is>
          <t>P.Q.S TIPO ABC AL 90 % NACIONAL</t>
        </is>
      </c>
      <c r="N1701" t="inlineStr">
        <is>
          <t>265 / 000098</t>
        </is>
      </c>
      <c r="O1701" t="inlineStr">
        <is>
          <t>R</t>
        </is>
      </c>
      <c r="P1701">
        <f>TRIM(N1701)</f>
        <v/>
      </c>
    </row>
    <row r="1702">
      <c r="A1702" t="inlineStr">
        <is>
          <t>CO-001911</t>
        </is>
      </c>
      <c r="B1702" t="inlineStr">
        <is>
          <t>PERU MASIVO S.A.</t>
        </is>
      </c>
      <c r="C1702" t="inlineStr">
        <is>
          <t>20492392031</t>
        </is>
      </c>
      <c r="D1702" t="inlineStr">
        <is>
          <t>AV. LOS INCAS CDRA. 4 PATIO NORTE - COMAS</t>
        </is>
      </c>
      <c r="E1702" t="inlineStr">
        <is>
          <t>Lima, 14 de Mayo de 2024</t>
        </is>
      </c>
      <c r="F1702" t="inlineStr">
        <is>
          <t>la Recarga y mantenimiento</t>
        </is>
      </c>
      <c r="G1702" t="n">
        <v>12</v>
      </c>
      <c r="H1702" t="inlineStr">
        <is>
          <t>06 KG</t>
        </is>
      </c>
      <c r="I1702" t="inlineStr">
        <is>
          <t>2028</t>
        </is>
      </c>
      <c r="J1702" t="n">
        <v>2015</v>
      </c>
      <c r="K1702" t="inlineStr">
        <is>
          <t>MAYO 2024</t>
        </is>
      </c>
      <c r="L1702" t="inlineStr">
        <is>
          <t>MAYO 2025</t>
        </is>
      </c>
      <c r="M1702" t="inlineStr">
        <is>
          <t>P.Q.S TIPO ABC AL 90 % NACIONAL</t>
        </is>
      </c>
      <c r="N1702" t="inlineStr">
        <is>
          <t>114 / 016190</t>
        </is>
      </c>
      <c r="O1702" t="inlineStr">
        <is>
          <t>R</t>
        </is>
      </c>
      <c r="P1702">
        <f>TRIM(N1702)</f>
        <v/>
      </c>
    </row>
    <row r="1703">
      <c r="A1703" t="inlineStr">
        <is>
          <t>CO-001912</t>
        </is>
      </c>
      <c r="B1703" t="inlineStr">
        <is>
          <t>PERU MASIVO S.A.</t>
        </is>
      </c>
      <c r="C1703" t="inlineStr">
        <is>
          <t>20492392031</t>
        </is>
      </c>
      <c r="D1703" t="inlineStr">
        <is>
          <t>AV. LOS INCAS CDRA. 4 PATIO NORTE - COMAS</t>
        </is>
      </c>
      <c r="E1703" t="inlineStr">
        <is>
          <t>Lima, 14 de Mayo de 2024</t>
        </is>
      </c>
      <c r="F1703" t="inlineStr">
        <is>
          <t>la Recarga y mantenimiento</t>
        </is>
      </c>
      <c r="G1703" t="inlineStr">
        <is>
          <t>01</t>
        </is>
      </c>
      <c r="H1703" t="inlineStr">
        <is>
          <t>06 KG</t>
        </is>
      </c>
      <c r="I1703" t="inlineStr">
        <is>
          <t>2028</t>
        </is>
      </c>
      <c r="J1703" t="n">
        <v>2010</v>
      </c>
      <c r="K1703" t="inlineStr">
        <is>
          <t>MAYO 2024</t>
        </is>
      </c>
      <c r="L1703" t="inlineStr">
        <is>
          <t>MAYO 2025</t>
        </is>
      </c>
      <c r="M1703" t="inlineStr">
        <is>
          <t>P.Q.S TIPO ABC AL 90 % NACIONAL</t>
        </is>
      </c>
      <c r="N1703" t="inlineStr">
        <is>
          <t>266 / 000664</t>
        </is>
      </c>
      <c r="O1703" t="inlineStr">
        <is>
          <t>R</t>
        </is>
      </c>
      <c r="P1703">
        <f>TRIM(N1703)</f>
        <v/>
      </c>
    </row>
    <row r="1704">
      <c r="A1704" t="inlineStr">
        <is>
          <t>CO-001912</t>
        </is>
      </c>
      <c r="B1704" t="inlineStr">
        <is>
          <t>PERU MASIVO S.A.</t>
        </is>
      </c>
      <c r="C1704" t="inlineStr">
        <is>
          <t>20492392031</t>
        </is>
      </c>
      <c r="D1704" t="inlineStr">
        <is>
          <t>AV. LOS INCAS CDRA. 4 PATIO NORTE - COMAS</t>
        </is>
      </c>
      <c r="E1704" t="inlineStr">
        <is>
          <t>Lima, 14 de Mayo de 2024</t>
        </is>
      </c>
      <c r="F1704" t="inlineStr">
        <is>
          <t>la Recarga y mantenimiento</t>
        </is>
      </c>
      <c r="G1704" t="inlineStr">
        <is>
          <t>02</t>
        </is>
      </c>
      <c r="H1704" t="inlineStr">
        <is>
          <t>06 KG</t>
        </is>
      </c>
      <c r="I1704" t="inlineStr">
        <is>
          <t>2028</t>
        </is>
      </c>
      <c r="J1704" t="n">
        <v>2009</v>
      </c>
      <c r="K1704" t="inlineStr">
        <is>
          <t>MAYO 2024</t>
        </is>
      </c>
      <c r="L1704" t="inlineStr">
        <is>
          <t>MAYO 2025</t>
        </is>
      </c>
      <c r="M1704" t="inlineStr">
        <is>
          <t>P.Q.S TIPO ABC AL 90 % NACIONAL</t>
        </is>
      </c>
      <c r="N1704" t="inlineStr">
        <is>
          <t>60 / 001029</t>
        </is>
      </c>
      <c r="O1704" t="inlineStr">
        <is>
          <t>R</t>
        </is>
      </c>
      <c r="P1704">
        <f>TRIM(N1704)</f>
        <v/>
      </c>
    </row>
    <row r="1705">
      <c r="A1705" t="inlineStr">
        <is>
          <t>CO-001912</t>
        </is>
      </c>
      <c r="B1705" t="inlineStr">
        <is>
          <t>PERU MASIVO S.A.</t>
        </is>
      </c>
      <c r="C1705" t="inlineStr">
        <is>
          <t>20492392031</t>
        </is>
      </c>
      <c r="D1705" t="inlineStr">
        <is>
          <t>AV. LOS INCAS CDRA. 4 PATIO NORTE - COMAS</t>
        </is>
      </c>
      <c r="E1705" t="inlineStr">
        <is>
          <t>Lima, 14 de Mayo de 2024</t>
        </is>
      </c>
      <c r="F1705" t="inlineStr">
        <is>
          <t>la Recarga y mantenimiento</t>
        </is>
      </c>
      <c r="G1705" t="inlineStr">
        <is>
          <t>03</t>
        </is>
      </c>
      <c r="H1705" t="inlineStr">
        <is>
          <t>06 KG</t>
        </is>
      </c>
      <c r="I1705" t="inlineStr">
        <is>
          <t>2028</t>
        </is>
      </c>
      <c r="J1705" t="n">
        <v>2009</v>
      </c>
      <c r="K1705" t="inlineStr">
        <is>
          <t>MAYO 2024</t>
        </is>
      </c>
      <c r="L1705" t="inlineStr">
        <is>
          <t>MAYO 2025</t>
        </is>
      </c>
      <c r="M1705" t="inlineStr">
        <is>
          <t>P.Q.S TIPO ABC AL 90 % NACIONAL</t>
        </is>
      </c>
      <c r="N1705" t="inlineStr">
        <is>
          <t>261 / 001700</t>
        </is>
      </c>
      <c r="O1705" t="inlineStr">
        <is>
          <t>R</t>
        </is>
      </c>
      <c r="P1705">
        <f>TRIM(N1705)</f>
        <v/>
      </c>
    </row>
    <row r="1706">
      <c r="A1706" t="inlineStr">
        <is>
          <t>CO-001912</t>
        </is>
      </c>
      <c r="B1706" t="inlineStr">
        <is>
          <t>PERU MASIVO S.A.</t>
        </is>
      </c>
      <c r="C1706" t="inlineStr">
        <is>
          <t>20492392031</t>
        </is>
      </c>
      <c r="D1706" t="inlineStr">
        <is>
          <t>AV. LOS INCAS CDRA. 4 PATIO NORTE - COMAS</t>
        </is>
      </c>
      <c r="E1706" t="inlineStr">
        <is>
          <t>Lima, 14 de Mayo de 2024</t>
        </is>
      </c>
      <c r="F1706" t="inlineStr">
        <is>
          <t>la Recarga y mantenimiento</t>
        </is>
      </c>
      <c r="G1706" t="inlineStr">
        <is>
          <t>04</t>
        </is>
      </c>
      <c r="H1706" t="inlineStr">
        <is>
          <t>06 KG</t>
        </is>
      </c>
      <c r="I1706" t="inlineStr">
        <is>
          <t>2028</t>
        </is>
      </c>
      <c r="J1706" t="n">
        <v>2010</v>
      </c>
      <c r="K1706" t="inlineStr">
        <is>
          <t>MAYO 2024</t>
        </is>
      </c>
      <c r="L1706" t="inlineStr">
        <is>
          <t>MAYO 2025</t>
        </is>
      </c>
      <c r="M1706" t="inlineStr">
        <is>
          <t>P.Q.S TIPO ABC AL 90 % NACIONAL</t>
        </is>
      </c>
      <c r="N1706" t="inlineStr">
        <is>
          <t>000469</t>
        </is>
      </c>
      <c r="O1706" t="inlineStr">
        <is>
          <t>R</t>
        </is>
      </c>
      <c r="P1706">
        <f>TRIM(N1706)</f>
        <v/>
      </c>
    </row>
    <row r="1707">
      <c r="A1707" t="inlineStr">
        <is>
          <t>CO-001912</t>
        </is>
      </c>
      <c r="B1707" t="inlineStr">
        <is>
          <t>PERU MASIVO S.A.</t>
        </is>
      </c>
      <c r="C1707" t="inlineStr">
        <is>
          <t>20492392031</t>
        </is>
      </c>
      <c r="D1707" t="inlineStr">
        <is>
          <t>AV. LOS INCAS CDRA. 4 PATIO NORTE - COMAS</t>
        </is>
      </c>
      <c r="E1707" t="inlineStr">
        <is>
          <t>Lima, 14 de Mayo de 2024</t>
        </is>
      </c>
      <c r="F1707" t="inlineStr">
        <is>
          <t>la Recarga y mantenimiento</t>
        </is>
      </c>
      <c r="G1707" t="inlineStr">
        <is>
          <t>05</t>
        </is>
      </c>
      <c r="H1707" t="inlineStr">
        <is>
          <t>06 KG</t>
        </is>
      </c>
      <c r="I1707" t="inlineStr">
        <is>
          <t>2028</t>
        </is>
      </c>
      <c r="J1707" t="n">
        <v>2009</v>
      </c>
      <c r="K1707" t="inlineStr">
        <is>
          <t>MAYO 2024</t>
        </is>
      </c>
      <c r="L1707" t="inlineStr">
        <is>
          <t>MAYO 2025</t>
        </is>
      </c>
      <c r="M1707" t="inlineStr">
        <is>
          <t>P.Q.S TIPO ABC AL 90 % NACIONAL</t>
        </is>
      </c>
      <c r="N1707" t="inlineStr">
        <is>
          <t>241 / 001353</t>
        </is>
      </c>
      <c r="O1707" t="inlineStr">
        <is>
          <t>R</t>
        </is>
      </c>
      <c r="P1707">
        <f>TRIM(N1707)</f>
        <v/>
      </c>
    </row>
    <row r="1708">
      <c r="A1708" t="inlineStr">
        <is>
          <t>CO-001912</t>
        </is>
      </c>
      <c r="B1708" t="inlineStr">
        <is>
          <t>PERU MASIVO S.A.</t>
        </is>
      </c>
      <c r="C1708" t="inlineStr">
        <is>
          <t>20492392031</t>
        </is>
      </c>
      <c r="D1708" t="inlineStr">
        <is>
          <t>AV. LOS INCAS CDRA. 4 PATIO NORTE - COMAS</t>
        </is>
      </c>
      <c r="E1708" t="inlineStr">
        <is>
          <t>Lima, 14 de Mayo de 2024</t>
        </is>
      </c>
      <c r="F1708" t="inlineStr">
        <is>
          <t>la Recarga y mantenimiento</t>
        </is>
      </c>
      <c r="G1708" t="inlineStr">
        <is>
          <t>06</t>
        </is>
      </c>
      <c r="H1708" t="inlineStr">
        <is>
          <t>06 KG</t>
        </is>
      </c>
      <c r="I1708" t="inlineStr">
        <is>
          <t>2028</t>
        </is>
      </c>
      <c r="J1708" t="n">
        <v>2009</v>
      </c>
      <c r="K1708" t="inlineStr">
        <is>
          <t>MAYO 2024</t>
        </is>
      </c>
      <c r="L1708" t="inlineStr">
        <is>
          <t>MAYO 2025</t>
        </is>
      </c>
      <c r="M1708" t="inlineStr">
        <is>
          <t>P.Q.S TIPO ABC AL 90 % NACIONAL</t>
        </is>
      </c>
      <c r="N1708" t="inlineStr">
        <is>
          <t>292 / 001002</t>
        </is>
      </c>
      <c r="O1708" t="inlineStr">
        <is>
          <t>R</t>
        </is>
      </c>
      <c r="P1708">
        <f>TRIM(N1708)</f>
        <v/>
      </c>
    </row>
    <row r="1709">
      <c r="A1709" t="inlineStr">
        <is>
          <t>CO-001913</t>
        </is>
      </c>
      <c r="B1709" t="inlineStr">
        <is>
          <t>PERU MASIVO S.A.</t>
        </is>
      </c>
      <c r="C1709" t="inlineStr">
        <is>
          <t>20492392031</t>
        </is>
      </c>
      <c r="D1709" t="inlineStr">
        <is>
          <t>AV. LOS INCAS CDRA. 4 PATIO NORTE - COMAS</t>
        </is>
      </c>
      <c r="E1709" t="inlineStr">
        <is>
          <t>Lima, 17 de Mayo de 2024</t>
        </is>
      </c>
      <c r="F1709" t="inlineStr">
        <is>
          <t>la Recarga y mantenimiento</t>
        </is>
      </c>
      <c r="G1709" t="inlineStr">
        <is>
          <t>01</t>
        </is>
      </c>
      <c r="H1709" t="inlineStr">
        <is>
          <t>06 KG</t>
        </is>
      </c>
      <c r="I1709" t="inlineStr">
        <is>
          <t>2028</t>
        </is>
      </c>
      <c r="J1709" t="n">
        <v>2014</v>
      </c>
      <c r="K1709" t="inlineStr">
        <is>
          <t>MAYO 2024</t>
        </is>
      </c>
      <c r="L1709" t="inlineStr">
        <is>
          <t>MAYO 2025</t>
        </is>
      </c>
      <c r="M1709" t="inlineStr">
        <is>
          <t>P.Q.S TIPO ABC AL 90 % NACIONAL</t>
        </is>
      </c>
      <c r="N1709" t="inlineStr">
        <is>
          <t>43 / 002142</t>
        </is>
      </c>
      <c r="O1709" t="inlineStr">
        <is>
          <t>R</t>
        </is>
      </c>
      <c r="P1709">
        <f>TRIM(N1709)</f>
        <v/>
      </c>
    </row>
    <row r="1710">
      <c r="A1710" t="inlineStr">
        <is>
          <t>CO-001913</t>
        </is>
      </c>
      <c r="B1710" t="inlineStr">
        <is>
          <t>PERU MASIVO S.A.</t>
        </is>
      </c>
      <c r="C1710" t="inlineStr">
        <is>
          <t>20492392031</t>
        </is>
      </c>
      <c r="D1710" t="inlineStr">
        <is>
          <t>AV. LOS INCAS CDRA. 4 PATIO NORTE - COMAS</t>
        </is>
      </c>
      <c r="E1710" t="inlineStr">
        <is>
          <t>Lima, 17 de Mayo de 2024</t>
        </is>
      </c>
      <c r="F1710" t="inlineStr">
        <is>
          <t>la Recarga y mantenimiento</t>
        </is>
      </c>
      <c r="G1710" t="inlineStr">
        <is>
          <t>02</t>
        </is>
      </c>
      <c r="H1710" t="inlineStr">
        <is>
          <t>06 KG</t>
        </is>
      </c>
      <c r="I1710" t="inlineStr">
        <is>
          <t>2028</t>
        </is>
      </c>
      <c r="J1710" t="n">
        <v>2009</v>
      </c>
      <c r="K1710" t="inlineStr">
        <is>
          <t>MAYO 2024</t>
        </is>
      </c>
      <c r="L1710" t="inlineStr">
        <is>
          <t>MAYO 2025</t>
        </is>
      </c>
      <c r="M1710" t="inlineStr">
        <is>
          <t>P.Q.S TIPO ABC AL 90 % NACIONAL</t>
        </is>
      </c>
      <c r="N1710" t="inlineStr">
        <is>
          <t>10 / 001664</t>
        </is>
      </c>
      <c r="O1710" t="inlineStr">
        <is>
          <t>R</t>
        </is>
      </c>
      <c r="P1710">
        <f>TRIM(N1710)</f>
        <v/>
      </c>
    </row>
    <row r="1711">
      <c r="A1711" t="inlineStr">
        <is>
          <t>CO-001913</t>
        </is>
      </c>
      <c r="B1711" t="inlineStr">
        <is>
          <t>PERU MASIVO S.A.</t>
        </is>
      </c>
      <c r="C1711" t="inlineStr">
        <is>
          <t>20492392031</t>
        </is>
      </c>
      <c r="D1711" t="inlineStr">
        <is>
          <t>AV. LOS INCAS CDRA. 4 PATIO NORTE - COMAS</t>
        </is>
      </c>
      <c r="E1711" t="inlineStr">
        <is>
          <t>Lima, 17 de Mayo de 2024</t>
        </is>
      </c>
      <c r="F1711" t="inlineStr">
        <is>
          <t>la Recarga y mantenimiento</t>
        </is>
      </c>
      <c r="G1711" t="inlineStr">
        <is>
          <t>03</t>
        </is>
      </c>
      <c r="H1711" t="inlineStr">
        <is>
          <t>06 KG</t>
        </is>
      </c>
      <c r="I1711" t="inlineStr">
        <is>
          <t>2028</t>
        </is>
      </c>
      <c r="J1711" t="n">
        <v>2009</v>
      </c>
      <c r="K1711" t="inlineStr">
        <is>
          <t>MAYO 2024</t>
        </is>
      </c>
      <c r="L1711" t="inlineStr">
        <is>
          <t>MAYO 2025</t>
        </is>
      </c>
      <c r="M1711" t="inlineStr">
        <is>
          <t>P.Q.S TIPO ABC AL 90 % NACIONAL</t>
        </is>
      </c>
      <c r="N1711" t="inlineStr">
        <is>
          <t>323 / 000579</t>
        </is>
      </c>
      <c r="O1711" t="inlineStr">
        <is>
          <t>R</t>
        </is>
      </c>
      <c r="P1711">
        <f>TRIM(N1711)</f>
        <v/>
      </c>
    </row>
    <row r="1712">
      <c r="A1712" t="inlineStr">
        <is>
          <t>CO-001913</t>
        </is>
      </c>
      <c r="B1712" t="inlineStr">
        <is>
          <t>PERU MASIVO S.A.</t>
        </is>
      </c>
      <c r="C1712" t="inlineStr">
        <is>
          <t>20492392031</t>
        </is>
      </c>
      <c r="D1712" t="inlineStr">
        <is>
          <t>AV. LOS INCAS CDRA. 4 PATIO NORTE - COMAS</t>
        </is>
      </c>
      <c r="E1712" t="inlineStr">
        <is>
          <t>Lima, 17 de Mayo de 2024</t>
        </is>
      </c>
      <c r="F1712" t="inlineStr">
        <is>
          <t>la Recarga y mantenimiento</t>
        </is>
      </c>
      <c r="G1712" t="inlineStr">
        <is>
          <t>04</t>
        </is>
      </c>
      <c r="H1712" t="inlineStr">
        <is>
          <t>06 KG</t>
        </is>
      </c>
      <c r="I1712" t="inlineStr">
        <is>
          <t>2028</t>
        </is>
      </c>
      <c r="J1712" t="n">
        <v>2009</v>
      </c>
      <c r="K1712" t="inlineStr">
        <is>
          <t>MAYO 2024</t>
        </is>
      </c>
      <c r="L1712" t="inlineStr">
        <is>
          <t>MAYO 2025</t>
        </is>
      </c>
      <c r="M1712" t="inlineStr">
        <is>
          <t>P.Q.S TIPO ABC AL 90 % NACIONAL</t>
        </is>
      </c>
      <c r="N1712" t="inlineStr">
        <is>
          <t>332 / 001050</t>
        </is>
      </c>
      <c r="O1712" t="inlineStr">
        <is>
          <t>R</t>
        </is>
      </c>
      <c r="P1712">
        <f>TRIM(N1712)</f>
        <v/>
      </c>
    </row>
    <row r="1713">
      <c r="A1713" t="inlineStr">
        <is>
          <t>CO-001913</t>
        </is>
      </c>
      <c r="B1713" t="inlineStr">
        <is>
          <t>PERU MASIVO S.A.</t>
        </is>
      </c>
      <c r="C1713" t="inlineStr">
        <is>
          <t>20492392031</t>
        </is>
      </c>
      <c r="D1713" t="inlineStr">
        <is>
          <t>AV. LOS INCAS CDRA. 4 PATIO NORTE - COMAS</t>
        </is>
      </c>
      <c r="E1713" t="inlineStr">
        <is>
          <t>Lima, 17 de Mayo de 2024</t>
        </is>
      </c>
      <c r="F1713" t="inlineStr">
        <is>
          <t>la Recarga y mantenimiento</t>
        </is>
      </c>
      <c r="G1713" t="inlineStr">
        <is>
          <t>05</t>
        </is>
      </c>
      <c r="H1713" t="inlineStr">
        <is>
          <t>06 KG</t>
        </is>
      </c>
      <c r="I1713" t="inlineStr">
        <is>
          <t>2028</t>
        </is>
      </c>
      <c r="J1713" t="n">
        <v>2009</v>
      </c>
      <c r="K1713" t="inlineStr">
        <is>
          <t>MAYO 2024</t>
        </is>
      </c>
      <c r="L1713" t="inlineStr">
        <is>
          <t>MAYO 2025</t>
        </is>
      </c>
      <c r="M1713" t="inlineStr">
        <is>
          <t>P.Q.S TIPO ABC AL 90 % NACIONAL</t>
        </is>
      </c>
      <c r="N1713" t="inlineStr">
        <is>
          <t>335 / 001071</t>
        </is>
      </c>
      <c r="O1713" t="inlineStr">
        <is>
          <t>R</t>
        </is>
      </c>
      <c r="P1713">
        <f>TRIM(N1713)</f>
        <v/>
      </c>
    </row>
    <row r="1714">
      <c r="A1714" t="inlineStr">
        <is>
          <t>CO-001913</t>
        </is>
      </c>
      <c r="B1714" t="inlineStr">
        <is>
          <t>PERU MASIVO S.A.</t>
        </is>
      </c>
      <c r="C1714" t="inlineStr">
        <is>
          <t>20492392031</t>
        </is>
      </c>
      <c r="D1714" t="inlineStr">
        <is>
          <t>AV. LOS INCAS CDRA. 4 PATIO NORTE - COMAS</t>
        </is>
      </c>
      <c r="E1714" t="inlineStr">
        <is>
          <t>Lima, 17 de Mayo de 2024</t>
        </is>
      </c>
      <c r="F1714" t="inlineStr">
        <is>
          <t>la Recarga y mantenimiento</t>
        </is>
      </c>
      <c r="G1714" t="inlineStr">
        <is>
          <t>06</t>
        </is>
      </c>
      <c r="H1714" t="inlineStr">
        <is>
          <t>06 KG</t>
        </is>
      </c>
      <c r="I1714" t="inlineStr">
        <is>
          <t>2028</t>
        </is>
      </c>
      <c r="J1714" t="n">
        <v>2009</v>
      </c>
      <c r="K1714" t="inlineStr">
        <is>
          <t>MAYO 2024</t>
        </is>
      </c>
      <c r="L1714" t="inlineStr">
        <is>
          <t>MAYO 2025</t>
        </is>
      </c>
      <c r="M1714" t="inlineStr">
        <is>
          <t>P.Q.S TIPO ABC AL 90 % NACIONAL</t>
        </is>
      </c>
      <c r="N1714" t="inlineStr">
        <is>
          <t>322 / 001677</t>
        </is>
      </c>
      <c r="O1714" t="inlineStr">
        <is>
          <t>R</t>
        </is>
      </c>
      <c r="P1714">
        <f>TRIM(N1714)</f>
        <v/>
      </c>
    </row>
    <row r="1715">
      <c r="A1715" t="inlineStr">
        <is>
          <t>CO-001913</t>
        </is>
      </c>
      <c r="B1715" t="inlineStr">
        <is>
          <t>PERU MASIVO S.A.</t>
        </is>
      </c>
      <c r="C1715" t="inlineStr">
        <is>
          <t>20492392031</t>
        </is>
      </c>
      <c r="D1715" t="inlineStr">
        <is>
          <t>AV. LOS INCAS CDRA. 4 PATIO NORTE - COMAS</t>
        </is>
      </c>
      <c r="E1715" t="inlineStr">
        <is>
          <t>Lima, 17 de Mayo de 2024</t>
        </is>
      </c>
      <c r="F1715" t="inlineStr">
        <is>
          <t>la Recarga y mantenimiento</t>
        </is>
      </c>
      <c r="G1715" t="inlineStr">
        <is>
          <t>07</t>
        </is>
      </c>
      <c r="H1715" t="inlineStr">
        <is>
          <t>06 KG</t>
        </is>
      </c>
      <c r="I1715" t="inlineStr">
        <is>
          <t>2028</t>
        </is>
      </c>
      <c r="J1715" t="n">
        <v>2009</v>
      </c>
      <c r="K1715" t="inlineStr">
        <is>
          <t>MAYO 2024</t>
        </is>
      </c>
      <c r="L1715" t="inlineStr">
        <is>
          <t>MAYO 2025</t>
        </is>
      </c>
      <c r="M1715" t="inlineStr">
        <is>
          <t>P.Q.S TIPO ABC AL 90 % NACIONAL</t>
        </is>
      </c>
      <c r="N1715" t="inlineStr">
        <is>
          <t>245 / 001309</t>
        </is>
      </c>
      <c r="O1715" t="inlineStr">
        <is>
          <t>R</t>
        </is>
      </c>
      <c r="P1715">
        <f>TRIM(N1715)</f>
        <v/>
      </c>
    </row>
    <row r="1716">
      <c r="A1716" t="inlineStr">
        <is>
          <t>CO-001913</t>
        </is>
      </c>
      <c r="B1716" t="inlineStr">
        <is>
          <t>PERU MASIVO S.A.</t>
        </is>
      </c>
      <c r="C1716" t="inlineStr">
        <is>
          <t>20492392031</t>
        </is>
      </c>
      <c r="D1716" t="inlineStr">
        <is>
          <t>AV. LOS INCAS CDRA. 4 PATIO NORTE - COMAS</t>
        </is>
      </c>
      <c r="E1716" t="inlineStr">
        <is>
          <t>Lima, 17 de Mayo de 2024</t>
        </is>
      </c>
      <c r="F1716" t="inlineStr">
        <is>
          <t>la Recarga y mantenimiento</t>
        </is>
      </c>
      <c r="G1716" t="inlineStr">
        <is>
          <t>08</t>
        </is>
      </c>
      <c r="H1716" t="inlineStr">
        <is>
          <t>06 KG</t>
        </is>
      </c>
      <c r="I1716" t="inlineStr">
        <is>
          <t>2028</t>
        </is>
      </c>
      <c r="J1716" t="n">
        <v>2015</v>
      </c>
      <c r="K1716" t="inlineStr">
        <is>
          <t>MAYO 2024</t>
        </is>
      </c>
      <c r="L1716" t="inlineStr">
        <is>
          <t>MAYO 2025</t>
        </is>
      </c>
      <c r="M1716" t="inlineStr">
        <is>
          <t>P.Q.S TIPO ABC AL 90 % NACIONAL</t>
        </is>
      </c>
      <c r="N1716" t="inlineStr">
        <is>
          <t>44 / 001353</t>
        </is>
      </c>
      <c r="O1716" t="inlineStr">
        <is>
          <t>R</t>
        </is>
      </c>
      <c r="P1716">
        <f>TRIM(N1716)</f>
        <v/>
      </c>
    </row>
    <row r="1717">
      <c r="A1717" t="inlineStr">
        <is>
          <t>CO-001913</t>
        </is>
      </c>
      <c r="B1717" t="inlineStr">
        <is>
          <t>PERU MASIVO S.A.</t>
        </is>
      </c>
      <c r="C1717" t="inlineStr">
        <is>
          <t>20492392031</t>
        </is>
      </c>
      <c r="D1717" t="inlineStr">
        <is>
          <t>AV. LOS INCAS CDRA. 4 PATIO NORTE - COMAS</t>
        </is>
      </c>
      <c r="E1717" t="inlineStr">
        <is>
          <t>Lima, 17 de Mayo de 2024</t>
        </is>
      </c>
      <c r="F1717" t="inlineStr">
        <is>
          <t>la Recarga y mantenimiento</t>
        </is>
      </c>
      <c r="G1717" t="inlineStr">
        <is>
          <t>09</t>
        </is>
      </c>
      <c r="H1717" t="inlineStr">
        <is>
          <t>06 KG</t>
        </is>
      </c>
      <c r="I1717" t="inlineStr">
        <is>
          <t>2028</t>
        </is>
      </c>
      <c r="J1717" t="n">
        <v>2010</v>
      </c>
      <c r="K1717" t="inlineStr">
        <is>
          <t>MAYO 2024</t>
        </is>
      </c>
      <c r="L1717" t="inlineStr">
        <is>
          <t>MAYO 2025</t>
        </is>
      </c>
      <c r="M1717" t="inlineStr">
        <is>
          <t>P.Q.S TIPO ABC AL 90 % NACIONAL</t>
        </is>
      </c>
      <c r="N1717" t="inlineStr">
        <is>
          <t>94 / 000005</t>
        </is>
      </c>
      <c r="O1717" t="inlineStr">
        <is>
          <t>R</t>
        </is>
      </c>
      <c r="P1717">
        <f>TRIM(N1717)</f>
        <v/>
      </c>
    </row>
    <row r="1718">
      <c r="A1718" t="inlineStr">
        <is>
          <t>CO-001913</t>
        </is>
      </c>
      <c r="B1718" t="inlineStr">
        <is>
          <t>PERU MASIVO S.A.</t>
        </is>
      </c>
      <c r="C1718" t="inlineStr">
        <is>
          <t>20492392031</t>
        </is>
      </c>
      <c r="D1718" t="inlineStr">
        <is>
          <t>AV. LOS INCAS CDRA. 4 PATIO NORTE - COMAS</t>
        </is>
      </c>
      <c r="E1718" t="inlineStr">
        <is>
          <t>Lima, 17 de Mayo de 2024</t>
        </is>
      </c>
      <c r="F1718" t="inlineStr">
        <is>
          <t>la Recarga y mantenimiento</t>
        </is>
      </c>
      <c r="G1718" t="n">
        <v>10</v>
      </c>
      <c r="H1718" t="inlineStr">
        <is>
          <t>06 KG</t>
        </is>
      </c>
      <c r="I1718" t="inlineStr">
        <is>
          <t>2028</t>
        </is>
      </c>
      <c r="J1718" t="n">
        <v>2010</v>
      </c>
      <c r="K1718" t="inlineStr">
        <is>
          <t>MAYO 2024</t>
        </is>
      </c>
      <c r="L1718" t="inlineStr">
        <is>
          <t>MAYO 2025</t>
        </is>
      </c>
      <c r="M1718" t="inlineStr">
        <is>
          <t>P.Q.S TIPO ABC AL 90 % NACIONAL</t>
        </is>
      </c>
      <c r="N1718" t="inlineStr">
        <is>
          <t>293 / 000978</t>
        </is>
      </c>
      <c r="O1718" t="inlineStr">
        <is>
          <t>R</t>
        </is>
      </c>
      <c r="P1718">
        <f>TRIM(N1718)</f>
        <v/>
      </c>
    </row>
    <row r="1719">
      <c r="A1719" t="inlineStr">
        <is>
          <t>CO-001913</t>
        </is>
      </c>
      <c r="B1719" t="inlineStr">
        <is>
          <t>PERU MASIVO S.A.</t>
        </is>
      </c>
      <c r="C1719" t="inlineStr">
        <is>
          <t>20492392031</t>
        </is>
      </c>
      <c r="D1719" t="inlineStr">
        <is>
          <t>AV. LOS INCAS CDRA. 4 PATIO NORTE - COMAS</t>
        </is>
      </c>
      <c r="E1719" t="inlineStr">
        <is>
          <t>Lima, 17 de Mayo de 2024</t>
        </is>
      </c>
      <c r="F1719" t="inlineStr">
        <is>
          <t>la Recarga y mantenimiento</t>
        </is>
      </c>
      <c r="G1719" t="n">
        <v>11</v>
      </c>
      <c r="H1719" t="inlineStr">
        <is>
          <t>06 KG</t>
        </is>
      </c>
      <c r="I1719" t="inlineStr">
        <is>
          <t>2028</t>
        </is>
      </c>
      <c r="J1719" t="n">
        <v>2009</v>
      </c>
      <c r="K1719" t="inlineStr">
        <is>
          <t>MAYO 2024</t>
        </is>
      </c>
      <c r="L1719" t="inlineStr">
        <is>
          <t>MAYO 2025</t>
        </is>
      </c>
      <c r="M1719" t="inlineStr">
        <is>
          <t>P.Q.S TIPO ABC AL 90 % NACIONAL</t>
        </is>
      </c>
      <c r="N1719" t="inlineStr">
        <is>
          <t>367 / 001937</t>
        </is>
      </c>
      <c r="O1719" t="inlineStr">
        <is>
          <t>R</t>
        </is>
      </c>
      <c r="P1719">
        <f>TRIM(N1719)</f>
        <v/>
      </c>
    </row>
    <row r="1720">
      <c r="A1720" t="inlineStr">
        <is>
          <t>CO-001913</t>
        </is>
      </c>
      <c r="B1720" t="inlineStr">
        <is>
          <t>PERU MASIVO S.A.</t>
        </is>
      </c>
      <c r="C1720" t="inlineStr">
        <is>
          <t>20492392031</t>
        </is>
      </c>
      <c r="D1720" t="inlineStr">
        <is>
          <t>AV. LOS INCAS CDRA. 4 PATIO NORTE - COMAS</t>
        </is>
      </c>
      <c r="E1720" t="inlineStr">
        <is>
          <t>Lima, 17 de Mayo de 2024</t>
        </is>
      </c>
      <c r="F1720" t="inlineStr">
        <is>
          <t>la Recarga y mantenimiento</t>
        </is>
      </c>
      <c r="G1720" t="n">
        <v>12</v>
      </c>
      <c r="H1720" t="inlineStr">
        <is>
          <t>06 KG</t>
        </is>
      </c>
      <c r="I1720" t="inlineStr">
        <is>
          <t>2028</t>
        </is>
      </c>
      <c r="J1720" t="n">
        <v>2015</v>
      </c>
      <c r="K1720" t="inlineStr">
        <is>
          <t>MAYO 2024</t>
        </is>
      </c>
      <c r="L1720" t="inlineStr">
        <is>
          <t>MAYO 2025</t>
        </is>
      </c>
      <c r="M1720" t="inlineStr">
        <is>
          <t>P.Q.S TIPO ABC AL 90 % NACIONAL</t>
        </is>
      </c>
      <c r="N1720" t="inlineStr">
        <is>
          <t>45 / 016379</t>
        </is>
      </c>
      <c r="O1720" t="inlineStr">
        <is>
          <t>R</t>
        </is>
      </c>
      <c r="P1720">
        <f>TRIM(N1720)</f>
        <v/>
      </c>
    </row>
    <row r="1721">
      <c r="A1721" t="inlineStr">
        <is>
          <t>CO-001914</t>
        </is>
      </c>
      <c r="B1721" t="inlineStr">
        <is>
          <t>PERU MASIVO S.A. INFRAESTRUCTURA</t>
        </is>
      </c>
      <c r="C1721" t="inlineStr">
        <is>
          <t>20492392031</t>
        </is>
      </c>
      <c r="D1721" t="inlineStr">
        <is>
          <t>AV. LOS INCAS CDRA. 4 PATIO NORTE - COMAS</t>
        </is>
      </c>
      <c r="E1721" t="inlineStr">
        <is>
          <t>Lima, 15 de Mayo de 2024</t>
        </is>
      </c>
      <c r="F1721" t="inlineStr">
        <is>
          <t>la Recarga y mantenimiento</t>
        </is>
      </c>
      <c r="G1721" t="inlineStr">
        <is>
          <t>01</t>
        </is>
      </c>
      <c r="H1721" t="inlineStr">
        <is>
          <t>06 KG</t>
        </is>
      </c>
      <c r="I1721" t="inlineStr">
        <is>
          <t>2028</t>
        </is>
      </c>
      <c r="J1721" t="n">
        <v>2023</v>
      </c>
      <c r="K1721" t="inlineStr">
        <is>
          <t>MAYO 2024</t>
        </is>
      </c>
      <c r="L1721" t="inlineStr">
        <is>
          <t>MAYO 2025</t>
        </is>
      </c>
      <c r="M1721" t="inlineStr">
        <is>
          <t>P.Q.S TIPO ABC AL 90 % NACIONAL</t>
        </is>
      </c>
      <c r="N1721" t="inlineStr">
        <is>
          <t>03 / 000120</t>
        </is>
      </c>
      <c r="O1721" t="inlineStr">
        <is>
          <t>R</t>
        </is>
      </c>
      <c r="P1721">
        <f>TRIM(N1721)</f>
        <v/>
      </c>
    </row>
    <row r="1722">
      <c r="A1722" t="inlineStr">
        <is>
          <t>CO-001915</t>
        </is>
      </c>
      <c r="B1722" t="inlineStr">
        <is>
          <t>PERU MASIVO S.A.</t>
        </is>
      </c>
      <c r="C1722" t="inlineStr">
        <is>
          <t>20492392031</t>
        </is>
      </c>
      <c r="D1722" t="inlineStr">
        <is>
          <t>AV. LOS INCAS CDRA. 4 PATIO NORTE - COMAS</t>
        </is>
      </c>
      <c r="E1722" t="inlineStr">
        <is>
          <t>Lima, 22 de Mayo de 2024</t>
        </is>
      </c>
      <c r="F1722" t="inlineStr">
        <is>
          <t>la Recarga y mantenimiento</t>
        </is>
      </c>
      <c r="G1722" t="inlineStr">
        <is>
          <t>01</t>
        </is>
      </c>
      <c r="H1722" t="inlineStr">
        <is>
          <t>06 KG</t>
        </is>
      </c>
      <c r="I1722" t="inlineStr">
        <is>
          <t>2028</t>
        </is>
      </c>
      <c r="J1722" t="n">
        <v>2009</v>
      </c>
      <c r="K1722" t="inlineStr">
        <is>
          <t>MAYO 2024</t>
        </is>
      </c>
      <c r="L1722" t="inlineStr">
        <is>
          <t>MAYO 2025</t>
        </is>
      </c>
      <c r="M1722" t="inlineStr">
        <is>
          <t>P.Q.S TIPO ABC AL 90 % NACIONAL</t>
        </is>
      </c>
      <c r="N1722" t="inlineStr">
        <is>
          <t>267 / 000732</t>
        </is>
      </c>
      <c r="O1722" t="inlineStr">
        <is>
          <t>R</t>
        </is>
      </c>
      <c r="P1722">
        <f>TRIM(N1722)</f>
        <v/>
      </c>
    </row>
    <row r="1723">
      <c r="A1723" t="inlineStr">
        <is>
          <t>CO-001915</t>
        </is>
      </c>
      <c r="B1723" t="inlineStr">
        <is>
          <t>PERU MASIVO S.A.</t>
        </is>
      </c>
      <c r="C1723" t="inlineStr">
        <is>
          <t>20492392031</t>
        </is>
      </c>
      <c r="D1723" t="inlineStr">
        <is>
          <t>AV. LOS INCAS CDRA. 4 PATIO NORTE - COMAS</t>
        </is>
      </c>
      <c r="E1723" t="inlineStr">
        <is>
          <t>Lima, 22 de Mayo de 2024</t>
        </is>
      </c>
      <c r="F1723" t="inlineStr">
        <is>
          <t>la Recarga y mantenimiento</t>
        </is>
      </c>
      <c r="G1723" t="inlineStr">
        <is>
          <t>02</t>
        </is>
      </c>
      <c r="H1723" t="inlineStr">
        <is>
          <t>06 KG</t>
        </is>
      </c>
      <c r="I1723" t="inlineStr">
        <is>
          <t>2028</t>
        </is>
      </c>
      <c r="J1723" t="n">
        <v>2009</v>
      </c>
      <c r="K1723" t="inlineStr">
        <is>
          <t>MAYO 2024</t>
        </is>
      </c>
      <c r="L1723" t="inlineStr">
        <is>
          <t>MAYO 2025</t>
        </is>
      </c>
      <c r="M1723" t="inlineStr">
        <is>
          <t>P.Q.S TIPO ABC AL 90 % NACIONAL</t>
        </is>
      </c>
      <c r="N1723" t="inlineStr">
        <is>
          <t>12 / 001619</t>
        </is>
      </c>
      <c r="O1723" t="inlineStr">
        <is>
          <t>R</t>
        </is>
      </c>
      <c r="P1723">
        <f>TRIM(N1723)</f>
        <v/>
      </c>
    </row>
    <row r="1724">
      <c r="A1724" t="inlineStr">
        <is>
          <t>CO-001915</t>
        </is>
      </c>
      <c r="B1724" t="inlineStr">
        <is>
          <t>PERU MASIVO S.A.</t>
        </is>
      </c>
      <c r="C1724" t="inlineStr">
        <is>
          <t>20492392031</t>
        </is>
      </c>
      <c r="D1724" t="inlineStr">
        <is>
          <t>AV. LOS INCAS CDRA. 4 PATIO NORTE - COMAS</t>
        </is>
      </c>
      <c r="E1724" t="inlineStr">
        <is>
          <t>Lima, 22 de Mayo de 2024</t>
        </is>
      </c>
      <c r="F1724" t="inlineStr">
        <is>
          <t>la Recarga y mantenimiento</t>
        </is>
      </c>
      <c r="G1724" t="inlineStr">
        <is>
          <t>03</t>
        </is>
      </c>
      <c r="H1724" t="inlineStr">
        <is>
          <t>06 KG</t>
        </is>
      </c>
      <c r="I1724" t="inlineStr">
        <is>
          <t>2028</t>
        </is>
      </c>
      <c r="J1724" t="n">
        <v>2010</v>
      </c>
      <c r="K1724" t="inlineStr">
        <is>
          <t>MAYO 2024</t>
        </is>
      </c>
      <c r="L1724" t="inlineStr">
        <is>
          <t>MAYO 2025</t>
        </is>
      </c>
      <c r="M1724" t="inlineStr">
        <is>
          <t>P.Q.S TIPO ABC AL 90 % NACIONAL</t>
        </is>
      </c>
      <c r="N1724" t="inlineStr">
        <is>
          <t>15 / 002423</t>
        </is>
      </c>
      <c r="O1724" t="inlineStr">
        <is>
          <t>R</t>
        </is>
      </c>
      <c r="P1724">
        <f>TRIM(N1724)</f>
        <v/>
      </c>
    </row>
    <row r="1725">
      <c r="A1725" t="inlineStr">
        <is>
          <t>CO-001915</t>
        </is>
      </c>
      <c r="B1725" t="inlineStr">
        <is>
          <t>PERU MASIVO S.A.</t>
        </is>
      </c>
      <c r="C1725" t="inlineStr">
        <is>
          <t>20492392031</t>
        </is>
      </c>
      <c r="D1725" t="inlineStr">
        <is>
          <t>AV. LOS INCAS CDRA. 4 PATIO NORTE - COMAS</t>
        </is>
      </c>
      <c r="E1725" t="inlineStr">
        <is>
          <t>Lima, 22 de Mayo de 2024</t>
        </is>
      </c>
      <c r="F1725" t="inlineStr">
        <is>
          <t>la Recarga y mantenimiento</t>
        </is>
      </c>
      <c r="G1725" t="inlineStr">
        <is>
          <t>04</t>
        </is>
      </c>
      <c r="H1725" t="inlineStr">
        <is>
          <t>06 KG</t>
        </is>
      </c>
      <c r="I1725" t="inlineStr">
        <is>
          <t>2026</t>
        </is>
      </c>
      <c r="J1725" t="n">
        <v>2021</v>
      </c>
      <c r="K1725" t="inlineStr">
        <is>
          <t>MAYO 2024</t>
        </is>
      </c>
      <c r="L1725" t="inlineStr">
        <is>
          <t>MAYO 2025</t>
        </is>
      </c>
      <c r="M1725" t="inlineStr">
        <is>
          <t>P.Q.S TIPO ABC AL 90 % NACIONAL</t>
        </is>
      </c>
      <c r="N1725" t="inlineStr">
        <is>
          <t>115 / 194056</t>
        </is>
      </c>
      <c r="O1725" t="inlineStr">
        <is>
          <t>R</t>
        </is>
      </c>
      <c r="P1725">
        <f>TRIM(N1725)</f>
        <v/>
      </c>
    </row>
    <row r="1726">
      <c r="A1726" t="inlineStr">
        <is>
          <t>CO-001915</t>
        </is>
      </c>
      <c r="B1726" t="inlineStr">
        <is>
          <t>PERU MASIVO S.A.</t>
        </is>
      </c>
      <c r="C1726" t="inlineStr">
        <is>
          <t>20492392031</t>
        </is>
      </c>
      <c r="D1726" t="inlineStr">
        <is>
          <t>AV. LOS INCAS CDRA. 4 PATIO NORTE - COMAS</t>
        </is>
      </c>
      <c r="E1726" t="inlineStr">
        <is>
          <t>Lima, 22 de Mayo de 2024</t>
        </is>
      </c>
      <c r="F1726" t="inlineStr">
        <is>
          <t>la Recarga y mantenimiento</t>
        </is>
      </c>
      <c r="G1726" t="inlineStr">
        <is>
          <t>05</t>
        </is>
      </c>
      <c r="H1726" t="inlineStr">
        <is>
          <t>06 KG</t>
        </is>
      </c>
      <c r="I1726" t="inlineStr">
        <is>
          <t>2029</t>
        </is>
      </c>
      <c r="J1726" t="n">
        <v>2019</v>
      </c>
      <c r="K1726" t="inlineStr">
        <is>
          <t>MAYO 2024</t>
        </is>
      </c>
      <c r="L1726" t="inlineStr">
        <is>
          <t>MAYO 2025</t>
        </is>
      </c>
      <c r="M1726" t="inlineStr">
        <is>
          <t>P.Q.S TIPO ABC AL 90 % NACIONAL</t>
        </is>
      </c>
      <c r="N1726" t="inlineStr">
        <is>
          <t>116 / 001150</t>
        </is>
      </c>
      <c r="O1726" t="inlineStr">
        <is>
          <t>R</t>
        </is>
      </c>
      <c r="P1726">
        <f>TRIM(N1726)</f>
        <v/>
      </c>
    </row>
    <row r="1727">
      <c r="A1727" t="inlineStr">
        <is>
          <t>CO-001915</t>
        </is>
      </c>
      <c r="B1727" t="inlineStr">
        <is>
          <t>PERU MASIVO S.A.</t>
        </is>
      </c>
      <c r="C1727" t="inlineStr">
        <is>
          <t>20492392031</t>
        </is>
      </c>
      <c r="D1727" t="inlineStr">
        <is>
          <t>AV. LOS INCAS CDRA. 4 PATIO NORTE - COMAS</t>
        </is>
      </c>
      <c r="E1727" t="inlineStr">
        <is>
          <t>Lima, 22 de Mayo de 2024</t>
        </is>
      </c>
      <c r="F1727" t="inlineStr">
        <is>
          <t>la Recarga y mantenimiento</t>
        </is>
      </c>
      <c r="G1727" t="inlineStr">
        <is>
          <t>06</t>
        </is>
      </c>
      <c r="H1727" t="inlineStr">
        <is>
          <t>06 KG</t>
        </is>
      </c>
      <c r="I1727" t="inlineStr">
        <is>
          <t>2028</t>
        </is>
      </c>
      <c r="J1727" t="n">
        <v>2011</v>
      </c>
      <c r="K1727" t="inlineStr">
        <is>
          <t>MAYO 2024</t>
        </is>
      </c>
      <c r="L1727" t="inlineStr">
        <is>
          <t>MAYO 2025</t>
        </is>
      </c>
      <c r="M1727" t="inlineStr">
        <is>
          <t>P.Q.S TIPO ABC AL 90 % NACIONAL</t>
        </is>
      </c>
      <c r="N1727" t="inlineStr">
        <is>
          <t>117 / 001782</t>
        </is>
      </c>
      <c r="O1727" t="inlineStr">
        <is>
          <t>R</t>
        </is>
      </c>
      <c r="P1727">
        <f>TRIM(N1727)</f>
        <v/>
      </c>
    </row>
    <row r="1728">
      <c r="A1728" t="inlineStr">
        <is>
          <t>CO-001915</t>
        </is>
      </c>
      <c r="B1728" t="inlineStr">
        <is>
          <t>PERU MASIVO S.A.</t>
        </is>
      </c>
      <c r="C1728" t="inlineStr">
        <is>
          <t>20492392031</t>
        </is>
      </c>
      <c r="D1728" t="inlineStr">
        <is>
          <t>AV. LOS INCAS CDRA. 4 PATIO NORTE - COMAS</t>
        </is>
      </c>
      <c r="E1728" t="inlineStr">
        <is>
          <t>Lima, 22 de Mayo de 2024</t>
        </is>
      </c>
      <c r="F1728" t="inlineStr">
        <is>
          <t>la Recarga y mantenimiento</t>
        </is>
      </c>
      <c r="G1728" t="inlineStr">
        <is>
          <t>07</t>
        </is>
      </c>
      <c r="H1728" t="inlineStr">
        <is>
          <t>06 KG</t>
        </is>
      </c>
      <c r="I1728" t="inlineStr">
        <is>
          <t>2028</t>
        </is>
      </c>
      <c r="J1728" t="n">
        <v>2009</v>
      </c>
      <c r="K1728" t="inlineStr">
        <is>
          <t>MAYO 2024</t>
        </is>
      </c>
      <c r="L1728" t="inlineStr">
        <is>
          <t>MAYO 2025</t>
        </is>
      </c>
      <c r="M1728" t="inlineStr">
        <is>
          <t>P.Q.S TIPO ABC AL 90 % NACIONAL</t>
        </is>
      </c>
      <c r="N1728" t="inlineStr">
        <is>
          <t>333 / 001048</t>
        </is>
      </c>
      <c r="O1728" t="inlineStr">
        <is>
          <t>R</t>
        </is>
      </c>
      <c r="P1728">
        <f>TRIM(N1728)</f>
        <v/>
      </c>
    </row>
    <row r="1729">
      <c r="A1729" t="inlineStr">
        <is>
          <t>CO-001915</t>
        </is>
      </c>
      <c r="B1729" t="inlineStr">
        <is>
          <t>PERU MASIVO S.A.</t>
        </is>
      </c>
      <c r="C1729" t="inlineStr">
        <is>
          <t>20492392031</t>
        </is>
      </c>
      <c r="D1729" t="inlineStr">
        <is>
          <t>AV. LOS INCAS CDRA. 4 PATIO NORTE - COMAS</t>
        </is>
      </c>
      <c r="E1729" t="inlineStr">
        <is>
          <t>Lima, 22 de Mayo de 2024</t>
        </is>
      </c>
      <c r="F1729" t="inlineStr">
        <is>
          <t>la Recarga y mantenimiento</t>
        </is>
      </c>
      <c r="G1729" t="inlineStr">
        <is>
          <t>08</t>
        </is>
      </c>
      <c r="H1729" t="inlineStr">
        <is>
          <t>06 KG</t>
        </is>
      </c>
      <c r="I1729" t="inlineStr">
        <is>
          <t>2028</t>
        </is>
      </c>
      <c r="J1729" t="n">
        <v>2016</v>
      </c>
      <c r="K1729" t="inlineStr">
        <is>
          <t>MAYO 2024</t>
        </is>
      </c>
      <c r="L1729" t="inlineStr">
        <is>
          <t>MAYO 2025</t>
        </is>
      </c>
      <c r="M1729" t="inlineStr">
        <is>
          <t>P.Q.S TIPO ABC AL 90 % NACIONAL</t>
        </is>
      </c>
      <c r="N1729" t="inlineStr">
        <is>
          <t>118 / 001187</t>
        </is>
      </c>
      <c r="O1729" t="inlineStr">
        <is>
          <t>R</t>
        </is>
      </c>
      <c r="P1729">
        <f>TRIM(N1729)</f>
        <v/>
      </c>
    </row>
    <row r="1730">
      <c r="A1730" t="inlineStr">
        <is>
          <t>CO-001915</t>
        </is>
      </c>
      <c r="B1730" t="inlineStr">
        <is>
          <t>PERU MASIVO S.A.</t>
        </is>
      </c>
      <c r="C1730" t="inlineStr">
        <is>
          <t>20492392031</t>
        </is>
      </c>
      <c r="D1730" t="inlineStr">
        <is>
          <t>AV. LOS INCAS CDRA. 4 PATIO NORTE - COMAS</t>
        </is>
      </c>
      <c r="E1730" t="inlineStr">
        <is>
          <t>Lima, 22 de Mayo de 2024</t>
        </is>
      </c>
      <c r="F1730" t="inlineStr">
        <is>
          <t>la Recarga y mantenimiento</t>
        </is>
      </c>
      <c r="G1730" t="inlineStr">
        <is>
          <t>09</t>
        </is>
      </c>
      <c r="H1730" t="inlineStr">
        <is>
          <t>06 KG</t>
        </is>
      </c>
      <c r="I1730" t="inlineStr">
        <is>
          <t>2028</t>
        </is>
      </c>
      <c r="J1730" t="n">
        <v>2009</v>
      </c>
      <c r="K1730" t="inlineStr">
        <is>
          <t>MAYO 2024</t>
        </is>
      </c>
      <c r="L1730" t="inlineStr">
        <is>
          <t>MAYO 2025</t>
        </is>
      </c>
      <c r="M1730" t="inlineStr">
        <is>
          <t>P.Q.S TIPO ABC AL 90 % NACIONAL</t>
        </is>
      </c>
      <c r="N1730" t="inlineStr">
        <is>
          <t>119 / 001151</t>
        </is>
      </c>
      <c r="O1730" t="inlineStr">
        <is>
          <t>R</t>
        </is>
      </c>
      <c r="P1730">
        <f>TRIM(N1730)</f>
        <v/>
      </c>
    </row>
    <row r="1731">
      <c r="A1731" t="inlineStr">
        <is>
          <t>CO-001915</t>
        </is>
      </c>
      <c r="B1731" t="inlineStr">
        <is>
          <t>PERU MASIVO S.A.</t>
        </is>
      </c>
      <c r="C1731" t="inlineStr">
        <is>
          <t>20492392031</t>
        </is>
      </c>
      <c r="D1731" t="inlineStr">
        <is>
          <t>AV. LOS INCAS CDRA. 4 PATIO NORTE - COMAS</t>
        </is>
      </c>
      <c r="E1731" t="inlineStr">
        <is>
          <t>Lima, 22 de Mayo de 2024</t>
        </is>
      </c>
      <c r="F1731" t="inlineStr">
        <is>
          <t>la Recarga y mantenimiento</t>
        </is>
      </c>
      <c r="G1731" t="n">
        <v>10</v>
      </c>
      <c r="H1731" t="inlineStr">
        <is>
          <t>06 KG</t>
        </is>
      </c>
      <c r="I1731" t="inlineStr">
        <is>
          <t>2028</t>
        </is>
      </c>
      <c r="J1731" t="n">
        <v>2009</v>
      </c>
      <c r="K1731" t="inlineStr">
        <is>
          <t>MAYO 2024</t>
        </is>
      </c>
      <c r="L1731" t="inlineStr">
        <is>
          <t>MAYO 2025</t>
        </is>
      </c>
      <c r="M1731" t="inlineStr">
        <is>
          <t>P.Q.S TIPO ABC AL 90 % NACIONAL</t>
        </is>
      </c>
      <c r="N1731" t="inlineStr">
        <is>
          <t>344 / 002162</t>
        </is>
      </c>
      <c r="O1731" t="inlineStr">
        <is>
          <t>R</t>
        </is>
      </c>
      <c r="P1731">
        <f>TRIM(N1731)</f>
        <v/>
      </c>
    </row>
    <row r="1732">
      <c r="A1732" t="inlineStr">
        <is>
          <t>CO-001916</t>
        </is>
      </c>
      <c r="B1732" t="inlineStr">
        <is>
          <t>ANDERSON CAMPANA ALVAREZ</t>
        </is>
      </c>
      <c r="C1732" t="inlineStr">
        <is>
          <t>45575311</t>
        </is>
      </c>
      <c r="D1732" t="inlineStr">
        <is>
          <t>PLACA: AUY - 111</t>
        </is>
      </c>
      <c r="E1732" t="inlineStr">
        <is>
          <t>Lima, 23 de Mayo de 2024</t>
        </is>
      </c>
      <c r="F1732" t="inlineStr">
        <is>
          <t>la Recarga y mantenimiento</t>
        </is>
      </c>
      <c r="G1732" t="inlineStr">
        <is>
          <t>01</t>
        </is>
      </c>
      <c r="H1732" t="inlineStr">
        <is>
          <t>02 KG</t>
        </is>
      </c>
      <c r="I1732" t="inlineStr">
        <is>
          <t>VIGENTE</t>
        </is>
      </c>
      <c r="J1732" t="n">
        <v>2015</v>
      </c>
      <c r="K1732" t="inlineStr">
        <is>
          <t>MAYO 2024</t>
        </is>
      </c>
      <c r="L1732" t="inlineStr">
        <is>
          <t>MAYO 2025</t>
        </is>
      </c>
      <c r="M1732" t="inlineStr">
        <is>
          <t>P.Q.S TIPO ABC</t>
        </is>
      </c>
      <c r="N1732" t="inlineStr">
        <is>
          <t>015846</t>
        </is>
      </c>
      <c r="O1732" t="inlineStr">
        <is>
          <t>R</t>
        </is>
      </c>
      <c r="P1732">
        <f>TRIM(N1732)</f>
        <v/>
      </c>
    </row>
    <row r="1733">
      <c r="A1733" t="inlineStr">
        <is>
          <t>CO-001917</t>
        </is>
      </c>
      <c r="B1733" t="inlineStr">
        <is>
          <t>LA GRANJA VILLA Y SU MUNDO MAGICO S.A.</t>
        </is>
      </c>
      <c r="C1733" t="inlineStr">
        <is>
          <t>20123724004</t>
        </is>
      </c>
      <c r="D1733" t="inlineStr">
        <is>
          <t>Av. Alameda del Premio Real 397, Chorrillos 15067</t>
        </is>
      </c>
      <c r="E1733" t="inlineStr">
        <is>
          <t>Lima, 23 de mayo de 2024</t>
        </is>
      </c>
      <c r="F1733" t="inlineStr">
        <is>
          <t>la Recarga y mantenimiento</t>
        </is>
      </c>
      <c r="G1733" t="inlineStr">
        <is>
          <t>01</t>
        </is>
      </c>
      <c r="H1733" t="inlineStr">
        <is>
          <t>50 KG</t>
        </is>
      </c>
      <c r="I1733" t="inlineStr">
        <is>
          <t>2028</t>
        </is>
      </c>
      <c r="J1733" t="n">
        <v>2018</v>
      </c>
      <c r="K1733" t="inlineStr">
        <is>
          <t>MAYO 2024</t>
        </is>
      </c>
      <c r="L1733" t="inlineStr">
        <is>
          <t>MAYO 2025</t>
        </is>
      </c>
      <c r="M1733" t="inlineStr">
        <is>
          <t>P.Q.S TIPO ABC</t>
        </is>
      </c>
      <c r="N1733" t="inlineStr">
        <is>
          <t>08 / 000049</t>
        </is>
      </c>
      <c r="O1733" t="inlineStr">
        <is>
          <t>R</t>
        </is>
      </c>
      <c r="P1733">
        <f>TRIM(N1733)</f>
        <v/>
      </c>
    </row>
    <row r="1734">
      <c r="A1734" t="inlineStr">
        <is>
          <t>CO-001918</t>
        </is>
      </c>
      <c r="B1734" t="inlineStr">
        <is>
          <t>PERU MASIVO S.A.</t>
        </is>
      </c>
      <c r="C1734" t="inlineStr">
        <is>
          <t>20492392031</t>
        </is>
      </c>
      <c r="D1734" t="inlineStr">
        <is>
          <t>AV. LOS INCAS CDRA. 4 PATIO NORTE - COMAS</t>
        </is>
      </c>
      <c r="E1734" t="inlineStr">
        <is>
          <t>Lima, 27 de Mayo de 2024</t>
        </is>
      </c>
      <c r="F1734" t="inlineStr">
        <is>
          <t>la Recarga y mantenimiento</t>
        </is>
      </c>
      <c r="G1734" t="inlineStr">
        <is>
          <t>01</t>
        </is>
      </c>
      <c r="H1734" t="inlineStr">
        <is>
          <t>06 KG</t>
        </is>
      </c>
      <c r="I1734" t="inlineStr">
        <is>
          <t>2028</t>
        </is>
      </c>
      <c r="J1734" t="n">
        <v>2009</v>
      </c>
      <c r="K1734" t="inlineStr">
        <is>
          <t>MAYO 2024</t>
        </is>
      </c>
      <c r="L1734" t="inlineStr">
        <is>
          <t>MAYO 2025</t>
        </is>
      </c>
      <c r="M1734" t="inlineStr">
        <is>
          <t>P.Q.S TIPO ABC AL 90 % NACIONAL</t>
        </is>
      </c>
      <c r="N1734" t="inlineStr">
        <is>
          <t>308 / 000301</t>
        </is>
      </c>
      <c r="O1734" t="inlineStr">
        <is>
          <t>R</t>
        </is>
      </c>
      <c r="P1734">
        <f>TRIM(N1734)</f>
        <v/>
      </c>
    </row>
    <row r="1735">
      <c r="A1735" t="inlineStr">
        <is>
          <t>CO-001918</t>
        </is>
      </c>
      <c r="B1735" t="inlineStr">
        <is>
          <t>PERU MASIVO S.A.</t>
        </is>
      </c>
      <c r="C1735" t="inlineStr">
        <is>
          <t>20492392031</t>
        </is>
      </c>
      <c r="D1735" t="inlineStr">
        <is>
          <t>AV. LOS INCAS CDRA. 4 PATIO NORTE - COMAS</t>
        </is>
      </c>
      <c r="E1735" t="inlineStr">
        <is>
          <t>Lima, 27 de Mayo de 2024</t>
        </is>
      </c>
      <c r="F1735" t="inlineStr">
        <is>
          <t>la Recarga y mantenimiento</t>
        </is>
      </c>
      <c r="G1735" t="inlineStr">
        <is>
          <t>02</t>
        </is>
      </c>
      <c r="H1735" t="inlineStr">
        <is>
          <t>06 KG</t>
        </is>
      </c>
      <c r="I1735" t="inlineStr">
        <is>
          <t>2028</t>
        </is>
      </c>
      <c r="J1735" t="n">
        <v>2014</v>
      </c>
      <c r="K1735" t="inlineStr">
        <is>
          <t>MAYO 2024</t>
        </is>
      </c>
      <c r="L1735" t="inlineStr">
        <is>
          <t>MAYO 2025</t>
        </is>
      </c>
      <c r="M1735" t="inlineStr">
        <is>
          <t>P.Q.S TIPO ABC AL 90 % NACIONAL</t>
        </is>
      </c>
      <c r="N1735" t="inlineStr">
        <is>
          <t>388 / 000098</t>
        </is>
      </c>
      <c r="O1735" t="inlineStr">
        <is>
          <t>R</t>
        </is>
      </c>
      <c r="P1735">
        <f>TRIM(N1735)</f>
        <v/>
      </c>
    </row>
    <row r="1736">
      <c r="A1736" t="inlineStr">
        <is>
          <t>CO-001918</t>
        </is>
      </c>
      <c r="B1736" t="inlineStr">
        <is>
          <t>PERU MASIVO S.A.</t>
        </is>
      </c>
      <c r="C1736" t="inlineStr">
        <is>
          <t>20492392031</t>
        </is>
      </c>
      <c r="D1736" t="inlineStr">
        <is>
          <t>AV. LOS INCAS CDRA. 4 PATIO NORTE - COMAS</t>
        </is>
      </c>
      <c r="E1736" t="inlineStr">
        <is>
          <t>Lima, 27 de Mayo de 2024</t>
        </is>
      </c>
      <c r="F1736" t="inlineStr">
        <is>
          <t>la Recarga y mantenimiento</t>
        </is>
      </c>
      <c r="G1736" t="inlineStr">
        <is>
          <t>03</t>
        </is>
      </c>
      <c r="H1736" t="inlineStr">
        <is>
          <t>06 KG</t>
        </is>
      </c>
      <c r="I1736" t="inlineStr">
        <is>
          <t>2028</t>
        </is>
      </c>
      <c r="J1736" t="n">
        <v>2009</v>
      </c>
      <c r="K1736" t="inlineStr">
        <is>
          <t>MAYO 2024</t>
        </is>
      </c>
      <c r="L1736" t="inlineStr">
        <is>
          <t>MAYO 2025</t>
        </is>
      </c>
      <c r="M1736" t="inlineStr">
        <is>
          <t>P.Q.S TIPO ABC AL 90 % NACIONAL</t>
        </is>
      </c>
      <c r="N1736" t="inlineStr">
        <is>
          <t>290 / 002769</t>
        </is>
      </c>
      <c r="O1736" t="inlineStr">
        <is>
          <t>R</t>
        </is>
      </c>
      <c r="P1736">
        <f>TRIM(N1736)</f>
        <v/>
      </c>
    </row>
    <row r="1737">
      <c r="A1737" t="inlineStr">
        <is>
          <t>CO-001918</t>
        </is>
      </c>
      <c r="B1737" t="inlineStr">
        <is>
          <t>PERU MASIVO S.A.</t>
        </is>
      </c>
      <c r="C1737" t="inlineStr">
        <is>
          <t>20492392031</t>
        </is>
      </c>
      <c r="D1737" t="inlineStr">
        <is>
          <t>AV. LOS INCAS CDRA. 4 PATIO NORTE - COMAS</t>
        </is>
      </c>
      <c r="E1737" t="inlineStr">
        <is>
          <t>Lima, 27 de Mayo de 2024</t>
        </is>
      </c>
      <c r="F1737" t="inlineStr">
        <is>
          <t>la Recarga y mantenimiento</t>
        </is>
      </c>
      <c r="G1737" t="inlineStr">
        <is>
          <t>04</t>
        </is>
      </c>
      <c r="H1737" t="inlineStr">
        <is>
          <t>06 KG</t>
        </is>
      </c>
      <c r="I1737" t="inlineStr">
        <is>
          <t>2028</t>
        </is>
      </c>
      <c r="J1737" t="n">
        <v>2009</v>
      </c>
      <c r="K1737" t="inlineStr">
        <is>
          <t>MAYO 2024</t>
        </is>
      </c>
      <c r="L1737" t="inlineStr">
        <is>
          <t>MAYO 2025</t>
        </is>
      </c>
      <c r="M1737" t="inlineStr">
        <is>
          <t>P.Q.S TIPO ABC AL 90 % NACIONAL</t>
        </is>
      </c>
      <c r="N1737" t="inlineStr">
        <is>
          <t>275 / 000693</t>
        </is>
      </c>
      <c r="O1737" t="inlineStr">
        <is>
          <t>R</t>
        </is>
      </c>
      <c r="P1737">
        <f>TRIM(N1737)</f>
        <v/>
      </c>
    </row>
    <row r="1738">
      <c r="A1738" t="inlineStr">
        <is>
          <t>CO-001918</t>
        </is>
      </c>
      <c r="B1738" t="inlineStr">
        <is>
          <t>PERU MASIVO S.A.</t>
        </is>
      </c>
      <c r="C1738" t="inlineStr">
        <is>
          <t>20492392031</t>
        </is>
      </c>
      <c r="D1738" t="inlineStr">
        <is>
          <t>AV. LOS INCAS CDRA. 4 PATIO NORTE - COMAS</t>
        </is>
      </c>
      <c r="E1738" t="inlineStr">
        <is>
          <t>Lima, 27 de Mayo de 2024</t>
        </is>
      </c>
      <c r="F1738" t="inlineStr">
        <is>
          <t>la Recarga y mantenimiento</t>
        </is>
      </c>
      <c r="G1738" t="inlineStr">
        <is>
          <t>05</t>
        </is>
      </c>
      <c r="H1738" t="inlineStr">
        <is>
          <t>06 KG</t>
        </is>
      </c>
      <c r="I1738" t="inlineStr">
        <is>
          <t>2028</t>
        </is>
      </c>
      <c r="J1738" t="n">
        <v>2009</v>
      </c>
      <c r="K1738" t="inlineStr">
        <is>
          <t>MAYO 2024</t>
        </is>
      </c>
      <c r="L1738" t="inlineStr">
        <is>
          <t>MAYO 2025</t>
        </is>
      </c>
      <c r="M1738" t="inlineStr">
        <is>
          <t>P.Q.S TIPO ABC AL 90 % NACIONAL</t>
        </is>
      </c>
      <c r="N1738" t="inlineStr">
        <is>
          <t>175 / 000431</t>
        </is>
      </c>
      <c r="O1738" t="inlineStr">
        <is>
          <t>R</t>
        </is>
      </c>
      <c r="P1738">
        <f>TRIM(N1738)</f>
        <v/>
      </c>
    </row>
    <row r="1739">
      <c r="A1739" t="inlineStr">
        <is>
          <t>CO-001918</t>
        </is>
      </c>
      <c r="B1739" t="inlineStr">
        <is>
          <t>PERU MASIVO S.A.</t>
        </is>
      </c>
      <c r="C1739" t="inlineStr">
        <is>
          <t>20492392031</t>
        </is>
      </c>
      <c r="D1739" t="inlineStr">
        <is>
          <t>AV. LOS INCAS CDRA. 4 PATIO NORTE - COMAS</t>
        </is>
      </c>
      <c r="E1739" t="inlineStr">
        <is>
          <t>Lima, 27 de Mayo de 2024</t>
        </is>
      </c>
      <c r="F1739" t="inlineStr">
        <is>
          <t>la Recarga y mantenimiento</t>
        </is>
      </c>
      <c r="G1739" t="inlineStr">
        <is>
          <t>06</t>
        </is>
      </c>
      <c r="H1739" t="inlineStr">
        <is>
          <t>06 KG</t>
        </is>
      </c>
      <c r="I1739" t="inlineStr">
        <is>
          <t>2028</t>
        </is>
      </c>
      <c r="J1739" t="n">
        <v>2010</v>
      </c>
      <c r="K1739" t="inlineStr">
        <is>
          <t>MAYO 2024</t>
        </is>
      </c>
      <c r="L1739" t="inlineStr">
        <is>
          <t>MAYO 2025</t>
        </is>
      </c>
      <c r="M1739" t="inlineStr">
        <is>
          <t>P.Q.S TIPO ABC AL 90 % NACIONAL</t>
        </is>
      </c>
      <c r="N1739" t="inlineStr">
        <is>
          <t>286 / 001921</t>
        </is>
      </c>
      <c r="O1739" t="inlineStr">
        <is>
          <t>R</t>
        </is>
      </c>
      <c r="P1739">
        <f>TRIM(N1739)</f>
        <v/>
      </c>
    </row>
    <row r="1740">
      <c r="A1740" t="inlineStr">
        <is>
          <t>CO-001918</t>
        </is>
      </c>
      <c r="B1740" t="inlineStr">
        <is>
          <t>PERU MASIVO S.A.</t>
        </is>
      </c>
      <c r="C1740" t="inlineStr">
        <is>
          <t>20492392031</t>
        </is>
      </c>
      <c r="D1740" t="inlineStr">
        <is>
          <t>AV. LOS INCAS CDRA. 4 PATIO NORTE - COMAS</t>
        </is>
      </c>
      <c r="E1740" t="inlineStr">
        <is>
          <t>Lima, 27 de Mayo de 2024</t>
        </is>
      </c>
      <c r="F1740" t="inlineStr">
        <is>
          <t>la Recarga y mantenimiento</t>
        </is>
      </c>
      <c r="G1740" t="inlineStr">
        <is>
          <t>07</t>
        </is>
      </c>
      <c r="H1740" t="inlineStr">
        <is>
          <t>06 KG</t>
        </is>
      </c>
      <c r="I1740" t="inlineStr">
        <is>
          <t>2028</t>
        </is>
      </c>
      <c r="J1740" t="n">
        <v>2010</v>
      </c>
      <c r="K1740" t="inlineStr">
        <is>
          <t>MAYO 2024</t>
        </is>
      </c>
      <c r="L1740" t="inlineStr">
        <is>
          <t>MAYO 2025</t>
        </is>
      </c>
      <c r="M1740" t="inlineStr">
        <is>
          <t>P.Q.S TIPO ABC AL 90 % NACIONAL</t>
        </is>
      </c>
      <c r="N1740" t="inlineStr">
        <is>
          <t>243 / 000409</t>
        </is>
      </c>
      <c r="O1740" t="inlineStr">
        <is>
          <t>R</t>
        </is>
      </c>
      <c r="P1740">
        <f>TRIM(N1740)</f>
        <v/>
      </c>
    </row>
    <row r="1741">
      <c r="A1741" t="inlineStr">
        <is>
          <t>CO-001918</t>
        </is>
      </c>
      <c r="B1741" t="inlineStr">
        <is>
          <t>PERU MASIVO S.A.</t>
        </is>
      </c>
      <c r="C1741" t="inlineStr">
        <is>
          <t>20492392031</t>
        </is>
      </c>
      <c r="D1741" t="inlineStr">
        <is>
          <t>AV. LOS INCAS CDRA. 4 PATIO NORTE - COMAS</t>
        </is>
      </c>
      <c r="E1741" t="inlineStr">
        <is>
          <t>Lima, 27 de Mayo de 2024</t>
        </is>
      </c>
      <c r="F1741" t="inlineStr">
        <is>
          <t>la Recarga y mantenimiento</t>
        </is>
      </c>
      <c r="G1741" t="inlineStr">
        <is>
          <t>08</t>
        </is>
      </c>
      <c r="H1741" t="inlineStr">
        <is>
          <t>06 KG</t>
        </is>
      </c>
      <c r="I1741" t="inlineStr">
        <is>
          <t>2029</t>
        </is>
      </c>
      <c r="J1741" t="n">
        <v>2019</v>
      </c>
      <c r="K1741" t="inlineStr">
        <is>
          <t>MAYO 2024</t>
        </is>
      </c>
      <c r="L1741" t="inlineStr">
        <is>
          <t>MAYO 2025</t>
        </is>
      </c>
      <c r="M1741" t="inlineStr">
        <is>
          <t>P.Q.S TIPO ABC AL 90 % NACIONAL</t>
        </is>
      </c>
      <c r="N1741" t="inlineStr">
        <is>
          <t>398 / 000737</t>
        </is>
      </c>
      <c r="O1741" t="inlineStr">
        <is>
          <t>R</t>
        </is>
      </c>
      <c r="P1741">
        <f>TRIM(N1741)</f>
        <v/>
      </c>
    </row>
    <row r="1742">
      <c r="A1742" t="inlineStr">
        <is>
          <t>CO-001918</t>
        </is>
      </c>
      <c r="B1742" t="inlineStr">
        <is>
          <t>PERU MASIVO S.A.</t>
        </is>
      </c>
      <c r="C1742" t="inlineStr">
        <is>
          <t>20492392031</t>
        </is>
      </c>
      <c r="D1742" t="inlineStr">
        <is>
          <t>AV. LOS INCAS CDRA. 4 PATIO NORTE - COMAS</t>
        </is>
      </c>
      <c r="E1742" t="inlineStr">
        <is>
          <t>Lima, 27 de Mayo de 2024</t>
        </is>
      </c>
      <c r="F1742" t="inlineStr">
        <is>
          <t>la Recarga y mantenimiento</t>
        </is>
      </c>
      <c r="G1742" t="inlineStr">
        <is>
          <t>09</t>
        </is>
      </c>
      <c r="H1742" t="inlineStr">
        <is>
          <t>06 KG</t>
        </is>
      </c>
      <c r="I1742" t="inlineStr">
        <is>
          <t>2028</t>
        </is>
      </c>
      <c r="J1742" t="n">
        <v>2014</v>
      </c>
      <c r="K1742" t="inlineStr">
        <is>
          <t>MAYO 2024</t>
        </is>
      </c>
      <c r="L1742" t="inlineStr">
        <is>
          <t>MAYO 2025</t>
        </is>
      </c>
      <c r="M1742" t="inlineStr">
        <is>
          <t>P.Q.S TIPO ABC AL 90 % NACIONAL</t>
        </is>
      </c>
      <c r="N1742" t="inlineStr">
        <is>
          <t>400 / 000377</t>
        </is>
      </c>
      <c r="O1742" t="inlineStr">
        <is>
          <t>R</t>
        </is>
      </c>
      <c r="P1742">
        <f>TRIM(N1742)</f>
        <v/>
      </c>
    </row>
    <row r="1743">
      <c r="A1743" t="inlineStr">
        <is>
          <t>CO-001918</t>
        </is>
      </c>
      <c r="B1743" t="inlineStr">
        <is>
          <t>PERU MASIVO S.A.</t>
        </is>
      </c>
      <c r="C1743" t="inlineStr">
        <is>
          <t>20492392031</t>
        </is>
      </c>
      <c r="D1743" t="inlineStr">
        <is>
          <t>AV. LOS INCAS CDRA. 4 PATIO NORTE - COMAS</t>
        </is>
      </c>
      <c r="E1743" t="inlineStr">
        <is>
          <t>Lima, 27 de Mayo de 2024</t>
        </is>
      </c>
      <c r="F1743" t="inlineStr">
        <is>
          <t>la Recarga y mantenimiento</t>
        </is>
      </c>
      <c r="G1743" t="n">
        <v>10</v>
      </c>
      <c r="H1743" t="inlineStr">
        <is>
          <t>06 KG</t>
        </is>
      </c>
      <c r="I1743" t="inlineStr">
        <is>
          <t>2028</t>
        </is>
      </c>
      <c r="J1743" t="n">
        <v>2015</v>
      </c>
      <c r="K1743" t="inlineStr">
        <is>
          <t>MAYO 2024</t>
        </is>
      </c>
      <c r="L1743" t="inlineStr">
        <is>
          <t>MAYO 2025</t>
        </is>
      </c>
      <c r="M1743" t="inlineStr">
        <is>
          <t>P.Q.S TIPO ABC AL 90 % NACIONAL</t>
        </is>
      </c>
      <c r="N1743" t="inlineStr">
        <is>
          <t>285 / 000853</t>
        </is>
      </c>
      <c r="O1743" t="inlineStr">
        <is>
          <t>R</t>
        </is>
      </c>
      <c r="P1743">
        <f>TRIM(N1743)</f>
        <v/>
      </c>
    </row>
    <row r="1744">
      <c r="A1744" t="inlineStr">
        <is>
          <t>CO-001919</t>
        </is>
      </c>
      <c r="B1744" t="inlineStr">
        <is>
          <t>Transportes Stark sac</t>
        </is>
      </c>
      <c r="C1744" t="inlineStr">
        <is>
          <t>20606725664</t>
        </is>
      </c>
      <c r="D1744" t="inlineStr">
        <is>
          <t>CAL. 58 MZ. E3 LT. 09 A URB. EL PINAR PARCELA 01 COMAS - LIMA</t>
        </is>
      </c>
      <c r="E1744" t="inlineStr">
        <is>
          <t>Lima, 29 de Mayo de 2024</t>
        </is>
      </c>
      <c r="F1744" t="inlineStr">
        <is>
          <t>la Recarga y mantenimiento</t>
        </is>
      </c>
      <c r="G1744" t="inlineStr">
        <is>
          <t>01</t>
        </is>
      </c>
      <c r="H1744" t="inlineStr">
        <is>
          <t>09 KG</t>
        </is>
      </c>
      <c r="I1744" t="inlineStr">
        <is>
          <t>2026</t>
        </is>
      </c>
      <c r="J1744" t="n">
        <v>2021</v>
      </c>
      <c r="K1744" t="inlineStr">
        <is>
          <t>MAYO 2024</t>
        </is>
      </c>
      <c r="L1744" t="inlineStr">
        <is>
          <t>MAYO 2025</t>
        </is>
      </c>
      <c r="M1744" t="inlineStr">
        <is>
          <t>P.Q.S TIPO ABC</t>
        </is>
      </c>
      <c r="N1744" t="inlineStr">
        <is>
          <t>405649</t>
        </is>
      </c>
      <c r="O1744" t="inlineStr">
        <is>
          <t>R</t>
        </is>
      </c>
      <c r="P1744">
        <f>TRIM(N1744)</f>
        <v/>
      </c>
    </row>
    <row r="1745">
      <c r="A1745" t="inlineStr">
        <is>
          <t>CO-001920</t>
        </is>
      </c>
      <c r="B1745" t="inlineStr">
        <is>
          <t>PERU MASIVO S.A.</t>
        </is>
      </c>
      <c r="C1745" t="inlineStr">
        <is>
          <t>20492392031</t>
        </is>
      </c>
      <c r="D1745" t="inlineStr">
        <is>
          <t>AV. LOS INCAS CDRA. 4 PATIO NORTE - COMAS</t>
        </is>
      </c>
      <c r="E1745" t="inlineStr">
        <is>
          <t>Lima, 29 de Mayo de 2024</t>
        </is>
      </c>
      <c r="F1745" t="inlineStr">
        <is>
          <t>la Recarga y mantenimiento</t>
        </is>
      </c>
      <c r="G1745" t="inlineStr">
        <is>
          <t>01</t>
        </is>
      </c>
      <c r="H1745" t="inlineStr">
        <is>
          <t>06 KG</t>
        </is>
      </c>
      <c r="I1745" t="inlineStr">
        <is>
          <t>2028</t>
        </is>
      </c>
      <c r="J1745" t="n">
        <v>2009</v>
      </c>
      <c r="K1745" t="inlineStr">
        <is>
          <t>MAYO 2024</t>
        </is>
      </c>
      <c r="L1745" t="inlineStr">
        <is>
          <t>MAYO 2025</t>
        </is>
      </c>
      <c r="M1745" t="inlineStr">
        <is>
          <t>P.Q.S TIPO ABC AL 90 % NACIONAL</t>
        </is>
      </c>
      <c r="N1745" t="inlineStr">
        <is>
          <t>223 / 001170</t>
        </is>
      </c>
      <c r="O1745" t="inlineStr">
        <is>
          <t>R</t>
        </is>
      </c>
      <c r="P1745">
        <f>TRIM(N1745)</f>
        <v/>
      </c>
    </row>
    <row r="1746">
      <c r="A1746" t="inlineStr">
        <is>
          <t>CO-001920</t>
        </is>
      </c>
      <c r="B1746" t="inlineStr">
        <is>
          <t>PERU MASIVO S.A.</t>
        </is>
      </c>
      <c r="C1746" t="inlineStr">
        <is>
          <t>20492392031</t>
        </is>
      </c>
      <c r="D1746" t="inlineStr">
        <is>
          <t>AV. LOS INCAS CDRA. 4 PATIO NORTE - COMAS</t>
        </is>
      </c>
      <c r="E1746" t="inlineStr">
        <is>
          <t>Lima, 29 de Mayo de 2024</t>
        </is>
      </c>
      <c r="F1746" t="inlineStr">
        <is>
          <t>la Recarga y mantenimiento</t>
        </is>
      </c>
      <c r="G1746" t="inlineStr">
        <is>
          <t>02</t>
        </is>
      </c>
      <c r="H1746" t="inlineStr">
        <is>
          <t>06 KG</t>
        </is>
      </c>
      <c r="I1746" t="inlineStr">
        <is>
          <t>2028</t>
        </is>
      </c>
      <c r="J1746" t="n">
        <v>2010</v>
      </c>
      <c r="K1746" t="inlineStr">
        <is>
          <t>MAYO 2024</t>
        </is>
      </c>
      <c r="L1746" t="inlineStr">
        <is>
          <t>MAYO 2025</t>
        </is>
      </c>
      <c r="M1746" t="inlineStr">
        <is>
          <t>P.Q.S TIPO ABC AL 90 % NACIONAL</t>
        </is>
      </c>
      <c r="N1746" t="inlineStr">
        <is>
          <t>343 / 000597</t>
        </is>
      </c>
      <c r="O1746" t="inlineStr">
        <is>
          <t>R</t>
        </is>
      </c>
      <c r="P1746">
        <f>TRIM(N1746)</f>
        <v/>
      </c>
    </row>
    <row r="1747">
      <c r="A1747" t="inlineStr">
        <is>
          <t>CO-001920</t>
        </is>
      </c>
      <c r="B1747" t="inlineStr">
        <is>
          <t>PERU MASIVO S.A.</t>
        </is>
      </c>
      <c r="C1747" t="inlineStr">
        <is>
          <t>20492392031</t>
        </is>
      </c>
      <c r="D1747" t="inlineStr">
        <is>
          <t>AV. LOS INCAS CDRA. 4 PATIO NORTE - COMAS</t>
        </is>
      </c>
      <c r="E1747" t="inlineStr">
        <is>
          <t>Lima, 29 de Mayo de 2024</t>
        </is>
      </c>
      <c r="F1747" t="inlineStr">
        <is>
          <t>la Recarga y mantenimiento</t>
        </is>
      </c>
      <c r="G1747" t="inlineStr">
        <is>
          <t>03</t>
        </is>
      </c>
      <c r="H1747" t="inlineStr">
        <is>
          <t>06 KG</t>
        </is>
      </c>
      <c r="I1747" t="inlineStr">
        <is>
          <t>2028</t>
        </is>
      </c>
      <c r="J1747" t="n">
        <v>2009</v>
      </c>
      <c r="K1747" t="inlineStr">
        <is>
          <t>MAYO 2024</t>
        </is>
      </c>
      <c r="L1747" t="inlineStr">
        <is>
          <t>MAYO 2025</t>
        </is>
      </c>
      <c r="M1747" t="inlineStr">
        <is>
          <t>P.Q.S TIPO ABC AL 90 % NACIONAL</t>
        </is>
      </c>
      <c r="N1747" t="inlineStr">
        <is>
          <t>311 / 001700</t>
        </is>
      </c>
      <c r="O1747" t="inlineStr">
        <is>
          <t>R</t>
        </is>
      </c>
      <c r="P1747">
        <f>TRIM(N1747)</f>
        <v/>
      </c>
    </row>
    <row r="1748">
      <c r="A1748" t="inlineStr">
        <is>
          <t>CO-001920</t>
        </is>
      </c>
      <c r="B1748" t="inlineStr">
        <is>
          <t>PERU MASIVO S.A.</t>
        </is>
      </c>
      <c r="C1748" t="inlineStr">
        <is>
          <t>20492392031</t>
        </is>
      </c>
      <c r="D1748" t="inlineStr">
        <is>
          <t>AV. LOS INCAS CDRA. 4 PATIO NORTE - COMAS</t>
        </is>
      </c>
      <c r="E1748" t="inlineStr">
        <is>
          <t>Lima, 29 de Mayo de 2024</t>
        </is>
      </c>
      <c r="F1748" t="inlineStr">
        <is>
          <t>la Recarga y mantenimiento</t>
        </is>
      </c>
      <c r="G1748" t="inlineStr">
        <is>
          <t>04</t>
        </is>
      </c>
      <c r="H1748" t="inlineStr">
        <is>
          <t>06 KG</t>
        </is>
      </c>
      <c r="I1748" t="inlineStr">
        <is>
          <t>2028</t>
        </is>
      </c>
      <c r="J1748" t="n">
        <v>2009</v>
      </c>
      <c r="K1748" t="inlineStr">
        <is>
          <t>MAYO 2024</t>
        </is>
      </c>
      <c r="L1748" t="inlineStr">
        <is>
          <t>MAYO 2025</t>
        </is>
      </c>
      <c r="M1748" t="inlineStr">
        <is>
          <t>P.Q.S TIPO ABC AL 90 % NACIONAL</t>
        </is>
      </c>
      <c r="N1748" t="inlineStr">
        <is>
          <t>352 / 001485</t>
        </is>
      </c>
      <c r="O1748" t="inlineStr">
        <is>
          <t>R</t>
        </is>
      </c>
      <c r="P1748">
        <f>TRIM(N1748)</f>
        <v/>
      </c>
    </row>
    <row r="1749">
      <c r="A1749" t="inlineStr">
        <is>
          <t>CO-001920</t>
        </is>
      </c>
      <c r="B1749" t="inlineStr">
        <is>
          <t>PERU MASIVO S.A.</t>
        </is>
      </c>
      <c r="C1749" t="inlineStr">
        <is>
          <t>20492392031</t>
        </is>
      </c>
      <c r="D1749" t="inlineStr">
        <is>
          <t>AV. LOS INCAS CDRA. 4 PATIO NORTE - COMAS</t>
        </is>
      </c>
      <c r="E1749" t="inlineStr">
        <is>
          <t>Lima, 29 de Mayo de 2024</t>
        </is>
      </c>
      <c r="F1749" t="inlineStr">
        <is>
          <t>la Recarga y mantenimiento</t>
        </is>
      </c>
      <c r="G1749" t="inlineStr">
        <is>
          <t>05</t>
        </is>
      </c>
      <c r="H1749" t="inlineStr">
        <is>
          <t>06 KG</t>
        </is>
      </c>
      <c r="I1749" t="inlineStr">
        <is>
          <t>2028</t>
        </is>
      </c>
      <c r="J1749" t="n">
        <v>2009</v>
      </c>
      <c r="K1749" t="inlineStr">
        <is>
          <t>MAYO 2024</t>
        </is>
      </c>
      <c r="L1749" t="inlineStr">
        <is>
          <t>MAYO 2025</t>
        </is>
      </c>
      <c r="M1749" t="inlineStr">
        <is>
          <t>P.Q.S TIPO ABC AL 90 % NACIONAL</t>
        </is>
      </c>
      <c r="N1749" t="inlineStr">
        <is>
          <t>08 / 002715</t>
        </is>
      </c>
      <c r="O1749" t="inlineStr">
        <is>
          <t>R</t>
        </is>
      </c>
      <c r="P1749">
        <f>TRIM(N1749)</f>
        <v/>
      </c>
    </row>
    <row r="1750">
      <c r="A1750" t="inlineStr">
        <is>
          <t>CO-001920</t>
        </is>
      </c>
      <c r="B1750" t="inlineStr">
        <is>
          <t>PERU MASIVO S.A.</t>
        </is>
      </c>
      <c r="C1750" t="inlineStr">
        <is>
          <t>20492392031</t>
        </is>
      </c>
      <c r="D1750" t="inlineStr">
        <is>
          <t>AV. LOS INCAS CDRA. 4 PATIO NORTE - COMAS</t>
        </is>
      </c>
      <c r="E1750" t="inlineStr">
        <is>
          <t>Lima, 29 de Mayo de 2024</t>
        </is>
      </c>
      <c r="F1750" t="inlineStr">
        <is>
          <t>la Recarga y mantenimiento</t>
        </is>
      </c>
      <c r="G1750" t="inlineStr">
        <is>
          <t>06</t>
        </is>
      </c>
      <c r="H1750" t="inlineStr">
        <is>
          <t>06 KG</t>
        </is>
      </c>
      <c r="I1750" t="inlineStr">
        <is>
          <t>2028</t>
        </is>
      </c>
      <c r="J1750" t="n">
        <v>2010</v>
      </c>
      <c r="K1750" t="inlineStr">
        <is>
          <t>MAYO 2024</t>
        </is>
      </c>
      <c r="L1750" t="inlineStr">
        <is>
          <t>MAYO 2025</t>
        </is>
      </c>
      <c r="M1750" t="inlineStr">
        <is>
          <t>P.Q.S TIPO ABC AL 90 % NACIONAL</t>
        </is>
      </c>
      <c r="N1750" t="inlineStr">
        <is>
          <t>206 / 001475</t>
        </is>
      </c>
      <c r="O1750" t="inlineStr">
        <is>
          <t>R</t>
        </is>
      </c>
      <c r="P1750">
        <f>TRIM(N1750)</f>
        <v/>
      </c>
    </row>
    <row r="1751">
      <c r="A1751" t="inlineStr">
        <is>
          <t>CO-001920</t>
        </is>
      </c>
      <c r="B1751" t="inlineStr">
        <is>
          <t>PERU MASIVO S.A.</t>
        </is>
      </c>
      <c r="C1751" t="inlineStr">
        <is>
          <t>20492392031</t>
        </is>
      </c>
      <c r="D1751" t="inlineStr">
        <is>
          <t>AV. LOS INCAS CDRA. 4 PATIO NORTE - COMAS</t>
        </is>
      </c>
      <c r="E1751" t="inlineStr">
        <is>
          <t>Lima, 29 de Mayo de 2024</t>
        </is>
      </c>
      <c r="F1751" t="inlineStr">
        <is>
          <t>la Recarga y mantenimiento</t>
        </is>
      </c>
      <c r="G1751" t="inlineStr">
        <is>
          <t>07</t>
        </is>
      </c>
      <c r="H1751" t="inlineStr">
        <is>
          <t>06 KG</t>
        </is>
      </c>
      <c r="I1751" t="inlineStr">
        <is>
          <t>2028</t>
        </is>
      </c>
      <c r="J1751" t="n">
        <v>2009</v>
      </c>
      <c r="K1751" t="inlineStr">
        <is>
          <t>MAYO 2024</t>
        </is>
      </c>
      <c r="L1751" t="inlineStr">
        <is>
          <t>MAYO 2025</t>
        </is>
      </c>
      <c r="M1751" t="inlineStr">
        <is>
          <t>P.Q.S TIPO ABC AL 90 % NACIONAL</t>
        </is>
      </c>
      <c r="N1751" t="inlineStr">
        <is>
          <t>287 / 000680</t>
        </is>
      </c>
      <c r="O1751" t="inlineStr">
        <is>
          <t>R</t>
        </is>
      </c>
      <c r="P1751">
        <f>TRIM(N1751)</f>
        <v/>
      </c>
    </row>
    <row r="1752">
      <c r="A1752" t="inlineStr">
        <is>
          <t>CO-001920</t>
        </is>
      </c>
      <c r="B1752" t="inlineStr">
        <is>
          <t>PERU MASIVO S.A.</t>
        </is>
      </c>
      <c r="C1752" t="inlineStr">
        <is>
          <t>20492392031</t>
        </is>
      </c>
      <c r="D1752" t="inlineStr">
        <is>
          <t>AV. LOS INCAS CDRA. 4 PATIO NORTE - COMAS</t>
        </is>
      </c>
      <c r="E1752" t="inlineStr">
        <is>
          <t>Lima, 29 de Mayo de 2024</t>
        </is>
      </c>
      <c r="F1752" t="inlineStr">
        <is>
          <t>la Recarga y mantenimiento</t>
        </is>
      </c>
      <c r="G1752" t="inlineStr">
        <is>
          <t>08</t>
        </is>
      </c>
      <c r="H1752" t="inlineStr">
        <is>
          <t>06 KG</t>
        </is>
      </c>
      <c r="I1752" t="inlineStr">
        <is>
          <t>2029</t>
        </is>
      </c>
      <c r="J1752" t="n">
        <v>2019</v>
      </c>
      <c r="K1752" t="inlineStr">
        <is>
          <t>MAYO 2024</t>
        </is>
      </c>
      <c r="L1752" t="inlineStr">
        <is>
          <t>MAYO 2025</t>
        </is>
      </c>
      <c r="M1752" t="inlineStr">
        <is>
          <t>P.Q.S TIPO ABC AL 90 % NACIONAL</t>
        </is>
      </c>
      <c r="N1752" t="inlineStr">
        <is>
          <t>183 / 001640</t>
        </is>
      </c>
      <c r="O1752" t="inlineStr">
        <is>
          <t>R</t>
        </is>
      </c>
      <c r="P1752">
        <f>TRIM(N1752)</f>
        <v/>
      </c>
    </row>
    <row r="1753">
      <c r="A1753" t="inlineStr">
        <is>
          <t>CO-001920</t>
        </is>
      </c>
      <c r="B1753" t="inlineStr">
        <is>
          <t>PERU MASIVO S.A.</t>
        </is>
      </c>
      <c r="C1753" t="inlineStr">
        <is>
          <t>20492392031</t>
        </is>
      </c>
      <c r="D1753" t="inlineStr">
        <is>
          <t>AV. LOS INCAS CDRA. 4 PATIO NORTE - COMAS</t>
        </is>
      </c>
      <c r="E1753" t="inlineStr">
        <is>
          <t>Lima, 29 de Mayo de 2024</t>
        </is>
      </c>
      <c r="F1753" t="inlineStr">
        <is>
          <t>la Recarga y mantenimiento</t>
        </is>
      </c>
      <c r="G1753" t="inlineStr">
        <is>
          <t>09</t>
        </is>
      </c>
      <c r="H1753" t="inlineStr">
        <is>
          <t>06 KG</t>
        </is>
      </c>
      <c r="I1753" t="inlineStr">
        <is>
          <t>2028</t>
        </is>
      </c>
      <c r="J1753" t="n">
        <v>2009</v>
      </c>
      <c r="K1753" t="inlineStr">
        <is>
          <t>MAYO 2024</t>
        </is>
      </c>
      <c r="L1753" t="inlineStr">
        <is>
          <t>MAYO 2025</t>
        </is>
      </c>
      <c r="M1753" t="inlineStr">
        <is>
          <t>P.Q.S TIPO ABC AL 90 % NACIONAL</t>
        </is>
      </c>
      <c r="N1753" t="inlineStr">
        <is>
          <t>324 / 002625</t>
        </is>
      </c>
      <c r="O1753" t="inlineStr">
        <is>
          <t>R</t>
        </is>
      </c>
      <c r="P1753">
        <f>TRIM(N1753)</f>
        <v/>
      </c>
    </row>
    <row r="1754">
      <c r="A1754" t="inlineStr">
        <is>
          <t>CO-001920</t>
        </is>
      </c>
      <c r="B1754" t="inlineStr">
        <is>
          <t>PERU MASIVO S.A.</t>
        </is>
      </c>
      <c r="C1754" t="inlineStr">
        <is>
          <t>20492392031</t>
        </is>
      </c>
      <c r="D1754" t="inlineStr">
        <is>
          <t>AV. LOS INCAS CDRA. 4 PATIO NORTE - COMAS</t>
        </is>
      </c>
      <c r="E1754" t="inlineStr">
        <is>
          <t>Lima, 29 de Mayo de 2024</t>
        </is>
      </c>
      <c r="F1754" t="inlineStr">
        <is>
          <t>la Recarga y mantenimiento</t>
        </is>
      </c>
      <c r="G1754" t="n">
        <v>10</v>
      </c>
      <c r="H1754" t="inlineStr">
        <is>
          <t>06 KG</t>
        </is>
      </c>
      <c r="I1754" t="inlineStr">
        <is>
          <t>2028</t>
        </is>
      </c>
      <c r="J1754" t="n">
        <v>2010</v>
      </c>
      <c r="K1754" t="inlineStr">
        <is>
          <t>MAYO 2024</t>
        </is>
      </c>
      <c r="L1754" t="inlineStr">
        <is>
          <t>MAYO 2025</t>
        </is>
      </c>
      <c r="M1754" t="inlineStr">
        <is>
          <t>P.Q.S TIPO ABC AL 90 % NACIONAL</t>
        </is>
      </c>
      <c r="N1754" t="inlineStr">
        <is>
          <t>307 / 000138</t>
        </is>
      </c>
      <c r="O1754" t="inlineStr">
        <is>
          <t>R</t>
        </is>
      </c>
      <c r="P1754">
        <f>TRIM(N1754)</f>
        <v/>
      </c>
    </row>
    <row r="1755">
      <c r="A1755" t="inlineStr">
        <is>
          <t>CO-001920</t>
        </is>
      </c>
      <c r="B1755" t="inlineStr">
        <is>
          <t>PERU MASIVO S.A.</t>
        </is>
      </c>
      <c r="C1755" t="inlineStr">
        <is>
          <t>20492392031</t>
        </is>
      </c>
      <c r="D1755" t="inlineStr">
        <is>
          <t>AV. LOS INCAS CDRA. 4 PATIO NORTE - COMAS</t>
        </is>
      </c>
      <c r="E1755" t="inlineStr">
        <is>
          <t>Lima, 29 de Mayo de 2024</t>
        </is>
      </c>
      <c r="F1755" t="inlineStr">
        <is>
          <t>la Recarga y mantenimiento</t>
        </is>
      </c>
      <c r="G1755" t="n">
        <v>11</v>
      </c>
      <c r="H1755" t="inlineStr">
        <is>
          <t>06 KG</t>
        </is>
      </c>
      <c r="I1755" t="inlineStr">
        <is>
          <t>2028</t>
        </is>
      </c>
      <c r="J1755" t="n">
        <v>2010</v>
      </c>
      <c r="K1755" t="inlineStr">
        <is>
          <t>MAYO 2024</t>
        </is>
      </c>
      <c r="L1755" t="inlineStr">
        <is>
          <t>MAYO 2025</t>
        </is>
      </c>
      <c r="M1755" t="inlineStr">
        <is>
          <t>P.Q.S TIPO ABC AL 90 % NACIONAL</t>
        </is>
      </c>
      <c r="N1755" t="inlineStr">
        <is>
          <t>253 / 000611</t>
        </is>
      </c>
      <c r="O1755" t="inlineStr">
        <is>
          <t>R</t>
        </is>
      </c>
      <c r="P1755">
        <f>TRIM(N1755)</f>
        <v/>
      </c>
    </row>
    <row r="1756">
      <c r="A1756" t="inlineStr">
        <is>
          <t>CO-001920</t>
        </is>
      </c>
      <c r="B1756" t="inlineStr">
        <is>
          <t>PERU MASIVO S.A.</t>
        </is>
      </c>
      <c r="C1756" t="inlineStr">
        <is>
          <t>20492392031</t>
        </is>
      </c>
      <c r="D1756" t="inlineStr">
        <is>
          <t>AV. LOS INCAS CDRA. 4 PATIO NORTE - COMAS</t>
        </is>
      </c>
      <c r="E1756" t="inlineStr">
        <is>
          <t>Lima, 29 de Mayo de 2024</t>
        </is>
      </c>
      <c r="F1756" t="inlineStr">
        <is>
          <t>la Recarga y mantenimiento</t>
        </is>
      </c>
      <c r="G1756" t="n">
        <v>12</v>
      </c>
      <c r="H1756" t="inlineStr">
        <is>
          <t>06 KG</t>
        </is>
      </c>
      <c r="I1756" t="inlineStr">
        <is>
          <t>2028</t>
        </is>
      </c>
      <c r="J1756" t="n">
        <v>2010</v>
      </c>
      <c r="K1756" t="inlineStr">
        <is>
          <t>MAYO 2024</t>
        </is>
      </c>
      <c r="L1756" t="inlineStr">
        <is>
          <t>MAYO 2025</t>
        </is>
      </c>
      <c r="M1756" t="inlineStr">
        <is>
          <t>P.Q.S TIPO ABC AL 90 % NACIONAL</t>
        </is>
      </c>
      <c r="N1756" t="inlineStr">
        <is>
          <t>103 / 000245</t>
        </is>
      </c>
      <c r="O1756" t="inlineStr">
        <is>
          <t>R</t>
        </is>
      </c>
      <c r="P1756">
        <f>TRIM(N1756)</f>
        <v/>
      </c>
    </row>
    <row r="1757">
      <c r="A1757" t="inlineStr">
        <is>
          <t>CO-001920</t>
        </is>
      </c>
      <c r="B1757" t="inlineStr">
        <is>
          <t>PERU MASIVO S.A.</t>
        </is>
      </c>
      <c r="C1757" t="inlineStr">
        <is>
          <t>20492392031</t>
        </is>
      </c>
      <c r="D1757" t="inlineStr">
        <is>
          <t>AV. LOS INCAS CDRA. 4 PATIO NORTE - COMAS</t>
        </is>
      </c>
      <c r="E1757" t="inlineStr">
        <is>
          <t>Lima, 29 de Mayo de 2024</t>
        </is>
      </c>
      <c r="F1757" t="inlineStr">
        <is>
          <t>la Recarga y mantenimiento</t>
        </is>
      </c>
      <c r="G1757" t="n">
        <v>13</v>
      </c>
      <c r="H1757" t="inlineStr">
        <is>
          <t>06 KG</t>
        </is>
      </c>
      <c r="I1757" t="inlineStr">
        <is>
          <t>2028</t>
        </is>
      </c>
      <c r="J1757" t="n">
        <v>2015</v>
      </c>
      <c r="K1757" t="inlineStr">
        <is>
          <t>MAYO 2024</t>
        </is>
      </c>
      <c r="L1757" t="inlineStr">
        <is>
          <t>MAYO 2025</t>
        </is>
      </c>
      <c r="M1757" t="inlineStr">
        <is>
          <t>P.Q.S TIPO ABC AL 90 % NACIONAL</t>
        </is>
      </c>
      <c r="N1757" t="inlineStr">
        <is>
          <t>184 / 000689</t>
        </is>
      </c>
      <c r="O1757" t="inlineStr">
        <is>
          <t>R</t>
        </is>
      </c>
      <c r="P1757">
        <f>TRIM(N1757)</f>
        <v/>
      </c>
    </row>
    <row r="1758">
      <c r="A1758" t="inlineStr">
        <is>
          <t>CO-001921</t>
        </is>
      </c>
      <c r="B1758" t="inlineStr">
        <is>
          <t>PERU MASIVO S.A.</t>
        </is>
      </c>
      <c r="C1758" t="inlineStr">
        <is>
          <t>20492392031</t>
        </is>
      </c>
      <c r="D1758" t="inlineStr">
        <is>
          <t>AV. LOS INCAS CDRA. 4 PATIO NORTE - COMAS</t>
        </is>
      </c>
      <c r="E1758" t="inlineStr">
        <is>
          <t>Lima, 30 de Mayo de 2024</t>
        </is>
      </c>
      <c r="F1758" t="inlineStr">
        <is>
          <t>la Recarga y mantenimiento</t>
        </is>
      </c>
      <c r="G1758" t="inlineStr">
        <is>
          <t>01</t>
        </is>
      </c>
      <c r="H1758" t="inlineStr">
        <is>
          <t>06 KG</t>
        </is>
      </c>
      <c r="I1758" t="inlineStr">
        <is>
          <t>2028</t>
        </is>
      </c>
      <c r="J1758" t="n">
        <v>2010</v>
      </c>
      <c r="K1758" t="inlineStr">
        <is>
          <t>MAYO 2024</t>
        </is>
      </c>
      <c r="L1758" t="inlineStr">
        <is>
          <t>MAYO 2025</t>
        </is>
      </c>
      <c r="M1758" t="inlineStr">
        <is>
          <t>P.Q.S TIPO ABC AL 90 % NACIONAL</t>
        </is>
      </c>
      <c r="N1758" t="inlineStr">
        <is>
          <t>350 / 001026</t>
        </is>
      </c>
      <c r="O1758" t="inlineStr">
        <is>
          <t>R</t>
        </is>
      </c>
      <c r="P1758">
        <f>TRIM(N1758)</f>
        <v/>
      </c>
    </row>
    <row r="1759">
      <c r="A1759" t="inlineStr">
        <is>
          <t>CO-001921</t>
        </is>
      </c>
      <c r="B1759" t="inlineStr">
        <is>
          <t>PERU MASIVO S.A.</t>
        </is>
      </c>
      <c r="C1759" t="inlineStr">
        <is>
          <t>20492392031</t>
        </is>
      </c>
      <c r="D1759" t="inlineStr">
        <is>
          <t>AV. LOS INCAS CDRA. 4 PATIO NORTE - COMAS</t>
        </is>
      </c>
      <c r="E1759" t="inlineStr">
        <is>
          <t>Lima, 30 de Mayo de 2024</t>
        </is>
      </c>
      <c r="F1759" t="inlineStr">
        <is>
          <t>la Recarga y mantenimiento</t>
        </is>
      </c>
      <c r="G1759" t="inlineStr">
        <is>
          <t>02</t>
        </is>
      </c>
      <c r="H1759" t="inlineStr">
        <is>
          <t>06 KG</t>
        </is>
      </c>
      <c r="I1759" t="inlineStr">
        <is>
          <t>2028</t>
        </is>
      </c>
      <c r="J1759" t="n">
        <v>2015</v>
      </c>
      <c r="K1759" t="inlineStr">
        <is>
          <t>MAYO 2024</t>
        </is>
      </c>
      <c r="L1759" t="inlineStr">
        <is>
          <t>MAYO 2025</t>
        </is>
      </c>
      <c r="M1759" t="inlineStr">
        <is>
          <t>P.Q.S TIPO ABC AL 90 % NACIONAL</t>
        </is>
      </c>
      <c r="N1759" t="inlineStr">
        <is>
          <t>230 / 001201</t>
        </is>
      </c>
      <c r="O1759" t="inlineStr">
        <is>
          <t>R</t>
        </is>
      </c>
      <c r="P1759">
        <f>TRIM(N1759)</f>
        <v/>
      </c>
    </row>
    <row r="1760">
      <c r="A1760" t="inlineStr">
        <is>
          <t>CO-001921</t>
        </is>
      </c>
      <c r="B1760" t="inlineStr">
        <is>
          <t>PERU MASIVO S.A.</t>
        </is>
      </c>
      <c r="C1760" t="inlineStr">
        <is>
          <t>20492392031</t>
        </is>
      </c>
      <c r="D1760" t="inlineStr">
        <is>
          <t>AV. LOS INCAS CDRA. 4 PATIO NORTE - COMAS</t>
        </is>
      </c>
      <c r="E1760" t="inlineStr">
        <is>
          <t>Lima, 30 de Mayo de 2024</t>
        </is>
      </c>
      <c r="F1760" t="inlineStr">
        <is>
          <t>la Recarga y mantenimiento</t>
        </is>
      </c>
      <c r="G1760" t="inlineStr">
        <is>
          <t>03</t>
        </is>
      </c>
      <c r="H1760" t="inlineStr">
        <is>
          <t>06 KG</t>
        </is>
      </c>
      <c r="I1760" t="inlineStr">
        <is>
          <t>2028</t>
        </is>
      </c>
      <c r="J1760" t="n">
        <v>2010</v>
      </c>
      <c r="K1760" t="inlineStr">
        <is>
          <t>MAYO 2024</t>
        </is>
      </c>
      <c r="L1760" t="inlineStr">
        <is>
          <t>MAYO 2025</t>
        </is>
      </c>
      <c r="M1760" t="inlineStr">
        <is>
          <t>P.Q.S TIPO ABC AL 90 % NACIONAL</t>
        </is>
      </c>
      <c r="N1760" t="inlineStr">
        <is>
          <t>295 / 000704</t>
        </is>
      </c>
      <c r="O1760" t="inlineStr">
        <is>
          <t>R</t>
        </is>
      </c>
      <c r="P1760">
        <f>TRIM(N1760)</f>
        <v/>
      </c>
    </row>
    <row r="1761">
      <c r="A1761" t="inlineStr">
        <is>
          <t>CO-001921</t>
        </is>
      </c>
      <c r="B1761" t="inlineStr">
        <is>
          <t>PERU MASIVO S.A.</t>
        </is>
      </c>
      <c r="C1761" t="inlineStr">
        <is>
          <t>20492392031</t>
        </is>
      </c>
      <c r="D1761" t="inlineStr">
        <is>
          <t>AV. LOS INCAS CDRA. 4 PATIO NORTE - COMAS</t>
        </is>
      </c>
      <c r="E1761" t="inlineStr">
        <is>
          <t>Lima, 30 de Mayo de 2024</t>
        </is>
      </c>
      <c r="F1761" t="inlineStr">
        <is>
          <t>la Recarga y mantenimiento</t>
        </is>
      </c>
      <c r="G1761" t="inlineStr">
        <is>
          <t>04</t>
        </is>
      </c>
      <c r="H1761" t="inlineStr">
        <is>
          <t>06 KG</t>
        </is>
      </c>
      <c r="I1761" t="inlineStr">
        <is>
          <t>2028</t>
        </is>
      </c>
      <c r="J1761" t="n">
        <v>2010</v>
      </c>
      <c r="K1761" t="inlineStr">
        <is>
          <t>MAYO 2024</t>
        </is>
      </c>
      <c r="L1761" t="inlineStr">
        <is>
          <t>MAYO 2025</t>
        </is>
      </c>
      <c r="M1761" t="inlineStr">
        <is>
          <t>P.Q.S TIPO ABC AL 90 % NACIONAL</t>
        </is>
      </c>
      <c r="N1761" t="inlineStr">
        <is>
          <t>05 / 000257</t>
        </is>
      </c>
      <c r="O1761" t="inlineStr">
        <is>
          <t>R</t>
        </is>
      </c>
      <c r="P1761">
        <f>TRIM(N1761)</f>
        <v/>
      </c>
    </row>
    <row r="1762">
      <c r="A1762" t="inlineStr">
        <is>
          <t>CO-001921</t>
        </is>
      </c>
      <c r="B1762" t="inlineStr">
        <is>
          <t>PERU MASIVO S.A.</t>
        </is>
      </c>
      <c r="C1762" t="inlineStr">
        <is>
          <t>20492392031</t>
        </is>
      </c>
      <c r="D1762" t="inlineStr">
        <is>
          <t>AV. LOS INCAS CDRA. 4 PATIO NORTE - COMAS</t>
        </is>
      </c>
      <c r="E1762" t="inlineStr">
        <is>
          <t>Lima, 30 de Mayo de 2024</t>
        </is>
      </c>
      <c r="F1762" t="inlineStr">
        <is>
          <t>la Recarga y mantenimiento</t>
        </is>
      </c>
      <c r="G1762" t="inlineStr">
        <is>
          <t>05</t>
        </is>
      </c>
      <c r="H1762" t="inlineStr">
        <is>
          <t>06 KG</t>
        </is>
      </c>
      <c r="I1762" t="inlineStr">
        <is>
          <t>2028</t>
        </is>
      </c>
      <c r="J1762" t="n">
        <v>2015</v>
      </c>
      <c r="K1762" t="inlineStr">
        <is>
          <t>MAYO 2024</t>
        </is>
      </c>
      <c r="L1762" t="inlineStr">
        <is>
          <t>MAYO 2025</t>
        </is>
      </c>
      <c r="M1762" t="inlineStr">
        <is>
          <t>P.Q.S TIPO ABC AL 90 % NACIONAL</t>
        </is>
      </c>
      <c r="N1762" t="inlineStr">
        <is>
          <t>09 / 001999</t>
        </is>
      </c>
      <c r="O1762" t="inlineStr">
        <is>
          <t>R</t>
        </is>
      </c>
      <c r="P1762">
        <f>TRIM(N1762)</f>
        <v/>
      </c>
    </row>
    <row r="1763">
      <c r="A1763" t="inlineStr">
        <is>
          <t>CO-001921</t>
        </is>
      </c>
      <c r="B1763" t="inlineStr">
        <is>
          <t>PERU MASIVO S.A.</t>
        </is>
      </c>
      <c r="C1763" t="inlineStr">
        <is>
          <t>20492392031</t>
        </is>
      </c>
      <c r="D1763" t="inlineStr">
        <is>
          <t>AV. LOS INCAS CDRA. 4 PATIO NORTE - COMAS</t>
        </is>
      </c>
      <c r="E1763" t="inlineStr">
        <is>
          <t>Lima, 30 de Mayo de 2024</t>
        </is>
      </c>
      <c r="F1763" t="inlineStr">
        <is>
          <t>la Recarga y mantenimiento</t>
        </is>
      </c>
      <c r="G1763" t="inlineStr">
        <is>
          <t>06</t>
        </is>
      </c>
      <c r="H1763" t="inlineStr">
        <is>
          <t>06 KG</t>
        </is>
      </c>
      <c r="I1763" t="inlineStr">
        <is>
          <t>2028</t>
        </is>
      </c>
      <c r="J1763" t="n">
        <v>2009</v>
      </c>
      <c r="K1763" t="inlineStr">
        <is>
          <t>MAYO 2024</t>
        </is>
      </c>
      <c r="L1763" t="inlineStr">
        <is>
          <t>MAYO 2025</t>
        </is>
      </c>
      <c r="M1763" t="inlineStr">
        <is>
          <t>P.Q.S TIPO ABC AL 90 % NACIONAL</t>
        </is>
      </c>
      <c r="N1763" t="inlineStr">
        <is>
          <t>123 / 001622</t>
        </is>
      </c>
      <c r="O1763" t="inlineStr">
        <is>
          <t>R</t>
        </is>
      </c>
      <c r="P1763">
        <f>TRIM(N1763)</f>
        <v/>
      </c>
    </row>
    <row r="1764">
      <c r="A1764" t="inlineStr">
        <is>
          <t>CO-001921</t>
        </is>
      </c>
      <c r="B1764" t="inlineStr">
        <is>
          <t>PERU MASIVO S.A.</t>
        </is>
      </c>
      <c r="C1764" t="inlineStr">
        <is>
          <t>20492392031</t>
        </is>
      </c>
      <c r="D1764" t="inlineStr">
        <is>
          <t>AV. LOS INCAS CDRA. 4 PATIO NORTE - COMAS</t>
        </is>
      </c>
      <c r="E1764" t="inlineStr">
        <is>
          <t>Lima, 30 de Mayo de 2024</t>
        </is>
      </c>
      <c r="F1764" t="inlineStr">
        <is>
          <t>la Recarga y mantenimiento</t>
        </is>
      </c>
      <c r="G1764" t="inlineStr">
        <is>
          <t>07</t>
        </is>
      </c>
      <c r="H1764" t="inlineStr">
        <is>
          <t>06 KG</t>
        </is>
      </c>
      <c r="I1764" t="inlineStr">
        <is>
          <t>2028</t>
        </is>
      </c>
      <c r="J1764" t="n">
        <v>2015</v>
      </c>
      <c r="K1764" t="inlineStr">
        <is>
          <t>MAYO 2024</t>
        </is>
      </c>
      <c r="L1764" t="inlineStr">
        <is>
          <t>MAYO 2025</t>
        </is>
      </c>
      <c r="M1764" t="inlineStr">
        <is>
          <t>P.Q.S TIPO ABC AL 90 % NACIONAL</t>
        </is>
      </c>
      <c r="N1764" t="inlineStr">
        <is>
          <t>19 / 000915</t>
        </is>
      </c>
      <c r="O1764" t="inlineStr">
        <is>
          <t>R</t>
        </is>
      </c>
      <c r="P1764">
        <f>TRIM(N1764)</f>
        <v/>
      </c>
    </row>
    <row r="1765">
      <c r="A1765" t="inlineStr">
        <is>
          <t>CO-001921</t>
        </is>
      </c>
      <c r="B1765" t="inlineStr">
        <is>
          <t>PERU MASIVO S.A.</t>
        </is>
      </c>
      <c r="C1765" t="inlineStr">
        <is>
          <t>20492392031</t>
        </is>
      </c>
      <c r="D1765" t="inlineStr">
        <is>
          <t>AV. LOS INCAS CDRA. 4 PATIO NORTE - COMAS</t>
        </is>
      </c>
      <c r="E1765" t="inlineStr">
        <is>
          <t>Lima, 30 de Mayo de 2024</t>
        </is>
      </c>
      <c r="F1765" t="inlineStr">
        <is>
          <t>la Recarga y mantenimiento</t>
        </is>
      </c>
      <c r="G1765" t="inlineStr">
        <is>
          <t>08</t>
        </is>
      </c>
      <c r="H1765" t="inlineStr">
        <is>
          <t>06 KG</t>
        </is>
      </c>
      <c r="I1765" t="inlineStr">
        <is>
          <t>2028</t>
        </is>
      </c>
      <c r="J1765" t="n">
        <v>2013</v>
      </c>
      <c r="K1765" t="inlineStr">
        <is>
          <t>MAYO 2024</t>
        </is>
      </c>
      <c r="L1765" t="inlineStr">
        <is>
          <t>MAYO 2025</t>
        </is>
      </c>
      <c r="M1765" t="inlineStr">
        <is>
          <t>P.Q.S TIPO ABC AL 90 % NACIONAL</t>
        </is>
      </c>
      <c r="N1765" t="inlineStr">
        <is>
          <t>132 / 001015</t>
        </is>
      </c>
      <c r="O1765" t="inlineStr">
        <is>
          <t>R</t>
        </is>
      </c>
      <c r="P1765">
        <f>TRIM(N1765)</f>
        <v/>
      </c>
    </row>
    <row r="1766">
      <c r="A1766" t="inlineStr">
        <is>
          <t>CO-001921</t>
        </is>
      </c>
      <c r="B1766" t="inlineStr">
        <is>
          <t>PERU MASIVO S.A.</t>
        </is>
      </c>
      <c r="C1766" t="inlineStr">
        <is>
          <t>20492392031</t>
        </is>
      </c>
      <c r="D1766" t="inlineStr">
        <is>
          <t>AV. LOS INCAS CDRA. 4 PATIO NORTE - COMAS</t>
        </is>
      </c>
      <c r="E1766" t="inlineStr">
        <is>
          <t>Lima, 30 de Mayo de 2024</t>
        </is>
      </c>
      <c r="F1766" t="inlineStr">
        <is>
          <t>la Recarga y mantenimiento</t>
        </is>
      </c>
      <c r="G1766" t="inlineStr">
        <is>
          <t>09</t>
        </is>
      </c>
      <c r="H1766" t="inlineStr">
        <is>
          <t>06 KG</t>
        </is>
      </c>
      <c r="I1766" t="inlineStr">
        <is>
          <t>2028</t>
        </is>
      </c>
      <c r="J1766" t="n">
        <v>2010</v>
      </c>
      <c r="K1766" t="inlineStr">
        <is>
          <t>MAYO 2024</t>
        </is>
      </c>
      <c r="L1766" t="inlineStr">
        <is>
          <t>MAYO 2025</t>
        </is>
      </c>
      <c r="M1766" t="inlineStr">
        <is>
          <t>P.Q.S TIPO ABC AL 90 % NACIONAL</t>
        </is>
      </c>
      <c r="N1766" t="inlineStr">
        <is>
          <t>319 / 000923</t>
        </is>
      </c>
      <c r="O1766" t="inlineStr">
        <is>
          <t>R</t>
        </is>
      </c>
      <c r="P1766">
        <f>TRIM(N1766)</f>
        <v/>
      </c>
    </row>
    <row r="1767">
      <c r="A1767" t="inlineStr">
        <is>
          <t>CO-001921</t>
        </is>
      </c>
      <c r="B1767" t="inlineStr">
        <is>
          <t>PERU MASIVO S.A.</t>
        </is>
      </c>
      <c r="C1767" t="inlineStr">
        <is>
          <t>20492392031</t>
        </is>
      </c>
      <c r="D1767" t="inlineStr">
        <is>
          <t>AV. LOS INCAS CDRA. 4 PATIO NORTE - COMAS</t>
        </is>
      </c>
      <c r="E1767" t="inlineStr">
        <is>
          <t>Lima, 30 de Mayo de 2024</t>
        </is>
      </c>
      <c r="F1767" t="inlineStr">
        <is>
          <t>la Recarga y mantenimiento</t>
        </is>
      </c>
      <c r="G1767" t="n">
        <v>10</v>
      </c>
      <c r="H1767" t="inlineStr">
        <is>
          <t>06 KG</t>
        </is>
      </c>
      <c r="I1767" t="inlineStr">
        <is>
          <t>2028</t>
        </is>
      </c>
      <c r="J1767" t="n">
        <v>2010</v>
      </c>
      <c r="K1767" t="inlineStr">
        <is>
          <t>MAYO 2024</t>
        </is>
      </c>
      <c r="L1767" t="inlineStr">
        <is>
          <t>MAYO 2025</t>
        </is>
      </c>
      <c r="M1767" t="inlineStr">
        <is>
          <t>P.Q.S TIPO ABC AL 90 % NACIONAL</t>
        </is>
      </c>
      <c r="N1767" t="inlineStr">
        <is>
          <t>113 / 000005</t>
        </is>
      </c>
      <c r="O1767" t="inlineStr">
        <is>
          <t>R</t>
        </is>
      </c>
      <c r="P1767">
        <f>TRIM(N1767)</f>
        <v/>
      </c>
    </row>
    <row r="1768">
      <c r="A1768" t="inlineStr">
        <is>
          <t>CO-001921</t>
        </is>
      </c>
      <c r="B1768" t="inlineStr">
        <is>
          <t>PERU MASIVO S.A.</t>
        </is>
      </c>
      <c r="C1768" t="inlineStr">
        <is>
          <t>20492392031</t>
        </is>
      </c>
      <c r="D1768" t="inlineStr">
        <is>
          <t>AV. LOS INCAS CDRA. 4 PATIO NORTE - COMAS</t>
        </is>
      </c>
      <c r="E1768" t="inlineStr">
        <is>
          <t>Lima, 30 de Mayo de 2024</t>
        </is>
      </c>
      <c r="F1768" t="inlineStr">
        <is>
          <t>la Recarga y mantenimiento</t>
        </is>
      </c>
      <c r="G1768" t="n">
        <v>11</v>
      </c>
      <c r="H1768" t="inlineStr">
        <is>
          <t>06 KG</t>
        </is>
      </c>
      <c r="I1768" t="inlineStr">
        <is>
          <t>2028</t>
        </is>
      </c>
      <c r="J1768" t="n">
        <v>2010</v>
      </c>
      <c r="K1768" t="inlineStr">
        <is>
          <t>MAYO 2024</t>
        </is>
      </c>
      <c r="L1768" t="inlineStr">
        <is>
          <t>MAYO 2025</t>
        </is>
      </c>
      <c r="M1768" t="inlineStr">
        <is>
          <t>P.Q.S TIPO ABC AL 90 % NACIONAL</t>
        </is>
      </c>
      <c r="N1768" t="inlineStr">
        <is>
          <t>238 / 000534</t>
        </is>
      </c>
      <c r="O1768" t="inlineStr">
        <is>
          <t>R</t>
        </is>
      </c>
      <c r="P1768">
        <f>TRIM(N1768)</f>
        <v/>
      </c>
    </row>
    <row r="1769">
      <c r="A1769" t="inlineStr">
        <is>
          <t>CO-001921</t>
        </is>
      </c>
      <c r="B1769" t="inlineStr">
        <is>
          <t>PERU MASIVO S.A.</t>
        </is>
      </c>
      <c r="C1769" t="inlineStr">
        <is>
          <t>20492392031</t>
        </is>
      </c>
      <c r="D1769" t="inlineStr">
        <is>
          <t>AV. LOS INCAS CDRA. 4 PATIO NORTE - COMAS</t>
        </is>
      </c>
      <c r="E1769" t="inlineStr">
        <is>
          <t>Lima, 30 de Mayo de 2024</t>
        </is>
      </c>
      <c r="F1769" t="inlineStr">
        <is>
          <t>la Recarga y mantenimiento</t>
        </is>
      </c>
      <c r="G1769" t="n">
        <v>12</v>
      </c>
      <c r="H1769" t="inlineStr">
        <is>
          <t>06 KG</t>
        </is>
      </c>
      <c r="I1769" t="inlineStr">
        <is>
          <t>2028</t>
        </is>
      </c>
      <c r="J1769" t="n">
        <v>2010</v>
      </c>
      <c r="K1769" t="inlineStr">
        <is>
          <t>MAYO 2024</t>
        </is>
      </c>
      <c r="L1769" t="inlineStr">
        <is>
          <t>MAYO 2025</t>
        </is>
      </c>
      <c r="M1769" t="inlineStr">
        <is>
          <t>P.Q.S TIPO ABC AL 90 % NACIONAL</t>
        </is>
      </c>
      <c r="N1769" t="inlineStr">
        <is>
          <t>285 / 000802</t>
        </is>
      </c>
      <c r="O1769" t="inlineStr">
        <is>
          <t>R</t>
        </is>
      </c>
      <c r="P1769">
        <f>TRIM(N1769)</f>
        <v/>
      </c>
    </row>
    <row r="1770">
      <c r="A1770" t="inlineStr">
        <is>
          <t>CO-001922</t>
        </is>
      </c>
      <c r="B1770" t="inlineStr">
        <is>
          <t>Transportes Stark sac</t>
        </is>
      </c>
      <c r="C1770" t="inlineStr">
        <is>
          <t>20606725664</t>
        </is>
      </c>
      <c r="D1770" t="inlineStr">
        <is>
          <t>CAL. 58 MZ. E3 LT. 09 A URB. EL PINAR PARCELA 01 COMAS - LIMA</t>
        </is>
      </c>
      <c r="E1770" t="inlineStr">
        <is>
          <t>Lima, 30 de Mayo de 2024</t>
        </is>
      </c>
      <c r="F1770" t="inlineStr">
        <is>
          <t>la Recarga y mantenimiento</t>
        </is>
      </c>
      <c r="G1770" t="inlineStr">
        <is>
          <t>01</t>
        </is>
      </c>
      <c r="H1770" t="inlineStr">
        <is>
          <t>09 KG</t>
        </is>
      </c>
      <c r="I1770" t="inlineStr">
        <is>
          <t>2025</t>
        </is>
      </c>
      <c r="J1770" t="n">
        <v>2020</v>
      </c>
      <c r="K1770" t="inlineStr">
        <is>
          <t>MAYO 2024</t>
        </is>
      </c>
      <c r="L1770" t="inlineStr">
        <is>
          <t>MAYO 2025</t>
        </is>
      </c>
      <c r="M1770" t="inlineStr">
        <is>
          <t>P.Q.S TIPO ABC</t>
        </is>
      </c>
      <c r="N1770" t="inlineStr">
        <is>
          <t>000232</t>
        </is>
      </c>
      <c r="O1770" t="inlineStr">
        <is>
          <t>R</t>
        </is>
      </c>
      <c r="P1770">
        <f>TRIM(N1770)</f>
        <v/>
      </c>
    </row>
    <row r="1771">
      <c r="A1771" t="inlineStr">
        <is>
          <t>CO-001923</t>
        </is>
      </c>
      <c r="B1771" t="inlineStr">
        <is>
          <t>OSCAR CORDOVA</t>
        </is>
      </c>
      <c r="C1771" t="inlineStr">
        <is>
          <t>4315384</t>
        </is>
      </c>
      <c r="D1771" t="inlineStr">
        <is>
          <t>PLACA: A6E - 964</t>
        </is>
      </c>
      <c r="E1771" t="inlineStr">
        <is>
          <t>Lima, 30 de Mayo de 2024</t>
        </is>
      </c>
      <c r="F1771" t="inlineStr">
        <is>
          <t>la Recarga y mantenimiento</t>
        </is>
      </c>
      <c r="G1771" t="inlineStr">
        <is>
          <t>01</t>
        </is>
      </c>
      <c r="H1771" t="inlineStr">
        <is>
          <t>06 KG</t>
        </is>
      </c>
      <c r="I1771" t="inlineStr">
        <is>
          <t>2025</t>
        </is>
      </c>
      <c r="J1771" t="n">
        <v>2020</v>
      </c>
      <c r="K1771" t="inlineStr">
        <is>
          <t>MAYO 2024</t>
        </is>
      </c>
      <c r="L1771" t="inlineStr">
        <is>
          <t>MAYO 2025</t>
        </is>
      </c>
      <c r="M1771" t="inlineStr">
        <is>
          <t>P.Q.S TIPO ABC</t>
        </is>
      </c>
      <c r="N1771" t="inlineStr">
        <is>
          <t>002473</t>
        </is>
      </c>
      <c r="O1771" t="inlineStr">
        <is>
          <t>R</t>
        </is>
      </c>
      <c r="P1771">
        <f>TRIM(N1771)</f>
        <v/>
      </c>
    </row>
    <row r="1772">
      <c r="A1772" t="inlineStr">
        <is>
          <t>CO-001924</t>
        </is>
      </c>
      <c r="B1772" t="inlineStr">
        <is>
          <t>CONDOMINIO CLUB EL ROSEDAL- EDIFICIO 04</t>
        </is>
      </c>
      <c r="C1772" t="inlineStr">
        <is>
          <t>HUANCAYO - EL TAMBO</t>
        </is>
      </c>
      <c r="D1772" t="inlineStr">
        <is>
          <t>AV. INTIHUATANA CRUCE CON  AV. TAHUANTINSUYO</t>
        </is>
      </c>
      <c r="E1772" t="inlineStr">
        <is>
          <t>Lima, 04 de Junio de 2024</t>
        </is>
      </c>
      <c r="F1772" t="inlineStr">
        <is>
          <t>la Recarga y mantenimiento</t>
        </is>
      </c>
      <c r="G1772" t="inlineStr">
        <is>
          <t>01</t>
        </is>
      </c>
      <c r="H1772" t="inlineStr">
        <is>
          <t>09  KG</t>
        </is>
      </c>
      <c r="I1772" t="inlineStr">
        <is>
          <t>2025</t>
        </is>
      </c>
      <c r="J1772" t="n">
        <v>2020</v>
      </c>
      <c r="K1772" t="inlineStr">
        <is>
          <t>JUNIO 2024</t>
        </is>
      </c>
      <c r="L1772" t="inlineStr">
        <is>
          <t>JUNIO 2025</t>
        </is>
      </c>
      <c r="M1772" t="inlineStr">
        <is>
          <t xml:space="preserve">P.Q.S TIPO ABC </t>
        </is>
      </c>
      <c r="N1772" t="inlineStr">
        <is>
          <t>PISO 1 / 000697</t>
        </is>
      </c>
      <c r="O1772" t="inlineStr">
        <is>
          <t>R</t>
        </is>
      </c>
      <c r="P1772">
        <f>TRIM(N1772)</f>
        <v/>
      </c>
    </row>
    <row r="1773">
      <c r="A1773" t="inlineStr">
        <is>
          <t>CO-001924</t>
        </is>
      </c>
      <c r="B1773" t="inlineStr">
        <is>
          <t>CONDOMINIO CLUB EL ROSEDAL- EDIFICIO 04</t>
        </is>
      </c>
      <c r="C1773" t="inlineStr">
        <is>
          <t>HUANCAYO - EL TAMBO</t>
        </is>
      </c>
      <c r="D1773" t="inlineStr">
        <is>
          <t>AV. INTIHUATANA CRUCE CON  AV. TAHUANTINSUYO</t>
        </is>
      </c>
      <c r="E1773" t="inlineStr">
        <is>
          <t>Lima, 04 de Junio de 2024</t>
        </is>
      </c>
      <c r="F1773" t="inlineStr">
        <is>
          <t>la Recarga y mantenimiento</t>
        </is>
      </c>
      <c r="G1773" t="inlineStr">
        <is>
          <t>02</t>
        </is>
      </c>
      <c r="H1773" t="inlineStr">
        <is>
          <t>09  KG</t>
        </is>
      </c>
      <c r="I1773" t="inlineStr">
        <is>
          <t>2025</t>
        </is>
      </c>
      <c r="J1773" t="n">
        <v>2020</v>
      </c>
      <c r="K1773" t="inlineStr">
        <is>
          <t>JUNIO 2024</t>
        </is>
      </c>
      <c r="L1773" t="inlineStr">
        <is>
          <t>JUNIO 2025</t>
        </is>
      </c>
      <c r="M1773" t="inlineStr">
        <is>
          <t xml:space="preserve">P.Q.S TIPO ABC </t>
        </is>
      </c>
      <c r="N1773" t="inlineStr">
        <is>
          <t>PISO 2 / 000715</t>
        </is>
      </c>
      <c r="O1773" t="inlineStr">
        <is>
          <t>R</t>
        </is>
      </c>
      <c r="P1773">
        <f>TRIM(N1773)</f>
        <v/>
      </c>
    </row>
    <row r="1774">
      <c r="A1774" t="inlineStr">
        <is>
          <t>CO-001924</t>
        </is>
      </c>
      <c r="B1774" t="inlineStr">
        <is>
          <t>CONDOMINIO CLUB EL ROSEDAL- EDIFICIO 04</t>
        </is>
      </c>
      <c r="C1774" t="inlineStr">
        <is>
          <t>HUANCAYO - EL TAMBO</t>
        </is>
      </c>
      <c r="D1774" t="inlineStr">
        <is>
          <t>AV. INTIHUATANA CRUCE CON  AV. TAHUANTINSUYO</t>
        </is>
      </c>
      <c r="E1774" t="inlineStr">
        <is>
          <t>Lima, 04 de Junio de 2024</t>
        </is>
      </c>
      <c r="F1774" t="inlineStr">
        <is>
          <t>la Recarga y mantenimiento</t>
        </is>
      </c>
      <c r="G1774" t="inlineStr">
        <is>
          <t>03</t>
        </is>
      </c>
      <c r="H1774" t="inlineStr">
        <is>
          <t>09  KG</t>
        </is>
      </c>
      <c r="I1774" t="inlineStr">
        <is>
          <t>2025</t>
        </is>
      </c>
      <c r="J1774" t="n">
        <v>2020</v>
      </c>
      <c r="K1774" t="inlineStr">
        <is>
          <t>JUNIO 2024</t>
        </is>
      </c>
      <c r="L1774" t="inlineStr">
        <is>
          <t>JUNIO 2025</t>
        </is>
      </c>
      <c r="M1774" t="inlineStr">
        <is>
          <t xml:space="preserve">P.Q.S TIPO ABC </t>
        </is>
      </c>
      <c r="N1774" t="inlineStr">
        <is>
          <t>PISO 3 / 000113</t>
        </is>
      </c>
      <c r="O1774" t="inlineStr">
        <is>
          <t>R</t>
        </is>
      </c>
      <c r="P1774">
        <f>TRIM(N1774)</f>
        <v/>
      </c>
    </row>
    <row r="1775">
      <c r="A1775" t="inlineStr">
        <is>
          <t>CO-001924</t>
        </is>
      </c>
      <c r="B1775" t="inlineStr">
        <is>
          <t>CONDOMINIO CLUB EL ROSEDAL- EDIFICIO 04</t>
        </is>
      </c>
      <c r="C1775" t="inlineStr">
        <is>
          <t>HUANCAYO - EL TAMBO</t>
        </is>
      </c>
      <c r="D1775" t="inlineStr">
        <is>
          <t>AV. INTIHUATANA CRUCE CON  AV. TAHUANTINSUYO</t>
        </is>
      </c>
      <c r="E1775" t="inlineStr">
        <is>
          <t>Lima, 04 de Junio de 2024</t>
        </is>
      </c>
      <c r="F1775" t="inlineStr">
        <is>
          <t>la Recarga y mantenimiento</t>
        </is>
      </c>
      <c r="G1775" t="inlineStr">
        <is>
          <t>04</t>
        </is>
      </c>
      <c r="H1775" t="inlineStr">
        <is>
          <t>09  KG</t>
        </is>
      </c>
      <c r="I1775" t="inlineStr">
        <is>
          <t>2025</t>
        </is>
      </c>
      <c r="J1775" t="n">
        <v>2020</v>
      </c>
      <c r="K1775" t="inlineStr">
        <is>
          <t>JUNIO 2024</t>
        </is>
      </c>
      <c r="L1775" t="inlineStr">
        <is>
          <t>JUNIO 2025</t>
        </is>
      </c>
      <c r="M1775" t="inlineStr">
        <is>
          <t xml:space="preserve">P.Q.S TIPO ABC </t>
        </is>
      </c>
      <c r="N1775" t="inlineStr">
        <is>
          <t>PISO 4 / 000984</t>
        </is>
      </c>
      <c r="O1775" t="inlineStr">
        <is>
          <t>R</t>
        </is>
      </c>
      <c r="P1775">
        <f>TRIM(N1775)</f>
        <v/>
      </c>
    </row>
    <row r="1776">
      <c r="A1776" t="inlineStr">
        <is>
          <t>CO-001924</t>
        </is>
      </c>
      <c r="B1776" t="inlineStr">
        <is>
          <t>CONDOMINIO CLUB EL ROSEDAL- EDIFICIO 04</t>
        </is>
      </c>
      <c r="C1776" t="inlineStr">
        <is>
          <t>HUANCAYO - EL TAMBO</t>
        </is>
      </c>
      <c r="D1776" t="inlineStr">
        <is>
          <t>AV. INTIHUATANA CRUCE CON  AV. TAHUANTINSUYO</t>
        </is>
      </c>
      <c r="E1776" t="inlineStr">
        <is>
          <t>Lima, 04 de Junio de 2024</t>
        </is>
      </c>
      <c r="F1776" t="inlineStr">
        <is>
          <t>la Recarga y mantenimiento</t>
        </is>
      </c>
      <c r="G1776" t="inlineStr">
        <is>
          <t>05</t>
        </is>
      </c>
      <c r="H1776" t="inlineStr">
        <is>
          <t>09  KG</t>
        </is>
      </c>
      <c r="I1776" t="inlineStr">
        <is>
          <t>2025</t>
        </is>
      </c>
      <c r="J1776" t="n">
        <v>2020</v>
      </c>
      <c r="K1776" t="inlineStr">
        <is>
          <t>JUNIO 2024</t>
        </is>
      </c>
      <c r="L1776" t="inlineStr">
        <is>
          <t>JUNIO 2025</t>
        </is>
      </c>
      <c r="M1776" t="inlineStr">
        <is>
          <t xml:space="preserve">P.Q.S TIPO ABC </t>
        </is>
      </c>
      <c r="N1776" t="inlineStr">
        <is>
          <t>PISO 5 / 001645</t>
        </is>
      </c>
      <c r="O1776" t="inlineStr">
        <is>
          <t>R</t>
        </is>
      </c>
      <c r="P1776">
        <f>TRIM(N1776)</f>
        <v/>
      </c>
    </row>
    <row r="1777">
      <c r="A1777" t="inlineStr">
        <is>
          <t>CO-001924</t>
        </is>
      </c>
      <c r="B1777" t="inlineStr">
        <is>
          <t>CONDOMINIO CLUB EL ROSEDAL- EDIFICIO 04</t>
        </is>
      </c>
      <c r="C1777" t="inlineStr">
        <is>
          <t>HUANCAYO - EL TAMBO</t>
        </is>
      </c>
      <c r="D1777" t="inlineStr">
        <is>
          <t>AV. INTIHUATANA CRUCE CON  AV. TAHUANTINSUYO</t>
        </is>
      </c>
      <c r="E1777" t="inlineStr">
        <is>
          <t>Lima, 04 de Junio de 2024</t>
        </is>
      </c>
      <c r="F1777" t="inlineStr">
        <is>
          <t>la Recarga y mantenimiento</t>
        </is>
      </c>
      <c r="G1777" t="inlineStr">
        <is>
          <t>06</t>
        </is>
      </c>
      <c r="H1777" t="inlineStr">
        <is>
          <t>09  KG</t>
        </is>
      </c>
      <c r="I1777" t="inlineStr">
        <is>
          <t>2025</t>
        </is>
      </c>
      <c r="J1777" t="n">
        <v>2020</v>
      </c>
      <c r="K1777" t="inlineStr">
        <is>
          <t>JUNIO 2024</t>
        </is>
      </c>
      <c r="L1777" t="inlineStr">
        <is>
          <t>JUNIO 2025</t>
        </is>
      </c>
      <c r="M1777" t="inlineStr">
        <is>
          <t xml:space="preserve">P.Q.S TIPO ABC </t>
        </is>
      </c>
      <c r="N1777" t="inlineStr">
        <is>
          <t>PISO 6 / 000470</t>
        </is>
      </c>
      <c r="O1777" t="inlineStr">
        <is>
          <t>R</t>
        </is>
      </c>
      <c r="P1777">
        <f>TRIM(N1777)</f>
        <v/>
      </c>
    </row>
    <row r="1778">
      <c r="A1778" t="inlineStr">
        <is>
          <t>CO-001924</t>
        </is>
      </c>
      <c r="B1778" t="inlineStr">
        <is>
          <t>CONDOMINIO CLUB EL ROSEDAL- EDIFICIO 04</t>
        </is>
      </c>
      <c r="C1778" t="inlineStr">
        <is>
          <t>HUANCAYO - EL TAMBO</t>
        </is>
      </c>
      <c r="D1778" t="inlineStr">
        <is>
          <t>AV. INTIHUATANA CRUCE CON  AV. TAHUANTINSUYO</t>
        </is>
      </c>
      <c r="E1778" t="inlineStr">
        <is>
          <t>Lima, 04 de Junio de 2024</t>
        </is>
      </c>
      <c r="F1778" t="inlineStr">
        <is>
          <t>la Recarga y mantenimiento</t>
        </is>
      </c>
      <c r="G1778" t="inlineStr">
        <is>
          <t>07</t>
        </is>
      </c>
      <c r="H1778" t="inlineStr">
        <is>
          <t>09  KG</t>
        </is>
      </c>
      <c r="I1778" t="inlineStr">
        <is>
          <t>2025</t>
        </is>
      </c>
      <c r="J1778" t="n">
        <v>2020</v>
      </c>
      <c r="K1778" t="inlineStr">
        <is>
          <t>JUNIO 2024</t>
        </is>
      </c>
      <c r="L1778" t="inlineStr">
        <is>
          <t>JUNIO 2025</t>
        </is>
      </c>
      <c r="M1778" t="inlineStr">
        <is>
          <t xml:space="preserve">P.Q.S TIPO ABC </t>
        </is>
      </c>
      <c r="N1778" t="inlineStr">
        <is>
          <t>PISO 7 / 000762</t>
        </is>
      </c>
      <c r="O1778" t="inlineStr">
        <is>
          <t>R</t>
        </is>
      </c>
      <c r="P1778">
        <f>TRIM(N1778)</f>
        <v/>
      </c>
    </row>
    <row r="1779">
      <c r="A1779" t="inlineStr">
        <is>
          <t>CO-001924</t>
        </is>
      </c>
      <c r="B1779" t="inlineStr">
        <is>
          <t>CONDOMINIO CLUB EL ROSEDAL- EDIFICIO 04</t>
        </is>
      </c>
      <c r="C1779" t="inlineStr">
        <is>
          <t>HUANCAYO - EL TAMBO</t>
        </is>
      </c>
      <c r="D1779" t="inlineStr">
        <is>
          <t>AV. INTIHUATANA CRUCE CON  AV. TAHUANTINSUYO</t>
        </is>
      </c>
      <c r="E1779" t="inlineStr">
        <is>
          <t>Lima, 04 de Junio de 2024</t>
        </is>
      </c>
      <c r="F1779" t="inlineStr">
        <is>
          <t>la Recarga y mantenimiento</t>
        </is>
      </c>
      <c r="G1779" t="inlineStr">
        <is>
          <t>08</t>
        </is>
      </c>
      <c r="H1779" t="inlineStr">
        <is>
          <t>09  KG</t>
        </is>
      </c>
      <c r="I1779" t="inlineStr">
        <is>
          <t>2025</t>
        </is>
      </c>
      <c r="J1779" t="n">
        <v>2020</v>
      </c>
      <c r="K1779" t="inlineStr">
        <is>
          <t>JUNIO 2024</t>
        </is>
      </c>
      <c r="L1779" t="inlineStr">
        <is>
          <t>JUNIO 2025</t>
        </is>
      </c>
      <c r="M1779" t="inlineStr">
        <is>
          <t xml:space="preserve">P.Q.S TIPO ABC </t>
        </is>
      </c>
      <c r="N1779" t="inlineStr">
        <is>
          <t>PISO 8 / 000035</t>
        </is>
      </c>
      <c r="O1779" t="inlineStr">
        <is>
          <t>R</t>
        </is>
      </c>
      <c r="P1779">
        <f>TRIM(N1779)</f>
        <v/>
      </c>
    </row>
    <row r="1780">
      <c r="A1780" t="inlineStr">
        <is>
          <t>CO-001924</t>
        </is>
      </c>
      <c r="B1780" t="inlineStr">
        <is>
          <t>CONDOMINIO CLUB EL ROSEDAL- EDIFICIO 04</t>
        </is>
      </c>
      <c r="C1780" t="inlineStr">
        <is>
          <t>HUANCAYO - EL TAMBO</t>
        </is>
      </c>
      <c r="D1780" t="inlineStr">
        <is>
          <t>AV. INTIHUATANA CRUCE CON  AV. TAHUANTINSUYO</t>
        </is>
      </c>
      <c r="E1780" t="inlineStr">
        <is>
          <t>Lima, 04 de Junio de 2024</t>
        </is>
      </c>
      <c r="F1780" t="inlineStr">
        <is>
          <t>la Recarga y mantenimiento</t>
        </is>
      </c>
      <c r="G1780" t="inlineStr">
        <is>
          <t>09</t>
        </is>
      </c>
      <c r="H1780" t="inlineStr">
        <is>
          <t>09  KG</t>
        </is>
      </c>
      <c r="I1780" t="inlineStr">
        <is>
          <t>2025</t>
        </is>
      </c>
      <c r="J1780" t="n">
        <v>2020</v>
      </c>
      <c r="K1780" t="inlineStr">
        <is>
          <t>JUNIO 2024</t>
        </is>
      </c>
      <c r="L1780" t="inlineStr">
        <is>
          <t>JUNIO 2025</t>
        </is>
      </c>
      <c r="M1780" t="inlineStr">
        <is>
          <t xml:space="preserve">P.Q.S TIPO ABC </t>
        </is>
      </c>
      <c r="N1780" t="inlineStr">
        <is>
          <t>PISO 9 / 000178</t>
        </is>
      </c>
      <c r="O1780" t="inlineStr">
        <is>
          <t>R</t>
        </is>
      </c>
      <c r="P1780">
        <f>TRIM(N1780)</f>
        <v/>
      </c>
    </row>
    <row r="1781">
      <c r="A1781" t="inlineStr">
        <is>
          <t>CO-001924</t>
        </is>
      </c>
      <c r="B1781" t="inlineStr">
        <is>
          <t>CONDOMINIO CLUB EL ROSEDAL- EDIFICIO 04</t>
        </is>
      </c>
      <c r="C1781" t="inlineStr">
        <is>
          <t>HUANCAYO - EL TAMBO</t>
        </is>
      </c>
      <c r="D1781" t="inlineStr">
        <is>
          <t>AV. INTIHUATANA CRUCE CON  AV. TAHUANTINSUYO</t>
        </is>
      </c>
      <c r="E1781" t="inlineStr">
        <is>
          <t>Lima, 04 de Junio de 2024</t>
        </is>
      </c>
      <c r="F1781" t="inlineStr">
        <is>
          <t>la Recarga y mantenimiento</t>
        </is>
      </c>
      <c r="G1781" t="n">
        <v>10</v>
      </c>
      <c r="H1781" t="inlineStr">
        <is>
          <t>09  KG</t>
        </is>
      </c>
      <c r="I1781" t="inlineStr">
        <is>
          <t>2025</t>
        </is>
      </c>
      <c r="J1781" t="n">
        <v>2020</v>
      </c>
      <c r="K1781" t="inlineStr">
        <is>
          <t>JUNIO 2024</t>
        </is>
      </c>
      <c r="L1781" t="inlineStr">
        <is>
          <t>JUNIO 2025</t>
        </is>
      </c>
      <c r="M1781" t="inlineStr">
        <is>
          <t xml:space="preserve">P.Q.S TIPO ABC </t>
        </is>
      </c>
      <c r="N1781" t="inlineStr">
        <is>
          <t>PISO 10 / 000977</t>
        </is>
      </c>
      <c r="O1781" t="inlineStr">
        <is>
          <t>R</t>
        </is>
      </c>
      <c r="P1781">
        <f>TRIM(N1781)</f>
        <v/>
      </c>
    </row>
    <row r="1782">
      <c r="A1782" t="inlineStr">
        <is>
          <t>CO-001925</t>
        </is>
      </c>
      <c r="B1782" t="inlineStr">
        <is>
          <t>BARBERÍA de: OBREGON CRUZ GIANMARCO</t>
        </is>
      </c>
      <c r="C1782" t="inlineStr">
        <is>
          <t>10785183571</t>
        </is>
      </c>
      <c r="D1782" t="inlineStr">
        <is>
          <t>Av. Miguel Grau N. 225-A MZ. N LTE. 022 URB. Villa Oropeza - Comas</t>
        </is>
      </c>
      <c r="E1782" t="inlineStr">
        <is>
          <t>Lima, 08 de Junio de 2024</t>
        </is>
      </c>
      <c r="F1782" t="inlineStr">
        <is>
          <t>la Recarga y mantenimiento</t>
        </is>
      </c>
      <c r="G1782" t="inlineStr">
        <is>
          <t>01</t>
        </is>
      </c>
      <c r="H1782" t="inlineStr">
        <is>
          <t>06 KG</t>
        </is>
      </c>
      <c r="I1782" t="inlineStr">
        <is>
          <t>2029</t>
        </is>
      </c>
      <c r="J1782" t="n">
        <v>2024</v>
      </c>
      <c r="K1782" t="inlineStr">
        <is>
          <t>JUNIO 2024</t>
        </is>
      </c>
      <c r="L1782" t="inlineStr">
        <is>
          <t>JUNIO 2025</t>
        </is>
      </c>
      <c r="M1782" t="inlineStr">
        <is>
          <t xml:space="preserve">P.Q.S TIPO ABC </t>
        </is>
      </c>
      <c r="N1782" t="inlineStr">
        <is>
          <t>002955</t>
        </is>
      </c>
      <c r="O1782" t="inlineStr">
        <is>
          <t>R</t>
        </is>
      </c>
      <c r="P1782">
        <f>TRIM(N1782)</f>
        <v/>
      </c>
    </row>
    <row r="1783">
      <c r="A1783" t="inlineStr">
        <is>
          <t>CO-001926</t>
        </is>
      </c>
      <c r="B1783" t="inlineStr">
        <is>
          <t>PERU MASIVO S.A.</t>
        </is>
      </c>
      <c r="C1783" t="inlineStr">
        <is>
          <t>20492392031</t>
        </is>
      </c>
      <c r="D1783" t="inlineStr">
        <is>
          <t>AV. LOS INCAS CDRA. 4 PATIO NORTE - COMAS</t>
        </is>
      </c>
      <c r="E1783" t="inlineStr">
        <is>
          <t>Lima, 10 de Junio de 2024</t>
        </is>
      </c>
      <c r="F1783" t="inlineStr">
        <is>
          <t>la Recarga y mantenimiento</t>
        </is>
      </c>
      <c r="G1783" t="inlineStr">
        <is>
          <t>01</t>
        </is>
      </c>
      <c r="H1783" t="inlineStr">
        <is>
          <t>06 KG</t>
        </is>
      </c>
      <c r="I1783" t="inlineStr">
        <is>
          <t>2028</t>
        </is>
      </c>
      <c r="J1783" t="n">
        <v>2009</v>
      </c>
      <c r="K1783" t="inlineStr">
        <is>
          <t>JUNIO 2024</t>
        </is>
      </c>
      <c r="L1783" t="inlineStr">
        <is>
          <t>JUNIO 2025</t>
        </is>
      </c>
      <c r="M1783" t="inlineStr">
        <is>
          <t>P.Q.S TIPO ABC AL 90 % NACIONAL</t>
        </is>
      </c>
      <c r="N1783" t="inlineStr">
        <is>
          <t>23 / 000448</t>
        </is>
      </c>
      <c r="O1783" t="inlineStr">
        <is>
          <t>R</t>
        </is>
      </c>
      <c r="P1783">
        <f>TRIM(N1783)</f>
        <v/>
      </c>
    </row>
    <row r="1784">
      <c r="A1784" t="inlineStr">
        <is>
          <t>CO-001926</t>
        </is>
      </c>
      <c r="B1784" t="inlineStr">
        <is>
          <t>PERU MASIVO S.A.</t>
        </is>
      </c>
      <c r="C1784" t="inlineStr">
        <is>
          <t>20492392031</t>
        </is>
      </c>
      <c r="D1784" t="inlineStr">
        <is>
          <t>AV. LOS INCAS CDRA. 4 PATIO NORTE - COMAS</t>
        </is>
      </c>
      <c r="E1784" t="inlineStr">
        <is>
          <t>Lima, 10 de Junio de 2024</t>
        </is>
      </c>
      <c r="F1784" t="inlineStr">
        <is>
          <t>la Recarga y mantenimiento</t>
        </is>
      </c>
      <c r="G1784" t="inlineStr">
        <is>
          <t>02</t>
        </is>
      </c>
      <c r="H1784" t="inlineStr">
        <is>
          <t>06 KG</t>
        </is>
      </c>
      <c r="I1784" t="inlineStr">
        <is>
          <t>2028</t>
        </is>
      </c>
      <c r="J1784" t="n">
        <v>2010</v>
      </c>
      <c r="K1784" t="inlineStr">
        <is>
          <t>JUNIO 2024</t>
        </is>
      </c>
      <c r="L1784" t="inlineStr">
        <is>
          <t>JUNIO 2025</t>
        </is>
      </c>
      <c r="M1784" t="inlineStr">
        <is>
          <t>P.Q.S TIPO ABC AL 90 % NACIONAL</t>
        </is>
      </c>
      <c r="N1784" t="inlineStr">
        <is>
          <t>270 / 002018</t>
        </is>
      </c>
      <c r="O1784" t="inlineStr">
        <is>
          <t>R</t>
        </is>
      </c>
      <c r="P1784">
        <f>TRIM(N1784)</f>
        <v/>
      </c>
    </row>
    <row r="1785">
      <c r="A1785" t="inlineStr">
        <is>
          <t>CO-001926</t>
        </is>
      </c>
      <c r="B1785" t="inlineStr">
        <is>
          <t>PERU MASIVO S.A.</t>
        </is>
      </c>
      <c r="C1785" t="inlineStr">
        <is>
          <t>20492392031</t>
        </is>
      </c>
      <c r="D1785" t="inlineStr">
        <is>
          <t>AV. LOS INCAS CDRA. 4 PATIO NORTE - COMAS</t>
        </is>
      </c>
      <c r="E1785" t="inlineStr">
        <is>
          <t>Lima, 10 de Junio de 2024</t>
        </is>
      </c>
      <c r="F1785" t="inlineStr">
        <is>
          <t>la Recarga y mantenimiento</t>
        </is>
      </c>
      <c r="G1785" t="inlineStr">
        <is>
          <t>03</t>
        </is>
      </c>
      <c r="H1785" t="inlineStr">
        <is>
          <t>06 KG</t>
        </is>
      </c>
      <c r="I1785" t="inlineStr">
        <is>
          <t>2028</t>
        </is>
      </c>
      <c r="J1785" t="n">
        <v>2014</v>
      </c>
      <c r="K1785" t="inlineStr">
        <is>
          <t>JUNIO 2024</t>
        </is>
      </c>
      <c r="L1785" t="inlineStr">
        <is>
          <t>JUNIO 2025</t>
        </is>
      </c>
      <c r="M1785" t="inlineStr">
        <is>
          <t>P.Q.S TIPO ABC AL 90 % NACIONAL</t>
        </is>
      </c>
      <c r="N1785" t="inlineStr">
        <is>
          <t>05 / 000338</t>
        </is>
      </c>
      <c r="O1785" t="inlineStr">
        <is>
          <t>R</t>
        </is>
      </c>
      <c r="P1785">
        <f>TRIM(N1785)</f>
        <v/>
      </c>
    </row>
    <row r="1786">
      <c r="A1786" t="inlineStr">
        <is>
          <t>CO-001926</t>
        </is>
      </c>
      <c r="B1786" t="inlineStr">
        <is>
          <t>PERU MASIVO S.A.</t>
        </is>
      </c>
      <c r="C1786" t="inlineStr">
        <is>
          <t>20492392031</t>
        </is>
      </c>
      <c r="D1786" t="inlineStr">
        <is>
          <t>AV. LOS INCAS CDRA. 4 PATIO NORTE - COMAS</t>
        </is>
      </c>
      <c r="E1786" t="inlineStr">
        <is>
          <t>Lima, 10 de Junio de 2024</t>
        </is>
      </c>
      <c r="F1786" t="inlineStr">
        <is>
          <t>la Recarga y mantenimiento</t>
        </is>
      </c>
      <c r="G1786" t="inlineStr">
        <is>
          <t>04</t>
        </is>
      </c>
      <c r="H1786" t="inlineStr">
        <is>
          <t>06 KG</t>
        </is>
      </c>
      <c r="I1786" t="inlineStr">
        <is>
          <t>2028</t>
        </is>
      </c>
      <c r="J1786" t="n">
        <v>2010</v>
      </c>
      <c r="K1786" t="inlineStr">
        <is>
          <t>JUNIO 2024</t>
        </is>
      </c>
      <c r="L1786" t="inlineStr">
        <is>
          <t>JUNIO 2025</t>
        </is>
      </c>
      <c r="M1786" t="inlineStr">
        <is>
          <t>P.Q.S TIPO ABC AL 90 % NACIONAL</t>
        </is>
      </c>
      <c r="N1786" t="inlineStr">
        <is>
          <t>317 / 000005</t>
        </is>
      </c>
      <c r="O1786" t="inlineStr">
        <is>
          <t>R</t>
        </is>
      </c>
      <c r="P1786">
        <f>TRIM(N1786)</f>
        <v/>
      </c>
    </row>
    <row r="1787">
      <c r="A1787" t="inlineStr">
        <is>
          <t>CO-001927</t>
        </is>
      </c>
      <c r="B1787" t="inlineStr">
        <is>
          <t>PEGGY EYZAGUIRRE LANDAZURI</t>
        </is>
      </c>
      <c r="D1787" t="inlineStr">
        <is>
          <t>CALLE ENRIQUE PALACIOS N° 380 - OF. 701 MIRAFLORES</t>
        </is>
      </c>
      <c r="E1787" t="inlineStr">
        <is>
          <t>Lima, 11 de Junio de 2024</t>
        </is>
      </c>
      <c r="F1787" t="inlineStr">
        <is>
          <t>la Recarga y mantenimiento</t>
        </is>
      </c>
      <c r="G1787" t="inlineStr">
        <is>
          <t>01</t>
        </is>
      </c>
      <c r="H1787" t="inlineStr">
        <is>
          <t>06 KG</t>
        </is>
      </c>
      <c r="I1787" t="inlineStr">
        <is>
          <t>2025</t>
        </is>
      </c>
      <c r="J1787" t="n">
        <v>2018</v>
      </c>
      <c r="K1787" t="inlineStr">
        <is>
          <t>JUNIO 2024</t>
        </is>
      </c>
      <c r="L1787" t="inlineStr">
        <is>
          <t>JUNIO 2025</t>
        </is>
      </c>
      <c r="M1787" t="inlineStr">
        <is>
          <t xml:space="preserve">P.Q.S TIPO ABC </t>
        </is>
      </c>
      <c r="N1787" t="inlineStr">
        <is>
          <t>000036</t>
        </is>
      </c>
      <c r="O1787" t="inlineStr">
        <is>
          <t>R</t>
        </is>
      </c>
      <c r="P1787">
        <f>TRIM(N1787)</f>
        <v/>
      </c>
    </row>
    <row r="1788">
      <c r="A1788" t="inlineStr">
        <is>
          <t>CO-001927</t>
        </is>
      </c>
      <c r="B1788" t="inlineStr">
        <is>
          <t>PEGGY EYZAGUIRRE LANDAZURI</t>
        </is>
      </c>
      <c r="D1788" t="inlineStr">
        <is>
          <t>CALLE ENRIQUE PALACIOS N° 380 - OF. 701 MIRAFLORES</t>
        </is>
      </c>
      <c r="E1788" t="inlineStr">
        <is>
          <t>Lima, 11 de Junio de 2024</t>
        </is>
      </c>
      <c r="F1788" t="inlineStr">
        <is>
          <t>la Recarga y mantenimiento</t>
        </is>
      </c>
      <c r="G1788" t="inlineStr">
        <is>
          <t>02</t>
        </is>
      </c>
      <c r="H1788" t="inlineStr">
        <is>
          <t>06 KG</t>
        </is>
      </c>
      <c r="I1788" t="inlineStr">
        <is>
          <t>2025</t>
        </is>
      </c>
      <c r="J1788" t="n">
        <v>2018</v>
      </c>
      <c r="K1788" t="inlineStr">
        <is>
          <t>JUNIO 2024</t>
        </is>
      </c>
      <c r="L1788" t="inlineStr">
        <is>
          <t>JUNIO 2025</t>
        </is>
      </c>
      <c r="M1788" t="inlineStr">
        <is>
          <t xml:space="preserve">P.Q.S TIPO ABC </t>
        </is>
      </c>
      <c r="N1788" t="inlineStr">
        <is>
          <t>000808</t>
        </is>
      </c>
      <c r="O1788" t="inlineStr">
        <is>
          <t>R</t>
        </is>
      </c>
      <c r="P1788">
        <f>TRIM(N1788)</f>
        <v/>
      </c>
    </row>
    <row r="1789">
      <c r="A1789" t="inlineStr">
        <is>
          <t>CO-001928</t>
        </is>
      </c>
      <c r="B1789" t="inlineStr">
        <is>
          <t>LUIS CRESPO CARBAJAL</t>
        </is>
      </c>
      <c r="C1789" t="inlineStr">
        <is>
          <t>47059036</t>
        </is>
      </c>
      <c r="D1789" t="inlineStr">
        <is>
          <t>PLACA: DOG - 904</t>
        </is>
      </c>
      <c r="E1789" t="inlineStr">
        <is>
          <t>Lima, 10 de Junio de 2024</t>
        </is>
      </c>
      <c r="F1789" t="inlineStr">
        <is>
          <t>la Recarga y mantenimiento</t>
        </is>
      </c>
      <c r="G1789" t="inlineStr">
        <is>
          <t>01</t>
        </is>
      </c>
      <c r="H1789" t="inlineStr">
        <is>
          <t>02 KG</t>
        </is>
      </c>
      <c r="I1789" t="inlineStr">
        <is>
          <t>VIGENTE</t>
        </is>
      </c>
      <c r="J1789" t="n">
        <v>2010</v>
      </c>
      <c r="K1789" t="inlineStr">
        <is>
          <t>JUNIO 2024</t>
        </is>
      </c>
      <c r="L1789" t="inlineStr">
        <is>
          <t>JUNIO 2025</t>
        </is>
      </c>
      <c r="M1789" t="inlineStr">
        <is>
          <t xml:space="preserve">P.Q.S TIPO ABC </t>
        </is>
      </c>
      <c r="N1789" t="inlineStr">
        <is>
          <t>000156</t>
        </is>
      </c>
      <c r="O1789" t="inlineStr">
        <is>
          <t>R</t>
        </is>
      </c>
      <c r="P1789">
        <f>TRIM(N1789)</f>
        <v/>
      </c>
    </row>
    <row r="1790">
      <c r="A1790" t="inlineStr">
        <is>
          <t>CO-001929</t>
        </is>
      </c>
      <c r="B1790" t="inlineStr">
        <is>
          <t>JUAN CARLOS CRUZ FLORES</t>
        </is>
      </c>
      <c r="C1790" t="inlineStr">
        <is>
          <t>43168432</t>
        </is>
      </c>
      <c r="D1790" t="inlineStr">
        <is>
          <t>PLACA: ALW - 483</t>
        </is>
      </c>
      <c r="E1790" t="inlineStr">
        <is>
          <t>Lima, 11 de Junio de 2024</t>
        </is>
      </c>
      <c r="F1790" t="inlineStr">
        <is>
          <t>la Recarga y mantenimiento</t>
        </is>
      </c>
      <c r="G1790" t="inlineStr">
        <is>
          <t>01</t>
        </is>
      </c>
      <c r="H1790" t="inlineStr">
        <is>
          <t>02 KG</t>
        </is>
      </c>
      <c r="I1790" t="inlineStr">
        <is>
          <t>VIGENTE</t>
        </is>
      </c>
      <c r="J1790" t="n">
        <v>2019</v>
      </c>
      <c r="K1790" t="inlineStr">
        <is>
          <t>JUNIO 2024</t>
        </is>
      </c>
      <c r="L1790" t="inlineStr">
        <is>
          <t>JUNIO 2025</t>
        </is>
      </c>
      <c r="M1790" t="inlineStr">
        <is>
          <t xml:space="preserve">P.Q.S TIPO ABC </t>
        </is>
      </c>
      <c r="N1790" t="inlineStr">
        <is>
          <t>001900</t>
        </is>
      </c>
      <c r="O1790" t="inlineStr">
        <is>
          <t>R</t>
        </is>
      </c>
      <c r="P1790">
        <f>TRIM(N1790)</f>
        <v/>
      </c>
    </row>
    <row r="1791">
      <c r="A1791" t="inlineStr">
        <is>
          <t>CO-001930</t>
        </is>
      </c>
      <c r="B1791" t="inlineStr">
        <is>
          <t>Transportes Stark sac</t>
        </is>
      </c>
      <c r="C1791" t="inlineStr">
        <is>
          <t>20606725664</t>
        </is>
      </c>
      <c r="D1791" t="inlineStr">
        <is>
          <t>CAL. 58 MZ. E3 LT. 09 A URB. EL PINAR PARCELA 01 COMAS - LIMA</t>
        </is>
      </c>
      <c r="E1791" t="inlineStr">
        <is>
          <t>Lima, 12 de Junio de 2024</t>
        </is>
      </c>
      <c r="F1791" t="inlineStr">
        <is>
          <t>la Recarga y mantenimiento</t>
        </is>
      </c>
      <c r="G1791" t="inlineStr">
        <is>
          <t>01</t>
        </is>
      </c>
      <c r="H1791" t="inlineStr">
        <is>
          <t>09 KG</t>
        </is>
      </c>
      <c r="I1791" t="inlineStr">
        <is>
          <t>2027</t>
        </is>
      </c>
      <c r="J1791" t="n">
        <v>2022</v>
      </c>
      <c r="K1791" t="inlineStr">
        <is>
          <t>JUNIO 2024</t>
        </is>
      </c>
      <c r="L1791" t="inlineStr">
        <is>
          <t>JUNIO 2025</t>
        </is>
      </c>
      <c r="M1791" t="inlineStr">
        <is>
          <t xml:space="preserve">P.Q.S TIPO ABC </t>
        </is>
      </c>
      <c r="N1791" t="inlineStr">
        <is>
          <t>030510</t>
        </is>
      </c>
      <c r="O1791" t="inlineStr">
        <is>
          <t>R</t>
        </is>
      </c>
      <c r="P1791">
        <f>TRIM(N1791)</f>
        <v/>
      </c>
    </row>
    <row r="1792">
      <c r="A1792" t="inlineStr">
        <is>
          <t>CO-001930</t>
        </is>
      </c>
      <c r="B1792" t="inlineStr">
        <is>
          <t>Transportes Stark sac</t>
        </is>
      </c>
      <c r="C1792" t="inlineStr">
        <is>
          <t>20606725664</t>
        </is>
      </c>
      <c r="D1792" t="inlineStr">
        <is>
          <t>CAL. 58 MZ. E3 LT. 09 A URB. EL PINAR PARCELA 01 COMAS - LIMA</t>
        </is>
      </c>
      <c r="E1792" t="inlineStr">
        <is>
          <t>Lima, 12 de Junio de 2024</t>
        </is>
      </c>
      <c r="F1792" t="inlineStr">
        <is>
          <t>la Recarga y mantenimiento</t>
        </is>
      </c>
      <c r="G1792" t="inlineStr">
        <is>
          <t>02</t>
        </is>
      </c>
      <c r="H1792" t="inlineStr">
        <is>
          <t>09 KG</t>
        </is>
      </c>
      <c r="I1792" t="inlineStr">
        <is>
          <t>2027</t>
        </is>
      </c>
      <c r="J1792" t="n">
        <v>2022</v>
      </c>
      <c r="K1792" t="inlineStr">
        <is>
          <t>JUNIO 2024</t>
        </is>
      </c>
      <c r="L1792" t="inlineStr">
        <is>
          <t>JUNIO 2025</t>
        </is>
      </c>
      <c r="M1792" t="inlineStr">
        <is>
          <t xml:space="preserve">P.Q.S TIPO ABC </t>
        </is>
      </c>
      <c r="N1792" t="inlineStr">
        <is>
          <t>007843</t>
        </is>
      </c>
      <c r="O1792" t="inlineStr">
        <is>
          <t>R</t>
        </is>
      </c>
      <c r="P1792">
        <f>TRIM(N1792)</f>
        <v/>
      </c>
    </row>
    <row r="1793">
      <c r="A1793" t="inlineStr">
        <is>
          <t>CO-001931</t>
        </is>
      </c>
      <c r="B1793" t="inlineStr">
        <is>
          <t>ROMAN AUGUSTO HUAMAN VERGARA</t>
        </is>
      </c>
      <c r="C1793" t="inlineStr">
        <is>
          <t>10379213</t>
        </is>
      </c>
      <c r="D1793" t="inlineStr">
        <is>
          <t>PLACA: D5U - 249</t>
        </is>
      </c>
      <c r="E1793" t="inlineStr">
        <is>
          <t>Lima, 13 de Junio de 2024</t>
        </is>
      </c>
      <c r="F1793" t="inlineStr">
        <is>
          <t>la Recarga y mantenimiento</t>
        </is>
      </c>
      <c r="G1793" t="inlineStr">
        <is>
          <t>01</t>
        </is>
      </c>
      <c r="H1793" t="inlineStr">
        <is>
          <t>02 KG</t>
        </is>
      </c>
      <c r="I1793" t="inlineStr">
        <is>
          <t>2025</t>
        </is>
      </c>
      <c r="J1793" t="n">
        <v>2020</v>
      </c>
      <c r="K1793" t="inlineStr">
        <is>
          <t>JUNIO 2024</t>
        </is>
      </c>
      <c r="L1793" t="inlineStr">
        <is>
          <t>JUNIO 2025</t>
        </is>
      </c>
      <c r="M1793" t="inlineStr">
        <is>
          <t xml:space="preserve">P.Q.S TIPO ABC </t>
        </is>
      </c>
      <c r="N1793" t="inlineStr">
        <is>
          <t>053775</t>
        </is>
      </c>
      <c r="O1793" t="inlineStr">
        <is>
          <t>R</t>
        </is>
      </c>
      <c r="P1793">
        <f>TRIM(N1793)</f>
        <v/>
      </c>
    </row>
    <row r="1794">
      <c r="A1794" t="inlineStr">
        <is>
          <t>CO-001932</t>
        </is>
      </c>
      <c r="B1794" t="inlineStr">
        <is>
          <t>CHARLIE PEDRO TORRES QUISPE</t>
        </is>
      </c>
      <c r="C1794" t="inlineStr">
        <is>
          <t>43002032</t>
        </is>
      </c>
      <c r="D1794" t="inlineStr">
        <is>
          <t>PLACA: B4P - 800</t>
        </is>
      </c>
      <c r="E1794" t="inlineStr">
        <is>
          <t>Lima, 13 de Junio de 2024</t>
        </is>
      </c>
      <c r="F1794" t="inlineStr">
        <is>
          <t>la Recarga y mantenimiento</t>
        </is>
      </c>
      <c r="G1794" t="inlineStr">
        <is>
          <t>01</t>
        </is>
      </c>
      <c r="H1794" t="inlineStr">
        <is>
          <t>04 KG</t>
        </is>
      </c>
      <c r="I1794" t="inlineStr">
        <is>
          <t>VIGENTE</t>
        </is>
      </c>
      <c r="J1794" t="n">
        <v>2019</v>
      </c>
      <c r="K1794" t="inlineStr">
        <is>
          <t>JUNIO 2024</t>
        </is>
      </c>
      <c r="L1794" t="inlineStr">
        <is>
          <t>JUNIO 2025</t>
        </is>
      </c>
      <c r="M1794" t="inlineStr">
        <is>
          <t xml:space="preserve">P.Q.S TIPO ABC </t>
        </is>
      </c>
      <c r="N1794" t="inlineStr">
        <is>
          <t>012755</t>
        </is>
      </c>
      <c r="O1794" t="inlineStr">
        <is>
          <t>R</t>
        </is>
      </c>
      <c r="P1794">
        <f>TRIM(N1794)</f>
        <v/>
      </c>
    </row>
    <row r="1795">
      <c r="A1795" t="inlineStr">
        <is>
          <t>CO-001933</t>
        </is>
      </c>
      <c r="B1795" t="inlineStr">
        <is>
          <t>MAZAL INTERNACIONAL PROYECTOS Y SERVICIOS S.A.C.</t>
        </is>
      </c>
      <c r="C1795" t="inlineStr">
        <is>
          <t>20606733021</t>
        </is>
      </c>
      <c r="D1795" t="inlineStr">
        <is>
          <t>CALLE FRANCISCO DEL CASTILLO 643 - BARRANCA</t>
        </is>
      </c>
      <c r="E1795" t="inlineStr">
        <is>
          <t>Lima, 15 de Junio de 2024</t>
        </is>
      </c>
      <c r="F1795" t="inlineStr">
        <is>
          <t>la Recarga y mantenimiento</t>
        </is>
      </c>
      <c r="G1795" t="inlineStr">
        <is>
          <t>01</t>
        </is>
      </c>
      <c r="H1795" t="inlineStr">
        <is>
          <t>05 LBS</t>
        </is>
      </c>
      <c r="I1795" t="inlineStr">
        <is>
          <t>2028</t>
        </is>
      </c>
      <c r="J1795" t="n">
        <v>2023</v>
      </c>
      <c r="K1795" t="inlineStr">
        <is>
          <t>JUNIO 2024</t>
        </is>
      </c>
      <c r="L1795" t="inlineStr">
        <is>
          <t>JUNIO 2025</t>
        </is>
      </c>
      <c r="M1795" t="inlineStr">
        <is>
          <t>CO2 TIPO BC</t>
        </is>
      </c>
      <c r="N1795" t="inlineStr">
        <is>
          <t>000462</t>
        </is>
      </c>
      <c r="O1795" t="inlineStr">
        <is>
          <t>R</t>
        </is>
      </c>
      <c r="P1795">
        <f>TRIM(N1795)</f>
        <v/>
      </c>
    </row>
    <row r="1796">
      <c r="A1796" t="inlineStr">
        <is>
          <t>CO-001934</t>
        </is>
      </c>
      <c r="B1796" t="inlineStr">
        <is>
          <t>POLLOS Y PARRILLAS CELY S.A.C</t>
        </is>
      </c>
      <c r="C1796" t="inlineStr">
        <is>
          <t>20608356135</t>
        </is>
      </c>
      <c r="D1796" t="inlineStr">
        <is>
          <t>AV. 14 DE NOVIEMBRE MZ C LOTE N° 1 - PRO</t>
        </is>
      </c>
      <c r="E1796" t="inlineStr">
        <is>
          <t>Lima, 17 de Junio de 2024</t>
        </is>
      </c>
      <c r="F1796" t="inlineStr">
        <is>
          <t>la Recarga y mantenimiento</t>
        </is>
      </c>
      <c r="G1796" t="inlineStr">
        <is>
          <t>01</t>
        </is>
      </c>
      <c r="H1796" t="inlineStr">
        <is>
          <t>06 KG</t>
        </is>
      </c>
      <c r="I1796" t="inlineStr">
        <is>
          <t>2029</t>
        </is>
      </c>
      <c r="J1796" t="n">
        <v>2019</v>
      </c>
      <c r="K1796" t="inlineStr">
        <is>
          <t>JUNIO 2024</t>
        </is>
      </c>
      <c r="L1796" t="inlineStr">
        <is>
          <t>JUNIO 2025</t>
        </is>
      </c>
      <c r="M1796" t="inlineStr">
        <is>
          <t xml:space="preserve">P.Q.S TIPO ABC </t>
        </is>
      </c>
      <c r="N1796" t="inlineStr">
        <is>
          <t>008791</t>
        </is>
      </c>
      <c r="O1796" t="inlineStr">
        <is>
          <t>R</t>
        </is>
      </c>
      <c r="P1796">
        <f>TRIM(N1796)</f>
        <v/>
      </c>
    </row>
    <row r="1797">
      <c r="A1797" t="inlineStr">
        <is>
          <t>CO-001935</t>
        </is>
      </c>
      <c r="B1797" t="inlineStr">
        <is>
          <t>Saint-Gobain Productos para la Construcción S.A.C.</t>
        </is>
      </c>
      <c r="C1797" t="inlineStr">
        <is>
          <t>20451775210</t>
        </is>
      </c>
      <c r="D1797" t="inlineStr">
        <is>
          <t>Mza. G lote 01 Cooperativa Las Vertientes, Av. El Sol 1 - Villa el Salvador</t>
        </is>
      </c>
      <c r="E1797" t="inlineStr">
        <is>
          <t>Lima, 24 de Junio de 2024</t>
        </is>
      </c>
      <c r="F1797" t="inlineStr">
        <is>
          <t>la venta</t>
        </is>
      </c>
      <c r="G1797" t="inlineStr">
        <is>
          <t>01</t>
        </is>
      </c>
      <c r="H1797" t="inlineStr">
        <is>
          <t>10 LBS</t>
        </is>
      </c>
      <c r="I1797" t="inlineStr">
        <is>
          <t>2029</t>
        </is>
      </c>
      <c r="J1797" t="n">
        <v>2024</v>
      </c>
      <c r="K1797" t="inlineStr">
        <is>
          <t>JUNIO 2024</t>
        </is>
      </c>
      <c r="L1797" t="inlineStr">
        <is>
          <t>JUNIO 2025</t>
        </is>
      </c>
      <c r="M1797" t="inlineStr">
        <is>
          <t>CO2 TIPO BC</t>
        </is>
      </c>
      <c r="N1797" t="inlineStr">
        <is>
          <t>I17562297</t>
        </is>
      </c>
      <c r="O1797" t="inlineStr">
        <is>
          <t>V</t>
        </is>
      </c>
      <c r="P1797">
        <f>TRIM(N1797)</f>
        <v/>
      </c>
    </row>
    <row r="1798">
      <c r="A1798" t="inlineStr">
        <is>
          <t>CO-001936</t>
        </is>
      </c>
      <c r="B1798" t="inlineStr">
        <is>
          <t>Saint-Gobain Productos para la Construcción S.A.C.</t>
        </is>
      </c>
      <c r="C1798" t="inlineStr">
        <is>
          <t>20451775210</t>
        </is>
      </c>
      <c r="D1798" t="inlineStr">
        <is>
          <t>Mza. G lote 01 Cooperativa Las Vertientes, Av. El Sol 1 - Villa el Salvador</t>
        </is>
      </c>
      <c r="E1798" t="inlineStr">
        <is>
          <t>Lima, 24 de Junio de 2024</t>
        </is>
      </c>
      <c r="F1798" t="inlineStr">
        <is>
          <t>la venta</t>
        </is>
      </c>
      <c r="G1798" t="inlineStr">
        <is>
          <t>01</t>
        </is>
      </c>
      <c r="H1798" t="inlineStr">
        <is>
          <t>10 LBS</t>
        </is>
      </c>
      <c r="I1798" t="inlineStr">
        <is>
          <t>2029</t>
        </is>
      </c>
      <c r="J1798" t="n">
        <v>2024</v>
      </c>
      <c r="K1798" t="inlineStr">
        <is>
          <t>JUNIO 2024</t>
        </is>
      </c>
      <c r="L1798" t="inlineStr">
        <is>
          <t>JUNIO 2025</t>
        </is>
      </c>
      <c r="M1798" t="inlineStr">
        <is>
          <t>CO2 TIPO BC</t>
        </is>
      </c>
      <c r="N1798" t="inlineStr">
        <is>
          <t>I17562302</t>
        </is>
      </c>
      <c r="O1798" t="inlineStr">
        <is>
          <t>V</t>
        </is>
      </c>
      <c r="P1798">
        <f>TRIM(N1798)</f>
        <v/>
      </c>
    </row>
    <row r="1799">
      <c r="A1799" t="inlineStr">
        <is>
          <t>CO-001937</t>
        </is>
      </c>
      <c r="B1799" t="inlineStr">
        <is>
          <t>Saint-Gobain Productos para la Construcción S.A.C.</t>
        </is>
      </c>
      <c r="C1799" t="inlineStr">
        <is>
          <t>20451775210</t>
        </is>
      </c>
      <c r="D1799" t="inlineStr">
        <is>
          <t>Mza. G lote 01 Cooperativa Las Vertientes, Av. El Sol 1 - Villa el Salvador</t>
        </is>
      </c>
      <c r="E1799" t="inlineStr">
        <is>
          <t>Lima, 24 de Junio de 2024</t>
        </is>
      </c>
      <c r="F1799" t="inlineStr">
        <is>
          <t>la venta</t>
        </is>
      </c>
      <c r="G1799" t="inlineStr">
        <is>
          <t>01</t>
        </is>
      </c>
      <c r="H1799" t="inlineStr">
        <is>
          <t>10 LBS</t>
        </is>
      </c>
      <c r="I1799" t="inlineStr">
        <is>
          <t>2029</t>
        </is>
      </c>
      <c r="J1799" t="n">
        <v>2024</v>
      </c>
      <c r="K1799" t="inlineStr">
        <is>
          <t>JUNIO 2024</t>
        </is>
      </c>
      <c r="L1799" t="inlineStr">
        <is>
          <t>JUNIO 2025</t>
        </is>
      </c>
      <c r="M1799" t="inlineStr">
        <is>
          <t>CO2 TIPO BC</t>
        </is>
      </c>
      <c r="N1799" t="inlineStr">
        <is>
          <t>I17562304</t>
        </is>
      </c>
      <c r="O1799" t="inlineStr">
        <is>
          <t>V</t>
        </is>
      </c>
      <c r="P1799">
        <f>TRIM(N1799)</f>
        <v/>
      </c>
    </row>
    <row r="1800">
      <c r="A1800" t="inlineStr">
        <is>
          <t>CO-001938</t>
        </is>
      </c>
      <c r="B1800" t="inlineStr">
        <is>
          <t>Saint-Gobain Productos para la Construcción S.A.C.</t>
        </is>
      </c>
      <c r="C1800" t="inlineStr">
        <is>
          <t>20451775210</t>
        </is>
      </c>
      <c r="D1800" t="inlineStr">
        <is>
          <t>Mza. G lote 01 Cooperativa Las Vertientes, Av. El Sol 1 - Villa el Salvador</t>
        </is>
      </c>
      <c r="E1800" t="inlineStr">
        <is>
          <t>Lima, 24 de Junio de 2024</t>
        </is>
      </c>
      <c r="F1800" t="inlineStr">
        <is>
          <t>la venta</t>
        </is>
      </c>
      <c r="G1800" t="inlineStr">
        <is>
          <t>01</t>
        </is>
      </c>
      <c r="H1800" t="inlineStr">
        <is>
          <t>10 LBS</t>
        </is>
      </c>
      <c r="I1800" t="inlineStr">
        <is>
          <t>2029</t>
        </is>
      </c>
      <c r="J1800" t="n">
        <v>2024</v>
      </c>
      <c r="K1800" t="inlineStr">
        <is>
          <t>JUNIO 2024</t>
        </is>
      </c>
      <c r="L1800" t="inlineStr">
        <is>
          <t>JUNIO 2025</t>
        </is>
      </c>
      <c r="M1800" t="inlineStr">
        <is>
          <t>CO2 TIPO BC</t>
        </is>
      </c>
      <c r="N1800" t="inlineStr">
        <is>
          <t>I17562305</t>
        </is>
      </c>
      <c r="O1800" t="inlineStr">
        <is>
          <t>V</t>
        </is>
      </c>
      <c r="P1800">
        <f>TRIM(N1800)</f>
        <v/>
      </c>
    </row>
    <row r="1801">
      <c r="A1801" t="inlineStr">
        <is>
          <t>CO-001939</t>
        </is>
      </c>
      <c r="B1801" t="inlineStr">
        <is>
          <t>Saint-Gobain Productos para la Construcción S.A.C.</t>
        </is>
      </c>
      <c r="C1801" t="inlineStr">
        <is>
          <t>20451775210</t>
        </is>
      </c>
      <c r="D1801" t="inlineStr">
        <is>
          <t>Mza. G lote 01 Cooperativa Las Vertientes, Av. El Sol 1 - Villa el Salvador</t>
        </is>
      </c>
      <c r="E1801" t="inlineStr">
        <is>
          <t>Lima, 24 de Junio de 2024</t>
        </is>
      </c>
      <c r="F1801" t="inlineStr">
        <is>
          <t>la venta</t>
        </is>
      </c>
      <c r="G1801" t="inlineStr">
        <is>
          <t>01</t>
        </is>
      </c>
      <c r="H1801" t="inlineStr">
        <is>
          <t>125 LBS</t>
        </is>
      </c>
      <c r="I1801" t="n">
        <v>2028</v>
      </c>
      <c r="J1801" t="n">
        <v>2023</v>
      </c>
      <c r="K1801" t="inlineStr">
        <is>
          <t>JUNIO 2024</t>
        </is>
      </c>
      <c r="L1801" t="inlineStr">
        <is>
          <t>JUNIO 2025</t>
        </is>
      </c>
      <c r="M1801" t="inlineStr">
        <is>
          <t>PQS TIPO ABC</t>
        </is>
      </c>
      <c r="N1801" t="inlineStr">
        <is>
          <t>H20646379</t>
        </is>
      </c>
      <c r="O1801" t="inlineStr">
        <is>
          <t>V</t>
        </is>
      </c>
      <c r="P1801">
        <f>TRIM(N1801)</f>
        <v/>
      </c>
    </row>
    <row r="1802">
      <c r="A1802" t="inlineStr">
        <is>
          <t>CO-001940</t>
        </is>
      </c>
      <c r="B1802" t="inlineStr">
        <is>
          <t>Saint-Gobain Productos para la Construcción S.A.C.</t>
        </is>
      </c>
      <c r="C1802" t="inlineStr">
        <is>
          <t>20451775210</t>
        </is>
      </c>
      <c r="D1802" t="inlineStr">
        <is>
          <t>Mza. G lote 01 Cooperativa Las Vertientes, Av. El Sol 1 - Villa el Salvador</t>
        </is>
      </c>
      <c r="E1802" t="inlineStr">
        <is>
          <t>Lima, 24 de Junio de 2024</t>
        </is>
      </c>
      <c r="F1802" t="inlineStr">
        <is>
          <t>la venta</t>
        </is>
      </c>
      <c r="G1802" t="inlineStr">
        <is>
          <t>01</t>
        </is>
      </c>
      <c r="H1802" t="inlineStr">
        <is>
          <t>125 LBS</t>
        </is>
      </c>
      <c r="I1802" t="n">
        <v>2028</v>
      </c>
      <c r="J1802" t="n">
        <v>2023</v>
      </c>
      <c r="K1802" t="inlineStr">
        <is>
          <t>JUNIO 2024</t>
        </is>
      </c>
      <c r="L1802" t="inlineStr">
        <is>
          <t>JUNIO 2025</t>
        </is>
      </c>
      <c r="M1802" t="inlineStr">
        <is>
          <t>PQS TIPO ABC</t>
        </is>
      </c>
      <c r="N1802" t="inlineStr">
        <is>
          <t>H20646420</t>
        </is>
      </c>
      <c r="O1802" t="inlineStr">
        <is>
          <t>V</t>
        </is>
      </c>
      <c r="P1802">
        <f>TRIM(N1802)</f>
        <v/>
      </c>
    </row>
    <row r="1803">
      <c r="A1803" t="inlineStr">
        <is>
          <t>CO-001941</t>
        </is>
      </c>
      <c r="B1803" t="inlineStr">
        <is>
          <t>MAZAL INTERNACIONAL PROYECTOS Y SERVICIOS S.A.C.</t>
        </is>
      </c>
      <c r="C1803" t="inlineStr">
        <is>
          <t>20606733021</t>
        </is>
      </c>
      <c r="D1803" t="inlineStr">
        <is>
          <t>CALLE FRANCISCO DEL CASTILLO 643 - BARRANCA</t>
        </is>
      </c>
      <c r="E1803" t="inlineStr">
        <is>
          <t>Lima, 24 de Junio de 2024</t>
        </is>
      </c>
      <c r="F1803" t="inlineStr">
        <is>
          <t>la Recarga y mantenimiento</t>
        </is>
      </c>
      <c r="G1803" t="inlineStr">
        <is>
          <t>01</t>
        </is>
      </c>
      <c r="H1803" t="inlineStr">
        <is>
          <t>05 LBS</t>
        </is>
      </c>
      <c r="I1803" t="inlineStr">
        <is>
          <t>2027</t>
        </is>
      </c>
      <c r="J1803" t="n">
        <v>2022</v>
      </c>
      <c r="K1803" t="inlineStr">
        <is>
          <t>JUNIO 2024</t>
        </is>
      </c>
      <c r="L1803" t="inlineStr">
        <is>
          <t>JUNIO 2025</t>
        </is>
      </c>
      <c r="M1803" t="inlineStr">
        <is>
          <t>CO2 TIPO BC</t>
        </is>
      </c>
      <c r="N1803" t="inlineStr">
        <is>
          <t>000223</t>
        </is>
      </c>
      <c r="O1803" t="inlineStr">
        <is>
          <t>R</t>
        </is>
      </c>
      <c r="P1803">
        <f>TRIM(N1803)</f>
        <v/>
      </c>
    </row>
    <row r="1804">
      <c r="A1804" t="inlineStr">
        <is>
          <t>CO-001942</t>
        </is>
      </c>
      <c r="B1804" t="inlineStr">
        <is>
          <t>ALFONSO ORTIZ MORALES</t>
        </is>
      </c>
      <c r="C1804" t="inlineStr">
        <is>
          <t>06927679</t>
        </is>
      </c>
      <c r="D1804" t="inlineStr">
        <is>
          <t>PLACA: F4F - 048</t>
        </is>
      </c>
      <c r="E1804" t="inlineStr">
        <is>
          <t>Lima, 24 de Junio de 2024</t>
        </is>
      </c>
      <c r="F1804" t="inlineStr">
        <is>
          <t>la Recarga y mantenimiento</t>
        </is>
      </c>
      <c r="G1804" t="inlineStr">
        <is>
          <t>01</t>
        </is>
      </c>
      <c r="H1804" t="inlineStr">
        <is>
          <t>02 KG</t>
        </is>
      </c>
      <c r="I1804" t="inlineStr">
        <is>
          <t>VIGENTE</t>
        </is>
      </c>
      <c r="J1804" t="n">
        <v>2010</v>
      </c>
      <c r="K1804" t="inlineStr">
        <is>
          <t>JUNIO 2024</t>
        </is>
      </c>
      <c r="L1804" t="inlineStr">
        <is>
          <t>JUNIO 2025</t>
        </is>
      </c>
      <c r="M1804" t="inlineStr">
        <is>
          <t>PQS TIPO ABC</t>
        </is>
      </c>
      <c r="N1804" t="inlineStr">
        <is>
          <t>001058</t>
        </is>
      </c>
      <c r="O1804" t="inlineStr">
        <is>
          <t>R</t>
        </is>
      </c>
      <c r="P1804">
        <f>TRIM(N1804)</f>
        <v/>
      </c>
    </row>
    <row r="1805">
      <c r="A1805" t="inlineStr">
        <is>
          <t>CO-001943</t>
        </is>
      </c>
      <c r="B1805" t="inlineStr">
        <is>
          <t>DINNER LOAYZA</t>
        </is>
      </c>
      <c r="D1805" t="inlineStr">
        <is>
          <t>PLACA: D8K-210</t>
        </is>
      </c>
      <c r="E1805" t="inlineStr">
        <is>
          <t>Lima, 01 de Julio de 2024</t>
        </is>
      </c>
      <c r="F1805" t="inlineStr">
        <is>
          <t>la Recarga y mantenimiento</t>
        </is>
      </c>
      <c r="G1805" t="inlineStr">
        <is>
          <t>01</t>
        </is>
      </c>
      <c r="H1805" t="inlineStr">
        <is>
          <t>02 KG</t>
        </is>
      </c>
      <c r="I1805" t="inlineStr">
        <is>
          <t>VIGENTE</t>
        </is>
      </c>
      <c r="J1805" t="n">
        <v>2012</v>
      </c>
      <c r="K1805" t="inlineStr">
        <is>
          <t>JULIO 2024</t>
        </is>
      </c>
      <c r="L1805" t="inlineStr">
        <is>
          <t>JULIO 2025</t>
        </is>
      </c>
      <c r="M1805" t="inlineStr">
        <is>
          <t>PQS TIPO ABC</t>
        </is>
      </c>
      <c r="N1805" t="inlineStr">
        <is>
          <t>000247</t>
        </is>
      </c>
      <c r="O1805" t="inlineStr">
        <is>
          <t>R</t>
        </is>
      </c>
      <c r="P1805">
        <f>TRIM(N1805)</f>
        <v/>
      </c>
    </row>
    <row r="1806">
      <c r="A1806" t="inlineStr">
        <is>
          <t>CO-001944</t>
        </is>
      </c>
      <c r="B1806" t="inlineStr">
        <is>
          <t>POLLOS Y PARRILLAS CELY S.A.C</t>
        </is>
      </c>
      <c r="C1806" t="inlineStr">
        <is>
          <t>20608356135</t>
        </is>
      </c>
      <c r="D1806" t="inlineStr">
        <is>
          <t>AV. LAS PALMERAS 5380 - LOS OLIVOS</t>
        </is>
      </c>
      <c r="E1806" t="inlineStr">
        <is>
          <t>Lima, 02 de Julio de 2024</t>
        </is>
      </c>
      <c r="F1806" t="inlineStr">
        <is>
          <t>la Recarga y mantenimiento</t>
        </is>
      </c>
      <c r="G1806" t="inlineStr">
        <is>
          <t>01</t>
        </is>
      </c>
      <c r="H1806" t="inlineStr">
        <is>
          <t>2.5 GLS</t>
        </is>
      </c>
      <c r="I1806" t="inlineStr">
        <is>
          <t>2029</t>
        </is>
      </c>
      <c r="J1806" t="n">
        <v>2019</v>
      </c>
      <c r="K1806" t="inlineStr">
        <is>
          <t>JULIO 2024</t>
        </is>
      </c>
      <c r="L1806" t="inlineStr">
        <is>
          <t>JULIO 2025</t>
        </is>
      </c>
      <c r="M1806" t="inlineStr">
        <is>
          <t xml:space="preserve">ACETATO TIPO K </t>
        </is>
      </c>
      <c r="N1806" t="inlineStr">
        <is>
          <t>000207</t>
        </is>
      </c>
      <c r="O1806" t="inlineStr">
        <is>
          <t>R</t>
        </is>
      </c>
      <c r="P1806">
        <f>TRIM(N1806)</f>
        <v/>
      </c>
    </row>
    <row r="1807">
      <c r="A1807" t="inlineStr">
        <is>
          <t>CO-001944</t>
        </is>
      </c>
      <c r="B1807" t="inlineStr">
        <is>
          <t>POLLOS Y PARRILLAS CELY S.A.C</t>
        </is>
      </c>
      <c r="C1807" t="inlineStr">
        <is>
          <t>20608356135</t>
        </is>
      </c>
      <c r="D1807" t="inlineStr">
        <is>
          <t>AV. LAS PALMERAS 5380 - LOS OLIVOS</t>
        </is>
      </c>
      <c r="E1807" t="inlineStr">
        <is>
          <t>Lima, 02 de Julio de 2024</t>
        </is>
      </c>
      <c r="F1807" t="inlineStr">
        <is>
          <t>la Recarga y mantenimiento</t>
        </is>
      </c>
      <c r="G1807" t="inlineStr">
        <is>
          <t>02</t>
        </is>
      </c>
      <c r="H1807" t="inlineStr">
        <is>
          <t>06 KG</t>
        </is>
      </c>
      <c r="I1807" t="inlineStr">
        <is>
          <t>2029</t>
        </is>
      </c>
      <c r="J1807" t="n">
        <v>2019</v>
      </c>
      <c r="K1807" t="inlineStr">
        <is>
          <t>JULIO 2024</t>
        </is>
      </c>
      <c r="L1807" t="inlineStr">
        <is>
          <t>JULIO 2025</t>
        </is>
      </c>
      <c r="M1807" t="inlineStr">
        <is>
          <t>P.Q.S TIPO ABC</t>
        </is>
      </c>
      <c r="N1807" t="inlineStr">
        <is>
          <t>002702</t>
        </is>
      </c>
      <c r="O1807" t="inlineStr">
        <is>
          <t>R</t>
        </is>
      </c>
      <c r="P1807">
        <f>TRIM(N1807)</f>
        <v/>
      </c>
    </row>
    <row r="1808">
      <c r="A1808" t="inlineStr">
        <is>
          <t>CO-001945</t>
        </is>
      </c>
      <c r="B1808" t="inlineStr">
        <is>
          <t>CLINICA VETERIARIA MUNDO ANIMAL</t>
        </is>
      </c>
      <c r="D1808" t="inlineStr">
        <is>
          <t xml:space="preserve">AV. SEPARADORA INDUSTRIAL N° 296 </t>
        </is>
      </c>
      <c r="E1808" t="inlineStr">
        <is>
          <t>Lima, 02 de Julio de 2024</t>
        </is>
      </c>
      <c r="F1808" t="inlineStr">
        <is>
          <t>la Recarga y mantenimiento</t>
        </is>
      </c>
      <c r="G1808" t="inlineStr">
        <is>
          <t>01</t>
        </is>
      </c>
      <c r="H1808" t="inlineStr">
        <is>
          <t>05 LBS</t>
        </is>
      </c>
      <c r="I1808" t="inlineStr">
        <is>
          <t>2029</t>
        </is>
      </c>
      <c r="J1808" t="n">
        <v>2017</v>
      </c>
      <c r="K1808" t="inlineStr">
        <is>
          <t>JULIO 2024</t>
        </is>
      </c>
      <c r="L1808" t="inlineStr">
        <is>
          <t>JULIO 2025</t>
        </is>
      </c>
      <c r="M1808" t="inlineStr">
        <is>
          <t>CO2 TIPO BC</t>
        </is>
      </c>
      <c r="N1808" t="inlineStr">
        <is>
          <t>000195</t>
        </is>
      </c>
      <c r="O1808" t="inlineStr">
        <is>
          <t>R</t>
        </is>
      </c>
      <c r="P1808">
        <f>TRIM(N1808)</f>
        <v/>
      </c>
    </row>
    <row r="1809">
      <c r="A1809" t="inlineStr">
        <is>
          <t>CO-001945</t>
        </is>
      </c>
      <c r="B1809" t="inlineStr">
        <is>
          <t>CLINICA VETERIARIA MUNDO ANIMAL</t>
        </is>
      </c>
      <c r="D1809" t="inlineStr">
        <is>
          <t xml:space="preserve">AV. SEPARADORA INDUSTRIAL N° 296 </t>
        </is>
      </c>
      <c r="E1809" t="inlineStr">
        <is>
          <t>Lima, 02 de Julio de 2024</t>
        </is>
      </c>
      <c r="F1809" t="inlineStr">
        <is>
          <t>la Recarga y mantenimiento</t>
        </is>
      </c>
      <c r="G1809" t="inlineStr">
        <is>
          <t>02</t>
        </is>
      </c>
      <c r="H1809" t="inlineStr">
        <is>
          <t>06 KG</t>
        </is>
      </c>
      <c r="I1809" t="inlineStr">
        <is>
          <t>2025</t>
        </is>
      </c>
      <c r="J1809" t="n">
        <v>2012</v>
      </c>
      <c r="K1809" t="inlineStr">
        <is>
          <t>JULIO 2024</t>
        </is>
      </c>
      <c r="L1809" t="inlineStr">
        <is>
          <t>JULIO 2025</t>
        </is>
      </c>
      <c r="M1809" t="inlineStr">
        <is>
          <t>P.Q.S TIPO ABC</t>
        </is>
      </c>
      <c r="N1809" t="inlineStr">
        <is>
          <t>011899</t>
        </is>
      </c>
      <c r="O1809" t="inlineStr">
        <is>
          <t>R</t>
        </is>
      </c>
      <c r="P1809">
        <f>TRIM(N1809)</f>
        <v/>
      </c>
    </row>
    <row r="1810">
      <c r="A1810" t="inlineStr">
        <is>
          <t>CO-001946</t>
        </is>
      </c>
      <c r="B1810" t="inlineStr">
        <is>
          <t>HIPERMERCADO CERAMICO LAS FLORES SAC.</t>
        </is>
      </c>
      <c r="C1810" t="n">
        <v>20466776336</v>
      </c>
      <c r="D1810" t="inlineStr">
        <is>
          <t>Z.I. INDUSTRIAL DE VENTANILLA AV. LOS PRECURSORES 448  VENTANILLA - CALLAO</t>
        </is>
      </c>
      <c r="E1810" t="inlineStr">
        <is>
          <t>Lima, 06 de Julio de 2024</t>
        </is>
      </c>
      <c r="F1810" t="inlineStr">
        <is>
          <t>la Recarga y mantenimiento</t>
        </is>
      </c>
      <c r="G1810" t="inlineStr">
        <is>
          <t>01</t>
        </is>
      </c>
      <c r="H1810" t="inlineStr">
        <is>
          <t>09 KG</t>
        </is>
      </c>
      <c r="I1810" t="inlineStr">
        <is>
          <t>2027</t>
        </is>
      </c>
      <c r="J1810" t="n">
        <v>2005</v>
      </c>
      <c r="K1810" t="inlineStr">
        <is>
          <t>JULIO 2024</t>
        </is>
      </c>
      <c r="L1810" t="inlineStr">
        <is>
          <t>JULIO 2025</t>
        </is>
      </c>
      <c r="M1810" t="inlineStr">
        <is>
          <t>PQS ABC AL 90% NACIONAL</t>
        </is>
      </c>
      <c r="N1810" t="inlineStr">
        <is>
          <t>01/000124</t>
        </is>
      </c>
      <c r="O1810" t="inlineStr">
        <is>
          <t>R</t>
        </is>
      </c>
      <c r="P1810">
        <f>TRIM(N1810)</f>
        <v/>
      </c>
    </row>
    <row r="1811">
      <c r="A1811" t="inlineStr">
        <is>
          <t>CO-001946</t>
        </is>
      </c>
      <c r="B1811" t="inlineStr">
        <is>
          <t>HIPERMERCADO CERAMICO LAS FLORES SAC.</t>
        </is>
      </c>
      <c r="C1811" t="n">
        <v>20466776336</v>
      </c>
      <c r="D1811" t="inlineStr">
        <is>
          <t>Z.I. INDUSTRIAL DE VENTANILLA AV. LOS PRECURSORES 448  VENTANILLA - CALLAO</t>
        </is>
      </c>
      <c r="E1811" t="inlineStr">
        <is>
          <t>Lima, 06 de Julio de 2024</t>
        </is>
      </c>
      <c r="F1811" t="inlineStr">
        <is>
          <t>la Recarga y mantenimiento</t>
        </is>
      </c>
      <c r="G1811" t="inlineStr">
        <is>
          <t>02</t>
        </is>
      </c>
      <c r="H1811" t="inlineStr">
        <is>
          <t>10 LBS</t>
        </is>
      </c>
      <c r="I1811" t="inlineStr">
        <is>
          <t>2028</t>
        </is>
      </c>
      <c r="J1811" t="n">
        <v>2007</v>
      </c>
      <c r="K1811" t="inlineStr">
        <is>
          <t>JULIO 2024</t>
        </is>
      </c>
      <c r="L1811" t="inlineStr">
        <is>
          <t>JULIO 2025</t>
        </is>
      </c>
      <c r="M1811" t="inlineStr">
        <is>
          <t>CO2 /TIPO BC</t>
        </is>
      </c>
      <c r="N1811" t="inlineStr">
        <is>
          <t>02/000177</t>
        </is>
      </c>
      <c r="O1811" t="inlineStr">
        <is>
          <t>R</t>
        </is>
      </c>
      <c r="P1811">
        <f>TRIM(N1811)</f>
        <v/>
      </c>
    </row>
    <row r="1812">
      <c r="A1812" t="inlineStr">
        <is>
          <t>CO-001946</t>
        </is>
      </c>
      <c r="B1812" t="inlineStr">
        <is>
          <t>HIPERMERCADO CERAMICO LAS FLORES SAC.</t>
        </is>
      </c>
      <c r="C1812" t="n">
        <v>20466776336</v>
      </c>
      <c r="D1812" t="inlineStr">
        <is>
          <t>Z.I. INDUSTRIAL DE VENTANILLA AV. LOS PRECURSORES 448  VENTANILLA - CALLAO</t>
        </is>
      </c>
      <c r="E1812" t="inlineStr">
        <is>
          <t>Lima, 06 de Julio de 2024</t>
        </is>
      </c>
      <c r="F1812" t="inlineStr">
        <is>
          <t>la Recarga y mantenimiento</t>
        </is>
      </c>
      <c r="G1812" t="inlineStr">
        <is>
          <t>03</t>
        </is>
      </c>
      <c r="H1812" t="inlineStr">
        <is>
          <t>09 KG</t>
        </is>
      </c>
      <c r="I1812" t="inlineStr">
        <is>
          <t>2027</t>
        </is>
      </c>
      <c r="J1812" t="n">
        <v>2005</v>
      </c>
      <c r="K1812" t="inlineStr">
        <is>
          <t>JULIO 2024</t>
        </is>
      </c>
      <c r="L1812" t="inlineStr">
        <is>
          <t>JULIO 2025</t>
        </is>
      </c>
      <c r="M1812" t="inlineStr">
        <is>
          <t>PQS ABC AL 90% NACIONAL</t>
        </is>
      </c>
      <c r="N1812" t="inlineStr">
        <is>
          <t>03/000149</t>
        </is>
      </c>
      <c r="O1812" t="inlineStr">
        <is>
          <t>R</t>
        </is>
      </c>
      <c r="P1812">
        <f>TRIM(N1812)</f>
        <v/>
      </c>
    </row>
    <row r="1813">
      <c r="A1813" t="inlineStr">
        <is>
          <t>CO-001946</t>
        </is>
      </c>
      <c r="B1813" t="inlineStr">
        <is>
          <t>HIPERMERCADO CERAMICO LAS FLORES SAC.</t>
        </is>
      </c>
      <c r="C1813" t="n">
        <v>20466776336</v>
      </c>
      <c r="D1813" t="inlineStr">
        <is>
          <t>Z.I. INDUSTRIAL DE VENTANILLA AV. LOS PRECURSORES 448  VENTANILLA - CALLAO</t>
        </is>
      </c>
      <c r="E1813" t="inlineStr">
        <is>
          <t>Lima, 06 de Julio de 2024</t>
        </is>
      </c>
      <c r="F1813" t="inlineStr">
        <is>
          <t>la Recarga y mantenimiento</t>
        </is>
      </c>
      <c r="G1813" t="inlineStr">
        <is>
          <t>04</t>
        </is>
      </c>
      <c r="H1813" t="inlineStr">
        <is>
          <t>10 LBS</t>
        </is>
      </c>
      <c r="I1813" t="inlineStr">
        <is>
          <t>2028</t>
        </is>
      </c>
      <c r="J1813" t="n">
        <v>2007</v>
      </c>
      <c r="K1813" t="inlineStr">
        <is>
          <t>JULIO 2024</t>
        </is>
      </c>
      <c r="L1813" t="inlineStr">
        <is>
          <t>JULIO 2025</t>
        </is>
      </c>
      <c r="M1813" t="inlineStr">
        <is>
          <t>CO2/TIPO BC</t>
        </is>
      </c>
      <c r="N1813" t="inlineStr">
        <is>
          <t>04/000196</t>
        </is>
      </c>
      <c r="O1813" t="inlineStr">
        <is>
          <t>R</t>
        </is>
      </c>
      <c r="P1813">
        <f>TRIM(N1813)</f>
        <v/>
      </c>
    </row>
    <row r="1814">
      <c r="A1814" t="inlineStr">
        <is>
          <t>CO-001946</t>
        </is>
      </c>
      <c r="B1814" t="inlineStr">
        <is>
          <t>HIPERMERCADO CERAMICO LAS FLORES SAC.</t>
        </is>
      </c>
      <c r="C1814" t="n">
        <v>20466776336</v>
      </c>
      <c r="D1814" t="inlineStr">
        <is>
          <t>Z.I. INDUSTRIAL DE VENTANILLA AV. LOS PRECURSORES 448  VENTANILLA - CALLAO</t>
        </is>
      </c>
      <c r="E1814" t="inlineStr">
        <is>
          <t>Lima, 06 de Julio de 2024</t>
        </is>
      </c>
      <c r="F1814" t="inlineStr">
        <is>
          <t>la Recarga y mantenimiento</t>
        </is>
      </c>
      <c r="G1814" t="inlineStr">
        <is>
          <t>05</t>
        </is>
      </c>
      <c r="H1814" t="inlineStr">
        <is>
          <t>09 KG</t>
        </is>
      </c>
      <c r="I1814" t="inlineStr">
        <is>
          <t>2027</t>
        </is>
      </c>
      <c r="J1814" t="n">
        <v>2005</v>
      </c>
      <c r="K1814" t="inlineStr">
        <is>
          <t>JULIO 2024</t>
        </is>
      </c>
      <c r="L1814" t="inlineStr">
        <is>
          <t>JULIO 2025</t>
        </is>
      </c>
      <c r="M1814" t="inlineStr">
        <is>
          <t>PQS ABC AL 90% NACIONAL</t>
        </is>
      </c>
      <c r="N1814" t="inlineStr">
        <is>
          <t>05/000179</t>
        </is>
      </c>
      <c r="O1814" t="inlineStr">
        <is>
          <t>R</t>
        </is>
      </c>
      <c r="P1814">
        <f>TRIM(N1814)</f>
        <v/>
      </c>
    </row>
    <row r="1815">
      <c r="A1815" t="inlineStr">
        <is>
          <t>CO-001946</t>
        </is>
      </c>
      <c r="B1815" t="inlineStr">
        <is>
          <t>HIPERMERCADO CERAMICO LAS FLORES SAC.</t>
        </is>
      </c>
      <c r="C1815" t="n">
        <v>20466776336</v>
      </c>
      <c r="D1815" t="inlineStr">
        <is>
          <t>Z.I. INDUSTRIAL DE VENTANILLA AV. LOS PRECURSORES 448  VENTANILLA - CALLAO</t>
        </is>
      </c>
      <c r="E1815" t="inlineStr">
        <is>
          <t>Lima, 06 de Julio de 2024</t>
        </is>
      </c>
      <c r="F1815" t="inlineStr">
        <is>
          <t>la Recarga y mantenimiento</t>
        </is>
      </c>
      <c r="G1815" t="inlineStr">
        <is>
          <t>06</t>
        </is>
      </c>
      <c r="H1815" t="inlineStr">
        <is>
          <t>06 KG</t>
        </is>
      </c>
      <c r="I1815" t="inlineStr">
        <is>
          <t>2027</t>
        </is>
      </c>
      <c r="J1815" t="n">
        <v>2010</v>
      </c>
      <c r="K1815" t="inlineStr">
        <is>
          <t>JULIO 2024</t>
        </is>
      </c>
      <c r="L1815" t="inlineStr">
        <is>
          <t>JULIO 2025</t>
        </is>
      </c>
      <c r="M1815" t="inlineStr">
        <is>
          <t>PQS ABC AL 90% NACIONAL</t>
        </is>
      </c>
      <c r="N1815" t="inlineStr">
        <is>
          <t>06/000001</t>
        </is>
      </c>
      <c r="O1815" t="inlineStr">
        <is>
          <t>R</t>
        </is>
      </c>
      <c r="P1815">
        <f>TRIM(N1815)</f>
        <v/>
      </c>
    </row>
    <row r="1816">
      <c r="A1816" t="inlineStr">
        <is>
          <t>CO-001946</t>
        </is>
      </c>
      <c r="B1816" t="inlineStr">
        <is>
          <t>HIPERMERCADO CERAMICO LAS FLORES SAC.</t>
        </is>
      </c>
      <c r="C1816" t="n">
        <v>20466776336</v>
      </c>
      <c r="D1816" t="inlineStr">
        <is>
          <t>Z.I. INDUSTRIAL DE VENTANILLA AV. LOS PRECURSORES 448  VENTANILLA - CALLAO</t>
        </is>
      </c>
      <c r="E1816" t="inlineStr">
        <is>
          <t>Lima, 06 de Julio de 2024</t>
        </is>
      </c>
      <c r="F1816" t="inlineStr">
        <is>
          <t>la Recarga y mantenimiento</t>
        </is>
      </c>
      <c r="G1816" t="inlineStr">
        <is>
          <t>07</t>
        </is>
      </c>
      <c r="H1816" t="inlineStr">
        <is>
          <t>10 LBS</t>
        </is>
      </c>
      <c r="I1816" t="inlineStr">
        <is>
          <t>2028</t>
        </is>
      </c>
      <c r="J1816" t="n">
        <v>2007</v>
      </c>
      <c r="K1816" t="inlineStr">
        <is>
          <t>JULIO 2024</t>
        </is>
      </c>
      <c r="L1816" t="inlineStr">
        <is>
          <t>JULIO 2025</t>
        </is>
      </c>
      <c r="M1816" t="inlineStr">
        <is>
          <t>CO2/TIPO BC</t>
        </is>
      </c>
      <c r="N1816" t="inlineStr">
        <is>
          <t>07/000187</t>
        </is>
      </c>
      <c r="O1816" t="inlineStr">
        <is>
          <t>R</t>
        </is>
      </c>
      <c r="P1816">
        <f>TRIM(N1816)</f>
        <v/>
      </c>
    </row>
    <row r="1817">
      <c r="A1817" t="inlineStr">
        <is>
          <t>CO-001946</t>
        </is>
      </c>
      <c r="B1817" t="inlineStr">
        <is>
          <t>HIPERMERCADO CERAMICO LAS FLORES SAC.</t>
        </is>
      </c>
      <c r="C1817" t="n">
        <v>20466776336</v>
      </c>
      <c r="D1817" t="inlineStr">
        <is>
          <t>Z.I. INDUSTRIAL DE VENTANILLA AV. LOS PRECURSORES 448  VENTANILLA - CALLAO</t>
        </is>
      </c>
      <c r="E1817" t="inlineStr">
        <is>
          <t>Lima, 06 de Julio de 2024</t>
        </is>
      </c>
      <c r="F1817" t="inlineStr">
        <is>
          <t>la Recarga y mantenimiento</t>
        </is>
      </c>
      <c r="G1817" t="inlineStr">
        <is>
          <t>08</t>
        </is>
      </c>
      <c r="H1817" t="inlineStr">
        <is>
          <t>09 KG</t>
        </is>
      </c>
      <c r="I1817" t="inlineStr">
        <is>
          <t>2027</t>
        </is>
      </c>
      <c r="J1817" t="n">
        <v>2011</v>
      </c>
      <c r="K1817" t="inlineStr">
        <is>
          <t>JULIO 2024</t>
        </is>
      </c>
      <c r="L1817" t="inlineStr">
        <is>
          <t>JULIO 2025</t>
        </is>
      </c>
      <c r="M1817" t="inlineStr">
        <is>
          <t>PQS ABC AL 90% NACIONAL</t>
        </is>
      </c>
      <c r="N1817" t="inlineStr">
        <is>
          <t>08/000244</t>
        </is>
      </c>
      <c r="O1817" t="inlineStr">
        <is>
          <t>R</t>
        </is>
      </c>
      <c r="P1817">
        <f>TRIM(N1817)</f>
        <v/>
      </c>
    </row>
    <row r="1818">
      <c r="A1818" t="inlineStr">
        <is>
          <t>CO-001947</t>
        </is>
      </c>
      <c r="B1818" t="inlineStr">
        <is>
          <t>HIPERMERCADO CERAMICO LAS FLORES SAC.</t>
        </is>
      </c>
      <c r="C1818" t="n">
        <v>20466776336</v>
      </c>
      <c r="D1818" t="inlineStr">
        <is>
          <t>Z.I. INDUSTRIAL DE VENTANILLA AV. LOS PRECURSORES 448  VENTANILLA - CALLAO</t>
        </is>
      </c>
      <c r="E1818" t="inlineStr">
        <is>
          <t>Lima, 06 de Julio de 2024</t>
        </is>
      </c>
      <c r="F1818" t="inlineStr">
        <is>
          <t>la Recarga y mantenimiento</t>
        </is>
      </c>
      <c r="G1818" t="inlineStr">
        <is>
          <t>01</t>
        </is>
      </c>
      <c r="H1818" t="inlineStr">
        <is>
          <t>09 KG</t>
        </is>
      </c>
      <c r="I1818" t="inlineStr">
        <is>
          <t>2027</t>
        </is>
      </c>
      <c r="J1818" t="n">
        <v>2014</v>
      </c>
      <c r="K1818" t="inlineStr">
        <is>
          <t>JULIO 2024</t>
        </is>
      </c>
      <c r="L1818" t="inlineStr">
        <is>
          <t>JULIO 2025</t>
        </is>
      </c>
      <c r="M1818" t="inlineStr">
        <is>
          <t>PQS ABC AL 90% NACIONAL</t>
        </is>
      </c>
      <c r="N1818" t="inlineStr">
        <is>
          <t>09/000239</t>
        </is>
      </c>
      <c r="O1818" t="inlineStr">
        <is>
          <t>R</t>
        </is>
      </c>
      <c r="P1818">
        <f>TRIM(N1818)</f>
        <v/>
      </c>
    </row>
    <row r="1819">
      <c r="A1819" t="inlineStr">
        <is>
          <t>CO-001947</t>
        </is>
      </c>
      <c r="B1819" t="inlineStr">
        <is>
          <t>HIPERMERCADO CERAMICO LAS FLORES SAC.</t>
        </is>
      </c>
      <c r="C1819" t="n">
        <v>20466776336</v>
      </c>
      <c r="D1819" t="inlineStr">
        <is>
          <t>Z.I. INDUSTRIAL DE VENTANILLA AV. LOS PRECURSORES 448  VENTANILLA - CALLAO</t>
        </is>
      </c>
      <c r="E1819" t="inlineStr">
        <is>
          <t>Lima, 06 de Julio de 2024</t>
        </is>
      </c>
      <c r="F1819" t="inlineStr">
        <is>
          <t>la Recarga y mantenimiento</t>
        </is>
      </c>
      <c r="G1819" t="inlineStr">
        <is>
          <t>02</t>
        </is>
      </c>
      <c r="H1819" t="inlineStr">
        <is>
          <t>09 KG</t>
        </is>
      </c>
      <c r="I1819" t="inlineStr">
        <is>
          <t>2027</t>
        </is>
      </c>
      <c r="J1819" t="n">
        <v>2004</v>
      </c>
      <c r="K1819" t="inlineStr">
        <is>
          <t>JULIO 2024</t>
        </is>
      </c>
      <c r="L1819" t="inlineStr">
        <is>
          <t>JULIO 2025</t>
        </is>
      </c>
      <c r="M1819" t="inlineStr">
        <is>
          <t>PQS ABC AL 90% NACIONAL</t>
        </is>
      </c>
      <c r="N1819" t="inlineStr">
        <is>
          <t>10/000207</t>
        </is>
      </c>
      <c r="O1819" t="inlineStr">
        <is>
          <t>R</t>
        </is>
      </c>
      <c r="P1819">
        <f>TRIM(N1819)</f>
        <v/>
      </c>
    </row>
    <row r="1820">
      <c r="A1820" t="inlineStr">
        <is>
          <t>CO-001947</t>
        </is>
      </c>
      <c r="B1820" t="inlineStr">
        <is>
          <t>HIPERMERCADO CERAMICO LAS FLORES SAC.</t>
        </is>
      </c>
      <c r="C1820" t="n">
        <v>20466776336</v>
      </c>
      <c r="D1820" t="inlineStr">
        <is>
          <t>Z.I. INDUSTRIAL DE VENTANILLA AV. LOS PRECURSORES 448  VENTANILLA - CALLAO</t>
        </is>
      </c>
      <c r="E1820" t="inlineStr">
        <is>
          <t>Lima, 06 de Julio de 2024</t>
        </is>
      </c>
      <c r="F1820" t="inlineStr">
        <is>
          <t>la Recarga y mantenimiento</t>
        </is>
      </c>
      <c r="G1820" t="inlineStr">
        <is>
          <t>03</t>
        </is>
      </c>
      <c r="H1820" t="inlineStr">
        <is>
          <t>09 KG</t>
        </is>
      </c>
      <c r="I1820" t="inlineStr">
        <is>
          <t>2027</t>
        </is>
      </c>
      <c r="J1820" t="n">
        <v>2005</v>
      </c>
      <c r="K1820" t="inlineStr">
        <is>
          <t>JULIO 2024</t>
        </is>
      </c>
      <c r="L1820" t="inlineStr">
        <is>
          <t>JULIO 2025</t>
        </is>
      </c>
      <c r="M1820" t="inlineStr">
        <is>
          <t>PQS ABC AL 90% NACIONAL</t>
        </is>
      </c>
      <c r="N1820" t="inlineStr">
        <is>
          <t>11/000197</t>
        </is>
      </c>
      <c r="O1820" t="inlineStr">
        <is>
          <t>R</t>
        </is>
      </c>
      <c r="P1820">
        <f>TRIM(N1820)</f>
        <v/>
      </c>
    </row>
    <row r="1821">
      <c r="A1821" t="inlineStr">
        <is>
          <t>CO-001947</t>
        </is>
      </c>
      <c r="B1821" t="inlineStr">
        <is>
          <t>HIPERMERCADO CERAMICO LAS FLORES SAC.</t>
        </is>
      </c>
      <c r="C1821" t="n">
        <v>20466776336</v>
      </c>
      <c r="D1821" t="inlineStr">
        <is>
          <t>Z.I. INDUSTRIAL DE VENTANILLA AV. LOS PRECURSORES 448  VENTANILLA - CALLAO</t>
        </is>
      </c>
      <c r="E1821" t="inlineStr">
        <is>
          <t>Lima, 06 de Julio de 2024</t>
        </is>
      </c>
      <c r="F1821" t="inlineStr">
        <is>
          <t>la Recarga y mantenimiento</t>
        </is>
      </c>
      <c r="G1821" t="inlineStr">
        <is>
          <t>04</t>
        </is>
      </c>
      <c r="H1821" t="inlineStr">
        <is>
          <t>09 KG</t>
        </is>
      </c>
      <c r="I1821" t="inlineStr">
        <is>
          <t>2027</t>
        </is>
      </c>
      <c r="J1821" t="n">
        <v>2009</v>
      </c>
      <c r="K1821" t="inlineStr">
        <is>
          <t>JULIO 2024</t>
        </is>
      </c>
      <c r="L1821" t="inlineStr">
        <is>
          <t>JULIO 2025</t>
        </is>
      </c>
      <c r="M1821" t="inlineStr">
        <is>
          <t>PQS ABC AL 90% NACIONAL</t>
        </is>
      </c>
      <c r="N1821" t="inlineStr">
        <is>
          <t>12/000150</t>
        </is>
      </c>
      <c r="O1821" t="inlineStr">
        <is>
          <t>R</t>
        </is>
      </c>
      <c r="P1821">
        <f>TRIM(N1821)</f>
        <v/>
      </c>
    </row>
    <row r="1822">
      <c r="A1822" t="inlineStr">
        <is>
          <t>CO-001947</t>
        </is>
      </c>
      <c r="B1822" t="inlineStr">
        <is>
          <t>HIPERMERCADO CERAMICO LAS FLORES SAC.</t>
        </is>
      </c>
      <c r="C1822" t="n">
        <v>20466776336</v>
      </c>
      <c r="D1822" t="inlineStr">
        <is>
          <t>Z.I. INDUSTRIAL DE VENTANILLA AV. LOS PRECURSORES 448  VENTANILLA - CALLAO</t>
        </is>
      </c>
      <c r="E1822" t="inlineStr">
        <is>
          <t>Lima, 06 de Julio de 2024</t>
        </is>
      </c>
      <c r="F1822" t="inlineStr">
        <is>
          <t>la Recarga y mantenimiento</t>
        </is>
      </c>
      <c r="G1822" t="inlineStr">
        <is>
          <t>05</t>
        </is>
      </c>
      <c r="H1822" t="inlineStr">
        <is>
          <t>06 KG</t>
        </is>
      </c>
      <c r="I1822" t="inlineStr">
        <is>
          <t>2027</t>
        </is>
      </c>
      <c r="J1822" t="n">
        <v>2010</v>
      </c>
      <c r="K1822" t="inlineStr">
        <is>
          <t>JULIO 2024</t>
        </is>
      </c>
      <c r="L1822" t="inlineStr">
        <is>
          <t>JULIO 2025</t>
        </is>
      </c>
      <c r="M1822" t="inlineStr">
        <is>
          <t>PQS ABC AL 90% NACIONAL</t>
        </is>
      </c>
      <c r="N1822" t="inlineStr">
        <is>
          <t>13/005398</t>
        </is>
      </c>
      <c r="O1822" t="inlineStr">
        <is>
          <t>R</t>
        </is>
      </c>
      <c r="P1822">
        <f>TRIM(N1822)</f>
        <v/>
      </c>
    </row>
    <row r="1823">
      <c r="A1823" t="inlineStr">
        <is>
          <t>CO-001947</t>
        </is>
      </c>
      <c r="B1823" t="inlineStr">
        <is>
          <t>HIPERMERCADO CERAMICO LAS FLORES SAC.</t>
        </is>
      </c>
      <c r="C1823" t="n">
        <v>20466776336</v>
      </c>
      <c r="D1823" t="inlineStr">
        <is>
          <t>Z.I. INDUSTRIAL DE VENTANILLA AV. LOS PRECURSORES 448  VENTANILLA - CALLAO</t>
        </is>
      </c>
      <c r="E1823" t="inlineStr">
        <is>
          <t>Lima, 06 de Julio de 2024</t>
        </is>
      </c>
      <c r="F1823" t="inlineStr">
        <is>
          <t>la Recarga y mantenimiento</t>
        </is>
      </c>
      <c r="G1823" t="inlineStr">
        <is>
          <t>06</t>
        </is>
      </c>
      <c r="H1823" t="inlineStr">
        <is>
          <t>06 KG</t>
        </is>
      </c>
      <c r="I1823" t="inlineStr">
        <is>
          <t>2027</t>
        </is>
      </c>
      <c r="J1823" t="n">
        <v>2015</v>
      </c>
      <c r="K1823" t="inlineStr">
        <is>
          <t>JULIO 2024</t>
        </is>
      </c>
      <c r="L1823" t="inlineStr">
        <is>
          <t>JULIO 2025</t>
        </is>
      </c>
      <c r="M1823" t="inlineStr">
        <is>
          <t>PQS ABC AL 90% NACIONAL</t>
        </is>
      </c>
      <c r="N1823" t="inlineStr">
        <is>
          <t>14/013044</t>
        </is>
      </c>
      <c r="O1823" t="inlineStr">
        <is>
          <t>R</t>
        </is>
      </c>
      <c r="P1823">
        <f>TRIM(N1823)</f>
        <v/>
      </c>
    </row>
    <row r="1824">
      <c r="A1824" t="inlineStr">
        <is>
          <t>CO-001947</t>
        </is>
      </c>
      <c r="B1824" t="inlineStr">
        <is>
          <t>HIPERMERCADO CERAMICO LAS FLORES SAC.</t>
        </is>
      </c>
      <c r="C1824" t="n">
        <v>20466776336</v>
      </c>
      <c r="D1824" t="inlineStr">
        <is>
          <t>Z.I. INDUSTRIAL DE VENTANILLA AV. LOS PRECURSORES 448  VENTANILLA - CALLAO</t>
        </is>
      </c>
      <c r="E1824" t="inlineStr">
        <is>
          <t>Lima, 06 de Julio de 2024</t>
        </is>
      </c>
      <c r="F1824" t="inlineStr">
        <is>
          <t>la Recarga y mantenimiento</t>
        </is>
      </c>
      <c r="G1824" t="inlineStr">
        <is>
          <t>07</t>
        </is>
      </c>
      <c r="H1824" t="inlineStr">
        <is>
          <t>02 KG</t>
        </is>
      </c>
      <c r="I1824" t="inlineStr">
        <is>
          <t>2027</t>
        </is>
      </c>
      <c r="J1824" t="n">
        <v>2013</v>
      </c>
      <c r="K1824" t="inlineStr">
        <is>
          <t>JULIO 2024</t>
        </is>
      </c>
      <c r="L1824" t="inlineStr">
        <is>
          <t>JULIO 2025</t>
        </is>
      </c>
      <c r="M1824" t="inlineStr">
        <is>
          <t>PQS ABC AL 90% NACIONAL</t>
        </is>
      </c>
      <c r="N1824" t="inlineStr">
        <is>
          <t>15/000342</t>
        </is>
      </c>
      <c r="O1824" t="inlineStr">
        <is>
          <t>R</t>
        </is>
      </c>
      <c r="P1824">
        <f>TRIM(N1824)</f>
        <v/>
      </c>
    </row>
    <row r="1825">
      <c r="A1825" t="inlineStr">
        <is>
          <t>CO-001948</t>
        </is>
      </c>
      <c r="B1825" t="inlineStr">
        <is>
          <t xml:space="preserve">ODONTO VIDA De: LISETTE  LOURDES SANTOS SOTO </t>
        </is>
      </c>
      <c r="D1825" t="inlineStr">
        <is>
          <t>JR. UNION 650 URB. PABLO VI - COMAS</t>
        </is>
      </c>
      <c r="E1825" t="inlineStr">
        <is>
          <t>Lima, 09 de Julio de 2024</t>
        </is>
      </c>
      <c r="F1825" t="inlineStr">
        <is>
          <t>la Recarga y mantenimiento</t>
        </is>
      </c>
      <c r="G1825" t="inlineStr">
        <is>
          <t>01</t>
        </is>
      </c>
      <c r="H1825" t="inlineStr">
        <is>
          <t>04 KG</t>
        </is>
      </c>
      <c r="I1825" t="inlineStr">
        <is>
          <t>2029</t>
        </is>
      </c>
      <c r="J1825" t="n">
        <v>2016</v>
      </c>
      <c r="K1825" t="inlineStr">
        <is>
          <t>JULIO 2024</t>
        </is>
      </c>
      <c r="L1825" t="inlineStr">
        <is>
          <t>JULIO 2025</t>
        </is>
      </c>
      <c r="M1825" t="inlineStr">
        <is>
          <t>PQS TIPO ABC</t>
        </is>
      </c>
      <c r="N1825" t="inlineStr">
        <is>
          <t>01/000276</t>
        </is>
      </c>
      <c r="O1825" t="inlineStr">
        <is>
          <t>R</t>
        </is>
      </c>
      <c r="P1825">
        <f>TRIM(N1825)</f>
        <v/>
      </c>
    </row>
    <row r="1826">
      <c r="A1826" t="inlineStr">
        <is>
          <t>CO-001949</t>
        </is>
      </c>
      <c r="B1826" t="inlineStr">
        <is>
          <t xml:space="preserve">ODONTO VIDA De: LISETTE  LOURDES SANTOS SOTO </t>
        </is>
      </c>
      <c r="D1826" t="inlineStr">
        <is>
          <t>JR. UNION 650 URB. PABLO VI - COMAS</t>
        </is>
      </c>
      <c r="E1826" t="inlineStr">
        <is>
          <t>Lima, 09 de Julio de 2024</t>
        </is>
      </c>
      <c r="F1826" t="inlineStr">
        <is>
          <t>la Recarga y mantenimiento</t>
        </is>
      </c>
      <c r="G1826" t="inlineStr">
        <is>
          <t>01</t>
        </is>
      </c>
      <c r="H1826" t="inlineStr">
        <is>
          <t>02 KG</t>
        </is>
      </c>
      <c r="I1826" t="inlineStr">
        <is>
          <t>VIGENTE</t>
        </is>
      </c>
      <c r="J1826" t="n">
        <v>2013</v>
      </c>
      <c r="K1826" t="inlineStr">
        <is>
          <t>JULIO 2024</t>
        </is>
      </c>
      <c r="L1826" t="inlineStr">
        <is>
          <t>JULIO 2025</t>
        </is>
      </c>
      <c r="M1826" t="inlineStr">
        <is>
          <t>PQS TIPO ABC</t>
        </is>
      </c>
      <c r="N1826" t="inlineStr">
        <is>
          <t>02/002354</t>
        </is>
      </c>
      <c r="O1826" t="inlineStr">
        <is>
          <t>R</t>
        </is>
      </c>
      <c r="P1826">
        <f>TRIM(N1826)</f>
        <v/>
      </c>
    </row>
    <row r="1827">
      <c r="A1827" t="inlineStr">
        <is>
          <t>CO-001950</t>
        </is>
      </c>
      <c r="B1827" t="inlineStr">
        <is>
          <t>MERCADO LA FRONTERA PUESTO J20</t>
        </is>
      </c>
      <c r="D1827" t="inlineStr">
        <is>
          <t>MERCADO LA  FRONTERA - Puesto  J20</t>
        </is>
      </c>
      <c r="E1827" t="inlineStr">
        <is>
          <t>Lima, 09 de Julio de 2024</t>
        </is>
      </c>
      <c r="F1827" t="inlineStr">
        <is>
          <t>la Recarga y mantenimiento</t>
        </is>
      </c>
      <c r="G1827" t="inlineStr">
        <is>
          <t>01</t>
        </is>
      </c>
      <c r="H1827" t="inlineStr">
        <is>
          <t>06 KG</t>
        </is>
      </c>
      <c r="I1827" t="inlineStr">
        <is>
          <t>2028</t>
        </is>
      </c>
      <c r="J1827" t="n">
        <v>2017</v>
      </c>
      <c r="K1827" t="inlineStr">
        <is>
          <t>JULIO 2024</t>
        </is>
      </c>
      <c r="L1827" t="inlineStr">
        <is>
          <t>JULIO 2025</t>
        </is>
      </c>
      <c r="M1827" t="inlineStr">
        <is>
          <t>P.Q.S TIPO ABC</t>
        </is>
      </c>
      <c r="N1827" t="inlineStr">
        <is>
          <t>001462</t>
        </is>
      </c>
      <c r="O1827" t="inlineStr">
        <is>
          <t>R</t>
        </is>
      </c>
      <c r="P1827">
        <f>TRIM(N1827)</f>
        <v/>
      </c>
    </row>
    <row r="1828">
      <c r="A1828" t="inlineStr">
        <is>
          <t>CO-001951</t>
        </is>
      </c>
      <c r="B1828" t="inlineStr">
        <is>
          <t>MERCADO LA FRONTERA PUESTO E12</t>
        </is>
      </c>
      <c r="D1828" t="inlineStr">
        <is>
          <t>MERCADO LA  FRONTERA - Puesto  E12</t>
        </is>
      </c>
      <c r="E1828" t="inlineStr">
        <is>
          <t>Lima, 09 de Julio de 2024</t>
        </is>
      </c>
      <c r="F1828" t="inlineStr">
        <is>
          <t>la Recarga y mantenimiento</t>
        </is>
      </c>
      <c r="G1828" t="inlineStr">
        <is>
          <t>01</t>
        </is>
      </c>
      <c r="H1828" t="inlineStr">
        <is>
          <t>06 KG</t>
        </is>
      </c>
      <c r="I1828" t="inlineStr">
        <is>
          <t>2025</t>
        </is>
      </c>
      <c r="J1828" t="n">
        <v>2016</v>
      </c>
      <c r="K1828" t="inlineStr">
        <is>
          <t>JULIO 2024</t>
        </is>
      </c>
      <c r="L1828" t="inlineStr">
        <is>
          <t>JULIO 2025</t>
        </is>
      </c>
      <c r="M1828" t="inlineStr">
        <is>
          <t>P.Q.S TIPO ABC</t>
        </is>
      </c>
      <c r="N1828" t="inlineStr">
        <is>
          <t>018180</t>
        </is>
      </c>
      <c r="O1828" t="inlineStr">
        <is>
          <t>R</t>
        </is>
      </c>
      <c r="P1828">
        <f>TRIM(N1828)</f>
        <v/>
      </c>
    </row>
    <row r="1829">
      <c r="A1829" t="inlineStr">
        <is>
          <t>CO-001952</t>
        </is>
      </c>
      <c r="B1829" t="inlineStr">
        <is>
          <t>MERCADO LA FRONTERA PUESTO F4</t>
        </is>
      </c>
      <c r="D1829" t="inlineStr">
        <is>
          <t>MERCADO LA  FRONTERA - Puesto  F4</t>
        </is>
      </c>
      <c r="E1829" t="inlineStr">
        <is>
          <t>Lima, 09 de Julio de 2024</t>
        </is>
      </c>
      <c r="F1829" t="inlineStr">
        <is>
          <t>la Recarga y mantenimiento</t>
        </is>
      </c>
      <c r="G1829" t="inlineStr">
        <is>
          <t>01</t>
        </is>
      </c>
      <c r="H1829" t="inlineStr">
        <is>
          <t>06 KG</t>
        </is>
      </c>
      <c r="I1829" t="inlineStr">
        <is>
          <t>2025</t>
        </is>
      </c>
      <c r="J1829" t="n">
        <v>2020</v>
      </c>
      <c r="K1829" t="inlineStr">
        <is>
          <t>JULIO 2024</t>
        </is>
      </c>
      <c r="L1829" t="inlineStr">
        <is>
          <t>JULIO 2025</t>
        </is>
      </c>
      <c r="M1829" t="inlineStr">
        <is>
          <t>P.Q.S TIPO ABC</t>
        </is>
      </c>
      <c r="N1829" t="inlineStr">
        <is>
          <t>003364</t>
        </is>
      </c>
      <c r="O1829" t="inlineStr">
        <is>
          <t>R</t>
        </is>
      </c>
      <c r="P1829">
        <f>TRIM(N1829)</f>
        <v/>
      </c>
    </row>
    <row r="1830">
      <c r="A1830" t="inlineStr">
        <is>
          <t>CO-001953</t>
        </is>
      </c>
      <c r="B1830" t="inlineStr">
        <is>
          <t>MERCADO LA FRONTERA PUESTO D3</t>
        </is>
      </c>
      <c r="D1830" t="inlineStr">
        <is>
          <t>MERCADO LA  FRONTERA - Puesto  D3</t>
        </is>
      </c>
      <c r="E1830" t="inlineStr">
        <is>
          <t>Lima, 09 de Julio de 2024</t>
        </is>
      </c>
      <c r="F1830" t="inlineStr">
        <is>
          <t>la Recarga y mantenimiento</t>
        </is>
      </c>
      <c r="G1830" t="inlineStr">
        <is>
          <t>01</t>
        </is>
      </c>
      <c r="H1830" t="inlineStr">
        <is>
          <t>04 KG</t>
        </is>
      </c>
      <c r="I1830" t="inlineStr">
        <is>
          <t>2029</t>
        </is>
      </c>
      <c r="J1830" t="n">
        <v>2019</v>
      </c>
      <c r="K1830" t="inlineStr">
        <is>
          <t>JULIO 2024</t>
        </is>
      </c>
      <c r="L1830" t="inlineStr">
        <is>
          <t>JULIO 2025</t>
        </is>
      </c>
      <c r="M1830" t="inlineStr">
        <is>
          <t>P.Q.S TIPO ABC</t>
        </is>
      </c>
      <c r="N1830" t="inlineStr">
        <is>
          <t>080583</t>
        </is>
      </c>
      <c r="O1830" t="inlineStr">
        <is>
          <t>R</t>
        </is>
      </c>
      <c r="P1830">
        <f>TRIM(N1830)</f>
        <v/>
      </c>
    </row>
    <row r="1831">
      <c r="A1831" t="inlineStr">
        <is>
          <t>CO-001954</t>
        </is>
      </c>
      <c r="B1831" t="inlineStr">
        <is>
          <t>MERCADO LA FRONTERA PUESTO E13</t>
        </is>
      </c>
      <c r="D1831" t="inlineStr">
        <is>
          <t>MERCADO LA  FRONTERA - Puesto  E13</t>
        </is>
      </c>
      <c r="E1831" t="inlineStr">
        <is>
          <t>Lima, 09 de Julio de 2024</t>
        </is>
      </c>
      <c r="F1831" t="inlineStr">
        <is>
          <t>la Recarga y mantenimiento</t>
        </is>
      </c>
      <c r="G1831" t="inlineStr">
        <is>
          <t>01</t>
        </is>
      </c>
      <c r="H1831" t="inlineStr">
        <is>
          <t>06 KG</t>
        </is>
      </c>
      <c r="I1831" t="inlineStr">
        <is>
          <t>2029</t>
        </is>
      </c>
      <c r="J1831" t="n">
        <v>2013</v>
      </c>
      <c r="K1831" t="inlineStr">
        <is>
          <t>JULIO 2024</t>
        </is>
      </c>
      <c r="L1831" t="inlineStr">
        <is>
          <t>JULIO 2025</t>
        </is>
      </c>
      <c r="M1831" t="inlineStr">
        <is>
          <t>P.Q.S TIPO ABC</t>
        </is>
      </c>
      <c r="N1831" t="inlineStr">
        <is>
          <t>004407</t>
        </is>
      </c>
      <c r="O1831" t="inlineStr">
        <is>
          <t>R</t>
        </is>
      </c>
      <c r="P1831">
        <f>TRIM(N1831)</f>
        <v/>
      </c>
    </row>
    <row r="1832">
      <c r="A1832" t="inlineStr">
        <is>
          <t>CO-001955</t>
        </is>
      </c>
      <c r="B1832" t="inlineStr">
        <is>
          <t>MERCADO LA FRONTERA PUESTO F31</t>
        </is>
      </c>
      <c r="D1832" t="inlineStr">
        <is>
          <t>MERCADO LA  FRONTERA - Puesto  F31</t>
        </is>
      </c>
      <c r="E1832" t="inlineStr">
        <is>
          <t>Lima, 09 de Julio de 2024</t>
        </is>
      </c>
      <c r="F1832" t="inlineStr">
        <is>
          <t>la Recarga y mantenimiento</t>
        </is>
      </c>
      <c r="G1832" t="inlineStr">
        <is>
          <t>01</t>
        </is>
      </c>
      <c r="H1832" t="inlineStr">
        <is>
          <t>06 KG</t>
        </is>
      </c>
      <c r="I1832" t="inlineStr">
        <is>
          <t>2029</t>
        </is>
      </c>
      <c r="J1832" t="n">
        <v>2016</v>
      </c>
      <c r="K1832" t="inlineStr">
        <is>
          <t>JULIO 2024</t>
        </is>
      </c>
      <c r="L1832" t="inlineStr">
        <is>
          <t>JULIO 2025</t>
        </is>
      </c>
      <c r="M1832" t="inlineStr">
        <is>
          <t>P.Q.S TIPO ABC</t>
        </is>
      </c>
      <c r="N1832" t="inlineStr">
        <is>
          <t>000263</t>
        </is>
      </c>
      <c r="O1832" t="inlineStr">
        <is>
          <t>R</t>
        </is>
      </c>
      <c r="P1832">
        <f>TRIM(N1832)</f>
        <v/>
      </c>
    </row>
    <row r="1833">
      <c r="A1833" t="inlineStr">
        <is>
          <t>CO-001956</t>
        </is>
      </c>
      <c r="B1833" t="inlineStr">
        <is>
          <t>MERCADO LA FRONTERA PUESTO J21</t>
        </is>
      </c>
      <c r="D1833" t="inlineStr">
        <is>
          <t>MERCADO LA  FRONTERA - Puesto  J21</t>
        </is>
      </c>
      <c r="E1833" t="inlineStr">
        <is>
          <t>Lima, 09 de Julio de 2024</t>
        </is>
      </c>
      <c r="F1833" t="inlineStr">
        <is>
          <t>la Recarga y mantenimiento</t>
        </is>
      </c>
      <c r="G1833" t="inlineStr">
        <is>
          <t>01</t>
        </is>
      </c>
      <c r="H1833" t="inlineStr">
        <is>
          <t>06 KG</t>
        </is>
      </c>
      <c r="I1833" t="inlineStr">
        <is>
          <t>2028</t>
        </is>
      </c>
      <c r="J1833" t="n">
        <v>2016</v>
      </c>
      <c r="K1833" t="inlineStr">
        <is>
          <t>JULIO 2024</t>
        </is>
      </c>
      <c r="L1833" t="inlineStr">
        <is>
          <t>JULIO 2025</t>
        </is>
      </c>
      <c r="M1833" t="inlineStr">
        <is>
          <t>P.Q.S TIPO ABC</t>
        </is>
      </c>
      <c r="N1833" t="inlineStr">
        <is>
          <t>000416</t>
        </is>
      </c>
      <c r="O1833" t="inlineStr">
        <is>
          <t>R</t>
        </is>
      </c>
      <c r="P1833">
        <f>TRIM(N1833)</f>
        <v/>
      </c>
    </row>
    <row r="1834">
      <c r="A1834" t="inlineStr">
        <is>
          <t>CO-001957</t>
        </is>
      </c>
      <c r="B1834" t="inlineStr">
        <is>
          <t>MERCADO LA FRONTERA PUESTO F29</t>
        </is>
      </c>
      <c r="D1834" t="inlineStr">
        <is>
          <t>MERCADO LA  FRONTERA - Puesto  F29</t>
        </is>
      </c>
      <c r="E1834" t="inlineStr">
        <is>
          <t>Lima, 09 de Julio de 2024</t>
        </is>
      </c>
      <c r="F1834" t="inlineStr">
        <is>
          <t>la Recarga y mantenimiento</t>
        </is>
      </c>
      <c r="G1834" t="inlineStr">
        <is>
          <t>01</t>
        </is>
      </c>
      <c r="H1834" t="inlineStr">
        <is>
          <t>06 KG</t>
        </is>
      </c>
      <c r="I1834" t="inlineStr">
        <is>
          <t>2029</t>
        </is>
      </c>
      <c r="J1834" t="n">
        <v>2016</v>
      </c>
      <c r="K1834" t="inlineStr">
        <is>
          <t>JULIO 2024</t>
        </is>
      </c>
      <c r="L1834" t="inlineStr">
        <is>
          <t>JULIO 2025</t>
        </is>
      </c>
      <c r="M1834" t="inlineStr">
        <is>
          <t>P.Q.S TIPO ABC</t>
        </is>
      </c>
      <c r="N1834" t="inlineStr">
        <is>
          <t>000763</t>
        </is>
      </c>
      <c r="O1834" t="inlineStr">
        <is>
          <t>R</t>
        </is>
      </c>
      <c r="P1834">
        <f>TRIM(N1834)</f>
        <v/>
      </c>
    </row>
    <row r="1835">
      <c r="A1835" t="inlineStr">
        <is>
          <t>CO-001958</t>
        </is>
      </c>
      <c r="B1835" t="inlineStr">
        <is>
          <t>MERCADO LA FRONTERA PUESTO E11</t>
        </is>
      </c>
      <c r="D1835" t="inlineStr">
        <is>
          <t>MERCADO LA  FRONTERA - Puesto  E11</t>
        </is>
      </c>
      <c r="E1835" t="inlineStr">
        <is>
          <t>Lima, 09 de Julio de 2024</t>
        </is>
      </c>
      <c r="F1835" t="inlineStr">
        <is>
          <t>la Recarga y mantenimiento</t>
        </is>
      </c>
      <c r="G1835" t="inlineStr">
        <is>
          <t>01</t>
        </is>
      </c>
      <c r="H1835" t="inlineStr">
        <is>
          <t>06 KG</t>
        </is>
      </c>
      <c r="I1835" t="inlineStr">
        <is>
          <t>2028</t>
        </is>
      </c>
      <c r="J1835" t="n">
        <v>2016</v>
      </c>
      <c r="K1835" t="inlineStr">
        <is>
          <t>JULIO 2024</t>
        </is>
      </c>
      <c r="L1835" t="inlineStr">
        <is>
          <t>JULIO 2025</t>
        </is>
      </c>
      <c r="M1835" t="inlineStr">
        <is>
          <t>P.Q.S TIPO ABC</t>
        </is>
      </c>
      <c r="N1835" t="inlineStr">
        <is>
          <t>000175</t>
        </is>
      </c>
      <c r="O1835" t="inlineStr">
        <is>
          <t>R</t>
        </is>
      </c>
      <c r="P1835">
        <f>TRIM(N1835)</f>
        <v/>
      </c>
    </row>
    <row r="1836">
      <c r="A1836" t="inlineStr">
        <is>
          <t>CO-001959</t>
        </is>
      </c>
      <c r="B1836" t="inlineStr">
        <is>
          <t>MERCADO LA FRONTERA PUESTO G8</t>
        </is>
      </c>
      <c r="D1836" t="inlineStr">
        <is>
          <t>MERCADO LA  FRONTERA - Puesto  G8</t>
        </is>
      </c>
      <c r="E1836" t="inlineStr">
        <is>
          <t>Lima, 09 de Julio de 2024</t>
        </is>
      </c>
      <c r="F1836" t="inlineStr">
        <is>
          <t>la Recarga y mantenimiento</t>
        </is>
      </c>
      <c r="G1836" t="inlineStr">
        <is>
          <t>01</t>
        </is>
      </c>
      <c r="H1836" t="inlineStr">
        <is>
          <t>06 KG</t>
        </is>
      </c>
      <c r="I1836" t="inlineStr">
        <is>
          <t>2029</t>
        </is>
      </c>
      <c r="J1836" t="n">
        <v>2016</v>
      </c>
      <c r="K1836" t="inlineStr">
        <is>
          <t>JULIO 2024</t>
        </is>
      </c>
      <c r="L1836" t="inlineStr">
        <is>
          <t>JULIO 2025</t>
        </is>
      </c>
      <c r="M1836" t="inlineStr">
        <is>
          <t>P.Q.S TIPO ABC</t>
        </is>
      </c>
      <c r="N1836" t="inlineStr">
        <is>
          <t>012632</t>
        </is>
      </c>
      <c r="O1836" t="inlineStr">
        <is>
          <t>R</t>
        </is>
      </c>
      <c r="P1836">
        <f>TRIM(N1836)</f>
        <v/>
      </c>
    </row>
    <row r="1837">
      <c r="A1837" t="inlineStr">
        <is>
          <t>CO-001960</t>
        </is>
      </c>
      <c r="B1837" t="inlineStr">
        <is>
          <t>MERCADO LA FRONTERA PUESTO F32</t>
        </is>
      </c>
      <c r="D1837" t="inlineStr">
        <is>
          <t>MERCADO LA  FRONTERA - Puesto  F32</t>
        </is>
      </c>
      <c r="E1837" t="inlineStr">
        <is>
          <t>Lima, 09 de Julio de 2024</t>
        </is>
      </c>
      <c r="F1837" t="inlineStr">
        <is>
          <t>la Recarga y mantenimiento</t>
        </is>
      </c>
      <c r="G1837" t="inlineStr">
        <is>
          <t>01</t>
        </is>
      </c>
      <c r="H1837" t="inlineStr">
        <is>
          <t>02 KG</t>
        </is>
      </c>
      <c r="I1837" t="inlineStr">
        <is>
          <t>VIGENTE</t>
        </is>
      </c>
      <c r="J1837" t="n">
        <v>2016</v>
      </c>
      <c r="K1837" t="inlineStr">
        <is>
          <t>JULIO 2024</t>
        </is>
      </c>
      <c r="L1837" t="inlineStr">
        <is>
          <t>JULIO 2025</t>
        </is>
      </c>
      <c r="M1837" t="inlineStr">
        <is>
          <t>P.Q.S TIPO ABC</t>
        </is>
      </c>
      <c r="N1837" t="inlineStr">
        <is>
          <t>031030</t>
        </is>
      </c>
      <c r="O1837" t="inlineStr">
        <is>
          <t>R</t>
        </is>
      </c>
      <c r="P1837">
        <f>TRIM(N1837)</f>
        <v/>
      </c>
    </row>
    <row r="1838">
      <c r="A1838" t="inlineStr">
        <is>
          <t>CO-001961</t>
        </is>
      </c>
      <c r="B1838" t="inlineStr">
        <is>
          <t>MERCADO LA FRONTERA PUESTO H5</t>
        </is>
      </c>
      <c r="D1838" t="inlineStr">
        <is>
          <t>MERCADO LA  FRONTERA - Puesto  H5</t>
        </is>
      </c>
      <c r="E1838" t="inlineStr">
        <is>
          <t>Lima, 09 de Julio de 2024</t>
        </is>
      </c>
      <c r="F1838" t="inlineStr">
        <is>
          <t>la Recarga y mantenimiento</t>
        </is>
      </c>
      <c r="G1838" t="inlineStr">
        <is>
          <t>01</t>
        </is>
      </c>
      <c r="H1838" t="inlineStr">
        <is>
          <t>04 KG</t>
        </is>
      </c>
      <c r="I1838" t="inlineStr">
        <is>
          <t>2029</t>
        </is>
      </c>
      <c r="J1838" t="n">
        <v>2016</v>
      </c>
      <c r="K1838" t="inlineStr">
        <is>
          <t>JULIO 2024</t>
        </is>
      </c>
      <c r="L1838" t="inlineStr">
        <is>
          <t>JULIO 2025</t>
        </is>
      </c>
      <c r="M1838" t="inlineStr">
        <is>
          <t>P.Q.S TIPO ABC</t>
        </is>
      </c>
      <c r="N1838" t="inlineStr">
        <is>
          <t>008289</t>
        </is>
      </c>
      <c r="O1838" t="inlineStr">
        <is>
          <t>R</t>
        </is>
      </c>
      <c r="P1838">
        <f>TRIM(N1838)</f>
        <v/>
      </c>
    </row>
    <row r="1839">
      <c r="A1839" t="inlineStr">
        <is>
          <t>CO-001962</t>
        </is>
      </c>
      <c r="B1839" t="inlineStr">
        <is>
          <t>MERCADO LA FRONTERA PUESTO F8</t>
        </is>
      </c>
      <c r="D1839" t="inlineStr">
        <is>
          <t>MERCADO LA  FRONTERA - Puesto  F8</t>
        </is>
      </c>
      <c r="E1839" t="inlineStr">
        <is>
          <t>Lima, 09 de Julio de 2024</t>
        </is>
      </c>
      <c r="F1839" t="inlineStr">
        <is>
          <t>la Recarga y mantenimiento</t>
        </is>
      </c>
      <c r="G1839" t="inlineStr">
        <is>
          <t>01</t>
        </is>
      </c>
      <c r="H1839" t="inlineStr">
        <is>
          <t>06 KG</t>
        </is>
      </c>
      <c r="I1839" t="inlineStr">
        <is>
          <t>2026</t>
        </is>
      </c>
      <c r="J1839" t="n">
        <v>2014</v>
      </c>
      <c r="K1839" t="inlineStr">
        <is>
          <t>JULIO 2024</t>
        </is>
      </c>
      <c r="L1839" t="inlineStr">
        <is>
          <t>JULIO 2025</t>
        </is>
      </c>
      <c r="M1839" t="inlineStr">
        <is>
          <t>P.Q.S TIPO ABC</t>
        </is>
      </c>
      <c r="N1839" t="inlineStr">
        <is>
          <t>000504</t>
        </is>
      </c>
      <c r="O1839" t="inlineStr">
        <is>
          <t>R</t>
        </is>
      </c>
      <c r="P1839">
        <f>TRIM(N1839)</f>
        <v/>
      </c>
    </row>
    <row r="1840">
      <c r="A1840" t="inlineStr">
        <is>
          <t>CO-001963</t>
        </is>
      </c>
      <c r="B1840" t="inlineStr">
        <is>
          <t>MERCADO LA FRONTERA PUESTO H2</t>
        </is>
      </c>
      <c r="D1840" t="inlineStr">
        <is>
          <t>MERCADO LA  FRONTERA - Puesto  H2</t>
        </is>
      </c>
      <c r="E1840" t="inlineStr">
        <is>
          <t>Lima, 09 de Julio de 2024</t>
        </is>
      </c>
      <c r="F1840" t="inlineStr">
        <is>
          <t>la Recarga y mantenimiento</t>
        </is>
      </c>
      <c r="G1840" t="inlineStr">
        <is>
          <t>01</t>
        </is>
      </c>
      <c r="H1840" t="inlineStr">
        <is>
          <t>06 KG</t>
        </is>
      </c>
      <c r="I1840" t="inlineStr">
        <is>
          <t>2026</t>
        </is>
      </c>
      <c r="J1840" t="n">
        <v>2021</v>
      </c>
      <c r="K1840" t="inlineStr">
        <is>
          <t>JULIO 2024</t>
        </is>
      </c>
      <c r="L1840" t="inlineStr">
        <is>
          <t>JULIO 2025</t>
        </is>
      </c>
      <c r="M1840" t="inlineStr">
        <is>
          <t>P.Q.S TIPO ABC</t>
        </is>
      </c>
      <c r="N1840" t="inlineStr">
        <is>
          <t>139914</t>
        </is>
      </c>
      <c r="O1840" t="inlineStr">
        <is>
          <t>R</t>
        </is>
      </c>
      <c r="P1840">
        <f>TRIM(N1840)</f>
        <v/>
      </c>
    </row>
    <row r="1841">
      <c r="A1841" t="inlineStr">
        <is>
          <t>CO-001964</t>
        </is>
      </c>
      <c r="B1841" t="inlineStr">
        <is>
          <t>MERCADO LA FRONTERA PUESTO H8</t>
        </is>
      </c>
      <c r="D1841" t="inlineStr">
        <is>
          <t>MERCADO LA  FRONTERA - Puesto  H8</t>
        </is>
      </c>
      <c r="E1841" t="inlineStr">
        <is>
          <t>Lima, 09 de Julio de 2024</t>
        </is>
      </c>
      <c r="F1841" t="inlineStr">
        <is>
          <t>la Recarga y mantenimiento</t>
        </is>
      </c>
      <c r="G1841" t="inlineStr">
        <is>
          <t>01</t>
        </is>
      </c>
      <c r="H1841" t="inlineStr">
        <is>
          <t>06 KG</t>
        </is>
      </c>
      <c r="I1841" t="inlineStr">
        <is>
          <t>2028</t>
        </is>
      </c>
      <c r="J1841" t="n">
        <v>2017</v>
      </c>
      <c r="K1841" t="inlineStr">
        <is>
          <t>JULIO 2024</t>
        </is>
      </c>
      <c r="L1841" t="inlineStr">
        <is>
          <t>JULIO 2025</t>
        </is>
      </c>
      <c r="M1841" t="inlineStr">
        <is>
          <t>P.Q.S TIPO ABC</t>
        </is>
      </c>
      <c r="N1841" t="inlineStr">
        <is>
          <t>001598</t>
        </is>
      </c>
      <c r="O1841" t="inlineStr">
        <is>
          <t>R</t>
        </is>
      </c>
      <c r="P1841">
        <f>TRIM(N1841)</f>
        <v/>
      </c>
    </row>
    <row r="1842">
      <c r="A1842" t="inlineStr">
        <is>
          <t>CO-001965</t>
        </is>
      </c>
      <c r="B1842" t="inlineStr">
        <is>
          <t>MERCADO LA FRONTERA PUESTO K5</t>
        </is>
      </c>
      <c r="D1842" t="inlineStr">
        <is>
          <t>MERCADO LA  FRONTERA - Puesto  K5</t>
        </is>
      </c>
      <c r="E1842" t="inlineStr">
        <is>
          <t>Lima, 09 de Julio de 2024</t>
        </is>
      </c>
      <c r="F1842" t="inlineStr">
        <is>
          <t>la Recarga y mantenimiento</t>
        </is>
      </c>
      <c r="G1842" t="inlineStr">
        <is>
          <t>01</t>
        </is>
      </c>
      <c r="H1842" t="inlineStr">
        <is>
          <t>06 KG</t>
        </is>
      </c>
      <c r="I1842" t="inlineStr">
        <is>
          <t>2028</t>
        </is>
      </c>
      <c r="J1842" t="n">
        <v>2016</v>
      </c>
      <c r="K1842" t="inlineStr">
        <is>
          <t>JULIO 2024</t>
        </is>
      </c>
      <c r="L1842" t="inlineStr">
        <is>
          <t>JULIO 2025</t>
        </is>
      </c>
      <c r="M1842" t="inlineStr">
        <is>
          <t>P.Q.S TIPO ABC</t>
        </is>
      </c>
      <c r="N1842" t="inlineStr">
        <is>
          <t>001384</t>
        </is>
      </c>
      <c r="O1842" t="inlineStr">
        <is>
          <t>R</t>
        </is>
      </c>
      <c r="P1842">
        <f>TRIM(N1842)</f>
        <v/>
      </c>
    </row>
    <row r="1843">
      <c r="A1843" t="inlineStr">
        <is>
          <t>CO-001966</t>
        </is>
      </c>
      <c r="B1843" t="inlineStr">
        <is>
          <t>MERCADO LA FRONTERA PUESTO G1</t>
        </is>
      </c>
      <c r="D1843" t="inlineStr">
        <is>
          <t>MERCADO LA  FRONTERA - Puesto  G1</t>
        </is>
      </c>
      <c r="E1843" t="inlineStr">
        <is>
          <t>Lima, 09 de Julio de 2024</t>
        </is>
      </c>
      <c r="F1843" t="inlineStr">
        <is>
          <t>la Recarga y mantenimiento</t>
        </is>
      </c>
      <c r="G1843" t="inlineStr">
        <is>
          <t>01</t>
        </is>
      </c>
      <c r="H1843" t="inlineStr">
        <is>
          <t>06 KG</t>
        </is>
      </c>
      <c r="I1843" t="inlineStr">
        <is>
          <t>VIGENTE</t>
        </is>
      </c>
      <c r="J1843" t="n">
        <v>2005</v>
      </c>
      <c r="K1843" t="inlineStr">
        <is>
          <t>JULIO 2024</t>
        </is>
      </c>
      <c r="L1843" t="inlineStr">
        <is>
          <t>JULIO 2025</t>
        </is>
      </c>
      <c r="M1843" t="inlineStr">
        <is>
          <t>P.Q.S TIPO ABC</t>
        </is>
      </c>
      <c r="N1843" t="inlineStr">
        <is>
          <t>000048</t>
        </is>
      </c>
      <c r="O1843" t="inlineStr">
        <is>
          <t>R</t>
        </is>
      </c>
      <c r="P1843">
        <f>TRIM(N1843)</f>
        <v/>
      </c>
    </row>
    <row r="1844">
      <c r="A1844" t="inlineStr">
        <is>
          <t>CO-001967</t>
        </is>
      </c>
      <c r="B1844" t="inlineStr">
        <is>
          <t>MERCADO LA FRONTERA PUESTO H1, H10</t>
        </is>
      </c>
      <c r="D1844" t="inlineStr">
        <is>
          <t>MERCADO LA  FRONTERA - Puesto H1, H10</t>
        </is>
      </c>
      <c r="E1844" t="inlineStr">
        <is>
          <t>Lima, 09 de Julio de 2024</t>
        </is>
      </c>
      <c r="F1844" t="inlineStr">
        <is>
          <t>la Recarga y mantenimiento</t>
        </is>
      </c>
      <c r="G1844" t="inlineStr">
        <is>
          <t>01</t>
        </is>
      </c>
      <c r="H1844" t="inlineStr">
        <is>
          <t>06 KG</t>
        </is>
      </c>
      <c r="I1844" t="inlineStr">
        <is>
          <t>2028</t>
        </is>
      </c>
      <c r="J1844" t="n">
        <v>2005</v>
      </c>
      <c r="K1844" t="inlineStr">
        <is>
          <t>JULIO 2024</t>
        </is>
      </c>
      <c r="L1844" t="inlineStr">
        <is>
          <t>JULIO 2025</t>
        </is>
      </c>
      <c r="M1844" t="inlineStr">
        <is>
          <t>P.Q.S TIPO ABC</t>
        </is>
      </c>
      <c r="N1844" t="inlineStr">
        <is>
          <t>006618</t>
        </is>
      </c>
      <c r="O1844" t="inlineStr">
        <is>
          <t>R</t>
        </is>
      </c>
      <c r="P1844">
        <f>TRIM(N1844)</f>
        <v/>
      </c>
    </row>
    <row r="1845">
      <c r="A1845" t="inlineStr">
        <is>
          <t>CO-001968</t>
        </is>
      </c>
      <c r="B1845" t="inlineStr">
        <is>
          <t>MERCADO LA FRONTERA PUESTO D1</t>
        </is>
      </c>
      <c r="D1845" t="inlineStr">
        <is>
          <t>MERCADO LA  FRONTERA - Puesto  D1</t>
        </is>
      </c>
      <c r="E1845" t="inlineStr">
        <is>
          <t>Lima, 09 de Julio de 2024</t>
        </is>
      </c>
      <c r="F1845" t="inlineStr">
        <is>
          <t>la Recarga y mantenimiento</t>
        </is>
      </c>
      <c r="G1845" t="inlineStr">
        <is>
          <t>01</t>
        </is>
      </c>
      <c r="H1845" t="inlineStr">
        <is>
          <t>06 KG</t>
        </is>
      </c>
      <c r="I1845" t="inlineStr">
        <is>
          <t>2029</t>
        </is>
      </c>
      <c r="J1845" t="n">
        <v>2019</v>
      </c>
      <c r="K1845" t="inlineStr">
        <is>
          <t>JULIO 2024</t>
        </is>
      </c>
      <c r="L1845" t="inlineStr">
        <is>
          <t>JULIO 2025</t>
        </is>
      </c>
      <c r="M1845" t="inlineStr">
        <is>
          <t>P.Q.S TIPO ABC</t>
        </is>
      </c>
      <c r="N1845" t="inlineStr">
        <is>
          <t>001857</t>
        </is>
      </c>
      <c r="O1845" t="inlineStr">
        <is>
          <t>R</t>
        </is>
      </c>
      <c r="P1845">
        <f>TRIM(N1845)</f>
        <v/>
      </c>
    </row>
    <row r="1846">
      <c r="A1846" t="inlineStr">
        <is>
          <t>CO-001969</t>
        </is>
      </c>
      <c r="B1846" t="inlineStr">
        <is>
          <t>MERCADO LA FRONTERA PUESTO I4, I5</t>
        </is>
      </c>
      <c r="D1846" t="inlineStr">
        <is>
          <t>MERCADO LA  FRONTERA - Puesto  I4, I5</t>
        </is>
      </c>
      <c r="E1846" t="inlineStr">
        <is>
          <t>Lima, 09 de Julio de 2024</t>
        </is>
      </c>
      <c r="F1846" t="inlineStr">
        <is>
          <t>la Recarga y mantenimiento</t>
        </is>
      </c>
      <c r="G1846" t="inlineStr">
        <is>
          <t>01</t>
        </is>
      </c>
      <c r="H1846" t="inlineStr">
        <is>
          <t>10 LBS</t>
        </is>
      </c>
      <c r="I1846" t="inlineStr">
        <is>
          <t>2028</t>
        </is>
      </c>
      <c r="J1846" t="n">
        <v>2015</v>
      </c>
      <c r="K1846" t="inlineStr">
        <is>
          <t>JULIO 2024</t>
        </is>
      </c>
      <c r="L1846" t="inlineStr">
        <is>
          <t>JULIO 2025</t>
        </is>
      </c>
      <c r="M1846" t="inlineStr">
        <is>
          <t>CO2 TIPO BC</t>
        </is>
      </c>
      <c r="N1846" t="inlineStr">
        <is>
          <t>000001</t>
        </is>
      </c>
      <c r="O1846" t="inlineStr">
        <is>
          <t>R</t>
        </is>
      </c>
      <c r="P1846">
        <f>TRIM(N1846)</f>
        <v/>
      </c>
    </row>
    <row r="1847">
      <c r="A1847" t="inlineStr">
        <is>
          <t>CO-001970</t>
        </is>
      </c>
      <c r="B1847" t="inlineStr">
        <is>
          <t>MERCADO LA FRONTERA PUESTO G17</t>
        </is>
      </c>
      <c r="D1847" t="inlineStr">
        <is>
          <t>MERCADO LA  FRONTERA - Puesto  G17</t>
        </is>
      </c>
      <c r="E1847" t="inlineStr">
        <is>
          <t>Lima, 09 de Julio de 2024</t>
        </is>
      </c>
      <c r="F1847" t="inlineStr">
        <is>
          <t>la Recarga y mantenimiento</t>
        </is>
      </c>
      <c r="G1847" t="inlineStr">
        <is>
          <t>01</t>
        </is>
      </c>
      <c r="H1847" t="inlineStr">
        <is>
          <t>06 KG</t>
        </is>
      </c>
      <c r="I1847" t="inlineStr">
        <is>
          <t>2029</t>
        </is>
      </c>
      <c r="J1847" t="n">
        <v>2015</v>
      </c>
      <c r="K1847" t="inlineStr">
        <is>
          <t>JULIO 2024</t>
        </is>
      </c>
      <c r="L1847" t="inlineStr">
        <is>
          <t>JULIO 2025</t>
        </is>
      </c>
      <c r="M1847" t="inlineStr">
        <is>
          <t>P.Q.S TIPO ABC</t>
        </is>
      </c>
      <c r="N1847" t="inlineStr">
        <is>
          <t>000471</t>
        </is>
      </c>
      <c r="O1847" t="inlineStr">
        <is>
          <t>R</t>
        </is>
      </c>
      <c r="P1847">
        <f>TRIM(N1847)</f>
        <v/>
      </c>
    </row>
    <row r="1848">
      <c r="A1848" t="inlineStr">
        <is>
          <t>CO-001971</t>
        </is>
      </c>
      <c r="B1848" t="inlineStr">
        <is>
          <t>MERCADO LA FRONTERA PUESTO J24</t>
        </is>
      </c>
      <c r="D1848" t="inlineStr">
        <is>
          <t>MERCADO LA  FRONTERA - Puesto  J24</t>
        </is>
      </c>
      <c r="E1848" t="inlineStr">
        <is>
          <t>Lima, 09 de Julio de 2024</t>
        </is>
      </c>
      <c r="F1848" t="inlineStr">
        <is>
          <t>la Recarga y mantenimiento</t>
        </is>
      </c>
      <c r="G1848" t="inlineStr">
        <is>
          <t>01</t>
        </is>
      </c>
      <c r="H1848" t="inlineStr">
        <is>
          <t>06 KG</t>
        </is>
      </c>
      <c r="I1848" t="inlineStr">
        <is>
          <t>2026</t>
        </is>
      </c>
      <c r="J1848" t="n">
        <v>2016</v>
      </c>
      <c r="K1848" t="inlineStr">
        <is>
          <t>JULIO 2024</t>
        </is>
      </c>
      <c r="L1848" t="inlineStr">
        <is>
          <t>JULIO 2025</t>
        </is>
      </c>
      <c r="M1848" t="inlineStr">
        <is>
          <t>P.Q.S TIPO ABC</t>
        </is>
      </c>
      <c r="N1848" t="inlineStr">
        <is>
          <t>000353</t>
        </is>
      </c>
      <c r="O1848" t="inlineStr">
        <is>
          <t>R</t>
        </is>
      </c>
      <c r="P1848">
        <f>TRIM(N1848)</f>
        <v/>
      </c>
    </row>
    <row r="1849">
      <c r="A1849" t="inlineStr">
        <is>
          <t>CO-001972</t>
        </is>
      </c>
      <c r="B1849" t="inlineStr">
        <is>
          <t>MERCADO LA FRONTERA PUESTO F1</t>
        </is>
      </c>
      <c r="D1849" t="inlineStr">
        <is>
          <t>MERCADO LA  FRONTERA - Puesto  F1</t>
        </is>
      </c>
      <c r="E1849" t="inlineStr">
        <is>
          <t>Lima, 09 de Julio de 2024</t>
        </is>
      </c>
      <c r="F1849" t="inlineStr">
        <is>
          <t>la Recarga y mantenimiento</t>
        </is>
      </c>
      <c r="G1849" t="inlineStr">
        <is>
          <t>01</t>
        </is>
      </c>
      <c r="H1849" t="inlineStr">
        <is>
          <t>06 KG</t>
        </is>
      </c>
      <c r="I1849" t="inlineStr">
        <is>
          <t>2029</t>
        </is>
      </c>
      <c r="J1849" t="n">
        <v>2019</v>
      </c>
      <c r="K1849" t="inlineStr">
        <is>
          <t>JULIO 2024</t>
        </is>
      </c>
      <c r="L1849" t="inlineStr">
        <is>
          <t>JULIO 2025</t>
        </is>
      </c>
      <c r="M1849" t="inlineStr">
        <is>
          <t>P.Q.S TIPO ABC</t>
        </is>
      </c>
      <c r="N1849" t="inlineStr">
        <is>
          <t>001604</t>
        </is>
      </c>
      <c r="O1849" t="inlineStr">
        <is>
          <t>R</t>
        </is>
      </c>
      <c r="P1849">
        <f>TRIM(N1849)</f>
        <v/>
      </c>
    </row>
    <row r="1850">
      <c r="A1850" t="inlineStr">
        <is>
          <t>CO-001973</t>
        </is>
      </c>
      <c r="B1850" t="inlineStr">
        <is>
          <t>MERCADO LA FRONTERA PUESTO L3</t>
        </is>
      </c>
      <c r="D1850" t="inlineStr">
        <is>
          <t>MERCADO LA  FRONTERA - Puesto  L3</t>
        </is>
      </c>
      <c r="E1850" t="inlineStr">
        <is>
          <t>Lima, 09 de Julio de 2024</t>
        </is>
      </c>
      <c r="F1850" t="inlineStr">
        <is>
          <t>la Recarga y mantenimiento</t>
        </is>
      </c>
      <c r="G1850" t="inlineStr">
        <is>
          <t>01</t>
        </is>
      </c>
      <c r="H1850" t="inlineStr">
        <is>
          <t>06 KG</t>
        </is>
      </c>
      <c r="I1850" t="inlineStr">
        <is>
          <t>2025</t>
        </is>
      </c>
      <c r="J1850" t="n">
        <v>2020</v>
      </c>
      <c r="K1850" t="inlineStr">
        <is>
          <t>JULIO 2024</t>
        </is>
      </c>
      <c r="L1850" t="inlineStr">
        <is>
          <t>JULIO 2025</t>
        </is>
      </c>
      <c r="M1850" t="inlineStr">
        <is>
          <t>P.Q.S TIPO ABC</t>
        </is>
      </c>
      <c r="N1850" t="inlineStr">
        <is>
          <t>001083</t>
        </is>
      </c>
      <c r="O1850" t="inlineStr">
        <is>
          <t>R</t>
        </is>
      </c>
      <c r="P1850">
        <f>TRIM(N1850)</f>
        <v/>
      </c>
    </row>
    <row r="1851">
      <c r="A1851" t="inlineStr">
        <is>
          <t>CO-001974</t>
        </is>
      </c>
      <c r="B1851" t="inlineStr">
        <is>
          <t>MERCADO LA FRONTERA PUESTO E10</t>
        </is>
      </c>
      <c r="D1851" t="inlineStr">
        <is>
          <t>MERCADO LA  FRONTERA - Puesto  E10</t>
        </is>
      </c>
      <c r="E1851" t="inlineStr">
        <is>
          <t>Lima, 09 de Julio de 2024</t>
        </is>
      </c>
      <c r="F1851" t="inlineStr">
        <is>
          <t>la Recarga y mantenimiento</t>
        </is>
      </c>
      <c r="G1851" t="inlineStr">
        <is>
          <t>01</t>
        </is>
      </c>
      <c r="H1851" t="inlineStr">
        <is>
          <t>06 KG</t>
        </is>
      </c>
      <c r="I1851" t="inlineStr">
        <is>
          <t>2029</t>
        </is>
      </c>
      <c r="J1851" t="n">
        <v>2017</v>
      </c>
      <c r="K1851" t="inlineStr">
        <is>
          <t>JULIO 2024</t>
        </is>
      </c>
      <c r="L1851" t="inlineStr">
        <is>
          <t>JULIO 2025</t>
        </is>
      </c>
      <c r="M1851" t="inlineStr">
        <is>
          <t>P.Q.S TIPO ABC</t>
        </is>
      </c>
      <c r="N1851" t="inlineStr">
        <is>
          <t>006989</t>
        </is>
      </c>
      <c r="O1851" t="inlineStr">
        <is>
          <t>R</t>
        </is>
      </c>
      <c r="P1851">
        <f>TRIM(N1851)</f>
        <v/>
      </c>
    </row>
    <row r="1852">
      <c r="A1852" t="inlineStr">
        <is>
          <t>CO-001975</t>
        </is>
      </c>
      <c r="B1852" t="inlineStr">
        <is>
          <t>MERCADO LA FRONTERA PUESTO L1</t>
        </is>
      </c>
      <c r="D1852" t="inlineStr">
        <is>
          <t>MERCADO LA  FRONTERA - Puesto  L1</t>
        </is>
      </c>
      <c r="E1852" t="inlineStr">
        <is>
          <t>Lima, 09 de Julio de 2024</t>
        </is>
      </c>
      <c r="F1852" t="inlineStr">
        <is>
          <t>la venta</t>
        </is>
      </c>
      <c r="G1852" t="inlineStr">
        <is>
          <t>01</t>
        </is>
      </c>
      <c r="H1852" t="inlineStr">
        <is>
          <t>06 KG</t>
        </is>
      </c>
      <c r="I1852" t="inlineStr">
        <is>
          <t>2029</t>
        </is>
      </c>
      <c r="J1852" t="n">
        <v>2024</v>
      </c>
      <c r="K1852" t="inlineStr">
        <is>
          <t>JULIO 2024</t>
        </is>
      </c>
      <c r="L1852" t="inlineStr">
        <is>
          <t>JULIO 2025</t>
        </is>
      </c>
      <c r="M1852" t="inlineStr">
        <is>
          <t>P.Q.S TIPO ABC</t>
        </is>
      </c>
      <c r="O1852" t="inlineStr">
        <is>
          <t>V</t>
        </is>
      </c>
      <c r="P1852">
        <f>TRIM(N1852)</f>
        <v/>
      </c>
    </row>
    <row r="1853">
      <c r="A1853" t="inlineStr">
        <is>
          <t>CO-001976</t>
        </is>
      </c>
      <c r="B1853" t="inlineStr">
        <is>
          <t>LINDE PERU S.R.L. - YAULI</t>
        </is>
      </c>
      <c r="C1853" t="inlineStr">
        <is>
          <t>20338570041</t>
        </is>
      </c>
      <c r="D1853" t="inlineStr">
        <is>
          <t>SECTOR PACHACHACA LOTE G-1 YAULI, JUNIN, PERÚ</t>
        </is>
      </c>
      <c r="E1853" t="inlineStr">
        <is>
          <t>Lima, 11 de Julio de 2024</t>
        </is>
      </c>
      <c r="F1853" t="inlineStr">
        <is>
          <t>la Recarga y mantenimiento</t>
        </is>
      </c>
      <c r="G1853" t="n">
        <v>1</v>
      </c>
      <c r="H1853" t="inlineStr">
        <is>
          <t>20 LBS</t>
        </is>
      </c>
      <c r="I1853" t="inlineStr">
        <is>
          <t>2029</t>
        </is>
      </c>
      <c r="J1853" t="n">
        <v>2016</v>
      </c>
      <c r="K1853" t="inlineStr">
        <is>
          <t>JULIO 2024</t>
        </is>
      </c>
      <c r="L1853" t="inlineStr">
        <is>
          <t>JULIO 2025</t>
        </is>
      </c>
      <c r="M1853" t="inlineStr">
        <is>
          <t>P.Q.S.  TIPO ABC AL 90% UL</t>
        </is>
      </c>
      <c r="N1853" t="inlineStr">
        <is>
          <t>15/A39014701</t>
        </is>
      </c>
      <c r="O1853" t="inlineStr">
        <is>
          <t>R</t>
        </is>
      </c>
      <c r="P1853">
        <f>TRIM(N1853)</f>
        <v/>
      </c>
    </row>
    <row r="1854">
      <c r="A1854" t="inlineStr">
        <is>
          <t>CO-001976</t>
        </is>
      </c>
      <c r="B1854" t="inlineStr">
        <is>
          <t>LINDE PERU S.R.L. - YAULI</t>
        </is>
      </c>
      <c r="C1854" t="inlineStr">
        <is>
          <t>20338570041</t>
        </is>
      </c>
      <c r="D1854" t="inlineStr">
        <is>
          <t>SECTOR PACHACHACA LOTE G-1 YAULI, JUNIN, PERÚ</t>
        </is>
      </c>
      <c r="E1854" t="inlineStr">
        <is>
          <t>Lima, 11 de Julio de 2024</t>
        </is>
      </c>
      <c r="F1854" t="inlineStr">
        <is>
          <t>la Recarga y mantenimiento</t>
        </is>
      </c>
      <c r="G1854" t="n">
        <v>2</v>
      </c>
      <c r="H1854" t="inlineStr">
        <is>
          <t>20 LBS</t>
        </is>
      </c>
      <c r="I1854" t="inlineStr">
        <is>
          <t>2029</t>
        </is>
      </c>
      <c r="J1854" t="n">
        <v>2016</v>
      </c>
      <c r="K1854" t="inlineStr">
        <is>
          <t>JULIO 2024</t>
        </is>
      </c>
      <c r="L1854" t="inlineStr">
        <is>
          <t>JULIO 2025</t>
        </is>
      </c>
      <c r="M1854" t="inlineStr">
        <is>
          <t>P.Q.S.  TIPO ABC AL 90% UL</t>
        </is>
      </c>
      <c r="N1854" t="inlineStr">
        <is>
          <t>16/A39013789</t>
        </is>
      </c>
      <c r="O1854" t="inlineStr">
        <is>
          <t>R</t>
        </is>
      </c>
      <c r="P1854">
        <f>TRIM(N1854)</f>
        <v/>
      </c>
    </row>
    <row r="1855">
      <c r="A1855" t="inlineStr">
        <is>
          <t>CO-001976</t>
        </is>
      </c>
      <c r="B1855" t="inlineStr">
        <is>
          <t>LINDE PERU S.R.L. - YAULI</t>
        </is>
      </c>
      <c r="C1855" t="inlineStr">
        <is>
          <t>20338570041</t>
        </is>
      </c>
      <c r="D1855" t="inlineStr">
        <is>
          <t>SECTOR PACHACHACA LOTE G-1 YAULI, JUNIN, PERÚ</t>
        </is>
      </c>
      <c r="E1855" t="inlineStr">
        <is>
          <t>Lima, 11 de Julio de 2024</t>
        </is>
      </c>
      <c r="F1855" t="inlineStr">
        <is>
          <t>la Recarga y mantenimiento</t>
        </is>
      </c>
      <c r="G1855" t="n">
        <v>3</v>
      </c>
      <c r="H1855" t="inlineStr">
        <is>
          <t>20 LBS</t>
        </is>
      </c>
      <c r="I1855" t="inlineStr">
        <is>
          <t>2029</t>
        </is>
      </c>
      <c r="J1855" t="n">
        <v>2018</v>
      </c>
      <c r="K1855" t="inlineStr">
        <is>
          <t>JULIO 2024</t>
        </is>
      </c>
      <c r="L1855" t="inlineStr">
        <is>
          <t>JULIO 2025</t>
        </is>
      </c>
      <c r="M1855" t="inlineStr">
        <is>
          <t>P.Q.S.  TIPO ABC AL 90% UL</t>
        </is>
      </c>
      <c r="N1855" t="inlineStr">
        <is>
          <t>17/E96499222</t>
        </is>
      </c>
      <c r="O1855" t="inlineStr">
        <is>
          <t>R</t>
        </is>
      </c>
      <c r="P1855">
        <f>TRIM(N1855)</f>
        <v/>
      </c>
    </row>
    <row r="1856">
      <c r="A1856" t="inlineStr">
        <is>
          <t>CO-001976</t>
        </is>
      </c>
      <c r="B1856" t="inlineStr">
        <is>
          <t>LINDE PERU S.R.L. - YAULI</t>
        </is>
      </c>
      <c r="C1856" t="inlineStr">
        <is>
          <t>20338570041</t>
        </is>
      </c>
      <c r="D1856" t="inlineStr">
        <is>
          <t>SECTOR PACHACHACA LOTE G-1 YAULI, JUNIN, PERÚ</t>
        </is>
      </c>
      <c r="E1856" t="inlineStr">
        <is>
          <t>Lima, 11 de Julio de 2024</t>
        </is>
      </c>
      <c r="F1856" t="inlineStr">
        <is>
          <t>la Recarga y mantenimiento</t>
        </is>
      </c>
      <c r="G1856" t="n">
        <v>4</v>
      </c>
      <c r="H1856" t="inlineStr">
        <is>
          <t>10 LBS</t>
        </is>
      </c>
      <c r="I1856" t="inlineStr">
        <is>
          <t>2029</t>
        </is>
      </c>
      <c r="J1856" t="n">
        <v>2009</v>
      </c>
      <c r="K1856" t="inlineStr">
        <is>
          <t>JULIO 2024</t>
        </is>
      </c>
      <c r="L1856" t="inlineStr">
        <is>
          <t>JULIO 2025</t>
        </is>
      </c>
      <c r="M1856" t="inlineStr">
        <is>
          <t>P.Q.S.  TIPO ABC AL 90% UL</t>
        </is>
      </c>
      <c r="N1856" t="inlineStr">
        <is>
          <t>18/ ZB643976</t>
        </is>
      </c>
      <c r="O1856" t="inlineStr">
        <is>
          <t>R</t>
        </is>
      </c>
      <c r="P1856">
        <f>TRIM(N1856)</f>
        <v/>
      </c>
    </row>
    <row r="1857">
      <c r="A1857" t="inlineStr">
        <is>
          <t>CO-001976</t>
        </is>
      </c>
      <c r="B1857" t="inlineStr">
        <is>
          <t>LINDE PERU S.R.L. - YAULI</t>
        </is>
      </c>
      <c r="C1857" t="inlineStr">
        <is>
          <t>20338570041</t>
        </is>
      </c>
      <c r="D1857" t="inlineStr">
        <is>
          <t>SECTOR PACHACHACA LOTE G-1 YAULI, JUNIN, PERÚ</t>
        </is>
      </c>
      <c r="E1857" t="inlineStr">
        <is>
          <t>Lima, 11 de Julio de 2024</t>
        </is>
      </c>
      <c r="F1857" t="inlineStr">
        <is>
          <t>la Recarga y mantenimiento</t>
        </is>
      </c>
      <c r="G1857" t="n">
        <v>5</v>
      </c>
      <c r="H1857" t="inlineStr">
        <is>
          <t>10 LBS</t>
        </is>
      </c>
      <c r="I1857" t="inlineStr">
        <is>
          <t>2029</t>
        </is>
      </c>
      <c r="J1857" t="n">
        <v>2009</v>
      </c>
      <c r="K1857" t="inlineStr">
        <is>
          <t>JULIO 2024</t>
        </is>
      </c>
      <c r="L1857" t="inlineStr">
        <is>
          <t>JULIO 2025</t>
        </is>
      </c>
      <c r="M1857" t="inlineStr">
        <is>
          <t>P.Q.S.  TIPO ABC AL 90% UL</t>
        </is>
      </c>
      <c r="N1857" t="inlineStr">
        <is>
          <t>19/YN429127</t>
        </is>
      </c>
      <c r="O1857" t="inlineStr">
        <is>
          <t>R</t>
        </is>
      </c>
      <c r="P1857">
        <f>TRIM(N1857)</f>
        <v/>
      </c>
    </row>
    <row r="1858">
      <c r="A1858" t="inlineStr">
        <is>
          <t>CO-001976</t>
        </is>
      </c>
      <c r="B1858" t="inlineStr">
        <is>
          <t>LINDE PERU S.R.L. - YAULI</t>
        </is>
      </c>
      <c r="C1858" t="inlineStr">
        <is>
          <t>20338570041</t>
        </is>
      </c>
      <c r="D1858" t="inlineStr">
        <is>
          <t>SECTOR PACHACHACA LOTE G-1 YAULI, JUNIN, PERÚ</t>
        </is>
      </c>
      <c r="E1858" t="inlineStr">
        <is>
          <t>Lima, 11 de Julio de 2024</t>
        </is>
      </c>
      <c r="F1858" t="inlineStr">
        <is>
          <t>la Recarga y mantenimiento</t>
        </is>
      </c>
      <c r="G1858" t="n">
        <v>6</v>
      </c>
      <c r="H1858" t="inlineStr">
        <is>
          <t>10 LBS</t>
        </is>
      </c>
      <c r="I1858" t="inlineStr">
        <is>
          <t>2029</t>
        </is>
      </c>
      <c r="J1858" t="n">
        <v>2009</v>
      </c>
      <c r="K1858" t="inlineStr">
        <is>
          <t>JULIO 2024</t>
        </is>
      </c>
      <c r="L1858" t="inlineStr">
        <is>
          <t>JULIO 2025</t>
        </is>
      </c>
      <c r="M1858" t="inlineStr">
        <is>
          <t>P.Q.S.  TIPO ABC AL 90% UL</t>
        </is>
      </c>
      <c r="N1858" t="inlineStr">
        <is>
          <t>20/ ZB643962</t>
        </is>
      </c>
      <c r="O1858" t="inlineStr">
        <is>
          <t>R</t>
        </is>
      </c>
      <c r="P1858">
        <f>TRIM(N1858)</f>
        <v/>
      </c>
    </row>
    <row r="1859">
      <c r="A1859" t="inlineStr">
        <is>
          <t>CO-001976</t>
        </is>
      </c>
      <c r="B1859" t="inlineStr">
        <is>
          <t>LINDE PERU S.R.L. - YAULI</t>
        </is>
      </c>
      <c r="C1859" t="inlineStr">
        <is>
          <t>20338570041</t>
        </is>
      </c>
      <c r="D1859" t="inlineStr">
        <is>
          <t>SECTOR PACHACHACA LOTE G-1 YAULI, JUNIN, PERÚ</t>
        </is>
      </c>
      <c r="E1859" t="inlineStr">
        <is>
          <t>Lima, 11 de Julio de 2024</t>
        </is>
      </c>
      <c r="F1859" t="inlineStr">
        <is>
          <t>la Recarga y mantenimiento</t>
        </is>
      </c>
      <c r="G1859" t="n">
        <v>7</v>
      </c>
      <c r="H1859" t="inlineStr">
        <is>
          <t>10 LBS</t>
        </is>
      </c>
      <c r="I1859" t="inlineStr">
        <is>
          <t>2029</t>
        </is>
      </c>
      <c r="J1859" t="n">
        <v>2009</v>
      </c>
      <c r="K1859" t="inlineStr">
        <is>
          <t>JULIO 2024</t>
        </is>
      </c>
      <c r="L1859" t="inlineStr">
        <is>
          <t>JULIO 2025</t>
        </is>
      </c>
      <c r="M1859" t="inlineStr">
        <is>
          <t>P.Q.S.  TIPO ABC AL 90% UL</t>
        </is>
      </c>
      <c r="N1859" t="inlineStr">
        <is>
          <t>21/ZB643994</t>
        </is>
      </c>
      <c r="O1859" t="inlineStr">
        <is>
          <t>R</t>
        </is>
      </c>
      <c r="P1859">
        <f>TRIM(N1859)</f>
        <v/>
      </c>
    </row>
    <row r="1860">
      <c r="A1860" t="inlineStr">
        <is>
          <t>CO-001977</t>
        </is>
      </c>
      <c r="B1860" t="inlineStr">
        <is>
          <t>LINDE PERU S.R.L. - YAULI</t>
        </is>
      </c>
      <c r="C1860" t="inlineStr">
        <is>
          <t>20338570041</t>
        </is>
      </c>
      <c r="D1860" t="inlineStr">
        <is>
          <t>SECTOR PACHACHACA LOTE G-1 YAULI, JUNIN, PERÚ</t>
        </is>
      </c>
      <c r="E1860" t="inlineStr">
        <is>
          <t>Lima, 11 de Julio de 2024</t>
        </is>
      </c>
      <c r="F1860" t="inlineStr">
        <is>
          <t>la Recarga y mantenimiento</t>
        </is>
      </c>
      <c r="G1860" t="n">
        <v>1</v>
      </c>
      <c r="H1860" t="inlineStr">
        <is>
          <t>15 LBS</t>
        </is>
      </c>
      <c r="I1860" t="inlineStr">
        <is>
          <t>2029</t>
        </is>
      </c>
      <c r="J1860" t="n">
        <v>2009</v>
      </c>
      <c r="K1860" t="inlineStr">
        <is>
          <t>JULIO 2024</t>
        </is>
      </c>
      <c r="L1860" t="inlineStr">
        <is>
          <t>JULIO 2025</t>
        </is>
      </c>
      <c r="M1860" t="inlineStr">
        <is>
          <t>CO2 /TIPO BC</t>
        </is>
      </c>
      <c r="N1860" t="inlineStr">
        <is>
          <t>01/YE004059</t>
        </is>
      </c>
      <c r="O1860" t="inlineStr">
        <is>
          <t>R</t>
        </is>
      </c>
      <c r="P1860">
        <f>TRIM(N1860)</f>
        <v/>
      </c>
    </row>
    <row r="1861">
      <c r="A1861" t="inlineStr">
        <is>
          <t>CO-001977</t>
        </is>
      </c>
      <c r="B1861" t="inlineStr">
        <is>
          <t>LINDE PERU S.R.L. - YAULI</t>
        </is>
      </c>
      <c r="C1861" t="inlineStr">
        <is>
          <t>20338570041</t>
        </is>
      </c>
      <c r="D1861" t="inlineStr">
        <is>
          <t>SECTOR PACHACHACA LOTE G-1 YAULI, JUNIN, PERÚ</t>
        </is>
      </c>
      <c r="E1861" t="inlineStr">
        <is>
          <t>Lima, 11 de Julio de 2024</t>
        </is>
      </c>
      <c r="F1861" t="inlineStr">
        <is>
          <t>la Recarga y mantenimiento</t>
        </is>
      </c>
      <c r="G1861" t="n">
        <v>2</v>
      </c>
      <c r="H1861" t="inlineStr">
        <is>
          <t>15 LBS</t>
        </is>
      </c>
      <c r="I1861" t="inlineStr">
        <is>
          <t>2029</t>
        </is>
      </c>
      <c r="J1861" t="n">
        <v>2009</v>
      </c>
      <c r="K1861" t="inlineStr">
        <is>
          <t>JULIO 2024</t>
        </is>
      </c>
      <c r="L1861" t="inlineStr">
        <is>
          <t>JULIO 2025</t>
        </is>
      </c>
      <c r="M1861" t="inlineStr">
        <is>
          <t>CO2 /TIPO BC</t>
        </is>
      </c>
      <c r="N1861" t="inlineStr">
        <is>
          <t>02/YE008773</t>
        </is>
      </c>
      <c r="O1861" t="inlineStr">
        <is>
          <t>R</t>
        </is>
      </c>
      <c r="P1861">
        <f>TRIM(N1861)</f>
        <v/>
      </c>
    </row>
    <row r="1862">
      <c r="A1862" t="inlineStr">
        <is>
          <t>CO-001977</t>
        </is>
      </c>
      <c r="B1862" t="inlineStr">
        <is>
          <t>LINDE PERU S.R.L. - YAULI</t>
        </is>
      </c>
      <c r="C1862" t="inlineStr">
        <is>
          <t>20338570041</t>
        </is>
      </c>
      <c r="D1862" t="inlineStr">
        <is>
          <t>SECTOR PACHACHACA LOTE G-1 YAULI, JUNIN, PERÚ</t>
        </is>
      </c>
      <c r="E1862" t="inlineStr">
        <is>
          <t>Lima, 11 de Julio de 2024</t>
        </is>
      </c>
      <c r="F1862" t="inlineStr">
        <is>
          <t>la Recarga y mantenimiento</t>
        </is>
      </c>
      <c r="G1862" t="n">
        <v>3</v>
      </c>
      <c r="H1862" t="inlineStr">
        <is>
          <t>15 LBS</t>
        </is>
      </c>
      <c r="I1862" t="inlineStr">
        <is>
          <t>2029</t>
        </is>
      </c>
      <c r="J1862" t="n">
        <v>2008</v>
      </c>
      <c r="K1862" t="inlineStr">
        <is>
          <t>JULIO 2024</t>
        </is>
      </c>
      <c r="L1862" t="inlineStr">
        <is>
          <t>JULIO 2025</t>
        </is>
      </c>
      <c r="M1862" t="inlineStr">
        <is>
          <t>CO2 /TIPO BC</t>
        </is>
      </c>
      <c r="N1862" t="inlineStr">
        <is>
          <t>03/V644983</t>
        </is>
      </c>
      <c r="O1862" t="inlineStr">
        <is>
          <t>R</t>
        </is>
      </c>
      <c r="P1862">
        <f>TRIM(N1862)</f>
        <v/>
      </c>
    </row>
    <row r="1863">
      <c r="A1863" t="inlineStr">
        <is>
          <t>CO-001977</t>
        </is>
      </c>
      <c r="B1863" t="inlineStr">
        <is>
          <t>LINDE PERU S.R.L. - YAULI</t>
        </is>
      </c>
      <c r="C1863" t="inlineStr">
        <is>
          <t>20338570041</t>
        </is>
      </c>
      <c r="D1863" t="inlineStr">
        <is>
          <t>SECTOR PACHACHACA LOTE G-1 YAULI, JUNIN, PERÚ</t>
        </is>
      </c>
      <c r="E1863" t="inlineStr">
        <is>
          <t>Lima, 11 de Julio de 2024</t>
        </is>
      </c>
      <c r="F1863" t="inlineStr">
        <is>
          <t>la Recarga y mantenimiento</t>
        </is>
      </c>
      <c r="G1863" t="n">
        <v>4</v>
      </c>
      <c r="H1863" t="inlineStr">
        <is>
          <t>15 LBS</t>
        </is>
      </c>
      <c r="I1863" t="inlineStr">
        <is>
          <t>2029</t>
        </is>
      </c>
      <c r="J1863" t="n">
        <v>2016</v>
      </c>
      <c r="K1863" t="inlineStr">
        <is>
          <t>JULIO 2024</t>
        </is>
      </c>
      <c r="L1863" t="inlineStr">
        <is>
          <t>JULIO 2025</t>
        </is>
      </c>
      <c r="M1863" t="inlineStr">
        <is>
          <t>CO2 /TIPO BC</t>
        </is>
      </c>
      <c r="N1863" t="inlineStr">
        <is>
          <t>04/V921454</t>
        </is>
      </c>
      <c r="O1863" t="inlineStr">
        <is>
          <t>R</t>
        </is>
      </c>
      <c r="P1863">
        <f>TRIM(N1863)</f>
        <v/>
      </c>
    </row>
    <row r="1864">
      <c r="A1864" t="inlineStr">
        <is>
          <t>CO-001977</t>
        </is>
      </c>
      <c r="B1864" t="inlineStr">
        <is>
          <t>LINDE PERU S.R.L. - YAULI</t>
        </is>
      </c>
      <c r="C1864" t="inlineStr">
        <is>
          <t>20338570041</t>
        </is>
      </c>
      <c r="D1864" t="inlineStr">
        <is>
          <t>SECTOR PACHACHACA LOTE G-1 YAULI, JUNIN, PERÚ</t>
        </is>
      </c>
      <c r="E1864" t="inlineStr">
        <is>
          <t>Lima, 11 de Julio de 2024</t>
        </is>
      </c>
      <c r="F1864" t="inlineStr">
        <is>
          <t>la Recarga y mantenimiento</t>
        </is>
      </c>
      <c r="G1864" t="n">
        <v>5</v>
      </c>
      <c r="H1864" t="inlineStr">
        <is>
          <t>15 LBS</t>
        </is>
      </c>
      <c r="I1864" t="inlineStr">
        <is>
          <t>2029</t>
        </is>
      </c>
      <c r="J1864" t="n">
        <v>2022</v>
      </c>
      <c r="K1864" t="inlineStr">
        <is>
          <t>JULIO 2024</t>
        </is>
      </c>
      <c r="L1864" t="inlineStr">
        <is>
          <t>JULIO 2025</t>
        </is>
      </c>
      <c r="M1864" t="inlineStr">
        <is>
          <t>CO2 /TIPO BC</t>
        </is>
      </c>
      <c r="N1864" t="inlineStr">
        <is>
          <t>05/V343259</t>
        </is>
      </c>
      <c r="O1864" t="inlineStr">
        <is>
          <t>R</t>
        </is>
      </c>
      <c r="P1864">
        <f>TRIM(N1864)</f>
        <v/>
      </c>
    </row>
    <row r="1865">
      <c r="A1865" t="inlineStr">
        <is>
          <t>CO-001977</t>
        </is>
      </c>
      <c r="B1865" t="inlineStr">
        <is>
          <t>LINDE PERU S.R.L. - YAULI</t>
        </is>
      </c>
      <c r="C1865" t="inlineStr">
        <is>
          <t>20338570041</t>
        </is>
      </c>
      <c r="D1865" t="inlineStr">
        <is>
          <t>SECTOR PACHACHACA LOTE G-1 YAULI, JUNIN, PERÚ</t>
        </is>
      </c>
      <c r="E1865" t="inlineStr">
        <is>
          <t>Lima, 11 de Julio de 2024</t>
        </is>
      </c>
      <c r="F1865" t="inlineStr">
        <is>
          <t>la Recarga y mantenimiento</t>
        </is>
      </c>
      <c r="G1865" t="inlineStr">
        <is>
          <t>6</t>
        </is>
      </c>
      <c r="H1865" t="inlineStr">
        <is>
          <t>15 LBS</t>
        </is>
      </c>
      <c r="I1865" t="inlineStr">
        <is>
          <t>2029</t>
        </is>
      </c>
      <c r="J1865" t="n">
        <v>2009</v>
      </c>
      <c r="K1865" t="inlineStr">
        <is>
          <t>JULIO 2024</t>
        </is>
      </c>
      <c r="L1865" t="inlineStr">
        <is>
          <t>JULIO 2025</t>
        </is>
      </c>
      <c r="M1865" t="inlineStr">
        <is>
          <t>CO2 /TIPO BC</t>
        </is>
      </c>
      <c r="N1865" t="inlineStr">
        <is>
          <t>06/YE008772</t>
        </is>
      </c>
      <c r="O1865" t="inlineStr">
        <is>
          <t>R</t>
        </is>
      </c>
      <c r="P1865">
        <f>TRIM(N1865)</f>
        <v/>
      </c>
    </row>
    <row r="1866">
      <c r="A1866" t="inlineStr">
        <is>
          <t>CO-001977</t>
        </is>
      </c>
      <c r="B1866" t="inlineStr">
        <is>
          <t>LINDE PERU S.R.L. - YAULI</t>
        </is>
      </c>
      <c r="C1866" t="inlineStr">
        <is>
          <t>20338570041</t>
        </is>
      </c>
      <c r="D1866" t="inlineStr">
        <is>
          <t>SECTOR PACHACHACA LOTE G-1 YAULI, JUNIN, PERÚ</t>
        </is>
      </c>
      <c r="E1866" t="inlineStr">
        <is>
          <t>Lima, 11 de Julio de 2024</t>
        </is>
      </c>
      <c r="F1866" t="inlineStr">
        <is>
          <t>la Recarga y mantenimiento</t>
        </is>
      </c>
      <c r="G1866" t="inlineStr">
        <is>
          <t>7</t>
        </is>
      </c>
      <c r="H1866" t="inlineStr">
        <is>
          <t>15 LBS</t>
        </is>
      </c>
      <c r="I1866" t="inlineStr">
        <is>
          <t>2029</t>
        </is>
      </c>
      <c r="J1866" t="n">
        <v>2009</v>
      </c>
      <c r="K1866" t="inlineStr">
        <is>
          <t>JULIO 2024</t>
        </is>
      </c>
      <c r="L1866" t="inlineStr">
        <is>
          <t>JULIO 2025</t>
        </is>
      </c>
      <c r="M1866" t="inlineStr">
        <is>
          <t>CO2 /TIPO BC</t>
        </is>
      </c>
      <c r="N1866" t="inlineStr">
        <is>
          <t>07/V678692</t>
        </is>
      </c>
      <c r="O1866" t="inlineStr">
        <is>
          <t>R</t>
        </is>
      </c>
      <c r="P1866">
        <f>TRIM(N1866)</f>
        <v/>
      </c>
    </row>
    <row r="1867">
      <c r="A1867" t="inlineStr">
        <is>
          <t>CO-001978</t>
        </is>
      </c>
      <c r="B1867" t="inlineStr">
        <is>
          <t>LINDE PERU S.R.L. - YAULI</t>
        </is>
      </c>
      <c r="C1867" t="inlineStr">
        <is>
          <t>20338570041</t>
        </is>
      </c>
      <c r="D1867" t="inlineStr">
        <is>
          <t>SECTOR PACHACHACA LOTE G-1 YAULI, JUNIN, PERÚ</t>
        </is>
      </c>
      <c r="E1867" t="inlineStr">
        <is>
          <t>Lima, 11 de Julio de 2024</t>
        </is>
      </c>
      <c r="F1867" t="inlineStr">
        <is>
          <t>la Recarga y mantenimiento</t>
        </is>
      </c>
      <c r="G1867" t="n">
        <v>1</v>
      </c>
      <c r="H1867" t="inlineStr">
        <is>
          <t>15 LBS</t>
        </is>
      </c>
      <c r="I1867" t="inlineStr">
        <is>
          <t>2029</t>
        </is>
      </c>
      <c r="J1867" t="n">
        <v>2022</v>
      </c>
      <c r="K1867" t="inlineStr">
        <is>
          <t>JULIO 2024</t>
        </is>
      </c>
      <c r="L1867" t="inlineStr">
        <is>
          <t>JULIO 2025</t>
        </is>
      </c>
      <c r="M1867" t="inlineStr">
        <is>
          <t>CO2 /TIPO BC</t>
        </is>
      </c>
      <c r="N1867" t="inlineStr">
        <is>
          <t>08/V343951</t>
        </is>
      </c>
      <c r="O1867" t="inlineStr">
        <is>
          <t>R</t>
        </is>
      </c>
      <c r="P1867">
        <f>TRIM(N1867)</f>
        <v/>
      </c>
    </row>
    <row r="1868">
      <c r="A1868" t="inlineStr">
        <is>
          <t>CO-001978</t>
        </is>
      </c>
      <c r="B1868" t="inlineStr">
        <is>
          <t>LINDE PERU S.R.L. - YAULI</t>
        </is>
      </c>
      <c r="C1868" t="inlineStr">
        <is>
          <t>20338570041</t>
        </is>
      </c>
      <c r="D1868" t="inlineStr">
        <is>
          <t>SECTOR PACHACHACA LOTE G-1 YAULI, JUNIN, PERÚ</t>
        </is>
      </c>
      <c r="E1868" t="inlineStr">
        <is>
          <t>Lima, 11 de Julio de 2024</t>
        </is>
      </c>
      <c r="F1868" t="inlineStr">
        <is>
          <t>la Recarga y mantenimiento</t>
        </is>
      </c>
      <c r="G1868" t="inlineStr">
        <is>
          <t>2</t>
        </is>
      </c>
      <c r="H1868" t="inlineStr">
        <is>
          <t>15 LBS</t>
        </is>
      </c>
      <c r="I1868" t="inlineStr">
        <is>
          <t>2029</t>
        </is>
      </c>
      <c r="J1868" t="n">
        <v>2009</v>
      </c>
      <c r="K1868" t="inlineStr">
        <is>
          <t>JULIO 2024</t>
        </is>
      </c>
      <c r="L1868" t="inlineStr">
        <is>
          <t>JULIO 2025</t>
        </is>
      </c>
      <c r="M1868" t="inlineStr">
        <is>
          <t>CO2 /TIPO BC</t>
        </is>
      </c>
      <c r="N1868" t="inlineStr">
        <is>
          <t>09/V678443</t>
        </is>
      </c>
      <c r="O1868" t="inlineStr">
        <is>
          <t>R</t>
        </is>
      </c>
      <c r="P1868">
        <f>TRIM(N1868)</f>
        <v/>
      </c>
    </row>
    <row r="1869">
      <c r="A1869" t="inlineStr">
        <is>
          <t>CO-001978</t>
        </is>
      </c>
      <c r="B1869" t="inlineStr">
        <is>
          <t>LINDE PERU S.R.L. - YAULI</t>
        </is>
      </c>
      <c r="C1869" t="inlineStr">
        <is>
          <t>20338570041</t>
        </is>
      </c>
      <c r="D1869" t="inlineStr">
        <is>
          <t>SECTOR PACHACHACA LOTE G-1 YAULI, JUNIN, PERÚ</t>
        </is>
      </c>
      <c r="E1869" t="inlineStr">
        <is>
          <t>Lima, 11 de Julio de 2024</t>
        </is>
      </c>
      <c r="F1869" t="inlineStr">
        <is>
          <t>la Recarga y mantenimiento</t>
        </is>
      </c>
      <c r="G1869" t="inlineStr">
        <is>
          <t>3</t>
        </is>
      </c>
      <c r="H1869" t="inlineStr">
        <is>
          <t>15 LBS</t>
        </is>
      </c>
      <c r="I1869" t="inlineStr">
        <is>
          <t>2029</t>
        </is>
      </c>
      <c r="J1869" t="n">
        <v>2009</v>
      </c>
      <c r="K1869" t="inlineStr">
        <is>
          <t>JULIO 2024</t>
        </is>
      </c>
      <c r="L1869" t="inlineStr">
        <is>
          <t>JULIO 2025</t>
        </is>
      </c>
      <c r="M1869" t="inlineStr">
        <is>
          <t>CO2 /TIPO BC</t>
        </is>
      </c>
      <c r="N1869" t="inlineStr">
        <is>
          <t>10/YE005060</t>
        </is>
      </c>
      <c r="O1869" t="inlineStr">
        <is>
          <t>R</t>
        </is>
      </c>
      <c r="P1869">
        <f>TRIM(N1869)</f>
        <v/>
      </c>
    </row>
    <row r="1870">
      <c r="A1870" t="inlineStr">
        <is>
          <t>CO-001978</t>
        </is>
      </c>
      <c r="B1870" t="inlineStr">
        <is>
          <t>LINDE PERU S.R.L. - YAULI</t>
        </is>
      </c>
      <c r="C1870" t="inlineStr">
        <is>
          <t>20338570041</t>
        </is>
      </c>
      <c r="D1870" t="inlineStr">
        <is>
          <t>SECTOR PACHACHACA LOTE G-1 YAULI, JUNIN, PERÚ</t>
        </is>
      </c>
      <c r="E1870" t="inlineStr">
        <is>
          <t>Lima, 11 de Julio de 2024</t>
        </is>
      </c>
      <c r="F1870" t="inlineStr">
        <is>
          <t>la Recarga y mantenimiento</t>
        </is>
      </c>
      <c r="G1870" t="inlineStr">
        <is>
          <t>4</t>
        </is>
      </c>
      <c r="H1870" t="inlineStr">
        <is>
          <t>15 LBS</t>
        </is>
      </c>
      <c r="I1870" t="inlineStr">
        <is>
          <t>2029</t>
        </is>
      </c>
      <c r="J1870" t="n">
        <v>2016</v>
      </c>
      <c r="K1870" t="inlineStr">
        <is>
          <t>JULIO 2024</t>
        </is>
      </c>
      <c r="L1870" t="inlineStr">
        <is>
          <t>JULIO 2025</t>
        </is>
      </c>
      <c r="M1870" t="inlineStr">
        <is>
          <t>CO2 /TIPO BC</t>
        </is>
      </c>
      <c r="N1870" t="inlineStr">
        <is>
          <t>11/V921544</t>
        </is>
      </c>
      <c r="O1870" t="inlineStr">
        <is>
          <t>R</t>
        </is>
      </c>
      <c r="P1870">
        <f>TRIM(N1870)</f>
        <v/>
      </c>
    </row>
    <row r="1871">
      <c r="A1871" t="inlineStr">
        <is>
          <t>CO-001978</t>
        </is>
      </c>
      <c r="B1871" t="inlineStr">
        <is>
          <t>LINDE PERU S.R.L. - YAULI</t>
        </is>
      </c>
      <c r="C1871" t="inlineStr">
        <is>
          <t>20338570041</t>
        </is>
      </c>
      <c r="D1871" t="inlineStr">
        <is>
          <t>SECTOR PACHACHACA LOTE G-1 YAULI, JUNIN, PERÚ</t>
        </is>
      </c>
      <c r="E1871" t="inlineStr">
        <is>
          <t>Lima, 11 de Julio de 2024</t>
        </is>
      </c>
      <c r="F1871" t="inlineStr">
        <is>
          <t>la Recarga y mantenimiento</t>
        </is>
      </c>
      <c r="G1871" t="inlineStr">
        <is>
          <t>5</t>
        </is>
      </c>
      <c r="H1871" t="inlineStr">
        <is>
          <t>15 LBS</t>
        </is>
      </c>
      <c r="I1871" t="inlineStr">
        <is>
          <t>2029</t>
        </is>
      </c>
      <c r="J1871" t="n">
        <v>2008</v>
      </c>
      <c r="K1871" t="inlineStr">
        <is>
          <t>JULIO 2024</t>
        </is>
      </c>
      <c r="L1871" t="inlineStr">
        <is>
          <t>JULIO 2025</t>
        </is>
      </c>
      <c r="M1871" t="inlineStr">
        <is>
          <t>CO2 /TIPO BC</t>
        </is>
      </c>
      <c r="N1871" t="inlineStr">
        <is>
          <t>12/V642666</t>
        </is>
      </c>
      <c r="O1871" t="inlineStr">
        <is>
          <t>R</t>
        </is>
      </c>
      <c r="P1871">
        <f>TRIM(N1871)</f>
        <v/>
      </c>
    </row>
    <row r="1872">
      <c r="A1872" t="inlineStr">
        <is>
          <t>CO-001978</t>
        </is>
      </c>
      <c r="B1872" t="inlineStr">
        <is>
          <t>LINDE PERU S.R.L. - YAULI</t>
        </is>
      </c>
      <c r="C1872" t="inlineStr">
        <is>
          <t>20338570041</t>
        </is>
      </c>
      <c r="D1872" t="inlineStr">
        <is>
          <t>SECTOR PACHACHACA LOTE G-1 YAULI, JUNIN, PERÚ</t>
        </is>
      </c>
      <c r="E1872" t="inlineStr">
        <is>
          <t>Lima, 11 de Julio de 2024</t>
        </is>
      </c>
      <c r="F1872" t="inlineStr">
        <is>
          <t>la Recarga y mantenimiento</t>
        </is>
      </c>
      <c r="G1872" t="inlineStr">
        <is>
          <t>6</t>
        </is>
      </c>
      <c r="H1872" t="inlineStr">
        <is>
          <t>15 LBS</t>
        </is>
      </c>
      <c r="I1872" t="inlineStr">
        <is>
          <t>2029</t>
        </is>
      </c>
      <c r="J1872" t="n">
        <v>2009</v>
      </c>
      <c r="K1872" t="inlineStr">
        <is>
          <t>JULIO 2024</t>
        </is>
      </c>
      <c r="L1872" t="inlineStr">
        <is>
          <t>JULIO 2025</t>
        </is>
      </c>
      <c r="M1872" t="inlineStr">
        <is>
          <t>CO2 /TIPO BC</t>
        </is>
      </c>
      <c r="N1872" t="inlineStr">
        <is>
          <t>13/V677363</t>
        </is>
      </c>
      <c r="O1872" t="inlineStr">
        <is>
          <t>R</t>
        </is>
      </c>
      <c r="P1872">
        <f>TRIM(N1872)</f>
        <v/>
      </c>
    </row>
    <row r="1873">
      <c r="A1873" t="inlineStr">
        <is>
          <t>CO-001978</t>
        </is>
      </c>
      <c r="B1873" t="inlineStr">
        <is>
          <t>LINDE PERU S.R.L. - YAULI</t>
        </is>
      </c>
      <c r="C1873" t="inlineStr">
        <is>
          <t>20338570041</t>
        </is>
      </c>
      <c r="D1873" t="inlineStr">
        <is>
          <t>SECTOR PACHACHACA LOTE G-1 YAULI, JUNIN, PERÚ</t>
        </is>
      </c>
      <c r="E1873" t="inlineStr">
        <is>
          <t>Lima, 11 de Julio de 2024</t>
        </is>
      </c>
      <c r="F1873" t="inlineStr">
        <is>
          <t>la Recarga y mantenimiento</t>
        </is>
      </c>
      <c r="G1873" t="inlineStr">
        <is>
          <t>7</t>
        </is>
      </c>
      <c r="H1873" t="inlineStr">
        <is>
          <t>15 LBS</t>
        </is>
      </c>
      <c r="I1873" t="inlineStr">
        <is>
          <t>2029</t>
        </is>
      </c>
      <c r="J1873" t="n">
        <v>2022</v>
      </c>
      <c r="K1873" t="inlineStr">
        <is>
          <t>JULIO 2024</t>
        </is>
      </c>
      <c r="L1873" t="inlineStr">
        <is>
          <t>JULIO 2025</t>
        </is>
      </c>
      <c r="M1873" t="inlineStr">
        <is>
          <t>CO2 /TIPO BC</t>
        </is>
      </c>
      <c r="N1873" t="inlineStr">
        <is>
          <t>14/V343964</t>
        </is>
      </c>
      <c r="O1873" t="inlineStr">
        <is>
          <t>R</t>
        </is>
      </c>
      <c r="P1873">
        <f>TRIM(N1873)</f>
        <v/>
      </c>
    </row>
    <row r="1874">
      <c r="A1874" t="inlineStr">
        <is>
          <t>CO-001979</t>
        </is>
      </c>
      <c r="B1874" t="inlineStr">
        <is>
          <t>HIPERMERCADO CERAMICO LAS FLORES SAC.</t>
        </is>
      </c>
      <c r="C1874" t="n">
        <v>20466776336</v>
      </c>
      <c r="D1874" t="inlineStr">
        <is>
          <t>AV. PROCERES DE LA INDEPENDENCIA N° 5384 - S.J.L.</t>
        </is>
      </c>
      <c r="E1874" t="inlineStr">
        <is>
          <t>Lima, 11 de Julio de 2024</t>
        </is>
      </c>
      <c r="F1874" t="inlineStr">
        <is>
          <t>la Recarga y mantenimiento</t>
        </is>
      </c>
      <c r="G1874" t="inlineStr">
        <is>
          <t>01</t>
        </is>
      </c>
      <c r="H1874" t="inlineStr">
        <is>
          <t>06 KG</t>
        </is>
      </c>
      <c r="I1874" t="inlineStr">
        <is>
          <t>2028</t>
        </is>
      </c>
      <c r="J1874" t="n">
        <v>2013</v>
      </c>
      <c r="K1874" t="inlineStr">
        <is>
          <t>JULIO 2024</t>
        </is>
      </c>
      <c r="L1874" t="inlineStr">
        <is>
          <t>JULIO 2025</t>
        </is>
      </c>
      <c r="M1874" t="inlineStr">
        <is>
          <t>PQS ABC AL 90% NACIONAL</t>
        </is>
      </c>
      <c r="N1874" t="inlineStr">
        <is>
          <t>02/000784</t>
        </is>
      </c>
      <c r="O1874" t="inlineStr">
        <is>
          <t>R</t>
        </is>
      </c>
      <c r="P1874">
        <f>TRIM(N1874)</f>
        <v/>
      </c>
    </row>
    <row r="1875">
      <c r="A1875" t="inlineStr">
        <is>
          <t>CO-001980</t>
        </is>
      </c>
      <c r="B1875" t="inlineStr">
        <is>
          <t>PERU MASIVO S.A.</t>
        </is>
      </c>
      <c r="C1875" t="inlineStr">
        <is>
          <t>20492392031</t>
        </is>
      </c>
      <c r="D1875" t="inlineStr">
        <is>
          <t>AV. LOS INCAS CDRA. 4 PATIO NORTE - COMAS</t>
        </is>
      </c>
      <c r="E1875" t="inlineStr">
        <is>
          <t>Lima, 12 de Julio de 2024</t>
        </is>
      </c>
      <c r="F1875" t="inlineStr">
        <is>
          <t>la Recarga y mantenimiento</t>
        </is>
      </c>
      <c r="G1875" t="inlineStr">
        <is>
          <t>01</t>
        </is>
      </c>
      <c r="H1875" t="inlineStr">
        <is>
          <t>06 KG</t>
        </is>
      </c>
      <c r="I1875" t="inlineStr">
        <is>
          <t>2028</t>
        </is>
      </c>
      <c r="J1875" t="n">
        <v>2014</v>
      </c>
      <c r="K1875" t="inlineStr">
        <is>
          <t>JULIO 2024</t>
        </is>
      </c>
      <c r="L1875" t="inlineStr">
        <is>
          <t>JULIO 2025</t>
        </is>
      </c>
      <c r="M1875" t="inlineStr">
        <is>
          <t>P.Q.S TIPO ABC AL 90 % NACIONAL</t>
        </is>
      </c>
      <c r="N1875" t="inlineStr">
        <is>
          <t>S/N / 000330</t>
        </is>
      </c>
      <c r="O1875" t="inlineStr">
        <is>
          <t>R</t>
        </is>
      </c>
      <c r="P1875">
        <f>TRIM(N1875)</f>
        <v/>
      </c>
    </row>
    <row r="1876">
      <c r="A1876" t="inlineStr">
        <is>
          <t>CO-001980</t>
        </is>
      </c>
      <c r="B1876" t="inlineStr">
        <is>
          <t>PERU MASIVO S.A.</t>
        </is>
      </c>
      <c r="C1876" t="inlineStr">
        <is>
          <t>20492392031</t>
        </is>
      </c>
      <c r="D1876" t="inlineStr">
        <is>
          <t>AV. LOS INCAS CDRA. 4 PATIO NORTE - COMAS</t>
        </is>
      </c>
      <c r="E1876" t="inlineStr">
        <is>
          <t>Lima, 12 de Julio de 2024</t>
        </is>
      </c>
      <c r="F1876" t="inlineStr">
        <is>
          <t>la Recarga y mantenimiento</t>
        </is>
      </c>
      <c r="G1876" t="inlineStr">
        <is>
          <t>02</t>
        </is>
      </c>
      <c r="H1876" t="inlineStr">
        <is>
          <t>06 KG</t>
        </is>
      </c>
      <c r="I1876" t="inlineStr">
        <is>
          <t>2028</t>
        </is>
      </c>
      <c r="J1876" t="n">
        <v>2009</v>
      </c>
      <c r="K1876" t="inlineStr">
        <is>
          <t>JULIO 2024</t>
        </is>
      </c>
      <c r="L1876" t="inlineStr">
        <is>
          <t>JULIO 2025</t>
        </is>
      </c>
      <c r="M1876" t="inlineStr">
        <is>
          <t>P.Q.S TIPO ABC AL 90 % NACIONAL</t>
        </is>
      </c>
      <c r="N1876" t="inlineStr">
        <is>
          <t>187/001121</t>
        </is>
      </c>
      <c r="O1876" t="inlineStr">
        <is>
          <t>R</t>
        </is>
      </c>
      <c r="P1876">
        <f>TRIM(N1876)</f>
        <v/>
      </c>
    </row>
    <row r="1877">
      <c r="A1877" t="inlineStr">
        <is>
          <t>CO-001980</t>
        </is>
      </c>
      <c r="B1877" t="inlineStr">
        <is>
          <t>PERU MASIVO S.A.</t>
        </is>
      </c>
      <c r="C1877" t="inlineStr">
        <is>
          <t>20492392031</t>
        </is>
      </c>
      <c r="D1877" t="inlineStr">
        <is>
          <t>AV. LOS INCAS CDRA. 4 PATIO NORTE - COMAS</t>
        </is>
      </c>
      <c r="E1877" t="inlineStr">
        <is>
          <t>Lima, 12 de Julio de 2024</t>
        </is>
      </c>
      <c r="F1877" t="inlineStr">
        <is>
          <t>la Recarga y mantenimiento</t>
        </is>
      </c>
      <c r="G1877" t="inlineStr">
        <is>
          <t>03</t>
        </is>
      </c>
      <c r="H1877" t="inlineStr">
        <is>
          <t>06 KG</t>
        </is>
      </c>
      <c r="I1877" t="inlineStr">
        <is>
          <t>2028</t>
        </is>
      </c>
      <c r="J1877" t="n">
        <v>2009</v>
      </c>
      <c r="K1877" t="inlineStr">
        <is>
          <t>JULIO 2024</t>
        </is>
      </c>
      <c r="L1877" t="inlineStr">
        <is>
          <t>JULIO 2025</t>
        </is>
      </c>
      <c r="M1877" t="inlineStr">
        <is>
          <t>P.Q.S TIPO ABC AL 90 % NACIONAL</t>
        </is>
      </c>
      <c r="N1877" t="inlineStr">
        <is>
          <t>383/001109</t>
        </is>
      </c>
      <c r="O1877" t="inlineStr">
        <is>
          <t>R</t>
        </is>
      </c>
      <c r="P1877">
        <f>TRIM(N1877)</f>
        <v/>
      </c>
    </row>
    <row r="1878">
      <c r="A1878" t="inlineStr">
        <is>
          <t>CO-001980</t>
        </is>
      </c>
      <c r="B1878" t="inlineStr">
        <is>
          <t>PERU MASIVO S.A.</t>
        </is>
      </c>
      <c r="C1878" t="inlineStr">
        <is>
          <t>20492392031</t>
        </is>
      </c>
      <c r="D1878" t="inlineStr">
        <is>
          <t>AV. LOS INCAS CDRA. 4 PATIO NORTE - COMAS</t>
        </is>
      </c>
      <c r="E1878" t="inlineStr">
        <is>
          <t>Lima, 12 de Julio de 2024</t>
        </is>
      </c>
      <c r="F1878" t="inlineStr">
        <is>
          <t>la Recarga y mantenimiento</t>
        </is>
      </c>
      <c r="G1878" t="inlineStr">
        <is>
          <t>04</t>
        </is>
      </c>
      <c r="H1878" t="inlineStr">
        <is>
          <t>06 KG</t>
        </is>
      </c>
      <c r="I1878" t="inlineStr">
        <is>
          <t>2028</t>
        </is>
      </c>
      <c r="J1878" t="n">
        <v>2009</v>
      </c>
      <c r="K1878" t="inlineStr">
        <is>
          <t>JULIO 2024</t>
        </is>
      </c>
      <c r="L1878" t="inlineStr">
        <is>
          <t>JULIO 2025</t>
        </is>
      </c>
      <c r="M1878" t="inlineStr">
        <is>
          <t>P.Q.S TIPO ABC AL 90 % NACIONAL</t>
        </is>
      </c>
      <c r="N1878" t="inlineStr">
        <is>
          <t>06/001457</t>
        </is>
      </c>
      <c r="O1878" t="inlineStr">
        <is>
          <t>R</t>
        </is>
      </c>
      <c r="P1878">
        <f>TRIM(N1878)</f>
        <v/>
      </c>
    </row>
    <row r="1879">
      <c r="A1879" t="inlineStr">
        <is>
          <t>CO-001980</t>
        </is>
      </c>
      <c r="B1879" t="inlineStr">
        <is>
          <t>PERU MASIVO S.A.</t>
        </is>
      </c>
      <c r="C1879" t="inlineStr">
        <is>
          <t>20492392031</t>
        </is>
      </c>
      <c r="D1879" t="inlineStr">
        <is>
          <t>AV. LOS INCAS CDRA. 4 PATIO NORTE - COMAS</t>
        </is>
      </c>
      <c r="E1879" t="inlineStr">
        <is>
          <t>Lima, 12 de Julio de 2024</t>
        </is>
      </c>
      <c r="F1879" t="inlineStr">
        <is>
          <t>la Recarga y mantenimiento</t>
        </is>
      </c>
      <c r="G1879" t="inlineStr">
        <is>
          <t>05</t>
        </is>
      </c>
      <c r="H1879" t="inlineStr">
        <is>
          <t>06 KG</t>
        </is>
      </c>
      <c r="I1879" t="inlineStr">
        <is>
          <t>2028</t>
        </is>
      </c>
      <c r="J1879" t="n">
        <v>2009</v>
      </c>
      <c r="K1879" t="inlineStr">
        <is>
          <t>JULIO 2024</t>
        </is>
      </c>
      <c r="L1879" t="inlineStr">
        <is>
          <t>JULIO 2025</t>
        </is>
      </c>
      <c r="M1879" t="inlineStr">
        <is>
          <t>P.Q.S TIPO ABC AL 90 % NACIONAL</t>
        </is>
      </c>
      <c r="N1879" t="inlineStr">
        <is>
          <t>08/000952</t>
        </is>
      </c>
      <c r="O1879" t="inlineStr">
        <is>
          <t>R</t>
        </is>
      </c>
      <c r="P1879">
        <f>TRIM(N1879)</f>
        <v/>
      </c>
    </row>
    <row r="1880">
      <c r="A1880" t="inlineStr">
        <is>
          <t>CO-001980</t>
        </is>
      </c>
      <c r="B1880" t="inlineStr">
        <is>
          <t>PERU MASIVO S.A.</t>
        </is>
      </c>
      <c r="C1880" t="inlineStr">
        <is>
          <t>20492392031</t>
        </is>
      </c>
      <c r="D1880" t="inlineStr">
        <is>
          <t>AV. LOS INCAS CDRA. 4 PATIO NORTE - COMAS</t>
        </is>
      </c>
      <c r="E1880" t="inlineStr">
        <is>
          <t>Lima, 12 de Julio de 2024</t>
        </is>
      </c>
      <c r="F1880" t="inlineStr">
        <is>
          <t>la Recarga y mantenimiento</t>
        </is>
      </c>
      <c r="G1880" t="inlineStr">
        <is>
          <t>06</t>
        </is>
      </c>
      <c r="H1880" t="inlineStr">
        <is>
          <t>06 KG</t>
        </is>
      </c>
      <c r="I1880" t="inlineStr">
        <is>
          <t>2028</t>
        </is>
      </c>
      <c r="J1880" t="n">
        <v>2009</v>
      </c>
      <c r="K1880" t="inlineStr">
        <is>
          <t>JULIO 2024</t>
        </is>
      </c>
      <c r="L1880" t="inlineStr">
        <is>
          <t>JULIO 2025</t>
        </is>
      </c>
      <c r="M1880" t="inlineStr">
        <is>
          <t>P.Q.S TIPO ABC AL 90 % NACIONAL</t>
        </is>
      </c>
      <c r="N1880" t="inlineStr">
        <is>
          <t>41/001746</t>
        </is>
      </c>
      <c r="O1880" t="inlineStr">
        <is>
          <t>R</t>
        </is>
      </c>
      <c r="P1880">
        <f>TRIM(N1880)</f>
        <v/>
      </c>
    </row>
    <row r="1881">
      <c r="A1881" t="inlineStr">
        <is>
          <t>CO-001980</t>
        </is>
      </c>
      <c r="B1881" t="inlineStr">
        <is>
          <t>PERU MASIVO S.A.</t>
        </is>
      </c>
      <c r="C1881" t="inlineStr">
        <is>
          <t>20492392031</t>
        </is>
      </c>
      <c r="D1881" t="inlineStr">
        <is>
          <t>AV. LOS INCAS CDRA. 4 PATIO NORTE - COMAS</t>
        </is>
      </c>
      <c r="E1881" t="inlineStr">
        <is>
          <t>Lima, 12 de Julio de 2024</t>
        </is>
      </c>
      <c r="F1881" t="inlineStr">
        <is>
          <t>la Recarga y mantenimiento</t>
        </is>
      </c>
      <c r="G1881" t="inlineStr">
        <is>
          <t>07</t>
        </is>
      </c>
      <c r="H1881" t="inlineStr">
        <is>
          <t>06 KG</t>
        </is>
      </c>
      <c r="I1881" t="inlineStr">
        <is>
          <t>2028</t>
        </is>
      </c>
      <c r="J1881" t="n">
        <v>2009</v>
      </c>
      <c r="K1881" t="inlineStr">
        <is>
          <t>JULIO 2024</t>
        </is>
      </c>
      <c r="L1881" t="inlineStr">
        <is>
          <t>JULIO 2025</t>
        </is>
      </c>
      <c r="M1881" t="inlineStr">
        <is>
          <t>P.Q.S TIPO ABC AL 90 % NACIONAL</t>
        </is>
      </c>
      <c r="N1881" t="inlineStr">
        <is>
          <t>257/001322</t>
        </is>
      </c>
      <c r="O1881" t="inlineStr">
        <is>
          <t>R</t>
        </is>
      </c>
      <c r="P1881">
        <f>TRIM(N1881)</f>
        <v/>
      </c>
    </row>
    <row r="1882">
      <c r="A1882" t="inlineStr">
        <is>
          <t>CO-001980</t>
        </is>
      </c>
      <c r="B1882" t="inlineStr">
        <is>
          <t>PERU MASIVO S.A.</t>
        </is>
      </c>
      <c r="C1882" t="inlineStr">
        <is>
          <t>20492392031</t>
        </is>
      </c>
      <c r="D1882" t="inlineStr">
        <is>
          <t>AV. LOS INCAS CDRA. 4 PATIO NORTE - COMAS</t>
        </is>
      </c>
      <c r="E1882" t="inlineStr">
        <is>
          <t>Lima, 12 de Julio de 2024</t>
        </is>
      </c>
      <c r="F1882" t="inlineStr">
        <is>
          <t>la Recarga y mantenimiento</t>
        </is>
      </c>
      <c r="G1882" t="inlineStr">
        <is>
          <t>08</t>
        </is>
      </c>
      <c r="H1882" t="inlineStr">
        <is>
          <t>06 KG</t>
        </is>
      </c>
      <c r="I1882" t="inlineStr">
        <is>
          <t>2028</t>
        </is>
      </c>
      <c r="J1882" t="n">
        <v>2010</v>
      </c>
      <c r="K1882" t="inlineStr">
        <is>
          <t>JULIO 2024</t>
        </is>
      </c>
      <c r="L1882" t="inlineStr">
        <is>
          <t>JULIO 2025</t>
        </is>
      </c>
      <c r="M1882" t="inlineStr">
        <is>
          <t>P.Q.S TIPO ABC AL 90 % NACIONAL</t>
        </is>
      </c>
      <c r="N1882" t="inlineStr">
        <is>
          <t>237/002081</t>
        </is>
      </c>
      <c r="O1882" t="inlineStr">
        <is>
          <t>R</t>
        </is>
      </c>
      <c r="P1882">
        <f>TRIM(N1882)</f>
        <v/>
      </c>
    </row>
    <row r="1883">
      <c r="A1883" t="inlineStr">
        <is>
          <t>CO-001980</t>
        </is>
      </c>
      <c r="B1883" t="inlineStr">
        <is>
          <t>PERU MASIVO S.A.</t>
        </is>
      </c>
      <c r="C1883" t="inlineStr">
        <is>
          <t>20492392031</t>
        </is>
      </c>
      <c r="D1883" t="inlineStr">
        <is>
          <t>AV. LOS INCAS CDRA. 4 PATIO NORTE - COMAS</t>
        </is>
      </c>
      <c r="E1883" t="inlineStr">
        <is>
          <t>Lima, 12 de Julio de 2024</t>
        </is>
      </c>
      <c r="F1883" t="inlineStr">
        <is>
          <t>la Recarga y mantenimiento</t>
        </is>
      </c>
      <c r="G1883" t="inlineStr">
        <is>
          <t>09</t>
        </is>
      </c>
      <c r="H1883" t="inlineStr">
        <is>
          <t>06 KG</t>
        </is>
      </c>
      <c r="I1883" t="inlineStr">
        <is>
          <t>2028</t>
        </is>
      </c>
      <c r="J1883" t="n">
        <v>2009</v>
      </c>
      <c r="K1883" t="inlineStr">
        <is>
          <t>JULIO 2024</t>
        </is>
      </c>
      <c r="L1883" t="inlineStr">
        <is>
          <t>JULIO 2025</t>
        </is>
      </c>
      <c r="M1883" t="inlineStr">
        <is>
          <t>P.Q.S TIPO ABC AL 90 % NACIONAL</t>
        </is>
      </c>
      <c r="N1883" t="inlineStr">
        <is>
          <t>338/000727</t>
        </is>
      </c>
      <c r="O1883" t="inlineStr">
        <is>
          <t>R</t>
        </is>
      </c>
      <c r="P1883">
        <f>TRIM(N1883)</f>
        <v/>
      </c>
    </row>
    <row r="1884">
      <c r="A1884" t="inlineStr">
        <is>
          <t>CO-001980</t>
        </is>
      </c>
      <c r="B1884" t="inlineStr">
        <is>
          <t>PERU MASIVO S.A.</t>
        </is>
      </c>
      <c r="C1884" t="inlineStr">
        <is>
          <t>20492392031</t>
        </is>
      </c>
      <c r="D1884" t="inlineStr">
        <is>
          <t>AV. LOS INCAS CDRA. 4 PATIO NORTE - COMAS</t>
        </is>
      </c>
      <c r="E1884" t="inlineStr">
        <is>
          <t>Lima, 12 de Julio de 2024</t>
        </is>
      </c>
      <c r="F1884" t="inlineStr">
        <is>
          <t>la Recarga y mantenimiento</t>
        </is>
      </c>
      <c r="G1884" t="n">
        <v>10</v>
      </c>
      <c r="H1884" t="inlineStr">
        <is>
          <t>06 KG</t>
        </is>
      </c>
      <c r="I1884" t="inlineStr">
        <is>
          <t>2028</t>
        </is>
      </c>
      <c r="J1884" t="n">
        <v>2009</v>
      </c>
      <c r="K1884" t="inlineStr">
        <is>
          <t>JULIO 2024</t>
        </is>
      </c>
      <c r="L1884" t="inlineStr">
        <is>
          <t>JULIO 2025</t>
        </is>
      </c>
      <c r="M1884" t="inlineStr">
        <is>
          <t>P.Q.S TIPO ABC AL 90 % NACIONAL</t>
        </is>
      </c>
      <c r="N1884" t="inlineStr">
        <is>
          <t>158/002165</t>
        </is>
      </c>
      <c r="O1884" t="inlineStr">
        <is>
          <t>R</t>
        </is>
      </c>
      <c r="P1884">
        <f>TRIM(N1884)</f>
        <v/>
      </c>
    </row>
    <row r="1885">
      <c r="A1885" t="inlineStr">
        <is>
          <t>CO-001980</t>
        </is>
      </c>
      <c r="B1885" t="inlineStr">
        <is>
          <t>PERU MASIVO S.A.</t>
        </is>
      </c>
      <c r="C1885" t="inlineStr">
        <is>
          <t>20492392031</t>
        </is>
      </c>
      <c r="D1885" t="inlineStr">
        <is>
          <t>AV. LOS INCAS CDRA. 4 PATIO NORTE - COMAS</t>
        </is>
      </c>
      <c r="E1885" t="inlineStr">
        <is>
          <t>Lima, 12 de Julio de 2024</t>
        </is>
      </c>
      <c r="F1885" t="inlineStr">
        <is>
          <t>la Recarga y mantenimiento</t>
        </is>
      </c>
      <c r="G1885" t="n">
        <v>11</v>
      </c>
      <c r="H1885" t="inlineStr">
        <is>
          <t>06 KG</t>
        </is>
      </c>
      <c r="I1885" t="inlineStr">
        <is>
          <t>2028</t>
        </is>
      </c>
      <c r="J1885" t="n">
        <v>2009</v>
      </c>
      <c r="K1885" t="inlineStr">
        <is>
          <t>JULIO 2024</t>
        </is>
      </c>
      <c r="L1885" t="inlineStr">
        <is>
          <t>JULIO 2025</t>
        </is>
      </c>
      <c r="M1885" t="inlineStr">
        <is>
          <t>P.Q.S TIPO ABC AL 90 % NACIONAL</t>
        </is>
      </c>
      <c r="N1885" t="inlineStr">
        <is>
          <t>281/002480</t>
        </is>
      </c>
      <c r="O1885" t="inlineStr">
        <is>
          <t>R</t>
        </is>
      </c>
      <c r="P1885">
        <f>TRIM(N1885)</f>
        <v/>
      </c>
    </row>
    <row r="1886">
      <c r="A1886" t="inlineStr">
        <is>
          <t>CO-001980</t>
        </is>
      </c>
      <c r="B1886" t="inlineStr">
        <is>
          <t>PERU MASIVO S.A.</t>
        </is>
      </c>
      <c r="C1886" t="inlineStr">
        <is>
          <t>20492392031</t>
        </is>
      </c>
      <c r="D1886" t="inlineStr">
        <is>
          <t>AV. LOS INCAS CDRA. 4 PATIO NORTE - COMAS</t>
        </is>
      </c>
      <c r="E1886" t="inlineStr">
        <is>
          <t>Lima, 12 de Julio de 2024</t>
        </is>
      </c>
      <c r="F1886" t="inlineStr">
        <is>
          <t>la Recarga y mantenimiento</t>
        </is>
      </c>
      <c r="G1886" t="n">
        <v>12</v>
      </c>
      <c r="H1886" t="inlineStr">
        <is>
          <t>06 KG</t>
        </is>
      </c>
      <c r="I1886" t="inlineStr">
        <is>
          <t>2028</t>
        </is>
      </c>
      <c r="J1886" t="n">
        <v>2010</v>
      </c>
      <c r="K1886" t="inlineStr">
        <is>
          <t>JULIO 2024</t>
        </is>
      </c>
      <c r="L1886" t="inlineStr">
        <is>
          <t>JULIO 2025</t>
        </is>
      </c>
      <c r="M1886" t="inlineStr">
        <is>
          <t>P.Q.S TIPO ABC AL 90 % NACIONAL</t>
        </is>
      </c>
      <c r="N1886" t="inlineStr">
        <is>
          <t>210/000982</t>
        </is>
      </c>
      <c r="O1886" t="inlineStr">
        <is>
          <t>R</t>
        </is>
      </c>
      <c r="P1886">
        <f>TRIM(N1886)</f>
        <v/>
      </c>
    </row>
    <row r="1887">
      <c r="A1887" t="inlineStr">
        <is>
          <t>CO-001981</t>
        </is>
      </c>
      <c r="B1887" t="inlineStr">
        <is>
          <t>LUNA FARMA De: Lizbeth Karina Lachira Fabian</t>
        </is>
      </c>
      <c r="C1887" t="inlineStr">
        <is>
          <t>10423399878</t>
        </is>
      </c>
      <c r="D1887" t="inlineStr">
        <is>
          <t>AV. MANUEL PRADO S/N  MZ.J  LT. 18 -  PROG. VIV. SAN FRANCISCO DE CARABAYLLO - CARABAYLLO</t>
        </is>
      </c>
      <c r="E1887" t="inlineStr">
        <is>
          <t>Lima, 15 de Julio de 2024</t>
        </is>
      </c>
      <c r="F1887" t="inlineStr">
        <is>
          <t>la Recarga y mantenimiento</t>
        </is>
      </c>
      <c r="G1887" t="inlineStr">
        <is>
          <t>01</t>
        </is>
      </c>
      <c r="H1887" t="inlineStr">
        <is>
          <t>06 KG</t>
        </is>
      </c>
      <c r="I1887" t="inlineStr">
        <is>
          <t>2026</t>
        </is>
      </c>
      <c r="J1887" t="n">
        <v>2021</v>
      </c>
      <c r="K1887" t="inlineStr">
        <is>
          <t>JULIO 2024</t>
        </is>
      </c>
      <c r="L1887" t="inlineStr">
        <is>
          <t>JULIO 2025</t>
        </is>
      </c>
      <c r="M1887" t="inlineStr">
        <is>
          <t>P.Q.S TIPO ABC</t>
        </is>
      </c>
      <c r="N1887" t="inlineStr">
        <is>
          <t>01/262951</t>
        </is>
      </c>
      <c r="O1887" t="inlineStr">
        <is>
          <t>R</t>
        </is>
      </c>
      <c r="P1887">
        <f>TRIM(N1887)</f>
        <v/>
      </c>
    </row>
    <row r="1888">
      <c r="A1888" t="inlineStr">
        <is>
          <t>CO-001982</t>
        </is>
      </c>
      <c r="B1888" t="inlineStr">
        <is>
          <t>MERCADO LA FRONTERA PUESTO J15</t>
        </is>
      </c>
      <c r="D1888" t="inlineStr">
        <is>
          <t>MERCADO LA FRONTERA PUESTO J15</t>
        </is>
      </c>
      <c r="E1888" t="inlineStr">
        <is>
          <t>Lima, 16 de Julio de 2024</t>
        </is>
      </c>
      <c r="F1888" t="inlineStr">
        <is>
          <t>la Recarga y mantenimiento</t>
        </is>
      </c>
      <c r="G1888" t="inlineStr">
        <is>
          <t>01</t>
        </is>
      </c>
      <c r="H1888" t="inlineStr">
        <is>
          <t>06 KG</t>
        </is>
      </c>
      <c r="I1888" t="inlineStr">
        <is>
          <t>VIGENTE</t>
        </is>
      </c>
      <c r="J1888" t="n">
        <v>2017</v>
      </c>
      <c r="K1888" t="inlineStr">
        <is>
          <t>JULIO 2024</t>
        </is>
      </c>
      <c r="L1888" t="inlineStr">
        <is>
          <t>JULIO 2025</t>
        </is>
      </c>
      <c r="M1888" t="inlineStr">
        <is>
          <t>P.Q.S TIPO ABC</t>
        </is>
      </c>
      <c r="N1888" t="inlineStr">
        <is>
          <t>003186</t>
        </is>
      </c>
      <c r="O1888" t="inlineStr">
        <is>
          <t>R</t>
        </is>
      </c>
      <c r="P1888">
        <f>TRIM(N1888)</f>
        <v/>
      </c>
    </row>
    <row r="1889">
      <c r="A1889" t="inlineStr">
        <is>
          <t>CO-001983</t>
        </is>
      </c>
      <c r="B1889" t="inlineStr">
        <is>
          <t>MERCADO LA FRONTERA PUESTO F34</t>
        </is>
      </c>
      <c r="D1889" t="inlineStr">
        <is>
          <t>MERCADO LA FRONTERA PUESTO F34</t>
        </is>
      </c>
      <c r="E1889" t="inlineStr">
        <is>
          <t>Lima, 16 de Julio de 2024</t>
        </is>
      </c>
      <c r="F1889" t="inlineStr">
        <is>
          <t>la Recarga y mantenimiento</t>
        </is>
      </c>
      <c r="G1889" t="inlineStr">
        <is>
          <t>01</t>
        </is>
      </c>
      <c r="H1889" t="inlineStr">
        <is>
          <t>06 KG</t>
        </is>
      </c>
      <c r="I1889" t="inlineStr">
        <is>
          <t>VIGENTE</t>
        </is>
      </c>
      <c r="J1889" t="n">
        <v>2008</v>
      </c>
      <c r="K1889" t="inlineStr">
        <is>
          <t>JULIO 2024</t>
        </is>
      </c>
      <c r="L1889" t="inlineStr">
        <is>
          <t>JULIO 2025</t>
        </is>
      </c>
      <c r="M1889" t="inlineStr">
        <is>
          <t>P.Q.S TIPO ABC</t>
        </is>
      </c>
      <c r="N1889" t="inlineStr">
        <is>
          <t>003581</t>
        </is>
      </c>
      <c r="O1889" t="inlineStr">
        <is>
          <t>R</t>
        </is>
      </c>
      <c r="P1889">
        <f>TRIM(N1889)</f>
        <v/>
      </c>
    </row>
    <row r="1890">
      <c r="A1890" t="inlineStr">
        <is>
          <t>CO-001984</t>
        </is>
      </c>
      <c r="B1890" t="inlineStr">
        <is>
          <t>MERCADO LA FRONTERA PUESTO M8</t>
        </is>
      </c>
      <c r="D1890" t="inlineStr">
        <is>
          <t>MERCADO LA FRONTERA PUESTO M8</t>
        </is>
      </c>
      <c r="E1890" t="inlineStr">
        <is>
          <t>Lima, 16 de Julio de 2024</t>
        </is>
      </c>
      <c r="F1890" t="inlineStr">
        <is>
          <t>la Recarga y mantenimiento</t>
        </is>
      </c>
      <c r="G1890" t="inlineStr">
        <is>
          <t>01</t>
        </is>
      </c>
      <c r="H1890" t="inlineStr">
        <is>
          <t>06 KG</t>
        </is>
      </c>
      <c r="I1890" t="inlineStr">
        <is>
          <t>VIGENTE</t>
        </is>
      </c>
      <c r="J1890" t="n">
        <v>2017</v>
      </c>
      <c r="K1890" t="inlineStr">
        <is>
          <t>JULIO 2024</t>
        </is>
      </c>
      <c r="L1890" t="inlineStr">
        <is>
          <t>JULIO 2025</t>
        </is>
      </c>
      <c r="M1890" t="inlineStr">
        <is>
          <t>P.Q.S TIPO ABC</t>
        </is>
      </c>
      <c r="N1890" t="inlineStr">
        <is>
          <t>006982</t>
        </is>
      </c>
      <c r="O1890" t="inlineStr">
        <is>
          <t>R</t>
        </is>
      </c>
      <c r="P1890">
        <f>TRIM(N1890)</f>
        <v/>
      </c>
    </row>
    <row r="1891">
      <c r="A1891" t="inlineStr">
        <is>
          <t>CO-001985</t>
        </is>
      </c>
      <c r="B1891" t="inlineStr">
        <is>
          <t>MERCADO LA FRONTERA PUESTO B3</t>
        </is>
      </c>
      <c r="D1891" t="inlineStr">
        <is>
          <t>MERCADO LA FRONTERA PUESTO B3</t>
        </is>
      </c>
      <c r="E1891" t="inlineStr">
        <is>
          <t>Lima, 16 de Julio de 2024</t>
        </is>
      </c>
      <c r="F1891" t="inlineStr">
        <is>
          <t>la Recarga y mantenimiento</t>
        </is>
      </c>
      <c r="G1891" t="inlineStr">
        <is>
          <t>01</t>
        </is>
      </c>
      <c r="H1891" t="inlineStr">
        <is>
          <t>06 KG</t>
        </is>
      </c>
      <c r="I1891" t="inlineStr">
        <is>
          <t>VIGENTE</t>
        </is>
      </c>
      <c r="J1891" t="n">
        <v>2006</v>
      </c>
      <c r="K1891" t="inlineStr">
        <is>
          <t>JULIO 2024</t>
        </is>
      </c>
      <c r="L1891" t="inlineStr">
        <is>
          <t>JULIO 2025</t>
        </is>
      </c>
      <c r="M1891" t="inlineStr">
        <is>
          <t>P.Q.S TIPO ABC</t>
        </is>
      </c>
      <c r="N1891" t="inlineStr">
        <is>
          <t>007440</t>
        </is>
      </c>
      <c r="O1891" t="inlineStr">
        <is>
          <t>R</t>
        </is>
      </c>
      <c r="P1891">
        <f>TRIM(N1891)</f>
        <v/>
      </c>
    </row>
    <row r="1892">
      <c r="A1892" t="inlineStr">
        <is>
          <t>CO-001986</t>
        </is>
      </c>
      <c r="B1892" t="inlineStr">
        <is>
          <t>MERCADO LA FRONTERA PUESTO G7</t>
        </is>
      </c>
      <c r="D1892" t="inlineStr">
        <is>
          <t>MERCADO LA FRONTERA PUESTO G7</t>
        </is>
      </c>
      <c r="E1892" t="inlineStr">
        <is>
          <t>Lima, 16 de Julio de 2024</t>
        </is>
      </c>
      <c r="F1892" t="inlineStr">
        <is>
          <t>la Recarga y mantenimiento</t>
        </is>
      </c>
      <c r="G1892" t="inlineStr">
        <is>
          <t>01</t>
        </is>
      </c>
      <c r="H1892" t="inlineStr">
        <is>
          <t>06 KG</t>
        </is>
      </c>
      <c r="I1892" t="inlineStr">
        <is>
          <t>VIGENTE</t>
        </is>
      </c>
      <c r="J1892" t="n">
        <v>2016</v>
      </c>
      <c r="K1892" t="inlineStr">
        <is>
          <t>JULIO 2024</t>
        </is>
      </c>
      <c r="L1892" t="inlineStr">
        <is>
          <t>JULIO 2025</t>
        </is>
      </c>
      <c r="M1892" t="inlineStr">
        <is>
          <t>P.Q.S TIPO ABC</t>
        </is>
      </c>
      <c r="N1892" t="inlineStr">
        <is>
          <t>148240</t>
        </is>
      </c>
      <c r="O1892" t="inlineStr">
        <is>
          <t>R</t>
        </is>
      </c>
      <c r="P1892">
        <f>TRIM(N1892)</f>
        <v/>
      </c>
    </row>
    <row r="1893">
      <c r="A1893" t="inlineStr">
        <is>
          <t>CO-001987</t>
        </is>
      </c>
      <c r="B1893" t="inlineStr">
        <is>
          <t>MERCADO LA FRONTERA PUESTO J12</t>
        </is>
      </c>
      <c r="D1893" t="inlineStr">
        <is>
          <t>MERCADO LA FRONTERA PUESTO J12</t>
        </is>
      </c>
      <c r="E1893" t="inlineStr">
        <is>
          <t>Lima, 16 de Julio de 2024</t>
        </is>
      </c>
      <c r="F1893" t="inlineStr">
        <is>
          <t>la Recarga y mantenimiento</t>
        </is>
      </c>
      <c r="G1893" t="inlineStr">
        <is>
          <t>01</t>
        </is>
      </c>
      <c r="H1893" t="inlineStr">
        <is>
          <t>06 KG</t>
        </is>
      </c>
      <c r="I1893" t="inlineStr">
        <is>
          <t>VIGENTE</t>
        </is>
      </c>
      <c r="J1893" t="n">
        <v>2016</v>
      </c>
      <c r="K1893" t="inlineStr">
        <is>
          <t>JULIO 2024</t>
        </is>
      </c>
      <c r="L1893" t="inlineStr">
        <is>
          <t>JULIO 2025</t>
        </is>
      </c>
      <c r="M1893" t="inlineStr">
        <is>
          <t>P.Q.S TIPO ABC</t>
        </is>
      </c>
      <c r="N1893" t="inlineStr">
        <is>
          <t>000636</t>
        </is>
      </c>
      <c r="O1893" t="inlineStr">
        <is>
          <t>R</t>
        </is>
      </c>
      <c r="P1893">
        <f>TRIM(N1893)</f>
        <v/>
      </c>
    </row>
    <row r="1894">
      <c r="A1894" t="inlineStr">
        <is>
          <t>CO-001988</t>
        </is>
      </c>
      <c r="B1894" t="inlineStr">
        <is>
          <t>MERCADO LA FRONTERA PUESTO B4</t>
        </is>
      </c>
      <c r="D1894" t="inlineStr">
        <is>
          <t>MERCADO LA FRONTERA PUESTO B4</t>
        </is>
      </c>
      <c r="E1894" t="inlineStr">
        <is>
          <t>Lima, 16 de Julio de 2024</t>
        </is>
      </c>
      <c r="F1894" t="inlineStr">
        <is>
          <t>la Recarga y mantenimiento</t>
        </is>
      </c>
      <c r="G1894" t="inlineStr">
        <is>
          <t>01</t>
        </is>
      </c>
      <c r="H1894" t="inlineStr">
        <is>
          <t>06 KG</t>
        </is>
      </c>
      <c r="I1894" t="inlineStr">
        <is>
          <t>VIGENTE</t>
        </is>
      </c>
      <c r="J1894" t="n">
        <v>2015</v>
      </c>
      <c r="K1894" t="inlineStr">
        <is>
          <t>JULIO 2024</t>
        </is>
      </c>
      <c r="L1894" t="inlineStr">
        <is>
          <t>JULIO 2025</t>
        </is>
      </c>
      <c r="M1894" t="inlineStr">
        <is>
          <t>P.Q.S TIPO ABC</t>
        </is>
      </c>
      <c r="N1894" t="inlineStr">
        <is>
          <t>000869</t>
        </is>
      </c>
      <c r="O1894" t="inlineStr">
        <is>
          <t>R</t>
        </is>
      </c>
      <c r="P1894">
        <f>TRIM(N1894)</f>
        <v/>
      </c>
    </row>
    <row r="1895">
      <c r="A1895" t="inlineStr">
        <is>
          <t>CO-001989</t>
        </is>
      </c>
      <c r="B1895" t="inlineStr">
        <is>
          <t>MERCADO LA FRONTERA PUESTO M5</t>
        </is>
      </c>
      <c r="D1895" t="inlineStr">
        <is>
          <t>MERCADO LA FRONTERA PUESTO M5</t>
        </is>
      </c>
      <c r="E1895" t="inlineStr">
        <is>
          <t>Lima, 16 de Julio de 2024</t>
        </is>
      </c>
      <c r="F1895" t="inlineStr">
        <is>
          <t>la Recarga y mantenimiento</t>
        </is>
      </c>
      <c r="G1895" t="inlineStr">
        <is>
          <t>01</t>
        </is>
      </c>
      <c r="H1895" t="inlineStr">
        <is>
          <t>06 KG</t>
        </is>
      </c>
      <c r="I1895" t="inlineStr">
        <is>
          <t>VIGENTE</t>
        </is>
      </c>
      <c r="J1895" t="n">
        <v>2011</v>
      </c>
      <c r="K1895" t="inlineStr">
        <is>
          <t>JULIO 2024</t>
        </is>
      </c>
      <c r="L1895" t="inlineStr">
        <is>
          <t>JULIO 2025</t>
        </is>
      </c>
      <c r="M1895" t="inlineStr">
        <is>
          <t>P.Q.S TIPO ABC</t>
        </is>
      </c>
      <c r="N1895" t="inlineStr">
        <is>
          <t>000006</t>
        </is>
      </c>
      <c r="O1895" t="inlineStr">
        <is>
          <t>R</t>
        </is>
      </c>
      <c r="P1895">
        <f>TRIM(N1895)</f>
        <v/>
      </c>
    </row>
    <row r="1896">
      <c r="A1896" t="inlineStr">
        <is>
          <t>CO-001990</t>
        </is>
      </c>
      <c r="B1896" t="inlineStr">
        <is>
          <t>MERCADO LA FRONTERA PUESTO E1</t>
        </is>
      </c>
      <c r="D1896" t="inlineStr">
        <is>
          <t>MERCADO LA FRONTERA PUESTO E1</t>
        </is>
      </c>
      <c r="E1896" t="inlineStr">
        <is>
          <t>Lima, 16 de Julio de 2024</t>
        </is>
      </c>
      <c r="F1896" t="inlineStr">
        <is>
          <t>la Recarga y mantenimiento</t>
        </is>
      </c>
      <c r="G1896" t="inlineStr">
        <is>
          <t>01</t>
        </is>
      </c>
      <c r="H1896" t="inlineStr">
        <is>
          <t>06 KG</t>
        </is>
      </c>
      <c r="I1896" t="inlineStr">
        <is>
          <t>VIGENTE</t>
        </is>
      </c>
      <c r="J1896" t="n">
        <v>2010</v>
      </c>
      <c r="K1896" t="inlineStr">
        <is>
          <t>JULIO 2024</t>
        </is>
      </c>
      <c r="L1896" t="inlineStr">
        <is>
          <t>JULIO 2025</t>
        </is>
      </c>
      <c r="M1896" t="inlineStr">
        <is>
          <t>P.Q.S TIPO ABC</t>
        </is>
      </c>
      <c r="N1896" t="inlineStr">
        <is>
          <t>003463</t>
        </is>
      </c>
      <c r="O1896" t="inlineStr">
        <is>
          <t>R</t>
        </is>
      </c>
      <c r="P1896">
        <f>TRIM(N1896)</f>
        <v/>
      </c>
    </row>
    <row r="1897">
      <c r="A1897" t="inlineStr">
        <is>
          <t>CO-001991</t>
        </is>
      </c>
      <c r="B1897" t="inlineStr">
        <is>
          <t>MERCADO LA FRONTERA PUESTO G4</t>
        </is>
      </c>
      <c r="D1897" t="inlineStr">
        <is>
          <t>MERCADO LA FRONTERA PUESTO G4</t>
        </is>
      </c>
      <c r="E1897" t="inlineStr">
        <is>
          <t>Lima, 16 de Julio de 2024</t>
        </is>
      </c>
      <c r="F1897" t="inlineStr">
        <is>
          <t>la Recarga y mantenimiento</t>
        </is>
      </c>
      <c r="G1897" t="inlineStr">
        <is>
          <t>01</t>
        </is>
      </c>
      <c r="H1897" t="inlineStr">
        <is>
          <t>06 KG</t>
        </is>
      </c>
      <c r="I1897" t="inlineStr">
        <is>
          <t>VIGENTE</t>
        </is>
      </c>
      <c r="J1897" t="n">
        <v>2010</v>
      </c>
      <c r="K1897" t="inlineStr">
        <is>
          <t>JULIO 2024</t>
        </is>
      </c>
      <c r="L1897" t="inlineStr">
        <is>
          <t>JULIO 2025</t>
        </is>
      </c>
      <c r="M1897" t="inlineStr">
        <is>
          <t>P.Q.S TIPO ABC</t>
        </is>
      </c>
      <c r="N1897" t="inlineStr">
        <is>
          <t>002361</t>
        </is>
      </c>
      <c r="O1897" t="inlineStr">
        <is>
          <t>R</t>
        </is>
      </c>
      <c r="P1897">
        <f>TRIM(N1897)</f>
        <v/>
      </c>
    </row>
    <row r="1898">
      <c r="A1898" t="inlineStr">
        <is>
          <t>CO-001992</t>
        </is>
      </c>
      <c r="B1898" t="inlineStr">
        <is>
          <t>MERCADO LA FRONTERA PUESTO G8</t>
        </is>
      </c>
      <c r="D1898" t="inlineStr">
        <is>
          <t>MERCADO LA FRONTERA PUESTO G8</t>
        </is>
      </c>
      <c r="E1898" t="inlineStr">
        <is>
          <t>Lima, 16 de Julio de 2024</t>
        </is>
      </c>
      <c r="F1898" t="inlineStr">
        <is>
          <t>la Recarga y mantenimiento</t>
        </is>
      </c>
      <c r="G1898" t="inlineStr">
        <is>
          <t>01</t>
        </is>
      </c>
      <c r="H1898" t="inlineStr">
        <is>
          <t>06 KG</t>
        </is>
      </c>
      <c r="I1898" t="inlineStr">
        <is>
          <t>VIGENTE</t>
        </is>
      </c>
      <c r="J1898" t="n">
        <v>2016</v>
      </c>
      <c r="K1898" t="inlineStr">
        <is>
          <t>JULIO 2024</t>
        </is>
      </c>
      <c r="L1898" t="inlineStr">
        <is>
          <t>JULIO 2025</t>
        </is>
      </c>
      <c r="M1898" t="inlineStr">
        <is>
          <t>P.Q.S TIPO ABC</t>
        </is>
      </c>
      <c r="N1898" t="inlineStr">
        <is>
          <t>001186</t>
        </is>
      </c>
      <c r="O1898" t="inlineStr">
        <is>
          <t>R</t>
        </is>
      </c>
      <c r="P1898">
        <f>TRIM(N1898)</f>
        <v/>
      </c>
    </row>
    <row r="1899">
      <c r="A1899" t="inlineStr">
        <is>
          <t>CO-001993</t>
        </is>
      </c>
      <c r="B1899" t="inlineStr">
        <is>
          <t>MERCADO LA FRONTERA PUESTO F9</t>
        </is>
      </c>
      <c r="D1899" t="inlineStr">
        <is>
          <t>MERCADO LA FRONTERA PUESTO F9</t>
        </is>
      </c>
      <c r="E1899" t="inlineStr">
        <is>
          <t>Lima, 16 de Julio de 2024</t>
        </is>
      </c>
      <c r="F1899" t="inlineStr">
        <is>
          <t>la Recarga y mantenimiento</t>
        </is>
      </c>
      <c r="G1899" t="inlineStr">
        <is>
          <t>01</t>
        </is>
      </c>
      <c r="H1899" t="inlineStr">
        <is>
          <t>06 KG</t>
        </is>
      </c>
      <c r="I1899" t="inlineStr">
        <is>
          <t>2028</t>
        </is>
      </c>
      <c r="J1899" t="n">
        <v>2023</v>
      </c>
      <c r="K1899" t="inlineStr">
        <is>
          <t>JULIO 2024</t>
        </is>
      </c>
      <c r="L1899" t="inlineStr">
        <is>
          <t>JULIO 2025</t>
        </is>
      </c>
      <c r="M1899" t="inlineStr">
        <is>
          <t>P.Q.S TIPO ABC</t>
        </is>
      </c>
      <c r="N1899" t="inlineStr">
        <is>
          <t>000448</t>
        </is>
      </c>
      <c r="O1899" t="inlineStr">
        <is>
          <t>R</t>
        </is>
      </c>
      <c r="P1899">
        <f>TRIM(N1899)</f>
        <v/>
      </c>
    </row>
    <row r="1900">
      <c r="A1900" t="inlineStr">
        <is>
          <t>CO-001994</t>
        </is>
      </c>
      <c r="B1900" t="inlineStr">
        <is>
          <t>MERCADO LA FRONTERA PUESTO B1</t>
        </is>
      </c>
      <c r="D1900" t="inlineStr">
        <is>
          <t>MERCADO LA FRONTERA PUESTO B1</t>
        </is>
      </c>
      <c r="E1900" t="inlineStr">
        <is>
          <t>Lima, 16 de Julio de 2024</t>
        </is>
      </c>
      <c r="F1900" t="inlineStr">
        <is>
          <t>la Recarga y mantenimiento</t>
        </is>
      </c>
      <c r="G1900" t="inlineStr">
        <is>
          <t>01</t>
        </is>
      </c>
      <c r="H1900" t="inlineStr">
        <is>
          <t>06 KG</t>
        </is>
      </c>
      <c r="I1900" t="inlineStr">
        <is>
          <t>VIGENTE</t>
        </is>
      </c>
      <c r="J1900" t="n">
        <v>2013</v>
      </c>
      <c r="K1900" t="inlineStr">
        <is>
          <t>JULIO 2024</t>
        </is>
      </c>
      <c r="L1900" t="inlineStr">
        <is>
          <t>JULIO 2025</t>
        </is>
      </c>
      <c r="M1900" t="inlineStr">
        <is>
          <t>P.Q.S TIPO ABC</t>
        </is>
      </c>
      <c r="N1900" t="inlineStr">
        <is>
          <t>000001</t>
        </is>
      </c>
      <c r="O1900" t="inlineStr">
        <is>
          <t>R</t>
        </is>
      </c>
      <c r="P1900">
        <f>TRIM(N1900)</f>
        <v/>
      </c>
    </row>
    <row r="1901">
      <c r="A1901" t="inlineStr">
        <is>
          <t>CO-001995</t>
        </is>
      </c>
      <c r="B1901" t="inlineStr">
        <is>
          <t>MERCADO LA FRONTERA PUESTO A6</t>
        </is>
      </c>
      <c r="D1901" t="inlineStr">
        <is>
          <t>MERCADO LA FRONTERA PUESTO A6</t>
        </is>
      </c>
      <c r="E1901" t="inlineStr">
        <is>
          <t>Lima, 16 de Julio de 2024</t>
        </is>
      </c>
      <c r="F1901" t="inlineStr">
        <is>
          <t>la Recarga y mantenimiento</t>
        </is>
      </c>
      <c r="G1901" t="inlineStr">
        <is>
          <t>01</t>
        </is>
      </c>
      <c r="H1901" t="inlineStr">
        <is>
          <t>06 KG</t>
        </is>
      </c>
      <c r="I1901" t="inlineStr">
        <is>
          <t>VIGENTE</t>
        </is>
      </c>
      <c r="J1901" t="n">
        <v>2010</v>
      </c>
      <c r="K1901" t="inlineStr">
        <is>
          <t>JULIO 2024</t>
        </is>
      </c>
      <c r="L1901" t="inlineStr">
        <is>
          <t>JULIO 2025</t>
        </is>
      </c>
      <c r="M1901" t="inlineStr">
        <is>
          <t>P.Q.S TIPO ABC</t>
        </is>
      </c>
      <c r="N1901" t="inlineStr">
        <is>
          <t>008682</t>
        </is>
      </c>
      <c r="O1901" t="inlineStr">
        <is>
          <t>R</t>
        </is>
      </c>
      <c r="P1901">
        <f>TRIM(N1901)</f>
        <v/>
      </c>
    </row>
    <row r="1902">
      <c r="A1902" t="inlineStr">
        <is>
          <t>CO-001996</t>
        </is>
      </c>
      <c r="B1902" t="inlineStr">
        <is>
          <t>MERCADO LA FRONTERA PUESTO M3</t>
        </is>
      </c>
      <c r="D1902" t="inlineStr">
        <is>
          <t>MERCADO LA FRONTERA PUESTO M3</t>
        </is>
      </c>
      <c r="E1902" t="inlineStr">
        <is>
          <t>Lima, 16 de Julio de 2024</t>
        </is>
      </c>
      <c r="F1902" t="inlineStr">
        <is>
          <t>la Recarga y mantenimiento</t>
        </is>
      </c>
      <c r="G1902" t="inlineStr">
        <is>
          <t>01</t>
        </is>
      </c>
      <c r="H1902" t="inlineStr">
        <is>
          <t>06 KG</t>
        </is>
      </c>
      <c r="I1902" t="inlineStr">
        <is>
          <t>VIGENTE</t>
        </is>
      </c>
      <c r="J1902" t="n">
        <v>2016</v>
      </c>
      <c r="K1902" t="inlineStr">
        <is>
          <t>JULIO 2024</t>
        </is>
      </c>
      <c r="L1902" t="inlineStr">
        <is>
          <t>JULIO 2025</t>
        </is>
      </c>
      <c r="M1902" t="inlineStr">
        <is>
          <t>P.Q.S TIPO ABC</t>
        </is>
      </c>
      <c r="N1902" t="inlineStr">
        <is>
          <t>001171</t>
        </is>
      </c>
      <c r="O1902" t="inlineStr">
        <is>
          <t>R</t>
        </is>
      </c>
      <c r="P1902">
        <f>TRIM(N1902)</f>
        <v/>
      </c>
    </row>
    <row r="1903">
      <c r="A1903" t="inlineStr">
        <is>
          <t>CO-001997</t>
        </is>
      </c>
      <c r="B1903" t="inlineStr">
        <is>
          <t>MERCADO LA FRONTERA PUESTO E4</t>
        </is>
      </c>
      <c r="D1903" t="inlineStr">
        <is>
          <t>MERCADO LA FRONTERA PUESTO E4</t>
        </is>
      </c>
      <c r="E1903" t="inlineStr">
        <is>
          <t>Lima, 16 de Julio de 2024</t>
        </is>
      </c>
      <c r="F1903" t="inlineStr">
        <is>
          <t>la Recarga y mantenimiento</t>
        </is>
      </c>
      <c r="G1903" t="inlineStr">
        <is>
          <t>01</t>
        </is>
      </c>
      <c r="H1903" t="inlineStr">
        <is>
          <t>06 KG</t>
        </is>
      </c>
      <c r="I1903" t="inlineStr">
        <is>
          <t>VIGENTE</t>
        </is>
      </c>
      <c r="J1903" t="n">
        <v>2018</v>
      </c>
      <c r="K1903" t="inlineStr">
        <is>
          <t>JULIO 2024</t>
        </is>
      </c>
      <c r="L1903" t="inlineStr">
        <is>
          <t>JULIO 2025</t>
        </is>
      </c>
      <c r="M1903" t="inlineStr">
        <is>
          <t>P.Q.S TIPO ABC</t>
        </is>
      </c>
      <c r="N1903" t="inlineStr">
        <is>
          <t>003501</t>
        </is>
      </c>
      <c r="O1903" t="inlineStr">
        <is>
          <t>R</t>
        </is>
      </c>
      <c r="P1903">
        <f>TRIM(N1903)</f>
        <v/>
      </c>
    </row>
    <row r="1904">
      <c r="A1904" t="inlineStr">
        <is>
          <t>CO-001998</t>
        </is>
      </c>
      <c r="B1904" t="inlineStr">
        <is>
          <t>MERCADO LA FRONTERA PUESTO A7</t>
        </is>
      </c>
      <c r="D1904" t="inlineStr">
        <is>
          <t>MERCADO LA FRONTERA PUESTO A7</t>
        </is>
      </c>
      <c r="E1904" t="inlineStr">
        <is>
          <t>Lima, 16 de Julio de 2024</t>
        </is>
      </c>
      <c r="F1904" t="inlineStr">
        <is>
          <t>la Recarga y mantenimiento</t>
        </is>
      </c>
      <c r="G1904" t="inlineStr">
        <is>
          <t>01</t>
        </is>
      </c>
      <c r="H1904" t="inlineStr">
        <is>
          <t>06 KG</t>
        </is>
      </c>
      <c r="I1904" t="inlineStr">
        <is>
          <t>VIGENTE</t>
        </is>
      </c>
      <c r="J1904" t="n">
        <v>2015</v>
      </c>
      <c r="K1904" t="inlineStr">
        <is>
          <t>JULIO 2024</t>
        </is>
      </c>
      <c r="L1904" t="inlineStr">
        <is>
          <t>JULIO 2025</t>
        </is>
      </c>
      <c r="M1904" t="inlineStr">
        <is>
          <t>P.Q.S TIPO ABC</t>
        </is>
      </c>
      <c r="N1904" t="inlineStr">
        <is>
          <t>001991</t>
        </is>
      </c>
      <c r="O1904" t="inlineStr">
        <is>
          <t>R</t>
        </is>
      </c>
      <c r="P1904">
        <f>TRIM(N1904)</f>
        <v/>
      </c>
    </row>
    <row r="1905">
      <c r="A1905" t="inlineStr">
        <is>
          <t>CO-001999</t>
        </is>
      </c>
      <c r="B1905" t="inlineStr">
        <is>
          <t>MERCADO LA FRONTERA PUESTO I14</t>
        </is>
      </c>
      <c r="D1905" t="inlineStr">
        <is>
          <t>MERCADO LA FRONTERA PUESTO I14</t>
        </is>
      </c>
      <c r="E1905" t="inlineStr">
        <is>
          <t>Lima, 16 de Julio de 2024</t>
        </is>
      </c>
      <c r="F1905" t="inlineStr">
        <is>
          <t>la Recarga y mantenimiento</t>
        </is>
      </c>
      <c r="G1905" t="inlineStr">
        <is>
          <t>01</t>
        </is>
      </c>
      <c r="H1905" t="inlineStr">
        <is>
          <t>06 KG</t>
        </is>
      </c>
      <c r="I1905" t="inlineStr">
        <is>
          <t>VIGENTE</t>
        </is>
      </c>
      <c r="J1905" t="n">
        <v>2010</v>
      </c>
      <c r="K1905" t="inlineStr">
        <is>
          <t>JULIO 2024</t>
        </is>
      </c>
      <c r="L1905" t="inlineStr">
        <is>
          <t>JULIO 2025</t>
        </is>
      </c>
      <c r="M1905" t="inlineStr">
        <is>
          <t>P.Q.S TIPO ABC</t>
        </is>
      </c>
      <c r="N1905" t="inlineStr">
        <is>
          <t>008010</t>
        </is>
      </c>
      <c r="O1905" t="inlineStr">
        <is>
          <t>R</t>
        </is>
      </c>
      <c r="P1905">
        <f>TRIM(N1905)</f>
        <v/>
      </c>
    </row>
    <row r="1906">
      <c r="A1906" t="inlineStr">
        <is>
          <t>CO-002000</t>
        </is>
      </c>
      <c r="B1906" t="inlineStr">
        <is>
          <t>MERCADO LA FRONTERA PUESTO J10</t>
        </is>
      </c>
      <c r="D1906" t="inlineStr">
        <is>
          <t>MERCADO LA FRONTERA PUESTO J10</t>
        </is>
      </c>
      <c r="E1906" t="inlineStr">
        <is>
          <t>Lima, 16 de Julio de 2024</t>
        </is>
      </c>
      <c r="F1906" t="inlineStr">
        <is>
          <t>la Recarga y mantenimiento</t>
        </is>
      </c>
      <c r="G1906" t="inlineStr">
        <is>
          <t>01</t>
        </is>
      </c>
      <c r="H1906" t="inlineStr">
        <is>
          <t>06 KG</t>
        </is>
      </c>
      <c r="I1906" t="inlineStr">
        <is>
          <t>VIGENTE</t>
        </is>
      </c>
      <c r="J1906" t="n">
        <v>2015</v>
      </c>
      <c r="K1906" t="inlineStr">
        <is>
          <t>JULIO 2024</t>
        </is>
      </c>
      <c r="L1906" t="inlineStr">
        <is>
          <t>JULIO 2025</t>
        </is>
      </c>
      <c r="M1906" t="inlineStr">
        <is>
          <t>P.Q.S TIPO ABC</t>
        </is>
      </c>
      <c r="N1906" t="inlineStr">
        <is>
          <t>000086</t>
        </is>
      </c>
      <c r="O1906" t="inlineStr">
        <is>
          <t>R</t>
        </is>
      </c>
      <c r="P1906">
        <f>TRIM(N1906)</f>
        <v/>
      </c>
    </row>
    <row r="1907">
      <c r="A1907" t="inlineStr">
        <is>
          <t>CO-002001</t>
        </is>
      </c>
      <c r="B1907" t="inlineStr">
        <is>
          <t>MERCADO LA FRONTERA PUESTO E3</t>
        </is>
      </c>
      <c r="D1907" t="inlineStr">
        <is>
          <t>MERCADO LA FRONTERA PUESTO E3</t>
        </is>
      </c>
      <c r="E1907" t="inlineStr">
        <is>
          <t>Lima, 16 de Julio de 2024</t>
        </is>
      </c>
      <c r="F1907" t="inlineStr">
        <is>
          <t>la Recarga y mantenimiento</t>
        </is>
      </c>
      <c r="G1907" t="inlineStr">
        <is>
          <t>01</t>
        </is>
      </c>
      <c r="H1907" t="inlineStr">
        <is>
          <t>06 KG</t>
        </is>
      </c>
      <c r="I1907" t="inlineStr">
        <is>
          <t>VIGENTE</t>
        </is>
      </c>
      <c r="J1907" t="n">
        <v>2015</v>
      </c>
      <c r="K1907" t="inlineStr">
        <is>
          <t>JULIO 2024</t>
        </is>
      </c>
      <c r="L1907" t="inlineStr">
        <is>
          <t>JULIO 2025</t>
        </is>
      </c>
      <c r="M1907" t="inlineStr">
        <is>
          <t>P.Q.S TIPO ABC</t>
        </is>
      </c>
      <c r="N1907" t="inlineStr">
        <is>
          <t>003115</t>
        </is>
      </c>
      <c r="O1907" t="inlineStr">
        <is>
          <t>R</t>
        </is>
      </c>
      <c r="P1907">
        <f>TRIM(N1907)</f>
        <v/>
      </c>
    </row>
    <row r="1908">
      <c r="A1908" t="inlineStr">
        <is>
          <t>CO-002002</t>
        </is>
      </c>
      <c r="B1908" t="inlineStr">
        <is>
          <t>MERCADO LA FRONTERA PUESTO G3</t>
        </is>
      </c>
      <c r="D1908" t="inlineStr">
        <is>
          <t>MERCADO LA FRONTERA PUESTO G3</t>
        </is>
      </c>
      <c r="E1908" t="inlineStr">
        <is>
          <t>Lima, 16 de Julio de 2024</t>
        </is>
      </c>
      <c r="F1908" t="inlineStr">
        <is>
          <t>la Recarga y mantenimiento</t>
        </is>
      </c>
      <c r="G1908" t="inlineStr">
        <is>
          <t>01</t>
        </is>
      </c>
      <c r="H1908" t="inlineStr">
        <is>
          <t>06 KG</t>
        </is>
      </c>
      <c r="I1908" t="inlineStr">
        <is>
          <t>VIGENTE</t>
        </is>
      </c>
      <c r="J1908" t="n">
        <v>2009</v>
      </c>
      <c r="K1908" t="inlineStr">
        <is>
          <t>JULIO 2024</t>
        </is>
      </c>
      <c r="L1908" t="inlineStr">
        <is>
          <t>JULIO 2025</t>
        </is>
      </c>
      <c r="M1908" t="inlineStr">
        <is>
          <t>P.Q.S TIPO ABC</t>
        </is>
      </c>
      <c r="N1908" t="inlineStr">
        <is>
          <t>000560</t>
        </is>
      </c>
      <c r="O1908" t="inlineStr">
        <is>
          <t>R</t>
        </is>
      </c>
      <c r="P1908">
        <f>TRIM(N1908)</f>
        <v/>
      </c>
    </row>
    <row r="1909">
      <c r="A1909" t="inlineStr">
        <is>
          <t>CO-002003</t>
        </is>
      </c>
      <c r="B1909" t="inlineStr">
        <is>
          <t>MERCADO LA FRONTERA PUESTO G11</t>
        </is>
      </c>
      <c r="D1909" t="inlineStr">
        <is>
          <t>MERCADO LA FRONTERA PUESTO G11</t>
        </is>
      </c>
      <c r="E1909" t="inlineStr">
        <is>
          <t>Lima, 16 de Julio de 2024</t>
        </is>
      </c>
      <c r="F1909" t="inlineStr">
        <is>
          <t>la Recarga y mantenimiento</t>
        </is>
      </c>
      <c r="G1909" t="inlineStr">
        <is>
          <t>01</t>
        </is>
      </c>
      <c r="H1909" t="inlineStr">
        <is>
          <t>06 KG</t>
        </is>
      </c>
      <c r="I1909" t="inlineStr">
        <is>
          <t>VIGENTE</t>
        </is>
      </c>
      <c r="J1909" t="inlineStr">
        <is>
          <t>S/N</t>
        </is>
      </c>
      <c r="K1909" t="inlineStr">
        <is>
          <t>JULIO 2024</t>
        </is>
      </c>
      <c r="L1909" t="inlineStr">
        <is>
          <t>JULIO 2025</t>
        </is>
      </c>
      <c r="M1909" t="inlineStr">
        <is>
          <t>P.Q.S TIPO ABC</t>
        </is>
      </c>
      <c r="N1909" t="inlineStr">
        <is>
          <t>S/N</t>
        </is>
      </c>
      <c r="O1909" t="inlineStr">
        <is>
          <t>R</t>
        </is>
      </c>
      <c r="P1909">
        <f>TRIM(N1909)</f>
        <v/>
      </c>
    </row>
    <row r="1910">
      <c r="A1910" t="inlineStr">
        <is>
          <t>CO-002004</t>
        </is>
      </c>
      <c r="B1910" t="inlineStr">
        <is>
          <t>MERCADO LA FRONTERA PUESTO F27</t>
        </is>
      </c>
      <c r="D1910" t="inlineStr">
        <is>
          <t>MERCADO LA FRONTERA PUESTO F27</t>
        </is>
      </c>
      <c r="E1910" t="inlineStr">
        <is>
          <t>Lima, 16 de Julio de 2024</t>
        </is>
      </c>
      <c r="F1910" t="inlineStr">
        <is>
          <t>la Recarga y mantenimiento</t>
        </is>
      </c>
      <c r="G1910" t="inlineStr">
        <is>
          <t>01</t>
        </is>
      </c>
      <c r="H1910" t="inlineStr">
        <is>
          <t>06 KG</t>
        </is>
      </c>
      <c r="I1910" t="inlineStr">
        <is>
          <t>VIGENTE</t>
        </is>
      </c>
      <c r="J1910" t="n">
        <v>2017</v>
      </c>
      <c r="K1910" t="inlineStr">
        <is>
          <t>JULIO 2024</t>
        </is>
      </c>
      <c r="L1910" t="inlineStr">
        <is>
          <t>JULIO 2025</t>
        </is>
      </c>
      <c r="M1910" t="inlineStr">
        <is>
          <t>P.Q.S TIPO ABC</t>
        </is>
      </c>
      <c r="N1910" t="inlineStr">
        <is>
          <t>001146</t>
        </is>
      </c>
      <c r="O1910" t="inlineStr">
        <is>
          <t>R</t>
        </is>
      </c>
      <c r="P1910">
        <f>TRIM(N1910)</f>
        <v/>
      </c>
    </row>
    <row r="1911">
      <c r="A1911" t="inlineStr">
        <is>
          <t>CO-002005</t>
        </is>
      </c>
      <c r="B1911" t="inlineStr">
        <is>
          <t>MERCADO LA FRONTERA PUESTO G20</t>
        </is>
      </c>
      <c r="D1911" t="inlineStr">
        <is>
          <t>MERCADO LA FRONTERA PUESTO G20</t>
        </is>
      </c>
      <c r="E1911" t="inlineStr">
        <is>
          <t>Lima, 16 de Julio de 2024</t>
        </is>
      </c>
      <c r="F1911" t="inlineStr">
        <is>
          <t>la Recarga y mantenimiento</t>
        </is>
      </c>
      <c r="G1911" t="inlineStr">
        <is>
          <t>01</t>
        </is>
      </c>
      <c r="H1911" t="inlineStr">
        <is>
          <t>06 KG</t>
        </is>
      </c>
      <c r="I1911" t="inlineStr">
        <is>
          <t>VIGENTE</t>
        </is>
      </c>
      <c r="J1911" t="n">
        <v>2016</v>
      </c>
      <c r="K1911" t="inlineStr">
        <is>
          <t>JULIO 2024</t>
        </is>
      </c>
      <c r="L1911" t="inlineStr">
        <is>
          <t>JULIO 2025</t>
        </is>
      </c>
      <c r="M1911" t="inlineStr">
        <is>
          <t>P.Q.S TIPO ABC</t>
        </is>
      </c>
      <c r="N1911" t="inlineStr">
        <is>
          <t>000673</t>
        </is>
      </c>
      <c r="O1911" t="inlineStr">
        <is>
          <t>R</t>
        </is>
      </c>
      <c r="P1911">
        <f>TRIM(N1911)</f>
        <v/>
      </c>
    </row>
    <row r="1912">
      <c r="A1912" t="inlineStr">
        <is>
          <t>CO-002006</t>
        </is>
      </c>
      <c r="B1912" t="inlineStr">
        <is>
          <t>MERCADO LA FRONTERA PUESTO F15</t>
        </is>
      </c>
      <c r="D1912" t="inlineStr">
        <is>
          <t>MERCADO LA FRONTERA PUESTO F15</t>
        </is>
      </c>
      <c r="E1912" t="inlineStr">
        <is>
          <t>Lima, 16 de Julio de 2024</t>
        </is>
      </c>
      <c r="F1912" t="inlineStr">
        <is>
          <t>la Recarga y mantenimiento</t>
        </is>
      </c>
      <c r="G1912" t="inlineStr">
        <is>
          <t>01</t>
        </is>
      </c>
      <c r="H1912" t="inlineStr">
        <is>
          <t>06 KG</t>
        </is>
      </c>
      <c r="I1912" t="inlineStr">
        <is>
          <t>VIGENTE</t>
        </is>
      </c>
      <c r="J1912" t="n">
        <v>2017</v>
      </c>
      <c r="K1912" t="inlineStr">
        <is>
          <t>JULIO 2024</t>
        </is>
      </c>
      <c r="L1912" t="inlineStr">
        <is>
          <t>JULIO 2025</t>
        </is>
      </c>
      <c r="M1912" t="inlineStr">
        <is>
          <t>P.Q.S TIPO ABC</t>
        </is>
      </c>
      <c r="N1912" t="inlineStr">
        <is>
          <t>S/N</t>
        </is>
      </c>
      <c r="O1912" t="inlineStr">
        <is>
          <t>R</t>
        </is>
      </c>
      <c r="P1912">
        <f>TRIM(N1912)</f>
        <v/>
      </c>
    </row>
    <row r="1913">
      <c r="A1913" t="inlineStr">
        <is>
          <t>CO-002007</t>
        </is>
      </c>
      <c r="B1913" t="inlineStr">
        <is>
          <t>MERCADO LA FRONTERA PUESTO F3</t>
        </is>
      </c>
      <c r="D1913" t="inlineStr">
        <is>
          <t>MERCADO LA FRONTERA PUESTO F3</t>
        </is>
      </c>
      <c r="E1913" t="inlineStr">
        <is>
          <t>Lima, 16 de Julio de 2024</t>
        </is>
      </c>
      <c r="F1913" t="inlineStr">
        <is>
          <t>la Recarga y mantenimiento</t>
        </is>
      </c>
      <c r="G1913" t="inlineStr">
        <is>
          <t>01</t>
        </is>
      </c>
      <c r="H1913" t="inlineStr">
        <is>
          <t>02 KG</t>
        </is>
      </c>
      <c r="I1913" t="inlineStr">
        <is>
          <t>VIGENTE</t>
        </is>
      </c>
      <c r="J1913" t="n">
        <v>2012</v>
      </c>
      <c r="K1913" t="inlineStr">
        <is>
          <t>JULIO 2024</t>
        </is>
      </c>
      <c r="L1913" t="inlineStr">
        <is>
          <t>JULIO 2025</t>
        </is>
      </c>
      <c r="M1913" t="inlineStr">
        <is>
          <t>P.Q.S TIPO ABC</t>
        </is>
      </c>
      <c r="N1913" t="inlineStr">
        <is>
          <t>001001</t>
        </is>
      </c>
      <c r="O1913" t="inlineStr">
        <is>
          <t>R</t>
        </is>
      </c>
      <c r="P1913">
        <f>TRIM(N1913)</f>
        <v/>
      </c>
    </row>
    <row r="1914">
      <c r="A1914" t="inlineStr">
        <is>
          <t>CO-002008</t>
        </is>
      </c>
      <c r="B1914" t="inlineStr">
        <is>
          <t>MERCADO LA FRONTERA PUESTO K6</t>
        </is>
      </c>
      <c r="D1914" t="inlineStr">
        <is>
          <t>MERCADO LA FRONTERA PUESTO K6</t>
        </is>
      </c>
      <c r="E1914" t="inlineStr">
        <is>
          <t>Lima, 16 de Julio de 2024</t>
        </is>
      </c>
      <c r="F1914" t="inlineStr">
        <is>
          <t>la Recarga y mantenimiento</t>
        </is>
      </c>
      <c r="G1914" t="inlineStr">
        <is>
          <t>01</t>
        </is>
      </c>
      <c r="H1914" t="inlineStr">
        <is>
          <t>1.5 GLS</t>
        </is>
      </c>
      <c r="I1914" t="inlineStr">
        <is>
          <t>VIGENTE</t>
        </is>
      </c>
      <c r="J1914" t="n">
        <v>2019</v>
      </c>
      <c r="K1914" t="inlineStr">
        <is>
          <t>JULIO 2024</t>
        </is>
      </c>
      <c r="L1914" t="inlineStr">
        <is>
          <t>JULIO 2025</t>
        </is>
      </c>
      <c r="M1914" t="inlineStr">
        <is>
          <t xml:space="preserve">ACETATO TIPO K </t>
        </is>
      </c>
      <c r="N1914" t="inlineStr">
        <is>
          <t>000183</t>
        </is>
      </c>
      <c r="O1914" t="inlineStr">
        <is>
          <t>R</t>
        </is>
      </c>
      <c r="P1914">
        <f>TRIM(N1914)</f>
        <v/>
      </c>
    </row>
    <row r="1915">
      <c r="A1915" t="inlineStr">
        <is>
          <t>CO-002009</t>
        </is>
      </c>
      <c r="B1915" t="inlineStr">
        <is>
          <t>MERCADO LA FRONTERA PUESTO I2</t>
        </is>
      </c>
      <c r="D1915" t="inlineStr">
        <is>
          <t>MERCADO LA  FRONTERA - Puesto  I2</t>
        </is>
      </c>
      <c r="E1915" t="inlineStr">
        <is>
          <t>Lima, 17 de Julio de 2024</t>
        </is>
      </c>
      <c r="F1915" t="inlineStr">
        <is>
          <t>la venta</t>
        </is>
      </c>
      <c r="G1915" t="inlineStr">
        <is>
          <t>01</t>
        </is>
      </c>
      <c r="H1915" t="inlineStr">
        <is>
          <t>06 KG</t>
        </is>
      </c>
      <c r="I1915" t="inlineStr">
        <is>
          <t>2029</t>
        </is>
      </c>
      <c r="J1915" t="n">
        <v>2024</v>
      </c>
      <c r="K1915" t="inlineStr">
        <is>
          <t>JULIO 2024</t>
        </is>
      </c>
      <c r="L1915" t="inlineStr">
        <is>
          <t>JULIO 2025</t>
        </is>
      </c>
      <c r="M1915" t="inlineStr">
        <is>
          <t>P.Q.S TIPO ABC</t>
        </is>
      </c>
      <c r="O1915" t="inlineStr">
        <is>
          <t>V</t>
        </is>
      </c>
      <c r="P1915">
        <f>TRIM(N1915)</f>
        <v/>
      </c>
    </row>
    <row r="1916">
      <c r="A1916" t="inlineStr">
        <is>
          <t>CO-002010</t>
        </is>
      </c>
      <c r="B1916" t="inlineStr">
        <is>
          <t>MERCADO LA FRONTERA PUESTO F2</t>
        </is>
      </c>
      <c r="D1916" t="inlineStr">
        <is>
          <t>MERCADO LA FRONTERA PUESTO F2</t>
        </is>
      </c>
      <c r="E1916" t="inlineStr">
        <is>
          <t>Lima, 17 de Julio de 2024</t>
        </is>
      </c>
      <c r="F1916" t="inlineStr">
        <is>
          <t>la Recarga y mantenimiento</t>
        </is>
      </c>
      <c r="G1916" t="inlineStr">
        <is>
          <t>01</t>
        </is>
      </c>
      <c r="H1916" t="inlineStr">
        <is>
          <t>06 KG</t>
        </is>
      </c>
      <c r="I1916" t="inlineStr">
        <is>
          <t>VIGENTE</t>
        </is>
      </c>
      <c r="J1916" t="n">
        <v>2017</v>
      </c>
      <c r="K1916" t="inlineStr">
        <is>
          <t>JULIO 2024</t>
        </is>
      </c>
      <c r="L1916" t="inlineStr">
        <is>
          <t>JULIO 2025</t>
        </is>
      </c>
      <c r="M1916" t="inlineStr">
        <is>
          <t>P.Q.S TIPO ABC</t>
        </is>
      </c>
      <c r="N1916" t="inlineStr">
        <is>
          <t>000253</t>
        </is>
      </c>
      <c r="O1916" t="inlineStr">
        <is>
          <t>R</t>
        </is>
      </c>
      <c r="P1916">
        <f>TRIM(N1916)</f>
        <v/>
      </c>
    </row>
    <row r="1917">
      <c r="A1917" t="inlineStr">
        <is>
          <t>CO-002011</t>
        </is>
      </c>
      <c r="B1917" t="inlineStr">
        <is>
          <t>MERCADO LA FRONTERA PUESTO J13</t>
        </is>
      </c>
      <c r="D1917" t="inlineStr">
        <is>
          <t>MERCADO LA FRONTERA PUESTO J13</t>
        </is>
      </c>
      <c r="E1917" t="inlineStr">
        <is>
          <t>Lima, 17 de Julio de 2024</t>
        </is>
      </c>
      <c r="F1917" t="inlineStr">
        <is>
          <t>la Recarga y mantenimiento</t>
        </is>
      </c>
      <c r="G1917" t="inlineStr">
        <is>
          <t>01</t>
        </is>
      </c>
      <c r="H1917" t="inlineStr">
        <is>
          <t>06 KG</t>
        </is>
      </c>
      <c r="I1917" t="inlineStr">
        <is>
          <t>VIGENTE</t>
        </is>
      </c>
      <c r="J1917" t="n">
        <v>2012</v>
      </c>
      <c r="K1917" t="inlineStr">
        <is>
          <t>JULIO 2024</t>
        </is>
      </c>
      <c r="L1917" t="inlineStr">
        <is>
          <t>JULIO 2025</t>
        </is>
      </c>
      <c r="M1917" t="inlineStr">
        <is>
          <t>P.Q.S TIPO ABC</t>
        </is>
      </c>
      <c r="N1917" t="inlineStr">
        <is>
          <t>000582</t>
        </is>
      </c>
      <c r="O1917" t="inlineStr">
        <is>
          <t>R</t>
        </is>
      </c>
      <c r="P1917">
        <f>TRIM(N1917)</f>
        <v/>
      </c>
    </row>
    <row r="1918">
      <c r="A1918" t="inlineStr">
        <is>
          <t>CO-002012</t>
        </is>
      </c>
      <c r="B1918" t="inlineStr">
        <is>
          <t>MERCADO LA FRONTERA PUESTO F23</t>
        </is>
      </c>
      <c r="D1918" t="inlineStr">
        <is>
          <t>MERCADO LA FRONTERA PUESTO F23</t>
        </is>
      </c>
      <c r="E1918" t="inlineStr">
        <is>
          <t>Lima, 17 de Julio de 2024</t>
        </is>
      </c>
      <c r="F1918" t="inlineStr">
        <is>
          <t>la Recarga y mantenimiento</t>
        </is>
      </c>
      <c r="G1918" t="inlineStr">
        <is>
          <t>01</t>
        </is>
      </c>
      <c r="H1918" t="inlineStr">
        <is>
          <t>1.5 GLS</t>
        </is>
      </c>
      <c r="I1918" t="inlineStr">
        <is>
          <t>VIGENTE</t>
        </is>
      </c>
      <c r="J1918" t="n">
        <v>2019</v>
      </c>
      <c r="K1918" t="inlineStr">
        <is>
          <t>JULIO 2024</t>
        </is>
      </c>
      <c r="L1918" t="inlineStr">
        <is>
          <t>JULIO 2025</t>
        </is>
      </c>
      <c r="M1918" t="inlineStr">
        <is>
          <t xml:space="preserve">ACETATO TIPO K </t>
        </is>
      </c>
      <c r="N1918" t="inlineStr">
        <is>
          <t>000150</t>
        </is>
      </c>
      <c r="O1918" t="inlineStr">
        <is>
          <t>R</t>
        </is>
      </c>
      <c r="P1918">
        <f>TRIM(N1918)</f>
        <v/>
      </c>
    </row>
    <row r="1919">
      <c r="A1919" t="inlineStr">
        <is>
          <t>CO-002013</t>
        </is>
      </c>
      <c r="B1919" t="inlineStr">
        <is>
          <t>PERU MASIVO S.A.</t>
        </is>
      </c>
      <c r="C1919" t="inlineStr">
        <is>
          <t>20492392031</t>
        </is>
      </c>
      <c r="D1919" t="inlineStr">
        <is>
          <t>AV. LOS INCAS CDRA. 4 PATIO NORTE - COMAS</t>
        </is>
      </c>
      <c r="E1919" t="inlineStr">
        <is>
          <t>Lima, 18 de Julio de 2024</t>
        </is>
      </c>
      <c r="F1919" t="inlineStr">
        <is>
          <t>la Recarga y mantenimiento</t>
        </is>
      </c>
      <c r="G1919" t="inlineStr">
        <is>
          <t>01</t>
        </is>
      </c>
      <c r="H1919" t="inlineStr">
        <is>
          <t>06 KG</t>
        </is>
      </c>
      <c r="I1919" t="inlineStr">
        <is>
          <t>2028</t>
        </is>
      </c>
      <c r="J1919" t="n">
        <v>2010</v>
      </c>
      <c r="K1919" t="inlineStr">
        <is>
          <t>JULIO 2024</t>
        </is>
      </c>
      <c r="L1919" t="inlineStr">
        <is>
          <t>JULIO 2025</t>
        </is>
      </c>
      <c r="M1919" t="inlineStr">
        <is>
          <t>P.Q.S TIPO ABC AL 90 % NACIONAL</t>
        </is>
      </c>
      <c r="N1919" t="inlineStr">
        <is>
          <t>110/006511</t>
        </is>
      </c>
      <c r="O1919" t="inlineStr">
        <is>
          <t>R</t>
        </is>
      </c>
      <c r="P1919">
        <f>TRIM(N1919)</f>
        <v/>
      </c>
    </row>
    <row r="1920">
      <c r="A1920" t="inlineStr">
        <is>
          <t>CO-002013</t>
        </is>
      </c>
      <c r="B1920" t="inlineStr">
        <is>
          <t>PERU MASIVO S.A.</t>
        </is>
      </c>
      <c r="C1920" t="inlineStr">
        <is>
          <t>20492392031</t>
        </is>
      </c>
      <c r="D1920" t="inlineStr">
        <is>
          <t>AV. LOS INCAS CDRA. 4 PATIO NORTE - COMAS</t>
        </is>
      </c>
      <c r="E1920" t="inlineStr">
        <is>
          <t>Lima, 18 de Julio de 2024</t>
        </is>
      </c>
      <c r="F1920" t="inlineStr">
        <is>
          <t>la Recarga y mantenimiento</t>
        </is>
      </c>
      <c r="G1920" t="inlineStr">
        <is>
          <t>02</t>
        </is>
      </c>
      <c r="H1920" t="inlineStr">
        <is>
          <t>06 KG</t>
        </is>
      </c>
      <c r="I1920" t="inlineStr">
        <is>
          <t>2028</t>
        </is>
      </c>
      <c r="J1920" t="n">
        <v>2009</v>
      </c>
      <c r="K1920" t="inlineStr">
        <is>
          <t>JULIO 2024</t>
        </is>
      </c>
      <c r="L1920" t="inlineStr">
        <is>
          <t>JULIO 2025</t>
        </is>
      </c>
      <c r="M1920" t="inlineStr">
        <is>
          <t>P.Q.S TIPO ABC AL 90 % NACIONAL</t>
        </is>
      </c>
      <c r="N1920" t="inlineStr">
        <is>
          <t>325/000667</t>
        </is>
      </c>
      <c r="O1920" t="inlineStr">
        <is>
          <t>R</t>
        </is>
      </c>
      <c r="P1920">
        <f>TRIM(N1920)</f>
        <v/>
      </c>
    </row>
    <row r="1921">
      <c r="A1921" t="inlineStr">
        <is>
          <t>CO-002013</t>
        </is>
      </c>
      <c r="B1921" t="inlineStr">
        <is>
          <t>PERU MASIVO S.A.</t>
        </is>
      </c>
      <c r="C1921" t="inlineStr">
        <is>
          <t>20492392031</t>
        </is>
      </c>
      <c r="D1921" t="inlineStr">
        <is>
          <t>AV. LOS INCAS CDRA. 4 PATIO NORTE - COMAS</t>
        </is>
      </c>
      <c r="E1921" t="inlineStr">
        <is>
          <t>Lima, 18 de Julio de 2024</t>
        </is>
      </c>
      <c r="F1921" t="inlineStr">
        <is>
          <t>la Recarga y mantenimiento</t>
        </is>
      </c>
      <c r="G1921" t="inlineStr">
        <is>
          <t>03</t>
        </is>
      </c>
      <c r="H1921" t="inlineStr">
        <is>
          <t>06 KG</t>
        </is>
      </c>
      <c r="I1921" t="inlineStr">
        <is>
          <t>2028</t>
        </is>
      </c>
      <c r="J1921" t="n">
        <v>2010</v>
      </c>
      <c r="K1921" t="inlineStr">
        <is>
          <t>JULIO 2024</t>
        </is>
      </c>
      <c r="L1921" t="inlineStr">
        <is>
          <t>JULIO 2025</t>
        </is>
      </c>
      <c r="M1921" t="inlineStr">
        <is>
          <t>P.Q.S TIPO ABC AL 90 % NACIONAL</t>
        </is>
      </c>
      <c r="N1921" t="inlineStr">
        <is>
          <t>177/000005</t>
        </is>
      </c>
      <c r="O1921" t="inlineStr">
        <is>
          <t>R</t>
        </is>
      </c>
      <c r="P1921">
        <f>TRIM(N1921)</f>
        <v/>
      </c>
    </row>
    <row r="1922">
      <c r="A1922" t="inlineStr">
        <is>
          <t>CO-002013</t>
        </is>
      </c>
      <c r="B1922" t="inlineStr">
        <is>
          <t>PERU MASIVO S.A.</t>
        </is>
      </c>
      <c r="C1922" t="inlineStr">
        <is>
          <t>20492392031</t>
        </is>
      </c>
      <c r="D1922" t="inlineStr">
        <is>
          <t>AV. LOS INCAS CDRA. 4 PATIO NORTE - COMAS</t>
        </is>
      </c>
      <c r="E1922" t="inlineStr">
        <is>
          <t>Lima, 18 de Julio de 2024</t>
        </is>
      </c>
      <c r="F1922" t="inlineStr">
        <is>
          <t>la Recarga y mantenimiento</t>
        </is>
      </c>
      <c r="G1922" t="inlineStr">
        <is>
          <t>04</t>
        </is>
      </c>
      <c r="H1922" t="inlineStr">
        <is>
          <t>06 KG</t>
        </is>
      </c>
      <c r="I1922" t="inlineStr">
        <is>
          <t>2028</t>
        </is>
      </c>
      <c r="J1922" t="n">
        <v>2009</v>
      </c>
      <c r="K1922" t="inlineStr">
        <is>
          <t>JULIO 2024</t>
        </is>
      </c>
      <c r="L1922" t="inlineStr">
        <is>
          <t>JULIO 2025</t>
        </is>
      </c>
      <c r="M1922" t="inlineStr">
        <is>
          <t>P.Q.S TIPO ABC AL 90 % NACIONAL</t>
        </is>
      </c>
      <c r="N1922" t="inlineStr">
        <is>
          <t>331/000811</t>
        </is>
      </c>
      <c r="O1922" t="inlineStr">
        <is>
          <t>R</t>
        </is>
      </c>
      <c r="P1922">
        <f>TRIM(N1922)</f>
        <v/>
      </c>
    </row>
    <row r="1923">
      <c r="A1923" t="inlineStr">
        <is>
          <t>CO-002013</t>
        </is>
      </c>
      <c r="B1923" t="inlineStr">
        <is>
          <t>PERU MASIVO S.A.</t>
        </is>
      </c>
      <c r="C1923" t="inlineStr">
        <is>
          <t>20492392031</t>
        </is>
      </c>
      <c r="D1923" t="inlineStr">
        <is>
          <t>AV. LOS INCAS CDRA. 4 PATIO NORTE - COMAS</t>
        </is>
      </c>
      <c r="E1923" t="inlineStr">
        <is>
          <t>Lima, 18 de Julio de 2024</t>
        </is>
      </c>
      <c r="F1923" t="inlineStr">
        <is>
          <t>la Recarga y mantenimiento</t>
        </is>
      </c>
      <c r="G1923" t="inlineStr">
        <is>
          <t>05</t>
        </is>
      </c>
      <c r="H1923" t="inlineStr">
        <is>
          <t>06 KG</t>
        </is>
      </c>
      <c r="I1923" t="inlineStr">
        <is>
          <t>2028</t>
        </is>
      </c>
      <c r="J1923" t="n">
        <v>2009</v>
      </c>
      <c r="K1923" t="inlineStr">
        <is>
          <t>JULIO 2024</t>
        </is>
      </c>
      <c r="L1923" t="inlineStr">
        <is>
          <t>JULIO 2025</t>
        </is>
      </c>
      <c r="M1923" t="inlineStr">
        <is>
          <t>P.Q.S TIPO ABC AL 90 % NACIONAL</t>
        </is>
      </c>
      <c r="N1923" t="inlineStr">
        <is>
          <t>137/000705</t>
        </is>
      </c>
      <c r="O1923" t="inlineStr">
        <is>
          <t>R</t>
        </is>
      </c>
      <c r="P1923">
        <f>TRIM(N1923)</f>
        <v/>
      </c>
    </row>
    <row r="1924">
      <c r="A1924" t="inlineStr">
        <is>
          <t>CO-002013</t>
        </is>
      </c>
      <c r="B1924" t="inlineStr">
        <is>
          <t>PERU MASIVO S.A.</t>
        </is>
      </c>
      <c r="C1924" t="inlineStr">
        <is>
          <t>20492392031</t>
        </is>
      </c>
      <c r="D1924" t="inlineStr">
        <is>
          <t>AV. LOS INCAS CDRA. 4 PATIO NORTE - COMAS</t>
        </is>
      </c>
      <c r="E1924" t="inlineStr">
        <is>
          <t>Lima, 18 de Julio de 2024</t>
        </is>
      </c>
      <c r="F1924" t="inlineStr">
        <is>
          <t>la Recarga y mantenimiento</t>
        </is>
      </c>
      <c r="G1924" t="inlineStr">
        <is>
          <t>06</t>
        </is>
      </c>
      <c r="H1924" t="inlineStr">
        <is>
          <t>06 KG</t>
        </is>
      </c>
      <c r="I1924" t="inlineStr">
        <is>
          <t>2028</t>
        </is>
      </c>
      <c r="J1924" t="n">
        <v>2009</v>
      </c>
      <c r="K1924" t="inlineStr">
        <is>
          <t>JULIO 2024</t>
        </is>
      </c>
      <c r="L1924" t="inlineStr">
        <is>
          <t>JULIO 2025</t>
        </is>
      </c>
      <c r="M1924" t="inlineStr">
        <is>
          <t>P.Q.S TIPO ABC AL 90 % NACIONAL</t>
        </is>
      </c>
      <c r="N1924" t="inlineStr">
        <is>
          <t>195/001026</t>
        </is>
      </c>
      <c r="O1924" t="inlineStr">
        <is>
          <t>R</t>
        </is>
      </c>
      <c r="P1924">
        <f>TRIM(N1924)</f>
        <v/>
      </c>
    </row>
    <row r="1925">
      <c r="A1925" t="inlineStr">
        <is>
          <t>CO-002013</t>
        </is>
      </c>
      <c r="B1925" t="inlineStr">
        <is>
          <t>PERU MASIVO S.A.</t>
        </is>
      </c>
      <c r="C1925" t="inlineStr">
        <is>
          <t>20492392031</t>
        </is>
      </c>
      <c r="D1925" t="inlineStr">
        <is>
          <t>AV. LOS INCAS CDRA. 4 PATIO NORTE - COMAS</t>
        </is>
      </c>
      <c r="E1925" t="inlineStr">
        <is>
          <t>Lima, 18 de Julio de 2024</t>
        </is>
      </c>
      <c r="F1925" t="inlineStr">
        <is>
          <t>la Recarga y mantenimiento</t>
        </is>
      </c>
      <c r="G1925" t="inlineStr">
        <is>
          <t>07</t>
        </is>
      </c>
      <c r="H1925" t="inlineStr">
        <is>
          <t>06 KG</t>
        </is>
      </c>
      <c r="I1925" t="inlineStr">
        <is>
          <t>2028</t>
        </is>
      </c>
      <c r="J1925" t="n">
        <v>2009</v>
      </c>
      <c r="K1925" t="inlineStr">
        <is>
          <t>JULIO 2024</t>
        </is>
      </c>
      <c r="L1925" t="inlineStr">
        <is>
          <t>JULIO 2025</t>
        </is>
      </c>
      <c r="M1925" t="inlineStr">
        <is>
          <t>P.Q.S TIPO ABC AL 90 % NACIONAL</t>
        </is>
      </c>
      <c r="N1925" t="inlineStr">
        <is>
          <t>262/000148</t>
        </is>
      </c>
      <c r="O1925" t="inlineStr">
        <is>
          <t>R</t>
        </is>
      </c>
      <c r="P1925">
        <f>TRIM(N1925)</f>
        <v/>
      </c>
    </row>
    <row r="1926">
      <c r="A1926" t="inlineStr">
        <is>
          <t>CO-002013</t>
        </is>
      </c>
      <c r="B1926" t="inlineStr">
        <is>
          <t>PERU MASIVO S.A.</t>
        </is>
      </c>
      <c r="C1926" t="inlineStr">
        <is>
          <t>20492392031</t>
        </is>
      </c>
      <c r="D1926" t="inlineStr">
        <is>
          <t>AV. LOS INCAS CDRA. 4 PATIO NORTE - COMAS</t>
        </is>
      </c>
      <c r="E1926" t="inlineStr">
        <is>
          <t>Lima, 18 de Julio de 2024</t>
        </is>
      </c>
      <c r="F1926" t="inlineStr">
        <is>
          <t>la Recarga y mantenimiento</t>
        </is>
      </c>
      <c r="G1926" t="inlineStr">
        <is>
          <t>08</t>
        </is>
      </c>
      <c r="H1926" t="inlineStr">
        <is>
          <t>06 KG</t>
        </is>
      </c>
      <c r="I1926" t="inlineStr">
        <is>
          <t>2028</t>
        </is>
      </c>
      <c r="J1926" t="n">
        <v>2010</v>
      </c>
      <c r="K1926" t="inlineStr">
        <is>
          <t>JULIO 2024</t>
        </is>
      </c>
      <c r="L1926" t="inlineStr">
        <is>
          <t>JULIO 2025</t>
        </is>
      </c>
      <c r="M1926" t="inlineStr">
        <is>
          <t>P.Q.S TIPO ABC AL 90 % NACIONAL</t>
        </is>
      </c>
      <c r="N1926" t="inlineStr">
        <is>
          <t>357/000005</t>
        </is>
      </c>
      <c r="O1926" t="inlineStr">
        <is>
          <t>R</t>
        </is>
      </c>
      <c r="P1926">
        <f>TRIM(N1926)</f>
        <v/>
      </c>
    </row>
    <row r="1927">
      <c r="A1927" t="inlineStr">
        <is>
          <t>CO-002013</t>
        </is>
      </c>
      <c r="B1927" t="inlineStr">
        <is>
          <t>PERU MASIVO S.A.</t>
        </is>
      </c>
      <c r="C1927" t="inlineStr">
        <is>
          <t>20492392031</t>
        </is>
      </c>
      <c r="D1927" t="inlineStr">
        <is>
          <t>AV. LOS INCAS CDRA. 4 PATIO NORTE - COMAS</t>
        </is>
      </c>
      <c r="E1927" t="inlineStr">
        <is>
          <t>Lima, 18 de Julio de 2024</t>
        </is>
      </c>
      <c r="F1927" t="inlineStr">
        <is>
          <t>la Recarga y mantenimiento</t>
        </is>
      </c>
      <c r="G1927" t="inlineStr">
        <is>
          <t>09</t>
        </is>
      </c>
      <c r="H1927" t="inlineStr">
        <is>
          <t>06 KG</t>
        </is>
      </c>
      <c r="I1927" t="inlineStr">
        <is>
          <t>2028</t>
        </is>
      </c>
      <c r="J1927" t="n">
        <v>2016</v>
      </c>
      <c r="K1927" t="inlineStr">
        <is>
          <t>JULIO 2024</t>
        </is>
      </c>
      <c r="L1927" t="inlineStr">
        <is>
          <t>JULIO 2025</t>
        </is>
      </c>
      <c r="M1927" t="inlineStr">
        <is>
          <t>P.Q.S TIPO ABC AL 90 % NACIONAL</t>
        </is>
      </c>
      <c r="N1927" t="inlineStr">
        <is>
          <t>S/N /000375</t>
        </is>
      </c>
      <c r="O1927" t="inlineStr">
        <is>
          <t>R</t>
        </is>
      </c>
      <c r="P1927">
        <f>TRIM(N1927)</f>
        <v/>
      </c>
    </row>
    <row r="1928">
      <c r="A1928" t="inlineStr">
        <is>
          <t>CO-002013</t>
        </is>
      </c>
      <c r="B1928" t="inlineStr">
        <is>
          <t>PERU MASIVO S.A.</t>
        </is>
      </c>
      <c r="C1928" t="inlineStr">
        <is>
          <t>20492392031</t>
        </is>
      </c>
      <c r="D1928" t="inlineStr">
        <is>
          <t>AV. LOS INCAS CDRA. 4 PATIO NORTE - COMAS</t>
        </is>
      </c>
      <c r="E1928" t="inlineStr">
        <is>
          <t>Lima, 18 de Julio de 2024</t>
        </is>
      </c>
      <c r="F1928" t="inlineStr">
        <is>
          <t>la Recarga y mantenimiento</t>
        </is>
      </c>
      <c r="G1928" t="n">
        <v>10</v>
      </c>
      <c r="H1928" t="inlineStr">
        <is>
          <t>06 KG</t>
        </is>
      </c>
      <c r="I1928" t="inlineStr">
        <is>
          <t>2028</t>
        </is>
      </c>
      <c r="J1928" t="n">
        <v>2016</v>
      </c>
      <c r="K1928" t="inlineStr">
        <is>
          <t>JULIO 2024</t>
        </is>
      </c>
      <c r="L1928" t="inlineStr">
        <is>
          <t>JULIO 2025</t>
        </is>
      </c>
      <c r="M1928" t="inlineStr">
        <is>
          <t>P.Q.S TIPO ABC AL 90 % NACIONAL</t>
        </is>
      </c>
      <c r="N1928" t="inlineStr">
        <is>
          <t>230/000534</t>
        </is>
      </c>
      <c r="O1928" t="inlineStr">
        <is>
          <t>R</t>
        </is>
      </c>
      <c r="P1928">
        <f>TRIM(N1928)</f>
        <v/>
      </c>
    </row>
    <row r="1929">
      <c r="A1929" t="inlineStr">
        <is>
          <t>CO-002013</t>
        </is>
      </c>
      <c r="B1929" t="inlineStr">
        <is>
          <t>PERU MASIVO S.A.</t>
        </is>
      </c>
      <c r="C1929" t="inlineStr">
        <is>
          <t>20492392031</t>
        </is>
      </c>
      <c r="D1929" t="inlineStr">
        <is>
          <t>AV. LOS INCAS CDRA. 4 PATIO NORTE - COMAS</t>
        </is>
      </c>
      <c r="E1929" t="inlineStr">
        <is>
          <t>Lima, 18 de Julio de 2024</t>
        </is>
      </c>
      <c r="F1929" t="inlineStr">
        <is>
          <t>la Recarga y mantenimiento</t>
        </is>
      </c>
      <c r="G1929" t="n">
        <v>11</v>
      </c>
      <c r="H1929" t="inlineStr">
        <is>
          <t>06 KG</t>
        </is>
      </c>
      <c r="I1929" t="inlineStr">
        <is>
          <t>2028</t>
        </is>
      </c>
      <c r="J1929" t="n">
        <v>2009</v>
      </c>
      <c r="K1929" t="inlineStr">
        <is>
          <t>JULIO 2024</t>
        </is>
      </c>
      <c r="L1929" t="inlineStr">
        <is>
          <t>JULIO 2025</t>
        </is>
      </c>
      <c r="M1929" t="inlineStr">
        <is>
          <t>P.Q.S TIPO ABC AL 90 % NACIONAL</t>
        </is>
      </c>
      <c r="N1929" t="inlineStr">
        <is>
          <t>14/002158</t>
        </is>
      </c>
      <c r="O1929" t="inlineStr">
        <is>
          <t>R</t>
        </is>
      </c>
      <c r="P1929">
        <f>TRIM(N1929)</f>
        <v/>
      </c>
    </row>
    <row r="1930">
      <c r="A1930" t="inlineStr">
        <is>
          <t>CO-002014</t>
        </is>
      </c>
      <c r="B1930" t="inlineStr">
        <is>
          <t>UNIGRAF SAC</t>
        </is>
      </c>
      <c r="C1930" t="inlineStr">
        <is>
          <t>20113367955</t>
        </is>
      </c>
      <c r="D1930" t="inlineStr">
        <is>
          <t>CALLE LOS CEDROS MZ C1 LT1 CPM HUACHIPA, LURIGANCHO CHOSICA</t>
        </is>
      </c>
      <c r="E1930" t="inlineStr">
        <is>
          <t>Lima, 18 de Julio de 2024</t>
        </is>
      </c>
      <c r="F1930" t="inlineStr">
        <is>
          <t>la Recarga y mantenimiento</t>
        </is>
      </c>
      <c r="G1930" t="inlineStr">
        <is>
          <t>01</t>
        </is>
      </c>
      <c r="H1930" t="inlineStr">
        <is>
          <t>12 KG</t>
        </is>
      </c>
      <c r="I1930" t="inlineStr">
        <is>
          <t>2029</t>
        </is>
      </c>
      <c r="J1930" t="n">
        <v>2014</v>
      </c>
      <c r="K1930" t="inlineStr">
        <is>
          <t>JULIO 2024</t>
        </is>
      </c>
      <c r="L1930" t="inlineStr">
        <is>
          <t>JULIO 2025</t>
        </is>
      </c>
      <c r="M1930" t="inlineStr">
        <is>
          <t>P.Q.S TIPO ABC</t>
        </is>
      </c>
      <c r="N1930" t="inlineStr">
        <is>
          <t>000657</t>
        </is>
      </c>
      <c r="O1930" t="inlineStr">
        <is>
          <t>R</t>
        </is>
      </c>
      <c r="P1930">
        <f>TRIM(N1930)</f>
        <v/>
      </c>
    </row>
    <row r="1931">
      <c r="A1931" t="inlineStr">
        <is>
          <t>CO-002014</t>
        </is>
      </c>
      <c r="B1931" t="inlineStr">
        <is>
          <t>UNIGRAF SAC</t>
        </is>
      </c>
      <c r="C1931" t="inlineStr">
        <is>
          <t>20113367955</t>
        </is>
      </c>
      <c r="D1931" t="inlineStr">
        <is>
          <t>CALLE LOS CEDROS MZ C1 LT1 CPM HUACHIPA, LURIGANCHO CHOSICA</t>
        </is>
      </c>
      <c r="E1931" t="inlineStr">
        <is>
          <t>Lima, 18 de Julio de 2024</t>
        </is>
      </c>
      <c r="F1931" t="inlineStr">
        <is>
          <t>la Recarga y mantenimiento</t>
        </is>
      </c>
      <c r="G1931" t="inlineStr">
        <is>
          <t>02</t>
        </is>
      </c>
      <c r="H1931" t="inlineStr">
        <is>
          <t>06 KG</t>
        </is>
      </c>
      <c r="I1931" t="inlineStr">
        <is>
          <t>2029</t>
        </is>
      </c>
      <c r="J1931" t="n">
        <v>2009</v>
      </c>
      <c r="K1931" t="inlineStr">
        <is>
          <t>JULIO 2024</t>
        </is>
      </c>
      <c r="L1931" t="inlineStr">
        <is>
          <t>JULIO 2025</t>
        </is>
      </c>
      <c r="M1931" t="inlineStr">
        <is>
          <t>P.Q.S TIPO ABC</t>
        </is>
      </c>
      <c r="N1931" t="inlineStr">
        <is>
          <t>002262</t>
        </is>
      </c>
      <c r="O1931" t="inlineStr">
        <is>
          <t>R</t>
        </is>
      </c>
      <c r="P1931">
        <f>TRIM(N1931)</f>
        <v/>
      </c>
    </row>
    <row r="1932">
      <c r="A1932" t="inlineStr">
        <is>
          <t>CO-002014</t>
        </is>
      </c>
      <c r="B1932" t="inlineStr">
        <is>
          <t>UNIGRAF SAC</t>
        </is>
      </c>
      <c r="C1932" t="inlineStr">
        <is>
          <t>20113367955</t>
        </is>
      </c>
      <c r="D1932" t="inlineStr">
        <is>
          <t>CALLE LOS CEDROS MZ C1 LT1 CPM HUACHIPA, LURIGANCHO CHOSICA</t>
        </is>
      </c>
      <c r="E1932" t="inlineStr">
        <is>
          <t>Lima, 18 de Julio de 2024</t>
        </is>
      </c>
      <c r="F1932" t="inlineStr">
        <is>
          <t>la Recarga y mantenimiento</t>
        </is>
      </c>
      <c r="G1932" t="inlineStr">
        <is>
          <t>03</t>
        </is>
      </c>
      <c r="H1932" t="inlineStr">
        <is>
          <t>06 KG</t>
        </is>
      </c>
      <c r="I1932" t="n">
        <v>2029</v>
      </c>
      <c r="J1932" t="n">
        <v>2004</v>
      </c>
      <c r="K1932" t="inlineStr">
        <is>
          <t>JULIO 2024</t>
        </is>
      </c>
      <c r="L1932" t="inlineStr">
        <is>
          <t>JULIO 2025</t>
        </is>
      </c>
      <c r="M1932" t="inlineStr">
        <is>
          <t>P.Q.S TIPO ABC</t>
        </is>
      </c>
      <c r="N1932" t="inlineStr">
        <is>
          <t>000012</t>
        </is>
      </c>
      <c r="O1932" t="inlineStr">
        <is>
          <t>R</t>
        </is>
      </c>
      <c r="P1932">
        <f>TRIM(N1932)</f>
        <v/>
      </c>
    </row>
    <row r="1933">
      <c r="A1933" t="inlineStr">
        <is>
          <t>CO-002015</t>
        </is>
      </c>
      <c r="B1933" t="inlineStr">
        <is>
          <t>UNIGRAF SAC</t>
        </is>
      </c>
      <c r="C1933" t="inlineStr">
        <is>
          <t>20113367955</t>
        </is>
      </c>
      <c r="D1933" t="inlineStr">
        <is>
          <t>CALLE LOS CEDROS MZ C1 LT1 CPM HUACHIPA, LURIGANCHO CHOSICA</t>
        </is>
      </c>
      <c r="E1933" t="inlineStr">
        <is>
          <t>Lima, 18 de Julio de 2024</t>
        </is>
      </c>
      <c r="F1933" t="inlineStr">
        <is>
          <t>la Recarga y mantenimiento</t>
        </is>
      </c>
      <c r="G1933" t="inlineStr">
        <is>
          <t>01</t>
        </is>
      </c>
      <c r="H1933" t="inlineStr">
        <is>
          <t>02 KG</t>
        </is>
      </c>
      <c r="I1933" t="inlineStr">
        <is>
          <t>2029</t>
        </is>
      </c>
      <c r="J1933" t="n">
        <v>2007</v>
      </c>
      <c r="K1933" t="inlineStr">
        <is>
          <t>JULIO 2024</t>
        </is>
      </c>
      <c r="L1933" t="inlineStr">
        <is>
          <t>JULIO 2025</t>
        </is>
      </c>
      <c r="M1933" t="inlineStr">
        <is>
          <t>P.Q.S TIPO ABC</t>
        </is>
      </c>
      <c r="N1933" t="inlineStr">
        <is>
          <t>001847</t>
        </is>
      </c>
      <c r="O1933" t="inlineStr">
        <is>
          <t>R</t>
        </is>
      </c>
      <c r="P1933">
        <f>TRIM(N1933)</f>
        <v/>
      </c>
    </row>
    <row r="1934">
      <c r="A1934" t="inlineStr">
        <is>
          <t>CO-002015</t>
        </is>
      </c>
      <c r="B1934" t="inlineStr">
        <is>
          <t>UNIGRAF SAC</t>
        </is>
      </c>
      <c r="C1934" t="inlineStr">
        <is>
          <t>20113367955</t>
        </is>
      </c>
      <c r="D1934" t="inlineStr">
        <is>
          <t>CALLE LOS CEDROS MZ C1 LT1 CPM HUACHIPA, LURIGANCHO CHOSICA</t>
        </is>
      </c>
      <c r="E1934" t="inlineStr">
        <is>
          <t>Lima, 18 de Julio de 2024</t>
        </is>
      </c>
      <c r="F1934" t="inlineStr">
        <is>
          <t>la Recarga y mantenimiento</t>
        </is>
      </c>
      <c r="G1934" t="inlineStr">
        <is>
          <t>02</t>
        </is>
      </c>
      <c r="H1934" t="inlineStr">
        <is>
          <t>01 KG</t>
        </is>
      </c>
      <c r="I1934" t="inlineStr">
        <is>
          <t>VIGENTE</t>
        </is>
      </c>
      <c r="J1934" t="n">
        <v>2003</v>
      </c>
      <c r="K1934" t="inlineStr">
        <is>
          <t>JULIO 2024</t>
        </is>
      </c>
      <c r="L1934" t="inlineStr">
        <is>
          <t>JULIO 2025</t>
        </is>
      </c>
      <c r="M1934" t="inlineStr">
        <is>
          <t>P.Q.S TIPO ABC</t>
        </is>
      </c>
      <c r="N1934" t="inlineStr">
        <is>
          <t>000005</t>
        </is>
      </c>
      <c r="O1934" t="inlineStr">
        <is>
          <t>R</t>
        </is>
      </c>
      <c r="P1934">
        <f>TRIM(N1934)</f>
        <v/>
      </c>
    </row>
    <row r="1935">
      <c r="A1935" t="inlineStr">
        <is>
          <t>CO-002016</t>
        </is>
      </c>
      <c r="B1935" t="inlineStr">
        <is>
          <t>PERU MASIVO S.A.</t>
        </is>
      </c>
      <c r="C1935" t="inlineStr">
        <is>
          <t>20492392031</t>
        </is>
      </c>
      <c r="D1935" t="inlineStr">
        <is>
          <t>AV. LOS INCAS CDRA. 4 PATIO NORTE - COMAS</t>
        </is>
      </c>
      <c r="E1935" t="inlineStr">
        <is>
          <t>Lima, 22 de Julio de 2024</t>
        </is>
      </c>
      <c r="F1935" t="inlineStr">
        <is>
          <t>la Recarga y mantenimiento</t>
        </is>
      </c>
      <c r="G1935" t="inlineStr">
        <is>
          <t>01</t>
        </is>
      </c>
      <c r="H1935" t="inlineStr">
        <is>
          <t>06 KG</t>
        </is>
      </c>
      <c r="I1935" t="inlineStr">
        <is>
          <t>2028</t>
        </is>
      </c>
      <c r="J1935" t="n">
        <v>2009</v>
      </c>
      <c r="K1935" t="inlineStr">
        <is>
          <t>JULIO 2024</t>
        </is>
      </c>
      <c r="L1935" t="inlineStr">
        <is>
          <t>JULIO 2025</t>
        </is>
      </c>
      <c r="M1935" t="inlineStr">
        <is>
          <t>P.Q.S TIPO ABC AL 90 % NACIONAL</t>
        </is>
      </c>
      <c r="N1935" t="inlineStr">
        <is>
          <t>362/002191</t>
        </is>
      </c>
      <c r="O1935" t="inlineStr">
        <is>
          <t>R</t>
        </is>
      </c>
      <c r="P1935">
        <f>TRIM(N1935)</f>
        <v/>
      </c>
    </row>
    <row r="1936">
      <c r="A1936" t="inlineStr">
        <is>
          <t>CO-002016</t>
        </is>
      </c>
      <c r="B1936" t="inlineStr">
        <is>
          <t>PERU MASIVO S.A.</t>
        </is>
      </c>
      <c r="C1936" t="inlineStr">
        <is>
          <t>20492392031</t>
        </is>
      </c>
      <c r="D1936" t="inlineStr">
        <is>
          <t>AV. LOS INCAS CDRA. 4 PATIO NORTE - COMAS</t>
        </is>
      </c>
      <c r="E1936" t="inlineStr">
        <is>
          <t>Lima, 22 de Julio de 2024</t>
        </is>
      </c>
      <c r="F1936" t="inlineStr">
        <is>
          <t>la Recarga y mantenimiento</t>
        </is>
      </c>
      <c r="G1936" t="inlineStr">
        <is>
          <t>02</t>
        </is>
      </c>
      <c r="H1936" t="inlineStr">
        <is>
          <t>06 KG</t>
        </is>
      </c>
      <c r="I1936" t="inlineStr">
        <is>
          <t>2028</t>
        </is>
      </c>
      <c r="J1936" t="n">
        <v>2010</v>
      </c>
      <c r="K1936" t="inlineStr">
        <is>
          <t>JULIO 2024</t>
        </is>
      </c>
      <c r="L1936" t="inlineStr">
        <is>
          <t>JULIO 2025</t>
        </is>
      </c>
      <c r="M1936" t="inlineStr">
        <is>
          <t>P.Q.S TIPO ABC AL 90 % NACIONAL</t>
        </is>
      </c>
      <c r="N1936" t="inlineStr">
        <is>
          <t>186/000449</t>
        </is>
      </c>
      <c r="O1936" t="inlineStr">
        <is>
          <t>R</t>
        </is>
      </c>
      <c r="P1936">
        <f>TRIM(N1936)</f>
        <v/>
      </c>
    </row>
    <row r="1937">
      <c r="A1937" t="inlineStr">
        <is>
          <t>CO-002016</t>
        </is>
      </c>
      <c r="B1937" t="inlineStr">
        <is>
          <t>PERU MASIVO S.A.</t>
        </is>
      </c>
      <c r="C1937" t="inlineStr">
        <is>
          <t>20492392031</t>
        </is>
      </c>
      <c r="D1937" t="inlineStr">
        <is>
          <t>AV. LOS INCAS CDRA. 4 PATIO NORTE - COMAS</t>
        </is>
      </c>
      <c r="E1937" t="inlineStr">
        <is>
          <t>Lima, 22 de Julio de 2024</t>
        </is>
      </c>
      <c r="F1937" t="inlineStr">
        <is>
          <t>la Recarga y mantenimiento</t>
        </is>
      </c>
      <c r="G1937" t="inlineStr">
        <is>
          <t>03</t>
        </is>
      </c>
      <c r="H1937" t="inlineStr">
        <is>
          <t>06 KG</t>
        </is>
      </c>
      <c r="I1937" t="inlineStr">
        <is>
          <t>2028</t>
        </is>
      </c>
      <c r="J1937" t="n">
        <v>2010</v>
      </c>
      <c r="K1937" t="inlineStr">
        <is>
          <t>JULIO 2024</t>
        </is>
      </c>
      <c r="L1937" t="inlineStr">
        <is>
          <t>JULIO 2025</t>
        </is>
      </c>
      <c r="M1937" t="inlineStr">
        <is>
          <t>P.Q.S TIPO ABC AL 90 % NACIONAL</t>
        </is>
      </c>
      <c r="N1937" t="inlineStr">
        <is>
          <t>334/000845</t>
        </is>
      </c>
      <c r="O1937" t="inlineStr">
        <is>
          <t>R</t>
        </is>
      </c>
      <c r="P1937">
        <f>TRIM(N1937)</f>
        <v/>
      </c>
    </row>
    <row r="1938">
      <c r="A1938" t="inlineStr">
        <is>
          <t>CO-002016</t>
        </is>
      </c>
      <c r="B1938" t="inlineStr">
        <is>
          <t>PERU MASIVO S.A.</t>
        </is>
      </c>
      <c r="C1938" t="inlineStr">
        <is>
          <t>20492392031</t>
        </is>
      </c>
      <c r="D1938" t="inlineStr">
        <is>
          <t>AV. LOS INCAS CDRA. 4 PATIO NORTE - COMAS</t>
        </is>
      </c>
      <c r="E1938" t="inlineStr">
        <is>
          <t>Lima, 22 de Julio de 2024</t>
        </is>
      </c>
      <c r="F1938" t="inlineStr">
        <is>
          <t>la Recarga y mantenimiento</t>
        </is>
      </c>
      <c r="G1938" t="inlineStr">
        <is>
          <t>04</t>
        </is>
      </c>
      <c r="H1938" t="inlineStr">
        <is>
          <t>06 KG</t>
        </is>
      </c>
      <c r="I1938" t="inlineStr">
        <is>
          <t>2028</t>
        </is>
      </c>
      <c r="J1938" t="n">
        <v>2010</v>
      </c>
      <c r="K1938" t="inlineStr">
        <is>
          <t>JULIO 2024</t>
        </is>
      </c>
      <c r="L1938" t="inlineStr">
        <is>
          <t>JULIO 2025</t>
        </is>
      </c>
      <c r="M1938" t="inlineStr">
        <is>
          <t>P.Q.S TIPO ABC AL 90 % NACIONAL</t>
        </is>
      </c>
      <c r="N1938" t="inlineStr">
        <is>
          <t>213/000476</t>
        </is>
      </c>
      <c r="O1938" t="inlineStr">
        <is>
          <t>R</t>
        </is>
      </c>
      <c r="P1938">
        <f>TRIM(N1938)</f>
        <v/>
      </c>
    </row>
    <row r="1939">
      <c r="A1939" t="inlineStr">
        <is>
          <t>CO-002016</t>
        </is>
      </c>
      <c r="B1939" t="inlineStr">
        <is>
          <t>PERU MASIVO S.A.</t>
        </is>
      </c>
      <c r="C1939" t="inlineStr">
        <is>
          <t>20492392031</t>
        </is>
      </c>
      <c r="D1939" t="inlineStr">
        <is>
          <t>AV. LOS INCAS CDRA. 4 PATIO NORTE - COMAS</t>
        </is>
      </c>
      <c r="E1939" t="inlineStr">
        <is>
          <t>Lima, 22 de Julio de 2024</t>
        </is>
      </c>
      <c r="F1939" t="inlineStr">
        <is>
          <t>la Recarga y mantenimiento</t>
        </is>
      </c>
      <c r="G1939" t="inlineStr">
        <is>
          <t>05</t>
        </is>
      </c>
      <c r="H1939" t="inlineStr">
        <is>
          <t>06 KG</t>
        </is>
      </c>
      <c r="I1939" t="inlineStr">
        <is>
          <t>2028</t>
        </is>
      </c>
      <c r="J1939" t="n">
        <v>2009</v>
      </c>
      <c r="K1939" t="inlineStr">
        <is>
          <t>JULIO 2024</t>
        </is>
      </c>
      <c r="L1939" t="inlineStr">
        <is>
          <t>JULIO 2025</t>
        </is>
      </c>
      <c r="M1939" t="inlineStr">
        <is>
          <t>P.Q.S TIPO ABC AL 90 % NACIONAL</t>
        </is>
      </c>
      <c r="N1939" t="inlineStr">
        <is>
          <t>358/000586</t>
        </is>
      </c>
      <c r="O1939" t="inlineStr">
        <is>
          <t>R</t>
        </is>
      </c>
      <c r="P1939">
        <f>TRIM(N1939)</f>
        <v/>
      </c>
    </row>
    <row r="1940">
      <c r="A1940" t="inlineStr">
        <is>
          <t>CO-002016</t>
        </is>
      </c>
      <c r="B1940" t="inlineStr">
        <is>
          <t>PERU MASIVO S.A.</t>
        </is>
      </c>
      <c r="C1940" t="inlineStr">
        <is>
          <t>20492392031</t>
        </is>
      </c>
      <c r="D1940" t="inlineStr">
        <is>
          <t>AV. LOS INCAS CDRA. 4 PATIO NORTE - COMAS</t>
        </is>
      </c>
      <c r="E1940" t="inlineStr">
        <is>
          <t>Lima, 22 de Julio de 2024</t>
        </is>
      </c>
      <c r="F1940" t="inlineStr">
        <is>
          <t>la Recarga y mantenimiento</t>
        </is>
      </c>
      <c r="G1940" t="inlineStr">
        <is>
          <t>06</t>
        </is>
      </c>
      <c r="H1940" t="inlineStr">
        <is>
          <t>06 KG</t>
        </is>
      </c>
      <c r="I1940" t="inlineStr">
        <is>
          <t>2028</t>
        </is>
      </c>
      <c r="J1940" t="n">
        <v>2010</v>
      </c>
      <c r="K1940" t="inlineStr">
        <is>
          <t>JULIO 2024</t>
        </is>
      </c>
      <c r="L1940" t="inlineStr">
        <is>
          <t>JULIO 2025</t>
        </is>
      </c>
      <c r="M1940" t="inlineStr">
        <is>
          <t>P.Q.S TIPO ABC AL 90 % NACIONAL</t>
        </is>
      </c>
      <c r="N1940" t="inlineStr">
        <is>
          <t>152/000048</t>
        </is>
      </c>
      <c r="O1940" t="inlineStr">
        <is>
          <t>R</t>
        </is>
      </c>
      <c r="P1940">
        <f>TRIM(N1940)</f>
        <v/>
      </c>
    </row>
    <row r="1941">
      <c r="A1941" t="inlineStr">
        <is>
          <t>CO-002016</t>
        </is>
      </c>
      <c r="B1941" t="inlineStr">
        <is>
          <t>PERU MASIVO S.A.</t>
        </is>
      </c>
      <c r="C1941" t="inlineStr">
        <is>
          <t>20492392031</t>
        </is>
      </c>
      <c r="D1941" t="inlineStr">
        <is>
          <t>AV. LOS INCAS CDRA. 4 PATIO NORTE - COMAS</t>
        </is>
      </c>
      <c r="E1941" t="inlineStr">
        <is>
          <t>Lima, 22 de Julio de 2024</t>
        </is>
      </c>
      <c r="F1941" t="inlineStr">
        <is>
          <t>la Recarga y mantenimiento</t>
        </is>
      </c>
      <c r="G1941" t="inlineStr">
        <is>
          <t>07</t>
        </is>
      </c>
      <c r="H1941" t="inlineStr">
        <is>
          <t>06 KG</t>
        </is>
      </c>
      <c r="I1941" t="inlineStr">
        <is>
          <t>2028</t>
        </is>
      </c>
      <c r="J1941" t="n">
        <v>2010</v>
      </c>
      <c r="K1941" t="inlineStr">
        <is>
          <t>JULIO 2024</t>
        </is>
      </c>
      <c r="L1941" t="inlineStr">
        <is>
          <t>JULIO 2025</t>
        </is>
      </c>
      <c r="M1941" t="inlineStr">
        <is>
          <t>P.Q.S TIPO ABC AL 90 % NACIONAL</t>
        </is>
      </c>
      <c r="N1941" t="inlineStr">
        <is>
          <t>S/N /005496</t>
        </is>
      </c>
      <c r="O1941" t="inlineStr">
        <is>
          <t>R</t>
        </is>
      </c>
      <c r="P1941">
        <f>TRIM(N1941)</f>
        <v/>
      </c>
    </row>
    <row r="1942">
      <c r="A1942" t="inlineStr">
        <is>
          <t>CO-002016</t>
        </is>
      </c>
      <c r="B1942" t="inlineStr">
        <is>
          <t>PERU MASIVO S.A.</t>
        </is>
      </c>
      <c r="C1942" t="inlineStr">
        <is>
          <t>20492392031</t>
        </is>
      </c>
      <c r="D1942" t="inlineStr">
        <is>
          <t>AV. LOS INCAS CDRA. 4 PATIO NORTE - COMAS</t>
        </is>
      </c>
      <c r="E1942" t="inlineStr">
        <is>
          <t>Lima, 22 de Julio de 2024</t>
        </is>
      </c>
      <c r="F1942" t="inlineStr">
        <is>
          <t>la Recarga y mantenimiento</t>
        </is>
      </c>
      <c r="G1942" t="inlineStr">
        <is>
          <t>08</t>
        </is>
      </c>
      <c r="H1942" t="inlineStr">
        <is>
          <t>06 KG</t>
        </is>
      </c>
      <c r="I1942" t="inlineStr">
        <is>
          <t>2028</t>
        </is>
      </c>
      <c r="J1942" t="n">
        <v>2010</v>
      </c>
      <c r="K1942" t="inlineStr">
        <is>
          <t>JULIO 2024</t>
        </is>
      </c>
      <c r="L1942" t="inlineStr">
        <is>
          <t>JULIO 2025</t>
        </is>
      </c>
      <c r="M1942" t="inlineStr">
        <is>
          <t>P.Q.S TIPO ABC AL 90 % NACIONAL</t>
        </is>
      </c>
      <c r="N1942" t="inlineStr">
        <is>
          <t>151/000124</t>
        </is>
      </c>
      <c r="O1942" t="inlineStr">
        <is>
          <t>R</t>
        </is>
      </c>
      <c r="P1942">
        <f>TRIM(N1942)</f>
        <v/>
      </c>
    </row>
    <row r="1943">
      <c r="A1943" t="inlineStr">
        <is>
          <t>CO-002016</t>
        </is>
      </c>
      <c r="B1943" t="inlineStr">
        <is>
          <t>PERU MASIVO S.A.</t>
        </is>
      </c>
      <c r="C1943" t="inlineStr">
        <is>
          <t>20492392031</t>
        </is>
      </c>
      <c r="D1943" t="inlineStr">
        <is>
          <t>AV. LOS INCAS CDRA. 4 PATIO NORTE - COMAS</t>
        </is>
      </c>
      <c r="E1943" t="inlineStr">
        <is>
          <t>Lima, 22 de Julio de 2024</t>
        </is>
      </c>
      <c r="F1943" t="inlineStr">
        <is>
          <t>la Recarga y mantenimiento</t>
        </is>
      </c>
      <c r="G1943" t="inlineStr">
        <is>
          <t>09</t>
        </is>
      </c>
      <c r="H1943" t="inlineStr">
        <is>
          <t>06 KG</t>
        </is>
      </c>
      <c r="I1943" t="inlineStr">
        <is>
          <t>2028</t>
        </is>
      </c>
      <c r="J1943" t="n">
        <v>2009</v>
      </c>
      <c r="K1943" t="inlineStr">
        <is>
          <t>JULIO 2024</t>
        </is>
      </c>
      <c r="L1943" t="inlineStr">
        <is>
          <t>JULIO 2025</t>
        </is>
      </c>
      <c r="M1943" t="inlineStr">
        <is>
          <t>P.Q.S TIPO ABC AL 90 % NACIONAL</t>
        </is>
      </c>
      <c r="N1943" t="inlineStr">
        <is>
          <t>174/001418</t>
        </is>
      </c>
      <c r="O1943" t="inlineStr">
        <is>
          <t>R</t>
        </is>
      </c>
      <c r="P1943">
        <f>TRIM(N1943)</f>
        <v/>
      </c>
    </row>
    <row r="1944">
      <c r="A1944" t="inlineStr">
        <is>
          <t>CO-002016</t>
        </is>
      </c>
      <c r="B1944" t="inlineStr">
        <is>
          <t>PERU MASIVO S.A.</t>
        </is>
      </c>
      <c r="C1944" t="inlineStr">
        <is>
          <t>20492392031</t>
        </is>
      </c>
      <c r="D1944" t="inlineStr">
        <is>
          <t>AV. LOS INCAS CDRA. 4 PATIO NORTE - COMAS</t>
        </is>
      </c>
      <c r="E1944" t="inlineStr">
        <is>
          <t>Lima, 22 de Julio de 2024</t>
        </is>
      </c>
      <c r="F1944" t="inlineStr">
        <is>
          <t>la Recarga y mantenimiento</t>
        </is>
      </c>
      <c r="G1944" t="n">
        <v>10</v>
      </c>
      <c r="H1944" t="inlineStr">
        <is>
          <t>06 KG</t>
        </is>
      </c>
      <c r="I1944" t="inlineStr">
        <is>
          <t>2028</t>
        </is>
      </c>
      <c r="J1944" t="n">
        <v>2010</v>
      </c>
      <c r="K1944" t="inlineStr">
        <is>
          <t>JULIO 2024</t>
        </is>
      </c>
      <c r="L1944" t="inlineStr">
        <is>
          <t>JULIO 2025</t>
        </is>
      </c>
      <c r="M1944" t="inlineStr">
        <is>
          <t>P.Q.S TIPO ABC AL 90 % NACIONAL</t>
        </is>
      </c>
      <c r="N1944" t="inlineStr">
        <is>
          <t>369/014184</t>
        </is>
      </c>
      <c r="O1944" t="inlineStr">
        <is>
          <t>R</t>
        </is>
      </c>
      <c r="P1944">
        <f>TRIM(N1944)</f>
        <v/>
      </c>
    </row>
    <row r="1945">
      <c r="A1945" t="inlineStr">
        <is>
          <t>CO-002017</t>
        </is>
      </c>
      <c r="B1945" t="inlineStr">
        <is>
          <t>PERU MASIVO S.A. (INFRAESTRUCTURA)</t>
        </is>
      </c>
      <c r="C1945" t="inlineStr">
        <is>
          <t>20492392031</t>
        </is>
      </c>
      <c r="D1945" t="inlineStr">
        <is>
          <t>AV. LOS INCAS CDRA. 4 PATIO NORTE - COMAS</t>
        </is>
      </c>
      <c r="E1945" t="inlineStr">
        <is>
          <t>Lima, 26 de Julio de 2024</t>
        </is>
      </c>
      <c r="F1945" t="inlineStr">
        <is>
          <t>la Recarga y mantenimiento</t>
        </is>
      </c>
      <c r="G1945" t="inlineStr">
        <is>
          <t>01</t>
        </is>
      </c>
      <c r="H1945" t="inlineStr">
        <is>
          <t>06 KG</t>
        </is>
      </c>
      <c r="I1945" t="inlineStr">
        <is>
          <t>2028</t>
        </is>
      </c>
      <c r="J1945" t="n">
        <v>2010</v>
      </c>
      <c r="K1945" t="inlineStr">
        <is>
          <t>JULIO 2024</t>
        </is>
      </c>
      <c r="L1945" t="inlineStr">
        <is>
          <t>JULIO 2025</t>
        </is>
      </c>
      <c r="M1945" t="inlineStr">
        <is>
          <t>P.Q.S TIPO ABC AL 90 % NACIONAL</t>
        </is>
      </c>
      <c r="N1945" t="inlineStr">
        <is>
          <t>S/N /000005</t>
        </is>
      </c>
      <c r="O1945" t="inlineStr">
        <is>
          <t>R</t>
        </is>
      </c>
      <c r="P1945">
        <f>TRIM(N1945)</f>
        <v/>
      </c>
    </row>
    <row r="1946">
      <c r="A1946" t="inlineStr">
        <is>
          <t>CO-002017</t>
        </is>
      </c>
      <c r="B1946" t="inlineStr">
        <is>
          <t>PERU MASIVO S.A. (INFRAESTRUCTURA)</t>
        </is>
      </c>
      <c r="C1946" t="inlineStr">
        <is>
          <t>20492392031</t>
        </is>
      </c>
      <c r="D1946" t="inlineStr">
        <is>
          <t>AV. LOS INCAS CDRA. 4 PATIO NORTE - COMAS</t>
        </is>
      </c>
      <c r="E1946" t="inlineStr">
        <is>
          <t>Lima, 26 de Julio de 2024</t>
        </is>
      </c>
      <c r="F1946" t="inlineStr">
        <is>
          <t>la Recarga y mantenimiento</t>
        </is>
      </c>
      <c r="G1946" t="inlineStr">
        <is>
          <t>02</t>
        </is>
      </c>
      <c r="H1946" t="inlineStr">
        <is>
          <t>06 KG</t>
        </is>
      </c>
      <c r="I1946" t="inlineStr">
        <is>
          <t>2028</t>
        </is>
      </c>
      <c r="J1946" t="n">
        <v>2010</v>
      </c>
      <c r="K1946" t="inlineStr">
        <is>
          <t>JULIO 2024</t>
        </is>
      </c>
      <c r="L1946" t="inlineStr">
        <is>
          <t>JULIO 2025</t>
        </is>
      </c>
      <c r="M1946" t="inlineStr">
        <is>
          <t>P.Q.S TIPO ABC AL 90 % NACIONAL</t>
        </is>
      </c>
      <c r="N1946" t="inlineStr">
        <is>
          <t>16/000223</t>
        </is>
      </c>
      <c r="O1946" t="inlineStr">
        <is>
          <t>R</t>
        </is>
      </c>
      <c r="P1946">
        <f>TRIM(N1946)</f>
        <v/>
      </c>
    </row>
    <row r="1947">
      <c r="A1947" t="inlineStr">
        <is>
          <t>CO-002018</t>
        </is>
      </c>
      <c r="B1947" t="inlineStr">
        <is>
          <t>IGLESIA METODISTA DEL PERU – LA FLORIDA</t>
        </is>
      </c>
      <c r="D1947" t="inlineStr">
        <is>
          <t>CALLE 13 N° 195 Urb. La Florida – Rímac</t>
        </is>
      </c>
      <c r="E1947" t="inlineStr">
        <is>
          <t>Lima, 30 de Julio de 2024</t>
        </is>
      </c>
      <c r="F1947" t="inlineStr">
        <is>
          <t>la Recarga y mantenimiento</t>
        </is>
      </c>
      <c r="G1947" t="inlineStr">
        <is>
          <t>01</t>
        </is>
      </c>
      <c r="H1947" t="inlineStr">
        <is>
          <t>06 KG</t>
        </is>
      </c>
      <c r="I1947" t="inlineStr">
        <is>
          <t>2029</t>
        </is>
      </c>
      <c r="J1947" t="n">
        <v>2019</v>
      </c>
      <c r="K1947" t="inlineStr">
        <is>
          <t>JULIO 2024</t>
        </is>
      </c>
      <c r="L1947" t="inlineStr">
        <is>
          <t>JULIO 2025</t>
        </is>
      </c>
      <c r="M1947" t="inlineStr">
        <is>
          <t>P.Q.S./ABC</t>
        </is>
      </c>
      <c r="N1947" t="inlineStr">
        <is>
          <t>01/000551</t>
        </is>
      </c>
      <c r="O1947" t="inlineStr">
        <is>
          <t>R</t>
        </is>
      </c>
      <c r="P1947">
        <f>TRIM(N1947)</f>
        <v/>
      </c>
    </row>
    <row r="1948">
      <c r="A1948" t="inlineStr">
        <is>
          <t>CO-002018</t>
        </is>
      </c>
      <c r="B1948" t="inlineStr">
        <is>
          <t>IGLESIA METODISTA DEL PERU – LA FLORIDA</t>
        </is>
      </c>
      <c r="D1948" t="inlineStr">
        <is>
          <t>CALLE 13 N° 195 Urb. La Florida – Rímac</t>
        </is>
      </c>
      <c r="E1948" t="inlineStr">
        <is>
          <t>Lima, 30 de Julio de 2024</t>
        </is>
      </c>
      <c r="F1948" t="inlineStr">
        <is>
          <t>la Recarga y mantenimiento</t>
        </is>
      </c>
      <c r="G1948" t="inlineStr">
        <is>
          <t>02</t>
        </is>
      </c>
      <c r="H1948" t="inlineStr">
        <is>
          <t>06KG</t>
        </is>
      </c>
      <c r="I1948" t="inlineStr">
        <is>
          <t>2029</t>
        </is>
      </c>
      <c r="J1948" t="n">
        <v>2019</v>
      </c>
      <c r="K1948" t="inlineStr">
        <is>
          <t>JULIO 2024</t>
        </is>
      </c>
      <c r="L1948" t="inlineStr">
        <is>
          <t>JULIO 2025</t>
        </is>
      </c>
      <c r="M1948" t="inlineStr">
        <is>
          <t>P.Q.S./ABC</t>
        </is>
      </c>
      <c r="N1948" t="inlineStr">
        <is>
          <t>02/000674</t>
        </is>
      </c>
      <c r="O1948" t="inlineStr">
        <is>
          <t>R</t>
        </is>
      </c>
      <c r="P1948">
        <f>TRIM(N1948)</f>
        <v/>
      </c>
    </row>
    <row r="1949">
      <c r="A1949" t="inlineStr">
        <is>
          <t>CO-002018</t>
        </is>
      </c>
      <c r="B1949" t="inlineStr">
        <is>
          <t>IGLESIA METODISTA DEL PERU – LA FLORIDA</t>
        </is>
      </c>
      <c r="D1949" t="inlineStr">
        <is>
          <t>CALLE 13 N° 195 Urb. La Florida – Rímac</t>
        </is>
      </c>
      <c r="E1949" t="inlineStr">
        <is>
          <t>Lima, 30 de Julio de 2024</t>
        </is>
      </c>
      <c r="F1949" t="inlineStr">
        <is>
          <t>la Recarga y mantenimiento</t>
        </is>
      </c>
      <c r="G1949" t="inlineStr">
        <is>
          <t>03</t>
        </is>
      </c>
      <c r="H1949" t="inlineStr">
        <is>
          <t>06KG</t>
        </is>
      </c>
      <c r="I1949" t="n">
        <v>2027</v>
      </c>
      <c r="J1949" t="n">
        <v>2022</v>
      </c>
      <c r="K1949" t="inlineStr">
        <is>
          <t>JULIO 2024</t>
        </is>
      </c>
      <c r="L1949" t="inlineStr">
        <is>
          <t>JULIO 2025</t>
        </is>
      </c>
      <c r="M1949" t="inlineStr">
        <is>
          <t>P.Q.S./ABC</t>
        </is>
      </c>
      <c r="N1949" t="inlineStr">
        <is>
          <t>03/000357</t>
        </is>
      </c>
      <c r="O1949" t="inlineStr">
        <is>
          <t>R</t>
        </is>
      </c>
      <c r="P1949">
        <f>TRIM(N1949)</f>
        <v/>
      </c>
    </row>
    <row r="1950">
      <c r="A1950" t="inlineStr">
        <is>
          <t>CO-002019</t>
        </is>
      </c>
      <c r="B1950" t="inlineStr">
        <is>
          <t>EMPRESA DE TRANSPORTES ONCE DE NOVIEMBRE</t>
        </is>
      </c>
      <c r="C1950" t="inlineStr">
        <is>
          <t>20107884476</t>
        </is>
      </c>
      <c r="D1950" t="inlineStr">
        <is>
          <t>PUNCHAUCA CARABAYLLO</t>
        </is>
      </c>
      <c r="E1950" t="inlineStr">
        <is>
          <t>01 de Agosto de 2024</t>
        </is>
      </c>
      <c r="F1950" t="inlineStr">
        <is>
          <t>la Recarga y mantenimiento</t>
        </is>
      </c>
      <c r="G1950" t="inlineStr">
        <is>
          <t>01</t>
        </is>
      </c>
      <c r="H1950" t="inlineStr">
        <is>
          <t>06 KG</t>
        </is>
      </c>
      <c r="I1950" t="inlineStr">
        <is>
          <t>VIGENTE</t>
        </is>
      </c>
      <c r="J1950" t="n">
        <v>2023</v>
      </c>
      <c r="K1950" t="inlineStr">
        <is>
          <t>AGOSTO 2024</t>
        </is>
      </c>
      <c r="L1950" t="inlineStr">
        <is>
          <t>AGOSTO 2025</t>
        </is>
      </c>
      <c r="M1950" t="inlineStr">
        <is>
          <t xml:space="preserve">P.Q.S.  TIPO ABC </t>
        </is>
      </c>
      <c r="N1950" t="inlineStr">
        <is>
          <t>001094</t>
        </is>
      </c>
      <c r="O1950" t="inlineStr">
        <is>
          <t>R</t>
        </is>
      </c>
      <c r="P1950">
        <f>TRIM(N1950)</f>
        <v/>
      </c>
    </row>
    <row r="1951">
      <c r="A1951" t="inlineStr">
        <is>
          <t>CO-002020</t>
        </is>
      </c>
      <c r="B1951" t="inlineStr">
        <is>
          <t>EMPRESA DE TRANSPORTES ONCE DE NOVIEMBRE</t>
        </is>
      </c>
      <c r="C1951" t="inlineStr">
        <is>
          <t>20107884476</t>
        </is>
      </c>
      <c r="D1951" t="inlineStr">
        <is>
          <t>PUNCHAUCA CARABAYLLO</t>
        </is>
      </c>
      <c r="E1951" t="inlineStr">
        <is>
          <t>01 de Agosto de 2024</t>
        </is>
      </c>
      <c r="F1951" t="inlineStr">
        <is>
          <t>la Recarga y mantenimiento</t>
        </is>
      </c>
      <c r="G1951" t="inlineStr">
        <is>
          <t>01</t>
        </is>
      </c>
      <c r="H1951" t="inlineStr">
        <is>
          <t>06 KG</t>
        </is>
      </c>
      <c r="I1951" t="inlineStr">
        <is>
          <t>VIGENTE</t>
        </is>
      </c>
      <c r="J1951" t="n">
        <v>2018</v>
      </c>
      <c r="K1951" t="inlineStr">
        <is>
          <t>AGOSTO 2024</t>
        </is>
      </c>
      <c r="L1951" t="inlineStr">
        <is>
          <t>AGOSTO 2025</t>
        </is>
      </c>
      <c r="M1951" t="inlineStr">
        <is>
          <t xml:space="preserve">P.Q.S.  TIPO ABC </t>
        </is>
      </c>
      <c r="N1951" t="inlineStr">
        <is>
          <t>002399</t>
        </is>
      </c>
      <c r="O1951" t="inlineStr">
        <is>
          <t>R</t>
        </is>
      </c>
      <c r="P1951">
        <f>TRIM(N1951)</f>
        <v/>
      </c>
    </row>
    <row r="1952">
      <c r="A1952" t="inlineStr">
        <is>
          <t>CO-002021</t>
        </is>
      </c>
      <c r="B1952" t="inlineStr">
        <is>
          <t>EMPRESA DE TRANSPORTES ONCE DE NOVIEMBRE</t>
        </is>
      </c>
      <c r="C1952" t="inlineStr">
        <is>
          <t>20107884476</t>
        </is>
      </c>
      <c r="D1952" t="inlineStr">
        <is>
          <t>PUNCHAUCA CARABAYLLO</t>
        </is>
      </c>
      <c r="E1952" t="inlineStr">
        <is>
          <t>01 de Agosto de 2024</t>
        </is>
      </c>
      <c r="F1952" t="inlineStr">
        <is>
          <t>la Recarga y mantenimiento</t>
        </is>
      </c>
      <c r="G1952" t="inlineStr">
        <is>
          <t>01</t>
        </is>
      </c>
      <c r="H1952" t="inlineStr">
        <is>
          <t>06 KG</t>
        </is>
      </c>
      <c r="I1952" t="inlineStr">
        <is>
          <t>VIGENTE</t>
        </is>
      </c>
      <c r="J1952" t="n">
        <v>2019</v>
      </c>
      <c r="K1952" t="inlineStr">
        <is>
          <t>AGOSTO 2024</t>
        </is>
      </c>
      <c r="L1952" t="inlineStr">
        <is>
          <t>AGOSTO 2025</t>
        </is>
      </c>
      <c r="M1952" t="inlineStr">
        <is>
          <t xml:space="preserve">P.Q.S.  TIPO ABC </t>
        </is>
      </c>
      <c r="N1952" t="inlineStr">
        <is>
          <t>048722</t>
        </is>
      </c>
      <c r="O1952" t="inlineStr">
        <is>
          <t>R</t>
        </is>
      </c>
      <c r="P1952">
        <f>TRIM(N1952)</f>
        <v/>
      </c>
    </row>
    <row r="1953">
      <c r="A1953" t="inlineStr">
        <is>
          <t>CO-002022</t>
        </is>
      </c>
      <c r="B1953" t="inlineStr">
        <is>
          <t>EMPRESA DE TRANSPORTES ONCE DE NOVIEMBRE</t>
        </is>
      </c>
      <c r="C1953" t="inlineStr">
        <is>
          <t>20107884476</t>
        </is>
      </c>
      <c r="D1953" t="inlineStr">
        <is>
          <t>PUNCHAUCA CARABAYLLO</t>
        </is>
      </c>
      <c r="E1953" t="inlineStr">
        <is>
          <t>01 de Agosto de 2024</t>
        </is>
      </c>
      <c r="F1953" t="inlineStr">
        <is>
          <t>la Recarga y mantenimiento</t>
        </is>
      </c>
      <c r="G1953" t="inlineStr">
        <is>
          <t>01</t>
        </is>
      </c>
      <c r="H1953" t="inlineStr">
        <is>
          <t>06 KG</t>
        </is>
      </c>
      <c r="I1953" t="inlineStr">
        <is>
          <t>VIGENTE</t>
        </is>
      </c>
      <c r="J1953" t="n">
        <v>2015</v>
      </c>
      <c r="K1953" t="inlineStr">
        <is>
          <t>AGOSTO 2024</t>
        </is>
      </c>
      <c r="L1953" t="inlineStr">
        <is>
          <t>AGOSTO 2025</t>
        </is>
      </c>
      <c r="M1953" t="inlineStr">
        <is>
          <t xml:space="preserve">P.Q.S.  TIPO ABC </t>
        </is>
      </c>
      <c r="N1953" t="inlineStr">
        <is>
          <t>155747</t>
        </is>
      </c>
      <c r="O1953" t="inlineStr">
        <is>
          <t>R</t>
        </is>
      </c>
      <c r="P1953">
        <f>TRIM(N1953)</f>
        <v/>
      </c>
    </row>
    <row r="1954">
      <c r="A1954" t="inlineStr">
        <is>
          <t>CO-002023</t>
        </is>
      </c>
      <c r="B1954" t="inlineStr">
        <is>
          <t>GRIFO COMARSA - COMARSA &amp; CIA. S.R.L.</t>
        </is>
      </c>
      <c r="C1954" t="inlineStr">
        <is>
          <t>20471884741</t>
        </is>
      </c>
      <c r="D1954" t="inlineStr">
        <is>
          <t>AV. FELIPE MENDIZABAL 580 - TUNGASUCA - CARABAYLLO</t>
        </is>
      </c>
      <c r="E1954" t="inlineStr">
        <is>
          <t>01 de Agosto de 2024</t>
        </is>
      </c>
      <c r="F1954" t="inlineStr">
        <is>
          <t>la Recarga y mantenimiento</t>
        </is>
      </c>
      <c r="G1954" t="inlineStr">
        <is>
          <t>01</t>
        </is>
      </c>
      <c r="H1954" t="inlineStr">
        <is>
          <t>12 KG</t>
        </is>
      </c>
      <c r="I1954" t="inlineStr">
        <is>
          <t>2029</t>
        </is>
      </c>
      <c r="J1954" t="inlineStr">
        <is>
          <t>S/N</t>
        </is>
      </c>
      <c r="K1954" t="inlineStr">
        <is>
          <t>AGOSTO 2024</t>
        </is>
      </c>
      <c r="L1954" t="inlineStr">
        <is>
          <t>AGOSTO 2025</t>
        </is>
      </c>
      <c r="M1954" t="inlineStr">
        <is>
          <t>P.Q.S TIPO ABC AL 90% UL</t>
        </is>
      </c>
      <c r="N1954" t="inlineStr">
        <is>
          <t>01/000326</t>
        </is>
      </c>
      <c r="O1954" t="inlineStr">
        <is>
          <t>R</t>
        </is>
      </c>
      <c r="P1954">
        <f>TRIM(N1954)</f>
        <v/>
      </c>
    </row>
    <row r="1955">
      <c r="A1955" t="inlineStr">
        <is>
          <t>CO-002023</t>
        </is>
      </c>
      <c r="B1955" t="inlineStr">
        <is>
          <t>GRIFO COMARSA - COMARSA &amp; CIA. S.R.L.</t>
        </is>
      </c>
      <c r="C1955" t="inlineStr">
        <is>
          <t>20471884741</t>
        </is>
      </c>
      <c r="D1955" t="inlineStr">
        <is>
          <t>AV. FELIPE MENDIZABAL 580 - TUNGASUCA - CARABAYLLO</t>
        </is>
      </c>
      <c r="E1955" t="inlineStr">
        <is>
          <t>01 de Agosto de 2024</t>
        </is>
      </c>
      <c r="F1955" t="inlineStr">
        <is>
          <t>la Recarga y mantenimiento</t>
        </is>
      </c>
      <c r="G1955" t="inlineStr">
        <is>
          <t>02</t>
        </is>
      </c>
      <c r="H1955" t="inlineStr">
        <is>
          <t>13.6 KG</t>
        </is>
      </c>
      <c r="I1955" t="inlineStr">
        <is>
          <t>2025</t>
        </is>
      </c>
      <c r="J1955" t="inlineStr">
        <is>
          <t>S/N</t>
        </is>
      </c>
      <c r="K1955" t="inlineStr">
        <is>
          <t>AGOSTO 2024</t>
        </is>
      </c>
      <c r="L1955" t="inlineStr">
        <is>
          <t>AGOSTO 2025</t>
        </is>
      </c>
      <c r="M1955" t="inlineStr">
        <is>
          <t>P.Q.S TIPO ABC AL 90% UL</t>
        </is>
      </c>
      <c r="N1955" t="inlineStr">
        <is>
          <t>03/000738</t>
        </is>
      </c>
      <c r="O1955" t="inlineStr">
        <is>
          <t>R</t>
        </is>
      </c>
      <c r="P1955">
        <f>TRIM(N1955)</f>
        <v/>
      </c>
    </row>
    <row r="1956">
      <c r="A1956" t="inlineStr">
        <is>
          <t>CO-002024</t>
        </is>
      </c>
      <c r="B1956" t="inlineStr">
        <is>
          <t>EDWIN ALTAMIRANO</t>
        </is>
      </c>
      <c r="D1956" t="inlineStr">
        <is>
          <t xml:space="preserve">AV.TUPAC AMARU 7443 COOP.AÑO NUEVO-COMAS </t>
        </is>
      </c>
      <c r="E1956" t="inlineStr">
        <is>
          <t>01 de Agosto de 2024</t>
        </is>
      </c>
      <c r="F1956" t="inlineStr">
        <is>
          <t>la Recarga y mantenimiento</t>
        </is>
      </c>
      <c r="G1956" t="inlineStr">
        <is>
          <t>01</t>
        </is>
      </c>
      <c r="H1956" t="inlineStr">
        <is>
          <t>06 KG</t>
        </is>
      </c>
      <c r="I1956" t="inlineStr">
        <is>
          <t>2026</t>
        </is>
      </c>
      <c r="J1956" t="n">
        <v>2021</v>
      </c>
      <c r="K1956" t="inlineStr">
        <is>
          <t>AGOSTO 2024</t>
        </is>
      </c>
      <c r="L1956" t="inlineStr">
        <is>
          <t>AGOSTO 2025</t>
        </is>
      </c>
      <c r="M1956" t="inlineStr">
        <is>
          <t>P.Q.S TIPO ABC</t>
        </is>
      </c>
      <c r="N1956" t="inlineStr">
        <is>
          <t>126135</t>
        </is>
      </c>
      <c r="O1956" t="inlineStr">
        <is>
          <t>R</t>
        </is>
      </c>
      <c r="P1956">
        <f>TRIM(N1956)</f>
        <v/>
      </c>
    </row>
    <row r="1957">
      <c r="A1957" t="inlineStr">
        <is>
          <t>CO-002025</t>
        </is>
      </c>
      <c r="B1957" t="inlineStr">
        <is>
          <t xml:space="preserve">EL SABOR PERUANO DE CASA : KEVIN JORDI TAPIA CALLERI </t>
        </is>
      </c>
      <c r="D1957" t="inlineStr">
        <is>
          <t xml:space="preserve">AV. TUPAC AMARU 4975 - COOP PABLO VI </t>
        </is>
      </c>
      <c r="E1957" t="inlineStr">
        <is>
          <t>Lima, 02 de Agosto de 2024</t>
        </is>
      </c>
      <c r="F1957" t="inlineStr">
        <is>
          <t>la Recarga y mantenimiento</t>
        </is>
      </c>
      <c r="G1957" t="inlineStr">
        <is>
          <t>01</t>
        </is>
      </c>
      <c r="H1957" t="inlineStr">
        <is>
          <t>06 KG</t>
        </is>
      </c>
      <c r="I1957" t="inlineStr">
        <is>
          <t>2026</t>
        </is>
      </c>
      <c r="J1957" t="n">
        <v>2015</v>
      </c>
      <c r="K1957" t="inlineStr">
        <is>
          <t>AGOSTO 2024</t>
        </is>
      </c>
      <c r="L1957" t="inlineStr">
        <is>
          <t>AGOSTO 2025</t>
        </is>
      </c>
      <c r="M1957" t="inlineStr">
        <is>
          <t xml:space="preserve">P.Q.S TIPO ABC </t>
        </is>
      </c>
      <c r="N1957" t="inlineStr">
        <is>
          <t>020549</t>
        </is>
      </c>
      <c r="O1957" t="inlineStr">
        <is>
          <t>R</t>
        </is>
      </c>
      <c r="P1957">
        <f>TRIM(N1957)</f>
        <v/>
      </c>
    </row>
    <row r="1958">
      <c r="A1958" t="inlineStr">
        <is>
          <t>CO-002025</t>
        </is>
      </c>
      <c r="B1958" t="inlineStr">
        <is>
          <t xml:space="preserve">EL SABOR PERUANO DE CASA : KEVIN JORDI TAPIA CALLERI </t>
        </is>
      </c>
      <c r="D1958" t="inlineStr">
        <is>
          <t xml:space="preserve">AV. TUPAC AMARU 4975 - COOP PABLO VI </t>
        </is>
      </c>
      <c r="E1958" t="inlineStr">
        <is>
          <t>Lima, 02 de Agosto de 2024</t>
        </is>
      </c>
      <c r="F1958" t="inlineStr">
        <is>
          <t>la Recarga y mantenimiento</t>
        </is>
      </c>
      <c r="G1958" t="inlineStr">
        <is>
          <t>02</t>
        </is>
      </c>
      <c r="H1958" t="inlineStr">
        <is>
          <t>1.5 GLS.</t>
        </is>
      </c>
      <c r="I1958" t="inlineStr">
        <is>
          <t>2025</t>
        </is>
      </c>
      <c r="J1958" t="n">
        <v>2020</v>
      </c>
      <c r="K1958" t="inlineStr">
        <is>
          <t>AGOSTO 2024</t>
        </is>
      </c>
      <c r="L1958" t="inlineStr">
        <is>
          <t>AGOSTO 2025</t>
        </is>
      </c>
      <c r="M1958" t="inlineStr">
        <is>
          <t>ACETATO TIPO K</t>
        </is>
      </c>
      <c r="N1958" t="inlineStr">
        <is>
          <t>000149</t>
        </is>
      </c>
      <c r="O1958" t="inlineStr">
        <is>
          <t>R</t>
        </is>
      </c>
      <c r="P1958">
        <f>TRIM(N1958)</f>
        <v/>
      </c>
    </row>
    <row r="1959">
      <c r="A1959" t="inlineStr">
        <is>
          <t>CO-002026</t>
        </is>
      </c>
      <c r="B1959" t="inlineStr">
        <is>
          <t>WILLIAM MURILLO CARRANZA</t>
        </is>
      </c>
      <c r="D1959" t="inlineStr">
        <is>
          <t>BVY-787</t>
        </is>
      </c>
      <c r="E1959" t="inlineStr">
        <is>
          <t>Lima, 02 de Agosto de 2024</t>
        </is>
      </c>
      <c r="F1959" t="inlineStr">
        <is>
          <t>la Recarga y mantenimiento</t>
        </is>
      </c>
      <c r="G1959" t="inlineStr">
        <is>
          <t>01</t>
        </is>
      </c>
      <c r="H1959" t="inlineStr">
        <is>
          <t>06 KG</t>
        </is>
      </c>
      <c r="I1959" t="inlineStr">
        <is>
          <t>2028</t>
        </is>
      </c>
      <c r="J1959" t="n">
        <v>2023</v>
      </c>
      <c r="K1959" t="inlineStr">
        <is>
          <t>AGOSTO 2024</t>
        </is>
      </c>
      <c r="L1959" t="inlineStr">
        <is>
          <t>AGOSTO 2025</t>
        </is>
      </c>
      <c r="M1959" t="inlineStr">
        <is>
          <t>P.Q.S TIPO ABC</t>
        </is>
      </c>
      <c r="N1959" t="inlineStr">
        <is>
          <t>002440</t>
        </is>
      </c>
      <c r="O1959" t="inlineStr">
        <is>
          <t>R</t>
        </is>
      </c>
      <c r="P1959">
        <f>TRIM(N1959)</f>
        <v/>
      </c>
    </row>
    <row r="1960">
      <c r="A1960" t="inlineStr">
        <is>
          <t>CO-002027</t>
        </is>
      </c>
      <c r="B1960" t="inlineStr">
        <is>
          <t>ALEX LOPEZ MUÑOZ</t>
        </is>
      </c>
      <c r="D1960" t="inlineStr">
        <is>
          <t>CALLE ANDRES A. CACERES N° 107 - EL PROGRESO - CARABAYLLO</t>
        </is>
      </c>
      <c r="E1960" t="inlineStr">
        <is>
          <t>Lima, 02 de Agosto 2024</t>
        </is>
      </c>
      <c r="F1960" t="inlineStr">
        <is>
          <t>la Recarga y mantenimiento</t>
        </is>
      </c>
      <c r="G1960" t="inlineStr">
        <is>
          <t>01</t>
        </is>
      </c>
      <c r="H1960" t="inlineStr">
        <is>
          <t>06 KG</t>
        </is>
      </c>
      <c r="I1960" t="inlineStr">
        <is>
          <t>2028</t>
        </is>
      </c>
      <c r="J1960" t="n">
        <v>2016</v>
      </c>
      <c r="K1960" t="inlineStr">
        <is>
          <t>AGOSTO 2024</t>
        </is>
      </c>
      <c r="L1960" t="inlineStr">
        <is>
          <t>AGOSTO 2025</t>
        </is>
      </c>
      <c r="M1960" t="inlineStr">
        <is>
          <t xml:space="preserve">P.Q.S TIPO ABC </t>
        </is>
      </c>
      <c r="N1960" t="inlineStr">
        <is>
          <t>001440</t>
        </is>
      </c>
      <c r="O1960" t="inlineStr">
        <is>
          <t>R</t>
        </is>
      </c>
      <c r="P1960">
        <f>TRIM(N1960)</f>
        <v/>
      </c>
    </row>
    <row r="1961">
      <c r="A1961" t="inlineStr">
        <is>
          <t>CO-002028</t>
        </is>
      </c>
      <c r="B1961" t="inlineStr">
        <is>
          <t>PERU MASIVO S.A</t>
        </is>
      </c>
      <c r="C1961" t="inlineStr">
        <is>
          <t>20492392031</t>
        </is>
      </c>
      <c r="D1961" t="inlineStr">
        <is>
          <t>AV. LOS INCAS CDRA. 4 PATIO NORTE - COMAS</t>
        </is>
      </c>
      <c r="E1961" t="inlineStr">
        <is>
          <t>Lima, 05 de Agosto 2024</t>
        </is>
      </c>
      <c r="F1961" t="inlineStr">
        <is>
          <t>la Recarga y mantenimiento</t>
        </is>
      </c>
      <c r="G1961" t="inlineStr">
        <is>
          <t>01</t>
        </is>
      </c>
      <c r="H1961" t="inlineStr">
        <is>
          <t>06 KG</t>
        </is>
      </c>
      <c r="I1961" t="inlineStr">
        <is>
          <t>2029</t>
        </is>
      </c>
      <c r="J1961" t="n">
        <v>2010</v>
      </c>
      <c r="K1961" t="inlineStr">
        <is>
          <t>AGOSTO 2024</t>
        </is>
      </c>
      <c r="L1961" t="inlineStr">
        <is>
          <t>AGOSTO 2025</t>
        </is>
      </c>
      <c r="M1961" t="inlineStr">
        <is>
          <t>P.Q.S TIPO ABC AL 90 % NACIONAL</t>
        </is>
      </c>
      <c r="N1961" t="inlineStr">
        <is>
          <t>244/001534</t>
        </is>
      </c>
      <c r="O1961" t="inlineStr">
        <is>
          <t>R</t>
        </is>
      </c>
      <c r="P1961">
        <f>TRIM(N1961)</f>
        <v/>
      </c>
    </row>
    <row r="1962">
      <c r="A1962" t="inlineStr">
        <is>
          <t>CO-002028</t>
        </is>
      </c>
      <c r="B1962" t="inlineStr">
        <is>
          <t>PERU MASIVO S.A</t>
        </is>
      </c>
      <c r="C1962" t="inlineStr">
        <is>
          <t>20492392031</t>
        </is>
      </c>
      <c r="D1962" t="inlineStr">
        <is>
          <t>AV. LOS INCAS CDRA. 4 PATIO NORTE - COMAS</t>
        </is>
      </c>
      <c r="E1962" t="inlineStr">
        <is>
          <t>Lima, 05 de Agosto 2024</t>
        </is>
      </c>
      <c r="F1962" t="inlineStr">
        <is>
          <t>la Recarga y mantenimiento</t>
        </is>
      </c>
      <c r="G1962" t="inlineStr">
        <is>
          <t>02</t>
        </is>
      </c>
      <c r="H1962" t="inlineStr">
        <is>
          <t>06 KG</t>
        </is>
      </c>
      <c r="I1962" t="inlineStr">
        <is>
          <t>2028</t>
        </is>
      </c>
      <c r="J1962" t="n">
        <v>2013</v>
      </c>
      <c r="K1962" t="inlineStr">
        <is>
          <t>AGOSTO 2024</t>
        </is>
      </c>
      <c r="L1962" t="inlineStr">
        <is>
          <t>AGOSTO 2025</t>
        </is>
      </c>
      <c r="M1962" t="inlineStr">
        <is>
          <t>P.Q.S TIPO ABC AL 90 % NACIONAL</t>
        </is>
      </c>
      <c r="N1962" t="inlineStr">
        <is>
          <t>354/017130</t>
        </is>
      </c>
      <c r="O1962" t="inlineStr">
        <is>
          <t>R</t>
        </is>
      </c>
      <c r="P1962">
        <f>TRIM(N1962)</f>
        <v/>
      </c>
    </row>
    <row r="1963">
      <c r="A1963" t="inlineStr">
        <is>
          <t>CO-002028</t>
        </is>
      </c>
      <c r="B1963" t="inlineStr">
        <is>
          <t>PERU MASIVO S.A</t>
        </is>
      </c>
      <c r="C1963" t="inlineStr">
        <is>
          <t>20492392031</t>
        </is>
      </c>
      <c r="D1963" t="inlineStr">
        <is>
          <t>AV. LOS INCAS CDRA. 4 PATIO NORTE - COMAS</t>
        </is>
      </c>
      <c r="E1963" t="inlineStr">
        <is>
          <t>Lima, 05 de Agosto 2024</t>
        </is>
      </c>
      <c r="F1963" t="inlineStr">
        <is>
          <t>la Recarga y mantenimiento</t>
        </is>
      </c>
      <c r="G1963" t="inlineStr">
        <is>
          <t>03</t>
        </is>
      </c>
      <c r="H1963" t="inlineStr">
        <is>
          <t>06KG</t>
        </is>
      </c>
      <c r="I1963" t="n">
        <v>2028</v>
      </c>
      <c r="J1963" t="n">
        <v>2010</v>
      </c>
      <c r="K1963" t="inlineStr">
        <is>
          <t>AGOSTO 2024</t>
        </is>
      </c>
      <c r="L1963" t="inlineStr">
        <is>
          <t>AGOSTO 2025</t>
        </is>
      </c>
      <c r="M1963" t="inlineStr">
        <is>
          <t>P.Q.S TIPO ABC AL 90 % NACIONAL</t>
        </is>
      </c>
      <c r="N1963" t="inlineStr">
        <is>
          <t>151/00124</t>
        </is>
      </c>
      <c r="O1963" t="inlineStr">
        <is>
          <t>R</t>
        </is>
      </c>
      <c r="P1963">
        <f>TRIM(N1963)</f>
        <v/>
      </c>
    </row>
    <row r="1964">
      <c r="A1964" t="inlineStr">
        <is>
          <t>CO-002028</t>
        </is>
      </c>
      <c r="B1964" t="inlineStr">
        <is>
          <t>PERU MASIVO S.A</t>
        </is>
      </c>
      <c r="C1964" t="inlineStr">
        <is>
          <t>20492392031</t>
        </is>
      </c>
      <c r="D1964" t="inlineStr">
        <is>
          <t>AV. LOS INCAS CDRA. 4 PATIO NORTE - COMAS</t>
        </is>
      </c>
      <c r="E1964" t="inlineStr">
        <is>
          <t>Lima, 05 de Agosto 2024</t>
        </is>
      </c>
      <c r="F1964" t="inlineStr">
        <is>
          <t>la Recarga y mantenimiento</t>
        </is>
      </c>
      <c r="G1964" t="inlineStr">
        <is>
          <t>04</t>
        </is>
      </c>
      <c r="H1964" t="inlineStr">
        <is>
          <t>06KG</t>
        </is>
      </c>
      <c r="I1964" t="n">
        <v>2028</v>
      </c>
      <c r="J1964" t="n">
        <v>2019</v>
      </c>
      <c r="K1964" t="inlineStr">
        <is>
          <t>AGOSTO 2024</t>
        </is>
      </c>
      <c r="L1964" t="inlineStr">
        <is>
          <t>AGOSTO 2025</t>
        </is>
      </c>
      <c r="M1964" t="inlineStr">
        <is>
          <t>P.Q.S TIPO ABC AL 90 % NACIONAL</t>
        </is>
      </c>
      <c r="N1964" t="inlineStr">
        <is>
          <t>S/N / 001487</t>
        </is>
      </c>
      <c r="O1964" t="inlineStr">
        <is>
          <t>R</t>
        </is>
      </c>
      <c r="P1964">
        <f>TRIM(N1964)</f>
        <v/>
      </c>
    </row>
    <row r="1965">
      <c r="A1965" t="inlineStr">
        <is>
          <t>CO-002028</t>
        </is>
      </c>
      <c r="B1965" t="inlineStr">
        <is>
          <t>PERU MASIVO S.A</t>
        </is>
      </c>
      <c r="C1965" t="inlineStr">
        <is>
          <t>20492392031</t>
        </is>
      </c>
      <c r="D1965" t="inlineStr">
        <is>
          <t>AV. LOS INCAS CDRA. 4 PATIO NORTE - COMAS</t>
        </is>
      </c>
      <c r="E1965" t="inlineStr">
        <is>
          <t>Lima, 05 de Agosto 2024</t>
        </is>
      </c>
      <c r="F1965" t="inlineStr">
        <is>
          <t>la Recarga y mantenimiento</t>
        </is>
      </c>
      <c r="G1965" t="inlineStr">
        <is>
          <t>05</t>
        </is>
      </c>
      <c r="H1965" t="inlineStr">
        <is>
          <t>06 KG</t>
        </is>
      </c>
      <c r="I1965" t="n">
        <v>2028</v>
      </c>
      <c r="J1965" t="n">
        <v>2009</v>
      </c>
      <c r="K1965" t="inlineStr">
        <is>
          <t>AGOSTO 2024</t>
        </is>
      </c>
      <c r="L1965" t="inlineStr">
        <is>
          <t>AGOSTO 2025</t>
        </is>
      </c>
      <c r="M1965" t="inlineStr">
        <is>
          <t>P.Q.S TIPO ABC AL 90 % NACIONAL</t>
        </is>
      </c>
      <c r="N1965" t="inlineStr">
        <is>
          <t>374/ 001418</t>
        </is>
      </c>
      <c r="O1965" t="inlineStr">
        <is>
          <t>R</t>
        </is>
      </c>
      <c r="P1965">
        <f>TRIM(N1965)</f>
        <v/>
      </c>
    </row>
    <row r="1966">
      <c r="A1966" t="inlineStr">
        <is>
          <t>CO-002028</t>
        </is>
      </c>
      <c r="B1966" t="inlineStr">
        <is>
          <t>PERU MASIVO S.A</t>
        </is>
      </c>
      <c r="C1966" t="inlineStr">
        <is>
          <t>20492392031</t>
        </is>
      </c>
      <c r="D1966" t="inlineStr">
        <is>
          <t>AV. LOS INCAS CDRA. 4 PATIO NORTE - COMAS</t>
        </is>
      </c>
      <c r="E1966" t="inlineStr">
        <is>
          <t>Lima, 05 de Agosto 2024</t>
        </is>
      </c>
      <c r="F1966" t="inlineStr">
        <is>
          <t>la Recarga y mantenimiento</t>
        </is>
      </c>
      <c r="G1966" t="inlineStr">
        <is>
          <t>06</t>
        </is>
      </c>
      <c r="H1966" t="inlineStr">
        <is>
          <t>06 KG</t>
        </is>
      </c>
      <c r="I1966" t="n">
        <v>2028</v>
      </c>
      <c r="J1966" t="n">
        <v>2010</v>
      </c>
      <c r="K1966" t="inlineStr">
        <is>
          <t>AGOSTO 2024</t>
        </is>
      </c>
      <c r="L1966" t="inlineStr">
        <is>
          <t>AGOSTO 2025</t>
        </is>
      </c>
      <c r="M1966" t="inlineStr">
        <is>
          <t>P.Q.S TIPO ABC AL 90 % NACIONAL</t>
        </is>
      </c>
      <c r="N1966" t="inlineStr">
        <is>
          <t>213/ 000476</t>
        </is>
      </c>
      <c r="O1966" t="inlineStr">
        <is>
          <t>R</t>
        </is>
      </c>
      <c r="P1966">
        <f>TRIM(N1966)</f>
        <v/>
      </c>
    </row>
    <row r="1967">
      <c r="A1967" t="inlineStr">
        <is>
          <t>CO-002028</t>
        </is>
      </c>
      <c r="B1967" t="inlineStr">
        <is>
          <t>PERU MASIVO S.A</t>
        </is>
      </c>
      <c r="C1967" t="inlineStr">
        <is>
          <t>20492392031</t>
        </is>
      </c>
      <c r="D1967" t="inlineStr">
        <is>
          <t>AV. LOS INCAS CDRA. 4 PATIO NORTE - COMAS</t>
        </is>
      </c>
      <c r="E1967" t="inlineStr">
        <is>
          <t>Lima, 05 de Agosto 2024</t>
        </is>
      </c>
      <c r="F1967" t="inlineStr">
        <is>
          <t>la Recarga y mantenimiento</t>
        </is>
      </c>
      <c r="G1967" t="inlineStr">
        <is>
          <t>07</t>
        </is>
      </c>
      <c r="H1967" t="inlineStr">
        <is>
          <t>06 KG</t>
        </is>
      </c>
      <c r="I1967" t="n">
        <v>2028</v>
      </c>
      <c r="J1967" t="n">
        <v>2010</v>
      </c>
      <c r="K1967" t="inlineStr">
        <is>
          <t>AGOSTO 2024</t>
        </is>
      </c>
      <c r="L1967" t="inlineStr">
        <is>
          <t>AGOSTO 2025</t>
        </is>
      </c>
      <c r="M1967" t="inlineStr">
        <is>
          <t>P.Q.S TIPO ABC AL 90 % NACIONAL</t>
        </is>
      </c>
      <c r="N1967" t="inlineStr">
        <is>
          <t>152/ 000048</t>
        </is>
      </c>
      <c r="O1967" t="inlineStr">
        <is>
          <t>R</t>
        </is>
      </c>
      <c r="P1967">
        <f>TRIM(N1967)</f>
        <v/>
      </c>
    </row>
    <row r="1968">
      <c r="A1968" t="inlineStr">
        <is>
          <t>CO-002028</t>
        </is>
      </c>
      <c r="B1968" t="inlineStr">
        <is>
          <t>PERU MASIVO S.A</t>
        </is>
      </c>
      <c r="C1968" t="inlineStr">
        <is>
          <t>20492392031</t>
        </is>
      </c>
      <c r="D1968" t="inlineStr">
        <is>
          <t>AV. LOS INCAS CDRA. 4 PATIO NORTE - COMAS</t>
        </is>
      </c>
      <c r="E1968" t="inlineStr">
        <is>
          <t>Lima, 05 de Agosto 2024</t>
        </is>
      </c>
      <c r="F1968" t="inlineStr">
        <is>
          <t>la Recarga y mantenimiento</t>
        </is>
      </c>
      <c r="G1968" t="inlineStr">
        <is>
          <t>08</t>
        </is>
      </c>
      <c r="H1968" t="inlineStr">
        <is>
          <t>06 KG</t>
        </is>
      </c>
      <c r="I1968" t="n">
        <v>2029</v>
      </c>
      <c r="J1968" t="n">
        <v>2019</v>
      </c>
      <c r="K1968" t="inlineStr">
        <is>
          <t>AGOSTO 2024</t>
        </is>
      </c>
      <c r="L1968" t="inlineStr">
        <is>
          <t>AGOSTO 2025</t>
        </is>
      </c>
      <c r="M1968" t="inlineStr">
        <is>
          <t>P.Q.S TIPO ABC AL 90 % NACIONAL</t>
        </is>
      </c>
      <c r="N1968" t="inlineStr">
        <is>
          <t>SN/ 001745</t>
        </is>
      </c>
      <c r="O1968" t="inlineStr">
        <is>
          <t>R</t>
        </is>
      </c>
      <c r="P1968">
        <f>TRIM(N1968)</f>
        <v/>
      </c>
    </row>
    <row r="1969">
      <c r="A1969" t="inlineStr">
        <is>
          <t>CO-002028</t>
        </is>
      </c>
      <c r="B1969" t="inlineStr">
        <is>
          <t>PERU MASIVO S.A</t>
        </is>
      </c>
      <c r="C1969" t="inlineStr">
        <is>
          <t>20492392031</t>
        </is>
      </c>
      <c r="D1969" t="inlineStr">
        <is>
          <t>AV. LOS INCAS CDRA. 4 PATIO NORTE - COMAS</t>
        </is>
      </c>
      <c r="E1969" t="inlineStr">
        <is>
          <t>Lima, 05 de Agosto 2024</t>
        </is>
      </c>
      <c r="F1969" t="inlineStr">
        <is>
          <t>la Recarga y mantenimiento</t>
        </is>
      </c>
      <c r="G1969" t="inlineStr">
        <is>
          <t>09</t>
        </is>
      </c>
      <c r="H1969" t="inlineStr">
        <is>
          <t>06 KG</t>
        </is>
      </c>
      <c r="I1969" t="n">
        <v>2028</v>
      </c>
      <c r="J1969" t="n">
        <v>2009</v>
      </c>
      <c r="K1969" t="inlineStr">
        <is>
          <t>AGOSTO 2024</t>
        </is>
      </c>
      <c r="L1969" t="inlineStr">
        <is>
          <t>AGOSTO 2025</t>
        </is>
      </c>
      <c r="M1969" t="inlineStr">
        <is>
          <t>P.Q.S TIPO ABC AL 90 % NACIONAL</t>
        </is>
      </c>
      <c r="N1969" t="inlineStr">
        <is>
          <t>358/00586</t>
        </is>
      </c>
      <c r="O1969" t="inlineStr">
        <is>
          <t>R</t>
        </is>
      </c>
      <c r="P1969">
        <f>TRIM(N1969)</f>
        <v/>
      </c>
    </row>
    <row r="1970">
      <c r="A1970" t="inlineStr">
        <is>
          <t>CO-002028</t>
        </is>
      </c>
      <c r="B1970" t="inlineStr">
        <is>
          <t>PERU MASIVO S.A</t>
        </is>
      </c>
      <c r="C1970" t="inlineStr">
        <is>
          <t>20492392031</t>
        </is>
      </c>
      <c r="D1970" t="inlineStr">
        <is>
          <t>AV. LOS INCAS CDRA. 4 PATIO NORTE - COMAS</t>
        </is>
      </c>
      <c r="E1970" t="inlineStr">
        <is>
          <t>Lima, 05 de Agosto 2024</t>
        </is>
      </c>
      <c r="F1970" t="inlineStr">
        <is>
          <t>la Recarga y mantenimiento</t>
        </is>
      </c>
      <c r="G1970" t="n">
        <v>10</v>
      </c>
      <c r="H1970" t="inlineStr">
        <is>
          <t>06 KG</t>
        </is>
      </c>
      <c r="I1970" t="n">
        <v>2028</v>
      </c>
      <c r="J1970" t="n">
        <v>2010</v>
      </c>
      <c r="K1970" t="inlineStr">
        <is>
          <t>AGOSTO 2024</t>
        </is>
      </c>
      <c r="L1970" t="inlineStr">
        <is>
          <t>AGOSTO 2025</t>
        </is>
      </c>
      <c r="M1970" t="inlineStr">
        <is>
          <t>P.Q.S TIPO ABC AL 90 % NACIONAL</t>
        </is>
      </c>
      <c r="N1970" t="inlineStr">
        <is>
          <t>S/N / 005496</t>
        </is>
      </c>
      <c r="O1970" t="inlineStr">
        <is>
          <t>R</t>
        </is>
      </c>
      <c r="P1970">
        <f>TRIM(N1970)</f>
        <v/>
      </c>
    </row>
    <row r="1971">
      <c r="A1971" t="inlineStr">
        <is>
          <t>CO-002028</t>
        </is>
      </c>
      <c r="B1971" t="inlineStr">
        <is>
          <t>PERU MASIVO S.A</t>
        </is>
      </c>
      <c r="C1971" t="inlineStr">
        <is>
          <t>20492392031</t>
        </is>
      </c>
      <c r="D1971" t="inlineStr">
        <is>
          <t>AV. LOS INCAS CDRA. 4 PATIO NORTE - COMAS</t>
        </is>
      </c>
      <c r="E1971" t="inlineStr">
        <is>
          <t>Lima, 05 de Agosto 2024</t>
        </is>
      </c>
      <c r="F1971" t="inlineStr">
        <is>
          <t>la Recarga y mantenimiento</t>
        </is>
      </c>
      <c r="G1971" t="n">
        <v>11</v>
      </c>
      <c r="H1971" t="inlineStr">
        <is>
          <t>06 KG</t>
        </is>
      </c>
      <c r="I1971" t="n">
        <v>2029</v>
      </c>
      <c r="J1971" t="n">
        <v>2010</v>
      </c>
      <c r="K1971" t="inlineStr">
        <is>
          <t>AGOSTO 2024</t>
        </is>
      </c>
      <c r="L1971" t="inlineStr">
        <is>
          <t>AGOSTO 2025</t>
        </is>
      </c>
      <c r="M1971" t="inlineStr">
        <is>
          <t>P.Q.S TIPO ABC AL 90 % NACIONAL</t>
        </is>
      </c>
      <c r="N1971" t="inlineStr">
        <is>
          <t>312/ 000002</t>
        </is>
      </c>
      <c r="O1971" t="inlineStr">
        <is>
          <t>R</t>
        </is>
      </c>
      <c r="P1971">
        <f>TRIM(N1971)</f>
        <v/>
      </c>
    </row>
    <row r="1972">
      <c r="A1972" t="inlineStr">
        <is>
          <t>CO-002028</t>
        </is>
      </c>
      <c r="B1972" t="inlineStr">
        <is>
          <t>PERU MASIVO S.A</t>
        </is>
      </c>
      <c r="C1972" t="inlineStr">
        <is>
          <t>20492392031</t>
        </is>
      </c>
      <c r="D1972" t="inlineStr">
        <is>
          <t>AV. LOS INCAS CDRA. 4 PATIO NORTE - COMAS</t>
        </is>
      </c>
      <c r="E1972" t="inlineStr">
        <is>
          <t>Lima, 05 de Agosto 2024</t>
        </is>
      </c>
      <c r="F1972" t="inlineStr">
        <is>
          <t>la Recarga y mantenimiento</t>
        </is>
      </c>
      <c r="G1972" t="n">
        <v>12</v>
      </c>
      <c r="H1972" t="inlineStr">
        <is>
          <t>06 KG</t>
        </is>
      </c>
      <c r="I1972" t="n">
        <v>2028</v>
      </c>
      <c r="J1972" t="n">
        <v>2009</v>
      </c>
      <c r="K1972" t="inlineStr">
        <is>
          <t>AGOSTO 2024</t>
        </is>
      </c>
      <c r="L1972" t="inlineStr">
        <is>
          <t>AGOSTO 2025</t>
        </is>
      </c>
      <c r="M1972" t="inlineStr">
        <is>
          <t>P.Q.S TIPO ABC AL 90 % NACIONAL</t>
        </is>
      </c>
      <c r="N1972" t="inlineStr">
        <is>
          <t>334/ 000845</t>
        </is>
      </c>
      <c r="O1972" t="inlineStr">
        <is>
          <t>R</t>
        </is>
      </c>
      <c r="P1972">
        <f>TRIM(N1972)</f>
        <v/>
      </c>
    </row>
    <row r="1973">
      <c r="A1973" t="inlineStr">
        <is>
          <t>CO-002029</t>
        </is>
      </c>
      <c r="B1973" t="inlineStr">
        <is>
          <t>JOSE PEPE SANCHEZ</t>
        </is>
      </c>
      <c r="D1973" t="inlineStr">
        <is>
          <t xml:space="preserve">JR.MARTE N 107 AÑO NUEVO - COMAS </t>
        </is>
      </c>
      <c r="E1973" t="inlineStr">
        <is>
          <t>Lima, 07 de Agosto 2024</t>
        </is>
      </c>
      <c r="F1973" t="inlineStr">
        <is>
          <t>la Recarga y mantenimiento</t>
        </is>
      </c>
      <c r="G1973" t="inlineStr">
        <is>
          <t>01</t>
        </is>
      </c>
      <c r="H1973" t="inlineStr">
        <is>
          <t>06 KG</t>
        </is>
      </c>
      <c r="I1973" t="inlineStr">
        <is>
          <t>2027</t>
        </is>
      </c>
      <c r="J1973" t="n">
        <v>2022</v>
      </c>
      <c r="K1973" t="inlineStr">
        <is>
          <t>AGOSTO 2024</t>
        </is>
      </c>
      <c r="L1973" t="inlineStr">
        <is>
          <t>AGOSTO 2025</t>
        </is>
      </c>
      <c r="M1973" t="inlineStr">
        <is>
          <t xml:space="preserve">P.Q.S TIPO ABC </t>
        </is>
      </c>
      <c r="N1973" t="inlineStr">
        <is>
          <t>412693</t>
        </is>
      </c>
      <c r="O1973" t="inlineStr">
        <is>
          <t>R</t>
        </is>
      </c>
      <c r="P1973">
        <f>TRIM(N1973)</f>
        <v/>
      </c>
    </row>
    <row r="1974">
      <c r="A1974" t="inlineStr">
        <is>
          <t>CO-002029</t>
        </is>
      </c>
      <c r="B1974" t="inlineStr">
        <is>
          <t>JOSE PEPE SANCHEZ</t>
        </is>
      </c>
      <c r="D1974" t="inlineStr">
        <is>
          <t xml:space="preserve">JR.MARTE N 107 AÑO NUEVO - COMAS </t>
        </is>
      </c>
      <c r="E1974" t="inlineStr">
        <is>
          <t>Lima, 07 de Agosto 2024</t>
        </is>
      </c>
      <c r="F1974" t="inlineStr">
        <is>
          <t>la Recarga y mantenimiento</t>
        </is>
      </c>
      <c r="G1974" t="inlineStr">
        <is>
          <t>02</t>
        </is>
      </c>
      <c r="H1974" t="inlineStr">
        <is>
          <t>06 KG</t>
        </is>
      </c>
      <c r="I1974" t="inlineStr">
        <is>
          <t>2027</t>
        </is>
      </c>
      <c r="J1974" t="n">
        <v>2017</v>
      </c>
      <c r="K1974" t="inlineStr">
        <is>
          <t>AGOSTO 2024</t>
        </is>
      </c>
      <c r="L1974" t="inlineStr">
        <is>
          <t>AGOSTO 2025</t>
        </is>
      </c>
      <c r="M1974" t="inlineStr">
        <is>
          <t xml:space="preserve">P.Q.S TIPO ABC </t>
        </is>
      </c>
      <c r="N1974" t="inlineStr">
        <is>
          <t>001336</t>
        </is>
      </c>
      <c r="O1974" t="inlineStr">
        <is>
          <t>R</t>
        </is>
      </c>
      <c r="P1974">
        <f>TRIM(N1974)</f>
        <v/>
      </c>
    </row>
    <row r="1975">
      <c r="A1975" t="inlineStr">
        <is>
          <t>CO-002030</t>
        </is>
      </c>
      <c r="B1975" t="inlineStr">
        <is>
          <t>CIRILA NELIDA CORDERO</t>
        </is>
      </c>
      <c r="D1975" t="inlineStr">
        <is>
          <t>PSTO. 11 - MERCADO 1RO. DE MAYO - COLLIQUE</t>
        </is>
      </c>
      <c r="E1975" t="inlineStr">
        <is>
          <t>Lima, 07 de Agosto 2024</t>
        </is>
      </c>
      <c r="F1975" t="inlineStr">
        <is>
          <t>la Recarga y mantenimiento</t>
        </is>
      </c>
      <c r="G1975" t="inlineStr">
        <is>
          <t>01</t>
        </is>
      </c>
      <c r="H1975" t="inlineStr">
        <is>
          <t>06 KG</t>
        </is>
      </c>
      <c r="I1975" t="inlineStr">
        <is>
          <t>2024</t>
        </is>
      </c>
      <c r="J1975" t="n">
        <v>2017</v>
      </c>
      <c r="K1975" t="inlineStr">
        <is>
          <t>AGOSTO 2024</t>
        </is>
      </c>
      <c r="L1975" t="inlineStr">
        <is>
          <t>AGOSTO 2025</t>
        </is>
      </c>
      <c r="M1975" t="inlineStr">
        <is>
          <t xml:space="preserve">P.Q.S TIPO ABC </t>
        </is>
      </c>
      <c r="N1975" t="inlineStr">
        <is>
          <t>000353</t>
        </is>
      </c>
      <c r="O1975" t="inlineStr">
        <is>
          <t>R</t>
        </is>
      </c>
      <c r="P1975">
        <f>TRIM(N1975)</f>
        <v/>
      </c>
    </row>
    <row r="1976">
      <c r="A1976" t="inlineStr">
        <is>
          <t>CO-002031</t>
        </is>
      </c>
      <c r="B1976" t="inlineStr">
        <is>
          <t>JULIA HUERTA PANIZO</t>
        </is>
      </c>
      <c r="D1976" t="inlineStr">
        <is>
          <t>PSTO. 01 - MERCADO 1RO. DE MAYO - COLLIQUE</t>
        </is>
      </c>
      <c r="E1976" t="inlineStr">
        <is>
          <t>Lima, 07 de Agosto 2024</t>
        </is>
      </c>
      <c r="F1976" t="inlineStr">
        <is>
          <t>la Recarga y mantenimiento</t>
        </is>
      </c>
      <c r="G1976" t="inlineStr">
        <is>
          <t>01</t>
        </is>
      </c>
      <c r="H1976" t="inlineStr">
        <is>
          <t>04 KG</t>
        </is>
      </c>
      <c r="I1976" t="inlineStr">
        <is>
          <t>2024</t>
        </is>
      </c>
      <c r="J1976" t="n">
        <v>2016</v>
      </c>
      <c r="K1976" t="inlineStr">
        <is>
          <t>AGOSTO 2024</t>
        </is>
      </c>
      <c r="L1976" t="inlineStr">
        <is>
          <t>AGOSTO 2025</t>
        </is>
      </c>
      <c r="M1976" t="inlineStr">
        <is>
          <t xml:space="preserve">P.Q.S TIPO ABC </t>
        </is>
      </c>
      <c r="N1976" t="inlineStr">
        <is>
          <t>000004</t>
        </is>
      </c>
      <c r="O1976" t="inlineStr">
        <is>
          <t>R</t>
        </is>
      </c>
      <c r="P1976">
        <f>TRIM(N1976)</f>
        <v/>
      </c>
    </row>
    <row r="1977">
      <c r="A1977" t="inlineStr">
        <is>
          <t>CO-002032</t>
        </is>
      </c>
      <c r="B1977" t="inlineStr">
        <is>
          <t>PAULINA CURI FELICES</t>
        </is>
      </c>
      <c r="D1977" t="inlineStr">
        <is>
          <t>PSTO. 49 - MERCADO 1RO. DE MAYO - COLLIQUE</t>
        </is>
      </c>
      <c r="E1977" t="inlineStr">
        <is>
          <t>Lima, 07 de Agosto 2024</t>
        </is>
      </c>
      <c r="F1977" t="inlineStr">
        <is>
          <t>la Recarga y mantenimiento</t>
        </is>
      </c>
      <c r="G1977" t="inlineStr">
        <is>
          <t>01</t>
        </is>
      </c>
      <c r="H1977" t="inlineStr">
        <is>
          <t>06 KG</t>
        </is>
      </c>
      <c r="I1977" t="inlineStr">
        <is>
          <t>2024</t>
        </is>
      </c>
      <c r="J1977" t="n">
        <v>2018</v>
      </c>
      <c r="K1977" t="inlineStr">
        <is>
          <t>AGOSTO 2024</t>
        </is>
      </c>
      <c r="L1977" t="inlineStr">
        <is>
          <t>AGOSTO 2025</t>
        </is>
      </c>
      <c r="M1977" t="inlineStr">
        <is>
          <t xml:space="preserve">P.Q.S TIPO ABC </t>
        </is>
      </c>
      <c r="N1977" t="inlineStr">
        <is>
          <t>003501</t>
        </is>
      </c>
      <c r="O1977" t="inlineStr">
        <is>
          <t>R</t>
        </is>
      </c>
      <c r="P1977">
        <f>TRIM(N1977)</f>
        <v/>
      </c>
    </row>
    <row r="1978">
      <c r="A1978" t="inlineStr">
        <is>
          <t>CO-002033</t>
        </is>
      </c>
      <c r="B1978" t="inlineStr">
        <is>
          <t>ERICK ANTHONY VALENTE BUSTAMANTE</t>
        </is>
      </c>
      <c r="D1978" t="inlineStr">
        <is>
          <t>PSTO. 55 - MERCADO 1RO. DE MAYO - COLLIQUE</t>
        </is>
      </c>
      <c r="E1978" t="inlineStr">
        <is>
          <t>Lima, 07 de Agosto 2024</t>
        </is>
      </c>
      <c r="F1978" t="inlineStr">
        <is>
          <t>la Recarga y mantenimiento</t>
        </is>
      </c>
      <c r="G1978" t="inlineStr">
        <is>
          <t>01</t>
        </is>
      </c>
      <c r="H1978" t="inlineStr">
        <is>
          <t>06 KG</t>
        </is>
      </c>
      <c r="I1978" t="inlineStr">
        <is>
          <t>2025</t>
        </is>
      </c>
      <c r="J1978" t="n">
        <v>2020</v>
      </c>
      <c r="K1978" t="inlineStr">
        <is>
          <t>AGOSTO 2024</t>
        </is>
      </c>
      <c r="L1978" t="inlineStr">
        <is>
          <t>AGOSTO 2025</t>
        </is>
      </c>
      <c r="M1978" t="inlineStr">
        <is>
          <t xml:space="preserve">P.Q.S TIPO ABC </t>
        </is>
      </c>
      <c r="N1978" t="inlineStr">
        <is>
          <t>121350</t>
        </is>
      </c>
      <c r="O1978" t="inlineStr">
        <is>
          <t>R</t>
        </is>
      </c>
      <c r="P1978">
        <f>TRIM(N1978)</f>
        <v/>
      </c>
    </row>
    <row r="1979">
      <c r="A1979" t="inlineStr">
        <is>
          <t>CO-002034</t>
        </is>
      </c>
      <c r="B1979" t="inlineStr">
        <is>
          <t>LEVI HARON DOMINGUEZ CARDENAS</t>
        </is>
      </c>
      <c r="D1979" t="inlineStr">
        <is>
          <t>PSTO. 58 - MERCADO 1RO. DE MAYO - COLLIQUE</t>
        </is>
      </c>
      <c r="E1979" t="inlineStr">
        <is>
          <t>Lima, 07 de Agosto 2024</t>
        </is>
      </c>
      <c r="F1979" t="inlineStr">
        <is>
          <t>la Recarga y mantenimiento</t>
        </is>
      </c>
      <c r="G1979" t="inlineStr">
        <is>
          <t>01</t>
        </is>
      </c>
      <c r="H1979" t="inlineStr">
        <is>
          <t>06 KG</t>
        </is>
      </c>
      <c r="I1979" t="inlineStr">
        <is>
          <t>2024</t>
        </is>
      </c>
      <c r="J1979" t="n">
        <v>2017</v>
      </c>
      <c r="K1979" t="inlineStr">
        <is>
          <t>AGOSTO 2024</t>
        </is>
      </c>
      <c r="L1979" t="inlineStr">
        <is>
          <t>AGOSTO 2025</t>
        </is>
      </c>
      <c r="M1979" t="inlineStr">
        <is>
          <t xml:space="preserve">P.Q.S TIPO ABC </t>
        </is>
      </c>
      <c r="N1979" t="inlineStr">
        <is>
          <t>000288</t>
        </is>
      </c>
      <c r="O1979" t="inlineStr">
        <is>
          <t>R</t>
        </is>
      </c>
      <c r="P1979">
        <f>TRIM(N1979)</f>
        <v/>
      </c>
    </row>
    <row r="1980">
      <c r="A1980" t="inlineStr">
        <is>
          <t>CO-002035</t>
        </is>
      </c>
      <c r="B1980" t="inlineStr">
        <is>
          <t>APOLINARIO HUAMAN CERRO</t>
        </is>
      </c>
      <c r="D1980" t="inlineStr">
        <is>
          <t>PSTO. 59 - MERCADO 1RO. DE MAYO - COLLIQUE</t>
        </is>
      </c>
      <c r="E1980" t="inlineStr">
        <is>
          <t>Lima, 07 de Agosto 2024</t>
        </is>
      </c>
      <c r="F1980" t="inlineStr">
        <is>
          <t>la Recarga y mantenimiento</t>
        </is>
      </c>
      <c r="G1980" t="inlineStr">
        <is>
          <t>01</t>
        </is>
      </c>
      <c r="H1980" t="inlineStr">
        <is>
          <t>06 KG</t>
        </is>
      </c>
      <c r="I1980" t="inlineStr">
        <is>
          <t>2024</t>
        </is>
      </c>
      <c r="J1980" t="n">
        <v>2017</v>
      </c>
      <c r="K1980" t="inlineStr">
        <is>
          <t>AGOSTO 2024</t>
        </is>
      </c>
      <c r="L1980" t="inlineStr">
        <is>
          <t>AGOSTO 2025</t>
        </is>
      </c>
      <c r="M1980" t="inlineStr">
        <is>
          <t xml:space="preserve">P.Q.S TIPO ABC </t>
        </is>
      </c>
      <c r="N1980" t="inlineStr">
        <is>
          <t>000588</t>
        </is>
      </c>
      <c r="O1980" t="inlineStr">
        <is>
          <t>R</t>
        </is>
      </c>
      <c r="P1980">
        <f>TRIM(N1980)</f>
        <v/>
      </c>
    </row>
    <row r="1981">
      <c r="A1981" t="inlineStr">
        <is>
          <t>CO-002035</t>
        </is>
      </c>
      <c r="B1981" t="inlineStr">
        <is>
          <t>APOLINARIO HUAMAN CERRO</t>
        </is>
      </c>
      <c r="D1981" t="inlineStr">
        <is>
          <t>PSTO. 59 - MERCADO 1RO. DE MAYO - COLLIQUE</t>
        </is>
      </c>
      <c r="E1981" t="inlineStr">
        <is>
          <t>Lima, 07 de Agosto 2024</t>
        </is>
      </c>
      <c r="F1981" t="inlineStr">
        <is>
          <t>la Recarga y mantenimiento</t>
        </is>
      </c>
      <c r="G1981" t="inlineStr">
        <is>
          <t>02</t>
        </is>
      </c>
      <c r="H1981" t="inlineStr">
        <is>
          <t>06 KG</t>
        </is>
      </c>
      <c r="I1981" t="inlineStr">
        <is>
          <t>VIGENTE</t>
        </is>
      </c>
      <c r="J1981" t="n">
        <v>2017</v>
      </c>
      <c r="K1981" t="inlineStr">
        <is>
          <t>AGOSTO 2024</t>
        </is>
      </c>
      <c r="L1981" t="inlineStr">
        <is>
          <t>AGOSTO 2025</t>
        </is>
      </c>
      <c r="M1981" t="inlineStr">
        <is>
          <t xml:space="preserve">P.Q.S TIPO ABC </t>
        </is>
      </c>
      <c r="N1981" t="inlineStr">
        <is>
          <t>001063</t>
        </is>
      </c>
      <c r="O1981" t="inlineStr">
        <is>
          <t>R</t>
        </is>
      </c>
      <c r="P1981">
        <f>TRIM(N1981)</f>
        <v/>
      </c>
    </row>
    <row r="1982">
      <c r="A1982" t="inlineStr">
        <is>
          <t>CO-002036</t>
        </is>
      </c>
      <c r="B1982" t="inlineStr">
        <is>
          <t>ROXANA SANCHEZ CALERO</t>
        </is>
      </c>
      <c r="D1982" t="inlineStr">
        <is>
          <t>PSTO. 03 - MERCADO 1RO. DE MAYO - COLLIQUE</t>
        </is>
      </c>
      <c r="E1982" t="inlineStr">
        <is>
          <t>Lima, 07 de Agosto 2024</t>
        </is>
      </c>
      <c r="F1982" t="inlineStr">
        <is>
          <t>la Recarga y mantenimiento</t>
        </is>
      </c>
      <c r="G1982" t="inlineStr">
        <is>
          <t>01</t>
        </is>
      </c>
      <c r="H1982" t="inlineStr">
        <is>
          <t>06 KG</t>
        </is>
      </c>
      <c r="I1982" t="inlineStr">
        <is>
          <t>2024</t>
        </is>
      </c>
      <c r="J1982" t="n">
        <v>2017</v>
      </c>
      <c r="K1982" t="inlineStr">
        <is>
          <t>AGOSTO 2024</t>
        </is>
      </c>
      <c r="L1982" t="inlineStr">
        <is>
          <t>AGOSTO 2025</t>
        </is>
      </c>
      <c r="M1982" t="inlineStr">
        <is>
          <t xml:space="preserve">P.Q.S TIPO ABC </t>
        </is>
      </c>
      <c r="N1982" t="inlineStr">
        <is>
          <t>000117</t>
        </is>
      </c>
      <c r="O1982" t="inlineStr">
        <is>
          <t>R</t>
        </is>
      </c>
      <c r="P1982">
        <f>TRIM(N1982)</f>
        <v/>
      </c>
    </row>
    <row r="1983">
      <c r="A1983" t="inlineStr">
        <is>
          <t>CO-002037</t>
        </is>
      </c>
      <c r="B1983" t="inlineStr">
        <is>
          <t>LUFINA ESPINOZA LLACHAC</t>
        </is>
      </c>
      <c r="D1983" t="inlineStr">
        <is>
          <t>PSTO. 11 - MERCADO 1RO. DE MAYO - COLLIQUE</t>
        </is>
      </c>
      <c r="E1983" t="inlineStr">
        <is>
          <t>Lima, 07 de Agosto 2024</t>
        </is>
      </c>
      <c r="F1983" t="inlineStr">
        <is>
          <t>la Recarga y mantenimiento</t>
        </is>
      </c>
      <c r="G1983" t="inlineStr">
        <is>
          <t>01</t>
        </is>
      </c>
      <c r="H1983" t="inlineStr">
        <is>
          <t>06 KG</t>
        </is>
      </c>
      <c r="I1983" t="inlineStr">
        <is>
          <t>2024</t>
        </is>
      </c>
      <c r="J1983" t="n">
        <v>2017</v>
      </c>
      <c r="K1983" t="inlineStr">
        <is>
          <t>AGOSTO 2024</t>
        </is>
      </c>
      <c r="L1983" t="inlineStr">
        <is>
          <t>AGOSTO 2025</t>
        </is>
      </c>
      <c r="M1983" t="inlineStr">
        <is>
          <t xml:space="preserve">P.Q.S TIPO ABC </t>
        </is>
      </c>
      <c r="N1983" t="inlineStr">
        <is>
          <t>000303</t>
        </is>
      </c>
      <c r="O1983" t="inlineStr">
        <is>
          <t>R</t>
        </is>
      </c>
      <c r="P1983">
        <f>TRIM(N1983)</f>
        <v/>
      </c>
    </row>
    <row r="1984">
      <c r="A1984" t="inlineStr">
        <is>
          <t>CO-002038</t>
        </is>
      </c>
      <c r="B1984" t="inlineStr">
        <is>
          <t>AMANCIO CUBILLAS</t>
        </is>
      </c>
      <c r="D1984" t="inlineStr">
        <is>
          <t>PSTO. 52 - MERCADO 1RO. DE MAYO - COLLIQUE</t>
        </is>
      </c>
      <c r="E1984" t="inlineStr">
        <is>
          <t>Lima, 07 de Agosto 2024</t>
        </is>
      </c>
      <c r="F1984" t="inlineStr">
        <is>
          <t>la Recarga y mantenimiento</t>
        </is>
      </c>
      <c r="G1984" t="inlineStr">
        <is>
          <t>01</t>
        </is>
      </c>
      <c r="H1984" t="inlineStr">
        <is>
          <t>06 KG</t>
        </is>
      </c>
      <c r="I1984" t="inlineStr">
        <is>
          <t>2024</t>
        </is>
      </c>
      <c r="J1984" t="n">
        <v>2017</v>
      </c>
      <c r="K1984" t="inlineStr">
        <is>
          <t>AGOSTO 2024</t>
        </is>
      </c>
      <c r="L1984" t="inlineStr">
        <is>
          <t>AGOSTO 2025</t>
        </is>
      </c>
      <c r="M1984" t="inlineStr">
        <is>
          <t xml:space="preserve">P.Q.S TIPO ABC </t>
        </is>
      </c>
      <c r="N1984" t="inlineStr">
        <is>
          <t>000203</t>
        </is>
      </c>
      <c r="O1984" t="inlineStr">
        <is>
          <t>R</t>
        </is>
      </c>
      <c r="P1984">
        <f>TRIM(N1984)</f>
        <v/>
      </c>
    </row>
    <row r="1985">
      <c r="A1985" t="inlineStr">
        <is>
          <t>CO-002039</t>
        </is>
      </c>
      <c r="B1985" t="inlineStr">
        <is>
          <t>GEORGE FRANCIA ARCAYO</t>
        </is>
      </c>
      <c r="D1985" t="inlineStr">
        <is>
          <t>PSTO. 04 - MERCADO 1RO. DE MAYO - COLLIQUE</t>
        </is>
      </c>
      <c r="E1985" t="inlineStr">
        <is>
          <t>Lima, 07 de Agosto 2024</t>
        </is>
      </c>
      <c r="F1985" t="inlineStr">
        <is>
          <t>la Recarga y mantenimiento</t>
        </is>
      </c>
      <c r="G1985" t="inlineStr">
        <is>
          <t>01</t>
        </is>
      </c>
      <c r="H1985" t="inlineStr">
        <is>
          <t>06 KG</t>
        </is>
      </c>
      <c r="I1985" t="inlineStr">
        <is>
          <t>2024</t>
        </is>
      </c>
      <c r="J1985" t="n">
        <v>2017</v>
      </c>
      <c r="K1985" t="inlineStr">
        <is>
          <t>AGOSTO 2024</t>
        </is>
      </c>
      <c r="L1985" t="inlineStr">
        <is>
          <t>AGOSTO 2025</t>
        </is>
      </c>
      <c r="M1985" t="inlineStr">
        <is>
          <t xml:space="preserve">P.Q.S TIPO ABC </t>
        </is>
      </c>
      <c r="N1985" t="inlineStr">
        <is>
          <t>000164</t>
        </is>
      </c>
      <c r="O1985" t="inlineStr">
        <is>
          <t>R</t>
        </is>
      </c>
      <c r="P1985">
        <f>TRIM(N1985)</f>
        <v/>
      </c>
    </row>
    <row r="1986">
      <c r="A1986" t="inlineStr">
        <is>
          <t>CO-002040</t>
        </is>
      </c>
      <c r="B1986" t="inlineStr">
        <is>
          <t>LUCI VERGARA ALBA</t>
        </is>
      </c>
      <c r="D1986" t="inlineStr">
        <is>
          <t>PSTO. 09 - MERCADO 1RO. DE MAYO - COLLIQUE</t>
        </is>
      </c>
      <c r="E1986" t="inlineStr">
        <is>
          <t>Lima, 07 de Agosto 2024</t>
        </is>
      </c>
      <c r="F1986" t="inlineStr">
        <is>
          <t>la Recarga y mantenimiento</t>
        </is>
      </c>
      <c r="G1986" t="inlineStr">
        <is>
          <t>01</t>
        </is>
      </c>
      <c r="H1986" t="inlineStr">
        <is>
          <t>06 KG</t>
        </is>
      </c>
      <c r="I1986" t="inlineStr">
        <is>
          <t>2024</t>
        </is>
      </c>
      <c r="J1986" t="n">
        <v>2017</v>
      </c>
      <c r="K1986" t="inlineStr">
        <is>
          <t>AGOSTO 2024</t>
        </is>
      </c>
      <c r="L1986" t="inlineStr">
        <is>
          <t>AGOSTO 2025</t>
        </is>
      </c>
      <c r="M1986" t="inlineStr">
        <is>
          <t xml:space="preserve">P.Q.S TIPO ABC </t>
        </is>
      </c>
      <c r="N1986" t="inlineStr">
        <is>
          <t>000198</t>
        </is>
      </c>
      <c r="O1986" t="inlineStr">
        <is>
          <t>R</t>
        </is>
      </c>
      <c r="P1986">
        <f>TRIM(N1986)</f>
        <v/>
      </c>
    </row>
    <row r="1987">
      <c r="A1987" t="inlineStr">
        <is>
          <t>CO-002041</t>
        </is>
      </c>
      <c r="B1987" t="inlineStr">
        <is>
          <t>MARIA ELENA BERNAL</t>
        </is>
      </c>
      <c r="D1987" t="inlineStr">
        <is>
          <t>PSTO. 19 - MERCADO 1RO. DE MAYO - COLLIQUE</t>
        </is>
      </c>
      <c r="E1987" t="inlineStr">
        <is>
          <t>Lima, 07 de Agosto 2024</t>
        </is>
      </c>
      <c r="F1987" t="inlineStr">
        <is>
          <t>la Recarga y mantenimiento</t>
        </is>
      </c>
      <c r="G1987" t="inlineStr">
        <is>
          <t>01</t>
        </is>
      </c>
      <c r="H1987" t="inlineStr">
        <is>
          <t>06 KG</t>
        </is>
      </c>
      <c r="I1987" t="inlineStr">
        <is>
          <t>2024</t>
        </is>
      </c>
      <c r="J1987" t="n">
        <v>2017</v>
      </c>
      <c r="K1987" t="inlineStr">
        <is>
          <t>AGOSTO 2024</t>
        </is>
      </c>
      <c r="L1987" t="inlineStr">
        <is>
          <t>AGOSTO 2025</t>
        </is>
      </c>
      <c r="M1987" t="inlineStr">
        <is>
          <t xml:space="preserve">P.Q.S TIPO ABC </t>
        </is>
      </c>
      <c r="N1987" t="inlineStr">
        <is>
          <t>001097</t>
        </is>
      </c>
      <c r="O1987" t="inlineStr">
        <is>
          <t>R</t>
        </is>
      </c>
      <c r="P1987">
        <f>TRIM(N1987)</f>
        <v/>
      </c>
    </row>
    <row r="1988">
      <c r="A1988" t="inlineStr">
        <is>
          <t>CO-002042</t>
        </is>
      </c>
      <c r="B1988" t="inlineStr">
        <is>
          <t>CARMEN ROSA ALBORNOZ</t>
        </is>
      </c>
      <c r="D1988" t="inlineStr">
        <is>
          <t>PSTO. 53 - MERCADO 1RO. DE MAYO - COLLIQUE</t>
        </is>
      </c>
      <c r="E1988" t="inlineStr">
        <is>
          <t>Lima, 07 de Agosto 2024</t>
        </is>
      </c>
      <c r="F1988" t="inlineStr">
        <is>
          <t>la Recarga y mantenimiento</t>
        </is>
      </c>
      <c r="G1988" t="inlineStr">
        <is>
          <t>01</t>
        </is>
      </c>
      <c r="H1988" t="inlineStr">
        <is>
          <t>06 KG</t>
        </is>
      </c>
      <c r="I1988" t="inlineStr">
        <is>
          <t>2024</t>
        </is>
      </c>
      <c r="J1988" t="n">
        <v>2017</v>
      </c>
      <c r="K1988" t="inlineStr">
        <is>
          <t>AGOSTO 2024</t>
        </is>
      </c>
      <c r="L1988" t="inlineStr">
        <is>
          <t>AGOSTO 2025</t>
        </is>
      </c>
      <c r="M1988" t="inlineStr">
        <is>
          <t xml:space="preserve">P.Q.S TIPO ABC </t>
        </is>
      </c>
      <c r="N1988" t="inlineStr">
        <is>
          <t>000875</t>
        </is>
      </c>
      <c r="O1988" t="inlineStr">
        <is>
          <t>R</t>
        </is>
      </c>
      <c r="P1988">
        <f>TRIM(N1988)</f>
        <v/>
      </c>
    </row>
    <row r="1989">
      <c r="A1989" t="inlineStr">
        <is>
          <t>CO-002043</t>
        </is>
      </c>
      <c r="B1989" t="inlineStr">
        <is>
          <t>CARLOS HERNANDEZ BARRUETO</t>
        </is>
      </c>
      <c r="D1989" t="inlineStr">
        <is>
          <t>PSTO. 57 - MERCADO 1RO. DE MAYO - COLLIQUE</t>
        </is>
      </c>
      <c r="E1989" t="inlineStr">
        <is>
          <t>Lima, 07 de Agosto 2024</t>
        </is>
      </c>
      <c r="F1989" t="inlineStr">
        <is>
          <t>la Recarga y mantenimiento</t>
        </is>
      </c>
      <c r="G1989" t="inlineStr">
        <is>
          <t>01</t>
        </is>
      </c>
      <c r="H1989" t="inlineStr">
        <is>
          <t>06 KG</t>
        </is>
      </c>
      <c r="I1989" t="inlineStr">
        <is>
          <t>2025</t>
        </is>
      </c>
      <c r="J1989" t="n">
        <v>2020</v>
      </c>
      <c r="K1989" t="inlineStr">
        <is>
          <t>AGOSTO 2024</t>
        </is>
      </c>
      <c r="L1989" t="inlineStr">
        <is>
          <t>AGOSTO 2025</t>
        </is>
      </c>
      <c r="M1989" t="inlineStr">
        <is>
          <t xml:space="preserve">P.Q.S TIPO ABC </t>
        </is>
      </c>
      <c r="N1989" t="inlineStr">
        <is>
          <t>000015</t>
        </is>
      </c>
      <c r="O1989" t="inlineStr">
        <is>
          <t>R</t>
        </is>
      </c>
      <c r="P1989">
        <f>TRIM(N1989)</f>
        <v/>
      </c>
    </row>
    <row r="1990">
      <c r="A1990" t="inlineStr">
        <is>
          <t>CO-002044</t>
        </is>
      </c>
      <c r="B1990" t="inlineStr">
        <is>
          <t>RUSSVELT YANAC SIGUEÑAS</t>
        </is>
      </c>
      <c r="D1990" t="inlineStr">
        <is>
          <t>PSTO. 07 - MERCADO 1RO. DE MAYO - COLLIQUE</t>
        </is>
      </c>
      <c r="E1990" t="inlineStr">
        <is>
          <t>Lima, 07 de Agosto 2024</t>
        </is>
      </c>
      <c r="F1990" t="inlineStr">
        <is>
          <t>la Recarga y mantenimiento</t>
        </is>
      </c>
      <c r="G1990" t="inlineStr">
        <is>
          <t>01</t>
        </is>
      </c>
      <c r="H1990" t="inlineStr">
        <is>
          <t>06 KG</t>
        </is>
      </c>
      <c r="I1990" t="inlineStr">
        <is>
          <t>2024</t>
        </is>
      </c>
      <c r="J1990" t="n">
        <v>2017</v>
      </c>
      <c r="K1990" t="inlineStr">
        <is>
          <t>AGOSTO 2024</t>
        </is>
      </c>
      <c r="L1990" t="inlineStr">
        <is>
          <t>AGOSTO 2025</t>
        </is>
      </c>
      <c r="M1990" t="inlineStr">
        <is>
          <t xml:space="preserve">P.Q.S TIPO ABC </t>
        </is>
      </c>
      <c r="N1990" t="inlineStr">
        <is>
          <t>000042</t>
        </is>
      </c>
      <c r="O1990" t="inlineStr">
        <is>
          <t>R</t>
        </is>
      </c>
      <c r="P1990">
        <f>TRIM(N1990)</f>
        <v/>
      </c>
    </row>
    <row r="1991">
      <c r="A1991" t="inlineStr">
        <is>
          <t>CO-002045</t>
        </is>
      </c>
      <c r="B1991" t="inlineStr">
        <is>
          <t>ZOILO HERNANDEZ FLORES</t>
        </is>
      </c>
      <c r="D1991" t="inlineStr">
        <is>
          <t>PSTO. 61 - MERCADO 1RO. DE MAYO - COLLIQUE</t>
        </is>
      </c>
      <c r="E1991" t="inlineStr">
        <is>
          <t>Lima, 07 de Agosto 2024</t>
        </is>
      </c>
      <c r="F1991" t="inlineStr">
        <is>
          <t>la Recarga y mantenimiento</t>
        </is>
      </c>
      <c r="G1991" t="inlineStr">
        <is>
          <t>01</t>
        </is>
      </c>
      <c r="H1991" t="inlineStr">
        <is>
          <t>06 KG</t>
        </is>
      </c>
      <c r="I1991" t="inlineStr">
        <is>
          <t>2024</t>
        </is>
      </c>
      <c r="J1991" t="n">
        <v>2017</v>
      </c>
      <c r="K1991" t="inlineStr">
        <is>
          <t>AGOSTO 2024</t>
        </is>
      </c>
      <c r="L1991" t="inlineStr">
        <is>
          <t>AGOSTO 2025</t>
        </is>
      </c>
      <c r="M1991" t="inlineStr">
        <is>
          <t>P.Q.S TIPO ABC</t>
        </is>
      </c>
      <c r="N1991" t="inlineStr">
        <is>
          <t>000534</t>
        </is>
      </c>
      <c r="O1991" t="inlineStr">
        <is>
          <t>R</t>
        </is>
      </c>
      <c r="P1991">
        <f>TRIM(N1991)</f>
        <v/>
      </c>
    </row>
    <row r="1992">
      <c r="A1992" t="inlineStr">
        <is>
          <t>CO-002046</t>
        </is>
      </c>
      <c r="B1992" t="inlineStr">
        <is>
          <t>LIDIA QUILLAHUAMAN CHALLCO</t>
        </is>
      </c>
      <c r="D1992" t="inlineStr">
        <is>
          <t>Av. Revolucion N° 2686 4ta. Zona Collique Comas</t>
        </is>
      </c>
      <c r="E1992" t="inlineStr">
        <is>
          <t>Lima, 07 de Agosto 2024</t>
        </is>
      </c>
      <c r="F1992" t="inlineStr">
        <is>
          <t>la Recarga y mantenimiento</t>
        </is>
      </c>
      <c r="G1992" t="inlineStr">
        <is>
          <t>01</t>
        </is>
      </c>
      <c r="H1992" t="inlineStr">
        <is>
          <t>06 KG</t>
        </is>
      </c>
      <c r="I1992" t="inlineStr">
        <is>
          <t>2027</t>
        </is>
      </c>
      <c r="J1992" t="n">
        <v>2022</v>
      </c>
      <c r="K1992" t="inlineStr">
        <is>
          <t>AGOSTO 2024</t>
        </is>
      </c>
      <c r="L1992" t="inlineStr">
        <is>
          <t>AGOSTO 2025</t>
        </is>
      </c>
      <c r="M1992" t="inlineStr">
        <is>
          <t xml:space="preserve">P.Q.S TIPO ABC </t>
        </is>
      </c>
      <c r="N1992" t="inlineStr">
        <is>
          <t>042515</t>
        </is>
      </c>
      <c r="O1992" t="inlineStr">
        <is>
          <t>R</t>
        </is>
      </c>
      <c r="P1992">
        <f>TRIM(N1992)</f>
        <v/>
      </c>
    </row>
    <row r="1993">
      <c r="A1993" t="inlineStr">
        <is>
          <t>CO-002047</t>
        </is>
      </c>
      <c r="B1993" t="inlineStr">
        <is>
          <t>TEOFILO QUILLAHUAMAN</t>
        </is>
      </c>
      <c r="D1993" t="inlineStr">
        <is>
          <t>Av. Revolucion N° 2684 4ta. Zona Collique Comas</t>
        </is>
      </c>
      <c r="E1993" t="inlineStr">
        <is>
          <t>Lima, 07 de Agosto 2024</t>
        </is>
      </c>
      <c r="F1993" t="inlineStr">
        <is>
          <t>la Recarga y mantenimiento</t>
        </is>
      </c>
      <c r="G1993" t="inlineStr">
        <is>
          <t>01</t>
        </is>
      </c>
      <c r="H1993" t="inlineStr">
        <is>
          <t>04 KG</t>
        </is>
      </c>
      <c r="I1993" t="inlineStr">
        <is>
          <t>2024</t>
        </is>
      </c>
      <c r="J1993" t="n">
        <v>2013</v>
      </c>
      <c r="K1993" t="inlineStr">
        <is>
          <t>AGOSTO 2024</t>
        </is>
      </c>
      <c r="L1993" t="inlineStr">
        <is>
          <t>AGOSTO 2025</t>
        </is>
      </c>
      <c r="M1993" t="inlineStr">
        <is>
          <t xml:space="preserve">P.Q.S TIPO ABC </t>
        </is>
      </c>
      <c r="N1993" t="inlineStr">
        <is>
          <t>000005</t>
        </is>
      </c>
      <c r="O1993" t="inlineStr">
        <is>
          <t>R</t>
        </is>
      </c>
      <c r="P1993">
        <f>TRIM(N1993)</f>
        <v/>
      </c>
    </row>
    <row r="1994">
      <c r="A1994" t="inlineStr">
        <is>
          <t>CO-002049</t>
        </is>
      </c>
      <c r="B1994" t="inlineStr">
        <is>
          <t xml:space="preserve">MARGARITA MONTENEGRO ROJA </t>
        </is>
      </c>
      <c r="D1994" t="inlineStr">
        <is>
          <t>PSTO. 51 - MERCADO 1RO. DE MAYO - COLLIQUE</t>
        </is>
      </c>
      <c r="E1994" t="inlineStr">
        <is>
          <t>Lima, 07 de Agosto 2024</t>
        </is>
      </c>
      <c r="F1994" t="inlineStr">
        <is>
          <t>la Recarga y mantenimiento</t>
        </is>
      </c>
      <c r="G1994" t="inlineStr">
        <is>
          <t>01</t>
        </is>
      </c>
      <c r="H1994" t="inlineStr">
        <is>
          <t>06 KG</t>
        </is>
      </c>
      <c r="I1994" t="inlineStr">
        <is>
          <t>2025</t>
        </is>
      </c>
      <c r="J1994" t="n">
        <v>2019</v>
      </c>
      <c r="K1994" t="inlineStr">
        <is>
          <t>AGOSTO 2024</t>
        </is>
      </c>
      <c r="L1994" t="inlineStr">
        <is>
          <t>AGOSTO 2025</t>
        </is>
      </c>
      <c r="M1994" t="inlineStr">
        <is>
          <t xml:space="preserve">P.Q.S TIPO ABC </t>
        </is>
      </c>
      <c r="N1994" t="inlineStr">
        <is>
          <t>008387</t>
        </is>
      </c>
      <c r="O1994" t="inlineStr">
        <is>
          <t>R</t>
        </is>
      </c>
      <c r="P1994">
        <f>TRIM(N1994)</f>
        <v/>
      </c>
    </row>
    <row r="1995">
      <c r="A1995" t="inlineStr">
        <is>
          <t>CO-002050</t>
        </is>
      </c>
      <c r="B1995" t="inlineStr">
        <is>
          <t>PERU MASIVO S.A</t>
        </is>
      </c>
      <c r="C1995" t="inlineStr">
        <is>
          <t>20492392031</t>
        </is>
      </c>
      <c r="D1995" t="inlineStr">
        <is>
          <t>AV. LOS INCAS CDRA. 4 PATIO NORTE - COMAS</t>
        </is>
      </c>
      <c r="E1995" t="inlineStr">
        <is>
          <t>Lima, 14 de Agosto 2024</t>
        </is>
      </c>
      <c r="F1995" t="inlineStr">
        <is>
          <t>la Recarga y mantenimiento</t>
        </is>
      </c>
      <c r="G1995" t="inlineStr">
        <is>
          <t>01</t>
        </is>
      </c>
      <c r="H1995" t="inlineStr">
        <is>
          <t>06 KG</t>
        </is>
      </c>
      <c r="I1995" t="inlineStr">
        <is>
          <t>2028</t>
        </is>
      </c>
      <c r="J1995" t="n">
        <v>2009</v>
      </c>
      <c r="K1995" t="inlineStr">
        <is>
          <t>AGOSTO 2024</t>
        </is>
      </c>
      <c r="L1995" t="inlineStr">
        <is>
          <t>AGOSTO 2025</t>
        </is>
      </c>
      <c r="M1995" t="inlineStr">
        <is>
          <t>P.Q.S TIPO ABC AL 90 % NACIONAL</t>
        </is>
      </c>
      <c r="N1995" t="inlineStr">
        <is>
          <t>101/001632</t>
        </is>
      </c>
      <c r="O1995" t="inlineStr">
        <is>
          <t>R</t>
        </is>
      </c>
      <c r="P1995">
        <f>TRIM(N1995)</f>
        <v/>
      </c>
    </row>
    <row r="1996">
      <c r="A1996" t="inlineStr">
        <is>
          <t>CO-002050</t>
        </is>
      </c>
      <c r="B1996" t="inlineStr">
        <is>
          <t>PERU MASIVO S.A</t>
        </is>
      </c>
      <c r="C1996" t="inlineStr">
        <is>
          <t>20492392031</t>
        </is>
      </c>
      <c r="D1996" t="inlineStr">
        <is>
          <t>AV. LOS INCAS CDRA. 4 PATIO NORTE - COMAS</t>
        </is>
      </c>
      <c r="E1996" t="inlineStr">
        <is>
          <t>Lima, 14 de Agosto 2024</t>
        </is>
      </c>
      <c r="F1996" t="inlineStr">
        <is>
          <t>la Recarga y mantenimiento</t>
        </is>
      </c>
      <c r="G1996" t="inlineStr">
        <is>
          <t>02</t>
        </is>
      </c>
      <c r="H1996" t="inlineStr">
        <is>
          <t>06 KG</t>
        </is>
      </c>
      <c r="I1996" t="inlineStr">
        <is>
          <t>2028</t>
        </is>
      </c>
      <c r="J1996" t="n">
        <v>2009</v>
      </c>
      <c r="K1996" t="inlineStr">
        <is>
          <t>AGOSTO 2024</t>
        </is>
      </c>
      <c r="L1996" t="inlineStr">
        <is>
          <t>AGOSTO 2025</t>
        </is>
      </c>
      <c r="M1996" t="inlineStr">
        <is>
          <t>P.Q.S TIPO ABC AL 90 % NACIONAL</t>
        </is>
      </c>
      <c r="N1996" t="inlineStr">
        <is>
          <t>205/000091</t>
        </is>
      </c>
      <c r="O1996" t="inlineStr">
        <is>
          <t>R</t>
        </is>
      </c>
      <c r="P1996">
        <f>TRIM(N1996)</f>
        <v/>
      </c>
    </row>
    <row r="1997">
      <c r="A1997" t="inlineStr">
        <is>
          <t>CO-002050</t>
        </is>
      </c>
      <c r="B1997" t="inlineStr">
        <is>
          <t>PERU MASIVO S.A</t>
        </is>
      </c>
      <c r="C1997" t="inlineStr">
        <is>
          <t>20492392031</t>
        </is>
      </c>
      <c r="D1997" t="inlineStr">
        <is>
          <t>AV. LOS INCAS CDRA. 4 PATIO NORTE - COMAS</t>
        </is>
      </c>
      <c r="E1997" t="inlineStr">
        <is>
          <t>Lima, 14 de Agosto 2024</t>
        </is>
      </c>
      <c r="F1997" t="inlineStr">
        <is>
          <t>la Recarga y mantenimiento</t>
        </is>
      </c>
      <c r="G1997" t="inlineStr">
        <is>
          <t>03</t>
        </is>
      </c>
      <c r="H1997" t="inlineStr">
        <is>
          <t>06KG</t>
        </is>
      </c>
      <c r="I1997" t="n">
        <v>2028</v>
      </c>
      <c r="J1997" t="n">
        <v>2009</v>
      </c>
      <c r="K1997" t="inlineStr">
        <is>
          <t>AGOSTO 2024</t>
        </is>
      </c>
      <c r="L1997" t="inlineStr">
        <is>
          <t>AGOSTO 2025</t>
        </is>
      </c>
      <c r="M1997" t="inlineStr">
        <is>
          <t>P.Q.S TIPO ABC AL 90 % NACIONAL</t>
        </is>
      </c>
      <c r="N1997" t="inlineStr">
        <is>
          <t>04/001724</t>
        </is>
      </c>
      <c r="O1997" t="inlineStr">
        <is>
          <t>R</t>
        </is>
      </c>
      <c r="P1997">
        <f>TRIM(N1997)</f>
        <v/>
      </c>
    </row>
    <row r="1998">
      <c r="A1998" t="inlineStr">
        <is>
          <t>CO-002050</t>
        </is>
      </c>
      <c r="B1998" t="inlineStr">
        <is>
          <t>PERU MASIVO S.A</t>
        </is>
      </c>
      <c r="C1998" t="inlineStr">
        <is>
          <t>20492392031</t>
        </is>
      </c>
      <c r="D1998" t="inlineStr">
        <is>
          <t>AV. LOS INCAS CDRA. 4 PATIO NORTE - COMAS</t>
        </is>
      </c>
      <c r="E1998" t="inlineStr">
        <is>
          <t>Lima, 14 de Agosto 2024</t>
        </is>
      </c>
      <c r="F1998" t="inlineStr">
        <is>
          <t>la Recarga y mantenimiento</t>
        </is>
      </c>
      <c r="G1998" t="inlineStr">
        <is>
          <t>04</t>
        </is>
      </c>
      <c r="H1998" t="inlineStr">
        <is>
          <t>06KG</t>
        </is>
      </c>
      <c r="I1998" t="n">
        <v>2028</v>
      </c>
      <c r="J1998" t="n">
        <v>2009</v>
      </c>
      <c r="K1998" t="inlineStr">
        <is>
          <t>AGOSTO 2024</t>
        </is>
      </c>
      <c r="L1998" t="inlineStr">
        <is>
          <t>AGOSTO 2025</t>
        </is>
      </c>
      <c r="M1998" t="inlineStr">
        <is>
          <t>P.Q.S TIPO ABC AL 90 % NACIONAL</t>
        </is>
      </c>
      <c r="N1998" t="inlineStr">
        <is>
          <t>360/001989</t>
        </is>
      </c>
      <c r="O1998" t="inlineStr">
        <is>
          <t>R</t>
        </is>
      </c>
      <c r="P1998">
        <f>TRIM(N1998)</f>
        <v/>
      </c>
    </row>
    <row r="1999">
      <c r="A1999" t="inlineStr">
        <is>
          <t>CO-002050</t>
        </is>
      </c>
      <c r="B1999" t="inlineStr">
        <is>
          <t>PERU MASIVO S.A</t>
        </is>
      </c>
      <c r="C1999" t="inlineStr">
        <is>
          <t>20492392031</t>
        </is>
      </c>
      <c r="D1999" t="inlineStr">
        <is>
          <t>AV. LOS INCAS CDRA. 4 PATIO NORTE - COMAS</t>
        </is>
      </c>
      <c r="E1999" t="inlineStr">
        <is>
          <t>Lima, 14 de Agosto 2024</t>
        </is>
      </c>
      <c r="F1999" t="inlineStr">
        <is>
          <t>la Recarga y mantenimiento</t>
        </is>
      </c>
      <c r="G1999" t="inlineStr">
        <is>
          <t>05</t>
        </is>
      </c>
      <c r="H1999" t="inlineStr">
        <is>
          <t>06 KG</t>
        </is>
      </c>
      <c r="I1999" t="n">
        <v>2029</v>
      </c>
      <c r="J1999" t="n">
        <v>2012</v>
      </c>
      <c r="K1999" t="inlineStr">
        <is>
          <t>AGOSTO 2024</t>
        </is>
      </c>
      <c r="L1999" t="inlineStr">
        <is>
          <t>AGOSTO 2025</t>
        </is>
      </c>
      <c r="M1999" t="inlineStr">
        <is>
          <t>P.Q.S TIPO ABC AL 90 % NACIONAL</t>
        </is>
      </c>
      <c r="N1999" t="inlineStr">
        <is>
          <t>50/003076</t>
        </is>
      </c>
      <c r="O1999" t="inlineStr">
        <is>
          <t>R</t>
        </is>
      </c>
      <c r="P1999">
        <f>TRIM(N1999)</f>
        <v/>
      </c>
    </row>
    <row r="2000">
      <c r="A2000" t="inlineStr">
        <is>
          <t>CO-002050</t>
        </is>
      </c>
      <c r="B2000" t="inlineStr">
        <is>
          <t>PERU MASIVO S.A</t>
        </is>
      </c>
      <c r="C2000" t="inlineStr">
        <is>
          <t>20492392031</t>
        </is>
      </c>
      <c r="D2000" t="inlineStr">
        <is>
          <t>AV. LOS INCAS CDRA. 4 PATIO NORTE - COMAS</t>
        </is>
      </c>
      <c r="E2000" t="inlineStr">
        <is>
          <t>Lima, 14 de Agosto 2024</t>
        </is>
      </c>
      <c r="F2000" t="inlineStr">
        <is>
          <t>la Recarga y mantenimiento</t>
        </is>
      </c>
      <c r="G2000" t="inlineStr">
        <is>
          <t>06</t>
        </is>
      </c>
      <c r="H2000" t="inlineStr">
        <is>
          <t>06 KG</t>
        </is>
      </c>
      <c r="I2000" t="n">
        <v>2028</v>
      </c>
      <c r="J2000" t="n">
        <v>2012</v>
      </c>
      <c r="K2000" t="inlineStr">
        <is>
          <t>AGOSTO 2024</t>
        </is>
      </c>
      <c r="L2000" t="inlineStr">
        <is>
          <t>AGOSTO 2025</t>
        </is>
      </c>
      <c r="M2000" t="inlineStr">
        <is>
          <t>P.Q.S TIPO ABC AL 90 % NACIONAL</t>
        </is>
      </c>
      <c r="N2000" t="inlineStr">
        <is>
          <t>87/000451</t>
        </is>
      </c>
      <c r="O2000" t="inlineStr">
        <is>
          <t>R</t>
        </is>
      </c>
      <c r="P2000">
        <f>TRIM(N2000)</f>
        <v/>
      </c>
    </row>
    <row r="2001">
      <c r="A2001" t="inlineStr">
        <is>
          <t>CO-002050</t>
        </is>
      </c>
      <c r="B2001" t="inlineStr">
        <is>
          <t>PERU MASIVO S.A</t>
        </is>
      </c>
      <c r="C2001" t="inlineStr">
        <is>
          <t>20492392031</t>
        </is>
      </c>
      <c r="D2001" t="inlineStr">
        <is>
          <t>AV. LOS INCAS CDRA. 4 PATIO NORTE - COMAS</t>
        </is>
      </c>
      <c r="E2001" t="inlineStr">
        <is>
          <t>Lima, 14 de Agosto 2024</t>
        </is>
      </c>
      <c r="F2001" t="inlineStr">
        <is>
          <t>la Recarga y mantenimiento</t>
        </is>
      </c>
      <c r="G2001" t="inlineStr">
        <is>
          <t>07</t>
        </is>
      </c>
      <c r="H2001" t="inlineStr">
        <is>
          <t>06 KG</t>
        </is>
      </c>
      <c r="I2001" t="n">
        <v>2028</v>
      </c>
      <c r="J2001" t="n">
        <v>2011</v>
      </c>
      <c r="K2001" t="inlineStr">
        <is>
          <t>AGOSTO 2024</t>
        </is>
      </c>
      <c r="L2001" t="inlineStr">
        <is>
          <t>AGOSTO 2025</t>
        </is>
      </c>
      <c r="M2001" t="inlineStr">
        <is>
          <t>P.Q.S TIPO ABC AL 90 % NACIONAL</t>
        </is>
      </c>
      <c r="N2001" t="inlineStr">
        <is>
          <t>40/000254</t>
        </is>
      </c>
      <c r="O2001" t="inlineStr">
        <is>
          <t>R</t>
        </is>
      </c>
      <c r="P2001">
        <f>TRIM(N2001)</f>
        <v/>
      </c>
    </row>
    <row r="2002">
      <c r="A2002" t="inlineStr">
        <is>
          <t>CO-002050</t>
        </is>
      </c>
      <c r="B2002" t="inlineStr">
        <is>
          <t>PERU MASIVO S.A</t>
        </is>
      </c>
      <c r="C2002" t="inlineStr">
        <is>
          <t>20492392031</t>
        </is>
      </c>
      <c r="D2002" t="inlineStr">
        <is>
          <t>AV. LOS INCAS CDRA. 4 PATIO NORTE - COMAS</t>
        </is>
      </c>
      <c r="E2002" t="inlineStr">
        <is>
          <t>Lima, 14 de Agosto 2024</t>
        </is>
      </c>
      <c r="F2002" t="inlineStr">
        <is>
          <t>la Recarga y mantenimiento</t>
        </is>
      </c>
      <c r="G2002" t="inlineStr">
        <is>
          <t>08</t>
        </is>
      </c>
      <c r="H2002" t="inlineStr">
        <is>
          <t>06 KG</t>
        </is>
      </c>
      <c r="I2002" t="n">
        <v>2028</v>
      </c>
      <c r="J2002" t="n">
        <v>2009</v>
      </c>
      <c r="K2002" t="inlineStr">
        <is>
          <t>AGOSTO 2024</t>
        </is>
      </c>
      <c r="L2002" t="inlineStr">
        <is>
          <t>AGOSTO 2025</t>
        </is>
      </c>
      <c r="M2002" t="inlineStr">
        <is>
          <t>P.Q.S TIPO ABC AL 90 % NACIONAL</t>
        </is>
      </c>
      <c r="N2002" t="inlineStr">
        <is>
          <t>40/001545</t>
        </is>
      </c>
      <c r="O2002" t="inlineStr">
        <is>
          <t>R</t>
        </is>
      </c>
      <c r="P2002">
        <f>TRIM(N2002)</f>
        <v/>
      </c>
    </row>
    <row r="2003">
      <c r="A2003" t="inlineStr">
        <is>
          <t>CO-002050</t>
        </is>
      </c>
      <c r="B2003" t="inlineStr">
        <is>
          <t>PERU MASIVO S.A</t>
        </is>
      </c>
      <c r="C2003" t="inlineStr">
        <is>
          <t>20492392031</t>
        </is>
      </c>
      <c r="D2003" t="inlineStr">
        <is>
          <t>AV. LOS INCAS CDRA. 4 PATIO NORTE - COMAS</t>
        </is>
      </c>
      <c r="E2003" t="inlineStr">
        <is>
          <t>Lima, 14 de Agosto 2024</t>
        </is>
      </c>
      <c r="F2003" t="inlineStr">
        <is>
          <t>la Recarga y mantenimiento</t>
        </is>
      </c>
      <c r="G2003" t="inlineStr">
        <is>
          <t>09</t>
        </is>
      </c>
      <c r="H2003" t="inlineStr">
        <is>
          <t>06 KG</t>
        </is>
      </c>
      <c r="I2003" t="n">
        <v>2028</v>
      </c>
      <c r="J2003" t="n">
        <v>2010</v>
      </c>
      <c r="K2003" t="inlineStr">
        <is>
          <t>AGOSTO 2024</t>
        </is>
      </c>
      <c r="L2003" t="inlineStr">
        <is>
          <t>AGOSTO 2025</t>
        </is>
      </c>
      <c r="M2003" t="inlineStr">
        <is>
          <t>P.Q.S TIPO ABC AL 90 % NACIONAL</t>
        </is>
      </c>
      <c r="N2003" t="inlineStr">
        <is>
          <t>S/N / 000005</t>
        </is>
      </c>
      <c r="O2003" t="inlineStr">
        <is>
          <t>R</t>
        </is>
      </c>
      <c r="P2003">
        <f>TRIM(N2003)</f>
        <v/>
      </c>
    </row>
    <row r="2004">
      <c r="A2004" t="inlineStr">
        <is>
          <t>CO-002050</t>
        </is>
      </c>
      <c r="B2004" t="inlineStr">
        <is>
          <t>PERU MASIVO S.A</t>
        </is>
      </c>
      <c r="C2004" t="inlineStr">
        <is>
          <t>20492392031</t>
        </is>
      </c>
      <c r="D2004" t="inlineStr">
        <is>
          <t>AV. LOS INCAS CDRA. 4 PATIO NORTE - COMAS</t>
        </is>
      </c>
      <c r="E2004" t="inlineStr">
        <is>
          <t>Lima, 14 de Agosto 2024</t>
        </is>
      </c>
      <c r="F2004" t="inlineStr">
        <is>
          <t>la Recarga y mantenimiento</t>
        </is>
      </c>
      <c r="G2004" t="n">
        <v>10</v>
      </c>
      <c r="H2004" t="inlineStr">
        <is>
          <t>06 KG</t>
        </is>
      </c>
      <c r="I2004" t="n">
        <v>2028</v>
      </c>
      <c r="J2004" t="n">
        <v>2009</v>
      </c>
      <c r="K2004" t="inlineStr">
        <is>
          <t>AGOSTO 2024</t>
        </is>
      </c>
      <c r="L2004" t="inlineStr">
        <is>
          <t>AGOSTO 2025</t>
        </is>
      </c>
      <c r="M2004" t="inlineStr">
        <is>
          <t>P.Q.S TIPO ABC AL 90 % NACIONAL</t>
        </is>
      </c>
      <c r="N2004" t="inlineStr">
        <is>
          <t>169/000970</t>
        </is>
      </c>
      <c r="O2004" t="inlineStr">
        <is>
          <t>R</t>
        </is>
      </c>
      <c r="P2004">
        <f>TRIM(N2004)</f>
        <v/>
      </c>
    </row>
    <row r="2005">
      <c r="A2005" t="inlineStr">
        <is>
          <t>CO-002051</t>
        </is>
      </c>
      <c r="B2005" t="inlineStr">
        <is>
          <t>ESTEBAN JAIME COTRINA</t>
        </is>
      </c>
      <c r="D2005" t="inlineStr">
        <is>
          <t>MZ F LT 14- SSB II ETAPA - COMAS</t>
        </is>
      </c>
      <c r="E2005" t="inlineStr">
        <is>
          <t>Lima, 15 de Agosto 2024</t>
        </is>
      </c>
      <c r="F2005" t="inlineStr">
        <is>
          <t>la Recarga y mantenimiento</t>
        </is>
      </c>
      <c r="G2005" t="inlineStr">
        <is>
          <t>01</t>
        </is>
      </c>
      <c r="H2005" t="inlineStr">
        <is>
          <t>06KG</t>
        </is>
      </c>
      <c r="I2005" t="inlineStr">
        <is>
          <t>2029</t>
        </is>
      </c>
      <c r="J2005" t="n">
        <v>2024</v>
      </c>
      <c r="K2005" t="inlineStr">
        <is>
          <t>AGOSTO 2024</t>
        </is>
      </c>
      <c r="L2005" t="inlineStr">
        <is>
          <t>AGOSTO 2025</t>
        </is>
      </c>
      <c r="M2005" t="inlineStr">
        <is>
          <t xml:space="preserve">P.Q.S TIPO ABC </t>
        </is>
      </c>
      <c r="N2005" t="inlineStr">
        <is>
          <t>006008</t>
        </is>
      </c>
      <c r="O2005" t="inlineStr">
        <is>
          <t>V</t>
        </is>
      </c>
      <c r="P2005">
        <f>TRIM(N2005)</f>
        <v/>
      </c>
    </row>
    <row r="2006">
      <c r="A2006" t="inlineStr">
        <is>
          <t>CO-002052</t>
        </is>
      </c>
      <c r="B2006" t="inlineStr">
        <is>
          <t>TARCISIA ASUNTA NIETO HUMPIRE</t>
        </is>
      </c>
      <c r="D2006" t="inlineStr">
        <is>
          <t>PSTO. 12 - MERCADO 1RO. DE MAYO - COLLIQUE</t>
        </is>
      </c>
      <c r="E2006" t="inlineStr">
        <is>
          <t>Lima, 16 de Agosto 2024</t>
        </is>
      </c>
      <c r="F2006" t="inlineStr">
        <is>
          <t>la Recarga y mantenimiento</t>
        </is>
      </c>
      <c r="G2006" t="inlineStr">
        <is>
          <t>01</t>
        </is>
      </c>
      <c r="H2006" t="inlineStr">
        <is>
          <t>06 KG</t>
        </is>
      </c>
      <c r="I2006" t="inlineStr">
        <is>
          <t>VIGENTE</t>
        </is>
      </c>
      <c r="J2006" t="n">
        <v>2017</v>
      </c>
      <c r="K2006" t="inlineStr">
        <is>
          <t>AGOSTO 2024</t>
        </is>
      </c>
      <c r="L2006" t="inlineStr">
        <is>
          <t>AGOSTO 2025</t>
        </is>
      </c>
      <c r="M2006" t="inlineStr">
        <is>
          <t xml:space="preserve">P.Q.S TIPO ABC </t>
        </is>
      </c>
      <c r="N2006" t="inlineStr">
        <is>
          <t>000856</t>
        </is>
      </c>
      <c r="O2006" t="inlineStr">
        <is>
          <t>R</t>
        </is>
      </c>
      <c r="P2006">
        <f>TRIM(N2006)</f>
        <v/>
      </c>
    </row>
    <row r="2007">
      <c r="A2007" t="inlineStr">
        <is>
          <t>CO-002053</t>
        </is>
      </c>
      <c r="B2007" t="inlineStr">
        <is>
          <t>TEOBALDO PATILLA EGAS</t>
        </is>
      </c>
      <c r="D2007" t="inlineStr">
        <is>
          <t>PSTO. 47 - MERCADO 1RO. DE MAYO - COLLIQUE</t>
        </is>
      </c>
      <c r="E2007" t="inlineStr">
        <is>
          <t>Lima, 16 de Agosto 2024</t>
        </is>
      </c>
      <c r="F2007" t="inlineStr">
        <is>
          <t>la Recarga y mantenimiento</t>
        </is>
      </c>
      <c r="G2007" t="inlineStr">
        <is>
          <t>01</t>
        </is>
      </c>
      <c r="H2007" t="inlineStr">
        <is>
          <t>06 KG</t>
        </is>
      </c>
      <c r="I2007" t="inlineStr">
        <is>
          <t>2028</t>
        </is>
      </c>
      <c r="J2007" t="n">
        <v>2017</v>
      </c>
      <c r="K2007" t="inlineStr">
        <is>
          <t>AGOSTO 2024</t>
        </is>
      </c>
      <c r="L2007" t="inlineStr">
        <is>
          <t>AGOSTO 2025</t>
        </is>
      </c>
      <c r="M2007" t="inlineStr">
        <is>
          <t xml:space="preserve">P.Q.S TIPO ABC </t>
        </is>
      </c>
      <c r="N2007" t="inlineStr">
        <is>
          <t>000539</t>
        </is>
      </c>
      <c r="O2007" t="inlineStr">
        <is>
          <t>R</t>
        </is>
      </c>
      <c r="P2007">
        <f>TRIM(N2007)</f>
        <v/>
      </c>
    </row>
    <row r="2008">
      <c r="A2008" t="inlineStr">
        <is>
          <t>CO-002054</t>
        </is>
      </c>
      <c r="B2008" t="inlineStr">
        <is>
          <t>FAUSTINO CRUZ CARBAJAL</t>
        </is>
      </c>
      <c r="D2008" t="inlineStr">
        <is>
          <t>PSTO. 02 - MERCADO 1RO. DE MAYO - COLLIQUE</t>
        </is>
      </c>
      <c r="E2008" t="inlineStr">
        <is>
          <t>Lima, 16 de Agosto 2024</t>
        </is>
      </c>
      <c r="F2008" t="inlineStr">
        <is>
          <t>la Recarga y mantenimiento</t>
        </is>
      </c>
      <c r="G2008" t="inlineStr">
        <is>
          <t>01</t>
        </is>
      </c>
      <c r="H2008" t="inlineStr">
        <is>
          <t>06 KG</t>
        </is>
      </c>
      <c r="I2008" t="inlineStr">
        <is>
          <t>VIGENTE</t>
        </is>
      </c>
      <c r="J2008" t="n">
        <v>2017</v>
      </c>
      <c r="K2008" t="inlineStr">
        <is>
          <t>AGOSTO 2024</t>
        </is>
      </c>
      <c r="L2008" t="inlineStr">
        <is>
          <t>AGOSTO 2025</t>
        </is>
      </c>
      <c r="M2008" t="inlineStr">
        <is>
          <t xml:space="preserve">P.Q.S TIPO ABC </t>
        </is>
      </c>
      <c r="N2008" t="inlineStr">
        <is>
          <t>002921</t>
        </is>
      </c>
      <c r="O2008" t="inlineStr">
        <is>
          <t>R</t>
        </is>
      </c>
      <c r="P2008">
        <f>TRIM(N2008)</f>
        <v/>
      </c>
    </row>
    <row r="2009">
      <c r="A2009" t="inlineStr">
        <is>
          <t>CO-002055</t>
        </is>
      </c>
      <c r="B2009" t="inlineStr">
        <is>
          <t>EUFENIA MEZA CLIMASCCA</t>
        </is>
      </c>
      <c r="D2009" t="inlineStr">
        <is>
          <t>PSTO. 46 - MERCADO 1RO. DE MAYO - COLLIQUE</t>
        </is>
      </c>
      <c r="E2009" t="inlineStr">
        <is>
          <t>Lima, 16 de Agosto 2024</t>
        </is>
      </c>
      <c r="F2009" t="inlineStr">
        <is>
          <t>la Recarga y mantenimiento</t>
        </is>
      </c>
      <c r="G2009" t="inlineStr">
        <is>
          <t>01</t>
        </is>
      </c>
      <c r="H2009" t="inlineStr">
        <is>
          <t>06 KG</t>
        </is>
      </c>
      <c r="I2009" t="inlineStr">
        <is>
          <t>VIGENTE</t>
        </is>
      </c>
      <c r="J2009" t="n">
        <v>2017</v>
      </c>
      <c r="K2009" t="inlineStr">
        <is>
          <t>AGOSTO 2024</t>
        </is>
      </c>
      <c r="L2009" t="inlineStr">
        <is>
          <t>AGOSTO 2025</t>
        </is>
      </c>
      <c r="M2009" t="inlineStr">
        <is>
          <t xml:space="preserve">P.Q.S TIPO ABC </t>
        </is>
      </c>
      <c r="N2009" t="inlineStr">
        <is>
          <t>000721</t>
        </is>
      </c>
      <c r="O2009" t="inlineStr">
        <is>
          <t>R</t>
        </is>
      </c>
      <c r="P2009">
        <f>TRIM(N2009)</f>
        <v/>
      </c>
    </row>
    <row r="2010">
      <c r="A2010" t="inlineStr">
        <is>
          <t>CO-002056</t>
        </is>
      </c>
      <c r="B2010" t="inlineStr">
        <is>
          <t>ERICKA PATILLA</t>
        </is>
      </c>
      <c r="D2010" t="inlineStr">
        <is>
          <t>AV. REVOLUCION N° 2656 4TA ZONA COLLIQUE - COMAS</t>
        </is>
      </c>
      <c r="E2010" t="inlineStr">
        <is>
          <t>Lima, 16 de Agosto 2024</t>
        </is>
      </c>
      <c r="F2010" t="inlineStr">
        <is>
          <t>la Recarga y mantenimiento</t>
        </is>
      </c>
      <c r="G2010" t="inlineStr">
        <is>
          <t>01</t>
        </is>
      </c>
      <c r="H2010" t="inlineStr">
        <is>
          <t>06 KG</t>
        </is>
      </c>
      <c r="I2010" t="inlineStr">
        <is>
          <t>2028</t>
        </is>
      </c>
      <c r="J2010" t="n">
        <v>2017</v>
      </c>
      <c r="K2010" t="inlineStr">
        <is>
          <t>AGOSTO 2024</t>
        </is>
      </c>
      <c r="L2010" t="inlineStr">
        <is>
          <t>AGOSTO 2025</t>
        </is>
      </c>
      <c r="M2010" t="inlineStr">
        <is>
          <t xml:space="preserve">P.Q.S TIPO ABC </t>
        </is>
      </c>
      <c r="N2010" t="inlineStr">
        <is>
          <t>002236</t>
        </is>
      </c>
      <c r="O2010" t="inlineStr">
        <is>
          <t>R</t>
        </is>
      </c>
      <c r="P2010">
        <f>TRIM(N2010)</f>
        <v/>
      </c>
    </row>
    <row r="2011">
      <c r="A2011" t="inlineStr">
        <is>
          <t>CO-002057</t>
        </is>
      </c>
      <c r="B2011" t="inlineStr">
        <is>
          <t xml:space="preserve">JULIANA PEÑA </t>
        </is>
      </c>
      <c r="D2011" t="inlineStr">
        <is>
          <t>PSTO. 21 - MERCADO 1RO. DE MAYO - COLLIQUE</t>
        </is>
      </c>
      <c r="E2011" t="inlineStr">
        <is>
          <t>Lima, 16 de Agosto 2024</t>
        </is>
      </c>
      <c r="F2011" t="inlineStr">
        <is>
          <t>la Recarga y mantenimiento</t>
        </is>
      </c>
      <c r="G2011" t="inlineStr">
        <is>
          <t>01</t>
        </is>
      </c>
      <c r="H2011" t="inlineStr">
        <is>
          <t>6 KG</t>
        </is>
      </c>
      <c r="I2011" t="inlineStr">
        <is>
          <t>VIGENTE</t>
        </is>
      </c>
      <c r="J2011" t="n">
        <v>2017</v>
      </c>
      <c r="K2011" t="inlineStr">
        <is>
          <t>AGOSTO 2024</t>
        </is>
      </c>
      <c r="L2011" t="inlineStr">
        <is>
          <t>AGOSTO 2025</t>
        </is>
      </c>
      <c r="M2011" t="inlineStr">
        <is>
          <t xml:space="preserve">P.Q.S TIPO ABC </t>
        </is>
      </c>
      <c r="N2011" t="inlineStr">
        <is>
          <t>000106</t>
        </is>
      </c>
      <c r="O2011" t="inlineStr">
        <is>
          <t>R</t>
        </is>
      </c>
      <c r="P2011">
        <f>TRIM(N2011)</f>
        <v/>
      </c>
    </row>
    <row r="2012">
      <c r="A2012" t="inlineStr">
        <is>
          <t>CO-002058</t>
        </is>
      </c>
      <c r="B2012" t="inlineStr">
        <is>
          <t>LINDE PERU S.R.L.</t>
        </is>
      </c>
      <c r="C2012" t="inlineStr">
        <is>
          <t>20338570041</t>
        </is>
      </c>
      <c r="D2012" t="inlineStr">
        <is>
          <t>SECTOR PACHACHACA LOTE G-1 YAULI, JUNIN, PERÚ</t>
        </is>
      </c>
      <c r="E2012" t="inlineStr">
        <is>
          <t>Lima, 19 de Agosto 2024</t>
        </is>
      </c>
      <c r="F2012" t="inlineStr">
        <is>
          <t>la Recarga y mantenimiento</t>
        </is>
      </c>
      <c r="G2012" t="inlineStr">
        <is>
          <t>01</t>
        </is>
      </c>
      <c r="H2012" t="inlineStr">
        <is>
          <t>09 KG</t>
        </is>
      </c>
      <c r="I2012" t="inlineStr">
        <is>
          <t>2029</t>
        </is>
      </c>
      <c r="J2012" t="n">
        <v>2022</v>
      </c>
      <c r="K2012" t="inlineStr">
        <is>
          <t>AGOSTO 2024</t>
        </is>
      </c>
      <c r="L2012" t="inlineStr">
        <is>
          <t>AGOSTO 2025</t>
        </is>
      </c>
      <c r="M2012" t="inlineStr">
        <is>
          <t>P.Q.S.  TIPO ABC AL 90% UL</t>
        </is>
      </c>
      <c r="N2012" t="inlineStr">
        <is>
          <t>08/306154</t>
        </is>
      </c>
      <c r="O2012" t="inlineStr">
        <is>
          <t>R</t>
        </is>
      </c>
      <c r="P2012">
        <f>TRIM(N2012)</f>
        <v/>
      </c>
    </row>
    <row r="2013">
      <c r="A2013" t="inlineStr">
        <is>
          <t>CO-002058</t>
        </is>
      </c>
      <c r="B2013" t="inlineStr">
        <is>
          <t>LINDE PERU S.R.L.</t>
        </is>
      </c>
      <c r="C2013" t="inlineStr">
        <is>
          <t>20338570041</t>
        </is>
      </c>
      <c r="D2013" t="inlineStr">
        <is>
          <t>SECTOR PACHACHACA LOTE G-1 YAULI, JUNIN, PERÚ</t>
        </is>
      </c>
      <c r="E2013" t="inlineStr">
        <is>
          <t>Lima, 19 de Agosto 2024</t>
        </is>
      </c>
      <c r="F2013" t="inlineStr">
        <is>
          <t>la Recarga y mantenimiento</t>
        </is>
      </c>
      <c r="G2013" t="inlineStr">
        <is>
          <t>02</t>
        </is>
      </c>
      <c r="H2013" t="inlineStr">
        <is>
          <t>09 KG</t>
        </is>
      </c>
      <c r="I2013" t="inlineStr">
        <is>
          <t>2029</t>
        </is>
      </c>
      <c r="J2013" t="n">
        <v>2022</v>
      </c>
      <c r="K2013" t="inlineStr">
        <is>
          <t>AGOSTO 2024</t>
        </is>
      </c>
      <c r="L2013" t="inlineStr">
        <is>
          <t>AGOSTO 2025</t>
        </is>
      </c>
      <c r="M2013" t="inlineStr">
        <is>
          <t>P.Q.S.  TIPO ABC AL 90% UL</t>
        </is>
      </c>
      <c r="N2013" t="inlineStr">
        <is>
          <t>09/030610</t>
        </is>
      </c>
      <c r="O2013" t="inlineStr">
        <is>
          <t>R</t>
        </is>
      </c>
      <c r="P2013">
        <f>TRIM(N2013)</f>
        <v/>
      </c>
    </row>
    <row r="2014">
      <c r="A2014" t="inlineStr">
        <is>
          <t>CO-002058</t>
        </is>
      </c>
      <c r="B2014" t="inlineStr">
        <is>
          <t>LINDE PERU S.R.L.</t>
        </is>
      </c>
      <c r="C2014" t="inlineStr">
        <is>
          <t>20338570041</t>
        </is>
      </c>
      <c r="D2014" t="inlineStr">
        <is>
          <t>SECTOR PACHACHACA LOTE G-1 YAULI, JUNIN, PERÚ</t>
        </is>
      </c>
      <c r="E2014" t="inlineStr">
        <is>
          <t>Lima, 19 de Agosto 2024</t>
        </is>
      </c>
      <c r="F2014" t="inlineStr">
        <is>
          <t>la Recarga y mantenimiento</t>
        </is>
      </c>
      <c r="G2014" t="inlineStr">
        <is>
          <t>03</t>
        </is>
      </c>
      <c r="H2014" t="inlineStr">
        <is>
          <t>09 KG</t>
        </is>
      </c>
      <c r="I2014" t="inlineStr">
        <is>
          <t>2029</t>
        </is>
      </c>
      <c r="J2014" t="n">
        <v>2022</v>
      </c>
      <c r="K2014" t="inlineStr">
        <is>
          <t>AGOSTO 2024</t>
        </is>
      </c>
      <c r="L2014" t="inlineStr">
        <is>
          <t>AGOSTO 2025</t>
        </is>
      </c>
      <c r="M2014" t="inlineStr">
        <is>
          <t>P.Q.S.  TIPO ABC AL 90% UL</t>
        </is>
      </c>
      <c r="N2014" t="inlineStr">
        <is>
          <t>10/306156</t>
        </is>
      </c>
      <c r="O2014" t="inlineStr">
        <is>
          <t>R</t>
        </is>
      </c>
      <c r="P2014">
        <f>TRIM(N2014)</f>
        <v/>
      </c>
    </row>
    <row r="2015">
      <c r="A2015" t="inlineStr">
        <is>
          <t>CO-002059</t>
        </is>
      </c>
      <c r="B2015" t="inlineStr">
        <is>
          <t>PERU MASIVO S.A</t>
        </is>
      </c>
      <c r="C2015" t="inlineStr">
        <is>
          <t>20492392031</t>
        </is>
      </c>
      <c r="D2015" t="inlineStr">
        <is>
          <t>AV. LOS INCAS CDRA. 4 PATIO NORTE - COMAS</t>
        </is>
      </c>
      <c r="E2015" t="inlineStr">
        <is>
          <t>Lima, 20 de Agosto 2024</t>
        </is>
      </c>
      <c r="F2015" t="inlineStr">
        <is>
          <t>la Recarga y mantenimiento</t>
        </is>
      </c>
      <c r="G2015" t="inlineStr">
        <is>
          <t>01</t>
        </is>
      </c>
      <c r="H2015" t="inlineStr">
        <is>
          <t>06 KG</t>
        </is>
      </c>
      <c r="I2015" t="inlineStr">
        <is>
          <t>2028</t>
        </is>
      </c>
      <c r="J2015" t="n">
        <v>2009</v>
      </c>
      <c r="K2015" t="inlineStr">
        <is>
          <t>AGOSTO 2024</t>
        </is>
      </c>
      <c r="L2015" t="inlineStr">
        <is>
          <t>AGOSTO 2025</t>
        </is>
      </c>
      <c r="M2015" t="inlineStr">
        <is>
          <t>P.Q.S TIPO ABC AL 90 % NACIONAL</t>
        </is>
      </c>
      <c r="N2015" t="inlineStr">
        <is>
          <t>380//0003080</t>
        </is>
      </c>
      <c r="O2015" t="inlineStr">
        <is>
          <t>R</t>
        </is>
      </c>
      <c r="P2015">
        <f>TRIM(N2015)</f>
        <v/>
      </c>
    </row>
    <row r="2016">
      <c r="A2016" t="inlineStr">
        <is>
          <t>CO-002059</t>
        </is>
      </c>
      <c r="B2016" t="inlineStr">
        <is>
          <t>PERU MASIVO S.A</t>
        </is>
      </c>
      <c r="C2016" t="inlineStr">
        <is>
          <t>20492392031</t>
        </is>
      </c>
      <c r="D2016" t="inlineStr">
        <is>
          <t>AV. LOS INCAS CDRA. 4 PATIO NORTE - COMAS</t>
        </is>
      </c>
      <c r="E2016" t="inlineStr">
        <is>
          <t>Lima, 20 de Agosto 2024</t>
        </is>
      </c>
      <c r="F2016" t="inlineStr">
        <is>
          <t>la Recarga y mantenimiento</t>
        </is>
      </c>
      <c r="G2016" t="inlineStr">
        <is>
          <t>02</t>
        </is>
      </c>
      <c r="H2016" t="inlineStr">
        <is>
          <t>06 KG</t>
        </is>
      </c>
      <c r="I2016" t="inlineStr">
        <is>
          <t>2028</t>
        </is>
      </c>
      <c r="J2016" t="n">
        <v>2009</v>
      </c>
      <c r="K2016" t="inlineStr">
        <is>
          <t>AGOSTO 2024</t>
        </is>
      </c>
      <c r="L2016" t="inlineStr">
        <is>
          <t>AGOSTO 2025</t>
        </is>
      </c>
      <c r="M2016" t="inlineStr">
        <is>
          <t>P.Q.S TIPO ABC AL 90 % NACIONAL</t>
        </is>
      </c>
      <c r="N2016" t="inlineStr">
        <is>
          <t>SN / 001096</t>
        </is>
      </c>
      <c r="O2016" t="inlineStr">
        <is>
          <t>R</t>
        </is>
      </c>
      <c r="P2016">
        <f>TRIM(N2016)</f>
        <v/>
      </c>
    </row>
    <row r="2017">
      <c r="A2017" t="inlineStr">
        <is>
          <t>CO-002059</t>
        </is>
      </c>
      <c r="B2017" t="inlineStr">
        <is>
          <t>PERU MASIVO S.A</t>
        </is>
      </c>
      <c r="C2017" t="inlineStr">
        <is>
          <t>20492392031</t>
        </is>
      </c>
      <c r="D2017" t="inlineStr">
        <is>
          <t>AV. LOS INCAS CDRA. 4 PATIO NORTE - COMAS</t>
        </is>
      </c>
      <c r="E2017" t="inlineStr">
        <is>
          <t>Lima, 20 de Agosto 2024</t>
        </is>
      </c>
      <c r="F2017" t="inlineStr">
        <is>
          <t>la Recarga y mantenimiento</t>
        </is>
      </c>
      <c r="G2017" t="inlineStr">
        <is>
          <t>03</t>
        </is>
      </c>
      <c r="H2017" t="inlineStr">
        <is>
          <t>06KG</t>
        </is>
      </c>
      <c r="I2017" t="n">
        <v>2028</v>
      </c>
      <c r="J2017" t="n">
        <v>2010</v>
      </c>
      <c r="K2017" t="inlineStr">
        <is>
          <t>AGOSTO 2024</t>
        </is>
      </c>
      <c r="L2017" t="inlineStr">
        <is>
          <t>AGOSTO 2025</t>
        </is>
      </c>
      <c r="M2017" t="inlineStr">
        <is>
          <t>P.Q.S TIPO ABC AL 90 % NACIONAL</t>
        </is>
      </c>
      <c r="N2017" t="inlineStr">
        <is>
          <t>272/ 000558</t>
        </is>
      </c>
      <c r="O2017" t="inlineStr">
        <is>
          <t>R</t>
        </is>
      </c>
      <c r="P2017">
        <f>TRIM(N2017)</f>
        <v/>
      </c>
    </row>
    <row r="2018">
      <c r="A2018" t="inlineStr">
        <is>
          <t>CO-002059</t>
        </is>
      </c>
      <c r="B2018" t="inlineStr">
        <is>
          <t>PERU MASIVO S.A</t>
        </is>
      </c>
      <c r="C2018" t="inlineStr">
        <is>
          <t>20492392031</t>
        </is>
      </c>
      <c r="D2018" t="inlineStr">
        <is>
          <t>AV. LOS INCAS CDRA. 4 PATIO NORTE - COMAS</t>
        </is>
      </c>
      <c r="E2018" t="inlineStr">
        <is>
          <t>Lima, 20 de Agosto 2024</t>
        </is>
      </c>
      <c r="F2018" t="inlineStr">
        <is>
          <t>la Recarga y mantenimiento</t>
        </is>
      </c>
      <c r="G2018" t="inlineStr">
        <is>
          <t>04</t>
        </is>
      </c>
      <c r="H2018" t="inlineStr">
        <is>
          <t>06KG</t>
        </is>
      </c>
      <c r="I2018" t="n">
        <v>2028</v>
      </c>
      <c r="J2018" t="n">
        <v>2014</v>
      </c>
      <c r="K2018" t="inlineStr">
        <is>
          <t>AGOSTO 2024</t>
        </is>
      </c>
      <c r="L2018" t="inlineStr">
        <is>
          <t>AGOSTO 2025</t>
        </is>
      </c>
      <c r="M2018" t="inlineStr">
        <is>
          <t>P.Q.S TIPO ABC AL 90 % NACIONAL</t>
        </is>
      </c>
      <c r="N2018" t="inlineStr">
        <is>
          <t>SN / 000472</t>
        </is>
      </c>
      <c r="O2018" t="inlineStr">
        <is>
          <t>R</t>
        </is>
      </c>
      <c r="P2018">
        <f>TRIM(N2018)</f>
        <v/>
      </c>
    </row>
    <row r="2019">
      <c r="A2019" t="inlineStr">
        <is>
          <t>CO-002059</t>
        </is>
      </c>
      <c r="B2019" t="inlineStr">
        <is>
          <t>PERU MASIVO S.A</t>
        </is>
      </c>
      <c r="C2019" t="inlineStr">
        <is>
          <t>20492392031</t>
        </is>
      </c>
      <c r="D2019" t="inlineStr">
        <is>
          <t>AV. LOS INCAS CDRA. 4 PATIO NORTE - COMAS</t>
        </is>
      </c>
      <c r="E2019" t="inlineStr">
        <is>
          <t>Lima, 20 de Agosto 2024</t>
        </is>
      </c>
      <c r="F2019" t="inlineStr">
        <is>
          <t>la Recarga y mantenimiento</t>
        </is>
      </c>
      <c r="G2019" t="inlineStr">
        <is>
          <t>05</t>
        </is>
      </c>
      <c r="H2019" t="inlineStr">
        <is>
          <t>06 KG</t>
        </is>
      </c>
      <c r="I2019" t="n">
        <v>2028</v>
      </c>
      <c r="J2019" t="n">
        <v>2009</v>
      </c>
      <c r="K2019" t="inlineStr">
        <is>
          <t>AGOSTO 2024</t>
        </is>
      </c>
      <c r="L2019" t="inlineStr">
        <is>
          <t>AGOSTO 2025</t>
        </is>
      </c>
      <c r="M2019" t="inlineStr">
        <is>
          <t>P.Q.S TIPO ABC AL 90 % NACIONAL</t>
        </is>
      </c>
      <c r="N2019" t="inlineStr">
        <is>
          <t>180/ 000271</t>
        </is>
      </c>
      <c r="O2019" t="inlineStr">
        <is>
          <t>R</t>
        </is>
      </c>
      <c r="P2019">
        <f>TRIM(N2019)</f>
        <v/>
      </c>
    </row>
    <row r="2020">
      <c r="A2020" t="inlineStr">
        <is>
          <t>CO-002059</t>
        </is>
      </c>
      <c r="B2020" t="inlineStr">
        <is>
          <t>PERU MASIVO S.A</t>
        </is>
      </c>
      <c r="C2020" t="inlineStr">
        <is>
          <t>20492392031</t>
        </is>
      </c>
      <c r="D2020" t="inlineStr">
        <is>
          <t>AV. LOS INCAS CDRA. 4 PATIO NORTE - COMAS</t>
        </is>
      </c>
      <c r="E2020" t="inlineStr">
        <is>
          <t>Lima, 20 de Agosto 2024</t>
        </is>
      </c>
      <c r="F2020" t="inlineStr">
        <is>
          <t>la Recarga y mantenimiento</t>
        </is>
      </c>
      <c r="G2020" t="inlineStr">
        <is>
          <t>06</t>
        </is>
      </c>
      <c r="H2020" t="inlineStr">
        <is>
          <t>06 KG</t>
        </is>
      </c>
      <c r="I2020" t="n">
        <v>2027</v>
      </c>
      <c r="J2020" t="n">
        <v>2010</v>
      </c>
      <c r="K2020" t="inlineStr">
        <is>
          <t>AGOSTO 2024</t>
        </is>
      </c>
      <c r="L2020" t="inlineStr">
        <is>
          <t>AGOSTO 2025</t>
        </is>
      </c>
      <c r="M2020" t="inlineStr">
        <is>
          <t>P.Q.S TIPO ABC AL 90 % NACIONAL</t>
        </is>
      </c>
      <c r="N2020" t="inlineStr">
        <is>
          <t>SN/ 000005</t>
        </is>
      </c>
      <c r="O2020" t="inlineStr">
        <is>
          <t>R</t>
        </is>
      </c>
      <c r="P2020">
        <f>TRIM(N2020)</f>
        <v/>
      </c>
    </row>
    <row r="2021">
      <c r="A2021" t="inlineStr">
        <is>
          <t>CO-002059</t>
        </is>
      </c>
      <c r="B2021" t="inlineStr">
        <is>
          <t>PERU MASIVO S.A</t>
        </is>
      </c>
      <c r="C2021" t="inlineStr">
        <is>
          <t>20492392031</t>
        </is>
      </c>
      <c r="D2021" t="inlineStr">
        <is>
          <t>AV. LOS INCAS CDRA. 4 PATIO NORTE - COMAS</t>
        </is>
      </c>
      <c r="E2021" t="inlineStr">
        <is>
          <t>Lima, 20 de Agosto 2024</t>
        </is>
      </c>
      <c r="F2021" t="inlineStr">
        <is>
          <t>la Recarga y mantenimiento</t>
        </is>
      </c>
      <c r="G2021" t="inlineStr">
        <is>
          <t>07</t>
        </is>
      </c>
      <c r="H2021" t="inlineStr">
        <is>
          <t>06 KG</t>
        </is>
      </c>
      <c r="I2021" t="n">
        <v>2028</v>
      </c>
      <c r="J2021" t="n">
        <v>2009</v>
      </c>
      <c r="K2021" t="inlineStr">
        <is>
          <t>AGOSTO 2024</t>
        </is>
      </c>
      <c r="L2021" t="inlineStr">
        <is>
          <t>AGOSTO 2025</t>
        </is>
      </c>
      <c r="M2021" t="inlineStr">
        <is>
          <t>P.Q.S TIPO ABC AL 90 % NACIONAL</t>
        </is>
      </c>
      <c r="N2021" t="inlineStr">
        <is>
          <t>65/ 002623</t>
        </is>
      </c>
      <c r="O2021" t="inlineStr">
        <is>
          <t>R</t>
        </is>
      </c>
      <c r="P2021">
        <f>TRIM(N2021)</f>
        <v/>
      </c>
    </row>
    <row r="2022">
      <c r="A2022" t="inlineStr">
        <is>
          <t>CO-002059</t>
        </is>
      </c>
      <c r="B2022" t="inlineStr">
        <is>
          <t>PERU MASIVO S.A</t>
        </is>
      </c>
      <c r="C2022" t="inlineStr">
        <is>
          <t>20492392031</t>
        </is>
      </c>
      <c r="D2022" t="inlineStr">
        <is>
          <t>AV. LOS INCAS CDRA. 4 PATIO NORTE - COMAS</t>
        </is>
      </c>
      <c r="E2022" t="inlineStr">
        <is>
          <t>Lima, 20 de Agosto 2024</t>
        </is>
      </c>
      <c r="F2022" t="inlineStr">
        <is>
          <t>la Recarga y mantenimiento</t>
        </is>
      </c>
      <c r="G2022" t="inlineStr">
        <is>
          <t>08</t>
        </is>
      </c>
      <c r="H2022" t="inlineStr">
        <is>
          <t>06 KG</t>
        </is>
      </c>
      <c r="I2022" t="n">
        <v>2028</v>
      </c>
      <c r="J2022" t="n">
        <v>2009</v>
      </c>
      <c r="K2022" t="inlineStr">
        <is>
          <t>AGOSTO 2024</t>
        </is>
      </c>
      <c r="L2022" t="inlineStr">
        <is>
          <t>AGOSTO 2025</t>
        </is>
      </c>
      <c r="M2022" t="inlineStr">
        <is>
          <t>P.Q.S TIPO ABC AL 90 % NACIONAL</t>
        </is>
      </c>
      <c r="N2022" t="inlineStr">
        <is>
          <t>339 / 001165</t>
        </is>
      </c>
      <c r="O2022" t="inlineStr">
        <is>
          <t>R</t>
        </is>
      </c>
      <c r="P2022">
        <f>TRIM(N2022)</f>
        <v/>
      </c>
    </row>
    <row r="2023">
      <c r="A2023" t="inlineStr">
        <is>
          <t>CO-002060</t>
        </is>
      </c>
      <c r="B2023" t="inlineStr">
        <is>
          <t>VM SAN MIGUEL ARCANGEL  E.I.R.L</t>
        </is>
      </c>
      <c r="D2023" t="inlineStr">
        <is>
          <t>AV. TUPAC AMARU  N° 7266 P.J AÑO NUEVO - COMAS</t>
        </is>
      </c>
      <c r="E2023" t="inlineStr">
        <is>
          <t>Lima,13 de Setiembre de 2024</t>
        </is>
      </c>
      <c r="F2023" t="inlineStr">
        <is>
          <t>la Recarga y mantenimiento</t>
        </is>
      </c>
      <c r="G2023" t="inlineStr">
        <is>
          <t>01</t>
        </is>
      </c>
      <c r="H2023" t="inlineStr">
        <is>
          <t>06 KG</t>
        </is>
      </c>
      <c r="I2023" t="inlineStr">
        <is>
          <t>2028</t>
        </is>
      </c>
      <c r="J2023" t="n">
        <v>2016</v>
      </c>
      <c r="K2023" t="inlineStr">
        <is>
          <t>SETIEMBRE 2024</t>
        </is>
      </c>
      <c r="L2023" t="inlineStr">
        <is>
          <t>SETIEMBRE 2025</t>
        </is>
      </c>
      <c r="M2023" t="inlineStr">
        <is>
          <t>P.Q.S TIPO ABC</t>
        </is>
      </c>
      <c r="N2023" t="inlineStr">
        <is>
          <t>001591</t>
        </is>
      </c>
      <c r="O2023" t="inlineStr">
        <is>
          <t>R</t>
        </is>
      </c>
      <c r="P2023">
        <f>TRIM(N2023)</f>
        <v/>
      </c>
    </row>
    <row r="2024">
      <c r="A2024" t="inlineStr">
        <is>
          <t>CO-002061</t>
        </is>
      </c>
      <c r="B2024" t="inlineStr">
        <is>
          <t>GIOVANNA CARRILLO PUMA</t>
        </is>
      </c>
      <c r="D2024" t="inlineStr">
        <is>
          <t>PSTO. 60 - MERCADO 1RO. DE MAYO - COLLIQUE</t>
        </is>
      </c>
      <c r="E2024" t="inlineStr">
        <is>
          <t>Lima, 26 de Agosto 2024</t>
        </is>
      </c>
      <c r="F2024" t="inlineStr">
        <is>
          <t>la Recarga y mantenimiento</t>
        </is>
      </c>
      <c r="G2024" t="inlineStr">
        <is>
          <t>01</t>
        </is>
      </c>
      <c r="H2024" t="inlineStr">
        <is>
          <t>06 KG</t>
        </is>
      </c>
      <c r="I2024" t="inlineStr">
        <is>
          <t>VIGENTE</t>
        </is>
      </c>
      <c r="J2024" t="n">
        <v>2017</v>
      </c>
      <c r="K2024" t="inlineStr">
        <is>
          <t>AGOSTO 2024</t>
        </is>
      </c>
      <c r="L2024" t="inlineStr">
        <is>
          <t>AGOSTO 2025</t>
        </is>
      </c>
      <c r="M2024" t="inlineStr">
        <is>
          <t xml:space="preserve">P.Q.S TIPO ABC </t>
        </is>
      </c>
      <c r="N2024" t="inlineStr">
        <is>
          <t>000178</t>
        </is>
      </c>
      <c r="O2024" t="inlineStr">
        <is>
          <t>R</t>
        </is>
      </c>
      <c r="P2024">
        <f>TRIM(N2024)</f>
        <v/>
      </c>
    </row>
    <row r="2025">
      <c r="A2025" t="inlineStr">
        <is>
          <t>CO-002061</t>
        </is>
      </c>
      <c r="B2025" t="inlineStr">
        <is>
          <t>GIOVANNA CARRILLO PUMA</t>
        </is>
      </c>
      <c r="D2025" t="inlineStr">
        <is>
          <t>PSTO. 60 - MERCADO 1RO. DE MAYO - COLLIQUE</t>
        </is>
      </c>
      <c r="E2025" t="inlineStr">
        <is>
          <t>Lima, 26 de Agosto 2024</t>
        </is>
      </c>
      <c r="F2025" t="inlineStr">
        <is>
          <t>la Recarga y mantenimiento</t>
        </is>
      </c>
      <c r="G2025" t="inlineStr">
        <is>
          <t>02</t>
        </is>
      </c>
      <c r="H2025" t="inlineStr">
        <is>
          <t>06 KG</t>
        </is>
      </c>
      <c r="I2025" t="inlineStr">
        <is>
          <t>VIGENTE</t>
        </is>
      </c>
      <c r="J2025" t="n">
        <v>2017</v>
      </c>
      <c r="K2025" t="inlineStr">
        <is>
          <t>AGOSTO 2024</t>
        </is>
      </c>
      <c r="L2025" t="inlineStr">
        <is>
          <t>AGOSTO 2025</t>
        </is>
      </c>
      <c r="M2025" t="inlineStr">
        <is>
          <t xml:space="preserve">P.Q.S TIPO ABC </t>
        </is>
      </c>
      <c r="N2025" t="inlineStr">
        <is>
          <t>003303</t>
        </is>
      </c>
      <c r="O2025" t="inlineStr">
        <is>
          <t>R</t>
        </is>
      </c>
      <c r="P2025">
        <f>TRIM(N2025)</f>
        <v/>
      </c>
    </row>
    <row r="2026">
      <c r="A2026" t="inlineStr">
        <is>
          <t>CO-002062</t>
        </is>
      </c>
      <c r="B2026" t="inlineStr">
        <is>
          <t>MERCADO EL PARAISO</t>
        </is>
      </c>
      <c r="D2026" t="inlineStr">
        <is>
          <t>Urb. El Paraiso Mz. F Lote 6 / 16 - Carabayllo</t>
        </is>
      </c>
      <c r="E2026" t="inlineStr">
        <is>
          <t>Lima, 02 de Setiembre 2024</t>
        </is>
      </c>
      <c r="F2026" t="inlineStr">
        <is>
          <t>la Recarga y mantenimiento</t>
        </is>
      </c>
      <c r="G2026" t="inlineStr">
        <is>
          <t>01</t>
        </is>
      </c>
      <c r="H2026" t="inlineStr">
        <is>
          <t>06 KG</t>
        </is>
      </c>
      <c r="I2026" t="inlineStr">
        <is>
          <t>2027</t>
        </is>
      </c>
      <c r="J2026" t="n">
        <v>2016</v>
      </c>
      <c r="K2026" t="inlineStr">
        <is>
          <t xml:space="preserve"> SETIEMBRE 2024</t>
        </is>
      </c>
      <c r="L2026" t="inlineStr">
        <is>
          <t xml:space="preserve"> SETIEMBRE 2025</t>
        </is>
      </c>
      <c r="M2026" t="inlineStr">
        <is>
          <t xml:space="preserve">P.Q.S TIPO ABC </t>
        </is>
      </c>
      <c r="N2026" t="inlineStr">
        <is>
          <t>01/001143</t>
        </is>
      </c>
      <c r="O2026" t="inlineStr">
        <is>
          <t>R</t>
        </is>
      </c>
      <c r="P2026">
        <f>TRIM(N2026)</f>
        <v/>
      </c>
    </row>
    <row r="2027">
      <c r="A2027" t="inlineStr">
        <is>
          <t>CO-002062</t>
        </is>
      </c>
      <c r="B2027" t="inlineStr">
        <is>
          <t>MERCADO EL PARAISO</t>
        </is>
      </c>
      <c r="D2027" t="inlineStr">
        <is>
          <t>Urb. El Paraiso Mz. F Lote 6 / 16 - Carabayllo</t>
        </is>
      </c>
      <c r="E2027" t="inlineStr">
        <is>
          <t>Lima, 02 de Setiembre 2024</t>
        </is>
      </c>
      <c r="F2027" t="inlineStr">
        <is>
          <t>la Recarga y mantenimiento</t>
        </is>
      </c>
      <c r="G2027" t="inlineStr">
        <is>
          <t>02</t>
        </is>
      </c>
      <c r="H2027" t="inlineStr">
        <is>
          <t>06 KG</t>
        </is>
      </c>
      <c r="I2027" t="inlineStr">
        <is>
          <t>2028</t>
        </is>
      </c>
      <c r="J2027" t="n">
        <v>2010</v>
      </c>
      <c r="K2027" t="inlineStr">
        <is>
          <t xml:space="preserve"> SETIEMBRE 2024</t>
        </is>
      </c>
      <c r="L2027" t="inlineStr">
        <is>
          <t xml:space="preserve"> SETIEMBRE 2025</t>
        </is>
      </c>
      <c r="M2027" t="inlineStr">
        <is>
          <t xml:space="preserve">P.Q.S TIPO ABC </t>
        </is>
      </c>
      <c r="N2027" t="inlineStr">
        <is>
          <t>02/001460</t>
        </is>
      </c>
      <c r="O2027" t="inlineStr">
        <is>
          <t>R</t>
        </is>
      </c>
      <c r="P2027">
        <f>TRIM(N2027)</f>
        <v/>
      </c>
    </row>
    <row r="2028">
      <c r="A2028" t="inlineStr">
        <is>
          <t>CO-002062</t>
        </is>
      </c>
      <c r="B2028" t="inlineStr">
        <is>
          <t>MERCADO EL PARAISO</t>
        </is>
      </c>
      <c r="D2028" t="inlineStr">
        <is>
          <t>Urb. El Paraiso Mz. F Lote 6 / 16 - Carabayllo</t>
        </is>
      </c>
      <c r="E2028" t="inlineStr">
        <is>
          <t>Lima, 02 de Setiembre 2024</t>
        </is>
      </c>
      <c r="F2028" t="inlineStr">
        <is>
          <t>la Recarga y mantenimiento</t>
        </is>
      </c>
      <c r="G2028" t="inlineStr">
        <is>
          <t>03</t>
        </is>
      </c>
      <c r="H2028" t="inlineStr">
        <is>
          <t>06 KG</t>
        </is>
      </c>
      <c r="I2028" t="n">
        <v>2029</v>
      </c>
      <c r="J2028" t="n">
        <v>2014</v>
      </c>
      <c r="K2028" t="inlineStr">
        <is>
          <t xml:space="preserve"> SETIEMBRE 2024</t>
        </is>
      </c>
      <c r="L2028" t="inlineStr">
        <is>
          <t xml:space="preserve"> SETIEMBRE 2025</t>
        </is>
      </c>
      <c r="M2028" t="inlineStr">
        <is>
          <t xml:space="preserve">P.Q.S TIPO ABC </t>
        </is>
      </c>
      <c r="N2028" t="inlineStr">
        <is>
          <t>03/002591</t>
        </is>
      </c>
      <c r="O2028" t="inlineStr">
        <is>
          <t>R</t>
        </is>
      </c>
      <c r="P2028">
        <f>TRIM(N2028)</f>
        <v/>
      </c>
    </row>
    <row r="2029">
      <c r="A2029" t="inlineStr">
        <is>
          <t>CO-002062</t>
        </is>
      </c>
      <c r="B2029" t="inlineStr">
        <is>
          <t>MERCADO EL PARAISO</t>
        </is>
      </c>
      <c r="D2029" t="inlineStr">
        <is>
          <t>Urb. El Paraiso Mz. F Lote 6 / 16 - Carabayllo</t>
        </is>
      </c>
      <c r="E2029" t="inlineStr">
        <is>
          <t>Lima, 02 de Setiembre 2024</t>
        </is>
      </c>
      <c r="F2029" t="inlineStr">
        <is>
          <t>la Recarga y mantenimiento</t>
        </is>
      </c>
      <c r="G2029" t="inlineStr">
        <is>
          <t>04</t>
        </is>
      </c>
      <c r="H2029" t="inlineStr">
        <is>
          <t>06 KG</t>
        </is>
      </c>
      <c r="I2029" t="n">
        <v>2025</v>
      </c>
      <c r="J2029" t="n">
        <v>2015</v>
      </c>
      <c r="K2029" t="inlineStr">
        <is>
          <t xml:space="preserve"> SETIEMBRE 2024</t>
        </is>
      </c>
      <c r="L2029" t="inlineStr">
        <is>
          <t xml:space="preserve"> SETIEMBRE 2025</t>
        </is>
      </c>
      <c r="M2029" t="inlineStr">
        <is>
          <t xml:space="preserve">P.Q.S TIPO ABC </t>
        </is>
      </c>
      <c r="N2029" t="inlineStr">
        <is>
          <t>04/001377</t>
        </is>
      </c>
      <c r="O2029" t="inlineStr">
        <is>
          <t>R</t>
        </is>
      </c>
      <c r="P2029">
        <f>TRIM(N2029)</f>
        <v/>
      </c>
    </row>
    <row r="2030">
      <c r="A2030" t="inlineStr">
        <is>
          <t>CO-002062</t>
        </is>
      </c>
      <c r="B2030" t="inlineStr">
        <is>
          <t>MERCADO EL PARAISO</t>
        </is>
      </c>
      <c r="D2030" t="inlineStr">
        <is>
          <t>Urb. El Paraiso Mz. F Lote 6 / 16 - Carabayllo</t>
        </is>
      </c>
      <c r="E2030" t="inlineStr">
        <is>
          <t>Lima, 02 de Setiembre 2024</t>
        </is>
      </c>
      <c r="F2030" t="inlineStr">
        <is>
          <t>la Recarga y mantenimiento</t>
        </is>
      </c>
      <c r="G2030" t="inlineStr">
        <is>
          <t>05</t>
        </is>
      </c>
      <c r="H2030" t="inlineStr">
        <is>
          <t>06 KG</t>
        </is>
      </c>
      <c r="I2030" t="n">
        <v>2027</v>
      </c>
      <c r="J2030" t="n">
        <v>2016</v>
      </c>
      <c r="K2030" t="inlineStr">
        <is>
          <t xml:space="preserve"> SETIEMBRE 2024</t>
        </is>
      </c>
      <c r="L2030" t="inlineStr">
        <is>
          <t xml:space="preserve"> SETIEMBRE 2025</t>
        </is>
      </c>
      <c r="M2030" t="inlineStr">
        <is>
          <t xml:space="preserve">P.Q.S TIPO ABC </t>
        </is>
      </c>
      <c r="N2030" t="inlineStr">
        <is>
          <t>05/001095</t>
        </is>
      </c>
      <c r="O2030" t="inlineStr">
        <is>
          <t>R</t>
        </is>
      </c>
      <c r="P2030">
        <f>TRIM(N2030)</f>
        <v/>
      </c>
    </row>
    <row r="2031">
      <c r="A2031" t="inlineStr">
        <is>
          <t>CO-002063</t>
        </is>
      </c>
      <c r="B2031" t="inlineStr">
        <is>
          <t>FORTUNATO SALAS SOTOMAYOR</t>
        </is>
      </c>
      <c r="D2031" t="inlineStr">
        <is>
          <t>JR.TACNA 553 AÑO NUEVO -COMAS</t>
        </is>
      </c>
      <c r="E2031" t="inlineStr">
        <is>
          <t>Lima, 29 de Agosto de 2024</t>
        </is>
      </c>
      <c r="F2031" t="inlineStr">
        <is>
          <t>la Recarga y mantenimiento</t>
        </is>
      </c>
      <c r="G2031" t="inlineStr">
        <is>
          <t>01</t>
        </is>
      </c>
      <c r="H2031" t="inlineStr">
        <is>
          <t>02 KG</t>
        </is>
      </c>
      <c r="I2031" t="inlineStr">
        <is>
          <t>2025</t>
        </is>
      </c>
      <c r="J2031" t="n">
        <v>2017</v>
      </c>
      <c r="K2031" t="inlineStr">
        <is>
          <t>AGOSTO 2024</t>
        </is>
      </c>
      <c r="L2031" t="inlineStr">
        <is>
          <t>AGOSTO 2025</t>
        </is>
      </c>
      <c r="M2031" t="inlineStr">
        <is>
          <t xml:space="preserve">P.Q.S TIPO ABC </t>
        </is>
      </c>
      <c r="N2031" t="inlineStr">
        <is>
          <t>000389</t>
        </is>
      </c>
      <c r="O2031" t="inlineStr">
        <is>
          <t>R</t>
        </is>
      </c>
      <c r="P2031">
        <f>TRIM(N2031)</f>
        <v/>
      </c>
    </row>
    <row r="2032">
      <c r="A2032" t="inlineStr">
        <is>
          <t>CO-002064</t>
        </is>
      </c>
      <c r="B2032" t="inlineStr">
        <is>
          <t>ALBERTO ANCALLA MILLIO</t>
        </is>
      </c>
      <c r="D2032" t="inlineStr">
        <is>
          <t xml:space="preserve">AV.TUPAC AMARU 4893 COOP.AÑO NUEVO-COMAS </t>
        </is>
      </c>
      <c r="E2032" t="inlineStr">
        <is>
          <t>Lima, 29 de Agosto de 2024</t>
        </is>
      </c>
      <c r="F2032" t="inlineStr">
        <is>
          <t>la Recarga y mantenimiento</t>
        </is>
      </c>
      <c r="G2032" t="inlineStr">
        <is>
          <t>01</t>
        </is>
      </c>
      <c r="H2032" t="inlineStr">
        <is>
          <t>06KG</t>
        </is>
      </c>
      <c r="I2032" t="inlineStr">
        <is>
          <t>2027</t>
        </is>
      </c>
      <c r="J2032" t="n">
        <v>2022</v>
      </c>
      <c r="K2032" t="inlineStr">
        <is>
          <t>AGOSTO 2024</t>
        </is>
      </c>
      <c r="L2032" t="inlineStr">
        <is>
          <t>AGOSTO 2025</t>
        </is>
      </c>
      <c r="M2032" t="inlineStr">
        <is>
          <t xml:space="preserve">P.Q.S TIPO ABC </t>
        </is>
      </c>
      <c r="N2032" t="inlineStr">
        <is>
          <t>307134</t>
        </is>
      </c>
      <c r="O2032" t="inlineStr">
        <is>
          <t>R</t>
        </is>
      </c>
      <c r="P2032">
        <f>TRIM(N2032)</f>
        <v/>
      </c>
    </row>
    <row r="2033">
      <c r="A2033" t="inlineStr">
        <is>
          <t>CO-002065</t>
        </is>
      </c>
      <c r="B2033" t="inlineStr">
        <is>
          <t>EMILIANO RODRIGUEZ TORRES</t>
        </is>
      </c>
      <c r="C2033" t="inlineStr">
        <is>
          <t>09026034</t>
        </is>
      </c>
      <c r="D2033" t="inlineStr">
        <is>
          <t>AV. TUPAC AMARU N° 4877  COOP. AÑO NUEVO - COMAS</t>
        </is>
      </c>
      <c r="E2033" t="inlineStr">
        <is>
          <t>Lima, 02 de Setiembre de 2024</t>
        </is>
      </c>
      <c r="F2033" t="inlineStr">
        <is>
          <t>la Recarga y mantenimiento</t>
        </is>
      </c>
      <c r="G2033" t="inlineStr">
        <is>
          <t>01</t>
        </is>
      </c>
      <c r="H2033" t="inlineStr">
        <is>
          <t>06 KG</t>
        </is>
      </c>
      <c r="I2033" t="inlineStr">
        <is>
          <t>2027</t>
        </is>
      </c>
      <c r="J2033" t="n">
        <v>2022</v>
      </c>
      <c r="K2033" t="inlineStr">
        <is>
          <t>SETIEMBRE 2024</t>
        </is>
      </c>
      <c r="L2033" t="inlineStr">
        <is>
          <t>SETIEMBRE 2025</t>
        </is>
      </c>
      <c r="M2033" t="inlineStr">
        <is>
          <t>P.Q.S TIPO ABC</t>
        </is>
      </c>
      <c r="N2033" t="inlineStr">
        <is>
          <t>153491</t>
        </is>
      </c>
      <c r="O2033" t="inlineStr">
        <is>
          <t>R</t>
        </is>
      </c>
      <c r="P2033">
        <f>TRIM(N2033)</f>
        <v/>
      </c>
    </row>
    <row r="2034">
      <c r="A2034" t="inlineStr">
        <is>
          <t>CO-002066</t>
        </is>
      </c>
      <c r="B2034" t="inlineStr">
        <is>
          <t xml:space="preserve">PEDRO ORLANDO LUIS </t>
        </is>
      </c>
      <c r="D2034" t="inlineStr">
        <is>
          <t xml:space="preserve">PLACA : BBI-749 </t>
        </is>
      </c>
      <c r="E2034" t="inlineStr">
        <is>
          <t>Lima , 04 de Setiembre de 2024</t>
        </is>
      </c>
      <c r="F2034" t="inlineStr">
        <is>
          <t>la Recarga y mantenimiento</t>
        </is>
      </c>
      <c r="G2034" t="inlineStr">
        <is>
          <t>01</t>
        </is>
      </c>
      <c r="H2034" t="inlineStr">
        <is>
          <t>06 KG</t>
        </is>
      </c>
      <c r="I2034" t="inlineStr">
        <is>
          <t>2025</t>
        </is>
      </c>
      <c r="J2034" t="n">
        <v>2020</v>
      </c>
      <c r="K2034" t="inlineStr">
        <is>
          <t>SETIEMBRE 2024</t>
        </is>
      </c>
      <c r="L2034" t="inlineStr">
        <is>
          <t>SETIEMBRE 2025</t>
        </is>
      </c>
      <c r="M2034" t="inlineStr">
        <is>
          <t>P.Q.S TIPO ABC</t>
        </is>
      </c>
      <c r="N2034" t="inlineStr">
        <is>
          <t>004875</t>
        </is>
      </c>
      <c r="O2034" t="inlineStr">
        <is>
          <t>R</t>
        </is>
      </c>
      <c r="P2034">
        <f>TRIM(N2034)</f>
        <v/>
      </c>
    </row>
    <row r="2035">
      <c r="A2035" t="inlineStr">
        <is>
          <t>CO-002067</t>
        </is>
      </c>
      <c r="B2035" t="inlineStr">
        <is>
          <t>AUTOMOTORES YOSHIVAL S.A.C.</t>
        </is>
      </c>
      <c r="C2035" t="inlineStr">
        <is>
          <t>20408104638</t>
        </is>
      </c>
      <c r="D2035" t="inlineStr">
        <is>
          <t>AV. ALFREDO MENDIOLA N°5819 MZ. O LT 7 (1° Y 2° PISO) URB VILLA NORTE – LOS OLIVOS</t>
        </is>
      </c>
      <c r="E2035" t="inlineStr">
        <is>
          <t>Lima, 09 de Setiembre de 2024</t>
        </is>
      </c>
      <c r="F2035" t="inlineStr">
        <is>
          <t>la Recarga y mantenimiento</t>
        </is>
      </c>
      <c r="G2035" t="inlineStr">
        <is>
          <t>01</t>
        </is>
      </c>
      <c r="H2035" t="inlineStr">
        <is>
          <t>06 KG</t>
        </is>
      </c>
      <c r="I2035" t="inlineStr">
        <is>
          <t>2026</t>
        </is>
      </c>
      <c r="J2035" t="n">
        <v>2021</v>
      </c>
      <c r="K2035" t="inlineStr">
        <is>
          <t>SETIEMBRE 2024</t>
        </is>
      </c>
      <c r="L2035" t="inlineStr">
        <is>
          <t>SETIEMBRE 2025</t>
        </is>
      </c>
      <c r="M2035" t="inlineStr">
        <is>
          <t>P.Q.S TIPO ABC</t>
        </is>
      </c>
      <c r="N2035" t="inlineStr">
        <is>
          <t>007860</t>
        </is>
      </c>
      <c r="O2035" t="inlineStr">
        <is>
          <t>R</t>
        </is>
      </c>
      <c r="P2035">
        <f>TRIM(N2035)</f>
        <v/>
      </c>
    </row>
    <row r="2036">
      <c r="A2036" t="inlineStr">
        <is>
          <t>CO-002067</t>
        </is>
      </c>
      <c r="B2036" t="inlineStr">
        <is>
          <t>AUTOMOTORES YOSHIVAL S.A.C.</t>
        </is>
      </c>
      <c r="C2036" t="inlineStr">
        <is>
          <t>20408104638</t>
        </is>
      </c>
      <c r="D2036" t="inlineStr">
        <is>
          <t>AV. ALFREDO MENDIOLA N°5819 MZ. O LT 7 (1° Y 2° PISO) URB VILLA NORTE – LOS OLIVOS</t>
        </is>
      </c>
      <c r="E2036" t="inlineStr">
        <is>
          <t>Lima, 09 de Setiembre de 2024</t>
        </is>
      </c>
      <c r="F2036" t="inlineStr">
        <is>
          <t>la Recarga y mantenimiento</t>
        </is>
      </c>
      <c r="G2036" t="inlineStr">
        <is>
          <t>02</t>
        </is>
      </c>
      <c r="H2036" t="inlineStr">
        <is>
          <t>09 KG</t>
        </is>
      </c>
      <c r="I2036" t="inlineStr">
        <is>
          <t>2029</t>
        </is>
      </c>
      <c r="J2036" t="n">
        <v>2013</v>
      </c>
      <c r="K2036" t="inlineStr">
        <is>
          <t>SETIEMBRE 2024</t>
        </is>
      </c>
      <c r="L2036" t="inlineStr">
        <is>
          <t>SETIEMBRE 2025</t>
        </is>
      </c>
      <c r="M2036" t="inlineStr">
        <is>
          <t>P.Q.S TIPO ABC</t>
        </is>
      </c>
      <c r="N2036" t="inlineStr">
        <is>
          <t>000284</t>
        </is>
      </c>
      <c r="O2036" t="inlineStr">
        <is>
          <t>R</t>
        </is>
      </c>
      <c r="P2036">
        <f>TRIM(N2036)</f>
        <v/>
      </c>
    </row>
    <row r="2037">
      <c r="A2037" t="inlineStr">
        <is>
          <t>CO-002067</t>
        </is>
      </c>
      <c r="B2037" t="inlineStr">
        <is>
          <t>AUTOMOTORES YOSHIVAL S.A.C.</t>
        </is>
      </c>
      <c r="C2037" t="inlineStr">
        <is>
          <t>20408104638</t>
        </is>
      </c>
      <c r="D2037" t="inlineStr">
        <is>
          <t>AV. ALFREDO MENDIOLA N°5819 MZ. O LT 7 (1° Y 2° PISO) URB VILLA NORTE – LOS OLIVOS</t>
        </is>
      </c>
      <c r="E2037" t="inlineStr">
        <is>
          <t>Lima, 09 de Setiembre de 2024</t>
        </is>
      </c>
      <c r="F2037" t="inlineStr">
        <is>
          <t>la Recarga y mantenimiento</t>
        </is>
      </c>
      <c r="G2037" t="inlineStr">
        <is>
          <t>03</t>
        </is>
      </c>
      <c r="H2037" t="inlineStr">
        <is>
          <t>12 KG</t>
        </is>
      </c>
      <c r="I2037" t="inlineStr">
        <is>
          <t>2029</t>
        </is>
      </c>
      <c r="J2037" t="n">
        <v>2009</v>
      </c>
      <c r="K2037" t="inlineStr">
        <is>
          <t>SETIEMBRE 2024</t>
        </is>
      </c>
      <c r="L2037" t="inlineStr">
        <is>
          <t>SETIEMBRE 2025</t>
        </is>
      </c>
      <c r="M2037" t="inlineStr">
        <is>
          <t>P.Q.S TIPO ABC</t>
        </is>
      </c>
      <c r="N2037" t="inlineStr">
        <is>
          <t>001099</t>
        </is>
      </c>
      <c r="O2037" t="inlineStr">
        <is>
          <t>R</t>
        </is>
      </c>
      <c r="P2037">
        <f>TRIM(N2037)</f>
        <v/>
      </c>
    </row>
    <row r="2038">
      <c r="A2038" t="inlineStr">
        <is>
          <t>CO-002067</t>
        </is>
      </c>
      <c r="B2038" t="inlineStr">
        <is>
          <t>AUTOMOTORES YOSHIVAL S.A.C.</t>
        </is>
      </c>
      <c r="C2038" t="inlineStr">
        <is>
          <t>20408104638</t>
        </is>
      </c>
      <c r="D2038" t="inlineStr">
        <is>
          <t>AV. ALFREDO MENDIOLA N°5819 MZ. O LT 7 (1° Y 2° PISO) URB VILLA NORTE – LOS OLIVOS</t>
        </is>
      </c>
      <c r="E2038" t="inlineStr">
        <is>
          <t>Lima, 09 de Setiembre de 2024</t>
        </is>
      </c>
      <c r="F2038" t="inlineStr">
        <is>
          <t>la Recarga y mantenimiento</t>
        </is>
      </c>
      <c r="G2038" t="inlineStr">
        <is>
          <t>04</t>
        </is>
      </c>
      <c r="H2038" t="inlineStr">
        <is>
          <t>12 KG</t>
        </is>
      </c>
      <c r="I2038" t="inlineStr">
        <is>
          <t>2029</t>
        </is>
      </c>
      <c r="J2038" t="n">
        <v>2012</v>
      </c>
      <c r="K2038" t="inlineStr">
        <is>
          <t>SETIEMBRE 2024</t>
        </is>
      </c>
      <c r="L2038" t="inlineStr">
        <is>
          <t>SETIEMBRE 2025</t>
        </is>
      </c>
      <c r="M2038" t="inlineStr">
        <is>
          <t>P.Q.S TIPO ABC</t>
        </is>
      </c>
      <c r="N2038" t="inlineStr">
        <is>
          <t>000077</t>
        </is>
      </c>
      <c r="O2038" t="inlineStr">
        <is>
          <t>R</t>
        </is>
      </c>
      <c r="P2038">
        <f>TRIM(N2038)</f>
        <v/>
      </c>
    </row>
    <row r="2039">
      <c r="A2039" t="inlineStr">
        <is>
          <t>CO-002067</t>
        </is>
      </c>
      <c r="B2039" t="inlineStr">
        <is>
          <t>AUTOMOTORES YOSHIVAL S.A.C.</t>
        </is>
      </c>
      <c r="C2039" t="inlineStr">
        <is>
          <t>20408104638</t>
        </is>
      </c>
      <c r="D2039" t="inlineStr">
        <is>
          <t>AV. ALFREDO MENDIOLA N°5819 MZ. O LT 7 (1° Y 2° PISO) URB VILLA NORTE – LOS OLIVOS</t>
        </is>
      </c>
      <c r="E2039" t="inlineStr">
        <is>
          <t>Lima, 09 de Setiembre de 2024</t>
        </is>
      </c>
      <c r="F2039" t="inlineStr">
        <is>
          <t>la Recarga y mantenimiento</t>
        </is>
      </c>
      <c r="G2039" t="inlineStr">
        <is>
          <t>05</t>
        </is>
      </c>
      <c r="H2039" t="inlineStr">
        <is>
          <t>12 KG</t>
        </is>
      </c>
      <c r="I2039" t="inlineStr">
        <is>
          <t>2029</t>
        </is>
      </c>
      <c r="J2039" t="n">
        <v>2012</v>
      </c>
      <c r="K2039" t="inlineStr">
        <is>
          <t>SETIEMBRE 2024</t>
        </is>
      </c>
      <c r="L2039" t="inlineStr">
        <is>
          <t>SETIEMBRE 2025</t>
        </is>
      </c>
      <c r="M2039" t="inlineStr">
        <is>
          <t>P.Q.S TIPO ABC</t>
        </is>
      </c>
      <c r="N2039" t="inlineStr">
        <is>
          <t>000472</t>
        </is>
      </c>
      <c r="O2039" t="inlineStr">
        <is>
          <t>R</t>
        </is>
      </c>
      <c r="P2039">
        <f>TRIM(N2039)</f>
        <v/>
      </c>
    </row>
    <row r="2040">
      <c r="A2040" t="inlineStr">
        <is>
          <t>CO-002067</t>
        </is>
      </c>
      <c r="B2040" t="inlineStr">
        <is>
          <t>AUTOMOTORES YOSHIVAL S.A.C.</t>
        </is>
      </c>
      <c r="C2040" t="inlineStr">
        <is>
          <t>20408104638</t>
        </is>
      </c>
      <c r="D2040" t="inlineStr">
        <is>
          <t>AV. ALFREDO MENDIOLA N°5819 MZ. O LT 7 (1° Y 2° PISO) URB VILLA NORTE – LOS OLIVOS</t>
        </is>
      </c>
      <c r="E2040" t="inlineStr">
        <is>
          <t>Lima, 09 de Setiembre de 2024</t>
        </is>
      </c>
      <c r="F2040" t="inlineStr">
        <is>
          <t>la Recarga y mantenimiento</t>
        </is>
      </c>
      <c r="G2040" t="inlineStr">
        <is>
          <t>06</t>
        </is>
      </c>
      <c r="H2040" t="inlineStr">
        <is>
          <t>02 KG</t>
        </is>
      </c>
      <c r="I2040" t="inlineStr">
        <is>
          <t>2029</t>
        </is>
      </c>
      <c r="J2040" t="n">
        <v>2014</v>
      </c>
      <c r="K2040" t="inlineStr">
        <is>
          <t>SETIEMBRE 2024</t>
        </is>
      </c>
      <c r="L2040" t="inlineStr">
        <is>
          <t>SETIEMBRE 2025</t>
        </is>
      </c>
      <c r="M2040" t="inlineStr">
        <is>
          <t>CO 2 BC</t>
        </is>
      </c>
      <c r="N2040" t="inlineStr">
        <is>
          <t>006265</t>
        </is>
      </c>
      <c r="O2040" t="inlineStr">
        <is>
          <t>R</t>
        </is>
      </c>
      <c r="P2040">
        <f>TRIM(N2040)</f>
        <v/>
      </c>
    </row>
    <row r="2041">
      <c r="A2041" t="inlineStr">
        <is>
          <t>CO-002067</t>
        </is>
      </c>
      <c r="B2041" t="inlineStr">
        <is>
          <t>AUTOMOTORES YOSHIVAL S.A.C.</t>
        </is>
      </c>
      <c r="C2041" t="inlineStr">
        <is>
          <t>20408104638</t>
        </is>
      </c>
      <c r="D2041" t="inlineStr">
        <is>
          <t>AV. ALFREDO MENDIOLA N°5819 MZ. O LT 7 (1° Y 2° PISO) URB VILLA NORTE – LOS OLIVOS</t>
        </is>
      </c>
      <c r="E2041" t="inlineStr">
        <is>
          <t>Lima, 09 de Setiembre de 2024</t>
        </is>
      </c>
      <c r="F2041" t="inlineStr">
        <is>
          <t>la Recarga y mantenimiento</t>
        </is>
      </c>
      <c r="G2041" t="inlineStr">
        <is>
          <t>07</t>
        </is>
      </c>
      <c r="H2041" t="inlineStr">
        <is>
          <t>02 KG</t>
        </is>
      </c>
      <c r="I2041" t="inlineStr">
        <is>
          <t>2029</t>
        </is>
      </c>
      <c r="J2041" t="n">
        <v>2013</v>
      </c>
      <c r="K2041" t="inlineStr">
        <is>
          <t>SETIEMBRE 2024</t>
        </is>
      </c>
      <c r="L2041" t="inlineStr">
        <is>
          <t>SETIEMBRE 2025</t>
        </is>
      </c>
      <c r="M2041" t="inlineStr">
        <is>
          <t>CO2 BC</t>
        </is>
      </c>
      <c r="N2041" t="inlineStr">
        <is>
          <t>000242</t>
        </is>
      </c>
      <c r="O2041" t="inlineStr">
        <is>
          <t>R</t>
        </is>
      </c>
      <c r="P2041">
        <f>TRIM(N2041)</f>
        <v/>
      </c>
    </row>
    <row r="2042">
      <c r="A2042" t="inlineStr">
        <is>
          <t>CO-002068</t>
        </is>
      </c>
      <c r="B2042" t="inlineStr">
        <is>
          <t>ROSA BUSTINZA FELIX</t>
        </is>
      </c>
      <c r="D2042" t="inlineStr">
        <is>
          <t xml:space="preserve">PLACA : ALG-917 </t>
        </is>
      </c>
      <c r="E2042" t="inlineStr">
        <is>
          <t>Lima, 10 de Setiembre de 2024</t>
        </is>
      </c>
      <c r="F2042" t="inlineStr">
        <is>
          <t>la Recarga y mantenimiento</t>
        </is>
      </c>
      <c r="G2042" t="inlineStr">
        <is>
          <t>01</t>
        </is>
      </c>
      <c r="H2042" t="inlineStr">
        <is>
          <t>06 KG</t>
        </is>
      </c>
      <c r="I2042" t="inlineStr">
        <is>
          <t>2029</t>
        </is>
      </c>
      <c r="J2042" t="n">
        <v>2024</v>
      </c>
      <c r="K2042" t="inlineStr">
        <is>
          <t>SETIEMBRE 2024</t>
        </is>
      </c>
      <c r="L2042" t="inlineStr">
        <is>
          <t>SETIEMBRE 2025</t>
        </is>
      </c>
      <c r="M2042" t="inlineStr">
        <is>
          <t>P.Q.S TIPO ABC</t>
        </is>
      </c>
      <c r="N2042" t="inlineStr">
        <is>
          <t>000376</t>
        </is>
      </c>
      <c r="O2042" t="inlineStr">
        <is>
          <t>V</t>
        </is>
      </c>
      <c r="P2042">
        <f>TRIM(N2042)</f>
        <v/>
      </c>
    </row>
    <row r="2043">
      <c r="A2043" t="inlineStr">
        <is>
          <t>CO-002069</t>
        </is>
      </c>
      <c r="B2043" t="inlineStr">
        <is>
          <t>ASOCIACION  DE  PROPIETARIOS MERCADO ACUMERCAN</t>
        </is>
      </c>
      <c r="D2043" t="inlineStr">
        <is>
          <t>MERCADO AÑO NUEVO</t>
        </is>
      </c>
      <c r="E2043" t="inlineStr">
        <is>
          <t>Lima, 11 de Setiembre de 2024</t>
        </is>
      </c>
      <c r="F2043" t="inlineStr">
        <is>
          <t>la Recarga y mantenimiento</t>
        </is>
      </c>
      <c r="G2043" t="inlineStr">
        <is>
          <t>01</t>
        </is>
      </c>
      <c r="H2043" t="inlineStr">
        <is>
          <t>12 KG</t>
        </is>
      </c>
      <c r="I2043" t="inlineStr">
        <is>
          <t>2025</t>
        </is>
      </c>
      <c r="J2043" t="n">
        <v>2012</v>
      </c>
      <c r="K2043" t="inlineStr">
        <is>
          <t>SETIEMBRE 2024</t>
        </is>
      </c>
      <c r="L2043" t="inlineStr">
        <is>
          <t>SETIEMBRE 2025</t>
        </is>
      </c>
      <c r="M2043" t="inlineStr">
        <is>
          <t>P.Q.S TIPO ABC</t>
        </is>
      </c>
      <c r="N2043" t="inlineStr">
        <is>
          <t>01/000358</t>
        </is>
      </c>
      <c r="O2043" t="inlineStr">
        <is>
          <t>R</t>
        </is>
      </c>
      <c r="P2043">
        <f>TRIM(N2043)</f>
        <v/>
      </c>
    </row>
    <row r="2044">
      <c r="A2044" t="inlineStr">
        <is>
          <t>CO-002069</t>
        </is>
      </c>
      <c r="B2044" t="inlineStr">
        <is>
          <t>ASOCIACION  DE  PROPIETARIOS MERCADO ACUMERCAN</t>
        </is>
      </c>
      <c r="D2044" t="inlineStr">
        <is>
          <t>MERCADO AÑO NUEVO</t>
        </is>
      </c>
      <c r="E2044" t="inlineStr">
        <is>
          <t>Lima, 11 de Setiembre de 2024</t>
        </is>
      </c>
      <c r="F2044" t="inlineStr">
        <is>
          <t>la Recarga y mantenimiento</t>
        </is>
      </c>
      <c r="G2044" t="inlineStr">
        <is>
          <t>02</t>
        </is>
      </c>
      <c r="H2044" t="inlineStr">
        <is>
          <t>12 KG</t>
        </is>
      </c>
      <c r="I2044" t="n">
        <v>2025</v>
      </c>
      <c r="J2044" t="n">
        <v>2009</v>
      </c>
      <c r="K2044" t="inlineStr">
        <is>
          <t>SETIEMBRE 2024</t>
        </is>
      </c>
      <c r="L2044" t="inlineStr">
        <is>
          <t>SETIEMBRE 2025</t>
        </is>
      </c>
      <c r="M2044" t="inlineStr">
        <is>
          <t>P.Q.S TIPO ABC</t>
        </is>
      </c>
      <c r="N2044" t="inlineStr">
        <is>
          <t>03/000449</t>
        </is>
      </c>
      <c r="O2044" t="inlineStr">
        <is>
          <t>R</t>
        </is>
      </c>
      <c r="P2044">
        <f>TRIM(N2044)</f>
        <v/>
      </c>
    </row>
    <row r="2045">
      <c r="A2045" t="inlineStr">
        <is>
          <t>CO-002069</t>
        </is>
      </c>
      <c r="B2045" t="inlineStr">
        <is>
          <t>ASOCIACION  DE  PROPIETARIOS MERCADO ACUMERCAN</t>
        </is>
      </c>
      <c r="D2045" t="inlineStr">
        <is>
          <t>MERCADO AÑO NUEVO</t>
        </is>
      </c>
      <c r="E2045" t="inlineStr">
        <is>
          <t>Lima, 11 de Setiembre de 2024</t>
        </is>
      </c>
      <c r="F2045" t="inlineStr">
        <is>
          <t>la Recarga y mantenimiento</t>
        </is>
      </c>
      <c r="G2045" t="inlineStr">
        <is>
          <t>03</t>
        </is>
      </c>
      <c r="H2045" t="inlineStr">
        <is>
          <t>12 KG</t>
        </is>
      </c>
      <c r="I2045" t="n">
        <v>2025</v>
      </c>
      <c r="J2045" t="n">
        <v>2009</v>
      </c>
      <c r="K2045" t="inlineStr">
        <is>
          <t>SETIEMBRE 2024</t>
        </is>
      </c>
      <c r="L2045" t="inlineStr">
        <is>
          <t>SETIEMBRE 2025</t>
        </is>
      </c>
      <c r="M2045" t="inlineStr">
        <is>
          <t>P.Q.S TIPO ABC</t>
        </is>
      </c>
      <c r="N2045" t="inlineStr">
        <is>
          <t>04/000090</t>
        </is>
      </c>
      <c r="O2045" t="inlineStr">
        <is>
          <t>R</t>
        </is>
      </c>
      <c r="P2045">
        <f>TRIM(N2045)</f>
        <v/>
      </c>
    </row>
    <row r="2046">
      <c r="A2046" t="inlineStr">
        <is>
          <t>CO-002069</t>
        </is>
      </c>
      <c r="B2046" t="inlineStr">
        <is>
          <t>ASOCIACION  DE  PROPIETARIOS MERCADO ACUMERCAN</t>
        </is>
      </c>
      <c r="D2046" t="inlineStr">
        <is>
          <t>MERCADO AÑO NUEVO</t>
        </is>
      </c>
      <c r="E2046" t="inlineStr">
        <is>
          <t>Lima, 11 de Setiembre de 2024</t>
        </is>
      </c>
      <c r="F2046" t="inlineStr">
        <is>
          <t>la Recarga y mantenimiento</t>
        </is>
      </c>
      <c r="G2046" t="inlineStr">
        <is>
          <t>04</t>
        </is>
      </c>
      <c r="H2046" t="inlineStr">
        <is>
          <t>12 KG</t>
        </is>
      </c>
      <c r="I2046" t="n">
        <v>2025</v>
      </c>
      <c r="J2046" t="n">
        <v>2015</v>
      </c>
      <c r="K2046" t="inlineStr">
        <is>
          <t>SETIEMBRE 2024</t>
        </is>
      </c>
      <c r="L2046" t="inlineStr">
        <is>
          <t>SETIEMBRE 2025</t>
        </is>
      </c>
      <c r="M2046" t="inlineStr">
        <is>
          <t>P.Q.S TIPO ABC</t>
        </is>
      </c>
      <c r="N2046" t="inlineStr">
        <is>
          <t>05/000299</t>
        </is>
      </c>
      <c r="O2046" t="inlineStr">
        <is>
          <t>R</t>
        </is>
      </c>
      <c r="P2046">
        <f>TRIM(N2046)</f>
        <v/>
      </c>
    </row>
    <row r="2047">
      <c r="A2047" t="inlineStr">
        <is>
          <t>CO-002069</t>
        </is>
      </c>
      <c r="B2047" t="inlineStr">
        <is>
          <t>ASOCIACION  DE  PROPIETARIOS MERCADO ACUMERCAN</t>
        </is>
      </c>
      <c r="D2047" t="inlineStr">
        <is>
          <t>MERCADO AÑO NUEVO</t>
        </is>
      </c>
      <c r="E2047" t="inlineStr">
        <is>
          <t>Lima, 11 de Setiembre de 2024</t>
        </is>
      </c>
      <c r="F2047" t="inlineStr">
        <is>
          <t>la Recarga y mantenimiento</t>
        </is>
      </c>
      <c r="G2047" t="inlineStr">
        <is>
          <t>05</t>
        </is>
      </c>
      <c r="H2047" t="inlineStr">
        <is>
          <t>12 KG</t>
        </is>
      </c>
      <c r="I2047" t="n">
        <v>2025</v>
      </c>
      <c r="J2047" t="n">
        <v>2020</v>
      </c>
      <c r="K2047" t="inlineStr">
        <is>
          <t>SETIEMBRE 2024</t>
        </is>
      </c>
      <c r="L2047" t="inlineStr">
        <is>
          <t>SETIEMBRE 2025</t>
        </is>
      </c>
      <c r="M2047" t="inlineStr">
        <is>
          <t>P.Q.S TIPO ABC</t>
        </is>
      </c>
      <c r="N2047" t="inlineStr">
        <is>
          <t>06/000458</t>
        </is>
      </c>
      <c r="O2047" t="inlineStr">
        <is>
          <t>R</t>
        </is>
      </c>
      <c r="P2047">
        <f>TRIM(N2047)</f>
        <v/>
      </c>
    </row>
    <row r="2048">
      <c r="A2048" t="inlineStr">
        <is>
          <t>CO-002069</t>
        </is>
      </c>
      <c r="B2048" t="inlineStr">
        <is>
          <t>ASOCIACION  DE  PROPIETARIOS MERCADO ACUMERCAN</t>
        </is>
      </c>
      <c r="D2048" t="inlineStr">
        <is>
          <t>MERCADO AÑO NUEVO</t>
        </is>
      </c>
      <c r="E2048" t="inlineStr">
        <is>
          <t>Lima, 11 de Setiembre de 2024</t>
        </is>
      </c>
      <c r="F2048" t="inlineStr">
        <is>
          <t>la Recarga y mantenimiento</t>
        </is>
      </c>
      <c r="G2048" t="inlineStr">
        <is>
          <t>06</t>
        </is>
      </c>
      <c r="H2048" t="inlineStr">
        <is>
          <t>12 KG</t>
        </is>
      </c>
      <c r="I2048" t="n">
        <v>2025</v>
      </c>
      <c r="J2048" t="n">
        <v>2011</v>
      </c>
      <c r="K2048" t="inlineStr">
        <is>
          <t>SETIEMBRE 2024</t>
        </is>
      </c>
      <c r="L2048" t="inlineStr">
        <is>
          <t>SETIEMBRE 2025</t>
        </is>
      </c>
      <c r="M2048" t="inlineStr">
        <is>
          <t>P.Q.S TIPO ABC</t>
        </is>
      </c>
      <c r="N2048" t="inlineStr">
        <is>
          <t>000625</t>
        </is>
      </c>
      <c r="O2048" t="inlineStr">
        <is>
          <t>R</t>
        </is>
      </c>
      <c r="P2048">
        <f>TRIM(N2048)</f>
        <v/>
      </c>
    </row>
    <row r="2049">
      <c r="A2049" t="inlineStr">
        <is>
          <t>CO-002069</t>
        </is>
      </c>
      <c r="B2049" t="inlineStr">
        <is>
          <t>ASOCIACION  DE  PROPIETARIOS MERCADO ACUMERCAN</t>
        </is>
      </c>
      <c r="D2049" t="inlineStr">
        <is>
          <t>MERCADO AÑO NUEVO</t>
        </is>
      </c>
      <c r="E2049" t="inlineStr">
        <is>
          <t>Lima, 11 de Setiembre de 2024</t>
        </is>
      </c>
      <c r="F2049" t="inlineStr">
        <is>
          <t>la Recarga y mantenimiento</t>
        </is>
      </c>
      <c r="G2049" t="inlineStr">
        <is>
          <t>07</t>
        </is>
      </c>
      <c r="H2049" t="inlineStr">
        <is>
          <t>12 KG</t>
        </is>
      </c>
      <c r="I2049" t="n">
        <v>2025</v>
      </c>
      <c r="J2049" t="n">
        <v>2012</v>
      </c>
      <c r="K2049" t="inlineStr">
        <is>
          <t>SETIEMBRE 2024</t>
        </is>
      </c>
      <c r="L2049" t="inlineStr">
        <is>
          <t>SETIEMBRE 2025</t>
        </is>
      </c>
      <c r="M2049" t="inlineStr">
        <is>
          <t>P.Q.S TIPO ABC</t>
        </is>
      </c>
      <c r="N2049" t="inlineStr">
        <is>
          <t>08/000064</t>
        </is>
      </c>
      <c r="O2049" t="inlineStr">
        <is>
          <t>R</t>
        </is>
      </c>
      <c r="P2049">
        <f>TRIM(N2049)</f>
        <v/>
      </c>
    </row>
    <row r="2050">
      <c r="A2050" t="inlineStr">
        <is>
          <t>CO-002069</t>
        </is>
      </c>
      <c r="B2050" t="inlineStr">
        <is>
          <t>ASOCIACION  DE  PROPIETARIOS MERCADO ACUMERCAN</t>
        </is>
      </c>
      <c r="D2050" t="inlineStr">
        <is>
          <t>MERCADO AÑO NUEVO</t>
        </is>
      </c>
      <c r="E2050" t="inlineStr">
        <is>
          <t>Lima, 11 de Setiembre de 2024</t>
        </is>
      </c>
      <c r="F2050" t="inlineStr">
        <is>
          <t>la Recarga y mantenimiento</t>
        </is>
      </c>
      <c r="G2050" t="inlineStr">
        <is>
          <t xml:space="preserve"> </t>
        </is>
      </c>
      <c r="H2050" t="inlineStr">
        <is>
          <t>12 KG</t>
        </is>
      </c>
      <c r="I2050" t="n">
        <v>2025</v>
      </c>
      <c r="J2050" t="inlineStr">
        <is>
          <t>S/N</t>
        </is>
      </c>
      <c r="K2050" t="inlineStr">
        <is>
          <t>SETIEMBRE 2024</t>
        </is>
      </c>
      <c r="L2050" t="inlineStr">
        <is>
          <t>SETIEMBRE 2025</t>
        </is>
      </c>
      <c r="M2050" t="inlineStr">
        <is>
          <t>P.Q.S TIPO ABC</t>
        </is>
      </c>
      <c r="N2050" t="inlineStr">
        <is>
          <t>11 /SN</t>
        </is>
      </c>
      <c r="O2050" t="inlineStr">
        <is>
          <t>R</t>
        </is>
      </c>
      <c r="P2050">
        <f>TRIM(N2050)</f>
        <v/>
      </c>
    </row>
    <row r="2051">
      <c r="A2051" t="inlineStr">
        <is>
          <t>CO-002069</t>
        </is>
      </c>
      <c r="B2051" t="inlineStr">
        <is>
          <t>ASOCIACION  DE  PROPIETARIOS MERCADO ACUMERCAN</t>
        </is>
      </c>
      <c r="D2051" t="inlineStr">
        <is>
          <t>MERCADO AÑO NUEVO</t>
        </is>
      </c>
      <c r="E2051" t="inlineStr">
        <is>
          <t>Lima, 11 de Setiembre de 2024</t>
        </is>
      </c>
      <c r="F2051" t="inlineStr">
        <is>
          <t>la Recarga y mantenimiento</t>
        </is>
      </c>
      <c r="G2051" t="n">
        <v>9</v>
      </c>
      <c r="H2051" t="inlineStr">
        <is>
          <t>12 KG</t>
        </is>
      </c>
      <c r="I2051" t="n">
        <v>2025</v>
      </c>
      <c r="J2051" t="inlineStr">
        <is>
          <t>S/N</t>
        </is>
      </c>
      <c r="K2051" t="inlineStr">
        <is>
          <t>SETIEMBRE 2024</t>
        </is>
      </c>
      <c r="L2051" t="inlineStr">
        <is>
          <t>SETIEMBRE 2025</t>
        </is>
      </c>
      <c r="M2051" t="inlineStr">
        <is>
          <t>P.Q.S TIPO ABC</t>
        </is>
      </c>
      <c r="N2051" t="inlineStr">
        <is>
          <t>10 /SN</t>
        </is>
      </c>
      <c r="O2051" t="inlineStr">
        <is>
          <t>R</t>
        </is>
      </c>
      <c r="P2051">
        <f>TRIM(N2051)</f>
        <v/>
      </c>
    </row>
    <row r="2052">
      <c r="A2052" t="inlineStr">
        <is>
          <t>CO-002069</t>
        </is>
      </c>
      <c r="B2052" t="inlineStr">
        <is>
          <t>ASOCIACION  DE  PROPIETARIOS MERCADO ACUMERCAN</t>
        </is>
      </c>
      <c r="D2052" t="inlineStr">
        <is>
          <t>MERCADO AÑO NUEVO</t>
        </is>
      </c>
      <c r="E2052" t="inlineStr">
        <is>
          <t>Lima, 11 de Setiembre de 2024</t>
        </is>
      </c>
      <c r="F2052" t="inlineStr">
        <is>
          <t>la Recarga y mantenimiento</t>
        </is>
      </c>
      <c r="G2052" t="n">
        <v>10</v>
      </c>
      <c r="H2052" t="inlineStr">
        <is>
          <t>12 KG</t>
        </is>
      </c>
      <c r="I2052" t="n">
        <v>2025</v>
      </c>
      <c r="J2052" t="inlineStr">
        <is>
          <t>S/N</t>
        </is>
      </c>
      <c r="K2052" t="inlineStr">
        <is>
          <t>SETIEMBRE 2024</t>
        </is>
      </c>
      <c r="L2052" t="inlineStr">
        <is>
          <t>SETIEMBRE 2025</t>
        </is>
      </c>
      <c r="M2052" t="inlineStr">
        <is>
          <t>P.Q.S TIPO ABC</t>
        </is>
      </c>
      <c r="N2052" t="inlineStr">
        <is>
          <t>09 /SN</t>
        </is>
      </c>
      <c r="O2052" t="inlineStr">
        <is>
          <t>R</t>
        </is>
      </c>
      <c r="P2052">
        <f>TRIM(N2052)</f>
        <v/>
      </c>
    </row>
    <row r="2053">
      <c r="A2053" t="inlineStr">
        <is>
          <t>CO-002069</t>
        </is>
      </c>
      <c r="B2053" t="inlineStr">
        <is>
          <t>ASOCIACION  DE  PROPIETARIOS MERCADO ACUMERCAN</t>
        </is>
      </c>
      <c r="D2053" t="inlineStr">
        <is>
          <t>MERCADO AÑO NUEVO</t>
        </is>
      </c>
      <c r="E2053" t="inlineStr">
        <is>
          <t>Lima, 11 de Setiembre de 2024</t>
        </is>
      </c>
      <c r="F2053" t="inlineStr">
        <is>
          <t>la Recarga y mantenimiento</t>
        </is>
      </c>
      <c r="G2053" t="n">
        <v>11</v>
      </c>
      <c r="H2053" t="inlineStr">
        <is>
          <t>12 KG</t>
        </is>
      </c>
      <c r="I2053" t="n">
        <v>2025</v>
      </c>
      <c r="J2053" t="n">
        <v>2015</v>
      </c>
      <c r="K2053" t="inlineStr">
        <is>
          <t>SETIEMBRE 2024</t>
        </is>
      </c>
      <c r="L2053" t="inlineStr">
        <is>
          <t>SETIEMBRE 2025</t>
        </is>
      </c>
      <c r="M2053" t="inlineStr">
        <is>
          <t>P.Q.S TIPO ABC</t>
        </is>
      </c>
      <c r="N2053" t="inlineStr">
        <is>
          <t>12/000092</t>
        </is>
      </c>
      <c r="O2053" t="inlineStr">
        <is>
          <t>R</t>
        </is>
      </c>
      <c r="P2053">
        <f>TRIM(N2053)</f>
        <v/>
      </c>
    </row>
    <row r="2054">
      <c r="A2054" t="inlineStr">
        <is>
          <t>CO-002070</t>
        </is>
      </c>
      <c r="B2054" t="inlineStr">
        <is>
          <t>VIOLETA LUNA</t>
        </is>
      </c>
      <c r="D2054" t="inlineStr">
        <is>
          <t>PLACA : ATK-907</t>
        </is>
      </c>
      <c r="E2054" t="inlineStr">
        <is>
          <t>Lima, 11 de Setiembre de 2024</t>
        </is>
      </c>
      <c r="F2054" t="inlineStr">
        <is>
          <t>la Recarga y mantenimiento</t>
        </is>
      </c>
      <c r="G2054" t="inlineStr">
        <is>
          <t>01</t>
        </is>
      </c>
      <c r="H2054" t="inlineStr">
        <is>
          <t>09 KG</t>
        </is>
      </c>
      <c r="I2054" t="inlineStr">
        <is>
          <t>2025</t>
        </is>
      </c>
      <c r="J2054" t="n">
        <v>2015</v>
      </c>
      <c r="K2054" t="inlineStr">
        <is>
          <t>SETIEMBRE 2024</t>
        </is>
      </c>
      <c r="L2054" t="inlineStr">
        <is>
          <t>SETIEMBRE 2025</t>
        </is>
      </c>
      <c r="M2054" t="inlineStr">
        <is>
          <t>P.Q.S TIPO ABC</t>
        </is>
      </c>
      <c r="N2054" t="inlineStr">
        <is>
          <t>000248</t>
        </is>
      </c>
      <c r="O2054" t="inlineStr">
        <is>
          <t>R</t>
        </is>
      </c>
      <c r="P2054">
        <f>TRIM(N2054)</f>
        <v/>
      </c>
    </row>
    <row r="2055">
      <c r="A2055" t="inlineStr">
        <is>
          <t>CO-002071</t>
        </is>
      </c>
      <c r="B2055" t="inlineStr">
        <is>
          <t>BODEGA  NAYRA</t>
        </is>
      </c>
      <c r="D2055" t="inlineStr">
        <is>
          <t>JR.CUSCO N°400 COPERATIVA PABLO VI - COMAS</t>
        </is>
      </c>
      <c r="E2055" t="inlineStr">
        <is>
          <t>Lima,12 de Setiembre de 2024</t>
        </is>
      </c>
      <c r="F2055" t="inlineStr">
        <is>
          <t>la Recarga y mantenimiento</t>
        </is>
      </c>
      <c r="G2055" t="inlineStr">
        <is>
          <t>01</t>
        </is>
      </c>
      <c r="H2055" t="inlineStr">
        <is>
          <t>06 KG</t>
        </is>
      </c>
      <c r="I2055" t="inlineStr">
        <is>
          <t>2028</t>
        </is>
      </c>
      <c r="J2055" t="n">
        <v>2023</v>
      </c>
      <c r="K2055" t="inlineStr">
        <is>
          <t>SETIEMBRE 2024</t>
        </is>
      </c>
      <c r="L2055" t="inlineStr">
        <is>
          <t>SETIEMBRE 2025</t>
        </is>
      </c>
      <c r="M2055" t="inlineStr">
        <is>
          <t>P.Q.S TIPO ABC</t>
        </is>
      </c>
      <c r="N2055" t="inlineStr">
        <is>
          <t>002488</t>
        </is>
      </c>
      <c r="O2055" t="inlineStr">
        <is>
          <t>R</t>
        </is>
      </c>
      <c r="P2055">
        <f>TRIM(N2055)</f>
        <v/>
      </c>
    </row>
    <row r="2056">
      <c r="A2056" t="inlineStr">
        <is>
          <t>CO-002071</t>
        </is>
      </c>
      <c r="B2056" t="inlineStr">
        <is>
          <t>BODEGA  NAYRA</t>
        </is>
      </c>
      <c r="D2056" t="inlineStr">
        <is>
          <t>JR.CUSCO N°400 COPERATIVA PABLO VI - COMAS</t>
        </is>
      </c>
      <c r="E2056" t="inlineStr">
        <is>
          <t>Lima,12 de Setiembre de 2024</t>
        </is>
      </c>
      <c r="F2056" t="inlineStr">
        <is>
          <t>la Recarga y mantenimiento</t>
        </is>
      </c>
      <c r="G2056" t="inlineStr">
        <is>
          <t>02</t>
        </is>
      </c>
      <c r="H2056" t="inlineStr">
        <is>
          <t>06 KG</t>
        </is>
      </c>
      <c r="I2056" t="inlineStr">
        <is>
          <t>2029</t>
        </is>
      </c>
      <c r="J2056" t="n">
        <v>2019</v>
      </c>
      <c r="K2056" t="inlineStr">
        <is>
          <t>SETIEMBRE 2024</t>
        </is>
      </c>
      <c r="L2056" t="inlineStr">
        <is>
          <t>SETIEMBRE 2025</t>
        </is>
      </c>
      <c r="M2056" t="inlineStr">
        <is>
          <t>P.Q.S TIPO ABC</t>
        </is>
      </c>
      <c r="N2056" t="inlineStr">
        <is>
          <t>008831</t>
        </is>
      </c>
      <c r="O2056" t="inlineStr">
        <is>
          <t>R</t>
        </is>
      </c>
      <c r="P2056">
        <f>TRIM(N2056)</f>
        <v/>
      </c>
    </row>
    <row r="2057">
      <c r="A2057" t="inlineStr">
        <is>
          <t>CO-002072</t>
        </is>
      </c>
      <c r="B2057" t="inlineStr">
        <is>
          <t>FARMACIA INCAPERU 
De: Clara Nélida  Mayorga Huaringa</t>
        </is>
      </c>
      <c r="D2057" t="inlineStr">
        <is>
          <t xml:space="preserve"> AV. PROCERES DE HUANDOY MZ. D LOTE 26 INT. B AA.HH. LOS ROSALES DE HUANDOY - LOS OLIVOS</t>
        </is>
      </c>
      <c r="E2057" t="inlineStr">
        <is>
          <t>Lima,12 de Setiembre de 2024</t>
        </is>
      </c>
      <c r="F2057" t="inlineStr">
        <is>
          <t>la Recarga y mantenimiento</t>
        </is>
      </c>
      <c r="G2057" t="inlineStr">
        <is>
          <t>01</t>
        </is>
      </c>
      <c r="H2057" t="inlineStr">
        <is>
          <t>06 KG</t>
        </is>
      </c>
      <c r="I2057" t="inlineStr">
        <is>
          <t>2026</t>
        </is>
      </c>
      <c r="J2057" t="n">
        <v>2021</v>
      </c>
      <c r="K2057" t="inlineStr">
        <is>
          <t>SETIEMBRE 2024</t>
        </is>
      </c>
      <c r="L2057" t="inlineStr">
        <is>
          <t>SETIEMBRE 2025</t>
        </is>
      </c>
      <c r="M2057" t="inlineStr">
        <is>
          <t>P.Q.S TIPO ABC</t>
        </is>
      </c>
      <c r="N2057" t="inlineStr">
        <is>
          <t>010020</t>
        </is>
      </c>
      <c r="O2057" t="inlineStr">
        <is>
          <t>R</t>
        </is>
      </c>
      <c r="P2057">
        <f>TRIM(N2057)</f>
        <v/>
      </c>
    </row>
    <row r="2058">
      <c r="A2058" t="inlineStr">
        <is>
          <t>CO-002073</t>
        </is>
      </c>
      <c r="B2058" t="inlineStr">
        <is>
          <t>PERU MASIVO S.A</t>
        </is>
      </c>
      <c r="C2058" t="inlineStr">
        <is>
          <t>20492392031</t>
        </is>
      </c>
      <c r="D2058" t="inlineStr">
        <is>
          <t>AV. LOS INCAS CDRA. 4 PATIO NORTE - COMAS</t>
        </is>
      </c>
      <c r="E2058" t="inlineStr">
        <is>
          <t>Lima, 17 de Setiembre 2024</t>
        </is>
      </c>
      <c r="F2058" t="inlineStr">
        <is>
          <t>la Recarga y mantenimiento</t>
        </is>
      </c>
      <c r="G2058" t="inlineStr">
        <is>
          <t>01</t>
        </is>
      </c>
      <c r="H2058" t="inlineStr">
        <is>
          <t>06 KG</t>
        </is>
      </c>
      <c r="I2058" t="inlineStr">
        <is>
          <t>2028</t>
        </is>
      </c>
      <c r="J2058" t="n">
        <v>2009</v>
      </c>
      <c r="K2058" t="inlineStr">
        <is>
          <t>SETIEMBRE 2024</t>
        </is>
      </c>
      <c r="L2058" t="inlineStr">
        <is>
          <t>SETIEMBRE 2025</t>
        </is>
      </c>
      <c r="M2058" t="inlineStr">
        <is>
          <t>P.Q.S TIPO ABC AL 90 % NACIONAL</t>
        </is>
      </c>
      <c r="N2058" t="inlineStr">
        <is>
          <t>320/ 002699</t>
        </is>
      </c>
      <c r="O2058" t="inlineStr">
        <is>
          <t>R</t>
        </is>
      </c>
      <c r="P2058">
        <f>TRIM(N2058)</f>
        <v/>
      </c>
    </row>
    <row r="2059">
      <c r="A2059" t="inlineStr">
        <is>
          <t>CO-002073</t>
        </is>
      </c>
      <c r="B2059" t="inlineStr">
        <is>
          <t>PERU MASIVO S.A</t>
        </is>
      </c>
      <c r="C2059" t="inlineStr">
        <is>
          <t>20492392031</t>
        </is>
      </c>
      <c r="D2059" t="inlineStr">
        <is>
          <t>AV. LOS INCAS CDRA. 4 PATIO NORTE - COMAS</t>
        </is>
      </c>
      <c r="E2059" t="inlineStr">
        <is>
          <t>Lima, 17 de Setiembre 2024</t>
        </is>
      </c>
      <c r="F2059" t="inlineStr">
        <is>
          <t>la Recarga y mantenimiento</t>
        </is>
      </c>
      <c r="G2059" t="inlineStr">
        <is>
          <t>02</t>
        </is>
      </c>
      <c r="H2059" t="inlineStr">
        <is>
          <t>06 KG</t>
        </is>
      </c>
      <c r="I2059" t="inlineStr">
        <is>
          <t>2028</t>
        </is>
      </c>
      <c r="J2059" t="n">
        <v>2009</v>
      </c>
      <c r="K2059" t="inlineStr">
        <is>
          <t>SETIEMBRE 2024</t>
        </is>
      </c>
      <c r="L2059" t="inlineStr">
        <is>
          <t>SETIEMBRE 2025</t>
        </is>
      </c>
      <c r="M2059" t="inlineStr">
        <is>
          <t>P.Q.S TIPO ABC AL 90 % NACIONAL</t>
        </is>
      </c>
      <c r="N2059" t="inlineStr">
        <is>
          <t>160/ 001093</t>
        </is>
      </c>
      <c r="O2059" t="inlineStr">
        <is>
          <t>R</t>
        </is>
      </c>
      <c r="P2059">
        <f>TRIM(N2059)</f>
        <v/>
      </c>
    </row>
    <row r="2060">
      <c r="A2060" t="inlineStr">
        <is>
          <t>CO-002073</t>
        </is>
      </c>
      <c r="B2060" t="inlineStr">
        <is>
          <t>PERU MASIVO S.A</t>
        </is>
      </c>
      <c r="C2060" t="inlineStr">
        <is>
          <t>20492392031</t>
        </is>
      </c>
      <c r="D2060" t="inlineStr">
        <is>
          <t>AV. LOS INCAS CDRA. 4 PATIO NORTE - COMAS</t>
        </is>
      </c>
      <c r="E2060" t="inlineStr">
        <is>
          <t>Lima, 17 de Setiembre 2024</t>
        </is>
      </c>
      <c r="F2060" t="inlineStr">
        <is>
          <t>la Recarga y mantenimiento</t>
        </is>
      </c>
      <c r="G2060" t="inlineStr">
        <is>
          <t>03</t>
        </is>
      </c>
      <c r="H2060" t="inlineStr">
        <is>
          <t>06KG</t>
        </is>
      </c>
      <c r="I2060" t="n">
        <v>2028</v>
      </c>
      <c r="J2060" t="n">
        <v>2010</v>
      </c>
      <c r="K2060" t="inlineStr">
        <is>
          <t>SETIEMBRE 2024</t>
        </is>
      </c>
      <c r="L2060" t="inlineStr">
        <is>
          <t>SETIEMBRE 2025</t>
        </is>
      </c>
      <c r="M2060" t="inlineStr">
        <is>
          <t>P.Q.S TIPO ABC AL 90 % NACIONAL</t>
        </is>
      </c>
      <c r="N2060" t="inlineStr">
        <is>
          <t>380/ 000005</t>
        </is>
      </c>
      <c r="O2060" t="inlineStr">
        <is>
          <t>R</t>
        </is>
      </c>
      <c r="P2060">
        <f>TRIM(N2060)</f>
        <v/>
      </c>
    </row>
    <row r="2061">
      <c r="A2061" t="inlineStr">
        <is>
          <t>CO-002073</t>
        </is>
      </c>
      <c r="B2061" t="inlineStr">
        <is>
          <t>PERU MASIVO S.A</t>
        </is>
      </c>
      <c r="C2061" t="inlineStr">
        <is>
          <t>20492392031</t>
        </is>
      </c>
      <c r="D2061" t="inlineStr">
        <is>
          <t>AV. LOS INCAS CDRA. 4 PATIO NORTE - COMAS</t>
        </is>
      </c>
      <c r="E2061" t="inlineStr">
        <is>
          <t>Lima, 17 de Setiembre 2024</t>
        </is>
      </c>
      <c r="F2061" t="inlineStr">
        <is>
          <t>la Recarga y mantenimiento</t>
        </is>
      </c>
      <c r="G2061" t="inlineStr">
        <is>
          <t>04</t>
        </is>
      </c>
      <c r="H2061" t="inlineStr">
        <is>
          <t>06KG</t>
        </is>
      </c>
      <c r="I2061" t="n">
        <v>2028</v>
      </c>
      <c r="J2061" t="n">
        <v>2017</v>
      </c>
      <c r="K2061" t="inlineStr">
        <is>
          <t>SETIEMBRE 2024</t>
        </is>
      </c>
      <c r="L2061" t="inlineStr">
        <is>
          <t>SETIEMBRE 2025</t>
        </is>
      </c>
      <c r="M2061" t="inlineStr">
        <is>
          <t>P.Q.S TIPO ABC AL 90 % NACIONAL</t>
        </is>
      </c>
      <c r="N2061" t="inlineStr">
        <is>
          <t>SN/ 003064</t>
        </is>
      </c>
      <c r="O2061" t="inlineStr">
        <is>
          <t>R</t>
        </is>
      </c>
      <c r="P2061">
        <f>TRIM(N2061)</f>
        <v/>
      </c>
    </row>
    <row r="2062">
      <c r="A2062" t="inlineStr">
        <is>
          <t>CO-002073</t>
        </is>
      </c>
      <c r="B2062" t="inlineStr">
        <is>
          <t>PERU MASIVO S.A</t>
        </is>
      </c>
      <c r="C2062" t="inlineStr">
        <is>
          <t>20492392031</t>
        </is>
      </c>
      <c r="D2062" t="inlineStr">
        <is>
          <t>AV. LOS INCAS CDRA. 4 PATIO NORTE - COMAS</t>
        </is>
      </c>
      <c r="E2062" t="inlineStr">
        <is>
          <t>Lima, 17 de Setiembre 2024</t>
        </is>
      </c>
      <c r="F2062" t="inlineStr">
        <is>
          <t>la Recarga y mantenimiento</t>
        </is>
      </c>
      <c r="G2062" t="inlineStr">
        <is>
          <t>05</t>
        </is>
      </c>
      <c r="H2062" t="inlineStr">
        <is>
          <t>06 KG</t>
        </is>
      </c>
      <c r="I2062" t="n">
        <v>2029</v>
      </c>
      <c r="J2062" t="n">
        <v>2010</v>
      </c>
      <c r="K2062" t="inlineStr">
        <is>
          <t>SETIEMBRE 2024</t>
        </is>
      </c>
      <c r="L2062" t="inlineStr">
        <is>
          <t>SETIEMBRE 2025</t>
        </is>
      </c>
      <c r="M2062" t="inlineStr">
        <is>
          <t>P.Q.S TIPO ABC AL 90 % NACIONAL</t>
        </is>
      </c>
      <c r="N2062" t="inlineStr">
        <is>
          <t>SN/ 000005</t>
        </is>
      </c>
      <c r="O2062" t="inlineStr">
        <is>
          <t>R</t>
        </is>
      </c>
      <c r="P2062">
        <f>TRIM(N2062)</f>
        <v/>
      </c>
    </row>
    <row r="2063">
      <c r="A2063" t="inlineStr">
        <is>
          <t>CO-002073</t>
        </is>
      </c>
      <c r="B2063" t="inlineStr">
        <is>
          <t>PERU MASIVO S.A</t>
        </is>
      </c>
      <c r="C2063" t="inlineStr">
        <is>
          <t>20492392031</t>
        </is>
      </c>
      <c r="D2063" t="inlineStr">
        <is>
          <t>AV. LOS INCAS CDRA. 4 PATIO NORTE - COMAS</t>
        </is>
      </c>
      <c r="E2063" t="inlineStr">
        <is>
          <t>Lima, 17 de Setiembre 2024</t>
        </is>
      </c>
      <c r="F2063" t="inlineStr">
        <is>
          <t>la Recarga y mantenimiento</t>
        </is>
      </c>
      <c r="G2063" t="inlineStr">
        <is>
          <t>06</t>
        </is>
      </c>
      <c r="H2063" t="inlineStr">
        <is>
          <t>06 KG</t>
        </is>
      </c>
      <c r="I2063" t="n">
        <v>2028</v>
      </c>
      <c r="J2063" t="n">
        <v>2015</v>
      </c>
      <c r="K2063" t="inlineStr">
        <is>
          <t>SETIEMBRE 2024</t>
        </is>
      </c>
      <c r="L2063" t="inlineStr">
        <is>
          <t>SETIEMBRE 2025</t>
        </is>
      </c>
      <c r="M2063" t="inlineStr">
        <is>
          <t>P.Q.S TIPO ABC AL 90 % NACIONAL</t>
        </is>
      </c>
      <c r="N2063" t="inlineStr">
        <is>
          <t>SN/ 020537</t>
        </is>
      </c>
      <c r="O2063" t="inlineStr">
        <is>
          <t>R</t>
        </is>
      </c>
      <c r="P2063">
        <f>TRIM(N2063)</f>
        <v/>
      </c>
    </row>
    <row r="2064">
      <c r="A2064" t="inlineStr">
        <is>
          <t>CO-002073</t>
        </is>
      </c>
      <c r="B2064" t="inlineStr">
        <is>
          <t>PERU MASIVO S.A</t>
        </is>
      </c>
      <c r="C2064" t="inlineStr">
        <is>
          <t>20492392031</t>
        </is>
      </c>
      <c r="D2064" t="inlineStr">
        <is>
          <t>AV. LOS INCAS CDRA. 4 PATIO NORTE - COMAS</t>
        </is>
      </c>
      <c r="E2064" t="inlineStr">
        <is>
          <t>Lima, 17 de Setiembre 2024</t>
        </is>
      </c>
      <c r="F2064" t="inlineStr">
        <is>
          <t>la Recarga y mantenimiento</t>
        </is>
      </c>
      <c r="G2064" t="inlineStr">
        <is>
          <t>07</t>
        </is>
      </c>
      <c r="H2064" t="inlineStr">
        <is>
          <t>06 KG</t>
        </is>
      </c>
      <c r="I2064" t="n">
        <v>2028</v>
      </c>
      <c r="J2064" t="n">
        <v>2009</v>
      </c>
      <c r="K2064" t="inlineStr">
        <is>
          <t>SETIEMBRE 2024</t>
        </is>
      </c>
      <c r="L2064" t="inlineStr">
        <is>
          <t>SETIEMBRE 2025</t>
        </is>
      </c>
      <c r="M2064" t="inlineStr">
        <is>
          <t>P.Q.S TIPO ABC AL 90 % NACIONAL</t>
        </is>
      </c>
      <c r="N2064" t="inlineStr">
        <is>
          <t>27 / 000474</t>
        </is>
      </c>
      <c r="O2064" t="inlineStr">
        <is>
          <t>R</t>
        </is>
      </c>
      <c r="P2064">
        <f>TRIM(N2064)</f>
        <v/>
      </c>
    </row>
    <row r="2065">
      <c r="A2065" t="inlineStr">
        <is>
          <t>CO-002073</t>
        </is>
      </c>
      <c r="B2065" t="inlineStr">
        <is>
          <t>PERU MASIVO S.A</t>
        </is>
      </c>
      <c r="C2065" t="inlineStr">
        <is>
          <t>20492392031</t>
        </is>
      </c>
      <c r="D2065" t="inlineStr">
        <is>
          <t>AV. LOS INCAS CDRA. 4 PATIO NORTE - COMAS</t>
        </is>
      </c>
      <c r="E2065" t="inlineStr">
        <is>
          <t>Lima, 17 de Setiembre 2024</t>
        </is>
      </c>
      <c r="F2065" t="inlineStr">
        <is>
          <t>la Recarga y mantenimiento</t>
        </is>
      </c>
      <c r="G2065" t="inlineStr">
        <is>
          <t>08</t>
        </is>
      </c>
      <c r="H2065" t="inlineStr">
        <is>
          <t>06 KG</t>
        </is>
      </c>
      <c r="I2065" t="n">
        <v>2028</v>
      </c>
      <c r="J2065" t="n">
        <v>2009</v>
      </c>
      <c r="K2065" t="inlineStr">
        <is>
          <t>SETIEMBRE 2024</t>
        </is>
      </c>
      <c r="L2065" t="inlineStr">
        <is>
          <t>SETIEMBRE 2025</t>
        </is>
      </c>
      <c r="M2065" t="inlineStr">
        <is>
          <t>P.Q.S TIPO ABC AL 90 % NACIONAL</t>
        </is>
      </c>
      <c r="N2065" t="inlineStr">
        <is>
          <t>82 / 001024</t>
        </is>
      </c>
      <c r="O2065" t="inlineStr">
        <is>
          <t>R</t>
        </is>
      </c>
      <c r="P2065">
        <f>TRIM(N2065)</f>
        <v/>
      </c>
    </row>
    <row r="2066">
      <c r="A2066" t="inlineStr">
        <is>
          <t>CO-002073</t>
        </is>
      </c>
      <c r="B2066" t="inlineStr">
        <is>
          <t>PERU MASIVO S.A</t>
        </is>
      </c>
      <c r="C2066" t="inlineStr">
        <is>
          <t>20492392031</t>
        </is>
      </c>
      <c r="D2066" t="inlineStr">
        <is>
          <t>AV. LOS INCAS CDRA. 4 PATIO NORTE - COMAS</t>
        </is>
      </c>
      <c r="E2066" t="inlineStr">
        <is>
          <t>Lima, 17 de Setiembre 2024</t>
        </is>
      </c>
      <c r="F2066" t="inlineStr">
        <is>
          <t>la Recarga y mantenimiento</t>
        </is>
      </c>
      <c r="G2066" t="inlineStr">
        <is>
          <t>09</t>
        </is>
      </c>
      <c r="H2066" t="inlineStr">
        <is>
          <t>06 KG</t>
        </is>
      </c>
      <c r="I2066" t="n">
        <v>2028</v>
      </c>
      <c r="J2066" t="n">
        <v>2009</v>
      </c>
      <c r="K2066" t="inlineStr">
        <is>
          <t>SETIEMBRE 2024</t>
        </is>
      </c>
      <c r="L2066" t="inlineStr">
        <is>
          <t>SETIEMBRE 2025</t>
        </is>
      </c>
      <c r="M2066" t="inlineStr">
        <is>
          <t>P.Q.S TIPO ABC AL 90 % NACIONAL</t>
        </is>
      </c>
      <c r="N2066" t="inlineStr">
        <is>
          <t>204 / 000101</t>
        </is>
      </c>
      <c r="O2066" t="inlineStr">
        <is>
          <t>R</t>
        </is>
      </c>
      <c r="P2066">
        <f>TRIM(N2066)</f>
        <v/>
      </c>
    </row>
    <row r="2067">
      <c r="A2067" t="inlineStr">
        <is>
          <t>CO-002073</t>
        </is>
      </c>
      <c r="B2067" t="inlineStr">
        <is>
          <t>PERU MASIVO S.A</t>
        </is>
      </c>
      <c r="C2067" t="inlineStr">
        <is>
          <t>20492392031</t>
        </is>
      </c>
      <c r="D2067" t="inlineStr">
        <is>
          <t>AV. LOS INCAS CDRA. 4 PATIO NORTE - COMAS</t>
        </is>
      </c>
      <c r="E2067" t="inlineStr">
        <is>
          <t>Lima, 17 de Setiembre 2024</t>
        </is>
      </c>
      <c r="F2067" t="inlineStr">
        <is>
          <t>la Recarga y mantenimiento</t>
        </is>
      </c>
      <c r="G2067" t="n">
        <v>10</v>
      </c>
      <c r="H2067" t="inlineStr">
        <is>
          <t>06 KG</t>
        </is>
      </c>
      <c r="I2067" t="n">
        <v>2028</v>
      </c>
      <c r="J2067" t="n">
        <v>2014</v>
      </c>
      <c r="K2067" t="inlineStr">
        <is>
          <t>SETIEMBRE 2024</t>
        </is>
      </c>
      <c r="L2067" t="inlineStr">
        <is>
          <t>SETIEMBRE 2025</t>
        </is>
      </c>
      <c r="M2067" t="inlineStr">
        <is>
          <t>P.Q.S TIPO ABC AL 90 % NACIONAL</t>
        </is>
      </c>
      <c r="N2067" t="inlineStr">
        <is>
          <t>SN / 000242</t>
        </is>
      </c>
      <c r="O2067" t="inlineStr">
        <is>
          <t>R</t>
        </is>
      </c>
      <c r="P2067">
        <f>TRIM(N2067)</f>
        <v/>
      </c>
    </row>
    <row r="2068">
      <c r="A2068" t="inlineStr">
        <is>
          <t>CO-002074</t>
        </is>
      </c>
      <c r="B2068" t="inlineStr">
        <is>
          <t>VIDA LIGTH De: Juan Justo Chuquiyauri Matos</t>
        </is>
      </c>
      <c r="D2068" t="inlineStr">
        <is>
          <t>AV. SAN FELIPE 812 URB. SAN FELIPE</t>
        </is>
      </c>
      <c r="E2068" t="inlineStr">
        <is>
          <t>Lima, 18 de Setiembre de 2024</t>
        </is>
      </c>
      <c r="F2068" t="inlineStr">
        <is>
          <t>la Recarga y mantenimiento</t>
        </is>
      </c>
      <c r="G2068" t="inlineStr">
        <is>
          <t>01</t>
        </is>
      </c>
      <c r="H2068" t="inlineStr">
        <is>
          <t>06 KG</t>
        </is>
      </c>
      <c r="I2068" t="inlineStr">
        <is>
          <t>2029</t>
        </is>
      </c>
      <c r="J2068" t="n">
        <v>2015</v>
      </c>
      <c r="K2068" t="inlineStr">
        <is>
          <t>SETIEMBRE 2024</t>
        </is>
      </c>
      <c r="L2068" t="inlineStr">
        <is>
          <t>SETIEMBRE 2025</t>
        </is>
      </c>
      <c r="M2068" t="inlineStr">
        <is>
          <t xml:space="preserve">P.Q.S.  TIPO ABC </t>
        </is>
      </c>
      <c r="N2068" t="inlineStr">
        <is>
          <t>000456</t>
        </is>
      </c>
      <c r="O2068" t="inlineStr">
        <is>
          <t>R</t>
        </is>
      </c>
      <c r="P2068">
        <f>TRIM(N2068)</f>
        <v/>
      </c>
    </row>
    <row r="2069">
      <c r="A2069" t="inlineStr">
        <is>
          <t>CO-002075</t>
        </is>
      </c>
      <c r="B2069" t="inlineStr">
        <is>
          <t>Melissa Pilco Veramendi</t>
        </is>
      </c>
      <c r="D2069" t="inlineStr">
        <is>
          <t>Jr. Portocarrero  203 - Año Nuevo - COMAS</t>
        </is>
      </c>
      <c r="E2069" t="inlineStr">
        <is>
          <t>Lima, 19 de Setiembre de 2024</t>
        </is>
      </c>
      <c r="F2069" t="inlineStr">
        <is>
          <t>la Recarga y mantenimiento</t>
        </is>
      </c>
      <c r="G2069" t="inlineStr">
        <is>
          <t>01</t>
        </is>
      </c>
      <c r="H2069" t="inlineStr">
        <is>
          <t>2.5 GLS</t>
        </is>
      </c>
      <c r="I2069" t="n">
        <v>2024</v>
      </c>
      <c r="J2069" t="n">
        <v>2018</v>
      </c>
      <c r="K2069" t="inlineStr">
        <is>
          <t>SETIEMBRE 2024</t>
        </is>
      </c>
      <c r="L2069" t="inlineStr">
        <is>
          <t>SETIEMBRE 2025</t>
        </is>
      </c>
      <c r="M2069" t="inlineStr">
        <is>
          <t xml:space="preserve">ACETATO TIPO K </t>
        </is>
      </c>
      <c r="N2069" t="inlineStr">
        <is>
          <t>000181</t>
        </is>
      </c>
      <c r="O2069" t="inlineStr">
        <is>
          <t>R</t>
        </is>
      </c>
      <c r="P2069">
        <f>TRIM(N2069)</f>
        <v/>
      </c>
    </row>
    <row r="2070">
      <c r="A2070" t="inlineStr">
        <is>
          <t>CO-002076</t>
        </is>
      </c>
      <c r="B2070" t="inlineStr">
        <is>
          <t>SUNASS-PUERTO MALDONADO</t>
        </is>
      </c>
      <c r="C2070" t="n">
        <v>20158219655</v>
      </c>
      <c r="D2070" t="inlineStr">
        <is>
          <t>Av. Tambopata 461, Puerto Maldonado 17001</t>
        </is>
      </c>
      <c r="E2070" t="inlineStr">
        <is>
          <t>Lima, 19 de Setiembre de 2024</t>
        </is>
      </c>
      <c r="F2070" t="inlineStr">
        <is>
          <t>la Recarga y mantenimiento</t>
        </is>
      </c>
      <c r="G2070" t="inlineStr">
        <is>
          <t>01</t>
        </is>
      </c>
      <c r="H2070" t="inlineStr">
        <is>
          <t>06 KG</t>
        </is>
      </c>
      <c r="I2070" t="inlineStr">
        <is>
          <t>2026</t>
        </is>
      </c>
      <c r="J2070" t="n">
        <v>2017</v>
      </c>
      <c r="K2070" t="inlineStr">
        <is>
          <t>SETIEMBRE 2024</t>
        </is>
      </c>
      <c r="L2070" t="inlineStr">
        <is>
          <t>SETIEMBRE 2025</t>
        </is>
      </c>
      <c r="M2070" t="inlineStr">
        <is>
          <t xml:space="preserve">P.Q.S.  TIPO ABC </t>
        </is>
      </c>
      <c r="N2070" t="inlineStr">
        <is>
          <t>889 / 017752</t>
        </is>
      </c>
      <c r="O2070" t="inlineStr">
        <is>
          <t>R</t>
        </is>
      </c>
      <c r="P2070">
        <f>TRIM(N2070)</f>
        <v/>
      </c>
    </row>
    <row r="2071">
      <c r="A2071" t="inlineStr">
        <is>
          <t>CO-002076</t>
        </is>
      </c>
      <c r="B2071" t="inlineStr">
        <is>
          <t>SUNASS-PUERTO MALDONADO</t>
        </is>
      </c>
      <c r="C2071" t="n">
        <v>20158219655</v>
      </c>
      <c r="D2071" t="inlineStr">
        <is>
          <t>Av. Tambopata 461, Puerto Maldonado 17001</t>
        </is>
      </c>
      <c r="E2071" t="inlineStr">
        <is>
          <t>Lima, 19 de Setiembre de 2024</t>
        </is>
      </c>
      <c r="F2071" t="inlineStr">
        <is>
          <t>la Recarga y mantenimiento</t>
        </is>
      </c>
      <c r="G2071" t="inlineStr">
        <is>
          <t>02</t>
        </is>
      </c>
      <c r="H2071" t="inlineStr">
        <is>
          <t>06 KG</t>
        </is>
      </c>
      <c r="I2071" t="inlineStr">
        <is>
          <t>2026</t>
        </is>
      </c>
      <c r="J2071" t="n">
        <v>2017</v>
      </c>
      <c r="K2071" t="inlineStr">
        <is>
          <t>SETIEMBRE 2024</t>
        </is>
      </c>
      <c r="L2071" t="inlineStr">
        <is>
          <t>SETIEMBRE 2025</t>
        </is>
      </c>
      <c r="M2071" t="inlineStr">
        <is>
          <t xml:space="preserve">P.Q.S.  TIPO ABC </t>
        </is>
      </c>
      <c r="N2071" t="inlineStr">
        <is>
          <t>921 / 017777</t>
        </is>
      </c>
      <c r="O2071" t="inlineStr">
        <is>
          <t>R</t>
        </is>
      </c>
      <c r="P2071">
        <f>TRIM(N2071)</f>
        <v/>
      </c>
    </row>
    <row r="2072">
      <c r="A2072" t="inlineStr">
        <is>
          <t>CO-002076</t>
        </is>
      </c>
      <c r="B2072" t="inlineStr">
        <is>
          <t>SUNASS-PUERTO MALDONADO</t>
        </is>
      </c>
      <c r="C2072" t="n">
        <v>20158219655</v>
      </c>
      <c r="D2072" t="inlineStr">
        <is>
          <t>Av. Tambopata 461, Puerto Maldonado 17001</t>
        </is>
      </c>
      <c r="E2072" t="inlineStr">
        <is>
          <t>Lima, 19 de Setiembre de 2024</t>
        </is>
      </c>
      <c r="F2072" t="inlineStr">
        <is>
          <t>la Recarga y mantenimiento</t>
        </is>
      </c>
      <c r="G2072" t="inlineStr">
        <is>
          <t>03</t>
        </is>
      </c>
      <c r="H2072" t="inlineStr">
        <is>
          <t>06 KG</t>
        </is>
      </c>
      <c r="I2072" t="inlineStr">
        <is>
          <t>2026</t>
        </is>
      </c>
      <c r="J2072" t="n">
        <v>2017</v>
      </c>
      <c r="K2072" t="inlineStr">
        <is>
          <t>SETIEMBRE 2024</t>
        </is>
      </c>
      <c r="L2072" t="inlineStr">
        <is>
          <t>SETIEMBRE 2025</t>
        </is>
      </c>
      <c r="M2072" t="inlineStr">
        <is>
          <t xml:space="preserve">P.Q.S.  TIPO ABC </t>
        </is>
      </c>
      <c r="N2072" t="inlineStr">
        <is>
          <t>371 / 000722</t>
        </is>
      </c>
      <c r="O2072" t="inlineStr">
        <is>
          <t>R</t>
        </is>
      </c>
      <c r="P2072">
        <f>TRIM(N2072)</f>
        <v/>
      </c>
    </row>
    <row r="2073">
      <c r="A2073" t="inlineStr">
        <is>
          <t>CO-002076</t>
        </is>
      </c>
      <c r="B2073" t="inlineStr">
        <is>
          <t>SUNASS-PUERTO MALDONADO</t>
        </is>
      </c>
      <c r="C2073" t="n">
        <v>20158219655</v>
      </c>
      <c r="D2073" t="inlineStr">
        <is>
          <t>Av. Tambopata 461, Puerto Maldonado 17001</t>
        </is>
      </c>
      <c r="E2073" t="inlineStr">
        <is>
          <t>Lima, 19 de Setiembre de 2024</t>
        </is>
      </c>
      <c r="F2073" t="inlineStr">
        <is>
          <t>la Recarga y mantenimiento</t>
        </is>
      </c>
      <c r="G2073" t="inlineStr">
        <is>
          <t>04</t>
        </is>
      </c>
      <c r="H2073" t="inlineStr">
        <is>
          <t>06 KG</t>
        </is>
      </c>
      <c r="I2073" t="inlineStr">
        <is>
          <t>2026</t>
        </is>
      </c>
      <c r="J2073" t="n">
        <v>2017</v>
      </c>
      <c r="K2073" t="inlineStr">
        <is>
          <t>SETIEMBRE 2024</t>
        </is>
      </c>
      <c r="L2073" t="inlineStr">
        <is>
          <t>SETIEMBRE 2025</t>
        </is>
      </c>
      <c r="M2073" t="inlineStr">
        <is>
          <t xml:space="preserve">P.Q.S.  TIPO ABC </t>
        </is>
      </c>
      <c r="N2073" t="inlineStr">
        <is>
          <t>369 / 000733</t>
        </is>
      </c>
      <c r="O2073" t="inlineStr">
        <is>
          <t>R</t>
        </is>
      </c>
      <c r="P2073">
        <f>TRIM(N2073)</f>
        <v/>
      </c>
    </row>
    <row r="2074">
      <c r="A2074" t="inlineStr">
        <is>
          <t>CO-002076</t>
        </is>
      </c>
      <c r="B2074" t="inlineStr">
        <is>
          <t>SUNASS-PUERTO MALDONADO</t>
        </is>
      </c>
      <c r="C2074" t="n">
        <v>20158219655</v>
      </c>
      <c r="D2074" t="inlineStr">
        <is>
          <t>Av. Tambopata 461, Puerto Maldonado 17001</t>
        </is>
      </c>
      <c r="E2074" t="inlineStr">
        <is>
          <t>Lima, 19 de Setiembre de 2024</t>
        </is>
      </c>
      <c r="F2074" t="inlineStr">
        <is>
          <t>la Recarga y mantenimiento</t>
        </is>
      </c>
      <c r="G2074" t="inlineStr">
        <is>
          <t>05</t>
        </is>
      </c>
      <c r="H2074" t="inlineStr">
        <is>
          <t>06 KG</t>
        </is>
      </c>
      <c r="I2074" t="inlineStr">
        <is>
          <t>2026</t>
        </is>
      </c>
      <c r="J2074" t="n">
        <v>2017</v>
      </c>
      <c r="K2074" t="inlineStr">
        <is>
          <t>SETIEMBRE 2024</t>
        </is>
      </c>
      <c r="L2074" t="inlineStr">
        <is>
          <t>SETIEMBRE 2025</t>
        </is>
      </c>
      <c r="M2074" t="inlineStr">
        <is>
          <t xml:space="preserve">P.Q.S.  TIPO ABC </t>
        </is>
      </c>
      <c r="N2074" t="inlineStr">
        <is>
          <t>987 / 017787</t>
        </is>
      </c>
      <c r="O2074" t="inlineStr">
        <is>
          <t>R</t>
        </is>
      </c>
      <c r="P2074">
        <f>TRIM(N2074)</f>
        <v/>
      </c>
    </row>
    <row r="2075">
      <c r="A2075" t="inlineStr">
        <is>
          <t>CO-002076</t>
        </is>
      </c>
      <c r="B2075" t="inlineStr">
        <is>
          <t>SUNASS-PUERTO MALDONADO</t>
        </is>
      </c>
      <c r="C2075" t="n">
        <v>20158219655</v>
      </c>
      <c r="D2075" t="inlineStr">
        <is>
          <t>Av. Tambopata 461, Puerto Maldonado 17001</t>
        </is>
      </c>
      <c r="E2075" t="inlineStr">
        <is>
          <t>Lima, 19 de Setiembre de 2024</t>
        </is>
      </c>
      <c r="F2075" t="inlineStr">
        <is>
          <t>la Recarga y mantenimiento</t>
        </is>
      </c>
      <c r="G2075" t="inlineStr">
        <is>
          <t>06</t>
        </is>
      </c>
      <c r="H2075" t="inlineStr">
        <is>
          <t>06 KG</t>
        </is>
      </c>
      <c r="I2075" t="inlineStr">
        <is>
          <t>2026</t>
        </is>
      </c>
      <c r="J2075" t="n">
        <v>2017</v>
      </c>
      <c r="K2075" t="inlineStr">
        <is>
          <t>SETIEMBRE 2024</t>
        </is>
      </c>
      <c r="L2075" t="inlineStr">
        <is>
          <t>SETIEMBRE 2025</t>
        </is>
      </c>
      <c r="M2075" t="inlineStr">
        <is>
          <t xml:space="preserve">P.Q.S.  TIPO ABC </t>
        </is>
      </c>
      <c r="N2075" t="inlineStr">
        <is>
          <t>2876 / 000193</t>
        </is>
      </c>
      <c r="O2075" t="inlineStr">
        <is>
          <t>R</t>
        </is>
      </c>
      <c r="P2075">
        <f>TRIM(N2075)</f>
        <v/>
      </c>
    </row>
    <row r="2076">
      <c r="A2076" t="inlineStr">
        <is>
          <t>CO-002076</t>
        </is>
      </c>
      <c r="B2076" t="inlineStr">
        <is>
          <t>SUNASS-PUERTO MALDONADO</t>
        </is>
      </c>
      <c r="C2076" t="n">
        <v>20158219655</v>
      </c>
      <c r="D2076" t="inlineStr">
        <is>
          <t>Av. Tambopata 461, Puerto Maldonado 17001</t>
        </is>
      </c>
      <c r="E2076" t="inlineStr">
        <is>
          <t>Lima, 19 de Setiembre de 2024</t>
        </is>
      </c>
      <c r="F2076" t="inlineStr">
        <is>
          <t>la Recarga y mantenimiento</t>
        </is>
      </c>
      <c r="G2076" t="inlineStr">
        <is>
          <t>07</t>
        </is>
      </c>
      <c r="H2076" t="inlineStr">
        <is>
          <t>06 KG</t>
        </is>
      </c>
      <c r="I2076" t="inlineStr">
        <is>
          <t>2026</t>
        </is>
      </c>
      <c r="J2076" t="n">
        <v>2017</v>
      </c>
      <c r="K2076" t="inlineStr">
        <is>
          <t>SETIEMBRE 2024</t>
        </is>
      </c>
      <c r="L2076" t="inlineStr">
        <is>
          <t>SETIEMBRE 2025</t>
        </is>
      </c>
      <c r="M2076" t="inlineStr">
        <is>
          <t xml:space="preserve">P.Q.S.  TIPO ABC </t>
        </is>
      </c>
      <c r="N2076" t="inlineStr">
        <is>
          <t>337 / 000987</t>
        </is>
      </c>
      <c r="O2076" t="inlineStr">
        <is>
          <t>R</t>
        </is>
      </c>
      <c r="P2076">
        <f>TRIM(N2076)</f>
        <v/>
      </c>
    </row>
    <row r="2077">
      <c r="A2077" t="inlineStr">
        <is>
          <t>CO-002076</t>
        </is>
      </c>
      <c r="B2077" t="inlineStr">
        <is>
          <t>SUNASS-PUERTO MALDONADO</t>
        </is>
      </c>
      <c r="C2077" t="n">
        <v>20158219655</v>
      </c>
      <c r="D2077" t="inlineStr">
        <is>
          <t>Av. Tambopata 461, Puerto Maldonado 17001</t>
        </is>
      </c>
      <c r="E2077" t="inlineStr">
        <is>
          <t>Lima, 19 de Setiembre de 2024</t>
        </is>
      </c>
      <c r="F2077" t="inlineStr">
        <is>
          <t>la Recarga y mantenimiento</t>
        </is>
      </c>
      <c r="G2077" t="inlineStr">
        <is>
          <t>08</t>
        </is>
      </c>
      <c r="H2077" t="inlineStr">
        <is>
          <t>10 LB</t>
        </is>
      </c>
      <c r="I2077" t="inlineStr">
        <is>
          <t>2026</t>
        </is>
      </c>
      <c r="J2077" t="n">
        <v>2017</v>
      </c>
      <c r="K2077" t="inlineStr">
        <is>
          <t>SETIEMBRE 2024</t>
        </is>
      </c>
      <c r="L2077" t="inlineStr">
        <is>
          <t>SETIEMBRE 2025</t>
        </is>
      </c>
      <c r="M2077" t="inlineStr">
        <is>
          <t>CO2 BC</t>
        </is>
      </c>
      <c r="N2077" t="inlineStr">
        <is>
          <t>S/N / 001043</t>
        </is>
      </c>
      <c r="O2077" t="inlineStr">
        <is>
          <t>R</t>
        </is>
      </c>
      <c r="P2077">
        <f>TRIM(N2077)</f>
        <v/>
      </c>
    </row>
    <row r="2078">
      <c r="A2078" t="inlineStr">
        <is>
          <t>CO-002076</t>
        </is>
      </c>
      <c r="B2078" t="inlineStr">
        <is>
          <t>SUNASS-PUERTO MALDONADO</t>
        </is>
      </c>
      <c r="C2078" t="n">
        <v>20158219655</v>
      </c>
      <c r="D2078" t="inlineStr">
        <is>
          <t>Av. Tambopata 461, Puerto Maldonado 17001</t>
        </is>
      </c>
      <c r="E2078" t="inlineStr">
        <is>
          <t>Lima, 19 de Setiembre de 2024</t>
        </is>
      </c>
      <c r="F2078" t="inlineStr">
        <is>
          <t>la Recarga y mantenimiento</t>
        </is>
      </c>
      <c r="G2078" t="inlineStr">
        <is>
          <t>09</t>
        </is>
      </c>
      <c r="H2078" t="inlineStr">
        <is>
          <t>02 KG</t>
        </is>
      </c>
      <c r="I2078" t="n">
        <v>2028</v>
      </c>
      <c r="J2078" t="n">
        <v>2018</v>
      </c>
      <c r="K2078" t="inlineStr">
        <is>
          <t>SETIEMBRE 2024</t>
        </is>
      </c>
      <c r="L2078" t="inlineStr">
        <is>
          <t>SETIEMBRE 2025</t>
        </is>
      </c>
      <c r="M2078" t="inlineStr">
        <is>
          <t xml:space="preserve">P.Q.S.  AL 75 % TIPO ABC </t>
        </is>
      </c>
      <c r="N2078" t="inlineStr">
        <is>
          <t>004336</t>
        </is>
      </c>
      <c r="P2078">
        <f>TRIM(N2078)</f>
        <v/>
      </c>
    </row>
    <row r="2079">
      <c r="A2079" t="inlineStr">
        <is>
          <t>CO-002077</t>
        </is>
      </c>
      <c r="B2079" t="inlineStr">
        <is>
          <t>PERU MASIVO S.A</t>
        </is>
      </c>
      <c r="C2079" t="inlineStr">
        <is>
          <t>20492392031</t>
        </is>
      </c>
      <c r="D2079" t="inlineStr">
        <is>
          <t>AV. LOS INCAS CDRA. 4 PATIO NORTE - COMAS</t>
        </is>
      </c>
      <c r="E2079" t="inlineStr">
        <is>
          <t>Lima, 23 de Setiembre 2024</t>
        </is>
      </c>
      <c r="F2079" t="inlineStr">
        <is>
          <t>la Recarga y mantenimiento</t>
        </is>
      </c>
      <c r="G2079" t="inlineStr">
        <is>
          <t>01</t>
        </is>
      </c>
      <c r="H2079" t="inlineStr">
        <is>
          <t>06 KG</t>
        </is>
      </c>
      <c r="I2079" t="inlineStr">
        <is>
          <t>2028</t>
        </is>
      </c>
      <c r="J2079" t="n">
        <v>2014</v>
      </c>
      <c r="K2079" t="inlineStr">
        <is>
          <t>SETIEMBRE 2024</t>
        </is>
      </c>
      <c r="L2079" t="inlineStr">
        <is>
          <t>SETIEMBRE 2025</t>
        </is>
      </c>
      <c r="M2079" t="inlineStr">
        <is>
          <t>P.Q.S TIPO ABC AL 90 % NACIONAL</t>
        </is>
      </c>
      <c r="N2079" t="inlineStr">
        <is>
          <t>S/N / 001886</t>
        </is>
      </c>
      <c r="O2079" t="inlineStr">
        <is>
          <t>R</t>
        </is>
      </c>
      <c r="P2079">
        <f>TRIM(N2079)</f>
        <v/>
      </c>
    </row>
    <row r="2080">
      <c r="A2080" t="inlineStr">
        <is>
          <t>CO-002077</t>
        </is>
      </c>
      <c r="B2080" t="inlineStr">
        <is>
          <t>PERU MASIVO S.A</t>
        </is>
      </c>
      <c r="C2080" t="inlineStr">
        <is>
          <t>20492392031</t>
        </is>
      </c>
      <c r="D2080" t="inlineStr">
        <is>
          <t>AV. LOS INCAS CDRA. 4 PATIO NORTE - COMAS</t>
        </is>
      </c>
      <c r="E2080" t="inlineStr">
        <is>
          <t>Lima, 23 de Setiembre 2024</t>
        </is>
      </c>
      <c r="F2080" t="inlineStr">
        <is>
          <t>la Recarga y mantenimiento</t>
        </is>
      </c>
      <c r="G2080" t="inlineStr">
        <is>
          <t>02</t>
        </is>
      </c>
      <c r="H2080" t="inlineStr">
        <is>
          <t>06 KG</t>
        </is>
      </c>
      <c r="I2080" t="inlineStr">
        <is>
          <t>2028</t>
        </is>
      </c>
      <c r="J2080" t="n">
        <v>2017</v>
      </c>
      <c r="K2080" t="inlineStr">
        <is>
          <t>SETIEMBRE 2024</t>
        </is>
      </c>
      <c r="L2080" t="inlineStr">
        <is>
          <t>SETIEMBRE 2025</t>
        </is>
      </c>
      <c r="M2080" t="inlineStr">
        <is>
          <t>P.Q.S TIPO ABC AL 90 % NACIONAL</t>
        </is>
      </c>
      <c r="N2080" t="inlineStr">
        <is>
          <t>S/N / 003212</t>
        </is>
      </c>
      <c r="O2080" t="inlineStr">
        <is>
          <t>R</t>
        </is>
      </c>
      <c r="P2080">
        <f>TRIM(N2080)</f>
        <v/>
      </c>
    </row>
    <row r="2081">
      <c r="A2081" t="inlineStr">
        <is>
          <t>CO-002077</t>
        </is>
      </c>
      <c r="B2081" t="inlineStr">
        <is>
          <t>PERU MASIVO S.A</t>
        </is>
      </c>
      <c r="C2081" t="inlineStr">
        <is>
          <t>20492392031</t>
        </is>
      </c>
      <c r="D2081" t="inlineStr">
        <is>
          <t>AV. LOS INCAS CDRA. 4 PATIO NORTE - COMAS</t>
        </is>
      </c>
      <c r="E2081" t="inlineStr">
        <is>
          <t>Lima, 23 de Setiembre 2024</t>
        </is>
      </c>
      <c r="F2081" t="inlineStr">
        <is>
          <t>la Recarga y mantenimiento</t>
        </is>
      </c>
      <c r="G2081" t="inlineStr">
        <is>
          <t>03</t>
        </is>
      </c>
      <c r="H2081" t="inlineStr">
        <is>
          <t>06KG</t>
        </is>
      </c>
      <c r="I2081" t="n">
        <v>2028</v>
      </c>
      <c r="J2081" t="n">
        <v>2009</v>
      </c>
      <c r="K2081" t="inlineStr">
        <is>
          <t>SETIEMBRE 2024</t>
        </is>
      </c>
      <c r="L2081" t="inlineStr">
        <is>
          <t>SETIEMBRE 2025</t>
        </is>
      </c>
      <c r="M2081" t="inlineStr">
        <is>
          <t>P.Q.S TIPO ABC AL 90 % NACIONAL</t>
        </is>
      </c>
      <c r="N2081" t="inlineStr">
        <is>
          <t>310 / 000003</t>
        </is>
      </c>
      <c r="O2081" t="inlineStr">
        <is>
          <t>R</t>
        </is>
      </c>
      <c r="P2081">
        <f>TRIM(N2081)</f>
        <v/>
      </c>
    </row>
    <row r="2082">
      <c r="A2082" t="inlineStr">
        <is>
          <t>CO-002077</t>
        </is>
      </c>
      <c r="B2082" t="inlineStr">
        <is>
          <t>PERU MASIVO S.A</t>
        </is>
      </c>
      <c r="C2082" t="inlineStr">
        <is>
          <t>20492392031</t>
        </is>
      </c>
      <c r="D2082" t="inlineStr">
        <is>
          <t>AV. LOS INCAS CDRA. 4 PATIO NORTE - COMAS</t>
        </is>
      </c>
      <c r="E2082" t="inlineStr">
        <is>
          <t>Lima, 23 de Setiembre 2024</t>
        </is>
      </c>
      <c r="F2082" t="inlineStr">
        <is>
          <t>la Recarga y mantenimiento</t>
        </is>
      </c>
      <c r="G2082" t="inlineStr">
        <is>
          <t>04</t>
        </is>
      </c>
      <c r="H2082" t="inlineStr">
        <is>
          <t>06KG</t>
        </is>
      </c>
      <c r="I2082" t="n">
        <v>2028</v>
      </c>
      <c r="J2082" t="n">
        <v>2009</v>
      </c>
      <c r="K2082" t="inlineStr">
        <is>
          <t>SETIEMBRE 2024</t>
        </is>
      </c>
      <c r="L2082" t="inlineStr">
        <is>
          <t>SETIEMBRE 2025</t>
        </is>
      </c>
      <c r="M2082" t="inlineStr">
        <is>
          <t>P.Q.S TIPO ABC AL 90 % NACIONAL</t>
        </is>
      </c>
      <c r="N2082" t="inlineStr">
        <is>
          <t>225 / 001938</t>
        </is>
      </c>
      <c r="O2082" t="inlineStr">
        <is>
          <t>R</t>
        </is>
      </c>
      <c r="P2082">
        <f>TRIM(N2082)</f>
        <v/>
      </c>
    </row>
    <row r="2083">
      <c r="A2083" t="inlineStr">
        <is>
          <t>CO-002077</t>
        </is>
      </c>
      <c r="B2083" t="inlineStr">
        <is>
          <t>PERU MASIVO S.A</t>
        </is>
      </c>
      <c r="C2083" t="inlineStr">
        <is>
          <t>20492392031</t>
        </is>
      </c>
      <c r="D2083" t="inlineStr">
        <is>
          <t>AV. LOS INCAS CDRA. 4 PATIO NORTE - COMAS</t>
        </is>
      </c>
      <c r="E2083" t="inlineStr">
        <is>
          <t>Lima, 23 de Setiembre 2024</t>
        </is>
      </c>
      <c r="F2083" t="inlineStr">
        <is>
          <t>la Recarga y mantenimiento</t>
        </is>
      </c>
      <c r="G2083" t="inlineStr">
        <is>
          <t>05</t>
        </is>
      </c>
      <c r="H2083" t="inlineStr">
        <is>
          <t>06 KG</t>
        </is>
      </c>
      <c r="I2083" t="n">
        <v>2028</v>
      </c>
      <c r="J2083" t="n">
        <v>2009</v>
      </c>
      <c r="K2083" t="inlineStr">
        <is>
          <t>SETIEMBRE 2024</t>
        </is>
      </c>
      <c r="L2083" t="inlineStr">
        <is>
          <t>SETIEMBRE 2025</t>
        </is>
      </c>
      <c r="M2083" t="inlineStr">
        <is>
          <t>P.Q.S TIPO ABC AL 90 % NACIONAL</t>
        </is>
      </c>
      <c r="N2083" t="inlineStr">
        <is>
          <t>370 / 001130</t>
        </is>
      </c>
      <c r="O2083" t="inlineStr">
        <is>
          <t>R</t>
        </is>
      </c>
      <c r="P2083">
        <f>TRIM(N2083)</f>
        <v/>
      </c>
    </row>
    <row r="2084">
      <c r="A2084" t="inlineStr">
        <is>
          <t>CO-002077</t>
        </is>
      </c>
      <c r="B2084" t="inlineStr">
        <is>
          <t>PERU MASIVO S.A</t>
        </is>
      </c>
      <c r="C2084" t="inlineStr">
        <is>
          <t>20492392031</t>
        </is>
      </c>
      <c r="D2084" t="inlineStr">
        <is>
          <t>AV. LOS INCAS CDRA. 4 PATIO NORTE - COMAS</t>
        </is>
      </c>
      <c r="E2084" t="inlineStr">
        <is>
          <t>Lima, 23 de Setiembre 2024</t>
        </is>
      </c>
      <c r="F2084" t="inlineStr">
        <is>
          <t>la Recarga y mantenimiento</t>
        </is>
      </c>
      <c r="G2084" t="inlineStr">
        <is>
          <t>06</t>
        </is>
      </c>
      <c r="H2084" t="inlineStr">
        <is>
          <t>06 KG</t>
        </is>
      </c>
      <c r="I2084" t="n">
        <v>2028</v>
      </c>
      <c r="J2084" t="n">
        <v>2009</v>
      </c>
      <c r="K2084" t="inlineStr">
        <is>
          <t>SETIEMBRE 2024</t>
        </is>
      </c>
      <c r="L2084" t="inlineStr">
        <is>
          <t>SETIEMBRE 2025</t>
        </is>
      </c>
      <c r="M2084" t="inlineStr">
        <is>
          <t>P.Q.S TIPO ABC AL 90 % NACIONAL</t>
        </is>
      </c>
      <c r="N2084" t="inlineStr">
        <is>
          <t>96 / 000961</t>
        </is>
      </c>
      <c r="O2084" t="inlineStr">
        <is>
          <t>R</t>
        </is>
      </c>
      <c r="P2084">
        <f>TRIM(N2084)</f>
        <v/>
      </c>
    </row>
    <row r="2085">
      <c r="A2085" t="inlineStr">
        <is>
          <t>CO-002077</t>
        </is>
      </c>
      <c r="B2085" t="inlineStr">
        <is>
          <t>PERU MASIVO S.A</t>
        </is>
      </c>
      <c r="C2085" t="inlineStr">
        <is>
          <t>20492392031</t>
        </is>
      </c>
      <c r="D2085" t="inlineStr">
        <is>
          <t>AV. LOS INCAS CDRA. 4 PATIO NORTE - COMAS</t>
        </is>
      </c>
      <c r="E2085" t="inlineStr">
        <is>
          <t>Lima, 23 de Setiembre 2024</t>
        </is>
      </c>
      <c r="F2085" t="inlineStr">
        <is>
          <t>la Recarga y mantenimiento</t>
        </is>
      </c>
      <c r="G2085" t="inlineStr">
        <is>
          <t>07</t>
        </is>
      </c>
      <c r="H2085" t="inlineStr">
        <is>
          <t>06 KG</t>
        </is>
      </c>
      <c r="I2085" t="n">
        <v>2028</v>
      </c>
      <c r="J2085" t="n">
        <v>2009</v>
      </c>
      <c r="K2085" t="inlineStr">
        <is>
          <t>SETIEMBRE 2024</t>
        </is>
      </c>
      <c r="L2085" t="inlineStr">
        <is>
          <t>SETIEMBRE 2025</t>
        </is>
      </c>
      <c r="M2085" t="inlineStr">
        <is>
          <t>P.Q.S TIPO ABC AL 90 % NACIONAL</t>
        </is>
      </c>
      <c r="N2085" t="inlineStr">
        <is>
          <t>264 / 000853</t>
        </is>
      </c>
      <c r="O2085" t="inlineStr">
        <is>
          <t>R</t>
        </is>
      </c>
      <c r="P2085">
        <f>TRIM(N2085)</f>
        <v/>
      </c>
    </row>
    <row r="2086">
      <c r="A2086" t="inlineStr">
        <is>
          <t>CO-002077</t>
        </is>
      </c>
      <c r="B2086" t="inlineStr">
        <is>
          <t>PERU MASIVO S.A</t>
        </is>
      </c>
      <c r="C2086" t="inlineStr">
        <is>
          <t>20492392031</t>
        </is>
      </c>
      <c r="D2086" t="inlineStr">
        <is>
          <t>AV. LOS INCAS CDRA. 4 PATIO NORTE - COMAS</t>
        </is>
      </c>
      <c r="E2086" t="inlineStr">
        <is>
          <t>Lima, 23 de Setiembre 2024</t>
        </is>
      </c>
      <c r="F2086" t="inlineStr">
        <is>
          <t>la Recarga y mantenimiento</t>
        </is>
      </c>
      <c r="G2086" t="inlineStr">
        <is>
          <t>08</t>
        </is>
      </c>
      <c r="H2086" t="inlineStr">
        <is>
          <t>06 KG</t>
        </is>
      </c>
      <c r="I2086" t="n">
        <v>2028</v>
      </c>
      <c r="J2086" t="n">
        <v>2010</v>
      </c>
      <c r="K2086" t="inlineStr">
        <is>
          <t>SETIEMBRE 2024</t>
        </is>
      </c>
      <c r="L2086" t="inlineStr">
        <is>
          <t>SETIEMBRE 2025</t>
        </is>
      </c>
      <c r="M2086" t="inlineStr">
        <is>
          <t>P.Q.S TIPO ABC AL 90 % NACIONAL</t>
        </is>
      </c>
      <c r="N2086" t="inlineStr">
        <is>
          <t>26 / 000905</t>
        </is>
      </c>
      <c r="O2086" t="inlineStr">
        <is>
          <t>R</t>
        </is>
      </c>
      <c r="P2086">
        <f>TRIM(N2086)</f>
        <v/>
      </c>
    </row>
    <row r="2087">
      <c r="A2087" t="inlineStr">
        <is>
          <t>CO-002078</t>
        </is>
      </c>
      <c r="B2087" t="inlineStr">
        <is>
          <t>PACIFICO COMPAÑÍA DE SEGUROS Y REASEGUROS</t>
        </is>
      </c>
      <c r="C2087" t="n">
        <v>20332970411</v>
      </c>
      <c r="D2087" t="inlineStr">
        <is>
          <t>Av. Micaela Bastidas N°  327 - Cusco CUZCO</t>
        </is>
      </c>
      <c r="E2087" t="inlineStr">
        <is>
          <t>Lima, 24 de Setiembre 2024</t>
        </is>
      </c>
      <c r="F2087" t="inlineStr">
        <is>
          <t>la Recarga y mantenimiento</t>
        </is>
      </c>
      <c r="G2087" t="inlineStr">
        <is>
          <t>01</t>
        </is>
      </c>
      <c r="H2087" t="inlineStr">
        <is>
          <t>06 KG</t>
        </is>
      </c>
      <c r="I2087" t="inlineStr">
        <is>
          <t>2029</t>
        </is>
      </c>
      <c r="J2087" t="n">
        <v>2016</v>
      </c>
      <c r="K2087" t="inlineStr">
        <is>
          <t>SETIEMBRE 2024</t>
        </is>
      </c>
      <c r="L2087" t="inlineStr">
        <is>
          <t>SETIEMBRE 2025</t>
        </is>
      </c>
      <c r="M2087" t="inlineStr">
        <is>
          <t>P.Q.S TIPO ABC AL  90  % NACIONAL</t>
        </is>
      </c>
      <c r="N2087" t="inlineStr">
        <is>
          <t>1 / 003920</t>
        </is>
      </c>
      <c r="O2087" t="inlineStr">
        <is>
          <t>R</t>
        </is>
      </c>
      <c r="P2087">
        <f>TRIM(N2087)</f>
        <v/>
      </c>
    </row>
    <row r="2088">
      <c r="A2088" t="inlineStr">
        <is>
          <t>CO-002078</t>
        </is>
      </c>
      <c r="B2088" t="inlineStr">
        <is>
          <t>PACIFICO COMPAÑÍA DE SEGUROS Y REASEGUROS</t>
        </is>
      </c>
      <c r="C2088" t="n">
        <v>20332970411</v>
      </c>
      <c r="D2088" t="inlineStr">
        <is>
          <t>Av. Micaela Bastidas N°  327 - Cusco CUZCO</t>
        </is>
      </c>
      <c r="E2088" t="inlineStr">
        <is>
          <t>Lima, 24 de Setiembre 2024</t>
        </is>
      </c>
      <c r="F2088" t="inlineStr">
        <is>
          <t>la Recarga y mantenimiento</t>
        </is>
      </c>
      <c r="G2088" t="inlineStr">
        <is>
          <t>02</t>
        </is>
      </c>
      <c r="H2088" t="inlineStr">
        <is>
          <t>10 LBS</t>
        </is>
      </c>
      <c r="I2088" t="inlineStr">
        <is>
          <t>2029</t>
        </is>
      </c>
      <c r="J2088" t="n">
        <v>2015</v>
      </c>
      <c r="K2088" t="inlineStr">
        <is>
          <t>SETIEMBRE 2024</t>
        </is>
      </c>
      <c r="L2088" t="inlineStr">
        <is>
          <t>SETIEMBRE 2025</t>
        </is>
      </c>
      <c r="M2088" t="inlineStr">
        <is>
          <t>CO2 /TIPO BC</t>
        </is>
      </c>
      <c r="N2088" t="inlineStr">
        <is>
          <t>SN / 000411</t>
        </is>
      </c>
      <c r="O2088" t="inlineStr">
        <is>
          <t>R</t>
        </is>
      </c>
      <c r="P2088">
        <f>TRIM(N2088)</f>
        <v/>
      </c>
    </row>
    <row r="2089">
      <c r="A2089" t="inlineStr">
        <is>
          <t>CO-002079</t>
        </is>
      </c>
      <c r="B2089" t="inlineStr">
        <is>
          <t>PERU MASIVO S.A</t>
        </is>
      </c>
      <c r="C2089" t="inlineStr">
        <is>
          <t>20492392031</t>
        </is>
      </c>
      <c r="D2089" t="inlineStr">
        <is>
          <t>AV. LOS INCAS CDRA. 4 PATIO NORTE - COMAS</t>
        </is>
      </c>
      <c r="E2089" t="inlineStr">
        <is>
          <t>Lima, 27 de Setiembre 2024</t>
        </is>
      </c>
      <c r="F2089" t="inlineStr">
        <is>
          <t>la Recarga y mantenimiento</t>
        </is>
      </c>
      <c r="G2089" t="inlineStr">
        <is>
          <t>01</t>
        </is>
      </c>
      <c r="H2089" t="inlineStr">
        <is>
          <t>06 KG</t>
        </is>
      </c>
      <c r="I2089" t="inlineStr">
        <is>
          <t>2028</t>
        </is>
      </c>
      <c r="J2089" t="n">
        <v>2009</v>
      </c>
      <c r="K2089" t="inlineStr">
        <is>
          <t>SETIEMBRE 2024</t>
        </is>
      </c>
      <c r="L2089" t="inlineStr">
        <is>
          <t>SETIEMBRE 2025</t>
        </is>
      </c>
      <c r="M2089" t="inlineStr">
        <is>
          <t>P.Q.S TIPO ABC AL 90 % NACIONAL</t>
        </is>
      </c>
      <c r="N2089" t="inlineStr">
        <is>
          <t>73 / 001523</t>
        </is>
      </c>
      <c r="O2089" t="inlineStr">
        <is>
          <t>R</t>
        </is>
      </c>
      <c r="P2089">
        <f>TRIM(N2089)</f>
        <v/>
      </c>
    </row>
    <row r="2090">
      <c r="A2090" t="inlineStr">
        <is>
          <t>CO-002079</t>
        </is>
      </c>
      <c r="B2090" t="inlineStr">
        <is>
          <t>PERU MASIVO S.A</t>
        </is>
      </c>
      <c r="C2090" t="inlineStr">
        <is>
          <t>20492392031</t>
        </is>
      </c>
      <c r="D2090" t="inlineStr">
        <is>
          <t>AV. LOS INCAS CDRA. 4 PATIO NORTE - COMAS</t>
        </is>
      </c>
      <c r="E2090" t="inlineStr">
        <is>
          <t>Lima, 27 de Setiembre 2024</t>
        </is>
      </c>
      <c r="F2090" t="inlineStr">
        <is>
          <t>la Recarga y mantenimiento</t>
        </is>
      </c>
      <c r="G2090" t="inlineStr">
        <is>
          <t>02</t>
        </is>
      </c>
      <c r="H2090" t="inlineStr">
        <is>
          <t>06 KG</t>
        </is>
      </c>
      <c r="I2090" t="inlineStr">
        <is>
          <t>2028</t>
        </is>
      </c>
      <c r="J2090" t="n">
        <v>2010</v>
      </c>
      <c r="K2090" t="inlineStr">
        <is>
          <t>SETIEMBRE 2024</t>
        </is>
      </c>
      <c r="L2090" t="inlineStr">
        <is>
          <t>SETIEMBRE 2025</t>
        </is>
      </c>
      <c r="M2090" t="inlineStr">
        <is>
          <t>P.Q.S TIPO ABC AL 90 % NACIONAL</t>
        </is>
      </c>
      <c r="N2090" t="inlineStr">
        <is>
          <t>68 / 000407</t>
        </is>
      </c>
      <c r="O2090" t="inlineStr">
        <is>
          <t>R</t>
        </is>
      </c>
      <c r="P2090">
        <f>TRIM(N2090)</f>
        <v/>
      </c>
    </row>
    <row r="2091">
      <c r="A2091" t="inlineStr">
        <is>
          <t>CO-002079</t>
        </is>
      </c>
      <c r="B2091" t="inlineStr">
        <is>
          <t>PERU MASIVO S.A</t>
        </is>
      </c>
      <c r="C2091" t="inlineStr">
        <is>
          <t>20492392031</t>
        </is>
      </c>
      <c r="D2091" t="inlineStr">
        <is>
          <t>AV. LOS INCAS CDRA. 4 PATIO NORTE - COMAS</t>
        </is>
      </c>
      <c r="E2091" t="inlineStr">
        <is>
          <t>Lima, 27 de Setiembre 2024</t>
        </is>
      </c>
      <c r="F2091" t="inlineStr">
        <is>
          <t>la Recarga y mantenimiento</t>
        </is>
      </c>
      <c r="G2091" t="inlineStr">
        <is>
          <t>03</t>
        </is>
      </c>
      <c r="H2091" t="inlineStr">
        <is>
          <t>06KG</t>
        </is>
      </c>
      <c r="I2091" t="n">
        <v>2028</v>
      </c>
      <c r="J2091" t="n">
        <v>2017</v>
      </c>
      <c r="K2091" t="inlineStr">
        <is>
          <t>SETIEMBRE 2024</t>
        </is>
      </c>
      <c r="L2091" t="inlineStr">
        <is>
          <t>SETIEMBRE 2025</t>
        </is>
      </c>
      <c r="M2091" t="inlineStr">
        <is>
          <t>P.Q.S TIPO ABC AL 90 % NACIONAL</t>
        </is>
      </c>
      <c r="N2091" t="inlineStr">
        <is>
          <t>SN / 000202</t>
        </is>
      </c>
      <c r="O2091" t="inlineStr">
        <is>
          <t>R</t>
        </is>
      </c>
      <c r="P2091">
        <f>TRIM(N2091)</f>
        <v/>
      </c>
    </row>
    <row r="2092">
      <c r="A2092" t="inlineStr">
        <is>
          <t>CO-002079</t>
        </is>
      </c>
      <c r="B2092" t="inlineStr">
        <is>
          <t>PERU MASIVO S.A</t>
        </is>
      </c>
      <c r="C2092" t="inlineStr">
        <is>
          <t>20492392031</t>
        </is>
      </c>
      <c r="D2092" t="inlineStr">
        <is>
          <t>AV. LOS INCAS CDRA. 4 PATIO NORTE - COMAS</t>
        </is>
      </c>
      <c r="E2092" t="inlineStr">
        <is>
          <t>Lima, 27 de Setiembre 2024</t>
        </is>
      </c>
      <c r="F2092" t="inlineStr">
        <is>
          <t>la Recarga y mantenimiento</t>
        </is>
      </c>
      <c r="G2092" t="inlineStr">
        <is>
          <t>04</t>
        </is>
      </c>
      <c r="H2092" t="inlineStr">
        <is>
          <t>06KG</t>
        </is>
      </c>
      <c r="I2092" t="n">
        <v>2028</v>
      </c>
      <c r="J2092" t="n">
        <v>2009</v>
      </c>
      <c r="K2092" t="inlineStr">
        <is>
          <t>SETIEMBRE 2024</t>
        </is>
      </c>
      <c r="L2092" t="inlineStr">
        <is>
          <t>SETIEMBRE 2025</t>
        </is>
      </c>
      <c r="M2092" t="inlineStr">
        <is>
          <t>P.Q.S TIPO ABC AL 90 % NACIONAL</t>
        </is>
      </c>
      <c r="N2092" t="inlineStr">
        <is>
          <t>38 / 002703</t>
        </is>
      </c>
      <c r="O2092" t="inlineStr">
        <is>
          <t>R</t>
        </is>
      </c>
      <c r="P2092">
        <f>TRIM(N2092)</f>
        <v/>
      </c>
    </row>
    <row r="2093">
      <c r="A2093" t="inlineStr">
        <is>
          <t>CO-002079</t>
        </is>
      </c>
      <c r="B2093" t="inlineStr">
        <is>
          <t>PERU MASIVO S.A</t>
        </is>
      </c>
      <c r="C2093" t="inlineStr">
        <is>
          <t>20492392031</t>
        </is>
      </c>
      <c r="D2093" t="inlineStr">
        <is>
          <t>AV. LOS INCAS CDRA. 4 PATIO NORTE - COMAS</t>
        </is>
      </c>
      <c r="E2093" t="inlineStr">
        <is>
          <t>Lima, 27 de Setiembre 2024</t>
        </is>
      </c>
      <c r="F2093" t="inlineStr">
        <is>
          <t>la Recarga y mantenimiento</t>
        </is>
      </c>
      <c r="G2093" t="inlineStr">
        <is>
          <t>05</t>
        </is>
      </c>
      <c r="H2093" t="inlineStr">
        <is>
          <t>06 KG</t>
        </is>
      </c>
      <c r="I2093" t="n">
        <v>2028</v>
      </c>
      <c r="J2093" t="n">
        <v>2017</v>
      </c>
      <c r="K2093" t="inlineStr">
        <is>
          <t>SETIEMBRE 2024</t>
        </is>
      </c>
      <c r="L2093" t="inlineStr">
        <is>
          <t>SETIEMBRE 2025</t>
        </is>
      </c>
      <c r="M2093" t="inlineStr">
        <is>
          <t>P.Q.S TIPO ABC AL 90 % NACIONAL</t>
        </is>
      </c>
      <c r="N2093" t="inlineStr">
        <is>
          <t>SN / 003686</t>
        </is>
      </c>
      <c r="O2093" t="inlineStr">
        <is>
          <t>R</t>
        </is>
      </c>
      <c r="P2093">
        <f>TRIM(N2093)</f>
        <v/>
      </c>
    </row>
    <row r="2094">
      <c r="A2094" t="inlineStr">
        <is>
          <t>CO-002079</t>
        </is>
      </c>
      <c r="B2094" t="inlineStr">
        <is>
          <t>PERU MASIVO S.A</t>
        </is>
      </c>
      <c r="C2094" t="inlineStr">
        <is>
          <t>20492392031</t>
        </is>
      </c>
      <c r="D2094" t="inlineStr">
        <is>
          <t>AV. LOS INCAS CDRA. 4 PATIO NORTE - COMAS</t>
        </is>
      </c>
      <c r="E2094" t="inlineStr">
        <is>
          <t>Lima, 27 de Setiembre 2024</t>
        </is>
      </c>
      <c r="F2094" t="inlineStr">
        <is>
          <t>la Recarga y mantenimiento</t>
        </is>
      </c>
      <c r="G2094" t="inlineStr">
        <is>
          <t>06</t>
        </is>
      </c>
      <c r="H2094" t="inlineStr">
        <is>
          <t>06 KG</t>
        </is>
      </c>
      <c r="I2094" t="n">
        <v>2028</v>
      </c>
      <c r="J2094" t="n">
        <v>2011</v>
      </c>
      <c r="K2094" t="inlineStr">
        <is>
          <t>SETIEMBRE 2024</t>
        </is>
      </c>
      <c r="L2094" t="inlineStr">
        <is>
          <t>SETIEMBRE 2025</t>
        </is>
      </c>
      <c r="M2094" t="inlineStr">
        <is>
          <t>P.Q.S TIPO ABC AL 90 % NACIONAL</t>
        </is>
      </c>
      <c r="N2094" t="inlineStr">
        <is>
          <t>SN / 000006</t>
        </is>
      </c>
      <c r="O2094" t="inlineStr">
        <is>
          <t>R</t>
        </is>
      </c>
      <c r="P2094">
        <f>TRIM(N2094)</f>
        <v/>
      </c>
    </row>
    <row r="2095">
      <c r="A2095" t="inlineStr">
        <is>
          <t>CO-002079</t>
        </is>
      </c>
      <c r="B2095" t="inlineStr">
        <is>
          <t>PERU MASIVO S.A</t>
        </is>
      </c>
      <c r="C2095" t="inlineStr">
        <is>
          <t>20492392031</t>
        </is>
      </c>
      <c r="D2095" t="inlineStr">
        <is>
          <t>AV. LOS INCAS CDRA. 4 PATIO NORTE - COMAS</t>
        </is>
      </c>
      <c r="E2095" t="inlineStr">
        <is>
          <t>Lima, 27 de Setiembre 2024</t>
        </is>
      </c>
      <c r="F2095" t="inlineStr">
        <is>
          <t>la Recarga y mantenimiento</t>
        </is>
      </c>
      <c r="G2095" t="inlineStr">
        <is>
          <t>07</t>
        </is>
      </c>
      <c r="H2095" t="inlineStr">
        <is>
          <t>06 KG</t>
        </is>
      </c>
      <c r="I2095" t="n">
        <v>2028</v>
      </c>
      <c r="J2095" t="n">
        <v>2011</v>
      </c>
      <c r="K2095" t="inlineStr">
        <is>
          <t>SETIEMBRE 2024</t>
        </is>
      </c>
      <c r="L2095" t="inlineStr">
        <is>
          <t>SETIEMBRE 2025</t>
        </is>
      </c>
      <c r="M2095" t="inlineStr">
        <is>
          <t>P.Q.S TIPO ABC AL 90 % NACIONAL</t>
        </is>
      </c>
      <c r="N2095" t="inlineStr">
        <is>
          <t>365 / 000471</t>
        </is>
      </c>
      <c r="O2095" t="inlineStr">
        <is>
          <t>R</t>
        </is>
      </c>
      <c r="P2095">
        <f>TRIM(N2095)</f>
        <v/>
      </c>
    </row>
    <row r="2096">
      <c r="A2096" t="inlineStr">
        <is>
          <t>CO-002080</t>
        </is>
      </c>
      <c r="B2096" t="inlineStr">
        <is>
          <t>AVES ADRIANITO E.I.R.L</t>
        </is>
      </c>
      <c r="C2096" t="inlineStr">
        <is>
          <t>20601971772</t>
        </is>
      </c>
      <c r="D2096" t="inlineStr">
        <is>
          <t>AV TRAPICHE LT. 57 URB. LOS HUERTOS DE TUNGASUCA - COMAS.</t>
        </is>
      </c>
      <c r="E2096" t="inlineStr">
        <is>
          <t>Lima, 04 de Octubre 2024</t>
        </is>
      </c>
      <c r="F2096" t="inlineStr">
        <is>
          <t>la venta</t>
        </is>
      </c>
      <c r="G2096" t="inlineStr">
        <is>
          <t>01</t>
        </is>
      </c>
      <c r="H2096" t="inlineStr">
        <is>
          <t>09 KG</t>
        </is>
      </c>
      <c r="I2096" t="inlineStr">
        <is>
          <t>2029</t>
        </is>
      </c>
      <c r="J2096" t="n">
        <v>2024</v>
      </c>
      <c r="K2096" t="inlineStr">
        <is>
          <t>OCTUBRE 2024</t>
        </is>
      </c>
      <c r="L2096" t="inlineStr">
        <is>
          <t>OCTUBRE 2025</t>
        </is>
      </c>
      <c r="M2096" t="inlineStr">
        <is>
          <t xml:space="preserve">P.Q.S.  TIPO ABC </t>
        </is>
      </c>
      <c r="N2096" t="inlineStr">
        <is>
          <t>01/772170</t>
        </is>
      </c>
      <c r="O2096" t="inlineStr">
        <is>
          <t>V</t>
        </is>
      </c>
      <c r="P2096">
        <f>TRIM(N2096)</f>
        <v/>
      </c>
    </row>
    <row r="2097">
      <c r="A2097" t="inlineStr">
        <is>
          <t>CO-002080</t>
        </is>
      </c>
      <c r="B2097" t="inlineStr">
        <is>
          <t>AVES ADRIANITO E.I.R.L</t>
        </is>
      </c>
      <c r="C2097" t="inlineStr">
        <is>
          <t>20601971772</t>
        </is>
      </c>
      <c r="D2097" t="inlineStr">
        <is>
          <t>AV TRAPICHE LT. 57 URB. LOS HUERTOS DE TUNGASUCA - COMAS.</t>
        </is>
      </c>
      <c r="E2097" t="inlineStr">
        <is>
          <t>Lima, 04 de Octubre 2024</t>
        </is>
      </c>
      <c r="F2097" t="inlineStr">
        <is>
          <t>la venta</t>
        </is>
      </c>
      <c r="G2097" t="inlineStr">
        <is>
          <t>02</t>
        </is>
      </c>
      <c r="H2097" t="inlineStr">
        <is>
          <t>09 KG</t>
        </is>
      </c>
      <c r="I2097" t="inlineStr">
        <is>
          <t>2029</t>
        </is>
      </c>
      <c r="J2097" t="n">
        <v>2024</v>
      </c>
      <c r="K2097" t="inlineStr">
        <is>
          <t>OCTUBRE 2024</t>
        </is>
      </c>
      <c r="L2097" t="inlineStr">
        <is>
          <t>OCTUBRE 2025</t>
        </is>
      </c>
      <c r="M2097" t="inlineStr">
        <is>
          <t xml:space="preserve">P.Q.S.  TIPO ABC </t>
        </is>
      </c>
      <c r="N2097" t="inlineStr">
        <is>
          <t>02/772225</t>
        </is>
      </c>
      <c r="O2097" t="inlineStr">
        <is>
          <t>V</t>
        </is>
      </c>
      <c r="P2097">
        <f>TRIM(N2097)</f>
        <v/>
      </c>
    </row>
    <row r="2098">
      <c r="A2098" t="inlineStr">
        <is>
          <t>CO-002080</t>
        </is>
      </c>
      <c r="B2098" t="inlineStr">
        <is>
          <t>AVES ADRIANITO E.I.R.L</t>
        </is>
      </c>
      <c r="C2098" t="inlineStr">
        <is>
          <t>20601971772</t>
        </is>
      </c>
      <c r="D2098" t="inlineStr">
        <is>
          <t>AV TRAPICHE LT. 57 URB. LOS HUERTOS DE TUNGASUCA - COMAS.</t>
        </is>
      </c>
      <c r="E2098" t="inlineStr">
        <is>
          <t>Lima, 04 de Octubre 2024</t>
        </is>
      </c>
      <c r="F2098" t="inlineStr">
        <is>
          <t>la venta</t>
        </is>
      </c>
      <c r="G2098" t="inlineStr">
        <is>
          <t>03</t>
        </is>
      </c>
      <c r="H2098" t="inlineStr">
        <is>
          <t>09 KG</t>
        </is>
      </c>
      <c r="I2098" t="inlineStr">
        <is>
          <t>2029</t>
        </is>
      </c>
      <c r="J2098" t="n">
        <v>2024</v>
      </c>
      <c r="K2098" t="inlineStr">
        <is>
          <t>OCTUBRE 2024</t>
        </is>
      </c>
      <c r="L2098" t="inlineStr">
        <is>
          <t>OCTUBRE 2025</t>
        </is>
      </c>
      <c r="M2098" t="inlineStr">
        <is>
          <t xml:space="preserve">P.Q.S.  TIPO ABC </t>
        </is>
      </c>
      <c r="N2098" t="inlineStr">
        <is>
          <t>03/771808</t>
        </is>
      </c>
      <c r="O2098" t="inlineStr">
        <is>
          <t>V</t>
        </is>
      </c>
      <c r="P2098">
        <f>TRIM(N2098)</f>
        <v/>
      </c>
    </row>
    <row r="2099">
      <c r="A2099" t="inlineStr">
        <is>
          <t>CO-002080</t>
        </is>
      </c>
      <c r="B2099" t="inlineStr">
        <is>
          <t>AVES ADRIANITO E.I.R.L</t>
        </is>
      </c>
      <c r="C2099" t="inlineStr">
        <is>
          <t>20601971772</t>
        </is>
      </c>
      <c r="D2099" t="inlineStr">
        <is>
          <t>AV TRAPICHE LT. 57 URB. LOS HUERTOS DE TUNGASUCA - COMAS.</t>
        </is>
      </c>
      <c r="E2099" t="inlineStr">
        <is>
          <t>Lima, 04 de Octubre 2024</t>
        </is>
      </c>
      <c r="F2099" t="inlineStr">
        <is>
          <t>la venta</t>
        </is>
      </c>
      <c r="G2099" t="inlineStr">
        <is>
          <t>04</t>
        </is>
      </c>
      <c r="H2099" t="inlineStr">
        <is>
          <t>09 KG</t>
        </is>
      </c>
      <c r="I2099" t="inlineStr">
        <is>
          <t>2029</t>
        </is>
      </c>
      <c r="J2099" t="n">
        <v>2024</v>
      </c>
      <c r="K2099" t="inlineStr">
        <is>
          <t>OCTUBRE 2024</t>
        </is>
      </c>
      <c r="L2099" t="inlineStr">
        <is>
          <t>OCTUBRE 2025</t>
        </is>
      </c>
      <c r="M2099" t="inlineStr">
        <is>
          <t xml:space="preserve">P.Q.S.  TIPO ABC </t>
        </is>
      </c>
      <c r="N2099" t="inlineStr">
        <is>
          <t>04/772204</t>
        </is>
      </c>
      <c r="O2099" t="inlineStr">
        <is>
          <t>V</t>
        </is>
      </c>
      <c r="P2099">
        <f>TRIM(N2099)</f>
        <v/>
      </c>
    </row>
    <row r="2100">
      <c r="A2100" t="inlineStr">
        <is>
          <t>CO-002080</t>
        </is>
      </c>
      <c r="B2100" t="inlineStr">
        <is>
          <t>AVES ADRIANITO E.I.R.L</t>
        </is>
      </c>
      <c r="C2100" t="inlineStr">
        <is>
          <t>20601971772</t>
        </is>
      </c>
      <c r="D2100" t="inlineStr">
        <is>
          <t>AV TRAPICHE LT. 57 URB. LOS HUERTOS DE TUNGASUCA - COMAS.</t>
        </is>
      </c>
      <c r="E2100" t="inlineStr">
        <is>
          <t>Lima, 04 de Octubre 2024</t>
        </is>
      </c>
      <c r="F2100" t="inlineStr">
        <is>
          <t>la venta</t>
        </is>
      </c>
      <c r="G2100" t="inlineStr">
        <is>
          <t>05</t>
        </is>
      </c>
      <c r="H2100" t="inlineStr">
        <is>
          <t>09 KG</t>
        </is>
      </c>
      <c r="I2100" t="inlineStr">
        <is>
          <t>2029</t>
        </is>
      </c>
      <c r="J2100" t="n">
        <v>2024</v>
      </c>
      <c r="K2100" t="inlineStr">
        <is>
          <t>OCTUBRE 2024</t>
        </is>
      </c>
      <c r="L2100" t="inlineStr">
        <is>
          <t>OCTUBRE 2025</t>
        </is>
      </c>
      <c r="M2100" t="inlineStr">
        <is>
          <t xml:space="preserve">P.Q.S.  TIPO ABC </t>
        </is>
      </c>
      <c r="N2100" t="inlineStr">
        <is>
          <t>05/772222</t>
        </is>
      </c>
      <c r="O2100" t="inlineStr">
        <is>
          <t>V</t>
        </is>
      </c>
      <c r="P2100">
        <f>TRIM(N2100)</f>
        <v/>
      </c>
    </row>
    <row r="2101">
      <c r="A2101" t="inlineStr">
        <is>
          <t>CO-002081</t>
        </is>
      </c>
      <c r="B2101" t="inlineStr">
        <is>
          <t>WILBER FLORES</t>
        </is>
      </c>
      <c r="D2101" t="inlineStr">
        <is>
          <t xml:space="preserve">PLACA : D9T 916 </t>
        </is>
      </c>
      <c r="E2101" t="inlineStr">
        <is>
          <t>Lima, 04 de Octubre 2024</t>
        </is>
      </c>
      <c r="F2101" t="inlineStr">
        <is>
          <t>la Recarga y mantenimiento</t>
        </is>
      </c>
      <c r="G2101" t="inlineStr">
        <is>
          <t>01</t>
        </is>
      </c>
      <c r="H2101" t="inlineStr">
        <is>
          <t>02 KG</t>
        </is>
      </c>
      <c r="I2101" t="inlineStr">
        <is>
          <t>VIGENTE</t>
        </is>
      </c>
      <c r="J2101" t="n">
        <v>2015</v>
      </c>
      <c r="K2101" t="inlineStr">
        <is>
          <t>OCTUBRE 2024</t>
        </is>
      </c>
      <c r="L2101" t="inlineStr">
        <is>
          <t>OCTUBRE 2025</t>
        </is>
      </c>
      <c r="M2101" t="inlineStr">
        <is>
          <t xml:space="preserve">P.Q.S.  TIPO ABC </t>
        </is>
      </c>
      <c r="N2101" t="inlineStr">
        <is>
          <t>000805</t>
        </is>
      </c>
      <c r="P2101">
        <f>TRIM(N2101)</f>
        <v/>
      </c>
    </row>
    <row r="2102">
      <c r="A2102" t="inlineStr">
        <is>
          <t>CO-002082</t>
        </is>
      </c>
      <c r="B2102" t="inlineStr">
        <is>
          <t>FERRETERIA EL CHASQUI: DE ALBERTO JULCA MORI</t>
        </is>
      </c>
      <c r="D2102" t="inlineStr">
        <is>
          <t xml:space="preserve">AV. SEIS MZ  78B   LT 15   URB. TORRE BLANCA - CARABAYLLO </t>
        </is>
      </c>
      <c r="E2102" t="inlineStr">
        <is>
          <t>Lima,04 de Octubre de 2024</t>
        </is>
      </c>
      <c r="F2102" t="inlineStr">
        <is>
          <t>la Recarga y mantenimiento</t>
        </is>
      </c>
      <c r="G2102" t="inlineStr">
        <is>
          <t>01</t>
        </is>
      </c>
      <c r="H2102" t="inlineStr">
        <is>
          <t>06 KG</t>
        </is>
      </c>
      <c r="I2102" t="inlineStr">
        <is>
          <t>2026</t>
        </is>
      </c>
      <c r="J2102" t="n">
        <v>2015</v>
      </c>
      <c r="K2102" t="inlineStr">
        <is>
          <t>OCTUBRE 2024</t>
        </is>
      </c>
      <c r="L2102" t="inlineStr">
        <is>
          <t>OCTUBRE 2025</t>
        </is>
      </c>
      <c r="M2102" t="inlineStr">
        <is>
          <t>P.Q.S TIPO ABC</t>
        </is>
      </c>
      <c r="N2102" t="inlineStr">
        <is>
          <t>01/002023</t>
        </is>
      </c>
      <c r="O2102" t="inlineStr">
        <is>
          <t>R</t>
        </is>
      </c>
      <c r="P2102">
        <f>TRIM(N2102)</f>
        <v/>
      </c>
    </row>
    <row r="2103">
      <c r="A2103" t="inlineStr">
        <is>
          <t>CO-002082</t>
        </is>
      </c>
      <c r="B2103" t="inlineStr">
        <is>
          <t>FERRETERIA EL CHASQUI: DE ALBERTO JULCA MORI</t>
        </is>
      </c>
      <c r="D2103" t="inlineStr">
        <is>
          <t xml:space="preserve">AV. SEIS MZ  78B   LT 15   URB. TORRE BLANCA - CARABAYLLO </t>
        </is>
      </c>
      <c r="E2103" t="inlineStr">
        <is>
          <t>Lima,04 de Octubre de 2024</t>
        </is>
      </c>
      <c r="F2103" t="inlineStr">
        <is>
          <t>la Recarga y mantenimiento</t>
        </is>
      </c>
      <c r="G2103" t="inlineStr">
        <is>
          <t>02</t>
        </is>
      </c>
      <c r="H2103" t="inlineStr">
        <is>
          <t xml:space="preserve">06 KG </t>
        </is>
      </c>
      <c r="I2103" t="inlineStr">
        <is>
          <t>2026</t>
        </is>
      </c>
      <c r="J2103" t="n">
        <v>2011</v>
      </c>
      <c r="K2103" t="inlineStr">
        <is>
          <t>OCTUBRE 2024</t>
        </is>
      </c>
      <c r="L2103" t="inlineStr">
        <is>
          <t>OCTUBRE 2025</t>
        </is>
      </c>
      <c r="M2103" t="inlineStr">
        <is>
          <t>P.Q.S TIPO ABC</t>
        </is>
      </c>
      <c r="N2103" t="inlineStr">
        <is>
          <t>02/009882</t>
        </is>
      </c>
      <c r="O2103" t="inlineStr">
        <is>
          <t>R</t>
        </is>
      </c>
      <c r="P2103">
        <f>TRIM(N2103)</f>
        <v/>
      </c>
    </row>
    <row r="2104">
      <c r="A2104" t="inlineStr">
        <is>
          <t>CO-002083</t>
        </is>
      </c>
      <c r="B2104" t="inlineStr">
        <is>
          <t>LUZ MARIA PROA VILCHEZ</t>
        </is>
      </c>
      <c r="D2104" t="inlineStr">
        <is>
          <t>JR TARAPACA N° 181 COLLIQUE- COMAS</t>
        </is>
      </c>
      <c r="E2104" t="inlineStr">
        <is>
          <t>Lima,05 de Octubre de 2024</t>
        </is>
      </c>
      <c r="F2104" t="inlineStr">
        <is>
          <t>la Recarga y mantenimiento</t>
        </is>
      </c>
      <c r="G2104" t="inlineStr">
        <is>
          <t>01</t>
        </is>
      </c>
      <c r="H2104" t="inlineStr">
        <is>
          <t>04 KG</t>
        </is>
      </c>
      <c r="I2104" t="inlineStr">
        <is>
          <t>2027</t>
        </is>
      </c>
      <c r="J2104" t="n">
        <v>2011</v>
      </c>
      <c r="K2104" t="inlineStr">
        <is>
          <t>OCTUBRE 2024</t>
        </is>
      </c>
      <c r="L2104" t="inlineStr">
        <is>
          <t>OCTUBRE 2025</t>
        </is>
      </c>
      <c r="M2104" t="inlineStr">
        <is>
          <t>P.Q.S TIPO ABC</t>
        </is>
      </c>
      <c r="N2104" t="inlineStr">
        <is>
          <t>01/000011</t>
        </is>
      </c>
      <c r="O2104" t="inlineStr">
        <is>
          <t>R</t>
        </is>
      </c>
      <c r="P2104">
        <f>TRIM(N2104)</f>
        <v/>
      </c>
    </row>
    <row r="2105">
      <c r="A2105" t="inlineStr">
        <is>
          <t>CO-002084</t>
        </is>
      </c>
      <c r="B2105" t="inlineStr">
        <is>
          <t>LIZ FARMA De: Lizbeth Karina Lachira Fabian</t>
        </is>
      </c>
      <c r="D2105" t="inlineStr">
        <is>
          <t>ASOCIACION EL PARAISO MZ F LOTE 04 - CARABAYLLO</t>
        </is>
      </c>
      <c r="E2105" t="inlineStr">
        <is>
          <t>Lima,05 de Octubre de 2024</t>
        </is>
      </c>
      <c r="F2105" t="inlineStr">
        <is>
          <t>la Recarga y mantenimiento</t>
        </is>
      </c>
      <c r="G2105" t="inlineStr">
        <is>
          <t>01</t>
        </is>
      </c>
      <c r="H2105" t="inlineStr">
        <is>
          <t>06 KG</t>
        </is>
      </c>
      <c r="I2105" t="inlineStr">
        <is>
          <t>VIGENTE</t>
        </is>
      </c>
      <c r="J2105" t="n">
        <v>2019</v>
      </c>
      <c r="K2105" t="inlineStr">
        <is>
          <t>OCTUBRE 2024</t>
        </is>
      </c>
      <c r="L2105" t="inlineStr">
        <is>
          <t>OCTUBRE 2025</t>
        </is>
      </c>
      <c r="M2105" t="inlineStr">
        <is>
          <t xml:space="preserve">P.Q.S TIPO ABC </t>
        </is>
      </c>
      <c r="N2105" t="inlineStr">
        <is>
          <t>01/001077</t>
        </is>
      </c>
      <c r="O2105" t="inlineStr">
        <is>
          <t>R</t>
        </is>
      </c>
      <c r="P2105">
        <f>TRIM(N2105)</f>
        <v/>
      </c>
    </row>
    <row r="2106">
      <c r="A2106" t="inlineStr">
        <is>
          <t>CO-002085</t>
        </is>
      </c>
      <c r="B2106" t="inlineStr">
        <is>
          <t>LIZ FARMA De: Lizbeth Karina Lachira Fabian</t>
        </is>
      </c>
      <c r="D2106" t="inlineStr">
        <is>
          <t>AV. MANUEL PRADO S/N  MZ.J  LT. 05 -  PROG. VIV. SAN FRANCISCO DE CARABAYLLO - CARABAYLLO</t>
        </is>
      </c>
      <c r="E2106" t="inlineStr">
        <is>
          <t>Lima,05 de Octubre de 2024</t>
        </is>
      </c>
      <c r="F2106" t="inlineStr">
        <is>
          <t>la Recarga y mantenimiento</t>
        </is>
      </c>
      <c r="G2106" t="inlineStr">
        <is>
          <t>01</t>
        </is>
      </c>
      <c r="H2106" t="inlineStr">
        <is>
          <t>06 KG</t>
        </is>
      </c>
      <c r="I2106" t="inlineStr">
        <is>
          <t>VIGENTE</t>
        </is>
      </c>
      <c r="J2106" t="n">
        <v>2016</v>
      </c>
      <c r="K2106" t="inlineStr">
        <is>
          <t>OCTUBRE 2024</t>
        </is>
      </c>
      <c r="L2106" t="inlineStr">
        <is>
          <t>OCTUBRE 2025</t>
        </is>
      </c>
      <c r="M2106" t="inlineStr">
        <is>
          <t>P.Q.S TIPO ABC</t>
        </is>
      </c>
      <c r="N2106" t="inlineStr">
        <is>
          <t>01/000931</t>
        </is>
      </c>
      <c r="O2106" t="inlineStr">
        <is>
          <t>R</t>
        </is>
      </c>
      <c r="P2106">
        <f>TRIM(N2106)</f>
        <v/>
      </c>
    </row>
    <row r="2107">
      <c r="A2107" t="inlineStr">
        <is>
          <t>CO-002086</t>
        </is>
      </c>
      <c r="B2107" t="inlineStr">
        <is>
          <t>PERU MASIVO S.A</t>
        </is>
      </c>
      <c r="C2107" t="inlineStr">
        <is>
          <t>20492392031</t>
        </is>
      </c>
      <c r="D2107" t="inlineStr">
        <is>
          <t>AV. LOS INCAS CDRA. 4 PATIO NORTE - COMAS</t>
        </is>
      </c>
      <c r="E2107" t="inlineStr">
        <is>
          <t>Lima, 07 de Octubre 2024</t>
        </is>
      </c>
      <c r="F2107" t="inlineStr">
        <is>
          <t>la Recarga y mantenimiento</t>
        </is>
      </c>
      <c r="G2107" t="inlineStr">
        <is>
          <t>01</t>
        </is>
      </c>
      <c r="H2107" t="inlineStr">
        <is>
          <t>06 KG</t>
        </is>
      </c>
      <c r="I2107" t="inlineStr">
        <is>
          <t>2028</t>
        </is>
      </c>
      <c r="J2107" t="n">
        <v>2012</v>
      </c>
      <c r="K2107" t="inlineStr">
        <is>
          <t>OCTUBRE 2024</t>
        </is>
      </c>
      <c r="L2107" t="inlineStr">
        <is>
          <t>OCTUBRE 2025</t>
        </is>
      </c>
      <c r="M2107" t="inlineStr">
        <is>
          <t>P.Q.S TIPO ABC AL 90 % NACIONAL</t>
        </is>
      </c>
      <c r="N2107" t="inlineStr">
        <is>
          <t>SN / 000406</t>
        </is>
      </c>
      <c r="O2107" t="inlineStr">
        <is>
          <t>R</t>
        </is>
      </c>
      <c r="P2107">
        <f>TRIM(N2107)</f>
        <v/>
      </c>
    </row>
    <row r="2108">
      <c r="A2108" t="inlineStr">
        <is>
          <t>CO-002086</t>
        </is>
      </c>
      <c r="B2108" t="inlineStr">
        <is>
          <t>PERU MASIVO S.A</t>
        </is>
      </c>
      <c r="C2108" t="inlineStr">
        <is>
          <t>20492392031</t>
        </is>
      </c>
      <c r="D2108" t="inlineStr">
        <is>
          <t>AV. LOS INCAS CDRA. 4 PATIO NORTE - COMAS</t>
        </is>
      </c>
      <c r="E2108" t="inlineStr">
        <is>
          <t>Lima, 07 de Octubre 2024</t>
        </is>
      </c>
      <c r="F2108" t="inlineStr">
        <is>
          <t>la Recarga y mantenimiento</t>
        </is>
      </c>
      <c r="G2108" t="inlineStr">
        <is>
          <t>02</t>
        </is>
      </c>
      <c r="H2108" t="inlineStr">
        <is>
          <t>06 KG</t>
        </is>
      </c>
      <c r="I2108" t="inlineStr">
        <is>
          <t>2028</t>
        </is>
      </c>
      <c r="J2108" t="n">
        <v>2009</v>
      </c>
      <c r="K2108" t="inlineStr">
        <is>
          <t>OCTUBRE 2024</t>
        </is>
      </c>
      <c r="L2108" t="inlineStr">
        <is>
          <t>OCTUBRE 2025</t>
        </is>
      </c>
      <c r="M2108" t="inlineStr">
        <is>
          <t>P.Q.S TIPO ABC AL 90 % NACIONAL</t>
        </is>
      </c>
      <c r="N2108" t="inlineStr">
        <is>
          <t>99 / 002341</t>
        </is>
      </c>
      <c r="O2108" t="inlineStr">
        <is>
          <t>R</t>
        </is>
      </c>
      <c r="P2108">
        <f>TRIM(N2108)</f>
        <v/>
      </c>
    </row>
    <row r="2109">
      <c r="A2109" t="inlineStr">
        <is>
          <t>CO-002086</t>
        </is>
      </c>
      <c r="B2109" t="inlineStr">
        <is>
          <t>PERU MASIVO S.A</t>
        </is>
      </c>
      <c r="C2109" t="inlineStr">
        <is>
          <t>20492392031</t>
        </is>
      </c>
      <c r="D2109" t="inlineStr">
        <is>
          <t>AV. LOS INCAS CDRA. 4 PATIO NORTE - COMAS</t>
        </is>
      </c>
      <c r="E2109" t="inlineStr">
        <is>
          <t>Lima, 07 de Octubre 2024</t>
        </is>
      </c>
      <c r="F2109" t="inlineStr">
        <is>
          <t>la Recarga y mantenimiento</t>
        </is>
      </c>
      <c r="G2109" t="inlineStr">
        <is>
          <t>03</t>
        </is>
      </c>
      <c r="H2109" t="inlineStr">
        <is>
          <t>06KG</t>
        </is>
      </c>
      <c r="I2109" t="n">
        <v>2028</v>
      </c>
      <c r="J2109" t="n">
        <v>2017</v>
      </c>
      <c r="K2109" t="inlineStr">
        <is>
          <t>OCTUBRE 2024</t>
        </is>
      </c>
      <c r="L2109" t="inlineStr">
        <is>
          <t>OCTUBRE 2025</t>
        </is>
      </c>
      <c r="M2109" t="inlineStr">
        <is>
          <t>P.Q.S TIPO ABC AL 90 % NACIONAL</t>
        </is>
      </c>
      <c r="N2109" t="inlineStr">
        <is>
          <t>SN / 003347</t>
        </is>
      </c>
      <c r="O2109" t="inlineStr">
        <is>
          <t>R</t>
        </is>
      </c>
      <c r="P2109">
        <f>TRIM(N2109)</f>
        <v/>
      </c>
    </row>
    <row r="2110">
      <c r="A2110" t="inlineStr">
        <is>
          <t>CO-002086</t>
        </is>
      </c>
      <c r="B2110" t="inlineStr">
        <is>
          <t>PERU MASIVO S.A</t>
        </is>
      </c>
      <c r="C2110" t="inlineStr">
        <is>
          <t>20492392031</t>
        </is>
      </c>
      <c r="D2110" t="inlineStr">
        <is>
          <t>AV. LOS INCAS CDRA. 4 PATIO NORTE - COMAS</t>
        </is>
      </c>
      <c r="E2110" t="inlineStr">
        <is>
          <t>Lima, 07 de Octubre 2024</t>
        </is>
      </c>
      <c r="F2110" t="inlineStr">
        <is>
          <t>la Recarga y mantenimiento</t>
        </is>
      </c>
      <c r="G2110" t="inlineStr">
        <is>
          <t>04</t>
        </is>
      </c>
      <c r="H2110" t="inlineStr">
        <is>
          <t>06KG</t>
        </is>
      </c>
      <c r="I2110" t="n">
        <v>2028</v>
      </c>
      <c r="J2110" t="n">
        <v>2010</v>
      </c>
      <c r="K2110" t="inlineStr">
        <is>
          <t>OCTUBRE 2024</t>
        </is>
      </c>
      <c r="L2110" t="inlineStr">
        <is>
          <t>OCTUBRE 2025</t>
        </is>
      </c>
      <c r="M2110" t="inlineStr">
        <is>
          <t>P.Q.S TIPO ABC AL 90 % NACIONAL</t>
        </is>
      </c>
      <c r="N2110" t="inlineStr">
        <is>
          <t>313 / 000416</t>
        </is>
      </c>
      <c r="O2110" t="inlineStr">
        <is>
          <t>R</t>
        </is>
      </c>
      <c r="P2110">
        <f>TRIM(N2110)</f>
        <v/>
      </c>
    </row>
    <row r="2111">
      <c r="A2111" t="inlineStr">
        <is>
          <t>CO-002086</t>
        </is>
      </c>
      <c r="B2111" t="inlineStr">
        <is>
          <t>PERU MASIVO S.A</t>
        </is>
      </c>
      <c r="C2111" t="inlineStr">
        <is>
          <t>20492392031</t>
        </is>
      </c>
      <c r="D2111" t="inlineStr">
        <is>
          <t>AV. LOS INCAS CDRA. 4 PATIO NORTE - COMAS</t>
        </is>
      </c>
      <c r="E2111" t="inlineStr">
        <is>
          <t>Lima, 07 de Octubre 2024</t>
        </is>
      </c>
      <c r="F2111" t="inlineStr">
        <is>
          <t>la Recarga y mantenimiento</t>
        </is>
      </c>
      <c r="G2111" t="inlineStr">
        <is>
          <t>05</t>
        </is>
      </c>
      <c r="H2111" t="inlineStr">
        <is>
          <t>06 KG</t>
        </is>
      </c>
      <c r="I2111" t="n">
        <v>2028</v>
      </c>
      <c r="J2111" t="n">
        <v>2009</v>
      </c>
      <c r="K2111" t="inlineStr">
        <is>
          <t>OCTUBRE 2024</t>
        </is>
      </c>
      <c r="L2111" t="inlineStr">
        <is>
          <t>OCTUBRE 2025</t>
        </is>
      </c>
      <c r="M2111" t="inlineStr">
        <is>
          <t>P.Q.S TIPO ABC AL 90 % NACIONAL</t>
        </is>
      </c>
      <c r="N2111" t="inlineStr">
        <is>
          <t>345 / 001655</t>
        </is>
      </c>
      <c r="O2111" t="inlineStr">
        <is>
          <t>R</t>
        </is>
      </c>
      <c r="P2111">
        <f>TRIM(N2111)</f>
        <v/>
      </c>
    </row>
    <row r="2112">
      <c r="A2112" t="inlineStr">
        <is>
          <t>CO-002086</t>
        </is>
      </c>
      <c r="B2112" t="inlineStr">
        <is>
          <t>PERU MASIVO S.A</t>
        </is>
      </c>
      <c r="C2112" t="inlineStr">
        <is>
          <t>20492392031</t>
        </is>
      </c>
      <c r="D2112" t="inlineStr">
        <is>
          <t>AV. LOS INCAS CDRA. 4 PATIO NORTE - COMAS</t>
        </is>
      </c>
      <c r="E2112" t="inlineStr">
        <is>
          <t>Lima, 07 de Octubre 2024</t>
        </is>
      </c>
      <c r="F2112" t="inlineStr">
        <is>
          <t>la Recarga y mantenimiento</t>
        </is>
      </c>
      <c r="G2112" t="inlineStr">
        <is>
          <t>06</t>
        </is>
      </c>
      <c r="H2112" t="inlineStr">
        <is>
          <t>06 KG</t>
        </is>
      </c>
      <c r="I2112" t="n">
        <v>2028</v>
      </c>
      <c r="J2112" t="n">
        <v>2009</v>
      </c>
      <c r="K2112" t="inlineStr">
        <is>
          <t>OCTUBRE 2024</t>
        </is>
      </c>
      <c r="L2112" t="inlineStr">
        <is>
          <t>OCTUBRE 2025</t>
        </is>
      </c>
      <c r="M2112" t="inlineStr">
        <is>
          <t>P.Q.S TIPO ABC AL 90 % NACIONAL</t>
        </is>
      </c>
      <c r="N2112" t="inlineStr">
        <is>
          <t>104 / 002582</t>
        </is>
      </c>
      <c r="O2112" t="inlineStr">
        <is>
          <t>R</t>
        </is>
      </c>
      <c r="P2112">
        <f>TRIM(N2112)</f>
        <v/>
      </c>
    </row>
    <row r="2113">
      <c r="A2113" t="inlineStr">
        <is>
          <t>CO-002086</t>
        </is>
      </c>
      <c r="B2113" t="inlineStr">
        <is>
          <t>PERU MASIVO S.A</t>
        </is>
      </c>
      <c r="C2113" t="inlineStr">
        <is>
          <t>20492392031</t>
        </is>
      </c>
      <c r="D2113" t="inlineStr">
        <is>
          <t>AV. LOS INCAS CDRA. 4 PATIO NORTE - COMAS</t>
        </is>
      </c>
      <c r="E2113" t="inlineStr">
        <is>
          <t>Lima, 07 de Octubre 2024</t>
        </is>
      </c>
      <c r="F2113" t="inlineStr">
        <is>
          <t>la Recarga y mantenimiento</t>
        </is>
      </c>
      <c r="G2113" t="inlineStr">
        <is>
          <t>07</t>
        </is>
      </c>
      <c r="H2113" t="inlineStr">
        <is>
          <t>06 KG</t>
        </is>
      </c>
      <c r="I2113" t="n">
        <v>2028</v>
      </c>
      <c r="J2113" t="n">
        <v>2010</v>
      </c>
      <c r="K2113" t="inlineStr">
        <is>
          <t>OCTUBRE 2024</t>
        </is>
      </c>
      <c r="L2113" t="inlineStr">
        <is>
          <t>OCTUBRE 2025</t>
        </is>
      </c>
      <c r="M2113" t="inlineStr">
        <is>
          <t>P.Q.S TIPO ABC AL 90 % NACIONAL</t>
        </is>
      </c>
      <c r="N2113" t="inlineStr">
        <is>
          <t>302 / 000070</t>
        </is>
      </c>
      <c r="O2113" t="inlineStr">
        <is>
          <t>R</t>
        </is>
      </c>
      <c r="P2113">
        <f>TRIM(N2113)</f>
        <v/>
      </c>
    </row>
    <row r="2114">
      <c r="A2114" t="inlineStr">
        <is>
          <t>CO-002086</t>
        </is>
      </c>
      <c r="B2114" t="inlineStr">
        <is>
          <t>PERU MASIVO S.A</t>
        </is>
      </c>
      <c r="C2114" t="inlineStr">
        <is>
          <t>20492392031</t>
        </is>
      </c>
      <c r="D2114" t="inlineStr">
        <is>
          <t>AV. LOS INCAS CDRA. 4 PATIO NORTE - COMAS</t>
        </is>
      </c>
      <c r="E2114" t="inlineStr">
        <is>
          <t>Lima, 07 de Octubre 2024</t>
        </is>
      </c>
      <c r="F2114" t="inlineStr">
        <is>
          <t>la Recarga y mantenimiento</t>
        </is>
      </c>
      <c r="G2114" t="inlineStr">
        <is>
          <t>08</t>
        </is>
      </c>
      <c r="H2114" t="inlineStr">
        <is>
          <t>06 KG</t>
        </is>
      </c>
      <c r="I2114" t="n">
        <v>2028</v>
      </c>
      <c r="J2114" t="n">
        <v>2010</v>
      </c>
      <c r="K2114" t="inlineStr">
        <is>
          <t>OCTUBRE 2024</t>
        </is>
      </c>
      <c r="L2114" t="inlineStr">
        <is>
          <t>OCTUBRE 2025</t>
        </is>
      </c>
      <c r="M2114" t="inlineStr">
        <is>
          <t>P.Q.S TIPO ABC AL 90 % NACIONAL</t>
        </is>
      </c>
      <c r="N2114" t="inlineStr">
        <is>
          <t>34 / 006422</t>
        </is>
      </c>
      <c r="O2114" t="inlineStr">
        <is>
          <t>R</t>
        </is>
      </c>
      <c r="P2114">
        <f>TRIM(N2114)</f>
        <v/>
      </c>
    </row>
    <row r="2115">
      <c r="A2115" t="inlineStr">
        <is>
          <t>CO-002087</t>
        </is>
      </c>
      <c r="B2115" t="inlineStr">
        <is>
          <t>ASCENCIA BOCANGELINO VALENCIA</t>
        </is>
      </c>
      <c r="C2115" t="inlineStr">
        <is>
          <t>23987031</t>
        </is>
      </c>
      <c r="D2115" t="inlineStr">
        <is>
          <t>Urb. El Paraiso Mz. F Lote 05 - Carabayllo</t>
        </is>
      </c>
      <c r="E2115" t="inlineStr">
        <is>
          <t>Lima, 07 de Octubre 2024</t>
        </is>
      </c>
      <c r="F2115" t="inlineStr">
        <is>
          <t>la Recarga y mantenimiento</t>
        </is>
      </c>
      <c r="G2115" t="inlineStr">
        <is>
          <t>01</t>
        </is>
      </c>
      <c r="H2115" t="inlineStr">
        <is>
          <t>06 KG</t>
        </is>
      </c>
      <c r="I2115" t="inlineStr">
        <is>
          <t>2028</t>
        </is>
      </c>
      <c r="J2115" t="n">
        <v>2023</v>
      </c>
      <c r="K2115" t="inlineStr">
        <is>
          <t>OCTUBRE 2024</t>
        </is>
      </c>
      <c r="L2115" t="inlineStr">
        <is>
          <t>OCTUBRE 2025</t>
        </is>
      </c>
      <c r="M2115" t="inlineStr">
        <is>
          <t xml:space="preserve">P.Q.S TIPO ABC </t>
        </is>
      </c>
      <c r="N2115" t="inlineStr">
        <is>
          <t>01/002405</t>
        </is>
      </c>
      <c r="O2115" t="inlineStr">
        <is>
          <t>R</t>
        </is>
      </c>
      <c r="P2115">
        <f>TRIM(N2115)</f>
        <v/>
      </c>
    </row>
    <row r="2116">
      <c r="A2116" t="inlineStr">
        <is>
          <t>CO-002088</t>
        </is>
      </c>
      <c r="B2116" t="inlineStr">
        <is>
          <t>REPUESTOS NUEVOS S A (RENU S A )</t>
        </is>
      </c>
      <c r="D2116" t="inlineStr">
        <is>
          <t>PLACA : BJA 756</t>
        </is>
      </c>
      <c r="E2116" t="inlineStr">
        <is>
          <t>Lima, 07 de Octubre 2024</t>
        </is>
      </c>
      <c r="F2116" t="inlineStr">
        <is>
          <t>la Recarga y mantenimiento</t>
        </is>
      </c>
      <c r="G2116" t="inlineStr">
        <is>
          <t>01</t>
        </is>
      </c>
      <c r="H2116" t="inlineStr">
        <is>
          <t>06 KG</t>
        </is>
      </c>
      <c r="I2116" t="inlineStr">
        <is>
          <t>VIGENTE</t>
        </is>
      </c>
      <c r="J2116" t="n">
        <v>2017</v>
      </c>
      <c r="K2116" t="inlineStr">
        <is>
          <t>OCTUBRE 2024</t>
        </is>
      </c>
      <c r="L2116" t="inlineStr">
        <is>
          <t>OCTUBRE 2025</t>
        </is>
      </c>
      <c r="M2116" t="inlineStr">
        <is>
          <t xml:space="preserve">P.Q.S TIPO ABC </t>
        </is>
      </c>
      <c r="N2116" t="inlineStr">
        <is>
          <t>006065</t>
        </is>
      </c>
      <c r="O2116" t="inlineStr">
        <is>
          <t>R</t>
        </is>
      </c>
      <c r="P2116">
        <f>TRIM(N2116)</f>
        <v/>
      </c>
    </row>
    <row r="2117">
      <c r="A2117" t="inlineStr">
        <is>
          <t>CO-002089</t>
        </is>
      </c>
      <c r="B2117" t="inlineStr">
        <is>
          <t>Botica D Carols  - IRIGOYEN DIAZ JANETT CAROL</t>
        </is>
      </c>
      <c r="C2117" t="inlineStr">
        <is>
          <t>10095957761</t>
        </is>
      </c>
      <c r="D2117" t="inlineStr">
        <is>
          <t xml:space="preserve">C.Benjamin Doig 9, Lima 15108 </t>
        </is>
      </c>
      <c r="E2117" t="inlineStr">
        <is>
          <t>Lima, 07 de Octubre 2024</t>
        </is>
      </c>
      <c r="F2117" t="inlineStr">
        <is>
          <t>la Recarga y mantenimiento</t>
        </is>
      </c>
      <c r="G2117" t="inlineStr">
        <is>
          <t>01</t>
        </is>
      </c>
      <c r="H2117" t="inlineStr">
        <is>
          <t>06 KG</t>
        </is>
      </c>
      <c r="I2117" t="inlineStr">
        <is>
          <t>VIGENTE</t>
        </is>
      </c>
      <c r="J2117" t="n">
        <v>2009</v>
      </c>
      <c r="K2117" t="inlineStr">
        <is>
          <t>OCTUBRE 2024</t>
        </is>
      </c>
      <c r="L2117" t="inlineStr">
        <is>
          <t>OCTUBRE 2025</t>
        </is>
      </c>
      <c r="M2117" t="inlineStr">
        <is>
          <t xml:space="preserve">P.Q.S TIPO ABC </t>
        </is>
      </c>
      <c r="N2117" t="inlineStr">
        <is>
          <t>003084</t>
        </is>
      </c>
      <c r="O2117" t="inlineStr">
        <is>
          <t>R</t>
        </is>
      </c>
      <c r="P2117">
        <f>TRIM(N2117)</f>
        <v/>
      </c>
    </row>
    <row r="2118">
      <c r="A2118" t="inlineStr">
        <is>
          <t>CO-002090</t>
        </is>
      </c>
      <c r="B2118" t="inlineStr">
        <is>
          <t>AVES ADRIANITO E.I.R.L</t>
        </is>
      </c>
      <c r="C2118" t="inlineStr">
        <is>
          <t>20601971772</t>
        </is>
      </c>
      <c r="D2118" t="inlineStr">
        <is>
          <t>AV TRAPICHE LT. 57 URB. LOS HUERTOS DE TUNGASUCA - COMAS.</t>
        </is>
      </c>
      <c r="E2118" t="inlineStr">
        <is>
          <t>Lima, 09 de Octubre 2024</t>
        </is>
      </c>
      <c r="F2118" t="inlineStr">
        <is>
          <t>la Recarga y mantenimiento</t>
        </is>
      </c>
      <c r="G2118" t="inlineStr">
        <is>
          <t>01</t>
        </is>
      </c>
      <c r="H2118" t="inlineStr">
        <is>
          <t>09 KG</t>
        </is>
      </c>
      <c r="I2118" t="inlineStr">
        <is>
          <t>2027</t>
        </is>
      </c>
      <c r="J2118" t="n">
        <v>2022</v>
      </c>
      <c r="K2118" t="inlineStr">
        <is>
          <t>OCTUBRE 2024</t>
        </is>
      </c>
      <c r="L2118" t="inlineStr">
        <is>
          <t>OCTUBRE 2025</t>
        </is>
      </c>
      <c r="M2118" t="inlineStr">
        <is>
          <t xml:space="preserve">P.Q.S.  TIPO ABC </t>
        </is>
      </c>
      <c r="N2118" t="inlineStr">
        <is>
          <t>006166</t>
        </is>
      </c>
      <c r="O2118" t="inlineStr">
        <is>
          <t>R</t>
        </is>
      </c>
      <c r="P2118">
        <f>TRIM(N2118)</f>
        <v/>
      </c>
    </row>
    <row r="2119">
      <c r="A2119" t="inlineStr">
        <is>
          <t>CO-002091</t>
        </is>
      </c>
      <c r="B2119" t="inlineStr">
        <is>
          <t xml:space="preserve">EDILBERTO JESUS SUERO SALAS </t>
        </is>
      </c>
      <c r="C2119" t="inlineStr">
        <is>
          <t>DNI: 45882713</t>
        </is>
      </c>
      <c r="D2119" t="inlineStr">
        <is>
          <t xml:space="preserve">MERCADO SANGARARA PUESTO 11 (ESQUINA) </t>
        </is>
      </c>
      <c r="E2119" t="inlineStr">
        <is>
          <t>Lima, 09 de Octubre 2024</t>
        </is>
      </c>
      <c r="F2119" t="inlineStr">
        <is>
          <t>la Recarga y mantenimiento</t>
        </is>
      </c>
      <c r="G2119" t="inlineStr">
        <is>
          <t>-</t>
        </is>
      </c>
      <c r="H2119" t="inlineStr">
        <is>
          <t>06 KG</t>
        </is>
      </c>
      <c r="I2119" t="inlineStr">
        <is>
          <t>2027</t>
        </is>
      </c>
      <c r="J2119" t="n">
        <v>2022</v>
      </c>
      <c r="K2119" t="inlineStr">
        <is>
          <t>OCTUBRE 2024</t>
        </is>
      </c>
      <c r="L2119" t="inlineStr">
        <is>
          <t>OCTUBRE 2025</t>
        </is>
      </c>
      <c r="M2119" t="inlineStr">
        <is>
          <t>P.Q.S.  TIPO ABC</t>
        </is>
      </c>
      <c r="N2119" t="inlineStr">
        <is>
          <t>01/307190</t>
        </is>
      </c>
      <c r="O2119" t="inlineStr">
        <is>
          <t>V</t>
        </is>
      </c>
      <c r="P2119">
        <f>TRIM(N2119)</f>
        <v/>
      </c>
    </row>
    <row r="2120">
      <c r="A2120" t="inlineStr">
        <is>
          <t>CO-002092</t>
        </is>
      </c>
      <c r="B2120" t="inlineStr">
        <is>
          <t xml:space="preserve">ENCONOCABLE MEDIA SAC </t>
        </is>
      </c>
      <c r="C2120" t="inlineStr">
        <is>
          <t>20508720255</t>
        </is>
      </c>
      <c r="D2120" t="inlineStr">
        <is>
          <t xml:space="preserve">Calle monte grande 129  - SURCO </t>
        </is>
      </c>
      <c r="E2120" t="inlineStr">
        <is>
          <t>Lima, 11 de Octubre 2024</t>
        </is>
      </c>
      <c r="F2120" t="inlineStr">
        <is>
          <t>venta</t>
        </is>
      </c>
      <c r="G2120" t="inlineStr">
        <is>
          <t>01</t>
        </is>
      </c>
      <c r="H2120" t="inlineStr">
        <is>
          <t>06 KG</t>
        </is>
      </c>
      <c r="I2120" t="inlineStr">
        <is>
          <t>2029</t>
        </is>
      </c>
      <c r="J2120" t="n">
        <v>2024</v>
      </c>
      <c r="K2120" t="inlineStr">
        <is>
          <t>OCTUBRE 2024</t>
        </is>
      </c>
      <c r="L2120" t="inlineStr">
        <is>
          <t>OCTUBRE 2025</t>
        </is>
      </c>
      <c r="M2120" t="inlineStr">
        <is>
          <t>P.Q.S.  TIPO ABC</t>
        </is>
      </c>
      <c r="N2120" t="inlineStr">
        <is>
          <t>006200</t>
        </is>
      </c>
      <c r="O2120" t="inlineStr">
        <is>
          <t>V</t>
        </is>
      </c>
      <c r="P2120">
        <f>TRIM(N2120)</f>
        <v/>
      </c>
    </row>
    <row r="2121">
      <c r="A2121" t="inlineStr">
        <is>
          <t>CO-002092</t>
        </is>
      </c>
      <c r="B2121" t="inlineStr">
        <is>
          <t xml:space="preserve">ENCONOCABLE MEDIA SAC </t>
        </is>
      </c>
      <c r="C2121" t="inlineStr">
        <is>
          <t>20508720255</t>
        </is>
      </c>
      <c r="D2121" t="inlineStr">
        <is>
          <t xml:space="preserve">Calle monte grande 129  - SURCO </t>
        </is>
      </c>
      <c r="E2121" t="inlineStr">
        <is>
          <t>Lima, 11 de Octubre 2024</t>
        </is>
      </c>
      <c r="F2121" t="inlineStr">
        <is>
          <t>venta</t>
        </is>
      </c>
      <c r="G2121" t="inlineStr">
        <is>
          <t>02</t>
        </is>
      </c>
      <c r="H2121" t="inlineStr">
        <is>
          <t>06 KG</t>
        </is>
      </c>
      <c r="I2121" t="inlineStr">
        <is>
          <t>2029</t>
        </is>
      </c>
      <c r="J2121" t="n">
        <v>2024</v>
      </c>
      <c r="K2121" t="inlineStr">
        <is>
          <t>OCTUBRE 2024</t>
        </is>
      </c>
      <c r="L2121" t="inlineStr">
        <is>
          <t>OCTUBRE 2025</t>
        </is>
      </c>
      <c r="M2121" t="inlineStr">
        <is>
          <t>P.Q.S.  TIPO ABC</t>
        </is>
      </c>
      <c r="N2121" t="inlineStr">
        <is>
          <t>007864</t>
        </is>
      </c>
      <c r="O2121" t="inlineStr">
        <is>
          <t>V</t>
        </is>
      </c>
      <c r="P2121">
        <f>TRIM(N2121)</f>
        <v/>
      </c>
    </row>
    <row r="2122">
      <c r="A2122" t="inlineStr">
        <is>
          <t>CO-002092</t>
        </is>
      </c>
      <c r="B2122" t="inlineStr">
        <is>
          <t xml:space="preserve">ENCONOCABLE MEDIA SAC </t>
        </is>
      </c>
      <c r="C2122" t="inlineStr">
        <is>
          <t>20508720255</t>
        </is>
      </c>
      <c r="D2122" t="inlineStr">
        <is>
          <t xml:space="preserve">Calle monte grande 129  - SURCO </t>
        </is>
      </c>
      <c r="E2122" t="inlineStr">
        <is>
          <t>Lima, 11 de Octubre 2024</t>
        </is>
      </c>
      <c r="F2122" t="inlineStr">
        <is>
          <t>venta</t>
        </is>
      </c>
      <c r="G2122" t="inlineStr">
        <is>
          <t>03</t>
        </is>
      </c>
      <c r="H2122" t="inlineStr">
        <is>
          <t>06 KG</t>
        </is>
      </c>
      <c r="I2122" t="inlineStr">
        <is>
          <t>2029</t>
        </is>
      </c>
      <c r="J2122" t="n">
        <v>2024</v>
      </c>
      <c r="K2122" t="inlineStr">
        <is>
          <t>OCTUBRE 2024</t>
        </is>
      </c>
      <c r="L2122" t="inlineStr">
        <is>
          <t>OCTUBRE 2025</t>
        </is>
      </c>
      <c r="M2122" t="inlineStr">
        <is>
          <t>P.Q.S.  TIPO ABC</t>
        </is>
      </c>
      <c r="N2122" t="inlineStr">
        <is>
          <t>008698</t>
        </is>
      </c>
      <c r="O2122" t="inlineStr">
        <is>
          <t>V</t>
        </is>
      </c>
      <c r="P2122">
        <f>TRIM(N2122)</f>
        <v/>
      </c>
    </row>
    <row r="2123">
      <c r="A2123" t="inlineStr">
        <is>
          <t>CO-002093</t>
        </is>
      </c>
      <c r="B2123" t="inlineStr">
        <is>
          <t>EDIFICACIONES JOR SOCIEDAD ANONIMA CERRADA</t>
        </is>
      </c>
      <c r="C2123" t="inlineStr">
        <is>
          <t>20513263423</t>
        </is>
      </c>
      <c r="D2123" t="inlineStr">
        <is>
          <t>AV. EL BANCO 312, ATE</t>
        </is>
      </c>
      <c r="E2123" t="inlineStr">
        <is>
          <t>Lima, 14 de Octubre 2024</t>
        </is>
      </c>
      <c r="F2123" t="inlineStr">
        <is>
          <t>venta</t>
        </is>
      </c>
      <c r="G2123" t="inlineStr">
        <is>
          <t>01</t>
        </is>
      </c>
      <c r="H2123" t="inlineStr">
        <is>
          <t>12 KG</t>
        </is>
      </c>
      <c r="I2123" t="inlineStr">
        <is>
          <t>2029</t>
        </is>
      </c>
      <c r="J2123" t="n">
        <v>2024</v>
      </c>
      <c r="K2123" t="inlineStr">
        <is>
          <t>OCTUBRE 2024</t>
        </is>
      </c>
      <c r="L2123" t="inlineStr">
        <is>
          <t>OCTUBRE 2025</t>
        </is>
      </c>
      <c r="M2123" t="inlineStr">
        <is>
          <t>P.Q.S.  TIPO ABC</t>
        </is>
      </c>
      <c r="N2123" t="inlineStr">
        <is>
          <t>0001005</t>
        </is>
      </c>
      <c r="O2123" t="inlineStr">
        <is>
          <t>V</t>
        </is>
      </c>
      <c r="P2123">
        <f>TRIM(N2123)</f>
        <v/>
      </c>
    </row>
    <row r="2124">
      <c r="A2124" t="inlineStr">
        <is>
          <t>CO-002093</t>
        </is>
      </c>
      <c r="B2124" t="inlineStr">
        <is>
          <t>EDIFICACIONES JOR SOCIEDAD ANONIMA CERRADA</t>
        </is>
      </c>
      <c r="C2124" t="inlineStr">
        <is>
          <t>20513263423</t>
        </is>
      </c>
      <c r="D2124" t="inlineStr">
        <is>
          <t>AV. EL BANCO 312, ATE</t>
        </is>
      </c>
      <c r="E2124" t="inlineStr">
        <is>
          <t>Lima, 14 de Octubre 2024</t>
        </is>
      </c>
      <c r="F2124" t="inlineStr">
        <is>
          <t>venta</t>
        </is>
      </c>
      <c r="G2124" t="inlineStr">
        <is>
          <t>02</t>
        </is>
      </c>
      <c r="H2124" t="inlineStr">
        <is>
          <t>12 KG</t>
        </is>
      </c>
      <c r="I2124" t="inlineStr">
        <is>
          <t>2029</t>
        </is>
      </c>
      <c r="J2124" t="n">
        <v>2024</v>
      </c>
      <c r="K2124" t="inlineStr">
        <is>
          <t>OCTUBRE 2024</t>
        </is>
      </c>
      <c r="L2124" t="inlineStr">
        <is>
          <t>OCTUBRE 2025</t>
        </is>
      </c>
      <c r="M2124" t="inlineStr">
        <is>
          <t>P.Q.S.  TIPO ABC</t>
        </is>
      </c>
      <c r="N2124" t="inlineStr">
        <is>
          <t>000994</t>
        </is>
      </c>
      <c r="O2124" t="inlineStr">
        <is>
          <t>V</t>
        </is>
      </c>
      <c r="P2124">
        <f>TRIM(N2124)</f>
        <v/>
      </c>
    </row>
    <row r="2125">
      <c r="A2125" t="inlineStr">
        <is>
          <t>CO-002093</t>
        </is>
      </c>
      <c r="B2125" t="inlineStr">
        <is>
          <t>EDIFICACIONES JOR SOCIEDAD ANONIMA CERRADA</t>
        </is>
      </c>
      <c r="C2125" t="inlineStr">
        <is>
          <t>20513263423</t>
        </is>
      </c>
      <c r="D2125" t="inlineStr">
        <is>
          <t>AV. EL BANCO 312, ATE</t>
        </is>
      </c>
      <c r="E2125" t="inlineStr">
        <is>
          <t>Lima, 14 de Octubre 2024</t>
        </is>
      </c>
      <c r="F2125" t="inlineStr">
        <is>
          <t>venta</t>
        </is>
      </c>
      <c r="G2125" t="inlineStr">
        <is>
          <t>03</t>
        </is>
      </c>
      <c r="H2125" t="inlineStr">
        <is>
          <t>12 KG</t>
        </is>
      </c>
      <c r="I2125" t="inlineStr">
        <is>
          <t>2029</t>
        </is>
      </c>
      <c r="J2125" t="n">
        <v>2024</v>
      </c>
      <c r="K2125" t="inlineStr">
        <is>
          <t>OCTUBRE 2024</t>
        </is>
      </c>
      <c r="L2125" t="inlineStr">
        <is>
          <t>OCTUBRE 2025</t>
        </is>
      </c>
      <c r="M2125" t="inlineStr">
        <is>
          <t>P.Q.S.  TIPO ABC</t>
        </is>
      </c>
      <c r="N2125" t="inlineStr">
        <is>
          <t>000397</t>
        </is>
      </c>
      <c r="O2125" t="inlineStr">
        <is>
          <t>V</t>
        </is>
      </c>
      <c r="P2125">
        <f>TRIM(N2125)</f>
        <v/>
      </c>
    </row>
    <row r="2126">
      <c r="A2126" t="inlineStr">
        <is>
          <t>CO-002093</t>
        </is>
      </c>
      <c r="B2126" t="inlineStr">
        <is>
          <t>EDIFICACIONES JOR SOCIEDAD ANONIMA CERRADA</t>
        </is>
      </c>
      <c r="C2126" t="inlineStr">
        <is>
          <t>20513263423</t>
        </is>
      </c>
      <c r="D2126" t="inlineStr">
        <is>
          <t>AV. EL BANCO 312, ATE</t>
        </is>
      </c>
      <c r="E2126" t="inlineStr">
        <is>
          <t>Lima, 14 de Octubre 2024</t>
        </is>
      </c>
      <c r="F2126" t="inlineStr">
        <is>
          <t>venta</t>
        </is>
      </c>
      <c r="G2126" t="inlineStr">
        <is>
          <t>04</t>
        </is>
      </c>
      <c r="H2126" t="inlineStr">
        <is>
          <t>12 KG</t>
        </is>
      </c>
      <c r="I2126" t="inlineStr">
        <is>
          <t>2029</t>
        </is>
      </c>
      <c r="J2126" t="n">
        <v>2024</v>
      </c>
      <c r="K2126" t="inlineStr">
        <is>
          <t>OCTUBRE 2024</t>
        </is>
      </c>
      <c r="L2126" t="inlineStr">
        <is>
          <t>OCTUBRE 2025</t>
        </is>
      </c>
      <c r="M2126" t="inlineStr">
        <is>
          <t>P.Q.S.  TIPO ABC</t>
        </is>
      </c>
      <c r="N2126" t="inlineStr">
        <is>
          <t>000688</t>
        </is>
      </c>
      <c r="O2126" t="inlineStr">
        <is>
          <t>V</t>
        </is>
      </c>
      <c r="P2126">
        <f>TRIM(N2126)</f>
        <v/>
      </c>
    </row>
    <row r="2127">
      <c r="A2127" t="inlineStr">
        <is>
          <t>CO-002094</t>
        </is>
      </c>
      <c r="B2127" t="inlineStr">
        <is>
          <t>PERU MASIVO S.A</t>
        </is>
      </c>
      <c r="C2127" t="inlineStr">
        <is>
          <t>20492392031</t>
        </is>
      </c>
      <c r="D2127" t="inlineStr">
        <is>
          <t>AV. LOS INCAS CDRA. 4 PATIO NORTE - COMAS</t>
        </is>
      </c>
      <c r="E2127" t="inlineStr">
        <is>
          <t>Lima, 14 de Octubre 2024</t>
        </is>
      </c>
      <c r="F2127" t="inlineStr">
        <is>
          <t>la Recarga y mantenimiento</t>
        </is>
      </c>
      <c r="G2127" t="inlineStr">
        <is>
          <t>01</t>
        </is>
      </c>
      <c r="H2127" t="inlineStr">
        <is>
          <t>06 KG</t>
        </is>
      </c>
      <c r="I2127" t="inlineStr">
        <is>
          <t>2028</t>
        </is>
      </c>
      <c r="J2127" t="n">
        <v>2016</v>
      </c>
      <c r="K2127" t="inlineStr">
        <is>
          <t>OCTUBRE 2024</t>
        </is>
      </c>
      <c r="L2127" t="inlineStr">
        <is>
          <t>OCTUBRE 2025</t>
        </is>
      </c>
      <c r="M2127" t="inlineStr">
        <is>
          <t>P.Q.S TIPO ABC AL 90 % NACIONAL</t>
        </is>
      </c>
      <c r="N2127" t="inlineStr">
        <is>
          <t>SN / 000002</t>
        </is>
      </c>
      <c r="O2127" t="inlineStr">
        <is>
          <t>R</t>
        </is>
      </c>
      <c r="P2127">
        <f>TRIM(N2127)</f>
        <v/>
      </c>
    </row>
    <row r="2128">
      <c r="A2128" t="inlineStr">
        <is>
          <t>CO-002094</t>
        </is>
      </c>
      <c r="B2128" t="inlineStr">
        <is>
          <t>PERU MASIVO S.A</t>
        </is>
      </c>
      <c r="C2128" t="inlineStr">
        <is>
          <t>20492392031</t>
        </is>
      </c>
      <c r="D2128" t="inlineStr">
        <is>
          <t>AV. LOS INCAS CDRA. 4 PATIO NORTE - COMAS</t>
        </is>
      </c>
      <c r="E2128" t="inlineStr">
        <is>
          <t>Lima, 14 de Octubre 2024</t>
        </is>
      </c>
      <c r="F2128" t="inlineStr">
        <is>
          <t>la Recarga y mantenimiento</t>
        </is>
      </c>
      <c r="G2128" t="inlineStr">
        <is>
          <t>02</t>
        </is>
      </c>
      <c r="H2128" t="inlineStr">
        <is>
          <t>06 KG</t>
        </is>
      </c>
      <c r="I2128" t="inlineStr">
        <is>
          <t>2028</t>
        </is>
      </c>
      <c r="J2128" t="n">
        <v>2009</v>
      </c>
      <c r="K2128" t="inlineStr">
        <is>
          <t>OCTUBRE 2024</t>
        </is>
      </c>
      <c r="L2128" t="inlineStr">
        <is>
          <t>OCTUBRE 2025</t>
        </is>
      </c>
      <c r="M2128" t="inlineStr">
        <is>
          <t>P.Q.S TIPO ABC AL 90 % NACIONAL</t>
        </is>
      </c>
      <c r="N2128" t="inlineStr">
        <is>
          <t>46 / 001272</t>
        </is>
      </c>
      <c r="O2128" t="inlineStr">
        <is>
          <t>R</t>
        </is>
      </c>
      <c r="P2128">
        <f>TRIM(N2128)</f>
        <v/>
      </c>
    </row>
    <row r="2129">
      <c r="A2129" t="inlineStr">
        <is>
          <t>CO-002094</t>
        </is>
      </c>
      <c r="B2129" t="inlineStr">
        <is>
          <t>PERU MASIVO S.A</t>
        </is>
      </c>
      <c r="C2129" t="inlineStr">
        <is>
          <t>20492392031</t>
        </is>
      </c>
      <c r="D2129" t="inlineStr">
        <is>
          <t>AV. LOS INCAS CDRA. 4 PATIO NORTE - COMAS</t>
        </is>
      </c>
      <c r="E2129" t="inlineStr">
        <is>
          <t>Lima, 14 de Octubre 2024</t>
        </is>
      </c>
      <c r="F2129" t="inlineStr">
        <is>
          <t>la Recarga y mantenimiento</t>
        </is>
      </c>
      <c r="G2129" t="inlineStr">
        <is>
          <t>03</t>
        </is>
      </c>
      <c r="H2129" t="inlineStr">
        <is>
          <t>06KG</t>
        </is>
      </c>
      <c r="I2129" t="n">
        <v>2028</v>
      </c>
      <c r="J2129" t="n">
        <v>2009</v>
      </c>
      <c r="K2129" t="inlineStr">
        <is>
          <t>OCTUBRE 2024</t>
        </is>
      </c>
      <c r="L2129" t="inlineStr">
        <is>
          <t>OCTUBRE 2025</t>
        </is>
      </c>
      <c r="M2129" t="inlineStr">
        <is>
          <t>P.Q.S TIPO ABC AL 90 % NACIONAL</t>
        </is>
      </c>
      <c r="N2129" t="inlineStr">
        <is>
          <t>13 / 001952</t>
        </is>
      </c>
      <c r="O2129" t="inlineStr">
        <is>
          <t>R</t>
        </is>
      </c>
      <c r="P2129">
        <f>TRIM(N2129)</f>
        <v/>
      </c>
    </row>
    <row r="2130">
      <c r="A2130" t="inlineStr">
        <is>
          <t>CO-002094</t>
        </is>
      </c>
      <c r="B2130" t="inlineStr">
        <is>
          <t>PERU MASIVO S.A</t>
        </is>
      </c>
      <c r="C2130" t="inlineStr">
        <is>
          <t>20492392031</t>
        </is>
      </c>
      <c r="D2130" t="inlineStr">
        <is>
          <t>AV. LOS INCAS CDRA. 4 PATIO NORTE - COMAS</t>
        </is>
      </c>
      <c r="E2130" t="inlineStr">
        <is>
          <t>Lima, 14 de Octubre 2024</t>
        </is>
      </c>
      <c r="F2130" t="inlineStr">
        <is>
          <t>la Recarga y mantenimiento</t>
        </is>
      </c>
      <c r="G2130" t="inlineStr">
        <is>
          <t>04</t>
        </is>
      </c>
      <c r="H2130" t="inlineStr">
        <is>
          <t>06KG</t>
        </is>
      </c>
      <c r="I2130" t="n">
        <v>2028</v>
      </c>
      <c r="J2130" t="n">
        <v>2009</v>
      </c>
      <c r="K2130" t="inlineStr">
        <is>
          <t>OCTUBRE 2024</t>
        </is>
      </c>
      <c r="L2130" t="inlineStr">
        <is>
          <t>OCTUBRE 2025</t>
        </is>
      </c>
      <c r="M2130" t="inlineStr">
        <is>
          <t>P.Q.S TIPO ABC AL 90 % NACIONAL</t>
        </is>
      </c>
      <c r="N2130" t="inlineStr">
        <is>
          <t>171 / 002270</t>
        </is>
      </c>
      <c r="O2130" t="inlineStr">
        <is>
          <t>R</t>
        </is>
      </c>
      <c r="P2130">
        <f>TRIM(N2130)</f>
        <v/>
      </c>
    </row>
    <row r="2131">
      <c r="A2131" t="inlineStr">
        <is>
          <t>CO-002094</t>
        </is>
      </c>
      <c r="B2131" t="inlineStr">
        <is>
          <t>PERU MASIVO S.A</t>
        </is>
      </c>
      <c r="C2131" t="inlineStr">
        <is>
          <t>20492392031</t>
        </is>
      </c>
      <c r="D2131" t="inlineStr">
        <is>
          <t>AV. LOS INCAS CDRA. 4 PATIO NORTE - COMAS</t>
        </is>
      </c>
      <c r="E2131" t="inlineStr">
        <is>
          <t>Lima, 14 de Octubre 2024</t>
        </is>
      </c>
      <c r="F2131" t="inlineStr">
        <is>
          <t>la Recarga y mantenimiento</t>
        </is>
      </c>
      <c r="G2131" t="inlineStr">
        <is>
          <t>05</t>
        </is>
      </c>
      <c r="H2131" t="inlineStr">
        <is>
          <t>06 KG</t>
        </is>
      </c>
      <c r="I2131" t="n">
        <v>2028</v>
      </c>
      <c r="J2131" t="n">
        <v>2010</v>
      </c>
      <c r="K2131" t="inlineStr">
        <is>
          <t>OCTUBRE 2024</t>
        </is>
      </c>
      <c r="L2131" t="inlineStr">
        <is>
          <t>OCTUBRE 2025</t>
        </is>
      </c>
      <c r="M2131" t="inlineStr">
        <is>
          <t>P.Q.S TIPO ABC AL 90 % NACIONAL</t>
        </is>
      </c>
      <c r="N2131" t="inlineStr">
        <is>
          <t>79 / 002579</t>
        </is>
      </c>
      <c r="O2131" t="inlineStr">
        <is>
          <t>R</t>
        </is>
      </c>
      <c r="P2131">
        <f>TRIM(N2131)</f>
        <v/>
      </c>
    </row>
    <row r="2132">
      <c r="A2132" t="inlineStr">
        <is>
          <t>CO-002094</t>
        </is>
      </c>
      <c r="B2132" t="inlineStr">
        <is>
          <t>PERU MASIVO S.A</t>
        </is>
      </c>
      <c r="C2132" t="inlineStr">
        <is>
          <t>20492392031</t>
        </is>
      </c>
      <c r="D2132" t="inlineStr">
        <is>
          <t>AV. LOS INCAS CDRA. 4 PATIO NORTE - COMAS</t>
        </is>
      </c>
      <c r="E2132" t="inlineStr">
        <is>
          <t>Lima, 14 de Octubre 2024</t>
        </is>
      </c>
      <c r="F2132" t="inlineStr">
        <is>
          <t>la Recarga y mantenimiento</t>
        </is>
      </c>
      <c r="G2132" t="inlineStr">
        <is>
          <t>06</t>
        </is>
      </c>
      <c r="H2132" t="inlineStr">
        <is>
          <t>06 KG</t>
        </is>
      </c>
      <c r="I2132" t="n">
        <v>2028</v>
      </c>
      <c r="J2132" t="n">
        <v>2012</v>
      </c>
      <c r="K2132" t="inlineStr">
        <is>
          <t>OCTUBRE 2024</t>
        </is>
      </c>
      <c r="L2132" t="inlineStr">
        <is>
          <t>OCTUBRE 2025</t>
        </is>
      </c>
      <c r="M2132" t="inlineStr">
        <is>
          <t>P.Q.S TIPO ABC AL 90 % NACIONAL</t>
        </is>
      </c>
      <c r="N2132" t="inlineStr">
        <is>
          <t>104 / 005039</t>
        </is>
      </c>
      <c r="O2132" t="inlineStr">
        <is>
          <t>R</t>
        </is>
      </c>
      <c r="P2132">
        <f>TRIM(N2132)</f>
        <v/>
      </c>
    </row>
    <row r="2133">
      <c r="A2133" t="inlineStr">
        <is>
          <t>CO-002094</t>
        </is>
      </c>
      <c r="B2133" t="inlineStr">
        <is>
          <t>PERU MASIVO S.A</t>
        </is>
      </c>
      <c r="C2133" t="inlineStr">
        <is>
          <t>20492392031</t>
        </is>
      </c>
      <c r="D2133" t="inlineStr">
        <is>
          <t>AV. LOS INCAS CDRA. 4 PATIO NORTE - COMAS</t>
        </is>
      </c>
      <c r="E2133" t="inlineStr">
        <is>
          <t>Lima, 14 de Octubre 2024</t>
        </is>
      </c>
      <c r="F2133" t="inlineStr">
        <is>
          <t>la Recarga y mantenimiento</t>
        </is>
      </c>
      <c r="G2133" t="inlineStr">
        <is>
          <t>07</t>
        </is>
      </c>
      <c r="H2133" t="inlineStr">
        <is>
          <t>06 KG</t>
        </is>
      </c>
      <c r="I2133" t="n">
        <v>2028</v>
      </c>
      <c r="J2133" t="n">
        <v>2011</v>
      </c>
      <c r="K2133" t="inlineStr">
        <is>
          <t>OCTUBRE 2024</t>
        </is>
      </c>
      <c r="L2133" t="inlineStr">
        <is>
          <t>OCTUBRE 2025</t>
        </is>
      </c>
      <c r="M2133" t="inlineStr">
        <is>
          <t>P.Q.S TIPO ABC AL 90 % NACIONAL</t>
        </is>
      </c>
      <c r="N2133" t="inlineStr">
        <is>
          <t>SN / 201106</t>
        </is>
      </c>
      <c r="O2133" t="inlineStr">
        <is>
          <t>R</t>
        </is>
      </c>
      <c r="P2133">
        <f>TRIM(N2133)</f>
        <v/>
      </c>
    </row>
    <row r="2134">
      <c r="A2134" t="inlineStr">
        <is>
          <t>CO-002094</t>
        </is>
      </c>
      <c r="B2134" t="inlineStr">
        <is>
          <t>PERU MASIVO S.A</t>
        </is>
      </c>
      <c r="C2134" t="inlineStr">
        <is>
          <t>20492392031</t>
        </is>
      </c>
      <c r="D2134" t="inlineStr">
        <is>
          <t>AV. LOS INCAS CDRA. 4 PATIO NORTE - COMAS</t>
        </is>
      </c>
      <c r="E2134" t="inlineStr">
        <is>
          <t>Lima, 14 de Octubre 2024</t>
        </is>
      </c>
      <c r="F2134" t="inlineStr">
        <is>
          <t>la Recarga y mantenimiento</t>
        </is>
      </c>
      <c r="G2134" t="inlineStr">
        <is>
          <t>08</t>
        </is>
      </c>
      <c r="H2134" t="inlineStr">
        <is>
          <t>06 KG</t>
        </is>
      </c>
      <c r="I2134" t="n">
        <v>2028</v>
      </c>
      <c r="J2134" t="n">
        <v>2009</v>
      </c>
      <c r="K2134" t="inlineStr">
        <is>
          <t>OCTUBRE 2024</t>
        </is>
      </c>
      <c r="L2134" t="inlineStr">
        <is>
          <t>OCTUBRE 2025</t>
        </is>
      </c>
      <c r="M2134" t="inlineStr">
        <is>
          <t>P.Q.S TIPO ABC AL 90 % NACIONAL</t>
        </is>
      </c>
      <c r="N2134" t="inlineStr">
        <is>
          <t>274 / 001185</t>
        </is>
      </c>
      <c r="O2134" t="inlineStr">
        <is>
          <t>R</t>
        </is>
      </c>
      <c r="P2134">
        <f>TRIM(N2134)</f>
        <v/>
      </c>
    </row>
    <row r="2135">
      <c r="A2135" t="inlineStr">
        <is>
          <t>CO-002094</t>
        </is>
      </c>
      <c r="B2135" t="inlineStr">
        <is>
          <t>PERU MASIVO S.A</t>
        </is>
      </c>
      <c r="C2135" t="inlineStr">
        <is>
          <t>20492392031</t>
        </is>
      </c>
      <c r="D2135" t="inlineStr">
        <is>
          <t>AV. LOS INCAS CDRA. 4 PATIO NORTE - COMAS</t>
        </is>
      </c>
      <c r="E2135" t="inlineStr">
        <is>
          <t>Lima, 14 de Octubre 2024</t>
        </is>
      </c>
      <c r="F2135" t="inlineStr">
        <is>
          <t>la Recarga y mantenimiento</t>
        </is>
      </c>
      <c r="G2135" t="inlineStr">
        <is>
          <t>09</t>
        </is>
      </c>
      <c r="H2135" t="inlineStr">
        <is>
          <t>06 KG</t>
        </is>
      </c>
      <c r="I2135" t="n">
        <v>2028</v>
      </c>
      <c r="J2135" t="n">
        <v>2009</v>
      </c>
      <c r="K2135" t="inlineStr">
        <is>
          <t>OCTUBRE 2024</t>
        </is>
      </c>
      <c r="L2135" t="inlineStr">
        <is>
          <t>OCTUBRE 2025</t>
        </is>
      </c>
      <c r="M2135" t="inlineStr">
        <is>
          <t>P.Q.S TIPO ABC AL 90 % NACIONAL</t>
        </is>
      </c>
      <c r="N2135" t="inlineStr">
        <is>
          <t>135 / 001737</t>
        </is>
      </c>
      <c r="O2135" t="inlineStr">
        <is>
          <t>R</t>
        </is>
      </c>
      <c r="P2135">
        <f>TRIM(N2135)</f>
        <v/>
      </c>
    </row>
    <row r="2136">
      <c r="A2136" t="inlineStr">
        <is>
          <t>CO-002094</t>
        </is>
      </c>
      <c r="B2136" t="inlineStr">
        <is>
          <t>PERU MASIVO S.A</t>
        </is>
      </c>
      <c r="C2136" t="inlineStr">
        <is>
          <t>20492392031</t>
        </is>
      </c>
      <c r="D2136" t="inlineStr">
        <is>
          <t>AV. LOS INCAS CDRA. 4 PATIO NORTE - COMAS</t>
        </is>
      </c>
      <c r="E2136" t="inlineStr">
        <is>
          <t>Lima, 14 de Octubre 2024</t>
        </is>
      </c>
      <c r="F2136" t="inlineStr">
        <is>
          <t>la Recarga y mantenimiento</t>
        </is>
      </c>
      <c r="G2136" t="inlineStr">
        <is>
          <t>10</t>
        </is>
      </c>
      <c r="H2136" t="inlineStr">
        <is>
          <t>06 KG</t>
        </is>
      </c>
      <c r="I2136" t="n">
        <v>2028</v>
      </c>
      <c r="J2136" t="n">
        <v>2010</v>
      </c>
      <c r="K2136" t="inlineStr">
        <is>
          <t>OCTUBRE 2024</t>
        </is>
      </c>
      <c r="L2136" t="inlineStr">
        <is>
          <t>OCTUBRE 2025</t>
        </is>
      </c>
      <c r="M2136" t="inlineStr">
        <is>
          <t>P.Q.S TIPO ABC AL 90 % NACIONAL</t>
        </is>
      </c>
      <c r="N2136" t="inlineStr">
        <is>
          <t>353 / 000005</t>
        </is>
      </c>
      <c r="O2136" t="inlineStr">
        <is>
          <t>R</t>
        </is>
      </c>
      <c r="P2136">
        <f>TRIM(N2136)</f>
        <v/>
      </c>
    </row>
    <row r="2137">
      <c r="A2137" t="inlineStr">
        <is>
          <t>CO-002094</t>
        </is>
      </c>
      <c r="B2137" t="inlineStr">
        <is>
          <t>PERU MASIVO S.A</t>
        </is>
      </c>
      <c r="C2137" t="inlineStr">
        <is>
          <t>20492392031</t>
        </is>
      </c>
      <c r="D2137" t="inlineStr">
        <is>
          <t>AV. LOS INCAS CDRA. 4 PATIO NORTE - COMAS</t>
        </is>
      </c>
      <c r="E2137" t="inlineStr">
        <is>
          <t>Lima, 14 de Octubre 2024</t>
        </is>
      </c>
      <c r="F2137" t="inlineStr">
        <is>
          <t>la Recarga y mantenimiento</t>
        </is>
      </c>
      <c r="G2137" t="n">
        <v>11</v>
      </c>
      <c r="H2137" t="inlineStr">
        <is>
          <t>06 KG</t>
        </is>
      </c>
      <c r="I2137" t="n">
        <v>2028</v>
      </c>
      <c r="J2137" t="n">
        <v>2009</v>
      </c>
      <c r="K2137" t="inlineStr">
        <is>
          <t>OCTUBRE 2024</t>
        </is>
      </c>
      <c r="L2137" t="inlineStr">
        <is>
          <t>OCTUBRE 2025</t>
        </is>
      </c>
      <c r="M2137" t="inlineStr">
        <is>
          <t>P.Q.S TIPO ABC AL 90 % NACIONAL</t>
        </is>
      </c>
      <c r="N2137" t="inlineStr">
        <is>
          <t>S/N / 000970</t>
        </is>
      </c>
      <c r="O2137" t="inlineStr">
        <is>
          <t>R</t>
        </is>
      </c>
      <c r="P2137">
        <f>TRIM(N2137)</f>
        <v/>
      </c>
    </row>
    <row r="2138">
      <c r="A2138" t="inlineStr">
        <is>
          <t>CO-002095</t>
        </is>
      </c>
      <c r="B2138" t="inlineStr">
        <is>
          <t>VIDA LIGTH De: Juan Justo Chuquiyauri Matos</t>
        </is>
      </c>
      <c r="D2138" t="inlineStr">
        <is>
          <t>AV. SAN FELIPE 812 URB. SAN FELIPE</t>
        </is>
      </c>
      <c r="E2138" t="inlineStr">
        <is>
          <t>Lima, 21 de Octubre de 2024</t>
        </is>
      </c>
      <c r="F2138" t="inlineStr">
        <is>
          <t>la venta</t>
        </is>
      </c>
      <c r="G2138" t="inlineStr">
        <is>
          <t>01</t>
        </is>
      </c>
      <c r="H2138" t="inlineStr">
        <is>
          <t>06 KG</t>
        </is>
      </c>
      <c r="I2138" t="inlineStr">
        <is>
          <t>2029</t>
        </is>
      </c>
      <c r="J2138" t="n">
        <v>2024</v>
      </c>
      <c r="K2138" t="inlineStr">
        <is>
          <t>OCTUBRE 2024</t>
        </is>
      </c>
      <c r="L2138" t="inlineStr">
        <is>
          <t>OCTUBRE 2025</t>
        </is>
      </c>
      <c r="M2138" t="inlineStr">
        <is>
          <t>P.Q.S.  TIPO ABC</t>
        </is>
      </c>
      <c r="N2138" t="inlineStr">
        <is>
          <t>005912</t>
        </is>
      </c>
      <c r="O2138" t="inlineStr">
        <is>
          <t>V</t>
        </is>
      </c>
      <c r="P2138">
        <f>TRIM(N2138)</f>
        <v/>
      </c>
    </row>
    <row r="2139">
      <c r="A2139" t="inlineStr">
        <is>
          <t>CO-002096</t>
        </is>
      </c>
      <c r="B2139" t="inlineStr">
        <is>
          <t>PERU MASIVO S.A</t>
        </is>
      </c>
      <c r="C2139" t="inlineStr">
        <is>
          <t>20492392031</t>
        </is>
      </c>
      <c r="D2139" t="inlineStr">
        <is>
          <t>AV. LOS INCAS CDRA. 4 PATIO NORTE - COMAS</t>
        </is>
      </c>
      <c r="E2139" t="inlineStr">
        <is>
          <t>Lima, 28 de Octubre 2024</t>
        </is>
      </c>
      <c r="F2139" t="inlineStr">
        <is>
          <t>la Recarga y mantenimiento</t>
        </is>
      </c>
      <c r="G2139" t="inlineStr">
        <is>
          <t>01</t>
        </is>
      </c>
      <c r="H2139" t="inlineStr">
        <is>
          <t>06 KG</t>
        </is>
      </c>
      <c r="I2139" t="inlineStr">
        <is>
          <t>2028</t>
        </is>
      </c>
      <c r="J2139" t="n">
        <v>2010</v>
      </c>
      <c r="K2139" t="inlineStr">
        <is>
          <t>OCTUBRE 2024</t>
        </is>
      </c>
      <c r="L2139" t="inlineStr">
        <is>
          <t>OCTUBRE 2025</t>
        </is>
      </c>
      <c r="M2139" t="inlineStr">
        <is>
          <t>P.Q.S TIPO ABC AL 90 % NACIONAL</t>
        </is>
      </c>
      <c r="N2139" t="inlineStr">
        <is>
          <t>86/000005</t>
        </is>
      </c>
      <c r="O2139" t="inlineStr">
        <is>
          <t>R</t>
        </is>
      </c>
      <c r="P2139">
        <f>TRIM(N2139)</f>
        <v/>
      </c>
    </row>
    <row r="2140">
      <c r="A2140" t="inlineStr">
        <is>
          <t>CO-002096</t>
        </is>
      </c>
      <c r="B2140" t="inlineStr">
        <is>
          <t>PERU MASIVO S.A</t>
        </is>
      </c>
      <c r="C2140" t="inlineStr">
        <is>
          <t>20492392031</t>
        </is>
      </c>
      <c r="D2140" t="inlineStr">
        <is>
          <t>AV. LOS INCAS CDRA. 4 PATIO NORTE - COMAS</t>
        </is>
      </c>
      <c r="E2140" t="inlineStr">
        <is>
          <t>Lima, 28 de Octubre 2024</t>
        </is>
      </c>
      <c r="F2140" t="inlineStr">
        <is>
          <t>la Recarga y mantenimiento</t>
        </is>
      </c>
      <c r="G2140" t="inlineStr">
        <is>
          <t>02</t>
        </is>
      </c>
      <c r="H2140" t="inlineStr">
        <is>
          <t>06 KG</t>
        </is>
      </c>
      <c r="I2140" t="inlineStr">
        <is>
          <t>2028</t>
        </is>
      </c>
      <c r="J2140" t="n">
        <v>2010</v>
      </c>
      <c r="K2140" t="inlineStr">
        <is>
          <t>OCTUBRE 2024</t>
        </is>
      </c>
      <c r="L2140" t="inlineStr">
        <is>
          <t>OCTUBRE 2025</t>
        </is>
      </c>
      <c r="M2140" t="inlineStr">
        <is>
          <t>P.Q.S TIPO ABC AL 90 % NACIONAL</t>
        </is>
      </c>
      <c r="N2140" t="inlineStr">
        <is>
          <t>69/000005</t>
        </is>
      </c>
      <c r="O2140" t="inlineStr">
        <is>
          <t>R</t>
        </is>
      </c>
      <c r="P2140">
        <f>TRIM(N2140)</f>
        <v/>
      </c>
    </row>
    <row r="2141">
      <c r="A2141" t="inlineStr">
        <is>
          <t>CO-002096</t>
        </is>
      </c>
      <c r="B2141" t="inlineStr">
        <is>
          <t>PERU MASIVO S.A</t>
        </is>
      </c>
      <c r="C2141" t="inlineStr">
        <is>
          <t>20492392031</t>
        </is>
      </c>
      <c r="D2141" t="inlineStr">
        <is>
          <t>AV. LOS INCAS CDRA. 4 PATIO NORTE - COMAS</t>
        </is>
      </c>
      <c r="E2141" t="inlineStr">
        <is>
          <t>Lima, 28 de Octubre 2024</t>
        </is>
      </c>
      <c r="F2141" t="inlineStr">
        <is>
          <t>la Recarga y mantenimiento</t>
        </is>
      </c>
      <c r="G2141" t="inlineStr">
        <is>
          <t>03</t>
        </is>
      </c>
      <c r="H2141" t="inlineStr">
        <is>
          <t>06KG</t>
        </is>
      </c>
      <c r="I2141" t="n">
        <v>2028</v>
      </c>
      <c r="J2141" t="n">
        <v>2009</v>
      </c>
      <c r="K2141" t="inlineStr">
        <is>
          <t>OCTUBRE 2024</t>
        </is>
      </c>
      <c r="L2141" t="inlineStr">
        <is>
          <t>OCTUBRE 2025</t>
        </is>
      </c>
      <c r="M2141" t="inlineStr">
        <is>
          <t>P.Q.S TIPO ABC AL 90 % NACIONAL</t>
        </is>
      </c>
      <c r="N2141" t="inlineStr">
        <is>
          <t>16/001941</t>
        </is>
      </c>
      <c r="O2141" t="inlineStr">
        <is>
          <t>R</t>
        </is>
      </c>
      <c r="P2141">
        <f>TRIM(N2141)</f>
        <v/>
      </c>
    </row>
    <row r="2142">
      <c r="A2142" t="inlineStr">
        <is>
          <t>CO-002096</t>
        </is>
      </c>
      <c r="B2142" t="inlineStr">
        <is>
          <t>PERU MASIVO S.A</t>
        </is>
      </c>
      <c r="C2142" t="inlineStr">
        <is>
          <t>20492392031</t>
        </is>
      </c>
      <c r="D2142" t="inlineStr">
        <is>
          <t>AV. LOS INCAS CDRA. 4 PATIO NORTE - COMAS</t>
        </is>
      </c>
      <c r="E2142" t="inlineStr">
        <is>
          <t>Lima, 28 de Octubre 2024</t>
        </is>
      </c>
      <c r="F2142" t="inlineStr">
        <is>
          <t>la Recarga y mantenimiento</t>
        </is>
      </c>
      <c r="G2142" t="inlineStr">
        <is>
          <t>04</t>
        </is>
      </c>
      <c r="H2142" t="inlineStr">
        <is>
          <t>06KG</t>
        </is>
      </c>
      <c r="I2142" t="n">
        <v>2028</v>
      </c>
      <c r="J2142" t="n">
        <v>2010</v>
      </c>
      <c r="K2142" t="inlineStr">
        <is>
          <t>OCTUBRE 2024</t>
        </is>
      </c>
      <c r="L2142" t="inlineStr">
        <is>
          <t>OCTUBRE 2025</t>
        </is>
      </c>
      <c r="M2142" t="inlineStr">
        <is>
          <t>P.Q.S TIPO ABC AL 90 % NACIONAL</t>
        </is>
      </c>
      <c r="N2142" t="inlineStr">
        <is>
          <t>54/000008</t>
        </is>
      </c>
      <c r="O2142" t="inlineStr">
        <is>
          <t>R</t>
        </is>
      </c>
      <c r="P2142">
        <f>TRIM(N2142)</f>
        <v/>
      </c>
    </row>
    <row r="2143">
      <c r="A2143" t="inlineStr">
        <is>
          <t>CO-002096</t>
        </is>
      </c>
      <c r="B2143" t="inlineStr">
        <is>
          <t>PERU MASIVO S.A</t>
        </is>
      </c>
      <c r="C2143" t="inlineStr">
        <is>
          <t>20492392031</t>
        </is>
      </c>
      <c r="D2143" t="inlineStr">
        <is>
          <t>AV. LOS INCAS CDRA. 4 PATIO NORTE - COMAS</t>
        </is>
      </c>
      <c r="E2143" t="inlineStr">
        <is>
          <t>Lima, 28 de Octubre 2024</t>
        </is>
      </c>
      <c r="F2143" t="inlineStr">
        <is>
          <t>la Recarga y mantenimiento</t>
        </is>
      </c>
      <c r="G2143" t="inlineStr">
        <is>
          <t>05</t>
        </is>
      </c>
      <c r="H2143" t="inlineStr">
        <is>
          <t>06 KG</t>
        </is>
      </c>
      <c r="I2143" t="n">
        <v>2028</v>
      </c>
      <c r="J2143" t="n">
        <v>2012</v>
      </c>
      <c r="K2143" t="inlineStr">
        <is>
          <t>OCTUBRE 2024</t>
        </is>
      </c>
      <c r="L2143" t="inlineStr">
        <is>
          <t>OCTUBRE 2025</t>
        </is>
      </c>
      <c r="M2143" t="inlineStr">
        <is>
          <t>P.Q.S TIPO ABC AL 90 % NACIONAL</t>
        </is>
      </c>
      <c r="N2143" t="inlineStr">
        <is>
          <t>S/N / 000201</t>
        </is>
      </c>
      <c r="O2143" t="inlineStr">
        <is>
          <t>R</t>
        </is>
      </c>
      <c r="P2143">
        <f>TRIM(N2143)</f>
        <v/>
      </c>
    </row>
    <row r="2144">
      <c r="A2144" t="inlineStr">
        <is>
          <t>CO-002096</t>
        </is>
      </c>
      <c r="B2144" t="inlineStr">
        <is>
          <t>PERU MASIVO S.A</t>
        </is>
      </c>
      <c r="C2144" t="inlineStr">
        <is>
          <t>20492392031</t>
        </is>
      </c>
      <c r="D2144" t="inlineStr">
        <is>
          <t>AV. LOS INCAS CDRA. 4 PATIO NORTE - COMAS</t>
        </is>
      </c>
      <c r="E2144" t="inlineStr">
        <is>
          <t>Lima, 28 de Octubre 2024</t>
        </is>
      </c>
      <c r="F2144" t="inlineStr">
        <is>
          <t>la Recarga y mantenimiento</t>
        </is>
      </c>
      <c r="G2144" t="inlineStr">
        <is>
          <t>06</t>
        </is>
      </c>
      <c r="H2144" t="inlineStr">
        <is>
          <t>06 KG</t>
        </is>
      </c>
      <c r="I2144" t="n">
        <v>2028</v>
      </c>
      <c r="J2144" t="n">
        <v>2009</v>
      </c>
      <c r="K2144" t="inlineStr">
        <is>
          <t>OCTUBRE 2024</t>
        </is>
      </c>
      <c r="L2144" t="inlineStr">
        <is>
          <t>OCTUBRE 2025</t>
        </is>
      </c>
      <c r="M2144" t="inlineStr">
        <is>
          <t>P.Q.S TIPO ABC AL 90 % NACIONAL</t>
        </is>
      </c>
      <c r="N2144" t="inlineStr">
        <is>
          <t>375/001502</t>
        </is>
      </c>
      <c r="O2144" t="inlineStr">
        <is>
          <t>R</t>
        </is>
      </c>
      <c r="P2144">
        <f>TRIM(N2144)</f>
        <v/>
      </c>
    </row>
    <row r="2145">
      <c r="A2145" t="inlineStr">
        <is>
          <t>CO-002096</t>
        </is>
      </c>
      <c r="B2145" t="inlineStr">
        <is>
          <t>PERU MASIVO S.A</t>
        </is>
      </c>
      <c r="C2145" t="inlineStr">
        <is>
          <t>20492392031</t>
        </is>
      </c>
      <c r="D2145" t="inlineStr">
        <is>
          <t>AV. LOS INCAS CDRA. 4 PATIO NORTE - COMAS</t>
        </is>
      </c>
      <c r="E2145" t="inlineStr">
        <is>
          <t>Lima, 28 de Octubre 2024</t>
        </is>
      </c>
      <c r="F2145" t="inlineStr">
        <is>
          <t>la Recarga y mantenimiento</t>
        </is>
      </c>
      <c r="G2145" t="inlineStr">
        <is>
          <t>07</t>
        </is>
      </c>
      <c r="H2145" t="inlineStr">
        <is>
          <t>06 KG</t>
        </is>
      </c>
      <c r="I2145" t="n">
        <v>2028</v>
      </c>
      <c r="J2145" t="n">
        <v>2009</v>
      </c>
      <c r="K2145" t="inlineStr">
        <is>
          <t>OCTUBRE 2024</t>
        </is>
      </c>
      <c r="L2145" t="inlineStr">
        <is>
          <t>OCTUBRE 2025</t>
        </is>
      </c>
      <c r="M2145" t="inlineStr">
        <is>
          <t>P.Q.S TIPO ABC AL 90 % NACIONAL</t>
        </is>
      </c>
      <c r="N2145" t="inlineStr">
        <is>
          <t>147/000750</t>
        </is>
      </c>
      <c r="O2145" t="inlineStr">
        <is>
          <t>R</t>
        </is>
      </c>
      <c r="P2145">
        <f>TRIM(N2145)</f>
        <v/>
      </c>
    </row>
    <row r="2146">
      <c r="A2146" t="inlineStr">
        <is>
          <t>CO-002096</t>
        </is>
      </c>
      <c r="B2146" t="inlineStr">
        <is>
          <t>PERU MASIVO S.A</t>
        </is>
      </c>
      <c r="C2146" t="inlineStr">
        <is>
          <t>20492392031</t>
        </is>
      </c>
      <c r="D2146" t="inlineStr">
        <is>
          <t>AV. LOS INCAS CDRA. 4 PATIO NORTE - COMAS</t>
        </is>
      </c>
      <c r="E2146" t="inlineStr">
        <is>
          <t>Lima, 28 de Octubre 2024</t>
        </is>
      </c>
      <c r="F2146" t="inlineStr">
        <is>
          <t>la Recarga y mantenimiento</t>
        </is>
      </c>
      <c r="G2146" t="inlineStr">
        <is>
          <t>08</t>
        </is>
      </c>
      <c r="H2146" t="inlineStr">
        <is>
          <t>06 KG</t>
        </is>
      </c>
      <c r="I2146" t="n">
        <v>2028</v>
      </c>
      <c r="J2146" t="n">
        <v>2009</v>
      </c>
      <c r="K2146" t="inlineStr">
        <is>
          <t>OCTUBRE 2024</t>
        </is>
      </c>
      <c r="L2146" t="inlineStr">
        <is>
          <t>OCTUBRE 2025</t>
        </is>
      </c>
      <c r="M2146" t="inlineStr">
        <is>
          <t>P.Q.S TIPO ABC AL 90 % NACIONAL</t>
        </is>
      </c>
      <c r="N2146" t="inlineStr">
        <is>
          <t>84/001386</t>
        </is>
      </c>
      <c r="O2146" t="inlineStr">
        <is>
          <t>R</t>
        </is>
      </c>
      <c r="P2146">
        <f>TRIM(N2146)</f>
        <v/>
      </c>
    </row>
    <row r="2147">
      <c r="A2147" t="inlineStr">
        <is>
          <t>CO-002097</t>
        </is>
      </c>
      <c r="B2147" t="inlineStr">
        <is>
          <t xml:space="preserve">LINDE PERU S.R.L. </t>
        </is>
      </c>
      <c r="C2147" t="inlineStr">
        <is>
          <t>20338570041</t>
        </is>
      </c>
      <c r="D2147" t="inlineStr">
        <is>
          <t>CAR.CARRET.CENTRAL KM.9.5 Z.I. ZONA INDUSTRIAL(DESVIO HUACHIPA LURIGANCHO CHOSICA) LIMA LURIGANCHO</t>
        </is>
      </c>
      <c r="E2147" t="inlineStr">
        <is>
          <t>Lima, 28 de Octubre de 2024</t>
        </is>
      </c>
      <c r="F2147" t="inlineStr">
        <is>
          <t>Mantenimiento</t>
        </is>
      </c>
      <c r="G2147" t="inlineStr">
        <is>
          <t>01</t>
        </is>
      </c>
      <c r="H2147" t="inlineStr">
        <is>
          <t>12 KG</t>
        </is>
      </c>
      <c r="I2147" t="inlineStr">
        <is>
          <t>2027</t>
        </is>
      </c>
      <c r="J2147" t="n">
        <v>2012</v>
      </c>
      <c r="K2147" t="inlineStr">
        <is>
          <t>OCTUBRE 2024</t>
        </is>
      </c>
      <c r="L2147" t="inlineStr">
        <is>
          <t>OCTUBRE 2025</t>
        </is>
      </c>
      <c r="M2147" t="inlineStr">
        <is>
          <t>P.Q.S TIPO ABC AL 90% UL</t>
        </is>
      </c>
      <c r="N2147" t="inlineStr">
        <is>
          <t>07/004908</t>
        </is>
      </c>
      <c r="O2147" t="inlineStr">
        <is>
          <t>M1</t>
        </is>
      </c>
      <c r="P2147">
        <f>TRIM(N2147)</f>
        <v/>
      </c>
    </row>
    <row r="2148">
      <c r="A2148" t="inlineStr">
        <is>
          <t>CO-002097</t>
        </is>
      </c>
      <c r="B2148" t="inlineStr">
        <is>
          <t xml:space="preserve">LINDE PERU S.R.L. </t>
        </is>
      </c>
      <c r="C2148" t="inlineStr">
        <is>
          <t>20338570041</t>
        </is>
      </c>
      <c r="D2148" t="inlineStr">
        <is>
          <t>CAR.CARRET.CENTRAL KM.9.5 Z.I. ZONA INDUSTRIAL(DESVIO HUACHIPA LURIGANCHO CHOSICA) LIMA LURIGANCHO</t>
        </is>
      </c>
      <c r="E2148" t="inlineStr">
        <is>
          <t>Lima, 28 de Octubre de 2024</t>
        </is>
      </c>
      <c r="F2148" t="inlineStr">
        <is>
          <t>Mantenimiento</t>
        </is>
      </c>
      <c r="G2148" t="inlineStr">
        <is>
          <t>02</t>
        </is>
      </c>
      <c r="H2148" t="inlineStr">
        <is>
          <t>12 KG</t>
        </is>
      </c>
      <c r="I2148" t="inlineStr">
        <is>
          <t>2027</t>
        </is>
      </c>
      <c r="J2148" t="n">
        <v>2012</v>
      </c>
      <c r="K2148" t="inlineStr">
        <is>
          <t>OCTUBRE 2024</t>
        </is>
      </c>
      <c r="L2148" t="inlineStr">
        <is>
          <t>OCTUBRE 2025</t>
        </is>
      </c>
      <c r="M2148" t="inlineStr">
        <is>
          <t>P.Q.S TIPO ABC AL 90% UL</t>
        </is>
      </c>
      <c r="N2148" t="inlineStr">
        <is>
          <t>08/004291</t>
        </is>
      </c>
      <c r="O2148" t="inlineStr">
        <is>
          <t>M1</t>
        </is>
      </c>
      <c r="P2148">
        <f>TRIM(N2148)</f>
        <v/>
      </c>
    </row>
    <row r="2149">
      <c r="A2149" t="inlineStr">
        <is>
          <t>CO-002097</t>
        </is>
      </c>
      <c r="B2149" t="inlineStr">
        <is>
          <t xml:space="preserve">LINDE PERU S.R.L. </t>
        </is>
      </c>
      <c r="C2149" t="inlineStr">
        <is>
          <t>20338570041</t>
        </is>
      </c>
      <c r="D2149" t="inlineStr">
        <is>
          <t>CAR.CARRET.CENTRAL KM.9.5 Z.I. ZONA INDUSTRIAL(DESVIO HUACHIPA LURIGANCHO CHOSICA) LIMA LURIGANCHO</t>
        </is>
      </c>
      <c r="E2149" t="inlineStr">
        <is>
          <t>Lima, 28 de Octubre de 2024</t>
        </is>
      </c>
      <c r="F2149" t="inlineStr">
        <is>
          <t>Mantenimiento</t>
        </is>
      </c>
      <c r="G2149" t="inlineStr">
        <is>
          <t>03</t>
        </is>
      </c>
      <c r="H2149" t="inlineStr">
        <is>
          <t>12 KG</t>
        </is>
      </c>
      <c r="I2149" t="n">
        <v>2027</v>
      </c>
      <c r="J2149" t="n">
        <v>2012</v>
      </c>
      <c r="K2149" t="inlineStr">
        <is>
          <t>OCTUBRE 2024</t>
        </is>
      </c>
      <c r="L2149" t="inlineStr">
        <is>
          <t>OCTUBRE 2025</t>
        </is>
      </c>
      <c r="M2149" t="inlineStr">
        <is>
          <t>P.Q.S TIPO ABC AL 90% UL</t>
        </is>
      </c>
      <c r="N2149" t="inlineStr">
        <is>
          <t>09/004817</t>
        </is>
      </c>
      <c r="O2149" t="inlineStr">
        <is>
          <t>M1</t>
        </is>
      </c>
      <c r="P2149">
        <f>TRIM(N2149)</f>
        <v/>
      </c>
    </row>
    <row r="2150">
      <c r="A2150" t="inlineStr">
        <is>
          <t>CO-002097</t>
        </is>
      </c>
      <c r="B2150" t="inlineStr">
        <is>
          <t xml:space="preserve">LINDE PERU S.R.L. </t>
        </is>
      </c>
      <c r="C2150" t="inlineStr">
        <is>
          <t>20338570041</t>
        </is>
      </c>
      <c r="D2150" t="inlineStr">
        <is>
          <t>CAR.CARRET.CENTRAL KM.9.5 Z.I. ZONA INDUSTRIAL(DESVIO HUACHIPA LURIGANCHO CHOSICA) LIMA LURIGANCHO</t>
        </is>
      </c>
      <c r="E2150" t="inlineStr">
        <is>
          <t>Lima, 28 de Octubre de 2024</t>
        </is>
      </c>
      <c r="F2150" t="inlineStr">
        <is>
          <t>Mantenimiento</t>
        </is>
      </c>
      <c r="G2150" t="inlineStr">
        <is>
          <t>04</t>
        </is>
      </c>
      <c r="H2150" t="inlineStr">
        <is>
          <t>12 KG</t>
        </is>
      </c>
      <c r="I2150" t="n">
        <v>2027</v>
      </c>
      <c r="J2150" t="n">
        <v>2012</v>
      </c>
      <c r="K2150" t="inlineStr">
        <is>
          <t>OCTUBRE 2024</t>
        </is>
      </c>
      <c r="L2150" t="inlineStr">
        <is>
          <t>OCTUBRE 2025</t>
        </is>
      </c>
      <c r="M2150" t="inlineStr">
        <is>
          <t>P.Q.S TIPO ABC AL 90% UL</t>
        </is>
      </c>
      <c r="N2150" t="inlineStr">
        <is>
          <t>10/004685</t>
        </is>
      </c>
      <c r="O2150" t="inlineStr">
        <is>
          <t>M1</t>
        </is>
      </c>
      <c r="P2150">
        <f>TRIM(N2150)</f>
        <v/>
      </c>
    </row>
    <row r="2151">
      <c r="A2151" t="inlineStr">
        <is>
          <t>CO-002097</t>
        </is>
      </c>
      <c r="B2151" t="inlineStr">
        <is>
          <t xml:space="preserve">LINDE PERU S.R.L. </t>
        </is>
      </c>
      <c r="C2151" t="inlineStr">
        <is>
          <t>20338570041</t>
        </is>
      </c>
      <c r="D2151" t="inlineStr">
        <is>
          <t>CAR.CARRET.CENTRAL KM.9.5 Z.I. ZONA INDUSTRIAL(DESVIO HUACHIPA LURIGANCHO CHOSICA) LIMA LURIGANCHO</t>
        </is>
      </c>
      <c r="E2151" t="inlineStr">
        <is>
          <t>Lima, 28 de Octubre de 2024</t>
        </is>
      </c>
      <c r="F2151" t="inlineStr">
        <is>
          <t>Mantenimiento</t>
        </is>
      </c>
      <c r="G2151" t="inlineStr">
        <is>
          <t>05</t>
        </is>
      </c>
      <c r="H2151" t="inlineStr">
        <is>
          <t>12 KG</t>
        </is>
      </c>
      <c r="I2151" t="n">
        <v>2027</v>
      </c>
      <c r="J2151" t="n">
        <v>2012</v>
      </c>
      <c r="K2151" t="inlineStr">
        <is>
          <t>OCTUBRE 2024</t>
        </is>
      </c>
      <c r="L2151" t="inlineStr">
        <is>
          <t>OCTUBRE 2025</t>
        </is>
      </c>
      <c r="M2151" t="inlineStr">
        <is>
          <t>P.Q.S TIPO ABC AL 90% UL</t>
        </is>
      </c>
      <c r="N2151" t="inlineStr">
        <is>
          <t>11/004760</t>
        </is>
      </c>
      <c r="O2151" t="inlineStr">
        <is>
          <t>M1</t>
        </is>
      </c>
      <c r="P2151">
        <f>TRIM(N2151)</f>
        <v/>
      </c>
    </row>
    <row r="2152">
      <c r="A2152" t="inlineStr">
        <is>
          <t>CO-002097</t>
        </is>
      </c>
      <c r="B2152" t="inlineStr">
        <is>
          <t xml:space="preserve">LINDE PERU S.R.L. </t>
        </is>
      </c>
      <c r="C2152" t="inlineStr">
        <is>
          <t>20338570041</t>
        </is>
      </c>
      <c r="D2152" t="inlineStr">
        <is>
          <t>CAR.CARRET.CENTRAL KM.9.5 Z.I. ZONA INDUSTRIAL(DESVIO HUACHIPA LURIGANCHO CHOSICA) LIMA LURIGANCHO</t>
        </is>
      </c>
      <c r="E2152" t="inlineStr">
        <is>
          <t>Lima, 28 de Octubre de 2024</t>
        </is>
      </c>
      <c r="F2152" t="inlineStr">
        <is>
          <t>Mantenimiento</t>
        </is>
      </c>
      <c r="G2152" t="inlineStr">
        <is>
          <t>06</t>
        </is>
      </c>
      <c r="H2152" t="inlineStr">
        <is>
          <t>12 KG</t>
        </is>
      </c>
      <c r="I2152" t="n">
        <v>2027</v>
      </c>
      <c r="J2152" t="n">
        <v>2012</v>
      </c>
      <c r="K2152" t="inlineStr">
        <is>
          <t>OCTUBRE 2024</t>
        </is>
      </c>
      <c r="L2152" t="inlineStr">
        <is>
          <t>OCTUBRE 2025</t>
        </is>
      </c>
      <c r="M2152" t="inlineStr">
        <is>
          <t>P.Q.S TIPO ABC AL 90% UL</t>
        </is>
      </c>
      <c r="N2152" t="inlineStr">
        <is>
          <t>12/004674</t>
        </is>
      </c>
      <c r="O2152" t="inlineStr">
        <is>
          <t>M1</t>
        </is>
      </c>
      <c r="P2152">
        <f>TRIM(N2152)</f>
        <v/>
      </c>
    </row>
    <row r="2153">
      <c r="A2153" t="inlineStr">
        <is>
          <t>CO-002097</t>
        </is>
      </c>
      <c r="B2153" t="inlineStr">
        <is>
          <t xml:space="preserve">LINDE PERU S.R.L. </t>
        </is>
      </c>
      <c r="C2153" t="inlineStr">
        <is>
          <t>20338570041</t>
        </is>
      </c>
      <c r="D2153" t="inlineStr">
        <is>
          <t>CAR.CARRET.CENTRAL KM.9.5 Z.I. ZONA INDUSTRIAL(DESVIO HUACHIPA LURIGANCHO CHOSICA) LIMA LURIGANCHO</t>
        </is>
      </c>
      <c r="E2153" t="inlineStr">
        <is>
          <t>Lima, 28 de Octubre de 2024</t>
        </is>
      </c>
      <c r="F2153" t="inlineStr">
        <is>
          <t>Mantenimiento</t>
        </is>
      </c>
      <c r="G2153" t="inlineStr">
        <is>
          <t>07</t>
        </is>
      </c>
      <c r="H2153" t="inlineStr">
        <is>
          <t>12 KG</t>
        </is>
      </c>
      <c r="I2153" t="n">
        <v>2027</v>
      </c>
      <c r="J2153" t="n">
        <v>2012</v>
      </c>
      <c r="K2153" t="inlineStr">
        <is>
          <t>OCTUBRE 2024</t>
        </is>
      </c>
      <c r="L2153" t="inlineStr">
        <is>
          <t>OCTUBRE 2025</t>
        </is>
      </c>
      <c r="M2153" t="inlineStr">
        <is>
          <t>P.Q.S TIPO ABC AL 90% UL</t>
        </is>
      </c>
      <c r="N2153" t="inlineStr">
        <is>
          <t>14/004909</t>
        </is>
      </c>
      <c r="O2153" t="inlineStr">
        <is>
          <t>M1</t>
        </is>
      </c>
      <c r="P2153">
        <f>TRIM(N2153)</f>
        <v/>
      </c>
    </row>
    <row r="2154">
      <c r="A2154" t="inlineStr">
        <is>
          <t>CO-002097</t>
        </is>
      </c>
      <c r="B2154" t="inlineStr">
        <is>
          <t xml:space="preserve">LINDE PERU S.R.L. </t>
        </is>
      </c>
      <c r="C2154" t="inlineStr">
        <is>
          <t>20338570041</t>
        </is>
      </c>
      <c r="D2154" t="inlineStr">
        <is>
          <t>CAR.CARRET.CENTRAL KM.9.5 Z.I. ZONA INDUSTRIAL(DESVIO HUACHIPA LURIGANCHO CHOSICA) LIMA LURIGANCHO</t>
        </is>
      </c>
      <c r="E2154" t="inlineStr">
        <is>
          <t>Lima, 28 de Octubre de 2024</t>
        </is>
      </c>
      <c r="F2154" t="inlineStr">
        <is>
          <t>Mantenimiento</t>
        </is>
      </c>
      <c r="G2154" t="inlineStr">
        <is>
          <t>08</t>
        </is>
      </c>
      <c r="H2154" t="inlineStr">
        <is>
          <t>12 KG</t>
        </is>
      </c>
      <c r="I2154" t="n">
        <v>2027</v>
      </c>
      <c r="J2154" t="n">
        <v>2012</v>
      </c>
      <c r="K2154" t="inlineStr">
        <is>
          <t>OCTUBRE 2024</t>
        </is>
      </c>
      <c r="L2154" t="inlineStr">
        <is>
          <t>OCTUBRE 2025</t>
        </is>
      </c>
      <c r="M2154" t="inlineStr">
        <is>
          <t>P.Q.S TIPO ABC AL 90 % UL</t>
        </is>
      </c>
      <c r="N2154" t="inlineStr">
        <is>
          <t>16/004972</t>
        </is>
      </c>
      <c r="O2154" t="inlineStr">
        <is>
          <t>M1</t>
        </is>
      </c>
      <c r="P2154">
        <f>TRIM(N2154)</f>
        <v/>
      </c>
    </row>
    <row r="2155">
      <c r="A2155" t="inlineStr">
        <is>
          <t>CO-002097</t>
        </is>
      </c>
      <c r="B2155" t="inlineStr">
        <is>
          <t xml:space="preserve">LINDE PERU S.R.L. </t>
        </is>
      </c>
      <c r="C2155" t="inlineStr">
        <is>
          <t>20338570041</t>
        </is>
      </c>
      <c r="D2155" t="inlineStr">
        <is>
          <t>CAR.CARRET.CENTRAL KM.9.5 Z.I. ZONA INDUSTRIAL(DESVIO HUACHIPA LURIGANCHO CHOSICA) LIMA LURIGANCHO</t>
        </is>
      </c>
      <c r="E2155" t="inlineStr">
        <is>
          <t>Lima, 28 de Octubre de 2024</t>
        </is>
      </c>
      <c r="F2155" t="inlineStr">
        <is>
          <t>Mantenimiento</t>
        </is>
      </c>
      <c r="G2155" t="inlineStr">
        <is>
          <t>09</t>
        </is>
      </c>
      <c r="H2155" t="inlineStr">
        <is>
          <t>12 KG</t>
        </is>
      </c>
      <c r="I2155" t="n">
        <v>2027</v>
      </c>
      <c r="J2155" t="n">
        <v>2012</v>
      </c>
      <c r="K2155" t="inlineStr">
        <is>
          <t>OCTUBRE 2024</t>
        </is>
      </c>
      <c r="L2155" t="inlineStr">
        <is>
          <t>OCTUBRE 2025</t>
        </is>
      </c>
      <c r="M2155" t="inlineStr">
        <is>
          <t xml:space="preserve">P.Q.S TIPO ABC AL 90% UL </t>
        </is>
      </c>
      <c r="N2155" t="inlineStr">
        <is>
          <t>17/004372</t>
        </is>
      </c>
      <c r="O2155" t="inlineStr">
        <is>
          <t>M1</t>
        </is>
      </c>
      <c r="P2155">
        <f>TRIM(N2155)</f>
        <v/>
      </c>
    </row>
    <row r="2156">
      <c r="A2156" t="inlineStr">
        <is>
          <t>CO-002097</t>
        </is>
      </c>
      <c r="B2156" t="inlineStr">
        <is>
          <t xml:space="preserve">LINDE PERU S.R.L. </t>
        </is>
      </c>
      <c r="C2156" t="inlineStr">
        <is>
          <t>20338570041</t>
        </is>
      </c>
      <c r="D2156" t="inlineStr">
        <is>
          <t>CAR.CARRET.CENTRAL KM.9.5 Z.I. ZONA INDUSTRIAL(DESVIO HUACHIPA LURIGANCHO CHOSICA) LIMA LURIGANCHO</t>
        </is>
      </c>
      <c r="E2156" t="inlineStr">
        <is>
          <t>Lima, 28 de Octubre de 2024</t>
        </is>
      </c>
      <c r="F2156" t="inlineStr">
        <is>
          <t>Mantenimiento</t>
        </is>
      </c>
      <c r="G2156" t="n">
        <v>10</v>
      </c>
      <c r="H2156" t="inlineStr">
        <is>
          <t>12 KG</t>
        </is>
      </c>
      <c r="I2156" t="n">
        <v>2027</v>
      </c>
      <c r="J2156" t="n">
        <v>2012</v>
      </c>
      <c r="K2156" t="inlineStr">
        <is>
          <t>OCTUBRE 2024</t>
        </is>
      </c>
      <c r="L2156" t="inlineStr">
        <is>
          <t>OCTUBRE 2025</t>
        </is>
      </c>
      <c r="M2156" t="inlineStr">
        <is>
          <t>P.Q.S TIPO ABC AL 90% UL</t>
        </is>
      </c>
      <c r="N2156" t="inlineStr">
        <is>
          <t>18/004973</t>
        </is>
      </c>
      <c r="O2156" t="inlineStr">
        <is>
          <t>M1</t>
        </is>
      </c>
      <c r="P2156">
        <f>TRIM(N2156)</f>
        <v/>
      </c>
    </row>
    <row r="2157">
      <c r="A2157" t="inlineStr">
        <is>
          <t>CO-002097</t>
        </is>
      </c>
      <c r="B2157" t="inlineStr">
        <is>
          <t xml:space="preserve">LINDE PERU S.R.L. </t>
        </is>
      </c>
      <c r="C2157" t="inlineStr">
        <is>
          <t>20338570041</t>
        </is>
      </c>
      <c r="D2157" t="inlineStr">
        <is>
          <t>CAR.CARRET.CENTRAL KM.9.5 Z.I. ZONA INDUSTRIAL(DESVIO HUACHIPA LURIGANCHO CHOSICA) LIMA LURIGANCHO</t>
        </is>
      </c>
      <c r="E2157" t="inlineStr">
        <is>
          <t>Lima, 28 de Octubre de 2024</t>
        </is>
      </c>
      <c r="F2157" t="inlineStr">
        <is>
          <t>Mantenimiento</t>
        </is>
      </c>
      <c r="G2157" t="n">
        <v>11</v>
      </c>
      <c r="H2157" t="inlineStr">
        <is>
          <t>12 KG</t>
        </is>
      </c>
      <c r="I2157" t="inlineStr">
        <is>
          <t>2027</t>
        </is>
      </c>
      <c r="J2157" t="n">
        <v>2012</v>
      </c>
      <c r="K2157" t="inlineStr">
        <is>
          <t>OCTUBRE 2024</t>
        </is>
      </c>
      <c r="L2157" t="inlineStr">
        <is>
          <t>OCTUBRE 2025</t>
        </is>
      </c>
      <c r="M2157" t="inlineStr">
        <is>
          <t>P.Q.S TIPO ABC AL 90% UL</t>
        </is>
      </c>
      <c r="N2157" t="inlineStr">
        <is>
          <t>20/004767</t>
        </is>
      </c>
      <c r="O2157" t="inlineStr">
        <is>
          <t>M1</t>
        </is>
      </c>
      <c r="P2157">
        <f>TRIM(N2157)</f>
        <v/>
      </c>
    </row>
    <row r="2158">
      <c r="A2158" t="inlineStr">
        <is>
          <t>CO-002097</t>
        </is>
      </c>
      <c r="B2158" t="inlineStr">
        <is>
          <t xml:space="preserve">LINDE PERU S.R.L. </t>
        </is>
      </c>
      <c r="C2158" t="inlineStr">
        <is>
          <t>20338570041</t>
        </is>
      </c>
      <c r="D2158" t="inlineStr">
        <is>
          <t>CAR.CARRET.CENTRAL KM.9.5 Z.I. ZONA INDUSTRIAL(DESVIO HUACHIPA LURIGANCHO CHOSICA) LIMA LURIGANCHO</t>
        </is>
      </c>
      <c r="E2158" t="inlineStr">
        <is>
          <t>Lima, 28 de Octubre de 2024</t>
        </is>
      </c>
      <c r="F2158" t="inlineStr">
        <is>
          <t>Mantenimiento</t>
        </is>
      </c>
      <c r="G2158" t="n">
        <v>12</v>
      </c>
      <c r="H2158" t="inlineStr">
        <is>
          <t>12 KG</t>
        </is>
      </c>
      <c r="I2158" t="inlineStr">
        <is>
          <t>2027</t>
        </is>
      </c>
      <c r="J2158" t="n">
        <v>2011</v>
      </c>
      <c r="K2158" t="inlineStr">
        <is>
          <t>OCTUBRE 2024</t>
        </is>
      </c>
      <c r="L2158" t="inlineStr">
        <is>
          <t>OCTUBRE 2025</t>
        </is>
      </c>
      <c r="M2158" t="inlineStr">
        <is>
          <t>P.Q.S TIPO ABC AL 90% UL</t>
        </is>
      </c>
      <c r="N2158" t="inlineStr">
        <is>
          <t>13/002637</t>
        </is>
      </c>
      <c r="O2158" t="inlineStr">
        <is>
          <t>M2</t>
        </is>
      </c>
      <c r="P2158">
        <f>TRIM(N2158)</f>
        <v/>
      </c>
    </row>
    <row r="2159">
      <c r="A2159" t="inlineStr">
        <is>
          <t>CO-002097</t>
        </is>
      </c>
      <c r="B2159" t="inlineStr">
        <is>
          <t xml:space="preserve">LINDE PERU S.R.L. </t>
        </is>
      </c>
      <c r="C2159" t="inlineStr">
        <is>
          <t>20338570041</t>
        </is>
      </c>
      <c r="D2159" t="inlineStr">
        <is>
          <t>CAR.CARRET.CENTRAL KM.9.5 Z.I. ZONA INDUSTRIAL(DESVIO HUACHIPA LURIGANCHO CHOSICA) LIMA LURIGANCHO</t>
        </is>
      </c>
      <c r="E2159" t="inlineStr">
        <is>
          <t>Lima, 28 de Octubre de 2024</t>
        </is>
      </c>
      <c r="F2159" t="inlineStr">
        <is>
          <t>Mantenimiento</t>
        </is>
      </c>
      <c r="G2159" t="inlineStr">
        <is>
          <t>13</t>
        </is>
      </c>
      <c r="H2159" t="inlineStr">
        <is>
          <t>12 KG</t>
        </is>
      </c>
      <c r="I2159" t="n">
        <v>2027</v>
      </c>
      <c r="J2159" t="n">
        <v>2012</v>
      </c>
      <c r="K2159" t="inlineStr">
        <is>
          <t>OCTUBRE 2024</t>
        </is>
      </c>
      <c r="L2159" t="inlineStr">
        <is>
          <t>OCTUBRE 2025</t>
        </is>
      </c>
      <c r="M2159" t="inlineStr">
        <is>
          <t>P.Q.S TIPO ABC AL 90% UL</t>
        </is>
      </c>
      <c r="N2159" t="inlineStr">
        <is>
          <t>21/004439</t>
        </is>
      </c>
      <c r="O2159" t="inlineStr">
        <is>
          <t>M2</t>
        </is>
      </c>
      <c r="P2159">
        <f>TRIM(N2159)</f>
        <v/>
      </c>
    </row>
    <row r="2160">
      <c r="A2160" t="inlineStr">
        <is>
          <t>CO-002097</t>
        </is>
      </c>
      <c r="B2160" t="inlineStr">
        <is>
          <t xml:space="preserve">LINDE PERU S.R.L. </t>
        </is>
      </c>
      <c r="C2160" t="inlineStr">
        <is>
          <t>20338570041</t>
        </is>
      </c>
      <c r="D2160" t="inlineStr">
        <is>
          <t>CAR.CARRET.CENTRAL KM.9.5 Z.I. ZONA INDUSTRIAL(DESVIO HUACHIPA LURIGANCHO CHOSICA) LIMA LURIGANCHO</t>
        </is>
      </c>
      <c r="E2160" t="inlineStr">
        <is>
          <t>Lima, 28 de Octubre de 2024</t>
        </is>
      </c>
      <c r="F2160" t="inlineStr">
        <is>
          <t>Mantenimiento</t>
        </is>
      </c>
      <c r="G2160" t="n">
        <v>14</v>
      </c>
      <c r="H2160" t="inlineStr">
        <is>
          <t>09 KG</t>
        </is>
      </c>
      <c r="I2160" t="n">
        <v>2027</v>
      </c>
      <c r="J2160" t="n">
        <v>2012</v>
      </c>
      <c r="K2160" t="inlineStr">
        <is>
          <t>OCTUBRE 2024</t>
        </is>
      </c>
      <c r="L2160" t="inlineStr">
        <is>
          <t>OCTUBRE 2025</t>
        </is>
      </c>
      <c r="M2160" t="inlineStr">
        <is>
          <t>P.Q.S TIPO ABC AL 90 % UL</t>
        </is>
      </c>
      <c r="N2160" t="inlineStr">
        <is>
          <t>33/000426</t>
        </is>
      </c>
      <c r="O2160" t="inlineStr">
        <is>
          <t>M1</t>
        </is>
      </c>
      <c r="P2160">
        <f>TRIM(N2160)</f>
        <v/>
      </c>
    </row>
    <row r="2161">
      <c r="A2161" t="inlineStr">
        <is>
          <t>CO-002098</t>
        </is>
      </c>
      <c r="B2161" t="inlineStr">
        <is>
          <t xml:space="preserve">LINDE PERU S.R.L. </t>
        </is>
      </c>
      <c r="C2161" t="inlineStr">
        <is>
          <t>20338570041</t>
        </is>
      </c>
      <c r="D2161" t="inlineStr">
        <is>
          <t>CAR.CARRET.CENTRAL KM.9.5 Z.I. ZONA INDUSTRIAL(DESVIO HUACHIPA LURIGANCHO CHOSICA) LIMA LURIGANCHO</t>
        </is>
      </c>
      <c r="E2161" t="inlineStr">
        <is>
          <t>Lima, 28 de Octubre de 2024</t>
        </is>
      </c>
      <c r="F2161" t="inlineStr">
        <is>
          <t>la Recarga y mantenimiento</t>
        </is>
      </c>
      <c r="G2161" t="inlineStr">
        <is>
          <t>01</t>
        </is>
      </c>
      <c r="H2161" t="inlineStr">
        <is>
          <t>06 KG</t>
        </is>
      </c>
      <c r="I2161" t="inlineStr">
        <is>
          <t>2029</t>
        </is>
      </c>
      <c r="J2161" t="n">
        <v>2017</v>
      </c>
      <c r="K2161" t="inlineStr">
        <is>
          <t>OCTUBRE 2024</t>
        </is>
      </c>
      <c r="L2161" t="inlineStr">
        <is>
          <t>OCTUBRE 2025</t>
        </is>
      </c>
      <c r="M2161" t="inlineStr">
        <is>
          <t>P.Q.S TIPO ABC AL 90% UL</t>
        </is>
      </c>
      <c r="N2161" t="inlineStr">
        <is>
          <t>S/N /000242</t>
        </is>
      </c>
      <c r="O2161" t="inlineStr">
        <is>
          <t>R</t>
        </is>
      </c>
      <c r="P2161">
        <f>TRIM(N2161)</f>
        <v/>
      </c>
    </row>
    <row r="2162">
      <c r="A2162" t="inlineStr">
        <is>
          <t>CO-002098</t>
        </is>
      </c>
      <c r="B2162" t="inlineStr">
        <is>
          <t xml:space="preserve">LINDE PERU S.R.L. </t>
        </is>
      </c>
      <c r="C2162" t="inlineStr">
        <is>
          <t>20338570041</t>
        </is>
      </c>
      <c r="D2162" t="inlineStr">
        <is>
          <t>CAR.CARRET.CENTRAL KM.9.5 Z.I. ZONA INDUSTRIAL(DESVIO HUACHIPA LURIGANCHO CHOSICA) LIMA LURIGANCHO</t>
        </is>
      </c>
      <c r="E2162" t="inlineStr">
        <is>
          <t>Lima, 28 de Octubre de 2024</t>
        </is>
      </c>
      <c r="F2162" t="inlineStr">
        <is>
          <t>la Recarga y mantenimiento</t>
        </is>
      </c>
      <c r="G2162" t="inlineStr">
        <is>
          <t>02</t>
        </is>
      </c>
      <c r="H2162" t="inlineStr">
        <is>
          <t>12 KG</t>
        </is>
      </c>
      <c r="I2162" t="inlineStr">
        <is>
          <t>2027</t>
        </is>
      </c>
      <c r="J2162" t="n">
        <v>2012</v>
      </c>
      <c r="K2162" t="inlineStr">
        <is>
          <t>OCTUBRE 2024</t>
        </is>
      </c>
      <c r="L2162" t="inlineStr">
        <is>
          <t>OCTUBRE 2025</t>
        </is>
      </c>
      <c r="M2162" t="inlineStr">
        <is>
          <t>P.Q.S TIPO ABC AL 90% UL</t>
        </is>
      </c>
      <c r="N2162" t="inlineStr">
        <is>
          <t>22/004309</t>
        </is>
      </c>
      <c r="O2162" t="inlineStr">
        <is>
          <t>R</t>
        </is>
      </c>
      <c r="P2162">
        <f>TRIM(N2162)</f>
        <v/>
      </c>
    </row>
    <row r="2163">
      <c r="A2163" t="inlineStr">
        <is>
          <t>CO-002098</t>
        </is>
      </c>
      <c r="B2163" t="inlineStr">
        <is>
          <t xml:space="preserve">LINDE PERU S.R.L. </t>
        </is>
      </c>
      <c r="C2163" t="inlineStr">
        <is>
          <t>20338570041</t>
        </is>
      </c>
      <c r="D2163" t="inlineStr">
        <is>
          <t>CAR.CARRET.CENTRAL KM.9.5 Z.I. ZONA INDUSTRIAL(DESVIO HUACHIPA LURIGANCHO CHOSICA) LIMA LURIGANCHO</t>
        </is>
      </c>
      <c r="E2163" t="inlineStr">
        <is>
          <t>Lima, 28 de Octubre de 2024</t>
        </is>
      </c>
      <c r="F2163" t="inlineStr">
        <is>
          <t>la Recarga y mantenimiento</t>
        </is>
      </c>
      <c r="G2163" t="inlineStr">
        <is>
          <t>03</t>
        </is>
      </c>
      <c r="H2163" t="inlineStr">
        <is>
          <t>12 KG</t>
        </is>
      </c>
      <c r="I2163" t="n">
        <v>2027</v>
      </c>
      <c r="J2163" t="n">
        <v>2012</v>
      </c>
      <c r="K2163" t="inlineStr">
        <is>
          <t>OCTUBRE 2024</t>
        </is>
      </c>
      <c r="L2163" t="inlineStr">
        <is>
          <t>OCTUBRE 2025</t>
        </is>
      </c>
      <c r="M2163" t="inlineStr">
        <is>
          <t>P.Q.S TIPO ABC AL 90% UL</t>
        </is>
      </c>
      <c r="N2163" t="inlineStr">
        <is>
          <t>27/000133</t>
        </is>
      </c>
      <c r="O2163" t="inlineStr">
        <is>
          <t>R</t>
        </is>
      </c>
      <c r="P2163">
        <f>TRIM(N2163)</f>
        <v/>
      </c>
    </row>
    <row r="2164">
      <c r="A2164" t="inlineStr">
        <is>
          <t>CO-002098</t>
        </is>
      </c>
      <c r="B2164" t="inlineStr">
        <is>
          <t xml:space="preserve">LINDE PERU S.R.L. </t>
        </is>
      </c>
      <c r="C2164" t="inlineStr">
        <is>
          <t>20338570041</t>
        </is>
      </c>
      <c r="D2164" t="inlineStr">
        <is>
          <t>CAR.CARRET.CENTRAL KM.9.5 Z.I. ZONA INDUSTRIAL(DESVIO HUACHIPA LURIGANCHO CHOSICA) LIMA LURIGANCHO</t>
        </is>
      </c>
      <c r="E2164" t="inlineStr">
        <is>
          <t>Lima, 28 de Octubre de 2024</t>
        </is>
      </c>
      <c r="F2164" t="inlineStr">
        <is>
          <t>la Recarga y mantenimiento</t>
        </is>
      </c>
      <c r="G2164" t="inlineStr">
        <is>
          <t>04</t>
        </is>
      </c>
      <c r="H2164" t="inlineStr">
        <is>
          <t>12 KG</t>
        </is>
      </c>
      <c r="I2164" t="n">
        <v>2027</v>
      </c>
      <c r="J2164" t="n">
        <v>2012</v>
      </c>
      <c r="K2164" t="inlineStr">
        <is>
          <t>OCTUBRE 2024</t>
        </is>
      </c>
      <c r="L2164" t="inlineStr">
        <is>
          <t>OCTUBRE 2025</t>
        </is>
      </c>
      <c r="M2164" t="inlineStr">
        <is>
          <t>P.Q.S TIPO ABC AL 90% UL</t>
        </is>
      </c>
      <c r="N2164" t="inlineStr">
        <is>
          <t>28/000116</t>
        </is>
      </c>
      <c r="O2164" t="inlineStr">
        <is>
          <t>R</t>
        </is>
      </c>
      <c r="P2164">
        <f>TRIM(N2164)</f>
        <v/>
      </c>
    </row>
    <row r="2165">
      <c r="A2165" t="inlineStr">
        <is>
          <t>CO-002098</t>
        </is>
      </c>
      <c r="B2165" t="inlineStr">
        <is>
          <t xml:space="preserve">LINDE PERU S.R.L. </t>
        </is>
      </c>
      <c r="C2165" t="inlineStr">
        <is>
          <t>20338570041</t>
        </is>
      </c>
      <c r="D2165" t="inlineStr">
        <is>
          <t>CAR.CARRET.CENTRAL KM.9.5 Z.I. ZONA INDUSTRIAL(DESVIO HUACHIPA LURIGANCHO CHOSICA) LIMA LURIGANCHO</t>
        </is>
      </c>
      <c r="E2165" t="inlineStr">
        <is>
          <t>Lima, 28 de Octubre de 2024</t>
        </is>
      </c>
      <c r="F2165" t="inlineStr">
        <is>
          <t>la Recarga y mantenimiento</t>
        </is>
      </c>
      <c r="G2165" t="inlineStr">
        <is>
          <t>05</t>
        </is>
      </c>
      <c r="H2165" t="inlineStr">
        <is>
          <t>12 KG</t>
        </is>
      </c>
      <c r="I2165" t="n">
        <v>2027</v>
      </c>
      <c r="J2165" t="n">
        <v>2012</v>
      </c>
      <c r="K2165" t="inlineStr">
        <is>
          <t>OCTUBRE 2024</t>
        </is>
      </c>
      <c r="L2165" t="inlineStr">
        <is>
          <t>OCTUBRE 2025</t>
        </is>
      </c>
      <c r="M2165" t="inlineStr">
        <is>
          <t>P.Q.S TIPO ABC AL 90% UL</t>
        </is>
      </c>
      <c r="N2165" t="inlineStr">
        <is>
          <t>30/000143</t>
        </is>
      </c>
      <c r="O2165" t="inlineStr">
        <is>
          <t>R</t>
        </is>
      </c>
      <c r="P2165">
        <f>TRIM(N2165)</f>
        <v/>
      </c>
    </row>
    <row r="2166">
      <c r="A2166" t="inlineStr">
        <is>
          <t>CO-002098</t>
        </is>
      </c>
      <c r="B2166" t="inlineStr">
        <is>
          <t xml:space="preserve">LINDE PERU S.R.L. </t>
        </is>
      </c>
      <c r="C2166" t="inlineStr">
        <is>
          <t>20338570041</t>
        </is>
      </c>
      <c r="D2166" t="inlineStr">
        <is>
          <t>CAR.CARRET.CENTRAL KM.9.5 Z.I. ZONA INDUSTRIAL(DESVIO HUACHIPA LURIGANCHO CHOSICA) LIMA LURIGANCHO</t>
        </is>
      </c>
      <c r="E2166" t="inlineStr">
        <is>
          <t>Lima, 28 de Octubre de 2024</t>
        </is>
      </c>
      <c r="F2166" t="inlineStr">
        <is>
          <t>la Recarga y mantenimiento</t>
        </is>
      </c>
      <c r="G2166" t="inlineStr">
        <is>
          <t>06</t>
        </is>
      </c>
      <c r="H2166" t="inlineStr">
        <is>
          <t>12 KG</t>
        </is>
      </c>
      <c r="I2166" t="n">
        <v>2028</v>
      </c>
      <c r="J2166" t="n">
        <v>2018</v>
      </c>
      <c r="K2166" t="inlineStr">
        <is>
          <t>OCTUBRE 2024</t>
        </is>
      </c>
      <c r="L2166" t="inlineStr">
        <is>
          <t>OCTUBRE 2025</t>
        </is>
      </c>
      <c r="M2166" t="inlineStr">
        <is>
          <t>P.Q.S TIPO ABC AL 90% UL</t>
        </is>
      </c>
      <c r="N2166" t="inlineStr">
        <is>
          <t>31/0004518</t>
        </is>
      </c>
      <c r="O2166" t="inlineStr">
        <is>
          <t>R</t>
        </is>
      </c>
      <c r="P2166">
        <f>TRIM(N2166)</f>
        <v/>
      </c>
    </row>
    <row r="2167">
      <c r="A2167" t="inlineStr">
        <is>
          <t>CO-002098</t>
        </is>
      </c>
      <c r="B2167" t="inlineStr">
        <is>
          <t xml:space="preserve">LINDE PERU S.R.L. </t>
        </is>
      </c>
      <c r="C2167" t="inlineStr">
        <is>
          <t>20338570041</t>
        </is>
      </c>
      <c r="D2167" t="inlineStr">
        <is>
          <t>CAR.CARRET.CENTRAL KM.9.5 Z.I. ZONA INDUSTRIAL(DESVIO HUACHIPA LURIGANCHO CHOSICA) LIMA LURIGANCHO</t>
        </is>
      </c>
      <c r="E2167" t="inlineStr">
        <is>
          <t>Lima, 28 de Octubre de 2024</t>
        </is>
      </c>
      <c r="F2167" t="inlineStr">
        <is>
          <t>la Recarga y mantenimiento</t>
        </is>
      </c>
      <c r="G2167" t="inlineStr">
        <is>
          <t>07</t>
        </is>
      </c>
      <c r="H2167" t="inlineStr">
        <is>
          <t>12 KG</t>
        </is>
      </c>
      <c r="I2167" t="n">
        <v>2027</v>
      </c>
      <c r="J2167" t="n">
        <v>2012</v>
      </c>
      <c r="K2167" t="inlineStr">
        <is>
          <t>OCTUBRE 2024</t>
        </is>
      </c>
      <c r="L2167" t="inlineStr">
        <is>
          <t>OCTUBRE 2025</t>
        </is>
      </c>
      <c r="M2167" t="inlineStr">
        <is>
          <t>P.Q.S TIPO ABC AL 90% UL</t>
        </is>
      </c>
      <c r="N2167" t="inlineStr">
        <is>
          <t>32/004864</t>
        </is>
      </c>
      <c r="O2167" t="inlineStr">
        <is>
          <t>R</t>
        </is>
      </c>
      <c r="P2167">
        <f>TRIM(N2167)</f>
        <v/>
      </c>
    </row>
    <row r="2168">
      <c r="A2168" t="inlineStr">
        <is>
          <t>CO-002099</t>
        </is>
      </c>
      <c r="B2168" t="inlineStr">
        <is>
          <t xml:space="preserve">LINDE PERU S.R.L. </t>
        </is>
      </c>
      <c r="C2168" t="inlineStr">
        <is>
          <t>20338570041</t>
        </is>
      </c>
      <c r="D2168" t="inlineStr">
        <is>
          <t>CAR.CARRET.CENTRAL KM.9.5 Z.I. ZONA INDUSTRIAL(DESVIO HUACHIPA LURIGANCHO CHOSICA) LIMA LURIGANCHO</t>
        </is>
      </c>
      <c r="E2168" t="inlineStr">
        <is>
          <t>Lima, 28 de Octubre de 2024</t>
        </is>
      </c>
      <c r="F2168" t="inlineStr">
        <is>
          <t>Mantenimiento</t>
        </is>
      </c>
      <c r="G2168" t="inlineStr">
        <is>
          <t>01</t>
        </is>
      </c>
      <c r="H2168" t="inlineStr">
        <is>
          <t>05 LBS</t>
        </is>
      </c>
      <c r="I2168" t="inlineStr">
        <is>
          <t>2027</t>
        </is>
      </c>
      <c r="J2168" t="n">
        <v>2012</v>
      </c>
      <c r="K2168" t="inlineStr">
        <is>
          <t>OCTUBRE 2024</t>
        </is>
      </c>
      <c r="L2168" t="inlineStr">
        <is>
          <t>OCTUBRE 2025</t>
        </is>
      </c>
      <c r="M2168" t="inlineStr">
        <is>
          <t>HALOTRON 1/TIPO BC</t>
        </is>
      </c>
      <c r="N2168" t="inlineStr">
        <is>
          <t>03/Y-290776</t>
        </is>
      </c>
      <c r="O2168" t="inlineStr">
        <is>
          <t>M2</t>
        </is>
      </c>
      <c r="P2168">
        <f>TRIM(N2168)</f>
        <v/>
      </c>
    </row>
    <row r="2169">
      <c r="A2169" t="inlineStr">
        <is>
          <t>CO-002099</t>
        </is>
      </c>
      <c r="B2169" t="inlineStr">
        <is>
          <t xml:space="preserve">LINDE PERU S.R.L. </t>
        </is>
      </c>
      <c r="C2169" t="inlineStr">
        <is>
          <t>20338570041</t>
        </is>
      </c>
      <c r="D2169" t="inlineStr">
        <is>
          <t>CAR.CARRET.CENTRAL KM.9.5 Z.I. ZONA INDUSTRIAL(DESVIO HUACHIPA LURIGANCHO CHOSICA) LIMA LURIGANCHO</t>
        </is>
      </c>
      <c r="E2169" t="inlineStr">
        <is>
          <t>Lima, 28 de Octubre de 2024</t>
        </is>
      </c>
      <c r="F2169" t="inlineStr">
        <is>
          <t>Mantenimiento</t>
        </is>
      </c>
      <c r="G2169" t="inlineStr">
        <is>
          <t>02</t>
        </is>
      </c>
      <c r="H2169" t="inlineStr">
        <is>
          <t>05 LBS</t>
        </is>
      </c>
      <c r="I2169" t="inlineStr">
        <is>
          <t>2027</t>
        </is>
      </c>
      <c r="J2169" t="n">
        <v>2012</v>
      </c>
      <c r="K2169" t="inlineStr">
        <is>
          <t>OCTUBRE 2024</t>
        </is>
      </c>
      <c r="L2169" t="inlineStr">
        <is>
          <t>OCTUBRE 2025</t>
        </is>
      </c>
      <c r="M2169" t="inlineStr">
        <is>
          <t>HALOTRON 1/TIPO BC</t>
        </is>
      </c>
      <c r="N2169" t="inlineStr">
        <is>
          <t>06/Y-290891</t>
        </is>
      </c>
      <c r="O2169" t="inlineStr">
        <is>
          <t>M2</t>
        </is>
      </c>
      <c r="P2169">
        <f>TRIM(N2169)</f>
        <v/>
      </c>
    </row>
    <row r="2170">
      <c r="A2170" t="inlineStr">
        <is>
          <t>CO-002099</t>
        </is>
      </c>
      <c r="B2170" t="inlineStr">
        <is>
          <t xml:space="preserve">LINDE PERU S.R.L. </t>
        </is>
      </c>
      <c r="C2170" t="inlineStr">
        <is>
          <t>20338570041</t>
        </is>
      </c>
      <c r="D2170" t="inlineStr">
        <is>
          <t>CAR.CARRET.CENTRAL KM.9.5 Z.I. ZONA INDUSTRIAL(DESVIO HUACHIPA LURIGANCHO CHOSICA) LIMA LURIGANCHO</t>
        </is>
      </c>
      <c r="E2170" t="inlineStr">
        <is>
          <t>Lima, 28 de Octubre de 2024</t>
        </is>
      </c>
      <c r="F2170" t="inlineStr">
        <is>
          <t>Mantenimiento</t>
        </is>
      </c>
      <c r="G2170" t="inlineStr">
        <is>
          <t>03</t>
        </is>
      </c>
      <c r="H2170" t="inlineStr">
        <is>
          <t>05 LBS</t>
        </is>
      </c>
      <c r="I2170" t="n">
        <v>2027</v>
      </c>
      <c r="J2170" t="n">
        <v>2012</v>
      </c>
      <c r="K2170" t="inlineStr">
        <is>
          <t>OCTUBRE 2024</t>
        </is>
      </c>
      <c r="L2170" t="inlineStr">
        <is>
          <t>OCTUBRE 2025</t>
        </is>
      </c>
      <c r="M2170" t="inlineStr">
        <is>
          <t>HALOTRON 1/TIPO BC</t>
        </is>
      </c>
      <c r="N2170" t="inlineStr">
        <is>
          <t>24/Y-290775</t>
        </is>
      </c>
      <c r="O2170" t="inlineStr">
        <is>
          <t>M2</t>
        </is>
      </c>
      <c r="P2170">
        <f>TRIM(N2170)</f>
        <v/>
      </c>
    </row>
    <row r="2171">
      <c r="A2171" t="inlineStr">
        <is>
          <t>CO-002100</t>
        </is>
      </c>
      <c r="B2171" t="inlineStr">
        <is>
          <t xml:space="preserve">LINDE PERU S.R.L. </t>
        </is>
      </c>
      <c r="C2171" t="inlineStr">
        <is>
          <t>20338570041</t>
        </is>
      </c>
      <c r="D2171" t="inlineStr">
        <is>
          <t>CAR.CARRET.CENTRAL KM.9.5 Z.I. ZONA INDUSTRIAL(DESVIO HUACHIPA LURIGANCHO CHOSICA) LIMA LURIGANCHO</t>
        </is>
      </c>
      <c r="E2171" t="inlineStr">
        <is>
          <t>Lima, 28 de Octubre de 2024</t>
        </is>
      </c>
      <c r="F2171" t="inlineStr">
        <is>
          <t>la Recarga y mantenimiento</t>
        </is>
      </c>
      <c r="G2171" t="inlineStr">
        <is>
          <t>01</t>
        </is>
      </c>
      <c r="H2171" t="inlineStr">
        <is>
          <t>05 LBS</t>
        </is>
      </c>
      <c r="I2171" t="n">
        <v>2029</v>
      </c>
      <c r="J2171" t="n">
        <v>2014</v>
      </c>
      <c r="K2171" t="inlineStr">
        <is>
          <t>OCTUBRE 2024</t>
        </is>
      </c>
      <c r="L2171" t="inlineStr">
        <is>
          <t>OCTUBRE 2025</t>
        </is>
      </c>
      <c r="M2171" t="inlineStr">
        <is>
          <t>HALOTRON 1/TIPO BC</t>
        </is>
      </c>
      <c r="N2171" t="inlineStr">
        <is>
          <t>23/001581</t>
        </is>
      </c>
      <c r="O2171" t="inlineStr">
        <is>
          <t>R</t>
        </is>
      </c>
      <c r="P2171">
        <f>TRIM(N2171)</f>
        <v/>
      </c>
    </row>
    <row r="2172">
      <c r="A2172" t="inlineStr">
        <is>
          <t>CO-002101</t>
        </is>
      </c>
      <c r="B2172" t="inlineStr">
        <is>
          <t>LINDE PERU S.R.L</t>
        </is>
      </c>
      <c r="C2172" t="inlineStr">
        <is>
          <t>20338570041</t>
        </is>
      </c>
      <c r="D2172" t="inlineStr">
        <is>
          <t>CAR.CARRET.CENTRAL KM.9.5 Z.I. ZONA INDUSTRIAL(DESVIO HUACHIPA LURIGANCHO CHOSICA) LIMA LURIGANCHO</t>
        </is>
      </c>
      <c r="E2172" t="inlineStr">
        <is>
          <t>Lima, 28 de Octubre de 2024</t>
        </is>
      </c>
      <c r="F2172" t="inlineStr">
        <is>
          <t>la Recarga y mantenimiento</t>
        </is>
      </c>
      <c r="G2172" t="inlineStr">
        <is>
          <t>01</t>
        </is>
      </c>
      <c r="H2172" t="inlineStr">
        <is>
          <t>10 LBS</t>
        </is>
      </c>
      <c r="I2172" t="inlineStr">
        <is>
          <t>2026</t>
        </is>
      </c>
      <c r="J2172" t="n">
        <v>2010</v>
      </c>
      <c r="K2172" t="inlineStr">
        <is>
          <t>OCTUBRE 2024</t>
        </is>
      </c>
      <c r="L2172" t="inlineStr">
        <is>
          <t>OCTUBRE 2025</t>
        </is>
      </c>
      <c r="M2172" t="inlineStr">
        <is>
          <t>CO2 / TIPO BC</t>
        </is>
      </c>
      <c r="N2172" t="inlineStr">
        <is>
          <t>S/N/AB-529933</t>
        </is>
      </c>
      <c r="O2172" t="inlineStr">
        <is>
          <t>R</t>
        </is>
      </c>
      <c r="P2172">
        <f>TRIM(N2172)</f>
        <v/>
      </c>
    </row>
    <row r="2173">
      <c r="A2173" t="inlineStr">
        <is>
          <t>CO-002101</t>
        </is>
      </c>
      <c r="B2173" t="inlineStr">
        <is>
          <t>LINDE PERU S.R.L</t>
        </is>
      </c>
      <c r="C2173" t="inlineStr">
        <is>
          <t>20338570041</t>
        </is>
      </c>
      <c r="D2173" t="inlineStr">
        <is>
          <t>CAR.CARRET.CENTRAL KM.9.5 Z.I. ZONA INDUSTRIAL(DESVIO HUACHIPA LURIGANCHO CHOSICA) LIMA LURIGANCHO</t>
        </is>
      </c>
      <c r="E2173" t="inlineStr">
        <is>
          <t>Lima, 28 de Octubre de 2024</t>
        </is>
      </c>
      <c r="F2173" t="inlineStr">
        <is>
          <t>la Recarga y mantenimiento</t>
        </is>
      </c>
      <c r="G2173" t="inlineStr">
        <is>
          <t>02</t>
        </is>
      </c>
      <c r="H2173" t="inlineStr">
        <is>
          <t>10 LBS</t>
        </is>
      </c>
      <c r="I2173" t="inlineStr">
        <is>
          <t>2027</t>
        </is>
      </c>
      <c r="J2173" t="n">
        <v>2011</v>
      </c>
      <c r="K2173" t="inlineStr">
        <is>
          <t>OCTUBRE 2024</t>
        </is>
      </c>
      <c r="L2173" t="inlineStr">
        <is>
          <t>OCTUBRE 2025</t>
        </is>
      </c>
      <c r="M2173" t="inlineStr">
        <is>
          <t>CO2 /TIPO BC</t>
        </is>
      </c>
      <c r="N2173" t="inlineStr">
        <is>
          <t>04/000069</t>
        </is>
      </c>
      <c r="O2173" t="inlineStr">
        <is>
          <t>R</t>
        </is>
      </c>
      <c r="P2173">
        <f>TRIM(N2173)</f>
        <v/>
      </c>
    </row>
    <row r="2174">
      <c r="A2174" t="inlineStr">
        <is>
          <t>CO-002101</t>
        </is>
      </c>
      <c r="B2174" t="inlineStr">
        <is>
          <t>LINDE PERU S.R.L</t>
        </is>
      </c>
      <c r="C2174" t="inlineStr">
        <is>
          <t>20338570041</t>
        </is>
      </c>
      <c r="D2174" t="inlineStr">
        <is>
          <t>CAR.CARRET.CENTRAL KM.9.5 Z.I. ZONA INDUSTRIAL(DESVIO HUACHIPA LURIGANCHO CHOSICA) LIMA LURIGANCHO</t>
        </is>
      </c>
      <c r="E2174" t="inlineStr">
        <is>
          <t>Lima, 28 de Octubre de 2024</t>
        </is>
      </c>
      <c r="F2174" t="inlineStr">
        <is>
          <t>la Recarga y mantenimiento</t>
        </is>
      </c>
      <c r="G2174" t="inlineStr">
        <is>
          <t>03</t>
        </is>
      </c>
      <c r="H2174" t="inlineStr">
        <is>
          <t>10 LBS</t>
        </is>
      </c>
      <c r="I2174" t="n">
        <v>2027</v>
      </c>
      <c r="J2174" t="n">
        <v>2011</v>
      </c>
      <c r="K2174" t="inlineStr">
        <is>
          <t>OCTUBRE 2024</t>
        </is>
      </c>
      <c r="L2174" t="inlineStr">
        <is>
          <t>OCTUBRE 2025</t>
        </is>
      </c>
      <c r="M2174" t="inlineStr">
        <is>
          <t>CO2 /TIPO BC</t>
        </is>
      </c>
      <c r="N2174" t="inlineStr">
        <is>
          <t>05/000132</t>
        </is>
      </c>
      <c r="O2174" t="inlineStr">
        <is>
          <t>R</t>
        </is>
      </c>
      <c r="P2174">
        <f>TRIM(N2174)</f>
        <v/>
      </c>
    </row>
    <row r="2175">
      <c r="A2175" t="inlineStr">
        <is>
          <t>CO-002101</t>
        </is>
      </c>
      <c r="B2175" t="inlineStr">
        <is>
          <t>LINDE PERU S.R.L</t>
        </is>
      </c>
      <c r="C2175" t="inlineStr">
        <is>
          <t>20338570041</t>
        </is>
      </c>
      <c r="D2175" t="inlineStr">
        <is>
          <t>CAR.CARRET.CENTRAL KM.9.5 Z.I. ZONA INDUSTRIAL(DESVIO HUACHIPA LURIGANCHO CHOSICA) LIMA LURIGANCHO</t>
        </is>
      </c>
      <c r="E2175" t="inlineStr">
        <is>
          <t>Lima, 28 de Octubre de 2024</t>
        </is>
      </c>
      <c r="F2175" t="inlineStr">
        <is>
          <t>la Recarga y mantenimiento</t>
        </is>
      </c>
      <c r="G2175" t="inlineStr">
        <is>
          <t>04</t>
        </is>
      </c>
      <c r="H2175" t="inlineStr">
        <is>
          <t>15 LBS</t>
        </is>
      </c>
      <c r="I2175" t="n">
        <v>2027</v>
      </c>
      <c r="J2175" t="n">
        <v>2012</v>
      </c>
      <c r="K2175" t="inlineStr">
        <is>
          <t>OCTUBRE 2024</t>
        </is>
      </c>
      <c r="L2175" t="inlineStr">
        <is>
          <t>OCTUBRE 2025</t>
        </is>
      </c>
      <c r="M2175" t="inlineStr">
        <is>
          <t>CO2 /TIPO BC</t>
        </is>
      </c>
      <c r="N2175" t="inlineStr">
        <is>
          <t>29/AC-224997</t>
        </is>
      </c>
      <c r="O2175" t="inlineStr">
        <is>
          <t>R</t>
        </is>
      </c>
      <c r="P2175">
        <f>TRIM(N2175)</f>
        <v/>
      </c>
    </row>
    <row r="2176">
      <c r="A2176" t="inlineStr">
        <is>
          <t>CO-002101</t>
        </is>
      </c>
      <c r="B2176" t="inlineStr">
        <is>
          <t>LINDE PERU S.R.L</t>
        </is>
      </c>
      <c r="C2176" t="inlineStr">
        <is>
          <t>20338570041</t>
        </is>
      </c>
      <c r="D2176" t="inlineStr">
        <is>
          <t>CAR.CARRET.CENTRAL KM.9.5 Z.I. ZONA INDUSTRIAL(DESVIO HUACHIPA LURIGANCHO CHOSICA) LIMA LURIGANCHO</t>
        </is>
      </c>
      <c r="E2176" t="inlineStr">
        <is>
          <t>Lima, 28 de Octubre de 2024</t>
        </is>
      </c>
      <c r="F2176" t="inlineStr">
        <is>
          <t>la Recarga y mantenimiento</t>
        </is>
      </c>
      <c r="G2176" t="inlineStr">
        <is>
          <t>05</t>
        </is>
      </c>
      <c r="H2176" t="inlineStr">
        <is>
          <t>20 LBS</t>
        </is>
      </c>
      <c r="I2176" t="n">
        <v>2027</v>
      </c>
      <c r="J2176" t="n">
        <v>2007</v>
      </c>
      <c r="K2176" t="inlineStr">
        <is>
          <t>OCTUBRE 2024</t>
        </is>
      </c>
      <c r="L2176" t="inlineStr">
        <is>
          <t>OCTUBRE 2025</t>
        </is>
      </c>
      <c r="M2176" t="inlineStr">
        <is>
          <t>CO2 /TIPO BC</t>
        </is>
      </c>
      <c r="N2176" t="inlineStr">
        <is>
          <t>02/Z-745339</t>
        </is>
      </c>
      <c r="O2176" t="inlineStr">
        <is>
          <t>R</t>
        </is>
      </c>
      <c r="P2176">
        <f>TRIM(N2176)</f>
        <v/>
      </c>
    </row>
    <row r="2177">
      <c r="A2177" t="inlineStr">
        <is>
          <t>CO-002101</t>
        </is>
      </c>
      <c r="B2177" t="inlineStr">
        <is>
          <t>LINDE PERU S.R.L</t>
        </is>
      </c>
      <c r="C2177" t="inlineStr">
        <is>
          <t>20338570041</t>
        </is>
      </c>
      <c r="D2177" t="inlineStr">
        <is>
          <t>CAR.CARRET.CENTRAL KM.9.5 Z.I. ZONA INDUSTRIAL(DESVIO HUACHIPA LURIGANCHO CHOSICA) LIMA LURIGANCHO</t>
        </is>
      </c>
      <c r="E2177" t="inlineStr">
        <is>
          <t>Lima, 28 de Octubre de 2024</t>
        </is>
      </c>
      <c r="F2177" t="inlineStr">
        <is>
          <t>la Recarga y mantenimiento</t>
        </is>
      </c>
      <c r="G2177" t="inlineStr">
        <is>
          <t>06</t>
        </is>
      </c>
      <c r="H2177" t="inlineStr">
        <is>
          <t>20 LBS</t>
        </is>
      </c>
      <c r="I2177" t="n">
        <v>2027</v>
      </c>
      <c r="J2177" t="n">
        <v>2007</v>
      </c>
      <c r="K2177" t="inlineStr">
        <is>
          <t>OCTUBRE 2024</t>
        </is>
      </c>
      <c r="L2177" t="inlineStr">
        <is>
          <t>OCTUBRE 2025</t>
        </is>
      </c>
      <c r="M2177" t="inlineStr">
        <is>
          <t>CO2 /TIPO BC</t>
        </is>
      </c>
      <c r="N2177" t="inlineStr">
        <is>
          <t>15/Z-745340</t>
        </is>
      </c>
      <c r="O2177" t="inlineStr">
        <is>
          <t>R</t>
        </is>
      </c>
      <c r="P2177">
        <f>TRIM(N2177)</f>
        <v/>
      </c>
    </row>
    <row r="2178">
      <c r="A2178" t="inlineStr">
        <is>
          <t>CO-002101</t>
        </is>
      </c>
      <c r="B2178" t="inlineStr">
        <is>
          <t>LINDE PERU S.R.L</t>
        </is>
      </c>
      <c r="C2178" t="inlineStr">
        <is>
          <t>20338570041</t>
        </is>
      </c>
      <c r="D2178" t="inlineStr">
        <is>
          <t>CAR.CARRET.CENTRAL KM.9.5 Z.I. ZONA INDUSTRIAL(DESVIO HUACHIPA LURIGANCHO CHOSICA) LIMA LURIGANCHO</t>
        </is>
      </c>
      <c r="E2178" t="inlineStr">
        <is>
          <t>Lima, 28 de Octubre de 2024</t>
        </is>
      </c>
      <c r="F2178" t="inlineStr">
        <is>
          <t>la Recarga y mantenimiento</t>
        </is>
      </c>
      <c r="G2178" t="inlineStr">
        <is>
          <t>07</t>
        </is>
      </c>
      <c r="H2178" t="inlineStr">
        <is>
          <t>20 LBS</t>
        </is>
      </c>
      <c r="I2178" t="n">
        <v>2027</v>
      </c>
      <c r="J2178" t="n">
        <v>2007</v>
      </c>
      <c r="K2178" t="inlineStr">
        <is>
          <t>OCTUBRE 2024</t>
        </is>
      </c>
      <c r="L2178" t="inlineStr">
        <is>
          <t>OCTUBRE 2025</t>
        </is>
      </c>
      <c r="M2178" t="inlineStr">
        <is>
          <t>CO2 /TIPO BC</t>
        </is>
      </c>
      <c r="N2178" t="inlineStr">
        <is>
          <t>19/V-862717</t>
        </is>
      </c>
      <c r="O2178" t="inlineStr">
        <is>
          <t>R</t>
        </is>
      </c>
      <c r="P2178">
        <f>TRIM(N2178)</f>
        <v/>
      </c>
    </row>
    <row r="2179">
      <c r="A2179" t="inlineStr">
        <is>
          <t>CO-002101</t>
        </is>
      </c>
      <c r="B2179" t="inlineStr">
        <is>
          <t>LINDE PERU S.R.L</t>
        </is>
      </c>
      <c r="C2179" t="inlineStr">
        <is>
          <t>20338570041</t>
        </is>
      </c>
      <c r="D2179" t="inlineStr">
        <is>
          <t>CAR.CARRET.CENTRAL KM.9.5 Z.I. ZONA INDUSTRIAL(DESVIO HUACHIPA LURIGANCHO CHOSICA) LIMA LURIGANCHO</t>
        </is>
      </c>
      <c r="E2179" t="inlineStr">
        <is>
          <t>Lima, 28 de Octubre de 2024</t>
        </is>
      </c>
      <c r="F2179" t="inlineStr">
        <is>
          <t>la Recarga y mantenimiento</t>
        </is>
      </c>
      <c r="G2179" t="inlineStr">
        <is>
          <t>08</t>
        </is>
      </c>
      <c r="H2179" t="inlineStr">
        <is>
          <t>20 LBS</t>
        </is>
      </c>
      <c r="I2179" t="n">
        <v>2027</v>
      </c>
      <c r="J2179" t="n">
        <v>2007</v>
      </c>
      <c r="K2179" t="inlineStr">
        <is>
          <t>OCTUBRE 2024</t>
        </is>
      </c>
      <c r="L2179" t="inlineStr">
        <is>
          <t>OCTUBRE 2025</t>
        </is>
      </c>
      <c r="M2179" t="inlineStr">
        <is>
          <t>CO2 /TIPO BC</t>
        </is>
      </c>
      <c r="N2179" t="inlineStr">
        <is>
          <t>25/Z-745343</t>
        </is>
      </c>
      <c r="O2179" t="inlineStr">
        <is>
          <t>R</t>
        </is>
      </c>
      <c r="P2179">
        <f>TRIM(N2179)</f>
        <v/>
      </c>
    </row>
    <row r="2180">
      <c r="A2180" t="inlineStr">
        <is>
          <t>CO-002101</t>
        </is>
      </c>
      <c r="B2180" t="inlineStr">
        <is>
          <t>LINDE PERU S.R.L</t>
        </is>
      </c>
      <c r="C2180" t="inlineStr">
        <is>
          <t>20338570041</t>
        </is>
      </c>
      <c r="D2180" t="inlineStr">
        <is>
          <t>CAR.CARRET.CENTRAL KM.9.5 Z.I. ZONA INDUSTRIAL(DESVIO HUACHIPA LURIGANCHO CHOSICA) LIMA LURIGANCHO</t>
        </is>
      </c>
      <c r="E2180" t="inlineStr">
        <is>
          <t>Lima, 28 de Octubre de 2024</t>
        </is>
      </c>
      <c r="F2180" t="inlineStr">
        <is>
          <t>la Recarga y mantenimiento</t>
        </is>
      </c>
      <c r="G2180" t="inlineStr">
        <is>
          <t>09</t>
        </is>
      </c>
      <c r="H2180" t="inlineStr">
        <is>
          <t>20 LBS</t>
        </is>
      </c>
      <c r="I2180" t="n">
        <v>2027</v>
      </c>
      <c r="J2180" t="n">
        <v>2012</v>
      </c>
      <c r="K2180" t="inlineStr">
        <is>
          <t>OCTUBRE 2024</t>
        </is>
      </c>
      <c r="L2180" t="inlineStr">
        <is>
          <t>OCTUBRE 2025</t>
        </is>
      </c>
      <c r="M2180" t="inlineStr">
        <is>
          <t>CO2 /TIPO BC</t>
        </is>
      </c>
      <c r="N2180" t="inlineStr">
        <is>
          <t>26/AB-961795</t>
        </is>
      </c>
      <c r="O2180" t="inlineStr">
        <is>
          <t>R</t>
        </is>
      </c>
      <c r="P2180">
        <f>TRIM(N2180)</f>
        <v/>
      </c>
    </row>
    <row r="2181">
      <c r="A2181" t="inlineStr">
        <is>
          <t>CO-002101</t>
        </is>
      </c>
      <c r="B2181" t="inlineStr">
        <is>
          <t>LINDE PERU S.R.L</t>
        </is>
      </c>
      <c r="C2181" t="inlineStr">
        <is>
          <t>20338570041</t>
        </is>
      </c>
      <c r="D2181" t="inlineStr">
        <is>
          <t>CAR.CARRET.CENTRAL KM.9.5 Z.I. ZONA INDUSTRIAL(DESVIO HUACHIPA LURIGANCHO CHOSICA) LIMA LURIGANCHO</t>
        </is>
      </c>
      <c r="E2181" t="inlineStr">
        <is>
          <t>Lima, 28 de Octubre de 2024</t>
        </is>
      </c>
      <c r="F2181" t="inlineStr">
        <is>
          <t>la Recarga y mantenimiento</t>
        </is>
      </c>
      <c r="G2181" t="n">
        <v>10</v>
      </c>
      <c r="H2181" t="inlineStr">
        <is>
          <t>20 LBS</t>
        </is>
      </c>
      <c r="I2181" t="n">
        <v>2027</v>
      </c>
      <c r="J2181" t="n">
        <v>2012</v>
      </c>
      <c r="K2181" t="inlineStr">
        <is>
          <t>OCTUBRE 2024</t>
        </is>
      </c>
      <c r="L2181" t="inlineStr">
        <is>
          <t>OCTUBRE 2025</t>
        </is>
      </c>
      <c r="M2181" t="inlineStr">
        <is>
          <t>CO2 /TIPO BC</t>
        </is>
      </c>
      <c r="N2181" t="inlineStr">
        <is>
          <t>34/AC-538135</t>
        </is>
      </c>
      <c r="O2181" t="inlineStr">
        <is>
          <t>R</t>
        </is>
      </c>
      <c r="P2181">
        <f>TRIM(N2181)</f>
        <v/>
      </c>
    </row>
    <row r="2182">
      <c r="A2182" t="inlineStr">
        <is>
          <t>CO-002102</t>
        </is>
      </c>
      <c r="B2182" t="inlineStr">
        <is>
          <t>VIRGINIA BAILON PATRICIO</t>
        </is>
      </c>
      <c r="D2182" t="inlineStr">
        <is>
          <t>JR AREQUIPA 391 - COMAS</t>
        </is>
      </c>
      <c r="E2182" t="inlineStr">
        <is>
          <t>Lima, 05 de Noviembre 2024</t>
        </is>
      </c>
      <c r="F2182" t="inlineStr">
        <is>
          <t>la Recarga y mantenimiento</t>
        </is>
      </c>
      <c r="G2182" t="inlineStr">
        <is>
          <t>01</t>
        </is>
      </c>
      <c r="H2182" t="inlineStr">
        <is>
          <t>06 KG</t>
        </is>
      </c>
      <c r="I2182" t="inlineStr">
        <is>
          <t>2029</t>
        </is>
      </c>
      <c r="J2182" t="n">
        <v>2019</v>
      </c>
      <c r="K2182" t="inlineStr">
        <is>
          <t>NOVIEMBRE 2024</t>
        </is>
      </c>
      <c r="L2182" t="inlineStr">
        <is>
          <t>NOVIEMBRE 2025</t>
        </is>
      </c>
      <c r="M2182" t="inlineStr">
        <is>
          <t>P.Q.S TIPO ABC</t>
        </is>
      </c>
      <c r="N2182" t="inlineStr">
        <is>
          <t>01/000167</t>
        </is>
      </c>
      <c r="O2182" t="inlineStr">
        <is>
          <t>R</t>
        </is>
      </c>
      <c r="P2182">
        <f>TRIM(N2182)</f>
        <v/>
      </c>
    </row>
    <row r="2183">
      <c r="A2183" t="inlineStr">
        <is>
          <t>CO-002103</t>
        </is>
      </c>
      <c r="B2183" t="inlineStr">
        <is>
          <t xml:space="preserve">LABORATORIO ARC HOLDING SAC </t>
        </is>
      </c>
      <c r="C2183" t="inlineStr">
        <is>
          <t>20612452319</t>
        </is>
      </c>
      <c r="D2183" t="inlineStr">
        <is>
          <t xml:space="preserve">CAL. LOS CIPRECES MZ I LT 39 A -ENSENADA  PUENTE PIEDRA </t>
        </is>
      </c>
      <c r="E2183" t="inlineStr">
        <is>
          <t>Lima, 06 de Noviembre 2025</t>
        </is>
      </c>
      <c r="F2183" t="inlineStr">
        <is>
          <t xml:space="preserve">VENTA </t>
        </is>
      </c>
      <c r="G2183" t="inlineStr">
        <is>
          <t>01</t>
        </is>
      </c>
      <c r="H2183" t="inlineStr">
        <is>
          <t xml:space="preserve">06 KG </t>
        </is>
      </c>
      <c r="I2183" t="inlineStr">
        <is>
          <t>2029</t>
        </is>
      </c>
      <c r="J2183" t="n">
        <v>2024</v>
      </c>
      <c r="K2183" t="inlineStr">
        <is>
          <t>NOVIEMBRE 2024</t>
        </is>
      </c>
      <c r="L2183" t="inlineStr">
        <is>
          <t>NOVIEMBRE 2025</t>
        </is>
      </c>
      <c r="M2183" t="inlineStr">
        <is>
          <t>P.Q.S TIPO ABC</t>
        </is>
      </c>
      <c r="N2183" t="inlineStr">
        <is>
          <t>000860</t>
        </is>
      </c>
      <c r="O2183" t="inlineStr">
        <is>
          <t xml:space="preserve">V </t>
        </is>
      </c>
      <c r="P2183">
        <f>TRIM(N2183)</f>
        <v/>
      </c>
    </row>
    <row r="2184">
      <c r="A2184" t="inlineStr">
        <is>
          <t>CO-002104</t>
        </is>
      </c>
      <c r="B2184" t="inlineStr">
        <is>
          <t>EDEN STORE SAC.</t>
        </is>
      </c>
      <c r="C2184" t="inlineStr">
        <is>
          <t>20610373926</t>
        </is>
      </c>
      <c r="D2184" t="inlineStr">
        <is>
          <t>AV. TEJADA N° 470 URB. SAN LUIS - BARRANCO</t>
        </is>
      </c>
      <c r="E2184" t="inlineStr">
        <is>
          <t>Lima, 07 de Noviembre 2025</t>
        </is>
      </c>
      <c r="F2184" t="inlineStr">
        <is>
          <t>la Recarga y mantenimiento</t>
        </is>
      </c>
      <c r="G2184" t="inlineStr">
        <is>
          <t>01</t>
        </is>
      </c>
      <c r="H2184" t="inlineStr">
        <is>
          <t>06 KG</t>
        </is>
      </c>
      <c r="I2184" t="inlineStr">
        <is>
          <t>2028</t>
        </is>
      </c>
      <c r="J2184" t="n">
        <v>2023</v>
      </c>
      <c r="K2184" t="inlineStr">
        <is>
          <t>NOVIEMBRE 2024</t>
        </is>
      </c>
      <c r="L2184" t="inlineStr">
        <is>
          <t>NOVIEMBRE 2025</t>
        </is>
      </c>
      <c r="M2184" t="inlineStr">
        <is>
          <t>P.Q.S TIPO ABC</t>
        </is>
      </c>
      <c r="N2184" t="inlineStr">
        <is>
          <t>01/003360</t>
        </is>
      </c>
      <c r="O2184" t="inlineStr">
        <is>
          <t>R</t>
        </is>
      </c>
      <c r="P2184">
        <f>TRIM(N2184)</f>
        <v/>
      </c>
    </row>
    <row r="2185">
      <c r="A2185" t="inlineStr">
        <is>
          <t>CO-002104</t>
        </is>
      </c>
      <c r="B2185" t="inlineStr">
        <is>
          <t>EDEN STORE SAC.</t>
        </is>
      </c>
      <c r="C2185" t="inlineStr">
        <is>
          <t>20610373926</t>
        </is>
      </c>
      <c r="D2185" t="inlineStr">
        <is>
          <t>AV. TEJADA N° 470 URB. SAN LUIS - BARRANCO</t>
        </is>
      </c>
      <c r="E2185" t="inlineStr">
        <is>
          <t>Lima, 07 de Noviembre 2025</t>
        </is>
      </c>
      <c r="F2185" t="inlineStr">
        <is>
          <t>la Recarga y mantenimiento</t>
        </is>
      </c>
      <c r="G2185" t="inlineStr">
        <is>
          <t>02</t>
        </is>
      </c>
      <c r="H2185" t="inlineStr">
        <is>
          <t>06 KG</t>
        </is>
      </c>
      <c r="I2185" t="inlineStr">
        <is>
          <t>2028</t>
        </is>
      </c>
      <c r="J2185" t="n">
        <v>2023</v>
      </c>
      <c r="K2185" t="inlineStr">
        <is>
          <t>NOVIEMBRE 2024</t>
        </is>
      </c>
      <c r="L2185" t="inlineStr">
        <is>
          <t>NOVIEMBRE 2025</t>
        </is>
      </c>
      <c r="M2185" t="inlineStr">
        <is>
          <t>P.Q.S TIPO ABC</t>
        </is>
      </c>
      <c r="N2185" t="inlineStr">
        <is>
          <t>02/100738</t>
        </is>
      </c>
      <c r="O2185" t="inlineStr">
        <is>
          <t>R</t>
        </is>
      </c>
      <c r="P2185">
        <f>TRIM(N2185)</f>
        <v/>
      </c>
    </row>
    <row r="2186">
      <c r="A2186" t="inlineStr">
        <is>
          <t>CO-002105</t>
        </is>
      </c>
      <c r="B2186" t="inlineStr">
        <is>
          <t>CLINICA DENTAL MIODENT</t>
        </is>
      </c>
      <c r="C2186" t="inlineStr">
        <is>
          <t>20609716143</t>
        </is>
      </c>
      <c r="D2186" t="inlineStr">
        <is>
          <t>AV. TUPAC AMARU N°4886 - COMAS</t>
        </is>
      </c>
      <c r="E2186" t="inlineStr">
        <is>
          <t>Lima, 09 de Noviembre de 2024</t>
        </is>
      </c>
      <c r="F2186" t="inlineStr">
        <is>
          <t>la Recarga y mantenimiento</t>
        </is>
      </c>
      <c r="G2186" t="inlineStr">
        <is>
          <t>01</t>
        </is>
      </c>
      <c r="H2186" t="inlineStr">
        <is>
          <t>06 KG</t>
        </is>
      </c>
      <c r="I2186" t="inlineStr">
        <is>
          <t>2027</t>
        </is>
      </c>
      <c r="J2186" t="n">
        <v>2022</v>
      </c>
      <c r="K2186" t="inlineStr">
        <is>
          <t>NOVIEMBRE 2024</t>
        </is>
      </c>
      <c r="L2186" t="inlineStr">
        <is>
          <t>NOVIEMBRE 2025</t>
        </is>
      </c>
      <c r="M2186" t="inlineStr">
        <is>
          <t>P.Q.S TIPO ABC</t>
        </is>
      </c>
      <c r="N2186" t="inlineStr">
        <is>
          <t>153603</t>
        </is>
      </c>
      <c r="O2186" t="inlineStr">
        <is>
          <t>R</t>
        </is>
      </c>
      <c r="P2186">
        <f>TRIM(N2186)</f>
        <v/>
      </c>
    </row>
    <row r="2187">
      <c r="A2187" t="inlineStr">
        <is>
          <t>CO-002106</t>
        </is>
      </c>
      <c r="B2187" t="inlineStr">
        <is>
          <t>CHIFA ARIANA De: GEINER CUBAS FERNANDEZ</t>
        </is>
      </c>
      <c r="D2187" t="inlineStr">
        <is>
          <t>AV. LOS INCAS MZ. J LT.12  SAN BAUTISTA - COMAS</t>
        </is>
      </c>
      <c r="E2187" t="inlineStr">
        <is>
          <t>Lima, 09 de Noviembre de 2024</t>
        </is>
      </c>
      <c r="F2187" t="inlineStr">
        <is>
          <t>la Recarga y mantenimiento</t>
        </is>
      </c>
      <c r="G2187" t="inlineStr">
        <is>
          <t>01</t>
        </is>
      </c>
      <c r="H2187" t="inlineStr">
        <is>
          <t>06 KG</t>
        </is>
      </c>
      <c r="I2187" t="inlineStr">
        <is>
          <t>2026</t>
        </is>
      </c>
      <c r="J2187" t="n">
        <v>2011</v>
      </c>
      <c r="K2187" t="inlineStr">
        <is>
          <t>NOVIEMBRE 2024</t>
        </is>
      </c>
      <c r="L2187" t="inlineStr">
        <is>
          <t>NOVIEMBRE 2025</t>
        </is>
      </c>
      <c r="M2187" t="inlineStr">
        <is>
          <t>P.Q.S TIPO ABC</t>
        </is>
      </c>
      <c r="N2187" t="inlineStr">
        <is>
          <t>01/000189</t>
        </is>
      </c>
      <c r="O2187" t="inlineStr">
        <is>
          <t>R</t>
        </is>
      </c>
      <c r="P2187">
        <f>TRIM(N2187)</f>
        <v/>
      </c>
    </row>
    <row r="2188">
      <c r="A2188" t="inlineStr">
        <is>
          <t>CO-002107</t>
        </is>
      </c>
      <c r="B2188" t="inlineStr">
        <is>
          <t xml:space="preserve">JOSE MELCHOR SANCHEZ HUAMAN </t>
        </is>
      </c>
      <c r="C2188" t="inlineStr">
        <is>
          <t>41204120</t>
        </is>
      </c>
      <c r="D2188" t="inlineStr">
        <is>
          <t>JR. MARTE N°107 AÑO NUEVO - COMAS</t>
        </is>
      </c>
      <c r="E2188" t="inlineStr">
        <is>
          <t>Lima, 09 de Noviembre de 2024</t>
        </is>
      </c>
      <c r="F2188" t="inlineStr">
        <is>
          <t>la Recarga y mantenimiento</t>
        </is>
      </c>
      <c r="G2188" t="inlineStr">
        <is>
          <t>01</t>
        </is>
      </c>
      <c r="H2188" t="inlineStr">
        <is>
          <t>06 KG</t>
        </is>
      </c>
      <c r="I2188" t="inlineStr">
        <is>
          <t>2027</t>
        </is>
      </c>
      <c r="J2188" t="n">
        <v>2022</v>
      </c>
      <c r="K2188" t="inlineStr">
        <is>
          <t>NOVIEMBRE 2024</t>
        </is>
      </c>
      <c r="L2188" t="inlineStr">
        <is>
          <t>NOVIEMBRE 2025</t>
        </is>
      </c>
      <c r="M2188" t="inlineStr">
        <is>
          <t>P.Q.S TIPO ABC</t>
        </is>
      </c>
      <c r="N2188" t="inlineStr">
        <is>
          <t>02/001379</t>
        </is>
      </c>
      <c r="O2188" t="inlineStr">
        <is>
          <t>R</t>
        </is>
      </c>
      <c r="P2188">
        <f>TRIM(N2188)</f>
        <v/>
      </c>
    </row>
    <row r="2189">
      <c r="A2189" t="inlineStr">
        <is>
          <t>CO-002107</t>
        </is>
      </c>
      <c r="B2189" t="inlineStr">
        <is>
          <t xml:space="preserve">JOSE MELCHOR SANCHEZ HUAMAN </t>
        </is>
      </c>
      <c r="C2189" t="inlineStr">
        <is>
          <t>41204120</t>
        </is>
      </c>
      <c r="D2189" t="inlineStr">
        <is>
          <t>JR. MARTE N°107 AÑO NUEVO - COMAS</t>
        </is>
      </c>
      <c r="E2189" t="inlineStr">
        <is>
          <t>Lima, 09 de Noviembre de 2024</t>
        </is>
      </c>
      <c r="F2189" t="inlineStr">
        <is>
          <t>la Recarga y mantenimiento</t>
        </is>
      </c>
      <c r="G2189" t="inlineStr">
        <is>
          <t>02</t>
        </is>
      </c>
      <c r="H2189" t="inlineStr">
        <is>
          <t>06 KG</t>
        </is>
      </c>
      <c r="I2189" t="inlineStr">
        <is>
          <t>2027</t>
        </is>
      </c>
      <c r="J2189" t="n">
        <v>2022</v>
      </c>
      <c r="K2189" t="inlineStr">
        <is>
          <t>NOVIEMBRE 2024</t>
        </is>
      </c>
      <c r="L2189" t="inlineStr">
        <is>
          <t>NOVIEMBRE 2025</t>
        </is>
      </c>
      <c r="M2189" t="inlineStr">
        <is>
          <t>P.Q.S TIPO ABC</t>
        </is>
      </c>
      <c r="N2189" t="inlineStr">
        <is>
          <t>03/001344</t>
        </is>
      </c>
      <c r="O2189" t="inlineStr">
        <is>
          <t>R</t>
        </is>
      </c>
      <c r="P2189">
        <f>TRIM(N2189)</f>
        <v/>
      </c>
    </row>
    <row r="2190">
      <c r="A2190" t="inlineStr">
        <is>
          <t>CO-002107</t>
        </is>
      </c>
      <c r="B2190" t="inlineStr">
        <is>
          <t xml:space="preserve">JOSE MELCHOR SANCHEZ HUAMAN </t>
        </is>
      </c>
      <c r="C2190" t="inlineStr">
        <is>
          <t>41204120</t>
        </is>
      </c>
      <c r="D2190" t="inlineStr">
        <is>
          <t>JR. MARTE N°107 AÑO NUEVO - COMAS</t>
        </is>
      </c>
      <c r="E2190" t="inlineStr">
        <is>
          <t>Lima, 09 de Noviembre de 2024</t>
        </is>
      </c>
      <c r="F2190" t="inlineStr">
        <is>
          <t>la Recarga y mantenimiento</t>
        </is>
      </c>
      <c r="G2190" t="inlineStr">
        <is>
          <t>03</t>
        </is>
      </c>
      <c r="H2190" t="inlineStr">
        <is>
          <t>06 KG</t>
        </is>
      </c>
      <c r="I2190" t="n">
        <v>2027</v>
      </c>
      <c r="J2190" t="n">
        <v>2022</v>
      </c>
      <c r="K2190" t="inlineStr">
        <is>
          <t>NOVIEMBRE 2024</t>
        </is>
      </c>
      <c r="L2190" t="inlineStr">
        <is>
          <t>NOVIEMBRE 2025</t>
        </is>
      </c>
      <c r="M2190" t="inlineStr">
        <is>
          <t>P.Q.S TIPO ABC</t>
        </is>
      </c>
      <c r="N2190" t="inlineStr">
        <is>
          <t>04/002674</t>
        </is>
      </c>
      <c r="O2190" t="inlineStr">
        <is>
          <t>R</t>
        </is>
      </c>
      <c r="P2190">
        <f>TRIM(N2190)</f>
        <v/>
      </c>
    </row>
    <row r="2191">
      <c r="A2191" t="inlineStr">
        <is>
          <t>CO-002107</t>
        </is>
      </c>
      <c r="B2191" t="inlineStr">
        <is>
          <t xml:space="preserve">JOSE MELCHOR SANCHEZ HUAMAN </t>
        </is>
      </c>
      <c r="C2191" t="inlineStr">
        <is>
          <t>41204120</t>
        </is>
      </c>
      <c r="D2191" t="inlineStr">
        <is>
          <t>JR. MARTE N°107 AÑO NUEVO - COMAS</t>
        </is>
      </c>
      <c r="E2191" t="inlineStr">
        <is>
          <t>Lima, 09 de Noviembre de 2024</t>
        </is>
      </c>
      <c r="F2191" t="inlineStr">
        <is>
          <t>la Recarga y mantenimiento</t>
        </is>
      </c>
      <c r="G2191" t="inlineStr">
        <is>
          <t>04</t>
        </is>
      </c>
      <c r="H2191" t="inlineStr">
        <is>
          <t>06 KG</t>
        </is>
      </c>
      <c r="I2191" t="n">
        <v>2027</v>
      </c>
      <c r="J2191" t="n">
        <v>2022</v>
      </c>
      <c r="K2191" t="inlineStr">
        <is>
          <t>NOVIEMBRE 2024</t>
        </is>
      </c>
      <c r="L2191" t="inlineStr">
        <is>
          <t>NOVIEMBRE 2025</t>
        </is>
      </c>
      <c r="M2191" t="inlineStr">
        <is>
          <t xml:space="preserve">P.Q.S TIPO ABC </t>
        </is>
      </c>
      <c r="N2191" t="inlineStr">
        <is>
          <t>05/501365</t>
        </is>
      </c>
      <c r="O2191" t="inlineStr">
        <is>
          <t>R</t>
        </is>
      </c>
      <c r="P2191">
        <f>TRIM(N2191)</f>
        <v/>
      </c>
    </row>
    <row r="2192">
      <c r="A2192" t="inlineStr">
        <is>
          <t>CO-002107</t>
        </is>
      </c>
      <c r="B2192" t="inlineStr">
        <is>
          <t xml:space="preserve">JOSE MELCHOR SANCHEZ HUAMAN </t>
        </is>
      </c>
      <c r="C2192" t="inlineStr">
        <is>
          <t>41204120</t>
        </is>
      </c>
      <c r="D2192" t="inlineStr">
        <is>
          <t>JR. MARTE N°107 AÑO NUEVO - COMAS</t>
        </is>
      </c>
      <c r="E2192" t="inlineStr">
        <is>
          <t>Lima, 09 de Noviembre de 2024</t>
        </is>
      </c>
      <c r="F2192" t="inlineStr">
        <is>
          <t>la Recarga y mantenimiento</t>
        </is>
      </c>
      <c r="G2192" t="inlineStr">
        <is>
          <t>05</t>
        </is>
      </c>
      <c r="H2192" t="inlineStr">
        <is>
          <t>06 KG</t>
        </is>
      </c>
      <c r="I2192" t="n">
        <v>2027</v>
      </c>
      <c r="J2192" t="n">
        <v>2022</v>
      </c>
      <c r="K2192" t="inlineStr">
        <is>
          <t>NOVIEMBRE 2024</t>
        </is>
      </c>
      <c r="L2192" t="inlineStr">
        <is>
          <t>NOVIEMBRE 2025</t>
        </is>
      </c>
      <c r="M2192" t="inlineStr">
        <is>
          <t>P.Q.S TIPO ABC</t>
        </is>
      </c>
      <c r="N2192" t="inlineStr">
        <is>
          <t>06/501345</t>
        </is>
      </c>
      <c r="O2192" t="inlineStr">
        <is>
          <t>R</t>
        </is>
      </c>
      <c r="P2192">
        <f>TRIM(N2192)</f>
        <v/>
      </c>
    </row>
    <row r="2193">
      <c r="A2193" t="inlineStr">
        <is>
          <t>CO-002108</t>
        </is>
      </c>
      <c r="B2193" t="inlineStr">
        <is>
          <t>PERU MASIVO S.A</t>
        </is>
      </c>
      <c r="C2193" t="inlineStr">
        <is>
          <t>20492392031</t>
        </is>
      </c>
      <c r="D2193" t="inlineStr">
        <is>
          <t>AV. LOS INCAS CDRA. 4 PATIO NORTE - COMAS</t>
        </is>
      </c>
      <c r="E2193" t="inlineStr">
        <is>
          <t>Lima, 09 de Noviembre de 2024</t>
        </is>
      </c>
      <c r="F2193" t="inlineStr">
        <is>
          <t>la Recarga y mantenimiento</t>
        </is>
      </c>
      <c r="G2193" t="inlineStr">
        <is>
          <t>01</t>
        </is>
      </c>
      <c r="H2193" t="inlineStr">
        <is>
          <t>06 KG</t>
        </is>
      </c>
      <c r="I2193" t="inlineStr">
        <is>
          <t>2028</t>
        </is>
      </c>
      <c r="J2193" t="n">
        <v>2011</v>
      </c>
      <c r="K2193" t="inlineStr">
        <is>
          <t>NOVIEMBRE 2024</t>
        </is>
      </c>
      <c r="L2193" t="inlineStr">
        <is>
          <t>NOVIEMBRE 2025</t>
        </is>
      </c>
      <c r="M2193" t="inlineStr">
        <is>
          <t>P.Q.S TIPO ABC AL 90 % NACIONAL</t>
        </is>
      </c>
      <c r="N2193" t="inlineStr">
        <is>
          <t>279/ 001422</t>
        </is>
      </c>
      <c r="O2193" t="inlineStr">
        <is>
          <t>R</t>
        </is>
      </c>
      <c r="P2193">
        <f>TRIM(N2193)</f>
        <v/>
      </c>
    </row>
    <row r="2194">
      <c r="A2194" t="inlineStr">
        <is>
          <t>CO-002108</t>
        </is>
      </c>
      <c r="B2194" t="inlineStr">
        <is>
          <t>PERU MASIVO S.A</t>
        </is>
      </c>
      <c r="C2194" t="inlineStr">
        <is>
          <t>20492392031</t>
        </is>
      </c>
      <c r="D2194" t="inlineStr">
        <is>
          <t>AV. LOS INCAS CDRA. 4 PATIO NORTE - COMAS</t>
        </is>
      </c>
      <c r="E2194" t="inlineStr">
        <is>
          <t>Lima, 09 de Noviembre de 2024</t>
        </is>
      </c>
      <c r="F2194" t="inlineStr">
        <is>
          <t>la Recarga y mantenimiento</t>
        </is>
      </c>
      <c r="G2194" t="inlineStr">
        <is>
          <t>02</t>
        </is>
      </c>
      <c r="H2194" t="inlineStr">
        <is>
          <t>06 KG</t>
        </is>
      </c>
      <c r="I2194" t="inlineStr">
        <is>
          <t>2028</t>
        </is>
      </c>
      <c r="J2194" t="n">
        <v>2014</v>
      </c>
      <c r="K2194" t="inlineStr">
        <is>
          <t>NOVIEMBRE 2024</t>
        </is>
      </c>
      <c r="L2194" t="inlineStr">
        <is>
          <t>NOVIEMBRE 2025</t>
        </is>
      </c>
      <c r="M2194" t="inlineStr">
        <is>
          <t>P.Q.S TIPO ABC AL 90 % NACIONAL</t>
        </is>
      </c>
      <c r="N2194" t="inlineStr">
        <is>
          <t>S/N / 001249</t>
        </is>
      </c>
      <c r="O2194" t="inlineStr">
        <is>
          <t>R</t>
        </is>
      </c>
      <c r="P2194">
        <f>TRIM(N2194)</f>
        <v/>
      </c>
    </row>
    <row r="2195">
      <c r="A2195" t="inlineStr">
        <is>
          <t>CO-002108</t>
        </is>
      </c>
      <c r="B2195" t="inlineStr">
        <is>
          <t>PERU MASIVO S.A</t>
        </is>
      </c>
      <c r="C2195" t="inlineStr">
        <is>
          <t>20492392031</t>
        </is>
      </c>
      <c r="D2195" t="inlineStr">
        <is>
          <t>AV. LOS INCAS CDRA. 4 PATIO NORTE - COMAS</t>
        </is>
      </c>
      <c r="E2195" t="inlineStr">
        <is>
          <t>Lima, 09 de Noviembre de 2024</t>
        </is>
      </c>
      <c r="F2195" t="inlineStr">
        <is>
          <t>la Recarga y mantenimiento</t>
        </is>
      </c>
      <c r="G2195" t="inlineStr">
        <is>
          <t>03</t>
        </is>
      </c>
      <c r="H2195" t="inlineStr">
        <is>
          <t>06KG</t>
        </is>
      </c>
      <c r="I2195" t="n">
        <v>2028</v>
      </c>
      <c r="J2195" t="n">
        <v>2017</v>
      </c>
      <c r="K2195" t="inlineStr">
        <is>
          <t>NOVIEMBRE 2024</t>
        </is>
      </c>
      <c r="L2195" t="inlineStr">
        <is>
          <t>NOVIEMBRE 2025</t>
        </is>
      </c>
      <c r="M2195" t="inlineStr">
        <is>
          <t>P.Q.S TIPO ABC AL 90 % NACIONAL</t>
        </is>
      </c>
      <c r="N2195" t="inlineStr">
        <is>
          <t>S/N / 003136</t>
        </is>
      </c>
      <c r="O2195" t="inlineStr">
        <is>
          <t>R</t>
        </is>
      </c>
      <c r="P2195">
        <f>TRIM(N2195)</f>
        <v/>
      </c>
    </row>
    <row r="2196">
      <c r="A2196" t="inlineStr">
        <is>
          <t>CO-002108</t>
        </is>
      </c>
      <c r="B2196" t="inlineStr">
        <is>
          <t>PERU MASIVO S.A</t>
        </is>
      </c>
      <c r="C2196" t="inlineStr">
        <is>
          <t>20492392031</t>
        </is>
      </c>
      <c r="D2196" t="inlineStr">
        <is>
          <t>AV. LOS INCAS CDRA. 4 PATIO NORTE - COMAS</t>
        </is>
      </c>
      <c r="E2196" t="inlineStr">
        <is>
          <t>Lima, 09 de Noviembre de 2024</t>
        </is>
      </c>
      <c r="F2196" t="inlineStr">
        <is>
          <t>la Recarga y mantenimiento</t>
        </is>
      </c>
      <c r="G2196" t="inlineStr">
        <is>
          <t>04</t>
        </is>
      </c>
      <c r="H2196" t="inlineStr">
        <is>
          <t>06KG</t>
        </is>
      </c>
      <c r="I2196" t="n">
        <v>2028</v>
      </c>
      <c r="J2196" t="n">
        <v>2009</v>
      </c>
      <c r="K2196" t="inlineStr">
        <is>
          <t>NOVIEMBRE 2024</t>
        </is>
      </c>
      <c r="L2196" t="inlineStr">
        <is>
          <t>NOVIEMBRE 2025</t>
        </is>
      </c>
      <c r="M2196" t="inlineStr">
        <is>
          <t>P.Q.S TIPO ABC AL 90 % NACIONAL</t>
        </is>
      </c>
      <c r="N2196" t="inlineStr">
        <is>
          <t>S/N / 001415</t>
        </is>
      </c>
      <c r="O2196" t="inlineStr">
        <is>
          <t>R</t>
        </is>
      </c>
      <c r="P2196">
        <f>TRIM(N2196)</f>
        <v/>
      </c>
    </row>
    <row r="2197">
      <c r="A2197" t="inlineStr">
        <is>
          <t>CO-002108</t>
        </is>
      </c>
      <c r="B2197" t="inlineStr">
        <is>
          <t>PERU MASIVO S.A</t>
        </is>
      </c>
      <c r="C2197" t="inlineStr">
        <is>
          <t>20492392031</t>
        </is>
      </c>
      <c r="D2197" t="inlineStr">
        <is>
          <t>AV. LOS INCAS CDRA. 4 PATIO NORTE - COMAS</t>
        </is>
      </c>
      <c r="E2197" t="inlineStr">
        <is>
          <t>Lima, 09 de Noviembre de 2024</t>
        </is>
      </c>
      <c r="F2197" t="inlineStr">
        <is>
          <t>la Recarga y mantenimiento</t>
        </is>
      </c>
      <c r="G2197" t="inlineStr">
        <is>
          <t>05</t>
        </is>
      </c>
      <c r="H2197" t="inlineStr">
        <is>
          <t>06 KG</t>
        </is>
      </c>
      <c r="I2197" t="n">
        <v>2028</v>
      </c>
      <c r="J2197" t="n">
        <v>2009</v>
      </c>
      <c r="K2197" t="inlineStr">
        <is>
          <t>NOVIEMBRE 2024</t>
        </is>
      </c>
      <c r="L2197" t="inlineStr">
        <is>
          <t>NOVIEMBRE 2025</t>
        </is>
      </c>
      <c r="M2197" t="inlineStr">
        <is>
          <t>P.Q.S TIPO ABC AL 90 % NACIONAL</t>
        </is>
      </c>
      <c r="N2197" t="inlineStr">
        <is>
          <t>52/ 000349</t>
        </is>
      </c>
      <c r="O2197" t="inlineStr">
        <is>
          <t>R</t>
        </is>
      </c>
      <c r="P2197">
        <f>TRIM(N2197)</f>
        <v/>
      </c>
    </row>
    <row r="2198">
      <c r="A2198" t="inlineStr">
        <is>
          <t>CO-002108</t>
        </is>
      </c>
      <c r="B2198" t="inlineStr">
        <is>
          <t>PERU MASIVO S.A</t>
        </is>
      </c>
      <c r="C2198" t="inlineStr">
        <is>
          <t>20492392031</t>
        </is>
      </c>
      <c r="D2198" t="inlineStr">
        <is>
          <t>AV. LOS INCAS CDRA. 4 PATIO NORTE - COMAS</t>
        </is>
      </c>
      <c r="E2198" t="inlineStr">
        <is>
          <t>Lima, 09 de Noviembre de 2024</t>
        </is>
      </c>
      <c r="F2198" t="inlineStr">
        <is>
          <t>la Recarga y mantenimiento</t>
        </is>
      </c>
      <c r="G2198" t="inlineStr">
        <is>
          <t>06</t>
        </is>
      </c>
      <c r="H2198" t="inlineStr">
        <is>
          <t>06 KG</t>
        </is>
      </c>
      <c r="I2198" t="n">
        <v>2028</v>
      </c>
      <c r="J2198" t="n">
        <v>2010</v>
      </c>
      <c r="K2198" t="inlineStr">
        <is>
          <t>NOVIEMBRE 2024</t>
        </is>
      </c>
      <c r="L2198" t="inlineStr">
        <is>
          <t>NOVIEMBRE 2025</t>
        </is>
      </c>
      <c r="M2198" t="inlineStr">
        <is>
          <t>P.Q.S TIPO ABC AL 90 % NACIONAL</t>
        </is>
      </c>
      <c r="N2198" t="inlineStr">
        <is>
          <t>28/ 000005</t>
        </is>
      </c>
      <c r="O2198" t="inlineStr">
        <is>
          <t>R</t>
        </is>
      </c>
      <c r="P2198">
        <f>TRIM(N2198)</f>
        <v/>
      </c>
    </row>
    <row r="2199">
      <c r="A2199" t="inlineStr">
        <is>
          <t>CO-002108</t>
        </is>
      </c>
      <c r="B2199" t="inlineStr">
        <is>
          <t>PERU MASIVO S.A</t>
        </is>
      </c>
      <c r="C2199" t="inlineStr">
        <is>
          <t>20492392031</t>
        </is>
      </c>
      <c r="D2199" t="inlineStr">
        <is>
          <t>AV. LOS INCAS CDRA. 4 PATIO NORTE - COMAS</t>
        </is>
      </c>
      <c r="E2199" t="inlineStr">
        <is>
          <t>Lima, 09 de Noviembre de 2024</t>
        </is>
      </c>
      <c r="F2199" t="inlineStr">
        <is>
          <t>la Recarga y mantenimiento</t>
        </is>
      </c>
      <c r="G2199" t="inlineStr">
        <is>
          <t>07</t>
        </is>
      </c>
      <c r="H2199" t="inlineStr">
        <is>
          <t>06 KG</t>
        </is>
      </c>
      <c r="I2199" t="n">
        <v>2028</v>
      </c>
      <c r="J2199" t="n">
        <v>2010</v>
      </c>
      <c r="K2199" t="inlineStr">
        <is>
          <t>NOVIEMBRE 2024</t>
        </is>
      </c>
      <c r="L2199" t="inlineStr">
        <is>
          <t>NOVIEMBRE 2025</t>
        </is>
      </c>
      <c r="M2199" t="inlineStr">
        <is>
          <t>P.Q.S TIPO ABC AL 90 % NACIONAL</t>
        </is>
      </c>
      <c r="N2199" t="inlineStr">
        <is>
          <t>S/N / 000005</t>
        </is>
      </c>
      <c r="O2199" t="inlineStr">
        <is>
          <t>R</t>
        </is>
      </c>
      <c r="P2199">
        <f>TRIM(N2199)</f>
        <v/>
      </c>
    </row>
    <row r="2200">
      <c r="A2200" t="inlineStr">
        <is>
          <t>CO-002108</t>
        </is>
      </c>
      <c r="B2200" t="inlineStr">
        <is>
          <t>PERU MASIVO S.A</t>
        </is>
      </c>
      <c r="C2200" t="inlineStr">
        <is>
          <t>20492392031</t>
        </is>
      </c>
      <c r="D2200" t="inlineStr">
        <is>
          <t>AV. LOS INCAS CDRA. 4 PATIO NORTE - COMAS</t>
        </is>
      </c>
      <c r="E2200" t="inlineStr">
        <is>
          <t>Lima, 09 de Noviembre de 2024</t>
        </is>
      </c>
      <c r="F2200" t="inlineStr">
        <is>
          <t>la Recarga y mantenimiento</t>
        </is>
      </c>
      <c r="G2200" t="inlineStr">
        <is>
          <t>08</t>
        </is>
      </c>
      <c r="H2200" t="inlineStr">
        <is>
          <t>06 KG</t>
        </is>
      </c>
      <c r="I2200" t="n">
        <v>2028</v>
      </c>
      <c r="J2200" t="n">
        <v>2017</v>
      </c>
      <c r="K2200" t="inlineStr">
        <is>
          <t>NOVIEMBRE 2024</t>
        </is>
      </c>
      <c r="L2200" t="inlineStr">
        <is>
          <t>NOVIEMBRE 2025</t>
        </is>
      </c>
      <c r="M2200" t="inlineStr">
        <is>
          <t>P.Q.S TIPO ABC AL 90 % NACIONAL</t>
        </is>
      </c>
      <c r="N2200" t="inlineStr">
        <is>
          <t>S/N / 003666</t>
        </is>
      </c>
      <c r="O2200" t="inlineStr">
        <is>
          <t>R</t>
        </is>
      </c>
      <c r="P2200">
        <f>TRIM(N2200)</f>
        <v/>
      </c>
    </row>
    <row r="2201">
      <c r="A2201" t="inlineStr">
        <is>
          <t>CO-002108</t>
        </is>
      </c>
      <c r="B2201" t="inlineStr">
        <is>
          <t>PERU MASIVO S.A</t>
        </is>
      </c>
      <c r="C2201" t="inlineStr">
        <is>
          <t>20492392031</t>
        </is>
      </c>
      <c r="D2201" t="inlineStr">
        <is>
          <t>AV. LOS INCAS CDRA. 4 PATIO NORTE - COMAS</t>
        </is>
      </c>
      <c r="E2201" t="inlineStr">
        <is>
          <t>Lima, 09 de Noviembre de 2024</t>
        </is>
      </c>
      <c r="F2201" t="inlineStr">
        <is>
          <t>la Recarga y mantenimiento</t>
        </is>
      </c>
      <c r="G2201" t="inlineStr">
        <is>
          <t>09</t>
        </is>
      </c>
      <c r="H2201" t="inlineStr">
        <is>
          <t>06 KG</t>
        </is>
      </c>
      <c r="I2201" t="n">
        <v>2028</v>
      </c>
      <c r="J2201" t="n">
        <v>2009</v>
      </c>
      <c r="K2201" t="inlineStr">
        <is>
          <t>NOVIEMBRE 2024</t>
        </is>
      </c>
      <c r="L2201" t="inlineStr">
        <is>
          <t>NOVIEMBRE 2025</t>
        </is>
      </c>
      <c r="M2201" t="inlineStr">
        <is>
          <t>P.Q.S TIPO ABC AL 90 % NACIONAL</t>
        </is>
      </c>
      <c r="N2201" t="inlineStr">
        <is>
          <t>06/ 000979</t>
        </is>
      </c>
      <c r="O2201" t="inlineStr">
        <is>
          <t>R</t>
        </is>
      </c>
      <c r="P2201">
        <f>TRIM(N2201)</f>
        <v/>
      </c>
    </row>
    <row r="2202">
      <c r="A2202" t="inlineStr">
        <is>
          <t>CO-002108</t>
        </is>
      </c>
      <c r="B2202" t="inlineStr">
        <is>
          <t>PERU MASIVO S.A</t>
        </is>
      </c>
      <c r="C2202" t="inlineStr">
        <is>
          <t>20492392031</t>
        </is>
      </c>
      <c r="D2202" t="inlineStr">
        <is>
          <t>AV. LOS INCAS CDRA. 4 PATIO NORTE - COMAS</t>
        </is>
      </c>
      <c r="E2202" t="inlineStr">
        <is>
          <t>Lima, 09 de Noviembre de 2024</t>
        </is>
      </c>
      <c r="F2202" t="inlineStr">
        <is>
          <t>la Recarga y mantenimiento</t>
        </is>
      </c>
      <c r="G2202" t="n">
        <v>10</v>
      </c>
      <c r="H2202" t="inlineStr">
        <is>
          <t>06 KG</t>
        </is>
      </c>
      <c r="I2202" t="n">
        <v>2028</v>
      </c>
      <c r="J2202" t="n">
        <v>2009</v>
      </c>
      <c r="K2202" t="inlineStr">
        <is>
          <t>NOVIEMBRE 2024</t>
        </is>
      </c>
      <c r="L2202" t="inlineStr">
        <is>
          <t>NOVIEMBRE 2025</t>
        </is>
      </c>
      <c r="M2202" t="inlineStr">
        <is>
          <t>P.Q.S TIPO ABC AL 90 % NACIONAL</t>
        </is>
      </c>
      <c r="N2202" t="inlineStr">
        <is>
          <t>76/ 001940</t>
        </is>
      </c>
      <c r="O2202" t="inlineStr">
        <is>
          <t>R</t>
        </is>
      </c>
      <c r="P2202">
        <f>TRIM(N2202)</f>
        <v/>
      </c>
    </row>
    <row r="2203">
      <c r="A2203" t="inlineStr">
        <is>
          <t>CO-002109</t>
        </is>
      </c>
      <c r="B2203" t="inlineStr">
        <is>
          <t>ESTELA RICARDINA, AYALA FLORES</t>
        </is>
      </c>
      <c r="C2203" t="inlineStr">
        <is>
          <t>10086445820</t>
        </is>
      </c>
      <c r="D2203" t="inlineStr">
        <is>
          <t>JR. NICANOR GARCIA Y LASTRES NRO. 463 URB. INGENIERIA - SMP.</t>
        </is>
      </c>
      <c r="E2203" t="inlineStr">
        <is>
          <t>Lima, 11 de Noviembre de 2024</t>
        </is>
      </c>
      <c r="F2203" t="inlineStr">
        <is>
          <t>la venta</t>
        </is>
      </c>
      <c r="G2203" t="inlineStr">
        <is>
          <t>01</t>
        </is>
      </c>
      <c r="H2203" t="inlineStr">
        <is>
          <t>06 KG</t>
        </is>
      </c>
      <c r="I2203" t="inlineStr">
        <is>
          <t>2029</t>
        </is>
      </c>
      <c r="J2203" t="n">
        <v>2024</v>
      </c>
      <c r="K2203" t="inlineStr">
        <is>
          <t>NOVIEMBRE 2024</t>
        </is>
      </c>
      <c r="L2203" t="inlineStr">
        <is>
          <t>NOVIEMBRE 2025</t>
        </is>
      </c>
      <c r="M2203" t="inlineStr">
        <is>
          <t>P.Q.S TIPO ABC</t>
        </is>
      </c>
      <c r="N2203" t="inlineStr">
        <is>
          <t>01/008334</t>
        </is>
      </c>
      <c r="O2203" t="inlineStr">
        <is>
          <t>V</t>
        </is>
      </c>
      <c r="P2203">
        <f>TRIM(N2203)</f>
        <v/>
      </c>
    </row>
    <row r="2204">
      <c r="A2204" t="inlineStr">
        <is>
          <t>CO-002109</t>
        </is>
      </c>
      <c r="B2204" t="inlineStr">
        <is>
          <t>ESTELA RICARDINA, AYALA FLORES</t>
        </is>
      </c>
      <c r="C2204" t="inlineStr">
        <is>
          <t>10086445820</t>
        </is>
      </c>
      <c r="D2204" t="inlineStr">
        <is>
          <t>JR. NICANOR GARCIA Y LASTRES NRO. 463 URB. INGENIERIA - SMP.</t>
        </is>
      </c>
      <c r="E2204" t="inlineStr">
        <is>
          <t>Lima, 11 de Noviembre de 2024</t>
        </is>
      </c>
      <c r="F2204" t="inlineStr">
        <is>
          <t>la venta</t>
        </is>
      </c>
      <c r="G2204" t="inlineStr">
        <is>
          <t>02</t>
        </is>
      </c>
      <c r="H2204" t="inlineStr">
        <is>
          <t>06 KG</t>
        </is>
      </c>
      <c r="I2204" t="inlineStr">
        <is>
          <t>2029</t>
        </is>
      </c>
      <c r="J2204" t="n">
        <v>2024</v>
      </c>
      <c r="K2204" t="inlineStr">
        <is>
          <t>NOVIEMBRE 2024</t>
        </is>
      </c>
      <c r="L2204" t="inlineStr">
        <is>
          <t>NOVIEMBRE 2025</t>
        </is>
      </c>
      <c r="M2204" t="inlineStr">
        <is>
          <t>P.Q.S TIPO ABC</t>
        </is>
      </c>
      <c r="N2204" t="inlineStr">
        <is>
          <t>02/005848</t>
        </is>
      </c>
      <c r="O2204" t="inlineStr">
        <is>
          <t>V</t>
        </is>
      </c>
      <c r="P2204">
        <f>TRIM(N2204)</f>
        <v/>
      </c>
    </row>
    <row r="2205">
      <c r="A2205" t="inlineStr">
        <is>
          <t>CO-002110</t>
        </is>
      </c>
      <c r="B2205" t="inlineStr">
        <is>
          <t>FUNCTIONAL MEDICAL CARE SAC.</t>
        </is>
      </c>
      <c r="C2205" t="inlineStr">
        <is>
          <t>20610160744</t>
        </is>
      </c>
      <c r="D2205" t="inlineStr">
        <is>
          <t>AV. LOS INCAS N° 1049 MZ X1 LT. 16 URB. EL PINAR</t>
        </is>
      </c>
      <c r="E2205" t="inlineStr">
        <is>
          <t>Lima, 11 de Noviembre de 2024</t>
        </is>
      </c>
      <c r="F2205" t="inlineStr">
        <is>
          <t>la Recarga y mantenimiento</t>
        </is>
      </c>
      <c r="G2205" t="inlineStr">
        <is>
          <t>01</t>
        </is>
      </c>
      <c r="H2205" t="inlineStr">
        <is>
          <t>06 KG</t>
        </is>
      </c>
      <c r="I2205" t="inlineStr">
        <is>
          <t>2028</t>
        </is>
      </c>
      <c r="J2205" t="n">
        <v>2023</v>
      </c>
      <c r="K2205" t="inlineStr">
        <is>
          <t>NOVIEMBRE 2024</t>
        </is>
      </c>
      <c r="L2205" t="inlineStr">
        <is>
          <t>NOVIEMBRE 2025</t>
        </is>
      </c>
      <c r="M2205" t="inlineStr">
        <is>
          <t xml:space="preserve">P.Q.S.  TIPO ABC </t>
        </is>
      </c>
      <c r="N2205" t="inlineStr">
        <is>
          <t>01/000950</t>
        </is>
      </c>
      <c r="O2205" t="inlineStr">
        <is>
          <t>R</t>
        </is>
      </c>
      <c r="P2205">
        <f>TRIM(N2205)</f>
        <v/>
      </c>
    </row>
    <row r="2206">
      <c r="A2206" t="inlineStr">
        <is>
          <t>CO-002110</t>
        </is>
      </c>
      <c r="B2206" t="inlineStr">
        <is>
          <t>FUNCTIONAL MEDICAL CARE SAC.</t>
        </is>
      </c>
      <c r="C2206" t="inlineStr">
        <is>
          <t>20610160744</t>
        </is>
      </c>
      <c r="D2206" t="inlineStr">
        <is>
          <t>AV. LOS INCAS N° 1049 MZ X1 LT. 16 URB. EL PINAR</t>
        </is>
      </c>
      <c r="E2206" t="inlineStr">
        <is>
          <t>Lima, 11 de Noviembre de 2024</t>
        </is>
      </c>
      <c r="F2206" t="inlineStr">
        <is>
          <t>la Recarga y mantenimiento</t>
        </is>
      </c>
      <c r="G2206" t="inlineStr">
        <is>
          <t>02</t>
        </is>
      </c>
      <c r="H2206" t="inlineStr">
        <is>
          <t>06 KG</t>
        </is>
      </c>
      <c r="I2206" t="inlineStr">
        <is>
          <t>2027</t>
        </is>
      </c>
      <c r="J2206" t="n">
        <v>2022</v>
      </c>
      <c r="K2206" t="inlineStr">
        <is>
          <t>NOVIEMBRE 2024</t>
        </is>
      </c>
      <c r="L2206" t="inlineStr">
        <is>
          <t>NOVIEMBRE 2025</t>
        </is>
      </c>
      <c r="M2206" t="inlineStr">
        <is>
          <t xml:space="preserve">P.Q.S.  TIPO ABC </t>
        </is>
      </c>
      <c r="N2206" t="inlineStr">
        <is>
          <t>02/032127</t>
        </is>
      </c>
      <c r="O2206" t="inlineStr">
        <is>
          <t>R</t>
        </is>
      </c>
      <c r="P2206">
        <f>TRIM(N2206)</f>
        <v/>
      </c>
    </row>
    <row r="2207">
      <c r="A2207" t="inlineStr">
        <is>
          <t>CO-002111</t>
        </is>
      </c>
      <c r="B2207" t="inlineStr">
        <is>
          <t>ZUÑIGA SANCHEZ, GLODY</t>
        </is>
      </c>
      <c r="C2207" t="inlineStr">
        <is>
          <t>17251874824</t>
        </is>
      </c>
      <c r="D2207" t="inlineStr">
        <is>
          <t>KM. 42.5 CARRETERA LIMA CANTA - COCAYALTA - DISTRITO: SANTA ROSA DE QUIVES</t>
        </is>
      </c>
      <c r="E2207" t="inlineStr">
        <is>
          <t>Lima, 05 de Diciembre de 2024</t>
        </is>
      </c>
      <c r="F2207" t="inlineStr">
        <is>
          <t>la Recarga y mantenimiento</t>
        </is>
      </c>
      <c r="G2207" t="inlineStr">
        <is>
          <t>01</t>
        </is>
      </c>
      <c r="H2207" t="inlineStr">
        <is>
          <t>30 LBS</t>
        </is>
      </c>
      <c r="I2207" t="inlineStr">
        <is>
          <t>2026</t>
        </is>
      </c>
      <c r="J2207" t="n">
        <v>2021</v>
      </c>
      <c r="K2207" t="inlineStr">
        <is>
          <t>DICIEMBRE 2024</t>
        </is>
      </c>
      <c r="L2207" t="inlineStr">
        <is>
          <t>DICIEMBRE 2025</t>
        </is>
      </c>
      <c r="M2207" t="inlineStr">
        <is>
          <t>P.Q.S. / ABC AL 90% UL</t>
        </is>
      </c>
      <c r="N2207" t="inlineStr">
        <is>
          <t>G-39956721</t>
        </is>
      </c>
      <c r="O2207" t="inlineStr">
        <is>
          <t>M3</t>
        </is>
      </c>
      <c r="P2207">
        <f>TRIM(N2207)</f>
        <v/>
      </c>
    </row>
    <row r="2208">
      <c r="A2208" t="inlineStr">
        <is>
          <t>CO-002111</t>
        </is>
      </c>
      <c r="B2208" t="inlineStr">
        <is>
          <t>ZUÑIGA SANCHEZ, GLODY</t>
        </is>
      </c>
      <c r="C2208" t="inlineStr">
        <is>
          <t>17251874824</t>
        </is>
      </c>
      <c r="D2208" t="inlineStr">
        <is>
          <t>KM. 42.5 CARRETERA LIMA CANTA - COCAYALTA - DISTRITO: SANTA ROSA DE QUIVES</t>
        </is>
      </c>
      <c r="E2208" t="inlineStr">
        <is>
          <t>Lima, 05 de Diciembre de 2024</t>
        </is>
      </c>
      <c r="F2208" t="inlineStr">
        <is>
          <t>la Recarga y mantenimiento</t>
        </is>
      </c>
      <c r="G2208" t="inlineStr">
        <is>
          <t>02</t>
        </is>
      </c>
      <c r="H2208" t="inlineStr">
        <is>
          <t>125 LBS</t>
        </is>
      </c>
      <c r="I2208" t="inlineStr">
        <is>
          <t>2029</t>
        </is>
      </c>
      <c r="J2208" t="n">
        <v>2019</v>
      </c>
      <c r="K2208" t="inlineStr">
        <is>
          <t>DICIEMBRE 2024</t>
        </is>
      </c>
      <c r="L2208" t="inlineStr">
        <is>
          <t>DICIEMBRE 2025</t>
        </is>
      </c>
      <c r="M2208" t="inlineStr">
        <is>
          <t>P.Q.S. / ABC AL 90% UL</t>
        </is>
      </c>
      <c r="N2208" t="inlineStr">
        <is>
          <t>F-46647653</t>
        </is>
      </c>
      <c r="O2208" t="inlineStr">
        <is>
          <t>R</t>
        </is>
      </c>
      <c r="P2208">
        <f>TRIM(N2208)</f>
        <v/>
      </c>
    </row>
    <row r="2209">
      <c r="A2209" t="inlineStr">
        <is>
          <t>CO-002111</t>
        </is>
      </c>
      <c r="B2209" t="inlineStr">
        <is>
          <t>ZUÑIGA SANCHEZ, GLODY</t>
        </is>
      </c>
      <c r="C2209" t="inlineStr">
        <is>
          <t>17251874824</t>
        </is>
      </c>
      <c r="D2209" t="inlineStr">
        <is>
          <t>KM. 42.5 CARRETERA LIMA CANTA - COCAYALTA - DISTRITO: SANTA ROSA DE QUIVES</t>
        </is>
      </c>
      <c r="E2209" t="inlineStr">
        <is>
          <t>Lima, 05 de Diciembre de 2024</t>
        </is>
      </c>
      <c r="F2209" t="inlineStr">
        <is>
          <t>la Recarga y mantenimiento</t>
        </is>
      </c>
      <c r="G2209" t="inlineStr">
        <is>
          <t>03</t>
        </is>
      </c>
      <c r="H2209" t="inlineStr">
        <is>
          <t>20 LBS</t>
        </is>
      </c>
      <c r="I2209" t="n">
        <v>2028</v>
      </c>
      <c r="J2209" t="n">
        <v>2018</v>
      </c>
      <c r="K2209" t="inlineStr">
        <is>
          <t>DICIEMBRE 2024</t>
        </is>
      </c>
      <c r="L2209" t="inlineStr">
        <is>
          <t>DICIEMBRE 2025</t>
        </is>
      </c>
      <c r="M2209" t="inlineStr">
        <is>
          <t>P.Q.S. / ABC AL 90% UL</t>
        </is>
      </c>
      <c r="N2209" t="inlineStr">
        <is>
          <t>E-82857538</t>
        </is>
      </c>
      <c r="O2209" t="inlineStr">
        <is>
          <t>M1</t>
        </is>
      </c>
      <c r="P2209">
        <f>TRIM(N2209)</f>
        <v/>
      </c>
    </row>
    <row r="2210">
      <c r="A2210" t="inlineStr">
        <is>
          <t>CO-002111</t>
        </is>
      </c>
      <c r="B2210" t="inlineStr">
        <is>
          <t>ZUÑIGA SANCHEZ, GLODY</t>
        </is>
      </c>
      <c r="C2210" t="inlineStr">
        <is>
          <t>17251874824</t>
        </is>
      </c>
      <c r="D2210" t="inlineStr">
        <is>
          <t>KM. 42.5 CARRETERA LIMA CANTA - COCAYALTA - DISTRITO: SANTA ROSA DE QUIVES</t>
        </is>
      </c>
      <c r="E2210" t="inlineStr">
        <is>
          <t>Lima, 05 de Diciembre de 2024</t>
        </is>
      </c>
      <c r="F2210" t="inlineStr">
        <is>
          <t>la Recarga y mantenimiento</t>
        </is>
      </c>
      <c r="G2210" t="inlineStr">
        <is>
          <t>04</t>
        </is>
      </c>
      <c r="H2210" t="inlineStr">
        <is>
          <t>20 LBS</t>
        </is>
      </c>
      <c r="I2210" t="n">
        <v>2028</v>
      </c>
      <c r="J2210" t="n">
        <v>2018</v>
      </c>
      <c r="K2210" t="inlineStr">
        <is>
          <t>DICIEMBRE 2024</t>
        </is>
      </c>
      <c r="L2210" t="inlineStr">
        <is>
          <t>DICIEMBRE 2025</t>
        </is>
      </c>
      <c r="M2210" t="inlineStr">
        <is>
          <t>P.Q.S. / ABC AL 90% UL</t>
        </is>
      </c>
      <c r="N2210" t="inlineStr">
        <is>
          <t>E-82857540</t>
        </is>
      </c>
      <c r="O2210" t="inlineStr">
        <is>
          <t>M1</t>
        </is>
      </c>
      <c r="P2210">
        <f>TRIM(N2210)</f>
        <v/>
      </c>
    </row>
    <row r="2211">
      <c r="A2211" t="inlineStr">
        <is>
          <t>CO-002112</t>
        </is>
      </c>
      <c r="B2211" t="inlineStr">
        <is>
          <t xml:space="preserve">HUAMAN CESPEDES, OSCAR </t>
        </is>
      </c>
      <c r="C2211" t="inlineStr">
        <is>
          <t>08584927</t>
        </is>
      </c>
      <c r="D2211" t="inlineStr">
        <is>
          <t>BAY-047</t>
        </is>
      </c>
      <c r="E2211" t="inlineStr">
        <is>
          <t>Lima, 18 de Noviembre de 2024</t>
        </is>
      </c>
      <c r="F2211" t="inlineStr">
        <is>
          <t>la Recarga y mantenimiento</t>
        </is>
      </c>
      <c r="G2211" t="inlineStr">
        <is>
          <t>01</t>
        </is>
      </c>
      <c r="H2211" t="inlineStr">
        <is>
          <t>02 KG</t>
        </is>
      </c>
      <c r="I2211" t="inlineStr">
        <is>
          <t>2027</t>
        </is>
      </c>
      <c r="J2211" t="n">
        <v>2022</v>
      </c>
      <c r="K2211" t="inlineStr">
        <is>
          <t>NOVIEMBRE 2024</t>
        </is>
      </c>
      <c r="L2211" t="inlineStr">
        <is>
          <t>DICIEMBRE 2025</t>
        </is>
      </c>
      <c r="M2211" t="inlineStr">
        <is>
          <t xml:space="preserve">P.Q.S.  TIPO ABC </t>
        </is>
      </c>
      <c r="N2211" t="inlineStr">
        <is>
          <t>000132</t>
        </is>
      </c>
      <c r="O2211" t="inlineStr">
        <is>
          <t>R</t>
        </is>
      </c>
      <c r="P2211">
        <f>TRIM(N2211)</f>
        <v/>
      </c>
    </row>
    <row r="2212">
      <c r="A2212" t="inlineStr">
        <is>
          <t>CO-002112</t>
        </is>
      </c>
      <c r="B2212" t="inlineStr">
        <is>
          <t xml:space="preserve">HUAMAN CESPEDES, OSCAR </t>
        </is>
      </c>
      <c r="C2212" t="inlineStr">
        <is>
          <t>08584927</t>
        </is>
      </c>
      <c r="D2212" t="inlineStr">
        <is>
          <t>BAY-047</t>
        </is>
      </c>
      <c r="E2212" t="inlineStr">
        <is>
          <t>Lima, 18 de Noviembre de 2024</t>
        </is>
      </c>
      <c r="F2212" t="inlineStr">
        <is>
          <t>la Recarga y mantenimiento</t>
        </is>
      </c>
      <c r="G2212" t="n">
        <v>15</v>
      </c>
      <c r="O2212" t="inlineStr">
        <is>
          <t>R</t>
        </is>
      </c>
      <c r="P2212">
        <f>TRIM(N2212)</f>
        <v/>
      </c>
    </row>
    <row r="2213">
      <c r="A2213" t="inlineStr">
        <is>
          <t>CO-002113</t>
        </is>
      </c>
      <c r="B2213" t="inlineStr">
        <is>
          <t>AIR WELD S.A.C.</t>
        </is>
      </c>
      <c r="C2213" t="inlineStr">
        <is>
          <t>20608367854</t>
        </is>
      </c>
      <c r="D2213" t="inlineStr">
        <is>
          <t>AV. LOS ROSALES N° 328 INT. A1  ASC. SHANGRILLA PUENTE PIEDRA LIMA</t>
        </is>
      </c>
      <c r="E2213" t="inlineStr">
        <is>
          <t>Lima,19 de Noviembre de 2024</t>
        </is>
      </c>
      <c r="F2213" t="inlineStr">
        <is>
          <t>la Recarga y mantenimiento</t>
        </is>
      </c>
      <c r="G2213" t="inlineStr">
        <is>
          <t>01</t>
        </is>
      </c>
      <c r="H2213" t="inlineStr">
        <is>
          <t>12 KG</t>
        </is>
      </c>
      <c r="I2213" t="inlineStr">
        <is>
          <t>2027</t>
        </is>
      </c>
      <c r="J2213" t="n">
        <v>2013</v>
      </c>
      <c r="K2213" t="inlineStr">
        <is>
          <t>NOVIEMBRE 2024</t>
        </is>
      </c>
      <c r="L2213" t="inlineStr">
        <is>
          <t>DICIEMBRE 2025</t>
        </is>
      </c>
      <c r="M2213" t="inlineStr">
        <is>
          <t>P.Q.S. / ABC AL 75%</t>
        </is>
      </c>
      <c r="N2213" t="inlineStr">
        <is>
          <t>01/000039</t>
        </is>
      </c>
      <c r="O2213" t="inlineStr">
        <is>
          <t>R</t>
        </is>
      </c>
      <c r="P2213">
        <f>TRIM(N2213)</f>
        <v/>
      </c>
    </row>
    <row r="2214">
      <c r="A2214" t="inlineStr">
        <is>
          <t>CO-002113</t>
        </is>
      </c>
      <c r="B2214" t="inlineStr">
        <is>
          <t>AIR WELD S.A.C.</t>
        </is>
      </c>
      <c r="C2214" t="inlineStr">
        <is>
          <t>20608367854</t>
        </is>
      </c>
      <c r="D2214" t="inlineStr">
        <is>
          <t>AV. LOS ROSALES N° 328 INT. A1  ASC. SHANGRILLA PUENTE PIEDRA LIMA</t>
        </is>
      </c>
      <c r="E2214" t="inlineStr">
        <is>
          <t>Lima,19 de Noviembre de 2024</t>
        </is>
      </c>
      <c r="F2214" t="inlineStr">
        <is>
          <t>la Recarga y mantenimiento</t>
        </is>
      </c>
      <c r="G2214" t="inlineStr">
        <is>
          <t>02</t>
        </is>
      </c>
      <c r="H2214" t="inlineStr">
        <is>
          <t>12 KG</t>
        </is>
      </c>
      <c r="I2214" t="inlineStr">
        <is>
          <t>2027</t>
        </is>
      </c>
      <c r="J2214" t="n">
        <v>2013</v>
      </c>
      <c r="K2214" t="inlineStr">
        <is>
          <t>NOVIEMBRE 2024</t>
        </is>
      </c>
      <c r="L2214" t="inlineStr">
        <is>
          <t>DICIEMBRE 2025</t>
        </is>
      </c>
      <c r="M2214" t="inlineStr">
        <is>
          <t>P.Q.S. / ABC AL 75%</t>
        </is>
      </c>
      <c r="N2214" t="inlineStr">
        <is>
          <t>02/000299</t>
        </is>
      </c>
      <c r="O2214" t="inlineStr">
        <is>
          <t>R</t>
        </is>
      </c>
      <c r="P2214">
        <f>TRIM(N2214)</f>
        <v/>
      </c>
    </row>
    <row r="2215">
      <c r="A2215" t="inlineStr">
        <is>
          <t>CO-002113</t>
        </is>
      </c>
      <c r="B2215" t="inlineStr">
        <is>
          <t>AIR WELD S.A.C.</t>
        </is>
      </c>
      <c r="C2215" t="inlineStr">
        <is>
          <t>20608367854</t>
        </is>
      </c>
      <c r="D2215" t="inlineStr">
        <is>
          <t>AV. LOS ROSALES N° 328 INT. A1  ASC. SHANGRILLA PUENTE PIEDRA LIMA</t>
        </is>
      </c>
      <c r="E2215" t="inlineStr">
        <is>
          <t>Lima,19 de Noviembre de 2024</t>
        </is>
      </c>
      <c r="F2215" t="inlineStr">
        <is>
          <t>la Recarga y mantenimiento</t>
        </is>
      </c>
      <c r="G2215" t="inlineStr">
        <is>
          <t>03</t>
        </is>
      </c>
      <c r="H2215" t="inlineStr">
        <is>
          <t xml:space="preserve">06 KG </t>
        </is>
      </c>
      <c r="I2215" t="n">
        <v>2022</v>
      </c>
      <c r="J2215" t="n">
        <v>2014</v>
      </c>
      <c r="K2215" t="inlineStr">
        <is>
          <t>NOVIEMBRE 2024</t>
        </is>
      </c>
      <c r="L2215" t="inlineStr">
        <is>
          <t>NOVIEMBRE 2025</t>
        </is>
      </c>
      <c r="M2215" t="inlineStr">
        <is>
          <t>P.Q.S. / ABC AL 75%</t>
        </is>
      </c>
      <c r="N2215" t="inlineStr">
        <is>
          <t>0 000003</t>
        </is>
      </c>
      <c r="O2215" t="inlineStr">
        <is>
          <t>R</t>
        </is>
      </c>
      <c r="P2215">
        <f>TRIM(N2215)</f>
        <v/>
      </c>
    </row>
    <row r="2216">
      <c r="A2216" t="inlineStr">
        <is>
          <t>CO-002113</t>
        </is>
      </c>
      <c r="B2216" t="inlineStr">
        <is>
          <t>AIR WELD S.A.C.</t>
        </is>
      </c>
      <c r="C2216" t="inlineStr">
        <is>
          <t>20608367854</t>
        </is>
      </c>
      <c r="D2216" t="inlineStr">
        <is>
          <t>AV. LOS ROSALES N° 328 INT. A1  ASC. SHANGRILLA PUENTE PIEDRA LIMA</t>
        </is>
      </c>
      <c r="E2216" t="inlineStr">
        <is>
          <t>Lima,19 de Noviembre de 2024</t>
        </is>
      </c>
      <c r="F2216" t="inlineStr">
        <is>
          <t>la Recarga y mantenimiento</t>
        </is>
      </c>
      <c r="G2216" t="n">
        <v>15</v>
      </c>
      <c r="O2216" t="inlineStr">
        <is>
          <t>R</t>
        </is>
      </c>
      <c r="P2216">
        <f>TRIM(N2216)</f>
        <v/>
      </c>
    </row>
    <row r="2217">
      <c r="A2217" t="inlineStr">
        <is>
          <t>CO-002114</t>
        </is>
      </c>
      <c r="B2217" t="inlineStr">
        <is>
          <t>MANUEL ALBINES</t>
        </is>
      </c>
      <c r="D2217" t="inlineStr">
        <is>
          <t>AV TUPAC AMARU N° 6845 - COMAS</t>
        </is>
      </c>
      <c r="E2217" t="inlineStr">
        <is>
          <t>Lima, 20 de Noviembre de 2024</t>
        </is>
      </c>
      <c r="F2217" t="inlineStr">
        <is>
          <t>la Recarga y mantenimiento</t>
        </is>
      </c>
      <c r="G2217" t="inlineStr">
        <is>
          <t>01</t>
        </is>
      </c>
      <c r="H2217" t="inlineStr">
        <is>
          <t>06 KG</t>
        </is>
      </c>
      <c r="I2217" t="inlineStr">
        <is>
          <t>2027</t>
        </is>
      </c>
      <c r="J2217" t="n">
        <v>2012</v>
      </c>
      <c r="K2217" t="inlineStr">
        <is>
          <t>NOVIEMBRE 2024</t>
        </is>
      </c>
      <c r="L2217" t="inlineStr">
        <is>
          <t>NOVIEMBRE 2025</t>
        </is>
      </c>
      <c r="M2217" t="inlineStr">
        <is>
          <t xml:space="preserve">P.Q.S.  TIPO ABC </t>
        </is>
      </c>
      <c r="N2217" t="inlineStr">
        <is>
          <t>000731</t>
        </is>
      </c>
      <c r="O2217" t="inlineStr">
        <is>
          <t>R</t>
        </is>
      </c>
      <c r="P2217">
        <f>TRIM(N2217)</f>
        <v/>
      </c>
    </row>
    <row r="2218">
      <c r="A2218" t="inlineStr">
        <is>
          <t>CO-002114</t>
        </is>
      </c>
      <c r="B2218" t="inlineStr">
        <is>
          <t>MANUEL ALBINES</t>
        </is>
      </c>
      <c r="D2218" t="inlineStr">
        <is>
          <t>AV TUPAC AMARU N° 6845 - COMAS</t>
        </is>
      </c>
      <c r="E2218" t="inlineStr">
        <is>
          <t>Lima, 20 de Noviembre de 2024</t>
        </is>
      </c>
      <c r="F2218" t="inlineStr">
        <is>
          <t>la Recarga y mantenimiento</t>
        </is>
      </c>
      <c r="G2218" t="n">
        <v>15</v>
      </c>
      <c r="O2218" t="inlineStr">
        <is>
          <t>R</t>
        </is>
      </c>
      <c r="P2218">
        <f>TRIM(N2218)</f>
        <v/>
      </c>
    </row>
    <row r="2219">
      <c r="A2219" t="inlineStr">
        <is>
          <t>CO-002115</t>
        </is>
      </c>
      <c r="B2219" t="inlineStr">
        <is>
          <t>LINDO REYES</t>
        </is>
      </c>
      <c r="D2219" t="inlineStr">
        <is>
          <t>AV. BOLOGNESI N° 100 (cruce de av. Tupac con av. Bolognesi) - COMAS</t>
        </is>
      </c>
      <c r="E2219" t="inlineStr">
        <is>
          <t>Lima, 20 de Noviembre de 2024</t>
        </is>
      </c>
      <c r="F2219" t="inlineStr">
        <is>
          <t>la Recarga y mantenimiento</t>
        </is>
      </c>
      <c r="G2219" t="inlineStr">
        <is>
          <t>01</t>
        </is>
      </c>
      <c r="H2219" t="inlineStr">
        <is>
          <t>06 KG</t>
        </is>
      </c>
      <c r="I2219" t="inlineStr">
        <is>
          <t>2027</t>
        </is>
      </c>
      <c r="J2219" t="n">
        <v>2005</v>
      </c>
      <c r="K2219" t="inlineStr">
        <is>
          <t>NOVIEMBRE 2024</t>
        </is>
      </c>
      <c r="L2219" t="inlineStr">
        <is>
          <t>NOVIEMBRE 2025</t>
        </is>
      </c>
      <c r="M2219" t="inlineStr">
        <is>
          <t xml:space="preserve">P.Q.S TIPO ABC </t>
        </is>
      </c>
      <c r="N2219" t="inlineStr">
        <is>
          <t>002608</t>
        </is>
      </c>
      <c r="O2219" t="inlineStr">
        <is>
          <t>R</t>
        </is>
      </c>
      <c r="P2219">
        <f>TRIM(N2219)</f>
        <v/>
      </c>
    </row>
    <row r="2220">
      <c r="A2220" t="inlineStr">
        <is>
          <t>CO-002115</t>
        </is>
      </c>
      <c r="B2220" t="inlineStr">
        <is>
          <t>LINDO REYES</t>
        </is>
      </c>
      <c r="D2220" t="inlineStr">
        <is>
          <t>AV. BOLOGNESI N° 100 (cruce de av. Tupac con av. Bolognesi) - COMAS</t>
        </is>
      </c>
      <c r="E2220" t="inlineStr">
        <is>
          <t>Lima, 20 de Noviembre de 2024</t>
        </is>
      </c>
      <c r="F2220" t="inlineStr">
        <is>
          <t>la Recarga y mantenimiento</t>
        </is>
      </c>
      <c r="G2220" t="n">
        <v>15</v>
      </c>
      <c r="O2220" t="inlineStr">
        <is>
          <t>R</t>
        </is>
      </c>
      <c r="P2220">
        <f>TRIM(N2220)</f>
        <v/>
      </c>
    </row>
    <row r="2221">
      <c r="A2221" t="inlineStr">
        <is>
          <t>CO-002116</t>
        </is>
      </c>
      <c r="B2221" t="inlineStr">
        <is>
          <t xml:space="preserve">FELIX CRISTIAN MACHACA </t>
        </is>
      </c>
      <c r="C2221" t="inlineStr">
        <is>
          <t>10412151122</t>
        </is>
      </c>
      <c r="D2221" t="inlineStr">
        <is>
          <t xml:space="preserve">Jr San Gabriel 284 Urb San Carlos </t>
        </is>
      </c>
      <c r="E2221" t="inlineStr">
        <is>
          <t>Lima, 21 de Noviembre de 2024</t>
        </is>
      </c>
      <c r="F2221" t="inlineStr">
        <is>
          <t>la Recarga y mantenimiento</t>
        </is>
      </c>
      <c r="G2221" t="inlineStr">
        <is>
          <t>01</t>
        </is>
      </c>
      <c r="H2221" t="inlineStr">
        <is>
          <t>06 KG</t>
        </is>
      </c>
      <c r="I2221" t="inlineStr">
        <is>
          <t>2028</t>
        </is>
      </c>
      <c r="J2221" t="n">
        <v>2017</v>
      </c>
      <c r="K2221" t="inlineStr">
        <is>
          <t>NOVIEMBRE 2024</t>
        </is>
      </c>
      <c r="L2221" t="inlineStr">
        <is>
          <t>NOVIEMBRE 2025</t>
        </is>
      </c>
      <c r="M2221" t="inlineStr">
        <is>
          <t>P.Q.S. / ABC AL 75%</t>
        </is>
      </c>
      <c r="N2221" t="inlineStr">
        <is>
          <t>0003863</t>
        </is>
      </c>
      <c r="O2221" t="inlineStr">
        <is>
          <t>R</t>
        </is>
      </c>
      <c r="P2221">
        <f>TRIM(N2221)</f>
        <v/>
      </c>
    </row>
    <row r="2222">
      <c r="A2222" t="inlineStr">
        <is>
          <t>CO-002116</t>
        </is>
      </c>
      <c r="B2222" t="inlineStr">
        <is>
          <t xml:space="preserve">FELIX CRISTIAN MACHACA </t>
        </is>
      </c>
      <c r="C2222" t="inlineStr">
        <is>
          <t>10412151122</t>
        </is>
      </c>
      <c r="D2222" t="inlineStr">
        <is>
          <t xml:space="preserve">Jr San Gabriel 284 Urb San Carlos </t>
        </is>
      </c>
      <c r="E2222" t="inlineStr">
        <is>
          <t>Lima, 21 de Noviembre de 2024</t>
        </is>
      </c>
      <c r="F2222" t="inlineStr">
        <is>
          <t>la Recarga y mantenimiento</t>
        </is>
      </c>
      <c r="G2222" t="inlineStr">
        <is>
          <t>02</t>
        </is>
      </c>
      <c r="H2222" t="inlineStr">
        <is>
          <t>06KG</t>
        </is>
      </c>
      <c r="I2222" t="inlineStr">
        <is>
          <t>2029</t>
        </is>
      </c>
      <c r="J2222" t="n">
        <v>2018</v>
      </c>
      <c r="K2222" t="inlineStr">
        <is>
          <t>NOVIEMBRE 2024</t>
        </is>
      </c>
      <c r="L2222" t="inlineStr">
        <is>
          <t>NOVIEMBRE 2025</t>
        </is>
      </c>
      <c r="M2222" t="inlineStr">
        <is>
          <t>P.Q.S. / ABC AL 75%</t>
        </is>
      </c>
      <c r="N2222" t="inlineStr">
        <is>
          <t>0002771</t>
        </is>
      </c>
      <c r="O2222" t="inlineStr">
        <is>
          <t>R</t>
        </is>
      </c>
      <c r="P2222">
        <f>TRIM(N2222)</f>
        <v/>
      </c>
    </row>
    <row r="2223">
      <c r="A2223" t="inlineStr">
        <is>
          <t>CO-002116</t>
        </is>
      </c>
      <c r="B2223" t="inlineStr">
        <is>
          <t xml:space="preserve">FELIX CRISTIAN MACHACA </t>
        </is>
      </c>
      <c r="C2223" t="inlineStr">
        <is>
          <t>10412151122</t>
        </is>
      </c>
      <c r="D2223" t="inlineStr">
        <is>
          <t xml:space="preserve">Jr San Gabriel 284 Urb San Carlos </t>
        </is>
      </c>
      <c r="E2223" t="inlineStr">
        <is>
          <t>Lima, 21 de Noviembre de 2024</t>
        </is>
      </c>
      <c r="F2223" t="inlineStr">
        <is>
          <t>la Recarga y mantenimiento</t>
        </is>
      </c>
      <c r="G2223" t="n">
        <v>15</v>
      </c>
      <c r="O2223" t="inlineStr">
        <is>
          <t>R</t>
        </is>
      </c>
      <c r="P2223">
        <f>TRIM(N2223)</f>
        <v/>
      </c>
    </row>
    <row r="2224">
      <c r="A2224" t="inlineStr">
        <is>
          <t>CO-002117</t>
        </is>
      </c>
      <c r="B2224" t="inlineStr">
        <is>
          <t xml:space="preserve">LABORATORIO ARC HOLDING SAC </t>
        </is>
      </c>
      <c r="C2224" t="inlineStr">
        <is>
          <t>20612452319</t>
        </is>
      </c>
      <c r="D2224" t="inlineStr">
        <is>
          <t xml:space="preserve">Calle Los Cipreces Mz I Lt 39A, Ensenada, Pte Piedra </t>
        </is>
      </c>
      <c r="E2224" t="inlineStr">
        <is>
          <t>Lima, 21 de Noviembre de 2024</t>
        </is>
      </c>
      <c r="F2224" t="inlineStr">
        <is>
          <t>la Recarga y mantenimiento</t>
        </is>
      </c>
      <c r="G2224" t="inlineStr">
        <is>
          <t>01</t>
        </is>
      </c>
      <c r="H2224" t="inlineStr">
        <is>
          <t>09 KG</t>
        </is>
      </c>
      <c r="I2224" t="inlineStr">
        <is>
          <t>2028</t>
        </is>
      </c>
      <c r="J2224" t="n">
        <v>2023</v>
      </c>
      <c r="K2224" t="inlineStr">
        <is>
          <t>NOVIEMBRE 2024</t>
        </is>
      </c>
      <c r="L2224" t="inlineStr">
        <is>
          <t>NOVIEMBRE 2025</t>
        </is>
      </c>
      <c r="M2224" t="inlineStr">
        <is>
          <t>P.Q.S. / ABC AL 75%</t>
        </is>
      </c>
      <c r="N2224" t="inlineStr">
        <is>
          <t>0010233</t>
        </is>
      </c>
      <c r="O2224" t="inlineStr">
        <is>
          <t>R</t>
        </is>
      </c>
      <c r="P2224">
        <f>TRIM(N2224)</f>
        <v/>
      </c>
    </row>
    <row r="2225">
      <c r="A2225" t="inlineStr">
        <is>
          <t>CO-002117</t>
        </is>
      </c>
      <c r="B2225" t="inlineStr">
        <is>
          <t xml:space="preserve">LABORATORIO ARC HOLDING SAC </t>
        </is>
      </c>
      <c r="C2225" t="inlineStr">
        <is>
          <t>20612452319</t>
        </is>
      </c>
      <c r="D2225" t="inlineStr">
        <is>
          <t xml:space="preserve">Calle Los Cipreces Mz I Lt 39A, Ensenada, Pte Piedra </t>
        </is>
      </c>
      <c r="E2225" t="inlineStr">
        <is>
          <t>Lima, 21 de Noviembre de 2024</t>
        </is>
      </c>
      <c r="F2225" t="inlineStr">
        <is>
          <t>la Recarga y mantenimiento</t>
        </is>
      </c>
      <c r="G2225" t="inlineStr">
        <is>
          <t>02</t>
        </is>
      </c>
      <c r="H2225" t="inlineStr">
        <is>
          <t>09 KG</t>
        </is>
      </c>
      <c r="I2225" t="inlineStr">
        <is>
          <t>2028</t>
        </is>
      </c>
      <c r="J2225" t="n">
        <v>2023</v>
      </c>
      <c r="K2225" t="inlineStr">
        <is>
          <t>NOVIEMBRE 2024</t>
        </is>
      </c>
      <c r="L2225" t="inlineStr">
        <is>
          <t>NOVIEMBRE 2025</t>
        </is>
      </c>
      <c r="M2225" t="inlineStr">
        <is>
          <t>P.Q.S. / ABC AL 75%</t>
        </is>
      </c>
      <c r="N2225" t="inlineStr">
        <is>
          <t>0010217</t>
        </is>
      </c>
      <c r="O2225" t="inlineStr">
        <is>
          <t>R</t>
        </is>
      </c>
      <c r="P2225">
        <f>TRIM(N2225)</f>
        <v/>
      </c>
    </row>
    <row r="2226">
      <c r="A2226" t="inlineStr">
        <is>
          <t>CO-002117</t>
        </is>
      </c>
      <c r="B2226" t="inlineStr">
        <is>
          <t xml:space="preserve">LABORATORIO ARC HOLDING SAC </t>
        </is>
      </c>
      <c r="C2226" t="inlineStr">
        <is>
          <t>20612452319</t>
        </is>
      </c>
      <c r="D2226" t="inlineStr">
        <is>
          <t xml:space="preserve">Calle Los Cipreces Mz I Lt 39A, Ensenada, Pte Piedra </t>
        </is>
      </c>
      <c r="E2226" t="inlineStr">
        <is>
          <t>Lima, 21 de Noviembre de 2024</t>
        </is>
      </c>
      <c r="F2226" t="inlineStr">
        <is>
          <t>la Recarga y mantenimiento</t>
        </is>
      </c>
      <c r="G2226" t="n">
        <v>15</v>
      </c>
      <c r="O2226" t="inlineStr">
        <is>
          <t>R</t>
        </is>
      </c>
      <c r="P2226">
        <f>TRIM(N2226)</f>
        <v/>
      </c>
    </row>
    <row r="2227">
      <c r="A2227" t="inlineStr">
        <is>
          <t>CO-002118</t>
        </is>
      </c>
      <c r="B2227" t="inlineStr">
        <is>
          <t>ONTIVEROS HUAMAN IRENE</t>
        </is>
      </c>
      <c r="D2227" t="inlineStr">
        <is>
          <t>AV. REVOLUCION Nº 1973 3RA ZONA - COLLIQUE</t>
        </is>
      </c>
      <c r="E2227" t="inlineStr">
        <is>
          <t>Lima, 21 de Noviembre de 2024</t>
        </is>
      </c>
      <c r="F2227" t="inlineStr">
        <is>
          <t>la Recarga y mantenimiento</t>
        </is>
      </c>
      <c r="G2227" t="inlineStr">
        <is>
          <t>01</t>
        </is>
      </c>
      <c r="H2227" t="inlineStr">
        <is>
          <t>06 KG</t>
        </is>
      </c>
      <c r="I2227" t="inlineStr">
        <is>
          <t>2026</t>
        </is>
      </c>
      <c r="J2227" t="n">
        <v>2021</v>
      </c>
      <c r="K2227" t="inlineStr">
        <is>
          <t>NOVIEMBRE 2024</t>
        </is>
      </c>
      <c r="L2227" t="inlineStr">
        <is>
          <t>NOVIEMBRE 2025</t>
        </is>
      </c>
      <c r="M2227" t="inlineStr">
        <is>
          <t>P.Q.S. / ABC AL 75%</t>
        </is>
      </c>
      <c r="N2227" t="inlineStr">
        <is>
          <t>00273019</t>
        </is>
      </c>
      <c r="O2227" t="inlineStr">
        <is>
          <t>R</t>
        </is>
      </c>
      <c r="P2227">
        <f>TRIM(N2227)</f>
        <v/>
      </c>
    </row>
    <row r="2228">
      <c r="A2228" t="inlineStr">
        <is>
          <t>CO-002118</t>
        </is>
      </c>
      <c r="B2228" t="inlineStr">
        <is>
          <t>ONTIVEROS HUAMAN IRENE</t>
        </is>
      </c>
      <c r="D2228" t="inlineStr">
        <is>
          <t>AV. REVOLUCION Nº 1973 3RA ZONA - COLLIQUE</t>
        </is>
      </c>
      <c r="E2228" t="inlineStr">
        <is>
          <t>Lima, 21 de Noviembre de 2024</t>
        </is>
      </c>
      <c r="F2228" t="inlineStr">
        <is>
          <t>la Recarga y mantenimiento</t>
        </is>
      </c>
      <c r="G2228" t="n">
        <v>15</v>
      </c>
      <c r="O2228" t="inlineStr">
        <is>
          <t>R</t>
        </is>
      </c>
      <c r="P2228">
        <f>TRIM(N2228)</f>
        <v/>
      </c>
    </row>
    <row r="2229">
      <c r="A2229" t="inlineStr">
        <is>
          <t>CO-002119</t>
        </is>
      </c>
      <c r="B2229" t="inlineStr">
        <is>
          <t>PERU MASIVO S.A - BUSES</t>
        </is>
      </c>
      <c r="C2229" t="inlineStr">
        <is>
          <t xml:space="preserve"> 20492392031</t>
        </is>
      </c>
      <c r="D2229" t="inlineStr">
        <is>
          <t>AV. LOS INCAS CDRA. 4 PATIO NORTE - COMAS</t>
        </is>
      </c>
      <c r="E2229" t="inlineStr">
        <is>
          <t>Lima, 26 de Noviembre de 2024</t>
        </is>
      </c>
      <c r="F2229" t="inlineStr">
        <is>
          <t>la Recarga y mantenimiento</t>
        </is>
      </c>
      <c r="G2229" t="inlineStr">
        <is>
          <t>01</t>
        </is>
      </c>
      <c r="H2229" t="inlineStr">
        <is>
          <t>06 KG</t>
        </is>
      </c>
      <c r="I2229" t="inlineStr">
        <is>
          <t>2028</t>
        </is>
      </c>
      <c r="J2229" t="n">
        <v>2010</v>
      </c>
      <c r="K2229" t="inlineStr">
        <is>
          <t>NOVIEMBRE 2024</t>
        </is>
      </c>
      <c r="L2229" t="inlineStr">
        <is>
          <t>NOVIEMBRE 2025</t>
        </is>
      </c>
      <c r="M2229" t="inlineStr">
        <is>
          <t>P.Q.S. / ABC AL 90%</t>
        </is>
      </c>
      <c r="N2229" t="inlineStr">
        <is>
          <t>000009</t>
        </is>
      </c>
      <c r="O2229" t="inlineStr">
        <is>
          <t>R</t>
        </is>
      </c>
      <c r="P2229">
        <f>TRIM(N2229)</f>
        <v/>
      </c>
    </row>
    <row r="2230">
      <c r="A2230" t="inlineStr">
        <is>
          <t>CO-002119</t>
        </is>
      </c>
      <c r="B2230" t="inlineStr">
        <is>
          <t>PERU MASIVO S.A - BUSES</t>
        </is>
      </c>
      <c r="C2230" t="inlineStr">
        <is>
          <t xml:space="preserve"> 20492392031</t>
        </is>
      </c>
      <c r="D2230" t="inlineStr">
        <is>
          <t>AV. LOS INCAS CDRA. 4 PATIO NORTE - COMAS</t>
        </is>
      </c>
      <c r="E2230" t="inlineStr">
        <is>
          <t>Lima, 26 de Noviembre de 2024</t>
        </is>
      </c>
      <c r="F2230" t="inlineStr">
        <is>
          <t>la Recarga y mantenimiento</t>
        </is>
      </c>
      <c r="G2230" t="inlineStr">
        <is>
          <t>02</t>
        </is>
      </c>
      <c r="H2230" t="inlineStr">
        <is>
          <t>06 KG</t>
        </is>
      </c>
      <c r="I2230" t="inlineStr">
        <is>
          <t>2028</t>
        </is>
      </c>
      <c r="J2230" t="n">
        <v>2010</v>
      </c>
      <c r="K2230" t="inlineStr">
        <is>
          <t>NOVIEMBRE 2024</t>
        </is>
      </c>
      <c r="L2230" t="inlineStr">
        <is>
          <t>NOVIEMBRE 2025</t>
        </is>
      </c>
      <c r="M2230" t="inlineStr">
        <is>
          <t>P.Q.S. / ABC AL 90%</t>
        </is>
      </c>
      <c r="N2230" t="inlineStr">
        <is>
          <t>000496</t>
        </is>
      </c>
      <c r="O2230" t="inlineStr">
        <is>
          <t>R</t>
        </is>
      </c>
      <c r="P2230">
        <f>TRIM(N2230)</f>
        <v/>
      </c>
    </row>
    <row r="2231">
      <c r="A2231" t="inlineStr">
        <is>
          <t>CO-002119</t>
        </is>
      </c>
      <c r="B2231" t="inlineStr">
        <is>
          <t>PERU MASIVO S.A - BUSES</t>
        </is>
      </c>
      <c r="C2231" t="inlineStr">
        <is>
          <t xml:space="preserve"> 20492392031</t>
        </is>
      </c>
      <c r="D2231" t="inlineStr">
        <is>
          <t>AV. LOS INCAS CDRA. 4 PATIO NORTE - COMAS</t>
        </is>
      </c>
      <c r="E2231" t="inlineStr">
        <is>
          <t>Lima, 26 de Noviembre de 2024</t>
        </is>
      </c>
      <c r="F2231" t="inlineStr">
        <is>
          <t>la Recarga y mantenimiento</t>
        </is>
      </c>
      <c r="G2231" t="inlineStr">
        <is>
          <t>03</t>
        </is>
      </c>
      <c r="H2231" t="inlineStr">
        <is>
          <t>06 KG</t>
        </is>
      </c>
      <c r="I2231" t="n">
        <v>2028</v>
      </c>
      <c r="J2231" t="inlineStr">
        <is>
          <t>2010</t>
        </is>
      </c>
      <c r="K2231" t="inlineStr">
        <is>
          <t>NOVIEMBRE 2024</t>
        </is>
      </c>
      <c r="L2231" t="inlineStr">
        <is>
          <t>NOVIEMBRE 2025</t>
        </is>
      </c>
      <c r="M2231" t="inlineStr">
        <is>
          <t>P.Q.S. / ABC AL 90%</t>
        </is>
      </c>
      <c r="N2231" t="inlineStr">
        <is>
          <t>000448</t>
        </is>
      </c>
      <c r="O2231" t="inlineStr">
        <is>
          <t>R</t>
        </is>
      </c>
      <c r="P2231">
        <f>TRIM(N2231)</f>
        <v/>
      </c>
    </row>
    <row r="2232">
      <c r="A2232" t="inlineStr">
        <is>
          <t>CO-002119</t>
        </is>
      </c>
      <c r="B2232" t="inlineStr">
        <is>
          <t>PERU MASIVO S.A - BUSES</t>
        </is>
      </c>
      <c r="C2232" t="inlineStr">
        <is>
          <t xml:space="preserve"> 20492392031</t>
        </is>
      </c>
      <c r="D2232" t="inlineStr">
        <is>
          <t>AV. LOS INCAS CDRA. 4 PATIO NORTE - COMAS</t>
        </is>
      </c>
      <c r="E2232" t="inlineStr">
        <is>
          <t>Lima, 26 de Noviembre de 2024</t>
        </is>
      </c>
      <c r="F2232" t="inlineStr">
        <is>
          <t>la Recarga y mantenimiento</t>
        </is>
      </c>
      <c r="G2232" t="inlineStr">
        <is>
          <t>04</t>
        </is>
      </c>
      <c r="H2232" t="inlineStr">
        <is>
          <t>06 KG</t>
        </is>
      </c>
      <c r="I2232" t="n">
        <v>2028</v>
      </c>
      <c r="J2232" t="n">
        <v>2010</v>
      </c>
      <c r="K2232" t="inlineStr">
        <is>
          <t>NOVIEMBRE 2024</t>
        </is>
      </c>
      <c r="L2232" t="inlineStr">
        <is>
          <t>NOVIEMBRE 2025</t>
        </is>
      </c>
      <c r="M2232" t="inlineStr">
        <is>
          <t>P.Q.S. / ABC AL 90%</t>
        </is>
      </c>
      <c r="N2232" t="inlineStr">
        <is>
          <t>000212</t>
        </is>
      </c>
      <c r="O2232" t="inlineStr">
        <is>
          <t>R</t>
        </is>
      </c>
      <c r="P2232">
        <f>TRIM(N2232)</f>
        <v/>
      </c>
    </row>
    <row r="2233">
      <c r="A2233" t="inlineStr">
        <is>
          <t>CO-002119</t>
        </is>
      </c>
      <c r="B2233" t="inlineStr">
        <is>
          <t>PERU MASIVO S.A - BUSES</t>
        </is>
      </c>
      <c r="C2233" t="inlineStr">
        <is>
          <t xml:space="preserve"> 20492392031</t>
        </is>
      </c>
      <c r="D2233" t="inlineStr">
        <is>
          <t>AV. LOS INCAS CDRA. 4 PATIO NORTE - COMAS</t>
        </is>
      </c>
      <c r="E2233" t="inlineStr">
        <is>
          <t>Lima, 26 de Noviembre de 2024</t>
        </is>
      </c>
      <c r="F2233" t="inlineStr">
        <is>
          <t>la Recarga y mantenimiento</t>
        </is>
      </c>
      <c r="G2233" t="inlineStr">
        <is>
          <t>05</t>
        </is>
      </c>
      <c r="H2233" t="inlineStr">
        <is>
          <t>06 KG</t>
        </is>
      </c>
      <c r="I2233" t="n">
        <v>2028</v>
      </c>
      <c r="J2233" t="n">
        <v>2010</v>
      </c>
      <c r="K2233" t="inlineStr">
        <is>
          <t>NOVIEMBRE 2024</t>
        </is>
      </c>
      <c r="L2233" t="inlineStr">
        <is>
          <t>NOVIEMBRE 2025</t>
        </is>
      </c>
      <c r="M2233" t="inlineStr">
        <is>
          <t>P.Q.S. / ABC AL 90%</t>
        </is>
      </c>
      <c r="N2233" t="inlineStr">
        <is>
          <t>0 00065</t>
        </is>
      </c>
      <c r="O2233" t="inlineStr">
        <is>
          <t>R</t>
        </is>
      </c>
      <c r="P2233">
        <f>TRIM(N2233)</f>
        <v/>
      </c>
    </row>
    <row r="2234">
      <c r="A2234" t="inlineStr">
        <is>
          <t>CO-002119</t>
        </is>
      </c>
      <c r="B2234" t="inlineStr">
        <is>
          <t>PERU MASIVO S.A - BUSES</t>
        </is>
      </c>
      <c r="C2234" t="inlineStr">
        <is>
          <t xml:space="preserve"> 20492392031</t>
        </is>
      </c>
      <c r="D2234" t="inlineStr">
        <is>
          <t>AV. LOS INCAS CDRA. 4 PATIO NORTE - COMAS</t>
        </is>
      </c>
      <c r="E2234" t="inlineStr">
        <is>
          <t>Lima, 26 de Noviembre de 2024</t>
        </is>
      </c>
      <c r="F2234" t="inlineStr">
        <is>
          <t>la Recarga y mantenimiento</t>
        </is>
      </c>
      <c r="G2234" t="inlineStr">
        <is>
          <t>06</t>
        </is>
      </c>
      <c r="H2234" t="inlineStr">
        <is>
          <t>06 KG</t>
        </is>
      </c>
      <c r="I2234" t="n">
        <v>2028</v>
      </c>
      <c r="J2234" t="inlineStr">
        <is>
          <t>S/S</t>
        </is>
      </c>
      <c r="K2234" t="inlineStr">
        <is>
          <t>NOVIEMBRE 2024</t>
        </is>
      </c>
      <c r="L2234" t="inlineStr">
        <is>
          <t>NOVIEMBRE 2025</t>
        </is>
      </c>
      <c r="M2234" t="inlineStr">
        <is>
          <t>P.Q.S. / ABC AL 90%</t>
        </is>
      </c>
      <c r="N2234" t="inlineStr">
        <is>
          <t>001425</t>
        </is>
      </c>
      <c r="O2234" t="inlineStr">
        <is>
          <t>R</t>
        </is>
      </c>
      <c r="P2234">
        <f>TRIM(N2234)</f>
        <v/>
      </c>
    </row>
    <row r="2235">
      <c r="A2235" t="inlineStr">
        <is>
          <t>CO-002119</t>
        </is>
      </c>
      <c r="B2235" t="inlineStr">
        <is>
          <t>PERU MASIVO S.A - BUSES</t>
        </is>
      </c>
      <c r="C2235" t="inlineStr">
        <is>
          <t xml:space="preserve"> 20492392031</t>
        </is>
      </c>
      <c r="D2235" t="inlineStr">
        <is>
          <t>AV. LOS INCAS CDRA. 4 PATIO NORTE - COMAS</t>
        </is>
      </c>
      <c r="E2235" t="inlineStr">
        <is>
          <t>Lima, 26 de Noviembre de 2024</t>
        </is>
      </c>
      <c r="F2235" t="inlineStr">
        <is>
          <t>la Recarga y mantenimiento</t>
        </is>
      </c>
      <c r="G2235" t="inlineStr">
        <is>
          <t>07</t>
        </is>
      </c>
      <c r="H2235" t="inlineStr">
        <is>
          <t>06 KG</t>
        </is>
      </c>
      <c r="I2235" t="n">
        <v>2028</v>
      </c>
      <c r="J2235" t="n">
        <v>2009</v>
      </c>
      <c r="K2235" t="inlineStr">
        <is>
          <t>NOVIEMBRE 2024</t>
        </is>
      </c>
      <c r="L2235" t="inlineStr">
        <is>
          <t>NOVIEMBRE 2025</t>
        </is>
      </c>
      <c r="M2235" t="inlineStr">
        <is>
          <t>P.Q.S. / ABC AL 90%</t>
        </is>
      </c>
      <c r="N2235" t="inlineStr">
        <is>
          <t>001780</t>
        </is>
      </c>
      <c r="O2235" t="inlineStr">
        <is>
          <t>R</t>
        </is>
      </c>
      <c r="P2235">
        <f>TRIM(N2235)</f>
        <v/>
      </c>
    </row>
    <row r="2236">
      <c r="A2236" t="inlineStr">
        <is>
          <t>CO-002119</t>
        </is>
      </c>
      <c r="B2236" t="inlineStr">
        <is>
          <t>PERU MASIVO S.A - BUSES</t>
        </is>
      </c>
      <c r="C2236" t="inlineStr">
        <is>
          <t xml:space="preserve"> 20492392031</t>
        </is>
      </c>
      <c r="D2236" t="inlineStr">
        <is>
          <t>AV. LOS INCAS CDRA. 4 PATIO NORTE - COMAS</t>
        </is>
      </c>
      <c r="E2236" t="inlineStr">
        <is>
          <t>Lima, 26 de Noviembre de 2024</t>
        </is>
      </c>
      <c r="F2236" t="inlineStr">
        <is>
          <t>la Recarga y mantenimiento</t>
        </is>
      </c>
      <c r="G2236" t="n">
        <v>15</v>
      </c>
      <c r="O2236" t="inlineStr">
        <is>
          <t>R</t>
        </is>
      </c>
      <c r="P2236">
        <f>TRIM(N2236)</f>
        <v/>
      </c>
    </row>
    <row r="2237">
      <c r="A2237" t="inlineStr">
        <is>
          <t>CO-002120</t>
        </is>
      </c>
      <c r="B2237" t="inlineStr">
        <is>
          <t>PERU MASIVO S.A - INFRAESTRUCTURA</t>
        </is>
      </c>
      <c r="C2237" t="inlineStr">
        <is>
          <t xml:space="preserve"> 20492392031</t>
        </is>
      </c>
      <c r="D2237" t="inlineStr">
        <is>
          <t>AV. LOS INCAS CDRA. 4 PATIO NORTE - COMAS</t>
        </is>
      </c>
      <c r="E2237" t="inlineStr">
        <is>
          <t>Lima, 26 de Noviembre de 2024</t>
        </is>
      </c>
      <c r="F2237" t="inlineStr">
        <is>
          <t>la Recarga y mantenimiento</t>
        </is>
      </c>
      <c r="G2237" t="inlineStr">
        <is>
          <t>01</t>
        </is>
      </c>
      <c r="H2237" t="inlineStr">
        <is>
          <t>06 KG</t>
        </is>
      </c>
      <c r="I2237" t="inlineStr">
        <is>
          <t>2028</t>
        </is>
      </c>
      <c r="J2237" t="n">
        <v>2010</v>
      </c>
      <c r="K2237" t="inlineStr">
        <is>
          <t>NOVIEMBRE 2024</t>
        </is>
      </c>
      <c r="L2237" t="inlineStr">
        <is>
          <t>NOVIEMBRE 2025</t>
        </is>
      </c>
      <c r="M2237" t="inlineStr">
        <is>
          <t xml:space="preserve">P.Q.S. / ABC AL 90% ASIATICO </t>
        </is>
      </c>
      <c r="N2237" t="inlineStr">
        <is>
          <t>18/001341</t>
        </is>
      </c>
      <c r="O2237" t="inlineStr">
        <is>
          <t>R</t>
        </is>
      </c>
      <c r="P2237">
        <f>TRIM(N2237)</f>
        <v/>
      </c>
    </row>
    <row r="2238">
      <c r="A2238" t="inlineStr">
        <is>
          <t>CO-002120</t>
        </is>
      </c>
      <c r="B2238" t="inlineStr">
        <is>
          <t>PERU MASIVO S.A - INFRAESTRUCTURA</t>
        </is>
      </c>
      <c r="C2238" t="inlineStr">
        <is>
          <t xml:space="preserve"> 20492392031</t>
        </is>
      </c>
      <c r="D2238" t="inlineStr">
        <is>
          <t>AV. LOS INCAS CDRA. 4 PATIO NORTE - COMAS</t>
        </is>
      </c>
      <c r="E2238" t="inlineStr">
        <is>
          <t>Lima, 26 de Noviembre de 2024</t>
        </is>
      </c>
      <c r="F2238" t="inlineStr">
        <is>
          <t>la Recarga y mantenimiento</t>
        </is>
      </c>
      <c r="G2238" t="inlineStr">
        <is>
          <t>02</t>
        </is>
      </c>
      <c r="H2238" t="inlineStr">
        <is>
          <t>06 KG</t>
        </is>
      </c>
      <c r="I2238" t="inlineStr">
        <is>
          <t>2028</t>
        </is>
      </c>
      <c r="J2238" t="n">
        <v>2017</v>
      </c>
      <c r="K2238" t="inlineStr">
        <is>
          <t>NOVIEMBRE 2024</t>
        </is>
      </c>
      <c r="L2238" t="inlineStr">
        <is>
          <t>NOVIEMBRE 2025</t>
        </is>
      </c>
      <c r="M2238" t="inlineStr">
        <is>
          <t>P.Q.S. / ABC AL 90%</t>
        </is>
      </c>
      <c r="N2238" t="inlineStr">
        <is>
          <t>20/003286</t>
        </is>
      </c>
      <c r="O2238" t="inlineStr">
        <is>
          <t>R</t>
        </is>
      </c>
      <c r="P2238">
        <f>TRIM(N2238)</f>
        <v/>
      </c>
    </row>
    <row r="2239">
      <c r="A2239" t="inlineStr">
        <is>
          <t>CO-002120</t>
        </is>
      </c>
      <c r="B2239" t="inlineStr">
        <is>
          <t>PERU MASIVO S.A - INFRAESTRUCTURA</t>
        </is>
      </c>
      <c r="C2239" t="inlineStr">
        <is>
          <t xml:space="preserve"> 20492392031</t>
        </is>
      </c>
      <c r="D2239" t="inlineStr">
        <is>
          <t>AV. LOS INCAS CDRA. 4 PATIO NORTE - COMAS</t>
        </is>
      </c>
      <c r="E2239" t="inlineStr">
        <is>
          <t>Lima, 26 de Noviembre de 2024</t>
        </is>
      </c>
      <c r="F2239" t="inlineStr">
        <is>
          <t>la Recarga y mantenimiento</t>
        </is>
      </c>
      <c r="G2239" t="inlineStr">
        <is>
          <t>03</t>
        </is>
      </c>
      <c r="H2239" t="inlineStr">
        <is>
          <t>06 KG</t>
        </is>
      </c>
      <c r="I2239" t="n">
        <v>2029</v>
      </c>
      <c r="J2239" t="n">
        <v>2009</v>
      </c>
      <c r="K2239" t="inlineStr">
        <is>
          <t>NOVIEMBRE 2024</t>
        </is>
      </c>
      <c r="L2239" t="inlineStr">
        <is>
          <t>NOVIEMBRE 2025</t>
        </is>
      </c>
      <c r="M2239" t="inlineStr">
        <is>
          <t>P.Q.S. / ABC AL 90%</t>
        </is>
      </c>
      <c r="N2239" t="inlineStr">
        <is>
          <t>28/001080</t>
        </is>
      </c>
      <c r="O2239" t="inlineStr">
        <is>
          <t>R</t>
        </is>
      </c>
      <c r="P2239">
        <f>TRIM(N2239)</f>
        <v/>
      </c>
    </row>
    <row r="2240">
      <c r="A2240" t="inlineStr">
        <is>
          <t>CO-002120</t>
        </is>
      </c>
      <c r="B2240" t="inlineStr">
        <is>
          <t>PERU MASIVO S.A - INFRAESTRUCTURA</t>
        </is>
      </c>
      <c r="C2240" t="inlineStr">
        <is>
          <t xml:space="preserve"> 20492392031</t>
        </is>
      </c>
      <c r="D2240" t="inlineStr">
        <is>
          <t>AV. LOS INCAS CDRA. 4 PATIO NORTE - COMAS</t>
        </is>
      </c>
      <c r="E2240" t="inlineStr">
        <is>
          <t>Lima, 26 de Noviembre de 2024</t>
        </is>
      </c>
      <c r="F2240" t="inlineStr">
        <is>
          <t>la Recarga y mantenimiento</t>
        </is>
      </c>
      <c r="G2240" t="inlineStr">
        <is>
          <t>04</t>
        </is>
      </c>
      <c r="H2240" t="inlineStr">
        <is>
          <t>06 KG</t>
        </is>
      </c>
      <c r="I2240" t="n">
        <v>2028</v>
      </c>
      <c r="J2240" t="n">
        <v>2009</v>
      </c>
      <c r="K2240" t="inlineStr">
        <is>
          <t>NOVIEMBRE 2024</t>
        </is>
      </c>
      <c r="L2240" t="inlineStr">
        <is>
          <t>NOVIEMBRE 2025</t>
        </is>
      </c>
      <c r="M2240" t="inlineStr">
        <is>
          <t>P.Q.S. / ABC AL 90%</t>
        </is>
      </c>
      <c r="N2240" t="inlineStr">
        <is>
          <t>12/001381</t>
        </is>
      </c>
      <c r="O2240" t="inlineStr">
        <is>
          <t>R</t>
        </is>
      </c>
      <c r="P2240">
        <f>TRIM(N2240)</f>
        <v/>
      </c>
    </row>
    <row r="2241">
      <c r="A2241" t="inlineStr">
        <is>
          <t>CO-002120</t>
        </is>
      </c>
      <c r="B2241" t="inlineStr">
        <is>
          <t>PERU MASIVO S.A - INFRAESTRUCTURA</t>
        </is>
      </c>
      <c r="C2241" t="inlineStr">
        <is>
          <t xml:space="preserve"> 20492392031</t>
        </is>
      </c>
      <c r="D2241" t="inlineStr">
        <is>
          <t>AV. LOS INCAS CDRA. 4 PATIO NORTE - COMAS</t>
        </is>
      </c>
      <c r="E2241" t="inlineStr">
        <is>
          <t>Lima, 26 de Noviembre de 2024</t>
        </is>
      </c>
      <c r="F2241" t="inlineStr">
        <is>
          <t>la Recarga y mantenimiento</t>
        </is>
      </c>
      <c r="G2241" t="inlineStr">
        <is>
          <t>05</t>
        </is>
      </c>
      <c r="H2241" t="inlineStr">
        <is>
          <t>06 KG</t>
        </is>
      </c>
      <c r="I2241" t="n">
        <v>2028</v>
      </c>
      <c r="J2241" t="n">
        <v>2009</v>
      </c>
      <c r="K2241" t="inlineStr">
        <is>
          <t>NOVIEMBRE 2024</t>
        </is>
      </c>
      <c r="L2241" t="inlineStr">
        <is>
          <t>NOVIEMBRE 2025</t>
        </is>
      </c>
      <c r="M2241" t="inlineStr">
        <is>
          <t>P.Q.S. / ABC AL 90%</t>
        </is>
      </c>
      <c r="N2241" t="inlineStr">
        <is>
          <t>01/000603</t>
        </is>
      </c>
      <c r="O2241" t="inlineStr">
        <is>
          <t>R</t>
        </is>
      </c>
      <c r="P2241">
        <f>TRIM(N2241)</f>
        <v/>
      </c>
    </row>
    <row r="2242">
      <c r="A2242" t="inlineStr">
        <is>
          <t>CO-002120</t>
        </is>
      </c>
      <c r="B2242" t="inlineStr">
        <is>
          <t>PERU MASIVO S.A - INFRAESTRUCTURA</t>
        </is>
      </c>
      <c r="C2242" t="inlineStr">
        <is>
          <t xml:space="preserve"> 20492392031</t>
        </is>
      </c>
      <c r="D2242" t="inlineStr">
        <is>
          <t>AV. LOS INCAS CDRA. 4 PATIO NORTE - COMAS</t>
        </is>
      </c>
      <c r="E2242" t="inlineStr">
        <is>
          <t>Lima, 26 de Noviembre de 2024</t>
        </is>
      </c>
      <c r="F2242" t="inlineStr">
        <is>
          <t>la Recarga y mantenimiento</t>
        </is>
      </c>
      <c r="G2242" t="inlineStr">
        <is>
          <t>06</t>
        </is>
      </c>
      <c r="H2242" t="inlineStr">
        <is>
          <t>06 KG</t>
        </is>
      </c>
      <c r="I2242" t="n">
        <v>2028</v>
      </c>
      <c r="J2242" t="n">
        <v>2009</v>
      </c>
      <c r="K2242" t="inlineStr">
        <is>
          <t>NOVIEMBRE 2024</t>
        </is>
      </c>
      <c r="L2242" t="inlineStr">
        <is>
          <t>NOVIEMBRE 2025</t>
        </is>
      </c>
      <c r="M2242" t="inlineStr">
        <is>
          <t>P.Q.S. / ABC AL 90%</t>
        </is>
      </c>
      <c r="N2242" t="inlineStr">
        <is>
          <t>21/000096</t>
        </is>
      </c>
      <c r="O2242" t="inlineStr">
        <is>
          <t>R</t>
        </is>
      </c>
      <c r="P2242">
        <f>TRIM(N2242)</f>
        <v/>
      </c>
    </row>
    <row r="2243">
      <c r="A2243" t="inlineStr">
        <is>
          <t>CO-002120</t>
        </is>
      </c>
      <c r="B2243" t="inlineStr">
        <is>
          <t>PERU MASIVO S.A - INFRAESTRUCTURA</t>
        </is>
      </c>
      <c r="C2243" t="inlineStr">
        <is>
          <t xml:space="preserve"> 20492392031</t>
        </is>
      </c>
      <c r="D2243" t="inlineStr">
        <is>
          <t>AV. LOS INCAS CDRA. 4 PATIO NORTE - COMAS</t>
        </is>
      </c>
      <c r="E2243" t="inlineStr">
        <is>
          <t>Lima, 26 de Noviembre de 2024</t>
        </is>
      </c>
      <c r="F2243" t="inlineStr">
        <is>
          <t>la Recarga y mantenimiento</t>
        </is>
      </c>
      <c r="G2243" t="inlineStr">
        <is>
          <t>07</t>
        </is>
      </c>
      <c r="H2243" t="inlineStr">
        <is>
          <t>06 KG</t>
        </is>
      </c>
      <c r="I2243" t="n">
        <v>2028</v>
      </c>
      <c r="J2243" t="n">
        <v>2010</v>
      </c>
      <c r="K2243" t="inlineStr">
        <is>
          <t>NOVIEMBRE 2024</t>
        </is>
      </c>
      <c r="L2243" t="inlineStr">
        <is>
          <t>NOVIEMBRE 2025</t>
        </is>
      </c>
      <c r="M2243" t="inlineStr">
        <is>
          <t>P.Q.S. / ABC AL 90%</t>
        </is>
      </c>
      <c r="N2243" t="inlineStr">
        <is>
          <t>19/001140</t>
        </is>
      </c>
      <c r="O2243" t="inlineStr">
        <is>
          <t>R</t>
        </is>
      </c>
      <c r="P2243">
        <f>TRIM(N2243)</f>
        <v/>
      </c>
    </row>
    <row r="2244">
      <c r="A2244" t="inlineStr">
        <is>
          <t>CO-002120</t>
        </is>
      </c>
      <c r="B2244" t="inlineStr">
        <is>
          <t>PERU MASIVO S.A - INFRAESTRUCTURA</t>
        </is>
      </c>
      <c r="C2244" t="inlineStr">
        <is>
          <t xml:space="preserve"> 20492392031</t>
        </is>
      </c>
      <c r="D2244" t="inlineStr">
        <is>
          <t>AV. LOS INCAS CDRA. 4 PATIO NORTE - COMAS</t>
        </is>
      </c>
      <c r="E2244" t="inlineStr">
        <is>
          <t>Lima, 26 de Noviembre de 2024</t>
        </is>
      </c>
      <c r="F2244" t="inlineStr">
        <is>
          <t>la Recarga y mantenimiento</t>
        </is>
      </c>
      <c r="G2244" t="inlineStr">
        <is>
          <t>08</t>
        </is>
      </c>
      <c r="H2244" t="inlineStr">
        <is>
          <t>12 KG</t>
        </is>
      </c>
      <c r="I2244" t="n">
        <v>2029</v>
      </c>
      <c r="J2244" t="n">
        <v>2012</v>
      </c>
      <c r="K2244" t="inlineStr">
        <is>
          <t>NOVIEMBRE 2024</t>
        </is>
      </c>
      <c r="L2244" t="inlineStr">
        <is>
          <t>NOVIEMBRE 2025</t>
        </is>
      </c>
      <c r="M2244" t="inlineStr">
        <is>
          <t>P.Q.S. / ABC AL 90%</t>
        </is>
      </c>
      <c r="N2244" t="inlineStr">
        <is>
          <t>31/000395</t>
        </is>
      </c>
      <c r="O2244" t="inlineStr">
        <is>
          <t>R</t>
        </is>
      </c>
      <c r="P2244">
        <f>TRIM(N2244)</f>
        <v/>
      </c>
    </row>
    <row r="2245">
      <c r="A2245" t="inlineStr">
        <is>
          <t>CO-002120</t>
        </is>
      </c>
      <c r="B2245" t="inlineStr">
        <is>
          <t>PERU MASIVO S.A - INFRAESTRUCTURA</t>
        </is>
      </c>
      <c r="C2245" t="inlineStr">
        <is>
          <t xml:space="preserve"> 20492392031</t>
        </is>
      </c>
      <c r="D2245" t="inlineStr">
        <is>
          <t>AV. LOS INCAS CDRA. 4 PATIO NORTE - COMAS</t>
        </is>
      </c>
      <c r="E2245" t="inlineStr">
        <is>
          <t>Lima, 26 de Noviembre de 2024</t>
        </is>
      </c>
      <c r="F2245" t="inlineStr">
        <is>
          <t>la Recarga y mantenimiento</t>
        </is>
      </c>
      <c r="G2245" t="inlineStr">
        <is>
          <t>09</t>
        </is>
      </c>
      <c r="H2245" t="inlineStr">
        <is>
          <t>10 LBS</t>
        </is>
      </c>
      <c r="I2245" t="n">
        <v>2025</v>
      </c>
      <c r="J2245" t="n">
        <v>2012</v>
      </c>
      <c r="K2245" t="inlineStr">
        <is>
          <t>NOVIEMBRE 2024</t>
        </is>
      </c>
      <c r="L2245" t="inlineStr">
        <is>
          <t>NOVIEMBRE 2025</t>
        </is>
      </c>
      <c r="M2245" t="inlineStr">
        <is>
          <t>CO2 /TIPO BC</t>
        </is>
      </c>
      <c r="N2245" t="inlineStr">
        <is>
          <t>0614570</t>
        </is>
      </c>
      <c r="O2245" t="inlineStr">
        <is>
          <t>R</t>
        </is>
      </c>
      <c r="P2245">
        <f>TRIM(N2245)</f>
        <v/>
      </c>
    </row>
    <row r="2246">
      <c r="A2246" t="inlineStr">
        <is>
          <t>CO-002120</t>
        </is>
      </c>
      <c r="B2246" t="inlineStr">
        <is>
          <t>PERU MASIVO S.A - INFRAESTRUCTURA</t>
        </is>
      </c>
      <c r="C2246" t="inlineStr">
        <is>
          <t xml:space="preserve"> 20492392031</t>
        </is>
      </c>
      <c r="D2246" t="inlineStr">
        <is>
          <t>AV. LOS INCAS CDRA. 4 PATIO NORTE - COMAS</t>
        </is>
      </c>
      <c r="E2246" t="inlineStr">
        <is>
          <t>Lima, 26 de Noviembre de 2024</t>
        </is>
      </c>
      <c r="F2246" t="inlineStr">
        <is>
          <t>la Recarga y mantenimiento</t>
        </is>
      </c>
      <c r="G2246" t="n">
        <v>15</v>
      </c>
      <c r="O2246" t="inlineStr">
        <is>
          <t>R</t>
        </is>
      </c>
      <c r="P2246">
        <f>TRIM(N2246)</f>
        <v/>
      </c>
    </row>
    <row r="2247">
      <c r="A2247" t="inlineStr">
        <is>
          <t>CO-002121</t>
        </is>
      </c>
      <c r="B2247" t="inlineStr">
        <is>
          <t>SUNAT - AREQUIPA - SEDE MOLLENDO</t>
        </is>
      </c>
      <c r="C2247" t="inlineStr">
        <is>
          <t>20131312955</t>
        </is>
      </c>
      <c r="D2247" t="inlineStr">
        <is>
          <t>Av. Tupac Amaru 102 Urb. Miramar</t>
        </is>
      </c>
      <c r="E2247" t="inlineStr">
        <is>
          <t>Lima, 10 de Diciembre de 2024</t>
        </is>
      </c>
      <c r="F2247" t="inlineStr">
        <is>
          <t>la Recarga y mantenimiento</t>
        </is>
      </c>
      <c r="G2247" t="inlineStr">
        <is>
          <t>01</t>
        </is>
      </c>
      <c r="H2247" t="inlineStr">
        <is>
          <t>20 LBS</t>
        </is>
      </c>
      <c r="I2247" t="inlineStr">
        <is>
          <t>2027</t>
        </is>
      </c>
      <c r="J2247" t="n">
        <v>2007</v>
      </c>
      <c r="K2247" t="inlineStr">
        <is>
          <t>NOVIEMBRE 2024</t>
        </is>
      </c>
      <c r="L2247" t="inlineStr">
        <is>
          <t>NOVIEMBRE 2025</t>
        </is>
      </c>
      <c r="M2247" t="inlineStr">
        <is>
          <t>P.Q.S. / ABC AL 90%</t>
        </is>
      </c>
      <c r="N2247" t="inlineStr">
        <is>
          <t>01/ZB239367</t>
        </is>
      </c>
      <c r="O2247" t="inlineStr">
        <is>
          <t>R</t>
        </is>
      </c>
      <c r="P2247">
        <f>TRIM(N2247)</f>
        <v/>
      </c>
    </row>
    <row r="2248">
      <c r="A2248" t="inlineStr">
        <is>
          <t>CO-002121</t>
        </is>
      </c>
      <c r="B2248" t="inlineStr">
        <is>
          <t>SUNAT - AREQUIPA - SEDE MOLLENDO</t>
        </is>
      </c>
      <c r="C2248" t="inlineStr">
        <is>
          <t>20131312955</t>
        </is>
      </c>
      <c r="D2248" t="inlineStr">
        <is>
          <t>Av. Tupac Amaru 102 Urb. Miramar</t>
        </is>
      </c>
      <c r="E2248" t="inlineStr">
        <is>
          <t>Lima, 10 de Diciembre de 2024</t>
        </is>
      </c>
      <c r="F2248" t="inlineStr">
        <is>
          <t>la Recarga y mantenimiento</t>
        </is>
      </c>
      <c r="G2248" t="inlineStr">
        <is>
          <t>02</t>
        </is>
      </c>
      <c r="H2248" t="inlineStr">
        <is>
          <t xml:space="preserve">15 LBS </t>
        </is>
      </c>
      <c r="I2248" t="inlineStr">
        <is>
          <t>2027</t>
        </is>
      </c>
      <c r="J2248" t="n">
        <v>2012</v>
      </c>
      <c r="K2248" t="inlineStr">
        <is>
          <t>NOVIEMBRE 2024</t>
        </is>
      </c>
      <c r="L2248" t="inlineStr">
        <is>
          <t>NOVIEMBRE 2025</t>
        </is>
      </c>
      <c r="M2248" t="inlineStr">
        <is>
          <t>CO2 /TIPO BC</t>
        </is>
      </c>
      <c r="N2248" t="inlineStr">
        <is>
          <t>02/790470</t>
        </is>
      </c>
      <c r="O2248" t="inlineStr">
        <is>
          <t>R</t>
        </is>
      </c>
      <c r="P2248">
        <f>TRIM(N2248)</f>
        <v/>
      </c>
    </row>
    <row r="2249">
      <c r="A2249" t="inlineStr">
        <is>
          <t>CO-002121</t>
        </is>
      </c>
      <c r="B2249" t="inlineStr">
        <is>
          <t>SUNAT - AREQUIPA - SEDE MOLLENDO</t>
        </is>
      </c>
      <c r="C2249" t="inlineStr">
        <is>
          <t>20131312955</t>
        </is>
      </c>
      <c r="D2249" t="inlineStr">
        <is>
          <t>Av. Tupac Amaru 102 Urb. Miramar</t>
        </is>
      </c>
      <c r="E2249" t="inlineStr">
        <is>
          <t>Lima, 10 de Diciembre de 2024</t>
        </is>
      </c>
      <c r="F2249" t="inlineStr">
        <is>
          <t>la Recarga y mantenimiento</t>
        </is>
      </c>
      <c r="G2249" t="inlineStr">
        <is>
          <t>03</t>
        </is>
      </c>
      <c r="H2249" t="inlineStr">
        <is>
          <t>30 LBS</t>
        </is>
      </c>
      <c r="I2249" t="n">
        <v>2028</v>
      </c>
      <c r="J2249" t="n">
        <v>2013</v>
      </c>
      <c r="K2249" t="inlineStr">
        <is>
          <t>NOVIEMBRE 2024</t>
        </is>
      </c>
      <c r="L2249" t="inlineStr">
        <is>
          <t>NOVIEMBRE 2025</t>
        </is>
      </c>
      <c r="M2249" t="inlineStr">
        <is>
          <t>P.Q.S. / ABC AL 90%</t>
        </is>
      </c>
      <c r="N2249" t="inlineStr">
        <is>
          <t>03/BK574215</t>
        </is>
      </c>
      <c r="O2249" t="inlineStr">
        <is>
          <t>R</t>
        </is>
      </c>
      <c r="P2249">
        <f>TRIM(N2249)</f>
        <v/>
      </c>
    </row>
    <row r="2250">
      <c r="A2250" t="inlineStr">
        <is>
          <t>CO-002121</t>
        </is>
      </c>
      <c r="B2250" t="inlineStr">
        <is>
          <t>SUNAT - AREQUIPA - SEDE MOLLENDO</t>
        </is>
      </c>
      <c r="C2250" t="inlineStr">
        <is>
          <t>20131312955</t>
        </is>
      </c>
      <c r="D2250" t="inlineStr">
        <is>
          <t>Av. Tupac Amaru 102 Urb. Miramar</t>
        </is>
      </c>
      <c r="E2250" t="inlineStr">
        <is>
          <t>Lima, 10 de Diciembre de 2024</t>
        </is>
      </c>
      <c r="F2250" t="inlineStr">
        <is>
          <t>la Recarga y mantenimiento</t>
        </is>
      </c>
      <c r="G2250" t="inlineStr">
        <is>
          <t>04</t>
        </is>
      </c>
      <c r="H2250" t="inlineStr">
        <is>
          <t xml:space="preserve">30  LBS </t>
        </is>
      </c>
      <c r="I2250" t="n">
        <v>2028</v>
      </c>
      <c r="J2250" t="n">
        <v>2013</v>
      </c>
      <c r="K2250" t="inlineStr">
        <is>
          <t>NOVIEMBRE 2024</t>
        </is>
      </c>
      <c r="L2250" t="inlineStr">
        <is>
          <t>NOVIEMBRE 2025</t>
        </is>
      </c>
      <c r="M2250" t="inlineStr">
        <is>
          <t>P.Q.S. / ABC AL 90%</t>
        </is>
      </c>
      <c r="N2250" t="inlineStr">
        <is>
          <t>04/BR572440</t>
        </is>
      </c>
      <c r="O2250" t="inlineStr">
        <is>
          <t>R</t>
        </is>
      </c>
      <c r="P2250">
        <f>TRIM(N2250)</f>
        <v/>
      </c>
    </row>
    <row r="2251">
      <c r="A2251" t="inlineStr">
        <is>
          <t>CO-002121</t>
        </is>
      </c>
      <c r="B2251" t="inlineStr">
        <is>
          <t>SUNAT - AREQUIPA - SEDE MOLLENDO</t>
        </is>
      </c>
      <c r="C2251" t="inlineStr">
        <is>
          <t>20131312955</t>
        </is>
      </c>
      <c r="D2251" t="inlineStr">
        <is>
          <t>Av. Tupac Amaru 102 Urb. Miramar</t>
        </is>
      </c>
      <c r="E2251" t="inlineStr">
        <is>
          <t>Lima, 10 de Diciembre de 2024</t>
        </is>
      </c>
      <c r="F2251" t="inlineStr">
        <is>
          <t>la Recarga y mantenimiento</t>
        </is>
      </c>
      <c r="G2251" t="inlineStr">
        <is>
          <t>05</t>
        </is>
      </c>
      <c r="H2251" t="inlineStr">
        <is>
          <t xml:space="preserve">30  LBS </t>
        </is>
      </c>
      <c r="I2251" t="n">
        <v>2028</v>
      </c>
      <c r="J2251" t="n">
        <v>2013</v>
      </c>
      <c r="K2251" t="inlineStr">
        <is>
          <t>NOVIEMBRE 2024</t>
        </is>
      </c>
      <c r="L2251" t="inlineStr">
        <is>
          <t>NOVIEMBRE 2025</t>
        </is>
      </c>
      <c r="M2251" t="inlineStr">
        <is>
          <t>P.Q.S. / ABC AL 90%</t>
        </is>
      </c>
      <c r="N2251" t="inlineStr">
        <is>
          <t>05/BR574034</t>
        </is>
      </c>
      <c r="O2251" t="inlineStr">
        <is>
          <t>R</t>
        </is>
      </c>
      <c r="P2251">
        <f>TRIM(N2251)</f>
        <v/>
      </c>
    </row>
    <row r="2252">
      <c r="A2252" t="inlineStr">
        <is>
          <t>CO-002121</t>
        </is>
      </c>
      <c r="B2252" t="inlineStr">
        <is>
          <t>SUNAT - AREQUIPA - SEDE MOLLENDO</t>
        </is>
      </c>
      <c r="C2252" t="inlineStr">
        <is>
          <t>20131312955</t>
        </is>
      </c>
      <c r="D2252" t="inlineStr">
        <is>
          <t>Av. Tupac Amaru 102 Urb. Miramar</t>
        </is>
      </c>
      <c r="E2252" t="inlineStr">
        <is>
          <t>Lima, 10 de Diciembre de 2024</t>
        </is>
      </c>
      <c r="F2252" t="inlineStr">
        <is>
          <t>la Recarga y mantenimiento</t>
        </is>
      </c>
      <c r="G2252" t="inlineStr">
        <is>
          <t>06</t>
        </is>
      </c>
      <c r="H2252" t="inlineStr">
        <is>
          <t xml:space="preserve">30  LBS </t>
        </is>
      </c>
      <c r="I2252" t="n">
        <v>2028</v>
      </c>
      <c r="J2252" t="n">
        <v>2013</v>
      </c>
      <c r="K2252" t="inlineStr">
        <is>
          <t>NOVIEMBRE 2024</t>
        </is>
      </c>
      <c r="L2252" t="inlineStr">
        <is>
          <t>NOVIEMBRE 2025</t>
        </is>
      </c>
      <c r="M2252" t="inlineStr">
        <is>
          <t>P.Q.S. / ABC AL 90%</t>
        </is>
      </c>
      <c r="N2252" t="inlineStr">
        <is>
          <t>06/BR572438</t>
        </is>
      </c>
      <c r="O2252" t="inlineStr">
        <is>
          <t>R</t>
        </is>
      </c>
      <c r="P2252">
        <f>TRIM(N2252)</f>
        <v/>
      </c>
    </row>
    <row r="2253">
      <c r="A2253" t="inlineStr">
        <is>
          <t>CO-002121</t>
        </is>
      </c>
      <c r="B2253" t="inlineStr">
        <is>
          <t>SUNAT - AREQUIPA - SEDE MOLLENDO</t>
        </is>
      </c>
      <c r="C2253" t="inlineStr">
        <is>
          <t>20131312955</t>
        </is>
      </c>
      <c r="D2253" t="inlineStr">
        <is>
          <t>Av. Tupac Amaru 102 Urb. Miramar</t>
        </is>
      </c>
      <c r="E2253" t="inlineStr">
        <is>
          <t>Lima, 10 de Diciembre de 2024</t>
        </is>
      </c>
      <c r="F2253" t="inlineStr">
        <is>
          <t>la Recarga y mantenimiento</t>
        </is>
      </c>
      <c r="G2253" t="inlineStr">
        <is>
          <t>07</t>
        </is>
      </c>
      <c r="H2253" t="inlineStr">
        <is>
          <t>15 LBS</t>
        </is>
      </c>
      <c r="I2253" t="n">
        <v>2027</v>
      </c>
      <c r="J2253" t="n">
        <v>2012</v>
      </c>
      <c r="K2253" t="inlineStr">
        <is>
          <t>NOVIEMBRE 2024</t>
        </is>
      </c>
      <c r="L2253" t="inlineStr">
        <is>
          <t>NOVIEMBRE 2025</t>
        </is>
      </c>
      <c r="M2253" t="inlineStr">
        <is>
          <t>CO2 /TIPO BC</t>
        </is>
      </c>
      <c r="N2253" t="inlineStr">
        <is>
          <t>07/W794048</t>
        </is>
      </c>
      <c r="O2253" t="inlineStr">
        <is>
          <t>R</t>
        </is>
      </c>
      <c r="P2253">
        <f>TRIM(N2253)</f>
        <v/>
      </c>
    </row>
    <row r="2254">
      <c r="A2254" t="inlineStr">
        <is>
          <t>CO-002121</t>
        </is>
      </c>
      <c r="B2254" t="inlineStr">
        <is>
          <t>SUNAT - AREQUIPA - SEDE MOLLENDO</t>
        </is>
      </c>
      <c r="C2254" t="inlineStr">
        <is>
          <t>20131312955</t>
        </is>
      </c>
      <c r="D2254" t="inlineStr">
        <is>
          <t>Av. Tupac Amaru 102 Urb. Miramar</t>
        </is>
      </c>
      <c r="E2254" t="inlineStr">
        <is>
          <t>Lima, 10 de Diciembre de 2024</t>
        </is>
      </c>
      <c r="F2254" t="inlineStr">
        <is>
          <t>la Recarga y mantenimiento</t>
        </is>
      </c>
      <c r="G2254" t="inlineStr">
        <is>
          <t>08</t>
        </is>
      </c>
      <c r="H2254" t="inlineStr">
        <is>
          <t>15 LBS</t>
        </is>
      </c>
      <c r="I2254" t="n">
        <v>2027</v>
      </c>
      <c r="J2254" t="n">
        <v>2012</v>
      </c>
      <c r="K2254" t="inlineStr">
        <is>
          <t>NOVIEMBRE 2024</t>
        </is>
      </c>
      <c r="L2254" t="inlineStr">
        <is>
          <t>NOVIEMBRE 2025</t>
        </is>
      </c>
      <c r="M2254" t="inlineStr">
        <is>
          <t>CO2 /TIPO BC</t>
        </is>
      </c>
      <c r="N2254" t="inlineStr">
        <is>
          <t>08/794336</t>
        </is>
      </c>
      <c r="O2254" t="inlineStr">
        <is>
          <t>R</t>
        </is>
      </c>
      <c r="P2254">
        <f>TRIM(N2254)</f>
        <v/>
      </c>
    </row>
    <row r="2255">
      <c r="A2255" t="inlineStr">
        <is>
          <t>CO-002121</t>
        </is>
      </c>
      <c r="B2255" t="inlineStr">
        <is>
          <t>SUNAT - AREQUIPA - SEDE MOLLENDO</t>
        </is>
      </c>
      <c r="C2255" t="inlineStr">
        <is>
          <t>20131312955</t>
        </is>
      </c>
      <c r="D2255" t="inlineStr">
        <is>
          <t>Av. Tupac Amaru 102 Urb. Miramar</t>
        </is>
      </c>
      <c r="E2255" t="inlineStr">
        <is>
          <t>Lima, 10 de Diciembre de 2024</t>
        </is>
      </c>
      <c r="F2255" t="inlineStr">
        <is>
          <t>la Recarga y mantenimiento</t>
        </is>
      </c>
      <c r="G2255" t="inlineStr">
        <is>
          <t>09</t>
        </is>
      </c>
      <c r="H2255" t="inlineStr">
        <is>
          <t>15 LBS</t>
        </is>
      </c>
      <c r="I2255" t="n">
        <v>2027</v>
      </c>
      <c r="J2255" t="n">
        <v>2012</v>
      </c>
      <c r="K2255" t="inlineStr">
        <is>
          <t>NOVIEMBRE 2024</t>
        </is>
      </c>
      <c r="L2255" t="inlineStr">
        <is>
          <t>NOVIEMBRE 2025</t>
        </is>
      </c>
      <c r="M2255" t="inlineStr">
        <is>
          <t>CO2 /TIPO BC</t>
        </is>
      </c>
      <c r="N2255" t="inlineStr">
        <is>
          <t>09/794212</t>
        </is>
      </c>
      <c r="O2255" t="inlineStr">
        <is>
          <t>R</t>
        </is>
      </c>
      <c r="P2255">
        <f>TRIM(N2255)</f>
        <v/>
      </c>
    </row>
    <row r="2256">
      <c r="A2256" t="inlineStr">
        <is>
          <t>CO-002121</t>
        </is>
      </c>
      <c r="B2256" t="inlineStr">
        <is>
          <t>SUNAT - AREQUIPA - SEDE MOLLENDO</t>
        </is>
      </c>
      <c r="C2256" t="inlineStr">
        <is>
          <t>20131312955</t>
        </is>
      </c>
      <c r="D2256" t="inlineStr">
        <is>
          <t>Av. Tupac Amaru 102 Urb. Miramar</t>
        </is>
      </c>
      <c r="E2256" t="inlineStr">
        <is>
          <t>Lima, 10 de Diciembre de 2024</t>
        </is>
      </c>
      <c r="F2256" t="inlineStr">
        <is>
          <t>la Recarga y mantenimiento</t>
        </is>
      </c>
      <c r="G2256" t="n">
        <v>10</v>
      </c>
      <c r="H2256" t="inlineStr">
        <is>
          <t>15 LBS</t>
        </is>
      </c>
      <c r="I2256" t="n">
        <v>2027</v>
      </c>
      <c r="J2256" t="n">
        <v>2012</v>
      </c>
      <c r="K2256" t="inlineStr">
        <is>
          <t>NOVIEMBRE 2024</t>
        </is>
      </c>
      <c r="L2256" t="inlineStr">
        <is>
          <t>NOVIEMBRE 2025</t>
        </is>
      </c>
      <c r="M2256" t="inlineStr">
        <is>
          <t>CO2 /TIPO BC</t>
        </is>
      </c>
      <c r="N2256" t="inlineStr">
        <is>
          <t>10/795618</t>
        </is>
      </c>
      <c r="O2256" t="inlineStr">
        <is>
          <t>R</t>
        </is>
      </c>
      <c r="P2256">
        <f>TRIM(N2256)</f>
        <v/>
      </c>
    </row>
    <row r="2257">
      <c r="A2257" t="inlineStr">
        <is>
          <t>CO-002121</t>
        </is>
      </c>
      <c r="B2257" t="inlineStr">
        <is>
          <t>SUNAT - AREQUIPA - SEDE MOLLENDO</t>
        </is>
      </c>
      <c r="C2257" t="inlineStr">
        <is>
          <t>20131312955</t>
        </is>
      </c>
      <c r="D2257" t="inlineStr">
        <is>
          <t>Av. Tupac Amaru 102 Urb. Miramar</t>
        </is>
      </c>
      <c r="E2257" t="inlineStr">
        <is>
          <t>Lima, 10 de Diciembre de 2024</t>
        </is>
      </c>
      <c r="F2257" t="inlineStr">
        <is>
          <t>la Recarga y mantenimiento</t>
        </is>
      </c>
      <c r="G2257" t="n">
        <v>11</v>
      </c>
      <c r="H2257" t="inlineStr">
        <is>
          <t xml:space="preserve">20 LBS </t>
        </is>
      </c>
      <c r="I2257" t="inlineStr">
        <is>
          <t>N/R</t>
        </is>
      </c>
      <c r="J2257" t="inlineStr">
        <is>
          <t>N/R</t>
        </is>
      </c>
      <c r="K2257" t="inlineStr">
        <is>
          <t>NOVIEMBRE 2024</t>
        </is>
      </c>
      <c r="L2257" t="inlineStr">
        <is>
          <t>NOVIEMBRE 2025</t>
        </is>
      </c>
      <c r="M2257" t="inlineStr">
        <is>
          <t>P.Q.S. / ABC AL 90%</t>
        </is>
      </c>
      <c r="N2257" t="inlineStr">
        <is>
          <t>12/M179924</t>
        </is>
      </c>
      <c r="O2257" t="inlineStr">
        <is>
          <t>R</t>
        </is>
      </c>
      <c r="P2257">
        <f>TRIM(N2257)</f>
        <v/>
      </c>
    </row>
    <row r="2258">
      <c r="A2258" t="inlineStr">
        <is>
          <t>CO-002121</t>
        </is>
      </c>
      <c r="B2258" t="inlineStr">
        <is>
          <t>SUNAT - AREQUIPA - SEDE MOLLENDO</t>
        </is>
      </c>
      <c r="C2258" t="inlineStr">
        <is>
          <t>20131312955</t>
        </is>
      </c>
      <c r="D2258" t="inlineStr">
        <is>
          <t>Av. Tupac Amaru 102 Urb. Miramar</t>
        </is>
      </c>
      <c r="E2258" t="inlineStr">
        <is>
          <t>Lima, 10 de Diciembre de 2024</t>
        </is>
      </c>
      <c r="F2258" t="inlineStr">
        <is>
          <t>la Recarga y mantenimiento</t>
        </is>
      </c>
      <c r="G2258" t="n">
        <v>12</v>
      </c>
      <c r="H2258" t="inlineStr">
        <is>
          <t>30 LBS</t>
        </is>
      </c>
      <c r="I2258" t="n">
        <v>2028</v>
      </c>
      <c r="J2258" t="n">
        <v>2013</v>
      </c>
      <c r="K2258" t="inlineStr">
        <is>
          <t>NOVIEMBRE 2024</t>
        </is>
      </c>
      <c r="L2258" t="inlineStr">
        <is>
          <t>NOVIEMBRE 2025</t>
        </is>
      </c>
      <c r="M2258" t="inlineStr">
        <is>
          <t>P.Q.S. / ABC AL 90%</t>
        </is>
      </c>
      <c r="N2258" t="inlineStr">
        <is>
          <t>13/BK574028</t>
        </is>
      </c>
      <c r="O2258" t="inlineStr">
        <is>
          <t>R</t>
        </is>
      </c>
      <c r="P2258">
        <f>TRIM(N2258)</f>
        <v/>
      </c>
    </row>
    <row r="2259">
      <c r="A2259" t="inlineStr">
        <is>
          <t>CO-002121</t>
        </is>
      </c>
      <c r="B2259" t="inlineStr">
        <is>
          <t>SUNAT - AREQUIPA - SEDE MOLLENDO</t>
        </is>
      </c>
      <c r="C2259" t="inlineStr">
        <is>
          <t>20131312955</t>
        </is>
      </c>
      <c r="D2259" t="inlineStr">
        <is>
          <t>Av. Tupac Amaru 102 Urb. Miramar</t>
        </is>
      </c>
      <c r="E2259" t="inlineStr">
        <is>
          <t>Lima, 10 de Diciembre de 2024</t>
        </is>
      </c>
      <c r="F2259" t="inlineStr">
        <is>
          <t>la Recarga y mantenimiento</t>
        </is>
      </c>
      <c r="G2259" t="n">
        <v>13</v>
      </c>
      <c r="H2259" t="inlineStr">
        <is>
          <t>30 LBS</t>
        </is>
      </c>
      <c r="I2259" t="n">
        <v>2028</v>
      </c>
      <c r="J2259" t="n">
        <v>2013</v>
      </c>
      <c r="K2259" t="inlineStr">
        <is>
          <t>NOVIEMBRE 2024</t>
        </is>
      </c>
      <c r="L2259" t="inlineStr">
        <is>
          <t>NOVIEMBRE 2025</t>
        </is>
      </c>
      <c r="M2259" t="inlineStr">
        <is>
          <t>P.Q.S. / ABC AL 90%</t>
        </is>
      </c>
      <c r="N2259" t="inlineStr">
        <is>
          <t>14/BR572448</t>
        </is>
      </c>
      <c r="O2259" t="inlineStr">
        <is>
          <t>R</t>
        </is>
      </c>
      <c r="P2259">
        <f>TRIM(N2259)</f>
        <v/>
      </c>
    </row>
    <row r="2260">
      <c r="A2260" t="inlineStr">
        <is>
          <t>CO-002121</t>
        </is>
      </c>
      <c r="B2260" t="inlineStr">
        <is>
          <t>SUNAT - AREQUIPA - SEDE MOLLENDO</t>
        </is>
      </c>
      <c r="C2260" t="inlineStr">
        <is>
          <t>20131312955</t>
        </is>
      </c>
      <c r="D2260" t="inlineStr">
        <is>
          <t>Av. Tupac Amaru 102 Urb. Miramar</t>
        </is>
      </c>
      <c r="E2260" t="inlineStr">
        <is>
          <t>Lima, 10 de Diciembre de 2024</t>
        </is>
      </c>
      <c r="F2260" t="inlineStr">
        <is>
          <t>la Recarga y mantenimiento</t>
        </is>
      </c>
      <c r="G2260" t="n">
        <v>14</v>
      </c>
      <c r="H2260" t="inlineStr">
        <is>
          <t>20 LBS</t>
        </is>
      </c>
      <c r="I2260" t="inlineStr">
        <is>
          <t>N/R</t>
        </is>
      </c>
      <c r="J2260" t="inlineStr">
        <is>
          <t>N/R</t>
        </is>
      </c>
      <c r="K2260" t="inlineStr">
        <is>
          <t>NOVIEMBRE 2024</t>
        </is>
      </c>
      <c r="L2260" t="inlineStr">
        <is>
          <t>NOVIEMBRE 2025</t>
        </is>
      </c>
      <c r="M2260" t="inlineStr">
        <is>
          <t>P.Q.S. / ABC AL 90%</t>
        </is>
      </c>
      <c r="N2260" t="inlineStr">
        <is>
          <t>15/M179932</t>
        </is>
      </c>
      <c r="O2260" t="inlineStr">
        <is>
          <t>R</t>
        </is>
      </c>
      <c r="P2260">
        <f>TRIM(N2260)</f>
        <v/>
      </c>
    </row>
    <row r="2261">
      <c r="A2261" t="inlineStr">
        <is>
          <t>CO-002121</t>
        </is>
      </c>
      <c r="B2261" t="inlineStr">
        <is>
          <t>SUNAT - AREQUIPA - SEDE MOLLENDO</t>
        </is>
      </c>
      <c r="C2261" t="inlineStr">
        <is>
          <t>20131312955</t>
        </is>
      </c>
      <c r="D2261" t="inlineStr">
        <is>
          <t>Av. Tupac Amaru 102 Urb. Miramar</t>
        </is>
      </c>
      <c r="E2261" t="inlineStr">
        <is>
          <t>Lima, 10 de Diciembre de 2024</t>
        </is>
      </c>
      <c r="F2261" t="inlineStr">
        <is>
          <t>la Recarga y mantenimiento</t>
        </is>
      </c>
      <c r="G2261" t="n">
        <v>15</v>
      </c>
      <c r="H2261" t="inlineStr">
        <is>
          <t xml:space="preserve">20 LBS </t>
        </is>
      </c>
      <c r="I2261" t="n">
        <v>2027</v>
      </c>
      <c r="J2261" t="n">
        <v>2007</v>
      </c>
      <c r="K2261" t="inlineStr">
        <is>
          <t>NOVIEMBRE 2024</t>
        </is>
      </c>
      <c r="L2261" t="inlineStr">
        <is>
          <t>NOVIEMBRE 2025</t>
        </is>
      </c>
      <c r="M2261" t="inlineStr">
        <is>
          <t>P.Q.S. / ABC AL 90%</t>
        </is>
      </c>
      <c r="N2261" t="inlineStr">
        <is>
          <t>16/ZB239273</t>
        </is>
      </c>
      <c r="O2261" t="inlineStr">
        <is>
          <t>R</t>
        </is>
      </c>
      <c r="P2261">
        <f>TRIM(N2261)</f>
        <v/>
      </c>
    </row>
    <row r="2262">
      <c r="A2262" t="inlineStr">
        <is>
          <t>CO-002122</t>
        </is>
      </c>
      <c r="B2262" t="inlineStr">
        <is>
          <t xml:space="preserve">JULIA PANIZO </t>
        </is>
      </c>
      <c r="D2262" t="inlineStr">
        <is>
          <t xml:space="preserve">MERCADO 1 DE MAYO </t>
        </is>
      </c>
      <c r="E2262" t="inlineStr">
        <is>
          <t>Lima, 26 de Noviembre de 2024</t>
        </is>
      </c>
      <c r="F2262" t="inlineStr">
        <is>
          <t xml:space="preserve">Venta </t>
        </is>
      </c>
      <c r="G2262" t="n">
        <v>1</v>
      </c>
      <c r="H2262" t="inlineStr">
        <is>
          <t>04 KG</t>
        </is>
      </c>
      <c r="I2262" t="inlineStr">
        <is>
          <t>2029</t>
        </is>
      </c>
      <c r="K2262" t="inlineStr">
        <is>
          <t>NOVIEMBRE 2024</t>
        </is>
      </c>
      <c r="L2262" t="inlineStr">
        <is>
          <t>NOVIEMBRE 2025</t>
        </is>
      </c>
      <c r="M2262" t="inlineStr">
        <is>
          <t xml:space="preserve">P.Q.S. / ABC AL 75% ASIATICO </t>
        </is>
      </c>
      <c r="O2262" t="inlineStr">
        <is>
          <t>V</t>
        </is>
      </c>
      <c r="P2262">
        <f>TRIM(N2262)</f>
        <v/>
      </c>
    </row>
    <row r="2263">
      <c r="A2263" t="inlineStr">
        <is>
          <t>CO-002122</t>
        </is>
      </c>
      <c r="B2263" t="inlineStr">
        <is>
          <t xml:space="preserve">JULIA PANIZO </t>
        </is>
      </c>
      <c r="D2263" t="inlineStr">
        <is>
          <t xml:space="preserve">MERCADO 1 DE MAYO </t>
        </is>
      </c>
      <c r="E2263" t="inlineStr">
        <is>
          <t>Lima, 26 de Noviembre de 2024</t>
        </is>
      </c>
      <c r="F2263" t="inlineStr">
        <is>
          <t xml:space="preserve">Venta </t>
        </is>
      </c>
      <c r="G2263" t="n">
        <v>13</v>
      </c>
      <c r="K2263" t="inlineStr">
        <is>
          <t>NOVIEMBRE 2024</t>
        </is>
      </c>
      <c r="L2263" t="inlineStr">
        <is>
          <t>NOVIEMBRE 2025</t>
        </is>
      </c>
      <c r="P2263">
        <f>TRIM(N2263)</f>
        <v/>
      </c>
    </row>
    <row r="2264">
      <c r="A2264" t="inlineStr">
        <is>
          <t>CO-002122</t>
        </is>
      </c>
      <c r="B2264" t="inlineStr">
        <is>
          <t xml:space="preserve">JULIA PANIZO </t>
        </is>
      </c>
      <c r="D2264" t="inlineStr">
        <is>
          <t xml:space="preserve">MERCADO 1 DE MAYO </t>
        </is>
      </c>
      <c r="E2264" t="inlineStr">
        <is>
          <t>Lima, 26 de Noviembre de 2024</t>
        </is>
      </c>
      <c r="F2264" t="inlineStr">
        <is>
          <t xml:space="preserve">Venta </t>
        </is>
      </c>
      <c r="G2264" t="n">
        <v>14</v>
      </c>
      <c r="K2264" t="inlineStr">
        <is>
          <t>NOVIEMBRE 2024</t>
        </is>
      </c>
      <c r="L2264" t="inlineStr">
        <is>
          <t>NOVIEMBRE 2025</t>
        </is>
      </c>
      <c r="P2264">
        <f>TRIM(N2264)</f>
        <v/>
      </c>
    </row>
    <row r="2265">
      <c r="A2265" t="inlineStr">
        <is>
          <t>CO-002122</t>
        </is>
      </c>
      <c r="B2265" t="inlineStr">
        <is>
          <t xml:space="preserve">JULIA PANIZO </t>
        </is>
      </c>
      <c r="D2265" t="inlineStr">
        <is>
          <t xml:space="preserve">MERCADO 1 DE MAYO </t>
        </is>
      </c>
      <c r="E2265" t="inlineStr">
        <is>
          <t>Lima, 26 de Noviembre de 2024</t>
        </is>
      </c>
      <c r="F2265" t="inlineStr">
        <is>
          <t xml:space="preserve">Venta </t>
        </is>
      </c>
      <c r="G2265" t="n">
        <v>15</v>
      </c>
      <c r="K2265" t="inlineStr">
        <is>
          <t>NOVIEMBRE 2024</t>
        </is>
      </c>
      <c r="L2265" t="inlineStr">
        <is>
          <t>NOVIEMBRE 2025</t>
        </is>
      </c>
      <c r="O2265" t="inlineStr">
        <is>
          <t>R</t>
        </is>
      </c>
      <c r="P2265">
        <f>TRIM(N2265)</f>
        <v/>
      </c>
    </row>
    <row r="2266">
      <c r="A2266" t="inlineStr">
        <is>
          <t>CO-002123</t>
        </is>
      </c>
      <c r="B2266" t="inlineStr">
        <is>
          <t>SUNAT - AREQUIPA - SEDE MOLLENDO</t>
        </is>
      </c>
      <c r="C2266" t="inlineStr">
        <is>
          <t>20131312955</t>
        </is>
      </c>
      <c r="D2266" t="inlineStr">
        <is>
          <t>Av. Tupac Amaru 102 Urb. Miramar</t>
        </is>
      </c>
      <c r="E2266" t="inlineStr">
        <is>
          <t>Lima, 10 de Diciembre de 2024</t>
        </is>
      </c>
      <c r="F2266" t="inlineStr">
        <is>
          <t>la Recarga y mantenimiento</t>
        </is>
      </c>
      <c r="G2266" t="inlineStr">
        <is>
          <t>01</t>
        </is>
      </c>
      <c r="H2266" t="inlineStr">
        <is>
          <t>2.5 GL</t>
        </is>
      </c>
      <c r="I2266" t="n">
        <v>2028</v>
      </c>
      <c r="J2266" t="n">
        <v>2003</v>
      </c>
      <c r="K2266" t="inlineStr">
        <is>
          <t>NOVIEMBRE 2024</t>
        </is>
      </c>
      <c r="L2266" t="inlineStr">
        <is>
          <t>NOVIEMBRE 2025</t>
        </is>
      </c>
      <c r="M2266" t="inlineStr">
        <is>
          <t>H2O PRESURIZADA</t>
        </is>
      </c>
      <c r="N2266" t="inlineStr">
        <is>
          <t>17/AA316340</t>
        </is>
      </c>
      <c r="O2266" t="inlineStr">
        <is>
          <t>R</t>
        </is>
      </c>
      <c r="P2266">
        <f>TRIM(N2266)</f>
        <v/>
      </c>
    </row>
    <row r="2267">
      <c r="A2267" t="inlineStr">
        <is>
          <t>CO-002123</t>
        </is>
      </c>
      <c r="B2267" t="inlineStr">
        <is>
          <t>SUNAT - AREQUIPA - SEDE MOLLENDO</t>
        </is>
      </c>
      <c r="C2267" t="inlineStr">
        <is>
          <t>20131312955</t>
        </is>
      </c>
      <c r="D2267" t="inlineStr">
        <is>
          <t>Av. Tupac Amaru 102 Urb. Miramar</t>
        </is>
      </c>
      <c r="E2267" t="inlineStr">
        <is>
          <t>Lima, 10 de Diciembre de 2024</t>
        </is>
      </c>
      <c r="F2267" t="inlineStr">
        <is>
          <t>la Recarga y mantenimiento</t>
        </is>
      </c>
      <c r="G2267" t="inlineStr">
        <is>
          <t>02</t>
        </is>
      </c>
      <c r="H2267" t="inlineStr">
        <is>
          <t>2.5 GL</t>
        </is>
      </c>
      <c r="I2267" t="inlineStr">
        <is>
          <t>2027</t>
        </is>
      </c>
      <c r="J2267" t="inlineStr">
        <is>
          <t>N/R</t>
        </is>
      </c>
      <c r="K2267" t="inlineStr">
        <is>
          <t>NOVIEMBRE 2024</t>
        </is>
      </c>
      <c r="L2267" t="inlineStr">
        <is>
          <t>NOVIEMBRE 2025</t>
        </is>
      </c>
      <c r="M2267" t="inlineStr">
        <is>
          <t>H2O PRESURIZADA</t>
        </is>
      </c>
      <c r="N2267" t="inlineStr">
        <is>
          <t>18/AA316247</t>
        </is>
      </c>
      <c r="O2267" t="inlineStr">
        <is>
          <t>R</t>
        </is>
      </c>
      <c r="P2267">
        <f>TRIM(N2267)</f>
        <v/>
      </c>
    </row>
    <row r="2268">
      <c r="A2268" t="inlineStr">
        <is>
          <t>CO-002123</t>
        </is>
      </c>
      <c r="B2268" t="inlineStr">
        <is>
          <t>SUNAT - AREQUIPA - SEDE MOLLENDO</t>
        </is>
      </c>
      <c r="C2268" t="inlineStr">
        <is>
          <t>20131312955</t>
        </is>
      </c>
      <c r="D2268" t="inlineStr">
        <is>
          <t>Av. Tupac Amaru 102 Urb. Miramar</t>
        </is>
      </c>
      <c r="E2268" t="inlineStr">
        <is>
          <t>Lima, 10 de Diciembre de 2024</t>
        </is>
      </c>
      <c r="F2268" t="inlineStr">
        <is>
          <t>la Recarga y mantenimiento</t>
        </is>
      </c>
      <c r="G2268" t="inlineStr">
        <is>
          <t>03</t>
        </is>
      </c>
      <c r="H2268" t="inlineStr">
        <is>
          <t>125 LBS</t>
        </is>
      </c>
      <c r="I2268" t="n">
        <v>2028</v>
      </c>
      <c r="J2268" t="n">
        <v>2012</v>
      </c>
      <c r="K2268" t="inlineStr">
        <is>
          <t>NOVIEMBRE 2024</t>
        </is>
      </c>
      <c r="L2268" t="inlineStr">
        <is>
          <t>NOVIEMBRE 2025</t>
        </is>
      </c>
      <c r="M2268" t="inlineStr">
        <is>
          <t>P.Q.S. / ABC AL 90%</t>
        </is>
      </c>
      <c r="N2268" t="inlineStr">
        <is>
          <t>19/BH86021</t>
        </is>
      </c>
      <c r="O2268" t="inlineStr">
        <is>
          <t>R</t>
        </is>
      </c>
      <c r="P2268">
        <f>TRIM(N2268)</f>
        <v/>
      </c>
    </row>
    <row r="2269">
      <c r="A2269" t="inlineStr">
        <is>
          <t>CO-002123</t>
        </is>
      </c>
      <c r="B2269" t="inlineStr">
        <is>
          <t>SUNAT - AREQUIPA - SEDE MOLLENDO</t>
        </is>
      </c>
      <c r="C2269" t="inlineStr">
        <is>
          <t>20131312955</t>
        </is>
      </c>
      <c r="D2269" t="inlineStr">
        <is>
          <t>Av. Tupac Amaru 102 Urb. Miramar</t>
        </is>
      </c>
      <c r="E2269" t="inlineStr">
        <is>
          <t>Lima, 10 de Diciembre de 2024</t>
        </is>
      </c>
      <c r="F2269" t="inlineStr">
        <is>
          <t>la Recarga y mantenimiento</t>
        </is>
      </c>
      <c r="G2269" t="inlineStr">
        <is>
          <t>04</t>
        </is>
      </c>
      <c r="H2269" t="inlineStr">
        <is>
          <t>30 LBS</t>
        </is>
      </c>
      <c r="I2269" t="n">
        <v>2026</v>
      </c>
      <c r="J2269" t="n">
        <v>2013</v>
      </c>
      <c r="K2269" t="inlineStr">
        <is>
          <t>NOVIEMBRE 2024</t>
        </is>
      </c>
      <c r="L2269" t="inlineStr">
        <is>
          <t>NOVIEMBRE 2025</t>
        </is>
      </c>
      <c r="M2269" t="inlineStr">
        <is>
          <t>P.Q.S. / ABC AL 90%</t>
        </is>
      </c>
      <c r="N2269" t="inlineStr">
        <is>
          <t>20/BR572449</t>
        </is>
      </c>
      <c r="O2269" t="inlineStr">
        <is>
          <t>R</t>
        </is>
      </c>
      <c r="P2269">
        <f>TRIM(N2269)</f>
        <v/>
      </c>
    </row>
    <row r="2270">
      <c r="A2270" t="inlineStr">
        <is>
          <t>CO-002123</t>
        </is>
      </c>
      <c r="B2270" t="inlineStr">
        <is>
          <t>SUNAT - AREQUIPA - SEDE MOLLENDO</t>
        </is>
      </c>
      <c r="C2270" t="inlineStr">
        <is>
          <t>20131312955</t>
        </is>
      </c>
      <c r="D2270" t="inlineStr">
        <is>
          <t>Av. Tupac Amaru 102 Urb. Miramar</t>
        </is>
      </c>
      <c r="E2270" t="inlineStr">
        <is>
          <t>Lima, 10 de Diciembre de 2024</t>
        </is>
      </c>
      <c r="F2270" t="inlineStr">
        <is>
          <t>la Recarga y mantenimiento</t>
        </is>
      </c>
      <c r="G2270" t="inlineStr">
        <is>
          <t>05</t>
        </is>
      </c>
      <c r="H2270" t="inlineStr">
        <is>
          <t>15 LBS</t>
        </is>
      </c>
      <c r="I2270" t="n">
        <v>2026</v>
      </c>
      <c r="J2270" t="n">
        <v>2012</v>
      </c>
      <c r="K2270" t="inlineStr">
        <is>
          <t>NOVIEMBRE 2024</t>
        </is>
      </c>
      <c r="L2270" t="inlineStr">
        <is>
          <t>NOVIEMBRE 2025</t>
        </is>
      </c>
      <c r="M2270" t="inlineStr">
        <is>
          <t>CO2 /TIPO BC</t>
        </is>
      </c>
      <c r="N2270" t="inlineStr">
        <is>
          <t>21/795602</t>
        </is>
      </c>
      <c r="O2270" t="inlineStr">
        <is>
          <t>R</t>
        </is>
      </c>
      <c r="P2270">
        <f>TRIM(N2270)</f>
        <v/>
      </c>
    </row>
    <row r="2271">
      <c r="A2271" t="inlineStr">
        <is>
          <t>CO-002123</t>
        </is>
      </c>
      <c r="B2271" t="inlineStr">
        <is>
          <t>SUNAT - AREQUIPA - SEDE MOLLENDO</t>
        </is>
      </c>
      <c r="C2271" t="inlineStr">
        <is>
          <t>20131312955</t>
        </is>
      </c>
      <c r="D2271" t="inlineStr">
        <is>
          <t>Av. Tupac Amaru 102 Urb. Miramar</t>
        </is>
      </c>
      <c r="E2271" t="inlineStr">
        <is>
          <t>Lima, 10 de Diciembre de 2024</t>
        </is>
      </c>
      <c r="F2271" t="inlineStr">
        <is>
          <t>la Recarga y mantenimiento</t>
        </is>
      </c>
      <c r="G2271" t="inlineStr">
        <is>
          <t>06</t>
        </is>
      </c>
      <c r="H2271" t="inlineStr">
        <is>
          <t>10 LBS</t>
        </is>
      </c>
      <c r="I2271" t="n">
        <v>2026</v>
      </c>
      <c r="J2271" t="n">
        <v>2015</v>
      </c>
      <c r="K2271" t="inlineStr">
        <is>
          <t>NOVIEMBRE 2024</t>
        </is>
      </c>
      <c r="L2271" t="inlineStr">
        <is>
          <t>NOVIEMBRE 2025</t>
        </is>
      </c>
      <c r="M2271" t="inlineStr">
        <is>
          <t>CO2 /TIPO BC</t>
        </is>
      </c>
      <c r="N2271" t="inlineStr">
        <is>
          <t>22/W716550</t>
        </is>
      </c>
      <c r="O2271" t="inlineStr">
        <is>
          <t>R</t>
        </is>
      </c>
      <c r="P2271">
        <f>TRIM(N2271)</f>
        <v/>
      </c>
    </row>
    <row r="2272">
      <c r="A2272" t="inlineStr">
        <is>
          <t>CO-002123</t>
        </is>
      </c>
      <c r="B2272" t="inlineStr">
        <is>
          <t>SUNAT - AREQUIPA - SEDE MOLLENDO</t>
        </is>
      </c>
      <c r="C2272" t="inlineStr">
        <is>
          <t>20131312955</t>
        </is>
      </c>
      <c r="D2272" t="inlineStr">
        <is>
          <t>Av. Tupac Amaru 102 Urb. Miramar</t>
        </is>
      </c>
      <c r="E2272" t="inlineStr">
        <is>
          <t>Lima, 10 de Diciembre de 2024</t>
        </is>
      </c>
      <c r="F2272" t="inlineStr">
        <is>
          <t>la Recarga y mantenimiento</t>
        </is>
      </c>
      <c r="G2272" t="inlineStr">
        <is>
          <t>07</t>
        </is>
      </c>
      <c r="H2272" t="inlineStr">
        <is>
          <t>15 LBS</t>
        </is>
      </c>
      <c r="I2272" t="n">
        <v>2026</v>
      </c>
      <c r="J2272" t="n">
        <v>2012</v>
      </c>
      <c r="K2272" t="inlineStr">
        <is>
          <t>NOVIEMBRE 2024</t>
        </is>
      </c>
      <c r="L2272" t="inlineStr">
        <is>
          <t>NOVIEMBRE 2025</t>
        </is>
      </c>
      <c r="M2272" t="inlineStr">
        <is>
          <t>CO2 /TIPO BC</t>
        </is>
      </c>
      <c r="N2272" t="inlineStr">
        <is>
          <t>23/794351</t>
        </is>
      </c>
      <c r="O2272" t="inlineStr">
        <is>
          <t>R</t>
        </is>
      </c>
      <c r="P2272">
        <f>TRIM(N2272)</f>
        <v/>
      </c>
    </row>
    <row r="2273">
      <c r="A2273" t="inlineStr">
        <is>
          <t>CO-002123</t>
        </is>
      </c>
      <c r="B2273" t="inlineStr">
        <is>
          <t>SUNAT - AREQUIPA - SEDE MOLLENDO</t>
        </is>
      </c>
      <c r="C2273" t="inlineStr">
        <is>
          <t>20131312955</t>
        </is>
      </c>
      <c r="D2273" t="inlineStr">
        <is>
          <t>Av. Tupac Amaru 102 Urb. Miramar</t>
        </is>
      </c>
      <c r="E2273" t="inlineStr">
        <is>
          <t>Lima, 10 de Diciembre de 2024</t>
        </is>
      </c>
      <c r="F2273" t="inlineStr">
        <is>
          <t>la Recarga y mantenimiento</t>
        </is>
      </c>
      <c r="G2273" t="inlineStr">
        <is>
          <t>08</t>
        </is>
      </c>
      <c r="H2273" t="inlineStr">
        <is>
          <t>20 LBS</t>
        </is>
      </c>
      <c r="I2273" t="n">
        <v>2027</v>
      </c>
      <c r="J2273" t="inlineStr">
        <is>
          <t>N/R</t>
        </is>
      </c>
      <c r="K2273" t="inlineStr">
        <is>
          <t>NOVIEMBRE 2024</t>
        </is>
      </c>
      <c r="L2273" t="inlineStr">
        <is>
          <t>NOVIEMBRE 2025</t>
        </is>
      </c>
      <c r="M2273" t="inlineStr">
        <is>
          <t>P.Q.S. / ABC AL 90%</t>
        </is>
      </c>
      <c r="N2273" t="inlineStr">
        <is>
          <t>24/M179728</t>
        </is>
      </c>
      <c r="O2273" t="inlineStr">
        <is>
          <t>R</t>
        </is>
      </c>
      <c r="P2273">
        <f>TRIM(N2273)</f>
        <v/>
      </c>
    </row>
    <row r="2274">
      <c r="A2274" t="inlineStr">
        <is>
          <t>CO-002123</t>
        </is>
      </c>
      <c r="B2274" t="inlineStr">
        <is>
          <t>SUNAT - AREQUIPA - SEDE MOLLENDO</t>
        </is>
      </c>
      <c r="C2274" t="inlineStr">
        <is>
          <t>20131312955</t>
        </is>
      </c>
      <c r="D2274" t="inlineStr">
        <is>
          <t>Av. Tupac Amaru 102 Urb. Miramar</t>
        </is>
      </c>
      <c r="E2274" t="inlineStr">
        <is>
          <t>Lima, 10 de Diciembre de 2024</t>
        </is>
      </c>
      <c r="F2274" t="inlineStr">
        <is>
          <t>la Recarga y mantenimiento</t>
        </is>
      </c>
      <c r="G2274" t="inlineStr">
        <is>
          <t>09</t>
        </is>
      </c>
      <c r="H2274" t="inlineStr">
        <is>
          <t>15 LBS</t>
        </is>
      </c>
      <c r="I2274" t="n">
        <v>2026</v>
      </c>
      <c r="J2274" t="n">
        <v>2012</v>
      </c>
      <c r="K2274" t="inlineStr">
        <is>
          <t>NOVIEMBRE 2024</t>
        </is>
      </c>
      <c r="L2274" t="inlineStr">
        <is>
          <t>NOVIEMBRE 2025</t>
        </is>
      </c>
      <c r="M2274" t="inlineStr">
        <is>
          <t>CO2 /TIPO BC</t>
        </is>
      </c>
      <c r="N2274" t="inlineStr">
        <is>
          <t>25/794641</t>
        </is>
      </c>
      <c r="O2274" t="inlineStr">
        <is>
          <t>R</t>
        </is>
      </c>
      <c r="P2274">
        <f>TRIM(N2274)</f>
        <v/>
      </c>
    </row>
    <row r="2275">
      <c r="A2275" t="inlineStr">
        <is>
          <t>CO-002123</t>
        </is>
      </c>
      <c r="B2275" t="inlineStr">
        <is>
          <t>SUNAT - AREQUIPA - SEDE MOLLENDO</t>
        </is>
      </c>
      <c r="C2275" t="inlineStr">
        <is>
          <t>20131312955</t>
        </is>
      </c>
      <c r="D2275" t="inlineStr">
        <is>
          <t>Av. Tupac Amaru 102 Urb. Miramar</t>
        </is>
      </c>
      <c r="E2275" t="inlineStr">
        <is>
          <t>Lima, 10 de Diciembre de 2024</t>
        </is>
      </c>
      <c r="F2275" t="inlineStr">
        <is>
          <t>la Recarga y mantenimiento</t>
        </is>
      </c>
      <c r="G2275" t="n">
        <v>10</v>
      </c>
      <c r="H2275" t="inlineStr">
        <is>
          <t>15 LBS</t>
        </is>
      </c>
      <c r="I2275" t="n">
        <v>2026</v>
      </c>
      <c r="J2275" t="n">
        <v>2012</v>
      </c>
      <c r="K2275" t="inlineStr">
        <is>
          <t>NOVIEMBRE 2024</t>
        </is>
      </c>
      <c r="L2275" t="inlineStr">
        <is>
          <t>NOVIEMBRE 2025</t>
        </is>
      </c>
      <c r="M2275" t="inlineStr">
        <is>
          <t>CO2 /TIPO BC</t>
        </is>
      </c>
      <c r="N2275" t="inlineStr">
        <is>
          <t>26/794233</t>
        </is>
      </c>
      <c r="O2275" t="inlineStr">
        <is>
          <t>R</t>
        </is>
      </c>
      <c r="P2275">
        <f>TRIM(N2275)</f>
        <v/>
      </c>
    </row>
    <row r="2276">
      <c r="A2276" t="inlineStr">
        <is>
          <t>CO-002123</t>
        </is>
      </c>
      <c r="B2276" t="inlineStr">
        <is>
          <t>SUNAT - AREQUIPA - SEDE MOLLENDO</t>
        </is>
      </c>
      <c r="C2276" t="inlineStr">
        <is>
          <t>20131312955</t>
        </is>
      </c>
      <c r="D2276" t="inlineStr">
        <is>
          <t>Av. Tupac Amaru 102 Urb. Miramar</t>
        </is>
      </c>
      <c r="E2276" t="inlineStr">
        <is>
          <t>Lima, 10 de Diciembre de 2024</t>
        </is>
      </c>
      <c r="F2276" t="inlineStr">
        <is>
          <t>la Recarga y mantenimiento</t>
        </is>
      </c>
      <c r="G2276" t="n">
        <v>11</v>
      </c>
      <c r="H2276" t="inlineStr">
        <is>
          <t xml:space="preserve">20 LBS </t>
        </is>
      </c>
      <c r="I2276" t="n">
        <v>2027</v>
      </c>
      <c r="J2276" t="inlineStr">
        <is>
          <t>N/R</t>
        </is>
      </c>
      <c r="K2276" t="inlineStr">
        <is>
          <t>NOVIEMBRE 2024</t>
        </is>
      </c>
      <c r="L2276" t="inlineStr">
        <is>
          <t>NOVIEMBRE 2025</t>
        </is>
      </c>
      <c r="M2276" t="inlineStr">
        <is>
          <t>P.Q.S. / ABC AL 90%</t>
        </is>
      </c>
      <c r="N2276" t="inlineStr">
        <is>
          <t>27/M179929</t>
        </is>
      </c>
      <c r="O2276" t="inlineStr">
        <is>
          <t>R</t>
        </is>
      </c>
      <c r="P2276">
        <f>TRIM(N2276)</f>
        <v/>
      </c>
    </row>
    <row r="2277">
      <c r="A2277" t="inlineStr">
        <is>
          <t>CO-002123</t>
        </is>
      </c>
      <c r="B2277" t="inlineStr">
        <is>
          <t>SUNAT - AREQUIPA - SEDE MOLLENDO</t>
        </is>
      </c>
      <c r="C2277" t="inlineStr">
        <is>
          <t>20131312955</t>
        </is>
      </c>
      <c r="D2277" t="inlineStr">
        <is>
          <t>Av. Tupac Amaru 102 Urb. Miramar</t>
        </is>
      </c>
      <c r="E2277" t="inlineStr">
        <is>
          <t>Lima, 10 de Diciembre de 2024</t>
        </is>
      </c>
      <c r="F2277" t="inlineStr">
        <is>
          <t>la Recarga y mantenimiento</t>
        </is>
      </c>
      <c r="G2277" t="n">
        <v>12</v>
      </c>
      <c r="H2277" t="inlineStr">
        <is>
          <t xml:space="preserve">20 LBS </t>
        </is>
      </c>
      <c r="I2277" t="n">
        <v>2027</v>
      </c>
      <c r="J2277" t="inlineStr">
        <is>
          <t>N/R</t>
        </is>
      </c>
      <c r="K2277" t="inlineStr">
        <is>
          <t>NOVIEMBRE 2024</t>
        </is>
      </c>
      <c r="L2277" t="inlineStr">
        <is>
          <t>NOVIEMBRE 2025</t>
        </is>
      </c>
      <c r="M2277" t="inlineStr">
        <is>
          <t>P.Q.S. / ABC AL 90%</t>
        </is>
      </c>
      <c r="N2277" t="inlineStr">
        <is>
          <t>28/N/R</t>
        </is>
      </c>
      <c r="O2277" t="inlineStr">
        <is>
          <t>R</t>
        </is>
      </c>
      <c r="P2277">
        <f>TRIM(N2277)</f>
        <v/>
      </c>
    </row>
    <row r="2278">
      <c r="A2278" t="inlineStr">
        <is>
          <t>CO-002123</t>
        </is>
      </c>
      <c r="B2278" t="inlineStr">
        <is>
          <t>SUNAT - AREQUIPA - SEDE MOLLENDO</t>
        </is>
      </c>
      <c r="C2278" t="inlineStr">
        <is>
          <t>20131312955</t>
        </is>
      </c>
      <c r="D2278" t="inlineStr">
        <is>
          <t>Av. Tupac Amaru 102 Urb. Miramar</t>
        </is>
      </c>
      <c r="E2278" t="inlineStr">
        <is>
          <t>Lima, 10 de Diciembre de 2024</t>
        </is>
      </c>
      <c r="F2278" t="inlineStr">
        <is>
          <t>la Recarga y mantenimiento</t>
        </is>
      </c>
      <c r="G2278" t="n">
        <v>13</v>
      </c>
      <c r="H2278" t="inlineStr">
        <is>
          <t>15 LBS</t>
        </is>
      </c>
      <c r="I2278" t="n">
        <v>2026</v>
      </c>
      <c r="J2278" t="n">
        <v>2012</v>
      </c>
      <c r="K2278" t="inlineStr">
        <is>
          <t>NOVIEMBRE 2024</t>
        </is>
      </c>
      <c r="L2278" t="inlineStr">
        <is>
          <t>NOVIEMBRE 2025</t>
        </is>
      </c>
      <c r="M2278" t="inlineStr">
        <is>
          <t>CO2 /TIPO BC</t>
        </is>
      </c>
      <c r="N2278" t="inlineStr">
        <is>
          <t>29/794354</t>
        </is>
      </c>
      <c r="O2278" t="inlineStr">
        <is>
          <t>R</t>
        </is>
      </c>
      <c r="P2278">
        <f>TRIM(N2278)</f>
        <v/>
      </c>
    </row>
    <row r="2279">
      <c r="A2279" t="inlineStr">
        <is>
          <t>CO-002123</t>
        </is>
      </c>
      <c r="B2279" t="inlineStr">
        <is>
          <t>SUNAT - AREQUIPA - SEDE MOLLENDO</t>
        </is>
      </c>
      <c r="C2279" t="inlineStr">
        <is>
          <t>20131312955</t>
        </is>
      </c>
      <c r="D2279" t="inlineStr">
        <is>
          <t>Av. Tupac Amaru 102 Urb. Miramar</t>
        </is>
      </c>
      <c r="E2279" t="inlineStr">
        <is>
          <t>Lima, 10 de Diciembre de 2024</t>
        </is>
      </c>
      <c r="F2279" t="inlineStr">
        <is>
          <t>la Recarga y mantenimiento</t>
        </is>
      </c>
      <c r="G2279" t="n">
        <v>14</v>
      </c>
      <c r="H2279" t="inlineStr">
        <is>
          <t>20LBS</t>
        </is>
      </c>
      <c r="I2279" t="n">
        <v>2027</v>
      </c>
      <c r="J2279" t="inlineStr">
        <is>
          <t>N/R</t>
        </is>
      </c>
      <c r="K2279" t="inlineStr">
        <is>
          <t>NOVIEMBRE 2024</t>
        </is>
      </c>
      <c r="L2279" t="inlineStr">
        <is>
          <t>NOVIEMBRE 2025</t>
        </is>
      </c>
      <c r="M2279" t="inlineStr">
        <is>
          <t>P.Q.S. / ABC AL 90%</t>
        </is>
      </c>
      <c r="N2279" t="inlineStr">
        <is>
          <t>30/M179922</t>
        </is>
      </c>
      <c r="O2279" t="inlineStr">
        <is>
          <t>R</t>
        </is>
      </c>
      <c r="P2279">
        <f>TRIM(N2279)</f>
        <v/>
      </c>
    </row>
    <row r="2280">
      <c r="A2280" t="inlineStr">
        <is>
          <t>CO-002123</t>
        </is>
      </c>
      <c r="B2280" t="inlineStr">
        <is>
          <t>SUNAT - AREQUIPA - SEDE MOLLENDO</t>
        </is>
      </c>
      <c r="C2280" t="inlineStr">
        <is>
          <t>20131312955</t>
        </is>
      </c>
      <c r="D2280" t="inlineStr">
        <is>
          <t>Av. Tupac Amaru 102 Urb. Miramar</t>
        </is>
      </c>
      <c r="E2280" t="inlineStr">
        <is>
          <t>Lima, 10 de Diciembre de 2024</t>
        </is>
      </c>
      <c r="F2280" t="inlineStr">
        <is>
          <t>la Recarga y mantenimiento</t>
        </is>
      </c>
      <c r="G2280" t="n">
        <v>15</v>
      </c>
      <c r="H2280" t="inlineStr">
        <is>
          <t>10 LBS</t>
        </is>
      </c>
      <c r="I2280" t="n">
        <v>2026</v>
      </c>
      <c r="J2280" t="n">
        <v>2010</v>
      </c>
      <c r="K2280" t="inlineStr">
        <is>
          <t>NOVIEMBRE 2024</t>
        </is>
      </c>
      <c r="L2280" t="inlineStr">
        <is>
          <t>NOVIEMBRE 2025</t>
        </is>
      </c>
      <c r="M2280" t="inlineStr">
        <is>
          <t>CO2 /TIPO BC</t>
        </is>
      </c>
      <c r="N2280" t="inlineStr">
        <is>
          <t>31/652923</t>
        </is>
      </c>
      <c r="O2280" t="inlineStr">
        <is>
          <t>R</t>
        </is>
      </c>
      <c r="P2280">
        <f>TRIM(N2280)</f>
        <v/>
      </c>
    </row>
    <row r="2281">
      <c r="A2281" t="inlineStr">
        <is>
          <t>CO-002124</t>
        </is>
      </c>
      <c r="B2281" t="inlineStr">
        <is>
          <t>SUNAT - AREQUIPA - SEDE MOLLENDO</t>
        </is>
      </c>
      <c r="C2281" t="inlineStr">
        <is>
          <t>20131312955</t>
        </is>
      </c>
      <c r="D2281" t="inlineStr">
        <is>
          <t>Av. Tupac Amaru 102 Urb. Miramar</t>
        </is>
      </c>
      <c r="E2281" t="inlineStr">
        <is>
          <t>Lima, 10 de Diciembre de 2024</t>
        </is>
      </c>
      <c r="F2281" t="inlineStr">
        <is>
          <t>la Recarga y mantenimiento</t>
        </is>
      </c>
      <c r="G2281" t="inlineStr">
        <is>
          <t>01</t>
        </is>
      </c>
      <c r="H2281" t="inlineStr">
        <is>
          <t>15 LBS</t>
        </is>
      </c>
      <c r="I2281" t="inlineStr">
        <is>
          <t>2026</t>
        </is>
      </c>
      <c r="J2281" t="n">
        <v>2012</v>
      </c>
      <c r="K2281" t="inlineStr">
        <is>
          <t>NOVIEMBRE 2024</t>
        </is>
      </c>
      <c r="L2281" t="inlineStr">
        <is>
          <t>NOVIEMBRE 2025</t>
        </is>
      </c>
      <c r="M2281" t="inlineStr">
        <is>
          <t>CO2 /TIPO BC</t>
        </is>
      </c>
      <c r="N2281" t="inlineStr">
        <is>
          <t>32/794387</t>
        </is>
      </c>
      <c r="O2281" t="inlineStr">
        <is>
          <t>R</t>
        </is>
      </c>
      <c r="P2281">
        <f>TRIM(N2281)</f>
        <v/>
      </c>
    </row>
    <row r="2282">
      <c r="A2282" t="inlineStr">
        <is>
          <t>CO-002124</t>
        </is>
      </c>
      <c r="B2282" t="inlineStr">
        <is>
          <t>SUNAT - AREQUIPA - SEDE MOLLENDO</t>
        </is>
      </c>
      <c r="C2282" t="inlineStr">
        <is>
          <t>20131312955</t>
        </is>
      </c>
      <c r="D2282" t="inlineStr">
        <is>
          <t>Av. Tupac Amaru 102 Urb. Miramar</t>
        </is>
      </c>
      <c r="E2282" t="inlineStr">
        <is>
          <t>Lima, 10 de Diciembre de 2024</t>
        </is>
      </c>
      <c r="F2282" t="inlineStr">
        <is>
          <t>la Recarga y mantenimiento</t>
        </is>
      </c>
      <c r="G2282" t="inlineStr">
        <is>
          <t>02</t>
        </is>
      </c>
      <c r="H2282" t="inlineStr">
        <is>
          <t>10 LBS</t>
        </is>
      </c>
      <c r="I2282" t="inlineStr">
        <is>
          <t>2026</t>
        </is>
      </c>
      <c r="J2282" t="n">
        <v>2010</v>
      </c>
      <c r="K2282" t="inlineStr">
        <is>
          <t>NOVIEMBRE 2024</t>
        </is>
      </c>
      <c r="L2282" t="inlineStr">
        <is>
          <t>NOVIEMBRE 2025</t>
        </is>
      </c>
      <c r="M2282" t="inlineStr">
        <is>
          <t>CO2 /TIPO BC</t>
        </is>
      </c>
      <c r="N2282" t="inlineStr">
        <is>
          <t>33/652879</t>
        </is>
      </c>
      <c r="O2282" t="inlineStr">
        <is>
          <t>R</t>
        </is>
      </c>
      <c r="P2282">
        <f>TRIM(N2282)</f>
        <v/>
      </c>
    </row>
    <row r="2283">
      <c r="A2283" t="inlineStr">
        <is>
          <t>CO-002124</t>
        </is>
      </c>
      <c r="B2283" t="inlineStr">
        <is>
          <t>SUNAT - AREQUIPA - SEDE MOLLENDO</t>
        </is>
      </c>
      <c r="C2283" t="inlineStr">
        <is>
          <t>20131312955</t>
        </is>
      </c>
      <c r="D2283" t="inlineStr">
        <is>
          <t>Av. Tupac Amaru 102 Urb. Miramar</t>
        </is>
      </c>
      <c r="E2283" t="inlineStr">
        <is>
          <t>Lima, 10 de Diciembre de 2024</t>
        </is>
      </c>
      <c r="F2283" t="inlineStr">
        <is>
          <t>la Recarga y mantenimiento</t>
        </is>
      </c>
      <c r="G2283" t="inlineStr">
        <is>
          <t>03</t>
        </is>
      </c>
      <c r="H2283" t="inlineStr">
        <is>
          <t>20 LBS</t>
        </is>
      </c>
      <c r="I2283" t="n">
        <v>2027</v>
      </c>
      <c r="J2283" t="inlineStr">
        <is>
          <t>N/R</t>
        </is>
      </c>
      <c r="K2283" t="inlineStr">
        <is>
          <t>NOVIEMBRE 2024</t>
        </is>
      </c>
      <c r="L2283" t="inlineStr">
        <is>
          <t>NOVIEMBRE 2025</t>
        </is>
      </c>
      <c r="M2283" t="inlineStr">
        <is>
          <t>P.Q.S. / ABC AL 90%</t>
        </is>
      </c>
      <c r="N2283" t="inlineStr">
        <is>
          <t>34/M179797</t>
        </is>
      </c>
      <c r="O2283" t="inlineStr">
        <is>
          <t>R</t>
        </is>
      </c>
      <c r="P2283">
        <f>TRIM(N2283)</f>
        <v/>
      </c>
    </row>
    <row r="2284">
      <c r="A2284" t="inlineStr">
        <is>
          <t>CO-002124</t>
        </is>
      </c>
      <c r="B2284" t="inlineStr">
        <is>
          <t>SUNAT - AREQUIPA - SEDE MOLLENDO</t>
        </is>
      </c>
      <c r="C2284" t="inlineStr">
        <is>
          <t>20131312955</t>
        </is>
      </c>
      <c r="D2284" t="inlineStr">
        <is>
          <t>Av. Tupac Amaru 102 Urb. Miramar</t>
        </is>
      </c>
      <c r="E2284" t="inlineStr">
        <is>
          <t>Lima, 10 de Diciembre de 2024</t>
        </is>
      </c>
      <c r="F2284" t="inlineStr">
        <is>
          <t>la Recarga y mantenimiento</t>
        </is>
      </c>
      <c r="G2284" t="inlineStr">
        <is>
          <t>04</t>
        </is>
      </c>
      <c r="H2284" t="inlineStr">
        <is>
          <t>20 LBS</t>
        </is>
      </c>
      <c r="I2284" t="n">
        <v>2027</v>
      </c>
      <c r="J2284" t="inlineStr">
        <is>
          <t>N/R</t>
        </is>
      </c>
      <c r="K2284" t="inlineStr">
        <is>
          <t>NOVIEMBRE 2024</t>
        </is>
      </c>
      <c r="L2284" t="inlineStr">
        <is>
          <t>NOVIEMBRE 2025</t>
        </is>
      </c>
      <c r="M2284" t="inlineStr">
        <is>
          <t>P.Q.S. / ABC AL 90%</t>
        </is>
      </c>
      <c r="N2284" t="inlineStr">
        <is>
          <t>35/M179919</t>
        </is>
      </c>
      <c r="O2284" t="inlineStr">
        <is>
          <t>R</t>
        </is>
      </c>
      <c r="P2284">
        <f>TRIM(N2284)</f>
        <v/>
      </c>
    </row>
    <row r="2285">
      <c r="A2285" t="inlineStr">
        <is>
          <t>CO-002124</t>
        </is>
      </c>
      <c r="B2285" t="inlineStr">
        <is>
          <t>SUNAT - AREQUIPA - SEDE MOLLENDO</t>
        </is>
      </c>
      <c r="C2285" t="inlineStr">
        <is>
          <t>20131312955</t>
        </is>
      </c>
      <c r="D2285" t="inlineStr">
        <is>
          <t>Av. Tupac Amaru 102 Urb. Miramar</t>
        </is>
      </c>
      <c r="E2285" t="inlineStr">
        <is>
          <t>Lima, 10 de Diciembre de 2024</t>
        </is>
      </c>
      <c r="F2285" t="inlineStr">
        <is>
          <t>la Recarga y mantenimiento</t>
        </is>
      </c>
      <c r="G2285" t="inlineStr">
        <is>
          <t>05</t>
        </is>
      </c>
      <c r="H2285" t="inlineStr">
        <is>
          <t xml:space="preserve">30 LBS </t>
        </is>
      </c>
      <c r="I2285" t="n">
        <v>2026</v>
      </c>
      <c r="J2285" t="n">
        <v>2013</v>
      </c>
      <c r="K2285" t="inlineStr">
        <is>
          <t>NOVIEMBRE 2024</t>
        </is>
      </c>
      <c r="L2285" t="inlineStr">
        <is>
          <t>NOVIEMBRE 2025</t>
        </is>
      </c>
      <c r="M2285" t="inlineStr">
        <is>
          <t>P.Q.S. / ABC AL 90%</t>
        </is>
      </c>
      <c r="N2285" t="inlineStr">
        <is>
          <t>36/BR574031</t>
        </is>
      </c>
      <c r="O2285" t="inlineStr">
        <is>
          <t>R</t>
        </is>
      </c>
      <c r="P2285">
        <f>TRIM(N2285)</f>
        <v/>
      </c>
    </row>
    <row r="2286">
      <c r="A2286" t="inlineStr">
        <is>
          <t>CO-002124</t>
        </is>
      </c>
      <c r="B2286" t="inlineStr">
        <is>
          <t>SUNAT - AREQUIPA - SEDE MOLLENDO</t>
        </is>
      </c>
      <c r="C2286" t="inlineStr">
        <is>
          <t>20131312955</t>
        </is>
      </c>
      <c r="D2286" t="inlineStr">
        <is>
          <t>Av. Tupac Amaru 102 Urb. Miramar</t>
        </is>
      </c>
      <c r="E2286" t="inlineStr">
        <is>
          <t>Lima, 10 de Diciembre de 2024</t>
        </is>
      </c>
      <c r="F2286" t="inlineStr">
        <is>
          <t>la Recarga y mantenimiento</t>
        </is>
      </c>
      <c r="G2286" t="inlineStr">
        <is>
          <t>06</t>
        </is>
      </c>
      <c r="H2286" t="inlineStr">
        <is>
          <t>125 LBS</t>
        </is>
      </c>
      <c r="I2286" t="n">
        <v>2025</v>
      </c>
      <c r="J2286" t="n">
        <v>2012</v>
      </c>
      <c r="K2286" t="inlineStr">
        <is>
          <t>NOVIEMBRE 2024</t>
        </is>
      </c>
      <c r="L2286" t="inlineStr">
        <is>
          <t>NOVIEMBRE 2025</t>
        </is>
      </c>
      <c r="M2286" t="inlineStr">
        <is>
          <t>P.Q.S. / ABC AL 90%</t>
        </is>
      </c>
      <c r="N2286" t="inlineStr">
        <is>
          <t>37/BH86037</t>
        </is>
      </c>
      <c r="O2286" t="inlineStr">
        <is>
          <t>R</t>
        </is>
      </c>
      <c r="P2286">
        <f>TRIM(N2286)</f>
        <v/>
      </c>
    </row>
    <row r="2287">
      <c r="A2287" t="inlineStr">
        <is>
          <t>CO-002124</t>
        </is>
      </c>
      <c r="B2287" t="inlineStr">
        <is>
          <t>SUNAT - AREQUIPA - SEDE MOLLENDO</t>
        </is>
      </c>
      <c r="C2287" t="inlineStr">
        <is>
          <t>20131312955</t>
        </is>
      </c>
      <c r="D2287" t="inlineStr">
        <is>
          <t>Av. Tupac Amaru 102 Urb. Miramar</t>
        </is>
      </c>
      <c r="E2287" t="inlineStr">
        <is>
          <t>Lima, 10 de Diciembre de 2024</t>
        </is>
      </c>
      <c r="F2287" t="inlineStr">
        <is>
          <t>la Recarga y mantenimiento</t>
        </is>
      </c>
      <c r="G2287" t="inlineStr">
        <is>
          <t>07</t>
        </is>
      </c>
      <c r="H2287" t="inlineStr">
        <is>
          <t>30 LBS</t>
        </is>
      </c>
      <c r="I2287" t="n">
        <v>2026</v>
      </c>
      <c r="J2287" t="n">
        <v>2013</v>
      </c>
      <c r="K2287" t="inlineStr">
        <is>
          <t>NOVIEMBRE 2024</t>
        </is>
      </c>
      <c r="L2287" t="inlineStr">
        <is>
          <t>NOVIEMBRE 2025</t>
        </is>
      </c>
      <c r="M2287" t="inlineStr">
        <is>
          <t>P.Q.S. / ABC AL 90%</t>
        </is>
      </c>
      <c r="N2287" t="inlineStr">
        <is>
          <t>38/BR574126</t>
        </is>
      </c>
      <c r="O2287" t="inlineStr">
        <is>
          <t>R</t>
        </is>
      </c>
      <c r="P2287">
        <f>TRIM(N2287)</f>
        <v/>
      </c>
    </row>
    <row r="2288">
      <c r="A2288" t="inlineStr">
        <is>
          <t>CO-002124</t>
        </is>
      </c>
      <c r="B2288" t="inlineStr">
        <is>
          <t>SUNAT - AREQUIPA - SEDE MOLLENDO</t>
        </is>
      </c>
      <c r="C2288" t="inlineStr">
        <is>
          <t>20131312955</t>
        </is>
      </c>
      <c r="D2288" t="inlineStr">
        <is>
          <t>Av. Tupac Amaru 102 Urb. Miramar</t>
        </is>
      </c>
      <c r="E2288" t="inlineStr">
        <is>
          <t>Lima, 10 de Diciembre de 2024</t>
        </is>
      </c>
      <c r="F2288" t="inlineStr">
        <is>
          <t>la Recarga y mantenimiento</t>
        </is>
      </c>
      <c r="G2288" t="inlineStr">
        <is>
          <t>08</t>
        </is>
      </c>
      <c r="H2288" t="inlineStr">
        <is>
          <t>30 LBS</t>
        </is>
      </c>
      <c r="I2288" t="n">
        <v>2026</v>
      </c>
      <c r="J2288" t="n">
        <v>2013</v>
      </c>
      <c r="K2288" t="inlineStr">
        <is>
          <t>NOVIEMBRE 2024</t>
        </is>
      </c>
      <c r="L2288" t="inlineStr">
        <is>
          <t>NOVIEMBRE 2025</t>
        </is>
      </c>
      <c r="M2288" t="inlineStr">
        <is>
          <t>P.Q.S. / ABC AL 90%</t>
        </is>
      </c>
      <c r="N2288" t="inlineStr">
        <is>
          <t>39/BR574105</t>
        </is>
      </c>
      <c r="O2288" t="inlineStr">
        <is>
          <t>R</t>
        </is>
      </c>
      <c r="P2288">
        <f>TRIM(N2288)</f>
        <v/>
      </c>
    </row>
    <row r="2289">
      <c r="A2289" t="inlineStr">
        <is>
          <t>CO-002124</t>
        </is>
      </c>
      <c r="B2289" t="inlineStr">
        <is>
          <t>SUNAT - AREQUIPA - SEDE MOLLENDO</t>
        </is>
      </c>
      <c r="C2289" t="inlineStr">
        <is>
          <t>20131312955</t>
        </is>
      </c>
      <c r="D2289" t="inlineStr">
        <is>
          <t>Av. Tupac Amaru 102 Urb. Miramar</t>
        </is>
      </c>
      <c r="E2289" t="inlineStr">
        <is>
          <t>Lima, 10 de Diciembre de 2024</t>
        </is>
      </c>
      <c r="F2289" t="inlineStr">
        <is>
          <t>la Recarga y mantenimiento</t>
        </is>
      </c>
      <c r="G2289" t="inlineStr">
        <is>
          <t>09</t>
        </is>
      </c>
      <c r="H2289" t="inlineStr">
        <is>
          <t>30 LBS</t>
        </is>
      </c>
      <c r="I2289" t="n">
        <v>2026</v>
      </c>
      <c r="J2289" t="n">
        <v>2013</v>
      </c>
      <c r="K2289" t="inlineStr">
        <is>
          <t>NOVIEMBRE 2024</t>
        </is>
      </c>
      <c r="L2289" t="inlineStr">
        <is>
          <t>NOVIEMBRE 2025</t>
        </is>
      </c>
      <c r="M2289" t="inlineStr">
        <is>
          <t>P.Q.S. / ABC AL 90%</t>
        </is>
      </c>
      <c r="N2289" t="inlineStr">
        <is>
          <t>40/BZ574123</t>
        </is>
      </c>
      <c r="O2289" t="inlineStr">
        <is>
          <t>R</t>
        </is>
      </c>
      <c r="P2289">
        <f>TRIM(N2289)</f>
        <v/>
      </c>
    </row>
    <row r="2290">
      <c r="A2290" t="inlineStr">
        <is>
          <t>CO-002124</t>
        </is>
      </c>
      <c r="B2290" t="inlineStr">
        <is>
          <t>SUNAT - AREQUIPA - SEDE MOLLENDO</t>
        </is>
      </c>
      <c r="C2290" t="inlineStr">
        <is>
          <t>20131312955</t>
        </is>
      </c>
      <c r="D2290" t="inlineStr">
        <is>
          <t>Av. Tupac Amaru 102 Urb. Miramar</t>
        </is>
      </c>
      <c r="E2290" t="inlineStr">
        <is>
          <t>Lima, 10 de Diciembre de 2024</t>
        </is>
      </c>
      <c r="F2290" t="inlineStr">
        <is>
          <t>la Recarga y mantenimiento</t>
        </is>
      </c>
      <c r="G2290" t="n">
        <v>10</v>
      </c>
      <c r="H2290" t="inlineStr">
        <is>
          <t>30 LBS</t>
        </is>
      </c>
      <c r="I2290" t="n">
        <v>2026</v>
      </c>
      <c r="J2290" t="n">
        <v>2013</v>
      </c>
      <c r="K2290" t="inlineStr">
        <is>
          <t>NOVIEMBRE 2024</t>
        </is>
      </c>
      <c r="L2290" t="inlineStr">
        <is>
          <t>NOVIEMBRE 2025</t>
        </is>
      </c>
      <c r="M2290" t="inlineStr">
        <is>
          <t>P.Q.S. / ABC AL 90%</t>
        </is>
      </c>
      <c r="N2290" t="inlineStr">
        <is>
          <t>41/BR574023</t>
        </is>
      </c>
      <c r="O2290" t="inlineStr">
        <is>
          <t>R</t>
        </is>
      </c>
      <c r="P2290">
        <f>TRIM(N2290)</f>
        <v/>
      </c>
    </row>
    <row r="2291">
      <c r="A2291" t="inlineStr">
        <is>
          <t>CO-002124</t>
        </is>
      </c>
      <c r="B2291" t="inlineStr">
        <is>
          <t>SUNAT - AREQUIPA - SEDE MOLLENDO</t>
        </is>
      </c>
      <c r="C2291" t="inlineStr">
        <is>
          <t>20131312955</t>
        </is>
      </c>
      <c r="D2291" t="inlineStr">
        <is>
          <t>Av. Tupac Amaru 102 Urb. Miramar</t>
        </is>
      </c>
      <c r="E2291" t="inlineStr">
        <is>
          <t>Lima, 10 de Diciembre de 2024</t>
        </is>
      </c>
      <c r="F2291" t="inlineStr">
        <is>
          <t>la Recarga y mantenimiento</t>
        </is>
      </c>
      <c r="G2291" t="n">
        <v>11</v>
      </c>
      <c r="H2291" t="inlineStr">
        <is>
          <t>30 LBS</t>
        </is>
      </c>
      <c r="I2291" t="n">
        <v>2026</v>
      </c>
      <c r="J2291" t="n">
        <v>2013</v>
      </c>
      <c r="K2291" t="inlineStr">
        <is>
          <t>NOVIEMBRE 2024</t>
        </is>
      </c>
      <c r="L2291" t="inlineStr">
        <is>
          <t>NOVIEMBRE 2025</t>
        </is>
      </c>
      <c r="M2291" t="inlineStr">
        <is>
          <t>P.Q.S. / ABC AL 90%</t>
        </is>
      </c>
      <c r="N2291" t="inlineStr">
        <is>
          <t>42/BR574109</t>
        </is>
      </c>
      <c r="O2291" t="inlineStr">
        <is>
          <t>R</t>
        </is>
      </c>
      <c r="P2291">
        <f>TRIM(N2291)</f>
        <v/>
      </c>
    </row>
    <row r="2292">
      <c r="A2292" t="inlineStr">
        <is>
          <t>CO-002124</t>
        </is>
      </c>
      <c r="B2292" t="inlineStr">
        <is>
          <t>SUNAT - AREQUIPA - SEDE MOLLENDO</t>
        </is>
      </c>
      <c r="C2292" t="inlineStr">
        <is>
          <t>20131312955</t>
        </is>
      </c>
      <c r="D2292" t="inlineStr">
        <is>
          <t>Av. Tupac Amaru 102 Urb. Miramar</t>
        </is>
      </c>
      <c r="E2292" t="inlineStr">
        <is>
          <t>Lima, 10 de Diciembre de 2024</t>
        </is>
      </c>
      <c r="F2292" t="inlineStr">
        <is>
          <t>la Recarga y mantenimiento</t>
        </is>
      </c>
      <c r="G2292" t="n">
        <v>12</v>
      </c>
      <c r="H2292" t="inlineStr">
        <is>
          <t>30 LBS</t>
        </is>
      </c>
      <c r="I2292" t="n">
        <v>2026</v>
      </c>
      <c r="J2292" t="n">
        <v>2013</v>
      </c>
      <c r="K2292" t="inlineStr">
        <is>
          <t>NOVIEMBRE 2024</t>
        </is>
      </c>
      <c r="L2292" t="inlineStr">
        <is>
          <t>NOVIEMBRE 2025</t>
        </is>
      </c>
      <c r="M2292" t="inlineStr">
        <is>
          <t>P.Q.S. / ABC AL 90%</t>
        </is>
      </c>
      <c r="N2292" t="inlineStr">
        <is>
          <t>43/BR574121</t>
        </is>
      </c>
      <c r="O2292" t="inlineStr">
        <is>
          <t>R</t>
        </is>
      </c>
      <c r="P2292">
        <f>TRIM(N2292)</f>
        <v/>
      </c>
    </row>
    <row r="2293">
      <c r="A2293" t="inlineStr">
        <is>
          <t>CO-002124</t>
        </is>
      </c>
      <c r="B2293" t="inlineStr">
        <is>
          <t>SUNAT - AREQUIPA - SEDE MOLLENDO</t>
        </is>
      </c>
      <c r="C2293" t="inlineStr">
        <is>
          <t>20131312955</t>
        </is>
      </c>
      <c r="D2293" t="inlineStr">
        <is>
          <t>Av. Tupac Amaru 102 Urb. Miramar</t>
        </is>
      </c>
      <c r="E2293" t="inlineStr">
        <is>
          <t>Lima, 10 de Diciembre de 2024</t>
        </is>
      </c>
      <c r="F2293" t="inlineStr">
        <is>
          <t>la Recarga y mantenimiento</t>
        </is>
      </c>
      <c r="G2293" t="n">
        <v>13</v>
      </c>
      <c r="H2293" t="inlineStr">
        <is>
          <t>30 LBS</t>
        </is>
      </c>
      <c r="I2293" t="n">
        <v>2026</v>
      </c>
      <c r="J2293" t="n">
        <v>2013</v>
      </c>
      <c r="K2293" t="inlineStr">
        <is>
          <t>NOVIEMBRE 2024</t>
        </is>
      </c>
      <c r="L2293" t="inlineStr">
        <is>
          <t>NOVIEMBRE 2025</t>
        </is>
      </c>
      <c r="M2293" t="inlineStr">
        <is>
          <t>P.Q.S. / ABC AL 90%</t>
        </is>
      </c>
      <c r="N2293" t="inlineStr">
        <is>
          <t>45/BK572451</t>
        </is>
      </c>
      <c r="O2293" t="inlineStr">
        <is>
          <t>R</t>
        </is>
      </c>
      <c r="P2293">
        <f>TRIM(N2293)</f>
        <v/>
      </c>
    </row>
    <row r="2294">
      <c r="A2294" t="inlineStr">
        <is>
          <t>CO-002124</t>
        </is>
      </c>
      <c r="B2294" t="inlineStr">
        <is>
          <t>SUNAT - AREQUIPA - SEDE MOLLENDO</t>
        </is>
      </c>
      <c r="C2294" t="inlineStr">
        <is>
          <t>20131312955</t>
        </is>
      </c>
      <c r="D2294" t="inlineStr">
        <is>
          <t>Av. Tupac Amaru 102 Urb. Miramar</t>
        </is>
      </c>
      <c r="E2294" t="inlineStr">
        <is>
          <t>Lima, 10 de Diciembre de 2024</t>
        </is>
      </c>
      <c r="F2294" t="inlineStr">
        <is>
          <t>la Recarga y mantenimiento</t>
        </is>
      </c>
      <c r="G2294" t="n">
        <v>14</v>
      </c>
      <c r="H2294" t="inlineStr">
        <is>
          <t>30 LBS</t>
        </is>
      </c>
      <c r="I2294" t="n">
        <v>2026</v>
      </c>
      <c r="J2294" t="n">
        <v>2013</v>
      </c>
      <c r="K2294" t="inlineStr">
        <is>
          <t>NOVIEMBRE 2024</t>
        </is>
      </c>
      <c r="L2294" t="inlineStr">
        <is>
          <t>NOVIEMBRE 2025</t>
        </is>
      </c>
      <c r="M2294" t="inlineStr">
        <is>
          <t>P.Q.S. / ABC AL 90%</t>
        </is>
      </c>
      <c r="N2294" t="inlineStr">
        <is>
          <t>46/BR574449</t>
        </is>
      </c>
      <c r="O2294" t="inlineStr">
        <is>
          <t>R</t>
        </is>
      </c>
      <c r="P2294">
        <f>TRIM(N2294)</f>
        <v/>
      </c>
    </row>
    <row r="2295">
      <c r="A2295" t="inlineStr">
        <is>
          <t>CO-002124</t>
        </is>
      </c>
      <c r="B2295" t="inlineStr">
        <is>
          <t>SUNAT - AREQUIPA - SEDE MOLLENDO</t>
        </is>
      </c>
      <c r="C2295" t="inlineStr">
        <is>
          <t>20131312955</t>
        </is>
      </c>
      <c r="D2295" t="inlineStr">
        <is>
          <t>Av. Tupac Amaru 102 Urb. Miramar</t>
        </is>
      </c>
      <c r="E2295" t="inlineStr">
        <is>
          <t>Lima, 10 de Diciembre de 2024</t>
        </is>
      </c>
      <c r="F2295" t="inlineStr">
        <is>
          <t>la Recarga y mantenimiento</t>
        </is>
      </c>
      <c r="G2295" t="n">
        <v>15</v>
      </c>
      <c r="H2295" t="inlineStr">
        <is>
          <t>20 LBS</t>
        </is>
      </c>
      <c r="I2295" t="n">
        <v>2027</v>
      </c>
      <c r="J2295" t="inlineStr">
        <is>
          <t>N/R</t>
        </is>
      </c>
      <c r="K2295" t="inlineStr">
        <is>
          <t>NOVIEMBRE 2024</t>
        </is>
      </c>
      <c r="L2295" t="inlineStr">
        <is>
          <t>NOVIEMBRE 2025</t>
        </is>
      </c>
      <c r="M2295" t="inlineStr">
        <is>
          <t>P.Q.S. / ABC AL 90%</t>
        </is>
      </c>
      <c r="N2295" t="inlineStr">
        <is>
          <t>47/M179915</t>
        </is>
      </c>
      <c r="O2295" t="inlineStr">
        <is>
          <t>R</t>
        </is>
      </c>
      <c r="P2295">
        <f>TRIM(N2295)</f>
        <v/>
      </c>
    </row>
    <row r="2296">
      <c r="A2296" t="inlineStr">
        <is>
          <t>CO-002125</t>
        </is>
      </c>
      <c r="B2296" t="inlineStr">
        <is>
          <t>SUNAT - AREQUIPA - SEDE MOLLENDO</t>
        </is>
      </c>
      <c r="C2296" t="inlineStr">
        <is>
          <t>20131312955</t>
        </is>
      </c>
      <c r="D2296" t="inlineStr">
        <is>
          <t>Av. Tupac Amaru 102 Urb. Miramar</t>
        </is>
      </c>
      <c r="E2296" t="inlineStr">
        <is>
          <t>Lima, 10 de Diciembre de 2024</t>
        </is>
      </c>
      <c r="F2296" t="inlineStr">
        <is>
          <t>la Recarga y mantenimiento</t>
        </is>
      </c>
      <c r="G2296" t="inlineStr">
        <is>
          <t>01</t>
        </is>
      </c>
      <c r="H2296" t="inlineStr">
        <is>
          <t>30 LBS</t>
        </is>
      </c>
      <c r="I2296" t="inlineStr">
        <is>
          <t>2026</t>
        </is>
      </c>
      <c r="J2296" t="n">
        <v>2013</v>
      </c>
      <c r="K2296" t="inlineStr">
        <is>
          <t>NOVIEMBRE 2024</t>
        </is>
      </c>
      <c r="L2296" t="inlineStr">
        <is>
          <t>NOVIEMBRE 2025</t>
        </is>
      </c>
      <c r="M2296" t="inlineStr">
        <is>
          <t>P.Q.S. / ABC AL 90%</t>
        </is>
      </c>
      <c r="N2296" t="inlineStr">
        <is>
          <t>48/BR574136</t>
        </is>
      </c>
      <c r="O2296" t="inlineStr">
        <is>
          <t>R</t>
        </is>
      </c>
      <c r="P2296">
        <f>TRIM(N2296)</f>
        <v/>
      </c>
    </row>
    <row r="2297">
      <c r="A2297" t="inlineStr">
        <is>
          <t>CO-002125</t>
        </is>
      </c>
      <c r="B2297" t="inlineStr">
        <is>
          <t>SUNAT - AREQUIPA - SEDE MOLLENDO</t>
        </is>
      </c>
      <c r="C2297" t="inlineStr">
        <is>
          <t>20131312955</t>
        </is>
      </c>
      <c r="D2297" t="inlineStr">
        <is>
          <t>Av. Tupac Amaru 102 Urb. Miramar</t>
        </is>
      </c>
      <c r="E2297" t="inlineStr">
        <is>
          <t>Lima, 10 de Diciembre de 2024</t>
        </is>
      </c>
      <c r="F2297" t="inlineStr">
        <is>
          <t>la Recarga y mantenimiento</t>
        </is>
      </c>
      <c r="G2297" t="inlineStr">
        <is>
          <t>02</t>
        </is>
      </c>
      <c r="H2297" t="inlineStr">
        <is>
          <t>20 LBS</t>
        </is>
      </c>
      <c r="I2297" t="inlineStr">
        <is>
          <t>2027</t>
        </is>
      </c>
      <c r="J2297" t="inlineStr">
        <is>
          <t>N/R</t>
        </is>
      </c>
      <c r="K2297" t="inlineStr">
        <is>
          <t>NOVIEMBRE 2024</t>
        </is>
      </c>
      <c r="L2297" t="inlineStr">
        <is>
          <t>NOVIEMBRE 2025</t>
        </is>
      </c>
      <c r="M2297" t="inlineStr">
        <is>
          <t>P.Q.S. / ABC AL 90%</t>
        </is>
      </c>
      <c r="N2297" t="inlineStr">
        <is>
          <t>49/M179914</t>
        </is>
      </c>
      <c r="O2297" t="inlineStr">
        <is>
          <t>R</t>
        </is>
      </c>
      <c r="P2297">
        <f>TRIM(N2297)</f>
        <v/>
      </c>
    </row>
    <row r="2298">
      <c r="A2298" t="inlineStr">
        <is>
          <t>CO-002125</t>
        </is>
      </c>
      <c r="B2298" t="inlineStr">
        <is>
          <t>SUNAT - AREQUIPA - SEDE MOLLENDO</t>
        </is>
      </c>
      <c r="C2298" t="inlineStr">
        <is>
          <t>20131312955</t>
        </is>
      </c>
      <c r="D2298" t="inlineStr">
        <is>
          <t>Av. Tupac Amaru 102 Urb. Miramar</t>
        </is>
      </c>
      <c r="E2298" t="inlineStr">
        <is>
          <t>Lima, 10 de Diciembre de 2024</t>
        </is>
      </c>
      <c r="F2298" t="inlineStr">
        <is>
          <t>la Recarga y mantenimiento</t>
        </is>
      </c>
      <c r="G2298" t="inlineStr">
        <is>
          <t>03</t>
        </is>
      </c>
      <c r="H2298" t="inlineStr">
        <is>
          <t>20 LBS</t>
        </is>
      </c>
      <c r="I2298" t="n">
        <v>2026</v>
      </c>
      <c r="J2298" t="n">
        <v>2007</v>
      </c>
      <c r="K2298" t="inlineStr">
        <is>
          <t>NOVIEMBRE 2024</t>
        </is>
      </c>
      <c r="L2298" t="inlineStr">
        <is>
          <t>NOVIEMBRE 2025</t>
        </is>
      </c>
      <c r="M2298" t="inlineStr">
        <is>
          <t>P.Q.S. / ABC AL 90%</t>
        </is>
      </c>
      <c r="N2298" t="inlineStr">
        <is>
          <t>S/N/ZB-239281</t>
        </is>
      </c>
      <c r="O2298" t="inlineStr">
        <is>
          <t>R</t>
        </is>
      </c>
      <c r="P2298">
        <f>TRIM(N2298)</f>
        <v/>
      </c>
    </row>
    <row r="2299">
      <c r="A2299" t="inlineStr">
        <is>
          <t>CO-002125</t>
        </is>
      </c>
      <c r="B2299" t="inlineStr">
        <is>
          <t>SUNAT - AREQUIPA - SEDE MOLLENDO</t>
        </is>
      </c>
      <c r="C2299" t="inlineStr">
        <is>
          <t>20131312955</t>
        </is>
      </c>
      <c r="D2299" t="inlineStr">
        <is>
          <t>Av. Tupac Amaru 102 Urb. Miramar</t>
        </is>
      </c>
      <c r="E2299" t="inlineStr">
        <is>
          <t>Lima, 10 de Diciembre de 2024</t>
        </is>
      </c>
      <c r="F2299" t="inlineStr">
        <is>
          <t>la Recarga y mantenimiento</t>
        </is>
      </c>
      <c r="G2299" t="inlineStr">
        <is>
          <t>04</t>
        </is>
      </c>
      <c r="H2299" t="inlineStr">
        <is>
          <t>20 LBS</t>
        </is>
      </c>
      <c r="I2299" t="n">
        <v>2026</v>
      </c>
      <c r="J2299" t="n">
        <v>2007</v>
      </c>
      <c r="K2299" t="inlineStr">
        <is>
          <t>NOVIEMBRE 2024</t>
        </is>
      </c>
      <c r="L2299" t="inlineStr">
        <is>
          <t>NOVIEMBRE 2025</t>
        </is>
      </c>
      <c r="M2299" t="inlineStr">
        <is>
          <t>P.Q.S. / ABC AL 90%</t>
        </is>
      </c>
      <c r="N2299" t="inlineStr">
        <is>
          <t>S/N/ZB-239298</t>
        </is>
      </c>
      <c r="O2299" t="inlineStr">
        <is>
          <t>R</t>
        </is>
      </c>
      <c r="P2299">
        <f>TRIM(N2299)</f>
        <v/>
      </c>
    </row>
    <row r="2300">
      <c r="A2300" t="inlineStr">
        <is>
          <t>CO-002125</t>
        </is>
      </c>
      <c r="B2300" t="inlineStr">
        <is>
          <t>SUNAT - AREQUIPA - SEDE MOLLENDO</t>
        </is>
      </c>
      <c r="C2300" t="inlineStr">
        <is>
          <t>20131312955</t>
        </is>
      </c>
      <c r="D2300" t="inlineStr">
        <is>
          <t>Av. Tupac Amaru 102 Urb. Miramar</t>
        </is>
      </c>
      <c r="E2300" t="inlineStr">
        <is>
          <t>Lima, 10 de Diciembre de 2024</t>
        </is>
      </c>
      <c r="F2300" t="inlineStr">
        <is>
          <t>la Recarga y mantenimiento</t>
        </is>
      </c>
      <c r="G2300" t="inlineStr">
        <is>
          <t>05</t>
        </is>
      </c>
      <c r="H2300" t="inlineStr">
        <is>
          <t>20 LBS</t>
        </is>
      </c>
      <c r="I2300" t="n">
        <v>2026</v>
      </c>
      <c r="J2300" t="n">
        <v>2007</v>
      </c>
      <c r="K2300" t="inlineStr">
        <is>
          <t>NOVIEMBRE 2024</t>
        </is>
      </c>
      <c r="L2300" t="inlineStr">
        <is>
          <t>NOVIEMBRE 2025</t>
        </is>
      </c>
      <c r="M2300" t="inlineStr">
        <is>
          <t>P.Q.S. / ABC AL 90%</t>
        </is>
      </c>
      <c r="N2300" t="inlineStr">
        <is>
          <t>06/BR572438</t>
        </is>
      </c>
      <c r="O2300" t="inlineStr">
        <is>
          <t>R</t>
        </is>
      </c>
      <c r="P2300">
        <f>TRIM(N2300)</f>
        <v/>
      </c>
    </row>
    <row r="2301">
      <c r="A2301" t="inlineStr">
        <is>
          <t>CO-002125</t>
        </is>
      </c>
      <c r="B2301" t="inlineStr">
        <is>
          <t>SUNAT - AREQUIPA - SEDE MOLLENDO</t>
        </is>
      </c>
      <c r="C2301" t="inlineStr">
        <is>
          <t>20131312955</t>
        </is>
      </c>
      <c r="D2301" t="inlineStr">
        <is>
          <t>Av. Tupac Amaru 102 Urb. Miramar</t>
        </is>
      </c>
      <c r="E2301" t="inlineStr">
        <is>
          <t>Lima, 10 de Diciembre de 2024</t>
        </is>
      </c>
      <c r="F2301" t="inlineStr">
        <is>
          <t>la Recarga y mantenimiento</t>
        </is>
      </c>
      <c r="G2301" t="inlineStr">
        <is>
          <t>06</t>
        </is>
      </c>
      <c r="H2301" t="inlineStr">
        <is>
          <t>20 LBS</t>
        </is>
      </c>
      <c r="I2301" t="n">
        <v>2026</v>
      </c>
      <c r="J2301" t="n">
        <v>2013</v>
      </c>
      <c r="K2301" t="inlineStr">
        <is>
          <t>NOVIEMBRE 2024</t>
        </is>
      </c>
      <c r="L2301" t="inlineStr">
        <is>
          <t>NOVIEMBRE 2025</t>
        </is>
      </c>
      <c r="M2301" t="inlineStr">
        <is>
          <t>P.Q.S. / ABC AL 90%</t>
        </is>
      </c>
      <c r="N2301" t="inlineStr">
        <is>
          <t>06/BR572438</t>
        </is>
      </c>
      <c r="O2301" t="inlineStr">
        <is>
          <t>R</t>
        </is>
      </c>
      <c r="P2301">
        <f>TRIM(N2301)</f>
        <v/>
      </c>
    </row>
    <row r="2302">
      <c r="A2302" t="inlineStr">
        <is>
          <t>CO-002126</t>
        </is>
      </c>
      <c r="B2302" t="inlineStr">
        <is>
          <t>REPUESTOS NUEVOS S A (RENU S A )</t>
        </is>
      </c>
      <c r="C2302" t="inlineStr">
        <is>
          <t>20100085578</t>
        </is>
      </c>
      <c r="D2302" t="inlineStr">
        <is>
          <t>AKR-768</t>
        </is>
      </c>
      <c r="E2302" t="inlineStr">
        <is>
          <t>Lima, 02 de Noviembre 2024</t>
        </is>
      </c>
      <c r="F2302" t="inlineStr">
        <is>
          <t>la Recarga y mantenimiento</t>
        </is>
      </c>
      <c r="G2302" t="inlineStr">
        <is>
          <t>01</t>
        </is>
      </c>
      <c r="H2302" t="inlineStr">
        <is>
          <t>06 KG</t>
        </is>
      </c>
      <c r="I2302" t="inlineStr">
        <is>
          <t>VIGENTE</t>
        </is>
      </c>
      <c r="J2302" t="n">
        <v>2011</v>
      </c>
      <c r="K2302" t="inlineStr">
        <is>
          <t>DICIEMBRE 2024</t>
        </is>
      </c>
      <c r="L2302" t="inlineStr">
        <is>
          <t>DICIEMBRE 2025</t>
        </is>
      </c>
      <c r="M2302" t="inlineStr">
        <is>
          <t>P.Q.S. / ABC AL 90%</t>
        </is>
      </c>
      <c r="N2302" t="inlineStr">
        <is>
          <t>2326</t>
        </is>
      </c>
      <c r="O2302" t="inlineStr">
        <is>
          <t>R</t>
        </is>
      </c>
      <c r="P2302">
        <f>TRIM(N2302)</f>
        <v/>
      </c>
    </row>
    <row r="2303">
      <c r="A2303" t="inlineStr">
        <is>
          <t>CO-002126</t>
        </is>
      </c>
      <c r="B2303" t="inlineStr">
        <is>
          <t>REPUESTOS NUEVOS S A (RENU S A )</t>
        </is>
      </c>
      <c r="C2303" t="inlineStr">
        <is>
          <t>20100085578</t>
        </is>
      </c>
      <c r="D2303" t="inlineStr">
        <is>
          <t>AKR-768</t>
        </is>
      </c>
      <c r="E2303" t="inlineStr">
        <is>
          <t>Lima, 02 de Noviembre 2024</t>
        </is>
      </c>
      <c r="F2303" t="inlineStr">
        <is>
          <t>la Recarga y mantenimiento</t>
        </is>
      </c>
      <c r="G2303" t="n">
        <v>15</v>
      </c>
      <c r="O2303" t="inlineStr">
        <is>
          <t>R</t>
        </is>
      </c>
      <c r="P2303">
        <f>TRIM(N2303)</f>
        <v/>
      </c>
    </row>
    <row r="2304">
      <c r="A2304" t="inlineStr">
        <is>
          <t>CO-002127</t>
        </is>
      </c>
      <c r="B2304" t="inlineStr">
        <is>
          <t xml:space="preserve">SUNAT - AREQUIPA - SEDE PAUCARPATA </t>
        </is>
      </c>
      <c r="C2304" t="inlineStr">
        <is>
          <t>20131312955</t>
        </is>
      </c>
      <c r="D2304" t="inlineStr">
        <is>
          <t>Av. Pizarro N° 160, Sub lote A</t>
        </is>
      </c>
      <c r="E2304" t="inlineStr">
        <is>
          <t>Lima, 10 de Diciembre de 2024</t>
        </is>
      </c>
      <c r="F2304" t="inlineStr">
        <is>
          <t>la Recarga y mantenimiento</t>
        </is>
      </c>
      <c r="G2304" t="inlineStr">
        <is>
          <t>01</t>
        </is>
      </c>
      <c r="H2304" t="inlineStr">
        <is>
          <t xml:space="preserve">06 KG </t>
        </is>
      </c>
      <c r="I2304" t="inlineStr">
        <is>
          <t>2029</t>
        </is>
      </c>
      <c r="J2304" t="n">
        <v>2014</v>
      </c>
      <c r="K2304" t="inlineStr">
        <is>
          <t>NOVIEMBRE 2024</t>
        </is>
      </c>
      <c r="L2304" t="inlineStr">
        <is>
          <t>NOVIEMBRE 2025</t>
        </is>
      </c>
      <c r="M2304" t="inlineStr">
        <is>
          <t>P.Q.S. / ABC AL 90%</t>
        </is>
      </c>
      <c r="N2304" t="inlineStr">
        <is>
          <t>1/000872</t>
        </is>
      </c>
      <c r="O2304" t="inlineStr">
        <is>
          <t>R</t>
        </is>
      </c>
      <c r="P2304">
        <f>TRIM(N2304)</f>
        <v/>
      </c>
    </row>
    <row r="2305">
      <c r="A2305" t="inlineStr">
        <is>
          <t>CO-002127</t>
        </is>
      </c>
      <c r="B2305" t="inlineStr">
        <is>
          <t xml:space="preserve">SUNAT - AREQUIPA - SEDE PAUCARPATA </t>
        </is>
      </c>
      <c r="C2305" t="inlineStr">
        <is>
          <t>20131312955</t>
        </is>
      </c>
      <c r="D2305" t="inlineStr">
        <is>
          <t>Av. Pizarro N° 160, Sub lote A</t>
        </is>
      </c>
      <c r="E2305" t="inlineStr">
        <is>
          <t>Lima, 10 de Diciembre de 2024</t>
        </is>
      </c>
      <c r="F2305" t="inlineStr">
        <is>
          <t>la Recarga y mantenimiento</t>
        </is>
      </c>
      <c r="G2305" t="inlineStr">
        <is>
          <t>02</t>
        </is>
      </c>
      <c r="H2305" t="inlineStr">
        <is>
          <t xml:space="preserve">06 KG </t>
        </is>
      </c>
      <c r="I2305" t="inlineStr">
        <is>
          <t>2029</t>
        </is>
      </c>
      <c r="J2305" t="n">
        <v>2014</v>
      </c>
      <c r="K2305" t="inlineStr">
        <is>
          <t>NOVIEMBRE 2024</t>
        </is>
      </c>
      <c r="L2305" t="inlineStr">
        <is>
          <t>NOVIEMBRE 2025</t>
        </is>
      </c>
      <c r="M2305" t="inlineStr">
        <is>
          <t>P.Q.S. / ABC AL 90%</t>
        </is>
      </c>
      <c r="N2305" t="inlineStr">
        <is>
          <t>2/001249</t>
        </is>
      </c>
      <c r="O2305" t="inlineStr">
        <is>
          <t>R</t>
        </is>
      </c>
      <c r="P2305">
        <f>TRIM(N2305)</f>
        <v/>
      </c>
    </row>
    <row r="2306">
      <c r="A2306" t="inlineStr">
        <is>
          <t>CO-002127</t>
        </is>
      </c>
      <c r="B2306" t="inlineStr">
        <is>
          <t xml:space="preserve">SUNAT - AREQUIPA - SEDE PAUCARPATA </t>
        </is>
      </c>
      <c r="C2306" t="inlineStr">
        <is>
          <t>20131312955</t>
        </is>
      </c>
      <c r="D2306" t="inlineStr">
        <is>
          <t>Av. Pizarro N° 160, Sub lote A</t>
        </is>
      </c>
      <c r="E2306" t="inlineStr">
        <is>
          <t>Lima, 10 de Diciembre de 2024</t>
        </is>
      </c>
      <c r="F2306" t="inlineStr">
        <is>
          <t>la Recarga y mantenimiento</t>
        </is>
      </c>
      <c r="G2306" t="inlineStr">
        <is>
          <t>03</t>
        </is>
      </c>
      <c r="H2306" t="inlineStr">
        <is>
          <t xml:space="preserve">06 KG </t>
        </is>
      </c>
      <c r="I2306" t="inlineStr">
        <is>
          <t>2029</t>
        </is>
      </c>
      <c r="J2306" t="n">
        <v>2014</v>
      </c>
      <c r="K2306" t="inlineStr">
        <is>
          <t>NOVIEMBRE 2024</t>
        </is>
      </c>
      <c r="L2306" t="inlineStr">
        <is>
          <t>NOVIEMBRE 2025</t>
        </is>
      </c>
      <c r="M2306" t="inlineStr">
        <is>
          <t>P.Q.S. / ABC AL 90%</t>
        </is>
      </c>
      <c r="N2306" t="inlineStr">
        <is>
          <t>3/001883</t>
        </is>
      </c>
      <c r="O2306" t="inlineStr">
        <is>
          <t>R</t>
        </is>
      </c>
      <c r="P2306">
        <f>TRIM(N2306)</f>
        <v/>
      </c>
    </row>
    <row r="2307">
      <c r="A2307" t="inlineStr">
        <is>
          <t>CO-002127</t>
        </is>
      </c>
      <c r="B2307" t="inlineStr">
        <is>
          <t xml:space="preserve">SUNAT - AREQUIPA - SEDE PAUCARPATA </t>
        </is>
      </c>
      <c r="C2307" t="inlineStr">
        <is>
          <t>20131312955</t>
        </is>
      </c>
      <c r="D2307" t="inlineStr">
        <is>
          <t>Av. Pizarro N° 160, Sub lote A</t>
        </is>
      </c>
      <c r="E2307" t="inlineStr">
        <is>
          <t>Lima, 10 de Diciembre de 2024</t>
        </is>
      </c>
      <c r="F2307" t="inlineStr">
        <is>
          <t>la Recarga y mantenimiento</t>
        </is>
      </c>
      <c r="G2307" t="inlineStr">
        <is>
          <t>04</t>
        </is>
      </c>
      <c r="H2307" t="inlineStr">
        <is>
          <t xml:space="preserve">06 KG </t>
        </is>
      </c>
      <c r="I2307" t="inlineStr">
        <is>
          <t>2029</t>
        </is>
      </c>
      <c r="J2307" t="n">
        <v>2014</v>
      </c>
      <c r="K2307" t="inlineStr">
        <is>
          <t>NOVIEMBRE 2024</t>
        </is>
      </c>
      <c r="L2307" t="inlineStr">
        <is>
          <t>NOVIEMBRE 2025</t>
        </is>
      </c>
      <c r="M2307" t="inlineStr">
        <is>
          <t>P.Q.S. / ABC AL 90%</t>
        </is>
      </c>
      <c r="N2307" t="inlineStr">
        <is>
          <t>5/000953</t>
        </is>
      </c>
      <c r="O2307" t="inlineStr">
        <is>
          <t>R</t>
        </is>
      </c>
      <c r="P2307">
        <f>TRIM(N2307)</f>
        <v/>
      </c>
    </row>
    <row r="2308">
      <c r="A2308" t="inlineStr">
        <is>
          <t>CO-002127</t>
        </is>
      </c>
      <c r="B2308" t="inlineStr">
        <is>
          <t xml:space="preserve">SUNAT - AREQUIPA - SEDE PAUCARPATA </t>
        </is>
      </c>
      <c r="C2308" t="inlineStr">
        <is>
          <t>20131312955</t>
        </is>
      </c>
      <c r="D2308" t="inlineStr">
        <is>
          <t>Av. Pizarro N° 160, Sub lote A</t>
        </is>
      </c>
      <c r="E2308" t="inlineStr">
        <is>
          <t>Lima, 10 de Diciembre de 2024</t>
        </is>
      </c>
      <c r="F2308" t="inlineStr">
        <is>
          <t>la Recarga y mantenimiento</t>
        </is>
      </c>
      <c r="G2308" t="inlineStr">
        <is>
          <t>05</t>
        </is>
      </c>
      <c r="H2308" t="inlineStr">
        <is>
          <t xml:space="preserve">06 KG </t>
        </is>
      </c>
      <c r="I2308" t="inlineStr">
        <is>
          <t>2029</t>
        </is>
      </c>
      <c r="J2308" t="n">
        <v>2014</v>
      </c>
      <c r="K2308" t="inlineStr">
        <is>
          <t>NOVIEMBRE 2024</t>
        </is>
      </c>
      <c r="L2308" t="inlineStr">
        <is>
          <t>NOVIEMBRE 2025</t>
        </is>
      </c>
      <c r="M2308" t="inlineStr">
        <is>
          <t>P.Q.S. / ABC AL 90%</t>
        </is>
      </c>
      <c r="N2308" t="inlineStr">
        <is>
          <t>6/000792</t>
        </is>
      </c>
      <c r="O2308" t="inlineStr">
        <is>
          <t>R</t>
        </is>
      </c>
      <c r="P2308">
        <f>TRIM(N2308)</f>
        <v/>
      </c>
    </row>
    <row r="2309">
      <c r="A2309" t="inlineStr">
        <is>
          <t>CO-002127</t>
        </is>
      </c>
      <c r="B2309" t="inlineStr">
        <is>
          <t xml:space="preserve">SUNAT - AREQUIPA - SEDE PAUCARPATA </t>
        </is>
      </c>
      <c r="C2309" t="inlineStr">
        <is>
          <t>20131312955</t>
        </is>
      </c>
      <c r="D2309" t="inlineStr">
        <is>
          <t>Av. Pizarro N° 160, Sub lote A</t>
        </is>
      </c>
      <c r="E2309" t="inlineStr">
        <is>
          <t>Lima, 10 de Diciembre de 2024</t>
        </is>
      </c>
      <c r="F2309" t="inlineStr">
        <is>
          <t>la Recarga y mantenimiento</t>
        </is>
      </c>
      <c r="G2309" t="inlineStr">
        <is>
          <t>06</t>
        </is>
      </c>
      <c r="H2309" t="inlineStr">
        <is>
          <t xml:space="preserve">06 KG </t>
        </is>
      </c>
      <c r="I2309" t="inlineStr">
        <is>
          <t>2029</t>
        </is>
      </c>
      <c r="J2309" t="n">
        <v>2014</v>
      </c>
      <c r="K2309" t="inlineStr">
        <is>
          <t>NOVIEMBRE 2024</t>
        </is>
      </c>
      <c r="L2309" t="inlineStr">
        <is>
          <t>NOVIEMBRE 2025</t>
        </is>
      </c>
      <c r="M2309" t="inlineStr">
        <is>
          <t>P.Q.S. / ABC AL 90%</t>
        </is>
      </c>
      <c r="N2309" t="inlineStr">
        <is>
          <t>7/000283</t>
        </is>
      </c>
      <c r="O2309" t="inlineStr">
        <is>
          <t>R</t>
        </is>
      </c>
      <c r="P2309">
        <f>TRIM(N2309)</f>
        <v/>
      </c>
    </row>
    <row r="2310">
      <c r="A2310" t="inlineStr">
        <is>
          <t>CO-002127</t>
        </is>
      </c>
      <c r="B2310" t="inlineStr">
        <is>
          <t xml:space="preserve">SUNAT - AREQUIPA - SEDE PAUCARPATA </t>
        </is>
      </c>
      <c r="C2310" t="inlineStr">
        <is>
          <t>20131312955</t>
        </is>
      </c>
      <c r="D2310" t="inlineStr">
        <is>
          <t>Av. Pizarro N° 160, Sub lote A</t>
        </is>
      </c>
      <c r="E2310" t="inlineStr">
        <is>
          <t>Lima, 10 de Diciembre de 2024</t>
        </is>
      </c>
      <c r="F2310" t="inlineStr">
        <is>
          <t>la Recarga y mantenimiento</t>
        </is>
      </c>
      <c r="G2310" t="inlineStr">
        <is>
          <t>07</t>
        </is>
      </c>
      <c r="H2310" t="inlineStr">
        <is>
          <t xml:space="preserve">06 KG </t>
        </is>
      </c>
      <c r="I2310" t="inlineStr">
        <is>
          <t>2029</t>
        </is>
      </c>
      <c r="J2310" t="n">
        <v>2014</v>
      </c>
      <c r="K2310" t="inlineStr">
        <is>
          <t>NOVIEMBRE 2024</t>
        </is>
      </c>
      <c r="L2310" t="inlineStr">
        <is>
          <t>NOVIEMBRE 2025</t>
        </is>
      </c>
      <c r="M2310" t="inlineStr">
        <is>
          <t>P.Q.S. / ABC AL 90%</t>
        </is>
      </c>
      <c r="N2310" t="inlineStr">
        <is>
          <t>8/000359</t>
        </is>
      </c>
      <c r="O2310" t="inlineStr">
        <is>
          <t>R</t>
        </is>
      </c>
      <c r="P2310">
        <f>TRIM(N2310)</f>
        <v/>
      </c>
    </row>
    <row r="2311">
      <c r="A2311" t="inlineStr">
        <is>
          <t>CO-002127</t>
        </is>
      </c>
      <c r="B2311" t="inlineStr">
        <is>
          <t xml:space="preserve">SUNAT - AREQUIPA - SEDE PAUCARPATA </t>
        </is>
      </c>
      <c r="C2311" t="inlineStr">
        <is>
          <t>20131312955</t>
        </is>
      </c>
      <c r="D2311" t="inlineStr">
        <is>
          <t>Av. Pizarro N° 160, Sub lote A</t>
        </is>
      </c>
      <c r="E2311" t="inlineStr">
        <is>
          <t>Lima, 10 de Diciembre de 2024</t>
        </is>
      </c>
      <c r="F2311" t="inlineStr">
        <is>
          <t>la Recarga y mantenimiento</t>
        </is>
      </c>
      <c r="G2311" t="inlineStr">
        <is>
          <t>08</t>
        </is>
      </c>
      <c r="H2311" t="inlineStr">
        <is>
          <t xml:space="preserve">06 KG </t>
        </is>
      </c>
      <c r="I2311" t="inlineStr">
        <is>
          <t>2029</t>
        </is>
      </c>
      <c r="J2311" t="n">
        <v>2014</v>
      </c>
      <c r="K2311" t="inlineStr">
        <is>
          <t>NOVIEMBRE 2024</t>
        </is>
      </c>
      <c r="L2311" t="inlineStr">
        <is>
          <t>NOVIEMBRE 2025</t>
        </is>
      </c>
      <c r="M2311" t="inlineStr">
        <is>
          <t>P.Q.S. / ABC AL 90%</t>
        </is>
      </c>
      <c r="N2311" t="inlineStr">
        <is>
          <t>9/000107</t>
        </is>
      </c>
      <c r="O2311" t="inlineStr">
        <is>
          <t>R</t>
        </is>
      </c>
      <c r="P2311">
        <f>TRIM(N2311)</f>
        <v/>
      </c>
    </row>
    <row r="2312">
      <c r="A2312" t="inlineStr">
        <is>
          <t>CO-002127</t>
        </is>
      </c>
      <c r="B2312" t="inlineStr">
        <is>
          <t xml:space="preserve">SUNAT - AREQUIPA - SEDE PAUCARPATA </t>
        </is>
      </c>
      <c r="C2312" t="inlineStr">
        <is>
          <t>20131312955</t>
        </is>
      </c>
      <c r="D2312" t="inlineStr">
        <is>
          <t>Av. Pizarro N° 160, Sub lote A</t>
        </is>
      </c>
      <c r="E2312" t="inlineStr">
        <is>
          <t>Lima, 10 de Diciembre de 2024</t>
        </is>
      </c>
      <c r="F2312" t="inlineStr">
        <is>
          <t>la Recarga y mantenimiento</t>
        </is>
      </c>
      <c r="G2312" t="inlineStr">
        <is>
          <t>09</t>
        </is>
      </c>
      <c r="H2312" t="inlineStr">
        <is>
          <t xml:space="preserve">06 KG </t>
        </is>
      </c>
      <c r="I2312" t="inlineStr">
        <is>
          <t>2029</t>
        </is>
      </c>
      <c r="J2312" t="n">
        <v>2014</v>
      </c>
      <c r="K2312" t="inlineStr">
        <is>
          <t>NOVIEMBRE 2024</t>
        </is>
      </c>
      <c r="L2312" t="inlineStr">
        <is>
          <t>NOVIEMBRE 2025</t>
        </is>
      </c>
      <c r="M2312" t="inlineStr">
        <is>
          <t>P.Q.S. / ABC AL 90%</t>
        </is>
      </c>
      <c r="N2312" t="inlineStr">
        <is>
          <t>10/001299</t>
        </is>
      </c>
      <c r="O2312" t="inlineStr">
        <is>
          <t>R</t>
        </is>
      </c>
      <c r="P2312">
        <f>TRIM(N2312)</f>
        <v/>
      </c>
    </row>
    <row r="2313">
      <c r="A2313" t="inlineStr">
        <is>
          <t>CO-002127</t>
        </is>
      </c>
      <c r="B2313" t="inlineStr">
        <is>
          <t xml:space="preserve">SUNAT - AREQUIPA - SEDE PAUCARPATA </t>
        </is>
      </c>
      <c r="C2313" t="inlineStr">
        <is>
          <t>20131312955</t>
        </is>
      </c>
      <c r="D2313" t="inlineStr">
        <is>
          <t>Av. Pizarro N° 160, Sub lote A</t>
        </is>
      </c>
      <c r="E2313" t="inlineStr">
        <is>
          <t>Lima, 10 de Diciembre de 2024</t>
        </is>
      </c>
      <c r="F2313" t="inlineStr">
        <is>
          <t>la Recarga y mantenimiento</t>
        </is>
      </c>
      <c r="G2313" t="n">
        <v>10</v>
      </c>
      <c r="H2313" t="inlineStr">
        <is>
          <t xml:space="preserve">06 KG </t>
        </is>
      </c>
      <c r="I2313" t="inlineStr">
        <is>
          <t>2029</t>
        </is>
      </c>
      <c r="J2313" t="n">
        <v>2014</v>
      </c>
      <c r="K2313" t="inlineStr">
        <is>
          <t>NOVIEMBRE 2024</t>
        </is>
      </c>
      <c r="L2313" t="inlineStr">
        <is>
          <t>NOVIEMBRE 2025</t>
        </is>
      </c>
      <c r="M2313" t="inlineStr">
        <is>
          <t>P.Q.S. / ABC AL 90%</t>
        </is>
      </c>
      <c r="N2313" t="inlineStr">
        <is>
          <t>11/001165</t>
        </is>
      </c>
      <c r="O2313" t="inlineStr">
        <is>
          <t>R</t>
        </is>
      </c>
      <c r="P2313">
        <f>TRIM(N2313)</f>
        <v/>
      </c>
    </row>
    <row r="2314">
      <c r="A2314" t="inlineStr">
        <is>
          <t>CO-002127</t>
        </is>
      </c>
      <c r="B2314" t="inlineStr">
        <is>
          <t xml:space="preserve">SUNAT - AREQUIPA - SEDE PAUCARPATA </t>
        </is>
      </c>
      <c r="C2314" t="inlineStr">
        <is>
          <t>20131312955</t>
        </is>
      </c>
      <c r="D2314" t="inlineStr">
        <is>
          <t>Av. Pizarro N° 160, Sub lote A</t>
        </is>
      </c>
      <c r="E2314" t="inlineStr">
        <is>
          <t>Lima, 10 de Diciembre de 2024</t>
        </is>
      </c>
      <c r="F2314" t="inlineStr">
        <is>
          <t>la Recarga y mantenimiento</t>
        </is>
      </c>
      <c r="G2314" t="n">
        <v>11</v>
      </c>
      <c r="H2314" t="inlineStr">
        <is>
          <t>10 LBS</t>
        </is>
      </c>
      <c r="I2314" t="n">
        <v>2029</v>
      </c>
      <c r="J2314" t="n">
        <v>2014</v>
      </c>
      <c r="K2314" t="inlineStr">
        <is>
          <t>NOVIEMBRE 2024</t>
        </is>
      </c>
      <c r="L2314" t="inlineStr">
        <is>
          <t>NOVIEMBRE 2025</t>
        </is>
      </c>
      <c r="M2314" t="inlineStr">
        <is>
          <t>CO2 /TIPO BC</t>
        </is>
      </c>
      <c r="N2314" t="inlineStr">
        <is>
          <t>12/000102</t>
        </is>
      </c>
      <c r="O2314" t="inlineStr">
        <is>
          <t>R</t>
        </is>
      </c>
      <c r="P2314">
        <f>TRIM(N2314)</f>
        <v/>
      </c>
    </row>
    <row r="2315">
      <c r="A2315" t="inlineStr">
        <is>
          <t>CO-002127</t>
        </is>
      </c>
      <c r="B2315" t="inlineStr">
        <is>
          <t xml:space="preserve">SUNAT - AREQUIPA - SEDE PAUCARPATA </t>
        </is>
      </c>
      <c r="C2315" t="inlineStr">
        <is>
          <t>20131312955</t>
        </is>
      </c>
      <c r="D2315" t="inlineStr">
        <is>
          <t>Av. Pizarro N° 160, Sub lote A</t>
        </is>
      </c>
      <c r="E2315" t="inlineStr">
        <is>
          <t>Lima, 10 de Diciembre de 2024</t>
        </is>
      </c>
      <c r="F2315" t="inlineStr">
        <is>
          <t>la Recarga y mantenimiento</t>
        </is>
      </c>
      <c r="G2315" t="n">
        <v>12</v>
      </c>
      <c r="H2315" t="inlineStr">
        <is>
          <t>10 LBS</t>
        </is>
      </c>
      <c r="I2315" t="n">
        <v>2029</v>
      </c>
      <c r="J2315" t="n">
        <v>2014</v>
      </c>
      <c r="K2315" t="inlineStr">
        <is>
          <t>NOVIEMBRE 2024</t>
        </is>
      </c>
      <c r="L2315" t="inlineStr">
        <is>
          <t>NOVIEMBRE 2025</t>
        </is>
      </c>
      <c r="M2315" t="inlineStr">
        <is>
          <t>CO2 /TIPO BC</t>
        </is>
      </c>
      <c r="N2315" t="inlineStr">
        <is>
          <t>13/000088</t>
        </is>
      </c>
      <c r="O2315" t="inlineStr">
        <is>
          <t>R</t>
        </is>
      </c>
      <c r="P2315">
        <f>TRIM(N2315)</f>
        <v/>
      </c>
    </row>
    <row r="2316">
      <c r="A2316" t="inlineStr">
        <is>
          <t>CO-002127</t>
        </is>
      </c>
      <c r="B2316" t="inlineStr">
        <is>
          <t xml:space="preserve">SUNAT - AREQUIPA - SEDE PAUCARPATA </t>
        </is>
      </c>
      <c r="C2316" t="inlineStr">
        <is>
          <t>20131312955</t>
        </is>
      </c>
      <c r="D2316" t="inlineStr">
        <is>
          <t>Av. Pizarro N° 160, Sub lote A</t>
        </is>
      </c>
      <c r="E2316" t="inlineStr">
        <is>
          <t>Lima, 10 de Diciembre de 2024</t>
        </is>
      </c>
      <c r="F2316" t="inlineStr">
        <is>
          <t>la Recarga y mantenimiento</t>
        </is>
      </c>
      <c r="G2316" t="n">
        <v>13</v>
      </c>
      <c r="H2316" t="inlineStr">
        <is>
          <t>10 LBS</t>
        </is>
      </c>
      <c r="I2316" t="n">
        <v>2029</v>
      </c>
      <c r="J2316" t="n">
        <v>2015</v>
      </c>
      <c r="K2316" t="inlineStr">
        <is>
          <t>NOVIEMBRE 2024</t>
        </is>
      </c>
      <c r="L2316" t="inlineStr">
        <is>
          <t>NOVIEMBRE 2025</t>
        </is>
      </c>
      <c r="M2316" t="inlineStr">
        <is>
          <t>CO2 /TIPO BC</t>
        </is>
      </c>
      <c r="N2316" t="inlineStr">
        <is>
          <t>14/W-219936</t>
        </is>
      </c>
      <c r="O2316" t="inlineStr">
        <is>
          <t>R</t>
        </is>
      </c>
      <c r="P2316">
        <f>TRIM(N2316)</f>
        <v/>
      </c>
    </row>
    <row r="2317">
      <c r="A2317" t="inlineStr">
        <is>
          <t>CO-002127</t>
        </is>
      </c>
      <c r="B2317" t="inlineStr">
        <is>
          <t xml:space="preserve">SUNAT - AREQUIPA - SEDE PAUCARPATA </t>
        </is>
      </c>
      <c r="C2317" t="inlineStr">
        <is>
          <t>20131312955</t>
        </is>
      </c>
      <c r="D2317" t="inlineStr">
        <is>
          <t>Av. Pizarro N° 160, Sub lote A</t>
        </is>
      </c>
      <c r="E2317" t="inlineStr">
        <is>
          <t>Lima, 10 de Diciembre de 2024</t>
        </is>
      </c>
      <c r="F2317" t="inlineStr">
        <is>
          <t>la Recarga y mantenimiento</t>
        </is>
      </c>
      <c r="G2317" t="n">
        <v>14</v>
      </c>
      <c r="H2317" t="inlineStr">
        <is>
          <t>10 LBS</t>
        </is>
      </c>
      <c r="I2317" t="n">
        <v>2029</v>
      </c>
      <c r="J2317" t="n">
        <v>2015</v>
      </c>
      <c r="K2317" t="inlineStr">
        <is>
          <t>NOVIEMBRE 2024</t>
        </is>
      </c>
      <c r="L2317" t="inlineStr">
        <is>
          <t>NOVIEMBRE 2025</t>
        </is>
      </c>
      <c r="M2317" t="inlineStr">
        <is>
          <t>CO2 /TIPO BC</t>
        </is>
      </c>
      <c r="N2317" t="inlineStr">
        <is>
          <t>15/W-220238</t>
        </is>
      </c>
      <c r="O2317" t="inlineStr">
        <is>
          <t>R</t>
        </is>
      </c>
      <c r="P2317">
        <f>TRIM(N2317)</f>
        <v/>
      </c>
    </row>
    <row r="2318">
      <c r="A2318" t="inlineStr">
        <is>
          <t>CO-002127</t>
        </is>
      </c>
      <c r="B2318" t="inlineStr">
        <is>
          <t xml:space="preserve">SUNAT - AREQUIPA - SEDE PAUCARPATA </t>
        </is>
      </c>
      <c r="C2318" t="inlineStr">
        <is>
          <t>20131312955</t>
        </is>
      </c>
      <c r="D2318" t="inlineStr">
        <is>
          <t>Av. Pizarro N° 160, Sub lote A</t>
        </is>
      </c>
      <c r="E2318" t="inlineStr">
        <is>
          <t>Lima, 10 de Diciembre de 2024</t>
        </is>
      </c>
      <c r="F2318" t="inlineStr">
        <is>
          <t>la Recarga y mantenimiento</t>
        </is>
      </c>
      <c r="G2318" t="n">
        <v>15</v>
      </c>
      <c r="O2318" t="inlineStr">
        <is>
          <t>R</t>
        </is>
      </c>
      <c r="P2318">
        <f>TRIM(N2318)</f>
        <v/>
      </c>
    </row>
    <row r="2319">
      <c r="A2319" t="inlineStr">
        <is>
          <t>CO-002128</t>
        </is>
      </c>
      <c r="B2319" t="inlineStr">
        <is>
          <t>SUNAT - AREQUIPA - SEDE MERCADERES</t>
        </is>
      </c>
      <c r="C2319" t="inlineStr">
        <is>
          <t>20131312955</t>
        </is>
      </c>
      <c r="D2319" t="inlineStr">
        <is>
          <t>Mercaderes 201 y Jerusalen 100-102</t>
        </is>
      </c>
      <c r="E2319" t="inlineStr">
        <is>
          <t>Lima, 10 de Diciembre de 2024</t>
        </is>
      </c>
      <c r="F2319" t="inlineStr">
        <is>
          <t>la Recarga y mantenimiento</t>
        </is>
      </c>
      <c r="G2319" t="inlineStr">
        <is>
          <t>01</t>
        </is>
      </c>
      <c r="H2319" t="inlineStr">
        <is>
          <t xml:space="preserve">10 LBS </t>
        </is>
      </c>
      <c r="I2319" t="inlineStr">
        <is>
          <t>2029</t>
        </is>
      </c>
      <c r="J2319" t="n">
        <v>2005</v>
      </c>
      <c r="K2319" t="inlineStr">
        <is>
          <t>NOVIEMBRE 2024</t>
        </is>
      </c>
      <c r="L2319" t="inlineStr">
        <is>
          <t>NOVIEMBRE 2025</t>
        </is>
      </c>
      <c r="M2319" t="inlineStr">
        <is>
          <t>CO2 /TIPO BC</t>
        </is>
      </c>
      <c r="N2319" t="inlineStr">
        <is>
          <t>4/W-313141</t>
        </is>
      </c>
      <c r="O2319" t="inlineStr">
        <is>
          <t>R</t>
        </is>
      </c>
      <c r="P2319">
        <f>TRIM(N2319)</f>
        <v/>
      </c>
    </row>
    <row r="2320">
      <c r="A2320" t="inlineStr">
        <is>
          <t>CO-002128</t>
        </is>
      </c>
      <c r="B2320" t="inlineStr">
        <is>
          <t>SUNAT - AREQUIPA - SEDE MERCADERES</t>
        </is>
      </c>
      <c r="C2320" t="inlineStr">
        <is>
          <t>20131312955</t>
        </is>
      </c>
      <c r="D2320" t="inlineStr">
        <is>
          <t>Mercaderes 201 y Jerusalen 100-102</t>
        </is>
      </c>
      <c r="E2320" t="inlineStr">
        <is>
          <t>Lima, 10 de Diciembre de 2024</t>
        </is>
      </c>
      <c r="F2320" t="inlineStr">
        <is>
          <t>la Recarga y mantenimiento</t>
        </is>
      </c>
      <c r="G2320" t="inlineStr">
        <is>
          <t>02</t>
        </is>
      </c>
      <c r="H2320" t="inlineStr">
        <is>
          <t xml:space="preserve">10 LBS </t>
        </is>
      </c>
      <c r="I2320" t="inlineStr">
        <is>
          <t>2029</t>
        </is>
      </c>
      <c r="J2320" t="n">
        <v>2005</v>
      </c>
      <c r="K2320" t="inlineStr">
        <is>
          <t>NOVIEMBRE 2024</t>
        </is>
      </c>
      <c r="L2320" t="inlineStr">
        <is>
          <t>NOVIEMBRE 2025</t>
        </is>
      </c>
      <c r="M2320" t="inlineStr">
        <is>
          <t>CO2 /TIPO BC</t>
        </is>
      </c>
      <c r="N2320" t="inlineStr">
        <is>
          <t>6/Y-378690</t>
        </is>
      </c>
      <c r="O2320" t="inlineStr">
        <is>
          <t>R</t>
        </is>
      </c>
      <c r="P2320">
        <f>TRIM(N2320)</f>
        <v/>
      </c>
    </row>
    <row r="2321">
      <c r="A2321" t="inlineStr">
        <is>
          <t>CO-002128</t>
        </is>
      </c>
      <c r="B2321" t="inlineStr">
        <is>
          <t>SUNAT - AREQUIPA - SEDE MERCADERES</t>
        </is>
      </c>
      <c r="C2321" t="inlineStr">
        <is>
          <t>20131312955</t>
        </is>
      </c>
      <c r="D2321" t="inlineStr">
        <is>
          <t>Mercaderes 201 y Jerusalen 100-102</t>
        </is>
      </c>
      <c r="E2321" t="inlineStr">
        <is>
          <t>Lima, 10 de Diciembre de 2024</t>
        </is>
      </c>
      <c r="F2321" t="inlineStr">
        <is>
          <t>la Recarga y mantenimiento</t>
        </is>
      </c>
      <c r="G2321" t="inlineStr">
        <is>
          <t>03</t>
        </is>
      </c>
      <c r="H2321" t="inlineStr">
        <is>
          <t>2 KG</t>
        </is>
      </c>
      <c r="I2321" t="n">
        <v>2028</v>
      </c>
      <c r="J2321" t="n">
        <v>2013</v>
      </c>
      <c r="K2321" t="inlineStr">
        <is>
          <t>NOVIEMBRE 2024</t>
        </is>
      </c>
      <c r="L2321" t="inlineStr">
        <is>
          <t>NOVIEMBRE 2025</t>
        </is>
      </c>
      <c r="M2321" t="inlineStr">
        <is>
          <t>P.Q.S. / ABC AL 90%</t>
        </is>
      </c>
      <c r="N2321" t="inlineStr">
        <is>
          <t>30/S/N</t>
        </is>
      </c>
      <c r="O2321" t="inlineStr">
        <is>
          <t>R</t>
        </is>
      </c>
      <c r="P2321">
        <f>TRIM(N2321)</f>
        <v/>
      </c>
    </row>
    <row r="2322">
      <c r="A2322" t="inlineStr">
        <is>
          <t>CO-002128</t>
        </is>
      </c>
      <c r="B2322" t="inlineStr">
        <is>
          <t>SUNAT - AREQUIPA - SEDE MERCADERES</t>
        </is>
      </c>
      <c r="C2322" t="inlineStr">
        <is>
          <t>20131312955</t>
        </is>
      </c>
      <c r="D2322" t="inlineStr">
        <is>
          <t>Mercaderes 201 y Jerusalen 100-102</t>
        </is>
      </c>
      <c r="E2322" t="inlineStr">
        <is>
          <t>Lima, 10 de Diciembre de 2024</t>
        </is>
      </c>
      <c r="F2322" t="inlineStr">
        <is>
          <t>la Recarga y mantenimiento</t>
        </is>
      </c>
      <c r="G2322" t="inlineStr">
        <is>
          <t>04</t>
        </is>
      </c>
      <c r="H2322" t="inlineStr">
        <is>
          <t>2 KG</t>
        </is>
      </c>
      <c r="I2322" t="n">
        <v>2028</v>
      </c>
      <c r="J2322" t="n">
        <v>2013</v>
      </c>
      <c r="K2322" t="inlineStr">
        <is>
          <t>NOVIEMBRE 2024</t>
        </is>
      </c>
      <c r="L2322" t="inlineStr">
        <is>
          <t>NOVIEMBRE 2025</t>
        </is>
      </c>
      <c r="M2322" t="inlineStr">
        <is>
          <t>P.Q.S. / ABC AL 90%</t>
        </is>
      </c>
      <c r="N2322" t="inlineStr">
        <is>
          <t>31/S/N</t>
        </is>
      </c>
      <c r="O2322" t="inlineStr">
        <is>
          <t>R</t>
        </is>
      </c>
      <c r="P2322">
        <f>TRIM(N2322)</f>
        <v/>
      </c>
    </row>
    <row r="2323">
      <c r="A2323" t="inlineStr">
        <is>
          <t>CO-002128</t>
        </is>
      </c>
      <c r="B2323" t="inlineStr">
        <is>
          <t>SUNAT - AREQUIPA - SEDE MERCADERES</t>
        </is>
      </c>
      <c r="C2323" t="inlineStr">
        <is>
          <t>20131312955</t>
        </is>
      </c>
      <c r="D2323" t="inlineStr">
        <is>
          <t>Mercaderes 201 y Jerusalen 100-102</t>
        </is>
      </c>
      <c r="E2323" t="inlineStr">
        <is>
          <t>Lima, 10 de Diciembre de 2024</t>
        </is>
      </c>
      <c r="F2323" t="inlineStr">
        <is>
          <t>la Recarga y mantenimiento</t>
        </is>
      </c>
      <c r="G2323" t="n">
        <v>15</v>
      </c>
      <c r="O2323" t="inlineStr">
        <is>
          <t>R</t>
        </is>
      </c>
      <c r="P2323">
        <f>TRIM(N2323)</f>
        <v/>
      </c>
    </row>
    <row r="2324">
      <c r="A2324" t="inlineStr">
        <is>
          <t>CO-002129</t>
        </is>
      </c>
      <c r="B2324" t="inlineStr">
        <is>
          <t>SUNAT - AREQUIPA - SEDE MATARANI</t>
        </is>
      </c>
      <c r="C2324" t="inlineStr">
        <is>
          <t>20131312955</t>
        </is>
      </c>
      <c r="D2324" t="inlineStr">
        <is>
          <t>Av. Pizarro N° 160, Sub lote A</t>
        </is>
      </c>
      <c r="E2324" t="inlineStr">
        <is>
          <t>Lima, 10 de Diciembre de 2024</t>
        </is>
      </c>
      <c r="F2324" t="inlineStr">
        <is>
          <t>la Recarga y mantenimiento</t>
        </is>
      </c>
      <c r="G2324" t="inlineStr">
        <is>
          <t>01</t>
        </is>
      </c>
      <c r="H2324" t="inlineStr">
        <is>
          <t>20 LBS</t>
        </is>
      </c>
      <c r="I2324" t="inlineStr">
        <is>
          <t>2026</t>
        </is>
      </c>
      <c r="J2324" t="inlineStr">
        <is>
          <t>N/R</t>
        </is>
      </c>
      <c r="K2324" t="inlineStr">
        <is>
          <t>NOVIEMBRE 2024</t>
        </is>
      </c>
      <c r="L2324" t="inlineStr">
        <is>
          <t>NOVIEMBRE 2025</t>
        </is>
      </c>
      <c r="M2324" t="inlineStr">
        <is>
          <t>P.Q.S. / ABC AL 90%</t>
        </is>
      </c>
      <c r="N2324" t="inlineStr">
        <is>
          <t>1/M179677</t>
        </is>
      </c>
      <c r="O2324" t="inlineStr">
        <is>
          <t>R</t>
        </is>
      </c>
      <c r="P2324">
        <f>TRIM(N2324)</f>
        <v/>
      </c>
    </row>
    <row r="2325">
      <c r="A2325" t="inlineStr">
        <is>
          <t>CO-002129</t>
        </is>
      </c>
      <c r="B2325" t="inlineStr">
        <is>
          <t>SUNAT - AREQUIPA - SEDE MATARANI</t>
        </is>
      </c>
      <c r="C2325" t="inlineStr">
        <is>
          <t>20131312955</t>
        </is>
      </c>
      <c r="D2325" t="inlineStr">
        <is>
          <t>Av. Pizarro N° 160, Sub lote A</t>
        </is>
      </c>
      <c r="E2325" t="inlineStr">
        <is>
          <t>Lima, 10 de Diciembre de 2024</t>
        </is>
      </c>
      <c r="F2325" t="inlineStr">
        <is>
          <t>la Recarga y mantenimiento</t>
        </is>
      </c>
      <c r="G2325" t="inlineStr">
        <is>
          <t>02</t>
        </is>
      </c>
      <c r="H2325" t="inlineStr">
        <is>
          <t>20 LBS</t>
        </is>
      </c>
      <c r="I2325" t="inlineStr">
        <is>
          <t>2026</t>
        </is>
      </c>
      <c r="J2325" t="inlineStr">
        <is>
          <t>N/R</t>
        </is>
      </c>
      <c r="K2325" t="inlineStr">
        <is>
          <t>NOVIEMBRE 2024</t>
        </is>
      </c>
      <c r="L2325" t="inlineStr">
        <is>
          <t>NOVIEMBRE 2025</t>
        </is>
      </c>
      <c r="M2325" t="inlineStr">
        <is>
          <t>P.Q.S. / ABC AL 90%</t>
        </is>
      </c>
      <c r="N2325" t="inlineStr">
        <is>
          <t>2/M-179928</t>
        </is>
      </c>
      <c r="O2325" t="inlineStr">
        <is>
          <t>R</t>
        </is>
      </c>
      <c r="P2325">
        <f>TRIM(N2325)</f>
        <v/>
      </c>
    </row>
    <row r="2326">
      <c r="A2326" t="inlineStr">
        <is>
          <t>CO-002129</t>
        </is>
      </c>
      <c r="B2326" t="inlineStr">
        <is>
          <t>SUNAT - AREQUIPA - SEDE MATARANI</t>
        </is>
      </c>
      <c r="C2326" t="inlineStr">
        <is>
          <t>20131312955</t>
        </is>
      </c>
      <c r="D2326" t="inlineStr">
        <is>
          <t>Av. Pizarro N° 160, Sub lote A</t>
        </is>
      </c>
      <c r="E2326" t="inlineStr">
        <is>
          <t>Lima, 10 de Diciembre de 2024</t>
        </is>
      </c>
      <c r="F2326" t="inlineStr">
        <is>
          <t>la Recarga y mantenimiento</t>
        </is>
      </c>
      <c r="G2326" t="inlineStr">
        <is>
          <t>03</t>
        </is>
      </c>
      <c r="H2326" t="inlineStr">
        <is>
          <t>20 LBS</t>
        </is>
      </c>
      <c r="I2326" t="inlineStr">
        <is>
          <t>2026</t>
        </is>
      </c>
      <c r="J2326" t="inlineStr">
        <is>
          <t>N/R</t>
        </is>
      </c>
      <c r="K2326" t="inlineStr">
        <is>
          <t>NOVIEMBRE 2024</t>
        </is>
      </c>
      <c r="L2326" t="inlineStr">
        <is>
          <t>NOVIEMBRE 2025</t>
        </is>
      </c>
      <c r="M2326" t="inlineStr">
        <is>
          <t>P.Q.S. / ABC AL 90%</t>
        </is>
      </c>
      <c r="N2326" t="inlineStr">
        <is>
          <t>3/M179810</t>
        </is>
      </c>
      <c r="O2326" t="inlineStr">
        <is>
          <t>R</t>
        </is>
      </c>
      <c r="P2326">
        <f>TRIM(N2326)</f>
        <v/>
      </c>
    </row>
    <row r="2327">
      <c r="A2327" t="inlineStr">
        <is>
          <t>CO-002129</t>
        </is>
      </c>
      <c r="B2327" t="inlineStr">
        <is>
          <t>SUNAT - AREQUIPA - SEDE MATARANI</t>
        </is>
      </c>
      <c r="C2327" t="inlineStr">
        <is>
          <t>20131312955</t>
        </is>
      </c>
      <c r="D2327" t="inlineStr">
        <is>
          <t>Av. Pizarro N° 160, Sub lote A</t>
        </is>
      </c>
      <c r="E2327" t="inlineStr">
        <is>
          <t>Lima, 10 de Diciembre de 2024</t>
        </is>
      </c>
      <c r="F2327" t="inlineStr">
        <is>
          <t>la Recarga y mantenimiento</t>
        </is>
      </c>
      <c r="G2327" t="inlineStr">
        <is>
          <t>04</t>
        </is>
      </c>
      <c r="H2327" t="inlineStr">
        <is>
          <t>20 LBS</t>
        </is>
      </c>
      <c r="I2327" t="inlineStr">
        <is>
          <t>2026</t>
        </is>
      </c>
      <c r="J2327" t="inlineStr">
        <is>
          <t>N/R</t>
        </is>
      </c>
      <c r="K2327" t="inlineStr">
        <is>
          <t>NOVIEMBRE 2024</t>
        </is>
      </c>
      <c r="L2327" t="inlineStr">
        <is>
          <t>NOVIEMBRE 2025</t>
        </is>
      </c>
      <c r="M2327" t="inlineStr">
        <is>
          <t>P.Q.S. / ABC AL 90%</t>
        </is>
      </c>
      <c r="N2327" t="inlineStr">
        <is>
          <t>5/M179620</t>
        </is>
      </c>
      <c r="O2327" t="inlineStr">
        <is>
          <t>R</t>
        </is>
      </c>
      <c r="P2327">
        <f>TRIM(N2327)</f>
        <v/>
      </c>
    </row>
    <row r="2328">
      <c r="A2328" t="inlineStr">
        <is>
          <t>CO-002129</t>
        </is>
      </c>
      <c r="B2328" t="inlineStr">
        <is>
          <t>SUNAT - AREQUIPA - SEDE MATARANI</t>
        </is>
      </c>
      <c r="C2328" t="inlineStr">
        <is>
          <t>20131312955</t>
        </is>
      </c>
      <c r="D2328" t="inlineStr">
        <is>
          <t>Av. Pizarro N° 160, Sub lote A</t>
        </is>
      </c>
      <c r="E2328" t="inlineStr">
        <is>
          <t>Lima, 10 de Diciembre de 2024</t>
        </is>
      </c>
      <c r="F2328" t="inlineStr">
        <is>
          <t>la Recarga y mantenimiento</t>
        </is>
      </c>
      <c r="G2328" t="inlineStr">
        <is>
          <t>05</t>
        </is>
      </c>
      <c r="H2328" t="inlineStr">
        <is>
          <t>12 KG</t>
        </is>
      </c>
      <c r="I2328" t="n">
        <v>2026</v>
      </c>
      <c r="J2328" t="n">
        <v>2011</v>
      </c>
      <c r="K2328" t="inlineStr">
        <is>
          <t>NOVIEMBRE 2024</t>
        </is>
      </c>
      <c r="L2328" t="inlineStr">
        <is>
          <t>NOVIEMBRE 2025</t>
        </is>
      </c>
      <c r="M2328" t="inlineStr">
        <is>
          <t>P.Q.S. / ABC AL 90%</t>
        </is>
      </c>
      <c r="N2328" t="inlineStr">
        <is>
          <t>6/000570</t>
        </is>
      </c>
      <c r="O2328" t="inlineStr">
        <is>
          <t>R</t>
        </is>
      </c>
      <c r="P2328">
        <f>TRIM(N2328)</f>
        <v/>
      </c>
    </row>
    <row r="2329">
      <c r="A2329" t="inlineStr">
        <is>
          <t>CO-002129</t>
        </is>
      </c>
      <c r="B2329" t="inlineStr">
        <is>
          <t>SUNAT - AREQUIPA - SEDE MATARANI</t>
        </is>
      </c>
      <c r="C2329" t="inlineStr">
        <is>
          <t>20131312955</t>
        </is>
      </c>
      <c r="D2329" t="inlineStr">
        <is>
          <t>Av. Pizarro N° 160, Sub lote A</t>
        </is>
      </c>
      <c r="E2329" t="inlineStr">
        <is>
          <t>Lima, 10 de Diciembre de 2024</t>
        </is>
      </c>
      <c r="F2329" t="inlineStr">
        <is>
          <t>la Recarga y mantenimiento</t>
        </is>
      </c>
      <c r="G2329" t="inlineStr">
        <is>
          <t>06</t>
        </is>
      </c>
      <c r="H2329" t="inlineStr">
        <is>
          <t>12 KG</t>
        </is>
      </c>
      <c r="I2329" t="n">
        <v>2027</v>
      </c>
      <c r="J2329" t="n">
        <v>2011</v>
      </c>
      <c r="K2329" t="inlineStr">
        <is>
          <t>NOVIEMBRE 2024</t>
        </is>
      </c>
      <c r="L2329" t="inlineStr">
        <is>
          <t>NOVIEMBRE 2025</t>
        </is>
      </c>
      <c r="M2329" t="inlineStr">
        <is>
          <t>P.Q.S. / ABC AL 90%</t>
        </is>
      </c>
      <c r="N2329" t="inlineStr">
        <is>
          <t>7/000403</t>
        </is>
      </c>
      <c r="O2329" t="inlineStr">
        <is>
          <t>R</t>
        </is>
      </c>
      <c r="P2329">
        <f>TRIM(N2329)</f>
        <v/>
      </c>
    </row>
    <row r="2330">
      <c r="A2330" t="inlineStr">
        <is>
          <t>CO-002129</t>
        </is>
      </c>
      <c r="B2330" t="inlineStr">
        <is>
          <t>SUNAT - AREQUIPA - SEDE MATARANI</t>
        </is>
      </c>
      <c r="C2330" t="inlineStr">
        <is>
          <t>20131312955</t>
        </is>
      </c>
      <c r="D2330" t="inlineStr">
        <is>
          <t>Av. Pizarro N° 160, Sub lote A</t>
        </is>
      </c>
      <c r="E2330" t="inlineStr">
        <is>
          <t>Lima, 10 de Diciembre de 2024</t>
        </is>
      </c>
      <c r="F2330" t="inlineStr">
        <is>
          <t>la Recarga y mantenimiento</t>
        </is>
      </c>
      <c r="G2330" t="inlineStr">
        <is>
          <t>07</t>
        </is>
      </c>
      <c r="H2330" t="inlineStr">
        <is>
          <t>12 KG</t>
        </is>
      </c>
      <c r="I2330" t="n">
        <v>2027</v>
      </c>
      <c r="J2330" t="n">
        <v>2011</v>
      </c>
      <c r="K2330" t="inlineStr">
        <is>
          <t>NOVIEMBRE 2024</t>
        </is>
      </c>
      <c r="L2330" t="inlineStr">
        <is>
          <t>NOVIEMBRE 2025</t>
        </is>
      </c>
      <c r="M2330" t="inlineStr">
        <is>
          <t>P.Q.S. / ABC AL 90%</t>
        </is>
      </c>
      <c r="N2330" t="inlineStr">
        <is>
          <t>8/000530</t>
        </is>
      </c>
      <c r="O2330" t="inlineStr">
        <is>
          <t>R</t>
        </is>
      </c>
      <c r="P2330">
        <f>TRIM(N2330)</f>
        <v/>
      </c>
    </row>
    <row r="2331">
      <c r="A2331" t="inlineStr">
        <is>
          <t>CO-002129</t>
        </is>
      </c>
      <c r="B2331" t="inlineStr">
        <is>
          <t>SUNAT - AREQUIPA - SEDE MATARANI</t>
        </is>
      </c>
      <c r="C2331" t="inlineStr">
        <is>
          <t>20131312955</t>
        </is>
      </c>
      <c r="D2331" t="inlineStr">
        <is>
          <t>Av. Pizarro N° 160, Sub lote A</t>
        </is>
      </c>
      <c r="E2331" t="inlineStr">
        <is>
          <t>Lima, 10 de Diciembre de 2024</t>
        </is>
      </c>
      <c r="F2331" t="inlineStr">
        <is>
          <t>la Recarga y mantenimiento</t>
        </is>
      </c>
      <c r="G2331" t="inlineStr">
        <is>
          <t>08</t>
        </is>
      </c>
      <c r="H2331" t="inlineStr">
        <is>
          <t>12 KG</t>
        </is>
      </c>
      <c r="I2331" t="n">
        <v>2026</v>
      </c>
      <c r="J2331" t="n">
        <v>2011</v>
      </c>
      <c r="K2331" t="inlineStr">
        <is>
          <t>NOVIEMBRE 2024</t>
        </is>
      </c>
      <c r="L2331" t="inlineStr">
        <is>
          <t>NOVIEMBRE 2025</t>
        </is>
      </c>
      <c r="M2331" t="inlineStr">
        <is>
          <t>P.Q.S. / ABC AL 90%</t>
        </is>
      </c>
      <c r="N2331" t="inlineStr">
        <is>
          <t>9/000575</t>
        </is>
      </c>
      <c r="O2331" t="inlineStr">
        <is>
          <t>R</t>
        </is>
      </c>
      <c r="P2331">
        <f>TRIM(N2331)</f>
        <v/>
      </c>
    </row>
    <row r="2332">
      <c r="A2332" t="inlineStr">
        <is>
          <t>CO-002129</t>
        </is>
      </c>
      <c r="B2332" t="inlineStr">
        <is>
          <t>SUNAT - AREQUIPA - SEDE MATARANI</t>
        </is>
      </c>
      <c r="C2332" t="inlineStr">
        <is>
          <t>20131312955</t>
        </is>
      </c>
      <c r="D2332" t="inlineStr">
        <is>
          <t>Av. Pizarro N° 160, Sub lote A</t>
        </is>
      </c>
      <c r="E2332" t="inlineStr">
        <is>
          <t>Lima, 10 de Diciembre de 2024</t>
        </is>
      </c>
      <c r="F2332" t="inlineStr">
        <is>
          <t>la Recarga y mantenimiento</t>
        </is>
      </c>
      <c r="G2332" t="inlineStr">
        <is>
          <t>09</t>
        </is>
      </c>
      <c r="H2332" t="inlineStr">
        <is>
          <t>125 LBS</t>
        </is>
      </c>
      <c r="I2332" t="n">
        <v>2027</v>
      </c>
      <c r="J2332" t="n">
        <v>2012</v>
      </c>
      <c r="K2332" t="inlineStr">
        <is>
          <t>NOVIEMBRE 2024</t>
        </is>
      </c>
      <c r="L2332" t="inlineStr">
        <is>
          <t>NOVIEMBRE 2025</t>
        </is>
      </c>
      <c r="M2332" t="inlineStr">
        <is>
          <t>P.Q.S. / ABC AL 90%</t>
        </is>
      </c>
      <c r="N2332" t="inlineStr">
        <is>
          <t>11/BH86010</t>
        </is>
      </c>
      <c r="O2332" t="inlineStr">
        <is>
          <t>R</t>
        </is>
      </c>
      <c r="P2332">
        <f>TRIM(N2332)</f>
        <v/>
      </c>
    </row>
    <row r="2333">
      <c r="A2333" t="inlineStr">
        <is>
          <t>CO-002129</t>
        </is>
      </c>
      <c r="B2333" t="inlineStr">
        <is>
          <t>SUNAT - AREQUIPA - SEDE MATARANI</t>
        </is>
      </c>
      <c r="C2333" t="inlineStr">
        <is>
          <t>20131312955</t>
        </is>
      </c>
      <c r="D2333" t="inlineStr">
        <is>
          <t>Av. Pizarro N° 160, Sub lote A</t>
        </is>
      </c>
      <c r="E2333" t="inlineStr">
        <is>
          <t>Lima, 10 de Diciembre de 2024</t>
        </is>
      </c>
      <c r="F2333" t="inlineStr">
        <is>
          <t>la Recarga y mantenimiento</t>
        </is>
      </c>
      <c r="G2333" t="n">
        <v>10</v>
      </c>
      <c r="H2333" t="inlineStr">
        <is>
          <t>12 KG</t>
        </is>
      </c>
      <c r="I2333" t="n">
        <v>2026</v>
      </c>
      <c r="J2333" t="n">
        <v>2011</v>
      </c>
      <c r="K2333" t="inlineStr">
        <is>
          <t>NOVIEMBRE 2024</t>
        </is>
      </c>
      <c r="L2333" t="inlineStr">
        <is>
          <t>NOVIEMBRE 2025</t>
        </is>
      </c>
      <c r="M2333" t="inlineStr">
        <is>
          <t>P.Q.S. / ABC AL 90%</t>
        </is>
      </c>
      <c r="N2333" t="inlineStr">
        <is>
          <t>12/000302</t>
        </is>
      </c>
      <c r="O2333" t="inlineStr">
        <is>
          <t>R</t>
        </is>
      </c>
      <c r="P2333">
        <f>TRIM(N2333)</f>
        <v/>
      </c>
    </row>
    <row r="2334">
      <c r="A2334" t="inlineStr">
        <is>
          <t>CO-002129</t>
        </is>
      </c>
      <c r="B2334" t="inlineStr">
        <is>
          <t>SUNAT - AREQUIPA - SEDE MATARANI</t>
        </is>
      </c>
      <c r="C2334" t="inlineStr">
        <is>
          <t>20131312955</t>
        </is>
      </c>
      <c r="D2334" t="inlineStr">
        <is>
          <t>Av. Pizarro N° 160, Sub lote A</t>
        </is>
      </c>
      <c r="E2334" t="inlineStr">
        <is>
          <t>Lima, 10 de Diciembre de 2024</t>
        </is>
      </c>
      <c r="F2334" t="inlineStr">
        <is>
          <t>la Recarga y mantenimiento</t>
        </is>
      </c>
      <c r="G2334" t="n">
        <v>11</v>
      </c>
      <c r="H2334" t="inlineStr">
        <is>
          <t>12 KG</t>
        </is>
      </c>
      <c r="I2334" t="n">
        <v>2026</v>
      </c>
      <c r="J2334" t="n">
        <v>2011</v>
      </c>
      <c r="K2334" t="inlineStr">
        <is>
          <t>NOVIEMBRE 2024</t>
        </is>
      </c>
      <c r="L2334" t="inlineStr">
        <is>
          <t>NOVIEMBRE 2025</t>
        </is>
      </c>
      <c r="M2334" t="inlineStr">
        <is>
          <t>P.Q.S. / ABC AL 90%</t>
        </is>
      </c>
      <c r="N2334" t="inlineStr">
        <is>
          <t>13/000673</t>
        </is>
      </c>
      <c r="O2334" t="inlineStr">
        <is>
          <t>R</t>
        </is>
      </c>
      <c r="P2334">
        <f>TRIM(N2334)</f>
        <v/>
      </c>
    </row>
    <row r="2335">
      <c r="A2335" t="inlineStr">
        <is>
          <t>CO-002129</t>
        </is>
      </c>
      <c r="B2335" t="inlineStr">
        <is>
          <t>SUNAT - AREQUIPA - SEDE MATARANI</t>
        </is>
      </c>
      <c r="C2335" t="inlineStr">
        <is>
          <t>20131312955</t>
        </is>
      </c>
      <c r="D2335" t="inlineStr">
        <is>
          <t>Av. Pizarro N° 160, Sub lote A</t>
        </is>
      </c>
      <c r="E2335" t="inlineStr">
        <is>
          <t>Lima, 10 de Diciembre de 2024</t>
        </is>
      </c>
      <c r="F2335" t="inlineStr">
        <is>
          <t>la Recarga y mantenimiento</t>
        </is>
      </c>
      <c r="G2335" t="n">
        <v>12</v>
      </c>
      <c r="H2335" t="inlineStr">
        <is>
          <t xml:space="preserve">20 LBS </t>
        </is>
      </c>
      <c r="I2335" t="n">
        <v>2027</v>
      </c>
      <c r="J2335" t="inlineStr">
        <is>
          <t>N/R</t>
        </is>
      </c>
      <c r="K2335" t="inlineStr">
        <is>
          <t>NOVIEMBRE 2024</t>
        </is>
      </c>
      <c r="L2335" t="inlineStr">
        <is>
          <t>NOVIEMBRE 2025</t>
        </is>
      </c>
      <c r="M2335" t="inlineStr">
        <is>
          <t>P.Q.S. / ABC AL 90%</t>
        </is>
      </c>
      <c r="N2335" t="inlineStr">
        <is>
          <t>14/M179925</t>
        </is>
      </c>
      <c r="O2335" t="inlineStr">
        <is>
          <t>R</t>
        </is>
      </c>
      <c r="P2335">
        <f>TRIM(N2335)</f>
        <v/>
      </c>
    </row>
    <row r="2336">
      <c r="A2336" t="inlineStr">
        <is>
          <t>CO-002129</t>
        </is>
      </c>
      <c r="B2336" t="inlineStr">
        <is>
          <t>SUNAT - AREQUIPA - SEDE MATARANI</t>
        </is>
      </c>
      <c r="C2336" t="inlineStr">
        <is>
          <t>20131312955</t>
        </is>
      </c>
      <c r="D2336" t="inlineStr">
        <is>
          <t>Av. Pizarro N° 160, Sub lote A</t>
        </is>
      </c>
      <c r="E2336" t="inlineStr">
        <is>
          <t>Lima, 10 de Diciembre de 2024</t>
        </is>
      </c>
      <c r="F2336" t="inlineStr">
        <is>
          <t>la Recarga y mantenimiento</t>
        </is>
      </c>
      <c r="G2336" t="n">
        <v>13</v>
      </c>
      <c r="H2336" t="inlineStr">
        <is>
          <t xml:space="preserve">12 KG </t>
        </is>
      </c>
      <c r="I2336" t="n">
        <v>2026</v>
      </c>
      <c r="J2336" t="inlineStr">
        <is>
          <t>N/R</t>
        </is>
      </c>
      <c r="K2336" t="inlineStr">
        <is>
          <t>NOVIEMBRE 2024</t>
        </is>
      </c>
      <c r="L2336" t="inlineStr">
        <is>
          <t>NOVIEMBRE 2025</t>
        </is>
      </c>
      <c r="M2336" t="inlineStr">
        <is>
          <t>P.Q.S. / ABC AL 90%</t>
        </is>
      </c>
      <c r="N2336" t="inlineStr">
        <is>
          <t>15/000600</t>
        </is>
      </c>
      <c r="O2336" t="inlineStr">
        <is>
          <t>R</t>
        </is>
      </c>
      <c r="P2336">
        <f>TRIM(N2336)</f>
        <v/>
      </c>
    </row>
    <row r="2337">
      <c r="A2337" t="inlineStr">
        <is>
          <t>CO-002129</t>
        </is>
      </c>
      <c r="B2337" t="inlineStr">
        <is>
          <t>SUNAT - AREQUIPA - SEDE MATARANI</t>
        </is>
      </c>
      <c r="C2337" t="inlineStr">
        <is>
          <t>20131312955</t>
        </is>
      </c>
      <c r="D2337" t="inlineStr">
        <is>
          <t>Av. Pizarro N° 160, Sub lote A</t>
        </is>
      </c>
      <c r="E2337" t="inlineStr">
        <is>
          <t>Lima, 10 de Diciembre de 2024</t>
        </is>
      </c>
      <c r="F2337" t="inlineStr">
        <is>
          <t>la Recarga y mantenimiento</t>
        </is>
      </c>
      <c r="G2337" t="n">
        <v>14</v>
      </c>
      <c r="H2337" t="inlineStr">
        <is>
          <t>30 LBS</t>
        </is>
      </c>
      <c r="I2337" t="n">
        <v>2028</v>
      </c>
      <c r="J2337" t="n">
        <v>2013</v>
      </c>
      <c r="K2337" t="inlineStr">
        <is>
          <t>NOVIEMBRE 2024</t>
        </is>
      </c>
      <c r="L2337" t="inlineStr">
        <is>
          <t>NOVIEMBRE 2025</t>
        </is>
      </c>
      <c r="M2337" t="inlineStr">
        <is>
          <t>P.Q.S. / ABC AL 90%</t>
        </is>
      </c>
      <c r="N2337" t="inlineStr">
        <is>
          <t>19/BR574196</t>
        </is>
      </c>
      <c r="O2337" t="inlineStr">
        <is>
          <t>R</t>
        </is>
      </c>
      <c r="P2337">
        <f>TRIM(N2337)</f>
        <v/>
      </c>
    </row>
    <row r="2338">
      <c r="A2338" t="inlineStr">
        <is>
          <t>CO-002129</t>
        </is>
      </c>
      <c r="B2338" t="inlineStr">
        <is>
          <t>SUNAT - AREQUIPA - SEDE MATARANI</t>
        </is>
      </c>
      <c r="C2338" t="inlineStr">
        <is>
          <t>20131312955</t>
        </is>
      </c>
      <c r="D2338" t="inlineStr">
        <is>
          <t>Av. Pizarro N° 160, Sub lote A</t>
        </is>
      </c>
      <c r="E2338" t="inlineStr">
        <is>
          <t>Lima, 10 de Diciembre de 2024</t>
        </is>
      </c>
      <c r="F2338" t="inlineStr">
        <is>
          <t>la Recarga y mantenimiento</t>
        </is>
      </c>
      <c r="G2338" t="n">
        <v>15</v>
      </c>
      <c r="H2338" t="inlineStr">
        <is>
          <t>30 LBS</t>
        </is>
      </c>
      <c r="I2338" t="n">
        <v>2028</v>
      </c>
      <c r="J2338" t="n">
        <v>2013</v>
      </c>
      <c r="K2338" t="inlineStr">
        <is>
          <t>NOVIEMBRE 2024</t>
        </is>
      </c>
      <c r="L2338" t="inlineStr">
        <is>
          <t>NOVIEMBRE 2025</t>
        </is>
      </c>
      <c r="M2338" t="inlineStr">
        <is>
          <t>P.Q.S. / ABC AL 90%</t>
        </is>
      </c>
      <c r="N2338" t="inlineStr">
        <is>
          <t>20/BR574448</t>
        </is>
      </c>
      <c r="O2338" t="inlineStr">
        <is>
          <t>R</t>
        </is>
      </c>
      <c r="P2338">
        <f>TRIM(N2338)</f>
        <v/>
      </c>
    </row>
    <row r="2339">
      <c r="A2339" t="inlineStr">
        <is>
          <t>CO-002130</t>
        </is>
      </c>
      <c r="B2339" t="inlineStr">
        <is>
          <t xml:space="preserve">SUNAT - AREQUIPA - SEDE MATARANI </t>
        </is>
      </c>
      <c r="C2339" t="inlineStr">
        <is>
          <t>20131312955</t>
        </is>
      </c>
      <c r="D2339" t="inlineStr">
        <is>
          <t>Av. Pizarro N° 160, Sub lote A</t>
        </is>
      </c>
      <c r="E2339" t="inlineStr">
        <is>
          <t>Lima, 10 de Diciembre de 2024</t>
        </is>
      </c>
      <c r="F2339" t="inlineStr">
        <is>
          <t>la Recarga y mantenimiento</t>
        </is>
      </c>
      <c r="G2339" t="inlineStr">
        <is>
          <t>01</t>
        </is>
      </c>
      <c r="H2339" t="inlineStr">
        <is>
          <t>20 LBS</t>
        </is>
      </c>
      <c r="I2339" t="inlineStr">
        <is>
          <t>2026</t>
        </is>
      </c>
      <c r="J2339" t="inlineStr">
        <is>
          <t>N/R</t>
        </is>
      </c>
      <c r="K2339" t="inlineStr">
        <is>
          <t>NOVIEMBRE 2024</t>
        </is>
      </c>
      <c r="L2339" t="inlineStr">
        <is>
          <t>NOVIEMBRE 2025</t>
        </is>
      </c>
      <c r="M2339" t="inlineStr">
        <is>
          <t>P.Q.S. / ABC AL 90%</t>
        </is>
      </c>
      <c r="N2339" t="inlineStr">
        <is>
          <t>22/M179796</t>
        </is>
      </c>
      <c r="O2339" t="inlineStr">
        <is>
          <t>R</t>
        </is>
      </c>
      <c r="P2339">
        <f>TRIM(N2339)</f>
        <v/>
      </c>
    </row>
    <row r="2340">
      <c r="A2340" t="inlineStr">
        <is>
          <t>CO-002130</t>
        </is>
      </c>
      <c r="B2340" t="inlineStr">
        <is>
          <t xml:space="preserve">SUNAT - AREQUIPA - SEDE MATARANI </t>
        </is>
      </c>
      <c r="C2340" t="inlineStr">
        <is>
          <t>20131312955</t>
        </is>
      </c>
      <c r="D2340" t="inlineStr">
        <is>
          <t>Av. Pizarro N° 160, Sub lote A</t>
        </is>
      </c>
      <c r="E2340" t="inlineStr">
        <is>
          <t>Lima, 10 de Diciembre de 2024</t>
        </is>
      </c>
      <c r="F2340" t="inlineStr">
        <is>
          <t>la Recarga y mantenimiento</t>
        </is>
      </c>
      <c r="G2340" t="inlineStr">
        <is>
          <t>02</t>
        </is>
      </c>
      <c r="H2340" t="inlineStr">
        <is>
          <t>20 LBS</t>
        </is>
      </c>
      <c r="I2340" t="inlineStr">
        <is>
          <t>2025</t>
        </is>
      </c>
      <c r="J2340" t="n">
        <v>2007</v>
      </c>
      <c r="K2340" t="inlineStr">
        <is>
          <t>NOVIEMBRE 2024</t>
        </is>
      </c>
      <c r="L2340" t="inlineStr">
        <is>
          <t>NOVIEMBRE 2025</t>
        </is>
      </c>
      <c r="M2340" t="inlineStr">
        <is>
          <t>P.Q.S. / ABC AL 90%</t>
        </is>
      </c>
      <c r="N2340" t="inlineStr">
        <is>
          <t>23/ZB239268</t>
        </is>
      </c>
      <c r="O2340" t="inlineStr">
        <is>
          <t>R</t>
        </is>
      </c>
      <c r="P2340">
        <f>TRIM(N2340)</f>
        <v/>
      </c>
    </row>
    <row r="2341">
      <c r="A2341" t="inlineStr">
        <is>
          <t>CO-002130</t>
        </is>
      </c>
      <c r="B2341" t="inlineStr">
        <is>
          <t xml:space="preserve">SUNAT - AREQUIPA - SEDE MATARANI </t>
        </is>
      </c>
      <c r="C2341" t="inlineStr">
        <is>
          <t>20131312955</t>
        </is>
      </c>
      <c r="D2341" t="inlineStr">
        <is>
          <t>Av. Pizarro N° 160, Sub lote A</t>
        </is>
      </c>
      <c r="E2341" t="inlineStr">
        <is>
          <t>Lima, 10 de Diciembre de 2024</t>
        </is>
      </c>
      <c r="F2341" t="inlineStr">
        <is>
          <t>la Recarga y mantenimiento</t>
        </is>
      </c>
      <c r="G2341" t="inlineStr">
        <is>
          <t>03</t>
        </is>
      </c>
      <c r="H2341" t="inlineStr">
        <is>
          <t>20 LBS</t>
        </is>
      </c>
      <c r="I2341" t="inlineStr">
        <is>
          <t>2026</t>
        </is>
      </c>
      <c r="J2341" t="inlineStr">
        <is>
          <t>N/R</t>
        </is>
      </c>
      <c r="K2341" t="inlineStr">
        <is>
          <t>NOVIEMBRE 2024</t>
        </is>
      </c>
      <c r="L2341" t="inlineStr">
        <is>
          <t>NOVIEMBRE 2025</t>
        </is>
      </c>
      <c r="M2341" t="inlineStr">
        <is>
          <t>P.Q.S. / ABC AL 90%</t>
        </is>
      </c>
      <c r="N2341" t="inlineStr">
        <is>
          <t>24/M179802</t>
        </is>
      </c>
      <c r="O2341" t="inlineStr">
        <is>
          <t>R</t>
        </is>
      </c>
      <c r="P2341">
        <f>TRIM(N2341)</f>
        <v/>
      </c>
    </row>
    <row r="2342">
      <c r="A2342" t="inlineStr">
        <is>
          <t>CO-002130</t>
        </is>
      </c>
      <c r="B2342" t="inlineStr">
        <is>
          <t xml:space="preserve">SUNAT - AREQUIPA - SEDE MATARANI </t>
        </is>
      </c>
      <c r="C2342" t="inlineStr">
        <is>
          <t>20131312955</t>
        </is>
      </c>
      <c r="D2342" t="inlineStr">
        <is>
          <t>Av. Pizarro N° 160, Sub lote A</t>
        </is>
      </c>
      <c r="E2342" t="inlineStr">
        <is>
          <t>Lima, 10 de Diciembre de 2024</t>
        </is>
      </c>
      <c r="F2342" t="inlineStr">
        <is>
          <t>la Recarga y mantenimiento</t>
        </is>
      </c>
      <c r="G2342" t="inlineStr">
        <is>
          <t>04</t>
        </is>
      </c>
      <c r="H2342" t="inlineStr">
        <is>
          <t>30 LBS</t>
        </is>
      </c>
      <c r="I2342" t="n">
        <v>2029</v>
      </c>
      <c r="J2342" t="n">
        <v>2013</v>
      </c>
      <c r="K2342" t="inlineStr">
        <is>
          <t>NOVIEMBRE 2024</t>
        </is>
      </c>
      <c r="L2342" t="inlineStr">
        <is>
          <t>NOVIEMBRE 2025</t>
        </is>
      </c>
      <c r="M2342" t="inlineStr">
        <is>
          <t>P.Q.S. / ABC AL 90%</t>
        </is>
      </c>
      <c r="N2342" t="inlineStr">
        <is>
          <t>25/BR574141</t>
        </is>
      </c>
      <c r="O2342" t="inlineStr">
        <is>
          <t>R</t>
        </is>
      </c>
      <c r="P2342">
        <f>TRIM(N2342)</f>
        <v/>
      </c>
    </row>
    <row r="2343">
      <c r="A2343" t="inlineStr">
        <is>
          <t>CO-002130</t>
        </is>
      </c>
      <c r="B2343" t="inlineStr">
        <is>
          <t xml:space="preserve">SUNAT - AREQUIPA - SEDE MATARANI </t>
        </is>
      </c>
      <c r="C2343" t="inlineStr">
        <is>
          <t>20131312955</t>
        </is>
      </c>
      <c r="D2343" t="inlineStr">
        <is>
          <t>Av. Pizarro N° 160, Sub lote A</t>
        </is>
      </c>
      <c r="E2343" t="inlineStr">
        <is>
          <t>Lima, 10 de Diciembre de 2024</t>
        </is>
      </c>
      <c r="F2343" t="inlineStr">
        <is>
          <t>la Recarga y mantenimiento</t>
        </is>
      </c>
      <c r="G2343" t="n">
        <v>15</v>
      </c>
      <c r="O2343" t="inlineStr">
        <is>
          <t>R</t>
        </is>
      </c>
      <c r="P2343">
        <f>TRIM(N2343)</f>
        <v/>
      </c>
    </row>
    <row r="2344">
      <c r="A2344" t="inlineStr">
        <is>
          <t>CO-002131</t>
        </is>
      </c>
      <c r="B2344" t="inlineStr">
        <is>
          <t>LINDE PERU S.R.L</t>
        </is>
      </c>
      <c r="C2344" t="inlineStr">
        <is>
          <t>20338570041</t>
        </is>
      </c>
      <c r="D2344" t="inlineStr">
        <is>
          <t>SEDE LURIN</t>
        </is>
      </c>
      <c r="E2344" t="inlineStr">
        <is>
          <t>Lima, 03 de Diciembre de 2024</t>
        </is>
      </c>
      <c r="F2344" t="inlineStr">
        <is>
          <t>la venta</t>
        </is>
      </c>
      <c r="G2344" t="inlineStr">
        <is>
          <t>01</t>
        </is>
      </c>
      <c r="H2344" t="inlineStr">
        <is>
          <t>10 LBS</t>
        </is>
      </c>
      <c r="I2344" t="inlineStr">
        <is>
          <t>2029</t>
        </is>
      </c>
      <c r="J2344" t="n">
        <v>2024</v>
      </c>
      <c r="K2344" t="inlineStr">
        <is>
          <t>DICIEMBRE 2024</t>
        </is>
      </c>
      <c r="L2344" t="inlineStr">
        <is>
          <t>DICIEMBRE 2025</t>
        </is>
      </c>
      <c r="M2344" t="inlineStr">
        <is>
          <t>CO2 / TIPO BC UL BADGER</t>
        </is>
      </c>
      <c r="N2344" t="inlineStr">
        <is>
          <t>01/264705</t>
        </is>
      </c>
      <c r="O2344" t="inlineStr">
        <is>
          <t>V</t>
        </is>
      </c>
      <c r="P2344">
        <f>TRIM(N2344)</f>
        <v/>
      </c>
    </row>
    <row r="2345">
      <c r="A2345" t="inlineStr">
        <is>
          <t>CO-002131</t>
        </is>
      </c>
      <c r="B2345" t="inlineStr">
        <is>
          <t>LINDE PERU S.R.L</t>
        </is>
      </c>
      <c r="C2345" t="inlineStr">
        <is>
          <t>20338570041</t>
        </is>
      </c>
      <c r="D2345" t="inlineStr">
        <is>
          <t>SEDE LURIN</t>
        </is>
      </c>
      <c r="E2345" t="inlineStr">
        <is>
          <t>Lima, 03 de Diciembre de 2024</t>
        </is>
      </c>
      <c r="F2345" t="inlineStr">
        <is>
          <t>la venta</t>
        </is>
      </c>
      <c r="G2345" t="inlineStr">
        <is>
          <t>02</t>
        </is>
      </c>
      <c r="H2345" t="inlineStr">
        <is>
          <t>10 LBS</t>
        </is>
      </c>
      <c r="I2345" t="inlineStr">
        <is>
          <t>2029</t>
        </is>
      </c>
      <c r="J2345" t="n">
        <v>2024</v>
      </c>
      <c r="K2345" t="inlineStr">
        <is>
          <t>DICIEMBRE 2024</t>
        </is>
      </c>
      <c r="L2345" t="inlineStr">
        <is>
          <t>DICIEMBRE 2025</t>
        </is>
      </c>
      <c r="M2345" t="inlineStr">
        <is>
          <t>CO2 / TIPO BC UL BADGER</t>
        </is>
      </c>
      <c r="N2345" t="inlineStr">
        <is>
          <t>02/264713</t>
        </is>
      </c>
      <c r="O2345" t="inlineStr">
        <is>
          <t>V</t>
        </is>
      </c>
      <c r="P2345">
        <f>TRIM(N2345)</f>
        <v/>
      </c>
    </row>
    <row r="2346">
      <c r="A2346" t="inlineStr">
        <is>
          <t>CO-002131</t>
        </is>
      </c>
      <c r="B2346" t="inlineStr">
        <is>
          <t>LINDE PERU S.R.L</t>
        </is>
      </c>
      <c r="C2346" t="inlineStr">
        <is>
          <t>20338570041</t>
        </is>
      </c>
      <c r="D2346" t="inlineStr">
        <is>
          <t>SEDE LURIN</t>
        </is>
      </c>
      <c r="E2346" t="inlineStr">
        <is>
          <t>Lima, 03 de Diciembre de 2024</t>
        </is>
      </c>
      <c r="F2346" t="inlineStr">
        <is>
          <t>la venta</t>
        </is>
      </c>
      <c r="G2346" t="inlineStr">
        <is>
          <t>03</t>
        </is>
      </c>
      <c r="H2346" t="inlineStr">
        <is>
          <t>10 LBS</t>
        </is>
      </c>
      <c r="I2346" t="inlineStr">
        <is>
          <t>2029</t>
        </is>
      </c>
      <c r="J2346" t="n">
        <v>2024</v>
      </c>
      <c r="K2346" t="inlineStr">
        <is>
          <t>DICIEMBRE 2024</t>
        </is>
      </c>
      <c r="L2346" t="inlineStr">
        <is>
          <t>DICIEMBRE 2025</t>
        </is>
      </c>
      <c r="M2346" t="inlineStr">
        <is>
          <t>CO2 / TIPO BC UL BADGER</t>
        </is>
      </c>
      <c r="N2346" t="inlineStr">
        <is>
          <t>03/264709</t>
        </is>
      </c>
      <c r="O2346" t="inlineStr">
        <is>
          <t>V</t>
        </is>
      </c>
      <c r="P2346">
        <f>TRIM(N2346)</f>
        <v/>
      </c>
    </row>
    <row r="2347">
      <c r="A2347" t="inlineStr">
        <is>
          <t>CO-002131</t>
        </is>
      </c>
      <c r="B2347" t="inlineStr">
        <is>
          <t>LINDE PERU S.R.L</t>
        </is>
      </c>
      <c r="C2347" t="inlineStr">
        <is>
          <t>20338570041</t>
        </is>
      </c>
      <c r="D2347" t="inlineStr">
        <is>
          <t>SEDE LURIN</t>
        </is>
      </c>
      <c r="E2347" t="inlineStr">
        <is>
          <t>Lima, 03 de Diciembre de 2024</t>
        </is>
      </c>
      <c r="F2347" t="inlineStr">
        <is>
          <t>la venta</t>
        </is>
      </c>
      <c r="G2347" t="inlineStr">
        <is>
          <t>04</t>
        </is>
      </c>
      <c r="H2347" t="inlineStr">
        <is>
          <t>10 LBS</t>
        </is>
      </c>
      <c r="I2347" t="inlineStr">
        <is>
          <t>2029</t>
        </is>
      </c>
      <c r="J2347" t="n">
        <v>2024</v>
      </c>
      <c r="K2347" t="inlineStr">
        <is>
          <t>DICIEMBRE 2024</t>
        </is>
      </c>
      <c r="L2347" t="inlineStr">
        <is>
          <t>DICIEMBRE 2025</t>
        </is>
      </c>
      <c r="M2347" t="inlineStr">
        <is>
          <t>CO2 / TIPO BC UL BADGER</t>
        </is>
      </c>
      <c r="N2347" t="inlineStr">
        <is>
          <t>04/264704</t>
        </is>
      </c>
      <c r="O2347" t="inlineStr">
        <is>
          <t>V</t>
        </is>
      </c>
      <c r="P2347">
        <f>TRIM(N2347)</f>
        <v/>
      </c>
    </row>
    <row r="2348">
      <c r="A2348" t="inlineStr">
        <is>
          <t>CO-002131</t>
        </is>
      </c>
      <c r="B2348" t="inlineStr">
        <is>
          <t>LINDE PERU S.R.L</t>
        </is>
      </c>
      <c r="C2348" t="inlineStr">
        <is>
          <t>20338570041</t>
        </is>
      </c>
      <c r="D2348" t="inlineStr">
        <is>
          <t>SEDE LURIN</t>
        </is>
      </c>
      <c r="E2348" t="inlineStr">
        <is>
          <t>Lima, 03 de Diciembre de 2024</t>
        </is>
      </c>
      <c r="F2348" t="inlineStr">
        <is>
          <t>la venta</t>
        </is>
      </c>
      <c r="G2348" t="inlineStr">
        <is>
          <t>05</t>
        </is>
      </c>
      <c r="H2348" t="inlineStr">
        <is>
          <t>10 LBS</t>
        </is>
      </c>
      <c r="I2348" t="inlineStr">
        <is>
          <t>2029</t>
        </is>
      </c>
      <c r="J2348" t="n">
        <v>2024</v>
      </c>
      <c r="K2348" t="inlineStr">
        <is>
          <t>DICIEMBRE 2024</t>
        </is>
      </c>
      <c r="L2348" t="inlineStr">
        <is>
          <t>DICIEMBRE 2025</t>
        </is>
      </c>
      <c r="M2348" t="inlineStr">
        <is>
          <t>CO2 / TIPO BC UL BADGER</t>
        </is>
      </c>
      <c r="N2348" t="inlineStr">
        <is>
          <t>05/264707</t>
        </is>
      </c>
      <c r="O2348" t="inlineStr">
        <is>
          <t>V</t>
        </is>
      </c>
      <c r="P2348">
        <f>TRIM(N2348)</f>
        <v/>
      </c>
    </row>
    <row r="2349">
      <c r="A2349" t="inlineStr">
        <is>
          <t>CO-002131</t>
        </is>
      </c>
      <c r="B2349" t="inlineStr">
        <is>
          <t>LINDE PERU S.R.L</t>
        </is>
      </c>
      <c r="C2349" t="inlineStr">
        <is>
          <t>20338570041</t>
        </is>
      </c>
      <c r="D2349" t="inlineStr">
        <is>
          <t>SEDE LURIN</t>
        </is>
      </c>
      <c r="E2349" t="inlineStr">
        <is>
          <t>Lima, 03 de Diciembre de 2024</t>
        </is>
      </c>
      <c r="F2349" t="inlineStr">
        <is>
          <t>la venta</t>
        </is>
      </c>
      <c r="G2349" t="inlineStr">
        <is>
          <t>06</t>
        </is>
      </c>
      <c r="H2349" t="inlineStr">
        <is>
          <t xml:space="preserve">20 LBS </t>
        </is>
      </c>
      <c r="I2349" t="n">
        <v>2029</v>
      </c>
      <c r="J2349" t="n">
        <v>2024</v>
      </c>
      <c r="K2349" t="inlineStr">
        <is>
          <t>DICIEMBRE 2024</t>
        </is>
      </c>
      <c r="L2349" t="inlineStr">
        <is>
          <t>DICIEMBRE 2025</t>
        </is>
      </c>
      <c r="M2349" t="inlineStr">
        <is>
          <t>P.Q.S. / ABC AL 90% UL BADGER</t>
        </is>
      </c>
      <c r="N2349" t="inlineStr">
        <is>
          <t>06/I33850969</t>
        </is>
      </c>
      <c r="O2349" t="inlineStr">
        <is>
          <t>V</t>
        </is>
      </c>
      <c r="P2349">
        <f>TRIM(N2349)</f>
        <v/>
      </c>
    </row>
    <row r="2350">
      <c r="A2350" t="inlineStr">
        <is>
          <t>CO-002131</t>
        </is>
      </c>
      <c r="B2350" t="inlineStr">
        <is>
          <t>LINDE PERU S.R.L</t>
        </is>
      </c>
      <c r="C2350" t="inlineStr">
        <is>
          <t>20338570041</t>
        </is>
      </c>
      <c r="D2350" t="inlineStr">
        <is>
          <t>SEDE LURIN</t>
        </is>
      </c>
      <c r="E2350" t="inlineStr">
        <is>
          <t>Lima, 03 de Diciembre de 2024</t>
        </is>
      </c>
      <c r="F2350" t="inlineStr">
        <is>
          <t>la venta</t>
        </is>
      </c>
      <c r="G2350" t="inlineStr">
        <is>
          <t>07</t>
        </is>
      </c>
      <c r="H2350" t="inlineStr">
        <is>
          <t xml:space="preserve">20 LBS </t>
        </is>
      </c>
      <c r="I2350" t="n">
        <v>2029</v>
      </c>
      <c r="J2350" t="n">
        <v>2024</v>
      </c>
      <c r="K2350" t="inlineStr">
        <is>
          <t>DICIEMBRE 2024</t>
        </is>
      </c>
      <c r="L2350" t="inlineStr">
        <is>
          <t>DICIEMBRE 2025</t>
        </is>
      </c>
      <c r="M2350" t="inlineStr">
        <is>
          <t>P.Q.S. / ABC AL 90% UL BADGER</t>
        </is>
      </c>
      <c r="N2350" t="inlineStr">
        <is>
          <t>07/I35051451</t>
        </is>
      </c>
      <c r="O2350" t="inlineStr">
        <is>
          <t>V</t>
        </is>
      </c>
      <c r="P2350">
        <f>TRIM(N2350)</f>
        <v/>
      </c>
    </row>
    <row r="2351">
      <c r="A2351" t="inlineStr">
        <is>
          <t>CO-002131</t>
        </is>
      </c>
      <c r="B2351" t="inlineStr">
        <is>
          <t>LINDE PERU S.R.L</t>
        </is>
      </c>
      <c r="C2351" t="inlineStr">
        <is>
          <t>20338570041</t>
        </is>
      </c>
      <c r="D2351" t="inlineStr">
        <is>
          <t>SEDE LURIN</t>
        </is>
      </c>
      <c r="E2351" t="inlineStr">
        <is>
          <t>Lima, 03 de Diciembre de 2024</t>
        </is>
      </c>
      <c r="F2351" t="inlineStr">
        <is>
          <t>la venta</t>
        </is>
      </c>
      <c r="G2351" t="inlineStr">
        <is>
          <t>08</t>
        </is>
      </c>
      <c r="H2351" t="inlineStr">
        <is>
          <t xml:space="preserve">20 LBS </t>
        </is>
      </c>
      <c r="I2351" t="n">
        <v>2029</v>
      </c>
      <c r="J2351" t="n">
        <v>2024</v>
      </c>
      <c r="K2351" t="inlineStr">
        <is>
          <t>DICIEMBRE 2024</t>
        </is>
      </c>
      <c r="L2351" t="inlineStr">
        <is>
          <t>DICIEMBRE 2025</t>
        </is>
      </c>
      <c r="M2351" t="inlineStr">
        <is>
          <t>P.Q.S. / ABC AL 90% UL BADGER</t>
        </is>
      </c>
      <c r="N2351" t="inlineStr">
        <is>
          <t>08/I31051460</t>
        </is>
      </c>
      <c r="O2351" t="inlineStr">
        <is>
          <t>V</t>
        </is>
      </c>
      <c r="P2351">
        <f>TRIM(N2351)</f>
        <v/>
      </c>
    </row>
    <row r="2352">
      <c r="A2352" t="inlineStr">
        <is>
          <t>CO-002131</t>
        </is>
      </c>
      <c r="B2352" t="inlineStr">
        <is>
          <t>LINDE PERU S.R.L</t>
        </is>
      </c>
      <c r="C2352" t="inlineStr">
        <is>
          <t>20338570041</t>
        </is>
      </c>
      <c r="D2352" t="inlineStr">
        <is>
          <t>SEDE LURIN</t>
        </is>
      </c>
      <c r="E2352" t="inlineStr">
        <is>
          <t>Lima, 03 de Diciembre de 2024</t>
        </is>
      </c>
      <c r="F2352" t="inlineStr">
        <is>
          <t>la venta</t>
        </is>
      </c>
      <c r="G2352" t="inlineStr">
        <is>
          <t>09</t>
        </is>
      </c>
      <c r="H2352" t="inlineStr">
        <is>
          <t xml:space="preserve">20 LBS </t>
        </is>
      </c>
      <c r="I2352" t="n">
        <v>2029</v>
      </c>
      <c r="J2352" t="n">
        <v>2024</v>
      </c>
      <c r="K2352" t="inlineStr">
        <is>
          <t>DICIEMBRE 2024</t>
        </is>
      </c>
      <c r="L2352" t="inlineStr">
        <is>
          <t>DICIEMBRE 2025</t>
        </is>
      </c>
      <c r="M2352" t="inlineStr">
        <is>
          <t>P.Q.S. / ABC AL 90% UL BADGER</t>
        </is>
      </c>
      <c r="N2352" t="inlineStr">
        <is>
          <t>09/I33850962</t>
        </is>
      </c>
      <c r="O2352" t="inlineStr">
        <is>
          <t>V</t>
        </is>
      </c>
      <c r="P2352">
        <f>TRIM(N2352)</f>
        <v/>
      </c>
    </row>
    <row r="2353">
      <c r="A2353" t="inlineStr">
        <is>
          <t>CO-002131</t>
        </is>
      </c>
      <c r="B2353" t="inlineStr">
        <is>
          <t>LINDE PERU S.R.L</t>
        </is>
      </c>
      <c r="C2353" t="inlineStr">
        <is>
          <t>20338570041</t>
        </is>
      </c>
      <c r="D2353" t="inlineStr">
        <is>
          <t>SEDE LURIN</t>
        </is>
      </c>
      <c r="E2353" t="inlineStr">
        <is>
          <t>Lima, 03 de Diciembre de 2024</t>
        </is>
      </c>
      <c r="F2353" t="inlineStr">
        <is>
          <t>la venta</t>
        </is>
      </c>
      <c r="G2353" t="n">
        <v>10</v>
      </c>
      <c r="H2353" t="inlineStr">
        <is>
          <t xml:space="preserve">20 LBS </t>
        </is>
      </c>
      <c r="I2353" t="n">
        <v>2029</v>
      </c>
      <c r="J2353" t="n">
        <v>2024</v>
      </c>
      <c r="K2353" t="inlineStr">
        <is>
          <t>DICIEMBRE 2024</t>
        </is>
      </c>
      <c r="L2353" t="inlineStr">
        <is>
          <t>DICIEMBRE 2025</t>
        </is>
      </c>
      <c r="M2353" t="inlineStr">
        <is>
          <t>P.Q.S. / ABC AL 90% UL BADGER</t>
        </is>
      </c>
      <c r="N2353" t="inlineStr">
        <is>
          <t>10/I33850975</t>
        </is>
      </c>
      <c r="O2353" t="inlineStr">
        <is>
          <t>V</t>
        </is>
      </c>
      <c r="P2353">
        <f>TRIM(N2353)</f>
        <v/>
      </c>
    </row>
    <row r="2354">
      <c r="A2354" t="inlineStr">
        <is>
          <t>CO-002131</t>
        </is>
      </c>
      <c r="B2354" t="inlineStr">
        <is>
          <t>LINDE PERU S.R.L</t>
        </is>
      </c>
      <c r="C2354" t="inlineStr">
        <is>
          <t>20338570041</t>
        </is>
      </c>
      <c r="D2354" t="inlineStr">
        <is>
          <t>SEDE LURIN</t>
        </is>
      </c>
      <c r="E2354" t="inlineStr">
        <is>
          <t>Lima, 03 de Diciembre de 2024</t>
        </is>
      </c>
      <c r="F2354" t="inlineStr">
        <is>
          <t>la venta</t>
        </is>
      </c>
      <c r="G2354" t="n">
        <v>11</v>
      </c>
      <c r="H2354" t="inlineStr">
        <is>
          <t xml:space="preserve">20 LBS </t>
        </is>
      </c>
      <c r="I2354" t="n">
        <v>2029</v>
      </c>
      <c r="J2354" t="n">
        <v>2024</v>
      </c>
      <c r="K2354" t="inlineStr">
        <is>
          <t>DICIEMBRE 2024</t>
        </is>
      </c>
      <c r="L2354" t="inlineStr">
        <is>
          <t>DICIEMBRE 2025</t>
        </is>
      </c>
      <c r="M2354" t="inlineStr">
        <is>
          <t>P.Q.S. / ABC AL 90% UL BADGER</t>
        </is>
      </c>
      <c r="N2354" t="inlineStr">
        <is>
          <t>11/I33850979</t>
        </is>
      </c>
      <c r="O2354" t="inlineStr">
        <is>
          <t>V</t>
        </is>
      </c>
      <c r="P2354">
        <f>TRIM(N2354)</f>
        <v/>
      </c>
    </row>
    <row r="2355">
      <c r="A2355" t="inlineStr">
        <is>
          <t>CO-002131</t>
        </is>
      </c>
      <c r="B2355" t="inlineStr">
        <is>
          <t>LINDE PERU S.R.L</t>
        </is>
      </c>
      <c r="C2355" t="inlineStr">
        <is>
          <t>20338570041</t>
        </is>
      </c>
      <c r="D2355" t="inlineStr">
        <is>
          <t>SEDE LURIN</t>
        </is>
      </c>
      <c r="E2355" t="inlineStr">
        <is>
          <t>Lima, 03 de Diciembre de 2024</t>
        </is>
      </c>
      <c r="F2355" t="inlineStr">
        <is>
          <t>la venta</t>
        </is>
      </c>
      <c r="G2355" t="n">
        <v>12</v>
      </c>
      <c r="H2355" t="inlineStr">
        <is>
          <t xml:space="preserve">20 LBS </t>
        </is>
      </c>
      <c r="I2355" t="n">
        <v>2029</v>
      </c>
      <c r="J2355" t="n">
        <v>2024</v>
      </c>
      <c r="K2355" t="inlineStr">
        <is>
          <t>DICIEMBRE 2024</t>
        </is>
      </c>
      <c r="L2355" t="inlineStr">
        <is>
          <t>DICIEMBRE 2025</t>
        </is>
      </c>
      <c r="M2355" t="inlineStr">
        <is>
          <t>P.Q.S. / ABC AL 90% UL BADGER</t>
        </is>
      </c>
      <c r="N2355" t="inlineStr">
        <is>
          <t>12/I31051455</t>
        </is>
      </c>
      <c r="O2355" t="inlineStr">
        <is>
          <t>V</t>
        </is>
      </c>
      <c r="P2355">
        <f>TRIM(N2355)</f>
        <v/>
      </c>
    </row>
    <row r="2356">
      <c r="A2356" t="inlineStr">
        <is>
          <t>CO-002131</t>
        </is>
      </c>
      <c r="B2356" t="inlineStr">
        <is>
          <t>LINDE PERU S.R.L</t>
        </is>
      </c>
      <c r="C2356" t="inlineStr">
        <is>
          <t>20338570041</t>
        </is>
      </c>
      <c r="D2356" t="inlineStr">
        <is>
          <t>SEDE LURIN</t>
        </is>
      </c>
      <c r="E2356" t="inlineStr">
        <is>
          <t>Lima, 03 de Diciembre de 2024</t>
        </is>
      </c>
      <c r="F2356" t="inlineStr">
        <is>
          <t>la venta</t>
        </is>
      </c>
      <c r="G2356" t="n">
        <v>15</v>
      </c>
      <c r="O2356" t="inlineStr">
        <is>
          <t>R</t>
        </is>
      </c>
      <c r="P2356">
        <f>TRIM(N2356)</f>
        <v/>
      </c>
    </row>
    <row r="2357">
      <c r="A2357" t="inlineStr">
        <is>
          <t>CO-002132</t>
        </is>
      </c>
      <c r="B2357" t="inlineStr">
        <is>
          <t>JORGE WILLIAM LIZARRAGA RIVERA</t>
        </is>
      </c>
      <c r="C2357" t="inlineStr">
        <is>
          <t>DNI: 74952098</t>
        </is>
      </c>
      <c r="D2357" t="inlineStr">
        <is>
          <t>PLACA: B7Y - 890</t>
        </is>
      </c>
      <c r="E2357" t="inlineStr">
        <is>
          <t>Lima, 03 de Diciembre de 2024</t>
        </is>
      </c>
      <c r="F2357" t="inlineStr">
        <is>
          <t>la Recarga y mantenimiento</t>
        </is>
      </c>
      <c r="G2357" t="inlineStr">
        <is>
          <t>01</t>
        </is>
      </c>
      <c r="H2357" t="inlineStr">
        <is>
          <t>06 KG</t>
        </is>
      </c>
      <c r="I2357" t="inlineStr">
        <is>
          <t>VIGENTE</t>
        </is>
      </c>
      <c r="J2357" t="n">
        <v>2014</v>
      </c>
      <c r="K2357" t="inlineStr">
        <is>
          <t>DICIEMBRE 2024</t>
        </is>
      </c>
      <c r="L2357" t="inlineStr">
        <is>
          <t>DICIEMBRE 2025</t>
        </is>
      </c>
      <c r="M2357" t="inlineStr">
        <is>
          <t>P.Q.S TIPO ABC</t>
        </is>
      </c>
      <c r="N2357" t="inlineStr">
        <is>
          <t>1/001360</t>
        </is>
      </c>
      <c r="O2357" t="inlineStr">
        <is>
          <t>R</t>
        </is>
      </c>
      <c r="P2357">
        <f>TRIM(N2357)</f>
        <v/>
      </c>
    </row>
    <row r="2358">
      <c r="A2358" t="inlineStr">
        <is>
          <t>CO-002132</t>
        </is>
      </c>
      <c r="B2358" t="inlineStr">
        <is>
          <t>JORGE WILLIAM LIZARRAGA RIVERA</t>
        </is>
      </c>
      <c r="C2358" t="inlineStr">
        <is>
          <t>DNI: 74952098</t>
        </is>
      </c>
      <c r="D2358" t="inlineStr">
        <is>
          <t>PLACA: B7Y - 890</t>
        </is>
      </c>
      <c r="E2358" t="inlineStr">
        <is>
          <t>Lima, 03 de Diciembre de 2024</t>
        </is>
      </c>
      <c r="F2358" t="inlineStr">
        <is>
          <t>la Recarga y mantenimiento</t>
        </is>
      </c>
      <c r="G2358" t="n">
        <v>15</v>
      </c>
      <c r="O2358" t="inlineStr">
        <is>
          <t>R</t>
        </is>
      </c>
      <c r="P2358">
        <f>TRIM(N2358)</f>
        <v/>
      </c>
    </row>
    <row r="2359">
      <c r="A2359" t="inlineStr">
        <is>
          <t>CO-002133</t>
        </is>
      </c>
      <c r="B2359" t="inlineStr">
        <is>
          <t>INFRID SOTO PILCO</t>
        </is>
      </c>
      <c r="C2359" t="inlineStr">
        <is>
          <t>43418188</t>
        </is>
      </c>
      <c r="D2359" t="inlineStr">
        <is>
          <t>AV. MIGUEL GRAU 176 / SEGUNDO PISO AÑO NUEVO - COMAS</t>
        </is>
      </c>
      <c r="E2359" t="inlineStr">
        <is>
          <t>Lima, 04 de Diciembre de 2024</t>
        </is>
      </c>
      <c r="F2359" t="inlineStr">
        <is>
          <t>la Recarga y mantenimiento</t>
        </is>
      </c>
      <c r="G2359" t="inlineStr">
        <is>
          <t>01</t>
        </is>
      </c>
      <c r="H2359" t="inlineStr">
        <is>
          <t>06 KG</t>
        </is>
      </c>
      <c r="I2359" t="inlineStr">
        <is>
          <t>2026</t>
        </is>
      </c>
      <c r="J2359" t="n">
        <v>2021</v>
      </c>
      <c r="K2359" t="inlineStr">
        <is>
          <t>DICIEMBRE 2024</t>
        </is>
      </c>
      <c r="L2359" t="inlineStr">
        <is>
          <t>DICIEMBRE 2025</t>
        </is>
      </c>
      <c r="M2359" t="inlineStr">
        <is>
          <t>P.Q.S TIPO ABC</t>
        </is>
      </c>
      <c r="N2359" t="inlineStr">
        <is>
          <t>112614</t>
        </is>
      </c>
      <c r="O2359" t="inlineStr">
        <is>
          <t>R</t>
        </is>
      </c>
      <c r="P2359">
        <f>TRIM(N2359)</f>
        <v/>
      </c>
    </row>
    <row r="2360">
      <c r="A2360" t="inlineStr">
        <is>
          <t>CO-002133</t>
        </is>
      </c>
      <c r="B2360" t="inlineStr">
        <is>
          <t>INFRID SOTO PILCO</t>
        </is>
      </c>
      <c r="C2360" t="inlineStr">
        <is>
          <t>43418188</t>
        </is>
      </c>
      <c r="D2360" t="inlineStr">
        <is>
          <t>AV. MIGUEL GRAU 176 / SEGUNDO PISO AÑO NUEVO - COMAS</t>
        </is>
      </c>
      <c r="E2360" t="inlineStr">
        <is>
          <t>Lima, 04 de Diciembre de 2024</t>
        </is>
      </c>
      <c r="F2360" t="inlineStr">
        <is>
          <t>la Recarga y mantenimiento</t>
        </is>
      </c>
      <c r="G2360" t="inlineStr">
        <is>
          <t>02</t>
        </is>
      </c>
      <c r="H2360" t="inlineStr">
        <is>
          <t>06 KG</t>
        </is>
      </c>
      <c r="I2360" t="inlineStr">
        <is>
          <t>2026</t>
        </is>
      </c>
      <c r="J2360" t="n">
        <v>2021</v>
      </c>
      <c r="K2360" t="inlineStr">
        <is>
          <t>DICIEMBRE 2024</t>
        </is>
      </c>
      <c r="L2360" t="inlineStr">
        <is>
          <t>DICIEMBRE 2025</t>
        </is>
      </c>
      <c r="M2360" t="inlineStr">
        <is>
          <t>P.Q.S TIPO ABC</t>
        </is>
      </c>
      <c r="N2360" t="inlineStr">
        <is>
          <t>112123</t>
        </is>
      </c>
      <c r="O2360" t="inlineStr">
        <is>
          <t>R</t>
        </is>
      </c>
      <c r="P2360">
        <f>TRIM(N2360)</f>
        <v/>
      </c>
    </row>
    <row r="2361">
      <c r="A2361" t="inlineStr">
        <is>
          <t>CO-002133</t>
        </is>
      </c>
      <c r="B2361" t="inlineStr">
        <is>
          <t>INFRID SOTO PILCO</t>
        </is>
      </c>
      <c r="C2361" t="inlineStr">
        <is>
          <t>43418188</t>
        </is>
      </c>
      <c r="D2361" t="inlineStr">
        <is>
          <t>AV. MIGUEL GRAU 176 / SEGUNDO PISO AÑO NUEVO - COMAS</t>
        </is>
      </c>
      <c r="E2361" t="inlineStr">
        <is>
          <t>Lima, 04 de Diciembre de 2024</t>
        </is>
      </c>
      <c r="F2361" t="inlineStr">
        <is>
          <t>la Recarga y mantenimiento</t>
        </is>
      </c>
      <c r="G2361" t="n">
        <v>15</v>
      </c>
      <c r="O2361" t="inlineStr">
        <is>
          <t>R</t>
        </is>
      </c>
      <c r="P2361">
        <f>TRIM(N2361)</f>
        <v/>
      </c>
    </row>
    <row r="2362">
      <c r="A2362" t="inlineStr">
        <is>
          <t>CO-002134</t>
        </is>
      </c>
      <c r="B2362" t="inlineStr">
        <is>
          <t xml:space="preserve">MARILU PANTOJA AQUINO </t>
        </is>
      </c>
      <c r="D2362" t="inlineStr">
        <is>
          <t xml:space="preserve">AV. SAN FELIPE 1351 COMAS </t>
        </is>
      </c>
      <c r="E2362" t="inlineStr">
        <is>
          <t>Lima, 04 de Diciembre de 2024</t>
        </is>
      </c>
      <c r="F2362" t="inlineStr">
        <is>
          <t>la Recarga y mantenimiento</t>
        </is>
      </c>
      <c r="G2362" t="inlineStr">
        <is>
          <t>01</t>
        </is>
      </c>
      <c r="H2362" t="inlineStr">
        <is>
          <t>06 KG</t>
        </is>
      </c>
      <c r="I2362" t="inlineStr">
        <is>
          <t>2027</t>
        </is>
      </c>
      <c r="J2362" t="n">
        <v>2022</v>
      </c>
      <c r="K2362" t="inlineStr">
        <is>
          <t>DICIEMBRE 2024</t>
        </is>
      </c>
      <c r="L2362" t="inlineStr">
        <is>
          <t>DICIEMBRE 2025</t>
        </is>
      </c>
      <c r="M2362" t="inlineStr">
        <is>
          <t>P.Q.S TIPO ABC NACIONAL</t>
        </is>
      </c>
      <c r="N2362" t="inlineStr">
        <is>
          <t>307181</t>
        </is>
      </c>
      <c r="O2362" t="inlineStr">
        <is>
          <t>R</t>
        </is>
      </c>
      <c r="P2362">
        <f>TRIM(N2362)</f>
        <v/>
      </c>
    </row>
    <row r="2363">
      <c r="A2363" t="inlineStr">
        <is>
          <t>CO-002134</t>
        </is>
      </c>
      <c r="B2363" t="inlineStr">
        <is>
          <t xml:space="preserve">MARILU PANTOJA AQUINO </t>
        </is>
      </c>
      <c r="D2363" t="inlineStr">
        <is>
          <t xml:space="preserve">AV. SAN FELIPE 1351 COMAS </t>
        </is>
      </c>
      <c r="E2363" t="inlineStr">
        <is>
          <t>Lima, 04 de Diciembre de 2024</t>
        </is>
      </c>
      <c r="F2363" t="inlineStr">
        <is>
          <t>la Recarga y mantenimiento</t>
        </is>
      </c>
      <c r="G2363" t="n">
        <v>15</v>
      </c>
      <c r="O2363" t="inlineStr">
        <is>
          <t>R</t>
        </is>
      </c>
      <c r="P2363">
        <f>TRIM(N2363)</f>
        <v/>
      </c>
    </row>
    <row r="2364">
      <c r="A2364" t="inlineStr">
        <is>
          <t>CO-002135</t>
        </is>
      </c>
      <c r="B2364" t="inlineStr">
        <is>
          <t xml:space="preserve">MARILU PANTOJA AQUINO </t>
        </is>
      </c>
      <c r="D2364" t="inlineStr">
        <is>
          <t xml:space="preserve">JR UNION 231 URB SAN FELIPE, COMAS </t>
        </is>
      </c>
      <c r="E2364" t="inlineStr">
        <is>
          <t>Lima, 04 de Diciembre de 2024</t>
        </is>
      </c>
      <c r="F2364" t="inlineStr">
        <is>
          <t>la Recarga y mantenimiento</t>
        </is>
      </c>
      <c r="G2364" t="inlineStr">
        <is>
          <t>01</t>
        </is>
      </c>
      <c r="H2364" t="inlineStr">
        <is>
          <t>06 KG</t>
        </is>
      </c>
      <c r="I2364" t="inlineStr">
        <is>
          <t>2027</t>
        </is>
      </c>
      <c r="J2364" t="n">
        <v>2022</v>
      </c>
      <c r="K2364" t="inlineStr">
        <is>
          <t>DICIEMBRE 2024</t>
        </is>
      </c>
      <c r="L2364" t="inlineStr">
        <is>
          <t>DICIEMBRE 2025</t>
        </is>
      </c>
      <c r="M2364" t="inlineStr">
        <is>
          <t>P.Q.S TIPO ABC NACIONAL</t>
        </is>
      </c>
      <c r="N2364" t="inlineStr">
        <is>
          <t>206973</t>
        </is>
      </c>
      <c r="O2364" t="inlineStr">
        <is>
          <t>R</t>
        </is>
      </c>
      <c r="P2364">
        <f>TRIM(N2364)</f>
        <v/>
      </c>
    </row>
    <row r="2365">
      <c r="A2365" t="inlineStr">
        <is>
          <t>CO-002135</t>
        </is>
      </c>
      <c r="B2365" t="inlineStr">
        <is>
          <t xml:space="preserve">MARILU PANTOJA AQUINO </t>
        </is>
      </c>
      <c r="D2365" t="inlineStr">
        <is>
          <t xml:space="preserve">JR UNION 231 URB SAN FELIPE, COMAS </t>
        </is>
      </c>
      <c r="E2365" t="inlineStr">
        <is>
          <t>Lima, 04 de Diciembre de 2024</t>
        </is>
      </c>
      <c r="F2365" t="inlineStr">
        <is>
          <t>la Recarga y mantenimiento</t>
        </is>
      </c>
      <c r="G2365" t="inlineStr">
        <is>
          <t>02</t>
        </is>
      </c>
      <c r="H2365" t="inlineStr">
        <is>
          <t>06 KG</t>
        </is>
      </c>
      <c r="I2365" t="inlineStr">
        <is>
          <t>2025</t>
        </is>
      </c>
      <c r="J2365" t="n">
        <v>2020</v>
      </c>
      <c r="K2365" t="inlineStr">
        <is>
          <t>DICIEMBRE 2024</t>
        </is>
      </c>
      <c r="L2365" t="inlineStr">
        <is>
          <t>DICIEMBRE 2025</t>
        </is>
      </c>
      <c r="M2365" t="inlineStr">
        <is>
          <t>P.Q.S TIPO ABC ASIATICO</t>
        </is>
      </c>
      <c r="N2365" t="inlineStr">
        <is>
          <t>003390</t>
        </is>
      </c>
      <c r="O2365" t="inlineStr">
        <is>
          <t>R</t>
        </is>
      </c>
      <c r="P2365">
        <f>TRIM(N2365)</f>
        <v/>
      </c>
    </row>
    <row r="2366">
      <c r="A2366" t="inlineStr">
        <is>
          <t>CO-002135</t>
        </is>
      </c>
      <c r="B2366" t="inlineStr">
        <is>
          <t xml:space="preserve">MARILU PANTOJA AQUINO </t>
        </is>
      </c>
      <c r="D2366" t="inlineStr">
        <is>
          <t xml:space="preserve">JR UNION 231 URB SAN FELIPE, COMAS </t>
        </is>
      </c>
      <c r="E2366" t="inlineStr">
        <is>
          <t>Lima, 04 de Diciembre de 2024</t>
        </is>
      </c>
      <c r="F2366" t="inlineStr">
        <is>
          <t>la Recarga y mantenimiento</t>
        </is>
      </c>
      <c r="G2366" t="n">
        <v>15</v>
      </c>
      <c r="O2366" t="inlineStr">
        <is>
          <t>R</t>
        </is>
      </c>
      <c r="P2366">
        <f>TRIM(N2366)</f>
        <v/>
      </c>
    </row>
    <row r="2367">
      <c r="A2367" t="inlineStr">
        <is>
          <t>CO-002136</t>
        </is>
      </c>
      <c r="B2367" t="inlineStr">
        <is>
          <t xml:space="preserve">RODOLFO VENEGAS </t>
        </is>
      </c>
      <c r="D2367" t="inlineStr">
        <is>
          <t xml:space="preserve">PSTO 50 MERCADO 1RO DE MAYO </t>
        </is>
      </c>
      <c r="E2367" t="inlineStr">
        <is>
          <t>Lima, 11 de Diciembre de 2024</t>
        </is>
      </c>
      <c r="F2367" t="inlineStr">
        <is>
          <t>la Recarga y mantenimiento</t>
        </is>
      </c>
      <c r="G2367" t="inlineStr">
        <is>
          <t>01</t>
        </is>
      </c>
      <c r="H2367" t="inlineStr">
        <is>
          <t>06 KG</t>
        </is>
      </c>
      <c r="I2367" t="inlineStr">
        <is>
          <t>2028</t>
        </is>
      </c>
      <c r="J2367" t="n">
        <v>2017</v>
      </c>
      <c r="K2367" t="inlineStr">
        <is>
          <t>DICIEMBRE 2024</t>
        </is>
      </c>
      <c r="L2367" t="inlineStr">
        <is>
          <t>DICIEMBRE 2025</t>
        </is>
      </c>
      <c r="M2367" t="inlineStr">
        <is>
          <t>P.Q.S TIPO ABC ASIATICO</t>
        </is>
      </c>
      <c r="N2367" t="inlineStr">
        <is>
          <t>000628</t>
        </is>
      </c>
      <c r="O2367" t="inlineStr">
        <is>
          <t>R</t>
        </is>
      </c>
      <c r="P2367">
        <f>TRIM(N2367)</f>
        <v/>
      </c>
    </row>
    <row r="2368">
      <c r="A2368" t="inlineStr">
        <is>
          <t>CO-002136</t>
        </is>
      </c>
      <c r="B2368" t="inlineStr">
        <is>
          <t xml:space="preserve">RODOLFO VENEGAS </t>
        </is>
      </c>
      <c r="D2368" t="inlineStr">
        <is>
          <t xml:space="preserve">PSTO 50 MERCADO 1RO DE MAYO </t>
        </is>
      </c>
      <c r="E2368" t="inlineStr">
        <is>
          <t>Lima, 11 de Diciembre de 2024</t>
        </is>
      </c>
      <c r="F2368" t="inlineStr">
        <is>
          <t>la Recarga y mantenimiento</t>
        </is>
      </c>
      <c r="G2368" t="n">
        <v>15</v>
      </c>
      <c r="O2368" t="inlineStr">
        <is>
          <t>R</t>
        </is>
      </c>
      <c r="P2368">
        <f>TRIM(N2368)</f>
        <v/>
      </c>
    </row>
    <row r="2369">
      <c r="A2369" t="inlineStr">
        <is>
          <t>CO-002137</t>
        </is>
      </c>
      <c r="B2369" t="inlineStr">
        <is>
          <t>VETERINARIA MARIVET De: Marilu Pantoja Aquino</t>
        </is>
      </c>
      <c r="C2369" t="inlineStr">
        <is>
          <t>DNI: 10214448</t>
        </is>
      </c>
      <c r="D2369" t="inlineStr">
        <is>
          <t>Jr. Unión 231 Urb. San Felipe- Comas.</t>
        </is>
      </c>
      <c r="E2369" t="inlineStr">
        <is>
          <t>Lima, 11 de Diciembre de 2024</t>
        </is>
      </c>
      <c r="F2369" t="inlineStr">
        <is>
          <t>la Recarga y mantenimiento</t>
        </is>
      </c>
      <c r="G2369" t="inlineStr">
        <is>
          <t>01</t>
        </is>
      </c>
      <c r="H2369" t="inlineStr">
        <is>
          <t>06 KG</t>
        </is>
      </c>
      <c r="I2369" t="inlineStr">
        <is>
          <t>2025</t>
        </is>
      </c>
      <c r="J2369" t="n">
        <v>2020</v>
      </c>
      <c r="K2369" t="inlineStr">
        <is>
          <t>DICIEMBRE 2024</t>
        </is>
      </c>
      <c r="L2369" t="inlineStr">
        <is>
          <t>DICIEMBRE 2025</t>
        </is>
      </c>
      <c r="M2369" t="inlineStr">
        <is>
          <t xml:space="preserve">P.Q.S.  TIPO ABC </t>
        </is>
      </c>
      <c r="N2369" t="inlineStr">
        <is>
          <t>01/003390</t>
        </is>
      </c>
      <c r="O2369" t="inlineStr">
        <is>
          <t>R</t>
        </is>
      </c>
      <c r="P2369">
        <f>TRIM(N2369)</f>
        <v/>
      </c>
    </row>
    <row r="2370">
      <c r="A2370" t="inlineStr">
        <is>
          <t>CO-002137</t>
        </is>
      </c>
      <c r="B2370" t="inlineStr">
        <is>
          <t>VETERINARIA MARIVET De: Marilu Pantoja Aquino</t>
        </is>
      </c>
      <c r="C2370" t="inlineStr">
        <is>
          <t>DNI: 10214448</t>
        </is>
      </c>
      <c r="D2370" t="inlineStr">
        <is>
          <t>Jr. Unión 231 Urb. San Felipe- Comas.</t>
        </is>
      </c>
      <c r="E2370" t="inlineStr">
        <is>
          <t>Lima, 11 de Diciembre de 2024</t>
        </is>
      </c>
      <c r="F2370" t="inlineStr">
        <is>
          <t>la Recarga y mantenimiento</t>
        </is>
      </c>
      <c r="G2370" t="inlineStr">
        <is>
          <t>02</t>
        </is>
      </c>
      <c r="H2370" t="inlineStr">
        <is>
          <t>06 KG</t>
        </is>
      </c>
      <c r="I2370" t="inlineStr">
        <is>
          <t>2027</t>
        </is>
      </c>
      <c r="J2370" t="n">
        <v>2022</v>
      </c>
      <c r="K2370" t="inlineStr">
        <is>
          <t>DICIEMBRE 2024</t>
        </is>
      </c>
      <c r="L2370" t="inlineStr">
        <is>
          <t>DICIEMBRE 2025</t>
        </is>
      </c>
      <c r="M2370" t="inlineStr">
        <is>
          <t xml:space="preserve">P.Q.S.  TIPO ABC </t>
        </is>
      </c>
      <c r="N2370" t="inlineStr">
        <is>
          <t>02/306937</t>
        </is>
      </c>
      <c r="O2370" t="inlineStr">
        <is>
          <t>R</t>
        </is>
      </c>
      <c r="P2370">
        <f>TRIM(N2370)</f>
        <v/>
      </c>
    </row>
    <row r="2371">
      <c r="A2371" t="inlineStr">
        <is>
          <t>CO-002137</t>
        </is>
      </c>
      <c r="B2371" t="inlineStr">
        <is>
          <t>VETERINARIA MARIVET De: Marilu Pantoja Aquino</t>
        </is>
      </c>
      <c r="C2371" t="inlineStr">
        <is>
          <t>DNI: 10214448</t>
        </is>
      </c>
      <c r="D2371" t="inlineStr">
        <is>
          <t>Jr. Unión 231 Urb. San Felipe- Comas.</t>
        </is>
      </c>
      <c r="E2371" t="inlineStr">
        <is>
          <t>Lima, 11 de Diciembre de 2024</t>
        </is>
      </c>
      <c r="F2371" t="inlineStr">
        <is>
          <t>la Recarga y mantenimiento</t>
        </is>
      </c>
      <c r="G2371" t="n">
        <v>15</v>
      </c>
      <c r="O2371" t="inlineStr">
        <is>
          <t>R</t>
        </is>
      </c>
      <c r="P2371">
        <f>TRIM(N2371)</f>
        <v/>
      </c>
    </row>
    <row r="2372">
      <c r="A2372" t="inlineStr">
        <is>
          <t>CO-002139</t>
        </is>
      </c>
      <c r="B2372" t="inlineStr">
        <is>
          <t>VETERINARIA MARIVET De: Marilu Pantoja Aquino</t>
        </is>
      </c>
      <c r="C2372" t="inlineStr">
        <is>
          <t>DNI: 10214448</t>
        </is>
      </c>
      <c r="D2372" t="inlineStr">
        <is>
          <t>Av San Felipe 1351 San Felipe - Comas</t>
        </is>
      </c>
      <c r="E2372" t="inlineStr">
        <is>
          <t>Lima, 11 de Diciembre de 2024</t>
        </is>
      </c>
      <c r="F2372" t="inlineStr">
        <is>
          <t>la Recarga y mantenimiento</t>
        </is>
      </c>
      <c r="G2372" t="inlineStr">
        <is>
          <t>01</t>
        </is>
      </c>
      <c r="H2372" t="inlineStr">
        <is>
          <t>06 KG</t>
        </is>
      </c>
      <c r="I2372" t="inlineStr">
        <is>
          <t>2027</t>
        </is>
      </c>
      <c r="J2372" t="n">
        <v>2022</v>
      </c>
      <c r="K2372" t="inlineStr">
        <is>
          <t>DICIEMBRE 2024</t>
        </is>
      </c>
      <c r="L2372" t="inlineStr">
        <is>
          <t>DICIEMBRE 2025</t>
        </is>
      </c>
      <c r="M2372" t="inlineStr">
        <is>
          <t xml:space="preserve">P.Q.S.  TIPO ABC </t>
        </is>
      </c>
      <c r="N2372" t="inlineStr">
        <is>
          <t>03/307181</t>
        </is>
      </c>
      <c r="O2372" t="inlineStr">
        <is>
          <t>R</t>
        </is>
      </c>
      <c r="P2372">
        <f>TRIM(N2372)</f>
        <v/>
      </c>
    </row>
    <row r="2373">
      <c r="A2373" t="inlineStr">
        <is>
          <t>CO-002139</t>
        </is>
      </c>
      <c r="B2373" t="inlineStr">
        <is>
          <t>VETERINARIA MARIVET De: Marilu Pantoja Aquino</t>
        </is>
      </c>
      <c r="C2373" t="inlineStr">
        <is>
          <t>DNI: 10214448</t>
        </is>
      </c>
      <c r="D2373" t="inlineStr">
        <is>
          <t>Av San Felipe 1351 San Felipe - Comas</t>
        </is>
      </c>
      <c r="E2373" t="inlineStr">
        <is>
          <t>Lima, 11 de Diciembre de 2024</t>
        </is>
      </c>
      <c r="F2373" t="inlineStr">
        <is>
          <t>la Recarga y mantenimiento</t>
        </is>
      </c>
      <c r="G2373" t="n">
        <v>15</v>
      </c>
      <c r="O2373" t="inlineStr">
        <is>
          <t>R</t>
        </is>
      </c>
      <c r="P2373">
        <f>TRIM(N2373)</f>
        <v/>
      </c>
    </row>
    <row r="2374">
      <c r="A2374" t="inlineStr">
        <is>
          <t>CO-002140</t>
        </is>
      </c>
      <c r="B2374" t="inlineStr">
        <is>
          <t>GALAXY KIDS De: Ingrid Soto Pilco</t>
        </is>
      </c>
      <c r="C2374" t="inlineStr">
        <is>
          <t>DNI: 43418188</t>
        </is>
      </c>
      <c r="D2374" t="inlineStr">
        <is>
          <t>AV. MIGUEL GRAU 176 / SEGUNDO PISO AÑO NUEVO - COMAS</t>
        </is>
      </c>
      <c r="E2374" t="inlineStr">
        <is>
          <t>Lima, 11 de Diciembre de 2024</t>
        </is>
      </c>
      <c r="F2374" t="inlineStr">
        <is>
          <t>la Recarga y mantenimiento</t>
        </is>
      </c>
      <c r="G2374" t="inlineStr">
        <is>
          <t>01</t>
        </is>
      </c>
      <c r="H2374" t="inlineStr">
        <is>
          <t>06 KG</t>
        </is>
      </c>
      <c r="I2374" t="inlineStr">
        <is>
          <t>2026</t>
        </is>
      </c>
      <c r="J2374" t="n">
        <v>2021</v>
      </c>
      <c r="K2374" t="inlineStr">
        <is>
          <t>DICIEMBRE 2024</t>
        </is>
      </c>
      <c r="L2374" t="inlineStr">
        <is>
          <t>DICIEMBRE 2025</t>
        </is>
      </c>
      <c r="M2374" t="inlineStr">
        <is>
          <t>PQS TIPO ABC</t>
        </is>
      </c>
      <c r="N2374" t="inlineStr">
        <is>
          <t>112614</t>
        </is>
      </c>
      <c r="O2374" t="inlineStr">
        <is>
          <t>R</t>
        </is>
      </c>
      <c r="P2374">
        <f>TRIM(N2374)</f>
        <v/>
      </c>
    </row>
    <row r="2375">
      <c r="A2375" t="inlineStr">
        <is>
          <t>CO-002140</t>
        </is>
      </c>
      <c r="B2375" t="inlineStr">
        <is>
          <t>GALAXY KIDS De: Ingrid Soto Pilco</t>
        </is>
      </c>
      <c r="C2375" t="inlineStr">
        <is>
          <t>DNI: 43418188</t>
        </is>
      </c>
      <c r="D2375" t="inlineStr">
        <is>
          <t>AV. MIGUEL GRAU 176 / SEGUNDO PISO AÑO NUEVO - COMAS</t>
        </is>
      </c>
      <c r="E2375" t="inlineStr">
        <is>
          <t>Lima, 11 de Diciembre de 2024</t>
        </is>
      </c>
      <c r="F2375" t="inlineStr">
        <is>
          <t>la Recarga y mantenimiento</t>
        </is>
      </c>
      <c r="G2375" t="inlineStr">
        <is>
          <t>02</t>
        </is>
      </c>
      <c r="H2375" t="inlineStr">
        <is>
          <t>06 KG</t>
        </is>
      </c>
      <c r="I2375" t="inlineStr">
        <is>
          <t>2026</t>
        </is>
      </c>
      <c r="J2375" t="n">
        <v>2021</v>
      </c>
      <c r="K2375" t="inlineStr">
        <is>
          <t>NOVIEMBRE 2023</t>
        </is>
      </c>
      <c r="L2375" t="inlineStr">
        <is>
          <t>NOVIEMBRE 2024</t>
        </is>
      </c>
      <c r="M2375" t="inlineStr">
        <is>
          <t>PQS TIPO ABC</t>
        </is>
      </c>
      <c r="N2375" t="inlineStr">
        <is>
          <t>112123</t>
        </is>
      </c>
      <c r="O2375" t="inlineStr">
        <is>
          <t>R</t>
        </is>
      </c>
      <c r="P2375">
        <f>TRIM(N2375)</f>
        <v/>
      </c>
    </row>
    <row r="2376">
      <c r="A2376" t="inlineStr">
        <is>
          <t>CO-002140</t>
        </is>
      </c>
      <c r="B2376" t="inlineStr">
        <is>
          <t>GALAXY KIDS De: Ingrid Soto Pilco</t>
        </is>
      </c>
      <c r="C2376" t="inlineStr">
        <is>
          <t>DNI: 43418188</t>
        </is>
      </c>
      <c r="D2376" t="inlineStr">
        <is>
          <t>AV. MIGUEL GRAU 176 / SEGUNDO PISO AÑO NUEVO - COMAS</t>
        </is>
      </c>
      <c r="E2376" t="inlineStr">
        <is>
          <t>Lima, 11 de Diciembre de 2024</t>
        </is>
      </c>
      <c r="F2376" t="inlineStr">
        <is>
          <t>la Recarga y mantenimiento</t>
        </is>
      </c>
      <c r="G2376" t="n">
        <v>15</v>
      </c>
      <c r="O2376" t="inlineStr">
        <is>
          <t>R</t>
        </is>
      </c>
      <c r="P2376">
        <f>TRIM(N2376)</f>
        <v/>
      </c>
    </row>
    <row r="2377">
      <c r="A2377" t="inlineStr">
        <is>
          <t>CO-002141</t>
        </is>
      </c>
      <c r="B2377" t="inlineStr">
        <is>
          <t>SUNAT - AREQUIPA - SEDE CAMANÁ</t>
        </is>
      </c>
      <c r="C2377" t="inlineStr">
        <is>
          <t>20131312955</t>
        </is>
      </c>
      <c r="D2377" t="inlineStr">
        <is>
          <t>Carretera Panamericana Sur  Km. 846+600 / Localidad de Alto Cerrillos La Pampa</t>
        </is>
      </c>
      <c r="E2377" t="inlineStr">
        <is>
          <t>Lima, 10 de Diciembre de 2024</t>
        </is>
      </c>
      <c r="F2377" t="inlineStr">
        <is>
          <t>la Recarga y mantenimiento</t>
        </is>
      </c>
      <c r="G2377" t="inlineStr">
        <is>
          <t>01</t>
        </is>
      </c>
      <c r="H2377" t="inlineStr">
        <is>
          <t>10 LBS</t>
        </is>
      </c>
      <c r="I2377" t="inlineStr">
        <is>
          <t>2028</t>
        </is>
      </c>
      <c r="J2377" t="n">
        <v>2011</v>
      </c>
      <c r="K2377" t="inlineStr">
        <is>
          <t>NOVIEMBRE 2024</t>
        </is>
      </c>
      <c r="L2377" t="inlineStr">
        <is>
          <t>NOVIEMBRE 2025</t>
        </is>
      </c>
      <c r="M2377" t="inlineStr">
        <is>
          <t>CO2 /TIPO BC</t>
        </is>
      </c>
      <c r="N2377" t="inlineStr">
        <is>
          <t>01/W810176</t>
        </is>
      </c>
      <c r="O2377" t="inlineStr">
        <is>
          <t>R</t>
        </is>
      </c>
      <c r="P2377">
        <f>TRIM(N2377)</f>
        <v/>
      </c>
    </row>
    <row r="2378">
      <c r="A2378" t="inlineStr">
        <is>
          <t>CO-002141</t>
        </is>
      </c>
      <c r="B2378" t="inlineStr">
        <is>
          <t>SUNAT - AREQUIPA - SEDE CAMANÁ</t>
        </is>
      </c>
      <c r="C2378" t="inlineStr">
        <is>
          <t>20131312955</t>
        </is>
      </c>
      <c r="D2378" t="inlineStr">
        <is>
          <t>Carretera Panamericana Sur  Km. 846+600 / Localidad de Alto Cerrillos La Pampa</t>
        </is>
      </c>
      <c r="E2378" t="inlineStr">
        <is>
          <t>Lima, 10 de Diciembre de 2024</t>
        </is>
      </c>
      <c r="F2378" t="inlineStr">
        <is>
          <t>la Recarga y mantenimiento</t>
        </is>
      </c>
      <c r="G2378" t="inlineStr">
        <is>
          <t>02</t>
        </is>
      </c>
      <c r="H2378" t="inlineStr">
        <is>
          <t>20 LBS</t>
        </is>
      </c>
      <c r="I2378" t="inlineStr">
        <is>
          <t>2027</t>
        </is>
      </c>
      <c r="J2378" t="n">
        <v>2011</v>
      </c>
      <c r="K2378" t="inlineStr">
        <is>
          <t>NOVIEMBRE 2024</t>
        </is>
      </c>
      <c r="L2378" t="inlineStr">
        <is>
          <t>NOVIEMBRE 2025</t>
        </is>
      </c>
      <c r="M2378" t="inlineStr">
        <is>
          <t>P.Q.S. / ABC AL 90%</t>
        </is>
      </c>
      <c r="N2378" t="inlineStr">
        <is>
          <t>02/AT334752</t>
        </is>
      </c>
      <c r="O2378" t="inlineStr">
        <is>
          <t>R</t>
        </is>
      </c>
      <c r="P2378">
        <f>TRIM(N2378)</f>
        <v/>
      </c>
    </row>
    <row r="2379">
      <c r="A2379" t="inlineStr">
        <is>
          <t>CO-002141</t>
        </is>
      </c>
      <c r="B2379" t="inlineStr">
        <is>
          <t>SUNAT - AREQUIPA - SEDE CAMANÁ</t>
        </is>
      </c>
      <c r="C2379" t="inlineStr">
        <is>
          <t>20131312955</t>
        </is>
      </c>
      <c r="D2379" t="inlineStr">
        <is>
          <t>Carretera Panamericana Sur  Km. 846+600 / Localidad de Alto Cerrillos La Pampa</t>
        </is>
      </c>
      <c r="E2379" t="inlineStr">
        <is>
          <t>Lima, 10 de Diciembre de 2024</t>
        </is>
      </c>
      <c r="F2379" t="inlineStr">
        <is>
          <t>la Recarga y mantenimiento</t>
        </is>
      </c>
      <c r="G2379" t="inlineStr">
        <is>
          <t>03</t>
        </is>
      </c>
      <c r="H2379" t="inlineStr">
        <is>
          <t>20 LBS</t>
        </is>
      </c>
      <c r="I2379" t="inlineStr">
        <is>
          <t>2028</t>
        </is>
      </c>
      <c r="J2379" t="n">
        <v>2011</v>
      </c>
      <c r="K2379" t="inlineStr">
        <is>
          <t>NOVIEMBRE 2024</t>
        </is>
      </c>
      <c r="L2379" t="inlineStr">
        <is>
          <t>NOVIEMBRE 2025</t>
        </is>
      </c>
      <c r="M2379" t="inlineStr">
        <is>
          <t>P.Q.S. / ABC AL 90%</t>
        </is>
      </c>
      <c r="N2379" t="inlineStr">
        <is>
          <t>03/S/N</t>
        </is>
      </c>
      <c r="O2379" t="inlineStr">
        <is>
          <t>R</t>
        </is>
      </c>
      <c r="P2379">
        <f>TRIM(N2379)</f>
        <v/>
      </c>
    </row>
    <row r="2380">
      <c r="A2380" t="inlineStr">
        <is>
          <t>CO-002141</t>
        </is>
      </c>
      <c r="B2380" t="inlineStr">
        <is>
          <t>SUNAT - AREQUIPA - SEDE CAMANÁ</t>
        </is>
      </c>
      <c r="C2380" t="inlineStr">
        <is>
          <t>20131312955</t>
        </is>
      </c>
      <c r="D2380" t="inlineStr">
        <is>
          <t>Carretera Panamericana Sur  Km. 846+600 / Localidad de Alto Cerrillos La Pampa</t>
        </is>
      </c>
      <c r="E2380" t="inlineStr">
        <is>
          <t>Lima, 10 de Diciembre de 2024</t>
        </is>
      </c>
      <c r="F2380" t="inlineStr">
        <is>
          <t>la Recarga y mantenimiento</t>
        </is>
      </c>
      <c r="G2380" t="inlineStr">
        <is>
          <t>04</t>
        </is>
      </c>
      <c r="H2380" t="inlineStr">
        <is>
          <t>30 LBS</t>
        </is>
      </c>
      <c r="I2380" t="inlineStr">
        <is>
          <t>2028</t>
        </is>
      </c>
      <c r="J2380" t="n">
        <v>2015</v>
      </c>
      <c r="K2380" t="inlineStr">
        <is>
          <t>NOVIEMBRE 2024</t>
        </is>
      </c>
      <c r="L2380" t="inlineStr">
        <is>
          <t>NOVIEMBRE 2025</t>
        </is>
      </c>
      <c r="M2380" t="inlineStr">
        <is>
          <t>P.Q.S. / ABC AL 90%</t>
        </is>
      </c>
      <c r="N2380" t="inlineStr">
        <is>
          <t>04/000569</t>
        </is>
      </c>
      <c r="O2380" t="inlineStr">
        <is>
          <t>R</t>
        </is>
      </c>
      <c r="P2380">
        <f>TRIM(N2380)</f>
        <v/>
      </c>
    </row>
    <row r="2381">
      <c r="A2381" t="inlineStr">
        <is>
          <t>CO-002141</t>
        </is>
      </c>
      <c r="B2381" t="inlineStr">
        <is>
          <t>SUNAT - AREQUIPA - SEDE CAMANÁ</t>
        </is>
      </c>
      <c r="C2381" t="inlineStr">
        <is>
          <t>20131312955</t>
        </is>
      </c>
      <c r="D2381" t="inlineStr">
        <is>
          <t>Carretera Panamericana Sur  Km. 846+600 / Localidad de Alto Cerrillos La Pampa</t>
        </is>
      </c>
      <c r="E2381" t="inlineStr">
        <is>
          <t>Lima, 10 de Diciembre de 2024</t>
        </is>
      </c>
      <c r="F2381" t="inlineStr">
        <is>
          <t>la Recarga y mantenimiento</t>
        </is>
      </c>
      <c r="G2381" t="inlineStr">
        <is>
          <t>05</t>
        </is>
      </c>
      <c r="H2381" t="inlineStr">
        <is>
          <t xml:space="preserve">12 KG </t>
        </is>
      </c>
      <c r="I2381" t="n">
        <v>2026</v>
      </c>
      <c r="J2381" t="inlineStr">
        <is>
          <t>N/R</t>
        </is>
      </c>
      <c r="K2381" t="inlineStr">
        <is>
          <t>NOVIEMBRE 2024</t>
        </is>
      </c>
      <c r="L2381" t="inlineStr">
        <is>
          <t>NOVIEMBRE 2025</t>
        </is>
      </c>
      <c r="M2381" t="inlineStr">
        <is>
          <t>P.Q.S. / ABC AL 90%</t>
        </is>
      </c>
      <c r="N2381" t="inlineStr">
        <is>
          <t>05/000359</t>
        </is>
      </c>
      <c r="O2381" t="inlineStr">
        <is>
          <t>R</t>
        </is>
      </c>
      <c r="P2381">
        <f>TRIM(N2381)</f>
        <v/>
      </c>
    </row>
    <row r="2382">
      <c r="A2382" t="inlineStr">
        <is>
          <t>CO-002141</t>
        </is>
      </c>
      <c r="B2382" t="inlineStr">
        <is>
          <t>SUNAT - AREQUIPA - SEDE CAMANÁ</t>
        </is>
      </c>
      <c r="C2382" t="inlineStr">
        <is>
          <t>20131312955</t>
        </is>
      </c>
      <c r="D2382" t="inlineStr">
        <is>
          <t>Carretera Panamericana Sur  Km. 846+600 / Localidad de Alto Cerrillos La Pampa</t>
        </is>
      </c>
      <c r="E2382" t="inlineStr">
        <is>
          <t>Lima, 10 de Diciembre de 2024</t>
        </is>
      </c>
      <c r="F2382" t="inlineStr">
        <is>
          <t>la Recarga y mantenimiento</t>
        </is>
      </c>
      <c r="G2382" t="n">
        <v>15</v>
      </c>
      <c r="O2382" t="inlineStr">
        <is>
          <t>R</t>
        </is>
      </c>
      <c r="P2382">
        <f>TRIM(N2382)</f>
        <v/>
      </c>
    </row>
    <row r="2383">
      <c r="A2383" t="inlineStr">
        <is>
          <t>CO-002142</t>
        </is>
      </c>
      <c r="B2383" t="inlineStr">
        <is>
          <t>SUNAT - AREQUIPA - SEDE CAYMA - LA TOMBILLA</t>
        </is>
      </c>
      <c r="C2383" t="inlineStr">
        <is>
          <t>20131312955</t>
        </is>
      </c>
      <c r="D2383" t="inlineStr">
        <is>
          <t>Av. Ramón Castilla S/N° Estadio La Tomilla N° 12</t>
        </is>
      </c>
      <c r="E2383" t="inlineStr">
        <is>
          <t>Lima, 10 de Diciembre de 2024</t>
        </is>
      </c>
      <c r="F2383" t="inlineStr">
        <is>
          <t>la Recarga y mantenimiento</t>
        </is>
      </c>
      <c r="G2383" t="inlineStr">
        <is>
          <t>01</t>
        </is>
      </c>
      <c r="H2383" t="inlineStr">
        <is>
          <t>10 LBS</t>
        </is>
      </c>
      <c r="I2383" t="inlineStr">
        <is>
          <t>2029</t>
        </is>
      </c>
      <c r="J2383" t="n">
        <v>2014</v>
      </c>
      <c r="K2383" t="inlineStr">
        <is>
          <t>NOVIEMBRE 2024</t>
        </is>
      </c>
      <c r="L2383" t="inlineStr">
        <is>
          <t>NOVIEMBRE 2025</t>
        </is>
      </c>
      <c r="M2383" t="inlineStr">
        <is>
          <t>CO2 /TIPO BC</t>
        </is>
      </c>
      <c r="N2383" t="inlineStr">
        <is>
          <t>S/N/A34185533</t>
        </is>
      </c>
      <c r="O2383" t="inlineStr">
        <is>
          <t>R</t>
        </is>
      </c>
      <c r="P2383">
        <f>TRIM(N2383)</f>
        <v/>
      </c>
    </row>
    <row r="2384">
      <c r="A2384" t="inlineStr">
        <is>
          <t>CO-002142</t>
        </is>
      </c>
      <c r="B2384" t="inlineStr">
        <is>
          <t>SUNAT - AREQUIPA - SEDE CAYMA - LA TOMBILLA</t>
        </is>
      </c>
      <c r="C2384" t="inlineStr">
        <is>
          <t>20131312955</t>
        </is>
      </c>
      <c r="D2384" t="inlineStr">
        <is>
          <t>Av. Ramón Castilla S/N° Estadio La Tomilla N° 12</t>
        </is>
      </c>
      <c r="E2384" t="inlineStr">
        <is>
          <t>Lima, 10 de Diciembre de 2024</t>
        </is>
      </c>
      <c r="F2384" t="inlineStr">
        <is>
          <t>la Recarga y mantenimiento</t>
        </is>
      </c>
      <c r="G2384" t="inlineStr">
        <is>
          <t>02</t>
        </is>
      </c>
      <c r="H2384" t="inlineStr">
        <is>
          <t>10 LBS</t>
        </is>
      </c>
      <c r="I2384" t="inlineStr">
        <is>
          <t>2029</t>
        </is>
      </c>
      <c r="J2384" t="n">
        <v>2014</v>
      </c>
      <c r="K2384" t="inlineStr">
        <is>
          <t>NOVIEMBRE 2024</t>
        </is>
      </c>
      <c r="L2384" t="inlineStr">
        <is>
          <t>NOVIEMBRE 2025</t>
        </is>
      </c>
      <c r="M2384" t="inlineStr">
        <is>
          <t>CO2 /TIPO BC</t>
        </is>
      </c>
      <c r="N2384" t="inlineStr">
        <is>
          <t>S/N/A34185548</t>
        </is>
      </c>
      <c r="O2384" t="inlineStr">
        <is>
          <t>R</t>
        </is>
      </c>
      <c r="P2384">
        <f>TRIM(N2384)</f>
        <v/>
      </c>
    </row>
    <row r="2385">
      <c r="A2385" t="inlineStr">
        <is>
          <t>CO-002142</t>
        </is>
      </c>
      <c r="B2385" t="inlineStr">
        <is>
          <t>SUNAT - AREQUIPA - SEDE CAYMA - LA TOMBILLA</t>
        </is>
      </c>
      <c r="C2385" t="inlineStr">
        <is>
          <t>20131312955</t>
        </is>
      </c>
      <c r="D2385" t="inlineStr">
        <is>
          <t>Av. Ramón Castilla S/N° Estadio La Tomilla N° 12</t>
        </is>
      </c>
      <c r="E2385" t="inlineStr">
        <is>
          <t>Lima, 10 de Diciembre de 2024</t>
        </is>
      </c>
      <c r="F2385" t="inlineStr">
        <is>
          <t>la Recarga y mantenimiento</t>
        </is>
      </c>
      <c r="G2385" t="n">
        <v>15</v>
      </c>
      <c r="O2385" t="inlineStr">
        <is>
          <t>R</t>
        </is>
      </c>
      <c r="P2385">
        <f>TRIM(N2385)</f>
        <v/>
      </c>
    </row>
    <row r="2386">
      <c r="A2386" t="inlineStr">
        <is>
          <t>CO-002143</t>
        </is>
      </c>
      <c r="B2386" t="inlineStr">
        <is>
          <t xml:space="preserve">SUNAT - AREQUIPA -  SEDE TISUR </t>
        </is>
      </c>
      <c r="C2386" t="inlineStr">
        <is>
          <t>20131312955</t>
        </is>
      </c>
      <c r="D2386" t="inlineStr">
        <is>
          <t xml:space="preserve">Puerto de Matarani </t>
        </is>
      </c>
      <c r="E2386" t="inlineStr">
        <is>
          <t>Lima, 10 de Diciembre de 2024</t>
        </is>
      </c>
      <c r="F2386" t="inlineStr">
        <is>
          <t>la Recarga y mantenimiento</t>
        </is>
      </c>
      <c r="G2386" t="inlineStr">
        <is>
          <t>01</t>
        </is>
      </c>
      <c r="H2386" t="inlineStr">
        <is>
          <t>20 LBS</t>
        </is>
      </c>
      <c r="I2386" t="inlineStr">
        <is>
          <t>2026</t>
        </is>
      </c>
      <c r="J2386" t="n">
        <v>2011</v>
      </c>
      <c r="K2386" t="inlineStr">
        <is>
          <t>NOVIEMBRE 2024</t>
        </is>
      </c>
      <c r="L2386" t="inlineStr">
        <is>
          <t>NOVIEMBRE 2025</t>
        </is>
      </c>
      <c r="M2386" t="inlineStr">
        <is>
          <t>P.Q.S. / ABC AL 90%</t>
        </is>
      </c>
      <c r="N2386" t="inlineStr">
        <is>
          <t>26/ S/N</t>
        </is>
      </c>
      <c r="O2386" t="inlineStr">
        <is>
          <t>R</t>
        </is>
      </c>
      <c r="P2386">
        <f>TRIM(N2386)</f>
        <v/>
      </c>
    </row>
    <row r="2387">
      <c r="A2387" t="inlineStr">
        <is>
          <t>CO-002143</t>
        </is>
      </c>
      <c r="B2387" t="inlineStr">
        <is>
          <t xml:space="preserve">SUNAT - AREQUIPA -  SEDE TISUR </t>
        </is>
      </c>
      <c r="C2387" t="inlineStr">
        <is>
          <t>20131312955</t>
        </is>
      </c>
      <c r="D2387" t="inlineStr">
        <is>
          <t xml:space="preserve">Puerto de Matarani </t>
        </is>
      </c>
      <c r="E2387" t="inlineStr">
        <is>
          <t>Lima, 10 de Diciembre de 2024</t>
        </is>
      </c>
      <c r="F2387" t="inlineStr">
        <is>
          <t>la Recarga y mantenimiento</t>
        </is>
      </c>
      <c r="G2387" t="n">
        <v>15</v>
      </c>
      <c r="O2387" t="inlineStr">
        <is>
          <t>R</t>
        </is>
      </c>
      <c r="P2387">
        <f>TRIM(N2387)</f>
        <v/>
      </c>
    </row>
    <row r="2388">
      <c r="A2388" t="inlineStr">
        <is>
          <t>CO-002144</t>
        </is>
      </c>
      <c r="B2388" t="inlineStr">
        <is>
          <t xml:space="preserve">SUNAT - AREQUIPA -  SEDE AEROPUERTO </t>
        </is>
      </c>
      <c r="C2388" t="inlineStr">
        <is>
          <t>20131312955</t>
        </is>
      </c>
      <c r="D2388" t="inlineStr">
        <is>
          <t xml:space="preserve">Av. Aviación Km 1 </t>
        </is>
      </c>
      <c r="E2388" t="inlineStr">
        <is>
          <t>Lima, 10 de Diciembre de 2024</t>
        </is>
      </c>
      <c r="F2388" t="inlineStr">
        <is>
          <t>la Recarga y mantenimiento</t>
        </is>
      </c>
      <c r="G2388" t="inlineStr">
        <is>
          <t>01</t>
        </is>
      </c>
      <c r="H2388" t="inlineStr">
        <is>
          <t>10 LBS</t>
        </is>
      </c>
      <c r="I2388" t="inlineStr">
        <is>
          <t>2029</t>
        </is>
      </c>
      <c r="J2388" t="n">
        <v>2020</v>
      </c>
      <c r="K2388" t="inlineStr">
        <is>
          <t>NOVIEMBRE 2024</t>
        </is>
      </c>
      <c r="L2388" t="inlineStr">
        <is>
          <t>NOVIEMBRE 2025</t>
        </is>
      </c>
      <c r="M2388" t="inlineStr">
        <is>
          <t>CO2 /TIPO BC</t>
        </is>
      </c>
      <c r="N2388" t="inlineStr">
        <is>
          <t>01/A34185530</t>
        </is>
      </c>
      <c r="O2388" t="inlineStr">
        <is>
          <t>R</t>
        </is>
      </c>
      <c r="P2388">
        <f>TRIM(N2388)</f>
        <v/>
      </c>
    </row>
    <row r="2389">
      <c r="A2389" t="inlineStr">
        <is>
          <t>CO-002144</t>
        </is>
      </c>
      <c r="B2389" t="inlineStr">
        <is>
          <t xml:space="preserve">SUNAT - AREQUIPA -  SEDE AEROPUERTO </t>
        </is>
      </c>
      <c r="C2389" t="inlineStr">
        <is>
          <t>20131312955</t>
        </is>
      </c>
      <c r="D2389" t="inlineStr">
        <is>
          <t xml:space="preserve">Av. Aviación Km 1 </t>
        </is>
      </c>
      <c r="E2389" t="inlineStr">
        <is>
          <t>Lima, 10 de Diciembre de 2024</t>
        </is>
      </c>
      <c r="F2389" t="inlineStr">
        <is>
          <t>la Recarga y mantenimiento</t>
        </is>
      </c>
      <c r="G2389" t="n">
        <v>15</v>
      </c>
      <c r="O2389" t="inlineStr">
        <is>
          <t>R</t>
        </is>
      </c>
      <c r="P2389">
        <f>TRIM(N2389)</f>
        <v/>
      </c>
    </row>
    <row r="2390">
      <c r="A2390" t="inlineStr">
        <is>
          <t>CO-002145</t>
        </is>
      </c>
      <c r="B2390" t="inlineStr">
        <is>
          <t xml:space="preserve">SUNAT - AREQUIPA -  SEDE SAN JOSE </t>
        </is>
      </c>
      <c r="C2390" t="inlineStr">
        <is>
          <t>20131312955</t>
        </is>
      </c>
      <c r="D2390" t="inlineStr">
        <is>
          <t>Carretera Panamaericana sur km 950</t>
        </is>
      </c>
      <c r="E2390" t="inlineStr">
        <is>
          <t>Lima, 10 de Diciembre de 2024</t>
        </is>
      </c>
      <c r="F2390" t="inlineStr">
        <is>
          <t>la Recarga y mantenimiento</t>
        </is>
      </c>
      <c r="G2390" t="inlineStr">
        <is>
          <t>01</t>
        </is>
      </c>
      <c r="H2390" t="inlineStr">
        <is>
          <t xml:space="preserve">20 LBS </t>
        </is>
      </c>
      <c r="I2390" t="inlineStr">
        <is>
          <t>2027</t>
        </is>
      </c>
      <c r="J2390" t="n">
        <v>2005</v>
      </c>
      <c r="K2390" t="inlineStr">
        <is>
          <t>NOVIEMBRE 2024</t>
        </is>
      </c>
      <c r="L2390" t="inlineStr">
        <is>
          <t>NOVIEMBRE 2025</t>
        </is>
      </c>
      <c r="M2390" t="inlineStr">
        <is>
          <t>P.Q.S. / ABC AL 90%</t>
        </is>
      </c>
      <c r="N2390" t="inlineStr">
        <is>
          <t>01/XK 338113</t>
        </is>
      </c>
      <c r="O2390" t="inlineStr">
        <is>
          <t>R</t>
        </is>
      </c>
      <c r="P2390">
        <f>TRIM(N2390)</f>
        <v/>
      </c>
    </row>
    <row r="2391">
      <c r="A2391" t="inlineStr">
        <is>
          <t>CO-002145</t>
        </is>
      </c>
      <c r="B2391" t="inlineStr">
        <is>
          <t xml:space="preserve">SUNAT - AREQUIPA -  SEDE SAN JOSE </t>
        </is>
      </c>
      <c r="C2391" t="inlineStr">
        <is>
          <t>20131312955</t>
        </is>
      </c>
      <c r="D2391" t="inlineStr">
        <is>
          <t>Carretera Panamaericana sur km 950</t>
        </is>
      </c>
      <c r="E2391" t="inlineStr">
        <is>
          <t>Lima, 10 de Diciembre de 2024</t>
        </is>
      </c>
      <c r="F2391" t="inlineStr">
        <is>
          <t>la Recarga y mantenimiento</t>
        </is>
      </c>
      <c r="G2391" t="n">
        <v>15</v>
      </c>
      <c r="O2391" t="inlineStr">
        <is>
          <t>R</t>
        </is>
      </c>
      <c r="P2391">
        <f>TRIM(N2391)</f>
        <v/>
      </c>
    </row>
    <row r="2392">
      <c r="A2392" t="inlineStr">
        <is>
          <t>CO-002146</t>
        </is>
      </c>
      <c r="B2392" t="inlineStr">
        <is>
          <t>SUNAT - AREQUIPA -  SEDE PEDREGAL</t>
        </is>
      </c>
      <c r="C2392" t="inlineStr">
        <is>
          <t>20131312955</t>
        </is>
      </c>
      <c r="D2392" t="inlineStr">
        <is>
          <t xml:space="preserve">Av. Principal Norte Arequipa Lote I-E  Estadio Municipal </t>
        </is>
      </c>
      <c r="E2392" t="inlineStr">
        <is>
          <t>Lima, 10 de Diciembre de 2024</t>
        </is>
      </c>
      <c r="F2392" t="inlineStr">
        <is>
          <t>la Recarga y mantenimiento</t>
        </is>
      </c>
      <c r="G2392" t="inlineStr">
        <is>
          <t>01</t>
        </is>
      </c>
      <c r="H2392" t="inlineStr">
        <is>
          <t xml:space="preserve">20 LBS </t>
        </is>
      </c>
      <c r="I2392" t="inlineStr">
        <is>
          <t>2027</t>
        </is>
      </c>
      <c r="J2392" t="inlineStr">
        <is>
          <t>N/R</t>
        </is>
      </c>
      <c r="K2392" t="inlineStr">
        <is>
          <t>NOVIEMBRE 2024</t>
        </is>
      </c>
      <c r="L2392" t="inlineStr">
        <is>
          <t>NOVIEMBRE 2025</t>
        </is>
      </c>
      <c r="M2392" t="inlineStr">
        <is>
          <t>P.Q.S. / ABC AL 90%</t>
        </is>
      </c>
      <c r="N2392" t="inlineStr">
        <is>
          <t>01/AT-334724</t>
        </is>
      </c>
      <c r="O2392" t="inlineStr">
        <is>
          <t>R</t>
        </is>
      </c>
      <c r="P2392">
        <f>TRIM(N2392)</f>
        <v/>
      </c>
    </row>
    <row r="2393">
      <c r="A2393" t="inlineStr">
        <is>
          <t>CO-002146</t>
        </is>
      </c>
      <c r="B2393" t="inlineStr">
        <is>
          <t>SUNAT - AREQUIPA -  SEDE PEDREGAL</t>
        </is>
      </c>
      <c r="C2393" t="inlineStr">
        <is>
          <t>20131312955</t>
        </is>
      </c>
      <c r="D2393" t="inlineStr">
        <is>
          <t xml:space="preserve">Av. Principal Norte Arequipa Lote I-E  Estadio Municipal </t>
        </is>
      </c>
      <c r="E2393" t="inlineStr">
        <is>
          <t>Lima, 10 de Diciembre de 2024</t>
        </is>
      </c>
      <c r="F2393" t="inlineStr">
        <is>
          <t>la Recarga y mantenimiento</t>
        </is>
      </c>
      <c r="G2393" t="inlineStr">
        <is>
          <t>02</t>
        </is>
      </c>
      <c r="H2393" t="inlineStr">
        <is>
          <t>10 LBS</t>
        </is>
      </c>
      <c r="I2393" t="inlineStr">
        <is>
          <t>2027</t>
        </is>
      </c>
      <c r="J2393" t="n">
        <v>2012</v>
      </c>
      <c r="K2393" t="inlineStr">
        <is>
          <t>NOVIEMBRE 2024</t>
        </is>
      </c>
      <c r="L2393" t="inlineStr">
        <is>
          <t>NOVIEMBRE 2025</t>
        </is>
      </c>
      <c r="M2393" t="inlineStr">
        <is>
          <t>CO2 /TIPO BC</t>
        </is>
      </c>
      <c r="N2393" t="inlineStr">
        <is>
          <t>02/W-807078</t>
        </is>
      </c>
      <c r="O2393" t="inlineStr">
        <is>
          <t>R</t>
        </is>
      </c>
      <c r="P2393">
        <f>TRIM(N2393)</f>
        <v/>
      </c>
    </row>
    <row r="2394">
      <c r="A2394" t="inlineStr">
        <is>
          <t>CO-002146</t>
        </is>
      </c>
      <c r="B2394" t="inlineStr">
        <is>
          <t>SUNAT - AREQUIPA -  SEDE PEDREGAL</t>
        </is>
      </c>
      <c r="C2394" t="inlineStr">
        <is>
          <t>20131312955</t>
        </is>
      </c>
      <c r="D2394" t="inlineStr">
        <is>
          <t xml:space="preserve">Av. Principal Norte Arequipa Lote I-E  Estadio Municipal </t>
        </is>
      </c>
      <c r="E2394" t="inlineStr">
        <is>
          <t>Lima, 10 de Diciembre de 2024</t>
        </is>
      </c>
      <c r="F2394" t="inlineStr">
        <is>
          <t>la Recarga y mantenimiento</t>
        </is>
      </c>
      <c r="G2394" t="inlineStr">
        <is>
          <t>03</t>
        </is>
      </c>
      <c r="H2394" t="inlineStr">
        <is>
          <t xml:space="preserve">20 LBS </t>
        </is>
      </c>
      <c r="I2394" t="inlineStr">
        <is>
          <t>2027</t>
        </is>
      </c>
      <c r="J2394" t="inlineStr">
        <is>
          <t>N/R</t>
        </is>
      </c>
      <c r="K2394" t="inlineStr">
        <is>
          <t>NOVIEMBRE 2024</t>
        </is>
      </c>
      <c r="L2394" t="inlineStr">
        <is>
          <t>NOVIEMBRE 2025</t>
        </is>
      </c>
      <c r="M2394" t="inlineStr">
        <is>
          <t>P.Q.S. / ABC AL 90%</t>
        </is>
      </c>
      <c r="N2394" t="inlineStr">
        <is>
          <t>03/AT-338410</t>
        </is>
      </c>
      <c r="O2394" t="inlineStr">
        <is>
          <t>R</t>
        </is>
      </c>
      <c r="P2394">
        <f>TRIM(N2394)</f>
        <v/>
      </c>
    </row>
    <row r="2395">
      <c r="A2395" t="inlineStr">
        <is>
          <t>CO-002146</t>
        </is>
      </c>
      <c r="B2395" t="inlineStr">
        <is>
          <t>SUNAT - AREQUIPA -  SEDE PEDREGAL</t>
        </is>
      </c>
      <c r="C2395" t="inlineStr">
        <is>
          <t>20131312955</t>
        </is>
      </c>
      <c r="D2395" t="inlineStr">
        <is>
          <t xml:space="preserve">Av. Principal Norte Arequipa Lote I-E  Estadio Municipal </t>
        </is>
      </c>
      <c r="E2395" t="inlineStr">
        <is>
          <t>Lima, 10 de Diciembre de 2024</t>
        </is>
      </c>
      <c r="F2395" t="inlineStr">
        <is>
          <t>la Recarga y mantenimiento</t>
        </is>
      </c>
      <c r="G2395" t="inlineStr">
        <is>
          <t>04</t>
        </is>
      </c>
      <c r="H2395" t="inlineStr">
        <is>
          <t>10 LBS</t>
        </is>
      </c>
      <c r="I2395" t="inlineStr">
        <is>
          <t>2028</t>
        </is>
      </c>
      <c r="J2395" t="n">
        <v>2014</v>
      </c>
      <c r="K2395" t="inlineStr">
        <is>
          <t>NOVIEMBRE 2024</t>
        </is>
      </c>
      <c r="L2395" t="inlineStr">
        <is>
          <t>NOVIEMBRE 2025</t>
        </is>
      </c>
      <c r="M2395" t="inlineStr">
        <is>
          <t>CO2 /TIPO BC</t>
        </is>
      </c>
      <c r="N2395" t="inlineStr">
        <is>
          <t>04/W-642318</t>
        </is>
      </c>
      <c r="O2395" t="inlineStr">
        <is>
          <t>R</t>
        </is>
      </c>
      <c r="P2395">
        <f>TRIM(N2395)</f>
        <v/>
      </c>
    </row>
    <row r="2396">
      <c r="A2396" t="inlineStr">
        <is>
          <t>CO-002146</t>
        </is>
      </c>
      <c r="B2396" t="inlineStr">
        <is>
          <t>SUNAT - AREQUIPA -  SEDE PEDREGAL</t>
        </is>
      </c>
      <c r="C2396" t="inlineStr">
        <is>
          <t>20131312955</t>
        </is>
      </c>
      <c r="D2396" t="inlineStr">
        <is>
          <t xml:space="preserve">Av. Principal Norte Arequipa Lote I-E  Estadio Municipal </t>
        </is>
      </c>
      <c r="E2396" t="inlineStr">
        <is>
          <t>Lima, 10 de Diciembre de 2024</t>
        </is>
      </c>
      <c r="F2396" t="inlineStr">
        <is>
          <t>la Recarga y mantenimiento</t>
        </is>
      </c>
      <c r="G2396" t="inlineStr">
        <is>
          <t>05</t>
        </is>
      </c>
      <c r="H2396" t="inlineStr">
        <is>
          <t>10 LBS</t>
        </is>
      </c>
      <c r="I2396" t="inlineStr">
        <is>
          <t xml:space="preserve">VIGENTE </t>
        </is>
      </c>
      <c r="J2396" t="n">
        <v>2002</v>
      </c>
      <c r="K2396" t="inlineStr">
        <is>
          <t>NOVIEMBRE 2024</t>
        </is>
      </c>
      <c r="L2396" t="inlineStr">
        <is>
          <t>NOVIEMBRE 2025</t>
        </is>
      </c>
      <c r="M2396" t="inlineStr">
        <is>
          <t>CO2 /TIPO BC</t>
        </is>
      </c>
      <c r="N2396" t="inlineStr">
        <is>
          <t>5/Y-377928</t>
        </is>
      </c>
      <c r="O2396" t="inlineStr">
        <is>
          <t>R</t>
        </is>
      </c>
      <c r="P2396">
        <f>TRIM(N2396)</f>
        <v/>
      </c>
    </row>
    <row r="2397">
      <c r="A2397" t="inlineStr">
        <is>
          <t>CO-002146</t>
        </is>
      </c>
      <c r="B2397" t="inlineStr">
        <is>
          <t>SUNAT - AREQUIPA -  SEDE PEDREGAL</t>
        </is>
      </c>
      <c r="C2397" t="inlineStr">
        <is>
          <t>20131312955</t>
        </is>
      </c>
      <c r="D2397" t="inlineStr">
        <is>
          <t xml:space="preserve">Av. Principal Norte Arequipa Lote I-E  Estadio Municipal </t>
        </is>
      </c>
      <c r="E2397" t="inlineStr">
        <is>
          <t>Lima, 10 de Diciembre de 2024</t>
        </is>
      </c>
      <c r="F2397" t="inlineStr">
        <is>
          <t>la Recarga y mantenimiento</t>
        </is>
      </c>
      <c r="G2397" t="inlineStr">
        <is>
          <t>06</t>
        </is>
      </c>
      <c r="H2397" t="inlineStr">
        <is>
          <t>10 LBS</t>
        </is>
      </c>
      <c r="I2397" t="inlineStr">
        <is>
          <t xml:space="preserve">VIGENTE </t>
        </is>
      </c>
      <c r="J2397" t="n">
        <v>2002</v>
      </c>
      <c r="K2397" t="inlineStr">
        <is>
          <t>NOVIEMBRE 2024</t>
        </is>
      </c>
      <c r="L2397" t="inlineStr">
        <is>
          <t>NOVIEMBRE 2025</t>
        </is>
      </c>
      <c r="M2397" t="inlineStr">
        <is>
          <t>CO2 /TIPO BC</t>
        </is>
      </c>
      <c r="N2397" t="inlineStr">
        <is>
          <t>7/Y-378691</t>
        </is>
      </c>
      <c r="O2397" t="inlineStr">
        <is>
          <t>R</t>
        </is>
      </c>
      <c r="P2397">
        <f>TRIM(N2397)</f>
        <v/>
      </c>
    </row>
    <row r="2398">
      <c r="A2398" t="inlineStr">
        <is>
          <t>CO-002146</t>
        </is>
      </c>
      <c r="B2398" t="inlineStr">
        <is>
          <t>SUNAT - AREQUIPA -  SEDE PEDREGAL</t>
        </is>
      </c>
      <c r="C2398" t="inlineStr">
        <is>
          <t>20131312955</t>
        </is>
      </c>
      <c r="D2398" t="inlineStr">
        <is>
          <t xml:space="preserve">Av. Principal Norte Arequipa Lote I-E  Estadio Municipal </t>
        </is>
      </c>
      <c r="E2398" t="inlineStr">
        <is>
          <t>Lima, 10 de Diciembre de 2024</t>
        </is>
      </c>
      <c r="F2398" t="inlineStr">
        <is>
          <t>la Recarga y mantenimiento</t>
        </is>
      </c>
      <c r="G2398" t="inlineStr">
        <is>
          <t>07</t>
        </is>
      </c>
      <c r="H2398" t="inlineStr">
        <is>
          <t>10 LBS</t>
        </is>
      </c>
      <c r="I2398" t="inlineStr">
        <is>
          <t xml:space="preserve">VIGENTE </t>
        </is>
      </c>
      <c r="J2398" t="n">
        <v>2002</v>
      </c>
      <c r="K2398" t="inlineStr">
        <is>
          <t>NOVIEMBRE 2024</t>
        </is>
      </c>
      <c r="L2398" t="inlineStr">
        <is>
          <t>NOVIEMBRE 2025</t>
        </is>
      </c>
      <c r="M2398" t="inlineStr">
        <is>
          <t>CO2 /TIPO BC</t>
        </is>
      </c>
      <c r="N2398" t="inlineStr">
        <is>
          <t>8/Y-377903</t>
        </is>
      </c>
      <c r="O2398" t="inlineStr">
        <is>
          <t>R</t>
        </is>
      </c>
      <c r="P2398">
        <f>TRIM(N2398)</f>
        <v/>
      </c>
    </row>
    <row r="2399">
      <c r="A2399" t="inlineStr">
        <is>
          <t>CO-002146</t>
        </is>
      </c>
      <c r="B2399" t="inlineStr">
        <is>
          <t>SUNAT - AREQUIPA -  SEDE PEDREGAL</t>
        </is>
      </c>
      <c r="C2399" t="inlineStr">
        <is>
          <t>20131312955</t>
        </is>
      </c>
      <c r="D2399" t="inlineStr">
        <is>
          <t xml:space="preserve">Av. Principal Norte Arequipa Lote I-E  Estadio Municipal </t>
        </is>
      </c>
      <c r="E2399" t="inlineStr">
        <is>
          <t>Lima, 10 de Diciembre de 2024</t>
        </is>
      </c>
      <c r="F2399" t="inlineStr">
        <is>
          <t>la Recarga y mantenimiento</t>
        </is>
      </c>
      <c r="G2399" t="n">
        <v>15</v>
      </c>
      <c r="O2399" t="inlineStr">
        <is>
          <t>R</t>
        </is>
      </c>
      <c r="P2399">
        <f>TRIM(N2399)</f>
        <v/>
      </c>
    </row>
    <row r="2400">
      <c r="A2400" t="inlineStr">
        <is>
          <t>CO-002147</t>
        </is>
      </c>
      <c r="B2400" t="inlineStr">
        <is>
          <t>SUNAT - AREQUIPA -  RIO SECO</t>
        </is>
      </c>
      <c r="C2400" t="inlineStr">
        <is>
          <t>20131312955</t>
        </is>
      </c>
      <c r="D2400" t="inlineStr">
        <is>
          <t xml:space="preserve">Altura del Km 8.5 de la Carretera Yaura - Arequipa </t>
        </is>
      </c>
      <c r="E2400" t="inlineStr">
        <is>
          <t>Lima, 11 de Diciembre de 2024</t>
        </is>
      </c>
      <c r="F2400" t="inlineStr">
        <is>
          <t>la Recarga y mantenimiento</t>
        </is>
      </c>
      <c r="G2400" t="inlineStr">
        <is>
          <t>01</t>
        </is>
      </c>
      <c r="H2400" t="inlineStr">
        <is>
          <t>15 LBS</t>
        </is>
      </c>
      <c r="I2400" t="inlineStr">
        <is>
          <t>2027</t>
        </is>
      </c>
      <c r="J2400" t="n">
        <v>2012</v>
      </c>
      <c r="K2400" t="inlineStr">
        <is>
          <t>NOVIEMBRE 2024</t>
        </is>
      </c>
      <c r="L2400" t="inlineStr">
        <is>
          <t>NOVIEMBRE 2025</t>
        </is>
      </c>
      <c r="M2400" t="inlineStr">
        <is>
          <t>CO2 /TIPO BC</t>
        </is>
      </c>
      <c r="N2400" t="inlineStr">
        <is>
          <t>01/V794221</t>
        </is>
      </c>
      <c r="O2400" t="inlineStr">
        <is>
          <t>R</t>
        </is>
      </c>
      <c r="P2400">
        <f>TRIM(N2400)</f>
        <v/>
      </c>
    </row>
    <row r="2401">
      <c r="A2401" t="inlineStr">
        <is>
          <t>CO-002147</t>
        </is>
      </c>
      <c r="B2401" t="inlineStr">
        <is>
          <t>SUNAT - AREQUIPA -  RIO SECO</t>
        </is>
      </c>
      <c r="C2401" t="inlineStr">
        <is>
          <t>20131312955</t>
        </is>
      </c>
      <c r="D2401" t="inlineStr">
        <is>
          <t xml:space="preserve">Altura del Km 8.5 de la Carretera Yaura - Arequipa </t>
        </is>
      </c>
      <c r="E2401" t="inlineStr">
        <is>
          <t>Lima, 11 de Diciembre de 2024</t>
        </is>
      </c>
      <c r="F2401" t="inlineStr">
        <is>
          <t>la Recarga y mantenimiento</t>
        </is>
      </c>
      <c r="G2401" t="inlineStr">
        <is>
          <t>02</t>
        </is>
      </c>
      <c r="H2401" t="inlineStr">
        <is>
          <t>2.5 GLS</t>
        </is>
      </c>
      <c r="I2401" t="inlineStr">
        <is>
          <t>2026</t>
        </is>
      </c>
      <c r="J2401" t="n">
        <v>2005</v>
      </c>
      <c r="K2401" t="inlineStr">
        <is>
          <t>NOVIEMBRE 2024</t>
        </is>
      </c>
      <c r="L2401" t="inlineStr">
        <is>
          <t>NOVIEMBRE 2025</t>
        </is>
      </c>
      <c r="M2401" t="inlineStr">
        <is>
          <t>H2O PRESURIZADA</t>
        </is>
      </c>
      <c r="N2401" t="inlineStr">
        <is>
          <t>02/AA719114</t>
        </is>
      </c>
      <c r="O2401" t="inlineStr">
        <is>
          <t>R</t>
        </is>
      </c>
      <c r="P2401">
        <f>TRIM(N2401)</f>
        <v/>
      </c>
    </row>
    <row r="2402">
      <c r="A2402" t="inlineStr">
        <is>
          <t>CO-002147</t>
        </is>
      </c>
      <c r="B2402" t="inlineStr">
        <is>
          <t>SUNAT - AREQUIPA -  RIO SECO</t>
        </is>
      </c>
      <c r="C2402" t="inlineStr">
        <is>
          <t>20131312955</t>
        </is>
      </c>
      <c r="D2402" t="inlineStr">
        <is>
          <t xml:space="preserve">Altura del Km 8.5 de la Carretera Yaura - Arequipa </t>
        </is>
      </c>
      <c r="E2402" t="inlineStr">
        <is>
          <t>Lima, 11 de Diciembre de 2024</t>
        </is>
      </c>
      <c r="F2402" t="inlineStr">
        <is>
          <t>la Recarga y mantenimiento</t>
        </is>
      </c>
      <c r="G2402" t="inlineStr">
        <is>
          <t>03</t>
        </is>
      </c>
      <c r="H2402" t="inlineStr">
        <is>
          <t>2.5 GLS</t>
        </is>
      </c>
      <c r="I2402" t="n">
        <v>2027</v>
      </c>
      <c r="J2402" t="n">
        <v>2005</v>
      </c>
      <c r="K2402" t="inlineStr">
        <is>
          <t>NOVIEMBRE 2024</t>
        </is>
      </c>
      <c r="L2402" t="inlineStr">
        <is>
          <t>NOVIEMBRE 2025</t>
        </is>
      </c>
      <c r="M2402" t="inlineStr">
        <is>
          <t>ESPUMA AFFF</t>
        </is>
      </c>
      <c r="N2402" t="inlineStr">
        <is>
          <t>04/AA795681</t>
        </is>
      </c>
      <c r="O2402" t="inlineStr">
        <is>
          <t>R</t>
        </is>
      </c>
      <c r="P2402">
        <f>TRIM(N2402)</f>
        <v/>
      </c>
    </row>
    <row r="2403">
      <c r="A2403" t="inlineStr">
        <is>
          <t>CO-002147</t>
        </is>
      </c>
      <c r="B2403" t="inlineStr">
        <is>
          <t>SUNAT - AREQUIPA -  RIO SECO</t>
        </is>
      </c>
      <c r="C2403" t="inlineStr">
        <is>
          <t>20131312955</t>
        </is>
      </c>
      <c r="D2403" t="inlineStr">
        <is>
          <t xml:space="preserve">Altura del Km 8.5 de la Carretera Yaura - Arequipa </t>
        </is>
      </c>
      <c r="E2403" t="inlineStr">
        <is>
          <t>Lima, 11 de Diciembre de 2024</t>
        </is>
      </c>
      <c r="F2403" t="inlineStr">
        <is>
          <t>la Recarga y mantenimiento</t>
        </is>
      </c>
      <c r="G2403" t="inlineStr">
        <is>
          <t>04</t>
        </is>
      </c>
      <c r="H2403" t="inlineStr">
        <is>
          <t>2.5 GLS</t>
        </is>
      </c>
      <c r="I2403" t="inlineStr">
        <is>
          <t>2026</t>
        </is>
      </c>
      <c r="J2403" t="n">
        <v>2005</v>
      </c>
      <c r="K2403" t="inlineStr">
        <is>
          <t>NOVIEMBRE 2024</t>
        </is>
      </c>
      <c r="L2403" t="inlineStr">
        <is>
          <t>NOVIEMBRE 2025</t>
        </is>
      </c>
      <c r="M2403" t="inlineStr">
        <is>
          <t>H2O PRESURIZADA</t>
        </is>
      </c>
      <c r="N2403" t="inlineStr">
        <is>
          <t>05/AA719103</t>
        </is>
      </c>
      <c r="O2403" t="inlineStr">
        <is>
          <t>R</t>
        </is>
      </c>
      <c r="P2403">
        <f>TRIM(N2403)</f>
        <v/>
      </c>
    </row>
    <row r="2404">
      <c r="A2404" t="inlineStr">
        <is>
          <t>CO-002147</t>
        </is>
      </c>
      <c r="B2404" t="inlineStr">
        <is>
          <t>SUNAT - AREQUIPA -  RIO SECO</t>
        </is>
      </c>
      <c r="C2404" t="inlineStr">
        <is>
          <t>20131312955</t>
        </is>
      </c>
      <c r="D2404" t="inlineStr">
        <is>
          <t xml:space="preserve">Altura del Km 8.5 de la Carretera Yaura - Arequipa </t>
        </is>
      </c>
      <c r="E2404" t="inlineStr">
        <is>
          <t>Lima, 11 de Diciembre de 2024</t>
        </is>
      </c>
      <c r="F2404" t="inlineStr">
        <is>
          <t>la Recarga y mantenimiento</t>
        </is>
      </c>
      <c r="G2404" t="inlineStr">
        <is>
          <t>05</t>
        </is>
      </c>
      <c r="H2404" t="inlineStr">
        <is>
          <t xml:space="preserve">30 LBS </t>
        </is>
      </c>
      <c r="I2404" t="n">
        <v>2028</v>
      </c>
      <c r="J2404" t="n">
        <v>2013</v>
      </c>
      <c r="K2404" t="inlineStr">
        <is>
          <t>NOVIEMBRE 2024</t>
        </is>
      </c>
      <c r="L2404" t="inlineStr">
        <is>
          <t>NOVIEMBRE 2025</t>
        </is>
      </c>
      <c r="M2404" t="inlineStr">
        <is>
          <t>P.Q.S. / ABC AL 90%</t>
        </is>
      </c>
      <c r="N2404" t="inlineStr">
        <is>
          <t>07/BR572303</t>
        </is>
      </c>
      <c r="O2404" t="inlineStr">
        <is>
          <t>R</t>
        </is>
      </c>
      <c r="P2404">
        <f>TRIM(N2404)</f>
        <v/>
      </c>
    </row>
    <row r="2405">
      <c r="A2405" t="inlineStr">
        <is>
          <t>CO-002147</t>
        </is>
      </c>
      <c r="B2405" t="inlineStr">
        <is>
          <t>SUNAT - AREQUIPA -  RIO SECO</t>
        </is>
      </c>
      <c r="C2405" t="inlineStr">
        <is>
          <t>20131312955</t>
        </is>
      </c>
      <c r="D2405" t="inlineStr">
        <is>
          <t xml:space="preserve">Altura del Km 8.5 de la Carretera Yaura - Arequipa </t>
        </is>
      </c>
      <c r="E2405" t="inlineStr">
        <is>
          <t>Lima, 11 de Diciembre de 2024</t>
        </is>
      </c>
      <c r="F2405" t="inlineStr">
        <is>
          <t>la Recarga y mantenimiento</t>
        </is>
      </c>
      <c r="G2405" t="inlineStr">
        <is>
          <t>06</t>
        </is>
      </c>
      <c r="H2405" t="inlineStr">
        <is>
          <t xml:space="preserve">20 LBS </t>
        </is>
      </c>
      <c r="I2405" t="n">
        <v>2027</v>
      </c>
      <c r="J2405" t="n">
        <v>2005</v>
      </c>
      <c r="K2405" t="inlineStr">
        <is>
          <t>NOVIEMBRE 2024</t>
        </is>
      </c>
      <c r="L2405" t="inlineStr">
        <is>
          <t>NOVIEMBRE 2025</t>
        </is>
      </c>
      <c r="M2405" t="inlineStr">
        <is>
          <t>P.Q.S. / ABC AL 90%</t>
        </is>
      </c>
      <c r="N2405" t="inlineStr">
        <is>
          <t>08/XC264292</t>
        </is>
      </c>
      <c r="O2405" t="inlineStr">
        <is>
          <t>R</t>
        </is>
      </c>
      <c r="P2405">
        <f>TRIM(N2405)</f>
        <v/>
      </c>
    </row>
    <row r="2406">
      <c r="A2406" t="inlineStr">
        <is>
          <t>CO-002147</t>
        </is>
      </c>
      <c r="B2406" t="inlineStr">
        <is>
          <t>SUNAT - AREQUIPA -  RIO SECO</t>
        </is>
      </c>
      <c r="C2406" t="inlineStr">
        <is>
          <t>20131312955</t>
        </is>
      </c>
      <c r="D2406" t="inlineStr">
        <is>
          <t xml:space="preserve">Altura del Km 8.5 de la Carretera Yaura - Arequipa </t>
        </is>
      </c>
      <c r="E2406" t="inlineStr">
        <is>
          <t>Lima, 11 de Diciembre de 2024</t>
        </is>
      </c>
      <c r="F2406" t="inlineStr">
        <is>
          <t>la Recarga y mantenimiento</t>
        </is>
      </c>
      <c r="G2406" t="inlineStr">
        <is>
          <t>07</t>
        </is>
      </c>
      <c r="H2406" t="inlineStr">
        <is>
          <t xml:space="preserve">20 LBS </t>
        </is>
      </c>
      <c r="I2406" t="n">
        <v>2027</v>
      </c>
      <c r="J2406" t="n">
        <v>2005</v>
      </c>
      <c r="K2406" t="inlineStr">
        <is>
          <t>NOVIEMBRE 2024</t>
        </is>
      </c>
      <c r="L2406" t="inlineStr">
        <is>
          <t>NOVIEMBRE 2025</t>
        </is>
      </c>
      <c r="M2406" t="inlineStr">
        <is>
          <t>P.Q.S. / ABC AL 90%</t>
        </is>
      </c>
      <c r="N2406" t="inlineStr">
        <is>
          <t>09/XC264363</t>
        </is>
      </c>
      <c r="O2406" t="inlineStr">
        <is>
          <t>R</t>
        </is>
      </c>
      <c r="P2406">
        <f>TRIM(N2406)</f>
        <v/>
      </c>
    </row>
    <row r="2407">
      <c r="A2407" t="inlineStr">
        <is>
          <t>CO-002147</t>
        </is>
      </c>
      <c r="B2407" t="inlineStr">
        <is>
          <t>SUNAT - AREQUIPA -  RIO SECO</t>
        </is>
      </c>
      <c r="C2407" t="inlineStr">
        <is>
          <t>20131312955</t>
        </is>
      </c>
      <c r="D2407" t="inlineStr">
        <is>
          <t xml:space="preserve">Altura del Km 8.5 de la Carretera Yaura - Arequipa </t>
        </is>
      </c>
      <c r="E2407" t="inlineStr">
        <is>
          <t>Lima, 11 de Diciembre de 2024</t>
        </is>
      </c>
      <c r="F2407" t="inlineStr">
        <is>
          <t>la Recarga y mantenimiento</t>
        </is>
      </c>
      <c r="G2407" t="inlineStr">
        <is>
          <t>08</t>
        </is>
      </c>
      <c r="H2407" t="inlineStr">
        <is>
          <t>2.5 GLS</t>
        </is>
      </c>
      <c r="I2407" t="n">
        <v>2027</v>
      </c>
      <c r="J2407" t="n">
        <v>2005</v>
      </c>
      <c r="K2407" t="inlineStr">
        <is>
          <t>NOVIEMBRE 2024</t>
        </is>
      </c>
      <c r="L2407" t="inlineStr">
        <is>
          <t>NOVIEMBRE 2025</t>
        </is>
      </c>
      <c r="M2407" t="inlineStr">
        <is>
          <t>H2O PRESURIZADA</t>
        </is>
      </c>
      <c r="N2407" t="inlineStr">
        <is>
          <t>10/AA718368</t>
        </is>
      </c>
      <c r="O2407" t="inlineStr">
        <is>
          <t>R</t>
        </is>
      </c>
      <c r="P2407">
        <f>TRIM(N2407)</f>
        <v/>
      </c>
    </row>
    <row r="2408">
      <c r="A2408" t="inlineStr">
        <is>
          <t>CO-002147</t>
        </is>
      </c>
      <c r="B2408" t="inlineStr">
        <is>
          <t>SUNAT - AREQUIPA -  RIO SECO</t>
        </is>
      </c>
      <c r="C2408" t="inlineStr">
        <is>
          <t>20131312955</t>
        </is>
      </c>
      <c r="D2408" t="inlineStr">
        <is>
          <t xml:space="preserve">Altura del Km 8.5 de la Carretera Yaura - Arequipa </t>
        </is>
      </c>
      <c r="E2408" t="inlineStr">
        <is>
          <t>Lima, 11 de Diciembre de 2024</t>
        </is>
      </c>
      <c r="F2408" t="inlineStr">
        <is>
          <t>la Recarga y mantenimiento</t>
        </is>
      </c>
      <c r="G2408" t="inlineStr">
        <is>
          <t>09</t>
        </is>
      </c>
      <c r="H2408" t="inlineStr">
        <is>
          <t>2.5 GLS</t>
        </is>
      </c>
      <c r="I2408" t="n">
        <v>2026</v>
      </c>
      <c r="J2408" t="n">
        <v>2004</v>
      </c>
      <c r="K2408" t="inlineStr">
        <is>
          <t>NOVIEMBRE 2024</t>
        </is>
      </c>
      <c r="L2408" t="inlineStr">
        <is>
          <t>NOVIEMBRE 2025</t>
        </is>
      </c>
      <c r="M2408" t="inlineStr">
        <is>
          <t>H2O PRESURIZADA</t>
        </is>
      </c>
      <c r="N2408" t="inlineStr">
        <is>
          <t>11/AA718342</t>
        </is>
      </c>
      <c r="O2408" t="inlineStr">
        <is>
          <t>R</t>
        </is>
      </c>
      <c r="P2408">
        <f>TRIM(N2408)</f>
        <v/>
      </c>
    </row>
    <row r="2409">
      <c r="A2409" t="inlineStr">
        <is>
          <t>CO-002147</t>
        </is>
      </c>
      <c r="B2409" t="inlineStr">
        <is>
          <t>SUNAT - AREQUIPA -  RIO SECO</t>
        </is>
      </c>
      <c r="C2409" t="inlineStr">
        <is>
          <t>20131312955</t>
        </is>
      </c>
      <c r="D2409" t="inlineStr">
        <is>
          <t xml:space="preserve">Altura del Km 8.5 de la Carretera Yaura - Arequipa </t>
        </is>
      </c>
      <c r="E2409" t="inlineStr">
        <is>
          <t>Lima, 11 de Diciembre de 2024</t>
        </is>
      </c>
      <c r="F2409" t="inlineStr">
        <is>
          <t>la Recarga y mantenimiento</t>
        </is>
      </c>
      <c r="G2409" t="n">
        <v>10</v>
      </c>
      <c r="H2409" t="inlineStr">
        <is>
          <t>2.5 GLS</t>
        </is>
      </c>
      <c r="I2409" t="n">
        <v>2026</v>
      </c>
      <c r="J2409" t="n">
        <v>2005</v>
      </c>
      <c r="K2409" t="inlineStr">
        <is>
          <t>NOVIEMBRE 2024</t>
        </is>
      </c>
      <c r="L2409" t="inlineStr">
        <is>
          <t>NOVIEMBRE 2025</t>
        </is>
      </c>
      <c r="M2409" t="inlineStr">
        <is>
          <t>H2O PRESURIZADA</t>
        </is>
      </c>
      <c r="N2409" t="inlineStr">
        <is>
          <t>13/AA719127</t>
        </is>
      </c>
      <c r="O2409" t="inlineStr">
        <is>
          <t>R</t>
        </is>
      </c>
      <c r="P2409">
        <f>TRIM(N2409)</f>
        <v/>
      </c>
    </row>
    <row r="2410">
      <c r="A2410" t="inlineStr">
        <is>
          <t>CO-002147</t>
        </is>
      </c>
      <c r="B2410" t="inlineStr">
        <is>
          <t>SUNAT - AREQUIPA -  RIO SECO</t>
        </is>
      </c>
      <c r="C2410" t="inlineStr">
        <is>
          <t>20131312955</t>
        </is>
      </c>
      <c r="D2410" t="inlineStr">
        <is>
          <t xml:space="preserve">Altura del Km 8.5 de la Carretera Yaura - Arequipa </t>
        </is>
      </c>
      <c r="E2410" t="inlineStr">
        <is>
          <t>Lima, 11 de Diciembre de 2024</t>
        </is>
      </c>
      <c r="F2410" t="inlineStr">
        <is>
          <t>la Recarga y mantenimiento</t>
        </is>
      </c>
      <c r="G2410" t="n">
        <v>11</v>
      </c>
      <c r="H2410" t="inlineStr">
        <is>
          <t>30 LBS</t>
        </is>
      </c>
      <c r="I2410" t="n">
        <v>2028</v>
      </c>
      <c r="J2410" t="n">
        <v>2013</v>
      </c>
      <c r="K2410" t="inlineStr">
        <is>
          <t>NOVIEMBRE 2024</t>
        </is>
      </c>
      <c r="L2410" t="inlineStr">
        <is>
          <t>NOVIEMBRE 2025</t>
        </is>
      </c>
      <c r="M2410" t="inlineStr">
        <is>
          <t>P.Q.S. / ABC AL 90%</t>
        </is>
      </c>
      <c r="N2410" t="inlineStr">
        <is>
          <t>14/BR572129</t>
        </is>
      </c>
      <c r="O2410" t="inlineStr">
        <is>
          <t>R</t>
        </is>
      </c>
      <c r="P2410">
        <f>TRIM(N2410)</f>
        <v/>
      </c>
    </row>
    <row r="2411">
      <c r="A2411" t="inlineStr">
        <is>
          <t>CO-002147</t>
        </is>
      </c>
      <c r="B2411" t="inlineStr">
        <is>
          <t>SUNAT - AREQUIPA -  RIO SECO</t>
        </is>
      </c>
      <c r="C2411" t="inlineStr">
        <is>
          <t>20131312955</t>
        </is>
      </c>
      <c r="D2411" t="inlineStr">
        <is>
          <t xml:space="preserve">Altura del Km 8.5 de la Carretera Yaura - Arequipa </t>
        </is>
      </c>
      <c r="E2411" t="inlineStr">
        <is>
          <t>Lima, 11 de Diciembre de 2024</t>
        </is>
      </c>
      <c r="F2411" t="inlineStr">
        <is>
          <t>la Recarga y mantenimiento</t>
        </is>
      </c>
      <c r="G2411" t="n">
        <v>12</v>
      </c>
      <c r="H2411" t="inlineStr">
        <is>
          <t>2.5 GLS</t>
        </is>
      </c>
      <c r="I2411" t="n">
        <v>2027</v>
      </c>
      <c r="J2411" t="n">
        <v>2005</v>
      </c>
      <c r="K2411" t="inlineStr">
        <is>
          <t>NOVIEMBRE 2024</t>
        </is>
      </c>
      <c r="L2411" t="inlineStr">
        <is>
          <t>NOVIEMBRE 2025</t>
        </is>
      </c>
      <c r="M2411" t="inlineStr">
        <is>
          <t>ESPUMA AFFF</t>
        </is>
      </c>
      <c r="N2411" t="inlineStr">
        <is>
          <t>24/AA795694</t>
        </is>
      </c>
      <c r="O2411" t="inlineStr">
        <is>
          <t>R</t>
        </is>
      </c>
      <c r="P2411">
        <f>TRIM(N2411)</f>
        <v/>
      </c>
    </row>
    <row r="2412">
      <c r="A2412" t="inlineStr">
        <is>
          <t>CO-002147</t>
        </is>
      </c>
      <c r="B2412" t="inlineStr">
        <is>
          <t>SUNAT - AREQUIPA -  RIO SECO</t>
        </is>
      </c>
      <c r="C2412" t="inlineStr">
        <is>
          <t>20131312955</t>
        </is>
      </c>
      <c r="D2412" t="inlineStr">
        <is>
          <t xml:space="preserve">Altura del Km 8.5 de la Carretera Yaura - Arequipa </t>
        </is>
      </c>
      <c r="E2412" t="inlineStr">
        <is>
          <t>Lima, 11 de Diciembre de 2024</t>
        </is>
      </c>
      <c r="F2412" t="inlineStr">
        <is>
          <t>la Recarga y mantenimiento</t>
        </is>
      </c>
      <c r="G2412" t="n">
        <v>15</v>
      </c>
      <c r="O2412" t="inlineStr">
        <is>
          <t>R</t>
        </is>
      </c>
      <c r="P2412">
        <f>TRIM(N2412)</f>
        <v/>
      </c>
    </row>
    <row r="2413">
      <c r="A2413" t="inlineStr">
        <is>
          <t>CO-002148</t>
        </is>
      </c>
      <c r="B2413" t="inlineStr">
        <is>
          <t>SUNAT - AREQUIPA -  RIO SECO</t>
        </is>
      </c>
      <c r="C2413" t="inlineStr">
        <is>
          <t>20131312955</t>
        </is>
      </c>
      <c r="D2413" t="inlineStr">
        <is>
          <t xml:space="preserve">Altura del Km 8.5 de la Carretera Yaura - Arequipa </t>
        </is>
      </c>
      <c r="E2413" t="inlineStr">
        <is>
          <t>Lima, 11 de Diciembre de 2024</t>
        </is>
      </c>
      <c r="F2413" t="inlineStr">
        <is>
          <t>la Recarga y mantenimiento</t>
        </is>
      </c>
      <c r="G2413" t="inlineStr">
        <is>
          <t>01</t>
        </is>
      </c>
      <c r="H2413" t="inlineStr">
        <is>
          <t>30 LBS</t>
        </is>
      </c>
      <c r="I2413" t="inlineStr">
        <is>
          <t>2026</t>
        </is>
      </c>
      <c r="J2413" t="n">
        <v>2013</v>
      </c>
      <c r="K2413" t="inlineStr">
        <is>
          <t>NOVIEMBRE 2024</t>
        </is>
      </c>
      <c r="L2413" t="inlineStr">
        <is>
          <t>NOVIEMBRE 2025</t>
        </is>
      </c>
      <c r="M2413" t="inlineStr">
        <is>
          <t>P.Q.S. / ABC AL 90%</t>
        </is>
      </c>
      <c r="N2413" t="inlineStr">
        <is>
          <t>54/BR574203</t>
        </is>
      </c>
      <c r="O2413" t="inlineStr">
        <is>
          <t>R</t>
        </is>
      </c>
      <c r="P2413">
        <f>TRIM(N2413)</f>
        <v/>
      </c>
    </row>
    <row r="2414">
      <c r="A2414" t="inlineStr">
        <is>
          <t>CO-002148</t>
        </is>
      </c>
      <c r="B2414" t="inlineStr">
        <is>
          <t>SUNAT - AREQUIPA -  RIO SECO</t>
        </is>
      </c>
      <c r="C2414" t="inlineStr">
        <is>
          <t>20131312955</t>
        </is>
      </c>
      <c r="D2414" t="inlineStr">
        <is>
          <t xml:space="preserve">Altura del Km 8.5 de la Carretera Yaura - Arequipa </t>
        </is>
      </c>
      <c r="E2414" t="inlineStr">
        <is>
          <t>Lima, 11 de Diciembre de 2024</t>
        </is>
      </c>
      <c r="F2414" t="inlineStr">
        <is>
          <t>la Recarga y mantenimiento</t>
        </is>
      </c>
      <c r="G2414" t="inlineStr">
        <is>
          <t>02</t>
        </is>
      </c>
      <c r="H2414" t="inlineStr">
        <is>
          <t>125 LBS</t>
        </is>
      </c>
      <c r="I2414" t="inlineStr">
        <is>
          <t>2027</t>
        </is>
      </c>
      <c r="J2414" t="n">
        <v>2012</v>
      </c>
      <c r="K2414" t="inlineStr">
        <is>
          <t>NOVIEMBRE 2024</t>
        </is>
      </c>
      <c r="L2414" t="inlineStr">
        <is>
          <t>NOVIEMBRE 2025</t>
        </is>
      </c>
      <c r="M2414" t="inlineStr">
        <is>
          <t>P.Q.S. / ABC AL 90%</t>
        </is>
      </c>
      <c r="N2414" t="inlineStr">
        <is>
          <t>55/bh86043</t>
        </is>
      </c>
      <c r="O2414" t="inlineStr">
        <is>
          <t>R</t>
        </is>
      </c>
      <c r="P2414">
        <f>TRIM(N2414)</f>
        <v/>
      </c>
    </row>
    <row r="2415">
      <c r="A2415" t="inlineStr">
        <is>
          <t>CO-002148</t>
        </is>
      </c>
      <c r="B2415" t="inlineStr">
        <is>
          <t>SUNAT - AREQUIPA -  RIO SECO</t>
        </is>
      </c>
      <c r="C2415" t="inlineStr">
        <is>
          <t>20131312955</t>
        </is>
      </c>
      <c r="D2415" t="inlineStr">
        <is>
          <t xml:space="preserve">Altura del Km 8.5 de la Carretera Yaura - Arequipa </t>
        </is>
      </c>
      <c r="E2415" t="inlineStr">
        <is>
          <t>Lima, 11 de Diciembre de 2024</t>
        </is>
      </c>
      <c r="F2415" t="inlineStr">
        <is>
          <t>la Recarga y mantenimiento</t>
        </is>
      </c>
      <c r="G2415" t="inlineStr">
        <is>
          <t>03</t>
        </is>
      </c>
      <c r="H2415" t="inlineStr">
        <is>
          <t>20 LBS</t>
        </is>
      </c>
      <c r="I2415" t="n">
        <v>2027</v>
      </c>
      <c r="J2415" t="n">
        <v>2005</v>
      </c>
      <c r="K2415" t="inlineStr">
        <is>
          <t>DICIEMBRE 2024</t>
        </is>
      </c>
      <c r="L2415" t="inlineStr">
        <is>
          <t>DICIEMBRE 2025</t>
        </is>
      </c>
      <c r="M2415" t="inlineStr">
        <is>
          <t>P.Q.S. / ABC AL 90%</t>
        </is>
      </c>
      <c r="N2415" t="inlineStr">
        <is>
          <t>58/XK338105</t>
        </is>
      </c>
      <c r="O2415" t="inlineStr">
        <is>
          <t>R</t>
        </is>
      </c>
      <c r="P2415">
        <f>TRIM(N2415)</f>
        <v/>
      </c>
    </row>
    <row r="2416">
      <c r="A2416" t="inlineStr">
        <is>
          <t>CO-002148</t>
        </is>
      </c>
      <c r="B2416" t="inlineStr">
        <is>
          <t>SUNAT - AREQUIPA -  RIO SECO</t>
        </is>
      </c>
      <c r="C2416" t="inlineStr">
        <is>
          <t>20131312955</t>
        </is>
      </c>
      <c r="D2416" t="inlineStr">
        <is>
          <t xml:space="preserve">Altura del Km 8.5 de la Carretera Yaura - Arequipa </t>
        </is>
      </c>
      <c r="E2416" t="inlineStr">
        <is>
          <t>Lima, 11 de Diciembre de 2024</t>
        </is>
      </c>
      <c r="F2416" t="inlineStr">
        <is>
          <t>la Recarga y mantenimiento</t>
        </is>
      </c>
      <c r="G2416" t="inlineStr">
        <is>
          <t>04</t>
        </is>
      </c>
      <c r="H2416" t="inlineStr">
        <is>
          <t>30 LBS</t>
        </is>
      </c>
      <c r="I2416" t="n">
        <v>2026</v>
      </c>
      <c r="J2416" t="n">
        <v>2013</v>
      </c>
      <c r="K2416" t="inlineStr">
        <is>
          <t>NOVIEMBRE 2024</t>
        </is>
      </c>
      <c r="L2416" t="inlineStr">
        <is>
          <t>NOVIEMBRE 2025</t>
        </is>
      </c>
      <c r="M2416" t="inlineStr">
        <is>
          <t>P.Q.S. / ABC AL 90%</t>
        </is>
      </c>
      <c r="N2416" t="inlineStr">
        <is>
          <t>60/BR574232</t>
        </is>
      </c>
      <c r="O2416" t="inlineStr">
        <is>
          <t>R</t>
        </is>
      </c>
      <c r="P2416">
        <f>TRIM(N2416)</f>
        <v/>
      </c>
    </row>
    <row r="2417">
      <c r="A2417" t="inlineStr">
        <is>
          <t>CO-002148</t>
        </is>
      </c>
      <c r="B2417" t="inlineStr">
        <is>
          <t>SUNAT - AREQUIPA -  RIO SECO</t>
        </is>
      </c>
      <c r="C2417" t="inlineStr">
        <is>
          <t>20131312955</t>
        </is>
      </c>
      <c r="D2417" t="inlineStr">
        <is>
          <t xml:space="preserve">Altura del Km 8.5 de la Carretera Yaura - Arequipa </t>
        </is>
      </c>
      <c r="E2417" t="inlineStr">
        <is>
          <t>Lima, 11 de Diciembre de 2024</t>
        </is>
      </c>
      <c r="F2417" t="inlineStr">
        <is>
          <t>la Recarga y mantenimiento</t>
        </is>
      </c>
      <c r="G2417" t="inlineStr">
        <is>
          <t>05</t>
        </is>
      </c>
      <c r="H2417" t="inlineStr">
        <is>
          <t>20 LBS</t>
        </is>
      </c>
      <c r="I2417" t="n">
        <v>2026</v>
      </c>
      <c r="J2417" t="n">
        <v>2005</v>
      </c>
      <c r="K2417" t="inlineStr">
        <is>
          <t>NOVIEMBRE 2024</t>
        </is>
      </c>
      <c r="L2417" t="inlineStr">
        <is>
          <t>NOVIEMBRE 2025</t>
        </is>
      </c>
      <c r="M2417" t="inlineStr">
        <is>
          <t>P.Q.S. / ABC AL 90%</t>
        </is>
      </c>
      <c r="N2417" t="inlineStr">
        <is>
          <t>61/XK338021</t>
        </is>
      </c>
      <c r="O2417" t="inlineStr">
        <is>
          <t>R</t>
        </is>
      </c>
      <c r="P2417">
        <f>TRIM(N2417)</f>
        <v/>
      </c>
    </row>
    <row r="2418">
      <c r="A2418" t="inlineStr">
        <is>
          <t>CO-002148</t>
        </is>
      </c>
      <c r="B2418" t="inlineStr">
        <is>
          <t>SUNAT - AREQUIPA -  RIO SECO</t>
        </is>
      </c>
      <c r="C2418" t="inlineStr">
        <is>
          <t>20131312955</t>
        </is>
      </c>
      <c r="D2418" t="inlineStr">
        <is>
          <t xml:space="preserve">Altura del Km 8.5 de la Carretera Yaura - Arequipa </t>
        </is>
      </c>
      <c r="E2418" t="inlineStr">
        <is>
          <t>Lima, 11 de Diciembre de 2024</t>
        </is>
      </c>
      <c r="F2418" t="inlineStr">
        <is>
          <t>la Recarga y mantenimiento</t>
        </is>
      </c>
      <c r="G2418" t="inlineStr">
        <is>
          <t>06</t>
        </is>
      </c>
      <c r="H2418" t="inlineStr">
        <is>
          <t>15 LBS</t>
        </is>
      </c>
      <c r="I2418" t="n">
        <v>2026</v>
      </c>
      <c r="J2418" t="n">
        <v>2012</v>
      </c>
      <c r="K2418" t="inlineStr">
        <is>
          <t>NOVIEMBRE 2024</t>
        </is>
      </c>
      <c r="L2418" t="inlineStr">
        <is>
          <t>NOVIEMBRE 2025</t>
        </is>
      </c>
      <c r="M2418" t="inlineStr">
        <is>
          <t>CO2 TIPO BC</t>
        </is>
      </c>
      <c r="N2418" t="inlineStr">
        <is>
          <t>62/794219</t>
        </is>
      </c>
      <c r="O2418" t="inlineStr">
        <is>
          <t>R</t>
        </is>
      </c>
      <c r="P2418">
        <f>TRIM(N2418)</f>
        <v/>
      </c>
    </row>
    <row r="2419">
      <c r="A2419" t="inlineStr">
        <is>
          <t>CO-002148</t>
        </is>
      </c>
      <c r="B2419" t="inlineStr">
        <is>
          <t>SUNAT - AREQUIPA -  RIO SECO</t>
        </is>
      </c>
      <c r="C2419" t="inlineStr">
        <is>
          <t>20131312955</t>
        </is>
      </c>
      <c r="D2419" t="inlineStr">
        <is>
          <t xml:space="preserve">Altura del Km 8.5 de la Carretera Yaura - Arequipa </t>
        </is>
      </c>
      <c r="E2419" t="inlineStr">
        <is>
          <t>Lima, 11 de Diciembre de 2024</t>
        </is>
      </c>
      <c r="F2419" t="inlineStr">
        <is>
          <t>la Recarga y mantenimiento</t>
        </is>
      </c>
      <c r="G2419" t="inlineStr">
        <is>
          <t>07</t>
        </is>
      </c>
      <c r="H2419" t="inlineStr">
        <is>
          <t xml:space="preserve">30 LBS </t>
        </is>
      </c>
      <c r="I2419" t="n">
        <v>2026</v>
      </c>
      <c r="J2419" t="n">
        <v>2013</v>
      </c>
      <c r="K2419" t="inlineStr">
        <is>
          <t>NOVIEMBRE 2024</t>
        </is>
      </c>
      <c r="L2419" t="inlineStr">
        <is>
          <t>NOVIEMBRE 2025</t>
        </is>
      </c>
      <c r="M2419" t="inlineStr">
        <is>
          <t>P.Q.S. / ABC AL 90%</t>
        </is>
      </c>
      <c r="N2419" t="inlineStr">
        <is>
          <t>63/BR574417</t>
        </is>
      </c>
      <c r="O2419" t="inlineStr">
        <is>
          <t>R</t>
        </is>
      </c>
      <c r="P2419">
        <f>TRIM(N2419)</f>
        <v/>
      </c>
    </row>
    <row r="2420">
      <c r="A2420" t="inlineStr">
        <is>
          <t>CO-002148</t>
        </is>
      </c>
      <c r="B2420" t="inlineStr">
        <is>
          <t>SUNAT - AREQUIPA -  RIO SECO</t>
        </is>
      </c>
      <c r="C2420" t="inlineStr">
        <is>
          <t>20131312955</t>
        </is>
      </c>
      <c r="D2420" t="inlineStr">
        <is>
          <t xml:space="preserve">Altura del Km 8.5 de la Carretera Yaura - Arequipa </t>
        </is>
      </c>
      <c r="E2420" t="inlineStr">
        <is>
          <t>Lima, 11 de Diciembre de 2024</t>
        </is>
      </c>
      <c r="F2420" t="inlineStr">
        <is>
          <t>la Recarga y mantenimiento</t>
        </is>
      </c>
      <c r="G2420" t="inlineStr">
        <is>
          <t>08</t>
        </is>
      </c>
      <c r="H2420" t="inlineStr">
        <is>
          <t>15 LBS</t>
        </is>
      </c>
      <c r="I2420" t="n">
        <v>2026</v>
      </c>
      <c r="J2420" t="n">
        <v>2012</v>
      </c>
      <c r="K2420" t="inlineStr">
        <is>
          <t>NOVIEMBRE 2024</t>
        </is>
      </c>
      <c r="L2420" t="inlineStr">
        <is>
          <t>NOVIEMBRE 2025</t>
        </is>
      </c>
      <c r="M2420" t="inlineStr">
        <is>
          <t>CO2 TIPO BC</t>
        </is>
      </c>
      <c r="N2420" t="inlineStr">
        <is>
          <t>64/V794658</t>
        </is>
      </c>
      <c r="O2420" t="inlineStr">
        <is>
          <t>R</t>
        </is>
      </c>
      <c r="P2420">
        <f>TRIM(N2420)</f>
        <v/>
      </c>
    </row>
    <row r="2421">
      <c r="A2421" t="inlineStr">
        <is>
          <t>CO-002148</t>
        </is>
      </c>
      <c r="B2421" t="inlineStr">
        <is>
          <t>SUNAT - AREQUIPA -  RIO SECO</t>
        </is>
      </c>
      <c r="C2421" t="inlineStr">
        <is>
          <t>20131312955</t>
        </is>
      </c>
      <c r="D2421" t="inlineStr">
        <is>
          <t xml:space="preserve">Altura del Km 8.5 de la Carretera Yaura - Arequipa </t>
        </is>
      </c>
      <c r="E2421" t="inlineStr">
        <is>
          <t>Lima, 11 de Diciembre de 2024</t>
        </is>
      </c>
      <c r="F2421" t="inlineStr">
        <is>
          <t>la Recarga y mantenimiento</t>
        </is>
      </c>
      <c r="G2421" t="inlineStr">
        <is>
          <t>09</t>
        </is>
      </c>
      <c r="H2421" t="inlineStr">
        <is>
          <t>15 LBS</t>
        </is>
      </c>
      <c r="I2421" t="n">
        <v>2026</v>
      </c>
      <c r="J2421" t="n">
        <v>2012</v>
      </c>
      <c r="K2421" t="inlineStr">
        <is>
          <t>NOVIEMBRE 2024</t>
        </is>
      </c>
      <c r="L2421" t="inlineStr">
        <is>
          <t>NOVIEMBRE 2025</t>
        </is>
      </c>
      <c r="M2421" t="inlineStr">
        <is>
          <t>CO2 TIPO BC</t>
        </is>
      </c>
      <c r="N2421" t="inlineStr">
        <is>
          <t>65/793623</t>
        </is>
      </c>
      <c r="O2421" t="inlineStr">
        <is>
          <t>R</t>
        </is>
      </c>
      <c r="P2421">
        <f>TRIM(N2421)</f>
        <v/>
      </c>
    </row>
    <row r="2422">
      <c r="A2422" t="inlineStr">
        <is>
          <t>CO-002148</t>
        </is>
      </c>
      <c r="B2422" t="inlineStr">
        <is>
          <t>SUNAT - AREQUIPA -  RIO SECO</t>
        </is>
      </c>
      <c r="C2422" t="inlineStr">
        <is>
          <t>20131312955</t>
        </is>
      </c>
      <c r="D2422" t="inlineStr">
        <is>
          <t xml:space="preserve">Altura del Km 8.5 de la Carretera Yaura - Arequipa </t>
        </is>
      </c>
      <c r="E2422" t="inlineStr">
        <is>
          <t>Lima, 11 de Diciembre de 2024</t>
        </is>
      </c>
      <c r="F2422" t="inlineStr">
        <is>
          <t>la Recarga y mantenimiento</t>
        </is>
      </c>
      <c r="G2422" t="n">
        <v>10</v>
      </c>
      <c r="H2422" t="inlineStr">
        <is>
          <t>30 LBS</t>
        </is>
      </c>
      <c r="I2422" t="n">
        <v>2026</v>
      </c>
      <c r="J2422" t="n">
        <v>2013</v>
      </c>
      <c r="K2422" t="inlineStr">
        <is>
          <t>NOVIEMBRE 2024</t>
        </is>
      </c>
      <c r="L2422" t="inlineStr">
        <is>
          <t>NOVIEMBRE 2025</t>
        </is>
      </c>
      <c r="M2422" t="inlineStr">
        <is>
          <t>P.Q.S. / ABC AL 90%</t>
        </is>
      </c>
      <c r="N2422" t="inlineStr">
        <is>
          <t>66/BR574137</t>
        </is>
      </c>
      <c r="O2422" t="inlineStr">
        <is>
          <t>R</t>
        </is>
      </c>
      <c r="P2422">
        <f>TRIM(N2422)</f>
        <v/>
      </c>
    </row>
    <row r="2423">
      <c r="A2423" t="inlineStr">
        <is>
          <t>CO-002148</t>
        </is>
      </c>
      <c r="B2423" t="inlineStr">
        <is>
          <t>SUNAT - AREQUIPA -  RIO SECO</t>
        </is>
      </c>
      <c r="C2423" t="inlineStr">
        <is>
          <t>20131312955</t>
        </is>
      </c>
      <c r="D2423" t="inlineStr">
        <is>
          <t xml:space="preserve">Altura del Km 8.5 de la Carretera Yaura - Arequipa </t>
        </is>
      </c>
      <c r="E2423" t="inlineStr">
        <is>
          <t>Lima, 11 de Diciembre de 2024</t>
        </is>
      </c>
      <c r="F2423" t="inlineStr">
        <is>
          <t>la Recarga y mantenimiento</t>
        </is>
      </c>
      <c r="G2423" t="n">
        <v>11</v>
      </c>
      <c r="H2423" t="inlineStr">
        <is>
          <t>30 LBS</t>
        </is>
      </c>
      <c r="I2423" t="n">
        <v>2026</v>
      </c>
      <c r="J2423" t="n">
        <v>2013</v>
      </c>
      <c r="K2423" t="inlineStr">
        <is>
          <t>NOVIEMBRE 2024</t>
        </is>
      </c>
      <c r="L2423" t="inlineStr">
        <is>
          <t>NOVIEMBRE 2025</t>
        </is>
      </c>
      <c r="M2423" t="inlineStr">
        <is>
          <t>P.Q.S. / ABC AL 90%</t>
        </is>
      </c>
      <c r="N2423" t="inlineStr">
        <is>
          <t>67/BR574135</t>
        </is>
      </c>
      <c r="O2423" t="inlineStr">
        <is>
          <t>R</t>
        </is>
      </c>
      <c r="P2423">
        <f>TRIM(N2423)</f>
        <v/>
      </c>
    </row>
    <row r="2424">
      <c r="A2424" t="inlineStr">
        <is>
          <t>CO-002148</t>
        </is>
      </c>
      <c r="B2424" t="inlineStr">
        <is>
          <t>SUNAT - AREQUIPA -  RIO SECO</t>
        </is>
      </c>
      <c r="C2424" t="inlineStr">
        <is>
          <t>20131312955</t>
        </is>
      </c>
      <c r="D2424" t="inlineStr">
        <is>
          <t xml:space="preserve">Altura del Km 8.5 de la Carretera Yaura - Arequipa </t>
        </is>
      </c>
      <c r="E2424" t="inlineStr">
        <is>
          <t>Lima, 11 de Diciembre de 2024</t>
        </is>
      </c>
      <c r="F2424" t="inlineStr">
        <is>
          <t>la Recarga y mantenimiento</t>
        </is>
      </c>
      <c r="G2424" t="n">
        <v>12</v>
      </c>
      <c r="H2424" t="inlineStr">
        <is>
          <t>30 LBS</t>
        </is>
      </c>
      <c r="I2424" t="n">
        <v>2026</v>
      </c>
      <c r="J2424" t="n">
        <v>2013</v>
      </c>
      <c r="K2424" t="inlineStr">
        <is>
          <t>NOVIEMBRE 2024</t>
        </is>
      </c>
      <c r="L2424" t="inlineStr">
        <is>
          <t>NOVIEMBRE 2025</t>
        </is>
      </c>
      <c r="M2424" t="inlineStr">
        <is>
          <t>P.Q.S. / ABC AL 90%</t>
        </is>
      </c>
      <c r="N2424" t="inlineStr">
        <is>
          <t>68/BR574422</t>
        </is>
      </c>
      <c r="O2424" t="inlineStr">
        <is>
          <t>R</t>
        </is>
      </c>
      <c r="P2424">
        <f>TRIM(N2424)</f>
        <v/>
      </c>
    </row>
    <row r="2425">
      <c r="A2425" t="inlineStr">
        <is>
          <t>CO-002148</t>
        </is>
      </c>
      <c r="B2425" t="inlineStr">
        <is>
          <t>SUNAT - AREQUIPA -  RIO SECO</t>
        </is>
      </c>
      <c r="C2425" t="inlineStr">
        <is>
          <t>20131312955</t>
        </is>
      </c>
      <c r="D2425" t="inlineStr">
        <is>
          <t xml:space="preserve">Altura del Km 8.5 de la Carretera Yaura - Arequipa </t>
        </is>
      </c>
      <c r="E2425" t="inlineStr">
        <is>
          <t>Lima, 11 de Diciembre de 2024</t>
        </is>
      </c>
      <c r="F2425" t="inlineStr">
        <is>
          <t>la Recarga y mantenimiento</t>
        </is>
      </c>
      <c r="G2425" t="n">
        <v>13</v>
      </c>
      <c r="H2425" t="inlineStr">
        <is>
          <t>2.5 GLS</t>
        </is>
      </c>
      <c r="I2425" t="n">
        <v>2026</v>
      </c>
      <c r="J2425" t="n">
        <v>2005</v>
      </c>
      <c r="K2425" t="inlineStr">
        <is>
          <t>NOVIEMBRE 2024</t>
        </is>
      </c>
      <c r="L2425" t="inlineStr">
        <is>
          <t>NOVIEMBRE 2025</t>
        </is>
      </c>
      <c r="M2425" t="inlineStr">
        <is>
          <t>H2O PRESURIZADA</t>
        </is>
      </c>
      <c r="N2425" t="inlineStr">
        <is>
          <t>25/AA719126</t>
        </is>
      </c>
      <c r="O2425" t="inlineStr">
        <is>
          <t>R</t>
        </is>
      </c>
      <c r="P2425">
        <f>TRIM(N2425)</f>
        <v/>
      </c>
    </row>
    <row r="2426">
      <c r="A2426" t="inlineStr">
        <is>
          <t>CO-002148</t>
        </is>
      </c>
      <c r="B2426" t="inlineStr">
        <is>
          <t>SUNAT - AREQUIPA -  RIO SECO</t>
        </is>
      </c>
      <c r="C2426" t="inlineStr">
        <is>
          <t>20131312955</t>
        </is>
      </c>
      <c r="D2426" t="inlineStr">
        <is>
          <t xml:space="preserve">Altura del Km 8.5 de la Carretera Yaura - Arequipa </t>
        </is>
      </c>
      <c r="E2426" t="inlineStr">
        <is>
          <t>Lima, 11 de Diciembre de 2024</t>
        </is>
      </c>
      <c r="F2426" t="inlineStr">
        <is>
          <t>la Recarga y mantenimiento</t>
        </is>
      </c>
      <c r="G2426" t="n">
        <v>14</v>
      </c>
      <c r="H2426" t="inlineStr">
        <is>
          <t>30 LBS</t>
        </is>
      </c>
      <c r="I2426" t="n">
        <v>2026</v>
      </c>
      <c r="J2426" t="n">
        <v>2013</v>
      </c>
      <c r="K2426" t="inlineStr">
        <is>
          <t>NOVIEMBRE 2024</t>
        </is>
      </c>
      <c r="L2426" t="inlineStr">
        <is>
          <t>NOVIEMBRE 2025</t>
        </is>
      </c>
      <c r="M2426" t="inlineStr">
        <is>
          <t>P.Q.S. / ABC AL 90%</t>
        </is>
      </c>
      <c r="N2426" t="inlineStr">
        <is>
          <t>26/BR574215</t>
        </is>
      </c>
      <c r="O2426" t="inlineStr">
        <is>
          <t>R</t>
        </is>
      </c>
      <c r="P2426">
        <f>TRIM(N2426)</f>
        <v/>
      </c>
    </row>
    <row r="2427">
      <c r="A2427" t="inlineStr">
        <is>
          <t>CO-002148</t>
        </is>
      </c>
      <c r="B2427" t="inlineStr">
        <is>
          <t>SUNAT - AREQUIPA -  RIO SECO</t>
        </is>
      </c>
      <c r="C2427" t="inlineStr">
        <is>
          <t>20131312955</t>
        </is>
      </c>
      <c r="D2427" t="inlineStr">
        <is>
          <t xml:space="preserve">Altura del Km 8.5 de la Carretera Yaura - Arequipa </t>
        </is>
      </c>
      <c r="E2427" t="inlineStr">
        <is>
          <t>Lima, 11 de Diciembre de 2024</t>
        </is>
      </c>
      <c r="F2427" t="inlineStr">
        <is>
          <t>la Recarga y mantenimiento</t>
        </is>
      </c>
      <c r="G2427" t="n">
        <v>15</v>
      </c>
      <c r="H2427" t="inlineStr">
        <is>
          <t>30 LBS</t>
        </is>
      </c>
      <c r="I2427" t="n">
        <v>2026</v>
      </c>
      <c r="J2427" t="n">
        <v>2013</v>
      </c>
      <c r="K2427" t="inlineStr">
        <is>
          <t>NOVIEMBRE 2024</t>
        </is>
      </c>
      <c r="L2427" t="inlineStr">
        <is>
          <t>NOVIEMBRE 2025</t>
        </is>
      </c>
      <c r="M2427" t="inlineStr">
        <is>
          <t>P.Q.S. / ABC AL 90%</t>
        </is>
      </c>
      <c r="N2427" t="inlineStr">
        <is>
          <t>37/BR574416</t>
        </is>
      </c>
      <c r="O2427" t="inlineStr">
        <is>
          <t>R</t>
        </is>
      </c>
      <c r="P2427">
        <f>TRIM(N2427)</f>
        <v/>
      </c>
    </row>
    <row r="2428">
      <c r="A2428" t="inlineStr">
        <is>
          <t>CO-002149</t>
        </is>
      </c>
      <c r="B2428" t="inlineStr">
        <is>
          <t>SUNAT - AREQUIPA -  RIO SECO</t>
        </is>
      </c>
      <c r="C2428" t="inlineStr">
        <is>
          <t>20131312955</t>
        </is>
      </c>
      <c r="D2428" t="inlineStr">
        <is>
          <t xml:space="preserve">Altura del Km 8.5 de la Carretera Yaura - Arequipa </t>
        </is>
      </c>
      <c r="E2428" t="inlineStr">
        <is>
          <t>Lima, 11 de Diciembre de 2024</t>
        </is>
      </c>
      <c r="F2428" t="inlineStr">
        <is>
          <t>la Recarga y mantenimiento</t>
        </is>
      </c>
      <c r="G2428" t="inlineStr">
        <is>
          <t>01</t>
        </is>
      </c>
      <c r="H2428" t="inlineStr">
        <is>
          <t>30 LBS</t>
        </is>
      </c>
      <c r="I2428" t="inlineStr">
        <is>
          <t>2026</t>
        </is>
      </c>
      <c r="J2428" t="n">
        <v>2013</v>
      </c>
      <c r="K2428" t="inlineStr">
        <is>
          <t>NOVIEMBRE 2024</t>
        </is>
      </c>
      <c r="L2428" t="inlineStr">
        <is>
          <t>NOVIEMBRE 2025</t>
        </is>
      </c>
      <c r="M2428" t="inlineStr">
        <is>
          <t>P.Q.S. / ABC AL 90%</t>
        </is>
      </c>
      <c r="N2428" t="inlineStr">
        <is>
          <t>72/BR574148</t>
        </is>
      </c>
      <c r="O2428" t="inlineStr">
        <is>
          <t>R</t>
        </is>
      </c>
      <c r="P2428">
        <f>TRIM(N2428)</f>
        <v/>
      </c>
    </row>
    <row r="2429">
      <c r="A2429" t="inlineStr">
        <is>
          <t>CO-002149</t>
        </is>
      </c>
      <c r="B2429" t="inlineStr">
        <is>
          <t>SUNAT - AREQUIPA -  RIO SECO</t>
        </is>
      </c>
      <c r="C2429" t="inlineStr">
        <is>
          <t>20131312955</t>
        </is>
      </c>
      <c r="D2429" t="inlineStr">
        <is>
          <t xml:space="preserve">Altura del Km 8.5 de la Carretera Yaura - Arequipa </t>
        </is>
      </c>
      <c r="E2429" t="inlineStr">
        <is>
          <t>Lima, 11 de Diciembre de 2024</t>
        </is>
      </c>
      <c r="F2429" t="inlineStr">
        <is>
          <t>la Recarga y mantenimiento</t>
        </is>
      </c>
      <c r="G2429" t="inlineStr">
        <is>
          <t>02</t>
        </is>
      </c>
      <c r="H2429" t="inlineStr">
        <is>
          <t>125 LBS</t>
        </is>
      </c>
      <c r="I2429" t="inlineStr">
        <is>
          <t>2027</t>
        </is>
      </c>
      <c r="J2429" t="n">
        <v>2012</v>
      </c>
      <c r="K2429" t="inlineStr">
        <is>
          <t>NOVIEMBRE 2024</t>
        </is>
      </c>
      <c r="L2429" t="inlineStr">
        <is>
          <t>NOVIEMBRE 2025</t>
        </is>
      </c>
      <c r="M2429" t="inlineStr">
        <is>
          <t>P.Q.S. / ABC AL 90%</t>
        </is>
      </c>
      <c r="N2429" t="inlineStr">
        <is>
          <t>73/BH86049</t>
        </is>
      </c>
      <c r="O2429" t="inlineStr">
        <is>
          <t>R</t>
        </is>
      </c>
      <c r="P2429">
        <f>TRIM(N2429)</f>
        <v/>
      </c>
    </row>
    <row r="2430">
      <c r="A2430" t="inlineStr">
        <is>
          <t>CO-002149</t>
        </is>
      </c>
      <c r="B2430" t="inlineStr">
        <is>
          <t>SUNAT - AREQUIPA -  RIO SECO</t>
        </is>
      </c>
      <c r="C2430" t="inlineStr">
        <is>
          <t>20131312955</t>
        </is>
      </c>
      <c r="D2430" t="inlineStr">
        <is>
          <t xml:space="preserve">Altura del Km 8.5 de la Carretera Yaura - Arequipa </t>
        </is>
      </c>
      <c r="E2430" t="inlineStr">
        <is>
          <t>Lima, 11 de Diciembre de 2024</t>
        </is>
      </c>
      <c r="F2430" t="inlineStr">
        <is>
          <t>la Recarga y mantenimiento</t>
        </is>
      </c>
      <c r="G2430" t="inlineStr">
        <is>
          <t>03</t>
        </is>
      </c>
      <c r="H2430" t="inlineStr">
        <is>
          <t>30 LBS</t>
        </is>
      </c>
      <c r="I2430" t="inlineStr">
        <is>
          <t>2026</t>
        </is>
      </c>
      <c r="J2430" t="n">
        <v>2013</v>
      </c>
      <c r="K2430" t="inlineStr">
        <is>
          <t>NOVIEMBRE 2024</t>
        </is>
      </c>
      <c r="L2430" t="inlineStr">
        <is>
          <t>NOVIEMBRE 2025</t>
        </is>
      </c>
      <c r="M2430" t="inlineStr">
        <is>
          <t>P.Q.S. / ABC AL 90%</t>
        </is>
      </c>
      <c r="N2430" t="inlineStr">
        <is>
          <t>74/BR574138</t>
        </is>
      </c>
      <c r="O2430" t="inlineStr">
        <is>
          <t>R</t>
        </is>
      </c>
      <c r="P2430">
        <f>TRIM(N2430)</f>
        <v/>
      </c>
    </row>
    <row r="2431">
      <c r="A2431" t="inlineStr">
        <is>
          <t>CO-002149</t>
        </is>
      </c>
      <c r="B2431" t="inlineStr">
        <is>
          <t>SUNAT - AREQUIPA -  RIO SECO</t>
        </is>
      </c>
      <c r="C2431" t="inlineStr">
        <is>
          <t>20131312955</t>
        </is>
      </c>
      <c r="D2431" t="inlineStr">
        <is>
          <t xml:space="preserve">Altura del Km 8.5 de la Carretera Yaura - Arequipa </t>
        </is>
      </c>
      <c r="E2431" t="inlineStr">
        <is>
          <t>Lima, 11 de Diciembre de 2024</t>
        </is>
      </c>
      <c r="F2431" t="inlineStr">
        <is>
          <t>la Recarga y mantenimiento</t>
        </is>
      </c>
      <c r="G2431" t="inlineStr">
        <is>
          <t>04</t>
        </is>
      </c>
      <c r="H2431" t="inlineStr">
        <is>
          <t>30 LBS</t>
        </is>
      </c>
      <c r="I2431" t="inlineStr">
        <is>
          <t>2026</t>
        </is>
      </c>
      <c r="J2431" t="n">
        <v>2013</v>
      </c>
      <c r="K2431" t="inlineStr">
        <is>
          <t>NOVIEMBRE 2024</t>
        </is>
      </c>
      <c r="L2431" t="inlineStr">
        <is>
          <t>NOVIEMBRE 2025</t>
        </is>
      </c>
      <c r="M2431" t="inlineStr">
        <is>
          <t>P.Q.S. / ABC AL 90%</t>
        </is>
      </c>
      <c r="N2431" t="inlineStr">
        <is>
          <t>75/BR574147</t>
        </is>
      </c>
      <c r="O2431" t="inlineStr">
        <is>
          <t>R</t>
        </is>
      </c>
      <c r="P2431">
        <f>TRIM(N2431)</f>
        <v/>
      </c>
    </row>
    <row r="2432">
      <c r="A2432" t="inlineStr">
        <is>
          <t>CO-002149</t>
        </is>
      </c>
      <c r="B2432" t="inlineStr">
        <is>
          <t>SUNAT - AREQUIPA -  RIO SECO</t>
        </is>
      </c>
      <c r="C2432" t="inlineStr">
        <is>
          <t>20131312955</t>
        </is>
      </c>
      <c r="D2432" t="inlineStr">
        <is>
          <t xml:space="preserve">Altura del Km 8.5 de la Carretera Yaura - Arequipa </t>
        </is>
      </c>
      <c r="E2432" t="inlineStr">
        <is>
          <t>Lima, 11 de Diciembre de 2024</t>
        </is>
      </c>
      <c r="F2432" t="inlineStr">
        <is>
          <t>la Recarga y mantenimiento</t>
        </is>
      </c>
      <c r="G2432" t="inlineStr">
        <is>
          <t>05</t>
        </is>
      </c>
      <c r="H2432" t="inlineStr">
        <is>
          <t>30 LBS</t>
        </is>
      </c>
      <c r="I2432" t="inlineStr">
        <is>
          <t>2026</t>
        </is>
      </c>
      <c r="J2432" t="n">
        <v>2013</v>
      </c>
      <c r="K2432" t="inlineStr">
        <is>
          <t>NOVIEMBRE 2024</t>
        </is>
      </c>
      <c r="L2432" t="inlineStr">
        <is>
          <t>NOVIEMBRE 2025</t>
        </is>
      </c>
      <c r="M2432" t="inlineStr">
        <is>
          <t>P.Q.S. / ABC AL 90%</t>
        </is>
      </c>
      <c r="N2432" t="inlineStr">
        <is>
          <t>76/BR574133</t>
        </is>
      </c>
      <c r="O2432" t="inlineStr">
        <is>
          <t>R</t>
        </is>
      </c>
      <c r="P2432">
        <f>TRIM(N2432)</f>
        <v/>
      </c>
    </row>
    <row r="2433">
      <c r="A2433" t="inlineStr">
        <is>
          <t>CO-002149</t>
        </is>
      </c>
      <c r="B2433" t="inlineStr">
        <is>
          <t>SUNAT - AREQUIPA -  RIO SECO</t>
        </is>
      </c>
      <c r="C2433" t="inlineStr">
        <is>
          <t>20131312955</t>
        </is>
      </c>
      <c r="D2433" t="inlineStr">
        <is>
          <t xml:space="preserve">Altura del Km 8.5 de la Carretera Yaura - Arequipa </t>
        </is>
      </c>
      <c r="E2433" t="inlineStr">
        <is>
          <t>Lima, 11 de Diciembre de 2024</t>
        </is>
      </c>
      <c r="F2433" t="inlineStr">
        <is>
          <t>la Recarga y mantenimiento</t>
        </is>
      </c>
      <c r="G2433" t="inlineStr">
        <is>
          <t>06</t>
        </is>
      </c>
      <c r="H2433" t="inlineStr">
        <is>
          <t>125 LBS</t>
        </is>
      </c>
      <c r="I2433" t="n">
        <v>2026</v>
      </c>
      <c r="J2433" t="n">
        <v>2012</v>
      </c>
      <c r="K2433" t="inlineStr">
        <is>
          <t>NOVIEMBRE 2024</t>
        </is>
      </c>
      <c r="L2433" t="inlineStr">
        <is>
          <t>NOVIEMBRE 2025</t>
        </is>
      </c>
      <c r="M2433" t="inlineStr">
        <is>
          <t>P.Q.S. / ABC AL 90%</t>
        </is>
      </c>
      <c r="N2433" t="inlineStr">
        <is>
          <t>77/BH86057</t>
        </is>
      </c>
      <c r="O2433" t="inlineStr">
        <is>
          <t>R</t>
        </is>
      </c>
      <c r="P2433">
        <f>TRIM(N2433)</f>
        <v/>
      </c>
    </row>
    <row r="2434">
      <c r="A2434" t="inlineStr">
        <is>
          <t>CO-002149</t>
        </is>
      </c>
      <c r="B2434" t="inlineStr">
        <is>
          <t>SUNAT - AREQUIPA -  RIO SECO</t>
        </is>
      </c>
      <c r="C2434" t="inlineStr">
        <is>
          <t>20131312955</t>
        </is>
      </c>
      <c r="D2434" t="inlineStr">
        <is>
          <t xml:space="preserve">Altura del Km 8.5 de la Carretera Yaura - Arequipa </t>
        </is>
      </c>
      <c r="E2434" t="inlineStr">
        <is>
          <t>Lima, 11 de Diciembre de 2024</t>
        </is>
      </c>
      <c r="F2434" t="inlineStr">
        <is>
          <t>la Recarga y mantenimiento</t>
        </is>
      </c>
      <c r="G2434" t="inlineStr">
        <is>
          <t>07</t>
        </is>
      </c>
      <c r="H2434" t="inlineStr">
        <is>
          <t>30 LBS</t>
        </is>
      </c>
      <c r="I2434" t="inlineStr">
        <is>
          <t>2028</t>
        </is>
      </c>
      <c r="J2434" t="n">
        <v>2013</v>
      </c>
      <c r="K2434" t="inlineStr">
        <is>
          <t>NOVIEMBRE 2024</t>
        </is>
      </c>
      <c r="L2434" t="inlineStr">
        <is>
          <t>NOVIEMBRE 2025</t>
        </is>
      </c>
      <c r="M2434" t="inlineStr">
        <is>
          <t>P.Q.S. / ABC AL 90%</t>
        </is>
      </c>
      <c r="N2434" t="inlineStr">
        <is>
          <t>79/BR574177</t>
        </is>
      </c>
      <c r="O2434" t="inlineStr">
        <is>
          <t>R</t>
        </is>
      </c>
      <c r="P2434">
        <f>TRIM(N2434)</f>
        <v/>
      </c>
    </row>
    <row r="2435">
      <c r="A2435" t="inlineStr">
        <is>
          <t>CO-002149</t>
        </is>
      </c>
      <c r="B2435" t="inlineStr">
        <is>
          <t>SUNAT - AREQUIPA -  RIO SECO</t>
        </is>
      </c>
      <c r="C2435" t="inlineStr">
        <is>
          <t>20131312955</t>
        </is>
      </c>
      <c r="D2435" t="inlineStr">
        <is>
          <t xml:space="preserve">Altura del Km 8.5 de la Carretera Yaura - Arequipa </t>
        </is>
      </c>
      <c r="E2435" t="inlineStr">
        <is>
          <t>Lima, 11 de Diciembre de 2024</t>
        </is>
      </c>
      <c r="F2435" t="inlineStr">
        <is>
          <t>la Recarga y mantenimiento</t>
        </is>
      </c>
      <c r="G2435" t="inlineStr">
        <is>
          <t>08</t>
        </is>
      </c>
      <c r="H2435" t="inlineStr">
        <is>
          <t>30 LBS</t>
        </is>
      </c>
      <c r="I2435" t="inlineStr">
        <is>
          <t>2026</t>
        </is>
      </c>
      <c r="J2435" t="n">
        <v>2013</v>
      </c>
      <c r="K2435" t="inlineStr">
        <is>
          <t>NOVIEMBRE 2024</t>
        </is>
      </c>
      <c r="L2435" t="inlineStr">
        <is>
          <t>NOVIEMBRE 2025</t>
        </is>
      </c>
      <c r="M2435" t="inlineStr">
        <is>
          <t>P.Q.S. / ABC AL 90%</t>
        </is>
      </c>
      <c r="N2435" t="inlineStr">
        <is>
          <t>80/BK574451</t>
        </is>
      </c>
      <c r="O2435" t="inlineStr">
        <is>
          <t>R</t>
        </is>
      </c>
      <c r="P2435">
        <f>TRIM(N2435)</f>
        <v/>
      </c>
    </row>
    <row r="2436">
      <c r="A2436" t="inlineStr">
        <is>
          <t>CO-002149</t>
        </is>
      </c>
      <c r="B2436" t="inlineStr">
        <is>
          <t>SUNAT - AREQUIPA -  RIO SECO</t>
        </is>
      </c>
      <c r="C2436" t="inlineStr">
        <is>
          <t>20131312955</t>
        </is>
      </c>
      <c r="D2436" t="inlineStr">
        <is>
          <t xml:space="preserve">Altura del Km 8.5 de la Carretera Yaura - Arequipa </t>
        </is>
      </c>
      <c r="E2436" t="inlineStr">
        <is>
          <t>Lima, 11 de Diciembre de 2024</t>
        </is>
      </c>
      <c r="F2436" t="inlineStr">
        <is>
          <t>la Recarga y mantenimiento</t>
        </is>
      </c>
      <c r="G2436" t="inlineStr">
        <is>
          <t>09</t>
        </is>
      </c>
      <c r="H2436" t="inlineStr">
        <is>
          <t>15 LBS</t>
        </is>
      </c>
      <c r="I2436" t="n">
        <v>2026</v>
      </c>
      <c r="J2436" t="n">
        <v>2012</v>
      </c>
      <c r="K2436" t="inlineStr">
        <is>
          <t>NOVIEMBRE 2024</t>
        </is>
      </c>
      <c r="L2436" t="inlineStr">
        <is>
          <t>NOVIEMBRE 2025</t>
        </is>
      </c>
      <c r="M2436" t="inlineStr">
        <is>
          <t>CO2 TIPO BC</t>
        </is>
      </c>
      <c r="N2436" t="inlineStr">
        <is>
          <t>81/793661</t>
        </is>
      </c>
      <c r="O2436" t="inlineStr">
        <is>
          <t>R</t>
        </is>
      </c>
      <c r="P2436">
        <f>TRIM(N2436)</f>
        <v/>
      </c>
    </row>
    <row r="2437">
      <c r="A2437" t="inlineStr">
        <is>
          <t>CO-002149</t>
        </is>
      </c>
      <c r="B2437" t="inlineStr">
        <is>
          <t>SUNAT - AREQUIPA -  RIO SECO</t>
        </is>
      </c>
      <c r="C2437" t="inlineStr">
        <is>
          <t>20131312955</t>
        </is>
      </c>
      <c r="D2437" t="inlineStr">
        <is>
          <t xml:space="preserve">Altura del Km 8.5 de la Carretera Yaura - Arequipa </t>
        </is>
      </c>
      <c r="E2437" t="inlineStr">
        <is>
          <t>Lima, 11 de Diciembre de 2024</t>
        </is>
      </c>
      <c r="F2437" t="inlineStr">
        <is>
          <t>la Recarga y mantenimiento</t>
        </is>
      </c>
      <c r="G2437" t="n">
        <v>10</v>
      </c>
      <c r="H2437" t="inlineStr">
        <is>
          <t>15 LBS</t>
        </is>
      </c>
      <c r="I2437" t="n">
        <v>2026</v>
      </c>
      <c r="J2437" t="n">
        <v>2012</v>
      </c>
      <c r="K2437" t="inlineStr">
        <is>
          <t>NOVIEMBRE 2024</t>
        </is>
      </c>
      <c r="L2437" t="inlineStr">
        <is>
          <t>NOVIEMBRE 2025</t>
        </is>
      </c>
      <c r="M2437" t="inlineStr">
        <is>
          <t>CO2 TIPO BC</t>
        </is>
      </c>
      <c r="N2437" t="inlineStr">
        <is>
          <t>82/794350</t>
        </is>
      </c>
      <c r="O2437" t="inlineStr">
        <is>
          <t>R</t>
        </is>
      </c>
      <c r="P2437">
        <f>TRIM(N2437)</f>
        <v/>
      </c>
    </row>
    <row r="2438">
      <c r="A2438" t="inlineStr">
        <is>
          <t>CO-002149</t>
        </is>
      </c>
      <c r="B2438" t="inlineStr">
        <is>
          <t>SUNAT - AREQUIPA -  RIO SECO</t>
        </is>
      </c>
      <c r="C2438" t="inlineStr">
        <is>
          <t>20131312955</t>
        </is>
      </c>
      <c r="D2438" t="inlineStr">
        <is>
          <t xml:space="preserve">Altura del Km 8.5 de la Carretera Yaura - Arequipa </t>
        </is>
      </c>
      <c r="E2438" t="inlineStr">
        <is>
          <t>Lima, 11 de Diciembre de 2024</t>
        </is>
      </c>
      <c r="F2438" t="inlineStr">
        <is>
          <t>la Recarga y mantenimiento</t>
        </is>
      </c>
      <c r="G2438" t="n">
        <v>11</v>
      </c>
      <c r="H2438" t="inlineStr">
        <is>
          <t>10 LBS</t>
        </is>
      </c>
      <c r="I2438" t="n">
        <v>2026</v>
      </c>
      <c r="J2438" t="n">
        <v>2010</v>
      </c>
      <c r="K2438" t="inlineStr">
        <is>
          <t>NOVIEMBRE 2024</t>
        </is>
      </c>
      <c r="L2438" t="inlineStr">
        <is>
          <t>NOVIEMBRE 2025</t>
        </is>
      </c>
      <c r="M2438" t="inlineStr">
        <is>
          <t>CO2 TIPO BC</t>
        </is>
      </c>
      <c r="N2438" t="inlineStr">
        <is>
          <t>83/652023</t>
        </is>
      </c>
      <c r="O2438" t="inlineStr">
        <is>
          <t>R</t>
        </is>
      </c>
      <c r="P2438">
        <f>TRIM(N2438)</f>
        <v/>
      </c>
    </row>
    <row r="2439">
      <c r="A2439" t="inlineStr">
        <is>
          <t>CO-002149</t>
        </is>
      </c>
      <c r="B2439" t="inlineStr">
        <is>
          <t>SUNAT - AREQUIPA -  RIO SECO</t>
        </is>
      </c>
      <c r="C2439" t="inlineStr">
        <is>
          <t>20131312955</t>
        </is>
      </c>
      <c r="D2439" t="inlineStr">
        <is>
          <t xml:space="preserve">Altura del Km 8.5 de la Carretera Yaura - Arequipa </t>
        </is>
      </c>
      <c r="E2439" t="inlineStr">
        <is>
          <t>Lima, 11 de Diciembre de 2024</t>
        </is>
      </c>
      <c r="F2439" t="inlineStr">
        <is>
          <t>la Recarga y mantenimiento</t>
        </is>
      </c>
      <c r="G2439" t="n">
        <v>12</v>
      </c>
      <c r="H2439" t="inlineStr">
        <is>
          <t>30 LBS</t>
        </is>
      </c>
      <c r="I2439" t="n">
        <v>2026</v>
      </c>
      <c r="J2439" t="n">
        <v>2013</v>
      </c>
      <c r="K2439" t="inlineStr">
        <is>
          <t>NOVIEMBRE 2024</t>
        </is>
      </c>
      <c r="L2439" t="inlineStr">
        <is>
          <t>NOVIEMBRE 2025</t>
        </is>
      </c>
      <c r="M2439" t="inlineStr">
        <is>
          <t>P.Q.S. / ABC AL 90%</t>
        </is>
      </c>
      <c r="N2439" t="inlineStr">
        <is>
          <t>84/BR574142</t>
        </is>
      </c>
      <c r="O2439" t="inlineStr">
        <is>
          <t>R</t>
        </is>
      </c>
      <c r="P2439">
        <f>TRIM(N2439)</f>
        <v/>
      </c>
    </row>
    <row r="2440">
      <c r="A2440" t="inlineStr">
        <is>
          <t>CO-002149</t>
        </is>
      </c>
      <c r="B2440" t="inlineStr">
        <is>
          <t>SUNAT - AREQUIPA -  RIO SECO</t>
        </is>
      </c>
      <c r="C2440" t="inlineStr">
        <is>
          <t>20131312955</t>
        </is>
      </c>
      <c r="D2440" t="inlineStr">
        <is>
          <t xml:space="preserve">Altura del Km 8.5 de la Carretera Yaura - Arequipa </t>
        </is>
      </c>
      <c r="E2440" t="inlineStr">
        <is>
          <t>Lima, 11 de Diciembre de 2024</t>
        </is>
      </c>
      <c r="F2440" t="inlineStr">
        <is>
          <t>la Recarga y mantenimiento</t>
        </is>
      </c>
      <c r="G2440" t="n">
        <v>14</v>
      </c>
      <c r="H2440" t="inlineStr">
        <is>
          <t>30 LBS</t>
        </is>
      </c>
      <c r="I2440" t="n">
        <v>2026</v>
      </c>
      <c r="J2440" t="n">
        <v>2013</v>
      </c>
      <c r="K2440" t="inlineStr">
        <is>
          <t>NOVIEMBRE 2024</t>
        </is>
      </c>
      <c r="L2440" t="inlineStr">
        <is>
          <t>NOVIEMBRE 2025</t>
        </is>
      </c>
      <c r="M2440" t="inlineStr">
        <is>
          <t>P.Q.S. / ABC AL 90%</t>
        </is>
      </c>
      <c r="N2440" t="inlineStr">
        <is>
          <t>69/BR574152</t>
        </is>
      </c>
      <c r="O2440" t="inlineStr">
        <is>
          <t>R</t>
        </is>
      </c>
      <c r="P2440">
        <f>TRIM(N2440)</f>
        <v/>
      </c>
    </row>
    <row r="2441">
      <c r="A2441" t="inlineStr">
        <is>
          <t>CO-002149</t>
        </is>
      </c>
      <c r="B2441" t="inlineStr">
        <is>
          <t>SUNAT - AREQUIPA -  RIO SECO</t>
        </is>
      </c>
      <c r="C2441" t="inlineStr">
        <is>
          <t>20131312955</t>
        </is>
      </c>
      <c r="D2441" t="inlineStr">
        <is>
          <t xml:space="preserve">Altura del Km 8.5 de la Carretera Yaura - Arequipa </t>
        </is>
      </c>
      <c r="E2441" t="inlineStr">
        <is>
          <t>Lima, 11 de Diciembre de 2024</t>
        </is>
      </c>
      <c r="F2441" t="inlineStr">
        <is>
          <t>la Recarga y mantenimiento</t>
        </is>
      </c>
      <c r="G2441" t="n">
        <v>14</v>
      </c>
      <c r="H2441" t="inlineStr">
        <is>
          <t>30 LBS</t>
        </is>
      </c>
      <c r="I2441" t="n">
        <v>2026</v>
      </c>
      <c r="J2441" t="n">
        <v>2013</v>
      </c>
      <c r="K2441" t="inlineStr">
        <is>
          <t>NOVIEMBRE 2024</t>
        </is>
      </c>
      <c r="L2441" t="inlineStr">
        <is>
          <t>NOVIEMBRE 2025</t>
        </is>
      </c>
      <c r="M2441" t="inlineStr">
        <is>
          <t>P.Q.S. / ABC AL 90%</t>
        </is>
      </c>
      <c r="N2441" t="inlineStr">
        <is>
          <t>70/BR574447</t>
        </is>
      </c>
      <c r="O2441" t="inlineStr">
        <is>
          <t>R</t>
        </is>
      </c>
      <c r="P2441">
        <f>TRIM(N2441)</f>
        <v/>
      </c>
    </row>
    <row r="2442">
      <c r="A2442" t="inlineStr">
        <is>
          <t>CO-002149</t>
        </is>
      </c>
      <c r="B2442" t="inlineStr">
        <is>
          <t>SUNAT - AREQUIPA -  RIO SECO</t>
        </is>
      </c>
      <c r="C2442" t="inlineStr">
        <is>
          <t>20131312955</t>
        </is>
      </c>
      <c r="D2442" t="inlineStr">
        <is>
          <t xml:space="preserve">Altura del Km 8.5 de la Carretera Yaura - Arequipa </t>
        </is>
      </c>
      <c r="E2442" t="inlineStr">
        <is>
          <t>Lima, 11 de Diciembre de 2024</t>
        </is>
      </c>
      <c r="F2442" t="inlineStr">
        <is>
          <t>la Recarga y mantenimiento</t>
        </is>
      </c>
      <c r="G2442" t="n">
        <v>15</v>
      </c>
      <c r="H2442" t="inlineStr">
        <is>
          <t>30 LBS</t>
        </is>
      </c>
      <c r="I2442" t="n">
        <v>2026</v>
      </c>
      <c r="J2442" t="n">
        <v>2013</v>
      </c>
      <c r="K2442" t="inlineStr">
        <is>
          <t>NOVIEMBRE 2024</t>
        </is>
      </c>
      <c r="L2442" t="inlineStr">
        <is>
          <t>NOVIEMBRE 2025</t>
        </is>
      </c>
      <c r="M2442" t="inlineStr">
        <is>
          <t>P.Q.S. / ABC AL 90%</t>
        </is>
      </c>
      <c r="N2442" t="inlineStr">
        <is>
          <t>71/BR572139</t>
        </is>
      </c>
      <c r="O2442" t="inlineStr">
        <is>
          <t>R</t>
        </is>
      </c>
      <c r="P2442">
        <f>TRIM(N2442)</f>
        <v/>
      </c>
    </row>
    <row r="2443">
      <c r="A2443" t="inlineStr">
        <is>
          <t>CO-002150</t>
        </is>
      </c>
      <c r="B2443" t="inlineStr">
        <is>
          <t>SUNAT - AREQUIPA -  RIO SECO</t>
        </is>
      </c>
      <c r="C2443" t="inlineStr">
        <is>
          <t>20131312955</t>
        </is>
      </c>
      <c r="D2443" t="inlineStr">
        <is>
          <t xml:space="preserve">Altura del Km 8.5 de la Carretera Yaura - Arequipa </t>
        </is>
      </c>
      <c r="E2443" t="inlineStr">
        <is>
          <t>Lima, 11 de Diciembre de 2024</t>
        </is>
      </c>
      <c r="F2443" t="inlineStr">
        <is>
          <t>la Recarga y mantenimiento</t>
        </is>
      </c>
      <c r="G2443" t="inlineStr">
        <is>
          <t>01</t>
        </is>
      </c>
      <c r="H2443" t="inlineStr">
        <is>
          <t>20 LBS</t>
        </is>
      </c>
      <c r="I2443" t="inlineStr">
        <is>
          <t>2028</t>
        </is>
      </c>
      <c r="J2443" t="inlineStr">
        <is>
          <t>N/R</t>
        </is>
      </c>
      <c r="K2443" t="inlineStr">
        <is>
          <t>NOVIEMBRE 2024</t>
        </is>
      </c>
      <c r="L2443" t="inlineStr">
        <is>
          <t>NOVIEMBRE 2025</t>
        </is>
      </c>
      <c r="M2443" t="inlineStr">
        <is>
          <t>P.Q.S. / ABC AL 90%</t>
        </is>
      </c>
      <c r="N2443" t="inlineStr">
        <is>
          <t>91/M179776</t>
        </is>
      </c>
      <c r="O2443" t="inlineStr">
        <is>
          <t>R</t>
        </is>
      </c>
      <c r="P2443">
        <f>TRIM(N2443)</f>
        <v/>
      </c>
    </row>
    <row r="2444">
      <c r="A2444" t="inlineStr">
        <is>
          <t>CO-002150</t>
        </is>
      </c>
      <c r="B2444" t="inlineStr">
        <is>
          <t>SUNAT - AREQUIPA -  RIO SECO</t>
        </is>
      </c>
      <c r="C2444" t="inlineStr">
        <is>
          <t>20131312955</t>
        </is>
      </c>
      <c r="D2444" t="inlineStr">
        <is>
          <t xml:space="preserve">Altura del Km 8.5 de la Carretera Yaura - Arequipa </t>
        </is>
      </c>
      <c r="E2444" t="inlineStr">
        <is>
          <t>Lima, 11 de Diciembre de 2024</t>
        </is>
      </c>
      <c r="F2444" t="inlineStr">
        <is>
          <t>la Recarga y mantenimiento</t>
        </is>
      </c>
      <c r="G2444" t="inlineStr">
        <is>
          <t>02</t>
        </is>
      </c>
      <c r="H2444" t="inlineStr">
        <is>
          <t>30 LBS</t>
        </is>
      </c>
      <c r="I2444" t="inlineStr">
        <is>
          <t>2026</t>
        </is>
      </c>
      <c r="J2444" t="n">
        <v>2013</v>
      </c>
      <c r="K2444" t="inlineStr">
        <is>
          <t>NOVIEMBRE 2024</t>
        </is>
      </c>
      <c r="L2444" t="inlineStr">
        <is>
          <t>NOVIEMBRE 2025</t>
        </is>
      </c>
      <c r="M2444" t="inlineStr">
        <is>
          <t>P.Q.S. / ABC AL 90%</t>
        </is>
      </c>
      <c r="N2444" t="inlineStr">
        <is>
          <t>92/BR574149</t>
        </is>
      </c>
      <c r="O2444" t="inlineStr">
        <is>
          <t>R</t>
        </is>
      </c>
      <c r="P2444">
        <f>TRIM(N2444)</f>
        <v/>
      </c>
    </row>
    <row r="2445">
      <c r="A2445" t="inlineStr">
        <is>
          <t>CO-002150</t>
        </is>
      </c>
      <c r="B2445" t="inlineStr">
        <is>
          <t>SUNAT - AREQUIPA -  RIO SECO</t>
        </is>
      </c>
      <c r="C2445" t="inlineStr">
        <is>
          <t>20131312955</t>
        </is>
      </c>
      <c r="D2445" t="inlineStr">
        <is>
          <t xml:space="preserve">Altura del Km 8.5 de la Carretera Yaura - Arequipa </t>
        </is>
      </c>
      <c r="E2445" t="inlineStr">
        <is>
          <t>Lima, 11 de Diciembre de 2024</t>
        </is>
      </c>
      <c r="F2445" t="inlineStr">
        <is>
          <t>la Recarga y mantenimiento</t>
        </is>
      </c>
      <c r="G2445" t="inlineStr">
        <is>
          <t>03</t>
        </is>
      </c>
      <c r="H2445" t="inlineStr">
        <is>
          <t>10 LBS</t>
        </is>
      </c>
      <c r="I2445" t="n">
        <v>2026</v>
      </c>
      <c r="J2445" t="n">
        <v>2010</v>
      </c>
      <c r="K2445" t="inlineStr">
        <is>
          <t>NOVIEMBRE 2024</t>
        </is>
      </c>
      <c r="L2445" t="inlineStr">
        <is>
          <t>NOVIEMBRE 2025</t>
        </is>
      </c>
      <c r="M2445" t="inlineStr">
        <is>
          <t>CO2 / TIPO BC</t>
        </is>
      </c>
      <c r="N2445" t="inlineStr">
        <is>
          <t>93/652002</t>
        </is>
      </c>
      <c r="O2445" t="inlineStr">
        <is>
          <t>R</t>
        </is>
      </c>
      <c r="P2445">
        <f>TRIM(N2445)</f>
        <v/>
      </c>
    </row>
    <row r="2446">
      <c r="A2446" t="inlineStr">
        <is>
          <t>CO-002150</t>
        </is>
      </c>
      <c r="B2446" t="inlineStr">
        <is>
          <t>SUNAT - AREQUIPA -  RIO SECO</t>
        </is>
      </c>
      <c r="C2446" t="inlineStr">
        <is>
          <t>20131312955</t>
        </is>
      </c>
      <c r="D2446" t="inlineStr">
        <is>
          <t xml:space="preserve">Altura del Km 8.5 de la Carretera Yaura - Arequipa </t>
        </is>
      </c>
      <c r="E2446" t="inlineStr">
        <is>
          <t>Lima, 11 de Diciembre de 2024</t>
        </is>
      </c>
      <c r="F2446" t="inlineStr">
        <is>
          <t>la Recarga y mantenimiento</t>
        </is>
      </c>
      <c r="G2446" t="inlineStr">
        <is>
          <t>04</t>
        </is>
      </c>
      <c r="H2446" t="inlineStr">
        <is>
          <t>15 LBS</t>
        </is>
      </c>
      <c r="I2446" t="n">
        <v>2026</v>
      </c>
      <c r="J2446" t="n">
        <v>2012</v>
      </c>
      <c r="K2446" t="inlineStr">
        <is>
          <t>NOVIEMBRE 2024</t>
        </is>
      </c>
      <c r="L2446" t="inlineStr">
        <is>
          <t>NOVIEMBRE 2025</t>
        </is>
      </c>
      <c r="M2446" t="inlineStr">
        <is>
          <t>CO2 / TIPO BC</t>
        </is>
      </c>
      <c r="N2446" t="inlineStr">
        <is>
          <t>94/794327</t>
        </is>
      </c>
      <c r="O2446" t="inlineStr">
        <is>
          <t>R</t>
        </is>
      </c>
      <c r="P2446">
        <f>TRIM(N2446)</f>
        <v/>
      </c>
    </row>
    <row r="2447">
      <c r="A2447" t="inlineStr">
        <is>
          <t>CO-002150</t>
        </is>
      </c>
      <c r="B2447" t="inlineStr">
        <is>
          <t>SUNAT - AREQUIPA -  RIO SECO</t>
        </is>
      </c>
      <c r="C2447" t="inlineStr">
        <is>
          <t>20131312955</t>
        </is>
      </c>
      <c r="D2447" t="inlineStr">
        <is>
          <t xml:space="preserve">Altura del Km 8.5 de la Carretera Yaura - Arequipa </t>
        </is>
      </c>
      <c r="E2447" t="inlineStr">
        <is>
          <t>Lima, 11 de Diciembre de 2024</t>
        </is>
      </c>
      <c r="F2447" t="inlineStr">
        <is>
          <t>la Recarga y mantenimiento</t>
        </is>
      </c>
      <c r="G2447" t="inlineStr">
        <is>
          <t>05</t>
        </is>
      </c>
      <c r="H2447" t="inlineStr">
        <is>
          <t>30 LBS</t>
        </is>
      </c>
      <c r="I2447" t="n">
        <v>2026</v>
      </c>
      <c r="J2447" t="n">
        <v>2013</v>
      </c>
      <c r="K2447" t="inlineStr">
        <is>
          <t>NOVIEMBRE 2024</t>
        </is>
      </c>
      <c r="L2447" t="inlineStr">
        <is>
          <t>NOVIEMBRE 2025</t>
        </is>
      </c>
      <c r="M2447" t="inlineStr">
        <is>
          <t>P.Q.S. / ABC AL 90%</t>
        </is>
      </c>
      <c r="N2447" t="inlineStr">
        <is>
          <t>86/BR574151</t>
        </is>
      </c>
      <c r="O2447" t="inlineStr">
        <is>
          <t>R</t>
        </is>
      </c>
      <c r="P2447">
        <f>TRIM(N2447)</f>
        <v/>
      </c>
    </row>
    <row r="2448">
      <c r="A2448" t="inlineStr">
        <is>
          <t>CO-002150</t>
        </is>
      </c>
      <c r="B2448" t="inlineStr">
        <is>
          <t>SUNAT - AREQUIPA -  RIO SECO</t>
        </is>
      </c>
      <c r="C2448" t="inlineStr">
        <is>
          <t>20131312955</t>
        </is>
      </c>
      <c r="D2448" t="inlineStr">
        <is>
          <t xml:space="preserve">Altura del Km 8.5 de la Carretera Yaura - Arequipa </t>
        </is>
      </c>
      <c r="E2448" t="inlineStr">
        <is>
          <t>Lima, 11 de Diciembre de 2024</t>
        </is>
      </c>
      <c r="F2448" t="inlineStr">
        <is>
          <t>la Recarga y mantenimiento</t>
        </is>
      </c>
      <c r="G2448" t="inlineStr">
        <is>
          <t>06</t>
        </is>
      </c>
      <c r="H2448" t="inlineStr">
        <is>
          <t>10 LBS</t>
        </is>
      </c>
      <c r="I2448" t="n">
        <v>2026</v>
      </c>
      <c r="J2448" t="n">
        <v>2010</v>
      </c>
      <c r="K2448" t="inlineStr">
        <is>
          <t>NOVIEMBRE 2024</t>
        </is>
      </c>
      <c r="L2448" t="inlineStr">
        <is>
          <t>NOVIEMBRE 2025</t>
        </is>
      </c>
      <c r="M2448" t="inlineStr">
        <is>
          <t>CO2 TIPO BC</t>
        </is>
      </c>
      <c r="N2448" t="inlineStr">
        <is>
          <t>101/652254</t>
        </is>
      </c>
      <c r="O2448" t="inlineStr">
        <is>
          <t>R</t>
        </is>
      </c>
      <c r="P2448">
        <f>TRIM(N2448)</f>
        <v/>
      </c>
    </row>
    <row r="2449">
      <c r="A2449" t="inlineStr">
        <is>
          <t>CO-002150</t>
        </is>
      </c>
      <c r="B2449" t="inlineStr">
        <is>
          <t>SUNAT - AREQUIPA -  RIO SECO</t>
        </is>
      </c>
      <c r="C2449" t="inlineStr">
        <is>
          <t>20131312955</t>
        </is>
      </c>
      <c r="D2449" t="inlineStr">
        <is>
          <t xml:space="preserve">Altura del Km 8.5 de la Carretera Yaura - Arequipa </t>
        </is>
      </c>
      <c r="E2449" t="inlineStr">
        <is>
          <t>Lima, 11 de Diciembre de 2024</t>
        </is>
      </c>
      <c r="F2449" t="inlineStr">
        <is>
          <t>la Recarga y mantenimiento</t>
        </is>
      </c>
      <c r="G2449" t="inlineStr">
        <is>
          <t>07</t>
        </is>
      </c>
      <c r="H2449" t="inlineStr">
        <is>
          <t xml:space="preserve">30 LBS </t>
        </is>
      </c>
      <c r="I2449" t="n">
        <v>2026</v>
      </c>
      <c r="J2449" t="n">
        <v>2013</v>
      </c>
      <c r="K2449" t="inlineStr">
        <is>
          <t>NOVIEMBRE 2024</t>
        </is>
      </c>
      <c r="L2449" t="inlineStr">
        <is>
          <t>NOVIEMBRE 2025</t>
        </is>
      </c>
      <c r="M2449" t="inlineStr">
        <is>
          <t>P.Q.S. / ABC AL 90%</t>
        </is>
      </c>
      <c r="N2449" t="inlineStr">
        <is>
          <t>102/BR574160</t>
        </is>
      </c>
      <c r="O2449" t="inlineStr">
        <is>
          <t>R</t>
        </is>
      </c>
      <c r="P2449">
        <f>TRIM(N2449)</f>
        <v/>
      </c>
    </row>
    <row r="2450">
      <c r="A2450" t="inlineStr">
        <is>
          <t>CO-002150</t>
        </is>
      </c>
      <c r="B2450" t="inlineStr">
        <is>
          <t>SUNAT - AREQUIPA -  RIO SECO</t>
        </is>
      </c>
      <c r="C2450" t="inlineStr">
        <is>
          <t>20131312955</t>
        </is>
      </c>
      <c r="D2450" t="inlineStr">
        <is>
          <t xml:space="preserve">Altura del Km 8.5 de la Carretera Yaura - Arequipa </t>
        </is>
      </c>
      <c r="E2450" t="inlineStr">
        <is>
          <t>Lima, 11 de Diciembre de 2024</t>
        </is>
      </c>
      <c r="F2450" t="inlineStr">
        <is>
          <t>la Recarga y mantenimiento</t>
        </is>
      </c>
      <c r="G2450" t="inlineStr">
        <is>
          <t>08</t>
        </is>
      </c>
      <c r="H2450" t="inlineStr">
        <is>
          <t xml:space="preserve">30 LBS </t>
        </is>
      </c>
      <c r="I2450" t="n">
        <v>2026</v>
      </c>
      <c r="J2450" t="n">
        <v>2013</v>
      </c>
      <c r="K2450" t="inlineStr">
        <is>
          <t>NOVIEMBRE 2024</t>
        </is>
      </c>
      <c r="L2450" t="inlineStr">
        <is>
          <t>NOVIEMBRE 2025</t>
        </is>
      </c>
      <c r="M2450" t="inlineStr">
        <is>
          <t>P.Q.S. / ABC AL 90%</t>
        </is>
      </c>
      <c r="N2450" t="inlineStr">
        <is>
          <t>103/BR574419</t>
        </is>
      </c>
      <c r="O2450" t="inlineStr">
        <is>
          <t>R</t>
        </is>
      </c>
      <c r="P2450">
        <f>TRIM(N2450)</f>
        <v/>
      </c>
    </row>
    <row r="2451">
      <c r="A2451" t="inlineStr">
        <is>
          <t>CO-002150</t>
        </is>
      </c>
      <c r="B2451" t="inlineStr">
        <is>
          <t>SUNAT - AREQUIPA -  RIO SECO</t>
        </is>
      </c>
      <c r="C2451" t="inlineStr">
        <is>
          <t>20131312955</t>
        </is>
      </c>
      <c r="D2451" t="inlineStr">
        <is>
          <t xml:space="preserve">Altura del Km 8.5 de la Carretera Yaura - Arequipa </t>
        </is>
      </c>
      <c r="E2451" t="inlineStr">
        <is>
          <t>Lima, 11 de Diciembre de 2024</t>
        </is>
      </c>
      <c r="F2451" t="inlineStr">
        <is>
          <t>la Recarga y mantenimiento</t>
        </is>
      </c>
      <c r="G2451" t="inlineStr">
        <is>
          <t>09</t>
        </is>
      </c>
      <c r="H2451" t="inlineStr">
        <is>
          <t>10 LBS</t>
        </is>
      </c>
      <c r="I2451" t="n">
        <v>2027</v>
      </c>
      <c r="J2451" t="n">
        <v>2012</v>
      </c>
      <c r="K2451" t="inlineStr">
        <is>
          <t>NOVIEMBRE 2024</t>
        </is>
      </c>
      <c r="L2451" t="inlineStr">
        <is>
          <t>NOVIEMBRE 2025</t>
        </is>
      </c>
      <c r="M2451" t="inlineStr">
        <is>
          <t>CO2 TIPO BC</t>
        </is>
      </c>
      <c r="N2451" t="inlineStr">
        <is>
          <t>104/807074</t>
        </is>
      </c>
      <c r="O2451" t="inlineStr">
        <is>
          <t>R</t>
        </is>
      </c>
      <c r="P2451">
        <f>TRIM(N2451)</f>
        <v/>
      </c>
    </row>
    <row r="2452">
      <c r="A2452" t="inlineStr">
        <is>
          <t>CO-002150</t>
        </is>
      </c>
      <c r="B2452" t="inlineStr">
        <is>
          <t>SUNAT - AREQUIPA -  RIO SECO</t>
        </is>
      </c>
      <c r="C2452" t="inlineStr">
        <is>
          <t>20131312955</t>
        </is>
      </c>
      <c r="D2452" t="inlineStr">
        <is>
          <t xml:space="preserve">Altura del Km 8.5 de la Carretera Yaura - Arequipa </t>
        </is>
      </c>
      <c r="E2452" t="inlineStr">
        <is>
          <t>Lima, 11 de Diciembre de 2024</t>
        </is>
      </c>
      <c r="F2452" t="inlineStr">
        <is>
          <t>la Recarga y mantenimiento</t>
        </is>
      </c>
      <c r="G2452" t="n">
        <v>10</v>
      </c>
      <c r="H2452" t="inlineStr">
        <is>
          <t>20 LBS</t>
        </is>
      </c>
      <c r="I2452" t="n">
        <v>2027</v>
      </c>
      <c r="J2452" t="inlineStr">
        <is>
          <t>N/R</t>
        </is>
      </c>
      <c r="K2452" t="inlineStr">
        <is>
          <t>NOVIEMBRE 2024</t>
        </is>
      </c>
      <c r="L2452" t="inlineStr">
        <is>
          <t>NOVIEMBRE 2025</t>
        </is>
      </c>
      <c r="M2452" t="inlineStr">
        <is>
          <t>P.Q.S. / ABC AL 90%</t>
        </is>
      </c>
      <c r="N2452" t="inlineStr">
        <is>
          <t>105/BG318028</t>
        </is>
      </c>
      <c r="O2452" t="inlineStr">
        <is>
          <t>R</t>
        </is>
      </c>
      <c r="P2452">
        <f>TRIM(N2452)</f>
        <v/>
      </c>
    </row>
    <row r="2453">
      <c r="A2453" t="inlineStr">
        <is>
          <t>CO-002150</t>
        </is>
      </c>
      <c r="B2453" t="inlineStr">
        <is>
          <t>SUNAT - AREQUIPA -  RIO SECO</t>
        </is>
      </c>
      <c r="C2453" t="inlineStr">
        <is>
          <t>20131312955</t>
        </is>
      </c>
      <c r="D2453" t="inlineStr">
        <is>
          <t xml:space="preserve">Altura del Km 8.5 de la Carretera Yaura - Arequipa </t>
        </is>
      </c>
      <c r="E2453" t="inlineStr">
        <is>
          <t>Lima, 11 de Diciembre de 2024</t>
        </is>
      </c>
      <c r="F2453" t="inlineStr">
        <is>
          <t>la Recarga y mantenimiento</t>
        </is>
      </c>
      <c r="G2453" t="n">
        <v>11</v>
      </c>
      <c r="H2453" t="inlineStr">
        <is>
          <t>15 LBS</t>
        </is>
      </c>
      <c r="I2453" t="n">
        <v>2026</v>
      </c>
      <c r="J2453" t="n">
        <v>2012</v>
      </c>
      <c r="K2453" t="inlineStr">
        <is>
          <t>NOVIEMBRE 2024</t>
        </is>
      </c>
      <c r="L2453" t="inlineStr">
        <is>
          <t>NOVIEMBRE 2025</t>
        </is>
      </c>
      <c r="M2453" t="inlineStr">
        <is>
          <t>CO2 TIPO BC</t>
        </is>
      </c>
      <c r="N2453" t="inlineStr">
        <is>
          <t>106/794050</t>
        </is>
      </c>
      <c r="O2453" t="inlineStr">
        <is>
          <t>R</t>
        </is>
      </c>
      <c r="P2453">
        <f>TRIM(N2453)</f>
        <v/>
      </c>
    </row>
    <row r="2454">
      <c r="A2454" t="inlineStr">
        <is>
          <t>CO-002150</t>
        </is>
      </c>
      <c r="B2454" t="inlineStr">
        <is>
          <t>SUNAT - AREQUIPA -  RIO SECO</t>
        </is>
      </c>
      <c r="C2454" t="inlineStr">
        <is>
          <t>20131312955</t>
        </is>
      </c>
      <c r="D2454" t="inlineStr">
        <is>
          <t xml:space="preserve">Altura del Km 8.5 de la Carretera Yaura - Arequipa </t>
        </is>
      </c>
      <c r="E2454" t="inlineStr">
        <is>
          <t>Lima, 11 de Diciembre de 2024</t>
        </is>
      </c>
      <c r="F2454" t="inlineStr">
        <is>
          <t>la Recarga y mantenimiento</t>
        </is>
      </c>
      <c r="G2454" t="n">
        <v>12</v>
      </c>
      <c r="H2454" t="inlineStr">
        <is>
          <t>30 LBS</t>
        </is>
      </c>
      <c r="I2454" t="n">
        <v>2026</v>
      </c>
      <c r="J2454" t="n">
        <v>2013</v>
      </c>
      <c r="K2454" t="inlineStr">
        <is>
          <t>NOVIEMBRE 2024</t>
        </is>
      </c>
      <c r="L2454" t="inlineStr">
        <is>
          <t>NOVIEMBRE 2025</t>
        </is>
      </c>
      <c r="M2454" t="inlineStr">
        <is>
          <t>P.Q.S. / ABC AL 90%</t>
        </is>
      </c>
      <c r="N2454" t="inlineStr">
        <is>
          <t>107/BR574154</t>
        </is>
      </c>
      <c r="O2454" t="inlineStr">
        <is>
          <t>R</t>
        </is>
      </c>
      <c r="P2454">
        <f>TRIM(N2454)</f>
        <v/>
      </c>
    </row>
    <row r="2455">
      <c r="A2455" t="inlineStr">
        <is>
          <t>CO-002150</t>
        </is>
      </c>
      <c r="B2455" t="inlineStr">
        <is>
          <t>SUNAT - AREQUIPA -  RIO SECO</t>
        </is>
      </c>
      <c r="C2455" t="inlineStr">
        <is>
          <t>20131312955</t>
        </is>
      </c>
      <c r="D2455" t="inlineStr">
        <is>
          <t xml:space="preserve">Altura del Km 8.5 de la Carretera Yaura - Arequipa </t>
        </is>
      </c>
      <c r="E2455" t="inlineStr">
        <is>
          <t>Lima, 11 de Diciembre de 2024</t>
        </is>
      </c>
      <c r="F2455" t="inlineStr">
        <is>
          <t>la Recarga y mantenimiento</t>
        </is>
      </c>
      <c r="G2455" t="n">
        <v>14</v>
      </c>
      <c r="H2455" t="inlineStr">
        <is>
          <t>30 LBS</t>
        </is>
      </c>
      <c r="I2455" t="n">
        <v>2026</v>
      </c>
      <c r="J2455" t="n">
        <v>2013</v>
      </c>
      <c r="K2455" t="inlineStr">
        <is>
          <t>NOVIEMBRE 2024</t>
        </is>
      </c>
      <c r="L2455" t="inlineStr">
        <is>
          <t>NOVIEMBRE 2025</t>
        </is>
      </c>
      <c r="M2455" t="inlineStr">
        <is>
          <t>P.Q.S. / ABC AL 90%</t>
        </is>
      </c>
      <c r="N2455" t="inlineStr">
        <is>
          <t>85/BR574432</t>
        </is>
      </c>
      <c r="O2455" t="inlineStr">
        <is>
          <t>R</t>
        </is>
      </c>
      <c r="P2455">
        <f>TRIM(N2455)</f>
        <v/>
      </c>
    </row>
    <row r="2456">
      <c r="A2456" t="inlineStr">
        <is>
          <t>CO-002150</t>
        </is>
      </c>
      <c r="B2456" t="inlineStr">
        <is>
          <t>SUNAT - AREQUIPA -  RIO SECO</t>
        </is>
      </c>
      <c r="C2456" t="inlineStr">
        <is>
          <t>20131312955</t>
        </is>
      </c>
      <c r="D2456" t="inlineStr">
        <is>
          <t xml:space="preserve">Altura del Km 8.5 de la Carretera Yaura - Arequipa </t>
        </is>
      </c>
      <c r="E2456" t="inlineStr">
        <is>
          <t>Lima, 11 de Diciembre de 2024</t>
        </is>
      </c>
      <c r="F2456" t="inlineStr">
        <is>
          <t>la Recarga y mantenimiento</t>
        </is>
      </c>
      <c r="G2456" t="n">
        <v>14</v>
      </c>
      <c r="H2456" t="inlineStr">
        <is>
          <t>10 LBS</t>
        </is>
      </c>
      <c r="I2456" t="n">
        <v>2026</v>
      </c>
      <c r="J2456" t="n">
        <v>2010</v>
      </c>
      <c r="K2456" t="inlineStr">
        <is>
          <t>NOVIEMBRE 2024</t>
        </is>
      </c>
      <c r="L2456" t="inlineStr">
        <is>
          <t>NOVIEMBRE 2025</t>
        </is>
      </c>
      <c r="M2456" t="inlineStr">
        <is>
          <t>CO2 /TIPO BC</t>
        </is>
      </c>
      <c r="N2456" t="inlineStr">
        <is>
          <t>86/652158</t>
        </is>
      </c>
      <c r="O2456" t="inlineStr">
        <is>
          <t>R</t>
        </is>
      </c>
      <c r="P2456">
        <f>TRIM(N2456)</f>
        <v/>
      </c>
    </row>
    <row r="2457">
      <c r="A2457" t="inlineStr">
        <is>
          <t>CO-002150</t>
        </is>
      </c>
      <c r="B2457" t="inlineStr">
        <is>
          <t>SUNAT - AREQUIPA -  RIO SECO</t>
        </is>
      </c>
      <c r="C2457" t="inlineStr">
        <is>
          <t>20131312955</t>
        </is>
      </c>
      <c r="D2457" t="inlineStr">
        <is>
          <t xml:space="preserve">Altura del Km 8.5 de la Carretera Yaura - Arequipa </t>
        </is>
      </c>
      <c r="E2457" t="inlineStr">
        <is>
          <t>Lima, 11 de Diciembre de 2024</t>
        </is>
      </c>
      <c r="F2457" t="inlineStr">
        <is>
          <t>la Recarga y mantenimiento</t>
        </is>
      </c>
      <c r="G2457" t="n">
        <v>15</v>
      </c>
      <c r="H2457" t="inlineStr">
        <is>
          <t>15 LBS</t>
        </is>
      </c>
      <c r="I2457" t="n">
        <v>2026</v>
      </c>
      <c r="J2457" t="n">
        <v>2012</v>
      </c>
      <c r="K2457" t="inlineStr">
        <is>
          <t>NOVIEMBRE 2024</t>
        </is>
      </c>
      <c r="L2457" t="inlineStr">
        <is>
          <t>NOVIEMBRE 2025</t>
        </is>
      </c>
      <c r="M2457" t="inlineStr">
        <is>
          <t>CO2 /TIPO BC</t>
        </is>
      </c>
      <c r="N2457" t="inlineStr">
        <is>
          <t>87/794312</t>
        </is>
      </c>
      <c r="O2457" t="inlineStr">
        <is>
          <t>R</t>
        </is>
      </c>
      <c r="P2457">
        <f>TRIM(N2457)</f>
        <v/>
      </c>
    </row>
    <row r="2458">
      <c r="A2458" t="inlineStr">
        <is>
          <t>CO-002151</t>
        </is>
      </c>
      <c r="B2458" t="inlineStr">
        <is>
          <t>SUNAT - AREQUIPA -  RIO SECO</t>
        </is>
      </c>
      <c r="C2458" t="inlineStr">
        <is>
          <t>20131312955</t>
        </is>
      </c>
      <c r="D2458" t="inlineStr">
        <is>
          <t xml:space="preserve">Altura del Km 8.5 de la Carretera Yaura - Arequipa </t>
        </is>
      </c>
      <c r="E2458" t="inlineStr">
        <is>
          <t>Lima, 11 de Diciembre de 2024</t>
        </is>
      </c>
      <c r="F2458" t="inlineStr">
        <is>
          <t>la Recarga y mantenimiento</t>
        </is>
      </c>
      <c r="G2458" t="inlineStr">
        <is>
          <t>01</t>
        </is>
      </c>
      <c r="H2458" t="inlineStr">
        <is>
          <t>10 LBS</t>
        </is>
      </c>
      <c r="I2458" t="inlineStr">
        <is>
          <t>2028</t>
        </is>
      </c>
      <c r="J2458" t="n">
        <v>2002</v>
      </c>
      <c r="K2458" t="inlineStr">
        <is>
          <t>NOVIEMBRE 2024</t>
        </is>
      </c>
      <c r="L2458" t="inlineStr">
        <is>
          <t>NOVIEMBRE 2025</t>
        </is>
      </c>
      <c r="M2458" t="inlineStr">
        <is>
          <t>CO2 /TIPO BC</t>
        </is>
      </c>
      <c r="N2458" t="inlineStr">
        <is>
          <t>S/N/ Y-377922</t>
        </is>
      </c>
      <c r="O2458" t="inlineStr">
        <is>
          <t>R</t>
        </is>
      </c>
      <c r="P2458">
        <f>TRIM(N2458)</f>
        <v/>
      </c>
    </row>
    <row r="2459">
      <c r="A2459" t="inlineStr">
        <is>
          <t>CO-002151</t>
        </is>
      </c>
      <c r="B2459" t="inlineStr">
        <is>
          <t>SUNAT - AREQUIPA -  RIO SECO</t>
        </is>
      </c>
      <c r="C2459" t="inlineStr">
        <is>
          <t>20131312955</t>
        </is>
      </c>
      <c r="D2459" t="inlineStr">
        <is>
          <t xml:space="preserve">Altura del Km 8.5 de la Carretera Yaura - Arequipa </t>
        </is>
      </c>
      <c r="E2459" t="inlineStr">
        <is>
          <t>Lima, 11 de Diciembre de 2024</t>
        </is>
      </c>
      <c r="F2459" t="inlineStr">
        <is>
          <t>la Recarga y mantenimiento</t>
        </is>
      </c>
      <c r="G2459" t="inlineStr">
        <is>
          <t>02</t>
        </is>
      </c>
      <c r="H2459" t="inlineStr">
        <is>
          <t>05 KG</t>
        </is>
      </c>
      <c r="I2459" t="inlineStr">
        <is>
          <t>2028</t>
        </is>
      </c>
      <c r="J2459" t="n">
        <v>2008</v>
      </c>
      <c r="K2459" t="inlineStr">
        <is>
          <t>NOVIEMBRE 2024</t>
        </is>
      </c>
      <c r="L2459" t="inlineStr">
        <is>
          <t>NOVIEMBRE 2025</t>
        </is>
      </c>
      <c r="M2459" t="inlineStr">
        <is>
          <t>CO2 /TIPO BC</t>
        </is>
      </c>
      <c r="N2459" t="inlineStr">
        <is>
          <t>59/102052</t>
        </is>
      </c>
      <c r="O2459" t="inlineStr">
        <is>
          <t>R</t>
        </is>
      </c>
      <c r="P2459">
        <f>TRIM(N2459)</f>
        <v/>
      </c>
    </row>
    <row r="2460">
      <c r="A2460" t="inlineStr">
        <is>
          <t>CO-002151</t>
        </is>
      </c>
      <c r="B2460" t="inlineStr">
        <is>
          <t>SUNAT - AREQUIPA -  RIO SECO</t>
        </is>
      </c>
      <c r="C2460" t="inlineStr">
        <is>
          <t>20131312955</t>
        </is>
      </c>
      <c r="D2460" t="inlineStr">
        <is>
          <t xml:space="preserve">Altura del Km 8.5 de la Carretera Yaura - Arequipa </t>
        </is>
      </c>
      <c r="E2460" t="inlineStr">
        <is>
          <t>Lima, 11 de Diciembre de 2024</t>
        </is>
      </c>
      <c r="F2460" t="inlineStr">
        <is>
          <t>la Recarga y mantenimiento</t>
        </is>
      </c>
      <c r="G2460" t="n">
        <v>14</v>
      </c>
      <c r="H2460" t="inlineStr">
        <is>
          <t>30 LBS</t>
        </is>
      </c>
      <c r="I2460" t="n">
        <v>2026</v>
      </c>
      <c r="J2460" t="n">
        <v>2013</v>
      </c>
      <c r="K2460" t="inlineStr">
        <is>
          <t>NOVIEMBRE 2024</t>
        </is>
      </c>
      <c r="L2460" t="inlineStr">
        <is>
          <t>NOVIEMBRE 2025</t>
        </is>
      </c>
      <c r="M2460" t="inlineStr">
        <is>
          <t>P.Q.S. / ABC AL 90%</t>
        </is>
      </c>
      <c r="N2460" t="inlineStr">
        <is>
          <t>108/BR574146</t>
        </is>
      </c>
      <c r="O2460" t="inlineStr">
        <is>
          <t>R</t>
        </is>
      </c>
      <c r="P2460">
        <f>TRIM(N2460)</f>
        <v/>
      </c>
    </row>
    <row r="2461">
      <c r="A2461" t="inlineStr">
        <is>
          <t>CO-002151</t>
        </is>
      </c>
      <c r="B2461" t="inlineStr">
        <is>
          <t>SUNAT - AREQUIPA -  RIO SECO</t>
        </is>
      </c>
      <c r="C2461" t="inlineStr">
        <is>
          <t>20131312955</t>
        </is>
      </c>
      <c r="D2461" t="inlineStr">
        <is>
          <t xml:space="preserve">Altura del Km 8.5 de la Carretera Yaura - Arequipa </t>
        </is>
      </c>
      <c r="E2461" t="inlineStr">
        <is>
          <t>Lima, 11 de Diciembre de 2024</t>
        </is>
      </c>
      <c r="F2461" t="inlineStr">
        <is>
          <t>la Recarga y mantenimiento</t>
        </is>
      </c>
      <c r="G2461" t="n">
        <v>14</v>
      </c>
      <c r="H2461" t="inlineStr">
        <is>
          <t xml:space="preserve">4 KG </t>
        </is>
      </c>
      <c r="I2461" t="n">
        <v>2026</v>
      </c>
      <c r="J2461" t="n">
        <v>2010</v>
      </c>
      <c r="K2461" t="inlineStr">
        <is>
          <t>NOVIEMBRE 2024</t>
        </is>
      </c>
      <c r="L2461" t="inlineStr">
        <is>
          <t>NOVIEMBRE 2025</t>
        </is>
      </c>
      <c r="M2461" t="inlineStr">
        <is>
          <t>P.Q.S. / ABC AL 90%</t>
        </is>
      </c>
      <c r="N2461" t="inlineStr">
        <is>
          <t>S/N/01827</t>
        </is>
      </c>
      <c r="O2461" t="inlineStr">
        <is>
          <t>R</t>
        </is>
      </c>
      <c r="P2461">
        <f>TRIM(N2461)</f>
        <v/>
      </c>
    </row>
    <row r="2462">
      <c r="A2462" t="inlineStr">
        <is>
          <t>CO-002151</t>
        </is>
      </c>
      <c r="B2462" t="inlineStr">
        <is>
          <t>SUNAT - AREQUIPA -  RIO SECO</t>
        </is>
      </c>
      <c r="C2462" t="inlineStr">
        <is>
          <t>20131312955</t>
        </is>
      </c>
      <c r="D2462" t="inlineStr">
        <is>
          <t xml:space="preserve">Altura del Km 8.5 de la Carretera Yaura - Arequipa </t>
        </is>
      </c>
      <c r="E2462" t="inlineStr">
        <is>
          <t>Lima, 11 de Diciembre de 2024</t>
        </is>
      </c>
      <c r="F2462" t="inlineStr">
        <is>
          <t>la Recarga y mantenimiento</t>
        </is>
      </c>
      <c r="G2462" t="n">
        <v>15</v>
      </c>
      <c r="H2462" t="inlineStr">
        <is>
          <t>12 KG</t>
        </is>
      </c>
      <c r="I2462" t="n">
        <v>2028</v>
      </c>
      <c r="J2462" t="n">
        <v>2008</v>
      </c>
      <c r="K2462" t="inlineStr">
        <is>
          <t>NOVIEMBRE 2024</t>
        </is>
      </c>
      <c r="L2462" t="inlineStr">
        <is>
          <t>NOVIEMBRE 2025</t>
        </is>
      </c>
      <c r="M2462" t="inlineStr">
        <is>
          <t>P.Q.S. / ABC AL 90%</t>
        </is>
      </c>
      <c r="N2462" t="inlineStr">
        <is>
          <t>S/N/S/R</t>
        </is>
      </c>
      <c r="O2462" t="inlineStr">
        <is>
          <t>R</t>
        </is>
      </c>
      <c r="P2462">
        <f>TRIM(N2462)</f>
        <v/>
      </c>
    </row>
    <row r="2463">
      <c r="A2463" t="inlineStr">
        <is>
          <t>CO-002152</t>
        </is>
      </c>
      <c r="B2463" t="inlineStr">
        <is>
          <t>SUNAT - AREQUIPA -  RIO SECO</t>
        </is>
      </c>
      <c r="C2463" t="inlineStr">
        <is>
          <t>20131312955</t>
        </is>
      </c>
      <c r="D2463" t="inlineStr">
        <is>
          <t xml:space="preserve">Altura del Km 8.5 de la Carretera Yaura - Arequipa </t>
        </is>
      </c>
      <c r="E2463" t="inlineStr">
        <is>
          <t>Lima, 11 de Diciembre de 2024</t>
        </is>
      </c>
      <c r="F2463" t="inlineStr">
        <is>
          <t>la Recarga y mantenimiento</t>
        </is>
      </c>
      <c r="G2463" t="inlineStr">
        <is>
          <t>01</t>
        </is>
      </c>
      <c r="H2463" t="inlineStr">
        <is>
          <t>15 LBS</t>
        </is>
      </c>
      <c r="I2463" t="inlineStr">
        <is>
          <t>2029</t>
        </is>
      </c>
      <c r="J2463" t="n">
        <v>2012</v>
      </c>
      <c r="K2463" t="inlineStr">
        <is>
          <t>NOVIEMBRE 2024</t>
        </is>
      </c>
      <c r="L2463" t="inlineStr">
        <is>
          <t>NOVIEMBRE 2025</t>
        </is>
      </c>
      <c r="M2463" t="inlineStr">
        <is>
          <t>CO2 /TIPO BC</t>
        </is>
      </c>
      <c r="N2463" t="inlineStr">
        <is>
          <t>S/N/AC 422840</t>
        </is>
      </c>
      <c r="O2463" t="inlineStr">
        <is>
          <t>R</t>
        </is>
      </c>
      <c r="P2463">
        <f>TRIM(N2463)</f>
        <v/>
      </c>
    </row>
    <row r="2464">
      <c r="A2464" t="inlineStr">
        <is>
          <t>CO-002152</t>
        </is>
      </c>
      <c r="B2464" t="inlineStr">
        <is>
          <t>SUNAT - AREQUIPA -  RIO SECO</t>
        </is>
      </c>
      <c r="C2464" t="inlineStr">
        <is>
          <t>20131312955</t>
        </is>
      </c>
      <c r="D2464" t="inlineStr">
        <is>
          <t xml:space="preserve">Altura del Km 8.5 de la Carretera Yaura - Arequipa </t>
        </is>
      </c>
      <c r="E2464" t="inlineStr">
        <is>
          <t>Lima, 11 de Diciembre de 2024</t>
        </is>
      </c>
      <c r="F2464" t="inlineStr">
        <is>
          <t>la Recarga y mantenimiento</t>
        </is>
      </c>
      <c r="G2464" t="inlineStr">
        <is>
          <t>02</t>
        </is>
      </c>
      <c r="H2464" t="inlineStr">
        <is>
          <t>15 LBS</t>
        </is>
      </c>
      <c r="I2464" t="inlineStr">
        <is>
          <t>2029</t>
        </is>
      </c>
      <c r="J2464" t="n">
        <v>2012</v>
      </c>
      <c r="K2464" t="inlineStr">
        <is>
          <t>NOVIEMBRE 2024</t>
        </is>
      </c>
      <c r="L2464" t="inlineStr">
        <is>
          <t>NOVIEMBRE 2025</t>
        </is>
      </c>
      <c r="M2464" t="inlineStr">
        <is>
          <t>CO2 /TIPO BC</t>
        </is>
      </c>
      <c r="N2464" t="inlineStr">
        <is>
          <t>S/N/AC 422924</t>
        </is>
      </c>
      <c r="O2464" t="inlineStr">
        <is>
          <t>R</t>
        </is>
      </c>
      <c r="P2464">
        <f>TRIM(N2464)</f>
        <v/>
      </c>
    </row>
    <row r="2465">
      <c r="A2465" t="inlineStr">
        <is>
          <t>CO-002152</t>
        </is>
      </c>
      <c r="B2465" t="inlineStr">
        <is>
          <t>SUNAT - AREQUIPA -  RIO SECO</t>
        </is>
      </c>
      <c r="C2465" t="inlineStr">
        <is>
          <t>20131312955</t>
        </is>
      </c>
      <c r="D2465" t="inlineStr">
        <is>
          <t xml:space="preserve">Altura del Km 8.5 de la Carretera Yaura - Arequipa </t>
        </is>
      </c>
      <c r="E2465" t="inlineStr">
        <is>
          <t>Lima, 11 de Diciembre de 2024</t>
        </is>
      </c>
      <c r="F2465" t="inlineStr">
        <is>
          <t>la Recarga y mantenimiento</t>
        </is>
      </c>
      <c r="G2465" t="inlineStr">
        <is>
          <t>03</t>
        </is>
      </c>
      <c r="H2465" t="inlineStr">
        <is>
          <t>15 LBS</t>
        </is>
      </c>
      <c r="I2465" t="inlineStr">
        <is>
          <t>2029</t>
        </is>
      </c>
      <c r="J2465" t="n">
        <v>2012</v>
      </c>
      <c r="K2465" t="inlineStr">
        <is>
          <t>NOVIEMBRE 2024</t>
        </is>
      </c>
      <c r="L2465" t="inlineStr">
        <is>
          <t>NOVIEMBRE 2025</t>
        </is>
      </c>
      <c r="M2465" t="inlineStr">
        <is>
          <t>CO2 /TIPO BC</t>
        </is>
      </c>
      <c r="N2465" t="inlineStr">
        <is>
          <t>S/N/AC 422652</t>
        </is>
      </c>
      <c r="O2465" t="inlineStr">
        <is>
          <t>R</t>
        </is>
      </c>
      <c r="P2465">
        <f>TRIM(N2465)</f>
        <v/>
      </c>
    </row>
    <row r="2466">
      <c r="A2466" t="inlineStr">
        <is>
          <t>CO-002152</t>
        </is>
      </c>
      <c r="B2466" t="inlineStr">
        <is>
          <t>SUNAT - AREQUIPA -  RIO SECO</t>
        </is>
      </c>
      <c r="C2466" t="inlineStr">
        <is>
          <t>20131312955</t>
        </is>
      </c>
      <c r="D2466" t="inlineStr">
        <is>
          <t xml:space="preserve">Altura del Km 8.5 de la Carretera Yaura - Arequipa </t>
        </is>
      </c>
      <c r="E2466" t="inlineStr">
        <is>
          <t>Lima, 11 de Diciembre de 2024</t>
        </is>
      </c>
      <c r="F2466" t="inlineStr">
        <is>
          <t>la Recarga y mantenimiento</t>
        </is>
      </c>
      <c r="G2466" t="inlineStr">
        <is>
          <t>04</t>
        </is>
      </c>
      <c r="H2466" t="inlineStr">
        <is>
          <t>15 LBS</t>
        </is>
      </c>
      <c r="I2466" t="inlineStr">
        <is>
          <t>2029</t>
        </is>
      </c>
      <c r="J2466" t="n">
        <v>2012</v>
      </c>
      <c r="K2466" t="inlineStr">
        <is>
          <t>NOVIEMBRE 2024</t>
        </is>
      </c>
      <c r="L2466" t="inlineStr">
        <is>
          <t>NOVIEMBRE 2025</t>
        </is>
      </c>
      <c r="M2466" t="inlineStr">
        <is>
          <t>CO2 /TIPO BC</t>
        </is>
      </c>
      <c r="N2466" t="inlineStr">
        <is>
          <t>S/N/AC 422650</t>
        </is>
      </c>
      <c r="O2466" t="inlineStr">
        <is>
          <t>R</t>
        </is>
      </c>
      <c r="P2466">
        <f>TRIM(N2466)</f>
        <v/>
      </c>
    </row>
    <row r="2467">
      <c r="A2467" t="inlineStr">
        <is>
          <t>CO-002152</t>
        </is>
      </c>
      <c r="B2467" t="inlineStr">
        <is>
          <t>SUNAT - AREQUIPA -  RIO SECO</t>
        </is>
      </c>
      <c r="C2467" t="inlineStr">
        <is>
          <t>20131312955</t>
        </is>
      </c>
      <c r="D2467" t="inlineStr">
        <is>
          <t xml:space="preserve">Altura del Km 8.5 de la Carretera Yaura - Arequipa </t>
        </is>
      </c>
      <c r="E2467" t="inlineStr">
        <is>
          <t>Lima, 11 de Diciembre de 2024</t>
        </is>
      </c>
      <c r="F2467" t="inlineStr">
        <is>
          <t>la Recarga y mantenimiento</t>
        </is>
      </c>
      <c r="G2467" t="inlineStr">
        <is>
          <t>05</t>
        </is>
      </c>
      <c r="H2467" t="inlineStr">
        <is>
          <t>15 LBS</t>
        </is>
      </c>
      <c r="I2467" t="inlineStr">
        <is>
          <t>2029</t>
        </is>
      </c>
      <c r="J2467" t="n">
        <v>2012</v>
      </c>
      <c r="K2467" t="inlineStr">
        <is>
          <t>NOVIEMBRE 2024</t>
        </is>
      </c>
      <c r="L2467" t="inlineStr">
        <is>
          <t>NOVIEMBRE 2025</t>
        </is>
      </c>
      <c r="M2467" t="inlineStr">
        <is>
          <t>CO2 /TIPO BC</t>
        </is>
      </c>
      <c r="N2467" t="inlineStr">
        <is>
          <t>S/N/AC 422733</t>
        </is>
      </c>
      <c r="O2467" t="inlineStr">
        <is>
          <t>R</t>
        </is>
      </c>
      <c r="P2467">
        <f>TRIM(N2467)</f>
        <v/>
      </c>
    </row>
    <row r="2468">
      <c r="A2468" t="inlineStr">
        <is>
          <t>CO-002152</t>
        </is>
      </c>
      <c r="B2468" t="inlineStr">
        <is>
          <t>SUNAT - AREQUIPA -  RIO SECO</t>
        </is>
      </c>
      <c r="C2468" t="inlineStr">
        <is>
          <t>20131312955</t>
        </is>
      </c>
      <c r="D2468" t="inlineStr">
        <is>
          <t xml:space="preserve">Altura del Km 8.5 de la Carretera Yaura - Arequipa </t>
        </is>
      </c>
      <c r="E2468" t="inlineStr">
        <is>
          <t>Lima, 11 de Diciembre de 2024</t>
        </is>
      </c>
      <c r="F2468" t="inlineStr">
        <is>
          <t>la Recarga y mantenimiento</t>
        </is>
      </c>
      <c r="G2468" t="inlineStr">
        <is>
          <t>06</t>
        </is>
      </c>
      <c r="H2468" t="inlineStr">
        <is>
          <t>15 LBS</t>
        </is>
      </c>
      <c r="I2468" t="inlineStr">
        <is>
          <t>2029</t>
        </is>
      </c>
      <c r="J2468" t="n">
        <v>2012</v>
      </c>
      <c r="K2468" t="inlineStr">
        <is>
          <t>NOVIEMBRE 2024</t>
        </is>
      </c>
      <c r="L2468" t="inlineStr">
        <is>
          <t>NOVIEMBRE 2025</t>
        </is>
      </c>
      <c r="M2468" t="inlineStr">
        <is>
          <t>CO2 /TIPO BC</t>
        </is>
      </c>
      <c r="N2468" t="inlineStr">
        <is>
          <t>S/N/AC 422929</t>
        </is>
      </c>
      <c r="O2468" t="inlineStr">
        <is>
          <t>R</t>
        </is>
      </c>
      <c r="P2468">
        <f>TRIM(N2468)</f>
        <v/>
      </c>
    </row>
    <row r="2469">
      <c r="A2469" t="inlineStr">
        <is>
          <t>CO-002152</t>
        </is>
      </c>
      <c r="B2469" t="inlineStr">
        <is>
          <t>SUNAT - AREQUIPA -  RIO SECO</t>
        </is>
      </c>
      <c r="C2469" t="inlineStr">
        <is>
          <t>20131312955</t>
        </is>
      </c>
      <c r="D2469" t="inlineStr">
        <is>
          <t xml:space="preserve">Altura del Km 8.5 de la Carretera Yaura - Arequipa </t>
        </is>
      </c>
      <c r="E2469" t="inlineStr">
        <is>
          <t>Lima, 11 de Diciembre de 2024</t>
        </is>
      </c>
      <c r="F2469" t="inlineStr">
        <is>
          <t>la Recarga y mantenimiento</t>
        </is>
      </c>
      <c r="G2469" t="inlineStr">
        <is>
          <t>07</t>
        </is>
      </c>
      <c r="H2469" t="inlineStr">
        <is>
          <t>15 LBS</t>
        </is>
      </c>
      <c r="I2469" t="inlineStr">
        <is>
          <t>2029</t>
        </is>
      </c>
      <c r="J2469" t="n">
        <v>2012</v>
      </c>
      <c r="K2469" t="inlineStr">
        <is>
          <t>NOVIEMBRE 2024</t>
        </is>
      </c>
      <c r="L2469" t="inlineStr">
        <is>
          <t>NOVIEMBRE 2025</t>
        </is>
      </c>
      <c r="M2469" t="inlineStr">
        <is>
          <t>CO2 /TIPO BC</t>
        </is>
      </c>
      <c r="N2469" t="inlineStr">
        <is>
          <t>S/N/AC 422890</t>
        </is>
      </c>
      <c r="O2469" t="inlineStr">
        <is>
          <t>R</t>
        </is>
      </c>
      <c r="P2469">
        <f>TRIM(N2469)</f>
        <v/>
      </c>
    </row>
    <row r="2470">
      <c r="A2470" t="inlineStr">
        <is>
          <t>CO-002152</t>
        </is>
      </c>
      <c r="B2470" t="inlineStr">
        <is>
          <t>SUNAT - AREQUIPA -  RIO SECO</t>
        </is>
      </c>
      <c r="C2470" t="inlineStr">
        <is>
          <t>20131312955</t>
        </is>
      </c>
      <c r="D2470" t="inlineStr">
        <is>
          <t xml:space="preserve">Altura del Km 8.5 de la Carretera Yaura - Arequipa </t>
        </is>
      </c>
      <c r="E2470" t="inlineStr">
        <is>
          <t>Lima, 11 de Diciembre de 2024</t>
        </is>
      </c>
      <c r="F2470" t="inlineStr">
        <is>
          <t>la Recarga y mantenimiento</t>
        </is>
      </c>
      <c r="G2470" t="inlineStr">
        <is>
          <t>08</t>
        </is>
      </c>
      <c r="H2470" t="inlineStr">
        <is>
          <t>2.5 GLS</t>
        </is>
      </c>
      <c r="I2470" t="n">
        <v>2029</v>
      </c>
      <c r="J2470" t="n">
        <v>2014</v>
      </c>
      <c r="K2470" t="inlineStr">
        <is>
          <t>NOVIEMBRE 2024</t>
        </is>
      </c>
      <c r="L2470" t="inlineStr">
        <is>
          <t>NOVIEMBRE 2025</t>
        </is>
      </c>
      <c r="M2470" t="inlineStr">
        <is>
          <t>ACETATO</t>
        </is>
      </c>
      <c r="N2470" t="inlineStr">
        <is>
          <t>S/N/A010228327</t>
        </is>
      </c>
      <c r="O2470" t="inlineStr">
        <is>
          <t>R</t>
        </is>
      </c>
      <c r="P2470">
        <f>TRIM(N2470)</f>
        <v/>
      </c>
    </row>
    <row r="2471">
      <c r="A2471" t="inlineStr">
        <is>
          <t>CO-002152</t>
        </is>
      </c>
      <c r="B2471" t="inlineStr">
        <is>
          <t>SUNAT - AREQUIPA -  RIO SECO</t>
        </is>
      </c>
      <c r="C2471" t="inlineStr">
        <is>
          <t>20131312955</t>
        </is>
      </c>
      <c r="D2471" t="inlineStr">
        <is>
          <t xml:space="preserve">Altura del Km 8.5 de la Carretera Yaura - Arequipa </t>
        </is>
      </c>
      <c r="E2471" t="inlineStr">
        <is>
          <t>Lima, 11 de Diciembre de 2024</t>
        </is>
      </c>
      <c r="F2471" t="inlineStr">
        <is>
          <t>la Recarga y mantenimiento</t>
        </is>
      </c>
      <c r="G2471" t="inlineStr">
        <is>
          <t>09</t>
        </is>
      </c>
      <c r="H2471" t="inlineStr">
        <is>
          <t>10 LBS</t>
        </is>
      </c>
      <c r="I2471" t="n">
        <v>2028</v>
      </c>
      <c r="J2471" t="n">
        <v>2007</v>
      </c>
      <c r="K2471" t="inlineStr">
        <is>
          <t>NOVIEMBRE 2024</t>
        </is>
      </c>
      <c r="L2471" t="inlineStr">
        <is>
          <t>NOVIEMBRE 2025</t>
        </is>
      </c>
      <c r="M2471" t="inlineStr">
        <is>
          <t>CO2 TIPO BC</t>
        </is>
      </c>
      <c r="N2471" t="inlineStr">
        <is>
          <t>s/n/Z-950369</t>
        </is>
      </c>
      <c r="O2471" t="inlineStr">
        <is>
          <t>R</t>
        </is>
      </c>
      <c r="P2471">
        <f>TRIM(N2471)</f>
        <v/>
      </c>
    </row>
    <row r="2472">
      <c r="A2472" t="inlineStr">
        <is>
          <t>CO-002152</t>
        </is>
      </c>
      <c r="B2472" t="inlineStr">
        <is>
          <t>SUNAT - AREQUIPA -  RIO SECO</t>
        </is>
      </c>
      <c r="C2472" t="inlineStr">
        <is>
          <t>20131312955</t>
        </is>
      </c>
      <c r="D2472" t="inlineStr">
        <is>
          <t xml:space="preserve">Altura del Km 8.5 de la Carretera Yaura - Arequipa </t>
        </is>
      </c>
      <c r="E2472" t="inlineStr">
        <is>
          <t>Lima, 11 de Diciembre de 2024</t>
        </is>
      </c>
      <c r="F2472" t="inlineStr">
        <is>
          <t>la Recarga y mantenimiento</t>
        </is>
      </c>
      <c r="G2472" t="n">
        <v>10</v>
      </c>
      <c r="H2472" t="inlineStr">
        <is>
          <t>4 KG</t>
        </is>
      </c>
      <c r="I2472" t="n">
        <v>2026</v>
      </c>
      <c r="J2472" t="n">
        <v>2013</v>
      </c>
      <c r="K2472" t="inlineStr">
        <is>
          <t>NOVIEMBRE 2024</t>
        </is>
      </c>
      <c r="L2472" t="inlineStr">
        <is>
          <t>NOVIEMBRE 2025</t>
        </is>
      </c>
      <c r="M2472" t="inlineStr">
        <is>
          <t>P.Q.S. / ABC AL 90%</t>
        </is>
      </c>
      <c r="N2472" t="inlineStr">
        <is>
          <t>S/N/000352</t>
        </is>
      </c>
      <c r="O2472" t="inlineStr">
        <is>
          <t>R</t>
        </is>
      </c>
      <c r="P2472">
        <f>TRIM(N2472)</f>
        <v/>
      </c>
    </row>
    <row r="2473">
      <c r="A2473" t="inlineStr">
        <is>
          <t>CO-002152</t>
        </is>
      </c>
      <c r="B2473" t="inlineStr">
        <is>
          <t>SUNAT - AREQUIPA -  RIO SECO</t>
        </is>
      </c>
      <c r="C2473" t="inlineStr">
        <is>
          <t>20131312955</t>
        </is>
      </c>
      <c r="D2473" t="inlineStr">
        <is>
          <t xml:space="preserve">Altura del Km 8.5 de la Carretera Yaura - Arequipa </t>
        </is>
      </c>
      <c r="E2473" t="inlineStr">
        <is>
          <t>Lima, 11 de Diciembre de 2024</t>
        </is>
      </c>
      <c r="F2473" t="inlineStr">
        <is>
          <t>la Recarga y mantenimiento</t>
        </is>
      </c>
      <c r="G2473" t="n">
        <v>15</v>
      </c>
      <c r="O2473" t="inlineStr">
        <is>
          <t>R</t>
        </is>
      </c>
      <c r="P2473">
        <f>TRIM(N2473)</f>
        <v/>
      </c>
    </row>
    <row r="2474">
      <c r="A2474" t="inlineStr">
        <is>
          <t>CO-002153</t>
        </is>
      </c>
      <c r="B2474" t="inlineStr">
        <is>
          <t>PERU MASIVO S.A</t>
        </is>
      </c>
      <c r="C2474" t="inlineStr">
        <is>
          <t>20492392031</t>
        </is>
      </c>
      <c r="D2474" t="inlineStr">
        <is>
          <t>AV. LOS INCAS CDRA. 4 PATIO NORTE - COMAS</t>
        </is>
      </c>
      <c r="E2474" t="inlineStr">
        <is>
          <t>Lima, 10 de Diciembre de 2024</t>
        </is>
      </c>
      <c r="F2474" t="inlineStr">
        <is>
          <t>la Recarga y mantenimiento</t>
        </is>
      </c>
      <c r="G2474" t="inlineStr">
        <is>
          <t>01</t>
        </is>
      </c>
      <c r="H2474" t="inlineStr">
        <is>
          <t>06 KG</t>
        </is>
      </c>
      <c r="I2474" t="inlineStr">
        <is>
          <t>2028</t>
        </is>
      </c>
      <c r="J2474" t="n">
        <v>2010</v>
      </c>
      <c r="K2474" t="inlineStr">
        <is>
          <t>DICIEMBRE 2024</t>
        </is>
      </c>
      <c r="L2474" t="inlineStr">
        <is>
          <t>DICIEMBRE 2025</t>
        </is>
      </c>
      <c r="M2474" t="inlineStr">
        <is>
          <t>PQS/ABC AL 90% ASIATICO</t>
        </is>
      </c>
      <c r="N2474" t="inlineStr">
        <is>
          <t>122/000008</t>
        </is>
      </c>
      <c r="O2474" t="inlineStr">
        <is>
          <t>R</t>
        </is>
      </c>
      <c r="P2474">
        <f>TRIM(N2474)</f>
        <v/>
      </c>
    </row>
    <row r="2475">
      <c r="A2475" t="inlineStr">
        <is>
          <t>CO-002153</t>
        </is>
      </c>
      <c r="B2475" t="inlineStr">
        <is>
          <t>PERU MASIVO S.A</t>
        </is>
      </c>
      <c r="C2475" t="inlineStr">
        <is>
          <t>20492392031</t>
        </is>
      </c>
      <c r="D2475" t="inlineStr">
        <is>
          <t>AV. LOS INCAS CDRA. 4 PATIO NORTE - COMAS</t>
        </is>
      </c>
      <c r="E2475" t="inlineStr">
        <is>
          <t>Lima, 10 de Diciembre de 2024</t>
        </is>
      </c>
      <c r="F2475" t="inlineStr">
        <is>
          <t>la Recarga y mantenimiento</t>
        </is>
      </c>
      <c r="G2475" t="inlineStr">
        <is>
          <t>02</t>
        </is>
      </c>
      <c r="H2475" t="inlineStr">
        <is>
          <t>06 KG</t>
        </is>
      </c>
      <c r="I2475" t="inlineStr">
        <is>
          <t>2028</t>
        </is>
      </c>
      <c r="J2475" t="n">
        <v>2017</v>
      </c>
      <c r="K2475" t="inlineStr">
        <is>
          <t>DICIEMBRE 2024</t>
        </is>
      </c>
      <c r="L2475" t="inlineStr">
        <is>
          <t>DICIEMBRE 2025</t>
        </is>
      </c>
      <c r="M2475" t="inlineStr">
        <is>
          <t>PQS/ABC AL 90% ASIATICO</t>
        </is>
      </c>
      <c r="N2475" t="inlineStr">
        <is>
          <t>S/N/ 004016</t>
        </is>
      </c>
      <c r="O2475" t="inlineStr">
        <is>
          <t>R</t>
        </is>
      </c>
      <c r="P2475">
        <f>TRIM(N2475)</f>
        <v/>
      </c>
    </row>
    <row r="2476">
      <c r="A2476" t="inlineStr">
        <is>
          <t>CO-002153</t>
        </is>
      </c>
      <c r="B2476" t="inlineStr">
        <is>
          <t>PERU MASIVO S.A</t>
        </is>
      </c>
      <c r="C2476" t="inlineStr">
        <is>
          <t>20492392031</t>
        </is>
      </c>
      <c r="D2476" t="inlineStr">
        <is>
          <t>AV. LOS INCAS CDRA. 4 PATIO NORTE - COMAS</t>
        </is>
      </c>
      <c r="E2476" t="inlineStr">
        <is>
          <t>Lima, 10 de Diciembre de 2024</t>
        </is>
      </c>
      <c r="F2476" t="inlineStr">
        <is>
          <t>la Recarga y mantenimiento</t>
        </is>
      </c>
      <c r="G2476" t="inlineStr">
        <is>
          <t>03</t>
        </is>
      </c>
      <c r="H2476" t="inlineStr">
        <is>
          <t>06 KG</t>
        </is>
      </c>
      <c r="I2476" t="inlineStr">
        <is>
          <t>2028</t>
        </is>
      </c>
      <c r="J2476" t="n">
        <v>2017</v>
      </c>
      <c r="K2476" t="inlineStr">
        <is>
          <t>DICIEMBRE 2024</t>
        </is>
      </c>
      <c r="L2476" t="inlineStr">
        <is>
          <t>DICIEMBRE 2025</t>
        </is>
      </c>
      <c r="M2476" t="inlineStr">
        <is>
          <t>PQS/ABC AL 90% ASIATICO</t>
        </is>
      </c>
      <c r="N2476" t="inlineStr">
        <is>
          <t>S/N/003884</t>
        </is>
      </c>
      <c r="O2476" t="inlineStr">
        <is>
          <t>R</t>
        </is>
      </c>
      <c r="P2476">
        <f>TRIM(N2476)</f>
        <v/>
      </c>
    </row>
    <row r="2477">
      <c r="A2477" t="inlineStr">
        <is>
          <t>CO-002153</t>
        </is>
      </c>
      <c r="B2477" t="inlineStr">
        <is>
          <t>PERU MASIVO S.A</t>
        </is>
      </c>
      <c r="C2477" t="inlineStr">
        <is>
          <t>20492392031</t>
        </is>
      </c>
      <c r="D2477" t="inlineStr">
        <is>
          <t>AV. LOS INCAS CDRA. 4 PATIO NORTE - COMAS</t>
        </is>
      </c>
      <c r="E2477" t="inlineStr">
        <is>
          <t>Lima, 10 de Diciembre de 2024</t>
        </is>
      </c>
      <c r="F2477" t="inlineStr">
        <is>
          <t>la Recarga y mantenimiento</t>
        </is>
      </c>
      <c r="G2477" t="inlineStr">
        <is>
          <t>04</t>
        </is>
      </c>
      <c r="H2477" t="inlineStr">
        <is>
          <t>06 KG</t>
        </is>
      </c>
      <c r="I2477" t="n">
        <v>2028</v>
      </c>
      <c r="J2477" t="inlineStr">
        <is>
          <t>2009</t>
        </is>
      </c>
      <c r="K2477" t="inlineStr">
        <is>
          <t>DICIEMBRE 2024</t>
        </is>
      </c>
      <c r="L2477" t="inlineStr">
        <is>
          <t>DICIEMBRE 2025</t>
        </is>
      </c>
      <c r="M2477" t="inlineStr">
        <is>
          <t>PQS/ABC AL 90% ASIATICO</t>
        </is>
      </c>
      <c r="N2477" t="inlineStr">
        <is>
          <t>83/000672</t>
        </is>
      </c>
      <c r="O2477" t="inlineStr">
        <is>
          <t>R</t>
        </is>
      </c>
      <c r="P2477">
        <f>TRIM(N2477)</f>
        <v/>
      </c>
    </row>
    <row r="2478">
      <c r="A2478" t="inlineStr">
        <is>
          <t>CO-002153</t>
        </is>
      </c>
      <c r="B2478" t="inlineStr">
        <is>
          <t>PERU MASIVO S.A</t>
        </is>
      </c>
      <c r="C2478" t="inlineStr">
        <is>
          <t>20492392031</t>
        </is>
      </c>
      <c r="D2478" t="inlineStr">
        <is>
          <t>AV. LOS INCAS CDRA. 4 PATIO NORTE - COMAS</t>
        </is>
      </c>
      <c r="E2478" t="inlineStr">
        <is>
          <t>Lima, 10 de Diciembre de 2024</t>
        </is>
      </c>
      <c r="F2478" t="inlineStr">
        <is>
          <t>la Recarga y mantenimiento</t>
        </is>
      </c>
      <c r="G2478" t="inlineStr">
        <is>
          <t>05</t>
        </is>
      </c>
      <c r="H2478" t="inlineStr">
        <is>
          <t>06 KG</t>
        </is>
      </c>
      <c r="I2478" t="inlineStr">
        <is>
          <t>2028</t>
        </is>
      </c>
      <c r="J2478" t="n">
        <v>2009</v>
      </c>
      <c r="K2478" t="inlineStr">
        <is>
          <t>DICIEMBRE 2024</t>
        </is>
      </c>
      <c r="L2478" t="inlineStr">
        <is>
          <t>DICIEMBRE 2025</t>
        </is>
      </c>
      <c r="M2478" t="inlineStr">
        <is>
          <t>PQS/ABC AL 90% ASIATICO</t>
        </is>
      </c>
      <c r="N2478" t="inlineStr">
        <is>
          <t>S/N/003073</t>
        </is>
      </c>
      <c r="O2478" t="inlineStr">
        <is>
          <t>R</t>
        </is>
      </c>
      <c r="P2478">
        <f>TRIM(N2478)</f>
        <v/>
      </c>
    </row>
    <row r="2479">
      <c r="A2479" t="inlineStr">
        <is>
          <t>CO-002153</t>
        </is>
      </c>
      <c r="B2479" t="inlineStr">
        <is>
          <t>PERU MASIVO S.A</t>
        </is>
      </c>
      <c r="C2479" t="inlineStr">
        <is>
          <t>20492392031</t>
        </is>
      </c>
      <c r="D2479" t="inlineStr">
        <is>
          <t>AV. LOS INCAS CDRA. 4 PATIO NORTE - COMAS</t>
        </is>
      </c>
      <c r="E2479" t="inlineStr">
        <is>
          <t>Lima, 10 de Diciembre de 2024</t>
        </is>
      </c>
      <c r="F2479" t="inlineStr">
        <is>
          <t>la Recarga y mantenimiento</t>
        </is>
      </c>
      <c r="G2479" t="inlineStr">
        <is>
          <t>06</t>
        </is>
      </c>
      <c r="H2479" t="inlineStr">
        <is>
          <t>06 KG</t>
        </is>
      </c>
      <c r="I2479" t="inlineStr">
        <is>
          <t>2028</t>
        </is>
      </c>
      <c r="J2479" t="n">
        <v>2009</v>
      </c>
      <c r="K2479" t="inlineStr">
        <is>
          <t>DICIEMBRE 2024</t>
        </is>
      </c>
      <c r="L2479" t="inlineStr">
        <is>
          <t>DICIEMBRE 2025</t>
        </is>
      </c>
      <c r="M2479" t="inlineStr">
        <is>
          <t>PQS/ABC AL 90% ASIATICO</t>
        </is>
      </c>
      <c r="N2479" t="inlineStr">
        <is>
          <t>154/002014</t>
        </is>
      </c>
      <c r="O2479" t="inlineStr">
        <is>
          <t>R</t>
        </is>
      </c>
      <c r="P2479">
        <f>TRIM(N2479)</f>
        <v/>
      </c>
    </row>
    <row r="2480">
      <c r="A2480" t="inlineStr">
        <is>
          <t>CO-002153</t>
        </is>
      </c>
      <c r="B2480" t="inlineStr">
        <is>
          <t>PERU MASIVO S.A</t>
        </is>
      </c>
      <c r="C2480" t="inlineStr">
        <is>
          <t>20492392031</t>
        </is>
      </c>
      <c r="D2480" t="inlineStr">
        <is>
          <t>AV. LOS INCAS CDRA. 4 PATIO NORTE - COMAS</t>
        </is>
      </c>
      <c r="E2480" t="inlineStr">
        <is>
          <t>Lima, 10 de Diciembre de 2024</t>
        </is>
      </c>
      <c r="F2480" t="inlineStr">
        <is>
          <t>la Recarga y mantenimiento</t>
        </is>
      </c>
      <c r="G2480" t="n">
        <v>15</v>
      </c>
      <c r="O2480" t="inlineStr">
        <is>
          <t>R</t>
        </is>
      </c>
      <c r="P2480">
        <f>TRIM(N2480)</f>
        <v/>
      </c>
    </row>
    <row r="2481">
      <c r="A2481" t="inlineStr">
        <is>
          <t>CO-002154</t>
        </is>
      </c>
      <c r="B2481" t="inlineStr">
        <is>
          <t>QELLPU PERU S.A.</t>
        </is>
      </c>
      <c r="C2481" t="n">
        <v>20492318656</v>
      </c>
      <c r="D2481" t="inlineStr">
        <is>
          <t>AV. LOS INCAS CDRA. 4 PATIO NORTE - COMAS</t>
        </is>
      </c>
      <c r="E2481" t="inlineStr">
        <is>
          <t>Lima, 12 de Diciembre de 2024</t>
        </is>
      </c>
      <c r="F2481" t="inlineStr">
        <is>
          <t>la Recarga y mantenimiento</t>
        </is>
      </c>
      <c r="G2481" t="inlineStr">
        <is>
          <t>01</t>
        </is>
      </c>
      <c r="H2481" t="inlineStr">
        <is>
          <t>06 KG</t>
        </is>
      </c>
      <c r="I2481" t="inlineStr">
        <is>
          <t>2028</t>
        </is>
      </c>
      <c r="J2481" t="n">
        <v>2010</v>
      </c>
      <c r="K2481" t="inlineStr">
        <is>
          <t>DICIEMBRE 2024</t>
        </is>
      </c>
      <c r="L2481" t="inlineStr">
        <is>
          <t>DICIEMBRE 2025</t>
        </is>
      </c>
      <c r="M2481" t="inlineStr">
        <is>
          <t>PQS/ABC AL 90% ASIATICO</t>
        </is>
      </c>
      <c r="N2481" t="inlineStr">
        <is>
          <t>22/000232</t>
        </is>
      </c>
      <c r="O2481" t="inlineStr">
        <is>
          <t>R</t>
        </is>
      </c>
      <c r="P2481">
        <f>TRIM(N2481)</f>
        <v/>
      </c>
    </row>
    <row r="2482">
      <c r="A2482" t="inlineStr">
        <is>
          <t>CO-002154</t>
        </is>
      </c>
      <c r="B2482" t="inlineStr">
        <is>
          <t>QELLPU PERU S.A.</t>
        </is>
      </c>
      <c r="C2482" t="n">
        <v>20492318656</v>
      </c>
      <c r="D2482" t="inlineStr">
        <is>
          <t>AV. LOS INCAS CDRA. 4 PATIO NORTE - COMAS</t>
        </is>
      </c>
      <c r="E2482" t="inlineStr">
        <is>
          <t>Lima, 12 de Diciembre de 2024</t>
        </is>
      </c>
      <c r="F2482" t="inlineStr">
        <is>
          <t>la Recarga y mantenimiento</t>
        </is>
      </c>
      <c r="G2482" t="inlineStr">
        <is>
          <t>02</t>
        </is>
      </c>
      <c r="H2482" t="inlineStr">
        <is>
          <t>06 KG</t>
        </is>
      </c>
      <c r="I2482" t="inlineStr">
        <is>
          <t>2028</t>
        </is>
      </c>
      <c r="J2482" t="n">
        <v>2010</v>
      </c>
      <c r="K2482" t="inlineStr">
        <is>
          <t>DICIEMBRE 2024</t>
        </is>
      </c>
      <c r="L2482" t="inlineStr">
        <is>
          <t>DICIEMBRE 2025</t>
        </is>
      </c>
      <c r="M2482" t="inlineStr">
        <is>
          <t>PQS/ABC AL 90% ASIATICO</t>
        </is>
      </c>
      <c r="N2482" t="inlineStr">
        <is>
          <t>27/001046</t>
        </is>
      </c>
      <c r="O2482" t="inlineStr">
        <is>
          <t>R</t>
        </is>
      </c>
      <c r="P2482">
        <f>TRIM(N2482)</f>
        <v/>
      </c>
    </row>
    <row r="2483">
      <c r="A2483" t="inlineStr">
        <is>
          <t>CO-002154</t>
        </is>
      </c>
      <c r="B2483" t="inlineStr">
        <is>
          <t>QELLPU PERU S.A.</t>
        </is>
      </c>
      <c r="C2483" t="n">
        <v>20492318656</v>
      </c>
      <c r="D2483" t="inlineStr">
        <is>
          <t>AV. LOS INCAS CDRA. 4 PATIO NORTE - COMAS</t>
        </is>
      </c>
      <c r="E2483" t="inlineStr">
        <is>
          <t>Lima, 12 de Diciembre de 2024</t>
        </is>
      </c>
      <c r="F2483" t="inlineStr">
        <is>
          <t>la Recarga y mantenimiento</t>
        </is>
      </c>
      <c r="G2483" t="inlineStr">
        <is>
          <t>03</t>
        </is>
      </c>
      <c r="H2483" t="inlineStr">
        <is>
          <t>06 KG</t>
        </is>
      </c>
      <c r="I2483" t="inlineStr">
        <is>
          <t>2028</t>
        </is>
      </c>
      <c r="J2483" t="n">
        <v>2010</v>
      </c>
      <c r="K2483" t="inlineStr">
        <is>
          <t>DICIEMBRE 2024</t>
        </is>
      </c>
      <c r="L2483" t="inlineStr">
        <is>
          <t>DICIEMBRE 2025</t>
        </is>
      </c>
      <c r="M2483" t="inlineStr">
        <is>
          <t>PQS/ABC AL 90% ASIATICO</t>
        </is>
      </c>
      <c r="N2483" t="inlineStr">
        <is>
          <t>24/000003</t>
        </is>
      </c>
      <c r="O2483" t="inlineStr">
        <is>
          <t>R</t>
        </is>
      </c>
      <c r="P2483">
        <f>TRIM(N2483)</f>
        <v/>
      </c>
    </row>
    <row r="2484">
      <c r="A2484" t="inlineStr">
        <is>
          <t>CO-002154</t>
        </is>
      </c>
      <c r="B2484" t="inlineStr">
        <is>
          <t>QELLPU PERU S.A.</t>
        </is>
      </c>
      <c r="C2484" t="n">
        <v>20492318656</v>
      </c>
      <c r="D2484" t="inlineStr">
        <is>
          <t>AV. LOS INCAS CDRA. 4 PATIO NORTE - COMAS</t>
        </is>
      </c>
      <c r="E2484" t="inlineStr">
        <is>
          <t>Lima, 12 de Diciembre de 2024</t>
        </is>
      </c>
      <c r="F2484" t="inlineStr">
        <is>
          <t>la Recarga y mantenimiento</t>
        </is>
      </c>
      <c r="G2484" t="inlineStr">
        <is>
          <t>04</t>
        </is>
      </c>
      <c r="H2484" t="inlineStr">
        <is>
          <t>06 KG</t>
        </is>
      </c>
      <c r="I2484" t="inlineStr">
        <is>
          <t>2028</t>
        </is>
      </c>
      <c r="J2484" t="n">
        <v>2009</v>
      </c>
      <c r="K2484" t="inlineStr">
        <is>
          <t>DICIEMBRE 2024</t>
        </is>
      </c>
      <c r="L2484" t="inlineStr">
        <is>
          <t>DICIEMBRE 2025</t>
        </is>
      </c>
      <c r="M2484" t="inlineStr">
        <is>
          <t>PQS/ABC AL 90% ASIATICO</t>
        </is>
      </c>
      <c r="N2484" t="inlineStr">
        <is>
          <t>23/002313</t>
        </is>
      </c>
      <c r="O2484" t="inlineStr">
        <is>
          <t>R</t>
        </is>
      </c>
      <c r="P2484">
        <f>TRIM(N2484)</f>
        <v/>
      </c>
    </row>
    <row r="2485">
      <c r="A2485" t="inlineStr">
        <is>
          <t>CO-002154</t>
        </is>
      </c>
      <c r="B2485" t="inlineStr">
        <is>
          <t>QELLPU PERU S.A.</t>
        </is>
      </c>
      <c r="C2485" t="n">
        <v>20492318656</v>
      </c>
      <c r="D2485" t="inlineStr">
        <is>
          <t>AV. LOS INCAS CDRA. 4 PATIO NORTE - COMAS</t>
        </is>
      </c>
      <c r="E2485" t="inlineStr">
        <is>
          <t>Lima, 12 de Diciembre de 2024</t>
        </is>
      </c>
      <c r="F2485" t="inlineStr">
        <is>
          <t>la Recarga y mantenimiento</t>
        </is>
      </c>
      <c r="G2485" t="inlineStr">
        <is>
          <t>05</t>
        </is>
      </c>
      <c r="H2485" t="inlineStr">
        <is>
          <t>06 KG</t>
        </is>
      </c>
      <c r="I2485" t="inlineStr">
        <is>
          <t>2028</t>
        </is>
      </c>
      <c r="J2485" t="n">
        <v>2011</v>
      </c>
      <c r="K2485" t="inlineStr">
        <is>
          <t>DICIEMBRE 2024</t>
        </is>
      </c>
      <c r="L2485" t="inlineStr">
        <is>
          <t>DICIEMBRE 2025</t>
        </is>
      </c>
      <c r="M2485" t="inlineStr">
        <is>
          <t>PQS/ABC AL 90% ASIATICO</t>
        </is>
      </c>
      <c r="N2485" t="inlineStr">
        <is>
          <t>25/000057</t>
        </is>
      </c>
      <c r="O2485" t="inlineStr">
        <is>
          <t>R</t>
        </is>
      </c>
      <c r="P2485">
        <f>TRIM(N2485)</f>
        <v/>
      </c>
    </row>
    <row r="2486">
      <c r="A2486" t="inlineStr">
        <is>
          <t>CO-002154</t>
        </is>
      </c>
      <c r="B2486" t="inlineStr">
        <is>
          <t>QELLPU PERU S.A.</t>
        </is>
      </c>
      <c r="C2486" t="n">
        <v>20492318656</v>
      </c>
      <c r="D2486" t="inlineStr">
        <is>
          <t>AV. LOS INCAS CDRA. 4 PATIO NORTE - COMAS</t>
        </is>
      </c>
      <c r="E2486" t="inlineStr">
        <is>
          <t>Lima, 12 de Diciembre de 2024</t>
        </is>
      </c>
      <c r="F2486" t="inlineStr">
        <is>
          <t>la Recarga y mantenimiento</t>
        </is>
      </c>
      <c r="G2486" t="inlineStr">
        <is>
          <t>06</t>
        </is>
      </c>
      <c r="H2486" t="inlineStr">
        <is>
          <t>10 LBS</t>
        </is>
      </c>
      <c r="I2486" t="n">
        <v>2025</v>
      </c>
      <c r="J2486" t="inlineStr">
        <is>
          <t>N/R</t>
        </is>
      </c>
      <c r="K2486" t="inlineStr">
        <is>
          <t>DICIEMBRE 2024</t>
        </is>
      </c>
      <c r="L2486" t="inlineStr">
        <is>
          <t>DICIEMBRE 2025</t>
        </is>
      </c>
      <c r="M2486" t="inlineStr">
        <is>
          <t>CO2 /TIPO BC</t>
        </is>
      </c>
      <c r="N2486" t="inlineStr">
        <is>
          <t>05/N/R</t>
        </is>
      </c>
      <c r="O2486" t="inlineStr">
        <is>
          <t>R</t>
        </is>
      </c>
      <c r="P2486">
        <f>TRIM(N2486)</f>
        <v/>
      </c>
    </row>
    <row r="2487">
      <c r="A2487" t="inlineStr">
        <is>
          <t>CO-002154</t>
        </is>
      </c>
      <c r="B2487" t="inlineStr">
        <is>
          <t>QELLPU PERU S.A.</t>
        </is>
      </c>
      <c r="C2487" t="n">
        <v>20492318656</v>
      </c>
      <c r="D2487" t="inlineStr">
        <is>
          <t>AV. LOS INCAS CDRA. 4 PATIO NORTE - COMAS</t>
        </is>
      </c>
      <c r="E2487" t="inlineStr">
        <is>
          <t>Lima, 12 de Diciembre de 2024</t>
        </is>
      </c>
      <c r="F2487" t="inlineStr">
        <is>
          <t>la Recarga y mantenimiento</t>
        </is>
      </c>
      <c r="G2487" t="inlineStr">
        <is>
          <t>07</t>
        </is>
      </c>
      <c r="H2487" t="inlineStr">
        <is>
          <t>2.5 GLS</t>
        </is>
      </c>
      <c r="I2487" t="n">
        <v>2028</v>
      </c>
      <c r="J2487" t="n">
        <v>2020</v>
      </c>
      <c r="K2487" t="inlineStr">
        <is>
          <t>DICIEMBRE 2024</t>
        </is>
      </c>
      <c r="L2487" t="inlineStr">
        <is>
          <t>DICIEMBRE 2025</t>
        </is>
      </c>
      <c r="M2487" t="inlineStr">
        <is>
          <t>ESPUMA AFFF</t>
        </is>
      </c>
      <c r="N2487" t="inlineStr">
        <is>
          <t>26/000417</t>
        </is>
      </c>
      <c r="O2487" t="inlineStr">
        <is>
          <t>R</t>
        </is>
      </c>
      <c r="P2487">
        <f>TRIM(N2487)</f>
        <v/>
      </c>
    </row>
    <row r="2488">
      <c r="A2488" t="inlineStr">
        <is>
          <t>CO-002154</t>
        </is>
      </c>
      <c r="B2488" t="inlineStr">
        <is>
          <t>QELLPU PERU S.A.</t>
        </is>
      </c>
      <c r="C2488" t="n">
        <v>20492318656</v>
      </c>
      <c r="D2488" t="inlineStr">
        <is>
          <t>AV. LOS INCAS CDRA. 4 PATIO NORTE - COMAS</t>
        </is>
      </c>
      <c r="E2488" t="inlineStr">
        <is>
          <t>Lima, 12 de Diciembre de 2024</t>
        </is>
      </c>
      <c r="F2488" t="inlineStr">
        <is>
          <t>la Recarga y mantenimiento</t>
        </is>
      </c>
      <c r="G2488" t="n">
        <v>15</v>
      </c>
      <c r="O2488" t="inlineStr">
        <is>
          <t>R</t>
        </is>
      </c>
      <c r="P2488">
        <f>TRIM(N2488)</f>
        <v/>
      </c>
    </row>
    <row r="2489">
      <c r="A2489" t="inlineStr">
        <is>
          <t>CO-002155</t>
        </is>
      </c>
      <c r="B2489" t="inlineStr">
        <is>
          <t>HENRY PULIDO AROZQUIPA</t>
        </is>
      </c>
      <c r="C2489" t="inlineStr">
        <is>
          <t>41617550</t>
        </is>
      </c>
      <c r="D2489" t="inlineStr">
        <is>
          <t>MERCADO RETABLO</t>
        </is>
      </c>
      <c r="E2489" t="inlineStr">
        <is>
          <t>Lima, 17 de Diciembre de 2024</t>
        </is>
      </c>
      <c r="F2489" t="inlineStr">
        <is>
          <t>la Recarga y mantenimiento</t>
        </is>
      </c>
      <c r="G2489" t="inlineStr">
        <is>
          <t>01</t>
        </is>
      </c>
      <c r="H2489" t="inlineStr">
        <is>
          <t>06 KG</t>
        </is>
      </c>
      <c r="I2489" t="inlineStr">
        <is>
          <t>VIGENTE</t>
        </is>
      </c>
      <c r="J2489" t="n">
        <v>2021</v>
      </c>
      <c r="K2489" t="inlineStr">
        <is>
          <t>DICIEMBRE 2024</t>
        </is>
      </c>
      <c r="L2489" t="inlineStr">
        <is>
          <t>DICIEMBRE 2025</t>
        </is>
      </c>
      <c r="M2489" t="inlineStr">
        <is>
          <t xml:space="preserve">P.Q.S.  TIPO ABC </t>
        </is>
      </c>
      <c r="N2489" t="inlineStr">
        <is>
          <t>000959</t>
        </is>
      </c>
      <c r="O2489" t="inlineStr">
        <is>
          <t>R</t>
        </is>
      </c>
      <c r="P2489">
        <f>TRIM(N2489)</f>
        <v/>
      </c>
    </row>
    <row r="2490">
      <c r="A2490" t="inlineStr">
        <is>
          <t>CO-002155</t>
        </is>
      </c>
      <c r="B2490" t="inlineStr">
        <is>
          <t>HENRY PULIDO AROZQUIPA</t>
        </is>
      </c>
      <c r="C2490" t="inlineStr">
        <is>
          <t>41617550</t>
        </is>
      </c>
      <c r="D2490" t="inlineStr">
        <is>
          <t>MERCADO RETABLO</t>
        </is>
      </c>
      <c r="E2490" t="inlineStr">
        <is>
          <t>Lima, 17 de Diciembre de 2024</t>
        </is>
      </c>
      <c r="F2490" t="inlineStr">
        <is>
          <t>la Recarga y mantenimiento</t>
        </is>
      </c>
      <c r="G2490" t="n">
        <v>15</v>
      </c>
      <c r="O2490" t="inlineStr">
        <is>
          <t>R</t>
        </is>
      </c>
      <c r="P2490">
        <f>TRIM(N2490)</f>
        <v/>
      </c>
    </row>
    <row r="2491">
      <c r="A2491" t="inlineStr">
        <is>
          <t>CO-002156</t>
        </is>
      </c>
      <c r="B2491" t="inlineStr">
        <is>
          <t>POLLOS Y PARRILLAS CELY S.A.C</t>
        </is>
      </c>
      <c r="C2491" t="inlineStr">
        <is>
          <t>20608356135</t>
        </is>
      </c>
      <c r="D2491" t="inlineStr">
        <is>
          <t>AV. 14 DE NOVIEMBRE MZ C LOTE N° 1 - PRO</t>
        </is>
      </c>
      <c r="E2491" t="inlineStr">
        <is>
          <t>Lima, 17 de Diciembre de 2024</t>
        </is>
      </c>
      <c r="F2491" t="inlineStr">
        <is>
          <t>la Recarga y mantenimiento</t>
        </is>
      </c>
      <c r="G2491" t="inlineStr">
        <is>
          <t>01</t>
        </is>
      </c>
      <c r="H2491" t="inlineStr">
        <is>
          <t>06 KG</t>
        </is>
      </c>
      <c r="I2491" t="inlineStr">
        <is>
          <t>2029</t>
        </is>
      </c>
      <c r="J2491" t="inlineStr">
        <is>
          <t>S/N</t>
        </is>
      </c>
      <c r="K2491" t="inlineStr">
        <is>
          <t>DICIEMBRE 2024</t>
        </is>
      </c>
      <c r="L2491" t="inlineStr">
        <is>
          <t>DICIEMBRE 2025</t>
        </is>
      </c>
      <c r="M2491" t="inlineStr">
        <is>
          <t xml:space="preserve">P.Q.S.  TIPO ABC </t>
        </is>
      </c>
      <c r="N2491" t="inlineStr">
        <is>
          <t>000059</t>
        </is>
      </c>
      <c r="O2491" t="inlineStr">
        <is>
          <t>R</t>
        </is>
      </c>
      <c r="P2491">
        <f>TRIM(N2491)</f>
        <v/>
      </c>
    </row>
    <row r="2492">
      <c r="A2492" t="inlineStr">
        <is>
          <t>CO-002156</t>
        </is>
      </c>
      <c r="B2492" t="inlineStr">
        <is>
          <t>POLLOS Y PARRILLAS CELY S.A.C</t>
        </is>
      </c>
      <c r="C2492" t="inlineStr">
        <is>
          <t>20608356135</t>
        </is>
      </c>
      <c r="D2492" t="inlineStr">
        <is>
          <t>AV. 14 DE NOVIEMBRE MZ C LOTE N° 1 - PRO</t>
        </is>
      </c>
      <c r="E2492" t="inlineStr">
        <is>
          <t>Lima, 17 de Diciembre de 2024</t>
        </is>
      </c>
      <c r="F2492" t="inlineStr">
        <is>
          <t>la Recarga y mantenimiento</t>
        </is>
      </c>
      <c r="G2492" t="inlineStr">
        <is>
          <t>02</t>
        </is>
      </c>
      <c r="H2492" t="inlineStr">
        <is>
          <t>2.5 GLS</t>
        </is>
      </c>
      <c r="I2492" t="inlineStr">
        <is>
          <t>2025</t>
        </is>
      </c>
      <c r="J2492" t="n">
        <v>2020</v>
      </c>
      <c r="K2492" t="inlineStr">
        <is>
          <t>DICIEMBRE 2024</t>
        </is>
      </c>
      <c r="L2492" t="inlineStr">
        <is>
          <t>DICIEMBRE 2025</t>
        </is>
      </c>
      <c r="M2492" t="inlineStr">
        <is>
          <t>ACETATO DE POTACIO</t>
        </is>
      </c>
      <c r="N2492" t="inlineStr">
        <is>
          <t>000183</t>
        </is>
      </c>
      <c r="O2492" t="inlineStr">
        <is>
          <t>R</t>
        </is>
      </c>
      <c r="P2492">
        <f>TRIM(N2492)</f>
        <v/>
      </c>
    </row>
    <row r="2493">
      <c r="A2493" t="inlineStr">
        <is>
          <t>CO-002157</t>
        </is>
      </c>
      <c r="B2493" t="inlineStr">
        <is>
          <t>PERU MASIVO S.A</t>
        </is>
      </c>
      <c r="C2493" t="inlineStr">
        <is>
          <t>20492392031</t>
        </is>
      </c>
      <c r="D2493" t="inlineStr">
        <is>
          <t>AV. LOS INCAS CDRA. 4 PATIO NORTE - COMAS</t>
        </is>
      </c>
      <c r="E2493" t="inlineStr">
        <is>
          <t>Lima, 18 de Diciembre de 2024</t>
        </is>
      </c>
      <c r="F2493" t="inlineStr">
        <is>
          <t>la Recarga y mantenimiento</t>
        </is>
      </c>
      <c r="G2493" t="inlineStr">
        <is>
          <t>01</t>
        </is>
      </c>
      <c r="H2493" t="inlineStr">
        <is>
          <t>06 LG</t>
        </is>
      </c>
      <c r="I2493" t="inlineStr">
        <is>
          <t>2028</t>
        </is>
      </c>
      <c r="J2493" t="n">
        <v>2009</v>
      </c>
      <c r="K2493" t="inlineStr">
        <is>
          <t>DICIEMBRE 2024</t>
        </is>
      </c>
      <c r="L2493" t="inlineStr">
        <is>
          <t>DICIEMBRE 2025</t>
        </is>
      </c>
      <c r="M2493" t="inlineStr">
        <is>
          <t>PQS/ABC AL 90% ASIATICO</t>
        </is>
      </c>
      <c r="N2493" t="inlineStr">
        <is>
          <t>001544</t>
        </is>
      </c>
      <c r="O2493" t="inlineStr">
        <is>
          <t>R</t>
        </is>
      </c>
      <c r="P2493">
        <f>TRIM(N2493)</f>
        <v/>
      </c>
    </row>
    <row r="2494">
      <c r="A2494" t="inlineStr">
        <is>
          <t>CO-002157</t>
        </is>
      </c>
      <c r="B2494" t="inlineStr">
        <is>
          <t>PERU MASIVO S.A</t>
        </is>
      </c>
      <c r="C2494" t="inlineStr">
        <is>
          <t>20492392031</t>
        </is>
      </c>
      <c r="D2494" t="inlineStr">
        <is>
          <t>AV. LOS INCAS CDRA. 4 PATIO NORTE - COMAS</t>
        </is>
      </c>
      <c r="E2494" t="inlineStr">
        <is>
          <t>Lima, 18 de Diciembre de 2024</t>
        </is>
      </c>
      <c r="F2494" t="inlineStr">
        <is>
          <t>la Recarga y mantenimiento</t>
        </is>
      </c>
      <c r="G2494" t="inlineStr">
        <is>
          <t>02</t>
        </is>
      </c>
      <c r="H2494" t="inlineStr">
        <is>
          <t>06 KG</t>
        </is>
      </c>
      <c r="I2494" t="inlineStr">
        <is>
          <t>2028</t>
        </is>
      </c>
      <c r="J2494" t="n">
        <v>2017</v>
      </c>
      <c r="K2494" t="inlineStr">
        <is>
          <t>DICIEMBRE 2024</t>
        </is>
      </c>
      <c r="L2494" t="inlineStr">
        <is>
          <t>DICIEMBRE 2025</t>
        </is>
      </c>
      <c r="M2494" t="inlineStr">
        <is>
          <t>PQS/ABC AL 90% ASIATICO</t>
        </is>
      </c>
      <c r="N2494" t="inlineStr">
        <is>
          <t>001638</t>
        </is>
      </c>
      <c r="O2494" t="inlineStr">
        <is>
          <t>R</t>
        </is>
      </c>
      <c r="P2494">
        <f>TRIM(N2494)</f>
        <v/>
      </c>
    </row>
    <row r="2495">
      <c r="A2495" t="inlineStr">
        <is>
          <t>CO-002157</t>
        </is>
      </c>
      <c r="B2495" t="inlineStr">
        <is>
          <t>PERU MASIVO S.A</t>
        </is>
      </c>
      <c r="C2495" t="inlineStr">
        <is>
          <t>20492392031</t>
        </is>
      </c>
      <c r="D2495" t="inlineStr">
        <is>
          <t>AV. LOS INCAS CDRA. 4 PATIO NORTE - COMAS</t>
        </is>
      </c>
      <c r="E2495" t="inlineStr">
        <is>
          <t>Lima, 18 de Diciembre de 2024</t>
        </is>
      </c>
      <c r="F2495" t="inlineStr">
        <is>
          <t>la Recarga y mantenimiento</t>
        </is>
      </c>
      <c r="G2495" t="inlineStr">
        <is>
          <t>03</t>
        </is>
      </c>
      <c r="H2495" t="inlineStr">
        <is>
          <t>06 KG</t>
        </is>
      </c>
      <c r="I2495" t="n">
        <v>2028</v>
      </c>
      <c r="J2495" t="n">
        <v>2010</v>
      </c>
      <c r="K2495" t="inlineStr">
        <is>
          <t>NOVIEMBRE 2024</t>
        </is>
      </c>
      <c r="L2495" t="inlineStr">
        <is>
          <t>DICIEMBRE 2025</t>
        </is>
      </c>
      <c r="M2495" t="inlineStr">
        <is>
          <t>PQS/ABC AL 90% ASIATICO</t>
        </is>
      </c>
      <c r="N2495" t="inlineStr">
        <is>
          <t>0 00005</t>
        </is>
      </c>
      <c r="O2495" t="inlineStr">
        <is>
          <t>R</t>
        </is>
      </c>
      <c r="P2495">
        <f>TRIM(N2495)</f>
        <v/>
      </c>
    </row>
    <row r="2496">
      <c r="A2496" t="inlineStr">
        <is>
          <t>CO-002157</t>
        </is>
      </c>
      <c r="B2496" t="inlineStr">
        <is>
          <t>PERU MASIVO S.A</t>
        </is>
      </c>
      <c r="C2496" t="inlineStr">
        <is>
          <t>20492392031</t>
        </is>
      </c>
      <c r="D2496" t="inlineStr">
        <is>
          <t>AV. LOS INCAS CDRA. 4 PATIO NORTE - COMAS</t>
        </is>
      </c>
      <c r="E2496" t="inlineStr">
        <is>
          <t>Lima, 18 de Diciembre de 2024</t>
        </is>
      </c>
      <c r="F2496" t="inlineStr">
        <is>
          <t>la Recarga y mantenimiento</t>
        </is>
      </c>
      <c r="G2496" t="inlineStr">
        <is>
          <t>04</t>
        </is>
      </c>
      <c r="H2496" t="inlineStr">
        <is>
          <t>06 KG</t>
        </is>
      </c>
      <c r="I2496" t="n">
        <v>2028</v>
      </c>
      <c r="J2496" t="n">
        <v>2019</v>
      </c>
      <c r="K2496" t="inlineStr">
        <is>
          <t>NOVIEMBRE 2024</t>
        </is>
      </c>
      <c r="L2496" t="inlineStr">
        <is>
          <t>DICIEMBRE 2025</t>
        </is>
      </c>
      <c r="M2496" t="inlineStr">
        <is>
          <t>PQS/ABC AL 90% ASIATICO</t>
        </is>
      </c>
      <c r="N2496" t="inlineStr">
        <is>
          <t>001015</t>
        </is>
      </c>
      <c r="O2496" t="inlineStr">
        <is>
          <t>R</t>
        </is>
      </c>
      <c r="P2496">
        <f>TRIM(N2496)</f>
        <v/>
      </c>
    </row>
    <row r="2497">
      <c r="A2497" t="inlineStr">
        <is>
          <t>CO-002157</t>
        </is>
      </c>
      <c r="B2497" t="inlineStr">
        <is>
          <t>PERU MASIVO S.A</t>
        </is>
      </c>
      <c r="C2497" t="inlineStr">
        <is>
          <t>20492392031</t>
        </is>
      </c>
      <c r="D2497" t="inlineStr">
        <is>
          <t>AV. LOS INCAS CDRA. 4 PATIO NORTE - COMAS</t>
        </is>
      </c>
      <c r="E2497" t="inlineStr">
        <is>
          <t>Lima, 18 de Diciembre de 2024</t>
        </is>
      </c>
      <c r="F2497" t="inlineStr">
        <is>
          <t>la Recarga y mantenimiento</t>
        </is>
      </c>
      <c r="G2497" t="inlineStr">
        <is>
          <t>05</t>
        </is>
      </c>
      <c r="H2497" t="inlineStr">
        <is>
          <t>06 KG</t>
        </is>
      </c>
      <c r="I2497" t="n">
        <v>2028</v>
      </c>
      <c r="J2497" t="n">
        <v>2009</v>
      </c>
      <c r="K2497" t="inlineStr">
        <is>
          <t>NOVIEMBRE 2024</t>
        </is>
      </c>
      <c r="L2497" t="inlineStr">
        <is>
          <t>DICIEMBRE 2025</t>
        </is>
      </c>
      <c r="M2497" t="inlineStr">
        <is>
          <t>PQS/ABC AL 90% ASIATICO</t>
        </is>
      </c>
      <c r="N2497" t="n">
        <v>1337</v>
      </c>
      <c r="O2497" t="inlineStr">
        <is>
          <t>R</t>
        </is>
      </c>
      <c r="P2497">
        <f>TRIM(N2497)</f>
        <v/>
      </c>
    </row>
    <row r="2498">
      <c r="A2498" t="inlineStr">
        <is>
          <t>CO-002157</t>
        </is>
      </c>
      <c r="B2498" t="inlineStr">
        <is>
          <t>PERU MASIVO S.A</t>
        </is>
      </c>
      <c r="C2498" t="inlineStr">
        <is>
          <t>20492392031</t>
        </is>
      </c>
      <c r="D2498" t="inlineStr">
        <is>
          <t>AV. LOS INCAS CDRA. 4 PATIO NORTE - COMAS</t>
        </is>
      </c>
      <c r="E2498" t="inlineStr">
        <is>
          <t>Lima, 18 de Diciembre de 2024</t>
        </is>
      </c>
      <c r="F2498" t="inlineStr">
        <is>
          <t>la Recarga y mantenimiento</t>
        </is>
      </c>
      <c r="G2498" t="inlineStr">
        <is>
          <t>06</t>
        </is>
      </c>
      <c r="H2498" t="inlineStr">
        <is>
          <t>06 KG</t>
        </is>
      </c>
      <c r="I2498" t="n">
        <v>2028</v>
      </c>
      <c r="J2498" t="n">
        <v>2009</v>
      </c>
      <c r="K2498" t="inlineStr">
        <is>
          <t>NOVIEMBRE 2024</t>
        </is>
      </c>
      <c r="L2498" t="inlineStr">
        <is>
          <t>DICIEMBRE 2025</t>
        </is>
      </c>
      <c r="M2498" t="inlineStr">
        <is>
          <t>PQS/ABC AL 90% ASIATICO</t>
        </is>
      </c>
      <c r="N2498" t="inlineStr">
        <is>
          <t>001288</t>
        </is>
      </c>
      <c r="O2498" t="inlineStr">
        <is>
          <t>R</t>
        </is>
      </c>
      <c r="P2498">
        <f>TRIM(N2498)</f>
        <v/>
      </c>
    </row>
    <row r="2499">
      <c r="A2499" t="inlineStr">
        <is>
          <t>CO-002157</t>
        </is>
      </c>
      <c r="B2499" t="inlineStr">
        <is>
          <t>PERU MASIVO S.A</t>
        </is>
      </c>
      <c r="C2499" t="inlineStr">
        <is>
          <t>20492392031</t>
        </is>
      </c>
      <c r="D2499" t="inlineStr">
        <is>
          <t>AV. LOS INCAS CDRA. 4 PATIO NORTE - COMAS</t>
        </is>
      </c>
      <c r="E2499" t="inlineStr">
        <is>
          <t>Lima, 18 de Diciembre de 2024</t>
        </is>
      </c>
      <c r="F2499" t="inlineStr">
        <is>
          <t>la Recarga y mantenimiento</t>
        </is>
      </c>
      <c r="G2499" t="inlineStr">
        <is>
          <t>07</t>
        </is>
      </c>
      <c r="H2499" t="inlineStr">
        <is>
          <t>06 KG</t>
        </is>
      </c>
      <c r="I2499" t="n">
        <v>2028</v>
      </c>
      <c r="J2499" t="n">
        <v>2012</v>
      </c>
      <c r="K2499" t="inlineStr">
        <is>
          <t>NOVIEMBRE 2024</t>
        </is>
      </c>
      <c r="L2499" t="inlineStr">
        <is>
          <t>DICIEMBRE 2025</t>
        </is>
      </c>
      <c r="M2499" t="inlineStr">
        <is>
          <t>PQS/ABC AL 90% ASIATICO</t>
        </is>
      </c>
      <c r="N2499" t="inlineStr">
        <is>
          <t>000553</t>
        </is>
      </c>
      <c r="O2499" t="inlineStr">
        <is>
          <t>R</t>
        </is>
      </c>
      <c r="P2499">
        <f>TRIM(N2499)</f>
        <v/>
      </c>
    </row>
    <row r="2500">
      <c r="A2500" t="inlineStr">
        <is>
          <t>CO-002157</t>
        </is>
      </c>
      <c r="B2500" t="inlineStr">
        <is>
          <t>PERU MASIVO S.A</t>
        </is>
      </c>
      <c r="C2500" t="inlineStr">
        <is>
          <t>20492392031</t>
        </is>
      </c>
      <c r="D2500" t="inlineStr">
        <is>
          <t>AV. LOS INCAS CDRA. 4 PATIO NORTE - COMAS</t>
        </is>
      </c>
      <c r="E2500" t="inlineStr">
        <is>
          <t>Lima, 18 de Diciembre de 2024</t>
        </is>
      </c>
      <c r="F2500" t="inlineStr">
        <is>
          <t>la Recarga y mantenimiento</t>
        </is>
      </c>
      <c r="G2500" t="inlineStr">
        <is>
          <t>08</t>
        </is>
      </c>
      <c r="H2500" t="inlineStr">
        <is>
          <t xml:space="preserve">06 KG </t>
        </is>
      </c>
      <c r="I2500" t="n">
        <v>2028</v>
      </c>
      <c r="J2500" t="inlineStr">
        <is>
          <t>S/N</t>
        </is>
      </c>
      <c r="K2500" t="inlineStr">
        <is>
          <t>NOVIEMBRE 2024</t>
        </is>
      </c>
      <c r="L2500" t="inlineStr">
        <is>
          <t>DICIEMBRE 2025</t>
        </is>
      </c>
      <c r="M2500" t="inlineStr">
        <is>
          <t>PQS/ABC AL 90% ASIATICO</t>
        </is>
      </c>
      <c r="N2500" t="inlineStr">
        <is>
          <t>S/N</t>
        </is>
      </c>
      <c r="O2500" t="inlineStr">
        <is>
          <t>R</t>
        </is>
      </c>
      <c r="P2500">
        <f>TRIM(N2500)</f>
        <v/>
      </c>
    </row>
    <row r="2501">
      <c r="A2501" t="inlineStr">
        <is>
          <t>CO-002158</t>
        </is>
      </c>
      <c r="B2501" t="inlineStr">
        <is>
          <t>CONDOMINIO CLUB EL ROSEDAL- EDIFICIO 04</t>
        </is>
      </c>
      <c r="C2501" t="inlineStr">
        <is>
          <t>HUANCAYO - EL TAMBO</t>
        </is>
      </c>
      <c r="D2501" t="inlineStr">
        <is>
          <t>AV. INTIHUATANA CRUCE CON  AV. TAHUANTINSUYO</t>
        </is>
      </c>
      <c r="E2501" t="inlineStr">
        <is>
          <t>Lima, 23 de Diciembre de 2024</t>
        </is>
      </c>
      <c r="F2501" t="inlineStr">
        <is>
          <t>la venta</t>
        </is>
      </c>
      <c r="G2501" t="inlineStr">
        <is>
          <t>01</t>
        </is>
      </c>
      <c r="H2501" t="inlineStr">
        <is>
          <t>09  KG</t>
        </is>
      </c>
      <c r="I2501" t="inlineStr">
        <is>
          <t>2029</t>
        </is>
      </c>
      <c r="J2501" t="n">
        <v>2024</v>
      </c>
      <c r="K2501" t="inlineStr">
        <is>
          <t>DICIEMBRE 2024</t>
        </is>
      </c>
      <c r="L2501" t="inlineStr">
        <is>
          <t>DICIEMBRE 2025</t>
        </is>
      </c>
      <c r="M2501" t="inlineStr">
        <is>
          <t xml:space="preserve">P.Q.S TIPO ABC </t>
        </is>
      </c>
      <c r="N2501" t="inlineStr">
        <is>
          <t>PISO 10 / 000073</t>
        </is>
      </c>
      <c r="O2501" t="inlineStr">
        <is>
          <t>V</t>
        </is>
      </c>
      <c r="P2501">
        <f>TRIM(N2501)</f>
        <v/>
      </c>
    </row>
    <row r="2502">
      <c r="A2502" t="inlineStr">
        <is>
          <t>CO-002159</t>
        </is>
      </c>
      <c r="B2502" t="inlineStr">
        <is>
          <t>PERU MASIVO S.A</t>
        </is>
      </c>
      <c r="C2502" t="inlineStr">
        <is>
          <t>20492392031</t>
        </is>
      </c>
      <c r="D2502" t="inlineStr">
        <is>
          <t>AV. LOS INCAS CDRA. 4 PATIO NORTE - COMAS</t>
        </is>
      </c>
      <c r="E2502" t="inlineStr">
        <is>
          <t>Lima, 23 de Diciembre de 2024</t>
        </is>
      </c>
      <c r="F2502" t="inlineStr">
        <is>
          <t>la Recarga y mantenimiento</t>
        </is>
      </c>
      <c r="G2502" t="inlineStr">
        <is>
          <t>01</t>
        </is>
      </c>
      <c r="H2502" t="inlineStr">
        <is>
          <t>06 KG</t>
        </is>
      </c>
      <c r="I2502" t="inlineStr">
        <is>
          <t>2028</t>
        </is>
      </c>
      <c r="J2502" t="n">
        <v>2009</v>
      </c>
      <c r="K2502" t="inlineStr">
        <is>
          <t>DICIEMBRE 2024</t>
        </is>
      </c>
      <c r="L2502" t="inlineStr">
        <is>
          <t>DICIEMBRE 2025</t>
        </is>
      </c>
      <c r="M2502" t="inlineStr">
        <is>
          <t>PQS/ABC AL 90% ASIATICO</t>
        </is>
      </c>
      <c r="N2502" t="inlineStr">
        <is>
          <t>142/000123</t>
        </is>
      </c>
      <c r="O2502" t="inlineStr">
        <is>
          <t>R</t>
        </is>
      </c>
      <c r="P2502">
        <f>TRIM(N2502)</f>
        <v/>
      </c>
    </row>
    <row r="2503">
      <c r="A2503" t="inlineStr">
        <is>
          <t>CO-002159</t>
        </is>
      </c>
      <c r="B2503" t="inlineStr">
        <is>
          <t>PERU MASIVO S.A</t>
        </is>
      </c>
      <c r="C2503" t="inlineStr">
        <is>
          <t>20492392031</t>
        </is>
      </c>
      <c r="D2503" t="inlineStr">
        <is>
          <t>AV. LOS INCAS CDRA. 4 PATIO NORTE - COMAS</t>
        </is>
      </c>
      <c r="E2503" t="inlineStr">
        <is>
          <t>Lima, 23 de Diciembre de 2024</t>
        </is>
      </c>
      <c r="F2503" t="inlineStr">
        <is>
          <t>la Recarga y mantenimiento</t>
        </is>
      </c>
      <c r="G2503" t="inlineStr">
        <is>
          <t>02</t>
        </is>
      </c>
      <c r="H2503" t="inlineStr">
        <is>
          <t>06 LG</t>
        </is>
      </c>
      <c r="I2503" t="inlineStr">
        <is>
          <t>2028</t>
        </is>
      </c>
      <c r="J2503" t="n">
        <v>2010</v>
      </c>
      <c r="K2503" t="inlineStr">
        <is>
          <t>DICIEMBRE 2024</t>
        </is>
      </c>
      <c r="L2503" t="inlineStr">
        <is>
          <t>DICIEMBRE 2025</t>
        </is>
      </c>
      <c r="M2503" t="inlineStr">
        <is>
          <t>PQS/ABC AL 90% ASIATICO</t>
        </is>
      </c>
      <c r="N2503" t="inlineStr">
        <is>
          <t>58/000312</t>
        </is>
      </c>
      <c r="O2503" t="inlineStr">
        <is>
          <t>R</t>
        </is>
      </c>
      <c r="P2503">
        <f>TRIM(N2503)</f>
        <v/>
      </c>
    </row>
    <row r="2504">
      <c r="A2504" t="inlineStr">
        <is>
          <t>CO-002159</t>
        </is>
      </c>
      <c r="B2504" t="inlineStr">
        <is>
          <t>PERU MASIVO S.A</t>
        </is>
      </c>
      <c r="C2504" t="inlineStr">
        <is>
          <t>20492392031</t>
        </is>
      </c>
      <c r="D2504" t="inlineStr">
        <is>
          <t>AV. LOS INCAS CDRA. 4 PATIO NORTE - COMAS</t>
        </is>
      </c>
      <c r="E2504" t="inlineStr">
        <is>
          <t>Lima, 23 de Diciembre de 2024</t>
        </is>
      </c>
      <c r="F2504" t="inlineStr">
        <is>
          <t>la Recarga y mantenimiento</t>
        </is>
      </c>
      <c r="G2504" t="inlineStr">
        <is>
          <t>03</t>
        </is>
      </c>
      <c r="H2504" t="inlineStr">
        <is>
          <t>06 KG</t>
        </is>
      </c>
      <c r="I2504" t="inlineStr">
        <is>
          <t>2028</t>
        </is>
      </c>
      <c r="J2504" t="n">
        <v>2010</v>
      </c>
      <c r="K2504" t="inlineStr">
        <is>
          <t>DICIEMBRE 2024</t>
        </is>
      </c>
      <c r="L2504" t="inlineStr">
        <is>
          <t>DICIEMBRE 2025</t>
        </is>
      </c>
      <c r="M2504" t="inlineStr">
        <is>
          <t>PQS/ABC AL 90% ASIATICO</t>
        </is>
      </c>
      <c r="N2504" t="inlineStr">
        <is>
          <t>S/N/000003</t>
        </is>
      </c>
      <c r="O2504" t="inlineStr">
        <is>
          <t>R</t>
        </is>
      </c>
      <c r="P2504">
        <f>TRIM(N2504)</f>
        <v/>
      </c>
    </row>
    <row r="2505">
      <c r="A2505" t="inlineStr">
        <is>
          <t>CO-002159</t>
        </is>
      </c>
      <c r="B2505" t="inlineStr">
        <is>
          <t>PERU MASIVO S.A</t>
        </is>
      </c>
      <c r="C2505" t="inlineStr">
        <is>
          <t>20492392031</t>
        </is>
      </c>
      <c r="D2505" t="inlineStr">
        <is>
          <t>AV. LOS INCAS CDRA. 4 PATIO NORTE - COMAS</t>
        </is>
      </c>
      <c r="E2505" t="inlineStr">
        <is>
          <t>Lima, 23 de Diciembre de 2024</t>
        </is>
      </c>
      <c r="F2505" t="inlineStr">
        <is>
          <t>la Recarga y mantenimiento</t>
        </is>
      </c>
      <c r="G2505" t="inlineStr">
        <is>
          <t>04</t>
        </is>
      </c>
      <c r="H2505" t="inlineStr">
        <is>
          <t>06 KG</t>
        </is>
      </c>
      <c r="I2505" t="inlineStr">
        <is>
          <t>2028</t>
        </is>
      </c>
      <c r="J2505" t="n">
        <v>2010</v>
      </c>
      <c r="K2505" t="inlineStr">
        <is>
          <t>DICIEMBRE 2024</t>
        </is>
      </c>
      <c r="L2505" t="inlineStr">
        <is>
          <t>DICIEMBRE 2025</t>
        </is>
      </c>
      <c r="M2505" t="inlineStr">
        <is>
          <t>PQS/ABC AL 90% ASIATICO</t>
        </is>
      </c>
      <c r="N2505" t="inlineStr">
        <is>
          <t>255/000108</t>
        </is>
      </c>
      <c r="O2505" t="inlineStr">
        <is>
          <t>R</t>
        </is>
      </c>
      <c r="P2505">
        <f>TRIM(N2505)</f>
        <v/>
      </c>
    </row>
    <row r="2506">
      <c r="A2506" t="inlineStr">
        <is>
          <t>CO-002159</t>
        </is>
      </c>
      <c r="B2506" t="inlineStr">
        <is>
          <t>PERU MASIVO S.A</t>
        </is>
      </c>
      <c r="C2506" t="inlineStr">
        <is>
          <t>20492392031</t>
        </is>
      </c>
      <c r="D2506" t="inlineStr">
        <is>
          <t>AV. LOS INCAS CDRA. 4 PATIO NORTE - COMAS</t>
        </is>
      </c>
      <c r="E2506" t="inlineStr">
        <is>
          <t>Lima, 23 de Diciembre de 2024</t>
        </is>
      </c>
      <c r="F2506" t="inlineStr">
        <is>
          <t>la Recarga y mantenimiento</t>
        </is>
      </c>
      <c r="G2506" t="inlineStr">
        <is>
          <t>05</t>
        </is>
      </c>
      <c r="H2506" t="inlineStr">
        <is>
          <t>06 KG</t>
        </is>
      </c>
      <c r="I2506" t="inlineStr">
        <is>
          <t>2028</t>
        </is>
      </c>
      <c r="J2506" t="n">
        <v>2010</v>
      </c>
      <c r="K2506" t="inlineStr">
        <is>
          <t>DICIEMBRE 2024</t>
        </is>
      </c>
      <c r="L2506" t="inlineStr">
        <is>
          <t>DICIEMBRE 2025</t>
        </is>
      </c>
      <c r="M2506" t="inlineStr">
        <is>
          <t>PQS/ABC AL 90% ASIATICO</t>
        </is>
      </c>
      <c r="N2506" t="inlineStr">
        <is>
          <t>336/000307</t>
        </is>
      </c>
      <c r="O2506" t="inlineStr">
        <is>
          <t>R</t>
        </is>
      </c>
      <c r="P2506">
        <f>TRIM(N2506)</f>
        <v/>
      </c>
    </row>
    <row r="2507">
      <c r="A2507" t="inlineStr">
        <is>
          <t>CO-002159</t>
        </is>
      </c>
      <c r="B2507" t="inlineStr">
        <is>
          <t>PERU MASIVO S.A</t>
        </is>
      </c>
      <c r="C2507" t="inlineStr">
        <is>
          <t>20492392031</t>
        </is>
      </c>
      <c r="D2507" t="inlineStr">
        <is>
          <t>AV. LOS INCAS CDRA. 4 PATIO NORTE - COMAS</t>
        </is>
      </c>
      <c r="E2507" t="inlineStr">
        <is>
          <t>Lima, 23 de Diciembre de 2024</t>
        </is>
      </c>
      <c r="F2507" t="inlineStr">
        <is>
          <t>la Recarga y mantenimiento</t>
        </is>
      </c>
      <c r="G2507" t="inlineStr">
        <is>
          <t>06</t>
        </is>
      </c>
      <c r="H2507" t="inlineStr">
        <is>
          <t>06 KG</t>
        </is>
      </c>
      <c r="I2507" t="inlineStr">
        <is>
          <t>2028</t>
        </is>
      </c>
      <c r="J2507" t="n">
        <v>2017</v>
      </c>
      <c r="K2507" t="inlineStr">
        <is>
          <t>DICIEMBRE 2024</t>
        </is>
      </c>
      <c r="L2507" t="inlineStr">
        <is>
          <t>DICIEMBRE 2025</t>
        </is>
      </c>
      <c r="M2507" t="inlineStr">
        <is>
          <t>PQS/ABC AL 90% ASIATICO</t>
        </is>
      </c>
      <c r="N2507" t="inlineStr">
        <is>
          <t>S/N/000483</t>
        </is>
      </c>
      <c r="O2507" t="inlineStr">
        <is>
          <t>R</t>
        </is>
      </c>
      <c r="P2507">
        <f>TRIM(N2507)</f>
        <v/>
      </c>
    </row>
    <row r="2508">
      <c r="A2508" t="inlineStr">
        <is>
          <t>CO-002159</t>
        </is>
      </c>
      <c r="B2508" t="inlineStr">
        <is>
          <t>PERU MASIVO S.A</t>
        </is>
      </c>
      <c r="C2508" t="inlineStr">
        <is>
          <t>20492392031</t>
        </is>
      </c>
      <c r="D2508" t="inlineStr">
        <is>
          <t>AV. LOS INCAS CDRA. 4 PATIO NORTE - COMAS</t>
        </is>
      </c>
      <c r="E2508" t="inlineStr">
        <is>
          <t>Lima, 23 de Diciembre de 2024</t>
        </is>
      </c>
      <c r="F2508" t="inlineStr">
        <is>
          <t>la Recarga y mantenimiento</t>
        </is>
      </c>
      <c r="G2508" t="inlineStr">
        <is>
          <t>07</t>
        </is>
      </c>
      <c r="H2508" t="inlineStr">
        <is>
          <t>06 KG</t>
        </is>
      </c>
      <c r="I2508" t="inlineStr">
        <is>
          <t>2028</t>
        </is>
      </c>
      <c r="J2508" t="n">
        <v>2011</v>
      </c>
      <c r="K2508" t="inlineStr">
        <is>
          <t>DICIEMBRE 2024</t>
        </is>
      </c>
      <c r="L2508" t="inlineStr">
        <is>
          <t>DICIEMBRE 2025</t>
        </is>
      </c>
      <c r="M2508" t="inlineStr">
        <is>
          <t>PQS/ABC AL 90% ASIATICO</t>
        </is>
      </c>
      <c r="N2508" t="inlineStr">
        <is>
          <t>S/N/000006</t>
        </is>
      </c>
      <c r="O2508" t="inlineStr">
        <is>
          <t>R</t>
        </is>
      </c>
      <c r="P2508">
        <f>TRIM(N2508)</f>
        <v/>
      </c>
    </row>
    <row r="2509">
      <c r="A2509" t="inlineStr">
        <is>
          <t>CO-002159</t>
        </is>
      </c>
      <c r="B2509" t="inlineStr">
        <is>
          <t>PERU MASIVO S.A</t>
        </is>
      </c>
      <c r="C2509" t="inlineStr">
        <is>
          <t>20492392031</t>
        </is>
      </c>
      <c r="D2509" t="inlineStr">
        <is>
          <t>AV. LOS INCAS CDRA. 4 PATIO NORTE - COMAS</t>
        </is>
      </c>
      <c r="E2509" t="inlineStr">
        <is>
          <t>Lima, 23 de Diciembre de 2024</t>
        </is>
      </c>
      <c r="F2509" t="inlineStr">
        <is>
          <t>la Recarga y mantenimiento</t>
        </is>
      </c>
      <c r="G2509" t="inlineStr">
        <is>
          <t>08</t>
        </is>
      </c>
      <c r="H2509" t="inlineStr">
        <is>
          <t>06 KG</t>
        </is>
      </c>
      <c r="I2509" t="inlineStr">
        <is>
          <t>2028</t>
        </is>
      </c>
      <c r="J2509" t="n">
        <v>2004</v>
      </c>
      <c r="K2509" t="inlineStr">
        <is>
          <t>DICIEMBRE 2024</t>
        </is>
      </c>
      <c r="L2509" t="inlineStr">
        <is>
          <t>DICIEMBRE 2025</t>
        </is>
      </c>
      <c r="M2509" t="inlineStr">
        <is>
          <t>PQS/ABC AL 90% ASIATICO</t>
        </is>
      </c>
      <c r="N2509" t="inlineStr">
        <is>
          <t>42/001270</t>
        </is>
      </c>
      <c r="P2509">
        <f>TRIM(N2509)</f>
        <v/>
      </c>
    </row>
    <row r="2510">
      <c r="A2510" t="inlineStr">
        <is>
          <t>CO-002160</t>
        </is>
      </c>
      <c r="B2510" t="inlineStr">
        <is>
          <t>PERU MASIVO S.A</t>
        </is>
      </c>
      <c r="C2510" t="inlineStr">
        <is>
          <t>20492392031</t>
        </is>
      </c>
      <c r="D2510" t="inlineStr">
        <is>
          <t>AV. LOS INCAS CDRA. 4 PATIO NORTE - COMAS</t>
        </is>
      </c>
      <c r="E2510" t="inlineStr">
        <is>
          <t>Lima, 26 de Diciembre de 2024</t>
        </is>
      </c>
      <c r="F2510" t="inlineStr">
        <is>
          <t>la Recarga y mantenimiento</t>
        </is>
      </c>
      <c r="G2510" t="inlineStr">
        <is>
          <t>01</t>
        </is>
      </c>
      <c r="H2510" t="inlineStr">
        <is>
          <t xml:space="preserve">06 KG </t>
        </is>
      </c>
      <c r="I2510" t="inlineStr">
        <is>
          <t>2028</t>
        </is>
      </c>
      <c r="J2510" t="n">
        <v>2009</v>
      </c>
      <c r="K2510" t="inlineStr">
        <is>
          <t>DICIEMBRE 2024</t>
        </is>
      </c>
      <c r="L2510" t="inlineStr">
        <is>
          <t>DICIEMBRE 2025</t>
        </is>
      </c>
      <c r="M2510" t="inlineStr">
        <is>
          <t>PQS/ABC AL 90% ASIATICO</t>
        </is>
      </c>
      <c r="N2510" t="inlineStr">
        <is>
          <t>303/001225</t>
        </is>
      </c>
      <c r="O2510" t="inlineStr">
        <is>
          <t>R</t>
        </is>
      </c>
      <c r="P2510">
        <f>TRIM(N2510)</f>
        <v/>
      </c>
    </row>
    <row r="2511">
      <c r="A2511" t="inlineStr">
        <is>
          <t>CO-002160</t>
        </is>
      </c>
      <c r="B2511" t="inlineStr">
        <is>
          <t>PERU MASIVO S.A</t>
        </is>
      </c>
      <c r="C2511" t="inlineStr">
        <is>
          <t>20492392031</t>
        </is>
      </c>
      <c r="D2511" t="inlineStr">
        <is>
          <t>AV. LOS INCAS CDRA. 4 PATIO NORTE - COMAS</t>
        </is>
      </c>
      <c r="E2511" t="inlineStr">
        <is>
          <t>Lima, 26 de Diciembre de 2024</t>
        </is>
      </c>
      <c r="F2511" t="inlineStr">
        <is>
          <t>la Recarga y mantenimiento</t>
        </is>
      </c>
      <c r="G2511" t="inlineStr">
        <is>
          <t>02</t>
        </is>
      </c>
      <c r="H2511" t="inlineStr">
        <is>
          <t xml:space="preserve">06 KG </t>
        </is>
      </c>
      <c r="I2511" t="inlineStr">
        <is>
          <t>2028</t>
        </is>
      </c>
      <c r="J2511" t="n">
        <v>2009</v>
      </c>
      <c r="K2511" t="inlineStr">
        <is>
          <t>DICIEMBRE 2024</t>
        </is>
      </c>
      <c r="L2511" t="inlineStr">
        <is>
          <t>DICIEMBRE 2025</t>
        </is>
      </c>
      <c r="M2511" t="inlineStr">
        <is>
          <t>PQS/ABC AL 90% ASIATICO</t>
        </is>
      </c>
      <c r="N2511" t="inlineStr">
        <is>
          <t>136/000008</t>
        </is>
      </c>
      <c r="O2511" t="inlineStr">
        <is>
          <t>R</t>
        </is>
      </c>
      <c r="P2511">
        <f>TRIM(N2511)</f>
        <v/>
      </c>
    </row>
    <row r="2512">
      <c r="A2512" t="inlineStr">
        <is>
          <t>CO-002160</t>
        </is>
      </c>
      <c r="B2512" t="inlineStr">
        <is>
          <t>PERU MASIVO S.A</t>
        </is>
      </c>
      <c r="C2512" t="inlineStr">
        <is>
          <t>20492392031</t>
        </is>
      </c>
      <c r="D2512" t="inlineStr">
        <is>
          <t>AV. LOS INCAS CDRA. 4 PATIO NORTE - COMAS</t>
        </is>
      </c>
      <c r="E2512" t="inlineStr">
        <is>
          <t>Lima, 26 de Diciembre de 2024</t>
        </is>
      </c>
      <c r="F2512" t="inlineStr">
        <is>
          <t>la Recarga y mantenimiento</t>
        </is>
      </c>
      <c r="G2512" t="inlineStr">
        <is>
          <t>03</t>
        </is>
      </c>
      <c r="H2512" t="inlineStr">
        <is>
          <t xml:space="preserve">06 KG </t>
        </is>
      </c>
      <c r="I2512" t="inlineStr">
        <is>
          <t>2028</t>
        </is>
      </c>
      <c r="J2512" t="n">
        <v>2009</v>
      </c>
      <c r="K2512" t="inlineStr">
        <is>
          <t>DICIEMBRE 2024</t>
        </is>
      </c>
      <c r="L2512" t="inlineStr">
        <is>
          <t>DICIEMBRE 2025</t>
        </is>
      </c>
      <c r="M2512" t="inlineStr">
        <is>
          <t>PQS/ABC AL 90% ASIATICO</t>
        </is>
      </c>
      <c r="N2512" t="inlineStr">
        <is>
          <t>S/N004887</t>
        </is>
      </c>
      <c r="O2512" t="inlineStr">
        <is>
          <t>R</t>
        </is>
      </c>
      <c r="P2512">
        <f>TRIM(N2512)</f>
        <v/>
      </c>
    </row>
    <row r="2513">
      <c r="A2513" t="inlineStr">
        <is>
          <t>CO-002160</t>
        </is>
      </c>
      <c r="B2513" t="inlineStr">
        <is>
          <t>PERU MASIVO S.A</t>
        </is>
      </c>
      <c r="C2513" t="inlineStr">
        <is>
          <t>20492392031</t>
        </is>
      </c>
      <c r="D2513" t="inlineStr">
        <is>
          <t>AV. LOS INCAS CDRA. 4 PATIO NORTE - COMAS</t>
        </is>
      </c>
      <c r="E2513" t="inlineStr">
        <is>
          <t>Lima, 26 de Diciembre de 2024</t>
        </is>
      </c>
      <c r="F2513" t="inlineStr">
        <is>
          <t>la Recarga y mantenimiento</t>
        </is>
      </c>
      <c r="G2513" t="inlineStr">
        <is>
          <t>04</t>
        </is>
      </c>
      <c r="H2513" t="inlineStr">
        <is>
          <t xml:space="preserve">06 KG </t>
        </is>
      </c>
      <c r="I2513" t="inlineStr">
        <is>
          <t>2028</t>
        </is>
      </c>
      <c r="J2513" t="n">
        <v>2009</v>
      </c>
      <c r="K2513" t="inlineStr">
        <is>
          <t>DICIEMBRE 2024</t>
        </is>
      </c>
      <c r="L2513" t="inlineStr">
        <is>
          <t>DICIEMBRE 2025</t>
        </is>
      </c>
      <c r="M2513" t="inlineStr">
        <is>
          <t>PQS/ABC AL 90% ASIATICO</t>
        </is>
      </c>
      <c r="N2513" t="inlineStr">
        <is>
          <t>106/000837</t>
        </is>
      </c>
      <c r="O2513" t="inlineStr">
        <is>
          <t>R</t>
        </is>
      </c>
      <c r="P2513">
        <f>TRIM(N2513)</f>
        <v/>
      </c>
    </row>
    <row r="2514">
      <c r="A2514" t="inlineStr">
        <is>
          <t>CO-002160</t>
        </is>
      </c>
      <c r="B2514" t="inlineStr">
        <is>
          <t>PERU MASIVO S.A</t>
        </is>
      </c>
      <c r="C2514" t="inlineStr">
        <is>
          <t>20492392031</t>
        </is>
      </c>
      <c r="D2514" t="inlineStr">
        <is>
          <t>AV. LOS INCAS CDRA. 4 PATIO NORTE - COMAS</t>
        </is>
      </c>
      <c r="E2514" t="inlineStr">
        <is>
          <t>Lima, 26 de Diciembre de 2024</t>
        </is>
      </c>
      <c r="F2514" t="inlineStr">
        <is>
          <t>la Recarga y mantenimiento</t>
        </is>
      </c>
      <c r="G2514" t="inlineStr">
        <is>
          <t>05</t>
        </is>
      </c>
      <c r="H2514" t="inlineStr">
        <is>
          <t xml:space="preserve">06 KG </t>
        </is>
      </c>
      <c r="I2514" t="inlineStr">
        <is>
          <t>2028</t>
        </is>
      </c>
      <c r="J2514" t="n">
        <v>2009</v>
      </c>
      <c r="K2514" t="inlineStr">
        <is>
          <t>DICIEMBRE 2024</t>
        </is>
      </c>
      <c r="L2514" t="inlineStr">
        <is>
          <t>DICIEMBRE 2025</t>
        </is>
      </c>
      <c r="M2514" t="inlineStr">
        <is>
          <t>PQS/ABC AL 90% ASIATICO</t>
        </is>
      </c>
      <c r="N2514" t="inlineStr">
        <is>
          <t>309/000234</t>
        </is>
      </c>
      <c r="O2514" t="inlineStr">
        <is>
          <t>R</t>
        </is>
      </c>
      <c r="P2514">
        <f>TRIM(N2514)</f>
        <v/>
      </c>
    </row>
    <row r="2515">
      <c r="A2515" t="inlineStr">
        <is>
          <t>CO-002160</t>
        </is>
      </c>
      <c r="B2515" t="inlineStr">
        <is>
          <t>PERU MASIVO S.A</t>
        </is>
      </c>
      <c r="C2515" t="inlineStr">
        <is>
          <t>20492392031</t>
        </is>
      </c>
      <c r="D2515" t="inlineStr">
        <is>
          <t>AV. LOS INCAS CDRA. 4 PATIO NORTE - COMAS</t>
        </is>
      </c>
      <c r="E2515" t="inlineStr">
        <is>
          <t>Lima, 26 de Diciembre de 2024</t>
        </is>
      </c>
      <c r="F2515" t="inlineStr">
        <is>
          <t>la Recarga y mantenimiento</t>
        </is>
      </c>
      <c r="G2515" t="inlineStr">
        <is>
          <t>06</t>
        </is>
      </c>
      <c r="H2515" t="inlineStr">
        <is>
          <t xml:space="preserve">06 KG </t>
        </is>
      </c>
      <c r="I2515" t="inlineStr">
        <is>
          <t>2028</t>
        </is>
      </c>
      <c r="J2515" t="n">
        <v>2009</v>
      </c>
      <c r="K2515" t="inlineStr">
        <is>
          <t>DICIEMBRE 2024</t>
        </is>
      </c>
      <c r="L2515" t="inlineStr">
        <is>
          <t>DICIEMBRE 2025</t>
        </is>
      </c>
      <c r="M2515" t="inlineStr">
        <is>
          <t>PQS/ABC AL 90% ASIATICO</t>
        </is>
      </c>
      <c r="N2515" t="inlineStr">
        <is>
          <t>S/N/000313</t>
        </is>
      </c>
      <c r="O2515" t="inlineStr">
        <is>
          <t>R</t>
        </is>
      </c>
      <c r="P2515">
        <f>TRIM(N2515)</f>
        <v/>
      </c>
    </row>
    <row r="2516">
      <c r="A2516" t="inlineStr">
        <is>
          <t>CO-002160</t>
        </is>
      </c>
      <c r="B2516" t="inlineStr">
        <is>
          <t>PERU MASIVO S.A</t>
        </is>
      </c>
      <c r="C2516" t="inlineStr">
        <is>
          <t>20492392031</t>
        </is>
      </c>
      <c r="D2516" t="inlineStr">
        <is>
          <t>AV. LOS INCAS CDRA. 4 PATIO NORTE - COMAS</t>
        </is>
      </c>
      <c r="E2516" t="inlineStr">
        <is>
          <t>Lima, 26 de Diciembre de 2024</t>
        </is>
      </c>
      <c r="F2516" t="inlineStr">
        <is>
          <t>la Recarga y mantenimiento</t>
        </is>
      </c>
      <c r="G2516" t="inlineStr">
        <is>
          <t>07</t>
        </is>
      </c>
      <c r="H2516" t="inlineStr">
        <is>
          <t xml:space="preserve">06 KG </t>
        </is>
      </c>
      <c r="I2516" t="inlineStr">
        <is>
          <t>2028</t>
        </is>
      </c>
      <c r="J2516" t="n">
        <v>2009</v>
      </c>
      <c r="K2516" t="inlineStr">
        <is>
          <t>DICIEMBRE 2024</t>
        </is>
      </c>
      <c r="L2516" t="inlineStr">
        <is>
          <t>DICIEMBRE 2025</t>
        </is>
      </c>
      <c r="M2516" t="inlineStr">
        <is>
          <t>PQS/ABC AL 90% ASIATICO</t>
        </is>
      </c>
      <c r="N2516" t="inlineStr">
        <is>
          <t>34/001548</t>
        </is>
      </c>
      <c r="O2516" t="inlineStr">
        <is>
          <t>R</t>
        </is>
      </c>
      <c r="P2516">
        <f>TRIM(N2516)</f>
        <v/>
      </c>
    </row>
    <row r="2517">
      <c r="A2517" t="inlineStr">
        <is>
          <t>CO-002160</t>
        </is>
      </c>
      <c r="B2517" t="inlineStr">
        <is>
          <t>PERU MASIVO S.A</t>
        </is>
      </c>
      <c r="C2517" t="inlineStr">
        <is>
          <t>20492392031</t>
        </is>
      </c>
      <c r="D2517" t="inlineStr">
        <is>
          <t>AV. LOS INCAS CDRA. 4 PATIO NORTE - COMAS</t>
        </is>
      </c>
      <c r="E2517" t="inlineStr">
        <is>
          <t>Lima, 26 de Diciembre de 2024</t>
        </is>
      </c>
      <c r="F2517" t="inlineStr">
        <is>
          <t>la Recarga y mantenimiento</t>
        </is>
      </c>
      <c r="G2517" t="inlineStr">
        <is>
          <t>08</t>
        </is>
      </c>
      <c r="H2517" t="inlineStr">
        <is>
          <t xml:space="preserve">06 KG </t>
        </is>
      </c>
      <c r="I2517" t="inlineStr">
        <is>
          <t>2028</t>
        </is>
      </c>
      <c r="J2517" t="n">
        <v>2009</v>
      </c>
      <c r="K2517" t="inlineStr">
        <is>
          <t>DICIEMBRE 2024</t>
        </is>
      </c>
      <c r="L2517" t="inlineStr">
        <is>
          <t>DICIEMBRE 2025</t>
        </is>
      </c>
      <c r="M2517" t="inlineStr">
        <is>
          <t>PQS/ABC AL 90% ASIATICO</t>
        </is>
      </c>
      <c r="N2517" t="inlineStr">
        <is>
          <t>100/000139</t>
        </is>
      </c>
      <c r="O2517" t="inlineStr">
        <is>
          <t>R</t>
        </is>
      </c>
      <c r="P2517">
        <f>TRIM(N2517)</f>
        <v/>
      </c>
    </row>
    <row r="2518">
      <c r="A2518" t="inlineStr">
        <is>
          <t>CO-002161</t>
        </is>
      </c>
      <c r="B2518" t="inlineStr">
        <is>
          <t>MENESES ALTUNA URSULA DENISS</t>
        </is>
      </c>
      <c r="C2518" t="inlineStr">
        <is>
          <t>10415785351</t>
        </is>
      </c>
      <c r="D2518" t="inlineStr">
        <is>
          <t>AV. LOS INCAS N° 1054 URB. EL PINAR - COMAS</t>
        </is>
      </c>
      <c r="E2518" t="inlineStr">
        <is>
          <t>Lima, 04 de Marzo de 2024</t>
        </is>
      </c>
      <c r="F2518" t="inlineStr">
        <is>
          <t>la Recarga y mantenimiento</t>
        </is>
      </c>
      <c r="G2518" t="inlineStr">
        <is>
          <t>01</t>
        </is>
      </c>
      <c r="H2518" t="inlineStr">
        <is>
          <t>06 KG</t>
        </is>
      </c>
      <c r="I2518" t="inlineStr">
        <is>
          <t>2027</t>
        </is>
      </c>
      <c r="J2518" t="n">
        <v>2022</v>
      </c>
      <c r="K2518" t="inlineStr">
        <is>
          <t>MARZO 2024</t>
        </is>
      </c>
      <c r="L2518" t="inlineStr">
        <is>
          <t>MARZO 2025</t>
        </is>
      </c>
      <c r="M2518" t="inlineStr">
        <is>
          <t xml:space="preserve">P.Q.S.  TIPO ABC </t>
        </is>
      </c>
      <c r="N2518" t="inlineStr">
        <is>
          <t>501127</t>
        </is>
      </c>
      <c r="O2518" t="inlineStr">
        <is>
          <t>R</t>
        </is>
      </c>
      <c r="P2518">
        <f>TRIM(N2518)</f>
        <v/>
      </c>
    </row>
    <row r="2519">
      <c r="A2519" t="inlineStr">
        <is>
          <t>CO-002161</t>
        </is>
      </c>
      <c r="B2519" t="inlineStr">
        <is>
          <t>MENESES ALTUNA URSULA DENISS</t>
        </is>
      </c>
      <c r="C2519" t="inlineStr">
        <is>
          <t>10415785351</t>
        </is>
      </c>
      <c r="D2519" t="inlineStr">
        <is>
          <t>AV. LOS INCAS N° 1054 URB. EL PINAR - COMAS</t>
        </is>
      </c>
      <c r="E2519" t="inlineStr">
        <is>
          <t>Lima, 04 de Marzo de 2024</t>
        </is>
      </c>
      <c r="F2519" t="inlineStr">
        <is>
          <t>la Recarga y mantenimiento</t>
        </is>
      </c>
      <c r="G2519" t="inlineStr">
        <is>
          <t>02</t>
        </is>
      </c>
      <c r="H2519" t="inlineStr">
        <is>
          <t>06 KG</t>
        </is>
      </c>
      <c r="I2519" t="inlineStr">
        <is>
          <t>2029</t>
        </is>
      </c>
      <c r="J2519" t="n">
        <v>2017</v>
      </c>
      <c r="K2519" t="inlineStr">
        <is>
          <t>MARZO 2024</t>
        </is>
      </c>
      <c r="L2519" t="inlineStr">
        <is>
          <t>MARZO 2025</t>
        </is>
      </c>
      <c r="M2519" t="inlineStr">
        <is>
          <t xml:space="preserve">P.Q.S.  TIPO ABC </t>
        </is>
      </c>
      <c r="N2519" t="inlineStr">
        <is>
          <t>000244</t>
        </is>
      </c>
      <c r="O2519" t="inlineStr">
        <is>
          <t>R</t>
        </is>
      </c>
      <c r="P2519">
        <f>TRIM(N2519)</f>
        <v/>
      </c>
    </row>
    <row r="2520">
      <c r="A2520" t="inlineStr">
        <is>
          <t>CO-002161</t>
        </is>
      </c>
      <c r="B2520" t="inlineStr">
        <is>
          <t>MENESES ALTUNA URSULA DENISS</t>
        </is>
      </c>
      <c r="C2520" t="inlineStr">
        <is>
          <t>10415785351</t>
        </is>
      </c>
      <c r="D2520" t="inlineStr">
        <is>
          <t>AV. LOS INCAS N° 1054 URB. EL PINAR - COMAS</t>
        </is>
      </c>
      <c r="E2520" t="inlineStr">
        <is>
          <t>Lima, 04 de Marzo de 2024</t>
        </is>
      </c>
      <c r="F2520" t="inlineStr">
        <is>
          <t>la Recarga y mantenimiento</t>
        </is>
      </c>
      <c r="G2520" t="inlineStr">
        <is>
          <t>03</t>
        </is>
      </c>
      <c r="H2520" t="inlineStr">
        <is>
          <t>06 KG</t>
        </is>
      </c>
      <c r="I2520" t="inlineStr">
        <is>
          <t>2029</t>
        </is>
      </c>
      <c r="J2520" t="n">
        <v>2012</v>
      </c>
      <c r="K2520" t="inlineStr">
        <is>
          <t>MARZO 2024</t>
        </is>
      </c>
      <c r="L2520" t="inlineStr">
        <is>
          <t>MARZO 2025</t>
        </is>
      </c>
      <c r="M2520" t="inlineStr">
        <is>
          <t xml:space="preserve">P.Q.S.  TIPO ABC </t>
        </is>
      </c>
      <c r="N2520" t="inlineStr">
        <is>
          <t>001722</t>
        </is>
      </c>
      <c r="O2520" t="inlineStr">
        <is>
          <t>R</t>
        </is>
      </c>
      <c r="P2520">
        <f>TRIM(N2520)</f>
        <v/>
      </c>
    </row>
    <row r="2521">
      <c r="A2521" t="inlineStr">
        <is>
          <t>CO-002161</t>
        </is>
      </c>
      <c r="B2521" t="inlineStr">
        <is>
          <t>MENESES ALTUNA URSULA DENISS</t>
        </is>
      </c>
      <c r="C2521" t="inlineStr">
        <is>
          <t>10415785351</t>
        </is>
      </c>
      <c r="D2521" t="inlineStr">
        <is>
          <t>AV. LOS INCAS N° 1054 URB. EL PINAR - COMAS</t>
        </is>
      </c>
      <c r="E2521" t="inlineStr">
        <is>
          <t>Lima, 04 de Marzo de 2024</t>
        </is>
      </c>
      <c r="F2521" t="inlineStr">
        <is>
          <t>la Recarga y mantenimiento</t>
        </is>
      </c>
      <c r="G2521" t="inlineStr">
        <is>
          <t>04</t>
        </is>
      </c>
      <c r="H2521" t="inlineStr">
        <is>
          <t>06 KG</t>
        </is>
      </c>
      <c r="I2521" t="inlineStr">
        <is>
          <t>2027</t>
        </is>
      </c>
      <c r="J2521" t="n">
        <v>2022</v>
      </c>
      <c r="K2521" t="inlineStr">
        <is>
          <t>MARZO 2024</t>
        </is>
      </c>
      <c r="L2521" t="inlineStr">
        <is>
          <t>MARZO 2025</t>
        </is>
      </c>
      <c r="M2521" t="inlineStr">
        <is>
          <t xml:space="preserve">P.Q.S.  TIPO ABC </t>
        </is>
      </c>
      <c r="N2521" t="inlineStr">
        <is>
          <t>492684</t>
        </is>
      </c>
      <c r="O2521" t="inlineStr">
        <is>
          <t>R</t>
        </is>
      </c>
      <c r="P2521">
        <f>TRIM(N2521)</f>
        <v/>
      </c>
    </row>
    <row r="2522">
      <c r="A2522" t="inlineStr">
        <is>
          <t>CO-002161</t>
        </is>
      </c>
      <c r="B2522" t="inlineStr">
        <is>
          <t>MENESES ALTUNA URSULA DENISS</t>
        </is>
      </c>
      <c r="C2522" t="inlineStr">
        <is>
          <t>10415785351</t>
        </is>
      </c>
      <c r="D2522" t="inlineStr">
        <is>
          <t>AV. LOS INCAS N° 1054 URB. EL PINAR - COMAS</t>
        </is>
      </c>
      <c r="E2522" t="inlineStr">
        <is>
          <t>Lima, 04 de Marzo de 2024</t>
        </is>
      </c>
      <c r="F2522" t="inlineStr">
        <is>
          <t>la Recarga y mantenimiento</t>
        </is>
      </c>
      <c r="G2522" t="inlineStr">
        <is>
          <t>05</t>
        </is>
      </c>
      <c r="H2522" t="inlineStr">
        <is>
          <t>06 KG</t>
        </is>
      </c>
      <c r="I2522" t="inlineStr">
        <is>
          <t>2029</t>
        </is>
      </c>
      <c r="J2522" t="n">
        <v>2016</v>
      </c>
      <c r="K2522" t="inlineStr">
        <is>
          <t>MARZO 2024</t>
        </is>
      </c>
      <c r="L2522" t="inlineStr">
        <is>
          <t>MARZO 2025</t>
        </is>
      </c>
      <c r="M2522" t="inlineStr">
        <is>
          <t xml:space="preserve">P.Q.S.  TIPO ABC </t>
        </is>
      </c>
      <c r="N2522" t="inlineStr">
        <is>
          <t>000016</t>
        </is>
      </c>
      <c r="O2522" t="inlineStr">
        <is>
          <t>R</t>
        </is>
      </c>
      <c r="P2522">
        <f>TRIM(N2522)</f>
        <v/>
      </c>
    </row>
    <row r="2523">
      <c r="A2523" t="inlineStr">
        <is>
          <t>CO-002162</t>
        </is>
      </c>
      <c r="B2523" t="inlineStr">
        <is>
          <t>ROSA MARIA ULLOA FLORES</t>
        </is>
      </c>
      <c r="D2523" t="inlineStr">
        <is>
          <t xml:space="preserve">JR. UNION  N°279 - COMAS </t>
        </is>
      </c>
      <c r="E2523" t="inlineStr">
        <is>
          <t>Lima, 27 de Diciembre de 2024</t>
        </is>
      </c>
      <c r="F2523" t="inlineStr">
        <is>
          <t>la Recarga y mantenimiento</t>
        </is>
      </c>
      <c r="G2523" t="inlineStr">
        <is>
          <t>01</t>
        </is>
      </c>
      <c r="H2523" t="inlineStr">
        <is>
          <t>06 KG</t>
        </is>
      </c>
      <c r="I2523" t="inlineStr">
        <is>
          <t>2029</t>
        </is>
      </c>
      <c r="J2523" t="n">
        <v>2018</v>
      </c>
      <c r="K2523" t="inlineStr">
        <is>
          <t>DICIEMBRE 2024</t>
        </is>
      </c>
      <c r="L2523" t="inlineStr">
        <is>
          <t>DICIEMBRE 2025</t>
        </is>
      </c>
      <c r="M2523" t="inlineStr">
        <is>
          <t>P.Q.S TIPO ABC</t>
        </is>
      </c>
      <c r="N2523" t="inlineStr">
        <is>
          <t>01/003501</t>
        </is>
      </c>
      <c r="O2523" t="inlineStr">
        <is>
          <t>R</t>
        </is>
      </c>
      <c r="P2523">
        <f>TRIM(N2523)</f>
        <v/>
      </c>
    </row>
    <row r="2524">
      <c r="A2524" t="inlineStr">
        <is>
          <t>CO-002163</t>
        </is>
      </c>
      <c r="B2524" t="inlineStr">
        <is>
          <t>GRANEROS DEL SUR SOCIEDAD ANONIMA CERRADA</t>
        </is>
      </c>
      <c r="C2524" t="inlineStr">
        <is>
          <t>20600821211</t>
        </is>
      </c>
      <c r="D2524" t="inlineStr">
        <is>
          <t>AV. CONDORCANQUI MZ. R1 LT. 23 URB. LUCYANA CARABAYLLO</t>
        </is>
      </c>
      <c r="E2524" t="inlineStr">
        <is>
          <t>Lima, 30 de Diciembre de 2024</t>
        </is>
      </c>
      <c r="F2524" t="inlineStr">
        <is>
          <t>la Recarga y mantenimiento</t>
        </is>
      </c>
      <c r="G2524" t="inlineStr">
        <is>
          <t>01</t>
        </is>
      </c>
      <c r="H2524" t="inlineStr">
        <is>
          <t xml:space="preserve">06 KG </t>
        </is>
      </c>
      <c r="I2524" t="inlineStr">
        <is>
          <t>2025</t>
        </is>
      </c>
      <c r="J2524" t="n">
        <v>2020</v>
      </c>
      <c r="K2524" t="inlineStr">
        <is>
          <t>DICIEMBRE 2024</t>
        </is>
      </c>
      <c r="L2524" t="inlineStr">
        <is>
          <t>DICIEMBRE 2025</t>
        </is>
      </c>
      <c r="M2524" t="inlineStr">
        <is>
          <t>P.Q.S TIPO ABC</t>
        </is>
      </c>
      <c r="N2524" t="inlineStr">
        <is>
          <t>S/N/153208</t>
        </is>
      </c>
      <c r="O2524" t="inlineStr">
        <is>
          <t>R</t>
        </is>
      </c>
      <c r="P2524">
        <f>TRIM(N2524)</f>
        <v/>
      </c>
    </row>
    <row r="2525">
      <c r="A2525" t="inlineStr">
        <is>
          <t>CO-002163</t>
        </is>
      </c>
      <c r="B2525" t="inlineStr">
        <is>
          <t>GRANEROS DEL SUR SOCIEDAD ANONIMA CERRADA</t>
        </is>
      </c>
      <c r="C2525" t="inlineStr">
        <is>
          <t>20600821211</t>
        </is>
      </c>
      <c r="D2525" t="inlineStr">
        <is>
          <t>AV. CONDORCANQUI MZ. R1 LT. 23 URB. LUCYANA CARABAYLLO</t>
        </is>
      </c>
      <c r="E2525" t="inlineStr">
        <is>
          <t>Lima, 30 de Diciembre de 2024</t>
        </is>
      </c>
      <c r="F2525" t="inlineStr">
        <is>
          <t>la Recarga y mantenimiento</t>
        </is>
      </c>
      <c r="G2525" t="inlineStr">
        <is>
          <t>02</t>
        </is>
      </c>
      <c r="H2525" t="inlineStr">
        <is>
          <t>06 KG</t>
        </is>
      </c>
      <c r="I2525" t="inlineStr">
        <is>
          <t>VIGENTE</t>
        </is>
      </c>
      <c r="J2525" t="inlineStr">
        <is>
          <t>S/N</t>
        </is>
      </c>
      <c r="K2525" t="inlineStr">
        <is>
          <t>DICIEMBRE 2024</t>
        </is>
      </c>
      <c r="L2525" t="inlineStr">
        <is>
          <t>DICIEMBRE 2025</t>
        </is>
      </c>
      <c r="M2525" t="inlineStr">
        <is>
          <t>P.Q.S TIPO ABC</t>
        </is>
      </c>
      <c r="N2525" t="inlineStr">
        <is>
          <t>S/N</t>
        </is>
      </c>
      <c r="O2525" t="inlineStr">
        <is>
          <t>R</t>
        </is>
      </c>
      <c r="P2525">
        <f>TRIM(N2525)</f>
        <v/>
      </c>
    </row>
    <row r="2526">
      <c r="A2526" t="inlineStr">
        <is>
          <t>CO-002164</t>
        </is>
      </c>
      <c r="B2526" t="inlineStr">
        <is>
          <t xml:space="preserve">KEVIN REYNALDO VILLEGAS CAHUANA </t>
        </is>
      </c>
      <c r="C2526" t="inlineStr">
        <is>
          <t>10752858476</t>
        </is>
      </c>
      <c r="D2526" t="inlineStr">
        <is>
          <t>AV. SIEMPRE VIVA 164 - URB. SANTA ISABEL - CARABAYLLO</t>
        </is>
      </c>
      <c r="E2526" t="inlineStr">
        <is>
          <t>Lima, 30 de Diciembre de 2024</t>
        </is>
      </c>
      <c r="F2526" t="inlineStr">
        <is>
          <t>la Recarga y mantenimiento</t>
        </is>
      </c>
      <c r="G2526" t="inlineStr">
        <is>
          <t>01</t>
        </is>
      </c>
      <c r="H2526" t="inlineStr">
        <is>
          <t>06</t>
        </is>
      </c>
      <c r="I2526" t="inlineStr">
        <is>
          <t>2029</t>
        </is>
      </c>
      <c r="J2526" t="n">
        <v>2012</v>
      </c>
      <c r="K2526" t="inlineStr">
        <is>
          <t>DICIEMBRE 2024</t>
        </is>
      </c>
      <c r="L2526" t="inlineStr">
        <is>
          <t>DICIEMBRE 2025</t>
        </is>
      </c>
      <c r="M2526" t="inlineStr">
        <is>
          <t>P.Q.S TIPO ABC</t>
        </is>
      </c>
      <c r="N2526" t="inlineStr">
        <is>
          <t>S/N/001010</t>
        </is>
      </c>
      <c r="O2526" t="inlineStr">
        <is>
          <t>R</t>
        </is>
      </c>
      <c r="P2526">
        <f>TRIM(N2526)</f>
        <v/>
      </c>
    </row>
    <row r="2527">
      <c r="A2527" t="inlineStr">
        <is>
          <t>CO-002164</t>
        </is>
      </c>
      <c r="B2527" t="inlineStr">
        <is>
          <t xml:space="preserve">KEVIN REYNALDO VILLEGAS CAHUANA </t>
        </is>
      </c>
      <c r="C2527" t="inlineStr">
        <is>
          <t>10752858476</t>
        </is>
      </c>
      <c r="D2527" t="inlineStr">
        <is>
          <t>AV. SIEMPRE VIVA 164 - URB. SANTA ISABEL - CARABAYLLO</t>
        </is>
      </c>
      <c r="E2527" t="inlineStr">
        <is>
          <t>Lima, 30 de Diciembre de 2024</t>
        </is>
      </c>
      <c r="F2527" t="inlineStr">
        <is>
          <t>la Recarga y mantenimiento</t>
        </is>
      </c>
      <c r="G2527" t="inlineStr">
        <is>
          <t>02</t>
        </is>
      </c>
      <c r="H2527" t="inlineStr">
        <is>
          <t>06 KG</t>
        </is>
      </c>
      <c r="I2527" t="inlineStr">
        <is>
          <t>2028</t>
        </is>
      </c>
      <c r="J2527" t="n">
        <v>2023</v>
      </c>
      <c r="K2527" t="inlineStr">
        <is>
          <t>DICIEMBRE 2024</t>
        </is>
      </c>
      <c r="L2527" t="inlineStr">
        <is>
          <t>DICIEMBRE 2025</t>
        </is>
      </c>
      <c r="M2527" t="inlineStr">
        <is>
          <t>P.Q.S TIPO ABC</t>
        </is>
      </c>
      <c r="N2527" t="inlineStr">
        <is>
          <t>S/N/010936</t>
        </is>
      </c>
      <c r="O2527" t="inlineStr">
        <is>
          <t>R</t>
        </is>
      </c>
      <c r="P2527">
        <f>TRIM(N2527)</f>
        <v/>
      </c>
    </row>
    <row r="2528">
      <c r="A2528" t="inlineStr">
        <is>
          <t>CO-002165</t>
        </is>
      </c>
      <c r="B2528" t="inlineStr">
        <is>
          <t>PERU MASIVO S.A</t>
        </is>
      </c>
      <c r="C2528" t="inlineStr">
        <is>
          <t>20492392031</t>
        </is>
      </c>
      <c r="D2528" t="inlineStr">
        <is>
          <t>AV. LOS INCAS CDRA. 4 PATIO NORTE - COMAS</t>
        </is>
      </c>
      <c r="E2528" t="inlineStr">
        <is>
          <t>Lima, 02 de Enero de 2025</t>
        </is>
      </c>
      <c r="F2528" t="inlineStr">
        <is>
          <t>la Recarga y mantenimiento</t>
        </is>
      </c>
      <c r="G2528" t="inlineStr">
        <is>
          <t>01</t>
        </is>
      </c>
      <c r="H2528" t="inlineStr">
        <is>
          <t xml:space="preserve">06 KG </t>
        </is>
      </c>
      <c r="I2528" t="inlineStr">
        <is>
          <t>2028</t>
        </is>
      </c>
      <c r="J2528" t="n">
        <v>2009</v>
      </c>
      <c r="K2528" t="inlineStr">
        <is>
          <t>DICIEMBRE 2024</t>
        </is>
      </c>
      <c r="L2528" t="inlineStr">
        <is>
          <t>DICIEMBRE 2025</t>
        </is>
      </c>
      <c r="M2528" t="inlineStr">
        <is>
          <t>PQS/ABC AL 90%  NACIONAL</t>
        </is>
      </c>
      <c r="N2528" t="inlineStr">
        <is>
          <t>155/001375</t>
        </is>
      </c>
      <c r="O2528" t="inlineStr">
        <is>
          <t>R</t>
        </is>
      </c>
      <c r="P2528">
        <f>TRIM(N2528)</f>
        <v/>
      </c>
    </row>
    <row r="2529">
      <c r="A2529" t="inlineStr">
        <is>
          <t>CO-002165</t>
        </is>
      </c>
      <c r="B2529" t="inlineStr">
        <is>
          <t>PERU MASIVO S.A</t>
        </is>
      </c>
      <c r="C2529" t="inlineStr">
        <is>
          <t>20492392031</t>
        </is>
      </c>
      <c r="D2529" t="inlineStr">
        <is>
          <t>AV. LOS INCAS CDRA. 4 PATIO NORTE - COMAS</t>
        </is>
      </c>
      <c r="E2529" t="inlineStr">
        <is>
          <t>Lima, 02 de Enero de 2025</t>
        </is>
      </c>
      <c r="F2529" t="inlineStr">
        <is>
          <t>la Recarga y mantenimiento</t>
        </is>
      </c>
      <c r="G2529" t="inlineStr">
        <is>
          <t>02</t>
        </is>
      </c>
      <c r="H2529" t="inlineStr">
        <is>
          <t xml:space="preserve">06 KG </t>
        </is>
      </c>
      <c r="I2529" t="inlineStr">
        <is>
          <t>2028</t>
        </is>
      </c>
      <c r="J2529" t="n">
        <v>2009</v>
      </c>
      <c r="K2529" t="inlineStr">
        <is>
          <t>DICIEMBRE 2024</t>
        </is>
      </c>
      <c r="L2529" t="inlineStr">
        <is>
          <t>DICIEMBRE 2025</t>
        </is>
      </c>
      <c r="M2529" t="inlineStr">
        <is>
          <t>PQS/ABC AL 90%  NACIONAL</t>
        </is>
      </c>
      <c r="N2529" t="inlineStr">
        <is>
          <t>304/001244</t>
        </is>
      </c>
      <c r="O2529" t="inlineStr">
        <is>
          <t>R</t>
        </is>
      </c>
      <c r="P2529">
        <f>TRIM(N2529)</f>
        <v/>
      </c>
    </row>
    <row r="2530">
      <c r="A2530" t="inlineStr">
        <is>
          <t>CO-002165</t>
        </is>
      </c>
      <c r="B2530" t="inlineStr">
        <is>
          <t>PERU MASIVO S.A</t>
        </is>
      </c>
      <c r="C2530" t="inlineStr">
        <is>
          <t>20492392031</t>
        </is>
      </c>
      <c r="D2530" t="inlineStr">
        <is>
          <t>AV. LOS INCAS CDRA. 4 PATIO NORTE - COMAS</t>
        </is>
      </c>
      <c r="E2530" t="inlineStr">
        <is>
          <t>Lima, 02 de Enero de 2025</t>
        </is>
      </c>
      <c r="F2530" t="inlineStr">
        <is>
          <t>la Recarga y mantenimiento</t>
        </is>
      </c>
      <c r="G2530" t="inlineStr">
        <is>
          <t>03</t>
        </is>
      </c>
      <c r="H2530" t="inlineStr">
        <is>
          <t xml:space="preserve">06 KG </t>
        </is>
      </c>
      <c r="I2530" t="inlineStr">
        <is>
          <t>2028</t>
        </is>
      </c>
      <c r="J2530" t="n">
        <v>2010</v>
      </c>
      <c r="K2530" t="inlineStr">
        <is>
          <t>DICIEMBRE 2024</t>
        </is>
      </c>
      <c r="L2530" t="inlineStr">
        <is>
          <t>DICIEMBRE 2025</t>
        </is>
      </c>
      <c r="M2530" t="inlineStr">
        <is>
          <t>PQS/ABC AL 90%  NACIONAL</t>
        </is>
      </c>
      <c r="N2530" t="inlineStr">
        <is>
          <t>342/000934</t>
        </is>
      </c>
      <c r="O2530" t="inlineStr">
        <is>
          <t>R</t>
        </is>
      </c>
      <c r="P2530">
        <f>TRIM(N2530)</f>
        <v/>
      </c>
    </row>
    <row r="2531">
      <c r="A2531" t="inlineStr">
        <is>
          <t>CO-002165</t>
        </is>
      </c>
      <c r="B2531" t="inlineStr">
        <is>
          <t>PERU MASIVO S.A</t>
        </is>
      </c>
      <c r="C2531" t="inlineStr">
        <is>
          <t>20492392031</t>
        </is>
      </c>
      <c r="D2531" t="inlineStr">
        <is>
          <t>AV. LOS INCAS CDRA. 4 PATIO NORTE - COMAS</t>
        </is>
      </c>
      <c r="E2531" t="inlineStr">
        <is>
          <t>Lima, 02 de Enero de 2025</t>
        </is>
      </c>
      <c r="F2531" t="inlineStr">
        <is>
          <t>la Recarga y mantenimiento</t>
        </is>
      </c>
      <c r="G2531" t="inlineStr">
        <is>
          <t>04</t>
        </is>
      </c>
      <c r="H2531" t="inlineStr">
        <is>
          <t xml:space="preserve">06 KG </t>
        </is>
      </c>
      <c r="I2531" t="inlineStr">
        <is>
          <t>2028</t>
        </is>
      </c>
      <c r="J2531" t="n">
        <v>2010</v>
      </c>
      <c r="K2531" t="inlineStr">
        <is>
          <t>DICIEMBRE 2024</t>
        </is>
      </c>
      <c r="L2531" t="inlineStr">
        <is>
          <t>DICIEMBRE 2025</t>
        </is>
      </c>
      <c r="M2531" t="inlineStr">
        <is>
          <t>PQS/ABC AL 90%  NACIONAL</t>
        </is>
      </c>
      <c r="N2531" t="inlineStr">
        <is>
          <t>S/N/000066</t>
        </is>
      </c>
      <c r="O2531" t="inlineStr">
        <is>
          <t>R</t>
        </is>
      </c>
      <c r="P2531">
        <f>TRIM(N2531)</f>
        <v/>
      </c>
    </row>
    <row r="2532">
      <c r="A2532" t="inlineStr">
        <is>
          <t>CO-002165</t>
        </is>
      </c>
      <c r="B2532" t="inlineStr">
        <is>
          <t>PERU MASIVO S.A</t>
        </is>
      </c>
      <c r="C2532" t="inlineStr">
        <is>
          <t>20492392031</t>
        </is>
      </c>
      <c r="D2532" t="inlineStr">
        <is>
          <t>AV. LOS INCAS CDRA. 4 PATIO NORTE - COMAS</t>
        </is>
      </c>
      <c r="E2532" t="inlineStr">
        <is>
          <t>Lima, 02 de Enero de 2025</t>
        </is>
      </c>
      <c r="F2532" t="inlineStr">
        <is>
          <t>la Recarga y mantenimiento</t>
        </is>
      </c>
      <c r="G2532" t="inlineStr">
        <is>
          <t>05</t>
        </is>
      </c>
      <c r="H2532" t="inlineStr">
        <is>
          <t xml:space="preserve">06 KG </t>
        </is>
      </c>
      <c r="I2532" t="inlineStr">
        <is>
          <t>2028</t>
        </is>
      </c>
      <c r="J2532" t="n">
        <v>2009</v>
      </c>
      <c r="K2532" t="inlineStr">
        <is>
          <t>DICIEMBRE 2024</t>
        </is>
      </c>
      <c r="L2532" t="inlineStr">
        <is>
          <t>DICIEMBRE 2025</t>
        </is>
      </c>
      <c r="M2532" t="inlineStr">
        <is>
          <t>PQS/ABC AL 90%  NACIONAL</t>
        </is>
      </c>
      <c r="N2532" t="inlineStr">
        <is>
          <t>61/006508</t>
        </is>
      </c>
      <c r="O2532" t="inlineStr">
        <is>
          <t>R</t>
        </is>
      </c>
      <c r="P2532">
        <f>TRIM(N2532)</f>
        <v/>
      </c>
    </row>
    <row r="2533">
      <c r="A2533" t="inlineStr">
        <is>
          <t>CO-002165</t>
        </is>
      </c>
      <c r="B2533" t="inlineStr">
        <is>
          <t>PERU MASIVO S.A</t>
        </is>
      </c>
      <c r="C2533" t="inlineStr">
        <is>
          <t>20492392031</t>
        </is>
      </c>
      <c r="D2533" t="inlineStr">
        <is>
          <t>AV. LOS INCAS CDRA. 4 PATIO NORTE - COMAS</t>
        </is>
      </c>
      <c r="E2533" t="inlineStr">
        <is>
          <t>Lima, 02 de Enero de 2025</t>
        </is>
      </c>
      <c r="F2533" t="inlineStr">
        <is>
          <t>la Recarga y mantenimiento</t>
        </is>
      </c>
      <c r="G2533" t="inlineStr">
        <is>
          <t>06</t>
        </is>
      </c>
      <c r="H2533" t="inlineStr">
        <is>
          <t xml:space="preserve">06 KG </t>
        </is>
      </c>
      <c r="I2533" t="inlineStr">
        <is>
          <t>2028</t>
        </is>
      </c>
      <c r="J2533" t="n">
        <v>2010</v>
      </c>
      <c r="K2533" t="inlineStr">
        <is>
          <t>DICIEMBRE 2024</t>
        </is>
      </c>
      <c r="L2533" t="inlineStr">
        <is>
          <t>DICIEMBRE 2025</t>
        </is>
      </c>
      <c r="M2533" t="inlineStr">
        <is>
          <t>PQS/ABC AL 90%  NACIONAL</t>
        </is>
      </c>
      <c r="N2533" t="inlineStr">
        <is>
          <t>128/006508</t>
        </is>
      </c>
      <c r="O2533" t="inlineStr">
        <is>
          <t>R</t>
        </is>
      </c>
      <c r="P2533">
        <f>TRIM(N2533)</f>
        <v/>
      </c>
    </row>
    <row r="2534">
      <c r="A2534" t="inlineStr">
        <is>
          <t>CO-002165</t>
        </is>
      </c>
      <c r="B2534" t="inlineStr">
        <is>
          <t>PERU MASIVO S.A</t>
        </is>
      </c>
      <c r="C2534" t="inlineStr">
        <is>
          <t>20492392031</t>
        </is>
      </c>
      <c r="D2534" t="inlineStr">
        <is>
          <t>AV. LOS INCAS CDRA. 4 PATIO NORTE - COMAS</t>
        </is>
      </c>
      <c r="E2534" t="inlineStr">
        <is>
          <t>Lima, 02 de Enero de 2025</t>
        </is>
      </c>
      <c r="F2534" t="inlineStr">
        <is>
          <t>la Recarga y mantenimiento</t>
        </is>
      </c>
      <c r="G2534" t="inlineStr">
        <is>
          <t>07</t>
        </is>
      </c>
      <c r="H2534" t="inlineStr">
        <is>
          <t xml:space="preserve">06 KG </t>
        </is>
      </c>
      <c r="I2534" t="inlineStr">
        <is>
          <t>2028</t>
        </is>
      </c>
      <c r="J2534" t="n">
        <v>2017</v>
      </c>
      <c r="K2534" t="inlineStr">
        <is>
          <t>DICIEMBRE 2024</t>
        </is>
      </c>
      <c r="L2534" t="inlineStr">
        <is>
          <t>DICIEMBRE 2025</t>
        </is>
      </c>
      <c r="M2534" t="inlineStr">
        <is>
          <t>PQS/ABC AL 90%  NACIONAL</t>
        </is>
      </c>
      <c r="N2534" t="inlineStr">
        <is>
          <t>S/N/000202</t>
        </is>
      </c>
      <c r="O2534" t="inlineStr">
        <is>
          <t>R</t>
        </is>
      </c>
      <c r="P2534">
        <f>TRIM(N2534)</f>
        <v/>
      </c>
    </row>
    <row r="2535">
      <c r="A2535" t="inlineStr">
        <is>
          <t>CO-002166</t>
        </is>
      </c>
      <c r="B2535" t="inlineStr">
        <is>
          <t>PERU MASIVO S.A</t>
        </is>
      </c>
      <c r="C2535" t="inlineStr">
        <is>
          <t>20492392031</t>
        </is>
      </c>
      <c r="D2535" t="inlineStr">
        <is>
          <t>AV. LOS INCAS CDRA. 4 PATIO NORTE - COMAS</t>
        </is>
      </c>
      <c r="E2535" t="inlineStr">
        <is>
          <t>Lima, 02 de Enero de 2025</t>
        </is>
      </c>
      <c r="F2535" t="inlineStr">
        <is>
          <t>la Recarga y mantenimiento</t>
        </is>
      </c>
      <c r="G2535" t="inlineStr">
        <is>
          <t>01</t>
        </is>
      </c>
      <c r="H2535" t="inlineStr">
        <is>
          <t>06 KG</t>
        </is>
      </c>
      <c r="I2535" t="inlineStr">
        <is>
          <t>2028</t>
        </is>
      </c>
      <c r="J2535" t="n">
        <v>2017</v>
      </c>
      <c r="K2535" t="inlineStr">
        <is>
          <t>DICIEMBRE 2024</t>
        </is>
      </c>
      <c r="L2535" t="inlineStr">
        <is>
          <t>DICIEMBRE 2025</t>
        </is>
      </c>
      <c r="M2535" t="inlineStr">
        <is>
          <t>PQS/ABC AL 90%  NACIONAL</t>
        </is>
      </c>
      <c r="N2535" t="inlineStr">
        <is>
          <t>20/003286</t>
        </is>
      </c>
      <c r="O2535" t="inlineStr">
        <is>
          <t>R</t>
        </is>
      </c>
      <c r="P2535">
        <f>TRIM(N2535)</f>
        <v/>
      </c>
    </row>
    <row r="2536">
      <c r="A2536" t="inlineStr">
        <is>
          <t>CO-002167</t>
        </is>
      </c>
      <c r="B2536" t="inlineStr">
        <is>
          <t>GRIFO COMARSA - COMARSA &amp; CIA. S.R.L.</t>
        </is>
      </c>
      <c r="C2536" t="inlineStr">
        <is>
          <t>20471884741</t>
        </is>
      </c>
      <c r="D2536" t="inlineStr">
        <is>
          <t>AV. FELIPE MENDIZABAL 580 - TUNGASUCA - CARABAYLLO</t>
        </is>
      </c>
      <c r="E2536" t="inlineStr">
        <is>
          <t>Lima, 03 de Enero de 2025</t>
        </is>
      </c>
      <c r="F2536" t="inlineStr">
        <is>
          <t>la Recarga y mantenimiento</t>
        </is>
      </c>
      <c r="G2536" t="inlineStr">
        <is>
          <t>01</t>
        </is>
      </c>
      <c r="H2536" t="inlineStr">
        <is>
          <t>13.6 KG</t>
        </is>
      </c>
      <c r="I2536" t="inlineStr">
        <is>
          <t>2025</t>
        </is>
      </c>
      <c r="J2536" t="inlineStr">
        <is>
          <t>S/F</t>
        </is>
      </c>
      <c r="K2536" t="inlineStr">
        <is>
          <t>ENERO 2025</t>
        </is>
      </c>
      <c r="L2536" t="inlineStr">
        <is>
          <t>ENERO 2026</t>
        </is>
      </c>
      <c r="M2536" t="inlineStr">
        <is>
          <t>P.Q.S.  TIPO ABC AL 90% UL</t>
        </is>
      </c>
      <c r="N2536" t="inlineStr">
        <is>
          <t>01 / 000855</t>
        </is>
      </c>
      <c r="O2536" t="inlineStr">
        <is>
          <t>R</t>
        </is>
      </c>
      <c r="P2536">
        <f>TRIM(N2536)</f>
        <v/>
      </c>
    </row>
    <row r="2537">
      <c r="A2537" t="inlineStr">
        <is>
          <t>CO-002168</t>
        </is>
      </c>
      <c r="B2537" t="inlineStr">
        <is>
          <t xml:space="preserve">ALEJANDRA LIDIA TORRES HERBAS </t>
        </is>
      </c>
      <c r="D2537" t="inlineStr">
        <is>
          <t>MERCADO PRIMERO DE MAYO PUESTO 62 - COMAS</t>
        </is>
      </c>
      <c r="E2537" t="inlineStr">
        <is>
          <t>Lima, 03 de Enero de 2025</t>
        </is>
      </c>
      <c r="F2537" t="inlineStr">
        <is>
          <t>la Recarga y mantenimiento</t>
        </is>
      </c>
      <c r="G2537" t="inlineStr">
        <is>
          <t>01</t>
        </is>
      </c>
      <c r="H2537" t="inlineStr">
        <is>
          <t>06 KG</t>
        </is>
      </c>
      <c r="I2537" t="inlineStr">
        <is>
          <t>VIGENTE</t>
        </is>
      </c>
      <c r="J2537" t="n">
        <v>2017</v>
      </c>
      <c r="K2537" t="inlineStr">
        <is>
          <t>ENERO 2025</t>
        </is>
      </c>
      <c r="L2537" t="inlineStr">
        <is>
          <t>ENERO 2026</t>
        </is>
      </c>
      <c r="M2537" t="inlineStr">
        <is>
          <t xml:space="preserve">P.Q.S.  TIPO ABC </t>
        </is>
      </c>
      <c r="N2537" t="inlineStr">
        <is>
          <t>01/000561</t>
        </is>
      </c>
      <c r="O2537" t="inlineStr">
        <is>
          <t>R</t>
        </is>
      </c>
      <c r="P2537">
        <f>TRIM(N2537)</f>
        <v/>
      </c>
    </row>
    <row r="2538">
      <c r="A2538" t="inlineStr">
        <is>
          <t>CO-002169</t>
        </is>
      </c>
      <c r="B2538" t="inlineStr">
        <is>
          <t>ERICK ANTHONY VALENTE BUSTAMANTE</t>
        </is>
      </c>
      <c r="D2538" t="inlineStr">
        <is>
          <t xml:space="preserve"> MERCADO 1RO. DE MAYO PUESTO. 55 - - COLLIQUE</t>
        </is>
      </c>
      <c r="E2538" t="inlineStr">
        <is>
          <t>Lima, 03 de Enero de 2025</t>
        </is>
      </c>
      <c r="F2538" t="inlineStr">
        <is>
          <t>la Recarga y mantenimiento</t>
        </is>
      </c>
      <c r="G2538" t="inlineStr">
        <is>
          <t>01</t>
        </is>
      </c>
      <c r="H2538" t="inlineStr">
        <is>
          <t>06 KG</t>
        </is>
      </c>
      <c r="I2538" t="inlineStr">
        <is>
          <t>VIGENTE</t>
        </is>
      </c>
      <c r="J2538" t="n">
        <v>2017</v>
      </c>
      <c r="K2538" t="inlineStr">
        <is>
          <t>ENERO 2025</t>
        </is>
      </c>
      <c r="L2538" t="inlineStr">
        <is>
          <t>ENERO 2026</t>
        </is>
      </c>
      <c r="M2538" t="inlineStr">
        <is>
          <t xml:space="preserve">P.Q.S TIPO ABC </t>
        </is>
      </c>
      <c r="N2538" t="inlineStr">
        <is>
          <t>S/N/000213</t>
        </is>
      </c>
      <c r="O2538" t="inlineStr">
        <is>
          <t>R</t>
        </is>
      </c>
      <c r="P2538">
        <f>TRIM(N2538)</f>
        <v/>
      </c>
    </row>
    <row r="2539">
      <c r="A2539" t="inlineStr">
        <is>
          <t>CO-002170</t>
        </is>
      </c>
      <c r="B2539" t="inlineStr">
        <is>
          <t>GRIFO COMARSA - COMARSA &amp; CIA. S.R.L.</t>
        </is>
      </c>
      <c r="C2539" t="inlineStr">
        <is>
          <t>20471884741</t>
        </is>
      </c>
      <c r="D2539" t="inlineStr">
        <is>
          <t>AV. FELIPE MENDIZABAL 580 - TUNGASUCA - CARABAYLLO</t>
        </is>
      </c>
      <c r="E2539" t="inlineStr">
        <is>
          <t>Lima, 03 de Enero de 2025</t>
        </is>
      </c>
      <c r="F2539" t="inlineStr">
        <is>
          <t>la Recarga y mantenimiento</t>
        </is>
      </c>
      <c r="G2539" t="inlineStr">
        <is>
          <t>01</t>
        </is>
      </c>
      <c r="H2539" t="inlineStr">
        <is>
          <t>06KG</t>
        </is>
      </c>
      <c r="I2539" t="inlineStr">
        <is>
          <t>2025</t>
        </is>
      </c>
      <c r="J2539" t="n">
        <v>2020</v>
      </c>
      <c r="K2539" t="inlineStr">
        <is>
          <t>ENERO 2023</t>
        </is>
      </c>
      <c r="L2539" t="inlineStr">
        <is>
          <t>ENERO 2024</t>
        </is>
      </c>
      <c r="M2539" t="inlineStr">
        <is>
          <t>P.Q.S.  TIPO ABC AL 90% UL</t>
        </is>
      </c>
      <c r="N2539" t="inlineStr">
        <is>
          <t>02 / 143097</t>
        </is>
      </c>
      <c r="O2539" t="inlineStr">
        <is>
          <t>M2</t>
        </is>
      </c>
      <c r="P2539">
        <f>TRIM(N2539)</f>
        <v/>
      </c>
    </row>
    <row r="2540">
      <c r="A2540" t="inlineStr">
        <is>
          <t>CO-002171</t>
        </is>
      </c>
      <c r="B2540" t="inlineStr">
        <is>
          <t>ROBERTH REATEGUI HUANCHO</t>
        </is>
      </c>
      <c r="C2540" t="inlineStr">
        <is>
          <t>76254556</t>
        </is>
      </c>
      <c r="D2540" t="inlineStr">
        <is>
          <t>D9E-716</t>
        </is>
      </c>
      <c r="E2540" t="inlineStr">
        <is>
          <t>Lima, 04 de Enero de 2025</t>
        </is>
      </c>
      <c r="F2540" t="inlineStr">
        <is>
          <t>la Recarga y mantenimiento</t>
        </is>
      </c>
      <c r="G2540" t="inlineStr">
        <is>
          <t>01</t>
        </is>
      </c>
      <c r="H2540" t="inlineStr">
        <is>
          <t xml:space="preserve">04 KG </t>
        </is>
      </c>
      <c r="I2540" t="inlineStr">
        <is>
          <t xml:space="preserve">VIGENTE </t>
        </is>
      </c>
      <c r="J2540" t="n">
        <v>2014</v>
      </c>
      <c r="K2540" t="inlineStr">
        <is>
          <t>ENERO 2025</t>
        </is>
      </c>
      <c r="L2540" t="inlineStr">
        <is>
          <t>ENERO 2026</t>
        </is>
      </c>
      <c r="M2540" t="inlineStr">
        <is>
          <t xml:space="preserve">P.Q.S.  TIPO ABC </t>
        </is>
      </c>
      <c r="N2540" t="inlineStr">
        <is>
          <t>01/000017</t>
        </is>
      </c>
      <c r="O2540" t="inlineStr">
        <is>
          <t>R</t>
        </is>
      </c>
      <c r="P2540">
        <f>TRIM(N2540)</f>
        <v/>
      </c>
    </row>
    <row r="2541">
      <c r="A2541" t="inlineStr">
        <is>
          <t>CO-002172</t>
        </is>
      </c>
      <c r="B2541" t="inlineStr">
        <is>
          <t xml:space="preserve">SALON DE BELLEZA TATIANA De Bautista Leiva Esmeria </t>
        </is>
      </c>
      <c r="C2541" t="inlineStr">
        <is>
          <t>40373068</t>
        </is>
      </c>
      <c r="D2541" t="inlineStr">
        <is>
          <t>CHINCHAYSUYO MZ O LT 51 URB. LUCYANA - CARABAYLLO</t>
        </is>
      </c>
      <c r="E2541" t="inlineStr">
        <is>
          <t>Lima, 08 de Enero de 2025</t>
        </is>
      </c>
      <c r="F2541" t="inlineStr">
        <is>
          <t>la Recarga y mantenimiento</t>
        </is>
      </c>
      <c r="G2541" t="inlineStr">
        <is>
          <t>01</t>
        </is>
      </c>
      <c r="H2541" t="inlineStr">
        <is>
          <t>09 KG</t>
        </is>
      </c>
      <c r="I2541" t="inlineStr">
        <is>
          <t>2028</t>
        </is>
      </c>
      <c r="J2541" t="n">
        <v>2017</v>
      </c>
      <c r="K2541" t="inlineStr">
        <is>
          <t>ENERO 2025</t>
        </is>
      </c>
      <c r="L2541" t="inlineStr">
        <is>
          <t>ENERO 2026</t>
        </is>
      </c>
      <c r="M2541" t="inlineStr">
        <is>
          <t xml:space="preserve">P.Q.S.  TIPO ABC </t>
        </is>
      </c>
      <c r="N2541" t="inlineStr">
        <is>
          <t>01/000582</t>
        </is>
      </c>
      <c r="O2541" t="inlineStr">
        <is>
          <t>R</t>
        </is>
      </c>
      <c r="P2541">
        <f>TRIM(N2541)</f>
        <v/>
      </c>
    </row>
    <row r="2542">
      <c r="A2542" t="inlineStr">
        <is>
          <t>CO-002173</t>
        </is>
      </c>
      <c r="B2542" t="inlineStr">
        <is>
          <t xml:space="preserve">LUIS SANCHEZ TESEN </t>
        </is>
      </c>
      <c r="C2542" t="inlineStr">
        <is>
          <t>43479669</t>
        </is>
      </c>
      <c r="D2542" t="inlineStr">
        <is>
          <t>AV. TRAPICHE MZ I LT 10 URB. SANTO DOMINGO 2DA ETAPA</t>
        </is>
      </c>
      <c r="E2542" t="inlineStr">
        <is>
          <t>Lima, 08 de Enero de 2025</t>
        </is>
      </c>
      <c r="F2542" t="inlineStr">
        <is>
          <t>la Recarga y mantenimiento</t>
        </is>
      </c>
      <c r="G2542" t="inlineStr">
        <is>
          <t>01</t>
        </is>
      </c>
      <c r="H2542" t="inlineStr">
        <is>
          <t>06 KG</t>
        </is>
      </c>
      <c r="I2542" t="inlineStr">
        <is>
          <t>2028</t>
        </is>
      </c>
      <c r="J2542" t="n">
        <v>2013</v>
      </c>
      <c r="K2542" t="inlineStr">
        <is>
          <t>ENERO 2025</t>
        </is>
      </c>
      <c r="L2542" t="inlineStr">
        <is>
          <t>ENERO 2026</t>
        </is>
      </c>
      <c r="M2542" t="inlineStr">
        <is>
          <t xml:space="preserve">P.Q.S.  TIPO ABC </t>
        </is>
      </c>
      <c r="N2542" t="inlineStr">
        <is>
          <t>01/001164</t>
        </is>
      </c>
      <c r="O2542" t="inlineStr">
        <is>
          <t>R</t>
        </is>
      </c>
      <c r="P2542">
        <f>TRIM(N2542)</f>
        <v/>
      </c>
    </row>
    <row r="2543">
      <c r="A2543" t="inlineStr">
        <is>
          <t>CO-002174</t>
        </is>
      </c>
      <c r="B2543" t="inlineStr">
        <is>
          <t xml:space="preserve">LUIS SANCHEZ TESEN </t>
        </is>
      </c>
      <c r="C2543" t="inlineStr">
        <is>
          <t>43479669</t>
        </is>
      </c>
      <c r="D2543" t="inlineStr">
        <is>
          <t>PLACA: BDL - 652</t>
        </is>
      </c>
      <c r="E2543" t="inlineStr">
        <is>
          <t>Lima, 08 de Enero de 2025</t>
        </is>
      </c>
      <c r="F2543" t="inlineStr">
        <is>
          <t>la Recarga y mantenimiento</t>
        </is>
      </c>
      <c r="G2543" t="inlineStr">
        <is>
          <t>01</t>
        </is>
      </c>
      <c r="H2543" t="inlineStr">
        <is>
          <t>02 KG</t>
        </is>
      </c>
      <c r="I2543" t="inlineStr">
        <is>
          <t>2028</t>
        </is>
      </c>
      <c r="J2543" t="n">
        <v>2018</v>
      </c>
      <c r="K2543" t="inlineStr">
        <is>
          <t>ENERO 2025</t>
        </is>
      </c>
      <c r="L2543" t="inlineStr">
        <is>
          <t>ENERO 2026</t>
        </is>
      </c>
      <c r="M2543" t="inlineStr">
        <is>
          <t xml:space="preserve">P.Q.S.  TIPO ABC </t>
        </is>
      </c>
      <c r="N2543" t="inlineStr">
        <is>
          <t>02/000608</t>
        </is>
      </c>
      <c r="O2543" t="inlineStr">
        <is>
          <t>R</t>
        </is>
      </c>
      <c r="P2543">
        <f>TRIM(N2543)</f>
        <v/>
      </c>
    </row>
    <row r="2544">
      <c r="A2544" t="inlineStr">
        <is>
          <t>CO-002175</t>
        </is>
      </c>
      <c r="B2544" t="inlineStr">
        <is>
          <t>LUIS PALACIOS MONTALVO</t>
        </is>
      </c>
      <c r="C2544" t="inlineStr">
        <is>
          <t>44469425</t>
        </is>
      </c>
      <c r="D2544" t="inlineStr">
        <is>
          <t>PLACA: BUT - 048</t>
        </is>
      </c>
      <c r="E2544" t="inlineStr">
        <is>
          <t>Lima, 07 de Enero de 2025</t>
        </is>
      </c>
      <c r="F2544" t="inlineStr">
        <is>
          <t>la Recarga y mantenimiento</t>
        </is>
      </c>
      <c r="G2544" t="inlineStr">
        <is>
          <t>01</t>
        </is>
      </c>
      <c r="H2544" t="inlineStr">
        <is>
          <t>02 KG</t>
        </is>
      </c>
      <c r="I2544" t="inlineStr">
        <is>
          <t>2025</t>
        </is>
      </c>
      <c r="J2544" t="n">
        <v>2020</v>
      </c>
      <c r="K2544" t="inlineStr">
        <is>
          <t>ENERO 2025</t>
        </is>
      </c>
      <c r="L2544" t="inlineStr">
        <is>
          <t>ENERO 2026</t>
        </is>
      </c>
      <c r="M2544" t="inlineStr">
        <is>
          <t xml:space="preserve">P.Q.S.  TIPO ABC </t>
        </is>
      </c>
      <c r="N2544" t="inlineStr">
        <is>
          <t>01/048322</t>
        </is>
      </c>
      <c r="O2544" t="inlineStr">
        <is>
          <t>R</t>
        </is>
      </c>
      <c r="P2544">
        <f>TRIM(N2544)</f>
        <v/>
      </c>
    </row>
    <row r="2545">
      <c r="A2545" t="inlineStr">
        <is>
          <t>CO-002176</t>
        </is>
      </c>
      <c r="B2545" t="inlineStr">
        <is>
          <t>NATALIA SALVADOR</t>
        </is>
      </c>
      <c r="D2545" t="inlineStr">
        <is>
          <t>MERCADO AÑO NUEVO - PUESTO 34</t>
        </is>
      </c>
      <c r="E2545" t="inlineStr">
        <is>
          <t>Lima, 08 de Enero de 2025</t>
        </is>
      </c>
      <c r="F2545" t="inlineStr">
        <is>
          <t>la Recarga y mantenimiento</t>
        </is>
      </c>
      <c r="G2545" t="inlineStr">
        <is>
          <t>01</t>
        </is>
      </c>
      <c r="H2545" t="inlineStr">
        <is>
          <t>06 KG</t>
        </is>
      </c>
      <c r="I2545" t="inlineStr">
        <is>
          <t>VIGENTE</t>
        </is>
      </c>
      <c r="J2545" t="n">
        <v>2013</v>
      </c>
      <c r="K2545" t="inlineStr">
        <is>
          <t>ENERO 2025</t>
        </is>
      </c>
      <c r="L2545" t="inlineStr">
        <is>
          <t>ENERO 2026</t>
        </is>
      </c>
      <c r="M2545" t="inlineStr">
        <is>
          <t xml:space="preserve">P.Q.S.  TIPO ABC </t>
        </is>
      </c>
      <c r="N2545" t="inlineStr">
        <is>
          <t>01/000080</t>
        </is>
      </c>
      <c r="O2545" t="inlineStr">
        <is>
          <t>R</t>
        </is>
      </c>
      <c r="P2545">
        <f>TRIM(N2545)</f>
        <v/>
      </c>
    </row>
    <row r="2546">
      <c r="A2546" t="inlineStr">
        <is>
          <t>CO-002177</t>
        </is>
      </c>
      <c r="B2546" t="inlineStr">
        <is>
          <t>ELVIS SANDOVAL</t>
        </is>
      </c>
      <c r="D2546" t="inlineStr">
        <is>
          <t>MERCADO AÑO NUEVO - PUESTO 32</t>
        </is>
      </c>
      <c r="E2546" t="inlineStr">
        <is>
          <t>Lima, 08 de Enero de 2025</t>
        </is>
      </c>
      <c r="F2546" t="inlineStr">
        <is>
          <t>la Recarga y mantenimiento</t>
        </is>
      </c>
      <c r="G2546" t="inlineStr">
        <is>
          <t>01</t>
        </is>
      </c>
      <c r="H2546" t="inlineStr">
        <is>
          <t>06 KG</t>
        </is>
      </c>
      <c r="I2546" t="inlineStr">
        <is>
          <t xml:space="preserve">VIGENTE </t>
        </is>
      </c>
      <c r="J2546" t="n">
        <v>2022</v>
      </c>
      <c r="K2546" t="inlineStr">
        <is>
          <t>ENERO 2025</t>
        </is>
      </c>
      <c r="L2546" t="inlineStr">
        <is>
          <t>ENERO 2026</t>
        </is>
      </c>
      <c r="M2546" t="inlineStr">
        <is>
          <t xml:space="preserve">P.Q.S.  TIPO ABC </t>
        </is>
      </c>
      <c r="N2546" t="inlineStr">
        <is>
          <t>01/206081</t>
        </is>
      </c>
      <c r="O2546" t="inlineStr">
        <is>
          <t>R</t>
        </is>
      </c>
      <c r="P2546">
        <f>TRIM(N2546)</f>
        <v/>
      </c>
    </row>
    <row r="2547">
      <c r="A2547" t="inlineStr">
        <is>
          <t>CO-002177</t>
        </is>
      </c>
      <c r="B2547" t="inlineStr">
        <is>
          <t>ELVIS SANDOVAL</t>
        </is>
      </c>
      <c r="D2547" t="inlineStr">
        <is>
          <t>MERCADO AÑO NUEVO - PUESTO 32</t>
        </is>
      </c>
      <c r="E2547" t="inlineStr">
        <is>
          <t>Lima, 08 de Enero de 2025</t>
        </is>
      </c>
      <c r="F2547" t="inlineStr">
        <is>
          <t>la Recarga y mantenimiento</t>
        </is>
      </c>
      <c r="G2547" t="inlineStr">
        <is>
          <t>02</t>
        </is>
      </c>
      <c r="H2547" t="inlineStr">
        <is>
          <t>06 KG</t>
        </is>
      </c>
      <c r="I2547" t="inlineStr">
        <is>
          <t xml:space="preserve">VIGENTE </t>
        </is>
      </c>
      <c r="J2547" t="n">
        <v>2017</v>
      </c>
      <c r="K2547" t="inlineStr">
        <is>
          <t>ENERO 2025</t>
        </is>
      </c>
      <c r="L2547" t="inlineStr">
        <is>
          <t>ENERO 2026</t>
        </is>
      </c>
      <c r="M2547" t="inlineStr">
        <is>
          <t xml:space="preserve">P.Q.S.  TIPO ABC </t>
        </is>
      </c>
      <c r="N2547" t="inlineStr">
        <is>
          <t>02/008036</t>
        </is>
      </c>
      <c r="O2547" t="inlineStr">
        <is>
          <t>R</t>
        </is>
      </c>
      <c r="P2547">
        <f>TRIM(N2547)</f>
        <v/>
      </c>
    </row>
    <row r="2548">
      <c r="A2548" t="inlineStr">
        <is>
          <t>CO-002178</t>
        </is>
      </c>
      <c r="B2548" t="inlineStr">
        <is>
          <t>ELVIS SANDOVAL</t>
        </is>
      </c>
      <c r="D2548" t="inlineStr">
        <is>
          <t>MERCADO AÑO NUEVO - PUESTO 179</t>
        </is>
      </c>
      <c r="E2548" t="inlineStr">
        <is>
          <t>Lima, 07 de Enero de 2025</t>
        </is>
      </c>
      <c r="F2548" t="inlineStr">
        <is>
          <t>la Recarga y mantenimiento</t>
        </is>
      </c>
      <c r="G2548" t="inlineStr">
        <is>
          <t>01</t>
        </is>
      </c>
      <c r="H2548" t="inlineStr">
        <is>
          <t>06 KG</t>
        </is>
      </c>
      <c r="I2548" t="inlineStr">
        <is>
          <t xml:space="preserve">VIGENTE </t>
        </is>
      </c>
      <c r="J2548" t="n">
        <v>2017</v>
      </c>
      <c r="K2548" t="inlineStr">
        <is>
          <t>ENERO 2025</t>
        </is>
      </c>
      <c r="L2548" t="inlineStr">
        <is>
          <t>ENERO 2026</t>
        </is>
      </c>
      <c r="M2548" t="inlineStr">
        <is>
          <t xml:space="preserve">P.Q.S.  TIPO ABC </t>
        </is>
      </c>
      <c r="N2548" t="inlineStr">
        <is>
          <t>02/008036</t>
        </is>
      </c>
      <c r="O2548" t="inlineStr">
        <is>
          <t>R</t>
        </is>
      </c>
      <c r="P2548">
        <f>TRIM(N2548)</f>
        <v/>
      </c>
    </row>
    <row r="2549">
      <c r="A2549" t="inlineStr">
        <is>
          <t>CO-002179</t>
        </is>
      </c>
      <c r="B2549" t="inlineStr">
        <is>
          <t xml:space="preserve">ROCIO DEL PILAR CASO ARROYO </t>
        </is>
      </c>
      <c r="C2549" t="inlineStr">
        <is>
          <t>10099698026</t>
        </is>
      </c>
      <c r="D2549" t="inlineStr">
        <is>
          <t xml:space="preserve">JR SUR PERU 211 URB SAN FELIPE COMAS </t>
        </is>
      </c>
      <c r="E2549" t="inlineStr">
        <is>
          <t>Lima, 08 de Enero de 2025</t>
        </is>
      </c>
      <c r="F2549" t="inlineStr">
        <is>
          <t>la Recarga y mantenimiento</t>
        </is>
      </c>
      <c r="G2549" t="inlineStr">
        <is>
          <t>01</t>
        </is>
      </c>
      <c r="H2549" t="inlineStr">
        <is>
          <t xml:space="preserve">06 KG </t>
        </is>
      </c>
      <c r="I2549" t="inlineStr">
        <is>
          <t>VIGENTE</t>
        </is>
      </c>
      <c r="J2549" t="n">
        <v>2011</v>
      </c>
      <c r="K2549" t="inlineStr">
        <is>
          <t>ENERO 2025</t>
        </is>
      </c>
      <c r="L2549" t="inlineStr">
        <is>
          <t>ENERO 2026</t>
        </is>
      </c>
      <c r="M2549" t="inlineStr">
        <is>
          <t xml:space="preserve">P.Q.S.  TIPO ABC </t>
        </is>
      </c>
      <c r="N2549" t="inlineStr">
        <is>
          <t>01/001323</t>
        </is>
      </c>
      <c r="O2549" t="inlineStr">
        <is>
          <t>R</t>
        </is>
      </c>
      <c r="P2549">
        <f>TRIM(N2549)</f>
        <v/>
      </c>
    </row>
    <row r="2550">
      <c r="A2550" t="inlineStr">
        <is>
          <t>CO-002180</t>
        </is>
      </c>
      <c r="B2550" t="inlineStr">
        <is>
          <t>ANA MARIA SALAS</t>
        </is>
      </c>
      <c r="D2550" t="inlineStr">
        <is>
          <t>MERCADO 1° DE MAYO - 4° ZONA COLLIQUE PUESTO N°13</t>
        </is>
      </c>
      <c r="E2550" t="inlineStr">
        <is>
          <t>Lima, 08 de Enero de 2025</t>
        </is>
      </c>
      <c r="F2550" t="inlineStr">
        <is>
          <t>la Recarga y mantenimiento</t>
        </is>
      </c>
      <c r="G2550" t="inlineStr">
        <is>
          <t>01</t>
        </is>
      </c>
      <c r="H2550" t="inlineStr">
        <is>
          <t>06 KG</t>
        </is>
      </c>
      <c r="I2550" t="inlineStr">
        <is>
          <t>VIGENTE</t>
        </is>
      </c>
      <c r="J2550" t="n">
        <v>2015</v>
      </c>
      <c r="K2550" t="inlineStr">
        <is>
          <t>ENERO 2025</t>
        </is>
      </c>
      <c r="L2550" t="inlineStr">
        <is>
          <t>ENERO 2026</t>
        </is>
      </c>
      <c r="M2550" t="inlineStr">
        <is>
          <t>P.Q.S TIPO ABC</t>
        </is>
      </c>
      <c r="N2550" t="inlineStr">
        <is>
          <t>01/ 000895</t>
        </is>
      </c>
      <c r="O2550" t="inlineStr">
        <is>
          <t>R</t>
        </is>
      </c>
      <c r="P2550">
        <f>TRIM(N2550)</f>
        <v/>
      </c>
    </row>
    <row r="2551">
      <c r="A2551" t="inlineStr">
        <is>
          <t>CO-002181</t>
        </is>
      </c>
      <c r="B2551" t="inlineStr">
        <is>
          <t>I.E 8155 "VICTOR RAÚL HAYA DE LA TORRE"</t>
        </is>
      </c>
      <c r="C2551" t="inlineStr">
        <is>
          <t>20517824292</t>
        </is>
      </c>
      <c r="D2551" t="inlineStr">
        <is>
          <t>JR.8155  AUGUSTO SALAVERRY, CARABAYLLO</t>
        </is>
      </c>
      <c r="E2551" t="inlineStr">
        <is>
          <t>Lima, 10 de Enero de 2025</t>
        </is>
      </c>
      <c r="F2551" t="inlineStr">
        <is>
          <t>la Recarga y mantenimiento</t>
        </is>
      </c>
      <c r="G2551" t="inlineStr">
        <is>
          <t>01</t>
        </is>
      </c>
      <c r="H2551" t="inlineStr">
        <is>
          <t>06 KG</t>
        </is>
      </c>
      <c r="I2551" t="inlineStr">
        <is>
          <t>2030</t>
        </is>
      </c>
      <c r="J2551" t="n">
        <v>2024</v>
      </c>
      <c r="K2551" t="inlineStr">
        <is>
          <t>ENERO 2025</t>
        </is>
      </c>
      <c r="L2551" t="inlineStr">
        <is>
          <t>ENERO 2026</t>
        </is>
      </c>
      <c r="M2551" t="inlineStr">
        <is>
          <t>P.Q.S TIPO ABC</t>
        </is>
      </c>
      <c r="N2551" t="inlineStr">
        <is>
          <t>01/006419</t>
        </is>
      </c>
      <c r="O2551" t="inlineStr">
        <is>
          <t>N</t>
        </is>
      </c>
      <c r="P2551">
        <f>TRIM(N2551)</f>
        <v/>
      </c>
    </row>
    <row r="2552">
      <c r="A2552" t="inlineStr">
        <is>
          <t>CO-002181</t>
        </is>
      </c>
      <c r="B2552" t="inlineStr">
        <is>
          <t>I.E 8155 "VICTOR RAÚL HAYA DE LA TORRE"</t>
        </is>
      </c>
      <c r="C2552" t="inlineStr">
        <is>
          <t>20517824292</t>
        </is>
      </c>
      <c r="D2552" t="inlineStr">
        <is>
          <t>JR.8155  AUGUSTO SALAVERRY, CARABAYLLO</t>
        </is>
      </c>
      <c r="E2552" t="inlineStr">
        <is>
          <t>Lima, 10 de Enero de 2025</t>
        </is>
      </c>
      <c r="F2552" t="inlineStr">
        <is>
          <t>la Recarga y mantenimiento</t>
        </is>
      </c>
      <c r="G2552" t="inlineStr">
        <is>
          <t>02</t>
        </is>
      </c>
      <c r="H2552" t="inlineStr">
        <is>
          <t>06 KG</t>
        </is>
      </c>
      <c r="I2552" t="inlineStr">
        <is>
          <t>2030</t>
        </is>
      </c>
      <c r="J2552" t="n">
        <v>2022</v>
      </c>
      <c r="K2552" t="inlineStr">
        <is>
          <t>ENERO 2025</t>
        </is>
      </c>
      <c r="L2552" t="inlineStr">
        <is>
          <t>ENERO 2026</t>
        </is>
      </c>
      <c r="M2552" t="inlineStr">
        <is>
          <t xml:space="preserve">CO2 TIPO BC </t>
        </is>
      </c>
      <c r="N2552" t="inlineStr">
        <is>
          <t>02/000120</t>
        </is>
      </c>
      <c r="O2552" t="inlineStr">
        <is>
          <t>V</t>
        </is>
      </c>
      <c r="P2552">
        <f>TRIM(N2552)</f>
        <v/>
      </c>
    </row>
    <row r="2553">
      <c r="A2553" t="inlineStr">
        <is>
          <t>CO-002182</t>
        </is>
      </c>
      <c r="B2553" t="inlineStr">
        <is>
          <t>TEOBALDO PATILLA EGAS</t>
        </is>
      </c>
      <c r="D2553" t="inlineStr">
        <is>
          <t>PSTO. 47 - MERCADO 1RO. DE MAYO - COLLIQUE</t>
        </is>
      </c>
      <c r="E2553" t="inlineStr">
        <is>
          <t>Lima, 10 de Enero de 2025</t>
        </is>
      </c>
      <c r="F2553" t="inlineStr">
        <is>
          <t>la Recarga y mantenimiento</t>
        </is>
      </c>
      <c r="G2553" t="inlineStr">
        <is>
          <t>01</t>
        </is>
      </c>
      <c r="H2553" t="inlineStr">
        <is>
          <t>06 KG</t>
        </is>
      </c>
      <c r="I2553" t="inlineStr">
        <is>
          <t>2030</t>
        </is>
      </c>
      <c r="J2553" t="n">
        <v>2024</v>
      </c>
      <c r="K2553" t="inlineStr">
        <is>
          <t>ENERO 2025</t>
        </is>
      </c>
      <c r="L2553" t="inlineStr">
        <is>
          <t>ENERO 2026</t>
        </is>
      </c>
      <c r="M2553" t="inlineStr">
        <is>
          <t>P.Q.S TIPO ABC</t>
        </is>
      </c>
      <c r="N2553" t="inlineStr">
        <is>
          <t>01/006425</t>
        </is>
      </c>
      <c r="O2553" t="inlineStr">
        <is>
          <t>R</t>
        </is>
      </c>
      <c r="P2553">
        <f>TRIM(N2553)</f>
        <v/>
      </c>
    </row>
    <row r="2554">
      <c r="A2554" t="inlineStr">
        <is>
          <t>CO-002183</t>
        </is>
      </c>
      <c r="B2554" t="inlineStr">
        <is>
          <t>POLLERIA EL GORDO DE: Gian Franco Cjuro Huacho</t>
        </is>
      </c>
      <c r="C2554" t="inlineStr">
        <is>
          <t>47104409</t>
        </is>
      </c>
      <c r="D2554" t="inlineStr">
        <is>
          <t>AV. TUPAC AMARU  N° 12402 MZ. 72 LT. 01 TORRE BLANCA</t>
        </is>
      </c>
      <c r="E2554" t="inlineStr">
        <is>
          <t>Lima, 13 de Enero de 2025</t>
        </is>
      </c>
      <c r="F2554" t="inlineStr">
        <is>
          <t>la Recarga y mantenimiento</t>
        </is>
      </c>
      <c r="G2554" t="inlineStr">
        <is>
          <t>01</t>
        </is>
      </c>
      <c r="H2554" t="inlineStr">
        <is>
          <t>06 KG</t>
        </is>
      </c>
      <c r="I2554" t="inlineStr">
        <is>
          <t>2029</t>
        </is>
      </c>
      <c r="J2554" t="n">
        <v>2016</v>
      </c>
      <c r="K2554" t="inlineStr">
        <is>
          <t>ENERO 2025</t>
        </is>
      </c>
      <c r="L2554" t="inlineStr">
        <is>
          <t>ENERO 2026</t>
        </is>
      </c>
      <c r="M2554" t="inlineStr">
        <is>
          <t xml:space="preserve">P.Q.S.  TIPO ABC </t>
        </is>
      </c>
      <c r="N2554" t="inlineStr">
        <is>
          <t>01/001042</t>
        </is>
      </c>
      <c r="O2554" t="inlineStr">
        <is>
          <t>R</t>
        </is>
      </c>
      <c r="P2554">
        <f>TRIM(N2554)</f>
        <v/>
      </c>
    </row>
    <row r="2555">
      <c r="A2555" t="inlineStr">
        <is>
          <t>CO-002183</t>
        </is>
      </c>
      <c r="B2555" t="inlineStr">
        <is>
          <t>POLLERIA EL GORDO DE: Gian Franco Cjuro Huacho</t>
        </is>
      </c>
      <c r="C2555" t="inlineStr">
        <is>
          <t>47104409</t>
        </is>
      </c>
      <c r="D2555" t="inlineStr">
        <is>
          <t>AV. TUPAC AMARU  N° 12402 MZ. 72 LT. 01 TORRE BLANCA</t>
        </is>
      </c>
      <c r="E2555" t="inlineStr">
        <is>
          <t>Lima, 13 de Enero de 2025</t>
        </is>
      </c>
      <c r="F2555" t="inlineStr">
        <is>
          <t>la Recarga y mantenimiento</t>
        </is>
      </c>
      <c r="G2555" t="inlineStr">
        <is>
          <t>02</t>
        </is>
      </c>
      <c r="H2555" t="inlineStr">
        <is>
          <t>1.5 GLS</t>
        </is>
      </c>
      <c r="I2555" t="inlineStr">
        <is>
          <t>2027</t>
        </is>
      </c>
      <c r="J2555" t="n">
        <v>2022</v>
      </c>
      <c r="K2555" t="inlineStr">
        <is>
          <t>ENERO 2025</t>
        </is>
      </c>
      <c r="L2555" t="inlineStr">
        <is>
          <t>ENERO 2026</t>
        </is>
      </c>
      <c r="M2555" t="inlineStr">
        <is>
          <t>ACETATO DE POTASIO TIPO K</t>
        </is>
      </c>
      <c r="N2555" t="inlineStr">
        <is>
          <t>02/000195</t>
        </is>
      </c>
      <c r="O2555" t="inlineStr">
        <is>
          <t>R</t>
        </is>
      </c>
      <c r="P2555">
        <f>TRIM(N2555)</f>
        <v/>
      </c>
    </row>
    <row r="2556">
      <c r="A2556" t="inlineStr">
        <is>
          <t>CO-002184</t>
        </is>
      </c>
      <c r="B2556" t="inlineStr">
        <is>
          <t>FERRETERIA FERRENORT DE: Ruben Bellido</t>
        </is>
      </c>
      <c r="D2556" t="inlineStr">
        <is>
          <t>CA. 4 MZ. P LT. 40 URB. ENACE - CARABAYLLO</t>
        </is>
      </c>
      <c r="E2556" t="inlineStr">
        <is>
          <t>Lima, 14 de Enero de 2025</t>
        </is>
      </c>
      <c r="F2556" t="inlineStr">
        <is>
          <t>la Recarga y mantenimiento</t>
        </is>
      </c>
      <c r="G2556" t="inlineStr">
        <is>
          <t>01</t>
        </is>
      </c>
      <c r="H2556" t="inlineStr">
        <is>
          <t>06 KG</t>
        </is>
      </c>
      <c r="I2556" t="inlineStr">
        <is>
          <t xml:space="preserve">VIGENTE </t>
        </is>
      </c>
      <c r="J2556" t="n">
        <v>2005</v>
      </c>
      <c r="K2556" t="inlineStr">
        <is>
          <t>ENERO 2025</t>
        </is>
      </c>
      <c r="L2556" t="inlineStr">
        <is>
          <t>ENERO 2026</t>
        </is>
      </c>
      <c r="M2556" t="inlineStr">
        <is>
          <t xml:space="preserve">P.Q.S.  TIPO ABC </t>
        </is>
      </c>
      <c r="N2556" t="inlineStr">
        <is>
          <t>01/005779</t>
        </is>
      </c>
      <c r="O2556" t="inlineStr">
        <is>
          <t>R</t>
        </is>
      </c>
      <c r="P2556">
        <f>TRIM(N2556)</f>
        <v/>
      </c>
    </row>
    <row r="2557">
      <c r="A2557" t="inlineStr">
        <is>
          <t>CO-002185</t>
        </is>
      </c>
      <c r="B2557" t="inlineStr">
        <is>
          <t>PERU MASIVO S.A</t>
        </is>
      </c>
      <c r="C2557" t="inlineStr">
        <is>
          <t>20492392031</t>
        </is>
      </c>
      <c r="D2557" t="inlineStr">
        <is>
          <t>AV. LOS INCAS CDRA. 4 PATIO NORTE - COMAS</t>
        </is>
      </c>
      <c r="E2557" t="inlineStr">
        <is>
          <t>Lima, 14 de Enero de 2025</t>
        </is>
      </c>
      <c r="F2557" t="inlineStr">
        <is>
          <t>la Recarga y mantenimiento</t>
        </is>
      </c>
      <c r="G2557" t="inlineStr">
        <is>
          <t>01</t>
        </is>
      </c>
      <c r="H2557" t="inlineStr">
        <is>
          <t xml:space="preserve">06 KG </t>
        </is>
      </c>
      <c r="I2557" t="inlineStr">
        <is>
          <t>2028</t>
        </is>
      </c>
      <c r="J2557" t="n">
        <v>2010</v>
      </c>
      <c r="K2557" t="inlineStr">
        <is>
          <t>ENERO 2025</t>
        </is>
      </c>
      <c r="L2557" t="inlineStr">
        <is>
          <t>ENERO 2026</t>
        </is>
      </c>
      <c r="M2557" t="inlineStr">
        <is>
          <t>P.Q.S.  TIPO ABC ASIA</t>
        </is>
      </c>
      <c r="N2557" t="inlineStr">
        <is>
          <t>59/000050</t>
        </is>
      </c>
      <c r="O2557" t="inlineStr">
        <is>
          <t>R</t>
        </is>
      </c>
      <c r="P2557">
        <f>TRIM(N2557)</f>
        <v/>
      </c>
    </row>
    <row r="2558">
      <c r="A2558" t="inlineStr">
        <is>
          <t>CO-002185</t>
        </is>
      </c>
      <c r="B2558" t="inlineStr">
        <is>
          <t>PERU MASIVO S.A</t>
        </is>
      </c>
      <c r="C2558" t="inlineStr">
        <is>
          <t>20492392031</t>
        </is>
      </c>
      <c r="D2558" t="inlineStr">
        <is>
          <t>AV. LOS INCAS CDRA. 4 PATIO NORTE - COMAS</t>
        </is>
      </c>
      <c r="E2558" t="inlineStr">
        <is>
          <t>Lima, 14 de Enero de 2025</t>
        </is>
      </c>
      <c r="F2558" t="inlineStr">
        <is>
          <t>la Recarga y mantenimiento</t>
        </is>
      </c>
      <c r="G2558" t="inlineStr">
        <is>
          <t>02</t>
        </is>
      </c>
      <c r="H2558" t="inlineStr">
        <is>
          <t>06 KG</t>
        </is>
      </c>
      <c r="I2558" t="inlineStr">
        <is>
          <t>2029</t>
        </is>
      </c>
      <c r="J2558" t="n">
        <v>2015</v>
      </c>
      <c r="K2558" t="inlineStr">
        <is>
          <t>ENERO 2025</t>
        </is>
      </c>
      <c r="L2558" t="inlineStr">
        <is>
          <t>ENERO 2026</t>
        </is>
      </c>
      <c r="M2558" t="inlineStr">
        <is>
          <t>P.Q.S.  TIPO ABC ASIA</t>
        </is>
      </c>
      <c r="N2558" t="inlineStr">
        <is>
          <t>09/001548</t>
        </is>
      </c>
      <c r="O2558" t="inlineStr">
        <is>
          <t>R</t>
        </is>
      </c>
      <c r="P2558">
        <f>TRIM(N2558)</f>
        <v/>
      </c>
    </row>
    <row r="2559">
      <c r="A2559" t="inlineStr">
        <is>
          <t>CO-002185</t>
        </is>
      </c>
      <c r="B2559" t="inlineStr">
        <is>
          <t>PERU MASIVO S.A</t>
        </is>
      </c>
      <c r="C2559" t="inlineStr">
        <is>
          <t>20492392031</t>
        </is>
      </c>
      <c r="D2559" t="inlineStr">
        <is>
          <t>AV. LOS INCAS CDRA. 4 PATIO NORTE - COMAS</t>
        </is>
      </c>
      <c r="E2559" t="inlineStr">
        <is>
          <t>Lima, 14 de Enero de 2025</t>
        </is>
      </c>
      <c r="F2559" t="inlineStr">
        <is>
          <t>la Recarga y mantenimiento</t>
        </is>
      </c>
      <c r="G2559" t="inlineStr">
        <is>
          <t xml:space="preserve">03 </t>
        </is>
      </c>
      <c r="H2559" t="inlineStr">
        <is>
          <t>06 KG</t>
        </is>
      </c>
      <c r="I2559" t="n">
        <v>2029</v>
      </c>
      <c r="J2559" t="n">
        <v>2021</v>
      </c>
      <c r="K2559" t="inlineStr">
        <is>
          <t>ENERO 2025</t>
        </is>
      </c>
      <c r="L2559" t="inlineStr">
        <is>
          <t>ENERO 2026</t>
        </is>
      </c>
      <c r="M2559" t="inlineStr">
        <is>
          <t>P.Q.S.  TIPO ABC ASIA</t>
        </is>
      </c>
      <c r="N2559" t="inlineStr">
        <is>
          <t>19/007813</t>
        </is>
      </c>
      <c r="O2559" t="inlineStr">
        <is>
          <t>R</t>
        </is>
      </c>
      <c r="P2559">
        <f>TRIM(N2559)</f>
        <v/>
      </c>
    </row>
    <row r="2560">
      <c r="A2560" t="inlineStr">
        <is>
          <t>CO-002185</t>
        </is>
      </c>
      <c r="B2560" t="inlineStr">
        <is>
          <t>PERU MASIVO S.A</t>
        </is>
      </c>
      <c r="C2560" t="inlineStr">
        <is>
          <t>20492392031</t>
        </is>
      </c>
      <c r="D2560" t="inlineStr">
        <is>
          <t>AV. LOS INCAS CDRA. 4 PATIO NORTE - COMAS</t>
        </is>
      </c>
      <c r="E2560" t="inlineStr">
        <is>
          <t>Lima, 14 de Enero de 2025</t>
        </is>
      </c>
      <c r="F2560" t="inlineStr">
        <is>
          <t>la Recarga y mantenimiento</t>
        </is>
      </c>
      <c r="G2560" t="inlineStr">
        <is>
          <t>04</t>
        </is>
      </c>
      <c r="H2560" t="inlineStr">
        <is>
          <t>06 KG</t>
        </is>
      </c>
      <c r="I2560" t="n">
        <v>2029</v>
      </c>
      <c r="J2560" t="n">
        <v>2009</v>
      </c>
      <c r="K2560" t="inlineStr">
        <is>
          <t>ENERO 2025</t>
        </is>
      </c>
      <c r="L2560" t="inlineStr">
        <is>
          <t>ENERO 2026</t>
        </is>
      </c>
      <c r="M2560" t="inlineStr">
        <is>
          <t>P.Q.S.  TIPO ABC ASIA</t>
        </is>
      </c>
      <c r="N2560" t="inlineStr">
        <is>
          <t>363/001595</t>
        </is>
      </c>
      <c r="O2560" t="inlineStr">
        <is>
          <t>R</t>
        </is>
      </c>
      <c r="P2560">
        <f>TRIM(N2560)</f>
        <v/>
      </c>
    </row>
    <row r="2561">
      <c r="A2561" t="inlineStr">
        <is>
          <t>CO-002185</t>
        </is>
      </c>
      <c r="B2561" t="inlineStr">
        <is>
          <t>PERU MASIVO S.A</t>
        </is>
      </c>
      <c r="C2561" t="inlineStr">
        <is>
          <t>20492392031</t>
        </is>
      </c>
      <c r="D2561" t="inlineStr">
        <is>
          <t>AV. LOS INCAS CDRA. 4 PATIO NORTE - COMAS</t>
        </is>
      </c>
      <c r="E2561" t="inlineStr">
        <is>
          <t>Lima, 14 de Enero de 2025</t>
        </is>
      </c>
      <c r="F2561" t="inlineStr">
        <is>
          <t>la Recarga y mantenimiento</t>
        </is>
      </c>
      <c r="G2561" t="inlineStr">
        <is>
          <t>05</t>
        </is>
      </c>
      <c r="H2561" t="inlineStr">
        <is>
          <t>06 KG</t>
        </is>
      </c>
      <c r="I2561" t="n">
        <v>2029</v>
      </c>
      <c r="J2561" t="n">
        <v>2012</v>
      </c>
      <c r="K2561" t="inlineStr">
        <is>
          <t>ENERO 2025</t>
        </is>
      </c>
      <c r="L2561" t="inlineStr">
        <is>
          <t>ENERO 2026</t>
        </is>
      </c>
      <c r="M2561" t="inlineStr">
        <is>
          <t>P.Q.S.  TIPO ABC ASIA</t>
        </is>
      </c>
      <c r="N2561" t="inlineStr">
        <is>
          <t>20/002474</t>
        </is>
      </c>
      <c r="O2561" t="inlineStr">
        <is>
          <t>R</t>
        </is>
      </c>
      <c r="P2561">
        <f>TRIM(N2561)</f>
        <v/>
      </c>
    </row>
    <row r="2562">
      <c r="A2562" t="inlineStr">
        <is>
          <t>CO-002185</t>
        </is>
      </c>
      <c r="B2562" t="inlineStr">
        <is>
          <t>PERU MASIVO S.A</t>
        </is>
      </c>
      <c r="C2562" t="inlineStr">
        <is>
          <t>20492392031</t>
        </is>
      </c>
      <c r="D2562" t="inlineStr">
        <is>
          <t>AV. LOS INCAS CDRA. 4 PATIO NORTE - COMAS</t>
        </is>
      </c>
      <c r="E2562" t="inlineStr">
        <is>
          <t>Lima, 14 de Enero de 2025</t>
        </is>
      </c>
      <c r="F2562" t="inlineStr">
        <is>
          <t>la Recarga y mantenimiento</t>
        </is>
      </c>
      <c r="G2562" t="inlineStr">
        <is>
          <t>06</t>
        </is>
      </c>
      <c r="H2562" t="inlineStr">
        <is>
          <t>06 KG</t>
        </is>
      </c>
      <c r="I2562" t="n">
        <v>2029</v>
      </c>
      <c r="J2562" t="n">
        <v>2010</v>
      </c>
      <c r="K2562" t="inlineStr">
        <is>
          <t>ENERO 2025</t>
        </is>
      </c>
      <c r="L2562" t="inlineStr">
        <is>
          <t>ENERO 2026</t>
        </is>
      </c>
      <c r="M2562" t="inlineStr">
        <is>
          <t>P.Q.S.  TIPO ABC ASIA</t>
        </is>
      </c>
      <c r="N2562" t="inlineStr">
        <is>
          <t>289/000598</t>
        </is>
      </c>
      <c r="O2562" t="inlineStr">
        <is>
          <t>R</t>
        </is>
      </c>
      <c r="P2562">
        <f>TRIM(N2562)</f>
        <v/>
      </c>
    </row>
    <row r="2563">
      <c r="A2563" t="inlineStr">
        <is>
          <t>CO-002185</t>
        </is>
      </c>
      <c r="B2563" t="inlineStr">
        <is>
          <t>PERU MASIVO S.A</t>
        </is>
      </c>
      <c r="C2563" t="inlineStr">
        <is>
          <t>20492392031</t>
        </is>
      </c>
      <c r="D2563" t="inlineStr">
        <is>
          <t>AV. LOS INCAS CDRA. 4 PATIO NORTE - COMAS</t>
        </is>
      </c>
      <c r="E2563" t="inlineStr">
        <is>
          <t>Lima, 14 de Enero de 2025</t>
        </is>
      </c>
      <c r="F2563" t="inlineStr">
        <is>
          <t>la Recarga y mantenimiento</t>
        </is>
      </c>
      <c r="G2563" t="inlineStr">
        <is>
          <t>07</t>
        </is>
      </c>
      <c r="H2563" t="inlineStr">
        <is>
          <t>06 KG</t>
        </is>
      </c>
      <c r="I2563" t="n">
        <v>2029</v>
      </c>
      <c r="J2563" t="n">
        <v>2009</v>
      </c>
      <c r="K2563" t="inlineStr">
        <is>
          <t>ENERO 2025</t>
        </is>
      </c>
      <c r="L2563" t="inlineStr">
        <is>
          <t>ENERO 2026</t>
        </is>
      </c>
      <c r="M2563" t="inlineStr">
        <is>
          <t>P.Q.S.  TIPO ABC ASIA</t>
        </is>
      </c>
      <c r="N2563" t="inlineStr">
        <is>
          <t>181/001803</t>
        </is>
      </c>
      <c r="O2563" t="inlineStr">
        <is>
          <t>R</t>
        </is>
      </c>
      <c r="P2563">
        <f>TRIM(N2563)</f>
        <v/>
      </c>
    </row>
    <row r="2564">
      <c r="A2564" t="inlineStr">
        <is>
          <t>CO-002185</t>
        </is>
      </c>
      <c r="B2564" t="inlineStr">
        <is>
          <t>PERU MASIVO S.A</t>
        </is>
      </c>
      <c r="C2564" t="inlineStr">
        <is>
          <t>20492392031</t>
        </is>
      </c>
      <c r="D2564" t="inlineStr">
        <is>
          <t>AV. LOS INCAS CDRA. 4 PATIO NORTE - COMAS</t>
        </is>
      </c>
      <c r="E2564" t="inlineStr">
        <is>
          <t>Lima, 14 de Enero de 2025</t>
        </is>
      </c>
      <c r="F2564" t="inlineStr">
        <is>
          <t>la Recarga y mantenimiento</t>
        </is>
      </c>
      <c r="G2564" t="inlineStr">
        <is>
          <t>08</t>
        </is>
      </c>
      <c r="H2564" t="inlineStr">
        <is>
          <t>06 KG</t>
        </is>
      </c>
      <c r="I2564" t="n">
        <v>2029</v>
      </c>
      <c r="J2564" t="n">
        <v>2009</v>
      </c>
      <c r="K2564" t="inlineStr">
        <is>
          <t>ENERO 2025</t>
        </is>
      </c>
      <c r="L2564" t="inlineStr">
        <is>
          <t>ENERO 2026</t>
        </is>
      </c>
      <c r="M2564" t="inlineStr">
        <is>
          <t>P.Q.S.  TIPO ABC ASIA</t>
        </is>
      </c>
      <c r="N2564" t="inlineStr">
        <is>
          <t>194/001188</t>
        </is>
      </c>
      <c r="O2564" t="inlineStr">
        <is>
          <t>R</t>
        </is>
      </c>
      <c r="P2564">
        <f>TRIM(N2564)</f>
        <v/>
      </c>
    </row>
    <row r="2565">
      <c r="A2565" t="inlineStr">
        <is>
          <t>CO-002186</t>
        </is>
      </c>
      <c r="B2565" t="inlineStr">
        <is>
          <t xml:space="preserve">VALENTIN VARGAS </t>
        </is>
      </c>
      <c r="D2565" t="inlineStr">
        <is>
          <t>MERCADO PRIMERO DE MAYO PUESTO 48</t>
        </is>
      </c>
      <c r="E2565" t="inlineStr">
        <is>
          <t>Lima, 14 de Enero de 2025</t>
        </is>
      </c>
      <c r="F2565" t="inlineStr">
        <is>
          <t>la Recarga y mantenimiento</t>
        </is>
      </c>
      <c r="G2565" t="inlineStr">
        <is>
          <t>01</t>
        </is>
      </c>
      <c r="H2565" t="inlineStr">
        <is>
          <t xml:space="preserve">06 KG </t>
        </is>
      </c>
      <c r="I2565" t="inlineStr">
        <is>
          <t>2030</t>
        </is>
      </c>
      <c r="J2565" t="n">
        <v>2024</v>
      </c>
      <c r="K2565" t="inlineStr">
        <is>
          <t>ENERO 2025</t>
        </is>
      </c>
      <c r="L2565" t="inlineStr">
        <is>
          <t>ENERO 2026</t>
        </is>
      </c>
      <c r="M2565" t="inlineStr">
        <is>
          <t xml:space="preserve">P.Q.S.  TIPO ABC </t>
        </is>
      </c>
      <c r="N2565" t="inlineStr">
        <is>
          <t>01/007646</t>
        </is>
      </c>
      <c r="O2565" t="inlineStr">
        <is>
          <t>R</t>
        </is>
      </c>
      <c r="P2565">
        <f>TRIM(N2565)</f>
        <v/>
      </c>
    </row>
    <row r="2566">
      <c r="A2566" t="inlineStr">
        <is>
          <t>CO-002187</t>
        </is>
      </c>
      <c r="B2566" t="inlineStr">
        <is>
          <t>PERU MASIVO S.A</t>
        </is>
      </c>
      <c r="C2566" t="inlineStr">
        <is>
          <t>20492392031</t>
        </is>
      </c>
      <c r="D2566" t="inlineStr">
        <is>
          <t xml:space="preserve">AV. ANTONIO MIROQUESADA NRO. 457 INT. 1201 MAGDALENA DEL MAR </t>
        </is>
      </c>
      <c r="E2566" t="inlineStr">
        <is>
          <t>Lima, 16 de Enero de 2025</t>
        </is>
      </c>
      <c r="F2566" t="inlineStr">
        <is>
          <t>la Recarga y mantenimiento</t>
        </is>
      </c>
      <c r="G2566" t="inlineStr">
        <is>
          <t>01</t>
        </is>
      </c>
      <c r="H2566" t="inlineStr">
        <is>
          <t xml:space="preserve">06 KG </t>
        </is>
      </c>
      <c r="I2566" t="inlineStr">
        <is>
          <t>2029</t>
        </is>
      </c>
      <c r="J2566" t="n">
        <v>2015</v>
      </c>
      <c r="K2566" t="inlineStr">
        <is>
          <t>ENERO 2025</t>
        </is>
      </c>
      <c r="L2566" t="inlineStr">
        <is>
          <t>ENERO 2026</t>
        </is>
      </c>
      <c r="M2566" t="inlineStr">
        <is>
          <t>P.Q.S.  TIPO ABC NACIONAL</t>
        </is>
      </c>
      <c r="N2566" t="inlineStr">
        <is>
          <t>03/016106</t>
        </is>
      </c>
      <c r="O2566" t="inlineStr">
        <is>
          <t>R</t>
        </is>
      </c>
      <c r="P2566">
        <f>TRIM(N2566)</f>
        <v/>
      </c>
    </row>
    <row r="2567">
      <c r="A2567" t="inlineStr">
        <is>
          <t>CO-002187</t>
        </is>
      </c>
      <c r="B2567" t="inlineStr">
        <is>
          <t>PERU MASIVO S.A</t>
        </is>
      </c>
      <c r="C2567" t="inlineStr">
        <is>
          <t>20492392031</t>
        </is>
      </c>
      <c r="D2567" t="inlineStr">
        <is>
          <t xml:space="preserve">AV. ANTONIO MIROQUESADA NRO. 457 INT. 1201 MAGDALENA DEL MAR </t>
        </is>
      </c>
      <c r="E2567" t="inlineStr">
        <is>
          <t>Lima, 16 de Enero de 2025</t>
        </is>
      </c>
      <c r="F2567" t="inlineStr">
        <is>
          <t>la Recarga y mantenimiento</t>
        </is>
      </c>
      <c r="G2567" t="inlineStr">
        <is>
          <t>02</t>
        </is>
      </c>
      <c r="H2567" t="inlineStr">
        <is>
          <t xml:space="preserve">06 KG </t>
        </is>
      </c>
      <c r="I2567" t="inlineStr">
        <is>
          <t>2029</t>
        </is>
      </c>
      <c r="J2567" t="n">
        <v>2015</v>
      </c>
      <c r="K2567" t="inlineStr">
        <is>
          <t>ENERO 2025</t>
        </is>
      </c>
      <c r="L2567" t="inlineStr">
        <is>
          <t>ENERO 2026</t>
        </is>
      </c>
      <c r="M2567" t="inlineStr">
        <is>
          <t>P.Q.S.  TIPO ABC NACIONAL</t>
        </is>
      </c>
      <c r="N2567" t="inlineStr">
        <is>
          <t>05/015794</t>
        </is>
      </c>
      <c r="O2567" t="inlineStr">
        <is>
          <t>R</t>
        </is>
      </c>
      <c r="P2567">
        <f>TRIM(N2567)</f>
        <v/>
      </c>
    </row>
    <row r="2568">
      <c r="A2568" t="inlineStr">
        <is>
          <t>CO-002187</t>
        </is>
      </c>
      <c r="B2568" t="inlineStr">
        <is>
          <t>PERU MASIVO S.A</t>
        </is>
      </c>
      <c r="C2568" t="inlineStr">
        <is>
          <t>20492392031</t>
        </is>
      </c>
      <c r="D2568" t="inlineStr">
        <is>
          <t xml:space="preserve">AV. ANTONIO MIROQUESADA NRO. 457 INT. 1201 MAGDALENA DEL MAR </t>
        </is>
      </c>
      <c r="E2568" t="inlineStr">
        <is>
          <t>Lima, 16 de Enero de 2025</t>
        </is>
      </c>
      <c r="F2568" t="inlineStr">
        <is>
          <t>la Recarga y mantenimiento</t>
        </is>
      </c>
      <c r="G2568" t="inlineStr">
        <is>
          <t>03</t>
        </is>
      </c>
      <c r="H2568" t="inlineStr">
        <is>
          <t xml:space="preserve">06 KG </t>
        </is>
      </c>
      <c r="I2568" t="inlineStr">
        <is>
          <t>2029</t>
        </is>
      </c>
      <c r="J2568" t="n">
        <v>2015</v>
      </c>
      <c r="K2568" t="inlineStr">
        <is>
          <t>ENERO 2025</t>
        </is>
      </c>
      <c r="L2568" t="inlineStr">
        <is>
          <t>ENERO 2026</t>
        </is>
      </c>
      <c r="M2568" t="inlineStr">
        <is>
          <t>P.Q.S.  TIPO ABC NACIONAL</t>
        </is>
      </c>
      <c r="N2568" t="inlineStr">
        <is>
          <t>06/015890</t>
        </is>
      </c>
      <c r="O2568" t="inlineStr">
        <is>
          <t>R</t>
        </is>
      </c>
      <c r="P2568">
        <f>TRIM(N2568)</f>
        <v/>
      </c>
    </row>
    <row r="2569">
      <c r="A2569" t="inlineStr">
        <is>
          <t>CO-002187</t>
        </is>
      </c>
      <c r="B2569" t="inlineStr">
        <is>
          <t>PERU MASIVO S.A</t>
        </is>
      </c>
      <c r="C2569" t="inlineStr">
        <is>
          <t>20492392031</t>
        </is>
      </c>
      <c r="D2569" t="inlineStr">
        <is>
          <t xml:space="preserve">AV. ANTONIO MIROQUESADA NRO. 457 INT. 1201 MAGDALENA DEL MAR </t>
        </is>
      </c>
      <c r="E2569" t="inlineStr">
        <is>
          <t>Lima, 16 de Enero de 2025</t>
        </is>
      </c>
      <c r="F2569" t="inlineStr">
        <is>
          <t>la Recarga y mantenimiento</t>
        </is>
      </c>
      <c r="G2569" t="inlineStr">
        <is>
          <t>04</t>
        </is>
      </c>
      <c r="H2569" t="inlineStr">
        <is>
          <t xml:space="preserve">09 KG </t>
        </is>
      </c>
      <c r="I2569" t="inlineStr">
        <is>
          <t>2029</t>
        </is>
      </c>
      <c r="J2569" t="n">
        <v>2015</v>
      </c>
      <c r="K2569" t="inlineStr">
        <is>
          <t>ENERO 2025</t>
        </is>
      </c>
      <c r="L2569" t="inlineStr">
        <is>
          <t>ENERO 2026</t>
        </is>
      </c>
      <c r="M2569" t="inlineStr">
        <is>
          <t>P.Q.S.  TIPO ABC NACIONAL</t>
        </is>
      </c>
      <c r="N2569" t="inlineStr">
        <is>
          <t>02/002536</t>
        </is>
      </c>
      <c r="O2569" t="inlineStr">
        <is>
          <t>R</t>
        </is>
      </c>
      <c r="P2569">
        <f>TRIM(N2569)</f>
        <v/>
      </c>
    </row>
    <row r="2570">
      <c r="A2570" t="inlineStr">
        <is>
          <t>CO-002187</t>
        </is>
      </c>
      <c r="B2570" t="inlineStr">
        <is>
          <t>PERU MASIVO S.A</t>
        </is>
      </c>
      <c r="C2570" t="inlineStr">
        <is>
          <t>20492392031</t>
        </is>
      </c>
      <c r="D2570" t="inlineStr">
        <is>
          <t xml:space="preserve">AV. ANTONIO MIROQUESADA NRO. 457 INT. 1201 MAGDALENA DEL MAR </t>
        </is>
      </c>
      <c r="E2570" t="inlineStr">
        <is>
          <t>Lima, 16 de Enero de 2025</t>
        </is>
      </c>
      <c r="F2570" t="inlineStr">
        <is>
          <t>la Recarga y mantenimiento</t>
        </is>
      </c>
      <c r="G2570" t="inlineStr">
        <is>
          <t>05</t>
        </is>
      </c>
      <c r="H2570" t="inlineStr">
        <is>
          <t>10 LBS</t>
        </is>
      </c>
      <c r="I2570" t="n">
        <v>2030</v>
      </c>
      <c r="J2570" t="n">
        <v>2015</v>
      </c>
      <c r="K2570" t="inlineStr">
        <is>
          <t>ENERO 2025</t>
        </is>
      </c>
      <c r="L2570" t="inlineStr">
        <is>
          <t>ENERO 2026</t>
        </is>
      </c>
      <c r="M2570" t="inlineStr">
        <is>
          <t>CO2 TIPO BC ASIA</t>
        </is>
      </c>
      <c r="N2570" t="inlineStr">
        <is>
          <t>01/000405</t>
        </is>
      </c>
      <c r="O2570" t="inlineStr">
        <is>
          <t>R</t>
        </is>
      </c>
      <c r="P2570">
        <f>TRIM(N2570)</f>
        <v/>
      </c>
    </row>
    <row r="2571">
      <c r="A2571" t="inlineStr">
        <is>
          <t>CO-002187</t>
        </is>
      </c>
      <c r="B2571" t="inlineStr">
        <is>
          <t>PERU MASIVO S.A</t>
        </is>
      </c>
      <c r="C2571" t="inlineStr">
        <is>
          <t>20492392031</t>
        </is>
      </c>
      <c r="D2571" t="inlineStr">
        <is>
          <t xml:space="preserve">AV. ANTONIO MIROQUESADA NRO. 457 INT. 1201 MAGDALENA DEL MAR </t>
        </is>
      </c>
      <c r="E2571" t="inlineStr">
        <is>
          <t>Lima, 16 de Enero de 2025</t>
        </is>
      </c>
      <c r="F2571" t="inlineStr">
        <is>
          <t>la Recarga y mantenimiento</t>
        </is>
      </c>
      <c r="G2571" t="inlineStr">
        <is>
          <t>06</t>
        </is>
      </c>
      <c r="H2571" t="inlineStr">
        <is>
          <t>10 LBS</t>
        </is>
      </c>
      <c r="I2571" t="n">
        <v>2030</v>
      </c>
      <c r="J2571" t="n">
        <v>2015</v>
      </c>
      <c r="K2571" t="inlineStr">
        <is>
          <t>ENERO 2025</t>
        </is>
      </c>
      <c r="L2571" t="inlineStr">
        <is>
          <t>ENERO 2026</t>
        </is>
      </c>
      <c r="M2571" t="inlineStr">
        <is>
          <t>CO2 TIPO BC ASIA</t>
        </is>
      </c>
      <c r="N2571" t="inlineStr">
        <is>
          <t>04/000378</t>
        </is>
      </c>
      <c r="O2571" t="inlineStr">
        <is>
          <t>R</t>
        </is>
      </c>
      <c r="P2571">
        <f>TRIM(N2571)</f>
        <v/>
      </c>
    </row>
    <row r="2572">
      <c r="A2572" t="inlineStr">
        <is>
          <t>CO-002188</t>
        </is>
      </c>
      <c r="B2572" t="inlineStr">
        <is>
          <t xml:space="preserve">LUPE JESSICA PULIDO AROSQUIPA </t>
        </is>
      </c>
      <c r="D2572" t="inlineStr">
        <is>
          <t xml:space="preserve">MERCADO RETABLO PSTO G-09 - COMAS </t>
        </is>
      </c>
      <c r="E2572" t="inlineStr">
        <is>
          <t>Lima, 21 de Enero de 2025</t>
        </is>
      </c>
      <c r="F2572" t="inlineStr">
        <is>
          <t>la Recarga y mantenimiento</t>
        </is>
      </c>
      <c r="G2572" t="inlineStr">
        <is>
          <t>01</t>
        </is>
      </c>
      <c r="H2572" t="inlineStr">
        <is>
          <t xml:space="preserve">06 KG </t>
        </is>
      </c>
      <c r="I2572" t="inlineStr">
        <is>
          <t xml:space="preserve">VIGENTE </t>
        </is>
      </c>
      <c r="J2572" t="n">
        <v>2017</v>
      </c>
      <c r="K2572" t="inlineStr">
        <is>
          <t>ENERO 2025</t>
        </is>
      </c>
      <c r="L2572" t="inlineStr">
        <is>
          <t>ENERO 2026</t>
        </is>
      </c>
      <c r="M2572" t="inlineStr">
        <is>
          <t xml:space="preserve">P.Q.S.  TIPO ABC </t>
        </is>
      </c>
      <c r="N2572" t="inlineStr">
        <is>
          <t>01/001168</t>
        </is>
      </c>
      <c r="O2572" t="inlineStr">
        <is>
          <t>R</t>
        </is>
      </c>
      <c r="P2572">
        <f>TRIM(N2572)</f>
        <v/>
      </c>
    </row>
    <row r="2573">
      <c r="A2573" t="inlineStr">
        <is>
          <t>CO-002189</t>
        </is>
      </c>
      <c r="B2573" t="inlineStr">
        <is>
          <t xml:space="preserve">LUPE JESSICA PULIDO AROSQUIPA </t>
        </is>
      </c>
      <c r="D2573" t="inlineStr">
        <is>
          <t xml:space="preserve">MERCADO RETABLO PSTO E-10- COMAS </t>
        </is>
      </c>
      <c r="E2573" t="inlineStr">
        <is>
          <t>Lima, 21 de Enero de 2025</t>
        </is>
      </c>
      <c r="F2573" t="inlineStr">
        <is>
          <t>la Recarga y mantenimiento</t>
        </is>
      </c>
      <c r="G2573" t="inlineStr">
        <is>
          <t>01</t>
        </is>
      </c>
      <c r="H2573" t="inlineStr">
        <is>
          <t xml:space="preserve">06 KG </t>
        </is>
      </c>
      <c r="I2573" t="inlineStr">
        <is>
          <t xml:space="preserve">VIGENTE </t>
        </is>
      </c>
      <c r="J2573" t="n">
        <v>2015</v>
      </c>
      <c r="K2573" t="inlineStr">
        <is>
          <t>ENERO 2025</t>
        </is>
      </c>
      <c r="L2573" t="inlineStr">
        <is>
          <t>ENERO 2026</t>
        </is>
      </c>
      <c r="M2573" t="inlineStr">
        <is>
          <t xml:space="preserve">P.Q.S.  TIPO ABC </t>
        </is>
      </c>
      <c r="N2573" t="inlineStr">
        <is>
          <t>02/000475</t>
        </is>
      </c>
      <c r="O2573" t="inlineStr">
        <is>
          <t>R</t>
        </is>
      </c>
      <c r="P2573">
        <f>TRIM(N2573)</f>
        <v/>
      </c>
    </row>
    <row r="2574">
      <c r="A2574" t="inlineStr">
        <is>
          <t>CO-002190</t>
        </is>
      </c>
      <c r="B2574" t="inlineStr">
        <is>
          <t>PERU MASIVO S.A</t>
        </is>
      </c>
      <c r="C2574" t="inlineStr">
        <is>
          <t>20492392031</t>
        </is>
      </c>
      <c r="D2574" t="inlineStr">
        <is>
          <t>AV. LOS INCAS CDRA. 4 PATIO NORTE - COMAS</t>
        </is>
      </c>
      <c r="E2574" t="inlineStr">
        <is>
          <t>Lima, 22 de Enero de 2025</t>
        </is>
      </c>
      <c r="F2574" t="inlineStr">
        <is>
          <t>la Recarga y mantenimiento</t>
        </is>
      </c>
      <c r="G2574" t="inlineStr">
        <is>
          <t>01</t>
        </is>
      </c>
      <c r="H2574" t="inlineStr">
        <is>
          <t xml:space="preserve">06 KG </t>
        </is>
      </c>
      <c r="I2574" t="inlineStr">
        <is>
          <t>2029</t>
        </is>
      </c>
      <c r="J2574" t="n">
        <v>2011</v>
      </c>
      <c r="K2574" t="inlineStr">
        <is>
          <t>ENERO 2025</t>
        </is>
      </c>
      <c r="L2574" t="inlineStr">
        <is>
          <t>ENERO 2026</t>
        </is>
      </c>
      <c r="M2574" t="inlineStr">
        <is>
          <t>P.Q.S.  TIPO ABC NACIONAL</t>
        </is>
      </c>
      <c r="N2574" t="inlineStr">
        <is>
          <t>29/011039</t>
        </is>
      </c>
      <c r="O2574" t="inlineStr">
        <is>
          <t>R</t>
        </is>
      </c>
      <c r="P2574">
        <f>TRIM(N2574)</f>
        <v/>
      </c>
    </row>
    <row r="2575">
      <c r="A2575" t="inlineStr">
        <is>
          <t>CO-002190</t>
        </is>
      </c>
      <c r="B2575" t="inlineStr">
        <is>
          <t>PERU MASIVO S.A</t>
        </is>
      </c>
      <c r="C2575" t="inlineStr">
        <is>
          <t>20492392031</t>
        </is>
      </c>
      <c r="D2575" t="inlineStr">
        <is>
          <t>AV. LOS INCAS CDRA. 4 PATIO NORTE - COMAS</t>
        </is>
      </c>
      <c r="E2575" t="inlineStr">
        <is>
          <t>Lima, 22 de Enero de 2025</t>
        </is>
      </c>
      <c r="F2575" t="inlineStr">
        <is>
          <t>la Recarga y mantenimiento</t>
        </is>
      </c>
      <c r="G2575" t="inlineStr">
        <is>
          <t>02</t>
        </is>
      </c>
      <c r="H2575" t="inlineStr">
        <is>
          <t xml:space="preserve">06 KG </t>
        </is>
      </c>
      <c r="I2575" t="inlineStr">
        <is>
          <t>2029</t>
        </is>
      </c>
      <c r="J2575" t="n">
        <v>2017</v>
      </c>
      <c r="K2575" t="inlineStr">
        <is>
          <t>ENERO 2025</t>
        </is>
      </c>
      <c r="L2575" t="inlineStr">
        <is>
          <t>ENERO 2026</t>
        </is>
      </c>
      <c r="M2575" t="inlineStr">
        <is>
          <t>P.Q.S.  TIPO ABC ASIA</t>
        </is>
      </c>
      <c r="N2575" t="inlineStr">
        <is>
          <t>33/005946</t>
        </is>
      </c>
      <c r="O2575" t="inlineStr">
        <is>
          <t>R</t>
        </is>
      </c>
      <c r="P2575">
        <f>TRIM(N2575)</f>
        <v/>
      </c>
    </row>
    <row r="2576">
      <c r="A2576" t="inlineStr">
        <is>
          <t>CO-002190</t>
        </is>
      </c>
      <c r="B2576" t="inlineStr">
        <is>
          <t>PERU MASIVO S.A</t>
        </is>
      </c>
      <c r="C2576" t="inlineStr">
        <is>
          <t>20492392031</t>
        </is>
      </c>
      <c r="D2576" t="inlineStr">
        <is>
          <t>AV. LOS INCAS CDRA. 4 PATIO NORTE - COMAS</t>
        </is>
      </c>
      <c r="E2576" t="inlineStr">
        <is>
          <t>Lima, 22 de Enero de 2025</t>
        </is>
      </c>
      <c r="F2576" t="inlineStr">
        <is>
          <t>la Recarga y mantenimiento</t>
        </is>
      </c>
      <c r="G2576" t="inlineStr">
        <is>
          <t>03</t>
        </is>
      </c>
      <c r="H2576" t="inlineStr">
        <is>
          <t xml:space="preserve">06 KG </t>
        </is>
      </c>
      <c r="I2576" t="inlineStr">
        <is>
          <t>2028</t>
        </is>
      </c>
      <c r="J2576" t="n">
        <v>2016</v>
      </c>
      <c r="K2576" t="inlineStr">
        <is>
          <t>ENERO 2025</t>
        </is>
      </c>
      <c r="L2576" t="inlineStr">
        <is>
          <t>ENERO 2026</t>
        </is>
      </c>
      <c r="M2576" t="inlineStr">
        <is>
          <t>P.Q.S.  TIPO ABC ASIA</t>
        </is>
      </c>
      <c r="N2576" t="inlineStr">
        <is>
          <t>36/000357</t>
        </is>
      </c>
      <c r="O2576" t="inlineStr">
        <is>
          <t>R</t>
        </is>
      </c>
      <c r="P2576">
        <f>TRIM(N2576)</f>
        <v/>
      </c>
    </row>
    <row r="2577">
      <c r="A2577" t="inlineStr">
        <is>
          <t>CO-002190</t>
        </is>
      </c>
      <c r="B2577" t="inlineStr">
        <is>
          <t>PERU MASIVO S.A</t>
        </is>
      </c>
      <c r="C2577" t="inlineStr">
        <is>
          <t>20492392031</t>
        </is>
      </c>
      <c r="D2577" t="inlineStr">
        <is>
          <t>AV. LOS INCAS CDRA. 4 PATIO NORTE - COMAS</t>
        </is>
      </c>
      <c r="E2577" t="inlineStr">
        <is>
          <t>Lima, 22 de Enero de 2025</t>
        </is>
      </c>
      <c r="F2577" t="inlineStr">
        <is>
          <t>la Recarga y mantenimiento</t>
        </is>
      </c>
      <c r="G2577" t="inlineStr">
        <is>
          <t>04</t>
        </is>
      </c>
      <c r="H2577" t="inlineStr">
        <is>
          <t xml:space="preserve">06 KG </t>
        </is>
      </c>
      <c r="I2577" t="inlineStr">
        <is>
          <t>2028</t>
        </is>
      </c>
      <c r="J2577" t="n">
        <v>2009</v>
      </c>
      <c r="K2577" t="inlineStr">
        <is>
          <t>ENERO 2025</t>
        </is>
      </c>
      <c r="L2577" t="inlineStr">
        <is>
          <t>ENERO 2026</t>
        </is>
      </c>
      <c r="M2577" t="inlineStr">
        <is>
          <t>P.Q.S.  TIPO ABC ASIA</t>
        </is>
      </c>
      <c r="N2577" t="inlineStr">
        <is>
          <t>46/001272</t>
        </is>
      </c>
      <c r="O2577" t="inlineStr">
        <is>
          <t>R</t>
        </is>
      </c>
      <c r="P2577">
        <f>TRIM(N2577)</f>
        <v/>
      </c>
    </row>
    <row r="2578">
      <c r="A2578" t="inlineStr">
        <is>
          <t>CO-002190</t>
        </is>
      </c>
      <c r="B2578" t="inlineStr">
        <is>
          <t>PERU MASIVO S.A</t>
        </is>
      </c>
      <c r="C2578" t="inlineStr">
        <is>
          <t>20492392031</t>
        </is>
      </c>
      <c r="D2578" t="inlineStr">
        <is>
          <t>AV. LOS INCAS CDRA. 4 PATIO NORTE - COMAS</t>
        </is>
      </c>
      <c r="E2578" t="inlineStr">
        <is>
          <t>Lima, 22 de Enero de 2025</t>
        </is>
      </c>
      <c r="F2578" t="inlineStr">
        <is>
          <t>la Recarga y mantenimiento</t>
        </is>
      </c>
      <c r="G2578" t="inlineStr">
        <is>
          <t>05</t>
        </is>
      </c>
      <c r="H2578" t="inlineStr">
        <is>
          <t xml:space="preserve">06 KG </t>
        </is>
      </c>
      <c r="I2578" t="inlineStr">
        <is>
          <t>2029</t>
        </is>
      </c>
      <c r="J2578" t="n">
        <v>2010</v>
      </c>
      <c r="K2578" t="inlineStr">
        <is>
          <t>ENERO 2025</t>
        </is>
      </c>
      <c r="L2578" t="inlineStr">
        <is>
          <t>ENERO 2026</t>
        </is>
      </c>
      <c r="M2578" t="inlineStr">
        <is>
          <t>P.Q.S.  TIPO ABC ASIA</t>
        </is>
      </c>
      <c r="N2578" t="inlineStr">
        <is>
          <t>92/000649</t>
        </is>
      </c>
      <c r="O2578" t="inlineStr">
        <is>
          <t>R</t>
        </is>
      </c>
      <c r="P2578">
        <f>TRIM(N2578)</f>
        <v/>
      </c>
    </row>
    <row r="2579">
      <c r="A2579" t="inlineStr">
        <is>
          <t>CO-002190</t>
        </is>
      </c>
      <c r="B2579" t="inlineStr">
        <is>
          <t>PERU MASIVO S.A</t>
        </is>
      </c>
      <c r="C2579" t="inlineStr">
        <is>
          <t>20492392031</t>
        </is>
      </c>
      <c r="D2579" t="inlineStr">
        <is>
          <t>AV. LOS INCAS CDRA. 4 PATIO NORTE - COMAS</t>
        </is>
      </c>
      <c r="E2579" t="inlineStr">
        <is>
          <t>Lima, 22 de Enero de 2025</t>
        </is>
      </c>
      <c r="F2579" t="inlineStr">
        <is>
          <t>la Recarga y mantenimiento</t>
        </is>
      </c>
      <c r="G2579" t="inlineStr">
        <is>
          <t>06</t>
        </is>
      </c>
      <c r="H2579" t="inlineStr">
        <is>
          <t xml:space="preserve">06 KG </t>
        </is>
      </c>
      <c r="I2579" t="inlineStr">
        <is>
          <t>2029</t>
        </is>
      </c>
      <c r="J2579" t="n">
        <v>2009</v>
      </c>
      <c r="K2579" t="inlineStr">
        <is>
          <t>ENERO 2025</t>
        </is>
      </c>
      <c r="L2579" t="inlineStr">
        <is>
          <t>ENERO 2026</t>
        </is>
      </c>
      <c r="M2579" t="inlineStr">
        <is>
          <t>P.Q.S.  TIPO ABC ASIA</t>
        </is>
      </c>
      <c r="N2579" t="inlineStr">
        <is>
          <t>98/0026712</t>
        </is>
      </c>
      <c r="O2579" t="inlineStr">
        <is>
          <t>R</t>
        </is>
      </c>
      <c r="P2579">
        <f>TRIM(N2579)</f>
        <v/>
      </c>
    </row>
    <row r="2580">
      <c r="A2580" t="inlineStr">
        <is>
          <t>CO-002190</t>
        </is>
      </c>
      <c r="B2580" t="inlineStr">
        <is>
          <t>PERU MASIVO S.A</t>
        </is>
      </c>
      <c r="C2580" t="inlineStr">
        <is>
          <t>20492392031</t>
        </is>
      </c>
      <c r="D2580" t="inlineStr">
        <is>
          <t>AV. LOS INCAS CDRA. 4 PATIO NORTE - COMAS</t>
        </is>
      </c>
      <c r="E2580" t="inlineStr">
        <is>
          <t>Lima, 22 de Enero de 2025</t>
        </is>
      </c>
      <c r="F2580" t="inlineStr">
        <is>
          <t>la Recarga y mantenimiento</t>
        </is>
      </c>
      <c r="G2580" t="inlineStr">
        <is>
          <t>07</t>
        </is>
      </c>
      <c r="H2580" t="inlineStr">
        <is>
          <t xml:space="preserve">06 KG </t>
        </is>
      </c>
      <c r="I2580" t="inlineStr">
        <is>
          <t>2029</t>
        </is>
      </c>
      <c r="J2580" t="n">
        <v>2010</v>
      </c>
      <c r="K2580" t="inlineStr">
        <is>
          <t>ENERO 2025</t>
        </is>
      </c>
      <c r="L2580" t="inlineStr">
        <is>
          <t>ENERO 2026</t>
        </is>
      </c>
      <c r="M2580" t="inlineStr">
        <is>
          <t>P.Q.S.  TIPO ABC ASIA</t>
        </is>
      </c>
      <c r="N2580" t="inlineStr">
        <is>
          <t>106/000638</t>
        </is>
      </c>
      <c r="O2580" t="inlineStr">
        <is>
          <t>R</t>
        </is>
      </c>
      <c r="P2580">
        <f>TRIM(N2580)</f>
        <v/>
      </c>
    </row>
    <row r="2581">
      <c r="A2581" t="inlineStr">
        <is>
          <t>CO-002190</t>
        </is>
      </c>
      <c r="B2581" t="inlineStr">
        <is>
          <t>PERU MASIVO S.A</t>
        </is>
      </c>
      <c r="C2581" t="inlineStr">
        <is>
          <t>20492392031</t>
        </is>
      </c>
      <c r="D2581" t="inlineStr">
        <is>
          <t>AV. LOS INCAS CDRA. 4 PATIO NORTE - COMAS</t>
        </is>
      </c>
      <c r="E2581" t="inlineStr">
        <is>
          <t>Lima, 22 de Enero de 2025</t>
        </is>
      </c>
      <c r="F2581" t="inlineStr">
        <is>
          <t>la Recarga y mantenimiento</t>
        </is>
      </c>
      <c r="G2581" t="inlineStr">
        <is>
          <t>08</t>
        </is>
      </c>
      <c r="H2581" t="inlineStr">
        <is>
          <t xml:space="preserve">06 KG </t>
        </is>
      </c>
      <c r="I2581" t="inlineStr">
        <is>
          <t>2029</t>
        </is>
      </c>
      <c r="J2581" t="n">
        <v>2010</v>
      </c>
      <c r="K2581" t="inlineStr">
        <is>
          <t>ENERO 2025</t>
        </is>
      </c>
      <c r="L2581" t="inlineStr">
        <is>
          <t>ENERO 2026</t>
        </is>
      </c>
      <c r="M2581" t="inlineStr">
        <is>
          <t>P.Q.S.  TIPO ABC ASIA</t>
        </is>
      </c>
      <c r="N2581" t="inlineStr">
        <is>
          <t>108/000108</t>
        </is>
      </c>
      <c r="O2581" t="inlineStr">
        <is>
          <t>R</t>
        </is>
      </c>
      <c r="P2581">
        <f>TRIM(N2581)</f>
        <v/>
      </c>
    </row>
    <row r="2582">
      <c r="A2582" t="inlineStr">
        <is>
          <t>CO-002190</t>
        </is>
      </c>
      <c r="B2582" t="inlineStr">
        <is>
          <t>PERU MASIVO S.A</t>
        </is>
      </c>
      <c r="C2582" t="inlineStr">
        <is>
          <t>20492392031</t>
        </is>
      </c>
      <c r="D2582" t="inlineStr">
        <is>
          <t>AV. LOS INCAS CDRA. 4 PATIO NORTE - COMAS</t>
        </is>
      </c>
      <c r="E2582" t="inlineStr">
        <is>
          <t>Lima, 22 de Enero de 2025</t>
        </is>
      </c>
      <c r="F2582" t="inlineStr">
        <is>
          <t>la Recarga y mantenimiento</t>
        </is>
      </c>
      <c r="G2582" t="inlineStr">
        <is>
          <t>09</t>
        </is>
      </c>
      <c r="H2582" t="inlineStr">
        <is>
          <t xml:space="preserve">06 KG </t>
        </is>
      </c>
      <c r="I2582" t="inlineStr">
        <is>
          <t>2028</t>
        </is>
      </c>
      <c r="J2582" t="n">
        <v>2009</v>
      </c>
      <c r="K2582" t="inlineStr">
        <is>
          <t>ENERO 2025</t>
        </is>
      </c>
      <c r="L2582" t="inlineStr">
        <is>
          <t>ENERO 2026</t>
        </is>
      </c>
      <c r="M2582" t="inlineStr">
        <is>
          <t>P.Q.S.  TIPO ABC ASIA</t>
        </is>
      </c>
      <c r="N2582" t="inlineStr">
        <is>
          <t>248/001793</t>
        </is>
      </c>
      <c r="O2582" t="inlineStr">
        <is>
          <t>R</t>
        </is>
      </c>
      <c r="P2582">
        <f>TRIM(N2582)</f>
        <v/>
      </c>
    </row>
    <row r="2583">
      <c r="A2583" t="inlineStr">
        <is>
          <t>CO-002190</t>
        </is>
      </c>
      <c r="B2583" t="inlineStr">
        <is>
          <t>PERU MASIVO S.A</t>
        </is>
      </c>
      <c r="C2583" t="inlineStr">
        <is>
          <t>20492392031</t>
        </is>
      </c>
      <c r="D2583" t="inlineStr">
        <is>
          <t>AV. LOS INCAS CDRA. 4 PATIO NORTE - COMAS</t>
        </is>
      </c>
      <c r="E2583" t="inlineStr">
        <is>
          <t>Lima, 22 de Enero de 2025</t>
        </is>
      </c>
      <c r="F2583" t="inlineStr">
        <is>
          <t>la Recarga y mantenimiento</t>
        </is>
      </c>
      <c r="G2583" t="n">
        <v>10</v>
      </c>
      <c r="H2583" t="inlineStr">
        <is>
          <t xml:space="preserve">06 KG </t>
        </is>
      </c>
      <c r="I2583" t="inlineStr">
        <is>
          <t>2028</t>
        </is>
      </c>
      <c r="J2583" t="n">
        <v>2009</v>
      </c>
      <c r="K2583" t="inlineStr">
        <is>
          <t>ENERO 2025</t>
        </is>
      </c>
      <c r="L2583" t="inlineStr">
        <is>
          <t>ENERO 2026</t>
        </is>
      </c>
      <c r="M2583" t="inlineStr">
        <is>
          <t>P.Q.S.  TIPO ABC ASIA</t>
        </is>
      </c>
      <c r="N2583" t="inlineStr">
        <is>
          <t>292/001002</t>
        </is>
      </c>
      <c r="O2583" t="inlineStr">
        <is>
          <t>R</t>
        </is>
      </c>
      <c r="P2583">
        <f>TRIM(N2583)</f>
        <v/>
      </c>
    </row>
    <row r="2584">
      <c r="A2584" t="inlineStr">
        <is>
          <t>CO-002190</t>
        </is>
      </c>
      <c r="B2584" t="inlineStr">
        <is>
          <t>PERU MASIVO S.A</t>
        </is>
      </c>
      <c r="C2584" t="inlineStr">
        <is>
          <t>20492392031</t>
        </is>
      </c>
      <c r="D2584" t="inlineStr">
        <is>
          <t>AV. LOS INCAS CDRA. 4 PATIO NORTE - COMAS</t>
        </is>
      </c>
      <c r="E2584" t="inlineStr">
        <is>
          <t>Lima, 22 de Enero de 2025</t>
        </is>
      </c>
      <c r="F2584" t="inlineStr">
        <is>
          <t>la Recarga y mantenimiento</t>
        </is>
      </c>
      <c r="G2584" t="n">
        <v>11</v>
      </c>
      <c r="H2584" t="inlineStr">
        <is>
          <t xml:space="preserve">06 KG </t>
        </is>
      </c>
      <c r="I2584" t="inlineStr">
        <is>
          <t>2028</t>
        </is>
      </c>
      <c r="J2584" t="n">
        <v>2010</v>
      </c>
      <c r="K2584" t="inlineStr">
        <is>
          <t>ENERO 2025</t>
        </is>
      </c>
      <c r="L2584" t="inlineStr">
        <is>
          <t>ENERO 2026</t>
        </is>
      </c>
      <c r="M2584" t="inlineStr">
        <is>
          <t>P.Q.S.  TIPO ABC ASIA</t>
        </is>
      </c>
      <c r="N2584" t="inlineStr">
        <is>
          <t>345/000070</t>
        </is>
      </c>
      <c r="O2584" t="inlineStr">
        <is>
          <t>R</t>
        </is>
      </c>
      <c r="P2584">
        <f>TRIM(N2584)</f>
        <v/>
      </c>
    </row>
    <row r="2585">
      <c r="A2585" t="inlineStr">
        <is>
          <t>CO-002191</t>
        </is>
      </c>
      <c r="B2585" t="inlineStr">
        <is>
          <t xml:space="preserve">MARIA ELENA CUSICHE CONDOR </t>
        </is>
      </c>
      <c r="D2585" t="inlineStr">
        <is>
          <t>MERCADO AÑO NUEVO PSTO 111</t>
        </is>
      </c>
      <c r="E2585" t="inlineStr">
        <is>
          <t>Lima, 23 de Enero de 2025</t>
        </is>
      </c>
      <c r="F2585" t="inlineStr">
        <is>
          <t>la Recarga y mantenimiento</t>
        </is>
      </c>
      <c r="G2585" t="inlineStr">
        <is>
          <t>01</t>
        </is>
      </c>
      <c r="H2585" t="inlineStr">
        <is>
          <t xml:space="preserve">06 KG </t>
        </is>
      </c>
      <c r="I2585" t="inlineStr">
        <is>
          <t>VIGENTE</t>
        </is>
      </c>
      <c r="J2585" t="n">
        <v>2019</v>
      </c>
      <c r="K2585" t="inlineStr">
        <is>
          <t>ENERO 2025</t>
        </is>
      </c>
      <c r="L2585" t="inlineStr">
        <is>
          <t>ENERO 2026</t>
        </is>
      </c>
      <c r="M2585" t="inlineStr">
        <is>
          <t xml:space="preserve">P.Q.S.  TIPO ABC </t>
        </is>
      </c>
      <c r="N2585" t="inlineStr">
        <is>
          <t>01/SN</t>
        </is>
      </c>
      <c r="O2585" t="inlineStr">
        <is>
          <t>R</t>
        </is>
      </c>
      <c r="P2585">
        <f>TRIM(N2585)</f>
        <v/>
      </c>
    </row>
    <row r="2586">
      <c r="A2586" t="inlineStr">
        <is>
          <t>CO-002192</t>
        </is>
      </c>
      <c r="B2586" t="inlineStr">
        <is>
          <t>IMPORTADORA GLOBAL MEDICAL S.A.C - IMGLOME SAC</t>
        </is>
      </c>
      <c r="C2586" t="inlineStr">
        <is>
          <t>20514326062</t>
        </is>
      </c>
      <c r="D2586" t="inlineStr">
        <is>
          <t xml:space="preserve">Calle Los Cipreces Mz I Lt 39A, Ensenada, Pte Piedra </t>
        </is>
      </c>
      <c r="E2586" t="inlineStr">
        <is>
          <t>Lima, 25 de Enero de 2025</t>
        </is>
      </c>
      <c r="F2586" t="inlineStr">
        <is>
          <t>la Recarga y mantenimiento</t>
        </is>
      </c>
      <c r="G2586" t="inlineStr">
        <is>
          <t>01</t>
        </is>
      </c>
      <c r="H2586" t="inlineStr">
        <is>
          <t>06 KG</t>
        </is>
      </c>
      <c r="I2586" t="inlineStr">
        <is>
          <t>2026</t>
        </is>
      </c>
      <c r="J2586" t="n">
        <v>2007</v>
      </c>
      <c r="K2586" t="inlineStr">
        <is>
          <t>ENERO 2025</t>
        </is>
      </c>
      <c r="L2586" t="inlineStr">
        <is>
          <t>ENERO 2026</t>
        </is>
      </c>
      <c r="M2586" t="inlineStr">
        <is>
          <t xml:space="preserve">P.Q.S.  TIPO ABC </t>
        </is>
      </c>
      <c r="N2586" t="inlineStr">
        <is>
          <t>01/000375</t>
        </is>
      </c>
      <c r="O2586" t="inlineStr">
        <is>
          <t>R</t>
        </is>
      </c>
      <c r="P2586">
        <f>TRIM(N2586)</f>
        <v/>
      </c>
    </row>
    <row r="2587">
      <c r="A2587" t="inlineStr">
        <is>
          <t>CO-002192</t>
        </is>
      </c>
      <c r="B2587" t="inlineStr">
        <is>
          <t>IMPORTADORA GLOBAL MEDICAL S.A.C - IMGLOME SAC</t>
        </is>
      </c>
      <c r="C2587" t="inlineStr">
        <is>
          <t>20514326062</t>
        </is>
      </c>
      <c r="D2587" t="inlineStr">
        <is>
          <t xml:space="preserve">Calle Los Cipreces Mz I Lt 39A, Ensenada, Pte Piedra </t>
        </is>
      </c>
      <c r="E2587" t="inlineStr">
        <is>
          <t>Lima, 25 de Enero de 2025</t>
        </is>
      </c>
      <c r="F2587" t="inlineStr">
        <is>
          <t>la Recarga y mantenimiento</t>
        </is>
      </c>
      <c r="G2587" t="inlineStr">
        <is>
          <t>02</t>
        </is>
      </c>
      <c r="H2587" t="inlineStr">
        <is>
          <t xml:space="preserve">02 KG </t>
        </is>
      </c>
      <c r="I2587" t="inlineStr">
        <is>
          <t>2026</t>
        </is>
      </c>
      <c r="J2587" t="n">
        <v>2021</v>
      </c>
      <c r="K2587" t="inlineStr">
        <is>
          <t>ENERO 2025</t>
        </is>
      </c>
      <c r="L2587" t="inlineStr">
        <is>
          <t>ENERO 2026</t>
        </is>
      </c>
      <c r="M2587" t="inlineStr">
        <is>
          <t xml:space="preserve">P.Q.S.  TIPO ABC </t>
        </is>
      </c>
      <c r="N2587" t="inlineStr">
        <is>
          <t>02/001364</t>
        </is>
      </c>
      <c r="O2587" t="inlineStr">
        <is>
          <t>R</t>
        </is>
      </c>
      <c r="P2587">
        <f>TRIM(N2587)</f>
        <v/>
      </c>
    </row>
    <row r="2588">
      <c r="A2588" t="inlineStr">
        <is>
          <t>CO-002192</t>
        </is>
      </c>
      <c r="B2588" t="inlineStr">
        <is>
          <t>IMPORTADORA GLOBAL MEDICAL S.A.C - IMGLOME SAC</t>
        </is>
      </c>
      <c r="C2588" t="inlineStr">
        <is>
          <t>20514326062</t>
        </is>
      </c>
      <c r="D2588" t="inlineStr">
        <is>
          <t xml:space="preserve">Calle Los Cipreces Mz I Lt 39A, Ensenada, Pte Piedra </t>
        </is>
      </c>
      <c r="E2588" t="inlineStr">
        <is>
          <t>Lima, 25 de Enero de 2025</t>
        </is>
      </c>
      <c r="F2588" t="inlineStr">
        <is>
          <t>la Recarga y mantenimiento</t>
        </is>
      </c>
      <c r="G2588" t="inlineStr">
        <is>
          <t>03</t>
        </is>
      </c>
      <c r="H2588" t="inlineStr">
        <is>
          <t>05 LBS</t>
        </is>
      </c>
      <c r="I2588" t="inlineStr">
        <is>
          <t>VIGENTE</t>
        </is>
      </c>
      <c r="J2588" t="n">
        <v>2007</v>
      </c>
      <c r="K2588" t="inlineStr">
        <is>
          <t>ENERO 2025</t>
        </is>
      </c>
      <c r="L2588" t="inlineStr">
        <is>
          <t>ENERO 2026</t>
        </is>
      </c>
      <c r="M2588" t="inlineStr">
        <is>
          <t xml:space="preserve">CO2 TIPO BC </t>
        </is>
      </c>
      <c r="N2588" t="inlineStr">
        <is>
          <t>03/000010</t>
        </is>
      </c>
      <c r="O2588" t="inlineStr">
        <is>
          <t>R</t>
        </is>
      </c>
      <c r="P2588">
        <f>TRIM(N2588)</f>
        <v/>
      </c>
    </row>
    <row r="2589">
      <c r="A2589" t="inlineStr">
        <is>
          <t>CO-002193</t>
        </is>
      </c>
      <c r="B2589" t="inlineStr">
        <is>
          <t xml:space="preserve">EUGENIA SANCHES </t>
        </is>
      </c>
      <c r="D2589" t="inlineStr">
        <is>
          <t>MERCADO AÑO NUEVO PSTO 112</t>
        </is>
      </c>
      <c r="E2589" t="inlineStr">
        <is>
          <t>Lima, 27 de Enero de 2025</t>
        </is>
      </c>
      <c r="F2589" t="inlineStr">
        <is>
          <t>la Recarga y mantenimiento</t>
        </is>
      </c>
      <c r="G2589" t="inlineStr">
        <is>
          <t>01</t>
        </is>
      </c>
      <c r="H2589" t="inlineStr">
        <is>
          <t>06 KG</t>
        </is>
      </c>
      <c r="I2589" t="inlineStr">
        <is>
          <t>2030</t>
        </is>
      </c>
      <c r="J2589" t="n">
        <v>2024</v>
      </c>
      <c r="K2589" t="inlineStr">
        <is>
          <t>ENERO 2025</t>
        </is>
      </c>
      <c r="L2589" t="inlineStr">
        <is>
          <t>ENERO 2026</t>
        </is>
      </c>
      <c r="M2589" t="inlineStr">
        <is>
          <t xml:space="preserve">P.Q.S.  TIPO ABC </t>
        </is>
      </c>
      <c r="N2589" t="inlineStr">
        <is>
          <t>01/001424</t>
        </is>
      </c>
      <c r="O2589" t="inlineStr">
        <is>
          <t>V</t>
        </is>
      </c>
      <c r="P2589">
        <f>TRIM(N2589)</f>
        <v/>
      </c>
    </row>
    <row r="2590">
      <c r="A2590" t="inlineStr">
        <is>
          <t>CO-002194</t>
        </is>
      </c>
      <c r="B2590" t="inlineStr">
        <is>
          <t xml:space="preserve">FRANCISCA BALBOA TORRES </t>
        </is>
      </c>
      <c r="C2590" t="inlineStr">
        <is>
          <t>09483023</t>
        </is>
      </c>
      <c r="D2590" t="inlineStr">
        <is>
          <t xml:space="preserve">MERCADO AÑO NUEVO PSTO 119, COMAS </t>
        </is>
      </c>
      <c r="E2590" t="inlineStr">
        <is>
          <t>Lima, 28 de Enero de 2025</t>
        </is>
      </c>
      <c r="F2590" t="inlineStr">
        <is>
          <t>la Recarga y mantenimiento</t>
        </is>
      </c>
      <c r="G2590" t="inlineStr">
        <is>
          <t xml:space="preserve">01 </t>
        </is>
      </c>
      <c r="H2590" t="inlineStr">
        <is>
          <t>06 KG</t>
        </is>
      </c>
      <c r="I2590" t="inlineStr">
        <is>
          <t>2030</t>
        </is>
      </c>
      <c r="J2590" t="n">
        <v>2024</v>
      </c>
      <c r="K2590" t="inlineStr">
        <is>
          <t>ENERO 2025</t>
        </is>
      </c>
      <c r="L2590" t="inlineStr">
        <is>
          <t>ENERO 2026</t>
        </is>
      </c>
      <c r="M2590" t="inlineStr">
        <is>
          <t xml:space="preserve">P.Q.S.  TIPO ABC </t>
        </is>
      </c>
      <c r="N2590" t="inlineStr">
        <is>
          <t>01/007534</t>
        </is>
      </c>
      <c r="O2590" t="inlineStr">
        <is>
          <t>V</t>
        </is>
      </c>
      <c r="P2590">
        <f>TRIM(N2590)</f>
        <v/>
      </c>
    </row>
    <row r="2591">
      <c r="A2591" t="inlineStr">
        <is>
          <t>CO-002195</t>
        </is>
      </c>
      <c r="B2591" t="inlineStr">
        <is>
          <t>PERU MASIVO S.A - INFRAESTRUCTURA</t>
        </is>
      </c>
      <c r="C2591" t="inlineStr">
        <is>
          <t>20492392031</t>
        </is>
      </c>
      <c r="D2591" t="inlineStr">
        <is>
          <t>AV. LOS INCAS CDRA. 4 PATIO NORTE - COMAS</t>
        </is>
      </c>
      <c r="E2591" t="inlineStr">
        <is>
          <t>Lima, 01 de Febrero de 2025</t>
        </is>
      </c>
      <c r="F2591" t="inlineStr">
        <is>
          <t>la Recarga y mantenimiento</t>
        </is>
      </c>
      <c r="G2591" t="inlineStr">
        <is>
          <t>01</t>
        </is>
      </c>
      <c r="H2591" t="inlineStr">
        <is>
          <t>10 LBS</t>
        </is>
      </c>
      <c r="I2591" t="inlineStr">
        <is>
          <t>2028</t>
        </is>
      </c>
      <c r="J2591" t="n">
        <v>2022</v>
      </c>
      <c r="K2591" t="inlineStr">
        <is>
          <t>FEBRERO 2025</t>
        </is>
      </c>
      <c r="L2591" t="inlineStr">
        <is>
          <t>FEBRERO 2026</t>
        </is>
      </c>
      <c r="M2591" t="inlineStr">
        <is>
          <t>CO2 TIPO BC ASIA</t>
        </is>
      </c>
      <c r="N2591" t="inlineStr">
        <is>
          <t>09/010909</t>
        </is>
      </c>
      <c r="O2591" t="inlineStr">
        <is>
          <t>R</t>
        </is>
      </c>
      <c r="P2591">
        <f>TRIM(N2591)</f>
        <v/>
      </c>
    </row>
    <row r="2592">
      <c r="A2592" t="inlineStr">
        <is>
          <t>CO-002195</t>
        </is>
      </c>
      <c r="B2592" t="inlineStr">
        <is>
          <t>PERU MASIVO S.A - INFRAESTRUCTURA</t>
        </is>
      </c>
      <c r="C2592" t="inlineStr">
        <is>
          <t>20492392031</t>
        </is>
      </c>
      <c r="D2592" t="inlineStr">
        <is>
          <t>AV. LOS INCAS CDRA. 4 PATIO NORTE - COMAS</t>
        </is>
      </c>
      <c r="E2592" t="inlineStr">
        <is>
          <t>Lima, 01 de Febrero de 2025</t>
        </is>
      </c>
      <c r="F2592" t="inlineStr">
        <is>
          <t>la Recarga y mantenimiento</t>
        </is>
      </c>
      <c r="G2592" t="inlineStr">
        <is>
          <t>02</t>
        </is>
      </c>
      <c r="H2592" t="inlineStr">
        <is>
          <t>10 LBS</t>
        </is>
      </c>
      <c r="I2592" t="inlineStr">
        <is>
          <t>2028</t>
        </is>
      </c>
      <c r="J2592" t="n">
        <v>2022</v>
      </c>
      <c r="K2592" t="inlineStr">
        <is>
          <t>FEBRERO 2025</t>
        </is>
      </c>
      <c r="L2592" t="inlineStr">
        <is>
          <t>FEBRERO 2026</t>
        </is>
      </c>
      <c r="M2592" t="inlineStr">
        <is>
          <t>CO2 TIPO BC ASIA</t>
        </is>
      </c>
      <c r="N2592" t="inlineStr">
        <is>
          <t>13/008215</t>
        </is>
      </c>
      <c r="O2592" t="inlineStr">
        <is>
          <t>R</t>
        </is>
      </c>
      <c r="P2592">
        <f>TRIM(N2592)</f>
        <v/>
      </c>
    </row>
    <row r="2593">
      <c r="A2593" t="inlineStr">
        <is>
          <t>CO-002195</t>
        </is>
      </c>
      <c r="B2593" t="inlineStr">
        <is>
          <t>PERU MASIVO S.A - INFRAESTRUCTURA</t>
        </is>
      </c>
      <c r="C2593" t="inlineStr">
        <is>
          <t>20492392031</t>
        </is>
      </c>
      <c r="D2593" t="inlineStr">
        <is>
          <t>AV. LOS INCAS CDRA. 4 PATIO NORTE - COMAS</t>
        </is>
      </c>
      <c r="E2593" t="inlineStr">
        <is>
          <t>Lima, 01 de Febrero de 2025</t>
        </is>
      </c>
      <c r="F2593" t="inlineStr">
        <is>
          <t>la Recarga y mantenimiento</t>
        </is>
      </c>
      <c r="G2593" t="inlineStr">
        <is>
          <t>03</t>
        </is>
      </c>
      <c r="H2593" t="inlineStr">
        <is>
          <t>06 KG</t>
        </is>
      </c>
      <c r="I2593" t="inlineStr">
        <is>
          <t>2029</t>
        </is>
      </c>
      <c r="J2593" t="n">
        <v>2010</v>
      </c>
      <c r="K2593" t="inlineStr">
        <is>
          <t>FEBRERO 2025</t>
        </is>
      </c>
      <c r="L2593" t="inlineStr">
        <is>
          <t>FEBRERO 2026</t>
        </is>
      </c>
      <c r="M2593" t="inlineStr">
        <is>
          <t>P.Q.S.  TIPO ABC ASIA</t>
        </is>
      </c>
      <c r="N2593" t="inlineStr">
        <is>
          <t>11/000154</t>
        </is>
      </c>
      <c r="O2593" t="inlineStr">
        <is>
          <t>R</t>
        </is>
      </c>
      <c r="P2593">
        <f>TRIM(N2593)</f>
        <v/>
      </c>
    </row>
    <row r="2594">
      <c r="A2594" t="inlineStr">
        <is>
          <t>CO-002195</t>
        </is>
      </c>
      <c r="B2594" t="inlineStr">
        <is>
          <t>PERU MASIVO S.A - INFRAESTRUCTURA</t>
        </is>
      </c>
      <c r="C2594" t="inlineStr">
        <is>
          <t>20492392031</t>
        </is>
      </c>
      <c r="D2594" t="inlineStr">
        <is>
          <t>AV. LOS INCAS CDRA. 4 PATIO NORTE - COMAS</t>
        </is>
      </c>
      <c r="E2594" t="inlineStr">
        <is>
          <t>Lima, 01 de Febrero de 2025</t>
        </is>
      </c>
      <c r="F2594" t="inlineStr">
        <is>
          <t>la Recarga y mantenimiento</t>
        </is>
      </c>
      <c r="G2594" t="inlineStr">
        <is>
          <t>04</t>
        </is>
      </c>
      <c r="H2594" t="inlineStr">
        <is>
          <t>06 KG</t>
        </is>
      </c>
      <c r="I2594" t="inlineStr">
        <is>
          <t>2029</t>
        </is>
      </c>
      <c r="J2594" t="n">
        <v>2009</v>
      </c>
      <c r="K2594" t="inlineStr">
        <is>
          <t>FEBRERO 2025</t>
        </is>
      </c>
      <c r="L2594" t="inlineStr">
        <is>
          <t>FEBRERO 2026</t>
        </is>
      </c>
      <c r="M2594" t="inlineStr">
        <is>
          <t>P.Q.S.  TIPO ABC ASIA</t>
        </is>
      </c>
      <c r="N2594" t="inlineStr">
        <is>
          <t>7/003056</t>
        </is>
      </c>
      <c r="O2594" t="inlineStr">
        <is>
          <t>R</t>
        </is>
      </c>
      <c r="P2594">
        <f>TRIM(N2594)</f>
        <v/>
      </c>
    </row>
    <row r="2595">
      <c r="A2595" t="inlineStr">
        <is>
          <t>CO-002195</t>
        </is>
      </c>
      <c r="B2595" t="inlineStr">
        <is>
          <t>PERU MASIVO S.A - INFRAESTRUCTURA</t>
        </is>
      </c>
      <c r="C2595" t="inlineStr">
        <is>
          <t>20492392031</t>
        </is>
      </c>
      <c r="D2595" t="inlineStr">
        <is>
          <t>AV. LOS INCAS CDRA. 4 PATIO NORTE - COMAS</t>
        </is>
      </c>
      <c r="E2595" t="inlineStr">
        <is>
          <t>Lima, 01 de Febrero de 2025</t>
        </is>
      </c>
      <c r="F2595" t="inlineStr">
        <is>
          <t>la Recarga y mantenimiento</t>
        </is>
      </c>
      <c r="G2595" t="inlineStr">
        <is>
          <t>05</t>
        </is>
      </c>
      <c r="H2595" t="inlineStr">
        <is>
          <t>06 KG</t>
        </is>
      </c>
      <c r="I2595" t="inlineStr">
        <is>
          <t>2029</t>
        </is>
      </c>
      <c r="J2595" t="n">
        <v>2006</v>
      </c>
      <c r="K2595" t="inlineStr">
        <is>
          <t>FEBRERO 2025</t>
        </is>
      </c>
      <c r="L2595" t="inlineStr">
        <is>
          <t>FEBRERO 2026</t>
        </is>
      </c>
      <c r="M2595" t="inlineStr">
        <is>
          <t>P.Q.S.  TIPO ABC ASIA</t>
        </is>
      </c>
      <c r="N2595" t="inlineStr">
        <is>
          <t>17/000062</t>
        </is>
      </c>
      <c r="O2595" t="inlineStr">
        <is>
          <t>R</t>
        </is>
      </c>
      <c r="P2595">
        <f>TRIM(N2595)</f>
        <v/>
      </c>
    </row>
    <row r="2596">
      <c r="A2596" t="inlineStr">
        <is>
          <t>CO-002195</t>
        </is>
      </c>
      <c r="B2596" t="inlineStr">
        <is>
          <t>PERU MASIVO S.A - INFRAESTRUCTURA</t>
        </is>
      </c>
      <c r="C2596" t="inlineStr">
        <is>
          <t>20492392031</t>
        </is>
      </c>
      <c r="D2596" t="inlineStr">
        <is>
          <t>AV. LOS INCAS CDRA. 4 PATIO NORTE - COMAS</t>
        </is>
      </c>
      <c r="E2596" t="inlineStr">
        <is>
          <t>Lima, 01 de Febrero de 2025</t>
        </is>
      </c>
      <c r="F2596" t="inlineStr">
        <is>
          <t>la Recarga y mantenimiento</t>
        </is>
      </c>
      <c r="G2596" t="inlineStr">
        <is>
          <t>06</t>
        </is>
      </c>
      <c r="H2596" t="inlineStr">
        <is>
          <t>06 KG</t>
        </is>
      </c>
      <c r="I2596" t="inlineStr">
        <is>
          <t>2029</t>
        </is>
      </c>
      <c r="J2596" t="n">
        <v>2009</v>
      </c>
      <c r="K2596" t="inlineStr">
        <is>
          <t>FEBRERO 2025</t>
        </is>
      </c>
      <c r="L2596" t="inlineStr">
        <is>
          <t>FEBRERO 2026</t>
        </is>
      </c>
      <c r="M2596" t="inlineStr">
        <is>
          <t>P.Q.S.  TIPO ABC ASIA</t>
        </is>
      </c>
      <c r="N2596" t="inlineStr">
        <is>
          <t>121/002509</t>
        </is>
      </c>
      <c r="O2596" t="inlineStr">
        <is>
          <t>R</t>
        </is>
      </c>
      <c r="P2596">
        <f>TRIM(N2596)</f>
        <v/>
      </c>
    </row>
    <row r="2597">
      <c r="A2597" t="inlineStr">
        <is>
          <t>CO-002196</t>
        </is>
      </c>
      <c r="B2597" t="inlineStr">
        <is>
          <t>PERU MASIVO S.A - BUSES</t>
        </is>
      </c>
      <c r="C2597" t="inlineStr">
        <is>
          <t>20492392031</t>
        </is>
      </c>
      <c r="D2597" t="inlineStr">
        <is>
          <t>AV. LOS INCAS CDRA. 4 PATIO NORTE - COMAS</t>
        </is>
      </c>
      <c r="E2597" t="inlineStr">
        <is>
          <t>Lima, 01 de Febrero de 2025</t>
        </is>
      </c>
      <c r="F2597" t="inlineStr">
        <is>
          <t>la Recarga y mantenimiento</t>
        </is>
      </c>
      <c r="G2597" t="inlineStr">
        <is>
          <t>01</t>
        </is>
      </c>
      <c r="H2597" t="inlineStr">
        <is>
          <t>06 KG</t>
        </is>
      </c>
      <c r="I2597" t="inlineStr">
        <is>
          <t>2029</t>
        </is>
      </c>
      <c r="J2597" t="n">
        <v>2009</v>
      </c>
      <c r="K2597" t="inlineStr">
        <is>
          <t>FEBRERO 2025</t>
        </is>
      </c>
      <c r="L2597" t="inlineStr">
        <is>
          <t>FEBRERO 2026</t>
        </is>
      </c>
      <c r="M2597" t="inlineStr">
        <is>
          <t>P.Q.S.  TIPO ABC ASIA</t>
        </is>
      </c>
      <c r="N2597" t="inlineStr">
        <is>
          <t>18/001163</t>
        </is>
      </c>
      <c r="O2597" t="inlineStr">
        <is>
          <t>R</t>
        </is>
      </c>
      <c r="P2597">
        <f>TRIM(N2597)</f>
        <v/>
      </c>
    </row>
    <row r="2598">
      <c r="A2598" t="inlineStr">
        <is>
          <t>CO-002196</t>
        </is>
      </c>
      <c r="B2598" t="inlineStr">
        <is>
          <t>PERU MASIVO S.A - BUSES</t>
        </is>
      </c>
      <c r="C2598" t="inlineStr">
        <is>
          <t>20492392031</t>
        </is>
      </c>
      <c r="D2598" t="inlineStr">
        <is>
          <t>AV. LOS INCAS CDRA. 4 PATIO NORTE - COMAS</t>
        </is>
      </c>
      <c r="E2598" t="inlineStr">
        <is>
          <t>Lima, 01 de Febrero de 2025</t>
        </is>
      </c>
      <c r="F2598" t="inlineStr">
        <is>
          <t>la Recarga y mantenimiento</t>
        </is>
      </c>
      <c r="G2598" t="inlineStr">
        <is>
          <t>02</t>
        </is>
      </c>
      <c r="H2598" t="inlineStr">
        <is>
          <t>06 KG</t>
        </is>
      </c>
      <c r="I2598" t="inlineStr">
        <is>
          <t>2029</t>
        </is>
      </c>
      <c r="J2598" t="n">
        <v>2009</v>
      </c>
      <c r="K2598" t="inlineStr">
        <is>
          <t>FEBRERO 2025</t>
        </is>
      </c>
      <c r="L2598" t="inlineStr">
        <is>
          <t>FEBRERO 2026</t>
        </is>
      </c>
      <c r="M2598" t="inlineStr">
        <is>
          <t>P.Q.S.  TIPO ABC ASIA</t>
        </is>
      </c>
      <c r="N2598" t="inlineStr">
        <is>
          <t>348/001137</t>
        </is>
      </c>
      <c r="O2598" t="inlineStr">
        <is>
          <t>R</t>
        </is>
      </c>
      <c r="P2598">
        <f>TRIM(N2598)</f>
        <v/>
      </c>
    </row>
    <row r="2599">
      <c r="A2599" t="inlineStr">
        <is>
          <t>CO-002196</t>
        </is>
      </c>
      <c r="B2599" t="inlineStr">
        <is>
          <t>PERU MASIVO S.A - BUSES</t>
        </is>
      </c>
      <c r="C2599" t="inlineStr">
        <is>
          <t>20492392031</t>
        </is>
      </c>
      <c r="D2599" t="inlineStr">
        <is>
          <t>AV. LOS INCAS CDRA. 4 PATIO NORTE - COMAS</t>
        </is>
      </c>
      <c r="E2599" t="inlineStr">
        <is>
          <t>Lima, 01 de Febrero de 2025</t>
        </is>
      </c>
      <c r="F2599" t="inlineStr">
        <is>
          <t>la Recarga y mantenimiento</t>
        </is>
      </c>
      <c r="G2599" t="inlineStr">
        <is>
          <t>03</t>
        </is>
      </c>
      <c r="H2599" t="inlineStr">
        <is>
          <t>06 KG</t>
        </is>
      </c>
      <c r="I2599" t="inlineStr">
        <is>
          <t>2029</t>
        </is>
      </c>
      <c r="J2599" t="n">
        <v>2009</v>
      </c>
      <c r="K2599" t="inlineStr">
        <is>
          <t>FEBRERO 2025</t>
        </is>
      </c>
      <c r="L2599" t="inlineStr">
        <is>
          <t>FEBRERO 2026</t>
        </is>
      </c>
      <c r="M2599" t="inlineStr">
        <is>
          <t>P.Q.S.  TIPO ABC ASIA</t>
        </is>
      </c>
      <c r="N2599" t="inlineStr">
        <is>
          <t>368/002766</t>
        </is>
      </c>
      <c r="O2599" t="inlineStr">
        <is>
          <t>R</t>
        </is>
      </c>
      <c r="P2599">
        <f>TRIM(N2599)</f>
        <v/>
      </c>
    </row>
    <row r="2600">
      <c r="A2600" t="inlineStr">
        <is>
          <t>CO-002196</t>
        </is>
      </c>
      <c r="B2600" t="inlineStr">
        <is>
          <t>PERU MASIVO S.A - BUSES</t>
        </is>
      </c>
      <c r="C2600" t="inlineStr">
        <is>
          <t>20492392031</t>
        </is>
      </c>
      <c r="D2600" t="inlineStr">
        <is>
          <t>AV. LOS INCAS CDRA. 4 PATIO NORTE - COMAS</t>
        </is>
      </c>
      <c r="E2600" t="inlineStr">
        <is>
          <t>Lima, 01 de Febrero de 2025</t>
        </is>
      </c>
      <c r="F2600" t="inlineStr">
        <is>
          <t>la Recarga y mantenimiento</t>
        </is>
      </c>
      <c r="G2600" t="inlineStr">
        <is>
          <t>04</t>
        </is>
      </c>
      <c r="H2600" t="inlineStr">
        <is>
          <t>06 KG</t>
        </is>
      </c>
      <c r="I2600" t="inlineStr">
        <is>
          <t>2029</t>
        </is>
      </c>
      <c r="J2600" t="n">
        <v>2009</v>
      </c>
      <c r="K2600" t="inlineStr">
        <is>
          <t>FEBRERO 2025</t>
        </is>
      </c>
      <c r="L2600" t="inlineStr">
        <is>
          <t>FEBRERO 2026</t>
        </is>
      </c>
      <c r="M2600" t="inlineStr">
        <is>
          <t>P.Q.S.  TIPO ABC ASIA</t>
        </is>
      </c>
      <c r="N2600" t="inlineStr">
        <is>
          <t>203/001605</t>
        </is>
      </c>
      <c r="O2600" t="inlineStr">
        <is>
          <t>R</t>
        </is>
      </c>
      <c r="P2600">
        <f>TRIM(N2600)</f>
        <v/>
      </c>
    </row>
    <row r="2601">
      <c r="A2601" t="inlineStr">
        <is>
          <t>CO-002196</t>
        </is>
      </c>
      <c r="B2601" t="inlineStr">
        <is>
          <t>PERU MASIVO S.A - BUSES</t>
        </is>
      </c>
      <c r="C2601" t="inlineStr">
        <is>
          <t>20492392031</t>
        </is>
      </c>
      <c r="D2601" t="inlineStr">
        <is>
          <t>AV. LOS INCAS CDRA. 4 PATIO NORTE - COMAS</t>
        </is>
      </c>
      <c r="E2601" t="inlineStr">
        <is>
          <t>Lima, 01 de Febrero de 2025</t>
        </is>
      </c>
      <c r="F2601" t="inlineStr">
        <is>
          <t>la Recarga y mantenimiento</t>
        </is>
      </c>
      <c r="G2601" t="inlineStr">
        <is>
          <t>05</t>
        </is>
      </c>
      <c r="H2601" t="inlineStr">
        <is>
          <t>06 KG</t>
        </is>
      </c>
      <c r="I2601" t="inlineStr">
        <is>
          <t>2029</t>
        </is>
      </c>
      <c r="J2601" t="n">
        <v>2009</v>
      </c>
      <c r="K2601" t="inlineStr">
        <is>
          <t>FEBRERO 2025</t>
        </is>
      </c>
      <c r="L2601" t="inlineStr">
        <is>
          <t>FEBRERO 2026</t>
        </is>
      </c>
      <c r="M2601" t="inlineStr">
        <is>
          <t>P.Q.S.  TIPO ABC ASIA</t>
        </is>
      </c>
      <c r="N2601" t="inlineStr">
        <is>
          <t>381/001019</t>
        </is>
      </c>
      <c r="O2601" t="inlineStr">
        <is>
          <t>R</t>
        </is>
      </c>
      <c r="P2601">
        <f>TRIM(N2601)</f>
        <v/>
      </c>
    </row>
    <row r="2602">
      <c r="A2602" t="inlineStr">
        <is>
          <t>CO-002196</t>
        </is>
      </c>
      <c r="B2602" t="inlineStr">
        <is>
          <t>PERU MASIVO S.A - BUSES</t>
        </is>
      </c>
      <c r="C2602" t="inlineStr">
        <is>
          <t>20492392031</t>
        </is>
      </c>
      <c r="D2602" t="inlineStr">
        <is>
          <t>AV. LOS INCAS CDRA. 4 PATIO NORTE - COMAS</t>
        </is>
      </c>
      <c r="E2602" t="inlineStr">
        <is>
          <t>Lima, 01 de Febrero de 2025</t>
        </is>
      </c>
      <c r="F2602" t="inlineStr">
        <is>
          <t>la Recarga y mantenimiento</t>
        </is>
      </c>
      <c r="G2602" t="inlineStr">
        <is>
          <t>06</t>
        </is>
      </c>
      <c r="H2602" t="inlineStr">
        <is>
          <t>06 KG</t>
        </is>
      </c>
      <c r="I2602" t="inlineStr">
        <is>
          <t>2029</t>
        </is>
      </c>
      <c r="J2602" t="n">
        <v>2009</v>
      </c>
      <c r="K2602" t="inlineStr">
        <is>
          <t>FEBRERO 2025</t>
        </is>
      </c>
      <c r="L2602" t="inlineStr">
        <is>
          <t>FEBRERO 2026</t>
        </is>
      </c>
      <c r="M2602" t="inlineStr">
        <is>
          <t>P.Q.S.  TIPO ABC ASIA</t>
        </is>
      </c>
      <c r="N2602" t="inlineStr">
        <is>
          <t>S/N/003327</t>
        </is>
      </c>
      <c r="O2602" t="inlineStr">
        <is>
          <t>R</t>
        </is>
      </c>
      <c r="P2602">
        <f>TRIM(N2602)</f>
        <v/>
      </c>
    </row>
    <row r="2603">
      <c r="A2603" t="inlineStr">
        <is>
          <t>CO-002196</t>
        </is>
      </c>
      <c r="B2603" t="inlineStr">
        <is>
          <t>PERU MASIVO S.A - BUSES</t>
        </is>
      </c>
      <c r="C2603" t="inlineStr">
        <is>
          <t>20492392031</t>
        </is>
      </c>
      <c r="D2603" t="inlineStr">
        <is>
          <t>AV. LOS INCAS CDRA. 4 PATIO NORTE - COMAS</t>
        </is>
      </c>
      <c r="E2603" t="inlineStr">
        <is>
          <t>Lima, 01 de Febrero de 2025</t>
        </is>
      </c>
      <c r="F2603" t="inlineStr">
        <is>
          <t>la Recarga y mantenimiento</t>
        </is>
      </c>
      <c r="G2603" t="inlineStr">
        <is>
          <t>07</t>
        </is>
      </c>
      <c r="H2603" t="inlineStr">
        <is>
          <t>06 KG</t>
        </is>
      </c>
      <c r="I2603" t="inlineStr">
        <is>
          <t>2029</t>
        </is>
      </c>
      <c r="J2603" t="n">
        <v>2013</v>
      </c>
      <c r="K2603" t="inlineStr">
        <is>
          <t>FEBRERO 2025</t>
        </is>
      </c>
      <c r="L2603" t="inlineStr">
        <is>
          <t>FEBRERO 2026</t>
        </is>
      </c>
      <c r="M2603" t="inlineStr">
        <is>
          <t>P.Q.S.  TIPO ABC ASIA</t>
        </is>
      </c>
      <c r="N2603" t="inlineStr">
        <is>
          <t>S/N/000723</t>
        </is>
      </c>
      <c r="O2603" t="inlineStr">
        <is>
          <t>R</t>
        </is>
      </c>
      <c r="P2603">
        <f>TRIM(N2603)</f>
        <v/>
      </c>
    </row>
    <row r="2604">
      <c r="A2604" t="inlineStr">
        <is>
          <t>CO-002196</t>
        </is>
      </c>
      <c r="B2604" t="inlineStr">
        <is>
          <t>PERU MASIVO S.A - BUSES</t>
        </is>
      </c>
      <c r="C2604" t="inlineStr">
        <is>
          <t>20492392031</t>
        </is>
      </c>
      <c r="D2604" t="inlineStr">
        <is>
          <t>AV. LOS INCAS CDRA. 4 PATIO NORTE - COMAS</t>
        </is>
      </c>
      <c r="E2604" t="inlineStr">
        <is>
          <t>Lima, 01 de Febrero de 2025</t>
        </is>
      </c>
      <c r="F2604" t="inlineStr">
        <is>
          <t>la Recarga y mantenimiento</t>
        </is>
      </c>
      <c r="G2604" t="inlineStr">
        <is>
          <t>08</t>
        </is>
      </c>
      <c r="H2604" t="inlineStr">
        <is>
          <t>06 KG</t>
        </is>
      </c>
      <c r="I2604" t="inlineStr">
        <is>
          <t>2029</t>
        </is>
      </c>
      <c r="J2604" t="n">
        <v>2010</v>
      </c>
      <c r="K2604" t="inlineStr">
        <is>
          <t>FEBRERO 2025</t>
        </is>
      </c>
      <c r="L2604" t="inlineStr">
        <is>
          <t>FEBRERO 2026</t>
        </is>
      </c>
      <c r="M2604" t="inlineStr">
        <is>
          <t>P.Q.S.  TIPO ABC ASIA</t>
        </is>
      </c>
      <c r="N2604" t="inlineStr">
        <is>
          <t>126/001005</t>
        </is>
      </c>
      <c r="O2604" t="inlineStr">
        <is>
          <t>R</t>
        </is>
      </c>
      <c r="P2604">
        <f>TRIM(N2604)</f>
        <v/>
      </c>
    </row>
    <row r="2605">
      <c r="A2605" t="inlineStr">
        <is>
          <t>CO-002196</t>
        </is>
      </c>
      <c r="B2605" t="inlineStr">
        <is>
          <t>PERU MASIVO S.A - BUSES</t>
        </is>
      </c>
      <c r="C2605" t="inlineStr">
        <is>
          <t>20492392031</t>
        </is>
      </c>
      <c r="D2605" t="inlineStr">
        <is>
          <t>AV. LOS INCAS CDRA. 4 PATIO NORTE - COMAS</t>
        </is>
      </c>
      <c r="E2605" t="inlineStr">
        <is>
          <t>Lima, 01 de Febrero de 2025</t>
        </is>
      </c>
      <c r="F2605" t="inlineStr">
        <is>
          <t>la Recarga y mantenimiento</t>
        </is>
      </c>
      <c r="G2605" t="inlineStr">
        <is>
          <t>09</t>
        </is>
      </c>
      <c r="H2605" t="inlineStr">
        <is>
          <t>06 KG</t>
        </is>
      </c>
      <c r="I2605" t="inlineStr">
        <is>
          <t>2029</t>
        </is>
      </c>
      <c r="J2605" t="n">
        <v>2010</v>
      </c>
      <c r="K2605" t="inlineStr">
        <is>
          <t>FEBRERO 2025</t>
        </is>
      </c>
      <c r="L2605" t="inlineStr">
        <is>
          <t>FEBRERO 2026</t>
        </is>
      </c>
      <c r="M2605" t="inlineStr">
        <is>
          <t>P.Q.S.  TIPO ABC ASIA</t>
        </is>
      </c>
      <c r="N2605" t="inlineStr">
        <is>
          <t>148/000544</t>
        </is>
      </c>
      <c r="O2605" t="inlineStr">
        <is>
          <t>R</t>
        </is>
      </c>
      <c r="P2605">
        <f>TRIM(N2605)</f>
        <v/>
      </c>
    </row>
    <row r="2606">
      <c r="A2606" t="inlineStr">
        <is>
          <t>CO-002197</t>
        </is>
      </c>
      <c r="B2606" t="inlineStr">
        <is>
          <t>ACADEMIA DE INGLES "SPECTRUM" DE: Manuel Humberto Acevedo Rodriguez</t>
        </is>
      </c>
      <c r="D2606" t="inlineStr">
        <is>
          <t>JR. LOS JAZMINES N°275 URB. SANTA ISABEL - CARABAYLLO</t>
        </is>
      </c>
      <c r="E2606" t="inlineStr">
        <is>
          <t>Lima, 30 de Enero de 2025</t>
        </is>
      </c>
      <c r="F2606" t="inlineStr">
        <is>
          <t>la Recarga y mantenimiento</t>
        </is>
      </c>
      <c r="G2606" t="inlineStr">
        <is>
          <t>01</t>
        </is>
      </c>
      <c r="H2606" t="inlineStr">
        <is>
          <t>06 KG</t>
        </is>
      </c>
      <c r="I2606" t="inlineStr">
        <is>
          <t xml:space="preserve">VIGENTE </t>
        </is>
      </c>
      <c r="J2606" t="n">
        <v>2015</v>
      </c>
      <c r="K2606" t="inlineStr">
        <is>
          <t>ENERO 2025</t>
        </is>
      </c>
      <c r="L2606" t="inlineStr">
        <is>
          <t>ENERO 2026</t>
        </is>
      </c>
      <c r="M2606" t="inlineStr">
        <is>
          <t xml:space="preserve">P.Q.S.  TIPO ABC </t>
        </is>
      </c>
      <c r="N2606" t="inlineStr">
        <is>
          <t>01/020565</t>
        </is>
      </c>
      <c r="O2606" t="inlineStr">
        <is>
          <t>R</t>
        </is>
      </c>
      <c r="P2606">
        <f>TRIM(N2606)</f>
        <v/>
      </c>
    </row>
    <row r="2607">
      <c r="A2607" t="inlineStr">
        <is>
          <t>CO-002198</t>
        </is>
      </c>
      <c r="B2607" t="inlineStr">
        <is>
          <t>UNIGRAF SAC</t>
        </is>
      </c>
      <c r="C2607" t="inlineStr">
        <is>
          <t>20113367955</t>
        </is>
      </c>
      <c r="D2607" t="inlineStr">
        <is>
          <t>CALLE LOS CEDROS MZ C1 LT1 CPM HUACHIPA, LURIGANCHO CHOSICA</t>
        </is>
      </c>
      <c r="E2607" t="inlineStr">
        <is>
          <t>Lima, 01 de Febrero de 2025</t>
        </is>
      </c>
      <c r="F2607" t="inlineStr">
        <is>
          <t>la Recarga y mantenimiento</t>
        </is>
      </c>
      <c r="G2607" t="inlineStr">
        <is>
          <t>01</t>
        </is>
      </c>
      <c r="H2607" t="inlineStr">
        <is>
          <t>06 KG</t>
        </is>
      </c>
      <c r="I2607" t="inlineStr">
        <is>
          <t>2030</t>
        </is>
      </c>
      <c r="J2607" t="n">
        <v>2011</v>
      </c>
      <c r="K2607" t="inlineStr">
        <is>
          <t>FEBRERO 2025</t>
        </is>
      </c>
      <c r="L2607" t="inlineStr">
        <is>
          <t>FEBRERO 2026</t>
        </is>
      </c>
      <c r="M2607" t="inlineStr">
        <is>
          <t xml:space="preserve">P.Q.S.  TIPO ABC </t>
        </is>
      </c>
      <c r="N2607" t="inlineStr">
        <is>
          <t>03/000011</t>
        </is>
      </c>
      <c r="O2607" t="inlineStr">
        <is>
          <t>R</t>
        </is>
      </c>
      <c r="P2607">
        <f>TRIM(N2607)</f>
        <v/>
      </c>
    </row>
    <row r="2608">
      <c r="A2608" t="inlineStr">
        <is>
          <t>CO-002198</t>
        </is>
      </c>
      <c r="B2608" t="inlineStr">
        <is>
          <t>UNIGRAF SAC</t>
        </is>
      </c>
      <c r="C2608" t="inlineStr">
        <is>
          <t>20113367955</t>
        </is>
      </c>
      <c r="D2608" t="inlineStr">
        <is>
          <t>CALLE LOS CEDROS MZ C1 LT1 CPM HUACHIPA, LURIGANCHO CHOSICA</t>
        </is>
      </c>
      <c r="E2608" t="inlineStr">
        <is>
          <t>Lima, 01 de Febrero de 2025</t>
        </is>
      </c>
      <c r="F2608" t="inlineStr">
        <is>
          <t>la Recarga y mantenimiento</t>
        </is>
      </c>
      <c r="G2608" t="inlineStr">
        <is>
          <t>02</t>
        </is>
      </c>
      <c r="H2608" t="inlineStr">
        <is>
          <t>06 KG</t>
        </is>
      </c>
      <c r="I2608" t="inlineStr">
        <is>
          <t>2030</t>
        </is>
      </c>
      <c r="J2608" t="n">
        <v>2017</v>
      </c>
      <c r="K2608" t="inlineStr">
        <is>
          <t>FEBRERO 2025</t>
        </is>
      </c>
      <c r="L2608" t="inlineStr">
        <is>
          <t>FEBRERO 2026</t>
        </is>
      </c>
      <c r="M2608" t="inlineStr">
        <is>
          <t xml:space="preserve">P.Q.S.  TIPO ABC </t>
        </is>
      </c>
      <c r="N2608" t="inlineStr">
        <is>
          <t>20/000017</t>
        </is>
      </c>
      <c r="O2608" t="inlineStr">
        <is>
          <t>R</t>
        </is>
      </c>
      <c r="P2608">
        <f>TRIM(N2608)</f>
        <v/>
      </c>
    </row>
    <row r="2609">
      <c r="A2609" t="inlineStr">
        <is>
          <t>CO-002198</t>
        </is>
      </c>
      <c r="B2609" t="inlineStr">
        <is>
          <t>UNIGRAF SAC</t>
        </is>
      </c>
      <c r="C2609" t="inlineStr">
        <is>
          <t>20113367955</t>
        </is>
      </c>
      <c r="D2609" t="inlineStr">
        <is>
          <t>CALLE LOS CEDROS MZ C1 LT1 CPM HUACHIPA, LURIGANCHO CHOSICA</t>
        </is>
      </c>
      <c r="E2609" t="inlineStr">
        <is>
          <t>Lima, 01 de Febrero de 2025</t>
        </is>
      </c>
      <c r="F2609" t="inlineStr">
        <is>
          <t>la Recarga y mantenimiento</t>
        </is>
      </c>
      <c r="G2609" t="inlineStr">
        <is>
          <t xml:space="preserve">03 </t>
        </is>
      </c>
      <c r="H2609" t="inlineStr">
        <is>
          <t xml:space="preserve">12 KG </t>
        </is>
      </c>
      <c r="I2609" t="n">
        <v>2030</v>
      </c>
      <c r="J2609" t="n">
        <v>2024</v>
      </c>
      <c r="K2609" t="inlineStr">
        <is>
          <t>FEBRERO 2025</t>
        </is>
      </c>
      <c r="L2609" t="inlineStr">
        <is>
          <t>FEBRERO 2026</t>
        </is>
      </c>
      <c r="M2609" t="inlineStr">
        <is>
          <t xml:space="preserve">P.Q.S.  TIPO ABC </t>
        </is>
      </c>
      <c r="N2609" t="inlineStr">
        <is>
          <t>04/000249</t>
        </is>
      </c>
      <c r="O2609" t="inlineStr">
        <is>
          <t>V</t>
        </is>
      </c>
      <c r="P2609">
        <f>TRIM(N2609)</f>
        <v/>
      </c>
    </row>
    <row r="2610">
      <c r="A2610" t="inlineStr">
        <is>
          <t>CO-002199</t>
        </is>
      </c>
      <c r="B2610" t="inlineStr">
        <is>
          <t xml:space="preserve">ASOCIACIÓN DE PROPIETARIOS DEL MERCADO MODELO LA ALBORADA </t>
        </is>
      </c>
      <c r="C2610" t="inlineStr">
        <is>
          <t>20492406512</t>
        </is>
      </c>
      <c r="D2610" t="inlineStr">
        <is>
          <t xml:space="preserve">ASOCIACIÓN DE PROPIETARIOS DEL MERCADO MODELO LA ALBORADA </t>
        </is>
      </c>
      <c r="E2610" t="inlineStr">
        <is>
          <t>Lima, 04 de Febrero de 2025</t>
        </is>
      </c>
      <c r="F2610" t="inlineStr">
        <is>
          <t>la Recarga y mantenimiento</t>
        </is>
      </c>
      <c r="G2610" t="inlineStr">
        <is>
          <t>01</t>
        </is>
      </c>
      <c r="H2610" t="inlineStr">
        <is>
          <t xml:space="preserve">06 KG </t>
        </is>
      </c>
      <c r="I2610" t="inlineStr">
        <is>
          <t xml:space="preserve">VIGENTE </t>
        </is>
      </c>
      <c r="J2610" t="n">
        <v>2014</v>
      </c>
      <c r="K2610" t="inlineStr">
        <is>
          <t>FEBRERO 2025</t>
        </is>
      </c>
      <c r="L2610" t="inlineStr">
        <is>
          <t>FEBRERO 2026</t>
        </is>
      </c>
      <c r="M2610" t="inlineStr">
        <is>
          <t xml:space="preserve">P.Q.S.  TIPO ABC </t>
        </is>
      </c>
      <c r="N2610" t="inlineStr">
        <is>
          <t>01/000151</t>
        </is>
      </c>
      <c r="O2610" t="inlineStr">
        <is>
          <t>R</t>
        </is>
      </c>
      <c r="P2610">
        <f>TRIM(N2610)</f>
        <v/>
      </c>
    </row>
    <row r="2611">
      <c r="A2611" t="inlineStr">
        <is>
          <t>CO-002199</t>
        </is>
      </c>
      <c r="B2611" t="inlineStr">
        <is>
          <t xml:space="preserve">ASOCIACIÓN DE PROPIETARIOS DEL MERCADO MODELO LA ALBORADA </t>
        </is>
      </c>
      <c r="C2611" t="inlineStr">
        <is>
          <t>20492406512</t>
        </is>
      </c>
      <c r="D2611" t="inlineStr">
        <is>
          <t xml:space="preserve">ASOCIACIÓN DE PROPIETARIOS DEL MERCADO MODELO LA ALBORADA </t>
        </is>
      </c>
      <c r="E2611" t="inlineStr">
        <is>
          <t>Lima, 04 de Febrero de 2025</t>
        </is>
      </c>
      <c r="F2611" t="inlineStr">
        <is>
          <t>la Recarga y mantenimiento</t>
        </is>
      </c>
      <c r="G2611" t="inlineStr">
        <is>
          <t>02</t>
        </is>
      </c>
      <c r="H2611" t="inlineStr">
        <is>
          <t xml:space="preserve">06 KG </t>
        </is>
      </c>
      <c r="I2611" t="inlineStr">
        <is>
          <t xml:space="preserve">VIGENTE </t>
        </is>
      </c>
      <c r="J2611" t="n">
        <v>2017</v>
      </c>
      <c r="K2611" t="inlineStr">
        <is>
          <t>FEBRERO 2025</t>
        </is>
      </c>
      <c r="L2611" t="inlineStr">
        <is>
          <t>FEBRERO 2026</t>
        </is>
      </c>
      <c r="M2611" t="inlineStr">
        <is>
          <t xml:space="preserve">P.Q.S.  TIPO ABC </t>
        </is>
      </c>
      <c r="N2611" t="inlineStr">
        <is>
          <t>02/000702</t>
        </is>
      </c>
      <c r="O2611" t="inlineStr">
        <is>
          <t>R</t>
        </is>
      </c>
      <c r="P2611">
        <f>TRIM(N2611)</f>
        <v/>
      </c>
    </row>
    <row r="2612">
      <c r="A2612" t="inlineStr">
        <is>
          <t>CO-002199</t>
        </is>
      </c>
      <c r="B2612" t="inlineStr">
        <is>
          <t xml:space="preserve">ASOCIACIÓN DE PROPIETARIOS DEL MERCADO MODELO LA ALBORADA </t>
        </is>
      </c>
      <c r="C2612" t="inlineStr">
        <is>
          <t>20492406512</t>
        </is>
      </c>
      <c r="D2612" t="inlineStr">
        <is>
          <t xml:space="preserve">ASOCIACIÓN DE PROPIETARIOS DEL MERCADO MODELO LA ALBORADA </t>
        </is>
      </c>
      <c r="E2612" t="inlineStr">
        <is>
          <t>Lima, 04 de Febrero de 2025</t>
        </is>
      </c>
      <c r="F2612" t="inlineStr">
        <is>
          <t>la Recarga y mantenimiento</t>
        </is>
      </c>
      <c r="G2612" t="inlineStr">
        <is>
          <t>03</t>
        </is>
      </c>
      <c r="H2612" t="inlineStr">
        <is>
          <t xml:space="preserve">06 KG </t>
        </is>
      </c>
      <c r="I2612" t="inlineStr">
        <is>
          <t xml:space="preserve">VIGENTE </t>
        </is>
      </c>
      <c r="J2612" t="n">
        <v>2017</v>
      </c>
      <c r="K2612" t="inlineStr">
        <is>
          <t>FEBRERO 2025</t>
        </is>
      </c>
      <c r="L2612" t="inlineStr">
        <is>
          <t>FEBRERO 2026</t>
        </is>
      </c>
      <c r="M2612" t="inlineStr">
        <is>
          <t xml:space="preserve">P.Q.S.  TIPO ABC </t>
        </is>
      </c>
      <c r="N2612" t="inlineStr">
        <is>
          <t>03/000478</t>
        </is>
      </c>
      <c r="O2612" t="inlineStr">
        <is>
          <t>R</t>
        </is>
      </c>
      <c r="P2612">
        <f>TRIM(N2612)</f>
        <v/>
      </c>
    </row>
    <row r="2613">
      <c r="A2613" t="inlineStr">
        <is>
          <t>CO-002199</t>
        </is>
      </c>
      <c r="B2613" t="inlineStr">
        <is>
          <t xml:space="preserve">ASOCIACIÓN DE PROPIETARIOS DEL MERCADO MODELO LA ALBORADA </t>
        </is>
      </c>
      <c r="C2613" t="inlineStr">
        <is>
          <t>20492406512</t>
        </is>
      </c>
      <c r="D2613" t="inlineStr">
        <is>
          <t xml:space="preserve">ASOCIACIÓN DE PROPIETARIOS DEL MERCADO MODELO LA ALBORADA </t>
        </is>
      </c>
      <c r="E2613" t="inlineStr">
        <is>
          <t>Lima, 04 de Febrero de 2025</t>
        </is>
      </c>
      <c r="F2613" t="inlineStr">
        <is>
          <t>la Recarga y mantenimiento</t>
        </is>
      </c>
      <c r="G2613" t="inlineStr">
        <is>
          <t>04</t>
        </is>
      </c>
      <c r="H2613" t="inlineStr">
        <is>
          <t xml:space="preserve">06 KG </t>
        </is>
      </c>
      <c r="I2613" t="inlineStr">
        <is>
          <t xml:space="preserve">VIGENTE </t>
        </is>
      </c>
      <c r="J2613" t="n">
        <v>2014</v>
      </c>
      <c r="K2613" t="inlineStr">
        <is>
          <t>FEBRERO 2025</t>
        </is>
      </c>
      <c r="L2613" t="inlineStr">
        <is>
          <t>FEBRERO 2026</t>
        </is>
      </c>
      <c r="M2613" t="inlineStr">
        <is>
          <t xml:space="preserve">P.Q.S.  TIPO ABC </t>
        </is>
      </c>
      <c r="N2613" t="inlineStr">
        <is>
          <t>01/000017</t>
        </is>
      </c>
      <c r="O2613" t="inlineStr">
        <is>
          <t>R</t>
        </is>
      </c>
      <c r="P2613">
        <f>TRIM(N2613)</f>
        <v/>
      </c>
    </row>
    <row r="2614">
      <c r="A2614" t="inlineStr">
        <is>
          <t>CO-002199</t>
        </is>
      </c>
      <c r="B2614" t="inlineStr">
        <is>
          <t xml:space="preserve">ASOCIACIÓN DE PROPIETARIOS DEL MERCADO MODELO LA ALBORADA </t>
        </is>
      </c>
      <c r="C2614" t="inlineStr">
        <is>
          <t>20492406512</t>
        </is>
      </c>
      <c r="D2614" t="inlineStr">
        <is>
          <t xml:space="preserve">ASOCIACIÓN DE PROPIETARIOS DEL MERCADO MODELO LA ALBORADA </t>
        </is>
      </c>
      <c r="E2614" t="inlineStr">
        <is>
          <t>Lima, 04 de Febrero de 2025</t>
        </is>
      </c>
      <c r="F2614" t="inlineStr">
        <is>
          <t>la Recarga y mantenimiento</t>
        </is>
      </c>
      <c r="G2614" t="inlineStr">
        <is>
          <t>05</t>
        </is>
      </c>
      <c r="H2614" t="inlineStr">
        <is>
          <t xml:space="preserve">06 KG </t>
        </is>
      </c>
      <c r="I2614" t="inlineStr">
        <is>
          <t xml:space="preserve">VIGENTE </t>
        </is>
      </c>
      <c r="J2614" t="n">
        <v>2023</v>
      </c>
      <c r="K2614" t="inlineStr">
        <is>
          <t>FEBRERO 2025</t>
        </is>
      </c>
      <c r="L2614" t="inlineStr">
        <is>
          <t>FEBRERO 2026</t>
        </is>
      </c>
      <c r="M2614" t="inlineStr">
        <is>
          <t xml:space="preserve">P.Q.S.  TIPO ABC </t>
        </is>
      </c>
      <c r="N2614" t="inlineStr">
        <is>
          <t>01/002697</t>
        </is>
      </c>
      <c r="O2614" t="inlineStr">
        <is>
          <t>R</t>
        </is>
      </c>
      <c r="P2614">
        <f>TRIM(N2614)</f>
        <v/>
      </c>
    </row>
    <row r="2615">
      <c r="A2615" t="inlineStr">
        <is>
          <t>CO-002199</t>
        </is>
      </c>
      <c r="B2615" t="inlineStr">
        <is>
          <t xml:space="preserve">ASOCIACIÓN DE PROPIETARIOS DEL MERCADO MODELO LA ALBORADA </t>
        </is>
      </c>
      <c r="C2615" t="inlineStr">
        <is>
          <t>20492406512</t>
        </is>
      </c>
      <c r="D2615" t="inlineStr">
        <is>
          <t xml:space="preserve">ASOCIACIÓN DE PROPIETARIOS DEL MERCADO MODELO LA ALBORADA </t>
        </is>
      </c>
      <c r="E2615" t="inlineStr">
        <is>
          <t>Lima, 04 de Febrero de 2025</t>
        </is>
      </c>
      <c r="F2615" t="inlineStr">
        <is>
          <t>la Recarga y mantenimiento</t>
        </is>
      </c>
      <c r="G2615" t="inlineStr">
        <is>
          <t>06</t>
        </is>
      </c>
      <c r="H2615" t="inlineStr">
        <is>
          <t>09 KG</t>
        </is>
      </c>
      <c r="I2615" t="inlineStr">
        <is>
          <t xml:space="preserve">VIGENTE </t>
        </is>
      </c>
      <c r="J2615" t="n">
        <v>2020</v>
      </c>
      <c r="K2615" t="inlineStr">
        <is>
          <t>FEBRERO 2025</t>
        </is>
      </c>
      <c r="L2615" t="inlineStr">
        <is>
          <t>FEBRERO 2026</t>
        </is>
      </c>
      <c r="M2615" t="inlineStr">
        <is>
          <t xml:space="preserve">P.Q.S.  TIPO ABC </t>
        </is>
      </c>
      <c r="N2615" t="inlineStr">
        <is>
          <t>02/306139</t>
        </is>
      </c>
      <c r="O2615" t="inlineStr">
        <is>
          <t>R</t>
        </is>
      </c>
      <c r="P2615">
        <f>TRIM(N2615)</f>
        <v/>
      </c>
    </row>
    <row r="2616">
      <c r="A2616" t="inlineStr">
        <is>
          <t>CO-002199</t>
        </is>
      </c>
      <c r="B2616" t="inlineStr">
        <is>
          <t xml:space="preserve">ASOCIACIÓN DE PROPIETARIOS DEL MERCADO MODELO LA ALBORADA </t>
        </is>
      </c>
      <c r="C2616" t="inlineStr">
        <is>
          <t>20492406512</t>
        </is>
      </c>
      <c r="D2616" t="inlineStr">
        <is>
          <t xml:space="preserve">ASOCIACIÓN DE PROPIETARIOS DEL MERCADO MODELO LA ALBORADA </t>
        </is>
      </c>
      <c r="E2616" t="inlineStr">
        <is>
          <t>Lima, 04 de Febrero de 2025</t>
        </is>
      </c>
      <c r="F2616" t="inlineStr">
        <is>
          <t>la Recarga y mantenimiento</t>
        </is>
      </c>
      <c r="G2616" t="inlineStr">
        <is>
          <t>07</t>
        </is>
      </c>
      <c r="H2616" t="inlineStr">
        <is>
          <t xml:space="preserve">06 KG </t>
        </is>
      </c>
      <c r="I2616" t="inlineStr">
        <is>
          <t xml:space="preserve">VIGENTE </t>
        </is>
      </c>
      <c r="J2616" t="n">
        <v>2020</v>
      </c>
      <c r="K2616" t="inlineStr">
        <is>
          <t>FEBRERO 2025</t>
        </is>
      </c>
      <c r="L2616" t="inlineStr">
        <is>
          <t>FEBRERO 2026</t>
        </is>
      </c>
      <c r="M2616" t="inlineStr">
        <is>
          <t xml:space="preserve">P.Q.S.  TIPO ABC </t>
        </is>
      </c>
      <c r="N2616" t="inlineStr">
        <is>
          <t>02/000369</t>
        </is>
      </c>
      <c r="O2616" t="inlineStr">
        <is>
          <t>R</t>
        </is>
      </c>
      <c r="P2616">
        <f>TRIM(N2616)</f>
        <v/>
      </c>
    </row>
    <row r="2617">
      <c r="A2617" t="inlineStr">
        <is>
          <t>CO-002199</t>
        </is>
      </c>
      <c r="B2617" t="inlineStr">
        <is>
          <t xml:space="preserve">ASOCIACIÓN DE PROPIETARIOS DEL MERCADO MODELO LA ALBORADA </t>
        </is>
      </c>
      <c r="C2617" t="inlineStr">
        <is>
          <t>20492406512</t>
        </is>
      </c>
      <c r="D2617" t="inlineStr">
        <is>
          <t xml:space="preserve">ASOCIACIÓN DE PROPIETARIOS DEL MERCADO MODELO LA ALBORADA </t>
        </is>
      </c>
      <c r="E2617" t="inlineStr">
        <is>
          <t>Lima, 04 de Febrero de 2025</t>
        </is>
      </c>
      <c r="F2617" t="inlineStr">
        <is>
          <t>la Recarga y mantenimiento</t>
        </is>
      </c>
      <c r="G2617" t="inlineStr">
        <is>
          <t>08</t>
        </is>
      </c>
      <c r="H2617" t="inlineStr">
        <is>
          <t xml:space="preserve">06 KG </t>
        </is>
      </c>
      <c r="I2617" t="inlineStr">
        <is>
          <t xml:space="preserve">VIGENTE </t>
        </is>
      </c>
      <c r="J2617" t="n">
        <v>2020</v>
      </c>
      <c r="K2617" t="inlineStr">
        <is>
          <t>FEBRERO 2025</t>
        </is>
      </c>
      <c r="L2617" t="inlineStr">
        <is>
          <t>FEBRERO 2026</t>
        </is>
      </c>
      <c r="M2617" t="inlineStr">
        <is>
          <t xml:space="preserve">P.Q.S.  TIPO ABC </t>
        </is>
      </c>
      <c r="N2617" t="inlineStr">
        <is>
          <t>S/N/000389</t>
        </is>
      </c>
      <c r="O2617" t="inlineStr">
        <is>
          <t>R</t>
        </is>
      </c>
      <c r="P2617">
        <f>TRIM(N2617)</f>
        <v/>
      </c>
    </row>
    <row r="2618">
      <c r="A2618" t="inlineStr">
        <is>
          <t>CO-002200</t>
        </is>
      </c>
      <c r="B2618" t="inlineStr">
        <is>
          <t>HERCILIA ESTEBAN</t>
        </is>
      </c>
      <c r="D2618" t="inlineStr">
        <is>
          <t>MERCADO ALBORADA SECTOR VARIOS - PUESTO 04</t>
        </is>
      </c>
      <c r="E2618" t="inlineStr">
        <is>
          <t>Lima, 04 de Febrero de 2025</t>
        </is>
      </c>
      <c r="F2618" t="inlineStr">
        <is>
          <t>la Recarga y mantenimiento</t>
        </is>
      </c>
      <c r="G2618" t="inlineStr">
        <is>
          <t>01</t>
        </is>
      </c>
      <c r="H2618" t="inlineStr">
        <is>
          <t>06 KG</t>
        </is>
      </c>
      <c r="I2618" t="inlineStr">
        <is>
          <t xml:space="preserve">VIGENTE </t>
        </is>
      </c>
      <c r="J2618" t="n">
        <v>2018</v>
      </c>
      <c r="K2618" t="inlineStr">
        <is>
          <t>FEBRERO 2025</t>
        </is>
      </c>
      <c r="L2618" t="inlineStr">
        <is>
          <t>FEBRERO 2026</t>
        </is>
      </c>
      <c r="M2618" t="inlineStr">
        <is>
          <t xml:space="preserve">P.Q.S.  TIPO ABC </t>
        </is>
      </c>
      <c r="N2618" t="inlineStr">
        <is>
          <t>S/N/001978</t>
        </is>
      </c>
      <c r="O2618" t="inlineStr">
        <is>
          <t>R</t>
        </is>
      </c>
      <c r="P2618">
        <f>TRIM(N2618)</f>
        <v/>
      </c>
    </row>
    <row r="2619">
      <c r="A2619" t="inlineStr">
        <is>
          <t>CO-002201</t>
        </is>
      </c>
      <c r="B2619" t="inlineStr">
        <is>
          <t xml:space="preserve">TEODOCIO ROMAN </t>
        </is>
      </c>
      <c r="D2619" t="inlineStr">
        <is>
          <t>MERCADO ALBORADA - PUESTO 34</t>
        </is>
      </c>
      <c r="E2619" t="inlineStr">
        <is>
          <t>Lima, 04 de Febrero de 2025</t>
        </is>
      </c>
      <c r="F2619" t="inlineStr">
        <is>
          <t>la Recarga y mantenimiento</t>
        </is>
      </c>
      <c r="G2619" t="inlineStr">
        <is>
          <t>01</t>
        </is>
      </c>
      <c r="H2619" t="inlineStr">
        <is>
          <t>04 KG</t>
        </is>
      </c>
      <c r="I2619" t="inlineStr">
        <is>
          <t>2028</t>
        </is>
      </c>
      <c r="J2619" t="n">
        <v>2023</v>
      </c>
      <c r="K2619" t="inlineStr">
        <is>
          <t>FEBRERO 2025</t>
        </is>
      </c>
      <c r="L2619" t="inlineStr">
        <is>
          <t>FEBRERO 2026</t>
        </is>
      </c>
      <c r="M2619" t="inlineStr">
        <is>
          <t xml:space="preserve">P.Q.S.  TIPO ABC </t>
        </is>
      </c>
      <c r="N2619" t="inlineStr">
        <is>
          <t>S/N/358911</t>
        </is>
      </c>
      <c r="O2619" t="inlineStr">
        <is>
          <t>R</t>
        </is>
      </c>
      <c r="P2619">
        <f>TRIM(N2619)</f>
        <v/>
      </c>
    </row>
    <row r="2620">
      <c r="A2620" t="inlineStr">
        <is>
          <t>CO-002202</t>
        </is>
      </c>
      <c r="B2620" t="inlineStr">
        <is>
          <t>YRENE YSABEL CAMACHO CHIROQUE DE AREVALO</t>
        </is>
      </c>
      <c r="D2620" t="inlineStr">
        <is>
          <t xml:space="preserve">MERCADO ALBORADA - ABARROTES - PUESTO 06 </t>
        </is>
      </c>
      <c r="E2620" t="inlineStr">
        <is>
          <t>Lima, 04 de Febrero de 2025</t>
        </is>
      </c>
      <c r="F2620" t="inlineStr">
        <is>
          <t>la Recarga y mantenimiento</t>
        </is>
      </c>
      <c r="G2620" t="inlineStr">
        <is>
          <t>01</t>
        </is>
      </c>
      <c r="H2620" t="inlineStr">
        <is>
          <t>04 KG</t>
        </is>
      </c>
      <c r="I2620" t="inlineStr">
        <is>
          <t>2028</t>
        </is>
      </c>
      <c r="J2620" t="n">
        <v>2023</v>
      </c>
      <c r="K2620" t="inlineStr">
        <is>
          <t>FEBRERO 2025</t>
        </is>
      </c>
      <c r="L2620" t="inlineStr">
        <is>
          <t>FEBRERO 2026</t>
        </is>
      </c>
      <c r="M2620" t="inlineStr">
        <is>
          <t xml:space="preserve">P.Q.S.  TIPO ABC </t>
        </is>
      </c>
      <c r="N2620" t="inlineStr">
        <is>
          <t>S/N/00974</t>
        </is>
      </c>
      <c r="O2620" t="inlineStr">
        <is>
          <t>R</t>
        </is>
      </c>
      <c r="P2620">
        <f>TRIM(N2620)</f>
        <v/>
      </c>
    </row>
    <row r="2621">
      <c r="A2621" t="inlineStr">
        <is>
          <t>CO-002203</t>
        </is>
      </c>
      <c r="B2621" t="inlineStr">
        <is>
          <t>ROXANA OLIVARES ZAPATA</t>
        </is>
      </c>
      <c r="D2621" t="inlineStr">
        <is>
          <t>MERCADO ALBORADA - ROPA - PUESTO 28</t>
        </is>
      </c>
      <c r="E2621" t="inlineStr">
        <is>
          <t>Lima, 04 de Febrero de 2025</t>
        </is>
      </c>
      <c r="F2621" t="inlineStr">
        <is>
          <t>la Recarga y mantenimiento</t>
        </is>
      </c>
      <c r="G2621" t="inlineStr">
        <is>
          <t>01</t>
        </is>
      </c>
      <c r="H2621" t="inlineStr">
        <is>
          <t>04 KG</t>
        </is>
      </c>
      <c r="I2621" t="inlineStr">
        <is>
          <t>2028</t>
        </is>
      </c>
      <c r="J2621" t="n">
        <v>2023</v>
      </c>
      <c r="K2621" t="inlineStr">
        <is>
          <t>FEBRERO 2025</t>
        </is>
      </c>
      <c r="L2621" t="inlineStr">
        <is>
          <t>FEBRERO 2026</t>
        </is>
      </c>
      <c r="M2621" t="inlineStr">
        <is>
          <t xml:space="preserve">P.Q.S.  TIPO ABC </t>
        </is>
      </c>
      <c r="N2621" t="inlineStr">
        <is>
          <t>S/N/000702</t>
        </is>
      </c>
      <c r="O2621" t="inlineStr">
        <is>
          <t>R</t>
        </is>
      </c>
      <c r="P2621">
        <f>TRIM(N2621)</f>
        <v/>
      </c>
    </row>
    <row r="2622">
      <c r="A2622" t="inlineStr">
        <is>
          <t>CO-002204</t>
        </is>
      </c>
      <c r="B2622" t="inlineStr">
        <is>
          <t>PAULINO CHIPAYO CANO</t>
        </is>
      </c>
      <c r="D2622" t="inlineStr">
        <is>
          <t>MERCADO ALBORADA - EMBUTIDOS - PUESTO 05</t>
        </is>
      </c>
      <c r="E2622" t="inlineStr">
        <is>
          <t>Lima, 04 de Febrero de 2025</t>
        </is>
      </c>
      <c r="F2622" t="inlineStr">
        <is>
          <t>la Recarga y mantenimiento</t>
        </is>
      </c>
      <c r="G2622" t="inlineStr">
        <is>
          <t>01</t>
        </is>
      </c>
      <c r="H2622" t="inlineStr">
        <is>
          <t>04 KG</t>
        </is>
      </c>
      <c r="I2622" t="inlineStr">
        <is>
          <t>2029</t>
        </is>
      </c>
      <c r="J2622" t="n">
        <v>2024</v>
      </c>
      <c r="K2622" t="inlineStr">
        <is>
          <t>FEBRERO 2025</t>
        </is>
      </c>
      <c r="L2622" t="inlineStr">
        <is>
          <t>FEBRERO 2026</t>
        </is>
      </c>
      <c r="M2622" t="inlineStr">
        <is>
          <t xml:space="preserve">P.Q.S.  TIPO ABC </t>
        </is>
      </c>
      <c r="N2622" t="inlineStr">
        <is>
          <t>S/N/000587</t>
        </is>
      </c>
      <c r="O2622" t="inlineStr">
        <is>
          <t>R</t>
        </is>
      </c>
      <c r="P2622">
        <f>TRIM(N2622)</f>
        <v/>
      </c>
    </row>
    <row r="2623">
      <c r="A2623" t="inlineStr">
        <is>
          <t>CO-002205</t>
        </is>
      </c>
      <c r="B2623" t="inlineStr">
        <is>
          <t>ZENAIDA MENDOZA TARAZONA</t>
        </is>
      </c>
      <c r="D2623" t="inlineStr">
        <is>
          <t>MERCADO ALBORADA -ABARROTES - PUESTO 08</t>
        </is>
      </c>
      <c r="E2623" t="inlineStr">
        <is>
          <t>Lima, 04 de Febrero de 2025</t>
        </is>
      </c>
      <c r="F2623" t="inlineStr">
        <is>
          <t>la Recarga y mantenimiento</t>
        </is>
      </c>
      <c r="G2623" t="inlineStr">
        <is>
          <t>01</t>
        </is>
      </c>
      <c r="H2623" t="inlineStr">
        <is>
          <t>04 KG</t>
        </is>
      </c>
      <c r="I2623" t="inlineStr">
        <is>
          <t>2029</t>
        </is>
      </c>
      <c r="J2623" t="n">
        <v>2024</v>
      </c>
      <c r="K2623" t="inlineStr">
        <is>
          <t>FEBRERO 2025</t>
        </is>
      </c>
      <c r="L2623" t="inlineStr">
        <is>
          <t>FEBRERO 2026</t>
        </is>
      </c>
      <c r="M2623" t="inlineStr">
        <is>
          <t xml:space="preserve">P.Q.S.  TIPO ABC </t>
        </is>
      </c>
      <c r="N2623" t="inlineStr">
        <is>
          <t>S/N/0010000</t>
        </is>
      </c>
      <c r="O2623" t="inlineStr">
        <is>
          <t>R</t>
        </is>
      </c>
      <c r="P2623">
        <f>TRIM(N2623)</f>
        <v/>
      </c>
    </row>
    <row r="2624">
      <c r="A2624" t="inlineStr">
        <is>
          <t>CO-002206</t>
        </is>
      </c>
      <c r="B2624" t="inlineStr">
        <is>
          <t>ROSA BUSTINZA FELIX</t>
        </is>
      </c>
      <c r="D2624" t="inlineStr">
        <is>
          <t>MERCADO ALBOARADA - DEPORTES - PUESTO  03</t>
        </is>
      </c>
      <c r="E2624" t="inlineStr">
        <is>
          <t>Lima, 04 de Febrero de 2025</t>
        </is>
      </c>
      <c r="F2624" t="inlineStr">
        <is>
          <t>la Recarga y mantenimiento</t>
        </is>
      </c>
      <c r="G2624" t="inlineStr">
        <is>
          <t>01</t>
        </is>
      </c>
      <c r="H2624" t="inlineStr">
        <is>
          <t>04 KG</t>
        </is>
      </c>
      <c r="I2624" t="inlineStr">
        <is>
          <t>2029</t>
        </is>
      </c>
      <c r="J2624" t="n">
        <v>2024</v>
      </c>
      <c r="K2624" t="inlineStr">
        <is>
          <t>FEBRERO 2025</t>
        </is>
      </c>
      <c r="L2624" t="inlineStr">
        <is>
          <t>FEBRERO 2026</t>
        </is>
      </c>
      <c r="M2624" t="inlineStr">
        <is>
          <t xml:space="preserve">P.Q.S.  TIPO ABC </t>
        </is>
      </c>
      <c r="N2624" t="inlineStr">
        <is>
          <t>S/N/000833</t>
        </is>
      </c>
      <c r="O2624" t="inlineStr">
        <is>
          <t>R</t>
        </is>
      </c>
      <c r="P2624">
        <f>TRIM(N2624)</f>
        <v/>
      </c>
    </row>
    <row r="2625">
      <c r="A2625" t="inlineStr">
        <is>
          <t>CO-002207</t>
        </is>
      </c>
      <c r="B2625" t="inlineStr">
        <is>
          <t>HIPOLITO CARRILLO</t>
        </is>
      </c>
      <c r="D2625" t="inlineStr">
        <is>
          <t>MERCADO ALBORADA - PASAMANERIA - PUESTO 08</t>
        </is>
      </c>
      <c r="E2625" t="inlineStr">
        <is>
          <t>Lima, 04 de Febrero de 2025</t>
        </is>
      </c>
      <c r="F2625" t="inlineStr">
        <is>
          <t>la Recarga y mantenimiento</t>
        </is>
      </c>
      <c r="G2625" t="inlineStr">
        <is>
          <t>01</t>
        </is>
      </c>
      <c r="H2625" t="inlineStr">
        <is>
          <t>04 KG</t>
        </is>
      </c>
      <c r="I2625" t="inlineStr">
        <is>
          <t xml:space="preserve">VIGENTE </t>
        </is>
      </c>
      <c r="J2625" t="n">
        <v>2009</v>
      </c>
      <c r="K2625" t="inlineStr">
        <is>
          <t>FEBRERO 2025</t>
        </is>
      </c>
      <c r="L2625" t="inlineStr">
        <is>
          <t>FEBRERO 2026</t>
        </is>
      </c>
      <c r="M2625" t="inlineStr">
        <is>
          <t xml:space="preserve">P.Q.S.  TIPO ABC </t>
        </is>
      </c>
      <c r="N2625" t="inlineStr">
        <is>
          <t>S/N/001917</t>
        </is>
      </c>
      <c r="O2625" t="inlineStr">
        <is>
          <t>R</t>
        </is>
      </c>
      <c r="P2625">
        <f>TRIM(N2625)</f>
        <v/>
      </c>
    </row>
    <row r="2626">
      <c r="A2626" t="inlineStr">
        <is>
          <t>CO-002208</t>
        </is>
      </c>
      <c r="B2626" t="inlineStr">
        <is>
          <t>CONSUELO VILCA VILCHEZ</t>
        </is>
      </c>
      <c r="D2626" t="inlineStr">
        <is>
          <t>MERCADO ALBORADA - MALETAS PUESTO 07</t>
        </is>
      </c>
      <c r="E2626" t="inlineStr">
        <is>
          <t>Lima, 04 de Febrero de 2025</t>
        </is>
      </c>
      <c r="F2626" t="inlineStr">
        <is>
          <t>la Recarga y mantenimiento</t>
        </is>
      </c>
      <c r="G2626" t="inlineStr">
        <is>
          <t>01</t>
        </is>
      </c>
      <c r="H2626" t="inlineStr">
        <is>
          <t>04 KG</t>
        </is>
      </c>
      <c r="I2626" t="inlineStr">
        <is>
          <t>2029</t>
        </is>
      </c>
      <c r="J2626" t="n">
        <v>2023</v>
      </c>
      <c r="K2626" t="inlineStr">
        <is>
          <t>FEBRERO 2025</t>
        </is>
      </c>
      <c r="L2626" t="inlineStr">
        <is>
          <t>FEBRERO 2026</t>
        </is>
      </c>
      <c r="M2626" t="inlineStr">
        <is>
          <t xml:space="preserve">P.Q.S.  TIPO ABC </t>
        </is>
      </c>
      <c r="N2626" t="inlineStr">
        <is>
          <t>S/N/000887</t>
        </is>
      </c>
      <c r="O2626" t="inlineStr">
        <is>
          <t>R</t>
        </is>
      </c>
      <c r="P2626">
        <f>TRIM(N2626)</f>
        <v/>
      </c>
    </row>
    <row r="2627">
      <c r="A2627" t="inlineStr">
        <is>
          <t>CO-002209</t>
        </is>
      </c>
      <c r="B2627" t="inlineStr">
        <is>
          <t xml:space="preserve">NELLY SUAZO MEZA </t>
        </is>
      </c>
      <c r="D2627" t="inlineStr">
        <is>
          <t>MERCADO ALBORADA - COMIDA - PUESTO 02</t>
        </is>
      </c>
      <c r="E2627" t="inlineStr">
        <is>
          <t>Lima, 04 de Febrero de 2025</t>
        </is>
      </c>
      <c r="F2627" t="inlineStr">
        <is>
          <t>la Recarga y mantenimiento</t>
        </is>
      </c>
      <c r="G2627" t="inlineStr">
        <is>
          <t>01</t>
        </is>
      </c>
      <c r="H2627" t="inlineStr">
        <is>
          <t>04 KG</t>
        </is>
      </c>
      <c r="I2627" t="inlineStr">
        <is>
          <t>2029</t>
        </is>
      </c>
      <c r="J2627" t="n">
        <v>2023</v>
      </c>
      <c r="K2627" t="inlineStr">
        <is>
          <t>FEBRERO 2025</t>
        </is>
      </c>
      <c r="L2627" t="inlineStr">
        <is>
          <t>FEBRERO 2026</t>
        </is>
      </c>
      <c r="M2627" t="inlineStr">
        <is>
          <t xml:space="preserve">P.Q.S.  TIPO ABC </t>
        </is>
      </c>
      <c r="N2627" t="inlineStr">
        <is>
          <t>S/N/001000</t>
        </is>
      </c>
      <c r="O2627" t="inlineStr">
        <is>
          <t>R</t>
        </is>
      </c>
      <c r="P2627">
        <f>TRIM(N2627)</f>
        <v/>
      </c>
    </row>
    <row r="2628">
      <c r="A2628" t="inlineStr">
        <is>
          <t>CO-002210</t>
        </is>
      </c>
      <c r="B2628" t="inlineStr">
        <is>
          <t>MAGDALENA FLORES ACEVEDO</t>
        </is>
      </c>
      <c r="D2628" t="inlineStr">
        <is>
          <t xml:space="preserve">MERCADO ALBORADA - CARNES - PUESTO 05 </t>
        </is>
      </c>
      <c r="E2628" t="inlineStr">
        <is>
          <t>Lima, 04 de Febrero de 2025</t>
        </is>
      </c>
      <c r="F2628" t="inlineStr">
        <is>
          <t>la Recarga y mantenimiento</t>
        </is>
      </c>
      <c r="G2628" t="inlineStr">
        <is>
          <t>01</t>
        </is>
      </c>
      <c r="H2628" t="inlineStr">
        <is>
          <t>04 KG</t>
        </is>
      </c>
      <c r="I2628" t="inlineStr">
        <is>
          <t>2029</t>
        </is>
      </c>
      <c r="J2628" t="n">
        <v>2023</v>
      </c>
      <c r="K2628" t="inlineStr">
        <is>
          <t>FEBRERO 2025</t>
        </is>
      </c>
      <c r="L2628" t="inlineStr">
        <is>
          <t>FEBRERO 2026</t>
        </is>
      </c>
      <c r="M2628" t="inlineStr">
        <is>
          <t xml:space="preserve">P.Q.S.  TIPO ABC </t>
        </is>
      </c>
      <c r="N2628" t="inlineStr">
        <is>
          <t>S/N/000817</t>
        </is>
      </c>
      <c r="O2628" t="inlineStr">
        <is>
          <t>R</t>
        </is>
      </c>
      <c r="P2628">
        <f>TRIM(N2628)</f>
        <v/>
      </c>
    </row>
    <row r="2629">
      <c r="A2629" t="inlineStr">
        <is>
          <t>CO-002211</t>
        </is>
      </c>
      <c r="B2629" t="inlineStr">
        <is>
          <t>CARMEN CHOCACA VENTURA</t>
        </is>
      </c>
      <c r="D2629" t="inlineStr">
        <is>
          <t>MERCADO ALBORADA - ABARROTES - PUESTO 09</t>
        </is>
      </c>
      <c r="E2629" t="inlineStr">
        <is>
          <t>Lima, 04 de Febrero de 2025</t>
        </is>
      </c>
      <c r="F2629" t="inlineStr">
        <is>
          <t>la Recarga y mantenimiento</t>
        </is>
      </c>
      <c r="G2629" t="inlineStr">
        <is>
          <t>01</t>
        </is>
      </c>
      <c r="H2629" t="inlineStr">
        <is>
          <t>04 KG</t>
        </is>
      </c>
      <c r="I2629" t="inlineStr">
        <is>
          <t>2029</t>
        </is>
      </c>
      <c r="J2629" t="n">
        <v>2023</v>
      </c>
      <c r="K2629" t="inlineStr">
        <is>
          <t>FEBRERO 2025</t>
        </is>
      </c>
      <c r="L2629" t="inlineStr">
        <is>
          <t>FEBRERO 2026</t>
        </is>
      </c>
      <c r="M2629" t="inlineStr">
        <is>
          <t xml:space="preserve">P.Q.S.  TIPO ABC </t>
        </is>
      </c>
      <c r="N2629" t="inlineStr">
        <is>
          <t>S/N/000273</t>
        </is>
      </c>
      <c r="O2629" t="inlineStr">
        <is>
          <t>R</t>
        </is>
      </c>
      <c r="P2629">
        <f>TRIM(N2629)</f>
        <v/>
      </c>
    </row>
    <row r="2630">
      <c r="A2630" t="inlineStr">
        <is>
          <t>CO-002212</t>
        </is>
      </c>
      <c r="B2630" t="inlineStr">
        <is>
          <t>ROSA RODRIGUEZ M.</t>
        </is>
      </c>
      <c r="D2630" t="inlineStr">
        <is>
          <t>MERCADO ALBORADA - VERDURAS - PUESTO 59</t>
        </is>
      </c>
      <c r="E2630" t="inlineStr">
        <is>
          <t>Lima, 04 de Febrero de 2025</t>
        </is>
      </c>
      <c r="F2630" t="inlineStr">
        <is>
          <t>la Recarga y mantenimiento</t>
        </is>
      </c>
      <c r="G2630" t="inlineStr">
        <is>
          <t>01</t>
        </is>
      </c>
      <c r="H2630" t="inlineStr">
        <is>
          <t>04 KG</t>
        </is>
      </c>
      <c r="I2630" t="inlineStr">
        <is>
          <t>2028</t>
        </is>
      </c>
      <c r="J2630" t="n">
        <v>2023</v>
      </c>
      <c r="K2630" t="inlineStr">
        <is>
          <t>FEBRERO 2025</t>
        </is>
      </c>
      <c r="L2630" t="inlineStr">
        <is>
          <t>FEBRERO 2026</t>
        </is>
      </c>
      <c r="M2630" t="inlineStr">
        <is>
          <t xml:space="preserve">P.Q.S.  TIPO ABC </t>
        </is>
      </c>
      <c r="N2630" t="inlineStr">
        <is>
          <t>S/N/001007</t>
        </is>
      </c>
      <c r="O2630" t="inlineStr">
        <is>
          <t>R</t>
        </is>
      </c>
      <c r="P2630">
        <f>TRIM(N2630)</f>
        <v/>
      </c>
    </row>
    <row r="2631">
      <c r="A2631" t="inlineStr">
        <is>
          <t>CO-002213</t>
        </is>
      </c>
      <c r="B2631" t="inlineStr">
        <is>
          <t xml:space="preserve">JOSE CAMPOS VIDARTE </t>
        </is>
      </c>
      <c r="D2631" t="inlineStr">
        <is>
          <t xml:space="preserve">MERCADO ALBORADA </t>
        </is>
      </c>
      <c r="E2631" t="inlineStr">
        <is>
          <t>Lima, 04 de Febrero de 2025</t>
        </is>
      </c>
      <c r="F2631" t="inlineStr">
        <is>
          <t>la Recarga y mantenimiento</t>
        </is>
      </c>
      <c r="G2631" t="inlineStr">
        <is>
          <t>01</t>
        </is>
      </c>
      <c r="H2631" t="inlineStr">
        <is>
          <t>04 KG</t>
        </is>
      </c>
      <c r="I2631" t="inlineStr">
        <is>
          <t xml:space="preserve">VIGENTE </t>
        </is>
      </c>
      <c r="J2631" t="n">
        <v>2023</v>
      </c>
      <c r="K2631" t="inlineStr">
        <is>
          <t>FEBRERO 2025</t>
        </is>
      </c>
      <c r="L2631" t="inlineStr">
        <is>
          <t>FEBRERO 2026</t>
        </is>
      </c>
      <c r="M2631" t="inlineStr">
        <is>
          <t xml:space="preserve">P.Q.S.  TIPO ABC </t>
        </is>
      </c>
      <c r="N2631" t="inlineStr">
        <is>
          <t>10/000693</t>
        </is>
      </c>
      <c r="O2631" t="inlineStr">
        <is>
          <t>R</t>
        </is>
      </c>
      <c r="P2631">
        <f>TRIM(N2631)</f>
        <v/>
      </c>
    </row>
    <row r="2632">
      <c r="A2632" t="inlineStr">
        <is>
          <t>CO-002214</t>
        </is>
      </c>
      <c r="B2632" t="inlineStr">
        <is>
          <t>TEODOCIA FIAFILIO BION DE ROJAS</t>
        </is>
      </c>
      <c r="D2632" t="inlineStr">
        <is>
          <t>MERCADO ALBORADA - FRUTAS - PUESTO 39</t>
        </is>
      </c>
      <c r="E2632" t="inlineStr">
        <is>
          <t>Lima, 04 de Febrero de 2025</t>
        </is>
      </c>
      <c r="F2632" t="inlineStr">
        <is>
          <t>la Recarga y mantenimiento</t>
        </is>
      </c>
      <c r="G2632" t="inlineStr">
        <is>
          <t>01</t>
        </is>
      </c>
      <c r="H2632" t="inlineStr">
        <is>
          <t>04 KG</t>
        </is>
      </c>
      <c r="I2632" t="inlineStr">
        <is>
          <t>2028</t>
        </is>
      </c>
      <c r="J2632" t="n">
        <v>2023</v>
      </c>
      <c r="K2632" t="inlineStr">
        <is>
          <t>FEBRERO 2025</t>
        </is>
      </c>
      <c r="L2632" t="inlineStr">
        <is>
          <t>FEBRERO 2026</t>
        </is>
      </c>
      <c r="M2632" t="inlineStr">
        <is>
          <t xml:space="preserve">P.Q.S.  TIPO ABC </t>
        </is>
      </c>
      <c r="N2632" t="inlineStr">
        <is>
          <t>10/000850</t>
        </is>
      </c>
      <c r="O2632" t="inlineStr">
        <is>
          <t>R</t>
        </is>
      </c>
      <c r="P2632">
        <f>TRIM(N2632)</f>
        <v/>
      </c>
    </row>
    <row r="2633">
      <c r="A2633" t="inlineStr">
        <is>
          <t>CO-002215</t>
        </is>
      </c>
      <c r="B2633" t="inlineStr">
        <is>
          <t xml:space="preserve">CARMEN HEREDIA </t>
        </is>
      </c>
      <c r="D2633" t="inlineStr">
        <is>
          <t>MERCADO ALBORADA - CARNES - PUESTO 04</t>
        </is>
      </c>
      <c r="E2633" t="inlineStr">
        <is>
          <t>Lima, 04 de Febrero de 2025</t>
        </is>
      </c>
      <c r="F2633" t="inlineStr">
        <is>
          <t>la Recarga y mantenimiento</t>
        </is>
      </c>
      <c r="G2633" t="inlineStr">
        <is>
          <t>01</t>
        </is>
      </c>
      <c r="H2633" t="inlineStr">
        <is>
          <t>04 KG</t>
        </is>
      </c>
      <c r="I2633" t="inlineStr">
        <is>
          <t>2028</t>
        </is>
      </c>
      <c r="J2633" t="n">
        <v>2023</v>
      </c>
      <c r="K2633" t="inlineStr">
        <is>
          <t>FEBRERO 2025</t>
        </is>
      </c>
      <c r="L2633" t="inlineStr">
        <is>
          <t>FEBRERO 2026</t>
        </is>
      </c>
      <c r="M2633" t="inlineStr">
        <is>
          <t xml:space="preserve">P.Q.S.  TIPO ABC </t>
        </is>
      </c>
      <c r="N2633" t="inlineStr">
        <is>
          <t>10/000085</t>
        </is>
      </c>
      <c r="O2633" t="inlineStr">
        <is>
          <t>R</t>
        </is>
      </c>
      <c r="P2633">
        <f>TRIM(N2633)</f>
        <v/>
      </c>
    </row>
    <row r="2634">
      <c r="A2634" t="inlineStr">
        <is>
          <t>CO-002216</t>
        </is>
      </c>
      <c r="B2634" t="inlineStr">
        <is>
          <t xml:space="preserve">CARLOS CAMACHO </t>
        </is>
      </c>
      <c r="D2634" t="inlineStr">
        <is>
          <t>MERCADO ALBORADA -  PUESTO 45</t>
        </is>
      </c>
      <c r="E2634" t="inlineStr">
        <is>
          <t>Lima, 04 de Febrero de 2025</t>
        </is>
      </c>
      <c r="F2634" t="inlineStr">
        <is>
          <t>la Recarga y mantenimiento</t>
        </is>
      </c>
      <c r="G2634" t="inlineStr">
        <is>
          <t>01</t>
        </is>
      </c>
      <c r="H2634" t="inlineStr">
        <is>
          <t>04 KG</t>
        </is>
      </c>
      <c r="I2634" t="inlineStr">
        <is>
          <t xml:space="preserve">VIGENTE </t>
        </is>
      </c>
      <c r="J2634" t="n">
        <v>2013</v>
      </c>
      <c r="K2634" t="inlineStr">
        <is>
          <t>FEBRERO 2025</t>
        </is>
      </c>
      <c r="L2634" t="inlineStr">
        <is>
          <t>FEBRERO 2026</t>
        </is>
      </c>
      <c r="M2634" t="inlineStr">
        <is>
          <t xml:space="preserve">P.Q.S.  TIPO ABC </t>
        </is>
      </c>
      <c r="N2634" t="inlineStr">
        <is>
          <t>10/000653</t>
        </is>
      </c>
      <c r="O2634" t="inlineStr">
        <is>
          <t>R</t>
        </is>
      </c>
      <c r="P2634">
        <f>TRIM(N2634)</f>
        <v/>
      </c>
    </row>
    <row r="2635">
      <c r="A2635" t="inlineStr">
        <is>
          <t>CO-002217</t>
        </is>
      </c>
      <c r="B2635" t="inlineStr">
        <is>
          <t>AMERICA MONTALVO SOSA</t>
        </is>
      </c>
      <c r="D2635" t="inlineStr">
        <is>
          <t>MERCADO ALBORADA - COMIDA - PUESTO 03</t>
        </is>
      </c>
      <c r="E2635" t="inlineStr">
        <is>
          <t>Lima, 04 de Febrero de 2025</t>
        </is>
      </c>
      <c r="F2635" t="inlineStr">
        <is>
          <t>la Recarga y mantenimiento</t>
        </is>
      </c>
      <c r="G2635" t="inlineStr">
        <is>
          <t>01</t>
        </is>
      </c>
      <c r="H2635" t="inlineStr">
        <is>
          <t>06 LTS</t>
        </is>
      </c>
      <c r="I2635" t="inlineStr">
        <is>
          <t xml:space="preserve">VIGENTE </t>
        </is>
      </c>
      <c r="J2635" t="n">
        <v>2013</v>
      </c>
      <c r="K2635" t="inlineStr">
        <is>
          <t>FEBRERO 2025</t>
        </is>
      </c>
      <c r="L2635" t="inlineStr">
        <is>
          <t>FEBRERO 2026</t>
        </is>
      </c>
      <c r="M2635" t="inlineStr">
        <is>
          <t>ACETATO DE POTACIO TIPO K</t>
        </is>
      </c>
      <c r="N2635" t="inlineStr">
        <is>
          <t>10/000318</t>
        </is>
      </c>
      <c r="O2635" t="inlineStr">
        <is>
          <t>R</t>
        </is>
      </c>
      <c r="P2635">
        <f>TRIM(N2635)</f>
        <v/>
      </c>
    </row>
    <row r="2636">
      <c r="A2636" t="inlineStr">
        <is>
          <t>CO-002218</t>
        </is>
      </c>
      <c r="B2636" t="inlineStr">
        <is>
          <t>ASOCIACION DE PROPIETARIOS DEL MERCADO MODELO LA ALBORADA</t>
        </is>
      </c>
      <c r="C2636" t="inlineStr">
        <is>
          <t>20492406512</t>
        </is>
      </c>
      <c r="D2636" t="inlineStr">
        <is>
          <t>ASOCIACION DE PROPIETARIOS DEL MERCADO MODELO LA ALBORADA</t>
        </is>
      </c>
      <c r="E2636" t="inlineStr">
        <is>
          <t>Lima, 04 de Febrero de 2025</t>
        </is>
      </c>
      <c r="F2636" t="inlineStr">
        <is>
          <t>la Recarga y mantenimiento</t>
        </is>
      </c>
      <c r="G2636" t="inlineStr">
        <is>
          <t>01</t>
        </is>
      </c>
      <c r="H2636" t="inlineStr">
        <is>
          <t>04 KG</t>
        </is>
      </c>
      <c r="I2636" t="inlineStr">
        <is>
          <t xml:space="preserve">VIGENTE </t>
        </is>
      </c>
      <c r="J2636" t="n">
        <v>2023</v>
      </c>
      <c r="K2636" t="inlineStr">
        <is>
          <t>FEBRERO 2025</t>
        </is>
      </c>
      <c r="L2636" t="inlineStr">
        <is>
          <t>FEBRERO 2026</t>
        </is>
      </c>
      <c r="M2636" t="inlineStr">
        <is>
          <t xml:space="preserve">P.Q.S.  TIPO ABC </t>
        </is>
      </c>
      <c r="N2636" t="inlineStr">
        <is>
          <t>09/000565</t>
        </is>
      </c>
      <c r="O2636" t="inlineStr">
        <is>
          <t>R</t>
        </is>
      </c>
      <c r="P2636">
        <f>TRIM(N2636)</f>
        <v/>
      </c>
    </row>
    <row r="2637">
      <c r="A2637" t="inlineStr">
        <is>
          <t>CO-002219</t>
        </is>
      </c>
      <c r="B2637" t="inlineStr">
        <is>
          <t>ASOCIACION DE PROPIETARIOS DEL MERCADO MODELO LA ALBORADA</t>
        </is>
      </c>
      <c r="C2637" t="inlineStr">
        <is>
          <t>20492406512</t>
        </is>
      </c>
      <c r="D2637" t="inlineStr">
        <is>
          <t>ASOCIACION DE PROPIETARIOS DEL MERCADO MODELO LA ALBORADA</t>
        </is>
      </c>
      <c r="E2637" t="inlineStr">
        <is>
          <t>Lima, 04 de Febrero de 2025</t>
        </is>
      </c>
      <c r="F2637" t="inlineStr">
        <is>
          <t>la Recarga y mantenimiento</t>
        </is>
      </c>
      <c r="G2637" t="inlineStr">
        <is>
          <t>01</t>
        </is>
      </c>
      <c r="H2637" t="inlineStr">
        <is>
          <t>04 KG</t>
        </is>
      </c>
      <c r="I2637" t="inlineStr">
        <is>
          <t xml:space="preserve">VIGENTE </t>
        </is>
      </c>
      <c r="J2637" t="n">
        <v>2023</v>
      </c>
      <c r="K2637" t="inlineStr">
        <is>
          <t>FEBRERO 2025</t>
        </is>
      </c>
      <c r="L2637" t="inlineStr">
        <is>
          <t>FEBRERO 2026</t>
        </is>
      </c>
      <c r="M2637" t="inlineStr">
        <is>
          <t xml:space="preserve">P.Q.S.  TIPO ABC </t>
        </is>
      </c>
      <c r="N2637" t="inlineStr">
        <is>
          <t>10/000592</t>
        </is>
      </c>
      <c r="O2637" t="inlineStr">
        <is>
          <t>R</t>
        </is>
      </c>
      <c r="P2637">
        <f>TRIM(N2637)</f>
        <v/>
      </c>
    </row>
    <row r="2638">
      <c r="A2638" t="inlineStr">
        <is>
          <t>CO-002220</t>
        </is>
      </c>
      <c r="B2638" t="inlineStr">
        <is>
          <t xml:space="preserve">TEOLINDO OSORIO </t>
        </is>
      </c>
      <c r="D2638" t="inlineStr">
        <is>
          <t>MERCADO ALBORADA - VERDURAS - PUESTO 51</t>
        </is>
      </c>
      <c r="E2638" t="inlineStr">
        <is>
          <t>Lima, 04 de Febrero de 2025</t>
        </is>
      </c>
      <c r="F2638" t="inlineStr">
        <is>
          <t>la Recarga y mantenimiento</t>
        </is>
      </c>
      <c r="G2638" t="inlineStr">
        <is>
          <t>01</t>
        </is>
      </c>
      <c r="H2638" t="inlineStr">
        <is>
          <t>04 KG</t>
        </is>
      </c>
      <c r="I2638" t="inlineStr">
        <is>
          <t>2029</t>
        </is>
      </c>
      <c r="J2638" t="n">
        <v>2024</v>
      </c>
      <c r="K2638" t="inlineStr">
        <is>
          <t>FEBRERO 2025</t>
        </is>
      </c>
      <c r="L2638" t="inlineStr">
        <is>
          <t>FEBRERO 2026</t>
        </is>
      </c>
      <c r="M2638" t="inlineStr">
        <is>
          <t xml:space="preserve">P.Q.S.  TIPO ABC </t>
        </is>
      </c>
      <c r="N2638" t="inlineStr">
        <is>
          <t>S/N/000320</t>
        </is>
      </c>
      <c r="O2638" t="inlineStr">
        <is>
          <t>R</t>
        </is>
      </c>
      <c r="P2638">
        <f>TRIM(N2638)</f>
        <v/>
      </c>
    </row>
    <row r="2639">
      <c r="A2639" t="inlineStr">
        <is>
          <t>CO-002221</t>
        </is>
      </c>
      <c r="B2639" t="inlineStr">
        <is>
          <t xml:space="preserve">CELINA TOCOS </t>
        </is>
      </c>
      <c r="D2639" t="inlineStr">
        <is>
          <t>MERCADO ALBORADA - ABARROTES - PUESTO 10</t>
        </is>
      </c>
      <c r="E2639" t="inlineStr">
        <is>
          <t>Lima, 04 de Febrero de 2025</t>
        </is>
      </c>
      <c r="F2639" t="inlineStr">
        <is>
          <t>la Recarga y mantenimiento</t>
        </is>
      </c>
      <c r="G2639" t="inlineStr">
        <is>
          <t>01</t>
        </is>
      </c>
      <c r="H2639" t="inlineStr">
        <is>
          <t>04 KG</t>
        </is>
      </c>
      <c r="I2639" t="inlineStr">
        <is>
          <t>2029</t>
        </is>
      </c>
      <c r="J2639" t="n">
        <v>2024</v>
      </c>
      <c r="K2639" t="inlineStr">
        <is>
          <t>FEBRERO 2025</t>
        </is>
      </c>
      <c r="L2639" t="inlineStr">
        <is>
          <t>FEBRERO 2026</t>
        </is>
      </c>
      <c r="M2639" t="inlineStr">
        <is>
          <t xml:space="preserve">P.Q.S.  TIPO ABC </t>
        </is>
      </c>
      <c r="N2639" t="inlineStr">
        <is>
          <t>S/N/000245</t>
        </is>
      </c>
      <c r="O2639" t="inlineStr">
        <is>
          <t>R</t>
        </is>
      </c>
      <c r="P2639">
        <f>TRIM(N2639)</f>
        <v/>
      </c>
    </row>
    <row r="2640">
      <c r="A2640" t="inlineStr">
        <is>
          <t>CO-002222</t>
        </is>
      </c>
      <c r="B2640" t="inlineStr">
        <is>
          <t xml:space="preserve">MARUJA TINCO </t>
        </is>
      </c>
      <c r="D2640" t="inlineStr">
        <is>
          <t xml:space="preserve">MERCADO ALBORADA - ABARROTES - PUESTO 41 </t>
        </is>
      </c>
      <c r="E2640" t="inlineStr">
        <is>
          <t>Lima, 04 de Febrero de 2025</t>
        </is>
      </c>
      <c r="F2640" t="inlineStr">
        <is>
          <t>la Recarga y mantenimiento</t>
        </is>
      </c>
      <c r="G2640" t="inlineStr">
        <is>
          <t>01</t>
        </is>
      </c>
      <c r="H2640" t="inlineStr">
        <is>
          <t>04 KG</t>
        </is>
      </c>
      <c r="I2640" t="inlineStr">
        <is>
          <t>2029</t>
        </is>
      </c>
      <c r="J2640" t="n">
        <v>2024</v>
      </c>
      <c r="K2640" t="inlineStr">
        <is>
          <t>FEBRERO 2025</t>
        </is>
      </c>
      <c r="L2640" t="inlineStr">
        <is>
          <t>FEBRERO 2026</t>
        </is>
      </c>
      <c r="M2640" t="inlineStr">
        <is>
          <t xml:space="preserve">P.Q.S.  TIPO ABC </t>
        </is>
      </c>
      <c r="N2640" t="inlineStr">
        <is>
          <t>S/N/000276</t>
        </is>
      </c>
      <c r="O2640" t="inlineStr">
        <is>
          <t>R</t>
        </is>
      </c>
      <c r="P2640">
        <f>TRIM(N2640)</f>
        <v/>
      </c>
    </row>
    <row r="2641">
      <c r="A2641" t="inlineStr">
        <is>
          <t>CO-002223</t>
        </is>
      </c>
      <c r="B2641" t="inlineStr">
        <is>
          <t xml:space="preserve">JEAN PIERE LOPEZ </t>
        </is>
      </c>
      <c r="D2641" t="inlineStr">
        <is>
          <t>MERCADO ALBORADA - BAZAR - PSTO 07</t>
        </is>
      </c>
      <c r="E2641" t="inlineStr">
        <is>
          <t>Lima, 11 de Febrero de 2025</t>
        </is>
      </c>
      <c r="F2641" t="inlineStr">
        <is>
          <t>la Recarga y mantenimiento</t>
        </is>
      </c>
      <c r="G2641" t="inlineStr">
        <is>
          <t>01</t>
        </is>
      </c>
      <c r="H2641" t="inlineStr">
        <is>
          <t>04 KG</t>
        </is>
      </c>
      <c r="I2641" t="inlineStr">
        <is>
          <t>2030</t>
        </is>
      </c>
      <c r="J2641" t="n">
        <v>2025</v>
      </c>
      <c r="K2641" t="inlineStr">
        <is>
          <t>FEBRERO 2025</t>
        </is>
      </c>
      <c r="L2641" t="inlineStr">
        <is>
          <t>FEBRERO 2026</t>
        </is>
      </c>
      <c r="M2641" t="inlineStr">
        <is>
          <t xml:space="preserve">P.Q.S.  TIPO ABC </t>
        </is>
      </c>
      <c r="N2641" t="inlineStr">
        <is>
          <t>01/000423</t>
        </is>
      </c>
      <c r="O2641" t="inlineStr">
        <is>
          <t>V</t>
        </is>
      </c>
      <c r="P2641">
        <f>TRIM(N2641)</f>
        <v/>
      </c>
    </row>
    <row r="2642">
      <c r="A2642" t="inlineStr">
        <is>
          <t>CO-002224</t>
        </is>
      </c>
      <c r="B2642" t="inlineStr">
        <is>
          <t xml:space="preserve">MARTHA RAMIREZ </t>
        </is>
      </c>
      <c r="D2642" t="inlineStr">
        <is>
          <t>MERCADO ALBORADA - ABARROTES - PSTO 08</t>
        </is>
      </c>
      <c r="E2642" t="inlineStr">
        <is>
          <t>Lima, 11 de Febrero de 2025</t>
        </is>
      </c>
      <c r="F2642" t="inlineStr">
        <is>
          <t>la Recarga y mantenimiento</t>
        </is>
      </c>
      <c r="G2642" t="inlineStr">
        <is>
          <t>01</t>
        </is>
      </c>
      <c r="H2642" t="inlineStr">
        <is>
          <t>04 KG</t>
        </is>
      </c>
      <c r="I2642" t="inlineStr">
        <is>
          <t>2030</t>
        </is>
      </c>
      <c r="J2642" t="n">
        <v>2025</v>
      </c>
      <c r="K2642" t="inlineStr">
        <is>
          <t>FEBRERO 2025</t>
        </is>
      </c>
      <c r="L2642" t="inlineStr">
        <is>
          <t>FEBRERO 2026</t>
        </is>
      </c>
      <c r="M2642" t="inlineStr">
        <is>
          <t xml:space="preserve">P.Q.S.  TIPO ABC </t>
        </is>
      </c>
      <c r="N2642" t="inlineStr">
        <is>
          <t>01/000390</t>
        </is>
      </c>
      <c r="O2642" t="inlineStr">
        <is>
          <t>V</t>
        </is>
      </c>
      <c r="P2642">
        <f>TRIM(N2642)</f>
        <v/>
      </c>
    </row>
    <row r="2643">
      <c r="A2643" t="inlineStr">
        <is>
          <t>CO-002225</t>
        </is>
      </c>
      <c r="B2643" t="inlineStr">
        <is>
          <t xml:space="preserve">JENIFER CUELLAR </t>
        </is>
      </c>
      <c r="D2643" t="inlineStr">
        <is>
          <t>MERCADO ALBORADA - ABARROTES - PSTO 08</t>
        </is>
      </c>
      <c r="E2643" t="inlineStr">
        <is>
          <t>Lima, 11 de Febrero de 2025</t>
        </is>
      </c>
      <c r="F2643" t="inlineStr">
        <is>
          <t>la Recarga y mantenimiento</t>
        </is>
      </c>
      <c r="G2643" t="inlineStr">
        <is>
          <t>01</t>
        </is>
      </c>
      <c r="H2643" t="inlineStr">
        <is>
          <t>04 KG</t>
        </is>
      </c>
      <c r="I2643" t="inlineStr">
        <is>
          <t>2030</t>
        </is>
      </c>
      <c r="J2643" t="n">
        <v>2025</v>
      </c>
      <c r="K2643" t="inlineStr">
        <is>
          <t>FEBRERO 2025</t>
        </is>
      </c>
      <c r="L2643" t="inlineStr">
        <is>
          <t>FEBRERO 2026</t>
        </is>
      </c>
      <c r="M2643" t="inlineStr">
        <is>
          <t xml:space="preserve">P.Q.S.  TIPO ABC </t>
        </is>
      </c>
      <c r="N2643" t="inlineStr">
        <is>
          <t>01/000177</t>
        </is>
      </c>
      <c r="O2643" t="inlineStr">
        <is>
          <t>V</t>
        </is>
      </c>
      <c r="P2643">
        <f>TRIM(N2643)</f>
        <v/>
      </c>
    </row>
    <row r="2644">
      <c r="A2644" t="inlineStr">
        <is>
          <t>CO-002226</t>
        </is>
      </c>
      <c r="B2644" t="inlineStr">
        <is>
          <t xml:space="preserve">DIANA SALINAS </t>
        </is>
      </c>
      <c r="D2644" t="inlineStr">
        <is>
          <t>MERCADO ALBORADA - ROPA ECHA - PSTO 33</t>
        </is>
      </c>
      <c r="E2644" t="inlineStr">
        <is>
          <t>Lima, 11 de Febrero de 2025</t>
        </is>
      </c>
      <c r="F2644" t="inlineStr">
        <is>
          <t>la Recarga y mantenimiento</t>
        </is>
      </c>
      <c r="G2644" t="inlineStr">
        <is>
          <t>01</t>
        </is>
      </c>
      <c r="H2644" t="inlineStr">
        <is>
          <t>04 KG</t>
        </is>
      </c>
      <c r="I2644" t="inlineStr">
        <is>
          <t>2030</t>
        </is>
      </c>
      <c r="J2644" t="n">
        <v>2025</v>
      </c>
      <c r="K2644" t="inlineStr">
        <is>
          <t>FEBRERO 2025</t>
        </is>
      </c>
      <c r="L2644" t="inlineStr">
        <is>
          <t>FEBRERO 2026</t>
        </is>
      </c>
      <c r="M2644" t="inlineStr">
        <is>
          <t xml:space="preserve">P.Q.S.  TIPO ABC </t>
        </is>
      </c>
      <c r="N2644" t="inlineStr">
        <is>
          <t>01/000350</t>
        </is>
      </c>
      <c r="O2644" t="inlineStr">
        <is>
          <t>V</t>
        </is>
      </c>
      <c r="P2644">
        <f>TRIM(N2644)</f>
        <v/>
      </c>
    </row>
    <row r="2645">
      <c r="A2645" t="inlineStr">
        <is>
          <t>CO-002227</t>
        </is>
      </c>
      <c r="B2645" t="inlineStr">
        <is>
          <t xml:space="preserve">CARLOS QUISPE </t>
        </is>
      </c>
      <c r="D2645" t="inlineStr">
        <is>
          <t>MERCADO ALBORADA - LOCERIA - PSTO 07</t>
        </is>
      </c>
      <c r="E2645" t="inlineStr">
        <is>
          <t>Lima, 11 de Febrero de 2025</t>
        </is>
      </c>
      <c r="F2645" t="inlineStr">
        <is>
          <t>la Recarga y mantenimiento</t>
        </is>
      </c>
      <c r="G2645" t="inlineStr">
        <is>
          <t>01</t>
        </is>
      </c>
      <c r="H2645" t="inlineStr">
        <is>
          <t>04 KG</t>
        </is>
      </c>
      <c r="I2645" t="inlineStr">
        <is>
          <t>2030</t>
        </is>
      </c>
      <c r="J2645" t="n">
        <v>2025</v>
      </c>
      <c r="K2645" t="inlineStr">
        <is>
          <t>FEBRERO 2025</t>
        </is>
      </c>
      <c r="L2645" t="inlineStr">
        <is>
          <t>FEBRERO 2026</t>
        </is>
      </c>
      <c r="M2645" t="inlineStr">
        <is>
          <t xml:space="preserve">P.Q.S.  TIPO ABC </t>
        </is>
      </c>
      <c r="N2645" t="inlineStr">
        <is>
          <t>01/000272</t>
        </is>
      </c>
      <c r="O2645" t="inlineStr">
        <is>
          <t>V</t>
        </is>
      </c>
      <c r="P2645">
        <f>TRIM(N2645)</f>
        <v/>
      </c>
    </row>
    <row r="2646">
      <c r="A2646" t="inlineStr">
        <is>
          <t>CO-002228</t>
        </is>
      </c>
      <c r="B2646" t="inlineStr">
        <is>
          <t xml:space="preserve">CESAR AYALA RIVERA </t>
        </is>
      </c>
      <c r="D2646" t="inlineStr">
        <is>
          <t>MERCADO ALBORADA - JOYERIA - PSTO 24</t>
        </is>
      </c>
      <c r="E2646" t="inlineStr">
        <is>
          <t>Lima, 11 de Febrero de 2025</t>
        </is>
      </c>
      <c r="F2646" t="inlineStr">
        <is>
          <t>la Recarga y mantenimiento</t>
        </is>
      </c>
      <c r="G2646" t="inlineStr">
        <is>
          <t>01</t>
        </is>
      </c>
      <c r="H2646" t="inlineStr">
        <is>
          <t>04 KG</t>
        </is>
      </c>
      <c r="I2646" t="inlineStr">
        <is>
          <t>2030</t>
        </is>
      </c>
      <c r="J2646" t="n">
        <v>2025</v>
      </c>
      <c r="K2646" t="inlineStr">
        <is>
          <t>FEBRERO 2025</t>
        </is>
      </c>
      <c r="L2646" t="inlineStr">
        <is>
          <t>FEBRERO 2026</t>
        </is>
      </c>
      <c r="M2646" t="inlineStr">
        <is>
          <t xml:space="preserve">P.Q.S.  TIPO ABC </t>
        </is>
      </c>
      <c r="N2646" t="inlineStr">
        <is>
          <t>01/000266</t>
        </is>
      </c>
      <c r="O2646" t="inlineStr">
        <is>
          <t>V</t>
        </is>
      </c>
      <c r="P2646">
        <f>TRIM(N2646)</f>
        <v/>
      </c>
    </row>
    <row r="2647">
      <c r="A2647" t="inlineStr">
        <is>
          <t>CO-002229</t>
        </is>
      </c>
      <c r="B2647" t="inlineStr">
        <is>
          <t xml:space="preserve">IRMA RIOS </t>
        </is>
      </c>
      <c r="D2647" t="inlineStr">
        <is>
          <t>MERCADO ALBORADA - ROPA NUEVA - PSTO 36</t>
        </is>
      </c>
      <c r="E2647" t="inlineStr">
        <is>
          <t>Lima, 11 de Febrero de 2025</t>
        </is>
      </c>
      <c r="F2647" t="inlineStr">
        <is>
          <t>la Recarga y mantenimiento</t>
        </is>
      </c>
      <c r="G2647" t="inlineStr">
        <is>
          <t>01</t>
        </is>
      </c>
      <c r="H2647" t="inlineStr">
        <is>
          <t>04 KG</t>
        </is>
      </c>
      <c r="I2647" t="inlineStr">
        <is>
          <t>2030</t>
        </is>
      </c>
      <c r="J2647" t="n">
        <v>2025</v>
      </c>
      <c r="K2647" t="inlineStr">
        <is>
          <t>FEBRERO 2025</t>
        </is>
      </c>
      <c r="L2647" t="inlineStr">
        <is>
          <t>FEBRERO 2026</t>
        </is>
      </c>
      <c r="M2647" t="inlineStr">
        <is>
          <t xml:space="preserve">P.Q.S.  TIPO ABC </t>
        </is>
      </c>
      <c r="N2647" t="inlineStr">
        <is>
          <t>01/000342</t>
        </is>
      </c>
      <c r="O2647" t="inlineStr">
        <is>
          <t>V</t>
        </is>
      </c>
      <c r="P2647">
        <f>TRIM(N2647)</f>
        <v/>
      </c>
    </row>
    <row r="2648">
      <c r="A2648" t="inlineStr">
        <is>
          <t>CO-002231</t>
        </is>
      </c>
      <c r="B2648" t="inlineStr">
        <is>
          <t xml:space="preserve">DORIS MAZA </t>
        </is>
      </c>
      <c r="D2648" t="inlineStr">
        <is>
          <t>MERCADO AÑO NUEVO - PUESTO 117</t>
        </is>
      </c>
      <c r="E2648" t="inlineStr">
        <is>
          <t>Lima, 05 de Febrero de 2025</t>
        </is>
      </c>
      <c r="F2648" t="inlineStr">
        <is>
          <t>la Recarga y mantenimiento</t>
        </is>
      </c>
      <c r="G2648" t="inlineStr">
        <is>
          <t>01</t>
        </is>
      </c>
      <c r="H2648" t="inlineStr">
        <is>
          <t>06 KG</t>
        </is>
      </c>
      <c r="I2648" t="inlineStr">
        <is>
          <t xml:space="preserve">VIGENTE </t>
        </is>
      </c>
      <c r="J2648" t="n">
        <v>2019</v>
      </c>
      <c r="K2648" t="inlineStr">
        <is>
          <t>FEBRERO 2025</t>
        </is>
      </c>
      <c r="L2648" t="inlineStr">
        <is>
          <t>FEBRERO 2026</t>
        </is>
      </c>
      <c r="M2648" t="inlineStr">
        <is>
          <t xml:space="preserve">P.Q.S.  TIPO ABC </t>
        </is>
      </c>
      <c r="N2648" t="inlineStr">
        <is>
          <t>01/003266</t>
        </is>
      </c>
      <c r="O2648" t="inlineStr">
        <is>
          <t>R</t>
        </is>
      </c>
      <c r="P2648">
        <f>TRIM(N2648)</f>
        <v/>
      </c>
    </row>
    <row r="2649">
      <c r="A2649" t="inlineStr">
        <is>
          <t>CO-002232</t>
        </is>
      </c>
      <c r="B2649" t="inlineStr">
        <is>
          <t>MEDIK &amp; FARMACEUTICA AZUL S.A.C</t>
        </is>
      </c>
      <c r="C2649" t="inlineStr">
        <is>
          <t xml:space="preserve"> 20601476747</t>
        </is>
      </c>
      <c r="D2649" t="inlineStr">
        <is>
          <t xml:space="preserve">AV. TUPAC AMARU NRO. 7947, COMAS </t>
        </is>
      </c>
      <c r="E2649" t="inlineStr">
        <is>
          <t>Lima, 05 de Febrero de 2025</t>
        </is>
      </c>
      <c r="F2649" t="inlineStr">
        <is>
          <t>la Recarga y mantenimiento</t>
        </is>
      </c>
      <c r="G2649" t="inlineStr">
        <is>
          <t>01</t>
        </is>
      </c>
      <c r="H2649" t="inlineStr">
        <is>
          <t>06 KG</t>
        </is>
      </c>
      <c r="I2649" t="inlineStr">
        <is>
          <t>2030</t>
        </is>
      </c>
      <c r="J2649" t="n">
        <v>2016</v>
      </c>
      <c r="K2649" t="inlineStr">
        <is>
          <t>FEBRERO 2025</t>
        </is>
      </c>
      <c r="L2649" t="inlineStr">
        <is>
          <t>FEBRERO 2026</t>
        </is>
      </c>
      <c r="M2649" t="inlineStr">
        <is>
          <t xml:space="preserve">P.Q.S.  TIPO ABC </t>
        </is>
      </c>
      <c r="N2649" t="inlineStr">
        <is>
          <t>01/021378</t>
        </is>
      </c>
      <c r="O2649" t="inlineStr">
        <is>
          <t>R</t>
        </is>
      </c>
      <c r="P2649">
        <f>TRIM(N2649)</f>
        <v/>
      </c>
    </row>
    <row r="2650">
      <c r="A2650" t="inlineStr">
        <is>
          <t>CO-002232</t>
        </is>
      </c>
      <c r="B2650" t="inlineStr">
        <is>
          <t>MEDIK &amp; FARMACEUTICA AZUL S.A.C</t>
        </is>
      </c>
      <c r="C2650" t="inlineStr">
        <is>
          <t xml:space="preserve"> 20601476747</t>
        </is>
      </c>
      <c r="D2650" t="inlineStr">
        <is>
          <t xml:space="preserve">AV. TUPAC AMARU NRO. 7947, COMAS </t>
        </is>
      </c>
      <c r="E2650" t="inlineStr">
        <is>
          <t>Lima, 05 de Febrero de 2025</t>
        </is>
      </c>
      <c r="F2650" t="inlineStr">
        <is>
          <t>la Recarga y mantenimiento</t>
        </is>
      </c>
      <c r="G2650" t="inlineStr">
        <is>
          <t>02</t>
        </is>
      </c>
      <c r="H2650" t="inlineStr">
        <is>
          <t>06 KG</t>
        </is>
      </c>
      <c r="I2650" t="inlineStr">
        <is>
          <t>2030</t>
        </is>
      </c>
      <c r="J2650" t="n">
        <v>2013</v>
      </c>
      <c r="K2650" t="inlineStr">
        <is>
          <t>FEBRERO 2025</t>
        </is>
      </c>
      <c r="L2650" t="inlineStr">
        <is>
          <t>FEBRERO 2026</t>
        </is>
      </c>
      <c r="M2650" t="inlineStr">
        <is>
          <t xml:space="preserve">P.Q.S.  TIPO ABC </t>
        </is>
      </c>
      <c r="N2650" t="inlineStr">
        <is>
          <t>02/000028</t>
        </is>
      </c>
      <c r="O2650" t="inlineStr">
        <is>
          <t>R</t>
        </is>
      </c>
      <c r="P2650">
        <f>TRIM(N2650)</f>
        <v/>
      </c>
    </row>
    <row r="2651">
      <c r="A2651" t="inlineStr">
        <is>
          <t>CO-002233</t>
        </is>
      </c>
      <c r="B2651" t="inlineStr">
        <is>
          <t xml:space="preserve">LEONARDO ESPINOZA </t>
        </is>
      </c>
      <c r="D2651" t="inlineStr">
        <is>
          <t>MERCADO ALBORADA - LOCERIA - PSTO 08</t>
        </is>
      </c>
      <c r="E2651" t="inlineStr">
        <is>
          <t>Lima, 05 de Febrero de 2025</t>
        </is>
      </c>
      <c r="F2651" t="inlineStr">
        <is>
          <t>la Recarga y mantenimiento</t>
        </is>
      </c>
      <c r="G2651" t="inlineStr">
        <is>
          <t>01</t>
        </is>
      </c>
      <c r="H2651" t="inlineStr">
        <is>
          <t xml:space="preserve">04 KG </t>
        </is>
      </c>
      <c r="I2651" t="inlineStr">
        <is>
          <t>2028</t>
        </is>
      </c>
      <c r="J2651" t="n">
        <v>2023</v>
      </c>
      <c r="K2651" t="inlineStr">
        <is>
          <t>FEBRERO 2025</t>
        </is>
      </c>
      <c r="L2651" t="inlineStr">
        <is>
          <t>FEBRERO 2026</t>
        </is>
      </c>
      <c r="M2651" t="inlineStr">
        <is>
          <t xml:space="preserve">P.Q.S.  TIPO ABC </t>
        </is>
      </c>
      <c r="N2651" t="inlineStr">
        <is>
          <t>01/000893</t>
        </is>
      </c>
      <c r="O2651" t="inlineStr">
        <is>
          <t>R</t>
        </is>
      </c>
      <c r="P2651">
        <f>TRIM(N2651)</f>
        <v/>
      </c>
    </row>
    <row r="2652">
      <c r="A2652" t="inlineStr">
        <is>
          <t>CO-002234</t>
        </is>
      </c>
      <c r="B2652" t="inlineStr">
        <is>
          <t xml:space="preserve">MARUJA TINCO </t>
        </is>
      </c>
      <c r="D2652" t="inlineStr">
        <is>
          <t>MERCADO ALBORADA - ZAPATOS - PSTO 42</t>
        </is>
      </c>
      <c r="E2652" t="inlineStr">
        <is>
          <t>Lima, 05 de Febrero de 2025</t>
        </is>
      </c>
      <c r="F2652" t="inlineStr">
        <is>
          <t>la Recarga y mantenimiento</t>
        </is>
      </c>
      <c r="G2652" t="inlineStr">
        <is>
          <t>01</t>
        </is>
      </c>
      <c r="H2652" t="inlineStr">
        <is>
          <t xml:space="preserve">04 KG </t>
        </is>
      </c>
      <c r="I2652" t="inlineStr">
        <is>
          <t>2028</t>
        </is>
      </c>
      <c r="J2652" t="n">
        <v>2023</v>
      </c>
      <c r="K2652" t="inlineStr">
        <is>
          <t>FEBRERO 2025</t>
        </is>
      </c>
      <c r="L2652" t="inlineStr">
        <is>
          <t>FEBRERO 2026</t>
        </is>
      </c>
      <c r="M2652" t="inlineStr">
        <is>
          <t xml:space="preserve">P.Q.S.  TIPO ABC </t>
        </is>
      </c>
      <c r="N2652" t="inlineStr">
        <is>
          <t>01/001111</t>
        </is>
      </c>
      <c r="O2652" t="inlineStr">
        <is>
          <t>R</t>
        </is>
      </c>
      <c r="P2652">
        <f>TRIM(N2652)</f>
        <v/>
      </c>
    </row>
    <row r="2653">
      <c r="A2653" t="inlineStr">
        <is>
          <t>CO-002235</t>
        </is>
      </c>
      <c r="B2653" t="inlineStr">
        <is>
          <t xml:space="preserve">MANUEL CARRASCO </t>
        </is>
      </c>
      <c r="D2653" t="inlineStr">
        <is>
          <t>MERCADO ALBORADA - ZAPATOS - PSTO 06</t>
        </is>
      </c>
      <c r="E2653" t="inlineStr">
        <is>
          <t>Lima, 05 de Febrero de 2025</t>
        </is>
      </c>
      <c r="F2653" t="inlineStr">
        <is>
          <t>la Recarga y mantenimiento</t>
        </is>
      </c>
      <c r="G2653" t="inlineStr">
        <is>
          <t>01</t>
        </is>
      </c>
      <c r="H2653" t="inlineStr">
        <is>
          <t xml:space="preserve">06 KG </t>
        </is>
      </c>
      <c r="I2653" t="inlineStr">
        <is>
          <t xml:space="preserve">VIGENTE </t>
        </is>
      </c>
      <c r="J2653" t="n">
        <v>2008</v>
      </c>
      <c r="K2653" t="inlineStr">
        <is>
          <t>FEBRERO 2025</t>
        </is>
      </c>
      <c r="L2653" t="inlineStr">
        <is>
          <t>FEBRERO 2026</t>
        </is>
      </c>
      <c r="M2653" t="inlineStr">
        <is>
          <t xml:space="preserve">P.Q.S.  TIPO ABC </t>
        </is>
      </c>
      <c r="N2653" t="inlineStr">
        <is>
          <t>01/000957</t>
        </is>
      </c>
      <c r="O2653" t="inlineStr">
        <is>
          <t>R</t>
        </is>
      </c>
      <c r="P2653">
        <f>TRIM(N2653)</f>
        <v/>
      </c>
    </row>
    <row r="2654">
      <c r="A2654" t="inlineStr">
        <is>
          <t>CO-002236</t>
        </is>
      </c>
      <c r="B2654" t="inlineStr">
        <is>
          <t>CLAUDIA CHIPANA VALDIVIEZO</t>
        </is>
      </c>
      <c r="C2654" t="inlineStr">
        <is>
          <t>09998465</t>
        </is>
      </c>
      <c r="D2654" t="inlineStr">
        <is>
          <t>MERCADO ALBORADA - VERDURAS - PUESTO 01</t>
        </is>
      </c>
      <c r="E2654" t="inlineStr">
        <is>
          <t>Lima, 06 de Febrero de 2025</t>
        </is>
      </c>
      <c r="F2654" t="inlineStr">
        <is>
          <t>la Recarga y mantenimiento</t>
        </is>
      </c>
      <c r="G2654" t="inlineStr">
        <is>
          <t>01</t>
        </is>
      </c>
      <c r="H2654" t="inlineStr">
        <is>
          <t>04 KG</t>
        </is>
      </c>
      <c r="I2654" t="inlineStr">
        <is>
          <t>2028</t>
        </is>
      </c>
      <c r="J2654" t="n">
        <v>2023</v>
      </c>
      <c r="K2654" t="inlineStr">
        <is>
          <t>FEBRERO 2025</t>
        </is>
      </c>
      <c r="L2654" t="inlineStr">
        <is>
          <t>FEBRERO 2026</t>
        </is>
      </c>
      <c r="M2654" t="inlineStr">
        <is>
          <t xml:space="preserve">P.Q.S.  TIPO ABC </t>
        </is>
      </c>
      <c r="N2654" t="inlineStr">
        <is>
          <t>01/000872</t>
        </is>
      </c>
      <c r="O2654" t="inlineStr">
        <is>
          <t>R</t>
        </is>
      </c>
      <c r="P2654">
        <f>TRIM(N2654)</f>
        <v/>
      </c>
    </row>
    <row r="2655">
      <c r="A2655" t="inlineStr">
        <is>
          <t>CO-002237</t>
        </is>
      </c>
      <c r="B2655" t="inlineStr">
        <is>
          <t>JOSE MARIA LIZANA YAJAHUANCA</t>
        </is>
      </c>
      <c r="D2655" t="inlineStr">
        <is>
          <t>MERCADO ALBORADA - FLORES - PSTO 48</t>
        </is>
      </c>
      <c r="E2655" t="inlineStr">
        <is>
          <t>Lima, 06 de Febrero de 2025</t>
        </is>
      </c>
      <c r="F2655" t="inlineStr">
        <is>
          <t>la Recarga y mantenimiento</t>
        </is>
      </c>
      <c r="G2655" t="inlineStr">
        <is>
          <t>01</t>
        </is>
      </c>
      <c r="H2655" t="inlineStr">
        <is>
          <t>04 KG</t>
        </is>
      </c>
      <c r="I2655" t="inlineStr">
        <is>
          <t>2028</t>
        </is>
      </c>
      <c r="J2655" t="n">
        <v>2023</v>
      </c>
      <c r="K2655" t="inlineStr">
        <is>
          <t>FEBRERO 2025</t>
        </is>
      </c>
      <c r="L2655" t="inlineStr">
        <is>
          <t>FEBRERO 2026</t>
        </is>
      </c>
      <c r="M2655" t="inlineStr">
        <is>
          <t xml:space="preserve">P.Q.S.  TIPO ABC </t>
        </is>
      </c>
      <c r="N2655" t="inlineStr">
        <is>
          <t>01/458960</t>
        </is>
      </c>
      <c r="O2655" t="inlineStr">
        <is>
          <t>R</t>
        </is>
      </c>
      <c r="P2655">
        <f>TRIM(N2655)</f>
        <v/>
      </c>
    </row>
    <row r="2656">
      <c r="A2656" t="inlineStr">
        <is>
          <t>CO-002238</t>
        </is>
      </c>
      <c r="B2656" t="inlineStr">
        <is>
          <t>NELLY ZUÑIGA GUERRA</t>
        </is>
      </c>
      <c r="D2656" t="inlineStr">
        <is>
          <t xml:space="preserve">MERCADO ALBORADA - DISCOS -PSTO 01 </t>
        </is>
      </c>
      <c r="E2656" t="inlineStr">
        <is>
          <t>Lima, 06 de Febrero de 2025</t>
        </is>
      </c>
      <c r="F2656" t="inlineStr">
        <is>
          <t>la Recarga y mantenimiento</t>
        </is>
      </c>
      <c r="G2656" t="inlineStr">
        <is>
          <t>01</t>
        </is>
      </c>
      <c r="H2656" t="inlineStr">
        <is>
          <t>04 KG</t>
        </is>
      </c>
      <c r="I2656" t="inlineStr">
        <is>
          <t>2028</t>
        </is>
      </c>
      <c r="J2656" t="n">
        <v>2023</v>
      </c>
      <c r="K2656" t="inlineStr">
        <is>
          <t>FEBRERO 2025</t>
        </is>
      </c>
      <c r="L2656" t="inlineStr">
        <is>
          <t>FEBRERO 2026</t>
        </is>
      </c>
      <c r="M2656" t="inlineStr">
        <is>
          <t xml:space="preserve">P.Q.S.  TIPO ABC </t>
        </is>
      </c>
      <c r="N2656" t="inlineStr">
        <is>
          <t>01/000860</t>
        </is>
      </c>
      <c r="O2656" t="inlineStr">
        <is>
          <t>R</t>
        </is>
      </c>
      <c r="P2656">
        <f>TRIM(N2656)</f>
        <v/>
      </c>
    </row>
    <row r="2657">
      <c r="A2657" t="inlineStr">
        <is>
          <t>CO-002239</t>
        </is>
      </c>
      <c r="B2657" t="inlineStr">
        <is>
          <t>JUANA CHALCO COTOHUANCA DE CANTANI</t>
        </is>
      </c>
      <c r="C2657" t="inlineStr">
        <is>
          <t>06848191</t>
        </is>
      </c>
      <c r="D2657" t="inlineStr">
        <is>
          <t>MERCADO ALBORADA - TELAS - PUESTO 37</t>
        </is>
      </c>
      <c r="E2657" t="inlineStr">
        <is>
          <t>Lima, 06 de Febrero de 2025</t>
        </is>
      </c>
      <c r="F2657" t="inlineStr">
        <is>
          <t>la Recarga y mantenimiento</t>
        </is>
      </c>
      <c r="G2657" t="inlineStr">
        <is>
          <t>01</t>
        </is>
      </c>
      <c r="H2657" t="inlineStr">
        <is>
          <t>04 KG</t>
        </is>
      </c>
      <c r="I2657" t="inlineStr">
        <is>
          <t>2029</t>
        </is>
      </c>
      <c r="J2657" t="n">
        <v>2024</v>
      </c>
      <c r="K2657" t="inlineStr">
        <is>
          <t>FEBRERO 2024</t>
        </is>
      </c>
      <c r="L2657" t="inlineStr">
        <is>
          <t>FEBRERO 2025</t>
        </is>
      </c>
      <c r="M2657" t="inlineStr">
        <is>
          <t>P.Q.S TIPO ABC</t>
        </is>
      </c>
      <c r="N2657" t="inlineStr">
        <is>
          <t>01/000860</t>
        </is>
      </c>
      <c r="O2657" t="inlineStr">
        <is>
          <t>R</t>
        </is>
      </c>
      <c r="P2657">
        <f>TRIM(N2657)</f>
        <v/>
      </c>
    </row>
    <row r="2658">
      <c r="A2658" t="inlineStr">
        <is>
          <t>CO-002240</t>
        </is>
      </c>
      <c r="B2658" t="inlineStr">
        <is>
          <t>JAVIER NINAQUISPE ORUNA</t>
        </is>
      </c>
      <c r="D2658" t="inlineStr">
        <is>
          <t>MERCADO ALBORADA - VERDURAS - PSTO 60</t>
        </is>
      </c>
      <c r="E2658" t="inlineStr">
        <is>
          <t>Lima, 06 de Febrero de 2025</t>
        </is>
      </c>
      <c r="F2658" t="inlineStr">
        <is>
          <t>la Recarga y mantenimiento</t>
        </is>
      </c>
      <c r="G2658" t="inlineStr">
        <is>
          <t>01</t>
        </is>
      </c>
      <c r="H2658" t="inlineStr">
        <is>
          <t>04 KG</t>
        </is>
      </c>
      <c r="I2658" t="inlineStr">
        <is>
          <t xml:space="preserve">VIGENTE </t>
        </is>
      </c>
      <c r="J2658" t="n">
        <v>2017</v>
      </c>
      <c r="K2658" t="inlineStr">
        <is>
          <t>FEBRERO 2024</t>
        </is>
      </c>
      <c r="L2658" t="inlineStr">
        <is>
          <t>FEBRERO 2025</t>
        </is>
      </c>
      <c r="M2658" t="inlineStr">
        <is>
          <t>P.Q.S TIPO ABC</t>
        </is>
      </c>
      <c r="N2658" t="inlineStr">
        <is>
          <t>01/000757</t>
        </is>
      </c>
      <c r="O2658" t="inlineStr">
        <is>
          <t>R</t>
        </is>
      </c>
      <c r="P2658">
        <f>TRIM(N2658)</f>
        <v/>
      </c>
    </row>
    <row r="2659">
      <c r="A2659" t="inlineStr">
        <is>
          <t>CO-002241</t>
        </is>
      </c>
      <c r="B2659" t="inlineStr">
        <is>
          <t>JULIO CESAR PAZ PILCO</t>
        </is>
      </c>
      <c r="C2659" t="inlineStr">
        <is>
          <t>74709645</t>
        </is>
      </c>
      <c r="D2659" t="inlineStr">
        <is>
          <t>JR. JUPITER MZ. 8 LT. 85 - AÑO NUEVO COMAS</t>
        </is>
      </c>
      <c r="E2659" t="inlineStr">
        <is>
          <t>Lima, 11 de Febrero de 2025</t>
        </is>
      </c>
      <c r="F2659" t="inlineStr">
        <is>
          <t>la Recarga y mantenimiento</t>
        </is>
      </c>
      <c r="G2659" t="inlineStr">
        <is>
          <t>01</t>
        </is>
      </c>
      <c r="H2659" t="inlineStr">
        <is>
          <t>06 KG</t>
        </is>
      </c>
      <c r="I2659" t="inlineStr">
        <is>
          <t>2027</t>
        </is>
      </c>
      <c r="J2659" t="n">
        <v>2022</v>
      </c>
      <c r="K2659" t="inlineStr">
        <is>
          <t>FEBRERO 2025</t>
        </is>
      </c>
      <c r="L2659" t="inlineStr">
        <is>
          <t>FEBRERO 2026</t>
        </is>
      </c>
      <c r="M2659" t="inlineStr">
        <is>
          <t xml:space="preserve">P.Q.S.  TIPO ABC </t>
        </is>
      </c>
      <c r="N2659" t="inlineStr">
        <is>
          <t>01 / 031863</t>
        </is>
      </c>
      <c r="O2659" t="inlineStr">
        <is>
          <t>R</t>
        </is>
      </c>
      <c r="P2659">
        <f>TRIM(N2659)</f>
        <v/>
      </c>
    </row>
    <row r="2660">
      <c r="A2660" t="inlineStr">
        <is>
          <t>CO-002241</t>
        </is>
      </c>
      <c r="B2660" t="inlineStr">
        <is>
          <t>JULIO CESAR PAZ PILCO</t>
        </is>
      </c>
      <c r="C2660" t="inlineStr">
        <is>
          <t>74709645</t>
        </is>
      </c>
      <c r="D2660" t="inlineStr">
        <is>
          <t>JR. JUPITER MZ. 8 LT. 85 - AÑO NUEVO COMAS</t>
        </is>
      </c>
      <c r="E2660" t="inlineStr">
        <is>
          <t>Lima, 11 de Febrero de 2025</t>
        </is>
      </c>
      <c r="F2660" t="inlineStr">
        <is>
          <t>la Recarga y mantenimiento</t>
        </is>
      </c>
      <c r="G2660" t="inlineStr">
        <is>
          <t>02</t>
        </is>
      </c>
      <c r="H2660" t="inlineStr">
        <is>
          <t>06 KG</t>
        </is>
      </c>
      <c r="I2660" t="inlineStr">
        <is>
          <t>2027</t>
        </is>
      </c>
      <c r="J2660" t="n">
        <v>2022</v>
      </c>
      <c r="K2660" t="inlineStr">
        <is>
          <t>FEBRERO 2025</t>
        </is>
      </c>
      <c r="L2660" t="inlineStr">
        <is>
          <t>FEBRERO 2026</t>
        </is>
      </c>
      <c r="M2660" t="inlineStr">
        <is>
          <t xml:space="preserve">P.Q.S.  TIPO ABC </t>
        </is>
      </c>
      <c r="N2660" t="inlineStr">
        <is>
          <t>02 / 026941</t>
        </is>
      </c>
      <c r="O2660" t="inlineStr">
        <is>
          <t>R</t>
        </is>
      </c>
      <c r="P2660">
        <f>TRIM(N2660)</f>
        <v/>
      </c>
    </row>
    <row r="2661">
      <c r="A2661" t="inlineStr">
        <is>
          <t>CO-002242</t>
        </is>
      </c>
      <c r="B2661" t="inlineStr">
        <is>
          <t xml:space="preserve">MECANICA AUTOMOTRIZ FLORES De: Oscar Flores </t>
        </is>
      </c>
      <c r="C2661" t="inlineStr">
        <is>
          <t>09986215</t>
        </is>
      </c>
      <c r="D2661" t="inlineStr">
        <is>
          <t>JR. JUPITER MZ "5" LT "52" VILLA COLLIQUE</t>
        </is>
      </c>
      <c r="E2661" t="inlineStr">
        <is>
          <t>Lima, 11 de Febrero de 2025</t>
        </is>
      </c>
      <c r="F2661" t="inlineStr">
        <is>
          <t>la Recarga y mantenimiento</t>
        </is>
      </c>
      <c r="G2661" t="inlineStr">
        <is>
          <t>01</t>
        </is>
      </c>
      <c r="H2661" t="inlineStr">
        <is>
          <t>12 KG</t>
        </is>
      </c>
      <c r="I2661" t="inlineStr">
        <is>
          <t>2030</t>
        </is>
      </c>
      <c r="J2661" t="n">
        <v>2020</v>
      </c>
      <c r="K2661" t="inlineStr">
        <is>
          <t>FEBRERO 2025</t>
        </is>
      </c>
      <c r="L2661" t="inlineStr">
        <is>
          <t>FEBRERO 2026</t>
        </is>
      </c>
      <c r="M2661" t="inlineStr">
        <is>
          <t>P.Q.S.  TIPO ABC AL 90% UL</t>
        </is>
      </c>
      <c r="N2661" t="inlineStr">
        <is>
          <t>01/006495</t>
        </is>
      </c>
      <c r="O2661" t="inlineStr">
        <is>
          <t>M4</t>
        </is>
      </c>
      <c r="P2661">
        <f>TRIM(N2661)</f>
        <v/>
      </c>
    </row>
    <row r="2662">
      <c r="A2662" t="inlineStr">
        <is>
          <t>CO-002242</t>
        </is>
      </c>
      <c r="B2662" t="inlineStr">
        <is>
          <t xml:space="preserve">MECANICA AUTOMOTRIZ FLORES De: Oscar Flores </t>
        </is>
      </c>
      <c r="C2662" t="inlineStr">
        <is>
          <t>09986215</t>
        </is>
      </c>
      <c r="D2662" t="inlineStr">
        <is>
          <t>JR. JUPITER MZ "5" LT "52" VILLA COLLIQUE</t>
        </is>
      </c>
      <c r="E2662" t="inlineStr">
        <is>
          <t>Lima, 11 de Febrero de 2025</t>
        </is>
      </c>
      <c r="F2662" t="inlineStr">
        <is>
          <t>la Recarga y mantenimiento</t>
        </is>
      </c>
      <c r="G2662" t="inlineStr">
        <is>
          <t>02</t>
        </is>
      </c>
      <c r="H2662" t="inlineStr">
        <is>
          <t>09 KG</t>
        </is>
      </c>
      <c r="I2662" t="inlineStr">
        <is>
          <t>2028</t>
        </is>
      </c>
      <c r="J2662" t="n">
        <v>2006</v>
      </c>
      <c r="K2662" t="inlineStr">
        <is>
          <t>FEBRERO 2025</t>
        </is>
      </c>
      <c r="L2662" t="inlineStr">
        <is>
          <t>FEBRERO 2026</t>
        </is>
      </c>
      <c r="M2662" t="inlineStr">
        <is>
          <t>P.Q.S.  TIPO ABC AL 90% UL</t>
        </is>
      </c>
      <c r="N2662" t="inlineStr">
        <is>
          <t>02/000431</t>
        </is>
      </c>
      <c r="O2662" t="inlineStr">
        <is>
          <t>M4</t>
        </is>
      </c>
      <c r="P2662">
        <f>TRIM(N2662)</f>
        <v/>
      </c>
    </row>
    <row r="2663">
      <c r="A2663" t="inlineStr">
        <is>
          <t>CO-002243</t>
        </is>
      </c>
      <c r="B2663" t="inlineStr">
        <is>
          <t>MEDIK &amp; FARMACEUTICA AZUL S.A.C</t>
        </is>
      </c>
      <c r="C2663" t="inlineStr">
        <is>
          <t xml:space="preserve"> 20601476747</t>
        </is>
      </c>
      <c r="D2663" t="inlineStr">
        <is>
          <t xml:space="preserve">AV. TUPAC AMARU NRO. 7947, COMAS </t>
        </is>
      </c>
      <c r="E2663" t="inlineStr">
        <is>
          <t>Lima, 11 de Febrero de 2025</t>
        </is>
      </c>
      <c r="F2663" t="inlineStr">
        <is>
          <t>la Recarga y mantenimiento</t>
        </is>
      </c>
      <c r="G2663" t="inlineStr">
        <is>
          <t>01</t>
        </is>
      </c>
      <c r="H2663" t="inlineStr">
        <is>
          <t>06 KG</t>
        </is>
      </c>
      <c r="I2663" t="inlineStr">
        <is>
          <t>2028</t>
        </is>
      </c>
      <c r="J2663" t="n">
        <v>2017</v>
      </c>
      <c r="K2663" t="inlineStr">
        <is>
          <t>FEBRERO 2025</t>
        </is>
      </c>
      <c r="L2663" t="inlineStr">
        <is>
          <t>FEBRERO 2026</t>
        </is>
      </c>
      <c r="M2663" t="inlineStr">
        <is>
          <t>P.Q.S.  TIPO ABC</t>
        </is>
      </c>
      <c r="N2663" t="inlineStr">
        <is>
          <t>01/000016</t>
        </is>
      </c>
      <c r="O2663" t="inlineStr">
        <is>
          <t>R</t>
        </is>
      </c>
      <c r="P2663">
        <f>TRIM(N2663)</f>
        <v/>
      </c>
    </row>
    <row r="2664">
      <c r="A2664" t="inlineStr">
        <is>
          <t>CO-002244</t>
        </is>
      </c>
      <c r="B2664" t="inlineStr">
        <is>
          <t xml:space="preserve">PILAR SANCHEZ </t>
        </is>
      </c>
      <c r="D2664" t="inlineStr">
        <is>
          <t xml:space="preserve">MERCADO ALBORADA - COMIDA - PSTO 12 </t>
        </is>
      </c>
      <c r="E2664" t="inlineStr">
        <is>
          <t>Lima, 11 de Febrero de 2025</t>
        </is>
      </c>
      <c r="F2664" t="inlineStr">
        <is>
          <t>la Recarga y mantenimiento</t>
        </is>
      </c>
      <c r="G2664" t="inlineStr">
        <is>
          <t>01</t>
        </is>
      </c>
      <c r="H2664" t="inlineStr">
        <is>
          <t>2.5 GLS</t>
        </is>
      </c>
      <c r="I2664" t="inlineStr">
        <is>
          <t>2028</t>
        </is>
      </c>
      <c r="J2664" t="n">
        <v>2023</v>
      </c>
      <c r="K2664" t="inlineStr">
        <is>
          <t>FEBRERO 2025</t>
        </is>
      </c>
      <c r="L2664" t="inlineStr">
        <is>
          <t>FEBRERO 2026</t>
        </is>
      </c>
      <c r="M2664" t="inlineStr">
        <is>
          <t>H2O PRESURIZADA</t>
        </is>
      </c>
      <c r="N2664" t="inlineStr">
        <is>
          <t>01/000427</t>
        </is>
      </c>
      <c r="O2664" t="inlineStr">
        <is>
          <t>R</t>
        </is>
      </c>
      <c r="P2664">
        <f>TRIM(N2664)</f>
        <v/>
      </c>
    </row>
    <row r="2665">
      <c r="A2665" t="inlineStr">
        <is>
          <t>CO-002245</t>
        </is>
      </c>
      <c r="B2665" t="inlineStr">
        <is>
          <t>ASOCIACION DE PROPIETARIOS DEL MERCADO MODELO LA ALBORADA</t>
        </is>
      </c>
      <c r="C2665" t="inlineStr">
        <is>
          <t>20492406512</t>
        </is>
      </c>
      <c r="D2665" t="inlineStr">
        <is>
          <t>ASOCIACION DE PROPIETARIOS DEL MERCADO MODELO LA ALBORADA PSTO 2 , PESCADO</t>
        </is>
      </c>
      <c r="E2665" t="inlineStr">
        <is>
          <t>Lima, 11 de Febrero de 2025</t>
        </is>
      </c>
      <c r="F2665" t="inlineStr">
        <is>
          <t>la Recarga y mantenimiento</t>
        </is>
      </c>
      <c r="G2665" t="inlineStr">
        <is>
          <t>01</t>
        </is>
      </c>
      <c r="H2665" t="inlineStr">
        <is>
          <t>04 KG</t>
        </is>
      </c>
      <c r="I2665" t="inlineStr">
        <is>
          <t>2030</t>
        </is>
      </c>
      <c r="J2665" t="n">
        <v>2025</v>
      </c>
      <c r="K2665" t="inlineStr">
        <is>
          <t>FEBRERO 2025</t>
        </is>
      </c>
      <c r="L2665" t="inlineStr">
        <is>
          <t>FEBRERO 2026</t>
        </is>
      </c>
      <c r="M2665" t="inlineStr">
        <is>
          <t>P.Q.S.  TIPO ABC</t>
        </is>
      </c>
      <c r="N2665" t="inlineStr">
        <is>
          <t>01/000317</t>
        </is>
      </c>
      <c r="O2665" t="inlineStr">
        <is>
          <t>V</t>
        </is>
      </c>
      <c r="P2665">
        <f>TRIM(N2665)</f>
        <v/>
      </c>
    </row>
    <row r="2666">
      <c r="A2666" t="inlineStr">
        <is>
          <t>CO-002246</t>
        </is>
      </c>
      <c r="B2666" t="inlineStr">
        <is>
          <t>ASOCIACION DE PROPIETARIOS DEL MERCADO MODELO LA ALBORADA</t>
        </is>
      </c>
      <c r="C2666" t="inlineStr">
        <is>
          <t>20492406512</t>
        </is>
      </c>
      <c r="D2666" t="inlineStr">
        <is>
          <t xml:space="preserve">ASOCIACION DE PROPIETARIOS DEL MERCADO MODELO LA ALBORADA, PSTO 27 - ROPA ECHA </t>
        </is>
      </c>
      <c r="E2666" t="inlineStr">
        <is>
          <t>Lima, 11 de Febrero de 2025</t>
        </is>
      </c>
      <c r="F2666" t="inlineStr">
        <is>
          <t>la Recarga y mantenimiento</t>
        </is>
      </c>
      <c r="G2666" t="inlineStr">
        <is>
          <t>01</t>
        </is>
      </c>
      <c r="H2666" t="inlineStr">
        <is>
          <t>04 KG</t>
        </is>
      </c>
      <c r="I2666" t="inlineStr">
        <is>
          <t>2030</t>
        </is>
      </c>
      <c r="J2666" t="n">
        <v>2025</v>
      </c>
      <c r="K2666" t="inlineStr">
        <is>
          <t>FEBRERO 2025</t>
        </is>
      </c>
      <c r="L2666" t="inlineStr">
        <is>
          <t>FEBRERO 2026</t>
        </is>
      </c>
      <c r="M2666" t="inlineStr">
        <is>
          <t>P.Q.S.  TIPO ABC</t>
        </is>
      </c>
      <c r="N2666" t="inlineStr">
        <is>
          <t>01/000253</t>
        </is>
      </c>
      <c r="O2666" t="inlineStr">
        <is>
          <t>V</t>
        </is>
      </c>
      <c r="P2666">
        <f>TRIM(N2666)</f>
        <v/>
      </c>
    </row>
    <row r="2667">
      <c r="A2667" t="inlineStr">
        <is>
          <t>CO-002247</t>
        </is>
      </c>
      <c r="B2667" t="inlineStr">
        <is>
          <t xml:space="preserve">MARUJA TINCO SOTO </t>
        </is>
      </c>
      <c r="D2667" t="inlineStr">
        <is>
          <t>MERCADO ALBORADA - TALLER  - TDA  19</t>
        </is>
      </c>
      <c r="E2667" t="inlineStr">
        <is>
          <t>Lima, 11 de Febrero de 2025</t>
        </is>
      </c>
      <c r="F2667" t="inlineStr">
        <is>
          <t xml:space="preserve">VENTA </t>
        </is>
      </c>
      <c r="G2667" t="inlineStr">
        <is>
          <t>01</t>
        </is>
      </c>
      <c r="H2667" t="inlineStr">
        <is>
          <t>04 KG</t>
        </is>
      </c>
      <c r="I2667" t="inlineStr">
        <is>
          <t>2030</t>
        </is>
      </c>
      <c r="J2667" t="n">
        <v>2025</v>
      </c>
      <c r="K2667" t="inlineStr">
        <is>
          <t>FEBRERO 2025</t>
        </is>
      </c>
      <c r="L2667" t="inlineStr">
        <is>
          <t>FEBRERO 2026</t>
        </is>
      </c>
      <c r="M2667" t="inlineStr">
        <is>
          <t>P.Q.S.  TIPO ABC</t>
        </is>
      </c>
      <c r="N2667" t="inlineStr">
        <is>
          <t>01/000245</t>
        </is>
      </c>
      <c r="O2667" t="inlineStr">
        <is>
          <t>V</t>
        </is>
      </c>
      <c r="P2667">
        <f>TRIM(N2667)</f>
        <v/>
      </c>
    </row>
    <row r="2668">
      <c r="A2668" t="inlineStr">
        <is>
          <t>CO-002248</t>
        </is>
      </c>
      <c r="B2668" t="inlineStr">
        <is>
          <t>PERU MASIVO S.A - BUSES</t>
        </is>
      </c>
      <c r="C2668" t="inlineStr">
        <is>
          <t>20492392031</t>
        </is>
      </c>
      <c r="D2668" t="inlineStr">
        <is>
          <t>AV. LOS INCAS CDRA. 4 PATIO NORTE - COMAS</t>
        </is>
      </c>
      <c r="E2668" t="inlineStr">
        <is>
          <t>Lima, 13 de Febrero de 2025</t>
        </is>
      </c>
      <c r="F2668" t="inlineStr">
        <is>
          <t>la Recarga y mantenimiento</t>
        </is>
      </c>
      <c r="G2668" t="inlineStr">
        <is>
          <t>01</t>
        </is>
      </c>
      <c r="H2668" t="inlineStr">
        <is>
          <t>06 KG</t>
        </is>
      </c>
      <c r="I2668" t="inlineStr">
        <is>
          <t>2029</t>
        </is>
      </c>
      <c r="J2668" t="n">
        <v>2009</v>
      </c>
      <c r="K2668" t="inlineStr">
        <is>
          <t>FEBRERO 2025</t>
        </is>
      </c>
      <c r="L2668" t="inlineStr">
        <is>
          <t>FEBRERO 2026</t>
        </is>
      </c>
      <c r="M2668" t="inlineStr">
        <is>
          <t>P.Q.S.  TIPO ABC ASIA</t>
        </is>
      </c>
      <c r="N2668" t="inlineStr">
        <is>
          <t>321/000581</t>
        </is>
      </c>
      <c r="O2668" t="inlineStr">
        <is>
          <t>R</t>
        </is>
      </c>
      <c r="P2668">
        <f>TRIM(N2668)</f>
        <v/>
      </c>
    </row>
    <row r="2669">
      <c r="A2669" t="inlineStr">
        <is>
          <t>CO-002248</t>
        </is>
      </c>
      <c r="B2669" t="inlineStr">
        <is>
          <t>PERU MASIVO S.A - BUSES</t>
        </is>
      </c>
      <c r="C2669" t="inlineStr">
        <is>
          <t>20492392031</t>
        </is>
      </c>
      <c r="D2669" t="inlineStr">
        <is>
          <t>AV. LOS INCAS CDRA. 4 PATIO NORTE - COMAS</t>
        </is>
      </c>
      <c r="E2669" t="inlineStr">
        <is>
          <t>Lima, 13 de Febrero de 2025</t>
        </is>
      </c>
      <c r="F2669" t="inlineStr">
        <is>
          <t>la Recarga y mantenimiento</t>
        </is>
      </c>
      <c r="G2669" t="inlineStr">
        <is>
          <t>02</t>
        </is>
      </c>
      <c r="H2669" t="inlineStr">
        <is>
          <t>06 KG</t>
        </is>
      </c>
      <c r="I2669" t="inlineStr">
        <is>
          <t>2029</t>
        </is>
      </c>
      <c r="J2669" t="n">
        <v>2009</v>
      </c>
      <c r="K2669" t="inlineStr">
        <is>
          <t>FEBRERO 2025</t>
        </is>
      </c>
      <c r="L2669" t="inlineStr">
        <is>
          <t>FEBRERO 2026</t>
        </is>
      </c>
      <c r="M2669" t="inlineStr">
        <is>
          <t>P.Q.S.  TIPO ABC ASIA</t>
        </is>
      </c>
      <c r="N2669" t="inlineStr">
        <is>
          <t>127/000176</t>
        </is>
      </c>
      <c r="O2669" t="inlineStr">
        <is>
          <t>R</t>
        </is>
      </c>
      <c r="P2669">
        <f>TRIM(N2669)</f>
        <v/>
      </c>
    </row>
    <row r="2670">
      <c r="A2670" t="inlineStr">
        <is>
          <t>CO-002248</t>
        </is>
      </c>
      <c r="B2670" t="inlineStr">
        <is>
          <t>PERU MASIVO S.A - BUSES</t>
        </is>
      </c>
      <c r="C2670" t="inlineStr">
        <is>
          <t>20492392031</t>
        </is>
      </c>
      <c r="D2670" t="inlineStr">
        <is>
          <t>AV. LOS INCAS CDRA. 4 PATIO NORTE - COMAS</t>
        </is>
      </c>
      <c r="E2670" t="inlineStr">
        <is>
          <t>Lima, 13 de Febrero de 2025</t>
        </is>
      </c>
      <c r="F2670" t="inlineStr">
        <is>
          <t>la Recarga y mantenimiento</t>
        </is>
      </c>
      <c r="G2670" t="inlineStr">
        <is>
          <t>03</t>
        </is>
      </c>
      <c r="H2670" t="inlineStr">
        <is>
          <t>06 KG</t>
        </is>
      </c>
      <c r="I2670" t="inlineStr">
        <is>
          <t>2029</t>
        </is>
      </c>
      <c r="J2670" t="n">
        <v>2015</v>
      </c>
      <c r="K2670" t="inlineStr">
        <is>
          <t>FEBRERO 2025</t>
        </is>
      </c>
      <c r="L2670" t="inlineStr">
        <is>
          <t>FEBRERO 2026</t>
        </is>
      </c>
      <c r="M2670" t="inlineStr">
        <is>
          <t>P.Q.S.  TIPO ABC ASIA</t>
        </is>
      </c>
      <c r="N2670" t="inlineStr">
        <is>
          <t>37/000420</t>
        </is>
      </c>
      <c r="O2670" t="inlineStr">
        <is>
          <t>R</t>
        </is>
      </c>
      <c r="P2670">
        <f>TRIM(N2670)</f>
        <v/>
      </c>
    </row>
    <row r="2671">
      <c r="A2671" t="inlineStr">
        <is>
          <t>CO-002248</t>
        </is>
      </c>
      <c r="B2671" t="inlineStr">
        <is>
          <t>PERU MASIVO S.A - BUSES</t>
        </is>
      </c>
      <c r="C2671" t="inlineStr">
        <is>
          <t>20492392031</t>
        </is>
      </c>
      <c r="D2671" t="inlineStr">
        <is>
          <t>AV. LOS INCAS CDRA. 4 PATIO NORTE - COMAS</t>
        </is>
      </c>
      <c r="E2671" t="inlineStr">
        <is>
          <t>Lima, 13 de Febrero de 2025</t>
        </is>
      </c>
      <c r="F2671" t="inlineStr">
        <is>
          <t>la Recarga y mantenimiento</t>
        </is>
      </c>
      <c r="G2671" t="inlineStr">
        <is>
          <t>04</t>
        </is>
      </c>
      <c r="H2671" t="inlineStr">
        <is>
          <t>06 KG</t>
        </is>
      </c>
      <c r="I2671" t="inlineStr">
        <is>
          <t>2029</t>
        </is>
      </c>
      <c r="J2671" t="n">
        <v>2009</v>
      </c>
      <c r="K2671" t="inlineStr">
        <is>
          <t>FEBRERO 2025</t>
        </is>
      </c>
      <c r="L2671" t="inlineStr">
        <is>
          <t>FEBRERO 2026</t>
        </is>
      </c>
      <c r="M2671" t="inlineStr">
        <is>
          <t>P.Q.S.  TIPO ABC ASIA</t>
        </is>
      </c>
      <c r="N2671" t="inlineStr">
        <is>
          <t>174/001932</t>
        </is>
      </c>
      <c r="O2671" t="inlineStr">
        <is>
          <t>R</t>
        </is>
      </c>
      <c r="P2671">
        <f>TRIM(N2671)</f>
        <v/>
      </c>
    </row>
    <row r="2672">
      <c r="A2672" t="inlineStr">
        <is>
          <t>CO-002248</t>
        </is>
      </c>
      <c r="B2672" t="inlineStr">
        <is>
          <t>PERU MASIVO S.A - BUSES</t>
        </is>
      </c>
      <c r="C2672" t="inlineStr">
        <is>
          <t>20492392031</t>
        </is>
      </c>
      <c r="D2672" t="inlineStr">
        <is>
          <t>AV. LOS INCAS CDRA. 4 PATIO NORTE - COMAS</t>
        </is>
      </c>
      <c r="E2672" t="inlineStr">
        <is>
          <t>Lima, 13 de Febrero de 2025</t>
        </is>
      </c>
      <c r="F2672" t="inlineStr">
        <is>
          <t>la Recarga y mantenimiento</t>
        </is>
      </c>
      <c r="G2672" t="inlineStr">
        <is>
          <t>05</t>
        </is>
      </c>
      <c r="H2672" t="inlineStr">
        <is>
          <t>06 KG</t>
        </is>
      </c>
      <c r="I2672" t="inlineStr">
        <is>
          <t>2029</t>
        </is>
      </c>
      <c r="J2672" t="n">
        <v>2009</v>
      </c>
      <c r="K2672" t="inlineStr">
        <is>
          <t>FEBRERO 2025</t>
        </is>
      </c>
      <c r="L2672" t="inlineStr">
        <is>
          <t>FEBRERO 2026</t>
        </is>
      </c>
      <c r="M2672" t="inlineStr">
        <is>
          <t>P.Q.S.  TIPO ABC ASIA</t>
        </is>
      </c>
      <c r="N2672" t="inlineStr">
        <is>
          <t>49/000944</t>
        </is>
      </c>
      <c r="O2672" t="inlineStr">
        <is>
          <t>R</t>
        </is>
      </c>
      <c r="P2672">
        <f>TRIM(N2672)</f>
        <v/>
      </c>
    </row>
    <row r="2673">
      <c r="A2673" t="inlineStr">
        <is>
          <t>CO-002248</t>
        </is>
      </c>
      <c r="B2673" t="inlineStr">
        <is>
          <t>PERU MASIVO S.A - BUSES</t>
        </is>
      </c>
      <c r="C2673" t="inlineStr">
        <is>
          <t>20492392031</t>
        </is>
      </c>
      <c r="D2673" t="inlineStr">
        <is>
          <t>AV. LOS INCAS CDRA. 4 PATIO NORTE - COMAS</t>
        </is>
      </c>
      <c r="E2673" t="inlineStr">
        <is>
          <t>Lima, 13 de Febrero de 2025</t>
        </is>
      </c>
      <c r="F2673" t="inlineStr">
        <is>
          <t>la Recarga y mantenimiento</t>
        </is>
      </c>
      <c r="G2673" t="inlineStr">
        <is>
          <t>06</t>
        </is>
      </c>
      <c r="H2673" t="inlineStr">
        <is>
          <t>06 KG</t>
        </is>
      </c>
      <c r="I2673" t="inlineStr">
        <is>
          <t>2029</t>
        </is>
      </c>
      <c r="J2673" t="n">
        <v>2009</v>
      </c>
      <c r="K2673" t="inlineStr">
        <is>
          <t>FEBRERO 2025</t>
        </is>
      </c>
      <c r="L2673" t="inlineStr">
        <is>
          <t>FEBRERO 2026</t>
        </is>
      </c>
      <c r="M2673" t="inlineStr">
        <is>
          <t>P.Q.S.  TIPO ABC ASIA</t>
        </is>
      </c>
      <c r="N2673" t="inlineStr">
        <is>
          <t>179/000005</t>
        </is>
      </c>
      <c r="O2673" t="inlineStr">
        <is>
          <t>R</t>
        </is>
      </c>
      <c r="P2673">
        <f>TRIM(N2673)</f>
        <v/>
      </c>
    </row>
    <row r="2674">
      <c r="A2674" t="inlineStr">
        <is>
          <t>CO-002248</t>
        </is>
      </c>
      <c r="B2674" t="inlineStr">
        <is>
          <t>PERU MASIVO S.A - BUSES</t>
        </is>
      </c>
      <c r="C2674" t="inlineStr">
        <is>
          <t>20492392031</t>
        </is>
      </c>
      <c r="D2674" t="inlineStr">
        <is>
          <t>AV. LOS INCAS CDRA. 4 PATIO NORTE - COMAS</t>
        </is>
      </c>
      <c r="E2674" t="inlineStr">
        <is>
          <t>Lima, 13 de Febrero de 2025</t>
        </is>
      </c>
      <c r="F2674" t="inlineStr">
        <is>
          <t>la Recarga y mantenimiento</t>
        </is>
      </c>
      <c r="G2674" t="inlineStr">
        <is>
          <t>07</t>
        </is>
      </c>
      <c r="H2674" t="inlineStr">
        <is>
          <t>06 KG</t>
        </is>
      </c>
      <c r="I2674" t="inlineStr">
        <is>
          <t>2029</t>
        </is>
      </c>
      <c r="J2674" t="n">
        <v>2009</v>
      </c>
      <c r="K2674" t="inlineStr">
        <is>
          <t>FEBRERO 2025</t>
        </is>
      </c>
      <c r="L2674" t="inlineStr">
        <is>
          <t>FEBRERO 2026</t>
        </is>
      </c>
      <c r="M2674" t="inlineStr">
        <is>
          <t>P.Q.S.  TIPO ABC ASIA</t>
        </is>
      </c>
      <c r="N2674" t="inlineStr">
        <is>
          <t>140/003215</t>
        </is>
      </c>
      <c r="O2674" t="inlineStr">
        <is>
          <t>R</t>
        </is>
      </c>
      <c r="P2674">
        <f>TRIM(N2674)</f>
        <v/>
      </c>
    </row>
    <row r="2675">
      <c r="A2675" t="inlineStr">
        <is>
          <t>CO-002248</t>
        </is>
      </c>
      <c r="B2675" t="inlineStr">
        <is>
          <t>PERU MASIVO S.A - BUSES</t>
        </is>
      </c>
      <c r="C2675" t="inlineStr">
        <is>
          <t>20492392031</t>
        </is>
      </c>
      <c r="D2675" t="inlineStr">
        <is>
          <t>AV. LOS INCAS CDRA. 4 PATIO NORTE - COMAS</t>
        </is>
      </c>
      <c r="E2675" t="inlineStr">
        <is>
          <t>Lima, 13 de Febrero de 2025</t>
        </is>
      </c>
      <c r="F2675" t="inlineStr">
        <is>
          <t>la Recarga y mantenimiento</t>
        </is>
      </c>
      <c r="G2675" t="inlineStr">
        <is>
          <t>08</t>
        </is>
      </c>
      <c r="H2675" t="inlineStr">
        <is>
          <t>06 KG</t>
        </is>
      </c>
      <c r="I2675" t="inlineStr">
        <is>
          <t>2028</t>
        </is>
      </c>
      <c r="J2675" t="n">
        <v>2009</v>
      </c>
      <c r="K2675" t="inlineStr">
        <is>
          <t>FEBRERO 2025</t>
        </is>
      </c>
      <c r="L2675" t="inlineStr">
        <is>
          <t>FEBRERO 2026</t>
        </is>
      </c>
      <c r="M2675" t="inlineStr">
        <is>
          <t>P.Q.S.  TIPO ABC ASIA</t>
        </is>
      </c>
      <c r="N2675" t="inlineStr">
        <is>
          <t>365/000571</t>
        </is>
      </c>
      <c r="O2675" t="inlineStr">
        <is>
          <t>R</t>
        </is>
      </c>
      <c r="P2675">
        <f>TRIM(N2675)</f>
        <v/>
      </c>
    </row>
    <row r="2676">
      <c r="A2676" t="inlineStr">
        <is>
          <t>CO-002248</t>
        </is>
      </c>
      <c r="B2676" t="inlineStr">
        <is>
          <t>PERU MASIVO S.A - BUSES</t>
        </is>
      </c>
      <c r="C2676" t="inlineStr">
        <is>
          <t>20492392031</t>
        </is>
      </c>
      <c r="D2676" t="inlineStr">
        <is>
          <t>AV. LOS INCAS CDRA. 4 PATIO NORTE - COMAS</t>
        </is>
      </c>
      <c r="E2676" t="inlineStr">
        <is>
          <t>Lima, 13 de Febrero de 2025</t>
        </is>
      </c>
      <c r="F2676" t="inlineStr">
        <is>
          <t>la Recarga y mantenimiento</t>
        </is>
      </c>
      <c r="G2676" t="inlineStr">
        <is>
          <t>09</t>
        </is>
      </c>
      <c r="H2676" t="inlineStr">
        <is>
          <t>06 KG</t>
        </is>
      </c>
      <c r="I2676" t="inlineStr">
        <is>
          <t>2029</t>
        </is>
      </c>
      <c r="J2676" t="n">
        <v>2010</v>
      </c>
      <c r="K2676" t="inlineStr">
        <is>
          <t>FEBRERO 2025</t>
        </is>
      </c>
      <c r="L2676" t="inlineStr">
        <is>
          <t>FEBRERO 2026</t>
        </is>
      </c>
      <c r="M2676" t="inlineStr">
        <is>
          <t>P.Q.S.  TIPO ABC ASIA</t>
        </is>
      </c>
      <c r="N2676" t="inlineStr">
        <is>
          <t>86/001467</t>
        </is>
      </c>
      <c r="O2676" t="inlineStr">
        <is>
          <t>R</t>
        </is>
      </c>
      <c r="P2676">
        <f>TRIM(N2676)</f>
        <v/>
      </c>
    </row>
    <row r="2677">
      <c r="A2677" t="inlineStr">
        <is>
          <t>CO-002248</t>
        </is>
      </c>
      <c r="B2677" t="inlineStr">
        <is>
          <t>PERU MASIVO S.A - BUSES</t>
        </is>
      </c>
      <c r="C2677" t="inlineStr">
        <is>
          <t>20492392031</t>
        </is>
      </c>
      <c r="D2677" t="inlineStr">
        <is>
          <t>AV. LOS INCAS CDRA. 4 PATIO NORTE - COMAS</t>
        </is>
      </c>
      <c r="E2677" t="inlineStr">
        <is>
          <t>Lima, 13 de Febrero de 2025</t>
        </is>
      </c>
      <c r="F2677" t="inlineStr">
        <is>
          <t>la Recarga y mantenimiento</t>
        </is>
      </c>
      <c r="G2677" t="n">
        <v>10</v>
      </c>
      <c r="H2677" t="inlineStr">
        <is>
          <t>06 KG</t>
        </is>
      </c>
      <c r="I2677" t="inlineStr">
        <is>
          <t>2029</t>
        </is>
      </c>
      <c r="J2677" t="n">
        <v>2009</v>
      </c>
      <c r="K2677" t="inlineStr">
        <is>
          <t>FEBRERO 2025</t>
        </is>
      </c>
      <c r="L2677" t="inlineStr">
        <is>
          <t>FEBRERO 2026</t>
        </is>
      </c>
      <c r="M2677" t="inlineStr">
        <is>
          <t>P.Q.S.  TIPO ABC ASIA</t>
        </is>
      </c>
      <c r="N2677" t="inlineStr">
        <is>
          <t>224/000265</t>
        </is>
      </c>
      <c r="O2677" t="inlineStr">
        <is>
          <t>R</t>
        </is>
      </c>
      <c r="P2677">
        <f>TRIM(N2677)</f>
        <v/>
      </c>
    </row>
    <row r="2678">
      <c r="A2678" t="inlineStr">
        <is>
          <t>CO-002249</t>
        </is>
      </c>
      <c r="B2678" t="inlineStr">
        <is>
          <t>ESTEFANIE ZABALETA FUENTES</t>
        </is>
      </c>
      <c r="D2678" t="inlineStr">
        <is>
          <t xml:space="preserve">JR CAMPANILLAS STA ISABEL , CARABAYLLO </t>
        </is>
      </c>
      <c r="E2678" t="inlineStr">
        <is>
          <t>Lima, 13 de Febrero de 2025</t>
        </is>
      </c>
      <c r="F2678" t="inlineStr">
        <is>
          <t>la Recarga y mantenimiento</t>
        </is>
      </c>
      <c r="G2678" t="inlineStr">
        <is>
          <t xml:space="preserve">01 </t>
        </is>
      </c>
      <c r="H2678" t="inlineStr">
        <is>
          <t>06 KG</t>
        </is>
      </c>
      <c r="I2678" t="inlineStr">
        <is>
          <t>2029</t>
        </is>
      </c>
      <c r="J2678" t="n">
        <v>2018</v>
      </c>
      <c r="K2678" t="inlineStr">
        <is>
          <t>FEBRERO 2025</t>
        </is>
      </c>
      <c r="L2678" t="inlineStr">
        <is>
          <t>FEBRERO 2026</t>
        </is>
      </c>
      <c r="M2678" t="inlineStr">
        <is>
          <t>P.Q.S.  TIPO ABC</t>
        </is>
      </c>
      <c r="N2678" t="inlineStr">
        <is>
          <t>01/003185</t>
        </is>
      </c>
      <c r="O2678" t="inlineStr">
        <is>
          <t>R</t>
        </is>
      </c>
      <c r="P2678">
        <f>TRIM(N2678)</f>
        <v/>
      </c>
    </row>
    <row r="2679">
      <c r="A2679" t="inlineStr">
        <is>
          <t>CO-002250</t>
        </is>
      </c>
      <c r="B2679" t="inlineStr">
        <is>
          <t>PERU MASIVO S.A - BUSES</t>
        </is>
      </c>
      <c r="C2679" t="inlineStr">
        <is>
          <t>20492392031</t>
        </is>
      </c>
      <c r="D2679" t="inlineStr">
        <is>
          <t>AV. LOS INCAS CDRA. 4 PATIO NORTE - COMAS</t>
        </is>
      </c>
      <c r="E2679" t="inlineStr">
        <is>
          <t>Lima, 18 de Febrero de 2025</t>
        </is>
      </c>
      <c r="F2679" t="inlineStr">
        <is>
          <t>la Recarga y mantenimiento</t>
        </is>
      </c>
      <c r="G2679" t="inlineStr">
        <is>
          <t>01</t>
        </is>
      </c>
      <c r="H2679" t="inlineStr">
        <is>
          <t xml:space="preserve">06 KG </t>
        </is>
      </c>
      <c r="I2679" t="inlineStr">
        <is>
          <t>2024</t>
        </is>
      </c>
      <c r="J2679" t="n">
        <v>2014</v>
      </c>
      <c r="K2679" t="inlineStr">
        <is>
          <t>FEBRERO 2025</t>
        </is>
      </c>
      <c r="L2679" t="inlineStr">
        <is>
          <t>FEBRERO 2026</t>
        </is>
      </c>
      <c r="M2679" t="inlineStr">
        <is>
          <t>P.Q.S.  TIPO ABC ASIA</t>
        </is>
      </c>
      <c r="N2679" t="inlineStr">
        <is>
          <t>16/000444</t>
        </is>
      </c>
      <c r="O2679" t="inlineStr">
        <is>
          <t>R</t>
        </is>
      </c>
      <c r="P2679">
        <f>TRIM(N2679)</f>
        <v/>
      </c>
    </row>
    <row r="2680">
      <c r="A2680" t="inlineStr">
        <is>
          <t>CO-002250</t>
        </is>
      </c>
      <c r="B2680" t="inlineStr">
        <is>
          <t>PERU MASIVO S.A - BUSES</t>
        </is>
      </c>
      <c r="C2680" t="inlineStr">
        <is>
          <t>20492392031</t>
        </is>
      </c>
      <c r="D2680" t="inlineStr">
        <is>
          <t>AV. LOS INCAS CDRA. 4 PATIO NORTE - COMAS</t>
        </is>
      </c>
      <c r="E2680" t="inlineStr">
        <is>
          <t>Lima, 18 de Febrero de 2025</t>
        </is>
      </c>
      <c r="F2680" t="inlineStr">
        <is>
          <t>la Recarga y mantenimiento</t>
        </is>
      </c>
      <c r="G2680" t="inlineStr">
        <is>
          <t>02</t>
        </is>
      </c>
      <c r="H2680" t="inlineStr">
        <is>
          <t xml:space="preserve">06 KG </t>
        </is>
      </c>
      <c r="I2680" t="inlineStr">
        <is>
          <t>2024</t>
        </is>
      </c>
      <c r="J2680" t="n">
        <v>2010</v>
      </c>
      <c r="K2680" t="inlineStr">
        <is>
          <t>FEBRERO 2025</t>
        </is>
      </c>
      <c r="L2680" t="inlineStr">
        <is>
          <t>FEBRERO 2026</t>
        </is>
      </c>
      <c r="M2680" t="inlineStr">
        <is>
          <t>P.Q.S.  TIPO ABC ASIA</t>
        </is>
      </c>
      <c r="N2680" t="inlineStr">
        <is>
          <t>17/002530</t>
        </is>
      </c>
      <c r="O2680" t="inlineStr">
        <is>
          <t>R</t>
        </is>
      </c>
      <c r="P2680">
        <f>TRIM(N2680)</f>
        <v/>
      </c>
    </row>
    <row r="2681">
      <c r="A2681" t="inlineStr">
        <is>
          <t>CO-002250</t>
        </is>
      </c>
      <c r="B2681" t="inlineStr">
        <is>
          <t>PERU MASIVO S.A - BUSES</t>
        </is>
      </c>
      <c r="C2681" t="inlineStr">
        <is>
          <t>20492392031</t>
        </is>
      </c>
      <c r="D2681" t="inlineStr">
        <is>
          <t>AV. LOS INCAS CDRA. 4 PATIO NORTE - COMAS</t>
        </is>
      </c>
      <c r="E2681" t="inlineStr">
        <is>
          <t>Lima, 18 de Febrero de 2025</t>
        </is>
      </c>
      <c r="F2681" t="inlineStr">
        <is>
          <t>la Recarga y mantenimiento</t>
        </is>
      </c>
      <c r="G2681" t="inlineStr">
        <is>
          <t>03</t>
        </is>
      </c>
      <c r="H2681" t="inlineStr">
        <is>
          <t xml:space="preserve">06 KG </t>
        </is>
      </c>
      <c r="I2681" t="inlineStr">
        <is>
          <t>2024</t>
        </is>
      </c>
      <c r="J2681" t="n">
        <v>2010</v>
      </c>
      <c r="K2681" t="inlineStr">
        <is>
          <t>FEBRERO 2025</t>
        </is>
      </c>
      <c r="L2681" t="inlineStr">
        <is>
          <t>FEBRERO 2026</t>
        </is>
      </c>
      <c r="M2681" t="inlineStr">
        <is>
          <t>P.Q.S.  TIPO ABC ASIA</t>
        </is>
      </c>
      <c r="N2681" t="inlineStr">
        <is>
          <t>62/000351</t>
        </is>
      </c>
      <c r="O2681" t="inlineStr">
        <is>
          <t>R</t>
        </is>
      </c>
      <c r="P2681">
        <f>TRIM(N2681)</f>
        <v/>
      </c>
    </row>
    <row r="2682">
      <c r="A2682" t="inlineStr">
        <is>
          <t>CO-002250</t>
        </is>
      </c>
      <c r="B2682" t="inlineStr">
        <is>
          <t>PERU MASIVO S.A - BUSES</t>
        </is>
      </c>
      <c r="C2682" t="inlineStr">
        <is>
          <t>20492392031</t>
        </is>
      </c>
      <c r="D2682" t="inlineStr">
        <is>
          <t>AV. LOS INCAS CDRA. 4 PATIO NORTE - COMAS</t>
        </is>
      </c>
      <c r="E2682" t="inlineStr">
        <is>
          <t>Lima, 18 de Febrero de 2025</t>
        </is>
      </c>
      <c r="F2682" t="inlineStr">
        <is>
          <t>la Recarga y mantenimiento</t>
        </is>
      </c>
      <c r="G2682" t="inlineStr">
        <is>
          <t>04</t>
        </is>
      </c>
      <c r="H2682" t="inlineStr">
        <is>
          <t xml:space="preserve">06 KG </t>
        </is>
      </c>
      <c r="I2682" t="inlineStr">
        <is>
          <t>2024</t>
        </is>
      </c>
      <c r="J2682" t="n">
        <v>2010</v>
      </c>
      <c r="K2682" t="inlineStr">
        <is>
          <t>FEBRERO 2025</t>
        </is>
      </c>
      <c r="L2682" t="inlineStr">
        <is>
          <t>FEBRERO 2026</t>
        </is>
      </c>
      <c r="M2682" t="inlineStr">
        <is>
          <t>P.Q.S.  TIPO ABC ASIA</t>
        </is>
      </c>
      <c r="N2682" t="inlineStr">
        <is>
          <t>95/000125</t>
        </is>
      </c>
      <c r="O2682" t="inlineStr">
        <is>
          <t>R</t>
        </is>
      </c>
      <c r="P2682">
        <f>TRIM(N2682)</f>
        <v/>
      </c>
    </row>
    <row r="2683">
      <c r="A2683" t="inlineStr">
        <is>
          <t>CO-002250</t>
        </is>
      </c>
      <c r="B2683" t="inlineStr">
        <is>
          <t>PERU MASIVO S.A - BUSES</t>
        </is>
      </c>
      <c r="C2683" t="inlineStr">
        <is>
          <t>20492392031</t>
        </is>
      </c>
      <c r="D2683" t="inlineStr">
        <is>
          <t>AV. LOS INCAS CDRA. 4 PATIO NORTE - COMAS</t>
        </is>
      </c>
      <c r="E2683" t="inlineStr">
        <is>
          <t>Lima, 18 de Febrero de 2025</t>
        </is>
      </c>
      <c r="F2683" t="inlineStr">
        <is>
          <t>la Recarga y mantenimiento</t>
        </is>
      </c>
      <c r="G2683" t="inlineStr">
        <is>
          <t>05</t>
        </is>
      </c>
      <c r="H2683" t="inlineStr">
        <is>
          <t xml:space="preserve">06 KG </t>
        </is>
      </c>
      <c r="I2683" t="inlineStr">
        <is>
          <t>2024</t>
        </is>
      </c>
      <c r="J2683" t="n">
        <v>2010</v>
      </c>
      <c r="K2683" t="inlineStr">
        <is>
          <t>FEBRERO 2025</t>
        </is>
      </c>
      <c r="L2683" t="inlineStr">
        <is>
          <t>FEBRERO 2026</t>
        </is>
      </c>
      <c r="M2683" t="inlineStr">
        <is>
          <t>P.Q.S.  TIPO ABC ASIA</t>
        </is>
      </c>
      <c r="N2683" t="inlineStr">
        <is>
          <t>297/000847</t>
        </is>
      </c>
      <c r="O2683" t="inlineStr">
        <is>
          <t>R</t>
        </is>
      </c>
      <c r="P2683">
        <f>TRIM(N2683)</f>
        <v/>
      </c>
    </row>
    <row r="2684">
      <c r="A2684" t="inlineStr">
        <is>
          <t>CO-002250</t>
        </is>
      </c>
      <c r="B2684" t="inlineStr">
        <is>
          <t>PERU MASIVO S.A - BUSES</t>
        </is>
      </c>
      <c r="C2684" t="inlineStr">
        <is>
          <t>20492392031</t>
        </is>
      </c>
      <c r="D2684" t="inlineStr">
        <is>
          <t>AV. LOS INCAS CDRA. 4 PATIO NORTE - COMAS</t>
        </is>
      </c>
      <c r="E2684" t="inlineStr">
        <is>
          <t>Lima, 18 de Febrero de 2025</t>
        </is>
      </c>
      <c r="F2684" t="inlineStr">
        <is>
          <t>la Recarga y mantenimiento</t>
        </is>
      </c>
      <c r="G2684" t="inlineStr">
        <is>
          <t>06</t>
        </is>
      </c>
      <c r="H2684" t="inlineStr">
        <is>
          <t xml:space="preserve">06 KG </t>
        </is>
      </c>
      <c r="I2684" t="inlineStr">
        <is>
          <t>2024</t>
        </is>
      </c>
      <c r="J2684" t="n">
        <v>2010</v>
      </c>
      <c r="K2684" t="inlineStr">
        <is>
          <t>FEBRERO 2025</t>
        </is>
      </c>
      <c r="L2684" t="inlineStr">
        <is>
          <t>FEBRERO 2026</t>
        </is>
      </c>
      <c r="M2684" t="inlineStr">
        <is>
          <t>P.Q.S.  TIPO ABC ASIA</t>
        </is>
      </c>
      <c r="N2684" t="inlineStr">
        <is>
          <t>341/001634</t>
        </is>
      </c>
      <c r="O2684" t="inlineStr">
        <is>
          <t>R</t>
        </is>
      </c>
      <c r="P2684">
        <f>TRIM(N2684)</f>
        <v/>
      </c>
    </row>
    <row r="2685">
      <c r="A2685" t="inlineStr">
        <is>
          <t>CO-002250</t>
        </is>
      </c>
      <c r="B2685" t="inlineStr">
        <is>
          <t>PERU MASIVO S.A - BUSES</t>
        </is>
      </c>
      <c r="C2685" t="inlineStr">
        <is>
          <t>20492392031</t>
        </is>
      </c>
      <c r="D2685" t="inlineStr">
        <is>
          <t>AV. LOS INCAS CDRA. 4 PATIO NORTE - COMAS</t>
        </is>
      </c>
      <c r="E2685" t="inlineStr">
        <is>
          <t>Lima, 18 de Febrero de 2025</t>
        </is>
      </c>
      <c r="F2685" t="inlineStr">
        <is>
          <t>la Recarga y mantenimiento</t>
        </is>
      </c>
      <c r="G2685" t="inlineStr">
        <is>
          <t>07</t>
        </is>
      </c>
      <c r="H2685" t="inlineStr">
        <is>
          <t xml:space="preserve">06 KG </t>
        </is>
      </c>
      <c r="I2685" t="inlineStr">
        <is>
          <t>2024</t>
        </is>
      </c>
      <c r="J2685" t="n">
        <v>2010</v>
      </c>
      <c r="K2685" t="inlineStr">
        <is>
          <t>FEBRERO 2025</t>
        </is>
      </c>
      <c r="L2685" t="inlineStr">
        <is>
          <t>FEBRERO 2026</t>
        </is>
      </c>
      <c r="M2685" t="inlineStr">
        <is>
          <t>P.Q.S.  TIPO ABC ASIA</t>
        </is>
      </c>
      <c r="N2685" t="inlineStr">
        <is>
          <t>366/001128</t>
        </is>
      </c>
      <c r="O2685" t="inlineStr">
        <is>
          <t>R</t>
        </is>
      </c>
      <c r="P2685">
        <f>TRIM(N2685)</f>
        <v/>
      </c>
    </row>
    <row r="2686">
      <c r="A2686" t="inlineStr">
        <is>
          <t>CO-002250</t>
        </is>
      </c>
      <c r="B2686" t="inlineStr">
        <is>
          <t>PERU MASIVO S.A - BUSES</t>
        </is>
      </c>
      <c r="C2686" t="inlineStr">
        <is>
          <t>20492392031</t>
        </is>
      </c>
      <c r="D2686" t="inlineStr">
        <is>
          <t>AV. LOS INCAS CDRA. 4 PATIO NORTE - COMAS</t>
        </is>
      </c>
      <c r="E2686" t="inlineStr">
        <is>
          <t>Lima, 18 de Febrero de 2025</t>
        </is>
      </c>
      <c r="F2686" t="inlineStr">
        <is>
          <t>la Recarga y mantenimiento</t>
        </is>
      </c>
      <c r="G2686" t="inlineStr">
        <is>
          <t>08</t>
        </is>
      </c>
      <c r="H2686" t="inlineStr">
        <is>
          <t xml:space="preserve">06 KG </t>
        </is>
      </c>
      <c r="I2686" t="inlineStr">
        <is>
          <t>2024</t>
        </is>
      </c>
      <c r="J2686" t="n">
        <v>2011</v>
      </c>
      <c r="K2686" t="inlineStr">
        <is>
          <t>FEBRERO 2025</t>
        </is>
      </c>
      <c r="L2686" t="inlineStr">
        <is>
          <t>FEBRERO 2026</t>
        </is>
      </c>
      <c r="M2686" t="inlineStr">
        <is>
          <t>P.Q.S.  TIPO ABC ASIA</t>
        </is>
      </c>
      <c r="N2686" t="inlineStr">
        <is>
          <t>387/000451</t>
        </is>
      </c>
      <c r="O2686" t="inlineStr">
        <is>
          <t>R</t>
        </is>
      </c>
      <c r="P2686">
        <f>TRIM(N2686)</f>
        <v/>
      </c>
    </row>
    <row r="2687">
      <c r="A2687" t="inlineStr">
        <is>
          <t>CO-002251</t>
        </is>
      </c>
      <c r="B2687" t="inlineStr">
        <is>
          <t xml:space="preserve">LINDE PERU SRL </t>
        </is>
      </c>
      <c r="C2687" t="inlineStr">
        <is>
          <t>20338570041</t>
        </is>
      </c>
      <c r="D2687" t="inlineStr">
        <is>
          <t xml:space="preserve">CARRETERA PANAMERICANA KM 561 - VALLE SANTA CATALINA LARREA , MOCHE - TRUJILLO </t>
        </is>
      </c>
      <c r="E2687" t="inlineStr">
        <is>
          <t>Lima, 26 de febrero de 2025</t>
        </is>
      </c>
      <c r="F2687" t="inlineStr">
        <is>
          <t>la Recarga y mantenimiento</t>
        </is>
      </c>
      <c r="G2687" t="inlineStr">
        <is>
          <t>01</t>
        </is>
      </c>
      <c r="H2687" t="inlineStr">
        <is>
          <t xml:space="preserve">20 LBS </t>
        </is>
      </c>
      <c r="I2687" t="inlineStr">
        <is>
          <t>2030</t>
        </is>
      </c>
      <c r="J2687" t="n">
        <v>2015</v>
      </c>
      <c r="K2687" t="inlineStr">
        <is>
          <t>FEBRERO 2025</t>
        </is>
      </c>
      <c r="L2687" t="inlineStr">
        <is>
          <t>FEBRERO 2026</t>
        </is>
      </c>
      <c r="M2687" t="inlineStr">
        <is>
          <t xml:space="preserve">P.Q.S.  TIPO ABC </t>
        </is>
      </c>
      <c r="N2687" t="inlineStr">
        <is>
          <t>08/BF 412002</t>
        </is>
      </c>
      <c r="O2687" t="inlineStr">
        <is>
          <t>R</t>
        </is>
      </c>
      <c r="P2687">
        <f>TRIM(N2687)</f>
        <v/>
      </c>
    </row>
    <row r="2688">
      <c r="A2688" t="inlineStr">
        <is>
          <t>CO-002251</t>
        </is>
      </c>
      <c r="B2688" t="inlineStr">
        <is>
          <t xml:space="preserve">LINDE PERU SRL </t>
        </is>
      </c>
      <c r="C2688" t="inlineStr">
        <is>
          <t>20338570041</t>
        </is>
      </c>
      <c r="D2688" t="inlineStr">
        <is>
          <t xml:space="preserve">CARRETERA PANAMERICANA KM 561 - VALLE SANTA CATALINA LARREA , MOCHE - TRUJILLO </t>
        </is>
      </c>
      <c r="E2688" t="inlineStr">
        <is>
          <t>Lima, 26 de febrero de 2025</t>
        </is>
      </c>
      <c r="F2688" t="inlineStr">
        <is>
          <t>la Recarga y mantenimiento</t>
        </is>
      </c>
      <c r="G2688" t="inlineStr">
        <is>
          <t>02</t>
        </is>
      </c>
      <c r="H2688" t="inlineStr">
        <is>
          <t>20 LBS</t>
        </is>
      </c>
      <c r="I2688" t="inlineStr">
        <is>
          <t>2030</t>
        </is>
      </c>
      <c r="J2688" t="n">
        <v>2012</v>
      </c>
      <c r="K2688" t="inlineStr">
        <is>
          <t>FEBRERO 2025</t>
        </is>
      </c>
      <c r="L2688" t="inlineStr">
        <is>
          <t>FEBRERO 2026</t>
        </is>
      </c>
      <c r="M2688" t="inlineStr">
        <is>
          <t xml:space="preserve">P.Q.S.  TIPO ABC </t>
        </is>
      </c>
      <c r="N2688" t="inlineStr">
        <is>
          <t>9/BH743015</t>
        </is>
      </c>
      <c r="O2688" t="inlineStr">
        <is>
          <t>R</t>
        </is>
      </c>
      <c r="P2688">
        <f>TRIM(N2688)</f>
        <v/>
      </c>
    </row>
    <row r="2689">
      <c r="A2689" t="inlineStr">
        <is>
          <t>CO-002251</t>
        </is>
      </c>
      <c r="B2689" t="inlineStr">
        <is>
          <t xml:space="preserve">LINDE PERU SRL </t>
        </is>
      </c>
      <c r="C2689" t="inlineStr">
        <is>
          <t>20338570041</t>
        </is>
      </c>
      <c r="D2689" t="inlineStr">
        <is>
          <t xml:space="preserve">CARRETERA PANAMERICANA KM 561 - VALLE SANTA CATALINA LARREA , MOCHE - TRUJILLO </t>
        </is>
      </c>
      <c r="E2689" t="inlineStr">
        <is>
          <t>Lima, 26 de febrero de 2025</t>
        </is>
      </c>
      <c r="F2689" t="inlineStr">
        <is>
          <t>la Recarga y mantenimiento</t>
        </is>
      </c>
      <c r="G2689" t="inlineStr">
        <is>
          <t>03</t>
        </is>
      </c>
      <c r="H2689" t="inlineStr">
        <is>
          <t>20 LBS</t>
        </is>
      </c>
      <c r="I2689" t="inlineStr">
        <is>
          <t>2030</t>
        </is>
      </c>
      <c r="J2689" t="n">
        <v>2018</v>
      </c>
      <c r="K2689" t="inlineStr">
        <is>
          <t>FEBRERO 2025</t>
        </is>
      </c>
      <c r="L2689" t="inlineStr">
        <is>
          <t>FEBRERO 2026</t>
        </is>
      </c>
      <c r="M2689" t="inlineStr">
        <is>
          <t xml:space="preserve">P.Q.S.  TIPO ABC </t>
        </is>
      </c>
      <c r="N2689" t="inlineStr">
        <is>
          <t>1/964899</t>
        </is>
      </c>
      <c r="O2689" t="inlineStr">
        <is>
          <t>R</t>
        </is>
      </c>
      <c r="P2689">
        <f>TRIM(N2689)</f>
        <v/>
      </c>
    </row>
    <row r="2690">
      <c r="A2690" t="inlineStr">
        <is>
          <t>CO-002251</t>
        </is>
      </c>
      <c r="B2690" t="inlineStr">
        <is>
          <t xml:space="preserve">LINDE PERU SRL </t>
        </is>
      </c>
      <c r="C2690" t="inlineStr">
        <is>
          <t>20338570041</t>
        </is>
      </c>
      <c r="D2690" t="inlineStr">
        <is>
          <t xml:space="preserve">CARRETERA PANAMERICANA KM 561 - VALLE SANTA CATALINA LARREA , MOCHE - TRUJILLO </t>
        </is>
      </c>
      <c r="E2690" t="inlineStr">
        <is>
          <t>Lima, 26 de febrero de 2025</t>
        </is>
      </c>
      <c r="F2690" t="inlineStr">
        <is>
          <t>la Recarga y mantenimiento</t>
        </is>
      </c>
      <c r="G2690" t="inlineStr">
        <is>
          <t>04</t>
        </is>
      </c>
      <c r="H2690" t="inlineStr">
        <is>
          <t>20 LBS</t>
        </is>
      </c>
      <c r="I2690" t="inlineStr">
        <is>
          <t>2030</t>
        </is>
      </c>
      <c r="J2690" t="n">
        <v>2016</v>
      </c>
      <c r="K2690" t="inlineStr">
        <is>
          <t>FEBRERO 2025</t>
        </is>
      </c>
      <c r="L2690" t="inlineStr">
        <is>
          <t>FEBRERO 2026</t>
        </is>
      </c>
      <c r="M2690" t="inlineStr">
        <is>
          <t xml:space="preserve">CO2 TIPO BC </t>
        </is>
      </c>
      <c r="N2690" t="inlineStr">
        <is>
          <t>2/AC670179</t>
        </is>
      </c>
      <c r="O2690" t="inlineStr">
        <is>
          <t>R</t>
        </is>
      </c>
      <c r="P2690">
        <f>TRIM(N2690)</f>
        <v/>
      </c>
    </row>
    <row r="2691">
      <c r="A2691" t="inlineStr">
        <is>
          <t>CO-002251</t>
        </is>
      </c>
      <c r="B2691" t="inlineStr">
        <is>
          <t xml:space="preserve">LINDE PERU SRL </t>
        </is>
      </c>
      <c r="C2691" t="inlineStr">
        <is>
          <t>20338570041</t>
        </is>
      </c>
      <c r="D2691" t="inlineStr">
        <is>
          <t xml:space="preserve">CARRETERA PANAMERICANA KM 561 - VALLE SANTA CATALINA LARREA , MOCHE - TRUJILLO </t>
        </is>
      </c>
      <c r="E2691" t="inlineStr">
        <is>
          <t>Lima, 26 de febrero de 2025</t>
        </is>
      </c>
      <c r="F2691" t="inlineStr">
        <is>
          <t>la Recarga y mantenimiento</t>
        </is>
      </c>
      <c r="G2691" t="inlineStr">
        <is>
          <t>05</t>
        </is>
      </c>
      <c r="H2691" t="inlineStr">
        <is>
          <t>20 LBS</t>
        </is>
      </c>
      <c r="I2691" t="inlineStr">
        <is>
          <t>2030</t>
        </is>
      </c>
      <c r="J2691" t="n">
        <v>2012</v>
      </c>
      <c r="K2691" t="inlineStr">
        <is>
          <t>FEBRERO 2025</t>
        </is>
      </c>
      <c r="L2691" t="inlineStr">
        <is>
          <t>FEBRERO 2026</t>
        </is>
      </c>
      <c r="M2691" t="inlineStr">
        <is>
          <t xml:space="preserve">P.Q.S.  TIPO ABC </t>
        </is>
      </c>
      <c r="N2691" t="inlineStr">
        <is>
          <t>6/BH743036</t>
        </is>
      </c>
      <c r="O2691" t="inlineStr">
        <is>
          <t>R</t>
        </is>
      </c>
      <c r="P2691">
        <f>TRIM(N2691)</f>
        <v/>
      </c>
    </row>
    <row r="2692">
      <c r="A2692" t="inlineStr">
        <is>
          <t>CO-002251</t>
        </is>
      </c>
      <c r="B2692" t="inlineStr">
        <is>
          <t xml:space="preserve">LINDE PERU SRL </t>
        </is>
      </c>
      <c r="C2692" t="inlineStr">
        <is>
          <t>20338570041</t>
        </is>
      </c>
      <c r="D2692" t="inlineStr">
        <is>
          <t xml:space="preserve">CARRETERA PANAMERICANA KM 561 - VALLE SANTA CATALINA LARREA , MOCHE - TRUJILLO </t>
        </is>
      </c>
      <c r="E2692" t="inlineStr">
        <is>
          <t>Lima, 26 de febrero de 2025</t>
        </is>
      </c>
      <c r="F2692" t="inlineStr">
        <is>
          <t>la Recarga y mantenimiento</t>
        </is>
      </c>
      <c r="G2692" t="inlineStr">
        <is>
          <t>06</t>
        </is>
      </c>
      <c r="H2692" t="inlineStr">
        <is>
          <t>20 LBS</t>
        </is>
      </c>
      <c r="I2692" t="inlineStr">
        <is>
          <t>2030</t>
        </is>
      </c>
      <c r="J2692" t="n">
        <v>2012</v>
      </c>
      <c r="K2692" t="inlineStr">
        <is>
          <t>FEBRERO 2025</t>
        </is>
      </c>
      <c r="L2692" t="inlineStr">
        <is>
          <t>FEBRERO 2026</t>
        </is>
      </c>
      <c r="M2692" t="inlineStr">
        <is>
          <t xml:space="preserve">P.Q.S.  TIPO ABC </t>
        </is>
      </c>
      <c r="N2692" t="inlineStr">
        <is>
          <t>5/BH743043</t>
        </is>
      </c>
      <c r="O2692" t="inlineStr">
        <is>
          <t>R</t>
        </is>
      </c>
      <c r="P2692">
        <f>TRIM(N2692)</f>
        <v/>
      </c>
    </row>
    <row r="2693">
      <c r="A2693" t="inlineStr">
        <is>
          <t>CO-002251</t>
        </is>
      </c>
      <c r="B2693" t="inlineStr">
        <is>
          <t xml:space="preserve">LINDE PERU SRL </t>
        </is>
      </c>
      <c r="C2693" t="inlineStr">
        <is>
          <t>20338570041</t>
        </is>
      </c>
      <c r="D2693" t="inlineStr">
        <is>
          <t xml:space="preserve">CARRETERA PANAMERICANA KM 561 - VALLE SANTA CATALINA LARREA , MOCHE - TRUJILLO </t>
        </is>
      </c>
      <c r="E2693" t="inlineStr">
        <is>
          <t>Lima, 26 de febrero de 2025</t>
        </is>
      </c>
      <c r="F2693" t="inlineStr">
        <is>
          <t>la Recarga y mantenimiento</t>
        </is>
      </c>
      <c r="G2693" t="inlineStr">
        <is>
          <t>07</t>
        </is>
      </c>
      <c r="H2693" t="inlineStr">
        <is>
          <t>50 KG</t>
        </is>
      </c>
      <c r="I2693" t="n">
        <v>2030</v>
      </c>
      <c r="K2693" t="inlineStr">
        <is>
          <t>FEBRERO 2025</t>
        </is>
      </c>
      <c r="L2693" t="inlineStr">
        <is>
          <t>FEBRERO 2026</t>
        </is>
      </c>
      <c r="M2693" t="inlineStr">
        <is>
          <t xml:space="preserve">P.Q.S.  TIPO ABC </t>
        </is>
      </c>
      <c r="N2693" t="inlineStr">
        <is>
          <t>04/S/N</t>
        </is>
      </c>
      <c r="O2693" t="inlineStr">
        <is>
          <t>R</t>
        </is>
      </c>
      <c r="P2693">
        <f>TRIM(N2693)</f>
        <v/>
      </c>
    </row>
    <row r="2694">
      <c r="A2694" t="inlineStr">
        <is>
          <t>CO-002251</t>
        </is>
      </c>
      <c r="B2694" t="inlineStr">
        <is>
          <t xml:space="preserve">LINDE PERU SRL </t>
        </is>
      </c>
      <c r="C2694" t="inlineStr">
        <is>
          <t>20338570041</t>
        </is>
      </c>
      <c r="D2694" t="inlineStr">
        <is>
          <t xml:space="preserve">CARRETERA PANAMERICANA KM 561 - VALLE SANTA CATALINA LARREA , MOCHE - TRUJILLO </t>
        </is>
      </c>
      <c r="E2694" t="inlineStr">
        <is>
          <t>Lima, 26 de febrero de 2025</t>
        </is>
      </c>
      <c r="F2694" t="inlineStr">
        <is>
          <t>la Recarga y mantenimiento</t>
        </is>
      </c>
      <c r="G2694" t="inlineStr">
        <is>
          <t>08</t>
        </is>
      </c>
      <c r="H2694" t="inlineStr">
        <is>
          <t>20 LBS</t>
        </is>
      </c>
      <c r="I2694" t="inlineStr">
        <is>
          <t>2030</t>
        </is>
      </c>
      <c r="J2694" t="n">
        <v>2012</v>
      </c>
      <c r="K2694" t="inlineStr">
        <is>
          <t>FEBRERO 2025</t>
        </is>
      </c>
      <c r="L2694" t="inlineStr">
        <is>
          <t>FEBRERO 2026</t>
        </is>
      </c>
      <c r="M2694" t="inlineStr">
        <is>
          <t xml:space="preserve">P.Q.S.  TIPO ABC </t>
        </is>
      </c>
      <c r="N2694" t="inlineStr">
        <is>
          <t>7/BH743021</t>
        </is>
      </c>
      <c r="O2694" t="inlineStr">
        <is>
          <t>R</t>
        </is>
      </c>
      <c r="P2694">
        <f>TRIM(N2694)</f>
        <v/>
      </c>
    </row>
    <row r="2695">
      <c r="A2695" t="inlineStr">
        <is>
          <t>CO-002251</t>
        </is>
      </c>
      <c r="B2695" t="inlineStr">
        <is>
          <t xml:space="preserve">LINDE PERU SRL </t>
        </is>
      </c>
      <c r="C2695" t="inlineStr">
        <is>
          <t>20338570041</t>
        </is>
      </c>
      <c r="D2695" t="inlineStr">
        <is>
          <t xml:space="preserve">CARRETERA PANAMERICANA KM 561 - VALLE SANTA CATALINA LARREA , MOCHE - TRUJILLO </t>
        </is>
      </c>
      <c r="E2695" t="inlineStr">
        <is>
          <t>Lima, 26 de febrero de 2025</t>
        </is>
      </c>
      <c r="F2695" t="inlineStr">
        <is>
          <t>la Recarga y mantenimiento</t>
        </is>
      </c>
      <c r="G2695" t="inlineStr">
        <is>
          <t>09</t>
        </is>
      </c>
      <c r="H2695" t="inlineStr">
        <is>
          <t>05 LBS</t>
        </is>
      </c>
      <c r="I2695" t="n">
        <v>2030</v>
      </c>
      <c r="J2695" t="n">
        <v>2014</v>
      </c>
      <c r="K2695" t="inlineStr">
        <is>
          <t>FEBRERO 2025</t>
        </is>
      </c>
      <c r="L2695" t="inlineStr">
        <is>
          <t>FEBRERO 2026</t>
        </is>
      </c>
      <c r="M2695" t="inlineStr">
        <is>
          <t xml:space="preserve">CO2 TIPO BC </t>
        </is>
      </c>
      <c r="N2695" t="inlineStr">
        <is>
          <t>3/000240</t>
        </is>
      </c>
      <c r="O2695" t="inlineStr">
        <is>
          <t>R</t>
        </is>
      </c>
      <c r="P2695">
        <f>TRIM(N2695)</f>
        <v/>
      </c>
    </row>
    <row r="2696">
      <c r="A2696" t="inlineStr">
        <is>
          <t>CO-002252</t>
        </is>
      </c>
      <c r="B2696" t="inlineStr">
        <is>
          <t>SUNAT - AREQUIPA - SEDE MOLLENDO</t>
        </is>
      </c>
      <c r="C2696" t="inlineStr">
        <is>
          <t>20131312955</t>
        </is>
      </c>
      <c r="D2696" t="inlineStr">
        <is>
          <t>Av. Tupac Amaru 102 Urb. Miramar</t>
        </is>
      </c>
      <c r="E2696" t="inlineStr">
        <is>
          <t>Lima, 21 de febrero de 2025</t>
        </is>
      </c>
      <c r="F2696" t="inlineStr">
        <is>
          <t>la Recarga y mantenimiento</t>
        </is>
      </c>
      <c r="G2696" t="inlineStr">
        <is>
          <t>01</t>
        </is>
      </c>
      <c r="H2696" t="inlineStr">
        <is>
          <t>12 KG</t>
        </is>
      </c>
      <c r="I2696" t="inlineStr">
        <is>
          <t>2030</t>
        </is>
      </c>
      <c r="J2696" t="n">
        <v>2015</v>
      </c>
      <c r="K2696" t="inlineStr">
        <is>
          <t>FEBRERO 2025</t>
        </is>
      </c>
      <c r="L2696" t="inlineStr">
        <is>
          <t>FEBRERO 2026</t>
        </is>
      </c>
      <c r="M2696" t="inlineStr">
        <is>
          <t xml:space="preserve">P.Q.S.  TIPO ABC </t>
        </is>
      </c>
      <c r="N2696" t="inlineStr">
        <is>
          <t>S/N/000387</t>
        </is>
      </c>
      <c r="O2696" t="inlineStr">
        <is>
          <t>R</t>
        </is>
      </c>
      <c r="P2696">
        <f>TRIM(N2696)</f>
        <v/>
      </c>
    </row>
    <row r="2697">
      <c r="A2697" t="inlineStr">
        <is>
          <t>CO-002252</t>
        </is>
      </c>
      <c r="B2697" t="inlineStr">
        <is>
          <t>SUNAT - AREQUIPA - SEDE MOLLENDO</t>
        </is>
      </c>
      <c r="C2697" t="inlineStr">
        <is>
          <t>20131312955</t>
        </is>
      </c>
      <c r="D2697" t="inlineStr">
        <is>
          <t>Av. Tupac Amaru 102 Urb. Miramar</t>
        </is>
      </c>
      <c r="E2697" t="inlineStr">
        <is>
          <t>Lima, 21 de febrero de 2025</t>
        </is>
      </c>
      <c r="F2697" t="inlineStr">
        <is>
          <t>la Recarga y mantenimiento</t>
        </is>
      </c>
      <c r="G2697" t="inlineStr">
        <is>
          <t>02</t>
        </is>
      </c>
      <c r="H2697" t="inlineStr">
        <is>
          <t>04 KG</t>
        </is>
      </c>
      <c r="I2697" t="inlineStr">
        <is>
          <t>2030</t>
        </is>
      </c>
      <c r="J2697" t="n">
        <v>2023</v>
      </c>
      <c r="K2697" t="inlineStr">
        <is>
          <t>FEBRERO 2025</t>
        </is>
      </c>
      <c r="L2697" t="inlineStr">
        <is>
          <t>FEBRERO 2026</t>
        </is>
      </c>
      <c r="M2697" t="inlineStr">
        <is>
          <t xml:space="preserve">P.Q.S.  TIPO ABC </t>
        </is>
      </c>
      <c r="N2697" t="inlineStr">
        <is>
          <t>S/N/000270</t>
        </is>
      </c>
      <c r="O2697" t="inlineStr">
        <is>
          <t>R</t>
        </is>
      </c>
      <c r="P2697">
        <f>TRIM(N2697)</f>
        <v/>
      </c>
    </row>
    <row r="2698">
      <c r="A2698" t="inlineStr">
        <is>
          <t>CO-002253</t>
        </is>
      </c>
      <c r="B2698" t="inlineStr">
        <is>
          <t>CHATARRERIA AARON</t>
        </is>
      </c>
      <c r="D2698" t="inlineStr">
        <is>
          <t>PASAJE 23 MZ. J LOTE 15 AÑO NUEVO - COMAS</t>
        </is>
      </c>
      <c r="E2698" t="inlineStr">
        <is>
          <t>Lima, 21 de febrero de 2025</t>
        </is>
      </c>
      <c r="F2698" t="inlineStr">
        <is>
          <t>la Recarga y mantenimiento</t>
        </is>
      </c>
      <c r="G2698" t="inlineStr">
        <is>
          <t>01</t>
        </is>
      </c>
      <c r="H2698" t="inlineStr">
        <is>
          <t xml:space="preserve">06 KG </t>
        </is>
      </c>
      <c r="I2698" t="inlineStr">
        <is>
          <t>2027</t>
        </is>
      </c>
      <c r="J2698" t="n">
        <v>2014</v>
      </c>
      <c r="K2698" t="inlineStr">
        <is>
          <t>FEBRERO 2025</t>
        </is>
      </c>
      <c r="L2698" t="inlineStr">
        <is>
          <t>FEBRERO 2026</t>
        </is>
      </c>
      <c r="M2698" t="inlineStr">
        <is>
          <t xml:space="preserve">P.Q.S.  TIPO ABC </t>
        </is>
      </c>
      <c r="N2698" t="inlineStr">
        <is>
          <t>02/003505</t>
        </is>
      </c>
      <c r="O2698" t="inlineStr">
        <is>
          <t>R</t>
        </is>
      </c>
      <c r="P2698">
        <f>TRIM(N2698)</f>
        <v/>
      </c>
    </row>
    <row r="2699">
      <c r="A2699" t="inlineStr">
        <is>
          <t>CO-002254</t>
        </is>
      </c>
      <c r="B2699" t="inlineStr">
        <is>
          <t xml:space="preserve">LINDE PERU SRL </t>
        </is>
      </c>
      <c r="C2699" t="inlineStr">
        <is>
          <t>20338570041</t>
        </is>
      </c>
      <c r="D2699" t="inlineStr">
        <is>
          <t xml:space="preserve">AV. NRIQUE MEINGGS 2895, CHIMBOTE, SANTA -  ANCASH </t>
        </is>
      </c>
      <c r="E2699" t="inlineStr">
        <is>
          <t>Lima, 24 de febrero de 2025</t>
        </is>
      </c>
      <c r="F2699" t="inlineStr">
        <is>
          <t>la Recarga y mantenimiento</t>
        </is>
      </c>
      <c r="G2699" t="inlineStr">
        <is>
          <t>01</t>
        </is>
      </c>
      <c r="H2699" t="inlineStr">
        <is>
          <t xml:space="preserve">06 KG </t>
        </is>
      </c>
      <c r="I2699" t="inlineStr">
        <is>
          <t>2030</t>
        </is>
      </c>
      <c r="J2699" t="n">
        <v>2020</v>
      </c>
      <c r="K2699" t="inlineStr">
        <is>
          <t>FEBRERO 2025</t>
        </is>
      </c>
      <c r="L2699" t="inlineStr">
        <is>
          <t>FEBRERO 2026</t>
        </is>
      </c>
      <c r="M2699" t="inlineStr">
        <is>
          <t xml:space="preserve">P.Q.S.  TIPO ABC </t>
        </is>
      </c>
      <c r="N2699" t="inlineStr">
        <is>
          <t>01/002375</t>
        </is>
      </c>
      <c r="O2699" t="inlineStr">
        <is>
          <t>R</t>
        </is>
      </c>
      <c r="P2699">
        <f>TRIM(N2699)</f>
        <v/>
      </c>
    </row>
    <row r="2700">
      <c r="A2700" t="inlineStr">
        <is>
          <t>CO-002254</t>
        </is>
      </c>
      <c r="B2700" t="inlineStr">
        <is>
          <t xml:space="preserve">LINDE PERU SRL </t>
        </is>
      </c>
      <c r="C2700" t="inlineStr">
        <is>
          <t>20338570041</t>
        </is>
      </c>
      <c r="D2700" t="inlineStr">
        <is>
          <t xml:space="preserve">AV. NRIQUE MEINGGS 2895, CHIMBOTE, SANTA -  ANCASH </t>
        </is>
      </c>
      <c r="E2700" t="inlineStr">
        <is>
          <t>Lima, 24 de febrero de 2025</t>
        </is>
      </c>
      <c r="F2700" t="inlineStr">
        <is>
          <t>la Recarga y mantenimiento</t>
        </is>
      </c>
      <c r="G2700" t="inlineStr">
        <is>
          <t>02</t>
        </is>
      </c>
      <c r="H2700" t="inlineStr">
        <is>
          <t>06KG</t>
        </is>
      </c>
      <c r="I2700" t="inlineStr">
        <is>
          <t>2030</t>
        </is>
      </c>
      <c r="J2700" t="n">
        <v>2020</v>
      </c>
      <c r="K2700" t="inlineStr">
        <is>
          <t>FEBRERO 2025</t>
        </is>
      </c>
      <c r="L2700" t="inlineStr">
        <is>
          <t>FEBRERO 2026</t>
        </is>
      </c>
      <c r="M2700" t="inlineStr">
        <is>
          <t xml:space="preserve">P.Q.S.  TIPO ABC </t>
        </is>
      </c>
      <c r="N2700" t="inlineStr">
        <is>
          <t>02/003431</t>
        </is>
      </c>
      <c r="O2700" t="inlineStr">
        <is>
          <t>R</t>
        </is>
      </c>
      <c r="P2700">
        <f>TRIM(N2700)</f>
        <v/>
      </c>
    </row>
    <row r="2701">
      <c r="A2701" t="inlineStr">
        <is>
          <t>CO-002254</t>
        </is>
      </c>
      <c r="B2701" t="inlineStr">
        <is>
          <t xml:space="preserve">LINDE PERU SRL </t>
        </is>
      </c>
      <c r="C2701" t="inlineStr">
        <is>
          <t>20338570041</t>
        </is>
      </c>
      <c r="D2701" t="inlineStr">
        <is>
          <t xml:space="preserve">AV. NRIQUE MEINGGS 2895, CHIMBOTE, SANTA -  ANCASH </t>
        </is>
      </c>
      <c r="E2701" t="inlineStr">
        <is>
          <t>Lima, 24 de febrero de 2025</t>
        </is>
      </c>
      <c r="F2701" t="inlineStr">
        <is>
          <t>la Recarga y mantenimiento</t>
        </is>
      </c>
      <c r="G2701" t="inlineStr">
        <is>
          <t>03</t>
        </is>
      </c>
      <c r="H2701" t="inlineStr">
        <is>
          <t>06KG</t>
        </is>
      </c>
      <c r="I2701" t="inlineStr">
        <is>
          <t>2030</t>
        </is>
      </c>
      <c r="J2701" t="n">
        <v>2020</v>
      </c>
      <c r="K2701" t="inlineStr">
        <is>
          <t>FEBRERO 2025</t>
        </is>
      </c>
      <c r="L2701" t="inlineStr">
        <is>
          <t>FEBRERO 2026</t>
        </is>
      </c>
      <c r="M2701" t="inlineStr">
        <is>
          <t xml:space="preserve">P.Q.S.  TIPO ABC </t>
        </is>
      </c>
      <c r="N2701" t="inlineStr">
        <is>
          <t>05/001287</t>
        </is>
      </c>
      <c r="O2701" t="inlineStr">
        <is>
          <t>R</t>
        </is>
      </c>
      <c r="P2701">
        <f>TRIM(N2701)</f>
        <v/>
      </c>
    </row>
    <row r="2702">
      <c r="A2702" t="inlineStr">
        <is>
          <t>CO-002254</t>
        </is>
      </c>
      <c r="B2702" t="inlineStr">
        <is>
          <t xml:space="preserve">LINDE PERU SRL </t>
        </is>
      </c>
      <c r="C2702" t="inlineStr">
        <is>
          <t>20338570041</t>
        </is>
      </c>
      <c r="D2702" t="inlineStr">
        <is>
          <t xml:space="preserve">AV. NRIQUE MEINGGS 2895, CHIMBOTE, SANTA -  ANCASH </t>
        </is>
      </c>
      <c r="E2702" t="inlineStr">
        <is>
          <t>Lima, 24 de febrero de 2025</t>
        </is>
      </c>
      <c r="F2702" t="inlineStr">
        <is>
          <t>la Recarga y mantenimiento</t>
        </is>
      </c>
      <c r="G2702" t="inlineStr">
        <is>
          <t>04</t>
        </is>
      </c>
      <c r="H2702" t="inlineStr">
        <is>
          <t>06 KG</t>
        </is>
      </c>
      <c r="I2702" t="inlineStr">
        <is>
          <t>2030</t>
        </is>
      </c>
      <c r="J2702" t="n">
        <v>2020</v>
      </c>
      <c r="K2702" t="inlineStr">
        <is>
          <t>FEBRERO 2025</t>
        </is>
      </c>
      <c r="L2702" t="inlineStr">
        <is>
          <t>FEBRERO 2026</t>
        </is>
      </c>
      <c r="M2702" t="inlineStr">
        <is>
          <t xml:space="preserve">P.Q.S.  TIPO ABC </t>
        </is>
      </c>
      <c r="N2702" t="inlineStr">
        <is>
          <t>06/006160</t>
        </is>
      </c>
      <c r="O2702" t="inlineStr">
        <is>
          <t>R</t>
        </is>
      </c>
      <c r="P2702">
        <f>TRIM(N2702)</f>
        <v/>
      </c>
    </row>
    <row r="2703">
      <c r="A2703" t="inlineStr">
        <is>
          <t>CO-002254</t>
        </is>
      </c>
      <c r="B2703" t="inlineStr">
        <is>
          <t xml:space="preserve">LINDE PERU SRL </t>
        </is>
      </c>
      <c r="C2703" t="inlineStr">
        <is>
          <t>20338570041</t>
        </is>
      </c>
      <c r="D2703" t="inlineStr">
        <is>
          <t xml:space="preserve">AV. NRIQUE MEINGGS 2895, CHIMBOTE, SANTA -  ANCASH </t>
        </is>
      </c>
      <c r="E2703" t="inlineStr">
        <is>
          <t>Lima, 24 de febrero de 2025</t>
        </is>
      </c>
      <c r="F2703" t="inlineStr">
        <is>
          <t>la Recarga y mantenimiento</t>
        </is>
      </c>
      <c r="G2703" t="inlineStr">
        <is>
          <t>05</t>
        </is>
      </c>
      <c r="H2703" t="inlineStr">
        <is>
          <t>50 KG</t>
        </is>
      </c>
      <c r="I2703" t="inlineStr">
        <is>
          <t>2030</t>
        </is>
      </c>
      <c r="J2703" t="n">
        <v>2021</v>
      </c>
      <c r="K2703" t="inlineStr">
        <is>
          <t>FEBRERO 2025</t>
        </is>
      </c>
      <c r="L2703" t="inlineStr">
        <is>
          <t>FEBRERO 2026</t>
        </is>
      </c>
      <c r="M2703" t="inlineStr">
        <is>
          <t xml:space="preserve">P.Q.S.  TIPO ABC </t>
        </is>
      </c>
      <c r="N2703" t="inlineStr">
        <is>
          <t>03/005498</t>
        </is>
      </c>
      <c r="O2703" t="inlineStr">
        <is>
          <t>R</t>
        </is>
      </c>
      <c r="P2703">
        <f>TRIM(N2703)</f>
        <v/>
      </c>
    </row>
    <row r="2704">
      <c r="A2704" t="inlineStr">
        <is>
          <t>CO-002254</t>
        </is>
      </c>
      <c r="B2704" t="inlineStr">
        <is>
          <t xml:space="preserve">LINDE PERU SRL </t>
        </is>
      </c>
      <c r="C2704" t="inlineStr">
        <is>
          <t>20338570041</t>
        </is>
      </c>
      <c r="D2704" t="inlineStr">
        <is>
          <t xml:space="preserve">AV. NRIQUE MEINGGS 2895, CHIMBOTE, SANTA -  ANCASH </t>
        </is>
      </c>
      <c r="E2704" t="inlineStr">
        <is>
          <t>Lima, 24 de febrero de 2025</t>
        </is>
      </c>
      <c r="F2704" t="inlineStr">
        <is>
          <t>la Recarga y mantenimiento</t>
        </is>
      </c>
      <c r="G2704" t="inlineStr">
        <is>
          <t>06</t>
        </is>
      </c>
      <c r="H2704" t="inlineStr">
        <is>
          <t>50 KG</t>
        </is>
      </c>
      <c r="I2704" t="inlineStr">
        <is>
          <t>2030</t>
        </is>
      </c>
      <c r="J2704" t="n">
        <v>2021</v>
      </c>
      <c r="K2704" t="inlineStr">
        <is>
          <t>FEBRERO 2025</t>
        </is>
      </c>
      <c r="L2704" t="inlineStr">
        <is>
          <t>FEBRERO 2026</t>
        </is>
      </c>
      <c r="M2704" t="inlineStr">
        <is>
          <t xml:space="preserve">P.Q.S.  TIPO ABC </t>
        </is>
      </c>
      <c r="N2704" t="inlineStr">
        <is>
          <t>07/6391</t>
        </is>
      </c>
      <c r="O2704" t="inlineStr">
        <is>
          <t>R</t>
        </is>
      </c>
      <c r="P2704">
        <f>TRIM(N2704)</f>
        <v/>
      </c>
    </row>
    <row r="2705">
      <c r="A2705" t="inlineStr">
        <is>
          <t>CO-002254</t>
        </is>
      </c>
      <c r="B2705" t="inlineStr">
        <is>
          <t xml:space="preserve">LINDE PERU SRL </t>
        </is>
      </c>
      <c r="C2705" t="inlineStr">
        <is>
          <t>20338570041</t>
        </is>
      </c>
      <c r="D2705" t="inlineStr">
        <is>
          <t xml:space="preserve">AV. NRIQUE MEINGGS 2895, CHIMBOTE, SANTA -  ANCASH </t>
        </is>
      </c>
      <c r="E2705" t="inlineStr">
        <is>
          <t>Lima, 24 de febrero de 2025</t>
        </is>
      </c>
      <c r="F2705" t="inlineStr">
        <is>
          <t>la Recarga y mantenimiento</t>
        </is>
      </c>
      <c r="G2705" t="inlineStr">
        <is>
          <t>07</t>
        </is>
      </c>
      <c r="H2705" t="inlineStr">
        <is>
          <t>04 KG</t>
        </is>
      </c>
      <c r="I2705" t="inlineStr">
        <is>
          <t>2030</t>
        </is>
      </c>
      <c r="J2705" t="n">
        <v>2020</v>
      </c>
      <c r="K2705" t="inlineStr">
        <is>
          <t>FEBRERO 2025</t>
        </is>
      </c>
      <c r="L2705" t="inlineStr">
        <is>
          <t>FEBRERO 2026</t>
        </is>
      </c>
      <c r="M2705" t="inlineStr">
        <is>
          <t xml:space="preserve">P.Q.S.  TIPO ABC </t>
        </is>
      </c>
      <c r="N2705" t="inlineStr">
        <is>
          <t>04/000572</t>
        </is>
      </c>
      <c r="O2705" t="inlineStr">
        <is>
          <t>R</t>
        </is>
      </c>
      <c r="P2705">
        <f>TRIM(N2705)</f>
        <v/>
      </c>
    </row>
    <row r="2706">
      <c r="A2706" t="inlineStr">
        <is>
          <t>CO-002254</t>
        </is>
      </c>
      <c r="B2706" t="inlineStr">
        <is>
          <t xml:space="preserve">LINDE PERU SRL </t>
        </is>
      </c>
      <c r="C2706" t="inlineStr">
        <is>
          <t>20338570041</t>
        </is>
      </c>
      <c r="D2706" t="inlineStr">
        <is>
          <t xml:space="preserve">AV. NRIQUE MEINGGS 2895, CHIMBOTE, SANTA -  ANCASH </t>
        </is>
      </c>
      <c r="E2706" t="inlineStr">
        <is>
          <t>Lima, 24 de febrero de 2025</t>
        </is>
      </c>
      <c r="F2706" t="inlineStr">
        <is>
          <t>la Recarga y mantenimiento</t>
        </is>
      </c>
      <c r="G2706" t="inlineStr">
        <is>
          <t>08</t>
        </is>
      </c>
      <c r="H2706" t="inlineStr">
        <is>
          <t>10 LBS</t>
        </is>
      </c>
      <c r="I2706" t="n">
        <v>2030</v>
      </c>
      <c r="J2706" t="n">
        <v>2022</v>
      </c>
      <c r="K2706" t="inlineStr">
        <is>
          <t>FEBRERO 2025</t>
        </is>
      </c>
      <c r="L2706" t="inlineStr">
        <is>
          <t>FEBRERO 2026</t>
        </is>
      </c>
      <c r="M2706" t="inlineStr">
        <is>
          <t xml:space="preserve">CO2 TIPO BC </t>
        </is>
      </c>
      <c r="N2706" t="inlineStr">
        <is>
          <t>08/000667</t>
        </is>
      </c>
      <c r="O2706" t="inlineStr">
        <is>
          <t>R</t>
        </is>
      </c>
      <c r="P2706">
        <f>TRIM(N2706)</f>
        <v/>
      </c>
    </row>
    <row r="2707">
      <c r="A2707" t="inlineStr">
        <is>
          <t>CO-002255</t>
        </is>
      </c>
      <c r="B2707" t="inlineStr">
        <is>
          <t xml:space="preserve">LINDE PERU SRL </t>
        </is>
      </c>
      <c r="C2707" t="inlineStr">
        <is>
          <t>20338570041</t>
        </is>
      </c>
      <c r="D2707" t="inlineStr">
        <is>
          <t>JR E MZ 225 LT 13 ZONA INDUSTRIAL ANTIGUA PIURA - PIURA</t>
        </is>
      </c>
      <c r="E2707" t="inlineStr">
        <is>
          <t>Lima, 24 de febrero de 2025</t>
        </is>
      </c>
      <c r="F2707" t="inlineStr">
        <is>
          <t>la Recarga y mantenimiento</t>
        </is>
      </c>
      <c r="G2707" t="inlineStr">
        <is>
          <t>01</t>
        </is>
      </c>
      <c r="H2707" t="inlineStr">
        <is>
          <t xml:space="preserve">12 KG </t>
        </is>
      </c>
      <c r="I2707" t="inlineStr">
        <is>
          <t>2030</t>
        </is>
      </c>
      <c r="J2707" t="inlineStr">
        <is>
          <t>S/N</t>
        </is>
      </c>
      <c r="K2707" t="inlineStr">
        <is>
          <t>FEBRERO 2025</t>
        </is>
      </c>
      <c r="L2707" t="inlineStr">
        <is>
          <t>FEBRERO 2026</t>
        </is>
      </c>
      <c r="M2707" t="inlineStr">
        <is>
          <t xml:space="preserve">P.Q.S.  TIPO ABC </t>
        </is>
      </c>
      <c r="N2707" t="inlineStr">
        <is>
          <t>01/025599</t>
        </is>
      </c>
      <c r="O2707" t="inlineStr">
        <is>
          <t>R</t>
        </is>
      </c>
      <c r="P2707">
        <f>TRIM(N2707)</f>
        <v/>
      </c>
    </row>
    <row r="2708">
      <c r="A2708" t="inlineStr">
        <is>
          <t>CO-002255</t>
        </is>
      </c>
      <c r="B2708" t="inlineStr">
        <is>
          <t xml:space="preserve">LINDE PERU SRL </t>
        </is>
      </c>
      <c r="C2708" t="inlineStr">
        <is>
          <t>20338570041</t>
        </is>
      </c>
      <c r="D2708" t="inlineStr">
        <is>
          <t>JR E MZ 225 LT 13 ZONA INDUSTRIAL ANTIGUA PIURA - PIURA</t>
        </is>
      </c>
      <c r="E2708" t="inlineStr">
        <is>
          <t>Lima, 24 de febrero de 2025</t>
        </is>
      </c>
      <c r="F2708" t="inlineStr">
        <is>
          <t>la Recarga y mantenimiento</t>
        </is>
      </c>
      <c r="G2708" t="inlineStr">
        <is>
          <t>02</t>
        </is>
      </c>
      <c r="H2708" t="inlineStr">
        <is>
          <t xml:space="preserve">06 KG </t>
        </is>
      </c>
      <c r="I2708" t="inlineStr">
        <is>
          <t>2030</t>
        </is>
      </c>
      <c r="J2708" t="inlineStr">
        <is>
          <t>S/N</t>
        </is>
      </c>
      <c r="K2708" t="inlineStr">
        <is>
          <t>FEBRERO 2025</t>
        </is>
      </c>
      <c r="L2708" t="inlineStr">
        <is>
          <t>FEBRERO 2026</t>
        </is>
      </c>
      <c r="M2708" t="inlineStr">
        <is>
          <t xml:space="preserve">P.Q.S.  TIPO ABC </t>
        </is>
      </c>
      <c r="N2708" t="inlineStr">
        <is>
          <t>02/022519</t>
        </is>
      </c>
      <c r="O2708" t="inlineStr">
        <is>
          <t>R</t>
        </is>
      </c>
      <c r="P2708">
        <f>TRIM(N2708)</f>
        <v/>
      </c>
    </row>
    <row r="2709">
      <c r="A2709" t="inlineStr">
        <is>
          <t>CO-002255</t>
        </is>
      </c>
      <c r="B2709" t="inlineStr">
        <is>
          <t xml:space="preserve">LINDE PERU SRL </t>
        </is>
      </c>
      <c r="C2709" t="inlineStr">
        <is>
          <t>20338570041</t>
        </is>
      </c>
      <c r="D2709" t="inlineStr">
        <is>
          <t>JR E MZ 225 LT 13 ZONA INDUSTRIAL ANTIGUA PIURA - PIURA</t>
        </is>
      </c>
      <c r="E2709" t="inlineStr">
        <is>
          <t>Lima, 24 de febrero de 2025</t>
        </is>
      </c>
      <c r="F2709" t="inlineStr">
        <is>
          <t>la Recarga y mantenimiento</t>
        </is>
      </c>
      <c r="G2709" t="inlineStr">
        <is>
          <t>03</t>
        </is>
      </c>
      <c r="H2709" t="inlineStr">
        <is>
          <t>06 KG</t>
        </is>
      </c>
      <c r="I2709" t="n">
        <v>2030</v>
      </c>
      <c r="J2709" t="n">
        <v>2001</v>
      </c>
      <c r="K2709" t="inlineStr">
        <is>
          <t>FEBRERO 2025</t>
        </is>
      </c>
      <c r="L2709" t="inlineStr">
        <is>
          <t>FEBRERO 2026</t>
        </is>
      </c>
      <c r="M2709" t="inlineStr">
        <is>
          <t xml:space="preserve">P.Q.S.  TIPO ABC </t>
        </is>
      </c>
      <c r="N2709" t="inlineStr">
        <is>
          <t>03/000232</t>
        </is>
      </c>
      <c r="O2709" t="inlineStr">
        <is>
          <t>R</t>
        </is>
      </c>
      <c r="P2709">
        <f>TRIM(N2709)</f>
        <v/>
      </c>
    </row>
    <row r="2710">
      <c r="A2710" t="inlineStr">
        <is>
          <t>CO-002255</t>
        </is>
      </c>
      <c r="B2710" t="inlineStr">
        <is>
          <t xml:space="preserve">LINDE PERU SRL </t>
        </is>
      </c>
      <c r="C2710" t="inlineStr">
        <is>
          <t>20338570041</t>
        </is>
      </c>
      <c r="D2710" t="inlineStr">
        <is>
          <t>JR E MZ 225 LT 13 ZONA INDUSTRIAL ANTIGUA PIURA - PIURA</t>
        </is>
      </c>
      <c r="E2710" t="inlineStr">
        <is>
          <t>Lima, 24 de febrero de 2025</t>
        </is>
      </c>
      <c r="F2710" t="inlineStr">
        <is>
          <t>la Recarga y mantenimiento</t>
        </is>
      </c>
      <c r="G2710" t="inlineStr">
        <is>
          <t>04</t>
        </is>
      </c>
      <c r="H2710" t="inlineStr">
        <is>
          <t>06 KG</t>
        </is>
      </c>
      <c r="I2710" t="n">
        <v>2030</v>
      </c>
      <c r="J2710" t="inlineStr">
        <is>
          <t>S/N</t>
        </is>
      </c>
      <c r="K2710" t="inlineStr">
        <is>
          <t>FEBRERO 2025</t>
        </is>
      </c>
      <c r="L2710" t="inlineStr">
        <is>
          <t>FEBRERO 2026</t>
        </is>
      </c>
      <c r="M2710" t="inlineStr">
        <is>
          <t xml:space="preserve">P.Q.S.  TIPO ABC </t>
        </is>
      </c>
      <c r="N2710" t="inlineStr">
        <is>
          <t>04/022547</t>
        </is>
      </c>
      <c r="O2710" t="inlineStr">
        <is>
          <t>R</t>
        </is>
      </c>
      <c r="P2710">
        <f>TRIM(N2710)</f>
        <v/>
      </c>
    </row>
    <row r="2711">
      <c r="A2711" t="inlineStr">
        <is>
          <t>CO-002255</t>
        </is>
      </c>
      <c r="B2711" t="inlineStr">
        <is>
          <t xml:space="preserve">LINDE PERU SRL </t>
        </is>
      </c>
      <c r="C2711" t="inlineStr">
        <is>
          <t>20338570041</t>
        </is>
      </c>
      <c r="D2711" t="inlineStr">
        <is>
          <t>JR E MZ 225 LT 13 ZONA INDUSTRIAL ANTIGUA PIURA - PIURA</t>
        </is>
      </c>
      <c r="E2711" t="inlineStr">
        <is>
          <t>Lima, 24 de febrero de 2025</t>
        </is>
      </c>
      <c r="F2711" t="inlineStr">
        <is>
          <t>la Recarga y mantenimiento</t>
        </is>
      </c>
      <c r="G2711" t="inlineStr">
        <is>
          <t>05</t>
        </is>
      </c>
      <c r="H2711" t="inlineStr">
        <is>
          <t>50 LBS</t>
        </is>
      </c>
      <c r="I2711" t="n">
        <v>2030</v>
      </c>
      <c r="J2711" t="n">
        <v>2008</v>
      </c>
      <c r="K2711" t="inlineStr">
        <is>
          <t>FEBRERO 2025</t>
        </is>
      </c>
      <c r="L2711" t="inlineStr">
        <is>
          <t>FEBRERO 2026</t>
        </is>
      </c>
      <c r="M2711" t="inlineStr">
        <is>
          <t xml:space="preserve">CO2 TIPO BC </t>
        </is>
      </c>
      <c r="N2711" t="inlineStr">
        <is>
          <t>05/002065</t>
        </is>
      </c>
      <c r="O2711" t="inlineStr">
        <is>
          <t>R</t>
        </is>
      </c>
      <c r="P2711">
        <f>TRIM(N2711)</f>
        <v/>
      </c>
    </row>
    <row r="2712">
      <c r="A2712" t="inlineStr">
        <is>
          <t>CO-002255</t>
        </is>
      </c>
      <c r="B2712" t="inlineStr">
        <is>
          <t xml:space="preserve">LINDE PERU SRL </t>
        </is>
      </c>
      <c r="C2712" t="inlineStr">
        <is>
          <t>20338570041</t>
        </is>
      </c>
      <c r="D2712" t="inlineStr">
        <is>
          <t>JR E MZ 225 LT 13 ZONA INDUSTRIAL ANTIGUA PIURA - PIURA</t>
        </is>
      </c>
      <c r="E2712" t="inlineStr">
        <is>
          <t>Lima, 24 de febrero de 2025</t>
        </is>
      </c>
      <c r="F2712" t="inlineStr">
        <is>
          <t>la Recarga y mantenimiento</t>
        </is>
      </c>
      <c r="G2712" t="inlineStr">
        <is>
          <t>06</t>
        </is>
      </c>
      <c r="H2712" t="inlineStr">
        <is>
          <t>12 KG</t>
        </is>
      </c>
      <c r="I2712" t="n">
        <v>2030</v>
      </c>
      <c r="J2712" t="inlineStr">
        <is>
          <t>S/N</t>
        </is>
      </c>
      <c r="K2712" t="inlineStr">
        <is>
          <t>FEBRERO 2025</t>
        </is>
      </c>
      <c r="L2712" t="inlineStr">
        <is>
          <t>FEBRERO 2026</t>
        </is>
      </c>
      <c r="M2712" t="inlineStr">
        <is>
          <t xml:space="preserve">P.Q.S.  TIPO ABC </t>
        </is>
      </c>
      <c r="N2712" t="inlineStr">
        <is>
          <t>06/025686</t>
        </is>
      </c>
      <c r="O2712" t="inlineStr">
        <is>
          <t>R</t>
        </is>
      </c>
      <c r="P2712">
        <f>TRIM(N2712)</f>
        <v/>
      </c>
    </row>
    <row r="2713">
      <c r="A2713" t="inlineStr">
        <is>
          <t>CO-002255</t>
        </is>
      </c>
      <c r="B2713" t="inlineStr">
        <is>
          <t xml:space="preserve">LINDE PERU SRL </t>
        </is>
      </c>
      <c r="C2713" t="inlineStr">
        <is>
          <t>20338570041</t>
        </is>
      </c>
      <c r="D2713" t="inlineStr">
        <is>
          <t>JR E MZ 225 LT 13 ZONA INDUSTRIAL ANTIGUA PIURA - PIURA</t>
        </is>
      </c>
      <c r="E2713" t="inlineStr">
        <is>
          <t>Lima, 24 de febrero de 2025</t>
        </is>
      </c>
      <c r="F2713" t="inlineStr">
        <is>
          <t>la Recarga y mantenimiento</t>
        </is>
      </c>
      <c r="G2713" t="inlineStr">
        <is>
          <t>07</t>
        </is>
      </c>
      <c r="H2713" t="inlineStr">
        <is>
          <t>125 LBS</t>
        </is>
      </c>
      <c r="I2713" t="n">
        <v>2030</v>
      </c>
      <c r="J2713" t="n">
        <v>2003</v>
      </c>
      <c r="K2713" t="inlineStr">
        <is>
          <t>FEBRERO 2025</t>
        </is>
      </c>
      <c r="L2713" t="inlineStr">
        <is>
          <t>FEBRERO 2026</t>
        </is>
      </c>
      <c r="M2713" t="inlineStr">
        <is>
          <t xml:space="preserve">P.Q.S.  TIPO ABC </t>
        </is>
      </c>
      <c r="N2713" t="inlineStr">
        <is>
          <t>07/000081</t>
        </is>
      </c>
      <c r="O2713" t="inlineStr">
        <is>
          <t>R</t>
        </is>
      </c>
      <c r="P2713">
        <f>TRIM(N2713)</f>
        <v/>
      </c>
    </row>
    <row r="2714">
      <c r="A2714" t="inlineStr">
        <is>
          <t>CO-002255</t>
        </is>
      </c>
      <c r="B2714" t="inlineStr">
        <is>
          <t xml:space="preserve">LINDE PERU SRL </t>
        </is>
      </c>
      <c r="C2714" t="inlineStr">
        <is>
          <t>20338570041</t>
        </is>
      </c>
      <c r="D2714" t="inlineStr">
        <is>
          <t>JR E MZ 225 LT 13 ZONA INDUSTRIAL ANTIGUA PIURA - PIURA</t>
        </is>
      </c>
      <c r="E2714" t="inlineStr">
        <is>
          <t>Lima, 24 de febrero de 2025</t>
        </is>
      </c>
      <c r="F2714" t="inlineStr">
        <is>
          <t>la Recarga y mantenimiento</t>
        </is>
      </c>
      <c r="G2714" t="inlineStr">
        <is>
          <t>08</t>
        </is>
      </c>
      <c r="H2714" t="inlineStr">
        <is>
          <t>09 KG</t>
        </is>
      </c>
      <c r="I2714" t="n">
        <v>2030</v>
      </c>
      <c r="J2714" t="n">
        <v>2003</v>
      </c>
      <c r="K2714" t="inlineStr">
        <is>
          <t>FEBRERO 2025</t>
        </is>
      </c>
      <c r="L2714" t="inlineStr">
        <is>
          <t>FEBRERO 2026</t>
        </is>
      </c>
      <c r="M2714" t="inlineStr">
        <is>
          <t xml:space="preserve">P.Q.S.  TIPO ABC </t>
        </is>
      </c>
      <c r="N2714" t="inlineStr">
        <is>
          <t>08/001410</t>
        </is>
      </c>
      <c r="O2714" t="inlineStr">
        <is>
          <t>R</t>
        </is>
      </c>
      <c r="P2714">
        <f>TRIM(N2714)</f>
        <v/>
      </c>
    </row>
    <row r="2715">
      <c r="A2715" t="inlineStr">
        <is>
          <t>CO-002256</t>
        </is>
      </c>
      <c r="B2715" t="inlineStr">
        <is>
          <t>ELVIS GITIERREZ RAYMONDI</t>
        </is>
      </c>
      <c r="C2715" t="inlineStr">
        <is>
          <t>09976523</t>
        </is>
      </c>
      <c r="D2715" t="inlineStr">
        <is>
          <t>D3A-451</t>
        </is>
      </c>
      <c r="E2715" t="inlineStr">
        <is>
          <t>Lima, 24 de febrero de 2025</t>
        </is>
      </c>
      <c r="F2715" t="inlineStr">
        <is>
          <t>la Recarga y mantenimiento</t>
        </is>
      </c>
      <c r="G2715" t="inlineStr">
        <is>
          <t>01</t>
        </is>
      </c>
      <c r="H2715" t="inlineStr">
        <is>
          <t>02 KG</t>
        </is>
      </c>
      <c r="I2715" t="inlineStr">
        <is>
          <t>2028</t>
        </is>
      </c>
      <c r="J2715" t="n">
        <v>2023</v>
      </c>
      <c r="K2715" t="inlineStr">
        <is>
          <t>FEBRERO 2025</t>
        </is>
      </c>
      <c r="L2715" t="inlineStr">
        <is>
          <t>FEBRERO 2026</t>
        </is>
      </c>
      <c r="M2715" t="inlineStr">
        <is>
          <t xml:space="preserve">P.Q.S.  TIPO ABC </t>
        </is>
      </c>
      <c r="N2715" t="inlineStr">
        <is>
          <t>01/000667</t>
        </is>
      </c>
      <c r="O2715" t="inlineStr">
        <is>
          <t>R</t>
        </is>
      </c>
      <c r="P2715">
        <f>TRIM(N2715)</f>
        <v/>
      </c>
    </row>
    <row r="2716">
      <c r="A2716" t="inlineStr">
        <is>
          <t>CO-002257</t>
        </is>
      </c>
      <c r="B2716" t="inlineStr">
        <is>
          <t>INTECWELD IMPORT S.A.C.</t>
        </is>
      </c>
      <c r="C2716" t="inlineStr">
        <is>
          <t>20557041631</t>
        </is>
      </c>
      <c r="D2716" t="inlineStr">
        <is>
          <t>AV LOS ROSALES N° 328 INT. B1 URB. ASC. SHANGRILA, PTE PIEDRA</t>
        </is>
      </c>
      <c r="E2716" t="inlineStr">
        <is>
          <t>Lima, 25 de febrero de 2025</t>
        </is>
      </c>
      <c r="F2716" t="inlineStr">
        <is>
          <t>la Recarga y mantenimiento</t>
        </is>
      </c>
      <c r="G2716" t="inlineStr">
        <is>
          <t xml:space="preserve">01 </t>
        </is>
      </c>
      <c r="H2716" t="inlineStr">
        <is>
          <t xml:space="preserve">04 KG </t>
        </is>
      </c>
      <c r="I2716" t="inlineStr">
        <is>
          <t>2030</t>
        </is>
      </c>
      <c r="J2716" t="n">
        <v>2014</v>
      </c>
      <c r="K2716" t="inlineStr">
        <is>
          <t>FEBRERO 2025</t>
        </is>
      </c>
      <c r="L2716" t="inlineStr">
        <is>
          <t>FEBRERO 2026</t>
        </is>
      </c>
      <c r="M2716" t="inlineStr">
        <is>
          <t xml:space="preserve">P.Q.S.  TIPO ABC </t>
        </is>
      </c>
      <c r="N2716" t="inlineStr">
        <is>
          <t>01/000968</t>
        </is>
      </c>
      <c r="O2716" t="inlineStr">
        <is>
          <t>R</t>
        </is>
      </c>
      <c r="P2716">
        <f>TRIM(N2716)</f>
        <v/>
      </c>
    </row>
    <row r="2717">
      <c r="A2717" t="inlineStr">
        <is>
          <t>CO-002257</t>
        </is>
      </c>
      <c r="B2717" t="inlineStr">
        <is>
          <t>INTECWELD IMPORT S.A.C.</t>
        </is>
      </c>
      <c r="C2717" t="inlineStr">
        <is>
          <t>20557041631</t>
        </is>
      </c>
      <c r="D2717" t="inlineStr">
        <is>
          <t>AV LOS ROSALES N° 328 INT. B1 URB. ASC. SHANGRILA, PTE PIEDRA</t>
        </is>
      </c>
      <c r="E2717" t="inlineStr">
        <is>
          <t>Lima, 25 de febrero de 2025</t>
        </is>
      </c>
      <c r="F2717" t="inlineStr">
        <is>
          <t>la Recarga y mantenimiento</t>
        </is>
      </c>
      <c r="G2717" t="inlineStr">
        <is>
          <t>02</t>
        </is>
      </c>
      <c r="H2717" t="inlineStr">
        <is>
          <t xml:space="preserve">04 KG </t>
        </is>
      </c>
      <c r="I2717" t="inlineStr">
        <is>
          <t>2030</t>
        </is>
      </c>
      <c r="J2717" t="n">
        <v>2012</v>
      </c>
      <c r="K2717" t="inlineStr">
        <is>
          <t>FEBRERO 2025</t>
        </is>
      </c>
      <c r="L2717" t="inlineStr">
        <is>
          <t>FEBRERO 2026</t>
        </is>
      </c>
      <c r="M2717" t="inlineStr">
        <is>
          <t xml:space="preserve">P.Q.S.  TIPO ABC </t>
        </is>
      </c>
      <c r="N2717" t="inlineStr">
        <is>
          <t>02/000403</t>
        </is>
      </c>
      <c r="O2717" t="inlineStr">
        <is>
          <t>R</t>
        </is>
      </c>
      <c r="P2717">
        <f>TRIM(N2717)</f>
        <v/>
      </c>
    </row>
    <row r="2718">
      <c r="A2718" t="inlineStr">
        <is>
          <t>CO-002258</t>
        </is>
      </c>
      <c r="B2718" t="inlineStr">
        <is>
          <t>CHATARRERIA AARON</t>
        </is>
      </c>
      <c r="D2718" t="inlineStr">
        <is>
          <t>PASAJE 23 MZ. J LOTE 15 AÑO NUEVO - COMAS</t>
        </is>
      </c>
      <c r="E2718" t="inlineStr">
        <is>
          <t>Lima, 21 de febrero de 2025</t>
        </is>
      </c>
      <c r="F2718" t="inlineStr">
        <is>
          <t>la Recarga y mantenimiento</t>
        </is>
      </c>
      <c r="G2718" t="inlineStr">
        <is>
          <t>01</t>
        </is>
      </c>
      <c r="H2718" t="inlineStr">
        <is>
          <t>06 KG</t>
        </is>
      </c>
      <c r="I2718" t="inlineStr">
        <is>
          <t>2028</t>
        </is>
      </c>
      <c r="J2718" t="n">
        <v>2018</v>
      </c>
      <c r="K2718" t="inlineStr">
        <is>
          <t>FEBRERO 2025</t>
        </is>
      </c>
      <c r="L2718" t="inlineStr">
        <is>
          <t>FEBRERO 2026</t>
        </is>
      </c>
      <c r="M2718" t="inlineStr">
        <is>
          <t xml:space="preserve">P.Q.S.  TIPO ABC </t>
        </is>
      </c>
      <c r="N2718" t="inlineStr">
        <is>
          <t>02/003501</t>
        </is>
      </c>
      <c r="O2718" t="inlineStr">
        <is>
          <t>R</t>
        </is>
      </c>
      <c r="P2718">
        <f>TRIM(N2718)</f>
        <v/>
      </c>
    </row>
    <row r="2719">
      <c r="A2719" t="inlineStr">
        <is>
          <t>CO-002259</t>
        </is>
      </c>
      <c r="B2719" t="inlineStr">
        <is>
          <t xml:space="preserve">LINDE PERU SRL </t>
        </is>
      </c>
      <c r="C2719" t="inlineStr">
        <is>
          <t>20338570041</t>
        </is>
      </c>
      <c r="D2719" t="inlineStr">
        <is>
          <t>PANAMERICANA NORTE KM 77 CHOSICA DEL NORTE MZ 34 LT 3 - LA VICTORIA - CHICLAYO</t>
        </is>
      </c>
      <c r="E2719" t="inlineStr">
        <is>
          <t>Lima, 25 de febrero de 2025</t>
        </is>
      </c>
      <c r="F2719" t="inlineStr">
        <is>
          <t>la Recarga y mantenimiento</t>
        </is>
      </c>
      <c r="G2719" t="inlineStr">
        <is>
          <t>01</t>
        </is>
      </c>
      <c r="H2719" t="inlineStr">
        <is>
          <t>05 KG</t>
        </is>
      </c>
      <c r="I2719" t="inlineStr">
        <is>
          <t>2028</t>
        </is>
      </c>
      <c r="J2719" t="n">
        <v>2007</v>
      </c>
      <c r="K2719" t="inlineStr">
        <is>
          <t>FEBRERO 2025</t>
        </is>
      </c>
      <c r="L2719" t="inlineStr">
        <is>
          <t>FEBRERO 2026</t>
        </is>
      </c>
      <c r="M2719" t="inlineStr">
        <is>
          <t>CO2 TIPO BC</t>
        </is>
      </c>
      <c r="N2719" t="inlineStr">
        <is>
          <t>01/D374924</t>
        </is>
      </c>
      <c r="O2719" t="inlineStr">
        <is>
          <t>R</t>
        </is>
      </c>
      <c r="P2719">
        <f>TRIM(N2719)</f>
        <v/>
      </c>
    </row>
    <row r="2720">
      <c r="A2720" t="inlineStr">
        <is>
          <t>CO-002259</t>
        </is>
      </c>
      <c r="B2720" t="inlineStr">
        <is>
          <t xml:space="preserve">LINDE PERU SRL </t>
        </is>
      </c>
      <c r="C2720" t="inlineStr">
        <is>
          <t>20338570041</t>
        </is>
      </c>
      <c r="D2720" t="inlineStr">
        <is>
          <t>PANAMERICANA NORTE KM 77 CHOSICA DEL NORTE MZ 34 LT 3 - LA VICTORIA - CHICLAYO</t>
        </is>
      </c>
      <c r="E2720" t="inlineStr">
        <is>
          <t>Lima, 25 de febrero de 2025</t>
        </is>
      </c>
      <c r="F2720" t="inlineStr">
        <is>
          <t>la Recarga y mantenimiento</t>
        </is>
      </c>
      <c r="G2720" t="inlineStr">
        <is>
          <t>02</t>
        </is>
      </c>
      <c r="H2720" t="inlineStr">
        <is>
          <t>10 LBS</t>
        </is>
      </c>
      <c r="I2720" t="inlineStr">
        <is>
          <t>2030</t>
        </is>
      </c>
      <c r="J2720" t="n">
        <v>2015</v>
      </c>
      <c r="K2720" t="inlineStr">
        <is>
          <t>FEBRERO 2025</t>
        </is>
      </c>
      <c r="L2720" t="inlineStr">
        <is>
          <t>FEBRERO 2026</t>
        </is>
      </c>
      <c r="M2720" t="inlineStr">
        <is>
          <t xml:space="preserve">P.Q.S.  TIPO ABC </t>
        </is>
      </c>
      <c r="N2720" t="inlineStr">
        <is>
          <t>03/S/N</t>
        </is>
      </c>
      <c r="O2720" t="inlineStr">
        <is>
          <t>R</t>
        </is>
      </c>
      <c r="P2720">
        <f>TRIM(N2720)</f>
        <v/>
      </c>
    </row>
    <row r="2721">
      <c r="A2721" t="inlineStr">
        <is>
          <t>CO-002259</t>
        </is>
      </c>
      <c r="B2721" t="inlineStr">
        <is>
          <t xml:space="preserve">LINDE PERU SRL </t>
        </is>
      </c>
      <c r="C2721" t="inlineStr">
        <is>
          <t>20338570041</t>
        </is>
      </c>
      <c r="D2721" t="inlineStr">
        <is>
          <t>PANAMERICANA NORTE KM 77 CHOSICA DEL NORTE MZ 34 LT 3 - LA VICTORIA - CHICLAYO</t>
        </is>
      </c>
      <c r="E2721" t="inlineStr">
        <is>
          <t>Lima, 25 de febrero de 2025</t>
        </is>
      </c>
      <c r="F2721" t="inlineStr">
        <is>
          <t>la Recarga y mantenimiento</t>
        </is>
      </c>
      <c r="G2721" t="inlineStr">
        <is>
          <t>03</t>
        </is>
      </c>
      <c r="H2721" t="inlineStr">
        <is>
          <t>10 LBS</t>
        </is>
      </c>
      <c r="I2721" t="inlineStr">
        <is>
          <t>2030</t>
        </is>
      </c>
      <c r="J2721" t="n">
        <v>2015</v>
      </c>
      <c r="K2721" t="inlineStr">
        <is>
          <t>FEBRERO 2025</t>
        </is>
      </c>
      <c r="L2721" t="inlineStr">
        <is>
          <t>FEBRERO 2026</t>
        </is>
      </c>
      <c r="M2721" t="inlineStr">
        <is>
          <t xml:space="preserve">P.Q.S.  TIPO ABC </t>
        </is>
      </c>
      <c r="N2721" t="inlineStr">
        <is>
          <t>09/B06422293</t>
        </is>
      </c>
      <c r="O2721" t="inlineStr">
        <is>
          <t>R</t>
        </is>
      </c>
      <c r="P2721">
        <f>TRIM(N2721)</f>
        <v/>
      </c>
    </row>
    <row r="2722">
      <c r="A2722" t="inlineStr">
        <is>
          <t>CO-002259</t>
        </is>
      </c>
      <c r="B2722" t="inlineStr">
        <is>
          <t xml:space="preserve">LINDE PERU SRL </t>
        </is>
      </c>
      <c r="C2722" t="inlineStr">
        <is>
          <t>20338570041</t>
        </is>
      </c>
      <c r="D2722" t="inlineStr">
        <is>
          <t>PANAMERICANA NORTE KM 77 CHOSICA DEL NORTE MZ 34 LT 3 - LA VICTORIA - CHICLAYO</t>
        </is>
      </c>
      <c r="E2722" t="inlineStr">
        <is>
          <t>Lima, 25 de febrero de 2025</t>
        </is>
      </c>
      <c r="F2722" t="inlineStr">
        <is>
          <t>la Recarga y mantenimiento</t>
        </is>
      </c>
      <c r="G2722" t="inlineStr">
        <is>
          <t>04</t>
        </is>
      </c>
      <c r="H2722" t="inlineStr">
        <is>
          <t>10 LBS</t>
        </is>
      </c>
      <c r="I2722" t="inlineStr">
        <is>
          <t>2030</t>
        </is>
      </c>
      <c r="J2722" t="n">
        <v>2016</v>
      </c>
      <c r="K2722" t="inlineStr">
        <is>
          <t>FEBRERO 2025</t>
        </is>
      </c>
      <c r="L2722" t="inlineStr">
        <is>
          <t>FEBRERO 2026</t>
        </is>
      </c>
      <c r="M2722" t="inlineStr">
        <is>
          <t xml:space="preserve">P.Q.S.  TIPO ABC </t>
        </is>
      </c>
      <c r="N2722" t="inlineStr">
        <is>
          <t>04/A39014572</t>
        </is>
      </c>
      <c r="O2722" t="inlineStr">
        <is>
          <t>R</t>
        </is>
      </c>
      <c r="P2722">
        <f>TRIM(N2722)</f>
        <v/>
      </c>
    </row>
    <row r="2723">
      <c r="A2723" t="inlineStr">
        <is>
          <t>CO-002259</t>
        </is>
      </c>
      <c r="B2723" t="inlineStr">
        <is>
          <t xml:space="preserve">LINDE PERU SRL </t>
        </is>
      </c>
      <c r="C2723" t="inlineStr">
        <is>
          <t>20338570041</t>
        </is>
      </c>
      <c r="D2723" t="inlineStr">
        <is>
          <t>PANAMERICANA NORTE KM 77 CHOSICA DEL NORTE MZ 34 LT 3 - LA VICTORIA - CHICLAYO</t>
        </is>
      </c>
      <c r="E2723" t="inlineStr">
        <is>
          <t>Lima, 25 de febrero de 2025</t>
        </is>
      </c>
      <c r="F2723" t="inlineStr">
        <is>
          <t>la Recarga y mantenimiento</t>
        </is>
      </c>
      <c r="G2723" t="inlineStr">
        <is>
          <t>05</t>
        </is>
      </c>
      <c r="H2723" t="inlineStr">
        <is>
          <t>09 KG</t>
        </is>
      </c>
      <c r="I2723" t="n">
        <v>2030</v>
      </c>
      <c r="J2723" t="n">
        <v>2008</v>
      </c>
      <c r="K2723" t="inlineStr">
        <is>
          <t>FEBRERO 2025</t>
        </is>
      </c>
      <c r="L2723" t="inlineStr">
        <is>
          <t>FEBRERO 2026</t>
        </is>
      </c>
      <c r="M2723" t="inlineStr">
        <is>
          <t xml:space="preserve">P.Q.S.  TIPO ABC </t>
        </is>
      </c>
      <c r="N2723" t="inlineStr">
        <is>
          <t>07/001318</t>
        </is>
      </c>
      <c r="O2723" t="inlineStr">
        <is>
          <t>R</t>
        </is>
      </c>
      <c r="P2723">
        <f>TRIM(N2723)</f>
        <v/>
      </c>
    </row>
    <row r="2724">
      <c r="A2724" t="inlineStr">
        <is>
          <t>CO-002259</t>
        </is>
      </c>
      <c r="B2724" t="inlineStr">
        <is>
          <t xml:space="preserve">LINDE PERU SRL </t>
        </is>
      </c>
      <c r="C2724" t="inlineStr">
        <is>
          <t>20338570041</t>
        </is>
      </c>
      <c r="D2724" t="inlineStr">
        <is>
          <t>PANAMERICANA NORTE KM 77 CHOSICA DEL NORTE MZ 34 LT 3 - LA VICTORIA - CHICLAYO</t>
        </is>
      </c>
      <c r="E2724" t="inlineStr">
        <is>
          <t>Lima, 25 de febrero de 2025</t>
        </is>
      </c>
      <c r="F2724" t="inlineStr">
        <is>
          <t>la Recarga y mantenimiento</t>
        </is>
      </c>
      <c r="G2724" t="inlineStr">
        <is>
          <t>06</t>
        </is>
      </c>
      <c r="H2724" t="inlineStr">
        <is>
          <t>09 KG</t>
        </is>
      </c>
      <c r="I2724" t="n">
        <v>2030</v>
      </c>
      <c r="J2724" t="n">
        <v>2020</v>
      </c>
      <c r="K2724" t="inlineStr">
        <is>
          <t>FEBRERO 2025</t>
        </is>
      </c>
      <c r="L2724" t="inlineStr">
        <is>
          <t>FEBRERO 2026</t>
        </is>
      </c>
      <c r="M2724" t="inlineStr">
        <is>
          <t xml:space="preserve">P.Q.S.  TIPO ABC </t>
        </is>
      </c>
      <c r="N2724" t="inlineStr">
        <is>
          <t>05/000877</t>
        </is>
      </c>
      <c r="O2724" t="inlineStr">
        <is>
          <t>R</t>
        </is>
      </c>
      <c r="P2724">
        <f>TRIM(N2724)</f>
        <v/>
      </c>
    </row>
    <row r="2725">
      <c r="A2725" t="inlineStr">
        <is>
          <t>CO-002259</t>
        </is>
      </c>
      <c r="B2725" t="inlineStr">
        <is>
          <t xml:space="preserve">LINDE PERU SRL </t>
        </is>
      </c>
      <c r="C2725" t="inlineStr">
        <is>
          <t>20338570041</t>
        </is>
      </c>
      <c r="D2725" t="inlineStr">
        <is>
          <t>PANAMERICANA NORTE KM 77 CHOSICA DEL NORTE MZ 34 LT 3 - LA VICTORIA - CHICLAYO</t>
        </is>
      </c>
      <c r="E2725" t="inlineStr">
        <is>
          <t>Lima, 25 de febrero de 2025</t>
        </is>
      </c>
      <c r="F2725" t="inlineStr">
        <is>
          <t>la Recarga y mantenimiento</t>
        </is>
      </c>
      <c r="G2725" t="inlineStr">
        <is>
          <t>07</t>
        </is>
      </c>
      <c r="H2725" t="inlineStr">
        <is>
          <t>09 KG</t>
        </is>
      </c>
      <c r="I2725" t="n">
        <v>2030</v>
      </c>
      <c r="J2725" t="n">
        <v>2012</v>
      </c>
      <c r="K2725" t="inlineStr">
        <is>
          <t>FEBRERO 2025</t>
        </is>
      </c>
      <c r="L2725" t="inlineStr">
        <is>
          <t>FEBRERO 2026</t>
        </is>
      </c>
      <c r="M2725" t="inlineStr">
        <is>
          <t xml:space="preserve">P.Q.S.  TIPO ABC </t>
        </is>
      </c>
      <c r="N2725" t="inlineStr">
        <is>
          <t>08/002213</t>
        </is>
      </c>
      <c r="O2725" t="inlineStr">
        <is>
          <t>R</t>
        </is>
      </c>
      <c r="P2725">
        <f>TRIM(N2725)</f>
        <v/>
      </c>
    </row>
    <row r="2726">
      <c r="A2726" t="inlineStr">
        <is>
          <t>CO-002259</t>
        </is>
      </c>
      <c r="B2726" t="inlineStr">
        <is>
          <t xml:space="preserve">LINDE PERU SRL </t>
        </is>
      </c>
      <c r="C2726" t="inlineStr">
        <is>
          <t>20338570041</t>
        </is>
      </c>
      <c r="D2726" t="inlineStr">
        <is>
          <t>PANAMERICANA NORTE KM 77 CHOSICA DEL NORTE MZ 34 LT 3 - LA VICTORIA - CHICLAYO</t>
        </is>
      </c>
      <c r="E2726" t="inlineStr">
        <is>
          <t>Lima, 25 de febrero de 2025</t>
        </is>
      </c>
      <c r="F2726" t="inlineStr">
        <is>
          <t>la Recarga y mantenimiento</t>
        </is>
      </c>
      <c r="G2726" t="inlineStr">
        <is>
          <t>08</t>
        </is>
      </c>
      <c r="H2726" t="inlineStr">
        <is>
          <t>09 KG</t>
        </is>
      </c>
      <c r="I2726" t="n">
        <v>2030</v>
      </c>
      <c r="J2726" t="n">
        <v>2019</v>
      </c>
      <c r="K2726" t="inlineStr">
        <is>
          <t>FEBRERO 2025</t>
        </is>
      </c>
      <c r="L2726" t="inlineStr">
        <is>
          <t>FEBRERO 2026</t>
        </is>
      </c>
      <c r="M2726" t="inlineStr">
        <is>
          <t xml:space="preserve">P.Q.S.  TIPO ABC </t>
        </is>
      </c>
      <c r="N2726" t="inlineStr">
        <is>
          <t>02/004771</t>
        </is>
      </c>
      <c r="O2726" t="inlineStr">
        <is>
          <t>R</t>
        </is>
      </c>
      <c r="P2726">
        <f>TRIM(N2726)</f>
        <v/>
      </c>
    </row>
    <row r="2727">
      <c r="A2727" t="inlineStr">
        <is>
          <t>CO-002259</t>
        </is>
      </c>
      <c r="B2727" t="inlineStr">
        <is>
          <t xml:space="preserve">LINDE PERU SRL </t>
        </is>
      </c>
      <c r="C2727" t="inlineStr">
        <is>
          <t>20338570041</t>
        </is>
      </c>
      <c r="D2727" t="inlineStr">
        <is>
          <t>PANAMERICANA NORTE KM 77 CHOSICA DEL NORTE MZ 34 LT 3 - LA VICTORIA - CHICLAYO</t>
        </is>
      </c>
      <c r="E2727" t="inlineStr">
        <is>
          <t>Lima, 25 de febrero de 2025</t>
        </is>
      </c>
      <c r="F2727" t="inlineStr">
        <is>
          <t>la Recarga y mantenimiento</t>
        </is>
      </c>
      <c r="G2727" t="inlineStr">
        <is>
          <t>09</t>
        </is>
      </c>
      <c r="H2727" t="inlineStr">
        <is>
          <t>09 KG</t>
        </is>
      </c>
      <c r="I2727" t="n">
        <v>2030</v>
      </c>
      <c r="J2727" t="n">
        <v>2019</v>
      </c>
      <c r="K2727" t="inlineStr">
        <is>
          <t>FEBRERO 2025</t>
        </is>
      </c>
      <c r="L2727" t="inlineStr">
        <is>
          <t>FEBRERO 2026</t>
        </is>
      </c>
      <c r="M2727" t="inlineStr">
        <is>
          <t xml:space="preserve">P.Q.S.  TIPO ABC </t>
        </is>
      </c>
      <c r="N2727" t="inlineStr">
        <is>
          <t>06/004204</t>
        </is>
      </c>
      <c r="O2727" t="inlineStr">
        <is>
          <t>R</t>
        </is>
      </c>
      <c r="P2727">
        <f>TRIM(N2727)</f>
        <v/>
      </c>
    </row>
    <row r="2728">
      <c r="A2728" t="inlineStr">
        <is>
          <t>CO-002260</t>
        </is>
      </c>
      <c r="B2728" t="inlineStr">
        <is>
          <t>PERU MASIVO S.A - INFRAESTRUCTURA</t>
        </is>
      </c>
      <c r="C2728" t="inlineStr">
        <is>
          <t>20492392031</t>
        </is>
      </c>
      <c r="D2728" t="inlineStr">
        <is>
          <t>AV. LOS INCAS CDRA. 4 PATIO NORTE - COMAS</t>
        </is>
      </c>
      <c r="E2728" t="inlineStr">
        <is>
          <t>Lima, 28 de febrero de 2025</t>
        </is>
      </c>
      <c r="F2728" t="inlineStr">
        <is>
          <t>la Recarga y mantenimiento</t>
        </is>
      </c>
      <c r="G2728" t="inlineStr">
        <is>
          <t>01</t>
        </is>
      </c>
      <c r="H2728" t="inlineStr">
        <is>
          <t>10 LBS</t>
        </is>
      </c>
      <c r="I2728" t="inlineStr">
        <is>
          <t>2030</t>
        </is>
      </c>
      <c r="J2728" t="n">
        <v>2010</v>
      </c>
      <c r="K2728" t="inlineStr">
        <is>
          <t>FEBRERO 2025</t>
        </is>
      </c>
      <c r="L2728" t="inlineStr">
        <is>
          <t>FEBRERO 2026</t>
        </is>
      </c>
      <c r="M2728" t="inlineStr">
        <is>
          <t>CO2 TIPO BC</t>
        </is>
      </c>
      <c r="N2728" t="inlineStr">
        <is>
          <t>32/000012</t>
        </is>
      </c>
      <c r="O2728" t="inlineStr">
        <is>
          <t>R</t>
        </is>
      </c>
      <c r="P2728">
        <f>TRIM(N2728)</f>
        <v/>
      </c>
    </row>
    <row r="2729">
      <c r="A2729" t="inlineStr">
        <is>
          <t>CO-002260</t>
        </is>
      </c>
      <c r="B2729" t="inlineStr">
        <is>
          <t>PERU MASIVO S.A - INFRAESTRUCTURA</t>
        </is>
      </c>
      <c r="C2729" t="inlineStr">
        <is>
          <t>20492392031</t>
        </is>
      </c>
      <c r="D2729" t="inlineStr">
        <is>
          <t>AV. LOS INCAS CDRA. 4 PATIO NORTE - COMAS</t>
        </is>
      </c>
      <c r="E2729" t="inlineStr">
        <is>
          <t>Lima, 28 de febrero de 2025</t>
        </is>
      </c>
      <c r="F2729" t="inlineStr">
        <is>
          <t>la Recarga y mantenimiento</t>
        </is>
      </c>
      <c r="G2729" t="inlineStr">
        <is>
          <t>02</t>
        </is>
      </c>
      <c r="H2729" t="inlineStr">
        <is>
          <t>06 KG</t>
        </is>
      </c>
      <c r="I2729" t="inlineStr">
        <is>
          <t>2029</t>
        </is>
      </c>
      <c r="J2729" t="n">
        <v>2010</v>
      </c>
      <c r="K2729" t="inlineStr">
        <is>
          <t>FEBRERO 2025</t>
        </is>
      </c>
      <c r="L2729" t="inlineStr">
        <is>
          <t>FEBRERO 2026</t>
        </is>
      </c>
      <c r="M2729" t="inlineStr">
        <is>
          <t xml:space="preserve">P.Q.S.  TIPO ABC </t>
        </is>
      </c>
      <c r="N2729" t="inlineStr">
        <is>
          <t>134/000744</t>
        </is>
      </c>
      <c r="O2729" t="inlineStr">
        <is>
          <t>R</t>
        </is>
      </c>
      <c r="P2729">
        <f>TRIM(N2729)</f>
        <v/>
      </c>
    </row>
    <row r="2730">
      <c r="A2730" t="inlineStr">
        <is>
          <t>CO-002260</t>
        </is>
      </c>
      <c r="B2730" t="inlineStr">
        <is>
          <t>PERU MASIVO S.A - INFRAESTRUCTURA</t>
        </is>
      </c>
      <c r="C2730" t="inlineStr">
        <is>
          <t>20492392031</t>
        </is>
      </c>
      <c r="D2730" t="inlineStr">
        <is>
          <t>AV. LOS INCAS CDRA. 4 PATIO NORTE - COMAS</t>
        </is>
      </c>
      <c r="E2730" t="inlineStr">
        <is>
          <t>Lima, 28 de febrero de 2025</t>
        </is>
      </c>
      <c r="F2730" t="inlineStr">
        <is>
          <t>la Recarga y mantenimiento</t>
        </is>
      </c>
      <c r="G2730" t="inlineStr">
        <is>
          <t>03</t>
        </is>
      </c>
      <c r="H2730" t="inlineStr">
        <is>
          <t>06 KG</t>
        </is>
      </c>
      <c r="I2730" t="inlineStr">
        <is>
          <t>2029</t>
        </is>
      </c>
      <c r="J2730" t="n">
        <v>2010</v>
      </c>
      <c r="K2730" t="inlineStr">
        <is>
          <t>FEBRERO 2025</t>
        </is>
      </c>
      <c r="L2730" t="inlineStr">
        <is>
          <t>FEBRERO 2026</t>
        </is>
      </c>
      <c r="M2730" t="inlineStr">
        <is>
          <t xml:space="preserve">P.Q.S.  TIPO ABC </t>
        </is>
      </c>
      <c r="N2730" t="inlineStr">
        <is>
          <t>250/000903</t>
        </is>
      </c>
      <c r="O2730" t="inlineStr">
        <is>
          <t>R</t>
        </is>
      </c>
      <c r="P2730">
        <f>TRIM(N2730)</f>
        <v/>
      </c>
    </row>
    <row r="2731">
      <c r="A2731" t="inlineStr">
        <is>
          <t>CO-002260</t>
        </is>
      </c>
      <c r="B2731" t="inlineStr">
        <is>
          <t>PERU MASIVO S.A - INFRAESTRUCTURA</t>
        </is>
      </c>
      <c r="C2731" t="inlineStr">
        <is>
          <t>20492392031</t>
        </is>
      </c>
      <c r="D2731" t="inlineStr">
        <is>
          <t>AV. LOS INCAS CDRA. 4 PATIO NORTE - COMAS</t>
        </is>
      </c>
      <c r="E2731" t="inlineStr">
        <is>
          <t>Lima, 28 de febrero de 2025</t>
        </is>
      </c>
      <c r="F2731" t="inlineStr">
        <is>
          <t>la Recarga y mantenimiento</t>
        </is>
      </c>
      <c r="G2731" t="inlineStr">
        <is>
          <t>04</t>
        </is>
      </c>
      <c r="H2731" t="inlineStr">
        <is>
          <t>06 KG</t>
        </is>
      </c>
      <c r="I2731" t="inlineStr">
        <is>
          <t>2029</t>
        </is>
      </c>
      <c r="J2731" t="n">
        <v>2011</v>
      </c>
      <c r="K2731" t="inlineStr">
        <is>
          <t>FEBRERO 2025</t>
        </is>
      </c>
      <c r="L2731" t="inlineStr">
        <is>
          <t>FEBRERO 2026</t>
        </is>
      </c>
      <c r="M2731" t="inlineStr">
        <is>
          <t xml:space="preserve">P.Q.S.  TIPO ABC </t>
        </is>
      </c>
      <c r="N2731" t="inlineStr">
        <is>
          <t>125/001644</t>
        </is>
      </c>
      <c r="O2731" t="inlineStr">
        <is>
          <t>R</t>
        </is>
      </c>
      <c r="P2731">
        <f>TRIM(N2731)</f>
        <v/>
      </c>
    </row>
    <row r="2732">
      <c r="A2732" t="inlineStr">
        <is>
          <t>CO-002260</t>
        </is>
      </c>
      <c r="B2732" t="inlineStr">
        <is>
          <t>PERU MASIVO S.A - INFRAESTRUCTURA</t>
        </is>
      </c>
      <c r="C2732" t="inlineStr">
        <is>
          <t>20492392031</t>
        </is>
      </c>
      <c r="D2732" t="inlineStr">
        <is>
          <t>AV. LOS INCAS CDRA. 4 PATIO NORTE - COMAS</t>
        </is>
      </c>
      <c r="E2732" t="inlineStr">
        <is>
          <t>Lima, 28 de febrero de 2025</t>
        </is>
      </c>
      <c r="F2732" t="inlineStr">
        <is>
          <t>la Recarga y mantenimiento</t>
        </is>
      </c>
      <c r="G2732" t="inlineStr">
        <is>
          <t>05</t>
        </is>
      </c>
      <c r="H2732" t="inlineStr">
        <is>
          <t>06 KG</t>
        </is>
      </c>
      <c r="I2732" t="inlineStr">
        <is>
          <t>2029</t>
        </is>
      </c>
      <c r="J2732" t="n">
        <v>2010</v>
      </c>
      <c r="K2732" t="inlineStr">
        <is>
          <t>FEBRERO 2025</t>
        </is>
      </c>
      <c r="L2732" t="inlineStr">
        <is>
          <t>FEBRERO 2026</t>
        </is>
      </c>
      <c r="M2732" t="inlineStr">
        <is>
          <t xml:space="preserve">P.Q.S.  TIPO ABC </t>
        </is>
      </c>
      <c r="N2732" t="inlineStr">
        <is>
          <t>04/001619</t>
        </is>
      </c>
      <c r="P2732">
        <f>TRIM(N2732)</f>
        <v/>
      </c>
    </row>
    <row r="2733">
      <c r="A2733" t="inlineStr">
        <is>
          <t>CO-002261</t>
        </is>
      </c>
      <c r="B2733" t="inlineStr">
        <is>
          <t>PERU MASIVO S.A - BUSES</t>
        </is>
      </c>
      <c r="C2733" t="inlineStr">
        <is>
          <t>20492392031</t>
        </is>
      </c>
      <c r="D2733" t="inlineStr">
        <is>
          <t>AV. LOS INCAS CDRA. 4 PATIO NORTE - COMAS</t>
        </is>
      </c>
      <c r="E2733" t="inlineStr">
        <is>
          <t>Lima, 28 de febrero de 2025</t>
        </is>
      </c>
      <c r="F2733" t="inlineStr">
        <is>
          <t>la Recarga y mantenimiento</t>
        </is>
      </c>
      <c r="G2733" t="inlineStr">
        <is>
          <t>01</t>
        </is>
      </c>
      <c r="H2733" t="inlineStr">
        <is>
          <t>06 KG</t>
        </is>
      </c>
      <c r="I2733" t="inlineStr">
        <is>
          <t>2029</t>
        </is>
      </c>
      <c r="J2733" t="n">
        <v>2010</v>
      </c>
      <c r="K2733" t="inlineStr">
        <is>
          <t>FEBRERO 2025</t>
        </is>
      </c>
      <c r="L2733" t="inlineStr">
        <is>
          <t>FEBRERO 2026</t>
        </is>
      </c>
      <c r="M2733" t="inlineStr">
        <is>
          <t>P.Q.S.  TIPO ABC  ASIA</t>
        </is>
      </c>
      <c r="N2733" t="inlineStr">
        <is>
          <t>159/000597</t>
        </is>
      </c>
      <c r="O2733" t="inlineStr">
        <is>
          <t>R</t>
        </is>
      </c>
      <c r="P2733">
        <f>TRIM(N2733)</f>
        <v/>
      </c>
    </row>
    <row r="2734">
      <c r="A2734" t="inlineStr">
        <is>
          <t>CO-002261</t>
        </is>
      </c>
      <c r="B2734" t="inlineStr">
        <is>
          <t>PERU MASIVO S.A - BUSES</t>
        </is>
      </c>
      <c r="C2734" t="inlineStr">
        <is>
          <t>20492392031</t>
        </is>
      </c>
      <c r="D2734" t="inlineStr">
        <is>
          <t>AV. LOS INCAS CDRA. 4 PATIO NORTE - COMAS</t>
        </is>
      </c>
      <c r="E2734" t="inlineStr">
        <is>
          <t>Lima, 28 de febrero de 2025</t>
        </is>
      </c>
      <c r="F2734" t="inlineStr">
        <is>
          <t>la Recarga y mantenimiento</t>
        </is>
      </c>
      <c r="G2734" t="inlineStr">
        <is>
          <t>02</t>
        </is>
      </c>
      <c r="H2734" t="inlineStr">
        <is>
          <t>06 KG</t>
        </is>
      </c>
      <c r="I2734" t="inlineStr">
        <is>
          <t>2029</t>
        </is>
      </c>
      <c r="J2734" t="n">
        <v>2010</v>
      </c>
      <c r="K2734" t="inlineStr">
        <is>
          <t>FEBRERO 2025</t>
        </is>
      </c>
      <c r="L2734" t="inlineStr">
        <is>
          <t>FEBRERO 2026</t>
        </is>
      </c>
      <c r="M2734" t="inlineStr">
        <is>
          <t>P.Q.S.  TIPO ABC  ASIA</t>
        </is>
      </c>
      <c r="N2734" t="inlineStr">
        <is>
          <t>161/000569</t>
        </is>
      </c>
      <c r="O2734" t="inlineStr">
        <is>
          <t>R</t>
        </is>
      </c>
      <c r="P2734">
        <f>TRIM(N2734)</f>
        <v/>
      </c>
    </row>
    <row r="2735">
      <c r="A2735" t="inlineStr">
        <is>
          <t>CO-002261</t>
        </is>
      </c>
      <c r="B2735" t="inlineStr">
        <is>
          <t>PERU MASIVO S.A - BUSES</t>
        </is>
      </c>
      <c r="C2735" t="inlineStr">
        <is>
          <t>20492392031</t>
        </is>
      </c>
      <c r="D2735" t="inlineStr">
        <is>
          <t>AV. LOS INCAS CDRA. 4 PATIO NORTE - COMAS</t>
        </is>
      </c>
      <c r="E2735" t="inlineStr">
        <is>
          <t>Lima, 28 de febrero de 2025</t>
        </is>
      </c>
      <c r="F2735" t="inlineStr">
        <is>
          <t>la Recarga y mantenimiento</t>
        </is>
      </c>
      <c r="G2735" t="inlineStr">
        <is>
          <t>03</t>
        </is>
      </c>
      <c r="H2735" t="inlineStr">
        <is>
          <t>06 KG</t>
        </is>
      </c>
      <c r="I2735" t="inlineStr">
        <is>
          <t>2029</t>
        </is>
      </c>
      <c r="J2735" t="n">
        <v>2017</v>
      </c>
      <c r="K2735" t="inlineStr">
        <is>
          <t>FEBRERO 2025</t>
        </is>
      </c>
      <c r="L2735" t="inlineStr">
        <is>
          <t>FEBRERO 2026</t>
        </is>
      </c>
      <c r="M2735" t="inlineStr">
        <is>
          <t>P.Q.S.  TIPO ABC  ASIA</t>
        </is>
      </c>
      <c r="N2735" t="inlineStr">
        <is>
          <t>39/000287</t>
        </is>
      </c>
      <c r="O2735" t="inlineStr">
        <is>
          <t>R</t>
        </is>
      </c>
      <c r="P2735">
        <f>TRIM(N2735)</f>
        <v/>
      </c>
    </row>
    <row r="2736">
      <c r="A2736" t="inlineStr">
        <is>
          <t>CO-002261</t>
        </is>
      </c>
      <c r="B2736" t="inlineStr">
        <is>
          <t>PERU MASIVO S.A - BUSES</t>
        </is>
      </c>
      <c r="C2736" t="inlineStr">
        <is>
          <t>20492392031</t>
        </is>
      </c>
      <c r="D2736" t="inlineStr">
        <is>
          <t>AV. LOS INCAS CDRA. 4 PATIO NORTE - COMAS</t>
        </is>
      </c>
      <c r="E2736" t="inlineStr">
        <is>
          <t>Lima, 28 de febrero de 2025</t>
        </is>
      </c>
      <c r="F2736" t="inlineStr">
        <is>
          <t>la Recarga y mantenimiento</t>
        </is>
      </c>
      <c r="G2736" t="inlineStr">
        <is>
          <t>04</t>
        </is>
      </c>
      <c r="H2736" t="inlineStr">
        <is>
          <t>06 KG</t>
        </is>
      </c>
      <c r="I2736" t="inlineStr">
        <is>
          <t>2029</t>
        </is>
      </c>
      <c r="J2736" t="n">
        <v>2011</v>
      </c>
      <c r="K2736" t="inlineStr">
        <is>
          <t>FEBRERO 2025</t>
        </is>
      </c>
      <c r="L2736" t="inlineStr">
        <is>
          <t>FEBRERO 2026</t>
        </is>
      </c>
      <c r="M2736" t="inlineStr">
        <is>
          <t>P.Q.S.  TIPO ABC  ASIA</t>
        </is>
      </c>
      <c r="N2736" t="inlineStr">
        <is>
          <t>354/000816</t>
        </is>
      </c>
      <c r="O2736" t="inlineStr">
        <is>
          <t>R</t>
        </is>
      </c>
      <c r="P2736">
        <f>TRIM(N2736)</f>
        <v/>
      </c>
    </row>
    <row r="2737">
      <c r="A2737" t="inlineStr">
        <is>
          <t>CO-002261</t>
        </is>
      </c>
      <c r="B2737" t="inlineStr">
        <is>
          <t>PERU MASIVO S.A - BUSES</t>
        </is>
      </c>
      <c r="C2737" t="inlineStr">
        <is>
          <t>20492392031</t>
        </is>
      </c>
      <c r="D2737" t="inlineStr">
        <is>
          <t>AV. LOS INCAS CDRA. 4 PATIO NORTE - COMAS</t>
        </is>
      </c>
      <c r="E2737" t="inlineStr">
        <is>
          <t>Lima, 28 de febrero de 2025</t>
        </is>
      </c>
      <c r="F2737" t="inlineStr">
        <is>
          <t>la Recarga y mantenimiento</t>
        </is>
      </c>
      <c r="G2737" t="inlineStr">
        <is>
          <t>05</t>
        </is>
      </c>
      <c r="H2737" t="inlineStr">
        <is>
          <t>06 KG</t>
        </is>
      </c>
      <c r="I2737" t="inlineStr">
        <is>
          <t>2030</t>
        </is>
      </c>
      <c r="J2737" t="n">
        <v>2014</v>
      </c>
      <c r="K2737" t="inlineStr">
        <is>
          <t>FEBRERO 2025</t>
        </is>
      </c>
      <c r="L2737" t="inlineStr">
        <is>
          <t>FEBRERO 2026</t>
        </is>
      </c>
      <c r="M2737" t="inlineStr">
        <is>
          <t>P.Q.S.  TIPO ABC  ASIA</t>
        </is>
      </c>
      <c r="N2737" t="inlineStr">
        <is>
          <t>43/002831</t>
        </is>
      </c>
      <c r="O2737" t="inlineStr">
        <is>
          <t>R</t>
        </is>
      </c>
      <c r="P2737">
        <f>TRIM(N2737)</f>
        <v/>
      </c>
    </row>
    <row r="2738">
      <c r="A2738" t="inlineStr">
        <is>
          <t>CO-002261</t>
        </is>
      </c>
      <c r="B2738" t="inlineStr">
        <is>
          <t>PERU MASIVO S.A - BUSES</t>
        </is>
      </c>
      <c r="C2738" t="inlineStr">
        <is>
          <t>20492392031</t>
        </is>
      </c>
      <c r="D2738" t="inlineStr">
        <is>
          <t>AV. LOS INCAS CDRA. 4 PATIO NORTE - COMAS</t>
        </is>
      </c>
      <c r="E2738" t="inlineStr">
        <is>
          <t>Lima, 28 de febrero de 2025</t>
        </is>
      </c>
      <c r="F2738" t="inlineStr">
        <is>
          <t>la Recarga y mantenimiento</t>
        </is>
      </c>
      <c r="G2738" t="inlineStr">
        <is>
          <t>06</t>
        </is>
      </c>
      <c r="H2738" t="inlineStr">
        <is>
          <t>06 KG</t>
        </is>
      </c>
      <c r="I2738" t="inlineStr">
        <is>
          <t>2030</t>
        </is>
      </c>
      <c r="J2738" t="n">
        <v>2011</v>
      </c>
      <c r="K2738" t="inlineStr">
        <is>
          <t>FEBRERO 2025</t>
        </is>
      </c>
      <c r="L2738" t="inlineStr">
        <is>
          <t>FEBRERO 2026</t>
        </is>
      </c>
      <c r="M2738" t="inlineStr">
        <is>
          <t>P.Q.S.  TIPO ABC  ASIA</t>
        </is>
      </c>
      <c r="N2738" t="inlineStr">
        <is>
          <t>44/006312</t>
        </is>
      </c>
      <c r="O2738" t="inlineStr">
        <is>
          <t>R</t>
        </is>
      </c>
      <c r="P2738">
        <f>TRIM(N2738)</f>
        <v/>
      </c>
    </row>
    <row r="2739">
      <c r="A2739" t="inlineStr">
        <is>
          <t>CO-002261</t>
        </is>
      </c>
      <c r="B2739" t="inlineStr">
        <is>
          <t>PERU MASIVO S.A - BUSES</t>
        </is>
      </c>
      <c r="C2739" t="inlineStr">
        <is>
          <t>20492392031</t>
        </is>
      </c>
      <c r="D2739" t="inlineStr">
        <is>
          <t>AV. LOS INCAS CDRA. 4 PATIO NORTE - COMAS</t>
        </is>
      </c>
      <c r="E2739" t="inlineStr">
        <is>
          <t>Lima, 28 de febrero de 2025</t>
        </is>
      </c>
      <c r="F2739" t="inlineStr">
        <is>
          <t>la Recarga y mantenimiento</t>
        </is>
      </c>
      <c r="G2739" t="inlineStr">
        <is>
          <t>07</t>
        </is>
      </c>
      <c r="H2739" t="inlineStr">
        <is>
          <t>06 KG</t>
        </is>
      </c>
      <c r="I2739" t="inlineStr">
        <is>
          <t>2029</t>
        </is>
      </c>
      <c r="J2739" t="n">
        <v>2010</v>
      </c>
      <c r="K2739" t="inlineStr">
        <is>
          <t>FEBRERO 2025</t>
        </is>
      </c>
      <c r="L2739" t="inlineStr">
        <is>
          <t>FEBRERO 2026</t>
        </is>
      </c>
      <c r="M2739" t="inlineStr">
        <is>
          <t>P.Q.S.  TIPO ABC  ASIA</t>
        </is>
      </c>
      <c r="N2739" t="inlineStr">
        <is>
          <t>24/000590</t>
        </is>
      </c>
      <c r="O2739" t="inlineStr">
        <is>
          <t>R</t>
        </is>
      </c>
      <c r="P2739">
        <f>TRIM(N2739)</f>
        <v/>
      </c>
    </row>
    <row r="2740">
      <c r="A2740" t="inlineStr">
        <is>
          <t>CO-002261</t>
        </is>
      </c>
      <c r="B2740" t="inlineStr">
        <is>
          <t>PERU MASIVO S.A - BUSES</t>
        </is>
      </c>
      <c r="C2740" t="inlineStr">
        <is>
          <t>20492392031</t>
        </is>
      </c>
      <c r="D2740" t="inlineStr">
        <is>
          <t>AV. LOS INCAS CDRA. 4 PATIO NORTE - COMAS</t>
        </is>
      </c>
      <c r="E2740" t="inlineStr">
        <is>
          <t>Lima, 28 de febrero de 2025</t>
        </is>
      </c>
      <c r="F2740" t="inlineStr">
        <is>
          <t>la Recarga y mantenimiento</t>
        </is>
      </c>
      <c r="G2740" t="inlineStr">
        <is>
          <t>08</t>
        </is>
      </c>
      <c r="H2740" t="inlineStr">
        <is>
          <t>06 KG</t>
        </is>
      </c>
      <c r="I2740" t="inlineStr">
        <is>
          <t>2029</t>
        </is>
      </c>
      <c r="J2740" t="n">
        <v>2010</v>
      </c>
      <c r="K2740" t="inlineStr">
        <is>
          <t>FEBRERO 2025</t>
        </is>
      </c>
      <c r="L2740" t="inlineStr">
        <is>
          <t>FEBRERO 2026</t>
        </is>
      </c>
      <c r="M2740" t="inlineStr">
        <is>
          <t>P.Q.S.  TIPO ABC  ASIA</t>
        </is>
      </c>
      <c r="N2740" t="inlineStr">
        <is>
          <t>144/000333</t>
        </is>
      </c>
      <c r="O2740" t="inlineStr">
        <is>
          <t>R</t>
        </is>
      </c>
      <c r="P2740">
        <f>TRIM(N2740)</f>
        <v/>
      </c>
    </row>
    <row r="2741">
      <c r="A2741" t="inlineStr">
        <is>
          <t>CO-002261</t>
        </is>
      </c>
      <c r="B2741" t="inlineStr">
        <is>
          <t>PERU MASIVO S.A - BUSES</t>
        </is>
      </c>
      <c r="C2741" t="inlineStr">
        <is>
          <t>20492392031</t>
        </is>
      </c>
      <c r="D2741" t="inlineStr">
        <is>
          <t>AV. LOS INCAS CDRA. 4 PATIO NORTE - COMAS</t>
        </is>
      </c>
      <c r="E2741" t="inlineStr">
        <is>
          <t>Lima, 28 de febrero de 2025</t>
        </is>
      </c>
      <c r="F2741" t="inlineStr">
        <is>
          <t>la Recarga y mantenimiento</t>
        </is>
      </c>
      <c r="G2741" t="inlineStr">
        <is>
          <t>09</t>
        </is>
      </c>
      <c r="H2741" t="inlineStr">
        <is>
          <t>06 KG</t>
        </is>
      </c>
      <c r="I2741" t="inlineStr">
        <is>
          <t>2029</t>
        </is>
      </c>
      <c r="J2741" t="n">
        <v>2017</v>
      </c>
      <c r="K2741" t="inlineStr">
        <is>
          <t>FEBRERO 2025</t>
        </is>
      </c>
      <c r="L2741" t="inlineStr">
        <is>
          <t>FEBRERO 2026</t>
        </is>
      </c>
      <c r="M2741" t="inlineStr">
        <is>
          <t>P.Q.S.  TIPO ABC  ASIA</t>
        </is>
      </c>
      <c r="N2741" t="inlineStr">
        <is>
          <t>45/000178</t>
        </is>
      </c>
      <c r="O2741" t="inlineStr">
        <is>
          <t>R</t>
        </is>
      </c>
      <c r="P2741">
        <f>TRIM(N2741)</f>
        <v/>
      </c>
    </row>
    <row r="2742">
      <c r="A2742" t="inlineStr">
        <is>
          <t>CO-002261</t>
        </is>
      </c>
      <c r="B2742" t="inlineStr">
        <is>
          <t>PERU MASIVO S.A - BUSES</t>
        </is>
      </c>
      <c r="C2742" t="inlineStr">
        <is>
          <t>20492392031</t>
        </is>
      </c>
      <c r="D2742" t="inlineStr">
        <is>
          <t>AV. LOS INCAS CDRA. 4 PATIO NORTE - COMAS</t>
        </is>
      </c>
      <c r="E2742" t="inlineStr">
        <is>
          <t>Lima, 28 de febrero de 2025</t>
        </is>
      </c>
      <c r="F2742" t="inlineStr">
        <is>
          <t>la Recarga y mantenimiento</t>
        </is>
      </c>
      <c r="G2742" t="n">
        <v>10</v>
      </c>
      <c r="H2742" t="inlineStr">
        <is>
          <t>06 KG</t>
        </is>
      </c>
      <c r="I2742" t="inlineStr">
        <is>
          <t>2029</t>
        </is>
      </c>
      <c r="J2742" t="n">
        <v>2010</v>
      </c>
      <c r="K2742" t="inlineStr">
        <is>
          <t>FEBRERO 2025</t>
        </is>
      </c>
      <c r="L2742" t="inlineStr">
        <is>
          <t>FEBRERO 2026</t>
        </is>
      </c>
      <c r="M2742" t="inlineStr">
        <is>
          <t>P.Q.S.  TIPO ABC  ASIA</t>
        </is>
      </c>
      <c r="N2742" t="inlineStr">
        <is>
          <t>129/001994</t>
        </is>
      </c>
      <c r="O2742" t="inlineStr">
        <is>
          <t>R</t>
        </is>
      </c>
      <c r="P2742">
        <f>TRIM(N2742)</f>
        <v/>
      </c>
    </row>
    <row r="2743">
      <c r="A2743" t="inlineStr">
        <is>
          <t>CO-002262</t>
        </is>
      </c>
      <c r="B2743" t="inlineStr">
        <is>
          <t>SODEXO - HUB DE PRODUCCION</t>
        </is>
      </c>
      <c r="C2743" t="inlineStr">
        <is>
          <t>20414766308</t>
        </is>
      </c>
      <c r="D2743" t="inlineStr">
        <is>
          <t>AV LOS FRUTALES 220 ATE</t>
        </is>
      </c>
      <c r="E2743" t="inlineStr">
        <is>
          <t>Lima, 05 de Marzo de 2025</t>
        </is>
      </c>
      <c r="F2743" t="inlineStr">
        <is>
          <t>la Recarga y mantenimiento</t>
        </is>
      </c>
      <c r="G2743" t="inlineStr">
        <is>
          <t>01</t>
        </is>
      </c>
      <c r="H2743" t="inlineStr">
        <is>
          <t>10 LBS</t>
        </is>
      </c>
      <c r="I2743" t="inlineStr">
        <is>
          <t>2029</t>
        </is>
      </c>
      <c r="J2743" t="n">
        <v>2020</v>
      </c>
      <c r="K2743" t="inlineStr">
        <is>
          <t>MARZO 2025</t>
        </is>
      </c>
      <c r="L2743" t="inlineStr">
        <is>
          <t>MARZO 2026</t>
        </is>
      </c>
      <c r="M2743" t="inlineStr">
        <is>
          <t>P.Q.S.  TIPO ABC AL 90% UL</t>
        </is>
      </c>
      <c r="N2743" t="inlineStr">
        <is>
          <t>01/G09014474</t>
        </is>
      </c>
      <c r="O2743" t="inlineStr">
        <is>
          <t>M2</t>
        </is>
      </c>
      <c r="P2743">
        <f>TRIM(N2743)</f>
        <v/>
      </c>
    </row>
    <row r="2744">
      <c r="A2744" t="inlineStr">
        <is>
          <t>CO-002262</t>
        </is>
      </c>
      <c r="B2744" t="inlineStr">
        <is>
          <t>SODEXO - HUB DE PRODUCCION</t>
        </is>
      </c>
      <c r="C2744" t="inlineStr">
        <is>
          <t>20414766308</t>
        </is>
      </c>
      <c r="D2744" t="inlineStr">
        <is>
          <t>AV LOS FRUTALES 220 ATE</t>
        </is>
      </c>
      <c r="E2744" t="inlineStr">
        <is>
          <t>Lima, 05 de Marzo de 2025</t>
        </is>
      </c>
      <c r="F2744" t="inlineStr">
        <is>
          <t>la Recarga y mantenimiento</t>
        </is>
      </c>
      <c r="G2744" t="inlineStr">
        <is>
          <t>02</t>
        </is>
      </c>
      <c r="H2744" t="inlineStr">
        <is>
          <t>10 LBS</t>
        </is>
      </c>
      <c r="I2744" t="inlineStr">
        <is>
          <t>2029</t>
        </is>
      </c>
      <c r="J2744" t="n">
        <v>2020</v>
      </c>
      <c r="K2744" t="inlineStr">
        <is>
          <t>MARZO 2025</t>
        </is>
      </c>
      <c r="L2744" t="inlineStr">
        <is>
          <t>MARZO 2026</t>
        </is>
      </c>
      <c r="M2744" t="inlineStr">
        <is>
          <t>P.Q.S.  TIPO ABC AL 90% UL</t>
        </is>
      </c>
      <c r="N2744" t="inlineStr">
        <is>
          <t>02/G09014365</t>
        </is>
      </c>
      <c r="O2744" t="inlineStr">
        <is>
          <t>M2</t>
        </is>
      </c>
      <c r="P2744">
        <f>TRIM(N2744)</f>
        <v/>
      </c>
    </row>
    <row r="2745">
      <c r="A2745" t="inlineStr">
        <is>
          <t>CO-002262</t>
        </is>
      </c>
      <c r="B2745" t="inlineStr">
        <is>
          <t>SODEXO - HUB DE PRODUCCION</t>
        </is>
      </c>
      <c r="C2745" t="inlineStr">
        <is>
          <t>20414766308</t>
        </is>
      </c>
      <c r="D2745" t="inlineStr">
        <is>
          <t>AV LOS FRUTALES 220 ATE</t>
        </is>
      </c>
      <c r="E2745" t="inlineStr">
        <is>
          <t>Lima, 05 de Marzo de 2025</t>
        </is>
      </c>
      <c r="F2745" t="inlineStr">
        <is>
          <t>la Recarga y mantenimiento</t>
        </is>
      </c>
      <c r="G2745" t="inlineStr">
        <is>
          <t>03</t>
        </is>
      </c>
      <c r="H2745" t="inlineStr">
        <is>
          <t>10 LBS</t>
        </is>
      </c>
      <c r="I2745" t="inlineStr">
        <is>
          <t>2030</t>
        </is>
      </c>
      <c r="J2745" t="n">
        <v>2020</v>
      </c>
      <c r="K2745" t="inlineStr">
        <is>
          <t>MARZO 2025</t>
        </is>
      </c>
      <c r="L2745" t="inlineStr">
        <is>
          <t>MARZO 2026</t>
        </is>
      </c>
      <c r="M2745" t="inlineStr">
        <is>
          <t>CO2  TIPO BC</t>
        </is>
      </c>
      <c r="N2745" t="inlineStr">
        <is>
          <t>03/695600</t>
        </is>
      </c>
      <c r="O2745" t="inlineStr">
        <is>
          <t>R</t>
        </is>
      </c>
      <c r="P2745">
        <f>TRIM(N2745)</f>
        <v/>
      </c>
    </row>
    <row r="2746">
      <c r="A2746" t="inlineStr">
        <is>
          <t>CO-002262</t>
        </is>
      </c>
      <c r="B2746" t="inlineStr">
        <is>
          <t>SODEXO - HUB DE PRODUCCION</t>
        </is>
      </c>
      <c r="C2746" t="inlineStr">
        <is>
          <t>20414766308</t>
        </is>
      </c>
      <c r="D2746" t="inlineStr">
        <is>
          <t>AV LOS FRUTALES 220 ATE</t>
        </is>
      </c>
      <c r="E2746" t="inlineStr">
        <is>
          <t>Lima, 05 de Marzo de 2025</t>
        </is>
      </c>
      <c r="F2746" t="inlineStr">
        <is>
          <t>la Recarga y mantenimiento</t>
        </is>
      </c>
      <c r="G2746" t="inlineStr">
        <is>
          <t>04</t>
        </is>
      </c>
      <c r="H2746" t="inlineStr">
        <is>
          <t>10 LBS</t>
        </is>
      </c>
      <c r="I2746" t="inlineStr">
        <is>
          <t>2030</t>
        </is>
      </c>
      <c r="J2746" t="n">
        <v>2020</v>
      </c>
      <c r="K2746" t="inlineStr">
        <is>
          <t>MARZO 2025</t>
        </is>
      </c>
      <c r="L2746" t="inlineStr">
        <is>
          <t>MARZO 2026</t>
        </is>
      </c>
      <c r="M2746" t="inlineStr">
        <is>
          <t>CO2  TIPO BC</t>
        </is>
      </c>
      <c r="N2746" t="inlineStr">
        <is>
          <t>04/743028</t>
        </is>
      </c>
      <c r="O2746" t="inlineStr">
        <is>
          <t>R</t>
        </is>
      </c>
      <c r="P2746">
        <f>TRIM(N2746)</f>
        <v/>
      </c>
    </row>
    <row r="2747">
      <c r="A2747" t="inlineStr">
        <is>
          <t>CO-002262</t>
        </is>
      </c>
      <c r="B2747" t="inlineStr">
        <is>
          <t>SODEXO - HUB DE PRODUCCION</t>
        </is>
      </c>
      <c r="C2747" t="inlineStr">
        <is>
          <t>20414766308</t>
        </is>
      </c>
      <c r="D2747" t="inlineStr">
        <is>
          <t>AV LOS FRUTALES 220 ATE</t>
        </is>
      </c>
      <c r="E2747" t="inlineStr">
        <is>
          <t>Lima, 05 de Marzo de 2025</t>
        </is>
      </c>
      <c r="F2747" t="inlineStr">
        <is>
          <t>la Recarga y mantenimiento</t>
        </is>
      </c>
      <c r="G2747" t="inlineStr">
        <is>
          <t>05</t>
        </is>
      </c>
      <c r="H2747" t="inlineStr">
        <is>
          <t>2.5 GLS</t>
        </is>
      </c>
      <c r="I2747" t="inlineStr">
        <is>
          <t>2026</t>
        </is>
      </c>
      <c r="J2747" t="n">
        <v>2021</v>
      </c>
      <c r="K2747" t="inlineStr">
        <is>
          <t>MARZO 2025</t>
        </is>
      </c>
      <c r="L2747" t="inlineStr">
        <is>
          <t>MARZO 2026</t>
        </is>
      </c>
      <c r="M2747" t="inlineStr">
        <is>
          <t>ACETATO DE POTASIO TIPO K</t>
        </is>
      </c>
      <c r="N2747" t="inlineStr">
        <is>
          <t>05/000074</t>
        </is>
      </c>
      <c r="O2747" t="inlineStr">
        <is>
          <t>R</t>
        </is>
      </c>
      <c r="P2747">
        <f>TRIM(N2747)</f>
        <v/>
      </c>
    </row>
    <row r="2748">
      <c r="A2748" t="inlineStr">
        <is>
          <t>CO-002263</t>
        </is>
      </c>
      <c r="B2748" t="inlineStr">
        <is>
          <t>FMS INDUSTRIALES EIRL</t>
        </is>
      </c>
      <c r="C2748" t="inlineStr">
        <is>
          <t>20603541171</t>
        </is>
      </c>
      <c r="D2748" t="inlineStr">
        <is>
          <t xml:space="preserve">MZ D LT 3 HUACOY , CARABAYLLO </t>
        </is>
      </c>
      <c r="E2748" t="inlineStr">
        <is>
          <t>Lima, 01 de Marzo de 2025</t>
        </is>
      </c>
      <c r="F2748" t="inlineStr">
        <is>
          <t>la Recarga y mantenimiento</t>
        </is>
      </c>
      <c r="G2748" t="inlineStr">
        <is>
          <t>01</t>
        </is>
      </c>
      <c r="H2748" t="inlineStr">
        <is>
          <t xml:space="preserve">09 KG </t>
        </is>
      </c>
      <c r="I2748" t="inlineStr">
        <is>
          <t>2030</t>
        </is>
      </c>
      <c r="J2748" t="n">
        <v>2013</v>
      </c>
      <c r="K2748" t="inlineStr">
        <is>
          <t>MARZO 2025</t>
        </is>
      </c>
      <c r="L2748" t="inlineStr">
        <is>
          <t>MARZO 2026</t>
        </is>
      </c>
      <c r="M2748" t="inlineStr">
        <is>
          <t xml:space="preserve">P.Q.S.  TIPO ABC </t>
        </is>
      </c>
      <c r="N2748" t="inlineStr">
        <is>
          <t>01/001145</t>
        </is>
      </c>
      <c r="O2748" t="inlineStr">
        <is>
          <t>R</t>
        </is>
      </c>
      <c r="P2748">
        <f>TRIM(N2748)</f>
        <v/>
      </c>
    </row>
    <row r="2749">
      <c r="A2749" t="inlineStr">
        <is>
          <t>CO-002263</t>
        </is>
      </c>
      <c r="B2749" t="inlineStr">
        <is>
          <t>FMS INDUSTRIALES EIRL</t>
        </is>
      </c>
      <c r="C2749" t="inlineStr">
        <is>
          <t>20603541171</t>
        </is>
      </c>
      <c r="D2749" t="inlineStr">
        <is>
          <t xml:space="preserve">MZ D LT 3 HUACOY , CARABAYLLO </t>
        </is>
      </c>
      <c r="E2749" t="inlineStr">
        <is>
          <t>Lima, 01 de Marzo de 2025</t>
        </is>
      </c>
      <c r="F2749" t="inlineStr">
        <is>
          <t>la Recarga y mantenimiento</t>
        </is>
      </c>
      <c r="G2749" t="inlineStr">
        <is>
          <t>02</t>
        </is>
      </c>
      <c r="H2749" t="inlineStr">
        <is>
          <t xml:space="preserve">09 KG </t>
        </is>
      </c>
      <c r="I2749" t="inlineStr">
        <is>
          <t>2030</t>
        </is>
      </c>
      <c r="J2749" t="n">
        <v>2014</v>
      </c>
      <c r="K2749" t="inlineStr">
        <is>
          <t>MARZO 2025</t>
        </is>
      </c>
      <c r="L2749" t="inlineStr">
        <is>
          <t>MARZO 2026</t>
        </is>
      </c>
      <c r="M2749" t="inlineStr">
        <is>
          <t xml:space="preserve">P.Q.S.  TIPO ABC </t>
        </is>
      </c>
      <c r="N2749" t="inlineStr">
        <is>
          <t>02/000291</t>
        </is>
      </c>
      <c r="O2749" t="inlineStr">
        <is>
          <t>R</t>
        </is>
      </c>
      <c r="P2749">
        <f>TRIM(N2749)</f>
        <v/>
      </c>
    </row>
    <row r="2750">
      <c r="A2750" t="inlineStr">
        <is>
          <t>CO-002263</t>
        </is>
      </c>
      <c r="B2750" t="inlineStr">
        <is>
          <t>FMS INDUSTRIALES EIRL</t>
        </is>
      </c>
      <c r="C2750" t="inlineStr">
        <is>
          <t>20603541171</t>
        </is>
      </c>
      <c r="D2750" t="inlineStr">
        <is>
          <t xml:space="preserve">MZ D LT 3 HUACOY , CARABAYLLO </t>
        </is>
      </c>
      <c r="E2750" t="inlineStr">
        <is>
          <t>Lima, 01 de Marzo de 2025</t>
        </is>
      </c>
      <c r="F2750" t="inlineStr">
        <is>
          <t>la Recarga y mantenimiento</t>
        </is>
      </c>
      <c r="G2750" t="inlineStr">
        <is>
          <t>03</t>
        </is>
      </c>
      <c r="H2750" t="inlineStr">
        <is>
          <t xml:space="preserve">09 KG </t>
        </is>
      </c>
      <c r="I2750" t="inlineStr">
        <is>
          <t>2030</t>
        </is>
      </c>
      <c r="J2750" t="n">
        <v>2013</v>
      </c>
      <c r="K2750" t="inlineStr">
        <is>
          <t>MARZO 2025</t>
        </is>
      </c>
      <c r="L2750" t="inlineStr">
        <is>
          <t>MARZO 2026</t>
        </is>
      </c>
      <c r="M2750" t="inlineStr">
        <is>
          <t xml:space="preserve">P.Q.S.  TIPO ABC </t>
        </is>
      </c>
      <c r="N2750" t="inlineStr">
        <is>
          <t>03/000826</t>
        </is>
      </c>
      <c r="O2750" t="inlineStr">
        <is>
          <t>R</t>
        </is>
      </c>
      <c r="P2750">
        <f>TRIM(N2750)</f>
        <v/>
      </c>
    </row>
    <row r="2751">
      <c r="A2751" t="inlineStr">
        <is>
          <t>CO-002263</t>
        </is>
      </c>
      <c r="B2751" t="inlineStr">
        <is>
          <t>FMS INDUSTRIALES EIRL</t>
        </is>
      </c>
      <c r="C2751" t="inlineStr">
        <is>
          <t>20603541171</t>
        </is>
      </c>
      <c r="D2751" t="inlineStr">
        <is>
          <t xml:space="preserve">MZ D LT 3 HUACOY , CARABAYLLO </t>
        </is>
      </c>
      <c r="E2751" t="inlineStr">
        <is>
          <t>Lima, 01 de Marzo de 2025</t>
        </is>
      </c>
      <c r="F2751" t="inlineStr">
        <is>
          <t>la Recarga y mantenimiento</t>
        </is>
      </c>
      <c r="G2751" t="inlineStr">
        <is>
          <t>04</t>
        </is>
      </c>
      <c r="H2751" t="inlineStr">
        <is>
          <t>10 LBS</t>
        </is>
      </c>
      <c r="I2751" t="n">
        <v>2030</v>
      </c>
      <c r="J2751" t="n">
        <v>2025</v>
      </c>
      <c r="K2751" t="inlineStr">
        <is>
          <t>MARZO 2025</t>
        </is>
      </c>
      <c r="L2751" t="inlineStr">
        <is>
          <t>MARZO 2026</t>
        </is>
      </c>
      <c r="M2751" t="inlineStr">
        <is>
          <t>CO2  TIPO BC</t>
        </is>
      </c>
      <c r="N2751" t="inlineStr">
        <is>
          <t>04/000174</t>
        </is>
      </c>
      <c r="O2751" t="inlineStr">
        <is>
          <t>V</t>
        </is>
      </c>
      <c r="P2751">
        <f>TRIM(N2751)</f>
        <v/>
      </c>
    </row>
    <row r="2752">
      <c r="A2752" t="inlineStr">
        <is>
          <t>CO-002263</t>
        </is>
      </c>
      <c r="B2752" t="inlineStr">
        <is>
          <t>FMS INDUSTRIALES EIRL</t>
        </is>
      </c>
      <c r="C2752" t="inlineStr">
        <is>
          <t>20603541171</t>
        </is>
      </c>
      <c r="D2752" t="inlineStr">
        <is>
          <t xml:space="preserve">MZ D LT 3 HUACOY , CARABAYLLO </t>
        </is>
      </c>
      <c r="E2752" t="inlineStr">
        <is>
          <t>Lima, 01 de Marzo de 2025</t>
        </is>
      </c>
      <c r="F2752" t="inlineStr">
        <is>
          <t>la Recarga y mantenimiento</t>
        </is>
      </c>
      <c r="G2752" t="inlineStr">
        <is>
          <t>05</t>
        </is>
      </c>
      <c r="H2752" t="inlineStr">
        <is>
          <t>10 LBS</t>
        </is>
      </c>
      <c r="I2752" t="n">
        <v>2030</v>
      </c>
      <c r="J2752" t="n">
        <v>2025</v>
      </c>
      <c r="K2752" t="inlineStr">
        <is>
          <t>MARZO 2025</t>
        </is>
      </c>
      <c r="L2752" t="inlineStr">
        <is>
          <t>MARZO 2026</t>
        </is>
      </c>
      <c r="M2752" t="inlineStr">
        <is>
          <t>CO2  TIPO BC</t>
        </is>
      </c>
      <c r="N2752" t="inlineStr">
        <is>
          <t>05/000151</t>
        </is>
      </c>
      <c r="O2752" t="inlineStr">
        <is>
          <t>V</t>
        </is>
      </c>
      <c r="P2752">
        <f>TRIM(N2752)</f>
        <v/>
      </c>
    </row>
    <row r="2753">
      <c r="A2753" t="inlineStr">
        <is>
          <t>CO-002264</t>
        </is>
      </c>
      <c r="B2753" t="inlineStr">
        <is>
          <t>I.E.P. CORAZON DE MARIA</t>
        </is>
      </c>
      <c r="C2753" t="inlineStr">
        <is>
          <t>20512612165</t>
        </is>
      </c>
      <c r="D2753" t="inlineStr">
        <is>
          <t>AV. SANGARARA 347 COOP. LA CALICHERA , COMAS</t>
        </is>
      </c>
      <c r="E2753" t="inlineStr">
        <is>
          <t>Lima, 04 de Marzo de 2025</t>
        </is>
      </c>
      <c r="F2753" t="inlineStr">
        <is>
          <t>la Recarga y mantenimiento</t>
        </is>
      </c>
      <c r="G2753" t="inlineStr">
        <is>
          <t>01</t>
        </is>
      </c>
      <c r="H2753" t="inlineStr">
        <is>
          <t>04 KG</t>
        </is>
      </c>
      <c r="I2753" t="inlineStr">
        <is>
          <t>2027</t>
        </is>
      </c>
      <c r="J2753" t="n">
        <v>2011</v>
      </c>
      <c r="K2753" t="inlineStr">
        <is>
          <t>MARZO 2025</t>
        </is>
      </c>
      <c r="L2753" t="inlineStr">
        <is>
          <t>MARZO 2026</t>
        </is>
      </c>
      <c r="M2753" t="inlineStr">
        <is>
          <t xml:space="preserve">P.Q.S.  TIPO ABC </t>
        </is>
      </c>
      <c r="N2753" t="inlineStr">
        <is>
          <t>01 / 002600</t>
        </is>
      </c>
      <c r="O2753" t="inlineStr">
        <is>
          <t>R</t>
        </is>
      </c>
      <c r="P2753">
        <f>TRIM(N2753)</f>
        <v/>
      </c>
    </row>
    <row r="2754">
      <c r="A2754" t="inlineStr">
        <is>
          <t>CO-002264</t>
        </is>
      </c>
      <c r="B2754" t="inlineStr">
        <is>
          <t>I.E.P. CORAZON DE MARIA</t>
        </is>
      </c>
      <c r="C2754" t="inlineStr">
        <is>
          <t>20512612165</t>
        </is>
      </c>
      <c r="D2754" t="inlineStr">
        <is>
          <t>AV. SANGARARA 347 COOP. LA CALICHERA , COMAS</t>
        </is>
      </c>
      <c r="E2754" t="inlineStr">
        <is>
          <t>Lima, 04 de Marzo de 2025</t>
        </is>
      </c>
      <c r="F2754" t="inlineStr">
        <is>
          <t>la Recarga y mantenimiento</t>
        </is>
      </c>
      <c r="G2754" t="inlineStr">
        <is>
          <t>02</t>
        </is>
      </c>
      <c r="H2754" t="inlineStr">
        <is>
          <t>04 KG</t>
        </is>
      </c>
      <c r="I2754" t="inlineStr">
        <is>
          <t>2027</t>
        </is>
      </c>
      <c r="J2754" t="n">
        <v>2009</v>
      </c>
      <c r="K2754" t="inlineStr">
        <is>
          <t>MARZO 2025</t>
        </is>
      </c>
      <c r="L2754" t="inlineStr">
        <is>
          <t>MARZO 2026</t>
        </is>
      </c>
      <c r="M2754" t="inlineStr">
        <is>
          <t xml:space="preserve">P.Q.S.  TIPO ABC </t>
        </is>
      </c>
      <c r="N2754" t="inlineStr">
        <is>
          <t>02 / 000152</t>
        </is>
      </c>
      <c r="O2754" t="inlineStr">
        <is>
          <t>R</t>
        </is>
      </c>
      <c r="P2754">
        <f>TRIM(N2754)</f>
        <v/>
      </c>
    </row>
    <row r="2755">
      <c r="A2755" t="inlineStr">
        <is>
          <t>CO-002265</t>
        </is>
      </c>
      <c r="B2755" t="inlineStr">
        <is>
          <t>FLOR RICARDINA ZEVALLOS FRANCIA</t>
        </is>
      </c>
      <c r="D2755" t="inlineStr">
        <is>
          <t>PLACA: ADY - 912</t>
        </is>
      </c>
      <c r="E2755" t="inlineStr">
        <is>
          <t>Lima, 11 de Agosto de 2025</t>
        </is>
      </c>
      <c r="F2755" t="inlineStr">
        <is>
          <t>la Recarga y mantenimiento</t>
        </is>
      </c>
      <c r="G2755" t="inlineStr">
        <is>
          <t>01</t>
        </is>
      </c>
      <c r="H2755" t="inlineStr">
        <is>
          <t>04 KG</t>
        </is>
      </c>
      <c r="I2755" t="inlineStr">
        <is>
          <t xml:space="preserve">VIGENTE </t>
        </is>
      </c>
      <c r="J2755" t="n">
        <v>2010</v>
      </c>
      <c r="K2755" t="inlineStr">
        <is>
          <t>AGOSTO 2025</t>
        </is>
      </c>
      <c r="L2755" t="inlineStr">
        <is>
          <t>AGOSTO 2026</t>
        </is>
      </c>
      <c r="M2755" t="inlineStr">
        <is>
          <t xml:space="preserve">P.Q.S.  TIPO ABC </t>
        </is>
      </c>
      <c r="N2755" t="inlineStr">
        <is>
          <t>01/071794</t>
        </is>
      </c>
      <c r="O2755" t="inlineStr">
        <is>
          <t>R</t>
        </is>
      </c>
      <c r="P2755">
        <f>TRIM(N2755)</f>
        <v/>
      </c>
    </row>
    <row r="2756">
      <c r="A2756" t="inlineStr">
        <is>
          <t>CO-002266</t>
        </is>
      </c>
      <c r="B2756" t="inlineStr">
        <is>
          <t xml:space="preserve">JORGE LUIS ROJAS LOPEZ </t>
        </is>
      </c>
      <c r="C2756" t="inlineStr">
        <is>
          <t>09473152</t>
        </is>
      </c>
      <c r="D2756" t="inlineStr">
        <is>
          <t>PLACA: F0Z-429</t>
        </is>
      </c>
      <c r="E2756" t="inlineStr">
        <is>
          <t>Lima, 04 de Marzo de 2025</t>
        </is>
      </c>
      <c r="F2756" t="inlineStr">
        <is>
          <t>la Recarga y mantenimiento</t>
        </is>
      </c>
      <c r="G2756" t="inlineStr">
        <is>
          <t>01</t>
        </is>
      </c>
      <c r="H2756" t="inlineStr">
        <is>
          <t>02 KG</t>
        </is>
      </c>
      <c r="I2756" t="inlineStr">
        <is>
          <t xml:space="preserve">VIGENTE </t>
        </is>
      </c>
      <c r="J2756" t="n">
        <v>2018</v>
      </c>
      <c r="K2756" t="inlineStr">
        <is>
          <t>MARZO 2025</t>
        </is>
      </c>
      <c r="L2756" t="inlineStr">
        <is>
          <t>MARZO 2026</t>
        </is>
      </c>
      <c r="M2756" t="inlineStr">
        <is>
          <t xml:space="preserve">P.Q.S.  TIPO ABC </t>
        </is>
      </c>
      <c r="N2756" t="inlineStr">
        <is>
          <t>01/28286</t>
        </is>
      </c>
      <c r="O2756" t="inlineStr">
        <is>
          <t>R</t>
        </is>
      </c>
      <c r="P2756">
        <f>TRIM(N2756)</f>
        <v/>
      </c>
    </row>
    <row r="2757">
      <c r="A2757" t="inlineStr">
        <is>
          <t>CO-002267</t>
        </is>
      </c>
      <c r="B2757" t="inlineStr">
        <is>
          <t>PERU MASIVO S.A - BUSES</t>
        </is>
      </c>
      <c r="C2757" t="inlineStr">
        <is>
          <t>20492392031</t>
        </is>
      </c>
      <c r="D2757" t="inlineStr">
        <is>
          <t>AV. LOS INCAS CDRA. 4 PATIO NORTE - COMAS</t>
        </is>
      </c>
      <c r="E2757" t="inlineStr">
        <is>
          <t>Lima, 07 de marzo de 2025</t>
        </is>
      </c>
      <c r="F2757" t="inlineStr">
        <is>
          <t>la Recarga y mantenimiento</t>
        </is>
      </c>
      <c r="G2757" t="inlineStr">
        <is>
          <t>01</t>
        </is>
      </c>
      <c r="H2757" t="inlineStr">
        <is>
          <t>06 KG</t>
        </is>
      </c>
      <c r="I2757" t="inlineStr">
        <is>
          <t>2029</t>
        </is>
      </c>
      <c r="J2757" t="n">
        <v>2011</v>
      </c>
      <c r="K2757" t="inlineStr">
        <is>
          <t>MARZO 2025</t>
        </is>
      </c>
      <c r="L2757" t="inlineStr">
        <is>
          <t>MARZO 2026</t>
        </is>
      </c>
      <c r="M2757" t="inlineStr">
        <is>
          <t>P.Q.S.  TIPO ABC  NACIONAL</t>
        </is>
      </c>
      <c r="N2757" t="inlineStr">
        <is>
          <t>93/000299</t>
        </is>
      </c>
      <c r="O2757" t="inlineStr">
        <is>
          <t>R</t>
        </is>
      </c>
      <c r="P2757">
        <f>TRIM(N2757)</f>
        <v/>
      </c>
    </row>
    <row r="2758">
      <c r="A2758" t="inlineStr">
        <is>
          <t>CO-002267</t>
        </is>
      </c>
      <c r="B2758" t="inlineStr">
        <is>
          <t>PERU MASIVO S.A - BUSES</t>
        </is>
      </c>
      <c r="C2758" t="inlineStr">
        <is>
          <t>20492392031</t>
        </is>
      </c>
      <c r="D2758" t="inlineStr">
        <is>
          <t>AV. LOS INCAS CDRA. 4 PATIO NORTE - COMAS</t>
        </is>
      </c>
      <c r="E2758" t="inlineStr">
        <is>
          <t>Lima, 07 de marzo de 2025</t>
        </is>
      </c>
      <c r="F2758" t="inlineStr">
        <is>
          <t>la Recarga y mantenimiento</t>
        </is>
      </c>
      <c r="G2758" t="inlineStr">
        <is>
          <t>02</t>
        </is>
      </c>
      <c r="H2758" t="inlineStr">
        <is>
          <t>06 KG</t>
        </is>
      </c>
      <c r="I2758" t="inlineStr">
        <is>
          <t>2029</t>
        </is>
      </c>
      <c r="J2758" t="n">
        <v>2011</v>
      </c>
      <c r="K2758" t="inlineStr">
        <is>
          <t>MARZO 2025</t>
        </is>
      </c>
      <c r="L2758" t="inlineStr">
        <is>
          <t>MARZO 2026</t>
        </is>
      </c>
      <c r="M2758" t="inlineStr">
        <is>
          <t>P.Q.S.  TIPO ABC  ASIA</t>
        </is>
      </c>
      <c r="N2758" t="inlineStr">
        <is>
          <t>218/000980</t>
        </is>
      </c>
      <c r="O2758" t="inlineStr">
        <is>
          <t>R</t>
        </is>
      </c>
      <c r="P2758">
        <f>TRIM(N2758)</f>
        <v/>
      </c>
    </row>
    <row r="2759">
      <c r="A2759" t="inlineStr">
        <is>
          <t>CO-002267</t>
        </is>
      </c>
      <c r="B2759" t="inlineStr">
        <is>
          <t>PERU MASIVO S.A - BUSES</t>
        </is>
      </c>
      <c r="C2759" t="inlineStr">
        <is>
          <t>20492392031</t>
        </is>
      </c>
      <c r="D2759" t="inlineStr">
        <is>
          <t>AV. LOS INCAS CDRA. 4 PATIO NORTE - COMAS</t>
        </is>
      </c>
      <c r="E2759" t="inlineStr">
        <is>
          <t>Lima, 07 de marzo de 2025</t>
        </is>
      </c>
      <c r="F2759" t="inlineStr">
        <is>
          <t>la Recarga y mantenimiento</t>
        </is>
      </c>
      <c r="G2759" t="inlineStr">
        <is>
          <t>03</t>
        </is>
      </c>
      <c r="H2759" t="inlineStr">
        <is>
          <t>06 KG</t>
        </is>
      </c>
      <c r="I2759" t="inlineStr">
        <is>
          <t>2029</t>
        </is>
      </c>
      <c r="J2759" t="n">
        <v>2017</v>
      </c>
      <c r="K2759" t="inlineStr">
        <is>
          <t>MARZO 2025</t>
        </is>
      </c>
      <c r="L2759" t="inlineStr">
        <is>
          <t>MARZO 2026</t>
        </is>
      </c>
      <c r="M2759" t="inlineStr">
        <is>
          <t>P.Q.S.  TIPO ABC  ASIA</t>
        </is>
      </c>
      <c r="N2759" t="inlineStr">
        <is>
          <t>47/000190</t>
        </is>
      </c>
      <c r="O2759" t="inlineStr">
        <is>
          <t>R</t>
        </is>
      </c>
      <c r="P2759">
        <f>TRIM(N2759)</f>
        <v/>
      </c>
    </row>
    <row r="2760">
      <c r="A2760" t="inlineStr">
        <is>
          <t>CO-002267</t>
        </is>
      </c>
      <c r="B2760" t="inlineStr">
        <is>
          <t>PERU MASIVO S.A - BUSES</t>
        </is>
      </c>
      <c r="C2760" t="inlineStr">
        <is>
          <t>20492392031</t>
        </is>
      </c>
      <c r="D2760" t="inlineStr">
        <is>
          <t>AV. LOS INCAS CDRA. 4 PATIO NORTE - COMAS</t>
        </is>
      </c>
      <c r="E2760" t="inlineStr">
        <is>
          <t>Lima, 07 de marzo de 2025</t>
        </is>
      </c>
      <c r="F2760" t="inlineStr">
        <is>
          <t>la Recarga y mantenimiento</t>
        </is>
      </c>
      <c r="G2760" t="inlineStr">
        <is>
          <t>04</t>
        </is>
      </c>
      <c r="H2760" t="inlineStr">
        <is>
          <t>06 KG</t>
        </is>
      </c>
      <c r="I2760" t="inlineStr">
        <is>
          <t>2029</t>
        </is>
      </c>
      <c r="J2760" t="n">
        <v>2017</v>
      </c>
      <c r="K2760" t="inlineStr">
        <is>
          <t>MARZO 2025</t>
        </is>
      </c>
      <c r="L2760" t="inlineStr">
        <is>
          <t>MARZO 2026</t>
        </is>
      </c>
      <c r="M2760" t="inlineStr">
        <is>
          <t>P.Q.S.  TIPO ABC  ASIA</t>
        </is>
      </c>
      <c r="N2760" t="inlineStr">
        <is>
          <t>74/000308</t>
        </is>
      </c>
      <c r="O2760" t="inlineStr">
        <is>
          <t>R</t>
        </is>
      </c>
      <c r="P2760">
        <f>TRIM(N2760)</f>
        <v/>
      </c>
    </row>
    <row r="2761">
      <c r="A2761" t="inlineStr">
        <is>
          <t>CO-002267</t>
        </is>
      </c>
      <c r="B2761" t="inlineStr">
        <is>
          <t>PERU MASIVO S.A - BUSES</t>
        </is>
      </c>
      <c r="C2761" t="inlineStr">
        <is>
          <t>20492392031</t>
        </is>
      </c>
      <c r="D2761" t="inlineStr">
        <is>
          <t>AV. LOS INCAS CDRA. 4 PATIO NORTE - COMAS</t>
        </is>
      </c>
      <c r="E2761" t="inlineStr">
        <is>
          <t>Lima, 07 de marzo de 2025</t>
        </is>
      </c>
      <c r="F2761" t="inlineStr">
        <is>
          <t>la Recarga y mantenimiento</t>
        </is>
      </c>
      <c r="G2761" t="inlineStr">
        <is>
          <t>05</t>
        </is>
      </c>
      <c r="H2761" t="inlineStr">
        <is>
          <t>06 KG</t>
        </is>
      </c>
      <c r="I2761" t="inlineStr">
        <is>
          <t>2029</t>
        </is>
      </c>
      <c r="J2761" t="n">
        <v>2013</v>
      </c>
      <c r="K2761" t="inlineStr">
        <is>
          <t>MARZO 2025</t>
        </is>
      </c>
      <c r="L2761" t="inlineStr">
        <is>
          <t>MARZO 2026</t>
        </is>
      </c>
      <c r="M2761" t="inlineStr">
        <is>
          <t>P.Q.S.  TIPO ABC  ASIA</t>
        </is>
      </c>
      <c r="N2761" t="inlineStr">
        <is>
          <t>75/014400</t>
        </is>
      </c>
      <c r="O2761" t="inlineStr">
        <is>
          <t>R</t>
        </is>
      </c>
      <c r="P2761">
        <f>TRIM(N2761)</f>
        <v/>
      </c>
    </row>
    <row r="2762">
      <c r="A2762" t="inlineStr">
        <is>
          <t>CO-002268</t>
        </is>
      </c>
      <c r="B2762" t="inlineStr">
        <is>
          <t>PERU MASIVO S.A - BUSES</t>
        </is>
      </c>
      <c r="C2762" t="inlineStr">
        <is>
          <t>20492392031</t>
        </is>
      </c>
      <c r="D2762" t="inlineStr">
        <is>
          <t>AV. LOS INCAS CDRA. 4 PATIO NORTE - COMAS</t>
        </is>
      </c>
      <c r="E2762" t="inlineStr">
        <is>
          <t>Lima, 11 de marzo de 2025</t>
        </is>
      </c>
      <c r="F2762" t="inlineStr">
        <is>
          <t>la Recarga y mantenimiento</t>
        </is>
      </c>
      <c r="G2762" t="inlineStr">
        <is>
          <t>01</t>
        </is>
      </c>
      <c r="H2762" t="inlineStr">
        <is>
          <t xml:space="preserve">06 KG </t>
        </is>
      </c>
      <c r="I2762" t="inlineStr">
        <is>
          <t>2029</t>
        </is>
      </c>
      <c r="J2762" t="n">
        <v>2010</v>
      </c>
      <c r="K2762" t="inlineStr">
        <is>
          <t>MARZO 2025</t>
        </is>
      </c>
      <c r="L2762" t="inlineStr">
        <is>
          <t>MARZO 2026</t>
        </is>
      </c>
      <c r="M2762" t="inlineStr">
        <is>
          <t>P.Q.S.  TIPO ABC  90% NACIONAL</t>
        </is>
      </c>
      <c r="N2762" t="inlineStr">
        <is>
          <t>150/006500</t>
        </is>
      </c>
      <c r="O2762" t="inlineStr">
        <is>
          <t>R</t>
        </is>
      </c>
      <c r="P2762">
        <f>TRIM(N2762)</f>
        <v/>
      </c>
    </row>
    <row r="2763">
      <c r="A2763" t="inlineStr">
        <is>
          <t>CO-002268</t>
        </is>
      </c>
      <c r="B2763" t="inlineStr">
        <is>
          <t>PERU MASIVO S.A - BUSES</t>
        </is>
      </c>
      <c r="C2763" t="inlineStr">
        <is>
          <t>20492392031</t>
        </is>
      </c>
      <c r="D2763" t="inlineStr">
        <is>
          <t>AV. LOS INCAS CDRA. 4 PATIO NORTE - COMAS</t>
        </is>
      </c>
      <c r="E2763" t="inlineStr">
        <is>
          <t>Lima, 11 de marzo de 2025</t>
        </is>
      </c>
      <c r="F2763" t="inlineStr">
        <is>
          <t>la Recarga y mantenimiento</t>
        </is>
      </c>
      <c r="G2763" t="inlineStr">
        <is>
          <t>02</t>
        </is>
      </c>
      <c r="H2763" t="inlineStr">
        <is>
          <t xml:space="preserve">06 KG </t>
        </is>
      </c>
      <c r="I2763" t="inlineStr">
        <is>
          <t>2029</t>
        </is>
      </c>
      <c r="J2763" t="n">
        <v>2010</v>
      </c>
      <c r="K2763" t="inlineStr">
        <is>
          <t>MARZO 2025</t>
        </is>
      </c>
      <c r="L2763" t="inlineStr">
        <is>
          <t>MARZO 2026</t>
        </is>
      </c>
      <c r="M2763" t="inlineStr">
        <is>
          <t>P.Q.S.  TIPO ABC  90% NACIONAL</t>
        </is>
      </c>
      <c r="N2763" t="inlineStr">
        <is>
          <t>167/002616</t>
        </is>
      </c>
      <c r="O2763" t="inlineStr">
        <is>
          <t>R</t>
        </is>
      </c>
      <c r="P2763">
        <f>TRIM(N2763)</f>
        <v/>
      </c>
    </row>
    <row r="2764">
      <c r="A2764" t="inlineStr">
        <is>
          <t>CO-002268</t>
        </is>
      </c>
      <c r="B2764" t="inlineStr">
        <is>
          <t>PERU MASIVO S.A - BUSES</t>
        </is>
      </c>
      <c r="C2764" t="inlineStr">
        <is>
          <t>20492392031</t>
        </is>
      </c>
      <c r="D2764" t="inlineStr">
        <is>
          <t>AV. LOS INCAS CDRA. 4 PATIO NORTE - COMAS</t>
        </is>
      </c>
      <c r="E2764" t="inlineStr">
        <is>
          <t>Lima, 11 de marzo de 2025</t>
        </is>
      </c>
      <c r="F2764" t="inlineStr">
        <is>
          <t>la Recarga y mantenimiento</t>
        </is>
      </c>
      <c r="G2764" t="inlineStr">
        <is>
          <t>03</t>
        </is>
      </c>
      <c r="H2764" t="inlineStr">
        <is>
          <t xml:space="preserve">06 KG </t>
        </is>
      </c>
      <c r="I2764" t="inlineStr">
        <is>
          <t>2029</t>
        </is>
      </c>
      <c r="J2764" t="n">
        <v>2010</v>
      </c>
      <c r="K2764" t="inlineStr">
        <is>
          <t>MARZO 2025</t>
        </is>
      </c>
      <c r="L2764" t="inlineStr">
        <is>
          <t>MARZO 2026</t>
        </is>
      </c>
      <c r="M2764" t="inlineStr">
        <is>
          <t>P.Q.S.  TIPO ABC  90% NACIONAL</t>
        </is>
      </c>
      <c r="N2764" t="inlineStr">
        <is>
          <t>193/002197</t>
        </is>
      </c>
      <c r="O2764" t="inlineStr">
        <is>
          <t>R</t>
        </is>
      </c>
      <c r="P2764">
        <f>TRIM(N2764)</f>
        <v/>
      </c>
    </row>
    <row r="2765">
      <c r="A2765" t="inlineStr">
        <is>
          <t>CO-002268</t>
        </is>
      </c>
      <c r="B2765" t="inlineStr">
        <is>
          <t>PERU MASIVO S.A - BUSES</t>
        </is>
      </c>
      <c r="C2765" t="inlineStr">
        <is>
          <t>20492392031</t>
        </is>
      </c>
      <c r="D2765" t="inlineStr">
        <is>
          <t>AV. LOS INCAS CDRA. 4 PATIO NORTE - COMAS</t>
        </is>
      </c>
      <c r="E2765" t="inlineStr">
        <is>
          <t>Lima, 11 de marzo de 2025</t>
        </is>
      </c>
      <c r="F2765" t="inlineStr">
        <is>
          <t>la Recarga y mantenimiento</t>
        </is>
      </c>
      <c r="G2765" t="inlineStr">
        <is>
          <t>04</t>
        </is>
      </c>
      <c r="H2765" t="inlineStr">
        <is>
          <t xml:space="preserve">06 KG </t>
        </is>
      </c>
      <c r="I2765" t="inlineStr">
        <is>
          <t>2029</t>
        </is>
      </c>
      <c r="J2765" t="n">
        <v>2015</v>
      </c>
      <c r="K2765" t="inlineStr">
        <is>
          <t>MARZO 2025</t>
        </is>
      </c>
      <c r="L2765" t="inlineStr">
        <is>
          <t>MARZO 2026</t>
        </is>
      </c>
      <c r="M2765" t="inlineStr">
        <is>
          <t>P.Q.S.  TIPO ABC  90% NACIONAL</t>
        </is>
      </c>
      <c r="N2765" t="inlineStr">
        <is>
          <t>230/001201</t>
        </is>
      </c>
      <c r="O2765" t="inlineStr">
        <is>
          <t>R</t>
        </is>
      </c>
      <c r="P2765">
        <f>TRIM(N2765)</f>
        <v/>
      </c>
    </row>
    <row r="2766">
      <c r="A2766" t="inlineStr">
        <is>
          <t>CO-002268</t>
        </is>
      </c>
      <c r="B2766" t="inlineStr">
        <is>
          <t>PERU MASIVO S.A - BUSES</t>
        </is>
      </c>
      <c r="C2766" t="inlineStr">
        <is>
          <t>20492392031</t>
        </is>
      </c>
      <c r="D2766" t="inlineStr">
        <is>
          <t>AV. LOS INCAS CDRA. 4 PATIO NORTE - COMAS</t>
        </is>
      </c>
      <c r="E2766" t="inlineStr">
        <is>
          <t>Lima, 11 de marzo de 2025</t>
        </is>
      </c>
      <c r="F2766" t="inlineStr">
        <is>
          <t>la Recarga y mantenimiento</t>
        </is>
      </c>
      <c r="G2766" t="inlineStr">
        <is>
          <t>05</t>
        </is>
      </c>
      <c r="H2766" t="inlineStr">
        <is>
          <t xml:space="preserve">06 KG </t>
        </is>
      </c>
      <c r="I2766" t="inlineStr">
        <is>
          <t>2029</t>
        </is>
      </c>
      <c r="J2766" t="n">
        <v>2010</v>
      </c>
      <c r="K2766" t="inlineStr">
        <is>
          <t>MARZO 2025</t>
        </is>
      </c>
      <c r="L2766" t="inlineStr">
        <is>
          <t>MARZO 2026</t>
        </is>
      </c>
      <c r="M2766" t="inlineStr">
        <is>
          <t>P.Q.S.  TIPO ABC  90% NACIONAL</t>
        </is>
      </c>
      <c r="N2766" t="inlineStr">
        <is>
          <t>246/002693</t>
        </is>
      </c>
      <c r="O2766" t="inlineStr">
        <is>
          <t>R</t>
        </is>
      </c>
      <c r="P2766">
        <f>TRIM(N2766)</f>
        <v/>
      </c>
    </row>
    <row r="2767">
      <c r="A2767" t="inlineStr">
        <is>
          <t>CO-002268</t>
        </is>
      </c>
      <c r="B2767" t="inlineStr">
        <is>
          <t>PERU MASIVO S.A - BUSES</t>
        </is>
      </c>
      <c r="C2767" t="inlineStr">
        <is>
          <t>20492392031</t>
        </is>
      </c>
      <c r="D2767" t="inlineStr">
        <is>
          <t>AV. LOS INCAS CDRA. 4 PATIO NORTE - COMAS</t>
        </is>
      </c>
      <c r="E2767" t="inlineStr">
        <is>
          <t>Lima, 11 de marzo de 2025</t>
        </is>
      </c>
      <c r="F2767" t="inlineStr">
        <is>
          <t>la Recarga y mantenimiento</t>
        </is>
      </c>
      <c r="G2767" t="inlineStr">
        <is>
          <t>06</t>
        </is>
      </c>
      <c r="H2767" t="inlineStr">
        <is>
          <t xml:space="preserve">06 KG </t>
        </is>
      </c>
      <c r="I2767" t="inlineStr">
        <is>
          <t>2029</t>
        </is>
      </c>
      <c r="J2767" t="n">
        <v>2010</v>
      </c>
      <c r="K2767" t="inlineStr">
        <is>
          <t>MARZO 2025</t>
        </is>
      </c>
      <c r="L2767" t="inlineStr">
        <is>
          <t>MARZO 2026</t>
        </is>
      </c>
      <c r="M2767" t="inlineStr">
        <is>
          <t>P.Q.S.  TIPO ABC  90% NACIONAL</t>
        </is>
      </c>
      <c r="N2767" t="inlineStr">
        <is>
          <t>347/000592</t>
        </is>
      </c>
      <c r="O2767" t="inlineStr">
        <is>
          <t>R</t>
        </is>
      </c>
      <c r="P2767">
        <f>TRIM(N2767)</f>
        <v/>
      </c>
    </row>
    <row r="2768">
      <c r="A2768" t="inlineStr">
        <is>
          <t>CO-002268</t>
        </is>
      </c>
      <c r="B2768" t="inlineStr">
        <is>
          <t>PERU MASIVO S.A - BUSES</t>
        </is>
      </c>
      <c r="C2768" t="inlineStr">
        <is>
          <t>20492392031</t>
        </is>
      </c>
      <c r="D2768" t="inlineStr">
        <is>
          <t>AV. LOS INCAS CDRA. 4 PATIO NORTE - COMAS</t>
        </is>
      </c>
      <c r="E2768" t="inlineStr">
        <is>
          <t>Lima, 11 de marzo de 2025</t>
        </is>
      </c>
      <c r="F2768" t="inlineStr">
        <is>
          <t>la Recarga y mantenimiento</t>
        </is>
      </c>
      <c r="G2768" t="inlineStr">
        <is>
          <t>07</t>
        </is>
      </c>
      <c r="H2768" t="inlineStr">
        <is>
          <t xml:space="preserve">06 KG </t>
        </is>
      </c>
      <c r="I2768" t="inlineStr">
        <is>
          <t>2026</t>
        </is>
      </c>
      <c r="J2768" t="n">
        <v>2021</v>
      </c>
      <c r="K2768" t="inlineStr">
        <is>
          <t>MARZO 2025</t>
        </is>
      </c>
      <c r="L2768" t="inlineStr">
        <is>
          <t>MARZO 2026</t>
        </is>
      </c>
      <c r="M2768" t="inlineStr">
        <is>
          <t>P.Q.S.  TIPO ABC  90% NACIONAL</t>
        </is>
      </c>
      <c r="N2768" t="inlineStr">
        <is>
          <t>77/009075</t>
        </is>
      </c>
      <c r="O2768" t="inlineStr">
        <is>
          <t>R</t>
        </is>
      </c>
      <c r="P2768">
        <f>TRIM(N2768)</f>
        <v/>
      </c>
    </row>
    <row r="2769">
      <c r="A2769" t="inlineStr">
        <is>
          <t>CO-002268</t>
        </is>
      </c>
      <c r="B2769" t="inlineStr">
        <is>
          <t>PERU MASIVO S.A - BUSES</t>
        </is>
      </c>
      <c r="C2769" t="inlineStr">
        <is>
          <t>20492392031</t>
        </is>
      </c>
      <c r="D2769" t="inlineStr">
        <is>
          <t>AV. LOS INCAS CDRA. 4 PATIO NORTE - COMAS</t>
        </is>
      </c>
      <c r="E2769" t="inlineStr">
        <is>
          <t>Lima, 11 de marzo de 2025</t>
        </is>
      </c>
      <c r="F2769" t="inlineStr">
        <is>
          <t>la Recarga y mantenimiento</t>
        </is>
      </c>
      <c r="G2769" t="inlineStr">
        <is>
          <t>08</t>
        </is>
      </c>
      <c r="H2769" t="inlineStr">
        <is>
          <t xml:space="preserve">06 KG </t>
        </is>
      </c>
      <c r="I2769" t="inlineStr">
        <is>
          <t>2026</t>
        </is>
      </c>
      <c r="J2769" t="n">
        <v>2021</v>
      </c>
      <c r="K2769" t="inlineStr">
        <is>
          <t>MARZO 2025</t>
        </is>
      </c>
      <c r="L2769" t="inlineStr">
        <is>
          <t>MARZO 2026</t>
        </is>
      </c>
      <c r="M2769" t="inlineStr">
        <is>
          <t>P.Q.S.  TIPO ABC  90% NACIONAL</t>
        </is>
      </c>
      <c r="N2769" t="inlineStr">
        <is>
          <t>78/009766</t>
        </is>
      </c>
      <c r="O2769" t="inlineStr">
        <is>
          <t>R</t>
        </is>
      </c>
      <c r="P2769">
        <f>TRIM(N2769)</f>
        <v/>
      </c>
    </row>
    <row r="2770">
      <c r="A2770" t="inlineStr">
        <is>
          <t>CO-002268</t>
        </is>
      </c>
      <c r="B2770" t="inlineStr">
        <is>
          <t>PERU MASIVO S.A - BUSES</t>
        </is>
      </c>
      <c r="C2770" t="inlineStr">
        <is>
          <t>20492392031</t>
        </is>
      </c>
      <c r="D2770" t="inlineStr">
        <is>
          <t>AV. LOS INCAS CDRA. 4 PATIO NORTE - COMAS</t>
        </is>
      </c>
      <c r="E2770" t="inlineStr">
        <is>
          <t>Lima, 11 de marzo de 2025</t>
        </is>
      </c>
      <c r="F2770" t="inlineStr">
        <is>
          <t>la Recarga y mantenimiento</t>
        </is>
      </c>
      <c r="G2770" t="inlineStr">
        <is>
          <t>09</t>
        </is>
      </c>
      <c r="H2770" t="inlineStr">
        <is>
          <t xml:space="preserve">06 KG </t>
        </is>
      </c>
      <c r="I2770" t="inlineStr">
        <is>
          <t>2026</t>
        </is>
      </c>
      <c r="J2770" t="n">
        <v>2021</v>
      </c>
      <c r="K2770" t="inlineStr">
        <is>
          <t>MARZO 2025</t>
        </is>
      </c>
      <c r="L2770" t="inlineStr">
        <is>
          <t>MARZO 2026</t>
        </is>
      </c>
      <c r="M2770" t="inlineStr">
        <is>
          <t>P.Q.S.  TIPO ABC  90% NACIONAL</t>
        </is>
      </c>
      <c r="N2770" t="inlineStr">
        <is>
          <t>80/006094</t>
        </is>
      </c>
      <c r="P2770">
        <f>TRIM(N2770)</f>
        <v/>
      </c>
    </row>
    <row r="2771">
      <c r="A2771" t="inlineStr">
        <is>
          <t>CO-002269</t>
        </is>
      </c>
      <c r="B2771" t="inlineStr">
        <is>
          <t xml:space="preserve">URSULA DENISS MENESES ALTUNA </t>
        </is>
      </c>
      <c r="C2771" t="inlineStr">
        <is>
          <t>10415785351</t>
        </is>
      </c>
      <c r="D2771" t="inlineStr">
        <is>
          <t>AV. LOS INCAS N° 1054 URB. EL PINAR - COMAS</t>
        </is>
      </c>
      <c r="E2771" t="inlineStr">
        <is>
          <t>Lima, 12 de marzo de 2025</t>
        </is>
      </c>
      <c r="F2771" t="inlineStr">
        <is>
          <t>la Recarga y mantenimiento</t>
        </is>
      </c>
      <c r="G2771" t="inlineStr">
        <is>
          <t>01</t>
        </is>
      </c>
      <c r="H2771" t="inlineStr">
        <is>
          <t>06 KG</t>
        </is>
      </c>
      <c r="I2771" t="inlineStr">
        <is>
          <t>2027</t>
        </is>
      </c>
      <c r="J2771" t="n">
        <v>2022</v>
      </c>
      <c r="K2771" t="inlineStr">
        <is>
          <t>MARZO 2025</t>
        </is>
      </c>
      <c r="L2771" t="inlineStr">
        <is>
          <t>MARZO 2026</t>
        </is>
      </c>
      <c r="M2771" t="inlineStr">
        <is>
          <t xml:space="preserve">P.Q.S.  TIPO ABC </t>
        </is>
      </c>
      <c r="N2771" t="inlineStr">
        <is>
          <t>01/501127</t>
        </is>
      </c>
      <c r="O2771" t="inlineStr">
        <is>
          <t>R</t>
        </is>
      </c>
      <c r="P2771">
        <f>TRIM(N2771)</f>
        <v/>
      </c>
    </row>
    <row r="2772">
      <c r="A2772" t="inlineStr">
        <is>
          <t>CO-002269</t>
        </is>
      </c>
      <c r="B2772" t="inlineStr">
        <is>
          <t xml:space="preserve">URSULA DENISS MENESES ALTUNA </t>
        </is>
      </c>
      <c r="C2772" t="inlineStr">
        <is>
          <t>10415785351</t>
        </is>
      </c>
      <c r="D2772" t="inlineStr">
        <is>
          <t>AV. LOS INCAS N° 1054 URB. EL PINAR - COMAS</t>
        </is>
      </c>
      <c r="E2772" t="inlineStr">
        <is>
          <t>Lima, 12 de marzo de 2025</t>
        </is>
      </c>
      <c r="F2772" t="inlineStr">
        <is>
          <t>la Recarga y mantenimiento</t>
        </is>
      </c>
      <c r="G2772" t="inlineStr">
        <is>
          <t>02</t>
        </is>
      </c>
      <c r="H2772" t="inlineStr">
        <is>
          <t>06 KG</t>
        </is>
      </c>
      <c r="I2772" t="inlineStr">
        <is>
          <t>2029</t>
        </is>
      </c>
      <c r="J2772" t="n">
        <v>2017</v>
      </c>
      <c r="K2772" t="inlineStr">
        <is>
          <t>MARZO 2025</t>
        </is>
      </c>
      <c r="L2772" t="inlineStr">
        <is>
          <t>MARZO 2026</t>
        </is>
      </c>
      <c r="M2772" t="inlineStr">
        <is>
          <t xml:space="preserve">P.Q.S.  TIPO ABC </t>
        </is>
      </c>
      <c r="N2772" t="inlineStr">
        <is>
          <t>02/000244</t>
        </is>
      </c>
      <c r="O2772" t="inlineStr">
        <is>
          <t>R</t>
        </is>
      </c>
      <c r="P2772">
        <f>TRIM(N2772)</f>
        <v/>
      </c>
    </row>
    <row r="2773">
      <c r="A2773" t="inlineStr">
        <is>
          <t>CO-002269</t>
        </is>
      </c>
      <c r="B2773" t="inlineStr">
        <is>
          <t xml:space="preserve">URSULA DENISS MENESES ALTUNA </t>
        </is>
      </c>
      <c r="C2773" t="inlineStr">
        <is>
          <t>10415785351</t>
        </is>
      </c>
      <c r="D2773" t="inlineStr">
        <is>
          <t>AV. LOS INCAS N° 1054 URB. EL PINAR - COMAS</t>
        </is>
      </c>
      <c r="E2773" t="inlineStr">
        <is>
          <t>Lima, 12 de marzo de 2025</t>
        </is>
      </c>
      <c r="F2773" t="inlineStr">
        <is>
          <t>la Recarga y mantenimiento</t>
        </is>
      </c>
      <c r="G2773" t="inlineStr">
        <is>
          <t>03</t>
        </is>
      </c>
      <c r="H2773" t="inlineStr">
        <is>
          <t>06 KG</t>
        </is>
      </c>
      <c r="I2773" t="inlineStr">
        <is>
          <t>2029</t>
        </is>
      </c>
      <c r="J2773" t="n">
        <v>2012</v>
      </c>
      <c r="K2773" t="inlineStr">
        <is>
          <t>MARZO 2025</t>
        </is>
      </c>
      <c r="L2773" t="inlineStr">
        <is>
          <t>MARZO 2026</t>
        </is>
      </c>
      <c r="M2773" t="inlineStr">
        <is>
          <t xml:space="preserve">P.Q.S.  TIPO ABC </t>
        </is>
      </c>
      <c r="N2773" t="inlineStr">
        <is>
          <t>03/001722</t>
        </is>
      </c>
      <c r="O2773" t="inlineStr">
        <is>
          <t>R</t>
        </is>
      </c>
      <c r="P2773">
        <f>TRIM(N2773)</f>
        <v/>
      </c>
    </row>
    <row r="2774">
      <c r="A2774" t="inlineStr">
        <is>
          <t>CO-002269</t>
        </is>
      </c>
      <c r="B2774" t="inlineStr">
        <is>
          <t xml:space="preserve">URSULA DENISS MENESES ALTUNA </t>
        </is>
      </c>
      <c r="C2774" t="inlineStr">
        <is>
          <t>10415785351</t>
        </is>
      </c>
      <c r="D2774" t="inlineStr">
        <is>
          <t>AV. LOS INCAS N° 1054 URB. EL PINAR - COMAS</t>
        </is>
      </c>
      <c r="E2774" t="inlineStr">
        <is>
          <t>Lima, 12 de marzo de 2025</t>
        </is>
      </c>
      <c r="F2774" t="inlineStr">
        <is>
          <t>la Recarga y mantenimiento</t>
        </is>
      </c>
      <c r="G2774" t="inlineStr">
        <is>
          <t>04</t>
        </is>
      </c>
      <c r="H2774" t="inlineStr">
        <is>
          <t>06 KG</t>
        </is>
      </c>
      <c r="I2774" t="inlineStr">
        <is>
          <t>2027</t>
        </is>
      </c>
      <c r="J2774" t="n">
        <v>2022</v>
      </c>
      <c r="K2774" t="inlineStr">
        <is>
          <t>MARZO 2025</t>
        </is>
      </c>
      <c r="L2774" t="inlineStr">
        <is>
          <t>MARZO 2026</t>
        </is>
      </c>
      <c r="M2774" t="inlineStr">
        <is>
          <t xml:space="preserve">P.Q.S.  TIPO ABC </t>
        </is>
      </c>
      <c r="N2774" t="inlineStr">
        <is>
          <t>04/492684</t>
        </is>
      </c>
      <c r="O2774" t="inlineStr">
        <is>
          <t>R</t>
        </is>
      </c>
      <c r="P2774">
        <f>TRIM(N2774)</f>
        <v/>
      </c>
    </row>
    <row r="2775">
      <c r="A2775" t="inlineStr">
        <is>
          <t>CO-002269</t>
        </is>
      </c>
      <c r="B2775" t="inlineStr">
        <is>
          <t xml:space="preserve">URSULA DENISS MENESES ALTUNA </t>
        </is>
      </c>
      <c r="C2775" t="inlineStr">
        <is>
          <t>10415785351</t>
        </is>
      </c>
      <c r="D2775" t="inlineStr">
        <is>
          <t>AV. LOS INCAS N° 1054 URB. EL PINAR - COMAS</t>
        </is>
      </c>
      <c r="E2775" t="inlineStr">
        <is>
          <t>Lima, 12 de marzo de 2025</t>
        </is>
      </c>
      <c r="F2775" t="inlineStr">
        <is>
          <t>la Recarga y mantenimiento</t>
        </is>
      </c>
      <c r="G2775" t="inlineStr">
        <is>
          <t>05</t>
        </is>
      </c>
      <c r="H2775" t="inlineStr">
        <is>
          <t>06 KG</t>
        </is>
      </c>
      <c r="I2775" t="inlineStr">
        <is>
          <t>2029</t>
        </is>
      </c>
      <c r="J2775" t="n">
        <v>2016</v>
      </c>
      <c r="K2775" t="inlineStr">
        <is>
          <t>MARZO 2025</t>
        </is>
      </c>
      <c r="L2775" t="inlineStr">
        <is>
          <t>MARZO 2026</t>
        </is>
      </c>
      <c r="M2775" t="inlineStr">
        <is>
          <t xml:space="preserve">P.Q.S.  TIPO ABC </t>
        </is>
      </c>
      <c r="N2775" t="inlineStr">
        <is>
          <t>05/000016</t>
        </is>
      </c>
      <c r="O2775" t="inlineStr">
        <is>
          <t>R</t>
        </is>
      </c>
      <c r="P2775">
        <f>TRIM(N2775)</f>
        <v/>
      </c>
    </row>
    <row r="2776">
      <c r="A2776" t="inlineStr">
        <is>
          <t>CO-002270</t>
        </is>
      </c>
      <c r="B2776" t="inlineStr">
        <is>
          <t>BEMBURGUER de Jose Vasquez</t>
        </is>
      </c>
      <c r="D2776" t="inlineStr">
        <is>
          <t>AV. ALMIRANTE MIGUEL GRAU 168</t>
        </is>
      </c>
      <c r="E2776" t="inlineStr">
        <is>
          <t>Lima, 15 de marzo de 2025</t>
        </is>
      </c>
      <c r="F2776" t="inlineStr">
        <is>
          <t>la Recarga y mantenimiento</t>
        </is>
      </c>
      <c r="G2776" t="inlineStr">
        <is>
          <t>01</t>
        </is>
      </c>
      <c r="H2776" t="inlineStr">
        <is>
          <t xml:space="preserve">06 KG </t>
        </is>
      </c>
      <c r="I2776" t="inlineStr">
        <is>
          <t>2028</t>
        </is>
      </c>
      <c r="J2776" t="n">
        <v>2023</v>
      </c>
      <c r="K2776" t="inlineStr">
        <is>
          <t>MARZO 2025</t>
        </is>
      </c>
      <c r="L2776" t="inlineStr">
        <is>
          <t>MARZO 2026</t>
        </is>
      </c>
      <c r="M2776" t="inlineStr">
        <is>
          <t xml:space="preserve">P.Q.S.  TIPO ABC </t>
        </is>
      </c>
      <c r="N2776" t="inlineStr">
        <is>
          <t>01/002668</t>
        </is>
      </c>
      <c r="O2776" t="inlineStr">
        <is>
          <t>R</t>
        </is>
      </c>
      <c r="P2776">
        <f>TRIM(N2776)</f>
        <v/>
      </c>
    </row>
    <row r="2777">
      <c r="A2777" t="inlineStr">
        <is>
          <t>CO-002270</t>
        </is>
      </c>
      <c r="B2777" t="inlineStr">
        <is>
          <t>BEMBURGUER de Jose Vasquez</t>
        </is>
      </c>
      <c r="D2777" t="inlineStr">
        <is>
          <t>AV. ALMIRANTE MIGUEL GRAU 168</t>
        </is>
      </c>
      <c r="E2777" t="inlineStr">
        <is>
          <t>Lima, 15 de marzo de 2025</t>
        </is>
      </c>
      <c r="F2777" t="inlineStr">
        <is>
          <t>la Recarga y mantenimiento</t>
        </is>
      </c>
      <c r="G2777" t="inlineStr">
        <is>
          <t>02</t>
        </is>
      </c>
      <c r="H2777" t="inlineStr">
        <is>
          <t>1.5 GLS</t>
        </is>
      </c>
      <c r="I2777" t="inlineStr">
        <is>
          <t>2029</t>
        </is>
      </c>
      <c r="J2777" t="n">
        <v>2024</v>
      </c>
      <c r="K2777" t="inlineStr">
        <is>
          <t>MARZO 2025</t>
        </is>
      </c>
      <c r="L2777" t="inlineStr">
        <is>
          <t>MARZO 2026</t>
        </is>
      </c>
      <c r="M2777" t="inlineStr">
        <is>
          <t>ACETATO DE POTACIO TIPO K</t>
        </is>
      </c>
      <c r="N2777" t="inlineStr">
        <is>
          <t>02/000229</t>
        </is>
      </c>
      <c r="O2777" t="inlineStr">
        <is>
          <t>R</t>
        </is>
      </c>
      <c r="P2777">
        <f>TRIM(N2777)</f>
        <v/>
      </c>
    </row>
    <row r="2778">
      <c r="A2778" t="inlineStr">
        <is>
          <t>CO-002271</t>
        </is>
      </c>
      <c r="B2778" t="inlineStr">
        <is>
          <t>INSTITUCION EDUCATIVA N° 8155 VICTOR RAUL HAYA DE LA TORRE</t>
        </is>
      </c>
      <c r="C2778" t="inlineStr">
        <is>
          <t>2051824292</t>
        </is>
      </c>
      <c r="D2778" t="inlineStr">
        <is>
          <t>JR. AUGUSTO SALAVERRY, CARABAYLLO</t>
        </is>
      </c>
      <c r="E2778" t="inlineStr">
        <is>
          <t>Lima, 15 de marzo de 2025</t>
        </is>
      </c>
      <c r="F2778" t="inlineStr">
        <is>
          <t>la Recarga y mantenimiento</t>
        </is>
      </c>
      <c r="G2778" t="inlineStr">
        <is>
          <t>01</t>
        </is>
      </c>
      <c r="H2778" t="inlineStr">
        <is>
          <t xml:space="preserve">04 KG </t>
        </is>
      </c>
      <c r="I2778" t="inlineStr">
        <is>
          <t>2030</t>
        </is>
      </c>
      <c r="J2778" t="n">
        <v>2020</v>
      </c>
      <c r="K2778" t="inlineStr">
        <is>
          <t>MARZO 2025</t>
        </is>
      </c>
      <c r="L2778" t="inlineStr">
        <is>
          <t>MARZO 2026</t>
        </is>
      </c>
      <c r="M2778" t="inlineStr">
        <is>
          <t xml:space="preserve">P.Q.S.  TIPO ABC </t>
        </is>
      </c>
      <c r="N2778" t="inlineStr">
        <is>
          <t>01/117660</t>
        </is>
      </c>
      <c r="O2778" t="inlineStr">
        <is>
          <t>R</t>
        </is>
      </c>
      <c r="P2778">
        <f>TRIM(N2778)</f>
        <v/>
      </c>
    </row>
    <row r="2779">
      <c r="A2779" t="inlineStr">
        <is>
          <t>CO-002271</t>
        </is>
      </c>
      <c r="B2779" t="inlineStr">
        <is>
          <t>INSTITUCION EDUCATIVA N° 8155 VICTOR RAUL HAYA DE LA TORRE</t>
        </is>
      </c>
      <c r="C2779" t="inlineStr">
        <is>
          <t>2051824292</t>
        </is>
      </c>
      <c r="D2779" t="inlineStr">
        <is>
          <t>JR. AUGUSTO SALAVERRY, CARABAYLLO</t>
        </is>
      </c>
      <c r="E2779" t="inlineStr">
        <is>
          <t>Lima, 15 de marzo de 2025</t>
        </is>
      </c>
      <c r="F2779" t="inlineStr">
        <is>
          <t>la Recarga y mantenimiento</t>
        </is>
      </c>
      <c r="G2779" t="inlineStr">
        <is>
          <t>02</t>
        </is>
      </c>
      <c r="H2779" t="inlineStr">
        <is>
          <t xml:space="preserve">04 KG </t>
        </is>
      </c>
      <c r="I2779" t="inlineStr">
        <is>
          <t>2028</t>
        </is>
      </c>
      <c r="J2779" t="n">
        <v>2013</v>
      </c>
      <c r="K2779" t="inlineStr">
        <is>
          <t>MARZO 2025</t>
        </is>
      </c>
      <c r="L2779" t="inlineStr">
        <is>
          <t>MARZO 2026</t>
        </is>
      </c>
      <c r="M2779" t="inlineStr">
        <is>
          <t xml:space="preserve">P.Q.S.  TIPO ABC </t>
        </is>
      </c>
      <c r="N2779" t="inlineStr">
        <is>
          <t>02/000009</t>
        </is>
      </c>
      <c r="O2779" t="inlineStr">
        <is>
          <t>R</t>
        </is>
      </c>
      <c r="P2779">
        <f>TRIM(N2779)</f>
        <v/>
      </c>
    </row>
    <row r="2780">
      <c r="A2780" t="inlineStr">
        <is>
          <t>CO-002271</t>
        </is>
      </c>
      <c r="B2780" t="inlineStr">
        <is>
          <t>INSTITUCION EDUCATIVA N° 8155 VICTOR RAUL HAYA DE LA TORRE</t>
        </is>
      </c>
      <c r="C2780" t="inlineStr">
        <is>
          <t>2051824292</t>
        </is>
      </c>
      <c r="D2780" t="inlineStr">
        <is>
          <t>JR. AUGUSTO SALAVERRY, CARABAYLLO</t>
        </is>
      </c>
      <c r="E2780" t="inlineStr">
        <is>
          <t>Lima, 15 de marzo de 2025</t>
        </is>
      </c>
      <c r="F2780" t="inlineStr">
        <is>
          <t>la Recarga y mantenimiento</t>
        </is>
      </c>
      <c r="G2780" t="inlineStr">
        <is>
          <t>03</t>
        </is>
      </c>
      <c r="H2780" t="inlineStr">
        <is>
          <t>06 KG</t>
        </is>
      </c>
      <c r="I2780" t="inlineStr">
        <is>
          <t>2028</t>
        </is>
      </c>
      <c r="J2780" t="n">
        <v>2008</v>
      </c>
      <c r="K2780" t="inlineStr">
        <is>
          <t>MARZO 2025</t>
        </is>
      </c>
      <c r="L2780" t="inlineStr">
        <is>
          <t>MARZO 2026</t>
        </is>
      </c>
      <c r="M2780" t="inlineStr">
        <is>
          <t xml:space="preserve">P.Q.S.  TIPO ABC </t>
        </is>
      </c>
      <c r="N2780" t="inlineStr">
        <is>
          <t>03/003595</t>
        </is>
      </c>
      <c r="O2780" t="inlineStr">
        <is>
          <t>R</t>
        </is>
      </c>
      <c r="P2780">
        <f>TRIM(N2780)</f>
        <v/>
      </c>
    </row>
    <row r="2781">
      <c r="A2781" t="inlineStr">
        <is>
          <t>CO-002271</t>
        </is>
      </c>
      <c r="B2781" t="inlineStr">
        <is>
          <t>INSTITUCION EDUCATIVA N° 8155 VICTOR RAUL HAYA DE LA TORRE</t>
        </is>
      </c>
      <c r="C2781" t="inlineStr">
        <is>
          <t>2051824292</t>
        </is>
      </c>
      <c r="D2781" t="inlineStr">
        <is>
          <t>JR. AUGUSTO SALAVERRY, CARABAYLLO</t>
        </is>
      </c>
      <c r="E2781" t="inlineStr">
        <is>
          <t>Lima, 15 de marzo de 2025</t>
        </is>
      </c>
      <c r="F2781" t="inlineStr">
        <is>
          <t>la Recarga y mantenimiento</t>
        </is>
      </c>
      <c r="G2781" t="inlineStr">
        <is>
          <t>04</t>
        </is>
      </c>
      <c r="H2781" t="inlineStr">
        <is>
          <t>06 KG</t>
        </is>
      </c>
      <c r="I2781" t="inlineStr">
        <is>
          <t>2028</t>
        </is>
      </c>
      <c r="J2781" t="n">
        <v>2018</v>
      </c>
      <c r="K2781" t="inlineStr">
        <is>
          <t>MARZO 2025</t>
        </is>
      </c>
      <c r="L2781" t="inlineStr">
        <is>
          <t>MARZO 2026</t>
        </is>
      </c>
      <c r="M2781" t="inlineStr">
        <is>
          <t xml:space="preserve">P.Q.S.  TIPO ABC </t>
        </is>
      </c>
      <c r="N2781" t="inlineStr">
        <is>
          <t>04/000557</t>
        </is>
      </c>
      <c r="O2781" t="inlineStr">
        <is>
          <t>R</t>
        </is>
      </c>
      <c r="P2781">
        <f>TRIM(N2781)</f>
        <v/>
      </c>
    </row>
    <row r="2782">
      <c r="A2782" t="inlineStr">
        <is>
          <t>CO-002272</t>
        </is>
      </c>
      <c r="B2782" t="inlineStr">
        <is>
          <t xml:space="preserve">CELIA GAVIDIA LOPEZ - IE 5188 - CAFETIN </t>
        </is>
      </c>
      <c r="D2782" t="inlineStr">
        <is>
          <t>JR. AUGUSTO SALAVERRY, CARABAYLLO</t>
        </is>
      </c>
      <c r="E2782" t="inlineStr">
        <is>
          <t>Lima, 15 de marzo de 2025</t>
        </is>
      </c>
      <c r="F2782" t="inlineStr">
        <is>
          <t>la Recarga y mantenimiento</t>
        </is>
      </c>
      <c r="G2782" t="inlineStr">
        <is>
          <t>01</t>
        </is>
      </c>
      <c r="H2782" t="inlineStr">
        <is>
          <t>06 KG</t>
        </is>
      </c>
      <c r="I2782" t="inlineStr">
        <is>
          <t>2030</t>
        </is>
      </c>
      <c r="J2782" t="n">
        <v>2015</v>
      </c>
      <c r="K2782" t="inlineStr">
        <is>
          <t>MARZO 2025</t>
        </is>
      </c>
      <c r="L2782" t="inlineStr">
        <is>
          <t>MARZO 2026</t>
        </is>
      </c>
      <c r="M2782" t="inlineStr">
        <is>
          <t xml:space="preserve">P.Q.S.  TIPO ABC </t>
        </is>
      </c>
      <c r="N2782" t="inlineStr">
        <is>
          <t>01/000024</t>
        </is>
      </c>
      <c r="O2782" t="inlineStr">
        <is>
          <t>R</t>
        </is>
      </c>
      <c r="P2782">
        <f>TRIM(N2782)</f>
        <v/>
      </c>
    </row>
    <row r="2783">
      <c r="A2783" t="inlineStr">
        <is>
          <t>CO-002273</t>
        </is>
      </c>
      <c r="B2783" t="inlineStr">
        <is>
          <t xml:space="preserve">RTC IMPORTACIONES EIRL </t>
        </is>
      </c>
      <c r="C2783" t="inlineStr">
        <is>
          <t>20601429846</t>
        </is>
      </c>
      <c r="D2783" t="inlineStr">
        <is>
          <t xml:space="preserve">AV. MILAGROS DE JESUS 230, COMAS </t>
        </is>
      </c>
      <c r="E2783" t="inlineStr">
        <is>
          <t>Lima, 17 de marzo de 2025</t>
        </is>
      </c>
      <c r="F2783" t="inlineStr">
        <is>
          <t>la Recarga y mantenimiento</t>
        </is>
      </c>
      <c r="G2783" t="inlineStr">
        <is>
          <t>01</t>
        </is>
      </c>
      <c r="H2783" t="inlineStr">
        <is>
          <t>06 KG</t>
        </is>
      </c>
      <c r="I2783" t="inlineStr">
        <is>
          <t>2028</t>
        </is>
      </c>
      <c r="J2783" t="n">
        <v>2023</v>
      </c>
      <c r="K2783" t="inlineStr">
        <is>
          <t>MARZO 2025</t>
        </is>
      </c>
      <c r="L2783" t="inlineStr">
        <is>
          <t>MARZO 2026</t>
        </is>
      </c>
      <c r="M2783" t="inlineStr">
        <is>
          <t xml:space="preserve">P.Q.S.  TIPO ABC </t>
        </is>
      </c>
      <c r="N2783" t="inlineStr">
        <is>
          <t>01/139327</t>
        </is>
      </c>
      <c r="O2783" t="inlineStr">
        <is>
          <t>R</t>
        </is>
      </c>
      <c r="P2783">
        <f>TRIM(N2783)</f>
        <v/>
      </c>
    </row>
    <row r="2784">
      <c r="A2784" t="inlineStr">
        <is>
          <t>CO-002274</t>
        </is>
      </c>
      <c r="B2784" t="inlineStr">
        <is>
          <t>PERU MASIVO S.A - BUSES</t>
        </is>
      </c>
      <c r="C2784" t="inlineStr">
        <is>
          <t>20492392031</t>
        </is>
      </c>
      <c r="D2784" t="inlineStr">
        <is>
          <t>AV. LOS INCAS CDRA. 4 PATIO NORTE - COMAS</t>
        </is>
      </c>
      <c r="E2784" t="inlineStr">
        <is>
          <t>Lima, 17 de marzo de 2025</t>
        </is>
      </c>
      <c r="F2784" t="inlineStr">
        <is>
          <t>la Recarga y mantenimiento</t>
        </is>
      </c>
      <c r="G2784" t="inlineStr">
        <is>
          <t>01</t>
        </is>
      </c>
      <c r="H2784" t="inlineStr">
        <is>
          <t xml:space="preserve">06 KG </t>
        </is>
      </c>
      <c r="I2784" t="inlineStr">
        <is>
          <t>2026</t>
        </is>
      </c>
      <c r="J2784" t="n">
        <v>2009</v>
      </c>
      <c r="K2784" t="inlineStr">
        <is>
          <t>MARZO 2025</t>
        </is>
      </c>
      <c r="L2784" t="inlineStr">
        <is>
          <t>MARZO 2026</t>
        </is>
      </c>
      <c r="M2784" t="inlineStr">
        <is>
          <t>P.Q.S.  TIPO ABC  90% NACIONAL</t>
        </is>
      </c>
      <c r="N2784" t="inlineStr">
        <is>
          <t>201/001533</t>
        </is>
      </c>
      <c r="O2784" t="inlineStr">
        <is>
          <t>R</t>
        </is>
      </c>
      <c r="P2784">
        <f>TRIM(N2784)</f>
        <v/>
      </c>
    </row>
    <row r="2785">
      <c r="A2785" t="inlineStr">
        <is>
          <t>CO-002274</t>
        </is>
      </c>
      <c r="B2785" t="inlineStr">
        <is>
          <t>PERU MASIVO S.A - BUSES</t>
        </is>
      </c>
      <c r="C2785" t="inlineStr">
        <is>
          <t>20492392031</t>
        </is>
      </c>
      <c r="D2785" t="inlineStr">
        <is>
          <t>AV. LOS INCAS CDRA. 4 PATIO NORTE - COMAS</t>
        </is>
      </c>
      <c r="E2785" t="inlineStr">
        <is>
          <t>Lima, 17 de marzo de 2025</t>
        </is>
      </c>
      <c r="F2785" t="inlineStr">
        <is>
          <t>la Recarga y mantenimiento</t>
        </is>
      </c>
      <c r="G2785" t="inlineStr">
        <is>
          <t>02</t>
        </is>
      </c>
      <c r="H2785" t="inlineStr">
        <is>
          <t xml:space="preserve">06 KG </t>
        </is>
      </c>
      <c r="I2785" t="inlineStr">
        <is>
          <t>2026</t>
        </is>
      </c>
      <c r="J2785" t="n">
        <v>2010</v>
      </c>
      <c r="K2785" t="inlineStr">
        <is>
          <t>MARZO 2025</t>
        </is>
      </c>
      <c r="L2785" t="inlineStr">
        <is>
          <t>MARZO 2026</t>
        </is>
      </c>
      <c r="M2785" t="inlineStr">
        <is>
          <t>P.Q.S.  TIPO ABC  90% NACIONAL</t>
        </is>
      </c>
      <c r="N2785" t="inlineStr">
        <is>
          <t>180/000005</t>
        </is>
      </c>
      <c r="O2785" t="inlineStr">
        <is>
          <t>R</t>
        </is>
      </c>
      <c r="P2785">
        <f>TRIM(N2785)</f>
        <v/>
      </c>
    </row>
    <row r="2786">
      <c r="A2786" t="inlineStr">
        <is>
          <t>CO-002274</t>
        </is>
      </c>
      <c r="B2786" t="inlineStr">
        <is>
          <t>PERU MASIVO S.A - BUSES</t>
        </is>
      </c>
      <c r="C2786" t="inlineStr">
        <is>
          <t>20492392031</t>
        </is>
      </c>
      <c r="D2786" t="inlineStr">
        <is>
          <t>AV. LOS INCAS CDRA. 4 PATIO NORTE - COMAS</t>
        </is>
      </c>
      <c r="E2786" t="inlineStr">
        <is>
          <t>Lima, 17 de marzo de 2025</t>
        </is>
      </c>
      <c r="F2786" t="inlineStr">
        <is>
          <t>la Recarga y mantenimiento</t>
        </is>
      </c>
      <c r="G2786" t="inlineStr">
        <is>
          <t>03</t>
        </is>
      </c>
      <c r="H2786" t="inlineStr">
        <is>
          <t xml:space="preserve">06 KG </t>
        </is>
      </c>
      <c r="I2786" t="inlineStr">
        <is>
          <t>2026</t>
        </is>
      </c>
      <c r="J2786" t="n">
        <v>2010</v>
      </c>
      <c r="K2786" t="inlineStr">
        <is>
          <t>MARZO 2025</t>
        </is>
      </c>
      <c r="L2786" t="inlineStr">
        <is>
          <t>MARZO 2026</t>
        </is>
      </c>
      <c r="M2786" t="inlineStr">
        <is>
          <t>P.Q.S.  TIPO ABC  90% NACIONAL</t>
        </is>
      </c>
      <c r="N2786" t="inlineStr">
        <is>
          <t>269/000005</t>
        </is>
      </c>
      <c r="O2786" t="inlineStr">
        <is>
          <t>R</t>
        </is>
      </c>
      <c r="P2786">
        <f>TRIM(N2786)</f>
        <v/>
      </c>
    </row>
    <row r="2787">
      <c r="A2787" t="inlineStr">
        <is>
          <t>CO-002274</t>
        </is>
      </c>
      <c r="B2787" t="inlineStr">
        <is>
          <t>PERU MASIVO S.A - BUSES</t>
        </is>
      </c>
      <c r="C2787" t="inlineStr">
        <is>
          <t>20492392031</t>
        </is>
      </c>
      <c r="D2787" t="inlineStr">
        <is>
          <t>AV. LOS INCAS CDRA. 4 PATIO NORTE - COMAS</t>
        </is>
      </c>
      <c r="E2787" t="inlineStr">
        <is>
          <t>Lima, 17 de marzo de 2025</t>
        </is>
      </c>
      <c r="F2787" t="inlineStr">
        <is>
          <t>la Recarga y mantenimiento</t>
        </is>
      </c>
      <c r="G2787" t="inlineStr">
        <is>
          <t>04</t>
        </is>
      </c>
      <c r="H2787" t="inlineStr">
        <is>
          <t xml:space="preserve">06 KG </t>
        </is>
      </c>
      <c r="I2787" t="inlineStr">
        <is>
          <t>2029</t>
        </is>
      </c>
      <c r="J2787" t="n">
        <v>2011</v>
      </c>
      <c r="K2787" t="inlineStr">
        <is>
          <t>MARZO 2025</t>
        </is>
      </c>
      <c r="L2787" t="inlineStr">
        <is>
          <t>MARZO 2026</t>
        </is>
      </c>
      <c r="M2787" t="inlineStr">
        <is>
          <t>P.Q.S.  TIPO ABC  90% NACIONAL</t>
        </is>
      </c>
      <c r="N2787" t="inlineStr">
        <is>
          <t>328/002884</t>
        </is>
      </c>
      <c r="O2787" t="inlineStr">
        <is>
          <t>R</t>
        </is>
      </c>
      <c r="P2787">
        <f>TRIM(N2787)</f>
        <v/>
      </c>
    </row>
    <row r="2788">
      <c r="A2788" t="inlineStr">
        <is>
          <t>CO-002274</t>
        </is>
      </c>
      <c r="B2788" t="inlineStr">
        <is>
          <t>PERU MASIVO S.A - BUSES</t>
        </is>
      </c>
      <c r="C2788" t="inlineStr">
        <is>
          <t>20492392031</t>
        </is>
      </c>
      <c r="D2788" t="inlineStr">
        <is>
          <t>AV. LOS INCAS CDRA. 4 PATIO NORTE - COMAS</t>
        </is>
      </c>
      <c r="E2788" t="inlineStr">
        <is>
          <t>Lima, 17 de marzo de 2025</t>
        </is>
      </c>
      <c r="F2788" t="inlineStr">
        <is>
          <t>la Recarga y mantenimiento</t>
        </is>
      </c>
      <c r="G2788" t="inlineStr">
        <is>
          <t>05</t>
        </is>
      </c>
      <c r="H2788" t="inlineStr">
        <is>
          <t xml:space="preserve">06 KG </t>
        </is>
      </c>
      <c r="I2788" t="inlineStr">
        <is>
          <t>2026</t>
        </is>
      </c>
      <c r="J2788" t="n">
        <v>2009</v>
      </c>
      <c r="K2788" t="inlineStr">
        <is>
          <t>MARZO 2025</t>
        </is>
      </c>
      <c r="L2788" t="inlineStr">
        <is>
          <t>MARZO 2026</t>
        </is>
      </c>
      <c r="M2788" t="inlineStr">
        <is>
          <t>P.Q.S.  TIPO ABC  90% NACIONAL</t>
        </is>
      </c>
      <c r="N2788" t="inlineStr">
        <is>
          <t>361/001112</t>
        </is>
      </c>
      <c r="O2788" t="inlineStr">
        <is>
          <t>R</t>
        </is>
      </c>
      <c r="P2788">
        <f>TRIM(N2788)</f>
        <v/>
      </c>
    </row>
    <row r="2789">
      <c r="A2789" t="inlineStr">
        <is>
          <t>CO-002274</t>
        </is>
      </c>
      <c r="B2789" t="inlineStr">
        <is>
          <t>PERU MASIVO S.A - BUSES</t>
        </is>
      </c>
      <c r="C2789" t="inlineStr">
        <is>
          <t>20492392031</t>
        </is>
      </c>
      <c r="D2789" t="inlineStr">
        <is>
          <t>AV. LOS INCAS CDRA. 4 PATIO NORTE - COMAS</t>
        </is>
      </c>
      <c r="E2789" t="inlineStr">
        <is>
          <t>Lima, 17 de marzo de 2025</t>
        </is>
      </c>
      <c r="F2789" t="inlineStr">
        <is>
          <t>la Recarga y mantenimiento</t>
        </is>
      </c>
      <c r="G2789" t="inlineStr">
        <is>
          <t>06</t>
        </is>
      </c>
      <c r="H2789" t="inlineStr">
        <is>
          <t xml:space="preserve">06 KG </t>
        </is>
      </c>
      <c r="I2789" t="inlineStr">
        <is>
          <t>2026</t>
        </is>
      </c>
      <c r="J2789" t="n">
        <v>2010</v>
      </c>
      <c r="K2789" t="inlineStr">
        <is>
          <t>MARZO 2025</t>
        </is>
      </c>
      <c r="L2789" t="inlineStr">
        <is>
          <t>MARZO 2026</t>
        </is>
      </c>
      <c r="M2789" t="inlineStr">
        <is>
          <t>P.Q.S.  TIPO ABC  90% NACIONAL</t>
        </is>
      </c>
      <c r="N2789" t="inlineStr">
        <is>
          <t>104/000188</t>
        </is>
      </c>
      <c r="O2789" t="inlineStr">
        <is>
          <t>R</t>
        </is>
      </c>
      <c r="P2789">
        <f>TRIM(N2789)</f>
        <v/>
      </c>
    </row>
    <row r="2790">
      <c r="A2790" t="inlineStr">
        <is>
          <t>CO-002274</t>
        </is>
      </c>
      <c r="B2790" t="inlineStr">
        <is>
          <t>PERU MASIVO S.A - BUSES</t>
        </is>
      </c>
      <c r="C2790" t="inlineStr">
        <is>
          <t>20492392031</t>
        </is>
      </c>
      <c r="D2790" t="inlineStr">
        <is>
          <t>AV. LOS INCAS CDRA. 4 PATIO NORTE - COMAS</t>
        </is>
      </c>
      <c r="E2790" t="inlineStr">
        <is>
          <t>Lima, 17 de marzo de 2025</t>
        </is>
      </c>
      <c r="F2790" t="inlineStr">
        <is>
          <t>la Recarga y mantenimiento</t>
        </is>
      </c>
      <c r="G2790" t="inlineStr">
        <is>
          <t>07</t>
        </is>
      </c>
      <c r="H2790" t="inlineStr">
        <is>
          <t xml:space="preserve">06 KG </t>
        </is>
      </c>
      <c r="I2790" t="inlineStr">
        <is>
          <t>2029</t>
        </is>
      </c>
      <c r="J2790" t="n">
        <v>2011</v>
      </c>
      <c r="K2790" t="inlineStr">
        <is>
          <t>MARZO 2025</t>
        </is>
      </c>
      <c r="L2790" t="inlineStr">
        <is>
          <t>MARZO 2026</t>
        </is>
      </c>
      <c r="M2790" t="inlineStr">
        <is>
          <t>P.Q.S.  TIPO ABC  90% NACIONAL</t>
        </is>
      </c>
      <c r="N2790" t="inlineStr">
        <is>
          <t>131/000395</t>
        </is>
      </c>
      <c r="O2790" t="inlineStr">
        <is>
          <t>R</t>
        </is>
      </c>
      <c r="P2790">
        <f>TRIM(N2790)</f>
        <v/>
      </c>
    </row>
    <row r="2791">
      <c r="A2791" t="inlineStr">
        <is>
          <t>CO-002274</t>
        </is>
      </c>
      <c r="B2791" t="inlineStr">
        <is>
          <t>PERU MASIVO S.A - BUSES</t>
        </is>
      </c>
      <c r="C2791" t="inlineStr">
        <is>
          <t>20492392031</t>
        </is>
      </c>
      <c r="D2791" t="inlineStr">
        <is>
          <t>AV. LOS INCAS CDRA. 4 PATIO NORTE - COMAS</t>
        </is>
      </c>
      <c r="E2791" t="inlineStr">
        <is>
          <t>Lima, 17 de marzo de 2025</t>
        </is>
      </c>
      <c r="F2791" t="inlineStr">
        <is>
          <t>la Recarga y mantenimiento</t>
        </is>
      </c>
      <c r="G2791" t="inlineStr">
        <is>
          <t>08</t>
        </is>
      </c>
      <c r="H2791" t="inlineStr">
        <is>
          <t xml:space="preserve">06 KG </t>
        </is>
      </c>
      <c r="I2791" t="inlineStr">
        <is>
          <t>2026</t>
        </is>
      </c>
      <c r="J2791" t="n">
        <v>2021</v>
      </c>
      <c r="K2791" t="inlineStr">
        <is>
          <t>MARZO 2025</t>
        </is>
      </c>
      <c r="L2791" t="inlineStr">
        <is>
          <t>MARZO 2026</t>
        </is>
      </c>
      <c r="M2791" t="inlineStr">
        <is>
          <t>P.Q.S.  TIPO ABC  90% NACIONAL</t>
        </is>
      </c>
      <c r="N2791" t="inlineStr">
        <is>
          <t>77/006415</t>
        </is>
      </c>
      <c r="O2791" t="inlineStr">
        <is>
          <t>R</t>
        </is>
      </c>
      <c r="P2791">
        <f>TRIM(N2791)</f>
        <v/>
      </c>
    </row>
    <row r="2792">
      <c r="A2792" t="inlineStr">
        <is>
          <t>CO-002274</t>
        </is>
      </c>
      <c r="B2792" t="inlineStr">
        <is>
          <t>PERU MASIVO S.A - BUSES</t>
        </is>
      </c>
      <c r="C2792" t="inlineStr">
        <is>
          <t>20492392031</t>
        </is>
      </c>
      <c r="D2792" t="inlineStr">
        <is>
          <t>AV. LOS INCAS CDRA. 4 PATIO NORTE - COMAS</t>
        </is>
      </c>
      <c r="E2792" t="inlineStr">
        <is>
          <t>Lima, 17 de marzo de 2025</t>
        </is>
      </c>
      <c r="F2792" t="inlineStr">
        <is>
          <t>la Recarga y mantenimiento</t>
        </is>
      </c>
      <c r="G2792" t="inlineStr">
        <is>
          <t>09</t>
        </is>
      </c>
      <c r="H2792" t="inlineStr">
        <is>
          <t xml:space="preserve">06 KG </t>
        </is>
      </c>
      <c r="I2792" t="inlineStr">
        <is>
          <t>2026</t>
        </is>
      </c>
      <c r="J2792" t="n">
        <v>2009</v>
      </c>
      <c r="K2792" t="inlineStr">
        <is>
          <t>MARZO 2025</t>
        </is>
      </c>
      <c r="L2792" t="inlineStr">
        <is>
          <t>MARZO 2026</t>
        </is>
      </c>
      <c r="M2792" t="inlineStr">
        <is>
          <t>P.Q.S.  TIPO ABC  90% NACIONAL</t>
        </is>
      </c>
      <c r="N2792" t="inlineStr">
        <is>
          <t>204/002339</t>
        </is>
      </c>
      <c r="O2792" t="inlineStr">
        <is>
          <t>R</t>
        </is>
      </c>
      <c r="P2792">
        <f>TRIM(N2792)</f>
        <v/>
      </c>
    </row>
    <row r="2793">
      <c r="A2793" t="inlineStr">
        <is>
          <t>CO-002274</t>
        </is>
      </c>
      <c r="B2793" t="inlineStr">
        <is>
          <t>PERU MASIVO S.A - BUSES</t>
        </is>
      </c>
      <c r="C2793" t="inlineStr">
        <is>
          <t>20492392031</t>
        </is>
      </c>
      <c r="D2793" t="inlineStr">
        <is>
          <t>AV. LOS INCAS CDRA. 4 PATIO NORTE - COMAS</t>
        </is>
      </c>
      <c r="E2793" t="inlineStr">
        <is>
          <t>Lima, 17 de marzo de 2025</t>
        </is>
      </c>
      <c r="F2793" t="inlineStr">
        <is>
          <t>la Recarga y mantenimiento</t>
        </is>
      </c>
      <c r="G2793" t="n">
        <v>10</v>
      </c>
      <c r="H2793" t="inlineStr">
        <is>
          <t xml:space="preserve">06 KG </t>
        </is>
      </c>
      <c r="I2793" t="inlineStr">
        <is>
          <t>2026</t>
        </is>
      </c>
      <c r="J2793" t="n">
        <v>2010</v>
      </c>
      <c r="K2793" t="inlineStr">
        <is>
          <t>MARZO 2025</t>
        </is>
      </c>
      <c r="L2793" t="inlineStr">
        <is>
          <t>MARZO 2026</t>
        </is>
      </c>
      <c r="M2793" t="inlineStr">
        <is>
          <t>P.Q.S.  TIPO ABC  90% NACIONAL</t>
        </is>
      </c>
      <c r="N2793" t="inlineStr">
        <is>
          <t>247/000608</t>
        </is>
      </c>
      <c r="O2793" t="inlineStr">
        <is>
          <t>R</t>
        </is>
      </c>
      <c r="P2793">
        <f>TRIM(N2793)</f>
        <v/>
      </c>
    </row>
    <row r="2794">
      <c r="A2794" t="inlineStr">
        <is>
          <t>CO-002275</t>
        </is>
      </c>
      <c r="B2794" t="inlineStr">
        <is>
          <t xml:space="preserve">MERCADO FRONTERA </t>
        </is>
      </c>
      <c r="D2794" t="inlineStr">
        <is>
          <t xml:space="preserve">AV. MARIANO CONDORCANQUI  CRUCE CON AV. SEÑOR DE CAUDIVILLA </t>
        </is>
      </c>
      <c r="E2794" t="inlineStr">
        <is>
          <t>Lima, 19 de marzo de 2025</t>
        </is>
      </c>
      <c r="F2794" t="inlineStr">
        <is>
          <t>la Recarga y mantenimiento</t>
        </is>
      </c>
      <c r="G2794" t="inlineStr">
        <is>
          <t xml:space="preserve">01 </t>
        </is>
      </c>
      <c r="H2794" t="inlineStr">
        <is>
          <t xml:space="preserve">12 KG </t>
        </is>
      </c>
      <c r="I2794" t="inlineStr">
        <is>
          <t>2030</t>
        </is>
      </c>
      <c r="J2794" t="n">
        <v>2020</v>
      </c>
      <c r="K2794" t="inlineStr">
        <is>
          <t>MARZO 2025</t>
        </is>
      </c>
      <c r="L2794" t="inlineStr">
        <is>
          <t>MARZO 2026</t>
        </is>
      </c>
      <c r="M2794" t="inlineStr">
        <is>
          <t xml:space="preserve">P.Q.S.  TIPO ABC </t>
        </is>
      </c>
      <c r="N2794" t="inlineStr">
        <is>
          <t>01/001055</t>
        </is>
      </c>
      <c r="O2794" t="inlineStr">
        <is>
          <t>R</t>
        </is>
      </c>
      <c r="P2794">
        <f>TRIM(N2794)</f>
        <v/>
      </c>
    </row>
    <row r="2795">
      <c r="A2795" t="inlineStr">
        <is>
          <t>CO-002275</t>
        </is>
      </c>
      <c r="B2795" t="inlineStr">
        <is>
          <t xml:space="preserve">MERCADO FRONTERA </t>
        </is>
      </c>
      <c r="D2795" t="inlineStr">
        <is>
          <t xml:space="preserve">AV. MARIANO CONDORCANQUI  CRUCE CON AV. SEÑOR DE CAUDIVILLA </t>
        </is>
      </c>
      <c r="E2795" t="inlineStr">
        <is>
          <t>Lima, 19 de marzo de 2025</t>
        </is>
      </c>
      <c r="F2795" t="inlineStr">
        <is>
          <t>la Recarga y mantenimiento</t>
        </is>
      </c>
      <c r="G2795" t="inlineStr">
        <is>
          <t>02</t>
        </is>
      </c>
      <c r="H2795" t="inlineStr">
        <is>
          <t xml:space="preserve">12 KG </t>
        </is>
      </c>
      <c r="I2795" t="inlineStr">
        <is>
          <t>2030</t>
        </is>
      </c>
      <c r="J2795" t="n">
        <v>2020</v>
      </c>
      <c r="K2795" t="inlineStr">
        <is>
          <t>MARZO 2025</t>
        </is>
      </c>
      <c r="L2795" t="inlineStr">
        <is>
          <t>MARZO 2026</t>
        </is>
      </c>
      <c r="M2795" t="inlineStr">
        <is>
          <t xml:space="preserve">P.Q.S.  TIPO ABC </t>
        </is>
      </c>
      <c r="N2795" t="inlineStr">
        <is>
          <t>02/001015</t>
        </is>
      </c>
      <c r="O2795" t="inlineStr">
        <is>
          <t>R</t>
        </is>
      </c>
      <c r="P2795">
        <f>TRIM(N2795)</f>
        <v/>
      </c>
    </row>
    <row r="2796">
      <c r="A2796" t="inlineStr">
        <is>
          <t>CO-002275</t>
        </is>
      </c>
      <c r="B2796" t="inlineStr">
        <is>
          <t xml:space="preserve">MERCADO FRONTERA </t>
        </is>
      </c>
      <c r="D2796" t="inlineStr">
        <is>
          <t xml:space="preserve">AV. MARIANO CONDORCANQUI  CRUCE CON AV. SEÑOR DE CAUDIVILLA </t>
        </is>
      </c>
      <c r="E2796" t="inlineStr">
        <is>
          <t>Lima, 19 de marzo de 2025</t>
        </is>
      </c>
      <c r="F2796" t="inlineStr">
        <is>
          <t>la Recarga y mantenimiento</t>
        </is>
      </c>
      <c r="G2796" t="inlineStr">
        <is>
          <t>03</t>
        </is>
      </c>
      <c r="H2796" t="inlineStr">
        <is>
          <t xml:space="preserve">12 KG </t>
        </is>
      </c>
      <c r="I2796" t="inlineStr">
        <is>
          <t>2029</t>
        </is>
      </c>
      <c r="J2796" t="n">
        <v>2018</v>
      </c>
      <c r="K2796" t="inlineStr">
        <is>
          <t>MARZO 2025</t>
        </is>
      </c>
      <c r="L2796" t="inlineStr">
        <is>
          <t>MARZO 2026</t>
        </is>
      </c>
      <c r="M2796" t="inlineStr">
        <is>
          <t xml:space="preserve">P.Q.S.  TIPO ABC </t>
        </is>
      </c>
      <c r="N2796" t="inlineStr">
        <is>
          <t>03/000270</t>
        </is>
      </c>
      <c r="O2796" t="inlineStr">
        <is>
          <t>R</t>
        </is>
      </c>
      <c r="P2796">
        <f>TRIM(N2796)</f>
        <v/>
      </c>
    </row>
    <row r="2797">
      <c r="A2797" t="inlineStr">
        <is>
          <t>CO-002275</t>
        </is>
      </c>
      <c r="B2797" t="inlineStr">
        <is>
          <t xml:space="preserve">MERCADO FRONTERA </t>
        </is>
      </c>
      <c r="D2797" t="inlineStr">
        <is>
          <t xml:space="preserve">AV. MARIANO CONDORCANQUI  CRUCE CON AV. SEÑOR DE CAUDIVILLA </t>
        </is>
      </c>
      <c r="E2797" t="inlineStr">
        <is>
          <t>Lima, 19 de marzo de 2025</t>
        </is>
      </c>
      <c r="F2797" t="inlineStr">
        <is>
          <t>la Recarga y mantenimiento</t>
        </is>
      </c>
      <c r="G2797" t="inlineStr">
        <is>
          <t>04</t>
        </is>
      </c>
      <c r="H2797" t="inlineStr">
        <is>
          <t xml:space="preserve">12 KG </t>
        </is>
      </c>
      <c r="I2797" t="inlineStr">
        <is>
          <t>2030</t>
        </is>
      </c>
      <c r="J2797" t="n">
        <v>2020</v>
      </c>
      <c r="K2797" t="inlineStr">
        <is>
          <t>MARZO 2025</t>
        </is>
      </c>
      <c r="L2797" t="inlineStr">
        <is>
          <t>MARZO 2026</t>
        </is>
      </c>
      <c r="M2797" t="inlineStr">
        <is>
          <t xml:space="preserve">P.Q.S.  TIPO ABC </t>
        </is>
      </c>
      <c r="N2797" t="inlineStr">
        <is>
          <t>04/000962</t>
        </is>
      </c>
      <c r="O2797" t="inlineStr">
        <is>
          <t>R</t>
        </is>
      </c>
      <c r="P2797">
        <f>TRIM(N2797)</f>
        <v/>
      </c>
    </row>
    <row r="2798">
      <c r="A2798" t="inlineStr">
        <is>
          <t>CO-002275</t>
        </is>
      </c>
      <c r="B2798" t="inlineStr">
        <is>
          <t xml:space="preserve">MERCADO FRONTERA </t>
        </is>
      </c>
      <c r="D2798" t="inlineStr">
        <is>
          <t xml:space="preserve">AV. MARIANO CONDORCANQUI  CRUCE CON AV. SEÑOR DE CAUDIVILLA </t>
        </is>
      </c>
      <c r="E2798" t="inlineStr">
        <is>
          <t>Lima, 19 de marzo de 2025</t>
        </is>
      </c>
      <c r="F2798" t="inlineStr">
        <is>
          <t>la Recarga y mantenimiento</t>
        </is>
      </c>
      <c r="G2798" t="inlineStr">
        <is>
          <t>05</t>
        </is>
      </c>
      <c r="H2798" t="inlineStr">
        <is>
          <t xml:space="preserve">12 KG </t>
        </is>
      </c>
      <c r="I2798" t="inlineStr">
        <is>
          <t>2030</t>
        </is>
      </c>
      <c r="J2798" t="n">
        <v>2020</v>
      </c>
      <c r="K2798" t="inlineStr">
        <is>
          <t>MARZO 2025</t>
        </is>
      </c>
      <c r="L2798" t="inlineStr">
        <is>
          <t>MARZO 2026</t>
        </is>
      </c>
      <c r="M2798" t="inlineStr">
        <is>
          <t xml:space="preserve">P.Q.S.  TIPO ABC </t>
        </is>
      </c>
      <c r="N2798" t="inlineStr">
        <is>
          <t>05/001650</t>
        </is>
      </c>
      <c r="O2798" t="inlineStr">
        <is>
          <t>R</t>
        </is>
      </c>
      <c r="P2798">
        <f>TRIM(N2798)</f>
        <v/>
      </c>
    </row>
    <row r="2799">
      <c r="A2799" t="inlineStr">
        <is>
          <t>CO-002275</t>
        </is>
      </c>
      <c r="B2799" t="inlineStr">
        <is>
          <t xml:space="preserve">MERCADO FRONTERA </t>
        </is>
      </c>
      <c r="D2799" t="inlineStr">
        <is>
          <t xml:space="preserve">AV. MARIANO CONDORCANQUI  CRUCE CON AV. SEÑOR DE CAUDIVILLA </t>
        </is>
      </c>
      <c r="E2799" t="inlineStr">
        <is>
          <t>Lima, 19 de marzo de 2025</t>
        </is>
      </c>
      <c r="F2799" t="inlineStr">
        <is>
          <t>la Recarga y mantenimiento</t>
        </is>
      </c>
      <c r="G2799" t="inlineStr">
        <is>
          <t>06</t>
        </is>
      </c>
      <c r="H2799" t="inlineStr">
        <is>
          <t xml:space="preserve">12 KG </t>
        </is>
      </c>
      <c r="I2799" t="inlineStr">
        <is>
          <t>2030</t>
        </is>
      </c>
      <c r="J2799" t="n">
        <v>2020</v>
      </c>
      <c r="K2799" t="inlineStr">
        <is>
          <t>MARZO 2025</t>
        </is>
      </c>
      <c r="L2799" t="inlineStr">
        <is>
          <t>MARZO 2026</t>
        </is>
      </c>
      <c r="M2799" t="inlineStr">
        <is>
          <t xml:space="preserve">P.Q.S.  TIPO ABC </t>
        </is>
      </c>
      <c r="N2799" t="inlineStr">
        <is>
          <t>06/000987</t>
        </is>
      </c>
      <c r="O2799" t="inlineStr">
        <is>
          <t>R</t>
        </is>
      </c>
      <c r="P2799">
        <f>TRIM(N2799)</f>
        <v/>
      </c>
    </row>
    <row r="2800">
      <c r="A2800" t="inlineStr">
        <is>
          <t>CO-002275</t>
        </is>
      </c>
      <c r="B2800" t="inlineStr">
        <is>
          <t xml:space="preserve">MERCADO FRONTERA </t>
        </is>
      </c>
      <c r="D2800" t="inlineStr">
        <is>
          <t xml:space="preserve">AV. MARIANO CONDORCANQUI  CRUCE CON AV. SEÑOR DE CAUDIVILLA </t>
        </is>
      </c>
      <c r="E2800" t="inlineStr">
        <is>
          <t>Lima, 19 de marzo de 2025</t>
        </is>
      </c>
      <c r="F2800" t="inlineStr">
        <is>
          <t>la Recarga y mantenimiento</t>
        </is>
      </c>
      <c r="G2800" t="inlineStr">
        <is>
          <t>07</t>
        </is>
      </c>
      <c r="H2800" t="inlineStr">
        <is>
          <t xml:space="preserve">12 KG </t>
        </is>
      </c>
      <c r="I2800" t="inlineStr">
        <is>
          <t>2030</t>
        </is>
      </c>
      <c r="J2800" t="n">
        <v>2020</v>
      </c>
      <c r="K2800" t="inlineStr">
        <is>
          <t>MARZO 2025</t>
        </is>
      </c>
      <c r="L2800" t="inlineStr">
        <is>
          <t>MARZO 2026</t>
        </is>
      </c>
      <c r="M2800" t="inlineStr">
        <is>
          <t xml:space="preserve">P.Q.S.  TIPO ABC </t>
        </is>
      </c>
      <c r="N2800" t="inlineStr">
        <is>
          <t>07/001035</t>
        </is>
      </c>
      <c r="O2800" t="inlineStr">
        <is>
          <t>R</t>
        </is>
      </c>
      <c r="P2800">
        <f>TRIM(N2800)</f>
        <v/>
      </c>
    </row>
    <row r="2801">
      <c r="A2801" t="inlineStr">
        <is>
          <t>CO-002275</t>
        </is>
      </c>
      <c r="B2801" t="inlineStr">
        <is>
          <t xml:space="preserve">MERCADO FRONTERA </t>
        </is>
      </c>
      <c r="D2801" t="inlineStr">
        <is>
          <t xml:space="preserve">AV. MARIANO CONDORCANQUI  CRUCE CON AV. SEÑOR DE CAUDIVILLA </t>
        </is>
      </c>
      <c r="E2801" t="inlineStr">
        <is>
          <t>Lima, 19 de marzo de 2025</t>
        </is>
      </c>
      <c r="F2801" t="inlineStr">
        <is>
          <t>la Recarga y mantenimiento</t>
        </is>
      </c>
      <c r="G2801" t="inlineStr">
        <is>
          <t>08</t>
        </is>
      </c>
      <c r="H2801" t="inlineStr">
        <is>
          <t xml:space="preserve">12 KG </t>
        </is>
      </c>
      <c r="I2801" t="inlineStr">
        <is>
          <t>2030</t>
        </is>
      </c>
      <c r="J2801" t="n">
        <v>2020</v>
      </c>
      <c r="K2801" t="inlineStr">
        <is>
          <t>MARZO 2025</t>
        </is>
      </c>
      <c r="L2801" t="inlineStr">
        <is>
          <t>MARZO 2026</t>
        </is>
      </c>
      <c r="M2801" t="inlineStr">
        <is>
          <t xml:space="preserve">P.Q.S.  TIPO ABC </t>
        </is>
      </c>
      <c r="N2801" t="inlineStr">
        <is>
          <t>08/000972</t>
        </is>
      </c>
      <c r="O2801" t="inlineStr">
        <is>
          <t>R</t>
        </is>
      </c>
      <c r="P2801">
        <f>TRIM(N2801)</f>
        <v/>
      </c>
    </row>
    <row r="2802">
      <c r="A2802" t="inlineStr">
        <is>
          <t>CO-002275</t>
        </is>
      </c>
      <c r="B2802" t="inlineStr">
        <is>
          <t xml:space="preserve">MERCADO FRONTERA </t>
        </is>
      </c>
      <c r="D2802" t="inlineStr">
        <is>
          <t xml:space="preserve">AV. MARIANO CONDORCANQUI  CRUCE CON AV. SEÑOR DE CAUDIVILLA </t>
        </is>
      </c>
      <c r="E2802" t="inlineStr">
        <is>
          <t>Lima, 19 de marzo de 2025</t>
        </is>
      </c>
      <c r="F2802" t="inlineStr">
        <is>
          <t>la Recarga y mantenimiento</t>
        </is>
      </c>
      <c r="G2802" t="inlineStr">
        <is>
          <t>09</t>
        </is>
      </c>
      <c r="H2802" t="inlineStr">
        <is>
          <t xml:space="preserve">12 KG </t>
        </is>
      </c>
      <c r="I2802" t="inlineStr">
        <is>
          <t>2030</t>
        </is>
      </c>
      <c r="J2802" t="n">
        <v>2020</v>
      </c>
      <c r="K2802" t="inlineStr">
        <is>
          <t>MARZO 2025</t>
        </is>
      </c>
      <c r="L2802" t="inlineStr">
        <is>
          <t>MARZO 2026</t>
        </is>
      </c>
      <c r="M2802" t="inlineStr">
        <is>
          <t xml:space="preserve">P.Q.S.  TIPO ABC </t>
        </is>
      </c>
      <c r="N2802" t="inlineStr">
        <is>
          <t>09/001090</t>
        </is>
      </c>
      <c r="O2802" t="inlineStr">
        <is>
          <t>R</t>
        </is>
      </c>
      <c r="P2802">
        <f>TRIM(N2802)</f>
        <v/>
      </c>
    </row>
    <row r="2803">
      <c r="A2803" t="inlineStr">
        <is>
          <t>CO-002276</t>
        </is>
      </c>
      <c r="B2803" t="inlineStr">
        <is>
          <t>PERU MASIVO S.A - BUSES</t>
        </is>
      </c>
      <c r="C2803" t="inlineStr">
        <is>
          <t>20492392031</t>
        </is>
      </c>
      <c r="D2803" t="inlineStr">
        <is>
          <t>AV. LOS INCAS CDRA. 4 PATIO NORTE - COMAS</t>
        </is>
      </c>
      <c r="E2803" t="inlineStr">
        <is>
          <t>Lima, 20 de marzo de 2025</t>
        </is>
      </c>
      <c r="F2803" t="inlineStr">
        <is>
          <t>la Recarga y mantenimiento</t>
        </is>
      </c>
      <c r="G2803" t="inlineStr">
        <is>
          <t>01</t>
        </is>
      </c>
      <c r="H2803" t="inlineStr">
        <is>
          <t xml:space="preserve">06 KG </t>
        </is>
      </c>
      <c r="I2803" t="inlineStr">
        <is>
          <t>2030</t>
        </is>
      </c>
      <c r="J2803" t="n">
        <v>2009</v>
      </c>
      <c r="K2803" t="inlineStr">
        <is>
          <t>MARZO 2025</t>
        </is>
      </c>
      <c r="L2803" t="inlineStr">
        <is>
          <t>MARZO 2026</t>
        </is>
      </c>
      <c r="M2803" t="inlineStr">
        <is>
          <t>P.Q.S.  TIPO ABC  90% NACIONAL</t>
        </is>
      </c>
      <c r="N2803" t="inlineStr">
        <is>
          <t>149/000619</t>
        </is>
      </c>
      <c r="O2803" t="inlineStr">
        <is>
          <t>R</t>
        </is>
      </c>
      <c r="P2803">
        <f>TRIM(N2803)</f>
        <v/>
      </c>
    </row>
    <row r="2804">
      <c r="A2804" t="inlineStr">
        <is>
          <t>CO-002276</t>
        </is>
      </c>
      <c r="B2804" t="inlineStr">
        <is>
          <t>PERU MASIVO S.A - BUSES</t>
        </is>
      </c>
      <c r="C2804" t="inlineStr">
        <is>
          <t>20492392031</t>
        </is>
      </c>
      <c r="D2804" t="inlineStr">
        <is>
          <t>AV. LOS INCAS CDRA. 4 PATIO NORTE - COMAS</t>
        </is>
      </c>
      <c r="E2804" t="inlineStr">
        <is>
          <t>Lima, 20 de marzo de 2025</t>
        </is>
      </c>
      <c r="F2804" t="inlineStr">
        <is>
          <t>la Recarga y mantenimiento</t>
        </is>
      </c>
      <c r="G2804" t="inlineStr">
        <is>
          <t>02</t>
        </is>
      </c>
      <c r="H2804" t="inlineStr">
        <is>
          <t xml:space="preserve">06 KG </t>
        </is>
      </c>
      <c r="I2804" t="inlineStr">
        <is>
          <t>2029</t>
        </is>
      </c>
      <c r="J2804" t="n">
        <v>2010</v>
      </c>
      <c r="K2804" t="inlineStr">
        <is>
          <t>MARZO 2025</t>
        </is>
      </c>
      <c r="L2804" t="inlineStr">
        <is>
          <t>MARZO 2026</t>
        </is>
      </c>
      <c r="M2804" t="inlineStr">
        <is>
          <t>P.Q.S.  TIPO ABC  90% NACIONAL</t>
        </is>
      </c>
      <c r="N2804" t="inlineStr">
        <is>
          <t>163/000854</t>
        </is>
      </c>
      <c r="O2804" t="inlineStr">
        <is>
          <t>R</t>
        </is>
      </c>
      <c r="P2804">
        <f>TRIM(N2804)</f>
        <v/>
      </c>
    </row>
    <row r="2805">
      <c r="A2805" t="inlineStr">
        <is>
          <t>CO-002276</t>
        </is>
      </c>
      <c r="B2805" t="inlineStr">
        <is>
          <t>PERU MASIVO S.A - BUSES</t>
        </is>
      </c>
      <c r="C2805" t="inlineStr">
        <is>
          <t>20492392031</t>
        </is>
      </c>
      <c r="D2805" t="inlineStr">
        <is>
          <t>AV. LOS INCAS CDRA. 4 PATIO NORTE - COMAS</t>
        </is>
      </c>
      <c r="E2805" t="inlineStr">
        <is>
          <t>Lima, 20 de marzo de 2025</t>
        </is>
      </c>
      <c r="F2805" t="inlineStr">
        <is>
          <t>la Recarga y mantenimiento</t>
        </is>
      </c>
      <c r="G2805" t="inlineStr">
        <is>
          <t>03</t>
        </is>
      </c>
      <c r="H2805" t="inlineStr">
        <is>
          <t xml:space="preserve">06 KG </t>
        </is>
      </c>
      <c r="I2805" t="inlineStr">
        <is>
          <t>2029</t>
        </is>
      </c>
      <c r="J2805" t="n">
        <v>2010</v>
      </c>
      <c r="K2805" t="inlineStr">
        <is>
          <t>MARZO 2025</t>
        </is>
      </c>
      <c r="L2805" t="inlineStr">
        <is>
          <t>MARZO 2026</t>
        </is>
      </c>
      <c r="M2805" t="inlineStr">
        <is>
          <t>P.Q.S.  TIPO ABC  90% NACIONAL</t>
        </is>
      </c>
      <c r="N2805" t="inlineStr">
        <is>
          <t>185/000613</t>
        </is>
      </c>
      <c r="O2805" t="inlineStr">
        <is>
          <t>R</t>
        </is>
      </c>
      <c r="P2805">
        <f>TRIM(N2805)</f>
        <v/>
      </c>
    </row>
    <row r="2806">
      <c r="A2806" t="inlineStr">
        <is>
          <t>CO-002276</t>
        </is>
      </c>
      <c r="B2806" t="inlineStr">
        <is>
          <t>PERU MASIVO S.A - BUSES</t>
        </is>
      </c>
      <c r="C2806" t="inlineStr">
        <is>
          <t>20492392031</t>
        </is>
      </c>
      <c r="D2806" t="inlineStr">
        <is>
          <t>AV. LOS INCAS CDRA. 4 PATIO NORTE - COMAS</t>
        </is>
      </c>
      <c r="E2806" t="inlineStr">
        <is>
          <t>Lima, 20 de marzo de 2025</t>
        </is>
      </c>
      <c r="F2806" t="inlineStr">
        <is>
          <t>la Recarga y mantenimiento</t>
        </is>
      </c>
      <c r="G2806" t="inlineStr">
        <is>
          <t>04</t>
        </is>
      </c>
      <c r="H2806" t="inlineStr">
        <is>
          <t xml:space="preserve">06 KG </t>
        </is>
      </c>
      <c r="I2806" t="inlineStr">
        <is>
          <t>2029</t>
        </is>
      </c>
      <c r="J2806" t="n">
        <v>2010</v>
      </c>
      <c r="K2806" t="inlineStr">
        <is>
          <t>MARZO 2025</t>
        </is>
      </c>
      <c r="L2806" t="inlineStr">
        <is>
          <t>MARZO 2026</t>
        </is>
      </c>
      <c r="M2806" t="inlineStr">
        <is>
          <t>P.Q.S.  TIPO ABC  90% NACIONAL</t>
        </is>
      </c>
      <c r="N2806" t="inlineStr">
        <is>
          <t>191/001416</t>
        </is>
      </c>
      <c r="O2806" t="inlineStr">
        <is>
          <t>R</t>
        </is>
      </c>
      <c r="P2806">
        <f>TRIM(N2806)</f>
        <v/>
      </c>
    </row>
    <row r="2807">
      <c r="A2807" t="inlineStr">
        <is>
          <t>CO-002276</t>
        </is>
      </c>
      <c r="B2807" t="inlineStr">
        <is>
          <t>PERU MASIVO S.A - BUSES</t>
        </is>
      </c>
      <c r="C2807" t="inlineStr">
        <is>
          <t>20492392031</t>
        </is>
      </c>
      <c r="D2807" t="inlineStr">
        <is>
          <t>AV. LOS INCAS CDRA. 4 PATIO NORTE - COMAS</t>
        </is>
      </c>
      <c r="E2807" t="inlineStr">
        <is>
          <t>Lima, 20 de marzo de 2025</t>
        </is>
      </c>
      <c r="F2807" t="inlineStr">
        <is>
          <t>la Recarga y mantenimiento</t>
        </is>
      </c>
      <c r="G2807" t="inlineStr">
        <is>
          <t>05</t>
        </is>
      </c>
      <c r="H2807" t="inlineStr">
        <is>
          <t xml:space="preserve">06 KG </t>
        </is>
      </c>
      <c r="I2807" t="inlineStr">
        <is>
          <t>2030</t>
        </is>
      </c>
      <c r="J2807" t="n">
        <v>2010</v>
      </c>
      <c r="K2807" t="inlineStr">
        <is>
          <t>MARZO 2025</t>
        </is>
      </c>
      <c r="L2807" t="inlineStr">
        <is>
          <t>MARZO 2026</t>
        </is>
      </c>
      <c r="M2807" t="inlineStr">
        <is>
          <t>P.Q.S.  TIPO ABC  90% NACIONAL</t>
        </is>
      </c>
      <c r="N2807" t="inlineStr">
        <is>
          <t>217/001645</t>
        </is>
      </c>
      <c r="O2807" t="inlineStr">
        <is>
          <t>R</t>
        </is>
      </c>
      <c r="P2807">
        <f>TRIM(N2807)</f>
        <v/>
      </c>
    </row>
    <row r="2808">
      <c r="A2808" t="inlineStr">
        <is>
          <t>CO-002276</t>
        </is>
      </c>
      <c r="B2808" t="inlineStr">
        <is>
          <t>PERU MASIVO S.A - BUSES</t>
        </is>
      </c>
      <c r="C2808" t="inlineStr">
        <is>
          <t>20492392031</t>
        </is>
      </c>
      <c r="D2808" t="inlineStr">
        <is>
          <t>AV. LOS INCAS CDRA. 4 PATIO NORTE - COMAS</t>
        </is>
      </c>
      <c r="E2808" t="inlineStr">
        <is>
          <t>Lima, 20 de marzo de 2025</t>
        </is>
      </c>
      <c r="F2808" t="inlineStr">
        <is>
          <t>la Recarga y mantenimiento</t>
        </is>
      </c>
      <c r="G2808" t="inlineStr">
        <is>
          <t>06</t>
        </is>
      </c>
      <c r="H2808" t="inlineStr">
        <is>
          <t xml:space="preserve">06 KG </t>
        </is>
      </c>
      <c r="I2808" t="inlineStr">
        <is>
          <t>2029</t>
        </is>
      </c>
      <c r="J2808" t="n">
        <v>2010</v>
      </c>
      <c r="K2808" t="inlineStr">
        <is>
          <t>MARZO 2025</t>
        </is>
      </c>
      <c r="L2808" t="inlineStr">
        <is>
          <t>MARZO 2026</t>
        </is>
      </c>
      <c r="M2808" t="inlineStr">
        <is>
          <t>P.Q.S.  TIPO ABC  90% NACIONAL</t>
        </is>
      </c>
      <c r="N2808" t="inlineStr">
        <is>
          <t>252/002751</t>
        </is>
      </c>
      <c r="O2808" t="inlineStr">
        <is>
          <t>R</t>
        </is>
      </c>
      <c r="P2808">
        <f>TRIM(N2808)</f>
        <v/>
      </c>
    </row>
    <row r="2809">
      <c r="A2809" t="inlineStr">
        <is>
          <t>CO-002276</t>
        </is>
      </c>
      <c r="B2809" t="inlineStr">
        <is>
          <t>PERU MASIVO S.A - BUSES</t>
        </is>
      </c>
      <c r="C2809" t="inlineStr">
        <is>
          <t>20492392031</t>
        </is>
      </c>
      <c r="D2809" t="inlineStr">
        <is>
          <t>AV. LOS INCAS CDRA. 4 PATIO NORTE - COMAS</t>
        </is>
      </c>
      <c r="E2809" t="inlineStr">
        <is>
          <t>Lima, 20 de marzo de 2025</t>
        </is>
      </c>
      <c r="F2809" t="inlineStr">
        <is>
          <t>la Recarga y mantenimiento</t>
        </is>
      </c>
      <c r="G2809" t="inlineStr">
        <is>
          <t>07</t>
        </is>
      </c>
      <c r="H2809" t="inlineStr">
        <is>
          <t xml:space="preserve">06 KG </t>
        </is>
      </c>
      <c r="I2809" t="inlineStr">
        <is>
          <t>2029</t>
        </is>
      </c>
      <c r="J2809" t="n">
        <v>2010</v>
      </c>
      <c r="K2809" t="inlineStr">
        <is>
          <t>MARZO 2025</t>
        </is>
      </c>
      <c r="L2809" t="inlineStr">
        <is>
          <t>MARZO 2026</t>
        </is>
      </c>
      <c r="M2809" t="inlineStr">
        <is>
          <t>P.Q.S.  TIPO ABC  90% NACIONAL</t>
        </is>
      </c>
      <c r="N2809" t="inlineStr">
        <is>
          <t>314/002909</t>
        </is>
      </c>
      <c r="O2809" t="inlineStr">
        <is>
          <t>R</t>
        </is>
      </c>
      <c r="P2809">
        <f>TRIM(N2809)</f>
        <v/>
      </c>
    </row>
    <row r="2810">
      <c r="A2810" t="inlineStr">
        <is>
          <t>CO-002276</t>
        </is>
      </c>
      <c r="B2810" t="inlineStr">
        <is>
          <t>PERU MASIVO S.A - BUSES</t>
        </is>
      </c>
      <c r="C2810" t="inlineStr">
        <is>
          <t>20492392031</t>
        </is>
      </c>
      <c r="D2810" t="inlineStr">
        <is>
          <t>AV. LOS INCAS CDRA. 4 PATIO NORTE - COMAS</t>
        </is>
      </c>
      <c r="E2810" t="inlineStr">
        <is>
          <t>Lima, 20 de marzo de 2025</t>
        </is>
      </c>
      <c r="F2810" t="inlineStr">
        <is>
          <t>la Recarga y mantenimiento</t>
        </is>
      </c>
      <c r="G2810" t="inlineStr">
        <is>
          <t>08</t>
        </is>
      </c>
      <c r="H2810" t="inlineStr">
        <is>
          <t xml:space="preserve">06 KG </t>
        </is>
      </c>
      <c r="I2810" t="inlineStr">
        <is>
          <t>2029</t>
        </is>
      </c>
      <c r="J2810" t="n">
        <v>2010</v>
      </c>
      <c r="K2810" t="inlineStr">
        <is>
          <t>MARZO 2025</t>
        </is>
      </c>
      <c r="L2810" t="inlineStr">
        <is>
          <t>MARZO 2026</t>
        </is>
      </c>
      <c r="M2810" t="inlineStr">
        <is>
          <t>P.Q.S.  TIPO ABC  90% NACIONAL</t>
        </is>
      </c>
      <c r="N2810" t="inlineStr">
        <is>
          <t>85/021354</t>
        </is>
      </c>
      <c r="O2810" t="inlineStr">
        <is>
          <t>R</t>
        </is>
      </c>
      <c r="P2810">
        <f>TRIM(N2810)</f>
        <v/>
      </c>
    </row>
    <row r="2811">
      <c r="A2811" t="inlineStr">
        <is>
          <t>CO-002277</t>
        </is>
      </c>
      <c r="B2811" t="inlineStr">
        <is>
          <t>IMPORT KyC SAC</t>
        </is>
      </c>
      <c r="C2811" t="inlineStr">
        <is>
          <t>20609370671</t>
        </is>
      </c>
      <c r="D2811" t="inlineStr">
        <is>
          <t xml:space="preserve">CALLE TUNGASUCA 161 A.H AÑO NUEVO , COMAS </t>
        </is>
      </c>
      <c r="E2811" t="inlineStr">
        <is>
          <t>Lima, 21 de marzo de 2025</t>
        </is>
      </c>
      <c r="F2811" t="inlineStr">
        <is>
          <t>la Recarga y mantenimiento</t>
        </is>
      </c>
      <c r="G2811" t="inlineStr">
        <is>
          <t>01</t>
        </is>
      </c>
      <c r="H2811" t="inlineStr">
        <is>
          <t>06 KG</t>
        </is>
      </c>
      <c r="I2811" t="inlineStr">
        <is>
          <t>2028</t>
        </is>
      </c>
      <c r="J2811" t="n">
        <v>2023</v>
      </c>
      <c r="K2811" t="inlineStr">
        <is>
          <t>MARZO 2025</t>
        </is>
      </c>
      <c r="L2811" t="inlineStr">
        <is>
          <t>MARZO 2026</t>
        </is>
      </c>
      <c r="M2811" t="inlineStr">
        <is>
          <t xml:space="preserve">P.Q.S.  TIPO ABC </t>
        </is>
      </c>
      <c r="N2811" t="inlineStr">
        <is>
          <t>01/002797</t>
        </is>
      </c>
      <c r="O2811" t="inlineStr">
        <is>
          <t>R</t>
        </is>
      </c>
      <c r="P2811">
        <f>TRIM(N2811)</f>
        <v/>
      </c>
    </row>
    <row r="2812">
      <c r="A2812" t="inlineStr">
        <is>
          <t>CO-002277</t>
        </is>
      </c>
      <c r="B2812" t="inlineStr">
        <is>
          <t>IMPORT KyC SAC</t>
        </is>
      </c>
      <c r="C2812" t="inlineStr">
        <is>
          <t>20609370671</t>
        </is>
      </c>
      <c r="D2812" t="inlineStr">
        <is>
          <t xml:space="preserve">CALLE TUNGASUCA 161 A.H AÑO NUEVO , COMAS </t>
        </is>
      </c>
      <c r="E2812" t="inlineStr">
        <is>
          <t>Lima, 21 de marzo de 2025</t>
        </is>
      </c>
      <c r="F2812" t="inlineStr">
        <is>
          <t>la Recarga y mantenimiento</t>
        </is>
      </c>
      <c r="G2812" t="inlineStr">
        <is>
          <t>02</t>
        </is>
      </c>
      <c r="H2812" t="inlineStr">
        <is>
          <t>06 KG</t>
        </is>
      </c>
      <c r="I2812" t="inlineStr">
        <is>
          <t>2028</t>
        </is>
      </c>
      <c r="J2812" t="n">
        <v>2023</v>
      </c>
      <c r="K2812" t="inlineStr">
        <is>
          <t>MARZO 2025</t>
        </is>
      </c>
      <c r="L2812" t="inlineStr">
        <is>
          <t>MARZO 2026</t>
        </is>
      </c>
      <c r="M2812" t="inlineStr">
        <is>
          <t xml:space="preserve">P.Q.S.  TIPO ABC </t>
        </is>
      </c>
      <c r="N2812" t="inlineStr">
        <is>
          <t>02/002574</t>
        </is>
      </c>
      <c r="O2812" t="inlineStr">
        <is>
          <t>R</t>
        </is>
      </c>
      <c r="P2812">
        <f>TRIM(N2812)</f>
        <v/>
      </c>
    </row>
    <row r="2813">
      <c r="A2813" t="inlineStr">
        <is>
          <t>CO-002277</t>
        </is>
      </c>
      <c r="B2813" t="inlineStr">
        <is>
          <t>IMPORT KyC SAC</t>
        </is>
      </c>
      <c r="C2813" t="inlineStr">
        <is>
          <t>20609370671</t>
        </is>
      </c>
      <c r="D2813" t="inlineStr">
        <is>
          <t xml:space="preserve">CALLE TUNGASUCA 161 A.H AÑO NUEVO , COMAS </t>
        </is>
      </c>
      <c r="E2813" t="inlineStr">
        <is>
          <t>Lima, 21 de marzo de 2025</t>
        </is>
      </c>
      <c r="F2813" t="inlineStr">
        <is>
          <t>la Recarga y mantenimiento</t>
        </is>
      </c>
      <c r="G2813" t="inlineStr">
        <is>
          <t>03</t>
        </is>
      </c>
      <c r="H2813" t="inlineStr">
        <is>
          <t>06 KG</t>
        </is>
      </c>
      <c r="I2813" t="n">
        <v>2030</v>
      </c>
      <c r="J2813" t="n">
        <v>2025</v>
      </c>
      <c r="K2813" t="inlineStr">
        <is>
          <t>MARZO 2025</t>
        </is>
      </c>
      <c r="L2813" t="inlineStr">
        <is>
          <t>MARZO 2026</t>
        </is>
      </c>
      <c r="M2813" t="inlineStr">
        <is>
          <t xml:space="preserve">P.Q.S.  TIPO ABC </t>
        </is>
      </c>
      <c r="N2813" t="inlineStr">
        <is>
          <t>03/000321</t>
        </is>
      </c>
      <c r="O2813" t="inlineStr">
        <is>
          <t>V</t>
        </is>
      </c>
      <c r="P2813">
        <f>TRIM(N2813)</f>
        <v/>
      </c>
    </row>
    <row r="2814">
      <c r="A2814" t="inlineStr">
        <is>
          <t>CO-002278</t>
        </is>
      </c>
      <c r="B2814" t="inlineStr">
        <is>
          <t>UNIGRAF SAC</t>
        </is>
      </c>
      <c r="C2814" t="inlineStr">
        <is>
          <t>20113367955</t>
        </is>
      </c>
      <c r="D2814" t="inlineStr">
        <is>
          <t>CALLE LOS CEDROS MZ C1 LT1 CPM HUACHIPA, LURIGANCHO CHOSICA</t>
        </is>
      </c>
      <c r="E2814" t="inlineStr">
        <is>
          <t>Lima, 21 de marzo de 2025</t>
        </is>
      </c>
      <c r="F2814" t="inlineStr">
        <is>
          <t>la Recarga y mantenimiento</t>
        </is>
      </c>
      <c r="G2814" t="inlineStr">
        <is>
          <t>01</t>
        </is>
      </c>
      <c r="H2814" t="inlineStr">
        <is>
          <t xml:space="preserve">12 KG </t>
        </is>
      </c>
      <c r="I2814" t="inlineStr">
        <is>
          <t>2030</t>
        </is>
      </c>
      <c r="J2814" t="n">
        <v>2010</v>
      </c>
      <c r="K2814" t="inlineStr">
        <is>
          <t>MARZO 2025</t>
        </is>
      </c>
      <c r="L2814" t="inlineStr">
        <is>
          <t>MARZO 2026</t>
        </is>
      </c>
      <c r="M2814" t="inlineStr">
        <is>
          <t xml:space="preserve">P.Q.S.  TIPO ABC </t>
        </is>
      </c>
      <c r="N2814" t="inlineStr">
        <is>
          <t>02/000715</t>
        </is>
      </c>
      <c r="O2814" t="inlineStr">
        <is>
          <t>R</t>
        </is>
      </c>
      <c r="P2814">
        <f>TRIM(N2814)</f>
        <v/>
      </c>
    </row>
    <row r="2815">
      <c r="A2815" t="inlineStr">
        <is>
          <t>CO-002278</t>
        </is>
      </c>
      <c r="B2815" t="inlineStr">
        <is>
          <t>UNIGRAF SAC</t>
        </is>
      </c>
      <c r="C2815" t="inlineStr">
        <is>
          <t>20113367955</t>
        </is>
      </c>
      <c r="D2815" t="inlineStr">
        <is>
          <t>CALLE LOS CEDROS MZ C1 LT1 CPM HUACHIPA, LURIGANCHO CHOSICA</t>
        </is>
      </c>
      <c r="E2815" t="inlineStr">
        <is>
          <t>Lima, 21 de marzo de 2025</t>
        </is>
      </c>
      <c r="F2815" t="inlineStr">
        <is>
          <t>la Recarga y mantenimiento</t>
        </is>
      </c>
      <c r="G2815" t="inlineStr">
        <is>
          <t>02</t>
        </is>
      </c>
      <c r="H2815" t="inlineStr">
        <is>
          <t>06 KG</t>
        </is>
      </c>
      <c r="I2815" t="inlineStr">
        <is>
          <t>2030</t>
        </is>
      </c>
      <c r="J2815" t="n">
        <v>2011</v>
      </c>
      <c r="K2815" t="inlineStr">
        <is>
          <t>MARZO 2025</t>
        </is>
      </c>
      <c r="L2815" t="inlineStr">
        <is>
          <t>MARZO 2026</t>
        </is>
      </c>
      <c r="M2815" t="inlineStr">
        <is>
          <t xml:space="preserve">P.Q.S.  TIPO ABC </t>
        </is>
      </c>
      <c r="N2815" t="inlineStr">
        <is>
          <t>11/000338</t>
        </is>
      </c>
      <c r="O2815" t="inlineStr">
        <is>
          <t>R</t>
        </is>
      </c>
      <c r="P2815">
        <f>TRIM(N2815)</f>
        <v/>
      </c>
    </row>
    <row r="2816">
      <c r="A2816" t="inlineStr">
        <is>
          <t>CO-002278</t>
        </is>
      </c>
      <c r="B2816" t="inlineStr">
        <is>
          <t>UNIGRAF SAC</t>
        </is>
      </c>
      <c r="C2816" t="inlineStr">
        <is>
          <t>20113367955</t>
        </is>
      </c>
      <c r="D2816" t="inlineStr">
        <is>
          <t>CALLE LOS CEDROS MZ C1 LT1 CPM HUACHIPA, LURIGANCHO CHOSICA</t>
        </is>
      </c>
      <c r="E2816" t="inlineStr">
        <is>
          <t>Lima, 21 de marzo de 2025</t>
        </is>
      </c>
      <c r="F2816" t="inlineStr">
        <is>
          <t>la Recarga y mantenimiento</t>
        </is>
      </c>
      <c r="G2816" t="inlineStr">
        <is>
          <t>03</t>
        </is>
      </c>
      <c r="H2816" t="inlineStr">
        <is>
          <t>12 KG</t>
        </is>
      </c>
      <c r="I2816" t="n">
        <v>2030</v>
      </c>
      <c r="J2816" t="n">
        <v>2025</v>
      </c>
      <c r="K2816" t="inlineStr">
        <is>
          <t>MARZO 2025</t>
        </is>
      </c>
      <c r="L2816" t="inlineStr">
        <is>
          <t>MARZO 2026</t>
        </is>
      </c>
      <c r="M2816" t="inlineStr">
        <is>
          <t xml:space="preserve">P.Q.S.  TIPO ABC </t>
        </is>
      </c>
      <c r="N2816" t="inlineStr">
        <is>
          <t>12/000047</t>
        </is>
      </c>
      <c r="O2816" t="inlineStr">
        <is>
          <t>V</t>
        </is>
      </c>
      <c r="P2816">
        <f>TRIM(N2816)</f>
        <v/>
      </c>
    </row>
    <row r="2817">
      <c r="A2817" t="inlineStr">
        <is>
          <t>CO-002278</t>
        </is>
      </c>
      <c r="B2817" t="inlineStr">
        <is>
          <t>UNIGRAF SAC</t>
        </is>
      </c>
      <c r="C2817" t="inlineStr">
        <is>
          <t>20113367955</t>
        </is>
      </c>
      <c r="D2817" t="inlineStr">
        <is>
          <t>CALLE LOS CEDROS MZ C1 LT1 CPM HUACHIPA, LURIGANCHO CHOSICA</t>
        </is>
      </c>
      <c r="E2817" t="inlineStr">
        <is>
          <t>Lima, 21 de marzo de 2025</t>
        </is>
      </c>
      <c r="F2817" t="inlineStr">
        <is>
          <t>la Recarga y mantenimiento</t>
        </is>
      </c>
      <c r="G2817" t="inlineStr">
        <is>
          <t>04</t>
        </is>
      </c>
      <c r="H2817" t="inlineStr">
        <is>
          <t>12 KG</t>
        </is>
      </c>
      <c r="I2817" t="n">
        <v>2030</v>
      </c>
      <c r="J2817" t="n">
        <v>2025</v>
      </c>
      <c r="K2817" t="inlineStr">
        <is>
          <t>MARZO 2025</t>
        </is>
      </c>
      <c r="L2817" t="inlineStr">
        <is>
          <t>MARZO 2026</t>
        </is>
      </c>
      <c r="M2817" t="inlineStr">
        <is>
          <t xml:space="preserve">P.Q.S.  TIPO ABC </t>
        </is>
      </c>
      <c r="N2817" t="inlineStr">
        <is>
          <t>14/000135</t>
        </is>
      </c>
      <c r="O2817" t="inlineStr">
        <is>
          <t>V</t>
        </is>
      </c>
      <c r="P2817">
        <f>TRIM(N2817)</f>
        <v/>
      </c>
    </row>
    <row r="2818">
      <c r="A2818" t="inlineStr">
        <is>
          <t>CO-002278</t>
        </is>
      </c>
      <c r="B2818" t="inlineStr">
        <is>
          <t>UNIGRAF SAC</t>
        </is>
      </c>
      <c r="C2818" t="inlineStr">
        <is>
          <t>20113367955</t>
        </is>
      </c>
      <c r="D2818" t="inlineStr">
        <is>
          <t>CALLE LOS CEDROS MZ C1 LT1 CPM HUACHIPA, LURIGANCHO CHOSICA</t>
        </is>
      </c>
      <c r="E2818" t="inlineStr">
        <is>
          <t>Lima, 21 de marzo de 2025</t>
        </is>
      </c>
      <c r="F2818" t="inlineStr">
        <is>
          <t>la Recarga y mantenimiento</t>
        </is>
      </c>
      <c r="G2818" t="inlineStr">
        <is>
          <t>05</t>
        </is>
      </c>
      <c r="H2818" t="inlineStr">
        <is>
          <t>12 KG</t>
        </is>
      </c>
      <c r="I2818" t="n">
        <v>2030</v>
      </c>
      <c r="J2818" t="n">
        <v>2025</v>
      </c>
      <c r="K2818" t="inlineStr">
        <is>
          <t>MARZO 2025</t>
        </is>
      </c>
      <c r="L2818" t="inlineStr">
        <is>
          <t>MARZO 2026</t>
        </is>
      </c>
      <c r="M2818" t="inlineStr">
        <is>
          <t xml:space="preserve">P.Q.S.  TIPO ABC </t>
        </is>
      </c>
      <c r="N2818" t="inlineStr">
        <is>
          <t>18/000015</t>
        </is>
      </c>
      <c r="O2818" t="inlineStr">
        <is>
          <t>V</t>
        </is>
      </c>
      <c r="P2818">
        <f>TRIM(N2818)</f>
        <v/>
      </c>
    </row>
    <row r="2819">
      <c r="A2819" t="inlineStr">
        <is>
          <t>CO-002279</t>
        </is>
      </c>
      <c r="B2819" t="inlineStr">
        <is>
          <t>CHATARRERIA AARON</t>
        </is>
      </c>
      <c r="D2819" t="inlineStr">
        <is>
          <t>PASAJE 23 MZ. J LOTE 15 AÑO NUEVO - COMAS</t>
        </is>
      </c>
      <c r="E2819" t="inlineStr">
        <is>
          <t>Lima, 21 de marzo de 2025</t>
        </is>
      </c>
      <c r="F2819" t="inlineStr">
        <is>
          <t>la Recarga y mantenimiento</t>
        </is>
      </c>
      <c r="G2819" t="inlineStr">
        <is>
          <t>01</t>
        </is>
      </c>
      <c r="H2819" t="inlineStr">
        <is>
          <t xml:space="preserve">06 KG </t>
        </is>
      </c>
      <c r="I2819" t="inlineStr">
        <is>
          <t>2028</t>
        </is>
      </c>
      <c r="J2819" t="n">
        <v>2023</v>
      </c>
      <c r="K2819" t="inlineStr">
        <is>
          <t>MARZO 2025</t>
        </is>
      </c>
      <c r="L2819" t="inlineStr">
        <is>
          <t>MARZO 2026</t>
        </is>
      </c>
      <c r="M2819" t="inlineStr">
        <is>
          <t xml:space="preserve">P.Q.S.  TIPO ABC </t>
        </is>
      </c>
      <c r="N2819" t="inlineStr">
        <is>
          <t>01/002553</t>
        </is>
      </c>
      <c r="O2819" t="inlineStr">
        <is>
          <t>R</t>
        </is>
      </c>
      <c r="P2819">
        <f>TRIM(N2819)</f>
        <v/>
      </c>
    </row>
    <row r="2820">
      <c r="A2820" t="inlineStr">
        <is>
          <t>CO-002280</t>
        </is>
      </c>
      <c r="B2820" t="inlineStr">
        <is>
          <t>POLLERIA EL GORDO DE: Gian Franco Cjuro Huacho</t>
        </is>
      </c>
      <c r="C2820" t="inlineStr">
        <is>
          <t>47104409</t>
        </is>
      </c>
      <c r="D2820" t="inlineStr">
        <is>
          <t>AV. TUPAC AMARU  N° 12402 MZ. 72 LT. 01 TORRE BLANCA</t>
        </is>
      </c>
      <c r="E2820" t="inlineStr">
        <is>
          <t>Lima, 24 de marzo de 2025</t>
        </is>
      </c>
      <c r="F2820" t="inlineStr">
        <is>
          <t>la Recarga y mantenimiento</t>
        </is>
      </c>
      <c r="G2820" t="inlineStr">
        <is>
          <t>01</t>
        </is>
      </c>
      <c r="H2820" t="inlineStr">
        <is>
          <t>06 KG</t>
        </is>
      </c>
      <c r="I2820" t="inlineStr">
        <is>
          <t>2029</t>
        </is>
      </c>
      <c r="J2820" t="n">
        <v>2016</v>
      </c>
      <c r="K2820" t="inlineStr">
        <is>
          <t>MARZO 2025</t>
        </is>
      </c>
      <c r="L2820" t="inlineStr">
        <is>
          <t>MARZO 2026</t>
        </is>
      </c>
      <c r="M2820" t="inlineStr">
        <is>
          <t xml:space="preserve">P.Q.S.  TIPO ABC </t>
        </is>
      </c>
      <c r="N2820" t="inlineStr">
        <is>
          <t>01/001042</t>
        </is>
      </c>
      <c r="O2820" t="inlineStr">
        <is>
          <t>R</t>
        </is>
      </c>
      <c r="P2820">
        <f>TRIM(N2820)</f>
        <v/>
      </c>
    </row>
    <row r="2821">
      <c r="A2821" t="inlineStr">
        <is>
          <t>CO-002280</t>
        </is>
      </c>
      <c r="B2821" t="inlineStr">
        <is>
          <t>POLLERIA EL GORDO DE: Gian Franco Cjuro Huacho</t>
        </is>
      </c>
      <c r="C2821" t="inlineStr">
        <is>
          <t>47104409</t>
        </is>
      </c>
      <c r="D2821" t="inlineStr">
        <is>
          <t>AV. TUPAC AMARU  N° 12402 MZ. 72 LT. 01 TORRE BLANCA</t>
        </is>
      </c>
      <c r="E2821" t="inlineStr">
        <is>
          <t>Lima, 24 de marzo de 2025</t>
        </is>
      </c>
      <c r="F2821" t="inlineStr">
        <is>
          <t>la Recarga y mantenimiento</t>
        </is>
      </c>
      <c r="G2821" t="inlineStr">
        <is>
          <t>02</t>
        </is>
      </c>
      <c r="H2821" t="inlineStr">
        <is>
          <t>1.5 GLS</t>
        </is>
      </c>
      <c r="I2821" t="inlineStr">
        <is>
          <t>2027</t>
        </is>
      </c>
      <c r="J2821" t="n">
        <v>2022</v>
      </c>
      <c r="K2821" t="inlineStr">
        <is>
          <t>MARZO 2025</t>
        </is>
      </c>
      <c r="L2821" t="inlineStr">
        <is>
          <t>MARZO 2026</t>
        </is>
      </c>
      <c r="M2821" t="inlineStr">
        <is>
          <t>ACETATO DE POTASIO TIPO K</t>
        </is>
      </c>
      <c r="N2821" t="inlineStr">
        <is>
          <t>02/000195</t>
        </is>
      </c>
      <c r="O2821" t="inlineStr">
        <is>
          <t>R</t>
        </is>
      </c>
      <c r="P2821">
        <f>TRIM(N2821)</f>
        <v/>
      </c>
    </row>
    <row r="2822">
      <c r="A2822" t="inlineStr">
        <is>
          <t>CO-002281</t>
        </is>
      </c>
      <c r="B2822" t="inlineStr">
        <is>
          <t>BODEGA MARY DE: MARIA ENCARNACIÓN CASTILLO MENDEZ</t>
        </is>
      </c>
      <c r="D2822" t="inlineStr">
        <is>
          <t>JR. TUNGASUCA 154 AÑO NUEVO - COMAS</t>
        </is>
      </c>
      <c r="E2822" t="inlineStr">
        <is>
          <t>Lima, 24 de marzo de 2026</t>
        </is>
      </c>
      <c r="F2822" t="inlineStr">
        <is>
          <t>la Recarga y mantenimiento</t>
        </is>
      </c>
      <c r="G2822" t="inlineStr">
        <is>
          <t>01</t>
        </is>
      </c>
      <c r="H2822" t="inlineStr">
        <is>
          <t>06 KG</t>
        </is>
      </c>
      <c r="I2822" t="inlineStr">
        <is>
          <t>2026</t>
        </is>
      </c>
      <c r="J2822" t="n">
        <v>2009</v>
      </c>
      <c r="K2822" t="inlineStr">
        <is>
          <t>MARZO 2025</t>
        </is>
      </c>
      <c r="L2822" t="inlineStr">
        <is>
          <t>MARZO 2026</t>
        </is>
      </c>
      <c r="M2822" t="inlineStr">
        <is>
          <t xml:space="preserve">P.Q.S.  TIPO ABC </t>
        </is>
      </c>
      <c r="N2822" t="inlineStr">
        <is>
          <t>01/000001</t>
        </is>
      </c>
      <c r="O2822" t="inlineStr">
        <is>
          <t>R</t>
        </is>
      </c>
      <c r="P2822">
        <f>TRIM(N2822)</f>
        <v/>
      </c>
    </row>
    <row r="2823">
      <c r="A2823" t="inlineStr">
        <is>
          <t>CO-002282</t>
        </is>
      </c>
      <c r="B2823" t="inlineStr">
        <is>
          <t>PERU MASIVO S.A - BUSES</t>
        </is>
      </c>
      <c r="C2823" t="inlineStr">
        <is>
          <t>20492392031</t>
        </is>
      </c>
      <c r="D2823" t="inlineStr">
        <is>
          <t>AV. LOS INCAS CDRA. 4 PATIO NORTE - COMAS</t>
        </is>
      </c>
      <c r="E2823" t="inlineStr">
        <is>
          <t>Lima, 24 de marzo de 2025</t>
        </is>
      </c>
      <c r="F2823" t="inlineStr">
        <is>
          <t>la Recarga y mantenimiento</t>
        </is>
      </c>
      <c r="G2823" t="inlineStr">
        <is>
          <t>01</t>
        </is>
      </c>
      <c r="H2823" t="inlineStr">
        <is>
          <t>06 KG</t>
        </is>
      </c>
      <c r="I2823" t="inlineStr">
        <is>
          <t>2029</t>
        </is>
      </c>
      <c r="J2823" t="n">
        <v>2010</v>
      </c>
      <c r="K2823" t="inlineStr">
        <is>
          <t>MARZO 2025</t>
        </is>
      </c>
      <c r="L2823" t="inlineStr">
        <is>
          <t>MARZO 2026</t>
        </is>
      </c>
      <c r="M2823" t="inlineStr">
        <is>
          <t>P.Q.S.  TIPO ABC  90% NACIONAL</t>
        </is>
      </c>
      <c r="N2823" t="inlineStr">
        <is>
          <t>55/006497</t>
        </is>
      </c>
      <c r="O2823" t="inlineStr">
        <is>
          <t>R</t>
        </is>
      </c>
      <c r="P2823">
        <f>TRIM(N2823)</f>
        <v/>
      </c>
    </row>
    <row r="2824">
      <c r="A2824" t="inlineStr">
        <is>
          <t>CO-002282</t>
        </is>
      </c>
      <c r="B2824" t="inlineStr">
        <is>
          <t>PERU MASIVO S.A - BUSES</t>
        </is>
      </c>
      <c r="C2824" t="inlineStr">
        <is>
          <t>20492392031</t>
        </is>
      </c>
      <c r="D2824" t="inlineStr">
        <is>
          <t>AV. LOS INCAS CDRA. 4 PATIO NORTE - COMAS</t>
        </is>
      </c>
      <c r="E2824" t="inlineStr">
        <is>
          <t>Lima, 24 de marzo de 2025</t>
        </is>
      </c>
      <c r="F2824" t="inlineStr">
        <is>
          <t>la Recarga y mantenimiento</t>
        </is>
      </c>
      <c r="G2824" t="inlineStr">
        <is>
          <t>02</t>
        </is>
      </c>
      <c r="H2824" t="inlineStr">
        <is>
          <t>06 KG</t>
        </is>
      </c>
      <c r="I2824" t="inlineStr">
        <is>
          <t>2028</t>
        </is>
      </c>
      <c r="J2824" t="n">
        <v>2009</v>
      </c>
      <c r="K2824" t="inlineStr">
        <is>
          <t>MARZO 2025</t>
        </is>
      </c>
      <c r="L2824" t="inlineStr">
        <is>
          <t>MARZO 2026</t>
        </is>
      </c>
      <c r="M2824" t="inlineStr">
        <is>
          <t>P.Q.S.  TIPO ABC  90% NACIONAL</t>
        </is>
      </c>
      <c r="N2824" t="inlineStr">
        <is>
          <t>02/000770</t>
        </is>
      </c>
      <c r="O2824" t="inlineStr">
        <is>
          <t>R</t>
        </is>
      </c>
      <c r="P2824">
        <f>TRIM(N2824)</f>
        <v/>
      </c>
    </row>
    <row r="2825">
      <c r="A2825" t="inlineStr">
        <is>
          <t>CO-002282</t>
        </is>
      </c>
      <c r="B2825" t="inlineStr">
        <is>
          <t>PERU MASIVO S.A - BUSES</t>
        </is>
      </c>
      <c r="C2825" t="inlineStr">
        <is>
          <t>20492392031</t>
        </is>
      </c>
      <c r="D2825" t="inlineStr">
        <is>
          <t>AV. LOS INCAS CDRA. 4 PATIO NORTE - COMAS</t>
        </is>
      </c>
      <c r="E2825" t="inlineStr">
        <is>
          <t>Lima, 24 de marzo de 2025</t>
        </is>
      </c>
      <c r="F2825" t="inlineStr">
        <is>
          <t>la Recarga y mantenimiento</t>
        </is>
      </c>
      <c r="G2825" t="inlineStr">
        <is>
          <t>03</t>
        </is>
      </c>
      <c r="H2825" t="inlineStr">
        <is>
          <t>06 KG</t>
        </is>
      </c>
      <c r="I2825" t="inlineStr">
        <is>
          <t>2029</t>
        </is>
      </c>
      <c r="J2825" t="n">
        <v>2009</v>
      </c>
      <c r="K2825" t="inlineStr">
        <is>
          <t>MARZO 2025</t>
        </is>
      </c>
      <c r="L2825" t="inlineStr">
        <is>
          <t>MARZO 2026</t>
        </is>
      </c>
      <c r="M2825" t="inlineStr">
        <is>
          <t>P.Q.S.  TIPO ABC  90% NACIONAL</t>
        </is>
      </c>
      <c r="N2825" t="inlineStr">
        <is>
          <t>207/000768</t>
        </is>
      </c>
      <c r="O2825" t="inlineStr">
        <is>
          <t>R</t>
        </is>
      </c>
      <c r="P2825">
        <f>TRIM(N2825)</f>
        <v/>
      </c>
    </row>
    <row r="2826">
      <c r="A2826" t="inlineStr">
        <is>
          <t>CO-002282</t>
        </is>
      </c>
      <c r="B2826" t="inlineStr">
        <is>
          <t>PERU MASIVO S.A - BUSES</t>
        </is>
      </c>
      <c r="C2826" t="inlineStr">
        <is>
          <t>20492392031</t>
        </is>
      </c>
      <c r="D2826" t="inlineStr">
        <is>
          <t>AV. LOS INCAS CDRA. 4 PATIO NORTE - COMAS</t>
        </is>
      </c>
      <c r="E2826" t="inlineStr">
        <is>
          <t>Lima, 24 de marzo de 2025</t>
        </is>
      </c>
      <c r="F2826" t="inlineStr">
        <is>
          <t>la Recarga y mantenimiento</t>
        </is>
      </c>
      <c r="G2826" t="inlineStr">
        <is>
          <t>04</t>
        </is>
      </c>
      <c r="H2826" t="inlineStr">
        <is>
          <t>06 KG</t>
        </is>
      </c>
      <c r="I2826" t="inlineStr">
        <is>
          <t>2029</t>
        </is>
      </c>
      <c r="J2826" t="n">
        <v>2009</v>
      </c>
      <c r="K2826" t="inlineStr">
        <is>
          <t>MARZO 2025</t>
        </is>
      </c>
      <c r="L2826" t="inlineStr">
        <is>
          <t>MARZO 2026</t>
        </is>
      </c>
      <c r="M2826" t="inlineStr">
        <is>
          <t>P.Q.S.  TIPO ABC  90% NACIONAL</t>
        </is>
      </c>
      <c r="N2826" t="inlineStr">
        <is>
          <t>11/000398</t>
        </is>
      </c>
      <c r="O2826" t="inlineStr">
        <is>
          <t>R</t>
        </is>
      </c>
      <c r="P2826">
        <f>TRIM(N2826)</f>
        <v/>
      </c>
    </row>
    <row r="2827">
      <c r="A2827" t="inlineStr">
        <is>
          <t>CO-002282</t>
        </is>
      </c>
      <c r="B2827" t="inlineStr">
        <is>
          <t>PERU MASIVO S.A - BUSES</t>
        </is>
      </c>
      <c r="C2827" t="inlineStr">
        <is>
          <t>20492392031</t>
        </is>
      </c>
      <c r="D2827" t="inlineStr">
        <is>
          <t>AV. LOS INCAS CDRA. 4 PATIO NORTE - COMAS</t>
        </is>
      </c>
      <c r="E2827" t="inlineStr">
        <is>
          <t>Lima, 24 de marzo de 2025</t>
        </is>
      </c>
      <c r="F2827" t="inlineStr">
        <is>
          <t>la Recarga y mantenimiento</t>
        </is>
      </c>
      <c r="G2827" t="inlineStr">
        <is>
          <t>05</t>
        </is>
      </c>
      <c r="H2827" t="inlineStr">
        <is>
          <t>06 KG</t>
        </is>
      </c>
      <c r="I2827" t="inlineStr">
        <is>
          <t>2028</t>
        </is>
      </c>
      <c r="J2827" t="n">
        <v>2009</v>
      </c>
      <c r="K2827" t="inlineStr">
        <is>
          <t>MARZO 2025</t>
        </is>
      </c>
      <c r="L2827" t="inlineStr">
        <is>
          <t>MARZO 2026</t>
        </is>
      </c>
      <c r="M2827" t="inlineStr">
        <is>
          <t>P.Q.S.  TIPO ABC  90% NACIONAL</t>
        </is>
      </c>
      <c r="N2827" t="inlineStr">
        <is>
          <t>173/000490</t>
        </is>
      </c>
      <c r="O2827" t="inlineStr">
        <is>
          <t>R</t>
        </is>
      </c>
      <c r="P2827">
        <f>TRIM(N2827)</f>
        <v/>
      </c>
    </row>
    <row r="2828">
      <c r="A2828" t="inlineStr">
        <is>
          <t>CO-002282</t>
        </is>
      </c>
      <c r="B2828" t="inlineStr">
        <is>
          <t>PERU MASIVO S.A - BUSES</t>
        </is>
      </c>
      <c r="C2828" t="inlineStr">
        <is>
          <t>20492392031</t>
        </is>
      </c>
      <c r="D2828" t="inlineStr">
        <is>
          <t>AV. LOS INCAS CDRA. 4 PATIO NORTE - COMAS</t>
        </is>
      </c>
      <c r="E2828" t="inlineStr">
        <is>
          <t>Lima, 24 de marzo de 2025</t>
        </is>
      </c>
      <c r="F2828" t="inlineStr">
        <is>
          <t>la Recarga y mantenimiento</t>
        </is>
      </c>
      <c r="G2828" t="inlineStr">
        <is>
          <t>06</t>
        </is>
      </c>
      <c r="H2828" t="inlineStr">
        <is>
          <t>06 KG</t>
        </is>
      </c>
      <c r="I2828" t="inlineStr">
        <is>
          <t>2028</t>
        </is>
      </c>
      <c r="J2828" t="n">
        <v>2017</v>
      </c>
      <c r="K2828" t="inlineStr">
        <is>
          <t>MARZO 2025</t>
        </is>
      </c>
      <c r="L2828" t="inlineStr">
        <is>
          <t>MARZO 2026</t>
        </is>
      </c>
      <c r="M2828" t="inlineStr">
        <is>
          <t>P.Q.S.  TIPO ABC  90% NACIONAL</t>
        </is>
      </c>
      <c r="N2828" t="inlineStr">
        <is>
          <t>53/004208</t>
        </is>
      </c>
      <c r="O2828" t="inlineStr">
        <is>
          <t>R</t>
        </is>
      </c>
      <c r="P2828">
        <f>TRIM(N2828)</f>
        <v/>
      </c>
    </row>
    <row r="2829">
      <c r="A2829" t="inlineStr">
        <is>
          <t>CO-002282</t>
        </is>
      </c>
      <c r="B2829" t="inlineStr">
        <is>
          <t>PERU MASIVO S.A - BUSES</t>
        </is>
      </c>
      <c r="C2829" t="inlineStr">
        <is>
          <t>20492392031</t>
        </is>
      </c>
      <c r="D2829" t="inlineStr">
        <is>
          <t>AV. LOS INCAS CDRA. 4 PATIO NORTE - COMAS</t>
        </is>
      </c>
      <c r="E2829" t="inlineStr">
        <is>
          <t>Lima, 24 de marzo de 2025</t>
        </is>
      </c>
      <c r="F2829" t="inlineStr">
        <is>
          <t>la Recarga y mantenimiento</t>
        </is>
      </c>
      <c r="G2829" t="inlineStr">
        <is>
          <t>07</t>
        </is>
      </c>
      <c r="H2829" t="inlineStr">
        <is>
          <t>06 KG</t>
        </is>
      </c>
      <c r="I2829" t="inlineStr">
        <is>
          <t>2029</t>
        </is>
      </c>
      <c r="J2829" t="n">
        <v>2016</v>
      </c>
      <c r="K2829" t="inlineStr">
        <is>
          <t>MARZO 2025</t>
        </is>
      </c>
      <c r="L2829" t="inlineStr">
        <is>
          <t>MARZO 2026</t>
        </is>
      </c>
      <c r="M2829" t="inlineStr">
        <is>
          <t>P.Q.S.  TIPO ABC  90% NACIONAL</t>
        </is>
      </c>
      <c r="N2829" t="inlineStr">
        <is>
          <t>166/002216</t>
        </is>
      </c>
      <c r="O2829" t="inlineStr">
        <is>
          <t>R</t>
        </is>
      </c>
      <c r="P2829">
        <f>TRIM(N2829)</f>
        <v/>
      </c>
    </row>
    <row r="2830">
      <c r="A2830" t="inlineStr">
        <is>
          <t>CO-002282</t>
        </is>
      </c>
      <c r="B2830" t="inlineStr">
        <is>
          <t>PERU MASIVO S.A - BUSES</t>
        </is>
      </c>
      <c r="C2830" t="inlineStr">
        <is>
          <t>20492392031</t>
        </is>
      </c>
      <c r="D2830" t="inlineStr">
        <is>
          <t>AV. LOS INCAS CDRA. 4 PATIO NORTE - COMAS</t>
        </is>
      </c>
      <c r="E2830" t="inlineStr">
        <is>
          <t>Lima, 24 de marzo de 2025</t>
        </is>
      </c>
      <c r="F2830" t="inlineStr">
        <is>
          <t>la Recarga y mantenimiento</t>
        </is>
      </c>
      <c r="G2830" t="inlineStr">
        <is>
          <t>08</t>
        </is>
      </c>
      <c r="H2830" t="inlineStr">
        <is>
          <t>06 KG</t>
        </is>
      </c>
      <c r="I2830" t="inlineStr">
        <is>
          <t>2029</t>
        </is>
      </c>
      <c r="J2830" t="n">
        <v>2010</v>
      </c>
      <c r="K2830" t="inlineStr">
        <is>
          <t>MARZO 2025</t>
        </is>
      </c>
      <c r="L2830" t="inlineStr">
        <is>
          <t>MARZO 2026</t>
        </is>
      </c>
      <c r="M2830" t="inlineStr">
        <is>
          <t>P.Q.S.  TIPO ABC  90% NACIONAL</t>
        </is>
      </c>
      <c r="N2830" t="inlineStr">
        <is>
          <t>25/000665</t>
        </is>
      </c>
      <c r="O2830" t="inlineStr">
        <is>
          <t>R</t>
        </is>
      </c>
      <c r="P2830">
        <f>TRIM(N2830)</f>
        <v/>
      </c>
    </row>
    <row r="2831">
      <c r="A2831" t="inlineStr">
        <is>
          <t>CO-002283</t>
        </is>
      </c>
      <c r="B2831" t="inlineStr">
        <is>
          <t>PERU MASIVO S.A - BUSES</t>
        </is>
      </c>
      <c r="C2831" t="inlineStr">
        <is>
          <t>20492392031</t>
        </is>
      </c>
      <c r="D2831" t="inlineStr">
        <is>
          <t>AV. LOS INCAS CDRA. 4 PATIO NORTE - COMAS</t>
        </is>
      </c>
      <c r="E2831" t="inlineStr">
        <is>
          <t>Lima, 26 de marzo de 2025</t>
        </is>
      </c>
      <c r="F2831" t="inlineStr">
        <is>
          <t>la Recarga y mantenimiento</t>
        </is>
      </c>
      <c r="G2831" t="inlineStr">
        <is>
          <t>01</t>
        </is>
      </c>
      <c r="H2831" t="inlineStr">
        <is>
          <t>06 KG</t>
        </is>
      </c>
      <c r="I2831" t="inlineStr">
        <is>
          <t>2029</t>
        </is>
      </c>
      <c r="J2831" t="n">
        <v>2021</v>
      </c>
      <c r="K2831" t="inlineStr">
        <is>
          <t>MARZO 2025</t>
        </is>
      </c>
      <c r="L2831" t="inlineStr">
        <is>
          <t>MARZO 2026</t>
        </is>
      </c>
      <c r="M2831" t="inlineStr">
        <is>
          <t>P.Q.S.  TIPO ABC  90% NACIONAL</t>
        </is>
      </c>
      <c r="N2831" t="inlineStr">
        <is>
          <t>88/008539</t>
        </is>
      </c>
      <c r="O2831" t="inlineStr">
        <is>
          <t>R</t>
        </is>
      </c>
      <c r="P2831">
        <f>TRIM(N2831)</f>
        <v/>
      </c>
    </row>
    <row r="2832">
      <c r="A2832" t="inlineStr">
        <is>
          <t>CO-002283</t>
        </is>
      </c>
      <c r="B2832" t="inlineStr">
        <is>
          <t>PERU MASIVO S.A - BUSES</t>
        </is>
      </c>
      <c r="C2832" t="inlineStr">
        <is>
          <t>20492392031</t>
        </is>
      </c>
      <c r="D2832" t="inlineStr">
        <is>
          <t>AV. LOS INCAS CDRA. 4 PATIO NORTE - COMAS</t>
        </is>
      </c>
      <c r="E2832" t="inlineStr">
        <is>
          <t>Lima, 26 de marzo de 2025</t>
        </is>
      </c>
      <c r="F2832" t="inlineStr">
        <is>
          <t>la Recarga y mantenimiento</t>
        </is>
      </c>
      <c r="G2832" t="inlineStr">
        <is>
          <t>02</t>
        </is>
      </c>
      <c r="H2832" t="inlineStr">
        <is>
          <t>06 KG</t>
        </is>
      </c>
      <c r="I2832" t="inlineStr">
        <is>
          <t>2029</t>
        </is>
      </c>
      <c r="J2832" t="n">
        <v>2009</v>
      </c>
      <c r="K2832" t="inlineStr">
        <is>
          <t>MARZO 2025</t>
        </is>
      </c>
      <c r="L2832" t="inlineStr">
        <is>
          <t>MARZO 2026</t>
        </is>
      </c>
      <c r="M2832" t="inlineStr">
        <is>
          <t>P.Q.S.  TIPO ABC  90% NACIONAL</t>
        </is>
      </c>
      <c r="N2832" t="inlineStr">
        <is>
          <t>251/001843</t>
        </is>
      </c>
      <c r="O2832" t="inlineStr">
        <is>
          <t>R</t>
        </is>
      </c>
      <c r="P2832">
        <f>TRIM(N2832)</f>
        <v/>
      </c>
    </row>
    <row r="2833">
      <c r="A2833" t="inlineStr">
        <is>
          <t>CO-002283</t>
        </is>
      </c>
      <c r="B2833" t="inlineStr">
        <is>
          <t>PERU MASIVO S.A - BUSES</t>
        </is>
      </c>
      <c r="C2833" t="inlineStr">
        <is>
          <t>20492392031</t>
        </is>
      </c>
      <c r="D2833" t="inlineStr">
        <is>
          <t>AV. LOS INCAS CDRA. 4 PATIO NORTE - COMAS</t>
        </is>
      </c>
      <c r="E2833" t="inlineStr">
        <is>
          <t>Lima, 26 de marzo de 2025</t>
        </is>
      </c>
      <c r="F2833" t="inlineStr">
        <is>
          <t>la Recarga y mantenimiento</t>
        </is>
      </c>
      <c r="G2833" t="inlineStr">
        <is>
          <t>03</t>
        </is>
      </c>
      <c r="H2833" t="inlineStr">
        <is>
          <t>06 KG</t>
        </is>
      </c>
      <c r="I2833" t="inlineStr">
        <is>
          <t>2029</t>
        </is>
      </c>
      <c r="J2833" t="n">
        <v>2010</v>
      </c>
      <c r="K2833" t="inlineStr">
        <is>
          <t>MARZO 2025</t>
        </is>
      </c>
      <c r="L2833" t="inlineStr">
        <is>
          <t>MARZO 2026</t>
        </is>
      </c>
      <c r="M2833" t="inlineStr">
        <is>
          <t>P.Q.S.  TIPO ABC  90% NACIONAL</t>
        </is>
      </c>
      <c r="N2833" t="inlineStr">
        <is>
          <t>250/000089</t>
        </is>
      </c>
      <c r="O2833" t="inlineStr">
        <is>
          <t>R</t>
        </is>
      </c>
      <c r="P2833">
        <f>TRIM(N2833)</f>
        <v/>
      </c>
    </row>
    <row r="2834">
      <c r="A2834" t="inlineStr">
        <is>
          <t>CO-002283</t>
        </is>
      </c>
      <c r="B2834" t="inlineStr">
        <is>
          <t>PERU MASIVO S.A - BUSES</t>
        </is>
      </c>
      <c r="C2834" t="inlineStr">
        <is>
          <t>20492392031</t>
        </is>
      </c>
      <c r="D2834" t="inlineStr">
        <is>
          <t>AV. LOS INCAS CDRA. 4 PATIO NORTE - COMAS</t>
        </is>
      </c>
      <c r="E2834" t="inlineStr">
        <is>
          <t>Lima, 26 de marzo de 2025</t>
        </is>
      </c>
      <c r="F2834" t="inlineStr">
        <is>
          <t>la Recarga y mantenimiento</t>
        </is>
      </c>
      <c r="G2834" t="inlineStr">
        <is>
          <t>04</t>
        </is>
      </c>
      <c r="H2834" t="inlineStr">
        <is>
          <t>06 KG</t>
        </is>
      </c>
      <c r="I2834" t="inlineStr">
        <is>
          <t>2029</t>
        </is>
      </c>
      <c r="J2834" t="n">
        <v>2021</v>
      </c>
      <c r="K2834" t="inlineStr">
        <is>
          <t>MARZO 2025</t>
        </is>
      </c>
      <c r="L2834" t="inlineStr">
        <is>
          <t>MARZO 2026</t>
        </is>
      </c>
      <c r="M2834" t="inlineStr">
        <is>
          <t>P.Q.S.  TIPO ABC  90% NACIONAL</t>
        </is>
      </c>
      <c r="N2834" t="inlineStr">
        <is>
          <t>120/008129</t>
        </is>
      </c>
      <c r="O2834" t="inlineStr">
        <is>
          <t>R</t>
        </is>
      </c>
      <c r="P2834">
        <f>TRIM(N2834)</f>
        <v/>
      </c>
    </row>
    <row r="2835">
      <c r="A2835" t="inlineStr">
        <is>
          <t>CO-002283</t>
        </is>
      </c>
      <c r="B2835" t="inlineStr">
        <is>
          <t>PERU MASIVO S.A - BUSES</t>
        </is>
      </c>
      <c r="C2835" t="inlineStr">
        <is>
          <t>20492392031</t>
        </is>
      </c>
      <c r="D2835" t="inlineStr">
        <is>
          <t>AV. LOS INCAS CDRA. 4 PATIO NORTE - COMAS</t>
        </is>
      </c>
      <c r="E2835" t="inlineStr">
        <is>
          <t>Lima, 26 de marzo de 2025</t>
        </is>
      </c>
      <c r="F2835" t="inlineStr">
        <is>
          <t>la Recarga y mantenimiento</t>
        </is>
      </c>
      <c r="G2835" t="inlineStr">
        <is>
          <t>05</t>
        </is>
      </c>
      <c r="H2835" t="inlineStr">
        <is>
          <t>06 KG</t>
        </is>
      </c>
      <c r="I2835" t="inlineStr">
        <is>
          <t>2029</t>
        </is>
      </c>
      <c r="J2835" t="n">
        <v>2015</v>
      </c>
      <c r="K2835" t="inlineStr">
        <is>
          <t>MARZO 2025</t>
        </is>
      </c>
      <c r="L2835" t="inlineStr">
        <is>
          <t>MARZO 2026</t>
        </is>
      </c>
      <c r="M2835" t="inlineStr">
        <is>
          <t>P.Q.S.  TIPO ABC  90% NACIONAL</t>
        </is>
      </c>
      <c r="N2835" t="inlineStr">
        <is>
          <t>97/000341</t>
        </is>
      </c>
      <c r="O2835" t="inlineStr">
        <is>
          <t>R</t>
        </is>
      </c>
      <c r="P2835">
        <f>TRIM(N2835)</f>
        <v/>
      </c>
    </row>
    <row r="2836">
      <c r="A2836" t="inlineStr">
        <is>
          <t>CO-002283</t>
        </is>
      </c>
      <c r="B2836" t="inlineStr">
        <is>
          <t>PERU MASIVO S.A - BUSES</t>
        </is>
      </c>
      <c r="C2836" t="inlineStr">
        <is>
          <t>20492392031</t>
        </is>
      </c>
      <c r="D2836" t="inlineStr">
        <is>
          <t>AV. LOS INCAS CDRA. 4 PATIO NORTE - COMAS</t>
        </is>
      </c>
      <c r="E2836" t="inlineStr">
        <is>
          <t>Lima, 26 de marzo de 2025</t>
        </is>
      </c>
      <c r="F2836" t="inlineStr">
        <is>
          <t>la Recarga y mantenimiento</t>
        </is>
      </c>
      <c r="G2836" t="inlineStr">
        <is>
          <t>06</t>
        </is>
      </c>
      <c r="H2836" t="inlineStr">
        <is>
          <t>06 KG</t>
        </is>
      </c>
      <c r="I2836" t="inlineStr">
        <is>
          <t>2029</t>
        </is>
      </c>
      <c r="J2836" t="n">
        <v>2015</v>
      </c>
      <c r="K2836" t="inlineStr">
        <is>
          <t>MARZO 2025</t>
        </is>
      </c>
      <c r="L2836" t="inlineStr">
        <is>
          <t>MARZO 2026</t>
        </is>
      </c>
      <c r="M2836" t="inlineStr">
        <is>
          <t>P.Q.S.  TIPO ABC  90% NACIONAL</t>
        </is>
      </c>
      <c r="N2836" t="inlineStr">
        <is>
          <t>330/002300</t>
        </is>
      </c>
      <c r="O2836" t="inlineStr">
        <is>
          <t>R</t>
        </is>
      </c>
      <c r="P2836">
        <f>TRIM(N2836)</f>
        <v/>
      </c>
    </row>
    <row r="2837">
      <c r="A2837" t="inlineStr">
        <is>
          <t>CO-002283</t>
        </is>
      </c>
      <c r="B2837" t="inlineStr">
        <is>
          <t>PERU MASIVO S.A - BUSES</t>
        </is>
      </c>
      <c r="C2837" t="inlineStr">
        <is>
          <t>20492392031</t>
        </is>
      </c>
      <c r="D2837" t="inlineStr">
        <is>
          <t>AV. LOS INCAS CDRA. 4 PATIO NORTE - COMAS</t>
        </is>
      </c>
      <c r="E2837" t="inlineStr">
        <is>
          <t>Lima, 26 de marzo de 2025</t>
        </is>
      </c>
      <c r="F2837" t="inlineStr">
        <is>
          <t>la Recarga y mantenimiento</t>
        </is>
      </c>
      <c r="G2837" t="inlineStr">
        <is>
          <t>07</t>
        </is>
      </c>
      <c r="H2837" t="inlineStr">
        <is>
          <t>06 KG</t>
        </is>
      </c>
      <c r="I2837" t="inlineStr">
        <is>
          <t>2029</t>
        </is>
      </c>
      <c r="J2837" t="n">
        <v>2009</v>
      </c>
      <c r="K2837" t="inlineStr">
        <is>
          <t>MARZO 2025</t>
        </is>
      </c>
      <c r="L2837" t="inlineStr">
        <is>
          <t>MARZO 2026</t>
        </is>
      </c>
      <c r="M2837" t="inlineStr">
        <is>
          <t>P.Q.S.  TIPO ABC  90% NACIONAL</t>
        </is>
      </c>
      <c r="N2837" t="inlineStr">
        <is>
          <t>248/002215</t>
        </is>
      </c>
      <c r="O2837" t="inlineStr">
        <is>
          <t>R</t>
        </is>
      </c>
      <c r="P2837">
        <f>TRIM(N2837)</f>
        <v/>
      </c>
    </row>
    <row r="2838">
      <c r="A2838" t="inlineStr">
        <is>
          <t>CO-002283</t>
        </is>
      </c>
      <c r="B2838" t="inlineStr">
        <is>
          <t>PERU MASIVO S.A - BUSES</t>
        </is>
      </c>
      <c r="C2838" t="inlineStr">
        <is>
          <t>20492392031</t>
        </is>
      </c>
      <c r="D2838" t="inlineStr">
        <is>
          <t>AV. LOS INCAS CDRA. 4 PATIO NORTE - COMAS</t>
        </is>
      </c>
      <c r="E2838" t="inlineStr">
        <is>
          <t>Lima, 26 de marzo de 2025</t>
        </is>
      </c>
      <c r="F2838" t="inlineStr">
        <is>
          <t>la Recarga y mantenimiento</t>
        </is>
      </c>
      <c r="G2838" t="inlineStr">
        <is>
          <t>08</t>
        </is>
      </c>
      <c r="H2838" t="inlineStr">
        <is>
          <t>06 KG</t>
        </is>
      </c>
      <c r="I2838" t="inlineStr">
        <is>
          <t>2029</t>
        </is>
      </c>
      <c r="J2838" t="n">
        <v>2009</v>
      </c>
      <c r="K2838" t="inlineStr">
        <is>
          <t>MARZO 2025</t>
        </is>
      </c>
      <c r="L2838" t="inlineStr">
        <is>
          <t>MARZO 2026</t>
        </is>
      </c>
      <c r="M2838" t="inlineStr">
        <is>
          <t>P.Q.S.  TIPO ABC  90% NACIONAL</t>
        </is>
      </c>
      <c r="N2838" t="inlineStr">
        <is>
          <t>01/001375</t>
        </is>
      </c>
      <c r="O2838" t="inlineStr">
        <is>
          <t>R</t>
        </is>
      </c>
      <c r="P2838">
        <f>TRIM(N2838)</f>
        <v/>
      </c>
    </row>
    <row r="2839">
      <c r="A2839" t="inlineStr">
        <is>
          <t>CO-002284</t>
        </is>
      </c>
      <c r="B2839" t="inlineStr">
        <is>
          <t xml:space="preserve">LINDE PERU S.R.L. </t>
        </is>
      </c>
      <c r="C2839" t="inlineStr">
        <is>
          <t>20338570041</t>
        </is>
      </c>
      <c r="D2839" t="inlineStr">
        <is>
          <t xml:space="preserve">AV.ALFREDO BENAVIDES N° 801 INT. PJ 11 , MIRAFLORES - SEDE CAJAMARQUILLA </t>
        </is>
      </c>
      <c r="E2839" t="inlineStr">
        <is>
          <t>Lima, 28 de marzo de 2025</t>
        </is>
      </c>
      <c r="F2839" t="inlineStr">
        <is>
          <t>la Recarga y mantenimiento</t>
        </is>
      </c>
      <c r="G2839" t="inlineStr">
        <is>
          <t>01</t>
        </is>
      </c>
      <c r="H2839" t="inlineStr">
        <is>
          <t>06 KG</t>
        </is>
      </c>
      <c r="I2839" t="inlineStr">
        <is>
          <t>2029</t>
        </is>
      </c>
      <c r="J2839" t="n">
        <v>2024</v>
      </c>
      <c r="K2839" t="inlineStr">
        <is>
          <t>MARZO 2025</t>
        </is>
      </c>
      <c r="L2839" t="inlineStr">
        <is>
          <t>MARZO 2026</t>
        </is>
      </c>
      <c r="M2839" t="inlineStr">
        <is>
          <t xml:space="preserve">P.Q.S.  TIPO ABC  90% PYROCHEM </t>
        </is>
      </c>
      <c r="N2839" t="inlineStr">
        <is>
          <t>01/005841</t>
        </is>
      </c>
      <c r="O2839" t="inlineStr">
        <is>
          <t>R</t>
        </is>
      </c>
      <c r="P2839">
        <f>TRIM(N2839)</f>
        <v/>
      </c>
    </row>
    <row r="2840">
      <c r="A2840" t="inlineStr">
        <is>
          <t>CO-002284</t>
        </is>
      </c>
      <c r="B2840" t="inlineStr">
        <is>
          <t xml:space="preserve">LINDE PERU S.R.L. </t>
        </is>
      </c>
      <c r="C2840" t="inlineStr">
        <is>
          <t>20338570041</t>
        </is>
      </c>
      <c r="D2840" t="inlineStr">
        <is>
          <t xml:space="preserve">AV.ALFREDO BENAVIDES N° 801 INT. PJ 11 , MIRAFLORES - SEDE CAJAMARQUILLA </t>
        </is>
      </c>
      <c r="E2840" t="inlineStr">
        <is>
          <t>Lima, 28 de marzo de 2025</t>
        </is>
      </c>
      <c r="F2840" t="inlineStr">
        <is>
          <t>la Recarga y mantenimiento</t>
        </is>
      </c>
      <c r="G2840" t="inlineStr">
        <is>
          <t>02</t>
        </is>
      </c>
      <c r="H2840" t="inlineStr">
        <is>
          <t>06 KG</t>
        </is>
      </c>
      <c r="I2840" t="inlineStr">
        <is>
          <t>2030</t>
        </is>
      </c>
      <c r="J2840" t="n">
        <v>2024</v>
      </c>
      <c r="K2840" t="inlineStr">
        <is>
          <t>MARZO 2025</t>
        </is>
      </c>
      <c r="L2840" t="inlineStr">
        <is>
          <t>MARZO 2026</t>
        </is>
      </c>
      <c r="M2840" t="inlineStr">
        <is>
          <t xml:space="preserve">P.Q.S.  TIPO ABC  90% PYROCHEM </t>
        </is>
      </c>
      <c r="N2840" t="inlineStr">
        <is>
          <t>02/007585</t>
        </is>
      </c>
      <c r="O2840" t="inlineStr">
        <is>
          <t>R</t>
        </is>
      </c>
      <c r="P2840">
        <f>TRIM(N2840)</f>
        <v/>
      </c>
    </row>
    <row r="2841">
      <c r="A2841" t="inlineStr">
        <is>
          <t>CO-002285</t>
        </is>
      </c>
      <c r="B2841" t="inlineStr">
        <is>
          <t>PERU MASIVO S.A - BUSES</t>
        </is>
      </c>
      <c r="C2841" t="inlineStr">
        <is>
          <t>20492392031</t>
        </is>
      </c>
      <c r="D2841" t="inlineStr">
        <is>
          <t>AV. LOS INCAS CDRA. 4 PATIO NORTE - COMAS</t>
        </is>
      </c>
      <c r="E2841" t="inlineStr">
        <is>
          <t>Lima, 31 de marzo de 2025</t>
        </is>
      </c>
      <c r="F2841" t="inlineStr">
        <is>
          <t>la Recarga y mantenimiento</t>
        </is>
      </c>
      <c r="G2841" t="inlineStr">
        <is>
          <t>01</t>
        </is>
      </c>
      <c r="H2841" t="inlineStr">
        <is>
          <t>06 KG</t>
        </is>
      </c>
      <c r="I2841" t="inlineStr">
        <is>
          <t>2028</t>
        </is>
      </c>
      <c r="J2841" t="n">
        <v>2014</v>
      </c>
      <c r="K2841" t="inlineStr">
        <is>
          <t>MARZO 2025</t>
        </is>
      </c>
      <c r="L2841" t="inlineStr">
        <is>
          <t>MARZO 2026</t>
        </is>
      </c>
      <c r="M2841" t="inlineStr">
        <is>
          <t>P.Q.S.  TIPO ABC  90% NACIONAL</t>
        </is>
      </c>
      <c r="N2841" t="inlineStr">
        <is>
          <t>121/001460</t>
        </is>
      </c>
      <c r="O2841" t="inlineStr">
        <is>
          <t>R</t>
        </is>
      </c>
      <c r="P2841">
        <f>TRIM(N2841)</f>
        <v/>
      </c>
    </row>
    <row r="2842">
      <c r="A2842" t="inlineStr">
        <is>
          <t>CO-002285</t>
        </is>
      </c>
      <c r="B2842" t="inlineStr">
        <is>
          <t>PERU MASIVO S.A - BUSES</t>
        </is>
      </c>
      <c r="C2842" t="inlineStr">
        <is>
          <t>20492392031</t>
        </is>
      </c>
      <c r="D2842" t="inlineStr">
        <is>
          <t>AV. LOS INCAS CDRA. 4 PATIO NORTE - COMAS</t>
        </is>
      </c>
      <c r="E2842" t="inlineStr">
        <is>
          <t>Lima, 31 de marzo de 2025</t>
        </is>
      </c>
      <c r="F2842" t="inlineStr">
        <is>
          <t>la Recarga y mantenimiento</t>
        </is>
      </c>
      <c r="G2842" t="inlineStr">
        <is>
          <t>02</t>
        </is>
      </c>
      <c r="H2842" t="inlineStr">
        <is>
          <t>06 KG</t>
        </is>
      </c>
      <c r="I2842" t="inlineStr">
        <is>
          <t>2028</t>
        </is>
      </c>
      <c r="J2842" t="n">
        <v>2009</v>
      </c>
      <c r="K2842" t="inlineStr">
        <is>
          <t>MARZO 2025</t>
        </is>
      </c>
      <c r="L2842" t="inlineStr">
        <is>
          <t>MARZO 2026</t>
        </is>
      </c>
      <c r="M2842" t="inlineStr">
        <is>
          <t>P.Q.S.  TIPO ABC  90% NACIONAL</t>
        </is>
      </c>
      <c r="N2842" t="inlineStr">
        <is>
          <t>124/000970</t>
        </is>
      </c>
      <c r="O2842" t="inlineStr">
        <is>
          <t>R</t>
        </is>
      </c>
      <c r="P2842">
        <f>TRIM(N2842)</f>
        <v/>
      </c>
    </row>
    <row r="2843">
      <c r="A2843" t="inlineStr">
        <is>
          <t>CO-002285</t>
        </is>
      </c>
      <c r="B2843" t="inlineStr">
        <is>
          <t>PERU MASIVO S.A - BUSES</t>
        </is>
      </c>
      <c r="C2843" t="inlineStr">
        <is>
          <t>20492392031</t>
        </is>
      </c>
      <c r="D2843" t="inlineStr">
        <is>
          <t>AV. LOS INCAS CDRA. 4 PATIO NORTE - COMAS</t>
        </is>
      </c>
      <c r="E2843" t="inlineStr">
        <is>
          <t>Lima, 31 de marzo de 2025</t>
        </is>
      </c>
      <c r="F2843" t="inlineStr">
        <is>
          <t>la Recarga y mantenimiento</t>
        </is>
      </c>
      <c r="G2843" t="inlineStr">
        <is>
          <t>03</t>
        </is>
      </c>
      <c r="H2843" t="inlineStr">
        <is>
          <t>06 KG</t>
        </is>
      </c>
      <c r="I2843" t="inlineStr">
        <is>
          <t>2028</t>
        </is>
      </c>
      <c r="J2843" t="n">
        <v>2010</v>
      </c>
      <c r="K2843" t="inlineStr">
        <is>
          <t>MARZO 2025</t>
        </is>
      </c>
      <c r="L2843" t="inlineStr">
        <is>
          <t>MARZO 2026</t>
        </is>
      </c>
      <c r="M2843" t="inlineStr">
        <is>
          <t>P.Q.S.  TIPO ABC  90% NACIONAL</t>
        </is>
      </c>
      <c r="N2843" t="inlineStr">
        <is>
          <t>254/000988</t>
        </is>
      </c>
      <c r="O2843" t="inlineStr">
        <is>
          <t>R</t>
        </is>
      </c>
      <c r="P2843">
        <f>TRIM(N2843)</f>
        <v/>
      </c>
    </row>
    <row r="2844">
      <c r="A2844" t="inlineStr">
        <is>
          <t>CO-002285</t>
        </is>
      </c>
      <c r="B2844" t="inlineStr">
        <is>
          <t>PERU MASIVO S.A - BUSES</t>
        </is>
      </c>
      <c r="C2844" t="inlineStr">
        <is>
          <t>20492392031</t>
        </is>
      </c>
      <c r="D2844" t="inlineStr">
        <is>
          <t>AV. LOS INCAS CDRA. 4 PATIO NORTE - COMAS</t>
        </is>
      </c>
      <c r="E2844" t="inlineStr">
        <is>
          <t>Lima, 31 de marzo de 2025</t>
        </is>
      </c>
      <c r="F2844" t="inlineStr">
        <is>
          <t>la Recarga y mantenimiento</t>
        </is>
      </c>
      <c r="G2844" t="inlineStr">
        <is>
          <t>04</t>
        </is>
      </c>
      <c r="H2844" t="inlineStr">
        <is>
          <t>06 KG</t>
        </is>
      </c>
      <c r="I2844" t="inlineStr">
        <is>
          <t>2029</t>
        </is>
      </c>
      <c r="J2844" t="n">
        <v>2017</v>
      </c>
      <c r="K2844" t="inlineStr">
        <is>
          <t>MARZO 2025</t>
        </is>
      </c>
      <c r="L2844" t="inlineStr">
        <is>
          <t>MARZO 2026</t>
        </is>
      </c>
      <c r="M2844" t="inlineStr">
        <is>
          <t>P.Q.S.  TIPO ABC  90% NACIONAL</t>
        </is>
      </c>
      <c r="N2844" t="inlineStr">
        <is>
          <t>125/003890</t>
        </is>
      </c>
      <c r="O2844" t="inlineStr">
        <is>
          <t>R</t>
        </is>
      </c>
      <c r="P2844">
        <f>TRIM(N2844)</f>
        <v/>
      </c>
    </row>
    <row r="2845">
      <c r="A2845" t="inlineStr">
        <is>
          <t>CO-002285</t>
        </is>
      </c>
      <c r="B2845" t="inlineStr">
        <is>
          <t>PERU MASIVO S.A - BUSES</t>
        </is>
      </c>
      <c r="C2845" t="inlineStr">
        <is>
          <t>20492392031</t>
        </is>
      </c>
      <c r="D2845" t="inlineStr">
        <is>
          <t>AV. LOS INCAS CDRA. 4 PATIO NORTE - COMAS</t>
        </is>
      </c>
      <c r="E2845" t="inlineStr">
        <is>
          <t>Lima, 31 de marzo de 2025</t>
        </is>
      </c>
      <c r="F2845" t="inlineStr">
        <is>
          <t>la Recarga y mantenimiento</t>
        </is>
      </c>
      <c r="G2845" t="inlineStr">
        <is>
          <t>05</t>
        </is>
      </c>
      <c r="H2845" t="inlineStr">
        <is>
          <t>06 KG</t>
        </is>
      </c>
      <c r="I2845" t="inlineStr">
        <is>
          <t>2029</t>
        </is>
      </c>
      <c r="J2845" t="n">
        <v>2009</v>
      </c>
      <c r="K2845" t="inlineStr">
        <is>
          <t>MARZO 2025</t>
        </is>
      </c>
      <c r="L2845" t="inlineStr">
        <is>
          <t>MARZO 2026</t>
        </is>
      </c>
      <c r="M2845" t="inlineStr">
        <is>
          <t>P.Q.S.  TIPO ABC  90% NACIONAL</t>
        </is>
      </c>
      <c r="N2845" t="inlineStr">
        <is>
          <t>182/001279</t>
        </is>
      </c>
      <c r="O2845" t="inlineStr">
        <is>
          <t>R</t>
        </is>
      </c>
      <c r="P2845">
        <f>TRIM(N2845)</f>
        <v/>
      </c>
    </row>
    <row r="2846">
      <c r="A2846" t="inlineStr">
        <is>
          <t>CO-002285</t>
        </is>
      </c>
      <c r="B2846" t="inlineStr">
        <is>
          <t>PERU MASIVO S.A - BUSES</t>
        </is>
      </c>
      <c r="C2846" t="inlineStr">
        <is>
          <t>20492392031</t>
        </is>
      </c>
      <c r="D2846" t="inlineStr">
        <is>
          <t>AV. LOS INCAS CDRA. 4 PATIO NORTE - COMAS</t>
        </is>
      </c>
      <c r="E2846" t="inlineStr">
        <is>
          <t>Lima, 31 de marzo de 2025</t>
        </is>
      </c>
      <c r="F2846" t="inlineStr">
        <is>
          <t>la Recarga y mantenimiento</t>
        </is>
      </c>
      <c r="G2846" t="inlineStr">
        <is>
          <t>06</t>
        </is>
      </c>
      <c r="H2846" t="inlineStr">
        <is>
          <t>06 KG</t>
        </is>
      </c>
      <c r="I2846" t="inlineStr">
        <is>
          <t>2026</t>
        </is>
      </c>
      <c r="J2846" t="n">
        <v>2021</v>
      </c>
      <c r="K2846" t="inlineStr">
        <is>
          <t>MARZO 2025</t>
        </is>
      </c>
      <c r="L2846" t="inlineStr">
        <is>
          <t>MARZO 2026</t>
        </is>
      </c>
      <c r="M2846" t="inlineStr">
        <is>
          <t>P.Q.S.  TIPO ABC  90% NACIONAL</t>
        </is>
      </c>
      <c r="N2846" t="inlineStr">
        <is>
          <t>130/007848</t>
        </is>
      </c>
      <c r="O2846" t="inlineStr">
        <is>
          <t>R</t>
        </is>
      </c>
      <c r="P2846">
        <f>TRIM(N2846)</f>
        <v/>
      </c>
    </row>
    <row r="2847">
      <c r="A2847" t="inlineStr">
        <is>
          <t>CO-002285</t>
        </is>
      </c>
      <c r="B2847" t="inlineStr">
        <is>
          <t>PERU MASIVO S.A - BUSES</t>
        </is>
      </c>
      <c r="C2847" t="inlineStr">
        <is>
          <t>20492392031</t>
        </is>
      </c>
      <c r="D2847" t="inlineStr">
        <is>
          <t>AV. LOS INCAS CDRA. 4 PATIO NORTE - COMAS</t>
        </is>
      </c>
      <c r="E2847" t="inlineStr">
        <is>
          <t>Lima, 31 de marzo de 2025</t>
        </is>
      </c>
      <c r="F2847" t="inlineStr">
        <is>
          <t>la Recarga y mantenimiento</t>
        </is>
      </c>
      <c r="G2847" t="inlineStr">
        <is>
          <t>07</t>
        </is>
      </c>
      <c r="H2847" t="inlineStr">
        <is>
          <t>06 KG</t>
        </is>
      </c>
      <c r="I2847" t="inlineStr">
        <is>
          <t>2029</t>
        </is>
      </c>
      <c r="J2847" t="n">
        <v>2010</v>
      </c>
      <c r="K2847" t="inlineStr">
        <is>
          <t>MARZO 2025</t>
        </is>
      </c>
      <c r="L2847" t="inlineStr">
        <is>
          <t>MARZO 2026</t>
        </is>
      </c>
      <c r="M2847" t="inlineStr">
        <is>
          <t>P.Q.S.  TIPO ABC  90% NACIONAL</t>
        </is>
      </c>
      <c r="N2847" t="inlineStr">
        <is>
          <t>157/000132</t>
        </is>
      </c>
      <c r="O2847" t="inlineStr">
        <is>
          <t>R</t>
        </is>
      </c>
      <c r="P2847">
        <f>TRIM(N2847)</f>
        <v/>
      </c>
    </row>
    <row r="2848">
      <c r="A2848" t="inlineStr">
        <is>
          <t>CO-002285</t>
        </is>
      </c>
      <c r="B2848" t="inlineStr">
        <is>
          <t>PERU MASIVO S.A - BUSES</t>
        </is>
      </c>
      <c r="C2848" t="inlineStr">
        <is>
          <t>20492392031</t>
        </is>
      </c>
      <c r="D2848" t="inlineStr">
        <is>
          <t>AV. LOS INCAS CDRA. 4 PATIO NORTE - COMAS</t>
        </is>
      </c>
      <c r="E2848" t="inlineStr">
        <is>
          <t>Lima, 31 de marzo de 2025</t>
        </is>
      </c>
      <c r="F2848" t="inlineStr">
        <is>
          <t>la Recarga y mantenimiento</t>
        </is>
      </c>
      <c r="G2848" t="inlineStr">
        <is>
          <t>08</t>
        </is>
      </c>
      <c r="H2848" t="inlineStr">
        <is>
          <t>06 KG</t>
        </is>
      </c>
      <c r="I2848" t="inlineStr">
        <is>
          <t>2029</t>
        </is>
      </c>
      <c r="J2848" t="n">
        <v>2010</v>
      </c>
      <c r="K2848" t="inlineStr">
        <is>
          <t>MARZO 2025</t>
        </is>
      </c>
      <c r="L2848" t="inlineStr">
        <is>
          <t>MARZO 2026</t>
        </is>
      </c>
      <c r="M2848" t="inlineStr">
        <is>
          <t>P.Q.S.  TIPO ABC  90% NACIONAL</t>
        </is>
      </c>
      <c r="N2848" t="inlineStr">
        <is>
          <t>153/000005</t>
        </is>
      </c>
      <c r="O2848" t="inlineStr">
        <is>
          <t>R</t>
        </is>
      </c>
      <c r="P2848">
        <f>TRIM(N2848)</f>
        <v/>
      </c>
    </row>
    <row r="2849">
      <c r="A2849" t="inlineStr">
        <is>
          <t>CO-002285</t>
        </is>
      </c>
      <c r="B2849" t="inlineStr">
        <is>
          <t>PERU MASIVO S.A - BUSES</t>
        </is>
      </c>
      <c r="C2849" t="inlineStr">
        <is>
          <t>20492392031</t>
        </is>
      </c>
      <c r="D2849" t="inlineStr">
        <is>
          <t>AV. LOS INCAS CDRA. 4 PATIO NORTE - COMAS</t>
        </is>
      </c>
      <c r="E2849" t="inlineStr">
        <is>
          <t>Lima, 31 de marzo de 2025</t>
        </is>
      </c>
      <c r="F2849" t="inlineStr">
        <is>
          <t>la Recarga y mantenimiento</t>
        </is>
      </c>
      <c r="G2849" t="inlineStr">
        <is>
          <t>09</t>
        </is>
      </c>
      <c r="H2849" t="inlineStr">
        <is>
          <t>06 KG</t>
        </is>
      </c>
      <c r="I2849" t="inlineStr">
        <is>
          <t>2029</t>
        </is>
      </c>
      <c r="J2849" t="n">
        <v>2009</v>
      </c>
      <c r="K2849" t="inlineStr">
        <is>
          <t>MARZO 2025</t>
        </is>
      </c>
      <c r="L2849" t="inlineStr">
        <is>
          <t>MARZO 2026</t>
        </is>
      </c>
      <c r="M2849" t="inlineStr">
        <is>
          <t>P.Q.S.  TIPO ABC  90% NACIONAL</t>
        </is>
      </c>
      <c r="N2849" t="inlineStr">
        <is>
          <t>282/000201</t>
        </is>
      </c>
      <c r="O2849" t="inlineStr">
        <is>
          <t>R</t>
        </is>
      </c>
      <c r="P2849">
        <f>TRIM(N2849)</f>
        <v/>
      </c>
    </row>
    <row r="2850">
      <c r="A2850" t="inlineStr">
        <is>
          <t>CO-002285</t>
        </is>
      </c>
      <c r="B2850" t="inlineStr">
        <is>
          <t>PERU MASIVO S.A - BUSES</t>
        </is>
      </c>
      <c r="C2850" t="inlineStr">
        <is>
          <t>20492392031</t>
        </is>
      </c>
      <c r="D2850" t="inlineStr">
        <is>
          <t>AV. LOS INCAS CDRA. 4 PATIO NORTE - COMAS</t>
        </is>
      </c>
      <c r="E2850" t="inlineStr">
        <is>
          <t>Lima, 31 de marzo de 2025</t>
        </is>
      </c>
      <c r="F2850" t="inlineStr">
        <is>
          <t>la Recarga y mantenimiento</t>
        </is>
      </c>
      <c r="G2850" t="n">
        <v>10</v>
      </c>
      <c r="H2850" t="inlineStr">
        <is>
          <t>06 KG</t>
        </is>
      </c>
      <c r="I2850" t="inlineStr">
        <is>
          <t>2029</t>
        </is>
      </c>
      <c r="J2850" t="n">
        <v>2009</v>
      </c>
      <c r="K2850" t="inlineStr">
        <is>
          <t>MARZO 2025</t>
        </is>
      </c>
      <c r="L2850" t="inlineStr">
        <is>
          <t>MARZO 2026</t>
        </is>
      </c>
      <c r="M2850" t="inlineStr">
        <is>
          <t>P.Q.S.  TIPO ABC  90% NACIONAL</t>
        </is>
      </c>
      <c r="N2850" t="inlineStr">
        <is>
          <t>259/000105</t>
        </is>
      </c>
      <c r="O2850" t="inlineStr">
        <is>
          <t>R</t>
        </is>
      </c>
      <c r="P2850">
        <f>TRIM(N2850)</f>
        <v/>
      </c>
    </row>
    <row r="2851">
      <c r="A2851" t="inlineStr">
        <is>
          <t>CO-002286</t>
        </is>
      </c>
      <c r="B2851" t="inlineStr">
        <is>
          <t>QELLPU PERU S.A. - INFRAESTRUCTURA</t>
        </is>
      </c>
      <c r="C2851" t="n">
        <v>20492318656</v>
      </c>
      <c r="D2851" t="inlineStr">
        <is>
          <t>AV. LOS INCAS CDRA. 4 PATIO NORTE - COMAS</t>
        </is>
      </c>
      <c r="E2851" t="inlineStr">
        <is>
          <t>Lima, 10 de abril de 2025</t>
        </is>
      </c>
      <c r="F2851" t="inlineStr">
        <is>
          <t>la Recarga y mantenimiento</t>
        </is>
      </c>
      <c r="G2851" t="inlineStr">
        <is>
          <t>01</t>
        </is>
      </c>
      <c r="H2851" t="inlineStr">
        <is>
          <t>10 LBS</t>
        </is>
      </c>
      <c r="I2851" t="inlineStr">
        <is>
          <t>2030</t>
        </is>
      </c>
      <c r="J2851" t="n">
        <v>2014</v>
      </c>
      <c r="K2851" t="inlineStr">
        <is>
          <t>ABRIL 2025</t>
        </is>
      </c>
      <c r="L2851" t="inlineStr">
        <is>
          <t>ABRIL 2026</t>
        </is>
      </c>
      <c r="M2851" t="inlineStr">
        <is>
          <t>CO2 TIPO BC ASIA</t>
        </is>
      </c>
      <c r="N2851" t="inlineStr">
        <is>
          <t>29/000204</t>
        </is>
      </c>
      <c r="O2851" t="inlineStr">
        <is>
          <t>R</t>
        </is>
      </c>
      <c r="P2851">
        <f>TRIM(N2851)</f>
        <v/>
      </c>
    </row>
    <row r="2852">
      <c r="A2852" t="inlineStr">
        <is>
          <t>CO-002287</t>
        </is>
      </c>
      <c r="B2852" t="inlineStr">
        <is>
          <t xml:space="preserve">LUIS CAMARENA </t>
        </is>
      </c>
      <c r="D2852" t="inlineStr">
        <is>
          <t>PLACA F1U-820</t>
        </is>
      </c>
      <c r="E2852" t="inlineStr">
        <is>
          <t>Lima, 28 de marzo de 2025</t>
        </is>
      </c>
      <c r="F2852" t="inlineStr">
        <is>
          <t>la Recarga y mantenimiento</t>
        </is>
      </c>
      <c r="G2852" t="inlineStr">
        <is>
          <t>01</t>
        </is>
      </c>
      <c r="H2852" t="inlineStr">
        <is>
          <t>06 KG</t>
        </is>
      </c>
      <c r="I2852" t="inlineStr">
        <is>
          <t xml:space="preserve">VIGENTE </t>
        </is>
      </c>
      <c r="J2852" t="n">
        <v>2004</v>
      </c>
      <c r="K2852" t="inlineStr">
        <is>
          <t>MARZO 2025</t>
        </is>
      </c>
      <c r="L2852" t="inlineStr">
        <is>
          <t>MARZO 2026</t>
        </is>
      </c>
      <c r="M2852" t="inlineStr">
        <is>
          <t xml:space="preserve">P.Q.S.  TIPO ABC  </t>
        </is>
      </c>
      <c r="N2852" t="inlineStr">
        <is>
          <t>01/000782</t>
        </is>
      </c>
      <c r="O2852" t="inlineStr">
        <is>
          <t>R</t>
        </is>
      </c>
      <c r="P2852">
        <f>TRIM(N2852)</f>
        <v/>
      </c>
    </row>
    <row r="2853">
      <c r="A2853" t="inlineStr">
        <is>
          <t>CO-002288</t>
        </is>
      </c>
      <c r="B2853" t="inlineStr">
        <is>
          <t xml:space="preserve">LUIS CAMARENA </t>
        </is>
      </c>
      <c r="D2853" t="inlineStr">
        <is>
          <t>PLACA F9Y-533</t>
        </is>
      </c>
      <c r="E2853" t="inlineStr">
        <is>
          <t>Lima, 28 de marzo de 2025</t>
        </is>
      </c>
      <c r="F2853" t="inlineStr">
        <is>
          <t>la Recarga y mantenimiento</t>
        </is>
      </c>
      <c r="G2853" t="inlineStr">
        <is>
          <t>01</t>
        </is>
      </c>
      <c r="H2853" t="inlineStr">
        <is>
          <t>02 KG</t>
        </is>
      </c>
      <c r="I2853" t="inlineStr">
        <is>
          <t xml:space="preserve">VIGENTE </t>
        </is>
      </c>
      <c r="J2853" t="n">
        <v>2012</v>
      </c>
      <c r="K2853" t="inlineStr">
        <is>
          <t>MARZO 2025</t>
        </is>
      </c>
      <c r="L2853" t="inlineStr">
        <is>
          <t>MARZO 2026</t>
        </is>
      </c>
      <c r="M2853" t="inlineStr">
        <is>
          <t xml:space="preserve">P.Q.S.  TIPO ABC  </t>
        </is>
      </c>
      <c r="N2853" t="inlineStr">
        <is>
          <t>02/000467</t>
        </is>
      </c>
      <c r="O2853" t="inlineStr">
        <is>
          <t>R</t>
        </is>
      </c>
      <c r="P2853">
        <f>TRIM(N2853)</f>
        <v/>
      </c>
    </row>
    <row r="2854">
      <c r="A2854" t="inlineStr">
        <is>
          <t>CO-002289</t>
        </is>
      </c>
      <c r="B2854" t="inlineStr">
        <is>
          <t>LAN CENTER DE: DARIO MAXIMO PIÑIHUAMAN FLORES</t>
        </is>
      </c>
      <c r="D2854" t="inlineStr">
        <is>
          <t>AV. REVOLUCION Nº 500 - COLLIQUE</t>
        </is>
      </c>
      <c r="E2854" t="inlineStr">
        <is>
          <t>Lima, 29 de marzo de 2025</t>
        </is>
      </c>
      <c r="F2854" t="inlineStr">
        <is>
          <t>la Recarga y mantenimiento</t>
        </is>
      </c>
      <c r="G2854" t="inlineStr">
        <is>
          <t>01</t>
        </is>
      </c>
      <c r="H2854" t="inlineStr">
        <is>
          <t>06 KG</t>
        </is>
      </c>
      <c r="I2854" t="inlineStr">
        <is>
          <t>2028</t>
        </is>
      </c>
      <c r="J2854" t="n">
        <v>2013</v>
      </c>
      <c r="K2854" t="inlineStr">
        <is>
          <t>MARZO 2025</t>
        </is>
      </c>
      <c r="L2854" t="inlineStr">
        <is>
          <t>MARZO 2026</t>
        </is>
      </c>
      <c r="M2854" t="inlineStr">
        <is>
          <t xml:space="preserve">P.Q.S.  TIPO ABC </t>
        </is>
      </c>
      <c r="N2854" t="inlineStr">
        <is>
          <t>01/000005</t>
        </is>
      </c>
      <c r="O2854" t="inlineStr">
        <is>
          <t>R</t>
        </is>
      </c>
      <c r="P2854">
        <f>TRIM(N2854)</f>
        <v/>
      </c>
    </row>
    <row r="2855">
      <c r="A2855" t="inlineStr">
        <is>
          <t>CO-002290</t>
        </is>
      </c>
      <c r="B2855" t="inlineStr">
        <is>
          <t>SUNAT - AREQUIPA -  SEDE PEDREGAL</t>
        </is>
      </c>
      <c r="C2855" t="inlineStr">
        <is>
          <t>20131312955</t>
        </is>
      </c>
      <c r="D2855" t="inlineStr">
        <is>
          <t xml:space="preserve">Av. Principal Norte Arequipa Lote I-E  Estadio Municipal </t>
        </is>
      </c>
      <c r="E2855" t="inlineStr">
        <is>
          <t>Lima, 10 de Diciembre de 2024</t>
        </is>
      </c>
      <c r="F2855" t="inlineStr">
        <is>
          <t>la Recarga y mantenimiento</t>
        </is>
      </c>
      <c r="G2855" t="inlineStr">
        <is>
          <t>01</t>
        </is>
      </c>
      <c r="H2855" t="inlineStr">
        <is>
          <t>10 LBS</t>
        </is>
      </c>
      <c r="I2855" t="inlineStr">
        <is>
          <t>2029</t>
        </is>
      </c>
      <c r="J2855" t="n">
        <v>2012</v>
      </c>
      <c r="K2855" t="inlineStr">
        <is>
          <t>NOVIEMBRE 2024</t>
        </is>
      </c>
      <c r="L2855" t="inlineStr">
        <is>
          <t>NOVIEMBRE 2025</t>
        </is>
      </c>
      <c r="M2855" t="inlineStr">
        <is>
          <t>CO2 /TIPO BC</t>
        </is>
      </c>
      <c r="N2855" t="inlineStr">
        <is>
          <t>S/N/AC 422650</t>
        </is>
      </c>
      <c r="O2855" t="inlineStr">
        <is>
          <t>R</t>
        </is>
      </c>
      <c r="P2855">
        <f>TRIM(N2855)</f>
        <v/>
      </c>
    </row>
    <row r="2856">
      <c r="A2856" t="inlineStr">
        <is>
          <t>CO-002290</t>
        </is>
      </c>
      <c r="B2856" t="inlineStr">
        <is>
          <t>SUNAT - AREQUIPA -  SEDE PEDREGAL</t>
        </is>
      </c>
      <c r="C2856" t="inlineStr">
        <is>
          <t>20131312955</t>
        </is>
      </c>
      <c r="D2856" t="inlineStr">
        <is>
          <t xml:space="preserve">Av. Principal Norte Arequipa Lote I-E  Estadio Municipal </t>
        </is>
      </c>
      <c r="E2856" t="inlineStr">
        <is>
          <t>Lima, 10 de Diciembre de 2024</t>
        </is>
      </c>
      <c r="F2856" t="inlineStr">
        <is>
          <t>la Recarga y mantenimiento</t>
        </is>
      </c>
      <c r="G2856" t="inlineStr">
        <is>
          <t>02</t>
        </is>
      </c>
      <c r="H2856" t="inlineStr">
        <is>
          <t>10 LBS</t>
        </is>
      </c>
      <c r="I2856" t="inlineStr">
        <is>
          <t>2029</t>
        </is>
      </c>
      <c r="J2856" t="n">
        <v>2007</v>
      </c>
      <c r="K2856" t="inlineStr">
        <is>
          <t>NOVIEMBRE 2024</t>
        </is>
      </c>
      <c r="L2856" t="inlineStr">
        <is>
          <t>NOVIEMBRE 2025</t>
        </is>
      </c>
      <c r="M2856" t="inlineStr">
        <is>
          <t>CO2 /TIPO BC</t>
        </is>
      </c>
      <c r="N2856" t="inlineStr">
        <is>
          <t>S/N/Z950369</t>
        </is>
      </c>
      <c r="O2856" t="inlineStr">
        <is>
          <t>R</t>
        </is>
      </c>
      <c r="P2856">
        <f>TRIM(N2856)</f>
        <v/>
      </c>
    </row>
    <row r="2857">
      <c r="A2857" t="inlineStr">
        <is>
          <t>CO-002290</t>
        </is>
      </c>
      <c r="B2857" t="inlineStr">
        <is>
          <t>SUNAT - AREQUIPA -  SEDE PEDREGAL</t>
        </is>
      </c>
      <c r="C2857" t="inlineStr">
        <is>
          <t>20131312955</t>
        </is>
      </c>
      <c r="D2857" t="inlineStr">
        <is>
          <t xml:space="preserve">Av. Principal Norte Arequipa Lote I-E  Estadio Municipal </t>
        </is>
      </c>
      <c r="E2857" t="inlineStr">
        <is>
          <t>Lima, 10 de Diciembre de 2024</t>
        </is>
      </c>
      <c r="F2857" t="inlineStr">
        <is>
          <t>la Recarga y mantenimiento</t>
        </is>
      </c>
      <c r="G2857" t="inlineStr">
        <is>
          <t>03</t>
        </is>
      </c>
      <c r="H2857" t="inlineStr">
        <is>
          <t>10 LBS</t>
        </is>
      </c>
      <c r="I2857" t="inlineStr">
        <is>
          <t>2028</t>
        </is>
      </c>
      <c r="J2857" t="n">
        <v>2007</v>
      </c>
      <c r="K2857" t="inlineStr">
        <is>
          <t>NOVIEMBRE 2024</t>
        </is>
      </c>
      <c r="L2857" t="inlineStr">
        <is>
          <t>NOVIEMBRE 2025</t>
        </is>
      </c>
      <c r="M2857" t="inlineStr">
        <is>
          <t>CO2 /TIPO BC</t>
        </is>
      </c>
      <c r="N2857" t="inlineStr">
        <is>
          <t>06/A34185531</t>
        </is>
      </c>
      <c r="O2857" t="inlineStr">
        <is>
          <t>R</t>
        </is>
      </c>
      <c r="P2857">
        <f>TRIM(N2857)</f>
        <v/>
      </c>
    </row>
    <row r="2858">
      <c r="A2858" t="inlineStr">
        <is>
          <t>CO-002290</t>
        </is>
      </c>
      <c r="B2858" t="inlineStr">
        <is>
          <t>SUNAT - AREQUIPA -  SEDE PEDREGAL</t>
        </is>
      </c>
      <c r="C2858" t="inlineStr">
        <is>
          <t>20131312955</t>
        </is>
      </c>
      <c r="D2858" t="inlineStr">
        <is>
          <t xml:space="preserve">Av. Principal Norte Arequipa Lote I-E  Estadio Municipal </t>
        </is>
      </c>
      <c r="E2858" t="inlineStr">
        <is>
          <t>Lima, 10 de Diciembre de 2024</t>
        </is>
      </c>
      <c r="F2858" t="inlineStr">
        <is>
          <t>la Recarga y mantenimiento</t>
        </is>
      </c>
      <c r="G2858" t="inlineStr">
        <is>
          <t>04</t>
        </is>
      </c>
      <c r="H2858" t="inlineStr">
        <is>
          <t>20 LBS</t>
        </is>
      </c>
      <c r="I2858" t="inlineStr">
        <is>
          <t>2027</t>
        </is>
      </c>
      <c r="J2858" t="inlineStr">
        <is>
          <t>N/R</t>
        </is>
      </c>
      <c r="K2858" t="inlineStr">
        <is>
          <t>NOVIEMBRE 2024</t>
        </is>
      </c>
      <c r="L2858" t="inlineStr">
        <is>
          <t>NOVIEMBRE 2025</t>
        </is>
      </c>
      <c r="M2858" t="inlineStr">
        <is>
          <t>PQS ABC AL 90%</t>
        </is>
      </c>
      <c r="N2858" t="inlineStr">
        <is>
          <t>01/AT-334724</t>
        </is>
      </c>
      <c r="O2858" t="inlineStr">
        <is>
          <t>R</t>
        </is>
      </c>
      <c r="P2858">
        <f>TRIM(N2858)</f>
        <v/>
      </c>
    </row>
    <row r="2859">
      <c r="A2859" t="inlineStr">
        <is>
          <t>CO-002290</t>
        </is>
      </c>
      <c r="B2859" t="inlineStr">
        <is>
          <t>SUNAT - AREQUIPA -  SEDE PEDREGAL</t>
        </is>
      </c>
      <c r="C2859" t="inlineStr">
        <is>
          <t>20131312955</t>
        </is>
      </c>
      <c r="D2859" t="inlineStr">
        <is>
          <t xml:space="preserve">Av. Principal Norte Arequipa Lote I-E  Estadio Municipal </t>
        </is>
      </c>
      <c r="E2859" t="inlineStr">
        <is>
          <t>Lima, 10 de Diciembre de 2024</t>
        </is>
      </c>
      <c r="F2859" t="inlineStr">
        <is>
          <t>la Recarga y mantenimiento</t>
        </is>
      </c>
      <c r="G2859" t="inlineStr">
        <is>
          <t>05</t>
        </is>
      </c>
      <c r="H2859" t="inlineStr">
        <is>
          <t>10 LBS</t>
        </is>
      </c>
      <c r="I2859" t="inlineStr">
        <is>
          <t>2029</t>
        </is>
      </c>
      <c r="J2859" t="n">
        <v>2012</v>
      </c>
      <c r="K2859" t="inlineStr">
        <is>
          <t>NOVIEMBRE 2024</t>
        </is>
      </c>
      <c r="L2859" t="inlineStr">
        <is>
          <t>NOVIEMBRE 2025</t>
        </is>
      </c>
      <c r="M2859" t="inlineStr">
        <is>
          <t>CO2 /TIPO BC</t>
        </is>
      </c>
      <c r="N2859" t="inlineStr">
        <is>
          <t>S/N/AC 422924</t>
        </is>
      </c>
      <c r="O2859" t="inlineStr">
        <is>
          <t>R</t>
        </is>
      </c>
      <c r="P2859">
        <f>TRIM(N2859)</f>
        <v/>
      </c>
    </row>
    <row r="2860">
      <c r="A2860" t="inlineStr">
        <is>
          <t>CO-002290</t>
        </is>
      </c>
      <c r="B2860" t="inlineStr">
        <is>
          <t>SUNAT - AREQUIPA -  SEDE PEDREGAL</t>
        </is>
      </c>
      <c r="C2860" t="inlineStr">
        <is>
          <t>20131312955</t>
        </is>
      </c>
      <c r="D2860" t="inlineStr">
        <is>
          <t xml:space="preserve">Av. Principal Norte Arequipa Lote I-E  Estadio Municipal </t>
        </is>
      </c>
      <c r="E2860" t="inlineStr">
        <is>
          <t>Lima, 10 de Diciembre de 2024</t>
        </is>
      </c>
      <c r="F2860" t="inlineStr">
        <is>
          <t>la Recarga y mantenimiento</t>
        </is>
      </c>
      <c r="G2860" t="inlineStr">
        <is>
          <t>06</t>
        </is>
      </c>
      <c r="H2860" t="inlineStr">
        <is>
          <t>10 LBS</t>
        </is>
      </c>
      <c r="I2860" t="inlineStr">
        <is>
          <t>2029</t>
        </is>
      </c>
      <c r="J2860" t="n">
        <v>2012</v>
      </c>
      <c r="K2860" t="inlineStr">
        <is>
          <t>NOVIEMBRE 2024</t>
        </is>
      </c>
      <c r="L2860" t="inlineStr">
        <is>
          <t>NOVIEMBRE 2025</t>
        </is>
      </c>
      <c r="M2860" t="inlineStr">
        <is>
          <t>CO2 /TIPO BC</t>
        </is>
      </c>
      <c r="N2860" t="inlineStr">
        <is>
          <t>S/N/AC 422929</t>
        </is>
      </c>
      <c r="O2860" t="inlineStr">
        <is>
          <t>R</t>
        </is>
      </c>
      <c r="P2860">
        <f>TRIM(N2860)</f>
        <v/>
      </c>
    </row>
    <row r="2861">
      <c r="A2861" t="inlineStr">
        <is>
          <t>CO-002290</t>
        </is>
      </c>
      <c r="B2861" t="inlineStr">
        <is>
          <t>SUNAT - AREQUIPA -  SEDE PEDREGAL</t>
        </is>
      </c>
      <c r="C2861" t="inlineStr">
        <is>
          <t>20131312955</t>
        </is>
      </c>
      <c r="D2861" t="inlineStr">
        <is>
          <t xml:space="preserve">Av. Principal Norte Arequipa Lote I-E  Estadio Municipal </t>
        </is>
      </c>
      <c r="E2861" t="inlineStr">
        <is>
          <t>Lima, 10 de Diciembre de 2024</t>
        </is>
      </c>
      <c r="F2861" t="inlineStr">
        <is>
          <t>la Recarga y mantenimiento</t>
        </is>
      </c>
      <c r="G2861" t="inlineStr">
        <is>
          <t>07</t>
        </is>
      </c>
      <c r="H2861" t="inlineStr">
        <is>
          <t>10 LBS</t>
        </is>
      </c>
      <c r="I2861" t="inlineStr">
        <is>
          <t>2027</t>
        </is>
      </c>
      <c r="J2861" t="inlineStr">
        <is>
          <t>N/R</t>
        </is>
      </c>
      <c r="K2861" t="inlineStr">
        <is>
          <t>NOVIEMBRE 2024</t>
        </is>
      </c>
      <c r="L2861" t="inlineStr">
        <is>
          <t>NOVIEMBRE 2025</t>
        </is>
      </c>
      <c r="M2861" t="inlineStr">
        <is>
          <t>PQS ABC 90%</t>
        </is>
      </c>
      <c r="N2861" t="inlineStr">
        <is>
          <t>03/AT-338410</t>
        </is>
      </c>
      <c r="O2861" t="inlineStr">
        <is>
          <t>R</t>
        </is>
      </c>
      <c r="P2861">
        <f>TRIM(N2861)</f>
        <v/>
      </c>
    </row>
    <row r="2862">
      <c r="A2862" t="inlineStr">
        <is>
          <t>CO-002290</t>
        </is>
      </c>
      <c r="B2862" t="inlineStr">
        <is>
          <t>SUNAT - AREQUIPA -  SEDE PEDREGAL</t>
        </is>
      </c>
      <c r="C2862" t="inlineStr">
        <is>
          <t>20131312955</t>
        </is>
      </c>
      <c r="D2862" t="inlineStr">
        <is>
          <t xml:space="preserve">Av. Principal Norte Arequipa Lote I-E  Estadio Municipal </t>
        </is>
      </c>
      <c r="E2862" t="inlineStr">
        <is>
          <t>Lima, 10 de Diciembre de 2024</t>
        </is>
      </c>
      <c r="F2862" t="inlineStr">
        <is>
          <t>la Recarga y mantenimiento</t>
        </is>
      </c>
      <c r="G2862" t="inlineStr">
        <is>
          <t>08</t>
        </is>
      </c>
      <c r="H2862" t="inlineStr">
        <is>
          <t>10 LBS</t>
        </is>
      </c>
      <c r="I2862" t="inlineStr">
        <is>
          <t>2027</t>
        </is>
      </c>
      <c r="J2862" t="n">
        <v>2012</v>
      </c>
      <c r="K2862" t="inlineStr">
        <is>
          <t>NOVIEMBRE 2024</t>
        </is>
      </c>
      <c r="L2862" t="inlineStr">
        <is>
          <t>NOVIEMBRE 2025</t>
        </is>
      </c>
      <c r="M2862" t="inlineStr">
        <is>
          <t>CO2 /TIPO BC</t>
        </is>
      </c>
      <c r="N2862" t="inlineStr">
        <is>
          <t>02/A884125</t>
        </is>
      </c>
      <c r="O2862" t="inlineStr">
        <is>
          <t>R</t>
        </is>
      </c>
      <c r="P2862">
        <f>TRIM(N2862)</f>
        <v/>
      </c>
    </row>
    <row r="2863">
      <c r="A2863" t="inlineStr">
        <is>
          <t>CO-002291</t>
        </is>
      </c>
      <c r="B2863" t="inlineStr">
        <is>
          <t>PERU MASIVO S.A - BUSES</t>
        </is>
      </c>
      <c r="C2863" t="inlineStr">
        <is>
          <t>20492392031</t>
        </is>
      </c>
      <c r="D2863" t="inlineStr">
        <is>
          <t>AV. LOS INCAS CDRA. 4 PATIO NORTE - COMAS</t>
        </is>
      </c>
      <c r="E2863" t="inlineStr">
        <is>
          <t>Lima, 03 de abril de 2025</t>
        </is>
      </c>
      <c r="F2863" t="inlineStr">
        <is>
          <t>la Recarga y mantenimiento</t>
        </is>
      </c>
      <c r="G2863" t="inlineStr">
        <is>
          <t>01</t>
        </is>
      </c>
      <c r="H2863" t="inlineStr">
        <is>
          <t>06 KG</t>
        </is>
      </c>
      <c r="I2863" t="inlineStr">
        <is>
          <t>2029</t>
        </is>
      </c>
      <c r="J2863" t="n">
        <v>2010</v>
      </c>
      <c r="K2863" t="inlineStr">
        <is>
          <t>ABRIL 2025</t>
        </is>
      </c>
      <c r="L2863" t="inlineStr">
        <is>
          <t>ABRIL 2026</t>
        </is>
      </c>
      <c r="M2863" t="inlineStr">
        <is>
          <t>P.Q.S.  TIPO ABC  90% NACIONAL</t>
        </is>
      </c>
      <c r="N2863" t="inlineStr">
        <is>
          <t>03/000938</t>
        </is>
      </c>
      <c r="O2863" t="inlineStr">
        <is>
          <t>R</t>
        </is>
      </c>
      <c r="P2863">
        <f>TRIM(N2863)</f>
        <v/>
      </c>
    </row>
    <row r="2864">
      <c r="A2864" t="inlineStr">
        <is>
          <t>CO-002291</t>
        </is>
      </c>
      <c r="B2864" t="inlineStr">
        <is>
          <t>PERU MASIVO S.A - BUSES</t>
        </is>
      </c>
      <c r="C2864" t="inlineStr">
        <is>
          <t>20492392031</t>
        </is>
      </c>
      <c r="D2864" t="inlineStr">
        <is>
          <t>AV. LOS INCAS CDRA. 4 PATIO NORTE - COMAS</t>
        </is>
      </c>
      <c r="E2864" t="inlineStr">
        <is>
          <t>Lima, 03 de abril de 2025</t>
        </is>
      </c>
      <c r="F2864" t="inlineStr">
        <is>
          <t>la Recarga y mantenimiento</t>
        </is>
      </c>
      <c r="G2864" t="inlineStr">
        <is>
          <t>02</t>
        </is>
      </c>
      <c r="H2864" t="inlineStr">
        <is>
          <t>06 KG</t>
        </is>
      </c>
      <c r="I2864" t="inlineStr">
        <is>
          <t>2029</t>
        </is>
      </c>
      <c r="J2864" t="n">
        <v>2010</v>
      </c>
      <c r="K2864" t="inlineStr">
        <is>
          <t>ABRIL 2025</t>
        </is>
      </c>
      <c r="L2864" t="inlineStr">
        <is>
          <t>ABRIL 2026</t>
        </is>
      </c>
      <c r="M2864" t="inlineStr">
        <is>
          <t>P.Q.S.  TIPO ABC  90% NACIONAL</t>
        </is>
      </c>
      <c r="N2864" t="inlineStr">
        <is>
          <t>56/00824</t>
        </is>
      </c>
      <c r="O2864" t="inlineStr">
        <is>
          <t>R</t>
        </is>
      </c>
      <c r="P2864">
        <f>TRIM(N2864)</f>
        <v/>
      </c>
    </row>
    <row r="2865">
      <c r="A2865" t="inlineStr">
        <is>
          <t>CO-002291</t>
        </is>
      </c>
      <c r="B2865" t="inlineStr">
        <is>
          <t>PERU MASIVO S.A - BUSES</t>
        </is>
      </c>
      <c r="C2865" t="inlineStr">
        <is>
          <t>20492392031</t>
        </is>
      </c>
      <c r="D2865" t="inlineStr">
        <is>
          <t>AV. LOS INCAS CDRA. 4 PATIO NORTE - COMAS</t>
        </is>
      </c>
      <c r="E2865" t="inlineStr">
        <is>
          <t>Lima, 03 de abril de 2025</t>
        </is>
      </c>
      <c r="F2865" t="inlineStr">
        <is>
          <t>la Recarga y mantenimiento</t>
        </is>
      </c>
      <c r="G2865" t="inlineStr">
        <is>
          <t>03</t>
        </is>
      </c>
      <c r="H2865" t="inlineStr">
        <is>
          <t>06 KG</t>
        </is>
      </c>
      <c r="I2865" t="inlineStr">
        <is>
          <t>2029</t>
        </is>
      </c>
      <c r="J2865" t="n">
        <v>2009</v>
      </c>
      <c r="K2865" t="inlineStr">
        <is>
          <t>ABRIL 2025</t>
        </is>
      </c>
      <c r="L2865" t="inlineStr">
        <is>
          <t>ABRIL 2026</t>
        </is>
      </c>
      <c r="M2865" t="inlineStr">
        <is>
          <t>P.Q.S.  TIPO ABC  90% NACIONAL</t>
        </is>
      </c>
      <c r="N2865" t="inlineStr">
        <is>
          <t>67/001573</t>
        </is>
      </c>
      <c r="O2865" t="inlineStr">
        <is>
          <t>R</t>
        </is>
      </c>
      <c r="P2865">
        <f>TRIM(N2865)</f>
        <v/>
      </c>
    </row>
    <row r="2866">
      <c r="A2866" t="inlineStr">
        <is>
          <t>CO-002291</t>
        </is>
      </c>
      <c r="B2866" t="inlineStr">
        <is>
          <t>PERU MASIVO S.A - BUSES</t>
        </is>
      </c>
      <c r="C2866" t="inlineStr">
        <is>
          <t>20492392031</t>
        </is>
      </c>
      <c r="D2866" t="inlineStr">
        <is>
          <t>AV. LOS INCAS CDRA. 4 PATIO NORTE - COMAS</t>
        </is>
      </c>
      <c r="E2866" t="inlineStr">
        <is>
          <t>Lima, 03 de abril de 2025</t>
        </is>
      </c>
      <c r="F2866" t="inlineStr">
        <is>
          <t>la Recarga y mantenimiento</t>
        </is>
      </c>
      <c r="G2866" t="inlineStr">
        <is>
          <t>04</t>
        </is>
      </c>
      <c r="H2866" t="inlineStr">
        <is>
          <t>06 KG</t>
        </is>
      </c>
      <c r="I2866" t="inlineStr">
        <is>
          <t>2029</t>
        </is>
      </c>
      <c r="J2866" t="n">
        <v>2016</v>
      </c>
      <c r="K2866" t="inlineStr">
        <is>
          <t>ABRIL 2025</t>
        </is>
      </c>
      <c r="L2866" t="inlineStr">
        <is>
          <t>ABRIL 2026</t>
        </is>
      </c>
      <c r="M2866" t="inlineStr">
        <is>
          <t>P.Q.S.  TIPO ABC  90% NACIONAL</t>
        </is>
      </c>
      <c r="N2866" t="inlineStr">
        <is>
          <t>68/000506</t>
        </is>
      </c>
      <c r="O2866" t="inlineStr">
        <is>
          <t xml:space="preserve">R </t>
        </is>
      </c>
      <c r="P2866">
        <f>TRIM(N2866)</f>
        <v/>
      </c>
    </row>
    <row r="2867">
      <c r="A2867" t="inlineStr">
        <is>
          <t>CO-002291</t>
        </is>
      </c>
      <c r="B2867" t="inlineStr">
        <is>
          <t>PERU MASIVO S.A - BUSES</t>
        </is>
      </c>
      <c r="C2867" t="inlineStr">
        <is>
          <t>20492392031</t>
        </is>
      </c>
      <c r="D2867" t="inlineStr">
        <is>
          <t>AV. LOS INCAS CDRA. 4 PATIO NORTE - COMAS</t>
        </is>
      </c>
      <c r="E2867" t="inlineStr">
        <is>
          <t>Lima, 03 de abril de 2025</t>
        </is>
      </c>
      <c r="F2867" t="inlineStr">
        <is>
          <t>la Recarga y mantenimiento</t>
        </is>
      </c>
      <c r="G2867" t="inlineStr">
        <is>
          <t>05</t>
        </is>
      </c>
      <c r="H2867" t="inlineStr">
        <is>
          <t>06 KG</t>
        </is>
      </c>
      <c r="I2867" t="inlineStr">
        <is>
          <t>2029</t>
        </is>
      </c>
      <c r="J2867" t="n">
        <v>2009</v>
      </c>
      <c r="K2867" t="inlineStr">
        <is>
          <t>ABRIL 2025</t>
        </is>
      </c>
      <c r="L2867" t="inlineStr">
        <is>
          <t>ABRIL 2026</t>
        </is>
      </c>
      <c r="M2867" t="inlineStr">
        <is>
          <t>P.Q.S.  TIPO ABC  90% NACIONAL</t>
        </is>
      </c>
      <c r="N2867" t="inlineStr">
        <is>
          <t>71/000039</t>
        </is>
      </c>
      <c r="O2867" t="inlineStr">
        <is>
          <t>R</t>
        </is>
      </c>
      <c r="P2867">
        <f>TRIM(N2867)</f>
        <v/>
      </c>
    </row>
    <row r="2868">
      <c r="A2868" t="inlineStr">
        <is>
          <t>CO-002291</t>
        </is>
      </c>
      <c r="B2868" t="inlineStr">
        <is>
          <t>PERU MASIVO S.A - BUSES</t>
        </is>
      </c>
      <c r="C2868" t="inlineStr">
        <is>
          <t>20492392031</t>
        </is>
      </c>
      <c r="D2868" t="inlineStr">
        <is>
          <t>AV. LOS INCAS CDRA. 4 PATIO NORTE - COMAS</t>
        </is>
      </c>
      <c r="E2868" t="inlineStr">
        <is>
          <t>Lima, 03 de abril de 2025</t>
        </is>
      </c>
      <c r="F2868" t="inlineStr">
        <is>
          <t>la Recarga y mantenimiento</t>
        </is>
      </c>
      <c r="G2868" t="inlineStr">
        <is>
          <t>06</t>
        </is>
      </c>
      <c r="H2868" t="inlineStr">
        <is>
          <t>06 KG</t>
        </is>
      </c>
      <c r="I2868" t="inlineStr">
        <is>
          <t>2029</t>
        </is>
      </c>
      <c r="J2868" t="n">
        <v>2010</v>
      </c>
      <c r="K2868" t="inlineStr">
        <is>
          <t>ABRIL 2025</t>
        </is>
      </c>
      <c r="L2868" t="inlineStr">
        <is>
          <t>ABRIL 2026</t>
        </is>
      </c>
      <c r="M2868" t="inlineStr">
        <is>
          <t>P.Q.S.  TIPO ABC  90% NACIONAL</t>
        </is>
      </c>
      <c r="N2868" t="inlineStr">
        <is>
          <t>198/000287</t>
        </is>
      </c>
      <c r="O2868" t="inlineStr">
        <is>
          <t>R</t>
        </is>
      </c>
      <c r="P2868">
        <f>TRIM(N2868)</f>
        <v/>
      </c>
    </row>
    <row r="2869">
      <c r="A2869" t="inlineStr">
        <is>
          <t>CO-002291</t>
        </is>
      </c>
      <c r="B2869" t="inlineStr">
        <is>
          <t>PERU MASIVO S.A - BUSES</t>
        </is>
      </c>
      <c r="C2869" t="inlineStr">
        <is>
          <t>20492392031</t>
        </is>
      </c>
      <c r="D2869" t="inlineStr">
        <is>
          <t>AV. LOS INCAS CDRA. 4 PATIO NORTE - COMAS</t>
        </is>
      </c>
      <c r="E2869" t="inlineStr">
        <is>
          <t>Lima, 03 de abril de 2025</t>
        </is>
      </c>
      <c r="F2869" t="inlineStr">
        <is>
          <t>la Recarga y mantenimiento</t>
        </is>
      </c>
      <c r="G2869" t="inlineStr">
        <is>
          <t>07</t>
        </is>
      </c>
      <c r="H2869" t="inlineStr">
        <is>
          <t>06 KG</t>
        </is>
      </c>
      <c r="I2869" t="inlineStr">
        <is>
          <t>2029</t>
        </is>
      </c>
      <c r="J2869" t="n">
        <v>2009</v>
      </c>
      <c r="K2869" t="inlineStr">
        <is>
          <t>ABRIL 2025</t>
        </is>
      </c>
      <c r="L2869" t="inlineStr">
        <is>
          <t>ABRIL 2026</t>
        </is>
      </c>
      <c r="M2869" t="inlineStr">
        <is>
          <t>P.Q.S.  TIPO ABC  90% NACIONAL</t>
        </is>
      </c>
      <c r="N2869" t="inlineStr">
        <is>
          <t>280/000484</t>
        </is>
      </c>
      <c r="O2869" t="inlineStr">
        <is>
          <t>R</t>
        </is>
      </c>
      <c r="P2869">
        <f>TRIM(N2869)</f>
        <v/>
      </c>
    </row>
    <row r="2870">
      <c r="A2870" t="inlineStr">
        <is>
          <t>CO-002291</t>
        </is>
      </c>
      <c r="B2870" t="inlineStr">
        <is>
          <t>PERU MASIVO S.A - BUSES</t>
        </is>
      </c>
      <c r="C2870" t="inlineStr">
        <is>
          <t>20492392031</t>
        </is>
      </c>
      <c r="D2870" t="inlineStr">
        <is>
          <t>AV. LOS INCAS CDRA. 4 PATIO NORTE - COMAS</t>
        </is>
      </c>
      <c r="E2870" t="inlineStr">
        <is>
          <t>Lima, 03 de abril de 2025</t>
        </is>
      </c>
      <c r="F2870" t="inlineStr">
        <is>
          <t>la Recarga y mantenimiento</t>
        </is>
      </c>
      <c r="G2870" t="inlineStr">
        <is>
          <t>08</t>
        </is>
      </c>
      <c r="H2870" t="inlineStr">
        <is>
          <t>06 KG</t>
        </is>
      </c>
      <c r="I2870" t="inlineStr">
        <is>
          <t>2029</t>
        </is>
      </c>
      <c r="J2870" t="n">
        <v>2009</v>
      </c>
      <c r="K2870" t="inlineStr">
        <is>
          <t>ABRIL 2025</t>
        </is>
      </c>
      <c r="L2870" t="inlineStr">
        <is>
          <t>ABRIL 2026</t>
        </is>
      </c>
      <c r="M2870" t="inlineStr">
        <is>
          <t>P.Q.S.  TIPO ABC  90% NACIONAL</t>
        </is>
      </c>
      <c r="N2870" t="inlineStr">
        <is>
          <t>282/000201</t>
        </is>
      </c>
      <c r="O2870" t="inlineStr">
        <is>
          <t>R</t>
        </is>
      </c>
      <c r="P2870">
        <f>TRIM(N2870)</f>
        <v/>
      </c>
    </row>
    <row r="2871">
      <c r="A2871" t="inlineStr">
        <is>
          <t>CO-002292</t>
        </is>
      </c>
      <c r="B2871" t="inlineStr">
        <is>
          <t>EDEN STORE SAC.</t>
        </is>
      </c>
      <c r="C2871" t="inlineStr">
        <is>
          <t>20610373926</t>
        </is>
      </c>
      <c r="D2871" t="inlineStr">
        <is>
          <t>AV. TEJADA N° 470 URB. SAN LUIS - BARRANCO</t>
        </is>
      </c>
      <c r="E2871" t="inlineStr">
        <is>
          <t>Lima, 02 de abril de 2025</t>
        </is>
      </c>
      <c r="F2871" t="inlineStr">
        <is>
          <t>la Recarga y mantenimiento</t>
        </is>
      </c>
      <c r="G2871" t="inlineStr">
        <is>
          <t>01</t>
        </is>
      </c>
      <c r="H2871" t="inlineStr">
        <is>
          <t>06 KG</t>
        </is>
      </c>
      <c r="I2871" t="inlineStr">
        <is>
          <t>2029</t>
        </is>
      </c>
      <c r="J2871" t="n">
        <v>2024</v>
      </c>
      <c r="K2871" t="inlineStr">
        <is>
          <t>ABRIL 2025</t>
        </is>
      </c>
      <c r="L2871" t="inlineStr">
        <is>
          <t>ABRIL 2026</t>
        </is>
      </c>
      <c r="M2871" t="inlineStr">
        <is>
          <t xml:space="preserve">P.Q.S.  TIPO ABC </t>
        </is>
      </c>
      <c r="N2871" t="inlineStr">
        <is>
          <t>01/006221</t>
        </is>
      </c>
      <c r="O2871" t="inlineStr">
        <is>
          <t>R</t>
        </is>
      </c>
      <c r="P2871">
        <f>TRIM(N2871)</f>
        <v/>
      </c>
    </row>
    <row r="2872">
      <c r="A2872" t="inlineStr">
        <is>
          <t>CO-002293</t>
        </is>
      </c>
      <c r="B2872" t="inlineStr">
        <is>
          <t>PERU MASIVO S.A - INFRAESTRUCTURA</t>
        </is>
      </c>
      <c r="C2872" t="inlineStr">
        <is>
          <t>20492392031</t>
        </is>
      </c>
      <c r="D2872" t="inlineStr">
        <is>
          <t>AV. LOS INCAS CDRA. 4 PATIO NORTE - COMAS</t>
        </is>
      </c>
      <c r="E2872" t="inlineStr">
        <is>
          <t>Lima, 10 de abril de 2025</t>
        </is>
      </c>
      <c r="F2872" t="inlineStr">
        <is>
          <t>la Recarga y mantenimiento</t>
        </is>
      </c>
      <c r="G2872" t="inlineStr">
        <is>
          <t>01</t>
        </is>
      </c>
      <c r="H2872" t="inlineStr">
        <is>
          <t xml:space="preserve">06 KG </t>
        </is>
      </c>
      <c r="I2872" t="inlineStr">
        <is>
          <t>2027</t>
        </is>
      </c>
      <c r="J2872" t="n">
        <v>2022</v>
      </c>
      <c r="K2872" t="inlineStr">
        <is>
          <t>ABRIL 2025</t>
        </is>
      </c>
      <c r="L2872" t="inlineStr">
        <is>
          <t>ABRIL 2026</t>
        </is>
      </c>
      <c r="M2872" t="inlineStr">
        <is>
          <t>P.Q.S.  TIPO ABC  90% NACIONAL</t>
        </is>
      </c>
      <c r="N2872" t="inlineStr">
        <is>
          <t>S/N/369054</t>
        </is>
      </c>
      <c r="P2872">
        <f>TRIM(N2872)</f>
        <v/>
      </c>
    </row>
    <row r="2873">
      <c r="A2873" t="inlineStr">
        <is>
          <t>CO-002294</t>
        </is>
      </c>
      <c r="B2873" t="inlineStr">
        <is>
          <t xml:space="preserve">
TRANSP. A &amp; P YANAVILVA EIRL</t>
        </is>
      </c>
      <c r="C2873" t="inlineStr">
        <is>
          <t>20548344116</t>
        </is>
      </c>
      <c r="D2873" t="inlineStr">
        <is>
          <t>AV. PRINCIPAL ESQ. CON CALLE PORVENIR, CP SAN JOSE DE LOS CHORRILLOS</t>
        </is>
      </c>
      <c r="E2873" t="inlineStr">
        <is>
          <t>Lima, 04 de abril de 2025</t>
        </is>
      </c>
      <c r="F2873" t="inlineStr">
        <is>
          <t>la Recarga y mantenimiento</t>
        </is>
      </c>
      <c r="G2873" t="inlineStr">
        <is>
          <t>01</t>
        </is>
      </c>
      <c r="H2873" t="inlineStr">
        <is>
          <t>13.6 KG</t>
        </is>
      </c>
      <c r="I2873" t="inlineStr">
        <is>
          <t>2028</t>
        </is>
      </c>
      <c r="J2873" t="n">
        <v>2012</v>
      </c>
      <c r="K2873" t="inlineStr">
        <is>
          <t>ABRIL 2025</t>
        </is>
      </c>
      <c r="L2873" t="inlineStr">
        <is>
          <t>ABRIL 2026</t>
        </is>
      </c>
      <c r="M2873" t="inlineStr">
        <is>
          <t>P.Q.S. BOT.EXTERIOR</t>
        </is>
      </c>
      <c r="N2873" t="inlineStr">
        <is>
          <t>01/000456</t>
        </is>
      </c>
      <c r="O2873" t="inlineStr">
        <is>
          <t>M2</t>
        </is>
      </c>
      <c r="P2873">
        <f>TRIM(N2873)</f>
        <v/>
      </c>
    </row>
    <row r="2874">
      <c r="A2874" t="inlineStr">
        <is>
          <t>CO-002295</t>
        </is>
      </c>
      <c r="B2874" t="inlineStr">
        <is>
          <t xml:space="preserve">
TRANSP. A &amp; P YANAVILVA EIRL</t>
        </is>
      </c>
      <c r="C2874" t="inlineStr">
        <is>
          <t>20548344116</t>
        </is>
      </c>
      <c r="D2874" t="inlineStr">
        <is>
          <t>AV. PRINCIPAL ESQ. CON CALLE PORVENIR, CP SAN JOSE DE LOS CHORRILLOS</t>
        </is>
      </c>
      <c r="E2874" t="inlineStr">
        <is>
          <t>Lima, 04 de abril de 2025</t>
        </is>
      </c>
      <c r="F2874" t="inlineStr">
        <is>
          <t>la Recarga y mantenimiento</t>
        </is>
      </c>
      <c r="G2874" t="inlineStr">
        <is>
          <t>01</t>
        </is>
      </c>
      <c r="H2874" t="inlineStr">
        <is>
          <t>30 LBS</t>
        </is>
      </c>
      <c r="I2874" t="inlineStr">
        <is>
          <t>2028</t>
        </is>
      </c>
      <c r="J2874" t="n">
        <v>2023</v>
      </c>
      <c r="K2874" t="inlineStr">
        <is>
          <t>ABRIL 2025</t>
        </is>
      </c>
      <c r="L2874" t="inlineStr">
        <is>
          <t>ABRIL 2026</t>
        </is>
      </c>
      <c r="M2874" t="inlineStr">
        <is>
          <t>P.Q.S.  TIPO ABC AL 90% UL</t>
        </is>
      </c>
      <c r="N2874" t="inlineStr">
        <is>
          <t>02/F76170213</t>
        </is>
      </c>
      <c r="O2874" t="inlineStr">
        <is>
          <t>R</t>
        </is>
      </c>
      <c r="P2874">
        <f>TRIM(N2874)</f>
        <v/>
      </c>
    </row>
    <row r="2875">
      <c r="A2875" t="inlineStr">
        <is>
          <t>CO-002296</t>
        </is>
      </c>
      <c r="B2875" t="inlineStr">
        <is>
          <t xml:space="preserve"> EDEN AGUA SOLUCIONES INTEGRALES S.A.C.</t>
        </is>
      </c>
      <c r="C2875" t="n">
        <v>20613553372</v>
      </c>
      <c r="D2875" t="inlineStr">
        <is>
          <t>CAL. FRANCISCO DE PAULA UGARRI NRO. 783 MIRAFLORES</t>
        </is>
      </c>
      <c r="E2875" t="inlineStr">
        <is>
          <t>Lima, 09 de abril de 2025</t>
        </is>
      </c>
      <c r="F2875" t="inlineStr">
        <is>
          <t>la Recarga y mantenimiento</t>
        </is>
      </c>
      <c r="G2875" t="inlineStr">
        <is>
          <t>01</t>
        </is>
      </c>
      <c r="H2875" t="inlineStr">
        <is>
          <t>10 LBS</t>
        </is>
      </c>
      <c r="I2875" t="inlineStr">
        <is>
          <t>2029</t>
        </is>
      </c>
      <c r="J2875" t="n">
        <v>2024</v>
      </c>
      <c r="K2875" t="inlineStr">
        <is>
          <t>ABRIL 2025</t>
        </is>
      </c>
      <c r="L2875" t="inlineStr">
        <is>
          <t>ABRIL 2026</t>
        </is>
      </c>
      <c r="M2875" t="inlineStr">
        <is>
          <t>CO2 /TIPO BC</t>
        </is>
      </c>
      <c r="N2875" t="inlineStr">
        <is>
          <t>01/000046</t>
        </is>
      </c>
      <c r="O2875" t="inlineStr">
        <is>
          <t>R</t>
        </is>
      </c>
      <c r="P2875">
        <f>TRIM(N2875)</f>
        <v/>
      </c>
    </row>
    <row r="2876">
      <c r="A2876" t="inlineStr">
        <is>
          <t>CO-002296</t>
        </is>
      </c>
      <c r="B2876" t="inlineStr">
        <is>
          <t xml:space="preserve"> EDEN AGUA SOLUCIONES INTEGRALES S.A.C.</t>
        </is>
      </c>
      <c r="C2876" t="n">
        <v>20613553372</v>
      </c>
      <c r="D2876" t="inlineStr">
        <is>
          <t>CAL. FRANCISCO DE PAULA UGARRI NRO. 783 MIRAFLORES</t>
        </is>
      </c>
      <c r="E2876" t="inlineStr">
        <is>
          <t>Lima, 09 de abril de 2025</t>
        </is>
      </c>
      <c r="F2876" t="inlineStr">
        <is>
          <t>la Recarga y mantenimiento</t>
        </is>
      </c>
      <c r="G2876" t="inlineStr">
        <is>
          <t>02</t>
        </is>
      </c>
      <c r="H2876" t="inlineStr">
        <is>
          <t>10 LBS</t>
        </is>
      </c>
      <c r="I2876" t="inlineStr">
        <is>
          <t>2029</t>
        </is>
      </c>
      <c r="J2876" t="n">
        <v>2024</v>
      </c>
      <c r="K2876" t="inlineStr">
        <is>
          <t>ABRIL 2025</t>
        </is>
      </c>
      <c r="L2876" t="inlineStr">
        <is>
          <t>ABRIL 2026</t>
        </is>
      </c>
      <c r="M2876" t="inlineStr">
        <is>
          <t>CO2 /TIPO BC</t>
        </is>
      </c>
      <c r="N2876" t="inlineStr">
        <is>
          <t>02/000092</t>
        </is>
      </c>
      <c r="O2876" t="inlineStr">
        <is>
          <t>R</t>
        </is>
      </c>
      <c r="P2876">
        <f>TRIM(N2876)</f>
        <v/>
      </c>
    </row>
    <row r="2877">
      <c r="A2877" t="inlineStr">
        <is>
          <t>CO-002296</t>
        </is>
      </c>
      <c r="B2877" t="inlineStr">
        <is>
          <t xml:space="preserve"> EDEN AGUA SOLUCIONES INTEGRALES S.A.C.</t>
        </is>
      </c>
      <c r="C2877" t="n">
        <v>20613553372</v>
      </c>
      <c r="D2877" t="inlineStr">
        <is>
          <t>CAL. FRANCISCO DE PAULA UGARRI NRO. 783 MIRAFLORES</t>
        </is>
      </c>
      <c r="E2877" t="inlineStr">
        <is>
          <t>Lima, 09 de abril de 2025</t>
        </is>
      </c>
      <c r="F2877" t="inlineStr">
        <is>
          <t>la Recarga y mantenimiento</t>
        </is>
      </c>
      <c r="G2877" t="inlineStr">
        <is>
          <t>03</t>
        </is>
      </c>
      <c r="H2877" t="inlineStr">
        <is>
          <t>10 LBS</t>
        </is>
      </c>
      <c r="I2877" t="inlineStr">
        <is>
          <t>2029</t>
        </is>
      </c>
      <c r="J2877" t="n">
        <v>2024</v>
      </c>
      <c r="K2877" t="inlineStr">
        <is>
          <t>ABRIL 2025</t>
        </is>
      </c>
      <c r="L2877" t="inlineStr">
        <is>
          <t>ABRIL 2026</t>
        </is>
      </c>
      <c r="M2877" t="inlineStr">
        <is>
          <t>CO2 /TIPO BC</t>
        </is>
      </c>
      <c r="N2877" t="inlineStr">
        <is>
          <t>03/000160</t>
        </is>
      </c>
      <c r="O2877" t="inlineStr">
        <is>
          <t>R</t>
        </is>
      </c>
      <c r="P2877">
        <f>TRIM(N2877)</f>
        <v/>
      </c>
    </row>
    <row r="2878">
      <c r="A2878" t="inlineStr">
        <is>
          <t>CO-002296</t>
        </is>
      </c>
      <c r="B2878" t="inlineStr">
        <is>
          <t xml:space="preserve"> EDEN AGUA SOLUCIONES INTEGRALES S.A.C.</t>
        </is>
      </c>
      <c r="C2878" t="n">
        <v>20613553372</v>
      </c>
      <c r="D2878" t="inlineStr">
        <is>
          <t>CAL. FRANCISCO DE PAULA UGARRI NRO. 783 MIRAFLORES</t>
        </is>
      </c>
      <c r="E2878" t="inlineStr">
        <is>
          <t>Lima, 09 de abril de 2025</t>
        </is>
      </c>
      <c r="F2878" t="inlineStr">
        <is>
          <t>la Recarga y mantenimiento</t>
        </is>
      </c>
      <c r="G2878" t="inlineStr">
        <is>
          <t>04</t>
        </is>
      </c>
      <c r="H2878" t="inlineStr">
        <is>
          <t>06 KG</t>
        </is>
      </c>
      <c r="I2878" t="inlineStr">
        <is>
          <t>2029</t>
        </is>
      </c>
      <c r="J2878" t="n">
        <v>2024</v>
      </c>
      <c r="K2878" t="inlineStr">
        <is>
          <t>ABRIL 2025</t>
        </is>
      </c>
      <c r="L2878" t="inlineStr">
        <is>
          <t>ABRIL 2026</t>
        </is>
      </c>
      <c r="M2878" t="inlineStr">
        <is>
          <t xml:space="preserve">P.Q.S.  TIPO ABC </t>
        </is>
      </c>
      <c r="N2878" t="inlineStr">
        <is>
          <t>04/006221</t>
        </is>
      </c>
      <c r="O2878" t="inlineStr">
        <is>
          <t>R</t>
        </is>
      </c>
      <c r="P2878">
        <f>TRIM(N2878)</f>
        <v/>
      </c>
    </row>
    <row r="2879">
      <c r="A2879" t="inlineStr">
        <is>
          <t>CO-002296</t>
        </is>
      </c>
      <c r="B2879" t="inlineStr">
        <is>
          <t xml:space="preserve"> EDEN AGUA SOLUCIONES INTEGRALES S.A.C.</t>
        </is>
      </c>
      <c r="C2879" t="n">
        <v>20613553372</v>
      </c>
      <c r="D2879" t="inlineStr">
        <is>
          <t>CAL. FRANCISCO DE PAULA UGARRI NRO. 783 MIRAFLORES</t>
        </is>
      </c>
      <c r="E2879" t="inlineStr">
        <is>
          <t>Lima, 09 de abril de 2025</t>
        </is>
      </c>
      <c r="F2879" t="inlineStr">
        <is>
          <t>la Recarga y mantenimiento</t>
        </is>
      </c>
      <c r="G2879" t="inlineStr">
        <is>
          <t>05</t>
        </is>
      </c>
      <c r="H2879" t="inlineStr">
        <is>
          <t>06 KG</t>
        </is>
      </c>
      <c r="I2879" t="inlineStr">
        <is>
          <t>2029</t>
        </is>
      </c>
      <c r="J2879" t="n">
        <v>2024</v>
      </c>
      <c r="K2879" t="inlineStr">
        <is>
          <t>ABRIL 2025</t>
        </is>
      </c>
      <c r="L2879" t="inlineStr">
        <is>
          <t>ABRIL 2026</t>
        </is>
      </c>
      <c r="M2879" t="inlineStr">
        <is>
          <t xml:space="preserve">P.Q.S.  TIPO ABC </t>
        </is>
      </c>
      <c r="N2879" t="inlineStr">
        <is>
          <t>05/006378</t>
        </is>
      </c>
      <c r="O2879" t="inlineStr">
        <is>
          <t>R</t>
        </is>
      </c>
      <c r="P2879">
        <f>TRIM(N2879)</f>
        <v/>
      </c>
    </row>
    <row r="2880">
      <c r="A2880" t="inlineStr">
        <is>
          <t>CO-002297</t>
        </is>
      </c>
      <c r="B2880" t="inlineStr">
        <is>
          <t>PERU MASIVO S.A - BUSES</t>
        </is>
      </c>
      <c r="C2880" t="inlineStr">
        <is>
          <t>20492392031</t>
        </is>
      </c>
      <c r="D2880" t="inlineStr">
        <is>
          <t>AV. LOS INCAS CDRA. 4 PATIO NORTE - COMAS</t>
        </is>
      </c>
      <c r="E2880" t="inlineStr">
        <is>
          <t>Lima, 07 de abril de 2025</t>
        </is>
      </c>
      <c r="F2880" t="inlineStr">
        <is>
          <t>la Recarga y mantenimiento</t>
        </is>
      </c>
      <c r="G2880" t="inlineStr">
        <is>
          <t>01</t>
        </is>
      </c>
      <c r="H2880" t="inlineStr">
        <is>
          <t xml:space="preserve">06 KG </t>
        </is>
      </c>
      <c r="I2880" t="inlineStr">
        <is>
          <t>2030</t>
        </is>
      </c>
      <c r="J2880" t="n">
        <v>2016</v>
      </c>
      <c r="K2880" t="inlineStr">
        <is>
          <t>ABRIL 2025</t>
        </is>
      </c>
      <c r="L2880" t="inlineStr">
        <is>
          <t>ABRIL 2026</t>
        </is>
      </c>
      <c r="M2880" t="inlineStr">
        <is>
          <t>P.Q.S.  TIPO ABC  90% NACIONAL</t>
        </is>
      </c>
      <c r="N2880" t="inlineStr">
        <is>
          <t>14/000718</t>
        </is>
      </c>
      <c r="O2880" t="inlineStr">
        <is>
          <t>R</t>
        </is>
      </c>
      <c r="P2880">
        <f>TRIM(N2880)</f>
        <v/>
      </c>
    </row>
    <row r="2881">
      <c r="A2881" t="inlineStr">
        <is>
          <t>CO-002297</t>
        </is>
      </c>
      <c r="B2881" t="inlineStr">
        <is>
          <t>PERU MASIVO S.A - BUSES</t>
        </is>
      </c>
      <c r="C2881" t="inlineStr">
        <is>
          <t>20492392031</t>
        </is>
      </c>
      <c r="D2881" t="inlineStr">
        <is>
          <t>AV. LOS INCAS CDRA. 4 PATIO NORTE - COMAS</t>
        </is>
      </c>
      <c r="E2881" t="inlineStr">
        <is>
          <t>Lima, 07 de abril de 2025</t>
        </is>
      </c>
      <c r="F2881" t="inlineStr">
        <is>
          <t>la Recarga y mantenimiento</t>
        </is>
      </c>
      <c r="G2881" t="inlineStr">
        <is>
          <t>02</t>
        </is>
      </c>
      <c r="H2881" t="inlineStr">
        <is>
          <t xml:space="preserve">06 KG </t>
        </is>
      </c>
      <c r="I2881" t="inlineStr">
        <is>
          <t>2028</t>
        </is>
      </c>
      <c r="J2881" t="n">
        <v>2012</v>
      </c>
      <c r="K2881" t="inlineStr">
        <is>
          <t>ABRIL 2025</t>
        </is>
      </c>
      <c r="L2881" t="inlineStr">
        <is>
          <t>ABRIL 2026</t>
        </is>
      </c>
      <c r="M2881" t="inlineStr">
        <is>
          <t>P.Q.S.  TIPO ABC  90% NACIONAL</t>
        </is>
      </c>
      <c r="N2881" t="inlineStr">
        <is>
          <t>87/000597</t>
        </is>
      </c>
      <c r="O2881" t="inlineStr">
        <is>
          <t>R</t>
        </is>
      </c>
      <c r="P2881">
        <f>TRIM(N2881)</f>
        <v/>
      </c>
    </row>
    <row r="2882">
      <c r="A2882" t="inlineStr">
        <is>
          <t>CO-002297</t>
        </is>
      </c>
      <c r="B2882" t="inlineStr">
        <is>
          <t>PERU MASIVO S.A - BUSES</t>
        </is>
      </c>
      <c r="C2882" t="inlineStr">
        <is>
          <t>20492392031</t>
        </is>
      </c>
      <c r="D2882" t="inlineStr">
        <is>
          <t>AV. LOS INCAS CDRA. 4 PATIO NORTE - COMAS</t>
        </is>
      </c>
      <c r="E2882" t="inlineStr">
        <is>
          <t>Lima, 07 de abril de 2025</t>
        </is>
      </c>
      <c r="F2882" t="inlineStr">
        <is>
          <t>la Recarga y mantenimiento</t>
        </is>
      </c>
      <c r="G2882" t="inlineStr">
        <is>
          <t>03</t>
        </is>
      </c>
      <c r="H2882" t="inlineStr">
        <is>
          <t xml:space="preserve">06 KG </t>
        </is>
      </c>
      <c r="I2882" t="inlineStr">
        <is>
          <t>2029</t>
        </is>
      </c>
      <c r="J2882" t="n">
        <v>2010</v>
      </c>
      <c r="K2882" t="inlineStr">
        <is>
          <t>ABRIL 2025</t>
        </is>
      </c>
      <c r="L2882" t="inlineStr">
        <is>
          <t>ABRIL 2026</t>
        </is>
      </c>
      <c r="M2882" t="inlineStr">
        <is>
          <t>P.Q.S.  TIPO ABC  90% NACIONAL</t>
        </is>
      </c>
      <c r="N2882" t="inlineStr">
        <is>
          <t>106/000241</t>
        </is>
      </c>
      <c r="O2882" t="inlineStr">
        <is>
          <t>R</t>
        </is>
      </c>
      <c r="P2882">
        <f>TRIM(N2882)</f>
        <v/>
      </c>
    </row>
    <row r="2883">
      <c r="A2883" t="inlineStr">
        <is>
          <t>CO-002297</t>
        </is>
      </c>
      <c r="B2883" t="inlineStr">
        <is>
          <t>PERU MASIVO S.A - BUSES</t>
        </is>
      </c>
      <c r="C2883" t="inlineStr">
        <is>
          <t>20492392031</t>
        </is>
      </c>
      <c r="D2883" t="inlineStr">
        <is>
          <t>AV. LOS INCAS CDRA. 4 PATIO NORTE - COMAS</t>
        </is>
      </c>
      <c r="E2883" t="inlineStr">
        <is>
          <t>Lima, 07 de abril de 2025</t>
        </is>
      </c>
      <c r="F2883" t="inlineStr">
        <is>
          <t>la Recarga y mantenimiento</t>
        </is>
      </c>
      <c r="G2883" t="inlineStr">
        <is>
          <t>04</t>
        </is>
      </c>
      <c r="H2883" t="inlineStr">
        <is>
          <t xml:space="preserve">06 KG </t>
        </is>
      </c>
      <c r="I2883" t="inlineStr">
        <is>
          <t>2028</t>
        </is>
      </c>
      <c r="J2883" t="n">
        <v>2016</v>
      </c>
      <c r="K2883" t="inlineStr">
        <is>
          <t>ABRIL 2025</t>
        </is>
      </c>
      <c r="L2883" t="inlineStr">
        <is>
          <t>ABRIL 2026</t>
        </is>
      </c>
      <c r="M2883" t="inlineStr">
        <is>
          <t>P.Q.S.  TIPO ABC  90% NACIONAL</t>
        </is>
      </c>
      <c r="N2883" t="inlineStr">
        <is>
          <t>109/001243</t>
        </is>
      </c>
      <c r="O2883" t="inlineStr">
        <is>
          <t>R</t>
        </is>
      </c>
      <c r="P2883">
        <f>TRIM(N2883)</f>
        <v/>
      </c>
    </row>
    <row r="2884">
      <c r="A2884" t="inlineStr">
        <is>
          <t>CO-002297</t>
        </is>
      </c>
      <c r="B2884" t="inlineStr">
        <is>
          <t>PERU MASIVO S.A - BUSES</t>
        </is>
      </c>
      <c r="C2884" t="inlineStr">
        <is>
          <t>20492392031</t>
        </is>
      </c>
      <c r="D2884" t="inlineStr">
        <is>
          <t>AV. LOS INCAS CDRA. 4 PATIO NORTE - COMAS</t>
        </is>
      </c>
      <c r="E2884" t="inlineStr">
        <is>
          <t>Lima, 07 de abril de 2025</t>
        </is>
      </c>
      <c r="F2884" t="inlineStr">
        <is>
          <t>la Recarga y mantenimiento</t>
        </is>
      </c>
      <c r="G2884" t="inlineStr">
        <is>
          <t>05</t>
        </is>
      </c>
      <c r="H2884" t="inlineStr">
        <is>
          <t xml:space="preserve">06 KG </t>
        </is>
      </c>
      <c r="I2884" t="inlineStr">
        <is>
          <t>2028</t>
        </is>
      </c>
      <c r="J2884" t="n">
        <v>2009</v>
      </c>
      <c r="K2884" t="inlineStr">
        <is>
          <t>ABRIL 2025</t>
        </is>
      </c>
      <c r="L2884" t="inlineStr">
        <is>
          <t>ABRIL 2026</t>
        </is>
      </c>
      <c r="M2884" t="inlineStr">
        <is>
          <t>P.Q.S.  TIPO ABC  90% NACIONAL</t>
        </is>
      </c>
      <c r="N2884" t="inlineStr">
        <is>
          <t>214/000254</t>
        </is>
      </c>
      <c r="O2884" t="inlineStr">
        <is>
          <t>R</t>
        </is>
      </c>
      <c r="P2884">
        <f>TRIM(N2884)</f>
        <v/>
      </c>
    </row>
    <row r="2885">
      <c r="A2885" t="inlineStr">
        <is>
          <t>CO-002297</t>
        </is>
      </c>
      <c r="B2885" t="inlineStr">
        <is>
          <t>PERU MASIVO S.A - BUSES</t>
        </is>
      </c>
      <c r="C2885" t="inlineStr">
        <is>
          <t>20492392031</t>
        </is>
      </c>
      <c r="D2885" t="inlineStr">
        <is>
          <t>AV. LOS INCAS CDRA. 4 PATIO NORTE - COMAS</t>
        </is>
      </c>
      <c r="E2885" t="inlineStr">
        <is>
          <t>Lima, 07 de abril de 2025</t>
        </is>
      </c>
      <c r="F2885" t="inlineStr">
        <is>
          <t>la Recarga y mantenimiento</t>
        </is>
      </c>
      <c r="G2885" t="inlineStr">
        <is>
          <t>06</t>
        </is>
      </c>
      <c r="H2885" t="inlineStr">
        <is>
          <t xml:space="preserve">06 KG </t>
        </is>
      </c>
      <c r="I2885" t="inlineStr">
        <is>
          <t>2028</t>
        </is>
      </c>
      <c r="J2885" t="n">
        <v>2010</v>
      </c>
      <c r="K2885" t="inlineStr">
        <is>
          <t>ABRIL 2025</t>
        </is>
      </c>
      <c r="L2885" t="inlineStr">
        <is>
          <t>ABRIL 2026</t>
        </is>
      </c>
      <c r="M2885" t="inlineStr">
        <is>
          <t>P.Q.S.  TIPO ABC  90% NACIONAL</t>
        </is>
      </c>
      <c r="N2885" t="inlineStr">
        <is>
          <t>216/000884</t>
        </is>
      </c>
      <c r="O2885" t="inlineStr">
        <is>
          <t>R</t>
        </is>
      </c>
      <c r="P2885">
        <f>TRIM(N2885)</f>
        <v/>
      </c>
    </row>
    <row r="2886">
      <c r="A2886" t="inlineStr">
        <is>
          <t>CO-002297</t>
        </is>
      </c>
      <c r="B2886" t="inlineStr">
        <is>
          <t>PERU MASIVO S.A - BUSES</t>
        </is>
      </c>
      <c r="C2886" t="inlineStr">
        <is>
          <t>20492392031</t>
        </is>
      </c>
      <c r="D2886" t="inlineStr">
        <is>
          <t>AV. LOS INCAS CDRA. 4 PATIO NORTE - COMAS</t>
        </is>
      </c>
      <c r="E2886" t="inlineStr">
        <is>
          <t>Lima, 07 de abril de 2025</t>
        </is>
      </c>
      <c r="F2886" t="inlineStr">
        <is>
          <t>la Recarga y mantenimiento</t>
        </is>
      </c>
      <c r="G2886" t="inlineStr">
        <is>
          <t>07</t>
        </is>
      </c>
      <c r="H2886" t="inlineStr">
        <is>
          <t xml:space="preserve">06 KG </t>
        </is>
      </c>
      <c r="I2886" t="inlineStr">
        <is>
          <t>2028</t>
        </is>
      </c>
      <c r="J2886" t="n">
        <v>2010</v>
      </c>
      <c r="K2886" t="inlineStr">
        <is>
          <t>ABRIL 2025</t>
        </is>
      </c>
      <c r="L2886" t="inlineStr">
        <is>
          <t>ABRIL 2026</t>
        </is>
      </c>
      <c r="M2886" t="inlineStr">
        <is>
          <t>P.Q.S.  TIPO ABC  90% NACIONAL</t>
        </is>
      </c>
      <c r="N2886" t="inlineStr">
        <is>
          <t>230/000451</t>
        </is>
      </c>
      <c r="O2886" t="inlineStr">
        <is>
          <t>R</t>
        </is>
      </c>
      <c r="P2886">
        <f>TRIM(N2886)</f>
        <v/>
      </c>
    </row>
    <row r="2887">
      <c r="A2887" t="inlineStr">
        <is>
          <t>CO-002297</t>
        </is>
      </c>
      <c r="B2887" t="inlineStr">
        <is>
          <t>PERU MASIVO S.A - BUSES</t>
        </is>
      </c>
      <c r="C2887" t="inlineStr">
        <is>
          <t>20492392031</t>
        </is>
      </c>
      <c r="D2887" t="inlineStr">
        <is>
          <t>AV. LOS INCAS CDRA. 4 PATIO NORTE - COMAS</t>
        </is>
      </c>
      <c r="E2887" t="inlineStr">
        <is>
          <t>Lima, 07 de abril de 2025</t>
        </is>
      </c>
      <c r="F2887" t="inlineStr">
        <is>
          <t>la Recarga y mantenimiento</t>
        </is>
      </c>
      <c r="G2887" t="inlineStr">
        <is>
          <t>08</t>
        </is>
      </c>
      <c r="H2887" t="inlineStr">
        <is>
          <t xml:space="preserve">06 KG </t>
        </is>
      </c>
      <c r="I2887" t="inlineStr">
        <is>
          <t>2028</t>
        </is>
      </c>
      <c r="J2887" t="n">
        <v>2010</v>
      </c>
      <c r="K2887" t="inlineStr">
        <is>
          <t>ABRIL 2025</t>
        </is>
      </c>
      <c r="L2887" t="inlineStr">
        <is>
          <t>ABRIL 2026</t>
        </is>
      </c>
      <c r="M2887" t="inlineStr">
        <is>
          <t>P.Q.S.  TIPO ABC  90% NACIONAL</t>
        </is>
      </c>
      <c r="O2887" t="inlineStr">
        <is>
          <t>R</t>
        </is>
      </c>
      <c r="P2887">
        <f>TRIM(N2887)</f>
        <v/>
      </c>
    </row>
    <row r="2888">
      <c r="A2888" t="inlineStr">
        <is>
          <t>CO-002298</t>
        </is>
      </c>
      <c r="B2888" t="inlineStr">
        <is>
          <t>ASOCIACION DE COMERCIANTES MEGA COSMOS</t>
        </is>
      </c>
      <c r="D2888" t="inlineStr">
        <is>
          <t>JR. LOS PLANETAS S/N MZ. 06 LT.85 VILLA COLLIQUE - AÑO NUEVO COMAS</t>
        </is>
      </c>
      <c r="E2888" t="inlineStr">
        <is>
          <t>Lima, 10 de abril de 2025</t>
        </is>
      </c>
      <c r="F2888" t="inlineStr">
        <is>
          <t>la Recarga y mantenimiento</t>
        </is>
      </c>
      <c r="G2888" t="inlineStr">
        <is>
          <t>01</t>
        </is>
      </c>
      <c r="H2888" t="inlineStr">
        <is>
          <t>06 KG</t>
        </is>
      </c>
      <c r="I2888" t="inlineStr">
        <is>
          <t>2026</t>
        </is>
      </c>
      <c r="J2888" t="n">
        <v>2016</v>
      </c>
      <c r="K2888" t="inlineStr">
        <is>
          <t>ABRIL 2025</t>
        </is>
      </c>
      <c r="L2888" t="inlineStr">
        <is>
          <t>ABRIL 2026</t>
        </is>
      </c>
      <c r="M2888" t="inlineStr">
        <is>
          <t xml:space="preserve">P.Q.S.  TIPO ABC  </t>
        </is>
      </c>
      <c r="N2888" t="inlineStr">
        <is>
          <t>01/010734</t>
        </is>
      </c>
      <c r="O2888" t="inlineStr">
        <is>
          <t>R</t>
        </is>
      </c>
      <c r="P2888">
        <f>TRIM(N2888)</f>
        <v/>
      </c>
    </row>
    <row r="2889">
      <c r="A2889" t="inlineStr">
        <is>
          <t>CO-002298</t>
        </is>
      </c>
      <c r="B2889" t="inlineStr">
        <is>
          <t>ASOCIACION DE COMERCIANTES MEGA COSMOS</t>
        </is>
      </c>
      <c r="D2889" t="inlineStr">
        <is>
          <t>JR. LOS PLANETAS S/N MZ. 06 LT.85 VILLA COLLIQUE - AÑO NUEVO COMAS</t>
        </is>
      </c>
      <c r="E2889" t="inlineStr">
        <is>
          <t>Lima, 10 de abril de 2025</t>
        </is>
      </c>
      <c r="F2889" t="inlineStr">
        <is>
          <t>la Recarga y mantenimiento</t>
        </is>
      </c>
      <c r="G2889" t="inlineStr">
        <is>
          <t>02</t>
        </is>
      </c>
      <c r="H2889" t="inlineStr">
        <is>
          <t>06 KG</t>
        </is>
      </c>
      <c r="I2889" t="inlineStr">
        <is>
          <t>2026</t>
        </is>
      </c>
      <c r="J2889" t="n">
        <v>2016</v>
      </c>
      <c r="K2889" t="inlineStr">
        <is>
          <t>ABRIL 2025</t>
        </is>
      </c>
      <c r="L2889" t="inlineStr">
        <is>
          <t>ABRIL 2026</t>
        </is>
      </c>
      <c r="M2889" t="inlineStr">
        <is>
          <t xml:space="preserve">P.Q.S.  TIPO ABC  </t>
        </is>
      </c>
      <c r="N2889" t="inlineStr">
        <is>
          <t>02/010624</t>
        </is>
      </c>
      <c r="O2889" t="inlineStr">
        <is>
          <t>R</t>
        </is>
      </c>
      <c r="P2889">
        <f>TRIM(N2889)</f>
        <v/>
      </c>
    </row>
    <row r="2890">
      <c r="A2890" t="inlineStr">
        <is>
          <t>CO-002298</t>
        </is>
      </c>
      <c r="B2890" t="inlineStr">
        <is>
          <t>ASOCIACION DE COMERCIANTES MEGA COSMOS</t>
        </is>
      </c>
      <c r="D2890" t="inlineStr">
        <is>
          <t>JR. LOS PLANETAS S/N MZ. 06 LT.85 VILLA COLLIQUE - AÑO NUEVO COMAS</t>
        </is>
      </c>
      <c r="E2890" t="inlineStr">
        <is>
          <t>Lima, 10 de abril de 2025</t>
        </is>
      </c>
      <c r="F2890" t="inlineStr">
        <is>
          <t>la Recarga y mantenimiento</t>
        </is>
      </c>
      <c r="G2890" t="inlineStr">
        <is>
          <t>03</t>
        </is>
      </c>
      <c r="H2890" t="inlineStr">
        <is>
          <t>06 KG</t>
        </is>
      </c>
      <c r="I2890" t="inlineStr">
        <is>
          <t>2026</t>
        </is>
      </c>
      <c r="J2890" t="n">
        <v>2016</v>
      </c>
      <c r="K2890" t="inlineStr">
        <is>
          <t>ABRIL 2025</t>
        </is>
      </c>
      <c r="L2890" t="inlineStr">
        <is>
          <t>ABRIL 2026</t>
        </is>
      </c>
      <c r="M2890" t="inlineStr">
        <is>
          <t xml:space="preserve">P.Q.S.  TIPO ABC  </t>
        </is>
      </c>
      <c r="N2890" t="inlineStr">
        <is>
          <t>03/010670</t>
        </is>
      </c>
      <c r="O2890" t="inlineStr">
        <is>
          <t>R</t>
        </is>
      </c>
      <c r="P2890">
        <f>TRIM(N2890)</f>
        <v/>
      </c>
    </row>
    <row r="2891">
      <c r="A2891" t="inlineStr">
        <is>
          <t>CO-002298</t>
        </is>
      </c>
      <c r="B2891" t="inlineStr">
        <is>
          <t>ASOCIACION DE COMERCIANTES MEGA COSMOS</t>
        </is>
      </c>
      <c r="D2891" t="inlineStr">
        <is>
          <t>JR. LOS PLANETAS S/N MZ. 06 LT.85 VILLA COLLIQUE - AÑO NUEVO COMAS</t>
        </is>
      </c>
      <c r="E2891" t="inlineStr">
        <is>
          <t>Lima, 10 de abril de 2025</t>
        </is>
      </c>
      <c r="F2891" t="inlineStr">
        <is>
          <t>la Recarga y mantenimiento</t>
        </is>
      </c>
      <c r="G2891" t="inlineStr">
        <is>
          <t>04</t>
        </is>
      </c>
      <c r="H2891" t="inlineStr">
        <is>
          <t>06 KG</t>
        </is>
      </c>
      <c r="I2891" t="inlineStr">
        <is>
          <t>2026</t>
        </is>
      </c>
      <c r="J2891" t="n">
        <v>2016</v>
      </c>
      <c r="K2891" t="inlineStr">
        <is>
          <t>ABRIL 2025</t>
        </is>
      </c>
      <c r="L2891" t="inlineStr">
        <is>
          <t>ABRIL 2026</t>
        </is>
      </c>
      <c r="M2891" t="inlineStr">
        <is>
          <t xml:space="preserve">P.Q.S.  TIPO ABC  </t>
        </is>
      </c>
      <c r="N2891" t="inlineStr">
        <is>
          <t>04/010762</t>
        </is>
      </c>
      <c r="O2891" t="inlineStr">
        <is>
          <t>R</t>
        </is>
      </c>
      <c r="P2891">
        <f>TRIM(N2891)</f>
        <v/>
      </c>
    </row>
    <row r="2892">
      <c r="A2892" t="inlineStr">
        <is>
          <t>CO-002299</t>
        </is>
      </c>
      <c r="B2892" t="inlineStr">
        <is>
          <t>PERU MASIVO S.A - BUSES</t>
        </is>
      </c>
      <c r="C2892" t="inlineStr">
        <is>
          <t>20492392031</t>
        </is>
      </c>
      <c r="D2892" t="inlineStr">
        <is>
          <t>AV. LOS INCAS CDRA. 4 PATIO NORTE - COMAS</t>
        </is>
      </c>
      <c r="E2892" t="inlineStr">
        <is>
          <t>Lima, 10 de abril de 2025</t>
        </is>
      </c>
      <c r="F2892" t="inlineStr">
        <is>
          <t>la Recarga y mantenimiento</t>
        </is>
      </c>
      <c r="G2892" t="inlineStr">
        <is>
          <t>01</t>
        </is>
      </c>
      <c r="H2892" t="inlineStr">
        <is>
          <t xml:space="preserve">06 KG </t>
        </is>
      </c>
      <c r="I2892" t="inlineStr">
        <is>
          <t>2028</t>
        </is>
      </c>
      <c r="J2892" t="n">
        <v>2009</v>
      </c>
      <c r="K2892" t="inlineStr">
        <is>
          <t>ABRIL 2025</t>
        </is>
      </c>
      <c r="L2892" t="inlineStr">
        <is>
          <t>ABRIL 2026</t>
        </is>
      </c>
      <c r="M2892" t="inlineStr">
        <is>
          <t>P.Q.S.  TIPO ABC  90% NACIONAL</t>
        </is>
      </c>
      <c r="N2892" t="inlineStr">
        <is>
          <t>296/001459</t>
        </is>
      </c>
      <c r="O2892" t="inlineStr">
        <is>
          <t>R</t>
        </is>
      </c>
      <c r="P2892">
        <f>TRIM(N2892)</f>
        <v/>
      </c>
    </row>
    <row r="2893">
      <c r="A2893" t="inlineStr">
        <is>
          <t>CO-002299</t>
        </is>
      </c>
      <c r="B2893" t="inlineStr">
        <is>
          <t>PERU MASIVO S.A - BUSES</t>
        </is>
      </c>
      <c r="C2893" t="inlineStr">
        <is>
          <t>20492392031</t>
        </is>
      </c>
      <c r="D2893" t="inlineStr">
        <is>
          <t>AV. LOS INCAS CDRA. 4 PATIO NORTE - COMAS</t>
        </is>
      </c>
      <c r="E2893" t="inlineStr">
        <is>
          <t>Lima, 10 de abril de 2025</t>
        </is>
      </c>
      <c r="F2893" t="inlineStr">
        <is>
          <t>la Recarga y mantenimiento</t>
        </is>
      </c>
      <c r="G2893" t="inlineStr">
        <is>
          <t>02</t>
        </is>
      </c>
      <c r="H2893" t="inlineStr">
        <is>
          <t xml:space="preserve">06 KG </t>
        </is>
      </c>
      <c r="I2893" t="inlineStr">
        <is>
          <t>2028</t>
        </is>
      </c>
      <c r="J2893" t="n">
        <v>2009</v>
      </c>
      <c r="K2893" t="inlineStr">
        <is>
          <t>ABRIL 2025</t>
        </is>
      </c>
      <c r="L2893" t="inlineStr">
        <is>
          <t>ABRIL 2026</t>
        </is>
      </c>
      <c r="M2893" t="inlineStr">
        <is>
          <t>P.Q.S.  TIPO ABC  90% NACIONAL</t>
        </is>
      </c>
      <c r="N2893" t="inlineStr">
        <is>
          <t>291/002708</t>
        </is>
      </c>
      <c r="O2893" t="inlineStr">
        <is>
          <t>R</t>
        </is>
      </c>
      <c r="P2893">
        <f>TRIM(N2893)</f>
        <v/>
      </c>
    </row>
    <row r="2894">
      <c r="A2894" t="inlineStr">
        <is>
          <t>CO-002299</t>
        </is>
      </c>
      <c r="B2894" t="inlineStr">
        <is>
          <t>PERU MASIVO S.A - BUSES</t>
        </is>
      </c>
      <c r="C2894" t="inlineStr">
        <is>
          <t>20492392031</t>
        </is>
      </c>
      <c r="D2894" t="inlineStr">
        <is>
          <t>AV. LOS INCAS CDRA. 4 PATIO NORTE - COMAS</t>
        </is>
      </c>
      <c r="E2894" t="inlineStr">
        <is>
          <t>Lima, 10 de abril de 2025</t>
        </is>
      </c>
      <c r="F2894" t="inlineStr">
        <is>
          <t>la Recarga y mantenimiento</t>
        </is>
      </c>
      <c r="G2894" t="inlineStr">
        <is>
          <t>03</t>
        </is>
      </c>
      <c r="H2894" t="inlineStr">
        <is>
          <t xml:space="preserve">06 KG </t>
        </is>
      </c>
      <c r="I2894" t="inlineStr">
        <is>
          <t>2029</t>
        </is>
      </c>
      <c r="J2894" t="n">
        <v>2010</v>
      </c>
      <c r="K2894" t="inlineStr">
        <is>
          <t>ABRIL 2025</t>
        </is>
      </c>
      <c r="L2894" t="inlineStr">
        <is>
          <t>ABRIL 2026</t>
        </is>
      </c>
      <c r="M2894" t="inlineStr">
        <is>
          <t>P.Q.S.  TIPO ABC  90% NACIONAL</t>
        </is>
      </c>
      <c r="N2894" t="inlineStr">
        <is>
          <t>70/000005</t>
        </is>
      </c>
      <c r="O2894" t="inlineStr">
        <is>
          <t>R</t>
        </is>
      </c>
      <c r="P2894">
        <f>TRIM(N2894)</f>
        <v/>
      </c>
    </row>
    <row r="2895">
      <c r="A2895" t="inlineStr">
        <is>
          <t>CO-002299</t>
        </is>
      </c>
      <c r="B2895" t="inlineStr">
        <is>
          <t>PERU MASIVO S.A - BUSES</t>
        </is>
      </c>
      <c r="C2895" t="inlineStr">
        <is>
          <t>20492392031</t>
        </is>
      </c>
      <c r="D2895" t="inlineStr">
        <is>
          <t>AV. LOS INCAS CDRA. 4 PATIO NORTE - COMAS</t>
        </is>
      </c>
      <c r="E2895" t="inlineStr">
        <is>
          <t>Lima, 10 de abril de 2025</t>
        </is>
      </c>
      <c r="F2895" t="inlineStr">
        <is>
          <t>la Recarga y mantenimiento</t>
        </is>
      </c>
      <c r="G2895" t="inlineStr">
        <is>
          <t>04</t>
        </is>
      </c>
      <c r="H2895" t="inlineStr">
        <is>
          <t xml:space="preserve">06 KG </t>
        </is>
      </c>
      <c r="I2895" t="inlineStr">
        <is>
          <t>2029</t>
        </is>
      </c>
      <c r="J2895" t="n">
        <v>2009</v>
      </c>
      <c r="K2895" t="inlineStr">
        <is>
          <t>ABRIL 2025</t>
        </is>
      </c>
      <c r="L2895" t="inlineStr">
        <is>
          <t>ABRIL 2026</t>
        </is>
      </c>
      <c r="M2895" t="inlineStr">
        <is>
          <t>P.Q.S.  TIPO ABC  90% NACIONAL</t>
        </is>
      </c>
      <c r="N2895" t="inlineStr">
        <is>
          <t>236/001913</t>
        </is>
      </c>
      <c r="O2895" t="inlineStr">
        <is>
          <t>R</t>
        </is>
      </c>
      <c r="P2895">
        <f>TRIM(N2895)</f>
        <v/>
      </c>
    </row>
    <row r="2896">
      <c r="A2896" t="inlineStr">
        <is>
          <t>CO-002299</t>
        </is>
      </c>
      <c r="B2896" t="inlineStr">
        <is>
          <t>PERU MASIVO S.A - BUSES</t>
        </is>
      </c>
      <c r="C2896" t="inlineStr">
        <is>
          <t>20492392031</t>
        </is>
      </c>
      <c r="D2896" t="inlineStr">
        <is>
          <t>AV. LOS INCAS CDRA. 4 PATIO NORTE - COMAS</t>
        </is>
      </c>
      <c r="E2896" t="inlineStr">
        <is>
          <t>Lima, 10 de abril de 2025</t>
        </is>
      </c>
      <c r="F2896" t="inlineStr">
        <is>
          <t>la Recarga y mantenimiento</t>
        </is>
      </c>
      <c r="G2896" t="inlineStr">
        <is>
          <t>05</t>
        </is>
      </c>
      <c r="H2896" t="inlineStr">
        <is>
          <t xml:space="preserve">06 KG </t>
        </is>
      </c>
      <c r="I2896" t="inlineStr">
        <is>
          <t>2028</t>
        </is>
      </c>
      <c r="J2896" t="n">
        <v>2009</v>
      </c>
      <c r="K2896" t="inlineStr">
        <is>
          <t>ABRIL 2025</t>
        </is>
      </c>
      <c r="L2896" t="inlineStr">
        <is>
          <t>ABRIL 2026</t>
        </is>
      </c>
      <c r="M2896" t="inlineStr">
        <is>
          <t>P.Q.S.  TIPO ABC  90% NACIONAL</t>
        </is>
      </c>
      <c r="N2896" t="inlineStr">
        <is>
          <t>305/000697</t>
        </is>
      </c>
      <c r="O2896" t="inlineStr">
        <is>
          <t>R</t>
        </is>
      </c>
      <c r="P2896">
        <f>TRIM(N2896)</f>
        <v/>
      </c>
    </row>
    <row r="2897">
      <c r="A2897" t="inlineStr">
        <is>
          <t>CO-002299</t>
        </is>
      </c>
      <c r="B2897" t="inlineStr">
        <is>
          <t>PERU MASIVO S.A - BUSES</t>
        </is>
      </c>
      <c r="C2897" t="inlineStr">
        <is>
          <t>20492392031</t>
        </is>
      </c>
      <c r="D2897" t="inlineStr">
        <is>
          <t>AV. LOS INCAS CDRA. 4 PATIO NORTE - COMAS</t>
        </is>
      </c>
      <c r="E2897" t="inlineStr">
        <is>
          <t>Lima, 10 de abril de 2025</t>
        </is>
      </c>
      <c r="F2897" t="inlineStr">
        <is>
          <t>la Recarga y mantenimiento</t>
        </is>
      </c>
      <c r="G2897" t="inlineStr">
        <is>
          <t>06</t>
        </is>
      </c>
      <c r="H2897" t="inlineStr">
        <is>
          <t xml:space="preserve">06 KG </t>
        </is>
      </c>
      <c r="I2897" t="inlineStr">
        <is>
          <t>2029</t>
        </is>
      </c>
      <c r="J2897" t="n">
        <v>2009</v>
      </c>
      <c r="K2897" t="inlineStr">
        <is>
          <t>ABRIL 2025</t>
        </is>
      </c>
      <c r="L2897" t="inlineStr">
        <is>
          <t>ABRIL 2026</t>
        </is>
      </c>
      <c r="M2897" t="inlineStr">
        <is>
          <t>P.Q.S.  TIPO ABC  90% NACIONAL</t>
        </is>
      </c>
      <c r="N2897" t="inlineStr">
        <is>
          <t>81/001025</t>
        </is>
      </c>
      <c r="O2897" t="inlineStr">
        <is>
          <t>R</t>
        </is>
      </c>
      <c r="P2897">
        <f>TRIM(N2897)</f>
        <v/>
      </c>
    </row>
    <row r="2898">
      <c r="A2898" t="inlineStr">
        <is>
          <t>CO-002300</t>
        </is>
      </c>
      <c r="B2898" t="inlineStr">
        <is>
          <t xml:space="preserve">LUIS ENRIQUE PEDREROS TINCOPA </t>
        </is>
      </c>
      <c r="C2898" t="inlineStr">
        <is>
          <t>10404651019</t>
        </is>
      </c>
      <c r="D2898" t="inlineStr">
        <is>
          <t xml:space="preserve">JR VENUS 878 CERCADO DE LIMA </t>
        </is>
      </c>
      <c r="E2898" t="inlineStr">
        <is>
          <t>Lima, 10 de abril de 2025</t>
        </is>
      </c>
      <c r="F2898" t="inlineStr">
        <is>
          <t>la Recarga y mantenimiento</t>
        </is>
      </c>
      <c r="G2898" t="inlineStr">
        <is>
          <t>01</t>
        </is>
      </c>
      <c r="H2898" t="inlineStr">
        <is>
          <t>04 KG</t>
        </is>
      </c>
      <c r="I2898" t="inlineStr">
        <is>
          <t xml:space="preserve">VIGENTE </t>
        </is>
      </c>
      <c r="J2898" t="n">
        <v>2008</v>
      </c>
      <c r="K2898" t="inlineStr">
        <is>
          <t>ABRIL 2025</t>
        </is>
      </c>
      <c r="L2898" t="inlineStr">
        <is>
          <t>ABRIL 2026</t>
        </is>
      </c>
      <c r="M2898" t="inlineStr">
        <is>
          <t xml:space="preserve">P.Q.S.  TIPO ABC  </t>
        </is>
      </c>
      <c r="N2898" t="inlineStr">
        <is>
          <t>01/001070</t>
        </is>
      </c>
      <c r="O2898" t="inlineStr">
        <is>
          <t>R</t>
        </is>
      </c>
      <c r="P2898">
        <f>TRIM(N2898)</f>
        <v/>
      </c>
    </row>
    <row r="2899">
      <c r="A2899" t="inlineStr">
        <is>
          <t>CO-002301</t>
        </is>
      </c>
      <c r="B2899" t="inlineStr">
        <is>
          <t xml:space="preserve">
TRANSP. A &amp; P YANAVILVA EIRL</t>
        </is>
      </c>
      <c r="C2899" t="inlineStr">
        <is>
          <t>20548344116</t>
        </is>
      </c>
      <c r="D2899" t="inlineStr">
        <is>
          <t>AV. PRINCIPAL ESQ. CON CALLE PORVENIR, CP SAN JOSE DE LOS CHORRILLOS</t>
        </is>
      </c>
      <c r="E2899" t="inlineStr">
        <is>
          <t>Lima, 11 de abril de 2025</t>
        </is>
      </c>
      <c r="F2899" t="inlineStr">
        <is>
          <t>la Recarga y mantenimiento</t>
        </is>
      </c>
      <c r="G2899" t="inlineStr">
        <is>
          <t>01</t>
        </is>
      </c>
      <c r="H2899" t="inlineStr">
        <is>
          <t>20 LBS</t>
        </is>
      </c>
      <c r="I2899" t="inlineStr">
        <is>
          <t>2026</t>
        </is>
      </c>
      <c r="J2899" t="n">
        <v>2016</v>
      </c>
      <c r="K2899" t="inlineStr">
        <is>
          <t>ABRIL 2025</t>
        </is>
      </c>
      <c r="L2899" t="inlineStr">
        <is>
          <t>ABRIL 2026</t>
        </is>
      </c>
      <c r="M2899" t="inlineStr">
        <is>
          <t>P.Q.S.  TIPO ABC AL 90% UL "USA"</t>
        </is>
      </c>
      <c r="N2899" t="inlineStr">
        <is>
          <t>B06338566</t>
        </is>
      </c>
      <c r="O2899" t="inlineStr">
        <is>
          <t>M1</t>
        </is>
      </c>
      <c r="P2899">
        <f>TRIM(N2899)</f>
        <v/>
      </c>
    </row>
    <row r="2900">
      <c r="A2900" t="inlineStr">
        <is>
          <t>CO-002302</t>
        </is>
      </c>
      <c r="B2900" t="inlineStr">
        <is>
          <t xml:space="preserve">
TRANSP. A &amp; P YANAVILVA EIRL</t>
        </is>
      </c>
      <c r="C2900" t="inlineStr">
        <is>
          <t>20548344116</t>
        </is>
      </c>
      <c r="D2900" t="inlineStr">
        <is>
          <t>AV. PRINCIPAL ESQ. CON CALLE PORVENIR, CP SAN JOSE DE LOS CHORRILLOS</t>
        </is>
      </c>
      <c r="E2900" t="inlineStr">
        <is>
          <t>Lima, 11 de abril de 2025</t>
        </is>
      </c>
      <c r="F2900" t="inlineStr">
        <is>
          <t>la Recarga y mantenimiento</t>
        </is>
      </c>
      <c r="G2900" t="inlineStr">
        <is>
          <t>01</t>
        </is>
      </c>
      <c r="H2900" t="inlineStr">
        <is>
          <t>20 LBS</t>
        </is>
      </c>
      <c r="I2900" t="inlineStr">
        <is>
          <t>2026</t>
        </is>
      </c>
      <c r="J2900" t="n">
        <v>2016</v>
      </c>
      <c r="K2900" t="inlineStr">
        <is>
          <t>ABRIL 2025</t>
        </is>
      </c>
      <c r="L2900" t="inlineStr">
        <is>
          <t>ABRIL 2026</t>
        </is>
      </c>
      <c r="M2900" t="inlineStr">
        <is>
          <t>P.Q.S.  TIPO ABC AL 90% UL "USA"</t>
        </is>
      </c>
      <c r="N2900" t="inlineStr">
        <is>
          <t>B06338358</t>
        </is>
      </c>
      <c r="O2900" t="inlineStr">
        <is>
          <t>R</t>
        </is>
      </c>
      <c r="P2900">
        <f>TRIM(N2900)</f>
        <v/>
      </c>
    </row>
    <row r="2901">
      <c r="A2901" t="inlineStr">
        <is>
          <t>CO-002303</t>
        </is>
      </c>
      <c r="B2901" t="inlineStr">
        <is>
          <t xml:space="preserve">JUNTA VECINAL AÑO NUEVO </t>
        </is>
      </c>
      <c r="D2901" t="inlineStr">
        <is>
          <t xml:space="preserve">JR TUNGASUCA 200 AÑO NUEVO , COMAS </t>
        </is>
      </c>
      <c r="E2901" t="inlineStr">
        <is>
          <t>Lima, 14 de abril de 2025</t>
        </is>
      </c>
      <c r="F2901" t="inlineStr">
        <is>
          <t>la Recarga y mantenimiento</t>
        </is>
      </c>
      <c r="G2901" t="inlineStr">
        <is>
          <t>01</t>
        </is>
      </c>
      <c r="H2901" t="inlineStr">
        <is>
          <t>06 KG</t>
        </is>
      </c>
      <c r="I2901" t="inlineStr">
        <is>
          <t>2027</t>
        </is>
      </c>
      <c r="J2901" t="n">
        <v>2007</v>
      </c>
      <c r="K2901" t="inlineStr">
        <is>
          <t>ABRIL 2025</t>
        </is>
      </c>
      <c r="L2901" t="inlineStr">
        <is>
          <t>ABRIL 2026</t>
        </is>
      </c>
      <c r="M2901" t="inlineStr">
        <is>
          <t xml:space="preserve">P.Q.S.  TIPO ABC  </t>
        </is>
      </c>
      <c r="N2901" t="inlineStr">
        <is>
          <t>01/010347</t>
        </is>
      </c>
      <c r="O2901" t="inlineStr">
        <is>
          <t>R</t>
        </is>
      </c>
      <c r="P2901">
        <f>TRIM(N2901)</f>
        <v/>
      </c>
    </row>
    <row r="2902">
      <c r="A2902" t="inlineStr">
        <is>
          <t>CO-002304</t>
        </is>
      </c>
      <c r="B2902" t="inlineStr">
        <is>
          <t>ANTICUCHERIA NIKO´S PARRILLAS</t>
        </is>
      </c>
      <c r="C2902" t="inlineStr">
        <is>
          <t xml:space="preserve">10423891934 </t>
        </is>
      </c>
      <c r="D2902" t="inlineStr">
        <is>
          <t xml:space="preserve">AV. LOS INCAS MZ J LT 14 SAN JUAN , COMAS </t>
        </is>
      </c>
      <c r="E2902" t="inlineStr">
        <is>
          <t>Lima, 21 de abril de 2025</t>
        </is>
      </c>
      <c r="F2902" t="inlineStr">
        <is>
          <t>la Recarga y mantenimiento</t>
        </is>
      </c>
      <c r="G2902" t="inlineStr">
        <is>
          <t>01</t>
        </is>
      </c>
      <c r="H2902" t="inlineStr">
        <is>
          <t xml:space="preserve">06 KG </t>
        </is>
      </c>
      <c r="I2902" t="inlineStr">
        <is>
          <t>2026</t>
        </is>
      </c>
      <c r="J2902" t="n">
        <v>2021</v>
      </c>
      <c r="K2902" t="inlineStr">
        <is>
          <t>ABRIL 2025</t>
        </is>
      </c>
      <c r="L2902" t="inlineStr">
        <is>
          <t>ABRIL 2026</t>
        </is>
      </c>
      <c r="M2902" t="inlineStr">
        <is>
          <t xml:space="preserve">P.Q.S.  TIPO ABC  </t>
        </is>
      </c>
      <c r="N2902" t="inlineStr">
        <is>
          <t>01/015375</t>
        </is>
      </c>
      <c r="O2902" t="inlineStr">
        <is>
          <t>R</t>
        </is>
      </c>
      <c r="P2902">
        <f>TRIM(N2902)</f>
        <v/>
      </c>
    </row>
    <row r="2903">
      <c r="A2903" t="inlineStr">
        <is>
          <t>CO-002304</t>
        </is>
      </c>
      <c r="B2903" t="inlineStr">
        <is>
          <t>ANTICUCHERIA NIKO´S PARRILLAS</t>
        </is>
      </c>
      <c r="C2903" t="inlineStr">
        <is>
          <t xml:space="preserve">10423891934 </t>
        </is>
      </c>
      <c r="D2903" t="inlineStr">
        <is>
          <t xml:space="preserve">AV. LOS INCAS MZ J LT 14 SAN JUAN , COMAS </t>
        </is>
      </c>
      <c r="E2903" t="inlineStr">
        <is>
          <t>Lima, 21 de abril de 2025</t>
        </is>
      </c>
      <c r="F2903" t="inlineStr">
        <is>
          <t>la Recarga y mantenimiento</t>
        </is>
      </c>
      <c r="G2903" t="inlineStr">
        <is>
          <t>02</t>
        </is>
      </c>
      <c r="H2903" t="inlineStr">
        <is>
          <t>1.5 GLS</t>
        </is>
      </c>
      <c r="I2903" t="inlineStr">
        <is>
          <t>2028</t>
        </is>
      </c>
      <c r="J2903" t="n">
        <v>2023</v>
      </c>
      <c r="K2903" t="inlineStr">
        <is>
          <t>ABRIL 2025</t>
        </is>
      </c>
      <c r="L2903" t="inlineStr">
        <is>
          <t>ABRIL 2026</t>
        </is>
      </c>
      <c r="M2903" t="inlineStr">
        <is>
          <t>ACETATO DE POTACIO TIPO K</t>
        </is>
      </c>
      <c r="N2903" t="inlineStr">
        <is>
          <t>02/00008</t>
        </is>
      </c>
      <c r="O2903" t="inlineStr">
        <is>
          <t>R</t>
        </is>
      </c>
      <c r="P2903">
        <f>TRIM(N2903)</f>
        <v/>
      </c>
    </row>
    <row r="2904">
      <c r="A2904" t="inlineStr">
        <is>
          <t>CO-002305</t>
        </is>
      </c>
      <c r="B2904" t="inlineStr">
        <is>
          <t>SERCONSAT E.I.R.L.</t>
        </is>
      </c>
      <c r="C2904" t="inlineStr">
        <is>
          <t xml:space="preserve">20602948278 </t>
        </is>
      </c>
      <c r="D2904" t="inlineStr">
        <is>
          <t xml:space="preserve">COMAS - LIMA </t>
        </is>
      </c>
      <c r="E2904" t="inlineStr">
        <is>
          <t>Lima, 15 de abril de 2025</t>
        </is>
      </c>
      <c r="F2904" t="inlineStr">
        <is>
          <t>la Recarga y mantenimiento</t>
        </is>
      </c>
      <c r="G2904" t="inlineStr">
        <is>
          <t>01</t>
        </is>
      </c>
      <c r="H2904" t="inlineStr">
        <is>
          <t>04 KG</t>
        </is>
      </c>
      <c r="I2904" t="inlineStr">
        <is>
          <t xml:space="preserve">VIGENTE </t>
        </is>
      </c>
      <c r="J2904" t="n">
        <v>2009</v>
      </c>
      <c r="K2904" t="inlineStr">
        <is>
          <t>ABRIL 2025</t>
        </is>
      </c>
      <c r="L2904" t="inlineStr">
        <is>
          <t>ABRIL 2026</t>
        </is>
      </c>
      <c r="M2904" t="inlineStr">
        <is>
          <t xml:space="preserve">P.Q.S.  TIPO ABC  </t>
        </is>
      </c>
      <c r="N2904" t="inlineStr">
        <is>
          <t>01/000007</t>
        </is>
      </c>
      <c r="O2904" t="inlineStr">
        <is>
          <t>R</t>
        </is>
      </c>
      <c r="P2904">
        <f>TRIM(N2904)</f>
        <v/>
      </c>
    </row>
    <row r="2905">
      <c r="A2905" t="inlineStr">
        <is>
          <t>CO-002306</t>
        </is>
      </c>
      <c r="B2905" t="inlineStr">
        <is>
          <t>LDR SOLUTIONS S.A.C</t>
        </is>
      </c>
      <c r="C2905" t="inlineStr">
        <is>
          <t xml:space="preserve">20613501275 </t>
        </is>
      </c>
      <c r="D2905" t="inlineStr">
        <is>
          <t xml:space="preserve">AV. CARABAYLLO 1247, COMAS </t>
        </is>
      </c>
      <c r="E2905" t="inlineStr">
        <is>
          <t>Lima, 16 de abril de 2025</t>
        </is>
      </c>
      <c r="F2905" t="inlineStr">
        <is>
          <t>la Recarga y mantenimiento</t>
        </is>
      </c>
      <c r="G2905" t="inlineStr">
        <is>
          <t>01</t>
        </is>
      </c>
      <c r="H2905" t="inlineStr">
        <is>
          <t>06 KG</t>
        </is>
      </c>
      <c r="I2905" t="inlineStr">
        <is>
          <t>2029</t>
        </is>
      </c>
      <c r="J2905" t="n">
        <v>2024</v>
      </c>
      <c r="K2905" t="inlineStr">
        <is>
          <t>ABRIL 2025</t>
        </is>
      </c>
      <c r="L2905" t="inlineStr">
        <is>
          <t>ABRIL 2026</t>
        </is>
      </c>
      <c r="M2905" t="inlineStr">
        <is>
          <t xml:space="preserve">P.Q.S.  TIPO ABC  </t>
        </is>
      </c>
      <c r="N2905" t="inlineStr">
        <is>
          <t>01/000979</t>
        </is>
      </c>
      <c r="O2905" t="inlineStr">
        <is>
          <t>R</t>
        </is>
      </c>
      <c r="P2905">
        <f>TRIM(N2905)</f>
        <v/>
      </c>
    </row>
    <row r="2906">
      <c r="A2906" t="inlineStr">
        <is>
          <t>CO-002306</t>
        </is>
      </c>
      <c r="B2906" t="inlineStr">
        <is>
          <t>LDR SOLUTIONS S.A.C</t>
        </is>
      </c>
      <c r="C2906" t="inlineStr">
        <is>
          <t xml:space="preserve">20613501275 </t>
        </is>
      </c>
      <c r="D2906" t="inlineStr">
        <is>
          <t xml:space="preserve">AV. CARABAYLLO 1247, COMAS </t>
        </is>
      </c>
      <c r="E2906" t="inlineStr">
        <is>
          <t>Lima, 16 de abril de 2025</t>
        </is>
      </c>
      <c r="F2906" t="inlineStr">
        <is>
          <t>la Recarga y mantenimiento</t>
        </is>
      </c>
      <c r="G2906" t="inlineStr">
        <is>
          <t>02</t>
        </is>
      </c>
      <c r="H2906" t="inlineStr">
        <is>
          <t>06 KG</t>
        </is>
      </c>
      <c r="I2906" t="inlineStr">
        <is>
          <t>2029</t>
        </is>
      </c>
      <c r="J2906" t="n">
        <v>2024</v>
      </c>
      <c r="K2906" t="inlineStr">
        <is>
          <t>ABRIL 2025</t>
        </is>
      </c>
      <c r="L2906" t="inlineStr">
        <is>
          <t>ABRIL 2026</t>
        </is>
      </c>
      <c r="M2906" t="inlineStr">
        <is>
          <t xml:space="preserve">P.Q.S.  TIPO ABC  </t>
        </is>
      </c>
      <c r="N2906" t="inlineStr">
        <is>
          <t>02/001041</t>
        </is>
      </c>
      <c r="O2906" t="inlineStr">
        <is>
          <t>R</t>
        </is>
      </c>
      <c r="P2906">
        <f>TRIM(N2906)</f>
        <v/>
      </c>
    </row>
    <row r="2907">
      <c r="A2907" t="inlineStr">
        <is>
          <t>CO-002307</t>
        </is>
      </c>
      <c r="B2907" t="inlineStr">
        <is>
          <t>UNIGRAF SAC</t>
        </is>
      </c>
      <c r="C2907" t="inlineStr">
        <is>
          <t>20113367955</t>
        </is>
      </c>
      <c r="D2907" t="inlineStr">
        <is>
          <t>CALLE LOS CEDROS MZ C1 LT1 CPM HUACHIPA, LURIGANCHO CHOSICA</t>
        </is>
      </c>
      <c r="E2907" t="inlineStr">
        <is>
          <t>Lima, 23 de abril de 2025</t>
        </is>
      </c>
      <c r="F2907" t="inlineStr">
        <is>
          <t>la Recarga y mantenimiento</t>
        </is>
      </c>
      <c r="G2907" t="inlineStr">
        <is>
          <t>01</t>
        </is>
      </c>
      <c r="H2907" t="inlineStr">
        <is>
          <t>06 KG</t>
        </is>
      </c>
      <c r="I2907" t="inlineStr">
        <is>
          <t>2030</t>
        </is>
      </c>
      <c r="J2907" t="n">
        <v>2011</v>
      </c>
      <c r="K2907" t="inlineStr">
        <is>
          <t>ABRIL 2025</t>
        </is>
      </c>
      <c r="L2907" t="inlineStr">
        <is>
          <t>ABRIL 2026</t>
        </is>
      </c>
      <c r="M2907" t="inlineStr">
        <is>
          <t xml:space="preserve">P.Q.S.  TIPO ABC  </t>
        </is>
      </c>
      <c r="N2907" t="inlineStr">
        <is>
          <t>21/0002016</t>
        </is>
      </c>
      <c r="O2907" t="inlineStr">
        <is>
          <t>R</t>
        </is>
      </c>
      <c r="P2907">
        <f>TRIM(N2907)</f>
        <v/>
      </c>
    </row>
    <row r="2908">
      <c r="A2908" t="inlineStr">
        <is>
          <t>CO-002307</t>
        </is>
      </c>
      <c r="B2908" t="inlineStr">
        <is>
          <t>UNIGRAF SAC</t>
        </is>
      </c>
      <c r="C2908" t="inlineStr">
        <is>
          <t>20113367955</t>
        </is>
      </c>
      <c r="D2908" t="inlineStr">
        <is>
          <t>CALLE LOS CEDROS MZ C1 LT1 CPM HUACHIPA, LURIGANCHO CHOSICA</t>
        </is>
      </c>
      <c r="E2908" t="inlineStr">
        <is>
          <t>Lima, 23 de abril de 2025</t>
        </is>
      </c>
      <c r="F2908" t="inlineStr">
        <is>
          <t>la Recarga y mantenimiento</t>
        </is>
      </c>
      <c r="G2908" t="inlineStr">
        <is>
          <t>02</t>
        </is>
      </c>
      <c r="H2908" t="inlineStr">
        <is>
          <t>06 KG</t>
        </is>
      </c>
      <c r="I2908" t="inlineStr">
        <is>
          <t>2030</t>
        </is>
      </c>
      <c r="J2908" t="n">
        <v>2008</v>
      </c>
      <c r="K2908" t="inlineStr">
        <is>
          <t>ABRIL 2025</t>
        </is>
      </c>
      <c r="L2908" t="inlineStr">
        <is>
          <t>ABRIL 2026</t>
        </is>
      </c>
      <c r="M2908" t="inlineStr">
        <is>
          <t xml:space="preserve">P.Q.S.  TIPO ABC  </t>
        </is>
      </c>
      <c r="N2908" t="inlineStr">
        <is>
          <t>S/N/005887</t>
        </is>
      </c>
      <c r="O2908" t="inlineStr">
        <is>
          <t>R</t>
        </is>
      </c>
      <c r="P2908">
        <f>TRIM(N2908)</f>
        <v/>
      </c>
    </row>
    <row r="2909">
      <c r="A2909" t="inlineStr">
        <is>
          <t>CO-002307</t>
        </is>
      </c>
      <c r="B2909" t="inlineStr">
        <is>
          <t>UNIGRAF SAC</t>
        </is>
      </c>
      <c r="C2909" t="inlineStr">
        <is>
          <t>20113367955</t>
        </is>
      </c>
      <c r="D2909" t="inlineStr">
        <is>
          <t>CALLE LOS CEDROS MZ C1 LT1 CPM HUACHIPA, LURIGANCHO CHOSICA</t>
        </is>
      </c>
      <c r="E2909" t="inlineStr">
        <is>
          <t>Lima, 23 de abril de 2025</t>
        </is>
      </c>
      <c r="F2909" t="inlineStr">
        <is>
          <t>la Recarga y mantenimiento</t>
        </is>
      </c>
      <c r="G2909" t="inlineStr">
        <is>
          <t>03</t>
        </is>
      </c>
      <c r="H2909" t="inlineStr">
        <is>
          <t>06 KG</t>
        </is>
      </c>
      <c r="I2909" t="inlineStr">
        <is>
          <t>2029</t>
        </is>
      </c>
      <c r="J2909" t="n">
        <v>2013</v>
      </c>
      <c r="K2909" t="inlineStr">
        <is>
          <t>ABRIL 2025</t>
        </is>
      </c>
      <c r="L2909" t="inlineStr">
        <is>
          <t>ABRIL 2026</t>
        </is>
      </c>
      <c r="M2909" t="inlineStr">
        <is>
          <t xml:space="preserve">P.Q.S.  TIPO ABC  </t>
        </is>
      </c>
      <c r="N2909" t="inlineStr">
        <is>
          <t>S/N/000645</t>
        </is>
      </c>
      <c r="O2909" t="inlineStr">
        <is>
          <t>R</t>
        </is>
      </c>
      <c r="P2909">
        <f>TRIM(N2909)</f>
        <v/>
      </c>
    </row>
    <row r="2910">
      <c r="A2910" t="inlineStr">
        <is>
          <t>CO-002307</t>
        </is>
      </c>
      <c r="B2910" t="inlineStr">
        <is>
          <t>UNIGRAF SAC</t>
        </is>
      </c>
      <c r="C2910" t="inlineStr">
        <is>
          <t>20113367955</t>
        </is>
      </c>
      <c r="D2910" t="inlineStr">
        <is>
          <t>CALLE LOS CEDROS MZ C1 LT1 CPM HUACHIPA, LURIGANCHO CHOSICA</t>
        </is>
      </c>
      <c r="E2910" t="inlineStr">
        <is>
          <t>Lima, 23 de abril de 2025</t>
        </is>
      </c>
      <c r="F2910" t="inlineStr">
        <is>
          <t>la Recarga y mantenimiento</t>
        </is>
      </c>
      <c r="G2910" t="inlineStr">
        <is>
          <t>04</t>
        </is>
      </c>
      <c r="H2910" t="inlineStr">
        <is>
          <t>06 KG</t>
        </is>
      </c>
      <c r="I2910" t="inlineStr">
        <is>
          <t>2029</t>
        </is>
      </c>
      <c r="J2910" t="n">
        <v>2024</v>
      </c>
      <c r="K2910" t="inlineStr">
        <is>
          <t>ABRIL 2025</t>
        </is>
      </c>
      <c r="L2910" t="inlineStr">
        <is>
          <t>ABRIL 2026</t>
        </is>
      </c>
      <c r="M2910" t="inlineStr">
        <is>
          <t xml:space="preserve">P.Q.S.  TIPO ABC  </t>
        </is>
      </c>
      <c r="N2910" t="inlineStr">
        <is>
          <t>S/N/006242</t>
        </is>
      </c>
      <c r="O2910" t="inlineStr">
        <is>
          <t>V</t>
        </is>
      </c>
      <c r="P2910">
        <f>TRIM(N2910)</f>
        <v/>
      </c>
    </row>
    <row r="2911">
      <c r="A2911" t="inlineStr">
        <is>
          <t>CO-002307</t>
        </is>
      </c>
      <c r="B2911" t="inlineStr">
        <is>
          <t>UNIGRAF SAC</t>
        </is>
      </c>
      <c r="C2911" t="inlineStr">
        <is>
          <t>20113367955</t>
        </is>
      </c>
      <c r="D2911" t="inlineStr">
        <is>
          <t>CALLE LOS CEDROS MZ C1 LT1 CPM HUACHIPA, LURIGANCHO CHOSICA</t>
        </is>
      </c>
      <c r="E2911" t="inlineStr">
        <is>
          <t>Lima, 23 de abril de 2025</t>
        </is>
      </c>
      <c r="F2911" t="inlineStr">
        <is>
          <t>la Recarga y mantenimiento</t>
        </is>
      </c>
      <c r="G2911" t="inlineStr">
        <is>
          <t>05</t>
        </is>
      </c>
      <c r="H2911" t="inlineStr">
        <is>
          <t>06 KG</t>
        </is>
      </c>
      <c r="I2911" t="inlineStr">
        <is>
          <t>2029</t>
        </is>
      </c>
      <c r="J2911" t="n">
        <v>2013</v>
      </c>
      <c r="K2911" t="inlineStr">
        <is>
          <t>ABRIL 2025</t>
        </is>
      </c>
      <c r="L2911" t="inlineStr">
        <is>
          <t>ABRIL 2026</t>
        </is>
      </c>
      <c r="M2911" t="inlineStr">
        <is>
          <t xml:space="preserve">P.Q.S.  TIPO ABC  </t>
        </is>
      </c>
      <c r="N2911" t="inlineStr">
        <is>
          <t>19/0002492</t>
        </is>
      </c>
      <c r="O2911" t="inlineStr">
        <is>
          <t>R</t>
        </is>
      </c>
      <c r="P2911">
        <f>TRIM(N2911)</f>
        <v/>
      </c>
    </row>
    <row r="2912">
      <c r="A2912" t="inlineStr">
        <is>
          <t>CO-002307</t>
        </is>
      </c>
      <c r="B2912" t="inlineStr">
        <is>
          <t>UNIGRAF SAC</t>
        </is>
      </c>
      <c r="C2912" t="inlineStr">
        <is>
          <t>20113367955</t>
        </is>
      </c>
      <c r="D2912" t="inlineStr">
        <is>
          <t>CALLE LOS CEDROS MZ C1 LT1 CPM HUACHIPA, LURIGANCHO CHOSICA</t>
        </is>
      </c>
      <c r="E2912" t="inlineStr">
        <is>
          <t>Lima, 23 de abril de 2025</t>
        </is>
      </c>
      <c r="F2912" t="inlineStr">
        <is>
          <t>la Recarga y mantenimiento</t>
        </is>
      </c>
      <c r="G2912" t="inlineStr">
        <is>
          <t>06</t>
        </is>
      </c>
      <c r="H2912" t="inlineStr">
        <is>
          <t>06 KG</t>
        </is>
      </c>
      <c r="I2912" t="inlineStr">
        <is>
          <t>2029</t>
        </is>
      </c>
      <c r="J2912" t="n">
        <v>2013</v>
      </c>
      <c r="K2912" t="inlineStr">
        <is>
          <t>ABRIL 2025</t>
        </is>
      </c>
      <c r="L2912" t="inlineStr">
        <is>
          <t>ABRIL 2026</t>
        </is>
      </c>
      <c r="M2912" t="inlineStr">
        <is>
          <t xml:space="preserve">P.Q.S.  TIPO ABC  </t>
        </is>
      </c>
      <c r="N2912" t="inlineStr">
        <is>
          <t>10/002455</t>
        </is>
      </c>
      <c r="O2912" t="inlineStr">
        <is>
          <t>R</t>
        </is>
      </c>
      <c r="P2912">
        <f>TRIM(N2912)</f>
        <v/>
      </c>
    </row>
    <row r="2913">
      <c r="A2913" t="inlineStr">
        <is>
          <t>CO-002308</t>
        </is>
      </c>
      <c r="B2913" t="inlineStr">
        <is>
          <t>PERU MASIVO S.A - BUSES</t>
        </is>
      </c>
      <c r="C2913" t="inlineStr">
        <is>
          <t>20492392031</t>
        </is>
      </c>
      <c r="D2913" t="inlineStr">
        <is>
          <t>AV. LOS INCAS CDRA. 4 PATIO NORTE - COMAS</t>
        </is>
      </c>
      <c r="E2913" t="inlineStr">
        <is>
          <t>Lima, 16 de abril de 2025</t>
        </is>
      </c>
      <c r="F2913" t="inlineStr">
        <is>
          <t>la Recarga y mantenimiento</t>
        </is>
      </c>
      <c r="G2913" t="inlineStr">
        <is>
          <t>01</t>
        </is>
      </c>
      <c r="H2913" t="inlineStr">
        <is>
          <t>06 KG</t>
        </is>
      </c>
      <c r="I2913" t="inlineStr">
        <is>
          <t>2029</t>
        </is>
      </c>
      <c r="J2913" t="n">
        <v>2009</v>
      </c>
      <c r="K2913" t="inlineStr">
        <is>
          <t>ABRIL 2025</t>
        </is>
      </c>
      <c r="L2913" t="inlineStr">
        <is>
          <t>ABRIL 2026</t>
        </is>
      </c>
      <c r="M2913" t="inlineStr">
        <is>
          <t>P.Q.S.  TIPO ABC  90% NACIONAL</t>
        </is>
      </c>
      <c r="N2913" t="inlineStr">
        <is>
          <t>07/001500</t>
        </is>
      </c>
      <c r="O2913" t="inlineStr">
        <is>
          <t>R</t>
        </is>
      </c>
      <c r="P2913">
        <f>TRIM(N2913)</f>
        <v/>
      </c>
    </row>
    <row r="2914">
      <c r="A2914" t="inlineStr">
        <is>
          <t>CO-002308</t>
        </is>
      </c>
      <c r="B2914" t="inlineStr">
        <is>
          <t>PERU MASIVO S.A - BUSES</t>
        </is>
      </c>
      <c r="C2914" t="inlineStr">
        <is>
          <t>20492392031</t>
        </is>
      </c>
      <c r="D2914" t="inlineStr">
        <is>
          <t>AV. LOS INCAS CDRA. 4 PATIO NORTE - COMAS</t>
        </is>
      </c>
      <c r="E2914" t="inlineStr">
        <is>
          <t>Lima, 16 de abril de 2025</t>
        </is>
      </c>
      <c r="F2914" t="inlineStr">
        <is>
          <t>la Recarga y mantenimiento</t>
        </is>
      </c>
      <c r="G2914" t="inlineStr">
        <is>
          <t>02</t>
        </is>
      </c>
      <c r="H2914" t="inlineStr">
        <is>
          <t>06 KG</t>
        </is>
      </c>
      <c r="I2914" t="inlineStr">
        <is>
          <t>2029</t>
        </is>
      </c>
      <c r="J2914" t="n">
        <v>2013</v>
      </c>
      <c r="K2914" t="inlineStr">
        <is>
          <t>ABRIL 2025</t>
        </is>
      </c>
      <c r="L2914" t="inlineStr">
        <is>
          <t>ABRIL 2026</t>
        </is>
      </c>
      <c r="M2914" t="inlineStr">
        <is>
          <t>P.Q.S.  TIPO ABC  90% NACIONAL</t>
        </is>
      </c>
      <c r="N2914" t="inlineStr">
        <is>
          <t>72/000966</t>
        </is>
      </c>
      <c r="O2914" t="inlineStr">
        <is>
          <t>R</t>
        </is>
      </c>
      <c r="P2914">
        <f>TRIM(N2914)</f>
        <v/>
      </c>
    </row>
    <row r="2915">
      <c r="A2915" t="inlineStr">
        <is>
          <t>CO-002308</t>
        </is>
      </c>
      <c r="B2915" t="inlineStr">
        <is>
          <t>PERU MASIVO S.A - BUSES</t>
        </is>
      </c>
      <c r="C2915" t="inlineStr">
        <is>
          <t>20492392031</t>
        </is>
      </c>
      <c r="D2915" t="inlineStr">
        <is>
          <t>AV. LOS INCAS CDRA. 4 PATIO NORTE - COMAS</t>
        </is>
      </c>
      <c r="E2915" t="inlineStr">
        <is>
          <t>Lima, 16 de abril de 2025</t>
        </is>
      </c>
      <c r="F2915" t="inlineStr">
        <is>
          <t>la Recarga y mantenimiento</t>
        </is>
      </c>
      <c r="G2915" t="inlineStr">
        <is>
          <t>03</t>
        </is>
      </c>
      <c r="H2915" t="inlineStr">
        <is>
          <t>06 KG</t>
        </is>
      </c>
      <c r="I2915" t="inlineStr">
        <is>
          <t>2029</t>
        </is>
      </c>
      <c r="J2915" t="n">
        <v>2010</v>
      </c>
      <c r="K2915" t="inlineStr">
        <is>
          <t>ABRIL 2025</t>
        </is>
      </c>
      <c r="L2915" t="inlineStr">
        <is>
          <t>ABRIL 2026</t>
        </is>
      </c>
      <c r="M2915" t="inlineStr">
        <is>
          <t>P.Q.S.  TIPO ABC  90% NACIONAL</t>
        </is>
      </c>
      <c r="N2915" t="inlineStr">
        <is>
          <t>102/000383</t>
        </is>
      </c>
      <c r="O2915" t="inlineStr">
        <is>
          <t>R</t>
        </is>
      </c>
      <c r="P2915">
        <f>TRIM(N2915)</f>
        <v/>
      </c>
    </row>
    <row r="2916">
      <c r="A2916" t="inlineStr">
        <is>
          <t>CO-002308</t>
        </is>
      </c>
      <c r="B2916" t="inlineStr">
        <is>
          <t>PERU MASIVO S.A - BUSES</t>
        </is>
      </c>
      <c r="C2916" t="inlineStr">
        <is>
          <t>20492392031</t>
        </is>
      </c>
      <c r="D2916" t="inlineStr">
        <is>
          <t>AV. LOS INCAS CDRA. 4 PATIO NORTE - COMAS</t>
        </is>
      </c>
      <c r="E2916" t="inlineStr">
        <is>
          <t>Lima, 16 de abril de 2025</t>
        </is>
      </c>
      <c r="F2916" t="inlineStr">
        <is>
          <t>la Recarga y mantenimiento</t>
        </is>
      </c>
      <c r="G2916" t="inlineStr">
        <is>
          <t>04</t>
        </is>
      </c>
      <c r="H2916" t="inlineStr">
        <is>
          <t>06 KG</t>
        </is>
      </c>
      <c r="I2916" t="inlineStr">
        <is>
          <t>2029</t>
        </is>
      </c>
      <c r="J2916" t="n">
        <v>2010</v>
      </c>
      <c r="K2916" t="inlineStr">
        <is>
          <t>ABRIL 2025</t>
        </is>
      </c>
      <c r="L2916" t="inlineStr">
        <is>
          <t>ABRIL 2026</t>
        </is>
      </c>
      <c r="M2916" t="inlineStr">
        <is>
          <t>P.Q.S.  TIPO ABC  90% NACIONAL</t>
        </is>
      </c>
      <c r="N2916" t="inlineStr">
        <is>
          <t>140/006506</t>
        </is>
      </c>
      <c r="O2916" t="inlineStr">
        <is>
          <t>R</t>
        </is>
      </c>
      <c r="P2916">
        <f>TRIM(N2916)</f>
        <v/>
      </c>
    </row>
    <row r="2917">
      <c r="A2917" t="inlineStr">
        <is>
          <t>CO-002308</t>
        </is>
      </c>
      <c r="B2917" t="inlineStr">
        <is>
          <t>PERU MASIVO S.A - BUSES</t>
        </is>
      </c>
      <c r="C2917" t="inlineStr">
        <is>
          <t>20492392031</t>
        </is>
      </c>
      <c r="D2917" t="inlineStr">
        <is>
          <t>AV. LOS INCAS CDRA. 4 PATIO NORTE - COMAS</t>
        </is>
      </c>
      <c r="E2917" t="inlineStr">
        <is>
          <t>Lima, 16 de abril de 2025</t>
        </is>
      </c>
      <c r="F2917" t="inlineStr">
        <is>
          <t>la Recarga y mantenimiento</t>
        </is>
      </c>
      <c r="G2917" t="inlineStr">
        <is>
          <t>05</t>
        </is>
      </c>
      <c r="H2917" t="inlineStr">
        <is>
          <t>06 KG</t>
        </is>
      </c>
      <c r="I2917" t="inlineStr">
        <is>
          <t>2029</t>
        </is>
      </c>
      <c r="J2917" t="n">
        <v>2009</v>
      </c>
      <c r="K2917" t="inlineStr">
        <is>
          <t>ABRIL 2025</t>
        </is>
      </c>
      <c r="L2917" t="inlineStr">
        <is>
          <t>ABRIL 2026</t>
        </is>
      </c>
      <c r="M2917" t="inlineStr">
        <is>
          <t>P.Q.S.  TIPO ABC  90% NACIONAL</t>
        </is>
      </c>
      <c r="N2917" t="inlineStr">
        <is>
          <t>189/000999</t>
        </is>
      </c>
      <c r="O2917" t="inlineStr">
        <is>
          <t>R</t>
        </is>
      </c>
      <c r="P2917">
        <f>TRIM(N2917)</f>
        <v/>
      </c>
    </row>
    <row r="2918">
      <c r="A2918" t="inlineStr">
        <is>
          <t>CO-002308</t>
        </is>
      </c>
      <c r="B2918" t="inlineStr">
        <is>
          <t>PERU MASIVO S.A - BUSES</t>
        </is>
      </c>
      <c r="C2918" t="inlineStr">
        <is>
          <t>20492392031</t>
        </is>
      </c>
      <c r="D2918" t="inlineStr">
        <is>
          <t>AV. LOS INCAS CDRA. 4 PATIO NORTE - COMAS</t>
        </is>
      </c>
      <c r="E2918" t="inlineStr">
        <is>
          <t>Lima, 16 de abril de 2025</t>
        </is>
      </c>
      <c r="F2918" t="inlineStr">
        <is>
          <t>la Recarga y mantenimiento</t>
        </is>
      </c>
      <c r="G2918" t="inlineStr">
        <is>
          <t>06</t>
        </is>
      </c>
      <c r="H2918" t="inlineStr">
        <is>
          <t>06 KG</t>
        </is>
      </c>
      <c r="I2918" t="inlineStr">
        <is>
          <t>2029</t>
        </is>
      </c>
      <c r="J2918" t="n">
        <v>2010</v>
      </c>
      <c r="K2918" t="inlineStr">
        <is>
          <t>ABRIL 2025</t>
        </is>
      </c>
      <c r="L2918" t="inlineStr">
        <is>
          <t>ABRIL 2026</t>
        </is>
      </c>
      <c r="M2918" t="inlineStr">
        <is>
          <t>P.Q.S.  TIPO ABC  90% NACIONAL</t>
        </is>
      </c>
      <c r="N2918" t="inlineStr">
        <is>
          <t>220/000882</t>
        </is>
      </c>
      <c r="O2918" t="inlineStr">
        <is>
          <t>R</t>
        </is>
      </c>
      <c r="P2918">
        <f>TRIM(N2918)</f>
        <v/>
      </c>
    </row>
    <row r="2919">
      <c r="A2919" t="inlineStr">
        <is>
          <t>CO-002308</t>
        </is>
      </c>
      <c r="B2919" t="inlineStr">
        <is>
          <t>PERU MASIVO S.A - BUSES</t>
        </is>
      </c>
      <c r="C2919" t="inlineStr">
        <is>
          <t>20492392031</t>
        </is>
      </c>
      <c r="D2919" t="inlineStr">
        <is>
          <t>AV. LOS INCAS CDRA. 4 PATIO NORTE - COMAS</t>
        </is>
      </c>
      <c r="E2919" t="inlineStr">
        <is>
          <t>Lima, 16 de abril de 2025</t>
        </is>
      </c>
      <c r="F2919" t="inlineStr">
        <is>
          <t>la Recarga y mantenimiento</t>
        </is>
      </c>
      <c r="G2919" t="inlineStr">
        <is>
          <t>07</t>
        </is>
      </c>
      <c r="H2919" t="inlineStr">
        <is>
          <t>06 KG</t>
        </is>
      </c>
      <c r="I2919" t="inlineStr">
        <is>
          <t>2029</t>
        </is>
      </c>
      <c r="J2919" t="n">
        <v>2009</v>
      </c>
      <c r="K2919" t="inlineStr">
        <is>
          <t>ABRIL 2025</t>
        </is>
      </c>
      <c r="L2919" t="inlineStr">
        <is>
          <t>ABRIL 2026</t>
        </is>
      </c>
      <c r="M2919" t="inlineStr">
        <is>
          <t>P.Q.S.  TIPO ABC  90% NACIONAL</t>
        </is>
      </c>
      <c r="N2919" t="inlineStr">
        <is>
          <t>277/001108</t>
        </is>
      </c>
      <c r="O2919" t="inlineStr">
        <is>
          <t>R</t>
        </is>
      </c>
      <c r="P2919">
        <f>TRIM(N2919)</f>
        <v/>
      </c>
    </row>
    <row r="2920">
      <c r="A2920" t="inlineStr">
        <is>
          <t>CO-002308</t>
        </is>
      </c>
      <c r="B2920" t="inlineStr">
        <is>
          <t>PERU MASIVO S.A - BUSES</t>
        </is>
      </c>
      <c r="C2920" t="inlineStr">
        <is>
          <t>20492392031</t>
        </is>
      </c>
      <c r="D2920" t="inlineStr">
        <is>
          <t>AV. LOS INCAS CDRA. 4 PATIO NORTE - COMAS</t>
        </is>
      </c>
      <c r="E2920" t="inlineStr">
        <is>
          <t>Lima, 16 de abril de 2025</t>
        </is>
      </c>
      <c r="F2920" t="inlineStr">
        <is>
          <t>la Recarga y mantenimiento</t>
        </is>
      </c>
      <c r="G2920" t="inlineStr">
        <is>
          <t>08</t>
        </is>
      </c>
      <c r="H2920" t="inlineStr">
        <is>
          <t>06 KG</t>
        </is>
      </c>
      <c r="I2920" t="inlineStr">
        <is>
          <t>2029</t>
        </is>
      </c>
      <c r="J2920" t="n">
        <v>2010</v>
      </c>
      <c r="K2920" t="inlineStr">
        <is>
          <t>ABRIL 2025</t>
        </is>
      </c>
      <c r="L2920" t="inlineStr">
        <is>
          <t>ABRIL 2026</t>
        </is>
      </c>
      <c r="M2920" t="inlineStr">
        <is>
          <t>P.Q.S.  TIPO ABC  90% NACIONAL</t>
        </is>
      </c>
      <c r="N2920" t="inlineStr">
        <is>
          <t>298/002485</t>
        </is>
      </c>
      <c r="O2920" t="inlineStr">
        <is>
          <t>R</t>
        </is>
      </c>
      <c r="P2920">
        <f>TRIM(N2920)</f>
        <v/>
      </c>
    </row>
    <row r="2921">
      <c r="A2921" t="inlineStr">
        <is>
          <t>CO-002308</t>
        </is>
      </c>
      <c r="B2921" t="inlineStr">
        <is>
          <t>PERU MASIVO S.A - BUSES</t>
        </is>
      </c>
      <c r="C2921" t="inlineStr">
        <is>
          <t>20492392031</t>
        </is>
      </c>
      <c r="D2921" t="inlineStr">
        <is>
          <t>AV. LOS INCAS CDRA. 4 PATIO NORTE - COMAS</t>
        </is>
      </c>
      <c r="E2921" t="inlineStr">
        <is>
          <t>Lima, 16 de abril de 2025</t>
        </is>
      </c>
      <c r="F2921" t="inlineStr">
        <is>
          <t>la Recarga y mantenimiento</t>
        </is>
      </c>
      <c r="G2921" t="inlineStr">
        <is>
          <t>09</t>
        </is>
      </c>
      <c r="H2921" t="inlineStr">
        <is>
          <t>06 KG</t>
        </is>
      </c>
      <c r="I2921" t="inlineStr">
        <is>
          <t>2029</t>
        </is>
      </c>
      <c r="J2921" t="n">
        <v>2024</v>
      </c>
      <c r="K2921" t="inlineStr">
        <is>
          <t>ABRIL 2025</t>
        </is>
      </c>
      <c r="L2921" t="inlineStr">
        <is>
          <t>ABRIL 2026</t>
        </is>
      </c>
      <c r="M2921" t="inlineStr">
        <is>
          <t>P.Q.S.  TIPO ABC  90% NACIONAL</t>
        </is>
      </c>
      <c r="N2921" t="inlineStr">
        <is>
          <t>134/003097</t>
        </is>
      </c>
      <c r="O2921" t="inlineStr">
        <is>
          <t>R</t>
        </is>
      </c>
      <c r="P2921">
        <f>TRIM(N2921)</f>
        <v/>
      </c>
    </row>
    <row r="2922">
      <c r="A2922" t="inlineStr">
        <is>
          <t>CO-002309</t>
        </is>
      </c>
      <c r="B2922" t="inlineStr">
        <is>
          <t xml:space="preserve">INDEXTU SAC </t>
        </is>
      </c>
      <c r="C2922" t="inlineStr">
        <is>
          <t>20602503039</t>
        </is>
      </c>
      <c r="D2922" t="inlineStr">
        <is>
          <t xml:space="preserve"> AV. MAQUINARIAS NRO. 2341 Z.I. INDUSTRIAL, LIMA</t>
        </is>
      </c>
      <c r="E2922" t="inlineStr">
        <is>
          <t>Lima, 23 de abril de 2025</t>
        </is>
      </c>
      <c r="F2922" t="inlineStr">
        <is>
          <t>el mantenimiento</t>
        </is>
      </c>
      <c r="G2922" t="inlineStr">
        <is>
          <t>01</t>
        </is>
      </c>
      <c r="H2922" t="inlineStr">
        <is>
          <t xml:space="preserve">12 KG </t>
        </is>
      </c>
      <c r="I2922" t="inlineStr">
        <is>
          <t>2027</t>
        </is>
      </c>
      <c r="J2922" t="n">
        <v>2022</v>
      </c>
      <c r="K2922" t="inlineStr">
        <is>
          <t>ABRIL 2025</t>
        </is>
      </c>
      <c r="L2922" t="inlineStr">
        <is>
          <t>ABRIL 2026</t>
        </is>
      </c>
      <c r="M2922" t="inlineStr">
        <is>
          <t xml:space="preserve">P.Q.S.  TIPO ABC AL 90% UL </t>
        </is>
      </c>
      <c r="N2922" t="inlineStr">
        <is>
          <t>23/000121</t>
        </is>
      </c>
      <c r="O2922" t="inlineStr">
        <is>
          <t>M3</t>
        </is>
      </c>
      <c r="P2922">
        <f>TRIM(N2922)</f>
        <v/>
      </c>
    </row>
    <row r="2923">
      <c r="A2923" t="inlineStr">
        <is>
          <t>CO-002309</t>
        </is>
      </c>
      <c r="B2923" t="inlineStr">
        <is>
          <t xml:space="preserve">INDEXTU SAC </t>
        </is>
      </c>
      <c r="C2923" t="inlineStr">
        <is>
          <t>20602503039</t>
        </is>
      </c>
      <c r="D2923" t="inlineStr">
        <is>
          <t xml:space="preserve"> AV. MAQUINARIAS NRO. 2341 Z.I. INDUSTRIAL, LIMA</t>
        </is>
      </c>
      <c r="E2923" t="inlineStr">
        <is>
          <t>Lima, 23 de abril de 2025</t>
        </is>
      </c>
      <c r="F2923" t="inlineStr">
        <is>
          <t>el mantenimiento</t>
        </is>
      </c>
      <c r="G2923" t="inlineStr">
        <is>
          <t>02</t>
        </is>
      </c>
      <c r="H2923" t="inlineStr">
        <is>
          <t>12 KG</t>
        </is>
      </c>
      <c r="I2923" t="inlineStr">
        <is>
          <t>2027</t>
        </is>
      </c>
      <c r="J2923" t="n">
        <v>2022</v>
      </c>
      <c r="K2923" t="inlineStr">
        <is>
          <t>ABRIL 2025</t>
        </is>
      </c>
      <c r="L2923" t="inlineStr">
        <is>
          <t>ABRIL 2026</t>
        </is>
      </c>
      <c r="M2923" t="inlineStr">
        <is>
          <t xml:space="preserve">P.Q.S.  TIPO ABC AL 90% UL </t>
        </is>
      </c>
      <c r="N2923" t="inlineStr">
        <is>
          <t>20/000086</t>
        </is>
      </c>
      <c r="O2923" t="inlineStr">
        <is>
          <t>M3</t>
        </is>
      </c>
      <c r="P2923">
        <f>TRIM(N2923)</f>
        <v/>
      </c>
    </row>
    <row r="2924">
      <c r="A2924" t="inlineStr">
        <is>
          <t>CO-002309</t>
        </is>
      </c>
      <c r="B2924" t="inlineStr">
        <is>
          <t xml:space="preserve">INDEXTU SAC </t>
        </is>
      </c>
      <c r="C2924" t="inlineStr">
        <is>
          <t>20602503039</t>
        </is>
      </c>
      <c r="D2924" t="inlineStr">
        <is>
          <t xml:space="preserve"> AV. MAQUINARIAS NRO. 2341 Z.I. INDUSTRIAL, LIMA</t>
        </is>
      </c>
      <c r="E2924" t="inlineStr">
        <is>
          <t>Lima, 23 de abril de 2025</t>
        </is>
      </c>
      <c r="F2924" t="inlineStr">
        <is>
          <t>el mantenimiento</t>
        </is>
      </c>
      <c r="G2924" t="inlineStr">
        <is>
          <t>03</t>
        </is>
      </c>
      <c r="H2924" t="inlineStr">
        <is>
          <t>12 KG</t>
        </is>
      </c>
      <c r="I2924" t="inlineStr">
        <is>
          <t>2027</t>
        </is>
      </c>
      <c r="J2924" t="n">
        <v>2022</v>
      </c>
      <c r="K2924" t="inlineStr">
        <is>
          <t>ABRIL 2025</t>
        </is>
      </c>
      <c r="L2924" t="inlineStr">
        <is>
          <t>ABRIL 2026</t>
        </is>
      </c>
      <c r="M2924" t="inlineStr">
        <is>
          <t xml:space="preserve">P.Q.S.  TIPO ABC AL 90% UL </t>
        </is>
      </c>
      <c r="N2924" t="inlineStr">
        <is>
          <t>06/000180</t>
        </is>
      </c>
      <c r="O2924" t="inlineStr">
        <is>
          <t>M3</t>
        </is>
      </c>
      <c r="P2924">
        <f>TRIM(N2924)</f>
        <v/>
      </c>
    </row>
    <row r="2925">
      <c r="A2925" t="inlineStr">
        <is>
          <t>CO-002309</t>
        </is>
      </c>
      <c r="B2925" t="inlineStr">
        <is>
          <t xml:space="preserve">INDEXTU SAC </t>
        </is>
      </c>
      <c r="C2925" t="inlineStr">
        <is>
          <t>20602503039</t>
        </is>
      </c>
      <c r="D2925" t="inlineStr">
        <is>
          <t xml:space="preserve"> AV. MAQUINARIAS NRO. 2341 Z.I. INDUSTRIAL, LIMA</t>
        </is>
      </c>
      <c r="E2925" t="inlineStr">
        <is>
          <t>Lima, 23 de abril de 2025</t>
        </is>
      </c>
      <c r="F2925" t="inlineStr">
        <is>
          <t>el mantenimiento</t>
        </is>
      </c>
      <c r="G2925" t="inlineStr">
        <is>
          <t>04</t>
        </is>
      </c>
      <c r="H2925" t="inlineStr">
        <is>
          <t>12 KG</t>
        </is>
      </c>
      <c r="I2925" t="inlineStr">
        <is>
          <t>2027</t>
        </is>
      </c>
      <c r="J2925" t="n">
        <v>2022</v>
      </c>
      <c r="K2925" t="inlineStr">
        <is>
          <t>ABRIL 2025</t>
        </is>
      </c>
      <c r="L2925" t="inlineStr">
        <is>
          <t>ABRIL 2026</t>
        </is>
      </c>
      <c r="M2925" t="inlineStr">
        <is>
          <t xml:space="preserve">P.Q.S.  TIPO ABC AL 90% UL </t>
        </is>
      </c>
      <c r="N2925" t="inlineStr">
        <is>
          <t>16/000111</t>
        </is>
      </c>
      <c r="O2925" t="inlineStr">
        <is>
          <t>M3</t>
        </is>
      </c>
      <c r="P2925">
        <f>TRIM(N2925)</f>
        <v/>
      </c>
    </row>
    <row r="2926">
      <c r="A2926" t="inlineStr">
        <is>
          <t>CO-002309</t>
        </is>
      </c>
      <c r="B2926" t="inlineStr">
        <is>
          <t xml:space="preserve">INDEXTU SAC </t>
        </is>
      </c>
      <c r="C2926" t="inlineStr">
        <is>
          <t>20602503039</t>
        </is>
      </c>
      <c r="D2926" t="inlineStr">
        <is>
          <t xml:space="preserve"> AV. MAQUINARIAS NRO. 2341 Z.I. INDUSTRIAL, LIMA</t>
        </is>
      </c>
      <c r="E2926" t="inlineStr">
        <is>
          <t>Lima, 23 de abril de 2025</t>
        </is>
      </c>
      <c r="F2926" t="inlineStr">
        <is>
          <t>el mantenimiento</t>
        </is>
      </c>
      <c r="G2926" t="inlineStr">
        <is>
          <t>05</t>
        </is>
      </c>
      <c r="H2926" t="inlineStr">
        <is>
          <t>06 KG</t>
        </is>
      </c>
      <c r="I2926" t="inlineStr">
        <is>
          <t>2027</t>
        </is>
      </c>
      <c r="J2926" t="n">
        <v>2022</v>
      </c>
      <c r="K2926" t="inlineStr">
        <is>
          <t>ABRIL 2025</t>
        </is>
      </c>
      <c r="L2926" t="inlineStr">
        <is>
          <t>ABRIL 2026</t>
        </is>
      </c>
      <c r="M2926" t="inlineStr">
        <is>
          <t xml:space="preserve">P.Q.S.  TIPO ABC AL 90% UL </t>
        </is>
      </c>
      <c r="N2926" t="inlineStr">
        <is>
          <t>13/001174</t>
        </is>
      </c>
      <c r="O2926" t="inlineStr">
        <is>
          <t>M3</t>
        </is>
      </c>
      <c r="P2926">
        <f>TRIM(N2926)</f>
        <v/>
      </c>
    </row>
    <row r="2927">
      <c r="A2927" t="inlineStr">
        <is>
          <t>CO-002310</t>
        </is>
      </c>
      <c r="B2927" t="inlineStr">
        <is>
          <t>RAMIREZ VEGA BRYAN DANIEL</t>
        </is>
      </c>
      <c r="C2927" t="inlineStr">
        <is>
          <t xml:space="preserve">10743631850 </t>
        </is>
      </c>
      <c r="D2927" t="inlineStr">
        <is>
          <t xml:space="preserve">MZ G 3 LT 36 LOS ROSALES DE PRO , LOS OLIVOS </t>
        </is>
      </c>
      <c r="E2927" t="inlineStr">
        <is>
          <t>Lima, 21 de abril de 2025</t>
        </is>
      </c>
      <c r="F2927" t="inlineStr">
        <is>
          <t>la Recarga y mantenimiento</t>
        </is>
      </c>
      <c r="G2927" t="inlineStr">
        <is>
          <t>01</t>
        </is>
      </c>
      <c r="H2927" t="inlineStr">
        <is>
          <t>06 KG</t>
        </is>
      </c>
      <c r="I2927" t="inlineStr">
        <is>
          <t>2030</t>
        </is>
      </c>
      <c r="J2927" t="n">
        <v>2025</v>
      </c>
      <c r="K2927" t="inlineStr">
        <is>
          <t>ABRIL 2025</t>
        </is>
      </c>
      <c r="L2927" t="inlineStr">
        <is>
          <t>ABRIL 2026</t>
        </is>
      </c>
      <c r="M2927" t="inlineStr">
        <is>
          <t xml:space="preserve">P.Q.S.  TIPO ABC  </t>
        </is>
      </c>
      <c r="N2927" t="inlineStr">
        <is>
          <t>01/000114</t>
        </is>
      </c>
      <c r="O2927" t="inlineStr">
        <is>
          <t>R</t>
        </is>
      </c>
      <c r="P2927">
        <f>TRIM(N2927)</f>
        <v/>
      </c>
    </row>
    <row r="2928">
      <c r="A2928" t="inlineStr">
        <is>
          <t>CO-002311</t>
        </is>
      </c>
      <c r="B2928" t="inlineStr">
        <is>
          <t xml:space="preserve">MUEBLES MIYANA DE: SIPION TENA AMADOR HERBART     </t>
        </is>
      </c>
      <c r="C2928" t="inlineStr">
        <is>
          <t xml:space="preserve">10102153478 </t>
        </is>
      </c>
      <c r="D2928" t="inlineStr">
        <is>
          <t xml:space="preserve">JR. ALFONSO UGARTE 180 , CARABAYLLO </t>
        </is>
      </c>
      <c r="E2928" t="inlineStr">
        <is>
          <t>Lima, 23 de abril de 2025</t>
        </is>
      </c>
      <c r="F2928" t="inlineStr">
        <is>
          <t>la Recarga y mantenimiento</t>
        </is>
      </c>
      <c r="G2928" t="inlineStr">
        <is>
          <t>01</t>
        </is>
      </c>
      <c r="H2928" t="inlineStr">
        <is>
          <t xml:space="preserve">06 KG </t>
        </is>
      </c>
      <c r="I2928" t="inlineStr">
        <is>
          <t>2029</t>
        </is>
      </c>
      <c r="J2928" t="n">
        <v>2014</v>
      </c>
      <c r="K2928" t="inlineStr">
        <is>
          <t>ABRIL 2025</t>
        </is>
      </c>
      <c r="L2928" t="inlineStr">
        <is>
          <t>ABRIL 2026</t>
        </is>
      </c>
      <c r="M2928" t="inlineStr">
        <is>
          <t xml:space="preserve">P.Q.S.  TIPO ABC  </t>
        </is>
      </c>
      <c r="N2928" t="inlineStr">
        <is>
          <t>01/000274</t>
        </is>
      </c>
      <c r="O2928" t="inlineStr">
        <is>
          <t>R</t>
        </is>
      </c>
      <c r="P2928">
        <f>TRIM(N2928)</f>
        <v/>
      </c>
    </row>
    <row r="2929">
      <c r="A2929" t="inlineStr">
        <is>
          <t>CO-002312</t>
        </is>
      </c>
      <c r="B2929" t="inlineStr">
        <is>
          <t>UNIGRAF SAC</t>
        </is>
      </c>
      <c r="C2929" t="inlineStr">
        <is>
          <t>20113367955</t>
        </is>
      </c>
      <c r="D2929" t="inlineStr">
        <is>
          <t>CALLE LOS CEDROS MZ C1 LT1 CPM HUACHIPA, LURIGANCHO CHOSICA</t>
        </is>
      </c>
      <c r="E2929" t="inlineStr">
        <is>
          <t>Lima, 23 de abril de 2025</t>
        </is>
      </c>
      <c r="F2929" t="inlineStr">
        <is>
          <t>la venta</t>
        </is>
      </c>
      <c r="G2929" t="inlineStr">
        <is>
          <t>01</t>
        </is>
      </c>
      <c r="H2929" t="inlineStr">
        <is>
          <t>06 KG</t>
        </is>
      </c>
      <c r="I2929" t="inlineStr">
        <is>
          <t>2029</t>
        </is>
      </c>
      <c r="J2929" t="n">
        <v>2024</v>
      </c>
      <c r="K2929" t="inlineStr">
        <is>
          <t>ABRIL 2025</t>
        </is>
      </c>
      <c r="L2929" t="inlineStr">
        <is>
          <t>ABRIL 2026</t>
        </is>
      </c>
      <c r="M2929" t="inlineStr">
        <is>
          <t xml:space="preserve">P.Q.S.  TIPO ABC  </t>
        </is>
      </c>
      <c r="N2929" t="inlineStr">
        <is>
          <t>S/N/006242</t>
        </is>
      </c>
      <c r="O2929" t="inlineStr">
        <is>
          <t>V</t>
        </is>
      </c>
      <c r="P2929">
        <f>TRIM(N2929)</f>
        <v/>
      </c>
    </row>
    <row r="2930">
      <c r="A2930" t="inlineStr">
        <is>
          <t>CO-002313</t>
        </is>
      </c>
      <c r="B2930" t="inlineStr">
        <is>
          <t>PERU MASIVO S.A - BUSES</t>
        </is>
      </c>
      <c r="C2930" t="inlineStr">
        <is>
          <t>20492392031</t>
        </is>
      </c>
      <c r="D2930" t="inlineStr">
        <is>
          <t>AV. LOS INCAS CDRA. 4 PATIO NORTE - COMAS</t>
        </is>
      </c>
      <c r="E2930" t="inlineStr">
        <is>
          <t>Lima, 25 de abril de 2025</t>
        </is>
      </c>
      <c r="F2930" t="inlineStr">
        <is>
          <t>la Recarga y mantenimiento</t>
        </is>
      </c>
      <c r="G2930" t="inlineStr">
        <is>
          <t>01</t>
        </is>
      </c>
      <c r="H2930" t="inlineStr">
        <is>
          <t>06 KG</t>
        </is>
      </c>
      <c r="I2930" t="inlineStr">
        <is>
          <t>2029</t>
        </is>
      </c>
      <c r="J2930" t="n">
        <v>2019</v>
      </c>
      <c r="K2930" t="inlineStr">
        <is>
          <t>ABRIL 2025</t>
        </is>
      </c>
      <c r="L2930" t="inlineStr">
        <is>
          <t>ABRIL 2026</t>
        </is>
      </c>
      <c r="M2930" t="inlineStr">
        <is>
          <t>P.Q.S.  TIPO ABC  90% NACIONAL</t>
        </is>
      </c>
      <c r="N2930" t="inlineStr">
        <is>
          <t>64/000054</t>
        </is>
      </c>
      <c r="O2930" t="inlineStr">
        <is>
          <t>R</t>
        </is>
      </c>
      <c r="P2930">
        <f>TRIM(N2930)</f>
        <v/>
      </c>
    </row>
    <row r="2931">
      <c r="A2931" t="inlineStr">
        <is>
          <t>CO-002313</t>
        </is>
      </c>
      <c r="B2931" t="inlineStr">
        <is>
          <t>PERU MASIVO S.A - BUSES</t>
        </is>
      </c>
      <c r="C2931" t="inlineStr">
        <is>
          <t>20492392031</t>
        </is>
      </c>
      <c r="D2931" t="inlineStr">
        <is>
          <t>AV. LOS INCAS CDRA. 4 PATIO NORTE - COMAS</t>
        </is>
      </c>
      <c r="E2931" t="inlineStr">
        <is>
          <t>Lima, 25 de abril de 2025</t>
        </is>
      </c>
      <c r="F2931" t="inlineStr">
        <is>
          <t>la Recarga y mantenimiento</t>
        </is>
      </c>
      <c r="G2931" t="inlineStr">
        <is>
          <t>02</t>
        </is>
      </c>
      <c r="H2931" t="inlineStr">
        <is>
          <t>06 KG</t>
        </is>
      </c>
      <c r="I2931" t="inlineStr">
        <is>
          <t>2028</t>
        </is>
      </c>
      <c r="J2931" t="n">
        <v>2010</v>
      </c>
      <c r="K2931" t="inlineStr">
        <is>
          <t>ABRIL 2025</t>
        </is>
      </c>
      <c r="L2931" t="inlineStr">
        <is>
          <t>ABRIL 2026</t>
        </is>
      </c>
      <c r="M2931" t="inlineStr">
        <is>
          <t>P.Q.S.  TIPO ABC  90% NACIONAL</t>
        </is>
      </c>
      <c r="N2931" t="inlineStr">
        <is>
          <t>102/000005</t>
        </is>
      </c>
      <c r="O2931" t="inlineStr">
        <is>
          <t>R</t>
        </is>
      </c>
      <c r="P2931">
        <f>TRIM(N2931)</f>
        <v/>
      </c>
    </row>
    <row r="2932">
      <c r="A2932" t="inlineStr">
        <is>
          <t>CO-002313</t>
        </is>
      </c>
      <c r="B2932" t="inlineStr">
        <is>
          <t>PERU MASIVO S.A - BUSES</t>
        </is>
      </c>
      <c r="C2932" t="inlineStr">
        <is>
          <t>20492392031</t>
        </is>
      </c>
      <c r="D2932" t="inlineStr">
        <is>
          <t>AV. LOS INCAS CDRA. 4 PATIO NORTE - COMAS</t>
        </is>
      </c>
      <c r="E2932" t="inlineStr">
        <is>
          <t>Lima, 25 de abril de 2025</t>
        </is>
      </c>
      <c r="F2932" t="inlineStr">
        <is>
          <t>la Recarga y mantenimiento</t>
        </is>
      </c>
      <c r="G2932" t="inlineStr">
        <is>
          <t>03</t>
        </is>
      </c>
      <c r="H2932" t="inlineStr">
        <is>
          <t>06 KG</t>
        </is>
      </c>
      <c r="I2932" t="inlineStr">
        <is>
          <t>2028</t>
        </is>
      </c>
      <c r="J2932" t="n">
        <v>2015</v>
      </c>
      <c r="K2932" t="inlineStr">
        <is>
          <t>ABRIL 2025</t>
        </is>
      </c>
      <c r="L2932" t="inlineStr">
        <is>
          <t>ABRIL 2026</t>
        </is>
      </c>
      <c r="M2932" t="inlineStr">
        <is>
          <t>P.Q.S.  TIPO ABC  90% NACIONAL</t>
        </is>
      </c>
      <c r="N2932" t="inlineStr">
        <is>
          <t>45/016379</t>
        </is>
      </c>
      <c r="O2932" t="inlineStr">
        <is>
          <t>R</t>
        </is>
      </c>
      <c r="P2932">
        <f>TRIM(N2932)</f>
        <v/>
      </c>
    </row>
    <row r="2933">
      <c r="A2933" t="inlineStr">
        <is>
          <t>CO-002313</t>
        </is>
      </c>
      <c r="B2933" t="inlineStr">
        <is>
          <t>PERU MASIVO S.A - BUSES</t>
        </is>
      </c>
      <c r="C2933" t="inlineStr">
        <is>
          <t>20492392031</t>
        </is>
      </c>
      <c r="D2933" t="inlineStr">
        <is>
          <t>AV. LOS INCAS CDRA. 4 PATIO NORTE - COMAS</t>
        </is>
      </c>
      <c r="E2933" t="inlineStr">
        <is>
          <t>Lima, 25 de abril de 2025</t>
        </is>
      </c>
      <c r="F2933" t="inlineStr">
        <is>
          <t>la Recarga y mantenimiento</t>
        </is>
      </c>
      <c r="G2933" t="inlineStr">
        <is>
          <t>04</t>
        </is>
      </c>
      <c r="H2933" t="inlineStr">
        <is>
          <t>06 KG</t>
        </is>
      </c>
      <c r="I2933" t="inlineStr">
        <is>
          <t>2029</t>
        </is>
      </c>
      <c r="J2933" t="n">
        <v>2010</v>
      </c>
      <c r="K2933" t="inlineStr">
        <is>
          <t>ABRIL 2025</t>
        </is>
      </c>
      <c r="L2933" t="inlineStr">
        <is>
          <t>ABRIL 2026</t>
        </is>
      </c>
      <c r="M2933" t="inlineStr">
        <is>
          <t>P.Q.S.  TIPO ABC  90% NACIONAL</t>
        </is>
      </c>
      <c r="N2933" t="inlineStr">
        <is>
          <t>294/000054</t>
        </is>
      </c>
      <c r="O2933" t="inlineStr">
        <is>
          <t>R</t>
        </is>
      </c>
      <c r="P2933">
        <f>TRIM(N2933)</f>
        <v/>
      </c>
    </row>
    <row r="2934">
      <c r="A2934" t="inlineStr">
        <is>
          <t>CO-002313</t>
        </is>
      </c>
      <c r="B2934" t="inlineStr">
        <is>
          <t>PERU MASIVO S.A - BUSES</t>
        </is>
      </c>
      <c r="C2934" t="inlineStr">
        <is>
          <t>20492392031</t>
        </is>
      </c>
      <c r="D2934" t="inlineStr">
        <is>
          <t>AV. LOS INCAS CDRA. 4 PATIO NORTE - COMAS</t>
        </is>
      </c>
      <c r="E2934" t="inlineStr">
        <is>
          <t>Lima, 25 de abril de 2025</t>
        </is>
      </c>
      <c r="F2934" t="inlineStr">
        <is>
          <t>la Recarga y mantenimiento</t>
        </is>
      </c>
      <c r="G2934" t="inlineStr">
        <is>
          <t>05</t>
        </is>
      </c>
      <c r="H2934" t="inlineStr">
        <is>
          <t>06 KG</t>
        </is>
      </c>
      <c r="I2934" t="inlineStr">
        <is>
          <t>2028</t>
        </is>
      </c>
      <c r="J2934" t="n">
        <v>2010</v>
      </c>
      <c r="K2934" t="inlineStr">
        <is>
          <t>ABRIL 2025</t>
        </is>
      </c>
      <c r="L2934" t="inlineStr">
        <is>
          <t>ABRIL 2026</t>
        </is>
      </c>
      <c r="M2934" t="inlineStr">
        <is>
          <t>P.Q.S.  TIPO ABC  90% NACIONAL</t>
        </is>
      </c>
      <c r="N2934" t="inlineStr">
        <is>
          <t>139/000257</t>
        </is>
      </c>
      <c r="O2934" t="inlineStr">
        <is>
          <t>R</t>
        </is>
      </c>
      <c r="P2934">
        <f>TRIM(N2934)</f>
        <v/>
      </c>
    </row>
    <row r="2935">
      <c r="A2935" t="inlineStr">
        <is>
          <t>CO-002313</t>
        </is>
      </c>
      <c r="B2935" t="inlineStr">
        <is>
          <t>PERU MASIVO S.A - BUSES</t>
        </is>
      </c>
      <c r="C2935" t="inlineStr">
        <is>
          <t>20492392031</t>
        </is>
      </c>
      <c r="D2935" t="inlineStr">
        <is>
          <t>AV. LOS INCAS CDRA. 4 PATIO NORTE - COMAS</t>
        </is>
      </c>
      <c r="E2935" t="inlineStr">
        <is>
          <t>Lima, 25 de abril de 2025</t>
        </is>
      </c>
      <c r="F2935" t="inlineStr">
        <is>
          <t>la Recarga y mantenimiento</t>
        </is>
      </c>
      <c r="G2935" t="inlineStr">
        <is>
          <t>06</t>
        </is>
      </c>
      <c r="H2935" t="inlineStr">
        <is>
          <t>06 KG</t>
        </is>
      </c>
      <c r="I2935" t="inlineStr">
        <is>
          <t>2028</t>
        </is>
      </c>
      <c r="J2935" t="n">
        <v>2016</v>
      </c>
      <c r="K2935" t="inlineStr">
        <is>
          <t>ABRIL 2025</t>
        </is>
      </c>
      <c r="L2935" t="inlineStr">
        <is>
          <t>ABRIL 2026</t>
        </is>
      </c>
      <c r="M2935" t="inlineStr">
        <is>
          <t>P.Q.S.  TIPO ABC  90% NACIONAL</t>
        </is>
      </c>
      <c r="N2935" t="inlineStr">
        <is>
          <t>107/000942</t>
        </is>
      </c>
      <c r="O2935" t="inlineStr">
        <is>
          <t>R</t>
        </is>
      </c>
      <c r="P2935">
        <f>TRIM(N2935)</f>
        <v/>
      </c>
    </row>
    <row r="2936">
      <c r="A2936" t="inlineStr">
        <is>
          <t>CO-002314</t>
        </is>
      </c>
      <c r="B2936" t="inlineStr">
        <is>
          <t>TASAYCO VILLALOBOS YOLANDA</t>
        </is>
      </c>
      <c r="C2936" t="n">
        <v>10094680897</v>
      </c>
      <c r="D2936" t="inlineStr">
        <is>
          <t xml:space="preserve">JR. FELIPE P. ALVA NRO. 612 4TA ZONA COLLIQUE COMAS </t>
        </is>
      </c>
      <c r="E2936" t="inlineStr">
        <is>
          <t>Lima, 26 de abril de 2025</t>
        </is>
      </c>
      <c r="F2936" t="inlineStr">
        <is>
          <t>la Recarga y mantenimiento</t>
        </is>
      </c>
      <c r="G2936" t="inlineStr">
        <is>
          <t>01</t>
        </is>
      </c>
      <c r="H2936" t="inlineStr">
        <is>
          <t xml:space="preserve">09 KG </t>
        </is>
      </c>
      <c r="I2936" t="inlineStr">
        <is>
          <t xml:space="preserve">VIGENTE </t>
        </is>
      </c>
      <c r="J2936" t="n">
        <v>2010</v>
      </c>
      <c r="K2936" t="inlineStr">
        <is>
          <t>ABRIL 2025</t>
        </is>
      </c>
      <c r="L2936" t="inlineStr">
        <is>
          <t>ABRIL 2026</t>
        </is>
      </c>
      <c r="M2936" t="inlineStr">
        <is>
          <t xml:space="preserve">P.Q.S.  TIPO ABC  </t>
        </is>
      </c>
      <c r="N2936" t="inlineStr">
        <is>
          <t>01/000108</t>
        </is>
      </c>
      <c r="O2936" t="inlineStr">
        <is>
          <t>R</t>
        </is>
      </c>
      <c r="P2936">
        <f>TRIM(N2936)</f>
        <v/>
      </c>
    </row>
    <row r="2937">
      <c r="A2937" t="inlineStr">
        <is>
          <t>CO-002315</t>
        </is>
      </c>
      <c r="B2937" t="inlineStr">
        <is>
          <t xml:space="preserve">LUIS AZAÑERO </t>
        </is>
      </c>
      <c r="D2937" t="inlineStr">
        <is>
          <t>BWU-080</t>
        </is>
      </c>
      <c r="E2937" t="inlineStr">
        <is>
          <t>Lima, 26 de abril de 2025</t>
        </is>
      </c>
      <c r="F2937" t="inlineStr">
        <is>
          <t>la Recarga y mantenimiento</t>
        </is>
      </c>
      <c r="G2937" t="inlineStr">
        <is>
          <t>01</t>
        </is>
      </c>
      <c r="H2937" t="inlineStr">
        <is>
          <t>01 KG</t>
        </is>
      </c>
      <c r="I2937" t="inlineStr">
        <is>
          <t>2026</t>
        </is>
      </c>
      <c r="J2937" t="n">
        <v>2021</v>
      </c>
      <c r="K2937" t="inlineStr">
        <is>
          <t>ABRIL 2025</t>
        </is>
      </c>
      <c r="L2937" t="inlineStr">
        <is>
          <t>ABRIL 2026</t>
        </is>
      </c>
      <c r="M2937" t="inlineStr">
        <is>
          <t xml:space="preserve">P.Q.S.  TIPO ABC  </t>
        </is>
      </c>
      <c r="N2937" t="inlineStr">
        <is>
          <t>01/085362</t>
        </is>
      </c>
      <c r="O2937" t="inlineStr">
        <is>
          <t>R</t>
        </is>
      </c>
      <c r="P2937">
        <f>TRIM(N2937)</f>
        <v/>
      </c>
    </row>
    <row r="2938">
      <c r="A2938" t="inlineStr">
        <is>
          <t>CO-002316</t>
        </is>
      </c>
      <c r="B2938" t="inlineStr">
        <is>
          <t>VATEL S.A.C.</t>
        </is>
      </c>
      <c r="C2938" t="inlineStr">
        <is>
          <t>20516036720</t>
        </is>
      </c>
      <c r="D2938" t="inlineStr">
        <is>
          <t>JR. ROUSSEAU 289 SAN BORJA</t>
        </is>
      </c>
      <c r="E2938" t="inlineStr">
        <is>
          <t>Lima, 06 de mayo de 2025</t>
        </is>
      </c>
      <c r="F2938" t="inlineStr">
        <is>
          <t>la venta</t>
        </is>
      </c>
      <c r="G2938" t="inlineStr">
        <is>
          <t>01</t>
        </is>
      </c>
      <c r="H2938" t="inlineStr">
        <is>
          <t>05 LBS</t>
        </is>
      </c>
      <c r="I2938" t="inlineStr">
        <is>
          <t>2030</t>
        </is>
      </c>
      <c r="J2938" t="n">
        <v>2025</v>
      </c>
      <c r="K2938" t="inlineStr">
        <is>
          <t>MAYO 2025</t>
        </is>
      </c>
      <c r="L2938" t="inlineStr">
        <is>
          <t>MAYO 2026</t>
        </is>
      </c>
      <c r="M2938" t="inlineStr">
        <is>
          <t xml:space="preserve">CO2 TIPO BC </t>
        </is>
      </c>
      <c r="N2938" t="inlineStr">
        <is>
          <t>01/000190</t>
        </is>
      </c>
      <c r="O2938" t="inlineStr">
        <is>
          <t>V</t>
        </is>
      </c>
      <c r="P2938">
        <f>TRIM(N2938)</f>
        <v/>
      </c>
    </row>
    <row r="2939">
      <c r="A2939" t="inlineStr">
        <is>
          <t>CO-002316</t>
        </is>
      </c>
      <c r="B2939" t="inlineStr">
        <is>
          <t>VATEL S.A.C.</t>
        </is>
      </c>
      <c r="C2939" t="inlineStr">
        <is>
          <t>20516036720</t>
        </is>
      </c>
      <c r="D2939" t="inlineStr">
        <is>
          <t>JR. ROUSSEAU 289 SAN BORJA</t>
        </is>
      </c>
      <c r="E2939" t="inlineStr">
        <is>
          <t>Lima, 06 de mayo de 2025</t>
        </is>
      </c>
      <c r="F2939" t="inlineStr">
        <is>
          <t>la venta</t>
        </is>
      </c>
      <c r="G2939" t="inlineStr">
        <is>
          <t>02</t>
        </is>
      </c>
      <c r="H2939" t="inlineStr">
        <is>
          <t>05 LBS</t>
        </is>
      </c>
      <c r="I2939" t="inlineStr">
        <is>
          <t>2028</t>
        </is>
      </c>
      <c r="J2939" t="n">
        <v>2023</v>
      </c>
      <c r="K2939" t="inlineStr">
        <is>
          <t>MAYO 2025</t>
        </is>
      </c>
      <c r="L2939" t="inlineStr">
        <is>
          <t>MAYO 2026</t>
        </is>
      </c>
      <c r="M2939" t="inlineStr">
        <is>
          <t xml:space="preserve">CO2 TIPO BC </t>
        </is>
      </c>
      <c r="N2939" t="inlineStr">
        <is>
          <t>02/000165</t>
        </is>
      </c>
      <c r="O2939" t="inlineStr">
        <is>
          <t>V</t>
        </is>
      </c>
      <c r="P2939">
        <f>TRIM(N2939)</f>
        <v/>
      </c>
    </row>
    <row r="2940">
      <c r="A2940" t="inlineStr">
        <is>
          <t>CO-002317</t>
        </is>
      </c>
      <c r="B2940" t="inlineStr">
        <is>
          <t>PERU MASIVO S.A - BUSES</t>
        </is>
      </c>
      <c r="C2940" t="inlineStr">
        <is>
          <t>20492392031</t>
        </is>
      </c>
      <c r="D2940" t="inlineStr">
        <is>
          <t>AV. LOS INCAS CDRA. 4 PATIO NORTE - COMAS</t>
        </is>
      </c>
      <c r="E2940" t="inlineStr">
        <is>
          <t>Lima, 30 de abril de 2025</t>
        </is>
      </c>
      <c r="F2940" t="inlineStr">
        <is>
          <t>la Recarga y mantenimiento</t>
        </is>
      </c>
      <c r="G2940" t="inlineStr">
        <is>
          <t>01</t>
        </is>
      </c>
      <c r="H2940" t="inlineStr">
        <is>
          <t>06 KG</t>
        </is>
      </c>
      <c r="I2940" t="inlineStr">
        <is>
          <t>2028</t>
        </is>
      </c>
      <c r="J2940" t="n">
        <v>2015</v>
      </c>
      <c r="K2940" t="inlineStr">
        <is>
          <t>ABRIL 2025</t>
        </is>
      </c>
      <c r="L2940" t="inlineStr">
        <is>
          <t>ABRIL 2026</t>
        </is>
      </c>
      <c r="M2940" t="inlineStr">
        <is>
          <t>P.Q.S.  TIPO ABC  90% NACIONAL</t>
        </is>
      </c>
      <c r="N2940" t="inlineStr">
        <is>
          <t>114/016190</t>
        </is>
      </c>
      <c r="O2940" t="inlineStr">
        <is>
          <t>R</t>
        </is>
      </c>
      <c r="P2940">
        <f>TRIM(N2940)</f>
        <v/>
      </c>
    </row>
    <row r="2941">
      <c r="A2941" t="inlineStr">
        <is>
          <t>CO-002317</t>
        </is>
      </c>
      <c r="B2941" t="inlineStr">
        <is>
          <t>PERU MASIVO S.A - BUSES</t>
        </is>
      </c>
      <c r="C2941" t="inlineStr">
        <is>
          <t>20492392031</t>
        </is>
      </c>
      <c r="D2941" t="inlineStr">
        <is>
          <t>AV. LOS INCAS CDRA. 4 PATIO NORTE - COMAS</t>
        </is>
      </c>
      <c r="E2941" t="inlineStr">
        <is>
          <t>Lima, 30 de abril de 2025</t>
        </is>
      </c>
      <c r="F2941" t="inlineStr">
        <is>
          <t>la Recarga y mantenimiento</t>
        </is>
      </c>
      <c r="G2941" t="inlineStr">
        <is>
          <t>02</t>
        </is>
      </c>
      <c r="H2941" t="inlineStr">
        <is>
          <t>06 KG</t>
        </is>
      </c>
      <c r="I2941" t="inlineStr">
        <is>
          <t>2028</t>
        </is>
      </c>
      <c r="J2941" t="n">
        <v>2019</v>
      </c>
      <c r="K2941" t="inlineStr">
        <is>
          <t>ABRIL 2025</t>
        </is>
      </c>
      <c r="L2941" t="inlineStr">
        <is>
          <t>ABRIL 2026</t>
        </is>
      </c>
      <c r="M2941" t="inlineStr">
        <is>
          <t>P.Q.S.  TIPO ABC  90% NACIONAL</t>
        </is>
      </c>
      <c r="N2941" t="inlineStr">
        <is>
          <t>116/001150</t>
        </is>
      </c>
      <c r="O2941" t="inlineStr">
        <is>
          <t>R</t>
        </is>
      </c>
      <c r="P2941">
        <f>TRIM(N2941)</f>
        <v/>
      </c>
    </row>
    <row r="2942">
      <c r="A2942" t="inlineStr">
        <is>
          <t>CO-002317</t>
        </is>
      </c>
      <c r="B2942" t="inlineStr">
        <is>
          <t>PERU MASIVO S.A - BUSES</t>
        </is>
      </c>
      <c r="C2942" t="inlineStr">
        <is>
          <t>20492392031</t>
        </is>
      </c>
      <c r="D2942" t="inlineStr">
        <is>
          <t>AV. LOS INCAS CDRA. 4 PATIO NORTE - COMAS</t>
        </is>
      </c>
      <c r="E2942" t="inlineStr">
        <is>
          <t>Lima, 30 de abril de 2025</t>
        </is>
      </c>
      <c r="F2942" t="inlineStr">
        <is>
          <t>la Recarga y mantenimiento</t>
        </is>
      </c>
      <c r="G2942" t="inlineStr">
        <is>
          <t>03</t>
        </is>
      </c>
      <c r="H2942" t="inlineStr">
        <is>
          <t>06 KG</t>
        </is>
      </c>
      <c r="I2942" t="inlineStr">
        <is>
          <t>2028</t>
        </is>
      </c>
      <c r="J2942" t="n">
        <v>2009</v>
      </c>
      <c r="K2942" t="inlineStr">
        <is>
          <t>ABRIL 2025</t>
        </is>
      </c>
      <c r="L2942" t="inlineStr">
        <is>
          <t>ABRIL 2026</t>
        </is>
      </c>
      <c r="M2942" t="inlineStr">
        <is>
          <t>P.Q.S.  TIPO ABC  90% NACIONAL</t>
        </is>
      </c>
      <c r="N2942" t="inlineStr">
        <is>
          <t>267/000732</t>
        </is>
      </c>
      <c r="O2942" t="inlineStr">
        <is>
          <t>R</t>
        </is>
      </c>
      <c r="P2942">
        <f>TRIM(N2942)</f>
        <v/>
      </c>
    </row>
    <row r="2943">
      <c r="A2943" t="inlineStr">
        <is>
          <t>CO-002317</t>
        </is>
      </c>
      <c r="B2943" t="inlineStr">
        <is>
          <t>PERU MASIVO S.A - BUSES</t>
        </is>
      </c>
      <c r="C2943" t="inlineStr">
        <is>
          <t>20492392031</t>
        </is>
      </c>
      <c r="D2943" t="inlineStr">
        <is>
          <t>AV. LOS INCAS CDRA. 4 PATIO NORTE - COMAS</t>
        </is>
      </c>
      <c r="E2943" t="inlineStr">
        <is>
          <t>Lima, 30 de abril de 2025</t>
        </is>
      </c>
      <c r="F2943" t="inlineStr">
        <is>
          <t>la Recarga y mantenimiento</t>
        </is>
      </c>
      <c r="G2943" t="inlineStr">
        <is>
          <t>04</t>
        </is>
      </c>
      <c r="H2943" t="inlineStr">
        <is>
          <t>06 KG</t>
        </is>
      </c>
      <c r="I2943" t="inlineStr">
        <is>
          <t>2028</t>
        </is>
      </c>
      <c r="J2943" t="n">
        <v>2009</v>
      </c>
      <c r="K2943" t="inlineStr">
        <is>
          <t>ABRIL 2025</t>
        </is>
      </c>
      <c r="L2943" t="inlineStr">
        <is>
          <t>ABRIL 2026</t>
        </is>
      </c>
      <c r="M2943" t="inlineStr">
        <is>
          <t>P.Q.S.  TIPO ABC  90% NACIONAL</t>
        </is>
      </c>
      <c r="N2943" t="inlineStr">
        <is>
          <t>265/000098</t>
        </is>
      </c>
      <c r="O2943" t="inlineStr">
        <is>
          <t>R</t>
        </is>
      </c>
      <c r="P2943">
        <f>TRIM(N2943)</f>
        <v/>
      </c>
    </row>
    <row r="2944">
      <c r="A2944" t="inlineStr">
        <is>
          <t>CO-002317</t>
        </is>
      </c>
      <c r="B2944" t="inlineStr">
        <is>
          <t>PERU MASIVO S.A - BUSES</t>
        </is>
      </c>
      <c r="C2944" t="inlineStr">
        <is>
          <t>20492392031</t>
        </is>
      </c>
      <c r="D2944" t="inlineStr">
        <is>
          <t>AV. LOS INCAS CDRA. 4 PATIO NORTE - COMAS</t>
        </is>
      </c>
      <c r="E2944" t="inlineStr">
        <is>
          <t>Lima, 30 de abril de 2025</t>
        </is>
      </c>
      <c r="F2944" t="inlineStr">
        <is>
          <t>la Recarga y mantenimiento</t>
        </is>
      </c>
      <c r="G2944" t="inlineStr">
        <is>
          <t>05</t>
        </is>
      </c>
      <c r="H2944" t="inlineStr">
        <is>
          <t>06 KG</t>
        </is>
      </c>
      <c r="I2944" t="inlineStr">
        <is>
          <t>2029</t>
        </is>
      </c>
      <c r="J2944" t="n">
        <v>2010</v>
      </c>
      <c r="K2944" t="inlineStr">
        <is>
          <t>ABRIL 2025</t>
        </is>
      </c>
      <c r="L2944" t="inlineStr">
        <is>
          <t>ABRIL 2026</t>
        </is>
      </c>
      <c r="M2944" t="inlineStr">
        <is>
          <t>P.Q.S.  TIPO ABC  90% NACIONAL</t>
        </is>
      </c>
      <c r="N2944" t="inlineStr">
        <is>
          <t>108/000008</t>
        </is>
      </c>
      <c r="O2944" t="inlineStr">
        <is>
          <t>R</t>
        </is>
      </c>
      <c r="P2944">
        <f>TRIM(N2944)</f>
        <v/>
      </c>
    </row>
    <row r="2945">
      <c r="A2945" t="inlineStr">
        <is>
          <t>CO-002317</t>
        </is>
      </c>
      <c r="B2945" t="inlineStr">
        <is>
          <t>PERU MASIVO S.A - BUSES</t>
        </is>
      </c>
      <c r="C2945" t="inlineStr">
        <is>
          <t>20492392031</t>
        </is>
      </c>
      <c r="D2945" t="inlineStr">
        <is>
          <t>AV. LOS INCAS CDRA. 4 PATIO NORTE - COMAS</t>
        </is>
      </c>
      <c r="E2945" t="inlineStr">
        <is>
          <t>Lima, 30 de abril de 2025</t>
        </is>
      </c>
      <c r="F2945" t="inlineStr">
        <is>
          <t>la Recarga y mantenimiento</t>
        </is>
      </c>
      <c r="G2945" t="inlineStr">
        <is>
          <t>06</t>
        </is>
      </c>
      <c r="H2945" t="inlineStr">
        <is>
          <t>06 KG</t>
        </is>
      </c>
      <c r="I2945" t="inlineStr">
        <is>
          <t>2028</t>
        </is>
      </c>
      <c r="J2945" t="n">
        <v>2009</v>
      </c>
      <c r="K2945" t="inlineStr">
        <is>
          <t>ABRIL 2025</t>
        </is>
      </c>
      <c r="L2945" t="inlineStr">
        <is>
          <t>ABRIL 2026</t>
        </is>
      </c>
      <c r="M2945" t="inlineStr">
        <is>
          <t>P.Q.S.  TIPO ABC  90% NACIONAL</t>
        </is>
      </c>
      <c r="N2945" t="inlineStr">
        <is>
          <t>344/002162</t>
        </is>
      </c>
      <c r="O2945" t="inlineStr">
        <is>
          <t>R</t>
        </is>
      </c>
      <c r="P2945">
        <f>TRIM(N2945)</f>
        <v/>
      </c>
    </row>
    <row r="2946">
      <c r="A2946" t="inlineStr">
        <is>
          <t>CO-002318</t>
        </is>
      </c>
      <c r="B2946" t="inlineStr">
        <is>
          <t xml:space="preserve">PERU MASIVO S.A - INFRAESTRUCTURA </t>
        </is>
      </c>
      <c r="C2946" t="inlineStr">
        <is>
          <t>20492392031</t>
        </is>
      </c>
      <c r="D2946" t="inlineStr">
        <is>
          <t>AV. LOS INCAS CDRA. 4 PATIO NORTE - COMAS</t>
        </is>
      </c>
      <c r="E2946" t="inlineStr">
        <is>
          <t>Lima, 30 de abril de 2025</t>
        </is>
      </c>
      <c r="F2946" t="inlineStr">
        <is>
          <t>la Recarga y mantenimiento</t>
        </is>
      </c>
      <c r="G2946" t="inlineStr">
        <is>
          <t>01</t>
        </is>
      </c>
      <c r="H2946" t="inlineStr">
        <is>
          <t>10 LBS</t>
        </is>
      </c>
      <c r="I2946" t="inlineStr">
        <is>
          <t>2030</t>
        </is>
      </c>
      <c r="J2946" t="n">
        <v>2012</v>
      </c>
      <c r="K2946" t="inlineStr">
        <is>
          <t>ABRIL 2025</t>
        </is>
      </c>
      <c r="L2946" t="inlineStr">
        <is>
          <t>ABRIL 2026</t>
        </is>
      </c>
      <c r="M2946" t="inlineStr">
        <is>
          <t xml:space="preserve">CO2 TIPO BC </t>
        </is>
      </c>
      <c r="N2946" t="inlineStr">
        <is>
          <t>02/014496</t>
        </is>
      </c>
      <c r="O2946" t="inlineStr">
        <is>
          <t>R</t>
        </is>
      </c>
      <c r="P2946">
        <f>TRIM(N2946)</f>
        <v/>
      </c>
    </row>
    <row r="2947">
      <c r="A2947" t="inlineStr">
        <is>
          <t>CO-002319</t>
        </is>
      </c>
      <c r="B2947" t="inlineStr">
        <is>
          <t>SUNAT - AREQUIPA -  RIO SECO</t>
        </is>
      </c>
      <c r="C2947" t="inlineStr">
        <is>
          <t>20131312955</t>
        </is>
      </c>
      <c r="D2947" t="inlineStr">
        <is>
          <t xml:space="preserve">Altura del Km 8.5 de la Carretera Yaura - Arequipa </t>
        </is>
      </c>
      <c r="E2947" t="inlineStr">
        <is>
          <t>Lima, 30 de abril de 2025</t>
        </is>
      </c>
      <c r="F2947" t="inlineStr">
        <is>
          <t>la Recarga y mantenimiento</t>
        </is>
      </c>
      <c r="G2947" t="inlineStr">
        <is>
          <t>01</t>
        </is>
      </c>
      <c r="H2947" t="inlineStr">
        <is>
          <t>10 LBS</t>
        </is>
      </c>
      <c r="I2947" t="inlineStr">
        <is>
          <t>2027</t>
        </is>
      </c>
      <c r="J2947" t="n">
        <v>2002</v>
      </c>
      <c r="K2947" t="inlineStr">
        <is>
          <t>ABRIL 2025</t>
        </is>
      </c>
      <c r="L2947" t="inlineStr">
        <is>
          <t>ABRIL 2026</t>
        </is>
      </c>
      <c r="M2947" t="inlineStr">
        <is>
          <t xml:space="preserve">CO2 TIPO BC </t>
        </is>
      </c>
      <c r="N2947" t="inlineStr">
        <is>
          <t>20/ Y-377991</t>
        </is>
      </c>
      <c r="O2947" t="inlineStr">
        <is>
          <t>R</t>
        </is>
      </c>
      <c r="P2947">
        <f>TRIM(N2947)</f>
        <v/>
      </c>
    </row>
    <row r="2948">
      <c r="A2948" t="inlineStr">
        <is>
          <t>CO-002320</t>
        </is>
      </c>
      <c r="B2948" t="inlineStr">
        <is>
          <t>CESAR Y FRANCISCO CONTRATISTAS GENERALES</t>
        </is>
      </c>
      <c r="C2948" t="inlineStr">
        <is>
          <t>20507016899</t>
        </is>
      </c>
      <c r="D2948" t="inlineStr">
        <is>
          <t>CAL.SANTA ROSA NRO. 188 URB. MIRAMAR LIMA - LIMA - SAN MIGUEL</t>
        </is>
      </c>
      <c r="E2948" t="inlineStr">
        <is>
          <t>Lima, 06 de mayo de 2025</t>
        </is>
      </c>
      <c r="F2948" t="inlineStr">
        <is>
          <t>la venta</t>
        </is>
      </c>
      <c r="G2948" t="inlineStr">
        <is>
          <t>01</t>
        </is>
      </c>
      <c r="H2948" t="inlineStr">
        <is>
          <t>20 LBS</t>
        </is>
      </c>
      <c r="I2948" t="inlineStr">
        <is>
          <t>2030</t>
        </is>
      </c>
      <c r="J2948" t="n">
        <v>2025</v>
      </c>
      <c r="K2948" t="inlineStr">
        <is>
          <t>MAYO 2025</t>
        </is>
      </c>
      <c r="L2948" t="inlineStr">
        <is>
          <t>MAYO 2026</t>
        </is>
      </c>
      <c r="M2948" t="inlineStr">
        <is>
          <t xml:space="preserve">PQS/ABC AL 90 % CON CERTIFICACIÓN UL </t>
        </is>
      </c>
      <c r="N2948" t="inlineStr">
        <is>
          <t>I33850266</t>
        </is>
      </c>
      <c r="O2948" t="inlineStr">
        <is>
          <t>V</t>
        </is>
      </c>
      <c r="P2948">
        <f>TRIM(N2948)</f>
        <v/>
      </c>
    </row>
    <row r="2949">
      <c r="A2949" t="inlineStr">
        <is>
          <t>CO-002321</t>
        </is>
      </c>
      <c r="B2949" t="inlineStr">
        <is>
          <t>HAMANN DISEÑO Y CONSTRUCCION S.A.C.</t>
        </is>
      </c>
      <c r="C2949" t="inlineStr">
        <is>
          <t>20514795569</t>
        </is>
      </c>
      <c r="D2949" t="inlineStr">
        <is>
          <t>CLL. CAPITAN ELIAS AGUIRRE 180, MIRAFLORES</t>
        </is>
      </c>
      <c r="E2949" t="inlineStr">
        <is>
          <t>Lima, 06 de mayo de 2025</t>
        </is>
      </c>
      <c r="F2949" t="inlineStr">
        <is>
          <t>la venta</t>
        </is>
      </c>
      <c r="G2949" t="inlineStr">
        <is>
          <t>01</t>
        </is>
      </c>
      <c r="H2949" t="inlineStr">
        <is>
          <t>06 KG</t>
        </is>
      </c>
      <c r="I2949" t="inlineStr">
        <is>
          <t>2029</t>
        </is>
      </c>
      <c r="J2949" t="n">
        <v>2024</v>
      </c>
      <c r="K2949" t="inlineStr">
        <is>
          <t>ABRIL 2025</t>
        </is>
      </c>
      <c r="L2949" t="inlineStr">
        <is>
          <t>ABRIL 2026</t>
        </is>
      </c>
      <c r="M2949" t="inlineStr">
        <is>
          <t xml:space="preserve">PQS TIPO ABC </t>
        </is>
      </c>
      <c r="N2949" t="inlineStr">
        <is>
          <t>01/006508</t>
        </is>
      </c>
      <c r="O2949" t="inlineStr">
        <is>
          <t>V</t>
        </is>
      </c>
      <c r="P2949">
        <f>TRIM(N2949)</f>
        <v/>
      </c>
    </row>
    <row r="2950">
      <c r="A2950" t="inlineStr">
        <is>
          <t>CO-002321</t>
        </is>
      </c>
      <c r="B2950" t="inlineStr">
        <is>
          <t>HAMANN DISEÑO Y CONSTRUCCION S.A.C.</t>
        </is>
      </c>
      <c r="C2950" t="inlineStr">
        <is>
          <t>20514795569</t>
        </is>
      </c>
      <c r="D2950" t="inlineStr">
        <is>
          <t>CLL. CAPITAN ELIAS AGUIRRE 180, MIRAFLORES</t>
        </is>
      </c>
      <c r="E2950" t="inlineStr">
        <is>
          <t>Lima, 06 de mayo de 2025</t>
        </is>
      </c>
      <c r="F2950" t="inlineStr">
        <is>
          <t>la venta</t>
        </is>
      </c>
      <c r="G2950" t="inlineStr">
        <is>
          <t>02</t>
        </is>
      </c>
      <c r="H2950" t="inlineStr">
        <is>
          <t>06 KG</t>
        </is>
      </c>
      <c r="I2950" t="inlineStr">
        <is>
          <t>2029</t>
        </is>
      </c>
      <c r="J2950" t="n">
        <v>2024</v>
      </c>
      <c r="K2950" t="inlineStr">
        <is>
          <t>ABRIL 2025</t>
        </is>
      </c>
      <c r="L2950" t="inlineStr">
        <is>
          <t>ABRIL 2026</t>
        </is>
      </c>
      <c r="M2950" t="inlineStr">
        <is>
          <t xml:space="preserve">PQS TIPO ABC </t>
        </is>
      </c>
      <c r="N2950" t="inlineStr">
        <is>
          <t>02/006316</t>
        </is>
      </c>
      <c r="O2950" t="inlineStr">
        <is>
          <t>V</t>
        </is>
      </c>
      <c r="P2950">
        <f>TRIM(N2950)</f>
        <v/>
      </c>
    </row>
    <row r="2951">
      <c r="A2951" t="inlineStr">
        <is>
          <t>CO-002321</t>
        </is>
      </c>
      <c r="B2951" t="inlineStr">
        <is>
          <t>HAMANN DISEÑO Y CONSTRUCCION S.A.C.</t>
        </is>
      </c>
      <c r="C2951" t="inlineStr">
        <is>
          <t>20514795569</t>
        </is>
      </c>
      <c r="D2951" t="inlineStr">
        <is>
          <t>CLL. CAPITAN ELIAS AGUIRRE 180, MIRAFLORES</t>
        </is>
      </c>
      <c r="E2951" t="inlineStr">
        <is>
          <t>Lima, 06 de mayo de 2025</t>
        </is>
      </c>
      <c r="F2951" t="inlineStr">
        <is>
          <t>la venta</t>
        </is>
      </c>
      <c r="G2951" t="inlineStr">
        <is>
          <t>03</t>
        </is>
      </c>
      <c r="H2951" t="inlineStr">
        <is>
          <t>06 KG</t>
        </is>
      </c>
      <c r="I2951" t="inlineStr">
        <is>
          <t>2029</t>
        </is>
      </c>
      <c r="J2951" t="n">
        <v>2024</v>
      </c>
      <c r="K2951" t="inlineStr">
        <is>
          <t>ABRIL 2025</t>
        </is>
      </c>
      <c r="L2951" t="inlineStr">
        <is>
          <t>ABRIL 2026</t>
        </is>
      </c>
      <c r="M2951" t="inlineStr">
        <is>
          <t xml:space="preserve">PQS TIPO ABC </t>
        </is>
      </c>
      <c r="N2951" t="inlineStr">
        <is>
          <t>03/006383</t>
        </is>
      </c>
      <c r="O2951" t="inlineStr">
        <is>
          <t>V</t>
        </is>
      </c>
      <c r="P2951">
        <f>TRIM(N2951)</f>
        <v/>
      </c>
    </row>
    <row r="2952">
      <c r="A2952" t="inlineStr">
        <is>
          <t>CO-002321</t>
        </is>
      </c>
      <c r="B2952" t="inlineStr">
        <is>
          <t>HAMANN DISEÑO Y CONSTRUCCION S.A.C.</t>
        </is>
      </c>
      <c r="C2952" t="inlineStr">
        <is>
          <t>20514795569</t>
        </is>
      </c>
      <c r="D2952" t="inlineStr">
        <is>
          <t>CLL. CAPITAN ELIAS AGUIRRE 180, MIRAFLORES</t>
        </is>
      </c>
      <c r="E2952" t="inlineStr">
        <is>
          <t>Lima, 06 de mayo de 2025</t>
        </is>
      </c>
      <c r="F2952" t="inlineStr">
        <is>
          <t>la venta</t>
        </is>
      </c>
      <c r="G2952" t="inlineStr">
        <is>
          <t>04</t>
        </is>
      </c>
      <c r="H2952" t="inlineStr">
        <is>
          <t>06 KG</t>
        </is>
      </c>
      <c r="I2952" t="inlineStr">
        <is>
          <t>2029</t>
        </is>
      </c>
      <c r="J2952" t="n">
        <v>2024</v>
      </c>
      <c r="K2952" t="inlineStr">
        <is>
          <t>ABRIL 2025</t>
        </is>
      </c>
      <c r="L2952" t="inlineStr">
        <is>
          <t>ABRIL 2026</t>
        </is>
      </c>
      <c r="M2952" t="inlineStr">
        <is>
          <t xml:space="preserve">PQS TIPO ABC </t>
        </is>
      </c>
      <c r="N2952" t="inlineStr">
        <is>
          <t>04/006857</t>
        </is>
      </c>
      <c r="O2952" t="inlineStr">
        <is>
          <t>V</t>
        </is>
      </c>
      <c r="P2952">
        <f>TRIM(N2952)</f>
        <v/>
      </c>
    </row>
    <row r="2953">
      <c r="A2953" t="inlineStr">
        <is>
          <t>CO-002322</t>
        </is>
      </c>
      <c r="B2953" t="inlineStr">
        <is>
          <t>PERU MASIVO S.A - BUSES</t>
        </is>
      </c>
      <c r="C2953" t="inlineStr">
        <is>
          <t>20492392031</t>
        </is>
      </c>
      <c r="D2953" t="inlineStr">
        <is>
          <t>AV. LOS INCAS CDRA. 4 PATIO NORTE - COMAS</t>
        </is>
      </c>
      <c r="E2953" t="inlineStr">
        <is>
          <t>Lima, 08 de mayo de 2025</t>
        </is>
      </c>
      <c r="F2953" t="inlineStr">
        <is>
          <t>la Recarga y mantenimiento</t>
        </is>
      </c>
      <c r="G2953" t="inlineStr">
        <is>
          <t>01</t>
        </is>
      </c>
      <c r="H2953" t="inlineStr">
        <is>
          <t>06 KG</t>
        </is>
      </c>
      <c r="I2953" t="inlineStr">
        <is>
          <t>2026</t>
        </is>
      </c>
      <c r="J2953" t="n">
        <v>2021</v>
      </c>
      <c r="K2953" t="inlineStr">
        <is>
          <t>MAYO 2025</t>
        </is>
      </c>
      <c r="L2953" t="inlineStr">
        <is>
          <t>MAYO 2026</t>
        </is>
      </c>
      <c r="M2953" t="inlineStr">
        <is>
          <t>P.Q.S.  TIPO ABC  90% NACIONAL</t>
        </is>
      </c>
      <c r="N2953" t="inlineStr">
        <is>
          <t>63/002071</t>
        </is>
      </c>
      <c r="O2953" t="inlineStr">
        <is>
          <t>R</t>
        </is>
      </c>
      <c r="P2953">
        <f>TRIM(N2953)</f>
        <v/>
      </c>
    </row>
    <row r="2954">
      <c r="A2954" t="inlineStr">
        <is>
          <t>CO-002322</t>
        </is>
      </c>
      <c r="B2954" t="inlineStr">
        <is>
          <t>PERU MASIVO S.A - BUSES</t>
        </is>
      </c>
      <c r="C2954" t="inlineStr">
        <is>
          <t>20492392031</t>
        </is>
      </c>
      <c r="D2954" t="inlineStr">
        <is>
          <t>AV. LOS INCAS CDRA. 4 PATIO NORTE - COMAS</t>
        </is>
      </c>
      <c r="E2954" t="inlineStr">
        <is>
          <t>Lima, 08 de mayo de 2025</t>
        </is>
      </c>
      <c r="F2954" t="inlineStr">
        <is>
          <t>la Recarga y mantenimiento</t>
        </is>
      </c>
      <c r="G2954" t="inlineStr">
        <is>
          <t>02</t>
        </is>
      </c>
      <c r="H2954" t="inlineStr">
        <is>
          <t>06 KG</t>
        </is>
      </c>
      <c r="I2954" t="inlineStr">
        <is>
          <t>2029</t>
        </is>
      </c>
      <c r="J2954" t="n">
        <v>2010</v>
      </c>
      <c r="K2954" t="inlineStr">
        <is>
          <t>MAYO 2025</t>
        </is>
      </c>
      <c r="L2954" t="inlineStr">
        <is>
          <t>MAYO 2026</t>
        </is>
      </c>
      <c r="M2954" t="inlineStr">
        <is>
          <t>P.Q.S.  TIPO ABC  90% NACIONAL</t>
        </is>
      </c>
      <c r="N2954" t="inlineStr">
        <is>
          <t>272/000598</t>
        </is>
      </c>
      <c r="O2954" t="inlineStr">
        <is>
          <t>R</t>
        </is>
      </c>
      <c r="P2954">
        <f>TRIM(N2954)</f>
        <v/>
      </c>
    </row>
    <row r="2955">
      <c r="A2955" t="inlineStr">
        <is>
          <t>CO-002322</t>
        </is>
      </c>
      <c r="B2955" t="inlineStr">
        <is>
          <t>PERU MASIVO S.A - BUSES</t>
        </is>
      </c>
      <c r="C2955" t="inlineStr">
        <is>
          <t>20492392031</t>
        </is>
      </c>
      <c r="D2955" t="inlineStr">
        <is>
          <t>AV. LOS INCAS CDRA. 4 PATIO NORTE - COMAS</t>
        </is>
      </c>
      <c r="E2955" t="inlineStr">
        <is>
          <t>Lima, 08 de mayo de 2025</t>
        </is>
      </c>
      <c r="F2955" t="inlineStr">
        <is>
          <t>la Recarga y mantenimiento</t>
        </is>
      </c>
      <c r="G2955" t="inlineStr">
        <is>
          <t>03</t>
        </is>
      </c>
      <c r="H2955" t="inlineStr">
        <is>
          <t>06 KG</t>
        </is>
      </c>
      <c r="I2955" t="inlineStr">
        <is>
          <t>2029</t>
        </is>
      </c>
      <c r="J2955" t="n">
        <v>2010</v>
      </c>
      <c r="K2955" t="inlineStr">
        <is>
          <t>MAYO 2025</t>
        </is>
      </c>
      <c r="L2955" t="inlineStr">
        <is>
          <t>MAYO 2026</t>
        </is>
      </c>
      <c r="M2955" t="inlineStr">
        <is>
          <t>P.Q.S.  TIPO ABC  90% NACIONAL</t>
        </is>
      </c>
      <c r="N2955" t="inlineStr">
        <is>
          <t>21/000005</t>
        </is>
      </c>
      <c r="O2955" t="inlineStr">
        <is>
          <t>R</t>
        </is>
      </c>
      <c r="P2955">
        <f>TRIM(N2955)</f>
        <v/>
      </c>
    </row>
    <row r="2956">
      <c r="A2956" t="inlineStr">
        <is>
          <t>CO-002322</t>
        </is>
      </c>
      <c r="B2956" t="inlineStr">
        <is>
          <t>PERU MASIVO S.A - BUSES</t>
        </is>
      </c>
      <c r="C2956" t="inlineStr">
        <is>
          <t>20492392031</t>
        </is>
      </c>
      <c r="D2956" t="inlineStr">
        <is>
          <t>AV. LOS INCAS CDRA. 4 PATIO NORTE - COMAS</t>
        </is>
      </c>
      <c r="E2956" t="inlineStr">
        <is>
          <t>Lima, 08 de mayo de 2025</t>
        </is>
      </c>
      <c r="F2956" t="inlineStr">
        <is>
          <t>la Recarga y mantenimiento</t>
        </is>
      </c>
      <c r="G2956" t="inlineStr">
        <is>
          <t>04</t>
        </is>
      </c>
      <c r="H2956" t="inlineStr">
        <is>
          <t>06 KG</t>
        </is>
      </c>
      <c r="I2956" t="inlineStr">
        <is>
          <t>2029</t>
        </is>
      </c>
      <c r="J2956" t="n">
        <v>2010</v>
      </c>
      <c r="K2956" t="inlineStr">
        <is>
          <t>MAYO 2025</t>
        </is>
      </c>
      <c r="L2956" t="inlineStr">
        <is>
          <t>MAYO 2026</t>
        </is>
      </c>
      <c r="M2956" t="inlineStr">
        <is>
          <t>P.Q.S.  TIPO ABC  90% NACIONAL</t>
        </is>
      </c>
      <c r="N2956" t="inlineStr">
        <is>
          <t>209/000877</t>
        </is>
      </c>
      <c r="O2956" t="inlineStr">
        <is>
          <t>R</t>
        </is>
      </c>
      <c r="P2956">
        <f>TRIM(N2956)</f>
        <v/>
      </c>
    </row>
    <row r="2957">
      <c r="A2957" t="inlineStr">
        <is>
          <t>CO-002322</t>
        </is>
      </c>
      <c r="B2957" t="inlineStr">
        <is>
          <t>PERU MASIVO S.A - BUSES</t>
        </is>
      </c>
      <c r="C2957" t="inlineStr">
        <is>
          <t>20492392031</t>
        </is>
      </c>
      <c r="D2957" t="inlineStr">
        <is>
          <t>AV. LOS INCAS CDRA. 4 PATIO NORTE - COMAS</t>
        </is>
      </c>
      <c r="E2957" t="inlineStr">
        <is>
          <t>Lima, 08 de mayo de 2025</t>
        </is>
      </c>
      <c r="F2957" t="inlineStr">
        <is>
          <t>la Recarga y mantenimiento</t>
        </is>
      </c>
      <c r="G2957" t="inlineStr">
        <is>
          <t>05</t>
        </is>
      </c>
      <c r="H2957" t="inlineStr">
        <is>
          <t>06 KG</t>
        </is>
      </c>
      <c r="I2957" t="inlineStr">
        <is>
          <t>2029</t>
        </is>
      </c>
      <c r="J2957" t="n">
        <v>2010</v>
      </c>
      <c r="K2957" t="inlineStr">
        <is>
          <t>MAYO 2025</t>
        </is>
      </c>
      <c r="L2957" t="inlineStr">
        <is>
          <t>MAYO 2026</t>
        </is>
      </c>
      <c r="M2957" t="inlineStr">
        <is>
          <t>P.Q.S.  TIPO ABC  90% NACIONAL</t>
        </is>
      </c>
      <c r="N2957" t="inlineStr">
        <is>
          <t>164/002173</t>
        </is>
      </c>
      <c r="O2957" t="inlineStr">
        <is>
          <t>R</t>
        </is>
      </c>
      <c r="P2957">
        <f>TRIM(N2957)</f>
        <v/>
      </c>
    </row>
    <row r="2958">
      <c r="A2958" t="inlineStr">
        <is>
          <t>CO-002322</t>
        </is>
      </c>
      <c r="B2958" t="inlineStr">
        <is>
          <t>PERU MASIVO S.A - BUSES</t>
        </is>
      </c>
      <c r="C2958" t="inlineStr">
        <is>
          <t>20492392031</t>
        </is>
      </c>
      <c r="D2958" t="inlineStr">
        <is>
          <t>AV. LOS INCAS CDRA. 4 PATIO NORTE - COMAS</t>
        </is>
      </c>
      <c r="E2958" t="inlineStr">
        <is>
          <t>Lima, 08 de mayo de 2025</t>
        </is>
      </c>
      <c r="F2958" t="inlineStr">
        <is>
          <t>la Recarga y mantenimiento</t>
        </is>
      </c>
      <c r="G2958" t="inlineStr">
        <is>
          <t>06</t>
        </is>
      </c>
      <c r="H2958" t="inlineStr">
        <is>
          <t>06 KG</t>
        </is>
      </c>
      <c r="I2958" t="inlineStr">
        <is>
          <t>2028</t>
        </is>
      </c>
      <c r="J2958" t="n">
        <v>2010</v>
      </c>
      <c r="K2958" t="inlineStr">
        <is>
          <t>MAYO 2025</t>
        </is>
      </c>
      <c r="L2958" t="inlineStr">
        <is>
          <t>MAYO 2026</t>
        </is>
      </c>
      <c r="M2958" t="inlineStr">
        <is>
          <t>P.Q.S.  TIPO ABC  90% NACIONAL</t>
        </is>
      </c>
      <c r="N2958" t="inlineStr">
        <is>
          <t>269/000496</t>
        </is>
      </c>
      <c r="O2958" t="inlineStr">
        <is>
          <t>R</t>
        </is>
      </c>
      <c r="P2958">
        <f>TRIM(N2958)</f>
        <v/>
      </c>
    </row>
    <row r="2959">
      <c r="A2959" t="inlineStr">
        <is>
          <t>CO-002322</t>
        </is>
      </c>
      <c r="B2959" t="inlineStr">
        <is>
          <t>PERU MASIVO S.A - BUSES</t>
        </is>
      </c>
      <c r="C2959" t="inlineStr">
        <is>
          <t>20492392031</t>
        </is>
      </c>
      <c r="D2959" t="inlineStr">
        <is>
          <t>AV. LOS INCAS CDRA. 4 PATIO NORTE - COMAS</t>
        </is>
      </c>
      <c r="E2959" t="inlineStr">
        <is>
          <t>Lima, 08 de mayo de 2025</t>
        </is>
      </c>
      <c r="F2959" t="inlineStr">
        <is>
          <t>la Recarga y mantenimiento</t>
        </is>
      </c>
      <c r="G2959" t="inlineStr">
        <is>
          <t>07</t>
        </is>
      </c>
      <c r="H2959" t="inlineStr">
        <is>
          <t>06 KG</t>
        </is>
      </c>
      <c r="I2959" t="inlineStr">
        <is>
          <t>2028</t>
        </is>
      </c>
      <c r="J2959" t="n">
        <v>2009</v>
      </c>
      <c r="K2959" t="inlineStr">
        <is>
          <t>MAYO 2025</t>
        </is>
      </c>
      <c r="L2959" t="inlineStr">
        <is>
          <t>MAYO 2026</t>
        </is>
      </c>
      <c r="M2959" t="inlineStr">
        <is>
          <t>P.Q.S.  TIPO ABC  90% NACIONAL</t>
        </is>
      </c>
      <c r="N2959" t="inlineStr">
        <is>
          <t>08/002713</t>
        </is>
      </c>
      <c r="O2959" t="inlineStr">
        <is>
          <t>R</t>
        </is>
      </c>
      <c r="P2959">
        <f>TRIM(N2959)</f>
        <v/>
      </c>
    </row>
    <row r="2960">
      <c r="A2960" t="inlineStr">
        <is>
          <t>CO-002322</t>
        </is>
      </c>
      <c r="B2960" t="inlineStr">
        <is>
          <t>PERU MASIVO S.A - BUSES</t>
        </is>
      </c>
      <c r="C2960" t="inlineStr">
        <is>
          <t>20492392031</t>
        </is>
      </c>
      <c r="D2960" t="inlineStr">
        <is>
          <t>AV. LOS INCAS CDRA. 4 PATIO NORTE - COMAS</t>
        </is>
      </c>
      <c r="E2960" t="inlineStr">
        <is>
          <t>Lima, 08 de mayo de 2025</t>
        </is>
      </c>
      <c r="F2960" t="inlineStr">
        <is>
          <t>la Recarga y mantenimiento</t>
        </is>
      </c>
      <c r="G2960" t="inlineStr">
        <is>
          <t>08</t>
        </is>
      </c>
      <c r="H2960" t="inlineStr">
        <is>
          <t>06 KG</t>
        </is>
      </c>
      <c r="I2960" t="inlineStr">
        <is>
          <t>2028</t>
        </is>
      </c>
      <c r="J2960" t="n">
        <v>2010</v>
      </c>
      <c r="K2960" t="inlineStr">
        <is>
          <t>MAYO 2025</t>
        </is>
      </c>
      <c r="L2960" t="inlineStr">
        <is>
          <t>MAYO 2026</t>
        </is>
      </c>
      <c r="M2960" t="inlineStr">
        <is>
          <t>P.Q.S.  TIPO ABC  90% NACIONAL</t>
        </is>
      </c>
      <c r="N2960" t="inlineStr">
        <is>
          <t>113/201005</t>
        </is>
      </c>
      <c r="O2960" t="inlineStr">
        <is>
          <t>R</t>
        </is>
      </c>
      <c r="P2960">
        <f>TRIM(N2960)</f>
        <v/>
      </c>
    </row>
    <row r="2961">
      <c r="A2961" t="inlineStr">
        <is>
          <t>CO-002322</t>
        </is>
      </c>
      <c r="B2961" t="inlineStr">
        <is>
          <t>PERU MASIVO S.A - BUSES</t>
        </is>
      </c>
      <c r="C2961" t="inlineStr">
        <is>
          <t>20492392031</t>
        </is>
      </c>
      <c r="D2961" t="inlineStr">
        <is>
          <t>AV. LOS INCAS CDRA. 4 PATIO NORTE - COMAS</t>
        </is>
      </c>
      <c r="E2961" t="inlineStr">
        <is>
          <t>Lima, 08 de mayo de 2025</t>
        </is>
      </c>
      <c r="F2961" t="inlineStr">
        <is>
          <t>la Recarga y mantenimiento</t>
        </is>
      </c>
      <c r="G2961" t="inlineStr">
        <is>
          <t>09</t>
        </is>
      </c>
      <c r="H2961" t="inlineStr">
        <is>
          <t>06 KG</t>
        </is>
      </c>
      <c r="I2961" t="inlineStr">
        <is>
          <t>2028</t>
        </is>
      </c>
      <c r="J2961" t="n">
        <v>2009</v>
      </c>
      <c r="K2961" t="inlineStr">
        <is>
          <t>MAYO 2025</t>
        </is>
      </c>
      <c r="L2961" t="inlineStr">
        <is>
          <t>MAYO 2026</t>
        </is>
      </c>
      <c r="M2961" t="inlineStr">
        <is>
          <t>P.Q.S.  TIPO ABC  90% NACIONAL</t>
        </is>
      </c>
      <c r="N2961" t="inlineStr">
        <is>
          <t>355/001330</t>
        </is>
      </c>
      <c r="O2961" t="inlineStr">
        <is>
          <t>R</t>
        </is>
      </c>
      <c r="P2961">
        <f>TRIM(N2961)</f>
        <v/>
      </c>
    </row>
    <row r="2962">
      <c r="A2962" t="inlineStr">
        <is>
          <t>CO-002322</t>
        </is>
      </c>
      <c r="B2962" t="inlineStr">
        <is>
          <t>PERU MASIVO S.A - BUSES</t>
        </is>
      </c>
      <c r="C2962" t="inlineStr">
        <is>
          <t>20492392031</t>
        </is>
      </c>
      <c r="D2962" t="inlineStr">
        <is>
          <t>AV. LOS INCAS CDRA. 4 PATIO NORTE - COMAS</t>
        </is>
      </c>
      <c r="E2962" t="inlineStr">
        <is>
          <t>Lima, 08 de mayo de 2025</t>
        </is>
      </c>
      <c r="F2962" t="inlineStr">
        <is>
          <t>la Recarga y mantenimiento</t>
        </is>
      </c>
      <c r="G2962" t="n">
        <v>10</v>
      </c>
      <c r="H2962" t="inlineStr">
        <is>
          <t>06 KG</t>
        </is>
      </c>
      <c r="I2962" t="inlineStr">
        <is>
          <t>2028</t>
        </is>
      </c>
      <c r="J2962" t="n">
        <v>2015</v>
      </c>
      <c r="K2962" t="inlineStr">
        <is>
          <t>MAYO 2025</t>
        </is>
      </c>
      <c r="L2962" t="inlineStr">
        <is>
          <t>MAYO 2026</t>
        </is>
      </c>
      <c r="M2962" t="inlineStr">
        <is>
          <t>P.Q.S.  TIPO ABC  90% NACIONAL</t>
        </is>
      </c>
      <c r="N2962" t="inlineStr">
        <is>
          <t>44/001353</t>
        </is>
      </c>
      <c r="O2962" t="inlineStr">
        <is>
          <t>R</t>
        </is>
      </c>
      <c r="P2962">
        <f>TRIM(N2962)</f>
        <v/>
      </c>
    </row>
    <row r="2963">
      <c r="A2963" t="inlineStr">
        <is>
          <t>CO-002322</t>
        </is>
      </c>
      <c r="B2963" t="inlineStr">
        <is>
          <t>PERU MASIVO S.A - BUSES</t>
        </is>
      </c>
      <c r="C2963" t="inlineStr">
        <is>
          <t>20492392031</t>
        </is>
      </c>
      <c r="D2963" t="inlineStr">
        <is>
          <t>AV. LOS INCAS CDRA. 4 PATIO NORTE - COMAS</t>
        </is>
      </c>
      <c r="E2963" t="inlineStr">
        <is>
          <t>Lima, 08 de mayo de 2025</t>
        </is>
      </c>
      <c r="F2963" t="inlineStr">
        <is>
          <t>la Recarga y mantenimiento</t>
        </is>
      </c>
      <c r="G2963" t="n">
        <v>11</v>
      </c>
      <c r="H2963" t="inlineStr">
        <is>
          <t>06 KG</t>
        </is>
      </c>
      <c r="I2963" t="inlineStr">
        <is>
          <t>2028</t>
        </is>
      </c>
      <c r="J2963" t="n">
        <v>2015</v>
      </c>
      <c r="K2963" t="inlineStr">
        <is>
          <t>MAYO 2025</t>
        </is>
      </c>
      <c r="L2963" t="inlineStr">
        <is>
          <t>MAYO 2026</t>
        </is>
      </c>
      <c r="M2963" t="inlineStr">
        <is>
          <t>P.Q.S.  TIPO ABC  90% NACIONAL</t>
        </is>
      </c>
      <c r="N2963" t="inlineStr">
        <is>
          <t>200/000173</t>
        </is>
      </c>
      <c r="O2963" t="inlineStr">
        <is>
          <t>R</t>
        </is>
      </c>
      <c r="P2963">
        <f>TRIM(N2963)</f>
        <v/>
      </c>
    </row>
    <row r="2964">
      <c r="A2964" t="inlineStr">
        <is>
          <t>CO-002323</t>
        </is>
      </c>
      <c r="B2964" t="inlineStr">
        <is>
          <t>PERU MASIVO S.A - INFRAESTRUCTURA</t>
        </is>
      </c>
      <c r="C2964" t="inlineStr">
        <is>
          <t>20492392031</t>
        </is>
      </c>
      <c r="D2964" t="inlineStr">
        <is>
          <t>AV. LOS INCAS CDRA. 4 PATIO NORTE - COMAS</t>
        </is>
      </c>
      <c r="E2964" t="inlineStr">
        <is>
          <t>Lima, 08 de mayo de 2025</t>
        </is>
      </c>
      <c r="F2964" t="inlineStr">
        <is>
          <t>la Recarga y mantenimiento</t>
        </is>
      </c>
      <c r="G2964" t="inlineStr">
        <is>
          <t>01</t>
        </is>
      </c>
      <c r="H2964" t="inlineStr">
        <is>
          <t>12 KG</t>
        </is>
      </c>
      <c r="I2964" t="inlineStr">
        <is>
          <t>2029</t>
        </is>
      </c>
      <c r="J2964" t="n">
        <v>2012</v>
      </c>
      <c r="K2964" t="inlineStr">
        <is>
          <t>MAYO 2025</t>
        </is>
      </c>
      <c r="L2964" t="inlineStr">
        <is>
          <t>MAYO 2026</t>
        </is>
      </c>
      <c r="M2964" t="inlineStr">
        <is>
          <t>P.Q.S.  TIPO ABC  90% NACIONAL</t>
        </is>
      </c>
      <c r="N2964" t="inlineStr">
        <is>
          <t>31/000345</t>
        </is>
      </c>
      <c r="O2964" t="inlineStr">
        <is>
          <t>R</t>
        </is>
      </c>
      <c r="P2964">
        <f>TRIM(N2964)</f>
        <v/>
      </c>
    </row>
    <row r="2965">
      <c r="A2965" t="inlineStr">
        <is>
          <t>CO-002324</t>
        </is>
      </c>
      <c r="B2965" t="inlineStr">
        <is>
          <t>GRIT LABS S.A.C.</t>
        </is>
      </c>
      <c r="C2965" t="inlineStr">
        <is>
          <t>20471884741</t>
        </is>
      </c>
      <c r="D2965" t="inlineStr">
        <is>
          <t>AV. MÉXICO 423 - COMAS</t>
        </is>
      </c>
      <c r="E2965" t="inlineStr">
        <is>
          <t>Lima, 09 de mayo de 2025</t>
        </is>
      </c>
      <c r="F2965" t="inlineStr">
        <is>
          <t>la Recarga y mantenimiento</t>
        </is>
      </c>
      <c r="G2965" t="inlineStr">
        <is>
          <t>01</t>
        </is>
      </c>
      <c r="H2965" t="inlineStr">
        <is>
          <t>06 KG</t>
        </is>
      </c>
      <c r="I2965" t="inlineStr">
        <is>
          <t>2028</t>
        </is>
      </c>
      <c r="J2965" t="n">
        <v>2023</v>
      </c>
      <c r="K2965" t="inlineStr">
        <is>
          <t>MAYO 2025</t>
        </is>
      </c>
      <c r="L2965" t="inlineStr">
        <is>
          <t>MAYO 2026</t>
        </is>
      </c>
      <c r="M2965" t="inlineStr">
        <is>
          <t>P.Q.S TIPO ABC</t>
        </is>
      </c>
      <c r="N2965" t="inlineStr">
        <is>
          <t>01/001462</t>
        </is>
      </c>
      <c r="O2965" t="inlineStr">
        <is>
          <t>R</t>
        </is>
      </c>
      <c r="P2965">
        <f>TRIM(N2965)</f>
        <v/>
      </c>
    </row>
    <row r="2966">
      <c r="A2966" t="inlineStr">
        <is>
          <t>CO-002325</t>
        </is>
      </c>
      <c r="B2966" t="inlineStr">
        <is>
          <t>GRIT LABS S.A.C.</t>
        </is>
      </c>
      <c r="C2966" t="inlineStr">
        <is>
          <t>20471884741</t>
        </is>
      </c>
      <c r="D2966" t="inlineStr">
        <is>
          <t>AV. MÉXICO 423 - COMAS</t>
        </is>
      </c>
      <c r="E2966" t="inlineStr">
        <is>
          <t>Lima, 09 de mayo de 2025</t>
        </is>
      </c>
      <c r="F2966" t="inlineStr">
        <is>
          <t>la Recarga y mantenimiento</t>
        </is>
      </c>
      <c r="G2966" t="inlineStr">
        <is>
          <t>01</t>
        </is>
      </c>
      <c r="H2966" t="inlineStr">
        <is>
          <t>06 KG</t>
        </is>
      </c>
      <c r="I2966" t="inlineStr">
        <is>
          <t>2028</t>
        </is>
      </c>
      <c r="J2966" t="n">
        <v>2023</v>
      </c>
      <c r="K2966" t="inlineStr">
        <is>
          <t>MAYO 2025</t>
        </is>
      </c>
      <c r="L2966" t="inlineStr">
        <is>
          <t>MAYO 2026</t>
        </is>
      </c>
      <c r="M2966" t="inlineStr">
        <is>
          <t>P.Q.S TIPO ABC</t>
        </is>
      </c>
      <c r="N2966" t="inlineStr">
        <is>
          <t>02/001443</t>
        </is>
      </c>
      <c r="O2966" t="inlineStr">
        <is>
          <t>R</t>
        </is>
      </c>
      <c r="P2966">
        <f>TRIM(N2966)</f>
        <v/>
      </c>
    </row>
    <row r="2967">
      <c r="A2967" t="inlineStr">
        <is>
          <t>CO-002326</t>
        </is>
      </c>
      <c r="B2967" t="inlineStr">
        <is>
          <t>GRIT LABS S.A.C.</t>
        </is>
      </c>
      <c r="C2967" t="inlineStr">
        <is>
          <t>20471884741</t>
        </is>
      </c>
      <c r="D2967" t="inlineStr">
        <is>
          <t>AV. MÉXICO 423 - COMAS</t>
        </is>
      </c>
      <c r="E2967" t="inlineStr">
        <is>
          <t>Lima, 09 de mayo de 2025</t>
        </is>
      </c>
      <c r="F2967" t="inlineStr">
        <is>
          <t>la Recarga y mantenimiento</t>
        </is>
      </c>
      <c r="G2967" t="inlineStr">
        <is>
          <t>01</t>
        </is>
      </c>
      <c r="H2967" t="inlineStr">
        <is>
          <t>06 KG</t>
        </is>
      </c>
      <c r="I2967" t="inlineStr">
        <is>
          <t>2028</t>
        </is>
      </c>
      <c r="J2967" t="n">
        <v>2023</v>
      </c>
      <c r="K2967" t="inlineStr">
        <is>
          <t>MAYO 2025</t>
        </is>
      </c>
      <c r="L2967" t="inlineStr">
        <is>
          <t>MAYO 2026</t>
        </is>
      </c>
      <c r="M2967" t="inlineStr">
        <is>
          <t>P.Q.S TIPO ABC</t>
        </is>
      </c>
      <c r="N2967" t="inlineStr">
        <is>
          <t>03/001470</t>
        </is>
      </c>
      <c r="O2967" t="inlineStr">
        <is>
          <t>R</t>
        </is>
      </c>
      <c r="P2967">
        <f>TRIM(N2967)</f>
        <v/>
      </c>
    </row>
    <row r="2968">
      <c r="A2968" t="inlineStr">
        <is>
          <t>CO-002327</t>
        </is>
      </c>
      <c r="B2968" t="inlineStr">
        <is>
          <t>GRIT LABS S.A.C.</t>
        </is>
      </c>
      <c r="C2968" t="inlineStr">
        <is>
          <t>20471884741</t>
        </is>
      </c>
      <c r="D2968" t="inlineStr">
        <is>
          <t>AV. MÉXICO 423 - COMAS</t>
        </is>
      </c>
      <c r="E2968" t="inlineStr">
        <is>
          <t>Lima, 09 de mayo de 2025</t>
        </is>
      </c>
      <c r="F2968" t="inlineStr">
        <is>
          <t>la Recarga y mantenimiento</t>
        </is>
      </c>
      <c r="G2968" t="inlineStr">
        <is>
          <t>01</t>
        </is>
      </c>
      <c r="H2968" t="inlineStr">
        <is>
          <t>06 KG</t>
        </is>
      </c>
      <c r="I2968" t="inlineStr">
        <is>
          <t>2028</t>
        </is>
      </c>
      <c r="J2968" t="n">
        <v>2023</v>
      </c>
      <c r="K2968" t="inlineStr">
        <is>
          <t>MAYO 2025</t>
        </is>
      </c>
      <c r="L2968" t="inlineStr">
        <is>
          <t>MAYO 2026</t>
        </is>
      </c>
      <c r="M2968" t="inlineStr">
        <is>
          <t>P.Q.S TIPO ABC</t>
        </is>
      </c>
      <c r="N2968" t="inlineStr">
        <is>
          <t>04/001484</t>
        </is>
      </c>
      <c r="O2968" t="inlineStr">
        <is>
          <t>R</t>
        </is>
      </c>
      <c r="P2968">
        <f>TRIM(N2968)</f>
        <v/>
      </c>
    </row>
    <row r="2969">
      <c r="A2969" t="inlineStr">
        <is>
          <t>CO-002328</t>
        </is>
      </c>
      <c r="B2969" t="inlineStr">
        <is>
          <t>GRIT LABS S.A.C.</t>
        </is>
      </c>
      <c r="C2969" t="inlineStr">
        <is>
          <t>20471884741</t>
        </is>
      </c>
      <c r="D2969" t="inlineStr">
        <is>
          <t>AV. MÉXICO 423 - COMAS</t>
        </is>
      </c>
      <c r="E2969" t="inlineStr">
        <is>
          <t>Lima, 09 de mayo de 2025</t>
        </is>
      </c>
      <c r="F2969" t="inlineStr">
        <is>
          <t>la Recarga y mantenimiento</t>
        </is>
      </c>
      <c r="G2969" t="inlineStr">
        <is>
          <t>01</t>
        </is>
      </c>
      <c r="H2969" t="inlineStr">
        <is>
          <t>06 KG</t>
        </is>
      </c>
      <c r="I2969" t="inlineStr">
        <is>
          <t>2028</t>
        </is>
      </c>
      <c r="J2969" t="n">
        <v>2023</v>
      </c>
      <c r="K2969" t="inlineStr">
        <is>
          <t>MAYO 2025</t>
        </is>
      </c>
      <c r="L2969" t="inlineStr">
        <is>
          <t>MAYO 2026</t>
        </is>
      </c>
      <c r="M2969" t="inlineStr">
        <is>
          <t>P.Q.S TIPO ABC</t>
        </is>
      </c>
      <c r="N2969" t="inlineStr">
        <is>
          <t>05/001461</t>
        </is>
      </c>
      <c r="O2969" t="inlineStr">
        <is>
          <t>R</t>
        </is>
      </c>
      <c r="P2969">
        <f>TRIM(N2969)</f>
        <v/>
      </c>
    </row>
    <row r="2970">
      <c r="A2970" t="inlineStr">
        <is>
          <t>CO-002329</t>
        </is>
      </c>
      <c r="B2970" t="inlineStr">
        <is>
          <t>GRIT LABS S.A.C.</t>
        </is>
      </c>
      <c r="C2970" t="inlineStr">
        <is>
          <t>20471884741</t>
        </is>
      </c>
      <c r="D2970" t="inlineStr">
        <is>
          <t>AV. MÉXICO 423 - COMAS</t>
        </is>
      </c>
      <c r="E2970" t="inlineStr">
        <is>
          <t>Lima, 09 de mayo de 2025</t>
        </is>
      </c>
      <c r="F2970" t="inlineStr">
        <is>
          <t>la Recarga y mantenimiento</t>
        </is>
      </c>
      <c r="G2970" t="inlineStr">
        <is>
          <t>01</t>
        </is>
      </c>
      <c r="H2970" t="inlineStr">
        <is>
          <t>06 KG</t>
        </is>
      </c>
      <c r="I2970" t="inlineStr">
        <is>
          <t>2028</t>
        </is>
      </c>
      <c r="J2970" t="n">
        <v>2023</v>
      </c>
      <c r="K2970" t="inlineStr">
        <is>
          <t>MAYO 2025</t>
        </is>
      </c>
      <c r="L2970" t="inlineStr">
        <is>
          <t>MAYO 2026</t>
        </is>
      </c>
      <c r="M2970" t="inlineStr">
        <is>
          <t>P.Q.S TIPO ABC</t>
        </is>
      </c>
      <c r="N2970" t="inlineStr">
        <is>
          <t>06/001481</t>
        </is>
      </c>
      <c r="O2970" t="inlineStr">
        <is>
          <t>R</t>
        </is>
      </c>
      <c r="P2970">
        <f>TRIM(N2970)</f>
        <v/>
      </c>
    </row>
    <row r="2971">
      <c r="A2971" t="inlineStr">
        <is>
          <t>CO-002330</t>
        </is>
      </c>
      <c r="B2971" t="inlineStr">
        <is>
          <t>GRIT LABS S.A.C.</t>
        </is>
      </c>
      <c r="C2971" t="inlineStr">
        <is>
          <t>20471884741</t>
        </is>
      </c>
      <c r="D2971" t="inlineStr">
        <is>
          <t>AV. MÉXICO 423 - COMAS</t>
        </is>
      </c>
      <c r="E2971" t="inlineStr">
        <is>
          <t>Lima, 09 de mayo de 2025</t>
        </is>
      </c>
      <c r="F2971" t="inlineStr">
        <is>
          <t>la Recarga y mantenimiento</t>
        </is>
      </c>
      <c r="G2971" t="inlineStr">
        <is>
          <t>01</t>
        </is>
      </c>
      <c r="H2971" t="inlineStr">
        <is>
          <t>06 KG</t>
        </is>
      </c>
      <c r="I2971" t="inlineStr">
        <is>
          <t>2028</t>
        </is>
      </c>
      <c r="J2971" t="n">
        <v>2023</v>
      </c>
      <c r="K2971" t="inlineStr">
        <is>
          <t>MAYO 2025</t>
        </is>
      </c>
      <c r="L2971" t="inlineStr">
        <is>
          <t>MAYO 2026</t>
        </is>
      </c>
      <c r="M2971" t="inlineStr">
        <is>
          <t>P.Q.S TIPO ABC</t>
        </is>
      </c>
      <c r="N2971" t="inlineStr">
        <is>
          <t>07/001473</t>
        </is>
      </c>
      <c r="O2971" t="inlineStr">
        <is>
          <t>R</t>
        </is>
      </c>
      <c r="P2971">
        <f>TRIM(N2971)</f>
        <v/>
      </c>
    </row>
    <row r="2972">
      <c r="A2972" t="inlineStr">
        <is>
          <t>CO-002331</t>
        </is>
      </c>
      <c r="B2972" t="inlineStr">
        <is>
          <t>GRIT LABS S.A.C.</t>
        </is>
      </c>
      <c r="C2972" t="inlineStr">
        <is>
          <t>20471884741</t>
        </is>
      </c>
      <c r="D2972" t="inlineStr">
        <is>
          <t>AV. MÉXICO 423 - COMAS</t>
        </is>
      </c>
      <c r="E2972" t="inlineStr">
        <is>
          <t>Lima, 09 de mayo de 2025</t>
        </is>
      </c>
      <c r="F2972" t="inlineStr">
        <is>
          <t>la Recarga y mantenimiento</t>
        </is>
      </c>
      <c r="G2972" t="inlineStr">
        <is>
          <t>01</t>
        </is>
      </c>
      <c r="H2972" t="inlineStr">
        <is>
          <t>06 KG</t>
        </is>
      </c>
      <c r="I2972" t="inlineStr">
        <is>
          <t>2029</t>
        </is>
      </c>
      <c r="J2972" t="n">
        <v>2024</v>
      </c>
      <c r="K2972" t="inlineStr">
        <is>
          <t>MAYO 2025</t>
        </is>
      </c>
      <c r="L2972" t="inlineStr">
        <is>
          <t>MAYO 2026</t>
        </is>
      </c>
      <c r="M2972" t="inlineStr">
        <is>
          <t>P.Q.S TIPO ABC</t>
        </is>
      </c>
      <c r="N2972" t="inlineStr">
        <is>
          <t>08/000259</t>
        </is>
      </c>
      <c r="O2972" t="inlineStr">
        <is>
          <t>R</t>
        </is>
      </c>
      <c r="P2972">
        <f>TRIM(N2972)</f>
        <v/>
      </c>
    </row>
    <row r="2973">
      <c r="A2973" t="inlineStr">
        <is>
          <t>CO-002332</t>
        </is>
      </c>
      <c r="B2973" t="inlineStr">
        <is>
          <t>HAMANN DISEÑO Y CONSTRUCCION S.A.C.</t>
        </is>
      </c>
      <c r="C2973" t="inlineStr">
        <is>
          <t>20514795569</t>
        </is>
      </c>
      <c r="D2973" t="inlineStr">
        <is>
          <t>CLL. CAPITAN ELIAS AGUIRRE 180, MIRAFLORES</t>
        </is>
      </c>
      <c r="E2973" t="inlineStr">
        <is>
          <t>Lima, 15 de mayo de 2025</t>
        </is>
      </c>
      <c r="F2973" t="inlineStr">
        <is>
          <t>la Recarga y mantenimiento</t>
        </is>
      </c>
      <c r="G2973" t="inlineStr">
        <is>
          <t>01</t>
        </is>
      </c>
      <c r="H2973" t="inlineStr">
        <is>
          <t>06 KG</t>
        </is>
      </c>
      <c r="I2973" t="inlineStr">
        <is>
          <t>2029</t>
        </is>
      </c>
      <c r="J2973" t="n">
        <v>2024</v>
      </c>
      <c r="K2973" t="inlineStr">
        <is>
          <t>MAYO 2025</t>
        </is>
      </c>
      <c r="L2973" t="inlineStr">
        <is>
          <t>MAYO 2026</t>
        </is>
      </c>
      <c r="M2973" t="inlineStr">
        <is>
          <t>P.Q.S TIPO ABC</t>
        </is>
      </c>
      <c r="N2973" t="inlineStr">
        <is>
          <t>01/049099</t>
        </is>
      </c>
      <c r="O2973" t="inlineStr">
        <is>
          <t>R</t>
        </is>
      </c>
      <c r="P2973">
        <f>TRIM(N2973)</f>
        <v/>
      </c>
    </row>
    <row r="2974">
      <c r="A2974" t="inlineStr">
        <is>
          <t>CO-002332</t>
        </is>
      </c>
      <c r="B2974" t="inlineStr">
        <is>
          <t>HAMANN DISEÑO Y CONSTRUCCION S.A.C.</t>
        </is>
      </c>
      <c r="C2974" t="inlineStr">
        <is>
          <t>20514795569</t>
        </is>
      </c>
      <c r="D2974" t="inlineStr">
        <is>
          <t>CLL. CAPITAN ELIAS AGUIRRE 180, MIRAFLORES</t>
        </is>
      </c>
      <c r="E2974" t="inlineStr">
        <is>
          <t>Lima, 15 de mayo de 2025</t>
        </is>
      </c>
      <c r="F2974" t="inlineStr">
        <is>
          <t>la Recarga y mantenimiento</t>
        </is>
      </c>
      <c r="G2974" t="inlineStr">
        <is>
          <t>02</t>
        </is>
      </c>
      <c r="H2974" t="inlineStr">
        <is>
          <t>06 KG</t>
        </is>
      </c>
      <c r="I2974" t="inlineStr">
        <is>
          <t>2028</t>
        </is>
      </c>
      <c r="J2974" t="n">
        <v>2023</v>
      </c>
      <c r="K2974" t="inlineStr">
        <is>
          <t>MAYO 2025</t>
        </is>
      </c>
      <c r="L2974" t="inlineStr">
        <is>
          <t>MAYO 2026</t>
        </is>
      </c>
      <c r="M2974" t="inlineStr">
        <is>
          <t>P.Q.S TIPO ABC</t>
        </is>
      </c>
      <c r="N2974" t="inlineStr">
        <is>
          <t>02/002594</t>
        </is>
      </c>
      <c r="O2974" t="inlineStr">
        <is>
          <t>R</t>
        </is>
      </c>
      <c r="P2974">
        <f>TRIM(N2974)</f>
        <v/>
      </c>
    </row>
    <row r="2975">
      <c r="A2975" t="inlineStr">
        <is>
          <t>CO-002332</t>
        </is>
      </c>
      <c r="B2975" t="inlineStr">
        <is>
          <t>HAMANN DISEÑO Y CONSTRUCCION S.A.C.</t>
        </is>
      </c>
      <c r="C2975" t="inlineStr">
        <is>
          <t>20514795569</t>
        </is>
      </c>
      <c r="D2975" t="inlineStr">
        <is>
          <t>CLL. CAPITAN ELIAS AGUIRRE 180, MIRAFLORES</t>
        </is>
      </c>
      <c r="E2975" t="inlineStr">
        <is>
          <t>Lima, 15 de mayo de 2025</t>
        </is>
      </c>
      <c r="F2975" t="inlineStr">
        <is>
          <t>la Recarga y mantenimiento</t>
        </is>
      </c>
      <c r="G2975" t="inlineStr">
        <is>
          <t>03</t>
        </is>
      </c>
      <c r="H2975" t="inlineStr">
        <is>
          <t>06 KG</t>
        </is>
      </c>
      <c r="I2975" t="inlineStr">
        <is>
          <t>2029</t>
        </is>
      </c>
      <c r="J2975" t="n">
        <v>2024</v>
      </c>
      <c r="K2975" t="inlineStr">
        <is>
          <t>MAYO 2025</t>
        </is>
      </c>
      <c r="L2975" t="inlineStr">
        <is>
          <t>MAYO 2026</t>
        </is>
      </c>
      <c r="M2975" t="inlineStr">
        <is>
          <t>P.Q.S TIPO ABC</t>
        </is>
      </c>
      <c r="N2975" t="inlineStr">
        <is>
          <t>03/049377</t>
        </is>
      </c>
      <c r="O2975" t="inlineStr">
        <is>
          <t>R</t>
        </is>
      </c>
      <c r="P2975">
        <f>TRIM(N2975)</f>
        <v/>
      </c>
    </row>
    <row r="2976">
      <c r="A2976" t="inlineStr">
        <is>
          <t>CO-002332</t>
        </is>
      </c>
      <c r="B2976" t="inlineStr">
        <is>
          <t>HAMANN DISEÑO Y CONSTRUCCION S.A.C.</t>
        </is>
      </c>
      <c r="C2976" t="inlineStr">
        <is>
          <t>20514795569</t>
        </is>
      </c>
      <c r="D2976" t="inlineStr">
        <is>
          <t>CLL. CAPITAN ELIAS AGUIRRE 180, MIRAFLORES</t>
        </is>
      </c>
      <c r="E2976" t="inlineStr">
        <is>
          <t>Lima, 15 de mayo de 2025</t>
        </is>
      </c>
      <c r="F2976" t="inlineStr">
        <is>
          <t>la Recarga y mantenimiento</t>
        </is>
      </c>
      <c r="G2976" t="inlineStr">
        <is>
          <t>04</t>
        </is>
      </c>
      <c r="H2976" t="inlineStr">
        <is>
          <t>06 KG</t>
        </is>
      </c>
      <c r="I2976" t="inlineStr">
        <is>
          <t>2028</t>
        </is>
      </c>
      <c r="J2976" t="n">
        <v>2023</v>
      </c>
      <c r="K2976" t="inlineStr">
        <is>
          <t>MAYO 2025</t>
        </is>
      </c>
      <c r="L2976" t="inlineStr">
        <is>
          <t>MAYO 2026</t>
        </is>
      </c>
      <c r="M2976" t="inlineStr">
        <is>
          <t>P.Q.S TIPO ABC</t>
        </is>
      </c>
      <c r="N2976" t="inlineStr">
        <is>
          <t>04/001458</t>
        </is>
      </c>
      <c r="P2976">
        <f>TRIM(N2976)</f>
        <v/>
      </c>
    </row>
    <row r="2977">
      <c r="A2977" t="inlineStr">
        <is>
          <t>CO-002333</t>
        </is>
      </c>
      <c r="B2977" t="inlineStr">
        <is>
          <t>LINDE PERU S.R.L. - YAULI</t>
        </is>
      </c>
      <c r="C2977" t="inlineStr">
        <is>
          <t>20338570041</t>
        </is>
      </c>
      <c r="D2977" t="inlineStr">
        <is>
          <t>SECTOR PACHACHACA LOTE G-1 YAULI, JUNIN, PERÚ</t>
        </is>
      </c>
      <c r="E2977" t="inlineStr">
        <is>
          <t>Lima, 15 de mayo de 2025</t>
        </is>
      </c>
      <c r="F2977" t="inlineStr">
        <is>
          <t>la Recarga y mantenimiento</t>
        </is>
      </c>
      <c r="G2977" t="inlineStr">
        <is>
          <t>01</t>
        </is>
      </c>
      <c r="H2977" t="inlineStr">
        <is>
          <t>12 KG</t>
        </is>
      </c>
      <c r="I2977" t="inlineStr">
        <is>
          <t>2030</t>
        </is>
      </c>
      <c r="J2977" t="n">
        <v>2012</v>
      </c>
      <c r="K2977" t="inlineStr">
        <is>
          <t>MAYO 2025</t>
        </is>
      </c>
      <c r="L2977" t="inlineStr">
        <is>
          <t>MAYO 2026</t>
        </is>
      </c>
      <c r="M2977" t="inlineStr">
        <is>
          <t>P.Q.S.  TIPO ABC AL 90% UL</t>
        </is>
      </c>
      <c r="N2977" t="inlineStr">
        <is>
          <t>01/000136</t>
        </is>
      </c>
      <c r="O2977" t="inlineStr">
        <is>
          <t>M2</t>
        </is>
      </c>
      <c r="P2977">
        <f>TRIM(N2977)</f>
        <v/>
      </c>
    </row>
    <row r="2978">
      <c r="A2978" t="inlineStr">
        <is>
          <t>CO-002333</t>
        </is>
      </c>
      <c r="B2978" t="inlineStr">
        <is>
          <t>LINDE PERU S.R.L. - YAULI</t>
        </is>
      </c>
      <c r="C2978" t="inlineStr">
        <is>
          <t>20338570041</t>
        </is>
      </c>
      <c r="D2978" t="inlineStr">
        <is>
          <t>SECTOR PACHACHACA LOTE G-1 YAULI, JUNIN, PERÚ</t>
        </is>
      </c>
      <c r="E2978" t="inlineStr">
        <is>
          <t>Lima, 15 de mayo de 2025</t>
        </is>
      </c>
      <c r="F2978" t="inlineStr">
        <is>
          <t>la Recarga y mantenimiento</t>
        </is>
      </c>
      <c r="G2978" t="inlineStr">
        <is>
          <t>02</t>
        </is>
      </c>
      <c r="H2978" t="inlineStr">
        <is>
          <t>12 KG</t>
        </is>
      </c>
      <c r="I2978" t="inlineStr">
        <is>
          <t>2030</t>
        </is>
      </c>
      <c r="J2978" t="n">
        <v>2012</v>
      </c>
      <c r="K2978" t="inlineStr">
        <is>
          <t>MAYO 2025</t>
        </is>
      </c>
      <c r="L2978" t="inlineStr">
        <is>
          <t>MAYO 2026</t>
        </is>
      </c>
      <c r="M2978" t="inlineStr">
        <is>
          <t>P.Q.S.  TIPO ABC AL 90% UL</t>
        </is>
      </c>
      <c r="N2978" t="inlineStr">
        <is>
          <t>02/000267</t>
        </is>
      </c>
      <c r="O2978" t="inlineStr">
        <is>
          <t>M2</t>
        </is>
      </c>
      <c r="P2978">
        <f>TRIM(N2978)</f>
        <v/>
      </c>
    </row>
    <row r="2979">
      <c r="A2979" t="inlineStr">
        <is>
          <t>CO-002333</t>
        </is>
      </c>
      <c r="B2979" t="inlineStr">
        <is>
          <t>LINDE PERU S.R.L. - YAULI</t>
        </is>
      </c>
      <c r="C2979" t="inlineStr">
        <is>
          <t>20338570041</t>
        </is>
      </c>
      <c r="D2979" t="inlineStr">
        <is>
          <t>SECTOR PACHACHACA LOTE G-1 YAULI, JUNIN, PERÚ</t>
        </is>
      </c>
      <c r="E2979" t="inlineStr">
        <is>
          <t>Lima, 15 de mayo de 2025</t>
        </is>
      </c>
      <c r="F2979" t="inlineStr">
        <is>
          <t>la Recarga y mantenimiento</t>
        </is>
      </c>
      <c r="G2979" t="inlineStr">
        <is>
          <t>03</t>
        </is>
      </c>
      <c r="H2979" t="inlineStr">
        <is>
          <t>12 KG</t>
        </is>
      </c>
      <c r="I2979" t="inlineStr">
        <is>
          <t>2030</t>
        </is>
      </c>
      <c r="J2979" t="n">
        <v>2011</v>
      </c>
      <c r="K2979" t="inlineStr">
        <is>
          <t>MAYO 2025</t>
        </is>
      </c>
      <c r="L2979" t="inlineStr">
        <is>
          <t>MAYO 2026</t>
        </is>
      </c>
      <c r="M2979" t="inlineStr">
        <is>
          <t>P.Q.S.  TIPO ABC AL 90% UL</t>
        </is>
      </c>
      <c r="N2979" t="inlineStr">
        <is>
          <t>03/000333</t>
        </is>
      </c>
      <c r="O2979" t="inlineStr">
        <is>
          <t>M2</t>
        </is>
      </c>
      <c r="P2979">
        <f>TRIM(N2979)</f>
        <v/>
      </c>
    </row>
    <row r="2980">
      <c r="A2980" t="inlineStr">
        <is>
          <t>CO-002333</t>
        </is>
      </c>
      <c r="B2980" t="inlineStr">
        <is>
          <t>LINDE PERU S.R.L. - YAULI</t>
        </is>
      </c>
      <c r="C2980" t="inlineStr">
        <is>
          <t>20338570041</t>
        </is>
      </c>
      <c r="D2980" t="inlineStr">
        <is>
          <t>SECTOR PACHACHACA LOTE G-1 YAULI, JUNIN, PERÚ</t>
        </is>
      </c>
      <c r="E2980" t="inlineStr">
        <is>
          <t>Lima, 15 de mayo de 2025</t>
        </is>
      </c>
      <c r="F2980" t="inlineStr">
        <is>
          <t>la Recarga y mantenimiento</t>
        </is>
      </c>
      <c r="G2980" t="inlineStr">
        <is>
          <t>04</t>
        </is>
      </c>
      <c r="H2980" t="inlineStr">
        <is>
          <t>15 LBS</t>
        </is>
      </c>
      <c r="I2980" t="n">
        <v>2029</v>
      </c>
      <c r="J2980" t="n">
        <v>2008</v>
      </c>
      <c r="K2980" t="inlineStr">
        <is>
          <t>MAYO 2025</t>
        </is>
      </c>
      <c r="L2980" t="inlineStr">
        <is>
          <t>MAYO 2026</t>
        </is>
      </c>
      <c r="M2980" t="inlineStr">
        <is>
          <t xml:space="preserve">CO2 TIPO BC </t>
        </is>
      </c>
      <c r="N2980" t="inlineStr">
        <is>
          <t>04/627123</t>
        </is>
      </c>
      <c r="O2980" t="inlineStr">
        <is>
          <t>R</t>
        </is>
      </c>
      <c r="P2980">
        <f>TRIM(N2980)</f>
        <v/>
      </c>
    </row>
    <row r="2981">
      <c r="A2981" t="inlineStr">
        <is>
          <t>CO-002333</t>
        </is>
      </c>
      <c r="B2981" t="inlineStr">
        <is>
          <t>LINDE PERU S.R.L. - YAULI</t>
        </is>
      </c>
      <c r="C2981" t="inlineStr">
        <is>
          <t>20338570041</t>
        </is>
      </c>
      <c r="D2981" t="inlineStr">
        <is>
          <t>SECTOR PACHACHACA LOTE G-1 YAULI, JUNIN, PERÚ</t>
        </is>
      </c>
      <c r="E2981" t="inlineStr">
        <is>
          <t>Lima, 15 de mayo de 2025</t>
        </is>
      </c>
      <c r="F2981" t="inlineStr">
        <is>
          <t>la Recarga y mantenimiento</t>
        </is>
      </c>
      <c r="G2981" t="inlineStr">
        <is>
          <t>05</t>
        </is>
      </c>
      <c r="H2981" t="inlineStr">
        <is>
          <t>09 KG</t>
        </is>
      </c>
      <c r="I2981" t="n">
        <v>2030</v>
      </c>
      <c r="J2981" t="n">
        <v>2010</v>
      </c>
      <c r="K2981" t="inlineStr">
        <is>
          <t>MAYO 2025</t>
        </is>
      </c>
      <c r="L2981" t="inlineStr">
        <is>
          <t>MAYO 2026</t>
        </is>
      </c>
      <c r="M2981" t="inlineStr">
        <is>
          <t>P.Q.S.  TIPO ABC AL 90% UL</t>
        </is>
      </c>
      <c r="N2981" t="inlineStr">
        <is>
          <t>05/000006</t>
        </is>
      </c>
      <c r="O2981" t="inlineStr">
        <is>
          <t>M2</t>
        </is>
      </c>
      <c r="P2981">
        <f>TRIM(N2981)</f>
        <v/>
      </c>
    </row>
    <row r="2982">
      <c r="A2982" t="inlineStr">
        <is>
          <t>CO-002333</t>
        </is>
      </c>
      <c r="B2982" t="inlineStr">
        <is>
          <t>LINDE PERU S.R.L. - YAULI</t>
        </is>
      </c>
      <c r="C2982" t="inlineStr">
        <is>
          <t>20338570041</t>
        </is>
      </c>
      <c r="D2982" t="inlineStr">
        <is>
          <t>SECTOR PACHACHACA LOTE G-1 YAULI, JUNIN, PERÚ</t>
        </is>
      </c>
      <c r="E2982" t="inlineStr">
        <is>
          <t>Lima, 15 de mayo de 2025</t>
        </is>
      </c>
      <c r="F2982" t="inlineStr">
        <is>
          <t>la Recarga y mantenimiento</t>
        </is>
      </c>
      <c r="G2982" t="inlineStr">
        <is>
          <t>06</t>
        </is>
      </c>
      <c r="H2982" t="inlineStr">
        <is>
          <t>10 LBS</t>
        </is>
      </c>
      <c r="I2982" t="n">
        <v>2029</v>
      </c>
      <c r="J2982" t="n">
        <v>2000</v>
      </c>
      <c r="K2982" t="inlineStr">
        <is>
          <t>MAYO 2025</t>
        </is>
      </c>
      <c r="L2982" t="inlineStr">
        <is>
          <t>MAYO 2026</t>
        </is>
      </c>
      <c r="M2982" t="inlineStr">
        <is>
          <t xml:space="preserve">CO2 TIPO BC </t>
        </is>
      </c>
      <c r="N2982" t="inlineStr">
        <is>
          <t>06/700659</t>
        </is>
      </c>
      <c r="O2982" t="inlineStr">
        <is>
          <t>R</t>
        </is>
      </c>
      <c r="P2982">
        <f>TRIM(N2982)</f>
        <v/>
      </c>
    </row>
    <row r="2983">
      <c r="A2983" t="inlineStr">
        <is>
          <t>CO-002333</t>
        </is>
      </c>
      <c r="B2983" t="inlineStr">
        <is>
          <t>LINDE PERU S.R.L. - YAULI</t>
        </is>
      </c>
      <c r="C2983" t="inlineStr">
        <is>
          <t>20338570041</t>
        </is>
      </c>
      <c r="D2983" t="inlineStr">
        <is>
          <t>SECTOR PACHACHACA LOTE G-1 YAULI, JUNIN, PERÚ</t>
        </is>
      </c>
      <c r="E2983" t="inlineStr">
        <is>
          <t>Lima, 15 de mayo de 2025</t>
        </is>
      </c>
      <c r="F2983" t="inlineStr">
        <is>
          <t>la Recarga y mantenimiento</t>
        </is>
      </c>
      <c r="G2983" t="inlineStr">
        <is>
          <t>07</t>
        </is>
      </c>
      <c r="H2983" t="inlineStr">
        <is>
          <t>12 KG</t>
        </is>
      </c>
      <c r="I2983" t="n">
        <v>2030</v>
      </c>
      <c r="J2983" t="n">
        <v>2019</v>
      </c>
      <c r="K2983" t="inlineStr">
        <is>
          <t>MAYO 2025</t>
        </is>
      </c>
      <c r="L2983" t="inlineStr">
        <is>
          <t>MAYO 2026</t>
        </is>
      </c>
      <c r="M2983" t="inlineStr">
        <is>
          <t>P.Q.S.  TIPO ABC AL 90% UL</t>
        </is>
      </c>
      <c r="N2983" t="inlineStr">
        <is>
          <t>07/000289</t>
        </is>
      </c>
      <c r="O2983" t="inlineStr">
        <is>
          <t>M2</t>
        </is>
      </c>
      <c r="P2983">
        <f>TRIM(N2983)</f>
        <v/>
      </c>
    </row>
    <row r="2984">
      <c r="A2984" t="inlineStr">
        <is>
          <t>CO-002334</t>
        </is>
      </c>
      <c r="B2984" t="inlineStr">
        <is>
          <t>PERU MASIVO S.A - BUSES</t>
        </is>
      </c>
      <c r="C2984" t="inlineStr">
        <is>
          <t>20492392031</t>
        </is>
      </c>
      <c r="D2984" t="inlineStr">
        <is>
          <t>AV. LOS INCAS CDRA. 4 PATIO NORTE - COMAS</t>
        </is>
      </c>
      <c r="E2984" t="inlineStr">
        <is>
          <t>Lima, 19 de mayo de 2025</t>
        </is>
      </c>
      <c r="F2984" t="inlineStr">
        <is>
          <t>la Recarga y mantenimiento</t>
        </is>
      </c>
      <c r="G2984" t="inlineStr">
        <is>
          <t>01</t>
        </is>
      </c>
      <c r="H2984" t="inlineStr">
        <is>
          <t xml:space="preserve">06 KG </t>
        </is>
      </c>
      <c r="I2984" t="inlineStr">
        <is>
          <t>2028</t>
        </is>
      </c>
      <c r="J2984" t="n">
        <v>2010</v>
      </c>
      <c r="K2984" t="inlineStr">
        <is>
          <t>MAYO 2025</t>
        </is>
      </c>
      <c r="L2984" t="inlineStr">
        <is>
          <t>MAYO 2026</t>
        </is>
      </c>
      <c r="M2984" t="inlineStr">
        <is>
          <t>P.Q.S.  TIPO ABC  90% NACIONAL</t>
        </is>
      </c>
      <c r="N2984" t="inlineStr">
        <is>
          <t>350/001026</t>
        </is>
      </c>
      <c r="O2984" t="inlineStr">
        <is>
          <t>R</t>
        </is>
      </c>
      <c r="P2984">
        <f>TRIM(N2984)</f>
        <v/>
      </c>
    </row>
    <row r="2985">
      <c r="A2985" t="inlineStr">
        <is>
          <t>CO-002334</t>
        </is>
      </c>
      <c r="B2985" t="inlineStr">
        <is>
          <t>PERU MASIVO S.A - BUSES</t>
        </is>
      </c>
      <c r="C2985" t="inlineStr">
        <is>
          <t>20492392031</t>
        </is>
      </c>
      <c r="D2985" t="inlineStr">
        <is>
          <t>AV. LOS INCAS CDRA. 4 PATIO NORTE - COMAS</t>
        </is>
      </c>
      <c r="E2985" t="inlineStr">
        <is>
          <t>Lima, 19 de mayo de 2025</t>
        </is>
      </c>
      <c r="F2985" t="inlineStr">
        <is>
          <t>la Recarga y mantenimiento</t>
        </is>
      </c>
      <c r="G2985" t="inlineStr">
        <is>
          <t>02</t>
        </is>
      </c>
      <c r="H2985" t="inlineStr">
        <is>
          <t>06 KG</t>
        </is>
      </c>
      <c r="I2985" t="inlineStr">
        <is>
          <t>2028</t>
        </is>
      </c>
      <c r="J2985" t="n">
        <v>2009</v>
      </c>
      <c r="K2985" t="inlineStr">
        <is>
          <t>MAYO 2025</t>
        </is>
      </c>
      <c r="L2985" t="inlineStr">
        <is>
          <t>MAYO 2026</t>
        </is>
      </c>
      <c r="M2985" t="inlineStr">
        <is>
          <t>P.Q.S.  TIPO ABC  90% NACIONAL</t>
        </is>
      </c>
      <c r="N2985" t="inlineStr">
        <is>
          <t>311/001700</t>
        </is>
      </c>
      <c r="O2985" t="inlineStr">
        <is>
          <t>R</t>
        </is>
      </c>
      <c r="P2985">
        <f>TRIM(N2985)</f>
        <v/>
      </c>
    </row>
    <row r="2986">
      <c r="A2986" t="inlineStr">
        <is>
          <t>CO-002334</t>
        </is>
      </c>
      <c r="B2986" t="inlineStr">
        <is>
          <t>PERU MASIVO S.A - BUSES</t>
        </is>
      </c>
      <c r="C2986" t="inlineStr">
        <is>
          <t>20492392031</t>
        </is>
      </c>
      <c r="D2986" t="inlineStr">
        <is>
          <t>AV. LOS INCAS CDRA. 4 PATIO NORTE - COMAS</t>
        </is>
      </c>
      <c r="E2986" t="inlineStr">
        <is>
          <t>Lima, 19 de mayo de 2025</t>
        </is>
      </c>
      <c r="F2986" t="inlineStr">
        <is>
          <t>la Recarga y mantenimiento</t>
        </is>
      </c>
      <c r="G2986" t="inlineStr">
        <is>
          <t>03</t>
        </is>
      </c>
      <c r="H2986" t="inlineStr">
        <is>
          <t>06 KG</t>
        </is>
      </c>
      <c r="I2986" t="n">
        <v>2028</v>
      </c>
      <c r="J2986" t="n">
        <v>2009</v>
      </c>
      <c r="K2986" t="inlineStr">
        <is>
          <t>MAYO 2025</t>
        </is>
      </c>
      <c r="L2986" t="inlineStr">
        <is>
          <t>MAYO 2026</t>
        </is>
      </c>
      <c r="M2986" t="inlineStr">
        <is>
          <t>P.Q.S.  TIPO ABC  90% NACIONAL</t>
        </is>
      </c>
      <c r="N2986" t="inlineStr">
        <is>
          <t>223/001170</t>
        </is>
      </c>
      <c r="O2986" t="inlineStr">
        <is>
          <t>R</t>
        </is>
      </c>
      <c r="P2986">
        <f>TRIM(N2986)</f>
        <v/>
      </c>
    </row>
    <row r="2987">
      <c r="A2987" t="inlineStr">
        <is>
          <t>CO-002334</t>
        </is>
      </c>
      <c r="B2987" t="inlineStr">
        <is>
          <t>PERU MASIVO S.A - BUSES</t>
        </is>
      </c>
      <c r="C2987" t="inlineStr">
        <is>
          <t>20492392031</t>
        </is>
      </c>
      <c r="D2987" t="inlineStr">
        <is>
          <t>AV. LOS INCAS CDRA. 4 PATIO NORTE - COMAS</t>
        </is>
      </c>
      <c r="E2987" t="inlineStr">
        <is>
          <t>Lima, 19 de mayo de 2025</t>
        </is>
      </c>
      <c r="F2987" t="inlineStr">
        <is>
          <t>la Recarga y mantenimiento</t>
        </is>
      </c>
      <c r="G2987" t="inlineStr">
        <is>
          <t>04</t>
        </is>
      </c>
      <c r="H2987" t="inlineStr">
        <is>
          <t>06 KG</t>
        </is>
      </c>
      <c r="I2987" t="n">
        <v>2028</v>
      </c>
      <c r="J2987" t="n">
        <v>2010</v>
      </c>
      <c r="K2987" t="inlineStr">
        <is>
          <t>MAYO 2025</t>
        </is>
      </c>
      <c r="L2987" t="inlineStr">
        <is>
          <t>MAYO 2026</t>
        </is>
      </c>
      <c r="M2987" t="inlineStr">
        <is>
          <t>P.Q.S.  TIPO ABC  90% NACIONAL</t>
        </is>
      </c>
      <c r="N2987" t="inlineStr">
        <is>
          <t>253/000611</t>
        </is>
      </c>
      <c r="O2987" t="inlineStr">
        <is>
          <t>R</t>
        </is>
      </c>
      <c r="P2987">
        <f>TRIM(N2987)</f>
        <v/>
      </c>
    </row>
    <row r="2988">
      <c r="A2988" t="inlineStr">
        <is>
          <t>CO-002334</t>
        </is>
      </c>
      <c r="B2988" t="inlineStr">
        <is>
          <t>PERU MASIVO S.A - BUSES</t>
        </is>
      </c>
      <c r="C2988" t="inlineStr">
        <is>
          <t>20492392031</t>
        </is>
      </c>
      <c r="D2988" t="inlineStr">
        <is>
          <t>AV. LOS INCAS CDRA. 4 PATIO NORTE - COMAS</t>
        </is>
      </c>
      <c r="E2988" t="inlineStr">
        <is>
          <t>Lima, 19 de mayo de 2025</t>
        </is>
      </c>
      <c r="F2988" t="inlineStr">
        <is>
          <t>la Recarga y mantenimiento</t>
        </is>
      </c>
      <c r="G2988" t="inlineStr">
        <is>
          <t>05</t>
        </is>
      </c>
      <c r="H2988" t="inlineStr">
        <is>
          <t>06 KG</t>
        </is>
      </c>
      <c r="I2988" t="n">
        <v>2029</v>
      </c>
      <c r="J2988" t="n">
        <v>2019</v>
      </c>
      <c r="K2988" t="inlineStr">
        <is>
          <t>MAYO 2025</t>
        </is>
      </c>
      <c r="L2988" t="inlineStr">
        <is>
          <t>MAYO 2026</t>
        </is>
      </c>
      <c r="M2988" t="inlineStr">
        <is>
          <t>P.Q.S.  TIPO ABC  90% NACIONAL</t>
        </is>
      </c>
      <c r="N2988" t="inlineStr">
        <is>
          <t>389/000783</t>
        </is>
      </c>
      <c r="O2988" t="inlineStr">
        <is>
          <t>R</t>
        </is>
      </c>
      <c r="P2988">
        <f>TRIM(N2988)</f>
        <v/>
      </c>
    </row>
    <row r="2989">
      <c r="A2989" t="inlineStr">
        <is>
          <t>CO-002334</t>
        </is>
      </c>
      <c r="B2989" t="inlineStr">
        <is>
          <t>PERU MASIVO S.A - BUSES</t>
        </is>
      </c>
      <c r="C2989" t="inlineStr">
        <is>
          <t>20492392031</t>
        </is>
      </c>
      <c r="D2989" t="inlineStr">
        <is>
          <t>AV. LOS INCAS CDRA. 4 PATIO NORTE - COMAS</t>
        </is>
      </c>
      <c r="E2989" t="inlineStr">
        <is>
          <t>Lima, 19 de mayo de 2025</t>
        </is>
      </c>
      <c r="F2989" t="inlineStr">
        <is>
          <t>la Recarga y mantenimiento</t>
        </is>
      </c>
      <c r="G2989" t="inlineStr">
        <is>
          <t>06</t>
        </is>
      </c>
      <c r="H2989" t="inlineStr">
        <is>
          <t>06 KG</t>
        </is>
      </c>
      <c r="I2989" t="n">
        <v>2028</v>
      </c>
      <c r="J2989" t="n">
        <v>2009</v>
      </c>
      <c r="K2989" t="inlineStr">
        <is>
          <t>MAYO 2025</t>
        </is>
      </c>
      <c r="L2989" t="inlineStr">
        <is>
          <t>MAYO 2026</t>
        </is>
      </c>
      <c r="M2989" t="inlineStr">
        <is>
          <t>P.Q.S.  TIPO ABC  90% NACIONAL</t>
        </is>
      </c>
      <c r="N2989" t="inlineStr">
        <is>
          <t>335/001071</t>
        </is>
      </c>
      <c r="O2989" t="inlineStr">
        <is>
          <t>R</t>
        </is>
      </c>
      <c r="P2989">
        <f>TRIM(N2989)</f>
        <v/>
      </c>
    </row>
    <row r="2990">
      <c r="A2990" t="inlineStr">
        <is>
          <t>CO-002334</t>
        </is>
      </c>
      <c r="B2990" t="inlineStr">
        <is>
          <t>PERU MASIVO S.A - BUSES</t>
        </is>
      </c>
      <c r="C2990" t="inlineStr">
        <is>
          <t>20492392031</t>
        </is>
      </c>
      <c r="D2990" t="inlineStr">
        <is>
          <t>AV. LOS INCAS CDRA. 4 PATIO NORTE - COMAS</t>
        </is>
      </c>
      <c r="E2990" t="inlineStr">
        <is>
          <t>Lima, 19 de mayo de 2025</t>
        </is>
      </c>
      <c r="F2990" t="inlineStr">
        <is>
          <t>la Recarga y mantenimiento</t>
        </is>
      </c>
      <c r="G2990" t="inlineStr">
        <is>
          <t>07</t>
        </is>
      </c>
      <c r="H2990" t="inlineStr">
        <is>
          <t>06 KG</t>
        </is>
      </c>
      <c r="I2990" t="n">
        <v>2028</v>
      </c>
      <c r="J2990" t="n">
        <v>2009</v>
      </c>
      <c r="K2990" t="inlineStr">
        <is>
          <t>MAYO 2025</t>
        </is>
      </c>
      <c r="L2990" t="inlineStr">
        <is>
          <t>MAYO 2026</t>
        </is>
      </c>
      <c r="M2990" t="inlineStr">
        <is>
          <t>P.Q.S.  TIPO ABC  90% NACIONAL</t>
        </is>
      </c>
      <c r="N2990" t="inlineStr">
        <is>
          <t>346/001151</t>
        </is>
      </c>
      <c r="O2990" t="inlineStr">
        <is>
          <t>R</t>
        </is>
      </c>
      <c r="P2990">
        <f>TRIM(N2990)</f>
        <v/>
      </c>
    </row>
    <row r="2991">
      <c r="A2991" t="inlineStr">
        <is>
          <t>CO-002334</t>
        </is>
      </c>
      <c r="B2991" t="inlineStr">
        <is>
          <t>PERU MASIVO S.A - BUSES</t>
        </is>
      </c>
      <c r="C2991" t="inlineStr">
        <is>
          <t>20492392031</t>
        </is>
      </c>
      <c r="D2991" t="inlineStr">
        <is>
          <t>AV. LOS INCAS CDRA. 4 PATIO NORTE - COMAS</t>
        </is>
      </c>
      <c r="E2991" t="inlineStr">
        <is>
          <t>Lima, 19 de mayo de 2025</t>
        </is>
      </c>
      <c r="F2991" t="inlineStr">
        <is>
          <t>la Recarga y mantenimiento</t>
        </is>
      </c>
      <c r="G2991" t="inlineStr">
        <is>
          <t>08</t>
        </is>
      </c>
      <c r="H2991" t="inlineStr">
        <is>
          <t>06 KG</t>
        </is>
      </c>
      <c r="I2991" t="n">
        <v>2029</v>
      </c>
      <c r="J2991" t="n">
        <v>2024</v>
      </c>
      <c r="K2991" t="inlineStr">
        <is>
          <t>MAYO 2025</t>
        </is>
      </c>
      <c r="L2991" t="inlineStr">
        <is>
          <t>MAYO 2026</t>
        </is>
      </c>
      <c r="M2991" t="inlineStr">
        <is>
          <t>P.Q.S.  TIPO ABC  90% NACIONAL</t>
        </is>
      </c>
      <c r="N2991" t="inlineStr">
        <is>
          <t>143/003851</t>
        </is>
      </c>
      <c r="O2991" t="inlineStr">
        <is>
          <t>R</t>
        </is>
      </c>
      <c r="P2991">
        <f>TRIM(N2991)</f>
        <v/>
      </c>
    </row>
    <row r="2992">
      <c r="A2992" t="inlineStr">
        <is>
          <t>CO-002334</t>
        </is>
      </c>
      <c r="B2992" t="inlineStr">
        <is>
          <t>PERU MASIVO S.A - BUSES</t>
        </is>
      </c>
      <c r="C2992" t="inlineStr">
        <is>
          <t>20492392031</t>
        </is>
      </c>
      <c r="D2992" t="inlineStr">
        <is>
          <t>AV. LOS INCAS CDRA. 4 PATIO NORTE - COMAS</t>
        </is>
      </c>
      <c r="E2992" t="inlineStr">
        <is>
          <t>Lima, 19 de mayo de 2025</t>
        </is>
      </c>
      <c r="F2992" t="inlineStr">
        <is>
          <t>la Recarga y mantenimiento</t>
        </is>
      </c>
      <c r="G2992" t="inlineStr">
        <is>
          <t>09</t>
        </is>
      </c>
      <c r="H2992" t="inlineStr">
        <is>
          <t>06 KG</t>
        </is>
      </c>
      <c r="I2992" t="n">
        <v>2029</v>
      </c>
      <c r="J2992" t="n">
        <v>2010</v>
      </c>
      <c r="K2992" t="inlineStr">
        <is>
          <t>MAYO 2025</t>
        </is>
      </c>
      <c r="L2992" t="inlineStr">
        <is>
          <t>MAYO 2026</t>
        </is>
      </c>
      <c r="M2992" t="inlineStr">
        <is>
          <t>P.Q.S.  TIPO ABC  90% NACIONAL</t>
        </is>
      </c>
      <c r="N2992" t="inlineStr">
        <is>
          <t>346/006495</t>
        </is>
      </c>
      <c r="O2992" t="inlineStr">
        <is>
          <t>R</t>
        </is>
      </c>
      <c r="P2992">
        <f>TRIM(N2992)</f>
        <v/>
      </c>
    </row>
    <row r="2993">
      <c r="A2993" t="inlineStr">
        <is>
          <t>CO-002334</t>
        </is>
      </c>
      <c r="B2993" t="inlineStr">
        <is>
          <t>PERU MASIVO S.A - BUSES</t>
        </is>
      </c>
      <c r="C2993" t="inlineStr">
        <is>
          <t>20492392031</t>
        </is>
      </c>
      <c r="D2993" t="inlineStr">
        <is>
          <t>AV. LOS INCAS CDRA. 4 PATIO NORTE - COMAS</t>
        </is>
      </c>
      <c r="E2993" t="inlineStr">
        <is>
          <t>Lima, 19 de mayo de 2025</t>
        </is>
      </c>
      <c r="F2993" t="inlineStr">
        <is>
          <t>la Recarga y mantenimiento</t>
        </is>
      </c>
      <c r="G2993" t="n">
        <v>10</v>
      </c>
      <c r="H2993" t="inlineStr">
        <is>
          <t>06 KG</t>
        </is>
      </c>
      <c r="I2993" t="n">
        <v>2029</v>
      </c>
      <c r="J2993" t="n">
        <v>2024</v>
      </c>
      <c r="K2993" t="inlineStr">
        <is>
          <t>MAYO 2025</t>
        </is>
      </c>
      <c r="L2993" t="inlineStr">
        <is>
          <t>MAYO 2026</t>
        </is>
      </c>
      <c r="M2993" t="inlineStr">
        <is>
          <t>P.Q.S.  TIPO ABC  90% NACIONAL</t>
        </is>
      </c>
      <c r="N2993" t="inlineStr">
        <is>
          <t>146/002978</t>
        </is>
      </c>
      <c r="O2993" t="inlineStr">
        <is>
          <t>R</t>
        </is>
      </c>
      <c r="P2993">
        <f>TRIM(N2993)</f>
        <v/>
      </c>
    </row>
    <row r="2994">
      <c r="A2994" t="inlineStr">
        <is>
          <t>CO-002335</t>
        </is>
      </c>
      <c r="B2994" t="inlineStr">
        <is>
          <t xml:space="preserve">MARYVEL SUGERICA LOARTE UGARTE </t>
        </is>
      </c>
      <c r="C2994" t="inlineStr">
        <is>
          <t>-</t>
        </is>
      </c>
      <c r="D2994" t="inlineStr">
        <is>
          <t xml:space="preserve">MZ E LT 1 ASOC. LA FLORIDA DE COPACABANA, PTE PÍEDRA </t>
        </is>
      </c>
      <c r="E2994" t="inlineStr">
        <is>
          <t>Lima, 22 de mayo de 2025</t>
        </is>
      </c>
      <c r="F2994" t="inlineStr">
        <is>
          <t xml:space="preserve">venta </t>
        </is>
      </c>
      <c r="G2994" t="inlineStr">
        <is>
          <t xml:space="preserve">01 </t>
        </is>
      </c>
      <c r="H2994" t="inlineStr">
        <is>
          <t xml:space="preserve">06 KG </t>
        </is>
      </c>
      <c r="I2994" t="inlineStr">
        <is>
          <t>2029</t>
        </is>
      </c>
      <c r="J2994" t="n">
        <v>2024</v>
      </c>
      <c r="K2994" t="inlineStr">
        <is>
          <t>MAYO 2025</t>
        </is>
      </c>
      <c r="L2994" t="inlineStr">
        <is>
          <t>MAYO 2026</t>
        </is>
      </c>
      <c r="M2994" t="inlineStr">
        <is>
          <t xml:space="preserve">P.Q.S.  TIPO ABC  </t>
        </is>
      </c>
      <c r="N2994" t="inlineStr">
        <is>
          <t>01/006750</t>
        </is>
      </c>
      <c r="O2994" t="inlineStr">
        <is>
          <t>V</t>
        </is>
      </c>
      <c r="P2994">
        <f>TRIM(N2994)</f>
        <v/>
      </c>
    </row>
    <row r="2995">
      <c r="A2995" t="inlineStr">
        <is>
          <t>CO-002335</t>
        </is>
      </c>
      <c r="B2995" t="inlineStr">
        <is>
          <t xml:space="preserve">MARYVEL SUGERICA LOARTE UGARTE </t>
        </is>
      </c>
      <c r="C2995" t="inlineStr">
        <is>
          <t>-</t>
        </is>
      </c>
      <c r="D2995" t="inlineStr">
        <is>
          <t xml:space="preserve">MZ E LT 1 ASOC. LA FLORIDA DE COPACABANA, PTE PÍEDRA </t>
        </is>
      </c>
      <c r="E2995" t="inlineStr">
        <is>
          <t>Lima, 22 de mayo de 2025</t>
        </is>
      </c>
      <c r="F2995" t="inlineStr">
        <is>
          <t xml:space="preserve">venta </t>
        </is>
      </c>
      <c r="G2995" t="inlineStr">
        <is>
          <t>02</t>
        </is>
      </c>
      <c r="H2995" t="inlineStr">
        <is>
          <t xml:space="preserve">06 KG </t>
        </is>
      </c>
      <c r="I2995" t="inlineStr">
        <is>
          <t>2029</t>
        </is>
      </c>
      <c r="J2995" t="n">
        <v>2024</v>
      </c>
      <c r="K2995" t="inlineStr">
        <is>
          <t>MAYO 2025</t>
        </is>
      </c>
      <c r="L2995" t="inlineStr">
        <is>
          <t>MAYO 2026</t>
        </is>
      </c>
      <c r="M2995" t="inlineStr">
        <is>
          <t xml:space="preserve">P.Q.S.  TIPO ABC  </t>
        </is>
      </c>
      <c r="N2995" t="inlineStr">
        <is>
          <t>02/007303</t>
        </is>
      </c>
      <c r="O2995" t="inlineStr">
        <is>
          <t>V</t>
        </is>
      </c>
      <c r="P2995">
        <f>TRIM(N2995)</f>
        <v/>
      </c>
    </row>
    <row r="2996">
      <c r="A2996" t="inlineStr">
        <is>
          <t>CO-002335</t>
        </is>
      </c>
      <c r="B2996" t="inlineStr">
        <is>
          <t xml:space="preserve">MARYVEL SUGERICA LOARTE UGARTE </t>
        </is>
      </c>
      <c r="C2996" t="inlineStr">
        <is>
          <t>-</t>
        </is>
      </c>
      <c r="D2996" t="inlineStr">
        <is>
          <t xml:space="preserve">MZ E LT 1 ASOC. LA FLORIDA DE COPACABANA, PTE PÍEDRA </t>
        </is>
      </c>
      <c r="E2996" t="inlineStr">
        <is>
          <t>Lima, 22 de mayo de 2025</t>
        </is>
      </c>
      <c r="F2996" t="inlineStr">
        <is>
          <t xml:space="preserve">venta </t>
        </is>
      </c>
      <c r="G2996" t="inlineStr">
        <is>
          <t>03</t>
        </is>
      </c>
      <c r="H2996" t="inlineStr">
        <is>
          <t>06 KG</t>
        </is>
      </c>
      <c r="I2996" t="n">
        <v>2030</v>
      </c>
      <c r="J2996" t="n">
        <v>2025</v>
      </c>
      <c r="K2996" t="inlineStr">
        <is>
          <t>MAYO 2025</t>
        </is>
      </c>
      <c r="L2996" t="inlineStr">
        <is>
          <t>MAYO 2026</t>
        </is>
      </c>
      <c r="M2996" t="inlineStr">
        <is>
          <t xml:space="preserve">P.Q.S.  TIPO ABC  </t>
        </is>
      </c>
      <c r="N2996" t="inlineStr">
        <is>
          <t>03/000442</t>
        </is>
      </c>
      <c r="O2996" t="inlineStr">
        <is>
          <t>V</t>
        </is>
      </c>
      <c r="P2996">
        <f>TRIM(N2996)</f>
        <v/>
      </c>
    </row>
    <row r="2997">
      <c r="A2997" t="inlineStr">
        <is>
          <t>CO-002335</t>
        </is>
      </c>
      <c r="B2997" t="inlineStr">
        <is>
          <t xml:space="preserve">MARYVEL SUGERICA LOARTE UGARTE </t>
        </is>
      </c>
      <c r="C2997" t="inlineStr">
        <is>
          <t>-</t>
        </is>
      </c>
      <c r="D2997" t="inlineStr">
        <is>
          <t xml:space="preserve">MZ E LT 1 ASOC. LA FLORIDA DE COPACABANA, PTE PÍEDRA </t>
        </is>
      </c>
      <c r="E2997" t="inlineStr">
        <is>
          <t>Lima, 22 de mayo de 2025</t>
        </is>
      </c>
      <c r="F2997" t="inlineStr">
        <is>
          <t>la Recarga y mantenimiento</t>
        </is>
      </c>
      <c r="G2997" t="inlineStr">
        <is>
          <t>01</t>
        </is>
      </c>
      <c r="H2997" t="inlineStr">
        <is>
          <t>06 KG</t>
        </is>
      </c>
      <c r="I2997" t="inlineStr">
        <is>
          <t>2030</t>
        </is>
      </c>
      <c r="J2997" t="n">
        <v>2008</v>
      </c>
      <c r="K2997" t="inlineStr">
        <is>
          <t>MAYO 2025</t>
        </is>
      </c>
      <c r="L2997" t="inlineStr">
        <is>
          <t>MAYO 2026</t>
        </is>
      </c>
      <c r="M2997" t="inlineStr">
        <is>
          <t xml:space="preserve">P.Q.S.  TIPO ABC  </t>
        </is>
      </c>
      <c r="N2997" t="inlineStr">
        <is>
          <t>04/003299</t>
        </is>
      </c>
      <c r="O2997" t="inlineStr">
        <is>
          <t>R</t>
        </is>
      </c>
      <c r="P2997">
        <f>TRIM(N2997)</f>
        <v/>
      </c>
    </row>
    <row r="2998">
      <c r="A2998" t="inlineStr">
        <is>
          <t>CO-002335</t>
        </is>
      </c>
      <c r="B2998" t="inlineStr">
        <is>
          <t xml:space="preserve">MARYVEL SUGERICA LOARTE UGARTE </t>
        </is>
      </c>
      <c r="C2998" t="inlineStr">
        <is>
          <t>-</t>
        </is>
      </c>
      <c r="D2998" t="inlineStr">
        <is>
          <t xml:space="preserve">MZ E LT 1 ASOC. LA FLORIDA DE COPACABANA, PTE PÍEDRA </t>
        </is>
      </c>
      <c r="E2998" t="inlineStr">
        <is>
          <t>Lima, 22 de mayo de 2025</t>
        </is>
      </c>
      <c r="F2998" t="inlineStr">
        <is>
          <t>la Recarga y mantenimiento</t>
        </is>
      </c>
      <c r="G2998" t="inlineStr">
        <is>
          <t>02</t>
        </is>
      </c>
      <c r="H2998" t="inlineStr">
        <is>
          <t>09 KG</t>
        </is>
      </c>
      <c r="I2998" t="inlineStr">
        <is>
          <t>2030</t>
        </is>
      </c>
      <c r="J2998" t="n">
        <v>2019</v>
      </c>
      <c r="K2998" t="inlineStr">
        <is>
          <t>MAYO 2025</t>
        </is>
      </c>
      <c r="L2998" t="inlineStr">
        <is>
          <t>MAYO 2026</t>
        </is>
      </c>
      <c r="M2998" t="inlineStr">
        <is>
          <t xml:space="preserve">P.Q.S.  TIPO ABC  </t>
        </is>
      </c>
      <c r="N2998" t="inlineStr">
        <is>
          <t>05/076088</t>
        </is>
      </c>
      <c r="O2998" t="inlineStr">
        <is>
          <t>R</t>
        </is>
      </c>
      <c r="P2998">
        <f>TRIM(N2998)</f>
        <v/>
      </c>
    </row>
    <row r="2999">
      <c r="A2999" t="inlineStr">
        <is>
          <t>CO-002337</t>
        </is>
      </c>
      <c r="B2999" t="inlineStr">
        <is>
          <t>PERU MASIVO S.A - BUSES</t>
        </is>
      </c>
      <c r="C2999" t="inlineStr">
        <is>
          <t>20492392031</t>
        </is>
      </c>
      <c r="D2999" t="inlineStr">
        <is>
          <t>AV. LOS INCAS CDRA. 4 PATIO NORTE - COMAS</t>
        </is>
      </c>
      <c r="E2999" t="inlineStr">
        <is>
          <t>Lima, 22 de mayo de 2025</t>
        </is>
      </c>
      <c r="F2999" t="inlineStr">
        <is>
          <t>la Recarga y mantenimiento</t>
        </is>
      </c>
      <c r="G2999" t="inlineStr">
        <is>
          <t>01</t>
        </is>
      </c>
      <c r="H2999" t="inlineStr">
        <is>
          <t xml:space="preserve">06 KG </t>
        </is>
      </c>
      <c r="I2999" t="inlineStr">
        <is>
          <t>2029</t>
        </is>
      </c>
      <c r="J2999" t="n">
        <v>2021</v>
      </c>
      <c r="K2999" t="inlineStr">
        <is>
          <t>MAYO 2025</t>
        </is>
      </c>
      <c r="L2999" t="inlineStr">
        <is>
          <t>MAYO 2026</t>
        </is>
      </c>
      <c r="M2999" t="inlineStr">
        <is>
          <t>P.Q.S.  TIPO ABC  90% NACIONAL</t>
        </is>
      </c>
      <c r="N2999" t="inlineStr">
        <is>
          <t>149/009608</t>
        </is>
      </c>
      <c r="O2999" t="inlineStr">
        <is>
          <t>R</t>
        </is>
      </c>
      <c r="P2999">
        <f>TRIM(N2999)</f>
        <v/>
      </c>
    </row>
    <row r="3000">
      <c r="A3000" t="inlineStr">
        <is>
          <t>CO-002337</t>
        </is>
      </c>
      <c r="B3000" t="inlineStr">
        <is>
          <t>PERU MASIVO S.A - BUSES</t>
        </is>
      </c>
      <c r="C3000" t="inlineStr">
        <is>
          <t>20492392031</t>
        </is>
      </c>
      <c r="D3000" t="inlineStr">
        <is>
          <t>AV. LOS INCAS CDRA. 4 PATIO NORTE - COMAS</t>
        </is>
      </c>
      <c r="E3000" t="inlineStr">
        <is>
          <t>Lima, 22 de mayo de 2025</t>
        </is>
      </c>
      <c r="F3000" t="inlineStr">
        <is>
          <t>la Recarga y mantenimiento</t>
        </is>
      </c>
      <c r="G3000" t="inlineStr">
        <is>
          <t>02</t>
        </is>
      </c>
      <c r="H3000" t="inlineStr">
        <is>
          <t xml:space="preserve">06 KG </t>
        </is>
      </c>
      <c r="I3000" t="inlineStr">
        <is>
          <t>2028</t>
        </is>
      </c>
      <c r="J3000" t="n">
        <v>2010</v>
      </c>
      <c r="K3000" t="inlineStr">
        <is>
          <t>MAYO 2025</t>
        </is>
      </c>
      <c r="L3000" t="inlineStr">
        <is>
          <t>MAYO 2026</t>
        </is>
      </c>
      <c r="M3000" t="inlineStr">
        <is>
          <t>P.Q.S.  TIPO ABC  90% NACIONAL</t>
        </is>
      </c>
      <c r="N3000" t="inlineStr">
        <is>
          <t>122/000008</t>
        </is>
      </c>
      <c r="O3000" t="inlineStr">
        <is>
          <t>R</t>
        </is>
      </c>
      <c r="P3000">
        <f>TRIM(N3000)</f>
        <v/>
      </c>
    </row>
    <row r="3001">
      <c r="A3001" t="inlineStr">
        <is>
          <t>CO-002337</t>
        </is>
      </c>
      <c r="B3001" t="inlineStr">
        <is>
          <t>PERU MASIVO S.A - BUSES</t>
        </is>
      </c>
      <c r="C3001" t="inlineStr">
        <is>
          <t>20492392031</t>
        </is>
      </c>
      <c r="D3001" t="inlineStr">
        <is>
          <t>AV. LOS INCAS CDRA. 4 PATIO NORTE - COMAS</t>
        </is>
      </c>
      <c r="E3001" t="inlineStr">
        <is>
          <t>Lima, 22 de mayo de 2025</t>
        </is>
      </c>
      <c r="F3001" t="inlineStr">
        <is>
          <t>la Recarga y mantenimiento</t>
        </is>
      </c>
      <c r="G3001" t="inlineStr">
        <is>
          <t>03</t>
        </is>
      </c>
      <c r="H3001" t="inlineStr">
        <is>
          <t xml:space="preserve">06 KG </t>
        </is>
      </c>
      <c r="I3001" t="inlineStr">
        <is>
          <t>2028</t>
        </is>
      </c>
      <c r="J3001" t="n">
        <v>2011</v>
      </c>
      <c r="K3001" t="inlineStr">
        <is>
          <t>MAYO 2025</t>
        </is>
      </c>
      <c r="L3001" t="inlineStr">
        <is>
          <t>MAYO 2026</t>
        </is>
      </c>
      <c r="M3001" t="inlineStr">
        <is>
          <t>P.Q.S.  TIPO ABC  90% NACIONAL</t>
        </is>
      </c>
      <c r="N3001" t="inlineStr">
        <is>
          <t>175/000431</t>
        </is>
      </c>
      <c r="O3001" t="inlineStr">
        <is>
          <t>R</t>
        </is>
      </c>
      <c r="P3001">
        <f>TRIM(N3001)</f>
        <v/>
      </c>
    </row>
    <row r="3002">
      <c r="A3002" t="inlineStr">
        <is>
          <t>CO-002337</t>
        </is>
      </c>
      <c r="B3002" t="inlineStr">
        <is>
          <t>PERU MASIVO S.A - BUSES</t>
        </is>
      </c>
      <c r="C3002" t="inlineStr">
        <is>
          <t>20492392031</t>
        </is>
      </c>
      <c r="D3002" t="inlineStr">
        <is>
          <t>AV. LOS INCAS CDRA. 4 PATIO NORTE - COMAS</t>
        </is>
      </c>
      <c r="E3002" t="inlineStr">
        <is>
          <t>Lima, 22 de mayo de 2025</t>
        </is>
      </c>
      <c r="F3002" t="inlineStr">
        <is>
          <t>la Recarga y mantenimiento</t>
        </is>
      </c>
      <c r="G3002" t="inlineStr">
        <is>
          <t>04</t>
        </is>
      </c>
      <c r="H3002" t="inlineStr">
        <is>
          <t xml:space="preserve">06 KG </t>
        </is>
      </c>
      <c r="I3002" t="inlineStr">
        <is>
          <t>2029</t>
        </is>
      </c>
      <c r="J3002" t="n">
        <v>2019</v>
      </c>
      <c r="K3002" t="inlineStr">
        <is>
          <t>MAYO 2025</t>
        </is>
      </c>
      <c r="L3002" t="inlineStr">
        <is>
          <t>MAYO 2026</t>
        </is>
      </c>
      <c r="M3002" t="inlineStr">
        <is>
          <t>P.Q.S.  TIPO ABC  90% NACIONAL</t>
        </is>
      </c>
      <c r="N3002" t="inlineStr">
        <is>
          <t>183/001640</t>
        </is>
      </c>
      <c r="O3002" t="inlineStr">
        <is>
          <t>R</t>
        </is>
      </c>
      <c r="P3002">
        <f>TRIM(N3002)</f>
        <v/>
      </c>
    </row>
    <row r="3003">
      <c r="A3003" t="inlineStr">
        <is>
          <t>CO-002337</t>
        </is>
      </c>
      <c r="B3003" t="inlineStr">
        <is>
          <t>PERU MASIVO S.A - BUSES</t>
        </is>
      </c>
      <c r="C3003" t="inlineStr">
        <is>
          <t>20492392031</t>
        </is>
      </c>
      <c r="D3003" t="inlineStr">
        <is>
          <t>AV. LOS INCAS CDRA. 4 PATIO NORTE - COMAS</t>
        </is>
      </c>
      <c r="E3003" t="inlineStr">
        <is>
          <t>Lima, 22 de mayo de 2025</t>
        </is>
      </c>
      <c r="F3003" t="inlineStr">
        <is>
          <t>la Recarga y mantenimiento</t>
        </is>
      </c>
      <c r="G3003" t="inlineStr">
        <is>
          <t>05</t>
        </is>
      </c>
      <c r="H3003" t="inlineStr">
        <is>
          <t xml:space="preserve">06 KG </t>
        </is>
      </c>
      <c r="I3003" t="inlineStr">
        <is>
          <t>2028</t>
        </is>
      </c>
      <c r="J3003" t="n">
        <v>2018</v>
      </c>
      <c r="K3003" t="inlineStr">
        <is>
          <t>MAYO 2025</t>
        </is>
      </c>
      <c r="L3003" t="inlineStr">
        <is>
          <t>MAYO 2026</t>
        </is>
      </c>
      <c r="M3003" t="inlineStr">
        <is>
          <t>P.Q.S.  TIPO ABC  90% NACIONAL</t>
        </is>
      </c>
      <c r="N3003" t="inlineStr">
        <is>
          <t>184/006689</t>
        </is>
      </c>
      <c r="O3003" t="inlineStr">
        <is>
          <t>R</t>
        </is>
      </c>
      <c r="P3003">
        <f>TRIM(N3003)</f>
        <v/>
      </c>
    </row>
    <row r="3004">
      <c r="A3004" t="inlineStr">
        <is>
          <t>CO-002337</t>
        </is>
      </c>
      <c r="B3004" t="inlineStr">
        <is>
          <t>PERU MASIVO S.A - BUSES</t>
        </is>
      </c>
      <c r="C3004" t="inlineStr">
        <is>
          <t>20492392031</t>
        </is>
      </c>
      <c r="D3004" t="inlineStr">
        <is>
          <t>AV. LOS INCAS CDRA. 4 PATIO NORTE - COMAS</t>
        </is>
      </c>
      <c r="E3004" t="inlineStr">
        <is>
          <t>Lima, 22 de mayo de 2025</t>
        </is>
      </c>
      <c r="F3004" t="inlineStr">
        <is>
          <t>la Recarga y mantenimiento</t>
        </is>
      </c>
      <c r="G3004" t="inlineStr">
        <is>
          <t>06</t>
        </is>
      </c>
      <c r="H3004" t="inlineStr">
        <is>
          <t xml:space="preserve">06 KG </t>
        </is>
      </c>
      <c r="I3004" t="inlineStr">
        <is>
          <t>2028</t>
        </is>
      </c>
      <c r="J3004" t="n">
        <v>2010</v>
      </c>
      <c r="K3004" t="inlineStr">
        <is>
          <t>MAYO 2025</t>
        </is>
      </c>
      <c r="L3004" t="inlineStr">
        <is>
          <t>MAYO 2026</t>
        </is>
      </c>
      <c r="M3004" t="inlineStr">
        <is>
          <t>P.Q.S.  TIPO ABC  90% NACIONAL</t>
        </is>
      </c>
      <c r="N3004" t="inlineStr">
        <is>
          <t>206/001475</t>
        </is>
      </c>
      <c r="O3004" t="inlineStr">
        <is>
          <t>R</t>
        </is>
      </c>
      <c r="P3004">
        <f>TRIM(N3004)</f>
        <v/>
      </c>
    </row>
    <row r="3005">
      <c r="A3005" t="inlineStr">
        <is>
          <t>CO-002337</t>
        </is>
      </c>
      <c r="B3005" t="inlineStr">
        <is>
          <t>PERU MASIVO S.A - BUSES</t>
        </is>
      </c>
      <c r="C3005" t="inlineStr">
        <is>
          <t>20492392031</t>
        </is>
      </c>
      <c r="D3005" t="inlineStr">
        <is>
          <t>AV. LOS INCAS CDRA. 4 PATIO NORTE - COMAS</t>
        </is>
      </c>
      <c r="E3005" t="inlineStr">
        <is>
          <t>Lima, 22 de mayo de 2025</t>
        </is>
      </c>
      <c r="F3005" t="inlineStr">
        <is>
          <t>la Recarga y mantenimiento</t>
        </is>
      </c>
      <c r="G3005" t="inlineStr">
        <is>
          <t>07</t>
        </is>
      </c>
      <c r="H3005" t="inlineStr">
        <is>
          <t xml:space="preserve">06 KG </t>
        </is>
      </c>
      <c r="I3005" t="inlineStr">
        <is>
          <t>2028</t>
        </is>
      </c>
      <c r="J3005" t="n">
        <v>2010</v>
      </c>
      <c r="K3005" t="inlineStr">
        <is>
          <t>MAYO 2025</t>
        </is>
      </c>
      <c r="L3005" t="inlineStr">
        <is>
          <t>MAYO 2026</t>
        </is>
      </c>
      <c r="M3005" t="inlineStr">
        <is>
          <t>P.Q.S.  TIPO ABC  90% NACIONAL</t>
        </is>
      </c>
      <c r="N3005" t="inlineStr">
        <is>
          <t>226/001739</t>
        </is>
      </c>
      <c r="O3005" t="inlineStr">
        <is>
          <t>R</t>
        </is>
      </c>
      <c r="P3005">
        <f>TRIM(N3005)</f>
        <v/>
      </c>
    </row>
    <row r="3006">
      <c r="A3006" t="inlineStr">
        <is>
          <t>CO-002337</t>
        </is>
      </c>
      <c r="B3006" t="inlineStr">
        <is>
          <t>PERU MASIVO S.A - BUSES</t>
        </is>
      </c>
      <c r="C3006" t="inlineStr">
        <is>
          <t>20492392031</t>
        </is>
      </c>
      <c r="D3006" t="inlineStr">
        <is>
          <t>AV. LOS INCAS CDRA. 4 PATIO NORTE - COMAS</t>
        </is>
      </c>
      <c r="E3006" t="inlineStr">
        <is>
          <t>Lima, 22 de mayo de 2025</t>
        </is>
      </c>
      <c r="F3006" t="inlineStr">
        <is>
          <t>la Recarga y mantenimiento</t>
        </is>
      </c>
      <c r="G3006" t="inlineStr">
        <is>
          <t>08</t>
        </is>
      </c>
      <c r="H3006" t="inlineStr">
        <is>
          <t xml:space="preserve">06 KG </t>
        </is>
      </c>
      <c r="I3006" t="inlineStr">
        <is>
          <t>2028</t>
        </is>
      </c>
      <c r="J3006" t="n">
        <v>2010</v>
      </c>
      <c r="K3006" t="inlineStr">
        <is>
          <t>MAYO 2025</t>
        </is>
      </c>
      <c r="L3006" t="inlineStr">
        <is>
          <t>MAYO 2026</t>
        </is>
      </c>
      <c r="M3006" t="inlineStr">
        <is>
          <t>P.Q.S.  TIPO ABC  90% NACIONAL</t>
        </is>
      </c>
      <c r="N3006" t="inlineStr">
        <is>
          <t>275/000693</t>
        </is>
      </c>
      <c r="O3006" t="inlineStr">
        <is>
          <t>R</t>
        </is>
      </c>
      <c r="P3006">
        <f>TRIM(N3006)</f>
        <v/>
      </c>
    </row>
    <row r="3007">
      <c r="A3007" t="inlineStr">
        <is>
          <t>CO-002337</t>
        </is>
      </c>
      <c r="B3007" t="inlineStr">
        <is>
          <t>PERU MASIVO S.A - BUSES</t>
        </is>
      </c>
      <c r="C3007" t="inlineStr">
        <is>
          <t>20492392031</t>
        </is>
      </c>
      <c r="D3007" t="inlineStr">
        <is>
          <t>AV. LOS INCAS CDRA. 4 PATIO NORTE - COMAS</t>
        </is>
      </c>
      <c r="E3007" t="inlineStr">
        <is>
          <t>Lima, 22 de mayo de 2025</t>
        </is>
      </c>
      <c r="F3007" t="inlineStr">
        <is>
          <t>la Recarga y mantenimiento</t>
        </is>
      </c>
      <c r="G3007" t="inlineStr">
        <is>
          <t>09</t>
        </is>
      </c>
      <c r="H3007" t="inlineStr">
        <is>
          <t xml:space="preserve">06 KG </t>
        </is>
      </c>
      <c r="I3007" t="inlineStr">
        <is>
          <t>2028</t>
        </is>
      </c>
      <c r="J3007" t="n">
        <v>2015</v>
      </c>
      <c r="K3007" t="inlineStr">
        <is>
          <t>MAYO 2025</t>
        </is>
      </c>
      <c r="L3007" t="inlineStr">
        <is>
          <t>MAYO 2026</t>
        </is>
      </c>
      <c r="M3007" t="inlineStr">
        <is>
          <t>P.Q.S.  TIPO ABC  90% NACIONAL</t>
        </is>
      </c>
      <c r="N3007" t="inlineStr">
        <is>
          <t>285/000853</t>
        </is>
      </c>
      <c r="O3007" t="inlineStr">
        <is>
          <t>R</t>
        </is>
      </c>
      <c r="P3007">
        <f>TRIM(N3007)</f>
        <v/>
      </c>
    </row>
    <row r="3008">
      <c r="A3008" t="inlineStr">
        <is>
          <t>CO-002337</t>
        </is>
      </c>
      <c r="B3008" t="inlineStr">
        <is>
          <t>PERU MASIVO S.A - BUSES</t>
        </is>
      </c>
      <c r="C3008" t="inlineStr">
        <is>
          <t>20492392031</t>
        </is>
      </c>
      <c r="D3008" t="inlineStr">
        <is>
          <t>AV. LOS INCAS CDRA. 4 PATIO NORTE - COMAS</t>
        </is>
      </c>
      <c r="E3008" t="inlineStr">
        <is>
          <t>Lima, 22 de mayo de 2025</t>
        </is>
      </c>
      <c r="F3008" t="inlineStr">
        <is>
          <t>la Recarga y mantenimiento</t>
        </is>
      </c>
      <c r="G3008" t="n">
        <v>10</v>
      </c>
      <c r="H3008" t="inlineStr">
        <is>
          <t xml:space="preserve">06 KG </t>
        </is>
      </c>
      <c r="I3008" t="inlineStr">
        <is>
          <t>2028</t>
        </is>
      </c>
      <c r="J3008" t="n">
        <v>2010</v>
      </c>
      <c r="K3008" t="inlineStr">
        <is>
          <t>MAYO 2025</t>
        </is>
      </c>
      <c r="L3008" t="inlineStr">
        <is>
          <t>MAYO 2026</t>
        </is>
      </c>
      <c r="M3008" t="inlineStr">
        <is>
          <t>P.Q.S.  TIPO ABC  90% NACIONAL</t>
        </is>
      </c>
      <c r="N3008" t="inlineStr">
        <is>
          <t>286/001421</t>
        </is>
      </c>
      <c r="O3008" t="inlineStr">
        <is>
          <t>R</t>
        </is>
      </c>
      <c r="P3008">
        <f>TRIM(N3008)</f>
        <v/>
      </c>
    </row>
    <row r="3009">
      <c r="A3009" t="inlineStr">
        <is>
          <t>CO-002337</t>
        </is>
      </c>
      <c r="B3009" t="inlineStr">
        <is>
          <t>PERU MASIVO S.A - BUSES</t>
        </is>
      </c>
      <c r="C3009" t="inlineStr">
        <is>
          <t>20492392031</t>
        </is>
      </c>
      <c r="D3009" t="inlineStr">
        <is>
          <t>AV. LOS INCAS CDRA. 4 PATIO NORTE - COMAS</t>
        </is>
      </c>
      <c r="E3009" t="inlineStr">
        <is>
          <t>Lima, 22 de mayo de 2025</t>
        </is>
      </c>
      <c r="F3009" t="inlineStr">
        <is>
          <t>la Recarga y mantenimiento</t>
        </is>
      </c>
      <c r="G3009" t="n">
        <v>11</v>
      </c>
      <c r="H3009" t="inlineStr">
        <is>
          <t xml:space="preserve">06 KG </t>
        </is>
      </c>
      <c r="I3009" t="inlineStr">
        <is>
          <t>2028</t>
        </is>
      </c>
      <c r="J3009" t="n">
        <v>2010</v>
      </c>
      <c r="K3009" t="inlineStr">
        <is>
          <t>MAYO 2025</t>
        </is>
      </c>
      <c r="L3009" t="inlineStr">
        <is>
          <t>MAYO 2026</t>
        </is>
      </c>
      <c r="M3009" t="inlineStr">
        <is>
          <t>P.Q.S.  TIPO ABC  90% NACIONAL</t>
        </is>
      </c>
      <c r="N3009" t="inlineStr">
        <is>
          <t>287/000690</t>
        </is>
      </c>
      <c r="O3009" t="inlineStr">
        <is>
          <t>R</t>
        </is>
      </c>
      <c r="P3009">
        <f>TRIM(N3009)</f>
        <v/>
      </c>
    </row>
    <row r="3010">
      <c r="A3010" t="inlineStr">
        <is>
          <t>CO-002337</t>
        </is>
      </c>
      <c r="B3010" t="inlineStr">
        <is>
          <t>PERU MASIVO S.A - BUSES</t>
        </is>
      </c>
      <c r="C3010" t="inlineStr">
        <is>
          <t>20492392031</t>
        </is>
      </c>
      <c r="D3010" t="inlineStr">
        <is>
          <t>AV. LOS INCAS CDRA. 4 PATIO NORTE - COMAS</t>
        </is>
      </c>
      <c r="E3010" t="inlineStr">
        <is>
          <t>Lima, 22 de mayo de 2025</t>
        </is>
      </c>
      <c r="F3010" t="inlineStr">
        <is>
          <t>la Recarga y mantenimiento</t>
        </is>
      </c>
      <c r="G3010" t="n">
        <v>12</v>
      </c>
      <c r="H3010" t="inlineStr">
        <is>
          <t xml:space="preserve">06 KG </t>
        </is>
      </c>
      <c r="I3010" t="inlineStr">
        <is>
          <t>2028</t>
        </is>
      </c>
      <c r="J3010" t="n">
        <v>2010</v>
      </c>
      <c r="K3010" t="inlineStr">
        <is>
          <t>MAYO 2025</t>
        </is>
      </c>
      <c r="L3010" t="inlineStr">
        <is>
          <t>MAYO 2026</t>
        </is>
      </c>
      <c r="M3010" t="inlineStr">
        <is>
          <t>P.Q.S.  TIPO ABC  90% NACIONAL</t>
        </is>
      </c>
      <c r="N3010" t="inlineStr">
        <is>
          <t>308/000301</t>
        </is>
      </c>
      <c r="O3010" t="inlineStr">
        <is>
          <t>R</t>
        </is>
      </c>
      <c r="P3010">
        <f>TRIM(N3010)</f>
        <v/>
      </c>
    </row>
    <row r="3011">
      <c r="A3011" t="inlineStr">
        <is>
          <t>CO-002337</t>
        </is>
      </c>
      <c r="B3011" t="inlineStr">
        <is>
          <t>PERU MASIVO S.A - BUSES</t>
        </is>
      </c>
      <c r="C3011" t="inlineStr">
        <is>
          <t>20492392031</t>
        </is>
      </c>
      <c r="D3011" t="inlineStr">
        <is>
          <t>AV. LOS INCAS CDRA. 4 PATIO NORTE - COMAS</t>
        </is>
      </c>
      <c r="E3011" t="inlineStr">
        <is>
          <t>Lima, 22 de mayo de 2025</t>
        </is>
      </c>
      <c r="F3011" t="inlineStr">
        <is>
          <t>la Recarga y mantenimiento</t>
        </is>
      </c>
      <c r="G3011" t="n">
        <v>13</v>
      </c>
      <c r="H3011" t="inlineStr">
        <is>
          <t xml:space="preserve">06 KG </t>
        </is>
      </c>
      <c r="I3011" t="inlineStr">
        <is>
          <t>2028</t>
        </is>
      </c>
      <c r="J3011" t="n">
        <v>2010</v>
      </c>
      <c r="K3011" t="inlineStr">
        <is>
          <t>MAYO 2025</t>
        </is>
      </c>
      <c r="L3011" t="inlineStr">
        <is>
          <t>MAYO 2026</t>
        </is>
      </c>
      <c r="M3011" t="inlineStr">
        <is>
          <t>P.Q.S.  TIPO ABC  90% NACIONAL</t>
        </is>
      </c>
      <c r="N3011" t="inlineStr">
        <is>
          <t>383/001109</t>
        </is>
      </c>
      <c r="O3011" t="inlineStr">
        <is>
          <t>R</t>
        </is>
      </c>
      <c r="P3011">
        <f>TRIM(N3011)</f>
        <v/>
      </c>
    </row>
    <row r="3012">
      <c r="A3012" t="inlineStr">
        <is>
          <t>CO-002338</t>
        </is>
      </c>
      <c r="B3012" t="inlineStr">
        <is>
          <t>PERU MASIVO S.A - BUSES</t>
        </is>
      </c>
      <c r="C3012" t="inlineStr">
        <is>
          <t>20492392031</t>
        </is>
      </c>
      <c r="D3012" t="inlineStr">
        <is>
          <t>AV. LOS INCAS CDRA. 4 PATIO NORTE - COMAS</t>
        </is>
      </c>
      <c r="E3012" t="inlineStr">
        <is>
          <t>Lima, 27 de mayo de 2025</t>
        </is>
      </c>
      <c r="F3012" t="inlineStr">
        <is>
          <t>la Recarga y mantenimiento</t>
        </is>
      </c>
      <c r="G3012" t="inlineStr">
        <is>
          <t>01</t>
        </is>
      </c>
      <c r="H3012" t="inlineStr">
        <is>
          <t xml:space="preserve">06 KG </t>
        </is>
      </c>
      <c r="I3012" t="inlineStr">
        <is>
          <t>2029</t>
        </is>
      </c>
      <c r="J3012" t="n">
        <v>2021</v>
      </c>
      <c r="K3012" t="inlineStr">
        <is>
          <t>MAYO 2025</t>
        </is>
      </c>
      <c r="L3012" t="inlineStr">
        <is>
          <t>MAYO 2026</t>
        </is>
      </c>
      <c r="M3012" t="inlineStr">
        <is>
          <t>P.Q.S.  TIPO ABC  90% NACIONAL</t>
        </is>
      </c>
      <c r="N3012" t="inlineStr">
        <is>
          <t>115/194056</t>
        </is>
      </c>
      <c r="O3012" t="inlineStr">
        <is>
          <t>R</t>
        </is>
      </c>
      <c r="P3012">
        <f>TRIM(N3012)</f>
        <v/>
      </c>
    </row>
    <row r="3013">
      <c r="A3013" t="inlineStr">
        <is>
          <t>CO-002338</t>
        </is>
      </c>
      <c r="B3013" t="inlineStr">
        <is>
          <t>PERU MASIVO S.A - BUSES</t>
        </is>
      </c>
      <c r="C3013" t="inlineStr">
        <is>
          <t>20492392031</t>
        </is>
      </c>
      <c r="D3013" t="inlineStr">
        <is>
          <t>AV. LOS INCAS CDRA. 4 PATIO NORTE - COMAS</t>
        </is>
      </c>
      <c r="E3013" t="inlineStr">
        <is>
          <t>Lima, 27 de mayo de 2025</t>
        </is>
      </c>
      <c r="F3013" t="inlineStr">
        <is>
          <t>la Recarga y mantenimiento</t>
        </is>
      </c>
      <c r="G3013" t="inlineStr">
        <is>
          <t>02</t>
        </is>
      </c>
      <c r="H3013" t="inlineStr">
        <is>
          <t xml:space="preserve">06 KG </t>
        </is>
      </c>
      <c r="I3013" t="inlineStr">
        <is>
          <t>2029</t>
        </is>
      </c>
      <c r="J3013" t="n">
        <v>2024</v>
      </c>
      <c r="K3013" t="inlineStr">
        <is>
          <t>MAYO 2025</t>
        </is>
      </c>
      <c r="L3013" t="inlineStr">
        <is>
          <t>MAYO 2026</t>
        </is>
      </c>
      <c r="M3013" t="inlineStr">
        <is>
          <t>P.Q.S.  TIPO ABC  90% NACIONAL</t>
        </is>
      </c>
      <c r="N3013" t="inlineStr">
        <is>
          <t>213/000978</t>
        </is>
      </c>
      <c r="O3013" t="inlineStr">
        <is>
          <t>R</t>
        </is>
      </c>
      <c r="P3013">
        <f>TRIM(N3013)</f>
        <v/>
      </c>
    </row>
    <row r="3014">
      <c r="A3014" t="inlineStr">
        <is>
          <t>CO-002338</t>
        </is>
      </c>
      <c r="B3014" t="inlineStr">
        <is>
          <t>PERU MASIVO S.A - BUSES</t>
        </is>
      </c>
      <c r="C3014" t="inlineStr">
        <is>
          <t>20492392031</t>
        </is>
      </c>
      <c r="D3014" t="inlineStr">
        <is>
          <t>AV. LOS INCAS CDRA. 4 PATIO NORTE - COMAS</t>
        </is>
      </c>
      <c r="E3014" t="inlineStr">
        <is>
          <t>Lima, 27 de mayo de 2025</t>
        </is>
      </c>
      <c r="F3014" t="inlineStr">
        <is>
          <t>la Recarga y mantenimiento</t>
        </is>
      </c>
      <c r="G3014" t="inlineStr">
        <is>
          <t>03</t>
        </is>
      </c>
      <c r="H3014" t="inlineStr">
        <is>
          <t xml:space="preserve">06 KG </t>
        </is>
      </c>
      <c r="I3014" t="inlineStr">
        <is>
          <t>2028</t>
        </is>
      </c>
      <c r="J3014" t="n">
        <v>2010</v>
      </c>
      <c r="K3014" t="inlineStr">
        <is>
          <t>MAYO 2025</t>
        </is>
      </c>
      <c r="L3014" t="inlineStr">
        <is>
          <t>MAYO 2026</t>
        </is>
      </c>
      <c r="M3014" t="inlineStr">
        <is>
          <t>P.Q.S.  TIPO ABC  90% NACIONAL</t>
        </is>
      </c>
      <c r="N3014" t="inlineStr">
        <is>
          <t>48/000077</t>
        </is>
      </c>
      <c r="O3014" t="inlineStr">
        <is>
          <t>R</t>
        </is>
      </c>
      <c r="P3014">
        <f>TRIM(N3014)</f>
        <v/>
      </c>
    </row>
    <row r="3015">
      <c r="A3015" t="inlineStr">
        <is>
          <t>CO-002338</t>
        </is>
      </c>
      <c r="B3015" t="inlineStr">
        <is>
          <t>PERU MASIVO S.A - BUSES</t>
        </is>
      </c>
      <c r="C3015" t="inlineStr">
        <is>
          <t>20492392031</t>
        </is>
      </c>
      <c r="D3015" t="inlineStr">
        <is>
          <t>AV. LOS INCAS CDRA. 4 PATIO NORTE - COMAS</t>
        </is>
      </c>
      <c r="E3015" t="inlineStr">
        <is>
          <t>Lima, 27 de mayo de 2025</t>
        </is>
      </c>
      <c r="F3015" t="inlineStr">
        <is>
          <t>la Recarga y mantenimiento</t>
        </is>
      </c>
      <c r="G3015" t="inlineStr">
        <is>
          <t>04</t>
        </is>
      </c>
      <c r="H3015" t="inlineStr">
        <is>
          <t xml:space="preserve">06 KG </t>
        </is>
      </c>
      <c r="I3015" t="inlineStr">
        <is>
          <t>2028</t>
        </is>
      </c>
      <c r="J3015" t="n">
        <v>2016</v>
      </c>
      <c r="K3015" t="inlineStr">
        <is>
          <t>MAYO 2025</t>
        </is>
      </c>
      <c r="L3015" t="inlineStr">
        <is>
          <t>MAYO 2026</t>
        </is>
      </c>
      <c r="M3015" t="inlineStr">
        <is>
          <t>P.Q.S.  TIPO ABC  90% NACIONAL</t>
        </is>
      </c>
      <c r="N3015" t="inlineStr">
        <is>
          <t>118/001487</t>
        </is>
      </c>
      <c r="O3015" t="inlineStr">
        <is>
          <t>R</t>
        </is>
      </c>
      <c r="P3015">
        <f>TRIM(N3015)</f>
        <v/>
      </c>
    </row>
    <row r="3016">
      <c r="A3016" t="inlineStr">
        <is>
          <t>CO-002338</t>
        </is>
      </c>
      <c r="B3016" t="inlineStr">
        <is>
          <t>PERU MASIVO S.A - BUSES</t>
        </is>
      </c>
      <c r="C3016" t="inlineStr">
        <is>
          <t>20492392031</t>
        </is>
      </c>
      <c r="D3016" t="inlineStr">
        <is>
          <t>AV. LOS INCAS CDRA. 4 PATIO NORTE - COMAS</t>
        </is>
      </c>
      <c r="E3016" t="inlineStr">
        <is>
          <t>Lima, 27 de mayo de 2025</t>
        </is>
      </c>
      <c r="F3016" t="inlineStr">
        <is>
          <t>la Recarga y mantenimiento</t>
        </is>
      </c>
      <c r="G3016" t="inlineStr">
        <is>
          <t>05</t>
        </is>
      </c>
      <c r="H3016" t="inlineStr">
        <is>
          <t xml:space="preserve">06 KG </t>
        </is>
      </c>
      <c r="I3016" t="inlineStr">
        <is>
          <t>2028</t>
        </is>
      </c>
      <c r="J3016" t="n">
        <v>2016</v>
      </c>
      <c r="K3016" t="inlineStr">
        <is>
          <t>MAYO 2025</t>
        </is>
      </c>
      <c r="L3016" t="inlineStr">
        <is>
          <t>MAYO 2026</t>
        </is>
      </c>
      <c r="M3016" t="inlineStr">
        <is>
          <t>P.Q.S.  TIPO ABC  90% NACIONAL</t>
        </is>
      </c>
      <c r="N3016" t="inlineStr">
        <is>
          <t>8110/000140</t>
        </is>
      </c>
      <c r="O3016" t="inlineStr">
        <is>
          <t>R</t>
        </is>
      </c>
      <c r="P3016">
        <f>TRIM(N3016)</f>
        <v/>
      </c>
    </row>
    <row r="3017">
      <c r="A3017" t="inlineStr">
        <is>
          <t>CO-002338</t>
        </is>
      </c>
      <c r="B3017" t="inlineStr">
        <is>
          <t>PERU MASIVO S.A - BUSES</t>
        </is>
      </c>
      <c r="C3017" t="inlineStr">
        <is>
          <t>20492392031</t>
        </is>
      </c>
      <c r="D3017" t="inlineStr">
        <is>
          <t>AV. LOS INCAS CDRA. 4 PATIO NORTE - COMAS</t>
        </is>
      </c>
      <c r="E3017" t="inlineStr">
        <is>
          <t>Lima, 27 de mayo de 2025</t>
        </is>
      </c>
      <c r="F3017" t="inlineStr">
        <is>
          <t>la Recarga y mantenimiento</t>
        </is>
      </c>
      <c r="G3017" t="inlineStr">
        <is>
          <t>06</t>
        </is>
      </c>
      <c r="H3017" t="inlineStr">
        <is>
          <t xml:space="preserve">06 KG </t>
        </is>
      </c>
      <c r="I3017" t="inlineStr">
        <is>
          <t>2028</t>
        </is>
      </c>
      <c r="J3017" t="n">
        <v>2010</v>
      </c>
      <c r="K3017" t="inlineStr">
        <is>
          <t>MAYO 2025</t>
        </is>
      </c>
      <c r="L3017" t="inlineStr">
        <is>
          <t>MAYO 2026</t>
        </is>
      </c>
      <c r="M3017" t="inlineStr">
        <is>
          <t>P.Q.S.  TIPO ABC  90% NACIONAL</t>
        </is>
      </c>
      <c r="N3017" t="inlineStr">
        <is>
          <t>229/000605</t>
        </is>
      </c>
      <c r="O3017" t="inlineStr">
        <is>
          <t>R</t>
        </is>
      </c>
      <c r="P3017">
        <f>TRIM(N3017)</f>
        <v/>
      </c>
    </row>
    <row r="3018">
      <c r="A3018" t="inlineStr">
        <is>
          <t>CO-002338</t>
        </is>
      </c>
      <c r="B3018" t="inlineStr">
        <is>
          <t>PERU MASIVO S.A - BUSES</t>
        </is>
      </c>
      <c r="C3018" t="inlineStr">
        <is>
          <t>20492392031</t>
        </is>
      </c>
      <c r="D3018" t="inlineStr">
        <is>
          <t>AV. LOS INCAS CDRA. 4 PATIO NORTE - COMAS</t>
        </is>
      </c>
      <c r="E3018" t="inlineStr">
        <is>
          <t>Lima, 27 de mayo de 2025</t>
        </is>
      </c>
      <c r="F3018" t="inlineStr">
        <is>
          <t>la Recarga y mantenimiento</t>
        </is>
      </c>
      <c r="G3018" t="inlineStr">
        <is>
          <t>07</t>
        </is>
      </c>
      <c r="H3018" t="inlineStr">
        <is>
          <t xml:space="preserve">06 KG </t>
        </is>
      </c>
      <c r="I3018" t="inlineStr">
        <is>
          <t>2029</t>
        </is>
      </c>
      <c r="J3018" t="n">
        <v>2017</v>
      </c>
      <c r="K3018" t="inlineStr">
        <is>
          <t>MAYO 2025</t>
        </is>
      </c>
      <c r="L3018" t="inlineStr">
        <is>
          <t>MAYO 2026</t>
        </is>
      </c>
      <c r="M3018" t="inlineStr">
        <is>
          <t>P.Q.S.  TIPO ABC  90% NACIONAL</t>
        </is>
      </c>
      <c r="N3018" t="inlineStr">
        <is>
          <t>204/003106</t>
        </is>
      </c>
      <c r="O3018" t="inlineStr">
        <is>
          <t>R</t>
        </is>
      </c>
      <c r="P3018">
        <f>TRIM(N3018)</f>
        <v/>
      </c>
    </row>
    <row r="3019">
      <c r="A3019" t="inlineStr">
        <is>
          <t>CO-002338</t>
        </is>
      </c>
      <c r="B3019" t="inlineStr">
        <is>
          <t>PERU MASIVO S.A - BUSES</t>
        </is>
      </c>
      <c r="C3019" t="inlineStr">
        <is>
          <t>20492392031</t>
        </is>
      </c>
      <c r="D3019" t="inlineStr">
        <is>
          <t>AV. LOS INCAS CDRA. 4 PATIO NORTE - COMAS</t>
        </is>
      </c>
      <c r="E3019" t="inlineStr">
        <is>
          <t>Lima, 27 de mayo de 2025</t>
        </is>
      </c>
      <c r="F3019" t="inlineStr">
        <is>
          <t>la Recarga y mantenimiento</t>
        </is>
      </c>
      <c r="G3019" t="inlineStr">
        <is>
          <t>08</t>
        </is>
      </c>
      <c r="H3019" t="inlineStr">
        <is>
          <t xml:space="preserve">06 KG </t>
        </is>
      </c>
      <c r="I3019" t="inlineStr">
        <is>
          <t>2029</t>
        </is>
      </c>
      <c r="J3019" t="n">
        <v>2010</v>
      </c>
      <c r="K3019" t="inlineStr">
        <is>
          <t>MAYO 2025</t>
        </is>
      </c>
      <c r="L3019" t="inlineStr">
        <is>
          <t>MAYO 2026</t>
        </is>
      </c>
      <c r="M3019" t="inlineStr">
        <is>
          <t>P.Q.S.  TIPO ABC  90% NACIONAL</t>
        </is>
      </c>
      <c r="N3019" t="inlineStr">
        <is>
          <t>319/000923</t>
        </is>
      </c>
      <c r="O3019" t="inlineStr">
        <is>
          <t>R</t>
        </is>
      </c>
      <c r="P3019">
        <f>TRIM(N3019)</f>
        <v/>
      </c>
    </row>
    <row r="3020">
      <c r="A3020" t="inlineStr">
        <is>
          <t>CO-002338</t>
        </is>
      </c>
      <c r="B3020" t="inlineStr">
        <is>
          <t>PERU MASIVO S.A - BUSES</t>
        </is>
      </c>
      <c r="C3020" t="inlineStr">
        <is>
          <t>20492392031</t>
        </is>
      </c>
      <c r="D3020" t="inlineStr">
        <is>
          <t>AV. LOS INCAS CDRA. 4 PATIO NORTE - COMAS</t>
        </is>
      </c>
      <c r="E3020" t="inlineStr">
        <is>
          <t>Lima, 27 de mayo de 2025</t>
        </is>
      </c>
      <c r="F3020" t="inlineStr">
        <is>
          <t>la Recarga y mantenimiento</t>
        </is>
      </c>
      <c r="G3020" t="inlineStr">
        <is>
          <t>09</t>
        </is>
      </c>
      <c r="H3020" t="inlineStr">
        <is>
          <t xml:space="preserve">06 KG </t>
        </is>
      </c>
      <c r="I3020" t="inlineStr">
        <is>
          <t>2029</t>
        </is>
      </c>
      <c r="J3020" t="n">
        <v>2015</v>
      </c>
      <c r="K3020" t="inlineStr">
        <is>
          <t>MAYO 2025</t>
        </is>
      </c>
      <c r="L3020" t="inlineStr">
        <is>
          <t>MAYO 2026</t>
        </is>
      </c>
      <c r="M3020" t="inlineStr">
        <is>
          <t>P.Q.S.  TIPO ABC  90% NACIONAL</t>
        </is>
      </c>
      <c r="N3020" t="inlineStr">
        <is>
          <t>201/000609</t>
        </is>
      </c>
      <c r="O3020" t="inlineStr">
        <is>
          <t>R</t>
        </is>
      </c>
      <c r="P3020">
        <f>TRIM(N3020)</f>
        <v/>
      </c>
    </row>
    <row r="3021">
      <c r="A3021" t="inlineStr">
        <is>
          <t>CO-002338</t>
        </is>
      </c>
      <c r="B3021" t="inlineStr">
        <is>
          <t>PERU MASIVO S.A - BUSES</t>
        </is>
      </c>
      <c r="C3021" t="inlineStr">
        <is>
          <t>20492392031</t>
        </is>
      </c>
      <c r="D3021" t="inlineStr">
        <is>
          <t>AV. LOS INCAS CDRA. 4 PATIO NORTE - COMAS</t>
        </is>
      </c>
      <c r="E3021" t="inlineStr">
        <is>
          <t>Lima, 27 de mayo de 2025</t>
        </is>
      </c>
      <c r="F3021" t="inlineStr">
        <is>
          <t>la Recarga y mantenimiento</t>
        </is>
      </c>
      <c r="G3021" t="n">
        <v>10</v>
      </c>
      <c r="H3021" t="inlineStr">
        <is>
          <t xml:space="preserve">06 KG </t>
        </is>
      </c>
      <c r="I3021" t="inlineStr">
        <is>
          <t>2029</t>
        </is>
      </c>
      <c r="J3021" t="n">
        <v>2009</v>
      </c>
      <c r="K3021" t="inlineStr">
        <is>
          <t>MAYO 2025</t>
        </is>
      </c>
      <c r="L3021" t="inlineStr">
        <is>
          <t>MAYO 2026</t>
        </is>
      </c>
      <c r="M3021" t="inlineStr">
        <is>
          <t>P.Q.S.  TIPO ABC  90% NACIONAL</t>
        </is>
      </c>
      <c r="N3021" t="inlineStr">
        <is>
          <t>327/001393</t>
        </is>
      </c>
      <c r="O3021" t="inlineStr">
        <is>
          <t>R</t>
        </is>
      </c>
      <c r="P3021">
        <f>TRIM(N3021)</f>
        <v/>
      </c>
    </row>
    <row r="3022">
      <c r="A3022" t="inlineStr">
        <is>
          <t>CO-002338</t>
        </is>
      </c>
      <c r="B3022" t="inlineStr">
        <is>
          <t>PERU MASIVO S.A - BUSES</t>
        </is>
      </c>
      <c r="C3022" t="inlineStr">
        <is>
          <t>20492392031</t>
        </is>
      </c>
      <c r="D3022" t="inlineStr">
        <is>
          <t>AV. LOS INCAS CDRA. 4 PATIO NORTE - COMAS</t>
        </is>
      </c>
      <c r="E3022" t="inlineStr">
        <is>
          <t>Lima, 27 de mayo de 2025</t>
        </is>
      </c>
      <c r="F3022" t="inlineStr">
        <is>
          <t>la Recarga y mantenimiento</t>
        </is>
      </c>
      <c r="G3022" t="n">
        <v>11</v>
      </c>
      <c r="H3022" t="inlineStr">
        <is>
          <t xml:space="preserve">06 KG </t>
        </is>
      </c>
      <c r="I3022" t="inlineStr">
        <is>
          <t>2028</t>
        </is>
      </c>
      <c r="J3022" t="n">
        <v>2009</v>
      </c>
      <c r="K3022" t="inlineStr">
        <is>
          <t>MAYO 2025</t>
        </is>
      </c>
      <c r="L3022" t="inlineStr">
        <is>
          <t>MAYO 2026</t>
        </is>
      </c>
      <c r="M3022" t="inlineStr">
        <is>
          <t>P.Q.S.  TIPO ABC  90% NACIONAL</t>
        </is>
      </c>
      <c r="N3022" t="inlineStr">
        <is>
          <t>333/001048</t>
        </is>
      </c>
      <c r="O3022" t="inlineStr">
        <is>
          <t>R</t>
        </is>
      </c>
      <c r="P3022">
        <f>TRIM(N3022)</f>
        <v/>
      </c>
    </row>
    <row r="3023">
      <c r="A3023" t="inlineStr">
        <is>
          <t>CO-002338</t>
        </is>
      </c>
      <c r="B3023" t="inlineStr">
        <is>
          <t>PERU MASIVO S.A - BUSES</t>
        </is>
      </c>
      <c r="C3023" t="inlineStr">
        <is>
          <t>20492392031</t>
        </is>
      </c>
      <c r="D3023" t="inlineStr">
        <is>
          <t>AV. LOS INCAS CDRA. 4 PATIO NORTE - COMAS</t>
        </is>
      </c>
      <c r="E3023" t="inlineStr">
        <is>
          <t>Lima, 27 de mayo de 2025</t>
        </is>
      </c>
      <c r="F3023" t="inlineStr">
        <is>
          <t>la Recarga y mantenimiento</t>
        </is>
      </c>
      <c r="G3023" t="n">
        <v>12</v>
      </c>
      <c r="H3023" t="inlineStr">
        <is>
          <t xml:space="preserve">06 KG </t>
        </is>
      </c>
      <c r="I3023" t="inlineStr">
        <is>
          <t>2028</t>
        </is>
      </c>
      <c r="J3023" t="n">
        <v>2010</v>
      </c>
      <c r="K3023" t="inlineStr">
        <is>
          <t>MAYO 2025</t>
        </is>
      </c>
      <c r="L3023" t="inlineStr">
        <is>
          <t>MAYO 2026</t>
        </is>
      </c>
      <c r="M3023" t="inlineStr">
        <is>
          <t>P.Q.S.  TIPO ABC  90% NACIONAL</t>
        </is>
      </c>
      <c r="N3023" t="inlineStr">
        <is>
          <t>243/000409</t>
        </is>
      </c>
      <c r="O3023" t="inlineStr">
        <is>
          <t>R</t>
        </is>
      </c>
      <c r="P3023">
        <f>TRIM(N3023)</f>
        <v/>
      </c>
    </row>
    <row r="3024">
      <c r="A3024" t="inlineStr">
        <is>
          <t>CO-002338</t>
        </is>
      </c>
      <c r="B3024" t="inlineStr">
        <is>
          <t>PERU MASIVO S.A - BUSES</t>
        </is>
      </c>
      <c r="C3024" t="inlineStr">
        <is>
          <t>20492392031</t>
        </is>
      </c>
      <c r="D3024" t="inlineStr">
        <is>
          <t>AV. LOS INCAS CDRA. 4 PATIO NORTE - COMAS</t>
        </is>
      </c>
      <c r="E3024" t="inlineStr">
        <is>
          <t>Lima, 27 de mayo de 2025</t>
        </is>
      </c>
      <c r="F3024" t="inlineStr">
        <is>
          <t>la Recarga y mantenimiento</t>
        </is>
      </c>
      <c r="G3024" t="n">
        <v>13</v>
      </c>
      <c r="H3024" t="inlineStr">
        <is>
          <t xml:space="preserve">06 KG </t>
        </is>
      </c>
      <c r="I3024" t="inlineStr">
        <is>
          <t>2028</t>
        </is>
      </c>
      <c r="J3024" t="n">
        <v>2009</v>
      </c>
      <c r="K3024" t="inlineStr">
        <is>
          <t>MAYO 2025</t>
        </is>
      </c>
      <c r="L3024" t="inlineStr">
        <is>
          <t>MAYO 2026</t>
        </is>
      </c>
      <c r="M3024" t="inlineStr">
        <is>
          <t>P.Q.S.  TIPO ABC  90% NACIONAL</t>
        </is>
      </c>
      <c r="N3024" t="inlineStr">
        <is>
          <t>352/001485</t>
        </is>
      </c>
      <c r="O3024" t="inlineStr">
        <is>
          <t>R</t>
        </is>
      </c>
      <c r="P3024">
        <f>TRIM(N3024)</f>
        <v/>
      </c>
    </row>
    <row r="3025">
      <c r="A3025" t="inlineStr">
        <is>
          <t>CO-002338</t>
        </is>
      </c>
      <c r="B3025" t="inlineStr">
        <is>
          <t>PERU MASIVO S.A - BUSES</t>
        </is>
      </c>
      <c r="C3025" t="inlineStr">
        <is>
          <t>20492392031</t>
        </is>
      </c>
      <c r="D3025" t="inlineStr">
        <is>
          <t>AV. LOS INCAS CDRA. 4 PATIO NORTE - COMAS</t>
        </is>
      </c>
      <c r="E3025" t="inlineStr">
        <is>
          <t>Lima, 27 de mayo de 2025</t>
        </is>
      </c>
      <c r="F3025" t="inlineStr">
        <is>
          <t>la Recarga y mantenimiento</t>
        </is>
      </c>
      <c r="G3025" t="n">
        <v>14</v>
      </c>
      <c r="H3025" t="inlineStr">
        <is>
          <t xml:space="preserve">06 KG </t>
        </is>
      </c>
      <c r="I3025" t="inlineStr">
        <is>
          <t>2028</t>
        </is>
      </c>
      <c r="J3025" t="n">
        <v>2009</v>
      </c>
      <c r="K3025" t="inlineStr">
        <is>
          <t>MAYO 2025</t>
        </is>
      </c>
      <c r="L3025" t="inlineStr">
        <is>
          <t>MAYO 2026</t>
        </is>
      </c>
      <c r="M3025" t="inlineStr">
        <is>
          <t>P.Q.S.  TIPO ABC  90% NACIONAL</t>
        </is>
      </c>
      <c r="N3025" t="inlineStr">
        <is>
          <t>242/001183</t>
        </is>
      </c>
      <c r="O3025" t="inlineStr">
        <is>
          <t>R</t>
        </is>
      </c>
      <c r="P3025">
        <f>TRIM(N3025)</f>
        <v/>
      </c>
    </row>
    <row r="3026">
      <c r="A3026" t="inlineStr">
        <is>
          <t>CO-002339</t>
        </is>
      </c>
      <c r="B3026" t="inlineStr">
        <is>
          <t>PERU MASIVO S.A - BUSES</t>
        </is>
      </c>
      <c r="C3026" t="inlineStr">
        <is>
          <t>20492392031</t>
        </is>
      </c>
      <c r="D3026" t="inlineStr">
        <is>
          <t>AV. LOS INCAS CDRA. 4 PATIO NORTE - COMAS</t>
        </is>
      </c>
      <c r="E3026" t="inlineStr">
        <is>
          <t>Lima, 29 de mayo de 2025</t>
        </is>
      </c>
      <c r="F3026" t="inlineStr">
        <is>
          <t>la Recarga y mantenimiento</t>
        </is>
      </c>
      <c r="G3026" t="inlineStr">
        <is>
          <t>01</t>
        </is>
      </c>
      <c r="H3026" t="inlineStr">
        <is>
          <t xml:space="preserve">06 KG </t>
        </is>
      </c>
      <c r="I3026" t="inlineStr">
        <is>
          <t>2028</t>
        </is>
      </c>
      <c r="J3026" t="n">
        <v>2010</v>
      </c>
      <c r="K3026" t="inlineStr">
        <is>
          <t>MAYO 2025</t>
        </is>
      </c>
      <c r="L3026" t="inlineStr">
        <is>
          <t>MAYO 2026</t>
        </is>
      </c>
      <c r="M3026" t="inlineStr">
        <is>
          <t>P.Q.S.  TIPO ABC  90% NACIONAL</t>
        </is>
      </c>
      <c r="N3026" t="inlineStr">
        <is>
          <t>103/000245</t>
        </is>
      </c>
      <c r="O3026" t="inlineStr">
        <is>
          <t>R</t>
        </is>
      </c>
      <c r="P3026">
        <f>TRIM(N3026)</f>
        <v/>
      </c>
    </row>
    <row r="3027">
      <c r="A3027" t="inlineStr">
        <is>
          <t>CO-002339</t>
        </is>
      </c>
      <c r="B3027" t="inlineStr">
        <is>
          <t>PERU MASIVO S.A - BUSES</t>
        </is>
      </c>
      <c r="C3027" t="inlineStr">
        <is>
          <t>20492392031</t>
        </is>
      </c>
      <c r="D3027" t="inlineStr">
        <is>
          <t>AV. LOS INCAS CDRA. 4 PATIO NORTE - COMAS</t>
        </is>
      </c>
      <c r="E3027" t="inlineStr">
        <is>
          <t>Lima, 29 de mayo de 2025</t>
        </is>
      </c>
      <c r="F3027" t="inlineStr">
        <is>
          <t>la Recarga y mantenimiento</t>
        </is>
      </c>
      <c r="G3027" t="inlineStr">
        <is>
          <t>02</t>
        </is>
      </c>
      <c r="H3027" t="inlineStr">
        <is>
          <t xml:space="preserve">06 KG </t>
        </is>
      </c>
      <c r="I3027" t="inlineStr">
        <is>
          <t>2028</t>
        </is>
      </c>
      <c r="J3027" t="n">
        <v>2010</v>
      </c>
      <c r="K3027" t="inlineStr">
        <is>
          <t>MAYO 2025</t>
        </is>
      </c>
      <c r="L3027" t="inlineStr">
        <is>
          <t>MAYO 2026</t>
        </is>
      </c>
      <c r="M3027" t="inlineStr">
        <is>
          <t>P.Q.S.  TIPO ABC  90% NACIONAL</t>
        </is>
      </c>
      <c r="N3027" t="inlineStr">
        <is>
          <t>241/001353</t>
        </is>
      </c>
      <c r="O3027" t="inlineStr">
        <is>
          <t>R</t>
        </is>
      </c>
      <c r="P3027">
        <f>TRIM(N3027)</f>
        <v/>
      </c>
    </row>
    <row r="3028">
      <c r="A3028" t="inlineStr">
        <is>
          <t>CO-002339</t>
        </is>
      </c>
      <c r="B3028" t="inlineStr">
        <is>
          <t>PERU MASIVO S.A - BUSES</t>
        </is>
      </c>
      <c r="C3028" t="inlineStr">
        <is>
          <t>20492392031</t>
        </is>
      </c>
      <c r="D3028" t="inlineStr">
        <is>
          <t>AV. LOS INCAS CDRA. 4 PATIO NORTE - COMAS</t>
        </is>
      </c>
      <c r="E3028" t="inlineStr">
        <is>
          <t>Lima, 29 de mayo de 2025</t>
        </is>
      </c>
      <c r="F3028" t="inlineStr">
        <is>
          <t>la Recarga y mantenimiento</t>
        </is>
      </c>
      <c r="G3028" t="inlineStr">
        <is>
          <t>03</t>
        </is>
      </c>
      <c r="H3028" t="inlineStr">
        <is>
          <t xml:space="preserve">06 KG </t>
        </is>
      </c>
      <c r="I3028" t="inlineStr">
        <is>
          <t>2028</t>
        </is>
      </c>
      <c r="J3028" t="n">
        <v>2010</v>
      </c>
      <c r="K3028" t="inlineStr">
        <is>
          <t>MAYO 2025</t>
        </is>
      </c>
      <c r="L3028" t="inlineStr">
        <is>
          <t>MAYO 2026</t>
        </is>
      </c>
      <c r="M3028" t="inlineStr">
        <is>
          <t>P.Q.S.  TIPO ABC  90% NACIONAL</t>
        </is>
      </c>
      <c r="N3028" t="inlineStr">
        <is>
          <t>299/001414</t>
        </is>
      </c>
      <c r="O3028" t="inlineStr">
        <is>
          <t>R</t>
        </is>
      </c>
      <c r="P3028">
        <f>TRIM(N3028)</f>
        <v/>
      </c>
    </row>
    <row r="3029">
      <c r="A3029" t="inlineStr">
        <is>
          <t>CO-002339</t>
        </is>
      </c>
      <c r="B3029" t="inlineStr">
        <is>
          <t>PERU MASIVO S.A - BUSES</t>
        </is>
      </c>
      <c r="C3029" t="inlineStr">
        <is>
          <t>20492392031</t>
        </is>
      </c>
      <c r="D3029" t="inlineStr">
        <is>
          <t>AV. LOS INCAS CDRA. 4 PATIO NORTE - COMAS</t>
        </is>
      </c>
      <c r="E3029" t="inlineStr">
        <is>
          <t>Lima, 29 de mayo de 2025</t>
        </is>
      </c>
      <c r="F3029" t="inlineStr">
        <is>
          <t>la Recarga y mantenimiento</t>
        </is>
      </c>
      <c r="G3029" t="inlineStr">
        <is>
          <t>04</t>
        </is>
      </c>
      <c r="H3029" t="inlineStr">
        <is>
          <t xml:space="preserve">06 KG </t>
        </is>
      </c>
      <c r="I3029" t="inlineStr">
        <is>
          <t>2028</t>
        </is>
      </c>
      <c r="J3029" t="n">
        <v>2015</v>
      </c>
      <c r="K3029" t="inlineStr">
        <is>
          <t>MAYO 2025</t>
        </is>
      </c>
      <c r="L3029" t="inlineStr">
        <is>
          <t>MAYO 2026</t>
        </is>
      </c>
      <c r="M3029" t="inlineStr">
        <is>
          <t>P.Q.S.  TIPO ABC  90% NACIONAL</t>
        </is>
      </c>
      <c r="N3029" t="inlineStr">
        <is>
          <t>19/000915</t>
        </is>
      </c>
      <c r="O3029" t="inlineStr">
        <is>
          <t>R</t>
        </is>
      </c>
      <c r="P3029">
        <f>TRIM(N3029)</f>
        <v/>
      </c>
    </row>
    <row r="3030">
      <c r="A3030" t="inlineStr">
        <is>
          <t>CO-002339</t>
        </is>
      </c>
      <c r="B3030" t="inlineStr">
        <is>
          <t>PERU MASIVO S.A - BUSES</t>
        </is>
      </c>
      <c r="C3030" t="inlineStr">
        <is>
          <t>20492392031</t>
        </is>
      </c>
      <c r="D3030" t="inlineStr">
        <is>
          <t>AV. LOS INCAS CDRA. 4 PATIO NORTE - COMAS</t>
        </is>
      </c>
      <c r="E3030" t="inlineStr">
        <is>
          <t>Lima, 29 de mayo de 2025</t>
        </is>
      </c>
      <c r="F3030" t="inlineStr">
        <is>
          <t>la Recarga y mantenimiento</t>
        </is>
      </c>
      <c r="G3030" t="inlineStr">
        <is>
          <t>05</t>
        </is>
      </c>
      <c r="H3030" t="inlineStr">
        <is>
          <t xml:space="preserve">06 KG </t>
        </is>
      </c>
      <c r="I3030" t="inlineStr">
        <is>
          <t>2028</t>
        </is>
      </c>
      <c r="J3030" t="n">
        <v>2014</v>
      </c>
      <c r="K3030" t="inlineStr">
        <is>
          <t>MAYO 2025</t>
        </is>
      </c>
      <c r="L3030" t="inlineStr">
        <is>
          <t>MAYO 2026</t>
        </is>
      </c>
      <c r="M3030" t="inlineStr">
        <is>
          <t>P.Q.S.  TIPO ABC  90% NACIONAL</t>
        </is>
      </c>
      <c r="N3030" t="inlineStr">
        <is>
          <t>145/000459</t>
        </is>
      </c>
      <c r="O3030" t="inlineStr">
        <is>
          <t>R</t>
        </is>
      </c>
      <c r="P3030">
        <f>TRIM(N3030)</f>
        <v/>
      </c>
    </row>
    <row r="3031">
      <c r="A3031" t="inlineStr">
        <is>
          <t>CO-002339</t>
        </is>
      </c>
      <c r="B3031" t="inlineStr">
        <is>
          <t>PERU MASIVO S.A - BUSES</t>
        </is>
      </c>
      <c r="C3031" t="inlineStr">
        <is>
          <t>20492392031</t>
        </is>
      </c>
      <c r="D3031" t="inlineStr">
        <is>
          <t>AV. LOS INCAS CDRA. 4 PATIO NORTE - COMAS</t>
        </is>
      </c>
      <c r="E3031" t="inlineStr">
        <is>
          <t>Lima, 29 de mayo de 2025</t>
        </is>
      </c>
      <c r="F3031" t="inlineStr">
        <is>
          <t>la Recarga y mantenimiento</t>
        </is>
      </c>
      <c r="G3031" t="inlineStr">
        <is>
          <t>06</t>
        </is>
      </c>
      <c r="H3031" t="inlineStr">
        <is>
          <t xml:space="preserve">06 KG </t>
        </is>
      </c>
      <c r="I3031" t="inlineStr">
        <is>
          <t>2028</t>
        </is>
      </c>
      <c r="J3031" t="n">
        <v>2014</v>
      </c>
      <c r="K3031" t="inlineStr">
        <is>
          <t>MAYO 2025</t>
        </is>
      </c>
      <c r="L3031" t="inlineStr">
        <is>
          <t>MAYO 2026</t>
        </is>
      </c>
      <c r="M3031" t="inlineStr">
        <is>
          <t>P.Q.S.  TIPO ABC  90% NACIONAL</t>
        </is>
      </c>
      <c r="N3031" t="inlineStr">
        <is>
          <t>338/000098</t>
        </is>
      </c>
      <c r="O3031" t="inlineStr">
        <is>
          <t>R</t>
        </is>
      </c>
      <c r="P3031">
        <f>TRIM(N3031)</f>
        <v/>
      </c>
    </row>
    <row r="3032">
      <c r="A3032" t="inlineStr">
        <is>
          <t>CO-002339</t>
        </is>
      </c>
      <c r="B3032" t="inlineStr">
        <is>
          <t>PERU MASIVO S.A - BUSES</t>
        </is>
      </c>
      <c r="C3032" t="inlineStr">
        <is>
          <t>20492392031</t>
        </is>
      </c>
      <c r="D3032" t="inlineStr">
        <is>
          <t>AV. LOS INCAS CDRA. 4 PATIO NORTE - COMAS</t>
        </is>
      </c>
      <c r="E3032" t="inlineStr">
        <is>
          <t>Lima, 29 de mayo de 2025</t>
        </is>
      </c>
      <c r="F3032" t="inlineStr">
        <is>
          <t>la Recarga y mantenimiento</t>
        </is>
      </c>
      <c r="G3032" t="inlineStr">
        <is>
          <t>07</t>
        </is>
      </c>
      <c r="H3032" t="inlineStr">
        <is>
          <t xml:space="preserve">06 KG </t>
        </is>
      </c>
      <c r="I3032" t="inlineStr">
        <is>
          <t>2028</t>
        </is>
      </c>
      <c r="J3032" t="n">
        <v>2010</v>
      </c>
      <c r="K3032" t="inlineStr">
        <is>
          <t>MAYO 2025</t>
        </is>
      </c>
      <c r="L3032" t="inlineStr">
        <is>
          <t>MAYO 2026</t>
        </is>
      </c>
      <c r="M3032" t="inlineStr">
        <is>
          <t>P.Q.S.  TIPO ABC  90% NACIONAL</t>
        </is>
      </c>
      <c r="N3032" t="inlineStr">
        <is>
          <t>240/002499</t>
        </is>
      </c>
      <c r="O3032" t="inlineStr">
        <is>
          <t>R</t>
        </is>
      </c>
      <c r="P3032">
        <f>TRIM(N3032)</f>
        <v/>
      </c>
    </row>
    <row r="3033">
      <c r="A3033" t="inlineStr">
        <is>
          <t>CO-002339</t>
        </is>
      </c>
      <c r="B3033" t="inlineStr">
        <is>
          <t>PERU MASIVO S.A - BUSES</t>
        </is>
      </c>
      <c r="C3033" t="inlineStr">
        <is>
          <t>20492392031</t>
        </is>
      </c>
      <c r="D3033" t="inlineStr">
        <is>
          <t>AV. LOS INCAS CDRA. 4 PATIO NORTE - COMAS</t>
        </is>
      </c>
      <c r="E3033" t="inlineStr">
        <is>
          <t>Lima, 29 de mayo de 2025</t>
        </is>
      </c>
      <c r="F3033" t="inlineStr">
        <is>
          <t>la Recarga y mantenimiento</t>
        </is>
      </c>
      <c r="G3033" t="inlineStr">
        <is>
          <t>08</t>
        </is>
      </c>
      <c r="H3033" t="inlineStr">
        <is>
          <t xml:space="preserve">06 KG </t>
        </is>
      </c>
      <c r="I3033" t="inlineStr">
        <is>
          <t>2029</t>
        </is>
      </c>
      <c r="J3033" t="n">
        <v>2010</v>
      </c>
      <c r="K3033" t="inlineStr">
        <is>
          <t>MAYO 2025</t>
        </is>
      </c>
      <c r="L3033" t="inlineStr">
        <is>
          <t>MAYO 2026</t>
        </is>
      </c>
      <c r="M3033" t="inlineStr">
        <is>
          <t>P.Q.S.  TIPO ABC  90% NACIONAL</t>
        </is>
      </c>
      <c r="N3033" t="inlineStr">
        <is>
          <t>78/000854</t>
        </is>
      </c>
      <c r="O3033" t="inlineStr">
        <is>
          <t>R</t>
        </is>
      </c>
      <c r="P3033">
        <f>TRIM(N3033)</f>
        <v/>
      </c>
    </row>
    <row r="3034">
      <c r="A3034" t="inlineStr">
        <is>
          <t>CO-002339</t>
        </is>
      </c>
      <c r="B3034" t="inlineStr">
        <is>
          <t>PERU MASIVO S.A - BUSES</t>
        </is>
      </c>
      <c r="C3034" t="inlineStr">
        <is>
          <t>20492392031</t>
        </is>
      </c>
      <c r="D3034" t="inlineStr">
        <is>
          <t>AV. LOS INCAS CDRA. 4 PATIO NORTE - COMAS</t>
        </is>
      </c>
      <c r="E3034" t="inlineStr">
        <is>
          <t>Lima, 29 de mayo de 2025</t>
        </is>
      </c>
      <c r="F3034" t="inlineStr">
        <is>
          <t>la Recarga y mantenimiento</t>
        </is>
      </c>
      <c r="G3034" t="inlineStr">
        <is>
          <t>09</t>
        </is>
      </c>
      <c r="H3034" t="inlineStr">
        <is>
          <t xml:space="preserve">06 KG </t>
        </is>
      </c>
      <c r="I3034" t="inlineStr">
        <is>
          <t>2028</t>
        </is>
      </c>
      <c r="J3034" t="n">
        <v>2013</v>
      </c>
      <c r="K3034" t="inlineStr">
        <is>
          <t>MAYO 2025</t>
        </is>
      </c>
      <c r="L3034" t="inlineStr">
        <is>
          <t>MAYO 2026</t>
        </is>
      </c>
      <c r="M3034" t="inlineStr">
        <is>
          <t>P.Q.S.  TIPO ABC  90% NACIONAL</t>
        </is>
      </c>
      <c r="N3034" t="inlineStr">
        <is>
          <t>132/001015</t>
        </is>
      </c>
      <c r="O3034" t="inlineStr">
        <is>
          <t>R</t>
        </is>
      </c>
      <c r="P3034">
        <f>TRIM(N3034)</f>
        <v/>
      </c>
    </row>
    <row r="3035">
      <c r="A3035" t="inlineStr">
        <is>
          <t>CO-002339</t>
        </is>
      </c>
      <c r="B3035" t="inlineStr">
        <is>
          <t>PERU MASIVO S.A - BUSES</t>
        </is>
      </c>
      <c r="C3035" t="inlineStr">
        <is>
          <t>20492392031</t>
        </is>
      </c>
      <c r="D3035" t="inlineStr">
        <is>
          <t>AV. LOS INCAS CDRA. 4 PATIO NORTE - COMAS</t>
        </is>
      </c>
      <c r="E3035" t="inlineStr">
        <is>
          <t>Lima, 29 de mayo de 2025</t>
        </is>
      </c>
      <c r="F3035" t="inlineStr">
        <is>
          <t>la Recarga y mantenimiento</t>
        </is>
      </c>
      <c r="G3035" t="n">
        <v>10</v>
      </c>
      <c r="H3035" t="inlineStr">
        <is>
          <t xml:space="preserve">06 KG </t>
        </is>
      </c>
      <c r="I3035" t="inlineStr">
        <is>
          <t>2028</t>
        </is>
      </c>
      <c r="J3035" t="n">
        <v>2010</v>
      </c>
      <c r="K3035" t="inlineStr">
        <is>
          <t>MAYO 2025</t>
        </is>
      </c>
      <c r="L3035" t="inlineStr">
        <is>
          <t>MAYO 2026</t>
        </is>
      </c>
      <c r="M3035" t="inlineStr">
        <is>
          <t>P.Q.S.  TIPO ABC  90% NACIONAL</t>
        </is>
      </c>
      <c r="N3035" t="inlineStr">
        <is>
          <t>324/002625</t>
        </is>
      </c>
      <c r="O3035" t="inlineStr">
        <is>
          <t>R</t>
        </is>
      </c>
      <c r="P3035">
        <f>TRIM(N3035)</f>
        <v/>
      </c>
    </row>
    <row r="3036">
      <c r="A3036" t="inlineStr">
        <is>
          <t>CO-002340</t>
        </is>
      </c>
      <c r="B3036" t="inlineStr">
        <is>
          <t xml:space="preserve">CARLOS CENTENO </t>
        </is>
      </c>
      <c r="D3036" t="inlineStr">
        <is>
          <t>C3Q 482</t>
        </is>
      </c>
      <c r="E3036" t="inlineStr">
        <is>
          <t>Lima, 30 de mayo de 2025</t>
        </is>
      </c>
      <c r="F3036" t="inlineStr">
        <is>
          <t>la Recarga y mantenimiento</t>
        </is>
      </c>
      <c r="G3036" t="inlineStr">
        <is>
          <t>01</t>
        </is>
      </c>
      <c r="H3036" t="inlineStr">
        <is>
          <t>02 KG</t>
        </is>
      </c>
      <c r="I3036" t="inlineStr">
        <is>
          <t>VIGENTE</t>
        </is>
      </c>
      <c r="J3036" t="n">
        <v>2009</v>
      </c>
      <c r="K3036" t="inlineStr">
        <is>
          <t>MAYO 2025</t>
        </is>
      </c>
      <c r="L3036" t="inlineStr">
        <is>
          <t>MAYO 2026</t>
        </is>
      </c>
      <c r="M3036" t="inlineStr">
        <is>
          <t xml:space="preserve">P.Q.S.  TIPO ABC </t>
        </is>
      </c>
      <c r="N3036" t="inlineStr">
        <is>
          <t>01/000121</t>
        </is>
      </c>
      <c r="O3036" t="inlineStr">
        <is>
          <t>R</t>
        </is>
      </c>
      <c r="P3036">
        <f>TRIM(N3036)</f>
        <v/>
      </c>
    </row>
    <row r="3037">
      <c r="A3037" t="inlineStr">
        <is>
          <t>CO-002341</t>
        </is>
      </c>
      <c r="B3037" t="inlineStr">
        <is>
          <t>PERU MASIVO S.A - BUSES</t>
        </is>
      </c>
      <c r="C3037" t="inlineStr">
        <is>
          <t>20492392031</t>
        </is>
      </c>
      <c r="D3037" t="inlineStr">
        <is>
          <t>AV. LOS INCAS CDRA. 4 PATIO NORTE - COMAS</t>
        </is>
      </c>
      <c r="E3037" t="inlineStr">
        <is>
          <t>Lima, 02 de junio de 2025</t>
        </is>
      </c>
      <c r="F3037" t="inlineStr">
        <is>
          <t>la Recarga y mantenimiento</t>
        </is>
      </c>
      <c r="G3037" t="inlineStr">
        <is>
          <t>01</t>
        </is>
      </c>
      <c r="H3037" t="inlineStr">
        <is>
          <t xml:space="preserve">06 KG </t>
        </is>
      </c>
      <c r="I3037" t="inlineStr">
        <is>
          <t>2029</t>
        </is>
      </c>
      <c r="J3037" t="n">
        <v>2009</v>
      </c>
      <c r="K3037" t="inlineStr">
        <is>
          <t>JUNIO 2025</t>
        </is>
      </c>
      <c r="L3037" t="inlineStr">
        <is>
          <t>JUNIO 2026</t>
        </is>
      </c>
      <c r="M3037" t="inlineStr">
        <is>
          <t>P.Q.S.  TIPO ABC  90% NACIONAL</t>
        </is>
      </c>
      <c r="N3037" t="inlineStr">
        <is>
          <t>123/001622</t>
        </is>
      </c>
      <c r="O3037" t="inlineStr">
        <is>
          <t>R</t>
        </is>
      </c>
      <c r="P3037">
        <f>TRIM(N3037)</f>
        <v/>
      </c>
    </row>
    <row r="3038">
      <c r="A3038" t="inlineStr">
        <is>
          <t>CO-002341</t>
        </is>
      </c>
      <c r="B3038" t="inlineStr">
        <is>
          <t>PERU MASIVO S.A - BUSES</t>
        </is>
      </c>
      <c r="C3038" t="inlineStr">
        <is>
          <t>20492392031</t>
        </is>
      </c>
      <c r="D3038" t="inlineStr">
        <is>
          <t>AV. LOS INCAS CDRA. 4 PATIO NORTE - COMAS</t>
        </is>
      </c>
      <c r="E3038" t="inlineStr">
        <is>
          <t>Lima, 02 de junio de 2025</t>
        </is>
      </c>
      <c r="F3038" t="inlineStr">
        <is>
          <t>la Recarga y mantenimiento</t>
        </is>
      </c>
      <c r="G3038" t="inlineStr">
        <is>
          <t>02</t>
        </is>
      </c>
      <c r="H3038" t="inlineStr">
        <is>
          <t xml:space="preserve">06 KG </t>
        </is>
      </c>
      <c r="I3038" t="inlineStr">
        <is>
          <t>2029</t>
        </is>
      </c>
      <c r="J3038" t="n">
        <v>2010</v>
      </c>
      <c r="K3038" t="inlineStr">
        <is>
          <t>JUNIO 2025</t>
        </is>
      </c>
      <c r="L3038" t="inlineStr">
        <is>
          <t>JUNIO 2026</t>
        </is>
      </c>
      <c r="M3038" t="inlineStr">
        <is>
          <t>P.Q.S.  TIPO ABC  90% NACIONAL</t>
        </is>
      </c>
      <c r="N3038" t="inlineStr">
        <is>
          <t>302/000659</t>
        </is>
      </c>
      <c r="O3038" t="inlineStr">
        <is>
          <t>R</t>
        </is>
      </c>
      <c r="P3038">
        <f>TRIM(N3038)</f>
        <v/>
      </c>
    </row>
    <row r="3039">
      <c r="A3039" t="inlineStr">
        <is>
          <t>CO-002341</t>
        </is>
      </c>
      <c r="B3039" t="inlineStr">
        <is>
          <t>PERU MASIVO S.A - BUSES</t>
        </is>
      </c>
      <c r="C3039" t="inlineStr">
        <is>
          <t>20492392031</t>
        </is>
      </c>
      <c r="D3039" t="inlineStr">
        <is>
          <t>AV. LOS INCAS CDRA. 4 PATIO NORTE - COMAS</t>
        </is>
      </c>
      <c r="E3039" t="inlineStr">
        <is>
          <t>Lima, 02 de junio de 2025</t>
        </is>
      </c>
      <c r="F3039" t="inlineStr">
        <is>
          <t>la Recarga y mantenimiento</t>
        </is>
      </c>
      <c r="G3039" t="inlineStr">
        <is>
          <t>03</t>
        </is>
      </c>
      <c r="H3039" t="inlineStr">
        <is>
          <t xml:space="preserve">06 KG </t>
        </is>
      </c>
      <c r="I3039" t="inlineStr">
        <is>
          <t>2028</t>
        </is>
      </c>
      <c r="J3039" t="n">
        <v>2014</v>
      </c>
      <c r="K3039" t="inlineStr">
        <is>
          <t>JUNIO 2025</t>
        </is>
      </c>
      <c r="L3039" t="inlineStr">
        <is>
          <t>JUNIO 2026</t>
        </is>
      </c>
      <c r="M3039" t="inlineStr">
        <is>
          <t>P.Q.S.  TIPO ABC  90% NACIONAL</t>
        </is>
      </c>
      <c r="N3039" t="inlineStr">
        <is>
          <t>400/000377</t>
        </is>
      </c>
      <c r="O3039" t="inlineStr">
        <is>
          <t>R</t>
        </is>
      </c>
      <c r="P3039">
        <f>TRIM(N3039)</f>
        <v/>
      </c>
    </row>
    <row r="3040">
      <c r="A3040" t="inlineStr">
        <is>
          <t>CO-002341</t>
        </is>
      </c>
      <c r="B3040" t="inlineStr">
        <is>
          <t>PERU MASIVO S.A - BUSES</t>
        </is>
      </c>
      <c r="C3040" t="inlineStr">
        <is>
          <t>20492392031</t>
        </is>
      </c>
      <c r="D3040" t="inlineStr">
        <is>
          <t>AV. LOS INCAS CDRA. 4 PATIO NORTE - COMAS</t>
        </is>
      </c>
      <c r="E3040" t="inlineStr">
        <is>
          <t>Lima, 02 de junio de 2025</t>
        </is>
      </c>
      <c r="F3040" t="inlineStr">
        <is>
          <t>la Recarga y mantenimiento</t>
        </is>
      </c>
      <c r="G3040" t="inlineStr">
        <is>
          <t>04</t>
        </is>
      </c>
      <c r="H3040" t="inlineStr">
        <is>
          <t xml:space="preserve">06 KG </t>
        </is>
      </c>
      <c r="I3040" t="inlineStr">
        <is>
          <t>2028</t>
        </is>
      </c>
      <c r="J3040" t="n">
        <v>2009</v>
      </c>
      <c r="K3040" t="inlineStr">
        <is>
          <t>JUNIO 2025</t>
        </is>
      </c>
      <c r="L3040" t="inlineStr">
        <is>
          <t>JUNIO 2026</t>
        </is>
      </c>
      <c r="M3040" t="inlineStr">
        <is>
          <t>P.Q.S.  TIPO ABC  90% NACIONAL</t>
        </is>
      </c>
      <c r="N3040" t="inlineStr">
        <is>
          <t>215/001118</t>
        </is>
      </c>
      <c r="O3040" t="inlineStr">
        <is>
          <t>R</t>
        </is>
      </c>
      <c r="P3040">
        <f>TRIM(N3040)</f>
        <v/>
      </c>
    </row>
    <row r="3041">
      <c r="A3041" t="inlineStr">
        <is>
          <t>CO-002341</t>
        </is>
      </c>
      <c r="B3041" t="inlineStr">
        <is>
          <t>PERU MASIVO S.A - BUSES</t>
        </is>
      </c>
      <c r="C3041" t="inlineStr">
        <is>
          <t>20492392031</t>
        </is>
      </c>
      <c r="D3041" t="inlineStr">
        <is>
          <t>AV. LOS INCAS CDRA. 4 PATIO NORTE - COMAS</t>
        </is>
      </c>
      <c r="E3041" t="inlineStr">
        <is>
          <t>Lima, 02 de junio de 2025</t>
        </is>
      </c>
      <c r="F3041" t="inlineStr">
        <is>
          <t>la Recarga y mantenimiento</t>
        </is>
      </c>
      <c r="G3041" t="inlineStr">
        <is>
          <t>05</t>
        </is>
      </c>
      <c r="H3041" t="inlineStr">
        <is>
          <t xml:space="preserve">06 KG </t>
        </is>
      </c>
      <c r="I3041" t="inlineStr">
        <is>
          <t>2028</t>
        </is>
      </c>
      <c r="J3041" t="n">
        <v>2010</v>
      </c>
      <c r="K3041" t="inlineStr">
        <is>
          <t>JUNIO 2025</t>
        </is>
      </c>
      <c r="L3041" t="inlineStr">
        <is>
          <t>JUNIO 2026</t>
        </is>
      </c>
      <c r="M3041" t="inlineStr">
        <is>
          <t>P.Q.S.  TIPO ABC  90% NACIONAL</t>
        </is>
      </c>
      <c r="N3041" t="inlineStr">
        <is>
          <t>340/000597</t>
        </is>
      </c>
      <c r="O3041" t="inlineStr">
        <is>
          <t>R</t>
        </is>
      </c>
      <c r="P3041">
        <f>TRIM(N3041)</f>
        <v/>
      </c>
    </row>
    <row r="3042">
      <c r="A3042" t="inlineStr">
        <is>
          <t>CO-002341</t>
        </is>
      </c>
      <c r="B3042" t="inlineStr">
        <is>
          <t>PERU MASIVO S.A - BUSES</t>
        </is>
      </c>
      <c r="C3042" t="inlineStr">
        <is>
          <t>20492392031</t>
        </is>
      </c>
      <c r="D3042" t="inlineStr">
        <is>
          <t>AV. LOS INCAS CDRA. 4 PATIO NORTE - COMAS</t>
        </is>
      </c>
      <c r="E3042" t="inlineStr">
        <is>
          <t>Lima, 02 de junio de 2025</t>
        </is>
      </c>
      <c r="F3042" t="inlineStr">
        <is>
          <t>la Recarga y mantenimiento</t>
        </is>
      </c>
      <c r="G3042" t="inlineStr">
        <is>
          <t>06</t>
        </is>
      </c>
      <c r="H3042" t="inlineStr">
        <is>
          <t xml:space="preserve">06 KG </t>
        </is>
      </c>
      <c r="I3042" t="inlineStr">
        <is>
          <t>2028</t>
        </is>
      </c>
      <c r="J3042" t="n">
        <v>2009</v>
      </c>
      <c r="K3042" t="inlineStr">
        <is>
          <t>JUNIO 2025</t>
        </is>
      </c>
      <c r="L3042" t="inlineStr">
        <is>
          <t>JUNIO 2026</t>
        </is>
      </c>
      <c r="M3042" t="inlineStr">
        <is>
          <t>P.Q.S.  TIPO ABC  90% NACIONAL</t>
        </is>
      </c>
      <c r="N3042" t="inlineStr">
        <is>
          <t>290/002769</t>
        </is>
      </c>
      <c r="O3042" t="inlineStr">
        <is>
          <t>R</t>
        </is>
      </c>
      <c r="P3042">
        <f>TRIM(N3042)</f>
        <v/>
      </c>
    </row>
    <row r="3043">
      <c r="A3043" t="inlineStr">
        <is>
          <t>CO-002341</t>
        </is>
      </c>
      <c r="B3043" t="inlineStr">
        <is>
          <t>PERU MASIVO S.A - BUSES</t>
        </is>
      </c>
      <c r="C3043" t="inlineStr">
        <is>
          <t>20492392031</t>
        </is>
      </c>
      <c r="D3043" t="inlineStr">
        <is>
          <t>AV. LOS INCAS CDRA. 4 PATIO NORTE - COMAS</t>
        </is>
      </c>
      <c r="E3043" t="inlineStr">
        <is>
          <t>Lima, 02 de junio de 2025</t>
        </is>
      </c>
      <c r="F3043" t="inlineStr">
        <is>
          <t>la Recarga y mantenimiento</t>
        </is>
      </c>
      <c r="G3043" t="inlineStr">
        <is>
          <t>07</t>
        </is>
      </c>
      <c r="H3043" t="inlineStr">
        <is>
          <t xml:space="preserve">06 KG </t>
        </is>
      </c>
      <c r="I3043" t="inlineStr">
        <is>
          <t>2028</t>
        </is>
      </c>
      <c r="J3043" t="n">
        <v>2009</v>
      </c>
      <c r="K3043" t="inlineStr">
        <is>
          <t>JUNIO 2025</t>
        </is>
      </c>
      <c r="L3043" t="inlineStr">
        <is>
          <t>JUNIO 2026</t>
        </is>
      </c>
      <c r="M3043" t="inlineStr">
        <is>
          <t>P.Q.S.  TIPO ABC  90% NACIONAL</t>
        </is>
      </c>
      <c r="N3043" t="inlineStr">
        <is>
          <t>322/001677</t>
        </is>
      </c>
      <c r="O3043" t="inlineStr">
        <is>
          <t>R</t>
        </is>
      </c>
      <c r="P3043">
        <f>TRIM(N3043)</f>
        <v/>
      </c>
    </row>
    <row r="3044">
      <c r="A3044" t="inlineStr">
        <is>
          <t>CO-002341</t>
        </is>
      </c>
      <c r="B3044" t="inlineStr">
        <is>
          <t>PERU MASIVO S.A - BUSES</t>
        </is>
      </c>
      <c r="C3044" t="inlineStr">
        <is>
          <t>20492392031</t>
        </is>
      </c>
      <c r="D3044" t="inlineStr">
        <is>
          <t>AV. LOS INCAS CDRA. 4 PATIO NORTE - COMAS</t>
        </is>
      </c>
      <c r="E3044" t="inlineStr">
        <is>
          <t>Lima, 02 de junio de 2025</t>
        </is>
      </c>
      <c r="F3044" t="inlineStr">
        <is>
          <t>la Recarga y mantenimiento</t>
        </is>
      </c>
      <c r="G3044" t="inlineStr">
        <is>
          <t>08</t>
        </is>
      </c>
      <c r="H3044" t="inlineStr">
        <is>
          <t xml:space="preserve">06 KG </t>
        </is>
      </c>
      <c r="I3044" t="inlineStr">
        <is>
          <t>2028</t>
        </is>
      </c>
      <c r="J3044" t="n">
        <v>2009</v>
      </c>
      <c r="K3044" t="inlineStr">
        <is>
          <t>JUNIO 2025</t>
        </is>
      </c>
      <c r="L3044" t="inlineStr">
        <is>
          <t>JUNIO 2026</t>
        </is>
      </c>
      <c r="M3044" t="inlineStr">
        <is>
          <t>P.Q.S.  TIPO ABC  90% NACIONAL</t>
        </is>
      </c>
      <c r="N3044" t="inlineStr">
        <is>
          <t>343/001584</t>
        </is>
      </c>
      <c r="O3044" t="inlineStr">
        <is>
          <t>R</t>
        </is>
      </c>
      <c r="P3044">
        <f>TRIM(N3044)</f>
        <v/>
      </c>
    </row>
    <row r="3045">
      <c r="A3045" t="inlineStr">
        <is>
          <t>CO-002341</t>
        </is>
      </c>
      <c r="B3045" t="inlineStr">
        <is>
          <t>PERU MASIVO S.A - BUSES</t>
        </is>
      </c>
      <c r="C3045" t="inlineStr">
        <is>
          <t>20492392031</t>
        </is>
      </c>
      <c r="D3045" t="inlineStr">
        <is>
          <t>AV. LOS INCAS CDRA. 4 PATIO NORTE - COMAS</t>
        </is>
      </c>
      <c r="E3045" t="inlineStr">
        <is>
          <t>Lima, 02 de junio de 2025</t>
        </is>
      </c>
      <c r="F3045" t="inlineStr">
        <is>
          <t>la Recarga y mantenimiento</t>
        </is>
      </c>
      <c r="G3045" t="inlineStr">
        <is>
          <t>09</t>
        </is>
      </c>
      <c r="H3045" t="inlineStr">
        <is>
          <t xml:space="preserve">06 KG </t>
        </is>
      </c>
      <c r="I3045" t="inlineStr">
        <is>
          <t>2028</t>
        </is>
      </c>
      <c r="J3045" t="n">
        <v>2009</v>
      </c>
      <c r="K3045" t="inlineStr">
        <is>
          <t>JUNIO 2025</t>
        </is>
      </c>
      <c r="L3045" t="inlineStr">
        <is>
          <t>JUNIO 2026</t>
        </is>
      </c>
      <c r="M3045" t="inlineStr">
        <is>
          <t>P.Q.S.  TIPO ABC  90% NACIONAL</t>
        </is>
      </c>
      <c r="N3045" t="inlineStr">
        <is>
          <t>268/001559</t>
        </is>
      </c>
      <c r="O3045" t="inlineStr">
        <is>
          <t>R</t>
        </is>
      </c>
      <c r="P3045">
        <f>TRIM(N3045)</f>
        <v/>
      </c>
    </row>
    <row r="3046">
      <c r="A3046" t="inlineStr">
        <is>
          <t>CO-002341</t>
        </is>
      </c>
      <c r="B3046" t="inlineStr">
        <is>
          <t>PERU MASIVO S.A - BUSES</t>
        </is>
      </c>
      <c r="C3046" t="inlineStr">
        <is>
          <t>20492392031</t>
        </is>
      </c>
      <c r="D3046" t="inlineStr">
        <is>
          <t>AV. LOS INCAS CDRA. 4 PATIO NORTE - COMAS</t>
        </is>
      </c>
      <c r="E3046" t="inlineStr">
        <is>
          <t>Lima, 02 de junio de 2025</t>
        </is>
      </c>
      <c r="F3046" t="inlineStr">
        <is>
          <t>la Recarga y mantenimiento</t>
        </is>
      </c>
      <c r="G3046" t="n">
        <v>10</v>
      </c>
      <c r="H3046" t="inlineStr">
        <is>
          <t xml:space="preserve">06 KG </t>
        </is>
      </c>
      <c r="I3046" t="inlineStr">
        <is>
          <t>2028</t>
        </is>
      </c>
      <c r="J3046" t="n">
        <v>2009</v>
      </c>
      <c r="K3046" t="inlineStr">
        <is>
          <t>JUNIO 2025</t>
        </is>
      </c>
      <c r="L3046" t="inlineStr">
        <is>
          <t>JUNIO 2026</t>
        </is>
      </c>
      <c r="M3046" t="inlineStr">
        <is>
          <t>P.Q.S.  TIPO ABC  90% NACIONAL</t>
        </is>
      </c>
      <c r="N3046" t="inlineStr">
        <is>
          <t>60/001029</t>
        </is>
      </c>
      <c r="O3046" t="inlineStr">
        <is>
          <t>R</t>
        </is>
      </c>
      <c r="P3046">
        <f>TRIM(N3046)</f>
        <v/>
      </c>
    </row>
    <row r="3047">
      <c r="A3047" t="inlineStr">
        <is>
          <t>CO-002341</t>
        </is>
      </c>
      <c r="B3047" t="inlineStr">
        <is>
          <t>PERU MASIVO S.A - BUSES</t>
        </is>
      </c>
      <c r="C3047" t="inlineStr">
        <is>
          <t>20492392031</t>
        </is>
      </c>
      <c r="D3047" t="inlineStr">
        <is>
          <t>AV. LOS INCAS CDRA. 4 PATIO NORTE - COMAS</t>
        </is>
      </c>
      <c r="E3047" t="inlineStr">
        <is>
          <t>Lima, 02 de junio de 2025</t>
        </is>
      </c>
      <c r="F3047" t="inlineStr">
        <is>
          <t>la Recarga y mantenimiento</t>
        </is>
      </c>
      <c r="G3047" t="n">
        <v>11</v>
      </c>
      <c r="H3047" t="inlineStr">
        <is>
          <t xml:space="preserve">06 KG </t>
        </is>
      </c>
      <c r="I3047" t="inlineStr">
        <is>
          <t>2028</t>
        </is>
      </c>
      <c r="J3047" t="n">
        <v>2009</v>
      </c>
      <c r="K3047" t="inlineStr">
        <is>
          <t>JUNIO 2025</t>
        </is>
      </c>
      <c r="L3047" t="inlineStr">
        <is>
          <t>JUNIO 2026</t>
        </is>
      </c>
      <c r="M3047" t="inlineStr">
        <is>
          <t>P.Q.S.  TIPO ABC  90% NACIONAL</t>
        </is>
      </c>
      <c r="N3047" t="inlineStr">
        <is>
          <t>245/001309</t>
        </is>
      </c>
      <c r="O3047" t="inlineStr">
        <is>
          <t>R</t>
        </is>
      </c>
      <c r="P3047">
        <f>TRIM(N3047)</f>
        <v/>
      </c>
    </row>
    <row r="3048">
      <c r="A3048" t="inlineStr">
        <is>
          <t>CO-002341</t>
        </is>
      </c>
      <c r="B3048" t="inlineStr">
        <is>
          <t>PERU MASIVO S.A - BUSES</t>
        </is>
      </c>
      <c r="C3048" t="inlineStr">
        <is>
          <t>20492392031</t>
        </is>
      </c>
      <c r="D3048" t="inlineStr">
        <is>
          <t>AV. LOS INCAS CDRA. 4 PATIO NORTE - COMAS</t>
        </is>
      </c>
      <c r="E3048" t="inlineStr">
        <is>
          <t>Lima, 02 de junio de 2025</t>
        </is>
      </c>
      <c r="F3048" t="inlineStr">
        <is>
          <t>la Recarga y mantenimiento</t>
        </is>
      </c>
      <c r="G3048" t="n">
        <v>12</v>
      </c>
      <c r="H3048" t="inlineStr">
        <is>
          <t xml:space="preserve">06 KG </t>
        </is>
      </c>
      <c r="I3048" t="inlineStr">
        <is>
          <t>2028</t>
        </is>
      </c>
      <c r="J3048" t="n">
        <v>2009</v>
      </c>
      <c r="K3048" t="inlineStr">
        <is>
          <t>JUNIO 2025</t>
        </is>
      </c>
      <c r="L3048" t="inlineStr">
        <is>
          <t>JUNIO 2026</t>
        </is>
      </c>
      <c r="M3048" t="inlineStr">
        <is>
          <t>P.Q.S.  TIPO ABC  90% NACIONAL</t>
        </is>
      </c>
      <c r="N3048" t="inlineStr">
        <is>
          <t>332/001050</t>
        </is>
      </c>
      <c r="O3048" t="inlineStr">
        <is>
          <t>R</t>
        </is>
      </c>
      <c r="P3048">
        <f>TRIM(N3048)</f>
        <v/>
      </c>
    </row>
    <row r="3049">
      <c r="A3049" t="inlineStr">
        <is>
          <t>CO-002342</t>
        </is>
      </c>
      <c r="B3049" t="inlineStr">
        <is>
          <t>PERU MASIVO S.A - INFRAESTRUCTURA</t>
        </is>
      </c>
      <c r="C3049" t="inlineStr">
        <is>
          <t>20492392031</t>
        </is>
      </c>
      <c r="D3049" t="inlineStr">
        <is>
          <t>AV. LOS INCAS CDRA. 4 PATIO NORTE - COMAS</t>
        </is>
      </c>
      <c r="E3049" t="inlineStr">
        <is>
          <t>Lima, 02 de junio de 2025</t>
        </is>
      </c>
      <c r="F3049" t="inlineStr">
        <is>
          <t>la Recarga y mantenimiento</t>
        </is>
      </c>
      <c r="G3049" t="inlineStr">
        <is>
          <t>01</t>
        </is>
      </c>
      <c r="H3049" t="inlineStr">
        <is>
          <t>06 KG</t>
        </is>
      </c>
      <c r="I3049" t="inlineStr">
        <is>
          <t>2028</t>
        </is>
      </c>
      <c r="J3049" t="n">
        <v>2023</v>
      </c>
      <c r="K3049" t="inlineStr">
        <is>
          <t>JUNIO 2025</t>
        </is>
      </c>
      <c r="L3049" t="inlineStr">
        <is>
          <t>JUNIO 2026</t>
        </is>
      </c>
      <c r="M3049" t="inlineStr">
        <is>
          <t>P.Q.S.  TIPO ABC  90% NACIONAL</t>
        </is>
      </c>
      <c r="N3049" t="inlineStr">
        <is>
          <t>03/000120</t>
        </is>
      </c>
      <c r="O3049" t="inlineStr">
        <is>
          <t>R</t>
        </is>
      </c>
      <c r="P3049">
        <f>TRIM(N3049)</f>
        <v/>
      </c>
    </row>
    <row r="3050">
      <c r="A3050" t="inlineStr">
        <is>
          <t>CO-002343</t>
        </is>
      </c>
      <c r="B3050" t="inlineStr">
        <is>
          <t>PERU MASIVO S.A - BUSES</t>
        </is>
      </c>
      <c r="C3050" t="inlineStr">
        <is>
          <t>20492392031</t>
        </is>
      </c>
      <c r="D3050" t="inlineStr">
        <is>
          <t>AV. LOS INCAS CDRA. 4 PATIO NORTE - COMAS</t>
        </is>
      </c>
      <c r="E3050" t="inlineStr">
        <is>
          <t>Lima, 04 de junio de 2025</t>
        </is>
      </c>
      <c r="F3050" t="inlineStr">
        <is>
          <t>la Recarga y mantenimiento</t>
        </is>
      </c>
      <c r="G3050" t="inlineStr">
        <is>
          <t>01</t>
        </is>
      </c>
      <c r="H3050" t="inlineStr">
        <is>
          <t>06 KG</t>
        </is>
      </c>
      <c r="I3050" t="inlineStr">
        <is>
          <t>2028</t>
        </is>
      </c>
      <c r="J3050" t="n">
        <v>2010</v>
      </c>
      <c r="K3050" t="inlineStr">
        <is>
          <t>JUNIO 2025</t>
        </is>
      </c>
      <c r="L3050" t="inlineStr">
        <is>
          <t>JUNIO 2026</t>
        </is>
      </c>
      <c r="M3050" t="inlineStr">
        <is>
          <t>P.Q.S.  TIPO ABC  90% NACIONAL</t>
        </is>
      </c>
      <c r="N3050" t="inlineStr">
        <is>
          <t>285/000802</t>
        </is>
      </c>
      <c r="O3050" t="inlineStr">
        <is>
          <t>R</t>
        </is>
      </c>
      <c r="P3050">
        <f>TRIM(N3050)</f>
        <v/>
      </c>
    </row>
    <row r="3051">
      <c r="A3051" t="inlineStr">
        <is>
          <t>CO-002343</t>
        </is>
      </c>
      <c r="B3051" t="inlineStr">
        <is>
          <t>PERU MASIVO S.A - BUSES</t>
        </is>
      </c>
      <c r="C3051" t="inlineStr">
        <is>
          <t>20492392031</t>
        </is>
      </c>
      <c r="D3051" t="inlineStr">
        <is>
          <t>AV. LOS INCAS CDRA. 4 PATIO NORTE - COMAS</t>
        </is>
      </c>
      <c r="E3051" t="inlineStr">
        <is>
          <t>Lima, 04 de junio de 2025</t>
        </is>
      </c>
      <c r="F3051" t="inlineStr">
        <is>
          <t>la Recarga y mantenimiento</t>
        </is>
      </c>
      <c r="G3051" t="inlineStr">
        <is>
          <t>02</t>
        </is>
      </c>
      <c r="H3051" t="inlineStr">
        <is>
          <t>06 KG</t>
        </is>
      </c>
      <c r="I3051" t="inlineStr">
        <is>
          <t>2028</t>
        </is>
      </c>
      <c r="J3051" t="n">
        <v>2014</v>
      </c>
      <c r="K3051" t="inlineStr">
        <is>
          <t>JUNIO 2025</t>
        </is>
      </c>
      <c r="L3051" t="inlineStr">
        <is>
          <t>JUNIO 2026</t>
        </is>
      </c>
      <c r="M3051" t="inlineStr">
        <is>
          <t>P.Q.S.  TIPO ABC  90% NACIONAL</t>
        </is>
      </c>
      <c r="N3051" t="inlineStr">
        <is>
          <t>43/002142</t>
        </is>
      </c>
      <c r="O3051" t="inlineStr">
        <is>
          <t>R</t>
        </is>
      </c>
      <c r="P3051">
        <f>TRIM(N3051)</f>
        <v/>
      </c>
    </row>
    <row r="3052">
      <c r="A3052" t="inlineStr">
        <is>
          <t>CO-002343</t>
        </is>
      </c>
      <c r="B3052" t="inlineStr">
        <is>
          <t>PERU MASIVO S.A - BUSES</t>
        </is>
      </c>
      <c r="C3052" t="inlineStr">
        <is>
          <t>20492392031</t>
        </is>
      </c>
      <c r="D3052" t="inlineStr">
        <is>
          <t>AV. LOS INCAS CDRA. 4 PATIO NORTE - COMAS</t>
        </is>
      </c>
      <c r="E3052" t="inlineStr">
        <is>
          <t>Lima, 04 de junio de 2025</t>
        </is>
      </c>
      <c r="F3052" t="inlineStr">
        <is>
          <t>la Recarga y mantenimiento</t>
        </is>
      </c>
      <c r="G3052" t="inlineStr">
        <is>
          <t>03</t>
        </is>
      </c>
      <c r="H3052" t="inlineStr">
        <is>
          <t>06 KG</t>
        </is>
      </c>
      <c r="I3052" t="inlineStr">
        <is>
          <t>2028</t>
        </is>
      </c>
      <c r="J3052" t="n">
        <v>2010</v>
      </c>
      <c r="K3052" t="inlineStr">
        <is>
          <t>JUNIO 2025</t>
        </is>
      </c>
      <c r="L3052" t="inlineStr">
        <is>
          <t>JUNIO 2026</t>
        </is>
      </c>
      <c r="M3052" t="inlineStr">
        <is>
          <t>P.Q.S.  TIPO ABC  90% NACIONAL</t>
        </is>
      </c>
      <c r="N3052" t="inlineStr">
        <is>
          <t>192/000168</t>
        </is>
      </c>
      <c r="O3052" t="inlineStr">
        <is>
          <t>R</t>
        </is>
      </c>
      <c r="P3052">
        <f>TRIM(N3052)</f>
        <v/>
      </c>
    </row>
    <row r="3053">
      <c r="A3053" t="inlineStr">
        <is>
          <t>CO-002343</t>
        </is>
      </c>
      <c r="B3053" t="inlineStr">
        <is>
          <t>PERU MASIVO S.A - BUSES</t>
        </is>
      </c>
      <c r="C3053" t="inlineStr">
        <is>
          <t>20492392031</t>
        </is>
      </c>
      <c r="D3053" t="inlineStr">
        <is>
          <t>AV. LOS INCAS CDRA. 4 PATIO NORTE - COMAS</t>
        </is>
      </c>
      <c r="E3053" t="inlineStr">
        <is>
          <t>Lima, 04 de junio de 2025</t>
        </is>
      </c>
      <c r="F3053" t="inlineStr">
        <is>
          <t>la Recarga y mantenimiento</t>
        </is>
      </c>
      <c r="G3053" t="inlineStr">
        <is>
          <t>04</t>
        </is>
      </c>
      <c r="H3053" t="inlineStr">
        <is>
          <t>06 KG</t>
        </is>
      </c>
      <c r="I3053" t="inlineStr">
        <is>
          <t>2028</t>
        </is>
      </c>
      <c r="J3053" t="n">
        <v>2016</v>
      </c>
      <c r="K3053" t="inlineStr">
        <is>
          <t>JUNIO 2025</t>
        </is>
      </c>
      <c r="L3053" t="inlineStr">
        <is>
          <t>JUNIO 2026</t>
        </is>
      </c>
      <c r="M3053" t="inlineStr">
        <is>
          <t>P.Q.S.  TIPO ABC  90% NACIONAL</t>
        </is>
      </c>
      <c r="N3053" t="inlineStr">
        <is>
          <t>208/020160</t>
        </is>
      </c>
      <c r="O3053" t="inlineStr">
        <is>
          <t>R</t>
        </is>
      </c>
      <c r="P3053">
        <f>TRIM(N3053)</f>
        <v/>
      </c>
    </row>
    <row r="3054">
      <c r="A3054" t="inlineStr">
        <is>
          <t>CO-002343</t>
        </is>
      </c>
      <c r="B3054" t="inlineStr">
        <is>
          <t>PERU MASIVO S.A - BUSES</t>
        </is>
      </c>
      <c r="C3054" t="inlineStr">
        <is>
          <t>20492392031</t>
        </is>
      </c>
      <c r="D3054" t="inlineStr">
        <is>
          <t>AV. LOS INCAS CDRA. 4 PATIO NORTE - COMAS</t>
        </is>
      </c>
      <c r="E3054" t="inlineStr">
        <is>
          <t>Lima, 04 de junio de 2025</t>
        </is>
      </c>
      <c r="F3054" t="inlineStr">
        <is>
          <t>la Recarga y mantenimiento</t>
        </is>
      </c>
      <c r="G3054" t="inlineStr">
        <is>
          <t>05</t>
        </is>
      </c>
      <c r="H3054" t="inlineStr">
        <is>
          <t>06 KG</t>
        </is>
      </c>
      <c r="I3054" t="inlineStr">
        <is>
          <t>2028</t>
        </is>
      </c>
      <c r="J3054" t="n">
        <v>2010</v>
      </c>
      <c r="K3054" t="inlineStr">
        <is>
          <t>JUNIO 2025</t>
        </is>
      </c>
      <c r="L3054" t="inlineStr">
        <is>
          <t>JUNIO 2026</t>
        </is>
      </c>
      <c r="M3054" t="inlineStr">
        <is>
          <t>P.Q.S.  TIPO ABC  90% NACIONAL</t>
        </is>
      </c>
      <c r="N3054" t="inlineStr">
        <is>
          <t>337/000572</t>
        </is>
      </c>
      <c r="O3054" t="inlineStr">
        <is>
          <t>R</t>
        </is>
      </c>
      <c r="P3054">
        <f>TRIM(N3054)</f>
        <v/>
      </c>
    </row>
    <row r="3055">
      <c r="A3055" t="inlineStr">
        <is>
          <t>CO-002343</t>
        </is>
      </c>
      <c r="B3055" t="inlineStr">
        <is>
          <t>PERU MASIVO S.A - BUSES</t>
        </is>
      </c>
      <c r="C3055" t="inlineStr">
        <is>
          <t>20492392031</t>
        </is>
      </c>
      <c r="D3055" t="inlineStr">
        <is>
          <t>AV. LOS INCAS CDRA. 4 PATIO NORTE - COMAS</t>
        </is>
      </c>
      <c r="E3055" t="inlineStr">
        <is>
          <t>Lima, 04 de junio de 2025</t>
        </is>
      </c>
      <c r="F3055" t="inlineStr">
        <is>
          <t>la Recarga y mantenimiento</t>
        </is>
      </c>
      <c r="G3055" t="inlineStr">
        <is>
          <t>06</t>
        </is>
      </c>
      <c r="H3055" t="inlineStr">
        <is>
          <t>06 KG</t>
        </is>
      </c>
      <c r="I3055" t="inlineStr">
        <is>
          <t>2028</t>
        </is>
      </c>
      <c r="J3055" t="n">
        <v>2010</v>
      </c>
      <c r="K3055" t="inlineStr">
        <is>
          <t>JUNIO 2025</t>
        </is>
      </c>
      <c r="L3055" t="inlineStr">
        <is>
          <t>JUNIO 2026</t>
        </is>
      </c>
      <c r="M3055" t="inlineStr">
        <is>
          <t>P.Q.S.  TIPO ABC  90% NACIONAL</t>
        </is>
      </c>
      <c r="N3055" t="inlineStr">
        <is>
          <t>94/000005</t>
        </is>
      </c>
      <c r="O3055" t="inlineStr">
        <is>
          <t>R</t>
        </is>
      </c>
      <c r="P3055">
        <f>TRIM(N3055)</f>
        <v/>
      </c>
    </row>
    <row r="3056">
      <c r="A3056" t="inlineStr">
        <is>
          <t>CO-002343</t>
        </is>
      </c>
      <c r="B3056" t="inlineStr">
        <is>
          <t>PERU MASIVO S.A - BUSES</t>
        </is>
      </c>
      <c r="C3056" t="inlineStr">
        <is>
          <t>20492392031</t>
        </is>
      </c>
      <c r="D3056" t="inlineStr">
        <is>
          <t>AV. LOS INCAS CDRA. 4 PATIO NORTE - COMAS</t>
        </is>
      </c>
      <c r="E3056" t="inlineStr">
        <is>
          <t>Lima, 04 de junio de 2025</t>
        </is>
      </c>
      <c r="F3056" t="inlineStr">
        <is>
          <t>la Recarga y mantenimiento</t>
        </is>
      </c>
      <c r="G3056" t="inlineStr">
        <is>
          <t>07</t>
        </is>
      </c>
      <c r="H3056" t="inlineStr">
        <is>
          <t>06 KG</t>
        </is>
      </c>
      <c r="I3056" t="inlineStr">
        <is>
          <t>2028</t>
        </is>
      </c>
      <c r="J3056" t="n">
        <v>2010</v>
      </c>
      <c r="K3056" t="inlineStr">
        <is>
          <t>JUNIO 2025</t>
        </is>
      </c>
      <c r="L3056" t="inlineStr">
        <is>
          <t>JUNIO 2026</t>
        </is>
      </c>
      <c r="M3056" t="inlineStr">
        <is>
          <t>P.Q.S.  TIPO ABC  90% NACIONAL</t>
        </is>
      </c>
      <c r="N3056" t="inlineStr">
        <is>
          <t>295/000704</t>
        </is>
      </c>
      <c r="O3056" t="inlineStr">
        <is>
          <t>R</t>
        </is>
      </c>
      <c r="P3056">
        <f>TRIM(N3056)</f>
        <v/>
      </c>
    </row>
    <row r="3057">
      <c r="A3057" t="inlineStr">
        <is>
          <t>CO-002343</t>
        </is>
      </c>
      <c r="B3057" t="inlineStr">
        <is>
          <t>PERU MASIVO S.A - BUSES</t>
        </is>
      </c>
      <c r="C3057" t="inlineStr">
        <is>
          <t>20492392031</t>
        </is>
      </c>
      <c r="D3057" t="inlineStr">
        <is>
          <t>AV. LOS INCAS CDRA. 4 PATIO NORTE - COMAS</t>
        </is>
      </c>
      <c r="E3057" t="inlineStr">
        <is>
          <t>Lima, 04 de junio de 2025</t>
        </is>
      </c>
      <c r="F3057" t="inlineStr">
        <is>
          <t>la Recarga y mantenimiento</t>
        </is>
      </c>
      <c r="G3057" t="inlineStr">
        <is>
          <t>08</t>
        </is>
      </c>
      <c r="H3057" t="inlineStr">
        <is>
          <t>06 KG</t>
        </is>
      </c>
      <c r="I3057" t="inlineStr">
        <is>
          <t>2028</t>
        </is>
      </c>
      <c r="J3057" t="n">
        <v>2009</v>
      </c>
      <c r="K3057" t="inlineStr">
        <is>
          <t>JUNIO 2025</t>
        </is>
      </c>
      <c r="L3057" t="inlineStr">
        <is>
          <t>JUNIO 2026</t>
        </is>
      </c>
      <c r="M3057" t="inlineStr">
        <is>
          <t>P.Q.S.  TIPO ABC  90% NACIONAL</t>
        </is>
      </c>
      <c r="N3057" t="inlineStr">
        <is>
          <t>10/001664</t>
        </is>
      </c>
      <c r="O3057" t="inlineStr">
        <is>
          <t>R</t>
        </is>
      </c>
      <c r="P3057">
        <f>TRIM(N3057)</f>
        <v/>
      </c>
    </row>
    <row r="3058">
      <c r="A3058" t="inlineStr">
        <is>
          <t>CO-002343</t>
        </is>
      </c>
      <c r="B3058" t="inlineStr">
        <is>
          <t>PERU MASIVO S.A - BUSES</t>
        </is>
      </c>
      <c r="C3058" t="inlineStr">
        <is>
          <t>20492392031</t>
        </is>
      </c>
      <c r="D3058" t="inlineStr">
        <is>
          <t>AV. LOS INCAS CDRA. 4 PATIO NORTE - COMAS</t>
        </is>
      </c>
      <c r="E3058" t="inlineStr">
        <is>
          <t>Lima, 04 de junio de 2025</t>
        </is>
      </c>
      <c r="F3058" t="inlineStr">
        <is>
          <t>la Recarga y mantenimiento</t>
        </is>
      </c>
      <c r="G3058" t="inlineStr">
        <is>
          <t>09</t>
        </is>
      </c>
      <c r="H3058" t="inlineStr">
        <is>
          <t>06 KG</t>
        </is>
      </c>
      <c r="I3058" t="inlineStr">
        <is>
          <t>2028</t>
        </is>
      </c>
      <c r="J3058" t="n">
        <v>2009</v>
      </c>
      <c r="K3058" t="inlineStr">
        <is>
          <t>JUNIO 2025</t>
        </is>
      </c>
      <c r="L3058" t="inlineStr">
        <is>
          <t>JUNIO 2026</t>
        </is>
      </c>
      <c r="M3058" t="inlineStr">
        <is>
          <t>P.Q.S.  TIPO ABC  90% NACIONAL</t>
        </is>
      </c>
      <c r="N3058" t="inlineStr">
        <is>
          <t>219/001767</t>
        </is>
      </c>
      <c r="O3058" t="inlineStr">
        <is>
          <t>R</t>
        </is>
      </c>
      <c r="P3058">
        <f>TRIM(N3058)</f>
        <v/>
      </c>
    </row>
    <row r="3059">
      <c r="A3059" t="inlineStr">
        <is>
          <t>CO-002343</t>
        </is>
      </c>
      <c r="B3059" t="inlineStr">
        <is>
          <t>PERU MASIVO S.A - BUSES</t>
        </is>
      </c>
      <c r="C3059" t="inlineStr">
        <is>
          <t>20492392031</t>
        </is>
      </c>
      <c r="D3059" t="inlineStr">
        <is>
          <t>AV. LOS INCAS CDRA. 4 PATIO NORTE - COMAS</t>
        </is>
      </c>
      <c r="E3059" t="inlineStr">
        <is>
          <t>Lima, 04 de junio de 2025</t>
        </is>
      </c>
      <c r="F3059" t="inlineStr">
        <is>
          <t>la Recarga y mantenimiento</t>
        </is>
      </c>
      <c r="G3059" t="n">
        <v>10</v>
      </c>
      <c r="H3059" t="inlineStr">
        <is>
          <t>06 KG</t>
        </is>
      </c>
      <c r="I3059" t="inlineStr">
        <is>
          <t>2028</t>
        </is>
      </c>
      <c r="J3059" t="n">
        <v>2015</v>
      </c>
      <c r="K3059" t="inlineStr">
        <is>
          <t>JUNIO 2025</t>
        </is>
      </c>
      <c r="L3059" t="inlineStr">
        <is>
          <t>JUNIO 2026</t>
        </is>
      </c>
      <c r="M3059" t="inlineStr">
        <is>
          <t>P.Q.S.  TIPO ABC  90% NACIONAL</t>
        </is>
      </c>
      <c r="N3059" t="inlineStr">
        <is>
          <t>09/001999</t>
        </is>
      </c>
      <c r="O3059" t="inlineStr">
        <is>
          <t>R</t>
        </is>
      </c>
      <c r="P3059">
        <f>TRIM(N3059)</f>
        <v/>
      </c>
    </row>
    <row r="3060">
      <c r="A3060" t="inlineStr">
        <is>
          <t>CO-002343</t>
        </is>
      </c>
      <c r="B3060" t="inlineStr">
        <is>
          <t>PERU MASIVO S.A - BUSES</t>
        </is>
      </c>
      <c r="C3060" t="inlineStr">
        <is>
          <t>20492392031</t>
        </is>
      </c>
      <c r="D3060" t="inlineStr">
        <is>
          <t>AV. LOS INCAS CDRA. 4 PATIO NORTE - COMAS</t>
        </is>
      </c>
      <c r="E3060" t="inlineStr">
        <is>
          <t>Lima, 04 de junio de 2025</t>
        </is>
      </c>
      <c r="F3060" t="inlineStr">
        <is>
          <t>la Recarga y mantenimiento</t>
        </is>
      </c>
      <c r="G3060" t="n">
        <v>11</v>
      </c>
      <c r="H3060" t="inlineStr">
        <is>
          <t>06 KG</t>
        </is>
      </c>
      <c r="I3060" t="inlineStr">
        <is>
          <t>2028</t>
        </is>
      </c>
      <c r="J3060" t="n">
        <v>2009</v>
      </c>
      <c r="K3060" t="inlineStr">
        <is>
          <t>JUNIO 2025</t>
        </is>
      </c>
      <c r="L3060" t="inlineStr">
        <is>
          <t>JUNIO 2026</t>
        </is>
      </c>
      <c r="M3060" t="inlineStr">
        <is>
          <t>P.Q.S.  TIPO ABC  90% NACIONAL</t>
        </is>
      </c>
      <c r="N3060" t="inlineStr">
        <is>
          <t>323/000579</t>
        </is>
      </c>
      <c r="O3060" t="inlineStr">
        <is>
          <t>R</t>
        </is>
      </c>
      <c r="P3060">
        <f>TRIM(N3060)</f>
        <v/>
      </c>
    </row>
    <row r="3061">
      <c r="A3061" t="inlineStr">
        <is>
          <t>CO-002343</t>
        </is>
      </c>
      <c r="B3061" t="inlineStr">
        <is>
          <t>PERU MASIVO S.A - BUSES</t>
        </is>
      </c>
      <c r="C3061" t="inlineStr">
        <is>
          <t>20492392031</t>
        </is>
      </c>
      <c r="D3061" t="inlineStr">
        <is>
          <t>AV. LOS INCAS CDRA. 4 PATIO NORTE - COMAS</t>
        </is>
      </c>
      <c r="E3061" t="inlineStr">
        <is>
          <t>Lima, 04 de junio de 2025</t>
        </is>
      </c>
      <c r="F3061" t="inlineStr">
        <is>
          <t>la Recarga y mantenimiento</t>
        </is>
      </c>
      <c r="G3061" t="n">
        <v>12</v>
      </c>
      <c r="H3061" t="inlineStr">
        <is>
          <t>06 KG</t>
        </is>
      </c>
      <c r="I3061" t="inlineStr">
        <is>
          <t>2028</t>
        </is>
      </c>
      <c r="J3061" t="n">
        <v>2009</v>
      </c>
      <c r="K3061" t="inlineStr">
        <is>
          <t>JUNIO 2025</t>
        </is>
      </c>
      <c r="L3061" t="inlineStr">
        <is>
          <t>JUNIO 2026</t>
        </is>
      </c>
      <c r="M3061" t="inlineStr">
        <is>
          <t>P.Q.S.  TIPO ABC  90% NACIONAL</t>
        </is>
      </c>
      <c r="N3061" t="inlineStr">
        <is>
          <t>172/000942</t>
        </is>
      </c>
      <c r="O3061" t="inlineStr">
        <is>
          <t>R</t>
        </is>
      </c>
      <c r="P3061">
        <f>TRIM(N3061)</f>
        <v/>
      </c>
    </row>
    <row r="3062">
      <c r="A3062" t="inlineStr">
        <is>
          <t>CO-002343</t>
        </is>
      </c>
      <c r="B3062" t="inlineStr">
        <is>
          <t>PERU MASIVO S.A - BUSES</t>
        </is>
      </c>
      <c r="C3062" t="inlineStr">
        <is>
          <t>20492392031</t>
        </is>
      </c>
      <c r="D3062" t="inlineStr">
        <is>
          <t>AV. LOS INCAS CDRA. 4 PATIO NORTE - COMAS</t>
        </is>
      </c>
      <c r="E3062" t="inlineStr">
        <is>
          <t>Lima, 04 de junio de 2025</t>
        </is>
      </c>
      <c r="F3062" t="inlineStr">
        <is>
          <t>la Recarga y mantenimiento</t>
        </is>
      </c>
      <c r="G3062" t="n">
        <v>13</v>
      </c>
      <c r="H3062" t="inlineStr">
        <is>
          <t>06 KG</t>
        </is>
      </c>
      <c r="I3062" t="inlineStr">
        <is>
          <t>2028</t>
        </is>
      </c>
      <c r="J3062" t="n">
        <v>2010</v>
      </c>
      <c r="K3062" t="inlineStr">
        <is>
          <t>JUNIO 2025</t>
        </is>
      </c>
      <c r="L3062" t="inlineStr">
        <is>
          <t>JUNIO 2026</t>
        </is>
      </c>
      <c r="M3062" t="inlineStr">
        <is>
          <t>P.Q.S.  TIPO ABC  90% NACIONAL</t>
        </is>
      </c>
      <c r="N3062" t="inlineStr">
        <is>
          <t>307/000138</t>
        </is>
      </c>
      <c r="O3062" t="inlineStr">
        <is>
          <t>R</t>
        </is>
      </c>
      <c r="P3062">
        <f>TRIM(N3062)</f>
        <v/>
      </c>
    </row>
    <row r="3063">
      <c r="A3063" t="inlineStr">
        <is>
          <t>CO-002343</t>
        </is>
      </c>
      <c r="B3063" t="inlineStr">
        <is>
          <t>PERU MASIVO S.A - BUSES</t>
        </is>
      </c>
      <c r="C3063" t="inlineStr">
        <is>
          <t>20492392031</t>
        </is>
      </c>
      <c r="D3063" t="inlineStr">
        <is>
          <t>AV. LOS INCAS CDRA. 4 PATIO NORTE - COMAS</t>
        </is>
      </c>
      <c r="E3063" t="inlineStr">
        <is>
          <t>Lima, 04 de junio de 2025</t>
        </is>
      </c>
      <c r="F3063" t="inlineStr">
        <is>
          <t>la Recarga y mantenimiento</t>
        </is>
      </c>
      <c r="G3063" t="n">
        <v>14</v>
      </c>
      <c r="H3063" t="inlineStr">
        <is>
          <t>06 KG</t>
        </is>
      </c>
      <c r="I3063" t="inlineStr">
        <is>
          <t>2028</t>
        </is>
      </c>
      <c r="J3063" t="n">
        <v>2010</v>
      </c>
      <c r="K3063" t="inlineStr">
        <is>
          <t>JUNIO 2025</t>
        </is>
      </c>
      <c r="L3063" t="inlineStr">
        <is>
          <t>JUNIO 2026</t>
        </is>
      </c>
      <c r="M3063" t="inlineStr">
        <is>
          <t>P.Q.S.  TIPO ABC  90% NACIONAL</t>
        </is>
      </c>
      <c r="N3063" t="inlineStr">
        <is>
          <t>141/000275</t>
        </is>
      </c>
      <c r="O3063" t="inlineStr">
        <is>
          <t>R</t>
        </is>
      </c>
      <c r="P3063">
        <f>TRIM(N3063)</f>
        <v/>
      </c>
    </row>
    <row r="3064">
      <c r="A3064" t="inlineStr">
        <is>
          <t>CO-002343</t>
        </is>
      </c>
      <c r="B3064" t="inlineStr">
        <is>
          <t>PERU MASIVO S.A - BUSES</t>
        </is>
      </c>
      <c r="C3064" t="inlineStr">
        <is>
          <t>20492392031</t>
        </is>
      </c>
      <c r="D3064" t="inlineStr">
        <is>
          <t>AV. LOS INCAS CDRA. 4 PATIO NORTE - COMAS</t>
        </is>
      </c>
      <c r="E3064" t="inlineStr">
        <is>
          <t>Lima, 04 de junio de 2025</t>
        </is>
      </c>
      <c r="F3064" t="inlineStr">
        <is>
          <t>la Recarga y mantenimiento</t>
        </is>
      </c>
      <c r="G3064" t="n">
        <v>15</v>
      </c>
      <c r="H3064" t="inlineStr">
        <is>
          <t>06 KG</t>
        </is>
      </c>
      <c r="I3064" t="inlineStr">
        <is>
          <t>2028</t>
        </is>
      </c>
      <c r="J3064" t="n">
        <v>2009</v>
      </c>
      <c r="K3064" t="inlineStr">
        <is>
          <t>JUNIO 2025</t>
        </is>
      </c>
      <c r="L3064" t="inlineStr">
        <is>
          <t>JUNIO 2026</t>
        </is>
      </c>
      <c r="M3064" t="inlineStr">
        <is>
          <t>P.Q.S.  TIPO ABC  90% NACIONAL</t>
        </is>
      </c>
      <c r="N3064" t="inlineStr">
        <is>
          <t>367/001937</t>
        </is>
      </c>
      <c r="P3064">
        <f>TRIM(N3064)</f>
        <v/>
      </c>
    </row>
    <row r="3065">
      <c r="A3065" t="inlineStr">
        <is>
          <t>CO-002344</t>
        </is>
      </c>
      <c r="B3065" t="inlineStr">
        <is>
          <t xml:space="preserve">KEVIN REYNALDO VILLEGAS CAHUANA </t>
        </is>
      </c>
      <c r="C3065" t="inlineStr">
        <is>
          <t>10752858476</t>
        </is>
      </c>
      <c r="D3065" t="inlineStr">
        <is>
          <t>AV. SIEMPRE VIVA 161 - URB. SANTA ISABEL - CARABAYLLO</t>
        </is>
      </c>
      <c r="E3065" t="inlineStr">
        <is>
          <t>Lima, 05 de junio de 2025</t>
        </is>
      </c>
      <c r="F3065" t="inlineStr">
        <is>
          <t>la Recarga y mantenimiento</t>
        </is>
      </c>
      <c r="G3065" t="inlineStr">
        <is>
          <t>01</t>
        </is>
      </c>
      <c r="H3065" t="inlineStr">
        <is>
          <t>06 KG</t>
        </is>
      </c>
      <c r="I3065" t="inlineStr">
        <is>
          <t>2028</t>
        </is>
      </c>
      <c r="J3065" t="n">
        <v>2023</v>
      </c>
      <c r="K3065" t="inlineStr">
        <is>
          <t>JUNIO 2025</t>
        </is>
      </c>
      <c r="L3065" t="inlineStr">
        <is>
          <t>JUNIO 2026</t>
        </is>
      </c>
      <c r="M3065" t="inlineStr">
        <is>
          <t xml:space="preserve">P.Q.S.  TIPO ABC </t>
        </is>
      </c>
      <c r="N3065" t="inlineStr">
        <is>
          <t>01/002515</t>
        </is>
      </c>
      <c r="O3065" t="inlineStr">
        <is>
          <t>R</t>
        </is>
      </c>
      <c r="P3065">
        <f>TRIM(N3065)</f>
        <v/>
      </c>
    </row>
    <row r="3066">
      <c r="A3066" t="inlineStr">
        <is>
          <t>CO-002345</t>
        </is>
      </c>
      <c r="B3066" t="inlineStr">
        <is>
          <t>LISSETE LOURDES SANTOS SOTO</t>
        </is>
      </c>
      <c r="D3066" t="inlineStr">
        <is>
          <t xml:space="preserve">JR UNION 650 URB. PABLO VI , COMAS </t>
        </is>
      </c>
      <c r="E3066" t="inlineStr">
        <is>
          <t>Lima, 05 de junio de 2025</t>
        </is>
      </c>
      <c r="F3066" t="inlineStr">
        <is>
          <t>la Recarga y mantenimiento</t>
        </is>
      </c>
      <c r="G3066" t="inlineStr">
        <is>
          <t>01</t>
        </is>
      </c>
      <c r="H3066" t="inlineStr">
        <is>
          <t>04 KG</t>
        </is>
      </c>
      <c r="I3066" t="inlineStr">
        <is>
          <t>2029</t>
        </is>
      </c>
      <c r="J3066" t="n">
        <v>2016</v>
      </c>
      <c r="K3066" t="inlineStr">
        <is>
          <t>JUNIO 2025</t>
        </is>
      </c>
      <c r="L3066" t="inlineStr">
        <is>
          <t>JUNIO 2026</t>
        </is>
      </c>
      <c r="M3066" t="inlineStr">
        <is>
          <t xml:space="preserve">P.Q.S.  TIPO ABC </t>
        </is>
      </c>
      <c r="N3066" t="inlineStr">
        <is>
          <t>01/000276</t>
        </is>
      </c>
      <c r="O3066" t="inlineStr">
        <is>
          <t>R</t>
        </is>
      </c>
      <c r="P3066">
        <f>TRIM(N3066)</f>
        <v/>
      </c>
    </row>
    <row r="3067">
      <c r="A3067" t="inlineStr">
        <is>
          <t>CO-002346</t>
        </is>
      </c>
      <c r="B3067" t="inlineStr">
        <is>
          <t xml:space="preserve">KEVIN REYNALDO VILLEGAS CAHUANA </t>
        </is>
      </c>
      <c r="C3067" t="inlineStr">
        <is>
          <t>10752858476</t>
        </is>
      </c>
      <c r="D3067" t="inlineStr">
        <is>
          <t>AV. SIEMPRE VIVA 163 - URB. SANTA ISABEL - CARABAYLLO</t>
        </is>
      </c>
      <c r="E3067" t="inlineStr">
        <is>
          <t>Lima, 30 de Diciembre de 2024</t>
        </is>
      </c>
      <c r="F3067" t="inlineStr">
        <is>
          <t>la Recarga y mantenimiento</t>
        </is>
      </c>
      <c r="G3067" t="inlineStr">
        <is>
          <t>01</t>
        </is>
      </c>
      <c r="H3067" t="inlineStr">
        <is>
          <t>06 KG</t>
        </is>
      </c>
      <c r="I3067" t="inlineStr">
        <is>
          <t>2029</t>
        </is>
      </c>
      <c r="J3067" t="n">
        <v>2012</v>
      </c>
      <c r="K3067" t="inlineStr">
        <is>
          <t>DICIEMBRE 2024</t>
        </is>
      </c>
      <c r="L3067" t="inlineStr">
        <is>
          <t>DICIEMBRE 2025</t>
        </is>
      </c>
      <c r="M3067" t="inlineStr">
        <is>
          <t xml:space="preserve">P.Q.S.  TIPO ABC </t>
        </is>
      </c>
      <c r="N3067" t="inlineStr">
        <is>
          <t>01/001010</t>
        </is>
      </c>
      <c r="O3067" t="inlineStr">
        <is>
          <t>R</t>
        </is>
      </c>
      <c r="P3067">
        <f>TRIM(N3067)</f>
        <v/>
      </c>
    </row>
    <row r="3068">
      <c r="A3068" t="inlineStr">
        <is>
          <t>CO-002347</t>
        </is>
      </c>
      <c r="B3068" t="inlineStr">
        <is>
          <t xml:space="preserve">KEVIN REYNALDO VILLEGAS CAHUANA </t>
        </is>
      </c>
      <c r="C3068" t="inlineStr">
        <is>
          <t>10752858476</t>
        </is>
      </c>
      <c r="D3068" t="inlineStr">
        <is>
          <t>JR.. SIEMPRE VIVA MZ M-4 LOTE 1  URB. SANTA ISABEL - CARABAYLLO</t>
        </is>
      </c>
      <c r="E3068" t="inlineStr">
        <is>
          <t>Lima, 30 de Diciembre de 2024</t>
        </is>
      </c>
      <c r="F3068" t="inlineStr">
        <is>
          <t>la Recarga y mantenimiento</t>
        </is>
      </c>
      <c r="G3068" t="inlineStr">
        <is>
          <t>01</t>
        </is>
      </c>
      <c r="H3068" t="inlineStr">
        <is>
          <t>06 KG</t>
        </is>
      </c>
      <c r="I3068" t="inlineStr">
        <is>
          <t>2028</t>
        </is>
      </c>
      <c r="J3068" t="n">
        <v>2023</v>
      </c>
      <c r="K3068" t="inlineStr">
        <is>
          <t>DICIEMBRE 2024</t>
        </is>
      </c>
      <c r="L3068" t="inlineStr">
        <is>
          <t>DICIEMBRE 2025</t>
        </is>
      </c>
      <c r="M3068" t="inlineStr">
        <is>
          <t xml:space="preserve">P.Q.S.  TIPO ABC </t>
        </is>
      </c>
      <c r="N3068" t="inlineStr">
        <is>
          <t>02/010936</t>
        </is>
      </c>
      <c r="O3068" t="inlineStr">
        <is>
          <t>R</t>
        </is>
      </c>
      <c r="P3068">
        <f>TRIM(N3068)</f>
        <v/>
      </c>
    </row>
    <row r="3069">
      <c r="A3069" t="inlineStr">
        <is>
          <t>CO-002348</t>
        </is>
      </c>
      <c r="B3069" t="inlineStr">
        <is>
          <t>SUNAT - AREQUIPA - SEDE MOLLENDO</t>
        </is>
      </c>
      <c r="C3069" t="inlineStr">
        <is>
          <t>20131312955</t>
        </is>
      </c>
      <c r="D3069" t="inlineStr">
        <is>
          <t>Av. Tupac Amaru 102 Urb. Miramar</t>
        </is>
      </c>
      <c r="E3069" t="inlineStr">
        <is>
          <t>Lima, 09 de junio de 2025</t>
        </is>
      </c>
      <c r="F3069" t="inlineStr">
        <is>
          <t>la Recarga y mantenimiento</t>
        </is>
      </c>
      <c r="G3069" t="inlineStr">
        <is>
          <t>01</t>
        </is>
      </c>
      <c r="H3069" t="inlineStr">
        <is>
          <t>30 LBS</t>
        </is>
      </c>
      <c r="I3069" t="inlineStr">
        <is>
          <t>2026</t>
        </is>
      </c>
      <c r="J3069" t="n">
        <v>2013</v>
      </c>
      <c r="K3069" t="inlineStr">
        <is>
          <t>JUNIO 2025</t>
        </is>
      </c>
      <c r="L3069" t="inlineStr">
        <is>
          <t>JUNIO 2026</t>
        </is>
      </c>
      <c r="M3069" t="inlineStr">
        <is>
          <t>P.Q.S.  TIPO ABC AL 90% UL</t>
        </is>
      </c>
      <c r="N3069" t="inlineStr">
        <is>
          <t>45/BR572451</t>
        </is>
      </c>
      <c r="O3069" t="inlineStr">
        <is>
          <t>R</t>
        </is>
      </c>
      <c r="P3069">
        <f>TRIM(N3069)</f>
        <v/>
      </c>
    </row>
    <row r="3070">
      <c r="A3070" t="inlineStr">
        <is>
          <t>CO-002348</t>
        </is>
      </c>
      <c r="B3070" t="inlineStr">
        <is>
          <t>SUNAT - AREQUIPA - SEDE MOLLENDO</t>
        </is>
      </c>
      <c r="C3070" t="inlineStr">
        <is>
          <t>20131312955</t>
        </is>
      </c>
      <c r="D3070" t="inlineStr">
        <is>
          <t>Av. Tupac Amaru 102 Urb. Miramar</t>
        </is>
      </c>
      <c r="E3070" t="inlineStr">
        <is>
          <t>Lima, 09 de junio de 2025</t>
        </is>
      </c>
      <c r="F3070" t="inlineStr">
        <is>
          <t>la Recarga y mantenimiento</t>
        </is>
      </c>
      <c r="G3070" t="inlineStr">
        <is>
          <t>02</t>
        </is>
      </c>
      <c r="H3070" t="inlineStr">
        <is>
          <t>30 LBS</t>
        </is>
      </c>
      <c r="I3070" t="inlineStr">
        <is>
          <t>2026</t>
        </is>
      </c>
      <c r="J3070" t="n">
        <v>2013</v>
      </c>
      <c r="K3070" t="inlineStr">
        <is>
          <t>JUNIO 2025</t>
        </is>
      </c>
      <c r="L3070" t="inlineStr">
        <is>
          <t>JUNIO 2026</t>
        </is>
      </c>
      <c r="M3070" t="inlineStr">
        <is>
          <t>P.Q.S.  TIPO ABC AL 90% UL</t>
        </is>
      </c>
      <c r="N3070" t="inlineStr">
        <is>
          <t>13/BR574028</t>
        </is>
      </c>
      <c r="O3070" t="inlineStr">
        <is>
          <t>R</t>
        </is>
      </c>
      <c r="P3070">
        <f>TRIM(N3070)</f>
        <v/>
      </c>
    </row>
    <row r="3071">
      <c r="A3071" t="inlineStr">
        <is>
          <t>CO-002348</t>
        </is>
      </c>
      <c r="B3071" t="inlineStr">
        <is>
          <t>SUNAT - AREQUIPA - SEDE MOLLENDO</t>
        </is>
      </c>
      <c r="C3071" t="inlineStr">
        <is>
          <t>20131312955</t>
        </is>
      </c>
      <c r="D3071" t="inlineStr">
        <is>
          <t>Av. Tupac Amaru 102 Urb. Miramar</t>
        </is>
      </c>
      <c r="E3071" t="inlineStr">
        <is>
          <t>Lima, 09 de junio de 2025</t>
        </is>
      </c>
      <c r="F3071" t="inlineStr">
        <is>
          <t>la Recarga y mantenimiento</t>
        </is>
      </c>
      <c r="G3071" t="inlineStr">
        <is>
          <t>03</t>
        </is>
      </c>
      <c r="H3071" t="inlineStr">
        <is>
          <t>20 LBS</t>
        </is>
      </c>
      <c r="I3071" t="inlineStr">
        <is>
          <t>2027</t>
        </is>
      </c>
      <c r="J3071" t="n">
        <v>2010</v>
      </c>
      <c r="K3071" t="inlineStr">
        <is>
          <t>JUNIO 2025</t>
        </is>
      </c>
      <c r="L3071" t="inlineStr">
        <is>
          <t>JUNIO 2026</t>
        </is>
      </c>
      <c r="M3071" t="inlineStr">
        <is>
          <t>P.Q.S.  TIPO ABC AL 90% UL</t>
        </is>
      </c>
      <c r="N3071" t="inlineStr">
        <is>
          <t>49/M-179914</t>
        </is>
      </c>
      <c r="O3071" t="inlineStr">
        <is>
          <t>R</t>
        </is>
      </c>
      <c r="P3071">
        <f>TRIM(N3071)</f>
        <v/>
      </c>
    </row>
    <row r="3072">
      <c r="A3072" t="inlineStr">
        <is>
          <t>CO-002348</t>
        </is>
      </c>
      <c r="B3072" t="inlineStr">
        <is>
          <t>SUNAT - AREQUIPA - SEDE MOLLENDO</t>
        </is>
      </c>
      <c r="C3072" t="inlineStr">
        <is>
          <t>20131312955</t>
        </is>
      </c>
      <c r="D3072" t="inlineStr">
        <is>
          <t>Av. Tupac Amaru 102 Urb. Miramar</t>
        </is>
      </c>
      <c r="E3072" t="inlineStr">
        <is>
          <t>Lima, 09 de junio de 2025</t>
        </is>
      </c>
      <c r="F3072" t="inlineStr">
        <is>
          <t>la Recarga y mantenimiento</t>
        </is>
      </c>
      <c r="G3072" t="inlineStr">
        <is>
          <t>04</t>
        </is>
      </c>
      <c r="H3072" t="inlineStr">
        <is>
          <t>4 KG</t>
        </is>
      </c>
      <c r="I3072" t="inlineStr">
        <is>
          <t>2028</t>
        </is>
      </c>
      <c r="J3072" t="n">
        <v>2013</v>
      </c>
      <c r="K3072" t="inlineStr">
        <is>
          <t>JUNIO 2025</t>
        </is>
      </c>
      <c r="L3072" t="inlineStr">
        <is>
          <t>JUNIO 2026</t>
        </is>
      </c>
      <c r="M3072" t="inlineStr">
        <is>
          <t>P.Q.S.  TIPO ABC AL 90% UL</t>
        </is>
      </c>
      <c r="N3072" t="inlineStr">
        <is>
          <t>S/N/ 000398</t>
        </is>
      </c>
      <c r="O3072" t="inlineStr">
        <is>
          <t>R</t>
        </is>
      </c>
      <c r="P3072">
        <f>TRIM(N3072)</f>
        <v/>
      </c>
    </row>
    <row r="3073">
      <c r="A3073" t="inlineStr">
        <is>
          <t>CO-002349</t>
        </is>
      </c>
      <c r="B3073" t="inlineStr">
        <is>
          <t>LIZ FARMA De: Lizbeth Karina Lachira Fabian</t>
        </is>
      </c>
      <c r="D3073" t="inlineStr">
        <is>
          <t>AV. MANUEL PRADO S/N  MZ.J  LT. 18 -  PROG. VIV. SAN FRANCISCO DE CARABAYLLO</t>
        </is>
      </c>
      <c r="E3073" t="inlineStr">
        <is>
          <t>Lima, 17 de junio de 2025</t>
        </is>
      </c>
      <c r="F3073" t="inlineStr">
        <is>
          <t>la Recarga y mantenimiento</t>
        </is>
      </c>
      <c r="G3073" t="inlineStr">
        <is>
          <t>01</t>
        </is>
      </c>
      <c r="H3073" t="inlineStr">
        <is>
          <t>06 KG</t>
        </is>
      </c>
      <c r="I3073" t="inlineStr">
        <is>
          <t>2026</t>
        </is>
      </c>
      <c r="J3073" t="n">
        <v>2021</v>
      </c>
      <c r="K3073" t="inlineStr">
        <is>
          <t>JUNIO 2025</t>
        </is>
      </c>
      <c r="L3073" t="inlineStr">
        <is>
          <t>JUNIO 2026</t>
        </is>
      </c>
      <c r="M3073" t="inlineStr">
        <is>
          <t xml:space="preserve">P.Q.S.  TIPO ABC </t>
        </is>
      </c>
      <c r="N3073" t="inlineStr">
        <is>
          <t>01/262951</t>
        </is>
      </c>
      <c r="O3073" t="inlineStr">
        <is>
          <t>R</t>
        </is>
      </c>
      <c r="P3073">
        <f>TRIM(N3073)</f>
        <v/>
      </c>
    </row>
    <row r="3074">
      <c r="A3074" t="inlineStr">
        <is>
          <t>CO-002350</t>
        </is>
      </c>
      <c r="B3074" t="inlineStr">
        <is>
          <t xml:space="preserve">SUNAT - SEDE RIO SECO </t>
        </is>
      </c>
      <c r="C3074" t="inlineStr">
        <is>
          <t>20131312955</t>
        </is>
      </c>
      <c r="D3074" t="inlineStr">
        <is>
          <t xml:space="preserve">Altura del Km 8.5 de la Carretera Yura - Arequipa </t>
        </is>
      </c>
      <c r="E3074" t="inlineStr">
        <is>
          <t>Lima, 19 de junio de 2025</t>
        </is>
      </c>
      <c r="F3074" t="inlineStr">
        <is>
          <t>la Recarga y mantenimiento</t>
        </is>
      </c>
      <c r="G3074" t="inlineStr">
        <is>
          <t>01</t>
        </is>
      </c>
      <c r="H3074" t="inlineStr">
        <is>
          <t>2.5 GLS</t>
        </is>
      </c>
      <c r="I3074" t="inlineStr">
        <is>
          <t>2027</t>
        </is>
      </c>
      <c r="J3074" t="n">
        <v>2003</v>
      </c>
      <c r="K3074" t="inlineStr">
        <is>
          <t>JUNIO 2025</t>
        </is>
      </c>
      <c r="L3074" t="inlineStr">
        <is>
          <t>JUNIO 2026</t>
        </is>
      </c>
      <c r="M3074" t="inlineStr">
        <is>
          <t>H2O PRESURIZADA</t>
        </is>
      </c>
      <c r="N3074" t="inlineStr">
        <is>
          <t>39/S/N</t>
        </is>
      </c>
      <c r="O3074" t="inlineStr">
        <is>
          <t>R</t>
        </is>
      </c>
      <c r="P3074">
        <f>TRIM(N3074)</f>
        <v/>
      </c>
    </row>
    <row r="3075">
      <c r="A3075" t="inlineStr">
        <is>
          <t>CO-002350</t>
        </is>
      </c>
      <c r="B3075" t="inlineStr">
        <is>
          <t xml:space="preserve">SUNAT - SEDE RIO SECO </t>
        </is>
      </c>
      <c r="C3075" t="inlineStr">
        <is>
          <t>20131312955</t>
        </is>
      </c>
      <c r="D3075" t="inlineStr">
        <is>
          <t xml:space="preserve">Altura del Km 8.5 de la Carretera Yura - Arequipa </t>
        </is>
      </c>
      <c r="E3075" t="inlineStr">
        <is>
          <t>Lima, 19 de junio de 2025</t>
        </is>
      </c>
      <c r="F3075" t="inlineStr">
        <is>
          <t>la Recarga y mantenimiento</t>
        </is>
      </c>
      <c r="G3075" t="inlineStr">
        <is>
          <t>02</t>
        </is>
      </c>
      <c r="H3075" t="inlineStr">
        <is>
          <t>2.5 GLS</t>
        </is>
      </c>
      <c r="I3075" t="inlineStr">
        <is>
          <t>2026</t>
        </is>
      </c>
      <c r="J3075" t="n">
        <v>2003</v>
      </c>
      <c r="K3075" t="inlineStr">
        <is>
          <t>JUNIO 2025</t>
        </is>
      </c>
      <c r="L3075" t="inlineStr">
        <is>
          <t>JUNIO 2026</t>
        </is>
      </c>
      <c r="M3075" t="inlineStr">
        <is>
          <t>H2O PRESURIZADA</t>
        </is>
      </c>
      <c r="N3075" t="inlineStr">
        <is>
          <t>12/S/N</t>
        </is>
      </c>
      <c r="O3075" t="inlineStr">
        <is>
          <t>R</t>
        </is>
      </c>
      <c r="P3075">
        <f>TRIM(N3075)</f>
        <v/>
      </c>
    </row>
    <row r="3076">
      <c r="A3076" t="inlineStr">
        <is>
          <t>CO-002350</t>
        </is>
      </c>
      <c r="B3076" t="inlineStr">
        <is>
          <t xml:space="preserve">SUNAT - SEDE RIO SECO </t>
        </is>
      </c>
      <c r="C3076" t="inlineStr">
        <is>
          <t>20131312955</t>
        </is>
      </c>
      <c r="D3076" t="inlineStr">
        <is>
          <t xml:space="preserve">Altura del Km 8.5 de la Carretera Yura - Arequipa </t>
        </is>
      </c>
      <c r="E3076" t="inlineStr">
        <is>
          <t>Lima, 19 de junio de 2025</t>
        </is>
      </c>
      <c r="F3076" t="inlineStr">
        <is>
          <t>la Recarga y mantenimiento</t>
        </is>
      </c>
      <c r="G3076" t="inlineStr">
        <is>
          <t>03</t>
        </is>
      </c>
      <c r="H3076" t="inlineStr">
        <is>
          <t>30 LBS</t>
        </is>
      </c>
      <c r="I3076" t="n">
        <v>2028</v>
      </c>
      <c r="J3076" t="n">
        <v>2013</v>
      </c>
      <c r="K3076" t="inlineStr">
        <is>
          <t>JUNIO 2025</t>
        </is>
      </c>
      <c r="L3076" t="inlineStr">
        <is>
          <t>JUNIO 2026</t>
        </is>
      </c>
      <c r="M3076" t="inlineStr">
        <is>
          <t>PQS ABC 90%</t>
        </is>
      </c>
      <c r="N3076" t="inlineStr">
        <is>
          <t>16/BR574129</t>
        </is>
      </c>
      <c r="O3076" t="inlineStr">
        <is>
          <t>R</t>
        </is>
      </c>
      <c r="P3076">
        <f>TRIM(N3076)</f>
        <v/>
      </c>
    </row>
    <row r="3077">
      <c r="A3077" t="inlineStr">
        <is>
          <t>CO-002350</t>
        </is>
      </c>
      <c r="B3077" t="inlineStr">
        <is>
          <t xml:space="preserve">SUNAT - SEDE RIO SECO </t>
        </is>
      </c>
      <c r="C3077" t="inlineStr">
        <is>
          <t>20131312955</t>
        </is>
      </c>
      <c r="D3077" t="inlineStr">
        <is>
          <t xml:space="preserve">Altura del Km 8.5 de la Carretera Yura - Arequipa </t>
        </is>
      </c>
      <c r="E3077" t="inlineStr">
        <is>
          <t>Lima, 19 de junio de 2025</t>
        </is>
      </c>
      <c r="F3077" t="inlineStr">
        <is>
          <t>la Recarga y mantenimiento</t>
        </is>
      </c>
      <c r="G3077" t="inlineStr">
        <is>
          <t>04</t>
        </is>
      </c>
      <c r="H3077" t="inlineStr">
        <is>
          <t>10 LBS</t>
        </is>
      </c>
      <c r="I3077" t="n">
        <v>2027</v>
      </c>
      <c r="J3077" t="n">
        <v>2012</v>
      </c>
      <c r="K3077" t="inlineStr">
        <is>
          <t>JUNIO 2025</t>
        </is>
      </c>
      <c r="L3077" t="inlineStr">
        <is>
          <t>JUNIO 2026</t>
        </is>
      </c>
      <c r="M3077" t="inlineStr">
        <is>
          <t xml:space="preserve">CO2 TIPO BC </t>
        </is>
      </c>
      <c r="N3077" t="inlineStr">
        <is>
          <t>95/W894027</t>
        </is>
      </c>
      <c r="O3077" t="inlineStr">
        <is>
          <t>R</t>
        </is>
      </c>
      <c r="P3077">
        <f>TRIM(N3077)</f>
        <v/>
      </c>
    </row>
    <row r="3078">
      <c r="A3078" t="inlineStr">
        <is>
          <t>CO-002350</t>
        </is>
      </c>
      <c r="B3078" t="inlineStr">
        <is>
          <t xml:space="preserve">SUNAT - SEDE RIO SECO </t>
        </is>
      </c>
      <c r="C3078" t="inlineStr">
        <is>
          <t>20131312955</t>
        </is>
      </c>
      <c r="D3078" t="inlineStr">
        <is>
          <t xml:space="preserve">Altura del Km 8.5 de la Carretera Yura - Arequipa </t>
        </is>
      </c>
      <c r="E3078" t="inlineStr">
        <is>
          <t>Lima, 19 de junio de 2025</t>
        </is>
      </c>
      <c r="F3078" t="inlineStr">
        <is>
          <t>la Recarga y mantenimiento</t>
        </is>
      </c>
      <c r="G3078" t="inlineStr">
        <is>
          <t>05</t>
        </is>
      </c>
      <c r="H3078" t="inlineStr">
        <is>
          <t>10 LBS</t>
        </is>
      </c>
      <c r="I3078" t="n">
        <v>2027</v>
      </c>
      <c r="J3078" t="n">
        <v>2015</v>
      </c>
      <c r="K3078" t="inlineStr">
        <is>
          <t>JUNIO 2025</t>
        </is>
      </c>
      <c r="L3078" t="inlineStr">
        <is>
          <t>JUNIO 2026</t>
        </is>
      </c>
      <c r="M3078" t="inlineStr">
        <is>
          <t xml:space="preserve">CO2 TIPO BC </t>
        </is>
      </c>
      <c r="N3078" t="inlineStr">
        <is>
          <t>97/W219903</t>
        </is>
      </c>
      <c r="O3078" t="inlineStr">
        <is>
          <t>R</t>
        </is>
      </c>
      <c r="P3078">
        <f>TRIM(N3078)</f>
        <v/>
      </c>
    </row>
    <row r="3079">
      <c r="A3079" t="inlineStr">
        <is>
          <t>CO-002350</t>
        </is>
      </c>
      <c r="B3079" t="inlineStr">
        <is>
          <t xml:space="preserve">SUNAT - SEDE RIO SECO </t>
        </is>
      </c>
      <c r="C3079" t="inlineStr">
        <is>
          <t>20131312955</t>
        </is>
      </c>
      <c r="D3079" t="inlineStr">
        <is>
          <t xml:space="preserve">Altura del Km 8.5 de la Carretera Yura - Arequipa </t>
        </is>
      </c>
      <c r="E3079" t="inlineStr">
        <is>
          <t>Lima, 19 de junio de 2025</t>
        </is>
      </c>
      <c r="F3079" t="inlineStr">
        <is>
          <t>la Recarga y mantenimiento</t>
        </is>
      </c>
      <c r="G3079" t="inlineStr">
        <is>
          <t>06</t>
        </is>
      </c>
      <c r="H3079" t="inlineStr">
        <is>
          <t>10 LBS</t>
        </is>
      </c>
      <c r="I3079" t="n">
        <v>2027</v>
      </c>
      <c r="J3079" t="n">
        <v>2015</v>
      </c>
      <c r="K3079" t="inlineStr">
        <is>
          <t>JUNIO 2025</t>
        </is>
      </c>
      <c r="L3079" t="inlineStr">
        <is>
          <t>JUNIO 2026</t>
        </is>
      </c>
      <c r="M3079" t="inlineStr">
        <is>
          <t xml:space="preserve">CO2 TIPO BC </t>
        </is>
      </c>
      <c r="N3079" t="inlineStr">
        <is>
          <t>98/W219977</t>
        </is>
      </c>
      <c r="O3079" t="inlineStr">
        <is>
          <t>R</t>
        </is>
      </c>
      <c r="P3079">
        <f>TRIM(N3079)</f>
        <v/>
      </c>
    </row>
    <row r="3080">
      <c r="A3080" t="inlineStr">
        <is>
          <t>CO-002350</t>
        </is>
      </c>
      <c r="B3080" t="inlineStr">
        <is>
          <t xml:space="preserve">SUNAT - SEDE RIO SECO </t>
        </is>
      </c>
      <c r="C3080" t="inlineStr">
        <is>
          <t>20131312955</t>
        </is>
      </c>
      <c r="D3080" t="inlineStr">
        <is>
          <t xml:space="preserve">Altura del Km 8.5 de la Carretera Yura - Arequipa </t>
        </is>
      </c>
      <c r="E3080" t="inlineStr">
        <is>
          <t>Lima, 19 de junio de 2025</t>
        </is>
      </c>
      <c r="F3080" t="inlineStr">
        <is>
          <t>la Recarga y mantenimiento</t>
        </is>
      </c>
      <c r="G3080" t="inlineStr">
        <is>
          <t>07</t>
        </is>
      </c>
      <c r="H3080" t="inlineStr">
        <is>
          <t>06 KG</t>
        </is>
      </c>
      <c r="I3080" t="n">
        <v>2027</v>
      </c>
      <c r="J3080" t="n">
        <v>2012</v>
      </c>
      <c r="K3080" t="inlineStr">
        <is>
          <t>JUNIO 2025</t>
        </is>
      </c>
      <c r="L3080" t="inlineStr">
        <is>
          <t>JUNIO 2026</t>
        </is>
      </c>
      <c r="M3080" t="inlineStr">
        <is>
          <t xml:space="preserve">PQS TIPO ABC </t>
        </is>
      </c>
      <c r="N3080" t="inlineStr">
        <is>
          <t>03/002333</t>
        </is>
      </c>
      <c r="O3080" t="inlineStr">
        <is>
          <t>R</t>
        </is>
      </c>
      <c r="P3080">
        <f>TRIM(N3080)</f>
        <v/>
      </c>
    </row>
    <row r="3081">
      <c r="A3081" t="inlineStr">
        <is>
          <t>CO-002350</t>
        </is>
      </c>
      <c r="B3081" t="inlineStr">
        <is>
          <t xml:space="preserve">SUNAT - SEDE RIO SECO </t>
        </is>
      </c>
      <c r="C3081" t="inlineStr">
        <is>
          <t>20131312955</t>
        </is>
      </c>
      <c r="D3081" t="inlineStr">
        <is>
          <t xml:space="preserve">Altura del Km 8.5 de la Carretera Yura - Arequipa </t>
        </is>
      </c>
      <c r="E3081" t="inlineStr">
        <is>
          <t>Lima, 19 de junio de 2025</t>
        </is>
      </c>
      <c r="F3081" t="inlineStr">
        <is>
          <t>la Recarga y mantenimiento</t>
        </is>
      </c>
      <c r="G3081" t="inlineStr">
        <is>
          <t>08</t>
        </is>
      </c>
      <c r="H3081" t="inlineStr">
        <is>
          <t>06 KG</t>
        </is>
      </c>
      <c r="I3081" t="n">
        <v>2027</v>
      </c>
      <c r="J3081" t="n">
        <v>2011</v>
      </c>
      <c r="K3081" t="inlineStr">
        <is>
          <t>JUNIO 2025</t>
        </is>
      </c>
      <c r="L3081" t="inlineStr">
        <is>
          <t>JUNIO 2026</t>
        </is>
      </c>
      <c r="M3081" t="inlineStr">
        <is>
          <t xml:space="preserve">PQS TIPO ABC </t>
        </is>
      </c>
      <c r="N3081" t="inlineStr">
        <is>
          <t>01/001575</t>
        </is>
      </c>
      <c r="O3081" t="inlineStr">
        <is>
          <t>R</t>
        </is>
      </c>
      <c r="P3081">
        <f>TRIM(N3081)</f>
        <v/>
      </c>
    </row>
    <row r="3082">
      <c r="A3082" t="inlineStr">
        <is>
          <t>CO-002350</t>
        </is>
      </c>
      <c r="B3082" t="inlineStr">
        <is>
          <t xml:space="preserve">SUNAT - SEDE RIO SECO </t>
        </is>
      </c>
      <c r="C3082" t="inlineStr">
        <is>
          <t>20131312955</t>
        </is>
      </c>
      <c r="D3082" t="inlineStr">
        <is>
          <t xml:space="preserve">Altura del Km 8.5 de la Carretera Yura - Arequipa </t>
        </is>
      </c>
      <c r="E3082" t="inlineStr">
        <is>
          <t>Lima, 19 de junio de 2025</t>
        </is>
      </c>
      <c r="F3082" t="inlineStr">
        <is>
          <t>la Recarga y mantenimiento</t>
        </is>
      </c>
      <c r="G3082" t="inlineStr">
        <is>
          <t>09</t>
        </is>
      </c>
      <c r="H3082" t="inlineStr">
        <is>
          <t>06 KG</t>
        </is>
      </c>
      <c r="I3082" t="n">
        <v>2027</v>
      </c>
      <c r="J3082" t="n">
        <v>2011</v>
      </c>
      <c r="K3082" t="inlineStr">
        <is>
          <t>JUNIO 2025</t>
        </is>
      </c>
      <c r="L3082" t="inlineStr">
        <is>
          <t>JUNIO 2026</t>
        </is>
      </c>
      <c r="M3082" t="inlineStr">
        <is>
          <t xml:space="preserve">PQS TIPO ABC </t>
        </is>
      </c>
      <c r="N3082" t="inlineStr">
        <is>
          <t>S/N/624</t>
        </is>
      </c>
      <c r="O3082" t="inlineStr">
        <is>
          <t>R</t>
        </is>
      </c>
      <c r="P3082">
        <f>TRIM(N3082)</f>
        <v/>
      </c>
    </row>
    <row r="3083">
      <c r="A3083" t="inlineStr">
        <is>
          <t>CO-002350</t>
        </is>
      </c>
      <c r="B3083" t="inlineStr">
        <is>
          <t xml:space="preserve">SUNAT - SEDE RIO SECO </t>
        </is>
      </c>
      <c r="C3083" t="inlineStr">
        <is>
          <t>20131312955</t>
        </is>
      </c>
      <c r="D3083" t="inlineStr">
        <is>
          <t xml:space="preserve">Altura del Km 8.5 de la Carretera Yura - Arequipa </t>
        </is>
      </c>
      <c r="E3083" t="inlineStr">
        <is>
          <t>Lima, 19 de junio de 2025</t>
        </is>
      </c>
      <c r="F3083" t="inlineStr">
        <is>
          <t>la Recarga y mantenimiento</t>
        </is>
      </c>
      <c r="G3083" t="n">
        <v>10</v>
      </c>
      <c r="H3083" t="inlineStr">
        <is>
          <t>10 LBS</t>
        </is>
      </c>
      <c r="I3083" t="n">
        <v>2030</v>
      </c>
      <c r="J3083" t="n">
        <v>2008</v>
      </c>
      <c r="K3083" t="inlineStr">
        <is>
          <t>JUNIO 2025</t>
        </is>
      </c>
      <c r="L3083" t="inlineStr">
        <is>
          <t>JUNIO 2026</t>
        </is>
      </c>
      <c r="M3083" t="inlineStr">
        <is>
          <t xml:space="preserve">PQS TIPO ABC </t>
        </is>
      </c>
      <c r="N3083" t="inlineStr">
        <is>
          <t>115/ZV-225203</t>
        </is>
      </c>
      <c r="O3083" t="inlineStr">
        <is>
          <t>R</t>
        </is>
      </c>
      <c r="P3083">
        <f>TRIM(N3083)</f>
        <v/>
      </c>
    </row>
    <row r="3084">
      <c r="A3084" t="inlineStr">
        <is>
          <t>CO-002350</t>
        </is>
      </c>
      <c r="B3084" t="inlineStr">
        <is>
          <t xml:space="preserve">SUNAT - SEDE RIO SECO </t>
        </is>
      </c>
      <c r="C3084" t="inlineStr">
        <is>
          <t>20131312955</t>
        </is>
      </c>
      <c r="D3084" t="inlineStr">
        <is>
          <t xml:space="preserve">Altura del Km 8.5 de la Carretera Yura - Arequipa </t>
        </is>
      </c>
      <c r="E3084" t="inlineStr">
        <is>
          <t>Lima, 19 de junio de 2025</t>
        </is>
      </c>
      <c r="F3084" t="inlineStr">
        <is>
          <t>la Recarga y mantenimiento</t>
        </is>
      </c>
      <c r="G3084" t="n">
        <v>11</v>
      </c>
      <c r="H3084" t="inlineStr">
        <is>
          <t>04 KG</t>
        </is>
      </c>
      <c r="I3084" t="n">
        <v>2027</v>
      </c>
      <c r="J3084" t="n">
        <v>2010</v>
      </c>
      <c r="K3084" t="inlineStr">
        <is>
          <t>JUNIO 2025</t>
        </is>
      </c>
      <c r="L3084" t="inlineStr">
        <is>
          <t>JUNIO 2026</t>
        </is>
      </c>
      <c r="M3084" t="inlineStr">
        <is>
          <t>PQS ABC 90%</t>
        </is>
      </c>
      <c r="N3084" t="inlineStr">
        <is>
          <t>S/N/001235</t>
        </is>
      </c>
      <c r="O3084" t="inlineStr">
        <is>
          <t>R</t>
        </is>
      </c>
      <c r="P3084">
        <f>TRIM(N3084)</f>
        <v/>
      </c>
    </row>
    <row r="3085">
      <c r="A3085" t="inlineStr">
        <is>
          <t>CO-002351</t>
        </is>
      </c>
      <c r="B3085" t="inlineStr">
        <is>
          <t xml:space="preserve">SUNAT - SEDE MERCADERES </t>
        </is>
      </c>
      <c r="C3085" t="inlineStr">
        <is>
          <t>20131312955</t>
        </is>
      </c>
      <c r="D3085" t="inlineStr">
        <is>
          <t>Mercaderes 201 y Jerusalen 100-102</t>
        </is>
      </c>
      <c r="E3085" t="inlineStr">
        <is>
          <t>Lima, 19 de junio de 2025</t>
        </is>
      </c>
      <c r="F3085" t="inlineStr">
        <is>
          <t>la Recarga y mantenimiento</t>
        </is>
      </c>
      <c r="G3085" t="inlineStr">
        <is>
          <t>01</t>
        </is>
      </c>
      <c r="H3085" t="inlineStr">
        <is>
          <t>02 KG</t>
        </is>
      </c>
      <c r="I3085" t="inlineStr">
        <is>
          <t>2028</t>
        </is>
      </c>
      <c r="J3085" t="n">
        <v>2013</v>
      </c>
      <c r="K3085" t="inlineStr">
        <is>
          <t>JUNIO 2025</t>
        </is>
      </c>
      <c r="L3085" t="inlineStr">
        <is>
          <t>JUNIO 2026</t>
        </is>
      </c>
      <c r="M3085" t="inlineStr">
        <is>
          <t>PQS ABC 90%</t>
        </is>
      </c>
      <c r="N3085" t="inlineStr">
        <is>
          <t>32/S/N</t>
        </is>
      </c>
      <c r="O3085" t="inlineStr">
        <is>
          <t>R</t>
        </is>
      </c>
      <c r="P3085">
        <f>TRIM(N3085)</f>
        <v/>
      </c>
    </row>
    <row r="3086">
      <c r="A3086" t="inlineStr">
        <is>
          <t>CO-002351</t>
        </is>
      </c>
      <c r="B3086" t="inlineStr">
        <is>
          <t xml:space="preserve">SUNAT - SEDE MERCADERES </t>
        </is>
      </c>
      <c r="C3086" t="inlineStr">
        <is>
          <t>20131312955</t>
        </is>
      </c>
      <c r="D3086" t="inlineStr">
        <is>
          <t>Mercaderes 201 y Jerusalen 100-102</t>
        </is>
      </c>
      <c r="E3086" t="inlineStr">
        <is>
          <t>Lima, 19 de junio de 2025</t>
        </is>
      </c>
      <c r="F3086" t="inlineStr">
        <is>
          <t>la Recarga y mantenimiento</t>
        </is>
      </c>
      <c r="G3086" t="inlineStr">
        <is>
          <t>02</t>
        </is>
      </c>
      <c r="H3086" t="inlineStr">
        <is>
          <t>02 KG</t>
        </is>
      </c>
      <c r="I3086" t="inlineStr">
        <is>
          <t>2028</t>
        </is>
      </c>
      <c r="J3086" t="n">
        <v>2022</v>
      </c>
      <c r="K3086" t="inlineStr">
        <is>
          <t>JUNIO 2025</t>
        </is>
      </c>
      <c r="L3086" t="inlineStr">
        <is>
          <t>JUNIO 2026</t>
        </is>
      </c>
      <c r="M3086" t="inlineStr">
        <is>
          <t>PQS ABC 90%</t>
        </is>
      </c>
      <c r="N3086" t="inlineStr">
        <is>
          <t>31/000675</t>
        </is>
      </c>
      <c r="O3086" t="inlineStr">
        <is>
          <t>R</t>
        </is>
      </c>
      <c r="P3086">
        <f>TRIM(N3086)</f>
        <v/>
      </c>
    </row>
    <row r="3087">
      <c r="A3087" t="inlineStr">
        <is>
          <t>CO-002351</t>
        </is>
      </c>
      <c r="B3087" t="inlineStr">
        <is>
          <t xml:space="preserve">SUNAT - SEDE MERCADERES </t>
        </is>
      </c>
      <c r="C3087" t="inlineStr">
        <is>
          <t>20131312955</t>
        </is>
      </c>
      <c r="D3087" t="inlineStr">
        <is>
          <t>Mercaderes 201 y Jerusalen 100-102</t>
        </is>
      </c>
      <c r="E3087" t="inlineStr">
        <is>
          <t>Lima, 19 de junio de 2025</t>
        </is>
      </c>
      <c r="F3087" t="inlineStr">
        <is>
          <t>la Recarga y mantenimiento</t>
        </is>
      </c>
      <c r="G3087" t="inlineStr">
        <is>
          <t>03</t>
        </is>
      </c>
      <c r="H3087" t="inlineStr">
        <is>
          <t>02 KG</t>
        </is>
      </c>
      <c r="I3087" t="inlineStr">
        <is>
          <t>2028</t>
        </is>
      </c>
      <c r="J3087" t="n">
        <v>2022</v>
      </c>
      <c r="K3087" t="inlineStr">
        <is>
          <t>JUNIO 2025</t>
        </is>
      </c>
      <c r="L3087" t="inlineStr">
        <is>
          <t>JUNIO 2026</t>
        </is>
      </c>
      <c r="M3087" t="inlineStr">
        <is>
          <t>PQS ABC 90%</t>
        </is>
      </c>
      <c r="N3087" t="inlineStr">
        <is>
          <t>30/000549</t>
        </is>
      </c>
      <c r="O3087" t="inlineStr">
        <is>
          <t>R</t>
        </is>
      </c>
      <c r="P3087">
        <f>TRIM(N3087)</f>
        <v/>
      </c>
    </row>
    <row r="3088">
      <c r="A3088" t="inlineStr">
        <is>
          <t>CO-002351</t>
        </is>
      </c>
      <c r="B3088" t="inlineStr">
        <is>
          <t xml:space="preserve">SUNAT - SEDE MERCADERES </t>
        </is>
      </c>
      <c r="C3088" t="inlineStr">
        <is>
          <t>20131312955</t>
        </is>
      </c>
      <c r="D3088" t="inlineStr">
        <is>
          <t>Mercaderes 201 y Jerusalen 100-102</t>
        </is>
      </c>
      <c r="E3088" t="inlineStr">
        <is>
          <t>Lima, 19 de junio de 2025</t>
        </is>
      </c>
      <c r="F3088" t="inlineStr">
        <is>
          <t>la Recarga y mantenimiento</t>
        </is>
      </c>
      <c r="G3088" t="inlineStr">
        <is>
          <t>04</t>
        </is>
      </c>
      <c r="H3088" t="inlineStr">
        <is>
          <t>02 KG</t>
        </is>
      </c>
      <c r="I3088" t="inlineStr">
        <is>
          <t>2028</t>
        </is>
      </c>
      <c r="J3088" t="n">
        <v>2022</v>
      </c>
      <c r="K3088" t="inlineStr">
        <is>
          <t>JUNIO 2025</t>
        </is>
      </c>
      <c r="L3088" t="inlineStr">
        <is>
          <t>JUNIO 2026</t>
        </is>
      </c>
      <c r="M3088" t="inlineStr">
        <is>
          <t>PQS ABC 90%</t>
        </is>
      </c>
      <c r="N3088" t="inlineStr">
        <is>
          <t>S/N/00811</t>
        </is>
      </c>
      <c r="O3088" t="inlineStr">
        <is>
          <t>R</t>
        </is>
      </c>
      <c r="P3088">
        <f>TRIM(N3088)</f>
        <v/>
      </c>
    </row>
    <row r="3089">
      <c r="A3089" t="inlineStr">
        <is>
          <t>CO-002351</t>
        </is>
      </c>
      <c r="B3089" t="inlineStr">
        <is>
          <t xml:space="preserve">SUNAT - SEDE MERCADERES </t>
        </is>
      </c>
      <c r="C3089" t="inlineStr">
        <is>
          <t>20131312955</t>
        </is>
      </c>
      <c r="D3089" t="inlineStr">
        <is>
          <t>Mercaderes 201 y Jerusalen 100-102</t>
        </is>
      </c>
      <c r="E3089" t="inlineStr">
        <is>
          <t>Lima, 19 de junio de 2025</t>
        </is>
      </c>
      <c r="F3089" t="inlineStr">
        <is>
          <t>la Recarga y mantenimiento</t>
        </is>
      </c>
      <c r="G3089" t="inlineStr">
        <is>
          <t>05</t>
        </is>
      </c>
      <c r="H3089" t="inlineStr">
        <is>
          <t>02 KG</t>
        </is>
      </c>
      <c r="I3089" t="inlineStr">
        <is>
          <t>2028</t>
        </is>
      </c>
      <c r="J3089" t="n">
        <v>2022</v>
      </c>
      <c r="K3089" t="inlineStr">
        <is>
          <t>JUNIO 2025</t>
        </is>
      </c>
      <c r="L3089" t="inlineStr">
        <is>
          <t>JUNIO 2026</t>
        </is>
      </c>
      <c r="M3089" t="inlineStr">
        <is>
          <t>PQS ABC 90%</t>
        </is>
      </c>
      <c r="N3089" t="inlineStr">
        <is>
          <t>29/000579</t>
        </is>
      </c>
      <c r="O3089" t="inlineStr">
        <is>
          <t>R</t>
        </is>
      </c>
      <c r="P3089">
        <f>TRIM(N3089)</f>
        <v/>
      </c>
    </row>
    <row r="3090">
      <c r="A3090" t="inlineStr">
        <is>
          <t>CO-002351</t>
        </is>
      </c>
      <c r="B3090" t="inlineStr">
        <is>
          <t xml:space="preserve">SUNAT - SEDE MERCADERES </t>
        </is>
      </c>
      <c r="C3090" t="inlineStr">
        <is>
          <t>20131312955</t>
        </is>
      </c>
      <c r="D3090" t="inlineStr">
        <is>
          <t>Mercaderes 201 y Jerusalen 100-102</t>
        </is>
      </c>
      <c r="E3090" t="inlineStr">
        <is>
          <t>Lima, 19 de junio de 2025</t>
        </is>
      </c>
      <c r="F3090" t="inlineStr">
        <is>
          <t>la Recarga y mantenimiento</t>
        </is>
      </c>
      <c r="G3090" t="inlineStr">
        <is>
          <t>06</t>
        </is>
      </c>
      <c r="H3090" t="inlineStr">
        <is>
          <t>10 LBS</t>
        </is>
      </c>
      <c r="I3090" t="n">
        <v>2029</v>
      </c>
      <c r="J3090" t="n">
        <v>2014</v>
      </c>
      <c r="K3090" t="inlineStr">
        <is>
          <t>JUNIO 2025</t>
        </is>
      </c>
      <c r="L3090" t="inlineStr">
        <is>
          <t>JUNIO 2026</t>
        </is>
      </c>
      <c r="M3090" t="inlineStr">
        <is>
          <t xml:space="preserve">CO2 TIPO BC </t>
        </is>
      </c>
      <c r="N3090" t="inlineStr">
        <is>
          <t>28/A-34185232</t>
        </is>
      </c>
      <c r="O3090" t="inlineStr">
        <is>
          <t>R</t>
        </is>
      </c>
      <c r="P3090">
        <f>TRIM(N3090)</f>
        <v/>
      </c>
    </row>
    <row r="3091">
      <c r="A3091" t="inlineStr">
        <is>
          <t>CO-002351</t>
        </is>
      </c>
      <c r="B3091" t="inlineStr">
        <is>
          <t xml:space="preserve">SUNAT - SEDE MERCADERES </t>
        </is>
      </c>
      <c r="C3091" t="inlineStr">
        <is>
          <t>20131312955</t>
        </is>
      </c>
      <c r="D3091" t="inlineStr">
        <is>
          <t>Mercaderes 201 y Jerusalen 100-102</t>
        </is>
      </c>
      <c r="E3091" t="inlineStr">
        <is>
          <t>Lima, 19 de junio de 2025</t>
        </is>
      </c>
      <c r="F3091" t="inlineStr">
        <is>
          <t>la Recarga y mantenimiento</t>
        </is>
      </c>
      <c r="G3091" t="inlineStr">
        <is>
          <t>07</t>
        </is>
      </c>
      <c r="H3091" t="inlineStr">
        <is>
          <t>06 KG</t>
        </is>
      </c>
      <c r="I3091" t="n">
        <v>2027</v>
      </c>
      <c r="J3091" t="n">
        <v>2016</v>
      </c>
      <c r="K3091" t="inlineStr">
        <is>
          <t>JUNIO 2025</t>
        </is>
      </c>
      <c r="L3091" t="inlineStr">
        <is>
          <t>JUNIO 2026</t>
        </is>
      </c>
      <c r="M3091" t="inlineStr">
        <is>
          <t xml:space="preserve">CO2 TIPO BC </t>
        </is>
      </c>
      <c r="N3091" t="inlineStr">
        <is>
          <t>27/000213</t>
        </is>
      </c>
      <c r="O3091" t="inlineStr">
        <is>
          <t>R</t>
        </is>
      </c>
      <c r="P3091">
        <f>TRIM(N3091)</f>
        <v/>
      </c>
    </row>
    <row r="3092">
      <c r="A3092" t="inlineStr">
        <is>
          <t>CO-002351</t>
        </is>
      </c>
      <c r="B3092" t="inlineStr">
        <is>
          <t xml:space="preserve">SUNAT - SEDE MERCADERES </t>
        </is>
      </c>
      <c r="C3092" t="inlineStr">
        <is>
          <t>20131312955</t>
        </is>
      </c>
      <c r="D3092" t="inlineStr">
        <is>
          <t>Mercaderes 201 y Jerusalen 100-102</t>
        </is>
      </c>
      <c r="E3092" t="inlineStr">
        <is>
          <t>Lima, 19 de junio de 2025</t>
        </is>
      </c>
      <c r="F3092" t="inlineStr">
        <is>
          <t>la Recarga y mantenimiento</t>
        </is>
      </c>
      <c r="G3092" t="inlineStr">
        <is>
          <t>08</t>
        </is>
      </c>
      <c r="H3092" t="inlineStr">
        <is>
          <t>06 KG</t>
        </is>
      </c>
      <c r="I3092" t="n">
        <v>2027</v>
      </c>
      <c r="J3092" t="n">
        <v>2016</v>
      </c>
      <c r="K3092" t="inlineStr">
        <is>
          <t>JUNIO 2025</t>
        </is>
      </c>
      <c r="L3092" t="inlineStr">
        <is>
          <t>JUNIO 2026</t>
        </is>
      </c>
      <c r="M3092" t="inlineStr">
        <is>
          <t xml:space="preserve">CO2 TIPO BC </t>
        </is>
      </c>
      <c r="N3092" t="inlineStr">
        <is>
          <t>26/000279</t>
        </is>
      </c>
      <c r="O3092" t="inlineStr">
        <is>
          <t>R</t>
        </is>
      </c>
      <c r="P3092">
        <f>TRIM(N3092)</f>
        <v/>
      </c>
    </row>
    <row r="3093">
      <c r="A3093" t="inlineStr">
        <is>
          <t>CO-002351</t>
        </is>
      </c>
      <c r="B3093" t="inlineStr">
        <is>
          <t xml:space="preserve">SUNAT - SEDE MERCADERES </t>
        </is>
      </c>
      <c r="C3093" t="inlineStr">
        <is>
          <t>20131312955</t>
        </is>
      </c>
      <c r="D3093" t="inlineStr">
        <is>
          <t>Mercaderes 201 y Jerusalen 100-102</t>
        </is>
      </c>
      <c r="E3093" t="inlineStr">
        <is>
          <t>Lima, 19 de junio de 2025</t>
        </is>
      </c>
      <c r="F3093" t="inlineStr">
        <is>
          <t>la Recarga y mantenimiento</t>
        </is>
      </c>
      <c r="G3093" t="inlineStr">
        <is>
          <t>09</t>
        </is>
      </c>
      <c r="H3093" t="inlineStr">
        <is>
          <t>06 KG</t>
        </is>
      </c>
      <c r="I3093" t="n">
        <v>2027</v>
      </c>
      <c r="J3093" t="n">
        <v>2016</v>
      </c>
      <c r="K3093" t="inlineStr">
        <is>
          <t>JUNIO 2025</t>
        </is>
      </c>
      <c r="L3093" t="inlineStr">
        <is>
          <t>JUNIO 2026</t>
        </is>
      </c>
      <c r="M3093" t="inlineStr">
        <is>
          <t xml:space="preserve">CO2 TIPO BC </t>
        </is>
      </c>
      <c r="N3093" t="inlineStr">
        <is>
          <t>25/000326</t>
        </is>
      </c>
      <c r="O3093" t="inlineStr">
        <is>
          <t>R</t>
        </is>
      </c>
      <c r="P3093">
        <f>TRIM(N3093)</f>
        <v/>
      </c>
    </row>
    <row r="3094">
      <c r="A3094" t="inlineStr">
        <is>
          <t>CO-002351</t>
        </is>
      </c>
      <c r="B3094" t="inlineStr">
        <is>
          <t xml:space="preserve">SUNAT - SEDE MERCADERES </t>
        </is>
      </c>
      <c r="C3094" t="inlineStr">
        <is>
          <t>20131312955</t>
        </is>
      </c>
      <c r="D3094" t="inlineStr">
        <is>
          <t>Mercaderes 201 y Jerusalen 100-102</t>
        </is>
      </c>
      <c r="E3094" t="inlineStr">
        <is>
          <t>Lima, 19 de junio de 2025</t>
        </is>
      </c>
      <c r="F3094" t="inlineStr">
        <is>
          <t>la Recarga y mantenimiento</t>
        </is>
      </c>
      <c r="G3094" t="n">
        <v>10</v>
      </c>
      <c r="H3094" t="inlineStr">
        <is>
          <t>06 KG</t>
        </is>
      </c>
      <c r="I3094" t="n">
        <v>2027</v>
      </c>
      <c r="J3094" t="n">
        <v>2016</v>
      </c>
      <c r="K3094" t="inlineStr">
        <is>
          <t>JUNIO 2025</t>
        </is>
      </c>
      <c r="L3094" t="inlineStr">
        <is>
          <t>JUNIO 2026</t>
        </is>
      </c>
      <c r="M3094" t="inlineStr">
        <is>
          <t xml:space="preserve">CO2 TIPO BC </t>
        </is>
      </c>
      <c r="N3094" t="inlineStr">
        <is>
          <t>24/000232</t>
        </is>
      </c>
      <c r="O3094" t="inlineStr">
        <is>
          <t>R</t>
        </is>
      </c>
      <c r="P3094">
        <f>TRIM(N3094)</f>
        <v/>
      </c>
    </row>
    <row r="3095">
      <c r="A3095" t="inlineStr">
        <is>
          <t>CO-002351</t>
        </is>
      </c>
      <c r="B3095" t="inlineStr">
        <is>
          <t xml:space="preserve">SUNAT - SEDE MERCADERES </t>
        </is>
      </c>
      <c r="C3095" t="inlineStr">
        <is>
          <t>20131312955</t>
        </is>
      </c>
      <c r="D3095" t="inlineStr">
        <is>
          <t>Mercaderes 201 y Jerusalen 100-102</t>
        </is>
      </c>
      <c r="E3095" t="inlineStr">
        <is>
          <t>Lima, 19 de junio de 2025</t>
        </is>
      </c>
      <c r="F3095" t="inlineStr">
        <is>
          <t>la Recarga y mantenimiento</t>
        </is>
      </c>
      <c r="G3095" t="n">
        <v>11</v>
      </c>
      <c r="H3095" t="inlineStr">
        <is>
          <t>06 KG</t>
        </is>
      </c>
      <c r="I3095" t="n">
        <v>2026</v>
      </c>
      <c r="J3095" t="n">
        <v>2016</v>
      </c>
      <c r="K3095" t="inlineStr">
        <is>
          <t>JUNIO 2025</t>
        </is>
      </c>
      <c r="L3095" t="inlineStr">
        <is>
          <t>JUNIO 2026</t>
        </is>
      </c>
      <c r="M3095" t="inlineStr">
        <is>
          <t>PQS ABC 90%</t>
        </is>
      </c>
      <c r="N3095" t="inlineStr">
        <is>
          <t>19/000622</t>
        </is>
      </c>
      <c r="O3095" t="inlineStr">
        <is>
          <t>R</t>
        </is>
      </c>
      <c r="P3095">
        <f>TRIM(N3095)</f>
        <v/>
      </c>
    </row>
    <row r="3096">
      <c r="A3096" t="inlineStr">
        <is>
          <t>CO-002351</t>
        </is>
      </c>
      <c r="B3096" t="inlineStr">
        <is>
          <t xml:space="preserve">SUNAT - SEDE MERCADERES </t>
        </is>
      </c>
      <c r="C3096" t="inlineStr">
        <is>
          <t>20131312955</t>
        </is>
      </c>
      <c r="D3096" t="inlineStr">
        <is>
          <t>Mercaderes 201 y Jerusalen 100-102</t>
        </is>
      </c>
      <c r="E3096" t="inlineStr">
        <is>
          <t>Lima, 19 de junio de 2025</t>
        </is>
      </c>
      <c r="F3096" t="inlineStr">
        <is>
          <t>la Recarga y mantenimiento</t>
        </is>
      </c>
      <c r="G3096" t="n">
        <v>12</v>
      </c>
      <c r="H3096" t="inlineStr">
        <is>
          <t>06 KG</t>
        </is>
      </c>
      <c r="I3096" t="n">
        <v>2027</v>
      </c>
      <c r="J3096" t="n">
        <v>2016</v>
      </c>
      <c r="K3096" t="inlineStr">
        <is>
          <t>JUNIO 2025</t>
        </is>
      </c>
      <c r="L3096" t="inlineStr">
        <is>
          <t>JUNIO 2026</t>
        </is>
      </c>
      <c r="M3096" t="inlineStr">
        <is>
          <t xml:space="preserve">CO2 TIPO BC </t>
        </is>
      </c>
      <c r="N3096" t="inlineStr">
        <is>
          <t>22/000283</t>
        </is>
      </c>
      <c r="O3096" t="inlineStr">
        <is>
          <t>R</t>
        </is>
      </c>
      <c r="P3096">
        <f>TRIM(N3096)</f>
        <v/>
      </c>
    </row>
    <row r="3097">
      <c r="A3097" t="inlineStr">
        <is>
          <t>CO-002351</t>
        </is>
      </c>
      <c r="B3097" t="inlineStr">
        <is>
          <t xml:space="preserve">SUNAT - SEDE MERCADERES </t>
        </is>
      </c>
      <c r="C3097" t="inlineStr">
        <is>
          <t>20131312955</t>
        </is>
      </c>
      <c r="D3097" t="inlineStr">
        <is>
          <t>Mercaderes 201 y Jerusalen 100-102</t>
        </is>
      </c>
      <c r="E3097" t="inlineStr">
        <is>
          <t>Lima, 19 de junio de 2025</t>
        </is>
      </c>
      <c r="F3097" t="inlineStr">
        <is>
          <t>la Recarga y mantenimiento</t>
        </is>
      </c>
      <c r="G3097" t="n">
        <v>13</v>
      </c>
      <c r="H3097" t="inlineStr">
        <is>
          <t>06 KG</t>
        </is>
      </c>
      <c r="I3097" t="n">
        <v>2026</v>
      </c>
      <c r="J3097" t="n">
        <v>2016</v>
      </c>
      <c r="K3097" t="inlineStr">
        <is>
          <t>JUNIO 2025</t>
        </is>
      </c>
      <c r="L3097" t="inlineStr">
        <is>
          <t>JUNIO 2026</t>
        </is>
      </c>
      <c r="M3097" t="inlineStr">
        <is>
          <t>PQS ABC 90%</t>
        </is>
      </c>
      <c r="N3097" t="inlineStr">
        <is>
          <t>01/000509</t>
        </is>
      </c>
      <c r="O3097" t="inlineStr">
        <is>
          <t>R</t>
        </is>
      </c>
      <c r="P3097">
        <f>TRIM(N3097)</f>
        <v/>
      </c>
    </row>
    <row r="3098">
      <c r="A3098" t="inlineStr">
        <is>
          <t>CO-002351</t>
        </is>
      </c>
      <c r="B3098" t="inlineStr">
        <is>
          <t xml:space="preserve">SUNAT - SEDE MERCADERES </t>
        </is>
      </c>
      <c r="C3098" t="inlineStr">
        <is>
          <t>20131312955</t>
        </is>
      </c>
      <c r="D3098" t="inlineStr">
        <is>
          <t>Mercaderes 201 y Jerusalen 100-102</t>
        </is>
      </c>
      <c r="E3098" t="inlineStr">
        <is>
          <t>Lima, 19 de junio de 2025</t>
        </is>
      </c>
      <c r="F3098" t="inlineStr">
        <is>
          <t>la Recarga y mantenimiento</t>
        </is>
      </c>
      <c r="G3098" t="n">
        <v>14</v>
      </c>
      <c r="H3098" t="inlineStr">
        <is>
          <t>06 KG</t>
        </is>
      </c>
      <c r="I3098" t="n">
        <v>2029</v>
      </c>
      <c r="J3098" t="n">
        <v>2014</v>
      </c>
      <c r="K3098" t="inlineStr">
        <is>
          <t>JUNIO 2025</t>
        </is>
      </c>
      <c r="L3098" t="inlineStr">
        <is>
          <t>JUNIO 2026</t>
        </is>
      </c>
      <c r="M3098" t="inlineStr">
        <is>
          <t xml:space="preserve">CO2 TIPO BC </t>
        </is>
      </c>
      <c r="N3098" t="inlineStr">
        <is>
          <t>02/A34185235</t>
        </is>
      </c>
      <c r="O3098" t="inlineStr">
        <is>
          <t>R</t>
        </is>
      </c>
      <c r="P3098">
        <f>TRIM(N3098)</f>
        <v/>
      </c>
    </row>
    <row r="3099">
      <c r="A3099" t="inlineStr">
        <is>
          <t>CO-002351</t>
        </is>
      </c>
      <c r="B3099" t="inlineStr">
        <is>
          <t xml:space="preserve">SUNAT - SEDE MERCADERES </t>
        </is>
      </c>
      <c r="C3099" t="inlineStr">
        <is>
          <t>20131312955</t>
        </is>
      </c>
      <c r="D3099" t="inlineStr">
        <is>
          <t>Mercaderes 201 y Jerusalen 100-102</t>
        </is>
      </c>
      <c r="E3099" t="inlineStr">
        <is>
          <t>Lima, 19 de junio de 2025</t>
        </is>
      </c>
      <c r="F3099" t="inlineStr">
        <is>
          <t>la Recarga y mantenimiento</t>
        </is>
      </c>
      <c r="G3099" t="n">
        <v>15</v>
      </c>
      <c r="H3099" t="inlineStr">
        <is>
          <t>06 KG</t>
        </is>
      </c>
      <c r="I3099" t="n">
        <v>2029</v>
      </c>
      <c r="J3099" t="n">
        <v>2014</v>
      </c>
      <c r="K3099" t="inlineStr">
        <is>
          <t>JUNIO 2025</t>
        </is>
      </c>
      <c r="L3099" t="inlineStr">
        <is>
          <t>JUNIO 2026</t>
        </is>
      </c>
      <c r="M3099" t="inlineStr">
        <is>
          <t xml:space="preserve">CO2 TIPO BC </t>
        </is>
      </c>
      <c r="N3099" t="inlineStr">
        <is>
          <t>03/A34185536</t>
        </is>
      </c>
      <c r="O3099" t="inlineStr">
        <is>
          <t>R</t>
        </is>
      </c>
      <c r="P3099">
        <f>TRIM(N3099)</f>
        <v/>
      </c>
    </row>
    <row r="3100">
      <c r="A3100" t="inlineStr">
        <is>
          <t>CO-002352</t>
        </is>
      </c>
      <c r="B3100" t="inlineStr">
        <is>
          <t xml:space="preserve">SUNAT - SEDE MERCADERES </t>
        </is>
      </c>
      <c r="C3100" t="inlineStr">
        <is>
          <t>20131312955</t>
        </is>
      </c>
      <c r="D3100" t="inlineStr">
        <is>
          <t>Mercaderes 201 y Jerusalen 100-102</t>
        </is>
      </c>
      <c r="E3100" t="inlineStr">
        <is>
          <t>Lima, 19 de junio de 2025</t>
        </is>
      </c>
      <c r="F3100" t="inlineStr">
        <is>
          <t>la Recarga y mantenimiento</t>
        </is>
      </c>
      <c r="G3100" t="inlineStr">
        <is>
          <t>01</t>
        </is>
      </c>
      <c r="H3100" t="inlineStr">
        <is>
          <t>06 KG</t>
        </is>
      </c>
      <c r="I3100" t="n">
        <v>2027</v>
      </c>
      <c r="J3100" t="n">
        <v>2016</v>
      </c>
      <c r="K3100" t="inlineStr">
        <is>
          <t>JUNIO 2025</t>
        </is>
      </c>
      <c r="L3100" t="inlineStr">
        <is>
          <t>JUNIO 2026</t>
        </is>
      </c>
      <c r="M3100" t="inlineStr">
        <is>
          <t xml:space="preserve">CO2 TIPO BC </t>
        </is>
      </c>
      <c r="N3100" t="inlineStr">
        <is>
          <t>05/000280</t>
        </is>
      </c>
      <c r="O3100" t="inlineStr">
        <is>
          <t>R</t>
        </is>
      </c>
      <c r="P3100">
        <f>TRIM(N3100)</f>
        <v/>
      </c>
    </row>
    <row r="3101">
      <c r="A3101" t="inlineStr">
        <is>
          <t>CO-002352</t>
        </is>
      </c>
      <c r="B3101" t="inlineStr">
        <is>
          <t xml:space="preserve">SUNAT - SEDE MERCADERES </t>
        </is>
      </c>
      <c r="C3101" t="inlineStr">
        <is>
          <t>20131312955</t>
        </is>
      </c>
      <c r="D3101" t="inlineStr">
        <is>
          <t>Mercaderes 201 y Jerusalen 100-102</t>
        </is>
      </c>
      <c r="E3101" t="inlineStr">
        <is>
          <t>Lima, 19 de junio de 2025</t>
        </is>
      </c>
      <c r="F3101" t="inlineStr">
        <is>
          <t>la Recarga y mantenimiento</t>
        </is>
      </c>
      <c r="G3101" t="inlineStr">
        <is>
          <t>02</t>
        </is>
      </c>
      <c r="H3101" t="inlineStr">
        <is>
          <t>06 KG</t>
        </is>
      </c>
      <c r="I3101" t="n">
        <v>2027</v>
      </c>
      <c r="J3101" t="n">
        <v>2016</v>
      </c>
      <c r="K3101" t="inlineStr">
        <is>
          <t>JUNIO 2025</t>
        </is>
      </c>
      <c r="L3101" t="inlineStr">
        <is>
          <t>JUNIO 2026</t>
        </is>
      </c>
      <c r="M3101" t="inlineStr">
        <is>
          <t xml:space="preserve">CO2 TIPO BC </t>
        </is>
      </c>
      <c r="N3101" t="inlineStr">
        <is>
          <t>07/000286</t>
        </is>
      </c>
      <c r="O3101" t="inlineStr">
        <is>
          <t>R</t>
        </is>
      </c>
      <c r="P3101">
        <f>TRIM(N3101)</f>
        <v/>
      </c>
    </row>
    <row r="3102">
      <c r="A3102" t="inlineStr">
        <is>
          <t>CO-002352</t>
        </is>
      </c>
      <c r="B3102" t="inlineStr">
        <is>
          <t xml:space="preserve">SUNAT - SEDE MERCADERES </t>
        </is>
      </c>
      <c r="C3102" t="inlineStr">
        <is>
          <t>20131312955</t>
        </is>
      </c>
      <c r="D3102" t="inlineStr">
        <is>
          <t>Mercaderes 201 y Jerusalen 100-102</t>
        </is>
      </c>
      <c r="E3102" t="inlineStr">
        <is>
          <t>Lima, 19 de junio de 2025</t>
        </is>
      </c>
      <c r="F3102" t="inlineStr">
        <is>
          <t>la Recarga y mantenimiento</t>
        </is>
      </c>
      <c r="G3102" t="inlineStr">
        <is>
          <t>03</t>
        </is>
      </c>
      <c r="H3102" t="inlineStr">
        <is>
          <t>06 KG</t>
        </is>
      </c>
      <c r="I3102" t="n">
        <v>2027</v>
      </c>
      <c r="J3102" t="n">
        <v>2016</v>
      </c>
      <c r="K3102" t="inlineStr">
        <is>
          <t>JUNIO 2025</t>
        </is>
      </c>
      <c r="L3102" t="inlineStr">
        <is>
          <t>JUNIO 2026</t>
        </is>
      </c>
      <c r="M3102" t="inlineStr">
        <is>
          <t xml:space="preserve">CO2 TIPO BC </t>
        </is>
      </c>
      <c r="N3102" t="inlineStr">
        <is>
          <t>08/000312</t>
        </is>
      </c>
      <c r="O3102" t="inlineStr">
        <is>
          <t>R</t>
        </is>
      </c>
      <c r="P3102">
        <f>TRIM(N3102)</f>
        <v/>
      </c>
    </row>
    <row r="3103">
      <c r="A3103" t="inlineStr">
        <is>
          <t>CO-002352</t>
        </is>
      </c>
      <c r="B3103" t="inlineStr">
        <is>
          <t xml:space="preserve">SUNAT - SEDE MERCADERES </t>
        </is>
      </c>
      <c r="C3103" t="inlineStr">
        <is>
          <t>20131312955</t>
        </is>
      </c>
      <c r="D3103" t="inlineStr">
        <is>
          <t>Mercaderes 201 y Jerusalen 100-102</t>
        </is>
      </c>
      <c r="E3103" t="inlineStr">
        <is>
          <t>Lima, 19 de junio de 2025</t>
        </is>
      </c>
      <c r="F3103" t="inlineStr">
        <is>
          <t>la Recarga y mantenimiento</t>
        </is>
      </c>
      <c r="G3103" t="inlineStr">
        <is>
          <t>04</t>
        </is>
      </c>
      <c r="H3103" t="inlineStr">
        <is>
          <t>06 KG</t>
        </is>
      </c>
      <c r="I3103" t="inlineStr">
        <is>
          <t>2026</t>
        </is>
      </c>
      <c r="J3103" t="n">
        <v>2015</v>
      </c>
      <c r="K3103" t="inlineStr">
        <is>
          <t>JUNIO 2025</t>
        </is>
      </c>
      <c r="L3103" t="inlineStr">
        <is>
          <t>JUNIO 2026</t>
        </is>
      </c>
      <c r="M3103" t="inlineStr">
        <is>
          <t>PQS ABC 90%</t>
        </is>
      </c>
      <c r="N3103" t="inlineStr">
        <is>
          <t>09/000266</t>
        </is>
      </c>
      <c r="O3103" t="inlineStr">
        <is>
          <t>R</t>
        </is>
      </c>
      <c r="P3103">
        <f>TRIM(N3103)</f>
        <v/>
      </c>
    </row>
    <row r="3104">
      <c r="A3104" t="inlineStr">
        <is>
          <t>CO-002352</t>
        </is>
      </c>
      <c r="B3104" t="inlineStr">
        <is>
          <t xml:space="preserve">SUNAT - SEDE MERCADERES </t>
        </is>
      </c>
      <c r="C3104" t="inlineStr">
        <is>
          <t>20131312955</t>
        </is>
      </c>
      <c r="D3104" t="inlineStr">
        <is>
          <t>Mercaderes 201 y Jerusalen 100-102</t>
        </is>
      </c>
      <c r="E3104" t="inlineStr">
        <is>
          <t>Lima, 19 de junio de 2025</t>
        </is>
      </c>
      <c r="F3104" t="inlineStr">
        <is>
          <t>la Recarga y mantenimiento</t>
        </is>
      </c>
      <c r="G3104" t="inlineStr">
        <is>
          <t>05</t>
        </is>
      </c>
      <c r="H3104" t="inlineStr">
        <is>
          <t>06 KG</t>
        </is>
      </c>
      <c r="I3104" t="n">
        <v>2027</v>
      </c>
      <c r="J3104" t="n">
        <v>2016</v>
      </c>
      <c r="K3104" t="inlineStr">
        <is>
          <t>JUNIO 2025</t>
        </is>
      </c>
      <c r="L3104" t="inlineStr">
        <is>
          <t>JUNIO 2026</t>
        </is>
      </c>
      <c r="M3104" t="inlineStr">
        <is>
          <t xml:space="preserve">CO2 TIPO BC </t>
        </is>
      </c>
      <c r="N3104" t="inlineStr">
        <is>
          <t>10/000295</t>
        </is>
      </c>
      <c r="O3104" t="inlineStr">
        <is>
          <t>R</t>
        </is>
      </c>
      <c r="P3104">
        <f>TRIM(N3104)</f>
        <v/>
      </c>
    </row>
    <row r="3105">
      <c r="A3105" t="inlineStr">
        <is>
          <t>CO-002352</t>
        </is>
      </c>
      <c r="B3105" t="inlineStr">
        <is>
          <t xml:space="preserve">SUNAT - SEDE MERCADERES </t>
        </is>
      </c>
      <c r="C3105" t="inlineStr">
        <is>
          <t>20131312955</t>
        </is>
      </c>
      <c r="D3105" t="inlineStr">
        <is>
          <t>Mercaderes 201 y Jerusalen 100-102</t>
        </is>
      </c>
      <c r="E3105" t="inlineStr">
        <is>
          <t>Lima, 19 de junio de 2025</t>
        </is>
      </c>
      <c r="F3105" t="inlineStr">
        <is>
          <t>la Recarga y mantenimiento</t>
        </is>
      </c>
      <c r="G3105" t="inlineStr">
        <is>
          <t>06</t>
        </is>
      </c>
      <c r="H3105" t="inlineStr">
        <is>
          <t>06 KG</t>
        </is>
      </c>
      <c r="I3105" t="n">
        <v>2027</v>
      </c>
      <c r="J3105" t="n">
        <v>2016</v>
      </c>
      <c r="K3105" t="inlineStr">
        <is>
          <t>JUNIO 2025</t>
        </is>
      </c>
      <c r="L3105" t="inlineStr">
        <is>
          <t>JUNIO 2026</t>
        </is>
      </c>
      <c r="M3105" t="inlineStr">
        <is>
          <t xml:space="preserve">CO2 TIPO BC </t>
        </is>
      </c>
      <c r="N3105" t="inlineStr">
        <is>
          <t>11/000330</t>
        </is>
      </c>
      <c r="O3105" t="inlineStr">
        <is>
          <t>R</t>
        </is>
      </c>
      <c r="P3105">
        <f>TRIM(N3105)</f>
        <v/>
      </c>
    </row>
    <row r="3106">
      <c r="A3106" t="inlineStr">
        <is>
          <t>CO-002352</t>
        </is>
      </c>
      <c r="B3106" t="inlineStr">
        <is>
          <t xml:space="preserve">SUNAT - SEDE MERCADERES </t>
        </is>
      </c>
      <c r="C3106" t="inlineStr">
        <is>
          <t>20131312955</t>
        </is>
      </c>
      <c r="D3106" t="inlineStr">
        <is>
          <t>Mercaderes 201 y Jerusalen 100-102</t>
        </is>
      </c>
      <c r="E3106" t="inlineStr">
        <is>
          <t>Lima, 19 de junio de 2025</t>
        </is>
      </c>
      <c r="F3106" t="inlineStr">
        <is>
          <t>la Recarga y mantenimiento</t>
        </is>
      </c>
      <c r="G3106" t="inlineStr">
        <is>
          <t>07</t>
        </is>
      </c>
      <c r="H3106" t="inlineStr">
        <is>
          <t>10 LBS</t>
        </is>
      </c>
      <c r="I3106" t="n">
        <v>2027</v>
      </c>
      <c r="J3106" t="n">
        <v>2012</v>
      </c>
      <c r="K3106" t="inlineStr">
        <is>
          <t>JUNIO 2025</t>
        </is>
      </c>
      <c r="L3106" t="inlineStr">
        <is>
          <t>JUNIO 2026</t>
        </is>
      </c>
      <c r="M3106" t="inlineStr">
        <is>
          <t xml:space="preserve">CO2 TIPO BC </t>
        </is>
      </c>
      <c r="N3106" t="inlineStr">
        <is>
          <t>12/AC-336655</t>
        </is>
      </c>
      <c r="O3106" t="inlineStr">
        <is>
          <t>R</t>
        </is>
      </c>
      <c r="P3106">
        <f>TRIM(N3106)</f>
        <v/>
      </c>
    </row>
    <row r="3107">
      <c r="A3107" t="inlineStr">
        <is>
          <t>CO-002352</t>
        </is>
      </c>
      <c r="B3107" t="inlineStr">
        <is>
          <t xml:space="preserve">SUNAT - SEDE MERCADERES </t>
        </is>
      </c>
      <c r="C3107" t="inlineStr">
        <is>
          <t>20131312955</t>
        </is>
      </c>
      <c r="D3107" t="inlineStr">
        <is>
          <t>Mercaderes 201 y Jerusalen 100-102</t>
        </is>
      </c>
      <c r="E3107" t="inlineStr">
        <is>
          <t>Lima, 19 de junio de 2025</t>
        </is>
      </c>
      <c r="F3107" t="inlineStr">
        <is>
          <t>la Recarga y mantenimiento</t>
        </is>
      </c>
      <c r="G3107" t="inlineStr">
        <is>
          <t>08</t>
        </is>
      </c>
      <c r="H3107" t="inlineStr">
        <is>
          <t>06 KG</t>
        </is>
      </c>
      <c r="I3107" t="n">
        <v>2027</v>
      </c>
      <c r="J3107" t="n">
        <v>2016</v>
      </c>
      <c r="K3107" t="inlineStr">
        <is>
          <t>JUNIO 2025</t>
        </is>
      </c>
      <c r="L3107" t="inlineStr">
        <is>
          <t>JUNIO 2026</t>
        </is>
      </c>
      <c r="M3107" t="inlineStr">
        <is>
          <t xml:space="preserve">CO2 TIPO BC </t>
        </is>
      </c>
      <c r="N3107" t="inlineStr">
        <is>
          <t>13/000350</t>
        </is>
      </c>
      <c r="O3107" t="inlineStr">
        <is>
          <t>R</t>
        </is>
      </c>
      <c r="P3107">
        <f>TRIM(N3107)</f>
        <v/>
      </c>
    </row>
    <row r="3108">
      <c r="A3108" t="inlineStr">
        <is>
          <t>CO-002352</t>
        </is>
      </c>
      <c r="B3108" t="inlineStr">
        <is>
          <t xml:space="preserve">SUNAT - SEDE MERCADERES </t>
        </is>
      </c>
      <c r="C3108" t="inlineStr">
        <is>
          <t>20131312955</t>
        </is>
      </c>
      <c r="D3108" t="inlineStr">
        <is>
          <t>Mercaderes 201 y Jerusalen 100-102</t>
        </is>
      </c>
      <c r="E3108" t="inlineStr">
        <is>
          <t>Lima, 19 de junio de 2025</t>
        </is>
      </c>
      <c r="F3108" t="inlineStr">
        <is>
          <t>la Recarga y mantenimiento</t>
        </is>
      </c>
      <c r="G3108" t="inlineStr">
        <is>
          <t>09</t>
        </is>
      </c>
      <c r="H3108" t="inlineStr">
        <is>
          <t>06 KG</t>
        </is>
      </c>
      <c r="I3108" t="n">
        <v>2027</v>
      </c>
      <c r="J3108" t="n">
        <v>2016</v>
      </c>
      <c r="K3108" t="inlineStr">
        <is>
          <t>JUNIO 2025</t>
        </is>
      </c>
      <c r="L3108" t="inlineStr">
        <is>
          <t>JUNIO 2026</t>
        </is>
      </c>
      <c r="M3108" t="inlineStr">
        <is>
          <t xml:space="preserve">CO2 TIPO BC </t>
        </is>
      </c>
      <c r="N3108" t="inlineStr">
        <is>
          <t>14/000259</t>
        </is>
      </c>
      <c r="O3108" t="inlineStr">
        <is>
          <t>R</t>
        </is>
      </c>
      <c r="P3108">
        <f>TRIM(N3108)</f>
        <v/>
      </c>
    </row>
    <row r="3109">
      <c r="A3109" t="inlineStr">
        <is>
          <t>CO-002352</t>
        </is>
      </c>
      <c r="B3109" t="inlineStr">
        <is>
          <t xml:space="preserve">SUNAT - SEDE MERCADERES </t>
        </is>
      </c>
      <c r="C3109" t="inlineStr">
        <is>
          <t>20131312955</t>
        </is>
      </c>
      <c r="D3109" t="inlineStr">
        <is>
          <t>Mercaderes 201 y Jerusalen 100-102</t>
        </is>
      </c>
      <c r="E3109" t="inlineStr">
        <is>
          <t>Lima, 19 de junio de 2025</t>
        </is>
      </c>
      <c r="F3109" t="inlineStr">
        <is>
          <t>la Recarga y mantenimiento</t>
        </is>
      </c>
      <c r="G3109" t="n">
        <v>10</v>
      </c>
      <c r="H3109" t="inlineStr">
        <is>
          <t>06 KG</t>
        </is>
      </c>
      <c r="I3109" t="n">
        <v>2027</v>
      </c>
      <c r="J3109" t="n">
        <v>2016</v>
      </c>
      <c r="K3109" t="inlineStr">
        <is>
          <t>JUNIO 2025</t>
        </is>
      </c>
      <c r="L3109" t="inlineStr">
        <is>
          <t>JUNIO 2026</t>
        </is>
      </c>
      <c r="M3109" t="inlineStr">
        <is>
          <t xml:space="preserve">CO2 TIPO BC </t>
        </is>
      </c>
      <c r="N3109" t="inlineStr">
        <is>
          <t>15/000223</t>
        </is>
      </c>
      <c r="O3109" t="inlineStr">
        <is>
          <t>R</t>
        </is>
      </c>
      <c r="P3109">
        <f>TRIM(N3109)</f>
        <v/>
      </c>
    </row>
    <row r="3110">
      <c r="A3110" t="inlineStr">
        <is>
          <t>CO-002352</t>
        </is>
      </c>
      <c r="B3110" t="inlineStr">
        <is>
          <t xml:space="preserve">SUNAT - SEDE MERCADERES </t>
        </is>
      </c>
      <c r="C3110" t="inlineStr">
        <is>
          <t>20131312955</t>
        </is>
      </c>
      <c r="D3110" t="inlineStr">
        <is>
          <t>Mercaderes 201 y Jerusalen 100-102</t>
        </is>
      </c>
      <c r="E3110" t="inlineStr">
        <is>
          <t>Lima, 19 de junio de 2025</t>
        </is>
      </c>
      <c r="F3110" t="inlineStr">
        <is>
          <t>la Recarga y mantenimiento</t>
        </is>
      </c>
      <c r="G3110" t="n">
        <v>11</v>
      </c>
      <c r="H3110" t="inlineStr">
        <is>
          <t>06 KG</t>
        </is>
      </c>
      <c r="I3110" t="n">
        <v>2027</v>
      </c>
      <c r="J3110" t="n">
        <v>2016</v>
      </c>
      <c r="K3110" t="inlineStr">
        <is>
          <t>JUNIO 2025</t>
        </is>
      </c>
      <c r="L3110" t="inlineStr">
        <is>
          <t>JUNIO 2026</t>
        </is>
      </c>
      <c r="M3110" t="inlineStr">
        <is>
          <t xml:space="preserve">CO2 TIPO BC </t>
        </is>
      </c>
      <c r="N3110" t="inlineStr">
        <is>
          <t>16/000346</t>
        </is>
      </c>
      <c r="O3110" t="inlineStr">
        <is>
          <t>R</t>
        </is>
      </c>
      <c r="P3110">
        <f>TRIM(N3110)</f>
        <v/>
      </c>
    </row>
    <row r="3111">
      <c r="A3111" t="inlineStr">
        <is>
          <t>CO-002352</t>
        </is>
      </c>
      <c r="B3111" t="inlineStr">
        <is>
          <t xml:space="preserve">SUNAT - SEDE MERCADERES </t>
        </is>
      </c>
      <c r="C3111" t="inlineStr">
        <is>
          <t>20131312955</t>
        </is>
      </c>
      <c r="D3111" t="inlineStr">
        <is>
          <t>Mercaderes 201 y Jerusalen 100-102</t>
        </is>
      </c>
      <c r="E3111" t="inlineStr">
        <is>
          <t>Lima, 19 de junio de 2025</t>
        </is>
      </c>
      <c r="F3111" t="inlineStr">
        <is>
          <t>la Recarga y mantenimiento</t>
        </is>
      </c>
      <c r="G3111" t="n">
        <v>12</v>
      </c>
      <c r="H3111" t="inlineStr">
        <is>
          <t>06 KG</t>
        </is>
      </c>
      <c r="I3111" t="n">
        <v>2027</v>
      </c>
      <c r="J3111" t="n">
        <v>2016</v>
      </c>
      <c r="K3111" t="inlineStr">
        <is>
          <t>JUNIO 2025</t>
        </is>
      </c>
      <c r="L3111" t="inlineStr">
        <is>
          <t>JUNIO 2026</t>
        </is>
      </c>
      <c r="M3111" t="inlineStr">
        <is>
          <t xml:space="preserve">CO2 TIPO BC </t>
        </is>
      </c>
      <c r="N3111" t="inlineStr">
        <is>
          <t>17/000212</t>
        </is>
      </c>
      <c r="O3111" t="inlineStr">
        <is>
          <t>R</t>
        </is>
      </c>
      <c r="P3111">
        <f>TRIM(N3111)</f>
        <v/>
      </c>
    </row>
    <row r="3112">
      <c r="A3112" t="inlineStr">
        <is>
          <t>CO-002352</t>
        </is>
      </c>
      <c r="B3112" t="inlineStr">
        <is>
          <t xml:space="preserve">SUNAT - SEDE MERCADERES </t>
        </is>
      </c>
      <c r="C3112" t="inlineStr">
        <is>
          <t>20131312955</t>
        </is>
      </c>
      <c r="D3112" t="inlineStr">
        <is>
          <t>Mercaderes 201 y Jerusalen 100-102</t>
        </is>
      </c>
      <c r="E3112" t="inlineStr">
        <is>
          <t>Lima, 19 de junio de 2025</t>
        </is>
      </c>
      <c r="F3112" t="inlineStr">
        <is>
          <t>la Recarga y mantenimiento</t>
        </is>
      </c>
      <c r="G3112" t="n">
        <v>13</v>
      </c>
      <c r="H3112" t="inlineStr">
        <is>
          <t>06 KG</t>
        </is>
      </c>
      <c r="I3112" t="n">
        <v>2027</v>
      </c>
      <c r="J3112" t="n">
        <v>2016</v>
      </c>
      <c r="K3112" t="inlineStr">
        <is>
          <t>JUNIO 2025</t>
        </is>
      </c>
      <c r="L3112" t="inlineStr">
        <is>
          <t>JUNIO 2026</t>
        </is>
      </c>
      <c r="M3112" t="inlineStr">
        <is>
          <t xml:space="preserve">CO2 TIPO BC </t>
        </is>
      </c>
      <c r="N3112" t="inlineStr">
        <is>
          <t>18/000275</t>
        </is>
      </c>
      <c r="O3112" t="inlineStr">
        <is>
          <t>R</t>
        </is>
      </c>
      <c r="P3112">
        <f>TRIM(N3112)</f>
        <v/>
      </c>
    </row>
    <row r="3113">
      <c r="A3113" t="inlineStr">
        <is>
          <t>CO-002352</t>
        </is>
      </c>
      <c r="B3113" t="inlineStr">
        <is>
          <t xml:space="preserve">SUNAT - SEDE MERCADERES </t>
        </is>
      </c>
      <c r="C3113" t="inlineStr">
        <is>
          <t>20131312955</t>
        </is>
      </c>
      <c r="D3113" t="inlineStr">
        <is>
          <t>Mercaderes 201 y Jerusalen 100-102</t>
        </is>
      </c>
      <c r="E3113" t="inlineStr">
        <is>
          <t>Lima, 19 de junio de 2025</t>
        </is>
      </c>
      <c r="F3113" t="inlineStr">
        <is>
          <t>la Recarga y mantenimiento</t>
        </is>
      </c>
      <c r="G3113" t="n">
        <v>14</v>
      </c>
      <c r="H3113" t="inlineStr">
        <is>
          <t>10 LBS</t>
        </is>
      </c>
      <c r="I3113" t="n">
        <v>2029</v>
      </c>
      <c r="J3113" t="n">
        <v>2012</v>
      </c>
      <c r="K3113" t="inlineStr">
        <is>
          <t>JUNIO 2025</t>
        </is>
      </c>
      <c r="L3113" t="inlineStr">
        <is>
          <t>JUNIO 2026</t>
        </is>
      </c>
      <c r="M3113" t="inlineStr">
        <is>
          <t xml:space="preserve">CO2 TIPO BC </t>
        </is>
      </c>
      <c r="N3113" t="inlineStr">
        <is>
          <t>23/AC-336632</t>
        </is>
      </c>
      <c r="O3113" t="inlineStr">
        <is>
          <t>R</t>
        </is>
      </c>
      <c r="P3113">
        <f>TRIM(N3113)</f>
        <v/>
      </c>
    </row>
    <row r="3114">
      <c r="A3114" t="inlineStr">
        <is>
          <t>CO-002352</t>
        </is>
      </c>
      <c r="B3114" t="inlineStr">
        <is>
          <t xml:space="preserve">SUNAT - SEDE MERCADERES </t>
        </is>
      </c>
      <c r="C3114" t="inlineStr">
        <is>
          <t>20131312955</t>
        </is>
      </c>
      <c r="D3114" t="inlineStr">
        <is>
          <t>Mercaderes 201 y Jerusalen 100-102</t>
        </is>
      </c>
      <c r="E3114" t="inlineStr">
        <is>
          <t>Lima, 19 de junio de 2025</t>
        </is>
      </c>
      <c r="F3114" t="inlineStr">
        <is>
          <t>la Recarga y mantenimiento</t>
        </is>
      </c>
      <c r="G3114" t="n">
        <v>15</v>
      </c>
      <c r="H3114" t="inlineStr">
        <is>
          <t>06 KG</t>
        </is>
      </c>
      <c r="I3114" t="n">
        <v>2027</v>
      </c>
      <c r="J3114" t="n">
        <v>2016</v>
      </c>
      <c r="K3114" t="inlineStr">
        <is>
          <t>JUNIO 2025</t>
        </is>
      </c>
      <c r="L3114" t="inlineStr">
        <is>
          <t>JUNIO 2026</t>
        </is>
      </c>
      <c r="M3114" t="inlineStr">
        <is>
          <t xml:space="preserve">CO2 TIPO BC </t>
        </is>
      </c>
      <c r="N3114" t="inlineStr">
        <is>
          <t>20/000238</t>
        </is>
      </c>
      <c r="O3114" t="inlineStr">
        <is>
          <t>R</t>
        </is>
      </c>
      <c r="P3114">
        <f>TRIM(N3114)</f>
        <v/>
      </c>
    </row>
    <row r="3115">
      <c r="A3115" t="inlineStr">
        <is>
          <t>CO-002353</t>
        </is>
      </c>
      <c r="B3115" t="inlineStr">
        <is>
          <t xml:space="preserve">SUNAT - SEDE MERCADERES </t>
        </is>
      </c>
      <c r="C3115" t="inlineStr">
        <is>
          <t>20131312955</t>
        </is>
      </c>
      <c r="D3115" t="inlineStr">
        <is>
          <t>Mercaderes 201 y Jerusalen 100-102</t>
        </is>
      </c>
      <c r="E3115" t="inlineStr">
        <is>
          <t>Lima, 19 de junio de 2025</t>
        </is>
      </c>
      <c r="F3115" t="inlineStr">
        <is>
          <t>la Recarga y mantenimiento</t>
        </is>
      </c>
      <c r="G3115" t="inlineStr">
        <is>
          <t>01</t>
        </is>
      </c>
      <c r="H3115" t="inlineStr">
        <is>
          <t>06 KG</t>
        </is>
      </c>
      <c r="I3115" t="n">
        <v>2027</v>
      </c>
      <c r="J3115" t="n">
        <v>2016</v>
      </c>
      <c r="K3115" t="inlineStr">
        <is>
          <t>JUNIO 2025</t>
        </is>
      </c>
      <c r="L3115" t="inlineStr">
        <is>
          <t>JUNIO 2026</t>
        </is>
      </c>
      <c r="M3115" t="inlineStr">
        <is>
          <t xml:space="preserve">CO2 TIPO BC </t>
        </is>
      </c>
      <c r="N3115" t="inlineStr">
        <is>
          <t>21/000359</t>
        </is>
      </c>
      <c r="O3115" t="inlineStr">
        <is>
          <t>R</t>
        </is>
      </c>
      <c r="P3115">
        <f>TRIM(N3115)</f>
        <v/>
      </c>
    </row>
    <row r="3116">
      <c r="A3116" t="inlineStr">
        <is>
          <t>CO-002354</t>
        </is>
      </c>
      <c r="B3116" t="inlineStr">
        <is>
          <t xml:space="preserve">SUNAT - SEDE PAUCARPATA </t>
        </is>
      </c>
      <c r="C3116" t="inlineStr">
        <is>
          <t>20131312955</t>
        </is>
      </c>
      <c r="D3116" t="inlineStr">
        <is>
          <t>AV. PIZARRO 160 MZ: 0 LOTE: SUBLOTE A OTR. :PAUCARPATA -</t>
        </is>
      </c>
      <c r="E3116" t="inlineStr">
        <is>
          <t>Lima, 19 de junio de 2025</t>
        </is>
      </c>
      <c r="F3116" t="inlineStr">
        <is>
          <t>la Recarga y mantenimiento</t>
        </is>
      </c>
      <c r="G3116" t="inlineStr">
        <is>
          <t>01</t>
        </is>
      </c>
      <c r="H3116" t="inlineStr">
        <is>
          <t>06 KG</t>
        </is>
      </c>
      <c r="I3116" t="inlineStr">
        <is>
          <t>2029</t>
        </is>
      </c>
      <c r="J3116" t="n">
        <v>2014</v>
      </c>
      <c r="K3116" t="inlineStr">
        <is>
          <t>JUNIO 2025</t>
        </is>
      </c>
      <c r="L3116" t="inlineStr">
        <is>
          <t>JUNIO 2026</t>
        </is>
      </c>
      <c r="M3116" t="inlineStr">
        <is>
          <t>PQS ABC 90%</t>
        </is>
      </c>
      <c r="N3116" t="inlineStr">
        <is>
          <t>04/001328</t>
        </is>
      </c>
      <c r="O3116" t="inlineStr">
        <is>
          <t>R</t>
        </is>
      </c>
      <c r="P3116">
        <f>TRIM(N3116)</f>
        <v/>
      </c>
    </row>
    <row r="3117">
      <c r="A3117" t="inlineStr">
        <is>
          <t>CO-002355</t>
        </is>
      </c>
      <c r="B3117" t="inlineStr">
        <is>
          <t>HEAT TRANSFER FACTORY S.A.C.</t>
        </is>
      </c>
      <c r="C3117" t="inlineStr">
        <is>
          <t xml:space="preserve">20610615776 </t>
        </is>
      </c>
      <c r="D3117" t="inlineStr">
        <is>
          <t>CAL.GAMMA NRO. 252 URB. PARQUE INTERNACIONAL DE INDUSTRIA Y COMERCIO CALLAO - CALLAO</t>
        </is>
      </c>
      <c r="E3117" t="inlineStr">
        <is>
          <t>Lima, 20 de junio de 2025</t>
        </is>
      </c>
      <c r="F3117" t="inlineStr">
        <is>
          <t xml:space="preserve">venta </t>
        </is>
      </c>
      <c r="G3117" t="inlineStr">
        <is>
          <t>01</t>
        </is>
      </c>
      <c r="H3117" t="inlineStr">
        <is>
          <t xml:space="preserve">06 KG </t>
        </is>
      </c>
      <c r="I3117" t="inlineStr">
        <is>
          <t>2030</t>
        </is>
      </c>
      <c r="J3117" t="n">
        <v>2025</v>
      </c>
      <c r="K3117" t="inlineStr">
        <is>
          <t>JUNIO 2025</t>
        </is>
      </c>
      <c r="L3117" t="inlineStr">
        <is>
          <t>JUNIO 2026</t>
        </is>
      </c>
      <c r="M3117" t="inlineStr">
        <is>
          <t xml:space="preserve">PQS/ABC  AL 90% PYROCHEM </t>
        </is>
      </c>
      <c r="N3117" t="inlineStr">
        <is>
          <t>01/001592</t>
        </is>
      </c>
      <c r="O3117" t="inlineStr">
        <is>
          <t>V</t>
        </is>
      </c>
      <c r="P3117">
        <f>TRIM(N3117)</f>
        <v/>
      </c>
    </row>
    <row r="3118">
      <c r="A3118" t="inlineStr">
        <is>
          <t>CO-002355</t>
        </is>
      </c>
      <c r="B3118" t="inlineStr">
        <is>
          <t>HEAT TRANSFER FACTORY S.A.C.</t>
        </is>
      </c>
      <c r="C3118" t="inlineStr">
        <is>
          <t xml:space="preserve">20610615776 </t>
        </is>
      </c>
      <c r="D3118" t="inlineStr">
        <is>
          <t>CAL.GAMMA NRO. 252 URB. PARQUE INTERNACIONAL DE INDUSTRIA Y COMERCIO CALLAO - CALLAO</t>
        </is>
      </c>
      <c r="E3118" t="inlineStr">
        <is>
          <t>Lima, 20 de junio de 2025</t>
        </is>
      </c>
      <c r="F3118" t="inlineStr">
        <is>
          <t xml:space="preserve">venta </t>
        </is>
      </c>
      <c r="G3118" t="inlineStr">
        <is>
          <t>02</t>
        </is>
      </c>
      <c r="H3118" t="inlineStr">
        <is>
          <t xml:space="preserve">06 KG </t>
        </is>
      </c>
      <c r="I3118" t="inlineStr">
        <is>
          <t>2030</t>
        </is>
      </c>
      <c r="J3118" t="n">
        <v>2025</v>
      </c>
      <c r="K3118" t="inlineStr">
        <is>
          <t>JUNIO 2025</t>
        </is>
      </c>
      <c r="L3118" t="inlineStr">
        <is>
          <t>JUNIO 2026</t>
        </is>
      </c>
      <c r="M3118" t="inlineStr">
        <is>
          <t xml:space="preserve">PQS/ABC  AL 90% PYROCHEM </t>
        </is>
      </c>
      <c r="N3118" t="inlineStr">
        <is>
          <t>02/001061</t>
        </is>
      </c>
      <c r="P3118">
        <f>TRIM(N3118)</f>
        <v/>
      </c>
    </row>
    <row r="3119">
      <c r="A3119" t="inlineStr">
        <is>
          <t>CO-002356</t>
        </is>
      </c>
      <c r="B3119" t="inlineStr">
        <is>
          <t>PACIFICO COMPAÑÍA DE SEGURO Y REASEGUROS</t>
        </is>
      </c>
      <c r="C3119" t="inlineStr">
        <is>
          <t>20332970411</t>
        </is>
      </c>
      <c r="D3119" t="inlineStr">
        <is>
          <t>AV. MICAELA BASTIDAS N°327  3ER PISO</t>
        </is>
      </c>
      <c r="E3119" t="inlineStr">
        <is>
          <t>Lima, 25 de septiembre del 2024</t>
        </is>
      </c>
      <c r="F3119" t="inlineStr">
        <is>
          <t>la Recarga y mantenimiento</t>
        </is>
      </c>
      <c r="G3119" t="inlineStr">
        <is>
          <t>01</t>
        </is>
      </c>
      <c r="H3119" t="inlineStr">
        <is>
          <t xml:space="preserve">06 KG </t>
        </is>
      </c>
      <c r="I3119" t="inlineStr">
        <is>
          <t>2029</t>
        </is>
      </c>
      <c r="J3119" t="n">
        <v>2016</v>
      </c>
      <c r="K3119" t="inlineStr">
        <is>
          <t>SEPTIEMBRE 2024</t>
        </is>
      </c>
      <c r="L3119" t="inlineStr">
        <is>
          <t>SEPTIEMBRE 2025</t>
        </is>
      </c>
      <c r="M3119" t="inlineStr">
        <is>
          <t>PQS TIPO ABC AL 90% NACIONAL</t>
        </is>
      </c>
      <c r="N3119" t="inlineStr">
        <is>
          <t>01/003920</t>
        </is>
      </c>
      <c r="O3119" t="inlineStr">
        <is>
          <t>R</t>
        </is>
      </c>
      <c r="P3119">
        <f>TRIM(N3119)</f>
        <v/>
      </c>
    </row>
    <row r="3120">
      <c r="A3120" t="inlineStr">
        <is>
          <t>CO-002356</t>
        </is>
      </c>
      <c r="B3120" t="inlineStr">
        <is>
          <t>PACIFICO COMPAÑÍA DE SEGURO Y REASEGUROS</t>
        </is>
      </c>
      <c r="C3120" t="inlineStr">
        <is>
          <t>20332970411</t>
        </is>
      </c>
      <c r="D3120" t="inlineStr">
        <is>
          <t>AV. MICAELA BASTIDAS N°327  3ER PISO</t>
        </is>
      </c>
      <c r="E3120" t="inlineStr">
        <is>
          <t>Lima, 25 de septiembre del 2024</t>
        </is>
      </c>
      <c r="F3120" t="inlineStr">
        <is>
          <t>la Recarga y mantenimiento</t>
        </is>
      </c>
      <c r="G3120" t="inlineStr">
        <is>
          <t>02</t>
        </is>
      </c>
      <c r="H3120" t="inlineStr">
        <is>
          <t>20 LBS</t>
        </is>
      </c>
      <c r="I3120" t="inlineStr">
        <is>
          <t>2029</t>
        </is>
      </c>
      <c r="J3120" t="inlineStr">
        <is>
          <t>S/N</t>
        </is>
      </c>
      <c r="K3120" t="inlineStr">
        <is>
          <t>SEPTIEMBRE 2024</t>
        </is>
      </c>
      <c r="L3120" t="inlineStr">
        <is>
          <t>SEPTIEMBRE 2025</t>
        </is>
      </c>
      <c r="M3120" t="inlineStr">
        <is>
          <t xml:space="preserve">CO2 TIPO BC </t>
        </is>
      </c>
      <c r="N3120" t="inlineStr">
        <is>
          <t>S/N/000411</t>
        </is>
      </c>
      <c r="P3120">
        <f>TRIM(N3120)</f>
        <v/>
      </c>
    </row>
    <row r="3121">
      <c r="A3121" t="inlineStr">
        <is>
          <t>CO-002357</t>
        </is>
      </c>
      <c r="B3121" t="inlineStr">
        <is>
          <t>IMPORTACIONES CATITA IMPORT E. I. R. L</t>
        </is>
      </c>
      <c r="C3121" t="inlineStr">
        <is>
          <t>20614583399</t>
        </is>
      </c>
      <c r="D3121" t="inlineStr">
        <is>
          <t>AV. METROPOLITANA MZ. K LT. 18 - COMAS</t>
        </is>
      </c>
      <c r="E3121" t="inlineStr">
        <is>
          <t>Lima, 28 de junio de 2025</t>
        </is>
      </c>
      <c r="F3121" t="inlineStr">
        <is>
          <t>la Recarga y mantenimiento</t>
        </is>
      </c>
      <c r="G3121" t="inlineStr">
        <is>
          <t>01</t>
        </is>
      </c>
      <c r="H3121" t="inlineStr">
        <is>
          <t>06 KG</t>
        </is>
      </c>
      <c r="I3121" t="inlineStr">
        <is>
          <t>2026</t>
        </is>
      </c>
      <c r="J3121" t="n">
        <v>2021</v>
      </c>
      <c r="K3121" t="inlineStr">
        <is>
          <t>JUNIO 2025</t>
        </is>
      </c>
      <c r="L3121" t="inlineStr">
        <is>
          <t>JUNIO 2026</t>
        </is>
      </c>
      <c r="M3121" t="inlineStr">
        <is>
          <t xml:space="preserve">PQS TIPO ABC </t>
        </is>
      </c>
      <c r="N3121" t="inlineStr">
        <is>
          <t>02/208102</t>
        </is>
      </c>
      <c r="O3121" t="inlineStr">
        <is>
          <t>R</t>
        </is>
      </c>
      <c r="P3121">
        <f>TRIM(N3121)</f>
        <v/>
      </c>
    </row>
    <row r="3122">
      <c r="A3122" t="inlineStr">
        <is>
          <t>CO-002357</t>
        </is>
      </c>
      <c r="B3122" t="inlineStr">
        <is>
          <t>IMPORTACIONES CATITA IMPORT E. I. R. L</t>
        </is>
      </c>
      <c r="C3122" t="inlineStr">
        <is>
          <t>20614583399</t>
        </is>
      </c>
      <c r="D3122" t="inlineStr">
        <is>
          <t>AV. METROPOLITANA MZ. K LT. 18 - COMAS</t>
        </is>
      </c>
      <c r="E3122" t="inlineStr">
        <is>
          <t>Lima, 28 de junio de 2025</t>
        </is>
      </c>
      <c r="F3122" t="inlineStr">
        <is>
          <t>la Recarga y mantenimiento</t>
        </is>
      </c>
      <c r="G3122" t="inlineStr">
        <is>
          <t>02</t>
        </is>
      </c>
      <c r="H3122" t="inlineStr">
        <is>
          <t>06 KG</t>
        </is>
      </c>
      <c r="I3122" t="inlineStr">
        <is>
          <t>2026</t>
        </is>
      </c>
      <c r="J3122" t="n">
        <v>2021</v>
      </c>
      <c r="K3122" t="inlineStr">
        <is>
          <t>JUNIO 2025</t>
        </is>
      </c>
      <c r="L3122" t="inlineStr">
        <is>
          <t>JUNIO 2026</t>
        </is>
      </c>
      <c r="M3122" t="inlineStr">
        <is>
          <t xml:space="preserve">PQS TIPO ABC </t>
        </is>
      </c>
      <c r="N3122" t="inlineStr">
        <is>
          <t>01/002093</t>
        </is>
      </c>
      <c r="O3122" t="inlineStr">
        <is>
          <t>R</t>
        </is>
      </c>
      <c r="P3122">
        <f>TRIM(N3122)</f>
        <v/>
      </c>
    </row>
    <row r="3123">
      <c r="A3123" t="inlineStr">
        <is>
          <t>CO-002357</t>
        </is>
      </c>
      <c r="B3123" t="inlineStr">
        <is>
          <t>IMPORTACIONES CATITA IMPORT E. I. R. L</t>
        </is>
      </c>
      <c r="C3123" t="inlineStr">
        <is>
          <t>20614583399</t>
        </is>
      </c>
      <c r="D3123" t="inlineStr">
        <is>
          <t>AV. METROPOLITANA MZ. K LT. 18 - COMAS</t>
        </is>
      </c>
      <c r="E3123" t="inlineStr">
        <is>
          <t>Lima, 28 de junio de 2025</t>
        </is>
      </c>
      <c r="F3123" t="inlineStr">
        <is>
          <t>la Recarga y mantenimiento</t>
        </is>
      </c>
      <c r="G3123" t="inlineStr">
        <is>
          <t>03</t>
        </is>
      </c>
      <c r="H3123" t="inlineStr">
        <is>
          <t>06 KG</t>
        </is>
      </c>
      <c r="I3123" t="inlineStr">
        <is>
          <t>2028</t>
        </is>
      </c>
      <c r="J3123" t="n">
        <v>2017</v>
      </c>
      <c r="K3123" t="inlineStr">
        <is>
          <t>JUNIO 2025</t>
        </is>
      </c>
      <c r="L3123" t="inlineStr">
        <is>
          <t>JUNIO 2026</t>
        </is>
      </c>
      <c r="M3123" t="inlineStr">
        <is>
          <t xml:space="preserve">PQS TIPO ABC </t>
        </is>
      </c>
      <c r="N3123" t="inlineStr">
        <is>
          <t>03/000643</t>
        </is>
      </c>
      <c r="O3123" t="inlineStr">
        <is>
          <t>R</t>
        </is>
      </c>
      <c r="P3123">
        <f>TRIM(N3123)</f>
        <v/>
      </c>
    </row>
    <row r="3124">
      <c r="A3124" t="inlineStr">
        <is>
          <t>CO-002357</t>
        </is>
      </c>
      <c r="B3124" t="inlineStr">
        <is>
          <t>IMPORTACIONES CATITA IMPORT E. I. R. L</t>
        </is>
      </c>
      <c r="C3124" t="inlineStr">
        <is>
          <t>20614583399</t>
        </is>
      </c>
      <c r="D3124" t="inlineStr">
        <is>
          <t>AV. METROPOLITANA MZ. K LT. 18 - COMAS</t>
        </is>
      </c>
      <c r="E3124" t="inlineStr">
        <is>
          <t>Lima, 28 de junio de 2025</t>
        </is>
      </c>
      <c r="F3124" t="inlineStr">
        <is>
          <t>la Recarga y mantenimiento</t>
        </is>
      </c>
      <c r="G3124" t="inlineStr">
        <is>
          <t>04</t>
        </is>
      </c>
      <c r="H3124" t="inlineStr">
        <is>
          <t>06 KG</t>
        </is>
      </c>
      <c r="I3124" t="inlineStr">
        <is>
          <t>2028</t>
        </is>
      </c>
      <c r="J3124" t="n">
        <v>2017</v>
      </c>
      <c r="K3124" t="inlineStr">
        <is>
          <t>JUNIO 2025</t>
        </is>
      </c>
      <c r="L3124" t="inlineStr">
        <is>
          <t>JUNIO 2026</t>
        </is>
      </c>
      <c r="M3124" t="inlineStr">
        <is>
          <t xml:space="preserve">PQS TIPO ABC </t>
        </is>
      </c>
      <c r="N3124" t="inlineStr">
        <is>
          <t>SN/000441</t>
        </is>
      </c>
      <c r="O3124" t="inlineStr">
        <is>
          <t>R</t>
        </is>
      </c>
      <c r="P3124">
        <f>TRIM(N3124)</f>
        <v/>
      </c>
    </row>
    <row r="3125">
      <c r="A3125" t="inlineStr">
        <is>
          <t>CO-002357</t>
        </is>
      </c>
      <c r="B3125" t="inlineStr">
        <is>
          <t>IMPORTACIONES CATITA IMPORT E. I. R. L</t>
        </is>
      </c>
      <c r="C3125" t="inlineStr">
        <is>
          <t>20614583399</t>
        </is>
      </c>
      <c r="D3125" t="inlineStr">
        <is>
          <t>AV. METROPOLITANA MZ. K LT. 18 - COMAS</t>
        </is>
      </c>
      <c r="E3125" t="inlineStr">
        <is>
          <t>Lima, 28 de junio de 2025</t>
        </is>
      </c>
      <c r="F3125" t="inlineStr">
        <is>
          <t>la Recarga y mantenimiento</t>
        </is>
      </c>
      <c r="G3125" t="inlineStr">
        <is>
          <t>05</t>
        </is>
      </c>
      <c r="H3125" t="inlineStr">
        <is>
          <t>06 KG</t>
        </is>
      </c>
      <c r="I3125" t="inlineStr">
        <is>
          <t>2026</t>
        </is>
      </c>
      <c r="J3125" t="n">
        <v>2021</v>
      </c>
      <c r="K3125" t="inlineStr">
        <is>
          <t>JUNIO 2025</t>
        </is>
      </c>
      <c r="L3125" t="inlineStr">
        <is>
          <t>JUNIO 2026</t>
        </is>
      </c>
      <c r="M3125" t="inlineStr">
        <is>
          <t xml:space="preserve">PQS TIPO ABC </t>
        </is>
      </c>
      <c r="N3125" t="inlineStr">
        <is>
          <t>03/223051</t>
        </is>
      </c>
      <c r="O3125" t="inlineStr">
        <is>
          <t>R</t>
        </is>
      </c>
      <c r="P3125">
        <f>TRIM(N3125)</f>
        <v/>
      </c>
    </row>
    <row r="3126">
      <c r="A3126" t="inlineStr">
        <is>
          <t>CO-002357</t>
        </is>
      </c>
      <c r="B3126" t="inlineStr">
        <is>
          <t>IMPORTACIONES CATITA IMPORT E. I. R. L</t>
        </is>
      </c>
      <c r="C3126" t="inlineStr">
        <is>
          <t>20614583399</t>
        </is>
      </c>
      <c r="D3126" t="inlineStr">
        <is>
          <t>AV. METROPOLITANA MZ. K LT. 18 - COMAS</t>
        </is>
      </c>
      <c r="E3126" t="inlineStr">
        <is>
          <t>Lima, 28 de junio de 2025</t>
        </is>
      </c>
      <c r="F3126" t="inlineStr">
        <is>
          <t>la Recarga y mantenimiento</t>
        </is>
      </c>
      <c r="G3126" t="inlineStr">
        <is>
          <t>06</t>
        </is>
      </c>
      <c r="H3126" t="inlineStr">
        <is>
          <t>04 KG</t>
        </is>
      </c>
      <c r="I3126" t="inlineStr">
        <is>
          <t>2028</t>
        </is>
      </c>
      <c r="J3126" t="n">
        <v>2017</v>
      </c>
      <c r="K3126" t="inlineStr">
        <is>
          <t>JUNIO 2025</t>
        </is>
      </c>
      <c r="L3126" t="inlineStr">
        <is>
          <t>JUNIO 2026</t>
        </is>
      </c>
      <c r="M3126" t="inlineStr">
        <is>
          <t xml:space="preserve">PQS TIPO ABC </t>
        </is>
      </c>
      <c r="N3126" t="inlineStr">
        <is>
          <t>SN/001344</t>
        </is>
      </c>
      <c r="O3126" t="inlineStr">
        <is>
          <t>R</t>
        </is>
      </c>
      <c r="P3126">
        <f>TRIM(N3126)</f>
        <v/>
      </c>
    </row>
    <row r="3127">
      <c r="A3127" t="inlineStr">
        <is>
          <t>CO-002358</t>
        </is>
      </c>
      <c r="B3127" t="inlineStr">
        <is>
          <t>CORPORACION DENTAL SERPA E.I.R.L. DE SANDRA QUISPE</t>
        </is>
      </c>
      <c r="C3127" t="inlineStr">
        <is>
          <t>20612042862</t>
        </is>
      </c>
      <c r="D3127" t="inlineStr">
        <is>
          <t>AV. CONDORCANQUI MZ. R1 LT. 22 URB. RESIDENCIAL LUCYANA CARABAYLLO LIMA</t>
        </is>
      </c>
      <c r="E3127" t="inlineStr">
        <is>
          <t>Lima, 30 de junio de 2025</t>
        </is>
      </c>
      <c r="F3127" t="inlineStr">
        <is>
          <t>la Recarga y mantenimiento</t>
        </is>
      </c>
      <c r="G3127" t="inlineStr">
        <is>
          <t>01</t>
        </is>
      </c>
      <c r="H3127" t="inlineStr">
        <is>
          <t>06 KG</t>
        </is>
      </c>
      <c r="I3127" t="inlineStr">
        <is>
          <t>2028</t>
        </is>
      </c>
      <c r="J3127" t="n">
        <v>2023</v>
      </c>
      <c r="K3127" t="inlineStr">
        <is>
          <t>JUNIO 2025</t>
        </is>
      </c>
      <c r="L3127" t="inlineStr">
        <is>
          <t>JUNIO 2026</t>
        </is>
      </c>
      <c r="M3127" t="inlineStr">
        <is>
          <t>P.Q.S TIPO ABC</t>
        </is>
      </c>
      <c r="N3127" t="inlineStr">
        <is>
          <t>01/000390</t>
        </is>
      </c>
      <c r="O3127" t="inlineStr">
        <is>
          <t>R</t>
        </is>
      </c>
      <c r="P3127">
        <f>TRIM(N3127)</f>
        <v/>
      </c>
    </row>
    <row r="3128">
      <c r="A3128" t="inlineStr">
        <is>
          <t>CO-002359</t>
        </is>
      </c>
      <c r="B3128" t="inlineStr">
        <is>
          <t xml:space="preserve">MARIA LOPEZ MDO </t>
        </is>
      </c>
      <c r="D3128" t="inlineStr">
        <is>
          <t>MERCADO FRONTERA - PSTO L1</t>
        </is>
      </c>
      <c r="E3128" t="inlineStr">
        <is>
          <t>Lima, 04 de julio de 2025</t>
        </is>
      </c>
      <c r="F3128" t="inlineStr">
        <is>
          <t>la Recarga y mantenimiento</t>
        </is>
      </c>
      <c r="G3128" t="inlineStr">
        <is>
          <t>01</t>
        </is>
      </c>
      <c r="H3128" t="inlineStr">
        <is>
          <t>06 KG</t>
        </is>
      </c>
      <c r="I3128" t="inlineStr">
        <is>
          <t>2029</t>
        </is>
      </c>
      <c r="J3128" t="n">
        <v>2024</v>
      </c>
      <c r="K3128" t="inlineStr">
        <is>
          <t>JULIO 2025</t>
        </is>
      </c>
      <c r="L3128" t="inlineStr">
        <is>
          <t>JULIO 2026</t>
        </is>
      </c>
      <c r="M3128" t="inlineStr">
        <is>
          <t>P.Q.S TIPO ABC</t>
        </is>
      </c>
      <c r="N3128" t="inlineStr">
        <is>
          <t>000648</t>
        </is>
      </c>
      <c r="O3128" t="inlineStr">
        <is>
          <t>R</t>
        </is>
      </c>
      <c r="P3128">
        <f>TRIM(N3128)</f>
        <v/>
      </c>
    </row>
    <row r="3129">
      <c r="A3129" t="inlineStr">
        <is>
          <t>CO-002360</t>
        </is>
      </c>
      <c r="B3129" t="inlineStr">
        <is>
          <t xml:space="preserve">BRUNO JURO </t>
        </is>
      </c>
      <c r="D3129" t="inlineStr">
        <is>
          <t xml:space="preserve">MERCADO FRONTERA - PSTO H3 </t>
        </is>
      </c>
      <c r="E3129" t="inlineStr">
        <is>
          <t>Lima, 04 de julio de 2025</t>
        </is>
      </c>
      <c r="F3129" t="inlineStr">
        <is>
          <t>la Recarga y mantenimiento</t>
        </is>
      </c>
      <c r="G3129" t="inlineStr">
        <is>
          <t>01</t>
        </is>
      </c>
      <c r="H3129" t="inlineStr">
        <is>
          <t>06 KG</t>
        </is>
      </c>
      <c r="I3129" t="inlineStr">
        <is>
          <t>2028</t>
        </is>
      </c>
      <c r="J3129" t="n">
        <v>2023</v>
      </c>
      <c r="K3129" t="inlineStr">
        <is>
          <t>JULIO 2025</t>
        </is>
      </c>
      <c r="L3129" t="inlineStr">
        <is>
          <t>JULIO 2026</t>
        </is>
      </c>
      <c r="M3129" t="inlineStr">
        <is>
          <t>P.Q.S TIPO ABC</t>
        </is>
      </c>
      <c r="N3129" t="inlineStr">
        <is>
          <t>011025</t>
        </is>
      </c>
      <c r="O3129" t="inlineStr">
        <is>
          <t>R</t>
        </is>
      </c>
      <c r="P3129">
        <f>TRIM(N3129)</f>
        <v/>
      </c>
    </row>
    <row r="3130">
      <c r="A3130" t="inlineStr">
        <is>
          <t>CO-002361</t>
        </is>
      </c>
      <c r="B3130" t="inlineStr">
        <is>
          <t xml:space="preserve">ADRIANO VASQUEZ </t>
        </is>
      </c>
      <c r="D3130" t="inlineStr">
        <is>
          <t>MERCADO FRONTERA - PSTO H2</t>
        </is>
      </c>
      <c r="E3130" t="inlineStr">
        <is>
          <t>Lima, 04 de julio de 2025</t>
        </is>
      </c>
      <c r="F3130" t="inlineStr">
        <is>
          <t>la Recarga y mantenimiento</t>
        </is>
      </c>
      <c r="G3130" t="inlineStr">
        <is>
          <t>01</t>
        </is>
      </c>
      <c r="H3130" t="inlineStr">
        <is>
          <t>06 KG</t>
        </is>
      </c>
      <c r="I3130" t="inlineStr">
        <is>
          <t>2026</t>
        </is>
      </c>
      <c r="J3130" t="n">
        <v>2021</v>
      </c>
      <c r="K3130" t="inlineStr">
        <is>
          <t>JULIO 2025</t>
        </is>
      </c>
      <c r="L3130" t="inlineStr">
        <is>
          <t>JULIO 2026</t>
        </is>
      </c>
      <c r="M3130" t="inlineStr">
        <is>
          <t>P.Q.S TIPO ABC</t>
        </is>
      </c>
      <c r="N3130" t="inlineStr">
        <is>
          <t>139914</t>
        </is>
      </c>
      <c r="O3130" t="inlineStr">
        <is>
          <t>R</t>
        </is>
      </c>
      <c r="P3130">
        <f>TRIM(N3130)</f>
        <v/>
      </c>
    </row>
    <row r="3131">
      <c r="A3131" t="inlineStr">
        <is>
          <t>CO-002362</t>
        </is>
      </c>
      <c r="B3131" t="inlineStr">
        <is>
          <t xml:space="preserve">PEDRO INFANTE </t>
        </is>
      </c>
      <c r="D3131" t="inlineStr">
        <is>
          <t>MERCADO FRONTERA - PSTO F8</t>
        </is>
      </c>
      <c r="E3131" t="inlineStr">
        <is>
          <t>Lima, 04 de julio de 2025</t>
        </is>
      </c>
      <c r="F3131" t="inlineStr">
        <is>
          <t>la Recarga y mantenimiento</t>
        </is>
      </c>
      <c r="G3131" t="inlineStr">
        <is>
          <t>01</t>
        </is>
      </c>
      <c r="H3131" t="inlineStr">
        <is>
          <t>06 KG</t>
        </is>
      </c>
      <c r="I3131" t="inlineStr">
        <is>
          <t>2026</t>
        </is>
      </c>
      <c r="J3131" t="n">
        <v>2014</v>
      </c>
      <c r="K3131" t="inlineStr">
        <is>
          <t>JULIO 2025</t>
        </is>
      </c>
      <c r="L3131" t="inlineStr">
        <is>
          <t>JULIO 2026</t>
        </is>
      </c>
      <c r="M3131" t="inlineStr">
        <is>
          <t>P.Q.S TIPO ABC</t>
        </is>
      </c>
      <c r="N3131" t="inlineStr">
        <is>
          <t>000504</t>
        </is>
      </c>
      <c r="O3131" t="inlineStr">
        <is>
          <t>R</t>
        </is>
      </c>
      <c r="P3131">
        <f>TRIM(N3131)</f>
        <v/>
      </c>
    </row>
    <row r="3132">
      <c r="A3132" t="inlineStr">
        <is>
          <t>CO-002363</t>
        </is>
      </c>
      <c r="B3132" t="inlineStr">
        <is>
          <t xml:space="preserve">YOLANDA VERGARA </t>
        </is>
      </c>
      <c r="D3132" t="inlineStr">
        <is>
          <t xml:space="preserve">MERCADO FRONTERA - PSTO N1 </t>
        </is>
      </c>
      <c r="E3132" t="inlineStr">
        <is>
          <t>Lima, 04 de julio de 2025</t>
        </is>
      </c>
      <c r="F3132" t="inlineStr">
        <is>
          <t>la Recarga y mantenimiento</t>
        </is>
      </c>
      <c r="G3132" t="inlineStr">
        <is>
          <t>01</t>
        </is>
      </c>
      <c r="H3132" t="inlineStr">
        <is>
          <t>06 KG</t>
        </is>
      </c>
      <c r="I3132" t="inlineStr">
        <is>
          <t xml:space="preserve">VIGENTE </t>
        </is>
      </c>
      <c r="J3132" t="n">
        <v>2019</v>
      </c>
      <c r="K3132" t="inlineStr">
        <is>
          <t>JULIO 2025</t>
        </is>
      </c>
      <c r="L3132" t="inlineStr">
        <is>
          <t>JULIO 2026</t>
        </is>
      </c>
      <c r="M3132" t="inlineStr">
        <is>
          <t>P.Q.S TIPO ABC</t>
        </is>
      </c>
      <c r="N3132" t="inlineStr">
        <is>
          <t>000033</t>
        </is>
      </c>
      <c r="O3132" t="inlineStr">
        <is>
          <t>R</t>
        </is>
      </c>
      <c r="P3132">
        <f>TRIM(N3132)</f>
        <v/>
      </c>
    </row>
    <row r="3133">
      <c r="A3133" t="inlineStr">
        <is>
          <t>CO-002364</t>
        </is>
      </c>
      <c r="B3133" t="inlineStr">
        <is>
          <t>MAGALY CHUNGA</t>
        </is>
      </c>
      <c r="D3133" t="inlineStr">
        <is>
          <t>MERCADO FRONTERA - PSTO H1</t>
        </is>
      </c>
      <c r="E3133" t="inlineStr">
        <is>
          <t>Lima, 04 de julio de 2025</t>
        </is>
      </c>
      <c r="F3133" t="inlineStr">
        <is>
          <t>la Recarga y mantenimiento</t>
        </is>
      </c>
      <c r="G3133" t="inlineStr">
        <is>
          <t>01</t>
        </is>
      </c>
      <c r="H3133" t="inlineStr">
        <is>
          <t>06 KG</t>
        </is>
      </c>
      <c r="I3133" t="inlineStr">
        <is>
          <t xml:space="preserve">VIGENTE </t>
        </is>
      </c>
      <c r="J3133" t="n">
        <v>2012</v>
      </c>
      <c r="K3133" t="inlineStr">
        <is>
          <t>JULIO 2025</t>
        </is>
      </c>
      <c r="L3133" t="inlineStr">
        <is>
          <t>JULIO 2026</t>
        </is>
      </c>
      <c r="M3133" t="inlineStr">
        <is>
          <t>P.Q.S TIPO ABC</t>
        </is>
      </c>
      <c r="N3133" t="inlineStr">
        <is>
          <t>006618</t>
        </is>
      </c>
      <c r="O3133" t="inlineStr">
        <is>
          <t>R</t>
        </is>
      </c>
      <c r="P3133">
        <f>TRIM(N3133)</f>
        <v/>
      </c>
    </row>
    <row r="3134">
      <c r="A3134" t="inlineStr">
        <is>
          <t>CO-002365</t>
        </is>
      </c>
      <c r="B3134" t="inlineStr">
        <is>
          <t xml:space="preserve">ELVIRA VEGA </t>
        </is>
      </c>
      <c r="D3134" t="inlineStr">
        <is>
          <t>MERCADO FRONTERA - PSTO F31</t>
        </is>
      </c>
      <c r="E3134" t="inlineStr">
        <is>
          <t>Lima, 04 de julio de 2025</t>
        </is>
      </c>
      <c r="F3134" t="inlineStr">
        <is>
          <t>la Recarga y mantenimiento</t>
        </is>
      </c>
      <c r="G3134" t="inlineStr">
        <is>
          <t>01</t>
        </is>
      </c>
      <c r="H3134" t="inlineStr">
        <is>
          <t>06 KG</t>
        </is>
      </c>
      <c r="I3134" t="inlineStr">
        <is>
          <t xml:space="preserve">VIGENTE </t>
        </is>
      </c>
      <c r="J3134" t="n">
        <v>2017</v>
      </c>
      <c r="K3134" t="inlineStr">
        <is>
          <t>JULIO 2025</t>
        </is>
      </c>
      <c r="L3134" t="inlineStr">
        <is>
          <t>JULIO 2026</t>
        </is>
      </c>
      <c r="M3134" t="inlineStr">
        <is>
          <t>P.Q.S TIPO ABC</t>
        </is>
      </c>
      <c r="N3134" t="inlineStr">
        <is>
          <t>000266</t>
        </is>
      </c>
      <c r="O3134" t="inlineStr">
        <is>
          <t>R</t>
        </is>
      </c>
      <c r="P3134">
        <f>TRIM(N3134)</f>
        <v/>
      </c>
    </row>
    <row r="3135">
      <c r="A3135" t="inlineStr">
        <is>
          <t>CO-002366</t>
        </is>
      </c>
      <c r="B3135" t="inlineStr">
        <is>
          <t xml:space="preserve">MARIA RAMOS </t>
        </is>
      </c>
      <c r="D3135" t="inlineStr">
        <is>
          <t>MERCADO FRONTERA - PSTO G14</t>
        </is>
      </c>
      <c r="E3135" t="inlineStr">
        <is>
          <t>Lima, 04 de julio de 2025</t>
        </is>
      </c>
      <c r="F3135" t="inlineStr">
        <is>
          <t>la Recarga y mantenimiento</t>
        </is>
      </c>
      <c r="G3135" t="inlineStr">
        <is>
          <t>01</t>
        </is>
      </c>
      <c r="H3135" t="inlineStr">
        <is>
          <t>06 KG</t>
        </is>
      </c>
      <c r="I3135" t="inlineStr">
        <is>
          <t xml:space="preserve">VIGENTE </t>
        </is>
      </c>
      <c r="J3135" t="n">
        <v>2016</v>
      </c>
      <c r="K3135" t="inlineStr">
        <is>
          <t>JULIO 2025</t>
        </is>
      </c>
      <c r="L3135" t="inlineStr">
        <is>
          <t>JULIO 2026</t>
        </is>
      </c>
      <c r="M3135" t="inlineStr">
        <is>
          <t>P.Q.S TIPO ABC</t>
        </is>
      </c>
      <c r="N3135" t="inlineStr">
        <is>
          <t>001160</t>
        </is>
      </c>
      <c r="O3135" t="inlineStr">
        <is>
          <t>R</t>
        </is>
      </c>
      <c r="P3135">
        <f>TRIM(N3135)</f>
        <v/>
      </c>
    </row>
    <row r="3136">
      <c r="A3136" t="inlineStr">
        <is>
          <t>CO-002367</t>
        </is>
      </c>
      <c r="B3136" t="inlineStr">
        <is>
          <t xml:space="preserve">EDELMIRA RODRIGUEZ </t>
        </is>
      </c>
      <c r="D3136" t="inlineStr">
        <is>
          <t>MERCADO FRONTERA - PSTO E1</t>
        </is>
      </c>
      <c r="E3136" t="inlineStr">
        <is>
          <t>Lima, 04 de julio de 2025</t>
        </is>
      </c>
      <c r="F3136" t="inlineStr">
        <is>
          <t>la Recarga y mantenimiento</t>
        </is>
      </c>
      <c r="G3136" t="inlineStr">
        <is>
          <t>01</t>
        </is>
      </c>
      <c r="H3136" t="inlineStr">
        <is>
          <t xml:space="preserve">06 KG </t>
        </is>
      </c>
      <c r="I3136" t="inlineStr">
        <is>
          <t xml:space="preserve">VIGENTE </t>
        </is>
      </c>
      <c r="J3136" t="n">
        <v>2010</v>
      </c>
      <c r="K3136" t="inlineStr">
        <is>
          <t>JULIO 2025</t>
        </is>
      </c>
      <c r="L3136" t="inlineStr">
        <is>
          <t>JULIO 2026</t>
        </is>
      </c>
      <c r="M3136" t="inlineStr">
        <is>
          <t>P.Q.S TIPO ABC</t>
        </is>
      </c>
      <c r="N3136" t="inlineStr">
        <is>
          <t>005463</t>
        </is>
      </c>
      <c r="O3136" t="inlineStr">
        <is>
          <t>R</t>
        </is>
      </c>
      <c r="P3136">
        <f>TRIM(N3136)</f>
        <v/>
      </c>
    </row>
    <row r="3137">
      <c r="A3137" t="inlineStr">
        <is>
          <t>CO-002368</t>
        </is>
      </c>
      <c r="B3137" t="inlineStr">
        <is>
          <t xml:space="preserve">RAQUEL LOAYZA </t>
        </is>
      </c>
      <c r="D3137" t="inlineStr">
        <is>
          <t>MERCADO FRONTERA - PSTO F7</t>
        </is>
      </c>
      <c r="E3137" t="inlineStr">
        <is>
          <t>Lima, 04 de julio de 2025</t>
        </is>
      </c>
      <c r="F3137" t="inlineStr">
        <is>
          <t>la Recarga y mantenimiento</t>
        </is>
      </c>
      <c r="G3137" t="inlineStr">
        <is>
          <t>01</t>
        </is>
      </c>
      <c r="H3137" t="inlineStr">
        <is>
          <t>06 KG</t>
        </is>
      </c>
      <c r="I3137" t="inlineStr">
        <is>
          <t xml:space="preserve">VIGENTE </t>
        </is>
      </c>
      <c r="J3137" t="n">
        <v>2016</v>
      </c>
      <c r="K3137" t="inlineStr">
        <is>
          <t>JULIO 2025</t>
        </is>
      </c>
      <c r="L3137" t="inlineStr">
        <is>
          <t>JULIO 2026</t>
        </is>
      </c>
      <c r="M3137" t="inlineStr">
        <is>
          <t>P.Q.S TIPO ABC</t>
        </is>
      </c>
      <c r="N3137" t="inlineStr">
        <is>
          <t>000426</t>
        </is>
      </c>
      <c r="O3137" t="inlineStr">
        <is>
          <t>R</t>
        </is>
      </c>
      <c r="P3137">
        <f>TRIM(N3137)</f>
        <v/>
      </c>
    </row>
    <row r="3138">
      <c r="A3138" t="inlineStr">
        <is>
          <t>CO-002369</t>
        </is>
      </c>
      <c r="B3138" t="inlineStr">
        <is>
          <t xml:space="preserve">JUDIT YUNBATO </t>
        </is>
      </c>
      <c r="D3138" t="inlineStr">
        <is>
          <t>MERCADO FRONTERA - PSTO E13</t>
        </is>
      </c>
      <c r="E3138" t="inlineStr">
        <is>
          <t>Lima, 04 de julio de 2025</t>
        </is>
      </c>
      <c r="F3138" t="inlineStr">
        <is>
          <t>la Recarga y mantenimiento</t>
        </is>
      </c>
      <c r="G3138" t="inlineStr">
        <is>
          <t>01</t>
        </is>
      </c>
      <c r="H3138" t="inlineStr">
        <is>
          <t>06 KG</t>
        </is>
      </c>
      <c r="I3138" t="inlineStr">
        <is>
          <t xml:space="preserve">VIGENTE </t>
        </is>
      </c>
      <c r="J3138" t="n">
        <v>2013</v>
      </c>
      <c r="K3138" t="inlineStr">
        <is>
          <t>JULIO 2025</t>
        </is>
      </c>
      <c r="L3138" t="inlineStr">
        <is>
          <t>JULIO 2026</t>
        </is>
      </c>
      <c r="M3138" t="inlineStr">
        <is>
          <t>P.Q.S TIPO ABC</t>
        </is>
      </c>
      <c r="N3138" t="inlineStr">
        <is>
          <t>004407</t>
        </is>
      </c>
      <c r="O3138" t="inlineStr">
        <is>
          <t>R</t>
        </is>
      </c>
      <c r="P3138">
        <f>TRIM(N3138)</f>
        <v/>
      </c>
    </row>
    <row r="3139">
      <c r="A3139" t="inlineStr">
        <is>
          <t>CO-002370</t>
        </is>
      </c>
      <c r="B3139" t="inlineStr">
        <is>
          <t>MAGALY CHUNGA</t>
        </is>
      </c>
      <c r="D3139" t="inlineStr">
        <is>
          <t xml:space="preserve">MERCADO FRONTERA - PSTO D1 </t>
        </is>
      </c>
      <c r="E3139" t="inlineStr">
        <is>
          <t>Lima, 04 de julio de 2025</t>
        </is>
      </c>
      <c r="F3139" t="inlineStr">
        <is>
          <t>la Recarga y mantenimiento</t>
        </is>
      </c>
      <c r="G3139" t="inlineStr">
        <is>
          <t>01</t>
        </is>
      </c>
      <c r="H3139" t="inlineStr">
        <is>
          <t>06 KG</t>
        </is>
      </c>
      <c r="I3139" t="inlineStr">
        <is>
          <t xml:space="preserve">VIGENTE </t>
        </is>
      </c>
      <c r="J3139" t="n">
        <v>2019</v>
      </c>
      <c r="K3139" t="inlineStr">
        <is>
          <t>JULIO 2025</t>
        </is>
      </c>
      <c r="L3139" t="inlineStr">
        <is>
          <t>JULIO 2026</t>
        </is>
      </c>
      <c r="M3139" t="inlineStr">
        <is>
          <t>P.Q.S TIPO ABC</t>
        </is>
      </c>
      <c r="N3139" t="inlineStr">
        <is>
          <t>001857</t>
        </is>
      </c>
      <c r="O3139" t="inlineStr">
        <is>
          <t>R</t>
        </is>
      </c>
      <c r="P3139">
        <f>TRIM(N3139)</f>
        <v/>
      </c>
    </row>
    <row r="3140">
      <c r="A3140" t="inlineStr">
        <is>
          <t>CO-002371</t>
        </is>
      </c>
      <c r="B3140" t="inlineStr">
        <is>
          <t xml:space="preserve">JESUS URETA </t>
        </is>
      </c>
      <c r="D3140" t="inlineStr">
        <is>
          <t>MERCADO FRONTERA -  PSTO A7</t>
        </is>
      </c>
      <c r="E3140" t="inlineStr">
        <is>
          <t>Lima, 04 de julio de 2025</t>
        </is>
      </c>
      <c r="F3140" t="inlineStr">
        <is>
          <t>la Recarga y mantenimiento</t>
        </is>
      </c>
      <c r="G3140" t="inlineStr">
        <is>
          <t>01</t>
        </is>
      </c>
      <c r="H3140" t="inlineStr">
        <is>
          <t>06 KG</t>
        </is>
      </c>
      <c r="I3140" t="inlineStr">
        <is>
          <t xml:space="preserve">VIGENTE </t>
        </is>
      </c>
      <c r="J3140" t="n">
        <v>2015</v>
      </c>
      <c r="K3140" t="inlineStr">
        <is>
          <t>JULIO 2025</t>
        </is>
      </c>
      <c r="L3140" t="inlineStr">
        <is>
          <t>JULIO 2026</t>
        </is>
      </c>
      <c r="M3140" t="inlineStr">
        <is>
          <t>P.Q.S TIPO ABC</t>
        </is>
      </c>
      <c r="N3140" t="inlineStr">
        <is>
          <t>001991</t>
        </is>
      </c>
      <c r="O3140" t="inlineStr">
        <is>
          <t>R</t>
        </is>
      </c>
      <c r="P3140">
        <f>TRIM(N3140)</f>
        <v/>
      </c>
    </row>
    <row r="3141">
      <c r="A3141" t="inlineStr">
        <is>
          <t>CO-002372</t>
        </is>
      </c>
      <c r="B3141" t="inlineStr">
        <is>
          <t xml:space="preserve">ADELA MARTINEZ </t>
        </is>
      </c>
      <c r="D3141" t="inlineStr">
        <is>
          <t>MERCADO FRONTERA - PSTO F29</t>
        </is>
      </c>
      <c r="E3141" t="inlineStr">
        <is>
          <t>Lima, 04 de julio de 2025</t>
        </is>
      </c>
      <c r="F3141" t="inlineStr">
        <is>
          <t>la Recarga y mantenimiento</t>
        </is>
      </c>
      <c r="G3141" t="inlineStr">
        <is>
          <t>01</t>
        </is>
      </c>
      <c r="H3141" t="inlineStr">
        <is>
          <t>06 KG</t>
        </is>
      </c>
      <c r="I3141" t="inlineStr">
        <is>
          <t xml:space="preserve">VIGENTE </t>
        </is>
      </c>
      <c r="J3141" t="n">
        <v>2016</v>
      </c>
      <c r="K3141" t="inlineStr">
        <is>
          <t>JULIO 2025</t>
        </is>
      </c>
      <c r="L3141" t="inlineStr">
        <is>
          <t>JULIO 2026</t>
        </is>
      </c>
      <c r="M3141" t="inlineStr">
        <is>
          <t>P.Q.S TIPO ABC</t>
        </is>
      </c>
      <c r="N3141" t="inlineStr">
        <is>
          <t>000763</t>
        </is>
      </c>
      <c r="O3141" t="inlineStr">
        <is>
          <t>R</t>
        </is>
      </c>
      <c r="P3141">
        <f>TRIM(N3141)</f>
        <v/>
      </c>
    </row>
    <row r="3142">
      <c r="A3142" t="inlineStr">
        <is>
          <t>CO-002373</t>
        </is>
      </c>
      <c r="B3142" t="inlineStr">
        <is>
          <t xml:space="preserve">MILAGROS VALLEJOS </t>
        </is>
      </c>
      <c r="D3142" t="inlineStr">
        <is>
          <t>MERCADO FRONTERA - PSTO G17</t>
        </is>
      </c>
      <c r="E3142" t="inlineStr">
        <is>
          <t>Lima, 04 de julio de 2025</t>
        </is>
      </c>
      <c r="F3142" t="inlineStr">
        <is>
          <t>la Recarga y mantenimiento</t>
        </is>
      </c>
      <c r="G3142" t="inlineStr">
        <is>
          <t>01</t>
        </is>
      </c>
      <c r="H3142" t="inlineStr">
        <is>
          <t>06 KG</t>
        </is>
      </c>
      <c r="I3142" t="inlineStr">
        <is>
          <t xml:space="preserve">VIGENTE </t>
        </is>
      </c>
      <c r="J3142" t="n">
        <v>2015</v>
      </c>
      <c r="K3142" t="inlineStr">
        <is>
          <t>JULIO 2025</t>
        </is>
      </c>
      <c r="L3142" t="inlineStr">
        <is>
          <t>JULIO 2026</t>
        </is>
      </c>
      <c r="M3142" t="inlineStr">
        <is>
          <t>P.Q.S TIPO ABC</t>
        </is>
      </c>
      <c r="N3142" t="inlineStr">
        <is>
          <t>000471</t>
        </is>
      </c>
      <c r="O3142" t="inlineStr">
        <is>
          <t>R</t>
        </is>
      </c>
      <c r="P3142">
        <f>TRIM(N3142)</f>
        <v/>
      </c>
    </row>
    <row r="3143">
      <c r="A3143" t="inlineStr">
        <is>
          <t>CO-002374</t>
        </is>
      </c>
      <c r="B3143" t="inlineStr">
        <is>
          <t xml:space="preserve">MARIA ISABEL </t>
        </is>
      </c>
      <c r="D3143" t="inlineStr">
        <is>
          <t>MERCADO FRONTERA - PSTO H5</t>
        </is>
      </c>
      <c r="E3143" t="inlineStr">
        <is>
          <t>Lima, 04 de julio de 2025</t>
        </is>
      </c>
      <c r="F3143" t="inlineStr">
        <is>
          <t>la Recarga y mantenimiento</t>
        </is>
      </c>
      <c r="G3143" t="inlineStr">
        <is>
          <t>01</t>
        </is>
      </c>
      <c r="H3143" t="inlineStr">
        <is>
          <t xml:space="preserve">04 KG </t>
        </is>
      </c>
      <c r="I3143" t="inlineStr">
        <is>
          <t xml:space="preserve">VIGENTE </t>
        </is>
      </c>
      <c r="J3143" t="n">
        <v>2010</v>
      </c>
      <c r="K3143" t="inlineStr">
        <is>
          <t>JULIO 2025</t>
        </is>
      </c>
      <c r="L3143" t="inlineStr">
        <is>
          <t>JULIO 2026</t>
        </is>
      </c>
      <c r="M3143" t="inlineStr">
        <is>
          <t>P.Q.S TIPO ABC</t>
        </is>
      </c>
      <c r="N3143" t="inlineStr">
        <is>
          <t>008299</t>
        </is>
      </c>
      <c r="O3143" t="inlineStr">
        <is>
          <t>R</t>
        </is>
      </c>
      <c r="P3143">
        <f>TRIM(N3143)</f>
        <v/>
      </c>
    </row>
    <row r="3144">
      <c r="A3144" t="inlineStr">
        <is>
          <t>CO-002375</t>
        </is>
      </c>
      <c r="B3144" t="inlineStr">
        <is>
          <t xml:space="preserve">MARIBEL URETA </t>
        </is>
      </c>
      <c r="D3144" t="inlineStr">
        <is>
          <t>MERCADO FRONTERA - PSTO A6</t>
        </is>
      </c>
      <c r="E3144" t="inlineStr">
        <is>
          <t>Lima, 04 de julio de 2025</t>
        </is>
      </c>
      <c r="F3144" t="inlineStr">
        <is>
          <t>la Recarga y mantenimiento</t>
        </is>
      </c>
      <c r="G3144" t="inlineStr">
        <is>
          <t>01</t>
        </is>
      </c>
      <c r="H3144" t="inlineStr">
        <is>
          <t>06 KG</t>
        </is>
      </c>
      <c r="I3144" t="inlineStr">
        <is>
          <t xml:space="preserve">VIGENTE </t>
        </is>
      </c>
      <c r="J3144" t="n">
        <v>2019</v>
      </c>
      <c r="K3144" t="inlineStr">
        <is>
          <t>JULIO 2025</t>
        </is>
      </c>
      <c r="L3144" t="inlineStr">
        <is>
          <t>JULIO 2026</t>
        </is>
      </c>
      <c r="M3144" t="inlineStr">
        <is>
          <t>P.Q.S TIPO ABC</t>
        </is>
      </c>
      <c r="N3144" t="inlineStr">
        <is>
          <t>008682</t>
        </is>
      </c>
      <c r="O3144" t="inlineStr">
        <is>
          <t>R</t>
        </is>
      </c>
      <c r="P3144">
        <f>TRIM(N3144)</f>
        <v/>
      </c>
    </row>
    <row r="3145">
      <c r="A3145" t="inlineStr">
        <is>
          <t>CO-002376</t>
        </is>
      </c>
      <c r="B3145" t="inlineStr">
        <is>
          <t xml:space="preserve">EDELMIRA CORSELO </t>
        </is>
      </c>
      <c r="D3145" t="inlineStr">
        <is>
          <t>MERCADO FRONTERA - PSTO H8</t>
        </is>
      </c>
      <c r="E3145" t="inlineStr">
        <is>
          <t>Lima, 04 de julio de 2025</t>
        </is>
      </c>
      <c r="F3145" t="inlineStr">
        <is>
          <t>la Recarga y mantenimiento</t>
        </is>
      </c>
      <c r="G3145" t="inlineStr">
        <is>
          <t>01</t>
        </is>
      </c>
      <c r="H3145" t="inlineStr">
        <is>
          <t>06 KG</t>
        </is>
      </c>
      <c r="I3145" t="inlineStr">
        <is>
          <t xml:space="preserve">VIGENTE </t>
        </is>
      </c>
      <c r="J3145" t="n">
        <v>2017</v>
      </c>
      <c r="K3145" t="inlineStr">
        <is>
          <t>JULIO 2025</t>
        </is>
      </c>
      <c r="L3145" t="inlineStr">
        <is>
          <t>JULIO 2026</t>
        </is>
      </c>
      <c r="M3145" t="inlineStr">
        <is>
          <t>P.Q.S TIPO ABC</t>
        </is>
      </c>
      <c r="N3145" t="inlineStr">
        <is>
          <t>001598</t>
        </is>
      </c>
      <c r="O3145" t="inlineStr">
        <is>
          <t>R</t>
        </is>
      </c>
      <c r="P3145">
        <f>TRIM(N3145)</f>
        <v/>
      </c>
    </row>
    <row r="3146">
      <c r="A3146" t="inlineStr">
        <is>
          <t>CO-002377</t>
        </is>
      </c>
      <c r="B3146" t="inlineStr">
        <is>
          <t xml:space="preserve">MARLENI DURAN </t>
        </is>
      </c>
      <c r="D3146" t="inlineStr">
        <is>
          <t>MERCADO FRONTERA -  PSTO J13</t>
        </is>
      </c>
      <c r="E3146" t="inlineStr">
        <is>
          <t>Lima, 04 de julio de 2025</t>
        </is>
      </c>
      <c r="F3146" t="inlineStr">
        <is>
          <t>la Recarga y mantenimiento</t>
        </is>
      </c>
      <c r="G3146" t="inlineStr">
        <is>
          <t>01</t>
        </is>
      </c>
      <c r="H3146" t="inlineStr">
        <is>
          <t>06 KG</t>
        </is>
      </c>
      <c r="I3146" t="inlineStr">
        <is>
          <t xml:space="preserve">VIGENTE </t>
        </is>
      </c>
      <c r="J3146" t="n">
        <v>2016</v>
      </c>
      <c r="K3146" t="inlineStr">
        <is>
          <t>JULIO 2025</t>
        </is>
      </c>
      <c r="L3146" t="inlineStr">
        <is>
          <t>JULIO 2026</t>
        </is>
      </c>
      <c r="M3146" t="inlineStr">
        <is>
          <t>P.Q.S TIPO ABC</t>
        </is>
      </c>
      <c r="N3146" t="inlineStr">
        <is>
          <t>000582</t>
        </is>
      </c>
      <c r="O3146" t="inlineStr">
        <is>
          <t>R</t>
        </is>
      </c>
      <c r="P3146">
        <f>TRIM(N3146)</f>
        <v/>
      </c>
    </row>
    <row r="3147">
      <c r="A3147" t="inlineStr">
        <is>
          <t>CO-002378</t>
        </is>
      </c>
      <c r="B3147" t="inlineStr">
        <is>
          <t xml:space="preserve">ELVA DE LA CRUZ </t>
        </is>
      </c>
      <c r="D3147" t="inlineStr">
        <is>
          <t>MERCADO FRONTERA - PSTO F32</t>
        </is>
      </c>
      <c r="E3147" t="inlineStr">
        <is>
          <t>Lima, 04 de julio de 2025</t>
        </is>
      </c>
      <c r="F3147" t="inlineStr">
        <is>
          <t>la Recarga y mantenimiento</t>
        </is>
      </c>
      <c r="G3147" t="inlineStr">
        <is>
          <t>01</t>
        </is>
      </c>
      <c r="H3147" t="inlineStr">
        <is>
          <t xml:space="preserve">02 KG </t>
        </is>
      </c>
      <c r="I3147" t="inlineStr">
        <is>
          <t xml:space="preserve">VIGENTE </t>
        </is>
      </c>
      <c r="J3147" t="n">
        <v>2016</v>
      </c>
      <c r="K3147" t="inlineStr">
        <is>
          <t>JULIO 2025</t>
        </is>
      </c>
      <c r="L3147" t="inlineStr">
        <is>
          <t>JULIO 2026</t>
        </is>
      </c>
      <c r="M3147" t="inlineStr">
        <is>
          <t>P.Q.S TIPO ABC</t>
        </is>
      </c>
      <c r="N3147" t="inlineStr">
        <is>
          <t>031030</t>
        </is>
      </c>
      <c r="O3147" t="inlineStr">
        <is>
          <t>R</t>
        </is>
      </c>
      <c r="P3147">
        <f>TRIM(N3147)</f>
        <v/>
      </c>
    </row>
    <row r="3148">
      <c r="A3148" t="inlineStr">
        <is>
          <t>CO-002379</t>
        </is>
      </c>
      <c r="B3148" t="inlineStr">
        <is>
          <t xml:space="preserve">FELIPE BAUTISTA </t>
        </is>
      </c>
      <c r="D3148" t="inlineStr">
        <is>
          <t>MERCADO FRONTERA - PSTO  F14</t>
        </is>
      </c>
      <c r="E3148" t="inlineStr">
        <is>
          <t>Lima, 04 de julio de 2025</t>
        </is>
      </c>
      <c r="F3148" t="inlineStr">
        <is>
          <t>la Recarga y mantenimiento</t>
        </is>
      </c>
      <c r="G3148" t="inlineStr">
        <is>
          <t>01</t>
        </is>
      </c>
      <c r="H3148" t="inlineStr">
        <is>
          <t xml:space="preserve">02 KG </t>
        </is>
      </c>
      <c r="I3148" t="inlineStr">
        <is>
          <t>2027</t>
        </is>
      </c>
      <c r="J3148" t="n">
        <v>2022</v>
      </c>
      <c r="K3148" t="inlineStr">
        <is>
          <t>JULIO 2025</t>
        </is>
      </c>
      <c r="L3148" t="inlineStr">
        <is>
          <t>JULIO 2026</t>
        </is>
      </c>
      <c r="M3148" t="inlineStr">
        <is>
          <t>P.Q.S TIPO ABC</t>
        </is>
      </c>
      <c r="N3148" t="inlineStr">
        <is>
          <t>000705</t>
        </is>
      </c>
      <c r="O3148" t="inlineStr">
        <is>
          <t>R</t>
        </is>
      </c>
      <c r="P3148">
        <f>TRIM(N3148)</f>
        <v/>
      </c>
    </row>
    <row r="3149">
      <c r="A3149" t="inlineStr">
        <is>
          <t>CO-002380</t>
        </is>
      </c>
      <c r="B3149" t="inlineStr">
        <is>
          <t xml:space="preserve">ROXANA GARCIA </t>
        </is>
      </c>
      <c r="D3149" t="inlineStr">
        <is>
          <t>MERCADO FRONTERA - PSTO F13</t>
        </is>
      </c>
      <c r="E3149" t="inlineStr">
        <is>
          <t>Lima, 04 de julio de 2025</t>
        </is>
      </c>
      <c r="F3149" t="inlineStr">
        <is>
          <t>la Recarga y mantenimiento</t>
        </is>
      </c>
      <c r="G3149" t="inlineStr">
        <is>
          <t>01</t>
        </is>
      </c>
      <c r="H3149" t="inlineStr">
        <is>
          <t xml:space="preserve">02 KG </t>
        </is>
      </c>
      <c r="I3149" t="inlineStr">
        <is>
          <t>2017</t>
        </is>
      </c>
      <c r="J3149" t="n">
        <v>2017</v>
      </c>
      <c r="K3149" t="inlineStr">
        <is>
          <t>JULIO 2025</t>
        </is>
      </c>
      <c r="L3149" t="inlineStr">
        <is>
          <t>JULIO 2026</t>
        </is>
      </c>
      <c r="M3149" t="inlineStr">
        <is>
          <t>P.Q.S TIPO ABC</t>
        </is>
      </c>
      <c r="N3149" t="inlineStr">
        <is>
          <t>001001</t>
        </is>
      </c>
      <c r="O3149" t="inlineStr">
        <is>
          <t>R</t>
        </is>
      </c>
      <c r="P3149">
        <f>TRIM(N3149)</f>
        <v/>
      </c>
    </row>
    <row r="3150">
      <c r="A3150" t="inlineStr">
        <is>
          <t>CO-002381</t>
        </is>
      </c>
      <c r="B3150" t="inlineStr">
        <is>
          <t xml:space="preserve">CRISTINA </t>
        </is>
      </c>
      <c r="D3150" t="inlineStr">
        <is>
          <t xml:space="preserve">MERCADO FRONTERA - PSTO I4 </t>
        </is>
      </c>
      <c r="E3150" t="inlineStr">
        <is>
          <t>Lima, 10 de julio de 2025</t>
        </is>
      </c>
      <c r="F3150" t="inlineStr">
        <is>
          <t>la Recarga y mantenimiento</t>
        </is>
      </c>
      <c r="G3150" t="inlineStr">
        <is>
          <t>01</t>
        </is>
      </c>
      <c r="H3150" t="inlineStr">
        <is>
          <t xml:space="preserve">10 LBS </t>
        </is>
      </c>
      <c r="I3150" t="inlineStr">
        <is>
          <t>2028</t>
        </is>
      </c>
      <c r="J3150" t="n">
        <v>2015</v>
      </c>
      <c r="K3150" t="inlineStr">
        <is>
          <t>JULIO 2025</t>
        </is>
      </c>
      <c r="L3150" t="inlineStr">
        <is>
          <t>JULIO 2026</t>
        </is>
      </c>
      <c r="M3150" t="inlineStr">
        <is>
          <t xml:space="preserve">CO2 TIPO BC </t>
        </is>
      </c>
      <c r="N3150" t="inlineStr">
        <is>
          <t>000089</t>
        </is>
      </c>
      <c r="O3150" t="inlineStr">
        <is>
          <t>R</t>
        </is>
      </c>
      <c r="P3150">
        <f>TRIM(N3150)</f>
        <v/>
      </c>
    </row>
    <row r="3151">
      <c r="A3151" t="inlineStr">
        <is>
          <t>CO-002382</t>
        </is>
      </c>
      <c r="B3151" t="inlineStr">
        <is>
          <t xml:space="preserve">PAOLA ROCHA </t>
        </is>
      </c>
      <c r="D3151" t="inlineStr">
        <is>
          <t>MERCADO FRONTERA - PSTO M1</t>
        </is>
      </c>
      <c r="E3151" t="inlineStr">
        <is>
          <t>Lima, 04 de julio de 2025</t>
        </is>
      </c>
      <c r="F3151" t="inlineStr">
        <is>
          <t>la Recarga y mantenimiento</t>
        </is>
      </c>
      <c r="G3151" t="inlineStr">
        <is>
          <t>01</t>
        </is>
      </c>
      <c r="H3151" t="inlineStr">
        <is>
          <t>2.5 GLS</t>
        </is>
      </c>
      <c r="I3151" t="inlineStr">
        <is>
          <t>VIGENTE</t>
        </is>
      </c>
      <c r="J3151" t="n">
        <v>2019</v>
      </c>
      <c r="K3151" t="inlineStr">
        <is>
          <t>JULIO 2025</t>
        </is>
      </c>
      <c r="L3151" t="inlineStr">
        <is>
          <t>JULIO 2026</t>
        </is>
      </c>
      <c r="M3151" t="inlineStr">
        <is>
          <t>ACETATO</t>
        </is>
      </c>
      <c r="N3151" t="inlineStr">
        <is>
          <t>0000030</t>
        </is>
      </c>
      <c r="O3151" t="inlineStr">
        <is>
          <t>R</t>
        </is>
      </c>
      <c r="P3151">
        <f>TRIM(N3151)</f>
        <v/>
      </c>
    </row>
    <row r="3152">
      <c r="A3152" t="inlineStr">
        <is>
          <t>CO-002383</t>
        </is>
      </c>
      <c r="B3152" t="inlineStr">
        <is>
          <t xml:space="preserve">MARIA TORRES </t>
        </is>
      </c>
      <c r="D3152" t="inlineStr">
        <is>
          <t>MERCADO FRONTERA - PSTO F2</t>
        </is>
      </c>
      <c r="E3152" t="inlineStr">
        <is>
          <t>Lima, 04 de julio de 2025</t>
        </is>
      </c>
      <c r="F3152" t="inlineStr">
        <is>
          <t>la Recarga y mantenimiento</t>
        </is>
      </c>
      <c r="G3152" t="inlineStr">
        <is>
          <t>01</t>
        </is>
      </c>
      <c r="H3152" t="inlineStr">
        <is>
          <t>06 KG</t>
        </is>
      </c>
      <c r="I3152" t="inlineStr">
        <is>
          <t>2028</t>
        </is>
      </c>
      <c r="J3152" t="n">
        <v>2017</v>
      </c>
      <c r="K3152" t="inlineStr">
        <is>
          <t>JULIO 2025</t>
        </is>
      </c>
      <c r="L3152" t="inlineStr">
        <is>
          <t>JULIO 2026</t>
        </is>
      </c>
      <c r="M3152" t="inlineStr">
        <is>
          <t>P.Q.S TIPO ABC</t>
        </is>
      </c>
      <c r="N3152" t="inlineStr">
        <is>
          <t>000253</t>
        </is>
      </c>
      <c r="O3152" t="inlineStr">
        <is>
          <t>R</t>
        </is>
      </c>
      <c r="P3152">
        <f>TRIM(N3152)</f>
        <v/>
      </c>
    </row>
    <row r="3153">
      <c r="A3153" t="inlineStr">
        <is>
          <t>CO-002384</t>
        </is>
      </c>
      <c r="B3153" t="inlineStr">
        <is>
          <t xml:space="preserve">WENLIA MORALES </t>
        </is>
      </c>
      <c r="D3153" t="inlineStr">
        <is>
          <t>MERCADO FRONTERA - PSTO F28</t>
        </is>
      </c>
      <c r="E3153" t="inlineStr">
        <is>
          <t>Lima, 04 de julio de 2025</t>
        </is>
      </c>
      <c r="F3153" t="inlineStr">
        <is>
          <t>la Recarga y mantenimiento</t>
        </is>
      </c>
      <c r="G3153" t="inlineStr">
        <is>
          <t>01</t>
        </is>
      </c>
      <c r="H3153" t="inlineStr">
        <is>
          <t>06 KG</t>
        </is>
      </c>
      <c r="I3153" t="inlineStr">
        <is>
          <t>2028</t>
        </is>
      </c>
      <c r="J3153" t="n">
        <v>2023</v>
      </c>
      <c r="K3153" t="inlineStr">
        <is>
          <t>JULIO 2025</t>
        </is>
      </c>
      <c r="L3153" t="inlineStr">
        <is>
          <t>JULIO 2026</t>
        </is>
      </c>
      <c r="M3153" t="inlineStr">
        <is>
          <t>P.Q.S TIPO ABC</t>
        </is>
      </c>
      <c r="N3153" t="inlineStr">
        <is>
          <t>005121</t>
        </is>
      </c>
      <c r="O3153" t="inlineStr">
        <is>
          <t>R</t>
        </is>
      </c>
      <c r="P3153">
        <f>TRIM(N3153)</f>
        <v/>
      </c>
    </row>
    <row r="3154">
      <c r="A3154" t="inlineStr">
        <is>
          <t>CO-002385</t>
        </is>
      </c>
      <c r="B3154" t="inlineStr">
        <is>
          <t xml:space="preserve">ERIKA EUGENIA </t>
        </is>
      </c>
      <c r="D3154" t="inlineStr">
        <is>
          <t>MERCADO FRONTERA - PSTO G13</t>
        </is>
      </c>
      <c r="E3154" t="inlineStr">
        <is>
          <t>Lima, 04 de julio de 2025</t>
        </is>
      </c>
      <c r="F3154" t="inlineStr">
        <is>
          <t>la Recarga y mantenimiento</t>
        </is>
      </c>
      <c r="G3154" t="inlineStr">
        <is>
          <t>01</t>
        </is>
      </c>
      <c r="H3154" t="inlineStr">
        <is>
          <t>06 KG</t>
        </is>
      </c>
      <c r="I3154" t="inlineStr">
        <is>
          <t xml:space="preserve">VIGENTE </t>
        </is>
      </c>
      <c r="J3154" t="n">
        <v>2019</v>
      </c>
      <c r="K3154" t="inlineStr">
        <is>
          <t>JULIO 2025</t>
        </is>
      </c>
      <c r="L3154" t="inlineStr">
        <is>
          <t>JULIO 2026</t>
        </is>
      </c>
      <c r="M3154" t="inlineStr">
        <is>
          <t>P.Q.S TIPO ABC</t>
        </is>
      </c>
      <c r="N3154" t="inlineStr">
        <is>
          <t>031144</t>
        </is>
      </c>
      <c r="O3154" t="inlineStr">
        <is>
          <t>R</t>
        </is>
      </c>
      <c r="P3154">
        <f>TRIM(N3154)</f>
        <v/>
      </c>
    </row>
    <row r="3155">
      <c r="A3155" t="inlineStr">
        <is>
          <t>CO-002386</t>
        </is>
      </c>
      <c r="B3155" t="inlineStr">
        <is>
          <t xml:space="preserve">GISELA SEDAN </t>
        </is>
      </c>
      <c r="D3155" t="inlineStr">
        <is>
          <t>MERCADO FRONTERA - PSTO G7</t>
        </is>
      </c>
      <c r="E3155" t="inlineStr">
        <is>
          <t>Lima, 04 de julio de 2025</t>
        </is>
      </c>
      <c r="F3155" t="inlineStr">
        <is>
          <t>la Recarga y mantenimiento</t>
        </is>
      </c>
      <c r="G3155" t="inlineStr">
        <is>
          <t>01</t>
        </is>
      </c>
      <c r="H3155" t="inlineStr">
        <is>
          <t>06 KG</t>
        </is>
      </c>
      <c r="I3155" t="inlineStr">
        <is>
          <t xml:space="preserve">VIGENTE </t>
        </is>
      </c>
      <c r="J3155" t="n">
        <v>2016</v>
      </c>
      <c r="K3155" t="inlineStr">
        <is>
          <t>JULIO 2025</t>
        </is>
      </c>
      <c r="L3155" t="inlineStr">
        <is>
          <t>JULIO 2026</t>
        </is>
      </c>
      <c r="M3155" t="inlineStr">
        <is>
          <t>P.Q.S TIPO ABC</t>
        </is>
      </c>
      <c r="N3155" t="inlineStr">
        <is>
          <t>148240</t>
        </is>
      </c>
      <c r="O3155" t="inlineStr">
        <is>
          <t>R</t>
        </is>
      </c>
      <c r="P3155">
        <f>TRIM(N3155)</f>
        <v/>
      </c>
    </row>
    <row r="3156">
      <c r="A3156" t="inlineStr">
        <is>
          <t>CO-002387</t>
        </is>
      </c>
      <c r="B3156" t="inlineStr">
        <is>
          <t xml:space="preserve">SANTA MATILDE </t>
        </is>
      </c>
      <c r="D3156" t="inlineStr">
        <is>
          <t>MERCADO FRONTERA - PSTO D3</t>
        </is>
      </c>
      <c r="E3156" t="inlineStr">
        <is>
          <t>Lima, 04 de julio de 2025</t>
        </is>
      </c>
      <c r="F3156" t="inlineStr">
        <is>
          <t>la Recarga y mantenimiento</t>
        </is>
      </c>
      <c r="G3156" t="inlineStr">
        <is>
          <t>01</t>
        </is>
      </c>
      <c r="H3156" t="inlineStr">
        <is>
          <t>04 KG</t>
        </is>
      </c>
      <c r="I3156" t="inlineStr">
        <is>
          <t xml:space="preserve">VIGENTE </t>
        </is>
      </c>
      <c r="J3156" t="n">
        <v>2019</v>
      </c>
      <c r="K3156" t="inlineStr">
        <is>
          <t>JULIO 2025</t>
        </is>
      </c>
      <c r="L3156" t="inlineStr">
        <is>
          <t>JULIO 2026</t>
        </is>
      </c>
      <c r="M3156" t="inlineStr">
        <is>
          <t>P.Q.S TIPO ABC</t>
        </is>
      </c>
      <c r="N3156" t="inlineStr">
        <is>
          <t>080583</t>
        </is>
      </c>
      <c r="O3156" t="inlineStr">
        <is>
          <t>R</t>
        </is>
      </c>
      <c r="P3156">
        <f>TRIM(N3156)</f>
        <v/>
      </c>
    </row>
    <row r="3157">
      <c r="A3157" t="inlineStr">
        <is>
          <t>CO-002388</t>
        </is>
      </c>
      <c r="B3157" t="inlineStr">
        <is>
          <t>PACIFICO COMPAÑÍA DE SEGURO Y REASEGUROS</t>
        </is>
      </c>
      <c r="C3157" t="inlineStr">
        <is>
          <t>20332970411</t>
        </is>
      </c>
      <c r="D3157" t="inlineStr">
        <is>
          <t>AV. MICAELA BASTIDAS N°327  3ER PISO</t>
        </is>
      </c>
      <c r="E3157" t="inlineStr">
        <is>
          <t>Lima, 07 de julio de 2025</t>
        </is>
      </c>
      <c r="F3157" t="inlineStr">
        <is>
          <t>la Recarga y mantenimiento</t>
        </is>
      </c>
      <c r="G3157" t="inlineStr">
        <is>
          <t>01</t>
        </is>
      </c>
      <c r="H3157" t="inlineStr">
        <is>
          <t>10 LBS</t>
        </is>
      </c>
      <c r="I3157" t="inlineStr">
        <is>
          <t>2028</t>
        </is>
      </c>
      <c r="J3157" t="n">
        <v>2023</v>
      </c>
      <c r="K3157" t="inlineStr">
        <is>
          <t>JULIO 2025</t>
        </is>
      </c>
      <c r="L3157" t="inlineStr">
        <is>
          <t>JULIO 2026</t>
        </is>
      </c>
      <c r="M3157" t="inlineStr">
        <is>
          <t xml:space="preserve">CO2 TIPO BC </t>
        </is>
      </c>
      <c r="N3157" t="inlineStr">
        <is>
          <t>000099</t>
        </is>
      </c>
      <c r="O3157" t="inlineStr">
        <is>
          <t>R</t>
        </is>
      </c>
      <c r="P3157">
        <f>TRIM(N3157)</f>
        <v/>
      </c>
    </row>
    <row r="3158">
      <c r="A3158" t="inlineStr">
        <is>
          <t>CO-002389</t>
        </is>
      </c>
      <c r="B3158" t="inlineStr">
        <is>
          <t>CELESTINO POMA</t>
        </is>
      </c>
      <c r="D3158" t="inlineStr">
        <is>
          <t>MERCADO FRONTERA - PSTO K5</t>
        </is>
      </c>
      <c r="E3158" t="inlineStr">
        <is>
          <t>Lima, 07 de julio de 2025</t>
        </is>
      </c>
      <c r="F3158" t="inlineStr">
        <is>
          <t>la Recarga y mantenimiento</t>
        </is>
      </c>
      <c r="G3158" t="inlineStr">
        <is>
          <t>01</t>
        </is>
      </c>
      <c r="H3158" t="inlineStr">
        <is>
          <t>06 KG</t>
        </is>
      </c>
      <c r="I3158" t="inlineStr">
        <is>
          <t>VIGENTE</t>
        </is>
      </c>
      <c r="J3158" t="n">
        <v>2016</v>
      </c>
      <c r="K3158" t="inlineStr">
        <is>
          <t>JULIO 2025</t>
        </is>
      </c>
      <c r="L3158" t="inlineStr">
        <is>
          <t>JULIO 2026</t>
        </is>
      </c>
      <c r="M3158" t="inlineStr">
        <is>
          <t>P.Q.S TIPO ABC</t>
        </is>
      </c>
      <c r="N3158" t="inlineStr">
        <is>
          <t>001384</t>
        </is>
      </c>
      <c r="O3158" t="inlineStr">
        <is>
          <t>R</t>
        </is>
      </c>
      <c r="P3158">
        <f>TRIM(N3158)</f>
        <v/>
      </c>
    </row>
    <row r="3159">
      <c r="A3159" t="inlineStr">
        <is>
          <t>CO-002390</t>
        </is>
      </c>
      <c r="B3159" t="inlineStr">
        <is>
          <t>PERU MASIVO S.A - BUSES</t>
        </is>
      </c>
      <c r="C3159" t="inlineStr">
        <is>
          <t>20492392031</t>
        </is>
      </c>
      <c r="D3159" t="inlineStr">
        <is>
          <t>AV. LOS INCAS CDRA. 4 PATIO NORTE - COMAS</t>
        </is>
      </c>
      <c r="E3159" t="inlineStr">
        <is>
          <t>Lima, 09 de julio de 2025</t>
        </is>
      </c>
      <c r="F3159" t="inlineStr">
        <is>
          <t>la Recarga y mantenimiento</t>
        </is>
      </c>
      <c r="G3159" t="inlineStr">
        <is>
          <t>01</t>
        </is>
      </c>
      <c r="H3159" t="inlineStr">
        <is>
          <t xml:space="preserve">06 KG </t>
        </is>
      </c>
      <c r="I3159" t="inlineStr">
        <is>
          <t>2028</t>
        </is>
      </c>
      <c r="J3159" t="n">
        <v>2007</v>
      </c>
      <c r="K3159" t="inlineStr">
        <is>
          <t>JULIO 2025</t>
        </is>
      </c>
      <c r="L3159" t="inlineStr">
        <is>
          <t>JULIO 2026</t>
        </is>
      </c>
      <c r="M3159" t="inlineStr">
        <is>
          <t>P.Q.S.  TIPO ABC  90% NACIONAL</t>
        </is>
      </c>
      <c r="N3159" t="inlineStr">
        <is>
          <t>232/000037</t>
        </is>
      </c>
      <c r="O3159" t="inlineStr">
        <is>
          <t>R</t>
        </is>
      </c>
      <c r="P3159">
        <f>TRIM(N3159)</f>
        <v/>
      </c>
    </row>
    <row r="3160">
      <c r="A3160" t="inlineStr">
        <is>
          <t>CO-002390</t>
        </is>
      </c>
      <c r="B3160" t="inlineStr">
        <is>
          <t>PERU MASIVO S.A - BUSES</t>
        </is>
      </c>
      <c r="C3160" t="inlineStr">
        <is>
          <t>20492392031</t>
        </is>
      </c>
      <c r="D3160" t="inlineStr">
        <is>
          <t>AV. LOS INCAS CDRA. 4 PATIO NORTE - COMAS</t>
        </is>
      </c>
      <c r="E3160" t="inlineStr">
        <is>
          <t>Lima, 09 de julio de 2025</t>
        </is>
      </c>
      <c r="F3160" t="inlineStr">
        <is>
          <t>la Recarga y mantenimiento</t>
        </is>
      </c>
      <c r="G3160" t="inlineStr">
        <is>
          <t>02</t>
        </is>
      </c>
      <c r="H3160" t="inlineStr">
        <is>
          <t xml:space="preserve">06 KG </t>
        </is>
      </c>
      <c r="I3160" t="inlineStr">
        <is>
          <t>2028</t>
        </is>
      </c>
      <c r="J3160" t="n">
        <v>2010</v>
      </c>
      <c r="K3160" t="inlineStr">
        <is>
          <t>JULIO 2025</t>
        </is>
      </c>
      <c r="L3160" t="inlineStr">
        <is>
          <t>JULIO 2026</t>
        </is>
      </c>
      <c r="M3160" t="inlineStr">
        <is>
          <t>P.Q.S.  TIPO ABC  90% NACIONAL</t>
        </is>
      </c>
      <c r="N3160" t="inlineStr">
        <is>
          <t>12/001612</t>
        </is>
      </c>
      <c r="O3160" t="inlineStr">
        <is>
          <t>R</t>
        </is>
      </c>
      <c r="P3160">
        <f>TRIM(N3160)</f>
        <v/>
      </c>
    </row>
    <row r="3161">
      <c r="A3161" t="inlineStr">
        <is>
          <t>CO-002390</t>
        </is>
      </c>
      <c r="B3161" t="inlineStr">
        <is>
          <t>PERU MASIVO S.A - BUSES</t>
        </is>
      </c>
      <c r="C3161" t="inlineStr">
        <is>
          <t>20492392031</t>
        </is>
      </c>
      <c r="D3161" t="inlineStr">
        <is>
          <t>AV. LOS INCAS CDRA. 4 PATIO NORTE - COMAS</t>
        </is>
      </c>
      <c r="E3161" t="inlineStr">
        <is>
          <t>Lima, 09 de julio de 2025</t>
        </is>
      </c>
      <c r="F3161" t="inlineStr">
        <is>
          <t>la Recarga y mantenimiento</t>
        </is>
      </c>
      <c r="G3161" t="inlineStr">
        <is>
          <t>03</t>
        </is>
      </c>
      <c r="H3161" t="inlineStr">
        <is>
          <t xml:space="preserve">06 KG </t>
        </is>
      </c>
      <c r="I3161" t="inlineStr">
        <is>
          <t>2028</t>
        </is>
      </c>
      <c r="J3161" t="n">
        <v>2009</v>
      </c>
      <c r="K3161" t="inlineStr">
        <is>
          <t>JULIO 2025</t>
        </is>
      </c>
      <c r="L3161" t="inlineStr">
        <is>
          <t>JULIO 2026</t>
        </is>
      </c>
      <c r="M3161" t="inlineStr">
        <is>
          <t>P.Q.S.  TIPO ABC  90% NACIONAL</t>
        </is>
      </c>
      <c r="N3161" t="inlineStr">
        <is>
          <t>234/001842</t>
        </is>
      </c>
      <c r="O3161" t="inlineStr">
        <is>
          <t>R</t>
        </is>
      </c>
      <c r="P3161">
        <f>TRIM(N3161)</f>
        <v/>
      </c>
    </row>
    <row r="3162">
      <c r="A3162" t="inlineStr">
        <is>
          <t>CO-002390</t>
        </is>
      </c>
      <c r="B3162" t="inlineStr">
        <is>
          <t>PERU MASIVO S.A - BUSES</t>
        </is>
      </c>
      <c r="C3162" t="inlineStr">
        <is>
          <t>20492392031</t>
        </is>
      </c>
      <c r="D3162" t="inlineStr">
        <is>
          <t>AV. LOS INCAS CDRA. 4 PATIO NORTE - COMAS</t>
        </is>
      </c>
      <c r="E3162" t="inlineStr">
        <is>
          <t>Lima, 09 de julio de 2025</t>
        </is>
      </c>
      <c r="F3162" t="inlineStr">
        <is>
          <t>la Recarga y mantenimiento</t>
        </is>
      </c>
      <c r="G3162" t="inlineStr">
        <is>
          <t>04</t>
        </is>
      </c>
      <c r="H3162" t="inlineStr">
        <is>
          <t xml:space="preserve">06 KG </t>
        </is>
      </c>
      <c r="I3162" t="inlineStr">
        <is>
          <t>2028</t>
        </is>
      </c>
      <c r="J3162" t="n">
        <v>2011</v>
      </c>
      <c r="K3162" t="inlineStr">
        <is>
          <t>JULIO 2025</t>
        </is>
      </c>
      <c r="L3162" t="inlineStr">
        <is>
          <t>JULIO 2026</t>
        </is>
      </c>
      <c r="M3162" t="inlineStr">
        <is>
          <t>P.Q.S.  TIPO ABC  90% NACIONAL</t>
        </is>
      </c>
      <c r="N3162" t="inlineStr">
        <is>
          <t>117/001782</t>
        </is>
      </c>
      <c r="O3162" t="inlineStr">
        <is>
          <t>R</t>
        </is>
      </c>
      <c r="P3162">
        <f>TRIM(N3162)</f>
        <v/>
      </c>
    </row>
    <row r="3163">
      <c r="A3163" t="inlineStr">
        <is>
          <t>CO-002390</t>
        </is>
      </c>
      <c r="B3163" t="inlineStr">
        <is>
          <t>PERU MASIVO S.A - BUSES</t>
        </is>
      </c>
      <c r="C3163" t="inlineStr">
        <is>
          <t>20492392031</t>
        </is>
      </c>
      <c r="D3163" t="inlineStr">
        <is>
          <t>AV. LOS INCAS CDRA. 4 PATIO NORTE - COMAS</t>
        </is>
      </c>
      <c r="E3163" t="inlineStr">
        <is>
          <t>Lima, 09 de julio de 2025</t>
        </is>
      </c>
      <c r="F3163" t="inlineStr">
        <is>
          <t>la Recarga y mantenimiento</t>
        </is>
      </c>
      <c r="G3163" t="inlineStr">
        <is>
          <t>05</t>
        </is>
      </c>
      <c r="H3163" t="inlineStr">
        <is>
          <t xml:space="preserve">06 KG </t>
        </is>
      </c>
      <c r="I3163" t="inlineStr">
        <is>
          <t>2028</t>
        </is>
      </c>
      <c r="J3163" t="n">
        <v>2010</v>
      </c>
      <c r="K3163" t="inlineStr">
        <is>
          <t>JULIO 2025</t>
        </is>
      </c>
      <c r="L3163" t="inlineStr">
        <is>
          <t>JULIO 2026</t>
        </is>
      </c>
      <c r="M3163" t="inlineStr">
        <is>
          <t>P.Q.S.  TIPO ABC  90% NACIONAL</t>
        </is>
      </c>
      <c r="N3163" t="inlineStr">
        <is>
          <t>282/000215</t>
        </is>
      </c>
      <c r="O3163" t="inlineStr">
        <is>
          <t>R</t>
        </is>
      </c>
      <c r="P3163">
        <f>TRIM(N3163)</f>
        <v/>
      </c>
    </row>
    <row r="3164">
      <c r="A3164" t="inlineStr">
        <is>
          <t>CO-002390</t>
        </is>
      </c>
      <c r="B3164" t="inlineStr">
        <is>
          <t>PERU MASIVO S.A - BUSES</t>
        </is>
      </c>
      <c r="C3164" t="inlineStr">
        <is>
          <t>20492392031</t>
        </is>
      </c>
      <c r="D3164" t="inlineStr">
        <is>
          <t>AV. LOS INCAS CDRA. 4 PATIO NORTE - COMAS</t>
        </is>
      </c>
      <c r="E3164" t="inlineStr">
        <is>
          <t>Lima, 09 de julio de 2025</t>
        </is>
      </c>
      <c r="F3164" t="inlineStr">
        <is>
          <t>la Recarga y mantenimiento</t>
        </is>
      </c>
      <c r="G3164" t="inlineStr">
        <is>
          <t>06</t>
        </is>
      </c>
      <c r="H3164" t="inlineStr">
        <is>
          <t xml:space="preserve">06 KG </t>
        </is>
      </c>
      <c r="I3164" t="inlineStr">
        <is>
          <t>2028</t>
        </is>
      </c>
      <c r="J3164" t="n">
        <v>2010</v>
      </c>
      <c r="K3164" t="inlineStr">
        <is>
          <t>JULIO 2025</t>
        </is>
      </c>
      <c r="L3164" t="inlineStr">
        <is>
          <t>JULIO 2026</t>
        </is>
      </c>
      <c r="M3164" t="inlineStr">
        <is>
          <t>P.Q.S.  TIPO ABC  90% NACIONAL</t>
        </is>
      </c>
      <c r="N3164" t="inlineStr">
        <is>
          <t>15/002423</t>
        </is>
      </c>
      <c r="O3164" t="inlineStr">
        <is>
          <t>R</t>
        </is>
      </c>
      <c r="P3164">
        <f>TRIM(N3164)</f>
        <v/>
      </c>
    </row>
    <row r="3165">
      <c r="A3165" t="inlineStr">
        <is>
          <t>CO-002390</t>
        </is>
      </c>
      <c r="B3165" t="inlineStr">
        <is>
          <t>PERU MASIVO S.A - BUSES</t>
        </is>
      </c>
      <c r="C3165" t="inlineStr">
        <is>
          <t>20492392031</t>
        </is>
      </c>
      <c r="D3165" t="inlineStr">
        <is>
          <t>AV. LOS INCAS CDRA. 4 PATIO NORTE - COMAS</t>
        </is>
      </c>
      <c r="E3165" t="inlineStr">
        <is>
          <t>Lima, 09 de julio de 2025</t>
        </is>
      </c>
      <c r="F3165" t="inlineStr">
        <is>
          <t>la Recarga y mantenimiento</t>
        </is>
      </c>
      <c r="G3165" t="inlineStr">
        <is>
          <t>07</t>
        </is>
      </c>
      <c r="H3165" t="inlineStr">
        <is>
          <t xml:space="preserve">06 KG </t>
        </is>
      </c>
      <c r="I3165" t="inlineStr">
        <is>
          <t>2028</t>
        </is>
      </c>
      <c r="J3165" t="n">
        <v>2014</v>
      </c>
      <c r="K3165" t="inlineStr">
        <is>
          <t>JULIO 2025</t>
        </is>
      </c>
      <c r="L3165" t="inlineStr">
        <is>
          <t>JULIO 2026</t>
        </is>
      </c>
      <c r="M3165" t="inlineStr">
        <is>
          <t>P.Q.S.  TIPO ABC  90% NACIONAL</t>
        </is>
      </c>
      <c r="N3165" t="inlineStr">
        <is>
          <t>05/000338</t>
        </is>
      </c>
      <c r="O3165" t="inlineStr">
        <is>
          <t>R</t>
        </is>
      </c>
      <c r="P3165">
        <f>TRIM(N3165)</f>
        <v/>
      </c>
    </row>
    <row r="3166">
      <c r="A3166" t="inlineStr">
        <is>
          <t>CO-002390</t>
        </is>
      </c>
      <c r="B3166" t="inlineStr">
        <is>
          <t>PERU MASIVO S.A - BUSES</t>
        </is>
      </c>
      <c r="C3166" t="inlineStr">
        <is>
          <t>20492392031</t>
        </is>
      </c>
      <c r="D3166" t="inlineStr">
        <is>
          <t>AV. LOS INCAS CDRA. 4 PATIO NORTE - COMAS</t>
        </is>
      </c>
      <c r="E3166" t="inlineStr">
        <is>
          <t>Lima, 09 de julio de 2025</t>
        </is>
      </c>
      <c r="F3166" t="inlineStr">
        <is>
          <t>la Recarga y mantenimiento</t>
        </is>
      </c>
      <c r="G3166" t="inlineStr">
        <is>
          <t>08</t>
        </is>
      </c>
      <c r="H3166" t="inlineStr">
        <is>
          <t xml:space="preserve">06 KG </t>
        </is>
      </c>
      <c r="I3166" t="inlineStr">
        <is>
          <t>2028</t>
        </is>
      </c>
      <c r="J3166" t="n">
        <v>2010</v>
      </c>
      <c r="K3166" t="inlineStr">
        <is>
          <t>JULIO 2025</t>
        </is>
      </c>
      <c r="L3166" t="inlineStr">
        <is>
          <t>JULIO 2026</t>
        </is>
      </c>
      <c r="M3166" t="inlineStr">
        <is>
          <t>P.Q.S.  TIPO ABC  90% NACIONAL</t>
        </is>
      </c>
      <c r="N3166" t="inlineStr">
        <is>
          <t>270/002018</t>
        </is>
      </c>
      <c r="O3166" t="inlineStr">
        <is>
          <t>R</t>
        </is>
      </c>
      <c r="P3166">
        <f>TRIM(N3166)</f>
        <v/>
      </c>
    </row>
    <row r="3167">
      <c r="A3167" t="inlineStr">
        <is>
          <t>CO-002390</t>
        </is>
      </c>
      <c r="B3167" t="inlineStr">
        <is>
          <t>PERU MASIVO S.A - BUSES</t>
        </is>
      </c>
      <c r="C3167" t="inlineStr">
        <is>
          <t>20492392031</t>
        </is>
      </c>
      <c r="D3167" t="inlineStr">
        <is>
          <t>AV. LOS INCAS CDRA. 4 PATIO NORTE - COMAS</t>
        </is>
      </c>
      <c r="E3167" t="inlineStr">
        <is>
          <t>Lima, 09 de julio de 2025</t>
        </is>
      </c>
      <c r="F3167" t="inlineStr">
        <is>
          <t>la Recarga y mantenimiento</t>
        </is>
      </c>
      <c r="G3167" t="inlineStr">
        <is>
          <t>09</t>
        </is>
      </c>
      <c r="H3167" t="inlineStr">
        <is>
          <t xml:space="preserve">06 KG </t>
        </is>
      </c>
      <c r="I3167" t="inlineStr">
        <is>
          <t>2028</t>
        </is>
      </c>
      <c r="J3167" t="n">
        <v>2010</v>
      </c>
      <c r="K3167" t="inlineStr">
        <is>
          <t>JULIO 2025</t>
        </is>
      </c>
      <c r="L3167" t="inlineStr">
        <is>
          <t>JULIO 2026</t>
        </is>
      </c>
      <c r="M3167" t="inlineStr">
        <is>
          <t>P.Q.S.  TIPO ABC  90% NACIONAL</t>
        </is>
      </c>
      <c r="N3167" t="inlineStr">
        <is>
          <t>317/000005</t>
        </is>
      </c>
      <c r="O3167" t="inlineStr">
        <is>
          <t>R</t>
        </is>
      </c>
      <c r="P3167">
        <f>TRIM(N3167)</f>
        <v/>
      </c>
    </row>
    <row r="3168">
      <c r="A3168" t="inlineStr">
        <is>
          <t>CO-002390</t>
        </is>
      </c>
      <c r="B3168" t="inlineStr">
        <is>
          <t>PERU MASIVO S.A - BUSES</t>
        </is>
      </c>
      <c r="C3168" t="inlineStr">
        <is>
          <t>20492392031</t>
        </is>
      </c>
      <c r="D3168" t="inlineStr">
        <is>
          <t>AV. LOS INCAS CDRA. 4 PATIO NORTE - COMAS</t>
        </is>
      </c>
      <c r="E3168" t="inlineStr">
        <is>
          <t>Lima, 09 de julio de 2025</t>
        </is>
      </c>
      <c r="F3168" t="inlineStr">
        <is>
          <t>la Recarga y mantenimiento</t>
        </is>
      </c>
      <c r="G3168" t="n">
        <v>10</v>
      </c>
      <c r="H3168" t="inlineStr">
        <is>
          <t xml:space="preserve">06 KG </t>
        </is>
      </c>
      <c r="I3168" t="inlineStr">
        <is>
          <t>2028</t>
        </is>
      </c>
      <c r="J3168" t="n">
        <v>2009</v>
      </c>
      <c r="K3168" t="inlineStr">
        <is>
          <t>JULIO 2025</t>
        </is>
      </c>
      <c r="L3168" t="inlineStr">
        <is>
          <t>JULIO 2026</t>
        </is>
      </c>
      <c r="M3168" t="inlineStr">
        <is>
          <t>P.Q.S.  TIPO ABC  90% NACIONAL</t>
        </is>
      </c>
      <c r="N3168" t="inlineStr">
        <is>
          <t>275/000693</t>
        </is>
      </c>
      <c r="O3168" t="inlineStr">
        <is>
          <t>R</t>
        </is>
      </c>
      <c r="P3168">
        <f>TRIM(N3168)</f>
        <v/>
      </c>
    </row>
    <row r="3169">
      <c r="A3169" t="inlineStr">
        <is>
          <t>CO-002390</t>
        </is>
      </c>
      <c r="B3169" t="inlineStr">
        <is>
          <t>PERU MASIVO S.A - BUSES</t>
        </is>
      </c>
      <c r="C3169" t="inlineStr">
        <is>
          <t>20492392031</t>
        </is>
      </c>
      <c r="D3169" t="inlineStr">
        <is>
          <t>AV. LOS INCAS CDRA. 4 PATIO NORTE - COMAS</t>
        </is>
      </c>
      <c r="E3169" t="inlineStr">
        <is>
          <t>Lima, 09 de julio de 2025</t>
        </is>
      </c>
      <c r="F3169" t="inlineStr">
        <is>
          <t>la Recarga y mantenimiento</t>
        </is>
      </c>
      <c r="G3169" t="n">
        <v>11</v>
      </c>
      <c r="H3169" t="inlineStr">
        <is>
          <t xml:space="preserve">06 KG </t>
        </is>
      </c>
      <c r="I3169" t="inlineStr">
        <is>
          <t>2028</t>
        </is>
      </c>
      <c r="J3169" t="n">
        <v>2009</v>
      </c>
      <c r="K3169" t="inlineStr">
        <is>
          <t>JULIO 2025</t>
        </is>
      </c>
      <c r="L3169" t="inlineStr">
        <is>
          <t>JULIO 2026</t>
        </is>
      </c>
      <c r="M3169" t="inlineStr">
        <is>
          <t>P.Q.S.  TIPO ABC  90% NACIONAL</t>
        </is>
      </c>
      <c r="N3169" t="inlineStr">
        <is>
          <t>23/000448</t>
        </is>
      </c>
      <c r="O3169" t="inlineStr">
        <is>
          <t>R</t>
        </is>
      </c>
      <c r="P3169">
        <f>TRIM(N3169)</f>
        <v/>
      </c>
    </row>
    <row r="3170">
      <c r="A3170" t="inlineStr">
        <is>
          <t>CO-002391</t>
        </is>
      </c>
      <c r="B3170" t="inlineStr">
        <is>
          <t>UNIGRAF SAC</t>
        </is>
      </c>
      <c r="C3170" t="inlineStr">
        <is>
          <t>20113367955</t>
        </is>
      </c>
      <c r="D3170" t="inlineStr">
        <is>
          <t>CALLE LOS CEDROS MZ C1 LT1 CPM HUACHIPA, LURIGANCHO CHOSICA</t>
        </is>
      </c>
      <c r="E3170" t="inlineStr">
        <is>
          <t>Lima, 10 de julio de 2025</t>
        </is>
      </c>
      <c r="F3170" t="inlineStr">
        <is>
          <t>la Recarga y mantenimiento</t>
        </is>
      </c>
      <c r="G3170" t="inlineStr">
        <is>
          <t>01</t>
        </is>
      </c>
      <c r="H3170" t="inlineStr">
        <is>
          <t>06 KG</t>
        </is>
      </c>
      <c r="I3170" t="inlineStr">
        <is>
          <t>2026</t>
        </is>
      </c>
      <c r="J3170" t="n">
        <v>2013</v>
      </c>
      <c r="K3170" t="inlineStr">
        <is>
          <t>JULIO 2025</t>
        </is>
      </c>
      <c r="L3170" t="inlineStr">
        <is>
          <t>JULIO 2026</t>
        </is>
      </c>
      <c r="M3170" t="inlineStr">
        <is>
          <t>P.Q.S TIPO ABC</t>
        </is>
      </c>
      <c r="N3170" t="inlineStr">
        <is>
          <t>10/002455</t>
        </is>
      </c>
      <c r="O3170" t="inlineStr">
        <is>
          <t>R</t>
        </is>
      </c>
      <c r="P3170">
        <f>TRIM(N3170)</f>
        <v/>
      </c>
    </row>
    <row r="3171">
      <c r="A3171" t="inlineStr">
        <is>
          <t>CO-002391</t>
        </is>
      </c>
      <c r="B3171" t="inlineStr">
        <is>
          <t>UNIGRAF SAC</t>
        </is>
      </c>
      <c r="C3171" t="inlineStr">
        <is>
          <t>20113367955</t>
        </is>
      </c>
      <c r="D3171" t="inlineStr">
        <is>
          <t>CALLE LOS CEDROS MZ C1 LT1 CPM HUACHIPA, LURIGANCHO CHOSICA</t>
        </is>
      </c>
      <c r="E3171" t="inlineStr">
        <is>
          <t>Lima, 10 de julio de 2025</t>
        </is>
      </c>
      <c r="F3171" t="inlineStr">
        <is>
          <t>la Recarga y mantenimiento</t>
        </is>
      </c>
      <c r="G3171" t="inlineStr">
        <is>
          <t>02</t>
        </is>
      </c>
      <c r="H3171" t="inlineStr">
        <is>
          <t>06 KG</t>
        </is>
      </c>
      <c r="I3171" t="inlineStr">
        <is>
          <t>2029</t>
        </is>
      </c>
      <c r="J3171" t="n">
        <v>2013</v>
      </c>
      <c r="K3171" t="inlineStr">
        <is>
          <t>JULIO 2025</t>
        </is>
      </c>
      <c r="L3171" t="inlineStr">
        <is>
          <t>JULIO 2026</t>
        </is>
      </c>
      <c r="M3171" t="inlineStr">
        <is>
          <t>P.Q.S TIPO ABC</t>
        </is>
      </c>
      <c r="N3171" t="inlineStr">
        <is>
          <t>S/N/000012</t>
        </is>
      </c>
      <c r="O3171" t="inlineStr">
        <is>
          <t>R</t>
        </is>
      </c>
      <c r="P3171">
        <f>TRIM(N3171)</f>
        <v/>
      </c>
    </row>
    <row r="3172">
      <c r="A3172" t="inlineStr">
        <is>
          <t>CO-002391</t>
        </is>
      </c>
      <c r="B3172" t="inlineStr">
        <is>
          <t>UNIGRAF SAC</t>
        </is>
      </c>
      <c r="C3172" t="inlineStr">
        <is>
          <t>20113367955</t>
        </is>
      </c>
      <c r="D3172" t="inlineStr">
        <is>
          <t>CALLE LOS CEDROS MZ C1 LT1 CPM HUACHIPA, LURIGANCHO CHOSICA</t>
        </is>
      </c>
      <c r="E3172" t="inlineStr">
        <is>
          <t>Lima, 10 de julio de 2025</t>
        </is>
      </c>
      <c r="F3172" t="inlineStr">
        <is>
          <t>la Recarga y mantenimiento</t>
        </is>
      </c>
      <c r="G3172" t="inlineStr">
        <is>
          <t>03</t>
        </is>
      </c>
      <c r="H3172" t="inlineStr">
        <is>
          <t>06 KG</t>
        </is>
      </c>
      <c r="I3172" t="inlineStr">
        <is>
          <t>2029</t>
        </is>
      </c>
      <c r="J3172" t="n">
        <v>2008</v>
      </c>
      <c r="K3172" t="inlineStr">
        <is>
          <t>JULIO 2025</t>
        </is>
      </c>
      <c r="L3172" t="inlineStr">
        <is>
          <t>JULIO 2026</t>
        </is>
      </c>
      <c r="M3172" t="inlineStr">
        <is>
          <t>P.Q.S TIPO ABC</t>
        </is>
      </c>
      <c r="N3172" t="inlineStr">
        <is>
          <t>S/N/002262</t>
        </is>
      </c>
      <c r="O3172" t="inlineStr">
        <is>
          <t>R</t>
        </is>
      </c>
      <c r="P3172">
        <f>TRIM(N3172)</f>
        <v/>
      </c>
    </row>
    <row r="3173">
      <c r="A3173" t="inlineStr">
        <is>
          <t>CO-002391</t>
        </is>
      </c>
      <c r="B3173" t="inlineStr">
        <is>
          <t>UNIGRAF SAC</t>
        </is>
      </c>
      <c r="C3173" t="inlineStr">
        <is>
          <t>20113367955</t>
        </is>
      </c>
      <c r="D3173" t="inlineStr">
        <is>
          <t>CALLE LOS CEDROS MZ C1 LT1 CPM HUACHIPA, LURIGANCHO CHOSICA</t>
        </is>
      </c>
      <c r="E3173" t="inlineStr">
        <is>
          <t>Lima, 10 de julio de 2025</t>
        </is>
      </c>
      <c r="F3173" t="inlineStr">
        <is>
          <t>la Recarga y mantenimiento</t>
        </is>
      </c>
      <c r="G3173" t="inlineStr">
        <is>
          <t>04</t>
        </is>
      </c>
      <c r="H3173" t="inlineStr">
        <is>
          <t>12 KG</t>
        </is>
      </c>
      <c r="I3173" t="inlineStr">
        <is>
          <t>2029</t>
        </is>
      </c>
      <c r="J3173" t="n">
        <v>2024</v>
      </c>
      <c r="K3173" t="inlineStr">
        <is>
          <t>JULIO 2025</t>
        </is>
      </c>
      <c r="L3173" t="inlineStr">
        <is>
          <t>JULIO 2026</t>
        </is>
      </c>
      <c r="M3173" t="inlineStr">
        <is>
          <t>P.Q.S TIPO ABC</t>
        </is>
      </c>
      <c r="N3173" t="inlineStr">
        <is>
          <t>S/N/000135</t>
        </is>
      </c>
      <c r="O3173" t="inlineStr">
        <is>
          <t>R</t>
        </is>
      </c>
      <c r="P3173">
        <f>TRIM(N3173)</f>
        <v/>
      </c>
    </row>
    <row r="3174">
      <c r="A3174" t="inlineStr">
        <is>
          <t>CO-002392</t>
        </is>
      </c>
      <c r="B3174" t="inlineStr">
        <is>
          <t xml:space="preserve">EUFEMIA NAZARIO </t>
        </is>
      </c>
      <c r="D3174" t="inlineStr">
        <is>
          <t>MERCADO FRONTERA - PSTO E12</t>
        </is>
      </c>
      <c r="E3174" t="inlineStr">
        <is>
          <t>Lima, 10 de julio de 2025</t>
        </is>
      </c>
      <c r="F3174" t="inlineStr">
        <is>
          <t>la Recarga y mantenimiento</t>
        </is>
      </c>
      <c r="G3174" t="inlineStr">
        <is>
          <t>01</t>
        </is>
      </c>
      <c r="H3174" t="inlineStr">
        <is>
          <t>06 KG</t>
        </is>
      </c>
      <c r="I3174" t="inlineStr">
        <is>
          <t xml:space="preserve">VIGENTE </t>
        </is>
      </c>
      <c r="J3174" t="n">
        <v>2016</v>
      </c>
      <c r="K3174" t="inlineStr">
        <is>
          <t>JULIO 2025</t>
        </is>
      </c>
      <c r="L3174" t="inlineStr">
        <is>
          <t>JULIO 2026</t>
        </is>
      </c>
      <c r="M3174" t="inlineStr">
        <is>
          <t>P.Q.S TIPO ABC</t>
        </is>
      </c>
      <c r="N3174" t="inlineStr">
        <is>
          <t>018180</t>
        </is>
      </c>
      <c r="O3174" t="inlineStr">
        <is>
          <t>R</t>
        </is>
      </c>
      <c r="P3174">
        <f>TRIM(N3174)</f>
        <v/>
      </c>
    </row>
    <row r="3175">
      <c r="A3175" t="inlineStr">
        <is>
          <t>CO-002393</t>
        </is>
      </c>
      <c r="B3175" t="inlineStr">
        <is>
          <t xml:space="preserve">JOEL CARRETEA </t>
        </is>
      </c>
      <c r="D3175" t="inlineStr">
        <is>
          <t>MERCADO FRONTERA - PSTO F13</t>
        </is>
      </c>
      <c r="E3175" t="inlineStr">
        <is>
          <t>Lima, 10 de julio de 2025</t>
        </is>
      </c>
      <c r="F3175" t="inlineStr">
        <is>
          <t>la Recarga y mantenimiento</t>
        </is>
      </c>
      <c r="G3175" t="inlineStr">
        <is>
          <t>01</t>
        </is>
      </c>
      <c r="H3175" t="inlineStr">
        <is>
          <t>06 KG</t>
        </is>
      </c>
      <c r="I3175" t="inlineStr">
        <is>
          <t xml:space="preserve">VIGENTE </t>
        </is>
      </c>
      <c r="J3175" t="n">
        <v>2019</v>
      </c>
      <c r="K3175" t="inlineStr">
        <is>
          <t>JULIO 2025</t>
        </is>
      </c>
      <c r="L3175" t="inlineStr">
        <is>
          <t>JULIO 2026</t>
        </is>
      </c>
      <c r="M3175" t="inlineStr">
        <is>
          <t>P.Q.S TIPO ABC</t>
        </is>
      </c>
      <c r="N3175" t="inlineStr">
        <is>
          <t>001604</t>
        </is>
      </c>
      <c r="O3175" t="inlineStr">
        <is>
          <t>R</t>
        </is>
      </c>
      <c r="P3175">
        <f>TRIM(N3175)</f>
        <v/>
      </c>
    </row>
    <row r="3176">
      <c r="A3176" t="inlineStr">
        <is>
          <t>CO-002394</t>
        </is>
      </c>
      <c r="B3176" t="inlineStr">
        <is>
          <t xml:space="preserve">DAVID GONZALES </t>
        </is>
      </c>
      <c r="D3176" t="inlineStr">
        <is>
          <t>MERCADO FRONTERA - PSTO J6</t>
        </is>
      </c>
      <c r="E3176" t="inlineStr">
        <is>
          <t>Lima, 10 de julio de 2025</t>
        </is>
      </c>
      <c r="F3176" t="inlineStr">
        <is>
          <t>la Recarga y mantenimiento</t>
        </is>
      </c>
      <c r="G3176" t="inlineStr">
        <is>
          <t>01</t>
        </is>
      </c>
      <c r="H3176" t="inlineStr">
        <is>
          <t>06 KG</t>
        </is>
      </c>
      <c r="I3176" t="inlineStr">
        <is>
          <t xml:space="preserve">VIGENTE </t>
        </is>
      </c>
      <c r="J3176" t="n">
        <v>2016</v>
      </c>
      <c r="K3176" t="inlineStr">
        <is>
          <t>JULIO 2025</t>
        </is>
      </c>
      <c r="L3176" t="inlineStr">
        <is>
          <t>JULIO 2026</t>
        </is>
      </c>
      <c r="M3176" t="inlineStr">
        <is>
          <t>P.Q.S TIPO ABC</t>
        </is>
      </c>
      <c r="N3176" t="inlineStr">
        <is>
          <t>016105</t>
        </is>
      </c>
      <c r="O3176" t="inlineStr">
        <is>
          <t>R</t>
        </is>
      </c>
      <c r="P3176">
        <f>TRIM(N3176)</f>
        <v/>
      </c>
    </row>
    <row r="3177">
      <c r="A3177" t="inlineStr">
        <is>
          <t>CO-002395</t>
        </is>
      </c>
      <c r="B3177" t="inlineStr">
        <is>
          <t xml:space="preserve">CONY SIMON </t>
        </is>
      </c>
      <c r="D3177" t="inlineStr">
        <is>
          <t>MERCADO FRONTERA - PSTO G20</t>
        </is>
      </c>
      <c r="E3177" t="inlineStr">
        <is>
          <t>Lima, 10 de julio de 2025</t>
        </is>
      </c>
      <c r="F3177" t="inlineStr">
        <is>
          <t>la Recarga y mantenimiento</t>
        </is>
      </c>
      <c r="G3177" t="inlineStr">
        <is>
          <t>01</t>
        </is>
      </c>
      <c r="H3177" t="inlineStr">
        <is>
          <t>06 KG</t>
        </is>
      </c>
      <c r="I3177" t="inlineStr">
        <is>
          <t xml:space="preserve">VIGENTE </t>
        </is>
      </c>
      <c r="J3177" t="n">
        <v>2016</v>
      </c>
      <c r="K3177" t="inlineStr">
        <is>
          <t>JULIO 2025</t>
        </is>
      </c>
      <c r="L3177" t="inlineStr">
        <is>
          <t>JULIO 2026</t>
        </is>
      </c>
      <c r="M3177" t="inlineStr">
        <is>
          <t>P.Q.S TIPO ABC</t>
        </is>
      </c>
      <c r="N3177" t="inlineStr">
        <is>
          <t>000673</t>
        </is>
      </c>
      <c r="O3177" t="inlineStr">
        <is>
          <t>R</t>
        </is>
      </c>
      <c r="P3177">
        <f>TRIM(N3177)</f>
        <v/>
      </c>
    </row>
    <row r="3178">
      <c r="A3178" t="inlineStr">
        <is>
          <t>CO-002396</t>
        </is>
      </c>
      <c r="B3178" t="inlineStr">
        <is>
          <t xml:space="preserve">CONY SIMON </t>
        </is>
      </c>
      <c r="D3178" t="inlineStr">
        <is>
          <t>MERCADO FRONTERA - PSTO K6</t>
        </is>
      </c>
      <c r="E3178" t="inlineStr">
        <is>
          <t>Lima, 10 de julio de 2025</t>
        </is>
      </c>
      <c r="F3178" t="inlineStr">
        <is>
          <t>la Recarga y mantenimiento</t>
        </is>
      </c>
      <c r="G3178" t="inlineStr">
        <is>
          <t>01</t>
        </is>
      </c>
      <c r="H3178" t="inlineStr">
        <is>
          <t>1.5 GLS</t>
        </is>
      </c>
      <c r="I3178" t="inlineStr">
        <is>
          <t xml:space="preserve">VIGENTE </t>
        </is>
      </c>
      <c r="J3178" t="n">
        <v>2019</v>
      </c>
      <c r="K3178" t="inlineStr">
        <is>
          <t>JULIO 2025</t>
        </is>
      </c>
      <c r="L3178" t="inlineStr">
        <is>
          <t>JULIO 2026</t>
        </is>
      </c>
      <c r="M3178" t="inlineStr">
        <is>
          <t xml:space="preserve">ACETATO </t>
        </is>
      </c>
      <c r="N3178" t="inlineStr">
        <is>
          <t>000183</t>
        </is>
      </c>
      <c r="O3178" t="inlineStr">
        <is>
          <t>R</t>
        </is>
      </c>
      <c r="P3178">
        <f>TRIM(N3178)</f>
        <v/>
      </c>
    </row>
    <row r="3179">
      <c r="A3179" t="inlineStr">
        <is>
          <t>CO-002397</t>
        </is>
      </c>
      <c r="B3179" t="inlineStr">
        <is>
          <t xml:space="preserve">MARISOL RIGAS </t>
        </is>
      </c>
      <c r="D3179" t="inlineStr">
        <is>
          <t>MERCADO FRONTERA - PSTO K7</t>
        </is>
      </c>
      <c r="E3179" t="inlineStr">
        <is>
          <t>Lima, 10 de julio de 2025</t>
        </is>
      </c>
      <c r="F3179" t="inlineStr">
        <is>
          <t>la Recarga y mantenimiento</t>
        </is>
      </c>
      <c r="G3179" t="inlineStr">
        <is>
          <t>01</t>
        </is>
      </c>
      <c r="H3179" t="inlineStr">
        <is>
          <t>06 KG</t>
        </is>
      </c>
      <c r="I3179" t="inlineStr">
        <is>
          <t>2026</t>
        </is>
      </c>
      <c r="J3179" t="n">
        <v>2021</v>
      </c>
      <c r="K3179" t="inlineStr">
        <is>
          <t>JULIO 2025</t>
        </is>
      </c>
      <c r="L3179" t="inlineStr">
        <is>
          <t>JULIO 2026</t>
        </is>
      </c>
      <c r="M3179" t="inlineStr">
        <is>
          <t>P.Q.S TIPO ABC</t>
        </is>
      </c>
      <c r="N3179" t="inlineStr">
        <is>
          <t>006396</t>
        </is>
      </c>
      <c r="O3179" t="inlineStr">
        <is>
          <t>R</t>
        </is>
      </c>
      <c r="P3179">
        <f>TRIM(N3179)</f>
        <v/>
      </c>
    </row>
    <row r="3180">
      <c r="A3180" t="inlineStr">
        <is>
          <t>CO-002398</t>
        </is>
      </c>
      <c r="B3180" t="inlineStr">
        <is>
          <t>BIORICA OYARCE</t>
        </is>
      </c>
      <c r="D3180" t="inlineStr">
        <is>
          <t>MERCADO FRONTERA - PSTO L3</t>
        </is>
      </c>
      <c r="E3180" t="inlineStr">
        <is>
          <t>Lima, 10 de julio de 2025</t>
        </is>
      </c>
      <c r="F3180" t="inlineStr">
        <is>
          <t>la Recarga y mantenimiento</t>
        </is>
      </c>
      <c r="G3180" t="inlineStr">
        <is>
          <t>01</t>
        </is>
      </c>
      <c r="H3180" t="inlineStr">
        <is>
          <t>06 KG</t>
        </is>
      </c>
      <c r="I3180" t="inlineStr">
        <is>
          <t xml:space="preserve">VIGENTE </t>
        </is>
      </c>
      <c r="J3180" t="n">
        <v>2020</v>
      </c>
      <c r="K3180" t="inlineStr">
        <is>
          <t>JULIO 2025</t>
        </is>
      </c>
      <c r="L3180" t="inlineStr">
        <is>
          <t>JULIO 2026</t>
        </is>
      </c>
      <c r="M3180" t="inlineStr">
        <is>
          <t>P.Q.S TIPO ABC</t>
        </is>
      </c>
      <c r="N3180" t="inlineStr">
        <is>
          <t>001083</t>
        </is>
      </c>
      <c r="O3180" t="inlineStr">
        <is>
          <t>R</t>
        </is>
      </c>
      <c r="P3180">
        <f>TRIM(N3180)</f>
        <v/>
      </c>
    </row>
    <row r="3181">
      <c r="A3181" t="inlineStr">
        <is>
          <t>CO-002399</t>
        </is>
      </c>
      <c r="B3181" t="inlineStr">
        <is>
          <t xml:space="preserve">MARTHA LIZAMA </t>
        </is>
      </c>
      <c r="D3181" t="inlineStr">
        <is>
          <t>MERCADO FRONTERA - PSTO J20</t>
        </is>
      </c>
      <c r="E3181" t="inlineStr">
        <is>
          <t>Lima, 10 de julio de 2025</t>
        </is>
      </c>
      <c r="F3181" t="inlineStr">
        <is>
          <t>la Recarga y mantenimiento</t>
        </is>
      </c>
      <c r="G3181" t="inlineStr">
        <is>
          <t>01</t>
        </is>
      </c>
      <c r="H3181" t="inlineStr">
        <is>
          <t>06 KG</t>
        </is>
      </c>
      <c r="I3181" t="inlineStr">
        <is>
          <t xml:space="preserve">VIGENTE </t>
        </is>
      </c>
      <c r="J3181" t="n">
        <v>2017</v>
      </c>
      <c r="K3181" t="inlineStr">
        <is>
          <t>JULIO 2025</t>
        </is>
      </c>
      <c r="L3181" t="inlineStr">
        <is>
          <t>JULIO 2026</t>
        </is>
      </c>
      <c r="M3181" t="inlineStr">
        <is>
          <t>P.Q.S TIPO ABC</t>
        </is>
      </c>
      <c r="N3181" t="inlineStr">
        <is>
          <t>001462</t>
        </is>
      </c>
      <c r="O3181" t="inlineStr">
        <is>
          <t>R</t>
        </is>
      </c>
      <c r="P3181">
        <f>TRIM(N3181)</f>
        <v/>
      </c>
    </row>
    <row r="3182">
      <c r="A3182" t="inlineStr">
        <is>
          <t>CO-002400</t>
        </is>
      </c>
      <c r="B3182" t="inlineStr">
        <is>
          <t xml:space="preserve">CANDY HUMAREDA </t>
        </is>
      </c>
      <c r="D3182" t="inlineStr">
        <is>
          <t>MERCADO FRONTERA - PSTO F27</t>
        </is>
      </c>
      <c r="E3182" t="inlineStr">
        <is>
          <t>Lima, 10 de julio de 2025</t>
        </is>
      </c>
      <c r="F3182" t="inlineStr">
        <is>
          <t>la Recarga y mantenimiento</t>
        </is>
      </c>
      <c r="G3182" t="inlineStr">
        <is>
          <t>01</t>
        </is>
      </c>
      <c r="H3182" t="inlineStr">
        <is>
          <t>06 KG</t>
        </is>
      </c>
      <c r="I3182" t="inlineStr">
        <is>
          <t xml:space="preserve">VIGENTE </t>
        </is>
      </c>
      <c r="J3182" t="n">
        <v>2017</v>
      </c>
      <c r="K3182" t="inlineStr">
        <is>
          <t>JULIO 2025</t>
        </is>
      </c>
      <c r="L3182" t="inlineStr">
        <is>
          <t>JULIO 2026</t>
        </is>
      </c>
      <c r="M3182" t="inlineStr">
        <is>
          <t>P.Q.S TIPO ABC</t>
        </is>
      </c>
      <c r="N3182" t="inlineStr">
        <is>
          <t>001146</t>
        </is>
      </c>
      <c r="O3182" t="inlineStr">
        <is>
          <t>R</t>
        </is>
      </c>
      <c r="P3182">
        <f>TRIM(N3182)</f>
        <v/>
      </c>
    </row>
    <row r="3183">
      <c r="A3183" t="inlineStr">
        <is>
          <t>CO-002401</t>
        </is>
      </c>
      <c r="B3183" t="inlineStr">
        <is>
          <t xml:space="preserve">MARTHA LIZAMA </t>
        </is>
      </c>
      <c r="D3183" t="inlineStr">
        <is>
          <t>MERCADO FRONTERA - PSTO J21</t>
        </is>
      </c>
      <c r="E3183" t="inlineStr">
        <is>
          <t>Lima, 10 de julio de 2025</t>
        </is>
      </c>
      <c r="F3183" t="inlineStr">
        <is>
          <t>la Recarga y mantenimiento</t>
        </is>
      </c>
      <c r="G3183" t="inlineStr">
        <is>
          <t>01</t>
        </is>
      </c>
      <c r="H3183" t="inlineStr">
        <is>
          <t>06 KG</t>
        </is>
      </c>
      <c r="I3183" t="inlineStr">
        <is>
          <t xml:space="preserve">VIGENTE </t>
        </is>
      </c>
      <c r="J3183" t="n">
        <v>2016</v>
      </c>
      <c r="K3183" t="inlineStr">
        <is>
          <t>JULIO 2025</t>
        </is>
      </c>
      <c r="L3183" t="inlineStr">
        <is>
          <t>JULIO 2026</t>
        </is>
      </c>
      <c r="M3183" t="inlineStr">
        <is>
          <t>P.Q.S TIPO ABC</t>
        </is>
      </c>
      <c r="N3183" t="inlineStr">
        <is>
          <t>000419</t>
        </is>
      </c>
      <c r="O3183" t="inlineStr">
        <is>
          <t>R</t>
        </is>
      </c>
      <c r="P3183">
        <f>TRIM(N3183)</f>
        <v/>
      </c>
    </row>
    <row r="3184">
      <c r="A3184" t="inlineStr">
        <is>
          <t>CO-002402</t>
        </is>
      </c>
      <c r="B3184" t="inlineStr">
        <is>
          <t xml:space="preserve">MARISOL QUIROZ </t>
        </is>
      </c>
      <c r="D3184" t="inlineStr">
        <is>
          <t xml:space="preserve">MERCADO FRONTERA - PSTO G1 </t>
        </is>
      </c>
      <c r="E3184" t="inlineStr">
        <is>
          <t>Lima, 10 de julio de 2025</t>
        </is>
      </c>
      <c r="F3184" t="inlineStr">
        <is>
          <t>la Recarga y mantenimiento</t>
        </is>
      </c>
      <c r="G3184" t="inlineStr">
        <is>
          <t>01</t>
        </is>
      </c>
      <c r="H3184" t="inlineStr">
        <is>
          <t>06 KG</t>
        </is>
      </c>
      <c r="I3184" t="inlineStr">
        <is>
          <t xml:space="preserve">VIGENTE </t>
        </is>
      </c>
      <c r="J3184" t="n">
        <v>2005</v>
      </c>
      <c r="K3184" t="inlineStr">
        <is>
          <t>JULIO 2025</t>
        </is>
      </c>
      <c r="L3184" t="inlineStr">
        <is>
          <t>JULIO 2026</t>
        </is>
      </c>
      <c r="M3184" t="inlineStr">
        <is>
          <t>P.Q.S TIPO ABC</t>
        </is>
      </c>
      <c r="N3184" t="inlineStr">
        <is>
          <t>000048</t>
        </is>
      </c>
      <c r="O3184" t="inlineStr">
        <is>
          <t>R</t>
        </is>
      </c>
      <c r="P3184">
        <f>TRIM(N3184)</f>
        <v/>
      </c>
    </row>
    <row r="3185">
      <c r="A3185" t="inlineStr">
        <is>
          <t>CO-002403</t>
        </is>
      </c>
      <c r="B3185" t="inlineStr">
        <is>
          <t xml:space="preserve">MERCADO FRONTERA </t>
        </is>
      </c>
      <c r="D3185" t="inlineStr">
        <is>
          <t>MERCADO FRONTERA - PSTO F4</t>
        </is>
      </c>
      <c r="E3185" t="inlineStr">
        <is>
          <t>Lima, 10 de julio de 2025</t>
        </is>
      </c>
      <c r="F3185" t="inlineStr">
        <is>
          <t>la Recarga y mantenimiento</t>
        </is>
      </c>
      <c r="G3185" t="inlineStr">
        <is>
          <t>01</t>
        </is>
      </c>
      <c r="H3185" t="inlineStr">
        <is>
          <t>06 KG</t>
        </is>
      </c>
      <c r="I3185" t="inlineStr">
        <is>
          <t xml:space="preserve">VIGENTE </t>
        </is>
      </c>
      <c r="J3185" t="n">
        <v>2020</v>
      </c>
      <c r="K3185" t="inlineStr">
        <is>
          <t>JULIO 2025</t>
        </is>
      </c>
      <c r="L3185" t="inlineStr">
        <is>
          <t>JULIO 2026</t>
        </is>
      </c>
      <c r="M3185" t="inlineStr">
        <is>
          <t>P.Q.S TIPO ABC</t>
        </is>
      </c>
      <c r="N3185" t="inlineStr">
        <is>
          <t>003364</t>
        </is>
      </c>
      <c r="O3185" t="inlineStr">
        <is>
          <t>R</t>
        </is>
      </c>
      <c r="P3185">
        <f>TRIM(N3185)</f>
        <v/>
      </c>
    </row>
    <row r="3186">
      <c r="A3186" t="inlineStr">
        <is>
          <t>CO-002404</t>
        </is>
      </c>
      <c r="B3186" t="inlineStr">
        <is>
          <t>SANTOS SANCHEZ</t>
        </is>
      </c>
      <c r="D3186" t="inlineStr">
        <is>
          <t>MERCADO FRONTERA - PSTO D14</t>
        </is>
      </c>
      <c r="E3186" t="inlineStr">
        <is>
          <t>Lima, 11 de julio de 2025</t>
        </is>
      </c>
      <c r="F3186" t="inlineStr">
        <is>
          <t>la Recarga y mantenimiento</t>
        </is>
      </c>
      <c r="G3186" t="inlineStr">
        <is>
          <t>01</t>
        </is>
      </c>
      <c r="H3186" t="inlineStr">
        <is>
          <t>06 KG</t>
        </is>
      </c>
      <c r="I3186" t="inlineStr">
        <is>
          <t xml:space="preserve">VIGENTE </t>
        </is>
      </c>
      <c r="J3186" t="n">
        <v>2008</v>
      </c>
      <c r="K3186" t="inlineStr">
        <is>
          <t>JULIO 2025</t>
        </is>
      </c>
      <c r="L3186" t="inlineStr">
        <is>
          <t>JULIO 2026</t>
        </is>
      </c>
      <c r="M3186" t="inlineStr">
        <is>
          <t>P.Q.S TIPO ABC</t>
        </is>
      </c>
      <c r="N3186" t="inlineStr">
        <is>
          <t>000043</t>
        </is>
      </c>
      <c r="O3186" t="inlineStr">
        <is>
          <t>R</t>
        </is>
      </c>
      <c r="P3186">
        <f>TRIM(N3186)</f>
        <v/>
      </c>
    </row>
    <row r="3187">
      <c r="A3187" t="inlineStr">
        <is>
          <t>CO-002405</t>
        </is>
      </c>
      <c r="B3187" t="inlineStr">
        <is>
          <t xml:space="preserve">BEATRIZ RUCANA </t>
        </is>
      </c>
      <c r="D3187" t="inlineStr">
        <is>
          <t>MERCADO FRONTERA - PSTO J4</t>
        </is>
      </c>
      <c r="E3187" t="inlineStr">
        <is>
          <t>Lima, 11 de julio de 2025</t>
        </is>
      </c>
      <c r="F3187" t="inlineStr">
        <is>
          <t>la Recarga y mantenimiento</t>
        </is>
      </c>
      <c r="G3187" t="inlineStr">
        <is>
          <t>01</t>
        </is>
      </c>
      <c r="H3187" t="inlineStr">
        <is>
          <t>06 KG</t>
        </is>
      </c>
      <c r="I3187" t="inlineStr">
        <is>
          <t xml:space="preserve">VIGENTE </t>
        </is>
      </c>
      <c r="J3187" t="n">
        <v>2007</v>
      </c>
      <c r="K3187" t="inlineStr">
        <is>
          <t>JULIO 2025</t>
        </is>
      </c>
      <c r="L3187" t="inlineStr">
        <is>
          <t>JULIO 2026</t>
        </is>
      </c>
      <c r="M3187" t="inlineStr">
        <is>
          <t>P.Q.S TIPO ABC</t>
        </is>
      </c>
      <c r="N3187" t="inlineStr">
        <is>
          <t>001143</t>
        </is>
      </c>
      <c r="O3187" t="inlineStr">
        <is>
          <t>R</t>
        </is>
      </c>
      <c r="P3187">
        <f>TRIM(N3187)</f>
        <v/>
      </c>
    </row>
    <row r="3188">
      <c r="A3188" t="inlineStr">
        <is>
          <t>CO-002406</t>
        </is>
      </c>
      <c r="B3188" t="inlineStr">
        <is>
          <t xml:space="preserve">RUTH ARRATEA </t>
        </is>
      </c>
      <c r="D3188" t="inlineStr">
        <is>
          <t>MERCADO FRONTERA - PSTO C9</t>
        </is>
      </c>
      <c r="E3188" t="inlineStr">
        <is>
          <t>Lima, 11 de julio de 2025</t>
        </is>
      </c>
      <c r="F3188" t="inlineStr">
        <is>
          <t>la Recarga y mantenimiento</t>
        </is>
      </c>
      <c r="G3188" t="inlineStr">
        <is>
          <t>01</t>
        </is>
      </c>
      <c r="H3188" t="inlineStr">
        <is>
          <t>06 KG</t>
        </is>
      </c>
      <c r="I3188" t="inlineStr">
        <is>
          <t xml:space="preserve">VIGENTE </t>
        </is>
      </c>
      <c r="J3188" t="n">
        <v>2010</v>
      </c>
      <c r="K3188" t="inlineStr">
        <is>
          <t>JULIO 2025</t>
        </is>
      </c>
      <c r="L3188" t="inlineStr">
        <is>
          <t>JULIO 2026</t>
        </is>
      </c>
      <c r="M3188" t="inlineStr">
        <is>
          <t>P.Q.S TIPO ABC</t>
        </is>
      </c>
      <c r="N3188" t="inlineStr">
        <is>
          <t>007319</t>
        </is>
      </c>
      <c r="O3188" t="inlineStr">
        <is>
          <t>R</t>
        </is>
      </c>
      <c r="P3188">
        <f>TRIM(N3188)</f>
        <v/>
      </c>
    </row>
    <row r="3189">
      <c r="A3189" t="inlineStr">
        <is>
          <t>CO-002407</t>
        </is>
      </c>
      <c r="B3189" t="inlineStr">
        <is>
          <t xml:space="preserve">ELIZABETH CEFERINO </t>
        </is>
      </c>
      <c r="D3189" t="inlineStr">
        <is>
          <t>MERCADO FRONTERA - PSTO I2</t>
        </is>
      </c>
      <c r="E3189" t="inlineStr">
        <is>
          <t>Lima, 11 de julio de 2025</t>
        </is>
      </c>
      <c r="F3189" t="inlineStr">
        <is>
          <t>la Recarga y mantenimiento</t>
        </is>
      </c>
      <c r="G3189" t="inlineStr">
        <is>
          <t>01</t>
        </is>
      </c>
      <c r="H3189" t="inlineStr">
        <is>
          <t>06 KG</t>
        </is>
      </c>
      <c r="I3189" t="inlineStr">
        <is>
          <t>2029</t>
        </is>
      </c>
      <c r="J3189" t="n">
        <v>2024</v>
      </c>
      <c r="K3189" t="inlineStr">
        <is>
          <t>JULIO 2025</t>
        </is>
      </c>
      <c r="L3189" t="inlineStr">
        <is>
          <t>JULIO 2026</t>
        </is>
      </c>
      <c r="M3189" t="inlineStr">
        <is>
          <t>P.Q.S TIPO ABC</t>
        </is>
      </c>
      <c r="N3189" t="inlineStr">
        <is>
          <t>000493</t>
        </is>
      </c>
      <c r="O3189" t="inlineStr">
        <is>
          <t>R</t>
        </is>
      </c>
      <c r="P3189">
        <f>TRIM(N3189)</f>
        <v/>
      </c>
    </row>
    <row r="3190">
      <c r="A3190" t="inlineStr">
        <is>
          <t>CO-002408</t>
        </is>
      </c>
      <c r="B3190" t="inlineStr">
        <is>
          <t>DORA GLADYS</t>
        </is>
      </c>
      <c r="D3190" t="inlineStr">
        <is>
          <t>MERCADO FRONTERA - PSTO E4</t>
        </is>
      </c>
      <c r="E3190" t="inlineStr">
        <is>
          <t>Lima, 11 de julio de 2025</t>
        </is>
      </c>
      <c r="F3190" t="inlineStr">
        <is>
          <t>la Recarga y mantenimiento</t>
        </is>
      </c>
      <c r="G3190" t="inlineStr">
        <is>
          <t>01</t>
        </is>
      </c>
      <c r="H3190" t="inlineStr">
        <is>
          <t>06 KG</t>
        </is>
      </c>
      <c r="I3190" t="inlineStr">
        <is>
          <t xml:space="preserve">VIGENTE </t>
        </is>
      </c>
      <c r="J3190" t="n">
        <v>2018</v>
      </c>
      <c r="K3190" t="inlineStr">
        <is>
          <t>JULIO 2025</t>
        </is>
      </c>
      <c r="L3190" t="inlineStr">
        <is>
          <t>JULIO 2026</t>
        </is>
      </c>
      <c r="M3190" t="inlineStr">
        <is>
          <t>P.Q.S TIPO ABC</t>
        </is>
      </c>
      <c r="N3190" t="inlineStr">
        <is>
          <t>003501</t>
        </is>
      </c>
      <c r="O3190" t="inlineStr">
        <is>
          <t>R</t>
        </is>
      </c>
      <c r="P3190">
        <f>TRIM(N3190)</f>
        <v/>
      </c>
    </row>
    <row r="3191">
      <c r="A3191" t="inlineStr">
        <is>
          <t>CO-002409</t>
        </is>
      </c>
      <c r="B3191" t="inlineStr">
        <is>
          <t>ANA MARIA CRUZ</t>
        </is>
      </c>
      <c r="D3191" t="inlineStr">
        <is>
          <t>MERCADO FRONTERA - PSTO D9</t>
        </is>
      </c>
      <c r="E3191" t="inlineStr">
        <is>
          <t>Lima, 11 de julio de 2025</t>
        </is>
      </c>
      <c r="F3191" t="inlineStr">
        <is>
          <t>la Recarga y mantenimiento</t>
        </is>
      </c>
      <c r="G3191" t="inlineStr">
        <is>
          <t>01</t>
        </is>
      </c>
      <c r="H3191" t="inlineStr">
        <is>
          <t>1.5 GLS</t>
        </is>
      </c>
      <c r="I3191" t="inlineStr">
        <is>
          <t xml:space="preserve">VIGENTE </t>
        </is>
      </c>
      <c r="J3191" t="n">
        <v>2019</v>
      </c>
      <c r="K3191" t="inlineStr">
        <is>
          <t>JULIO 2025</t>
        </is>
      </c>
      <c r="L3191" t="inlineStr">
        <is>
          <t>JULIO 2026</t>
        </is>
      </c>
      <c r="M3191" t="inlineStr">
        <is>
          <t>ACETATO</t>
        </is>
      </c>
      <c r="N3191" t="inlineStr">
        <is>
          <t>000150</t>
        </is>
      </c>
      <c r="O3191" t="inlineStr">
        <is>
          <t>R</t>
        </is>
      </c>
      <c r="P3191">
        <f>TRIM(N3191)</f>
        <v/>
      </c>
    </row>
    <row r="3192">
      <c r="A3192" t="inlineStr">
        <is>
          <t>CO-002410</t>
        </is>
      </c>
      <c r="B3192" t="inlineStr">
        <is>
          <t>IMPORTADORA GLOBAL MEDICAL SAC</t>
        </is>
      </c>
      <c r="C3192" t="inlineStr">
        <is>
          <t>20514326062</t>
        </is>
      </c>
      <c r="D3192" t="inlineStr">
        <is>
          <t xml:space="preserve"> CAL. LOS CIPRESES INT. 3B MZ. I LT. 39A Z.I. LA ENSENADA PUENTE PIEDRA</t>
        </is>
      </c>
      <c r="E3192" t="inlineStr">
        <is>
          <t>Lima, 14 de julio de 2025</t>
        </is>
      </c>
      <c r="F3192" t="inlineStr">
        <is>
          <t>la Recarga y mantenimiento</t>
        </is>
      </c>
      <c r="G3192" t="inlineStr">
        <is>
          <t>01</t>
        </is>
      </c>
      <c r="H3192" t="inlineStr">
        <is>
          <t>09 KG</t>
        </is>
      </c>
      <c r="I3192" t="inlineStr">
        <is>
          <t>2028</t>
        </is>
      </c>
      <c r="J3192" t="n">
        <v>2023</v>
      </c>
      <c r="K3192" t="inlineStr">
        <is>
          <t>JULIO 2025</t>
        </is>
      </c>
      <c r="L3192" t="inlineStr">
        <is>
          <t>JULIO 2026</t>
        </is>
      </c>
      <c r="M3192" t="inlineStr">
        <is>
          <t>P.Q.S TIPO ABC</t>
        </is>
      </c>
      <c r="N3192" t="inlineStr">
        <is>
          <t>010233</t>
        </is>
      </c>
      <c r="O3192" t="inlineStr">
        <is>
          <t>R</t>
        </is>
      </c>
      <c r="P3192">
        <f>TRIM(N3192)</f>
        <v/>
      </c>
    </row>
    <row r="3193">
      <c r="A3193" t="inlineStr">
        <is>
          <t>CO-002411</t>
        </is>
      </c>
      <c r="B3193" t="inlineStr">
        <is>
          <t xml:space="preserve">RESTAURANTE CEVICHERIA EL LENGUADO </t>
        </is>
      </c>
      <c r="D3193" t="inlineStr">
        <is>
          <t xml:space="preserve">CALLE LAS MUSAS MZ X LT 9 URB SAN FELIPE, COMAS </t>
        </is>
      </c>
      <c r="E3193" t="inlineStr">
        <is>
          <t>Lima, 14 de julio de 2025</t>
        </is>
      </c>
      <c r="F3193" t="inlineStr">
        <is>
          <t>la Recarga y mantenimiento</t>
        </is>
      </c>
      <c r="G3193" t="inlineStr">
        <is>
          <t>01</t>
        </is>
      </c>
      <c r="H3193" t="inlineStr">
        <is>
          <t>1.5 GLS</t>
        </is>
      </c>
      <c r="I3193" t="inlineStr">
        <is>
          <t>VIGENTE</t>
        </is>
      </c>
      <c r="J3193" t="n">
        <v>2020</v>
      </c>
      <c r="K3193" t="inlineStr">
        <is>
          <t>JULIO 2025</t>
        </is>
      </c>
      <c r="L3193" t="inlineStr">
        <is>
          <t>JULIO 2026</t>
        </is>
      </c>
      <c r="M3193" t="inlineStr">
        <is>
          <t>ACETATO</t>
        </is>
      </c>
      <c r="N3193" t="inlineStr">
        <is>
          <t>000106</t>
        </is>
      </c>
      <c r="O3193" t="inlineStr">
        <is>
          <t>R</t>
        </is>
      </c>
      <c r="P3193">
        <f>TRIM(N3193)</f>
        <v/>
      </c>
    </row>
    <row r="3194">
      <c r="A3194" t="inlineStr">
        <is>
          <t>CO-002412</t>
        </is>
      </c>
      <c r="B3194" t="inlineStr">
        <is>
          <t xml:space="preserve">LINDE PERU S.R.L. </t>
        </is>
      </c>
      <c r="C3194" t="inlineStr">
        <is>
          <t>20338570041</t>
        </is>
      </c>
      <c r="D3194" t="inlineStr">
        <is>
          <t>Av. Benavides 801 oficina 1102. Miraflores, Lima – Perú</t>
        </is>
      </c>
      <c r="E3194" t="inlineStr">
        <is>
          <t>Lima, 15 de julio de 2025</t>
        </is>
      </c>
      <c r="F3194" t="inlineStr">
        <is>
          <t>la Venta</t>
        </is>
      </c>
      <c r="G3194" t="inlineStr">
        <is>
          <t>01</t>
        </is>
      </c>
      <c r="H3194" t="inlineStr">
        <is>
          <t>10 LBS</t>
        </is>
      </c>
      <c r="I3194" t="inlineStr">
        <is>
          <t>2030</t>
        </is>
      </c>
      <c r="J3194" t="n">
        <v>2025</v>
      </c>
      <c r="K3194" t="inlineStr">
        <is>
          <t>JULIO 2025</t>
        </is>
      </c>
      <c r="L3194" t="inlineStr">
        <is>
          <t>JULIO 2026</t>
        </is>
      </c>
      <c r="M3194" t="inlineStr">
        <is>
          <t>PQS/ABC AL 90% PYROCHEM</t>
        </is>
      </c>
      <c r="N3194" t="inlineStr">
        <is>
          <t>01/I41241502</t>
        </is>
      </c>
      <c r="O3194" t="inlineStr">
        <is>
          <t>V</t>
        </is>
      </c>
      <c r="P3194">
        <f>TRIM(N3194)</f>
        <v/>
      </c>
    </row>
    <row r="3195">
      <c r="A3195" t="inlineStr">
        <is>
          <t>CO-002412</t>
        </is>
      </c>
      <c r="B3195" t="inlineStr">
        <is>
          <t xml:space="preserve">LINDE PERU S.R.L. </t>
        </is>
      </c>
      <c r="C3195" t="inlineStr">
        <is>
          <t>20338570041</t>
        </is>
      </c>
      <c r="D3195" t="inlineStr">
        <is>
          <t>Av. Benavides 801 oficina 1102. Miraflores, Lima – Perú</t>
        </is>
      </c>
      <c r="E3195" t="inlineStr">
        <is>
          <t>Lima, 15 de julio de 2025</t>
        </is>
      </c>
      <c r="F3195" t="inlineStr">
        <is>
          <t>la Venta</t>
        </is>
      </c>
      <c r="G3195" t="inlineStr">
        <is>
          <t>02</t>
        </is>
      </c>
      <c r="H3195" t="inlineStr">
        <is>
          <t>10 LBS</t>
        </is>
      </c>
      <c r="I3195" t="inlineStr">
        <is>
          <t>2030</t>
        </is>
      </c>
      <c r="J3195" t="n">
        <v>2025</v>
      </c>
      <c r="K3195" t="inlineStr">
        <is>
          <t>JULIO 2025</t>
        </is>
      </c>
      <c r="L3195" t="inlineStr">
        <is>
          <t>JULIO 2026</t>
        </is>
      </c>
      <c r="M3195" t="inlineStr">
        <is>
          <t>PQS/ABC AL 90% PYROCHEM</t>
        </is>
      </c>
      <c r="N3195" t="inlineStr">
        <is>
          <t>02/I41244222</t>
        </is>
      </c>
      <c r="O3195" t="inlineStr">
        <is>
          <t>V</t>
        </is>
      </c>
      <c r="P3195">
        <f>TRIM(N3195)</f>
        <v/>
      </c>
    </row>
    <row r="3196">
      <c r="A3196" t="inlineStr">
        <is>
          <t>CO-002412</t>
        </is>
      </c>
      <c r="B3196" t="inlineStr">
        <is>
          <t xml:space="preserve">LINDE PERU S.R.L. </t>
        </is>
      </c>
      <c r="C3196" t="inlineStr">
        <is>
          <t>20338570041</t>
        </is>
      </c>
      <c r="D3196" t="inlineStr">
        <is>
          <t>Av. Benavides 801 oficina 1102. Miraflores, Lima – Perú</t>
        </is>
      </c>
      <c r="E3196" t="inlineStr">
        <is>
          <t>Lima, 15 de julio de 2025</t>
        </is>
      </c>
      <c r="F3196" t="inlineStr">
        <is>
          <t>la Venta</t>
        </is>
      </c>
      <c r="G3196" t="inlineStr">
        <is>
          <t>03</t>
        </is>
      </c>
      <c r="H3196" t="inlineStr">
        <is>
          <t>10 LBS</t>
        </is>
      </c>
      <c r="I3196" t="inlineStr">
        <is>
          <t>2030</t>
        </is>
      </c>
      <c r="J3196" t="n">
        <v>2025</v>
      </c>
      <c r="K3196" t="inlineStr">
        <is>
          <t>JULIO 2025</t>
        </is>
      </c>
      <c r="L3196" t="inlineStr">
        <is>
          <t>JULIO 2026</t>
        </is>
      </c>
      <c r="M3196" t="inlineStr">
        <is>
          <t>PQS/ABC AL 90% PYROCHEM</t>
        </is>
      </c>
      <c r="N3196" t="inlineStr">
        <is>
          <t>03/I41241470</t>
        </is>
      </c>
      <c r="O3196" t="inlineStr">
        <is>
          <t>V</t>
        </is>
      </c>
      <c r="P3196">
        <f>TRIM(N3196)</f>
        <v/>
      </c>
    </row>
    <row r="3197">
      <c r="A3197" t="inlineStr">
        <is>
          <t>CO-002412</t>
        </is>
      </c>
      <c r="B3197" t="inlineStr">
        <is>
          <t xml:space="preserve">LINDE PERU S.R.L. </t>
        </is>
      </c>
      <c r="C3197" t="inlineStr">
        <is>
          <t>20338570041</t>
        </is>
      </c>
      <c r="D3197" t="inlineStr">
        <is>
          <t>Av. Benavides 801 oficina 1102. Miraflores, Lima – Perú</t>
        </is>
      </c>
      <c r="E3197" t="inlineStr">
        <is>
          <t>Lima, 15 de julio de 2025</t>
        </is>
      </c>
      <c r="F3197" t="inlineStr">
        <is>
          <t>la Venta</t>
        </is>
      </c>
      <c r="G3197" t="inlineStr">
        <is>
          <t>04</t>
        </is>
      </c>
      <c r="H3197" t="inlineStr">
        <is>
          <t>10 LBS</t>
        </is>
      </c>
      <c r="I3197" t="n">
        <v>2030</v>
      </c>
      <c r="J3197" t="n">
        <v>2025</v>
      </c>
      <c r="K3197" t="inlineStr">
        <is>
          <t>JULIO 2025</t>
        </is>
      </c>
      <c r="L3197" t="inlineStr">
        <is>
          <t>JULIO 2026</t>
        </is>
      </c>
      <c r="M3197" t="inlineStr">
        <is>
          <t xml:space="preserve">CO2 TIPO BC UL </t>
        </is>
      </c>
      <c r="N3197" t="inlineStr">
        <is>
          <t>04/H41356922</t>
        </is>
      </c>
      <c r="O3197" t="inlineStr">
        <is>
          <t>V</t>
        </is>
      </c>
      <c r="P3197">
        <f>TRIM(N3197)</f>
        <v/>
      </c>
    </row>
    <row r="3198">
      <c r="A3198" t="inlineStr">
        <is>
          <t>CO-002412</t>
        </is>
      </c>
      <c r="B3198" t="inlineStr">
        <is>
          <t xml:space="preserve">LINDE PERU S.R.L. </t>
        </is>
      </c>
      <c r="C3198" t="inlineStr">
        <is>
          <t>20338570041</t>
        </is>
      </c>
      <c r="D3198" t="inlineStr">
        <is>
          <t>Av. Benavides 801 oficina 1102. Miraflores, Lima – Perú</t>
        </is>
      </c>
      <c r="E3198" t="inlineStr">
        <is>
          <t>Lima, 15 de julio de 2025</t>
        </is>
      </c>
      <c r="F3198" t="inlineStr">
        <is>
          <t>la Venta</t>
        </is>
      </c>
      <c r="G3198" t="inlineStr">
        <is>
          <t>05</t>
        </is>
      </c>
      <c r="H3198" t="inlineStr">
        <is>
          <t>10 LBS</t>
        </is>
      </c>
      <c r="I3198" t="n">
        <v>2030</v>
      </c>
      <c r="J3198" t="n">
        <v>2025</v>
      </c>
      <c r="K3198" t="inlineStr">
        <is>
          <t>JULIO 2025</t>
        </is>
      </c>
      <c r="L3198" t="inlineStr">
        <is>
          <t>JULIO 2026</t>
        </is>
      </c>
      <c r="M3198" t="inlineStr">
        <is>
          <t xml:space="preserve">CO2 TIPO BC UL </t>
        </is>
      </c>
      <c r="N3198" t="inlineStr">
        <is>
          <t>05/H41356921</t>
        </is>
      </c>
      <c r="O3198" t="inlineStr">
        <is>
          <t>V</t>
        </is>
      </c>
      <c r="P3198">
        <f>TRIM(N3198)</f>
        <v/>
      </c>
    </row>
    <row r="3199">
      <c r="A3199" t="inlineStr">
        <is>
          <t>CO-002412</t>
        </is>
      </c>
      <c r="B3199" t="inlineStr">
        <is>
          <t xml:space="preserve">INDEXTU SAC </t>
        </is>
      </c>
      <c r="C3199" t="inlineStr">
        <is>
          <t>20602503039</t>
        </is>
      </c>
      <c r="D3199" t="inlineStr">
        <is>
          <t xml:space="preserve"> AV. MAQUINARIAS NRO. 2341 Z.I. INDUSTRIAL, LIMA</t>
        </is>
      </c>
      <c r="E3199" t="inlineStr">
        <is>
          <t>Lima, 16 de julio de 2025</t>
        </is>
      </c>
      <c r="F3199" t="inlineStr">
        <is>
          <t>el mantenimiento</t>
        </is>
      </c>
      <c r="G3199" t="inlineStr">
        <is>
          <t>01</t>
        </is>
      </c>
      <c r="H3199" t="inlineStr">
        <is>
          <t>06 KG</t>
        </is>
      </c>
      <c r="I3199" t="inlineStr">
        <is>
          <t>2028</t>
        </is>
      </c>
      <c r="J3199" t="n">
        <v>2023</v>
      </c>
      <c r="K3199" t="inlineStr">
        <is>
          <t>JULIO 2025</t>
        </is>
      </c>
      <c r="L3199" t="inlineStr">
        <is>
          <t>JULIO 2026</t>
        </is>
      </c>
      <c r="M3199" t="inlineStr">
        <is>
          <t>P.Q.S TIPO ABC AL 90%</t>
        </is>
      </c>
      <c r="N3199" t="inlineStr">
        <is>
          <t>01/544865</t>
        </is>
      </c>
      <c r="O3199" t="inlineStr">
        <is>
          <t>M2</t>
        </is>
      </c>
      <c r="P3199">
        <f>TRIM(N3199)</f>
        <v/>
      </c>
    </row>
    <row r="3200">
      <c r="A3200" t="inlineStr">
        <is>
          <t>CO-002412</t>
        </is>
      </c>
      <c r="B3200" t="inlineStr">
        <is>
          <t xml:space="preserve">INDEXTU SAC </t>
        </is>
      </c>
      <c r="C3200" t="inlineStr">
        <is>
          <t>20602503039</t>
        </is>
      </c>
      <c r="D3200" t="inlineStr">
        <is>
          <t xml:space="preserve"> AV. MAQUINARIAS NRO. 2341 Z.I. INDUSTRIAL, LIMA</t>
        </is>
      </c>
      <c r="E3200" t="inlineStr">
        <is>
          <t>Lima, 16 de julio de 2025</t>
        </is>
      </c>
      <c r="F3200" t="inlineStr">
        <is>
          <t>el mantenimiento</t>
        </is>
      </c>
      <c r="G3200" t="inlineStr">
        <is>
          <t>02</t>
        </is>
      </c>
      <c r="H3200" t="inlineStr">
        <is>
          <t>06 KG</t>
        </is>
      </c>
      <c r="I3200" t="inlineStr">
        <is>
          <t>2030</t>
        </is>
      </c>
      <c r="J3200" t="n">
        <v>2020</v>
      </c>
      <c r="K3200" t="inlineStr">
        <is>
          <t>JULIO 2025</t>
        </is>
      </c>
      <c r="L3200" t="inlineStr">
        <is>
          <t>JULIO 2026</t>
        </is>
      </c>
      <c r="M3200" t="inlineStr">
        <is>
          <t>P.Q.S TIPO ABC AL 90%</t>
        </is>
      </c>
      <c r="N3200" t="inlineStr">
        <is>
          <t>04/000277</t>
        </is>
      </c>
      <c r="O3200" t="inlineStr">
        <is>
          <t>M4</t>
        </is>
      </c>
      <c r="P3200">
        <f>TRIM(N3200)</f>
        <v/>
      </c>
    </row>
    <row r="3201">
      <c r="A3201" t="inlineStr">
        <is>
          <t>CO-002412</t>
        </is>
      </c>
      <c r="B3201" t="inlineStr">
        <is>
          <t xml:space="preserve">INDEXTU SAC </t>
        </is>
      </c>
      <c r="C3201" t="inlineStr">
        <is>
          <t>20602503039</t>
        </is>
      </c>
      <c r="D3201" t="inlineStr">
        <is>
          <t xml:space="preserve"> AV. MAQUINARIAS NRO. 2341 Z.I. INDUSTRIAL, LIMA</t>
        </is>
      </c>
      <c r="E3201" t="inlineStr">
        <is>
          <t>Lima, 16 de julio de 2025</t>
        </is>
      </c>
      <c r="F3201" t="inlineStr">
        <is>
          <t>el mantenimiento</t>
        </is>
      </c>
      <c r="G3201" t="inlineStr">
        <is>
          <t>03</t>
        </is>
      </c>
      <c r="H3201" t="inlineStr">
        <is>
          <t xml:space="preserve">50 KG </t>
        </is>
      </c>
      <c r="I3201" t="inlineStr">
        <is>
          <t>2030</t>
        </is>
      </c>
      <c r="J3201" t="n">
        <v>2020</v>
      </c>
      <c r="K3201" t="inlineStr">
        <is>
          <t>JULIO 2025</t>
        </is>
      </c>
      <c r="L3201" t="inlineStr">
        <is>
          <t>JULIO 2026</t>
        </is>
      </c>
      <c r="M3201" t="inlineStr">
        <is>
          <t>P.Q.S TIPO ABC AL 90%</t>
        </is>
      </c>
      <c r="N3201" t="inlineStr">
        <is>
          <t>05/000001</t>
        </is>
      </c>
      <c r="O3201" t="inlineStr">
        <is>
          <t>M4</t>
        </is>
      </c>
      <c r="P3201">
        <f>TRIM(N3201)</f>
        <v/>
      </c>
    </row>
    <row r="3202">
      <c r="A3202" t="inlineStr">
        <is>
          <t>CO-002412</t>
        </is>
      </c>
      <c r="B3202" t="inlineStr">
        <is>
          <t xml:space="preserve">INDEXTU SAC </t>
        </is>
      </c>
      <c r="C3202" t="inlineStr">
        <is>
          <t>20602503039</t>
        </is>
      </c>
      <c r="D3202" t="inlineStr">
        <is>
          <t xml:space="preserve"> AV. MAQUINARIAS NRO. 2341 Z.I. INDUSTRIAL, LIMA</t>
        </is>
      </c>
      <c r="E3202" t="inlineStr">
        <is>
          <t>Lima, 16 de julio de 2025</t>
        </is>
      </c>
      <c r="F3202" t="inlineStr">
        <is>
          <t>el mantenimiento</t>
        </is>
      </c>
      <c r="G3202" t="inlineStr">
        <is>
          <t>04</t>
        </is>
      </c>
      <c r="H3202" t="inlineStr">
        <is>
          <t>12 KG</t>
        </is>
      </c>
      <c r="I3202" t="inlineStr">
        <is>
          <t>2029</t>
        </is>
      </c>
      <c r="J3202" t="n">
        <v>2019</v>
      </c>
      <c r="K3202" t="inlineStr">
        <is>
          <t>JULIO 2025</t>
        </is>
      </c>
      <c r="L3202" t="inlineStr">
        <is>
          <t>JULIO 2026</t>
        </is>
      </c>
      <c r="M3202" t="inlineStr">
        <is>
          <t>P.Q.S TIPO ABC AL 90%</t>
        </is>
      </c>
      <c r="N3202" t="inlineStr">
        <is>
          <t>08/000197</t>
        </is>
      </c>
      <c r="O3202" t="inlineStr">
        <is>
          <t>M1</t>
        </is>
      </c>
      <c r="P3202">
        <f>TRIM(N3202)</f>
        <v/>
      </c>
    </row>
    <row r="3203">
      <c r="A3203" t="inlineStr">
        <is>
          <t>CO-002412</t>
        </is>
      </c>
      <c r="B3203" t="inlineStr">
        <is>
          <t xml:space="preserve">INDEXTU SAC </t>
        </is>
      </c>
      <c r="C3203" t="inlineStr">
        <is>
          <t>20602503039</t>
        </is>
      </c>
      <c r="D3203" t="inlineStr">
        <is>
          <t xml:space="preserve"> AV. MAQUINARIAS NRO. 2341 Z.I. INDUSTRIAL, LIMA</t>
        </is>
      </c>
      <c r="E3203" t="inlineStr">
        <is>
          <t>Lima, 16 de julio de 2025</t>
        </is>
      </c>
      <c r="F3203" t="inlineStr">
        <is>
          <t>el mantenimiento</t>
        </is>
      </c>
      <c r="G3203" t="inlineStr">
        <is>
          <t>05</t>
        </is>
      </c>
      <c r="H3203" t="inlineStr">
        <is>
          <t>12 KG</t>
        </is>
      </c>
      <c r="I3203" t="inlineStr">
        <is>
          <t>2029</t>
        </is>
      </c>
      <c r="J3203" t="n">
        <v>2019</v>
      </c>
      <c r="K3203" t="inlineStr">
        <is>
          <t>JULIO 2025</t>
        </is>
      </c>
      <c r="L3203" t="inlineStr">
        <is>
          <t>JULIO 2026</t>
        </is>
      </c>
      <c r="M3203" t="inlineStr">
        <is>
          <t>P.Q.S TIPO ABC AL 90%</t>
        </is>
      </c>
      <c r="N3203" t="inlineStr">
        <is>
          <t>10/000195</t>
        </is>
      </c>
      <c r="O3203" t="inlineStr">
        <is>
          <t>M1</t>
        </is>
      </c>
      <c r="P3203">
        <f>TRIM(N3203)</f>
        <v/>
      </c>
    </row>
    <row r="3204">
      <c r="A3204" t="inlineStr">
        <is>
          <t>CO-002412</t>
        </is>
      </c>
      <c r="B3204" t="inlineStr">
        <is>
          <t xml:space="preserve">INDEXTU SAC </t>
        </is>
      </c>
      <c r="C3204" t="inlineStr">
        <is>
          <t>20602503039</t>
        </is>
      </c>
      <c r="D3204" t="inlineStr">
        <is>
          <t xml:space="preserve"> AV. MAQUINARIAS NRO. 2341 Z.I. INDUSTRIAL, LIMA</t>
        </is>
      </c>
      <c r="E3204" t="inlineStr">
        <is>
          <t>Lima, 16 de julio de 2025</t>
        </is>
      </c>
      <c r="F3204" t="inlineStr">
        <is>
          <t>el mantenimiento</t>
        </is>
      </c>
      <c r="G3204" t="inlineStr">
        <is>
          <t>06</t>
        </is>
      </c>
      <c r="H3204" t="inlineStr">
        <is>
          <t>06 KG</t>
        </is>
      </c>
      <c r="I3204" t="inlineStr">
        <is>
          <t>2027</t>
        </is>
      </c>
      <c r="J3204" t="n">
        <v>2022</v>
      </c>
      <c r="K3204" t="inlineStr">
        <is>
          <t>JULIO 2025</t>
        </is>
      </c>
      <c r="L3204" t="inlineStr">
        <is>
          <t>JULIO 2026</t>
        </is>
      </c>
      <c r="M3204" t="inlineStr">
        <is>
          <t>P.Q.S TIPO ABC AL 90%</t>
        </is>
      </c>
      <c r="N3204" t="inlineStr">
        <is>
          <t>15/001170</t>
        </is>
      </c>
      <c r="O3204" t="inlineStr">
        <is>
          <t>M3</t>
        </is>
      </c>
      <c r="P3204">
        <f>TRIM(N3204)</f>
        <v/>
      </c>
    </row>
    <row r="3205">
      <c r="A3205" t="inlineStr">
        <is>
          <t>CO-002412</t>
        </is>
      </c>
      <c r="B3205" t="inlineStr">
        <is>
          <t xml:space="preserve">INDEXTU SAC </t>
        </is>
      </c>
      <c r="C3205" t="inlineStr">
        <is>
          <t>20602503039</t>
        </is>
      </c>
      <c r="D3205" t="inlineStr">
        <is>
          <t xml:space="preserve"> AV. MAQUINARIAS NRO. 2341 Z.I. INDUSTRIAL, LIMA</t>
        </is>
      </c>
      <c r="E3205" t="inlineStr">
        <is>
          <t>Lima, 16 de julio de 2025</t>
        </is>
      </c>
      <c r="F3205" t="inlineStr">
        <is>
          <t>el mantenimiento</t>
        </is>
      </c>
      <c r="G3205" t="inlineStr">
        <is>
          <t>07</t>
        </is>
      </c>
      <c r="H3205" t="inlineStr">
        <is>
          <t>12 KG</t>
        </is>
      </c>
      <c r="I3205" t="inlineStr">
        <is>
          <t>2027</t>
        </is>
      </c>
      <c r="J3205" t="n">
        <v>2022</v>
      </c>
      <c r="K3205" t="inlineStr">
        <is>
          <t>JULIO 2025</t>
        </is>
      </c>
      <c r="L3205" t="inlineStr">
        <is>
          <t>JULIO 2026</t>
        </is>
      </c>
      <c r="M3205" t="inlineStr">
        <is>
          <t>P.Q.S TIPO ABC AL 90%</t>
        </is>
      </c>
      <c r="N3205" t="inlineStr">
        <is>
          <t>19/000494</t>
        </is>
      </c>
      <c r="O3205" t="inlineStr">
        <is>
          <t>M3</t>
        </is>
      </c>
      <c r="P3205">
        <f>TRIM(N3205)</f>
        <v/>
      </c>
    </row>
    <row r="3206">
      <c r="A3206" t="inlineStr">
        <is>
          <t>CO-002412</t>
        </is>
      </c>
      <c r="B3206" t="inlineStr">
        <is>
          <t xml:space="preserve">INDEXTU SAC </t>
        </is>
      </c>
      <c r="C3206" t="inlineStr">
        <is>
          <t>20602503039</t>
        </is>
      </c>
      <c r="D3206" t="inlineStr">
        <is>
          <t xml:space="preserve"> AV. MAQUINARIAS NRO. 2341 Z.I. INDUSTRIAL, LIMA</t>
        </is>
      </c>
      <c r="E3206" t="inlineStr">
        <is>
          <t>Lima, 16 de julio de 2025</t>
        </is>
      </c>
      <c r="F3206" t="inlineStr">
        <is>
          <t>el mantenimiento</t>
        </is>
      </c>
      <c r="G3206" t="inlineStr">
        <is>
          <t>08</t>
        </is>
      </c>
      <c r="H3206" t="inlineStr">
        <is>
          <t>12 KG</t>
        </is>
      </c>
      <c r="I3206" t="inlineStr">
        <is>
          <t>2030</t>
        </is>
      </c>
      <c r="J3206" t="inlineStr">
        <is>
          <t>S/N</t>
        </is>
      </c>
      <c r="K3206" t="inlineStr">
        <is>
          <t>JULIO 2025</t>
        </is>
      </c>
      <c r="L3206" t="inlineStr">
        <is>
          <t>JULIO 2026</t>
        </is>
      </c>
      <c r="M3206" t="inlineStr">
        <is>
          <t>P.Q.S TIPO ABC AL 90%</t>
        </is>
      </c>
      <c r="N3206" t="inlineStr">
        <is>
          <t>21/S/N</t>
        </is>
      </c>
      <c r="O3206" t="inlineStr">
        <is>
          <t>M4</t>
        </is>
      </c>
      <c r="P3206">
        <f>TRIM(N3206)</f>
        <v/>
      </c>
    </row>
    <row r="3207">
      <c r="A3207" t="inlineStr">
        <is>
          <t>CO-002412</t>
        </is>
      </c>
      <c r="B3207" t="inlineStr">
        <is>
          <t xml:space="preserve">INDEXTU SAC </t>
        </is>
      </c>
      <c r="C3207" t="inlineStr">
        <is>
          <t>20602503039</t>
        </is>
      </c>
      <c r="D3207" t="inlineStr">
        <is>
          <t xml:space="preserve"> AV. MAQUINARIAS NRO. 2341 Z.I. INDUSTRIAL, LIMA</t>
        </is>
      </c>
      <c r="E3207" t="inlineStr">
        <is>
          <t>Lima, 16 de julio de 2025</t>
        </is>
      </c>
      <c r="F3207" t="inlineStr">
        <is>
          <t>el mantenimiento</t>
        </is>
      </c>
      <c r="G3207" t="inlineStr">
        <is>
          <t>09</t>
        </is>
      </c>
      <c r="H3207" t="inlineStr">
        <is>
          <t>12 KG</t>
        </is>
      </c>
      <c r="I3207" t="inlineStr">
        <is>
          <t>2030</t>
        </is>
      </c>
      <c r="J3207" t="n">
        <v>2020</v>
      </c>
      <c r="K3207" t="inlineStr">
        <is>
          <t>JULIO 2025</t>
        </is>
      </c>
      <c r="L3207" t="inlineStr">
        <is>
          <t>JULIO 2026</t>
        </is>
      </c>
      <c r="M3207" t="inlineStr">
        <is>
          <t>P.Q.S TIPO ABC AL 90%</t>
        </is>
      </c>
      <c r="N3207" t="inlineStr">
        <is>
          <t>22/000004</t>
        </is>
      </c>
      <c r="O3207" t="inlineStr">
        <is>
          <t>M4</t>
        </is>
      </c>
      <c r="P3207">
        <f>TRIM(N3207)</f>
        <v/>
      </c>
    </row>
    <row r="3208">
      <c r="A3208" t="inlineStr">
        <is>
          <t>CO-002412</t>
        </is>
      </c>
      <c r="B3208" t="inlineStr">
        <is>
          <t xml:space="preserve">INDEXTU SAC </t>
        </is>
      </c>
      <c r="C3208" t="inlineStr">
        <is>
          <t>20602503039</t>
        </is>
      </c>
      <c r="D3208" t="inlineStr">
        <is>
          <t xml:space="preserve"> AV. MAQUINARIAS NRO. 2341 Z.I. INDUSTRIAL, LIMA</t>
        </is>
      </c>
      <c r="E3208" t="inlineStr">
        <is>
          <t>Lima, 16 de julio de 2025</t>
        </is>
      </c>
      <c r="F3208" t="inlineStr">
        <is>
          <t>el mantenimiento</t>
        </is>
      </c>
      <c r="G3208" t="n">
        <v>10</v>
      </c>
      <c r="H3208" t="inlineStr">
        <is>
          <t xml:space="preserve">06 KG </t>
        </is>
      </c>
      <c r="I3208" t="inlineStr">
        <is>
          <t>2029</t>
        </is>
      </c>
      <c r="J3208" t="n">
        <v>2018</v>
      </c>
      <c r="K3208" t="inlineStr">
        <is>
          <t>JULIO 2025</t>
        </is>
      </c>
      <c r="L3208" t="inlineStr">
        <is>
          <t>JULIO 2026</t>
        </is>
      </c>
      <c r="M3208" t="inlineStr">
        <is>
          <t>P.Q.S TIPO ABC AL 90%</t>
        </is>
      </c>
      <c r="N3208" t="inlineStr">
        <is>
          <t>24/000665</t>
        </is>
      </c>
      <c r="O3208" t="inlineStr">
        <is>
          <t>M1</t>
        </is>
      </c>
      <c r="P3208">
        <f>TRIM(N3208)</f>
        <v/>
      </c>
    </row>
    <row r="3209">
      <c r="A3209" t="inlineStr">
        <is>
          <t>CO-002412</t>
        </is>
      </c>
      <c r="B3209" t="inlineStr">
        <is>
          <t xml:space="preserve">INDEXTU SAC </t>
        </is>
      </c>
      <c r="C3209" t="inlineStr">
        <is>
          <t>20602503039</t>
        </is>
      </c>
      <c r="D3209" t="inlineStr">
        <is>
          <t xml:space="preserve"> AV. MAQUINARIAS NRO. 2341 Z.I. INDUSTRIAL, LIMA</t>
        </is>
      </c>
      <c r="E3209" t="inlineStr">
        <is>
          <t>Lima, 16 de julio de 2025</t>
        </is>
      </c>
      <c r="F3209" t="inlineStr">
        <is>
          <t>el mantenimiento</t>
        </is>
      </c>
      <c r="G3209" t="n">
        <v>11</v>
      </c>
      <c r="H3209" t="inlineStr">
        <is>
          <t xml:space="preserve">06 KG </t>
        </is>
      </c>
      <c r="I3209" t="inlineStr">
        <is>
          <t>2029</t>
        </is>
      </c>
      <c r="J3209" t="n">
        <v>2019</v>
      </c>
      <c r="K3209" t="inlineStr">
        <is>
          <t>JULIO 2025</t>
        </is>
      </c>
      <c r="L3209" t="inlineStr">
        <is>
          <t>JULIO 2026</t>
        </is>
      </c>
      <c r="M3209" t="inlineStr">
        <is>
          <t>P.Q.S TIPO ABC AL 90%</t>
        </is>
      </c>
      <c r="N3209" t="inlineStr">
        <is>
          <t>26/000127</t>
        </is>
      </c>
      <c r="O3209" t="inlineStr">
        <is>
          <t>M1</t>
        </is>
      </c>
      <c r="P3209">
        <f>TRIM(N3209)</f>
        <v/>
      </c>
    </row>
    <row r="3210">
      <c r="A3210" t="inlineStr">
        <is>
          <t>CO-002412</t>
        </is>
      </c>
      <c r="B3210" t="inlineStr">
        <is>
          <t xml:space="preserve">INDEXTU SAC </t>
        </is>
      </c>
      <c r="C3210" t="inlineStr">
        <is>
          <t>20602503039</t>
        </is>
      </c>
      <c r="D3210" t="inlineStr">
        <is>
          <t xml:space="preserve"> AV. MAQUINARIAS NRO. 2341 Z.I. INDUSTRIAL, LIMA</t>
        </is>
      </c>
      <c r="E3210" t="inlineStr">
        <is>
          <t>Lima, 16 de julio de 2025</t>
        </is>
      </c>
      <c r="F3210" t="inlineStr">
        <is>
          <t>el mantenimiento</t>
        </is>
      </c>
      <c r="G3210" t="n">
        <v>12</v>
      </c>
      <c r="H3210" t="inlineStr">
        <is>
          <t xml:space="preserve">06 KG </t>
        </is>
      </c>
      <c r="I3210" t="inlineStr">
        <is>
          <t>2028</t>
        </is>
      </c>
      <c r="J3210" t="n">
        <v>2023</v>
      </c>
      <c r="K3210" t="inlineStr">
        <is>
          <t>JULIO 2025</t>
        </is>
      </c>
      <c r="L3210" t="inlineStr">
        <is>
          <t>JULIO 2026</t>
        </is>
      </c>
      <c r="M3210" t="inlineStr">
        <is>
          <t>P.Q.S TIPO ABC AL 90%</t>
        </is>
      </c>
      <c r="N3210" t="inlineStr">
        <is>
          <t>27/544829</t>
        </is>
      </c>
      <c r="O3210" t="inlineStr">
        <is>
          <t>M2</t>
        </is>
      </c>
      <c r="P3210">
        <f>TRIM(N3210)</f>
        <v/>
      </c>
    </row>
    <row r="3211">
      <c r="A3211" t="inlineStr">
        <is>
          <t>CO-002412</t>
        </is>
      </c>
      <c r="B3211" t="inlineStr">
        <is>
          <t xml:space="preserve">INDEXTU SAC </t>
        </is>
      </c>
      <c r="C3211" t="inlineStr">
        <is>
          <t>20602503039</t>
        </is>
      </c>
      <c r="D3211" t="inlineStr">
        <is>
          <t xml:space="preserve"> AV. MAQUINARIAS NRO. 2341 Z.I. INDUSTRIAL, LIMA</t>
        </is>
      </c>
      <c r="E3211" t="inlineStr">
        <is>
          <t>Lima, 16 de julio de 2025</t>
        </is>
      </c>
      <c r="F3211" t="inlineStr">
        <is>
          <t>el mantenimiento</t>
        </is>
      </c>
      <c r="G3211" t="n">
        <v>13</v>
      </c>
      <c r="H3211" t="inlineStr">
        <is>
          <t xml:space="preserve">06 KG </t>
        </is>
      </c>
      <c r="I3211" t="inlineStr">
        <is>
          <t>2028</t>
        </is>
      </c>
      <c r="J3211" t="n">
        <v>2023</v>
      </c>
      <c r="K3211" t="inlineStr">
        <is>
          <t>JULIO 2025</t>
        </is>
      </c>
      <c r="L3211" t="inlineStr">
        <is>
          <t>JULIO 2026</t>
        </is>
      </c>
      <c r="M3211" t="inlineStr">
        <is>
          <t>P.Q.S TIPO ABC AL 90%</t>
        </is>
      </c>
      <c r="N3211" t="inlineStr">
        <is>
          <t>28/544853</t>
        </is>
      </c>
      <c r="O3211" t="inlineStr">
        <is>
          <t>M2</t>
        </is>
      </c>
      <c r="P3211">
        <f>TRIM(N3211)</f>
        <v/>
      </c>
    </row>
    <row r="3212">
      <c r="A3212" t="inlineStr">
        <is>
          <t>CO-002412</t>
        </is>
      </c>
      <c r="B3212" t="inlineStr">
        <is>
          <t xml:space="preserve">INDEXTU SAC </t>
        </is>
      </c>
      <c r="C3212" t="inlineStr">
        <is>
          <t>20602503039</t>
        </is>
      </c>
      <c r="D3212" t="inlineStr">
        <is>
          <t xml:space="preserve"> AV. MAQUINARIAS NRO. 2341 Z.I. INDUSTRIAL, LIMA</t>
        </is>
      </c>
      <c r="E3212" t="inlineStr">
        <is>
          <t>Lima, 16 de julio de 2025</t>
        </is>
      </c>
      <c r="F3212" t="inlineStr">
        <is>
          <t>el mantenimiento</t>
        </is>
      </c>
      <c r="G3212" t="n">
        <v>14</v>
      </c>
      <c r="H3212" t="inlineStr">
        <is>
          <t>10 LBS</t>
        </is>
      </c>
      <c r="I3212" t="inlineStr">
        <is>
          <t>2026</t>
        </is>
      </c>
      <c r="J3212" t="n">
        <v>2016</v>
      </c>
      <c r="K3212" t="inlineStr">
        <is>
          <t>JULIO 2025</t>
        </is>
      </c>
      <c r="L3212" t="inlineStr">
        <is>
          <t>JULIO 2026</t>
        </is>
      </c>
      <c r="M3212" t="inlineStr">
        <is>
          <t xml:space="preserve">CO2 TIPO BC UL </t>
        </is>
      </c>
      <c r="N3212" t="inlineStr">
        <is>
          <t>03/310347</t>
        </is>
      </c>
      <c r="O3212" t="inlineStr">
        <is>
          <t>R</t>
        </is>
      </c>
      <c r="P3212">
        <f>TRIM(N3212)</f>
        <v/>
      </c>
    </row>
    <row r="3213">
      <c r="A3213" t="inlineStr">
        <is>
          <t>CO-002412</t>
        </is>
      </c>
      <c r="B3213" t="inlineStr">
        <is>
          <t xml:space="preserve">INDEXTU SAC </t>
        </is>
      </c>
      <c r="C3213" t="inlineStr">
        <is>
          <t>20602503039</t>
        </is>
      </c>
      <c r="D3213" t="inlineStr">
        <is>
          <t xml:space="preserve"> AV. MAQUINARIAS NRO. 2341 Z.I. INDUSTRIAL, LIMA</t>
        </is>
      </c>
      <c r="E3213" t="inlineStr">
        <is>
          <t>Lima, 16 de julio de 2025</t>
        </is>
      </c>
      <c r="F3213" t="inlineStr">
        <is>
          <t>el mantenimiento</t>
        </is>
      </c>
      <c r="G3213" t="n">
        <v>15</v>
      </c>
      <c r="H3213" t="inlineStr">
        <is>
          <t>10 LBS</t>
        </is>
      </c>
      <c r="I3213" t="inlineStr">
        <is>
          <t>2026</t>
        </is>
      </c>
      <c r="J3213" t="n">
        <v>2016</v>
      </c>
      <c r="K3213" t="inlineStr">
        <is>
          <t>JULIO 2025</t>
        </is>
      </c>
      <c r="L3213" t="inlineStr">
        <is>
          <t>JULIO 2026</t>
        </is>
      </c>
      <c r="M3213" t="inlineStr">
        <is>
          <t xml:space="preserve">CO2 TIPO BC UL </t>
        </is>
      </c>
      <c r="N3213" t="inlineStr">
        <is>
          <t>25/310134</t>
        </is>
      </c>
      <c r="O3213" t="inlineStr">
        <is>
          <t>R</t>
        </is>
      </c>
      <c r="P3213">
        <f>TRIM(N3213)</f>
        <v/>
      </c>
    </row>
    <row r="3214">
      <c r="A3214" t="inlineStr">
        <is>
          <t>CO-002414</t>
        </is>
      </c>
      <c r="B3214" t="inlineStr">
        <is>
          <t>PERU MASIVO S.A - BUSES</t>
        </is>
      </c>
      <c r="C3214" t="inlineStr">
        <is>
          <t>20492392031</t>
        </is>
      </c>
      <c r="D3214" t="inlineStr">
        <is>
          <t>AV. LOS INCAS CDRA. 4 PATIO NORTE - COMAS</t>
        </is>
      </c>
      <c r="E3214" t="inlineStr">
        <is>
          <t>Lima, 16 de julio de 2025</t>
        </is>
      </c>
      <c r="F3214" t="inlineStr">
        <is>
          <t>la Recarga y mantenimiento</t>
        </is>
      </c>
      <c r="G3214" t="inlineStr">
        <is>
          <t>01</t>
        </is>
      </c>
      <c r="H3214" t="inlineStr">
        <is>
          <t xml:space="preserve">06 KG </t>
        </is>
      </c>
      <c r="I3214" t="inlineStr">
        <is>
          <t>2028</t>
        </is>
      </c>
      <c r="J3214" t="n">
        <v>2016</v>
      </c>
      <c r="K3214" t="inlineStr">
        <is>
          <t>JULIO 2025</t>
        </is>
      </c>
      <c r="L3214" t="inlineStr">
        <is>
          <t>JULIO 2026</t>
        </is>
      </c>
      <c r="M3214" t="inlineStr">
        <is>
          <t>P.Q.S.  TIPO ABC  90% NACIONAL</t>
        </is>
      </c>
      <c r="N3214" t="inlineStr">
        <is>
          <t>156/000375</t>
        </is>
      </c>
      <c r="O3214" t="inlineStr">
        <is>
          <t>R</t>
        </is>
      </c>
      <c r="P3214">
        <f>TRIM(N3214)</f>
        <v/>
      </c>
    </row>
    <row r="3215">
      <c r="A3215" t="inlineStr">
        <is>
          <t>CO-002414</t>
        </is>
      </c>
      <c r="B3215" t="inlineStr">
        <is>
          <t>PERU MASIVO S.A - BUSES</t>
        </is>
      </c>
      <c r="C3215" t="inlineStr">
        <is>
          <t>20492392031</t>
        </is>
      </c>
      <c r="D3215" t="inlineStr">
        <is>
          <t>AV. LOS INCAS CDRA. 4 PATIO NORTE - COMAS</t>
        </is>
      </c>
      <c r="E3215" t="inlineStr">
        <is>
          <t>Lima, 16 de julio de 2025</t>
        </is>
      </c>
      <c r="F3215" t="inlineStr">
        <is>
          <t>la Recarga y mantenimiento</t>
        </is>
      </c>
      <c r="G3215" t="inlineStr">
        <is>
          <t>02</t>
        </is>
      </c>
      <c r="H3215" t="inlineStr">
        <is>
          <t xml:space="preserve">06 KG </t>
        </is>
      </c>
      <c r="I3215" t="inlineStr">
        <is>
          <t>2028</t>
        </is>
      </c>
      <c r="J3215" t="n">
        <v>2009</v>
      </c>
      <c r="K3215" t="inlineStr">
        <is>
          <t>JUNIO 2025</t>
        </is>
      </c>
      <c r="L3215" t="inlineStr">
        <is>
          <t>JUNIO 2026</t>
        </is>
      </c>
      <c r="M3215" t="inlineStr">
        <is>
          <t>P.Q.S.  TIPO ABC  90% NACIONAL</t>
        </is>
      </c>
      <c r="N3215" t="inlineStr">
        <is>
          <t>325/000667</t>
        </is>
      </c>
      <c r="O3215" t="inlineStr">
        <is>
          <t>R</t>
        </is>
      </c>
      <c r="P3215">
        <f>TRIM(N3215)</f>
        <v/>
      </c>
    </row>
    <row r="3216">
      <c r="A3216" t="inlineStr">
        <is>
          <t>CO-002414</t>
        </is>
      </c>
      <c r="B3216" t="inlineStr">
        <is>
          <t>PERU MASIVO S.A - BUSES</t>
        </is>
      </c>
      <c r="C3216" t="inlineStr">
        <is>
          <t>20492392031</t>
        </is>
      </c>
      <c r="D3216" t="inlineStr">
        <is>
          <t>AV. LOS INCAS CDRA. 4 PATIO NORTE - COMAS</t>
        </is>
      </c>
      <c r="E3216" t="inlineStr">
        <is>
          <t>Lima, 16 de julio de 2025</t>
        </is>
      </c>
      <c r="F3216" t="inlineStr">
        <is>
          <t>la Recarga y mantenimiento</t>
        </is>
      </c>
      <c r="G3216" t="inlineStr">
        <is>
          <t>03</t>
        </is>
      </c>
      <c r="H3216" t="inlineStr">
        <is>
          <t xml:space="preserve">06 KG </t>
        </is>
      </c>
      <c r="I3216" t="inlineStr">
        <is>
          <t>2028</t>
        </is>
      </c>
      <c r="J3216" t="n">
        <v>2010</v>
      </c>
      <c r="K3216" t="inlineStr">
        <is>
          <t>JUNIO 2025</t>
        </is>
      </c>
      <c r="L3216" t="inlineStr">
        <is>
          <t>JUNIO 2026</t>
        </is>
      </c>
      <c r="M3216" t="inlineStr">
        <is>
          <t>P.Q.S.  TIPO ABC  90% NACIONAL</t>
        </is>
      </c>
      <c r="N3216" t="inlineStr">
        <is>
          <t>357/000005</t>
        </is>
      </c>
      <c r="O3216" t="inlineStr">
        <is>
          <t>R</t>
        </is>
      </c>
      <c r="P3216">
        <f>TRIM(N3216)</f>
        <v/>
      </c>
    </row>
    <row r="3217">
      <c r="A3217" t="inlineStr">
        <is>
          <t>CO-002414</t>
        </is>
      </c>
      <c r="B3217" t="inlineStr">
        <is>
          <t>PERU MASIVO S.A - BUSES</t>
        </is>
      </c>
      <c r="C3217" t="inlineStr">
        <is>
          <t>20492392031</t>
        </is>
      </c>
      <c r="D3217" t="inlineStr">
        <is>
          <t>AV. LOS INCAS CDRA. 4 PATIO NORTE - COMAS</t>
        </is>
      </c>
      <c r="E3217" t="inlineStr">
        <is>
          <t>Lima, 16 de julio de 2025</t>
        </is>
      </c>
      <c r="F3217" t="inlineStr">
        <is>
          <t>la Recarga y mantenimiento</t>
        </is>
      </c>
      <c r="G3217" t="inlineStr">
        <is>
          <t>04</t>
        </is>
      </c>
      <c r="H3217" t="inlineStr">
        <is>
          <t xml:space="preserve">06 KG </t>
        </is>
      </c>
      <c r="I3217" t="inlineStr">
        <is>
          <t>2028</t>
        </is>
      </c>
      <c r="J3217" t="n">
        <v>2009</v>
      </c>
      <c r="K3217" t="inlineStr">
        <is>
          <t>JUNIO 2025</t>
        </is>
      </c>
      <c r="L3217" t="inlineStr">
        <is>
          <t>JUNIO 2026</t>
        </is>
      </c>
      <c r="M3217" t="inlineStr">
        <is>
          <t>P.Q.S.  TIPO ABC  90% NACIONAL</t>
        </is>
      </c>
      <c r="N3217" t="inlineStr">
        <is>
          <t>331/000811</t>
        </is>
      </c>
      <c r="O3217" t="inlineStr">
        <is>
          <t>R</t>
        </is>
      </c>
      <c r="P3217">
        <f>TRIM(N3217)</f>
        <v/>
      </c>
    </row>
    <row r="3218">
      <c r="A3218" t="inlineStr">
        <is>
          <t>CO-002414</t>
        </is>
      </c>
      <c r="B3218" t="inlineStr">
        <is>
          <t>PERU MASIVO S.A - BUSES</t>
        </is>
      </c>
      <c r="C3218" t="inlineStr">
        <is>
          <t>20492392031</t>
        </is>
      </c>
      <c r="D3218" t="inlineStr">
        <is>
          <t>AV. LOS INCAS CDRA. 4 PATIO NORTE - COMAS</t>
        </is>
      </c>
      <c r="E3218" t="inlineStr">
        <is>
          <t>Lima, 16 de julio de 2025</t>
        </is>
      </c>
      <c r="F3218" t="inlineStr">
        <is>
          <t>la Recarga y mantenimiento</t>
        </is>
      </c>
      <c r="G3218" t="inlineStr">
        <is>
          <t>05</t>
        </is>
      </c>
      <c r="H3218" t="inlineStr">
        <is>
          <t xml:space="preserve">06 KG </t>
        </is>
      </c>
      <c r="I3218" t="inlineStr">
        <is>
          <t>2028</t>
        </is>
      </c>
      <c r="J3218" t="n">
        <v>2009</v>
      </c>
      <c r="K3218" t="inlineStr">
        <is>
          <t>JUNIO 2025</t>
        </is>
      </c>
      <c r="L3218" t="inlineStr">
        <is>
          <t>JUNIO 2026</t>
        </is>
      </c>
      <c r="M3218" t="inlineStr">
        <is>
          <t>P.Q.S.  TIPO ABC  90% NACIONAL</t>
        </is>
      </c>
      <c r="N3218" t="inlineStr">
        <is>
          <t>137/000705</t>
        </is>
      </c>
      <c r="O3218" t="inlineStr">
        <is>
          <t>R</t>
        </is>
      </c>
      <c r="P3218">
        <f>TRIM(N3218)</f>
        <v/>
      </c>
    </row>
    <row r="3219">
      <c r="A3219" t="inlineStr">
        <is>
          <t>CO-002414</t>
        </is>
      </c>
      <c r="B3219" t="inlineStr">
        <is>
          <t>PERU MASIVO S.A - BUSES</t>
        </is>
      </c>
      <c r="C3219" t="inlineStr">
        <is>
          <t>20492392031</t>
        </is>
      </c>
      <c r="D3219" t="inlineStr">
        <is>
          <t>AV. LOS INCAS CDRA. 4 PATIO NORTE - COMAS</t>
        </is>
      </c>
      <c r="E3219" t="inlineStr">
        <is>
          <t>Lima, 16 de julio de 2025</t>
        </is>
      </c>
      <c r="F3219" t="inlineStr">
        <is>
          <t>la Recarga y mantenimiento</t>
        </is>
      </c>
      <c r="G3219" t="inlineStr">
        <is>
          <t>06</t>
        </is>
      </c>
      <c r="H3219" t="inlineStr">
        <is>
          <t xml:space="preserve">06 KG </t>
        </is>
      </c>
      <c r="I3219" t="inlineStr">
        <is>
          <t>2028</t>
        </is>
      </c>
      <c r="J3219" t="n">
        <v>2010</v>
      </c>
      <c r="K3219" t="inlineStr">
        <is>
          <t>JUNIO 2025</t>
        </is>
      </c>
      <c r="L3219" t="inlineStr">
        <is>
          <t>JUNIO 2026</t>
        </is>
      </c>
      <c r="M3219" t="inlineStr">
        <is>
          <t>P.Q.S.  TIPO ABC  90% NACIONAL</t>
        </is>
      </c>
      <c r="N3219" t="inlineStr">
        <is>
          <t>170/006511</t>
        </is>
      </c>
      <c r="O3219" t="inlineStr">
        <is>
          <t>R</t>
        </is>
      </c>
      <c r="P3219">
        <f>TRIM(N3219)</f>
        <v/>
      </c>
    </row>
    <row r="3220">
      <c r="A3220" t="inlineStr">
        <is>
          <t>CO-002414</t>
        </is>
      </c>
      <c r="B3220" t="inlineStr">
        <is>
          <t>PERU MASIVO S.A - BUSES</t>
        </is>
      </c>
      <c r="C3220" t="inlineStr">
        <is>
          <t>20492392031</t>
        </is>
      </c>
      <c r="D3220" t="inlineStr">
        <is>
          <t>AV. LOS INCAS CDRA. 4 PATIO NORTE - COMAS</t>
        </is>
      </c>
      <c r="E3220" t="inlineStr">
        <is>
          <t>Lima, 16 de julio de 2025</t>
        </is>
      </c>
      <c r="F3220" t="inlineStr">
        <is>
          <t>la Recarga y mantenimiento</t>
        </is>
      </c>
      <c r="G3220" t="inlineStr">
        <is>
          <t>07</t>
        </is>
      </c>
      <c r="H3220" t="inlineStr">
        <is>
          <t xml:space="preserve">06 KG </t>
        </is>
      </c>
      <c r="I3220" t="inlineStr">
        <is>
          <t>2028</t>
        </is>
      </c>
      <c r="J3220" t="n">
        <v>2010</v>
      </c>
      <c r="K3220" t="inlineStr">
        <is>
          <t>JUNIO 2025</t>
        </is>
      </c>
      <c r="L3220" t="inlineStr">
        <is>
          <t>JUNIO 2026</t>
        </is>
      </c>
      <c r="M3220" t="inlineStr">
        <is>
          <t>P.Q.S.  TIPO ABC  90% NACIONAL</t>
        </is>
      </c>
      <c r="N3220" t="inlineStr">
        <is>
          <t>177/000005</t>
        </is>
      </c>
      <c r="O3220" t="inlineStr">
        <is>
          <t>R</t>
        </is>
      </c>
      <c r="P3220">
        <f>TRIM(N3220)</f>
        <v/>
      </c>
    </row>
    <row r="3221">
      <c r="A3221" t="inlineStr">
        <is>
          <t>CO-002414</t>
        </is>
      </c>
      <c r="B3221" t="inlineStr">
        <is>
          <t>PERU MASIVO S.A - BUSES</t>
        </is>
      </c>
      <c r="C3221" t="inlineStr">
        <is>
          <t>20492392031</t>
        </is>
      </c>
      <c r="D3221" t="inlineStr">
        <is>
          <t>AV. LOS INCAS CDRA. 4 PATIO NORTE - COMAS</t>
        </is>
      </c>
      <c r="E3221" t="inlineStr">
        <is>
          <t>Lima, 16 de julio de 2025</t>
        </is>
      </c>
      <c r="F3221" t="inlineStr">
        <is>
          <t>la Recarga y mantenimiento</t>
        </is>
      </c>
      <c r="G3221" t="inlineStr">
        <is>
          <t>08</t>
        </is>
      </c>
      <c r="H3221" t="inlineStr">
        <is>
          <t xml:space="preserve">06 KG </t>
        </is>
      </c>
      <c r="I3221" t="inlineStr">
        <is>
          <t>2028</t>
        </is>
      </c>
      <c r="J3221" t="n">
        <v>2009</v>
      </c>
      <c r="K3221" t="inlineStr">
        <is>
          <t>JUNIO 2025</t>
        </is>
      </c>
      <c r="L3221" t="inlineStr">
        <is>
          <t>JUNIO 2026</t>
        </is>
      </c>
      <c r="M3221" t="inlineStr">
        <is>
          <t>P.Q.S.  TIPO ABC  90% NACIONAL</t>
        </is>
      </c>
      <c r="N3221" t="inlineStr">
        <is>
          <t>195/001026</t>
        </is>
      </c>
      <c r="O3221" t="inlineStr">
        <is>
          <t>R</t>
        </is>
      </c>
      <c r="P3221">
        <f>TRIM(N3221)</f>
        <v/>
      </c>
    </row>
    <row r="3222">
      <c r="A3222" t="inlineStr">
        <is>
          <t>CO-002415</t>
        </is>
      </c>
      <c r="B3222" t="inlineStr">
        <is>
          <t xml:space="preserve">RESTAURANTE CEVICHERIA EL LENGUADO </t>
        </is>
      </c>
      <c r="D3222" t="inlineStr">
        <is>
          <t xml:space="preserve">CALLE LAS MUSAS MZ X LT 9 URB SAN FELIPE, COMAS </t>
        </is>
      </c>
      <c r="E3222" t="inlineStr">
        <is>
          <t>Lima, 17 de julio de 2025</t>
        </is>
      </c>
      <c r="F3222" t="inlineStr">
        <is>
          <t>la Recarga y mantenimiento</t>
        </is>
      </c>
      <c r="G3222" t="inlineStr">
        <is>
          <t>01</t>
        </is>
      </c>
      <c r="H3222" t="inlineStr">
        <is>
          <t>06 KG</t>
        </is>
      </c>
      <c r="I3222" t="inlineStr">
        <is>
          <t xml:space="preserve">VIGENTE </t>
        </is>
      </c>
      <c r="J3222" t="n">
        <v>2013</v>
      </c>
      <c r="K3222" t="inlineStr">
        <is>
          <t>JULIO 2025</t>
        </is>
      </c>
      <c r="L3222" t="inlineStr">
        <is>
          <t>JULIO 2026</t>
        </is>
      </c>
      <c r="M3222" t="inlineStr">
        <is>
          <t>PQS TIPO ABC</t>
        </is>
      </c>
      <c r="N3222" t="inlineStr">
        <is>
          <t>0001458</t>
        </is>
      </c>
      <c r="O3222" t="inlineStr">
        <is>
          <t>R</t>
        </is>
      </c>
      <c r="P3222">
        <f>TRIM(N3222)</f>
        <v/>
      </c>
    </row>
    <row r="3223">
      <c r="A3223" t="inlineStr">
        <is>
          <t>CO-002416</t>
        </is>
      </c>
      <c r="B3223" t="inlineStr">
        <is>
          <t xml:space="preserve">MILAGROS CHUNGA </t>
        </is>
      </c>
      <c r="D3223" t="inlineStr">
        <is>
          <t>MERCADO FRONTERA - PSTO H6</t>
        </is>
      </c>
      <c r="E3223" t="inlineStr">
        <is>
          <t>Lima, 17 de julio de 2025</t>
        </is>
      </c>
      <c r="F3223" t="inlineStr">
        <is>
          <t>la Recarga y mantenimiento</t>
        </is>
      </c>
      <c r="G3223" t="inlineStr">
        <is>
          <t>01</t>
        </is>
      </c>
      <c r="H3223" t="inlineStr">
        <is>
          <t>06 KG</t>
        </is>
      </c>
      <c r="I3223" t="inlineStr">
        <is>
          <t xml:space="preserve">VIGENTE </t>
        </is>
      </c>
      <c r="J3223" t="n">
        <v>2012</v>
      </c>
      <c r="K3223" t="inlineStr">
        <is>
          <t>JULIO 2025</t>
        </is>
      </c>
      <c r="L3223" t="inlineStr">
        <is>
          <t>JULIO 2026</t>
        </is>
      </c>
      <c r="M3223" t="inlineStr">
        <is>
          <t>PQS TIPO ABC</t>
        </is>
      </c>
      <c r="N3223" t="inlineStr">
        <is>
          <t>000476</t>
        </is>
      </c>
      <c r="O3223" t="inlineStr">
        <is>
          <t>R</t>
        </is>
      </c>
      <c r="P3223">
        <f>TRIM(N3223)</f>
        <v/>
      </c>
    </row>
    <row r="3224">
      <c r="A3224" t="inlineStr">
        <is>
          <t>CO-002417</t>
        </is>
      </c>
      <c r="B3224" t="inlineStr">
        <is>
          <t>PERU MASIVO S.A - BUSES</t>
        </is>
      </c>
      <c r="C3224" t="inlineStr">
        <is>
          <t>20492392031</t>
        </is>
      </c>
      <c r="D3224" t="inlineStr">
        <is>
          <t>AV. LOS INCAS CDRA. 4 PATIO NORTE - COMAS</t>
        </is>
      </c>
      <c r="E3224" t="inlineStr">
        <is>
          <t>Lima, 21 de julio de 2025</t>
        </is>
      </c>
      <c r="F3224" t="inlineStr">
        <is>
          <t>la Recarga y mantenimiento</t>
        </is>
      </c>
      <c r="G3224" t="inlineStr">
        <is>
          <t>01</t>
        </is>
      </c>
      <c r="H3224" t="inlineStr">
        <is>
          <t xml:space="preserve">06 KG </t>
        </is>
      </c>
      <c r="I3224" t="inlineStr">
        <is>
          <t>2028</t>
        </is>
      </c>
      <c r="J3224" t="n">
        <v>2009</v>
      </c>
      <c r="K3224" t="inlineStr">
        <is>
          <t>JULIO 2025</t>
        </is>
      </c>
      <c r="L3224" t="inlineStr">
        <is>
          <t>JULIO 2026</t>
        </is>
      </c>
      <c r="M3224" t="inlineStr">
        <is>
          <t>P.Q.S.  TIPO ABC  90% NACIONAL</t>
        </is>
      </c>
      <c r="N3224" t="inlineStr">
        <is>
          <t>202/000148</t>
        </is>
      </c>
      <c r="O3224" t="inlineStr">
        <is>
          <t>R</t>
        </is>
      </c>
      <c r="P3224">
        <f>TRIM(N3224)</f>
        <v/>
      </c>
    </row>
    <row r="3225">
      <c r="A3225" t="inlineStr">
        <is>
          <t>CO-002417</t>
        </is>
      </c>
      <c r="B3225" t="inlineStr">
        <is>
          <t>PERU MASIVO S.A - BUSES</t>
        </is>
      </c>
      <c r="C3225" t="inlineStr">
        <is>
          <t>20492392031</t>
        </is>
      </c>
      <c r="D3225" t="inlineStr">
        <is>
          <t>AV. LOS INCAS CDRA. 4 PATIO NORTE - COMAS</t>
        </is>
      </c>
      <c r="E3225" t="inlineStr">
        <is>
          <t>Lima, 21 de julio de 2025</t>
        </is>
      </c>
      <c r="F3225" t="inlineStr">
        <is>
          <t>la Recarga y mantenimiento</t>
        </is>
      </c>
      <c r="G3225" t="inlineStr">
        <is>
          <t>02</t>
        </is>
      </c>
      <c r="H3225" t="inlineStr">
        <is>
          <t xml:space="preserve">06 KG </t>
        </is>
      </c>
      <c r="I3225" t="inlineStr">
        <is>
          <t>2028</t>
        </is>
      </c>
      <c r="J3225" t="n">
        <v>2009</v>
      </c>
      <c r="K3225" t="inlineStr">
        <is>
          <t>JULIO 2025</t>
        </is>
      </c>
      <c r="L3225" t="inlineStr">
        <is>
          <t>JULIO 2026</t>
        </is>
      </c>
      <c r="M3225" t="inlineStr">
        <is>
          <t>P.Q.S.  TIPO ABC  90% NACIONAL</t>
        </is>
      </c>
      <c r="N3225" t="inlineStr">
        <is>
          <t>257/001322</t>
        </is>
      </c>
      <c r="O3225" t="inlineStr">
        <is>
          <t>R</t>
        </is>
      </c>
      <c r="P3225">
        <f>TRIM(N3225)</f>
        <v/>
      </c>
    </row>
    <row r="3226">
      <c r="A3226" t="inlineStr">
        <is>
          <t>CO-002417</t>
        </is>
      </c>
      <c r="B3226" t="inlineStr">
        <is>
          <t>PERU MASIVO S.A - BUSES</t>
        </is>
      </c>
      <c r="C3226" t="inlineStr">
        <is>
          <t>20492392031</t>
        </is>
      </c>
      <c r="D3226" t="inlineStr">
        <is>
          <t>AV. LOS INCAS CDRA. 4 PATIO NORTE - COMAS</t>
        </is>
      </c>
      <c r="E3226" t="inlineStr">
        <is>
          <t>Lima, 21 de julio de 2025</t>
        </is>
      </c>
      <c r="F3226" t="inlineStr">
        <is>
          <t>la Recarga y mantenimiento</t>
        </is>
      </c>
      <c r="G3226" t="inlineStr">
        <is>
          <t>03</t>
        </is>
      </c>
      <c r="H3226" t="inlineStr">
        <is>
          <t xml:space="preserve">06 KG </t>
        </is>
      </c>
      <c r="I3226" t="inlineStr">
        <is>
          <t>2028</t>
        </is>
      </c>
      <c r="J3226" t="n">
        <v>2009</v>
      </c>
      <c r="K3226" t="inlineStr">
        <is>
          <t>JULIO 2025</t>
        </is>
      </c>
      <c r="L3226" t="inlineStr">
        <is>
          <t>JULIO 2026</t>
        </is>
      </c>
      <c r="M3226" t="inlineStr">
        <is>
          <t>P.Q.S.  TIPO ABC  90% NACIONAL</t>
        </is>
      </c>
      <c r="N3226" t="inlineStr">
        <is>
          <t>A01/000667</t>
        </is>
      </c>
      <c r="O3226" t="inlineStr">
        <is>
          <t>R</t>
        </is>
      </c>
      <c r="P3226">
        <f>TRIM(N3226)</f>
        <v/>
      </c>
    </row>
    <row r="3227">
      <c r="A3227" t="inlineStr">
        <is>
          <t>CO-002417</t>
        </is>
      </c>
      <c r="B3227" t="inlineStr">
        <is>
          <t>PERU MASIVO S.A - BUSES</t>
        </is>
      </c>
      <c r="C3227" t="inlineStr">
        <is>
          <t>20492392031</t>
        </is>
      </c>
      <c r="D3227" t="inlineStr">
        <is>
          <t>AV. LOS INCAS CDRA. 4 PATIO NORTE - COMAS</t>
        </is>
      </c>
      <c r="E3227" t="inlineStr">
        <is>
          <t>Lima, 21 de julio de 2025</t>
        </is>
      </c>
      <c r="F3227" t="inlineStr">
        <is>
          <t>la Recarga y mantenimiento</t>
        </is>
      </c>
      <c r="G3227" t="inlineStr">
        <is>
          <t>04</t>
        </is>
      </c>
      <c r="H3227" t="inlineStr">
        <is>
          <t xml:space="preserve">06 KG </t>
        </is>
      </c>
      <c r="I3227" t="inlineStr">
        <is>
          <t>2028</t>
        </is>
      </c>
      <c r="J3227" t="n">
        <v>2013</v>
      </c>
      <c r="K3227" t="inlineStr">
        <is>
          <t>JULIO 2025</t>
        </is>
      </c>
      <c r="L3227" t="inlineStr">
        <is>
          <t>JULIO 2026</t>
        </is>
      </c>
      <c r="M3227" t="inlineStr">
        <is>
          <t>P.Q.S.  TIPO ABC  90% NACIONAL</t>
        </is>
      </c>
      <c r="N3227" t="inlineStr">
        <is>
          <t>157/000445</t>
        </is>
      </c>
      <c r="O3227" t="inlineStr">
        <is>
          <t>R</t>
        </is>
      </c>
      <c r="P3227">
        <f>TRIM(N3227)</f>
        <v/>
      </c>
    </row>
    <row r="3228">
      <c r="A3228" t="inlineStr">
        <is>
          <t>CO-002417</t>
        </is>
      </c>
      <c r="B3228" t="inlineStr">
        <is>
          <t>PERU MASIVO S.A - BUSES</t>
        </is>
      </c>
      <c r="C3228" t="inlineStr">
        <is>
          <t>20492392031</t>
        </is>
      </c>
      <c r="D3228" t="inlineStr">
        <is>
          <t>AV. LOS INCAS CDRA. 4 PATIO NORTE - COMAS</t>
        </is>
      </c>
      <c r="E3228" t="inlineStr">
        <is>
          <t>Lima, 21 de julio de 2025</t>
        </is>
      </c>
      <c r="F3228" t="inlineStr">
        <is>
          <t>la Recarga y mantenimiento</t>
        </is>
      </c>
      <c r="G3228" t="inlineStr">
        <is>
          <t>05</t>
        </is>
      </c>
      <c r="H3228" t="inlineStr">
        <is>
          <t xml:space="preserve">06 KG </t>
        </is>
      </c>
      <c r="I3228" t="inlineStr">
        <is>
          <t>2028</t>
        </is>
      </c>
      <c r="J3228" t="n">
        <v>2010</v>
      </c>
      <c r="K3228" t="inlineStr">
        <is>
          <t>JULIO 2025</t>
        </is>
      </c>
      <c r="L3228" t="inlineStr">
        <is>
          <t>JULIO 2026</t>
        </is>
      </c>
      <c r="M3228" t="inlineStr">
        <is>
          <t>P.Q.S.  TIPO ABC  90% NACIONAL</t>
        </is>
      </c>
      <c r="N3228" t="inlineStr">
        <is>
          <t>108/00008</t>
        </is>
      </c>
      <c r="O3228" t="inlineStr">
        <is>
          <t>R</t>
        </is>
      </c>
      <c r="P3228">
        <f>TRIM(N3228)</f>
        <v/>
      </c>
    </row>
    <row r="3229">
      <c r="A3229" t="inlineStr">
        <is>
          <t>CO-002418</t>
        </is>
      </c>
      <c r="B3229" t="inlineStr">
        <is>
          <t>CONDOMINIO LOMAS  DE CARABAYLLO</t>
        </is>
      </c>
      <c r="C3229" t="inlineStr">
        <is>
          <t>20604861218</t>
        </is>
      </c>
      <c r="D3229" t="inlineStr">
        <is>
          <t>CALLE 6  N° 165 ALEDAÑA A LA URB. VILLA GLORIA - CARABAYLLO</t>
        </is>
      </c>
      <c r="E3229" t="inlineStr">
        <is>
          <t>Lima, 21 de julio de 2025</t>
        </is>
      </c>
      <c r="F3229" t="inlineStr">
        <is>
          <t>la Recarga y mantenimiento</t>
        </is>
      </c>
      <c r="G3229" t="n">
        <v>1</v>
      </c>
      <c r="H3229" t="inlineStr">
        <is>
          <t>09 KG</t>
        </is>
      </c>
      <c r="I3229" t="inlineStr">
        <is>
          <t>2028</t>
        </is>
      </c>
      <c r="J3229" t="n">
        <v>2016</v>
      </c>
      <c r="K3229" t="inlineStr">
        <is>
          <t>JULIO 2025</t>
        </is>
      </c>
      <c r="L3229" t="inlineStr">
        <is>
          <t>JULIO 2026</t>
        </is>
      </c>
      <c r="M3229" t="inlineStr">
        <is>
          <t>P.Q.S TIPO ABC AL 75%</t>
        </is>
      </c>
      <c r="N3229" t="inlineStr">
        <is>
          <t>01/002454</t>
        </is>
      </c>
      <c r="O3229" t="inlineStr">
        <is>
          <t>R</t>
        </is>
      </c>
      <c r="P3229">
        <f>TRIM(N3229)</f>
        <v/>
      </c>
    </row>
    <row r="3230">
      <c r="A3230" t="inlineStr">
        <is>
          <t>CO-002418</t>
        </is>
      </c>
      <c r="B3230" t="inlineStr">
        <is>
          <t>CONDOMINIO LOMAS  DE CARABAYLLO</t>
        </is>
      </c>
      <c r="C3230" t="inlineStr">
        <is>
          <t>20604861218</t>
        </is>
      </c>
      <c r="D3230" t="inlineStr">
        <is>
          <t>CALLE 6  N° 165 ALEDAÑA A LA URB. VILLA GLORIA - CARABAYLLO</t>
        </is>
      </c>
      <c r="E3230" t="inlineStr">
        <is>
          <t>Lima, 21 de julio de 2025</t>
        </is>
      </c>
      <c r="F3230" t="inlineStr">
        <is>
          <t>la Recarga y mantenimiento</t>
        </is>
      </c>
      <c r="G3230" t="inlineStr">
        <is>
          <t>02</t>
        </is>
      </c>
      <c r="H3230" t="inlineStr">
        <is>
          <t>09 KG</t>
        </is>
      </c>
      <c r="I3230" t="inlineStr">
        <is>
          <t>2028</t>
        </is>
      </c>
      <c r="J3230" t="n">
        <v>2016</v>
      </c>
      <c r="K3230" t="inlineStr">
        <is>
          <t>JULIO 2025</t>
        </is>
      </c>
      <c r="L3230" t="inlineStr">
        <is>
          <t>JULIO 2026</t>
        </is>
      </c>
      <c r="M3230" t="inlineStr">
        <is>
          <t>P.Q.S TIPO ABC AL 75%</t>
        </is>
      </c>
      <c r="N3230" t="inlineStr">
        <is>
          <t>02/002830</t>
        </is>
      </c>
      <c r="O3230" t="inlineStr">
        <is>
          <t>R</t>
        </is>
      </c>
      <c r="P3230">
        <f>TRIM(N3230)</f>
        <v/>
      </c>
    </row>
    <row r="3231">
      <c r="A3231" t="inlineStr">
        <is>
          <t>CO-002418</t>
        </is>
      </c>
      <c r="B3231" t="inlineStr">
        <is>
          <t>CONDOMINIO LOMAS  DE CARABAYLLO</t>
        </is>
      </c>
      <c r="C3231" t="inlineStr">
        <is>
          <t>20604861218</t>
        </is>
      </c>
      <c r="D3231" t="inlineStr">
        <is>
          <t>CALLE 6  N° 165 ALEDAÑA A LA URB. VILLA GLORIA - CARABAYLLO</t>
        </is>
      </c>
      <c r="E3231" t="inlineStr">
        <is>
          <t>Lima, 21 de julio de 2025</t>
        </is>
      </c>
      <c r="F3231" t="inlineStr">
        <is>
          <t>la Recarga y mantenimiento</t>
        </is>
      </c>
      <c r="G3231" t="inlineStr">
        <is>
          <t>03</t>
        </is>
      </c>
      <c r="H3231" t="inlineStr">
        <is>
          <t>09 KG</t>
        </is>
      </c>
      <c r="I3231" t="inlineStr">
        <is>
          <t>2028</t>
        </is>
      </c>
      <c r="J3231" t="n">
        <v>2016</v>
      </c>
      <c r="K3231" t="inlineStr">
        <is>
          <t>JULIO 2025</t>
        </is>
      </c>
      <c r="L3231" t="inlineStr">
        <is>
          <t>JULIO 2026</t>
        </is>
      </c>
      <c r="M3231" t="inlineStr">
        <is>
          <t>P.Q.S TIPO ABC AL 75%</t>
        </is>
      </c>
      <c r="N3231" t="inlineStr">
        <is>
          <t>03/002465</t>
        </is>
      </c>
      <c r="O3231" t="inlineStr">
        <is>
          <t>R</t>
        </is>
      </c>
      <c r="P3231">
        <f>TRIM(N3231)</f>
        <v/>
      </c>
    </row>
    <row r="3232">
      <c r="A3232" t="inlineStr">
        <is>
          <t>CO-002418</t>
        </is>
      </c>
      <c r="B3232" t="inlineStr">
        <is>
          <t>CONDOMINIO LOMAS  DE CARABAYLLO</t>
        </is>
      </c>
      <c r="C3232" t="inlineStr">
        <is>
          <t>20604861218</t>
        </is>
      </c>
      <c r="D3232" t="inlineStr">
        <is>
          <t>CALLE 6  N° 165 ALEDAÑA A LA URB. VILLA GLORIA - CARABAYLLO</t>
        </is>
      </c>
      <c r="E3232" t="inlineStr">
        <is>
          <t>Lima, 21 de julio de 2025</t>
        </is>
      </c>
      <c r="F3232" t="inlineStr">
        <is>
          <t>la Recarga y mantenimiento</t>
        </is>
      </c>
      <c r="G3232" t="inlineStr">
        <is>
          <t>04</t>
        </is>
      </c>
      <c r="H3232" t="inlineStr">
        <is>
          <t>09 KG</t>
        </is>
      </c>
      <c r="I3232" t="inlineStr">
        <is>
          <t>2028</t>
        </is>
      </c>
      <c r="J3232" t="n">
        <v>2016</v>
      </c>
      <c r="K3232" t="inlineStr">
        <is>
          <t>JULIO 2025</t>
        </is>
      </c>
      <c r="L3232" t="inlineStr">
        <is>
          <t>JULIO 2026</t>
        </is>
      </c>
      <c r="M3232" t="inlineStr">
        <is>
          <t>P.Q.S TIPO ABC AL 75%</t>
        </is>
      </c>
      <c r="N3232" t="inlineStr">
        <is>
          <t>04/003026</t>
        </is>
      </c>
      <c r="O3232" t="inlineStr">
        <is>
          <t>R</t>
        </is>
      </c>
      <c r="P3232">
        <f>TRIM(N3232)</f>
        <v/>
      </c>
    </row>
    <row r="3233">
      <c r="A3233" t="inlineStr">
        <is>
          <t>CO-002418</t>
        </is>
      </c>
      <c r="B3233" t="inlineStr">
        <is>
          <t>CONDOMINIO LOMAS  DE CARABAYLLO</t>
        </is>
      </c>
      <c r="C3233" t="inlineStr">
        <is>
          <t>20604861218</t>
        </is>
      </c>
      <c r="D3233" t="inlineStr">
        <is>
          <t>CALLE 6  N° 165 ALEDAÑA A LA URB. VILLA GLORIA - CARABAYLLO</t>
        </is>
      </c>
      <c r="E3233" t="inlineStr">
        <is>
          <t>Lima, 21 de julio de 2025</t>
        </is>
      </c>
      <c r="F3233" t="inlineStr">
        <is>
          <t>la Recarga y mantenimiento</t>
        </is>
      </c>
      <c r="G3233" t="n">
        <v>5</v>
      </c>
      <c r="H3233" t="inlineStr">
        <is>
          <t>09 KG</t>
        </is>
      </c>
      <c r="I3233" t="n">
        <v>2028</v>
      </c>
      <c r="J3233" t="n">
        <v>2016</v>
      </c>
      <c r="K3233" t="inlineStr">
        <is>
          <t>JULIO 2025</t>
        </is>
      </c>
      <c r="L3233" t="inlineStr">
        <is>
          <t>JULIO 2026</t>
        </is>
      </c>
      <c r="M3233" t="inlineStr">
        <is>
          <t>P.Q.S TIPO ABC AL 75%</t>
        </is>
      </c>
      <c r="N3233" t="inlineStr">
        <is>
          <t>05/003060</t>
        </is>
      </c>
      <c r="O3233" t="inlineStr">
        <is>
          <t>R</t>
        </is>
      </c>
      <c r="P3233">
        <f>TRIM(N3233)</f>
        <v/>
      </c>
    </row>
    <row r="3234">
      <c r="A3234" t="inlineStr">
        <is>
          <t>CO-002419</t>
        </is>
      </c>
      <c r="B3234" t="inlineStr">
        <is>
          <t>SUNAT - AREQUIPA - SEDE MOLLENDO</t>
        </is>
      </c>
      <c r="C3234" t="inlineStr">
        <is>
          <t>20131312955</t>
        </is>
      </c>
      <c r="D3234" t="inlineStr">
        <is>
          <t>Av. Tupac Amaru 102 Urb. Miramar</t>
        </is>
      </c>
      <c r="E3234" t="inlineStr">
        <is>
          <t>Lima, 21 de julio de 2025</t>
        </is>
      </c>
      <c r="F3234" t="inlineStr">
        <is>
          <t>la Recarga y mantenimiento</t>
        </is>
      </c>
      <c r="G3234" t="inlineStr">
        <is>
          <t>01</t>
        </is>
      </c>
      <c r="H3234" t="inlineStr">
        <is>
          <t>02 KG</t>
        </is>
      </c>
      <c r="I3234" t="inlineStr">
        <is>
          <t>2028</t>
        </is>
      </c>
      <c r="J3234" t="n">
        <v>2013</v>
      </c>
      <c r="K3234" t="inlineStr">
        <is>
          <t>JULIO 2025</t>
        </is>
      </c>
      <c r="L3234" t="inlineStr">
        <is>
          <t>JULIO 2026</t>
        </is>
      </c>
      <c r="M3234" t="inlineStr">
        <is>
          <t>PQS ABC 90%</t>
        </is>
      </c>
      <c r="N3234" t="inlineStr">
        <is>
          <t>30/N/R</t>
        </is>
      </c>
      <c r="O3234" t="inlineStr">
        <is>
          <t>R</t>
        </is>
      </c>
      <c r="P3234">
        <f>TRIM(N3234)</f>
        <v/>
      </c>
    </row>
    <row r="3235">
      <c r="A3235" t="inlineStr">
        <is>
          <t>CO-002419</t>
        </is>
      </c>
      <c r="B3235" t="inlineStr">
        <is>
          <t>SUNAT - AREQUIPA - SEDE MOLLENDO</t>
        </is>
      </c>
      <c r="C3235" t="inlineStr">
        <is>
          <t>20131312955</t>
        </is>
      </c>
      <c r="D3235" t="inlineStr">
        <is>
          <t>Av. Tupac Amaru 102 Urb. Miramar</t>
        </is>
      </c>
      <c r="E3235" t="inlineStr">
        <is>
          <t>Lima, 21 de julio de 2025</t>
        </is>
      </c>
      <c r="F3235" t="inlineStr">
        <is>
          <t>la Recarga y mantenimiento</t>
        </is>
      </c>
      <c r="G3235" t="inlineStr">
        <is>
          <t>02</t>
        </is>
      </c>
      <c r="H3235" t="inlineStr">
        <is>
          <t>02 KG</t>
        </is>
      </c>
      <c r="I3235" t="inlineStr">
        <is>
          <t>2028</t>
        </is>
      </c>
      <c r="J3235" t="n">
        <v>2001</v>
      </c>
      <c r="K3235" t="inlineStr">
        <is>
          <t>JULIO 2025</t>
        </is>
      </c>
      <c r="L3235" t="inlineStr">
        <is>
          <t>JULIO 2026</t>
        </is>
      </c>
      <c r="M3235" t="inlineStr">
        <is>
          <t>PQS ABC 90%</t>
        </is>
      </c>
      <c r="N3235" t="inlineStr">
        <is>
          <t>05/000163</t>
        </is>
      </c>
      <c r="O3235" t="inlineStr">
        <is>
          <t>R</t>
        </is>
      </c>
      <c r="P3235">
        <f>TRIM(N3235)</f>
        <v/>
      </c>
    </row>
    <row r="3236">
      <c r="A3236" t="inlineStr">
        <is>
          <t>CO-002419</t>
        </is>
      </c>
      <c r="B3236" t="inlineStr">
        <is>
          <t>SUNAT - AREQUIPA - SEDE MOLLENDO</t>
        </is>
      </c>
      <c r="C3236" t="inlineStr">
        <is>
          <t>20131312955</t>
        </is>
      </c>
      <c r="D3236" t="inlineStr">
        <is>
          <t>Av. Tupac Amaru 102 Urb. Miramar</t>
        </is>
      </c>
      <c r="E3236" t="inlineStr">
        <is>
          <t>Lima, 21 de julio de 2025</t>
        </is>
      </c>
      <c r="F3236" t="inlineStr">
        <is>
          <t>la Recarga y mantenimiento</t>
        </is>
      </c>
      <c r="G3236" t="inlineStr">
        <is>
          <t>03</t>
        </is>
      </c>
      <c r="H3236" t="inlineStr">
        <is>
          <t>02 KG</t>
        </is>
      </c>
      <c r="I3236" t="inlineStr">
        <is>
          <t>2026</t>
        </is>
      </c>
      <c r="J3236" t="inlineStr">
        <is>
          <t>N/R</t>
        </is>
      </c>
      <c r="K3236" t="inlineStr">
        <is>
          <t>JULIO 2025</t>
        </is>
      </c>
      <c r="L3236" t="inlineStr">
        <is>
          <t>JULIO 2026</t>
        </is>
      </c>
      <c r="M3236" t="inlineStr">
        <is>
          <t>PQS ABC 90%</t>
        </is>
      </c>
      <c r="N3236" t="inlineStr">
        <is>
          <t>25/N/R</t>
        </is>
      </c>
      <c r="O3236" t="inlineStr">
        <is>
          <t>R</t>
        </is>
      </c>
      <c r="P3236">
        <f>TRIM(N3236)</f>
        <v/>
      </c>
    </row>
    <row r="3237">
      <c r="A3237" t="inlineStr">
        <is>
          <t>CO-002419</t>
        </is>
      </c>
      <c r="B3237" t="inlineStr">
        <is>
          <t>SUNAT - AREQUIPA - SEDE MOLLENDO</t>
        </is>
      </c>
      <c r="C3237" t="inlineStr">
        <is>
          <t>20131312955</t>
        </is>
      </c>
      <c r="D3237" t="inlineStr">
        <is>
          <t>Av. Tupac Amaru 102 Urb. Miramar</t>
        </is>
      </c>
      <c r="E3237" t="inlineStr">
        <is>
          <t>Lima, 21 de julio de 2025</t>
        </is>
      </c>
      <c r="F3237" t="inlineStr">
        <is>
          <t>la Recarga y mantenimiento</t>
        </is>
      </c>
      <c r="G3237" t="inlineStr">
        <is>
          <t>04</t>
        </is>
      </c>
      <c r="H3237" t="inlineStr">
        <is>
          <t>04 KG</t>
        </is>
      </c>
      <c r="I3237" t="inlineStr">
        <is>
          <t>2030</t>
        </is>
      </c>
      <c r="J3237" t="n">
        <v>2015</v>
      </c>
      <c r="K3237" t="inlineStr">
        <is>
          <t>JULIO 2025</t>
        </is>
      </c>
      <c r="L3237" t="inlineStr">
        <is>
          <t>JULIO 2026</t>
        </is>
      </c>
      <c r="M3237" t="inlineStr">
        <is>
          <t>PQS ABC 90%</t>
        </is>
      </c>
      <c r="N3237" t="inlineStr">
        <is>
          <t>26/000397</t>
        </is>
      </c>
      <c r="O3237" t="inlineStr">
        <is>
          <t>R</t>
        </is>
      </c>
      <c r="P3237">
        <f>TRIM(N3237)</f>
        <v/>
      </c>
    </row>
    <row r="3238">
      <c r="A3238" t="inlineStr">
        <is>
          <t>CO-002419</t>
        </is>
      </c>
      <c r="B3238" t="inlineStr">
        <is>
          <t>SUNAT - AREQUIPA - SEDE MOLLENDO</t>
        </is>
      </c>
      <c r="C3238" t="inlineStr">
        <is>
          <t>20131312955</t>
        </is>
      </c>
      <c r="D3238" t="inlineStr">
        <is>
          <t>Av. Tupac Amaru 102 Urb. Miramar</t>
        </is>
      </c>
      <c r="E3238" t="inlineStr">
        <is>
          <t>Lima, 21 de julio de 2025</t>
        </is>
      </c>
      <c r="F3238" t="inlineStr">
        <is>
          <t>la Recarga y mantenimiento</t>
        </is>
      </c>
      <c r="G3238" t="inlineStr">
        <is>
          <t>05</t>
        </is>
      </c>
      <c r="H3238" t="inlineStr">
        <is>
          <t>04 KG</t>
        </is>
      </c>
      <c r="I3238" t="inlineStr">
        <is>
          <t>2028</t>
        </is>
      </c>
      <c r="J3238" t="n">
        <v>2013</v>
      </c>
      <c r="K3238" t="inlineStr">
        <is>
          <t>JULIO 2025</t>
        </is>
      </c>
      <c r="L3238" t="inlineStr">
        <is>
          <t>JULIO 2026</t>
        </is>
      </c>
      <c r="M3238" t="inlineStr">
        <is>
          <t>PQS ABC 90%</t>
        </is>
      </c>
      <c r="N3238" t="inlineStr">
        <is>
          <t>01/000387</t>
        </is>
      </c>
      <c r="O3238" t="inlineStr">
        <is>
          <t>R</t>
        </is>
      </c>
      <c r="P3238">
        <f>TRIM(N3238)</f>
        <v/>
      </c>
    </row>
    <row r="3239">
      <c r="A3239" t="inlineStr">
        <is>
          <t>CO-002419</t>
        </is>
      </c>
      <c r="B3239" t="inlineStr">
        <is>
          <t>SUNAT - AREQUIPA - SEDE MOLLENDO</t>
        </is>
      </c>
      <c r="C3239" t="inlineStr">
        <is>
          <t>20131312955</t>
        </is>
      </c>
      <c r="D3239" t="inlineStr">
        <is>
          <t>Av. Tupac Amaru 102 Urb. Miramar</t>
        </is>
      </c>
      <c r="E3239" t="inlineStr">
        <is>
          <t>Lima, 21 de julio de 2025</t>
        </is>
      </c>
      <c r="F3239" t="inlineStr">
        <is>
          <t>la Recarga y mantenimiento</t>
        </is>
      </c>
      <c r="G3239" t="inlineStr">
        <is>
          <t>06</t>
        </is>
      </c>
      <c r="H3239" t="inlineStr">
        <is>
          <t>04 KG</t>
        </is>
      </c>
      <c r="I3239" t="inlineStr">
        <is>
          <t>2028</t>
        </is>
      </c>
      <c r="J3239" t="n">
        <v>2012</v>
      </c>
      <c r="K3239" t="inlineStr">
        <is>
          <t>JULIO 2025</t>
        </is>
      </c>
      <c r="L3239" t="inlineStr">
        <is>
          <t>JULIO 2026</t>
        </is>
      </c>
      <c r="M3239" t="inlineStr">
        <is>
          <t>PQS ABC 90%</t>
        </is>
      </c>
      <c r="N3239" t="inlineStr">
        <is>
          <t>05/000887</t>
        </is>
      </c>
      <c r="O3239" t="inlineStr">
        <is>
          <t>R</t>
        </is>
      </c>
      <c r="P3239">
        <f>TRIM(N3239)</f>
        <v/>
      </c>
    </row>
    <row r="3240">
      <c r="A3240" t="inlineStr">
        <is>
          <t>CO-002419</t>
        </is>
      </c>
      <c r="B3240" t="inlineStr">
        <is>
          <t>SUNAT - AREQUIPA - SEDE MOLLENDO</t>
        </is>
      </c>
      <c r="C3240" t="inlineStr">
        <is>
          <t>20131312955</t>
        </is>
      </c>
      <c r="D3240" t="inlineStr">
        <is>
          <t>Av. Tupac Amaru 102 Urb. Miramar</t>
        </is>
      </c>
      <c r="E3240" t="inlineStr">
        <is>
          <t>Lima, 21 de julio de 2025</t>
        </is>
      </c>
      <c r="F3240" t="inlineStr">
        <is>
          <t>la Recarga y mantenimiento</t>
        </is>
      </c>
      <c r="G3240" t="inlineStr">
        <is>
          <t>07</t>
        </is>
      </c>
      <c r="H3240" t="inlineStr">
        <is>
          <t>04 KG</t>
        </is>
      </c>
      <c r="I3240" t="inlineStr">
        <is>
          <t>2028</t>
        </is>
      </c>
      <c r="J3240" t="n">
        <v>2014</v>
      </c>
      <c r="K3240" t="inlineStr">
        <is>
          <t>JULIO 2025</t>
        </is>
      </c>
      <c r="L3240" t="inlineStr">
        <is>
          <t>JULIO 2026</t>
        </is>
      </c>
      <c r="M3240" t="inlineStr">
        <is>
          <t>PQS ABC 90%</t>
        </is>
      </c>
      <c r="N3240" t="inlineStr">
        <is>
          <t>01/000494</t>
        </is>
      </c>
      <c r="O3240" t="inlineStr">
        <is>
          <t>R</t>
        </is>
      </c>
      <c r="P3240">
        <f>TRIM(N3240)</f>
        <v/>
      </c>
    </row>
    <row r="3241">
      <c r="A3241" t="inlineStr">
        <is>
          <t>CO-002419</t>
        </is>
      </c>
      <c r="B3241" t="inlineStr">
        <is>
          <t>SUNAT - AREQUIPA - SEDE MOLLENDO</t>
        </is>
      </c>
      <c r="C3241" t="inlineStr">
        <is>
          <t>20131312955</t>
        </is>
      </c>
      <c r="D3241" t="inlineStr">
        <is>
          <t>Av. Tupac Amaru 102 Urb. Miramar</t>
        </is>
      </c>
      <c r="E3241" t="inlineStr">
        <is>
          <t>Lima, 21 de julio de 2025</t>
        </is>
      </c>
      <c r="F3241" t="inlineStr">
        <is>
          <t>la Recarga y mantenimiento</t>
        </is>
      </c>
      <c r="G3241" t="inlineStr">
        <is>
          <t>08</t>
        </is>
      </c>
      <c r="H3241" t="inlineStr">
        <is>
          <t>04 KG</t>
        </is>
      </c>
      <c r="I3241" t="inlineStr">
        <is>
          <t>2029</t>
        </is>
      </c>
      <c r="J3241" t="n">
        <v>2012</v>
      </c>
      <c r="K3241" t="inlineStr">
        <is>
          <t>JULIO 2025</t>
        </is>
      </c>
      <c r="L3241" t="inlineStr">
        <is>
          <t>JULIO 2026</t>
        </is>
      </c>
      <c r="M3241" t="inlineStr">
        <is>
          <t>PQS ABC 90%</t>
        </is>
      </c>
      <c r="N3241" t="inlineStr">
        <is>
          <t>03/001273</t>
        </is>
      </c>
      <c r="O3241" t="inlineStr">
        <is>
          <t>R</t>
        </is>
      </c>
      <c r="P3241">
        <f>TRIM(N3241)</f>
        <v/>
      </c>
    </row>
    <row r="3242">
      <c r="A3242" t="inlineStr">
        <is>
          <t>CO-002419</t>
        </is>
      </c>
      <c r="B3242" t="inlineStr">
        <is>
          <t>SUNAT - AREQUIPA - SEDE MOLLENDO</t>
        </is>
      </c>
      <c r="C3242" t="inlineStr">
        <is>
          <t>20131312955</t>
        </is>
      </c>
      <c r="D3242" t="inlineStr">
        <is>
          <t>Av. Tupac Amaru 102 Urb. Miramar</t>
        </is>
      </c>
      <c r="E3242" t="inlineStr">
        <is>
          <t>Lima, 21 de julio de 2025</t>
        </is>
      </c>
      <c r="F3242" t="inlineStr">
        <is>
          <t>la Recarga y mantenimiento</t>
        </is>
      </c>
      <c r="G3242" t="inlineStr">
        <is>
          <t>09</t>
        </is>
      </c>
      <c r="H3242" t="inlineStr">
        <is>
          <t>04 KG</t>
        </is>
      </c>
      <c r="I3242" t="inlineStr">
        <is>
          <t>2028</t>
        </is>
      </c>
      <c r="J3242" t="n">
        <v>2013</v>
      </c>
      <c r="K3242" t="inlineStr">
        <is>
          <t>JULIO 2025</t>
        </is>
      </c>
      <c r="L3242" t="inlineStr">
        <is>
          <t>JULIO 2026</t>
        </is>
      </c>
      <c r="M3242" t="inlineStr">
        <is>
          <t>PQS ABC 90%</t>
        </is>
      </c>
      <c r="N3242" t="inlineStr">
        <is>
          <t>04/003098</t>
        </is>
      </c>
      <c r="O3242" t="inlineStr">
        <is>
          <t>R</t>
        </is>
      </c>
      <c r="P3242">
        <f>TRIM(N3242)</f>
        <v/>
      </c>
    </row>
    <row r="3243">
      <c r="A3243" t="inlineStr">
        <is>
          <t>CO-002419</t>
        </is>
      </c>
      <c r="B3243" t="inlineStr">
        <is>
          <t>SUNAT - AREQUIPA - SEDE MOLLENDO</t>
        </is>
      </c>
      <c r="C3243" t="inlineStr">
        <is>
          <t>20131312955</t>
        </is>
      </c>
      <c r="D3243" t="inlineStr">
        <is>
          <t>Av. Tupac Amaru 102 Urb. Miramar</t>
        </is>
      </c>
      <c r="E3243" t="inlineStr">
        <is>
          <t>Lima, 21 de julio de 2025</t>
        </is>
      </c>
      <c r="F3243" t="inlineStr">
        <is>
          <t>la Recarga y mantenimiento</t>
        </is>
      </c>
      <c r="G3243" t="n">
        <v>10</v>
      </c>
      <c r="H3243" t="inlineStr">
        <is>
          <t>04 KG</t>
        </is>
      </c>
      <c r="I3243" t="inlineStr">
        <is>
          <t>2028</t>
        </is>
      </c>
      <c r="J3243" t="n">
        <v>2013</v>
      </c>
      <c r="K3243" t="inlineStr">
        <is>
          <t>JULIO 2025</t>
        </is>
      </c>
      <c r="L3243" t="inlineStr">
        <is>
          <t>JULIO 2026</t>
        </is>
      </c>
      <c r="M3243" t="inlineStr">
        <is>
          <t>PQS ABC 90%</t>
        </is>
      </c>
      <c r="N3243" t="inlineStr">
        <is>
          <t>06/000318</t>
        </is>
      </c>
      <c r="O3243" t="inlineStr">
        <is>
          <t>R</t>
        </is>
      </c>
      <c r="P3243">
        <f>TRIM(N3243)</f>
        <v/>
      </c>
    </row>
    <row r="3244">
      <c r="A3244" t="inlineStr">
        <is>
          <t>CO-002419</t>
        </is>
      </c>
      <c r="B3244" t="inlineStr">
        <is>
          <t>SUNAT - AREQUIPA - SEDE MOLLENDO</t>
        </is>
      </c>
      <c r="C3244" t="inlineStr">
        <is>
          <t>20131312955</t>
        </is>
      </c>
      <c r="D3244" t="inlineStr">
        <is>
          <t>Av. Tupac Amaru 102 Urb. Miramar</t>
        </is>
      </c>
      <c r="E3244" t="inlineStr">
        <is>
          <t>Lima, 21 de julio de 2025</t>
        </is>
      </c>
      <c r="F3244" t="inlineStr">
        <is>
          <t>la Recarga y mantenimiento</t>
        </is>
      </c>
      <c r="G3244" t="n">
        <v>11</v>
      </c>
      <c r="H3244" t="inlineStr">
        <is>
          <t>04 KG</t>
        </is>
      </c>
      <c r="I3244" t="inlineStr">
        <is>
          <t>2028</t>
        </is>
      </c>
      <c r="J3244" t="n">
        <v>2013</v>
      </c>
      <c r="K3244" t="inlineStr">
        <is>
          <t>JULIO 2025</t>
        </is>
      </c>
      <c r="L3244" t="inlineStr">
        <is>
          <t>JULIO 2026</t>
        </is>
      </c>
      <c r="M3244" t="inlineStr">
        <is>
          <t>PQS ABC 90%</t>
        </is>
      </c>
      <c r="N3244" t="inlineStr">
        <is>
          <t>07/000140</t>
        </is>
      </c>
      <c r="O3244" t="inlineStr">
        <is>
          <t>R</t>
        </is>
      </c>
      <c r="P3244">
        <f>TRIM(N3244)</f>
        <v/>
      </c>
    </row>
    <row r="3245">
      <c r="A3245" t="inlineStr">
        <is>
          <t>CO-002419</t>
        </is>
      </c>
      <c r="B3245" t="inlineStr">
        <is>
          <t>SUNAT - AREQUIPA - SEDE MOLLENDO</t>
        </is>
      </c>
      <c r="C3245" t="inlineStr">
        <is>
          <t>20131312955</t>
        </is>
      </c>
      <c r="D3245" t="inlineStr">
        <is>
          <t>Av. Tupac Amaru 102 Urb. Miramar</t>
        </is>
      </c>
      <c r="E3245" t="inlineStr">
        <is>
          <t>Lima, 21 de julio de 2025</t>
        </is>
      </c>
      <c r="F3245" t="inlineStr">
        <is>
          <t>la Recarga y mantenimiento</t>
        </is>
      </c>
      <c r="G3245" t="n">
        <v>12</v>
      </c>
      <c r="H3245" t="inlineStr">
        <is>
          <t>04 KG</t>
        </is>
      </c>
      <c r="I3245" t="inlineStr">
        <is>
          <t>2027</t>
        </is>
      </c>
      <c r="J3245" t="n">
        <v>2022</v>
      </c>
      <c r="K3245" t="inlineStr">
        <is>
          <t>JULIO 2025</t>
        </is>
      </c>
      <c r="L3245" t="inlineStr">
        <is>
          <t>JULIO 2026</t>
        </is>
      </c>
      <c r="M3245" t="inlineStr">
        <is>
          <t>PQS ABC 90%</t>
        </is>
      </c>
      <c r="N3245" t="inlineStr">
        <is>
          <t>03/000342</t>
        </is>
      </c>
      <c r="O3245" t="inlineStr">
        <is>
          <t>R</t>
        </is>
      </c>
      <c r="P3245">
        <f>TRIM(N3245)</f>
        <v/>
      </c>
    </row>
    <row r="3246">
      <c r="A3246" t="inlineStr">
        <is>
          <t>CO-002419</t>
        </is>
      </c>
      <c r="B3246" t="inlineStr">
        <is>
          <t>SUNAT - AREQUIPA - SEDE MOLLENDO</t>
        </is>
      </c>
      <c r="C3246" t="inlineStr">
        <is>
          <t>20131312955</t>
        </is>
      </c>
      <c r="D3246" t="inlineStr">
        <is>
          <t>Av. Tupac Amaru 102 Urb. Miramar</t>
        </is>
      </c>
      <c r="E3246" t="inlineStr">
        <is>
          <t>Lima, 21 de julio de 2025</t>
        </is>
      </c>
      <c r="F3246" t="inlineStr">
        <is>
          <t>la Recarga y mantenimiento</t>
        </is>
      </c>
      <c r="G3246" t="n">
        <v>13</v>
      </c>
      <c r="H3246" t="inlineStr">
        <is>
          <t>04 KG</t>
        </is>
      </c>
      <c r="I3246" t="inlineStr">
        <is>
          <t>N/R</t>
        </is>
      </c>
      <c r="J3246" t="inlineStr">
        <is>
          <t>N/R</t>
        </is>
      </c>
      <c r="K3246" t="inlineStr">
        <is>
          <t>JULIO 2025</t>
        </is>
      </c>
      <c r="L3246" t="inlineStr">
        <is>
          <t>JULIO 2026</t>
        </is>
      </c>
      <c r="M3246" t="inlineStr">
        <is>
          <t>PQS ABC 90%</t>
        </is>
      </c>
      <c r="N3246" t="inlineStr">
        <is>
          <t>01/000243</t>
        </is>
      </c>
      <c r="O3246" t="inlineStr">
        <is>
          <t>R</t>
        </is>
      </c>
      <c r="P3246">
        <f>TRIM(N3246)</f>
        <v/>
      </c>
    </row>
    <row r="3247">
      <c r="A3247" t="inlineStr">
        <is>
          <t>CO-002419</t>
        </is>
      </c>
      <c r="B3247" t="inlineStr">
        <is>
          <t>SUNAT - AREQUIPA - SEDE MOLLENDO</t>
        </is>
      </c>
      <c r="C3247" t="inlineStr">
        <is>
          <t>20131312955</t>
        </is>
      </c>
      <c r="D3247" t="inlineStr">
        <is>
          <t>Av. Tupac Amaru 102 Urb. Miramar</t>
        </is>
      </c>
      <c r="E3247" t="inlineStr">
        <is>
          <t>Lima, 21 de julio de 2025</t>
        </is>
      </c>
      <c r="F3247" t="inlineStr">
        <is>
          <t>la Recarga y mantenimiento</t>
        </is>
      </c>
      <c r="G3247" t="n">
        <v>14</v>
      </c>
      <c r="H3247" t="inlineStr">
        <is>
          <t>04 KG</t>
        </is>
      </c>
      <c r="I3247" t="inlineStr">
        <is>
          <t>2026</t>
        </is>
      </c>
      <c r="J3247" t="n">
        <v>2021</v>
      </c>
      <c r="K3247" t="inlineStr">
        <is>
          <t>JULIO 2025</t>
        </is>
      </c>
      <c r="L3247" t="inlineStr">
        <is>
          <t>JULIO 2026</t>
        </is>
      </c>
      <c r="M3247" t="inlineStr">
        <is>
          <t>PQS ABC 90%</t>
        </is>
      </c>
      <c r="N3247" t="inlineStr">
        <is>
          <t>18/011194</t>
        </is>
      </c>
      <c r="O3247" t="inlineStr">
        <is>
          <t>R</t>
        </is>
      </c>
      <c r="P3247">
        <f>TRIM(N3247)</f>
        <v/>
      </c>
    </row>
    <row r="3248">
      <c r="A3248" t="inlineStr">
        <is>
          <t>CO-002419</t>
        </is>
      </c>
      <c r="B3248" t="inlineStr">
        <is>
          <t>SUNAT - AREQUIPA - SEDE MOLLENDO</t>
        </is>
      </c>
      <c r="C3248" t="inlineStr">
        <is>
          <t>20131312955</t>
        </is>
      </c>
      <c r="D3248" t="inlineStr">
        <is>
          <t>Av. Tupac Amaru 102 Urb. Miramar</t>
        </is>
      </c>
      <c r="E3248" t="inlineStr">
        <is>
          <t>Lima, 21 de julio de 2025</t>
        </is>
      </c>
      <c r="F3248" t="inlineStr">
        <is>
          <t>la Recarga y mantenimiento</t>
        </is>
      </c>
      <c r="G3248" t="n">
        <v>15</v>
      </c>
      <c r="H3248" t="inlineStr">
        <is>
          <t>04 KG</t>
        </is>
      </c>
      <c r="I3248" t="inlineStr">
        <is>
          <t>2028</t>
        </is>
      </c>
      <c r="J3248" t="inlineStr">
        <is>
          <t>N/R</t>
        </is>
      </c>
      <c r="K3248" t="inlineStr">
        <is>
          <t>JULIO 2025</t>
        </is>
      </c>
      <c r="L3248" t="inlineStr">
        <is>
          <t>JULIO 2026</t>
        </is>
      </c>
      <c r="M3248" t="inlineStr">
        <is>
          <t>PQS ABC 90%</t>
        </is>
      </c>
      <c r="N3248" t="inlineStr">
        <is>
          <t>19/011088</t>
        </is>
      </c>
      <c r="O3248" t="inlineStr">
        <is>
          <t>R</t>
        </is>
      </c>
      <c r="P3248">
        <f>TRIM(N3248)</f>
        <v/>
      </c>
    </row>
    <row r="3249">
      <c r="A3249" t="inlineStr">
        <is>
          <t>CO-002420</t>
        </is>
      </c>
      <c r="B3249" t="inlineStr">
        <is>
          <t>SUNAT - AREQUIPA - SEDE MOLLENDO</t>
        </is>
      </c>
      <c r="C3249" t="inlineStr">
        <is>
          <t>20131312955</t>
        </is>
      </c>
      <c r="D3249" t="inlineStr">
        <is>
          <t>Av. Tupac Amaru 102 Urb. Miramar</t>
        </is>
      </c>
      <c r="E3249" t="inlineStr">
        <is>
          <t>Lima, 21 de julio de 2025</t>
        </is>
      </c>
      <c r="F3249" t="inlineStr">
        <is>
          <t>la Recarga y mantenimiento</t>
        </is>
      </c>
      <c r="G3249" t="inlineStr">
        <is>
          <t>01</t>
        </is>
      </c>
      <c r="H3249" t="inlineStr">
        <is>
          <t>04 KG</t>
        </is>
      </c>
      <c r="I3249" t="inlineStr">
        <is>
          <t>2028</t>
        </is>
      </c>
      <c r="J3249" t="inlineStr">
        <is>
          <t>N/R</t>
        </is>
      </c>
      <c r="K3249" t="inlineStr">
        <is>
          <t>JULIO 2025</t>
        </is>
      </c>
      <c r="L3249" t="inlineStr">
        <is>
          <t>JULIO 2026</t>
        </is>
      </c>
      <c r="M3249" t="inlineStr">
        <is>
          <t>PQS ABC 90%</t>
        </is>
      </c>
      <c r="N3249" t="inlineStr">
        <is>
          <t>20/011886</t>
        </is>
      </c>
      <c r="O3249" t="inlineStr">
        <is>
          <t>R</t>
        </is>
      </c>
      <c r="P3249">
        <f>TRIM(N3249)</f>
        <v/>
      </c>
    </row>
    <row r="3250">
      <c r="A3250" t="inlineStr">
        <is>
          <t>CO-002420</t>
        </is>
      </c>
      <c r="B3250" t="inlineStr">
        <is>
          <t>SUNAT - AREQUIPA - SEDE MOLLENDO</t>
        </is>
      </c>
      <c r="C3250" t="inlineStr">
        <is>
          <t>20131312955</t>
        </is>
      </c>
      <c r="D3250" t="inlineStr">
        <is>
          <t>Av. Tupac Amaru 102 Urb. Miramar</t>
        </is>
      </c>
      <c r="E3250" t="inlineStr">
        <is>
          <t>Lima, 21 de julio de 2025</t>
        </is>
      </c>
      <c r="F3250" t="inlineStr">
        <is>
          <t>la Recarga y mantenimiento</t>
        </is>
      </c>
      <c r="G3250" t="inlineStr">
        <is>
          <t>02</t>
        </is>
      </c>
      <c r="H3250" t="inlineStr">
        <is>
          <t>04 KG</t>
        </is>
      </c>
      <c r="I3250" t="inlineStr">
        <is>
          <t>2028</t>
        </is>
      </c>
      <c r="J3250" t="inlineStr">
        <is>
          <t>N/R</t>
        </is>
      </c>
      <c r="K3250" t="inlineStr">
        <is>
          <t>JULIO 2025</t>
        </is>
      </c>
      <c r="L3250" t="inlineStr">
        <is>
          <t>JULIO 2026</t>
        </is>
      </c>
      <c r="M3250" t="inlineStr">
        <is>
          <t>PQS ABC 90%</t>
        </is>
      </c>
      <c r="N3250" t="inlineStr">
        <is>
          <t>21/011071</t>
        </is>
      </c>
      <c r="O3250" t="inlineStr">
        <is>
          <t>R</t>
        </is>
      </c>
      <c r="P3250">
        <f>TRIM(N3250)</f>
        <v/>
      </c>
    </row>
    <row r="3251">
      <c r="A3251" t="inlineStr">
        <is>
          <t>CO-002420</t>
        </is>
      </c>
      <c r="B3251" t="inlineStr">
        <is>
          <t>SUNAT - AREQUIPA - SEDE MOLLENDO</t>
        </is>
      </c>
      <c r="C3251" t="inlineStr">
        <is>
          <t>20131312955</t>
        </is>
      </c>
      <c r="D3251" t="inlineStr">
        <is>
          <t>Av. Tupac Amaru 102 Urb. Miramar</t>
        </is>
      </c>
      <c r="E3251" t="inlineStr">
        <is>
          <t>Lima, 21 de julio de 2025</t>
        </is>
      </c>
      <c r="F3251" t="inlineStr">
        <is>
          <t>la Recarga y mantenimiento</t>
        </is>
      </c>
      <c r="G3251" t="inlineStr">
        <is>
          <t>03</t>
        </is>
      </c>
      <c r="H3251" t="inlineStr">
        <is>
          <t>04 KG</t>
        </is>
      </c>
      <c r="I3251" t="inlineStr">
        <is>
          <t>2026</t>
        </is>
      </c>
      <c r="J3251" t="n">
        <v>2021</v>
      </c>
      <c r="K3251" t="inlineStr">
        <is>
          <t>JULIO 2025</t>
        </is>
      </c>
      <c r="L3251" t="inlineStr">
        <is>
          <t>JULIO 2026</t>
        </is>
      </c>
      <c r="M3251" t="inlineStr">
        <is>
          <t>PQS ABC 90%</t>
        </is>
      </c>
      <c r="N3251" t="inlineStr">
        <is>
          <t>22/011552</t>
        </is>
      </c>
      <c r="O3251" t="inlineStr">
        <is>
          <t>R</t>
        </is>
      </c>
      <c r="P3251">
        <f>TRIM(N3251)</f>
        <v/>
      </c>
    </row>
    <row r="3252">
      <c r="A3252" t="inlineStr">
        <is>
          <t>CO-002420</t>
        </is>
      </c>
      <c r="B3252" t="inlineStr">
        <is>
          <t>SUNAT - AREQUIPA - SEDE MOLLENDO</t>
        </is>
      </c>
      <c r="C3252" t="inlineStr">
        <is>
          <t>20131312955</t>
        </is>
      </c>
      <c r="D3252" t="inlineStr">
        <is>
          <t>Av. Tupac Amaru 102 Urb. Miramar</t>
        </is>
      </c>
      <c r="E3252" t="inlineStr">
        <is>
          <t>Lima, 21 de julio de 2025</t>
        </is>
      </c>
      <c r="F3252" t="inlineStr">
        <is>
          <t>la Recarga y mantenimiento</t>
        </is>
      </c>
      <c r="G3252" t="inlineStr">
        <is>
          <t>04</t>
        </is>
      </c>
      <c r="H3252" t="inlineStr">
        <is>
          <t>04 KG</t>
        </is>
      </c>
      <c r="I3252" t="inlineStr">
        <is>
          <t>2029</t>
        </is>
      </c>
      <c r="J3252" t="n">
        <v>2013</v>
      </c>
      <c r="K3252" t="inlineStr">
        <is>
          <t>JULIO 2025</t>
        </is>
      </c>
      <c r="L3252" t="inlineStr">
        <is>
          <t>JULIO 2026</t>
        </is>
      </c>
      <c r="M3252" t="inlineStr">
        <is>
          <t>PQS ABC 90%</t>
        </is>
      </c>
      <c r="N3252" t="inlineStr">
        <is>
          <t>24/000240</t>
        </is>
      </c>
      <c r="O3252" t="inlineStr">
        <is>
          <t>R</t>
        </is>
      </c>
      <c r="P3252">
        <f>TRIM(N3252)</f>
        <v/>
      </c>
    </row>
    <row r="3253">
      <c r="A3253" t="inlineStr">
        <is>
          <t>CO-002420</t>
        </is>
      </c>
      <c r="B3253" t="inlineStr">
        <is>
          <t>SUNAT - AREQUIPA - SEDE MOLLENDO</t>
        </is>
      </c>
      <c r="C3253" t="inlineStr">
        <is>
          <t>20131312955</t>
        </is>
      </c>
      <c r="D3253" t="inlineStr">
        <is>
          <t>Av. Tupac Amaru 102 Urb. Miramar</t>
        </is>
      </c>
      <c r="E3253" t="inlineStr">
        <is>
          <t>Lima, 21 de julio de 2025</t>
        </is>
      </c>
      <c r="F3253" t="inlineStr">
        <is>
          <t>la Recarga y mantenimiento</t>
        </is>
      </c>
      <c r="G3253" t="inlineStr">
        <is>
          <t>05</t>
        </is>
      </c>
      <c r="H3253" t="inlineStr">
        <is>
          <t>12 KG</t>
        </is>
      </c>
      <c r="I3253" t="inlineStr">
        <is>
          <t>2030</t>
        </is>
      </c>
      <c r="J3253" t="n">
        <v>2015</v>
      </c>
      <c r="K3253" t="inlineStr">
        <is>
          <t>JULIO 2025</t>
        </is>
      </c>
      <c r="L3253" t="inlineStr">
        <is>
          <t>JULIO 2026</t>
        </is>
      </c>
      <c r="M3253" t="inlineStr">
        <is>
          <t>PQS ABC 90%</t>
        </is>
      </c>
      <c r="N3253" t="inlineStr">
        <is>
          <t>32/000471</t>
        </is>
      </c>
      <c r="O3253" t="inlineStr">
        <is>
          <t>R</t>
        </is>
      </c>
      <c r="P3253">
        <f>TRIM(N3253)</f>
        <v/>
      </c>
    </row>
    <row r="3254">
      <c r="A3254" t="inlineStr">
        <is>
          <t>CO-002421</t>
        </is>
      </c>
      <c r="B3254" t="inlineStr">
        <is>
          <t>CONDOMINIO CLUB EL ROSEDAL- EDIFICIO 04</t>
        </is>
      </c>
      <c r="D3254" t="inlineStr">
        <is>
          <t>AV. INTIHUATANA CRUCE CON  AV. TAHUANTINSUYO</t>
        </is>
      </c>
      <c r="E3254" t="inlineStr">
        <is>
          <t>Lima, 21 de julio de 2025</t>
        </is>
      </c>
      <c r="F3254" t="inlineStr">
        <is>
          <t>la Recarga y mantenimiento</t>
        </is>
      </c>
      <c r="G3254" t="inlineStr">
        <is>
          <t>01</t>
        </is>
      </c>
      <c r="H3254" t="inlineStr">
        <is>
          <t>09 KG</t>
        </is>
      </c>
      <c r="I3254" t="inlineStr">
        <is>
          <t>2030</t>
        </is>
      </c>
      <c r="J3254" t="n">
        <v>2020</v>
      </c>
      <c r="K3254" t="inlineStr">
        <is>
          <t>JULIO 2025</t>
        </is>
      </c>
      <c r="L3254" t="inlineStr">
        <is>
          <t>JULIO 2026</t>
        </is>
      </c>
      <c r="M3254" t="inlineStr">
        <is>
          <t xml:space="preserve">PQS TIPO ABC </t>
        </is>
      </c>
      <c r="N3254" t="inlineStr">
        <is>
          <t>01/000697</t>
        </is>
      </c>
      <c r="O3254" t="inlineStr">
        <is>
          <t>R</t>
        </is>
      </c>
      <c r="P3254">
        <f>TRIM(N3254)</f>
        <v/>
      </c>
    </row>
    <row r="3255">
      <c r="A3255" t="inlineStr">
        <is>
          <t>CO-002421</t>
        </is>
      </c>
      <c r="B3255" t="inlineStr">
        <is>
          <t>CONDOMINIO CLUB EL ROSEDAL- EDIFICIO 04</t>
        </is>
      </c>
      <c r="D3255" t="inlineStr">
        <is>
          <t>AV. INTIHUATANA CRUCE CON  AV. TAHUANTINSUYO</t>
        </is>
      </c>
      <c r="E3255" t="inlineStr">
        <is>
          <t>Lima, 21 de julio de 2025</t>
        </is>
      </c>
      <c r="F3255" t="inlineStr">
        <is>
          <t>la Recarga y mantenimiento</t>
        </is>
      </c>
      <c r="G3255" t="inlineStr">
        <is>
          <t>02</t>
        </is>
      </c>
      <c r="H3255" t="inlineStr">
        <is>
          <t>09 KG</t>
        </is>
      </c>
      <c r="I3255" t="inlineStr">
        <is>
          <t>2030</t>
        </is>
      </c>
      <c r="J3255" t="n">
        <v>2020</v>
      </c>
      <c r="K3255" t="inlineStr">
        <is>
          <t>JULIO 2025</t>
        </is>
      </c>
      <c r="L3255" t="inlineStr">
        <is>
          <t>JULIO 2026</t>
        </is>
      </c>
      <c r="M3255" t="inlineStr">
        <is>
          <t xml:space="preserve">PQS TIPO ABC </t>
        </is>
      </c>
      <c r="N3255" t="inlineStr">
        <is>
          <t>02/000715</t>
        </is>
      </c>
      <c r="O3255" t="inlineStr">
        <is>
          <t>R</t>
        </is>
      </c>
      <c r="P3255">
        <f>TRIM(N3255)</f>
        <v/>
      </c>
    </row>
    <row r="3256">
      <c r="A3256" t="inlineStr">
        <is>
          <t>CO-002421</t>
        </is>
      </c>
      <c r="B3256" t="inlineStr">
        <is>
          <t>CONDOMINIO CLUB EL ROSEDAL- EDIFICIO 04</t>
        </is>
      </c>
      <c r="D3256" t="inlineStr">
        <is>
          <t>AV. INTIHUATANA CRUCE CON  AV. TAHUANTINSUYO</t>
        </is>
      </c>
      <c r="E3256" t="inlineStr">
        <is>
          <t>Lima, 21 de julio de 2025</t>
        </is>
      </c>
      <c r="F3256" t="inlineStr">
        <is>
          <t>la Recarga y mantenimiento</t>
        </is>
      </c>
      <c r="G3256" t="inlineStr">
        <is>
          <t>03</t>
        </is>
      </c>
      <c r="H3256" t="inlineStr">
        <is>
          <t>09 KG</t>
        </is>
      </c>
      <c r="I3256" t="inlineStr">
        <is>
          <t>2030</t>
        </is>
      </c>
      <c r="J3256" t="n">
        <v>2020</v>
      </c>
      <c r="K3256" t="inlineStr">
        <is>
          <t>JULIO 2025</t>
        </is>
      </c>
      <c r="L3256" t="inlineStr">
        <is>
          <t>JULIO 2026</t>
        </is>
      </c>
      <c r="M3256" t="inlineStr">
        <is>
          <t xml:space="preserve">PQS TIPO ABC </t>
        </is>
      </c>
      <c r="N3256" t="inlineStr">
        <is>
          <t>03/000113</t>
        </is>
      </c>
      <c r="O3256" t="inlineStr">
        <is>
          <t>R</t>
        </is>
      </c>
      <c r="P3256">
        <f>TRIM(N3256)</f>
        <v/>
      </c>
    </row>
    <row r="3257">
      <c r="A3257" t="inlineStr">
        <is>
          <t>CO-002421</t>
        </is>
      </c>
      <c r="B3257" t="inlineStr">
        <is>
          <t>CONDOMINIO CLUB EL ROSEDAL- EDIFICIO 04</t>
        </is>
      </c>
      <c r="D3257" t="inlineStr">
        <is>
          <t>AV. INTIHUATANA CRUCE CON  AV. TAHUANTINSUYO</t>
        </is>
      </c>
      <c r="E3257" t="inlineStr">
        <is>
          <t>Lima, 21 de julio de 2025</t>
        </is>
      </c>
      <c r="F3257" t="inlineStr">
        <is>
          <t>la Recarga y mantenimiento</t>
        </is>
      </c>
      <c r="G3257" t="inlineStr">
        <is>
          <t>04</t>
        </is>
      </c>
      <c r="H3257" t="inlineStr">
        <is>
          <t>09 KG</t>
        </is>
      </c>
      <c r="I3257" t="inlineStr">
        <is>
          <t>2030</t>
        </is>
      </c>
      <c r="J3257" t="n">
        <v>2020</v>
      </c>
      <c r="K3257" t="inlineStr">
        <is>
          <t>JULIO 2025</t>
        </is>
      </c>
      <c r="L3257" t="inlineStr">
        <is>
          <t>JULIO 2026</t>
        </is>
      </c>
      <c r="M3257" t="inlineStr">
        <is>
          <t xml:space="preserve">PQS TIPO ABC </t>
        </is>
      </c>
      <c r="N3257" t="inlineStr">
        <is>
          <t>04/000984</t>
        </is>
      </c>
      <c r="O3257" t="inlineStr">
        <is>
          <t>R</t>
        </is>
      </c>
      <c r="P3257">
        <f>TRIM(N3257)</f>
        <v/>
      </c>
    </row>
    <row r="3258">
      <c r="A3258" t="inlineStr">
        <is>
          <t>CO-002421</t>
        </is>
      </c>
      <c r="B3258" t="inlineStr">
        <is>
          <t>CONDOMINIO CLUB EL ROSEDAL- EDIFICIO 04</t>
        </is>
      </c>
      <c r="D3258" t="inlineStr">
        <is>
          <t>AV. INTIHUATANA CRUCE CON  AV. TAHUANTINSUYO</t>
        </is>
      </c>
      <c r="E3258" t="inlineStr">
        <is>
          <t>Lima, 21 de julio de 2025</t>
        </is>
      </c>
      <c r="F3258" t="inlineStr">
        <is>
          <t>la Recarga y mantenimiento</t>
        </is>
      </c>
      <c r="G3258" t="inlineStr">
        <is>
          <t>05</t>
        </is>
      </c>
      <c r="H3258" t="inlineStr">
        <is>
          <t>09 KG</t>
        </is>
      </c>
      <c r="I3258" t="inlineStr">
        <is>
          <t>2030</t>
        </is>
      </c>
      <c r="J3258" t="n">
        <v>2020</v>
      </c>
      <c r="K3258" t="inlineStr">
        <is>
          <t>JULIO 2025</t>
        </is>
      </c>
      <c r="L3258" t="inlineStr">
        <is>
          <t>JULIO 2026</t>
        </is>
      </c>
      <c r="M3258" t="inlineStr">
        <is>
          <t xml:space="preserve">PQS TIPO ABC </t>
        </is>
      </c>
      <c r="N3258" t="inlineStr">
        <is>
          <t>05/001645</t>
        </is>
      </c>
      <c r="O3258" t="inlineStr">
        <is>
          <t>R</t>
        </is>
      </c>
      <c r="P3258">
        <f>TRIM(N3258)</f>
        <v/>
      </c>
    </row>
    <row r="3259">
      <c r="A3259" t="inlineStr">
        <is>
          <t>CO-002421</t>
        </is>
      </c>
      <c r="B3259" t="inlineStr">
        <is>
          <t>CONDOMINIO CLUB EL ROSEDAL- EDIFICIO 04</t>
        </is>
      </c>
      <c r="D3259" t="inlineStr">
        <is>
          <t>AV. INTIHUATANA CRUCE CON  AV. TAHUANTINSUYO</t>
        </is>
      </c>
      <c r="E3259" t="inlineStr">
        <is>
          <t>Lima, 21 de julio de 2025</t>
        </is>
      </c>
      <c r="F3259" t="inlineStr">
        <is>
          <t>la Recarga y mantenimiento</t>
        </is>
      </c>
      <c r="G3259" t="inlineStr">
        <is>
          <t>06</t>
        </is>
      </c>
      <c r="H3259" t="inlineStr">
        <is>
          <t>09 KG</t>
        </is>
      </c>
      <c r="I3259" t="inlineStr">
        <is>
          <t>2030</t>
        </is>
      </c>
      <c r="J3259" t="n">
        <v>2020</v>
      </c>
      <c r="K3259" t="inlineStr">
        <is>
          <t>JULIO 2025</t>
        </is>
      </c>
      <c r="L3259" t="inlineStr">
        <is>
          <t>JULIO 2026</t>
        </is>
      </c>
      <c r="M3259" t="inlineStr">
        <is>
          <t xml:space="preserve">PQS TIPO ABC </t>
        </is>
      </c>
      <c r="N3259" t="inlineStr">
        <is>
          <t>06/000470</t>
        </is>
      </c>
      <c r="O3259" t="inlineStr">
        <is>
          <t>R</t>
        </is>
      </c>
      <c r="P3259">
        <f>TRIM(N3259)</f>
        <v/>
      </c>
    </row>
    <row r="3260">
      <c r="A3260" t="inlineStr">
        <is>
          <t>CO-002421</t>
        </is>
      </c>
      <c r="B3260" t="inlineStr">
        <is>
          <t>CONDOMINIO CLUB EL ROSEDAL- EDIFICIO 04</t>
        </is>
      </c>
      <c r="D3260" t="inlineStr">
        <is>
          <t>AV. INTIHUATANA CRUCE CON  AV. TAHUANTINSUYO</t>
        </is>
      </c>
      <c r="E3260" t="inlineStr">
        <is>
          <t>Lima, 21 de julio de 2025</t>
        </is>
      </c>
      <c r="F3260" t="inlineStr">
        <is>
          <t>la Recarga y mantenimiento</t>
        </is>
      </c>
      <c r="G3260" t="inlineStr">
        <is>
          <t>07</t>
        </is>
      </c>
      <c r="H3260" t="inlineStr">
        <is>
          <t>09 KG</t>
        </is>
      </c>
      <c r="I3260" t="inlineStr">
        <is>
          <t>2030</t>
        </is>
      </c>
      <c r="J3260" t="n">
        <v>2020</v>
      </c>
      <c r="K3260" t="inlineStr">
        <is>
          <t>JULIO 2025</t>
        </is>
      </c>
      <c r="L3260" t="inlineStr">
        <is>
          <t>JULIO 2026</t>
        </is>
      </c>
      <c r="M3260" t="inlineStr">
        <is>
          <t xml:space="preserve">PQS TIPO ABC </t>
        </is>
      </c>
      <c r="N3260" t="inlineStr">
        <is>
          <t>07/000762</t>
        </is>
      </c>
      <c r="O3260" t="inlineStr">
        <is>
          <t>R</t>
        </is>
      </c>
      <c r="P3260">
        <f>TRIM(N3260)</f>
        <v/>
      </c>
    </row>
    <row r="3261">
      <c r="A3261" t="inlineStr">
        <is>
          <t>CO-002421</t>
        </is>
      </c>
      <c r="B3261" t="inlineStr">
        <is>
          <t>CONDOMINIO CLUB EL ROSEDAL- EDIFICIO 04</t>
        </is>
      </c>
      <c r="D3261" t="inlineStr">
        <is>
          <t>AV. INTIHUATANA CRUCE CON  AV. TAHUANTINSUYO</t>
        </is>
      </c>
      <c r="E3261" t="inlineStr">
        <is>
          <t>Lima, 21 de julio de 2025</t>
        </is>
      </c>
      <c r="F3261" t="inlineStr">
        <is>
          <t>la Recarga y mantenimiento</t>
        </is>
      </c>
      <c r="G3261" t="inlineStr">
        <is>
          <t>08</t>
        </is>
      </c>
      <c r="H3261" t="inlineStr">
        <is>
          <t>09 KG</t>
        </is>
      </c>
      <c r="I3261" t="inlineStr">
        <is>
          <t>2030</t>
        </is>
      </c>
      <c r="J3261" t="n">
        <v>2020</v>
      </c>
      <c r="K3261" t="inlineStr">
        <is>
          <t>JULIO 2025</t>
        </is>
      </c>
      <c r="L3261" t="inlineStr">
        <is>
          <t>JULIO 2026</t>
        </is>
      </c>
      <c r="M3261" t="inlineStr">
        <is>
          <t xml:space="preserve">PQS TIPO ABC </t>
        </is>
      </c>
      <c r="N3261" t="inlineStr">
        <is>
          <t>08/000035</t>
        </is>
      </c>
      <c r="O3261" t="inlineStr">
        <is>
          <t>R</t>
        </is>
      </c>
      <c r="P3261">
        <f>TRIM(N3261)</f>
        <v/>
      </c>
    </row>
    <row r="3262">
      <c r="A3262" t="inlineStr">
        <is>
          <t>CO-002421</t>
        </is>
      </c>
      <c r="B3262" t="inlineStr">
        <is>
          <t>CONDOMINIO CLUB EL ROSEDAL- EDIFICIO 04</t>
        </is>
      </c>
      <c r="D3262" t="inlineStr">
        <is>
          <t>AV. INTIHUATANA CRUCE CON  AV. TAHUANTINSUYO</t>
        </is>
      </c>
      <c r="E3262" t="inlineStr">
        <is>
          <t>Lima, 21 de julio de 2025</t>
        </is>
      </c>
      <c r="F3262" t="inlineStr">
        <is>
          <t>la Recarga y mantenimiento</t>
        </is>
      </c>
      <c r="G3262" t="inlineStr">
        <is>
          <t>09</t>
        </is>
      </c>
      <c r="H3262" t="inlineStr">
        <is>
          <t>09 KG</t>
        </is>
      </c>
      <c r="I3262" t="inlineStr">
        <is>
          <t>2030</t>
        </is>
      </c>
      <c r="J3262" t="n">
        <v>2020</v>
      </c>
      <c r="K3262" t="inlineStr">
        <is>
          <t>JULIO 2025</t>
        </is>
      </c>
      <c r="L3262" t="inlineStr">
        <is>
          <t>JULIO 2026</t>
        </is>
      </c>
      <c r="M3262" t="inlineStr">
        <is>
          <t xml:space="preserve">PQS TIPO ABC </t>
        </is>
      </c>
      <c r="N3262" t="inlineStr">
        <is>
          <t>09/000178</t>
        </is>
      </c>
      <c r="O3262" t="inlineStr">
        <is>
          <t>R</t>
        </is>
      </c>
      <c r="P3262">
        <f>TRIM(N3262)</f>
        <v/>
      </c>
    </row>
    <row r="3263">
      <c r="A3263" t="inlineStr">
        <is>
          <t>CO-002422</t>
        </is>
      </c>
      <c r="B3263" t="inlineStr">
        <is>
          <t>TRANSPORTES STARK</t>
        </is>
      </c>
      <c r="C3263" t="inlineStr">
        <is>
          <t>20606725664</t>
        </is>
      </c>
      <c r="D3263" t="inlineStr">
        <is>
          <t>CAL. 58 MZ. E3 LT. 09 A URB. EL PINAR PARCELA 01 COMAS - LIMA</t>
        </is>
      </c>
      <c r="E3263" t="inlineStr">
        <is>
          <t>Lima, 21 de julio de 2025</t>
        </is>
      </c>
      <c r="F3263" t="inlineStr">
        <is>
          <t>la Recarga y mantenimiento</t>
        </is>
      </c>
      <c r="G3263" t="inlineStr">
        <is>
          <t>01</t>
        </is>
      </c>
      <c r="H3263" t="inlineStr">
        <is>
          <t>09 KG</t>
        </is>
      </c>
      <c r="I3263" t="inlineStr">
        <is>
          <t>2030</t>
        </is>
      </c>
      <c r="J3263" t="n">
        <v>2020</v>
      </c>
      <c r="K3263" t="inlineStr">
        <is>
          <t>JULIO 2025</t>
        </is>
      </c>
      <c r="L3263" t="inlineStr">
        <is>
          <t>JULIO 2026</t>
        </is>
      </c>
      <c r="M3263" t="inlineStr">
        <is>
          <t xml:space="preserve">PQS TIPO ABC </t>
        </is>
      </c>
      <c r="N3263" t="inlineStr">
        <is>
          <t>01/000232</t>
        </is>
      </c>
      <c r="O3263" t="inlineStr">
        <is>
          <t>R</t>
        </is>
      </c>
      <c r="P3263">
        <f>TRIM(N3263)</f>
        <v/>
      </c>
    </row>
    <row r="3264">
      <c r="A3264" t="inlineStr">
        <is>
          <t>CO-002422</t>
        </is>
      </c>
      <c r="B3264" t="inlineStr">
        <is>
          <t>TRANSPORTES STARK</t>
        </is>
      </c>
      <c r="C3264" t="inlineStr">
        <is>
          <t>20606725664</t>
        </is>
      </c>
      <c r="D3264" t="inlineStr">
        <is>
          <t>CAL. 58 MZ. E3 LT. 09 A URB. EL PINAR PARCELA 01 COMAS - LIMA</t>
        </is>
      </c>
      <c r="E3264" t="inlineStr">
        <is>
          <t>Lima, 21 de julio de 2025</t>
        </is>
      </c>
      <c r="F3264" t="inlineStr">
        <is>
          <t>la Recarga y mantenimiento</t>
        </is>
      </c>
      <c r="G3264" t="inlineStr">
        <is>
          <t>02</t>
        </is>
      </c>
      <c r="H3264" t="inlineStr">
        <is>
          <t>09 KG</t>
        </is>
      </c>
      <c r="I3264" t="inlineStr">
        <is>
          <t>2026</t>
        </is>
      </c>
      <c r="J3264" t="n">
        <v>2021</v>
      </c>
      <c r="K3264" t="inlineStr">
        <is>
          <t>JULIO 2025</t>
        </is>
      </c>
      <c r="L3264" t="inlineStr">
        <is>
          <t>JULIO 2026</t>
        </is>
      </c>
      <c r="M3264" t="inlineStr">
        <is>
          <t xml:space="preserve">PQS TIPO ABC </t>
        </is>
      </c>
      <c r="N3264" t="inlineStr">
        <is>
          <t>02/405699</t>
        </is>
      </c>
      <c r="O3264" t="inlineStr">
        <is>
          <t>R</t>
        </is>
      </c>
      <c r="P3264">
        <f>TRIM(N3264)</f>
        <v/>
      </c>
    </row>
    <row r="3265">
      <c r="A3265" t="inlineStr">
        <is>
          <t>CO-002423</t>
        </is>
      </c>
      <c r="B3265" t="inlineStr">
        <is>
          <t>QUIMICOS GOICOCHEA S.A.C.</t>
        </is>
      </c>
      <c r="C3265" t="inlineStr">
        <is>
          <t>20211040352</t>
        </is>
      </c>
      <c r="D3265" t="inlineStr">
        <is>
          <t xml:space="preserve"> AV. LOS FERROLES S/N (ANTES PLAYA OQUENDO S/N
 SUBPARCELA B) URB. SANTO DOMINGO DE BOCANEGRA 
CALLAO</t>
        </is>
      </c>
      <c r="E3265" t="inlineStr">
        <is>
          <t>Lima, 30 de julio de 2025</t>
        </is>
      </c>
      <c r="F3265" t="inlineStr">
        <is>
          <t>la Recarga y mantenimiento</t>
        </is>
      </c>
      <c r="G3265" t="inlineStr">
        <is>
          <t>01</t>
        </is>
      </c>
      <c r="H3265" t="inlineStr">
        <is>
          <t xml:space="preserve">12 KG </t>
        </is>
      </c>
      <c r="I3265" t="inlineStr">
        <is>
          <t>2030</t>
        </is>
      </c>
      <c r="J3265" t="n">
        <v>2022</v>
      </c>
      <c r="K3265" t="inlineStr">
        <is>
          <t>JULIO 2025</t>
        </is>
      </c>
      <c r="L3265" t="inlineStr">
        <is>
          <t>JULIO 2026</t>
        </is>
      </c>
      <c r="M3265" t="inlineStr">
        <is>
          <t xml:space="preserve">PQS TIPO ABC AL 75% </t>
        </is>
      </c>
      <c r="N3265" t="inlineStr">
        <is>
          <t>14/002292</t>
        </is>
      </c>
      <c r="O3265" t="inlineStr">
        <is>
          <t>R</t>
        </is>
      </c>
      <c r="P3265">
        <f>TRIM(N3265)</f>
        <v/>
      </c>
    </row>
    <row r="3266">
      <c r="A3266" t="inlineStr">
        <is>
          <t>CO-002423</t>
        </is>
      </c>
      <c r="B3266" t="inlineStr">
        <is>
          <t>QUIMICOS GOICOCHEA S.A.C.</t>
        </is>
      </c>
      <c r="C3266" t="inlineStr">
        <is>
          <t>20211040352</t>
        </is>
      </c>
      <c r="D3266" t="inlineStr">
        <is>
          <t xml:space="preserve"> AV. LOS FERROLES S/N (ANTES PLAYA OQUENDO S/N
 SUBPARCELA B) URB. SANTO DOMINGO DE BOCANEGRA 
CALLAO</t>
        </is>
      </c>
      <c r="E3266" t="inlineStr">
        <is>
          <t>Lima, 30 de julio de 2025</t>
        </is>
      </c>
      <c r="F3266" t="inlineStr">
        <is>
          <t>la Recarga y mantenimiento</t>
        </is>
      </c>
      <c r="G3266" t="inlineStr">
        <is>
          <t>02</t>
        </is>
      </c>
      <c r="H3266" t="inlineStr">
        <is>
          <t xml:space="preserve">12 KG </t>
        </is>
      </c>
      <c r="I3266" t="inlineStr">
        <is>
          <t>2030</t>
        </is>
      </c>
      <c r="J3266" t="n">
        <v>2022</v>
      </c>
      <c r="K3266" t="inlineStr">
        <is>
          <t>JULIO 2025</t>
        </is>
      </c>
      <c r="L3266" t="inlineStr">
        <is>
          <t>JULIO 2026</t>
        </is>
      </c>
      <c r="M3266" t="inlineStr">
        <is>
          <t xml:space="preserve">PQS TIPO ABC AL 75% </t>
        </is>
      </c>
      <c r="N3266" t="inlineStr">
        <is>
          <t>15/002481</t>
        </is>
      </c>
      <c r="O3266" t="inlineStr">
        <is>
          <t>R</t>
        </is>
      </c>
      <c r="P3266">
        <f>TRIM(N3266)</f>
        <v/>
      </c>
    </row>
    <row r="3267">
      <c r="A3267" t="inlineStr">
        <is>
          <t>CO-002423</t>
        </is>
      </c>
      <c r="B3267" t="inlineStr">
        <is>
          <t>QUIMICOS GOICOCHEA S.A.C.</t>
        </is>
      </c>
      <c r="C3267" t="inlineStr">
        <is>
          <t>20211040352</t>
        </is>
      </c>
      <c r="D3267" t="inlineStr">
        <is>
          <t xml:space="preserve"> AV. LOS FERROLES S/N (ANTES PLAYA OQUENDO S/N
 SUBPARCELA B) URB. SANTO DOMINGO DE BOCANEGRA 
CALLAO</t>
        </is>
      </c>
      <c r="E3267" t="inlineStr">
        <is>
          <t>Lima, 30 de julio de 2025</t>
        </is>
      </c>
      <c r="F3267" t="inlineStr">
        <is>
          <t>la Recarga y mantenimiento</t>
        </is>
      </c>
      <c r="G3267" t="inlineStr">
        <is>
          <t>03</t>
        </is>
      </c>
      <c r="H3267" t="inlineStr">
        <is>
          <t xml:space="preserve">12 KG </t>
        </is>
      </c>
      <c r="I3267" t="inlineStr">
        <is>
          <t>2030</t>
        </is>
      </c>
      <c r="J3267" t="n">
        <v>2011</v>
      </c>
      <c r="K3267" t="inlineStr">
        <is>
          <t>JULIO 2025</t>
        </is>
      </c>
      <c r="L3267" t="inlineStr">
        <is>
          <t>JULIO 2026</t>
        </is>
      </c>
      <c r="M3267" t="inlineStr">
        <is>
          <t xml:space="preserve">PQS TIPO ABC AL 75% </t>
        </is>
      </c>
      <c r="N3267" t="inlineStr">
        <is>
          <t>16/001155</t>
        </is>
      </c>
      <c r="O3267" t="inlineStr">
        <is>
          <t>R</t>
        </is>
      </c>
      <c r="P3267">
        <f>TRIM(N3267)</f>
        <v/>
      </c>
    </row>
    <row r="3268">
      <c r="A3268" t="inlineStr">
        <is>
          <t>CO-002423</t>
        </is>
      </c>
      <c r="B3268" t="inlineStr">
        <is>
          <t>QUIMICOS GOICOCHEA S.A.C.</t>
        </is>
      </c>
      <c r="C3268" t="inlineStr">
        <is>
          <t>20211040352</t>
        </is>
      </c>
      <c r="D3268" t="inlineStr">
        <is>
          <t xml:space="preserve"> AV. LOS FERROLES S/N (ANTES PLAYA OQUENDO S/N
 SUBPARCELA B) URB. SANTO DOMINGO DE BOCANEGRA 
CALLAO</t>
        </is>
      </c>
      <c r="E3268" t="inlineStr">
        <is>
          <t>Lima, 30 de julio de 2025</t>
        </is>
      </c>
      <c r="F3268" t="inlineStr">
        <is>
          <t>la Recarga y mantenimiento</t>
        </is>
      </c>
      <c r="G3268" t="inlineStr">
        <is>
          <t>04</t>
        </is>
      </c>
      <c r="H3268" t="inlineStr">
        <is>
          <t xml:space="preserve">12 KG </t>
        </is>
      </c>
      <c r="I3268" t="inlineStr">
        <is>
          <t>2030</t>
        </is>
      </c>
      <c r="J3268" t="n">
        <v>2012</v>
      </c>
      <c r="K3268" t="inlineStr">
        <is>
          <t>JULIO 2025</t>
        </is>
      </c>
      <c r="L3268" t="inlineStr">
        <is>
          <t>JULIO 2026</t>
        </is>
      </c>
      <c r="M3268" t="inlineStr">
        <is>
          <t xml:space="preserve">PQS TIPO ABC AL 75% </t>
        </is>
      </c>
      <c r="N3268" t="inlineStr">
        <is>
          <t>18/000156</t>
        </is>
      </c>
      <c r="O3268" t="inlineStr">
        <is>
          <t>R</t>
        </is>
      </c>
      <c r="P3268">
        <f>TRIM(N3268)</f>
        <v/>
      </c>
    </row>
    <row r="3269">
      <c r="A3269" t="inlineStr">
        <is>
          <t>CO-002423</t>
        </is>
      </c>
      <c r="B3269" t="inlineStr">
        <is>
          <t>QUIMICOS GOICOCHEA S.A.C.</t>
        </is>
      </c>
      <c r="C3269" t="inlineStr">
        <is>
          <t>20211040352</t>
        </is>
      </c>
      <c r="D3269" t="inlineStr">
        <is>
          <t xml:space="preserve"> AV. LOS FERROLES S/N (ANTES PLAYA OQUENDO S/N
 SUBPARCELA B) URB. SANTO DOMINGO DE BOCANEGRA 
CALLAO</t>
        </is>
      </c>
      <c r="E3269" t="inlineStr">
        <is>
          <t>Lima, 30 de julio de 2025</t>
        </is>
      </c>
      <c r="F3269" t="inlineStr">
        <is>
          <t>la Recarga y mantenimiento</t>
        </is>
      </c>
      <c r="G3269" t="inlineStr">
        <is>
          <t>05</t>
        </is>
      </c>
      <c r="H3269" t="inlineStr">
        <is>
          <t xml:space="preserve">12 KG </t>
        </is>
      </c>
      <c r="I3269" t="inlineStr">
        <is>
          <t>2030</t>
        </is>
      </c>
      <c r="J3269" t="n">
        <v>2012</v>
      </c>
      <c r="K3269" t="inlineStr">
        <is>
          <t>JULIO 2025</t>
        </is>
      </c>
      <c r="L3269" t="inlineStr">
        <is>
          <t>JULIO 2026</t>
        </is>
      </c>
      <c r="M3269" t="inlineStr">
        <is>
          <t xml:space="preserve">PQS TIPO ABC AL 75% </t>
        </is>
      </c>
      <c r="N3269" t="inlineStr">
        <is>
          <t>19/000150</t>
        </is>
      </c>
      <c r="O3269" t="inlineStr">
        <is>
          <t>R</t>
        </is>
      </c>
      <c r="P3269">
        <f>TRIM(N3269)</f>
        <v/>
      </c>
    </row>
    <row r="3270">
      <c r="A3270" t="inlineStr">
        <is>
          <t>CO-002423</t>
        </is>
      </c>
      <c r="B3270" t="inlineStr">
        <is>
          <t>QUIMICOS GOICOCHEA S.A.C.</t>
        </is>
      </c>
      <c r="C3270" t="inlineStr">
        <is>
          <t>20211040352</t>
        </is>
      </c>
      <c r="D3270" t="inlineStr">
        <is>
          <t xml:space="preserve"> AV. LOS FERROLES S/N (ANTES PLAYA OQUENDO S/N
 SUBPARCELA B) URB. SANTO DOMINGO DE BOCANEGRA 
CALLAO</t>
        </is>
      </c>
      <c r="E3270" t="inlineStr">
        <is>
          <t>Lima, 30 de julio de 2025</t>
        </is>
      </c>
      <c r="F3270" t="inlineStr">
        <is>
          <t>la Recarga y mantenimiento</t>
        </is>
      </c>
      <c r="G3270" t="inlineStr">
        <is>
          <t>06</t>
        </is>
      </c>
      <c r="H3270" t="inlineStr">
        <is>
          <t xml:space="preserve">12 KG </t>
        </is>
      </c>
      <c r="I3270" t="inlineStr">
        <is>
          <t>2030</t>
        </is>
      </c>
      <c r="J3270" t="n">
        <v>2012</v>
      </c>
      <c r="K3270" t="inlineStr">
        <is>
          <t>JULIO 2025</t>
        </is>
      </c>
      <c r="L3270" t="inlineStr">
        <is>
          <t>JULIO 2026</t>
        </is>
      </c>
      <c r="M3270" t="inlineStr">
        <is>
          <t xml:space="preserve">PQS TIPO ABC AL 75% </t>
        </is>
      </c>
      <c r="N3270" t="inlineStr">
        <is>
          <t>23/000083</t>
        </is>
      </c>
      <c r="O3270" t="inlineStr">
        <is>
          <t>R</t>
        </is>
      </c>
      <c r="P3270">
        <f>TRIM(N3270)</f>
        <v/>
      </c>
    </row>
    <row r="3271">
      <c r="A3271" t="inlineStr">
        <is>
          <t>CO-002423</t>
        </is>
      </c>
      <c r="B3271" t="inlineStr">
        <is>
          <t>QUIMICOS GOICOCHEA S.A.C.</t>
        </is>
      </c>
      <c r="C3271" t="inlineStr">
        <is>
          <t>20211040352</t>
        </is>
      </c>
      <c r="D3271" t="inlineStr">
        <is>
          <t xml:space="preserve"> AV. LOS FERROLES S/N (ANTES PLAYA OQUENDO S/N
 SUBPARCELA B) URB. SANTO DOMINGO DE BOCANEGRA 
CALLAO</t>
        </is>
      </c>
      <c r="E3271" t="inlineStr">
        <is>
          <t>Lima, 30 de julio de 2025</t>
        </is>
      </c>
      <c r="F3271" t="inlineStr">
        <is>
          <t>la Recarga y mantenimiento</t>
        </is>
      </c>
      <c r="G3271" t="inlineStr">
        <is>
          <t>07</t>
        </is>
      </c>
      <c r="H3271" t="inlineStr">
        <is>
          <t xml:space="preserve">12 KG </t>
        </is>
      </c>
      <c r="I3271" t="inlineStr">
        <is>
          <t>2030</t>
        </is>
      </c>
      <c r="J3271" t="n">
        <v>2012</v>
      </c>
      <c r="K3271" t="inlineStr">
        <is>
          <t>JULIO 2025</t>
        </is>
      </c>
      <c r="L3271" t="inlineStr">
        <is>
          <t>JULIO 2026</t>
        </is>
      </c>
      <c r="M3271" t="inlineStr">
        <is>
          <t xml:space="preserve">PQS TIPO ABC AL 75% </t>
        </is>
      </c>
      <c r="N3271" t="inlineStr">
        <is>
          <t>24/000041</t>
        </is>
      </c>
      <c r="O3271" t="inlineStr">
        <is>
          <t>R</t>
        </is>
      </c>
      <c r="P3271">
        <f>TRIM(N3271)</f>
        <v/>
      </c>
    </row>
    <row r="3272">
      <c r="A3272" t="inlineStr">
        <is>
          <t>CO-002423</t>
        </is>
      </c>
      <c r="B3272" t="inlineStr">
        <is>
          <t>QUIMICOS GOICOCHEA S.A.C.</t>
        </is>
      </c>
      <c r="C3272" t="inlineStr">
        <is>
          <t>20211040352</t>
        </is>
      </c>
      <c r="D3272" t="inlineStr">
        <is>
          <t xml:space="preserve"> AV. LOS FERROLES S/N (ANTES PLAYA OQUENDO S/N
 SUBPARCELA B) URB. SANTO DOMINGO DE BOCANEGRA 
CALLAO</t>
        </is>
      </c>
      <c r="E3272" t="inlineStr">
        <is>
          <t>Lima, 30 de julio de 2025</t>
        </is>
      </c>
      <c r="F3272" t="inlineStr">
        <is>
          <t>la Recarga y mantenimiento</t>
        </is>
      </c>
      <c r="G3272" t="inlineStr">
        <is>
          <t>08</t>
        </is>
      </c>
      <c r="H3272" t="inlineStr">
        <is>
          <t xml:space="preserve">12 KG </t>
        </is>
      </c>
      <c r="I3272" t="inlineStr">
        <is>
          <t>2030</t>
        </is>
      </c>
      <c r="J3272" t="n">
        <v>2020</v>
      </c>
      <c r="K3272" t="inlineStr">
        <is>
          <t>JULIO 2025</t>
        </is>
      </c>
      <c r="L3272" t="inlineStr">
        <is>
          <t>JULIO 2026</t>
        </is>
      </c>
      <c r="M3272" t="inlineStr">
        <is>
          <t xml:space="preserve">PQS TIPO ABC AL 75% </t>
        </is>
      </c>
      <c r="N3272" t="inlineStr">
        <is>
          <t>25/000105</t>
        </is>
      </c>
      <c r="O3272" t="inlineStr">
        <is>
          <t>R</t>
        </is>
      </c>
      <c r="P3272">
        <f>TRIM(N3272)</f>
        <v/>
      </c>
    </row>
    <row r="3273">
      <c r="A3273" t="inlineStr">
        <is>
          <t>CO-002423</t>
        </is>
      </c>
      <c r="B3273" t="inlineStr">
        <is>
          <t>QUIMICOS GOICOCHEA S.A.C.</t>
        </is>
      </c>
      <c r="C3273" t="inlineStr">
        <is>
          <t>20211040352</t>
        </is>
      </c>
      <c r="D3273" t="inlineStr">
        <is>
          <t xml:space="preserve"> AV. LOS FERROLES S/N (ANTES PLAYA OQUENDO S/N
 SUBPARCELA B) URB. SANTO DOMINGO DE BOCANEGRA 
CALLAO</t>
        </is>
      </c>
      <c r="E3273" t="inlineStr">
        <is>
          <t>Lima, 30 de julio de 2025</t>
        </is>
      </c>
      <c r="F3273" t="inlineStr">
        <is>
          <t>la Recarga y mantenimiento</t>
        </is>
      </c>
      <c r="G3273" t="inlineStr">
        <is>
          <t>09</t>
        </is>
      </c>
      <c r="H3273" t="inlineStr">
        <is>
          <t xml:space="preserve">12 KG </t>
        </is>
      </c>
      <c r="I3273" t="inlineStr">
        <is>
          <t>2030</t>
        </is>
      </c>
      <c r="J3273" t="n">
        <v>2012</v>
      </c>
      <c r="K3273" t="inlineStr">
        <is>
          <t>JULIO 2025</t>
        </is>
      </c>
      <c r="L3273" t="inlineStr">
        <is>
          <t>JULIO 2026</t>
        </is>
      </c>
      <c r="M3273" t="inlineStr">
        <is>
          <t xml:space="preserve">PQS TIPO ABC AL 75% </t>
        </is>
      </c>
      <c r="N3273" t="inlineStr">
        <is>
          <t>36/000159</t>
        </is>
      </c>
      <c r="O3273" t="inlineStr">
        <is>
          <t>R</t>
        </is>
      </c>
      <c r="P3273">
        <f>TRIM(N3273)</f>
        <v/>
      </c>
    </row>
    <row r="3274">
      <c r="A3274" t="inlineStr">
        <is>
          <t>CO-002423</t>
        </is>
      </c>
      <c r="B3274" t="inlineStr">
        <is>
          <t>QUIMICOS GOICOCHEA S.A.C.</t>
        </is>
      </c>
      <c r="C3274" t="inlineStr">
        <is>
          <t>20211040352</t>
        </is>
      </c>
      <c r="D3274" t="inlineStr">
        <is>
          <t xml:space="preserve"> AV. LOS FERROLES S/N (ANTES PLAYA OQUENDO S/N
 SUBPARCELA B) URB. SANTO DOMINGO DE BOCANEGRA 
CALLAO</t>
        </is>
      </c>
      <c r="E3274" t="inlineStr">
        <is>
          <t>Lima, 30 de julio de 2025</t>
        </is>
      </c>
      <c r="F3274" t="inlineStr">
        <is>
          <t>la Recarga y mantenimiento</t>
        </is>
      </c>
      <c r="G3274" t="n">
        <v>10</v>
      </c>
      <c r="H3274" t="inlineStr">
        <is>
          <t>10 LBS</t>
        </is>
      </c>
      <c r="I3274" t="n">
        <v>2027</v>
      </c>
      <c r="J3274" t="n">
        <v>2022</v>
      </c>
      <c r="K3274" t="inlineStr">
        <is>
          <t>JULIO 2025</t>
        </is>
      </c>
      <c r="L3274" t="inlineStr">
        <is>
          <t>JULIO 2026</t>
        </is>
      </c>
      <c r="M3274" t="inlineStr">
        <is>
          <t xml:space="preserve">CO2 TIPO BC </t>
        </is>
      </c>
      <c r="N3274" t="inlineStr">
        <is>
          <t>20/000029</t>
        </is>
      </c>
      <c r="O3274" t="inlineStr">
        <is>
          <t>R</t>
        </is>
      </c>
      <c r="P3274">
        <f>TRIM(N3274)</f>
        <v/>
      </c>
    </row>
    <row r="3275">
      <c r="A3275" t="inlineStr">
        <is>
          <t>CO-002423</t>
        </is>
      </c>
      <c r="B3275" t="inlineStr">
        <is>
          <t>QUIMICOS GOICOCHEA S.A.C.</t>
        </is>
      </c>
      <c r="C3275" t="inlineStr">
        <is>
          <t>20211040352</t>
        </is>
      </c>
      <c r="D3275" t="inlineStr">
        <is>
          <t xml:space="preserve"> AV. LOS FERROLES S/N (ANTES PLAYA OQUENDO S/N
 SUBPARCELA B) URB. SANTO DOMINGO DE BOCANEGRA 
CALLAO</t>
        </is>
      </c>
      <c r="E3275" t="inlineStr">
        <is>
          <t>Lima, 30 de julio de 2025</t>
        </is>
      </c>
      <c r="F3275" t="inlineStr">
        <is>
          <t>la Recarga y mantenimiento</t>
        </is>
      </c>
      <c r="G3275" t="n">
        <v>11</v>
      </c>
      <c r="H3275" t="inlineStr">
        <is>
          <t>10 LBS</t>
        </is>
      </c>
      <c r="I3275" t="n">
        <v>2027</v>
      </c>
      <c r="J3275" t="n">
        <v>2022</v>
      </c>
      <c r="K3275" t="inlineStr">
        <is>
          <t>JULIO 2025</t>
        </is>
      </c>
      <c r="L3275" t="inlineStr">
        <is>
          <t>JULIO 2026</t>
        </is>
      </c>
      <c r="M3275" t="inlineStr">
        <is>
          <t xml:space="preserve">CO2 TIPO BC </t>
        </is>
      </c>
      <c r="N3275" t="inlineStr">
        <is>
          <t>21/001421</t>
        </is>
      </c>
      <c r="O3275" t="inlineStr">
        <is>
          <t>R</t>
        </is>
      </c>
      <c r="P3275">
        <f>TRIM(N3275)</f>
        <v/>
      </c>
    </row>
    <row r="3276">
      <c r="A3276" t="inlineStr">
        <is>
          <t>CO-002423</t>
        </is>
      </c>
      <c r="B3276" t="inlineStr">
        <is>
          <t>QUIMICOS GOICOCHEA S.A.C.</t>
        </is>
      </c>
      <c r="C3276" t="inlineStr">
        <is>
          <t>20211040352</t>
        </is>
      </c>
      <c r="D3276" t="inlineStr">
        <is>
          <t xml:space="preserve"> AV. LOS FERROLES S/N (ANTES PLAYA OQUENDO S/N
 SUBPARCELA B) URB. SANTO DOMINGO DE BOCANEGRA 
CALLAO</t>
        </is>
      </c>
      <c r="E3276" t="inlineStr">
        <is>
          <t>Lima, 30 de julio de 2025</t>
        </is>
      </c>
      <c r="F3276" t="inlineStr">
        <is>
          <t>la Recarga y mantenimiento</t>
        </is>
      </c>
      <c r="G3276" t="n">
        <v>12</v>
      </c>
      <c r="H3276" t="inlineStr">
        <is>
          <t>10 LBS</t>
        </is>
      </c>
      <c r="I3276" t="n">
        <v>2027</v>
      </c>
      <c r="J3276" t="n">
        <v>2022</v>
      </c>
      <c r="K3276" t="inlineStr">
        <is>
          <t>JULIO 2025</t>
        </is>
      </c>
      <c r="L3276" t="inlineStr">
        <is>
          <t>JULIO 2026</t>
        </is>
      </c>
      <c r="M3276" t="inlineStr">
        <is>
          <t xml:space="preserve">CO2 TIPO BC </t>
        </is>
      </c>
      <c r="N3276" t="inlineStr">
        <is>
          <t>29/000007</t>
        </is>
      </c>
      <c r="O3276" t="inlineStr">
        <is>
          <t>R</t>
        </is>
      </c>
      <c r="P3276">
        <f>TRIM(N3276)</f>
        <v/>
      </c>
    </row>
    <row r="3277">
      <c r="A3277" t="inlineStr">
        <is>
          <t>CO-002423</t>
        </is>
      </c>
      <c r="B3277" t="inlineStr">
        <is>
          <t>QUIMICOS GOICOCHEA S.A.C.</t>
        </is>
      </c>
      <c r="C3277" t="inlineStr">
        <is>
          <t>20211040352</t>
        </is>
      </c>
      <c r="D3277" t="inlineStr">
        <is>
          <t xml:space="preserve"> AV. LOS FERROLES S/N (ANTES PLAYA OQUENDO S/N
 SUBPARCELA B) URB. SANTO DOMINGO DE BOCANEGRA 
CALLAO</t>
        </is>
      </c>
      <c r="E3277" t="inlineStr">
        <is>
          <t>Lima, 30 de julio de 2025</t>
        </is>
      </c>
      <c r="F3277" t="inlineStr">
        <is>
          <t>la Recarga y mantenimiento</t>
        </is>
      </c>
      <c r="G3277" t="n">
        <v>13</v>
      </c>
      <c r="H3277" t="inlineStr">
        <is>
          <t>10 LBS</t>
        </is>
      </c>
      <c r="I3277" t="n">
        <v>2026</v>
      </c>
      <c r="J3277" t="n">
        <v>2021</v>
      </c>
      <c r="K3277" t="inlineStr">
        <is>
          <t>JULIO 2025</t>
        </is>
      </c>
      <c r="L3277" t="inlineStr">
        <is>
          <t>JULIO 2026</t>
        </is>
      </c>
      <c r="M3277" t="inlineStr">
        <is>
          <t xml:space="preserve">CO2 TIPO BC </t>
        </is>
      </c>
      <c r="N3277" t="inlineStr">
        <is>
          <t>31/000822</t>
        </is>
      </c>
      <c r="O3277" t="inlineStr">
        <is>
          <t>R</t>
        </is>
      </c>
      <c r="P3277">
        <f>TRIM(N3277)</f>
        <v/>
      </c>
    </row>
    <row r="3278">
      <c r="A3278" t="inlineStr">
        <is>
          <t>CO-002423</t>
        </is>
      </c>
      <c r="B3278" t="inlineStr">
        <is>
          <t>QUIMICOS GOICOCHEA S.A.C.</t>
        </is>
      </c>
      <c r="C3278" t="inlineStr">
        <is>
          <t>20211040352</t>
        </is>
      </c>
      <c r="D3278" t="inlineStr">
        <is>
          <t xml:space="preserve"> AV. LOS FERROLES S/N (ANTES PLAYA OQUENDO S/N
 SUBPARCELA B) URB. SANTO DOMINGO DE BOCANEGRA 
CALLAO</t>
        </is>
      </c>
      <c r="E3278" t="inlineStr">
        <is>
          <t>Lima, 30 de julio de 2025</t>
        </is>
      </c>
      <c r="F3278" t="inlineStr">
        <is>
          <t>la Recarga y mantenimiento</t>
        </is>
      </c>
      <c r="G3278" t="n">
        <v>14</v>
      </c>
      <c r="H3278" t="inlineStr">
        <is>
          <t>10 LBS</t>
        </is>
      </c>
      <c r="I3278" t="n">
        <v>2027</v>
      </c>
      <c r="J3278" t="n">
        <v>2022</v>
      </c>
      <c r="K3278" t="inlineStr">
        <is>
          <t>JULIO 2025</t>
        </is>
      </c>
      <c r="L3278" t="inlineStr">
        <is>
          <t>JULIO 2026</t>
        </is>
      </c>
      <c r="M3278" t="inlineStr">
        <is>
          <t xml:space="preserve">CO2 TIPO BC </t>
        </is>
      </c>
      <c r="N3278" t="inlineStr">
        <is>
          <t>32/000127</t>
        </is>
      </c>
      <c r="O3278" t="inlineStr">
        <is>
          <t>R</t>
        </is>
      </c>
      <c r="P3278">
        <f>TRIM(N3278)</f>
        <v/>
      </c>
    </row>
    <row r="3279">
      <c r="A3279" t="inlineStr">
        <is>
          <t>CO-002424</t>
        </is>
      </c>
      <c r="B3279" t="inlineStr">
        <is>
          <t>LGS CONSULTORES Y ASESORES SAC</t>
        </is>
      </c>
      <c r="C3279" t="inlineStr">
        <is>
          <t>20613252852</t>
        </is>
      </c>
      <c r="E3279" t="inlineStr">
        <is>
          <t>Lima, 01 de agosto de 2025</t>
        </is>
      </c>
      <c r="F3279" t="inlineStr">
        <is>
          <t>la Recarga y mantenimiento</t>
        </is>
      </c>
      <c r="G3279" t="inlineStr">
        <is>
          <t>01</t>
        </is>
      </c>
      <c r="H3279" t="inlineStr">
        <is>
          <t xml:space="preserve">02KG </t>
        </is>
      </c>
      <c r="I3279" t="inlineStr">
        <is>
          <t>2027</t>
        </is>
      </c>
      <c r="J3279" t="n">
        <v>2022</v>
      </c>
      <c r="K3279" t="inlineStr">
        <is>
          <t>AGOSTO 2025</t>
        </is>
      </c>
      <c r="L3279" t="inlineStr">
        <is>
          <t>AGOSTO 2026</t>
        </is>
      </c>
      <c r="M3279" t="inlineStr">
        <is>
          <t xml:space="preserve">PQS TIPO ABC </t>
        </is>
      </c>
      <c r="N3279" t="inlineStr">
        <is>
          <t>000497</t>
        </is>
      </c>
      <c r="O3279" t="inlineStr">
        <is>
          <t>R</t>
        </is>
      </c>
      <c r="P3279">
        <f>TRIM(N3279)</f>
        <v/>
      </c>
    </row>
    <row r="3280">
      <c r="A3280" t="inlineStr">
        <is>
          <t>CO-002425</t>
        </is>
      </c>
      <c r="B3280" t="inlineStr">
        <is>
          <t>PERU MASIVO S.A - BUSES</t>
        </is>
      </c>
      <c r="C3280" t="inlineStr">
        <is>
          <t>20492392031</t>
        </is>
      </c>
      <c r="D3280" t="inlineStr">
        <is>
          <t>AV. LOS INCAS CDRA. 4 PATIO NORTE - COMAS</t>
        </is>
      </c>
      <c r="E3280" t="inlineStr">
        <is>
          <t>Lima, 05 de agosto de 2025</t>
        </is>
      </c>
      <c r="F3280" t="inlineStr">
        <is>
          <t>la Recarga y mantenimiento</t>
        </is>
      </c>
      <c r="G3280" t="inlineStr">
        <is>
          <t>01</t>
        </is>
      </c>
      <c r="H3280" t="inlineStr">
        <is>
          <t xml:space="preserve">06 KG </t>
        </is>
      </c>
      <c r="I3280" t="inlineStr">
        <is>
          <t>2028</t>
        </is>
      </c>
      <c r="J3280" t="n">
        <v>2010</v>
      </c>
      <c r="K3280" t="inlineStr">
        <is>
          <t>AGOSTO 2025</t>
        </is>
      </c>
      <c r="L3280" t="inlineStr">
        <is>
          <t>AGOSTO 2026</t>
        </is>
      </c>
      <c r="M3280" t="inlineStr">
        <is>
          <t>P.Q.S.  TIPO ABC  90% NACIONAL</t>
        </is>
      </c>
      <c r="N3280" t="inlineStr">
        <is>
          <t>210/000982</t>
        </is>
      </c>
      <c r="O3280" t="inlineStr">
        <is>
          <t>R</t>
        </is>
      </c>
      <c r="P3280">
        <f>TRIM(N3280)</f>
        <v/>
      </c>
    </row>
    <row r="3281">
      <c r="A3281" t="inlineStr">
        <is>
          <t>CO-002425</t>
        </is>
      </c>
      <c r="B3281" t="inlineStr">
        <is>
          <t>PERU MASIVO S.A - BUSES</t>
        </is>
      </c>
      <c r="C3281" t="inlineStr">
        <is>
          <t>20492392031</t>
        </is>
      </c>
      <c r="D3281" t="inlineStr">
        <is>
          <t>AV. LOS INCAS CDRA. 4 PATIO NORTE - COMAS</t>
        </is>
      </c>
      <c r="E3281" t="inlineStr">
        <is>
          <t>Lima, 05 de agosto de 2025</t>
        </is>
      </c>
      <c r="F3281" t="inlineStr">
        <is>
          <t>la Recarga y mantenimiento</t>
        </is>
      </c>
      <c r="G3281" t="inlineStr">
        <is>
          <t>02</t>
        </is>
      </c>
      <c r="H3281" t="inlineStr">
        <is>
          <t xml:space="preserve">06 KG </t>
        </is>
      </c>
      <c r="I3281" t="inlineStr">
        <is>
          <t>2028</t>
        </is>
      </c>
      <c r="J3281" t="n">
        <v>2009</v>
      </c>
      <c r="K3281" t="inlineStr">
        <is>
          <t>AGOSTO 2025</t>
        </is>
      </c>
      <c r="L3281" t="inlineStr">
        <is>
          <t>AGOSTO 2026</t>
        </is>
      </c>
      <c r="M3281" t="inlineStr">
        <is>
          <t>P.Q.S.  TIPO ABC  90% NACIONAL</t>
        </is>
      </c>
      <c r="N3281" t="inlineStr">
        <is>
          <t>362/002191</t>
        </is>
      </c>
      <c r="O3281" t="inlineStr">
        <is>
          <t>R</t>
        </is>
      </c>
      <c r="P3281">
        <f>TRIM(N3281)</f>
        <v/>
      </c>
    </row>
    <row r="3282">
      <c r="A3282" t="inlineStr">
        <is>
          <t>CO-002425</t>
        </is>
      </c>
      <c r="B3282" t="inlineStr">
        <is>
          <t>PERU MASIVO S.A - BUSES</t>
        </is>
      </c>
      <c r="C3282" t="inlineStr">
        <is>
          <t>20492392031</t>
        </is>
      </c>
      <c r="D3282" t="inlineStr">
        <is>
          <t>AV. LOS INCAS CDRA. 4 PATIO NORTE - COMAS</t>
        </is>
      </c>
      <c r="E3282" t="inlineStr">
        <is>
          <t>Lima, 05 de agosto de 2025</t>
        </is>
      </c>
      <c r="F3282" t="inlineStr">
        <is>
          <t>la Recarga y mantenimiento</t>
        </is>
      </c>
      <c r="G3282" t="inlineStr">
        <is>
          <t>03</t>
        </is>
      </c>
      <c r="H3282" t="inlineStr">
        <is>
          <t xml:space="preserve">06 KG </t>
        </is>
      </c>
      <c r="I3282" t="inlineStr">
        <is>
          <t>2028</t>
        </is>
      </c>
      <c r="J3282" t="n">
        <v>2009</v>
      </c>
      <c r="K3282" t="inlineStr">
        <is>
          <t>AGOSTO 2025</t>
        </is>
      </c>
      <c r="L3282" t="inlineStr">
        <is>
          <t>AGOSTO 2026</t>
        </is>
      </c>
      <c r="M3282" t="inlineStr">
        <is>
          <t>P.Q.S.  TIPO ABC  90% NACIONAL</t>
        </is>
      </c>
      <c r="N3282" t="inlineStr">
        <is>
          <t>186/000484</t>
        </is>
      </c>
      <c r="O3282" t="inlineStr">
        <is>
          <t>R</t>
        </is>
      </c>
      <c r="P3282">
        <f>TRIM(N3282)</f>
        <v/>
      </c>
    </row>
    <row r="3283">
      <c r="A3283" t="inlineStr">
        <is>
          <t>CO-002425</t>
        </is>
      </c>
      <c r="B3283" t="inlineStr">
        <is>
          <t>PERU MASIVO S.A - BUSES</t>
        </is>
      </c>
      <c r="C3283" t="inlineStr">
        <is>
          <t>20492392031</t>
        </is>
      </c>
      <c r="D3283" t="inlineStr">
        <is>
          <t>AV. LOS INCAS CDRA. 4 PATIO NORTE - COMAS</t>
        </is>
      </c>
      <c r="E3283" t="inlineStr">
        <is>
          <t>Lima, 05 de agosto de 2025</t>
        </is>
      </c>
      <c r="F3283" t="inlineStr">
        <is>
          <t>la Recarga y mantenimiento</t>
        </is>
      </c>
      <c r="G3283" t="inlineStr">
        <is>
          <t>04</t>
        </is>
      </c>
      <c r="H3283" t="inlineStr">
        <is>
          <t xml:space="preserve">06 KG </t>
        </is>
      </c>
      <c r="I3283" t="inlineStr">
        <is>
          <t>2028</t>
        </is>
      </c>
      <c r="J3283" t="n">
        <v>2009</v>
      </c>
      <c r="K3283" t="inlineStr">
        <is>
          <t>AGOSTO 2025</t>
        </is>
      </c>
      <c r="L3283" t="inlineStr">
        <is>
          <t>AGOSTO 2026</t>
        </is>
      </c>
      <c r="M3283" t="inlineStr">
        <is>
          <t>P.Q.S.  TIPO ABC  90% NACIONAL</t>
        </is>
      </c>
      <c r="N3283" t="inlineStr">
        <is>
          <t>06/001457</t>
        </is>
      </c>
      <c r="O3283" t="inlineStr">
        <is>
          <t>R</t>
        </is>
      </c>
      <c r="P3283">
        <f>TRIM(N3283)</f>
        <v/>
      </c>
    </row>
    <row r="3284">
      <c r="A3284" t="inlineStr">
        <is>
          <t>CO-002425</t>
        </is>
      </c>
      <c r="B3284" t="inlineStr">
        <is>
          <t>PERU MASIVO S.A - BUSES</t>
        </is>
      </c>
      <c r="C3284" t="inlineStr">
        <is>
          <t>20492392031</t>
        </is>
      </c>
      <c r="D3284" t="inlineStr">
        <is>
          <t>AV. LOS INCAS CDRA. 4 PATIO NORTE - COMAS</t>
        </is>
      </c>
      <c r="E3284" t="inlineStr">
        <is>
          <t>Lima, 05 de agosto de 2025</t>
        </is>
      </c>
      <c r="F3284" t="inlineStr">
        <is>
          <t>la Recarga y mantenimiento</t>
        </is>
      </c>
      <c r="G3284" t="inlineStr">
        <is>
          <t>05</t>
        </is>
      </c>
      <c r="H3284" t="inlineStr">
        <is>
          <t xml:space="preserve">06 KG </t>
        </is>
      </c>
      <c r="I3284" t="inlineStr">
        <is>
          <t>2028</t>
        </is>
      </c>
      <c r="J3284" t="n">
        <v>2010</v>
      </c>
      <c r="K3284" t="inlineStr">
        <is>
          <t>AGOSTO 2025</t>
        </is>
      </c>
      <c r="L3284" t="inlineStr">
        <is>
          <t>AGOSTO 2026</t>
        </is>
      </c>
      <c r="M3284" t="inlineStr">
        <is>
          <t>P.Q.S.  TIPO ABC  90% NACIONAL</t>
        </is>
      </c>
      <c r="N3284" t="inlineStr">
        <is>
          <t>16/000223</t>
        </is>
      </c>
      <c r="O3284" t="inlineStr">
        <is>
          <t>R</t>
        </is>
      </c>
      <c r="P3284">
        <f>TRIM(N3284)</f>
        <v/>
      </c>
    </row>
    <row r="3285">
      <c r="A3285" t="inlineStr">
        <is>
          <t>CO-002425</t>
        </is>
      </c>
      <c r="B3285" t="inlineStr">
        <is>
          <t>PERU MASIVO S.A - BUSES</t>
        </is>
      </c>
      <c r="C3285" t="inlineStr">
        <is>
          <t>20492392031</t>
        </is>
      </c>
      <c r="D3285" t="inlineStr">
        <is>
          <t>AV. LOS INCAS CDRA. 4 PATIO NORTE - COMAS</t>
        </is>
      </c>
      <c r="E3285" t="inlineStr">
        <is>
          <t>Lima, 05 de agosto de 2025</t>
        </is>
      </c>
      <c r="F3285" t="inlineStr">
        <is>
          <t>la Recarga y mantenimiento</t>
        </is>
      </c>
      <c r="G3285" t="inlineStr">
        <is>
          <t>06</t>
        </is>
      </c>
      <c r="H3285" t="inlineStr">
        <is>
          <t xml:space="preserve">06 KG </t>
        </is>
      </c>
      <c r="I3285" t="inlineStr">
        <is>
          <t>2028</t>
        </is>
      </c>
      <c r="J3285" t="n">
        <v>2009</v>
      </c>
      <c r="K3285" t="inlineStr">
        <is>
          <t>AGOSTO 2025</t>
        </is>
      </c>
      <c r="L3285" t="inlineStr">
        <is>
          <t>AGOSTO 2026</t>
        </is>
      </c>
      <c r="M3285" t="inlineStr">
        <is>
          <t>P.Q.S.  TIPO ABC  90% NACIONAL</t>
        </is>
      </c>
      <c r="N3285" t="inlineStr">
        <is>
          <t>14/002158</t>
        </is>
      </c>
      <c r="O3285" t="inlineStr">
        <is>
          <t>R</t>
        </is>
      </c>
      <c r="P3285">
        <f>TRIM(N3285)</f>
        <v/>
      </c>
    </row>
    <row r="3286">
      <c r="A3286" t="inlineStr">
        <is>
          <t>CO-002425</t>
        </is>
      </c>
      <c r="B3286" t="inlineStr">
        <is>
          <t>PERU MASIVO S.A - BUSES</t>
        </is>
      </c>
      <c r="C3286" t="inlineStr">
        <is>
          <t>20492392031</t>
        </is>
      </c>
      <c r="D3286" t="inlineStr">
        <is>
          <t>AV. LOS INCAS CDRA. 4 PATIO NORTE - COMAS</t>
        </is>
      </c>
      <c r="E3286" t="inlineStr">
        <is>
          <t>Lima, 05 de agosto de 2025</t>
        </is>
      </c>
      <c r="F3286" t="inlineStr">
        <is>
          <t>la Recarga y mantenimiento</t>
        </is>
      </c>
      <c r="G3286" t="inlineStr">
        <is>
          <t>07</t>
        </is>
      </c>
      <c r="H3286" t="inlineStr">
        <is>
          <t xml:space="preserve">06 KG </t>
        </is>
      </c>
      <c r="I3286" t="inlineStr">
        <is>
          <t>2028</t>
        </is>
      </c>
      <c r="J3286" t="n">
        <v>2009</v>
      </c>
      <c r="K3286" t="inlineStr">
        <is>
          <t>AGOSTO 2025</t>
        </is>
      </c>
      <c r="L3286" t="inlineStr">
        <is>
          <t>AGOSTO 2026</t>
        </is>
      </c>
      <c r="M3286" t="inlineStr">
        <is>
          <t>P.Q.S.  TIPO ABC  90% NACIONAL</t>
        </is>
      </c>
      <c r="N3286" t="inlineStr">
        <is>
          <t>41/001746</t>
        </is>
      </c>
      <c r="O3286" t="inlineStr">
        <is>
          <t>R</t>
        </is>
      </c>
      <c r="P3286">
        <f>TRIM(N3286)</f>
        <v/>
      </c>
    </row>
    <row r="3287">
      <c r="A3287" t="inlineStr">
        <is>
          <t>CO-002425</t>
        </is>
      </c>
      <c r="B3287" t="inlineStr">
        <is>
          <t>PERU MASIVO S.A - BUSES</t>
        </is>
      </c>
      <c r="C3287" t="inlineStr">
        <is>
          <t>20492392031</t>
        </is>
      </c>
      <c r="D3287" t="inlineStr">
        <is>
          <t>AV. LOS INCAS CDRA. 4 PATIO NORTE - COMAS</t>
        </is>
      </c>
      <c r="E3287" t="inlineStr">
        <is>
          <t>Lima, 05 de agosto de 2025</t>
        </is>
      </c>
      <c r="F3287" t="inlineStr">
        <is>
          <t>la Recarga y mantenimiento</t>
        </is>
      </c>
      <c r="G3287" t="inlineStr">
        <is>
          <t>08</t>
        </is>
      </c>
      <c r="H3287" t="inlineStr">
        <is>
          <t xml:space="preserve">06 KG </t>
        </is>
      </c>
      <c r="I3287" t="inlineStr">
        <is>
          <t>2028</t>
        </is>
      </c>
      <c r="J3287" t="n">
        <v>2010</v>
      </c>
      <c r="K3287" t="inlineStr">
        <is>
          <t>AGOSTO 2025</t>
        </is>
      </c>
      <c r="L3287" t="inlineStr">
        <is>
          <t>AGOSTO 2026</t>
        </is>
      </c>
      <c r="M3287" t="inlineStr">
        <is>
          <t>P.Q.S.  TIPO ABC  90% NACIONAL</t>
        </is>
      </c>
      <c r="N3287" t="inlineStr">
        <is>
          <t>369/001484</t>
        </is>
      </c>
      <c r="O3287" t="inlineStr">
        <is>
          <t>R</t>
        </is>
      </c>
      <c r="P3287">
        <f>TRIM(N3287)</f>
        <v/>
      </c>
    </row>
    <row r="3288">
      <c r="A3288" t="inlineStr">
        <is>
          <t>CO-002426</t>
        </is>
      </c>
      <c r="B3288" t="inlineStr">
        <is>
          <t xml:space="preserve">SUNAT - SEDE RIO SECO </t>
        </is>
      </c>
      <c r="C3288" t="inlineStr">
        <is>
          <t>20131312955</t>
        </is>
      </c>
      <c r="D3288" t="inlineStr">
        <is>
          <t xml:space="preserve">Altura del Km 8.5 de la Carretera Yura - Arequipa </t>
        </is>
      </c>
      <c r="E3288" t="inlineStr">
        <is>
          <t>Lima, 07 de agosto de 2025</t>
        </is>
      </c>
      <c r="F3288" t="inlineStr">
        <is>
          <t>la Recarga y mantenimiento</t>
        </is>
      </c>
      <c r="G3288" t="inlineStr">
        <is>
          <t>01</t>
        </is>
      </c>
      <c r="H3288" t="inlineStr">
        <is>
          <t xml:space="preserve">04 KG </t>
        </is>
      </c>
      <c r="I3288" t="inlineStr">
        <is>
          <t>2028</t>
        </is>
      </c>
      <c r="J3288" t="n">
        <v>2021</v>
      </c>
      <c r="K3288" t="inlineStr">
        <is>
          <t>AGOSTO 2025</t>
        </is>
      </c>
      <c r="L3288" t="inlineStr">
        <is>
          <t>AGOSTO 2026</t>
        </is>
      </c>
      <c r="M3288" t="inlineStr">
        <is>
          <t xml:space="preserve">P.Q.S.  TIPO ABC  90% </t>
        </is>
      </c>
      <c r="N3288" t="inlineStr">
        <is>
          <t>S/N/011818</t>
        </is>
      </c>
      <c r="O3288" t="inlineStr">
        <is>
          <t>R</t>
        </is>
      </c>
      <c r="P3288">
        <f>TRIM(N3288)</f>
        <v/>
      </c>
    </row>
    <row r="3289">
      <c r="A3289" t="inlineStr">
        <is>
          <t>CO-002426</t>
        </is>
      </c>
      <c r="B3289" t="inlineStr">
        <is>
          <t xml:space="preserve">SUNAT - SEDE RIO SECO </t>
        </is>
      </c>
      <c r="C3289" t="inlineStr">
        <is>
          <t>20131312955</t>
        </is>
      </c>
      <c r="D3289" t="inlineStr">
        <is>
          <t xml:space="preserve">Altura del Km 8.5 de la Carretera Yura - Arequipa </t>
        </is>
      </c>
      <c r="E3289" t="inlineStr">
        <is>
          <t>Lima, 07 de agosto de 2025</t>
        </is>
      </c>
      <c r="F3289" t="inlineStr">
        <is>
          <t>la Recarga y mantenimiento</t>
        </is>
      </c>
      <c r="G3289" t="inlineStr">
        <is>
          <t>02</t>
        </is>
      </c>
      <c r="H3289" t="inlineStr">
        <is>
          <t xml:space="preserve">04 KG </t>
        </is>
      </c>
      <c r="I3289" t="inlineStr">
        <is>
          <t>2028</t>
        </is>
      </c>
      <c r="J3289" t="n">
        <v>2022</v>
      </c>
      <c r="K3289" t="inlineStr">
        <is>
          <t>AGOSTO 2025</t>
        </is>
      </c>
      <c r="L3289" t="inlineStr">
        <is>
          <t>AGOSTO 2026</t>
        </is>
      </c>
      <c r="M3289" t="inlineStr">
        <is>
          <t xml:space="preserve">P.Q.S.  TIPO ABC  90% </t>
        </is>
      </c>
      <c r="N3289" t="inlineStr">
        <is>
          <t>S/N/000462</t>
        </is>
      </c>
      <c r="O3289" t="inlineStr">
        <is>
          <t>R</t>
        </is>
      </c>
      <c r="P3289">
        <f>TRIM(N3289)</f>
        <v/>
      </c>
    </row>
    <row r="3290">
      <c r="A3290" t="inlineStr">
        <is>
          <t>CO-002426</t>
        </is>
      </c>
      <c r="B3290" t="inlineStr">
        <is>
          <t xml:space="preserve">SUNAT - SEDE RIO SECO </t>
        </is>
      </c>
      <c r="C3290" t="inlineStr">
        <is>
          <t>20131312955</t>
        </is>
      </c>
      <c r="D3290" t="inlineStr">
        <is>
          <t xml:space="preserve">Altura del Km 8.5 de la Carretera Yura - Arequipa </t>
        </is>
      </c>
      <c r="E3290" t="inlineStr">
        <is>
          <t>Lima, 07 de agosto de 2025</t>
        </is>
      </c>
      <c r="F3290" t="inlineStr">
        <is>
          <t>la Recarga y mantenimiento</t>
        </is>
      </c>
      <c r="G3290" t="inlineStr">
        <is>
          <t>03</t>
        </is>
      </c>
      <c r="H3290" t="inlineStr">
        <is>
          <t xml:space="preserve">04 KG </t>
        </is>
      </c>
      <c r="I3290" t="inlineStr">
        <is>
          <t>2028</t>
        </is>
      </c>
      <c r="J3290" t="n">
        <v>2022</v>
      </c>
      <c r="K3290" t="inlineStr">
        <is>
          <t>AGOSTO 2025</t>
        </is>
      </c>
      <c r="L3290" t="inlineStr">
        <is>
          <t>AGOSTO 2026</t>
        </is>
      </c>
      <c r="M3290" t="inlineStr">
        <is>
          <t xml:space="preserve">P.Q.S.  TIPO ABC  90% </t>
        </is>
      </c>
      <c r="N3290" t="inlineStr">
        <is>
          <t>S/N/000401</t>
        </is>
      </c>
      <c r="O3290" t="inlineStr">
        <is>
          <t>R</t>
        </is>
      </c>
      <c r="P3290">
        <f>TRIM(N3290)</f>
        <v/>
      </c>
    </row>
    <row r="3291">
      <c r="A3291" t="inlineStr">
        <is>
          <t>CO-002427</t>
        </is>
      </c>
      <c r="B3291" t="inlineStr">
        <is>
          <t>PERU MASIVO S.A - BUSES</t>
        </is>
      </c>
      <c r="C3291" t="inlineStr">
        <is>
          <t>20492392031</t>
        </is>
      </c>
      <c r="D3291" t="inlineStr">
        <is>
          <t>AV. LOS INCAS CDRA. 4 PATIO NORTE - COMAS</t>
        </is>
      </c>
      <c r="E3291" t="inlineStr">
        <is>
          <t>Lima, 11 de agosto de 2025</t>
        </is>
      </c>
      <c r="F3291" t="inlineStr">
        <is>
          <t>la Recarga y mantenimiento</t>
        </is>
      </c>
      <c r="G3291" t="inlineStr">
        <is>
          <t>01</t>
        </is>
      </c>
      <c r="H3291" t="inlineStr">
        <is>
          <t xml:space="preserve">06 KG </t>
        </is>
      </c>
      <c r="I3291" t="inlineStr">
        <is>
          <t>2028</t>
        </is>
      </c>
      <c r="J3291" t="n">
        <v>2010</v>
      </c>
      <c r="K3291" t="inlineStr">
        <is>
          <t>AGOSTO 2025</t>
        </is>
      </c>
      <c r="L3291" t="inlineStr">
        <is>
          <t>AGOSTO 2026</t>
        </is>
      </c>
      <c r="M3291" t="inlineStr">
        <is>
          <t>P.Q.S.  TIPO ABC  90% NACIONAL</t>
        </is>
      </c>
      <c r="N3291" t="inlineStr">
        <is>
          <t>230/000534</t>
        </is>
      </c>
      <c r="O3291" t="inlineStr">
        <is>
          <t>R</t>
        </is>
      </c>
      <c r="P3291">
        <f>TRIM(N3291)</f>
        <v/>
      </c>
    </row>
    <row r="3292">
      <c r="A3292" t="inlineStr">
        <is>
          <t>CO-002427</t>
        </is>
      </c>
      <c r="B3292" t="inlineStr">
        <is>
          <t>PERU MASIVO S.A - BUSES</t>
        </is>
      </c>
      <c r="C3292" t="inlineStr">
        <is>
          <t>20492392031</t>
        </is>
      </c>
      <c r="D3292" t="inlineStr">
        <is>
          <t>AV. LOS INCAS CDRA. 4 PATIO NORTE - COMAS</t>
        </is>
      </c>
      <c r="E3292" t="inlineStr">
        <is>
          <t>Lima, 11 de agosto de 2025</t>
        </is>
      </c>
      <c r="F3292" t="inlineStr">
        <is>
          <t>la Recarga y mantenimiento</t>
        </is>
      </c>
      <c r="G3292" t="inlineStr">
        <is>
          <t>02</t>
        </is>
      </c>
      <c r="H3292" t="inlineStr">
        <is>
          <t xml:space="preserve">06 KG </t>
        </is>
      </c>
      <c r="I3292" t="inlineStr">
        <is>
          <t>2028</t>
        </is>
      </c>
      <c r="J3292" t="n">
        <v>2010</v>
      </c>
      <c r="K3292" t="inlineStr">
        <is>
          <t>AGOSTO 2025</t>
        </is>
      </c>
      <c r="L3292" t="inlineStr">
        <is>
          <t>AGOSTO 2026</t>
        </is>
      </c>
      <c r="M3292" t="inlineStr">
        <is>
          <t>P.Q.S.  TIPO ABC  90% NACIONAL</t>
        </is>
      </c>
      <c r="N3292" t="inlineStr">
        <is>
          <t>237/002081</t>
        </is>
      </c>
      <c r="O3292" t="inlineStr">
        <is>
          <t>R</t>
        </is>
      </c>
      <c r="P3292">
        <f>TRIM(N3292)</f>
        <v/>
      </c>
    </row>
    <row r="3293">
      <c r="A3293" t="inlineStr">
        <is>
          <t>CO-002427</t>
        </is>
      </c>
      <c r="B3293" t="inlineStr">
        <is>
          <t>PERU MASIVO S.A - BUSES</t>
        </is>
      </c>
      <c r="C3293" t="inlineStr">
        <is>
          <t>20492392031</t>
        </is>
      </c>
      <c r="D3293" t="inlineStr">
        <is>
          <t>AV. LOS INCAS CDRA. 4 PATIO NORTE - COMAS</t>
        </is>
      </c>
      <c r="E3293" t="inlineStr">
        <is>
          <t>Lima, 11 de agosto de 2025</t>
        </is>
      </c>
      <c r="F3293" t="inlineStr">
        <is>
          <t>la Recarga y mantenimiento</t>
        </is>
      </c>
      <c r="G3293" t="inlineStr">
        <is>
          <t>03</t>
        </is>
      </c>
      <c r="H3293" t="inlineStr">
        <is>
          <t xml:space="preserve">06 KG </t>
        </is>
      </c>
      <c r="I3293" t="inlineStr">
        <is>
          <t>2029</t>
        </is>
      </c>
      <c r="J3293" t="n">
        <v>2009</v>
      </c>
      <c r="K3293" t="inlineStr">
        <is>
          <t>AGOSTO 2025</t>
        </is>
      </c>
      <c r="L3293" t="inlineStr">
        <is>
          <t>AGOSTO 2026</t>
        </is>
      </c>
      <c r="M3293" t="inlineStr">
        <is>
          <t>P.Q.S.  TIPO ABC  90% NACIONAL</t>
        </is>
      </c>
      <c r="N3293" t="inlineStr">
        <is>
          <t>238/000727</t>
        </is>
      </c>
      <c r="O3293" t="inlineStr">
        <is>
          <t>R</t>
        </is>
      </c>
      <c r="P3293">
        <f>TRIM(N3293)</f>
        <v/>
      </c>
    </row>
    <row r="3294">
      <c r="A3294" t="inlineStr">
        <is>
          <t>CO-002427</t>
        </is>
      </c>
      <c r="B3294" t="inlineStr">
        <is>
          <t>PERU MASIVO S.A - BUSES</t>
        </is>
      </c>
      <c r="C3294" t="inlineStr">
        <is>
          <t>20492392031</t>
        </is>
      </c>
      <c r="D3294" t="inlineStr">
        <is>
          <t>AV. LOS INCAS CDRA. 4 PATIO NORTE - COMAS</t>
        </is>
      </c>
      <c r="E3294" t="inlineStr">
        <is>
          <t>Lima, 11 de agosto de 2025</t>
        </is>
      </c>
      <c r="F3294" t="inlineStr">
        <is>
          <t>la Recarga y mantenimiento</t>
        </is>
      </c>
      <c r="G3294" t="inlineStr">
        <is>
          <t>04</t>
        </is>
      </c>
      <c r="H3294" t="inlineStr">
        <is>
          <t xml:space="preserve">06 KG </t>
        </is>
      </c>
      <c r="I3294" t="inlineStr">
        <is>
          <t>2029</t>
        </is>
      </c>
      <c r="J3294" t="n">
        <v>2009</v>
      </c>
      <c r="K3294" t="inlineStr">
        <is>
          <t>AGOSTO 2025</t>
        </is>
      </c>
      <c r="L3294" t="inlineStr">
        <is>
          <t>AGOSTO 2026</t>
        </is>
      </c>
      <c r="M3294" t="inlineStr">
        <is>
          <t>P.Q.S.  TIPO ABC  90% NACIONAL</t>
        </is>
      </c>
      <c r="N3294" t="inlineStr">
        <is>
          <t>158/002165</t>
        </is>
      </c>
      <c r="O3294" t="inlineStr">
        <is>
          <t>R</t>
        </is>
      </c>
      <c r="P3294">
        <f>TRIM(N3294)</f>
        <v/>
      </c>
    </row>
    <row r="3295">
      <c r="A3295" t="inlineStr">
        <is>
          <t>CO-002427</t>
        </is>
      </c>
      <c r="B3295" t="inlineStr">
        <is>
          <t>PERU MASIVO S.A - BUSES</t>
        </is>
      </c>
      <c r="C3295" t="inlineStr">
        <is>
          <t>20492392031</t>
        </is>
      </c>
      <c r="D3295" t="inlineStr">
        <is>
          <t>AV. LOS INCAS CDRA. 4 PATIO NORTE - COMAS</t>
        </is>
      </c>
      <c r="E3295" t="inlineStr">
        <is>
          <t>Lima, 11 de agosto de 2025</t>
        </is>
      </c>
      <c r="F3295" t="inlineStr">
        <is>
          <t>la Recarga y mantenimiento</t>
        </is>
      </c>
      <c r="G3295" t="inlineStr">
        <is>
          <t>05</t>
        </is>
      </c>
      <c r="H3295" t="inlineStr">
        <is>
          <t xml:space="preserve">06 KG </t>
        </is>
      </c>
      <c r="I3295" t="inlineStr">
        <is>
          <t>2028</t>
        </is>
      </c>
      <c r="J3295" t="n">
        <v>2009</v>
      </c>
      <c r="K3295" t="inlineStr">
        <is>
          <t>AGOSTO 2025</t>
        </is>
      </c>
      <c r="L3295" t="inlineStr">
        <is>
          <t>AGOSTO 2026</t>
        </is>
      </c>
      <c r="M3295" t="inlineStr">
        <is>
          <t>P.Q.S.  TIPO ABC  90% NACIONAL</t>
        </is>
      </c>
      <c r="N3295" t="inlineStr">
        <is>
          <t>281/002480</t>
        </is>
      </c>
      <c r="O3295" t="inlineStr">
        <is>
          <t>R</t>
        </is>
      </c>
      <c r="P3295">
        <f>TRIM(N3295)</f>
        <v/>
      </c>
    </row>
    <row r="3296">
      <c r="A3296" t="inlineStr">
        <is>
          <t>CO-002427</t>
        </is>
      </c>
      <c r="B3296" t="inlineStr">
        <is>
          <t>PERU MASIVO S.A - BUSES</t>
        </is>
      </c>
      <c r="C3296" t="inlineStr">
        <is>
          <t>20492392031</t>
        </is>
      </c>
      <c r="D3296" t="inlineStr">
        <is>
          <t>AV. LOS INCAS CDRA. 4 PATIO NORTE - COMAS</t>
        </is>
      </c>
      <c r="E3296" t="inlineStr">
        <is>
          <t>Lima, 11 de agosto de 2025</t>
        </is>
      </c>
      <c r="F3296" t="inlineStr">
        <is>
          <t>la Recarga y mantenimiento</t>
        </is>
      </c>
      <c r="G3296" t="inlineStr">
        <is>
          <t>06</t>
        </is>
      </c>
      <c r="H3296" t="inlineStr">
        <is>
          <t xml:space="preserve">06 KG </t>
        </is>
      </c>
      <c r="I3296" t="inlineStr">
        <is>
          <t>2029</t>
        </is>
      </c>
      <c r="J3296" t="n">
        <v>2010</v>
      </c>
      <c r="K3296" t="inlineStr">
        <is>
          <t>AGOSTO 2025</t>
        </is>
      </c>
      <c r="L3296" t="inlineStr">
        <is>
          <t>AGOSTO 2026</t>
        </is>
      </c>
      <c r="M3296" t="inlineStr">
        <is>
          <t>P.Q.S.  TIPO ABC  90% NACIONAL</t>
        </is>
      </c>
      <c r="N3296" t="inlineStr">
        <is>
          <t>198/000237</t>
        </is>
      </c>
      <c r="O3296" t="inlineStr">
        <is>
          <t>R</t>
        </is>
      </c>
      <c r="P3296">
        <f>TRIM(N3296)</f>
        <v/>
      </c>
    </row>
    <row r="3297">
      <c r="A3297" t="inlineStr">
        <is>
          <t>CO-002427</t>
        </is>
      </c>
      <c r="B3297" t="inlineStr">
        <is>
          <t>PERU MASIVO S.A - BUSES</t>
        </is>
      </c>
      <c r="C3297" t="inlineStr">
        <is>
          <t>20492392031</t>
        </is>
      </c>
      <c r="D3297" t="inlineStr">
        <is>
          <t>AV. LOS INCAS CDRA. 4 PATIO NORTE - COMAS</t>
        </is>
      </c>
      <c r="E3297" t="inlineStr">
        <is>
          <t>Lima, 11 de agosto de 2025</t>
        </is>
      </c>
      <c r="F3297" t="inlineStr">
        <is>
          <t>la Recarga y mantenimiento</t>
        </is>
      </c>
      <c r="G3297" t="inlineStr">
        <is>
          <t>07</t>
        </is>
      </c>
      <c r="H3297" t="inlineStr">
        <is>
          <t xml:space="preserve">06 KG </t>
        </is>
      </c>
      <c r="I3297" t="inlineStr">
        <is>
          <t>2028</t>
        </is>
      </c>
      <c r="J3297" t="n">
        <v>2014</v>
      </c>
      <c r="K3297" t="inlineStr">
        <is>
          <t>AGOSTO 2025</t>
        </is>
      </c>
      <c r="L3297" t="inlineStr">
        <is>
          <t>AGOSTO 2026</t>
        </is>
      </c>
      <c r="M3297" t="inlineStr">
        <is>
          <t>P.Q.S.  TIPO ABC  90% NACIONAL</t>
        </is>
      </c>
      <c r="N3297" t="inlineStr">
        <is>
          <t>160/000330</t>
        </is>
      </c>
      <c r="O3297" t="inlineStr">
        <is>
          <t>R</t>
        </is>
      </c>
      <c r="P3297">
        <f>TRIM(N3297)</f>
        <v/>
      </c>
    </row>
    <row r="3298">
      <c r="A3298" t="inlineStr">
        <is>
          <t>CO-002428</t>
        </is>
      </c>
      <c r="B3298" t="inlineStr">
        <is>
          <t>BRITISH AMERICAN HOSPITAL S.A. - CLINICA ANGLOAMERICANA</t>
        </is>
      </c>
      <c r="C3298" t="inlineStr">
        <is>
          <t>20107695584</t>
        </is>
      </c>
      <c r="D3298" t="inlineStr">
        <is>
          <t xml:space="preserve">JR ALFREDO SALAZAR 350 - SAN ISIDRO </t>
        </is>
      </c>
      <c r="E3298" t="inlineStr">
        <is>
          <t>Lima, 12 de agosto de 2025</t>
        </is>
      </c>
      <c r="F3298" t="inlineStr">
        <is>
          <t>la Recarga y mantenimiento</t>
        </is>
      </c>
      <c r="G3298" t="inlineStr">
        <is>
          <t>01</t>
        </is>
      </c>
      <c r="H3298" t="inlineStr">
        <is>
          <t xml:space="preserve">11LBS </t>
        </is>
      </c>
      <c r="I3298" t="inlineStr">
        <is>
          <t>2027</t>
        </is>
      </c>
      <c r="J3298" t="n">
        <v>2014</v>
      </c>
      <c r="K3298" t="inlineStr">
        <is>
          <t>AGOSTO 2025</t>
        </is>
      </c>
      <c r="L3298" t="inlineStr">
        <is>
          <t>AGOSTO 2026</t>
        </is>
      </c>
      <c r="M3298" t="inlineStr">
        <is>
          <t>HALOTRON</t>
        </is>
      </c>
      <c r="N3298" t="inlineStr">
        <is>
          <t>Y-615312</t>
        </is>
      </c>
      <c r="O3298" t="inlineStr">
        <is>
          <t>R</t>
        </is>
      </c>
      <c r="P3298">
        <f>TRIM(N3298)</f>
        <v/>
      </c>
    </row>
    <row r="3299">
      <c r="A3299" t="inlineStr">
        <is>
          <t>CO-002428</t>
        </is>
      </c>
      <c r="B3299" t="inlineStr">
        <is>
          <t>BRITISH AMERICAN HOSPITAL S.A. - CLINICA ANGLOAMERICANA</t>
        </is>
      </c>
      <c r="C3299" t="inlineStr">
        <is>
          <t>20107695584</t>
        </is>
      </c>
      <c r="D3299" t="inlineStr">
        <is>
          <t xml:space="preserve">JR ALFREDO SALAZAR 350 - SAN ISIDRO </t>
        </is>
      </c>
      <c r="E3299" t="inlineStr">
        <is>
          <t>Lima, 12 de agosto de 2025</t>
        </is>
      </c>
      <c r="F3299" t="inlineStr">
        <is>
          <t>la Recarga y mantenimiento</t>
        </is>
      </c>
      <c r="G3299" t="inlineStr">
        <is>
          <t>02</t>
        </is>
      </c>
      <c r="H3299" t="inlineStr">
        <is>
          <t xml:space="preserve">11LBS </t>
        </is>
      </c>
      <c r="I3299" t="inlineStr">
        <is>
          <t>2029</t>
        </is>
      </c>
      <c r="J3299" t="n">
        <v>2024</v>
      </c>
      <c r="K3299" t="inlineStr">
        <is>
          <t>AGOSTO 2025</t>
        </is>
      </c>
      <c r="L3299" t="inlineStr">
        <is>
          <t>AGOSTO 2026</t>
        </is>
      </c>
      <c r="M3299" t="inlineStr">
        <is>
          <t>HALOTRON</t>
        </is>
      </c>
      <c r="N3299" t="inlineStr">
        <is>
          <t>I-42250744</t>
        </is>
      </c>
      <c r="O3299" t="inlineStr">
        <is>
          <t>R</t>
        </is>
      </c>
      <c r="P3299">
        <f>TRIM(N3299)</f>
        <v/>
      </c>
    </row>
    <row r="3300">
      <c r="A3300" t="inlineStr">
        <is>
          <t>CO-002428</t>
        </is>
      </c>
      <c r="B3300" t="inlineStr">
        <is>
          <t>BRITISH AMERICAN HOSPITAL S.A. - CLINICA ANGLOAMERICANA</t>
        </is>
      </c>
      <c r="C3300" t="inlineStr">
        <is>
          <t>20107695584</t>
        </is>
      </c>
      <c r="D3300" t="inlineStr">
        <is>
          <t xml:space="preserve">JR ALFREDO SALAZAR 350 - SAN ISIDRO </t>
        </is>
      </c>
      <c r="E3300" t="inlineStr">
        <is>
          <t>Lima, 12 de agosto de 2025</t>
        </is>
      </c>
      <c r="F3300" t="inlineStr">
        <is>
          <t>la Recarga y mantenimiento</t>
        </is>
      </c>
      <c r="G3300" t="inlineStr">
        <is>
          <t>03</t>
        </is>
      </c>
      <c r="H3300" t="inlineStr">
        <is>
          <t xml:space="preserve">11LBS </t>
        </is>
      </c>
      <c r="I3300" t="inlineStr">
        <is>
          <t>2028</t>
        </is>
      </c>
      <c r="J3300" t="n">
        <v>2002</v>
      </c>
      <c r="K3300" t="inlineStr">
        <is>
          <t>AGOSTO 2025</t>
        </is>
      </c>
      <c r="L3300" t="inlineStr">
        <is>
          <t>AGOSTO 2026</t>
        </is>
      </c>
      <c r="M3300" t="inlineStr">
        <is>
          <t>HALOTRON</t>
        </is>
      </c>
      <c r="N3300" t="inlineStr">
        <is>
          <t>W-379030</t>
        </is>
      </c>
      <c r="O3300" t="inlineStr">
        <is>
          <t>R</t>
        </is>
      </c>
      <c r="P3300">
        <f>TRIM(N3300)</f>
        <v/>
      </c>
    </row>
    <row r="3301">
      <c r="A3301" t="inlineStr">
        <is>
          <t>CO-002429</t>
        </is>
      </c>
      <c r="B3301" t="inlineStr">
        <is>
          <t>QUIMICOS GOICOCHEA S.A.C.</t>
        </is>
      </c>
      <c r="C3301" t="inlineStr">
        <is>
          <t>20211040352</t>
        </is>
      </c>
      <c r="D3301" t="inlineStr">
        <is>
          <t xml:space="preserve"> AV. LOS FERROLES S/N (ANTES PLAYA OQUENDO S/N
 SUBPARCELA B) URB. SANTO DOMINGO DE BOCANEGRA 
CALLAO</t>
        </is>
      </c>
      <c r="E3301" t="inlineStr">
        <is>
          <t>Lima, 15 de agosto de 2025</t>
        </is>
      </c>
      <c r="F3301" t="inlineStr">
        <is>
          <t>la Recarga y mantenimiento</t>
        </is>
      </c>
      <c r="G3301" t="inlineStr">
        <is>
          <t>01</t>
        </is>
      </c>
      <c r="H3301" t="inlineStr">
        <is>
          <t>12 KG</t>
        </is>
      </c>
      <c r="I3301" t="inlineStr">
        <is>
          <t>2030</t>
        </is>
      </c>
      <c r="J3301" t="n">
        <v>2012</v>
      </c>
      <c r="K3301" t="inlineStr">
        <is>
          <t>AGOSTO 2025</t>
        </is>
      </c>
      <c r="L3301" t="inlineStr">
        <is>
          <t>AGOSTO 2026</t>
        </is>
      </c>
      <c r="M3301" t="inlineStr">
        <is>
          <t xml:space="preserve">PQS TIPO ABC AL 75% </t>
        </is>
      </c>
      <c r="N3301" t="inlineStr">
        <is>
          <t>20/000257</t>
        </is>
      </c>
      <c r="O3301" t="inlineStr">
        <is>
          <t>R</t>
        </is>
      </c>
      <c r="P3301">
        <f>TRIM(N3301)</f>
        <v/>
      </c>
    </row>
    <row r="3302">
      <c r="A3302" t="inlineStr">
        <is>
          <t>CO-002430</t>
        </is>
      </c>
      <c r="B3302" t="inlineStr">
        <is>
          <t>QUIMICOS GOICOCHEA S.A.C.</t>
        </is>
      </c>
      <c r="C3302" t="inlineStr">
        <is>
          <t>20211040352</t>
        </is>
      </c>
      <c r="D3302" t="inlineStr">
        <is>
          <t xml:space="preserve"> AV. LOS FERROLES S/N (ANTES PLAYA OQUENDO S/N
 SUBPARCELA B) URB. SANTO DOMINGO DE BOCANEGRA 
CALLAO</t>
        </is>
      </c>
      <c r="E3302" t="inlineStr">
        <is>
          <t>Lima, 15 de agosto de 2025</t>
        </is>
      </c>
      <c r="F3302" t="inlineStr">
        <is>
          <t>la Venta</t>
        </is>
      </c>
      <c r="G3302" t="inlineStr">
        <is>
          <t>01</t>
        </is>
      </c>
      <c r="H3302" t="inlineStr">
        <is>
          <t>05 LBS</t>
        </is>
      </c>
      <c r="I3302" t="inlineStr">
        <is>
          <t>2030</t>
        </is>
      </c>
      <c r="J3302" t="n">
        <v>2025</v>
      </c>
      <c r="K3302" t="inlineStr">
        <is>
          <t>AGOSTO 2025</t>
        </is>
      </c>
      <c r="L3302" t="inlineStr">
        <is>
          <t>AGOSTO 2026</t>
        </is>
      </c>
      <c r="M3302" t="inlineStr">
        <is>
          <t xml:space="preserve">CO2 TIPO BC </t>
        </is>
      </c>
      <c r="N3302" t="inlineStr">
        <is>
          <t>03/000063</t>
        </is>
      </c>
      <c r="O3302" t="inlineStr">
        <is>
          <t>V</t>
        </is>
      </c>
      <c r="P3302">
        <f>TRIM(N3302)</f>
        <v/>
      </c>
    </row>
    <row r="3303">
      <c r="A3303" t="inlineStr">
        <is>
          <t>CO-002431</t>
        </is>
      </c>
      <c r="B3303" t="inlineStr">
        <is>
          <t>FERRETERIA FESMART</t>
        </is>
      </c>
      <c r="D3303" t="inlineStr">
        <is>
          <t>Jr Pimentel 260 San Felipe Comas, Perú</t>
        </is>
      </c>
      <c r="E3303" t="inlineStr">
        <is>
          <t>Lima, 12 de agosto de 2025</t>
        </is>
      </c>
      <c r="F3303" t="inlineStr">
        <is>
          <t>la Recarga y mantenimiento</t>
        </is>
      </c>
      <c r="G3303" t="inlineStr">
        <is>
          <t>01</t>
        </is>
      </c>
      <c r="H3303" t="inlineStr">
        <is>
          <t xml:space="preserve">06 KG </t>
        </is>
      </c>
      <c r="I3303" t="inlineStr">
        <is>
          <t>2030</t>
        </is>
      </c>
      <c r="J3303" t="n">
        <v>2015</v>
      </c>
      <c r="K3303" t="inlineStr">
        <is>
          <t>AGOSTO 2025</t>
        </is>
      </c>
      <c r="L3303" t="inlineStr">
        <is>
          <t>AGOSTO 2026</t>
        </is>
      </c>
      <c r="M3303" t="inlineStr">
        <is>
          <t xml:space="preserve">PQS TIPO ABC </t>
        </is>
      </c>
      <c r="N3303" t="inlineStr">
        <is>
          <t>001415</t>
        </is>
      </c>
      <c r="O3303" t="inlineStr">
        <is>
          <t>R</t>
        </is>
      </c>
      <c r="P3303">
        <f>TRIM(N3303)</f>
        <v/>
      </c>
    </row>
    <row r="3304">
      <c r="A3304" t="inlineStr">
        <is>
          <t>CO-002432</t>
        </is>
      </c>
      <c r="B3304" t="inlineStr">
        <is>
          <t>FERRETERIA FESMART</t>
        </is>
      </c>
      <c r="D3304" t="inlineStr">
        <is>
          <t>AYT-384</t>
        </is>
      </c>
      <c r="E3304" t="inlineStr">
        <is>
          <t>Lima, 12 de agosto de 2025</t>
        </is>
      </c>
      <c r="F3304" t="inlineStr">
        <is>
          <t>la Venta</t>
        </is>
      </c>
      <c r="G3304" t="inlineStr">
        <is>
          <t>01</t>
        </is>
      </c>
      <c r="H3304" t="inlineStr">
        <is>
          <t xml:space="preserve">02 KG </t>
        </is>
      </c>
      <c r="I3304" t="inlineStr">
        <is>
          <t>2028</t>
        </is>
      </c>
      <c r="J3304" t="n">
        <v>2023</v>
      </c>
      <c r="K3304" t="inlineStr">
        <is>
          <t>AGOSTO 2025</t>
        </is>
      </c>
      <c r="L3304" t="inlineStr">
        <is>
          <t>AGOSTO 2026</t>
        </is>
      </c>
      <c r="M3304" t="inlineStr">
        <is>
          <t xml:space="preserve">PQS TIPO ABC </t>
        </is>
      </c>
      <c r="N3304" t="inlineStr">
        <is>
          <t>000306</t>
        </is>
      </c>
      <c r="O3304" t="inlineStr">
        <is>
          <t>V</t>
        </is>
      </c>
      <c r="P3304">
        <f>TRIM(N3304)</f>
        <v/>
      </c>
    </row>
    <row r="3305">
      <c r="A3305" t="inlineStr">
        <is>
          <t>CO-002433</t>
        </is>
      </c>
      <c r="B3305" t="inlineStr">
        <is>
          <t xml:space="preserve">JOSE MELCHOR SANCHEZ HUAMAN </t>
        </is>
      </c>
      <c r="D3305" t="inlineStr">
        <is>
          <t xml:space="preserve">JR MARTE 107 AÑO NUEVO, COMAS </t>
        </is>
      </c>
      <c r="E3305" t="inlineStr">
        <is>
          <t>Lima, 13 de agosto de 2025</t>
        </is>
      </c>
      <c r="F3305" t="inlineStr">
        <is>
          <t>la Recarga y mantenimiento</t>
        </is>
      </c>
      <c r="G3305" t="inlineStr">
        <is>
          <t>01</t>
        </is>
      </c>
      <c r="H3305" t="inlineStr">
        <is>
          <t>06 KG</t>
        </is>
      </c>
      <c r="I3305" t="inlineStr">
        <is>
          <t>2027</t>
        </is>
      </c>
      <c r="J3305" t="n">
        <v>2022</v>
      </c>
      <c r="K3305" t="inlineStr">
        <is>
          <t>AGOSTO 2025</t>
        </is>
      </c>
      <c r="L3305" t="inlineStr">
        <is>
          <t>AGOSTO 2026</t>
        </is>
      </c>
      <c r="M3305" t="inlineStr">
        <is>
          <t xml:space="preserve">PQS TIPO ABC </t>
        </is>
      </c>
      <c r="N3305" t="inlineStr">
        <is>
          <t>01/422693</t>
        </is>
      </c>
      <c r="O3305" t="inlineStr">
        <is>
          <t>R</t>
        </is>
      </c>
      <c r="P3305">
        <f>TRIM(N3305)</f>
        <v/>
      </c>
    </row>
    <row r="3306">
      <c r="A3306" t="inlineStr">
        <is>
          <t>CO-002434</t>
        </is>
      </c>
      <c r="B3306" t="inlineStr">
        <is>
          <t>PERU MASIVO S.A - INFRAESTRUCTURA</t>
        </is>
      </c>
      <c r="C3306" t="inlineStr">
        <is>
          <t>20492392031</t>
        </is>
      </c>
      <c r="D3306" t="inlineStr">
        <is>
          <t>AV. LOS INCAS CDRA. 4 PATIO NORTE - COMAS</t>
        </is>
      </c>
      <c r="E3306" t="inlineStr">
        <is>
          <t>Lima, 13 de agosto de 2025</t>
        </is>
      </c>
      <c r="F3306" t="inlineStr">
        <is>
          <t>la Recarga y mantenimiento</t>
        </is>
      </c>
      <c r="G3306" t="inlineStr">
        <is>
          <t>01</t>
        </is>
      </c>
      <c r="H3306" t="inlineStr">
        <is>
          <t xml:space="preserve">06 KG </t>
        </is>
      </c>
      <c r="I3306" t="inlineStr">
        <is>
          <t>2028</t>
        </is>
      </c>
      <c r="J3306" t="n">
        <v>2009</v>
      </c>
      <c r="K3306" t="inlineStr">
        <is>
          <t>AGOSTO 2025</t>
        </is>
      </c>
      <c r="L3306" t="inlineStr">
        <is>
          <t>AGOSTO 2026</t>
        </is>
      </c>
      <c r="M3306" t="inlineStr">
        <is>
          <t>P.Q.S.  TIPO ABC  90% NACIONAL</t>
        </is>
      </c>
      <c r="N3306" t="inlineStr">
        <is>
          <t>346/001151</t>
        </is>
      </c>
      <c r="O3306" t="inlineStr">
        <is>
          <t>R</t>
        </is>
      </c>
      <c r="P3306">
        <f>TRIM(N3306)</f>
        <v/>
      </c>
    </row>
    <row r="3307">
      <c r="A3307" t="inlineStr">
        <is>
          <t>CO-002434</t>
        </is>
      </c>
      <c r="B3307" t="inlineStr">
        <is>
          <t>PERU MASIVO S.A - INFRAESTRUCTURA</t>
        </is>
      </c>
      <c r="C3307" t="inlineStr">
        <is>
          <t>20492392031</t>
        </is>
      </c>
      <c r="D3307" t="inlineStr">
        <is>
          <t>AV. LOS INCAS CDRA. 4 PATIO NORTE - COMAS</t>
        </is>
      </c>
      <c r="E3307" t="inlineStr">
        <is>
          <t>Lima, 13 de agosto de 2025</t>
        </is>
      </c>
      <c r="F3307" t="inlineStr">
        <is>
          <t>la Recarga y mantenimiento</t>
        </is>
      </c>
      <c r="G3307" t="inlineStr">
        <is>
          <t>02</t>
        </is>
      </c>
      <c r="H3307" t="inlineStr">
        <is>
          <t xml:space="preserve">06 KG </t>
        </is>
      </c>
      <c r="I3307" t="inlineStr">
        <is>
          <t>2028</t>
        </is>
      </c>
      <c r="J3307" t="n">
        <v>2010</v>
      </c>
      <c r="K3307" t="inlineStr">
        <is>
          <t>AGOSTO 2025</t>
        </is>
      </c>
      <c r="L3307" t="inlineStr">
        <is>
          <t>AGOSTO 2026</t>
        </is>
      </c>
      <c r="M3307" t="inlineStr">
        <is>
          <t>P.Q.S.  TIPO ABC  90% NACIONAL</t>
        </is>
      </c>
      <c r="N3307" t="inlineStr">
        <is>
          <t>15/002423</t>
        </is>
      </c>
      <c r="O3307" t="inlineStr">
        <is>
          <t>R</t>
        </is>
      </c>
      <c r="P3307">
        <f>TRIM(N3307)</f>
        <v/>
      </c>
    </row>
    <row r="3308">
      <c r="A3308" t="inlineStr">
        <is>
          <t>CO-002435</t>
        </is>
      </c>
      <c r="B3308" t="inlineStr">
        <is>
          <t>QUIMICOS GOICOCHEA S.A.C.</t>
        </is>
      </c>
      <c r="C3308" t="inlineStr">
        <is>
          <t>20211040352</t>
        </is>
      </c>
      <c r="D3308" t="inlineStr">
        <is>
          <t xml:space="preserve"> AV. LOS FERROLES S/N (ANTES PLAYA OQUENDO S/N
 SUBPARCELA B) URB. SANTO DOMINGO DE BOCANEGRA 
CALLAO</t>
        </is>
      </c>
      <c r="E3308" t="inlineStr">
        <is>
          <t>Lima, 21 de agosto de 2025</t>
        </is>
      </c>
      <c r="F3308" t="inlineStr">
        <is>
          <t>la Recarga y mantenimiento</t>
        </is>
      </c>
      <c r="G3308" t="inlineStr">
        <is>
          <t>01</t>
        </is>
      </c>
      <c r="H3308" t="inlineStr">
        <is>
          <t xml:space="preserve">02 KG </t>
        </is>
      </c>
      <c r="I3308" t="inlineStr">
        <is>
          <t>2027</t>
        </is>
      </c>
      <c r="J3308" t="n">
        <v>2022</v>
      </c>
      <c r="K3308" t="inlineStr">
        <is>
          <t>AGOSTO 2025</t>
        </is>
      </c>
      <c r="L3308" t="inlineStr">
        <is>
          <t>AGOSTO 2026</t>
        </is>
      </c>
      <c r="M3308" t="inlineStr">
        <is>
          <t xml:space="preserve">PQS TIPO ABC AL 75% </t>
        </is>
      </c>
      <c r="N3308" t="inlineStr">
        <is>
          <t>S/N/000182</t>
        </is>
      </c>
      <c r="O3308" t="inlineStr">
        <is>
          <t>R</t>
        </is>
      </c>
      <c r="P3308">
        <f>TRIM(N3308)</f>
        <v/>
      </c>
    </row>
    <row r="3309">
      <c r="A3309" t="inlineStr">
        <is>
          <t>CO-002435</t>
        </is>
      </c>
      <c r="B3309" t="inlineStr">
        <is>
          <t>QUIMICOS GOICOCHEA S.A.C.</t>
        </is>
      </c>
      <c r="C3309" t="inlineStr">
        <is>
          <t>20211040352</t>
        </is>
      </c>
      <c r="D3309" t="inlineStr">
        <is>
          <t xml:space="preserve"> AV. LOS FERROLES S/N (ANTES PLAYA OQUENDO S/N
 SUBPARCELA B) URB. SANTO DOMINGO DE BOCANEGRA 
CALLAO</t>
        </is>
      </c>
      <c r="E3309" t="inlineStr">
        <is>
          <t>Lima, 21 de agosto de 2025</t>
        </is>
      </c>
      <c r="F3309" t="inlineStr">
        <is>
          <t>la Recarga y mantenimiento</t>
        </is>
      </c>
      <c r="G3309" t="inlineStr">
        <is>
          <t>02</t>
        </is>
      </c>
      <c r="H3309" t="inlineStr">
        <is>
          <t xml:space="preserve">02 KG </t>
        </is>
      </c>
      <c r="I3309" t="inlineStr">
        <is>
          <t>2027</t>
        </is>
      </c>
      <c r="J3309" t="n">
        <v>2022</v>
      </c>
      <c r="K3309" t="inlineStr">
        <is>
          <t>AGOSTO 2025</t>
        </is>
      </c>
      <c r="L3309" t="inlineStr">
        <is>
          <t>AGOSTO 2026</t>
        </is>
      </c>
      <c r="M3309" t="inlineStr">
        <is>
          <t xml:space="preserve">PQS TIPO ABC AL 75% </t>
        </is>
      </c>
      <c r="N3309" t="inlineStr">
        <is>
          <t>S/N/000210</t>
        </is>
      </c>
      <c r="O3309" t="inlineStr">
        <is>
          <t>R</t>
        </is>
      </c>
      <c r="P3309">
        <f>TRIM(N3309)</f>
        <v/>
      </c>
    </row>
    <row r="3310">
      <c r="A3310" t="inlineStr">
        <is>
          <t>CO-002435</t>
        </is>
      </c>
      <c r="B3310" t="inlineStr">
        <is>
          <t>QUIMICOS GOICOCHEA S.A.C.</t>
        </is>
      </c>
      <c r="C3310" t="inlineStr">
        <is>
          <t>20211040352</t>
        </is>
      </c>
      <c r="D3310" t="inlineStr">
        <is>
          <t xml:space="preserve"> AV. LOS FERROLES S/N (ANTES PLAYA OQUENDO S/N
 SUBPARCELA B) URB. SANTO DOMINGO DE BOCANEGRA 
CALLAO</t>
        </is>
      </c>
      <c r="E3310" t="inlineStr">
        <is>
          <t>Lima, 21 de agosto de 2025</t>
        </is>
      </c>
      <c r="F3310" t="inlineStr">
        <is>
          <t>la Recarga y mantenimiento</t>
        </is>
      </c>
      <c r="G3310" t="inlineStr">
        <is>
          <t>03</t>
        </is>
      </c>
      <c r="H3310" t="inlineStr">
        <is>
          <t xml:space="preserve">02 KG </t>
        </is>
      </c>
      <c r="I3310" t="inlineStr">
        <is>
          <t>2027</t>
        </is>
      </c>
      <c r="J3310" t="n">
        <v>2022</v>
      </c>
      <c r="K3310" t="inlineStr">
        <is>
          <t>AGOSTO 2025</t>
        </is>
      </c>
      <c r="L3310" t="inlineStr">
        <is>
          <t>AGOSTO 2026</t>
        </is>
      </c>
      <c r="M3310" t="inlineStr">
        <is>
          <t xml:space="preserve">PQS TIPO ABC AL 75% </t>
        </is>
      </c>
      <c r="N3310" t="inlineStr">
        <is>
          <t>S/N/000018</t>
        </is>
      </c>
      <c r="O3310" t="inlineStr">
        <is>
          <t>R</t>
        </is>
      </c>
      <c r="P3310">
        <f>TRIM(N3310)</f>
        <v/>
      </c>
    </row>
    <row r="3311">
      <c r="A3311" t="inlineStr">
        <is>
          <t>CO-002436</t>
        </is>
      </c>
      <c r="B3311" t="inlineStr">
        <is>
          <t>VM SAN MIGUEL ARCANGEL E.I.R.L.</t>
        </is>
      </c>
      <c r="D3311" t="inlineStr">
        <is>
          <t>AV. TUPAC AMARU N° 7266 P.J AÑO NUEVO - COMAS</t>
        </is>
      </c>
      <c r="E3311" t="inlineStr">
        <is>
          <t>Lima, 21 de agosto de 2025</t>
        </is>
      </c>
      <c r="F3311" t="inlineStr">
        <is>
          <t>la Recarga y mantenimiento</t>
        </is>
      </c>
      <c r="G3311" t="inlineStr">
        <is>
          <t xml:space="preserve">01 </t>
        </is>
      </c>
      <c r="H3311" t="inlineStr">
        <is>
          <t>02 KG</t>
        </is>
      </c>
      <c r="I3311" t="inlineStr">
        <is>
          <t>2026</t>
        </is>
      </c>
      <c r="J3311" t="n">
        <v>2021</v>
      </c>
      <c r="K3311" t="inlineStr">
        <is>
          <t>AGOSTO 2025</t>
        </is>
      </c>
      <c r="L3311" t="inlineStr">
        <is>
          <t>AGOSTO 2026</t>
        </is>
      </c>
      <c r="M3311" t="inlineStr">
        <is>
          <t xml:space="preserve">PQS TIPO ABC </t>
        </is>
      </c>
      <c r="N3311" t="inlineStr">
        <is>
          <t>S/N/065876</t>
        </is>
      </c>
      <c r="O3311" t="inlineStr">
        <is>
          <t>R</t>
        </is>
      </c>
      <c r="P3311">
        <f>TRIM(N3311)</f>
        <v/>
      </c>
    </row>
    <row r="3312">
      <c r="A3312" t="inlineStr">
        <is>
          <t>CO-002437</t>
        </is>
      </c>
      <c r="B3312" t="inlineStr">
        <is>
          <t>QUIMICOS GOICOCHEA S.A.C.</t>
        </is>
      </c>
      <c r="C3312" t="inlineStr">
        <is>
          <t>20211040352</t>
        </is>
      </c>
      <c r="D3312" t="inlineStr">
        <is>
          <t xml:space="preserve"> AV. LOS FERROLES S/N (ANTES PLAYA OQUENDO S/N
 SUBPARCELA B) URB. SANTO DOMINGO DE BOCANEGRA 
CALLAO</t>
        </is>
      </c>
      <c r="E3312" t="inlineStr">
        <is>
          <t>Lima, 21 de agosto de 2025</t>
        </is>
      </c>
      <c r="F3312" t="inlineStr">
        <is>
          <t>la Venta</t>
        </is>
      </c>
      <c r="G3312" t="inlineStr">
        <is>
          <t>01</t>
        </is>
      </c>
      <c r="H3312" t="inlineStr">
        <is>
          <t xml:space="preserve">02 KG </t>
        </is>
      </c>
      <c r="I3312" t="inlineStr">
        <is>
          <t>2027</t>
        </is>
      </c>
      <c r="J3312" t="n">
        <v>2022</v>
      </c>
      <c r="K3312" t="inlineStr">
        <is>
          <t>AGOSTO 2025</t>
        </is>
      </c>
      <c r="L3312" t="inlineStr">
        <is>
          <t>AGOSTO 2026</t>
        </is>
      </c>
      <c r="M3312" t="inlineStr">
        <is>
          <t xml:space="preserve">PQS TIPO ABC AL 75% </t>
        </is>
      </c>
      <c r="N3312" t="inlineStr">
        <is>
          <t>S/N/000657</t>
        </is>
      </c>
      <c r="O3312" t="inlineStr">
        <is>
          <t>V</t>
        </is>
      </c>
      <c r="P3312">
        <f>TRIM(N3312)</f>
        <v/>
      </c>
    </row>
    <row r="3313">
      <c r="A3313" t="inlineStr">
        <is>
          <t>CO-002438</t>
        </is>
      </c>
      <c r="B3313" t="inlineStr">
        <is>
          <t>BRITISH AMERICAN HOSPITAL S.A. - CLINICA ANGLOAMERICANA</t>
        </is>
      </c>
      <c r="C3313" t="inlineStr">
        <is>
          <t>20107695584</t>
        </is>
      </c>
      <c r="D3313" t="inlineStr">
        <is>
          <t xml:space="preserve">JR ALFREDO SALAZAR 350 - SAN ISIDRO </t>
        </is>
      </c>
      <c r="E3313" t="inlineStr">
        <is>
          <t>Lima, 22 de agosto de 2025</t>
        </is>
      </c>
      <c r="F3313" t="inlineStr">
        <is>
          <t>la Recarga y mantenimiento</t>
        </is>
      </c>
      <c r="G3313" t="inlineStr">
        <is>
          <t>01</t>
        </is>
      </c>
      <c r="H3313" t="inlineStr">
        <is>
          <t xml:space="preserve">06 KG </t>
        </is>
      </c>
      <c r="I3313" t="inlineStr">
        <is>
          <t>2028</t>
        </is>
      </c>
      <c r="J3313" t="n">
        <v>2010</v>
      </c>
      <c r="K3313" t="inlineStr">
        <is>
          <t>AGOSTO 2025</t>
        </is>
      </c>
      <c r="L3313" t="inlineStr">
        <is>
          <t>AGOSTO 2026</t>
        </is>
      </c>
      <c r="M3313" t="inlineStr">
        <is>
          <t xml:space="preserve">PQS TIPO ABC AL 75%  </t>
        </is>
      </c>
      <c r="N3313" t="inlineStr">
        <is>
          <t>E-080/000044</t>
        </is>
      </c>
      <c r="O3313" t="inlineStr">
        <is>
          <t>R</t>
        </is>
      </c>
      <c r="P3313">
        <f>TRIM(N3313)</f>
        <v/>
      </c>
    </row>
    <row r="3314">
      <c r="A3314" t="inlineStr">
        <is>
          <t>CO-002438</t>
        </is>
      </c>
      <c r="B3314" t="inlineStr">
        <is>
          <t>BRITISH AMERICAN HOSPITAL S.A. - CLINICA ANGLOAMERICANA</t>
        </is>
      </c>
      <c r="C3314" t="inlineStr">
        <is>
          <t>20107695584</t>
        </is>
      </c>
      <c r="D3314" t="inlineStr">
        <is>
          <t xml:space="preserve">JR ALFREDO SALAZAR 350 - SAN ISIDRO </t>
        </is>
      </c>
      <c r="E3314" t="inlineStr">
        <is>
          <t>Lima, 22 de agosto de 2025</t>
        </is>
      </c>
      <c r="F3314" t="inlineStr">
        <is>
          <t>la Recarga y mantenimiento</t>
        </is>
      </c>
      <c r="G3314" t="inlineStr">
        <is>
          <t>02</t>
        </is>
      </c>
      <c r="H3314" t="inlineStr">
        <is>
          <t xml:space="preserve">06 KG </t>
        </is>
      </c>
      <c r="I3314" t="inlineStr">
        <is>
          <t>2027</t>
        </is>
      </c>
      <c r="J3314" t="n">
        <v>2016</v>
      </c>
      <c r="K3314" t="inlineStr">
        <is>
          <t>AGOSTO 2025</t>
        </is>
      </c>
      <c r="L3314" t="inlineStr">
        <is>
          <t>AGOSTO 2026</t>
        </is>
      </c>
      <c r="M3314" t="inlineStr">
        <is>
          <t xml:space="preserve">PQS TIPO ABC AL 75%  </t>
        </is>
      </c>
      <c r="N3314" t="inlineStr">
        <is>
          <t>E-060/006172</t>
        </is>
      </c>
      <c r="O3314" t="inlineStr">
        <is>
          <t>R</t>
        </is>
      </c>
      <c r="P3314">
        <f>TRIM(N3314)</f>
        <v/>
      </c>
    </row>
    <row r="3315">
      <c r="A3315" t="inlineStr">
        <is>
          <t>CO-002439</t>
        </is>
      </c>
      <c r="B3315" t="inlineStr">
        <is>
          <t>PERU MASIVO S.A - INFRAESTRUCTURA</t>
        </is>
      </c>
      <c r="C3315" t="inlineStr">
        <is>
          <t>20492392031</t>
        </is>
      </c>
      <c r="D3315" t="inlineStr">
        <is>
          <t>AV. LOS INCAS CDRA. 4 PATIO NORTE - COMAS</t>
        </is>
      </c>
      <c r="E3315" t="inlineStr">
        <is>
          <t>Lima, 27 de agosto de 2025</t>
        </is>
      </c>
      <c r="F3315" t="inlineStr">
        <is>
          <t>la Recarga y mantenimiento</t>
        </is>
      </c>
      <c r="G3315" t="inlineStr">
        <is>
          <t>01</t>
        </is>
      </c>
      <c r="H3315" t="inlineStr">
        <is>
          <t xml:space="preserve">06 KG </t>
        </is>
      </c>
      <c r="I3315" t="inlineStr">
        <is>
          <t>2029</t>
        </is>
      </c>
      <c r="J3315" t="n">
        <v>2012</v>
      </c>
      <c r="K3315" t="inlineStr">
        <is>
          <t>AGOSTO 2025</t>
        </is>
      </c>
      <c r="L3315" t="inlineStr">
        <is>
          <t>AGOSTO 2026</t>
        </is>
      </c>
      <c r="M3315" t="inlineStr">
        <is>
          <t>P.Q.S.  TIPO ABC  90% NACIONAL</t>
        </is>
      </c>
      <c r="N3315" t="inlineStr">
        <is>
          <t>50/003076</t>
        </is>
      </c>
      <c r="O3315" t="inlineStr">
        <is>
          <t>R</t>
        </is>
      </c>
      <c r="P3315">
        <f>TRIM(N3315)</f>
        <v/>
      </c>
    </row>
    <row r="3316">
      <c r="A3316" t="inlineStr">
        <is>
          <t>CO-002439</t>
        </is>
      </c>
      <c r="B3316" t="inlineStr">
        <is>
          <t>PERU MASIVO S.A - INFRAESTRUCTURA</t>
        </is>
      </c>
      <c r="C3316" t="inlineStr">
        <is>
          <t>20492392031</t>
        </is>
      </c>
      <c r="D3316" t="inlineStr">
        <is>
          <t>AV. LOS INCAS CDRA. 4 PATIO NORTE - COMAS</t>
        </is>
      </c>
      <c r="E3316" t="inlineStr">
        <is>
          <t>Lima, 27 de agosto de 2025</t>
        </is>
      </c>
      <c r="F3316" t="inlineStr">
        <is>
          <t>la Recarga y mantenimiento</t>
        </is>
      </c>
      <c r="G3316" t="inlineStr">
        <is>
          <t>02</t>
        </is>
      </c>
      <c r="H3316" t="inlineStr">
        <is>
          <t xml:space="preserve">06 KG </t>
        </is>
      </c>
      <c r="I3316" t="inlineStr">
        <is>
          <t>2028</t>
        </is>
      </c>
      <c r="J3316" t="n">
        <v>2010</v>
      </c>
      <c r="K3316" t="inlineStr">
        <is>
          <t>AGOSTO 2025</t>
        </is>
      </c>
      <c r="L3316" t="inlineStr">
        <is>
          <t>AGOSTO 2026</t>
        </is>
      </c>
      <c r="M3316" t="inlineStr">
        <is>
          <t>P.Q.S.  TIPO ABC  90% NACIONAL</t>
        </is>
      </c>
      <c r="N3316" t="inlineStr">
        <is>
          <t>270/000259</t>
        </is>
      </c>
      <c r="O3316" t="inlineStr">
        <is>
          <t>R</t>
        </is>
      </c>
      <c r="P3316">
        <f>TRIM(N3316)</f>
        <v/>
      </c>
    </row>
    <row r="3317">
      <c r="A3317" t="inlineStr">
        <is>
          <t>CO-002439</t>
        </is>
      </c>
      <c r="B3317" t="inlineStr">
        <is>
          <t>PERU MASIVO S.A - INFRAESTRUCTURA</t>
        </is>
      </c>
      <c r="C3317" t="inlineStr">
        <is>
          <t>20492392031</t>
        </is>
      </c>
      <c r="D3317" t="inlineStr">
        <is>
          <t>AV. LOS INCAS CDRA. 4 PATIO NORTE - COMAS</t>
        </is>
      </c>
      <c r="E3317" t="inlineStr">
        <is>
          <t>Lima, 27 de agosto de 2025</t>
        </is>
      </c>
      <c r="F3317" t="inlineStr">
        <is>
          <t>la Recarga y mantenimiento</t>
        </is>
      </c>
      <c r="G3317" t="inlineStr">
        <is>
          <t>03</t>
        </is>
      </c>
      <c r="H3317" t="inlineStr">
        <is>
          <t xml:space="preserve">06 KG </t>
        </is>
      </c>
      <c r="I3317" t="inlineStr">
        <is>
          <t>2029</t>
        </is>
      </c>
      <c r="J3317" t="n">
        <v>2019</v>
      </c>
      <c r="K3317" t="inlineStr">
        <is>
          <t>AGOSTO 2025</t>
        </is>
      </c>
      <c r="L3317" t="inlineStr">
        <is>
          <t>AGOSTO 2026</t>
        </is>
      </c>
      <c r="M3317" t="inlineStr">
        <is>
          <t>P.Q.S.  TIPO ABC  90% NACIONAL</t>
        </is>
      </c>
      <c r="N3317" t="inlineStr">
        <is>
          <t>165/001487</t>
        </is>
      </c>
      <c r="O3317" t="inlineStr">
        <is>
          <t>R</t>
        </is>
      </c>
      <c r="P3317">
        <f>TRIM(N3317)</f>
        <v/>
      </c>
    </row>
    <row r="3318">
      <c r="A3318" t="inlineStr">
        <is>
          <t>CO-002439</t>
        </is>
      </c>
      <c r="B3318" t="inlineStr">
        <is>
          <t>PERU MASIVO S.A - INFRAESTRUCTURA</t>
        </is>
      </c>
      <c r="C3318" t="inlineStr">
        <is>
          <t>20492392031</t>
        </is>
      </c>
      <c r="D3318" t="inlineStr">
        <is>
          <t>AV. LOS INCAS CDRA. 4 PATIO NORTE - COMAS</t>
        </is>
      </c>
      <c r="E3318" t="inlineStr">
        <is>
          <t>Lima, 27 de agosto de 2025</t>
        </is>
      </c>
      <c r="F3318" t="inlineStr">
        <is>
          <t>la Recarga y mantenimiento</t>
        </is>
      </c>
      <c r="G3318" t="inlineStr">
        <is>
          <t>04</t>
        </is>
      </c>
      <c r="H3318" t="inlineStr">
        <is>
          <t xml:space="preserve">06 KG </t>
        </is>
      </c>
      <c r="I3318" t="inlineStr">
        <is>
          <t>2028</t>
        </is>
      </c>
      <c r="J3318" t="n">
        <v>2010</v>
      </c>
      <c r="K3318" t="inlineStr">
        <is>
          <t>AGOSTO 2025</t>
        </is>
      </c>
      <c r="L3318" t="inlineStr">
        <is>
          <t>AGOSTO 2026</t>
        </is>
      </c>
      <c r="M3318" t="inlineStr">
        <is>
          <t>P.Q.S.  TIPO ABC  90% NACIONAL</t>
        </is>
      </c>
      <c r="N3318" t="inlineStr">
        <is>
          <t>213/000476</t>
        </is>
      </c>
      <c r="O3318" t="inlineStr">
        <is>
          <t>R</t>
        </is>
      </c>
      <c r="P3318">
        <f>TRIM(N3318)</f>
        <v/>
      </c>
    </row>
    <row r="3319">
      <c r="A3319" t="inlineStr">
        <is>
          <t>CO-002439</t>
        </is>
      </c>
      <c r="B3319" t="inlineStr">
        <is>
          <t>PERU MASIVO S.A - INFRAESTRUCTURA</t>
        </is>
      </c>
      <c r="C3319" t="inlineStr">
        <is>
          <t>20492392031</t>
        </is>
      </c>
      <c r="D3319" t="inlineStr">
        <is>
          <t>AV. LOS INCAS CDRA. 4 PATIO NORTE - COMAS</t>
        </is>
      </c>
      <c r="E3319" t="inlineStr">
        <is>
          <t>Lima, 27 de agosto de 2025</t>
        </is>
      </c>
      <c r="F3319" t="inlineStr">
        <is>
          <t>la Recarga y mantenimiento</t>
        </is>
      </c>
      <c r="G3319" t="inlineStr">
        <is>
          <t>05</t>
        </is>
      </c>
      <c r="H3319" t="inlineStr">
        <is>
          <t xml:space="preserve">06 KG </t>
        </is>
      </c>
      <c r="I3319" t="inlineStr">
        <is>
          <t>2028</t>
        </is>
      </c>
      <c r="J3319" t="n">
        <v>2010</v>
      </c>
      <c r="K3319" t="inlineStr">
        <is>
          <t>AGOSTO 2025</t>
        </is>
      </c>
      <c r="L3319" t="inlineStr">
        <is>
          <t>AGOSTO 2026</t>
        </is>
      </c>
      <c r="M3319" t="inlineStr">
        <is>
          <t>P.Q.S.  TIPO ABC  90% NACIONAL</t>
        </is>
      </c>
      <c r="N3319" t="inlineStr">
        <is>
          <t>168/000005</t>
        </is>
      </c>
      <c r="O3319" t="inlineStr">
        <is>
          <t>R</t>
        </is>
      </c>
      <c r="P3319">
        <f>TRIM(N3319)</f>
        <v/>
      </c>
    </row>
    <row r="3320">
      <c r="A3320" t="inlineStr">
        <is>
          <t>CO-002439</t>
        </is>
      </c>
      <c r="B3320" t="inlineStr">
        <is>
          <t>PERU MASIVO S.A - INFRAESTRUCTURA</t>
        </is>
      </c>
      <c r="C3320" t="inlineStr">
        <is>
          <t>20492392031</t>
        </is>
      </c>
      <c r="D3320" t="inlineStr">
        <is>
          <t>AV. LOS INCAS CDRA. 4 PATIO NORTE - COMAS</t>
        </is>
      </c>
      <c r="E3320" t="inlineStr">
        <is>
          <t>Lima, 27 de agosto de 2025</t>
        </is>
      </c>
      <c r="F3320" t="inlineStr">
        <is>
          <t>la Recarga y mantenimiento</t>
        </is>
      </c>
      <c r="G3320" t="inlineStr">
        <is>
          <t>06</t>
        </is>
      </c>
      <c r="H3320" t="inlineStr">
        <is>
          <t xml:space="preserve">06 KG </t>
        </is>
      </c>
      <c r="I3320" t="inlineStr">
        <is>
          <t>2028</t>
        </is>
      </c>
      <c r="J3320" t="n">
        <v>2010</v>
      </c>
      <c r="K3320" t="inlineStr">
        <is>
          <t>AGOSTO 2025</t>
        </is>
      </c>
      <c r="L3320" t="inlineStr">
        <is>
          <t>AGOSTO 2026</t>
        </is>
      </c>
      <c r="M3320" t="inlineStr">
        <is>
          <t>P.Q.S.  TIPO ABC  90% NACIONAL</t>
        </is>
      </c>
      <c r="N3320" t="inlineStr">
        <is>
          <t>151/000124</t>
        </is>
      </c>
      <c r="O3320" t="inlineStr">
        <is>
          <t>R</t>
        </is>
      </c>
      <c r="P3320">
        <f>TRIM(N3320)</f>
        <v/>
      </c>
    </row>
    <row r="3321">
      <c r="A3321" t="inlineStr">
        <is>
          <t>CO-002439</t>
        </is>
      </c>
      <c r="B3321" t="inlineStr">
        <is>
          <t>PERU MASIVO S.A - INFRAESTRUCTURA</t>
        </is>
      </c>
      <c r="C3321" t="inlineStr">
        <is>
          <t>20492392031</t>
        </is>
      </c>
      <c r="D3321" t="inlineStr">
        <is>
          <t>AV. LOS INCAS CDRA. 4 PATIO NORTE - COMAS</t>
        </is>
      </c>
      <c r="E3321" t="inlineStr">
        <is>
          <t>Lima, 27 de agosto de 2025</t>
        </is>
      </c>
      <c r="F3321" t="inlineStr">
        <is>
          <t>la Recarga y mantenimiento</t>
        </is>
      </c>
      <c r="G3321" t="inlineStr">
        <is>
          <t>07</t>
        </is>
      </c>
      <c r="H3321" t="inlineStr">
        <is>
          <t xml:space="preserve">06 KG </t>
        </is>
      </c>
      <c r="I3321" t="inlineStr">
        <is>
          <t>2028</t>
        </is>
      </c>
      <c r="J3321" t="n">
        <v>2010</v>
      </c>
      <c r="K3321" t="inlineStr">
        <is>
          <t>AGOSTO 2025</t>
        </is>
      </c>
      <c r="L3321" t="inlineStr">
        <is>
          <t>AGOSTO 2026</t>
        </is>
      </c>
      <c r="M3321" t="inlineStr">
        <is>
          <t>P.Q.S.  TIPO ABC  90% NACIONAL</t>
        </is>
      </c>
      <c r="N3321" t="inlineStr">
        <is>
          <t>169/000005</t>
        </is>
      </c>
      <c r="O3321" t="inlineStr">
        <is>
          <t>R</t>
        </is>
      </c>
      <c r="P3321">
        <f>TRIM(N3321)</f>
        <v/>
      </c>
    </row>
    <row r="3322">
      <c r="A3322" t="inlineStr">
        <is>
          <t>CO-002439</t>
        </is>
      </c>
      <c r="B3322" t="inlineStr">
        <is>
          <t>PERU MASIVO S.A - INFRAESTRUCTURA</t>
        </is>
      </c>
      <c r="C3322" t="inlineStr">
        <is>
          <t>20492392031</t>
        </is>
      </c>
      <c r="D3322" t="inlineStr">
        <is>
          <t>AV. LOS INCAS CDRA. 4 PATIO NORTE - COMAS</t>
        </is>
      </c>
      <c r="E3322" t="inlineStr">
        <is>
          <t>Lima, 27 de agosto de 2025</t>
        </is>
      </c>
      <c r="F3322" t="inlineStr">
        <is>
          <t>la Recarga y mantenimiento</t>
        </is>
      </c>
      <c r="G3322" t="inlineStr">
        <is>
          <t>08</t>
        </is>
      </c>
      <c r="H3322" t="inlineStr">
        <is>
          <t xml:space="preserve">06 KG </t>
        </is>
      </c>
      <c r="I3322" t="inlineStr">
        <is>
          <t>2028</t>
        </is>
      </c>
      <c r="J3322" t="n">
        <v>2010</v>
      </c>
      <c r="K3322" t="inlineStr">
        <is>
          <t>AGOSTO 2025</t>
        </is>
      </c>
      <c r="L3322" t="inlineStr">
        <is>
          <t>AGOSTO 2026</t>
        </is>
      </c>
      <c r="M3322" t="inlineStr">
        <is>
          <t>P.Q.S.  TIPO ABC  90% NACIONAL</t>
        </is>
      </c>
      <c r="N3322" t="inlineStr">
        <is>
          <t>237/002081</t>
        </is>
      </c>
      <c r="O3322" t="inlineStr">
        <is>
          <t>R</t>
        </is>
      </c>
      <c r="P3322">
        <f>TRIM(N3322)</f>
        <v/>
      </c>
    </row>
    <row r="3323">
      <c r="A3323" t="inlineStr">
        <is>
          <t>CO-002439</t>
        </is>
      </c>
      <c r="B3323" t="inlineStr">
        <is>
          <t>PERU MASIVO S.A - INFRAESTRUCTURA</t>
        </is>
      </c>
      <c r="C3323" t="inlineStr">
        <is>
          <t>20492392031</t>
        </is>
      </c>
      <c r="D3323" t="inlineStr">
        <is>
          <t>AV. LOS INCAS CDRA. 4 PATIO NORTE - COMAS</t>
        </is>
      </c>
      <c r="E3323" t="inlineStr">
        <is>
          <t>Lima, 27 de agosto de 2025</t>
        </is>
      </c>
      <c r="F3323" t="inlineStr">
        <is>
          <t>la Recarga y mantenimiento</t>
        </is>
      </c>
      <c r="G3323" t="inlineStr">
        <is>
          <t>09</t>
        </is>
      </c>
      <c r="H3323" t="inlineStr">
        <is>
          <t xml:space="preserve">06 KG </t>
        </is>
      </c>
      <c r="I3323" t="inlineStr">
        <is>
          <t>2028</t>
        </is>
      </c>
      <c r="J3323" t="n">
        <v>2013</v>
      </c>
      <c r="K3323" t="inlineStr">
        <is>
          <t>AGOSTO 2025</t>
        </is>
      </c>
      <c r="L3323" t="inlineStr">
        <is>
          <t>AGOSTO 2026</t>
        </is>
      </c>
      <c r="M3323" t="inlineStr">
        <is>
          <t>P.Q.S.  TIPO ABC  90% NACIONAL</t>
        </is>
      </c>
      <c r="N3323" t="inlineStr">
        <is>
          <t>351/017130</t>
        </is>
      </c>
      <c r="O3323" t="inlineStr">
        <is>
          <t>R</t>
        </is>
      </c>
      <c r="P3323">
        <f>TRIM(N3323)</f>
        <v/>
      </c>
    </row>
    <row r="3324">
      <c r="A3324" t="inlineStr">
        <is>
          <t>CO-002439</t>
        </is>
      </c>
      <c r="B3324" t="inlineStr">
        <is>
          <t>PERU MASIVO S.A - INFRAESTRUCTURA</t>
        </is>
      </c>
      <c r="C3324" t="inlineStr">
        <is>
          <t>20492392031</t>
        </is>
      </c>
      <c r="D3324" t="inlineStr">
        <is>
          <t>AV. LOS INCAS CDRA. 4 PATIO NORTE - COMAS</t>
        </is>
      </c>
      <c r="E3324" t="inlineStr">
        <is>
          <t>Lima, 27 de agosto de 2025</t>
        </is>
      </c>
      <c r="F3324" t="inlineStr">
        <is>
          <t>la Recarga y mantenimiento</t>
        </is>
      </c>
      <c r="G3324" t="n">
        <v>10</v>
      </c>
      <c r="H3324" t="inlineStr">
        <is>
          <t xml:space="preserve">06 KG </t>
        </is>
      </c>
      <c r="I3324" t="inlineStr">
        <is>
          <t>2029</t>
        </is>
      </c>
      <c r="J3324" t="n">
        <v>2019</v>
      </c>
      <c r="K3324" t="inlineStr">
        <is>
          <t>AGOSTO 2025</t>
        </is>
      </c>
      <c r="L3324" t="inlineStr">
        <is>
          <t>AGOSTO 2026</t>
        </is>
      </c>
      <c r="M3324" t="inlineStr">
        <is>
          <t>P.Q.S.  TIPO ABC  90% NACIONAL</t>
        </is>
      </c>
      <c r="N3324" t="inlineStr">
        <is>
          <t>170/001745</t>
        </is>
      </c>
      <c r="O3324" t="inlineStr">
        <is>
          <t>R</t>
        </is>
      </c>
      <c r="P3324">
        <f>TRIM(N3324)</f>
        <v/>
      </c>
    </row>
    <row r="3325">
      <c r="A3325" t="inlineStr">
        <is>
          <t>CO-002439</t>
        </is>
      </c>
      <c r="B3325" t="inlineStr">
        <is>
          <t>PERU MASIVO S.A - INFRAESTRUCTURA</t>
        </is>
      </c>
      <c r="C3325" t="inlineStr">
        <is>
          <t>20492392031</t>
        </is>
      </c>
      <c r="D3325" t="inlineStr">
        <is>
          <t>AV. LOS INCAS CDRA. 4 PATIO NORTE - COMAS</t>
        </is>
      </c>
      <c r="E3325" t="inlineStr">
        <is>
          <t>Lima, 27 de agosto de 2025</t>
        </is>
      </c>
      <c r="F3325" t="inlineStr">
        <is>
          <t>la Recarga y mantenimiento</t>
        </is>
      </c>
      <c r="G3325" t="n">
        <v>11</v>
      </c>
      <c r="H3325" t="inlineStr">
        <is>
          <t xml:space="preserve">06 KG </t>
        </is>
      </c>
      <c r="I3325" t="inlineStr">
        <is>
          <t>2028</t>
        </is>
      </c>
      <c r="J3325" t="n">
        <v>2009</v>
      </c>
      <c r="K3325" t="inlineStr">
        <is>
          <t>AGOSTO 2025</t>
        </is>
      </c>
      <c r="L3325" t="inlineStr">
        <is>
          <t>AGOSTO 2026</t>
        </is>
      </c>
      <c r="M3325" t="inlineStr">
        <is>
          <t>P.Q.S.  TIPO ABC  90% NACIONAL</t>
        </is>
      </c>
      <c r="N3325" t="inlineStr">
        <is>
          <t>350/000586</t>
        </is>
      </c>
      <c r="O3325" t="inlineStr">
        <is>
          <t>R</t>
        </is>
      </c>
      <c r="P3325">
        <f>TRIM(N3325)</f>
        <v/>
      </c>
    </row>
    <row r="3326">
      <c r="A3326" t="inlineStr">
        <is>
          <t>CO-002439</t>
        </is>
      </c>
      <c r="B3326" t="inlineStr">
        <is>
          <t>PERU MASIVO S.A - INFRAESTRUCTURA</t>
        </is>
      </c>
      <c r="C3326" t="inlineStr">
        <is>
          <t>20492392031</t>
        </is>
      </c>
      <c r="D3326" t="inlineStr">
        <is>
          <t>AV. LOS INCAS CDRA. 4 PATIO NORTE - COMAS</t>
        </is>
      </c>
      <c r="E3326" t="inlineStr">
        <is>
          <t>Lima, 27 de agosto de 2025</t>
        </is>
      </c>
      <c r="F3326" t="inlineStr">
        <is>
          <t>la Recarga y mantenimiento</t>
        </is>
      </c>
      <c r="G3326" t="n">
        <v>12</v>
      </c>
      <c r="H3326" t="inlineStr">
        <is>
          <t xml:space="preserve">06 KG </t>
        </is>
      </c>
      <c r="I3326" t="inlineStr">
        <is>
          <t>2028</t>
        </is>
      </c>
      <c r="J3326" t="n">
        <v>2009</v>
      </c>
      <c r="K3326" t="inlineStr">
        <is>
          <t>AGOSTO 2025</t>
        </is>
      </c>
      <c r="L3326" t="inlineStr">
        <is>
          <t>AGOSTO 2026</t>
        </is>
      </c>
      <c r="M3326" t="inlineStr">
        <is>
          <t>P.Q.S.  TIPO ABC  90% NACIONAL</t>
        </is>
      </c>
      <c r="N3326" t="inlineStr">
        <is>
          <t>205/000691</t>
        </is>
      </c>
      <c r="O3326" t="inlineStr">
        <is>
          <t>R</t>
        </is>
      </c>
      <c r="P3326">
        <f>TRIM(N3326)</f>
        <v/>
      </c>
    </row>
    <row r="3327">
      <c r="A3327" t="inlineStr">
        <is>
          <t>CO-002440</t>
        </is>
      </c>
      <c r="B3327" t="inlineStr">
        <is>
          <t>PERU MASIVO S.A - BUSES</t>
        </is>
      </c>
      <c r="C3327" t="inlineStr">
        <is>
          <t>20492392031</t>
        </is>
      </c>
      <c r="D3327" t="inlineStr">
        <is>
          <t>AV. LOS INCAS CDRA. 4 PATIO NORTE - COMAS</t>
        </is>
      </c>
      <c r="E3327" t="inlineStr">
        <is>
          <t>Lima, 29 de agosto de 2025</t>
        </is>
      </c>
      <c r="F3327" t="inlineStr">
        <is>
          <t>la Recarga y mantenimiento</t>
        </is>
      </c>
      <c r="G3327" t="inlineStr">
        <is>
          <t>01</t>
        </is>
      </c>
      <c r="H3327" t="inlineStr">
        <is>
          <t xml:space="preserve">06 KG </t>
        </is>
      </c>
      <c r="I3327" t="inlineStr">
        <is>
          <t>2028</t>
        </is>
      </c>
      <c r="J3327" t="n">
        <v>2009</v>
      </c>
      <c r="K3327" t="inlineStr">
        <is>
          <t>AGOSTO 2025</t>
        </is>
      </c>
      <c r="L3327" t="inlineStr">
        <is>
          <t>AGOSTO 2026</t>
        </is>
      </c>
      <c r="M3327" t="inlineStr">
        <is>
          <t>P.Q.S.  TIPO ABC  90% NACIONAL</t>
        </is>
      </c>
      <c r="N3327" t="inlineStr">
        <is>
          <t>65/002623</t>
        </is>
      </c>
      <c r="O3327" t="inlineStr">
        <is>
          <t>R</t>
        </is>
      </c>
      <c r="P3327">
        <f>TRIM(N3327)</f>
        <v/>
      </c>
    </row>
    <row r="3328">
      <c r="A3328" t="inlineStr">
        <is>
          <t>CO-002440</t>
        </is>
      </c>
      <c r="B3328" t="inlineStr">
        <is>
          <t>PERU MASIVO S.A - BUSES</t>
        </is>
      </c>
      <c r="C3328" t="inlineStr">
        <is>
          <t>20492392031</t>
        </is>
      </c>
      <c r="D3328" t="inlineStr">
        <is>
          <t>AV. LOS INCAS CDRA. 4 PATIO NORTE - COMAS</t>
        </is>
      </c>
      <c r="E3328" t="inlineStr">
        <is>
          <t>Lima, 29 de agosto de 2025</t>
        </is>
      </c>
      <c r="F3328" t="inlineStr">
        <is>
          <t>la Recarga y mantenimiento</t>
        </is>
      </c>
      <c r="G3328" t="inlineStr">
        <is>
          <t>02</t>
        </is>
      </c>
      <c r="H3328" t="inlineStr">
        <is>
          <t xml:space="preserve">06 KG </t>
        </is>
      </c>
      <c r="I3328" t="inlineStr">
        <is>
          <t>2028</t>
        </is>
      </c>
      <c r="J3328" t="n">
        <v>2009</v>
      </c>
      <c r="K3328" t="inlineStr">
        <is>
          <t>AGOSTO 2025</t>
        </is>
      </c>
      <c r="L3328" t="inlineStr">
        <is>
          <t>AGOSTO 2026</t>
        </is>
      </c>
      <c r="M3328" t="inlineStr">
        <is>
          <t>P.Q.S.  TIPO ABC  90% NACIONAL</t>
        </is>
      </c>
      <c r="N3328" t="inlineStr">
        <is>
          <t>178/001096</t>
        </is>
      </c>
      <c r="O3328" t="inlineStr">
        <is>
          <t>R</t>
        </is>
      </c>
      <c r="P3328">
        <f>TRIM(N3328)</f>
        <v/>
      </c>
    </row>
    <row r="3329">
      <c r="A3329" t="inlineStr">
        <is>
          <t>CO-002440</t>
        </is>
      </c>
      <c r="B3329" t="inlineStr">
        <is>
          <t>PERU MASIVO S.A - BUSES</t>
        </is>
      </c>
      <c r="C3329" t="inlineStr">
        <is>
          <t>20492392031</t>
        </is>
      </c>
      <c r="D3329" t="inlineStr">
        <is>
          <t>AV. LOS INCAS CDRA. 4 PATIO NORTE - COMAS</t>
        </is>
      </c>
      <c r="E3329" t="inlineStr">
        <is>
          <t>Lima, 29 de agosto de 2025</t>
        </is>
      </c>
      <c r="F3329" t="inlineStr">
        <is>
          <t>la Recarga y mantenimiento</t>
        </is>
      </c>
      <c r="G3329" t="inlineStr">
        <is>
          <t>03</t>
        </is>
      </c>
      <c r="H3329" t="inlineStr">
        <is>
          <t xml:space="preserve">06 KG </t>
        </is>
      </c>
      <c r="I3329" t="inlineStr">
        <is>
          <t>2028</t>
        </is>
      </c>
      <c r="J3329" t="n">
        <v>2010</v>
      </c>
      <c r="K3329" t="inlineStr">
        <is>
          <t>AGOSTO 2025</t>
        </is>
      </c>
      <c r="L3329" t="inlineStr">
        <is>
          <t>AGOSTO 2026</t>
        </is>
      </c>
      <c r="M3329" t="inlineStr">
        <is>
          <t>P.Q.S.  TIPO ABC  90% NACIONAL</t>
        </is>
      </c>
      <c r="N3329" t="inlineStr">
        <is>
          <t>360/001989</t>
        </is>
      </c>
      <c r="O3329" t="inlineStr">
        <is>
          <t>R</t>
        </is>
      </c>
      <c r="P3329">
        <f>TRIM(N3329)</f>
        <v/>
      </c>
    </row>
    <row r="3330">
      <c r="A3330" t="inlineStr">
        <is>
          <t>CO-002440</t>
        </is>
      </c>
      <c r="B3330" t="inlineStr">
        <is>
          <t>PERU MASIVO S.A - BUSES</t>
        </is>
      </c>
      <c r="C3330" t="inlineStr">
        <is>
          <t>20492392031</t>
        </is>
      </c>
      <c r="D3330" t="inlineStr">
        <is>
          <t>AV. LOS INCAS CDRA. 4 PATIO NORTE - COMAS</t>
        </is>
      </c>
      <c r="E3330" t="inlineStr">
        <is>
          <t>Lima, 29 de agosto de 2025</t>
        </is>
      </c>
      <c r="F3330" t="inlineStr">
        <is>
          <t>la Recarga y mantenimiento</t>
        </is>
      </c>
      <c r="G3330" t="inlineStr">
        <is>
          <t>04</t>
        </is>
      </c>
      <c r="H3330" t="inlineStr">
        <is>
          <t xml:space="preserve">06 KG </t>
        </is>
      </c>
      <c r="I3330" t="inlineStr">
        <is>
          <t>2028</t>
        </is>
      </c>
      <c r="J3330" t="n">
        <v>2009</v>
      </c>
      <c r="K3330" t="inlineStr">
        <is>
          <t>AGOSTO 2025</t>
        </is>
      </c>
      <c r="L3330" t="inlineStr">
        <is>
          <t>AGOSTO 2026</t>
        </is>
      </c>
      <c r="M3330" t="inlineStr">
        <is>
          <t>P.Q.S.  TIPO ABC  90% NACIONAL</t>
        </is>
      </c>
      <c r="N3330" t="inlineStr">
        <is>
          <t>101/001632</t>
        </is>
      </c>
      <c r="O3330" t="inlineStr">
        <is>
          <t>R</t>
        </is>
      </c>
      <c r="P3330">
        <f>TRIM(N3330)</f>
        <v/>
      </c>
    </row>
    <row r="3331">
      <c r="A3331" t="inlineStr">
        <is>
          <t>CO-002440</t>
        </is>
      </c>
      <c r="B3331" t="inlineStr">
        <is>
          <t>PERU MASIVO S.A - BUSES</t>
        </is>
      </c>
      <c r="C3331" t="inlineStr">
        <is>
          <t>20492392031</t>
        </is>
      </c>
      <c r="D3331" t="inlineStr">
        <is>
          <t>AV. LOS INCAS CDRA. 4 PATIO NORTE - COMAS</t>
        </is>
      </c>
      <c r="E3331" t="inlineStr">
        <is>
          <t>Lima, 29 de agosto de 2025</t>
        </is>
      </c>
      <c r="F3331" t="inlineStr">
        <is>
          <t>la Recarga y mantenimiento</t>
        </is>
      </c>
      <c r="G3331" t="inlineStr">
        <is>
          <t>05</t>
        </is>
      </c>
      <c r="H3331" t="inlineStr">
        <is>
          <t xml:space="preserve">06 KG </t>
        </is>
      </c>
      <c r="I3331" t="inlineStr">
        <is>
          <t>2028</t>
        </is>
      </c>
      <c r="J3331" t="n">
        <v>2010</v>
      </c>
      <c r="K3331" t="inlineStr">
        <is>
          <t>AGOSTO 2025</t>
        </is>
      </c>
      <c r="L3331" t="inlineStr">
        <is>
          <t>AGOSTO 2026</t>
        </is>
      </c>
      <c r="M3331" t="inlineStr">
        <is>
          <t>P.Q.S.  TIPO ABC  90% NACIONAL</t>
        </is>
      </c>
      <c r="N3331" t="inlineStr">
        <is>
          <t>188/005496</t>
        </is>
      </c>
      <c r="O3331" t="inlineStr">
        <is>
          <t>R</t>
        </is>
      </c>
      <c r="P3331">
        <f>TRIM(N3331)</f>
        <v/>
      </c>
    </row>
    <row r="3332">
      <c r="A3332" t="inlineStr">
        <is>
          <t>CO-002440</t>
        </is>
      </c>
      <c r="B3332" t="inlineStr">
        <is>
          <t>PERU MASIVO S.A - BUSES</t>
        </is>
      </c>
      <c r="C3332" t="inlineStr">
        <is>
          <t>20492392031</t>
        </is>
      </c>
      <c r="D3332" t="inlineStr">
        <is>
          <t>AV. LOS INCAS CDRA. 4 PATIO NORTE - COMAS</t>
        </is>
      </c>
      <c r="E3332" t="inlineStr">
        <is>
          <t>Lima, 29 de agosto de 2025</t>
        </is>
      </c>
      <c r="F3332" t="inlineStr">
        <is>
          <t>la Recarga y mantenimiento</t>
        </is>
      </c>
      <c r="G3332" t="inlineStr">
        <is>
          <t>06</t>
        </is>
      </c>
      <c r="H3332" t="inlineStr">
        <is>
          <t xml:space="preserve">06 KG </t>
        </is>
      </c>
      <c r="I3332" t="inlineStr">
        <is>
          <t>2028</t>
        </is>
      </c>
      <c r="J3332" t="n">
        <v>2009</v>
      </c>
      <c r="K3332" t="inlineStr">
        <is>
          <t>AGOSTO 2025</t>
        </is>
      </c>
      <c r="L3332" t="inlineStr">
        <is>
          <t>AGOSTO 2026</t>
        </is>
      </c>
      <c r="M3332" t="inlineStr">
        <is>
          <t>P.Q.S.  TIPO ABC  90% NACIONAL</t>
        </is>
      </c>
      <c r="N3332" t="inlineStr">
        <is>
          <t>380/000380</t>
        </is>
      </c>
      <c r="O3332" t="inlineStr">
        <is>
          <t>R</t>
        </is>
      </c>
      <c r="P3332">
        <f>TRIM(N3332)</f>
        <v/>
      </c>
    </row>
    <row r="3333">
      <c r="A3333" t="inlineStr">
        <is>
          <t>CO-002440</t>
        </is>
      </c>
      <c r="B3333" t="inlineStr">
        <is>
          <t>PERU MASIVO S.A - BUSES</t>
        </is>
      </c>
      <c r="C3333" t="inlineStr">
        <is>
          <t>20492392031</t>
        </is>
      </c>
      <c r="D3333" t="inlineStr">
        <is>
          <t>AV. LOS INCAS CDRA. 4 PATIO NORTE - COMAS</t>
        </is>
      </c>
      <c r="E3333" t="inlineStr">
        <is>
          <t>Lima, 29 de agosto de 2025</t>
        </is>
      </c>
      <c r="F3333" t="inlineStr">
        <is>
          <t>la Recarga y mantenimiento</t>
        </is>
      </c>
      <c r="G3333" t="inlineStr">
        <is>
          <t>07</t>
        </is>
      </c>
      <c r="H3333" t="inlineStr">
        <is>
          <t xml:space="preserve">06 KG </t>
        </is>
      </c>
      <c r="I3333" t="inlineStr">
        <is>
          <t>2028</t>
        </is>
      </c>
      <c r="J3333" t="n">
        <v>2009</v>
      </c>
      <c r="K3333" t="inlineStr">
        <is>
          <t>AGOSTO 2025</t>
        </is>
      </c>
      <c r="L3333" t="inlineStr">
        <is>
          <t>AGOSTO 2026</t>
        </is>
      </c>
      <c r="M3333" t="inlineStr">
        <is>
          <t>P.Q.S.  TIPO ABC  90% NACIONAL</t>
        </is>
      </c>
      <c r="N3333" t="inlineStr">
        <is>
          <t>04/001724</t>
        </is>
      </c>
      <c r="O3333" t="inlineStr">
        <is>
          <t>R</t>
        </is>
      </c>
      <c r="P3333">
        <f>TRIM(N3333)</f>
        <v/>
      </c>
    </row>
    <row r="3334">
      <c r="A3334" t="inlineStr">
        <is>
          <t>CO-002440</t>
        </is>
      </c>
      <c r="B3334" t="inlineStr">
        <is>
          <t>PERU MASIVO S.A - BUSES</t>
        </is>
      </c>
      <c r="C3334" t="inlineStr">
        <is>
          <t>20492392031</t>
        </is>
      </c>
      <c r="D3334" t="inlineStr">
        <is>
          <t>AV. LOS INCAS CDRA. 4 PATIO NORTE - COMAS</t>
        </is>
      </c>
      <c r="E3334" t="inlineStr">
        <is>
          <t>Lima, 29 de agosto de 2025</t>
        </is>
      </c>
      <c r="F3334" t="inlineStr">
        <is>
          <t>la Recarga y mantenimiento</t>
        </is>
      </c>
      <c r="G3334" t="inlineStr">
        <is>
          <t>08</t>
        </is>
      </c>
      <c r="H3334" t="inlineStr">
        <is>
          <t xml:space="preserve">06 KG </t>
        </is>
      </c>
      <c r="I3334" t="inlineStr">
        <is>
          <t>2028</t>
        </is>
      </c>
      <c r="J3334" t="n">
        <v>2010</v>
      </c>
      <c r="K3334" t="inlineStr">
        <is>
          <t>AGOSTO 2025</t>
        </is>
      </c>
      <c r="L3334" t="inlineStr">
        <is>
          <t>AGOSTO 2026</t>
        </is>
      </c>
      <c r="M3334" t="inlineStr">
        <is>
          <t>P.Q.S.  TIPO ABC  90% NACIONAL</t>
        </is>
      </c>
      <c r="N3334" t="inlineStr">
        <is>
          <t>272/000558</t>
        </is>
      </c>
      <c r="O3334" t="inlineStr">
        <is>
          <t>R</t>
        </is>
      </c>
      <c r="P3334">
        <f>TRIM(N3334)</f>
        <v/>
      </c>
    </row>
    <row r="3335">
      <c r="A3335" t="inlineStr">
        <is>
          <t>CO-002440</t>
        </is>
      </c>
      <c r="B3335" t="inlineStr">
        <is>
          <t>PERU MASIVO S.A - BUSES</t>
        </is>
      </c>
      <c r="C3335" t="inlineStr">
        <is>
          <t>20492392031</t>
        </is>
      </c>
      <c r="D3335" t="inlineStr">
        <is>
          <t>AV. LOS INCAS CDRA. 4 PATIO NORTE - COMAS</t>
        </is>
      </c>
      <c r="E3335" t="inlineStr">
        <is>
          <t>Lima, 29 de agosto de 2025</t>
        </is>
      </c>
      <c r="F3335" t="inlineStr">
        <is>
          <t>la Recarga y mantenimiento</t>
        </is>
      </c>
      <c r="G3335" t="inlineStr">
        <is>
          <t>09</t>
        </is>
      </c>
      <c r="H3335" t="inlineStr">
        <is>
          <t xml:space="preserve">06 KG </t>
        </is>
      </c>
      <c r="I3335" t="inlineStr">
        <is>
          <t>2028</t>
        </is>
      </c>
      <c r="J3335" t="n">
        <v>2009</v>
      </c>
      <c r="K3335" t="inlineStr">
        <is>
          <t>AGOSTO 2025</t>
        </is>
      </c>
      <c r="L3335" t="inlineStr">
        <is>
          <t>AGOSTO 2026</t>
        </is>
      </c>
      <c r="M3335" t="inlineStr">
        <is>
          <t>P.Q.S.  TIPO ABC  90% NACIONAL</t>
        </is>
      </c>
      <c r="N3335" t="inlineStr">
        <is>
          <t>374/001413</t>
        </is>
      </c>
      <c r="O3335" t="inlineStr">
        <is>
          <t>R</t>
        </is>
      </c>
      <c r="P3335">
        <f>TRIM(N3335)</f>
        <v/>
      </c>
    </row>
    <row r="3336">
      <c r="A3336" t="inlineStr">
        <is>
          <t>CO-002440</t>
        </is>
      </c>
      <c r="B3336" t="inlineStr">
        <is>
          <t>PERU MASIVO S.A - BUSES</t>
        </is>
      </c>
      <c r="C3336" t="inlineStr">
        <is>
          <t>20492392031</t>
        </is>
      </c>
      <c r="D3336" t="inlineStr">
        <is>
          <t>AV. LOS INCAS CDRA. 4 PATIO NORTE - COMAS</t>
        </is>
      </c>
      <c r="E3336" t="inlineStr">
        <is>
          <t>Lima, 29 de agosto de 2025</t>
        </is>
      </c>
      <c r="F3336" t="inlineStr">
        <is>
          <t>la Recarga y mantenimiento</t>
        </is>
      </c>
      <c r="G3336" t="n">
        <v>10</v>
      </c>
      <c r="H3336" t="inlineStr">
        <is>
          <t xml:space="preserve">06 KG </t>
        </is>
      </c>
      <c r="I3336" t="inlineStr">
        <is>
          <t>2028</t>
        </is>
      </c>
      <c r="J3336" t="n">
        <v>2009</v>
      </c>
      <c r="K3336" t="inlineStr">
        <is>
          <t>AGOSTO 2025</t>
        </is>
      </c>
      <c r="L3336" t="inlineStr">
        <is>
          <t>AGOSTO 2026</t>
        </is>
      </c>
      <c r="M3336" t="inlineStr">
        <is>
          <t>P.Q.S.  TIPO ABC  90% NACIONAL</t>
        </is>
      </c>
      <c r="N3336" t="inlineStr">
        <is>
          <t>180/000271</t>
        </is>
      </c>
      <c r="O3336" t="inlineStr">
        <is>
          <t>R</t>
        </is>
      </c>
      <c r="P3336">
        <f>TRIM(N3336)</f>
        <v/>
      </c>
    </row>
    <row r="3337">
      <c r="A3337" t="inlineStr">
        <is>
          <t>CO-002440</t>
        </is>
      </c>
      <c r="B3337" t="inlineStr">
        <is>
          <t>PERU MASIVO S.A - BUSES</t>
        </is>
      </c>
      <c r="C3337" t="inlineStr">
        <is>
          <t>20492392031</t>
        </is>
      </c>
      <c r="D3337" t="inlineStr">
        <is>
          <t>AV. LOS INCAS CDRA. 4 PATIO NORTE - COMAS</t>
        </is>
      </c>
      <c r="E3337" t="inlineStr">
        <is>
          <t>Lima, 29 de agosto de 2025</t>
        </is>
      </c>
      <c r="F3337" t="inlineStr">
        <is>
          <t>la Recarga y mantenimiento</t>
        </is>
      </c>
      <c r="G3337" t="n">
        <v>11</v>
      </c>
      <c r="H3337" t="inlineStr">
        <is>
          <t xml:space="preserve">06 KG </t>
        </is>
      </c>
      <c r="I3337" t="inlineStr">
        <is>
          <t>2029</t>
        </is>
      </c>
      <c r="J3337" t="n">
        <v>2010</v>
      </c>
      <c r="K3337" t="inlineStr">
        <is>
          <t>AGOSTO 2025</t>
        </is>
      </c>
      <c r="L3337" t="inlineStr">
        <is>
          <t>AGOSTO 2026</t>
        </is>
      </c>
      <c r="M3337" t="inlineStr">
        <is>
          <t>P.Q.S.  TIPO ABC  90% NACIONAL</t>
        </is>
      </c>
      <c r="N3337" t="inlineStr">
        <is>
          <t>312/000002</t>
        </is>
      </c>
      <c r="O3337" t="inlineStr">
        <is>
          <t>R</t>
        </is>
      </c>
      <c r="P3337">
        <f>TRIM(N3337)</f>
        <v/>
      </c>
    </row>
    <row r="3338">
      <c r="A3338" t="inlineStr">
        <is>
          <t>CO-002440</t>
        </is>
      </c>
      <c r="B3338" t="inlineStr">
        <is>
          <t>PERU MASIVO S.A - BUSES</t>
        </is>
      </c>
      <c r="C3338" t="inlineStr">
        <is>
          <t>20492392031</t>
        </is>
      </c>
      <c r="D3338" t="inlineStr">
        <is>
          <t>AV. LOS INCAS CDRA. 4 PATIO NORTE - COMAS</t>
        </is>
      </c>
      <c r="E3338" t="inlineStr">
        <is>
          <t>Lima, 29 de agosto de 2025</t>
        </is>
      </c>
      <c r="F3338" t="inlineStr">
        <is>
          <t>la Recarga y mantenimiento</t>
        </is>
      </c>
      <c r="G3338" t="n">
        <v>12</v>
      </c>
      <c r="H3338" t="inlineStr">
        <is>
          <t xml:space="preserve">06 KG </t>
        </is>
      </c>
      <c r="I3338" t="inlineStr">
        <is>
          <t>2028</t>
        </is>
      </c>
      <c r="J3338" t="n">
        <v>2014</v>
      </c>
      <c r="K3338" t="inlineStr">
        <is>
          <t>AGOSTO 2025</t>
        </is>
      </c>
      <c r="L3338" t="inlineStr">
        <is>
          <t>AGOSTO 2026</t>
        </is>
      </c>
      <c r="M3338" t="inlineStr">
        <is>
          <t>P.Q.S.  TIPO ABC  90% NACIONAL</t>
        </is>
      </c>
      <c r="N3338" t="inlineStr">
        <is>
          <t>190/000472</t>
        </is>
      </c>
      <c r="O3338" t="inlineStr">
        <is>
          <t>R</t>
        </is>
      </c>
      <c r="P3338">
        <f>TRIM(N3338)</f>
        <v/>
      </c>
    </row>
    <row r="3339">
      <c r="A3339" t="inlineStr">
        <is>
          <t>CO-002441</t>
        </is>
      </c>
      <c r="B3339" t="inlineStr">
        <is>
          <t xml:space="preserve">SUNAT - SEDE RIO SECO </t>
        </is>
      </c>
      <c r="C3339" t="inlineStr">
        <is>
          <t>20131312955</t>
        </is>
      </c>
      <c r="D3339" t="inlineStr">
        <is>
          <t xml:space="preserve">Altura del Km 8.5 de la Carretera Yura - Arequipa </t>
        </is>
      </c>
      <c r="E3339" t="inlineStr">
        <is>
          <t>Lima, 15 de septiembre de 2025</t>
        </is>
      </c>
      <c r="F3339" t="inlineStr">
        <is>
          <t>la Recarga y mantenimiento</t>
        </is>
      </c>
      <c r="G3339" t="inlineStr">
        <is>
          <t>01</t>
        </is>
      </c>
      <c r="H3339" t="inlineStr">
        <is>
          <t>02 KG</t>
        </is>
      </c>
      <c r="I3339" t="inlineStr">
        <is>
          <t>2030</t>
        </is>
      </c>
      <c r="J3339" t="inlineStr">
        <is>
          <t>N/R</t>
        </is>
      </c>
      <c r="K3339" t="inlineStr">
        <is>
          <t>SEPTIEMBRE 2025</t>
        </is>
      </c>
      <c r="L3339" t="inlineStr">
        <is>
          <t>SEPTIEMBRE 2026</t>
        </is>
      </c>
      <c r="M3339" t="inlineStr">
        <is>
          <t xml:space="preserve">P.Q.S.  TIPO ABC  90% </t>
        </is>
      </c>
      <c r="N3339" t="inlineStr">
        <is>
          <t>S/N/S/N</t>
        </is>
      </c>
      <c r="O3339" t="inlineStr">
        <is>
          <t>R</t>
        </is>
      </c>
      <c r="P3339">
        <f>TRIM(N3339)</f>
        <v/>
      </c>
    </row>
    <row r="3340">
      <c r="A3340" t="inlineStr">
        <is>
          <t>CO-002441</t>
        </is>
      </c>
      <c r="B3340" t="inlineStr">
        <is>
          <t xml:space="preserve">SUNAT - SEDE RIO SECO </t>
        </is>
      </c>
      <c r="C3340" t="inlineStr">
        <is>
          <t>20131312955</t>
        </is>
      </c>
      <c r="D3340" t="inlineStr">
        <is>
          <t xml:space="preserve">Altura del Km 8.5 de la Carretera Yura - Arequipa </t>
        </is>
      </c>
      <c r="E3340" t="inlineStr">
        <is>
          <t>Lima, 15 de septiembre de 2025</t>
        </is>
      </c>
      <c r="F3340" t="inlineStr">
        <is>
          <t>la Recarga y mantenimiento</t>
        </is>
      </c>
      <c r="G3340" t="inlineStr">
        <is>
          <t>02</t>
        </is>
      </c>
      <c r="H3340" t="inlineStr">
        <is>
          <t>02KG</t>
        </is>
      </c>
      <c r="I3340" t="inlineStr">
        <is>
          <t>2030</t>
        </is>
      </c>
      <c r="J3340" t="n">
        <v>2013</v>
      </c>
      <c r="K3340" t="inlineStr">
        <is>
          <t>SEPTIEMBRE 2025</t>
        </is>
      </c>
      <c r="L3340" t="inlineStr">
        <is>
          <t>SEPTIEMBRE 2026</t>
        </is>
      </c>
      <c r="M3340" t="inlineStr">
        <is>
          <t xml:space="preserve">P.Q.S.  TIPO ABC  90% </t>
        </is>
      </c>
      <c r="N3340" t="inlineStr">
        <is>
          <t>S/N/S/N</t>
        </is>
      </c>
      <c r="O3340" t="inlineStr">
        <is>
          <t>R</t>
        </is>
      </c>
      <c r="P3340">
        <f>TRIM(N3340)</f>
        <v/>
      </c>
    </row>
    <row r="3341">
      <c r="A3341" t="inlineStr">
        <is>
          <t>CO-002441</t>
        </is>
      </c>
      <c r="B3341" t="inlineStr">
        <is>
          <t xml:space="preserve">SUNAT - SEDE RIO SECO </t>
        </is>
      </c>
      <c r="C3341" t="inlineStr">
        <is>
          <t>20131312955</t>
        </is>
      </c>
      <c r="D3341" t="inlineStr">
        <is>
          <t xml:space="preserve">Altura del Km 8.5 de la Carretera Yura - Arequipa </t>
        </is>
      </c>
      <c r="E3341" t="inlineStr">
        <is>
          <t>Lima, 15 de septiembre de 2025</t>
        </is>
      </c>
      <c r="F3341" t="inlineStr">
        <is>
          <t>la Recarga y mantenimiento</t>
        </is>
      </c>
      <c r="G3341" t="inlineStr">
        <is>
          <t>03</t>
        </is>
      </c>
      <c r="H3341" t="inlineStr">
        <is>
          <t>02KG</t>
        </is>
      </c>
      <c r="I3341" t="n">
        <v>2030</v>
      </c>
      <c r="J3341" t="inlineStr">
        <is>
          <t>N/R</t>
        </is>
      </c>
      <c r="K3341" t="inlineStr">
        <is>
          <t>SEPTIEMBRE 2025</t>
        </is>
      </c>
      <c r="L3341" t="inlineStr">
        <is>
          <t>SEPTIEMBRE 2026</t>
        </is>
      </c>
      <c r="M3341" t="inlineStr">
        <is>
          <t xml:space="preserve">P.Q.S.  TIPO ABC  90% </t>
        </is>
      </c>
      <c r="N3341" t="inlineStr">
        <is>
          <t>S/N/S/N</t>
        </is>
      </c>
      <c r="O3341" t="inlineStr">
        <is>
          <t>R</t>
        </is>
      </c>
      <c r="P3341">
        <f>TRIM(N3341)</f>
        <v/>
      </c>
    </row>
    <row r="3342">
      <c r="A3342" t="inlineStr">
        <is>
          <t>CO-002441</t>
        </is>
      </c>
      <c r="B3342" t="inlineStr">
        <is>
          <t xml:space="preserve">SUNAT - SEDE RIO SECO </t>
        </is>
      </c>
      <c r="C3342" t="inlineStr">
        <is>
          <t>20131312955</t>
        </is>
      </c>
      <c r="D3342" t="inlineStr">
        <is>
          <t xml:space="preserve">Altura del Km 8.5 de la Carretera Yura - Arequipa </t>
        </is>
      </c>
      <c r="E3342" t="inlineStr">
        <is>
          <t>Lima, 15 de septiembre de 2025</t>
        </is>
      </c>
      <c r="F3342" t="inlineStr">
        <is>
          <t>la Recarga y mantenimiento</t>
        </is>
      </c>
      <c r="G3342" t="inlineStr">
        <is>
          <t>04</t>
        </is>
      </c>
      <c r="H3342" t="inlineStr">
        <is>
          <t>04KG</t>
        </is>
      </c>
      <c r="I3342" t="n">
        <v>2030</v>
      </c>
      <c r="J3342" t="n">
        <v>2010</v>
      </c>
      <c r="K3342" t="inlineStr">
        <is>
          <t>SEPTIEMBRE 2025</t>
        </is>
      </c>
      <c r="L3342" t="inlineStr">
        <is>
          <t>SEPTIEMBRE 2026</t>
        </is>
      </c>
      <c r="M3342" t="inlineStr">
        <is>
          <t xml:space="preserve">P.Q.S.  TIPO ABC  90% </t>
        </is>
      </c>
      <c r="N3342" t="inlineStr">
        <is>
          <t>S/N/001759</t>
        </is>
      </c>
      <c r="O3342" t="inlineStr">
        <is>
          <t>R</t>
        </is>
      </c>
      <c r="P3342">
        <f>TRIM(N3342)</f>
        <v/>
      </c>
    </row>
    <row r="3343">
      <c r="A3343" t="inlineStr">
        <is>
          <t>CO-002441</t>
        </is>
      </c>
      <c r="B3343" t="inlineStr">
        <is>
          <t xml:space="preserve">SUNAT - SEDE RIO SECO </t>
        </is>
      </c>
      <c r="C3343" t="inlineStr">
        <is>
          <t>20131312955</t>
        </is>
      </c>
      <c r="D3343" t="inlineStr">
        <is>
          <t xml:space="preserve">Altura del Km 8.5 de la Carretera Yura - Arequipa </t>
        </is>
      </c>
      <c r="E3343" t="inlineStr">
        <is>
          <t>Lima, 15 de septiembre de 2025</t>
        </is>
      </c>
      <c r="F3343" t="inlineStr">
        <is>
          <t>la Recarga y mantenimiento</t>
        </is>
      </c>
      <c r="G3343" t="inlineStr">
        <is>
          <t>05</t>
        </is>
      </c>
      <c r="H3343" t="inlineStr">
        <is>
          <t>04 KG</t>
        </is>
      </c>
      <c r="I3343" t="n">
        <v>2030</v>
      </c>
      <c r="J3343" t="n">
        <v>2010</v>
      </c>
      <c r="K3343" t="inlineStr">
        <is>
          <t>SEPTIEMBRE 2025</t>
        </is>
      </c>
      <c r="L3343" t="inlineStr">
        <is>
          <t>SEPTIEMBRE 2026</t>
        </is>
      </c>
      <c r="M3343" t="inlineStr">
        <is>
          <t xml:space="preserve">P.Q.S.  TIPO ABC  90% </t>
        </is>
      </c>
      <c r="N3343" t="inlineStr">
        <is>
          <t>S/N/000184</t>
        </is>
      </c>
      <c r="O3343" t="inlineStr">
        <is>
          <t>R</t>
        </is>
      </c>
      <c r="P3343">
        <f>TRIM(N3343)</f>
        <v/>
      </c>
    </row>
    <row r="3344">
      <c r="A3344" t="inlineStr">
        <is>
          <t>CO-002441</t>
        </is>
      </c>
      <c r="B3344" t="inlineStr">
        <is>
          <t xml:space="preserve">SUNAT - SEDE RIO SECO </t>
        </is>
      </c>
      <c r="C3344" t="inlineStr">
        <is>
          <t>20131312955</t>
        </is>
      </c>
      <c r="D3344" t="inlineStr">
        <is>
          <t xml:space="preserve">Altura del Km 8.5 de la Carretera Yura - Arequipa </t>
        </is>
      </c>
      <c r="E3344" t="inlineStr">
        <is>
          <t>Lima, 15 de septiembre de 2025</t>
        </is>
      </c>
      <c r="F3344" t="inlineStr">
        <is>
          <t>la Recarga y mantenimiento</t>
        </is>
      </c>
      <c r="G3344" t="inlineStr">
        <is>
          <t>06</t>
        </is>
      </c>
      <c r="H3344" t="inlineStr">
        <is>
          <t>04 KG</t>
        </is>
      </c>
      <c r="I3344" t="n">
        <v>2030</v>
      </c>
      <c r="J3344" t="n">
        <v>2013</v>
      </c>
      <c r="K3344" t="inlineStr">
        <is>
          <t>SEPTIEMBRE 2025</t>
        </is>
      </c>
      <c r="L3344" t="inlineStr">
        <is>
          <t>SEPTIEMBRE 2026</t>
        </is>
      </c>
      <c r="M3344" t="inlineStr">
        <is>
          <t xml:space="preserve">P.Q.S.  TIPO ABC  90% </t>
        </is>
      </c>
      <c r="N3344" t="inlineStr">
        <is>
          <t>S/N/001235</t>
        </is>
      </c>
      <c r="O3344" t="inlineStr">
        <is>
          <t>R</t>
        </is>
      </c>
      <c r="P3344">
        <f>TRIM(N3344)</f>
        <v/>
      </c>
    </row>
    <row r="3345">
      <c r="A3345" t="inlineStr">
        <is>
          <t>CO-002441</t>
        </is>
      </c>
      <c r="B3345" t="inlineStr">
        <is>
          <t xml:space="preserve">SUNAT - SEDE RIO SECO </t>
        </is>
      </c>
      <c r="C3345" t="inlineStr">
        <is>
          <t>20131312955</t>
        </is>
      </c>
      <c r="D3345" t="inlineStr">
        <is>
          <t xml:space="preserve">Altura del Km 8.5 de la Carretera Yura - Arequipa </t>
        </is>
      </c>
      <c r="E3345" t="inlineStr">
        <is>
          <t>Lima, 15 de septiembre de 2025</t>
        </is>
      </c>
      <c r="F3345" t="inlineStr">
        <is>
          <t>la Recarga y mantenimiento</t>
        </is>
      </c>
      <c r="G3345" t="inlineStr">
        <is>
          <t>07</t>
        </is>
      </c>
      <c r="H3345" t="inlineStr">
        <is>
          <t>04 KG</t>
        </is>
      </c>
      <c r="I3345" t="n">
        <v>2030</v>
      </c>
      <c r="J3345" t="n">
        <v>2010</v>
      </c>
      <c r="K3345" t="inlineStr">
        <is>
          <t>SEPTIEMBRE 2025</t>
        </is>
      </c>
      <c r="L3345" t="inlineStr">
        <is>
          <t>SEPTIEMBRE 2026</t>
        </is>
      </c>
      <c r="M3345" t="inlineStr">
        <is>
          <t xml:space="preserve">P.Q.S.  TIPO ABC  90% </t>
        </is>
      </c>
      <c r="N3345" t="inlineStr">
        <is>
          <t>S/N/239384</t>
        </is>
      </c>
      <c r="O3345" t="inlineStr">
        <is>
          <t>R</t>
        </is>
      </c>
      <c r="P3345">
        <f>TRIM(N3345)</f>
        <v/>
      </c>
    </row>
    <row r="3346">
      <c r="A3346" t="inlineStr">
        <is>
          <t>CO-002441</t>
        </is>
      </c>
      <c r="B3346" t="inlineStr">
        <is>
          <t xml:space="preserve">SUNAT - SEDE RIO SECO </t>
        </is>
      </c>
      <c r="C3346" t="inlineStr">
        <is>
          <t>20131312955</t>
        </is>
      </c>
      <c r="D3346" t="inlineStr">
        <is>
          <t xml:space="preserve">Altura del Km 8.5 de la Carretera Yura - Arequipa </t>
        </is>
      </c>
      <c r="E3346" t="inlineStr">
        <is>
          <t>Lima, 15 de septiembre de 2025</t>
        </is>
      </c>
      <c r="F3346" t="inlineStr">
        <is>
          <t>la Recarga y mantenimiento</t>
        </is>
      </c>
      <c r="G3346" t="inlineStr">
        <is>
          <t>08</t>
        </is>
      </c>
      <c r="H3346" t="inlineStr">
        <is>
          <t>20 LBS</t>
        </is>
      </c>
      <c r="I3346" t="n">
        <v>2030</v>
      </c>
      <c r="J3346" t="n">
        <v>2007</v>
      </c>
      <c r="K3346" t="inlineStr">
        <is>
          <t>SEPTIEMBRE 2025</t>
        </is>
      </c>
      <c r="L3346" t="inlineStr">
        <is>
          <t>SEPTIEMBRE 2026</t>
        </is>
      </c>
      <c r="M3346" t="inlineStr">
        <is>
          <t xml:space="preserve">P.Q.S.  TIPO ABC  90% </t>
        </is>
      </c>
      <c r="N3346" t="inlineStr">
        <is>
          <t>S/N/239384</t>
        </is>
      </c>
      <c r="O3346" t="inlineStr">
        <is>
          <t>R</t>
        </is>
      </c>
      <c r="P3346">
        <f>TRIM(N3346)</f>
        <v/>
      </c>
    </row>
    <row r="3347">
      <c r="A3347" t="inlineStr">
        <is>
          <t>CO-002441</t>
        </is>
      </c>
      <c r="B3347" t="inlineStr">
        <is>
          <t xml:space="preserve">SUNAT - SEDE RIO SECO </t>
        </is>
      </c>
      <c r="C3347" t="inlineStr">
        <is>
          <t>20131312955</t>
        </is>
      </c>
      <c r="D3347" t="inlineStr">
        <is>
          <t xml:space="preserve">Altura del Km 8.5 de la Carretera Yura - Arequipa </t>
        </is>
      </c>
      <c r="E3347" t="inlineStr">
        <is>
          <t>Lima, 15 de septiembre de 2025</t>
        </is>
      </c>
      <c r="F3347" t="inlineStr">
        <is>
          <t>la Recarga y mantenimiento</t>
        </is>
      </c>
      <c r="G3347" t="inlineStr">
        <is>
          <t>09</t>
        </is>
      </c>
      <c r="H3347" t="inlineStr">
        <is>
          <t>15 LBS</t>
        </is>
      </c>
      <c r="I3347" t="n">
        <v>2030</v>
      </c>
      <c r="J3347" t="n">
        <v>2012</v>
      </c>
      <c r="K3347" t="inlineStr">
        <is>
          <t>SEPTIEMBRE 2025</t>
        </is>
      </c>
      <c r="L3347" t="inlineStr">
        <is>
          <t>SEPTIEMBRE 2026</t>
        </is>
      </c>
      <c r="M3347" t="inlineStr">
        <is>
          <t xml:space="preserve">CO2 TIPO BC </t>
        </is>
      </c>
      <c r="N3347" t="inlineStr">
        <is>
          <t>S/N/422652</t>
        </is>
      </c>
      <c r="O3347" t="inlineStr">
        <is>
          <t>R</t>
        </is>
      </c>
      <c r="P3347">
        <f>TRIM(N3347)</f>
        <v/>
      </c>
    </row>
    <row r="3348">
      <c r="A3348" t="inlineStr">
        <is>
          <t>CO-002441</t>
        </is>
      </c>
      <c r="B3348" t="inlineStr">
        <is>
          <t xml:space="preserve">SUNAT - SEDE RIO SECO </t>
        </is>
      </c>
      <c r="C3348" t="inlineStr">
        <is>
          <t>20131312955</t>
        </is>
      </c>
      <c r="D3348" t="inlineStr">
        <is>
          <t xml:space="preserve">Altura del Km 8.5 de la Carretera Yura - Arequipa </t>
        </is>
      </c>
      <c r="E3348" t="inlineStr">
        <is>
          <t>Lima, 15 de septiembre de 2025</t>
        </is>
      </c>
      <c r="F3348" t="inlineStr">
        <is>
          <t>la Recarga y mantenimiento</t>
        </is>
      </c>
      <c r="G3348" t="n">
        <v>10</v>
      </c>
      <c r="H3348" t="inlineStr">
        <is>
          <t>30 LBS</t>
        </is>
      </c>
      <c r="I3348" t="n">
        <v>2030</v>
      </c>
      <c r="J3348" t="n">
        <v>2013</v>
      </c>
      <c r="K3348" t="inlineStr">
        <is>
          <t>SEPTIEMBRE 2025</t>
        </is>
      </c>
      <c r="L3348" t="inlineStr">
        <is>
          <t>SEPTIEMBRE 2026</t>
        </is>
      </c>
      <c r="M3348" t="inlineStr">
        <is>
          <t xml:space="preserve">P.Q.S.  TIPO ABC  90% </t>
        </is>
      </c>
      <c r="N3348" t="inlineStr">
        <is>
          <t>S/N/574423</t>
        </is>
      </c>
      <c r="O3348" t="inlineStr">
        <is>
          <t>R</t>
        </is>
      </c>
      <c r="P3348">
        <f>TRIM(N3348)</f>
        <v/>
      </c>
    </row>
    <row r="3349">
      <c r="A3349" t="inlineStr">
        <is>
          <t>CO-002441</t>
        </is>
      </c>
      <c r="B3349" t="inlineStr">
        <is>
          <t xml:space="preserve">SUNAT - SEDE RIO SECO </t>
        </is>
      </c>
      <c r="C3349" t="inlineStr">
        <is>
          <t>20131312955</t>
        </is>
      </c>
      <c r="D3349" t="inlineStr">
        <is>
          <t xml:space="preserve">Altura del Km 8.5 de la Carretera Yura - Arequipa </t>
        </is>
      </c>
      <c r="E3349" t="inlineStr">
        <is>
          <t>Lima, 15 de septiembre de 2025</t>
        </is>
      </c>
      <c r="F3349" t="inlineStr">
        <is>
          <t>la Recarga y mantenimiento</t>
        </is>
      </c>
      <c r="G3349" t="n">
        <v>11</v>
      </c>
      <c r="H3349" t="inlineStr">
        <is>
          <t>30 LBS</t>
        </is>
      </c>
      <c r="I3349" t="n">
        <v>2030</v>
      </c>
      <c r="J3349" t="n">
        <v>2013</v>
      </c>
      <c r="K3349" t="inlineStr">
        <is>
          <t>SEPTIEMBRE 2025</t>
        </is>
      </c>
      <c r="L3349" t="inlineStr">
        <is>
          <t>SEPTIEMBRE 2026</t>
        </is>
      </c>
      <c r="M3349" t="inlineStr">
        <is>
          <t xml:space="preserve">P.Q.S.  TIPO ABC  90% </t>
        </is>
      </c>
      <c r="N3349" t="inlineStr">
        <is>
          <t>S/N/574158</t>
        </is>
      </c>
      <c r="O3349" t="inlineStr">
        <is>
          <t>R</t>
        </is>
      </c>
      <c r="P3349">
        <f>TRIM(N3349)</f>
        <v/>
      </c>
    </row>
    <row r="3350">
      <c r="A3350" t="inlineStr">
        <is>
          <t>CO-002441</t>
        </is>
      </c>
      <c r="B3350" t="inlineStr">
        <is>
          <t xml:space="preserve">SUNAT - SEDE RIO SECO </t>
        </is>
      </c>
      <c r="C3350" t="inlineStr">
        <is>
          <t>20131312955</t>
        </is>
      </c>
      <c r="D3350" t="inlineStr">
        <is>
          <t xml:space="preserve">Altura del Km 8.5 de la Carretera Yura - Arequipa </t>
        </is>
      </c>
      <c r="E3350" t="inlineStr">
        <is>
          <t>Lima, 15 de septiembre de 2025</t>
        </is>
      </c>
      <c r="F3350" t="inlineStr">
        <is>
          <t>la Recarga y mantenimiento</t>
        </is>
      </c>
      <c r="G3350" t="n">
        <v>12</v>
      </c>
      <c r="H3350" t="inlineStr">
        <is>
          <t>30 LBS</t>
        </is>
      </c>
      <c r="I3350" t="n">
        <v>2030</v>
      </c>
      <c r="J3350" t="n">
        <v>2013</v>
      </c>
      <c r="K3350" t="inlineStr">
        <is>
          <t>SEPTIEMBRE 2025</t>
        </is>
      </c>
      <c r="L3350" t="inlineStr">
        <is>
          <t>SEPTIEMBRE 2026</t>
        </is>
      </c>
      <c r="M3350" t="inlineStr">
        <is>
          <t xml:space="preserve">P.Q.S.  TIPO ABC  90% </t>
        </is>
      </c>
      <c r="N3350" t="inlineStr">
        <is>
          <t>S/N/574452</t>
        </is>
      </c>
      <c r="O3350" t="inlineStr">
        <is>
          <t>R</t>
        </is>
      </c>
      <c r="P3350">
        <f>TRIM(N3350)</f>
        <v/>
      </c>
    </row>
    <row r="3351">
      <c r="A3351" t="inlineStr">
        <is>
          <t>CO-002442</t>
        </is>
      </c>
      <c r="B3351" t="inlineStr">
        <is>
          <t>COMARSA &amp; CIA. S.R.L.</t>
        </is>
      </c>
      <c r="C3351" t="inlineStr">
        <is>
          <t>20471884741</t>
        </is>
      </c>
      <c r="D3351" t="inlineStr">
        <is>
          <t>AV. FELIPE MENDIZABAL 580 - TUNGASUCA - CARABAYLLO</t>
        </is>
      </c>
      <c r="E3351" t="inlineStr">
        <is>
          <t>Lima, 04 de septiembre de 2025</t>
        </is>
      </c>
      <c r="F3351" t="inlineStr">
        <is>
          <t>la Recarga y mantenimiento</t>
        </is>
      </c>
      <c r="G3351" t="inlineStr">
        <is>
          <t>01</t>
        </is>
      </c>
      <c r="H3351" t="inlineStr">
        <is>
          <t>13.6 KG</t>
        </is>
      </c>
      <c r="I3351" t="inlineStr">
        <is>
          <t>2030</t>
        </is>
      </c>
      <c r="J3351" t="n">
        <v>2003</v>
      </c>
      <c r="K3351" t="inlineStr">
        <is>
          <t>SEPTIEMBRE 2025</t>
        </is>
      </c>
      <c r="L3351" t="inlineStr">
        <is>
          <t>SEPTIEMBRE 2026</t>
        </is>
      </c>
      <c r="M3351" t="inlineStr">
        <is>
          <t xml:space="preserve">P.Q.S.  TIPO ABC  90% </t>
        </is>
      </c>
      <c r="N3351" t="inlineStr">
        <is>
          <t>S/N/000738</t>
        </is>
      </c>
      <c r="O3351" t="inlineStr">
        <is>
          <t>M1</t>
        </is>
      </c>
      <c r="P3351">
        <f>TRIM(N3351)</f>
        <v/>
      </c>
    </row>
    <row r="3352">
      <c r="A3352" t="inlineStr">
        <is>
          <t>CO-002442</t>
        </is>
      </c>
      <c r="B3352" t="inlineStr">
        <is>
          <t>COMARSA &amp; CIA. S.R.L.</t>
        </is>
      </c>
      <c r="C3352" t="inlineStr">
        <is>
          <t>20471884741</t>
        </is>
      </c>
      <c r="D3352" t="inlineStr">
        <is>
          <t>AV. FELIPE MENDIZABAL 580 - TUNGASUCA - CARABAYLLO</t>
        </is>
      </c>
      <c r="E3352" t="inlineStr">
        <is>
          <t>Lima, 04 de septiembre de 2025</t>
        </is>
      </c>
      <c r="F3352" t="inlineStr">
        <is>
          <t>la Recarga y mantenimiento</t>
        </is>
      </c>
      <c r="G3352" t="inlineStr">
        <is>
          <t>02</t>
        </is>
      </c>
      <c r="H3352" t="inlineStr">
        <is>
          <t>12 KG</t>
        </is>
      </c>
      <c r="I3352" t="inlineStr">
        <is>
          <t>2029</t>
        </is>
      </c>
      <c r="J3352" t="inlineStr">
        <is>
          <t>N/R</t>
        </is>
      </c>
      <c r="K3352" t="inlineStr">
        <is>
          <t>SEPTIEMBRE 2025</t>
        </is>
      </c>
      <c r="L3352" t="inlineStr">
        <is>
          <t>SEPTIEMBRE 2026</t>
        </is>
      </c>
      <c r="M3352" t="inlineStr">
        <is>
          <t xml:space="preserve">P.Q.S.  TIPO ABC  90% </t>
        </is>
      </c>
      <c r="N3352" t="inlineStr">
        <is>
          <t>S/N/000326</t>
        </is>
      </c>
      <c r="O3352" t="inlineStr">
        <is>
          <t>M1</t>
        </is>
      </c>
      <c r="P3352">
        <f>TRIM(N3352)</f>
        <v/>
      </c>
    </row>
    <row r="3353">
      <c r="A3353" t="inlineStr">
        <is>
          <t>CO-002443</t>
        </is>
      </c>
      <c r="B3353" t="inlineStr">
        <is>
          <t>PROYECTO LIDERES DEL PERU S.A.C.</t>
        </is>
      </c>
      <c r="C3353" t="inlineStr">
        <is>
          <t>20612009482</t>
        </is>
      </c>
      <c r="D3353" t="inlineStr">
        <is>
          <t>AV. LAS PALMERAS NRO. 4181 URB. MICAELA BASTIDAS LIMA - LIMA - LOS OLIVOS</t>
        </is>
      </c>
      <c r="E3353" t="inlineStr">
        <is>
          <t>Lima, 02 de Septiembre de 2025</t>
        </is>
      </c>
      <c r="F3353" t="inlineStr">
        <is>
          <t>la Recarga y mantenimiento</t>
        </is>
      </c>
      <c r="G3353" t="inlineStr">
        <is>
          <t>01</t>
        </is>
      </c>
      <c r="H3353" t="inlineStr">
        <is>
          <t>06 KG</t>
        </is>
      </c>
      <c r="I3353" t="inlineStr">
        <is>
          <t>2028</t>
        </is>
      </c>
      <c r="J3353" t="n">
        <v>2023</v>
      </c>
      <c r="K3353" t="inlineStr">
        <is>
          <t>SEPTIEMBRE 2025</t>
        </is>
      </c>
      <c r="L3353" t="inlineStr">
        <is>
          <t>SEPTIEMBRE 2026</t>
        </is>
      </c>
      <c r="M3353" t="inlineStr">
        <is>
          <t xml:space="preserve">P.Q.S.  TIPO ABC  </t>
        </is>
      </c>
      <c r="N3353" t="inlineStr">
        <is>
          <t>03/001584</t>
        </is>
      </c>
      <c r="O3353" t="inlineStr">
        <is>
          <t>R</t>
        </is>
      </c>
      <c r="P3353">
        <f>TRIM(N3353)</f>
        <v/>
      </c>
    </row>
    <row r="3354">
      <c r="A3354" t="inlineStr">
        <is>
          <t>CO-002443</t>
        </is>
      </c>
      <c r="B3354" t="inlineStr">
        <is>
          <t>PROYECTO LIDERES DEL PERU S.A.C.</t>
        </is>
      </c>
      <c r="C3354" t="inlineStr">
        <is>
          <t>20612009482</t>
        </is>
      </c>
      <c r="D3354" t="inlineStr">
        <is>
          <t>AV. LAS PALMERAS NRO. 4181 URB. MICAELA BASTIDAS LIMA - LIMA - LOS OLIVOS</t>
        </is>
      </c>
      <c r="E3354" t="inlineStr">
        <is>
          <t>Lima, 02 de Septiembre de 2025</t>
        </is>
      </c>
      <c r="F3354" t="inlineStr">
        <is>
          <t>la Recarga y mantenimiento</t>
        </is>
      </c>
      <c r="G3354" t="inlineStr">
        <is>
          <t>02</t>
        </is>
      </c>
      <c r="H3354" t="inlineStr">
        <is>
          <t>06 KG</t>
        </is>
      </c>
      <c r="I3354" t="inlineStr">
        <is>
          <t>2028</t>
        </is>
      </c>
      <c r="J3354" t="n">
        <v>2023</v>
      </c>
      <c r="K3354" t="inlineStr">
        <is>
          <t>SEPTIEMBRE 2025</t>
        </is>
      </c>
      <c r="L3354" t="inlineStr">
        <is>
          <t>SEPTIEMBRE 2026</t>
        </is>
      </c>
      <c r="M3354" t="inlineStr">
        <is>
          <t xml:space="preserve">P.Q.S.  TIPO ABC  </t>
        </is>
      </c>
      <c r="N3354" t="inlineStr">
        <is>
          <t>01/201739</t>
        </is>
      </c>
      <c r="O3354" t="inlineStr">
        <is>
          <t>R</t>
        </is>
      </c>
      <c r="P3354">
        <f>TRIM(N3354)</f>
        <v/>
      </c>
    </row>
    <row r="3355">
      <c r="A3355" t="inlineStr">
        <is>
          <t>CO-002443</t>
        </is>
      </c>
      <c r="B3355" t="inlineStr">
        <is>
          <t>PROYECTO LIDERES DEL PERU S.A.C.</t>
        </is>
      </c>
      <c r="C3355" t="inlineStr">
        <is>
          <t>20612009482</t>
        </is>
      </c>
      <c r="D3355" t="inlineStr">
        <is>
          <t>AV. LAS PALMERAS NRO. 4181 URB. MICAELA BASTIDAS LIMA - LIMA - LOS OLIVOS</t>
        </is>
      </c>
      <c r="E3355" t="inlineStr">
        <is>
          <t>Lima, 02 de Septiembre de 2025</t>
        </is>
      </c>
      <c r="F3355" t="inlineStr">
        <is>
          <t>la Recarga y mantenimiento</t>
        </is>
      </c>
      <c r="G3355" t="inlineStr">
        <is>
          <t>03</t>
        </is>
      </c>
      <c r="H3355" t="inlineStr">
        <is>
          <t xml:space="preserve">06 KG </t>
        </is>
      </c>
      <c r="I3355" t="n">
        <v>2028</v>
      </c>
      <c r="J3355" t="n">
        <v>2023</v>
      </c>
      <c r="K3355" t="inlineStr">
        <is>
          <t>SEPTIEMBRE 2025</t>
        </is>
      </c>
      <c r="L3355" t="inlineStr">
        <is>
          <t>SEPTIEMBRE 2026</t>
        </is>
      </c>
      <c r="M3355" t="inlineStr">
        <is>
          <t xml:space="preserve">P.Q.S.  TIPO ABC </t>
        </is>
      </c>
      <c r="N3355" t="inlineStr">
        <is>
          <t>02/001610</t>
        </is>
      </c>
      <c r="O3355" t="inlineStr">
        <is>
          <t>R</t>
        </is>
      </c>
      <c r="P3355">
        <f>TRIM(N3355)</f>
        <v/>
      </c>
    </row>
    <row r="3356">
      <c r="A3356" t="inlineStr">
        <is>
          <t>CO-002443</t>
        </is>
      </c>
      <c r="B3356" t="inlineStr">
        <is>
          <t>PROYECTO LIDERES DEL PERU S.A.C.</t>
        </is>
      </c>
      <c r="C3356" t="inlineStr">
        <is>
          <t>20612009482</t>
        </is>
      </c>
      <c r="D3356" t="inlineStr">
        <is>
          <t>AV. LAS PALMERAS NRO. 4181 URB. MICAELA BASTIDAS LIMA - LIMA - LOS OLIVOS</t>
        </is>
      </c>
      <c r="E3356" t="inlineStr">
        <is>
          <t>Lima, 02 de Septiembre de 2025</t>
        </is>
      </c>
      <c r="F3356" t="inlineStr">
        <is>
          <t>la Recarga y mantenimiento</t>
        </is>
      </c>
      <c r="G3356" t="inlineStr">
        <is>
          <t>04</t>
        </is>
      </c>
      <c r="H3356" t="inlineStr">
        <is>
          <t>06 KG</t>
        </is>
      </c>
      <c r="I3356" t="n">
        <v>2028</v>
      </c>
      <c r="J3356" t="n">
        <v>2023</v>
      </c>
      <c r="K3356" t="inlineStr">
        <is>
          <t>SEPTIEMBRE 2025</t>
        </is>
      </c>
      <c r="L3356" t="inlineStr">
        <is>
          <t>SEPTIEMBRE 2026</t>
        </is>
      </c>
      <c r="M3356" t="inlineStr">
        <is>
          <t xml:space="preserve">P.Q.S.  TIPO ABC  </t>
        </is>
      </c>
      <c r="N3356" t="inlineStr">
        <is>
          <t>05/000941</t>
        </is>
      </c>
      <c r="O3356" t="inlineStr">
        <is>
          <t>R</t>
        </is>
      </c>
      <c r="P3356">
        <f>TRIM(N3356)</f>
        <v/>
      </c>
    </row>
    <row r="3357">
      <c r="A3357" t="inlineStr">
        <is>
          <t>CO-002443</t>
        </is>
      </c>
      <c r="B3357" t="inlineStr">
        <is>
          <t>PROYECTO LIDERES DEL PERU S.A.C.</t>
        </is>
      </c>
      <c r="C3357" t="inlineStr">
        <is>
          <t>20612009482</t>
        </is>
      </c>
      <c r="D3357" t="inlineStr">
        <is>
          <t>AV. LAS PALMERAS NRO. 4181 URB. MICAELA BASTIDAS LIMA - LIMA - LOS OLIVOS</t>
        </is>
      </c>
      <c r="E3357" t="inlineStr">
        <is>
          <t>Lima, 02 de Septiembre de 2025</t>
        </is>
      </c>
      <c r="F3357" t="inlineStr">
        <is>
          <t>la Recarga y mantenimiento</t>
        </is>
      </c>
      <c r="G3357" t="inlineStr">
        <is>
          <t>05</t>
        </is>
      </c>
      <c r="H3357" t="inlineStr">
        <is>
          <t>06 KG</t>
        </is>
      </c>
      <c r="I3357" t="n">
        <v>2028</v>
      </c>
      <c r="J3357" t="n">
        <v>2023</v>
      </c>
      <c r="K3357" t="inlineStr">
        <is>
          <t>SEPTIEMBRE 2025</t>
        </is>
      </c>
      <c r="L3357" t="inlineStr">
        <is>
          <t>SEPTIEMBRE 2026</t>
        </is>
      </c>
      <c r="M3357" t="inlineStr">
        <is>
          <t xml:space="preserve">P.Q.S.  TIPO ABC  </t>
        </is>
      </c>
      <c r="N3357" t="inlineStr">
        <is>
          <t>04/009870</t>
        </is>
      </c>
      <c r="O3357" t="inlineStr">
        <is>
          <t>R</t>
        </is>
      </c>
      <c r="P3357">
        <f>TRIM(N3357)</f>
        <v/>
      </c>
    </row>
    <row r="3358">
      <c r="A3358" t="inlineStr">
        <is>
          <t>CO-002444</t>
        </is>
      </c>
      <c r="B3358" t="inlineStr">
        <is>
          <t>FARMACIA INCAPERU 
De: Clara Nélida  Mayorga Huaringa</t>
        </is>
      </c>
      <c r="D3358" t="inlineStr">
        <is>
          <t xml:space="preserve"> AV. PROCERES DE HUANDOY MZ. D LOTE 26 INT. B AA.HH. LOS ROSALES DE HUANDOY - LOS OLIVOS</t>
        </is>
      </c>
      <c r="E3358" t="inlineStr">
        <is>
          <t>Lima, 02 de Septiembre de 2025</t>
        </is>
      </c>
      <c r="F3358" t="inlineStr">
        <is>
          <t>la Recarga y mantenimiento</t>
        </is>
      </c>
      <c r="G3358" t="inlineStr">
        <is>
          <t>01</t>
        </is>
      </c>
      <c r="H3358" t="inlineStr">
        <is>
          <t>06 KG</t>
        </is>
      </c>
      <c r="I3358" t="inlineStr">
        <is>
          <t>2026</t>
        </is>
      </c>
      <c r="J3358" t="n">
        <v>2021</v>
      </c>
      <c r="K3358" t="inlineStr">
        <is>
          <t>SEPTIEMBRE 2025</t>
        </is>
      </c>
      <c r="L3358" t="inlineStr">
        <is>
          <t>SEPTIEMBRE 2026</t>
        </is>
      </c>
      <c r="M3358" t="inlineStr">
        <is>
          <t xml:space="preserve">P.Q.S.  TIPO ABC </t>
        </is>
      </c>
      <c r="N3358" t="inlineStr">
        <is>
          <t>S/N/010020</t>
        </is>
      </c>
      <c r="O3358" t="inlineStr">
        <is>
          <t>R</t>
        </is>
      </c>
      <c r="P3358">
        <f>TRIM(N3358)</f>
        <v/>
      </c>
    </row>
    <row r="3359">
      <c r="A3359" t="inlineStr">
        <is>
          <t>CO-002445</t>
        </is>
      </c>
      <c r="B3359" t="inlineStr">
        <is>
          <t>BODEGA NAYRA</t>
        </is>
      </c>
      <c r="D3359" t="inlineStr">
        <is>
          <t>JR.CUSCIO N°400 COPERATIVA PABLO VI</t>
        </is>
      </c>
      <c r="E3359" t="inlineStr">
        <is>
          <t>Lima,02 de Septiembre de 2025</t>
        </is>
      </c>
      <c r="F3359" t="inlineStr">
        <is>
          <t>la Recarga y mantenimiento</t>
        </is>
      </c>
      <c r="G3359" t="inlineStr">
        <is>
          <t>01</t>
        </is>
      </c>
      <c r="H3359" t="inlineStr">
        <is>
          <t>06 KG</t>
        </is>
      </c>
      <c r="I3359" t="inlineStr">
        <is>
          <t>2029</t>
        </is>
      </c>
      <c r="J3359" t="n">
        <v>2019</v>
      </c>
      <c r="K3359" t="inlineStr">
        <is>
          <t>SEPTIEMBRE 2025</t>
        </is>
      </c>
      <c r="L3359" t="inlineStr">
        <is>
          <t>SEPTIEMBRE 2026</t>
        </is>
      </c>
      <c r="M3359" t="inlineStr">
        <is>
          <t xml:space="preserve">P.Q.S.  TIPO ABC </t>
        </is>
      </c>
      <c r="N3359" t="inlineStr">
        <is>
          <t>008831</t>
        </is>
      </c>
      <c r="O3359" t="inlineStr">
        <is>
          <t>R</t>
        </is>
      </c>
      <c r="P3359">
        <f>TRIM(N3359)</f>
        <v/>
      </c>
    </row>
    <row r="3360">
      <c r="A3360" t="inlineStr">
        <is>
          <t>CO-002445</t>
        </is>
      </c>
      <c r="B3360" t="inlineStr">
        <is>
          <t>BODEGA NAYRA</t>
        </is>
      </c>
      <c r="D3360" t="inlineStr">
        <is>
          <t>JR.CUSCIO N°400 COPERATIVA PABLO VI</t>
        </is>
      </c>
      <c r="E3360" t="inlineStr">
        <is>
          <t>Lima,02 de Septiembre de 2025</t>
        </is>
      </c>
      <c r="F3360" t="inlineStr">
        <is>
          <t>la Recarga y mantenimiento</t>
        </is>
      </c>
      <c r="G3360" t="inlineStr">
        <is>
          <t>02</t>
        </is>
      </c>
      <c r="H3360" t="inlineStr">
        <is>
          <t>06 KG</t>
        </is>
      </c>
      <c r="I3360" t="inlineStr">
        <is>
          <t>2028</t>
        </is>
      </c>
      <c r="J3360" t="n">
        <v>2023</v>
      </c>
      <c r="K3360" t="inlineStr">
        <is>
          <t>SEPTIEMBRE 2025</t>
        </is>
      </c>
      <c r="L3360" t="inlineStr">
        <is>
          <t>SEPTIEMBRE 2026</t>
        </is>
      </c>
      <c r="M3360" t="inlineStr">
        <is>
          <t xml:space="preserve">P.Q.S.  TIPO ABC  </t>
        </is>
      </c>
      <c r="N3360" t="inlineStr">
        <is>
          <t>002488</t>
        </is>
      </c>
      <c r="O3360" t="inlineStr">
        <is>
          <t>R</t>
        </is>
      </c>
      <c r="P3360">
        <f>TRIM(N3360)</f>
        <v/>
      </c>
    </row>
    <row r="3361">
      <c r="A3361" t="inlineStr">
        <is>
          <t>CO-002446</t>
        </is>
      </c>
      <c r="B3361" t="inlineStr">
        <is>
          <t>PERU MASIVO S.A - BUSES</t>
        </is>
      </c>
      <c r="C3361" t="inlineStr">
        <is>
          <t>20492392031</t>
        </is>
      </c>
      <c r="D3361" t="inlineStr">
        <is>
          <t>AV. LOS INCAS CDRA. 4 PATIO NORTE - COMAS</t>
        </is>
      </c>
      <c r="E3361" t="inlineStr">
        <is>
          <t>Lima,04 de Septiembre de 2025</t>
        </is>
      </c>
      <c r="F3361" t="inlineStr">
        <is>
          <t>la Recarga y mantenimiento</t>
        </is>
      </c>
      <c r="G3361" t="inlineStr">
        <is>
          <t>01</t>
        </is>
      </c>
      <c r="H3361" t="inlineStr">
        <is>
          <t xml:space="preserve">06 KG </t>
        </is>
      </c>
      <c r="I3361" t="inlineStr">
        <is>
          <t>2028</t>
        </is>
      </c>
      <c r="J3361" t="n">
        <v>2010</v>
      </c>
      <c r="K3361" t="inlineStr">
        <is>
          <t>SEPTIEMBRE 2025</t>
        </is>
      </c>
      <c r="L3361" t="inlineStr">
        <is>
          <t>SEPTIEMBRE 2026</t>
        </is>
      </c>
      <c r="M3361" t="inlineStr">
        <is>
          <t>P.Q.S.  TIPO ABC  90% NACIONAL</t>
        </is>
      </c>
      <c r="N3361" t="inlineStr">
        <is>
          <t>152/000048</t>
        </is>
      </c>
      <c r="O3361" t="inlineStr">
        <is>
          <t>R</t>
        </is>
      </c>
      <c r="P3361">
        <f>TRIM(N3361)</f>
        <v/>
      </c>
    </row>
    <row r="3362">
      <c r="A3362" t="inlineStr">
        <is>
          <t>CO-002446</t>
        </is>
      </c>
      <c r="B3362" t="inlineStr">
        <is>
          <t>PERU MASIVO S.A - BUSES</t>
        </is>
      </c>
      <c r="C3362" t="inlineStr">
        <is>
          <t>20492392031</t>
        </is>
      </c>
      <c r="D3362" t="inlineStr">
        <is>
          <t>AV. LOS INCAS CDRA. 4 PATIO NORTE - COMAS</t>
        </is>
      </c>
      <c r="E3362" t="inlineStr">
        <is>
          <t>Lima,04 de Septiembre de 2025</t>
        </is>
      </c>
      <c r="F3362" t="inlineStr">
        <is>
          <t>la Recarga y mantenimiento</t>
        </is>
      </c>
      <c r="G3362" t="inlineStr">
        <is>
          <t>02</t>
        </is>
      </c>
      <c r="H3362" t="inlineStr">
        <is>
          <t xml:space="preserve">06 KG </t>
        </is>
      </c>
      <c r="I3362" t="inlineStr">
        <is>
          <t>2028</t>
        </is>
      </c>
      <c r="J3362" t="n">
        <v>2009</v>
      </c>
      <c r="K3362" t="inlineStr">
        <is>
          <t>SEPTIEMBRE 2025</t>
        </is>
      </c>
      <c r="L3362" t="inlineStr">
        <is>
          <t>SEPTIEMBRE 2026</t>
        </is>
      </c>
      <c r="M3362" t="inlineStr">
        <is>
          <t>P.Q.S.  TIPO ABC  90% NACIONAL</t>
        </is>
      </c>
      <c r="N3362" t="inlineStr">
        <is>
          <t>248/001793</t>
        </is>
      </c>
      <c r="O3362" t="inlineStr">
        <is>
          <t>R</t>
        </is>
      </c>
      <c r="P3362">
        <f>TRIM(N3362)</f>
        <v/>
      </c>
    </row>
    <row r="3363">
      <c r="A3363" t="inlineStr">
        <is>
          <t>CO-002446</t>
        </is>
      </c>
      <c r="B3363" t="inlineStr">
        <is>
          <t>PERU MASIVO S.A - BUSES</t>
        </is>
      </c>
      <c r="C3363" t="inlineStr">
        <is>
          <t>20492392031</t>
        </is>
      </c>
      <c r="D3363" t="inlineStr">
        <is>
          <t>AV. LOS INCAS CDRA. 4 PATIO NORTE - COMAS</t>
        </is>
      </c>
      <c r="E3363" t="inlineStr">
        <is>
          <t>Lima,04 de Septiembre de 2025</t>
        </is>
      </c>
      <c r="F3363" t="inlineStr">
        <is>
          <t>la Recarga y mantenimiento</t>
        </is>
      </c>
      <c r="G3363" t="inlineStr">
        <is>
          <t>03</t>
        </is>
      </c>
      <c r="H3363" t="inlineStr">
        <is>
          <t xml:space="preserve">06 KG </t>
        </is>
      </c>
      <c r="I3363" t="inlineStr">
        <is>
          <t>2028</t>
        </is>
      </c>
      <c r="J3363" t="n">
        <v>2013</v>
      </c>
      <c r="K3363" t="inlineStr">
        <is>
          <t>SEPTIEMBRE 2025</t>
        </is>
      </c>
      <c r="L3363" t="inlineStr">
        <is>
          <t>SEPTIEMBRE 2026</t>
        </is>
      </c>
      <c r="M3363" t="inlineStr">
        <is>
          <t>P.Q.S.  TIPO ABC  90% NACIONAL</t>
        </is>
      </c>
      <c r="N3363" t="inlineStr">
        <is>
          <t>157/000445</t>
        </is>
      </c>
      <c r="O3363" t="inlineStr">
        <is>
          <t>R</t>
        </is>
      </c>
      <c r="P3363">
        <f>TRIM(N3363)</f>
        <v/>
      </c>
    </row>
    <row r="3364">
      <c r="A3364" t="inlineStr">
        <is>
          <t>CO-002446</t>
        </is>
      </c>
      <c r="B3364" t="inlineStr">
        <is>
          <t>PERU MASIVO S.A - BUSES</t>
        </is>
      </c>
      <c r="C3364" t="inlineStr">
        <is>
          <t>20492392031</t>
        </is>
      </c>
      <c r="D3364" t="inlineStr">
        <is>
          <t>AV. LOS INCAS CDRA. 4 PATIO NORTE - COMAS</t>
        </is>
      </c>
      <c r="E3364" t="inlineStr">
        <is>
          <t>Lima,04 de Septiembre de 2025</t>
        </is>
      </c>
      <c r="F3364" t="inlineStr">
        <is>
          <t>la Recarga y mantenimiento</t>
        </is>
      </c>
      <c r="G3364" t="inlineStr">
        <is>
          <t>04</t>
        </is>
      </c>
      <c r="H3364" t="inlineStr">
        <is>
          <t xml:space="preserve">06 KG </t>
        </is>
      </c>
      <c r="I3364" t="inlineStr">
        <is>
          <t>2028</t>
        </is>
      </c>
      <c r="J3364" t="n">
        <v>2010</v>
      </c>
      <c r="K3364" t="inlineStr">
        <is>
          <t>SEPTIEMBRE 2025</t>
        </is>
      </c>
      <c r="L3364" t="inlineStr">
        <is>
          <t>SEPTIEMBRE 2026</t>
        </is>
      </c>
      <c r="M3364" t="inlineStr">
        <is>
          <t>P.Q.S.  TIPO ABC  90% NACIONAL</t>
        </is>
      </c>
      <c r="N3364" t="inlineStr">
        <is>
          <t>113/201005</t>
        </is>
      </c>
      <c r="O3364" t="inlineStr">
        <is>
          <t>R</t>
        </is>
      </c>
      <c r="P3364">
        <f>TRIM(N3364)</f>
        <v/>
      </c>
    </row>
    <row r="3365">
      <c r="A3365" t="inlineStr">
        <is>
          <t>CO-002446</t>
        </is>
      </c>
      <c r="B3365" t="inlineStr">
        <is>
          <t>PERU MASIVO S.A - BUSES</t>
        </is>
      </c>
      <c r="C3365" t="inlineStr">
        <is>
          <t>20492392031</t>
        </is>
      </c>
      <c r="D3365" t="inlineStr">
        <is>
          <t>AV. LOS INCAS CDRA. 4 PATIO NORTE - COMAS</t>
        </is>
      </c>
      <c r="E3365" t="inlineStr">
        <is>
          <t>Lima,04 de Septiembre de 2025</t>
        </is>
      </c>
      <c r="F3365" t="inlineStr">
        <is>
          <t>la Recarga y mantenimiento</t>
        </is>
      </c>
      <c r="G3365" t="inlineStr">
        <is>
          <t>05</t>
        </is>
      </c>
      <c r="H3365" t="inlineStr">
        <is>
          <t xml:space="preserve">06 KG </t>
        </is>
      </c>
      <c r="I3365" t="inlineStr">
        <is>
          <t>2028</t>
        </is>
      </c>
      <c r="J3365" t="n">
        <v>2010</v>
      </c>
      <c r="K3365" t="inlineStr">
        <is>
          <t>SEPTIEMBRE 2025</t>
        </is>
      </c>
      <c r="L3365" t="inlineStr">
        <is>
          <t>SEPTIEMBRE 2026</t>
        </is>
      </c>
      <c r="M3365" t="inlineStr">
        <is>
          <t>P.Q.S.  TIPO ABC  90% NACIONAL</t>
        </is>
      </c>
      <c r="N3365" t="inlineStr">
        <is>
          <t>12/001619</t>
        </is>
      </c>
      <c r="O3365" t="inlineStr">
        <is>
          <t>R</t>
        </is>
      </c>
      <c r="P3365">
        <f>TRIM(N3365)</f>
        <v/>
      </c>
    </row>
    <row r="3366">
      <c r="A3366" t="inlineStr">
        <is>
          <t>CO-002446</t>
        </is>
      </c>
      <c r="B3366" t="inlineStr">
        <is>
          <t>PERU MASIVO S.A - BUSES</t>
        </is>
      </c>
      <c r="C3366" t="inlineStr">
        <is>
          <t>20492392031</t>
        </is>
      </c>
      <c r="D3366" t="inlineStr">
        <is>
          <t>AV. LOS INCAS CDRA. 4 PATIO NORTE - COMAS</t>
        </is>
      </c>
      <c r="E3366" t="inlineStr">
        <is>
          <t>Lima,04 de Septiembre de 2025</t>
        </is>
      </c>
      <c r="F3366" t="inlineStr">
        <is>
          <t>la Recarga y mantenimiento</t>
        </is>
      </c>
      <c r="G3366" t="inlineStr">
        <is>
          <t>06</t>
        </is>
      </c>
      <c r="H3366" t="inlineStr">
        <is>
          <t xml:space="preserve">06 KG </t>
        </is>
      </c>
      <c r="I3366" t="inlineStr">
        <is>
          <t>2028</t>
        </is>
      </c>
      <c r="J3366" t="n">
        <v>2009</v>
      </c>
      <c r="K3366" t="inlineStr">
        <is>
          <t>SEPTIEMBRE 2025</t>
        </is>
      </c>
      <c r="L3366" t="inlineStr">
        <is>
          <t>SEPTIEMBRE 2026</t>
        </is>
      </c>
      <c r="M3366" t="inlineStr">
        <is>
          <t>P.Q.S.  TIPO ABC  90% NACIONAL</t>
        </is>
      </c>
      <c r="N3366" t="inlineStr">
        <is>
          <t>16/001941</t>
        </is>
      </c>
      <c r="O3366" t="inlineStr">
        <is>
          <t>R</t>
        </is>
      </c>
      <c r="P3366">
        <f>TRIM(N3366)</f>
        <v/>
      </c>
    </row>
    <row r="3367">
      <c r="A3367" t="inlineStr">
        <is>
          <t>CO-002446</t>
        </is>
      </c>
      <c r="B3367" t="inlineStr">
        <is>
          <t>PERU MASIVO S.A - BUSES</t>
        </is>
      </c>
      <c r="C3367" t="inlineStr">
        <is>
          <t>20492392031</t>
        </is>
      </c>
      <c r="D3367" t="inlineStr">
        <is>
          <t>AV. LOS INCAS CDRA. 4 PATIO NORTE - COMAS</t>
        </is>
      </c>
      <c r="E3367" t="inlineStr">
        <is>
          <t>Lima,04 de Septiembre de 2025</t>
        </is>
      </c>
      <c r="F3367" t="inlineStr">
        <is>
          <t>la Recarga y mantenimiento</t>
        </is>
      </c>
      <c r="G3367" t="inlineStr">
        <is>
          <t>07</t>
        </is>
      </c>
      <c r="H3367" t="inlineStr">
        <is>
          <t xml:space="preserve">06 KG </t>
        </is>
      </c>
      <c r="I3367" t="inlineStr">
        <is>
          <t>2029</t>
        </is>
      </c>
      <c r="J3367" t="n">
        <v>2010</v>
      </c>
      <c r="K3367" t="inlineStr">
        <is>
          <t>SEPTIEMBRE 2025</t>
        </is>
      </c>
      <c r="L3367" t="inlineStr">
        <is>
          <t>SEPTIEMBRE 2026</t>
        </is>
      </c>
      <c r="M3367" t="inlineStr">
        <is>
          <t>P.Q.S.  TIPO ABC  90% NACIONAL</t>
        </is>
      </c>
      <c r="N3367" t="inlineStr">
        <is>
          <t>244/001534</t>
        </is>
      </c>
      <c r="O3367" t="inlineStr">
        <is>
          <t>R</t>
        </is>
      </c>
      <c r="P3367">
        <f>TRIM(N3367)</f>
        <v/>
      </c>
    </row>
    <row r="3368">
      <c r="A3368" t="inlineStr">
        <is>
          <t>CO-002446</t>
        </is>
      </c>
      <c r="B3368" t="inlineStr">
        <is>
          <t>PERU MASIVO S.A - BUSES</t>
        </is>
      </c>
      <c r="C3368" t="inlineStr">
        <is>
          <t>20492392031</t>
        </is>
      </c>
      <c r="D3368" t="inlineStr">
        <is>
          <t>AV. LOS INCAS CDRA. 4 PATIO NORTE - COMAS</t>
        </is>
      </c>
      <c r="E3368" t="inlineStr">
        <is>
          <t>Lima,04 de Septiembre de 2025</t>
        </is>
      </c>
      <c r="F3368" t="inlineStr">
        <is>
          <t>la Recarga y mantenimiento</t>
        </is>
      </c>
      <c r="G3368" t="inlineStr">
        <is>
          <t>08</t>
        </is>
      </c>
      <c r="H3368" t="inlineStr">
        <is>
          <t xml:space="preserve">06 KG </t>
        </is>
      </c>
      <c r="I3368" t="inlineStr">
        <is>
          <t>2028</t>
        </is>
      </c>
      <c r="J3368" t="n">
        <v>2010</v>
      </c>
      <c r="K3368" t="inlineStr">
        <is>
          <t>SEPTIEMBRE 2025</t>
        </is>
      </c>
      <c r="L3368" t="inlineStr">
        <is>
          <t>SEPTIEMBRE 2026</t>
        </is>
      </c>
      <c r="M3368" t="inlineStr">
        <is>
          <t>P.Q.S.  TIPO ABC  90% NACIONAL</t>
        </is>
      </c>
      <c r="N3368" t="inlineStr">
        <is>
          <t>302/000718</t>
        </is>
      </c>
      <c r="O3368" t="inlineStr">
        <is>
          <t>R</t>
        </is>
      </c>
      <c r="P3368">
        <f>TRIM(N3368)</f>
        <v/>
      </c>
    </row>
    <row r="3369">
      <c r="A3369" t="inlineStr">
        <is>
          <t>CO-002447</t>
        </is>
      </c>
      <c r="B3369" t="inlineStr">
        <is>
          <t>PERU MASIVO S.A - BUSES</t>
        </is>
      </c>
      <c r="C3369" t="inlineStr">
        <is>
          <t>20492392031</t>
        </is>
      </c>
      <c r="D3369" t="inlineStr">
        <is>
          <t>AV. LOS INCAS CDRA. 4 PATIO NORTE - COMAS</t>
        </is>
      </c>
      <c r="E3369" t="inlineStr">
        <is>
          <t>Lima,05 de Septiembre de 2025</t>
        </is>
      </c>
      <c r="F3369" t="inlineStr">
        <is>
          <t>la Recarga y mantenimiento</t>
        </is>
      </c>
      <c r="G3369" t="inlineStr">
        <is>
          <t>01</t>
        </is>
      </c>
      <c r="H3369" t="inlineStr">
        <is>
          <t>06 KG</t>
        </is>
      </c>
      <c r="I3369" t="inlineStr">
        <is>
          <t>2028</t>
        </is>
      </c>
      <c r="J3369" t="n">
        <v>2010</v>
      </c>
      <c r="K3369" t="inlineStr">
        <is>
          <t>SEPTIEMBRE 2025</t>
        </is>
      </c>
      <c r="L3369" t="inlineStr">
        <is>
          <t>SEPTIEMBRE 2026</t>
        </is>
      </c>
      <c r="M3369" t="inlineStr">
        <is>
          <t xml:space="preserve">PQS TIPO ABC AL 90% </t>
        </is>
      </c>
      <c r="N3369" t="inlineStr">
        <is>
          <t>284/000101</t>
        </is>
      </c>
      <c r="O3369" t="inlineStr">
        <is>
          <t>R</t>
        </is>
      </c>
      <c r="P3369">
        <f>TRIM(N3369)</f>
        <v/>
      </c>
    </row>
    <row r="3370">
      <c r="A3370" t="inlineStr">
        <is>
          <t>CO-002447</t>
        </is>
      </c>
      <c r="B3370" t="inlineStr">
        <is>
          <t>PERU MASIVO S.A - BUSES</t>
        </is>
      </c>
      <c r="C3370" t="inlineStr">
        <is>
          <t>20492392031</t>
        </is>
      </c>
      <c r="D3370" t="inlineStr">
        <is>
          <t>AV. LOS INCAS CDRA. 4 PATIO NORTE - COMAS</t>
        </is>
      </c>
      <c r="E3370" t="inlineStr">
        <is>
          <t>Lima,05 de Septiembre de 2025</t>
        </is>
      </c>
      <c r="F3370" t="inlineStr">
        <is>
          <t>la Recarga y mantenimiento</t>
        </is>
      </c>
      <c r="G3370" t="inlineStr">
        <is>
          <t>02</t>
        </is>
      </c>
      <c r="H3370" t="inlineStr">
        <is>
          <t>06 KG</t>
        </is>
      </c>
      <c r="I3370" t="inlineStr">
        <is>
          <t>2028</t>
        </is>
      </c>
      <c r="J3370" t="n">
        <v>2010</v>
      </c>
      <c r="K3370" t="inlineStr">
        <is>
          <t>SEPTIEMBRE 2025</t>
        </is>
      </c>
      <c r="L3370" t="inlineStr">
        <is>
          <t>SEPTIEMBRE 2026</t>
        </is>
      </c>
      <c r="M3370" t="inlineStr">
        <is>
          <t xml:space="preserve">PQS TIPO ABC AL 90% </t>
        </is>
      </c>
      <c r="N3370" t="inlineStr">
        <is>
          <t>38/002703</t>
        </is>
      </c>
      <c r="O3370" t="inlineStr">
        <is>
          <t>R</t>
        </is>
      </c>
      <c r="P3370">
        <f>TRIM(N3370)</f>
        <v/>
      </c>
    </row>
    <row r="3371">
      <c r="A3371" t="inlineStr">
        <is>
          <t>CO-002447</t>
        </is>
      </c>
      <c r="B3371" t="inlineStr">
        <is>
          <t>PERU MASIVO S.A - BUSES</t>
        </is>
      </c>
      <c r="C3371" t="inlineStr">
        <is>
          <t>20492392031</t>
        </is>
      </c>
      <c r="D3371" t="inlineStr">
        <is>
          <t>AV. LOS INCAS CDRA. 4 PATIO NORTE - COMAS</t>
        </is>
      </c>
      <c r="E3371" t="inlineStr">
        <is>
          <t>Lima,05 de Septiembre de 2025</t>
        </is>
      </c>
      <c r="F3371" t="inlineStr">
        <is>
          <t>la Recarga y mantenimiento</t>
        </is>
      </c>
      <c r="G3371" t="inlineStr">
        <is>
          <t>03</t>
        </is>
      </c>
      <c r="H3371" t="inlineStr">
        <is>
          <t>06 KG</t>
        </is>
      </c>
      <c r="I3371" t="n">
        <v>2028</v>
      </c>
      <c r="J3371" t="n">
        <v>2010</v>
      </c>
      <c r="K3371" t="inlineStr">
        <is>
          <t>SEPTIEMBRE 2025</t>
        </is>
      </c>
      <c r="L3371" t="inlineStr">
        <is>
          <t>SEPTIEMBRE 2026</t>
        </is>
      </c>
      <c r="M3371" t="inlineStr">
        <is>
          <t xml:space="preserve">PQS TIPO ABC AL 90% </t>
        </is>
      </c>
      <c r="N3371" t="inlineStr">
        <is>
          <t>194/000005</t>
        </is>
      </c>
      <c r="O3371" t="inlineStr">
        <is>
          <t>R</t>
        </is>
      </c>
      <c r="P3371">
        <f>TRIM(N3371)</f>
        <v/>
      </c>
    </row>
    <row r="3372">
      <c r="A3372" t="inlineStr">
        <is>
          <t>CO-002447</t>
        </is>
      </c>
      <c r="B3372" t="inlineStr">
        <is>
          <t>PERU MASIVO S.A - BUSES</t>
        </is>
      </c>
      <c r="C3372" t="inlineStr">
        <is>
          <t>20492392031</t>
        </is>
      </c>
      <c r="D3372" t="inlineStr">
        <is>
          <t>AV. LOS INCAS CDRA. 4 PATIO NORTE - COMAS</t>
        </is>
      </c>
      <c r="E3372" t="inlineStr">
        <is>
          <t>Lima,05 de Septiembre de 2025</t>
        </is>
      </c>
      <c r="F3372" t="inlineStr">
        <is>
          <t>la Recarga y mantenimiento</t>
        </is>
      </c>
      <c r="G3372" t="inlineStr">
        <is>
          <t>04</t>
        </is>
      </c>
      <c r="H3372" t="inlineStr">
        <is>
          <t>06 KG</t>
        </is>
      </c>
      <c r="I3372" t="n">
        <v>2028</v>
      </c>
      <c r="J3372" t="n">
        <v>2010</v>
      </c>
      <c r="K3372" t="inlineStr">
        <is>
          <t>SEPTIEMBRE 2025</t>
        </is>
      </c>
      <c r="L3372" t="inlineStr">
        <is>
          <t>SEPTIEMBRE 2026</t>
        </is>
      </c>
      <c r="M3372" t="inlineStr">
        <is>
          <t xml:space="preserve">PQS TIPO ABC AL 90% </t>
        </is>
      </c>
      <c r="N3372" t="inlineStr">
        <is>
          <t>38/000005</t>
        </is>
      </c>
      <c r="O3372" t="inlineStr">
        <is>
          <t>R</t>
        </is>
      </c>
      <c r="P3372">
        <f>TRIM(N3372)</f>
        <v/>
      </c>
    </row>
    <row r="3373">
      <c r="A3373" t="inlineStr">
        <is>
          <t>CO-002448</t>
        </is>
      </c>
      <c r="B3373" t="inlineStr">
        <is>
          <t>PERU MASIVO S.A - BUSES</t>
        </is>
      </c>
      <c r="C3373" t="inlineStr">
        <is>
          <t>20492392031</t>
        </is>
      </c>
      <c r="D3373" t="inlineStr">
        <is>
          <t>AV. LOS INCAS CDRA. 4 PATIO NORTE - COMAS</t>
        </is>
      </c>
      <c r="E3373" t="inlineStr">
        <is>
          <t>Lima,11 de Septiembre de 2025</t>
        </is>
      </c>
      <c r="F3373" t="inlineStr">
        <is>
          <t>la Recarga y mantenimiento</t>
        </is>
      </c>
      <c r="G3373" t="inlineStr">
        <is>
          <t>01</t>
        </is>
      </c>
      <c r="H3373" t="inlineStr">
        <is>
          <t xml:space="preserve">06 KG </t>
        </is>
      </c>
      <c r="I3373" t="inlineStr">
        <is>
          <t>2028</t>
        </is>
      </c>
      <c r="J3373" t="n">
        <v>2009</v>
      </c>
      <c r="K3373" t="inlineStr">
        <is>
          <t>SEPTIEMBRE 2025</t>
        </is>
      </c>
      <c r="L3373" t="inlineStr">
        <is>
          <t>SEPTIEMBRE 2026</t>
        </is>
      </c>
      <c r="M3373" t="inlineStr">
        <is>
          <t>PQS TIPO ABC AL 90%</t>
        </is>
      </c>
      <c r="N3373" t="inlineStr">
        <is>
          <t>320/002699</t>
        </is>
      </c>
      <c r="O3373" t="inlineStr">
        <is>
          <t>R</t>
        </is>
      </c>
      <c r="P3373">
        <f>TRIM(N3373)</f>
        <v/>
      </c>
    </row>
    <row r="3374">
      <c r="A3374" t="inlineStr">
        <is>
          <t>CO-002448</t>
        </is>
      </c>
      <c r="B3374" t="inlineStr">
        <is>
          <t>PERU MASIVO S.A - BUSES</t>
        </is>
      </c>
      <c r="C3374" t="inlineStr">
        <is>
          <t>20492392031</t>
        </is>
      </c>
      <c r="D3374" t="inlineStr">
        <is>
          <t>AV. LOS INCAS CDRA. 4 PATIO NORTE - COMAS</t>
        </is>
      </c>
      <c r="E3374" t="inlineStr">
        <is>
          <t>Lima,11 de Septiembre de 2025</t>
        </is>
      </c>
      <c r="F3374" t="inlineStr">
        <is>
          <t>la Recarga y mantenimiento</t>
        </is>
      </c>
      <c r="G3374" t="inlineStr">
        <is>
          <t>02</t>
        </is>
      </c>
      <c r="H3374" t="inlineStr">
        <is>
          <t>06 KG</t>
        </is>
      </c>
      <c r="I3374" t="inlineStr">
        <is>
          <t>2028</t>
        </is>
      </c>
      <c r="J3374" t="n">
        <v>2017</v>
      </c>
      <c r="K3374" t="inlineStr">
        <is>
          <t>SEPTIEMBRE 2025</t>
        </is>
      </c>
      <c r="L3374" t="inlineStr">
        <is>
          <t>SEPTIEMBRE 2026</t>
        </is>
      </c>
      <c r="M3374" t="inlineStr">
        <is>
          <t xml:space="preserve">PQS TIPO ABC AL 90% </t>
        </is>
      </c>
      <c r="N3374" t="inlineStr">
        <is>
          <t>196/003064</t>
        </is>
      </c>
      <c r="O3374" t="inlineStr">
        <is>
          <t>R</t>
        </is>
      </c>
      <c r="P3374">
        <f>TRIM(N3374)</f>
        <v/>
      </c>
    </row>
    <row r="3375">
      <c r="A3375" t="inlineStr">
        <is>
          <t>CO-002448</t>
        </is>
      </c>
      <c r="B3375" t="inlineStr">
        <is>
          <t>PERU MASIVO S.A - BUSES</t>
        </is>
      </c>
      <c r="C3375" t="inlineStr">
        <is>
          <t>20492392031</t>
        </is>
      </c>
      <c r="D3375" t="inlineStr">
        <is>
          <t>AV. LOS INCAS CDRA. 4 PATIO NORTE - COMAS</t>
        </is>
      </c>
      <c r="E3375" t="inlineStr">
        <is>
          <t>Lima,11 de Septiembre de 2025</t>
        </is>
      </c>
      <c r="F3375" t="inlineStr">
        <is>
          <t>la Recarga y mantenimiento</t>
        </is>
      </c>
      <c r="G3375" t="inlineStr">
        <is>
          <t>03</t>
        </is>
      </c>
      <c r="H3375" t="inlineStr">
        <is>
          <t>06 KG</t>
        </is>
      </c>
      <c r="I3375" t="n">
        <v>2028</v>
      </c>
      <c r="J3375" t="n">
        <v>2015</v>
      </c>
      <c r="K3375" t="inlineStr">
        <is>
          <t>SEPTIEMBRE 2025</t>
        </is>
      </c>
      <c r="L3375" t="inlineStr">
        <is>
          <t>SEPTIEMBRE 2026</t>
        </is>
      </c>
      <c r="M3375" t="inlineStr">
        <is>
          <t xml:space="preserve">PQS TIPO ABC AL 90% </t>
        </is>
      </c>
      <c r="N3375" t="inlineStr">
        <is>
          <t>217/020537</t>
        </is>
      </c>
      <c r="O3375" t="inlineStr">
        <is>
          <t>R</t>
        </is>
      </c>
      <c r="P3375">
        <f>TRIM(N3375)</f>
        <v/>
      </c>
    </row>
    <row r="3376">
      <c r="A3376" t="inlineStr">
        <is>
          <t>CO-002448</t>
        </is>
      </c>
      <c r="B3376" t="inlineStr">
        <is>
          <t>PERU MASIVO S.A - BUSES</t>
        </is>
      </c>
      <c r="C3376" t="inlineStr">
        <is>
          <t>20492392031</t>
        </is>
      </c>
      <c r="D3376" t="inlineStr">
        <is>
          <t>AV. LOS INCAS CDRA. 4 PATIO NORTE - COMAS</t>
        </is>
      </c>
      <c r="E3376" t="inlineStr">
        <is>
          <t>Lima,11 de Septiembre de 2025</t>
        </is>
      </c>
      <c r="F3376" t="inlineStr">
        <is>
          <t>la Recarga y mantenimiento</t>
        </is>
      </c>
      <c r="G3376" t="inlineStr">
        <is>
          <t>04</t>
        </is>
      </c>
      <c r="H3376" t="inlineStr">
        <is>
          <t xml:space="preserve">06 KG </t>
        </is>
      </c>
      <c r="I3376" t="n">
        <v>2028</v>
      </c>
      <c r="J3376" t="n">
        <v>2009</v>
      </c>
      <c r="K3376" t="inlineStr">
        <is>
          <t>SEPTIEMBRE 2025</t>
        </is>
      </c>
      <c r="L3376" t="inlineStr">
        <is>
          <t>SEPTIEMBRE 2026</t>
        </is>
      </c>
      <c r="M3376" t="inlineStr">
        <is>
          <t xml:space="preserve">PQS TIPO ABC AL 90% </t>
        </is>
      </c>
      <c r="N3376" t="inlineStr">
        <is>
          <t>160/001093</t>
        </is>
      </c>
      <c r="O3376" t="inlineStr">
        <is>
          <t>R</t>
        </is>
      </c>
      <c r="P3376">
        <f>TRIM(N3376)</f>
        <v/>
      </c>
    </row>
    <row r="3377">
      <c r="A3377" t="inlineStr">
        <is>
          <t>CO-002448</t>
        </is>
      </c>
      <c r="B3377" t="inlineStr">
        <is>
          <t>PERU MASIVO S.A - BUSES</t>
        </is>
      </c>
      <c r="C3377" t="inlineStr">
        <is>
          <t>20492392031</t>
        </is>
      </c>
      <c r="D3377" t="inlineStr">
        <is>
          <t>AV. LOS INCAS CDRA. 4 PATIO NORTE - COMAS</t>
        </is>
      </c>
      <c r="E3377" t="inlineStr">
        <is>
          <t>Lima,11 de Septiembre de 2025</t>
        </is>
      </c>
      <c r="F3377" t="inlineStr">
        <is>
          <t>la Recarga y mantenimiento</t>
        </is>
      </c>
      <c r="G3377" t="inlineStr">
        <is>
          <t>05</t>
        </is>
      </c>
      <c r="H3377" t="inlineStr">
        <is>
          <t>06 KG</t>
        </is>
      </c>
      <c r="I3377" t="n">
        <v>2028</v>
      </c>
      <c r="J3377" t="n">
        <v>2009</v>
      </c>
      <c r="K3377" t="inlineStr">
        <is>
          <t>SEPTIEMBRE 2025</t>
        </is>
      </c>
      <c r="L3377" t="inlineStr">
        <is>
          <t>SEPTIEMBRE 2026</t>
        </is>
      </c>
      <c r="M3377" t="inlineStr">
        <is>
          <t>PQS TIPO ABC AL 90%</t>
        </is>
      </c>
      <c r="N3377" t="inlineStr">
        <is>
          <t>96/000961</t>
        </is>
      </c>
      <c r="O3377" t="inlineStr">
        <is>
          <t>R</t>
        </is>
      </c>
      <c r="P3377">
        <f>TRIM(N3377)</f>
        <v/>
      </c>
    </row>
    <row r="3378">
      <c r="A3378" t="inlineStr">
        <is>
          <t>CO-002448</t>
        </is>
      </c>
      <c r="B3378" t="inlineStr">
        <is>
          <t>PERU MASIVO S.A - BUSES</t>
        </is>
      </c>
      <c r="C3378" t="inlineStr">
        <is>
          <t>20492392031</t>
        </is>
      </c>
      <c r="D3378" t="inlineStr">
        <is>
          <t>AV. LOS INCAS CDRA. 4 PATIO NORTE - COMAS</t>
        </is>
      </c>
      <c r="E3378" t="inlineStr">
        <is>
          <t>Lima,11 de Septiembre de 2025</t>
        </is>
      </c>
      <c r="F3378" t="inlineStr">
        <is>
          <t>la Recarga y mantenimiento</t>
        </is>
      </c>
      <c r="G3378" t="inlineStr">
        <is>
          <t xml:space="preserve">06 </t>
        </is>
      </c>
      <c r="H3378" t="inlineStr">
        <is>
          <t>06 KG</t>
        </is>
      </c>
      <c r="I3378" t="n">
        <v>2028</v>
      </c>
      <c r="J3378" t="n">
        <v>2009</v>
      </c>
      <c r="K3378" t="inlineStr">
        <is>
          <t>SEPTIEMBRE 2025</t>
        </is>
      </c>
      <c r="L3378" t="inlineStr">
        <is>
          <t>SEPTIEMBRE 2026</t>
        </is>
      </c>
      <c r="M3378" t="inlineStr">
        <is>
          <t>PQS TIPO ABC AL 90%</t>
        </is>
      </c>
      <c r="N3378" t="inlineStr">
        <is>
          <t>27/000474</t>
        </is>
      </c>
      <c r="O3378" t="inlineStr">
        <is>
          <t>R</t>
        </is>
      </c>
      <c r="P3378">
        <f>TRIM(N3378)</f>
        <v/>
      </c>
    </row>
    <row r="3379">
      <c r="A3379" t="inlineStr">
        <is>
          <t>CO-002448</t>
        </is>
      </c>
      <c r="B3379" t="inlineStr">
        <is>
          <t>PERU MASIVO S.A - BUSES</t>
        </is>
      </c>
      <c r="C3379" t="inlineStr">
        <is>
          <t>20492392031</t>
        </is>
      </c>
      <c r="D3379" t="inlineStr">
        <is>
          <t>AV. LOS INCAS CDRA. 4 PATIO NORTE - COMAS</t>
        </is>
      </c>
      <c r="E3379" t="inlineStr">
        <is>
          <t>Lima,11 de Septiembre de 2025</t>
        </is>
      </c>
      <c r="F3379" t="inlineStr">
        <is>
          <t>la Recarga y mantenimiento</t>
        </is>
      </c>
      <c r="G3379" t="inlineStr">
        <is>
          <t>07</t>
        </is>
      </c>
      <c r="H3379" t="inlineStr">
        <is>
          <t>06 KG</t>
        </is>
      </c>
      <c r="I3379" t="n">
        <v>2028</v>
      </c>
      <c r="J3379" t="n">
        <v>2014</v>
      </c>
      <c r="K3379" t="inlineStr">
        <is>
          <t>SEPTIEMBRE 2025</t>
        </is>
      </c>
      <c r="L3379" t="inlineStr">
        <is>
          <t>SEPTIEMBRE 2026</t>
        </is>
      </c>
      <c r="M3379" t="inlineStr">
        <is>
          <t>PQS TIPO ABC AL 90%</t>
        </is>
      </c>
      <c r="N3379" t="inlineStr">
        <is>
          <t>204/000242</t>
        </is>
      </c>
      <c r="O3379" t="inlineStr">
        <is>
          <t>R</t>
        </is>
      </c>
      <c r="P3379">
        <f>TRIM(N3379)</f>
        <v/>
      </c>
    </row>
    <row r="3380">
      <c r="A3380" t="inlineStr">
        <is>
          <t>CO-002448</t>
        </is>
      </c>
      <c r="B3380" t="inlineStr">
        <is>
          <t>PERU MASIVO S.A - BUSES</t>
        </is>
      </c>
      <c r="C3380" t="inlineStr">
        <is>
          <t>20492392031</t>
        </is>
      </c>
      <c r="D3380" t="inlineStr">
        <is>
          <t>AV. LOS INCAS CDRA. 4 PATIO NORTE - COMAS</t>
        </is>
      </c>
      <c r="E3380" t="inlineStr">
        <is>
          <t>Lima,11 de Septiembre de 2025</t>
        </is>
      </c>
      <c r="F3380" t="inlineStr">
        <is>
          <t>la Recarga y mantenimiento</t>
        </is>
      </c>
      <c r="G3380" t="inlineStr">
        <is>
          <t>08</t>
        </is>
      </c>
      <c r="H3380" t="inlineStr">
        <is>
          <t>06 KG</t>
        </is>
      </c>
      <c r="I3380" t="n">
        <v>2028</v>
      </c>
      <c r="J3380" t="n">
        <v>2017</v>
      </c>
      <c r="K3380" t="inlineStr">
        <is>
          <t>SEPTIEMBRE 2025</t>
        </is>
      </c>
      <c r="L3380" t="inlineStr">
        <is>
          <t>SEPTIEMBRE 2026</t>
        </is>
      </c>
      <c r="M3380" t="inlineStr">
        <is>
          <t>PQS TIPO ABC AL 90%</t>
        </is>
      </c>
      <c r="N3380" t="inlineStr">
        <is>
          <t>227/003686</t>
        </is>
      </c>
      <c r="O3380" t="inlineStr">
        <is>
          <t>R</t>
        </is>
      </c>
      <c r="P3380">
        <f>TRIM(N3380)</f>
        <v/>
      </c>
    </row>
    <row r="3381">
      <c r="A3381" t="inlineStr">
        <is>
          <t>CO-002449</t>
        </is>
      </c>
      <c r="B3381" t="inlineStr">
        <is>
          <t xml:space="preserve">INDEXTU SAC </t>
        </is>
      </c>
      <c r="C3381" t="inlineStr">
        <is>
          <t>20602503039</t>
        </is>
      </c>
      <c r="D3381" t="inlineStr">
        <is>
          <t xml:space="preserve"> AV. MAQUINARIAS NRO. 2341 Z.I. INDUSTRIAL, LIMA</t>
        </is>
      </c>
      <c r="E3381" t="inlineStr">
        <is>
          <t>Lima, 16 de Septiembre de 2025</t>
        </is>
      </c>
      <c r="F3381" t="inlineStr">
        <is>
          <t>la Recarga y mantenimiento</t>
        </is>
      </c>
      <c r="G3381" t="inlineStr">
        <is>
          <t>01</t>
        </is>
      </c>
      <c r="H3381" t="inlineStr">
        <is>
          <t xml:space="preserve">06 KG </t>
        </is>
      </c>
      <c r="I3381" t="inlineStr">
        <is>
          <t>2028</t>
        </is>
      </c>
      <c r="J3381" t="n">
        <v>2023</v>
      </c>
      <c r="K3381" t="inlineStr">
        <is>
          <t>SEPTIEMBRE 2025</t>
        </is>
      </c>
      <c r="L3381" t="inlineStr">
        <is>
          <t>SEPTIEMBRE 2026</t>
        </is>
      </c>
      <c r="M3381" t="inlineStr">
        <is>
          <t>PQS TIPO ABC AL 90%</t>
        </is>
      </c>
      <c r="N3381" t="inlineStr">
        <is>
          <t>29/544857</t>
        </is>
      </c>
      <c r="O3381" t="inlineStr">
        <is>
          <t>M2</t>
        </is>
      </c>
      <c r="P3381">
        <f>TRIM(N3381)</f>
        <v/>
      </c>
    </row>
    <row r="3382">
      <c r="A3382" t="inlineStr">
        <is>
          <t>CO-002449</t>
        </is>
      </c>
      <c r="B3382" t="inlineStr">
        <is>
          <t xml:space="preserve">INDEXTU SAC </t>
        </is>
      </c>
      <c r="C3382" t="inlineStr">
        <is>
          <t>20602503039</t>
        </is>
      </c>
      <c r="D3382" t="inlineStr">
        <is>
          <t xml:space="preserve"> AV. MAQUINARIAS NRO. 2341 Z.I. INDUSTRIAL, LIMA</t>
        </is>
      </c>
      <c r="E3382" t="inlineStr">
        <is>
          <t>Lima, 16 de Septiembre de 2025</t>
        </is>
      </c>
      <c r="F3382" t="inlineStr">
        <is>
          <t>la Recarga y mantenimiento</t>
        </is>
      </c>
      <c r="G3382" t="inlineStr">
        <is>
          <t>02</t>
        </is>
      </c>
      <c r="H3382" t="inlineStr">
        <is>
          <t>06 KG</t>
        </is>
      </c>
      <c r="I3382" t="inlineStr">
        <is>
          <t>2028</t>
        </is>
      </c>
      <c r="J3382" t="n">
        <v>2018</v>
      </c>
      <c r="K3382" t="inlineStr">
        <is>
          <t>SEPTIEMBRE 2025</t>
        </is>
      </c>
      <c r="L3382" t="inlineStr">
        <is>
          <t>SEPTIEMBRE 2026</t>
        </is>
      </c>
      <c r="M3382" t="inlineStr">
        <is>
          <t xml:space="preserve">PQS TIPO ABC AL 90% </t>
        </is>
      </c>
      <c r="N3382" t="inlineStr">
        <is>
          <t>01/000656</t>
        </is>
      </c>
      <c r="O3382" t="inlineStr">
        <is>
          <t>M2</t>
        </is>
      </c>
      <c r="P3382">
        <f>TRIM(N3382)</f>
        <v/>
      </c>
    </row>
    <row r="3383">
      <c r="A3383" t="inlineStr">
        <is>
          <t>CO-002449</t>
        </is>
      </c>
      <c r="B3383" t="inlineStr">
        <is>
          <t xml:space="preserve">INDEXTU SAC </t>
        </is>
      </c>
      <c r="C3383" t="inlineStr">
        <is>
          <t>20602503039</t>
        </is>
      </c>
      <c r="D3383" t="inlineStr">
        <is>
          <t xml:space="preserve"> AV. MAQUINARIAS NRO. 2341 Z.I. INDUSTRIAL, LIMA</t>
        </is>
      </c>
      <c r="E3383" t="inlineStr">
        <is>
          <t>Lima, 16 de Septiembre de 2025</t>
        </is>
      </c>
      <c r="F3383" t="inlineStr">
        <is>
          <t>la Recarga y mantenimiento</t>
        </is>
      </c>
      <c r="G3383" t="inlineStr">
        <is>
          <t>03</t>
        </is>
      </c>
      <c r="H3383" t="inlineStr">
        <is>
          <t>06 KG</t>
        </is>
      </c>
      <c r="I3383" t="n">
        <v>2030</v>
      </c>
      <c r="J3383" t="n">
        <v>2025</v>
      </c>
      <c r="K3383" t="inlineStr">
        <is>
          <t>SEPTIEMBRE 2025</t>
        </is>
      </c>
      <c r="L3383" t="inlineStr">
        <is>
          <t>SEPTIEMBRE 2026</t>
        </is>
      </c>
      <c r="M3383" t="inlineStr">
        <is>
          <t xml:space="preserve">PQS TIPO ABC AL 90% </t>
        </is>
      </c>
      <c r="N3383" t="inlineStr">
        <is>
          <t>18/000276</t>
        </is>
      </c>
      <c r="O3383" t="inlineStr">
        <is>
          <t>R</t>
        </is>
      </c>
      <c r="P3383">
        <f>TRIM(N3383)</f>
        <v/>
      </c>
    </row>
    <row r="3384">
      <c r="A3384" t="inlineStr">
        <is>
          <t>CO-002450</t>
        </is>
      </c>
      <c r="B3384" t="inlineStr">
        <is>
          <t>PACIFICO COMPAÑÍA DE SEGURO Y REASEGUROS</t>
        </is>
      </c>
      <c r="C3384" t="inlineStr">
        <is>
          <t>20332970411</t>
        </is>
      </c>
      <c r="D3384" t="inlineStr">
        <is>
          <t xml:space="preserve">AV. MICAELA BASTIDAS N°327 - CUSCO </t>
        </is>
      </c>
      <c r="E3384" t="inlineStr">
        <is>
          <t>Lima, 13 de Septiembre del 2025</t>
        </is>
      </c>
      <c r="F3384" t="inlineStr">
        <is>
          <t>la Recarga y mantenimiento</t>
        </is>
      </c>
      <c r="G3384" t="inlineStr">
        <is>
          <t>01</t>
        </is>
      </c>
      <c r="H3384" t="inlineStr">
        <is>
          <t>10 LBS</t>
        </is>
      </c>
      <c r="I3384" t="inlineStr">
        <is>
          <t>2029</t>
        </is>
      </c>
      <c r="J3384" t="n">
        <v>2015</v>
      </c>
      <c r="K3384" t="inlineStr">
        <is>
          <t>SEPTIEMBRE 2025</t>
        </is>
      </c>
      <c r="L3384" t="inlineStr">
        <is>
          <t>SEPTIEMBRE 2026</t>
        </is>
      </c>
      <c r="M3384" t="inlineStr">
        <is>
          <t xml:space="preserve">CO2 TIPO BC </t>
        </is>
      </c>
      <c r="N3384" t="inlineStr">
        <is>
          <t>S/N/000411</t>
        </is>
      </c>
      <c r="O3384" t="inlineStr">
        <is>
          <t>R</t>
        </is>
      </c>
      <c r="P3384">
        <f>TRIM(N3384)</f>
        <v/>
      </c>
    </row>
    <row r="3385">
      <c r="A3385" t="inlineStr">
        <is>
          <t>CO-002450</t>
        </is>
      </c>
      <c r="B3385" t="inlineStr">
        <is>
          <t>PACIFICO COMPAÑÍA DE SEGURO Y REASEGUROS</t>
        </is>
      </c>
      <c r="C3385" t="inlineStr">
        <is>
          <t>20332970411</t>
        </is>
      </c>
      <c r="D3385" t="inlineStr">
        <is>
          <t xml:space="preserve">AV. MICAELA BASTIDAS N°327 - CUSCO </t>
        </is>
      </c>
      <c r="E3385" t="inlineStr">
        <is>
          <t>Lima, 13 de Septiembre del 2025</t>
        </is>
      </c>
      <c r="F3385" t="inlineStr">
        <is>
          <t>la Recarga y mantenimiento</t>
        </is>
      </c>
      <c r="G3385" t="inlineStr">
        <is>
          <t>02</t>
        </is>
      </c>
      <c r="H3385" t="inlineStr">
        <is>
          <t>10 LBS</t>
        </is>
      </c>
      <c r="I3385" t="inlineStr">
        <is>
          <t>2029</t>
        </is>
      </c>
      <c r="J3385" t="n">
        <v>2015</v>
      </c>
      <c r="K3385" t="inlineStr">
        <is>
          <t>SEPTIEMBRE 2025</t>
        </is>
      </c>
      <c r="L3385" t="inlineStr">
        <is>
          <t>SEPTIEMBRE 2026</t>
        </is>
      </c>
      <c r="M3385" t="inlineStr">
        <is>
          <t xml:space="preserve">CO2 TIPO BC </t>
        </is>
      </c>
      <c r="N3385" t="inlineStr">
        <is>
          <t>S/N/000195</t>
        </is>
      </c>
      <c r="O3385" t="inlineStr">
        <is>
          <t>R</t>
        </is>
      </c>
      <c r="P3385">
        <f>TRIM(N3385)</f>
        <v/>
      </c>
    </row>
    <row r="3386">
      <c r="A3386" t="inlineStr">
        <is>
          <t>CO-002450</t>
        </is>
      </c>
      <c r="B3386" t="inlineStr">
        <is>
          <t>PACIFICO COMPAÑÍA DE SEGURO Y REASEGUROS</t>
        </is>
      </c>
      <c r="C3386" t="inlineStr">
        <is>
          <t>20332970411</t>
        </is>
      </c>
      <c r="D3386" t="inlineStr">
        <is>
          <t xml:space="preserve">AV. MICAELA BASTIDAS N°327 - CUSCO </t>
        </is>
      </c>
      <c r="E3386" t="inlineStr">
        <is>
          <t>Lima, 13 de Septiembre del 2025</t>
        </is>
      </c>
      <c r="F3386" t="inlineStr">
        <is>
          <t>la Recarga y mantenimiento</t>
        </is>
      </c>
      <c r="G3386" t="inlineStr">
        <is>
          <t>03</t>
        </is>
      </c>
      <c r="H3386" t="inlineStr">
        <is>
          <t>06 KG</t>
        </is>
      </c>
      <c r="I3386" t="n">
        <v>2029</v>
      </c>
      <c r="J3386" t="n">
        <v>2016</v>
      </c>
      <c r="K3386" t="inlineStr">
        <is>
          <t>SEPTIEMBRE 2025</t>
        </is>
      </c>
      <c r="L3386" t="inlineStr">
        <is>
          <t>SEPTIEMBRE 2026</t>
        </is>
      </c>
      <c r="M3386" t="inlineStr">
        <is>
          <t xml:space="preserve">PQS TIPO ABC AL 90% </t>
        </is>
      </c>
      <c r="N3386" t="inlineStr">
        <is>
          <t>S/N/003920</t>
        </is>
      </c>
      <c r="O3386" t="inlineStr">
        <is>
          <t>R</t>
        </is>
      </c>
      <c r="P3386">
        <f>TRIM(N3386)</f>
        <v/>
      </c>
    </row>
    <row r="3387">
      <c r="A3387" t="inlineStr">
        <is>
          <t>CO-002451</t>
        </is>
      </c>
      <c r="B3387" t="inlineStr">
        <is>
          <t>PERU MASIVO S.A - BUSES</t>
        </is>
      </c>
      <c r="C3387" t="inlineStr">
        <is>
          <t>20492392031</t>
        </is>
      </c>
      <c r="D3387" t="inlineStr">
        <is>
          <t>AV. LOS INCAS CDRA. 4 PATIO NORTE - COMAS</t>
        </is>
      </c>
      <c r="E3387" t="inlineStr">
        <is>
          <t>Lima, 15 de Septiembre del 2025</t>
        </is>
      </c>
      <c r="F3387" t="inlineStr">
        <is>
          <t>la Recarga y mantenimiento</t>
        </is>
      </c>
      <c r="G3387" t="inlineStr">
        <is>
          <t xml:space="preserve">01 </t>
        </is>
      </c>
      <c r="H3387" t="inlineStr">
        <is>
          <t>06 KG</t>
        </is>
      </c>
      <c r="I3387" t="inlineStr">
        <is>
          <t>2028</t>
        </is>
      </c>
      <c r="J3387" t="n">
        <v>2009</v>
      </c>
      <c r="K3387" t="inlineStr">
        <is>
          <t>SEPTIEMBRE 2025</t>
        </is>
      </c>
      <c r="L3387" t="inlineStr">
        <is>
          <t>SEPTIEMBRE 2026</t>
        </is>
      </c>
      <c r="M3387" t="inlineStr">
        <is>
          <t>PQS TIPO ABC AL 90%</t>
        </is>
      </c>
      <c r="N3387" t="inlineStr">
        <is>
          <t>82/001024</t>
        </is>
      </c>
      <c r="O3387" t="inlineStr">
        <is>
          <t>R</t>
        </is>
      </c>
      <c r="P3387">
        <f>TRIM(N3387)</f>
        <v/>
      </c>
    </row>
    <row r="3388">
      <c r="A3388" t="inlineStr">
        <is>
          <t>CO-002451</t>
        </is>
      </c>
      <c r="B3388" t="inlineStr">
        <is>
          <t>PERU MASIVO S.A - BUSES</t>
        </is>
      </c>
      <c r="C3388" t="inlineStr">
        <is>
          <t>20492392031</t>
        </is>
      </c>
      <c r="D3388" t="inlineStr">
        <is>
          <t>AV. LOS INCAS CDRA. 4 PATIO NORTE - COMAS</t>
        </is>
      </c>
      <c r="E3388" t="inlineStr">
        <is>
          <t>Lima, 15 de Septiembre del 2025</t>
        </is>
      </c>
      <c r="F3388" t="inlineStr">
        <is>
          <t>la Recarga y mantenimiento</t>
        </is>
      </c>
      <c r="G3388" t="inlineStr">
        <is>
          <t>02</t>
        </is>
      </c>
      <c r="H3388" t="inlineStr">
        <is>
          <t>06 KG</t>
        </is>
      </c>
      <c r="I3388" t="inlineStr">
        <is>
          <t>2028</t>
        </is>
      </c>
      <c r="J3388" t="n">
        <v>2010</v>
      </c>
      <c r="K3388" t="inlineStr">
        <is>
          <t>SEPTIEMBRE 2025</t>
        </is>
      </c>
      <c r="L3388" t="inlineStr">
        <is>
          <t>SEPTIEMBRE 2026</t>
        </is>
      </c>
      <c r="M3388" t="inlineStr">
        <is>
          <t xml:space="preserve">PQS TIPO ABC AL 90% </t>
        </is>
      </c>
      <c r="N3388" t="inlineStr">
        <is>
          <t>26/000905</t>
        </is>
      </c>
      <c r="O3388" t="inlineStr">
        <is>
          <t>R</t>
        </is>
      </c>
      <c r="P3388">
        <f>TRIM(N3388)</f>
        <v/>
      </c>
    </row>
    <row r="3389">
      <c r="A3389" t="inlineStr">
        <is>
          <t>CO-002451</t>
        </is>
      </c>
      <c r="B3389" t="inlineStr">
        <is>
          <t>PERU MASIVO S.A - BUSES</t>
        </is>
      </c>
      <c r="C3389" t="inlineStr">
        <is>
          <t>20492392031</t>
        </is>
      </c>
      <c r="D3389" t="inlineStr">
        <is>
          <t>AV. LOS INCAS CDRA. 4 PATIO NORTE - COMAS</t>
        </is>
      </c>
      <c r="E3389" t="inlineStr">
        <is>
          <t>Lima, 15 de Septiembre del 2025</t>
        </is>
      </c>
      <c r="F3389" t="inlineStr">
        <is>
          <t>la Recarga y mantenimiento</t>
        </is>
      </c>
      <c r="G3389" t="inlineStr">
        <is>
          <t>03</t>
        </is>
      </c>
      <c r="H3389" t="inlineStr">
        <is>
          <t>06 KG</t>
        </is>
      </c>
      <c r="I3389" t="n">
        <v>2028</v>
      </c>
      <c r="J3389" t="n">
        <v>2009</v>
      </c>
      <c r="K3389" t="inlineStr">
        <is>
          <t>SEPTIEMBRE 2025</t>
        </is>
      </c>
      <c r="L3389" t="inlineStr">
        <is>
          <t>SEPTIEMBRE 2026</t>
        </is>
      </c>
      <c r="M3389" t="inlineStr">
        <is>
          <t xml:space="preserve">PQS TIPO ABC AL 90% </t>
        </is>
      </c>
      <c r="N3389" t="inlineStr">
        <is>
          <t>73/001523</t>
        </is>
      </c>
      <c r="O3389" t="inlineStr">
        <is>
          <t>R</t>
        </is>
      </c>
      <c r="P3389">
        <f>TRIM(N3389)</f>
        <v/>
      </c>
    </row>
    <row r="3390">
      <c r="A3390" t="inlineStr">
        <is>
          <t>CO-002451</t>
        </is>
      </c>
      <c r="B3390" t="inlineStr">
        <is>
          <t>PERU MASIVO S.A - BUSES</t>
        </is>
      </c>
      <c r="C3390" t="inlineStr">
        <is>
          <t>20492392031</t>
        </is>
      </c>
      <c r="D3390" t="inlineStr">
        <is>
          <t>AV. LOS INCAS CDRA. 4 PATIO NORTE - COMAS</t>
        </is>
      </c>
      <c r="E3390" t="inlineStr">
        <is>
          <t>Lima, 15 de Septiembre del 2025</t>
        </is>
      </c>
      <c r="F3390" t="inlineStr">
        <is>
          <t>la Recarga y mantenimiento</t>
        </is>
      </c>
      <c r="G3390" t="inlineStr">
        <is>
          <t>04</t>
        </is>
      </c>
      <c r="H3390" t="inlineStr">
        <is>
          <t>06 KG</t>
        </is>
      </c>
      <c r="I3390" t="n">
        <v>2028</v>
      </c>
      <c r="J3390" t="n">
        <v>2009</v>
      </c>
      <c r="K3390" t="inlineStr">
        <is>
          <t>SEPTIEMBRE 2025</t>
        </is>
      </c>
      <c r="L3390" t="inlineStr">
        <is>
          <t>SEPTIEMBRE 2026</t>
        </is>
      </c>
      <c r="M3390" t="inlineStr">
        <is>
          <t>PQS TIPO ABC AL 90%</t>
        </is>
      </c>
      <c r="N3390" t="inlineStr">
        <is>
          <t>225/001938</t>
        </is>
      </c>
      <c r="O3390" t="inlineStr">
        <is>
          <t>R</t>
        </is>
      </c>
      <c r="P3390">
        <f>TRIM(N3390)</f>
        <v/>
      </c>
    </row>
    <row r="3391">
      <c r="A3391" t="inlineStr">
        <is>
          <t>CO-002452</t>
        </is>
      </c>
      <c r="B3391" t="inlineStr">
        <is>
          <t xml:space="preserve">FELICITA BERROCAL </t>
        </is>
      </c>
      <c r="D3391" t="inlineStr">
        <is>
          <t>MCDO. ALBORADA - PUESTO 12</t>
        </is>
      </c>
      <c r="E3391" t="inlineStr">
        <is>
          <t>Lima, 12 de Septiembre del 2025</t>
        </is>
      </c>
      <c r="F3391" t="inlineStr">
        <is>
          <t>la Recarga y mantenimiento</t>
        </is>
      </c>
      <c r="G3391" t="inlineStr">
        <is>
          <t>01</t>
        </is>
      </c>
      <c r="H3391" t="inlineStr">
        <is>
          <t>1.5 GLS</t>
        </is>
      </c>
      <c r="I3391" t="inlineStr">
        <is>
          <t>2028</t>
        </is>
      </c>
      <c r="J3391" t="n">
        <v>2023</v>
      </c>
      <c r="K3391" t="inlineStr">
        <is>
          <t>SEPTIEMBRE 2025</t>
        </is>
      </c>
      <c r="L3391" t="inlineStr">
        <is>
          <t>SEPTIEMBRE 2026</t>
        </is>
      </c>
      <c r="M3391" t="inlineStr">
        <is>
          <t>ACETATO</t>
        </is>
      </c>
      <c r="N3391" t="inlineStr">
        <is>
          <t>000277</t>
        </is>
      </c>
      <c r="O3391" t="inlineStr">
        <is>
          <t>R</t>
        </is>
      </c>
      <c r="P3391">
        <f>TRIM(N3391)</f>
        <v/>
      </c>
    </row>
    <row r="3392">
      <c r="A3392" t="inlineStr">
        <is>
          <t>CO-002453</t>
        </is>
      </c>
      <c r="B3392" t="inlineStr">
        <is>
          <t>PERU MASIVO S.A - BUSES</t>
        </is>
      </c>
      <c r="C3392" t="inlineStr">
        <is>
          <t>20492392031</t>
        </is>
      </c>
      <c r="D3392" t="inlineStr">
        <is>
          <t>AV. LOS INCAS CDRA. 4 PATIO NORTE - COMAS</t>
        </is>
      </c>
      <c r="E3392" t="inlineStr">
        <is>
          <t>Lima, 16 de Septiembre del 2025</t>
        </is>
      </c>
      <c r="F3392" t="inlineStr">
        <is>
          <t>la Recarga y mantenimiento</t>
        </is>
      </c>
      <c r="G3392" t="inlineStr">
        <is>
          <t>01</t>
        </is>
      </c>
      <c r="H3392" t="inlineStr">
        <is>
          <t>06 KG</t>
        </is>
      </c>
      <c r="I3392" t="inlineStr">
        <is>
          <t>2028</t>
        </is>
      </c>
      <c r="J3392" t="n">
        <v>2009</v>
      </c>
      <c r="K3392" t="inlineStr">
        <is>
          <t>SEPTIEMBRE 2025</t>
        </is>
      </c>
      <c r="L3392" t="inlineStr">
        <is>
          <t>SEPTIEMBRE 2026</t>
        </is>
      </c>
      <c r="M3392" t="inlineStr">
        <is>
          <t>PQS TIPCO ABC AL 90%</t>
        </is>
      </c>
      <c r="N3392" t="inlineStr">
        <is>
          <t>310/000003</t>
        </is>
      </c>
      <c r="O3392" t="inlineStr">
        <is>
          <t>R</t>
        </is>
      </c>
      <c r="P3392">
        <f>TRIM(N3392)</f>
        <v/>
      </c>
    </row>
    <row r="3393">
      <c r="A3393" t="inlineStr">
        <is>
          <t>CO-002453</t>
        </is>
      </c>
      <c r="B3393" t="inlineStr">
        <is>
          <t>PERU MASIVO S.A - BUSES</t>
        </is>
      </c>
      <c r="C3393" t="inlineStr">
        <is>
          <t>20492392031</t>
        </is>
      </c>
      <c r="D3393" t="inlineStr">
        <is>
          <t>AV. LOS INCAS CDRA. 4 PATIO NORTE - COMAS</t>
        </is>
      </c>
      <c r="E3393" t="inlineStr">
        <is>
          <t>Lima, 16 de Septiembre del 2025</t>
        </is>
      </c>
      <c r="F3393" t="inlineStr">
        <is>
          <t>la Recarga y mantenimiento</t>
        </is>
      </c>
      <c r="G3393" t="inlineStr">
        <is>
          <t>02</t>
        </is>
      </c>
      <c r="H3393" t="inlineStr">
        <is>
          <t>06 KG</t>
        </is>
      </c>
      <c r="I3393" t="inlineStr">
        <is>
          <t>2028</t>
        </is>
      </c>
      <c r="J3393" t="n">
        <v>2014</v>
      </c>
      <c r="K3393" t="inlineStr">
        <is>
          <t>SEPTIEMBRE 2025</t>
        </is>
      </c>
      <c r="L3393" t="inlineStr">
        <is>
          <t>SEPTIEMBRE 2026</t>
        </is>
      </c>
      <c r="M3393" t="inlineStr">
        <is>
          <t>PQS TIPO ABC AL 90 %</t>
        </is>
      </c>
      <c r="N3393" t="inlineStr">
        <is>
          <t>228/001886</t>
        </is>
      </c>
      <c r="O3393" t="inlineStr">
        <is>
          <t>R</t>
        </is>
      </c>
      <c r="P3393">
        <f>TRIM(N3393)</f>
        <v/>
      </c>
    </row>
    <row r="3394">
      <c r="A3394" t="inlineStr">
        <is>
          <t>CO-002453</t>
        </is>
      </c>
      <c r="B3394" t="inlineStr">
        <is>
          <t>PERU MASIVO S.A - BUSES</t>
        </is>
      </c>
      <c r="C3394" t="inlineStr">
        <is>
          <t>20492392031</t>
        </is>
      </c>
      <c r="D3394" t="inlineStr">
        <is>
          <t>AV. LOS INCAS CDRA. 4 PATIO NORTE - COMAS</t>
        </is>
      </c>
      <c r="E3394" t="inlineStr">
        <is>
          <t>Lima, 16 de Septiembre del 2025</t>
        </is>
      </c>
      <c r="F3394" t="inlineStr">
        <is>
          <t>la Recarga y mantenimiento</t>
        </is>
      </c>
      <c r="G3394" t="inlineStr">
        <is>
          <t>03</t>
        </is>
      </c>
      <c r="H3394" t="inlineStr">
        <is>
          <t>06 KG</t>
        </is>
      </c>
      <c r="I3394" t="n">
        <v>2028</v>
      </c>
      <c r="J3394" t="n">
        <v>2010</v>
      </c>
      <c r="K3394" t="inlineStr">
        <is>
          <t>SEPTIEMBRE 2025</t>
        </is>
      </c>
      <c r="L3394" t="inlineStr">
        <is>
          <t>SEPTIEMBRE 2026</t>
        </is>
      </c>
      <c r="M3394" t="inlineStr">
        <is>
          <t>PQS TIPO ABC AL 90 %</t>
        </is>
      </c>
      <c r="N3394" t="inlineStr">
        <is>
          <t>89/000407</t>
        </is>
      </c>
      <c r="O3394" t="inlineStr">
        <is>
          <t>R</t>
        </is>
      </c>
      <c r="P3394">
        <f>TRIM(N3394)</f>
        <v/>
      </c>
    </row>
    <row r="3395">
      <c r="A3395" t="inlineStr">
        <is>
          <t>CO-002453</t>
        </is>
      </c>
      <c r="B3395" t="inlineStr">
        <is>
          <t>PERU MASIVO S.A - BUSES</t>
        </is>
      </c>
      <c r="C3395" t="inlineStr">
        <is>
          <t>20492392031</t>
        </is>
      </c>
      <c r="D3395" t="inlineStr">
        <is>
          <t>AV. LOS INCAS CDRA. 4 PATIO NORTE - COMAS</t>
        </is>
      </c>
      <c r="E3395" t="inlineStr">
        <is>
          <t>Lima, 16 de Septiembre del 2025</t>
        </is>
      </c>
      <c r="F3395" t="inlineStr">
        <is>
          <t>la Recarga y mantenimiento</t>
        </is>
      </c>
      <c r="G3395" t="inlineStr">
        <is>
          <t>04</t>
        </is>
      </c>
      <c r="H3395" t="inlineStr">
        <is>
          <t>06 KG</t>
        </is>
      </c>
      <c r="I3395" t="n">
        <v>2028</v>
      </c>
      <c r="J3395" t="n">
        <v>2009</v>
      </c>
      <c r="K3395" t="inlineStr">
        <is>
          <t>SEPTIEMBRE 2025</t>
        </is>
      </c>
      <c r="L3395" t="inlineStr">
        <is>
          <t>SEPTIEMBRE 2026</t>
        </is>
      </c>
      <c r="M3395" t="inlineStr">
        <is>
          <t>PQS TIPO ABC AL 90%</t>
        </is>
      </c>
      <c r="N3395" t="inlineStr">
        <is>
          <t>370/001130</t>
        </is>
      </c>
      <c r="O3395" t="inlineStr">
        <is>
          <t>R</t>
        </is>
      </c>
      <c r="P3395">
        <f>TRIM(N3395)</f>
        <v/>
      </c>
    </row>
    <row r="3396">
      <c r="A3396" t="inlineStr">
        <is>
          <t>CO-002453</t>
        </is>
      </c>
      <c r="B3396" t="inlineStr">
        <is>
          <t>PERU MASIVO S.A - BUSES</t>
        </is>
      </c>
      <c r="C3396" t="inlineStr">
        <is>
          <t>20492392031</t>
        </is>
      </c>
      <c r="D3396" t="inlineStr">
        <is>
          <t>AV. LOS INCAS CDRA. 4 PATIO NORTE - COMAS</t>
        </is>
      </c>
      <c r="E3396" t="inlineStr">
        <is>
          <t>Lima, 16 de Septiembre del 2025</t>
        </is>
      </c>
      <c r="F3396" t="inlineStr">
        <is>
          <t>la Recarga y mantenimiento</t>
        </is>
      </c>
      <c r="G3396" t="inlineStr">
        <is>
          <t>05</t>
        </is>
      </c>
      <c r="H3396" t="inlineStr">
        <is>
          <t>06 KG</t>
        </is>
      </c>
      <c r="I3396" t="n">
        <v>2028</v>
      </c>
      <c r="J3396" t="n">
        <v>2009</v>
      </c>
      <c r="K3396" t="inlineStr">
        <is>
          <t>SEPTIEMBRE 2025</t>
        </is>
      </c>
      <c r="L3396" t="inlineStr">
        <is>
          <t>SEPTIEMBRE 2026</t>
        </is>
      </c>
      <c r="M3396" t="inlineStr">
        <is>
          <t>PQS TIPO ABC AL 90%</t>
        </is>
      </c>
      <c r="N3396" t="inlineStr">
        <is>
          <t>264/000853</t>
        </is>
      </c>
      <c r="O3396" t="inlineStr">
        <is>
          <t>R</t>
        </is>
      </c>
      <c r="P3396">
        <f>TRIM(N3396)</f>
        <v/>
      </c>
    </row>
    <row r="3397">
      <c r="A3397" t="inlineStr">
        <is>
          <t>CO-002453</t>
        </is>
      </c>
      <c r="B3397" t="inlineStr">
        <is>
          <t>PERU MASIVO S.A - BUSES</t>
        </is>
      </c>
      <c r="C3397" t="inlineStr">
        <is>
          <t>20492392031</t>
        </is>
      </c>
      <c r="D3397" t="inlineStr">
        <is>
          <t>AV. LOS INCAS CDRA. 4 PATIO NORTE - COMAS</t>
        </is>
      </c>
      <c r="E3397" t="inlineStr">
        <is>
          <t>Lima, 16 de Septiembre del 2025</t>
        </is>
      </c>
      <c r="F3397" t="inlineStr">
        <is>
          <t>la Recarga y mantenimiento</t>
        </is>
      </c>
      <c r="G3397" t="inlineStr">
        <is>
          <t>06</t>
        </is>
      </c>
      <c r="H3397" t="inlineStr">
        <is>
          <t>06 KG</t>
        </is>
      </c>
      <c r="I3397" t="n">
        <v>2028</v>
      </c>
      <c r="J3397" t="n">
        <v>2011</v>
      </c>
      <c r="K3397" t="inlineStr">
        <is>
          <t>SEPTIEMBRE 2025</t>
        </is>
      </c>
      <c r="L3397" t="inlineStr">
        <is>
          <t>SEPTIEMBRE 2026</t>
        </is>
      </c>
      <c r="M3397" t="inlineStr">
        <is>
          <t>PQS TIPO ABC AL 90%</t>
        </is>
      </c>
      <c r="N3397" t="inlineStr">
        <is>
          <t>231/S/N</t>
        </is>
      </c>
      <c r="O3397" t="inlineStr">
        <is>
          <t>R</t>
        </is>
      </c>
      <c r="P3397">
        <f>TRIM(N3397)</f>
        <v/>
      </c>
    </row>
    <row r="3398">
      <c r="A3398" t="inlineStr">
        <is>
          <t>CO-002453</t>
        </is>
      </c>
      <c r="B3398" t="inlineStr">
        <is>
          <t>PERU MASIVO S.A - BUSES</t>
        </is>
      </c>
      <c r="C3398" t="inlineStr">
        <is>
          <t>20492392031</t>
        </is>
      </c>
      <c r="D3398" t="inlineStr">
        <is>
          <t>AV. LOS INCAS CDRA. 4 PATIO NORTE - COMAS</t>
        </is>
      </c>
      <c r="E3398" t="inlineStr">
        <is>
          <t>Lima, 16 de Septiembre del 2025</t>
        </is>
      </c>
      <c r="F3398" t="inlineStr">
        <is>
          <t>la Recarga y mantenimiento</t>
        </is>
      </c>
      <c r="G3398" t="inlineStr">
        <is>
          <t>07</t>
        </is>
      </c>
      <c r="H3398" t="inlineStr">
        <is>
          <t>06 KG</t>
        </is>
      </c>
      <c r="I3398" t="n">
        <v>2028</v>
      </c>
      <c r="J3398" t="n">
        <v>2017</v>
      </c>
      <c r="K3398" t="inlineStr">
        <is>
          <t>SEPTIEMBRE 2025</t>
        </is>
      </c>
      <c r="L3398" t="inlineStr">
        <is>
          <t>SEPTIEMBRE 2026</t>
        </is>
      </c>
      <c r="M3398" t="inlineStr">
        <is>
          <t>PQS TIPO ABC AL 90%</t>
        </is>
      </c>
      <c r="N3398" t="inlineStr">
        <is>
          <t>233/003212</t>
        </is>
      </c>
      <c r="O3398" t="inlineStr">
        <is>
          <t>R</t>
        </is>
      </c>
      <c r="P3398">
        <f>TRIM(N3398)</f>
        <v/>
      </c>
    </row>
    <row r="3399">
      <c r="A3399" t="inlineStr">
        <is>
          <t>CO-002454</t>
        </is>
      </c>
      <c r="B3399" t="inlineStr">
        <is>
          <t>BARBERÍA de: OBREGON CRUZ GIANMARCO</t>
        </is>
      </c>
      <c r="C3399" t="inlineStr">
        <is>
          <t>10785183571</t>
        </is>
      </c>
      <c r="D3399" t="inlineStr">
        <is>
          <t>Av. Miguel Grau N. 225-A MZ. N LTE. 022 URB. Villa Oropeza - Comas</t>
        </is>
      </c>
      <c r="E3399" t="inlineStr">
        <is>
          <t>Lima, 18 de Septiembre del 2025</t>
        </is>
      </c>
      <c r="F3399" t="inlineStr">
        <is>
          <t>la Recarga y mantenimiento</t>
        </is>
      </c>
      <c r="G3399" t="inlineStr">
        <is>
          <t>01</t>
        </is>
      </c>
      <c r="H3399" t="inlineStr">
        <is>
          <t>06 KG</t>
        </is>
      </c>
      <c r="I3399" t="inlineStr">
        <is>
          <t>2029</t>
        </is>
      </c>
      <c r="J3399" t="n">
        <v>2024</v>
      </c>
      <c r="K3399" t="inlineStr">
        <is>
          <t>SEPTIEMBRE 2025</t>
        </is>
      </c>
      <c r="L3399" t="inlineStr">
        <is>
          <t>SEPTIEMBRE 2026</t>
        </is>
      </c>
      <c r="M3399" t="inlineStr">
        <is>
          <t xml:space="preserve">P.Q.S TIPO ABC </t>
        </is>
      </c>
      <c r="N3399" t="inlineStr">
        <is>
          <t>002955</t>
        </is>
      </c>
      <c r="O3399" t="inlineStr">
        <is>
          <t>R</t>
        </is>
      </c>
      <c r="P3399">
        <f>TRIM(N3399)</f>
        <v/>
      </c>
    </row>
    <row r="3400">
      <c r="A3400" t="inlineStr">
        <is>
          <t>CO-002455</t>
        </is>
      </c>
      <c r="B3400" t="inlineStr">
        <is>
          <t>VM SAN MIGUEL ARCANGEL E.I.R.L.</t>
        </is>
      </c>
      <c r="D3400" t="inlineStr">
        <is>
          <t>AV. TUPAC AMARU N° 7266 P.J AÑO NUEVO - COMAS</t>
        </is>
      </c>
      <c r="E3400" t="inlineStr">
        <is>
          <t>Lima, 18 de Septiembre del 2025</t>
        </is>
      </c>
      <c r="F3400" t="inlineStr">
        <is>
          <t>la Recarga y mantenimiento</t>
        </is>
      </c>
      <c r="G3400" t="inlineStr">
        <is>
          <t>01</t>
        </is>
      </c>
      <c r="H3400" t="inlineStr">
        <is>
          <t>06 KG</t>
        </is>
      </c>
      <c r="I3400" t="inlineStr">
        <is>
          <t>2028</t>
        </is>
      </c>
      <c r="J3400" t="n">
        <v>2018</v>
      </c>
      <c r="K3400" t="inlineStr">
        <is>
          <t>SEPTIEMBRE 2025</t>
        </is>
      </c>
      <c r="L3400" t="inlineStr">
        <is>
          <t>SEPTIEMBRE 2026</t>
        </is>
      </c>
      <c r="M3400" t="inlineStr">
        <is>
          <t>PQS TIPO ABC</t>
        </is>
      </c>
      <c r="N3400" t="inlineStr">
        <is>
          <t>001591</t>
        </is>
      </c>
      <c r="O3400" t="inlineStr">
        <is>
          <t>R</t>
        </is>
      </c>
      <c r="P3400">
        <f>TRIM(N3400)</f>
        <v/>
      </c>
    </row>
    <row r="3401">
      <c r="A3401" t="inlineStr">
        <is>
          <t>CO-002456</t>
        </is>
      </c>
      <c r="B3401" t="inlineStr">
        <is>
          <t xml:space="preserve">SUNAT - AREQUIPA - SEDE MATARANI </t>
        </is>
      </c>
      <c r="C3401" t="inlineStr">
        <is>
          <t>20131312955</t>
        </is>
      </c>
      <c r="D3401" t="inlineStr">
        <is>
          <t>Av. Pizarro N° 160, Sub lote A</t>
        </is>
      </c>
      <c r="E3401" t="inlineStr">
        <is>
          <t>Lima, 10 de Diciembre de 2024</t>
        </is>
      </c>
      <c r="F3401" t="inlineStr">
        <is>
          <t>la Recarga y mantenimiento</t>
        </is>
      </c>
      <c r="G3401" t="inlineStr">
        <is>
          <t>01</t>
        </is>
      </c>
      <c r="H3401" t="inlineStr">
        <is>
          <t xml:space="preserve">04 KG </t>
        </is>
      </c>
      <c r="I3401" t="inlineStr">
        <is>
          <t>2028</t>
        </is>
      </c>
      <c r="J3401" t="n">
        <v>2013</v>
      </c>
      <c r="K3401" t="inlineStr">
        <is>
          <t>NOVIEMBRE 2024</t>
        </is>
      </c>
      <c r="L3401" t="inlineStr">
        <is>
          <t>NOVIEMBRE 2025</t>
        </is>
      </c>
      <c r="M3401" t="inlineStr">
        <is>
          <t>PQS/ABC AL 90%</t>
        </is>
      </c>
      <c r="N3401" t="inlineStr">
        <is>
          <t>000113</t>
        </is>
      </c>
      <c r="O3401" t="inlineStr">
        <is>
          <t>R</t>
        </is>
      </c>
      <c r="P3401">
        <f>TRIM(N3401)</f>
        <v/>
      </c>
    </row>
    <row r="3402">
      <c r="A3402" t="inlineStr">
        <is>
          <t>CO-002456</t>
        </is>
      </c>
      <c r="B3402" t="inlineStr">
        <is>
          <t xml:space="preserve">SUNAT - AREQUIPA - SEDE MATARANI </t>
        </is>
      </c>
      <c r="C3402" t="inlineStr">
        <is>
          <t>20131312955</t>
        </is>
      </c>
      <c r="D3402" t="inlineStr">
        <is>
          <t>Av. Pizarro N° 160, Sub lote A</t>
        </is>
      </c>
      <c r="E3402" t="inlineStr">
        <is>
          <t>Lima, 10 de Diciembre de 2024</t>
        </is>
      </c>
      <c r="F3402" t="inlineStr">
        <is>
          <t>la Recarga y mantenimiento</t>
        </is>
      </c>
      <c r="G3402" t="inlineStr">
        <is>
          <t>02</t>
        </is>
      </c>
      <c r="H3402" t="inlineStr">
        <is>
          <t xml:space="preserve">12 KG </t>
        </is>
      </c>
      <c r="I3402" t="inlineStr">
        <is>
          <t>2026</t>
        </is>
      </c>
      <c r="J3402" t="n">
        <v>2011</v>
      </c>
      <c r="K3402" t="inlineStr">
        <is>
          <t>NOVIEMBRE 2024</t>
        </is>
      </c>
      <c r="L3402" t="inlineStr">
        <is>
          <t>NOVIEMBRE 2025</t>
        </is>
      </c>
      <c r="M3402" t="inlineStr">
        <is>
          <t>PQS/ABC AL 90%</t>
        </is>
      </c>
      <c r="N3402" t="inlineStr">
        <is>
          <t>000608</t>
        </is>
      </c>
      <c r="O3402" t="inlineStr">
        <is>
          <t>R</t>
        </is>
      </c>
      <c r="P3402">
        <f>TRIM(N3402)</f>
        <v/>
      </c>
    </row>
    <row r="3403">
      <c r="A3403" t="inlineStr">
        <is>
          <t>CO-002457</t>
        </is>
      </c>
      <c r="B3403" t="inlineStr">
        <is>
          <t xml:space="preserve">LINDE PERU S.R.L. </t>
        </is>
      </c>
      <c r="C3403" t="n">
        <v>20338570041</v>
      </c>
      <c r="D3403" t="inlineStr">
        <is>
          <t>Almacen albo distribucion</t>
        </is>
      </c>
      <c r="E3403" t="inlineStr">
        <is>
          <t>Lima, 17 de Septiembre de 2025</t>
        </is>
      </c>
      <c r="F3403" t="inlineStr">
        <is>
          <t>la Venta</t>
        </is>
      </c>
      <c r="G3403" t="inlineStr">
        <is>
          <t>01</t>
        </is>
      </c>
      <c r="H3403" t="inlineStr">
        <is>
          <t>09 KG</t>
        </is>
      </c>
      <c r="I3403" t="inlineStr">
        <is>
          <t>2030</t>
        </is>
      </c>
      <c r="J3403" t="n">
        <v>2025</v>
      </c>
      <c r="K3403" t="inlineStr">
        <is>
          <t>SEPTIEMBRE 2025</t>
        </is>
      </c>
      <c r="L3403" t="inlineStr">
        <is>
          <t>SEPTIEMBRE 2026</t>
        </is>
      </c>
      <c r="M3403" t="inlineStr">
        <is>
          <t>PQS TIPO ABC AL 90% PYROCHEM</t>
        </is>
      </c>
      <c r="N3403" t="inlineStr">
        <is>
          <t>01/000264</t>
        </is>
      </c>
      <c r="O3403" t="inlineStr">
        <is>
          <t>V</t>
        </is>
      </c>
      <c r="P3403">
        <f>TRIM(N3403)</f>
        <v/>
      </c>
    </row>
    <row r="3404">
      <c r="A3404" t="inlineStr">
        <is>
          <t>CO-002457</t>
        </is>
      </c>
      <c r="B3404" t="inlineStr">
        <is>
          <t xml:space="preserve">LINDE PERU S.R.L. </t>
        </is>
      </c>
      <c r="C3404" t="n">
        <v>20338570041</v>
      </c>
      <c r="D3404" t="inlineStr">
        <is>
          <t>Almacen albo distribucion</t>
        </is>
      </c>
      <c r="E3404" t="inlineStr">
        <is>
          <t>Lima, 17 de Septiembre de 2025</t>
        </is>
      </c>
      <c r="F3404" t="inlineStr">
        <is>
          <t>la Venta</t>
        </is>
      </c>
      <c r="G3404" t="inlineStr">
        <is>
          <t>02</t>
        </is>
      </c>
      <c r="H3404" t="inlineStr">
        <is>
          <t>09 KG</t>
        </is>
      </c>
      <c r="I3404" t="inlineStr">
        <is>
          <t>2030</t>
        </is>
      </c>
      <c r="J3404" t="n">
        <v>2025</v>
      </c>
      <c r="K3404" t="inlineStr">
        <is>
          <t>SEPTIEMBRE 2025</t>
        </is>
      </c>
      <c r="L3404" t="inlineStr">
        <is>
          <t>SEPTIEMBRE 2026</t>
        </is>
      </c>
      <c r="M3404" t="inlineStr">
        <is>
          <t>PQS TIPO ABC AL 90% PYROCHEM</t>
        </is>
      </c>
      <c r="N3404" t="inlineStr">
        <is>
          <t>02/659152</t>
        </is>
      </c>
      <c r="O3404" t="inlineStr">
        <is>
          <t>V</t>
        </is>
      </c>
      <c r="P3404">
        <f>TRIM(N3404)</f>
        <v/>
      </c>
    </row>
    <row r="3405">
      <c r="A3405" t="inlineStr">
        <is>
          <t>CO-002457</t>
        </is>
      </c>
      <c r="B3405" t="inlineStr">
        <is>
          <t xml:space="preserve">LINDE PERU S.R.L. </t>
        </is>
      </c>
      <c r="C3405" t="n">
        <v>20338570041</v>
      </c>
      <c r="D3405" t="inlineStr">
        <is>
          <t>Almacen albo distribucion</t>
        </is>
      </c>
      <c r="E3405" t="inlineStr">
        <is>
          <t>Lima, 17 de Septiembre de 2025</t>
        </is>
      </c>
      <c r="F3405" t="inlineStr">
        <is>
          <t>la Venta</t>
        </is>
      </c>
      <c r="G3405" t="inlineStr">
        <is>
          <t>03</t>
        </is>
      </c>
      <c r="H3405" t="inlineStr">
        <is>
          <t>09 KG</t>
        </is>
      </c>
      <c r="I3405" t="n">
        <v>2030</v>
      </c>
      <c r="J3405" t="n">
        <v>2025</v>
      </c>
      <c r="K3405" t="inlineStr">
        <is>
          <t>SEPTIEMBRE 2025</t>
        </is>
      </c>
      <c r="L3405" t="inlineStr">
        <is>
          <t>SEPTIEMBRE 2026</t>
        </is>
      </c>
      <c r="M3405" t="inlineStr">
        <is>
          <t>PQS TIPO ABC AL 90% PYROCHEM</t>
        </is>
      </c>
      <c r="N3405" t="inlineStr">
        <is>
          <t>03/000381</t>
        </is>
      </c>
      <c r="O3405" t="inlineStr">
        <is>
          <t>V</t>
        </is>
      </c>
      <c r="P3405">
        <f>TRIM(N3405)</f>
        <v/>
      </c>
    </row>
    <row r="3406">
      <c r="A3406" t="inlineStr">
        <is>
          <t>CO-002457</t>
        </is>
      </c>
      <c r="B3406" t="inlineStr">
        <is>
          <t xml:space="preserve">LINDE PERU S.R.L. </t>
        </is>
      </c>
      <c r="C3406" t="n">
        <v>20338570041</v>
      </c>
      <c r="D3406" t="inlineStr">
        <is>
          <t>Almacen albo distribucion</t>
        </is>
      </c>
      <c r="E3406" t="inlineStr">
        <is>
          <t>Lima, 17 de Septiembre de 2025</t>
        </is>
      </c>
      <c r="F3406" t="inlineStr">
        <is>
          <t>la Venta</t>
        </is>
      </c>
      <c r="G3406" t="inlineStr">
        <is>
          <t>04</t>
        </is>
      </c>
      <c r="H3406" t="inlineStr">
        <is>
          <t>09 KG</t>
        </is>
      </c>
      <c r="I3406" t="n">
        <v>2030</v>
      </c>
      <c r="J3406" t="n">
        <v>2025</v>
      </c>
      <c r="K3406" t="inlineStr">
        <is>
          <t>SEPTIEMBRE 2025</t>
        </is>
      </c>
      <c r="L3406" t="inlineStr">
        <is>
          <t>SEPTIEMBRE 2026</t>
        </is>
      </c>
      <c r="M3406" t="inlineStr">
        <is>
          <t>PQS TIPO ABC AL 90% PYROCHEM</t>
        </is>
      </c>
      <c r="N3406" t="inlineStr">
        <is>
          <t>04/000333</t>
        </is>
      </c>
      <c r="O3406" t="inlineStr">
        <is>
          <t>V</t>
        </is>
      </c>
      <c r="P3406">
        <f>TRIM(N3406)</f>
        <v/>
      </c>
    </row>
    <row r="3407">
      <c r="A3407" t="inlineStr">
        <is>
          <t>CO-002457</t>
        </is>
      </c>
      <c r="B3407" t="inlineStr">
        <is>
          <t xml:space="preserve">LINDE PERU S.R.L. </t>
        </is>
      </c>
      <c r="C3407" t="n">
        <v>20338570041</v>
      </c>
      <c r="D3407" t="inlineStr">
        <is>
          <t>Almacen albo distribucion</t>
        </is>
      </c>
      <c r="E3407" t="inlineStr">
        <is>
          <t>Lima, 17 de Septiembre de 2025</t>
        </is>
      </c>
      <c r="F3407" t="inlineStr">
        <is>
          <t>la Venta</t>
        </is>
      </c>
      <c r="G3407" t="inlineStr">
        <is>
          <t>05</t>
        </is>
      </c>
      <c r="H3407" t="inlineStr">
        <is>
          <t>09 KG</t>
        </is>
      </c>
      <c r="I3407" t="n">
        <v>2030</v>
      </c>
      <c r="J3407" t="n">
        <v>2025</v>
      </c>
      <c r="K3407" t="inlineStr">
        <is>
          <t>SEPTIEMBRE 2025</t>
        </is>
      </c>
      <c r="L3407" t="inlineStr">
        <is>
          <t>SEPTIEMBRE 2026</t>
        </is>
      </c>
      <c r="M3407" t="inlineStr">
        <is>
          <t>PQS TIPO ABC AL 90% PYROCHEM</t>
        </is>
      </c>
      <c r="N3407" t="inlineStr">
        <is>
          <t>05/000756</t>
        </is>
      </c>
      <c r="O3407" t="inlineStr">
        <is>
          <t>V</t>
        </is>
      </c>
      <c r="P3407">
        <f>TRIM(N3407)</f>
        <v/>
      </c>
    </row>
    <row r="3408">
      <c r="A3408" t="inlineStr">
        <is>
          <t>CO-002457</t>
        </is>
      </c>
      <c r="B3408" t="inlineStr">
        <is>
          <t xml:space="preserve">LINDE PERU S.R.L. </t>
        </is>
      </c>
      <c r="C3408" t="n">
        <v>20338570041</v>
      </c>
      <c r="D3408" t="inlineStr">
        <is>
          <t>Almacen albo distribucion</t>
        </is>
      </c>
      <c r="E3408" t="inlineStr">
        <is>
          <t>Lima, 17 de Septiembre de 2025</t>
        </is>
      </c>
      <c r="F3408" t="inlineStr">
        <is>
          <t>la Venta</t>
        </is>
      </c>
      <c r="G3408" t="inlineStr">
        <is>
          <t>06</t>
        </is>
      </c>
      <c r="H3408" t="inlineStr">
        <is>
          <t>09 KG</t>
        </is>
      </c>
      <c r="I3408" t="n">
        <v>2030</v>
      </c>
      <c r="J3408" t="n">
        <v>2025</v>
      </c>
      <c r="K3408" t="inlineStr">
        <is>
          <t>SEPTIEMBRE 2025</t>
        </is>
      </c>
      <c r="L3408" t="inlineStr">
        <is>
          <t>SEPTIEMBRE 2026</t>
        </is>
      </c>
      <c r="M3408" t="inlineStr">
        <is>
          <t>PQS TIPO ABC AL 90% PYROCHEM</t>
        </is>
      </c>
      <c r="N3408" t="inlineStr">
        <is>
          <t>06/000085</t>
        </is>
      </c>
      <c r="O3408" t="inlineStr">
        <is>
          <t>V</t>
        </is>
      </c>
      <c r="P3408">
        <f>TRIM(N3408)</f>
        <v/>
      </c>
    </row>
    <row r="3409">
      <c r="A3409" t="inlineStr">
        <is>
          <t>CO-002458</t>
        </is>
      </c>
      <c r="B3409" t="inlineStr">
        <is>
          <t xml:space="preserve">FRANCK MONTALVO </t>
        </is>
      </c>
      <c r="D3409" t="inlineStr">
        <is>
          <t>JR. SANTACLARA 139</t>
        </is>
      </c>
      <c r="E3409" t="inlineStr">
        <is>
          <t>Lima, 22 de Septiembre de 2025</t>
        </is>
      </c>
      <c r="F3409" t="inlineStr">
        <is>
          <t>la Recarga y mantenimiento</t>
        </is>
      </c>
      <c r="G3409" t="inlineStr">
        <is>
          <t>01</t>
        </is>
      </c>
      <c r="H3409" t="inlineStr">
        <is>
          <t>09 KG</t>
        </is>
      </c>
      <c r="I3409" t="inlineStr">
        <is>
          <t xml:space="preserve">VIGENTE </t>
        </is>
      </c>
      <c r="J3409" t="n">
        <v>2009</v>
      </c>
      <c r="K3409" t="inlineStr">
        <is>
          <t>SEPTIEMBRE 2025</t>
        </is>
      </c>
      <c r="L3409" t="inlineStr">
        <is>
          <t>SEPTIEMBRE 2026</t>
        </is>
      </c>
      <c r="M3409" t="inlineStr">
        <is>
          <t>PQS TIPO ABC</t>
        </is>
      </c>
      <c r="N3409" t="inlineStr">
        <is>
          <t>000248</t>
        </is>
      </c>
      <c r="O3409" t="inlineStr">
        <is>
          <t>R</t>
        </is>
      </c>
      <c r="P3409">
        <f>TRIM(N3409)</f>
        <v/>
      </c>
    </row>
    <row r="3410">
      <c r="A3410" t="inlineStr">
        <is>
          <t>CO-002459</t>
        </is>
      </c>
      <c r="B3410" t="inlineStr">
        <is>
          <t>BRITISH AMERICAN HOSPITAL S.A. - CLINICA ANGLOAMERICANA</t>
        </is>
      </c>
      <c r="C3410" t="inlineStr">
        <is>
          <t>20107695584</t>
        </is>
      </c>
      <c r="D3410" t="inlineStr">
        <is>
          <t xml:space="preserve">JR ALFREDO SALAZAR 350 - SAN ISIDRO </t>
        </is>
      </c>
      <c r="E3410" t="inlineStr">
        <is>
          <t>Lima, 30 de Septiembre de 2025</t>
        </is>
      </c>
      <c r="F3410" t="inlineStr">
        <is>
          <t>la Recarga y mantenimiento</t>
        </is>
      </c>
      <c r="G3410" t="inlineStr">
        <is>
          <t>01</t>
        </is>
      </c>
      <c r="H3410" t="inlineStr">
        <is>
          <t>06 KG</t>
        </is>
      </c>
      <c r="I3410" t="inlineStr">
        <is>
          <t>2028</t>
        </is>
      </c>
      <c r="J3410" t="inlineStr">
        <is>
          <t>S/N</t>
        </is>
      </c>
      <c r="K3410" t="inlineStr">
        <is>
          <t>SEPTIEMBRE 2025</t>
        </is>
      </c>
      <c r="L3410" t="inlineStr">
        <is>
          <t>SEPTIEMBRE 2026</t>
        </is>
      </c>
      <c r="M3410" t="inlineStr">
        <is>
          <t xml:space="preserve">PQS TIPO ABC AL 75%  </t>
        </is>
      </c>
      <c r="N3410" t="inlineStr">
        <is>
          <t>E-074/S/N</t>
        </is>
      </c>
      <c r="O3410" t="inlineStr">
        <is>
          <t>R</t>
        </is>
      </c>
      <c r="P3410">
        <f>TRIM(N3410)</f>
        <v/>
      </c>
    </row>
    <row r="3411">
      <c r="A3411" t="inlineStr">
        <is>
          <t>CO-002459</t>
        </is>
      </c>
      <c r="B3411" t="inlineStr">
        <is>
          <t>BRITISH AMERICAN HOSPITAL S.A. - CLINICA ANGLOAMERICANA</t>
        </is>
      </c>
      <c r="C3411" t="inlineStr">
        <is>
          <t>20107695584</t>
        </is>
      </c>
      <c r="D3411" t="inlineStr">
        <is>
          <t xml:space="preserve">JR ALFREDO SALAZAR 350 - SAN ISIDRO </t>
        </is>
      </c>
      <c r="E3411" t="inlineStr">
        <is>
          <t>Lima, 30 de Septiembre de 2025</t>
        </is>
      </c>
      <c r="F3411" t="inlineStr">
        <is>
          <t>la Recarga y mantenimiento</t>
        </is>
      </c>
      <c r="G3411" t="inlineStr">
        <is>
          <t>02</t>
        </is>
      </c>
      <c r="H3411" t="inlineStr">
        <is>
          <t>06 KG</t>
        </is>
      </c>
      <c r="I3411" t="inlineStr">
        <is>
          <t>2027</t>
        </is>
      </c>
      <c r="J3411" t="n">
        <v>2014</v>
      </c>
      <c r="K3411" t="inlineStr">
        <is>
          <t>SEPTIEMBRE 2025</t>
        </is>
      </c>
      <c r="L3411" t="inlineStr">
        <is>
          <t>SEPTIEMBRE 2026</t>
        </is>
      </c>
      <c r="M3411" t="inlineStr">
        <is>
          <t xml:space="preserve">PQS TIPO ABC AL 75%  </t>
        </is>
      </c>
      <c r="N3411" t="inlineStr">
        <is>
          <t>E-075/006692</t>
        </is>
      </c>
      <c r="O3411" t="inlineStr">
        <is>
          <t>R</t>
        </is>
      </c>
      <c r="P3411">
        <f>TRIM(N3411)</f>
        <v/>
      </c>
    </row>
    <row r="3412">
      <c r="A3412" t="inlineStr">
        <is>
          <t>CO-002459</t>
        </is>
      </c>
      <c r="B3412" t="inlineStr">
        <is>
          <t>BRITISH AMERICAN HOSPITAL S.A. - CLINICA ANGLOAMERICANA</t>
        </is>
      </c>
      <c r="C3412" t="inlineStr">
        <is>
          <t>20107695584</t>
        </is>
      </c>
      <c r="D3412" t="inlineStr">
        <is>
          <t xml:space="preserve">JR ALFREDO SALAZAR 350 - SAN ISIDRO </t>
        </is>
      </c>
      <c r="E3412" t="inlineStr">
        <is>
          <t>Lima, 30 de Septiembre de 2025</t>
        </is>
      </c>
      <c r="F3412" t="inlineStr">
        <is>
          <t>la Recarga y mantenimiento</t>
        </is>
      </c>
      <c r="G3412" t="inlineStr">
        <is>
          <t>03</t>
        </is>
      </c>
      <c r="H3412" t="inlineStr">
        <is>
          <t>06 KG</t>
        </is>
      </c>
      <c r="I3412" t="n">
        <v>2029</v>
      </c>
      <c r="J3412" t="n">
        <v>2014</v>
      </c>
      <c r="K3412" t="inlineStr">
        <is>
          <t>SEPTIEMBRE 2025</t>
        </is>
      </c>
      <c r="L3412" t="inlineStr">
        <is>
          <t>SEPTIEMBRE 2026</t>
        </is>
      </c>
      <c r="M3412" t="inlineStr">
        <is>
          <t xml:space="preserve">PQS TIPO ABC AL 75%  </t>
        </is>
      </c>
      <c r="N3412" t="inlineStr">
        <is>
          <t>E-077/000202</t>
        </is>
      </c>
      <c r="O3412" t="inlineStr">
        <is>
          <t>R</t>
        </is>
      </c>
      <c r="P3412">
        <f>TRIM(N3412)</f>
        <v/>
      </c>
    </row>
    <row r="3413">
      <c r="A3413" t="inlineStr">
        <is>
          <t>CO-002459</t>
        </is>
      </c>
      <c r="B3413" t="inlineStr">
        <is>
          <t>BRITISH AMERICAN HOSPITAL S.A. - CLINICA ANGLOAMERICANA</t>
        </is>
      </c>
      <c r="C3413" t="inlineStr">
        <is>
          <t>20107695584</t>
        </is>
      </c>
      <c r="D3413" t="inlineStr">
        <is>
          <t xml:space="preserve">JR ALFREDO SALAZAR 350 - SAN ISIDRO </t>
        </is>
      </c>
      <c r="E3413" t="inlineStr">
        <is>
          <t>Lima, 30 de Septiembre de 2025</t>
        </is>
      </c>
      <c r="F3413" t="inlineStr">
        <is>
          <t>la Recarga y mantenimiento</t>
        </is>
      </c>
      <c r="G3413" t="inlineStr">
        <is>
          <t>04</t>
        </is>
      </c>
      <c r="H3413" t="inlineStr">
        <is>
          <t>06 KG</t>
        </is>
      </c>
      <c r="I3413" t="n">
        <v>2029</v>
      </c>
      <c r="J3413" t="n">
        <v>2014</v>
      </c>
      <c r="K3413" t="inlineStr">
        <is>
          <t>SEPTIEMBRE 2025</t>
        </is>
      </c>
      <c r="L3413" t="inlineStr">
        <is>
          <t>SEPTIEMBRE 2026</t>
        </is>
      </c>
      <c r="M3413" t="inlineStr">
        <is>
          <t xml:space="preserve">PQS TIPO ABC AL 75%  </t>
        </is>
      </c>
      <c r="N3413" t="inlineStr">
        <is>
          <t>E-092/000012</t>
        </is>
      </c>
      <c r="O3413" t="inlineStr">
        <is>
          <t>R</t>
        </is>
      </c>
      <c r="P3413">
        <f>TRIM(N3413)</f>
        <v/>
      </c>
    </row>
    <row r="3414">
      <c r="A3414" t="inlineStr">
        <is>
          <t>CO-002459</t>
        </is>
      </c>
      <c r="B3414" t="inlineStr">
        <is>
          <t>BRITISH AMERICAN HOSPITAL S.A. - CLINICA ANGLOAMERICANA</t>
        </is>
      </c>
      <c r="C3414" t="inlineStr">
        <is>
          <t>20107695584</t>
        </is>
      </c>
      <c r="D3414" t="inlineStr">
        <is>
          <t xml:space="preserve">JR ALFREDO SALAZAR 350 - SAN ISIDRO </t>
        </is>
      </c>
      <c r="E3414" t="inlineStr">
        <is>
          <t>Lima, 30 de Septiembre de 2025</t>
        </is>
      </c>
      <c r="F3414" t="inlineStr">
        <is>
          <t>la Recarga y mantenimiento</t>
        </is>
      </c>
      <c r="G3414" t="inlineStr">
        <is>
          <t>05</t>
        </is>
      </c>
      <c r="H3414" t="inlineStr">
        <is>
          <t>06 KG</t>
        </is>
      </c>
      <c r="I3414" t="n">
        <v>2029</v>
      </c>
      <c r="J3414" t="n">
        <v>2014</v>
      </c>
      <c r="K3414" t="inlineStr">
        <is>
          <t>SEPTIEMBRE 2025</t>
        </is>
      </c>
      <c r="L3414" t="inlineStr">
        <is>
          <t>SEPTIEMBRE 2026</t>
        </is>
      </c>
      <c r="M3414" t="inlineStr">
        <is>
          <t xml:space="preserve">CO2 TIPO BC </t>
        </is>
      </c>
      <c r="N3414" t="inlineStr">
        <is>
          <t>E-102-000014</t>
        </is>
      </c>
      <c r="O3414" t="inlineStr">
        <is>
          <t>R</t>
        </is>
      </c>
      <c r="P3414">
        <f>TRIM(N3414)</f>
        <v/>
      </c>
    </row>
    <row r="3415">
      <c r="A3415" t="inlineStr">
        <is>
          <t>CO-002459</t>
        </is>
      </c>
      <c r="B3415" t="inlineStr">
        <is>
          <t>BRITISH AMERICAN HOSPITAL S.A. - CLINICA ANGLOAMERICANA</t>
        </is>
      </c>
      <c r="C3415" t="inlineStr">
        <is>
          <t>20107695584</t>
        </is>
      </c>
      <c r="D3415" t="inlineStr">
        <is>
          <t xml:space="preserve">JR ALFREDO SALAZAR 350 - SAN ISIDRO </t>
        </is>
      </c>
      <c r="E3415" t="inlineStr">
        <is>
          <t>Lima, 30 de Septiembre de 2025</t>
        </is>
      </c>
      <c r="F3415" t="inlineStr">
        <is>
          <t>la Recarga y mantenimiento</t>
        </is>
      </c>
      <c r="G3415" t="inlineStr">
        <is>
          <t>06</t>
        </is>
      </c>
      <c r="H3415" t="inlineStr">
        <is>
          <t>06 KG</t>
        </is>
      </c>
      <c r="I3415" t="n">
        <v>2029</v>
      </c>
      <c r="J3415" t="n">
        <v>2014</v>
      </c>
      <c r="K3415" t="inlineStr">
        <is>
          <t>SEPTIEMBRE 2025</t>
        </is>
      </c>
      <c r="L3415" t="inlineStr">
        <is>
          <t>SEPTIEMBRE 2026</t>
        </is>
      </c>
      <c r="M3415" t="inlineStr">
        <is>
          <t xml:space="preserve">PQS TIPO ABC AL 75%  </t>
        </is>
      </c>
      <c r="N3415" t="inlineStr">
        <is>
          <t>E-104/001852</t>
        </is>
      </c>
      <c r="O3415" t="inlineStr">
        <is>
          <t>R</t>
        </is>
      </c>
      <c r="P3415">
        <f>TRIM(N3415)</f>
        <v/>
      </c>
    </row>
    <row r="3416">
      <c r="A3416" t="inlineStr">
        <is>
          <t>CO-002459</t>
        </is>
      </c>
      <c r="B3416" t="inlineStr">
        <is>
          <t>BRITISH AMERICAN HOSPITAL S.A. - CLINICA ANGLOAMERICANA</t>
        </is>
      </c>
      <c r="C3416" t="inlineStr">
        <is>
          <t>20107695584</t>
        </is>
      </c>
      <c r="D3416" t="inlineStr">
        <is>
          <t xml:space="preserve">JR ALFREDO SALAZAR 350 - SAN ISIDRO </t>
        </is>
      </c>
      <c r="E3416" t="inlineStr">
        <is>
          <t>Lima, 30 de Septiembre de 2025</t>
        </is>
      </c>
      <c r="F3416" t="inlineStr">
        <is>
          <t>la Recarga y mantenimiento</t>
        </is>
      </c>
      <c r="G3416" t="inlineStr">
        <is>
          <t>07</t>
        </is>
      </c>
      <c r="H3416" t="inlineStr">
        <is>
          <t>12 KG</t>
        </is>
      </c>
      <c r="I3416" t="n">
        <v>2028</v>
      </c>
      <c r="J3416" t="n">
        <v>2017</v>
      </c>
      <c r="K3416" t="inlineStr">
        <is>
          <t>SEPTIEMBRE 2025</t>
        </is>
      </c>
      <c r="L3416" t="inlineStr">
        <is>
          <t>SEPTIEMBRE 2026</t>
        </is>
      </c>
      <c r="M3416" t="inlineStr">
        <is>
          <t xml:space="preserve">PQS TIPO ABC AL 75%  </t>
        </is>
      </c>
      <c r="N3416" t="inlineStr">
        <is>
          <t>E-106/000250</t>
        </is>
      </c>
      <c r="O3416" t="inlineStr">
        <is>
          <t>R</t>
        </is>
      </c>
      <c r="P3416">
        <f>TRIM(N3416)</f>
        <v/>
      </c>
    </row>
    <row r="3417">
      <c r="A3417" t="inlineStr">
        <is>
          <t>CO-002459</t>
        </is>
      </c>
      <c r="B3417" t="inlineStr">
        <is>
          <t>BRITISH AMERICAN HOSPITAL S.A. - CLINICA ANGLOAMERICANA</t>
        </is>
      </c>
      <c r="C3417" t="inlineStr">
        <is>
          <t>20107695584</t>
        </is>
      </c>
      <c r="D3417" t="inlineStr">
        <is>
          <t xml:space="preserve">JR ALFREDO SALAZAR 350 - SAN ISIDRO </t>
        </is>
      </c>
      <c r="E3417" t="inlineStr">
        <is>
          <t>Lima, 30 de Septiembre de 2025</t>
        </is>
      </c>
      <c r="F3417" t="inlineStr">
        <is>
          <t>la Recarga y mantenimiento</t>
        </is>
      </c>
      <c r="G3417" t="inlineStr">
        <is>
          <t xml:space="preserve">08 </t>
        </is>
      </c>
      <c r="H3417" t="inlineStr">
        <is>
          <t>20 LBS</t>
        </is>
      </c>
      <c r="I3417" t="n">
        <v>2028</v>
      </c>
      <c r="J3417" t="n">
        <v>2008</v>
      </c>
      <c r="K3417" t="inlineStr">
        <is>
          <t>SEPTIEMBRE 2025</t>
        </is>
      </c>
      <c r="L3417" t="inlineStr">
        <is>
          <t>SEPTIEMBRE 2026</t>
        </is>
      </c>
      <c r="M3417" t="inlineStr">
        <is>
          <t>PQS TIPO ABC AL 90%</t>
        </is>
      </c>
      <c r="N3417" t="inlineStr">
        <is>
          <t>E-112/CR569964</t>
        </is>
      </c>
      <c r="O3417" t="inlineStr">
        <is>
          <t>R</t>
        </is>
      </c>
      <c r="P3417">
        <f>TRIM(N3417)</f>
        <v/>
      </c>
    </row>
    <row r="3418">
      <c r="A3418" t="inlineStr">
        <is>
          <t>CO-002459</t>
        </is>
      </c>
      <c r="B3418" t="inlineStr">
        <is>
          <t>BRITISH AMERICAN HOSPITAL S.A. - CLINICA ANGLOAMERICANA</t>
        </is>
      </c>
      <c r="C3418" t="inlineStr">
        <is>
          <t>20107695584</t>
        </is>
      </c>
      <c r="D3418" t="inlineStr">
        <is>
          <t xml:space="preserve">JR ALFREDO SALAZAR 350 - SAN ISIDRO </t>
        </is>
      </c>
      <c r="E3418" t="inlineStr">
        <is>
          <t>Lima, 30 de Septiembre de 2025</t>
        </is>
      </c>
      <c r="F3418" t="inlineStr">
        <is>
          <t>la Recarga y mantenimiento</t>
        </is>
      </c>
      <c r="G3418" t="inlineStr">
        <is>
          <t>09</t>
        </is>
      </c>
      <c r="H3418" t="inlineStr">
        <is>
          <t>06 KG</t>
        </is>
      </c>
      <c r="I3418" t="n">
        <v>2029</v>
      </c>
      <c r="J3418" t="n">
        <v>2017</v>
      </c>
      <c r="K3418" t="inlineStr">
        <is>
          <t>SEPTIEMBRE 2025</t>
        </is>
      </c>
      <c r="L3418" t="inlineStr">
        <is>
          <t>SEPTIEMBRE 2026</t>
        </is>
      </c>
      <c r="M3418" t="inlineStr">
        <is>
          <t xml:space="preserve">PQS TIPO ABC AL 75%  </t>
        </is>
      </c>
      <c r="N3418" t="inlineStr">
        <is>
          <t>E-120/000096</t>
        </is>
      </c>
      <c r="O3418" t="inlineStr">
        <is>
          <t>R</t>
        </is>
      </c>
      <c r="P3418">
        <f>TRIM(N3418)</f>
        <v/>
      </c>
    </row>
    <row r="3419">
      <c r="A3419" t="inlineStr">
        <is>
          <t>CO-002459</t>
        </is>
      </c>
      <c r="B3419" t="inlineStr">
        <is>
          <t>BRITISH AMERICAN HOSPITAL S.A. - CLINICA ANGLOAMERICANA</t>
        </is>
      </c>
      <c r="C3419" t="inlineStr">
        <is>
          <t>20107695584</t>
        </is>
      </c>
      <c r="D3419" t="inlineStr">
        <is>
          <t xml:space="preserve">JR ALFREDO SALAZAR 350 - SAN ISIDRO </t>
        </is>
      </c>
      <c r="E3419" t="inlineStr">
        <is>
          <t>Lima, 30 de Septiembre de 2025</t>
        </is>
      </c>
      <c r="F3419" t="inlineStr">
        <is>
          <t>la Recarga y mantenimiento</t>
        </is>
      </c>
      <c r="G3419" t="n">
        <v>10</v>
      </c>
      <c r="H3419" t="inlineStr">
        <is>
          <t>06 KG</t>
        </is>
      </c>
      <c r="I3419" t="n">
        <v>2029</v>
      </c>
      <c r="J3419" t="n">
        <v>2017</v>
      </c>
      <c r="K3419" t="inlineStr">
        <is>
          <t>SEPTIEMBRE 2025</t>
        </is>
      </c>
      <c r="L3419" t="inlineStr">
        <is>
          <t>SEPTIEMBRE 2026</t>
        </is>
      </c>
      <c r="M3419" t="inlineStr">
        <is>
          <t xml:space="preserve">PQS TIPO ABC AL 75%  </t>
        </is>
      </c>
      <c r="N3419" t="inlineStr">
        <is>
          <t>E-124/000796</t>
        </is>
      </c>
      <c r="O3419" t="inlineStr">
        <is>
          <t>R</t>
        </is>
      </c>
      <c r="P3419">
        <f>TRIM(N3419)</f>
        <v/>
      </c>
    </row>
    <row r="3420">
      <c r="A3420" t="inlineStr">
        <is>
          <t>CO-002459</t>
        </is>
      </c>
      <c r="B3420" t="inlineStr">
        <is>
          <t>BRITISH AMERICAN HOSPITAL S.A. - CLINICA ANGLOAMERICANA</t>
        </is>
      </c>
      <c r="C3420" t="inlineStr">
        <is>
          <t>20107695584</t>
        </is>
      </c>
      <c r="D3420" t="inlineStr">
        <is>
          <t xml:space="preserve">JR ALFREDO SALAZAR 350 - SAN ISIDRO </t>
        </is>
      </c>
      <c r="E3420" t="inlineStr">
        <is>
          <t>Lima, 30 de Septiembre de 2025</t>
        </is>
      </c>
      <c r="F3420" t="inlineStr">
        <is>
          <t>la Recarga y mantenimiento</t>
        </is>
      </c>
      <c r="G3420" t="n">
        <v>11</v>
      </c>
      <c r="H3420" t="inlineStr">
        <is>
          <t>06 KG</t>
        </is>
      </c>
      <c r="I3420" t="n">
        <v>2029</v>
      </c>
      <c r="J3420" t="n">
        <v>2017</v>
      </c>
      <c r="K3420" t="inlineStr">
        <is>
          <t>SEPTIEMBRE 2025</t>
        </is>
      </c>
      <c r="L3420" t="inlineStr">
        <is>
          <t>SEPTIEMBRE 2026</t>
        </is>
      </c>
      <c r="M3420" t="inlineStr">
        <is>
          <t xml:space="preserve">PQS TIPO ABC AL 75%  </t>
        </is>
      </c>
      <c r="N3420" t="inlineStr">
        <is>
          <t>E-125/000895</t>
        </is>
      </c>
      <c r="O3420" t="inlineStr">
        <is>
          <t>R</t>
        </is>
      </c>
      <c r="P3420">
        <f>TRIM(N3420)</f>
        <v/>
      </c>
    </row>
    <row r="3421">
      <c r="A3421" t="inlineStr">
        <is>
          <t>CO-002459</t>
        </is>
      </c>
      <c r="B3421" t="inlineStr">
        <is>
          <t>BRITISH AMERICAN HOSPITAL S.A. - CLINICA ANGLOAMERICANA</t>
        </is>
      </c>
      <c r="C3421" t="inlineStr">
        <is>
          <t>20107695584</t>
        </is>
      </c>
      <c r="D3421" t="inlineStr">
        <is>
          <t xml:space="preserve">JR ALFREDO SALAZAR 350 - SAN ISIDRO </t>
        </is>
      </c>
      <c r="E3421" t="inlineStr">
        <is>
          <t>Lima, 30 de Septiembre de 2025</t>
        </is>
      </c>
      <c r="F3421" t="inlineStr">
        <is>
          <t>la Recarga y mantenimiento</t>
        </is>
      </c>
      <c r="G3421" t="n">
        <v>12</v>
      </c>
      <c r="H3421" t="inlineStr">
        <is>
          <t>06 KG</t>
        </is>
      </c>
      <c r="I3421" t="n">
        <v>2029</v>
      </c>
      <c r="J3421" t="n">
        <v>2017</v>
      </c>
      <c r="K3421" t="inlineStr">
        <is>
          <t>SEPTIEMBRE 2025</t>
        </is>
      </c>
      <c r="L3421" t="inlineStr">
        <is>
          <t>SEPTIEMBRE 2026</t>
        </is>
      </c>
      <c r="M3421" t="inlineStr">
        <is>
          <t xml:space="preserve">PQS TIPO ABC AL 75%  </t>
        </is>
      </c>
      <c r="N3421" t="inlineStr">
        <is>
          <t>E128-000059</t>
        </is>
      </c>
      <c r="O3421" t="inlineStr">
        <is>
          <t>R</t>
        </is>
      </c>
      <c r="P3421">
        <f>TRIM(N3421)</f>
        <v/>
      </c>
    </row>
    <row r="3422">
      <c r="A3422" t="inlineStr">
        <is>
          <t>CO-002459</t>
        </is>
      </c>
      <c r="B3422" t="inlineStr">
        <is>
          <t>BRITISH AMERICAN HOSPITAL S.A. - CLINICA ANGLOAMERICANA</t>
        </is>
      </c>
      <c r="C3422" t="inlineStr">
        <is>
          <t>20107695584</t>
        </is>
      </c>
      <c r="D3422" t="inlineStr">
        <is>
          <t xml:space="preserve">JR ALFREDO SALAZAR 350 - SAN ISIDRO </t>
        </is>
      </c>
      <c r="E3422" t="inlineStr">
        <is>
          <t>Lima, 30 de Septiembre de 2025</t>
        </is>
      </c>
      <c r="F3422" t="inlineStr">
        <is>
          <t>la Recarga y mantenimiento</t>
        </is>
      </c>
      <c r="G3422" t="n">
        <v>13</v>
      </c>
      <c r="H3422" t="inlineStr">
        <is>
          <t xml:space="preserve">12 KG </t>
        </is>
      </c>
      <c r="I3422" t="n">
        <v>2029</v>
      </c>
      <c r="J3422" t="n">
        <v>2017</v>
      </c>
      <c r="K3422" t="inlineStr">
        <is>
          <t>SEPTIEMBRE 2025</t>
        </is>
      </c>
      <c r="L3422" t="inlineStr">
        <is>
          <t>SEPTIEMBRE 2026</t>
        </is>
      </c>
      <c r="M3422" t="inlineStr">
        <is>
          <t xml:space="preserve">PQS TIPO ABC AL 75%  </t>
        </is>
      </c>
      <c r="N3422" t="inlineStr">
        <is>
          <t>E141-000086</t>
        </is>
      </c>
      <c r="O3422" t="inlineStr">
        <is>
          <t>R</t>
        </is>
      </c>
      <c r="P3422">
        <f>TRIM(N3422)</f>
        <v/>
      </c>
    </row>
    <row r="3423">
      <c r="A3423" t="inlineStr">
        <is>
          <t>CO-002459</t>
        </is>
      </c>
      <c r="B3423" t="inlineStr">
        <is>
          <t>BRITISH AMERICAN HOSPITAL S.A. - CLINICA ANGLOAMERICANA</t>
        </is>
      </c>
      <c r="C3423" t="inlineStr">
        <is>
          <t>20107695584</t>
        </is>
      </c>
      <c r="D3423" t="inlineStr">
        <is>
          <t xml:space="preserve">JR ALFREDO SALAZAR 350 - SAN ISIDRO </t>
        </is>
      </c>
      <c r="E3423" t="inlineStr">
        <is>
          <t>Lima, 30 de Septiembre de 2025</t>
        </is>
      </c>
      <c r="F3423" t="inlineStr">
        <is>
          <t>la Recarga y mantenimiento</t>
        </is>
      </c>
      <c r="G3423" t="n">
        <v>14</v>
      </c>
      <c r="H3423" t="inlineStr">
        <is>
          <t>20 LBS</t>
        </is>
      </c>
      <c r="I3423" t="n">
        <v>2027</v>
      </c>
      <c r="J3423" t="n">
        <v>2007</v>
      </c>
      <c r="K3423" t="inlineStr">
        <is>
          <t>SEPTIEMBRE 2025</t>
        </is>
      </c>
      <c r="L3423" t="inlineStr">
        <is>
          <t>SEPTIEMBRE 2026</t>
        </is>
      </c>
      <c r="M3423" t="inlineStr">
        <is>
          <t xml:space="preserve">PQS TIPO ABC AL 75%  </t>
        </is>
      </c>
      <c r="N3423" t="inlineStr">
        <is>
          <t>E167/ZR283665</t>
        </is>
      </c>
      <c r="O3423" t="inlineStr">
        <is>
          <t>R</t>
        </is>
      </c>
      <c r="P3423">
        <f>TRIM(N3423)</f>
        <v/>
      </c>
    </row>
    <row r="3424">
      <c r="A3424" t="inlineStr">
        <is>
          <t>CO-002459</t>
        </is>
      </c>
      <c r="B3424" t="inlineStr">
        <is>
          <t>BRITISH AMERICAN HOSPITAL S.A. - CLINICA ANGLOAMERICANA</t>
        </is>
      </c>
      <c r="C3424" t="inlineStr">
        <is>
          <t>20107695584</t>
        </is>
      </c>
      <c r="D3424" t="inlineStr">
        <is>
          <t xml:space="preserve">JR ALFREDO SALAZAR 350 - SAN ISIDRO </t>
        </is>
      </c>
      <c r="E3424" t="inlineStr">
        <is>
          <t>Lima, 30 de Septiembre de 2025</t>
        </is>
      </c>
      <c r="F3424" t="inlineStr">
        <is>
          <t>la Recarga y mantenimiento</t>
        </is>
      </c>
      <c r="G3424" t="n">
        <v>15</v>
      </c>
      <c r="H3424" t="inlineStr">
        <is>
          <t>50 KG</t>
        </is>
      </c>
      <c r="I3424" t="n">
        <v>2030</v>
      </c>
      <c r="J3424" t="n">
        <v>2020</v>
      </c>
      <c r="K3424" t="inlineStr">
        <is>
          <t>SEPTIEMBRE 2025</t>
        </is>
      </c>
      <c r="L3424" t="inlineStr">
        <is>
          <t>SEPTIEMBRE 2026</t>
        </is>
      </c>
      <c r="M3424" t="inlineStr">
        <is>
          <t xml:space="preserve">PQS TIPO ABC AL 75%  </t>
        </is>
      </c>
      <c r="N3424" t="inlineStr">
        <is>
          <t>E169/000013</t>
        </is>
      </c>
      <c r="O3424" t="inlineStr">
        <is>
          <t>R</t>
        </is>
      </c>
      <c r="P3424">
        <f>TRIM(N3424)</f>
        <v/>
      </c>
    </row>
    <row r="3425">
      <c r="A3425" t="inlineStr">
        <is>
          <t>CO-002461</t>
        </is>
      </c>
      <c r="B3425" t="inlineStr">
        <is>
          <t xml:space="preserve">EDILBERTO JESUS SUERO SALAS </t>
        </is>
      </c>
      <c r="C3425" t="inlineStr">
        <is>
          <t>45882713</t>
        </is>
      </c>
      <c r="D3425" t="inlineStr">
        <is>
          <t xml:space="preserve">MERCADO SANGARARA PUESTO 11 (ESQUINA) </t>
        </is>
      </c>
      <c r="E3425" t="inlineStr">
        <is>
          <t>Lima, 26 de Septiembre del 2025</t>
        </is>
      </c>
      <c r="F3425" t="inlineStr">
        <is>
          <t>la Recarga y mantenimiento</t>
        </is>
      </c>
      <c r="G3425" t="inlineStr">
        <is>
          <t>01</t>
        </is>
      </c>
      <c r="H3425" t="inlineStr">
        <is>
          <t>06 KG</t>
        </is>
      </c>
      <c r="I3425" t="inlineStr">
        <is>
          <t>2027</t>
        </is>
      </c>
      <c r="J3425" t="n">
        <v>2022</v>
      </c>
      <c r="K3425" t="inlineStr">
        <is>
          <t>SEPTIEMBRE 2025</t>
        </is>
      </c>
      <c r="L3425" t="inlineStr">
        <is>
          <t>SEPTIEMBRE 2026</t>
        </is>
      </c>
      <c r="M3425" t="inlineStr">
        <is>
          <t>P.Q.S.  TIPO ABC</t>
        </is>
      </c>
      <c r="N3425" t="inlineStr">
        <is>
          <t>307190</t>
        </is>
      </c>
      <c r="O3425" t="inlineStr">
        <is>
          <t>R</t>
        </is>
      </c>
      <c r="P3425">
        <f>TRIM(N3425)</f>
        <v/>
      </c>
    </row>
    <row r="3426">
      <c r="A3426" t="inlineStr">
        <is>
          <t>CO-002462</t>
        </is>
      </c>
      <c r="B3426" t="inlineStr">
        <is>
          <t>CORPORACION EL PARQUE CAFÉ S.A.C</t>
        </is>
      </c>
      <c r="C3426" t="inlineStr">
        <is>
          <t>20614595656</t>
        </is>
      </c>
      <c r="D3426" t="inlineStr">
        <is>
          <t>JR. TANGASUCA NRO. 165 COOP. PROGRESO COMAS</t>
        </is>
      </c>
      <c r="E3426" t="inlineStr">
        <is>
          <t>Lima, 25 de septiembre del 2025</t>
        </is>
      </c>
      <c r="F3426" t="inlineStr">
        <is>
          <t>La Venta</t>
        </is>
      </c>
      <c r="G3426" t="inlineStr">
        <is>
          <t>01</t>
        </is>
      </c>
      <c r="H3426" t="inlineStr">
        <is>
          <t>06 kg</t>
        </is>
      </c>
      <c r="I3426" t="inlineStr">
        <is>
          <t>2030</t>
        </is>
      </c>
      <c r="J3426" t="n">
        <v>2025</v>
      </c>
      <c r="K3426" t="inlineStr">
        <is>
          <t>SEPTIEMBRE 2025</t>
        </is>
      </c>
      <c r="L3426" t="inlineStr">
        <is>
          <t>SEPTIEMBRE 2026</t>
        </is>
      </c>
      <c r="M3426" t="inlineStr">
        <is>
          <t xml:space="preserve">PQS TIPO ABC AL 75%  </t>
        </is>
      </c>
      <c r="N3426" t="inlineStr">
        <is>
          <t>002618</t>
        </is>
      </c>
      <c r="O3426" t="inlineStr">
        <is>
          <t>V</t>
        </is>
      </c>
      <c r="P3426">
        <f>TRIM(N3426)</f>
        <v/>
      </c>
    </row>
    <row r="3427">
      <c r="A3427" t="inlineStr">
        <is>
          <t>CO-002462</t>
        </is>
      </c>
      <c r="B3427" t="inlineStr">
        <is>
          <t>CORPORACION EL PARQUE CAFÉ S.A.C</t>
        </is>
      </c>
      <c r="C3427" t="inlineStr">
        <is>
          <t>20614595656</t>
        </is>
      </c>
      <c r="D3427" t="inlineStr">
        <is>
          <t>JR. TANGASUCA NRO. 165 COOP. PROGRESO COMAS</t>
        </is>
      </c>
      <c r="E3427" t="inlineStr">
        <is>
          <t>Lima, 25 de septiembre del 2025</t>
        </is>
      </c>
      <c r="F3427" t="inlineStr">
        <is>
          <t>La Venta</t>
        </is>
      </c>
      <c r="G3427" t="n">
        <v>3</v>
      </c>
      <c r="O3427" t="inlineStr">
        <is>
          <t>V</t>
        </is>
      </c>
      <c r="P3427">
        <f>TRIM(N3427)</f>
        <v/>
      </c>
    </row>
    <row r="3428">
      <c r="A3428" t="inlineStr">
        <is>
          <t>CO-002463</t>
        </is>
      </c>
      <c r="B3428" t="inlineStr">
        <is>
          <t>FERRETERIA EL CHASQUI: DE ALBERTO JULCA MORI</t>
        </is>
      </c>
      <c r="D3428" t="inlineStr">
        <is>
          <t xml:space="preserve">AV. SEIS MZ  78B   LT 15   URB. TORRE BLANCA - CARABAYLLO </t>
        </is>
      </c>
      <c r="E3428" t="inlineStr">
        <is>
          <t>Lima, 26 de Septiembre del 2025</t>
        </is>
      </c>
      <c r="F3428" t="inlineStr">
        <is>
          <t>la Recarga y mantenimiento</t>
        </is>
      </c>
      <c r="G3428" t="inlineStr">
        <is>
          <t>01</t>
        </is>
      </c>
      <c r="H3428" t="inlineStr">
        <is>
          <t>06 KG</t>
        </is>
      </c>
      <c r="I3428" t="inlineStr">
        <is>
          <t>2026</t>
        </is>
      </c>
      <c r="J3428" t="n">
        <v>2015</v>
      </c>
      <c r="K3428" t="inlineStr">
        <is>
          <t>SEPTIEMBRE 2025</t>
        </is>
      </c>
      <c r="L3428" t="inlineStr">
        <is>
          <t>SEPTIEMBRE 2026</t>
        </is>
      </c>
      <c r="M3428" t="inlineStr">
        <is>
          <t>P.Q.S TIPO ABC</t>
        </is>
      </c>
      <c r="N3428" t="inlineStr">
        <is>
          <t>01/002023</t>
        </is>
      </c>
      <c r="O3428" t="inlineStr">
        <is>
          <t>R</t>
        </is>
      </c>
      <c r="P3428">
        <f>TRIM(N3428)</f>
        <v/>
      </c>
    </row>
    <row r="3429">
      <c r="A3429" t="inlineStr">
        <is>
          <t>CO-002463</t>
        </is>
      </c>
      <c r="B3429" t="inlineStr">
        <is>
          <t>FERRETERIA EL CHASQUI: DE ALBERTO JULCA MORI</t>
        </is>
      </c>
      <c r="D3429" t="inlineStr">
        <is>
          <t xml:space="preserve">AV. SEIS MZ  78B   LT 15   URB. TORRE BLANCA - CARABAYLLO </t>
        </is>
      </c>
      <c r="E3429" t="inlineStr">
        <is>
          <t>Lima, 26 de Septiembre del 2025</t>
        </is>
      </c>
      <c r="F3429" t="inlineStr">
        <is>
          <t>la Recarga y mantenimiento</t>
        </is>
      </c>
      <c r="G3429" t="inlineStr">
        <is>
          <t>02</t>
        </is>
      </c>
      <c r="H3429" t="inlineStr">
        <is>
          <t xml:space="preserve">06 KG </t>
        </is>
      </c>
      <c r="I3429" t="inlineStr">
        <is>
          <t>2026</t>
        </is>
      </c>
      <c r="J3429" t="n">
        <v>2011</v>
      </c>
      <c r="K3429" t="inlineStr">
        <is>
          <t>SEPTIEMBRE 2025</t>
        </is>
      </c>
      <c r="L3429" t="inlineStr">
        <is>
          <t>SEPTIEMBRE 2026</t>
        </is>
      </c>
      <c r="M3429" t="inlineStr">
        <is>
          <t>P.Q.S TIPO ABC</t>
        </is>
      </c>
      <c r="N3429" t="inlineStr">
        <is>
          <t>02/009882</t>
        </is>
      </c>
      <c r="O3429" t="inlineStr">
        <is>
          <t>R</t>
        </is>
      </c>
      <c r="P3429">
        <f>TRIM(N3429)</f>
        <v/>
      </c>
    </row>
    <row r="3430">
      <c r="A3430" t="inlineStr">
        <is>
          <t>CO-002464</t>
        </is>
      </c>
      <c r="B3430" t="inlineStr">
        <is>
          <t>MERCADO EL PARAISO</t>
        </is>
      </c>
      <c r="D3430" t="inlineStr">
        <is>
          <t>Urb. El Paraiso Mz. F Lote 6 / 16 - Carabayllo</t>
        </is>
      </c>
      <c r="E3430" t="inlineStr">
        <is>
          <t>Lima, 27 de Septiembre del  2025</t>
        </is>
      </c>
      <c r="F3430" t="inlineStr">
        <is>
          <t>la Recarga y mantenimiento</t>
        </is>
      </c>
      <c r="G3430" t="inlineStr">
        <is>
          <t>01</t>
        </is>
      </c>
      <c r="H3430" t="inlineStr">
        <is>
          <t>06 KG</t>
        </is>
      </c>
      <c r="I3430" t="inlineStr">
        <is>
          <t>2027</t>
        </is>
      </c>
      <c r="J3430" t="n">
        <v>2016</v>
      </c>
      <c r="K3430" t="inlineStr">
        <is>
          <t>SEPTIEMBRE 2025</t>
        </is>
      </c>
      <c r="L3430" t="inlineStr">
        <is>
          <t>SEPTIEMBRE 2026</t>
        </is>
      </c>
      <c r="M3430" t="inlineStr">
        <is>
          <t xml:space="preserve">P.Q.S TIPO ABC </t>
        </is>
      </c>
      <c r="N3430" t="inlineStr">
        <is>
          <t>01/001143</t>
        </is>
      </c>
      <c r="O3430" t="inlineStr">
        <is>
          <t>R</t>
        </is>
      </c>
      <c r="P3430">
        <f>TRIM(N3430)</f>
        <v/>
      </c>
    </row>
    <row r="3431">
      <c r="A3431" t="inlineStr">
        <is>
          <t>CO-002464</t>
        </is>
      </c>
      <c r="B3431" t="inlineStr">
        <is>
          <t>MERCADO EL PARAISO</t>
        </is>
      </c>
      <c r="D3431" t="inlineStr">
        <is>
          <t>Urb. El Paraiso Mz. F Lote 6 / 16 - Carabayllo</t>
        </is>
      </c>
      <c r="E3431" t="inlineStr">
        <is>
          <t>Lima, 27 de Septiembre del  2025</t>
        </is>
      </c>
      <c r="F3431" t="inlineStr">
        <is>
          <t>la Recarga y mantenimiento</t>
        </is>
      </c>
      <c r="G3431" t="inlineStr">
        <is>
          <t>02</t>
        </is>
      </c>
      <c r="H3431" t="inlineStr">
        <is>
          <t>06 KG</t>
        </is>
      </c>
      <c r="I3431" t="inlineStr">
        <is>
          <t>2028</t>
        </is>
      </c>
      <c r="J3431" t="n">
        <v>2010</v>
      </c>
      <c r="K3431" t="inlineStr">
        <is>
          <t>SEPTIEMBRE 2025</t>
        </is>
      </c>
      <c r="L3431" t="inlineStr">
        <is>
          <t>SEPTIEMBRE 2026</t>
        </is>
      </c>
      <c r="M3431" t="inlineStr">
        <is>
          <t xml:space="preserve">P.Q.S TIPO ABC </t>
        </is>
      </c>
      <c r="N3431" t="inlineStr">
        <is>
          <t>02/001460</t>
        </is>
      </c>
      <c r="O3431" t="inlineStr">
        <is>
          <t>R</t>
        </is>
      </c>
      <c r="P3431">
        <f>TRIM(N3431)</f>
        <v/>
      </c>
    </row>
    <row r="3432">
      <c r="A3432" t="inlineStr">
        <is>
          <t>CO-002464</t>
        </is>
      </c>
      <c r="B3432" t="inlineStr">
        <is>
          <t>MERCADO EL PARAISO</t>
        </is>
      </c>
      <c r="D3432" t="inlineStr">
        <is>
          <t>Urb. El Paraiso Mz. F Lote 6 / 16 - Carabayllo</t>
        </is>
      </c>
      <c r="E3432" t="inlineStr">
        <is>
          <t>Lima, 27 de Septiembre del  2025</t>
        </is>
      </c>
      <c r="F3432" t="inlineStr">
        <is>
          <t>la Recarga y mantenimiento</t>
        </is>
      </c>
      <c r="G3432" t="inlineStr">
        <is>
          <t>03</t>
        </is>
      </c>
      <c r="H3432" t="inlineStr">
        <is>
          <t>06 KG</t>
        </is>
      </c>
      <c r="I3432" t="n">
        <v>2029</v>
      </c>
      <c r="J3432" t="n">
        <v>2014</v>
      </c>
      <c r="K3432" t="inlineStr">
        <is>
          <t>SEPTIEMBRE 2025</t>
        </is>
      </c>
      <c r="L3432" t="inlineStr">
        <is>
          <t>SEPTIEMBRE 2026</t>
        </is>
      </c>
      <c r="M3432" t="inlineStr">
        <is>
          <t xml:space="preserve">P.Q.S TIPO ABC </t>
        </is>
      </c>
      <c r="N3432" t="inlineStr">
        <is>
          <t>03/002591</t>
        </is>
      </c>
      <c r="O3432" t="inlineStr">
        <is>
          <t>R</t>
        </is>
      </c>
      <c r="P3432">
        <f>TRIM(N3432)</f>
        <v/>
      </c>
    </row>
    <row r="3433">
      <c r="A3433" t="inlineStr">
        <is>
          <t>CO-002464</t>
        </is>
      </c>
      <c r="B3433" t="inlineStr">
        <is>
          <t>MERCADO EL PARAISO</t>
        </is>
      </c>
      <c r="D3433" t="inlineStr">
        <is>
          <t>Urb. El Paraiso Mz. F Lote 6 / 16 - Carabayllo</t>
        </is>
      </c>
      <c r="E3433" t="inlineStr">
        <is>
          <t>Lima, 27 de Septiembre del  2025</t>
        </is>
      </c>
      <c r="F3433" t="inlineStr">
        <is>
          <t>la Recarga y mantenimiento</t>
        </is>
      </c>
      <c r="G3433" t="inlineStr">
        <is>
          <t>04</t>
        </is>
      </c>
      <c r="H3433" t="inlineStr">
        <is>
          <t>06 KG</t>
        </is>
      </c>
      <c r="I3433" t="n">
        <v>2030</v>
      </c>
      <c r="J3433" t="n">
        <v>2015</v>
      </c>
      <c r="K3433" t="inlineStr">
        <is>
          <t>SEPTIEMBRE 2025</t>
        </is>
      </c>
      <c r="L3433" t="inlineStr">
        <is>
          <t>SEPTIEMBRE 2026</t>
        </is>
      </c>
      <c r="M3433" t="inlineStr">
        <is>
          <t xml:space="preserve">P.Q.S TIPO ABC </t>
        </is>
      </c>
      <c r="N3433" t="inlineStr">
        <is>
          <t>04/001377</t>
        </is>
      </c>
      <c r="O3433" t="inlineStr">
        <is>
          <t>R</t>
        </is>
      </c>
      <c r="P3433">
        <f>TRIM(N3433)</f>
        <v/>
      </c>
    </row>
    <row r="3434">
      <c r="A3434" t="inlineStr">
        <is>
          <t>CO-002464</t>
        </is>
      </c>
      <c r="B3434" t="inlineStr">
        <is>
          <t>MERCADO EL PARAISO</t>
        </is>
      </c>
      <c r="D3434" t="inlineStr">
        <is>
          <t>Urb. El Paraiso Mz. F Lote 6 / 16 - Carabayllo</t>
        </is>
      </c>
      <c r="E3434" t="inlineStr">
        <is>
          <t>Lima, 27 de Septiembre del  2025</t>
        </is>
      </c>
      <c r="F3434" t="inlineStr">
        <is>
          <t>la Recarga y mantenimiento</t>
        </is>
      </c>
      <c r="G3434" t="inlineStr">
        <is>
          <t>05</t>
        </is>
      </c>
      <c r="H3434" t="inlineStr">
        <is>
          <t>06 KG</t>
        </is>
      </c>
      <c r="I3434" t="n">
        <v>2027</v>
      </c>
      <c r="J3434" t="n">
        <v>2016</v>
      </c>
      <c r="K3434" t="inlineStr">
        <is>
          <t>SEPTIEMBRE 2025</t>
        </is>
      </c>
      <c r="L3434" t="inlineStr">
        <is>
          <t>SEPTIEMBRE 2026</t>
        </is>
      </c>
      <c r="M3434" t="inlineStr">
        <is>
          <t xml:space="preserve">P.Q.S TIPO ABC </t>
        </is>
      </c>
      <c r="N3434" t="inlineStr">
        <is>
          <t>05/001095</t>
        </is>
      </c>
      <c r="O3434" t="inlineStr">
        <is>
          <t>R</t>
        </is>
      </c>
      <c r="P3434">
        <f>TRIM(N3434)</f>
        <v/>
      </c>
    </row>
    <row r="3435">
      <c r="A3435" t="inlineStr">
        <is>
          <t>CO-002465</t>
        </is>
      </c>
      <c r="B3435" t="inlineStr">
        <is>
          <t>BRITISH AMERICAN HOSPITAL S.A. - CLINICA ANGLOAMERICANA</t>
        </is>
      </c>
      <c r="C3435" t="inlineStr">
        <is>
          <t>20107695584</t>
        </is>
      </c>
      <c r="D3435" t="inlineStr">
        <is>
          <t xml:space="preserve">JR ALFREDO SALAZAR 350 - SAN ISIDRO </t>
        </is>
      </c>
      <c r="E3435" t="inlineStr">
        <is>
          <t>Lima, 30 de Septiembre de 2025</t>
        </is>
      </c>
      <c r="F3435" t="inlineStr">
        <is>
          <t xml:space="preserve">la venta </t>
        </is>
      </c>
      <c r="G3435" t="inlineStr">
        <is>
          <t>01</t>
        </is>
      </c>
      <c r="H3435" t="inlineStr">
        <is>
          <t>06 KG</t>
        </is>
      </c>
      <c r="I3435" t="inlineStr">
        <is>
          <t>2030</t>
        </is>
      </c>
      <c r="J3435" t="n">
        <v>2025</v>
      </c>
      <c r="K3435" t="inlineStr">
        <is>
          <t>SEPTIEMBRE 2025</t>
        </is>
      </c>
      <c r="L3435" t="inlineStr">
        <is>
          <t>SEPTIEMBRE 2026</t>
        </is>
      </c>
      <c r="M3435" t="inlineStr">
        <is>
          <t xml:space="preserve">PQS TIPO ABC AL 75%  </t>
        </is>
      </c>
      <c r="N3435" t="inlineStr">
        <is>
          <t>583566</t>
        </is>
      </c>
      <c r="O3435" t="inlineStr">
        <is>
          <t>R</t>
        </is>
      </c>
      <c r="P3435">
        <f>TRIM(N3435)</f>
        <v/>
      </c>
    </row>
    <row r="3436">
      <c r="A3436" t="inlineStr">
        <is>
          <t>CO-002465</t>
        </is>
      </c>
      <c r="B3436" t="inlineStr">
        <is>
          <t>BRITISH AMERICAN HOSPITAL S.A. - CLINICA ANGLOAMERICANA</t>
        </is>
      </c>
      <c r="C3436" t="inlineStr">
        <is>
          <t>20107695584</t>
        </is>
      </c>
      <c r="D3436" t="inlineStr">
        <is>
          <t xml:space="preserve">JR ALFREDO SALAZAR 350 - SAN ISIDRO </t>
        </is>
      </c>
      <c r="E3436" t="inlineStr">
        <is>
          <t>Lima, 30 de Septiembre de 2025</t>
        </is>
      </c>
      <c r="F3436" t="inlineStr">
        <is>
          <t xml:space="preserve">la venta </t>
        </is>
      </c>
      <c r="G3436" t="inlineStr">
        <is>
          <t>02</t>
        </is>
      </c>
      <c r="H3436" t="inlineStr">
        <is>
          <t>06 KG</t>
        </is>
      </c>
      <c r="I3436" t="inlineStr">
        <is>
          <t>2030</t>
        </is>
      </c>
      <c r="J3436" t="n">
        <v>2025</v>
      </c>
      <c r="K3436" t="inlineStr">
        <is>
          <t>SEPTIEMBRE 2025</t>
        </is>
      </c>
      <c r="L3436" t="inlineStr">
        <is>
          <t>SEPTIEMBRE 2026</t>
        </is>
      </c>
      <c r="M3436" t="inlineStr">
        <is>
          <t xml:space="preserve">PQS TIPO ABC AL 75%  </t>
        </is>
      </c>
      <c r="N3436" t="inlineStr">
        <is>
          <t>583615</t>
        </is>
      </c>
      <c r="O3436" t="inlineStr">
        <is>
          <t>R</t>
        </is>
      </c>
      <c r="P3436">
        <f>TRIM(N3436)</f>
        <v/>
      </c>
    </row>
    <row r="3437">
      <c r="A3437" t="inlineStr">
        <is>
          <t>CO-002465</t>
        </is>
      </c>
      <c r="B3437" t="inlineStr">
        <is>
          <t>BRITISH AMERICAN HOSPITAL S.A. - CLINICA ANGLOAMERICANA</t>
        </is>
      </c>
      <c r="C3437" t="inlineStr">
        <is>
          <t>20107695584</t>
        </is>
      </c>
      <c r="D3437" t="inlineStr">
        <is>
          <t xml:space="preserve">JR ALFREDO SALAZAR 350 - SAN ISIDRO </t>
        </is>
      </c>
      <c r="E3437" t="inlineStr">
        <is>
          <t>Lima, 30 de Septiembre de 2025</t>
        </is>
      </c>
      <c r="F3437" t="inlineStr">
        <is>
          <t xml:space="preserve">la venta </t>
        </is>
      </c>
      <c r="G3437" t="inlineStr">
        <is>
          <t>03</t>
        </is>
      </c>
      <c r="H3437" t="inlineStr">
        <is>
          <t>06 KG</t>
        </is>
      </c>
      <c r="I3437" t="inlineStr">
        <is>
          <t>2030</t>
        </is>
      </c>
      <c r="J3437" t="n">
        <v>2025</v>
      </c>
      <c r="K3437" t="inlineStr">
        <is>
          <t>SEPTIEMBRE 2025</t>
        </is>
      </c>
      <c r="L3437" t="inlineStr">
        <is>
          <t>SEPTIEMBRE 2026</t>
        </is>
      </c>
      <c r="M3437" t="inlineStr">
        <is>
          <t xml:space="preserve">PQS TIPO ABC AL 75%  </t>
        </is>
      </c>
      <c r="N3437" t="n">
        <v>583603</v>
      </c>
      <c r="P3437">
        <f>TRIM(N3437)</f>
        <v/>
      </c>
    </row>
    <row r="3438">
      <c r="A3438" t="inlineStr">
        <is>
          <t>CO-002466</t>
        </is>
      </c>
      <c r="B3438" t="inlineStr">
        <is>
          <t xml:space="preserve">LINDE PERU S.R.L. </t>
        </is>
      </c>
      <c r="C3438" t="n">
        <v>20338570041</v>
      </c>
      <c r="D3438" t="inlineStr">
        <is>
          <t>SEDE LA OROYA</t>
        </is>
      </c>
      <c r="E3438" t="inlineStr">
        <is>
          <t>Lima, 04 de Octubre de 2025</t>
        </is>
      </c>
      <c r="F3438" t="inlineStr">
        <is>
          <t>la Recarga y mantenimiento</t>
        </is>
      </c>
      <c r="G3438" t="inlineStr">
        <is>
          <t>01</t>
        </is>
      </c>
      <c r="H3438" t="inlineStr">
        <is>
          <t>15 LBS</t>
        </is>
      </c>
      <c r="I3438" t="inlineStr">
        <is>
          <t>2029</t>
        </is>
      </c>
      <c r="J3438" t="n">
        <v>2008</v>
      </c>
      <c r="K3438" t="inlineStr">
        <is>
          <t>OCTUBRE 2025</t>
        </is>
      </c>
      <c r="L3438" t="inlineStr">
        <is>
          <t>OCTUBRE 2026</t>
        </is>
      </c>
      <c r="M3438" t="inlineStr">
        <is>
          <t xml:space="preserve">CO2 TIPO BC </t>
        </is>
      </c>
      <c r="N3438" t="inlineStr">
        <is>
          <t>12/V642666</t>
        </is>
      </c>
      <c r="O3438" t="inlineStr">
        <is>
          <t>R</t>
        </is>
      </c>
      <c r="P3438">
        <f>TRIM(N3438)</f>
        <v/>
      </c>
    </row>
    <row r="3439">
      <c r="A3439" t="inlineStr">
        <is>
          <t>CO-002466</t>
        </is>
      </c>
      <c r="B3439" t="inlineStr">
        <is>
          <t xml:space="preserve">LINDE PERU S.R.L. </t>
        </is>
      </c>
      <c r="C3439" t="n">
        <v>20338570041</v>
      </c>
      <c r="D3439" t="inlineStr">
        <is>
          <t>SEDE LA OROYA</t>
        </is>
      </c>
      <c r="E3439" t="inlineStr">
        <is>
          <t>Lima, 04 de Octubre de 2025</t>
        </is>
      </c>
      <c r="F3439" t="inlineStr">
        <is>
          <t>la Recarga y mantenimiento</t>
        </is>
      </c>
      <c r="G3439" t="inlineStr">
        <is>
          <t>02</t>
        </is>
      </c>
      <c r="H3439" t="inlineStr">
        <is>
          <t>15 LBS</t>
        </is>
      </c>
      <c r="I3439" t="inlineStr">
        <is>
          <t>2029</t>
        </is>
      </c>
      <c r="J3439" t="n">
        <v>2009</v>
      </c>
      <c r="K3439" t="inlineStr">
        <is>
          <t>OCTUBRE 2025</t>
        </is>
      </c>
      <c r="L3439" t="inlineStr">
        <is>
          <t>OCTUBRE 2026</t>
        </is>
      </c>
      <c r="M3439" t="inlineStr">
        <is>
          <t xml:space="preserve">CO2 TIPO BC </t>
        </is>
      </c>
      <c r="N3439" t="inlineStr">
        <is>
          <t>09/V678443</t>
        </is>
      </c>
      <c r="O3439" t="inlineStr">
        <is>
          <t>R</t>
        </is>
      </c>
      <c r="P3439">
        <f>TRIM(N3439)</f>
        <v/>
      </c>
    </row>
    <row r="3440">
      <c r="A3440" t="inlineStr">
        <is>
          <t>CO-002466</t>
        </is>
      </c>
      <c r="B3440" t="inlineStr">
        <is>
          <t xml:space="preserve">LINDE PERU S.R.L. </t>
        </is>
      </c>
      <c r="C3440" t="n">
        <v>20338570041</v>
      </c>
      <c r="D3440" t="inlineStr">
        <is>
          <t>SEDE LA OROYA</t>
        </is>
      </c>
      <c r="E3440" t="inlineStr">
        <is>
          <t>Lima, 04 de Octubre de 2025</t>
        </is>
      </c>
      <c r="F3440" t="inlineStr">
        <is>
          <t>la Recarga y mantenimiento</t>
        </is>
      </c>
      <c r="G3440" t="inlineStr">
        <is>
          <t>03</t>
        </is>
      </c>
      <c r="H3440" t="inlineStr">
        <is>
          <t>15 LBS</t>
        </is>
      </c>
      <c r="I3440" t="n">
        <v>2029</v>
      </c>
      <c r="J3440" t="n">
        <v>2009</v>
      </c>
      <c r="K3440" t="inlineStr">
        <is>
          <t>OCTUBRE 2025</t>
        </is>
      </c>
      <c r="L3440" t="inlineStr">
        <is>
          <t>OCTUBRE 2026</t>
        </is>
      </c>
      <c r="M3440" t="inlineStr">
        <is>
          <t xml:space="preserve">CO2 TIPO BC </t>
        </is>
      </c>
      <c r="N3440" t="inlineStr">
        <is>
          <t>01/YE004059</t>
        </is>
      </c>
      <c r="O3440" t="inlineStr">
        <is>
          <t>R</t>
        </is>
      </c>
      <c r="P3440">
        <f>TRIM(N3440)</f>
        <v/>
      </c>
    </row>
    <row r="3441">
      <c r="A3441" t="inlineStr">
        <is>
          <t>CO-002466</t>
        </is>
      </c>
      <c r="B3441" t="inlineStr">
        <is>
          <t xml:space="preserve">LINDE PERU S.R.L. </t>
        </is>
      </c>
      <c r="C3441" t="n">
        <v>20338570041</v>
      </c>
      <c r="D3441" t="inlineStr">
        <is>
          <t>SEDE LA OROYA</t>
        </is>
      </c>
      <c r="E3441" t="inlineStr">
        <is>
          <t>Lima, 04 de Octubre de 2025</t>
        </is>
      </c>
      <c r="F3441" t="inlineStr">
        <is>
          <t>la Recarga y mantenimiento</t>
        </is>
      </c>
      <c r="G3441" t="inlineStr">
        <is>
          <t>04</t>
        </is>
      </c>
      <c r="H3441" t="inlineStr">
        <is>
          <t>15 LBS</t>
        </is>
      </c>
      <c r="I3441" t="n">
        <v>2027</v>
      </c>
      <c r="J3441" t="n">
        <v>2022</v>
      </c>
      <c r="K3441" t="inlineStr">
        <is>
          <t>OCTUBRE 2025</t>
        </is>
      </c>
      <c r="L3441" t="inlineStr">
        <is>
          <t>OCTUBRE 2026</t>
        </is>
      </c>
      <c r="M3441" t="inlineStr">
        <is>
          <t xml:space="preserve">CO2 TIPO BC </t>
        </is>
      </c>
      <c r="N3441" t="inlineStr">
        <is>
          <t>05/V343259</t>
        </is>
      </c>
      <c r="O3441" t="inlineStr">
        <is>
          <t>R</t>
        </is>
      </c>
      <c r="P3441">
        <f>TRIM(N3441)</f>
        <v/>
      </c>
    </row>
    <row r="3442">
      <c r="A3442" t="inlineStr">
        <is>
          <t>CO-002466</t>
        </is>
      </c>
      <c r="B3442" t="inlineStr">
        <is>
          <t xml:space="preserve">LINDE PERU S.R.L. </t>
        </is>
      </c>
      <c r="C3442" t="n">
        <v>20338570041</v>
      </c>
      <c r="D3442" t="inlineStr">
        <is>
          <t>SEDE LA OROYA</t>
        </is>
      </c>
      <c r="E3442" t="inlineStr">
        <is>
          <t>Lima, 04 de Octubre de 2025</t>
        </is>
      </c>
      <c r="F3442" t="inlineStr">
        <is>
          <t>la Recarga y mantenimiento</t>
        </is>
      </c>
      <c r="G3442" t="inlineStr">
        <is>
          <t>05</t>
        </is>
      </c>
      <c r="H3442" t="inlineStr">
        <is>
          <t>15 LBS</t>
        </is>
      </c>
      <c r="I3442" t="n">
        <v>2029</v>
      </c>
      <c r="J3442" t="n">
        <v>2016</v>
      </c>
      <c r="K3442" t="inlineStr">
        <is>
          <t>OCTUBRE 2025</t>
        </is>
      </c>
      <c r="L3442" t="inlineStr">
        <is>
          <t>OCTUBRE 2026</t>
        </is>
      </c>
      <c r="M3442" t="inlineStr">
        <is>
          <t xml:space="preserve">CO2 TIPO BC </t>
        </is>
      </c>
      <c r="N3442" t="inlineStr">
        <is>
          <t>11/V921544</t>
        </is>
      </c>
      <c r="O3442" t="inlineStr">
        <is>
          <t>R</t>
        </is>
      </c>
      <c r="P3442">
        <f>TRIM(N3442)</f>
        <v/>
      </c>
    </row>
    <row r="3443">
      <c r="A3443" t="inlineStr">
        <is>
          <t>CO-002466</t>
        </is>
      </c>
      <c r="B3443" t="inlineStr">
        <is>
          <t xml:space="preserve">LINDE PERU S.R.L. </t>
        </is>
      </c>
      <c r="C3443" t="n">
        <v>20338570041</v>
      </c>
      <c r="D3443" t="inlineStr">
        <is>
          <t>SEDE LA OROYA</t>
        </is>
      </c>
      <c r="E3443" t="inlineStr">
        <is>
          <t>Lima, 04 de Octubre de 2025</t>
        </is>
      </c>
      <c r="F3443" t="inlineStr">
        <is>
          <t>la Recarga y mantenimiento</t>
        </is>
      </c>
      <c r="G3443" t="inlineStr">
        <is>
          <t>06</t>
        </is>
      </c>
      <c r="H3443" t="inlineStr">
        <is>
          <t>15 LBS</t>
        </is>
      </c>
      <c r="I3443" t="n">
        <v>2029</v>
      </c>
      <c r="J3443" t="n">
        <v>2009</v>
      </c>
      <c r="K3443" t="inlineStr">
        <is>
          <t>OCTUBRE 2025</t>
        </is>
      </c>
      <c r="L3443" t="inlineStr">
        <is>
          <t>OCTUBRE 2026</t>
        </is>
      </c>
      <c r="M3443" t="inlineStr">
        <is>
          <t xml:space="preserve">CO2 TIPO BC </t>
        </is>
      </c>
      <c r="N3443" t="inlineStr">
        <is>
          <t>07/V678692</t>
        </is>
      </c>
      <c r="O3443" t="inlineStr">
        <is>
          <t>R</t>
        </is>
      </c>
      <c r="P3443">
        <f>TRIM(N3443)</f>
        <v/>
      </c>
    </row>
    <row r="3444">
      <c r="A3444" t="inlineStr">
        <is>
          <t>CO-002466</t>
        </is>
      </c>
      <c r="B3444" t="inlineStr">
        <is>
          <t xml:space="preserve">LINDE PERU S.R.L. </t>
        </is>
      </c>
      <c r="C3444" t="n">
        <v>20338570041</v>
      </c>
      <c r="D3444" t="inlineStr">
        <is>
          <t>SEDE LA OROYA</t>
        </is>
      </c>
      <c r="E3444" t="inlineStr">
        <is>
          <t>Lima, 04 de Octubre de 2025</t>
        </is>
      </c>
      <c r="F3444" t="inlineStr">
        <is>
          <t>la Recarga y mantenimiento</t>
        </is>
      </c>
      <c r="G3444" t="inlineStr">
        <is>
          <t>07</t>
        </is>
      </c>
      <c r="H3444" t="inlineStr">
        <is>
          <t xml:space="preserve">15 LBS </t>
        </is>
      </c>
      <c r="I3444" t="n">
        <v>2029</v>
      </c>
      <c r="J3444" t="n">
        <v>2016</v>
      </c>
      <c r="K3444" t="inlineStr">
        <is>
          <t>OCTUBRE 2025</t>
        </is>
      </c>
      <c r="L3444" t="inlineStr">
        <is>
          <t>OCTUBRE 2026</t>
        </is>
      </c>
      <c r="M3444" t="inlineStr">
        <is>
          <t xml:space="preserve">CO2 TIPO BC </t>
        </is>
      </c>
      <c r="N3444" t="inlineStr">
        <is>
          <t>04/V921452</t>
        </is>
      </c>
      <c r="O3444" t="inlineStr">
        <is>
          <t>R</t>
        </is>
      </c>
      <c r="P3444">
        <f>TRIM(N3444)</f>
        <v/>
      </c>
    </row>
    <row r="3445">
      <c r="A3445" t="inlineStr">
        <is>
          <t>CO-002466</t>
        </is>
      </c>
      <c r="B3445" t="inlineStr">
        <is>
          <t xml:space="preserve">LINDE PERU S.R.L. </t>
        </is>
      </c>
      <c r="C3445" t="n">
        <v>20338570041</v>
      </c>
      <c r="D3445" t="inlineStr">
        <is>
          <t>SEDE LA OROYA</t>
        </is>
      </c>
      <c r="E3445" t="inlineStr">
        <is>
          <t>Lima, 04 de Octubre de 2025</t>
        </is>
      </c>
      <c r="F3445" t="inlineStr">
        <is>
          <t>la Recarga y mantenimiento</t>
        </is>
      </c>
      <c r="G3445" t="inlineStr">
        <is>
          <t>08</t>
        </is>
      </c>
      <c r="H3445" t="inlineStr">
        <is>
          <t>15 LBS</t>
        </is>
      </c>
      <c r="I3445" t="n">
        <v>2027</v>
      </c>
      <c r="J3445" t="n">
        <v>2022</v>
      </c>
      <c r="K3445" t="inlineStr">
        <is>
          <t>OCTUBRE 2025</t>
        </is>
      </c>
      <c r="L3445" t="inlineStr">
        <is>
          <t>OCTUBRE 2026</t>
        </is>
      </c>
      <c r="M3445" t="inlineStr">
        <is>
          <t xml:space="preserve">CO2 TIPO BC </t>
        </is>
      </c>
      <c r="N3445" t="inlineStr">
        <is>
          <t>14/V343964</t>
        </is>
      </c>
      <c r="O3445" t="inlineStr">
        <is>
          <t>R</t>
        </is>
      </c>
      <c r="P3445">
        <f>TRIM(N3445)</f>
        <v/>
      </c>
    </row>
    <row r="3446">
      <c r="A3446" t="inlineStr">
        <is>
          <t>CO-002466</t>
        </is>
      </c>
      <c r="B3446" t="inlineStr">
        <is>
          <t xml:space="preserve">LINDE PERU S.R.L. </t>
        </is>
      </c>
      <c r="C3446" t="n">
        <v>20338570041</v>
      </c>
      <c r="D3446" t="inlineStr">
        <is>
          <t>SEDE LA OROYA</t>
        </is>
      </c>
      <c r="E3446" t="inlineStr">
        <is>
          <t>Lima, 04 de Octubre de 2025</t>
        </is>
      </c>
      <c r="F3446" t="inlineStr">
        <is>
          <t>la Recarga y mantenimiento</t>
        </is>
      </c>
      <c r="G3446" t="inlineStr">
        <is>
          <t>09</t>
        </is>
      </c>
      <c r="H3446" t="inlineStr">
        <is>
          <t>15 LBS</t>
        </is>
      </c>
      <c r="I3446" t="n">
        <v>2029</v>
      </c>
      <c r="J3446" t="n">
        <v>2009</v>
      </c>
      <c r="K3446" t="inlineStr">
        <is>
          <t>OCTUBRE 2025</t>
        </is>
      </c>
      <c r="L3446" t="inlineStr">
        <is>
          <t>OCTUBRE 2026</t>
        </is>
      </c>
      <c r="M3446" t="inlineStr">
        <is>
          <t xml:space="preserve">CO2 TIPO BC </t>
        </is>
      </c>
      <c r="N3446" t="inlineStr">
        <is>
          <t>06/Y008772</t>
        </is>
      </c>
      <c r="O3446" t="inlineStr">
        <is>
          <t>R</t>
        </is>
      </c>
      <c r="P3446">
        <f>TRIM(N3446)</f>
        <v/>
      </c>
    </row>
    <row r="3447">
      <c r="A3447" t="inlineStr">
        <is>
          <t>CO-002466</t>
        </is>
      </c>
      <c r="B3447" t="inlineStr">
        <is>
          <t xml:space="preserve">LINDE PERU S.R.L. </t>
        </is>
      </c>
      <c r="C3447" t="n">
        <v>20338570041</v>
      </c>
      <c r="D3447" t="inlineStr">
        <is>
          <t>SEDE LA OROYA</t>
        </is>
      </c>
      <c r="E3447" t="inlineStr">
        <is>
          <t>Lima, 04 de Octubre de 2025</t>
        </is>
      </c>
      <c r="F3447" t="inlineStr">
        <is>
          <t>la Recarga y mantenimiento</t>
        </is>
      </c>
      <c r="G3447" t="n">
        <v>10</v>
      </c>
      <c r="H3447" t="inlineStr">
        <is>
          <t>15 LBS</t>
        </is>
      </c>
      <c r="I3447" t="n">
        <v>2029</v>
      </c>
      <c r="J3447" t="n">
        <v>2009</v>
      </c>
      <c r="K3447" t="inlineStr">
        <is>
          <t>OCTUBRE 2025</t>
        </is>
      </c>
      <c r="L3447" t="inlineStr">
        <is>
          <t>OCTUBRE 2026</t>
        </is>
      </c>
      <c r="M3447" t="inlineStr">
        <is>
          <t xml:space="preserve">CO2 TIPO BC </t>
        </is>
      </c>
      <c r="N3447" t="inlineStr">
        <is>
          <t>10/Y005060</t>
        </is>
      </c>
      <c r="O3447" t="inlineStr">
        <is>
          <t>R</t>
        </is>
      </c>
      <c r="P3447">
        <f>TRIM(N3447)</f>
        <v/>
      </c>
    </row>
    <row r="3448">
      <c r="A3448" t="inlineStr">
        <is>
          <t>CO-002466</t>
        </is>
      </c>
      <c r="B3448" t="inlineStr">
        <is>
          <t xml:space="preserve">LINDE PERU S.R.L. </t>
        </is>
      </c>
      <c r="C3448" t="n">
        <v>20338570041</v>
      </c>
      <c r="D3448" t="inlineStr">
        <is>
          <t>SEDE LA OROYA</t>
        </is>
      </c>
      <c r="E3448" t="inlineStr">
        <is>
          <t>Lima, 04 de Octubre de 2025</t>
        </is>
      </c>
      <c r="F3448" t="inlineStr">
        <is>
          <t>la Recarga y mantenimiento</t>
        </is>
      </c>
      <c r="G3448" t="n">
        <v>11</v>
      </c>
      <c r="H3448" t="inlineStr">
        <is>
          <t>15 LBS</t>
        </is>
      </c>
      <c r="I3448" t="n">
        <v>2029</v>
      </c>
      <c r="J3448" t="n">
        <v>2008</v>
      </c>
      <c r="K3448" t="inlineStr">
        <is>
          <t>OCTUBRE 2025</t>
        </is>
      </c>
      <c r="L3448" t="inlineStr">
        <is>
          <t>OCTUBRE 2026</t>
        </is>
      </c>
      <c r="M3448" t="inlineStr">
        <is>
          <t xml:space="preserve">CO2 TIPO BC </t>
        </is>
      </c>
      <c r="N3448" t="inlineStr">
        <is>
          <t>03/V644983</t>
        </is>
      </c>
      <c r="O3448" t="inlineStr">
        <is>
          <t>R</t>
        </is>
      </c>
      <c r="P3448">
        <f>TRIM(N3448)</f>
        <v/>
      </c>
    </row>
    <row r="3449">
      <c r="A3449" t="inlineStr">
        <is>
          <t>CO-002466</t>
        </is>
      </c>
      <c r="B3449" t="inlineStr">
        <is>
          <t xml:space="preserve">LINDE PERU S.R.L. </t>
        </is>
      </c>
      <c r="C3449" t="n">
        <v>20338570041</v>
      </c>
      <c r="D3449" t="inlineStr">
        <is>
          <t>SEDE LA OROYA</t>
        </is>
      </c>
      <c r="E3449" t="inlineStr">
        <is>
          <t>Lima, 04 de Octubre de 2025</t>
        </is>
      </c>
      <c r="F3449" t="inlineStr">
        <is>
          <t>la Recarga y mantenimiento</t>
        </is>
      </c>
      <c r="G3449" t="n">
        <v>12</v>
      </c>
      <c r="H3449" t="inlineStr">
        <is>
          <t>15 LBS</t>
        </is>
      </c>
      <c r="I3449" t="n">
        <v>2029</v>
      </c>
      <c r="J3449" t="n">
        <v>2009</v>
      </c>
      <c r="K3449" t="inlineStr">
        <is>
          <t>OCTUBRE 2025</t>
        </is>
      </c>
      <c r="L3449" t="inlineStr">
        <is>
          <t>OCTUBRE 2026</t>
        </is>
      </c>
      <c r="M3449" t="inlineStr">
        <is>
          <t xml:space="preserve">CO2 TIPO BC </t>
        </is>
      </c>
      <c r="N3449" t="inlineStr">
        <is>
          <t>13/V677363</t>
        </is>
      </c>
      <c r="O3449" t="inlineStr">
        <is>
          <t>R</t>
        </is>
      </c>
      <c r="P3449">
        <f>TRIM(N3449)</f>
        <v/>
      </c>
    </row>
    <row r="3450">
      <c r="A3450" t="inlineStr">
        <is>
          <t>CO-002467</t>
        </is>
      </c>
      <c r="B3450" t="inlineStr">
        <is>
          <t xml:space="preserve">LINDE PERU S.R.L. </t>
        </is>
      </c>
      <c r="C3450" t="n">
        <v>20338570041</v>
      </c>
      <c r="D3450" t="inlineStr">
        <is>
          <t>SEDE LA OROYA</t>
        </is>
      </c>
      <c r="E3450" t="inlineStr">
        <is>
          <t>Lima, 04 de Octubre de 2025</t>
        </is>
      </c>
      <c r="F3450" t="inlineStr">
        <is>
          <t>la Recarga y mantenimiento</t>
        </is>
      </c>
      <c r="G3450" t="inlineStr">
        <is>
          <t>01</t>
        </is>
      </c>
      <c r="H3450" t="inlineStr">
        <is>
          <t>15 LBS</t>
        </is>
      </c>
      <c r="I3450" t="inlineStr">
        <is>
          <t>2027</t>
        </is>
      </c>
      <c r="J3450" t="n">
        <v>2022</v>
      </c>
      <c r="K3450" t="inlineStr">
        <is>
          <t>OCTUBRE 2025</t>
        </is>
      </c>
      <c r="L3450" t="inlineStr">
        <is>
          <t>OCTUBRE 2026</t>
        </is>
      </c>
      <c r="M3450" t="inlineStr">
        <is>
          <t xml:space="preserve">CO2 TIPO BC </t>
        </is>
      </c>
      <c r="N3450" t="inlineStr">
        <is>
          <t>08/V343951</t>
        </is>
      </c>
      <c r="O3450" t="inlineStr">
        <is>
          <t>R</t>
        </is>
      </c>
      <c r="P3450">
        <f>TRIM(N3450)</f>
        <v/>
      </c>
    </row>
    <row r="3451">
      <c r="A3451" t="inlineStr">
        <is>
          <t>CO-002467</t>
        </is>
      </c>
      <c r="B3451" t="inlineStr">
        <is>
          <t xml:space="preserve">LINDE PERU S.R.L. </t>
        </is>
      </c>
      <c r="C3451" t="n">
        <v>20338570041</v>
      </c>
      <c r="D3451" t="inlineStr">
        <is>
          <t>SEDE LA OROYA</t>
        </is>
      </c>
      <c r="E3451" t="inlineStr">
        <is>
          <t>Lima, 04 de Octubre de 2025</t>
        </is>
      </c>
      <c r="F3451" t="inlineStr">
        <is>
          <t>la Recarga y mantenimiento</t>
        </is>
      </c>
      <c r="G3451" t="inlineStr">
        <is>
          <t>02</t>
        </is>
      </c>
      <c r="H3451" t="inlineStr">
        <is>
          <t>15 LBS</t>
        </is>
      </c>
      <c r="I3451" t="inlineStr">
        <is>
          <t>2029</t>
        </is>
      </c>
      <c r="J3451" t="n">
        <v>2009</v>
      </c>
      <c r="K3451" t="inlineStr">
        <is>
          <t>OCTUBRE 2025</t>
        </is>
      </c>
      <c r="L3451" t="inlineStr">
        <is>
          <t>OCTUBRE 2026</t>
        </is>
      </c>
      <c r="M3451" t="inlineStr">
        <is>
          <t xml:space="preserve">CO2 TIPO BC </t>
        </is>
      </c>
      <c r="N3451" t="inlineStr">
        <is>
          <t>2/YE8773</t>
        </is>
      </c>
      <c r="O3451" t="inlineStr">
        <is>
          <t>R</t>
        </is>
      </c>
      <c r="P3451">
        <f>TRIM(N3451)</f>
        <v/>
      </c>
    </row>
    <row r="3452">
      <c r="A3452" t="inlineStr">
        <is>
          <t>CO-002467</t>
        </is>
      </c>
      <c r="B3452" t="inlineStr">
        <is>
          <t xml:space="preserve">LINDE PERU S.R.L. </t>
        </is>
      </c>
      <c r="C3452" t="n">
        <v>20338570041</v>
      </c>
      <c r="D3452" t="inlineStr">
        <is>
          <t>SEDE LA OROYA</t>
        </is>
      </c>
      <c r="E3452" t="inlineStr">
        <is>
          <t>Lima, 04 de Octubre de 2025</t>
        </is>
      </c>
      <c r="F3452" t="inlineStr">
        <is>
          <t>la Recarga y mantenimiento</t>
        </is>
      </c>
      <c r="G3452" t="inlineStr">
        <is>
          <t>03</t>
        </is>
      </c>
      <c r="H3452" t="inlineStr">
        <is>
          <t>20 LBS</t>
        </is>
      </c>
      <c r="I3452" t="n">
        <v>2029</v>
      </c>
      <c r="J3452" t="n">
        <v>2016</v>
      </c>
      <c r="K3452" t="inlineStr">
        <is>
          <t>OCTUBRE 2025</t>
        </is>
      </c>
      <c r="L3452" t="inlineStr">
        <is>
          <t>OCTUBRE 2026</t>
        </is>
      </c>
      <c r="M3452" t="inlineStr">
        <is>
          <t xml:space="preserve">PQS TIPO ABC AL 90 % PYROCHEM UL </t>
        </is>
      </c>
      <c r="N3452" t="inlineStr">
        <is>
          <t>15/A39014701</t>
        </is>
      </c>
      <c r="O3452" t="inlineStr">
        <is>
          <t>R</t>
        </is>
      </c>
      <c r="P3452">
        <f>TRIM(N3452)</f>
        <v/>
      </c>
    </row>
    <row r="3453">
      <c r="A3453" t="inlineStr">
        <is>
          <t>CO-002467</t>
        </is>
      </c>
      <c r="B3453" t="inlineStr">
        <is>
          <t xml:space="preserve">LINDE PERU S.R.L. </t>
        </is>
      </c>
      <c r="C3453" t="n">
        <v>20338570041</v>
      </c>
      <c r="D3453" t="inlineStr">
        <is>
          <t>SEDE LA OROYA</t>
        </is>
      </c>
      <c r="E3453" t="inlineStr">
        <is>
          <t>Lima, 04 de Octubre de 2025</t>
        </is>
      </c>
      <c r="F3453" t="inlineStr">
        <is>
          <t>la Recarga y mantenimiento</t>
        </is>
      </c>
      <c r="G3453" t="inlineStr">
        <is>
          <t>04</t>
        </is>
      </c>
      <c r="H3453" t="inlineStr">
        <is>
          <t>20 LBS</t>
        </is>
      </c>
      <c r="I3453" t="n">
        <v>2029</v>
      </c>
      <c r="J3453" t="n">
        <v>2018</v>
      </c>
      <c r="K3453" t="inlineStr">
        <is>
          <t>OCTUBRE 2025</t>
        </is>
      </c>
      <c r="L3453" t="inlineStr">
        <is>
          <t>OCTUBRE 2026</t>
        </is>
      </c>
      <c r="M3453" t="inlineStr">
        <is>
          <t xml:space="preserve">PQS TIPO ABC AL 90 % PYROCHEM UL </t>
        </is>
      </c>
      <c r="N3453" t="inlineStr">
        <is>
          <t>17/E96499222</t>
        </is>
      </c>
      <c r="O3453" t="inlineStr">
        <is>
          <t>R</t>
        </is>
      </c>
      <c r="P3453">
        <f>TRIM(N3453)</f>
        <v/>
      </c>
    </row>
    <row r="3454">
      <c r="A3454" t="inlineStr">
        <is>
          <t>CO-002467</t>
        </is>
      </c>
      <c r="B3454" t="inlineStr">
        <is>
          <t xml:space="preserve">LINDE PERU S.R.L. </t>
        </is>
      </c>
      <c r="C3454" t="n">
        <v>20338570041</v>
      </c>
      <c r="D3454" t="inlineStr">
        <is>
          <t>SEDE LA OROYA</t>
        </is>
      </c>
      <c r="E3454" t="inlineStr">
        <is>
          <t>Lima, 04 de Octubre de 2025</t>
        </is>
      </c>
      <c r="F3454" t="inlineStr">
        <is>
          <t>la Recarga y mantenimiento</t>
        </is>
      </c>
      <c r="G3454" t="inlineStr">
        <is>
          <t>05</t>
        </is>
      </c>
      <c r="H3454" t="inlineStr">
        <is>
          <t>20 LBS</t>
        </is>
      </c>
      <c r="I3454" t="n">
        <v>2029</v>
      </c>
      <c r="J3454" t="n">
        <v>2016</v>
      </c>
      <c r="K3454" t="inlineStr">
        <is>
          <t>OCTUBRE 2025</t>
        </is>
      </c>
      <c r="L3454" t="inlineStr">
        <is>
          <t>OCTUBRE 2026</t>
        </is>
      </c>
      <c r="M3454" t="inlineStr">
        <is>
          <t xml:space="preserve">PQS TIPO ABC AL 90 % PYROCHEM UL </t>
        </is>
      </c>
      <c r="N3454" t="inlineStr">
        <is>
          <t>16/A39013789</t>
        </is>
      </c>
      <c r="O3454" t="inlineStr">
        <is>
          <t>R</t>
        </is>
      </c>
      <c r="P3454">
        <f>TRIM(N3454)</f>
        <v/>
      </c>
    </row>
    <row r="3455">
      <c r="A3455" t="inlineStr">
        <is>
          <t>CO-002467</t>
        </is>
      </c>
      <c r="B3455" t="inlineStr">
        <is>
          <t xml:space="preserve">LINDE PERU S.R.L. </t>
        </is>
      </c>
      <c r="C3455" t="n">
        <v>20338570041</v>
      </c>
      <c r="D3455" t="inlineStr">
        <is>
          <t>SEDE LA OROYA</t>
        </is>
      </c>
      <c r="E3455" t="inlineStr">
        <is>
          <t>Lima, 04 de Octubre de 2025</t>
        </is>
      </c>
      <c r="F3455" t="inlineStr">
        <is>
          <t>la Recarga y mantenimiento</t>
        </is>
      </c>
      <c r="G3455" t="inlineStr">
        <is>
          <t>06</t>
        </is>
      </c>
      <c r="H3455" t="inlineStr">
        <is>
          <t>09 KG</t>
        </is>
      </c>
      <c r="I3455" t="n">
        <v>2027</v>
      </c>
      <c r="J3455" t="n">
        <v>2022</v>
      </c>
      <c r="K3455" t="inlineStr">
        <is>
          <t>OCTUBRE 2025</t>
        </is>
      </c>
      <c r="L3455" t="inlineStr">
        <is>
          <t>OCTUBRE 2026</t>
        </is>
      </c>
      <c r="M3455" t="inlineStr">
        <is>
          <t xml:space="preserve">PQS TIPO ABC AL 90 % PYROCHEM UL </t>
        </is>
      </c>
      <c r="N3455" t="inlineStr">
        <is>
          <t>08/306154</t>
        </is>
      </c>
      <c r="O3455" t="inlineStr">
        <is>
          <t>R</t>
        </is>
      </c>
      <c r="P3455">
        <f>TRIM(N3455)</f>
        <v/>
      </c>
    </row>
    <row r="3456">
      <c r="A3456" t="inlineStr">
        <is>
          <t>CO-002467</t>
        </is>
      </c>
      <c r="B3456" t="inlineStr">
        <is>
          <t xml:space="preserve">LINDE PERU S.R.L. </t>
        </is>
      </c>
      <c r="C3456" t="n">
        <v>20338570041</v>
      </c>
      <c r="D3456" t="inlineStr">
        <is>
          <t>SEDE LA OROYA</t>
        </is>
      </c>
      <c r="E3456" t="inlineStr">
        <is>
          <t>Lima, 04 de Octubre de 2025</t>
        </is>
      </c>
      <c r="F3456" t="inlineStr">
        <is>
          <t>la Recarga y mantenimiento</t>
        </is>
      </c>
      <c r="G3456" t="inlineStr">
        <is>
          <t>07</t>
        </is>
      </c>
      <c r="H3456" t="inlineStr">
        <is>
          <t>09 KG</t>
        </is>
      </c>
      <c r="I3456" t="n">
        <v>2027</v>
      </c>
      <c r="J3456" t="n">
        <v>2022</v>
      </c>
      <c r="K3456" t="inlineStr">
        <is>
          <t>OCTUBRE 2025</t>
        </is>
      </c>
      <c r="L3456" t="inlineStr">
        <is>
          <t>OCTUBRE 2026</t>
        </is>
      </c>
      <c r="M3456" t="inlineStr">
        <is>
          <t xml:space="preserve">PQS TIPO ABC AL 90 % PYROCHEM UL </t>
        </is>
      </c>
      <c r="N3456" t="inlineStr">
        <is>
          <t>09/30610</t>
        </is>
      </c>
      <c r="O3456" t="inlineStr">
        <is>
          <t>R</t>
        </is>
      </c>
      <c r="P3456">
        <f>TRIM(N3456)</f>
        <v/>
      </c>
    </row>
    <row r="3457">
      <c r="A3457" t="inlineStr">
        <is>
          <t>CO-002467</t>
        </is>
      </c>
      <c r="B3457" t="inlineStr">
        <is>
          <t xml:space="preserve">LINDE PERU S.R.L. </t>
        </is>
      </c>
      <c r="C3457" t="n">
        <v>20338570041</v>
      </c>
      <c r="D3457" t="inlineStr">
        <is>
          <t>SEDE LA OROYA</t>
        </is>
      </c>
      <c r="E3457" t="inlineStr">
        <is>
          <t>Lima, 04 de Octubre de 2025</t>
        </is>
      </c>
      <c r="F3457" t="inlineStr">
        <is>
          <t>la Recarga y mantenimiento</t>
        </is>
      </c>
      <c r="G3457" t="inlineStr">
        <is>
          <t>08</t>
        </is>
      </c>
      <c r="H3457" t="inlineStr">
        <is>
          <t>09 KG</t>
        </is>
      </c>
      <c r="I3457" t="n">
        <v>2027</v>
      </c>
      <c r="J3457" t="n">
        <v>2022</v>
      </c>
      <c r="K3457" t="inlineStr">
        <is>
          <t>OCTUBRE 2025</t>
        </is>
      </c>
      <c r="L3457" t="inlineStr">
        <is>
          <t>OCTUBRE 2026</t>
        </is>
      </c>
      <c r="M3457" t="inlineStr">
        <is>
          <t xml:space="preserve">PQS TIPO ABC AL 90 % PYROCHEM UL </t>
        </is>
      </c>
      <c r="N3457" t="inlineStr">
        <is>
          <t>10/306156</t>
        </is>
      </c>
      <c r="O3457" t="inlineStr">
        <is>
          <t>R</t>
        </is>
      </c>
      <c r="P3457">
        <f>TRIM(N3457)</f>
        <v/>
      </c>
    </row>
    <row r="3458">
      <c r="A3458" t="inlineStr">
        <is>
          <t>CO-002467</t>
        </is>
      </c>
      <c r="B3458" t="inlineStr">
        <is>
          <t xml:space="preserve">LINDE PERU S.R.L. </t>
        </is>
      </c>
      <c r="C3458" t="n">
        <v>20338570041</v>
      </c>
      <c r="D3458" t="inlineStr">
        <is>
          <t>SEDE LA OROYA</t>
        </is>
      </c>
      <c r="E3458" t="inlineStr">
        <is>
          <t>Lima, 04 de Octubre de 2025</t>
        </is>
      </c>
      <c r="F3458" t="inlineStr">
        <is>
          <t>la Recarga y mantenimiento</t>
        </is>
      </c>
      <c r="G3458" t="inlineStr">
        <is>
          <t>09</t>
        </is>
      </c>
      <c r="H3458" t="inlineStr">
        <is>
          <t>10 LBS</t>
        </is>
      </c>
      <c r="I3458" t="n">
        <v>2029</v>
      </c>
      <c r="J3458" t="n">
        <v>2009</v>
      </c>
      <c r="K3458" t="inlineStr">
        <is>
          <t>OCTUBRE 2025</t>
        </is>
      </c>
      <c r="L3458" t="inlineStr">
        <is>
          <t>OCTUBRE 2026</t>
        </is>
      </c>
      <c r="M3458" t="inlineStr">
        <is>
          <t xml:space="preserve">PQS TIPO ABC AL 90 % PYROCHEM UL </t>
        </is>
      </c>
      <c r="N3458" t="inlineStr">
        <is>
          <t>20/ZB-643962</t>
        </is>
      </c>
      <c r="O3458" t="inlineStr">
        <is>
          <t>R</t>
        </is>
      </c>
      <c r="P3458">
        <f>TRIM(N3458)</f>
        <v/>
      </c>
    </row>
    <row r="3459">
      <c r="A3459" t="inlineStr">
        <is>
          <t>CO-002467</t>
        </is>
      </c>
      <c r="B3459" t="inlineStr">
        <is>
          <t xml:space="preserve">LINDE PERU S.R.L. </t>
        </is>
      </c>
      <c r="C3459" t="n">
        <v>20338570041</v>
      </c>
      <c r="D3459" t="inlineStr">
        <is>
          <t>SEDE LA OROYA</t>
        </is>
      </c>
      <c r="E3459" t="inlineStr">
        <is>
          <t>Lima, 04 de Octubre de 2025</t>
        </is>
      </c>
      <c r="F3459" t="inlineStr">
        <is>
          <t>la Recarga y mantenimiento</t>
        </is>
      </c>
      <c r="G3459" t="n">
        <v>10</v>
      </c>
      <c r="H3459" t="inlineStr">
        <is>
          <t>10 LBS</t>
        </is>
      </c>
      <c r="I3459" t="n">
        <v>2029</v>
      </c>
      <c r="J3459" t="n">
        <v>2009</v>
      </c>
      <c r="K3459" t="inlineStr">
        <is>
          <t>OCTUBRE 2025</t>
        </is>
      </c>
      <c r="L3459" t="inlineStr">
        <is>
          <t>OCTUBRE 2026</t>
        </is>
      </c>
      <c r="M3459" t="inlineStr">
        <is>
          <t xml:space="preserve">PQS TIPO ABC AL 90 % PYROCHEM UL </t>
        </is>
      </c>
      <c r="N3459" t="inlineStr">
        <is>
          <t>18/ZB-643976</t>
        </is>
      </c>
      <c r="O3459" t="inlineStr">
        <is>
          <t>R</t>
        </is>
      </c>
      <c r="P3459">
        <f>TRIM(N3459)</f>
        <v/>
      </c>
    </row>
    <row r="3460">
      <c r="A3460" t="inlineStr">
        <is>
          <t>CO-002467</t>
        </is>
      </c>
      <c r="B3460" t="inlineStr">
        <is>
          <t xml:space="preserve">LINDE PERU S.R.L. </t>
        </is>
      </c>
      <c r="C3460" t="n">
        <v>20338570041</v>
      </c>
      <c r="D3460" t="inlineStr">
        <is>
          <t>SEDE LA OROYA</t>
        </is>
      </c>
      <c r="E3460" t="inlineStr">
        <is>
          <t>Lima, 04 de Octubre de 2025</t>
        </is>
      </c>
      <c r="F3460" t="inlineStr">
        <is>
          <t>la Recarga y mantenimiento</t>
        </is>
      </c>
      <c r="G3460" t="n">
        <v>11</v>
      </c>
      <c r="H3460" t="inlineStr">
        <is>
          <t>10 LBS</t>
        </is>
      </c>
      <c r="I3460" t="n">
        <v>2029</v>
      </c>
      <c r="J3460" t="n">
        <v>2009</v>
      </c>
      <c r="K3460" t="inlineStr">
        <is>
          <t>OCTUBRE 2025</t>
        </is>
      </c>
      <c r="L3460" t="inlineStr">
        <is>
          <t>OCTUBRE 2026</t>
        </is>
      </c>
      <c r="M3460" t="inlineStr">
        <is>
          <t xml:space="preserve">PQS TIPO ABC AL 90 % PYROCHEM UL </t>
        </is>
      </c>
      <c r="N3460" t="inlineStr">
        <is>
          <t>21/ZB-643994</t>
        </is>
      </c>
      <c r="O3460" t="inlineStr">
        <is>
          <t>R</t>
        </is>
      </c>
      <c r="P3460">
        <f>TRIM(N3460)</f>
        <v/>
      </c>
    </row>
    <row r="3461">
      <c r="A3461" t="inlineStr">
        <is>
          <t>CO-002467</t>
        </is>
      </c>
      <c r="B3461" t="inlineStr">
        <is>
          <t xml:space="preserve">LINDE PERU S.R.L. </t>
        </is>
      </c>
      <c r="C3461" t="n">
        <v>20338570041</v>
      </c>
      <c r="D3461" t="inlineStr">
        <is>
          <t>SEDE LA OROYA</t>
        </is>
      </c>
      <c r="E3461" t="inlineStr">
        <is>
          <t>Lima, 04 de Octubre de 2025</t>
        </is>
      </c>
      <c r="F3461" t="inlineStr">
        <is>
          <t>la Recarga y mantenimiento</t>
        </is>
      </c>
      <c r="G3461" t="n">
        <v>12</v>
      </c>
      <c r="H3461" t="inlineStr">
        <is>
          <t>10 LBS</t>
        </is>
      </c>
      <c r="I3461" t="n">
        <v>2029</v>
      </c>
      <c r="J3461" t="n">
        <v>2009</v>
      </c>
      <c r="K3461" t="inlineStr">
        <is>
          <t>OCTUBRE 2025</t>
        </is>
      </c>
      <c r="L3461" t="inlineStr">
        <is>
          <t>OCTUBRE 2026</t>
        </is>
      </c>
      <c r="M3461" t="inlineStr">
        <is>
          <t xml:space="preserve">PQS TIPO ABC AL 90 % PYROCHEM UL </t>
        </is>
      </c>
      <c r="N3461" t="inlineStr">
        <is>
          <t>19/YN-429127</t>
        </is>
      </c>
      <c r="O3461" t="inlineStr">
        <is>
          <t>R</t>
        </is>
      </c>
      <c r="P3461">
        <f>TRIM(N3461)</f>
        <v/>
      </c>
    </row>
    <row r="3462">
      <c r="A3462" t="inlineStr">
        <is>
          <t>CO-002468</t>
        </is>
      </c>
      <c r="B3462" t="inlineStr">
        <is>
          <t xml:space="preserve">INDEXTU SAC </t>
        </is>
      </c>
      <c r="C3462" t="inlineStr">
        <is>
          <t>20602503039</t>
        </is>
      </c>
      <c r="D3462" t="inlineStr">
        <is>
          <t xml:space="preserve"> AV. MAQUINARIAS NRO. 2341 Z.I. INDUSTRIAL, LIMA</t>
        </is>
      </c>
      <c r="E3462" t="inlineStr">
        <is>
          <t>Lima, 03 de Octubre de 2025</t>
        </is>
      </c>
      <c r="F3462" t="inlineStr">
        <is>
          <t>la Recarga y mantenimiento</t>
        </is>
      </c>
      <c r="G3462" t="inlineStr">
        <is>
          <t>01</t>
        </is>
      </c>
      <c r="H3462" t="inlineStr">
        <is>
          <t>09 KG</t>
        </is>
      </c>
      <c r="I3462" t="inlineStr">
        <is>
          <t>2026</t>
        </is>
      </c>
      <c r="J3462" t="n">
        <v>2021</v>
      </c>
      <c r="K3462" t="inlineStr">
        <is>
          <t>OCTUBRE 2025</t>
        </is>
      </c>
      <c r="L3462" t="inlineStr">
        <is>
          <t>OCTUBRE 2026</t>
        </is>
      </c>
      <c r="M3462" t="inlineStr">
        <is>
          <t xml:space="preserve">PQS TIPO ABC AL 90 % PYROCHEM UL </t>
        </is>
      </c>
      <c r="N3462" t="inlineStr">
        <is>
          <t>S/N/000159</t>
        </is>
      </c>
      <c r="O3462" t="inlineStr">
        <is>
          <t>M4</t>
        </is>
      </c>
      <c r="P3462">
        <f>TRIM(N3462)</f>
        <v/>
      </c>
    </row>
    <row r="3463">
      <c r="A3463" t="inlineStr">
        <is>
          <t>CO-002468</t>
        </is>
      </c>
      <c r="B3463" t="inlineStr">
        <is>
          <t xml:space="preserve">INDEXTU SAC </t>
        </is>
      </c>
      <c r="C3463" t="inlineStr">
        <is>
          <t>20602503039</t>
        </is>
      </c>
      <c r="D3463" t="inlineStr">
        <is>
          <t xml:space="preserve"> AV. MAQUINARIAS NRO. 2341 Z.I. INDUSTRIAL, LIMA</t>
        </is>
      </c>
      <c r="E3463" t="inlineStr">
        <is>
          <t>Lima, 03 de Octubre de 2025</t>
        </is>
      </c>
      <c r="F3463" t="inlineStr">
        <is>
          <t>la Recarga y mantenimiento</t>
        </is>
      </c>
      <c r="G3463" t="inlineStr">
        <is>
          <t>02</t>
        </is>
      </c>
      <c r="H3463" t="inlineStr">
        <is>
          <t>12 KG</t>
        </is>
      </c>
      <c r="I3463" t="inlineStr">
        <is>
          <t>2030</t>
        </is>
      </c>
      <c r="J3463" t="n">
        <v>2020</v>
      </c>
      <c r="K3463" t="inlineStr">
        <is>
          <t>OCTUBRE 2025</t>
        </is>
      </c>
      <c r="L3463" t="inlineStr">
        <is>
          <t>OCTUBRE 2026</t>
        </is>
      </c>
      <c r="M3463" t="inlineStr">
        <is>
          <t xml:space="preserve">PQS TIPO ABC AL 90 % PYROCHEM UL </t>
        </is>
      </c>
      <c r="N3463" t="inlineStr">
        <is>
          <t>17/000003</t>
        </is>
      </c>
      <c r="O3463" t="inlineStr">
        <is>
          <t>R</t>
        </is>
      </c>
      <c r="P3463">
        <f>TRIM(N3463)</f>
        <v/>
      </c>
    </row>
    <row r="3464">
      <c r="A3464" t="inlineStr">
        <is>
          <t>CO-002469</t>
        </is>
      </c>
      <c r="B3464" t="inlineStr">
        <is>
          <t>IDA LAZO OSORES</t>
        </is>
      </c>
      <c r="C3464" t="inlineStr">
        <is>
          <t>PLACA: F36-538</t>
        </is>
      </c>
      <c r="E3464" t="inlineStr">
        <is>
          <t>Lima, 02 de Octubre de 2025</t>
        </is>
      </c>
      <c r="F3464" t="inlineStr">
        <is>
          <t>la Recarga y mantenimiento</t>
        </is>
      </c>
      <c r="G3464" t="inlineStr">
        <is>
          <t>01</t>
        </is>
      </c>
      <c r="H3464" t="inlineStr">
        <is>
          <t>02 KG</t>
        </is>
      </c>
      <c r="I3464" t="inlineStr">
        <is>
          <t>2026</t>
        </is>
      </c>
      <c r="J3464" t="n">
        <v>2011</v>
      </c>
      <c r="K3464" t="inlineStr">
        <is>
          <t>OCTUBRE 2025</t>
        </is>
      </c>
      <c r="L3464" t="inlineStr">
        <is>
          <t>OCTUBRE 2026</t>
        </is>
      </c>
      <c r="M3464" t="inlineStr">
        <is>
          <t xml:space="preserve">P.Q.S TIPO ABC </t>
        </is>
      </c>
      <c r="N3464" t="inlineStr">
        <is>
          <t>000007</t>
        </is>
      </c>
      <c r="O3464" t="inlineStr">
        <is>
          <t>R</t>
        </is>
      </c>
      <c r="P3464">
        <f>TRIM(N3464)</f>
        <v/>
      </c>
    </row>
    <row r="3465">
      <c r="A3465" t="inlineStr">
        <is>
          <t>CO-002470</t>
        </is>
      </c>
      <c r="B3465" t="inlineStr">
        <is>
          <t xml:space="preserve">EDILBERTO JESUS SUERO SALAS </t>
        </is>
      </c>
      <c r="C3465" t="inlineStr">
        <is>
          <t>45882713</t>
        </is>
      </c>
      <c r="D3465" t="inlineStr">
        <is>
          <t xml:space="preserve">MERCADO SANGARARA PUESTO 11 (ESQUINA) </t>
        </is>
      </c>
      <c r="E3465" t="inlineStr">
        <is>
          <t>Lima, 02 de Octubre del 2025</t>
        </is>
      </c>
      <c r="F3465" t="inlineStr">
        <is>
          <t>la Recarga y mantenimiento</t>
        </is>
      </c>
      <c r="G3465" t="inlineStr">
        <is>
          <t>01</t>
        </is>
      </c>
      <c r="H3465" t="inlineStr">
        <is>
          <t>06 KG</t>
        </is>
      </c>
      <c r="I3465" t="inlineStr">
        <is>
          <t>2030</t>
        </is>
      </c>
      <c r="J3465" t="n">
        <v>2025</v>
      </c>
      <c r="K3465" t="inlineStr">
        <is>
          <t>OCTUBRE 2025</t>
        </is>
      </c>
      <c r="L3465" t="inlineStr">
        <is>
          <t>OCTUBRE 2026</t>
        </is>
      </c>
      <c r="M3465" t="inlineStr">
        <is>
          <t xml:space="preserve">P.Q.S TIPO ABC </t>
        </is>
      </c>
      <c r="N3465" t="inlineStr">
        <is>
          <t>585002</t>
        </is>
      </c>
      <c r="O3465" t="inlineStr">
        <is>
          <t>V</t>
        </is>
      </c>
      <c r="P3465">
        <f>TRIM(N3465)</f>
        <v/>
      </c>
    </row>
    <row r="3466">
      <c r="A3466" t="inlineStr">
        <is>
          <t>CO-002471</t>
        </is>
      </c>
      <c r="B3466" t="inlineStr">
        <is>
          <t>PERU MASIVO S.A - BUSES</t>
        </is>
      </c>
      <c r="C3466" t="inlineStr">
        <is>
          <t>20492392031</t>
        </is>
      </c>
      <c r="D3466" t="inlineStr">
        <is>
          <t>AV. LOS INCAS CDRA. 4 PATIO NORTE - COMAS</t>
        </is>
      </c>
      <c r="E3466" t="inlineStr">
        <is>
          <t>Lima, 04 Octubre  del  2025</t>
        </is>
      </c>
      <c r="F3466" t="inlineStr">
        <is>
          <t>la Recarga y mantenimiento</t>
        </is>
      </c>
      <c r="G3466" t="inlineStr">
        <is>
          <t>01</t>
        </is>
      </c>
      <c r="H3466" t="inlineStr">
        <is>
          <t>06 KG</t>
        </is>
      </c>
      <c r="I3466" t="inlineStr">
        <is>
          <t>2028</t>
        </is>
      </c>
      <c r="J3466" t="n">
        <v>2009</v>
      </c>
      <c r="K3466" t="inlineStr">
        <is>
          <t>OCTUBRE 2025</t>
        </is>
      </c>
      <c r="L3466" t="inlineStr">
        <is>
          <t>OCTUBRE 2026</t>
        </is>
      </c>
      <c r="M3466" t="inlineStr">
        <is>
          <t>P.Q.S.  TIPO ABC  90% NACIONAL</t>
        </is>
      </c>
      <c r="N3466" t="inlineStr">
        <is>
          <t>274/001185</t>
        </is>
      </c>
      <c r="O3466" t="inlineStr">
        <is>
          <t>R</t>
        </is>
      </c>
      <c r="P3466">
        <f>TRIM(N3466)</f>
        <v/>
      </c>
    </row>
    <row r="3467">
      <c r="A3467" t="inlineStr">
        <is>
          <t>CO-002471</t>
        </is>
      </c>
      <c r="B3467" t="inlineStr">
        <is>
          <t>PERU MASIVO S.A - BUSES</t>
        </is>
      </c>
      <c r="C3467" t="inlineStr">
        <is>
          <t>20492392031</t>
        </is>
      </c>
      <c r="D3467" t="inlineStr">
        <is>
          <t>AV. LOS INCAS CDRA. 4 PATIO NORTE - COMAS</t>
        </is>
      </c>
      <c r="E3467" t="inlineStr">
        <is>
          <t>Lima, 04 Octubre  del  2025</t>
        </is>
      </c>
      <c r="F3467" t="inlineStr">
        <is>
          <t>la Recarga y mantenimiento</t>
        </is>
      </c>
      <c r="G3467" t="inlineStr">
        <is>
          <t>02</t>
        </is>
      </c>
      <c r="H3467" t="inlineStr">
        <is>
          <t>06 KG</t>
        </is>
      </c>
      <c r="I3467" t="inlineStr">
        <is>
          <t>2028</t>
        </is>
      </c>
      <c r="J3467" t="n">
        <v>2010</v>
      </c>
      <c r="K3467" t="inlineStr">
        <is>
          <t>OCTUBRE 2025</t>
        </is>
      </c>
      <c r="L3467" t="inlineStr">
        <is>
          <t>OCTUBRE 2026</t>
        </is>
      </c>
      <c r="M3467" t="inlineStr">
        <is>
          <t>P.Q.S.  TIPO ABC  90% NACIONAL</t>
        </is>
      </c>
      <c r="N3467" t="inlineStr">
        <is>
          <t>79/002579</t>
        </is>
      </c>
      <c r="O3467" t="inlineStr">
        <is>
          <t>R</t>
        </is>
      </c>
      <c r="P3467">
        <f>TRIM(N3467)</f>
        <v/>
      </c>
    </row>
    <row r="3468">
      <c r="A3468" t="inlineStr">
        <is>
          <t>CO-002471</t>
        </is>
      </c>
      <c r="B3468" t="inlineStr">
        <is>
          <t>PERU MASIVO S.A - BUSES</t>
        </is>
      </c>
      <c r="C3468" t="inlineStr">
        <is>
          <t>20492392031</t>
        </is>
      </c>
      <c r="D3468" t="inlineStr">
        <is>
          <t>AV. LOS INCAS CDRA. 4 PATIO NORTE - COMAS</t>
        </is>
      </c>
      <c r="E3468" t="inlineStr">
        <is>
          <t>Lima, 04 Octubre  del  2025</t>
        </is>
      </c>
      <c r="F3468" t="inlineStr">
        <is>
          <t>la Recarga y mantenimiento</t>
        </is>
      </c>
      <c r="G3468" t="inlineStr">
        <is>
          <t>03</t>
        </is>
      </c>
      <c r="H3468" t="inlineStr">
        <is>
          <t>06 KG</t>
        </is>
      </c>
      <c r="I3468" t="n">
        <v>2028</v>
      </c>
      <c r="J3468" t="n">
        <v>2009</v>
      </c>
      <c r="K3468" t="inlineStr">
        <is>
          <t>OCTUBRE 2025</t>
        </is>
      </c>
      <c r="L3468" t="inlineStr">
        <is>
          <t>OCTUBRE 2026</t>
        </is>
      </c>
      <c r="M3468" t="inlineStr">
        <is>
          <t>P.Q.S.  TIPO ABC  90% NACIONAL</t>
        </is>
      </c>
      <c r="N3468" t="inlineStr">
        <is>
          <t>147/000750</t>
        </is>
      </c>
      <c r="O3468" t="inlineStr">
        <is>
          <t>R</t>
        </is>
      </c>
      <c r="P3468">
        <f>TRIM(N3468)</f>
        <v/>
      </c>
    </row>
    <row r="3469">
      <c r="A3469" t="inlineStr">
        <is>
          <t>CO-002471</t>
        </is>
      </c>
      <c r="B3469" t="inlineStr">
        <is>
          <t>PERU MASIVO S.A - BUSES</t>
        </is>
      </c>
      <c r="C3469" t="inlineStr">
        <is>
          <t>20492392031</t>
        </is>
      </c>
      <c r="D3469" t="inlineStr">
        <is>
          <t>AV. LOS INCAS CDRA. 4 PATIO NORTE - COMAS</t>
        </is>
      </c>
      <c r="E3469" t="inlineStr">
        <is>
          <t>Lima, 04 Octubre  del  2025</t>
        </is>
      </c>
      <c r="F3469" t="inlineStr">
        <is>
          <t>la Recarga y mantenimiento</t>
        </is>
      </c>
      <c r="G3469" t="inlineStr">
        <is>
          <t>04</t>
        </is>
      </c>
      <c r="H3469" t="inlineStr">
        <is>
          <t>06 KG</t>
        </is>
      </c>
      <c r="I3469" t="n">
        <v>2028</v>
      </c>
      <c r="J3469" t="n">
        <v>2009</v>
      </c>
      <c r="K3469" t="inlineStr">
        <is>
          <t>OCTUBRE 2025</t>
        </is>
      </c>
      <c r="L3469" t="inlineStr">
        <is>
          <t>OCTUBRE 2026</t>
        </is>
      </c>
      <c r="M3469" t="inlineStr">
        <is>
          <t>P.Q.S.  TIPO ABC  90% NACIONAL</t>
        </is>
      </c>
      <c r="N3469" t="inlineStr">
        <is>
          <t>104/002582</t>
        </is>
      </c>
      <c r="O3469" t="inlineStr">
        <is>
          <t>R</t>
        </is>
      </c>
      <c r="P3469">
        <f>TRIM(N3469)</f>
        <v/>
      </c>
    </row>
    <row r="3470">
      <c r="A3470" t="inlineStr">
        <is>
          <t>CO-002471</t>
        </is>
      </c>
      <c r="B3470" t="inlineStr">
        <is>
          <t>PERU MASIVO S.A - BUSES</t>
        </is>
      </c>
      <c r="C3470" t="inlineStr">
        <is>
          <t>20492392031</t>
        </is>
      </c>
      <c r="D3470" t="inlineStr">
        <is>
          <t>AV. LOS INCAS CDRA. 4 PATIO NORTE - COMAS</t>
        </is>
      </c>
      <c r="E3470" t="inlineStr">
        <is>
          <t>Lima, 04 Octubre  del  2025</t>
        </is>
      </c>
      <c r="F3470" t="inlineStr">
        <is>
          <t>la Recarga y mantenimiento</t>
        </is>
      </c>
      <c r="G3470" t="inlineStr">
        <is>
          <t>05</t>
        </is>
      </c>
      <c r="H3470" t="inlineStr">
        <is>
          <t>06 KG</t>
        </is>
      </c>
      <c r="I3470" t="n">
        <v>2028</v>
      </c>
      <c r="J3470" t="n">
        <v>2010</v>
      </c>
      <c r="K3470" t="inlineStr">
        <is>
          <t>OCTUBRE 2025</t>
        </is>
      </c>
      <c r="L3470" t="inlineStr">
        <is>
          <t>OCTUBRE 2026</t>
        </is>
      </c>
      <c r="M3470" t="inlineStr">
        <is>
          <t>P.Q.S.  TIPO ABC  90% NACIONAL</t>
        </is>
      </c>
      <c r="N3470" t="inlineStr">
        <is>
          <t>54/000008</t>
        </is>
      </c>
      <c r="O3470" t="inlineStr">
        <is>
          <t>R</t>
        </is>
      </c>
      <c r="P3470">
        <f>TRIM(N3470)</f>
        <v/>
      </c>
    </row>
    <row r="3471">
      <c r="A3471" t="inlineStr">
        <is>
          <t>CO-002471</t>
        </is>
      </c>
      <c r="B3471" t="inlineStr">
        <is>
          <t>PERU MASIVO S.A - BUSES</t>
        </is>
      </c>
      <c r="C3471" t="inlineStr">
        <is>
          <t>20492392031</t>
        </is>
      </c>
      <c r="D3471" t="inlineStr">
        <is>
          <t>AV. LOS INCAS CDRA. 4 PATIO NORTE - COMAS</t>
        </is>
      </c>
      <c r="E3471" t="inlineStr">
        <is>
          <t>Lima, 04 Octubre  del  2025</t>
        </is>
      </c>
      <c r="F3471" t="inlineStr">
        <is>
          <t>la Recarga y mantenimiento</t>
        </is>
      </c>
      <c r="G3471" t="inlineStr">
        <is>
          <t xml:space="preserve">06 </t>
        </is>
      </c>
      <c r="H3471" t="inlineStr">
        <is>
          <t>06 KG</t>
        </is>
      </c>
      <c r="I3471" t="n">
        <v>2028</v>
      </c>
      <c r="J3471" t="n">
        <v>2009</v>
      </c>
      <c r="K3471" t="inlineStr">
        <is>
          <t>OCTUBRE 2025</t>
        </is>
      </c>
      <c r="L3471" t="inlineStr">
        <is>
          <t>OCTUBRE 2026</t>
        </is>
      </c>
      <c r="M3471" t="inlineStr">
        <is>
          <t>P.Q.S.  TIPO ABC  90% NACIONAL</t>
        </is>
      </c>
      <c r="N3471" t="inlineStr">
        <is>
          <t>84/001386</t>
        </is>
      </c>
      <c r="O3471" t="inlineStr">
        <is>
          <t>R</t>
        </is>
      </c>
      <c r="P3471">
        <f>TRIM(N3471)</f>
        <v/>
      </c>
    </row>
    <row r="3472">
      <c r="A3472" t="inlineStr">
        <is>
          <t>CO-002471</t>
        </is>
      </c>
      <c r="B3472" t="inlineStr">
        <is>
          <t>PERU MASIVO S.A - BUSES</t>
        </is>
      </c>
      <c r="C3472" t="inlineStr">
        <is>
          <t>20492392031</t>
        </is>
      </c>
      <c r="D3472" t="inlineStr">
        <is>
          <t>AV. LOS INCAS CDRA. 4 PATIO NORTE - COMAS</t>
        </is>
      </c>
      <c r="E3472" t="inlineStr">
        <is>
          <t>Lima, 04 Octubre  del  2025</t>
        </is>
      </c>
      <c r="F3472" t="inlineStr">
        <is>
          <t>la Recarga y mantenimiento</t>
        </is>
      </c>
      <c r="G3472" t="inlineStr">
        <is>
          <t>07</t>
        </is>
      </c>
      <c r="H3472" t="inlineStr">
        <is>
          <t>06 KG</t>
        </is>
      </c>
      <c r="I3472" t="n">
        <v>2028</v>
      </c>
      <c r="J3472" t="n">
        <v>2010</v>
      </c>
      <c r="K3472" t="inlineStr">
        <is>
          <t>OCTUBRE 2025</t>
        </is>
      </c>
      <c r="L3472" t="inlineStr">
        <is>
          <t>OCTUBRE 2026</t>
        </is>
      </c>
      <c r="M3472" t="inlineStr">
        <is>
          <t>P.Q.S.  TIPO ABC  90% NACIONAL</t>
        </is>
      </c>
      <c r="N3472" t="inlineStr">
        <is>
          <t>69/000005</t>
        </is>
      </c>
      <c r="O3472" t="inlineStr">
        <is>
          <t>R</t>
        </is>
      </c>
      <c r="P3472">
        <f>TRIM(N3472)</f>
        <v/>
      </c>
    </row>
    <row r="3473">
      <c r="A3473" t="inlineStr">
        <is>
          <t>CO-002471</t>
        </is>
      </c>
      <c r="B3473" t="inlineStr">
        <is>
          <t>PERU MASIVO S.A - BUSES</t>
        </is>
      </c>
      <c r="C3473" t="inlineStr">
        <is>
          <t>20492392031</t>
        </is>
      </c>
      <c r="D3473" t="inlineStr">
        <is>
          <t>AV. LOS INCAS CDRA. 4 PATIO NORTE - COMAS</t>
        </is>
      </c>
      <c r="E3473" t="inlineStr">
        <is>
          <t>Lima, 04 Octubre  del  2025</t>
        </is>
      </c>
      <c r="F3473" t="inlineStr">
        <is>
          <t>la Recarga y mantenimiento</t>
        </is>
      </c>
      <c r="G3473" t="inlineStr">
        <is>
          <t xml:space="preserve">08 </t>
        </is>
      </c>
      <c r="H3473" t="inlineStr">
        <is>
          <t>06 KG</t>
        </is>
      </c>
      <c r="I3473" t="n">
        <v>2028</v>
      </c>
      <c r="J3473" t="n">
        <v>2016</v>
      </c>
      <c r="K3473" t="inlineStr">
        <is>
          <t>OCTUBRE 2025</t>
        </is>
      </c>
      <c r="L3473" t="inlineStr">
        <is>
          <t>OCTUBRE 2026</t>
        </is>
      </c>
      <c r="M3473" t="inlineStr">
        <is>
          <t>P.Q.S.  TIPO ABC  90% NACIONAL</t>
        </is>
      </c>
      <c r="N3473" t="inlineStr">
        <is>
          <t>235/000002</t>
        </is>
      </c>
      <c r="O3473" t="inlineStr">
        <is>
          <t>R</t>
        </is>
      </c>
      <c r="P3473">
        <f>TRIM(N3473)</f>
        <v/>
      </c>
    </row>
    <row r="3474">
      <c r="A3474" t="inlineStr">
        <is>
          <t>CO-002471</t>
        </is>
      </c>
      <c r="B3474" t="inlineStr">
        <is>
          <t>PERU MASIVO S.A - BUSES</t>
        </is>
      </c>
      <c r="C3474" t="inlineStr">
        <is>
          <t>20492392031</t>
        </is>
      </c>
      <c r="D3474" t="inlineStr">
        <is>
          <t>AV. LOS INCAS CDRA. 4 PATIO NORTE - COMAS</t>
        </is>
      </c>
      <c r="E3474" t="inlineStr">
        <is>
          <t>Lima, 04 Octubre  del  2025</t>
        </is>
      </c>
      <c r="F3474" t="inlineStr">
        <is>
          <t>la Recarga y mantenimiento</t>
        </is>
      </c>
      <c r="G3474" t="inlineStr">
        <is>
          <t>09</t>
        </is>
      </c>
      <c r="H3474" t="inlineStr">
        <is>
          <t>06 KG</t>
        </is>
      </c>
      <c r="I3474" t="n">
        <v>2028</v>
      </c>
      <c r="J3474" t="n">
        <v>2015</v>
      </c>
      <c r="K3474" t="inlineStr">
        <is>
          <t>OCTUBRE 2025</t>
        </is>
      </c>
      <c r="L3474" t="inlineStr">
        <is>
          <t>OCTUBRE 2026</t>
        </is>
      </c>
      <c r="M3474" t="inlineStr">
        <is>
          <t>P.Q.S.  TIPO ABC  90% NACIONAL</t>
        </is>
      </c>
      <c r="N3474" t="inlineStr">
        <is>
          <t>230/001201</t>
        </is>
      </c>
      <c r="O3474" t="inlineStr">
        <is>
          <t>R</t>
        </is>
      </c>
      <c r="P3474">
        <f>TRIM(N3474)</f>
        <v/>
      </c>
    </row>
    <row r="3475">
      <c r="A3475" t="inlineStr">
        <is>
          <t>CO-002471</t>
        </is>
      </c>
      <c r="B3475" t="inlineStr">
        <is>
          <t>PERU MASIVO S.A - BUSES</t>
        </is>
      </c>
      <c r="C3475" t="inlineStr">
        <is>
          <t>20492392031</t>
        </is>
      </c>
      <c r="D3475" t="inlineStr">
        <is>
          <t>AV. LOS INCAS CDRA. 4 PATIO NORTE - COMAS</t>
        </is>
      </c>
      <c r="E3475" t="inlineStr">
        <is>
          <t>Lima, 04 Octubre  del  2025</t>
        </is>
      </c>
      <c r="F3475" t="inlineStr">
        <is>
          <t>la Recarga y mantenimiento</t>
        </is>
      </c>
      <c r="G3475" t="n">
        <v>10</v>
      </c>
      <c r="H3475" t="inlineStr">
        <is>
          <t>06 KG</t>
        </is>
      </c>
      <c r="I3475" t="n">
        <v>2030</v>
      </c>
      <c r="J3475" t="n">
        <v>2012</v>
      </c>
      <c r="K3475" t="inlineStr">
        <is>
          <t>OCTUBRE 2025</t>
        </is>
      </c>
      <c r="L3475" t="inlineStr">
        <is>
          <t>OCTUBRE 2026</t>
        </is>
      </c>
      <c r="M3475" t="inlineStr">
        <is>
          <t>P.Q.S.  TIPO ABC  90% NACIONAL</t>
        </is>
      </c>
      <c r="N3475" t="inlineStr">
        <is>
          <t>247/000410</t>
        </is>
      </c>
      <c r="O3475" t="inlineStr">
        <is>
          <t>R</t>
        </is>
      </c>
      <c r="P3475">
        <f>TRIM(N3475)</f>
        <v/>
      </c>
    </row>
    <row r="3476">
      <c r="A3476" t="inlineStr">
        <is>
          <t>CO-002471</t>
        </is>
      </c>
      <c r="B3476" t="inlineStr">
        <is>
          <t>PERU MASIVO S.A - BUSES</t>
        </is>
      </c>
      <c r="C3476" t="inlineStr">
        <is>
          <t>20492392031</t>
        </is>
      </c>
      <c r="D3476" t="inlineStr">
        <is>
          <t>AV. LOS INCAS CDRA. 4 PATIO NORTE - COMAS</t>
        </is>
      </c>
      <c r="E3476" t="inlineStr">
        <is>
          <t>Lima, 04 Octubre  del  2025</t>
        </is>
      </c>
      <c r="F3476" t="inlineStr">
        <is>
          <t>la Recarga y mantenimiento</t>
        </is>
      </c>
      <c r="G3476" t="n">
        <v>11</v>
      </c>
      <c r="H3476" t="inlineStr">
        <is>
          <t>06 KG</t>
        </is>
      </c>
      <c r="I3476" t="n">
        <v>2028</v>
      </c>
      <c r="J3476" t="n">
        <v>2010</v>
      </c>
      <c r="K3476" t="inlineStr">
        <is>
          <t>OCTUBRE 2025</t>
        </is>
      </c>
      <c r="L3476" t="inlineStr">
        <is>
          <t>OCTUBRE 2026</t>
        </is>
      </c>
      <c r="M3476" t="inlineStr">
        <is>
          <t>P.Q.S.  TIPO ABC  90% NACIONAL</t>
        </is>
      </c>
      <c r="N3476" t="inlineStr">
        <is>
          <t>133/000476</t>
        </is>
      </c>
      <c r="O3476" t="inlineStr">
        <is>
          <t>R</t>
        </is>
      </c>
      <c r="P3476">
        <f>TRIM(N3476)</f>
        <v/>
      </c>
    </row>
    <row r="3477">
      <c r="A3477" t="inlineStr">
        <is>
          <t>CO-002471</t>
        </is>
      </c>
      <c r="B3477" t="inlineStr">
        <is>
          <t>PERU MASIVO S.A - BUSES</t>
        </is>
      </c>
      <c r="C3477" t="inlineStr">
        <is>
          <t>20492392031</t>
        </is>
      </c>
      <c r="D3477" t="inlineStr">
        <is>
          <t>AV. LOS INCAS CDRA. 4 PATIO NORTE - COMAS</t>
        </is>
      </c>
      <c r="E3477" t="inlineStr">
        <is>
          <t>Lima, 04 Octubre  del  2025</t>
        </is>
      </c>
      <c r="F3477" t="inlineStr">
        <is>
          <t>la Recarga y mantenimiento</t>
        </is>
      </c>
      <c r="G3477" t="n">
        <v>12</v>
      </c>
      <c r="H3477" t="inlineStr">
        <is>
          <t>06 KG</t>
        </is>
      </c>
      <c r="I3477" t="n">
        <v>2030</v>
      </c>
      <c r="J3477" t="n">
        <v>2009</v>
      </c>
      <c r="K3477" t="inlineStr">
        <is>
          <t>OCTUBRE 2025</t>
        </is>
      </c>
      <c r="L3477" t="inlineStr">
        <is>
          <t>OCTUBRE 2026</t>
        </is>
      </c>
      <c r="M3477" t="inlineStr">
        <is>
          <t>P.Q.S.  TIPO ABC  90% NACIONAL</t>
        </is>
      </c>
      <c r="N3477" t="inlineStr">
        <is>
          <t>05/001333</t>
        </is>
      </c>
      <c r="O3477" t="inlineStr">
        <is>
          <t>R</t>
        </is>
      </c>
      <c r="P3477">
        <f>TRIM(N3477)</f>
        <v/>
      </c>
    </row>
    <row r="3478">
      <c r="A3478" t="inlineStr">
        <is>
          <t>CO-002472</t>
        </is>
      </c>
      <c r="B3478" t="inlineStr">
        <is>
          <t xml:space="preserve"> EDEN AGUA SOLUCIONES INTEGRALES S.A.C.</t>
        </is>
      </c>
      <c r="C3478" t="n">
        <v>20613553372</v>
      </c>
      <c r="D3478" t="inlineStr">
        <is>
          <t>CAL. FRANCISCO DE PAULA UGARRI NRO. 783 MIRAFLORES</t>
        </is>
      </c>
      <c r="E3478" t="inlineStr">
        <is>
          <t>Lima, 07 Octubre  del  2025</t>
        </is>
      </c>
      <c r="F3478" t="inlineStr">
        <is>
          <t>la Recarga y mantenimiento</t>
        </is>
      </c>
      <c r="G3478" t="inlineStr">
        <is>
          <t>01</t>
        </is>
      </c>
      <c r="H3478" t="inlineStr">
        <is>
          <t>06 KG</t>
        </is>
      </c>
      <c r="I3478" t="inlineStr">
        <is>
          <t>2029</t>
        </is>
      </c>
      <c r="J3478" t="n">
        <v>2024</v>
      </c>
      <c r="K3478" t="inlineStr">
        <is>
          <t>OCTUBRE 2025</t>
        </is>
      </c>
      <c r="L3478" t="inlineStr">
        <is>
          <t>OCTUBRE 2026</t>
        </is>
      </c>
      <c r="M3478" t="inlineStr">
        <is>
          <t xml:space="preserve">P.Q.S TIPO ABC </t>
        </is>
      </c>
      <c r="N3478" t="inlineStr">
        <is>
          <t>05/006370</t>
        </is>
      </c>
      <c r="O3478" t="inlineStr">
        <is>
          <t>R</t>
        </is>
      </c>
      <c r="P3478">
        <f>TRIM(N3478)</f>
        <v/>
      </c>
    </row>
    <row r="3479">
      <c r="A3479" t="inlineStr">
        <is>
          <t>CO-002472</t>
        </is>
      </c>
      <c r="B3479" t="inlineStr">
        <is>
          <t xml:space="preserve"> EDEN AGUA SOLUCIONES INTEGRALES S.A.C.</t>
        </is>
      </c>
      <c r="C3479" t="n">
        <v>20613553372</v>
      </c>
      <c r="D3479" t="inlineStr">
        <is>
          <t>CAL. FRANCISCO DE PAULA UGARRI NRO. 783 MIRAFLORES</t>
        </is>
      </c>
      <c r="E3479" t="inlineStr">
        <is>
          <t>Lima, 07 Octubre  del  2025</t>
        </is>
      </c>
      <c r="F3479" t="inlineStr">
        <is>
          <t>la Recarga y mantenimiento</t>
        </is>
      </c>
      <c r="G3479" t="inlineStr">
        <is>
          <t>02</t>
        </is>
      </c>
      <c r="H3479" t="inlineStr">
        <is>
          <t>10 LBS</t>
        </is>
      </c>
      <c r="I3479" t="inlineStr">
        <is>
          <t>2029</t>
        </is>
      </c>
      <c r="J3479" t="n">
        <v>2024</v>
      </c>
      <c r="K3479" t="inlineStr">
        <is>
          <t>OCTUBRE 2025</t>
        </is>
      </c>
      <c r="L3479" t="inlineStr">
        <is>
          <t>OCTUBRE 2026</t>
        </is>
      </c>
      <c r="M3479" t="inlineStr">
        <is>
          <t xml:space="preserve">CO2 TIPO BC </t>
        </is>
      </c>
      <c r="N3479" t="inlineStr">
        <is>
          <t>03/000160</t>
        </is>
      </c>
      <c r="O3479" t="inlineStr">
        <is>
          <t>R</t>
        </is>
      </c>
      <c r="P3479">
        <f>TRIM(N3479)</f>
        <v/>
      </c>
    </row>
    <row r="3480">
      <c r="A3480" t="inlineStr">
        <is>
          <t>CO-002473</t>
        </is>
      </c>
      <c r="B3480" t="inlineStr">
        <is>
          <t>QUIMICOS GOICOCHEA S.A.C.</t>
        </is>
      </c>
      <c r="C3480" t="inlineStr">
        <is>
          <t>20211040352</t>
        </is>
      </c>
      <c r="D3480" t="inlineStr">
        <is>
          <t xml:space="preserve"> AV. LOS FERROLES S/N (ANTES PLAYA OQUENDO S/N
 SUBPARCELA B) URB. SANTO DOMINGO DE BOCANEGRA 
CALLAO</t>
        </is>
      </c>
      <c r="E3480" t="inlineStr">
        <is>
          <t>Lima, 09 de Octubre del 2025</t>
        </is>
      </c>
      <c r="F3480" t="inlineStr">
        <is>
          <t>la Recarga y mantenimiento</t>
        </is>
      </c>
      <c r="G3480" t="inlineStr">
        <is>
          <t>01</t>
        </is>
      </c>
      <c r="H3480" t="inlineStr">
        <is>
          <t>12 KG</t>
        </is>
      </c>
      <c r="I3480" t="inlineStr">
        <is>
          <t>2027</t>
        </is>
      </c>
      <c r="J3480" t="n">
        <v>2012</v>
      </c>
      <c r="K3480" t="inlineStr">
        <is>
          <t>OCTUBRE 2025</t>
        </is>
      </c>
      <c r="L3480" t="inlineStr">
        <is>
          <t>OCTUBRE 2026</t>
        </is>
      </c>
      <c r="M3480" t="inlineStr">
        <is>
          <t xml:space="preserve">PQS TIPO ABC AL 75% </t>
        </is>
      </c>
      <c r="N3480" t="inlineStr">
        <is>
          <t>4/000025</t>
        </is>
      </c>
      <c r="O3480" t="inlineStr">
        <is>
          <t>R</t>
        </is>
      </c>
      <c r="P3480">
        <f>TRIM(N3480)</f>
        <v/>
      </c>
    </row>
    <row r="3481">
      <c r="A3481" t="inlineStr">
        <is>
          <t>CO-002473</t>
        </is>
      </c>
      <c r="B3481" t="inlineStr">
        <is>
          <t>QUIMICOS GOICOCHEA S.A.C.</t>
        </is>
      </c>
      <c r="C3481" t="inlineStr">
        <is>
          <t>20211040352</t>
        </is>
      </c>
      <c r="D3481" t="inlineStr">
        <is>
          <t xml:space="preserve"> AV. LOS FERROLES S/N (ANTES PLAYA OQUENDO S/N
 SUBPARCELA B) URB. SANTO DOMINGO DE BOCANEGRA 
CALLAO</t>
        </is>
      </c>
      <c r="E3481" t="inlineStr">
        <is>
          <t>Lima, 09 de Octubre del 2025</t>
        </is>
      </c>
      <c r="F3481" t="inlineStr">
        <is>
          <t>la Recarga y mantenimiento</t>
        </is>
      </c>
      <c r="G3481" t="inlineStr">
        <is>
          <t>02</t>
        </is>
      </c>
      <c r="H3481" t="inlineStr">
        <is>
          <t>12 KG</t>
        </is>
      </c>
      <c r="I3481" t="inlineStr">
        <is>
          <t>2027</t>
        </is>
      </c>
      <c r="J3481" t="n">
        <v>2012</v>
      </c>
      <c r="K3481" t="inlineStr">
        <is>
          <t>OCTUBRE 2025</t>
        </is>
      </c>
      <c r="L3481" t="inlineStr">
        <is>
          <t>OCTUBRE 2026</t>
        </is>
      </c>
      <c r="M3481" t="inlineStr">
        <is>
          <t xml:space="preserve">PQS TIPO ABC AL 75% </t>
        </is>
      </c>
      <c r="N3481" t="inlineStr">
        <is>
          <t>5/000038</t>
        </is>
      </c>
      <c r="O3481" t="inlineStr">
        <is>
          <t>R</t>
        </is>
      </c>
      <c r="P3481">
        <f>TRIM(N3481)</f>
        <v/>
      </c>
    </row>
    <row r="3482">
      <c r="A3482" t="inlineStr">
        <is>
          <t>CO-002473</t>
        </is>
      </c>
      <c r="B3482" t="inlineStr">
        <is>
          <t>QUIMICOS GOICOCHEA S.A.C.</t>
        </is>
      </c>
      <c r="C3482" t="inlineStr">
        <is>
          <t>20211040352</t>
        </is>
      </c>
      <c r="D3482" t="inlineStr">
        <is>
          <t xml:space="preserve"> AV. LOS FERROLES S/N (ANTES PLAYA OQUENDO S/N
 SUBPARCELA B) URB. SANTO DOMINGO DE BOCANEGRA 
CALLAO</t>
        </is>
      </c>
      <c r="E3482" t="inlineStr">
        <is>
          <t>Lima, 09 de Octubre del 2025</t>
        </is>
      </c>
      <c r="F3482" t="inlineStr">
        <is>
          <t>la Recarga y mantenimiento</t>
        </is>
      </c>
      <c r="G3482" t="inlineStr">
        <is>
          <t>03</t>
        </is>
      </c>
      <c r="H3482" t="inlineStr">
        <is>
          <t xml:space="preserve">12 KG </t>
        </is>
      </c>
      <c r="I3482" t="n">
        <v>2030</v>
      </c>
      <c r="J3482" t="n">
        <v>2010</v>
      </c>
      <c r="K3482" t="inlineStr">
        <is>
          <t>OCTUBRE 2025</t>
        </is>
      </c>
      <c r="L3482" t="inlineStr">
        <is>
          <t>OCTUBRE 2026</t>
        </is>
      </c>
      <c r="M3482" t="inlineStr">
        <is>
          <t xml:space="preserve">PQS TIPO ABC AL 75% </t>
        </is>
      </c>
      <c r="N3482" t="inlineStr">
        <is>
          <t>6/000689</t>
        </is>
      </c>
      <c r="O3482" t="inlineStr">
        <is>
          <t>R</t>
        </is>
      </c>
      <c r="P3482">
        <f>TRIM(N3482)</f>
        <v/>
      </c>
    </row>
    <row r="3483">
      <c r="A3483" t="inlineStr">
        <is>
          <t>CO-002473</t>
        </is>
      </c>
      <c r="B3483" t="inlineStr">
        <is>
          <t>QUIMICOS GOICOCHEA S.A.C.</t>
        </is>
      </c>
      <c r="C3483" t="inlineStr">
        <is>
          <t>20211040352</t>
        </is>
      </c>
      <c r="D3483" t="inlineStr">
        <is>
          <t xml:space="preserve"> AV. LOS FERROLES S/N (ANTES PLAYA OQUENDO S/N
 SUBPARCELA B) URB. SANTO DOMINGO DE BOCANEGRA 
CALLAO</t>
        </is>
      </c>
      <c r="E3483" t="inlineStr">
        <is>
          <t>Lima, 09 de Octubre del 2025</t>
        </is>
      </c>
      <c r="F3483" t="inlineStr">
        <is>
          <t>la Recarga y mantenimiento</t>
        </is>
      </c>
      <c r="G3483" t="inlineStr">
        <is>
          <t>04</t>
        </is>
      </c>
      <c r="H3483" t="inlineStr">
        <is>
          <t>12 KG</t>
        </is>
      </c>
      <c r="I3483" t="n">
        <v>2030</v>
      </c>
      <c r="J3483" t="n">
        <v>2019</v>
      </c>
      <c r="K3483" t="inlineStr">
        <is>
          <t>OCTUBRE 2025</t>
        </is>
      </c>
      <c r="L3483" t="inlineStr">
        <is>
          <t>OCTUBRE 2026</t>
        </is>
      </c>
      <c r="M3483" t="inlineStr">
        <is>
          <t xml:space="preserve">PQS TIPO ABC AL 75% </t>
        </is>
      </c>
      <c r="N3483" t="inlineStr">
        <is>
          <t>7/000765</t>
        </is>
      </c>
      <c r="O3483" t="inlineStr">
        <is>
          <t>R</t>
        </is>
      </c>
      <c r="P3483">
        <f>TRIM(N3483)</f>
        <v/>
      </c>
    </row>
    <row r="3484">
      <c r="A3484" t="inlineStr">
        <is>
          <t>CO-002473</t>
        </is>
      </c>
      <c r="B3484" t="inlineStr">
        <is>
          <t>QUIMICOS GOICOCHEA S.A.C.</t>
        </is>
      </c>
      <c r="C3484" t="inlineStr">
        <is>
          <t>20211040352</t>
        </is>
      </c>
      <c r="D3484" t="inlineStr">
        <is>
          <t xml:space="preserve"> AV. LOS FERROLES S/N (ANTES PLAYA OQUENDO S/N
 SUBPARCELA B) URB. SANTO DOMINGO DE BOCANEGRA 
CALLAO</t>
        </is>
      </c>
      <c r="E3484" t="inlineStr">
        <is>
          <t>Lima, 09 de Octubre del 2025</t>
        </is>
      </c>
      <c r="F3484" t="inlineStr">
        <is>
          <t>la Recarga y mantenimiento</t>
        </is>
      </c>
      <c r="G3484" t="inlineStr">
        <is>
          <t>05</t>
        </is>
      </c>
      <c r="H3484" t="inlineStr">
        <is>
          <t>12 KG</t>
        </is>
      </c>
      <c r="I3484" t="n">
        <v>2030</v>
      </c>
      <c r="J3484" t="n">
        <v>2012</v>
      </c>
      <c r="K3484" t="inlineStr">
        <is>
          <t>OCTUBRE 2025</t>
        </is>
      </c>
      <c r="L3484" t="inlineStr">
        <is>
          <t>OCTUBRE 2026</t>
        </is>
      </c>
      <c r="M3484" t="inlineStr">
        <is>
          <t xml:space="preserve">PQS TIPO ABC AL 75% </t>
        </is>
      </c>
      <c r="N3484" t="inlineStr">
        <is>
          <t>8/000145</t>
        </is>
      </c>
      <c r="O3484" t="inlineStr">
        <is>
          <t>R</t>
        </is>
      </c>
      <c r="P3484">
        <f>TRIM(N3484)</f>
        <v/>
      </c>
    </row>
    <row r="3485">
      <c r="A3485" t="inlineStr">
        <is>
          <t>CO-002473</t>
        </is>
      </c>
      <c r="B3485" t="inlineStr">
        <is>
          <t>QUIMICOS GOICOCHEA S.A.C.</t>
        </is>
      </c>
      <c r="C3485" t="inlineStr">
        <is>
          <t>20211040352</t>
        </is>
      </c>
      <c r="D3485" t="inlineStr">
        <is>
          <t xml:space="preserve"> AV. LOS FERROLES S/N (ANTES PLAYA OQUENDO S/N
 SUBPARCELA B) URB. SANTO DOMINGO DE BOCANEGRA 
CALLAO</t>
        </is>
      </c>
      <c r="E3485" t="inlineStr">
        <is>
          <t>Lima, 09 de Octubre del 2025</t>
        </is>
      </c>
      <c r="F3485" t="inlineStr">
        <is>
          <t>la Recarga y mantenimiento</t>
        </is>
      </c>
      <c r="G3485" t="inlineStr">
        <is>
          <t>06</t>
        </is>
      </c>
      <c r="H3485" t="inlineStr">
        <is>
          <t xml:space="preserve">12 KG </t>
        </is>
      </c>
      <c r="I3485" t="n">
        <v>2027</v>
      </c>
      <c r="J3485" t="n">
        <v>2012</v>
      </c>
      <c r="K3485" t="inlineStr">
        <is>
          <t>OCTUBRE 2025</t>
        </is>
      </c>
      <c r="L3485" t="inlineStr">
        <is>
          <t>OCTUBRE 2026</t>
        </is>
      </c>
      <c r="M3485" t="inlineStr">
        <is>
          <t xml:space="preserve">PQS TIPO ABC AL 75% </t>
        </is>
      </c>
      <c r="N3485" t="inlineStr">
        <is>
          <t>12/000046</t>
        </is>
      </c>
      <c r="O3485" t="inlineStr">
        <is>
          <t>R</t>
        </is>
      </c>
      <c r="P3485">
        <f>TRIM(N3485)</f>
        <v/>
      </c>
    </row>
    <row r="3486">
      <c r="A3486" t="inlineStr">
        <is>
          <t>CO-002473</t>
        </is>
      </c>
      <c r="B3486" t="inlineStr">
        <is>
          <t>QUIMICOS GOICOCHEA S.A.C.</t>
        </is>
      </c>
      <c r="C3486" t="inlineStr">
        <is>
          <t>20211040352</t>
        </is>
      </c>
      <c r="D3486" t="inlineStr">
        <is>
          <t xml:space="preserve"> AV. LOS FERROLES S/N (ANTES PLAYA OQUENDO S/N
 SUBPARCELA B) URB. SANTO DOMINGO DE BOCANEGRA 
CALLAO</t>
        </is>
      </c>
      <c r="E3486" t="inlineStr">
        <is>
          <t>Lima, 09 de Octubre del 2025</t>
        </is>
      </c>
      <c r="F3486" t="inlineStr">
        <is>
          <t>la Recarga y mantenimiento</t>
        </is>
      </c>
      <c r="G3486" t="inlineStr">
        <is>
          <t>07</t>
        </is>
      </c>
      <c r="H3486" t="inlineStr">
        <is>
          <t>10 LBS</t>
        </is>
      </c>
      <c r="I3486" t="n">
        <v>2027</v>
      </c>
      <c r="J3486" t="n">
        <v>2012</v>
      </c>
      <c r="K3486" t="inlineStr">
        <is>
          <t>OCTUBRE 2025</t>
        </is>
      </c>
      <c r="L3486" t="inlineStr">
        <is>
          <t>OCTUBRE 2026</t>
        </is>
      </c>
      <c r="M3486" t="inlineStr">
        <is>
          <t xml:space="preserve">CO2 TIPO BC </t>
        </is>
      </c>
      <c r="N3486" t="inlineStr">
        <is>
          <t>27/000061</t>
        </is>
      </c>
      <c r="O3486" t="inlineStr">
        <is>
          <t>R</t>
        </is>
      </c>
      <c r="P3486">
        <f>TRIM(N3486)</f>
        <v/>
      </c>
    </row>
    <row r="3487">
      <c r="A3487" t="inlineStr">
        <is>
          <t>CO-002473</t>
        </is>
      </c>
      <c r="B3487" t="inlineStr">
        <is>
          <t>QUIMICOS GOICOCHEA S.A.C.</t>
        </is>
      </c>
      <c r="C3487" t="inlineStr">
        <is>
          <t>20211040352</t>
        </is>
      </c>
      <c r="D3487" t="inlineStr">
        <is>
          <t xml:space="preserve"> AV. LOS FERROLES S/N (ANTES PLAYA OQUENDO S/N
 SUBPARCELA B) URB. SANTO DOMINGO DE BOCANEGRA 
CALLAO</t>
        </is>
      </c>
      <c r="E3487" t="inlineStr">
        <is>
          <t>Lima, 09 de Octubre del 2025</t>
        </is>
      </c>
      <c r="F3487" t="inlineStr">
        <is>
          <t>la Recarga y mantenimiento</t>
        </is>
      </c>
      <c r="G3487" t="inlineStr">
        <is>
          <t>08</t>
        </is>
      </c>
      <c r="H3487" t="inlineStr">
        <is>
          <t>12 KG</t>
        </is>
      </c>
      <c r="I3487" t="n">
        <v>2027</v>
      </c>
      <c r="J3487" t="n">
        <v>2022</v>
      </c>
      <c r="K3487" t="inlineStr">
        <is>
          <t>OCTUBRE 2025</t>
        </is>
      </c>
      <c r="L3487" t="inlineStr">
        <is>
          <t>OCTUBRE 2026</t>
        </is>
      </c>
      <c r="M3487" t="inlineStr">
        <is>
          <t xml:space="preserve">PQS TIPO ABC AL 75% </t>
        </is>
      </c>
      <c r="N3487" t="inlineStr">
        <is>
          <t>15/002481</t>
        </is>
      </c>
      <c r="O3487" t="inlineStr">
        <is>
          <t>R</t>
        </is>
      </c>
      <c r="P3487">
        <f>TRIM(N3487)</f>
        <v/>
      </c>
    </row>
    <row r="3488">
      <c r="A3488" t="inlineStr">
        <is>
          <t>CO-002474</t>
        </is>
      </c>
      <c r="B3488" t="inlineStr">
        <is>
          <t>Botica D Carols  - IRIGOYEN DIAZ JANETT CAROL</t>
        </is>
      </c>
      <c r="D3488" t="inlineStr">
        <is>
          <t>URB. EL PACIFICO MZ F LTE 17 CALLE BENJAMIN DOIG - SAN MARTIN DE PORRES</t>
        </is>
      </c>
      <c r="E3488" t="inlineStr">
        <is>
          <t>Lima, 30 de Octubre del 2025</t>
        </is>
      </c>
      <c r="F3488" t="inlineStr">
        <is>
          <t>la Recarga y mantenimiento</t>
        </is>
      </c>
      <c r="G3488" t="inlineStr">
        <is>
          <t>01</t>
        </is>
      </c>
      <c r="H3488" t="inlineStr">
        <is>
          <t>06 KG</t>
        </is>
      </c>
      <c r="I3488" t="inlineStr">
        <is>
          <t>VIGENTE</t>
        </is>
      </c>
      <c r="J3488" t="n">
        <v>2009</v>
      </c>
      <c r="K3488" t="inlineStr">
        <is>
          <t>OCTUBRE 2025</t>
        </is>
      </c>
      <c r="L3488" t="inlineStr">
        <is>
          <t>OCTUBRE 2026</t>
        </is>
      </c>
      <c r="M3488" t="inlineStr">
        <is>
          <t>PQS TIPO ABC</t>
        </is>
      </c>
      <c r="N3488" t="inlineStr">
        <is>
          <t>003084</t>
        </is>
      </c>
      <c r="O3488" t="inlineStr">
        <is>
          <t>R</t>
        </is>
      </c>
      <c r="P3488">
        <f>TRIM(N3488)</f>
        <v/>
      </c>
    </row>
    <row r="3489">
      <c r="A3489" t="inlineStr">
        <is>
          <t>CO-002475</t>
        </is>
      </c>
      <c r="B3489" t="inlineStr">
        <is>
          <t xml:space="preserve">LINDE PERU S.R.L. </t>
        </is>
      </c>
      <c r="C3489" t="n">
        <v>20338570041</v>
      </c>
      <c r="D3489" t="inlineStr">
        <is>
          <t>Almacen albo distribucion</t>
        </is>
      </c>
      <c r="E3489" t="inlineStr">
        <is>
          <t>Lima, 09 de Octubre del 2025</t>
        </is>
      </c>
      <c r="F3489" t="inlineStr">
        <is>
          <t>la Venta</t>
        </is>
      </c>
      <c r="G3489" t="inlineStr">
        <is>
          <t>01</t>
        </is>
      </c>
      <c r="H3489" t="inlineStr">
        <is>
          <t>09 KG</t>
        </is>
      </c>
      <c r="I3489" t="inlineStr">
        <is>
          <t>2030</t>
        </is>
      </c>
      <c r="J3489" t="n">
        <v>2025</v>
      </c>
      <c r="K3489" t="inlineStr">
        <is>
          <t>OCTUBRE 2025</t>
        </is>
      </c>
      <c r="L3489" t="inlineStr">
        <is>
          <t>OCTUBRE 2026</t>
        </is>
      </c>
      <c r="M3489" t="inlineStr">
        <is>
          <t>PQS TIPO ABC AL 90% PYROCHEM</t>
        </is>
      </c>
      <c r="N3489" t="inlineStr">
        <is>
          <t>01/000376</t>
        </is>
      </c>
      <c r="O3489" t="inlineStr">
        <is>
          <t>V</t>
        </is>
      </c>
      <c r="P3489">
        <f>TRIM(N3489)</f>
        <v/>
      </c>
    </row>
    <row r="3490">
      <c r="A3490" t="inlineStr">
        <is>
          <t>CO-002475</t>
        </is>
      </c>
      <c r="B3490" t="inlineStr">
        <is>
          <t xml:space="preserve">LINDE PERU S.R.L. </t>
        </is>
      </c>
      <c r="C3490" t="n">
        <v>20338570041</v>
      </c>
      <c r="D3490" t="inlineStr">
        <is>
          <t>Almacen albo distribucion</t>
        </is>
      </c>
      <c r="E3490" t="inlineStr">
        <is>
          <t>Lima, 09 de Octubre del 2025</t>
        </is>
      </c>
      <c r="F3490" t="inlineStr">
        <is>
          <t>la Venta</t>
        </is>
      </c>
      <c r="G3490" t="inlineStr">
        <is>
          <t>02</t>
        </is>
      </c>
      <c r="H3490" t="inlineStr">
        <is>
          <t>09 KG</t>
        </is>
      </c>
      <c r="I3490" t="inlineStr">
        <is>
          <t>2030</t>
        </is>
      </c>
      <c r="J3490" t="n">
        <v>2025</v>
      </c>
      <c r="K3490" t="inlineStr">
        <is>
          <t>OCTUBRE 2025</t>
        </is>
      </c>
      <c r="L3490" t="inlineStr">
        <is>
          <t>OCTUBRE 2026</t>
        </is>
      </c>
      <c r="M3490" t="inlineStr">
        <is>
          <t>PQS TIPO ABC AL 90% PYROCHEM</t>
        </is>
      </c>
      <c r="N3490" t="inlineStr">
        <is>
          <t>02/000919</t>
        </is>
      </c>
      <c r="O3490" t="inlineStr">
        <is>
          <t>V</t>
        </is>
      </c>
      <c r="P3490">
        <f>TRIM(N3490)</f>
        <v/>
      </c>
    </row>
    <row r="3491">
      <c r="A3491" t="inlineStr">
        <is>
          <t>CO-002476</t>
        </is>
      </c>
      <c r="B3491" t="inlineStr">
        <is>
          <t xml:space="preserve">SUNAT - SEDE RIO SECO </t>
        </is>
      </c>
      <c r="C3491" t="inlineStr">
        <is>
          <t>20131312955</t>
        </is>
      </c>
      <c r="D3491" t="inlineStr">
        <is>
          <t xml:space="preserve">Altura del Km 8.5 de la Carretera Yura - Arequipa </t>
        </is>
      </c>
      <c r="E3491" t="inlineStr">
        <is>
          <t>Lima, 11 de Octubre del 2025</t>
        </is>
      </c>
      <c r="F3491" t="inlineStr">
        <is>
          <t>la Recarga y mantenimiento</t>
        </is>
      </c>
      <c r="G3491" t="inlineStr">
        <is>
          <t>01</t>
        </is>
      </c>
      <c r="H3491" t="inlineStr">
        <is>
          <t>05 KG</t>
        </is>
      </c>
      <c r="I3491" t="inlineStr">
        <is>
          <t>2026</t>
        </is>
      </c>
      <c r="J3491" t="inlineStr">
        <is>
          <t>N/R</t>
        </is>
      </c>
      <c r="K3491" t="inlineStr">
        <is>
          <t>OCTUBRE 2025</t>
        </is>
      </c>
      <c r="L3491" t="inlineStr">
        <is>
          <t>OCTUBRE 2026</t>
        </is>
      </c>
      <c r="M3491" t="inlineStr">
        <is>
          <t xml:space="preserve">CO2 TIPO BC </t>
        </is>
      </c>
      <c r="N3491" t="inlineStr">
        <is>
          <t>43/S/N</t>
        </is>
      </c>
      <c r="O3491" t="inlineStr">
        <is>
          <t>R</t>
        </is>
      </c>
      <c r="P3491">
        <f>TRIM(N3491)</f>
        <v/>
      </c>
    </row>
    <row r="3492">
      <c r="A3492" t="inlineStr">
        <is>
          <t>CO-002476</t>
        </is>
      </c>
      <c r="B3492" t="inlineStr">
        <is>
          <t xml:space="preserve">SUNAT - SEDE RIO SECO </t>
        </is>
      </c>
      <c r="C3492" t="inlineStr">
        <is>
          <t>20131312955</t>
        </is>
      </c>
      <c r="D3492" t="inlineStr">
        <is>
          <t xml:space="preserve">Altura del Km 8.5 de la Carretera Yura - Arequipa </t>
        </is>
      </c>
      <c r="E3492" t="inlineStr">
        <is>
          <t>Lima, 11 de Octubre del 2025</t>
        </is>
      </c>
      <c r="F3492" t="inlineStr">
        <is>
          <t>la Recarga y mantenimiento</t>
        </is>
      </c>
      <c r="G3492" t="inlineStr">
        <is>
          <t>02</t>
        </is>
      </c>
      <c r="H3492" t="inlineStr">
        <is>
          <t>10 LBS</t>
        </is>
      </c>
      <c r="I3492" t="inlineStr">
        <is>
          <t>2027</t>
        </is>
      </c>
      <c r="J3492" t="inlineStr">
        <is>
          <t>N/R</t>
        </is>
      </c>
      <c r="K3492" t="inlineStr">
        <is>
          <t>OCTUBRE 2025</t>
        </is>
      </c>
      <c r="L3492" t="inlineStr">
        <is>
          <t>OCTUBRE 2026</t>
        </is>
      </c>
      <c r="M3492" t="inlineStr">
        <is>
          <t xml:space="preserve">CO2 TIPO BC </t>
        </is>
      </c>
      <c r="N3492" t="inlineStr">
        <is>
          <t>17/S/N</t>
        </is>
      </c>
      <c r="O3492" t="inlineStr">
        <is>
          <t>R</t>
        </is>
      </c>
      <c r="P3492">
        <f>TRIM(N3492)</f>
        <v/>
      </c>
    </row>
    <row r="3493">
      <c r="A3493" t="inlineStr">
        <is>
          <t>CO-002476</t>
        </is>
      </c>
      <c r="B3493" t="inlineStr">
        <is>
          <t xml:space="preserve">SUNAT - SEDE RIO SECO </t>
        </is>
      </c>
      <c r="C3493" t="inlineStr">
        <is>
          <t>20131312955</t>
        </is>
      </c>
      <c r="D3493" t="inlineStr">
        <is>
          <t xml:space="preserve">Altura del Km 8.5 de la Carretera Yura - Arequipa </t>
        </is>
      </c>
      <c r="E3493" t="inlineStr">
        <is>
          <t>Lima, 11 de Octubre del 2025</t>
        </is>
      </c>
      <c r="F3493" t="inlineStr">
        <is>
          <t>la Recarga y mantenimiento</t>
        </is>
      </c>
      <c r="G3493" t="inlineStr">
        <is>
          <t>03</t>
        </is>
      </c>
      <c r="H3493" t="inlineStr">
        <is>
          <t>05 KG</t>
        </is>
      </c>
      <c r="I3493" t="n">
        <v>2027</v>
      </c>
      <c r="J3493" t="inlineStr">
        <is>
          <t>N/R</t>
        </is>
      </c>
      <c r="K3493" t="inlineStr">
        <is>
          <t>OCTUBRE 2025</t>
        </is>
      </c>
      <c r="L3493" t="inlineStr">
        <is>
          <t>OCTUBRE 2026</t>
        </is>
      </c>
      <c r="M3493" t="inlineStr">
        <is>
          <t xml:space="preserve">CO2 TIPO BC </t>
        </is>
      </c>
      <c r="N3493" t="inlineStr">
        <is>
          <t>29/S/N</t>
        </is>
      </c>
      <c r="O3493" t="inlineStr">
        <is>
          <t>R</t>
        </is>
      </c>
      <c r="P3493">
        <f>TRIM(N3493)</f>
        <v/>
      </c>
    </row>
    <row r="3494">
      <c r="A3494" t="inlineStr">
        <is>
          <t>CO-002476</t>
        </is>
      </c>
      <c r="B3494" t="inlineStr">
        <is>
          <t xml:space="preserve">SUNAT - SEDE RIO SECO </t>
        </is>
      </c>
      <c r="C3494" t="inlineStr">
        <is>
          <t>20131312955</t>
        </is>
      </c>
      <c r="D3494" t="inlineStr">
        <is>
          <t xml:space="preserve">Altura del Km 8.5 de la Carretera Yura - Arequipa </t>
        </is>
      </c>
      <c r="E3494" t="inlineStr">
        <is>
          <t>Lima, 11 de Octubre del 2025</t>
        </is>
      </c>
      <c r="F3494" t="inlineStr">
        <is>
          <t>la Recarga y mantenimiento</t>
        </is>
      </c>
      <c r="G3494" t="inlineStr">
        <is>
          <t>04</t>
        </is>
      </c>
      <c r="H3494" t="inlineStr">
        <is>
          <t>20 LBS</t>
        </is>
      </c>
      <c r="I3494" t="n">
        <v>2027</v>
      </c>
      <c r="J3494" t="n">
        <v>2012</v>
      </c>
      <c r="K3494" t="inlineStr">
        <is>
          <t>OCTUBRE 2025</t>
        </is>
      </c>
      <c r="L3494" t="inlineStr">
        <is>
          <t>OCTUBRE 2026</t>
        </is>
      </c>
      <c r="M3494" t="inlineStr">
        <is>
          <t xml:space="preserve">P.Q.S.  TIPO ABC  90% </t>
        </is>
      </c>
      <c r="N3494" t="inlineStr">
        <is>
          <t>45/318020</t>
        </is>
      </c>
      <c r="O3494" t="inlineStr">
        <is>
          <t>R</t>
        </is>
      </c>
      <c r="P3494">
        <f>TRIM(N3494)</f>
        <v/>
      </c>
    </row>
    <row r="3495">
      <c r="A3495" t="inlineStr">
        <is>
          <t>CO-002476</t>
        </is>
      </c>
      <c r="B3495" t="inlineStr">
        <is>
          <t xml:space="preserve">SUNAT - SEDE RIO SECO </t>
        </is>
      </c>
      <c r="C3495" t="inlineStr">
        <is>
          <t>20131312955</t>
        </is>
      </c>
      <c r="D3495" t="inlineStr">
        <is>
          <t xml:space="preserve">Altura del Km 8.5 de la Carretera Yura - Arequipa </t>
        </is>
      </c>
      <c r="E3495" t="inlineStr">
        <is>
          <t>Lima, 11 de Octubre del 2025</t>
        </is>
      </c>
      <c r="F3495" t="inlineStr">
        <is>
          <t>la Recarga y mantenimiento</t>
        </is>
      </c>
      <c r="G3495" t="inlineStr">
        <is>
          <t xml:space="preserve">05 </t>
        </is>
      </c>
      <c r="H3495" t="inlineStr">
        <is>
          <t>20 LBS</t>
        </is>
      </c>
      <c r="I3495" t="n">
        <v>2027</v>
      </c>
      <c r="J3495" t="n">
        <v>2005</v>
      </c>
      <c r="K3495" t="inlineStr">
        <is>
          <t>OCTUBRE 2025</t>
        </is>
      </c>
      <c r="L3495" t="inlineStr">
        <is>
          <t>OCTUBRE 2026</t>
        </is>
      </c>
      <c r="M3495" t="inlineStr">
        <is>
          <t xml:space="preserve">P.Q.S.  TIPO ABC  90% </t>
        </is>
      </c>
      <c r="N3495" t="inlineStr">
        <is>
          <t>34/264305</t>
        </is>
      </c>
      <c r="O3495" t="inlineStr">
        <is>
          <t>R</t>
        </is>
      </c>
      <c r="P3495">
        <f>TRIM(N3495)</f>
        <v/>
      </c>
    </row>
    <row r="3496">
      <c r="A3496" t="inlineStr">
        <is>
          <t>CO-002476</t>
        </is>
      </c>
      <c r="B3496" t="inlineStr">
        <is>
          <t xml:space="preserve">SUNAT - SEDE RIO SECO </t>
        </is>
      </c>
      <c r="C3496" t="inlineStr">
        <is>
          <t>20131312955</t>
        </is>
      </c>
      <c r="D3496" t="inlineStr">
        <is>
          <t xml:space="preserve">Altura del Km 8.5 de la Carretera Yura - Arequipa </t>
        </is>
      </c>
      <c r="E3496" t="inlineStr">
        <is>
          <t>Lima, 11 de Octubre del 2025</t>
        </is>
      </c>
      <c r="F3496" t="inlineStr">
        <is>
          <t>la Recarga y mantenimiento</t>
        </is>
      </c>
      <c r="G3496" t="inlineStr">
        <is>
          <t>06</t>
        </is>
      </c>
      <c r="H3496" t="inlineStr">
        <is>
          <t>20 LBS</t>
        </is>
      </c>
      <c r="I3496" t="n">
        <v>2027</v>
      </c>
      <c r="J3496" t="n">
        <v>2005</v>
      </c>
      <c r="K3496" t="inlineStr">
        <is>
          <t>OCTUBRE 2025</t>
        </is>
      </c>
      <c r="L3496" t="inlineStr">
        <is>
          <t>OCTUBRE 2026</t>
        </is>
      </c>
      <c r="M3496" t="inlineStr">
        <is>
          <t xml:space="preserve">P.Q.S.  TIPO ABC  90% </t>
        </is>
      </c>
      <c r="N3496" t="inlineStr">
        <is>
          <t>40/264290</t>
        </is>
      </c>
      <c r="O3496" t="inlineStr">
        <is>
          <t>R</t>
        </is>
      </c>
      <c r="P3496">
        <f>TRIM(N3496)</f>
        <v/>
      </c>
    </row>
    <row r="3497">
      <c r="A3497" t="inlineStr">
        <is>
          <t>CO-002476</t>
        </is>
      </c>
      <c r="B3497" t="inlineStr">
        <is>
          <t xml:space="preserve">SUNAT - SEDE RIO SECO </t>
        </is>
      </c>
      <c r="C3497" t="inlineStr">
        <is>
          <t>20131312955</t>
        </is>
      </c>
      <c r="D3497" t="inlineStr">
        <is>
          <t xml:space="preserve">Altura del Km 8.5 de la Carretera Yura - Arequipa </t>
        </is>
      </c>
      <c r="E3497" t="inlineStr">
        <is>
          <t>Lima, 11 de Octubre del 2025</t>
        </is>
      </c>
      <c r="F3497" t="inlineStr">
        <is>
          <t>la Recarga y mantenimiento</t>
        </is>
      </c>
      <c r="G3497" t="inlineStr">
        <is>
          <t>07</t>
        </is>
      </c>
      <c r="H3497" t="inlineStr">
        <is>
          <t>20 LBS</t>
        </is>
      </c>
      <c r="I3497" t="n">
        <v>2026</v>
      </c>
      <c r="J3497" t="n">
        <v>2002</v>
      </c>
      <c r="K3497" t="inlineStr">
        <is>
          <t>OCTUBRE 2025</t>
        </is>
      </c>
      <c r="L3497" t="inlineStr">
        <is>
          <t>OCTUBRE 2026</t>
        </is>
      </c>
      <c r="M3497" t="inlineStr">
        <is>
          <t xml:space="preserve">P.Q.S.  TIPO ABC  90% </t>
        </is>
      </c>
      <c r="N3497" t="inlineStr">
        <is>
          <t>51/938173</t>
        </is>
      </c>
      <c r="O3497" t="inlineStr">
        <is>
          <t>R</t>
        </is>
      </c>
      <c r="P3497">
        <f>TRIM(N3497)</f>
        <v/>
      </c>
    </row>
    <row r="3498">
      <c r="A3498" t="inlineStr">
        <is>
          <t>CO-002476</t>
        </is>
      </c>
      <c r="B3498" t="inlineStr">
        <is>
          <t xml:space="preserve">SUNAT - SEDE RIO SECO </t>
        </is>
      </c>
      <c r="C3498" t="inlineStr">
        <is>
          <t>20131312955</t>
        </is>
      </c>
      <c r="D3498" t="inlineStr">
        <is>
          <t xml:space="preserve">Altura del Km 8.5 de la Carretera Yura - Arequipa </t>
        </is>
      </c>
      <c r="E3498" t="inlineStr">
        <is>
          <t>Lima, 11 de Octubre del 2025</t>
        </is>
      </c>
      <c r="F3498" t="inlineStr">
        <is>
          <t>la Recarga y mantenimiento</t>
        </is>
      </c>
      <c r="G3498" t="inlineStr">
        <is>
          <t>08</t>
        </is>
      </c>
      <c r="H3498" t="inlineStr">
        <is>
          <t>20 LBS</t>
        </is>
      </c>
      <c r="I3498" t="n">
        <v>2026</v>
      </c>
      <c r="J3498" t="n">
        <v>2002</v>
      </c>
      <c r="K3498" t="inlineStr">
        <is>
          <t>OCTUBRE 2025</t>
        </is>
      </c>
      <c r="L3498" t="inlineStr">
        <is>
          <t>OCTUBRE 2026</t>
        </is>
      </c>
      <c r="M3498" t="inlineStr">
        <is>
          <t xml:space="preserve">P.Q.S.  TIPO ABC  90% </t>
        </is>
      </c>
      <c r="N3498" t="inlineStr">
        <is>
          <t>33/938188</t>
        </is>
      </c>
      <c r="O3498" t="inlineStr">
        <is>
          <t>R</t>
        </is>
      </c>
      <c r="P3498">
        <f>TRIM(N3498)</f>
        <v/>
      </c>
    </row>
    <row r="3499">
      <c r="A3499" t="inlineStr">
        <is>
          <t>CO-002476</t>
        </is>
      </c>
      <c r="B3499" t="inlineStr">
        <is>
          <t xml:space="preserve">SUNAT - SEDE RIO SECO </t>
        </is>
      </c>
      <c r="C3499" t="inlineStr">
        <is>
          <t>20131312955</t>
        </is>
      </c>
      <c r="D3499" t="inlineStr">
        <is>
          <t xml:space="preserve">Altura del Km 8.5 de la Carretera Yura - Arequipa </t>
        </is>
      </c>
      <c r="E3499" t="inlineStr">
        <is>
          <t>Lima, 11 de Octubre del 2025</t>
        </is>
      </c>
      <c r="F3499" t="inlineStr">
        <is>
          <t>la Recarga y mantenimiento</t>
        </is>
      </c>
      <c r="G3499" t="inlineStr">
        <is>
          <t>09</t>
        </is>
      </c>
      <c r="H3499" t="inlineStr">
        <is>
          <t>20 LBS</t>
        </is>
      </c>
      <c r="I3499" t="n">
        <v>2026</v>
      </c>
      <c r="J3499" t="n">
        <v>2007</v>
      </c>
      <c r="K3499" t="inlineStr">
        <is>
          <t>OCTUBRE 2025</t>
        </is>
      </c>
      <c r="L3499" t="inlineStr">
        <is>
          <t>OCTUBRE 2026</t>
        </is>
      </c>
      <c r="M3499" t="inlineStr">
        <is>
          <t xml:space="preserve">P.Q.S.  TIPO ABC  90% </t>
        </is>
      </c>
      <c r="N3499" t="inlineStr">
        <is>
          <t>50/430181</t>
        </is>
      </c>
      <c r="O3499" t="inlineStr">
        <is>
          <t>R</t>
        </is>
      </c>
      <c r="P3499">
        <f>TRIM(N3499)</f>
        <v/>
      </c>
    </row>
    <row r="3500">
      <c r="A3500" t="inlineStr">
        <is>
          <t>CO-002476</t>
        </is>
      </c>
      <c r="B3500" t="inlineStr">
        <is>
          <t xml:space="preserve">SUNAT - SEDE RIO SECO </t>
        </is>
      </c>
      <c r="C3500" t="inlineStr">
        <is>
          <t>20131312955</t>
        </is>
      </c>
      <c r="D3500" t="inlineStr">
        <is>
          <t xml:space="preserve">Altura del Km 8.5 de la Carretera Yura - Arequipa </t>
        </is>
      </c>
      <c r="E3500" t="inlineStr">
        <is>
          <t>Lima, 11 de Octubre del 2025</t>
        </is>
      </c>
      <c r="F3500" t="inlineStr">
        <is>
          <t>la Recarga y mantenimiento</t>
        </is>
      </c>
      <c r="G3500" t="n">
        <v>10</v>
      </c>
      <c r="H3500" t="inlineStr">
        <is>
          <t>20 LBS</t>
        </is>
      </c>
      <c r="I3500" t="n">
        <v>2026</v>
      </c>
      <c r="J3500" t="n">
        <v>2002</v>
      </c>
      <c r="K3500" t="inlineStr">
        <is>
          <t>OCTUBRE 2025</t>
        </is>
      </c>
      <c r="L3500" t="inlineStr">
        <is>
          <t>OCTUBRE 2026</t>
        </is>
      </c>
      <c r="M3500" t="inlineStr">
        <is>
          <t xml:space="preserve">P.Q.S.  TIPO ABC  90% </t>
        </is>
      </c>
      <c r="N3500" t="inlineStr">
        <is>
          <t>46/938200</t>
        </is>
      </c>
      <c r="O3500" t="inlineStr">
        <is>
          <t>R</t>
        </is>
      </c>
      <c r="P3500">
        <f>TRIM(N3500)</f>
        <v/>
      </c>
    </row>
    <row r="3501">
      <c r="A3501" t="inlineStr">
        <is>
          <t>CO-002476</t>
        </is>
      </c>
      <c r="B3501" t="inlineStr">
        <is>
          <t xml:space="preserve">SUNAT - SEDE RIO SECO </t>
        </is>
      </c>
      <c r="C3501" t="inlineStr">
        <is>
          <t>20131312955</t>
        </is>
      </c>
      <c r="D3501" t="inlineStr">
        <is>
          <t xml:space="preserve">Altura del Km 8.5 de la Carretera Yura - Arequipa </t>
        </is>
      </c>
      <c r="E3501" t="inlineStr">
        <is>
          <t>Lima, 11 de Octubre del 2025</t>
        </is>
      </c>
      <c r="F3501" t="inlineStr">
        <is>
          <t>la Recarga y mantenimiento</t>
        </is>
      </c>
      <c r="G3501" t="n">
        <v>11</v>
      </c>
      <c r="H3501" t="inlineStr">
        <is>
          <t>20 LBS</t>
        </is>
      </c>
      <c r="I3501" t="n">
        <v>2026</v>
      </c>
      <c r="J3501" t="n">
        <v>2002</v>
      </c>
      <c r="K3501" t="inlineStr">
        <is>
          <t>OCTUBRE 2025</t>
        </is>
      </c>
      <c r="L3501" t="inlineStr">
        <is>
          <t>OCTUBRE 2026</t>
        </is>
      </c>
      <c r="M3501" t="inlineStr">
        <is>
          <t xml:space="preserve">P.Q.S.  TIPO ABC  90% </t>
        </is>
      </c>
      <c r="N3501" t="inlineStr">
        <is>
          <t>47/000515</t>
        </is>
      </c>
      <c r="O3501" t="inlineStr">
        <is>
          <t>R</t>
        </is>
      </c>
      <c r="P3501">
        <f>TRIM(N3501)</f>
        <v/>
      </c>
    </row>
    <row r="3502">
      <c r="A3502" t="inlineStr">
        <is>
          <t>CO-002476</t>
        </is>
      </c>
      <c r="B3502" t="inlineStr">
        <is>
          <t xml:space="preserve">SUNAT - SEDE RIO SECO </t>
        </is>
      </c>
      <c r="C3502" t="inlineStr">
        <is>
          <t>20131312955</t>
        </is>
      </c>
      <c r="D3502" t="inlineStr">
        <is>
          <t xml:space="preserve">Altura del Km 8.5 de la Carretera Yura - Arequipa </t>
        </is>
      </c>
      <c r="E3502" t="inlineStr">
        <is>
          <t>Lima, 11 de Octubre del 2025</t>
        </is>
      </c>
      <c r="F3502" t="inlineStr">
        <is>
          <t>la Recarga y mantenimiento</t>
        </is>
      </c>
      <c r="G3502" t="n">
        <v>12</v>
      </c>
      <c r="H3502" t="inlineStr">
        <is>
          <t>20 LBS</t>
        </is>
      </c>
      <c r="I3502" t="n">
        <v>2026</v>
      </c>
      <c r="J3502" t="n">
        <v>2005</v>
      </c>
      <c r="K3502" t="inlineStr">
        <is>
          <t>OCTUBRE 2025</t>
        </is>
      </c>
      <c r="L3502" t="inlineStr">
        <is>
          <t>OCTUBRE 2026</t>
        </is>
      </c>
      <c r="M3502" t="inlineStr">
        <is>
          <t xml:space="preserve">P.Q.S.  TIPO ABC  90% </t>
        </is>
      </c>
      <c r="N3502" t="inlineStr">
        <is>
          <t>52/264130</t>
        </is>
      </c>
      <c r="O3502" t="inlineStr">
        <is>
          <t>R</t>
        </is>
      </c>
      <c r="P3502">
        <f>TRIM(N3502)</f>
        <v/>
      </c>
    </row>
    <row r="3503">
      <c r="A3503" t="inlineStr">
        <is>
          <t>CO-002476</t>
        </is>
      </c>
      <c r="B3503" t="inlineStr">
        <is>
          <t xml:space="preserve">SUNAT - SEDE RIO SECO </t>
        </is>
      </c>
      <c r="C3503" t="inlineStr">
        <is>
          <t>20131312955</t>
        </is>
      </c>
      <c r="D3503" t="inlineStr">
        <is>
          <t xml:space="preserve">Altura del Km 8.5 de la Carretera Yura - Arequipa </t>
        </is>
      </c>
      <c r="E3503" t="inlineStr">
        <is>
          <t>Lima, 11 de Octubre del 2025</t>
        </is>
      </c>
      <c r="F3503" t="inlineStr">
        <is>
          <t>la Recarga y mantenimiento</t>
        </is>
      </c>
      <c r="G3503" t="n">
        <v>13</v>
      </c>
      <c r="H3503" t="inlineStr">
        <is>
          <t>30 LBS</t>
        </is>
      </c>
      <c r="I3503" t="n">
        <v>2028</v>
      </c>
      <c r="J3503" t="n">
        <v>2013</v>
      </c>
      <c r="K3503" t="inlineStr">
        <is>
          <t>OCTUBRE 2025</t>
        </is>
      </c>
      <c r="L3503" t="inlineStr">
        <is>
          <t>OCTUBRE 2026</t>
        </is>
      </c>
      <c r="M3503" t="inlineStr">
        <is>
          <t xml:space="preserve">P.Q.S.  TIPO ABC  90% </t>
        </is>
      </c>
      <c r="N3503" t="inlineStr">
        <is>
          <t>14/572129</t>
        </is>
      </c>
      <c r="O3503" t="inlineStr">
        <is>
          <t>R</t>
        </is>
      </c>
      <c r="P3503">
        <f>TRIM(N3503)</f>
        <v/>
      </c>
    </row>
    <row r="3504">
      <c r="A3504" t="inlineStr">
        <is>
          <t>CO-002476</t>
        </is>
      </c>
      <c r="B3504" t="inlineStr">
        <is>
          <t xml:space="preserve">SUNAT - SEDE RIO SECO </t>
        </is>
      </c>
      <c r="C3504" t="inlineStr">
        <is>
          <t>20131312955</t>
        </is>
      </c>
      <c r="D3504" t="inlineStr">
        <is>
          <t xml:space="preserve">Altura del Km 8.5 de la Carretera Yura - Arequipa </t>
        </is>
      </c>
      <c r="E3504" t="inlineStr">
        <is>
          <t>Lima, 11 de Octubre del 2025</t>
        </is>
      </c>
      <c r="F3504" t="inlineStr">
        <is>
          <t>la Recarga y mantenimiento</t>
        </is>
      </c>
      <c r="G3504" t="n">
        <v>14</v>
      </c>
      <c r="H3504" t="inlineStr">
        <is>
          <t>30 LBS</t>
        </is>
      </c>
      <c r="I3504" t="n">
        <v>2026</v>
      </c>
      <c r="J3504" t="n">
        <v>2013</v>
      </c>
      <c r="K3504" t="inlineStr">
        <is>
          <t>OCTUBRE 2025</t>
        </is>
      </c>
      <c r="L3504" t="inlineStr">
        <is>
          <t>OCTUBRE 2026</t>
        </is>
      </c>
      <c r="M3504" t="inlineStr">
        <is>
          <t xml:space="preserve">P.Q.S.  TIPO ABC  90% </t>
        </is>
      </c>
      <c r="N3504" t="inlineStr">
        <is>
          <t>38/572469</t>
        </is>
      </c>
      <c r="O3504" t="inlineStr">
        <is>
          <t>R</t>
        </is>
      </c>
      <c r="P3504">
        <f>TRIM(N3504)</f>
        <v/>
      </c>
    </row>
    <row r="3505">
      <c r="A3505" t="inlineStr">
        <is>
          <t>CO-002476</t>
        </is>
      </c>
      <c r="B3505" t="inlineStr">
        <is>
          <t xml:space="preserve">SUNAT - SEDE RIO SECO </t>
        </is>
      </c>
      <c r="C3505" t="inlineStr">
        <is>
          <t>20131312955</t>
        </is>
      </c>
      <c r="D3505" t="inlineStr">
        <is>
          <t xml:space="preserve">Altura del Km 8.5 de la Carretera Yura - Arequipa </t>
        </is>
      </c>
      <c r="E3505" t="inlineStr">
        <is>
          <t>Lima, 11 de Octubre del 2025</t>
        </is>
      </c>
      <c r="F3505" t="inlineStr">
        <is>
          <t>la Recarga y mantenimiento</t>
        </is>
      </c>
      <c r="G3505" t="n">
        <v>15</v>
      </c>
      <c r="H3505" t="inlineStr">
        <is>
          <t>30 LBS</t>
        </is>
      </c>
      <c r="I3505" t="n">
        <v>2026</v>
      </c>
      <c r="J3505" t="n">
        <v>2013</v>
      </c>
      <c r="K3505" t="inlineStr">
        <is>
          <t>OCTUBRE 2025</t>
        </is>
      </c>
      <c r="L3505" t="inlineStr">
        <is>
          <t>OCTUBRE 2026</t>
        </is>
      </c>
      <c r="M3505" t="inlineStr">
        <is>
          <t xml:space="preserve">P.Q.S.  TIPO ABC  90% </t>
        </is>
      </c>
      <c r="N3505" t="inlineStr">
        <is>
          <t>53/574134</t>
        </is>
      </c>
      <c r="O3505" t="inlineStr">
        <is>
          <t>R</t>
        </is>
      </c>
      <c r="P3505">
        <f>TRIM(N3505)</f>
        <v/>
      </c>
    </row>
    <row r="3506">
      <c r="A3506" t="inlineStr">
        <is>
          <t>CO-002477</t>
        </is>
      </c>
      <c r="B3506" t="inlineStr">
        <is>
          <t xml:space="preserve">SUNAT - SEDE RIO SECO </t>
        </is>
      </c>
      <c r="C3506" t="inlineStr">
        <is>
          <t>20131312955</t>
        </is>
      </c>
      <c r="D3506" t="inlineStr">
        <is>
          <t xml:space="preserve">Altura del Km 8.5 de la Carretera Yura - Arequipa </t>
        </is>
      </c>
      <c r="E3506" t="inlineStr">
        <is>
          <t>Lima, 11 de Octubre del 2025</t>
        </is>
      </c>
      <c r="F3506" t="inlineStr">
        <is>
          <t>la Recarga y mantenimiento</t>
        </is>
      </c>
      <c r="G3506" t="inlineStr">
        <is>
          <t>01</t>
        </is>
      </c>
      <c r="H3506" t="inlineStr">
        <is>
          <t>30 LBS</t>
        </is>
      </c>
      <c r="I3506" t="inlineStr">
        <is>
          <t>2029</t>
        </is>
      </c>
      <c r="J3506" t="n">
        <v>2023</v>
      </c>
      <c r="K3506" t="inlineStr">
        <is>
          <t>OCTUBRE 2025</t>
        </is>
      </c>
      <c r="L3506" t="inlineStr">
        <is>
          <t>OCTUBRE 2026</t>
        </is>
      </c>
      <c r="M3506" t="inlineStr">
        <is>
          <t xml:space="preserve">P.Q.S.  TIPO ABC  90% </t>
        </is>
      </c>
      <c r="N3506" t="inlineStr">
        <is>
          <t>28/574157</t>
        </is>
      </c>
      <c r="O3506" t="inlineStr">
        <is>
          <t>R</t>
        </is>
      </c>
      <c r="P3506">
        <f>TRIM(N3506)</f>
        <v/>
      </c>
    </row>
    <row r="3507">
      <c r="A3507" t="inlineStr">
        <is>
          <t>CO-002477</t>
        </is>
      </c>
      <c r="B3507" t="inlineStr">
        <is>
          <t xml:space="preserve">SUNAT - SEDE RIO SECO </t>
        </is>
      </c>
      <c r="C3507" t="inlineStr">
        <is>
          <t>20131312955</t>
        </is>
      </c>
      <c r="D3507" t="inlineStr">
        <is>
          <t xml:space="preserve">Altura del Km 8.5 de la Carretera Yura - Arequipa </t>
        </is>
      </c>
      <c r="E3507" t="inlineStr">
        <is>
          <t>Lima, 11 de Octubre del 2025</t>
        </is>
      </c>
      <c r="F3507" t="inlineStr">
        <is>
          <t>la Recarga y mantenimiento</t>
        </is>
      </c>
      <c r="G3507" t="inlineStr">
        <is>
          <t>02</t>
        </is>
      </c>
      <c r="H3507" t="inlineStr">
        <is>
          <t>30 LBS</t>
        </is>
      </c>
      <c r="I3507" t="inlineStr">
        <is>
          <t>2027</t>
        </is>
      </c>
      <c r="J3507" t="n">
        <v>2013</v>
      </c>
      <c r="K3507" t="inlineStr">
        <is>
          <t>OCTUBRE 2025</t>
        </is>
      </c>
      <c r="L3507" t="inlineStr">
        <is>
          <t>OCTUBRE 2026</t>
        </is>
      </c>
      <c r="M3507" t="inlineStr">
        <is>
          <t xml:space="preserve">P.Q.S.  TIPO ABC  90% </t>
        </is>
      </c>
      <c r="N3507" t="inlineStr">
        <is>
          <t>48/574144</t>
        </is>
      </c>
      <c r="O3507" t="inlineStr">
        <is>
          <t>R</t>
        </is>
      </c>
      <c r="P3507">
        <f>TRIM(N3507)</f>
        <v/>
      </c>
    </row>
    <row r="3508">
      <c r="A3508" t="inlineStr">
        <is>
          <t>CO-002477</t>
        </is>
      </c>
      <c r="B3508" t="inlineStr">
        <is>
          <t xml:space="preserve">SUNAT - SEDE RIO SECO </t>
        </is>
      </c>
      <c r="C3508" t="inlineStr">
        <is>
          <t>20131312955</t>
        </is>
      </c>
      <c r="D3508" t="inlineStr">
        <is>
          <t xml:space="preserve">Altura del Km 8.5 de la Carretera Yura - Arequipa </t>
        </is>
      </c>
      <c r="E3508" t="inlineStr">
        <is>
          <t>Lima, 11 de Octubre del 2025</t>
        </is>
      </c>
      <c r="F3508" t="inlineStr">
        <is>
          <t>la Recarga y mantenimiento</t>
        </is>
      </c>
      <c r="G3508" t="inlineStr">
        <is>
          <t>03</t>
        </is>
      </c>
      <c r="H3508" t="inlineStr">
        <is>
          <t>30 LBS</t>
        </is>
      </c>
      <c r="I3508" t="n">
        <v>2027</v>
      </c>
      <c r="J3508" t="n">
        <v>2013</v>
      </c>
      <c r="K3508" t="inlineStr">
        <is>
          <t>OCTUBRE 2025</t>
        </is>
      </c>
      <c r="L3508" t="inlineStr">
        <is>
          <t>OCTUBRE 2026</t>
        </is>
      </c>
      <c r="M3508" t="inlineStr">
        <is>
          <t xml:space="preserve">P.Q.S.  TIPO ABC  90% </t>
        </is>
      </c>
      <c r="N3508" t="inlineStr">
        <is>
          <t>41/574199</t>
        </is>
      </c>
      <c r="O3508" t="inlineStr">
        <is>
          <t>R</t>
        </is>
      </c>
      <c r="P3508">
        <f>TRIM(N3508)</f>
        <v/>
      </c>
    </row>
    <row r="3509">
      <c r="A3509" t="inlineStr">
        <is>
          <t>CO-002477</t>
        </is>
      </c>
      <c r="B3509" t="inlineStr">
        <is>
          <t xml:space="preserve">SUNAT - SEDE RIO SECO </t>
        </is>
      </c>
      <c r="C3509" t="inlineStr">
        <is>
          <t>20131312955</t>
        </is>
      </c>
      <c r="D3509" t="inlineStr">
        <is>
          <t xml:space="preserve">Altura del Km 8.5 de la Carretera Yura - Arequipa </t>
        </is>
      </c>
      <c r="E3509" t="inlineStr">
        <is>
          <t>Lima, 11 de Octubre del 2025</t>
        </is>
      </c>
      <c r="F3509" t="inlineStr">
        <is>
          <t>la Recarga y mantenimiento</t>
        </is>
      </c>
      <c r="G3509" t="inlineStr">
        <is>
          <t>04</t>
        </is>
      </c>
      <c r="H3509" t="inlineStr">
        <is>
          <t>30 LBS</t>
        </is>
      </c>
      <c r="I3509" t="n">
        <v>2029</v>
      </c>
      <c r="J3509" t="n">
        <v>2013</v>
      </c>
      <c r="K3509" t="inlineStr">
        <is>
          <t>OCTUBRE 2025</t>
        </is>
      </c>
      <c r="L3509" t="inlineStr">
        <is>
          <t>OCTUBRE 2026</t>
        </is>
      </c>
      <c r="M3509" t="inlineStr">
        <is>
          <t xml:space="preserve">P.Q.S.  TIPO ABC  90% </t>
        </is>
      </c>
      <c r="N3509" t="inlineStr">
        <is>
          <t>35/574454</t>
        </is>
      </c>
      <c r="O3509" t="inlineStr">
        <is>
          <t>R</t>
        </is>
      </c>
      <c r="P3509">
        <f>TRIM(N3509)</f>
        <v/>
      </c>
    </row>
    <row r="3510">
      <c r="A3510" t="inlineStr">
        <is>
          <t>CO-002477</t>
        </is>
      </c>
      <c r="B3510" t="inlineStr">
        <is>
          <t xml:space="preserve">SUNAT - SEDE RIO SECO </t>
        </is>
      </c>
      <c r="C3510" t="inlineStr">
        <is>
          <t>20131312955</t>
        </is>
      </c>
      <c r="D3510" t="inlineStr">
        <is>
          <t xml:space="preserve">Altura del Km 8.5 de la Carretera Yura - Arequipa </t>
        </is>
      </c>
      <c r="E3510" t="inlineStr">
        <is>
          <t>Lima, 11 de Octubre del 2025</t>
        </is>
      </c>
      <c r="F3510" t="inlineStr">
        <is>
          <t>la Recarga y mantenimiento</t>
        </is>
      </c>
      <c r="G3510" t="inlineStr">
        <is>
          <t>05</t>
        </is>
      </c>
      <c r="H3510" t="inlineStr">
        <is>
          <t>2.5 GLS</t>
        </is>
      </c>
      <c r="I3510" t="n">
        <v>2026</v>
      </c>
      <c r="J3510" t="n">
        <v>2005</v>
      </c>
      <c r="K3510" t="inlineStr">
        <is>
          <t>OCTUBRE 2025</t>
        </is>
      </c>
      <c r="L3510" t="inlineStr">
        <is>
          <t>OCTUBRE 2026</t>
        </is>
      </c>
      <c r="M3510" t="inlineStr">
        <is>
          <t>H2O PRESURIZADA</t>
        </is>
      </c>
      <c r="N3510" t="inlineStr">
        <is>
          <t>31/719121</t>
        </is>
      </c>
      <c r="O3510" t="inlineStr">
        <is>
          <t>R</t>
        </is>
      </c>
      <c r="P3510">
        <f>TRIM(N3510)</f>
        <v/>
      </c>
    </row>
    <row r="3511">
      <c r="A3511" t="inlineStr">
        <is>
          <t>CO-002477</t>
        </is>
      </c>
      <c r="B3511" t="inlineStr">
        <is>
          <t xml:space="preserve">SUNAT - SEDE RIO SECO </t>
        </is>
      </c>
      <c r="C3511" t="inlineStr">
        <is>
          <t>20131312955</t>
        </is>
      </c>
      <c r="D3511" t="inlineStr">
        <is>
          <t xml:space="preserve">Altura del Km 8.5 de la Carretera Yura - Arequipa </t>
        </is>
      </c>
      <c r="E3511" t="inlineStr">
        <is>
          <t>Lima, 11 de Octubre del 2025</t>
        </is>
      </c>
      <c r="F3511" t="inlineStr">
        <is>
          <t>la Recarga y mantenimiento</t>
        </is>
      </c>
      <c r="G3511" t="inlineStr">
        <is>
          <t>06</t>
        </is>
      </c>
      <c r="H3511" t="inlineStr">
        <is>
          <t>2.5 GLS</t>
        </is>
      </c>
      <c r="I3511" t="n">
        <v>2026</v>
      </c>
      <c r="J3511" t="n">
        <v>2005</v>
      </c>
      <c r="K3511" t="inlineStr">
        <is>
          <t>OCTUBRE 2025</t>
        </is>
      </c>
      <c r="L3511" t="inlineStr">
        <is>
          <t>OCTUBRE 2026</t>
        </is>
      </c>
      <c r="M3511" t="inlineStr">
        <is>
          <t>ESPUMA AFFF</t>
        </is>
      </c>
      <c r="N3511" t="inlineStr">
        <is>
          <t>21/795631</t>
        </is>
      </c>
      <c r="O3511" t="inlineStr">
        <is>
          <t>R</t>
        </is>
      </c>
      <c r="P3511">
        <f>TRIM(N3511)</f>
        <v/>
      </c>
    </row>
    <row r="3512">
      <c r="A3512" t="inlineStr">
        <is>
          <t>CO-002477</t>
        </is>
      </c>
      <c r="B3512" t="inlineStr">
        <is>
          <t xml:space="preserve">SUNAT - SEDE RIO SECO </t>
        </is>
      </c>
      <c r="C3512" t="inlineStr">
        <is>
          <t>20131312955</t>
        </is>
      </c>
      <c r="D3512" t="inlineStr">
        <is>
          <t xml:space="preserve">Altura del Km 8.5 de la Carretera Yura - Arequipa </t>
        </is>
      </c>
      <c r="E3512" t="inlineStr">
        <is>
          <t>Lima, 11 de Octubre del 2025</t>
        </is>
      </c>
      <c r="F3512" t="inlineStr">
        <is>
          <t>la Recarga y mantenimiento</t>
        </is>
      </c>
      <c r="G3512" t="inlineStr">
        <is>
          <t>07</t>
        </is>
      </c>
      <c r="H3512" t="inlineStr">
        <is>
          <t>2.5 GLS</t>
        </is>
      </c>
      <c r="I3512" t="n">
        <v>2027</v>
      </c>
      <c r="J3512" t="n">
        <v>2005</v>
      </c>
      <c r="K3512" t="inlineStr">
        <is>
          <t>OCTUBRE 2025</t>
        </is>
      </c>
      <c r="L3512" t="inlineStr">
        <is>
          <t>OCTUBRE 2026</t>
        </is>
      </c>
      <c r="M3512" t="inlineStr">
        <is>
          <t>ESPUMA AFFF</t>
        </is>
      </c>
      <c r="N3512" t="inlineStr">
        <is>
          <t>23/795674</t>
        </is>
      </c>
      <c r="O3512" t="inlineStr">
        <is>
          <t>R</t>
        </is>
      </c>
      <c r="P3512">
        <f>TRIM(N3512)</f>
        <v/>
      </c>
    </row>
    <row r="3513">
      <c r="A3513" t="inlineStr">
        <is>
          <t>CO-002477</t>
        </is>
      </c>
      <c r="B3513" t="inlineStr">
        <is>
          <t xml:space="preserve">SUNAT - SEDE RIO SECO </t>
        </is>
      </c>
      <c r="C3513" t="inlineStr">
        <is>
          <t>20131312955</t>
        </is>
      </c>
      <c r="D3513" t="inlineStr">
        <is>
          <t xml:space="preserve">Altura del Km 8.5 de la Carretera Yura - Arequipa </t>
        </is>
      </c>
      <c r="E3513" t="inlineStr">
        <is>
          <t>Lima, 11 de Octubre del 2025</t>
        </is>
      </c>
      <c r="F3513" t="inlineStr">
        <is>
          <t>la Recarga y mantenimiento</t>
        </is>
      </c>
      <c r="G3513" t="inlineStr">
        <is>
          <t xml:space="preserve">08 </t>
        </is>
      </c>
      <c r="H3513" t="inlineStr">
        <is>
          <t>2.5 GLS</t>
        </is>
      </c>
      <c r="I3513" t="n">
        <v>2026</v>
      </c>
      <c r="J3513" t="n">
        <v>2005</v>
      </c>
      <c r="K3513" t="inlineStr">
        <is>
          <t>OCTUBRE 2025</t>
        </is>
      </c>
      <c r="L3513" t="inlineStr">
        <is>
          <t>OCTUBRE 2026</t>
        </is>
      </c>
      <c r="M3513" t="inlineStr">
        <is>
          <t>H2O PRESURIZADA</t>
        </is>
      </c>
      <c r="N3513" t="inlineStr">
        <is>
          <t>42/718349</t>
        </is>
      </c>
      <c r="O3513" t="inlineStr">
        <is>
          <t>R</t>
        </is>
      </c>
      <c r="P3513">
        <f>TRIM(N3513)</f>
        <v/>
      </c>
    </row>
    <row r="3514">
      <c r="A3514" t="inlineStr">
        <is>
          <t>CO-002477</t>
        </is>
      </c>
      <c r="B3514" t="inlineStr">
        <is>
          <t xml:space="preserve">SUNAT - SEDE RIO SECO </t>
        </is>
      </c>
      <c r="C3514" t="inlineStr">
        <is>
          <t>20131312955</t>
        </is>
      </c>
      <c r="D3514" t="inlineStr">
        <is>
          <t xml:space="preserve">Altura del Km 8.5 de la Carretera Yura - Arequipa </t>
        </is>
      </c>
      <c r="E3514" t="inlineStr">
        <is>
          <t>Lima, 11 de Octubre del 2025</t>
        </is>
      </c>
      <c r="F3514" t="inlineStr">
        <is>
          <t>la Recarga y mantenimiento</t>
        </is>
      </c>
      <c r="G3514" t="inlineStr">
        <is>
          <t>09</t>
        </is>
      </c>
      <c r="H3514" t="inlineStr">
        <is>
          <t>2.5 GLS</t>
        </is>
      </c>
      <c r="I3514" t="n">
        <v>2026</v>
      </c>
      <c r="J3514" t="n">
        <v>2003</v>
      </c>
      <c r="K3514" t="inlineStr">
        <is>
          <t>OCTUBRE 2025</t>
        </is>
      </c>
      <c r="L3514" t="inlineStr">
        <is>
          <t>OCTUBRE 2026</t>
        </is>
      </c>
      <c r="M3514" t="inlineStr">
        <is>
          <t>H2O PRESURIZADA</t>
        </is>
      </c>
      <c r="N3514" t="inlineStr">
        <is>
          <t>30/316245</t>
        </is>
      </c>
      <c r="O3514" t="inlineStr">
        <is>
          <t>R</t>
        </is>
      </c>
      <c r="P3514">
        <f>TRIM(N3514)</f>
        <v/>
      </c>
    </row>
    <row r="3515">
      <c r="A3515" t="inlineStr">
        <is>
          <t>CO-002477</t>
        </is>
      </c>
      <c r="B3515" t="inlineStr">
        <is>
          <t xml:space="preserve">SUNAT - SEDE RIO SECO </t>
        </is>
      </c>
      <c r="C3515" t="inlineStr">
        <is>
          <t>20131312955</t>
        </is>
      </c>
      <c r="D3515" t="inlineStr">
        <is>
          <t xml:space="preserve">Altura del Km 8.5 de la Carretera Yura - Arequipa </t>
        </is>
      </c>
      <c r="E3515" t="inlineStr">
        <is>
          <t>Lima, 11 de Octubre del 2025</t>
        </is>
      </c>
      <c r="F3515" t="inlineStr">
        <is>
          <t>la Recarga y mantenimiento</t>
        </is>
      </c>
      <c r="G3515" t="n">
        <v>10</v>
      </c>
      <c r="H3515" t="inlineStr">
        <is>
          <t>2.5 GLS</t>
        </is>
      </c>
      <c r="I3515" t="n">
        <v>2026</v>
      </c>
      <c r="J3515" t="n">
        <v>2003</v>
      </c>
      <c r="K3515" t="inlineStr">
        <is>
          <t>OCTUBRE 2025</t>
        </is>
      </c>
      <c r="L3515" t="inlineStr">
        <is>
          <t>OCTUBRE 2026</t>
        </is>
      </c>
      <c r="M3515" t="inlineStr">
        <is>
          <t>H2O PRESURIZADA</t>
        </is>
      </c>
      <c r="N3515" t="inlineStr">
        <is>
          <t>49/316320</t>
        </is>
      </c>
      <c r="O3515" t="inlineStr">
        <is>
          <t>R</t>
        </is>
      </c>
      <c r="P3515">
        <f>TRIM(N3515)</f>
        <v/>
      </c>
    </row>
    <row r="3516">
      <c r="A3516" t="inlineStr">
        <is>
          <t>CO-002477</t>
        </is>
      </c>
      <c r="B3516" t="inlineStr">
        <is>
          <t xml:space="preserve">SUNAT - SEDE RIO SECO </t>
        </is>
      </c>
      <c r="C3516" t="inlineStr">
        <is>
          <t>20131312955</t>
        </is>
      </c>
      <c r="D3516" t="inlineStr">
        <is>
          <t xml:space="preserve">Altura del Km 8.5 de la Carretera Yura - Arequipa </t>
        </is>
      </c>
      <c r="E3516" t="inlineStr">
        <is>
          <t>Lima, 11 de Octubre del 2025</t>
        </is>
      </c>
      <c r="F3516" t="inlineStr">
        <is>
          <t>la Recarga y mantenimiento</t>
        </is>
      </c>
      <c r="G3516" t="n">
        <v>11</v>
      </c>
      <c r="H3516" t="inlineStr">
        <is>
          <t>2.5 GLS</t>
        </is>
      </c>
      <c r="I3516" t="n">
        <v>2026</v>
      </c>
      <c r="J3516" t="n">
        <v>2005</v>
      </c>
      <c r="K3516" t="inlineStr">
        <is>
          <t>OCTUBRE 2025</t>
        </is>
      </c>
      <c r="L3516" t="inlineStr">
        <is>
          <t>OCTUBRE 2026</t>
        </is>
      </c>
      <c r="M3516" t="inlineStr">
        <is>
          <t>ESPUMA AFFF</t>
        </is>
      </c>
      <c r="N3516" t="inlineStr">
        <is>
          <t>22/079568</t>
        </is>
      </c>
      <c r="O3516" t="inlineStr">
        <is>
          <t>R</t>
        </is>
      </c>
      <c r="P3516">
        <f>TRIM(N3516)</f>
        <v/>
      </c>
    </row>
    <row r="3517">
      <c r="A3517" t="inlineStr">
        <is>
          <t>CO-002477</t>
        </is>
      </c>
      <c r="B3517" t="inlineStr">
        <is>
          <t xml:space="preserve">SUNAT - SEDE RIO SECO </t>
        </is>
      </c>
      <c r="C3517" t="inlineStr">
        <is>
          <t>20131312955</t>
        </is>
      </c>
      <c r="D3517" t="inlineStr">
        <is>
          <t xml:space="preserve">Altura del Km 8.5 de la Carretera Yura - Arequipa </t>
        </is>
      </c>
      <c r="E3517" t="inlineStr">
        <is>
          <t>Lima, 11 de Octubre del 2025</t>
        </is>
      </c>
      <c r="F3517" t="inlineStr">
        <is>
          <t>la Recarga y mantenimiento</t>
        </is>
      </c>
      <c r="G3517" t="n">
        <v>12</v>
      </c>
      <c r="H3517" t="inlineStr">
        <is>
          <t>100 KG</t>
        </is>
      </c>
      <c r="I3517" t="n">
        <v>2027</v>
      </c>
      <c r="J3517" t="n">
        <v>2003</v>
      </c>
      <c r="K3517" t="inlineStr">
        <is>
          <t>OCTUBRE 2025</t>
        </is>
      </c>
      <c r="L3517" t="inlineStr">
        <is>
          <t>OCTUBRE 2026</t>
        </is>
      </c>
      <c r="M3517" t="inlineStr">
        <is>
          <t xml:space="preserve">P.Q.S.  TIPO ABC  90% </t>
        </is>
      </c>
      <c r="N3517" t="inlineStr">
        <is>
          <t>32/S/N</t>
        </is>
      </c>
      <c r="O3517" t="inlineStr">
        <is>
          <t>R</t>
        </is>
      </c>
      <c r="P3517">
        <f>TRIM(N3517)</f>
        <v/>
      </c>
    </row>
    <row r="3518">
      <c r="A3518" t="inlineStr">
        <is>
          <t>CO-002477</t>
        </is>
      </c>
      <c r="B3518" t="inlineStr">
        <is>
          <t xml:space="preserve">SUNAT - SEDE RIO SECO </t>
        </is>
      </c>
      <c r="C3518" t="inlineStr">
        <is>
          <t>20131312955</t>
        </is>
      </c>
      <c r="D3518" t="inlineStr">
        <is>
          <t xml:space="preserve">Altura del Km 8.5 de la Carretera Yura - Arequipa </t>
        </is>
      </c>
      <c r="E3518" t="inlineStr">
        <is>
          <t>Lima, 11 de Octubre del 2025</t>
        </is>
      </c>
      <c r="F3518" t="inlineStr">
        <is>
          <t>la Recarga y mantenimiento</t>
        </is>
      </c>
      <c r="G3518" t="n">
        <v>13</v>
      </c>
      <c r="H3518" t="inlineStr">
        <is>
          <t>125 LBS</t>
        </is>
      </c>
      <c r="I3518" t="n">
        <v>2027</v>
      </c>
      <c r="J3518" t="n">
        <v>2012</v>
      </c>
      <c r="K3518" t="inlineStr">
        <is>
          <t>OCTUBRE 2025</t>
        </is>
      </c>
      <c r="L3518" t="inlineStr">
        <is>
          <t>OCTUBRE 2026</t>
        </is>
      </c>
      <c r="M3518" t="inlineStr">
        <is>
          <t xml:space="preserve">P.Q.S.  TIPO ABC  90% </t>
        </is>
      </c>
      <c r="N3518" t="inlineStr">
        <is>
          <t>36/086025</t>
        </is>
      </c>
      <c r="O3518" t="inlineStr">
        <is>
          <t>R</t>
        </is>
      </c>
      <c r="P3518">
        <f>TRIM(N3518)</f>
        <v/>
      </c>
    </row>
    <row r="3519">
      <c r="A3519" t="inlineStr">
        <is>
          <t>CO-002477</t>
        </is>
      </c>
      <c r="B3519" t="inlineStr">
        <is>
          <t xml:space="preserve">SUNAT - SEDE RIO SECO </t>
        </is>
      </c>
      <c r="C3519" t="inlineStr">
        <is>
          <t>20131312955</t>
        </is>
      </c>
      <c r="D3519" t="inlineStr">
        <is>
          <t xml:space="preserve">Altura del Km 8.5 de la Carretera Yura - Arequipa </t>
        </is>
      </c>
      <c r="E3519" t="inlineStr">
        <is>
          <t>Lima, 11 de Octubre del 2025</t>
        </is>
      </c>
      <c r="F3519" t="inlineStr">
        <is>
          <t>la Recarga y mantenimiento</t>
        </is>
      </c>
      <c r="G3519" t="n">
        <v>14</v>
      </c>
      <c r="H3519" t="inlineStr">
        <is>
          <t>100KG</t>
        </is>
      </c>
      <c r="I3519" t="n">
        <v>2027</v>
      </c>
      <c r="J3519" t="n">
        <v>2003</v>
      </c>
      <c r="K3519" t="inlineStr">
        <is>
          <t>OCTUBRE 2025</t>
        </is>
      </c>
      <c r="L3519" t="inlineStr">
        <is>
          <t>OCTUBRE 2026</t>
        </is>
      </c>
      <c r="M3519" t="inlineStr">
        <is>
          <t xml:space="preserve">P.Q.S.  TIPO ABC  90% </t>
        </is>
      </c>
      <c r="N3519" t="inlineStr">
        <is>
          <t>44/S/N</t>
        </is>
      </c>
      <c r="O3519" t="inlineStr">
        <is>
          <t>R</t>
        </is>
      </c>
      <c r="P3519">
        <f>TRIM(N3519)</f>
        <v/>
      </c>
    </row>
    <row r="3520">
      <c r="A3520" t="inlineStr">
        <is>
          <t>CO-002478</t>
        </is>
      </c>
      <c r="B3520" t="inlineStr">
        <is>
          <t>PACIFICO COMPAÑÍA DE SEGURO Y REASEGUROS</t>
        </is>
      </c>
      <c r="C3520" t="inlineStr">
        <is>
          <t>20332970411</t>
        </is>
      </c>
      <c r="D3520" t="inlineStr">
        <is>
          <t>FRANCISCO BOLOGNESI 301, YANAHUARA - AREQUIPA</t>
        </is>
      </c>
      <c r="E3520" t="inlineStr">
        <is>
          <t>Lima, 13 de Octubre del 2025</t>
        </is>
      </c>
      <c r="F3520" t="inlineStr">
        <is>
          <t>la Recarga y mantenimiento</t>
        </is>
      </c>
      <c r="G3520" t="inlineStr">
        <is>
          <t>01</t>
        </is>
      </c>
      <c r="H3520" t="inlineStr">
        <is>
          <t>06 KG</t>
        </is>
      </c>
      <c r="I3520" t="inlineStr">
        <is>
          <t>2030</t>
        </is>
      </c>
      <c r="J3520" t="n">
        <v>2018</v>
      </c>
      <c r="K3520" t="inlineStr">
        <is>
          <t>OCTUBRE 2025</t>
        </is>
      </c>
      <c r="L3520" t="inlineStr">
        <is>
          <t>OCTUBRE 2026</t>
        </is>
      </c>
      <c r="M3520" t="inlineStr">
        <is>
          <t xml:space="preserve">P.Q.S.  TIPO ABC  </t>
        </is>
      </c>
      <c r="N3520" t="inlineStr">
        <is>
          <t>01/004894</t>
        </is>
      </c>
      <c r="O3520" t="inlineStr">
        <is>
          <t>R</t>
        </is>
      </c>
      <c r="P3520">
        <f>TRIM(N3520)</f>
        <v/>
      </c>
    </row>
    <row r="3521">
      <c r="A3521" t="inlineStr">
        <is>
          <t>CO-002478</t>
        </is>
      </c>
      <c r="B3521" t="inlineStr">
        <is>
          <t>PACIFICO COMPAÑÍA DE SEGURO Y REASEGUROS</t>
        </is>
      </c>
      <c r="C3521" t="inlineStr">
        <is>
          <t>20332970411</t>
        </is>
      </c>
      <c r="D3521" t="inlineStr">
        <is>
          <t>FRANCISCO BOLOGNESI 301, YANAHUARA - AREQUIPA</t>
        </is>
      </c>
      <c r="E3521" t="inlineStr">
        <is>
          <t>Lima, 13 de Octubre del 2025</t>
        </is>
      </c>
      <c r="F3521" t="inlineStr">
        <is>
          <t>la Recarga y mantenimiento</t>
        </is>
      </c>
      <c r="G3521" t="inlineStr">
        <is>
          <t>02</t>
        </is>
      </c>
      <c r="H3521" t="inlineStr">
        <is>
          <t>06 KG</t>
        </is>
      </c>
      <c r="I3521" t="inlineStr">
        <is>
          <t>2030</t>
        </is>
      </c>
      <c r="J3521" t="n">
        <v>2013</v>
      </c>
      <c r="K3521" t="inlineStr">
        <is>
          <t>OCTUBRE 2025</t>
        </is>
      </c>
      <c r="L3521" t="inlineStr">
        <is>
          <t>OCTUBRE 2026</t>
        </is>
      </c>
      <c r="M3521" t="inlineStr">
        <is>
          <t xml:space="preserve">P.Q.S.  TIPO ABC  </t>
        </is>
      </c>
      <c r="N3521" t="inlineStr">
        <is>
          <t>02/000047</t>
        </is>
      </c>
      <c r="O3521" t="inlineStr">
        <is>
          <t>R</t>
        </is>
      </c>
      <c r="P3521">
        <f>TRIM(N3521)</f>
        <v/>
      </c>
    </row>
    <row r="3522">
      <c r="A3522" t="inlineStr">
        <is>
          <t>CO-002478</t>
        </is>
      </c>
      <c r="B3522" t="inlineStr">
        <is>
          <t>PACIFICO COMPAÑÍA DE SEGURO Y REASEGUROS</t>
        </is>
      </c>
      <c r="C3522" t="inlineStr">
        <is>
          <t>20332970411</t>
        </is>
      </c>
      <c r="D3522" t="inlineStr">
        <is>
          <t>FRANCISCO BOLOGNESI 301, YANAHUARA - AREQUIPA</t>
        </is>
      </c>
      <c r="E3522" t="inlineStr">
        <is>
          <t>Lima, 13 de Octubre del 2025</t>
        </is>
      </c>
      <c r="F3522" t="inlineStr">
        <is>
          <t>la Recarga y mantenimiento</t>
        </is>
      </c>
      <c r="G3522" t="inlineStr">
        <is>
          <t>03</t>
        </is>
      </c>
      <c r="H3522" t="inlineStr">
        <is>
          <t>06 KG</t>
        </is>
      </c>
      <c r="I3522" t="inlineStr">
        <is>
          <t>2030</t>
        </is>
      </c>
      <c r="J3522" t="n">
        <v>2011</v>
      </c>
      <c r="K3522" t="inlineStr">
        <is>
          <t>OCTUBRE 2025</t>
        </is>
      </c>
      <c r="L3522" t="inlineStr">
        <is>
          <t>OCTUBRE 2026</t>
        </is>
      </c>
      <c r="M3522" t="inlineStr">
        <is>
          <t xml:space="preserve">P.Q.S.  TIPO ABC  </t>
        </is>
      </c>
      <c r="N3522" t="inlineStr">
        <is>
          <t>03/003363</t>
        </is>
      </c>
      <c r="O3522" t="inlineStr">
        <is>
          <t>R</t>
        </is>
      </c>
      <c r="P3522">
        <f>TRIM(N3522)</f>
        <v/>
      </c>
    </row>
    <row r="3523">
      <c r="A3523" t="inlineStr">
        <is>
          <t>CO-002478</t>
        </is>
      </c>
      <c r="B3523" t="inlineStr">
        <is>
          <t>PACIFICO COMPAÑÍA DE SEGURO Y REASEGUROS</t>
        </is>
      </c>
      <c r="C3523" t="inlineStr">
        <is>
          <t>20332970411</t>
        </is>
      </c>
      <c r="D3523" t="inlineStr">
        <is>
          <t>FRANCISCO BOLOGNESI 301, YANAHUARA - AREQUIPA</t>
        </is>
      </c>
      <c r="E3523" t="inlineStr">
        <is>
          <t>Lima, 13 de Octubre del 2025</t>
        </is>
      </c>
      <c r="F3523" t="inlineStr">
        <is>
          <t>la Recarga y mantenimiento</t>
        </is>
      </c>
      <c r="G3523" t="inlineStr">
        <is>
          <t>04</t>
        </is>
      </c>
      <c r="H3523" t="inlineStr">
        <is>
          <t>06 KG</t>
        </is>
      </c>
      <c r="I3523" t="inlineStr">
        <is>
          <t>2030</t>
        </is>
      </c>
      <c r="J3523" t="n">
        <v>2012</v>
      </c>
      <c r="K3523" t="inlineStr">
        <is>
          <t>OCTUBRE 2025</t>
        </is>
      </c>
      <c r="L3523" t="inlineStr">
        <is>
          <t>OCTUBRE 2026</t>
        </is>
      </c>
      <c r="M3523" t="inlineStr">
        <is>
          <t xml:space="preserve">P.Q.S.  TIPO ABC  </t>
        </is>
      </c>
      <c r="N3523" t="inlineStr">
        <is>
          <t>04/000355</t>
        </is>
      </c>
      <c r="O3523" t="inlineStr">
        <is>
          <t>R</t>
        </is>
      </c>
      <c r="P3523">
        <f>TRIM(N3523)</f>
        <v/>
      </c>
    </row>
    <row r="3524">
      <c r="A3524" t="inlineStr">
        <is>
          <t>CO-002478</t>
        </is>
      </c>
      <c r="B3524" t="inlineStr">
        <is>
          <t>PACIFICO COMPAÑÍA DE SEGURO Y REASEGUROS</t>
        </is>
      </c>
      <c r="C3524" t="inlineStr">
        <is>
          <t>20332970411</t>
        </is>
      </c>
      <c r="D3524" t="inlineStr">
        <is>
          <t>FRANCISCO BOLOGNESI 301, YANAHUARA - AREQUIPA</t>
        </is>
      </c>
      <c r="E3524" t="inlineStr">
        <is>
          <t>Lima, 13 de Octubre del 2025</t>
        </is>
      </c>
      <c r="F3524" t="inlineStr">
        <is>
          <t>la Recarga y mantenimiento</t>
        </is>
      </c>
      <c r="G3524" t="inlineStr">
        <is>
          <t>05</t>
        </is>
      </c>
      <c r="H3524" t="inlineStr">
        <is>
          <t>06 KG</t>
        </is>
      </c>
      <c r="I3524" t="inlineStr">
        <is>
          <t>2030</t>
        </is>
      </c>
      <c r="J3524" t="n">
        <v>2013</v>
      </c>
      <c r="K3524" t="inlineStr">
        <is>
          <t>OCTUBRE 2025</t>
        </is>
      </c>
      <c r="L3524" t="inlineStr">
        <is>
          <t>OCTUBRE 2026</t>
        </is>
      </c>
      <c r="M3524" t="inlineStr">
        <is>
          <t xml:space="preserve">P.Q.S.  TIPO ABC  </t>
        </is>
      </c>
      <c r="N3524" t="inlineStr">
        <is>
          <t>05/005040</t>
        </is>
      </c>
      <c r="O3524" t="inlineStr">
        <is>
          <t>R</t>
        </is>
      </c>
      <c r="P3524">
        <f>TRIM(N3524)</f>
        <v/>
      </c>
    </row>
    <row r="3525">
      <c r="A3525" t="inlineStr">
        <is>
          <t>CO-002478</t>
        </is>
      </c>
      <c r="B3525" t="inlineStr">
        <is>
          <t>PACIFICO COMPAÑÍA DE SEGURO Y REASEGUROS</t>
        </is>
      </c>
      <c r="C3525" t="inlineStr">
        <is>
          <t>20332970411</t>
        </is>
      </c>
      <c r="D3525" t="inlineStr">
        <is>
          <t>FRANCISCO BOLOGNESI 301, YANAHUARA - AREQUIPA</t>
        </is>
      </c>
      <c r="E3525" t="inlineStr">
        <is>
          <t>Lima, 13 de Octubre del 2025</t>
        </is>
      </c>
      <c r="F3525" t="inlineStr">
        <is>
          <t>la Recarga y mantenimiento</t>
        </is>
      </c>
      <c r="G3525" t="inlineStr">
        <is>
          <t>06</t>
        </is>
      </c>
      <c r="H3525" t="inlineStr">
        <is>
          <t>06 KG</t>
        </is>
      </c>
      <c r="I3525" t="inlineStr">
        <is>
          <t>2030</t>
        </is>
      </c>
      <c r="J3525" t="n">
        <v>2015</v>
      </c>
      <c r="K3525" t="inlineStr">
        <is>
          <t>OCTUBRE 2025</t>
        </is>
      </c>
      <c r="L3525" t="inlineStr">
        <is>
          <t>OCTUBRE 2026</t>
        </is>
      </c>
      <c r="M3525" t="inlineStr">
        <is>
          <t xml:space="preserve">P.Q.S.  TIPO ABC  </t>
        </is>
      </c>
      <c r="N3525" t="inlineStr">
        <is>
          <t>06/056400</t>
        </is>
      </c>
      <c r="O3525" t="inlineStr">
        <is>
          <t>R</t>
        </is>
      </c>
      <c r="P3525">
        <f>TRIM(N3525)</f>
        <v/>
      </c>
    </row>
    <row r="3526">
      <c r="A3526" t="inlineStr">
        <is>
          <t>CO-002478</t>
        </is>
      </c>
      <c r="B3526" t="inlineStr">
        <is>
          <t>PACIFICO COMPAÑÍA DE SEGURO Y REASEGUROS</t>
        </is>
      </c>
      <c r="C3526" t="inlineStr">
        <is>
          <t>20332970411</t>
        </is>
      </c>
      <c r="D3526" t="inlineStr">
        <is>
          <t>FRANCISCO BOLOGNESI 301, YANAHUARA - AREQUIPA</t>
        </is>
      </c>
      <c r="E3526" t="inlineStr">
        <is>
          <t>Lima, 13 de Octubre del 2025</t>
        </is>
      </c>
      <c r="F3526" t="inlineStr">
        <is>
          <t>la Recarga y mantenimiento</t>
        </is>
      </c>
      <c r="G3526" t="inlineStr">
        <is>
          <t>07</t>
        </is>
      </c>
      <c r="H3526" t="inlineStr">
        <is>
          <t>02 KG</t>
        </is>
      </c>
      <c r="I3526" t="n">
        <v>2030</v>
      </c>
      <c r="J3526" t="n">
        <v>2014</v>
      </c>
      <c r="K3526" t="inlineStr">
        <is>
          <t>OCTUBRE 2025</t>
        </is>
      </c>
      <c r="L3526" t="inlineStr">
        <is>
          <t>OCTUBRE 2026</t>
        </is>
      </c>
      <c r="M3526" t="inlineStr">
        <is>
          <t xml:space="preserve">P.Q.S.  TIPO ABC  </t>
        </is>
      </c>
      <c r="N3526" t="inlineStr">
        <is>
          <t>07/S/N</t>
        </is>
      </c>
      <c r="O3526" t="inlineStr">
        <is>
          <t>R</t>
        </is>
      </c>
      <c r="P3526">
        <f>TRIM(N3526)</f>
        <v/>
      </c>
    </row>
    <row r="3527">
      <c r="A3527" t="inlineStr">
        <is>
          <t>CO-002479</t>
        </is>
      </c>
      <c r="B3527" t="inlineStr">
        <is>
          <t>PERU MASIVO S.A - BUSES</t>
        </is>
      </c>
      <c r="C3527" t="inlineStr">
        <is>
          <t>20492392031</t>
        </is>
      </c>
      <c r="D3527" t="inlineStr">
        <is>
          <t>AV. LOS INCAS CDRA. 4 PATIO NORTE - COMAS</t>
        </is>
      </c>
      <c r="E3527" t="inlineStr">
        <is>
          <t>Lima, 17 de Octubre  del  2025</t>
        </is>
      </c>
      <c r="F3527" t="inlineStr">
        <is>
          <t>la Recarga y mantenimiento</t>
        </is>
      </c>
      <c r="G3527" t="inlineStr">
        <is>
          <t>01</t>
        </is>
      </c>
      <c r="H3527" t="inlineStr">
        <is>
          <t>06 KG</t>
        </is>
      </c>
      <c r="I3527" t="inlineStr">
        <is>
          <t>2028</t>
        </is>
      </c>
      <c r="J3527" t="n">
        <v>2012</v>
      </c>
      <c r="K3527" t="inlineStr">
        <is>
          <t>OCTUBRE 2025</t>
        </is>
      </c>
      <c r="L3527" t="inlineStr">
        <is>
          <t>OCTUBRE 2026</t>
        </is>
      </c>
      <c r="M3527" t="inlineStr">
        <is>
          <t>P.Q.S.  TIPO ABC  90% NACIONAL</t>
        </is>
      </c>
      <c r="N3527" t="inlineStr">
        <is>
          <t>247/000406</t>
        </is>
      </c>
      <c r="O3527" t="inlineStr">
        <is>
          <t>R</t>
        </is>
      </c>
      <c r="P3527">
        <f>TRIM(N3527)</f>
        <v/>
      </c>
    </row>
    <row r="3528">
      <c r="A3528" t="inlineStr">
        <is>
          <t>CO-002479</t>
        </is>
      </c>
      <c r="B3528" t="inlineStr">
        <is>
          <t>PERU MASIVO S.A - BUSES</t>
        </is>
      </c>
      <c r="C3528" t="inlineStr">
        <is>
          <t>20492392031</t>
        </is>
      </c>
      <c r="D3528" t="inlineStr">
        <is>
          <t>AV. LOS INCAS CDRA. 4 PATIO NORTE - COMAS</t>
        </is>
      </c>
      <c r="E3528" t="inlineStr">
        <is>
          <t>Lima, 17 de Octubre  del  2025</t>
        </is>
      </c>
      <c r="F3528" t="inlineStr">
        <is>
          <t>la Recarga y mantenimiento</t>
        </is>
      </c>
      <c r="G3528" t="inlineStr">
        <is>
          <t>02</t>
        </is>
      </c>
      <c r="H3528" t="inlineStr">
        <is>
          <t>06 KG</t>
        </is>
      </c>
      <c r="I3528" t="inlineStr">
        <is>
          <t>2028</t>
        </is>
      </c>
      <c r="J3528" t="n">
        <v>2009</v>
      </c>
      <c r="K3528" t="inlineStr">
        <is>
          <t>OCTUBRE 2025</t>
        </is>
      </c>
      <c r="L3528" t="inlineStr">
        <is>
          <t>OCTUBRE 2026</t>
        </is>
      </c>
      <c r="M3528" t="inlineStr">
        <is>
          <t>P.Q.S.  TIPO ABC  90% NACIONAL</t>
        </is>
      </c>
      <c r="N3528" t="inlineStr">
        <is>
          <t>135/001737</t>
        </is>
      </c>
      <c r="O3528" t="inlineStr">
        <is>
          <t>R</t>
        </is>
      </c>
      <c r="P3528">
        <f>TRIM(N3528)</f>
        <v/>
      </c>
    </row>
    <row r="3529">
      <c r="A3529" t="inlineStr">
        <is>
          <t>CO-002479</t>
        </is>
      </c>
      <c r="B3529" t="inlineStr">
        <is>
          <t>PERU MASIVO S.A - BUSES</t>
        </is>
      </c>
      <c r="C3529" t="inlineStr">
        <is>
          <t>20492392031</t>
        </is>
      </c>
      <c r="D3529" t="inlineStr">
        <is>
          <t>AV. LOS INCAS CDRA. 4 PATIO NORTE - COMAS</t>
        </is>
      </c>
      <c r="E3529" t="inlineStr">
        <is>
          <t>Lima, 17 de Octubre  del  2025</t>
        </is>
      </c>
      <c r="F3529" t="inlineStr">
        <is>
          <t>la Recarga y mantenimiento</t>
        </is>
      </c>
      <c r="G3529" t="inlineStr">
        <is>
          <t>03</t>
        </is>
      </c>
      <c r="H3529" t="inlineStr">
        <is>
          <t>06 KG</t>
        </is>
      </c>
      <c r="I3529" t="n">
        <v>2028</v>
      </c>
      <c r="J3529" t="n">
        <v>2012</v>
      </c>
      <c r="K3529" t="inlineStr">
        <is>
          <t>OCTUBRE 2025</t>
        </is>
      </c>
      <c r="L3529" t="inlineStr">
        <is>
          <t>OCTUBRE 2026</t>
        </is>
      </c>
      <c r="M3529" t="inlineStr">
        <is>
          <t>P.Q.S.  TIPO ABC  90% NACIONAL</t>
        </is>
      </c>
      <c r="N3529" t="inlineStr">
        <is>
          <t>256/000201</t>
        </is>
      </c>
      <c r="O3529" t="inlineStr">
        <is>
          <t>R</t>
        </is>
      </c>
      <c r="P3529">
        <f>TRIM(N3529)</f>
        <v/>
      </c>
    </row>
    <row r="3530">
      <c r="A3530" t="inlineStr">
        <is>
          <t>CO-002479</t>
        </is>
      </c>
      <c r="B3530" t="inlineStr">
        <is>
          <t>PERU MASIVO S.A - BUSES</t>
        </is>
      </c>
      <c r="C3530" t="inlineStr">
        <is>
          <t>20492392031</t>
        </is>
      </c>
      <c r="D3530" t="inlineStr">
        <is>
          <t>AV. LOS INCAS CDRA. 4 PATIO NORTE - COMAS</t>
        </is>
      </c>
      <c r="E3530" t="inlineStr">
        <is>
          <t>Lima, 17 de Octubre  del  2025</t>
        </is>
      </c>
      <c r="F3530" t="inlineStr">
        <is>
          <t>la Recarga y mantenimiento</t>
        </is>
      </c>
      <c r="G3530" t="inlineStr">
        <is>
          <t>04</t>
        </is>
      </c>
      <c r="H3530" t="inlineStr">
        <is>
          <t>06 KG</t>
        </is>
      </c>
      <c r="I3530" t="n">
        <v>2028</v>
      </c>
      <c r="J3530" t="n">
        <v>2012</v>
      </c>
      <c r="K3530" t="inlineStr">
        <is>
          <t>OCTUBRE 2025</t>
        </is>
      </c>
      <c r="L3530" t="inlineStr">
        <is>
          <t>OCTUBRE 2026</t>
        </is>
      </c>
      <c r="M3530" t="inlineStr">
        <is>
          <t>P.Q.S.  TIPO ABC  90% NACIONAL</t>
        </is>
      </c>
      <c r="N3530" t="inlineStr">
        <is>
          <t>104/005039</t>
        </is>
      </c>
      <c r="O3530" t="inlineStr">
        <is>
          <t>R</t>
        </is>
      </c>
      <c r="P3530">
        <f>TRIM(N3530)</f>
        <v/>
      </c>
    </row>
    <row r="3531">
      <c r="A3531" t="inlineStr">
        <is>
          <t>CO-002479</t>
        </is>
      </c>
      <c r="B3531" t="inlineStr">
        <is>
          <t>PERU MASIVO S.A - BUSES</t>
        </is>
      </c>
      <c r="C3531" t="inlineStr">
        <is>
          <t>20492392031</t>
        </is>
      </c>
      <c r="D3531" t="inlineStr">
        <is>
          <t>AV. LOS INCAS CDRA. 4 PATIO NORTE - COMAS</t>
        </is>
      </c>
      <c r="E3531" t="inlineStr">
        <is>
          <t>Lima, 17 de Octubre  del  2025</t>
        </is>
      </c>
      <c r="F3531" t="inlineStr">
        <is>
          <t>la Recarga y mantenimiento</t>
        </is>
      </c>
      <c r="G3531" t="inlineStr">
        <is>
          <t>05</t>
        </is>
      </c>
      <c r="H3531" t="inlineStr">
        <is>
          <t>06 KG</t>
        </is>
      </c>
      <c r="I3531" t="n">
        <v>2028</v>
      </c>
      <c r="J3531" t="n">
        <v>2011</v>
      </c>
      <c r="K3531" t="inlineStr">
        <is>
          <t>OCTUBRE 2025</t>
        </is>
      </c>
      <c r="L3531" t="inlineStr">
        <is>
          <t>OCTUBRE 2026</t>
        </is>
      </c>
      <c r="M3531" t="inlineStr">
        <is>
          <t>P.Q.S.  TIPO ABC  90% NACIONAL</t>
        </is>
      </c>
      <c r="N3531" t="inlineStr">
        <is>
          <t>258/201106</t>
        </is>
      </c>
      <c r="O3531" t="inlineStr">
        <is>
          <t>R</t>
        </is>
      </c>
      <c r="P3531">
        <f>TRIM(N3531)</f>
        <v/>
      </c>
    </row>
    <row r="3532">
      <c r="A3532" t="inlineStr">
        <is>
          <t>CO-002479</t>
        </is>
      </c>
      <c r="B3532" t="inlineStr">
        <is>
          <t>PERU MASIVO S.A - BUSES</t>
        </is>
      </c>
      <c r="C3532" t="inlineStr">
        <is>
          <t>20492392031</t>
        </is>
      </c>
      <c r="D3532" t="inlineStr">
        <is>
          <t>AV. LOS INCAS CDRA. 4 PATIO NORTE - COMAS</t>
        </is>
      </c>
      <c r="E3532" t="inlineStr">
        <is>
          <t>Lima, 17 de Octubre  del  2025</t>
        </is>
      </c>
      <c r="F3532" t="inlineStr">
        <is>
          <t>la Recarga y mantenimiento</t>
        </is>
      </c>
      <c r="G3532" t="inlineStr">
        <is>
          <t>06</t>
        </is>
      </c>
      <c r="H3532" t="inlineStr">
        <is>
          <t>06 KG</t>
        </is>
      </c>
      <c r="I3532" t="n">
        <v>2028</v>
      </c>
      <c r="J3532" t="n">
        <v>2010</v>
      </c>
      <c r="K3532" t="inlineStr">
        <is>
          <t>OCTUBRE 2025</t>
        </is>
      </c>
      <c r="L3532" t="inlineStr">
        <is>
          <t>OCTUBRE 2026</t>
        </is>
      </c>
      <c r="M3532" t="inlineStr">
        <is>
          <t>P.Q.S.  TIPO ABC  90% NACIONAL</t>
        </is>
      </c>
      <c r="N3532" t="inlineStr">
        <is>
          <t>86/000005</t>
        </is>
      </c>
      <c r="O3532" t="inlineStr">
        <is>
          <t>R</t>
        </is>
      </c>
      <c r="P3532">
        <f>TRIM(N3532)</f>
        <v/>
      </c>
    </row>
    <row r="3533">
      <c r="A3533" t="inlineStr">
        <is>
          <t>CO-002479</t>
        </is>
      </c>
      <c r="B3533" t="inlineStr">
        <is>
          <t>PERU MASIVO S.A - BUSES</t>
        </is>
      </c>
      <c r="C3533" t="inlineStr">
        <is>
          <t>20492392031</t>
        </is>
      </c>
      <c r="D3533" t="inlineStr">
        <is>
          <t>AV. LOS INCAS CDRA. 4 PATIO NORTE - COMAS</t>
        </is>
      </c>
      <c r="E3533" t="inlineStr">
        <is>
          <t>Lima, 17 de Octubre  del  2025</t>
        </is>
      </c>
      <c r="F3533" t="inlineStr">
        <is>
          <t>la Recarga y mantenimiento</t>
        </is>
      </c>
      <c r="G3533" t="inlineStr">
        <is>
          <t>07</t>
        </is>
      </c>
      <c r="H3533" t="inlineStr">
        <is>
          <t>06 KG</t>
        </is>
      </c>
      <c r="I3533" t="n">
        <v>2028</v>
      </c>
      <c r="J3533" t="n">
        <v>2009</v>
      </c>
      <c r="K3533" t="inlineStr">
        <is>
          <t>OCTUBRE 2025</t>
        </is>
      </c>
      <c r="L3533" t="inlineStr">
        <is>
          <t>OCTUBRE 2026</t>
        </is>
      </c>
      <c r="M3533" t="inlineStr">
        <is>
          <t>P.Q.S.  TIPO ABC  90% NACIONAL</t>
        </is>
      </c>
      <c r="N3533" t="inlineStr">
        <is>
          <t>99/002341</t>
        </is>
      </c>
      <c r="O3533" t="inlineStr">
        <is>
          <t>R</t>
        </is>
      </c>
      <c r="P3533">
        <f>TRIM(N3533)</f>
        <v/>
      </c>
    </row>
    <row r="3534">
      <c r="A3534" t="inlineStr">
        <is>
          <t>CO-002479</t>
        </is>
      </c>
      <c r="B3534" t="inlineStr">
        <is>
          <t>PERU MASIVO S.A - BUSES</t>
        </is>
      </c>
      <c r="C3534" t="inlineStr">
        <is>
          <t>20492392031</t>
        </is>
      </c>
      <c r="D3534" t="inlineStr">
        <is>
          <t>AV. LOS INCAS CDRA. 4 PATIO NORTE - COMAS</t>
        </is>
      </c>
      <c r="E3534" t="inlineStr">
        <is>
          <t>Lima, 17 de Octubre  del  2025</t>
        </is>
      </c>
      <c r="F3534" t="inlineStr">
        <is>
          <t>la Recarga y mantenimiento</t>
        </is>
      </c>
      <c r="G3534" t="inlineStr">
        <is>
          <t>08</t>
        </is>
      </c>
      <c r="H3534" t="inlineStr">
        <is>
          <t>06 KG</t>
        </is>
      </c>
      <c r="I3534" t="n">
        <v>2028</v>
      </c>
      <c r="J3534" t="n">
        <v>2010</v>
      </c>
      <c r="K3534" t="inlineStr">
        <is>
          <t>OCTUBRE 2025</t>
        </is>
      </c>
      <c r="L3534" t="inlineStr">
        <is>
          <t>OCTUBRE 2026</t>
        </is>
      </c>
      <c r="M3534" t="inlineStr">
        <is>
          <t>P.Q.S.  TIPO ABC  90% NACIONAL</t>
        </is>
      </c>
      <c r="N3534" t="inlineStr">
        <is>
          <t>313/000416</t>
        </is>
      </c>
      <c r="O3534" t="inlineStr">
        <is>
          <t>R</t>
        </is>
      </c>
      <c r="P3534">
        <f>TRIM(N3534)</f>
        <v/>
      </c>
    </row>
    <row r="3535">
      <c r="A3535" t="inlineStr">
        <is>
          <t>CO-002479</t>
        </is>
      </c>
      <c r="B3535" t="inlineStr">
        <is>
          <t>PERU MASIVO S.A - BUSES</t>
        </is>
      </c>
      <c r="C3535" t="inlineStr">
        <is>
          <t>20492392031</t>
        </is>
      </c>
      <c r="D3535" t="inlineStr">
        <is>
          <t>AV. LOS INCAS CDRA. 4 PATIO NORTE - COMAS</t>
        </is>
      </c>
      <c r="E3535" t="inlineStr">
        <is>
          <t>Lima, 17 de Octubre  del  2025</t>
        </is>
      </c>
      <c r="F3535" t="inlineStr">
        <is>
          <t>la Recarga y mantenimiento</t>
        </is>
      </c>
      <c r="G3535" t="inlineStr">
        <is>
          <t>09</t>
        </is>
      </c>
      <c r="H3535" t="inlineStr">
        <is>
          <t>06 KG</t>
        </is>
      </c>
      <c r="I3535" t="n">
        <v>2028</v>
      </c>
      <c r="J3535" t="n">
        <v>2009</v>
      </c>
      <c r="K3535" t="inlineStr">
        <is>
          <t>OCTUBRE 2025</t>
        </is>
      </c>
      <c r="L3535" t="inlineStr">
        <is>
          <t>OCTUBRE 2026</t>
        </is>
      </c>
      <c r="M3535" t="inlineStr">
        <is>
          <t>P.Q.S.  TIPO ABC  90% NACIONAL</t>
        </is>
      </c>
      <c r="N3535" t="inlineStr">
        <is>
          <t>375/001502</t>
        </is>
      </c>
      <c r="O3535" t="inlineStr">
        <is>
          <t>R</t>
        </is>
      </c>
      <c r="P3535">
        <f>TRIM(N3535)</f>
        <v/>
      </c>
    </row>
    <row r="3536">
      <c r="A3536" t="inlineStr">
        <is>
          <t>CO-002479</t>
        </is>
      </c>
      <c r="B3536" t="inlineStr">
        <is>
          <t>PERU MASIVO S.A - BUSES</t>
        </is>
      </c>
      <c r="C3536" t="inlineStr">
        <is>
          <t>20492392031</t>
        </is>
      </c>
      <c r="D3536" t="inlineStr">
        <is>
          <t>AV. LOS INCAS CDRA. 4 PATIO NORTE - COMAS</t>
        </is>
      </c>
      <c r="E3536" t="inlineStr">
        <is>
          <t>Lima, 17 de Octubre  del  2025</t>
        </is>
      </c>
      <c r="F3536" t="inlineStr">
        <is>
          <t>la Recarga y mantenimiento</t>
        </is>
      </c>
      <c r="G3536" t="n">
        <v>10</v>
      </c>
      <c r="H3536" t="inlineStr">
        <is>
          <t>06 KG</t>
        </is>
      </c>
      <c r="I3536" t="n">
        <v>2028</v>
      </c>
      <c r="J3536" t="n">
        <v>2010</v>
      </c>
      <c r="K3536" t="inlineStr">
        <is>
          <t>OCTUBRE 2025</t>
        </is>
      </c>
      <c r="L3536" t="inlineStr">
        <is>
          <t>OCTUBRE 2026</t>
        </is>
      </c>
      <c r="M3536" t="inlineStr">
        <is>
          <t>P.Q.S.  TIPO ABC  90% NACIONAL</t>
        </is>
      </c>
      <c r="N3536" t="inlineStr">
        <is>
          <t>226/001739</t>
        </is>
      </c>
      <c r="O3536" t="inlineStr">
        <is>
          <t>R</t>
        </is>
      </c>
      <c r="P3536">
        <f>TRIM(N3536)</f>
        <v/>
      </c>
    </row>
    <row r="3537">
      <c r="A3537" t="inlineStr">
        <is>
          <t>CO-002479</t>
        </is>
      </c>
      <c r="B3537" t="inlineStr">
        <is>
          <t>PERU MASIVO S.A - BUSES</t>
        </is>
      </c>
      <c r="C3537" t="inlineStr">
        <is>
          <t>20492392031</t>
        </is>
      </c>
      <c r="D3537" t="inlineStr">
        <is>
          <t>AV. LOS INCAS CDRA. 4 PATIO NORTE - COMAS</t>
        </is>
      </c>
      <c r="E3537" t="inlineStr">
        <is>
          <t>Lima, 17 de Octubre  del  2025</t>
        </is>
      </c>
      <c r="F3537" t="inlineStr">
        <is>
          <t>la Recarga y mantenimiento</t>
        </is>
      </c>
      <c r="G3537" t="n">
        <v>11</v>
      </c>
      <c r="H3537" t="inlineStr">
        <is>
          <t>06 KG</t>
        </is>
      </c>
      <c r="I3537" t="n">
        <v>2028</v>
      </c>
      <c r="J3537" t="n">
        <v>2010</v>
      </c>
      <c r="K3537" t="inlineStr">
        <is>
          <t>OCTUBRE 2025</t>
        </is>
      </c>
      <c r="L3537" t="inlineStr">
        <is>
          <t>OCTUBRE 2026</t>
        </is>
      </c>
      <c r="M3537" t="inlineStr">
        <is>
          <t>P.Q.S.  TIPO ABC  90% NACIONAL</t>
        </is>
      </c>
      <c r="N3537" t="inlineStr">
        <is>
          <t>353/000005</t>
        </is>
      </c>
      <c r="O3537" t="inlineStr">
        <is>
          <t>R</t>
        </is>
      </c>
      <c r="P3537">
        <f>TRIM(N3537)</f>
        <v/>
      </c>
    </row>
    <row r="3538">
      <c r="A3538" t="inlineStr">
        <is>
          <t>CO-002480</t>
        </is>
      </c>
      <c r="B3538" t="inlineStr">
        <is>
          <t>LIZ FARMA De: Lizbeth Karina Lachira Fabian</t>
        </is>
      </c>
      <c r="D3538" t="inlineStr">
        <is>
          <t>AV. MANUEL PRADO S/N  MZ.J  LT. 05 -  PROG. VIV. SAN FRANCISCO DE CARABAYLLO - CARABAYLLO</t>
        </is>
      </c>
      <c r="E3538" t="inlineStr">
        <is>
          <t>Lima, 15 de Octubre  del  2025</t>
        </is>
      </c>
      <c r="F3538" t="inlineStr">
        <is>
          <t>la Recarga y mantenimiento</t>
        </is>
      </c>
      <c r="G3538" t="inlineStr">
        <is>
          <t>01</t>
        </is>
      </c>
      <c r="H3538" t="inlineStr">
        <is>
          <t>06 KG</t>
        </is>
      </c>
      <c r="I3538" t="inlineStr">
        <is>
          <t>2030</t>
        </is>
      </c>
      <c r="J3538" t="n">
        <v>2019</v>
      </c>
      <c r="K3538" t="inlineStr">
        <is>
          <t>OCTUBRE 2025</t>
        </is>
      </c>
      <c r="L3538" t="inlineStr">
        <is>
          <t>OCTUBRE 2026</t>
        </is>
      </c>
      <c r="M3538" t="inlineStr">
        <is>
          <t>P.Q.S TIPO ABC</t>
        </is>
      </c>
      <c r="N3538" t="inlineStr">
        <is>
          <t>01/000931</t>
        </is>
      </c>
      <c r="O3538" t="inlineStr">
        <is>
          <t>R</t>
        </is>
      </c>
      <c r="P3538">
        <f>TRIM(N3538)</f>
        <v/>
      </c>
    </row>
    <row r="3539">
      <c r="A3539" t="inlineStr">
        <is>
          <t>CO-002481</t>
        </is>
      </c>
      <c r="B3539" t="inlineStr">
        <is>
          <t>REPUESTOS NUEVOS S A</t>
        </is>
      </c>
      <c r="C3539" t="inlineStr">
        <is>
          <t>20100085578</t>
        </is>
      </c>
      <c r="D3539" t="inlineStr">
        <is>
          <t>AV. REPUBLICA DE PANAMA 3591- OFICINA 1602 - SAN ISIDRO</t>
        </is>
      </c>
      <c r="E3539" t="inlineStr">
        <is>
          <t>Lima, 15 de Octubre  del  2025</t>
        </is>
      </c>
      <c r="F3539" t="inlineStr">
        <is>
          <t>la Recarga y mantenimiento</t>
        </is>
      </c>
      <c r="G3539" t="inlineStr">
        <is>
          <t>01</t>
        </is>
      </c>
      <c r="H3539" t="inlineStr">
        <is>
          <t>06 KG</t>
        </is>
      </c>
      <c r="I3539" t="inlineStr">
        <is>
          <t>2029</t>
        </is>
      </c>
      <c r="J3539" t="n">
        <v>2017</v>
      </c>
      <c r="K3539" t="inlineStr">
        <is>
          <t>OCTUBRE 2025</t>
        </is>
      </c>
      <c r="L3539" t="inlineStr">
        <is>
          <t>OCTUBRE 2026</t>
        </is>
      </c>
      <c r="M3539" t="inlineStr">
        <is>
          <t>P.Q.S TIPO ABC</t>
        </is>
      </c>
      <c r="N3539" t="inlineStr">
        <is>
          <t>11/006065</t>
        </is>
      </c>
      <c r="O3539" t="inlineStr">
        <is>
          <t>R</t>
        </is>
      </c>
      <c r="P3539">
        <f>TRIM(N3539)</f>
        <v/>
      </c>
    </row>
    <row r="3540">
      <c r="A3540" t="inlineStr">
        <is>
          <t>CO-002482</t>
        </is>
      </c>
      <c r="B3540" t="inlineStr">
        <is>
          <t>LINDE PERU S.R.L</t>
        </is>
      </c>
      <c r="C3540" t="inlineStr">
        <is>
          <t>20338570041</t>
        </is>
      </c>
      <c r="D3540" t="inlineStr">
        <is>
          <t>CAR.CARRET.CENTRAL KM.9.5 Z.I. ZONA INDUSTRIAL(DESVIO HUACHIPA LURIGANCHO CHOSICA) LIMA LURIGANCHO</t>
        </is>
      </c>
      <c r="E3540" t="inlineStr">
        <is>
          <t>Lima, 27 de Octubre de 2025</t>
        </is>
      </c>
      <c r="F3540" t="inlineStr">
        <is>
          <t>la Recarga y mantenimiento</t>
        </is>
      </c>
      <c r="G3540" t="inlineStr">
        <is>
          <t>01</t>
        </is>
      </c>
      <c r="H3540" t="inlineStr">
        <is>
          <t>12 KG</t>
        </is>
      </c>
      <c r="I3540" t="inlineStr">
        <is>
          <t>2027</t>
        </is>
      </c>
      <c r="J3540" t="n">
        <v>2012</v>
      </c>
      <c r="K3540" t="inlineStr">
        <is>
          <t>OCTUBRE 2025</t>
        </is>
      </c>
      <c r="L3540" t="inlineStr">
        <is>
          <t>OCTUBRE 2026</t>
        </is>
      </c>
      <c r="M3540" t="inlineStr">
        <is>
          <t>P.Q.S.  TIPO ABC AL 90% UL</t>
        </is>
      </c>
      <c r="N3540" t="inlineStr">
        <is>
          <t>08/004291</t>
        </is>
      </c>
      <c r="O3540" t="inlineStr">
        <is>
          <t>R</t>
        </is>
      </c>
      <c r="P3540">
        <f>TRIM(N3540)</f>
        <v/>
      </c>
    </row>
    <row r="3541">
      <c r="A3541" t="inlineStr">
        <is>
          <t>CO-002482</t>
        </is>
      </c>
      <c r="B3541" t="inlineStr">
        <is>
          <t>LINDE PERU S.R.L</t>
        </is>
      </c>
      <c r="C3541" t="inlineStr">
        <is>
          <t>20338570041</t>
        </is>
      </c>
      <c r="D3541" t="inlineStr">
        <is>
          <t>CAR.CARRET.CENTRAL KM.9.5 Z.I. ZONA INDUSTRIAL(DESVIO HUACHIPA LURIGANCHO CHOSICA) LIMA LURIGANCHO</t>
        </is>
      </c>
      <c r="E3541" t="inlineStr">
        <is>
          <t>Lima, 27 de Octubre de 2025</t>
        </is>
      </c>
      <c r="F3541" t="inlineStr">
        <is>
          <t>la Recarga y mantenimiento</t>
        </is>
      </c>
      <c r="G3541" t="inlineStr">
        <is>
          <t xml:space="preserve">02 </t>
        </is>
      </c>
      <c r="H3541" t="inlineStr">
        <is>
          <t>12 KG</t>
        </is>
      </c>
      <c r="I3541" t="inlineStr">
        <is>
          <t>2027</t>
        </is>
      </c>
      <c r="J3541" t="n">
        <v>2012</v>
      </c>
      <c r="K3541" t="inlineStr">
        <is>
          <t>OCTUBRE 2025</t>
        </is>
      </c>
      <c r="L3541" t="inlineStr">
        <is>
          <t>OCTUBRE 2026</t>
        </is>
      </c>
      <c r="M3541" t="inlineStr">
        <is>
          <t>P.Q.S.  TIPO ABC AL 90% UL</t>
        </is>
      </c>
      <c r="N3541" t="inlineStr">
        <is>
          <t>32/004864</t>
        </is>
      </c>
      <c r="O3541" t="inlineStr">
        <is>
          <t>R</t>
        </is>
      </c>
      <c r="P3541">
        <f>TRIM(N3541)</f>
        <v/>
      </c>
    </row>
    <row r="3542">
      <c r="A3542" t="inlineStr">
        <is>
          <t>CO-002482</t>
        </is>
      </c>
      <c r="B3542" t="inlineStr">
        <is>
          <t>LINDE PERU S.R.L</t>
        </is>
      </c>
      <c r="C3542" t="inlineStr">
        <is>
          <t>20338570041</t>
        </is>
      </c>
      <c r="D3542" t="inlineStr">
        <is>
          <t>CAR.CARRET.CENTRAL KM.9.5 Z.I. ZONA INDUSTRIAL(DESVIO HUACHIPA LURIGANCHO CHOSICA) LIMA LURIGANCHO</t>
        </is>
      </c>
      <c r="E3542" t="inlineStr">
        <is>
          <t>Lima, 27 de Octubre de 2025</t>
        </is>
      </c>
      <c r="F3542" t="inlineStr">
        <is>
          <t>la Recarga y mantenimiento</t>
        </is>
      </c>
      <c r="G3542" t="inlineStr">
        <is>
          <t>03</t>
        </is>
      </c>
      <c r="H3542" t="inlineStr">
        <is>
          <t xml:space="preserve">12 KG </t>
        </is>
      </c>
      <c r="I3542" t="n">
        <v>2027</v>
      </c>
      <c r="J3542" t="n">
        <v>2012</v>
      </c>
      <c r="K3542" t="inlineStr">
        <is>
          <t>OCTUBRE 2025</t>
        </is>
      </c>
      <c r="L3542" t="inlineStr">
        <is>
          <t>OCTUBRE 2026</t>
        </is>
      </c>
      <c r="M3542" t="inlineStr">
        <is>
          <t>P.Q.S.  TIPO ABC AL 90% UL</t>
        </is>
      </c>
      <c r="N3542" t="inlineStr">
        <is>
          <t>12/004674</t>
        </is>
      </c>
      <c r="O3542" t="inlineStr">
        <is>
          <t>R</t>
        </is>
      </c>
      <c r="P3542">
        <f>TRIM(N3542)</f>
        <v/>
      </c>
    </row>
    <row r="3543">
      <c r="A3543" t="inlineStr">
        <is>
          <t>CO-002482</t>
        </is>
      </c>
      <c r="B3543" t="inlineStr">
        <is>
          <t>LINDE PERU S.R.L</t>
        </is>
      </c>
      <c r="C3543" t="inlineStr">
        <is>
          <t>20338570041</t>
        </is>
      </c>
      <c r="D3543" t="inlineStr">
        <is>
          <t>CAR.CARRET.CENTRAL KM.9.5 Z.I. ZONA INDUSTRIAL(DESVIO HUACHIPA LURIGANCHO CHOSICA) LIMA LURIGANCHO</t>
        </is>
      </c>
      <c r="E3543" t="inlineStr">
        <is>
          <t>Lima, 27 de Octubre de 2025</t>
        </is>
      </c>
      <c r="F3543" t="inlineStr">
        <is>
          <t>la Recarga y mantenimiento</t>
        </is>
      </c>
      <c r="G3543" t="inlineStr">
        <is>
          <t xml:space="preserve">04 </t>
        </is>
      </c>
      <c r="H3543" t="inlineStr">
        <is>
          <t>12 KG</t>
        </is>
      </c>
      <c r="I3543" t="n">
        <v>2027</v>
      </c>
      <c r="J3543" t="n">
        <v>2012</v>
      </c>
      <c r="K3543" t="inlineStr">
        <is>
          <t>OCTUBRE 2025</t>
        </is>
      </c>
      <c r="L3543" t="inlineStr">
        <is>
          <t>OCTUBRE 2026</t>
        </is>
      </c>
      <c r="M3543" t="inlineStr">
        <is>
          <t>P.Q.S.  TIPO ABC AL 90% UL</t>
        </is>
      </c>
      <c r="N3543" t="inlineStr">
        <is>
          <t>18/004973</t>
        </is>
      </c>
      <c r="O3543" t="inlineStr">
        <is>
          <t>R</t>
        </is>
      </c>
      <c r="P3543">
        <f>TRIM(N3543)</f>
        <v/>
      </c>
    </row>
    <row r="3544">
      <c r="A3544" t="inlineStr">
        <is>
          <t>CO-002482</t>
        </is>
      </c>
      <c r="B3544" t="inlineStr">
        <is>
          <t>LINDE PERU S.R.L</t>
        </is>
      </c>
      <c r="C3544" t="inlineStr">
        <is>
          <t>20338570041</t>
        </is>
      </c>
      <c r="D3544" t="inlineStr">
        <is>
          <t>CAR.CARRET.CENTRAL KM.9.5 Z.I. ZONA INDUSTRIAL(DESVIO HUACHIPA LURIGANCHO CHOSICA) LIMA LURIGANCHO</t>
        </is>
      </c>
      <c r="E3544" t="inlineStr">
        <is>
          <t>Lima, 27 de Octubre de 2025</t>
        </is>
      </c>
      <c r="F3544" t="inlineStr">
        <is>
          <t>la Recarga y mantenimiento</t>
        </is>
      </c>
      <c r="G3544" t="inlineStr">
        <is>
          <t>05</t>
        </is>
      </c>
      <c r="H3544" t="inlineStr">
        <is>
          <t>12 KG</t>
        </is>
      </c>
      <c r="I3544" t="n">
        <v>2027</v>
      </c>
      <c r="J3544" t="n">
        <v>2012</v>
      </c>
      <c r="K3544" t="inlineStr">
        <is>
          <t>OCTUBRE 2025</t>
        </is>
      </c>
      <c r="L3544" t="inlineStr">
        <is>
          <t>OCTUBRE 2026</t>
        </is>
      </c>
      <c r="M3544" t="inlineStr">
        <is>
          <t>P.Q.S.  TIPO ABC AL 90% UL</t>
        </is>
      </c>
      <c r="N3544" t="inlineStr">
        <is>
          <t>17/004372</t>
        </is>
      </c>
      <c r="O3544" t="inlineStr">
        <is>
          <t>R</t>
        </is>
      </c>
      <c r="P3544">
        <f>TRIM(N3544)</f>
        <v/>
      </c>
    </row>
    <row r="3545">
      <c r="A3545" t="inlineStr">
        <is>
          <t>CO-002482</t>
        </is>
      </c>
      <c r="B3545" t="inlineStr">
        <is>
          <t>LINDE PERU S.R.L</t>
        </is>
      </c>
      <c r="C3545" t="inlineStr">
        <is>
          <t>20338570041</t>
        </is>
      </c>
      <c r="D3545" t="inlineStr">
        <is>
          <t>CAR.CARRET.CENTRAL KM.9.5 Z.I. ZONA INDUSTRIAL(DESVIO HUACHIPA LURIGANCHO CHOSICA) LIMA LURIGANCHO</t>
        </is>
      </c>
      <c r="E3545" t="inlineStr">
        <is>
          <t>Lima, 27 de Octubre de 2025</t>
        </is>
      </c>
      <c r="F3545" t="inlineStr">
        <is>
          <t>la Recarga y mantenimiento</t>
        </is>
      </c>
      <c r="G3545" t="inlineStr">
        <is>
          <t>06</t>
        </is>
      </c>
      <c r="H3545" t="inlineStr">
        <is>
          <t xml:space="preserve">12 KG </t>
        </is>
      </c>
      <c r="I3545" t="n">
        <v>2027</v>
      </c>
      <c r="J3545" t="n">
        <v>2012</v>
      </c>
      <c r="K3545" t="inlineStr">
        <is>
          <t>OCTUBRE 2025</t>
        </is>
      </c>
      <c r="L3545" t="inlineStr">
        <is>
          <t>OCTUBRE 2026</t>
        </is>
      </c>
      <c r="M3545" t="inlineStr">
        <is>
          <t>P.Q.S.  TIPO ABC AL 90% UL</t>
        </is>
      </c>
      <c r="N3545" t="inlineStr">
        <is>
          <t>21/004439</t>
        </is>
      </c>
      <c r="O3545" t="inlineStr">
        <is>
          <t>R</t>
        </is>
      </c>
      <c r="P3545">
        <f>TRIM(N3545)</f>
        <v/>
      </c>
    </row>
    <row r="3546">
      <c r="A3546" t="inlineStr">
        <is>
          <t>CO-002482</t>
        </is>
      </c>
      <c r="B3546" t="inlineStr">
        <is>
          <t>LINDE PERU S.R.L</t>
        </is>
      </c>
      <c r="C3546" t="inlineStr">
        <is>
          <t>20338570041</t>
        </is>
      </c>
      <c r="D3546" t="inlineStr">
        <is>
          <t>CAR.CARRET.CENTRAL KM.9.5 Z.I. ZONA INDUSTRIAL(DESVIO HUACHIPA LURIGANCHO CHOSICA) LIMA LURIGANCHO</t>
        </is>
      </c>
      <c r="E3546" t="inlineStr">
        <is>
          <t>Lima, 27 de Octubre de 2025</t>
        </is>
      </c>
      <c r="F3546" t="inlineStr">
        <is>
          <t>la Recarga y mantenimiento</t>
        </is>
      </c>
      <c r="G3546" t="inlineStr">
        <is>
          <t>07</t>
        </is>
      </c>
      <c r="H3546" t="inlineStr">
        <is>
          <t>12 KG</t>
        </is>
      </c>
      <c r="I3546" t="n">
        <v>2027</v>
      </c>
      <c r="J3546" t="n">
        <v>2012</v>
      </c>
      <c r="K3546" t="inlineStr">
        <is>
          <t>OCTUBRE 2025</t>
        </is>
      </c>
      <c r="L3546" t="inlineStr">
        <is>
          <t>OCTUBRE 2026</t>
        </is>
      </c>
      <c r="M3546" t="inlineStr">
        <is>
          <t>P.Q.S.  TIPO ABC AL 90% UL</t>
        </is>
      </c>
      <c r="N3546" t="inlineStr">
        <is>
          <t>07/4908</t>
        </is>
      </c>
      <c r="O3546" t="inlineStr">
        <is>
          <t>R</t>
        </is>
      </c>
      <c r="P3546">
        <f>TRIM(N3546)</f>
        <v/>
      </c>
    </row>
    <row r="3547">
      <c r="A3547" t="inlineStr">
        <is>
          <t>CO-002482</t>
        </is>
      </c>
      <c r="B3547" t="inlineStr">
        <is>
          <t>LINDE PERU S.R.L</t>
        </is>
      </c>
      <c r="C3547" t="inlineStr">
        <is>
          <t>20338570041</t>
        </is>
      </c>
      <c r="D3547" t="inlineStr">
        <is>
          <t>CAR.CARRET.CENTRAL KM.9.5 Z.I. ZONA INDUSTRIAL(DESVIO HUACHIPA LURIGANCHO CHOSICA) LIMA LURIGANCHO</t>
        </is>
      </c>
      <c r="E3547" t="inlineStr">
        <is>
          <t>Lima, 27 de Octubre de 2025</t>
        </is>
      </c>
      <c r="F3547" t="inlineStr">
        <is>
          <t>la Recarga y mantenimiento</t>
        </is>
      </c>
      <c r="G3547" t="inlineStr">
        <is>
          <t xml:space="preserve">08 </t>
        </is>
      </c>
      <c r="H3547" t="inlineStr">
        <is>
          <t>12 KG</t>
        </is>
      </c>
      <c r="I3547" t="n">
        <v>2027</v>
      </c>
      <c r="J3547" t="n">
        <v>2007</v>
      </c>
      <c r="K3547" t="inlineStr">
        <is>
          <t>OCTUBRE 2025</t>
        </is>
      </c>
      <c r="L3547" t="inlineStr">
        <is>
          <t>OCTUBRE 2026</t>
        </is>
      </c>
      <c r="M3547" t="inlineStr">
        <is>
          <t>P.Q.S.  TIPO ABC AL 90% UL</t>
        </is>
      </c>
      <c r="N3547" t="inlineStr">
        <is>
          <t>30/000143</t>
        </is>
      </c>
      <c r="O3547" t="inlineStr">
        <is>
          <t>R</t>
        </is>
      </c>
      <c r="P3547">
        <f>TRIM(N3547)</f>
        <v/>
      </c>
    </row>
    <row r="3548">
      <c r="A3548" t="inlineStr">
        <is>
          <t>CO-002482</t>
        </is>
      </c>
      <c r="B3548" t="inlineStr">
        <is>
          <t>LINDE PERU S.R.L</t>
        </is>
      </c>
      <c r="C3548" t="inlineStr">
        <is>
          <t>20338570041</t>
        </is>
      </c>
      <c r="D3548" t="inlineStr">
        <is>
          <t>CAR.CARRET.CENTRAL KM.9.5 Z.I. ZONA INDUSTRIAL(DESVIO HUACHIPA LURIGANCHO CHOSICA) LIMA LURIGANCHO</t>
        </is>
      </c>
      <c r="E3548" t="inlineStr">
        <is>
          <t>Lima, 27 de Octubre de 2025</t>
        </is>
      </c>
      <c r="F3548" t="inlineStr">
        <is>
          <t>la Recarga y mantenimiento</t>
        </is>
      </c>
      <c r="G3548" t="inlineStr">
        <is>
          <t>09</t>
        </is>
      </c>
      <c r="H3548" t="inlineStr">
        <is>
          <t>12 KG</t>
        </is>
      </c>
      <c r="I3548" t="n">
        <v>2027</v>
      </c>
      <c r="J3548" t="n">
        <v>2012</v>
      </c>
      <c r="K3548" t="inlineStr">
        <is>
          <t>OCTUBRE 2025</t>
        </is>
      </c>
      <c r="L3548" t="inlineStr">
        <is>
          <t>OCTUBRE 2026</t>
        </is>
      </c>
      <c r="M3548" t="inlineStr">
        <is>
          <t>P.Q.S.  TIPO ABC AL 90% UL</t>
        </is>
      </c>
      <c r="N3548" t="inlineStr">
        <is>
          <t>14/004909</t>
        </is>
      </c>
      <c r="O3548" t="inlineStr">
        <is>
          <t>R</t>
        </is>
      </c>
      <c r="P3548">
        <f>TRIM(N3548)</f>
        <v/>
      </c>
    </row>
    <row r="3549">
      <c r="A3549" t="inlineStr">
        <is>
          <t>CO-002482</t>
        </is>
      </c>
      <c r="B3549" t="inlineStr">
        <is>
          <t>LINDE PERU S.R.L</t>
        </is>
      </c>
      <c r="C3549" t="inlineStr">
        <is>
          <t>20338570041</t>
        </is>
      </c>
      <c r="D3549" t="inlineStr">
        <is>
          <t>CAR.CARRET.CENTRAL KM.9.5 Z.I. ZONA INDUSTRIAL(DESVIO HUACHIPA LURIGANCHO CHOSICA) LIMA LURIGANCHO</t>
        </is>
      </c>
      <c r="E3549" t="inlineStr">
        <is>
          <t>Lima, 27 de Octubre de 2025</t>
        </is>
      </c>
      <c r="F3549" t="inlineStr">
        <is>
          <t>la Recarga y mantenimiento</t>
        </is>
      </c>
      <c r="G3549" t="n">
        <v>10</v>
      </c>
      <c r="H3549" t="inlineStr">
        <is>
          <t>12 KG</t>
        </is>
      </c>
      <c r="I3549" t="n">
        <v>2027</v>
      </c>
      <c r="J3549" t="n">
        <v>2012</v>
      </c>
      <c r="K3549" t="inlineStr">
        <is>
          <t>OCTUBRE 2025</t>
        </is>
      </c>
      <c r="L3549" t="inlineStr">
        <is>
          <t>OCTUBRE 2026</t>
        </is>
      </c>
      <c r="M3549" t="inlineStr">
        <is>
          <t>P.Q.S.  TIPO ABC AL 90% UL</t>
        </is>
      </c>
      <c r="N3549" t="inlineStr">
        <is>
          <t>22/004309</t>
        </is>
      </c>
      <c r="O3549" t="inlineStr">
        <is>
          <t>R</t>
        </is>
      </c>
      <c r="P3549">
        <f>TRIM(N3549)</f>
        <v/>
      </c>
    </row>
    <row r="3550">
      <c r="A3550" t="inlineStr">
        <is>
          <t>CO-002482</t>
        </is>
      </c>
      <c r="B3550" t="inlineStr">
        <is>
          <t>LINDE PERU S.R.L</t>
        </is>
      </c>
      <c r="C3550" t="inlineStr">
        <is>
          <t>20338570041</t>
        </is>
      </c>
      <c r="D3550" t="inlineStr">
        <is>
          <t>CAR.CARRET.CENTRAL KM.9.5 Z.I. ZONA INDUSTRIAL(DESVIO HUACHIPA LURIGANCHO CHOSICA) LIMA LURIGANCHO</t>
        </is>
      </c>
      <c r="E3550" t="inlineStr">
        <is>
          <t>Lima, 27 de Octubre de 2025</t>
        </is>
      </c>
      <c r="F3550" t="inlineStr">
        <is>
          <t>la Recarga y mantenimiento</t>
        </is>
      </c>
      <c r="G3550" t="n">
        <v>11</v>
      </c>
      <c r="H3550" t="inlineStr">
        <is>
          <t>12 KG</t>
        </is>
      </c>
      <c r="I3550" t="n">
        <v>2027</v>
      </c>
      <c r="J3550" t="n">
        <v>2012</v>
      </c>
      <c r="K3550" t="inlineStr">
        <is>
          <t>OCTUBRE 2025</t>
        </is>
      </c>
      <c r="L3550" t="inlineStr">
        <is>
          <t>OCTUBRE 2026</t>
        </is>
      </c>
      <c r="M3550" t="inlineStr">
        <is>
          <t>P.Q.S.  TIPO ABC AL 90% UL</t>
        </is>
      </c>
      <c r="N3550" t="inlineStr">
        <is>
          <t>16/004972</t>
        </is>
      </c>
      <c r="O3550" t="inlineStr">
        <is>
          <t>R</t>
        </is>
      </c>
      <c r="P3550">
        <f>TRIM(N3550)</f>
        <v/>
      </c>
    </row>
    <row r="3551">
      <c r="A3551" t="inlineStr">
        <is>
          <t>CO-002483</t>
        </is>
      </c>
      <c r="B3551" t="inlineStr">
        <is>
          <t>LINDE PERU S.R.L</t>
        </is>
      </c>
      <c r="C3551" t="inlineStr">
        <is>
          <t>20338570041</t>
        </is>
      </c>
      <c r="D3551" t="inlineStr">
        <is>
          <t>CAR.CARRET.CENTRAL KM.9.5 Z.I. ZONA INDUSTRIAL(DESVIO HUACHIPA LURIGANCHO CHOSICA) LIMA LURIGANCHO</t>
        </is>
      </c>
      <c r="E3551" t="inlineStr">
        <is>
          <t>Lima, 27 de Octubre de 2025</t>
        </is>
      </c>
      <c r="F3551" t="inlineStr">
        <is>
          <t>la Recarga y mantenimiento</t>
        </is>
      </c>
      <c r="G3551" t="inlineStr">
        <is>
          <t>01</t>
        </is>
      </c>
      <c r="H3551" t="inlineStr">
        <is>
          <t>12 KG</t>
        </is>
      </c>
      <c r="I3551" t="inlineStr">
        <is>
          <t>2027</t>
        </is>
      </c>
      <c r="J3551" t="n">
        <v>2012</v>
      </c>
      <c r="K3551" t="inlineStr">
        <is>
          <t>OCTUBRE 2025</t>
        </is>
      </c>
      <c r="L3551" t="inlineStr">
        <is>
          <t>OCTUBRE 2026</t>
        </is>
      </c>
      <c r="M3551" t="inlineStr">
        <is>
          <t>P.Q.S.  TIPO ABC AL 90% UL</t>
        </is>
      </c>
      <c r="N3551" t="inlineStr">
        <is>
          <t>20/004767</t>
        </is>
      </c>
      <c r="O3551" t="inlineStr">
        <is>
          <t>R</t>
        </is>
      </c>
      <c r="P3551">
        <f>TRIM(N3551)</f>
        <v/>
      </c>
    </row>
    <row r="3552">
      <c r="A3552" t="inlineStr">
        <is>
          <t>CO-002483</t>
        </is>
      </c>
      <c r="B3552" t="inlineStr">
        <is>
          <t>LINDE PERU S.R.L</t>
        </is>
      </c>
      <c r="C3552" t="inlineStr">
        <is>
          <t>20338570041</t>
        </is>
      </c>
      <c r="D3552" t="inlineStr">
        <is>
          <t>CAR.CARRET.CENTRAL KM.9.5 Z.I. ZONA INDUSTRIAL(DESVIO HUACHIPA LURIGANCHO CHOSICA) LIMA LURIGANCHO</t>
        </is>
      </c>
      <c r="E3552" t="inlineStr">
        <is>
          <t>Lima, 27 de Octubre de 2025</t>
        </is>
      </c>
      <c r="F3552" t="inlineStr">
        <is>
          <t>la Recarga y mantenimiento</t>
        </is>
      </c>
      <c r="G3552" t="inlineStr">
        <is>
          <t>02</t>
        </is>
      </c>
      <c r="H3552" t="inlineStr">
        <is>
          <t>12 KG</t>
        </is>
      </c>
      <c r="I3552" t="inlineStr">
        <is>
          <t>2027</t>
        </is>
      </c>
      <c r="J3552" t="n">
        <v>2011</v>
      </c>
      <c r="K3552" t="inlineStr">
        <is>
          <t>OCTUBRE 2025</t>
        </is>
      </c>
      <c r="L3552" t="inlineStr">
        <is>
          <t>OCTUBRE 2026</t>
        </is>
      </c>
      <c r="M3552" t="inlineStr">
        <is>
          <t>P.Q.S.  TIPO ABC AL 90% UL</t>
        </is>
      </c>
      <c r="N3552" t="inlineStr">
        <is>
          <t>13/002637</t>
        </is>
      </c>
      <c r="O3552" t="inlineStr">
        <is>
          <t>R</t>
        </is>
      </c>
      <c r="P3552">
        <f>TRIM(N3552)</f>
        <v/>
      </c>
    </row>
    <row r="3553">
      <c r="A3553" t="inlineStr">
        <is>
          <t>CO-002483</t>
        </is>
      </c>
      <c r="B3553" t="inlineStr">
        <is>
          <t>LINDE PERU S.R.L</t>
        </is>
      </c>
      <c r="C3553" t="inlineStr">
        <is>
          <t>20338570041</t>
        </is>
      </c>
      <c r="D3553" t="inlineStr">
        <is>
          <t>CAR.CARRET.CENTRAL KM.9.5 Z.I. ZONA INDUSTRIAL(DESVIO HUACHIPA LURIGANCHO CHOSICA) LIMA LURIGANCHO</t>
        </is>
      </c>
      <c r="E3553" t="inlineStr">
        <is>
          <t>Lima, 27 de Octubre de 2025</t>
        </is>
      </c>
      <c r="F3553" t="inlineStr">
        <is>
          <t>la Recarga y mantenimiento</t>
        </is>
      </c>
      <c r="G3553" t="inlineStr">
        <is>
          <t>03</t>
        </is>
      </c>
      <c r="H3553" t="inlineStr">
        <is>
          <t xml:space="preserve">12 KG </t>
        </is>
      </c>
      <c r="I3553" t="n">
        <v>2027</v>
      </c>
      <c r="J3553" t="n">
        <v>2012</v>
      </c>
      <c r="K3553" t="inlineStr">
        <is>
          <t>OCTUBRE 2025</t>
        </is>
      </c>
      <c r="L3553" t="inlineStr">
        <is>
          <t>OCTUBRE 2026</t>
        </is>
      </c>
      <c r="M3553" t="inlineStr">
        <is>
          <t>P.Q.S.  TIPO ABC AL 90% UL</t>
        </is>
      </c>
      <c r="N3553" t="inlineStr">
        <is>
          <t>09/004817</t>
        </is>
      </c>
      <c r="O3553" t="inlineStr">
        <is>
          <t>R</t>
        </is>
      </c>
      <c r="P3553">
        <f>TRIM(N3553)</f>
        <v/>
      </c>
    </row>
    <row r="3554">
      <c r="A3554" t="inlineStr">
        <is>
          <t>CO-002483</t>
        </is>
      </c>
      <c r="B3554" t="inlineStr">
        <is>
          <t>LINDE PERU S.R.L</t>
        </is>
      </c>
      <c r="C3554" t="inlineStr">
        <is>
          <t>20338570041</t>
        </is>
      </c>
      <c r="D3554" t="inlineStr">
        <is>
          <t>CAR.CARRET.CENTRAL KM.9.5 Z.I. ZONA INDUSTRIAL(DESVIO HUACHIPA LURIGANCHO CHOSICA) LIMA LURIGANCHO</t>
        </is>
      </c>
      <c r="E3554" t="inlineStr">
        <is>
          <t>Lima, 27 de Octubre de 2025</t>
        </is>
      </c>
      <c r="F3554" t="inlineStr">
        <is>
          <t>la Recarga y mantenimiento</t>
        </is>
      </c>
      <c r="G3554" t="inlineStr">
        <is>
          <t>04</t>
        </is>
      </c>
      <c r="H3554" t="inlineStr">
        <is>
          <t>12 KG</t>
        </is>
      </c>
      <c r="I3554" t="n">
        <v>2027</v>
      </c>
      <c r="J3554" t="n">
        <v>2012</v>
      </c>
      <c r="K3554" t="inlineStr">
        <is>
          <t>OCTUBRE 2025</t>
        </is>
      </c>
      <c r="L3554" t="inlineStr">
        <is>
          <t>OCTUBRE 2026</t>
        </is>
      </c>
      <c r="M3554" t="inlineStr">
        <is>
          <t>P.Q.S.  TIPO ABC AL 90% UL</t>
        </is>
      </c>
      <c r="N3554" t="inlineStr">
        <is>
          <t>11/004760</t>
        </is>
      </c>
      <c r="O3554" t="inlineStr">
        <is>
          <t>R</t>
        </is>
      </c>
      <c r="P3554">
        <f>TRIM(N3554)</f>
        <v/>
      </c>
    </row>
    <row r="3555">
      <c r="A3555" t="inlineStr">
        <is>
          <t>CO-002483</t>
        </is>
      </c>
      <c r="B3555" t="inlineStr">
        <is>
          <t>LINDE PERU S.R.L</t>
        </is>
      </c>
      <c r="C3555" t="inlineStr">
        <is>
          <t>20338570041</t>
        </is>
      </c>
      <c r="D3555" t="inlineStr">
        <is>
          <t>CAR.CARRET.CENTRAL KM.9.5 Z.I. ZONA INDUSTRIAL(DESVIO HUACHIPA LURIGANCHO CHOSICA) LIMA LURIGANCHO</t>
        </is>
      </c>
      <c r="E3555" t="inlineStr">
        <is>
          <t>Lima, 27 de Octubre de 2025</t>
        </is>
      </c>
      <c r="F3555" t="inlineStr">
        <is>
          <t>la Recarga y mantenimiento</t>
        </is>
      </c>
      <c r="G3555" t="inlineStr">
        <is>
          <t>05</t>
        </is>
      </c>
      <c r="H3555" t="inlineStr">
        <is>
          <t>12 KG</t>
        </is>
      </c>
      <c r="I3555" t="n">
        <v>2027</v>
      </c>
      <c r="J3555" t="n">
        <v>2012</v>
      </c>
      <c r="K3555" t="inlineStr">
        <is>
          <t>OCTUBRE 2025</t>
        </is>
      </c>
      <c r="L3555" t="inlineStr">
        <is>
          <t>OCTUBRE 2026</t>
        </is>
      </c>
      <c r="M3555" t="inlineStr">
        <is>
          <t>P.Q.S.  TIPO ABC AL 90% UL</t>
        </is>
      </c>
      <c r="N3555" t="inlineStr">
        <is>
          <t>10/004685</t>
        </is>
      </c>
      <c r="O3555" t="inlineStr">
        <is>
          <t>R</t>
        </is>
      </c>
      <c r="P3555">
        <f>TRIM(N3555)</f>
        <v/>
      </c>
    </row>
    <row r="3556">
      <c r="A3556" t="inlineStr">
        <is>
          <t>CO-002483</t>
        </is>
      </c>
      <c r="B3556" t="inlineStr">
        <is>
          <t>LINDE PERU S.R.L</t>
        </is>
      </c>
      <c r="C3556" t="inlineStr">
        <is>
          <t>20338570041</t>
        </is>
      </c>
      <c r="D3556" t="inlineStr">
        <is>
          <t>CAR.CARRET.CENTRAL KM.9.5 Z.I. ZONA INDUSTRIAL(DESVIO HUACHIPA LURIGANCHO CHOSICA) LIMA LURIGANCHO</t>
        </is>
      </c>
      <c r="E3556" t="inlineStr">
        <is>
          <t>Lima, 27 de Octubre de 2025</t>
        </is>
      </c>
      <c r="F3556" t="inlineStr">
        <is>
          <t>la Recarga y mantenimiento</t>
        </is>
      </c>
      <c r="G3556" t="inlineStr">
        <is>
          <t>06</t>
        </is>
      </c>
      <c r="H3556" t="inlineStr">
        <is>
          <t xml:space="preserve">12 KG </t>
        </is>
      </c>
      <c r="I3556" t="n">
        <v>2027</v>
      </c>
      <c r="J3556" t="n">
        <v>2007</v>
      </c>
      <c r="K3556" t="inlineStr">
        <is>
          <t>OCTUBRE 2025</t>
        </is>
      </c>
      <c r="L3556" t="inlineStr">
        <is>
          <t>OCTUBRE 2026</t>
        </is>
      </c>
      <c r="M3556" t="inlineStr">
        <is>
          <t>P.Q.S.  TIPO ABC AL 90% UL</t>
        </is>
      </c>
      <c r="N3556" t="inlineStr">
        <is>
          <t>28/000116</t>
        </is>
      </c>
      <c r="O3556" t="inlineStr">
        <is>
          <t>R</t>
        </is>
      </c>
      <c r="P3556">
        <f>TRIM(N3556)</f>
        <v/>
      </c>
    </row>
    <row r="3557">
      <c r="A3557" t="inlineStr">
        <is>
          <t>CO-002483</t>
        </is>
      </c>
      <c r="B3557" t="inlineStr">
        <is>
          <t>LINDE PERU S.R.L</t>
        </is>
      </c>
      <c r="C3557" t="inlineStr">
        <is>
          <t>20338570041</t>
        </is>
      </c>
      <c r="D3557" t="inlineStr">
        <is>
          <t>CAR.CARRET.CENTRAL KM.9.5 Z.I. ZONA INDUSTRIAL(DESVIO HUACHIPA LURIGANCHO CHOSICA) LIMA LURIGANCHO</t>
        </is>
      </c>
      <c r="E3557" t="inlineStr">
        <is>
          <t>Lima, 27 de Octubre de 2025</t>
        </is>
      </c>
      <c r="F3557" t="inlineStr">
        <is>
          <t>la Recarga y mantenimiento</t>
        </is>
      </c>
      <c r="G3557" t="inlineStr">
        <is>
          <t>07</t>
        </is>
      </c>
      <c r="H3557" t="inlineStr">
        <is>
          <t>12 KG</t>
        </is>
      </c>
      <c r="I3557" t="n">
        <v>2028</v>
      </c>
      <c r="J3557" t="n">
        <v>2018</v>
      </c>
      <c r="K3557" t="inlineStr">
        <is>
          <t>OCTUBRE 2025</t>
        </is>
      </c>
      <c r="L3557" t="inlineStr">
        <is>
          <t>OCTUBRE 2026</t>
        </is>
      </c>
      <c r="M3557" t="inlineStr">
        <is>
          <t>P.Q.S.  TIPO ABC AL 90% UL</t>
        </is>
      </c>
      <c r="N3557" t="inlineStr">
        <is>
          <t>31/004518</t>
        </is>
      </c>
      <c r="O3557" t="inlineStr">
        <is>
          <t>R</t>
        </is>
      </c>
      <c r="P3557">
        <f>TRIM(N3557)</f>
        <v/>
      </c>
    </row>
    <row r="3558">
      <c r="A3558" t="inlineStr">
        <is>
          <t>CO-002483</t>
        </is>
      </c>
      <c r="B3558" t="inlineStr">
        <is>
          <t>LINDE PERU S.R.L</t>
        </is>
      </c>
      <c r="C3558" t="inlineStr">
        <is>
          <t>20338570041</t>
        </is>
      </c>
      <c r="D3558" t="inlineStr">
        <is>
          <t>CAR.CARRET.CENTRAL KM.9.5 Z.I. ZONA INDUSTRIAL(DESVIO HUACHIPA LURIGANCHO CHOSICA) LIMA LURIGANCHO</t>
        </is>
      </c>
      <c r="E3558" t="inlineStr">
        <is>
          <t>Lima, 27 de Octubre de 2025</t>
        </is>
      </c>
      <c r="F3558" t="inlineStr">
        <is>
          <t>la Recarga y mantenimiento</t>
        </is>
      </c>
      <c r="G3558" t="inlineStr">
        <is>
          <t xml:space="preserve">08 </t>
        </is>
      </c>
      <c r="H3558" t="inlineStr">
        <is>
          <t>12 KG</t>
        </is>
      </c>
      <c r="I3558" t="n">
        <v>2027</v>
      </c>
      <c r="J3558" t="n">
        <v>2007</v>
      </c>
      <c r="K3558" t="inlineStr">
        <is>
          <t>OCTUBRE 2025</t>
        </is>
      </c>
      <c r="L3558" t="inlineStr">
        <is>
          <t>OCTUBRE 2026</t>
        </is>
      </c>
      <c r="M3558" t="inlineStr">
        <is>
          <t>P.Q.S.  TIPO ABC AL 90% UL</t>
        </is>
      </c>
      <c r="N3558" t="inlineStr">
        <is>
          <t>27/000133</t>
        </is>
      </c>
      <c r="O3558" t="inlineStr">
        <is>
          <t>R</t>
        </is>
      </c>
      <c r="P3558">
        <f>TRIM(N3558)</f>
        <v/>
      </c>
    </row>
    <row r="3559">
      <c r="A3559" t="inlineStr">
        <is>
          <t>CO-002483</t>
        </is>
      </c>
      <c r="B3559" t="inlineStr">
        <is>
          <t>LINDE PERU S.R.L</t>
        </is>
      </c>
      <c r="C3559" t="inlineStr">
        <is>
          <t>20338570041</t>
        </is>
      </c>
      <c r="D3559" t="inlineStr">
        <is>
          <t>CAR.CARRET.CENTRAL KM.9.5 Z.I. ZONA INDUSTRIAL(DESVIO HUACHIPA LURIGANCHO CHOSICA) LIMA LURIGANCHO</t>
        </is>
      </c>
      <c r="E3559" t="inlineStr">
        <is>
          <t>Lima, 27 de Octubre de 2025</t>
        </is>
      </c>
      <c r="F3559" t="inlineStr">
        <is>
          <t>la Recarga y mantenimiento</t>
        </is>
      </c>
      <c r="G3559" t="inlineStr">
        <is>
          <t xml:space="preserve">09 </t>
        </is>
      </c>
      <c r="H3559" t="inlineStr">
        <is>
          <t>09 KG</t>
        </is>
      </c>
      <c r="I3559" t="n">
        <v>2027</v>
      </c>
      <c r="J3559" t="n">
        <v>2012</v>
      </c>
      <c r="K3559" t="inlineStr">
        <is>
          <t>OCTUBRE 2025</t>
        </is>
      </c>
      <c r="L3559" t="inlineStr">
        <is>
          <t>OCTUBRE 2026</t>
        </is>
      </c>
      <c r="M3559" t="inlineStr">
        <is>
          <t>P.Q.S.  TIPO ABC AL 90% UL</t>
        </is>
      </c>
      <c r="N3559" t="inlineStr">
        <is>
          <t>33/000426</t>
        </is>
      </c>
      <c r="O3559" t="inlineStr">
        <is>
          <t>R</t>
        </is>
      </c>
      <c r="P3559">
        <f>TRIM(N3559)</f>
        <v/>
      </c>
    </row>
    <row r="3560">
      <c r="A3560" t="inlineStr">
        <is>
          <t>CO-002483</t>
        </is>
      </c>
      <c r="B3560" t="inlineStr">
        <is>
          <t>LINDE PERU S.R.L</t>
        </is>
      </c>
      <c r="C3560" t="inlineStr">
        <is>
          <t>20338570041</t>
        </is>
      </c>
      <c r="D3560" t="inlineStr">
        <is>
          <t>CAR.CARRET.CENTRAL KM.9.5 Z.I. ZONA INDUSTRIAL(DESVIO HUACHIPA LURIGANCHO CHOSICA) LIMA LURIGANCHO</t>
        </is>
      </c>
      <c r="E3560" t="inlineStr">
        <is>
          <t>Lima, 27 de Octubre de 2025</t>
        </is>
      </c>
      <c r="F3560" t="inlineStr">
        <is>
          <t>la Recarga y mantenimiento</t>
        </is>
      </c>
      <c r="G3560" t="n">
        <v>10</v>
      </c>
      <c r="H3560" t="inlineStr">
        <is>
          <t>06 KG</t>
        </is>
      </c>
      <c r="I3560" t="n">
        <v>2027</v>
      </c>
      <c r="J3560" t="n">
        <v>2011</v>
      </c>
      <c r="K3560" t="inlineStr">
        <is>
          <t>OCTUBRE 2025</t>
        </is>
      </c>
      <c r="L3560" t="inlineStr">
        <is>
          <t>OCTUBRE 2026</t>
        </is>
      </c>
      <c r="M3560" t="inlineStr">
        <is>
          <t>P.Q.S.  TIPO ABC AL 90% UL</t>
        </is>
      </c>
      <c r="N3560" t="inlineStr">
        <is>
          <t>01/384828</t>
        </is>
      </c>
      <c r="O3560" t="inlineStr">
        <is>
          <t>R</t>
        </is>
      </c>
      <c r="P3560">
        <f>TRIM(N3560)</f>
        <v/>
      </c>
    </row>
    <row r="3561">
      <c r="A3561" t="inlineStr">
        <is>
          <t>CO-002484</t>
        </is>
      </c>
      <c r="B3561" t="inlineStr">
        <is>
          <t>LINDE PERU S.R.L</t>
        </is>
      </c>
      <c r="C3561" t="inlineStr">
        <is>
          <t>20338570041</t>
        </is>
      </c>
      <c r="D3561" t="inlineStr">
        <is>
          <t>CAR.CARRET.CENTRAL KM.9.5 Z.I. ZONA INDUSTRIAL(DESVIO HUACHIPA LURIGANCHO CHOSICA) LIMA LURIGANCHO</t>
        </is>
      </c>
      <c r="E3561" t="inlineStr">
        <is>
          <t>Lima, 27 de Octubre de 2025</t>
        </is>
      </c>
      <c r="F3561" t="inlineStr">
        <is>
          <t>la Recarga y mantenimiento</t>
        </is>
      </c>
      <c r="G3561" t="inlineStr">
        <is>
          <t>01</t>
        </is>
      </c>
      <c r="H3561" t="inlineStr">
        <is>
          <t>20 LBS</t>
        </is>
      </c>
      <c r="I3561" t="inlineStr">
        <is>
          <t>2027</t>
        </is>
      </c>
      <c r="J3561" t="n">
        <v>2007</v>
      </c>
      <c r="K3561" t="inlineStr">
        <is>
          <t>OCTUBRE 2025</t>
        </is>
      </c>
      <c r="L3561" t="inlineStr">
        <is>
          <t>OCTUBRE 2026</t>
        </is>
      </c>
      <c r="M3561" t="inlineStr">
        <is>
          <t>CO2 / TIPO BC</t>
        </is>
      </c>
      <c r="N3561" t="inlineStr">
        <is>
          <t>15/Z-745340</t>
        </is>
      </c>
      <c r="O3561" t="inlineStr">
        <is>
          <t>R</t>
        </is>
      </c>
      <c r="P3561">
        <f>TRIM(N3561)</f>
        <v/>
      </c>
    </row>
    <row r="3562">
      <c r="A3562" t="inlineStr">
        <is>
          <t>CO-002484</t>
        </is>
      </c>
      <c r="B3562" t="inlineStr">
        <is>
          <t>LINDE PERU S.R.L</t>
        </is>
      </c>
      <c r="C3562" t="inlineStr">
        <is>
          <t>20338570041</t>
        </is>
      </c>
      <c r="D3562" t="inlineStr">
        <is>
          <t>CAR.CARRET.CENTRAL KM.9.5 Z.I. ZONA INDUSTRIAL(DESVIO HUACHIPA LURIGANCHO CHOSICA) LIMA LURIGANCHO</t>
        </is>
      </c>
      <c r="E3562" t="inlineStr">
        <is>
          <t>Lima, 27 de Octubre de 2025</t>
        </is>
      </c>
      <c r="F3562" t="inlineStr">
        <is>
          <t>la Recarga y mantenimiento</t>
        </is>
      </c>
      <c r="G3562" t="inlineStr">
        <is>
          <t xml:space="preserve">02 </t>
        </is>
      </c>
      <c r="H3562" t="inlineStr">
        <is>
          <t>20 LBS</t>
        </is>
      </c>
      <c r="I3562" t="inlineStr">
        <is>
          <t>2027</t>
        </is>
      </c>
      <c r="J3562" t="n">
        <v>2012</v>
      </c>
      <c r="K3562" t="inlineStr">
        <is>
          <t>OCTUBRE 2025</t>
        </is>
      </c>
      <c r="L3562" t="inlineStr">
        <is>
          <t>OCTUBRE 2026</t>
        </is>
      </c>
      <c r="M3562" t="inlineStr">
        <is>
          <t>CO2 / TIPO BC</t>
        </is>
      </c>
      <c r="N3562" t="inlineStr">
        <is>
          <t>26/AB-961745</t>
        </is>
      </c>
      <c r="O3562" t="inlineStr">
        <is>
          <t>R</t>
        </is>
      </c>
      <c r="P3562">
        <f>TRIM(N3562)</f>
        <v/>
      </c>
    </row>
    <row r="3563">
      <c r="A3563" t="inlineStr">
        <is>
          <t>CO-002484</t>
        </is>
      </c>
      <c r="B3563" t="inlineStr">
        <is>
          <t>LINDE PERU S.R.L</t>
        </is>
      </c>
      <c r="C3563" t="inlineStr">
        <is>
          <t>20338570041</t>
        </is>
      </c>
      <c r="D3563" t="inlineStr">
        <is>
          <t>CAR.CARRET.CENTRAL KM.9.5 Z.I. ZONA INDUSTRIAL(DESVIO HUACHIPA LURIGANCHO CHOSICA) LIMA LURIGANCHO</t>
        </is>
      </c>
      <c r="E3563" t="inlineStr">
        <is>
          <t>Lima, 27 de Octubre de 2025</t>
        </is>
      </c>
      <c r="F3563" t="inlineStr">
        <is>
          <t>la Recarga y mantenimiento</t>
        </is>
      </c>
      <c r="G3563" t="inlineStr">
        <is>
          <t>03</t>
        </is>
      </c>
      <c r="H3563" t="inlineStr">
        <is>
          <t>20 LBS</t>
        </is>
      </c>
      <c r="I3563" t="n">
        <v>2028</v>
      </c>
      <c r="J3563" t="n">
        <v>2013</v>
      </c>
      <c r="K3563" t="inlineStr">
        <is>
          <t>OCTUBRE 2025</t>
        </is>
      </c>
      <c r="L3563" t="inlineStr">
        <is>
          <t>OCTUBRE 2026</t>
        </is>
      </c>
      <c r="M3563" t="inlineStr">
        <is>
          <t>CO2 / TIPO BC</t>
        </is>
      </c>
      <c r="N3563" t="inlineStr">
        <is>
          <t>34/AC-538135</t>
        </is>
      </c>
      <c r="O3563" t="inlineStr">
        <is>
          <t>R</t>
        </is>
      </c>
      <c r="P3563">
        <f>TRIM(N3563)</f>
        <v/>
      </c>
    </row>
    <row r="3564">
      <c r="A3564" t="inlineStr">
        <is>
          <t>CO-002484</t>
        </is>
      </c>
      <c r="B3564" t="inlineStr">
        <is>
          <t>LINDE PERU S.R.L</t>
        </is>
      </c>
      <c r="C3564" t="inlineStr">
        <is>
          <t>20338570041</t>
        </is>
      </c>
      <c r="D3564" t="inlineStr">
        <is>
          <t>CAR.CARRET.CENTRAL KM.9.5 Z.I. ZONA INDUSTRIAL(DESVIO HUACHIPA LURIGANCHO CHOSICA) LIMA LURIGANCHO</t>
        </is>
      </c>
      <c r="E3564" t="inlineStr">
        <is>
          <t>Lima, 27 de Octubre de 2025</t>
        </is>
      </c>
      <c r="F3564" t="inlineStr">
        <is>
          <t>la Recarga y mantenimiento</t>
        </is>
      </c>
      <c r="G3564" t="inlineStr">
        <is>
          <t>04</t>
        </is>
      </c>
      <c r="H3564" t="inlineStr">
        <is>
          <t>20 LBS</t>
        </is>
      </c>
      <c r="I3564" t="n">
        <v>2027</v>
      </c>
      <c r="J3564" t="n">
        <v>2007</v>
      </c>
      <c r="K3564" t="inlineStr">
        <is>
          <t>OCTUBRE 2025</t>
        </is>
      </c>
      <c r="L3564" t="inlineStr">
        <is>
          <t>OCTUBRE 2026</t>
        </is>
      </c>
      <c r="M3564" t="inlineStr">
        <is>
          <t>CO2 / TIPO BC</t>
        </is>
      </c>
      <c r="N3564" t="inlineStr">
        <is>
          <t>25/Z-745343</t>
        </is>
      </c>
      <c r="O3564" t="inlineStr">
        <is>
          <t>R</t>
        </is>
      </c>
      <c r="P3564">
        <f>TRIM(N3564)</f>
        <v/>
      </c>
    </row>
    <row r="3565">
      <c r="A3565" t="inlineStr">
        <is>
          <t>CO-002484</t>
        </is>
      </c>
      <c r="B3565" t="inlineStr">
        <is>
          <t>LINDE PERU S.R.L</t>
        </is>
      </c>
      <c r="C3565" t="inlineStr">
        <is>
          <t>20338570041</t>
        </is>
      </c>
      <c r="D3565" t="inlineStr">
        <is>
          <t>CAR.CARRET.CENTRAL KM.9.5 Z.I. ZONA INDUSTRIAL(DESVIO HUACHIPA LURIGANCHO CHOSICA) LIMA LURIGANCHO</t>
        </is>
      </c>
      <c r="E3565" t="inlineStr">
        <is>
          <t>Lima, 27 de Octubre de 2025</t>
        </is>
      </c>
      <c r="F3565" t="inlineStr">
        <is>
          <t>la Recarga y mantenimiento</t>
        </is>
      </c>
      <c r="G3565" t="inlineStr">
        <is>
          <t>05</t>
        </is>
      </c>
      <c r="H3565" t="inlineStr">
        <is>
          <t>20 LBS</t>
        </is>
      </c>
      <c r="I3565" t="n">
        <v>2027</v>
      </c>
      <c r="J3565" t="n">
        <v>2012</v>
      </c>
      <c r="K3565" t="inlineStr">
        <is>
          <t>OCTUBRE 2025</t>
        </is>
      </c>
      <c r="L3565" t="inlineStr">
        <is>
          <t>OCTUBRE 2026</t>
        </is>
      </c>
      <c r="M3565" t="inlineStr">
        <is>
          <t>CO2 / TIPO BC</t>
        </is>
      </c>
      <c r="N3565" t="inlineStr">
        <is>
          <t>02/Z-745339</t>
        </is>
      </c>
      <c r="O3565" t="inlineStr">
        <is>
          <t>R</t>
        </is>
      </c>
      <c r="P3565">
        <f>TRIM(N3565)</f>
        <v/>
      </c>
    </row>
    <row r="3566">
      <c r="A3566" t="inlineStr">
        <is>
          <t>CO-002484</t>
        </is>
      </c>
      <c r="B3566" t="inlineStr">
        <is>
          <t>LINDE PERU S.R.L</t>
        </is>
      </c>
      <c r="C3566" t="inlineStr">
        <is>
          <t>20338570041</t>
        </is>
      </c>
      <c r="D3566" t="inlineStr">
        <is>
          <t>CAR.CARRET.CENTRAL KM.9.5 Z.I. ZONA INDUSTRIAL(DESVIO HUACHIPA LURIGANCHO CHOSICA) LIMA LURIGANCHO</t>
        </is>
      </c>
      <c r="E3566" t="inlineStr">
        <is>
          <t>Lima, 27 de Octubre de 2025</t>
        </is>
      </c>
      <c r="F3566" t="inlineStr">
        <is>
          <t>la Recarga y mantenimiento</t>
        </is>
      </c>
      <c r="G3566" t="inlineStr">
        <is>
          <t xml:space="preserve">06 </t>
        </is>
      </c>
      <c r="H3566" t="inlineStr">
        <is>
          <t>20 LBS</t>
        </is>
      </c>
      <c r="I3566" t="n">
        <v>2027</v>
      </c>
      <c r="J3566" t="n">
        <v>2007</v>
      </c>
      <c r="K3566" t="inlineStr">
        <is>
          <t>OCTUBRE 2025</t>
        </is>
      </c>
      <c r="L3566" t="inlineStr">
        <is>
          <t>OCTUBRE 2026</t>
        </is>
      </c>
      <c r="M3566" t="inlineStr">
        <is>
          <t>CO2 / TIPO BC</t>
        </is>
      </c>
      <c r="N3566" t="inlineStr">
        <is>
          <t>19/V-862717</t>
        </is>
      </c>
      <c r="O3566" t="inlineStr">
        <is>
          <t>R</t>
        </is>
      </c>
      <c r="P3566">
        <f>TRIM(N3566)</f>
        <v/>
      </c>
    </row>
    <row r="3567">
      <c r="A3567" t="inlineStr">
        <is>
          <t>CO-002484</t>
        </is>
      </c>
      <c r="B3567" t="inlineStr">
        <is>
          <t>LINDE PERU S.R.L</t>
        </is>
      </c>
      <c r="C3567" t="inlineStr">
        <is>
          <t>20338570041</t>
        </is>
      </c>
      <c r="D3567" t="inlineStr">
        <is>
          <t>CAR.CARRET.CENTRAL KM.9.5 Z.I. ZONA INDUSTRIAL(DESVIO HUACHIPA LURIGANCHO CHOSICA) LIMA LURIGANCHO</t>
        </is>
      </c>
      <c r="E3567" t="inlineStr">
        <is>
          <t>Lima, 27 de Octubre de 2025</t>
        </is>
      </c>
      <c r="F3567" t="inlineStr">
        <is>
          <t>la Recarga y mantenimiento</t>
        </is>
      </c>
      <c r="G3567" t="inlineStr">
        <is>
          <t>07</t>
        </is>
      </c>
      <c r="H3567" t="inlineStr">
        <is>
          <t xml:space="preserve">15 LBS </t>
        </is>
      </c>
      <c r="I3567" t="n">
        <v>2027</v>
      </c>
      <c r="J3567" t="n">
        <v>2012</v>
      </c>
      <c r="K3567" t="inlineStr">
        <is>
          <t>OCTUBRE 2025</t>
        </is>
      </c>
      <c r="L3567" t="inlineStr">
        <is>
          <t>OCTUBRE 2026</t>
        </is>
      </c>
      <c r="M3567" t="inlineStr">
        <is>
          <t>CO2 / TIPO BC</t>
        </is>
      </c>
      <c r="N3567" t="inlineStr">
        <is>
          <t>29/AC-224997</t>
        </is>
      </c>
      <c r="O3567" t="inlineStr">
        <is>
          <t>R</t>
        </is>
      </c>
      <c r="P3567">
        <f>TRIM(N3567)</f>
        <v/>
      </c>
    </row>
    <row r="3568">
      <c r="A3568" t="inlineStr">
        <is>
          <t>CO-002484</t>
        </is>
      </c>
      <c r="B3568" t="inlineStr">
        <is>
          <t>LINDE PERU S.R.L</t>
        </is>
      </c>
      <c r="C3568" t="inlineStr">
        <is>
          <t>20338570041</t>
        </is>
      </c>
      <c r="D3568" t="inlineStr">
        <is>
          <t>CAR.CARRET.CENTRAL KM.9.5 Z.I. ZONA INDUSTRIAL(DESVIO HUACHIPA LURIGANCHO CHOSICA) LIMA LURIGANCHO</t>
        </is>
      </c>
      <c r="E3568" t="inlineStr">
        <is>
          <t>Lima, 27 de Octubre de 2025</t>
        </is>
      </c>
      <c r="F3568" t="inlineStr">
        <is>
          <t>la Recarga y mantenimiento</t>
        </is>
      </c>
      <c r="G3568" t="inlineStr">
        <is>
          <t>08</t>
        </is>
      </c>
      <c r="H3568" t="inlineStr">
        <is>
          <t>10 LBS</t>
        </is>
      </c>
      <c r="I3568" t="n">
        <v>2027</v>
      </c>
      <c r="J3568" t="n">
        <v>2011</v>
      </c>
      <c r="K3568" t="inlineStr">
        <is>
          <t>OCTUBRE 2025</t>
        </is>
      </c>
      <c r="L3568" t="inlineStr">
        <is>
          <t>OCTUBRE 2026</t>
        </is>
      </c>
      <c r="M3568" t="inlineStr">
        <is>
          <t>CO2 / TIPO BC</t>
        </is>
      </c>
      <c r="N3568" t="inlineStr">
        <is>
          <t>04/000069</t>
        </is>
      </c>
      <c r="O3568" t="inlineStr">
        <is>
          <t>R</t>
        </is>
      </c>
      <c r="P3568">
        <f>TRIM(N3568)</f>
        <v/>
      </c>
    </row>
    <row r="3569">
      <c r="A3569" t="inlineStr">
        <is>
          <t>CO-002484</t>
        </is>
      </c>
      <c r="B3569" t="inlineStr">
        <is>
          <t>LINDE PERU S.R.L</t>
        </is>
      </c>
      <c r="C3569" t="inlineStr">
        <is>
          <t>20338570041</t>
        </is>
      </c>
      <c r="D3569" t="inlineStr">
        <is>
          <t>CAR.CARRET.CENTRAL KM.9.5 Z.I. ZONA INDUSTRIAL(DESVIO HUACHIPA LURIGANCHO CHOSICA) LIMA LURIGANCHO</t>
        </is>
      </c>
      <c r="E3569" t="inlineStr">
        <is>
          <t>Lima, 27 de Octubre de 2025</t>
        </is>
      </c>
      <c r="F3569" t="inlineStr">
        <is>
          <t>la Recarga y mantenimiento</t>
        </is>
      </c>
      <c r="G3569" t="inlineStr">
        <is>
          <t>09</t>
        </is>
      </c>
      <c r="H3569" t="inlineStr">
        <is>
          <t>10 LBS</t>
        </is>
      </c>
      <c r="I3569" t="n">
        <v>2027</v>
      </c>
      <c r="J3569" t="n">
        <v>2011</v>
      </c>
      <c r="K3569" t="inlineStr">
        <is>
          <t>OCTUBRE 2025</t>
        </is>
      </c>
      <c r="L3569" t="inlineStr">
        <is>
          <t>OCTUBRE 2026</t>
        </is>
      </c>
      <c r="M3569" t="inlineStr">
        <is>
          <t>CO2 / TIPO BC</t>
        </is>
      </c>
      <c r="N3569" t="inlineStr">
        <is>
          <t>05/000132</t>
        </is>
      </c>
      <c r="O3569" t="inlineStr">
        <is>
          <t>R</t>
        </is>
      </c>
      <c r="P3569">
        <f>TRIM(N3569)</f>
        <v/>
      </c>
    </row>
    <row r="3570">
      <c r="A3570" t="inlineStr">
        <is>
          <t>CO-002484</t>
        </is>
      </c>
      <c r="B3570" t="inlineStr">
        <is>
          <t>LINDE PERU S.R.L</t>
        </is>
      </c>
      <c r="C3570" t="inlineStr">
        <is>
          <t>20338570041</t>
        </is>
      </c>
      <c r="D3570" t="inlineStr">
        <is>
          <t>CAR.CARRET.CENTRAL KM.9.5 Z.I. ZONA INDUSTRIAL(DESVIO HUACHIPA LURIGANCHO CHOSICA) LIMA LURIGANCHO</t>
        </is>
      </c>
      <c r="E3570" t="inlineStr">
        <is>
          <t>Lima, 27 de Octubre de 2025</t>
        </is>
      </c>
      <c r="F3570" t="inlineStr">
        <is>
          <t>la Recarga y mantenimiento</t>
        </is>
      </c>
      <c r="G3570" t="n">
        <v>10</v>
      </c>
      <c r="H3570" t="inlineStr">
        <is>
          <t>10 LBS</t>
        </is>
      </c>
      <c r="I3570" t="n">
        <v>2026</v>
      </c>
      <c r="J3570" t="n">
        <v>2010</v>
      </c>
      <c r="K3570" t="inlineStr">
        <is>
          <t>OCTUBRE 2025</t>
        </is>
      </c>
      <c r="L3570" t="inlineStr">
        <is>
          <t>OCTUBRE 2026</t>
        </is>
      </c>
      <c r="M3570" t="inlineStr">
        <is>
          <t>CO2 / TIPO BC</t>
        </is>
      </c>
      <c r="N3570" t="inlineStr">
        <is>
          <t>35/AB-529933</t>
        </is>
      </c>
      <c r="O3570" t="inlineStr">
        <is>
          <t>R</t>
        </is>
      </c>
      <c r="P3570">
        <f>TRIM(N3570)</f>
        <v/>
      </c>
    </row>
    <row r="3571">
      <c r="A3571" t="inlineStr">
        <is>
          <t>CO-002485</t>
        </is>
      </c>
      <c r="B3571" t="inlineStr">
        <is>
          <t>LINDE PERU S.R.L</t>
        </is>
      </c>
      <c r="C3571" t="inlineStr">
        <is>
          <t>20338570041</t>
        </is>
      </c>
      <c r="D3571" t="inlineStr">
        <is>
          <t>CAR.CARRET.CENTRAL KM.9.5 Z.I. ZONA INDUSTRIAL(DESVIO HUACHIPA LURIGANCHO CHOSICA) LIMA LURIGANCHO</t>
        </is>
      </c>
      <c r="E3571" t="inlineStr">
        <is>
          <t>Lima, 27 de Octubre de 2025</t>
        </is>
      </c>
      <c r="F3571" t="inlineStr">
        <is>
          <t>Mantenimiento</t>
        </is>
      </c>
      <c r="G3571" t="inlineStr">
        <is>
          <t>01</t>
        </is>
      </c>
      <c r="H3571" t="inlineStr">
        <is>
          <t>05 LBS</t>
        </is>
      </c>
      <c r="I3571" t="inlineStr">
        <is>
          <t>2027</t>
        </is>
      </c>
      <c r="J3571" t="n">
        <v>2012</v>
      </c>
      <c r="K3571" t="inlineStr">
        <is>
          <t>OCTUBRE 2025</t>
        </is>
      </c>
      <c r="L3571" t="inlineStr">
        <is>
          <t>OCTUBRE 2026</t>
        </is>
      </c>
      <c r="M3571" t="inlineStr">
        <is>
          <t>HALOTRON 1/TIPO BC</t>
        </is>
      </c>
      <c r="N3571" t="inlineStr">
        <is>
          <t>03/Y-290776</t>
        </is>
      </c>
      <c r="O3571" t="inlineStr">
        <is>
          <t>M3</t>
        </is>
      </c>
      <c r="P3571">
        <f>TRIM(N3571)</f>
        <v/>
      </c>
    </row>
    <row r="3572">
      <c r="A3572" t="inlineStr">
        <is>
          <t>CO-002485</t>
        </is>
      </c>
      <c r="B3572" t="inlineStr">
        <is>
          <t>LINDE PERU S.R.L</t>
        </is>
      </c>
      <c r="C3572" t="inlineStr">
        <is>
          <t>20338570041</t>
        </is>
      </c>
      <c r="D3572" t="inlineStr">
        <is>
          <t>CAR.CARRET.CENTRAL KM.9.5 Z.I. ZONA INDUSTRIAL(DESVIO HUACHIPA LURIGANCHO CHOSICA) LIMA LURIGANCHO</t>
        </is>
      </c>
      <c r="E3572" t="inlineStr">
        <is>
          <t>Lima, 27 de Octubre de 2025</t>
        </is>
      </c>
      <c r="F3572" t="inlineStr">
        <is>
          <t>Mantenimiento</t>
        </is>
      </c>
      <c r="G3572" t="inlineStr">
        <is>
          <t>02</t>
        </is>
      </c>
      <c r="H3572" t="inlineStr">
        <is>
          <t>05 LBS</t>
        </is>
      </c>
      <c r="I3572" t="n">
        <v>2027</v>
      </c>
      <c r="J3572" t="n">
        <v>2012</v>
      </c>
      <c r="K3572" t="inlineStr">
        <is>
          <t>OCTUBRE 2025</t>
        </is>
      </c>
      <c r="L3572" t="inlineStr">
        <is>
          <t>OCTUBRE 2026</t>
        </is>
      </c>
      <c r="M3572" t="inlineStr">
        <is>
          <t>HALOTRON 1/TIPO BC</t>
        </is>
      </c>
      <c r="N3572" t="inlineStr">
        <is>
          <t>24/Y-290775</t>
        </is>
      </c>
      <c r="O3572" t="inlineStr">
        <is>
          <t>M3</t>
        </is>
      </c>
      <c r="P3572">
        <f>TRIM(N3572)</f>
        <v/>
      </c>
    </row>
    <row r="3573">
      <c r="A3573" t="inlineStr">
        <is>
          <t>CO-002485</t>
        </is>
      </c>
      <c r="B3573" t="inlineStr">
        <is>
          <t>LINDE PERU S.R.L</t>
        </is>
      </c>
      <c r="C3573" t="inlineStr">
        <is>
          <t>20338570041</t>
        </is>
      </c>
      <c r="D3573" t="inlineStr">
        <is>
          <t>CAR.CARRET.CENTRAL KM.9.5 Z.I. ZONA INDUSTRIAL(DESVIO HUACHIPA LURIGANCHO CHOSICA) LIMA LURIGANCHO</t>
        </is>
      </c>
      <c r="E3573" t="inlineStr">
        <is>
          <t>Lima, 27 de Octubre de 2025</t>
        </is>
      </c>
      <c r="F3573" t="inlineStr">
        <is>
          <t>Mantenimiento</t>
        </is>
      </c>
      <c r="G3573" t="inlineStr">
        <is>
          <t>03</t>
        </is>
      </c>
      <c r="H3573" t="inlineStr">
        <is>
          <t>05 LBS</t>
        </is>
      </c>
      <c r="I3573" t="n">
        <v>2029</v>
      </c>
      <c r="J3573" t="n">
        <v>2014</v>
      </c>
      <c r="K3573" t="inlineStr">
        <is>
          <t>OCTUBRE 2024</t>
        </is>
      </c>
      <c r="L3573" t="inlineStr">
        <is>
          <t>OCTUBRE 2025</t>
        </is>
      </c>
      <c r="M3573" t="inlineStr">
        <is>
          <t>HALOTRON 1/TIPO BC</t>
        </is>
      </c>
      <c r="N3573" t="inlineStr">
        <is>
          <t>23/001581</t>
        </is>
      </c>
      <c r="O3573" t="inlineStr">
        <is>
          <t>M1</t>
        </is>
      </c>
      <c r="P3573">
        <f>TRIM(N3573)</f>
        <v/>
      </c>
    </row>
    <row r="3574">
      <c r="A3574" t="inlineStr">
        <is>
          <t>CO-002486</t>
        </is>
      </c>
      <c r="B3574" t="inlineStr">
        <is>
          <t>LINDE PERU S.R.L</t>
        </is>
      </c>
      <c r="C3574" t="inlineStr">
        <is>
          <t>20338570041</t>
        </is>
      </c>
      <c r="D3574" t="inlineStr">
        <is>
          <t>CAR.CARRET.CENTRAL KM.9.5 Z.I. ZONA INDUSTRIAL(DESVIO HUACHIPA LURIGANCHO CHOSICA) LIMA LURIGANCHO</t>
        </is>
      </c>
      <c r="E3574" t="inlineStr">
        <is>
          <t>Lima, 27 de Octubre de 2025</t>
        </is>
      </c>
      <c r="F3574" t="inlineStr">
        <is>
          <t>la Recarga y mantenimiento</t>
        </is>
      </c>
      <c r="G3574" t="inlineStr">
        <is>
          <t>01</t>
        </is>
      </c>
      <c r="H3574" t="inlineStr">
        <is>
          <t>05 LBS</t>
        </is>
      </c>
      <c r="I3574" t="inlineStr">
        <is>
          <t>2027</t>
        </is>
      </c>
      <c r="J3574" t="n">
        <v>2012</v>
      </c>
      <c r="K3574" t="inlineStr">
        <is>
          <t>OCTUBRE 2025</t>
        </is>
      </c>
      <c r="L3574" t="inlineStr">
        <is>
          <t>OCTUBRE 2026</t>
        </is>
      </c>
      <c r="M3574" t="inlineStr">
        <is>
          <t>HALOTRON 1/TIPO BC</t>
        </is>
      </c>
      <c r="N3574" t="inlineStr">
        <is>
          <t>06/Y-290891</t>
        </is>
      </c>
      <c r="O3574" t="inlineStr">
        <is>
          <t>R</t>
        </is>
      </c>
      <c r="P3574">
        <f>TRIM(N3574)</f>
        <v/>
      </c>
    </row>
    <row r="3575">
      <c r="A3575" t="inlineStr">
        <is>
          <t xml:space="preserve"> </t>
        </is>
      </c>
      <c r="B3575" t="inlineStr">
        <is>
          <t>TEODOCIA FIAFILIO BION DE ROJAS</t>
        </is>
      </c>
      <c r="C3575" t="inlineStr">
        <is>
          <t>06891720</t>
        </is>
      </c>
      <c r="D3575" t="inlineStr">
        <is>
          <t>MERCADO ALBORADA- PUESTO #39</t>
        </is>
      </c>
      <c r="E3575" t="inlineStr">
        <is>
          <t>Lima, 31 de Octubre de 2025</t>
        </is>
      </c>
      <c r="F3575" t="inlineStr">
        <is>
          <t>La venta</t>
        </is>
      </c>
      <c r="G3575" t="inlineStr">
        <is>
          <t>01</t>
        </is>
      </c>
      <c r="H3575" t="inlineStr">
        <is>
          <t>04 KG</t>
        </is>
      </c>
      <c r="I3575" t="n">
        <v>2030</v>
      </c>
      <c r="J3575" t="n">
        <v>2025</v>
      </c>
      <c r="K3575" t="inlineStr">
        <is>
          <t>OCTUBRE 2025</t>
        </is>
      </c>
      <c r="L3575" t="inlineStr">
        <is>
          <t>OCTUBRE 2026</t>
        </is>
      </c>
      <c r="M3575" t="inlineStr">
        <is>
          <t>P.Q.S TIPO ABC</t>
        </is>
      </c>
      <c r="N3575" t="inlineStr">
        <is>
          <t>001012</t>
        </is>
      </c>
      <c r="O3575" t="inlineStr">
        <is>
          <t>V</t>
        </is>
      </c>
      <c r="P3575">
        <f>TRIM(N3575)</f>
        <v/>
      </c>
    </row>
    <row r="3576">
      <c r="A3576" t="inlineStr">
        <is>
          <t>CO-002488</t>
        </is>
      </c>
      <c r="B3576" t="inlineStr">
        <is>
          <t>QUIMICOS GOICOCHEA S.A.C.</t>
        </is>
      </c>
      <c r="C3576" t="inlineStr">
        <is>
          <t>20211040352</t>
        </is>
      </c>
      <c r="D3576" t="inlineStr">
        <is>
          <t xml:space="preserve"> AV. LOS FERROLES S/N (ANTES PLAYA OQUENDO S/N
 SUBPARCELA B) URB. SANTO DOMINGO DE BOCANEGRA 
CALLAO</t>
        </is>
      </c>
      <c r="E3576" t="inlineStr">
        <is>
          <t>Lima, 07 de Noviembre del 2025</t>
        </is>
      </c>
      <c r="F3576" t="inlineStr">
        <is>
          <t>la Recarga y mantenimiento</t>
        </is>
      </c>
      <c r="G3576" t="inlineStr">
        <is>
          <t>01</t>
        </is>
      </c>
      <c r="H3576" t="inlineStr">
        <is>
          <t>12 KG</t>
        </is>
      </c>
      <c r="I3576" t="inlineStr">
        <is>
          <t>2030</t>
        </is>
      </c>
      <c r="J3576" t="n">
        <v>2012</v>
      </c>
      <c r="K3576" t="inlineStr">
        <is>
          <t>NOVIEMBRE 2025</t>
        </is>
      </c>
      <c r="L3576" t="inlineStr">
        <is>
          <t>NOVIEMBRE 2026</t>
        </is>
      </c>
      <c r="M3576" t="inlineStr">
        <is>
          <t xml:space="preserve">PQS TIPO ABC AL 75% </t>
        </is>
      </c>
      <c r="N3576" t="inlineStr">
        <is>
          <t>3/000295</t>
        </is>
      </c>
      <c r="O3576" t="inlineStr">
        <is>
          <t>R</t>
        </is>
      </c>
      <c r="P3576">
        <f>TRIM(N3576)</f>
        <v/>
      </c>
    </row>
    <row r="3577">
      <c r="A3577" t="inlineStr">
        <is>
          <t>CO-002488</t>
        </is>
      </c>
      <c r="B3577" t="inlineStr">
        <is>
          <t>QUIMICOS GOICOCHEA S.A.C.</t>
        </is>
      </c>
      <c r="C3577" t="inlineStr">
        <is>
          <t>20211040352</t>
        </is>
      </c>
      <c r="D3577" t="inlineStr">
        <is>
          <t xml:space="preserve"> AV. LOS FERROLES S/N (ANTES PLAYA OQUENDO S/N
 SUBPARCELA B) URB. SANTO DOMINGO DE BOCANEGRA 
CALLAO</t>
        </is>
      </c>
      <c r="E3577" t="inlineStr">
        <is>
          <t>Lima, 07 de Noviembre del 2025</t>
        </is>
      </c>
      <c r="F3577" t="inlineStr">
        <is>
          <t>la Recarga y mantenimiento</t>
        </is>
      </c>
      <c r="G3577" t="inlineStr">
        <is>
          <t>02</t>
        </is>
      </c>
      <c r="H3577" t="inlineStr">
        <is>
          <t>12 KG</t>
        </is>
      </c>
      <c r="I3577" t="inlineStr">
        <is>
          <t>2030</t>
        </is>
      </c>
      <c r="J3577" t="n">
        <v>2011</v>
      </c>
      <c r="K3577" t="inlineStr">
        <is>
          <t>NOVIEMBRE 2025</t>
        </is>
      </c>
      <c r="L3577" t="inlineStr">
        <is>
          <t>NOVIEMBRE 2026</t>
        </is>
      </c>
      <c r="M3577" t="inlineStr">
        <is>
          <t xml:space="preserve">PQS TIPO ABC AL 75% </t>
        </is>
      </c>
      <c r="N3577" t="inlineStr">
        <is>
          <t>9/000105</t>
        </is>
      </c>
      <c r="O3577" t="inlineStr">
        <is>
          <t>R</t>
        </is>
      </c>
      <c r="P3577">
        <f>TRIM(N3577)</f>
        <v/>
      </c>
    </row>
    <row r="3578">
      <c r="A3578" t="inlineStr">
        <is>
          <t>CO-002489</t>
        </is>
      </c>
      <c r="B3578" t="inlineStr">
        <is>
          <t>QUIMICOS GOICOCHEA S.A.C.</t>
        </is>
      </c>
      <c r="C3578" t="inlineStr">
        <is>
          <t>20211040352</t>
        </is>
      </c>
      <c r="D3578" t="inlineStr">
        <is>
          <t>AV. NESTOR GAMBETTA 150 URB. IND. ALT. ARGENTINA CON AV. LIMA, AV. NESTOR GAMBETTA, CALLAO</t>
        </is>
      </c>
      <c r="E3578" t="inlineStr">
        <is>
          <t>Lima, 04 de Noviembre del 2025</t>
        </is>
      </c>
      <c r="F3578" t="inlineStr">
        <is>
          <t>la Recarga y mantenimiento</t>
        </is>
      </c>
      <c r="G3578" t="inlineStr">
        <is>
          <t>01</t>
        </is>
      </c>
      <c r="H3578" t="inlineStr">
        <is>
          <t>06 KG</t>
        </is>
      </c>
      <c r="I3578" t="inlineStr">
        <is>
          <t>2028</t>
        </is>
      </c>
      <c r="J3578" t="n">
        <v>2018</v>
      </c>
      <c r="K3578" t="inlineStr">
        <is>
          <t>NOVIEMBRE 2025</t>
        </is>
      </c>
      <c r="L3578" t="inlineStr">
        <is>
          <t>NOVIEMBRE 2026</t>
        </is>
      </c>
      <c r="M3578" t="inlineStr">
        <is>
          <t xml:space="preserve">PQS TIPO ABC AL 75% </t>
        </is>
      </c>
      <c r="N3578" t="inlineStr">
        <is>
          <t>33/000042</t>
        </is>
      </c>
      <c r="O3578" t="inlineStr">
        <is>
          <t>R</t>
        </is>
      </c>
      <c r="P3578">
        <f>TRIM(N3578)</f>
        <v/>
      </c>
    </row>
    <row r="3579">
      <c r="A3579" t="inlineStr">
        <is>
          <t>CO-002490</t>
        </is>
      </c>
      <c r="B3579" t="inlineStr">
        <is>
          <t>BRITISH AMERICAN HOSPITAL S.A. - CLINICA ANGLOAMERICANA</t>
        </is>
      </c>
      <c r="C3579" t="inlineStr">
        <is>
          <t>20107695584</t>
        </is>
      </c>
      <c r="D3579" t="inlineStr">
        <is>
          <t xml:space="preserve">JR ALFREDO SALAZAR 350 - SAN ISIDRO </t>
        </is>
      </c>
      <c r="E3579" t="inlineStr">
        <is>
          <t>Lima, 31 de Octubre de 2025</t>
        </is>
      </c>
      <c r="F3579" t="inlineStr">
        <is>
          <t>la Recarga y mantenimiento</t>
        </is>
      </c>
      <c r="G3579" t="inlineStr">
        <is>
          <t>01</t>
        </is>
      </c>
      <c r="H3579" t="inlineStr">
        <is>
          <t>06 KG</t>
        </is>
      </c>
      <c r="I3579" t="inlineStr">
        <is>
          <t>2028</t>
        </is>
      </c>
      <c r="J3579" t="inlineStr">
        <is>
          <t>S/N</t>
        </is>
      </c>
      <c r="K3579" t="inlineStr">
        <is>
          <t>OCTUBRE 2025</t>
        </is>
      </c>
      <c r="L3579" t="inlineStr">
        <is>
          <t>OCTUBRE 2026</t>
        </is>
      </c>
      <c r="M3579" t="inlineStr">
        <is>
          <t xml:space="preserve">PQS TIPO ABC AL 75% </t>
        </is>
      </c>
      <c r="N3579" t="inlineStr">
        <is>
          <t>E-068/S/N</t>
        </is>
      </c>
      <c r="O3579" t="inlineStr">
        <is>
          <t>R</t>
        </is>
      </c>
      <c r="P3579">
        <f>TRIM(N3579)</f>
        <v/>
      </c>
    </row>
    <row r="3580">
      <c r="A3580" t="inlineStr">
        <is>
          <t>CO-002490</t>
        </is>
      </c>
      <c r="B3580" t="inlineStr">
        <is>
          <t>BRITISH AMERICAN HOSPITAL S.A. - CLINICA ANGLOAMERICANA</t>
        </is>
      </c>
      <c r="C3580" t="inlineStr">
        <is>
          <t>20107695584</t>
        </is>
      </c>
      <c r="D3580" t="inlineStr">
        <is>
          <t xml:space="preserve">JR ALFREDO SALAZAR 350 - SAN ISIDRO </t>
        </is>
      </c>
      <c r="E3580" t="inlineStr">
        <is>
          <t>Lima, 31 de Octubre de 2025</t>
        </is>
      </c>
      <c r="F3580" t="inlineStr">
        <is>
          <t>la Recarga y mantenimiento</t>
        </is>
      </c>
      <c r="G3580" t="inlineStr">
        <is>
          <t>02</t>
        </is>
      </c>
      <c r="H3580" t="inlineStr">
        <is>
          <t>06 KG</t>
        </is>
      </c>
      <c r="I3580" t="inlineStr">
        <is>
          <t>2030</t>
        </is>
      </c>
      <c r="J3580" t="n">
        <v>2015</v>
      </c>
      <c r="K3580" t="inlineStr">
        <is>
          <t>OCTUBRE 2025</t>
        </is>
      </c>
      <c r="L3580" t="inlineStr">
        <is>
          <t>OCTUBRE 2026</t>
        </is>
      </c>
      <c r="M3580" t="inlineStr">
        <is>
          <t xml:space="preserve">PQS TIPO ABC AL 75% </t>
        </is>
      </c>
      <c r="N3580" t="inlineStr">
        <is>
          <t>E-001/000010</t>
        </is>
      </c>
      <c r="O3580" t="inlineStr">
        <is>
          <t>R</t>
        </is>
      </c>
      <c r="P3580">
        <f>TRIM(N3580)</f>
        <v/>
      </c>
    </row>
    <row r="3581">
      <c r="A3581" t="inlineStr">
        <is>
          <t>CO-002490</t>
        </is>
      </c>
      <c r="B3581" t="inlineStr">
        <is>
          <t>BRITISH AMERICAN HOSPITAL S.A. - CLINICA ANGLOAMERICANA</t>
        </is>
      </c>
      <c r="C3581" t="inlineStr">
        <is>
          <t>20107695584</t>
        </is>
      </c>
      <c r="D3581" t="inlineStr">
        <is>
          <t xml:space="preserve">JR ALFREDO SALAZAR 350 - SAN ISIDRO </t>
        </is>
      </c>
      <c r="E3581" t="inlineStr">
        <is>
          <t>Lima, 31 de Octubre de 2025</t>
        </is>
      </c>
      <c r="F3581" t="inlineStr">
        <is>
          <t>la Recarga y mantenimiento</t>
        </is>
      </c>
      <c r="G3581" t="inlineStr">
        <is>
          <t xml:space="preserve">03 </t>
        </is>
      </c>
      <c r="H3581" t="inlineStr">
        <is>
          <t>06 KG</t>
        </is>
      </c>
      <c r="I3581" t="inlineStr">
        <is>
          <t>2030</t>
        </is>
      </c>
      <c r="J3581" t="n">
        <v>2014</v>
      </c>
      <c r="K3581" t="inlineStr">
        <is>
          <t>OCTUBRE 2025</t>
        </is>
      </c>
      <c r="L3581" t="inlineStr">
        <is>
          <t>OCTUBRE 2026</t>
        </is>
      </c>
      <c r="M3581" t="inlineStr">
        <is>
          <t xml:space="preserve">PQS TIPO ABC AL 75% </t>
        </is>
      </c>
      <c r="N3581" t="inlineStr">
        <is>
          <t>E-001/000081</t>
        </is>
      </c>
      <c r="O3581" t="inlineStr">
        <is>
          <t>R</t>
        </is>
      </c>
      <c r="P3581">
        <f>TRIM(N3581)</f>
        <v/>
      </c>
    </row>
    <row r="3582">
      <c r="A3582" t="inlineStr">
        <is>
          <t>CO-002490</t>
        </is>
      </c>
      <c r="B3582" t="inlineStr">
        <is>
          <t>BRITISH AMERICAN HOSPITAL S.A. - CLINICA ANGLOAMERICANA</t>
        </is>
      </c>
      <c r="C3582" t="inlineStr">
        <is>
          <t>20107695584</t>
        </is>
      </c>
      <c r="D3582" t="inlineStr">
        <is>
          <t xml:space="preserve">JR ALFREDO SALAZAR 350 - SAN ISIDRO </t>
        </is>
      </c>
      <c r="E3582" t="inlineStr">
        <is>
          <t>Lima, 31 de Octubre de 2025</t>
        </is>
      </c>
      <c r="F3582" t="inlineStr">
        <is>
          <t>la Recarga y mantenimiento</t>
        </is>
      </c>
      <c r="G3582" t="inlineStr">
        <is>
          <t>04</t>
        </is>
      </c>
      <c r="H3582" t="inlineStr">
        <is>
          <t>06 KG</t>
        </is>
      </c>
      <c r="I3582" t="inlineStr">
        <is>
          <t>2028</t>
        </is>
      </c>
      <c r="J3582" t="n">
        <v>2014</v>
      </c>
      <c r="K3582" t="inlineStr">
        <is>
          <t>OCTUBRE 2025</t>
        </is>
      </c>
      <c r="L3582" t="inlineStr">
        <is>
          <t>OCTUBRE 2026</t>
        </is>
      </c>
      <c r="M3582" t="inlineStr">
        <is>
          <t xml:space="preserve">PQS TIPO ABC AL 75% </t>
        </is>
      </c>
      <c r="N3582" t="inlineStr">
        <is>
          <t>E-144/001802</t>
        </is>
      </c>
      <c r="O3582" t="inlineStr">
        <is>
          <t>R</t>
        </is>
      </c>
      <c r="P3582">
        <f>TRIM(N3582)</f>
        <v/>
      </c>
    </row>
    <row r="3583">
      <c r="A3583" t="inlineStr">
        <is>
          <t>CO-002490</t>
        </is>
      </c>
      <c r="B3583" t="inlineStr">
        <is>
          <t>BRITISH AMERICAN HOSPITAL S.A. - CLINICA ANGLOAMERICANA</t>
        </is>
      </c>
      <c r="C3583" t="inlineStr">
        <is>
          <t>20107695584</t>
        </is>
      </c>
      <c r="D3583" t="inlineStr">
        <is>
          <t xml:space="preserve">JR ALFREDO SALAZAR 350 - SAN ISIDRO </t>
        </is>
      </c>
      <c r="E3583" t="inlineStr">
        <is>
          <t>Lima, 31 de Octubre de 2025</t>
        </is>
      </c>
      <c r="F3583" t="inlineStr">
        <is>
          <t>la Recarga y mantenimiento</t>
        </is>
      </c>
      <c r="G3583" t="inlineStr">
        <is>
          <t>05</t>
        </is>
      </c>
      <c r="H3583" t="inlineStr">
        <is>
          <t>06 KG</t>
        </is>
      </c>
      <c r="I3583" t="inlineStr">
        <is>
          <t>2026</t>
        </is>
      </c>
      <c r="J3583" t="n">
        <v>2016</v>
      </c>
      <c r="K3583" t="inlineStr">
        <is>
          <t>OCTUBRE 2025</t>
        </is>
      </c>
      <c r="L3583" t="inlineStr">
        <is>
          <t>OCTUBRE 2026</t>
        </is>
      </c>
      <c r="M3583" t="inlineStr">
        <is>
          <t xml:space="preserve">PQS TIPO ABC AL 75% </t>
        </is>
      </c>
      <c r="N3583" t="inlineStr">
        <is>
          <t>E-150/000959</t>
        </is>
      </c>
      <c r="O3583" t="inlineStr">
        <is>
          <t>R</t>
        </is>
      </c>
      <c r="P3583">
        <f>TRIM(N3583)</f>
        <v/>
      </c>
    </row>
    <row r="3584">
      <c r="A3584" t="inlineStr">
        <is>
          <t>CO-002490</t>
        </is>
      </c>
      <c r="B3584" t="inlineStr">
        <is>
          <t>BRITISH AMERICAN HOSPITAL S.A. - CLINICA ANGLOAMERICANA</t>
        </is>
      </c>
      <c r="C3584" t="inlineStr">
        <is>
          <t>20107695584</t>
        </is>
      </c>
      <c r="D3584" t="inlineStr">
        <is>
          <t xml:space="preserve">JR ALFREDO SALAZAR 350 - SAN ISIDRO </t>
        </is>
      </c>
      <c r="E3584" t="inlineStr">
        <is>
          <t>Lima, 31 de Octubre de 2025</t>
        </is>
      </c>
      <c r="F3584" t="inlineStr">
        <is>
          <t>la Recarga y mantenimiento</t>
        </is>
      </c>
      <c r="G3584" t="inlineStr">
        <is>
          <t>06</t>
        </is>
      </c>
      <c r="H3584" t="inlineStr">
        <is>
          <t>06 KG</t>
        </is>
      </c>
      <c r="I3584" t="inlineStr">
        <is>
          <t>2030</t>
        </is>
      </c>
      <c r="J3584" t="n">
        <v>2011</v>
      </c>
      <c r="K3584" t="inlineStr">
        <is>
          <t>OCTUBRE 2025</t>
        </is>
      </c>
      <c r="L3584" t="inlineStr">
        <is>
          <t>OCTUBRE 2026</t>
        </is>
      </c>
      <c r="M3584" t="inlineStr">
        <is>
          <t xml:space="preserve">PQS TIPO ABC AL 75% </t>
        </is>
      </c>
      <c r="N3584" t="inlineStr">
        <is>
          <t>E-146/000632</t>
        </is>
      </c>
      <c r="O3584" t="inlineStr">
        <is>
          <t>R</t>
        </is>
      </c>
      <c r="P3584">
        <f>TRIM(N3584)</f>
        <v/>
      </c>
    </row>
    <row r="3585">
      <c r="A3585" t="inlineStr">
        <is>
          <t>CO-002490</t>
        </is>
      </c>
      <c r="B3585" t="inlineStr">
        <is>
          <t>BRITISH AMERICAN HOSPITAL S.A. - CLINICA ANGLOAMERICANA</t>
        </is>
      </c>
      <c r="C3585" t="inlineStr">
        <is>
          <t>20107695584</t>
        </is>
      </c>
      <c r="D3585" t="inlineStr">
        <is>
          <t xml:space="preserve">JR ALFREDO SALAZAR 350 - SAN ISIDRO </t>
        </is>
      </c>
      <c r="E3585" t="inlineStr">
        <is>
          <t>Lima, 31 de Octubre de 2025</t>
        </is>
      </c>
      <c r="F3585" t="inlineStr">
        <is>
          <t>la Recarga y mantenimiento</t>
        </is>
      </c>
      <c r="G3585" t="inlineStr">
        <is>
          <t>07</t>
        </is>
      </c>
      <c r="H3585" t="inlineStr">
        <is>
          <t>06 KG</t>
        </is>
      </c>
      <c r="I3585" t="inlineStr">
        <is>
          <t>2028</t>
        </is>
      </c>
      <c r="J3585" t="inlineStr">
        <is>
          <t>S/N</t>
        </is>
      </c>
      <c r="K3585" t="inlineStr">
        <is>
          <t>OCTUBRE 2025</t>
        </is>
      </c>
      <c r="L3585" t="inlineStr">
        <is>
          <t>OCTUBRE 2026</t>
        </is>
      </c>
      <c r="M3585" t="inlineStr">
        <is>
          <t xml:space="preserve">PQS TIPO ABC AL 75% </t>
        </is>
      </c>
      <c r="N3585" t="inlineStr">
        <is>
          <t>E-006/005962</t>
        </is>
      </c>
      <c r="O3585" t="inlineStr">
        <is>
          <t>R</t>
        </is>
      </c>
      <c r="P3585">
        <f>TRIM(N3585)</f>
        <v/>
      </c>
    </row>
    <row r="3586">
      <c r="A3586" t="inlineStr">
        <is>
          <t>CO-002490</t>
        </is>
      </c>
      <c r="B3586" t="inlineStr">
        <is>
          <t>BRITISH AMERICAN HOSPITAL S.A. - CLINICA ANGLOAMERICANA</t>
        </is>
      </c>
      <c r="C3586" t="inlineStr">
        <is>
          <t>20107695584</t>
        </is>
      </c>
      <c r="D3586" t="inlineStr">
        <is>
          <t xml:space="preserve">JR ALFREDO SALAZAR 350 - SAN ISIDRO </t>
        </is>
      </c>
      <c r="E3586" t="inlineStr">
        <is>
          <t>Lima, 31 de Octubre de 2025</t>
        </is>
      </c>
      <c r="F3586" t="inlineStr">
        <is>
          <t>la Recarga y mantenimiento</t>
        </is>
      </c>
      <c r="G3586" t="inlineStr">
        <is>
          <t>08</t>
        </is>
      </c>
      <c r="H3586" t="inlineStr">
        <is>
          <t>06 KG</t>
        </is>
      </c>
      <c r="I3586" t="inlineStr">
        <is>
          <t>2028</t>
        </is>
      </c>
      <c r="J3586" t="n">
        <v>2008</v>
      </c>
      <c r="K3586" t="inlineStr">
        <is>
          <t>OCTUBRE 2025</t>
        </is>
      </c>
      <c r="L3586" t="inlineStr">
        <is>
          <t>OCTUBRE 2026</t>
        </is>
      </c>
      <c r="M3586" t="inlineStr">
        <is>
          <t xml:space="preserve">PQS TIPO ABC AL 75% </t>
        </is>
      </c>
      <c r="N3586" t="inlineStr">
        <is>
          <t>E-001/000255</t>
        </is>
      </c>
      <c r="O3586" t="inlineStr">
        <is>
          <t>R</t>
        </is>
      </c>
      <c r="P3586">
        <f>TRIM(N3586)</f>
        <v/>
      </c>
    </row>
    <row r="3587">
      <c r="A3587" t="inlineStr">
        <is>
          <t>CO-002490</t>
        </is>
      </c>
      <c r="B3587" t="inlineStr">
        <is>
          <t>BRITISH AMERICAN HOSPITAL S.A. - CLINICA ANGLOAMERICANA</t>
        </is>
      </c>
      <c r="C3587" t="inlineStr">
        <is>
          <t>20107695584</t>
        </is>
      </c>
      <c r="D3587" t="inlineStr">
        <is>
          <t xml:space="preserve">JR ALFREDO SALAZAR 350 - SAN ISIDRO </t>
        </is>
      </c>
      <c r="E3587" t="inlineStr">
        <is>
          <t>Lima, 31 de Octubre de 2025</t>
        </is>
      </c>
      <c r="F3587" t="inlineStr">
        <is>
          <t>la Recarga y mantenimiento</t>
        </is>
      </c>
      <c r="G3587" t="inlineStr">
        <is>
          <t>09</t>
        </is>
      </c>
      <c r="H3587" t="inlineStr">
        <is>
          <t>09 KG</t>
        </is>
      </c>
      <c r="I3587" t="inlineStr">
        <is>
          <t>2028</t>
        </is>
      </c>
      <c r="J3587" t="n">
        <v>2008</v>
      </c>
      <c r="K3587" t="inlineStr">
        <is>
          <t>OCTUBRE 2025</t>
        </is>
      </c>
      <c r="L3587" t="inlineStr">
        <is>
          <t>OCTUBRE 2026</t>
        </is>
      </c>
      <c r="M3587" t="inlineStr">
        <is>
          <t xml:space="preserve">PQS TIPO ABC AL 75% </t>
        </is>
      </c>
      <c r="N3587" t="inlineStr">
        <is>
          <t>E-020/000249</t>
        </is>
      </c>
      <c r="O3587" t="inlineStr">
        <is>
          <t>R</t>
        </is>
      </c>
      <c r="P3587">
        <f>TRIM(N3587)</f>
        <v/>
      </c>
    </row>
    <row r="3588">
      <c r="A3588" t="inlineStr">
        <is>
          <t>CO-002490</t>
        </is>
      </c>
      <c r="B3588" t="inlineStr">
        <is>
          <t>BRITISH AMERICAN HOSPITAL S.A. - CLINICA ANGLOAMERICANA</t>
        </is>
      </c>
      <c r="C3588" t="inlineStr">
        <is>
          <t>20107695584</t>
        </is>
      </c>
      <c r="D3588" t="inlineStr">
        <is>
          <t xml:space="preserve">JR ALFREDO SALAZAR 350 - SAN ISIDRO </t>
        </is>
      </c>
      <c r="E3588" t="inlineStr">
        <is>
          <t>Lima, 31 de Octubre de 2025</t>
        </is>
      </c>
      <c r="F3588" t="inlineStr">
        <is>
          <t>la Recarga y mantenimiento</t>
        </is>
      </c>
      <c r="G3588" t="n">
        <v>10</v>
      </c>
      <c r="H3588" t="inlineStr">
        <is>
          <t>10 LBS</t>
        </is>
      </c>
      <c r="I3588" t="inlineStr">
        <is>
          <t>2030</t>
        </is>
      </c>
      <c r="J3588" t="n">
        <v>2013</v>
      </c>
      <c r="K3588" t="inlineStr">
        <is>
          <t>OCTUBRE 2025</t>
        </is>
      </c>
      <c r="L3588" t="inlineStr">
        <is>
          <t>OCTUBRE 2026</t>
        </is>
      </c>
      <c r="M3588" t="inlineStr">
        <is>
          <t xml:space="preserve">PQS TIPO ABC AL 75% </t>
        </is>
      </c>
      <c r="N3588" t="inlineStr">
        <is>
          <t>E-003/ZR-543477</t>
        </is>
      </c>
      <c r="O3588" t="inlineStr">
        <is>
          <t>R</t>
        </is>
      </c>
      <c r="P3588">
        <f>TRIM(N3588)</f>
        <v/>
      </c>
    </row>
    <row r="3589">
      <c r="A3589" t="inlineStr">
        <is>
          <t>CO-002490</t>
        </is>
      </c>
      <c r="B3589" t="inlineStr">
        <is>
          <t>BRITISH AMERICAN HOSPITAL S.A. - CLINICA ANGLOAMERICANA</t>
        </is>
      </c>
      <c r="C3589" t="inlineStr">
        <is>
          <t>20107695584</t>
        </is>
      </c>
      <c r="D3589" t="inlineStr">
        <is>
          <t xml:space="preserve">JR ALFREDO SALAZAR 350 - SAN ISIDRO </t>
        </is>
      </c>
      <c r="E3589" t="inlineStr">
        <is>
          <t>Lima, 31 de Octubre de 2025</t>
        </is>
      </c>
      <c r="F3589" t="inlineStr">
        <is>
          <t>la Recarga y mantenimiento</t>
        </is>
      </c>
      <c r="G3589" t="n">
        <v>11</v>
      </c>
      <c r="H3589" t="inlineStr">
        <is>
          <t>20 LBS</t>
        </is>
      </c>
      <c r="I3589" t="inlineStr">
        <is>
          <t>2027</t>
        </is>
      </c>
      <c r="J3589" t="n">
        <v>2007</v>
      </c>
      <c r="K3589" t="inlineStr">
        <is>
          <t>OCTUBRE 2025</t>
        </is>
      </c>
      <c r="L3589" t="inlineStr">
        <is>
          <t>OCTUBRE 2026</t>
        </is>
      </c>
      <c r="M3589" t="inlineStr">
        <is>
          <t xml:space="preserve">PQS TIPO ABC AL 75% </t>
        </is>
      </c>
      <c r="N3589" t="inlineStr">
        <is>
          <t>E-145/ZR-283665</t>
        </is>
      </c>
      <c r="O3589" t="inlineStr">
        <is>
          <t>R</t>
        </is>
      </c>
      <c r="P3589">
        <f>TRIM(N3589)</f>
        <v/>
      </c>
    </row>
    <row r="3590">
      <c r="A3590" t="inlineStr">
        <is>
          <t>CO-002490</t>
        </is>
      </c>
      <c r="B3590" t="inlineStr">
        <is>
          <t>BRITISH AMERICAN HOSPITAL S.A. - CLINICA ANGLOAMERICANA</t>
        </is>
      </c>
      <c r="C3590" t="inlineStr">
        <is>
          <t>20107695584</t>
        </is>
      </c>
      <c r="D3590" t="inlineStr">
        <is>
          <t xml:space="preserve">JR ALFREDO SALAZAR 350 - SAN ISIDRO </t>
        </is>
      </c>
      <c r="E3590" t="inlineStr">
        <is>
          <t>Lima, 31 de Octubre de 2025</t>
        </is>
      </c>
      <c r="F3590" t="inlineStr">
        <is>
          <t>la Recarga y mantenimiento</t>
        </is>
      </c>
      <c r="G3590" t="n">
        <v>12</v>
      </c>
      <c r="H3590" t="inlineStr">
        <is>
          <t>50 KG</t>
        </is>
      </c>
      <c r="I3590" t="inlineStr">
        <is>
          <t>2027</t>
        </is>
      </c>
      <c r="J3590" t="n">
        <v>2022</v>
      </c>
      <c r="K3590" t="inlineStr">
        <is>
          <t>OCTUBRE 2025</t>
        </is>
      </c>
      <c r="L3590" t="inlineStr">
        <is>
          <t>OCTUBRE 2026</t>
        </is>
      </c>
      <c r="M3590" t="inlineStr">
        <is>
          <t xml:space="preserve">PQS TIPO ABC AL 75% </t>
        </is>
      </c>
      <c r="N3590" t="inlineStr">
        <is>
          <t>E-173/000001</t>
        </is>
      </c>
      <c r="O3590" t="inlineStr">
        <is>
          <t>R</t>
        </is>
      </c>
      <c r="P3590">
        <f>TRIM(N3590)</f>
        <v/>
      </c>
    </row>
    <row r="3591">
      <c r="A3591" t="inlineStr">
        <is>
          <t>CO-002490</t>
        </is>
      </c>
      <c r="B3591" t="inlineStr">
        <is>
          <t>BRITISH AMERICAN HOSPITAL S.A. - CLINICA ANGLOAMERICANA</t>
        </is>
      </c>
      <c r="C3591" t="inlineStr">
        <is>
          <t>20107695584</t>
        </is>
      </c>
      <c r="D3591" t="inlineStr">
        <is>
          <t xml:space="preserve">JR ALFREDO SALAZAR 350 - SAN ISIDRO </t>
        </is>
      </c>
      <c r="E3591" t="inlineStr">
        <is>
          <t>Lima, 31 de Octubre de 2025</t>
        </is>
      </c>
      <c r="F3591" t="inlineStr">
        <is>
          <t>la Recarga y mantenimiento</t>
        </is>
      </c>
      <c r="G3591" t="n">
        <v>13</v>
      </c>
      <c r="H3591" t="inlineStr">
        <is>
          <t>50 KG</t>
        </is>
      </c>
      <c r="I3591" t="inlineStr">
        <is>
          <t>2030</t>
        </is>
      </c>
      <c r="J3591" t="n">
        <v>2012</v>
      </c>
      <c r="K3591" t="inlineStr">
        <is>
          <t>OCTUBRE 2025</t>
        </is>
      </c>
      <c r="L3591" t="inlineStr">
        <is>
          <t>OCTUBRE 2026</t>
        </is>
      </c>
      <c r="M3591" t="inlineStr">
        <is>
          <t xml:space="preserve">PQS TIPO ABC AL 75% </t>
        </is>
      </c>
      <c r="N3591" t="inlineStr">
        <is>
          <t>E-113/000013</t>
        </is>
      </c>
      <c r="O3591" t="inlineStr">
        <is>
          <t>R</t>
        </is>
      </c>
      <c r="P3591">
        <f>TRIM(N3591)</f>
        <v/>
      </c>
    </row>
    <row r="3592">
      <c r="A3592" t="inlineStr">
        <is>
          <t>CO-002491</t>
        </is>
      </c>
      <c r="B3592" t="inlineStr">
        <is>
          <t>BRITISH AMERICAN HOSPITAL S.A. - CLINICA ANGLOAMERICANA</t>
        </is>
      </c>
      <c r="C3592" t="inlineStr">
        <is>
          <t>20107695584</t>
        </is>
      </c>
      <c r="D3592" t="inlineStr">
        <is>
          <t xml:space="preserve">JR ALFREDO SALAZAR 350 - SAN ISIDRO </t>
        </is>
      </c>
      <c r="E3592" t="inlineStr">
        <is>
          <t>Lima, 31 de Octubre de 2025</t>
        </is>
      </c>
      <c r="F3592" t="inlineStr">
        <is>
          <t>la Recarga y mantenimiento</t>
        </is>
      </c>
      <c r="G3592" t="inlineStr">
        <is>
          <t>01</t>
        </is>
      </c>
      <c r="H3592" t="inlineStr">
        <is>
          <t>2.5 GLS</t>
        </is>
      </c>
      <c r="I3592" t="inlineStr">
        <is>
          <t>2028</t>
        </is>
      </c>
      <c r="J3592" t="n">
        <v>2018</v>
      </c>
      <c r="K3592" t="inlineStr">
        <is>
          <t>OCTUBRE 2025</t>
        </is>
      </c>
      <c r="L3592" t="inlineStr">
        <is>
          <t>OCTUBRE 2026</t>
        </is>
      </c>
      <c r="M3592" t="inlineStr">
        <is>
          <t>ACETATO TIPO K</t>
        </is>
      </c>
      <c r="N3592" t="inlineStr">
        <is>
          <t>E-308/003501</t>
        </is>
      </c>
      <c r="O3592" t="inlineStr">
        <is>
          <t>R</t>
        </is>
      </c>
      <c r="P3592">
        <f>TRIM(N3592)</f>
        <v/>
      </c>
    </row>
    <row r="3593">
      <c r="A3593" t="inlineStr">
        <is>
          <t>CO-002491</t>
        </is>
      </c>
      <c r="B3593" t="inlineStr">
        <is>
          <t>BRITISH AMERICAN HOSPITAL S.A. - CLINICA ANGLOAMERICANA</t>
        </is>
      </c>
      <c r="C3593" t="inlineStr">
        <is>
          <t>20107695584</t>
        </is>
      </c>
      <c r="D3593" t="inlineStr">
        <is>
          <t xml:space="preserve">JR ALFREDO SALAZAR 350 - SAN ISIDRO </t>
        </is>
      </c>
      <c r="E3593" t="inlineStr">
        <is>
          <t>Lima, 31 de Octubre de 2025</t>
        </is>
      </c>
      <c r="F3593" t="inlineStr">
        <is>
          <t>la Recarga y mantenimiento</t>
        </is>
      </c>
      <c r="G3593" t="inlineStr">
        <is>
          <t>02</t>
        </is>
      </c>
      <c r="H3593" t="inlineStr">
        <is>
          <t>10 LBS</t>
        </is>
      </c>
      <c r="I3593" t="inlineStr">
        <is>
          <t>2026</t>
        </is>
      </c>
      <c r="J3593" t="n">
        <v>2018</v>
      </c>
      <c r="K3593" t="inlineStr">
        <is>
          <t>OCTUBRE 2025</t>
        </is>
      </c>
      <c r="L3593" t="inlineStr">
        <is>
          <t>OCTUBRE 2026</t>
        </is>
      </c>
      <c r="M3593" t="inlineStr">
        <is>
          <t>CO2 TIPO BC</t>
        </is>
      </c>
      <c r="N3593" t="inlineStr">
        <is>
          <t>E-005/00009</t>
        </is>
      </c>
      <c r="O3593" t="inlineStr">
        <is>
          <t>R</t>
        </is>
      </c>
      <c r="P3593">
        <f>TRIM(N3593)</f>
        <v/>
      </c>
    </row>
    <row r="3594">
      <c r="A3594" t="inlineStr">
        <is>
          <t>CO-002491</t>
        </is>
      </c>
      <c r="B3594" t="inlineStr">
        <is>
          <t>BRITISH AMERICAN HOSPITAL S.A. - CLINICA ANGLOAMERICANA</t>
        </is>
      </c>
      <c r="C3594" t="inlineStr">
        <is>
          <t>20107695584</t>
        </is>
      </c>
      <c r="D3594" t="inlineStr">
        <is>
          <t xml:space="preserve">JR ALFREDO SALAZAR 350 - SAN ISIDRO </t>
        </is>
      </c>
      <c r="E3594" t="inlineStr">
        <is>
          <t>Lima, 31 de Octubre de 2025</t>
        </is>
      </c>
      <c r="F3594" t="inlineStr">
        <is>
          <t>la Recarga y mantenimiento</t>
        </is>
      </c>
      <c r="G3594" t="inlineStr">
        <is>
          <t xml:space="preserve">03 </t>
        </is>
      </c>
      <c r="H3594" t="inlineStr">
        <is>
          <t>10 LBS</t>
        </is>
      </c>
      <c r="I3594" t="n">
        <v>2029</v>
      </c>
      <c r="J3594" t="n">
        <v>2007</v>
      </c>
      <c r="K3594" t="inlineStr">
        <is>
          <t>OCTUBRE 2025</t>
        </is>
      </c>
      <c r="L3594" t="inlineStr">
        <is>
          <t>OCTUBRE 2026</t>
        </is>
      </c>
      <c r="M3594" t="inlineStr">
        <is>
          <t xml:space="preserve">CO2 TIPO BC </t>
        </is>
      </c>
      <c r="N3594" t="inlineStr">
        <is>
          <t>E-067/000038</t>
        </is>
      </c>
      <c r="O3594" t="inlineStr">
        <is>
          <t>R</t>
        </is>
      </c>
      <c r="P3594">
        <f>TRIM(N3594)</f>
        <v/>
      </c>
    </row>
    <row r="3595">
      <c r="A3595" t="inlineStr">
        <is>
          <t>CO-002491</t>
        </is>
      </c>
      <c r="B3595" t="inlineStr">
        <is>
          <t>BRITISH AMERICAN HOSPITAL S.A. - CLINICA ANGLOAMERICANA</t>
        </is>
      </c>
      <c r="C3595" t="inlineStr">
        <is>
          <t>20107695584</t>
        </is>
      </c>
      <c r="D3595" t="inlineStr">
        <is>
          <t xml:space="preserve">JR ALFREDO SALAZAR 350 - SAN ISIDRO </t>
        </is>
      </c>
      <c r="E3595" t="inlineStr">
        <is>
          <t>Lima, 31 de Octubre de 2025</t>
        </is>
      </c>
      <c r="F3595" t="inlineStr">
        <is>
          <t>la Recarga y mantenimiento</t>
        </is>
      </c>
      <c r="G3595" t="inlineStr">
        <is>
          <t xml:space="preserve">04 </t>
        </is>
      </c>
      <c r="H3595" t="inlineStr">
        <is>
          <t>10 LBS</t>
        </is>
      </c>
      <c r="I3595" t="n">
        <v>2029</v>
      </c>
      <c r="J3595" t="n">
        <v>2014</v>
      </c>
      <c r="K3595" t="inlineStr">
        <is>
          <t>OCTUBRE 2025</t>
        </is>
      </c>
      <c r="L3595" t="inlineStr">
        <is>
          <t>OCTUBRE 2026</t>
        </is>
      </c>
      <c r="M3595" t="inlineStr">
        <is>
          <t>CO2 TIPO BC</t>
        </is>
      </c>
      <c r="N3595" t="inlineStr">
        <is>
          <t>E-066/000047</t>
        </is>
      </c>
      <c r="O3595" t="inlineStr">
        <is>
          <t>R</t>
        </is>
      </c>
      <c r="P3595">
        <f>TRIM(N3595)</f>
        <v/>
      </c>
    </row>
    <row r="3596">
      <c r="A3596" t="inlineStr">
        <is>
          <t>CO-002491</t>
        </is>
      </c>
      <c r="B3596" t="inlineStr">
        <is>
          <t>BRITISH AMERICAN HOSPITAL S.A. - CLINICA ANGLOAMERICANA</t>
        </is>
      </c>
      <c r="C3596" t="inlineStr">
        <is>
          <t>20107695584</t>
        </is>
      </c>
      <c r="D3596" t="inlineStr">
        <is>
          <t xml:space="preserve">JR ALFREDO SALAZAR 350 - SAN ISIDRO </t>
        </is>
      </c>
      <c r="E3596" t="inlineStr">
        <is>
          <t>Lima, 31 de Octubre de 2025</t>
        </is>
      </c>
      <c r="F3596" t="inlineStr">
        <is>
          <t>la Recarga y mantenimiento</t>
        </is>
      </c>
      <c r="G3596" t="inlineStr">
        <is>
          <t>05</t>
        </is>
      </c>
      <c r="H3596" t="inlineStr">
        <is>
          <t>10 LBS</t>
        </is>
      </c>
      <c r="I3596" t="n">
        <v>2028</v>
      </c>
      <c r="J3596" t="n">
        <v>2023</v>
      </c>
      <c r="K3596" t="inlineStr">
        <is>
          <t>OCTUBRE 2025</t>
        </is>
      </c>
      <c r="L3596" t="inlineStr">
        <is>
          <t>OCTUBRE 2026</t>
        </is>
      </c>
      <c r="M3596" t="inlineStr">
        <is>
          <t>CO2 TIPO BC</t>
        </is>
      </c>
      <c r="N3596" t="inlineStr">
        <is>
          <t>E-031/000497</t>
        </is>
      </c>
      <c r="O3596" t="inlineStr">
        <is>
          <t>R</t>
        </is>
      </c>
      <c r="P3596">
        <f>TRIM(N3596)</f>
        <v/>
      </c>
    </row>
    <row r="3597">
      <c r="A3597" t="inlineStr">
        <is>
          <t>CO-002491</t>
        </is>
      </c>
      <c r="B3597" t="inlineStr">
        <is>
          <t>BRITISH AMERICAN HOSPITAL S.A. - CLINICA ANGLOAMERICANA</t>
        </is>
      </c>
      <c r="C3597" t="inlineStr">
        <is>
          <t>20107695584</t>
        </is>
      </c>
      <c r="D3597" t="inlineStr">
        <is>
          <t xml:space="preserve">JR ALFREDO SALAZAR 350 - SAN ISIDRO </t>
        </is>
      </c>
      <c r="E3597" t="inlineStr">
        <is>
          <t>Lima, 31 de Octubre de 2025</t>
        </is>
      </c>
      <c r="F3597" t="inlineStr">
        <is>
          <t>la Recarga y mantenimiento</t>
        </is>
      </c>
      <c r="G3597" t="inlineStr">
        <is>
          <t xml:space="preserve">06 </t>
        </is>
      </c>
      <c r="H3597" t="inlineStr">
        <is>
          <t xml:space="preserve">10 LBS </t>
        </is>
      </c>
      <c r="I3597" t="n">
        <v>2028</v>
      </c>
      <c r="J3597" t="n">
        <v>2023</v>
      </c>
      <c r="K3597" t="inlineStr">
        <is>
          <t>OCTUBRE 2025</t>
        </is>
      </c>
      <c r="L3597" t="inlineStr">
        <is>
          <t>OCTUBRE 2026</t>
        </is>
      </c>
      <c r="M3597" t="inlineStr">
        <is>
          <t xml:space="preserve">CO2 TIPO BC </t>
        </is>
      </c>
      <c r="N3597" t="inlineStr">
        <is>
          <t>E-079/000824</t>
        </is>
      </c>
      <c r="O3597" t="inlineStr">
        <is>
          <t>R</t>
        </is>
      </c>
      <c r="P3597">
        <f>TRIM(N3597)</f>
        <v/>
      </c>
    </row>
    <row r="3598">
      <c r="A3598" t="inlineStr">
        <is>
          <t>CO-002491</t>
        </is>
      </c>
      <c r="B3598" t="inlineStr">
        <is>
          <t>BRITISH AMERICAN HOSPITAL S.A. - CLINICA ANGLOAMERICANA</t>
        </is>
      </c>
      <c r="C3598" t="inlineStr">
        <is>
          <t>20107695584</t>
        </is>
      </c>
      <c r="D3598" t="inlineStr">
        <is>
          <t xml:space="preserve">JR ALFREDO SALAZAR 350 - SAN ISIDRO </t>
        </is>
      </c>
      <c r="E3598" t="inlineStr">
        <is>
          <t>Lima, 31 de Octubre de 2025</t>
        </is>
      </c>
      <c r="F3598" t="inlineStr">
        <is>
          <t>la Recarga y mantenimiento</t>
        </is>
      </c>
      <c r="G3598" t="inlineStr">
        <is>
          <t>07</t>
        </is>
      </c>
      <c r="H3598" t="inlineStr">
        <is>
          <t xml:space="preserve">15 LBS </t>
        </is>
      </c>
      <c r="I3598" t="n">
        <v>2027</v>
      </c>
      <c r="J3598" t="n">
        <v>2017</v>
      </c>
      <c r="K3598" t="inlineStr">
        <is>
          <t>OCTUBRE 2025</t>
        </is>
      </c>
      <c r="L3598" t="inlineStr">
        <is>
          <t>OCTUBRE 2026</t>
        </is>
      </c>
      <c r="M3598" t="inlineStr">
        <is>
          <t xml:space="preserve">CO2 TIPO BC </t>
        </is>
      </c>
      <c r="N3598" t="inlineStr">
        <is>
          <t>E-310/000253</t>
        </is>
      </c>
      <c r="O3598" t="inlineStr">
        <is>
          <t>R</t>
        </is>
      </c>
      <c r="P3598">
        <f>TRIM(N3598)</f>
        <v/>
      </c>
    </row>
    <row r="3599">
      <c r="A3599" t="inlineStr">
        <is>
          <t>CO-002491</t>
        </is>
      </c>
      <c r="B3599" t="inlineStr">
        <is>
          <t>BRITISH AMERICAN HOSPITAL S.A. - CLINICA ANGLOAMERICANA</t>
        </is>
      </c>
      <c r="C3599" t="inlineStr">
        <is>
          <t>20107695584</t>
        </is>
      </c>
      <c r="D3599" t="inlineStr">
        <is>
          <t xml:space="preserve">JR ALFREDO SALAZAR 350 - SAN ISIDRO </t>
        </is>
      </c>
      <c r="E3599" t="inlineStr">
        <is>
          <t>Lima, 31 de Octubre de 2025</t>
        </is>
      </c>
      <c r="F3599" t="inlineStr">
        <is>
          <t>la Recarga y mantenimiento</t>
        </is>
      </c>
      <c r="G3599" t="inlineStr">
        <is>
          <t>08</t>
        </is>
      </c>
      <c r="H3599" t="inlineStr">
        <is>
          <t>15 LBS</t>
        </is>
      </c>
      <c r="I3599" t="n">
        <v>2029</v>
      </c>
      <c r="J3599" t="n">
        <v>2013</v>
      </c>
      <c r="K3599" t="inlineStr">
        <is>
          <t>OCTUBRE 2025</t>
        </is>
      </c>
      <c r="L3599" t="inlineStr">
        <is>
          <t>OCTUBRE 2026</t>
        </is>
      </c>
      <c r="M3599" t="inlineStr">
        <is>
          <t xml:space="preserve">CO2 TIPO BC </t>
        </is>
      </c>
      <c r="N3599" t="inlineStr">
        <is>
          <t>E-311/000039</t>
        </is>
      </c>
      <c r="O3599" t="inlineStr">
        <is>
          <t>R</t>
        </is>
      </c>
      <c r="P3599">
        <f>TRIM(N3599)</f>
        <v/>
      </c>
    </row>
    <row r="3600">
      <c r="A3600" t="inlineStr">
        <is>
          <t>CO-002492</t>
        </is>
      </c>
      <c r="B3600" t="inlineStr">
        <is>
          <t>PERU MASIVO S.A - BUSES</t>
        </is>
      </c>
      <c r="C3600" t="inlineStr">
        <is>
          <t>20492392031</t>
        </is>
      </c>
      <c r="D3600" t="inlineStr">
        <is>
          <t>AV. LOS INCAS CDRA. 4 PATIO NORTE - COMAS</t>
        </is>
      </c>
      <c r="E3600" t="inlineStr">
        <is>
          <t>Lima,06 de noviembre  del  2025</t>
        </is>
      </c>
      <c r="F3600" t="inlineStr">
        <is>
          <t>la Recarga y mantenimiento</t>
        </is>
      </c>
      <c r="G3600" t="inlineStr">
        <is>
          <t>01</t>
        </is>
      </c>
      <c r="H3600" t="inlineStr">
        <is>
          <t>06 KG</t>
        </is>
      </c>
      <c r="I3600" t="inlineStr">
        <is>
          <t>2028</t>
        </is>
      </c>
      <c r="J3600" t="n">
        <v>2009</v>
      </c>
      <c r="K3600" t="inlineStr">
        <is>
          <t>NOVIEMBRE 2025</t>
        </is>
      </c>
      <c r="L3600" t="inlineStr">
        <is>
          <t>NOVIEMBRE 2026</t>
        </is>
      </c>
      <c r="M3600" t="inlineStr">
        <is>
          <t>P.Q.S.  TIPO ABC  90% NACIONAL</t>
        </is>
      </c>
      <c r="N3600" t="inlineStr">
        <is>
          <t>345/001655</t>
        </is>
      </c>
      <c r="O3600" t="inlineStr">
        <is>
          <t>R</t>
        </is>
      </c>
      <c r="P3600">
        <f>TRIM(N3600)</f>
        <v/>
      </c>
    </row>
    <row r="3601">
      <c r="A3601" t="inlineStr">
        <is>
          <t>CO-002492</t>
        </is>
      </c>
      <c r="B3601" t="inlineStr">
        <is>
          <t>PERU MASIVO S.A - BUSES</t>
        </is>
      </c>
      <c r="C3601" t="inlineStr">
        <is>
          <t>20492392031</t>
        </is>
      </c>
      <c r="D3601" t="inlineStr">
        <is>
          <t>AV. LOS INCAS CDRA. 4 PATIO NORTE - COMAS</t>
        </is>
      </c>
      <c r="E3601" t="inlineStr">
        <is>
          <t>Lima,06 de noviembre  del  2025</t>
        </is>
      </c>
      <c r="F3601" t="inlineStr">
        <is>
          <t>la Recarga y mantenimiento</t>
        </is>
      </c>
      <c r="G3601" t="inlineStr">
        <is>
          <t>02</t>
        </is>
      </c>
      <c r="H3601" t="inlineStr">
        <is>
          <t>06 KG</t>
        </is>
      </c>
      <c r="I3601" t="inlineStr">
        <is>
          <t>2028</t>
        </is>
      </c>
      <c r="J3601" t="n">
        <v>2017</v>
      </c>
      <c r="K3601" t="inlineStr">
        <is>
          <t>NOVIEMBRE 2025</t>
        </is>
      </c>
      <c r="L3601" t="inlineStr">
        <is>
          <t>NOVIEMBRE 2026</t>
        </is>
      </c>
      <c r="M3601" t="inlineStr">
        <is>
          <t>P.Q.S.  TIPO ABC  90% NACIONAL</t>
        </is>
      </c>
      <c r="N3601" t="inlineStr">
        <is>
          <t>262/003347</t>
        </is>
      </c>
      <c r="O3601" t="inlineStr">
        <is>
          <t>R</t>
        </is>
      </c>
      <c r="P3601">
        <f>TRIM(N3601)</f>
        <v/>
      </c>
    </row>
    <row r="3602">
      <c r="A3602" t="inlineStr">
        <is>
          <t>CO-002492</t>
        </is>
      </c>
      <c r="B3602" t="inlineStr">
        <is>
          <t>PERU MASIVO S.A - BUSES</t>
        </is>
      </c>
      <c r="C3602" t="inlineStr">
        <is>
          <t>20492392031</t>
        </is>
      </c>
      <c r="D3602" t="inlineStr">
        <is>
          <t>AV. LOS INCAS CDRA. 4 PATIO NORTE - COMAS</t>
        </is>
      </c>
      <c r="E3602" t="inlineStr">
        <is>
          <t>Lima,06 de noviembre  del  2025</t>
        </is>
      </c>
      <c r="F3602" t="inlineStr">
        <is>
          <t>la Recarga y mantenimiento</t>
        </is>
      </c>
      <c r="G3602" t="inlineStr">
        <is>
          <t>03</t>
        </is>
      </c>
      <c r="H3602" t="inlineStr">
        <is>
          <t>06 KG</t>
        </is>
      </c>
      <c r="I3602" t="inlineStr">
        <is>
          <t>2028</t>
        </is>
      </c>
      <c r="J3602" t="n">
        <v>2009</v>
      </c>
      <c r="K3602" t="inlineStr">
        <is>
          <t>NOVIEMBRE 2025</t>
        </is>
      </c>
      <c r="L3602" t="inlineStr">
        <is>
          <t>NOVIEMBRE 2026</t>
        </is>
      </c>
      <c r="M3602" t="inlineStr">
        <is>
          <t>P.Q.S.  TIPO ABC  90% NACIONAL</t>
        </is>
      </c>
      <c r="N3602" t="inlineStr">
        <is>
          <t>334/000845</t>
        </is>
      </c>
      <c r="O3602" t="inlineStr">
        <is>
          <t>R</t>
        </is>
      </c>
      <c r="P3602">
        <f>TRIM(N3602)</f>
        <v/>
      </c>
    </row>
    <row r="3603">
      <c r="A3603" t="inlineStr">
        <is>
          <t>CO-002492</t>
        </is>
      </c>
      <c r="B3603" t="inlineStr">
        <is>
          <t>PERU MASIVO S.A - BUSES</t>
        </is>
      </c>
      <c r="C3603" t="inlineStr">
        <is>
          <t>20492392031</t>
        </is>
      </c>
      <c r="D3603" t="inlineStr">
        <is>
          <t>AV. LOS INCAS CDRA. 4 PATIO NORTE - COMAS</t>
        </is>
      </c>
      <c r="E3603" t="inlineStr">
        <is>
          <t>Lima,06 de noviembre  del  2025</t>
        </is>
      </c>
      <c r="F3603" t="inlineStr">
        <is>
          <t>la Recarga y mantenimiento</t>
        </is>
      </c>
      <c r="G3603" t="inlineStr">
        <is>
          <t>04</t>
        </is>
      </c>
      <c r="H3603" t="inlineStr">
        <is>
          <t>06 KG</t>
        </is>
      </c>
      <c r="I3603" t="inlineStr">
        <is>
          <t>2028</t>
        </is>
      </c>
      <c r="J3603" t="n">
        <v>2009</v>
      </c>
      <c r="K3603" t="inlineStr">
        <is>
          <t>NOVIEMBRE 2025</t>
        </is>
      </c>
      <c r="L3603" t="inlineStr">
        <is>
          <t>NOVIEMBRE 2026</t>
        </is>
      </c>
      <c r="M3603" t="inlineStr">
        <is>
          <t>P.Q.S.  TIPO ABC  90% NACIONAL</t>
        </is>
      </c>
      <c r="N3603" t="inlineStr">
        <is>
          <t>187/001121</t>
        </is>
      </c>
      <c r="O3603" t="inlineStr">
        <is>
          <t>R</t>
        </is>
      </c>
      <c r="P3603">
        <f>TRIM(N3603)</f>
        <v/>
      </c>
    </row>
    <row r="3604">
      <c r="A3604" t="inlineStr">
        <is>
          <t>CO-002492</t>
        </is>
      </c>
      <c r="B3604" t="inlineStr">
        <is>
          <t>PERU MASIVO S.A - BUSES</t>
        </is>
      </c>
      <c r="C3604" t="inlineStr">
        <is>
          <t>20492392031</t>
        </is>
      </c>
      <c r="D3604" t="inlineStr">
        <is>
          <t>AV. LOS INCAS CDRA. 4 PATIO NORTE - COMAS</t>
        </is>
      </c>
      <c r="E3604" t="inlineStr">
        <is>
          <t>Lima,06 de noviembre  del  2025</t>
        </is>
      </c>
      <c r="F3604" t="inlineStr">
        <is>
          <t>la Recarga y mantenimiento</t>
        </is>
      </c>
      <c r="G3604" t="inlineStr">
        <is>
          <t>05</t>
        </is>
      </c>
      <c r="H3604" t="inlineStr">
        <is>
          <t>06 KG</t>
        </is>
      </c>
      <c r="I3604" t="inlineStr">
        <is>
          <t>2028</t>
        </is>
      </c>
      <c r="J3604" t="n">
        <v>2009</v>
      </c>
      <c r="K3604" t="inlineStr">
        <is>
          <t>NOVIEMBRE 2025</t>
        </is>
      </c>
      <c r="L3604" t="inlineStr">
        <is>
          <t>NOVIEMBRE 2026</t>
        </is>
      </c>
      <c r="M3604" t="inlineStr">
        <is>
          <t>P.Q.S.  TIPO ABC  90% NACIONAL</t>
        </is>
      </c>
      <c r="N3604" t="inlineStr">
        <is>
          <t>40/001546</t>
        </is>
      </c>
      <c r="O3604" t="inlineStr">
        <is>
          <t>R</t>
        </is>
      </c>
      <c r="P3604">
        <f>TRIM(N3604)</f>
        <v/>
      </c>
    </row>
    <row r="3605">
      <c r="A3605" t="inlineStr">
        <is>
          <t>CO-002492</t>
        </is>
      </c>
      <c r="B3605" t="inlineStr">
        <is>
          <t>PERU MASIVO S.A - BUSES</t>
        </is>
      </c>
      <c r="C3605" t="inlineStr">
        <is>
          <t>20492392031</t>
        </is>
      </c>
      <c r="D3605" t="inlineStr">
        <is>
          <t>AV. LOS INCAS CDRA. 4 PATIO NORTE - COMAS</t>
        </is>
      </c>
      <c r="E3605" t="inlineStr">
        <is>
          <t>Lima,06 de noviembre  del  2025</t>
        </is>
      </c>
      <c r="F3605" t="inlineStr">
        <is>
          <t>la Recarga y mantenimiento</t>
        </is>
      </c>
      <c r="G3605" t="inlineStr">
        <is>
          <t>06</t>
        </is>
      </c>
      <c r="H3605" t="inlineStr">
        <is>
          <t>06 KG</t>
        </is>
      </c>
      <c r="I3605" t="inlineStr">
        <is>
          <t>2028</t>
        </is>
      </c>
      <c r="J3605" t="n">
        <v>2010</v>
      </c>
      <c r="K3605" t="inlineStr">
        <is>
          <t>NOVIEMBRE 2025</t>
        </is>
      </c>
      <c r="L3605" t="inlineStr">
        <is>
          <t>NOVIEMBRE 2026</t>
        </is>
      </c>
      <c r="M3605" t="inlineStr">
        <is>
          <t>P.Q.S.  TIPO ABC  90% NACIONAL</t>
        </is>
      </c>
      <c r="N3605" t="inlineStr">
        <is>
          <t>163/000854</t>
        </is>
      </c>
      <c r="O3605" t="inlineStr">
        <is>
          <t>R</t>
        </is>
      </c>
      <c r="P3605">
        <f>TRIM(N3605)</f>
        <v/>
      </c>
    </row>
    <row r="3606">
      <c r="A3606" t="inlineStr">
        <is>
          <t>CO-002492</t>
        </is>
      </c>
      <c r="B3606" t="inlineStr">
        <is>
          <t>PERU MASIVO S.A - BUSES</t>
        </is>
      </c>
      <c r="C3606" t="inlineStr">
        <is>
          <t>20492392031</t>
        </is>
      </c>
      <c r="D3606" t="inlineStr">
        <is>
          <t>AV. LOS INCAS CDRA. 4 PATIO NORTE - COMAS</t>
        </is>
      </c>
      <c r="E3606" t="inlineStr">
        <is>
          <t>Lima,06 de noviembre  del  2025</t>
        </is>
      </c>
      <c r="F3606" t="inlineStr">
        <is>
          <t>la Recarga y mantenimiento</t>
        </is>
      </c>
      <c r="G3606" t="inlineStr">
        <is>
          <t>07</t>
        </is>
      </c>
      <c r="H3606" t="inlineStr">
        <is>
          <t>06 KG</t>
        </is>
      </c>
      <c r="I3606" t="inlineStr">
        <is>
          <t>2029</t>
        </is>
      </c>
      <c r="J3606" t="n">
        <v>2009</v>
      </c>
      <c r="K3606" t="inlineStr">
        <is>
          <t>NOVIEMBRE 2025</t>
        </is>
      </c>
      <c r="L3606" t="inlineStr">
        <is>
          <t>NOVIEMBRE 2026</t>
        </is>
      </c>
      <c r="M3606" t="inlineStr">
        <is>
          <t>P.Q.S.  TIPO ABC  90% NACIONAL</t>
        </is>
      </c>
      <c r="N3606" t="inlineStr">
        <is>
          <t>100/000139</t>
        </is>
      </c>
      <c r="O3606" t="inlineStr">
        <is>
          <t>R</t>
        </is>
      </c>
      <c r="P3606">
        <f>TRIM(N3606)</f>
        <v/>
      </c>
    </row>
    <row r="3607">
      <c r="A3607" t="inlineStr">
        <is>
          <t>CO-002492</t>
        </is>
      </c>
      <c r="B3607" t="inlineStr">
        <is>
          <t>PERU MASIVO S.A - BUSES</t>
        </is>
      </c>
      <c r="C3607" t="inlineStr">
        <is>
          <t>20492392031</t>
        </is>
      </c>
      <c r="D3607" t="inlineStr">
        <is>
          <t>AV. LOS INCAS CDRA. 4 PATIO NORTE - COMAS</t>
        </is>
      </c>
      <c r="E3607" t="inlineStr">
        <is>
          <t>Lima,06 de noviembre  del  2025</t>
        </is>
      </c>
      <c r="F3607" t="inlineStr">
        <is>
          <t>la Recarga y mantenimiento</t>
        </is>
      </c>
      <c r="G3607" t="inlineStr">
        <is>
          <t>08</t>
        </is>
      </c>
      <c r="H3607" t="inlineStr">
        <is>
          <t>06 KG</t>
        </is>
      </c>
      <c r="I3607" t="inlineStr">
        <is>
          <t>2028</t>
        </is>
      </c>
      <c r="J3607" t="n">
        <v>2010</v>
      </c>
      <c r="K3607" t="inlineStr">
        <is>
          <t>NOVIEMBRE 2025</t>
        </is>
      </c>
      <c r="L3607" t="inlineStr">
        <is>
          <t>NOVIEMBRE 2026</t>
        </is>
      </c>
      <c r="M3607" t="inlineStr">
        <is>
          <t>P.Q.S.  TIPO ABC  90% NACIONAL</t>
        </is>
      </c>
      <c r="N3607" t="inlineStr">
        <is>
          <t>34/006422</t>
        </is>
      </c>
      <c r="O3607" t="inlineStr">
        <is>
          <t>R</t>
        </is>
      </c>
      <c r="P3607">
        <f>TRIM(N3607)</f>
        <v/>
      </c>
    </row>
    <row r="3608">
      <c r="A3608" t="inlineStr">
        <is>
          <t>CO-002492</t>
        </is>
      </c>
      <c r="B3608" t="inlineStr">
        <is>
          <t>PERU MASIVO S.A - BUSES</t>
        </is>
      </c>
      <c r="C3608" t="inlineStr">
        <is>
          <t>20492392031</t>
        </is>
      </c>
      <c r="D3608" t="inlineStr">
        <is>
          <t>AV. LOS INCAS CDRA. 4 PATIO NORTE - COMAS</t>
        </is>
      </c>
      <c r="E3608" t="inlineStr">
        <is>
          <t>Lima,06 de noviembre  del  2025</t>
        </is>
      </c>
      <c r="F3608" t="inlineStr">
        <is>
          <t>la Recarga y mantenimiento</t>
        </is>
      </c>
      <c r="G3608" t="inlineStr">
        <is>
          <t>09</t>
        </is>
      </c>
      <c r="H3608" t="inlineStr">
        <is>
          <t>06 KG</t>
        </is>
      </c>
      <c r="I3608" t="inlineStr">
        <is>
          <t>2028</t>
        </is>
      </c>
      <c r="J3608" t="n">
        <v>2009</v>
      </c>
      <c r="K3608" t="inlineStr">
        <is>
          <t>NOVIEMBRE 2025</t>
        </is>
      </c>
      <c r="L3608" t="inlineStr">
        <is>
          <t>NOVIEMBRE 2026</t>
        </is>
      </c>
      <c r="M3608" t="inlineStr">
        <is>
          <t>P.Q.S.  TIPO ABC  90% NACIONAL</t>
        </is>
      </c>
      <c r="N3608" t="inlineStr">
        <is>
          <t>08/000956</t>
        </is>
      </c>
      <c r="O3608" t="inlineStr">
        <is>
          <t>R</t>
        </is>
      </c>
      <c r="P3608">
        <f>TRIM(N3608)</f>
        <v/>
      </c>
    </row>
    <row r="3609">
      <c r="A3609" t="inlineStr">
        <is>
          <t>CO-002492</t>
        </is>
      </c>
      <c r="B3609" t="inlineStr">
        <is>
          <t>PERU MASIVO S.A - BUSES</t>
        </is>
      </c>
      <c r="C3609" t="inlineStr">
        <is>
          <t>20492392031</t>
        </is>
      </c>
      <c r="D3609" t="inlineStr">
        <is>
          <t>AV. LOS INCAS CDRA. 4 PATIO NORTE - COMAS</t>
        </is>
      </c>
      <c r="E3609" t="inlineStr">
        <is>
          <t>Lima,06 de noviembre  del  2025</t>
        </is>
      </c>
      <c r="F3609" t="inlineStr">
        <is>
          <t>la Recarga y mantenimiento</t>
        </is>
      </c>
      <c r="G3609" t="n">
        <v>10</v>
      </c>
      <c r="H3609" t="inlineStr">
        <is>
          <t>06 KG</t>
        </is>
      </c>
      <c r="I3609" t="inlineStr">
        <is>
          <t>2028</t>
        </is>
      </c>
      <c r="J3609" t="n">
        <v>2009</v>
      </c>
      <c r="K3609" t="inlineStr">
        <is>
          <t>NOVIEMBRE 2025</t>
        </is>
      </c>
      <c r="L3609" t="inlineStr">
        <is>
          <t>NOVIEMBRE 2026</t>
        </is>
      </c>
      <c r="M3609" t="inlineStr">
        <is>
          <t>P.Q.S.  TIPO ABC  90% NACIONAL</t>
        </is>
      </c>
      <c r="N3609" t="inlineStr">
        <is>
          <t>171/002270</t>
        </is>
      </c>
      <c r="O3609" t="inlineStr">
        <is>
          <t>R</t>
        </is>
      </c>
      <c r="P3609">
        <f>TRIM(N3609)</f>
        <v/>
      </c>
    </row>
    <row r="3610">
      <c r="A3610" t="inlineStr">
        <is>
          <t>CO-002493</t>
        </is>
      </c>
      <c r="B3610" t="inlineStr">
        <is>
          <t>BRITISH AMERICAN HOSPITAL S.A. - CLINICA ANGLOAMERICANA</t>
        </is>
      </c>
      <c r="C3610" t="inlineStr">
        <is>
          <t>20107695584</t>
        </is>
      </c>
      <c r="D3610" t="inlineStr">
        <is>
          <t xml:space="preserve">JR ALFREDO SALAZAR 350 - SAN ISIDRO </t>
        </is>
      </c>
      <c r="E3610" t="inlineStr">
        <is>
          <t>Lima, 31 de octubre del 2025</t>
        </is>
      </c>
      <c r="F3610" t="inlineStr">
        <is>
          <t>La venta</t>
        </is>
      </c>
      <c r="G3610" t="inlineStr">
        <is>
          <t>01</t>
        </is>
      </c>
      <c r="H3610" t="inlineStr">
        <is>
          <t>06 KG</t>
        </is>
      </c>
      <c r="I3610" t="inlineStr">
        <is>
          <t>2030</t>
        </is>
      </c>
      <c r="J3610" t="n">
        <v>2025</v>
      </c>
      <c r="K3610" t="inlineStr">
        <is>
          <t>OCTUBRE 2025</t>
        </is>
      </c>
      <c r="L3610" t="inlineStr">
        <is>
          <t>OCTUBRE 2026</t>
        </is>
      </c>
      <c r="M3610" t="inlineStr">
        <is>
          <t xml:space="preserve">PQS TIPO ABC AL 75% </t>
        </is>
      </c>
      <c r="N3610" t="inlineStr">
        <is>
          <t>E-007/584575</t>
        </is>
      </c>
      <c r="O3610" t="inlineStr">
        <is>
          <t>V</t>
        </is>
      </c>
      <c r="P3610">
        <f>TRIM(N3610)</f>
        <v/>
      </c>
    </row>
    <row r="3611">
      <c r="A3611" t="inlineStr">
        <is>
          <t>CO-002493</t>
        </is>
      </c>
      <c r="B3611" t="inlineStr">
        <is>
          <t>BRITISH AMERICAN HOSPITAL S.A. - CLINICA ANGLOAMERICANA</t>
        </is>
      </c>
      <c r="C3611" t="inlineStr">
        <is>
          <t>20107695584</t>
        </is>
      </c>
      <c r="D3611" t="inlineStr">
        <is>
          <t xml:space="preserve">JR ALFREDO SALAZAR 350 - SAN ISIDRO </t>
        </is>
      </c>
      <c r="E3611" t="inlineStr">
        <is>
          <t>Lima, 31 de octubre del 2025</t>
        </is>
      </c>
      <c r="F3611" t="inlineStr">
        <is>
          <t>La venta</t>
        </is>
      </c>
      <c r="G3611" t="inlineStr">
        <is>
          <t>02</t>
        </is>
      </c>
      <c r="H3611" t="inlineStr">
        <is>
          <t>06 KG</t>
        </is>
      </c>
      <c r="I3611" t="inlineStr">
        <is>
          <t>2030</t>
        </is>
      </c>
      <c r="J3611" t="n">
        <v>2025</v>
      </c>
      <c r="K3611" t="inlineStr">
        <is>
          <t>OCTUBRE 2025</t>
        </is>
      </c>
      <c r="L3611" t="inlineStr">
        <is>
          <t>OCTUBRE 2026</t>
        </is>
      </c>
      <c r="M3611" t="inlineStr">
        <is>
          <t xml:space="preserve">PQS TIPO ABC AL 75% </t>
        </is>
      </c>
      <c r="N3611" t="inlineStr">
        <is>
          <t>E-008/584944</t>
        </is>
      </c>
      <c r="O3611" t="inlineStr">
        <is>
          <t>V</t>
        </is>
      </c>
      <c r="P3611">
        <f>TRIM(N3611)</f>
        <v/>
      </c>
    </row>
    <row r="3612">
      <c r="A3612" t="inlineStr">
        <is>
          <t>CO-002493</t>
        </is>
      </c>
      <c r="B3612" t="inlineStr">
        <is>
          <t>BRITISH AMERICAN HOSPITAL S.A. - CLINICA ANGLOAMERICANA</t>
        </is>
      </c>
      <c r="C3612" t="inlineStr">
        <is>
          <t>20107695584</t>
        </is>
      </c>
      <c r="D3612" t="inlineStr">
        <is>
          <t xml:space="preserve">JR ALFREDO SALAZAR 350 - SAN ISIDRO </t>
        </is>
      </c>
      <c r="E3612" t="inlineStr">
        <is>
          <t>Lima, 31 de octubre del 2025</t>
        </is>
      </c>
      <c r="F3612" t="inlineStr">
        <is>
          <t>La venta</t>
        </is>
      </c>
      <c r="G3612" t="inlineStr">
        <is>
          <t>03</t>
        </is>
      </c>
      <c r="H3612" t="inlineStr">
        <is>
          <t>06 KG</t>
        </is>
      </c>
      <c r="I3612" t="inlineStr">
        <is>
          <t>2030</t>
        </is>
      </c>
      <c r="J3612" t="n">
        <v>2025</v>
      </c>
      <c r="K3612" t="inlineStr">
        <is>
          <t>OCTUBRE 2025</t>
        </is>
      </c>
      <c r="L3612" t="inlineStr">
        <is>
          <t>OCTUBRE 2026</t>
        </is>
      </c>
      <c r="M3612" t="inlineStr">
        <is>
          <t xml:space="preserve">PQS TIPO ABC AL 75% </t>
        </is>
      </c>
      <c r="N3612" t="inlineStr">
        <is>
          <t>E-015/584811</t>
        </is>
      </c>
      <c r="O3612" t="inlineStr">
        <is>
          <t>V</t>
        </is>
      </c>
      <c r="P3612">
        <f>TRIM(N3612)</f>
        <v/>
      </c>
    </row>
    <row r="3613">
      <c r="A3613" t="inlineStr">
        <is>
          <t>CO-002493</t>
        </is>
      </c>
      <c r="B3613" t="inlineStr">
        <is>
          <t>BRITISH AMERICAN HOSPITAL S.A. - CLINICA ANGLOAMERICANA</t>
        </is>
      </c>
      <c r="C3613" t="inlineStr">
        <is>
          <t>20107695584</t>
        </is>
      </c>
      <c r="D3613" t="inlineStr">
        <is>
          <t xml:space="preserve">JR ALFREDO SALAZAR 350 - SAN ISIDRO </t>
        </is>
      </c>
      <c r="E3613" t="inlineStr">
        <is>
          <t>Lima, 31 de octubre del 2025</t>
        </is>
      </c>
      <c r="F3613" t="inlineStr">
        <is>
          <t>La venta</t>
        </is>
      </c>
      <c r="G3613" t="inlineStr">
        <is>
          <t>04</t>
        </is>
      </c>
      <c r="H3613" t="inlineStr">
        <is>
          <t>06 KG</t>
        </is>
      </c>
      <c r="I3613" t="inlineStr">
        <is>
          <t>2030</t>
        </is>
      </c>
      <c r="J3613" t="n">
        <v>2025</v>
      </c>
      <c r="K3613" t="inlineStr">
        <is>
          <t>OCTUBRE 2025</t>
        </is>
      </c>
      <c r="L3613" t="inlineStr">
        <is>
          <t>OCTUBRE 2026</t>
        </is>
      </c>
      <c r="M3613" t="inlineStr">
        <is>
          <t xml:space="preserve">PQS TIPO ABC AL 75% </t>
        </is>
      </c>
      <c r="N3613" t="inlineStr">
        <is>
          <t>E-019/584499</t>
        </is>
      </c>
      <c r="O3613" t="inlineStr">
        <is>
          <t>V</t>
        </is>
      </c>
      <c r="P3613">
        <f>TRIM(N3613)</f>
        <v/>
      </c>
    </row>
    <row r="3614">
      <c r="A3614" t="inlineStr">
        <is>
          <t>CO-002493</t>
        </is>
      </c>
      <c r="B3614" t="inlineStr">
        <is>
          <t>BRITISH AMERICAN HOSPITAL S.A. - CLINICA ANGLOAMERICANA</t>
        </is>
      </c>
      <c r="C3614" t="inlineStr">
        <is>
          <t>20107695584</t>
        </is>
      </c>
      <c r="D3614" t="inlineStr">
        <is>
          <t xml:space="preserve">JR ALFREDO SALAZAR 350 - SAN ISIDRO </t>
        </is>
      </c>
      <c r="E3614" t="inlineStr">
        <is>
          <t>Lima, 31 de octubre del 2025</t>
        </is>
      </c>
      <c r="F3614" t="inlineStr">
        <is>
          <t>La venta</t>
        </is>
      </c>
      <c r="G3614" t="inlineStr">
        <is>
          <t>05</t>
        </is>
      </c>
      <c r="H3614" t="inlineStr">
        <is>
          <t>06 KG</t>
        </is>
      </c>
      <c r="I3614" t="inlineStr">
        <is>
          <t>2030</t>
        </is>
      </c>
      <c r="J3614" t="n">
        <v>2025</v>
      </c>
      <c r="K3614" t="inlineStr">
        <is>
          <t>OCTUBRE 2025</t>
        </is>
      </c>
      <c r="L3614" t="inlineStr">
        <is>
          <t>OCTUBRE 2026</t>
        </is>
      </c>
      <c r="M3614" t="inlineStr">
        <is>
          <t xml:space="preserve">PQS TIPO ABC AL 75% </t>
        </is>
      </c>
      <c r="N3614" t="inlineStr">
        <is>
          <t>E-002/584951</t>
        </is>
      </c>
      <c r="O3614" t="inlineStr">
        <is>
          <t>V</t>
        </is>
      </c>
      <c r="P3614">
        <f>TRIM(N3614)</f>
        <v/>
      </c>
    </row>
    <row r="3615">
      <c r="A3615" t="inlineStr">
        <is>
          <t>CO-002493</t>
        </is>
      </c>
      <c r="B3615" t="inlineStr">
        <is>
          <t>BRITISH AMERICAN HOSPITAL S.A. - CLINICA ANGLOAMERICANA</t>
        </is>
      </c>
      <c r="C3615" t="inlineStr">
        <is>
          <t>20107695584</t>
        </is>
      </c>
      <c r="D3615" t="inlineStr">
        <is>
          <t xml:space="preserve">JR ALFREDO SALAZAR 350 - SAN ISIDRO </t>
        </is>
      </c>
      <c r="E3615" t="inlineStr">
        <is>
          <t>Lima, 31 de octubre del 2025</t>
        </is>
      </c>
      <c r="F3615" t="inlineStr">
        <is>
          <t>La venta</t>
        </is>
      </c>
      <c r="G3615" t="inlineStr">
        <is>
          <t>06</t>
        </is>
      </c>
      <c r="H3615" t="inlineStr">
        <is>
          <t>06 KG</t>
        </is>
      </c>
      <c r="I3615" t="inlineStr">
        <is>
          <t>2030</t>
        </is>
      </c>
      <c r="J3615" t="n">
        <v>2025</v>
      </c>
      <c r="K3615" t="inlineStr">
        <is>
          <t>OCTUBRE 2025</t>
        </is>
      </c>
      <c r="L3615" t="inlineStr">
        <is>
          <t>OCTUBRE 2026</t>
        </is>
      </c>
      <c r="M3615" t="inlineStr">
        <is>
          <t xml:space="preserve">PQS TIPO ABC AL 75% </t>
        </is>
      </c>
      <c r="N3615" t="inlineStr">
        <is>
          <t>E-073/584690</t>
        </is>
      </c>
      <c r="O3615" t="inlineStr">
        <is>
          <t>V</t>
        </is>
      </c>
      <c r="P3615">
        <f>TRIM(N3615)</f>
        <v/>
      </c>
    </row>
    <row r="3616">
      <c r="A3616" t="inlineStr">
        <is>
          <t>CO-002493</t>
        </is>
      </c>
      <c r="B3616" t="inlineStr">
        <is>
          <t>BRITISH AMERICAN HOSPITAL S.A. - CLINICA ANGLOAMERICANA</t>
        </is>
      </c>
      <c r="C3616" t="inlineStr">
        <is>
          <t>20107695584</t>
        </is>
      </c>
      <c r="D3616" t="inlineStr">
        <is>
          <t xml:space="preserve">JR ALFREDO SALAZAR 350 - SAN ISIDRO </t>
        </is>
      </c>
      <c r="E3616" t="inlineStr">
        <is>
          <t>Lima, 31 de octubre del 2025</t>
        </is>
      </c>
      <c r="F3616" t="inlineStr">
        <is>
          <t>La venta</t>
        </is>
      </c>
      <c r="G3616" t="inlineStr">
        <is>
          <t>07</t>
        </is>
      </c>
      <c r="H3616" t="inlineStr">
        <is>
          <t>04 KG</t>
        </is>
      </c>
      <c r="I3616" t="inlineStr">
        <is>
          <t>2030</t>
        </is>
      </c>
      <c r="J3616" t="n">
        <v>2025</v>
      </c>
      <c r="K3616" t="inlineStr">
        <is>
          <t>OCTUBRE 2025</t>
        </is>
      </c>
      <c r="L3616" t="inlineStr">
        <is>
          <t>OCTUBRE 2026</t>
        </is>
      </c>
      <c r="M3616" t="inlineStr">
        <is>
          <t xml:space="preserve">PQS TIPO ABC AL 75% </t>
        </is>
      </c>
      <c r="N3616" t="inlineStr">
        <is>
          <t>E-306/001012</t>
        </is>
      </c>
      <c r="O3616" t="inlineStr">
        <is>
          <t>V</t>
        </is>
      </c>
      <c r="P3616">
        <f>TRIM(N3616)</f>
        <v/>
      </c>
    </row>
    <row r="3617">
      <c r="A3617" t="inlineStr">
        <is>
          <t>CO-002494</t>
        </is>
      </c>
      <c r="B3617" t="inlineStr">
        <is>
          <t>BRITISH AMERICAN HOSPITAL S.A. - CLINICA ANGLOAMERICANA</t>
        </is>
      </c>
      <c r="C3617" t="inlineStr">
        <is>
          <t>20107695584</t>
        </is>
      </c>
      <c r="D3617" t="inlineStr">
        <is>
          <t xml:space="preserve">AV. LA FONTANA 362 - LA MOLINA </t>
        </is>
      </c>
      <c r="E3617" t="inlineStr">
        <is>
          <t>Lima, 07 de noviembre del 2025</t>
        </is>
      </c>
      <c r="F3617" t="inlineStr">
        <is>
          <t>La venta</t>
        </is>
      </c>
      <c r="G3617" t="inlineStr">
        <is>
          <t>01</t>
        </is>
      </c>
      <c r="H3617" t="inlineStr">
        <is>
          <t>06 KG</t>
        </is>
      </c>
      <c r="I3617" t="inlineStr">
        <is>
          <t>2030</t>
        </is>
      </c>
      <c r="J3617" t="n">
        <v>2025</v>
      </c>
      <c r="K3617" t="inlineStr">
        <is>
          <t>NOVIEMBRE 2025</t>
        </is>
      </c>
      <c r="L3617" t="inlineStr">
        <is>
          <t>NOVIEMBRE 2026</t>
        </is>
      </c>
      <c r="M3617" t="inlineStr">
        <is>
          <t xml:space="preserve">PQS TIPO ABC AL 75% </t>
        </is>
      </c>
      <c r="N3617" t="inlineStr">
        <is>
          <t>16/584911</t>
        </is>
      </c>
      <c r="O3617" t="inlineStr">
        <is>
          <t>V</t>
        </is>
      </c>
      <c r="P3617">
        <f>TRIM(N3617)</f>
        <v/>
      </c>
    </row>
    <row r="3618">
      <c r="A3618" t="inlineStr">
        <is>
          <t>CO-002495</t>
        </is>
      </c>
      <c r="B3618" t="inlineStr">
        <is>
          <t>BRITISH AMERICAN HOSPITAL S.A. - CLINICA ANGLOAMERICANA</t>
        </is>
      </c>
      <c r="C3618" t="inlineStr">
        <is>
          <t>20107695584</t>
        </is>
      </c>
      <c r="D3618" t="inlineStr">
        <is>
          <t xml:space="preserve">AV. LA FONTANA 362 - LA MOLINA </t>
        </is>
      </c>
      <c r="E3618" t="inlineStr">
        <is>
          <t>Lima, 07 de noviembre del 2025</t>
        </is>
      </c>
      <c r="F3618" t="inlineStr">
        <is>
          <t>la Recarga y mantenimiento</t>
        </is>
      </c>
      <c r="G3618" t="inlineStr">
        <is>
          <t>01</t>
        </is>
      </c>
      <c r="H3618" t="inlineStr">
        <is>
          <t>06 KG</t>
        </is>
      </c>
      <c r="I3618" t="inlineStr">
        <is>
          <t>2028</t>
        </is>
      </c>
      <c r="J3618" t="n">
        <v>2008</v>
      </c>
      <c r="K3618" t="inlineStr">
        <is>
          <t>NOVIEMBRE 2025</t>
        </is>
      </c>
      <c r="L3618" t="inlineStr">
        <is>
          <t>NOVIEMBRE 2026</t>
        </is>
      </c>
      <c r="M3618" t="inlineStr">
        <is>
          <t xml:space="preserve">PQS TIPO ABC AL 75% </t>
        </is>
      </c>
      <c r="N3618" t="inlineStr">
        <is>
          <t>02/000241</t>
        </is>
      </c>
      <c r="O3618" t="inlineStr">
        <is>
          <t>R</t>
        </is>
      </c>
      <c r="P3618">
        <f>TRIM(N3618)</f>
        <v/>
      </c>
    </row>
    <row r="3619">
      <c r="A3619" t="inlineStr">
        <is>
          <t>CO-002495</t>
        </is>
      </c>
      <c r="B3619" t="inlineStr">
        <is>
          <t>BRITISH AMERICAN HOSPITAL S.A. - CLINICA ANGLOAMERICANA</t>
        </is>
      </c>
      <c r="C3619" t="inlineStr">
        <is>
          <t>20107695584</t>
        </is>
      </c>
      <c r="D3619" t="inlineStr">
        <is>
          <t xml:space="preserve">AV. LA FONTANA 362 - LA MOLINA </t>
        </is>
      </c>
      <c r="E3619" t="inlineStr">
        <is>
          <t>Lima, 07 de noviembre del 2025</t>
        </is>
      </c>
      <c r="F3619" t="inlineStr">
        <is>
          <t>la Recarga y mantenimiento</t>
        </is>
      </c>
      <c r="G3619" t="inlineStr">
        <is>
          <t>02</t>
        </is>
      </c>
      <c r="H3619" t="inlineStr">
        <is>
          <t>06 KG</t>
        </is>
      </c>
      <c r="I3619" t="inlineStr">
        <is>
          <t>2028</t>
        </is>
      </c>
      <c r="J3619" t="n">
        <v>2008</v>
      </c>
      <c r="K3619" t="inlineStr">
        <is>
          <t>NOVIEMBRE 2025</t>
        </is>
      </c>
      <c r="L3619" t="inlineStr">
        <is>
          <t>NOVIEMBRE 2026</t>
        </is>
      </c>
      <c r="M3619" t="inlineStr">
        <is>
          <t xml:space="preserve">PQS TIPO ABC AL 75% </t>
        </is>
      </c>
      <c r="N3619" t="inlineStr">
        <is>
          <t>03/000415</t>
        </is>
      </c>
      <c r="O3619" t="inlineStr">
        <is>
          <t>R</t>
        </is>
      </c>
      <c r="P3619">
        <f>TRIM(N3619)</f>
        <v/>
      </c>
    </row>
    <row r="3620">
      <c r="A3620" t="inlineStr">
        <is>
          <t>CO-002495</t>
        </is>
      </c>
      <c r="B3620" t="inlineStr">
        <is>
          <t>BRITISH AMERICAN HOSPITAL S.A. - CLINICA ANGLOAMERICANA</t>
        </is>
      </c>
      <c r="C3620" t="inlineStr">
        <is>
          <t>20107695584</t>
        </is>
      </c>
      <c r="D3620" t="inlineStr">
        <is>
          <t xml:space="preserve">AV. LA FONTANA 362 - LA MOLINA </t>
        </is>
      </c>
      <c r="E3620" t="inlineStr">
        <is>
          <t>Lima, 07 de noviembre del 2025</t>
        </is>
      </c>
      <c r="F3620" t="inlineStr">
        <is>
          <t>la Recarga y mantenimiento</t>
        </is>
      </c>
      <c r="G3620" t="inlineStr">
        <is>
          <t>03</t>
        </is>
      </c>
      <c r="H3620" t="inlineStr">
        <is>
          <t>06 KG</t>
        </is>
      </c>
      <c r="I3620" t="inlineStr">
        <is>
          <t>2028</t>
        </is>
      </c>
      <c r="J3620" t="n">
        <v>2008</v>
      </c>
      <c r="K3620" t="inlineStr">
        <is>
          <t>NOVIEMBRE 2025</t>
        </is>
      </c>
      <c r="L3620" t="inlineStr">
        <is>
          <t>NOVIEMBRE 2026</t>
        </is>
      </c>
      <c r="M3620" t="inlineStr">
        <is>
          <t xml:space="preserve">PQS TIPO ABC AL 75% </t>
        </is>
      </c>
      <c r="N3620" t="inlineStr">
        <is>
          <t>04/001985</t>
        </is>
      </c>
      <c r="O3620" t="inlineStr">
        <is>
          <t>R</t>
        </is>
      </c>
      <c r="P3620">
        <f>TRIM(N3620)</f>
        <v/>
      </c>
    </row>
    <row r="3621">
      <c r="A3621" t="inlineStr">
        <is>
          <t>CO-002495</t>
        </is>
      </c>
      <c r="B3621" t="inlineStr">
        <is>
          <t>BRITISH AMERICAN HOSPITAL S.A. - CLINICA ANGLOAMERICANA</t>
        </is>
      </c>
      <c r="C3621" t="inlineStr">
        <is>
          <t>20107695584</t>
        </is>
      </c>
      <c r="D3621" t="inlineStr">
        <is>
          <t xml:space="preserve">AV. LA FONTANA 362 - LA MOLINA </t>
        </is>
      </c>
      <c r="E3621" t="inlineStr">
        <is>
          <t>Lima, 07 de noviembre del 2025</t>
        </is>
      </c>
      <c r="F3621" t="inlineStr">
        <is>
          <t>la Recarga y mantenimiento</t>
        </is>
      </c>
      <c r="G3621" t="inlineStr">
        <is>
          <t>04</t>
        </is>
      </c>
      <c r="H3621" t="inlineStr">
        <is>
          <t>06 KG</t>
        </is>
      </c>
      <c r="I3621" t="inlineStr">
        <is>
          <t>2028</t>
        </is>
      </c>
      <c r="J3621" t="n">
        <v>2008</v>
      </c>
      <c r="K3621" t="inlineStr">
        <is>
          <t>NOVIEMBRE 2025</t>
        </is>
      </c>
      <c r="L3621" t="inlineStr">
        <is>
          <t>NOVIEMBRE 2026</t>
        </is>
      </c>
      <c r="M3621" t="inlineStr">
        <is>
          <t xml:space="preserve">PQS TIPO ABC AL 75% </t>
        </is>
      </c>
      <c r="N3621" t="inlineStr">
        <is>
          <t>05/00004</t>
        </is>
      </c>
      <c r="O3621" t="inlineStr">
        <is>
          <t>R</t>
        </is>
      </c>
      <c r="P3621">
        <f>TRIM(N3621)</f>
        <v/>
      </c>
    </row>
    <row r="3622">
      <c r="A3622" t="inlineStr">
        <is>
          <t>CO-002495</t>
        </is>
      </c>
      <c r="B3622" t="inlineStr">
        <is>
          <t>BRITISH AMERICAN HOSPITAL S.A. - CLINICA ANGLOAMERICANA</t>
        </is>
      </c>
      <c r="C3622" t="inlineStr">
        <is>
          <t>20107695584</t>
        </is>
      </c>
      <c r="D3622" t="inlineStr">
        <is>
          <t xml:space="preserve">AV. LA FONTANA 362 - LA MOLINA </t>
        </is>
      </c>
      <c r="E3622" t="inlineStr">
        <is>
          <t>Lima, 07 de noviembre del 2025</t>
        </is>
      </c>
      <c r="F3622" t="inlineStr">
        <is>
          <t>la Recarga y mantenimiento</t>
        </is>
      </c>
      <c r="G3622" t="inlineStr">
        <is>
          <t>05</t>
        </is>
      </c>
      <c r="H3622" t="inlineStr">
        <is>
          <t>06 KG</t>
        </is>
      </c>
      <c r="I3622" t="inlineStr">
        <is>
          <t>2028</t>
        </is>
      </c>
      <c r="J3622" t="n">
        <v>2008</v>
      </c>
      <c r="K3622" t="inlineStr">
        <is>
          <t>NOVIEMBRE 2025</t>
        </is>
      </c>
      <c r="L3622" t="inlineStr">
        <is>
          <t>NOVIEMBRE 2026</t>
        </is>
      </c>
      <c r="M3622" t="inlineStr">
        <is>
          <t xml:space="preserve">PQS TIPO ABC AL 75% </t>
        </is>
      </c>
      <c r="N3622" t="inlineStr">
        <is>
          <t>06/010868</t>
        </is>
      </c>
      <c r="O3622" t="inlineStr">
        <is>
          <t>R</t>
        </is>
      </c>
      <c r="P3622">
        <f>TRIM(N3622)</f>
        <v/>
      </c>
    </row>
    <row r="3623">
      <c r="A3623" t="inlineStr">
        <is>
          <t>CO-002495</t>
        </is>
      </c>
      <c r="B3623" t="inlineStr">
        <is>
          <t>BRITISH AMERICAN HOSPITAL S.A. - CLINICA ANGLOAMERICANA</t>
        </is>
      </c>
      <c r="C3623" t="inlineStr">
        <is>
          <t>20107695584</t>
        </is>
      </c>
      <c r="D3623" t="inlineStr">
        <is>
          <t xml:space="preserve">AV. LA FONTANA 362 - LA MOLINA </t>
        </is>
      </c>
      <c r="E3623" t="inlineStr">
        <is>
          <t>Lima, 07 de noviembre del 2025</t>
        </is>
      </c>
      <c r="F3623" t="inlineStr">
        <is>
          <t>la Recarga y mantenimiento</t>
        </is>
      </c>
      <c r="G3623" t="inlineStr">
        <is>
          <t>06</t>
        </is>
      </c>
      <c r="H3623" t="inlineStr">
        <is>
          <t>06 KG</t>
        </is>
      </c>
      <c r="I3623" t="inlineStr">
        <is>
          <t>2028</t>
        </is>
      </c>
      <c r="J3623" t="n">
        <v>2008</v>
      </c>
      <c r="K3623" t="inlineStr">
        <is>
          <t>NOVIEMBRE 2025</t>
        </is>
      </c>
      <c r="L3623" t="inlineStr">
        <is>
          <t>NOVIEMBRE 2026</t>
        </is>
      </c>
      <c r="M3623" t="inlineStr">
        <is>
          <t xml:space="preserve">PQS TIPO ABC AL 75% </t>
        </is>
      </c>
      <c r="N3623" t="inlineStr">
        <is>
          <t>09/000018</t>
        </is>
      </c>
      <c r="O3623" t="inlineStr">
        <is>
          <t>R</t>
        </is>
      </c>
      <c r="P3623">
        <f>TRIM(N3623)</f>
        <v/>
      </c>
    </row>
    <row r="3624">
      <c r="A3624" t="inlineStr">
        <is>
          <t>CO-002495</t>
        </is>
      </c>
      <c r="B3624" t="inlineStr">
        <is>
          <t>BRITISH AMERICAN HOSPITAL S.A. - CLINICA ANGLOAMERICANA</t>
        </is>
      </c>
      <c r="C3624" t="inlineStr">
        <is>
          <t>20107695584</t>
        </is>
      </c>
      <c r="D3624" t="inlineStr">
        <is>
          <t xml:space="preserve">AV. LA FONTANA 362 - LA MOLINA </t>
        </is>
      </c>
      <c r="E3624" t="inlineStr">
        <is>
          <t>Lima, 07 de noviembre del 2025</t>
        </is>
      </c>
      <c r="F3624" t="inlineStr">
        <is>
          <t>la Recarga y mantenimiento</t>
        </is>
      </c>
      <c r="G3624" t="inlineStr">
        <is>
          <t>07</t>
        </is>
      </c>
      <c r="H3624" t="inlineStr">
        <is>
          <t>06 KG</t>
        </is>
      </c>
      <c r="I3624" t="inlineStr">
        <is>
          <t>2028</t>
        </is>
      </c>
      <c r="J3624" t="n">
        <v>2008</v>
      </c>
      <c r="K3624" t="inlineStr">
        <is>
          <t>NOVIEMBRE 2025</t>
        </is>
      </c>
      <c r="L3624" t="inlineStr">
        <is>
          <t>NOVIEMBRE 2026</t>
        </is>
      </c>
      <c r="M3624" t="inlineStr">
        <is>
          <t xml:space="preserve">PQS TIPO ABC AL 75% </t>
        </is>
      </c>
      <c r="N3624" t="inlineStr">
        <is>
          <t>10/000320</t>
        </is>
      </c>
      <c r="O3624" t="inlineStr">
        <is>
          <t>R</t>
        </is>
      </c>
      <c r="P3624">
        <f>TRIM(N3624)</f>
        <v/>
      </c>
    </row>
    <row r="3625">
      <c r="A3625" t="inlineStr">
        <is>
          <t>CO-002495</t>
        </is>
      </c>
      <c r="B3625" t="inlineStr">
        <is>
          <t>BRITISH AMERICAN HOSPITAL S.A. - CLINICA ANGLOAMERICANA</t>
        </is>
      </c>
      <c r="C3625" t="inlineStr">
        <is>
          <t>20107695584</t>
        </is>
      </c>
      <c r="D3625" t="inlineStr">
        <is>
          <t xml:space="preserve">AV. LA FONTANA 362 - LA MOLINA </t>
        </is>
      </c>
      <c r="E3625" t="inlineStr">
        <is>
          <t>Lima, 07 de noviembre del 2025</t>
        </is>
      </c>
      <c r="F3625" t="inlineStr">
        <is>
          <t>la Recarga y mantenimiento</t>
        </is>
      </c>
      <c r="G3625" t="inlineStr">
        <is>
          <t>08</t>
        </is>
      </c>
      <c r="H3625" t="inlineStr">
        <is>
          <t>09 KG</t>
        </is>
      </c>
      <c r="I3625" t="inlineStr">
        <is>
          <t>2026</t>
        </is>
      </c>
      <c r="J3625" t="n">
        <v>2007</v>
      </c>
      <c r="K3625" t="inlineStr">
        <is>
          <t>NOVIEMBRE 2025</t>
        </is>
      </c>
      <c r="L3625" t="inlineStr">
        <is>
          <t>NOVIEMBRE 2026</t>
        </is>
      </c>
      <c r="M3625" t="inlineStr">
        <is>
          <t xml:space="preserve">PQS TIPO ABC AL 75% </t>
        </is>
      </c>
      <c r="N3625" t="inlineStr">
        <is>
          <t>11/000050</t>
        </is>
      </c>
      <c r="O3625" t="inlineStr">
        <is>
          <t>R</t>
        </is>
      </c>
      <c r="P3625">
        <f>TRIM(N3625)</f>
        <v/>
      </c>
    </row>
    <row r="3626">
      <c r="A3626" t="inlineStr">
        <is>
          <t>CO-002495</t>
        </is>
      </c>
      <c r="B3626" t="inlineStr">
        <is>
          <t>BRITISH AMERICAN HOSPITAL S.A. - CLINICA ANGLOAMERICANA</t>
        </is>
      </c>
      <c r="C3626" t="inlineStr">
        <is>
          <t>20107695584</t>
        </is>
      </c>
      <c r="D3626" t="inlineStr">
        <is>
          <t xml:space="preserve">AV. LA FONTANA 362 - LA MOLINA </t>
        </is>
      </c>
      <c r="E3626" t="inlineStr">
        <is>
          <t>Lima, 07 de noviembre del 2025</t>
        </is>
      </c>
      <c r="F3626" t="inlineStr">
        <is>
          <t>la Recarga y mantenimiento</t>
        </is>
      </c>
      <c r="G3626" t="inlineStr">
        <is>
          <t>09</t>
        </is>
      </c>
      <c r="H3626" t="inlineStr">
        <is>
          <t>06 KG</t>
        </is>
      </c>
      <c r="I3626" t="inlineStr">
        <is>
          <t>2028</t>
        </is>
      </c>
      <c r="J3626" t="n">
        <v>2008</v>
      </c>
      <c r="K3626" t="inlineStr">
        <is>
          <t>NOVIEMBRE 2025</t>
        </is>
      </c>
      <c r="L3626" t="inlineStr">
        <is>
          <t>NOVIEMBRE 2026</t>
        </is>
      </c>
      <c r="M3626" t="inlineStr">
        <is>
          <t xml:space="preserve">PQS TIPO ABC AL 75% </t>
        </is>
      </c>
      <c r="N3626" t="inlineStr">
        <is>
          <t>12/000123</t>
        </is>
      </c>
      <c r="O3626" t="inlineStr">
        <is>
          <t>R</t>
        </is>
      </c>
      <c r="P3626">
        <f>TRIM(N3626)</f>
        <v/>
      </c>
    </row>
    <row r="3627">
      <c r="A3627" t="inlineStr">
        <is>
          <t>CO-002495</t>
        </is>
      </c>
      <c r="B3627" t="inlineStr">
        <is>
          <t>BRITISH AMERICAN HOSPITAL S.A. - CLINICA ANGLOAMERICANA</t>
        </is>
      </c>
      <c r="C3627" t="inlineStr">
        <is>
          <t>20107695584</t>
        </is>
      </c>
      <c r="D3627" t="inlineStr">
        <is>
          <t xml:space="preserve">AV. LA FONTANA 362 - LA MOLINA </t>
        </is>
      </c>
      <c r="E3627" t="inlineStr">
        <is>
          <t>Lima, 07 de noviembre del 2025</t>
        </is>
      </c>
      <c r="F3627" t="inlineStr">
        <is>
          <t>la Recarga y mantenimiento</t>
        </is>
      </c>
      <c r="G3627" t="n">
        <v>10</v>
      </c>
      <c r="H3627" t="inlineStr">
        <is>
          <t>06 KG</t>
        </is>
      </c>
      <c r="I3627" t="inlineStr">
        <is>
          <t>2028</t>
        </is>
      </c>
      <c r="J3627" t="n">
        <v>2008</v>
      </c>
      <c r="K3627" t="inlineStr">
        <is>
          <t>NOVIEMBRE 2025</t>
        </is>
      </c>
      <c r="L3627" t="inlineStr">
        <is>
          <t>NOVIEMBRE 2026</t>
        </is>
      </c>
      <c r="M3627" t="inlineStr">
        <is>
          <t xml:space="preserve">PQS TIPO ABC AL 75% </t>
        </is>
      </c>
      <c r="N3627" t="inlineStr">
        <is>
          <t>14/000501</t>
        </is>
      </c>
      <c r="O3627" t="inlineStr">
        <is>
          <t>R</t>
        </is>
      </c>
      <c r="P3627">
        <f>TRIM(N3627)</f>
        <v/>
      </c>
    </row>
    <row r="3628">
      <c r="A3628" t="inlineStr">
        <is>
          <t>CO-002495</t>
        </is>
      </c>
      <c r="B3628" t="inlineStr">
        <is>
          <t>BRITISH AMERICAN HOSPITAL S.A. - CLINICA ANGLOAMERICANA</t>
        </is>
      </c>
      <c r="C3628" t="inlineStr">
        <is>
          <t>20107695584</t>
        </is>
      </c>
      <c r="D3628" t="inlineStr">
        <is>
          <t xml:space="preserve">AV. LA FONTANA 362 - LA MOLINA </t>
        </is>
      </c>
      <c r="E3628" t="inlineStr">
        <is>
          <t>Lima, 07 de noviembre del 2025</t>
        </is>
      </c>
      <c r="F3628" t="inlineStr">
        <is>
          <t>la Recarga y mantenimiento</t>
        </is>
      </c>
      <c r="G3628" t="n">
        <v>11</v>
      </c>
      <c r="H3628" t="inlineStr">
        <is>
          <t>06 KG</t>
        </is>
      </c>
      <c r="I3628" t="inlineStr">
        <is>
          <t>2028</t>
        </is>
      </c>
      <c r="J3628" t="n">
        <v>2008</v>
      </c>
      <c r="K3628" t="inlineStr">
        <is>
          <t>NOVIEMBRE 2025</t>
        </is>
      </c>
      <c r="L3628" t="inlineStr">
        <is>
          <t>NOVIEMBRE 2026</t>
        </is>
      </c>
      <c r="M3628" t="inlineStr">
        <is>
          <t xml:space="preserve">PQS TIPO ABC AL 75% </t>
        </is>
      </c>
      <c r="N3628" t="inlineStr">
        <is>
          <t>15/003474</t>
        </is>
      </c>
      <c r="O3628" t="inlineStr">
        <is>
          <t>R</t>
        </is>
      </c>
      <c r="P3628">
        <f>TRIM(N3628)</f>
        <v/>
      </c>
    </row>
    <row r="3629">
      <c r="A3629" t="inlineStr">
        <is>
          <t>CO-002495</t>
        </is>
      </c>
      <c r="B3629" t="inlineStr">
        <is>
          <t>BRITISH AMERICAN HOSPITAL S.A. - CLINICA ANGLOAMERICANA</t>
        </is>
      </c>
      <c r="C3629" t="inlineStr">
        <is>
          <t>20107695584</t>
        </is>
      </c>
      <c r="D3629" t="inlineStr">
        <is>
          <t xml:space="preserve">AV. LA FONTANA 362 - LA MOLINA </t>
        </is>
      </c>
      <c r="E3629" t="inlineStr">
        <is>
          <t>Lima, 07 de noviembre del 2025</t>
        </is>
      </c>
      <c r="F3629" t="inlineStr">
        <is>
          <t>la Recarga y mantenimiento</t>
        </is>
      </c>
      <c r="G3629" t="n">
        <v>12</v>
      </c>
      <c r="H3629" t="inlineStr">
        <is>
          <t>06 KG</t>
        </is>
      </c>
      <c r="I3629" t="inlineStr">
        <is>
          <t>2028</t>
        </is>
      </c>
      <c r="J3629" t="n">
        <v>2014</v>
      </c>
      <c r="K3629" t="inlineStr">
        <is>
          <t>NOVIEMBRE 2025</t>
        </is>
      </c>
      <c r="L3629" t="inlineStr">
        <is>
          <t>NOVIEMBRE 2026</t>
        </is>
      </c>
      <c r="M3629" t="inlineStr">
        <is>
          <t xml:space="preserve">PQS TIPO ABC AL 75% </t>
        </is>
      </c>
      <c r="N3629" t="inlineStr">
        <is>
          <t>17/000801</t>
        </is>
      </c>
      <c r="O3629" t="inlineStr">
        <is>
          <t>R</t>
        </is>
      </c>
      <c r="P3629">
        <f>TRIM(N3629)</f>
        <v/>
      </c>
    </row>
    <row r="3630">
      <c r="A3630" t="inlineStr">
        <is>
          <t>CO-002495</t>
        </is>
      </c>
      <c r="B3630" t="inlineStr">
        <is>
          <t>BRITISH AMERICAN HOSPITAL S.A. - CLINICA ANGLOAMERICANA</t>
        </is>
      </c>
      <c r="C3630" t="inlineStr">
        <is>
          <t>20107695584</t>
        </is>
      </c>
      <c r="D3630" t="inlineStr">
        <is>
          <t xml:space="preserve">AV. LA FONTANA 362 - LA MOLINA </t>
        </is>
      </c>
      <c r="E3630" t="inlineStr">
        <is>
          <t>Lima, 07 de noviembre del 2025</t>
        </is>
      </c>
      <c r="F3630" t="inlineStr">
        <is>
          <t>la Recarga y mantenimiento</t>
        </is>
      </c>
      <c r="G3630" t="n">
        <v>13</v>
      </c>
      <c r="H3630" t="inlineStr">
        <is>
          <t>06 KG</t>
        </is>
      </c>
      <c r="I3630" t="inlineStr">
        <is>
          <t>2028</t>
        </is>
      </c>
      <c r="J3630" t="n">
        <v>2008</v>
      </c>
      <c r="K3630" t="inlineStr">
        <is>
          <t>NOVIEMBRE 2025</t>
        </is>
      </c>
      <c r="L3630" t="inlineStr">
        <is>
          <t>NOVIEMBRE 2026</t>
        </is>
      </c>
      <c r="M3630" t="inlineStr">
        <is>
          <t xml:space="preserve">PQS TIPO ABC AL 75% </t>
        </is>
      </c>
      <c r="N3630" t="inlineStr">
        <is>
          <t>19/000512</t>
        </is>
      </c>
      <c r="O3630" t="inlineStr">
        <is>
          <t>R</t>
        </is>
      </c>
      <c r="P3630">
        <f>TRIM(N3630)</f>
        <v/>
      </c>
    </row>
    <row r="3631">
      <c r="A3631" t="inlineStr">
        <is>
          <t>CO-002496</t>
        </is>
      </c>
      <c r="B3631" t="inlineStr">
        <is>
          <t>BRITISH AMERICAN HOSPITAL S.A. - CLINICA ANGLOAMERICANA</t>
        </is>
      </c>
      <c r="C3631" t="inlineStr">
        <is>
          <t>20107695584</t>
        </is>
      </c>
      <c r="D3631" t="inlineStr">
        <is>
          <t xml:space="preserve">AV. LA FONTANA 362 - LA MOLINA </t>
        </is>
      </c>
      <c r="E3631" t="inlineStr">
        <is>
          <t>Lima, 07 de noviembre del 2025</t>
        </is>
      </c>
      <c r="F3631" t="inlineStr">
        <is>
          <t>la Recarga y mantenimiento</t>
        </is>
      </c>
      <c r="G3631" t="inlineStr">
        <is>
          <t>01</t>
        </is>
      </c>
      <c r="H3631" t="inlineStr">
        <is>
          <t>10 LBS</t>
        </is>
      </c>
      <c r="I3631" t="inlineStr">
        <is>
          <t>2029</t>
        </is>
      </c>
      <c r="J3631" t="n">
        <v>2019</v>
      </c>
      <c r="K3631" t="inlineStr">
        <is>
          <t>NOVIEMBRE 2025</t>
        </is>
      </c>
      <c r="L3631" t="inlineStr">
        <is>
          <t>NOVIEMBRE 2026</t>
        </is>
      </c>
      <c r="M3631" t="inlineStr">
        <is>
          <t>CO2 TIPO BC</t>
        </is>
      </c>
      <c r="N3631" t="inlineStr">
        <is>
          <t>08/000265</t>
        </is>
      </c>
      <c r="O3631" t="inlineStr">
        <is>
          <t>R</t>
        </is>
      </c>
      <c r="P3631">
        <f>TRIM(N3631)</f>
        <v/>
      </c>
    </row>
    <row r="3632">
      <c r="A3632" t="inlineStr">
        <is>
          <t>CO-002496</t>
        </is>
      </c>
      <c r="B3632" t="inlineStr">
        <is>
          <t>BRITISH AMERICAN HOSPITAL S.A. - CLINICA ANGLOAMERICANA</t>
        </is>
      </c>
      <c r="C3632" t="inlineStr">
        <is>
          <t>20107695584</t>
        </is>
      </c>
      <c r="D3632" t="inlineStr">
        <is>
          <t xml:space="preserve">AV. LA FONTANA 362 - LA MOLINA </t>
        </is>
      </c>
      <c r="E3632" t="inlineStr">
        <is>
          <t>Lima, 07 de noviembre del 2025</t>
        </is>
      </c>
      <c r="F3632" t="inlineStr">
        <is>
          <t>la Recarga y mantenimiento</t>
        </is>
      </c>
      <c r="G3632" t="inlineStr">
        <is>
          <t>02</t>
        </is>
      </c>
      <c r="H3632" t="inlineStr">
        <is>
          <t>15 LBS</t>
        </is>
      </c>
      <c r="I3632" t="inlineStr">
        <is>
          <t>2029</t>
        </is>
      </c>
      <c r="J3632" t="n">
        <v>2019</v>
      </c>
      <c r="K3632" t="inlineStr">
        <is>
          <t>NOVIEMBRE 2025</t>
        </is>
      </c>
      <c r="L3632" t="inlineStr">
        <is>
          <t>NOVIEMBRE 2026</t>
        </is>
      </c>
      <c r="M3632" t="inlineStr">
        <is>
          <t>CO2 TIPO BC</t>
        </is>
      </c>
      <c r="N3632" t="inlineStr">
        <is>
          <t>29/000148</t>
        </is>
      </c>
      <c r="O3632" t="inlineStr">
        <is>
          <t>R</t>
        </is>
      </c>
      <c r="P3632">
        <f>TRIM(N3632)</f>
        <v/>
      </c>
    </row>
    <row r="3633">
      <c r="A3633" t="inlineStr">
        <is>
          <t>CO-002496</t>
        </is>
      </c>
      <c r="B3633" t="inlineStr">
        <is>
          <t>BRITISH AMERICAN HOSPITAL S.A. - CLINICA ANGLOAMERICANA</t>
        </is>
      </c>
      <c r="C3633" t="inlineStr">
        <is>
          <t>20107695584</t>
        </is>
      </c>
      <c r="D3633" t="inlineStr">
        <is>
          <t xml:space="preserve">AV. LA FONTANA 362 - LA MOLINA </t>
        </is>
      </c>
      <c r="E3633" t="inlineStr">
        <is>
          <t>Lima, 07 de noviembre del 2025</t>
        </is>
      </c>
      <c r="F3633" t="inlineStr">
        <is>
          <t>la Recarga y mantenimiento</t>
        </is>
      </c>
      <c r="G3633" t="inlineStr">
        <is>
          <t>03</t>
        </is>
      </c>
      <c r="H3633" t="inlineStr">
        <is>
          <t>15 LBS</t>
        </is>
      </c>
      <c r="I3633" t="inlineStr">
        <is>
          <t>2029</t>
        </is>
      </c>
      <c r="J3633" t="n">
        <v>2019</v>
      </c>
      <c r="K3633" t="inlineStr">
        <is>
          <t>NOVIEMBRE 2025</t>
        </is>
      </c>
      <c r="L3633" t="inlineStr">
        <is>
          <t>NOVIEMBRE 2026</t>
        </is>
      </c>
      <c r="M3633" t="inlineStr">
        <is>
          <t>CO2 TIPO BC</t>
        </is>
      </c>
      <c r="N3633" t="inlineStr">
        <is>
          <t>30/000124</t>
        </is>
      </c>
      <c r="O3633" t="inlineStr">
        <is>
          <t>R</t>
        </is>
      </c>
      <c r="P3633">
        <f>TRIM(N3633)</f>
        <v/>
      </c>
    </row>
    <row r="3634">
      <c r="A3634" t="inlineStr">
        <is>
          <t>CO-002497</t>
        </is>
      </c>
      <c r="B3634" t="inlineStr">
        <is>
          <t>QUIMICOS GOICOCHEA S.A.C.</t>
        </is>
      </c>
      <c r="C3634" t="inlineStr">
        <is>
          <t>20211040352</t>
        </is>
      </c>
      <c r="D3634" t="inlineStr">
        <is>
          <t>AV. NESTOR GAMBETTA 150 URB. IND. ALT. ARGENTINA CON AV. LIMA, AV. NESTOR GAMBETTA, CALLAO</t>
        </is>
      </c>
      <c r="E3634" t="inlineStr">
        <is>
          <t>Lima, 07 de Noviembre del 2025</t>
        </is>
      </c>
      <c r="F3634" t="inlineStr">
        <is>
          <t>la Recarga y mantenimiento</t>
        </is>
      </c>
      <c r="G3634" t="inlineStr">
        <is>
          <t>01</t>
        </is>
      </c>
      <c r="H3634" t="inlineStr">
        <is>
          <t>06 KG</t>
        </is>
      </c>
      <c r="I3634" t="inlineStr">
        <is>
          <t>2029</t>
        </is>
      </c>
      <c r="J3634" t="n">
        <v>2018</v>
      </c>
      <c r="K3634" t="inlineStr">
        <is>
          <t>NOVIEMBRE 2025</t>
        </is>
      </c>
      <c r="L3634" t="inlineStr">
        <is>
          <t>NOVIEMBRE 2026</t>
        </is>
      </c>
      <c r="M3634" t="inlineStr">
        <is>
          <t xml:space="preserve">PQS TIPO ABC AL 75% </t>
        </is>
      </c>
      <c r="N3634" t="inlineStr">
        <is>
          <t>S/N/000556</t>
        </is>
      </c>
      <c r="O3634" t="inlineStr">
        <is>
          <t>R</t>
        </is>
      </c>
      <c r="P3634">
        <f>TRIM(N3634)</f>
        <v/>
      </c>
    </row>
    <row r="3635">
      <c r="A3635" t="inlineStr">
        <is>
          <t>CO-002498</t>
        </is>
      </c>
      <c r="B3635" t="inlineStr">
        <is>
          <t xml:space="preserve">ENCONOCABLE MEDIA SAC </t>
        </is>
      </c>
      <c r="C3635" t="inlineStr">
        <is>
          <t>20508720255</t>
        </is>
      </c>
      <c r="D3635" t="inlineStr">
        <is>
          <t xml:space="preserve">Calle monte grande 129  - SURCO </t>
        </is>
      </c>
      <c r="E3635" t="inlineStr">
        <is>
          <t>Lima, 13 de Noviembre del 2025</t>
        </is>
      </c>
      <c r="F3635" t="inlineStr">
        <is>
          <t>la Recarga y mantenimiento</t>
        </is>
      </c>
      <c r="G3635" t="inlineStr">
        <is>
          <t>01</t>
        </is>
      </c>
      <c r="H3635" t="inlineStr">
        <is>
          <t>06 KG</t>
        </is>
      </c>
      <c r="I3635" t="inlineStr">
        <is>
          <t>2029</t>
        </is>
      </c>
      <c r="J3635" t="n">
        <v>2024</v>
      </c>
      <c r="K3635" t="inlineStr">
        <is>
          <t>NOVIEMBRE 2025</t>
        </is>
      </c>
      <c r="L3635" t="inlineStr">
        <is>
          <t>NOVIEMBRE 2026</t>
        </is>
      </c>
      <c r="M3635" t="inlineStr">
        <is>
          <t xml:space="preserve">PQS TIPO ABC AL 75% </t>
        </is>
      </c>
      <c r="N3635" t="inlineStr">
        <is>
          <t>006200</t>
        </is>
      </c>
      <c r="O3635" t="inlineStr">
        <is>
          <t>R</t>
        </is>
      </c>
      <c r="P3635">
        <f>TRIM(N3635)</f>
        <v/>
      </c>
    </row>
    <row r="3636">
      <c r="A3636" t="inlineStr">
        <is>
          <t>CO-002498</t>
        </is>
      </c>
      <c r="B3636" t="inlineStr">
        <is>
          <t xml:space="preserve">ENCONOCABLE MEDIA SAC </t>
        </is>
      </c>
      <c r="C3636" t="inlineStr">
        <is>
          <t>20508720255</t>
        </is>
      </c>
      <c r="D3636" t="inlineStr">
        <is>
          <t xml:space="preserve">Calle monte grande 129  - SURCO </t>
        </is>
      </c>
      <c r="E3636" t="inlineStr">
        <is>
          <t>Lima, 13 de Noviembre del 2025</t>
        </is>
      </c>
      <c r="F3636" t="inlineStr">
        <is>
          <t>la Recarga y mantenimiento</t>
        </is>
      </c>
      <c r="G3636" t="inlineStr">
        <is>
          <t>02</t>
        </is>
      </c>
      <c r="H3636" t="inlineStr">
        <is>
          <t>06 KG</t>
        </is>
      </c>
      <c r="I3636" t="inlineStr">
        <is>
          <t>2029</t>
        </is>
      </c>
      <c r="J3636" t="n">
        <v>2024</v>
      </c>
      <c r="K3636" t="inlineStr">
        <is>
          <t>NOVIEMBRE 2025</t>
        </is>
      </c>
      <c r="L3636" t="inlineStr">
        <is>
          <t>NOVIEMBRE 2026</t>
        </is>
      </c>
      <c r="M3636" t="inlineStr">
        <is>
          <t xml:space="preserve">PQS TIPO ABC AL 75% </t>
        </is>
      </c>
      <c r="N3636" t="inlineStr">
        <is>
          <t>007864</t>
        </is>
      </c>
      <c r="O3636" t="inlineStr">
        <is>
          <t>R</t>
        </is>
      </c>
      <c r="P3636">
        <f>TRIM(N3636)</f>
        <v/>
      </c>
    </row>
    <row r="3637">
      <c r="A3637" t="inlineStr">
        <is>
          <t>CO-002498</t>
        </is>
      </c>
      <c r="B3637" t="inlineStr">
        <is>
          <t xml:space="preserve">ENCONOCABLE MEDIA SAC </t>
        </is>
      </c>
      <c r="C3637" t="inlineStr">
        <is>
          <t>20508720255</t>
        </is>
      </c>
      <c r="D3637" t="inlineStr">
        <is>
          <t xml:space="preserve">Calle monte grande 129  - SURCO </t>
        </is>
      </c>
      <c r="E3637" t="inlineStr">
        <is>
          <t>Lima, 13 de Noviembre del 2025</t>
        </is>
      </c>
      <c r="F3637" t="inlineStr">
        <is>
          <t>la Recarga y mantenimiento</t>
        </is>
      </c>
      <c r="G3637" t="inlineStr">
        <is>
          <t>03</t>
        </is>
      </c>
      <c r="H3637" t="inlineStr">
        <is>
          <t>06 KG</t>
        </is>
      </c>
      <c r="I3637" t="inlineStr">
        <is>
          <t>2029</t>
        </is>
      </c>
      <c r="J3637" t="n">
        <v>2024</v>
      </c>
      <c r="K3637" t="inlineStr">
        <is>
          <t>NOVIEMBRE 2025</t>
        </is>
      </c>
      <c r="L3637" t="inlineStr">
        <is>
          <t>NOVIEMBRE 2026</t>
        </is>
      </c>
      <c r="M3637" t="inlineStr">
        <is>
          <t xml:space="preserve">PQS TIPO ABC AL 75% </t>
        </is>
      </c>
      <c r="N3637" t="inlineStr">
        <is>
          <t>008698</t>
        </is>
      </c>
      <c r="O3637" t="inlineStr">
        <is>
          <t>R</t>
        </is>
      </c>
      <c r="P3637">
        <f>TRIM(N3637)</f>
        <v/>
      </c>
    </row>
    <row r="3638">
      <c r="A3638" t="inlineStr">
        <is>
          <t>CO-002499</t>
        </is>
      </c>
      <c r="B3638" t="inlineStr">
        <is>
          <t>QUIMICOS GOICOCHEA S.A.C.</t>
        </is>
      </c>
      <c r="C3638" t="inlineStr">
        <is>
          <t>20211040352</t>
        </is>
      </c>
      <c r="D3638" t="inlineStr">
        <is>
          <t xml:space="preserve"> AV. LOS FERROLES S/N (ANTES PLAYA OQUENDO S/N
 SUBPARCELA B) URB. SANTO DOMINGO DE BOCANEGRA 
CALLAO</t>
        </is>
      </c>
      <c r="E3638" t="inlineStr">
        <is>
          <t>Lima, 24 de Noviembre del 2025</t>
        </is>
      </c>
      <c r="F3638" t="inlineStr">
        <is>
          <t>la Recarga y mantenimiento</t>
        </is>
      </c>
      <c r="G3638" t="inlineStr">
        <is>
          <t>01</t>
        </is>
      </c>
      <c r="H3638" t="inlineStr">
        <is>
          <t>06 KG</t>
        </is>
      </c>
      <c r="I3638" t="inlineStr">
        <is>
          <t>2029</t>
        </is>
      </c>
      <c r="J3638" t="n">
        <v>2024</v>
      </c>
      <c r="K3638" t="inlineStr">
        <is>
          <t>NOVIEMBRE 2025</t>
        </is>
      </c>
      <c r="L3638" t="inlineStr">
        <is>
          <t>NOVIEMBRE 2026</t>
        </is>
      </c>
      <c r="M3638" t="inlineStr">
        <is>
          <t xml:space="preserve">PQS TIPO ABC AL 75% </t>
        </is>
      </c>
      <c r="N3638" t="inlineStr">
        <is>
          <t>S/N/770159</t>
        </is>
      </c>
      <c r="O3638" t="inlineStr">
        <is>
          <t>R</t>
        </is>
      </c>
      <c r="P3638">
        <f>TRIM(N3638)</f>
        <v/>
      </c>
    </row>
    <row r="3639">
      <c r="A3639" t="inlineStr">
        <is>
          <t>CO-002500</t>
        </is>
      </c>
      <c r="B3639" t="inlineStr">
        <is>
          <t xml:space="preserve">LUROUS CONFECCIONES </t>
        </is>
      </c>
      <c r="C3639" t="inlineStr">
        <is>
          <t>20613710699</t>
        </is>
      </c>
      <c r="D3639" t="inlineStr">
        <is>
          <t xml:space="preserve">URB CACTUS CARABAYLLO M7 A1 </t>
        </is>
      </c>
      <c r="E3639" t="inlineStr">
        <is>
          <t>Lima, 20 de Noviembre del 2025</t>
        </is>
      </c>
      <c r="F3639" t="inlineStr">
        <is>
          <t>la Recarga y mantenimiento</t>
        </is>
      </c>
      <c r="G3639" t="inlineStr">
        <is>
          <t>01</t>
        </is>
      </c>
      <c r="H3639" t="inlineStr">
        <is>
          <t>04 KG</t>
        </is>
      </c>
      <c r="I3639" t="inlineStr">
        <is>
          <t>2030</t>
        </is>
      </c>
      <c r="J3639" t="n">
        <v>2012</v>
      </c>
      <c r="K3639" t="inlineStr">
        <is>
          <t>NOVIEMBRE 2025</t>
        </is>
      </c>
      <c r="L3639" t="inlineStr">
        <is>
          <t>NOVIEMBRE 2026</t>
        </is>
      </c>
      <c r="M3639" t="inlineStr">
        <is>
          <t xml:space="preserve">PQS TIPO ABC AL 75% </t>
        </is>
      </c>
      <c r="N3639" t="inlineStr">
        <is>
          <t>000030</t>
        </is>
      </c>
      <c r="O3639" t="inlineStr">
        <is>
          <t>R</t>
        </is>
      </c>
      <c r="P3639">
        <f>TRIM(N3639)</f>
        <v/>
      </c>
    </row>
    <row r="3640">
      <c r="A3640" t="inlineStr">
        <is>
          <t>CO-002500</t>
        </is>
      </c>
      <c r="B3640" t="inlineStr">
        <is>
          <t xml:space="preserve">LUROUS CONFECCIONES </t>
        </is>
      </c>
      <c r="C3640" t="inlineStr">
        <is>
          <t>20613710699</t>
        </is>
      </c>
      <c r="D3640" t="inlineStr">
        <is>
          <t xml:space="preserve">URB CACTUS CARABAYLLO M7 A1 </t>
        </is>
      </c>
      <c r="E3640" t="inlineStr">
        <is>
          <t>Lima, 20 de Noviembre del 2025</t>
        </is>
      </c>
      <c r="F3640" t="inlineStr">
        <is>
          <t>la Recarga y mantenimiento</t>
        </is>
      </c>
      <c r="G3640" t="inlineStr">
        <is>
          <t>02</t>
        </is>
      </c>
      <c r="H3640" t="inlineStr">
        <is>
          <t>06 KG</t>
        </is>
      </c>
      <c r="I3640" t="inlineStr">
        <is>
          <t>2030</t>
        </is>
      </c>
      <c r="J3640" t="n">
        <v>2021</v>
      </c>
      <c r="K3640" t="inlineStr">
        <is>
          <t>NOVIEMBRE 2025</t>
        </is>
      </c>
      <c r="L3640" t="inlineStr">
        <is>
          <t>NOVIEMBRE 2026</t>
        </is>
      </c>
      <c r="M3640" t="inlineStr">
        <is>
          <t xml:space="preserve">PQS TIPO ABC AL 75% </t>
        </is>
      </c>
      <c r="N3640" t="inlineStr">
        <is>
          <t>208297</t>
        </is>
      </c>
      <c r="O3640" t="inlineStr">
        <is>
          <t>R</t>
        </is>
      </c>
      <c r="P3640">
        <f>TRIM(N3640)</f>
        <v/>
      </c>
    </row>
    <row r="3641">
      <c r="A3641" t="inlineStr">
        <is>
          <t>CO-002501</t>
        </is>
      </c>
      <c r="B3641" t="inlineStr">
        <is>
          <t xml:space="preserve">JOSE MELCHOR SANCHEZ HUAMAN </t>
        </is>
      </c>
      <c r="C3641" t="inlineStr">
        <is>
          <t>41204120</t>
        </is>
      </c>
      <c r="D3641" t="inlineStr">
        <is>
          <t>JR. MARTE N°107 AÑO NUEVO - COMAS</t>
        </is>
      </c>
      <c r="E3641" t="inlineStr">
        <is>
          <t>Lima, 23 de Noviembre del 2025</t>
        </is>
      </c>
      <c r="F3641" t="inlineStr">
        <is>
          <t>la Recarga y mantenimiento</t>
        </is>
      </c>
      <c r="G3641" t="inlineStr">
        <is>
          <t>01</t>
        </is>
      </c>
      <c r="H3641" t="inlineStr">
        <is>
          <t>06 KG</t>
        </is>
      </c>
      <c r="I3641" t="inlineStr">
        <is>
          <t>2027</t>
        </is>
      </c>
      <c r="J3641" t="n">
        <v>2022</v>
      </c>
      <c r="K3641" t="inlineStr">
        <is>
          <t>NOVIEMBRE 2025</t>
        </is>
      </c>
      <c r="L3641" t="inlineStr">
        <is>
          <t>NOVIEMBRE 2026</t>
        </is>
      </c>
      <c r="M3641" t="inlineStr">
        <is>
          <t>P.Q.S TIPO ABC</t>
        </is>
      </c>
      <c r="N3641" t="inlineStr">
        <is>
          <t>02/501379</t>
        </is>
      </c>
      <c r="O3641" t="inlineStr">
        <is>
          <t>R</t>
        </is>
      </c>
      <c r="P3641">
        <f>TRIM(N3641)</f>
        <v/>
      </c>
    </row>
    <row r="3642">
      <c r="A3642" t="inlineStr">
        <is>
          <t>CO-002501</t>
        </is>
      </c>
      <c r="B3642" t="inlineStr">
        <is>
          <t xml:space="preserve">JOSE MELCHOR SANCHEZ HUAMAN </t>
        </is>
      </c>
      <c r="C3642" t="inlineStr">
        <is>
          <t>41204120</t>
        </is>
      </c>
      <c r="D3642" t="inlineStr">
        <is>
          <t>JR. MARTE N°107 AÑO NUEVO - COMAS</t>
        </is>
      </c>
      <c r="E3642" t="inlineStr">
        <is>
          <t>Lima, 23 de Noviembre del 2025</t>
        </is>
      </c>
      <c r="F3642" t="inlineStr">
        <is>
          <t>la Recarga y mantenimiento</t>
        </is>
      </c>
      <c r="G3642" t="inlineStr">
        <is>
          <t>02</t>
        </is>
      </c>
      <c r="H3642" t="inlineStr">
        <is>
          <t>06 KG</t>
        </is>
      </c>
      <c r="I3642" t="inlineStr">
        <is>
          <t>2027</t>
        </is>
      </c>
      <c r="J3642" t="n">
        <v>2022</v>
      </c>
      <c r="K3642" t="inlineStr">
        <is>
          <t>NOVIEMBRE 2025</t>
        </is>
      </c>
      <c r="L3642" t="inlineStr">
        <is>
          <t>NOVIEMBRE 2026</t>
        </is>
      </c>
      <c r="M3642" t="inlineStr">
        <is>
          <t>P.Q.S TIPO ABC</t>
        </is>
      </c>
      <c r="N3642" t="inlineStr">
        <is>
          <t>03/501314</t>
        </is>
      </c>
      <c r="O3642" t="inlineStr">
        <is>
          <t>R</t>
        </is>
      </c>
      <c r="P3642">
        <f>TRIM(N3642)</f>
        <v/>
      </c>
    </row>
    <row r="3643">
      <c r="A3643" t="inlineStr">
        <is>
          <t>CO-002501</t>
        </is>
      </c>
      <c r="B3643" t="inlineStr">
        <is>
          <t xml:space="preserve">JOSE MELCHOR SANCHEZ HUAMAN </t>
        </is>
      </c>
      <c r="C3643" t="inlineStr">
        <is>
          <t>41204120</t>
        </is>
      </c>
      <c r="D3643" t="inlineStr">
        <is>
          <t>JR. MARTE N°107 AÑO NUEVO - COMAS</t>
        </is>
      </c>
      <c r="E3643" t="inlineStr">
        <is>
          <t>Lima, 23 de Noviembre del 2025</t>
        </is>
      </c>
      <c r="F3643" t="inlineStr">
        <is>
          <t>la Recarga y mantenimiento</t>
        </is>
      </c>
      <c r="G3643" t="inlineStr">
        <is>
          <t>03</t>
        </is>
      </c>
      <c r="H3643" t="inlineStr">
        <is>
          <t>06 KG</t>
        </is>
      </c>
      <c r="I3643" t="n">
        <v>2027</v>
      </c>
      <c r="J3643" t="n">
        <v>2022</v>
      </c>
      <c r="K3643" t="inlineStr">
        <is>
          <t>NOVIEMBRE 2025</t>
        </is>
      </c>
      <c r="L3643" t="inlineStr">
        <is>
          <t>NOVIEMBRE 2026</t>
        </is>
      </c>
      <c r="M3643" t="inlineStr">
        <is>
          <t>P.Q.S TIPO ABC</t>
        </is>
      </c>
      <c r="N3643" t="inlineStr">
        <is>
          <t>04/002674</t>
        </is>
      </c>
      <c r="O3643" t="inlineStr">
        <is>
          <t>R</t>
        </is>
      </c>
      <c r="P3643">
        <f>TRIM(N3643)</f>
        <v/>
      </c>
    </row>
    <row r="3644">
      <c r="A3644" t="inlineStr">
        <is>
          <t>CO-002501</t>
        </is>
      </c>
      <c r="B3644" t="inlineStr">
        <is>
          <t xml:space="preserve">JOSE MELCHOR SANCHEZ HUAMAN </t>
        </is>
      </c>
      <c r="C3644" t="inlineStr">
        <is>
          <t>41204120</t>
        </is>
      </c>
      <c r="D3644" t="inlineStr">
        <is>
          <t>JR. MARTE N°107 AÑO NUEVO - COMAS</t>
        </is>
      </c>
      <c r="E3644" t="inlineStr">
        <is>
          <t>Lima, 23 de Noviembre del 2025</t>
        </is>
      </c>
      <c r="F3644" t="inlineStr">
        <is>
          <t>la Recarga y mantenimiento</t>
        </is>
      </c>
      <c r="G3644" t="inlineStr">
        <is>
          <t>04</t>
        </is>
      </c>
      <c r="H3644" t="inlineStr">
        <is>
          <t>06 KG</t>
        </is>
      </c>
      <c r="I3644" t="n">
        <v>2027</v>
      </c>
      <c r="J3644" t="n">
        <v>2022</v>
      </c>
      <c r="K3644" t="inlineStr">
        <is>
          <t>NOVIEMBRE 2025</t>
        </is>
      </c>
      <c r="L3644" t="inlineStr">
        <is>
          <t>NOVIEMBRE 2026</t>
        </is>
      </c>
      <c r="M3644" t="inlineStr">
        <is>
          <t xml:space="preserve">P.Q.S TIPO ABC </t>
        </is>
      </c>
      <c r="N3644" t="inlineStr">
        <is>
          <t>05/501365</t>
        </is>
      </c>
      <c r="O3644" t="inlineStr">
        <is>
          <t>R</t>
        </is>
      </c>
      <c r="P3644">
        <f>TRIM(N3644)</f>
        <v/>
      </c>
    </row>
    <row r="3645">
      <c r="A3645" t="inlineStr">
        <is>
          <t>CO-002501</t>
        </is>
      </c>
      <c r="B3645" t="inlineStr">
        <is>
          <t xml:space="preserve">JOSE MELCHOR SANCHEZ HUAMAN </t>
        </is>
      </c>
      <c r="C3645" t="inlineStr">
        <is>
          <t>41204120</t>
        </is>
      </c>
      <c r="D3645" t="inlineStr">
        <is>
          <t>JR. MARTE N°107 AÑO NUEVO - COMAS</t>
        </is>
      </c>
      <c r="E3645" t="inlineStr">
        <is>
          <t>Lima, 23 de Noviembre del 2025</t>
        </is>
      </c>
      <c r="F3645" t="inlineStr">
        <is>
          <t>la Recarga y mantenimiento</t>
        </is>
      </c>
      <c r="G3645" t="inlineStr">
        <is>
          <t>05</t>
        </is>
      </c>
      <c r="H3645" t="inlineStr">
        <is>
          <t>06 KG</t>
        </is>
      </c>
      <c r="I3645" t="n">
        <v>2027</v>
      </c>
      <c r="J3645" t="n">
        <v>2022</v>
      </c>
      <c r="K3645" t="inlineStr">
        <is>
          <t>NOVIEMBRE 2025</t>
        </is>
      </c>
      <c r="L3645" t="inlineStr">
        <is>
          <t>NOVIEMBRE 2026</t>
        </is>
      </c>
      <c r="M3645" t="inlineStr">
        <is>
          <t>P.Q.S TIPO ABC</t>
        </is>
      </c>
      <c r="N3645" t="inlineStr">
        <is>
          <t>06/501345</t>
        </is>
      </c>
      <c r="O3645" t="inlineStr">
        <is>
          <t>R</t>
        </is>
      </c>
      <c r="P3645">
        <f>TRIM(N3645)</f>
        <v/>
      </c>
    </row>
    <row r="3646">
      <c r="A3646" t="inlineStr">
        <is>
          <t>CO-002502</t>
        </is>
      </c>
      <c r="B3646" t="inlineStr">
        <is>
          <t>GACSA PERU S.A.C.</t>
        </is>
      </c>
      <c r="C3646" t="n">
        <v>20602629067</v>
      </c>
      <c r="D3646" t="inlineStr">
        <is>
          <t>MORRO SOLAR</t>
        </is>
      </c>
      <c r="E3646" t="inlineStr">
        <is>
          <t>Lima, 29 de noviembre  del  2025</t>
        </is>
      </c>
      <c r="F3646" t="inlineStr">
        <is>
          <t>la Recarga y mantenimiento</t>
        </is>
      </c>
      <c r="G3646" t="inlineStr">
        <is>
          <t>01</t>
        </is>
      </c>
      <c r="H3646" t="inlineStr">
        <is>
          <t>25 KG</t>
        </is>
      </c>
      <c r="I3646" t="inlineStr">
        <is>
          <t>2030</t>
        </is>
      </c>
      <c r="J3646" t="n">
        <v>2008</v>
      </c>
      <c r="K3646" t="inlineStr">
        <is>
          <t>NOVIEMBRE 2025</t>
        </is>
      </c>
      <c r="L3646" t="inlineStr">
        <is>
          <t>NOVIEMBRE 2026</t>
        </is>
      </c>
      <c r="M3646" t="inlineStr">
        <is>
          <t xml:space="preserve">PQS TIPO ABC AL 75% </t>
        </is>
      </c>
      <c r="N3646" t="inlineStr">
        <is>
          <t>22/000007</t>
        </is>
      </c>
      <c r="O3646" t="inlineStr">
        <is>
          <t>R</t>
        </is>
      </c>
      <c r="P3646">
        <f>TRIM(N3646)</f>
        <v/>
      </c>
    </row>
    <row r="3647">
      <c r="A3647" t="inlineStr">
        <is>
          <t>CO-002503</t>
        </is>
      </c>
      <c r="B3647" t="inlineStr">
        <is>
          <t>PERU MASIVO S.A - BUSES</t>
        </is>
      </c>
      <c r="C3647" t="inlineStr">
        <is>
          <t>20492392031</t>
        </is>
      </c>
      <c r="D3647" t="inlineStr">
        <is>
          <t>AV. LOS INCAS CDRA. 4 PATIO NORTE - COMAS</t>
        </is>
      </c>
      <c r="E3647" t="inlineStr">
        <is>
          <t>Lima, 26 de noviembre  del  2025</t>
        </is>
      </c>
      <c r="F3647" t="inlineStr">
        <is>
          <t>la Recarga y mantenimiento</t>
        </is>
      </c>
      <c r="G3647" t="inlineStr">
        <is>
          <t>01</t>
        </is>
      </c>
      <c r="H3647" t="inlineStr">
        <is>
          <t>06 KG</t>
        </is>
      </c>
      <c r="I3647" t="inlineStr">
        <is>
          <t>2028</t>
        </is>
      </c>
      <c r="J3647" t="n">
        <v>2009</v>
      </c>
      <c r="K3647" t="inlineStr">
        <is>
          <t>NOVIEMBRE 2025</t>
        </is>
      </c>
      <c r="L3647" t="inlineStr">
        <is>
          <t>NOVIEMBRE 2026</t>
        </is>
      </c>
      <c r="M3647" t="inlineStr">
        <is>
          <t>P.Q.S.  TIPO ABC  90% NACIONAL</t>
        </is>
      </c>
      <c r="N3647" t="inlineStr">
        <is>
          <t>13/001952</t>
        </is>
      </c>
      <c r="O3647" t="inlineStr">
        <is>
          <t>R</t>
        </is>
      </c>
      <c r="P3647">
        <f>TRIM(N3647)</f>
        <v/>
      </c>
    </row>
    <row r="3648">
      <c r="A3648" t="inlineStr">
        <is>
          <t>CO-002503</t>
        </is>
      </c>
      <c r="B3648" t="inlineStr">
        <is>
          <t>PERU MASIVO S.A - BUSES</t>
        </is>
      </c>
      <c r="C3648" t="inlineStr">
        <is>
          <t>20492392031</t>
        </is>
      </c>
      <c r="D3648" t="inlineStr">
        <is>
          <t>AV. LOS INCAS CDRA. 4 PATIO NORTE - COMAS</t>
        </is>
      </c>
      <c r="E3648" t="inlineStr">
        <is>
          <t>Lima, 26 de noviembre  del  2025</t>
        </is>
      </c>
      <c r="F3648" t="inlineStr">
        <is>
          <t>la Recarga y mantenimiento</t>
        </is>
      </c>
      <c r="G3648" t="inlineStr">
        <is>
          <t>02</t>
        </is>
      </c>
      <c r="H3648" t="inlineStr">
        <is>
          <t>06 KG</t>
        </is>
      </c>
      <c r="I3648" t="inlineStr">
        <is>
          <t>2028</t>
        </is>
      </c>
      <c r="J3648" t="n">
        <v>2009</v>
      </c>
      <c r="K3648" t="inlineStr">
        <is>
          <t>NOVIEMBRE 2025</t>
        </is>
      </c>
      <c r="L3648" t="inlineStr">
        <is>
          <t>NOVIEMBRE 2026</t>
        </is>
      </c>
      <c r="M3648" t="inlineStr">
        <is>
          <t>P.Q.S.  TIPO ABC  90% NACIONAL</t>
        </is>
      </c>
      <c r="N3648" t="inlineStr">
        <is>
          <t>52/000349</t>
        </is>
      </c>
      <c r="O3648" t="inlineStr">
        <is>
          <t>R</t>
        </is>
      </c>
      <c r="P3648">
        <f>TRIM(N3648)</f>
        <v/>
      </c>
    </row>
    <row r="3649">
      <c r="A3649" t="inlineStr">
        <is>
          <t>CO-002503</t>
        </is>
      </c>
      <c r="B3649" t="inlineStr">
        <is>
          <t>PERU MASIVO S.A - BUSES</t>
        </is>
      </c>
      <c r="C3649" t="inlineStr">
        <is>
          <t>20492392031</t>
        </is>
      </c>
      <c r="D3649" t="inlineStr">
        <is>
          <t>AV. LOS INCAS CDRA. 4 PATIO NORTE - COMAS</t>
        </is>
      </c>
      <c r="E3649" t="inlineStr">
        <is>
          <t>Lima, 26 de noviembre  del  2025</t>
        </is>
      </c>
      <c r="F3649" t="inlineStr">
        <is>
          <t>la Recarga y mantenimiento</t>
        </is>
      </c>
      <c r="G3649" t="inlineStr">
        <is>
          <t>03</t>
        </is>
      </c>
      <c r="H3649" t="inlineStr">
        <is>
          <t>06 KG</t>
        </is>
      </c>
      <c r="I3649" t="inlineStr">
        <is>
          <t>2028</t>
        </is>
      </c>
      <c r="J3649" t="n">
        <v>2010</v>
      </c>
      <c r="K3649" t="inlineStr">
        <is>
          <t>NOVIEMBRE 2025</t>
        </is>
      </c>
      <c r="L3649" t="inlineStr">
        <is>
          <t>NOVIEMBRE 2026</t>
        </is>
      </c>
      <c r="M3649" t="inlineStr">
        <is>
          <t>P.Q.S.  TIPO ABC  90% NACIONAL</t>
        </is>
      </c>
      <c r="N3649" t="inlineStr">
        <is>
          <t>318/000009</t>
        </is>
      </c>
      <c r="O3649" t="inlineStr">
        <is>
          <t>R</t>
        </is>
      </c>
      <c r="P3649">
        <f>TRIM(N3649)</f>
        <v/>
      </c>
    </row>
    <row r="3650">
      <c r="A3650" t="inlineStr">
        <is>
          <t>CO-002503</t>
        </is>
      </c>
      <c r="B3650" t="inlineStr">
        <is>
          <t>PERU MASIVO S.A - BUSES</t>
        </is>
      </c>
      <c r="C3650" t="inlineStr">
        <is>
          <t>20492392031</t>
        </is>
      </c>
      <c r="D3650" t="inlineStr">
        <is>
          <t>AV. LOS INCAS CDRA. 4 PATIO NORTE - COMAS</t>
        </is>
      </c>
      <c r="E3650" t="inlineStr">
        <is>
          <t>Lima, 26 de noviembre  del  2025</t>
        </is>
      </c>
      <c r="F3650" t="inlineStr">
        <is>
          <t>la Recarga y mantenimiento</t>
        </is>
      </c>
      <c r="G3650" t="inlineStr">
        <is>
          <t>04</t>
        </is>
      </c>
      <c r="H3650" t="inlineStr">
        <is>
          <t>06 KG</t>
        </is>
      </c>
      <c r="I3650" t="inlineStr">
        <is>
          <t>2028</t>
        </is>
      </c>
      <c r="J3650" t="n">
        <v>2014</v>
      </c>
      <c r="K3650" t="inlineStr">
        <is>
          <t>NOVIEMBRE 2025</t>
        </is>
      </c>
      <c r="L3650" t="inlineStr">
        <is>
          <t>NOVIEMBRE 2026</t>
        </is>
      </c>
      <c r="M3650" t="inlineStr">
        <is>
          <t>P.Q.S.  TIPO ABC  90% NACIONAL</t>
        </is>
      </c>
      <c r="N3650" t="inlineStr">
        <is>
          <t>306/001249</t>
        </is>
      </c>
      <c r="O3650" t="inlineStr">
        <is>
          <t>R</t>
        </is>
      </c>
      <c r="P3650">
        <f>TRIM(N3650)</f>
        <v/>
      </c>
    </row>
    <row r="3651">
      <c r="A3651" t="inlineStr">
        <is>
          <t>CO-002503</t>
        </is>
      </c>
      <c r="B3651" t="inlineStr">
        <is>
          <t>PERU MASIVO S.A - BUSES</t>
        </is>
      </c>
      <c r="C3651" t="inlineStr">
        <is>
          <t>20492392031</t>
        </is>
      </c>
      <c r="D3651" t="inlineStr">
        <is>
          <t>AV. LOS INCAS CDRA. 4 PATIO NORTE - COMAS</t>
        </is>
      </c>
      <c r="E3651" t="inlineStr">
        <is>
          <t>Lima, 26 de noviembre  del  2025</t>
        </is>
      </c>
      <c r="F3651" t="inlineStr">
        <is>
          <t>la Recarga y mantenimiento</t>
        </is>
      </c>
      <c r="G3651" t="inlineStr">
        <is>
          <t>05</t>
        </is>
      </c>
      <c r="H3651" t="inlineStr">
        <is>
          <t>06 KG</t>
        </is>
      </c>
      <c r="I3651" t="inlineStr">
        <is>
          <t>2028</t>
        </is>
      </c>
      <c r="J3651" t="n">
        <v>2009</v>
      </c>
      <c r="K3651" t="inlineStr">
        <is>
          <t>NOVIEMBRE 2025</t>
        </is>
      </c>
      <c r="L3651" t="inlineStr">
        <is>
          <t>NOVIEMBRE 2026</t>
        </is>
      </c>
      <c r="M3651" t="inlineStr">
        <is>
          <t>P.Q.S.  TIPO ABC  90% NACIONAL</t>
        </is>
      </c>
      <c r="N3651" t="inlineStr">
        <is>
          <t>279/001422</t>
        </is>
      </c>
      <c r="O3651" t="inlineStr">
        <is>
          <t>R</t>
        </is>
      </c>
      <c r="P3651">
        <f>TRIM(N3651)</f>
        <v/>
      </c>
    </row>
    <row r="3652">
      <c r="A3652" t="inlineStr">
        <is>
          <t>CO-002503</t>
        </is>
      </c>
      <c r="B3652" t="inlineStr">
        <is>
          <t>PERU MASIVO S.A - BUSES</t>
        </is>
      </c>
      <c r="C3652" t="inlineStr">
        <is>
          <t>20492392031</t>
        </is>
      </c>
      <c r="D3652" t="inlineStr">
        <is>
          <t>AV. LOS INCAS CDRA. 4 PATIO NORTE - COMAS</t>
        </is>
      </c>
      <c r="E3652" t="inlineStr">
        <is>
          <t>Lima, 26 de noviembre  del  2025</t>
        </is>
      </c>
      <c r="F3652" t="inlineStr">
        <is>
          <t>la Recarga y mantenimiento</t>
        </is>
      </c>
      <c r="G3652" t="inlineStr">
        <is>
          <t>06</t>
        </is>
      </c>
      <c r="H3652" t="inlineStr">
        <is>
          <t>06 KG</t>
        </is>
      </c>
      <c r="I3652" t="inlineStr">
        <is>
          <t>2028</t>
        </is>
      </c>
      <c r="J3652" t="n">
        <v>2009</v>
      </c>
      <c r="K3652" t="inlineStr">
        <is>
          <t>NOVIEMBRE 2025</t>
        </is>
      </c>
      <c r="L3652" t="inlineStr">
        <is>
          <t>NOVIEMBRE 2026</t>
        </is>
      </c>
      <c r="M3652" t="inlineStr">
        <is>
          <t>P.Q.S.  TIPO ABC  90% NACIONAL</t>
        </is>
      </c>
      <c r="N3652" t="inlineStr">
        <is>
          <t>263/001415</t>
        </is>
      </c>
      <c r="O3652" t="inlineStr">
        <is>
          <t>R</t>
        </is>
      </c>
      <c r="P3652">
        <f>TRIM(N3652)</f>
        <v/>
      </c>
    </row>
    <row r="3653">
      <c r="A3653" t="inlineStr">
        <is>
          <t>CO-002503</t>
        </is>
      </c>
      <c r="B3653" t="inlineStr">
        <is>
          <t>PERU MASIVO S.A - BUSES</t>
        </is>
      </c>
      <c r="C3653" t="inlineStr">
        <is>
          <t>20492392031</t>
        </is>
      </c>
      <c r="D3653" t="inlineStr">
        <is>
          <t>AV. LOS INCAS CDRA. 4 PATIO NORTE - COMAS</t>
        </is>
      </c>
      <c r="E3653" t="inlineStr">
        <is>
          <t>Lima, 26 de noviembre  del  2025</t>
        </is>
      </c>
      <c r="F3653" t="inlineStr">
        <is>
          <t>la Recarga y mantenimiento</t>
        </is>
      </c>
      <c r="G3653" t="inlineStr">
        <is>
          <t>07</t>
        </is>
      </c>
      <c r="H3653" t="inlineStr">
        <is>
          <t>06 KG</t>
        </is>
      </c>
      <c r="I3653" t="inlineStr">
        <is>
          <t>2028</t>
        </is>
      </c>
      <c r="J3653" t="n">
        <v>2017</v>
      </c>
      <c r="K3653" t="inlineStr">
        <is>
          <t>NOVIEMBRE 2025</t>
        </is>
      </c>
      <c r="L3653" t="inlineStr">
        <is>
          <t>NOVIEMBRE 2026</t>
        </is>
      </c>
      <c r="M3653" t="inlineStr">
        <is>
          <t>P.Q.S.  TIPO ABC  90% NACIONAL</t>
        </is>
      </c>
      <c r="N3653" t="inlineStr">
        <is>
          <t>271/003666</t>
        </is>
      </c>
      <c r="O3653" t="inlineStr">
        <is>
          <t>R</t>
        </is>
      </c>
      <c r="P3653">
        <f>TRIM(N3653)</f>
        <v/>
      </c>
    </row>
    <row r="3654">
      <c r="A3654" t="inlineStr">
        <is>
          <t>CO-002503</t>
        </is>
      </c>
      <c r="B3654" t="inlineStr">
        <is>
          <t>PERU MASIVO S.A - BUSES</t>
        </is>
      </c>
      <c r="C3654" t="inlineStr">
        <is>
          <t>20492392031</t>
        </is>
      </c>
      <c r="D3654" t="inlineStr">
        <is>
          <t>AV. LOS INCAS CDRA. 4 PATIO NORTE - COMAS</t>
        </is>
      </c>
      <c r="E3654" t="inlineStr">
        <is>
          <t>Lima, 26 de noviembre  del  2025</t>
        </is>
      </c>
      <c r="F3654" t="inlineStr">
        <is>
          <t>la Recarga y mantenimiento</t>
        </is>
      </c>
      <c r="G3654" t="inlineStr">
        <is>
          <t>08</t>
        </is>
      </c>
      <c r="H3654" t="inlineStr">
        <is>
          <t>06 KG</t>
        </is>
      </c>
      <c r="I3654" t="inlineStr">
        <is>
          <t>2028</t>
        </is>
      </c>
      <c r="J3654" t="n">
        <v>2009</v>
      </c>
      <c r="K3654" t="inlineStr">
        <is>
          <t>NOVIEMBRE 2025</t>
        </is>
      </c>
      <c r="L3654" t="inlineStr">
        <is>
          <t>NOVIEMBRE 2026</t>
        </is>
      </c>
      <c r="M3654" t="inlineStr">
        <is>
          <t>P.Q.S.  TIPO ABC  90% NACIONAL</t>
        </is>
      </c>
      <c r="N3654" t="inlineStr">
        <is>
          <t>66/001780</t>
        </is>
      </c>
      <c r="O3654" t="inlineStr">
        <is>
          <t>R</t>
        </is>
      </c>
      <c r="P3654">
        <f>TRIM(N3654)</f>
        <v/>
      </c>
    </row>
    <row r="3655">
      <c r="A3655" t="inlineStr">
        <is>
          <t>CO-002503</t>
        </is>
      </c>
      <c r="B3655" t="inlineStr">
        <is>
          <t>PERU MASIVO S.A - BUSES</t>
        </is>
      </c>
      <c r="C3655" t="inlineStr">
        <is>
          <t>20492392031</t>
        </is>
      </c>
      <c r="D3655" t="inlineStr">
        <is>
          <t>AV. LOS INCAS CDRA. 4 PATIO NORTE - COMAS</t>
        </is>
      </c>
      <c r="E3655" t="inlineStr">
        <is>
          <t>Lima, 26 de noviembre  del  2025</t>
        </is>
      </c>
      <c r="F3655" t="inlineStr">
        <is>
          <t>la Recarga y mantenimiento</t>
        </is>
      </c>
      <c r="G3655" t="inlineStr">
        <is>
          <t>09</t>
        </is>
      </c>
      <c r="H3655" t="inlineStr">
        <is>
          <t>06 KG</t>
        </is>
      </c>
      <c r="I3655" t="inlineStr">
        <is>
          <t>2028</t>
        </is>
      </c>
      <c r="J3655" t="n">
        <v>2017</v>
      </c>
      <c r="K3655" t="inlineStr">
        <is>
          <t>NOVIEMBRE 2025</t>
        </is>
      </c>
      <c r="L3655" t="inlineStr">
        <is>
          <t>NOVIEMBRE 2026</t>
        </is>
      </c>
      <c r="M3655" t="inlineStr">
        <is>
          <t>P.Q.S.  TIPO ABC  90% NACIONAL</t>
        </is>
      </c>
      <c r="N3655" t="inlineStr">
        <is>
          <t>276/003136</t>
        </is>
      </c>
      <c r="O3655" t="inlineStr">
        <is>
          <t>R</t>
        </is>
      </c>
      <c r="P3655">
        <f>TRIM(N3655)</f>
        <v/>
      </c>
    </row>
    <row r="3656">
      <c r="A3656" t="inlineStr">
        <is>
          <t>CO-002503</t>
        </is>
      </c>
      <c r="B3656" t="inlineStr">
        <is>
          <t>PERU MASIVO S.A - BUSES</t>
        </is>
      </c>
      <c r="C3656" t="inlineStr">
        <is>
          <t>20492392031</t>
        </is>
      </c>
      <c r="D3656" t="inlineStr">
        <is>
          <t>AV. LOS INCAS CDRA. 4 PATIO NORTE - COMAS</t>
        </is>
      </c>
      <c r="E3656" t="inlineStr">
        <is>
          <t>Lima, 26 de noviembre  del  2025</t>
        </is>
      </c>
      <c r="F3656" t="inlineStr">
        <is>
          <t>la Recarga y mantenimiento</t>
        </is>
      </c>
      <c r="G3656" t="n">
        <v>10</v>
      </c>
      <c r="H3656" t="inlineStr">
        <is>
          <t>06 KG</t>
        </is>
      </c>
      <c r="I3656" t="inlineStr">
        <is>
          <t>2028</t>
        </is>
      </c>
      <c r="J3656" t="n">
        <v>2009</v>
      </c>
      <c r="K3656" t="inlineStr">
        <is>
          <t>NOVIEMBRE 2025</t>
        </is>
      </c>
      <c r="L3656" t="inlineStr">
        <is>
          <t>NOVIEMBRE 2026</t>
        </is>
      </c>
      <c r="M3656" t="inlineStr">
        <is>
          <t>P.Q.S.  TIPO ABC  90% NACIONAL</t>
        </is>
      </c>
      <c r="N3656" t="inlineStr">
        <is>
          <t>367/001937</t>
        </is>
      </c>
      <c r="O3656" t="inlineStr">
        <is>
          <t>R</t>
        </is>
      </c>
      <c r="P3656">
        <f>TRIM(N3656)</f>
        <v/>
      </c>
    </row>
    <row r="3657">
      <c r="A3657" t="inlineStr">
        <is>
          <t>CO-002503</t>
        </is>
      </c>
      <c r="B3657" t="inlineStr">
        <is>
          <t>PERU MASIVO S.A - BUSES</t>
        </is>
      </c>
      <c r="C3657" t="inlineStr">
        <is>
          <t>20492392031</t>
        </is>
      </c>
      <c r="D3657" t="inlineStr">
        <is>
          <t>AV. LOS INCAS CDRA. 4 PATIO NORTE - COMAS</t>
        </is>
      </c>
      <c r="E3657" t="inlineStr">
        <is>
          <t>Lima, 26 de noviembre  del  2025</t>
        </is>
      </c>
      <c r="F3657" t="inlineStr">
        <is>
          <t>la Recarga y mantenimiento</t>
        </is>
      </c>
      <c r="G3657" t="n">
        <v>11</v>
      </c>
      <c r="H3657" t="inlineStr">
        <is>
          <t>06 KG</t>
        </is>
      </c>
      <c r="I3657" t="inlineStr">
        <is>
          <t>2028</t>
        </is>
      </c>
      <c r="J3657" t="n">
        <v>2009</v>
      </c>
      <c r="K3657" t="inlineStr">
        <is>
          <t>NOVIEMBRE 2025</t>
        </is>
      </c>
      <c r="L3657" t="inlineStr">
        <is>
          <t>NOVIEMBRE 2026</t>
        </is>
      </c>
      <c r="M3657" t="inlineStr">
        <is>
          <t>P.Q.S.  TIPO ABC  90% NACIONAL</t>
        </is>
      </c>
      <c r="N3657" t="inlineStr">
        <is>
          <t>90/000979</t>
        </is>
      </c>
      <c r="O3657" t="inlineStr">
        <is>
          <t>R</t>
        </is>
      </c>
      <c r="P3657">
        <f>TRIM(N3657)</f>
        <v/>
      </c>
    </row>
    <row r="3658">
      <c r="A3658" t="inlineStr">
        <is>
          <t>CO-002503</t>
        </is>
      </c>
      <c r="B3658" t="inlineStr">
        <is>
          <t>PERU MASIVO S.A - BUSES</t>
        </is>
      </c>
      <c r="C3658" t="inlineStr">
        <is>
          <t>20492392031</t>
        </is>
      </c>
      <c r="D3658" t="inlineStr">
        <is>
          <t>AV. LOS INCAS CDRA. 4 PATIO NORTE - COMAS</t>
        </is>
      </c>
      <c r="E3658" t="inlineStr">
        <is>
          <t>Lima, 26 de noviembre  del  2025</t>
        </is>
      </c>
      <c r="F3658" t="inlineStr">
        <is>
          <t>la Recarga y mantenimiento</t>
        </is>
      </c>
      <c r="G3658" t="n">
        <v>12</v>
      </c>
      <c r="H3658" t="inlineStr">
        <is>
          <t>06 KG</t>
        </is>
      </c>
      <c r="I3658" t="inlineStr">
        <is>
          <t>2028</t>
        </is>
      </c>
      <c r="J3658" t="n">
        <v>2009</v>
      </c>
      <c r="K3658" t="inlineStr">
        <is>
          <t>NOVIEMBRE 2025</t>
        </is>
      </c>
      <c r="L3658" t="inlineStr">
        <is>
          <t>NOVIEMBRE 2026</t>
        </is>
      </c>
      <c r="M3658" t="inlineStr">
        <is>
          <t>P.Q.S.  TIPO ABC  90% NACIONAL</t>
        </is>
      </c>
      <c r="N3658" t="inlineStr">
        <is>
          <t>356/000212</t>
        </is>
      </c>
      <c r="O3658" t="inlineStr">
        <is>
          <t>R</t>
        </is>
      </c>
      <c r="P3658">
        <f>TRIM(N3658)</f>
        <v/>
      </c>
    </row>
    <row r="3659">
      <c r="A3659" t="inlineStr">
        <is>
          <t>CO-002503</t>
        </is>
      </c>
      <c r="B3659" t="inlineStr">
        <is>
          <t>PERU MASIVO S.A - BUSES</t>
        </is>
      </c>
      <c r="C3659" t="inlineStr">
        <is>
          <t>20492392031</t>
        </is>
      </c>
      <c r="D3659" t="inlineStr">
        <is>
          <t>AV. LOS INCAS CDRA. 4 PATIO NORTE - COMAS</t>
        </is>
      </c>
      <c r="E3659" t="inlineStr">
        <is>
          <t>Lima, 26 de noviembre  del  2025</t>
        </is>
      </c>
      <c r="F3659" t="inlineStr">
        <is>
          <t>la Recarga y mantenimiento</t>
        </is>
      </c>
      <c r="G3659" t="n">
        <v>13</v>
      </c>
      <c r="H3659" t="inlineStr">
        <is>
          <t>06 KG</t>
        </is>
      </c>
      <c r="I3659" t="inlineStr">
        <is>
          <t>2028</t>
        </is>
      </c>
      <c r="J3659" t="n">
        <v>2010</v>
      </c>
      <c r="K3659" t="inlineStr">
        <is>
          <t>NOVIEMBRE 2025</t>
        </is>
      </c>
      <c r="L3659" t="inlineStr">
        <is>
          <t>NOVIEMBRE 2026</t>
        </is>
      </c>
      <c r="M3659" t="inlineStr">
        <is>
          <t>P.Q.S.  TIPO ABC  90% NACIONAL</t>
        </is>
      </c>
      <c r="N3659" t="inlineStr">
        <is>
          <t>288/000005</t>
        </is>
      </c>
      <c r="O3659" t="inlineStr">
        <is>
          <t>R</t>
        </is>
      </c>
      <c r="P3659">
        <f>TRIM(N3659)</f>
        <v/>
      </c>
    </row>
    <row r="3660">
      <c r="A3660" t="inlineStr">
        <is>
          <t>CO-002504</t>
        </is>
      </c>
      <c r="B3660" t="inlineStr">
        <is>
          <t>GACSA PERU S.A.C.</t>
        </is>
      </c>
      <c r="C3660" t="n">
        <v>20602629067</v>
      </c>
      <c r="D3660" t="inlineStr">
        <is>
          <t>NISSAN LA MOLINA</t>
        </is>
      </c>
      <c r="E3660" t="inlineStr">
        <is>
          <t>Lima, 29 de noviembre del 2025</t>
        </is>
      </c>
      <c r="F3660" t="inlineStr">
        <is>
          <t>la Recarga y mantenimiento</t>
        </is>
      </c>
      <c r="G3660" t="inlineStr">
        <is>
          <t>01</t>
        </is>
      </c>
      <c r="H3660" t="inlineStr">
        <is>
          <t>06 KG</t>
        </is>
      </c>
      <c r="I3660" t="inlineStr">
        <is>
          <t>2026</t>
        </is>
      </c>
      <c r="J3660" t="n">
        <v>2021</v>
      </c>
      <c r="K3660" t="inlineStr">
        <is>
          <t>NOVIEMBRE 2025</t>
        </is>
      </c>
      <c r="L3660" t="inlineStr">
        <is>
          <t>NOVIEMBRE 2026</t>
        </is>
      </c>
      <c r="M3660" t="inlineStr">
        <is>
          <t xml:space="preserve">PQS TIPO ABC AL 75% </t>
        </is>
      </c>
      <c r="N3660" t="inlineStr">
        <is>
          <t>17/004927</t>
        </is>
      </c>
      <c r="O3660" t="inlineStr">
        <is>
          <t>R</t>
        </is>
      </c>
      <c r="P3660">
        <f>TRIM(N3660)</f>
        <v/>
      </c>
    </row>
    <row r="3661">
      <c r="A3661" t="inlineStr">
        <is>
          <t>CO-002504</t>
        </is>
      </c>
      <c r="B3661" t="inlineStr">
        <is>
          <t>GACSA PERU S.A.C.</t>
        </is>
      </c>
      <c r="C3661" t="n">
        <v>20602629067</v>
      </c>
      <c r="D3661" t="inlineStr">
        <is>
          <t>NISSAN LA MOLINA</t>
        </is>
      </c>
      <c r="E3661" t="inlineStr">
        <is>
          <t>Lima, 29 de noviembre del 2025</t>
        </is>
      </c>
      <c r="F3661" t="inlineStr">
        <is>
          <t>la Recarga y mantenimiento</t>
        </is>
      </c>
      <c r="G3661" t="inlineStr">
        <is>
          <t>02</t>
        </is>
      </c>
      <c r="H3661" t="inlineStr">
        <is>
          <t>06 KG</t>
        </is>
      </c>
      <c r="I3661" t="inlineStr">
        <is>
          <t>2028</t>
        </is>
      </c>
      <c r="J3661" t="n">
        <v>2010</v>
      </c>
      <c r="K3661" t="inlineStr">
        <is>
          <t>NOVIEMBRE 2025</t>
        </is>
      </c>
      <c r="L3661" t="inlineStr">
        <is>
          <t>NOVIEMBRE 2026</t>
        </is>
      </c>
      <c r="M3661" t="inlineStr">
        <is>
          <t xml:space="preserve">PQS TIPO ABC AL 75% </t>
        </is>
      </c>
      <c r="N3661" t="inlineStr">
        <is>
          <t>01/000579</t>
        </is>
      </c>
      <c r="O3661" t="inlineStr">
        <is>
          <t>R</t>
        </is>
      </c>
      <c r="P3661">
        <f>TRIM(N3661)</f>
        <v/>
      </c>
    </row>
    <row r="3662">
      <c r="A3662" t="inlineStr">
        <is>
          <t>CO-002504</t>
        </is>
      </c>
      <c r="B3662" t="inlineStr">
        <is>
          <t>GACSA PERU S.A.C.</t>
        </is>
      </c>
      <c r="C3662" t="n">
        <v>20602629067</v>
      </c>
      <c r="D3662" t="inlineStr">
        <is>
          <t>NISSAN LA MOLINA</t>
        </is>
      </c>
      <c r="E3662" t="inlineStr">
        <is>
          <t>Lima, 29 de noviembre del 2025</t>
        </is>
      </c>
      <c r="F3662" t="inlineStr">
        <is>
          <t>la Recarga y mantenimiento</t>
        </is>
      </c>
      <c r="G3662" t="inlineStr">
        <is>
          <t>03</t>
        </is>
      </c>
      <c r="H3662" t="inlineStr">
        <is>
          <t>06 KG</t>
        </is>
      </c>
      <c r="I3662" t="n">
        <v>2026</v>
      </c>
      <c r="J3662" t="n">
        <v>2021</v>
      </c>
      <c r="K3662" t="inlineStr">
        <is>
          <t>NOVIEMBRE 2025</t>
        </is>
      </c>
      <c r="L3662" t="inlineStr">
        <is>
          <t>NOVIEMBRE 2026</t>
        </is>
      </c>
      <c r="M3662" t="inlineStr">
        <is>
          <t xml:space="preserve">PQS TIPO ABC AL 75% </t>
        </is>
      </c>
      <c r="N3662" t="inlineStr">
        <is>
          <t>6/005823</t>
        </is>
      </c>
      <c r="O3662" t="inlineStr">
        <is>
          <t>R</t>
        </is>
      </c>
      <c r="P3662">
        <f>TRIM(N3662)</f>
        <v/>
      </c>
    </row>
    <row r="3663">
      <c r="A3663" t="inlineStr">
        <is>
          <t>CO-002504</t>
        </is>
      </c>
      <c r="B3663" t="inlineStr">
        <is>
          <t>GACSA PERU S.A.C.</t>
        </is>
      </c>
      <c r="C3663" t="n">
        <v>20602629067</v>
      </c>
      <c r="D3663" t="inlineStr">
        <is>
          <t>NISSAN LA MOLINA</t>
        </is>
      </c>
      <c r="E3663" t="inlineStr">
        <is>
          <t>Lima, 29 de noviembre del 2025</t>
        </is>
      </c>
      <c r="F3663" t="inlineStr">
        <is>
          <t>la Recarga y mantenimiento</t>
        </is>
      </c>
      <c r="G3663" t="inlineStr">
        <is>
          <t>04</t>
        </is>
      </c>
      <c r="H3663" t="inlineStr">
        <is>
          <t>06 KG</t>
        </is>
      </c>
      <c r="I3663" t="n">
        <v>2026</v>
      </c>
      <c r="J3663" t="n">
        <v>2021</v>
      </c>
      <c r="K3663" t="inlineStr">
        <is>
          <t>NOVIEMBRE 2025</t>
        </is>
      </c>
      <c r="L3663" t="inlineStr">
        <is>
          <t>NOVIEMBRE 2026</t>
        </is>
      </c>
      <c r="M3663" t="inlineStr">
        <is>
          <t xml:space="preserve">PQS TIPO ABC AL 75% </t>
        </is>
      </c>
      <c r="N3663" t="inlineStr">
        <is>
          <t>4/004769</t>
        </is>
      </c>
      <c r="O3663" t="inlineStr">
        <is>
          <t>R</t>
        </is>
      </c>
      <c r="P3663">
        <f>TRIM(N3663)</f>
        <v/>
      </c>
    </row>
    <row r="3664">
      <c r="A3664" t="inlineStr">
        <is>
          <t>CO-002504</t>
        </is>
      </c>
      <c r="B3664" t="inlineStr">
        <is>
          <t>GACSA PERU S.A.C.</t>
        </is>
      </c>
      <c r="C3664" t="n">
        <v>20602629067</v>
      </c>
      <c r="D3664" t="inlineStr">
        <is>
          <t>NISSAN LA MOLINA</t>
        </is>
      </c>
      <c r="E3664" t="inlineStr">
        <is>
          <t>Lima, 29 de noviembre del 2025</t>
        </is>
      </c>
      <c r="F3664" t="inlineStr">
        <is>
          <t>la Recarga y mantenimiento</t>
        </is>
      </c>
      <c r="G3664" t="inlineStr">
        <is>
          <t>05</t>
        </is>
      </c>
      <c r="H3664" t="inlineStr">
        <is>
          <t>12 KG</t>
        </is>
      </c>
      <c r="I3664" t="n">
        <v>2030</v>
      </c>
      <c r="J3664" t="n">
        <v>2008</v>
      </c>
      <c r="K3664" t="inlineStr">
        <is>
          <t>NOVIEMBRE 2025</t>
        </is>
      </c>
      <c r="L3664" t="inlineStr">
        <is>
          <t>NOVIEMBRE 2026</t>
        </is>
      </c>
      <c r="M3664" t="inlineStr">
        <is>
          <t xml:space="preserve">PQS TIPO ABC AL 75% </t>
        </is>
      </c>
      <c r="N3664" t="inlineStr">
        <is>
          <t>22/000006</t>
        </is>
      </c>
      <c r="O3664" t="inlineStr">
        <is>
          <t>R</t>
        </is>
      </c>
      <c r="P3664">
        <f>TRIM(N3664)</f>
        <v/>
      </c>
    </row>
    <row r="3665">
      <c r="A3665" t="inlineStr">
        <is>
          <t>CO-002504</t>
        </is>
      </c>
      <c r="B3665" t="inlineStr">
        <is>
          <t>GACSA PERU S.A.C.</t>
        </is>
      </c>
      <c r="C3665" t="n">
        <v>20602629067</v>
      </c>
      <c r="D3665" t="inlineStr">
        <is>
          <t>NISSAN LA MOLINA</t>
        </is>
      </c>
      <c r="E3665" t="inlineStr">
        <is>
          <t>Lima, 29 de noviembre del 2025</t>
        </is>
      </c>
      <c r="F3665" t="inlineStr">
        <is>
          <t>la Recarga y mantenimiento</t>
        </is>
      </c>
      <c r="G3665" t="inlineStr">
        <is>
          <t>06</t>
        </is>
      </c>
      <c r="H3665" t="inlineStr">
        <is>
          <t xml:space="preserve">12 KG </t>
        </is>
      </c>
      <c r="I3665" t="n">
        <v>2030</v>
      </c>
      <c r="J3665" t="n">
        <v>2009</v>
      </c>
      <c r="K3665" t="inlineStr">
        <is>
          <t>NOVIEMBRE 2025</t>
        </is>
      </c>
      <c r="L3665" t="inlineStr">
        <is>
          <t>NOVIEMBRE 2026</t>
        </is>
      </c>
      <c r="M3665" t="inlineStr">
        <is>
          <t xml:space="preserve">PQS TIPO ABC AL 75% </t>
        </is>
      </c>
      <c r="N3665" t="inlineStr">
        <is>
          <t>26/000334</t>
        </is>
      </c>
      <c r="O3665" t="inlineStr">
        <is>
          <t>R</t>
        </is>
      </c>
      <c r="P3665">
        <f>TRIM(N3665)</f>
        <v/>
      </c>
    </row>
    <row r="3666">
      <c r="A3666" t="inlineStr">
        <is>
          <t>CO-002504</t>
        </is>
      </c>
      <c r="B3666" t="inlineStr">
        <is>
          <t>GACSA PERU S.A.C.</t>
        </is>
      </c>
      <c r="C3666" t="n">
        <v>20602629067</v>
      </c>
      <c r="D3666" t="inlineStr">
        <is>
          <t>NISSAN LA MOLINA</t>
        </is>
      </c>
      <c r="E3666" t="inlineStr">
        <is>
          <t>Lima, 29 de noviembre del 2025</t>
        </is>
      </c>
      <c r="F3666" t="inlineStr">
        <is>
          <t>la Recarga y mantenimiento</t>
        </is>
      </c>
      <c r="G3666" t="inlineStr">
        <is>
          <t>07</t>
        </is>
      </c>
      <c r="H3666" t="inlineStr">
        <is>
          <t>12 KG</t>
        </is>
      </c>
      <c r="I3666" t="n">
        <v>2027</v>
      </c>
      <c r="J3666" t="n">
        <v>2022</v>
      </c>
      <c r="K3666" t="inlineStr">
        <is>
          <t>NOVIEMBRE 2025</t>
        </is>
      </c>
      <c r="L3666" t="inlineStr">
        <is>
          <t>NOVIEMBRE 2026</t>
        </is>
      </c>
      <c r="M3666" t="inlineStr">
        <is>
          <t xml:space="preserve">PQS TIPO ABC AL 75% </t>
        </is>
      </c>
      <c r="N3666" t="inlineStr">
        <is>
          <t>3/002604</t>
        </is>
      </c>
      <c r="O3666" t="inlineStr">
        <is>
          <t>R</t>
        </is>
      </c>
      <c r="P3666">
        <f>TRIM(N3666)</f>
        <v/>
      </c>
    </row>
    <row r="3667">
      <c r="A3667" t="inlineStr">
        <is>
          <t>CO-002504</t>
        </is>
      </c>
      <c r="B3667" t="inlineStr">
        <is>
          <t>GACSA PERU S.A.C.</t>
        </is>
      </c>
      <c r="C3667" t="n">
        <v>20602629067</v>
      </c>
      <c r="D3667" t="inlineStr">
        <is>
          <t>NISSAN LA MOLINA</t>
        </is>
      </c>
      <c r="E3667" t="inlineStr">
        <is>
          <t>Lima, 29 de noviembre del 2025</t>
        </is>
      </c>
      <c r="F3667" t="inlineStr">
        <is>
          <t>la Recarga y mantenimiento</t>
        </is>
      </c>
      <c r="G3667" t="inlineStr">
        <is>
          <t>08</t>
        </is>
      </c>
      <c r="H3667" t="inlineStr">
        <is>
          <t>12 KG</t>
        </is>
      </c>
      <c r="I3667" t="n">
        <v>2030</v>
      </c>
      <c r="J3667" t="n">
        <v>2009</v>
      </c>
      <c r="K3667" t="inlineStr">
        <is>
          <t>NOVIEMBRE 2025</t>
        </is>
      </c>
      <c r="L3667" t="inlineStr">
        <is>
          <t>NOVIEMBRE 2026</t>
        </is>
      </c>
      <c r="M3667" t="inlineStr">
        <is>
          <t xml:space="preserve">PQS TIPO ABC AL 75% </t>
        </is>
      </c>
      <c r="N3667" t="inlineStr">
        <is>
          <t>11/001307</t>
        </is>
      </c>
      <c r="O3667" t="inlineStr">
        <is>
          <t>R</t>
        </is>
      </c>
      <c r="P3667">
        <f>TRIM(N3667)</f>
        <v/>
      </c>
    </row>
    <row r="3668">
      <c r="A3668" t="inlineStr">
        <is>
          <t>CO-002504</t>
        </is>
      </c>
      <c r="B3668" t="inlineStr">
        <is>
          <t>GACSA PERU S.A.C.</t>
        </is>
      </c>
      <c r="C3668" t="n">
        <v>20602629067</v>
      </c>
      <c r="D3668" t="inlineStr">
        <is>
          <t>NISSAN LA MOLINA</t>
        </is>
      </c>
      <c r="E3668" t="inlineStr">
        <is>
          <t>Lima, 29 de noviembre del 2025</t>
        </is>
      </c>
      <c r="F3668" t="inlineStr">
        <is>
          <t>la Recarga y mantenimiento</t>
        </is>
      </c>
      <c r="G3668" t="inlineStr">
        <is>
          <t>09</t>
        </is>
      </c>
      <c r="H3668" t="inlineStr">
        <is>
          <t>12 KG</t>
        </is>
      </c>
      <c r="I3668" t="n">
        <v>2030</v>
      </c>
      <c r="J3668" t="n">
        <v>2007</v>
      </c>
      <c r="K3668" t="inlineStr">
        <is>
          <t>NOVIEMBRE 2025</t>
        </is>
      </c>
      <c r="L3668" t="inlineStr">
        <is>
          <t>NOVIEMBRE 2026</t>
        </is>
      </c>
      <c r="M3668" t="inlineStr">
        <is>
          <t xml:space="preserve">PQS TIPO ABC AL 75% </t>
        </is>
      </c>
      <c r="N3668" t="inlineStr">
        <is>
          <t>8/N/R</t>
        </is>
      </c>
      <c r="O3668" t="inlineStr">
        <is>
          <t>R</t>
        </is>
      </c>
      <c r="P3668">
        <f>TRIM(N3668)</f>
        <v/>
      </c>
    </row>
    <row r="3669">
      <c r="A3669" t="inlineStr">
        <is>
          <t>CO-002504</t>
        </is>
      </c>
      <c r="B3669" t="inlineStr">
        <is>
          <t>GACSA PERU S.A.C.</t>
        </is>
      </c>
      <c r="C3669" t="n">
        <v>20602629067</v>
      </c>
      <c r="D3669" t="inlineStr">
        <is>
          <t>NISSAN LA MOLINA</t>
        </is>
      </c>
      <c r="E3669" t="inlineStr">
        <is>
          <t>Lima, 29 de noviembre del 2025</t>
        </is>
      </c>
      <c r="F3669" t="inlineStr">
        <is>
          <t>la Recarga y mantenimiento</t>
        </is>
      </c>
      <c r="G3669" t="n">
        <v>10</v>
      </c>
      <c r="H3669" t="inlineStr">
        <is>
          <t xml:space="preserve">12 KG </t>
        </is>
      </c>
      <c r="I3669" t="n">
        <v>2026</v>
      </c>
      <c r="J3669" t="n">
        <v>2016</v>
      </c>
      <c r="K3669" t="inlineStr">
        <is>
          <t>NOVIEMBRE 2025</t>
        </is>
      </c>
      <c r="L3669" t="inlineStr">
        <is>
          <t>NOVIEMBRE 2026</t>
        </is>
      </c>
      <c r="M3669" t="inlineStr">
        <is>
          <t xml:space="preserve">PQS TIPO ABC AL 75% </t>
        </is>
      </c>
      <c r="N3669" t="inlineStr">
        <is>
          <t>14/000114</t>
        </is>
      </c>
      <c r="O3669" t="inlineStr">
        <is>
          <t>R</t>
        </is>
      </c>
      <c r="P3669">
        <f>TRIM(N3669)</f>
        <v/>
      </c>
    </row>
    <row r="3670">
      <c r="A3670" t="inlineStr">
        <is>
          <t>CO-002504</t>
        </is>
      </c>
      <c r="B3670" t="inlineStr">
        <is>
          <t>GACSA PERU S.A.C.</t>
        </is>
      </c>
      <c r="C3670" t="n">
        <v>20602629067</v>
      </c>
      <c r="D3670" t="inlineStr">
        <is>
          <t>NISSAN LA MOLINA</t>
        </is>
      </c>
      <c r="E3670" t="inlineStr">
        <is>
          <t>Lima, 29 de noviembre del 2025</t>
        </is>
      </c>
      <c r="F3670" t="inlineStr">
        <is>
          <t>la Recarga y mantenimiento</t>
        </is>
      </c>
      <c r="G3670" t="n">
        <v>11</v>
      </c>
      <c r="H3670" t="inlineStr">
        <is>
          <t>12 KG</t>
        </is>
      </c>
      <c r="I3670" t="n">
        <v>2030</v>
      </c>
      <c r="J3670" t="n">
        <v>2012</v>
      </c>
      <c r="K3670" t="inlineStr">
        <is>
          <t>NOVIEMBRE 2025</t>
        </is>
      </c>
      <c r="L3670" t="inlineStr">
        <is>
          <t>NOVIEMBRE 2026</t>
        </is>
      </c>
      <c r="M3670" t="inlineStr">
        <is>
          <t xml:space="preserve">PQS TIPO ABC AL 75% </t>
        </is>
      </c>
      <c r="N3670" t="inlineStr">
        <is>
          <t>12/000355</t>
        </is>
      </c>
      <c r="O3670" t="inlineStr">
        <is>
          <t>R</t>
        </is>
      </c>
      <c r="P3670">
        <f>TRIM(N3670)</f>
        <v/>
      </c>
    </row>
    <row r="3671">
      <c r="A3671" t="inlineStr">
        <is>
          <t>CO-002504</t>
        </is>
      </c>
      <c r="B3671" t="inlineStr">
        <is>
          <t>GACSA PERU S.A.C.</t>
        </is>
      </c>
      <c r="C3671" t="n">
        <v>20602629067</v>
      </c>
      <c r="D3671" t="inlineStr">
        <is>
          <t>NISSAN LA MOLINA</t>
        </is>
      </c>
      <c r="E3671" t="inlineStr">
        <is>
          <t>Lima, 29 de noviembre del 2025</t>
        </is>
      </c>
      <c r="F3671" t="inlineStr">
        <is>
          <t>la Recarga y mantenimiento</t>
        </is>
      </c>
      <c r="G3671" t="n">
        <v>12</v>
      </c>
      <c r="H3671" t="inlineStr">
        <is>
          <t>06 KG</t>
        </is>
      </c>
      <c r="I3671" t="n">
        <v>2030</v>
      </c>
      <c r="J3671" t="n">
        <v>2009</v>
      </c>
      <c r="K3671" t="inlineStr">
        <is>
          <t>NOVIEMBRE 2025</t>
        </is>
      </c>
      <c r="L3671" t="inlineStr">
        <is>
          <t>NOVIEMBRE 2026</t>
        </is>
      </c>
      <c r="M3671" t="inlineStr">
        <is>
          <t xml:space="preserve">PQS TIPO ABC AL 75% </t>
        </is>
      </c>
      <c r="N3671" t="inlineStr">
        <is>
          <t>4/001333</t>
        </is>
      </c>
      <c r="O3671" t="inlineStr">
        <is>
          <t>R</t>
        </is>
      </c>
      <c r="P3671">
        <f>TRIM(N3671)</f>
        <v/>
      </c>
    </row>
    <row r="3672">
      <c r="A3672" t="inlineStr">
        <is>
          <t>CO-002504</t>
        </is>
      </c>
      <c r="B3672" t="inlineStr">
        <is>
          <t>GACSA PERU S.A.C.</t>
        </is>
      </c>
      <c r="C3672" t="n">
        <v>20602629067</v>
      </c>
      <c r="D3672" t="inlineStr">
        <is>
          <t>NISSAN LA MOLINA</t>
        </is>
      </c>
      <c r="E3672" t="inlineStr">
        <is>
          <t>Lima, 29 de noviembre del 2025</t>
        </is>
      </c>
      <c r="F3672" t="inlineStr">
        <is>
          <t>la Recarga y mantenimiento</t>
        </is>
      </c>
      <c r="G3672" t="n">
        <v>13</v>
      </c>
      <c r="H3672" t="inlineStr">
        <is>
          <t>2.5 GLS</t>
        </is>
      </c>
      <c r="I3672" t="n">
        <v>2030</v>
      </c>
      <c r="J3672" t="n">
        <v>2009</v>
      </c>
      <c r="K3672" t="inlineStr">
        <is>
          <t>NOVIEMBRE 2025</t>
        </is>
      </c>
      <c r="L3672" t="inlineStr">
        <is>
          <t>NOVIEMBRE 2026</t>
        </is>
      </c>
      <c r="M3672" t="inlineStr">
        <is>
          <t xml:space="preserve">ACETATO TIPO K </t>
        </is>
      </c>
      <c r="N3672" t="inlineStr">
        <is>
          <t>25/000138</t>
        </is>
      </c>
      <c r="O3672" t="inlineStr">
        <is>
          <t>R</t>
        </is>
      </c>
      <c r="P3672">
        <f>TRIM(N3672)</f>
        <v/>
      </c>
    </row>
    <row r="3673">
      <c r="A3673" t="inlineStr">
        <is>
          <t>CO-002504</t>
        </is>
      </c>
      <c r="B3673" t="inlineStr">
        <is>
          <t>GACSA PERU S.A.C.</t>
        </is>
      </c>
      <c r="C3673" t="n">
        <v>20602629067</v>
      </c>
      <c r="D3673" t="inlineStr">
        <is>
          <t>NISSAN LA MOLINA</t>
        </is>
      </c>
      <c r="E3673" t="inlineStr">
        <is>
          <t>Lima, 29 de noviembre del 2025</t>
        </is>
      </c>
      <c r="F3673" t="inlineStr">
        <is>
          <t>la Recarga y mantenimiento</t>
        </is>
      </c>
      <c r="G3673" t="n">
        <v>14</v>
      </c>
      <c r="H3673" t="inlineStr">
        <is>
          <t>20 LBS</t>
        </is>
      </c>
      <c r="I3673" t="n">
        <v>2029</v>
      </c>
      <c r="J3673" t="n">
        <v>2014</v>
      </c>
      <c r="K3673" t="inlineStr">
        <is>
          <t>NOVIEMBRE 2025</t>
        </is>
      </c>
      <c r="L3673" t="inlineStr">
        <is>
          <t>NOVIEMBRE 2026</t>
        </is>
      </c>
      <c r="M3673" t="inlineStr">
        <is>
          <t>CO2 TIPO BC</t>
        </is>
      </c>
      <c r="N3673" t="inlineStr">
        <is>
          <t>23/A29052894</t>
        </is>
      </c>
      <c r="O3673" t="inlineStr">
        <is>
          <t>R</t>
        </is>
      </c>
      <c r="P3673">
        <f>TRIM(N3673)</f>
        <v/>
      </c>
    </row>
    <row r="3674">
      <c r="A3674" t="inlineStr">
        <is>
          <t>CO-002504</t>
        </is>
      </c>
      <c r="B3674" t="inlineStr">
        <is>
          <t>GACSA PERU S.A.C.</t>
        </is>
      </c>
      <c r="C3674" t="n">
        <v>20602629067</v>
      </c>
      <c r="D3674" t="inlineStr">
        <is>
          <t>NISSAN LA MOLINA</t>
        </is>
      </c>
      <c r="E3674" t="inlineStr">
        <is>
          <t>Lima, 29 de noviembre del 2025</t>
        </is>
      </c>
      <c r="F3674" t="inlineStr">
        <is>
          <t>la Recarga y mantenimiento</t>
        </is>
      </c>
      <c r="G3674" t="n">
        <v>15</v>
      </c>
      <c r="H3674" t="inlineStr">
        <is>
          <t>50 KG</t>
        </is>
      </c>
      <c r="I3674" t="n">
        <v>2026</v>
      </c>
      <c r="J3674" t="n">
        <v>2021</v>
      </c>
      <c r="K3674" t="inlineStr">
        <is>
          <t>NOVIEMBRE 2025</t>
        </is>
      </c>
      <c r="L3674" t="inlineStr">
        <is>
          <t>NOVIEMBRE 2026</t>
        </is>
      </c>
      <c r="M3674" t="inlineStr">
        <is>
          <t xml:space="preserve">PQS TIPO ABC AL 75% </t>
        </is>
      </c>
      <c r="N3674" t="inlineStr">
        <is>
          <t>21/000030</t>
        </is>
      </c>
      <c r="O3674" t="inlineStr">
        <is>
          <t>R</t>
        </is>
      </c>
      <c r="P3674">
        <f>TRIM(N3674)</f>
        <v/>
      </c>
    </row>
    <row r="3675">
      <c r="A3675" t="inlineStr">
        <is>
          <t>CO-002506</t>
        </is>
      </c>
      <c r="B3675" t="inlineStr">
        <is>
          <t>GACSA PERU S.A.C.</t>
        </is>
      </c>
      <c r="C3675" t="n">
        <v>20602629069</v>
      </c>
      <c r="D3675" t="inlineStr">
        <is>
          <t>HYUNDAI LA VICTORIA</t>
        </is>
      </c>
      <c r="E3675" t="inlineStr">
        <is>
          <t>Lima, 29 de noviembre del 2025</t>
        </is>
      </c>
      <c r="F3675" t="inlineStr">
        <is>
          <t>la Recarga y mantenimiento</t>
        </is>
      </c>
      <c r="G3675" t="inlineStr">
        <is>
          <t>01</t>
        </is>
      </c>
      <c r="H3675" t="inlineStr">
        <is>
          <t>06 KG</t>
        </is>
      </c>
      <c r="I3675" t="inlineStr">
        <is>
          <t>2026</t>
        </is>
      </c>
      <c r="J3675" t="n">
        <v>2007</v>
      </c>
      <c r="K3675" t="inlineStr">
        <is>
          <t>NOVIEMBRE 2025</t>
        </is>
      </c>
      <c r="L3675" t="inlineStr">
        <is>
          <t>NOVIEMBRE 2026</t>
        </is>
      </c>
      <c r="M3675" t="inlineStr">
        <is>
          <t xml:space="preserve">PQS TIPO ABC AL 75% </t>
        </is>
      </c>
      <c r="N3675" t="inlineStr">
        <is>
          <t>02/000022</t>
        </is>
      </c>
      <c r="O3675" t="inlineStr">
        <is>
          <t>R</t>
        </is>
      </c>
      <c r="P3675">
        <f>TRIM(N3675)</f>
        <v/>
      </c>
    </row>
    <row r="3676">
      <c r="A3676" t="inlineStr">
        <is>
          <t>CO-002506</t>
        </is>
      </c>
      <c r="B3676" t="inlineStr">
        <is>
          <t>GACSA PERU S.A.C.</t>
        </is>
      </c>
      <c r="C3676" t="n">
        <v>20602629069</v>
      </c>
      <c r="D3676" t="inlineStr">
        <is>
          <t>HYUNDAI LA VICTORIA</t>
        </is>
      </c>
      <c r="E3676" t="inlineStr">
        <is>
          <t>Lima, 29 de noviembre del 2025</t>
        </is>
      </c>
      <c r="F3676" t="inlineStr">
        <is>
          <t>la Recarga y mantenimiento</t>
        </is>
      </c>
      <c r="G3676" t="inlineStr">
        <is>
          <t>02</t>
        </is>
      </c>
      <c r="H3676" t="inlineStr">
        <is>
          <t>06 KG</t>
        </is>
      </c>
      <c r="I3676" t="inlineStr">
        <is>
          <t>2026</t>
        </is>
      </c>
      <c r="J3676" t="n">
        <v>2011</v>
      </c>
      <c r="K3676" t="inlineStr">
        <is>
          <t>NOVIEMBRE 2025</t>
        </is>
      </c>
      <c r="L3676" t="inlineStr">
        <is>
          <t>NOVIEMBRE 2026</t>
        </is>
      </c>
      <c r="M3676" t="inlineStr">
        <is>
          <t xml:space="preserve">PQS TIPO ABC AL 75% </t>
        </is>
      </c>
      <c r="N3676" t="inlineStr">
        <is>
          <t>06/000121</t>
        </is>
      </c>
      <c r="O3676" t="inlineStr">
        <is>
          <t>R</t>
        </is>
      </c>
      <c r="P3676">
        <f>TRIM(N3676)</f>
        <v/>
      </c>
    </row>
    <row r="3677">
      <c r="A3677" t="inlineStr">
        <is>
          <t>CO-002506</t>
        </is>
      </c>
      <c r="B3677" t="inlineStr">
        <is>
          <t>GACSA PERU S.A.C.</t>
        </is>
      </c>
      <c r="C3677" t="n">
        <v>20602629069</v>
      </c>
      <c r="D3677" t="inlineStr">
        <is>
          <t>HYUNDAI LA VICTORIA</t>
        </is>
      </c>
      <c r="E3677" t="inlineStr">
        <is>
          <t>Lima, 29 de noviembre del 2025</t>
        </is>
      </c>
      <c r="F3677" t="inlineStr">
        <is>
          <t>la Recarga y mantenimiento</t>
        </is>
      </c>
      <c r="G3677" t="inlineStr">
        <is>
          <t>03</t>
        </is>
      </c>
      <c r="H3677" t="inlineStr">
        <is>
          <t>12 KG</t>
        </is>
      </c>
      <c r="I3677" t="n">
        <v>2030</v>
      </c>
      <c r="J3677" t="n">
        <v>2015</v>
      </c>
      <c r="K3677" t="inlineStr">
        <is>
          <t>NOVIEMBRE 2025</t>
        </is>
      </c>
      <c r="L3677" t="inlineStr">
        <is>
          <t>NOVIEMBRE 2026</t>
        </is>
      </c>
      <c r="M3677" t="inlineStr">
        <is>
          <t xml:space="preserve">PQS TIPO ABC AL 75% </t>
        </is>
      </c>
      <c r="N3677" t="inlineStr">
        <is>
          <t>23/000288</t>
        </is>
      </c>
      <c r="O3677" t="inlineStr">
        <is>
          <t>R</t>
        </is>
      </c>
      <c r="P3677">
        <f>TRIM(N3677)</f>
        <v/>
      </c>
    </row>
    <row r="3678">
      <c r="A3678" t="inlineStr">
        <is>
          <t>CO-002507</t>
        </is>
      </c>
      <c r="B3678" t="inlineStr">
        <is>
          <t>GACSA PERU S.A.C.</t>
        </is>
      </c>
      <c r="C3678" t="n">
        <v>20602629070</v>
      </c>
      <c r="D3678" t="inlineStr">
        <is>
          <t>Av. Republica de panama 4380 GEELY SURQUILLO</t>
        </is>
      </c>
      <c r="E3678" t="inlineStr">
        <is>
          <t>Lima, 04 de junio del 2026</t>
        </is>
      </c>
      <c r="F3678" t="inlineStr">
        <is>
          <t>la Recarga y mantenimiento</t>
        </is>
      </c>
      <c r="G3678" t="inlineStr">
        <is>
          <t>01</t>
        </is>
      </c>
      <c r="H3678" t="inlineStr">
        <is>
          <t>06 KG</t>
        </is>
      </c>
      <c r="I3678" t="inlineStr">
        <is>
          <t>2027</t>
        </is>
      </c>
      <c r="J3678" t="n">
        <v>2017</v>
      </c>
      <c r="K3678" t="inlineStr">
        <is>
          <t>JUNIO 2026</t>
        </is>
      </c>
      <c r="L3678" t="inlineStr">
        <is>
          <t>JUNIO 2027</t>
        </is>
      </c>
      <c r="M3678" t="inlineStr">
        <is>
          <t xml:space="preserve">PQS TIPO ABC AL 75% </t>
        </is>
      </c>
      <c r="N3678" t="inlineStr">
        <is>
          <t>01/001953</t>
        </is>
      </c>
      <c r="O3678" t="inlineStr">
        <is>
          <t>R</t>
        </is>
      </c>
      <c r="P3678">
        <f>TRIM(N3678)</f>
        <v/>
      </c>
    </row>
    <row r="3679">
      <c r="A3679" t="inlineStr">
        <is>
          <t>CO-002507</t>
        </is>
      </c>
      <c r="B3679" t="inlineStr">
        <is>
          <t>GACSA PERU S.A.C.</t>
        </is>
      </c>
      <c r="C3679" t="n">
        <v>20602629070</v>
      </c>
      <c r="D3679" t="inlineStr">
        <is>
          <t>Av. Republica de panama 4380 GEELY SURQUILLO</t>
        </is>
      </c>
      <c r="E3679" t="inlineStr">
        <is>
          <t>Lima, 04 de junio del 2026</t>
        </is>
      </c>
      <c r="F3679" t="inlineStr">
        <is>
          <t>la Recarga y mantenimiento</t>
        </is>
      </c>
      <c r="G3679" t="inlineStr">
        <is>
          <t>02</t>
        </is>
      </c>
      <c r="H3679" t="inlineStr">
        <is>
          <t>06 KG</t>
        </is>
      </c>
      <c r="I3679" t="inlineStr">
        <is>
          <t>2030</t>
        </is>
      </c>
      <c r="J3679" t="n">
        <v>2008</v>
      </c>
      <c r="K3679" t="inlineStr">
        <is>
          <t>NOVIEMBRE 2025</t>
        </is>
      </c>
      <c r="L3679" t="inlineStr">
        <is>
          <t>NOVIEMBRE 2026</t>
        </is>
      </c>
      <c r="M3679" t="inlineStr">
        <is>
          <t xml:space="preserve">PQS TIPO ABC AL 75% </t>
        </is>
      </c>
      <c r="N3679" t="inlineStr">
        <is>
          <t>02/000667</t>
        </is>
      </c>
      <c r="O3679" t="inlineStr">
        <is>
          <t>R</t>
        </is>
      </c>
      <c r="P3679">
        <f>TRIM(N3679)</f>
        <v/>
      </c>
    </row>
    <row r="3680">
      <c r="A3680" t="inlineStr">
        <is>
          <t>CO-002507</t>
        </is>
      </c>
      <c r="B3680" t="inlineStr">
        <is>
          <t>GACSA PERU S.A.C.</t>
        </is>
      </c>
      <c r="C3680" t="n">
        <v>20602629070</v>
      </c>
      <c r="D3680" t="inlineStr">
        <is>
          <t>Av. Republica de panama 4380 GEELY SURQUILLO</t>
        </is>
      </c>
      <c r="E3680" t="inlineStr">
        <is>
          <t>Lima, 04 de junio del 2026</t>
        </is>
      </c>
      <c r="F3680" t="inlineStr">
        <is>
          <t>la Recarga y mantenimiento</t>
        </is>
      </c>
      <c r="G3680" t="inlineStr">
        <is>
          <t>03</t>
        </is>
      </c>
      <c r="H3680" t="inlineStr">
        <is>
          <t>06 KG</t>
        </is>
      </c>
      <c r="I3680" t="inlineStr">
        <is>
          <t>2031</t>
        </is>
      </c>
      <c r="J3680" t="n">
        <v>2026</v>
      </c>
      <c r="K3680" t="inlineStr">
        <is>
          <t>ABRIL 2026</t>
        </is>
      </c>
      <c r="L3680" t="inlineStr">
        <is>
          <t>ABRIL 2027</t>
        </is>
      </c>
      <c r="M3680" t="inlineStr">
        <is>
          <t xml:space="preserve">PQS TIPO ABC AL 75% </t>
        </is>
      </c>
      <c r="N3680" t="inlineStr">
        <is>
          <t>03/156397</t>
        </is>
      </c>
      <c r="O3680" t="inlineStr">
        <is>
          <t>R</t>
        </is>
      </c>
      <c r="P3680">
        <f>TRIM(N3680)</f>
        <v/>
      </c>
    </row>
    <row r="3681">
      <c r="A3681" t="inlineStr">
        <is>
          <t>CO-002507</t>
        </is>
      </c>
      <c r="B3681" t="inlineStr">
        <is>
          <t>GACSA PERU S.A.C.</t>
        </is>
      </c>
      <c r="C3681" t="n">
        <v>20602629070</v>
      </c>
      <c r="D3681" t="inlineStr">
        <is>
          <t>Av. Republica de panama 4380 GEELY SURQUILLO</t>
        </is>
      </c>
      <c r="E3681" t="inlineStr">
        <is>
          <t>Lima, 04 de junio del 2026</t>
        </is>
      </c>
      <c r="F3681" t="inlineStr">
        <is>
          <t>la Recarga y mantenimiento</t>
        </is>
      </c>
      <c r="G3681" t="inlineStr">
        <is>
          <t>04</t>
        </is>
      </c>
      <c r="H3681" t="inlineStr">
        <is>
          <t>12 KG</t>
        </is>
      </c>
      <c r="I3681" t="inlineStr">
        <is>
          <t>2030</t>
        </is>
      </c>
      <c r="J3681" t="n">
        <v>2010</v>
      </c>
      <c r="K3681" t="inlineStr">
        <is>
          <t>NOVIEMBRE 2025</t>
        </is>
      </c>
      <c r="L3681" t="inlineStr">
        <is>
          <t>NOVIEMBRE 2026</t>
        </is>
      </c>
      <c r="M3681" t="inlineStr">
        <is>
          <t xml:space="preserve">PQS TIPO ABC AL 75% </t>
        </is>
      </c>
      <c r="N3681" t="inlineStr">
        <is>
          <t>04/000067</t>
        </is>
      </c>
      <c r="O3681" t="inlineStr">
        <is>
          <t>R</t>
        </is>
      </c>
      <c r="P3681">
        <f>TRIM(N3681)</f>
        <v/>
      </c>
    </row>
    <row r="3682">
      <c r="A3682" t="inlineStr">
        <is>
          <t>CO-002507</t>
        </is>
      </c>
      <c r="B3682" t="inlineStr">
        <is>
          <t>GACSA PERU S.A.C.</t>
        </is>
      </c>
      <c r="C3682" t="n">
        <v>20602629070</v>
      </c>
      <c r="D3682" t="inlineStr">
        <is>
          <t>Av. Republica de panama 4380 GEELY SURQUILLO</t>
        </is>
      </c>
      <c r="E3682" t="inlineStr">
        <is>
          <t>Lima, 04 de junio del 2026</t>
        </is>
      </c>
      <c r="F3682" t="inlineStr">
        <is>
          <t>la Recarga y mantenimiento</t>
        </is>
      </c>
      <c r="G3682" t="inlineStr">
        <is>
          <t>05</t>
        </is>
      </c>
      <c r="H3682" t="inlineStr">
        <is>
          <t>12 KG</t>
        </is>
      </c>
      <c r="I3682" t="inlineStr">
        <is>
          <t>2030</t>
        </is>
      </c>
      <c r="J3682" t="n">
        <v>2015</v>
      </c>
      <c r="K3682" t="inlineStr">
        <is>
          <t>NOVIEMBRE 2025</t>
        </is>
      </c>
      <c r="L3682" t="inlineStr">
        <is>
          <t>NOVIEMBRE 2026</t>
        </is>
      </c>
      <c r="M3682" t="inlineStr">
        <is>
          <t xml:space="preserve">PQS TIPO ABC AL 75% </t>
        </is>
      </c>
      <c r="N3682" t="inlineStr">
        <is>
          <t>05/000193</t>
        </is>
      </c>
      <c r="O3682" t="inlineStr">
        <is>
          <t>R</t>
        </is>
      </c>
      <c r="P3682">
        <f>TRIM(N3682)</f>
        <v/>
      </c>
    </row>
    <row r="3683">
      <c r="A3683" t="inlineStr">
        <is>
          <t>CO-002507</t>
        </is>
      </c>
      <c r="B3683" t="inlineStr">
        <is>
          <t>GACSA PERU S.A.C.</t>
        </is>
      </c>
      <c r="C3683" t="n">
        <v>20602629070</v>
      </c>
      <c r="D3683" t="inlineStr">
        <is>
          <t>Av. Republica de panama 4380 GEELY SURQUILLO</t>
        </is>
      </c>
      <c r="E3683" t="inlineStr">
        <is>
          <t>Lima, 04 de junio del 2026</t>
        </is>
      </c>
      <c r="F3683" t="inlineStr">
        <is>
          <t>la Recarga y mantenimiento</t>
        </is>
      </c>
      <c r="G3683" t="inlineStr">
        <is>
          <t>06</t>
        </is>
      </c>
      <c r="H3683" t="inlineStr">
        <is>
          <t>12 KG</t>
        </is>
      </c>
      <c r="I3683" t="inlineStr">
        <is>
          <t>2030</t>
        </is>
      </c>
      <c r="J3683" t="n">
        <v>2010</v>
      </c>
      <c r="K3683" t="inlineStr">
        <is>
          <t>NOVIEMBRE 2025</t>
        </is>
      </c>
      <c r="L3683" t="inlineStr">
        <is>
          <t>NOVIEMBRE 2026</t>
        </is>
      </c>
      <c r="M3683" t="inlineStr">
        <is>
          <t xml:space="preserve">PQS TIPO ABC AL 75% </t>
        </is>
      </c>
      <c r="N3683" t="inlineStr">
        <is>
          <t>06/000224</t>
        </is>
      </c>
      <c r="O3683" t="inlineStr">
        <is>
          <t>R</t>
        </is>
      </c>
      <c r="P3683">
        <f>TRIM(N3683)</f>
        <v/>
      </c>
    </row>
    <row r="3684">
      <c r="A3684" t="inlineStr">
        <is>
          <t>CO-002507</t>
        </is>
      </c>
      <c r="B3684" t="inlineStr">
        <is>
          <t>GACSA PERU S.A.C.</t>
        </is>
      </c>
      <c r="C3684" t="n">
        <v>20602629070</v>
      </c>
      <c r="D3684" t="inlineStr">
        <is>
          <t>Av. Republica de panama 4380 GEELY SURQUILLO</t>
        </is>
      </c>
      <c r="E3684" t="inlineStr">
        <is>
          <t>Lima, 04 de junio del 2026</t>
        </is>
      </c>
      <c r="F3684" t="inlineStr">
        <is>
          <t>la Recarga y mantenimiento</t>
        </is>
      </c>
      <c r="G3684" t="inlineStr">
        <is>
          <t>07</t>
        </is>
      </c>
      <c r="H3684" t="inlineStr">
        <is>
          <t>10 LBS</t>
        </is>
      </c>
      <c r="I3684" t="n">
        <v>2030</v>
      </c>
      <c r="J3684" t="n">
        <v>2025</v>
      </c>
      <c r="K3684" t="inlineStr">
        <is>
          <t>JUNIO 2026</t>
        </is>
      </c>
      <c r="L3684" t="inlineStr">
        <is>
          <t>JUNIO 2027</t>
        </is>
      </c>
      <c r="M3684" t="inlineStr">
        <is>
          <t>CO2 TIPO BC</t>
        </is>
      </c>
      <c r="N3684" t="inlineStr">
        <is>
          <t>07/002618</t>
        </is>
      </c>
      <c r="O3684" t="inlineStr">
        <is>
          <t>R</t>
        </is>
      </c>
      <c r="P3684">
        <f>TRIM(N3684)</f>
        <v/>
      </c>
    </row>
    <row r="3685">
      <c r="A3685" t="inlineStr">
        <is>
          <t>CO-002507</t>
        </is>
      </c>
      <c r="B3685" t="inlineStr">
        <is>
          <t>GACSA PERU S.A.C.</t>
        </is>
      </c>
      <c r="C3685" t="n">
        <v>20602629070</v>
      </c>
      <c r="D3685" t="inlineStr">
        <is>
          <t>Av. Republica de panama 4380 GEELY SURQUILLO</t>
        </is>
      </c>
      <c r="E3685" t="inlineStr">
        <is>
          <t>Lima, 04 de junio del 2026</t>
        </is>
      </c>
      <c r="F3685" t="inlineStr">
        <is>
          <t>la Recarga y mantenimiento</t>
        </is>
      </c>
      <c r="G3685" t="inlineStr">
        <is>
          <t>08</t>
        </is>
      </c>
      <c r="H3685" t="inlineStr">
        <is>
          <t>06 KG</t>
        </is>
      </c>
      <c r="I3685" t="n">
        <v>2031</v>
      </c>
      <c r="J3685" t="n">
        <v>2016</v>
      </c>
      <c r="K3685" t="inlineStr">
        <is>
          <t>JUNIO 2026</t>
        </is>
      </c>
      <c r="L3685" t="inlineStr">
        <is>
          <t>JUNIO 2027</t>
        </is>
      </c>
      <c r="M3685" t="inlineStr">
        <is>
          <t xml:space="preserve">PQS TIPO ABC AL 75% </t>
        </is>
      </c>
      <c r="N3685" t="inlineStr">
        <is>
          <t>08/000109</t>
        </is>
      </c>
      <c r="O3685" t="inlineStr">
        <is>
          <t>R</t>
        </is>
      </c>
      <c r="P3685">
        <f>TRIM(N3685)</f>
        <v/>
      </c>
    </row>
    <row r="3686">
      <c r="A3686" t="inlineStr">
        <is>
          <t>CO-002507</t>
        </is>
      </c>
      <c r="B3686" t="inlineStr">
        <is>
          <t>GACSA PERU S.A.C.</t>
        </is>
      </c>
      <c r="C3686" t="n">
        <v>20602629070</v>
      </c>
      <c r="D3686" t="inlineStr">
        <is>
          <t>Av. Republica de panama 4380 GEELY SURQUILLO</t>
        </is>
      </c>
      <c r="E3686" t="inlineStr">
        <is>
          <t>Lima, 04 de junio del 2026</t>
        </is>
      </c>
      <c r="F3686" t="inlineStr">
        <is>
          <t>la Recarga y mantenimiento</t>
        </is>
      </c>
      <c r="G3686" t="inlineStr">
        <is>
          <t>09</t>
        </is>
      </c>
      <c r="H3686" t="inlineStr">
        <is>
          <t>10 LBS</t>
        </is>
      </c>
      <c r="I3686" t="n">
        <v>2028</v>
      </c>
      <c r="J3686" t="n">
        <v>2023</v>
      </c>
      <c r="K3686" t="inlineStr">
        <is>
          <t>JUNIO 2026</t>
        </is>
      </c>
      <c r="L3686" t="inlineStr">
        <is>
          <t>JUNIO 2027</t>
        </is>
      </c>
      <c r="M3686" t="inlineStr">
        <is>
          <t>CO2 TIPO BC</t>
        </is>
      </c>
      <c r="N3686" t="inlineStr">
        <is>
          <t>09/000108</t>
        </is>
      </c>
      <c r="O3686" t="inlineStr">
        <is>
          <t>R</t>
        </is>
      </c>
      <c r="P3686">
        <f>TRIM(N3686)</f>
        <v/>
      </c>
    </row>
    <row r="3687">
      <c r="A3687" t="inlineStr">
        <is>
          <t>CO-002507</t>
        </is>
      </c>
      <c r="B3687" t="inlineStr">
        <is>
          <t>GACSA PERU S.A.C.</t>
        </is>
      </c>
      <c r="C3687" t="n">
        <v>20602629070</v>
      </c>
      <c r="D3687" t="inlineStr">
        <is>
          <t>Av. Republica de panama 4380 GEELY SURQUILLO</t>
        </is>
      </c>
      <c r="E3687" t="inlineStr">
        <is>
          <t>Lima, 04 de junio del 2026</t>
        </is>
      </c>
      <c r="F3687" t="inlineStr">
        <is>
          <t>la Recarga y mantenimiento</t>
        </is>
      </c>
      <c r="G3687" t="n">
        <v>10</v>
      </c>
      <c r="H3687" t="inlineStr">
        <is>
          <t>10 LBS</t>
        </is>
      </c>
      <c r="I3687" t="n">
        <v>2028</v>
      </c>
      <c r="J3687" t="n">
        <v>2023</v>
      </c>
      <c r="K3687" t="inlineStr">
        <is>
          <t>JUNIO 2026</t>
        </is>
      </c>
      <c r="L3687" t="inlineStr">
        <is>
          <t>JUNIO 2027</t>
        </is>
      </c>
      <c r="M3687" t="inlineStr">
        <is>
          <t>CO2 TIPO BC</t>
        </is>
      </c>
      <c r="N3687" t="inlineStr">
        <is>
          <t>10/00500</t>
        </is>
      </c>
      <c r="O3687" t="inlineStr">
        <is>
          <t>R</t>
        </is>
      </c>
      <c r="P3687">
        <f>TRIM(N3687)</f>
        <v/>
      </c>
    </row>
    <row r="3688">
      <c r="A3688" t="inlineStr">
        <is>
          <t>CO-002508</t>
        </is>
      </c>
      <c r="B3688" t="inlineStr">
        <is>
          <t>GACSA PERU S.A.C.</t>
        </is>
      </c>
      <c r="C3688" t="n">
        <v>20602629070</v>
      </c>
      <c r="D3688" t="inlineStr">
        <is>
          <t>Av. Republica de panama 4380 GEELY SURQUILLO</t>
        </is>
      </c>
      <c r="E3688" t="inlineStr">
        <is>
          <t>Lima, 04 de junio del 2026</t>
        </is>
      </c>
      <c r="F3688" t="inlineStr">
        <is>
          <t>la Recarga y mantenimiento</t>
        </is>
      </c>
      <c r="G3688" t="inlineStr">
        <is>
          <t>01</t>
        </is>
      </c>
      <c r="H3688" t="inlineStr">
        <is>
          <t>10 LBS</t>
        </is>
      </c>
      <c r="I3688" t="inlineStr">
        <is>
          <t>2028</t>
        </is>
      </c>
      <c r="J3688" t="n">
        <v>2023</v>
      </c>
      <c r="K3688" t="inlineStr">
        <is>
          <t>JUNIO 2026</t>
        </is>
      </c>
      <c r="L3688" t="inlineStr">
        <is>
          <t>JUNIO 2027</t>
        </is>
      </c>
      <c r="M3688" t="inlineStr">
        <is>
          <t>CO2 TIPO BC</t>
        </is>
      </c>
      <c r="N3688" t="inlineStr">
        <is>
          <t>11/000018</t>
        </is>
      </c>
      <c r="O3688" t="inlineStr">
        <is>
          <t>R</t>
        </is>
      </c>
      <c r="P3688">
        <f>TRIM(N3688)</f>
        <v/>
      </c>
    </row>
    <row r="3689">
      <c r="A3689" t="inlineStr">
        <is>
          <t>CO-002508</t>
        </is>
      </c>
      <c r="B3689" t="inlineStr">
        <is>
          <t>GACSA PERU S.A.C.</t>
        </is>
      </c>
      <c r="C3689" t="n">
        <v>20602629070</v>
      </c>
      <c r="D3689" t="inlineStr">
        <is>
          <t>Av. Republica de panama 4380 GEELY SURQUILLO</t>
        </is>
      </c>
      <c r="E3689" t="inlineStr">
        <is>
          <t>Lima, 04 de junio del 2026</t>
        </is>
      </c>
      <c r="F3689" t="inlineStr">
        <is>
          <t>la Recarga y mantenimiento</t>
        </is>
      </c>
      <c r="G3689" t="inlineStr">
        <is>
          <t>02</t>
        </is>
      </c>
      <c r="H3689" t="inlineStr">
        <is>
          <t>06 KG</t>
        </is>
      </c>
      <c r="I3689" t="inlineStr">
        <is>
          <t>2030</t>
        </is>
      </c>
      <c r="J3689" t="n">
        <v>2008</v>
      </c>
      <c r="K3689" t="inlineStr">
        <is>
          <t>JUNIO 2026</t>
        </is>
      </c>
      <c r="L3689" t="inlineStr">
        <is>
          <t>JUNIO 2027</t>
        </is>
      </c>
      <c r="M3689" t="inlineStr">
        <is>
          <t xml:space="preserve">PQS TIPO ABC AL 75% </t>
        </is>
      </c>
      <c r="N3689" t="inlineStr">
        <is>
          <t>12/000438</t>
        </is>
      </c>
      <c r="O3689" t="inlineStr">
        <is>
          <t>R</t>
        </is>
      </c>
      <c r="P3689">
        <f>TRIM(N3689)</f>
        <v/>
      </c>
    </row>
    <row r="3690">
      <c r="A3690" t="inlineStr">
        <is>
          <t>CO-002508</t>
        </is>
      </c>
      <c r="B3690" t="inlineStr">
        <is>
          <t>GACSA PERU S.A.C.</t>
        </is>
      </c>
      <c r="C3690" t="n">
        <v>20602629070</v>
      </c>
      <c r="D3690" t="inlineStr">
        <is>
          <t>Av. Republica de panama 4380 GEELY SURQUILLO</t>
        </is>
      </c>
      <c r="E3690" t="inlineStr">
        <is>
          <t>Lima, 04 de junio del 2026</t>
        </is>
      </c>
      <c r="F3690" t="inlineStr">
        <is>
          <t>la Recarga y mantenimiento</t>
        </is>
      </c>
      <c r="G3690" t="inlineStr">
        <is>
          <t>03</t>
        </is>
      </c>
      <c r="H3690" t="inlineStr">
        <is>
          <t>06 KG</t>
        </is>
      </c>
      <c r="I3690" t="inlineStr">
        <is>
          <t>2027</t>
        </is>
      </c>
      <c r="J3690" t="n">
        <v>2012</v>
      </c>
      <c r="K3690" t="inlineStr">
        <is>
          <t>NOVIEMBRE 2025</t>
        </is>
      </c>
      <c r="L3690" t="inlineStr">
        <is>
          <t>NOVIEMBRE 2026</t>
        </is>
      </c>
      <c r="M3690" t="inlineStr">
        <is>
          <t xml:space="preserve">PQS TIPO ABC AL 75% </t>
        </is>
      </c>
      <c r="N3690" t="inlineStr">
        <is>
          <t>13/001008</t>
        </is>
      </c>
      <c r="O3690" t="inlineStr">
        <is>
          <t>R</t>
        </is>
      </c>
      <c r="P3690">
        <f>TRIM(N3690)</f>
        <v/>
      </c>
    </row>
    <row r="3691">
      <c r="A3691" t="inlineStr">
        <is>
          <t>CO-002508</t>
        </is>
      </c>
      <c r="B3691" t="inlineStr">
        <is>
          <t>GACSA PERU S.A.C.</t>
        </is>
      </c>
      <c r="C3691" t="n">
        <v>20602629070</v>
      </c>
      <c r="D3691" t="inlineStr">
        <is>
          <t>Av. Republica de panama 4380 GEELY SURQUILLO</t>
        </is>
      </c>
      <c r="E3691" t="inlineStr">
        <is>
          <t>Lima, 04 de junio del 2026</t>
        </is>
      </c>
      <c r="F3691" t="inlineStr">
        <is>
          <t>la Recarga y mantenimiento</t>
        </is>
      </c>
      <c r="G3691" t="inlineStr">
        <is>
          <t>04</t>
        </is>
      </c>
      <c r="H3691" t="inlineStr">
        <is>
          <t xml:space="preserve">25 KG </t>
        </is>
      </c>
      <c r="I3691" t="n">
        <v>2030</v>
      </c>
      <c r="J3691" t="n">
        <v>2017</v>
      </c>
      <c r="K3691" t="inlineStr">
        <is>
          <t>NOVIEMBRE 2025</t>
        </is>
      </c>
      <c r="L3691" t="inlineStr">
        <is>
          <t>NOVIEMBRE 2026</t>
        </is>
      </c>
      <c r="M3691" t="inlineStr">
        <is>
          <t>PQS TIPO ABC AL 75% RODANTE</t>
        </is>
      </c>
      <c r="N3691" t="inlineStr">
        <is>
          <t>14/000027</t>
        </is>
      </c>
      <c r="O3691" t="inlineStr">
        <is>
          <t>R</t>
        </is>
      </c>
      <c r="P3691">
        <f>TRIM(N3691)</f>
        <v/>
      </c>
    </row>
    <row r="3692">
      <c r="A3692" t="inlineStr">
        <is>
          <t>CO-002508</t>
        </is>
      </c>
      <c r="B3692" t="inlineStr">
        <is>
          <t>GACSA PERU S.A.C.</t>
        </is>
      </c>
      <c r="C3692" t="n">
        <v>20602629070</v>
      </c>
      <c r="D3692" t="inlineStr">
        <is>
          <t>Av. Republica de panama 4380 GEELY SURQUILLO</t>
        </is>
      </c>
      <c r="E3692" t="inlineStr">
        <is>
          <t>Lima, 04 de junio del 2026</t>
        </is>
      </c>
      <c r="F3692" t="inlineStr">
        <is>
          <t>la Recarga y mantenimiento</t>
        </is>
      </c>
      <c r="G3692" t="inlineStr">
        <is>
          <t>05</t>
        </is>
      </c>
      <c r="H3692" t="inlineStr">
        <is>
          <t>06 KG</t>
        </is>
      </c>
      <c r="I3692" t="n">
        <v>2039</v>
      </c>
      <c r="J3692" t="n">
        <v>2014</v>
      </c>
      <c r="K3692" t="inlineStr">
        <is>
          <t>JUNIO 2026</t>
        </is>
      </c>
      <c r="L3692" t="inlineStr">
        <is>
          <t>JUNIO 2027</t>
        </is>
      </c>
      <c r="M3692" t="inlineStr">
        <is>
          <t xml:space="preserve">PQS TIPO ABC AL 75% </t>
        </is>
      </c>
      <c r="N3692" t="inlineStr">
        <is>
          <t>15/001531</t>
        </is>
      </c>
      <c r="P3692">
        <f>TRIM(N3692)</f>
        <v/>
      </c>
    </row>
    <row r="3693">
      <c r="A3693" t="inlineStr">
        <is>
          <t>CO-002508</t>
        </is>
      </c>
      <c r="B3693" t="inlineStr">
        <is>
          <t>CHIFA ARIANA De: GEINER CUBAS FERNANDEZ</t>
        </is>
      </c>
      <c r="D3693" t="inlineStr">
        <is>
          <t>AV. LOS INCAS MZ. J LT.12  SAN BAUTISTA - COMAS</t>
        </is>
      </c>
      <c r="E3693" t="inlineStr">
        <is>
          <t>Lima, 27 de noviembre del 2025</t>
        </is>
      </c>
      <c r="F3693" t="inlineStr">
        <is>
          <t>la Recarga y mantenimiento</t>
        </is>
      </c>
      <c r="G3693" t="inlineStr">
        <is>
          <t>01</t>
        </is>
      </c>
      <c r="H3693" t="inlineStr">
        <is>
          <t>06 KG</t>
        </is>
      </c>
      <c r="I3693" t="inlineStr">
        <is>
          <t>2026</t>
        </is>
      </c>
      <c r="J3693" t="n">
        <v>2011</v>
      </c>
      <c r="K3693" t="inlineStr">
        <is>
          <t>NOVIEMBRE 2025</t>
        </is>
      </c>
      <c r="L3693" t="inlineStr">
        <is>
          <t>NOVIEMBRE 2026</t>
        </is>
      </c>
      <c r="M3693" t="inlineStr">
        <is>
          <t>P.Q.S TIPO ABC</t>
        </is>
      </c>
      <c r="N3693" t="inlineStr">
        <is>
          <t>01/000189</t>
        </is>
      </c>
      <c r="O3693" t="inlineStr">
        <is>
          <t>R</t>
        </is>
      </c>
      <c r="P3693">
        <f>TRIM(N3693)</f>
        <v/>
      </c>
    </row>
    <row r="3694">
      <c r="A3694" t="inlineStr">
        <is>
          <t>CO-002509</t>
        </is>
      </c>
      <c r="B3694" t="inlineStr">
        <is>
          <t>EDEN STORE SAC.</t>
        </is>
      </c>
      <c r="C3694" t="inlineStr">
        <is>
          <t>20610373926</t>
        </is>
      </c>
      <c r="D3694" t="inlineStr">
        <is>
          <t>AV. TEJADA N° 470 URB. SAN LUIS - BARRANCO</t>
        </is>
      </c>
      <c r="E3694" t="inlineStr">
        <is>
          <t>Lima, 27 de noviembre del 2025</t>
        </is>
      </c>
      <c r="F3694" t="inlineStr">
        <is>
          <t>la Recarga y mantenimiento</t>
        </is>
      </c>
      <c r="G3694" t="inlineStr">
        <is>
          <t>01</t>
        </is>
      </c>
      <c r="H3694" t="inlineStr">
        <is>
          <t>06 KG</t>
        </is>
      </c>
      <c r="I3694" t="inlineStr">
        <is>
          <t>2028</t>
        </is>
      </c>
      <c r="J3694" t="n">
        <v>2023</v>
      </c>
      <c r="K3694" t="inlineStr">
        <is>
          <t>NOVIEMBRE 2025</t>
        </is>
      </c>
      <c r="L3694" t="inlineStr">
        <is>
          <t>NOVIEMBRE 2026</t>
        </is>
      </c>
      <c r="M3694" t="inlineStr">
        <is>
          <t>P.Q.S TIPO ABC</t>
        </is>
      </c>
      <c r="N3694" t="inlineStr">
        <is>
          <t>01/003360</t>
        </is>
      </c>
      <c r="O3694" t="inlineStr">
        <is>
          <t>R</t>
        </is>
      </c>
      <c r="P3694">
        <f>TRIM(N3694)</f>
        <v/>
      </c>
    </row>
    <row r="3695">
      <c r="A3695" t="inlineStr">
        <is>
          <t>CO-002510</t>
        </is>
      </c>
      <c r="B3695" t="inlineStr">
        <is>
          <t>EDEN STORE SAC.</t>
        </is>
      </c>
      <c r="C3695" t="inlineStr">
        <is>
          <t>20610373926</t>
        </is>
      </c>
      <c r="D3695" t="inlineStr">
        <is>
          <t>AV. TEJADA N° 470 URB. SAN LUIS - BARRANCO</t>
        </is>
      </c>
      <c r="E3695" t="inlineStr">
        <is>
          <t>Lima, 28 de noviembre del 2025</t>
        </is>
      </c>
      <c r="F3695" t="inlineStr">
        <is>
          <t>la Recarga y mantenimiento</t>
        </is>
      </c>
      <c r="G3695" t="inlineStr">
        <is>
          <t>01</t>
        </is>
      </c>
      <c r="H3695" t="inlineStr">
        <is>
          <t>06 KG</t>
        </is>
      </c>
      <c r="I3695" t="inlineStr">
        <is>
          <t>2028</t>
        </is>
      </c>
      <c r="J3695" t="n">
        <v>2023</v>
      </c>
      <c r="K3695" t="inlineStr">
        <is>
          <t>NOVIEMBRE 2025</t>
        </is>
      </c>
      <c r="L3695" t="inlineStr">
        <is>
          <t>NOVIEMBRE 2026</t>
        </is>
      </c>
      <c r="M3695" t="inlineStr">
        <is>
          <t>P.Q.S TIPO ABC</t>
        </is>
      </c>
      <c r="N3695" t="inlineStr">
        <is>
          <t>02/100738</t>
        </is>
      </c>
      <c r="O3695" t="inlineStr">
        <is>
          <t>R</t>
        </is>
      </c>
      <c r="P3695">
        <f>TRIM(N3695)</f>
        <v/>
      </c>
    </row>
    <row r="3696">
      <c r="A3696" t="inlineStr">
        <is>
          <t>CO-002511</t>
        </is>
      </c>
      <c r="B3696" t="inlineStr">
        <is>
          <t>BRITISH AMERICAN HOSPITAL S.A. - CLINICA ANGLOAMERICANA</t>
        </is>
      </c>
      <c r="C3696" t="inlineStr">
        <is>
          <t>20107695584</t>
        </is>
      </c>
      <c r="D3696" t="inlineStr">
        <is>
          <t>Av. Conquistadores N° 638 Int. 3</t>
        </is>
      </c>
      <c r="E3696" t="inlineStr">
        <is>
          <t>Lima, 29 de noviembre del 2025</t>
        </is>
      </c>
      <c r="F3696" t="inlineStr">
        <is>
          <t>la Recarga y mantenimiento</t>
        </is>
      </c>
      <c r="G3696" t="inlineStr">
        <is>
          <t>01</t>
        </is>
      </c>
      <c r="H3696" t="inlineStr">
        <is>
          <t>06 KG</t>
        </is>
      </c>
      <c r="I3696" t="inlineStr">
        <is>
          <t>2028</t>
        </is>
      </c>
      <c r="J3696" t="n">
        <v>2007</v>
      </c>
      <c r="K3696" t="inlineStr">
        <is>
          <t>NOVIEMBRE 2025</t>
        </is>
      </c>
      <c r="L3696" t="inlineStr">
        <is>
          <t>NOVIEMBRE 2026</t>
        </is>
      </c>
      <c r="M3696" t="inlineStr">
        <is>
          <t xml:space="preserve">PQS TIPO ABC AL 75% </t>
        </is>
      </c>
      <c r="N3696" t="inlineStr">
        <is>
          <t>01/000203</t>
        </is>
      </c>
      <c r="O3696" t="inlineStr">
        <is>
          <t>R</t>
        </is>
      </c>
      <c r="P3696">
        <f>TRIM(N3696)</f>
        <v/>
      </c>
    </row>
    <row r="3697">
      <c r="A3697" t="inlineStr">
        <is>
          <t>CO-002511</t>
        </is>
      </c>
      <c r="B3697" t="inlineStr">
        <is>
          <t>BRITISH AMERICAN HOSPITAL S.A. - CLINICA ANGLOAMERICANA</t>
        </is>
      </c>
      <c r="C3697" t="inlineStr">
        <is>
          <t>20107695584</t>
        </is>
      </c>
      <c r="D3697" t="inlineStr">
        <is>
          <t>Av. Conquistadores N° 638 Int. 3</t>
        </is>
      </c>
      <c r="E3697" t="inlineStr">
        <is>
          <t>Lima, 29 de noviembre del 2025</t>
        </is>
      </c>
      <c r="F3697" t="inlineStr">
        <is>
          <t>la Recarga y mantenimiento</t>
        </is>
      </c>
      <c r="G3697" t="inlineStr">
        <is>
          <t>02</t>
        </is>
      </c>
      <c r="H3697" t="inlineStr">
        <is>
          <t>06 KG</t>
        </is>
      </c>
      <c r="I3697" t="inlineStr">
        <is>
          <t>2028</t>
        </is>
      </c>
      <c r="J3697" t="n">
        <v>2018</v>
      </c>
      <c r="K3697" t="inlineStr">
        <is>
          <t>NOVIEMBRE 2025</t>
        </is>
      </c>
      <c r="L3697" t="inlineStr">
        <is>
          <t>NOVIEMBRE 2026</t>
        </is>
      </c>
      <c r="M3697" t="inlineStr">
        <is>
          <t xml:space="preserve">PQS TIPO ABC AL 75% </t>
        </is>
      </c>
      <c r="N3697" t="inlineStr">
        <is>
          <t>02/001926</t>
        </is>
      </c>
      <c r="O3697" t="inlineStr">
        <is>
          <t>R</t>
        </is>
      </c>
      <c r="P3697">
        <f>TRIM(N3697)</f>
        <v/>
      </c>
    </row>
    <row r="3698">
      <c r="A3698" t="inlineStr">
        <is>
          <t>CO-002511</t>
        </is>
      </c>
      <c r="B3698" t="inlineStr">
        <is>
          <t>BRITISH AMERICAN HOSPITAL S.A. - CLINICA ANGLOAMERICANA</t>
        </is>
      </c>
      <c r="C3698" t="inlineStr">
        <is>
          <t>20107695584</t>
        </is>
      </c>
      <c r="D3698" t="inlineStr">
        <is>
          <t>Av. Conquistadores N° 638 Int. 3</t>
        </is>
      </c>
      <c r="E3698" t="inlineStr">
        <is>
          <t>Lima, 29 de noviembre del 2025</t>
        </is>
      </c>
      <c r="F3698" t="inlineStr">
        <is>
          <t>la Recarga y mantenimiento</t>
        </is>
      </c>
      <c r="G3698" t="inlineStr">
        <is>
          <t>03</t>
        </is>
      </c>
      <c r="H3698" t="inlineStr">
        <is>
          <t>06 KG</t>
        </is>
      </c>
      <c r="I3698" t="inlineStr">
        <is>
          <t>2028</t>
        </is>
      </c>
      <c r="J3698" t="n">
        <v>2018</v>
      </c>
      <c r="K3698" t="inlineStr">
        <is>
          <t>NOVIEMBRE 2025</t>
        </is>
      </c>
      <c r="L3698" t="inlineStr">
        <is>
          <t>NOVIEMBRE 2026</t>
        </is>
      </c>
      <c r="M3698" t="inlineStr">
        <is>
          <t xml:space="preserve">PQS TIPO ABC AL 75% </t>
        </is>
      </c>
      <c r="N3698" t="inlineStr">
        <is>
          <t>03/004915</t>
        </is>
      </c>
      <c r="O3698" t="inlineStr">
        <is>
          <t>R</t>
        </is>
      </c>
      <c r="P3698">
        <f>TRIM(N3698)</f>
        <v/>
      </c>
    </row>
    <row r="3699">
      <c r="A3699" t="inlineStr">
        <is>
          <t>CO-002511</t>
        </is>
      </c>
      <c r="B3699" t="inlineStr">
        <is>
          <t>BRITISH AMERICAN HOSPITAL S.A. - CLINICA ANGLOAMERICANA</t>
        </is>
      </c>
      <c r="C3699" t="inlineStr">
        <is>
          <t>20107695584</t>
        </is>
      </c>
      <c r="D3699" t="inlineStr">
        <is>
          <t>Av. Conquistadores N° 638 Int. 3</t>
        </is>
      </c>
      <c r="E3699" t="inlineStr">
        <is>
          <t>Lima, 29 de noviembre del 2025</t>
        </is>
      </c>
      <c r="F3699" t="inlineStr">
        <is>
          <t>la Recarga y mantenimiento</t>
        </is>
      </c>
      <c r="G3699" t="inlineStr">
        <is>
          <t>04</t>
        </is>
      </c>
      <c r="H3699" t="inlineStr">
        <is>
          <t>06 KG</t>
        </is>
      </c>
      <c r="I3699" t="inlineStr">
        <is>
          <t>2028</t>
        </is>
      </c>
      <c r="J3699" t="n">
        <v>2018</v>
      </c>
      <c r="K3699" t="inlineStr">
        <is>
          <t>NOVIEMBRE 2025</t>
        </is>
      </c>
      <c r="L3699" t="inlineStr">
        <is>
          <t>NOVIEMBRE 2026</t>
        </is>
      </c>
      <c r="M3699" t="inlineStr">
        <is>
          <t xml:space="preserve">PQS TIPO ABC AL 75% </t>
        </is>
      </c>
      <c r="N3699" t="inlineStr">
        <is>
          <t>04/000236</t>
        </is>
      </c>
      <c r="O3699" t="inlineStr">
        <is>
          <t>R</t>
        </is>
      </c>
      <c r="P3699">
        <f>TRIM(N3699)</f>
        <v/>
      </c>
    </row>
    <row r="3700">
      <c r="A3700" t="inlineStr">
        <is>
          <t>CO-002511</t>
        </is>
      </c>
      <c r="B3700" t="inlineStr">
        <is>
          <t>BRITISH AMERICAN HOSPITAL S.A. - CLINICA ANGLOAMERICANA</t>
        </is>
      </c>
      <c r="C3700" t="inlineStr">
        <is>
          <t>20107695584</t>
        </is>
      </c>
      <c r="D3700" t="inlineStr">
        <is>
          <t>Av. Conquistadores N° 638 Int. 3</t>
        </is>
      </c>
      <c r="E3700" t="inlineStr">
        <is>
          <t>Lima, 29 de noviembre del 2025</t>
        </is>
      </c>
      <c r="F3700" t="inlineStr">
        <is>
          <t>la Recarga y mantenimiento</t>
        </is>
      </c>
      <c r="G3700" t="inlineStr">
        <is>
          <t>05</t>
        </is>
      </c>
      <c r="H3700" t="inlineStr">
        <is>
          <t>06 KG</t>
        </is>
      </c>
      <c r="I3700" t="inlineStr">
        <is>
          <t>2027</t>
        </is>
      </c>
      <c r="J3700" t="n">
        <v>2018</v>
      </c>
      <c r="K3700" t="inlineStr">
        <is>
          <t>NOVIEMBRE 2025</t>
        </is>
      </c>
      <c r="L3700" t="inlineStr">
        <is>
          <t>NOVIEMBRE 2026</t>
        </is>
      </c>
      <c r="M3700" t="inlineStr">
        <is>
          <t xml:space="preserve">PQS TIPO ABC AL 75% </t>
        </is>
      </c>
      <c r="N3700" t="inlineStr">
        <is>
          <t>05/001484</t>
        </is>
      </c>
      <c r="O3700" t="inlineStr">
        <is>
          <t>R</t>
        </is>
      </c>
      <c r="P3700">
        <f>TRIM(N3700)</f>
        <v/>
      </c>
    </row>
    <row r="3701">
      <c r="A3701" t="inlineStr">
        <is>
          <t>CO-002511</t>
        </is>
      </c>
      <c r="B3701" t="inlineStr">
        <is>
          <t>BRITISH AMERICAN HOSPITAL S.A. - CLINICA ANGLOAMERICANA</t>
        </is>
      </c>
      <c r="C3701" t="inlineStr">
        <is>
          <t>20107695584</t>
        </is>
      </c>
      <c r="D3701" t="inlineStr">
        <is>
          <t>Av. Conquistadores N° 638 Int. 3</t>
        </is>
      </c>
      <c r="E3701" t="inlineStr">
        <is>
          <t>Lima, 29 de noviembre del 2025</t>
        </is>
      </c>
      <c r="F3701" t="inlineStr">
        <is>
          <t>la Recarga y mantenimiento</t>
        </is>
      </c>
      <c r="G3701" t="inlineStr">
        <is>
          <t>06</t>
        </is>
      </c>
      <c r="H3701" t="inlineStr">
        <is>
          <t>06 KG</t>
        </is>
      </c>
      <c r="I3701" t="inlineStr">
        <is>
          <t>2026</t>
        </is>
      </c>
      <c r="K3701" t="inlineStr">
        <is>
          <t>NOVIEMBRE 2025</t>
        </is>
      </c>
      <c r="L3701" t="inlineStr">
        <is>
          <t>NOVIEMBRE 2026</t>
        </is>
      </c>
      <c r="M3701" t="inlineStr">
        <is>
          <t xml:space="preserve">PQS TIPO ABC AL 75% </t>
        </is>
      </c>
      <c r="N3701" t="inlineStr">
        <is>
          <t>06/001926</t>
        </is>
      </c>
      <c r="O3701" t="inlineStr">
        <is>
          <t>R</t>
        </is>
      </c>
      <c r="P3701">
        <f>TRIM(N3701)</f>
        <v/>
      </c>
    </row>
    <row r="3702">
      <c r="A3702" t="inlineStr">
        <is>
          <t>CO-002511</t>
        </is>
      </c>
      <c r="B3702" t="inlineStr">
        <is>
          <t>BRITISH AMERICAN HOSPITAL S.A. - CLINICA ANGLOAMERICANA</t>
        </is>
      </c>
      <c r="C3702" t="inlineStr">
        <is>
          <t>20107695584</t>
        </is>
      </c>
      <c r="D3702" t="inlineStr">
        <is>
          <t>Av. Conquistadores N° 638 Int. 3</t>
        </is>
      </c>
      <c r="E3702" t="inlineStr">
        <is>
          <t>Lima, 29 de noviembre del 2025</t>
        </is>
      </c>
      <c r="F3702" t="inlineStr">
        <is>
          <t>la Recarga y mantenimiento</t>
        </is>
      </c>
      <c r="G3702" t="n">
        <v>8</v>
      </c>
      <c r="K3702" t="inlineStr">
        <is>
          <t>NOVIEMBRE 2025</t>
        </is>
      </c>
      <c r="L3702" t="inlineStr">
        <is>
          <t>NOVIEMBRE 2026</t>
        </is>
      </c>
      <c r="M3702" t="inlineStr">
        <is>
          <t xml:space="preserve">CO2 TIPO BC </t>
        </is>
      </c>
      <c r="N3702" t="inlineStr">
        <is>
          <t>07/LE-020338</t>
        </is>
      </c>
      <c r="O3702" t="inlineStr">
        <is>
          <t>R</t>
        </is>
      </c>
      <c r="P3702">
        <f>TRIM(N3702)</f>
        <v/>
      </c>
    </row>
    <row r="3703">
      <c r="A3703" t="inlineStr">
        <is>
          <t>CO-002512</t>
        </is>
      </c>
      <c r="B3703" t="inlineStr">
        <is>
          <t>BRITISH AMERICAN HOSPITAL S.A. - CLINICA ANGLOAMERICANA</t>
        </is>
      </c>
      <c r="C3703" t="inlineStr">
        <is>
          <t>20107695584</t>
        </is>
      </c>
      <c r="D3703" t="inlineStr">
        <is>
          <t>Av. Conquistadores N° 638 Int. 3</t>
        </is>
      </c>
      <c r="E3703" t="inlineStr">
        <is>
          <t>Lima, 29 de noviembre del 2025</t>
        </is>
      </c>
      <c r="F3703" t="inlineStr">
        <is>
          <t>La venta</t>
        </is>
      </c>
      <c r="G3703" t="inlineStr">
        <is>
          <t>01</t>
        </is>
      </c>
      <c r="H3703" t="inlineStr">
        <is>
          <t>10 LBS</t>
        </is>
      </c>
      <c r="I3703" t="inlineStr">
        <is>
          <t>2030</t>
        </is>
      </c>
      <c r="J3703" t="n">
        <v>2025</v>
      </c>
      <c r="K3703" t="inlineStr">
        <is>
          <t>NOVIEMBRE 2025</t>
        </is>
      </c>
      <c r="L3703" t="inlineStr">
        <is>
          <t>NOVIEMBRE 2026</t>
        </is>
      </c>
      <c r="M3703" t="inlineStr">
        <is>
          <t>CO2 TIPO BC</t>
        </is>
      </c>
      <c r="N3703" t="inlineStr">
        <is>
          <t>06/000305</t>
        </is>
      </c>
      <c r="O3703" t="inlineStr">
        <is>
          <t>V</t>
        </is>
      </c>
      <c r="P3703">
        <f>TRIM(N3703)</f>
        <v/>
      </c>
    </row>
    <row r="3704">
      <c r="A3704" t="inlineStr">
        <is>
          <t>CO-002513</t>
        </is>
      </c>
      <c r="B3704" t="inlineStr">
        <is>
          <t>PERU MASIVO S.A - INFRAESTRUCTURA</t>
        </is>
      </c>
      <c r="C3704" t="inlineStr">
        <is>
          <t>20492392031</t>
        </is>
      </c>
      <c r="D3704" t="inlineStr">
        <is>
          <t>AV. LOS INCAS CDRA. 4 PATIO NORTE - COMAS</t>
        </is>
      </c>
      <c r="E3704" t="inlineStr">
        <is>
          <t>Lima, 02 de diciembre de 2025</t>
        </is>
      </c>
      <c r="F3704" t="inlineStr">
        <is>
          <t>la Recarga y mantenimiento</t>
        </is>
      </c>
      <c r="G3704" t="inlineStr">
        <is>
          <t>01</t>
        </is>
      </c>
      <c r="H3704" t="inlineStr">
        <is>
          <t>06 KG</t>
        </is>
      </c>
      <c r="I3704" t="inlineStr">
        <is>
          <t>2028</t>
        </is>
      </c>
      <c r="J3704" t="n">
        <v>2009</v>
      </c>
      <c r="K3704" t="inlineStr">
        <is>
          <t>NOVIEMBRE 2025</t>
        </is>
      </c>
      <c r="L3704" t="inlineStr">
        <is>
          <t>NOVIEMBRE 2026</t>
        </is>
      </c>
      <c r="M3704" t="inlineStr">
        <is>
          <t>P.Q.S. / ABC AL 90% NACIONAL</t>
        </is>
      </c>
      <c r="N3704" t="inlineStr">
        <is>
          <t>01/000603</t>
        </is>
      </c>
      <c r="O3704" t="inlineStr">
        <is>
          <t>R</t>
        </is>
      </c>
      <c r="P3704">
        <f>TRIM(N3704)</f>
        <v/>
      </c>
    </row>
    <row r="3705">
      <c r="A3705" t="inlineStr">
        <is>
          <t>CO-002513</t>
        </is>
      </c>
      <c r="B3705" t="inlineStr">
        <is>
          <t>PERU MASIVO S.A - INFRAESTRUCTURA</t>
        </is>
      </c>
      <c r="C3705" t="inlineStr">
        <is>
          <t>20492392031</t>
        </is>
      </c>
      <c r="D3705" t="inlineStr">
        <is>
          <t>AV. LOS INCAS CDRA. 4 PATIO NORTE - COMAS</t>
        </is>
      </c>
      <c r="E3705" t="inlineStr">
        <is>
          <t>Lima, 02 de diciembre de 2025</t>
        </is>
      </c>
      <c r="F3705" t="inlineStr">
        <is>
          <t>la Recarga y mantenimiento</t>
        </is>
      </c>
      <c r="G3705" t="inlineStr">
        <is>
          <t>02</t>
        </is>
      </c>
      <c r="H3705" t="inlineStr">
        <is>
          <t>06 KG</t>
        </is>
      </c>
      <c r="I3705" t="inlineStr">
        <is>
          <t>2028</t>
        </is>
      </c>
      <c r="J3705" t="n">
        <v>2009</v>
      </c>
      <c r="K3705" t="inlineStr">
        <is>
          <t>NOVIEMBRE 2025</t>
        </is>
      </c>
      <c r="L3705" t="inlineStr">
        <is>
          <t>NOVIEMBRE 2026</t>
        </is>
      </c>
      <c r="M3705" t="inlineStr">
        <is>
          <t>P.Q.S.  TIPO ABC  90% NACIONAL</t>
        </is>
      </c>
      <c r="N3705" t="inlineStr">
        <is>
          <t>371/001541</t>
        </is>
      </c>
      <c r="O3705" t="inlineStr">
        <is>
          <t>R</t>
        </is>
      </c>
      <c r="P3705">
        <f>TRIM(N3705)</f>
        <v/>
      </c>
    </row>
    <row r="3706">
      <c r="A3706" t="inlineStr">
        <is>
          <t>CO-002513</t>
        </is>
      </c>
      <c r="B3706" t="inlineStr">
        <is>
          <t>PERU MASIVO S.A - INFRAESTRUCTURA</t>
        </is>
      </c>
      <c r="C3706" t="inlineStr">
        <is>
          <t>20492392031</t>
        </is>
      </c>
      <c r="D3706" t="inlineStr">
        <is>
          <t>AV. LOS INCAS CDRA. 4 PATIO NORTE - COMAS</t>
        </is>
      </c>
      <c r="E3706" t="inlineStr">
        <is>
          <t>Lima, 02 de diciembre de 2025</t>
        </is>
      </c>
      <c r="F3706" t="inlineStr">
        <is>
          <t>la Recarga y mantenimiento</t>
        </is>
      </c>
      <c r="G3706" t="inlineStr">
        <is>
          <t>03</t>
        </is>
      </c>
      <c r="H3706" t="inlineStr">
        <is>
          <t>06 KG</t>
        </is>
      </c>
      <c r="I3706" t="n">
        <v>2028</v>
      </c>
      <c r="J3706" t="n">
        <v>2010</v>
      </c>
      <c r="K3706" t="inlineStr">
        <is>
          <t>NOVIEMBRE 2025</t>
        </is>
      </c>
      <c r="L3706" t="inlineStr">
        <is>
          <t>NOVIEMBRE 2026</t>
        </is>
      </c>
      <c r="M3706" t="inlineStr">
        <is>
          <t>P.Q.S.  TIPO ABC  90% NACIONAL</t>
        </is>
      </c>
      <c r="N3706" t="inlineStr">
        <is>
          <t>39/001140</t>
        </is>
      </c>
      <c r="O3706" t="inlineStr">
        <is>
          <t>R</t>
        </is>
      </c>
      <c r="P3706">
        <f>TRIM(N3706)</f>
        <v/>
      </c>
    </row>
    <row r="3707">
      <c r="A3707" t="inlineStr">
        <is>
          <t>CO-002513</t>
        </is>
      </c>
      <c r="B3707" t="inlineStr">
        <is>
          <t>PERU MASIVO S.A - INFRAESTRUCTURA</t>
        </is>
      </c>
      <c r="C3707" t="inlineStr">
        <is>
          <t>20492392031</t>
        </is>
      </c>
      <c r="D3707" t="inlineStr">
        <is>
          <t>AV. LOS INCAS CDRA. 4 PATIO NORTE - COMAS</t>
        </is>
      </c>
      <c r="E3707" t="inlineStr">
        <is>
          <t>Lima, 02 de diciembre de 2025</t>
        </is>
      </c>
      <c r="F3707" t="inlineStr">
        <is>
          <t>la Recarga y mantenimiento</t>
        </is>
      </c>
      <c r="G3707" t="inlineStr">
        <is>
          <t>04</t>
        </is>
      </c>
      <c r="H3707" t="inlineStr">
        <is>
          <t>06 KG</t>
        </is>
      </c>
      <c r="I3707" t="n">
        <v>2028</v>
      </c>
      <c r="J3707" t="n">
        <v>2009</v>
      </c>
      <c r="K3707" t="inlineStr">
        <is>
          <t>NOVIEMBRE 2025</t>
        </is>
      </c>
      <c r="L3707" t="inlineStr">
        <is>
          <t>NOVIEMBRE 2026</t>
        </is>
      </c>
      <c r="M3707" t="inlineStr">
        <is>
          <t>P.Q.S.  TIPO ABC  90% NACIONAL</t>
        </is>
      </c>
      <c r="N3707" t="inlineStr">
        <is>
          <t>21/000096</t>
        </is>
      </c>
      <c r="O3707" t="inlineStr">
        <is>
          <t>R</t>
        </is>
      </c>
      <c r="P3707">
        <f>TRIM(N3707)</f>
        <v/>
      </c>
    </row>
    <row r="3708">
      <c r="A3708" t="inlineStr">
        <is>
          <t>CO-002513</t>
        </is>
      </c>
      <c r="B3708" t="inlineStr">
        <is>
          <t>PERU MASIVO S.A - INFRAESTRUCTURA</t>
        </is>
      </c>
      <c r="C3708" t="inlineStr">
        <is>
          <t>20492392031</t>
        </is>
      </c>
      <c r="D3708" t="inlineStr">
        <is>
          <t>AV. LOS INCAS CDRA. 4 PATIO NORTE - COMAS</t>
        </is>
      </c>
      <c r="E3708" t="inlineStr">
        <is>
          <t>Lima, 02 de diciembre de 2025</t>
        </is>
      </c>
      <c r="F3708" t="inlineStr">
        <is>
          <t>la Recarga y mantenimiento</t>
        </is>
      </c>
      <c r="G3708" t="inlineStr">
        <is>
          <t>05</t>
        </is>
      </c>
      <c r="H3708" t="inlineStr">
        <is>
          <t>10 LBS</t>
        </is>
      </c>
      <c r="I3708" t="n">
        <v>2030</v>
      </c>
      <c r="J3708" t="n">
        <v>2012</v>
      </c>
      <c r="K3708" t="inlineStr">
        <is>
          <t>NOVIEMBRE 2025</t>
        </is>
      </c>
      <c r="L3708" t="inlineStr">
        <is>
          <t>NOVIEMBRE 2026</t>
        </is>
      </c>
      <c r="M3708" t="inlineStr">
        <is>
          <t>CO2 TIPO BC</t>
        </is>
      </c>
      <c r="N3708" t="inlineStr">
        <is>
          <t>06/014570</t>
        </is>
      </c>
      <c r="O3708" t="inlineStr">
        <is>
          <t>R</t>
        </is>
      </c>
      <c r="P3708">
        <f>TRIM(N3708)</f>
        <v/>
      </c>
    </row>
    <row r="3709">
      <c r="A3709" t="inlineStr">
        <is>
          <t>CO-002514</t>
        </is>
      </c>
      <c r="B3709" t="inlineStr">
        <is>
          <t>QUIMICOS GOICOCHEA S.A.C.</t>
        </is>
      </c>
      <c r="C3709" t="inlineStr">
        <is>
          <t>20211040352</t>
        </is>
      </c>
      <c r="D3709" t="inlineStr">
        <is>
          <t xml:space="preserve"> AV. LOS FERROLES S/N (ANTES PLAYA OQUENDO S/N
 SUBPARCELA B) URB. SANTO DOMINGO DE BOCANEGRA CALLAO</t>
        </is>
      </c>
      <c r="E3709" t="inlineStr">
        <is>
          <t>Lima, 02 de diciembre de 2025</t>
        </is>
      </c>
      <c r="F3709" t="inlineStr">
        <is>
          <t>la Recarga y mantenimiento</t>
        </is>
      </c>
      <c r="G3709" t="inlineStr">
        <is>
          <t>01</t>
        </is>
      </c>
      <c r="H3709" t="inlineStr">
        <is>
          <t>12 KG</t>
        </is>
      </c>
      <c r="I3709" t="inlineStr">
        <is>
          <t>2027</t>
        </is>
      </c>
      <c r="J3709" t="n">
        <v>2022</v>
      </c>
      <c r="K3709" t="inlineStr">
        <is>
          <t>NOVIEMBRE 2025</t>
        </is>
      </c>
      <c r="L3709" t="inlineStr">
        <is>
          <t>NOVIEMBRE 2026</t>
        </is>
      </c>
      <c r="M3709" t="inlineStr">
        <is>
          <t xml:space="preserve">PQS TIPO ABC AL 75% </t>
        </is>
      </c>
      <c r="N3709" t="inlineStr">
        <is>
          <t>26/004370</t>
        </is>
      </c>
      <c r="O3709" t="inlineStr">
        <is>
          <t>R</t>
        </is>
      </c>
      <c r="P3709">
        <f>TRIM(N3709)</f>
        <v/>
      </c>
    </row>
    <row r="3710">
      <c r="A3710" t="inlineStr">
        <is>
          <t>CO-002514</t>
        </is>
      </c>
      <c r="B3710" t="inlineStr">
        <is>
          <t>QUIMICOS GOICOCHEA S.A.C.</t>
        </is>
      </c>
      <c r="C3710" t="inlineStr">
        <is>
          <t>20211040352</t>
        </is>
      </c>
      <c r="D3710" t="inlineStr">
        <is>
          <t xml:space="preserve"> AV. LOS FERROLES S/N (ANTES PLAYA OQUENDO S/N
 SUBPARCELA B) URB. SANTO DOMINGO DE BOCANEGRA CALLAO</t>
        </is>
      </c>
      <c r="E3710" t="inlineStr">
        <is>
          <t>Lima, 02 de diciembre de 2025</t>
        </is>
      </c>
      <c r="F3710" t="inlineStr">
        <is>
          <t>la Recarga y mantenimiento</t>
        </is>
      </c>
      <c r="G3710" t="inlineStr">
        <is>
          <t>02</t>
        </is>
      </c>
      <c r="H3710" t="inlineStr">
        <is>
          <t>12 KG</t>
        </is>
      </c>
      <c r="I3710" t="inlineStr">
        <is>
          <t>2027</t>
        </is>
      </c>
      <c r="J3710" t="n">
        <v>2022</v>
      </c>
      <c r="K3710" t="inlineStr">
        <is>
          <t>NOVIEMBRE 2025</t>
        </is>
      </c>
      <c r="L3710" t="inlineStr">
        <is>
          <t>NOVIEMBRE 2026</t>
        </is>
      </c>
      <c r="M3710" t="inlineStr">
        <is>
          <t xml:space="preserve">PQS TIPO ABC AL 75% </t>
        </is>
      </c>
      <c r="N3710" t="inlineStr">
        <is>
          <t>22/003312</t>
        </is>
      </c>
      <c r="O3710" t="inlineStr">
        <is>
          <t>R</t>
        </is>
      </c>
      <c r="P3710">
        <f>TRIM(N3710)</f>
        <v/>
      </c>
    </row>
    <row r="3711">
      <c r="A3711" t="inlineStr">
        <is>
          <t>CO-002514</t>
        </is>
      </c>
      <c r="B3711" t="inlineStr">
        <is>
          <t>QUIMICOS GOICOCHEA S.A.C.</t>
        </is>
      </c>
      <c r="C3711" t="inlineStr">
        <is>
          <t>20211040352</t>
        </is>
      </c>
      <c r="D3711" t="inlineStr">
        <is>
          <t xml:space="preserve"> AV. LOS FERROLES S/N (ANTES PLAYA OQUENDO S/N
 SUBPARCELA B) URB. SANTO DOMINGO DE BOCANEGRA CALLAO</t>
        </is>
      </c>
      <c r="E3711" t="inlineStr">
        <is>
          <t>Lima, 02 de diciembre de 2025</t>
        </is>
      </c>
      <c r="F3711" t="inlineStr">
        <is>
          <t>la Recarga y mantenimiento</t>
        </is>
      </c>
      <c r="G3711" t="inlineStr">
        <is>
          <t>03</t>
        </is>
      </c>
      <c r="H3711" t="inlineStr">
        <is>
          <t>12 KG</t>
        </is>
      </c>
      <c r="I3711" t="inlineStr">
        <is>
          <t>2027</t>
        </is>
      </c>
      <c r="J3711" t="n">
        <v>2022</v>
      </c>
      <c r="K3711" t="inlineStr">
        <is>
          <t>NOVIEMBRE 2025</t>
        </is>
      </c>
      <c r="L3711" t="inlineStr">
        <is>
          <t>NOVIEMBRE 2026</t>
        </is>
      </c>
      <c r="M3711" t="inlineStr">
        <is>
          <t xml:space="preserve">PQS TIPO ABC AL 75% </t>
        </is>
      </c>
      <c r="N3711" t="inlineStr">
        <is>
          <t>07/003411</t>
        </is>
      </c>
      <c r="O3711" t="inlineStr">
        <is>
          <t>R</t>
        </is>
      </c>
      <c r="P3711">
        <f>TRIM(N3711)</f>
        <v/>
      </c>
    </row>
    <row r="3712">
      <c r="A3712" t="inlineStr">
        <is>
          <t>CO-002515</t>
        </is>
      </c>
      <c r="B3712" t="inlineStr">
        <is>
          <t xml:space="preserve">SUNAT - AREQUIPA - MATARANI </t>
        </is>
      </c>
      <c r="C3712" t="inlineStr">
        <is>
          <t>20131312955</t>
        </is>
      </c>
      <c r="D3712" t="inlineStr">
        <is>
          <t>Carretera Matarani - Mollendo Km. 1.5, Islay</t>
        </is>
      </c>
      <c r="E3712" t="inlineStr">
        <is>
          <t>Lima, 05 de diciembre de 2025</t>
        </is>
      </c>
      <c r="F3712" t="inlineStr">
        <is>
          <t>la Recarga y mantenimiento</t>
        </is>
      </c>
      <c r="G3712" t="inlineStr">
        <is>
          <t>01</t>
        </is>
      </c>
      <c r="H3712" t="inlineStr">
        <is>
          <t>20 LBS</t>
        </is>
      </c>
      <c r="I3712" t="inlineStr">
        <is>
          <t>2026</t>
        </is>
      </c>
      <c r="J3712" t="inlineStr">
        <is>
          <t>N/R</t>
        </is>
      </c>
      <c r="K3712" t="inlineStr">
        <is>
          <t>NOVIEMBRE 2025</t>
        </is>
      </c>
      <c r="L3712" t="inlineStr">
        <is>
          <t>NOVIEMBRE 2026</t>
        </is>
      </c>
      <c r="M3712" t="inlineStr">
        <is>
          <t>P.Q.S. / ABC AL 90%</t>
        </is>
      </c>
      <c r="N3712" t="inlineStr">
        <is>
          <t>1/M179677</t>
        </is>
      </c>
      <c r="O3712" t="inlineStr">
        <is>
          <t>R</t>
        </is>
      </c>
      <c r="P3712">
        <f>TRIM(N3712)</f>
        <v/>
      </c>
    </row>
    <row r="3713">
      <c r="A3713" t="inlineStr">
        <is>
          <t>CO-002515</t>
        </is>
      </c>
      <c r="B3713" t="inlineStr">
        <is>
          <t xml:space="preserve">SUNAT - AREQUIPA - MATARANI </t>
        </is>
      </c>
      <c r="C3713" t="inlineStr">
        <is>
          <t>20131312955</t>
        </is>
      </c>
      <c r="D3713" t="inlineStr">
        <is>
          <t>Carretera Matarani - Mollendo Km. 1.5, Islay</t>
        </is>
      </c>
      <c r="E3713" t="inlineStr">
        <is>
          <t>Lima, 05 de diciembre de 2025</t>
        </is>
      </c>
      <c r="F3713" t="inlineStr">
        <is>
          <t>la Recarga y mantenimiento</t>
        </is>
      </c>
      <c r="G3713" t="inlineStr">
        <is>
          <t>02</t>
        </is>
      </c>
      <c r="H3713" t="inlineStr">
        <is>
          <t>20 LBS</t>
        </is>
      </c>
      <c r="I3713" t="inlineStr">
        <is>
          <t>2026</t>
        </is>
      </c>
      <c r="J3713" t="inlineStr">
        <is>
          <t>N/R</t>
        </is>
      </c>
      <c r="K3713" t="inlineStr">
        <is>
          <t>NOVIEMBRE 2025</t>
        </is>
      </c>
      <c r="L3713" t="inlineStr">
        <is>
          <t>NOVIEMBRE 2026</t>
        </is>
      </c>
      <c r="M3713" t="inlineStr">
        <is>
          <t>P.Q.S. / ABC AL 90%</t>
        </is>
      </c>
      <c r="N3713" t="inlineStr">
        <is>
          <t>2/M-179928</t>
        </is>
      </c>
      <c r="O3713" t="inlineStr">
        <is>
          <t>R</t>
        </is>
      </c>
      <c r="P3713">
        <f>TRIM(N3713)</f>
        <v/>
      </c>
    </row>
    <row r="3714">
      <c r="A3714" t="inlineStr">
        <is>
          <t>CO-002515</t>
        </is>
      </c>
      <c r="B3714" t="inlineStr">
        <is>
          <t xml:space="preserve">SUNAT - AREQUIPA - MATARANI </t>
        </is>
      </c>
      <c r="C3714" t="inlineStr">
        <is>
          <t>20131312955</t>
        </is>
      </c>
      <c r="D3714" t="inlineStr">
        <is>
          <t>Carretera Matarani - Mollendo Km. 1.5, Islay</t>
        </is>
      </c>
      <c r="E3714" t="inlineStr">
        <is>
          <t>Lima, 05 de diciembre de 2025</t>
        </is>
      </c>
      <c r="F3714" t="inlineStr">
        <is>
          <t>la Recarga y mantenimiento</t>
        </is>
      </c>
      <c r="G3714" t="inlineStr">
        <is>
          <t>03</t>
        </is>
      </c>
      <c r="H3714" t="inlineStr">
        <is>
          <t>20 LBS</t>
        </is>
      </c>
      <c r="I3714" t="inlineStr">
        <is>
          <t>2026</t>
        </is>
      </c>
      <c r="J3714" t="inlineStr">
        <is>
          <t>N/R</t>
        </is>
      </c>
      <c r="K3714" t="inlineStr">
        <is>
          <t>NOVIEMBRE 2025</t>
        </is>
      </c>
      <c r="L3714" t="inlineStr">
        <is>
          <t>NOVIEMBRE 2026</t>
        </is>
      </c>
      <c r="M3714" t="inlineStr">
        <is>
          <t>P.Q.S. / ABC AL 90%</t>
        </is>
      </c>
      <c r="N3714" t="inlineStr">
        <is>
          <t>3/M179810</t>
        </is>
      </c>
      <c r="O3714" t="inlineStr">
        <is>
          <t>R</t>
        </is>
      </c>
      <c r="P3714">
        <f>TRIM(N3714)</f>
        <v/>
      </c>
    </row>
    <row r="3715">
      <c r="A3715" t="inlineStr">
        <is>
          <t>CO-002515</t>
        </is>
      </c>
      <c r="B3715" t="inlineStr">
        <is>
          <t xml:space="preserve">SUNAT - AREQUIPA - MATARANI </t>
        </is>
      </c>
      <c r="C3715" t="inlineStr">
        <is>
          <t>20131312955</t>
        </is>
      </c>
      <c r="D3715" t="inlineStr">
        <is>
          <t>Carretera Matarani - Mollendo Km. 1.5, Islay</t>
        </is>
      </c>
      <c r="E3715" t="inlineStr">
        <is>
          <t>Lima, 05 de diciembre de 2025</t>
        </is>
      </c>
      <c r="F3715" t="inlineStr">
        <is>
          <t>la Recarga y mantenimiento</t>
        </is>
      </c>
      <c r="G3715" t="inlineStr">
        <is>
          <t>04</t>
        </is>
      </c>
      <c r="H3715" t="inlineStr">
        <is>
          <t>20 LBS</t>
        </is>
      </c>
      <c r="I3715" t="inlineStr">
        <is>
          <t>2026</t>
        </is>
      </c>
      <c r="J3715" t="inlineStr">
        <is>
          <t>N/R</t>
        </is>
      </c>
      <c r="K3715" t="inlineStr">
        <is>
          <t>NOVIEMBRE 2025</t>
        </is>
      </c>
      <c r="L3715" t="inlineStr">
        <is>
          <t>NOVIEMBRE 2026</t>
        </is>
      </c>
      <c r="M3715" t="inlineStr">
        <is>
          <t>P.Q.S. / ABC AL 90%</t>
        </is>
      </c>
      <c r="N3715" t="inlineStr">
        <is>
          <t>5/M179620</t>
        </is>
      </c>
      <c r="O3715" t="inlineStr">
        <is>
          <t>R</t>
        </is>
      </c>
      <c r="P3715">
        <f>TRIM(N3715)</f>
        <v/>
      </c>
    </row>
    <row r="3716">
      <c r="A3716" t="inlineStr">
        <is>
          <t>CO-002515</t>
        </is>
      </c>
      <c r="B3716" t="inlineStr">
        <is>
          <t xml:space="preserve">SUNAT - AREQUIPA - MATARANI </t>
        </is>
      </c>
      <c r="C3716" t="inlineStr">
        <is>
          <t>20131312955</t>
        </is>
      </c>
      <c r="D3716" t="inlineStr">
        <is>
          <t>Carretera Matarani - Mollendo Km. 1.5, Islay</t>
        </is>
      </c>
      <c r="E3716" t="inlineStr">
        <is>
          <t>Lima, 05 de diciembre de 2025</t>
        </is>
      </c>
      <c r="F3716" t="inlineStr">
        <is>
          <t>la Recarga y mantenimiento</t>
        </is>
      </c>
      <c r="G3716" t="inlineStr">
        <is>
          <t>05</t>
        </is>
      </c>
      <c r="H3716" t="inlineStr">
        <is>
          <t>12 KG</t>
        </is>
      </c>
      <c r="I3716" t="n">
        <v>2026</v>
      </c>
      <c r="J3716" t="n">
        <v>2011</v>
      </c>
      <c r="K3716" t="inlineStr">
        <is>
          <t>NOVIEMBRE 2025</t>
        </is>
      </c>
      <c r="L3716" t="inlineStr">
        <is>
          <t>NOVIEMBRE 2026</t>
        </is>
      </c>
      <c r="M3716" t="inlineStr">
        <is>
          <t>P.Q.S. / ABC AL 90%</t>
        </is>
      </c>
      <c r="N3716" t="inlineStr">
        <is>
          <t>6/000570</t>
        </is>
      </c>
      <c r="O3716" t="inlineStr">
        <is>
          <t>R</t>
        </is>
      </c>
      <c r="P3716">
        <f>TRIM(N3716)</f>
        <v/>
      </c>
    </row>
    <row r="3717">
      <c r="A3717" t="inlineStr">
        <is>
          <t>CO-002515</t>
        </is>
      </c>
      <c r="B3717" t="inlineStr">
        <is>
          <t xml:space="preserve">SUNAT - AREQUIPA - MATARANI </t>
        </is>
      </c>
      <c r="C3717" t="inlineStr">
        <is>
          <t>20131312955</t>
        </is>
      </c>
      <c r="D3717" t="inlineStr">
        <is>
          <t>Carretera Matarani - Mollendo Km. 1.5, Islay</t>
        </is>
      </c>
      <c r="E3717" t="inlineStr">
        <is>
          <t>Lima, 05 de diciembre de 2025</t>
        </is>
      </c>
      <c r="F3717" t="inlineStr">
        <is>
          <t>la Recarga y mantenimiento</t>
        </is>
      </c>
      <c r="G3717" t="inlineStr">
        <is>
          <t>06</t>
        </is>
      </c>
      <c r="H3717" t="inlineStr">
        <is>
          <t>12 KG</t>
        </is>
      </c>
      <c r="I3717" t="n">
        <v>2027</v>
      </c>
      <c r="J3717" t="n">
        <v>2011</v>
      </c>
      <c r="K3717" t="inlineStr">
        <is>
          <t>NOVIEMBRE 2025</t>
        </is>
      </c>
      <c r="L3717" t="inlineStr">
        <is>
          <t>NOVIEMBRE 2026</t>
        </is>
      </c>
      <c r="M3717" t="inlineStr">
        <is>
          <t>P.Q.S. / ABC AL 90%</t>
        </is>
      </c>
      <c r="N3717" t="inlineStr">
        <is>
          <t>7/000403</t>
        </is>
      </c>
      <c r="O3717" t="inlineStr">
        <is>
          <t>R</t>
        </is>
      </c>
      <c r="P3717">
        <f>TRIM(N3717)</f>
        <v/>
      </c>
    </row>
    <row r="3718">
      <c r="A3718" t="inlineStr">
        <is>
          <t>CO-002515</t>
        </is>
      </c>
      <c r="B3718" t="inlineStr">
        <is>
          <t xml:space="preserve">SUNAT - AREQUIPA - MATARANI </t>
        </is>
      </c>
      <c r="C3718" t="inlineStr">
        <is>
          <t>20131312955</t>
        </is>
      </c>
      <c r="D3718" t="inlineStr">
        <is>
          <t>Carretera Matarani - Mollendo Km. 1.5, Islay</t>
        </is>
      </c>
      <c r="E3718" t="inlineStr">
        <is>
          <t>Lima, 05 de diciembre de 2025</t>
        </is>
      </c>
      <c r="F3718" t="inlineStr">
        <is>
          <t>la Recarga y mantenimiento</t>
        </is>
      </c>
      <c r="G3718" t="inlineStr">
        <is>
          <t>07</t>
        </is>
      </c>
      <c r="H3718" t="inlineStr">
        <is>
          <t>12 KG</t>
        </is>
      </c>
      <c r="I3718" t="n">
        <v>2027</v>
      </c>
      <c r="J3718" t="n">
        <v>2011</v>
      </c>
      <c r="K3718" t="inlineStr">
        <is>
          <t>NOVIEMBRE 2025</t>
        </is>
      </c>
      <c r="L3718" t="inlineStr">
        <is>
          <t>NOVIEMBRE 2026</t>
        </is>
      </c>
      <c r="M3718" t="inlineStr">
        <is>
          <t>P.Q.S. / ABC AL 90%</t>
        </is>
      </c>
      <c r="N3718" t="inlineStr">
        <is>
          <t>8/000530</t>
        </is>
      </c>
      <c r="O3718" t="inlineStr">
        <is>
          <t>R</t>
        </is>
      </c>
      <c r="P3718">
        <f>TRIM(N3718)</f>
        <v/>
      </c>
    </row>
    <row r="3719">
      <c r="A3719" t="inlineStr">
        <is>
          <t>CO-002515</t>
        </is>
      </c>
      <c r="B3719" t="inlineStr">
        <is>
          <t xml:space="preserve">SUNAT - AREQUIPA - MATARANI </t>
        </is>
      </c>
      <c r="C3719" t="inlineStr">
        <is>
          <t>20131312955</t>
        </is>
      </c>
      <c r="D3719" t="inlineStr">
        <is>
          <t>Carretera Matarani - Mollendo Km. 1.5, Islay</t>
        </is>
      </c>
      <c r="E3719" t="inlineStr">
        <is>
          <t>Lima, 05 de diciembre de 2025</t>
        </is>
      </c>
      <c r="F3719" t="inlineStr">
        <is>
          <t>la Recarga y mantenimiento</t>
        </is>
      </c>
      <c r="G3719" t="inlineStr">
        <is>
          <t>08</t>
        </is>
      </c>
      <c r="H3719" t="inlineStr">
        <is>
          <t>12 KG</t>
        </is>
      </c>
      <c r="I3719" t="n">
        <v>2026</v>
      </c>
      <c r="J3719" t="n">
        <v>2011</v>
      </c>
      <c r="K3719" t="inlineStr">
        <is>
          <t>NOVIEMBRE 2025</t>
        </is>
      </c>
      <c r="L3719" t="inlineStr">
        <is>
          <t>NOVIEMBRE 2026</t>
        </is>
      </c>
      <c r="M3719" t="inlineStr">
        <is>
          <t>P.Q.S. / ABC AL 90%</t>
        </is>
      </c>
      <c r="N3719" t="inlineStr">
        <is>
          <t>S/N/000608</t>
        </is>
      </c>
      <c r="O3719" t="inlineStr">
        <is>
          <t>R</t>
        </is>
      </c>
      <c r="P3719">
        <f>TRIM(N3719)</f>
        <v/>
      </c>
    </row>
    <row r="3720">
      <c r="A3720" t="inlineStr">
        <is>
          <t>CO-002515</t>
        </is>
      </c>
      <c r="B3720" t="inlineStr">
        <is>
          <t xml:space="preserve">SUNAT - AREQUIPA - MATARANI </t>
        </is>
      </c>
      <c r="C3720" t="inlineStr">
        <is>
          <t>20131312955</t>
        </is>
      </c>
      <c r="D3720" t="inlineStr">
        <is>
          <t>Carretera Matarani - Mollendo Km. 1.5, Islay</t>
        </is>
      </c>
      <c r="E3720" t="inlineStr">
        <is>
          <t>Lima, 05 de diciembre de 2025</t>
        </is>
      </c>
      <c r="F3720" t="inlineStr">
        <is>
          <t>la Recarga y mantenimiento</t>
        </is>
      </c>
      <c r="G3720" t="inlineStr">
        <is>
          <t>09</t>
        </is>
      </c>
      <c r="H3720" t="inlineStr">
        <is>
          <t>125 LBS</t>
        </is>
      </c>
      <c r="I3720" t="n">
        <v>2027</v>
      </c>
      <c r="J3720" t="n">
        <v>2012</v>
      </c>
      <c r="K3720" t="inlineStr">
        <is>
          <t>NOVIEMBRE 2025</t>
        </is>
      </c>
      <c r="L3720" t="inlineStr">
        <is>
          <t>NOVIEMBRE 2026</t>
        </is>
      </c>
      <c r="M3720" t="inlineStr">
        <is>
          <t>P.Q.S. / ABC AL 90%</t>
        </is>
      </c>
      <c r="N3720" t="inlineStr">
        <is>
          <t>11/BH86010</t>
        </is>
      </c>
      <c r="O3720" t="inlineStr">
        <is>
          <t>R</t>
        </is>
      </c>
      <c r="P3720">
        <f>TRIM(N3720)</f>
        <v/>
      </c>
    </row>
    <row r="3721">
      <c r="A3721" t="inlineStr">
        <is>
          <t>CO-002515</t>
        </is>
      </c>
      <c r="B3721" t="inlineStr">
        <is>
          <t xml:space="preserve">SUNAT - AREQUIPA - MATARANI </t>
        </is>
      </c>
      <c r="C3721" t="inlineStr">
        <is>
          <t>20131312955</t>
        </is>
      </c>
      <c r="D3721" t="inlineStr">
        <is>
          <t>Carretera Matarani - Mollendo Km. 1.5, Islay</t>
        </is>
      </c>
      <c r="E3721" t="inlineStr">
        <is>
          <t>Lima, 05 de diciembre de 2025</t>
        </is>
      </c>
      <c r="F3721" t="inlineStr">
        <is>
          <t>la Recarga y mantenimiento</t>
        </is>
      </c>
      <c r="G3721" t="n">
        <v>10</v>
      </c>
      <c r="H3721" t="inlineStr">
        <is>
          <t>12 KG</t>
        </is>
      </c>
      <c r="I3721" t="n">
        <v>2026</v>
      </c>
      <c r="J3721" t="n">
        <v>2011</v>
      </c>
      <c r="K3721" t="inlineStr">
        <is>
          <t>NOVIEMBRE 2025</t>
        </is>
      </c>
      <c r="L3721" t="inlineStr">
        <is>
          <t>NOVIEMBRE 2026</t>
        </is>
      </c>
      <c r="M3721" t="inlineStr">
        <is>
          <t>P.Q.S. / ABC AL 90%</t>
        </is>
      </c>
      <c r="N3721" t="inlineStr">
        <is>
          <t>12/000302</t>
        </is>
      </c>
      <c r="O3721" t="inlineStr">
        <is>
          <t>R</t>
        </is>
      </c>
      <c r="P3721">
        <f>TRIM(N3721)</f>
        <v/>
      </c>
    </row>
    <row r="3722">
      <c r="A3722" t="inlineStr">
        <is>
          <t>CO-002515</t>
        </is>
      </c>
      <c r="B3722" t="inlineStr">
        <is>
          <t xml:space="preserve">SUNAT - AREQUIPA - MATARANI </t>
        </is>
      </c>
      <c r="C3722" t="inlineStr">
        <is>
          <t>20131312955</t>
        </is>
      </c>
      <c r="D3722" t="inlineStr">
        <is>
          <t>Carretera Matarani - Mollendo Km. 1.5, Islay</t>
        </is>
      </c>
      <c r="E3722" t="inlineStr">
        <is>
          <t>Lima, 05 de diciembre de 2025</t>
        </is>
      </c>
      <c r="F3722" t="inlineStr">
        <is>
          <t>la Recarga y mantenimiento</t>
        </is>
      </c>
      <c r="G3722" t="n">
        <v>11</v>
      </c>
      <c r="H3722" t="inlineStr">
        <is>
          <t>12 KG</t>
        </is>
      </c>
      <c r="I3722" t="n">
        <v>2026</v>
      </c>
      <c r="J3722" t="n">
        <v>2011</v>
      </c>
      <c r="K3722" t="inlineStr">
        <is>
          <t>NOVIEMBRE 2025</t>
        </is>
      </c>
      <c r="L3722" t="inlineStr">
        <is>
          <t>NOVIEMBRE 2026</t>
        </is>
      </c>
      <c r="M3722" t="inlineStr">
        <is>
          <t>P.Q.S. / ABC AL 90%</t>
        </is>
      </c>
      <c r="N3722" t="inlineStr">
        <is>
          <t>13/000673</t>
        </is>
      </c>
      <c r="O3722" t="inlineStr">
        <is>
          <t>R</t>
        </is>
      </c>
      <c r="P3722">
        <f>TRIM(N3722)</f>
        <v/>
      </c>
    </row>
    <row r="3723">
      <c r="A3723" t="inlineStr">
        <is>
          <t>CO-002515</t>
        </is>
      </c>
      <c r="B3723" t="inlineStr">
        <is>
          <t xml:space="preserve">SUNAT - AREQUIPA - MATARANI </t>
        </is>
      </c>
      <c r="C3723" t="inlineStr">
        <is>
          <t>20131312955</t>
        </is>
      </c>
      <c r="D3723" t="inlineStr">
        <is>
          <t>Carretera Matarani - Mollendo Km. 1.5, Islay</t>
        </is>
      </c>
      <c r="E3723" t="inlineStr">
        <is>
          <t>Lima, 05 de diciembre de 2025</t>
        </is>
      </c>
      <c r="F3723" t="inlineStr">
        <is>
          <t>la Recarga y mantenimiento</t>
        </is>
      </c>
      <c r="G3723" t="n">
        <v>12</v>
      </c>
      <c r="H3723" t="inlineStr">
        <is>
          <t xml:space="preserve">20 LBS </t>
        </is>
      </c>
      <c r="I3723" t="n">
        <v>2027</v>
      </c>
      <c r="J3723" t="inlineStr">
        <is>
          <t>N/R</t>
        </is>
      </c>
      <c r="K3723" t="inlineStr">
        <is>
          <t>NOVIEMBRE 2025</t>
        </is>
      </c>
      <c r="L3723" t="inlineStr">
        <is>
          <t>NOVIEMBRE 2026</t>
        </is>
      </c>
      <c r="M3723" t="inlineStr">
        <is>
          <t>P.Q.S. / ABC AL 90%</t>
        </is>
      </c>
      <c r="N3723" t="inlineStr">
        <is>
          <t>14/M179925</t>
        </is>
      </c>
      <c r="O3723" t="inlineStr">
        <is>
          <t>R</t>
        </is>
      </c>
      <c r="P3723">
        <f>TRIM(N3723)</f>
        <v/>
      </c>
    </row>
    <row r="3724">
      <c r="A3724" t="inlineStr">
        <is>
          <t>CO-002515</t>
        </is>
      </c>
      <c r="B3724" t="inlineStr">
        <is>
          <t xml:space="preserve">SUNAT - AREQUIPA - MATARANI </t>
        </is>
      </c>
      <c r="C3724" t="inlineStr">
        <is>
          <t>20131312955</t>
        </is>
      </c>
      <c r="D3724" t="inlineStr">
        <is>
          <t>Carretera Matarani - Mollendo Km. 1.5, Islay</t>
        </is>
      </c>
      <c r="E3724" t="inlineStr">
        <is>
          <t>Lima, 05 de diciembre de 2025</t>
        </is>
      </c>
      <c r="F3724" t="inlineStr">
        <is>
          <t>la Recarga y mantenimiento</t>
        </is>
      </c>
      <c r="G3724" t="n">
        <v>13</v>
      </c>
      <c r="H3724" t="inlineStr">
        <is>
          <t xml:space="preserve">12 KG </t>
        </is>
      </c>
      <c r="I3724" t="n">
        <v>2026</v>
      </c>
      <c r="J3724" t="inlineStr">
        <is>
          <t>N/R</t>
        </is>
      </c>
      <c r="K3724" t="inlineStr">
        <is>
          <t>NOVIEMBRE 2025</t>
        </is>
      </c>
      <c r="L3724" t="inlineStr">
        <is>
          <t>NOVIEMBRE 2026</t>
        </is>
      </c>
      <c r="M3724" t="inlineStr">
        <is>
          <t>P.Q.S. / ABC AL 90%</t>
        </is>
      </c>
      <c r="N3724" t="inlineStr">
        <is>
          <t>15/000600</t>
        </is>
      </c>
      <c r="O3724" t="inlineStr">
        <is>
          <t>R</t>
        </is>
      </c>
      <c r="P3724">
        <f>TRIM(N3724)</f>
        <v/>
      </c>
    </row>
    <row r="3725">
      <c r="A3725" t="inlineStr">
        <is>
          <t>CO-002515</t>
        </is>
      </c>
      <c r="B3725" t="inlineStr">
        <is>
          <t xml:space="preserve">SUNAT - AREQUIPA - MATARANI </t>
        </is>
      </c>
      <c r="C3725" t="inlineStr">
        <is>
          <t>20131312955</t>
        </is>
      </c>
      <c r="D3725" t="inlineStr">
        <is>
          <t>Carretera Matarani - Mollendo Km. 1.5, Islay</t>
        </is>
      </c>
      <c r="E3725" t="inlineStr">
        <is>
          <t>Lima, 05 de diciembre de 2025</t>
        </is>
      </c>
      <c r="F3725" t="inlineStr">
        <is>
          <t>la Recarga y mantenimiento</t>
        </is>
      </c>
      <c r="G3725" t="n">
        <v>14</v>
      </c>
      <c r="H3725" t="inlineStr">
        <is>
          <t>30 LBS</t>
        </is>
      </c>
      <c r="I3725" t="n">
        <v>2028</v>
      </c>
      <c r="J3725" t="n">
        <v>2013</v>
      </c>
      <c r="K3725" t="inlineStr">
        <is>
          <t>NOVIEMBRE 2025</t>
        </is>
      </c>
      <c r="L3725" t="inlineStr">
        <is>
          <t>NOVIEMBRE 2026</t>
        </is>
      </c>
      <c r="M3725" t="inlineStr">
        <is>
          <t>P.Q.S. / ABC AL 90%</t>
        </is>
      </c>
      <c r="N3725" t="inlineStr">
        <is>
          <t>19/BR574196</t>
        </is>
      </c>
      <c r="O3725" t="inlineStr">
        <is>
          <t>R</t>
        </is>
      </c>
      <c r="P3725">
        <f>TRIM(N3725)</f>
        <v/>
      </c>
    </row>
    <row r="3726">
      <c r="A3726" t="inlineStr">
        <is>
          <t>CO-002515</t>
        </is>
      </c>
      <c r="B3726" t="inlineStr">
        <is>
          <t xml:space="preserve">SUNAT - AREQUIPA - MATARANI </t>
        </is>
      </c>
      <c r="C3726" t="inlineStr">
        <is>
          <t>20131312955</t>
        </is>
      </c>
      <c r="D3726" t="inlineStr">
        <is>
          <t>Carretera Matarani - Mollendo Km. 1.5, Islay</t>
        </is>
      </c>
      <c r="E3726" t="inlineStr">
        <is>
          <t>Lima, 05 de diciembre de 2025</t>
        </is>
      </c>
      <c r="F3726" t="inlineStr">
        <is>
          <t>la Recarga y mantenimiento</t>
        </is>
      </c>
      <c r="G3726" t="n">
        <v>15</v>
      </c>
      <c r="H3726" t="inlineStr">
        <is>
          <t>30 LBS</t>
        </is>
      </c>
      <c r="I3726" t="n">
        <v>2028</v>
      </c>
      <c r="J3726" t="n">
        <v>2013</v>
      </c>
      <c r="K3726" t="inlineStr">
        <is>
          <t>NOVIEMBRE 2025</t>
        </is>
      </c>
      <c r="L3726" t="inlineStr">
        <is>
          <t>NOVIEMBRE 2026</t>
        </is>
      </c>
      <c r="M3726" t="inlineStr">
        <is>
          <t>P.Q.S. / ABC AL 90%</t>
        </is>
      </c>
      <c r="N3726" t="inlineStr">
        <is>
          <t>20/BR574448</t>
        </is>
      </c>
      <c r="O3726" t="inlineStr">
        <is>
          <t>R</t>
        </is>
      </c>
      <c r="P3726">
        <f>TRIM(N3726)</f>
        <v/>
      </c>
    </row>
    <row r="3727">
      <c r="A3727" t="inlineStr">
        <is>
          <t>CO-002516</t>
        </is>
      </c>
      <c r="B3727" t="inlineStr">
        <is>
          <t xml:space="preserve">SUNAT - AREQUIPA - MATARANI </t>
        </is>
      </c>
      <c r="C3727" t="inlineStr">
        <is>
          <t>20131312955</t>
        </is>
      </c>
      <c r="D3727" t="inlineStr">
        <is>
          <t>Carretera Matarani - Mollendo Km. 1.5, Islay</t>
        </is>
      </c>
      <c r="E3727" t="inlineStr">
        <is>
          <t>Lima, 05 de diciembre de 2025</t>
        </is>
      </c>
      <c r="F3727" t="inlineStr">
        <is>
          <t>la Recarga y mantenimiento</t>
        </is>
      </c>
      <c r="G3727" t="inlineStr">
        <is>
          <t>01</t>
        </is>
      </c>
      <c r="H3727" t="inlineStr">
        <is>
          <t>20 LBS</t>
        </is>
      </c>
      <c r="I3727" t="inlineStr">
        <is>
          <t>2026</t>
        </is>
      </c>
      <c r="J3727" t="inlineStr">
        <is>
          <t>N/R</t>
        </is>
      </c>
      <c r="K3727" t="inlineStr">
        <is>
          <t>NOVIEMBRE 2025</t>
        </is>
      </c>
      <c r="L3727" t="inlineStr">
        <is>
          <t>NOVIEMBRE 2026</t>
        </is>
      </c>
      <c r="M3727" t="inlineStr">
        <is>
          <t>P.Q.S. / ABC AL 90%</t>
        </is>
      </c>
      <c r="N3727" t="inlineStr">
        <is>
          <t>22/M179796</t>
        </is>
      </c>
      <c r="O3727" t="inlineStr">
        <is>
          <t>R</t>
        </is>
      </c>
      <c r="P3727">
        <f>TRIM(N3727)</f>
        <v/>
      </c>
    </row>
    <row r="3728">
      <c r="A3728" t="inlineStr">
        <is>
          <t>CO-002516</t>
        </is>
      </c>
      <c r="B3728" t="inlineStr">
        <is>
          <t xml:space="preserve">SUNAT - AREQUIPA - MATARANI </t>
        </is>
      </c>
      <c r="C3728" t="inlineStr">
        <is>
          <t>20131312955</t>
        </is>
      </c>
      <c r="D3728" t="inlineStr">
        <is>
          <t>Carretera Matarani - Mollendo Km. 1.5, Islay</t>
        </is>
      </c>
      <c r="E3728" t="inlineStr">
        <is>
          <t>Lima, 05 de diciembre de 2025</t>
        </is>
      </c>
      <c r="F3728" t="inlineStr">
        <is>
          <t>la Recarga y mantenimiento</t>
        </is>
      </c>
      <c r="G3728" t="inlineStr">
        <is>
          <t>02</t>
        </is>
      </c>
      <c r="H3728" t="inlineStr">
        <is>
          <t>20 LBS</t>
        </is>
      </c>
      <c r="I3728" t="inlineStr">
        <is>
          <t>2025</t>
        </is>
      </c>
      <c r="J3728" t="n">
        <v>2007</v>
      </c>
      <c r="K3728" t="inlineStr">
        <is>
          <t>NOVIEMBRE 2025</t>
        </is>
      </c>
      <c r="L3728" t="inlineStr">
        <is>
          <t>NOVIEMBRE 2026</t>
        </is>
      </c>
      <c r="M3728" t="inlineStr">
        <is>
          <t>P.Q.S. / ABC AL 90%</t>
        </is>
      </c>
      <c r="N3728" t="inlineStr">
        <is>
          <t>23/ZB239268</t>
        </is>
      </c>
      <c r="O3728" t="inlineStr">
        <is>
          <t>R</t>
        </is>
      </c>
      <c r="P3728">
        <f>TRIM(N3728)</f>
        <v/>
      </c>
    </row>
    <row r="3729">
      <c r="A3729" t="inlineStr">
        <is>
          <t>CO-002516</t>
        </is>
      </c>
      <c r="B3729" t="inlineStr">
        <is>
          <t xml:space="preserve">SUNAT - AREQUIPA - MATARANI </t>
        </is>
      </c>
      <c r="C3729" t="inlineStr">
        <is>
          <t>20131312955</t>
        </is>
      </c>
      <c r="D3729" t="inlineStr">
        <is>
          <t>Carretera Matarani - Mollendo Km. 1.5, Islay</t>
        </is>
      </c>
      <c r="E3729" t="inlineStr">
        <is>
          <t>Lima, 05 de diciembre de 2025</t>
        </is>
      </c>
      <c r="F3729" t="inlineStr">
        <is>
          <t>la Recarga y mantenimiento</t>
        </is>
      </c>
      <c r="G3729" t="inlineStr">
        <is>
          <t>03</t>
        </is>
      </c>
      <c r="H3729" t="inlineStr">
        <is>
          <t>20 LBS</t>
        </is>
      </c>
      <c r="I3729" t="inlineStr">
        <is>
          <t>2026</t>
        </is>
      </c>
      <c r="J3729" t="inlineStr">
        <is>
          <t>N/R</t>
        </is>
      </c>
      <c r="K3729" t="inlineStr">
        <is>
          <t>NOVIEMBRE 2025</t>
        </is>
      </c>
      <c r="L3729" t="inlineStr">
        <is>
          <t>NOVIEMBRE 2026</t>
        </is>
      </c>
      <c r="M3729" t="inlineStr">
        <is>
          <t>P.Q.S. / ABC AL 90%</t>
        </is>
      </c>
      <c r="N3729" t="inlineStr">
        <is>
          <t>24/M179802</t>
        </is>
      </c>
      <c r="O3729" t="inlineStr">
        <is>
          <t>R</t>
        </is>
      </c>
      <c r="P3729">
        <f>TRIM(N3729)</f>
        <v/>
      </c>
    </row>
    <row r="3730">
      <c r="A3730" t="inlineStr">
        <is>
          <t>CO-002516</t>
        </is>
      </c>
      <c r="B3730" t="inlineStr">
        <is>
          <t xml:space="preserve">SUNAT - AREQUIPA - MATARANI </t>
        </is>
      </c>
      <c r="C3730" t="inlineStr">
        <is>
          <t>20131312955</t>
        </is>
      </c>
      <c r="D3730" t="inlineStr">
        <is>
          <t>Carretera Matarani - Mollendo Km. 1.5, Islay</t>
        </is>
      </c>
      <c r="E3730" t="inlineStr">
        <is>
          <t>Lima, 05 de diciembre de 2025</t>
        </is>
      </c>
      <c r="F3730" t="inlineStr">
        <is>
          <t>la Recarga y mantenimiento</t>
        </is>
      </c>
      <c r="G3730" t="inlineStr">
        <is>
          <t>04</t>
        </is>
      </c>
      <c r="H3730" t="inlineStr">
        <is>
          <t>30 LBS</t>
        </is>
      </c>
      <c r="I3730" t="n">
        <v>2029</v>
      </c>
      <c r="J3730" t="n">
        <v>2013</v>
      </c>
      <c r="K3730" t="inlineStr">
        <is>
          <t>NOVIEMBRE 2025</t>
        </is>
      </c>
      <c r="L3730" t="inlineStr">
        <is>
          <t>NOVIEMBRE 2026</t>
        </is>
      </c>
      <c r="M3730" t="inlineStr">
        <is>
          <t>P.Q.S. / ABC AL 90%</t>
        </is>
      </c>
      <c r="N3730" t="inlineStr">
        <is>
          <t>25/BR574141</t>
        </is>
      </c>
      <c r="O3730" t="inlineStr">
        <is>
          <t>R</t>
        </is>
      </c>
      <c r="P3730">
        <f>TRIM(N3730)</f>
        <v/>
      </c>
    </row>
    <row r="3731">
      <c r="A3731" t="inlineStr">
        <is>
          <t>CO-002518</t>
        </is>
      </c>
      <c r="B3731" t="inlineStr">
        <is>
          <t>BRITISH AMERICAN HOSPITAL S.A. - CLINICA ANGLOAMERICANA</t>
        </is>
      </c>
      <c r="C3731" t="inlineStr">
        <is>
          <t>20107695584</t>
        </is>
      </c>
      <c r="D3731" t="inlineStr">
        <is>
          <t xml:space="preserve">JR ALFREDO SALAZAR 350 - SAN ISIDRO </t>
        </is>
      </c>
      <c r="E3731" t="inlineStr">
        <is>
          <t>Lima, 03 de diciembre de 2025</t>
        </is>
      </c>
      <c r="F3731" t="inlineStr">
        <is>
          <t>Venta</t>
        </is>
      </c>
      <c r="G3731" t="inlineStr">
        <is>
          <t>01</t>
        </is>
      </c>
      <c r="H3731" t="inlineStr">
        <is>
          <t>50 KG</t>
        </is>
      </c>
      <c r="I3731" t="inlineStr">
        <is>
          <t>2029</t>
        </is>
      </c>
      <c r="J3731" t="n">
        <v>2024</v>
      </c>
      <c r="K3731" t="inlineStr">
        <is>
          <t>DICIEMBRE 2025</t>
        </is>
      </c>
      <c r="L3731" t="inlineStr">
        <is>
          <t>DICIEMBRE 2026</t>
        </is>
      </c>
      <c r="M3731" t="inlineStr">
        <is>
          <t xml:space="preserve">PQS TIPO ABC AL 75% </t>
        </is>
      </c>
      <c r="N3731" t="inlineStr">
        <is>
          <t>S/N/060125</t>
        </is>
      </c>
      <c r="O3731" t="inlineStr">
        <is>
          <t>V</t>
        </is>
      </c>
      <c r="P3731">
        <f>TRIM(N3731)</f>
        <v/>
      </c>
    </row>
    <row r="3732">
      <c r="A3732" t="inlineStr">
        <is>
          <t>CO-002519</t>
        </is>
      </c>
      <c r="B3732" t="inlineStr">
        <is>
          <t>GACSA PERU S.A.C.</t>
        </is>
      </c>
      <c r="C3732" t="n">
        <v>20602629068</v>
      </c>
      <c r="D3732" t="inlineStr">
        <is>
          <t>ALMACEN DESMEDRO HYUNDAI LA VICTORIA</t>
        </is>
      </c>
      <c r="E3732" t="inlineStr">
        <is>
          <t>Lima, 29 de noviembre del 2025</t>
        </is>
      </c>
      <c r="F3732" t="inlineStr">
        <is>
          <t>la Recarga y mantenimiento</t>
        </is>
      </c>
      <c r="G3732" t="inlineStr">
        <is>
          <t>01</t>
        </is>
      </c>
      <c r="H3732" t="inlineStr">
        <is>
          <t>50 KG</t>
        </is>
      </c>
      <c r="I3732" t="inlineStr">
        <is>
          <t>2028</t>
        </is>
      </c>
      <c r="J3732" t="n">
        <v>2011</v>
      </c>
      <c r="K3732" t="inlineStr">
        <is>
          <t>NOVIEMBRE 2025</t>
        </is>
      </c>
      <c r="L3732" t="inlineStr">
        <is>
          <t>NOVIEMBRE 2026</t>
        </is>
      </c>
      <c r="M3732" t="inlineStr">
        <is>
          <t xml:space="preserve">PQS TIPO ABC AL 75% </t>
        </is>
      </c>
      <c r="N3732" t="inlineStr">
        <is>
          <t>S/N/000052</t>
        </is>
      </c>
      <c r="O3732" t="inlineStr">
        <is>
          <t>R</t>
        </is>
      </c>
      <c r="P3732">
        <f>TRIM(N3732)</f>
        <v/>
      </c>
    </row>
    <row r="3733">
      <c r="A3733" t="inlineStr">
        <is>
          <t>CO-002521</t>
        </is>
      </c>
      <c r="B3733" t="inlineStr">
        <is>
          <t>QELLPU PERU SA</t>
        </is>
      </c>
      <c r="C3733" t="inlineStr">
        <is>
          <t>20492318656</t>
        </is>
      </c>
      <c r="D3733" t="inlineStr">
        <is>
          <t>AV. LOS INCAS CDRA. 4 PATIO NORTE - COMAS</t>
        </is>
      </c>
      <c r="E3733" t="inlineStr">
        <is>
          <t>Lima, 02 de diciembre de 2025</t>
        </is>
      </c>
      <c r="F3733" t="inlineStr">
        <is>
          <t>la Recarga y mantenimiento</t>
        </is>
      </c>
      <c r="G3733" t="inlineStr">
        <is>
          <t>01</t>
        </is>
      </c>
      <c r="H3733" t="inlineStr">
        <is>
          <t>06 KG</t>
        </is>
      </c>
      <c r="I3733" t="n">
        <v>2029</v>
      </c>
      <c r="J3733" t="n">
        <v>2009</v>
      </c>
      <c r="K3733" t="inlineStr">
        <is>
          <t>NOVIEMBRE 2025</t>
        </is>
      </c>
      <c r="L3733" t="inlineStr">
        <is>
          <t>NOVIEMBRE 2026</t>
        </is>
      </c>
      <c r="M3733" t="inlineStr">
        <is>
          <t>P.Q.S.  TIPO ABC  90% NACIONAL</t>
        </is>
      </c>
      <c r="N3733" t="inlineStr">
        <is>
          <t>28/001080</t>
        </is>
      </c>
      <c r="O3733" t="inlineStr">
        <is>
          <t>R</t>
        </is>
      </c>
      <c r="P3733">
        <f>TRIM(N3733)</f>
        <v/>
      </c>
    </row>
    <row r="3734">
      <c r="A3734" t="inlineStr">
        <is>
          <t>CO-002522</t>
        </is>
      </c>
      <c r="B3734" t="inlineStr">
        <is>
          <t>SUNAT - AREQUIPA -  RIO SECO</t>
        </is>
      </c>
      <c r="C3734" t="inlineStr">
        <is>
          <t>20131312955</t>
        </is>
      </c>
      <c r="D3734" t="inlineStr">
        <is>
          <t xml:space="preserve">Altura del Km 8.5 de la Carretera Yaura - Arequipa </t>
        </is>
      </c>
      <c r="E3734" t="inlineStr">
        <is>
          <t>Lima, 05 de diciembre del 2025</t>
        </is>
      </c>
      <c r="F3734" t="inlineStr">
        <is>
          <t>la Recarga y mantenimiento</t>
        </is>
      </c>
      <c r="G3734" t="inlineStr">
        <is>
          <t>01</t>
        </is>
      </c>
      <c r="H3734" t="inlineStr">
        <is>
          <t>10LBS</t>
        </is>
      </c>
      <c r="I3734" t="inlineStr">
        <is>
          <t>2027</t>
        </is>
      </c>
      <c r="J3734" t="n">
        <v>2012</v>
      </c>
      <c r="K3734" t="inlineStr">
        <is>
          <t>NOVIEMBRE 2025</t>
        </is>
      </c>
      <c r="L3734" t="inlineStr">
        <is>
          <t>NOVIEMBRE 2026</t>
        </is>
      </c>
      <c r="M3734" t="inlineStr">
        <is>
          <t>CO2 TIPO BC</t>
        </is>
      </c>
      <c r="N3734" t="inlineStr">
        <is>
          <t>104/807074</t>
        </is>
      </c>
      <c r="O3734" t="inlineStr">
        <is>
          <t>R</t>
        </is>
      </c>
      <c r="P3734">
        <f>TRIM(N3734)</f>
        <v/>
      </c>
    </row>
    <row r="3735">
      <c r="A3735" t="inlineStr">
        <is>
          <t>CO-002522</t>
        </is>
      </c>
      <c r="B3735" t="inlineStr">
        <is>
          <t>SUNAT - AREQUIPA -  RIO SECO</t>
        </is>
      </c>
      <c r="C3735" t="inlineStr">
        <is>
          <t>20131312955</t>
        </is>
      </c>
      <c r="D3735" t="inlineStr">
        <is>
          <t xml:space="preserve">Altura del Km 8.5 de la Carretera Yaura - Arequipa </t>
        </is>
      </c>
      <c r="E3735" t="inlineStr">
        <is>
          <t>Lima, 05 de diciembre del 2025</t>
        </is>
      </c>
      <c r="F3735" t="inlineStr">
        <is>
          <t>la Recarga y mantenimiento</t>
        </is>
      </c>
      <c r="G3735" t="inlineStr">
        <is>
          <t>02</t>
        </is>
      </c>
      <c r="H3735" t="inlineStr">
        <is>
          <t>10 LBS</t>
        </is>
      </c>
      <c r="I3735" t="inlineStr">
        <is>
          <t>2026</t>
        </is>
      </c>
      <c r="J3735" t="n">
        <v>2010</v>
      </c>
      <c r="K3735" t="inlineStr">
        <is>
          <t>NOVIEMBRE 2025</t>
        </is>
      </c>
      <c r="L3735" t="inlineStr">
        <is>
          <t>NOVIEMBRE 2026</t>
        </is>
      </c>
      <c r="M3735" t="inlineStr">
        <is>
          <t>CO2 TIPO BC</t>
        </is>
      </c>
      <c r="N3735" t="inlineStr">
        <is>
          <t>101/652254</t>
        </is>
      </c>
      <c r="O3735" t="inlineStr">
        <is>
          <t>R</t>
        </is>
      </c>
      <c r="P3735">
        <f>TRIM(N3735)</f>
        <v/>
      </c>
    </row>
    <row r="3736">
      <c r="A3736" t="inlineStr">
        <is>
          <t>CO-002522</t>
        </is>
      </c>
      <c r="B3736" t="inlineStr">
        <is>
          <t>SUNAT - AREQUIPA -  RIO SECO</t>
        </is>
      </c>
      <c r="C3736" t="inlineStr">
        <is>
          <t>20131312955</t>
        </is>
      </c>
      <c r="D3736" t="inlineStr">
        <is>
          <t xml:space="preserve">Altura del Km 8.5 de la Carretera Yaura - Arequipa </t>
        </is>
      </c>
      <c r="E3736" t="inlineStr">
        <is>
          <t>Lima, 05 de diciembre del 2025</t>
        </is>
      </c>
      <c r="F3736" t="inlineStr">
        <is>
          <t>la Recarga y mantenimiento</t>
        </is>
      </c>
      <c r="G3736" t="inlineStr">
        <is>
          <t>03</t>
        </is>
      </c>
      <c r="H3736" t="inlineStr">
        <is>
          <t>10 LBS</t>
        </is>
      </c>
      <c r="I3736" t="n">
        <v>2026</v>
      </c>
      <c r="J3736" t="n">
        <v>2010</v>
      </c>
      <c r="K3736" t="inlineStr">
        <is>
          <t>NOVIEMBRE 2025</t>
        </is>
      </c>
      <c r="L3736" t="inlineStr">
        <is>
          <t>NOVIEMBRE 2026</t>
        </is>
      </c>
      <c r="M3736" t="inlineStr">
        <is>
          <t>CO2 TIPO BC</t>
        </is>
      </c>
      <c r="N3736" t="inlineStr">
        <is>
          <t>93/652254</t>
        </is>
      </c>
      <c r="O3736" t="inlineStr">
        <is>
          <t>R</t>
        </is>
      </c>
      <c r="P3736">
        <f>TRIM(N3736)</f>
        <v/>
      </c>
    </row>
    <row r="3737">
      <c r="A3737" t="inlineStr">
        <is>
          <t>CO-002522</t>
        </is>
      </c>
      <c r="B3737" t="inlineStr">
        <is>
          <t>SUNAT - AREQUIPA -  RIO SECO</t>
        </is>
      </c>
      <c r="C3737" t="inlineStr">
        <is>
          <t>20131312955</t>
        </is>
      </c>
      <c r="D3737" t="inlineStr">
        <is>
          <t xml:space="preserve">Altura del Km 8.5 de la Carretera Yaura - Arequipa </t>
        </is>
      </c>
      <c r="E3737" t="inlineStr">
        <is>
          <t>Lima, 05 de diciembre del 2025</t>
        </is>
      </c>
      <c r="F3737" t="inlineStr">
        <is>
          <t>la Recarga y mantenimiento</t>
        </is>
      </c>
      <c r="G3737" t="inlineStr">
        <is>
          <t>04</t>
        </is>
      </c>
      <c r="H3737" t="inlineStr">
        <is>
          <t>10 LBS</t>
        </is>
      </c>
      <c r="I3737" t="n">
        <v>2026</v>
      </c>
      <c r="J3737" t="n">
        <v>2010</v>
      </c>
      <c r="K3737" t="inlineStr">
        <is>
          <t>NOVIEMBRE 2025</t>
        </is>
      </c>
      <c r="L3737" t="inlineStr">
        <is>
          <t>NOVIEMBRE 2026</t>
        </is>
      </c>
      <c r="M3737" t="inlineStr">
        <is>
          <t>CO2 TIPO BC</t>
        </is>
      </c>
      <c r="N3737" t="inlineStr">
        <is>
          <t>86/652158</t>
        </is>
      </c>
      <c r="O3737" t="inlineStr">
        <is>
          <t>R</t>
        </is>
      </c>
      <c r="P3737">
        <f>TRIM(N3737)</f>
        <v/>
      </c>
    </row>
    <row r="3738">
      <c r="A3738" t="inlineStr">
        <is>
          <t>CO-002522</t>
        </is>
      </c>
      <c r="B3738" t="inlineStr">
        <is>
          <t>SUNAT - AREQUIPA -  RIO SECO</t>
        </is>
      </c>
      <c r="C3738" t="inlineStr">
        <is>
          <t>20131312955</t>
        </is>
      </c>
      <c r="D3738" t="inlineStr">
        <is>
          <t xml:space="preserve">Altura del Km 8.5 de la Carretera Yaura - Arequipa </t>
        </is>
      </c>
      <c r="E3738" t="inlineStr">
        <is>
          <t>Lima, 05 de diciembre del 2025</t>
        </is>
      </c>
      <c r="F3738" t="inlineStr">
        <is>
          <t>la Recarga y mantenimiento</t>
        </is>
      </c>
      <c r="G3738" t="inlineStr">
        <is>
          <t>05</t>
        </is>
      </c>
      <c r="H3738" t="inlineStr">
        <is>
          <t>10 LBS</t>
        </is>
      </c>
      <c r="I3738" t="n">
        <v>2026</v>
      </c>
      <c r="J3738" t="n">
        <v>2010</v>
      </c>
      <c r="K3738" t="inlineStr">
        <is>
          <t>NOVIEMBRE 2025</t>
        </is>
      </c>
      <c r="L3738" t="inlineStr">
        <is>
          <t>NOVIEMBRE 2026</t>
        </is>
      </c>
      <c r="M3738" t="inlineStr">
        <is>
          <t>CO2 TIPO BC</t>
        </is>
      </c>
      <c r="N3738" t="inlineStr">
        <is>
          <t>83/652158</t>
        </is>
      </c>
      <c r="O3738" t="inlineStr">
        <is>
          <t>R</t>
        </is>
      </c>
      <c r="P3738">
        <f>TRIM(N3738)</f>
        <v/>
      </c>
    </row>
    <row r="3739">
      <c r="A3739" t="inlineStr">
        <is>
          <t>CO-002522</t>
        </is>
      </c>
      <c r="B3739" t="inlineStr">
        <is>
          <t>SUNAT - AREQUIPA -  RIO SECO</t>
        </is>
      </c>
      <c r="C3739" t="inlineStr">
        <is>
          <t>20131312955</t>
        </is>
      </c>
      <c r="D3739" t="inlineStr">
        <is>
          <t xml:space="preserve">Altura del Km 8.5 de la Carretera Yaura - Arequipa </t>
        </is>
      </c>
      <c r="E3739" t="inlineStr">
        <is>
          <t>Lima, 05 de diciembre del 2025</t>
        </is>
      </c>
      <c r="F3739" t="inlineStr">
        <is>
          <t>la Recarga y mantenimiento</t>
        </is>
      </c>
      <c r="G3739" t="inlineStr">
        <is>
          <t>06</t>
        </is>
      </c>
      <c r="H3739" t="inlineStr">
        <is>
          <t>15 LBS</t>
        </is>
      </c>
      <c r="I3739" t="n">
        <v>2026</v>
      </c>
      <c r="J3739" t="n">
        <v>2012</v>
      </c>
      <c r="K3739" t="inlineStr">
        <is>
          <t>NOVIEMBRE 2025</t>
        </is>
      </c>
      <c r="L3739" t="inlineStr">
        <is>
          <t>NOVIEMBRE 2026</t>
        </is>
      </c>
      <c r="M3739" t="inlineStr">
        <is>
          <t>CO2 TIPO BC</t>
        </is>
      </c>
      <c r="N3739" t="inlineStr">
        <is>
          <t>106/794050</t>
        </is>
      </c>
      <c r="O3739" t="inlineStr">
        <is>
          <t>R</t>
        </is>
      </c>
      <c r="P3739">
        <f>TRIM(N3739)</f>
        <v/>
      </c>
    </row>
    <row r="3740">
      <c r="A3740" t="inlineStr">
        <is>
          <t>CO-002522</t>
        </is>
      </c>
      <c r="B3740" t="inlineStr">
        <is>
          <t>SUNAT - AREQUIPA -  RIO SECO</t>
        </is>
      </c>
      <c r="C3740" t="inlineStr">
        <is>
          <t>20131312955</t>
        </is>
      </c>
      <c r="D3740" t="inlineStr">
        <is>
          <t xml:space="preserve">Altura del Km 8.5 de la Carretera Yaura - Arequipa </t>
        </is>
      </c>
      <c r="E3740" t="inlineStr">
        <is>
          <t>Lima, 05 de diciembre del 2025</t>
        </is>
      </c>
      <c r="F3740" t="inlineStr">
        <is>
          <t>la Recarga y mantenimiento</t>
        </is>
      </c>
      <c r="G3740" t="inlineStr">
        <is>
          <t>07</t>
        </is>
      </c>
      <c r="H3740" t="inlineStr">
        <is>
          <t xml:space="preserve">15 LBS </t>
        </is>
      </c>
      <c r="I3740" t="n">
        <v>2026</v>
      </c>
      <c r="J3740" t="n">
        <v>2012</v>
      </c>
      <c r="K3740" t="inlineStr">
        <is>
          <t>NOVIEMBRE 2025</t>
        </is>
      </c>
      <c r="L3740" t="inlineStr">
        <is>
          <t>NOVIEMBRE 2026</t>
        </is>
      </c>
      <c r="M3740" t="inlineStr">
        <is>
          <t>CO2 TIPO BC</t>
        </is>
      </c>
      <c r="N3740" t="inlineStr">
        <is>
          <t>94/794327</t>
        </is>
      </c>
      <c r="O3740" t="inlineStr">
        <is>
          <t>R</t>
        </is>
      </c>
      <c r="P3740">
        <f>TRIM(N3740)</f>
        <v/>
      </c>
    </row>
    <row r="3741">
      <c r="A3741" t="inlineStr">
        <is>
          <t>CO-002522</t>
        </is>
      </c>
      <c r="B3741" t="inlineStr">
        <is>
          <t>SUNAT - AREQUIPA -  RIO SECO</t>
        </is>
      </c>
      <c r="C3741" t="inlineStr">
        <is>
          <t>20131312955</t>
        </is>
      </c>
      <c r="D3741" t="inlineStr">
        <is>
          <t xml:space="preserve">Altura del Km 8.5 de la Carretera Yaura - Arequipa </t>
        </is>
      </c>
      <c r="E3741" t="inlineStr">
        <is>
          <t>Lima, 05 de diciembre del 2025</t>
        </is>
      </c>
      <c r="F3741" t="inlineStr">
        <is>
          <t>la Recarga y mantenimiento</t>
        </is>
      </c>
      <c r="G3741" t="inlineStr">
        <is>
          <t>08</t>
        </is>
      </c>
      <c r="H3741" t="inlineStr">
        <is>
          <t>15 LBS</t>
        </is>
      </c>
      <c r="I3741" t="n">
        <v>2026</v>
      </c>
      <c r="J3741" t="n">
        <v>2012</v>
      </c>
      <c r="K3741" t="inlineStr">
        <is>
          <t>NOVIEMBRE 2025</t>
        </is>
      </c>
      <c r="L3741" t="inlineStr">
        <is>
          <t>NOVIEMBRE 2026</t>
        </is>
      </c>
      <c r="M3741" t="inlineStr">
        <is>
          <t xml:space="preserve">CO2 TIPO BC </t>
        </is>
      </c>
      <c r="N3741" t="inlineStr">
        <is>
          <t>87/794312</t>
        </is>
      </c>
      <c r="O3741" t="inlineStr">
        <is>
          <t>R</t>
        </is>
      </c>
      <c r="P3741">
        <f>TRIM(N3741)</f>
        <v/>
      </c>
    </row>
    <row r="3742">
      <c r="A3742" t="inlineStr">
        <is>
          <t>CO-002522</t>
        </is>
      </c>
      <c r="B3742" t="inlineStr">
        <is>
          <t>SUNAT - AREQUIPA -  RIO SECO</t>
        </is>
      </c>
      <c r="C3742" t="inlineStr">
        <is>
          <t>20131312955</t>
        </is>
      </c>
      <c r="D3742" t="inlineStr">
        <is>
          <t xml:space="preserve">Altura del Km 8.5 de la Carretera Yaura - Arequipa </t>
        </is>
      </c>
      <c r="E3742" t="inlineStr">
        <is>
          <t>Lima, 05 de diciembre del 2025</t>
        </is>
      </c>
      <c r="F3742" t="inlineStr">
        <is>
          <t>la Recarga y mantenimiento</t>
        </is>
      </c>
      <c r="G3742" t="inlineStr">
        <is>
          <t>09</t>
        </is>
      </c>
      <c r="H3742" t="inlineStr">
        <is>
          <t>15 LBS</t>
        </is>
      </c>
      <c r="I3742" t="n">
        <v>2026</v>
      </c>
      <c r="J3742" t="n">
        <v>2012</v>
      </c>
      <c r="K3742" t="inlineStr">
        <is>
          <t>NOVIEMBRE 2025</t>
        </is>
      </c>
      <c r="L3742" t="inlineStr">
        <is>
          <t>NOVIEMBRE 2026</t>
        </is>
      </c>
      <c r="M3742" t="inlineStr">
        <is>
          <t>CO2  TIPO BC</t>
        </is>
      </c>
      <c r="N3742" t="inlineStr">
        <is>
          <t>82/794350</t>
        </is>
      </c>
      <c r="O3742" t="inlineStr">
        <is>
          <t>R</t>
        </is>
      </c>
      <c r="P3742">
        <f>TRIM(N3742)</f>
        <v/>
      </c>
    </row>
    <row r="3743">
      <c r="A3743" t="inlineStr">
        <is>
          <t>CO-002522</t>
        </is>
      </c>
      <c r="B3743" t="inlineStr">
        <is>
          <t>SUNAT - AREQUIPA -  RIO SECO</t>
        </is>
      </c>
      <c r="C3743" t="inlineStr">
        <is>
          <t>20131312955</t>
        </is>
      </c>
      <c r="D3743" t="inlineStr">
        <is>
          <t xml:space="preserve">Altura del Km 8.5 de la Carretera Yaura - Arequipa </t>
        </is>
      </c>
      <c r="E3743" t="inlineStr">
        <is>
          <t>Lima, 05 de diciembre del 2025</t>
        </is>
      </c>
      <c r="F3743" t="inlineStr">
        <is>
          <t>la Recarga y mantenimiento</t>
        </is>
      </c>
      <c r="G3743" t="n">
        <v>10</v>
      </c>
      <c r="H3743" t="inlineStr">
        <is>
          <t>15 LBS</t>
        </is>
      </c>
      <c r="I3743" t="n">
        <v>2026</v>
      </c>
      <c r="J3743" t="n">
        <v>2012</v>
      </c>
      <c r="K3743" t="inlineStr">
        <is>
          <t>NOVIEMBRE 2025</t>
        </is>
      </c>
      <c r="L3743" t="inlineStr">
        <is>
          <t>NOVIEMBRE 2026</t>
        </is>
      </c>
      <c r="M3743" t="inlineStr">
        <is>
          <t xml:space="preserve">CO2 TIPO BC </t>
        </is>
      </c>
      <c r="N3743" t="inlineStr">
        <is>
          <t>81/793661</t>
        </is>
      </c>
      <c r="O3743" t="inlineStr">
        <is>
          <t>R</t>
        </is>
      </c>
      <c r="P3743">
        <f>TRIM(N3743)</f>
        <v/>
      </c>
    </row>
    <row r="3744">
      <c r="A3744" t="inlineStr">
        <is>
          <t>CO-002522</t>
        </is>
      </c>
      <c r="B3744" t="inlineStr">
        <is>
          <t>SUNAT - AREQUIPA -  RIO SECO</t>
        </is>
      </c>
      <c r="C3744" t="inlineStr">
        <is>
          <t>20131312955</t>
        </is>
      </c>
      <c r="D3744" t="inlineStr">
        <is>
          <t xml:space="preserve">Altura del Km 8.5 de la Carretera Yaura - Arequipa </t>
        </is>
      </c>
      <c r="E3744" t="inlineStr">
        <is>
          <t>Lima, 05 de diciembre del 2025</t>
        </is>
      </c>
      <c r="F3744" t="inlineStr">
        <is>
          <t>la Recarga y mantenimiento</t>
        </is>
      </c>
      <c r="G3744" t="n">
        <v>11</v>
      </c>
      <c r="H3744" t="inlineStr">
        <is>
          <t>15 LBS</t>
        </is>
      </c>
      <c r="I3744" t="n">
        <v>2026</v>
      </c>
      <c r="J3744" t="n">
        <v>2012</v>
      </c>
      <c r="K3744" t="inlineStr">
        <is>
          <t>NOVIEMBRE 2025</t>
        </is>
      </c>
      <c r="L3744" t="inlineStr">
        <is>
          <t>NOVIEMBRE 2026</t>
        </is>
      </c>
      <c r="M3744" t="inlineStr">
        <is>
          <t xml:space="preserve">CO2 TIPO BC </t>
        </is>
      </c>
      <c r="N3744" t="inlineStr">
        <is>
          <t>65/793623</t>
        </is>
      </c>
      <c r="O3744" t="inlineStr">
        <is>
          <t>R</t>
        </is>
      </c>
      <c r="P3744">
        <f>TRIM(N3744)</f>
        <v/>
      </c>
    </row>
    <row r="3745">
      <c r="A3745" t="inlineStr">
        <is>
          <t>CO-002522</t>
        </is>
      </c>
      <c r="B3745" t="inlineStr">
        <is>
          <t>SUNAT - AREQUIPA -  RIO SECO</t>
        </is>
      </c>
      <c r="C3745" t="inlineStr">
        <is>
          <t>20131312955</t>
        </is>
      </c>
      <c r="D3745" t="inlineStr">
        <is>
          <t xml:space="preserve">Altura del Km 8.5 de la Carretera Yaura - Arequipa </t>
        </is>
      </c>
      <c r="E3745" t="inlineStr">
        <is>
          <t>Lima, 05 de diciembre del 2025</t>
        </is>
      </c>
      <c r="F3745" t="inlineStr">
        <is>
          <t>la Recarga y mantenimiento</t>
        </is>
      </c>
      <c r="G3745" t="n">
        <v>12</v>
      </c>
      <c r="H3745" t="inlineStr">
        <is>
          <t>15 LBS</t>
        </is>
      </c>
      <c r="I3745" t="n">
        <v>2026</v>
      </c>
      <c r="J3745" t="n">
        <v>2012</v>
      </c>
      <c r="K3745" t="inlineStr">
        <is>
          <t>NOVIEMBRE 2025</t>
        </is>
      </c>
      <c r="L3745" t="inlineStr">
        <is>
          <t>NOVIEMBRE 2026</t>
        </is>
      </c>
      <c r="M3745" t="inlineStr">
        <is>
          <t xml:space="preserve">CO2 TIPO BC </t>
        </is>
      </c>
      <c r="N3745" t="inlineStr">
        <is>
          <t>64/V794658</t>
        </is>
      </c>
      <c r="O3745" t="inlineStr">
        <is>
          <t>R</t>
        </is>
      </c>
      <c r="P3745">
        <f>TRIM(N3745)</f>
        <v/>
      </c>
    </row>
    <row r="3746">
      <c r="A3746" t="inlineStr">
        <is>
          <t>CO-002522</t>
        </is>
      </c>
      <c r="B3746" t="inlineStr">
        <is>
          <t>SUNAT - AREQUIPA -  RIO SECO</t>
        </is>
      </c>
      <c r="C3746" t="inlineStr">
        <is>
          <t>20131312955</t>
        </is>
      </c>
      <c r="D3746" t="inlineStr">
        <is>
          <t xml:space="preserve">Altura del Km 8.5 de la Carretera Yaura - Arequipa </t>
        </is>
      </c>
      <c r="E3746" t="inlineStr">
        <is>
          <t>Lima, 05 de diciembre del 2025</t>
        </is>
      </c>
      <c r="F3746" t="inlineStr">
        <is>
          <t>la Recarga y mantenimiento</t>
        </is>
      </c>
      <c r="G3746" t="n">
        <v>13</v>
      </c>
      <c r="H3746" t="inlineStr">
        <is>
          <t>15 LBS</t>
        </is>
      </c>
      <c r="I3746" t="n">
        <v>2026</v>
      </c>
      <c r="J3746" t="n">
        <v>2012</v>
      </c>
      <c r="K3746" t="inlineStr">
        <is>
          <t>NOVIEMBRE 2025</t>
        </is>
      </c>
      <c r="L3746" t="inlineStr">
        <is>
          <t>NOVIEMBRE 2026</t>
        </is>
      </c>
      <c r="M3746" t="inlineStr">
        <is>
          <t>CO2 TIPO BC</t>
        </is>
      </c>
      <c r="N3746" t="inlineStr">
        <is>
          <t>62/794219</t>
        </is>
      </c>
      <c r="O3746" t="inlineStr">
        <is>
          <t>R</t>
        </is>
      </c>
      <c r="P3746">
        <f>TRIM(N3746)</f>
        <v/>
      </c>
    </row>
    <row r="3747">
      <c r="A3747" t="inlineStr">
        <is>
          <t>CO-002522</t>
        </is>
      </c>
      <c r="B3747" t="inlineStr">
        <is>
          <t>SUNAT - AREQUIPA -  RIO SECO</t>
        </is>
      </c>
      <c r="C3747" t="inlineStr">
        <is>
          <t>20131312955</t>
        </is>
      </c>
      <c r="D3747" t="inlineStr">
        <is>
          <t xml:space="preserve">Altura del Km 8.5 de la Carretera Yaura - Arequipa </t>
        </is>
      </c>
      <c r="E3747" t="inlineStr">
        <is>
          <t>Lima, 05 de diciembre del 2025</t>
        </is>
      </c>
      <c r="F3747" t="inlineStr">
        <is>
          <t>la Recarga y mantenimiento</t>
        </is>
      </c>
      <c r="G3747" t="n">
        <v>14</v>
      </c>
      <c r="H3747" t="inlineStr">
        <is>
          <t>15 LBS</t>
        </is>
      </c>
      <c r="I3747" t="n">
        <v>2027</v>
      </c>
      <c r="J3747" t="n">
        <v>2012</v>
      </c>
      <c r="K3747" t="inlineStr">
        <is>
          <t>NOVIEMBRE 2025</t>
        </is>
      </c>
      <c r="L3747" t="inlineStr">
        <is>
          <t>NOVIEMBRE 2026</t>
        </is>
      </c>
      <c r="M3747" t="inlineStr">
        <is>
          <t>CO2 TIPO BC</t>
        </is>
      </c>
      <c r="N3747" t="inlineStr">
        <is>
          <t>1/V794221</t>
        </is>
      </c>
      <c r="O3747" t="inlineStr">
        <is>
          <t>R</t>
        </is>
      </c>
      <c r="P3747">
        <f>TRIM(N3747)</f>
        <v/>
      </c>
    </row>
    <row r="3748">
      <c r="A3748" t="inlineStr">
        <is>
          <t>CO-002523</t>
        </is>
      </c>
      <c r="B3748" t="inlineStr">
        <is>
          <t>SUNAT - AREQUIPA -  RIO SECO</t>
        </is>
      </c>
      <c r="C3748" t="inlineStr">
        <is>
          <t>20131312955</t>
        </is>
      </c>
      <c r="D3748" t="inlineStr">
        <is>
          <t xml:space="preserve">Altura del Km 8.5 de la Carretera Yaura - Arequipa </t>
        </is>
      </c>
      <c r="E3748" t="inlineStr">
        <is>
          <t>Lima, 05 de diciembre del 2025</t>
        </is>
      </c>
      <c r="F3748" t="inlineStr">
        <is>
          <t>la Recarga y mantenimiento</t>
        </is>
      </c>
      <c r="G3748" t="inlineStr">
        <is>
          <t>01</t>
        </is>
      </c>
      <c r="H3748" t="inlineStr">
        <is>
          <t>2.5 GLS</t>
        </is>
      </c>
      <c r="I3748" t="inlineStr">
        <is>
          <t>2026</t>
        </is>
      </c>
      <c r="J3748" t="n">
        <v>2005</v>
      </c>
      <c r="K3748" t="inlineStr">
        <is>
          <t>NOVIEMBRE 2025</t>
        </is>
      </c>
      <c r="L3748" t="inlineStr">
        <is>
          <t>NOVIEMBRE 2026</t>
        </is>
      </c>
      <c r="M3748" t="inlineStr">
        <is>
          <t>H2O PRESURIZADA</t>
        </is>
      </c>
      <c r="N3748" t="inlineStr">
        <is>
          <t>25/AA719126</t>
        </is>
      </c>
      <c r="O3748" t="inlineStr">
        <is>
          <t>R</t>
        </is>
      </c>
      <c r="P3748">
        <f>TRIM(N3748)</f>
        <v/>
      </c>
    </row>
    <row r="3749">
      <c r="A3749" t="inlineStr">
        <is>
          <t>CO-002523</t>
        </is>
      </c>
      <c r="B3749" t="inlineStr">
        <is>
          <t>SUNAT - AREQUIPA -  RIO SECO</t>
        </is>
      </c>
      <c r="C3749" t="inlineStr">
        <is>
          <t>20131312955</t>
        </is>
      </c>
      <c r="D3749" t="inlineStr">
        <is>
          <t xml:space="preserve">Altura del Km 8.5 de la Carretera Yaura - Arequipa </t>
        </is>
      </c>
      <c r="E3749" t="inlineStr">
        <is>
          <t>Lima, 05 de diciembre del 2025</t>
        </is>
      </c>
      <c r="F3749" t="inlineStr">
        <is>
          <t>la Recarga y mantenimiento</t>
        </is>
      </c>
      <c r="G3749" t="inlineStr">
        <is>
          <t>02</t>
        </is>
      </c>
      <c r="H3749" t="inlineStr">
        <is>
          <t>2.5 GLS</t>
        </is>
      </c>
      <c r="I3749" t="inlineStr">
        <is>
          <t>2026</t>
        </is>
      </c>
      <c r="J3749" t="n">
        <v>2005</v>
      </c>
      <c r="K3749" t="inlineStr">
        <is>
          <t>NOVIEMBRE 2025</t>
        </is>
      </c>
      <c r="L3749" t="inlineStr">
        <is>
          <t>NOVIEMBRE 2026</t>
        </is>
      </c>
      <c r="M3749" t="inlineStr">
        <is>
          <t>H2O PRESURIZADA</t>
        </is>
      </c>
      <c r="N3749" t="inlineStr">
        <is>
          <t>13/AA719127</t>
        </is>
      </c>
      <c r="O3749" t="inlineStr">
        <is>
          <t>R</t>
        </is>
      </c>
      <c r="P3749">
        <f>TRIM(N3749)</f>
        <v/>
      </c>
    </row>
    <row r="3750">
      <c r="A3750" t="inlineStr">
        <is>
          <t>CO-002523</t>
        </is>
      </c>
      <c r="B3750" t="inlineStr">
        <is>
          <t>SUNAT - AREQUIPA -  RIO SECO</t>
        </is>
      </c>
      <c r="C3750" t="inlineStr">
        <is>
          <t>20131312955</t>
        </is>
      </c>
      <c r="D3750" t="inlineStr">
        <is>
          <t xml:space="preserve">Altura del Km 8.5 de la Carretera Yaura - Arequipa </t>
        </is>
      </c>
      <c r="E3750" t="inlineStr">
        <is>
          <t>Lima, 05 de diciembre del 2025</t>
        </is>
      </c>
      <c r="F3750" t="inlineStr">
        <is>
          <t>la Recarga y mantenimiento</t>
        </is>
      </c>
      <c r="G3750" t="inlineStr">
        <is>
          <t>03</t>
        </is>
      </c>
      <c r="H3750" t="inlineStr">
        <is>
          <t>2.5 GLS</t>
        </is>
      </c>
      <c r="I3750" t="n">
        <v>2026</v>
      </c>
      <c r="J3750" t="n">
        <v>2004</v>
      </c>
      <c r="K3750" t="inlineStr">
        <is>
          <t>NOVIEMBRE 2025</t>
        </is>
      </c>
      <c r="L3750" t="inlineStr">
        <is>
          <t>NOVIEMBRE 2026</t>
        </is>
      </c>
      <c r="M3750" t="inlineStr">
        <is>
          <t>H2O PRESURIZADA</t>
        </is>
      </c>
      <c r="N3750" t="inlineStr">
        <is>
          <t>11/AA718342</t>
        </is>
      </c>
      <c r="O3750" t="inlineStr">
        <is>
          <t>R</t>
        </is>
      </c>
      <c r="P3750">
        <f>TRIM(N3750)</f>
        <v/>
      </c>
    </row>
    <row r="3751">
      <c r="A3751" t="inlineStr">
        <is>
          <t>CO-002523</t>
        </is>
      </c>
      <c r="B3751" t="inlineStr">
        <is>
          <t>SUNAT - AREQUIPA -  RIO SECO</t>
        </is>
      </c>
      <c r="C3751" t="inlineStr">
        <is>
          <t>20131312955</t>
        </is>
      </c>
      <c r="D3751" t="inlineStr">
        <is>
          <t xml:space="preserve">Altura del Km 8.5 de la Carretera Yaura - Arequipa </t>
        </is>
      </c>
      <c r="E3751" t="inlineStr">
        <is>
          <t>Lima, 05 de diciembre del 2025</t>
        </is>
      </c>
      <c r="F3751" t="inlineStr">
        <is>
          <t>la Recarga y mantenimiento</t>
        </is>
      </c>
      <c r="G3751" t="inlineStr">
        <is>
          <t>04</t>
        </is>
      </c>
      <c r="H3751" t="inlineStr">
        <is>
          <t>2.5 GLS</t>
        </is>
      </c>
      <c r="I3751" t="n">
        <v>2027</v>
      </c>
      <c r="J3751" t="n">
        <v>2005</v>
      </c>
      <c r="K3751" t="inlineStr">
        <is>
          <t>NOVIEMBRE 2025</t>
        </is>
      </c>
      <c r="L3751" t="inlineStr">
        <is>
          <t>NOVIEMBRE 2026</t>
        </is>
      </c>
      <c r="M3751" t="inlineStr">
        <is>
          <t>H2O PRESURIZADA</t>
        </is>
      </c>
      <c r="N3751" t="inlineStr">
        <is>
          <t>10/AA718368</t>
        </is>
      </c>
      <c r="O3751" t="inlineStr">
        <is>
          <t>R</t>
        </is>
      </c>
      <c r="P3751">
        <f>TRIM(N3751)</f>
        <v/>
      </c>
    </row>
    <row r="3752">
      <c r="A3752" t="inlineStr">
        <is>
          <t>CO-002523</t>
        </is>
      </c>
      <c r="B3752" t="inlineStr">
        <is>
          <t>SUNAT - AREQUIPA -  RIO SECO</t>
        </is>
      </c>
      <c r="C3752" t="inlineStr">
        <is>
          <t>20131312955</t>
        </is>
      </c>
      <c r="D3752" t="inlineStr">
        <is>
          <t xml:space="preserve">Altura del Km 8.5 de la Carretera Yaura - Arequipa </t>
        </is>
      </c>
      <c r="E3752" t="inlineStr">
        <is>
          <t>Lima, 05 de diciembre del 2025</t>
        </is>
      </c>
      <c r="F3752" t="inlineStr">
        <is>
          <t>la Recarga y mantenimiento</t>
        </is>
      </c>
      <c r="G3752" t="inlineStr">
        <is>
          <t>05</t>
        </is>
      </c>
      <c r="H3752" t="inlineStr">
        <is>
          <t>2.5 GLS</t>
        </is>
      </c>
      <c r="I3752" t="n">
        <v>2026</v>
      </c>
      <c r="J3752" t="n">
        <v>2005</v>
      </c>
      <c r="K3752" t="inlineStr">
        <is>
          <t>NOVIEMBRE 2025</t>
        </is>
      </c>
      <c r="L3752" t="inlineStr">
        <is>
          <t>NOVIEMBRE 2026</t>
        </is>
      </c>
      <c r="M3752" t="inlineStr">
        <is>
          <t>H2O PRESURIZADA</t>
        </is>
      </c>
      <c r="N3752" t="inlineStr">
        <is>
          <t>5/AA719103</t>
        </is>
      </c>
      <c r="O3752" t="inlineStr">
        <is>
          <t>R</t>
        </is>
      </c>
      <c r="P3752">
        <f>TRIM(N3752)</f>
        <v/>
      </c>
    </row>
    <row r="3753">
      <c r="A3753" t="inlineStr">
        <is>
          <t>CO-002523</t>
        </is>
      </c>
      <c r="B3753" t="inlineStr">
        <is>
          <t>SUNAT - AREQUIPA -  RIO SECO</t>
        </is>
      </c>
      <c r="C3753" t="inlineStr">
        <is>
          <t>20131312955</t>
        </is>
      </c>
      <c r="D3753" t="inlineStr">
        <is>
          <t xml:space="preserve">Altura del Km 8.5 de la Carretera Yaura - Arequipa </t>
        </is>
      </c>
      <c r="E3753" t="inlineStr">
        <is>
          <t>Lima, 05 de diciembre del 2025</t>
        </is>
      </c>
      <c r="F3753" t="inlineStr">
        <is>
          <t>la Recarga y mantenimiento</t>
        </is>
      </c>
      <c r="G3753" t="inlineStr">
        <is>
          <t>06</t>
        </is>
      </c>
      <c r="H3753" t="inlineStr">
        <is>
          <t>2.5 GLS</t>
        </is>
      </c>
      <c r="I3753" t="n">
        <v>2026</v>
      </c>
      <c r="J3753" t="n">
        <v>2005</v>
      </c>
      <c r="K3753" t="inlineStr">
        <is>
          <t>NOVIEMBRE 2025</t>
        </is>
      </c>
      <c r="L3753" t="inlineStr">
        <is>
          <t>NOVIEMBRE 2026</t>
        </is>
      </c>
      <c r="M3753" t="inlineStr">
        <is>
          <t>H2O PRESURIZADA</t>
        </is>
      </c>
      <c r="N3753" t="inlineStr">
        <is>
          <t>2/AA719114</t>
        </is>
      </c>
      <c r="O3753" t="inlineStr">
        <is>
          <t>R</t>
        </is>
      </c>
      <c r="P3753">
        <f>TRIM(N3753)</f>
        <v/>
      </c>
    </row>
    <row r="3754">
      <c r="A3754" t="inlineStr">
        <is>
          <t>CO-002523</t>
        </is>
      </c>
      <c r="B3754" t="inlineStr">
        <is>
          <t>SUNAT - AREQUIPA -  RIO SECO</t>
        </is>
      </c>
      <c r="C3754" t="inlineStr">
        <is>
          <t>20131312955</t>
        </is>
      </c>
      <c r="D3754" t="inlineStr">
        <is>
          <t xml:space="preserve">Altura del Km 8.5 de la Carretera Yaura - Arequipa </t>
        </is>
      </c>
      <c r="E3754" t="inlineStr">
        <is>
          <t>Lima, 05 de diciembre del 2025</t>
        </is>
      </c>
      <c r="F3754" t="inlineStr">
        <is>
          <t>la Recarga y mantenimiento</t>
        </is>
      </c>
      <c r="G3754" t="inlineStr">
        <is>
          <t>07</t>
        </is>
      </c>
      <c r="H3754" t="inlineStr">
        <is>
          <t>2.5 GLS</t>
        </is>
      </c>
      <c r="I3754" t="n">
        <v>2027</v>
      </c>
      <c r="J3754" t="n">
        <v>2005</v>
      </c>
      <c r="K3754" t="inlineStr">
        <is>
          <t>NOVIEMBRE 2025</t>
        </is>
      </c>
      <c r="L3754" t="inlineStr">
        <is>
          <t>NOVIEMBRE 2026</t>
        </is>
      </c>
      <c r="M3754" t="inlineStr">
        <is>
          <t>ESPUMA AFFF</t>
        </is>
      </c>
      <c r="N3754" t="inlineStr">
        <is>
          <t>24/AA795694</t>
        </is>
      </c>
      <c r="O3754" t="inlineStr">
        <is>
          <t>R</t>
        </is>
      </c>
      <c r="P3754">
        <f>TRIM(N3754)</f>
        <v/>
      </c>
    </row>
    <row r="3755">
      <c r="A3755" t="inlineStr">
        <is>
          <t>CO-002523</t>
        </is>
      </c>
      <c r="B3755" t="inlineStr">
        <is>
          <t>SUNAT - AREQUIPA -  RIO SECO</t>
        </is>
      </c>
      <c r="C3755" t="inlineStr">
        <is>
          <t>20131312955</t>
        </is>
      </c>
      <c r="D3755" t="inlineStr">
        <is>
          <t xml:space="preserve">Altura del Km 8.5 de la Carretera Yaura - Arequipa </t>
        </is>
      </c>
      <c r="E3755" t="inlineStr">
        <is>
          <t>Lima, 05 de diciembre del 2025</t>
        </is>
      </c>
      <c r="F3755" t="inlineStr">
        <is>
          <t>la Recarga y mantenimiento</t>
        </is>
      </c>
      <c r="G3755" t="inlineStr">
        <is>
          <t>08</t>
        </is>
      </c>
      <c r="H3755" t="inlineStr">
        <is>
          <t>2.5 GLS</t>
        </is>
      </c>
      <c r="I3755" t="n">
        <v>2027</v>
      </c>
      <c r="J3755" t="n">
        <v>2005</v>
      </c>
      <c r="K3755" t="inlineStr">
        <is>
          <t>NOVIEMBRE 2025</t>
        </is>
      </c>
      <c r="L3755" t="inlineStr">
        <is>
          <t>NOVIEMBRE 2026</t>
        </is>
      </c>
      <c r="M3755" t="inlineStr">
        <is>
          <t>ESPUMA AFFF</t>
        </is>
      </c>
      <c r="N3755" t="inlineStr">
        <is>
          <t>4/AA795694</t>
        </is>
      </c>
      <c r="O3755" t="inlineStr">
        <is>
          <t>R</t>
        </is>
      </c>
      <c r="P3755">
        <f>TRIM(N3755)</f>
        <v/>
      </c>
    </row>
    <row r="3756">
      <c r="A3756" t="inlineStr">
        <is>
          <t>CO-002523</t>
        </is>
      </c>
      <c r="B3756" t="inlineStr">
        <is>
          <t>SUNAT - AREQUIPA -  RIO SECO</t>
        </is>
      </c>
      <c r="C3756" t="inlineStr">
        <is>
          <t>20131312955</t>
        </is>
      </c>
      <c r="D3756" t="inlineStr">
        <is>
          <t xml:space="preserve">Altura del Km 8.5 de la Carretera Yaura - Arequipa </t>
        </is>
      </c>
      <c r="E3756" t="inlineStr">
        <is>
          <t>Lima, 05 de diciembre del 2025</t>
        </is>
      </c>
      <c r="F3756" t="inlineStr">
        <is>
          <t>la Recarga y mantenimiento</t>
        </is>
      </c>
      <c r="G3756" t="inlineStr">
        <is>
          <t xml:space="preserve">09 </t>
        </is>
      </c>
      <c r="H3756" t="inlineStr">
        <is>
          <t>2.5 GLS</t>
        </is>
      </c>
      <c r="I3756" t="n">
        <v>2027</v>
      </c>
      <c r="J3756" t="n">
        <v>2014</v>
      </c>
      <c r="K3756" t="inlineStr">
        <is>
          <t>NOVIEMBRE 2025</t>
        </is>
      </c>
      <c r="L3756" t="inlineStr">
        <is>
          <t>NOVIEMBRE 2026</t>
        </is>
      </c>
      <c r="M3756" t="inlineStr">
        <is>
          <t>ACETATO TIPO K</t>
        </is>
      </c>
      <c r="N3756" t="inlineStr">
        <is>
          <t>S/N/A010228327</t>
        </is>
      </c>
      <c r="O3756" t="inlineStr">
        <is>
          <t>R</t>
        </is>
      </c>
      <c r="P3756">
        <f>TRIM(N3756)</f>
        <v/>
      </c>
    </row>
    <row r="3757">
      <c r="A3757" t="inlineStr">
        <is>
          <t>CO-002524</t>
        </is>
      </c>
      <c r="B3757" t="inlineStr">
        <is>
          <t>SUNAT - AREQUIPA -  RIO SECO</t>
        </is>
      </c>
      <c r="C3757" t="inlineStr">
        <is>
          <t>20131312955</t>
        </is>
      </c>
      <c r="D3757" t="inlineStr">
        <is>
          <t xml:space="preserve">Altura del Km 8.5 de la Carretera Yaura - Arequipa </t>
        </is>
      </c>
      <c r="E3757" t="inlineStr">
        <is>
          <t>Lima, 05 de diciembre del 2025</t>
        </is>
      </c>
      <c r="F3757" t="inlineStr">
        <is>
          <t>la Recarga y mantenimiento</t>
        </is>
      </c>
      <c r="G3757" t="inlineStr">
        <is>
          <t>01</t>
        </is>
      </c>
      <c r="H3757" t="inlineStr">
        <is>
          <t>20 LBS</t>
        </is>
      </c>
      <c r="I3757" t="inlineStr">
        <is>
          <t>2027</t>
        </is>
      </c>
      <c r="J3757" t="inlineStr">
        <is>
          <t>N/R</t>
        </is>
      </c>
      <c r="K3757" t="inlineStr">
        <is>
          <t>NOVIEMBRE 2025</t>
        </is>
      </c>
      <c r="L3757" t="inlineStr">
        <is>
          <t>NOVIEMBRE 2026</t>
        </is>
      </c>
      <c r="M3757" t="inlineStr">
        <is>
          <t xml:space="preserve">P.Q.S.  TIPO ABC  90% </t>
        </is>
      </c>
      <c r="N3757" t="inlineStr">
        <is>
          <t>105/BG318028</t>
        </is>
      </c>
      <c r="O3757" t="inlineStr">
        <is>
          <t>R</t>
        </is>
      </c>
      <c r="P3757">
        <f>TRIM(N3757)</f>
        <v/>
      </c>
    </row>
    <row r="3758">
      <c r="A3758" t="inlineStr">
        <is>
          <t>CO-002524</t>
        </is>
      </c>
      <c r="B3758" t="inlineStr">
        <is>
          <t>SUNAT - AREQUIPA -  RIO SECO</t>
        </is>
      </c>
      <c r="C3758" t="inlineStr">
        <is>
          <t>20131312955</t>
        </is>
      </c>
      <c r="D3758" t="inlineStr">
        <is>
          <t xml:space="preserve">Altura del Km 8.5 de la Carretera Yaura - Arequipa </t>
        </is>
      </c>
      <c r="E3758" t="inlineStr">
        <is>
          <t>Lima, 05 de diciembre del 2025</t>
        </is>
      </c>
      <c r="F3758" t="inlineStr">
        <is>
          <t>la Recarga y mantenimiento</t>
        </is>
      </c>
      <c r="G3758" t="inlineStr">
        <is>
          <t>02</t>
        </is>
      </c>
      <c r="H3758" t="inlineStr">
        <is>
          <t>20 LBS</t>
        </is>
      </c>
      <c r="I3758" t="inlineStr">
        <is>
          <t>2028</t>
        </is>
      </c>
      <c r="J3758" t="inlineStr">
        <is>
          <t>N/R</t>
        </is>
      </c>
      <c r="K3758" t="inlineStr">
        <is>
          <t>NOVIEMBRE 2025</t>
        </is>
      </c>
      <c r="L3758" t="inlineStr">
        <is>
          <t>NOVIEMBRE 2026</t>
        </is>
      </c>
      <c r="M3758" t="inlineStr">
        <is>
          <t xml:space="preserve">P.Q.S.  TIPO ABC  90% </t>
        </is>
      </c>
      <c r="N3758" t="inlineStr">
        <is>
          <t>91/M179776</t>
        </is>
      </c>
      <c r="O3758" t="inlineStr">
        <is>
          <t>R</t>
        </is>
      </c>
      <c r="P3758">
        <f>TRIM(N3758)</f>
        <v/>
      </c>
    </row>
    <row r="3759">
      <c r="A3759" t="inlineStr">
        <is>
          <t>CO-002524</t>
        </is>
      </c>
      <c r="B3759" t="inlineStr">
        <is>
          <t>SUNAT - AREQUIPA -  RIO SECO</t>
        </is>
      </c>
      <c r="C3759" t="inlineStr">
        <is>
          <t>20131312955</t>
        </is>
      </c>
      <c r="D3759" t="inlineStr">
        <is>
          <t xml:space="preserve">Altura del Km 8.5 de la Carretera Yaura - Arequipa </t>
        </is>
      </c>
      <c r="E3759" t="inlineStr">
        <is>
          <t>Lima, 05 de diciembre del 2025</t>
        </is>
      </c>
      <c r="F3759" t="inlineStr">
        <is>
          <t>la Recarga y mantenimiento</t>
        </is>
      </c>
      <c r="G3759" t="inlineStr">
        <is>
          <t>03</t>
        </is>
      </c>
      <c r="H3759" t="inlineStr">
        <is>
          <t>20 LBS</t>
        </is>
      </c>
      <c r="I3759" t="n">
        <v>2026</v>
      </c>
      <c r="J3759" t="n">
        <v>2005</v>
      </c>
      <c r="K3759" t="inlineStr">
        <is>
          <t>NOVIEMBRE 2025</t>
        </is>
      </c>
      <c r="L3759" t="inlineStr">
        <is>
          <t>NOVIEMBRE 2026</t>
        </is>
      </c>
      <c r="M3759" t="inlineStr">
        <is>
          <t xml:space="preserve">P.Q.S.  TIPO ABC  90% </t>
        </is>
      </c>
      <c r="N3759" t="inlineStr">
        <is>
          <t>61/XK338021</t>
        </is>
      </c>
      <c r="O3759" t="inlineStr">
        <is>
          <t>R</t>
        </is>
      </c>
      <c r="P3759">
        <f>TRIM(N3759)</f>
        <v/>
      </c>
    </row>
    <row r="3760">
      <c r="A3760" t="inlineStr">
        <is>
          <t>CO-002524</t>
        </is>
      </c>
      <c r="B3760" t="inlineStr">
        <is>
          <t>SUNAT - AREQUIPA -  RIO SECO</t>
        </is>
      </c>
      <c r="C3760" t="inlineStr">
        <is>
          <t>20131312955</t>
        </is>
      </c>
      <c r="D3760" t="inlineStr">
        <is>
          <t xml:space="preserve">Altura del Km 8.5 de la Carretera Yaura - Arequipa </t>
        </is>
      </c>
      <c r="E3760" t="inlineStr">
        <is>
          <t>Lima, 05 de diciembre del 2025</t>
        </is>
      </c>
      <c r="F3760" t="inlineStr">
        <is>
          <t>la Recarga y mantenimiento</t>
        </is>
      </c>
      <c r="G3760" t="inlineStr">
        <is>
          <t>04</t>
        </is>
      </c>
      <c r="H3760" t="inlineStr">
        <is>
          <t>20 LBS</t>
        </is>
      </c>
      <c r="I3760" t="n">
        <v>2027</v>
      </c>
      <c r="J3760" t="n">
        <v>2005</v>
      </c>
      <c r="K3760" t="inlineStr">
        <is>
          <t>NOVIEMBRE 2025</t>
        </is>
      </c>
      <c r="L3760" t="inlineStr">
        <is>
          <t>NOVIEMBRE 2026</t>
        </is>
      </c>
      <c r="M3760" t="inlineStr">
        <is>
          <t xml:space="preserve">P.Q.S.  TIPO ABC  90% </t>
        </is>
      </c>
      <c r="N3760" t="inlineStr">
        <is>
          <t>58/XK338105</t>
        </is>
      </c>
      <c r="O3760" t="inlineStr">
        <is>
          <t>R</t>
        </is>
      </c>
      <c r="P3760">
        <f>TRIM(N3760)</f>
        <v/>
      </c>
    </row>
    <row r="3761">
      <c r="A3761" t="inlineStr">
        <is>
          <t>CO-002524</t>
        </is>
      </c>
      <c r="B3761" t="inlineStr">
        <is>
          <t>SUNAT - AREQUIPA -  RIO SECO</t>
        </is>
      </c>
      <c r="C3761" t="inlineStr">
        <is>
          <t>20131312955</t>
        </is>
      </c>
      <c r="D3761" t="inlineStr">
        <is>
          <t xml:space="preserve">Altura del Km 8.5 de la Carretera Yaura - Arequipa </t>
        </is>
      </c>
      <c r="E3761" t="inlineStr">
        <is>
          <t>Lima, 05 de diciembre del 2025</t>
        </is>
      </c>
      <c r="F3761" t="inlineStr">
        <is>
          <t>la Recarga y mantenimiento</t>
        </is>
      </c>
      <c r="G3761" t="inlineStr">
        <is>
          <t>05</t>
        </is>
      </c>
      <c r="H3761" t="inlineStr">
        <is>
          <t>20 LBS</t>
        </is>
      </c>
      <c r="I3761" t="n">
        <v>2027</v>
      </c>
      <c r="J3761" t="n">
        <v>2005</v>
      </c>
      <c r="K3761" t="inlineStr">
        <is>
          <t>NOVIEMBRE 2025</t>
        </is>
      </c>
      <c r="L3761" t="inlineStr">
        <is>
          <t>NOVIEMBRE 2026</t>
        </is>
      </c>
      <c r="M3761" t="inlineStr">
        <is>
          <t xml:space="preserve">P.Q.S.  TIPO ABC  90% </t>
        </is>
      </c>
      <c r="N3761" t="inlineStr">
        <is>
          <t>9/XC264363</t>
        </is>
      </c>
      <c r="O3761" t="inlineStr">
        <is>
          <t>R</t>
        </is>
      </c>
      <c r="P3761">
        <f>TRIM(N3761)</f>
        <v/>
      </c>
    </row>
    <row r="3762">
      <c r="A3762" t="inlineStr">
        <is>
          <t>CO-002524</t>
        </is>
      </c>
      <c r="B3762" t="inlineStr">
        <is>
          <t>SUNAT - AREQUIPA -  RIO SECO</t>
        </is>
      </c>
      <c r="C3762" t="inlineStr">
        <is>
          <t>20131312955</t>
        </is>
      </c>
      <c r="D3762" t="inlineStr">
        <is>
          <t xml:space="preserve">Altura del Km 8.5 de la Carretera Yaura - Arequipa </t>
        </is>
      </c>
      <c r="E3762" t="inlineStr">
        <is>
          <t>Lima, 05 de diciembre del 2025</t>
        </is>
      </c>
      <c r="F3762" t="inlineStr">
        <is>
          <t>la Recarga y mantenimiento</t>
        </is>
      </c>
      <c r="G3762" t="inlineStr">
        <is>
          <t>06</t>
        </is>
      </c>
      <c r="H3762" t="inlineStr">
        <is>
          <t>20 LBS</t>
        </is>
      </c>
      <c r="I3762" t="n">
        <v>2027</v>
      </c>
      <c r="J3762" t="n">
        <v>2005</v>
      </c>
      <c r="K3762" t="inlineStr">
        <is>
          <t>NOVIEMBRE 2025</t>
        </is>
      </c>
      <c r="L3762" t="inlineStr">
        <is>
          <t>NOVIEMBRE 2026</t>
        </is>
      </c>
      <c r="M3762" t="inlineStr">
        <is>
          <t xml:space="preserve">P.Q.S.  TIPO ABC  90% </t>
        </is>
      </c>
      <c r="N3762" t="inlineStr">
        <is>
          <t>8/XC264292</t>
        </is>
      </c>
      <c r="O3762" t="inlineStr">
        <is>
          <t>R</t>
        </is>
      </c>
      <c r="P3762">
        <f>TRIM(N3762)</f>
        <v/>
      </c>
    </row>
    <row r="3763">
      <c r="A3763" t="inlineStr">
        <is>
          <t>CO-002524</t>
        </is>
      </c>
      <c r="B3763" t="inlineStr">
        <is>
          <t>SUNAT - AREQUIPA -  RIO SECO</t>
        </is>
      </c>
      <c r="C3763" t="inlineStr">
        <is>
          <t>20131312955</t>
        </is>
      </c>
      <c r="D3763" t="inlineStr">
        <is>
          <t xml:space="preserve">Altura del Km 8.5 de la Carretera Yaura - Arequipa </t>
        </is>
      </c>
      <c r="E3763" t="inlineStr">
        <is>
          <t>Lima, 05 de diciembre del 2025</t>
        </is>
      </c>
      <c r="F3763" t="inlineStr">
        <is>
          <t>la Recarga y mantenimiento</t>
        </is>
      </c>
      <c r="G3763" t="inlineStr">
        <is>
          <t>07</t>
        </is>
      </c>
      <c r="H3763" t="inlineStr">
        <is>
          <t>30 LBS</t>
        </is>
      </c>
      <c r="I3763" t="n">
        <v>2026</v>
      </c>
      <c r="J3763" t="n">
        <v>2013</v>
      </c>
      <c r="K3763" t="inlineStr">
        <is>
          <t>NOVIEMBRE 2025</t>
        </is>
      </c>
      <c r="L3763" t="inlineStr">
        <is>
          <t>NOVIEMBRE 2026</t>
        </is>
      </c>
      <c r="M3763" t="inlineStr">
        <is>
          <t xml:space="preserve">P.Q.S.  TIPO ABC  90% </t>
        </is>
      </c>
      <c r="N3763" t="inlineStr">
        <is>
          <t>108/BR574146</t>
        </is>
      </c>
      <c r="O3763" t="inlineStr">
        <is>
          <t>R</t>
        </is>
      </c>
      <c r="P3763">
        <f>TRIM(N3763)</f>
        <v/>
      </c>
    </row>
    <row r="3764">
      <c r="A3764" t="inlineStr">
        <is>
          <t>CO-002524</t>
        </is>
      </c>
      <c r="B3764" t="inlineStr">
        <is>
          <t>SUNAT - AREQUIPA -  RIO SECO</t>
        </is>
      </c>
      <c r="C3764" t="inlineStr">
        <is>
          <t>20131312955</t>
        </is>
      </c>
      <c r="D3764" t="inlineStr">
        <is>
          <t xml:space="preserve">Altura del Km 8.5 de la Carretera Yaura - Arequipa </t>
        </is>
      </c>
      <c r="E3764" t="inlineStr">
        <is>
          <t>Lima, 05 de diciembre del 2025</t>
        </is>
      </c>
      <c r="F3764" t="inlineStr">
        <is>
          <t>la Recarga y mantenimiento</t>
        </is>
      </c>
      <c r="G3764" t="inlineStr">
        <is>
          <t xml:space="preserve">08 </t>
        </is>
      </c>
      <c r="H3764" t="inlineStr">
        <is>
          <t>30 LBS</t>
        </is>
      </c>
      <c r="I3764" t="n">
        <v>2026</v>
      </c>
      <c r="J3764" t="n">
        <v>2013</v>
      </c>
      <c r="K3764" t="inlineStr">
        <is>
          <t>NOVIEMBRE 2025</t>
        </is>
      </c>
      <c r="L3764" t="inlineStr">
        <is>
          <t>NOVIEMBRE 2026</t>
        </is>
      </c>
      <c r="M3764" t="inlineStr">
        <is>
          <t xml:space="preserve">P.Q.S.  TIPO ABC  90% </t>
        </is>
      </c>
      <c r="N3764" t="inlineStr">
        <is>
          <t>107/BR574154</t>
        </is>
      </c>
      <c r="O3764" t="inlineStr">
        <is>
          <t>R</t>
        </is>
      </c>
      <c r="P3764">
        <f>TRIM(N3764)</f>
        <v/>
      </c>
    </row>
    <row r="3765">
      <c r="A3765" t="inlineStr">
        <is>
          <t>CO-002524</t>
        </is>
      </c>
      <c r="B3765" t="inlineStr">
        <is>
          <t>SUNAT - AREQUIPA -  RIO SECO</t>
        </is>
      </c>
      <c r="C3765" t="inlineStr">
        <is>
          <t>20131312955</t>
        </is>
      </c>
      <c r="D3765" t="inlineStr">
        <is>
          <t xml:space="preserve">Altura del Km 8.5 de la Carretera Yaura - Arequipa </t>
        </is>
      </c>
      <c r="E3765" t="inlineStr">
        <is>
          <t>Lima, 05 de diciembre del 2025</t>
        </is>
      </c>
      <c r="F3765" t="inlineStr">
        <is>
          <t>la Recarga y mantenimiento</t>
        </is>
      </c>
      <c r="G3765" t="inlineStr">
        <is>
          <t>09</t>
        </is>
      </c>
      <c r="H3765" t="inlineStr">
        <is>
          <t>30 LBS</t>
        </is>
      </c>
      <c r="I3765" t="n">
        <v>2026</v>
      </c>
      <c r="J3765" t="n">
        <v>2013</v>
      </c>
      <c r="K3765" t="inlineStr">
        <is>
          <t>NOVIEMBRE 2025</t>
        </is>
      </c>
      <c r="L3765" t="inlineStr">
        <is>
          <t>NOVIEMBRE 2026</t>
        </is>
      </c>
      <c r="M3765" t="inlineStr">
        <is>
          <t xml:space="preserve">P.Q.S.  TIPO ABC  90% </t>
        </is>
      </c>
      <c r="N3765" t="inlineStr">
        <is>
          <t>103/BR574419</t>
        </is>
      </c>
      <c r="O3765" t="inlineStr">
        <is>
          <t>R</t>
        </is>
      </c>
      <c r="P3765">
        <f>TRIM(N3765)</f>
        <v/>
      </c>
    </row>
    <row r="3766">
      <c r="A3766" t="inlineStr">
        <is>
          <t>CO-002524</t>
        </is>
      </c>
      <c r="B3766" t="inlineStr">
        <is>
          <t>SUNAT - AREQUIPA -  RIO SECO</t>
        </is>
      </c>
      <c r="C3766" t="inlineStr">
        <is>
          <t>20131312955</t>
        </is>
      </c>
      <c r="D3766" t="inlineStr">
        <is>
          <t xml:space="preserve">Altura del Km 8.5 de la Carretera Yaura - Arequipa </t>
        </is>
      </c>
      <c r="E3766" t="inlineStr">
        <is>
          <t>Lima, 05 de diciembre del 2025</t>
        </is>
      </c>
      <c r="F3766" t="inlineStr">
        <is>
          <t>la Recarga y mantenimiento</t>
        </is>
      </c>
      <c r="G3766" t="n">
        <v>10</v>
      </c>
      <c r="H3766" t="inlineStr">
        <is>
          <t>30 LBS</t>
        </is>
      </c>
      <c r="I3766" t="n">
        <v>2026</v>
      </c>
      <c r="J3766" t="n">
        <v>2013</v>
      </c>
      <c r="K3766" t="inlineStr">
        <is>
          <t>NOVIEMBRE 2025</t>
        </is>
      </c>
      <c r="L3766" t="inlineStr">
        <is>
          <t>NOVIEMBRE 2026</t>
        </is>
      </c>
      <c r="M3766" t="inlineStr">
        <is>
          <t xml:space="preserve">P.Q.S.  TIPO ABC  90% </t>
        </is>
      </c>
      <c r="N3766" t="inlineStr">
        <is>
          <t>102/BR574160</t>
        </is>
      </c>
      <c r="O3766" t="inlineStr">
        <is>
          <t>R</t>
        </is>
      </c>
      <c r="P3766">
        <f>TRIM(N3766)</f>
        <v/>
      </c>
    </row>
    <row r="3767">
      <c r="A3767" t="inlineStr">
        <is>
          <t>CO-002524</t>
        </is>
      </c>
      <c r="B3767" t="inlineStr">
        <is>
          <t>SUNAT - AREQUIPA -  RIO SECO</t>
        </is>
      </c>
      <c r="C3767" t="inlineStr">
        <is>
          <t>20131312955</t>
        </is>
      </c>
      <c r="D3767" t="inlineStr">
        <is>
          <t xml:space="preserve">Altura del Km 8.5 de la Carretera Yaura - Arequipa </t>
        </is>
      </c>
      <c r="E3767" t="inlineStr">
        <is>
          <t>Lima, 05 de diciembre del 2025</t>
        </is>
      </c>
      <c r="F3767" t="inlineStr">
        <is>
          <t>la Recarga y mantenimiento</t>
        </is>
      </c>
      <c r="G3767" t="n">
        <v>11</v>
      </c>
      <c r="H3767" t="inlineStr">
        <is>
          <t>30 LBS</t>
        </is>
      </c>
      <c r="I3767" t="n">
        <v>2026</v>
      </c>
      <c r="J3767" t="n">
        <v>2013</v>
      </c>
      <c r="K3767" t="inlineStr">
        <is>
          <t>NOVIEMBRE 2025</t>
        </is>
      </c>
      <c r="L3767" t="inlineStr">
        <is>
          <t>NOVIEMBRE 2026</t>
        </is>
      </c>
      <c r="M3767" t="inlineStr">
        <is>
          <t xml:space="preserve">P.Q.S.  TIPO ABC  90% </t>
        </is>
      </c>
      <c r="N3767" t="inlineStr">
        <is>
          <t>96/BR574151</t>
        </is>
      </c>
      <c r="O3767" t="inlineStr">
        <is>
          <t>R</t>
        </is>
      </c>
      <c r="P3767">
        <f>TRIM(N3767)</f>
        <v/>
      </c>
    </row>
    <row r="3768">
      <c r="A3768" t="inlineStr">
        <is>
          <t>CO-002524</t>
        </is>
      </c>
      <c r="B3768" t="inlineStr">
        <is>
          <t>SUNAT - AREQUIPA -  RIO SECO</t>
        </is>
      </c>
      <c r="C3768" t="inlineStr">
        <is>
          <t>20131312955</t>
        </is>
      </c>
      <c r="D3768" t="inlineStr">
        <is>
          <t xml:space="preserve">Altura del Km 8.5 de la Carretera Yaura - Arequipa </t>
        </is>
      </c>
      <c r="E3768" t="inlineStr">
        <is>
          <t>Lima, 05 de diciembre del 2025</t>
        </is>
      </c>
      <c r="F3768" t="inlineStr">
        <is>
          <t>la Recarga y mantenimiento</t>
        </is>
      </c>
      <c r="G3768" t="n">
        <v>12</v>
      </c>
      <c r="H3768" t="inlineStr">
        <is>
          <t>30 LBS</t>
        </is>
      </c>
      <c r="I3768" t="n">
        <v>2026</v>
      </c>
      <c r="J3768" t="n">
        <v>2013</v>
      </c>
      <c r="K3768" t="inlineStr">
        <is>
          <t>NOVIEMBRE 2025</t>
        </is>
      </c>
      <c r="L3768" t="inlineStr">
        <is>
          <t>NOVIEMBRE 2026</t>
        </is>
      </c>
      <c r="M3768" t="inlineStr">
        <is>
          <t xml:space="preserve">P.Q.S.  TIPO ABC  90% </t>
        </is>
      </c>
      <c r="N3768" t="inlineStr">
        <is>
          <t>92/BR574149</t>
        </is>
      </c>
      <c r="O3768" t="inlineStr">
        <is>
          <t>R</t>
        </is>
      </c>
      <c r="P3768">
        <f>TRIM(N3768)</f>
        <v/>
      </c>
    </row>
    <row r="3769">
      <c r="A3769" t="inlineStr">
        <is>
          <t>CO-002524</t>
        </is>
      </c>
      <c r="B3769" t="inlineStr">
        <is>
          <t>SUNAT - AREQUIPA -  RIO SECO</t>
        </is>
      </c>
      <c r="C3769" t="inlineStr">
        <is>
          <t>20131312955</t>
        </is>
      </c>
      <c r="D3769" t="inlineStr">
        <is>
          <t xml:space="preserve">Altura del Km 8.5 de la Carretera Yaura - Arequipa </t>
        </is>
      </c>
      <c r="E3769" t="inlineStr">
        <is>
          <t>Lima, 05 de diciembre del 2025</t>
        </is>
      </c>
      <c r="F3769" t="inlineStr">
        <is>
          <t>la Recarga y mantenimiento</t>
        </is>
      </c>
      <c r="G3769" t="n">
        <v>13</v>
      </c>
      <c r="H3769" t="inlineStr">
        <is>
          <t>30 LBS</t>
        </is>
      </c>
      <c r="I3769" t="n">
        <v>2026</v>
      </c>
      <c r="J3769" t="n">
        <v>2013</v>
      </c>
      <c r="K3769" t="inlineStr">
        <is>
          <t>NOVIEMBRE 2025</t>
        </is>
      </c>
      <c r="L3769" t="inlineStr">
        <is>
          <t>NOVIEMBRE 2026</t>
        </is>
      </c>
      <c r="M3769" t="inlineStr">
        <is>
          <t xml:space="preserve">P.Q.S.  TIPO ABC  90% </t>
        </is>
      </c>
      <c r="N3769" t="inlineStr">
        <is>
          <t>85/BR574432</t>
        </is>
      </c>
      <c r="O3769" t="inlineStr">
        <is>
          <t>R</t>
        </is>
      </c>
      <c r="P3769">
        <f>TRIM(N3769)</f>
        <v/>
      </c>
    </row>
    <row r="3770">
      <c r="A3770" t="inlineStr">
        <is>
          <t>CO-002524</t>
        </is>
      </c>
      <c r="B3770" t="inlineStr">
        <is>
          <t>SUNAT - AREQUIPA -  RIO SECO</t>
        </is>
      </c>
      <c r="C3770" t="inlineStr">
        <is>
          <t>20131312955</t>
        </is>
      </c>
      <c r="D3770" t="inlineStr">
        <is>
          <t xml:space="preserve">Altura del Km 8.5 de la Carretera Yaura - Arequipa </t>
        </is>
      </c>
      <c r="E3770" t="inlineStr">
        <is>
          <t>Lima, 05 de diciembre del 2025</t>
        </is>
      </c>
      <c r="F3770" t="inlineStr">
        <is>
          <t>la Recarga y mantenimiento</t>
        </is>
      </c>
      <c r="G3770" t="n">
        <v>14</v>
      </c>
      <c r="H3770" t="inlineStr">
        <is>
          <t>30 LBS</t>
        </is>
      </c>
      <c r="I3770" t="n">
        <v>2026</v>
      </c>
      <c r="J3770" t="n">
        <v>2013</v>
      </c>
      <c r="K3770" t="inlineStr">
        <is>
          <t>NOVIEMBRE 2025</t>
        </is>
      </c>
      <c r="L3770" t="inlineStr">
        <is>
          <t>NOVIEMBRE 2026</t>
        </is>
      </c>
      <c r="M3770" t="inlineStr">
        <is>
          <t xml:space="preserve">P.Q.S.  TIPO ABC  90% </t>
        </is>
      </c>
      <c r="N3770" t="inlineStr">
        <is>
          <t>84/BR574142</t>
        </is>
      </c>
      <c r="O3770" t="inlineStr">
        <is>
          <t>R</t>
        </is>
      </c>
      <c r="P3770">
        <f>TRIM(N3770)</f>
        <v/>
      </c>
    </row>
    <row r="3771">
      <c r="A3771" t="inlineStr">
        <is>
          <t>CO-002524</t>
        </is>
      </c>
      <c r="B3771" t="inlineStr">
        <is>
          <t>SUNAT - AREQUIPA -  RIO SECO</t>
        </is>
      </c>
      <c r="C3771" t="inlineStr">
        <is>
          <t>20131312955</t>
        </is>
      </c>
      <c r="D3771" t="inlineStr">
        <is>
          <t xml:space="preserve">Altura del Km 8.5 de la Carretera Yaura - Arequipa </t>
        </is>
      </c>
      <c r="E3771" t="inlineStr">
        <is>
          <t>Lima, 05 de diciembre del 2025</t>
        </is>
      </c>
      <c r="F3771" t="inlineStr">
        <is>
          <t>la Recarga y mantenimiento</t>
        </is>
      </c>
      <c r="G3771" t="n">
        <v>15</v>
      </c>
      <c r="H3771" t="inlineStr">
        <is>
          <t>30 LBS</t>
        </is>
      </c>
      <c r="I3771" t="n">
        <v>2026</v>
      </c>
      <c r="J3771" t="n">
        <v>2013</v>
      </c>
      <c r="K3771" t="inlineStr">
        <is>
          <t>NOVIEMBRE 2025</t>
        </is>
      </c>
      <c r="L3771" t="inlineStr">
        <is>
          <t>NOVIEMBRE 2026</t>
        </is>
      </c>
      <c r="M3771" t="inlineStr">
        <is>
          <t xml:space="preserve">P.Q.S.  TIPO ABC  90% </t>
        </is>
      </c>
      <c r="N3771" t="inlineStr">
        <is>
          <t>80/BK574451</t>
        </is>
      </c>
      <c r="O3771" t="inlineStr">
        <is>
          <t>R</t>
        </is>
      </c>
      <c r="P3771">
        <f>TRIM(N3771)</f>
        <v/>
      </c>
    </row>
    <row r="3772">
      <c r="A3772" t="inlineStr">
        <is>
          <t>CO-002525</t>
        </is>
      </c>
      <c r="B3772" t="inlineStr">
        <is>
          <t>SUNAT - AREQUIPA -  RIO SECO</t>
        </is>
      </c>
      <c r="C3772" t="inlineStr">
        <is>
          <t>20131312955</t>
        </is>
      </c>
      <c r="D3772" t="inlineStr">
        <is>
          <t xml:space="preserve">Altura del Km 8.5 de la Carretera Yaura - Arequipa </t>
        </is>
      </c>
      <c r="E3772" t="inlineStr">
        <is>
          <t>Lima, 05 de diciembre del 2025</t>
        </is>
      </c>
      <c r="F3772" t="inlineStr">
        <is>
          <t>la Recarga y mantenimiento</t>
        </is>
      </c>
      <c r="G3772" t="inlineStr">
        <is>
          <t>01</t>
        </is>
      </c>
      <c r="H3772" t="inlineStr">
        <is>
          <t>30 LBS</t>
        </is>
      </c>
      <c r="I3772" t="inlineStr">
        <is>
          <t>2028</t>
        </is>
      </c>
      <c r="J3772" t="n">
        <v>2013</v>
      </c>
      <c r="K3772" t="inlineStr">
        <is>
          <t>NOVIEMBRE 2025</t>
        </is>
      </c>
      <c r="L3772" t="inlineStr">
        <is>
          <t>NOVIEMBRE 2026</t>
        </is>
      </c>
      <c r="M3772" t="inlineStr">
        <is>
          <t xml:space="preserve">P.Q.S.  TIPO ABC  90% </t>
        </is>
      </c>
      <c r="N3772" t="inlineStr">
        <is>
          <t>79/BR574177</t>
        </is>
      </c>
      <c r="O3772" t="inlineStr">
        <is>
          <t>R</t>
        </is>
      </c>
      <c r="P3772">
        <f>TRIM(N3772)</f>
        <v/>
      </c>
    </row>
    <row r="3773">
      <c r="A3773" t="inlineStr">
        <is>
          <t>CO-002525</t>
        </is>
      </c>
      <c r="B3773" t="inlineStr">
        <is>
          <t>SUNAT - AREQUIPA -  RIO SECO</t>
        </is>
      </c>
      <c r="C3773" t="inlineStr">
        <is>
          <t>20131312955</t>
        </is>
      </c>
      <c r="D3773" t="inlineStr">
        <is>
          <t xml:space="preserve">Altura del Km 8.5 de la Carretera Yaura - Arequipa </t>
        </is>
      </c>
      <c r="E3773" t="inlineStr">
        <is>
          <t>Lima, 05 de diciembre del 2025</t>
        </is>
      </c>
      <c r="F3773" t="inlineStr">
        <is>
          <t>la Recarga y mantenimiento</t>
        </is>
      </c>
      <c r="G3773" t="inlineStr">
        <is>
          <t>02</t>
        </is>
      </c>
      <c r="H3773" t="inlineStr">
        <is>
          <t>30 LBS</t>
        </is>
      </c>
      <c r="I3773" t="inlineStr">
        <is>
          <t>2026</t>
        </is>
      </c>
      <c r="J3773" t="n">
        <v>2013</v>
      </c>
      <c r="K3773" t="inlineStr">
        <is>
          <t>NOVIEMBRE 2025</t>
        </is>
      </c>
      <c r="L3773" t="inlineStr">
        <is>
          <t>NOVIEMBRE 2026</t>
        </is>
      </c>
      <c r="M3773" t="inlineStr">
        <is>
          <t xml:space="preserve">P.Q.S.  TIPO ABC  90% </t>
        </is>
      </c>
      <c r="N3773" t="inlineStr">
        <is>
          <t>76/BR574133</t>
        </is>
      </c>
      <c r="O3773" t="inlineStr">
        <is>
          <t>R</t>
        </is>
      </c>
      <c r="P3773">
        <f>TRIM(N3773)</f>
        <v/>
      </c>
    </row>
    <row r="3774">
      <c r="A3774" t="inlineStr">
        <is>
          <t>CO-002525</t>
        </is>
      </c>
      <c r="B3774" t="inlineStr">
        <is>
          <t>SUNAT - AREQUIPA -  RIO SECO</t>
        </is>
      </c>
      <c r="C3774" t="inlineStr">
        <is>
          <t>20131312955</t>
        </is>
      </c>
      <c r="D3774" t="inlineStr">
        <is>
          <t xml:space="preserve">Altura del Km 8.5 de la Carretera Yaura - Arequipa </t>
        </is>
      </c>
      <c r="E3774" t="inlineStr">
        <is>
          <t>Lima, 05 de diciembre del 2025</t>
        </is>
      </c>
      <c r="F3774" t="inlineStr">
        <is>
          <t>la Recarga y mantenimiento</t>
        </is>
      </c>
      <c r="G3774" t="inlineStr">
        <is>
          <t>03</t>
        </is>
      </c>
      <c r="H3774" t="inlineStr">
        <is>
          <t>30  LBS</t>
        </is>
      </c>
      <c r="I3774" t="n">
        <v>2026</v>
      </c>
      <c r="J3774" t="n">
        <v>2013</v>
      </c>
      <c r="K3774" t="inlineStr">
        <is>
          <t>NOVIEMBRE 2025</t>
        </is>
      </c>
      <c r="L3774" t="inlineStr">
        <is>
          <t>NOVIEMBRE 2026</t>
        </is>
      </c>
      <c r="M3774" t="inlineStr">
        <is>
          <t xml:space="preserve">P.Q.S.  TIPO ABC  90% </t>
        </is>
      </c>
      <c r="N3774" t="inlineStr">
        <is>
          <t>75/BR574147</t>
        </is>
      </c>
      <c r="O3774" t="inlineStr">
        <is>
          <t>R</t>
        </is>
      </c>
      <c r="P3774">
        <f>TRIM(N3774)</f>
        <v/>
      </c>
    </row>
    <row r="3775">
      <c r="A3775" t="inlineStr">
        <is>
          <t>CO-002525</t>
        </is>
      </c>
      <c r="B3775" t="inlineStr">
        <is>
          <t>SUNAT - AREQUIPA -  RIO SECO</t>
        </is>
      </c>
      <c r="C3775" t="inlineStr">
        <is>
          <t>20131312955</t>
        </is>
      </c>
      <c r="D3775" t="inlineStr">
        <is>
          <t xml:space="preserve">Altura del Km 8.5 de la Carretera Yaura - Arequipa </t>
        </is>
      </c>
      <c r="E3775" t="inlineStr">
        <is>
          <t>Lima, 05 de diciembre del 2025</t>
        </is>
      </c>
      <c r="F3775" t="inlineStr">
        <is>
          <t>la Recarga y mantenimiento</t>
        </is>
      </c>
      <c r="G3775" t="inlineStr">
        <is>
          <t>04</t>
        </is>
      </c>
      <c r="H3775" t="inlineStr">
        <is>
          <t>30 LBS</t>
        </is>
      </c>
      <c r="I3775" t="n">
        <v>2026</v>
      </c>
      <c r="J3775" t="n">
        <v>2013</v>
      </c>
      <c r="K3775" t="inlineStr">
        <is>
          <t>NOVIEMBRE 2025</t>
        </is>
      </c>
      <c r="L3775" t="inlineStr">
        <is>
          <t>NOVIEMBRE 2026</t>
        </is>
      </c>
      <c r="M3775" t="inlineStr">
        <is>
          <t xml:space="preserve">P.Q.S.  TIPO ABC  90% </t>
        </is>
      </c>
      <c r="N3775" t="inlineStr">
        <is>
          <t>74/BR574138</t>
        </is>
      </c>
      <c r="O3775" t="inlineStr">
        <is>
          <t>R</t>
        </is>
      </c>
      <c r="P3775">
        <f>TRIM(N3775)</f>
        <v/>
      </c>
    </row>
    <row r="3776">
      <c r="A3776" t="inlineStr">
        <is>
          <t>CO-002525</t>
        </is>
      </c>
      <c r="B3776" t="inlineStr">
        <is>
          <t>SUNAT - AREQUIPA -  RIO SECO</t>
        </is>
      </c>
      <c r="C3776" t="inlineStr">
        <is>
          <t>20131312955</t>
        </is>
      </c>
      <c r="D3776" t="inlineStr">
        <is>
          <t xml:space="preserve">Altura del Km 8.5 de la Carretera Yaura - Arequipa </t>
        </is>
      </c>
      <c r="E3776" t="inlineStr">
        <is>
          <t>Lima, 05 de diciembre del 2025</t>
        </is>
      </c>
      <c r="F3776" t="inlineStr">
        <is>
          <t>la Recarga y mantenimiento</t>
        </is>
      </c>
      <c r="G3776" t="inlineStr">
        <is>
          <t>05</t>
        </is>
      </c>
      <c r="H3776" t="inlineStr">
        <is>
          <t>30 LBS</t>
        </is>
      </c>
      <c r="I3776" t="n">
        <v>2026</v>
      </c>
      <c r="J3776" t="n">
        <v>2013</v>
      </c>
      <c r="K3776" t="inlineStr">
        <is>
          <t>NOVIEMBRE 2025</t>
        </is>
      </c>
      <c r="L3776" t="inlineStr">
        <is>
          <t>NOVIEMBRE 2026</t>
        </is>
      </c>
      <c r="M3776" t="inlineStr">
        <is>
          <t xml:space="preserve">P.Q.S.  TIPO ABC  90% </t>
        </is>
      </c>
      <c r="N3776" t="inlineStr">
        <is>
          <t>72/BR574148</t>
        </is>
      </c>
      <c r="O3776" t="inlineStr">
        <is>
          <t>R</t>
        </is>
      </c>
      <c r="P3776">
        <f>TRIM(N3776)</f>
        <v/>
      </c>
    </row>
    <row r="3777">
      <c r="A3777" t="inlineStr">
        <is>
          <t>CO-002525</t>
        </is>
      </c>
      <c r="B3777" t="inlineStr">
        <is>
          <t>SUNAT - AREQUIPA -  RIO SECO</t>
        </is>
      </c>
      <c r="C3777" t="inlineStr">
        <is>
          <t>20131312955</t>
        </is>
      </c>
      <c r="D3777" t="inlineStr">
        <is>
          <t xml:space="preserve">Altura del Km 8.5 de la Carretera Yaura - Arequipa </t>
        </is>
      </c>
      <c r="E3777" t="inlineStr">
        <is>
          <t>Lima, 05 de diciembre del 2025</t>
        </is>
      </c>
      <c r="F3777" t="inlineStr">
        <is>
          <t>la Recarga y mantenimiento</t>
        </is>
      </c>
      <c r="G3777" t="inlineStr">
        <is>
          <t>06</t>
        </is>
      </c>
      <c r="H3777" t="inlineStr">
        <is>
          <t>30 LBS</t>
        </is>
      </c>
      <c r="I3777" t="n">
        <v>2026</v>
      </c>
      <c r="J3777" t="n">
        <v>2013</v>
      </c>
      <c r="K3777" t="inlineStr">
        <is>
          <t>NOVIEMBRE 2025</t>
        </is>
      </c>
      <c r="L3777" t="inlineStr">
        <is>
          <t>NOVIEMBRE 2026</t>
        </is>
      </c>
      <c r="M3777" t="inlineStr">
        <is>
          <t xml:space="preserve">P.Q.S.  TIPO ABC  90% </t>
        </is>
      </c>
      <c r="N3777" t="inlineStr">
        <is>
          <t>71/BR572139</t>
        </is>
      </c>
      <c r="O3777" t="inlineStr">
        <is>
          <t>R</t>
        </is>
      </c>
      <c r="P3777">
        <f>TRIM(N3777)</f>
        <v/>
      </c>
    </row>
    <row r="3778">
      <c r="A3778" t="inlineStr">
        <is>
          <t>CO-002525</t>
        </is>
      </c>
      <c r="B3778" t="inlineStr">
        <is>
          <t>SUNAT - AREQUIPA -  RIO SECO</t>
        </is>
      </c>
      <c r="C3778" t="inlineStr">
        <is>
          <t>20131312955</t>
        </is>
      </c>
      <c r="D3778" t="inlineStr">
        <is>
          <t xml:space="preserve">Altura del Km 8.5 de la Carretera Yaura - Arequipa </t>
        </is>
      </c>
      <c r="E3778" t="inlineStr">
        <is>
          <t>Lima, 05 de diciembre del 2025</t>
        </is>
      </c>
      <c r="F3778" t="inlineStr">
        <is>
          <t>la Recarga y mantenimiento</t>
        </is>
      </c>
      <c r="G3778" t="inlineStr">
        <is>
          <t>07</t>
        </is>
      </c>
      <c r="H3778" t="inlineStr">
        <is>
          <t>30 LBS</t>
        </is>
      </c>
      <c r="I3778" t="n">
        <v>2026</v>
      </c>
      <c r="J3778" t="n">
        <v>2013</v>
      </c>
      <c r="K3778" t="inlineStr">
        <is>
          <t>NOVIEMBRE 2025</t>
        </is>
      </c>
      <c r="L3778" t="inlineStr">
        <is>
          <t>NOVIEMBRE 2026</t>
        </is>
      </c>
      <c r="M3778" t="inlineStr">
        <is>
          <t xml:space="preserve">P.Q.S.  TIPO ABC  90% </t>
        </is>
      </c>
      <c r="N3778" t="inlineStr">
        <is>
          <t>70/BR574447</t>
        </is>
      </c>
      <c r="O3778" t="inlineStr">
        <is>
          <t>R</t>
        </is>
      </c>
      <c r="P3778">
        <f>TRIM(N3778)</f>
        <v/>
      </c>
    </row>
    <row r="3779">
      <c r="A3779" t="inlineStr">
        <is>
          <t>CO-002525</t>
        </is>
      </c>
      <c r="B3779" t="inlineStr">
        <is>
          <t>SUNAT - AREQUIPA -  RIO SECO</t>
        </is>
      </c>
      <c r="C3779" t="inlineStr">
        <is>
          <t>20131312955</t>
        </is>
      </c>
      <c r="D3779" t="inlineStr">
        <is>
          <t xml:space="preserve">Altura del Km 8.5 de la Carretera Yaura - Arequipa </t>
        </is>
      </c>
      <c r="E3779" t="inlineStr">
        <is>
          <t>Lima, 05 de diciembre del 2025</t>
        </is>
      </c>
      <c r="F3779" t="inlineStr">
        <is>
          <t>la Recarga y mantenimiento</t>
        </is>
      </c>
      <c r="G3779" t="inlineStr">
        <is>
          <t xml:space="preserve">08 </t>
        </is>
      </c>
      <c r="H3779" t="inlineStr">
        <is>
          <t>30 LBS</t>
        </is>
      </c>
      <c r="I3779" t="n">
        <v>2026</v>
      </c>
      <c r="J3779" t="n">
        <v>2013</v>
      </c>
      <c r="K3779" t="inlineStr">
        <is>
          <t>NOVIEMBRE 2025</t>
        </is>
      </c>
      <c r="L3779" t="inlineStr">
        <is>
          <t>NOVIEMBRE 2026</t>
        </is>
      </c>
      <c r="M3779" t="inlineStr">
        <is>
          <t xml:space="preserve">P.Q.S.  TIPO ABC  90% </t>
        </is>
      </c>
      <c r="N3779" t="inlineStr">
        <is>
          <t>69/BR574152</t>
        </is>
      </c>
      <c r="O3779" t="inlineStr">
        <is>
          <t>R</t>
        </is>
      </c>
      <c r="P3779">
        <f>TRIM(N3779)</f>
        <v/>
      </c>
    </row>
    <row r="3780">
      <c r="A3780" t="inlineStr">
        <is>
          <t>CO-002525</t>
        </is>
      </c>
      <c r="B3780" t="inlineStr">
        <is>
          <t>SUNAT - AREQUIPA -  RIO SECO</t>
        </is>
      </c>
      <c r="C3780" t="inlineStr">
        <is>
          <t>20131312955</t>
        </is>
      </c>
      <c r="D3780" t="inlineStr">
        <is>
          <t xml:space="preserve">Altura del Km 8.5 de la Carretera Yaura - Arequipa </t>
        </is>
      </c>
      <c r="E3780" t="inlineStr">
        <is>
          <t>Lima, 05 de diciembre del 2025</t>
        </is>
      </c>
      <c r="F3780" t="inlineStr">
        <is>
          <t>la Recarga y mantenimiento</t>
        </is>
      </c>
      <c r="G3780" t="inlineStr">
        <is>
          <t>09</t>
        </is>
      </c>
      <c r="H3780" t="inlineStr">
        <is>
          <t>30 LBS</t>
        </is>
      </c>
      <c r="I3780" t="n">
        <v>2026</v>
      </c>
      <c r="J3780" t="n">
        <v>2013</v>
      </c>
      <c r="K3780" t="inlineStr">
        <is>
          <t>NOVIEMBRE 2025</t>
        </is>
      </c>
      <c r="L3780" t="inlineStr">
        <is>
          <t>NOVIEMBRE 2026</t>
        </is>
      </c>
      <c r="M3780" t="inlineStr">
        <is>
          <t xml:space="preserve">P.Q.S.  TIPO ABC  90% </t>
        </is>
      </c>
      <c r="N3780" t="inlineStr">
        <is>
          <t>68/BR574422</t>
        </is>
      </c>
      <c r="O3780" t="inlineStr">
        <is>
          <t>R</t>
        </is>
      </c>
      <c r="P3780">
        <f>TRIM(N3780)</f>
        <v/>
      </c>
    </row>
    <row r="3781">
      <c r="A3781" t="inlineStr">
        <is>
          <t>CO-002525</t>
        </is>
      </c>
      <c r="B3781" t="inlineStr">
        <is>
          <t>SUNAT - AREQUIPA -  RIO SECO</t>
        </is>
      </c>
      <c r="C3781" t="inlineStr">
        <is>
          <t>20131312955</t>
        </is>
      </c>
      <c r="D3781" t="inlineStr">
        <is>
          <t xml:space="preserve">Altura del Km 8.5 de la Carretera Yaura - Arequipa </t>
        </is>
      </c>
      <c r="E3781" t="inlineStr">
        <is>
          <t>Lima, 05 de diciembre del 2025</t>
        </is>
      </c>
      <c r="F3781" t="inlineStr">
        <is>
          <t>la Recarga y mantenimiento</t>
        </is>
      </c>
      <c r="G3781" t="n">
        <v>10</v>
      </c>
      <c r="H3781" t="inlineStr">
        <is>
          <t>30 LBS</t>
        </is>
      </c>
      <c r="I3781" t="n">
        <v>2026</v>
      </c>
      <c r="J3781" t="n">
        <v>2013</v>
      </c>
      <c r="K3781" t="inlineStr">
        <is>
          <t>NOVIEMBRE 2025</t>
        </is>
      </c>
      <c r="L3781" t="inlineStr">
        <is>
          <t>NOVIEMBRE 2026</t>
        </is>
      </c>
      <c r="M3781" t="inlineStr">
        <is>
          <t xml:space="preserve">P.Q.S.  TIPO ABC  90% </t>
        </is>
      </c>
      <c r="N3781" t="inlineStr">
        <is>
          <t>67/BR574135</t>
        </is>
      </c>
      <c r="O3781" t="inlineStr">
        <is>
          <t>R</t>
        </is>
      </c>
      <c r="P3781">
        <f>TRIM(N3781)</f>
        <v/>
      </c>
    </row>
    <row r="3782">
      <c r="A3782" t="inlineStr">
        <is>
          <t>CO-002525</t>
        </is>
      </c>
      <c r="B3782" t="inlineStr">
        <is>
          <t>SUNAT - AREQUIPA -  RIO SECO</t>
        </is>
      </c>
      <c r="C3782" t="inlineStr">
        <is>
          <t>20131312955</t>
        </is>
      </c>
      <c r="D3782" t="inlineStr">
        <is>
          <t xml:space="preserve">Altura del Km 8.5 de la Carretera Yaura - Arequipa </t>
        </is>
      </c>
      <c r="E3782" t="inlineStr">
        <is>
          <t>Lima, 05 de diciembre del 2025</t>
        </is>
      </c>
      <c r="F3782" t="inlineStr">
        <is>
          <t>la Recarga y mantenimiento</t>
        </is>
      </c>
      <c r="G3782" t="n">
        <v>11</v>
      </c>
      <c r="H3782" t="inlineStr">
        <is>
          <t>30 LBS</t>
        </is>
      </c>
      <c r="I3782" t="n">
        <v>2026</v>
      </c>
      <c r="J3782" t="n">
        <v>2013</v>
      </c>
      <c r="K3782" t="inlineStr">
        <is>
          <t>NOVIEMBRE 2025</t>
        </is>
      </c>
      <c r="L3782" t="inlineStr">
        <is>
          <t>NOVIEMBRE 2026</t>
        </is>
      </c>
      <c r="M3782" t="inlineStr">
        <is>
          <t xml:space="preserve">P.Q.S.  TIPO ABC  90% </t>
        </is>
      </c>
      <c r="N3782" t="inlineStr">
        <is>
          <t>66/BR574137</t>
        </is>
      </c>
      <c r="O3782" t="inlineStr">
        <is>
          <t>R</t>
        </is>
      </c>
      <c r="P3782">
        <f>TRIM(N3782)</f>
        <v/>
      </c>
    </row>
    <row r="3783">
      <c r="A3783" t="inlineStr">
        <is>
          <t>CO-002525</t>
        </is>
      </c>
      <c r="B3783" t="inlineStr">
        <is>
          <t>SUNAT - AREQUIPA -  RIO SECO</t>
        </is>
      </c>
      <c r="C3783" t="inlineStr">
        <is>
          <t>20131312955</t>
        </is>
      </c>
      <c r="D3783" t="inlineStr">
        <is>
          <t xml:space="preserve">Altura del Km 8.5 de la Carretera Yaura - Arequipa </t>
        </is>
      </c>
      <c r="E3783" t="inlineStr">
        <is>
          <t>Lima, 05 de diciembre del 2025</t>
        </is>
      </c>
      <c r="F3783" t="inlineStr">
        <is>
          <t>la Recarga y mantenimiento</t>
        </is>
      </c>
      <c r="G3783" t="n">
        <v>12</v>
      </c>
      <c r="H3783" t="inlineStr">
        <is>
          <t>30 LBS</t>
        </is>
      </c>
      <c r="I3783" t="n">
        <v>2026</v>
      </c>
      <c r="J3783" t="n">
        <v>2013</v>
      </c>
      <c r="K3783" t="inlineStr">
        <is>
          <t>NOVIEMBRE 2025</t>
        </is>
      </c>
      <c r="L3783" t="inlineStr">
        <is>
          <t>NOVIEMBRE 2026</t>
        </is>
      </c>
      <c r="M3783" t="inlineStr">
        <is>
          <t xml:space="preserve">P.Q.S.  TIPO ABC  90% </t>
        </is>
      </c>
      <c r="N3783" t="inlineStr">
        <is>
          <t>63/BR574417</t>
        </is>
      </c>
      <c r="O3783" t="inlineStr">
        <is>
          <t>R</t>
        </is>
      </c>
      <c r="P3783">
        <f>TRIM(N3783)</f>
        <v/>
      </c>
    </row>
    <row r="3784">
      <c r="A3784" t="inlineStr">
        <is>
          <t>CO-002525</t>
        </is>
      </c>
      <c r="B3784" t="inlineStr">
        <is>
          <t>SUNAT - AREQUIPA -  RIO SECO</t>
        </is>
      </c>
      <c r="C3784" t="inlineStr">
        <is>
          <t>20131312955</t>
        </is>
      </c>
      <c r="D3784" t="inlineStr">
        <is>
          <t xml:space="preserve">Altura del Km 8.5 de la Carretera Yaura - Arequipa </t>
        </is>
      </c>
      <c r="E3784" t="inlineStr">
        <is>
          <t>Lima, 05 de diciembre del 2025</t>
        </is>
      </c>
      <c r="F3784" t="inlineStr">
        <is>
          <t>la Recarga y mantenimiento</t>
        </is>
      </c>
      <c r="G3784" t="n">
        <v>13</v>
      </c>
      <c r="H3784" t="inlineStr">
        <is>
          <t>30 LBS</t>
        </is>
      </c>
      <c r="I3784" t="n">
        <v>2026</v>
      </c>
      <c r="J3784" t="n">
        <v>2013</v>
      </c>
      <c r="K3784" t="inlineStr">
        <is>
          <t>NOVIEMBRE 2025</t>
        </is>
      </c>
      <c r="L3784" t="inlineStr">
        <is>
          <t>NOVIEMBRE 2026</t>
        </is>
      </c>
      <c r="M3784" t="inlineStr">
        <is>
          <t xml:space="preserve">P.Q.S.  TIPO ABC  90% </t>
        </is>
      </c>
      <c r="N3784" t="inlineStr">
        <is>
          <t>60/BR574232</t>
        </is>
      </c>
      <c r="O3784" t="inlineStr">
        <is>
          <t>R</t>
        </is>
      </c>
      <c r="P3784">
        <f>TRIM(N3784)</f>
        <v/>
      </c>
    </row>
    <row r="3785">
      <c r="A3785" t="inlineStr">
        <is>
          <t>CO-002525</t>
        </is>
      </c>
      <c r="B3785" t="inlineStr">
        <is>
          <t>SUNAT - AREQUIPA -  RIO SECO</t>
        </is>
      </c>
      <c r="C3785" t="inlineStr">
        <is>
          <t>20131312955</t>
        </is>
      </c>
      <c r="D3785" t="inlineStr">
        <is>
          <t xml:space="preserve">Altura del Km 8.5 de la Carretera Yaura - Arequipa </t>
        </is>
      </c>
      <c r="E3785" t="inlineStr">
        <is>
          <t>Lima, 05 de diciembre del 2025</t>
        </is>
      </c>
      <c r="F3785" t="inlineStr">
        <is>
          <t>la Recarga y mantenimiento</t>
        </is>
      </c>
      <c r="G3785" t="n">
        <v>14</v>
      </c>
      <c r="H3785" t="inlineStr">
        <is>
          <t>30 LBS</t>
        </is>
      </c>
      <c r="I3785" t="n">
        <v>2026</v>
      </c>
      <c r="J3785" t="n">
        <v>2013</v>
      </c>
      <c r="K3785" t="inlineStr">
        <is>
          <t>NOVIEMBRE 2025</t>
        </is>
      </c>
      <c r="L3785" t="inlineStr">
        <is>
          <t>NOVIEMBRE 2026</t>
        </is>
      </c>
      <c r="M3785" t="inlineStr">
        <is>
          <t xml:space="preserve">P.Q.S.  TIPO ABC  90% </t>
        </is>
      </c>
      <c r="N3785" t="inlineStr">
        <is>
          <t>54/BR574203</t>
        </is>
      </c>
      <c r="O3785" t="inlineStr">
        <is>
          <t>R</t>
        </is>
      </c>
      <c r="P3785">
        <f>TRIM(N3785)</f>
        <v/>
      </c>
    </row>
    <row r="3786">
      <c r="A3786" t="inlineStr">
        <is>
          <t>CO-002525</t>
        </is>
      </c>
      <c r="B3786" t="inlineStr">
        <is>
          <t>SUNAT - AREQUIPA -  RIO SECO</t>
        </is>
      </c>
      <c r="C3786" t="inlineStr">
        <is>
          <t>20131312955</t>
        </is>
      </c>
      <c r="D3786" t="inlineStr">
        <is>
          <t xml:space="preserve">Altura del Km 8.5 de la Carretera Yaura - Arequipa </t>
        </is>
      </c>
      <c r="E3786" t="inlineStr">
        <is>
          <t>Lima, 05 de diciembre del 2025</t>
        </is>
      </c>
      <c r="F3786" t="inlineStr">
        <is>
          <t>la Recarga y mantenimiento</t>
        </is>
      </c>
      <c r="G3786" t="n">
        <v>15</v>
      </c>
      <c r="H3786" t="inlineStr">
        <is>
          <t>30 LBS</t>
        </is>
      </c>
      <c r="I3786" t="n">
        <v>2026</v>
      </c>
      <c r="J3786" t="n">
        <v>2013</v>
      </c>
      <c r="K3786" t="inlineStr">
        <is>
          <t>NOVIEMBRE 2025</t>
        </is>
      </c>
      <c r="L3786" t="inlineStr">
        <is>
          <t>NOVIEMBRE 2026</t>
        </is>
      </c>
      <c r="M3786" t="inlineStr">
        <is>
          <t xml:space="preserve">P.Q.S.  TIPO ABC  90% </t>
        </is>
      </c>
      <c r="N3786" t="inlineStr">
        <is>
          <t>37/BR574416</t>
        </is>
      </c>
      <c r="O3786" t="inlineStr">
        <is>
          <t>R</t>
        </is>
      </c>
      <c r="P3786">
        <f>TRIM(N3786)</f>
        <v/>
      </c>
    </row>
    <row r="3787">
      <c r="A3787" t="inlineStr">
        <is>
          <t>CO-002526</t>
        </is>
      </c>
      <c r="B3787" t="inlineStr">
        <is>
          <t>SUNAT - AREQUIPA -  RIO SECO</t>
        </is>
      </c>
      <c r="C3787" t="inlineStr">
        <is>
          <t>20131312955</t>
        </is>
      </c>
      <c r="D3787" t="inlineStr">
        <is>
          <t xml:space="preserve">Altura del Km 8.5 de la Carretera Yaura - Arequipa </t>
        </is>
      </c>
      <c r="E3787" t="inlineStr">
        <is>
          <t>Lima, 05 de diciembre del 2025</t>
        </is>
      </c>
      <c r="F3787" t="inlineStr">
        <is>
          <t>la Recarga y mantenimiento</t>
        </is>
      </c>
      <c r="G3787" t="inlineStr">
        <is>
          <t>01</t>
        </is>
      </c>
      <c r="H3787" t="inlineStr">
        <is>
          <t>30 LBS</t>
        </is>
      </c>
      <c r="I3787" t="inlineStr">
        <is>
          <t>2026</t>
        </is>
      </c>
      <c r="J3787" t="n">
        <v>2013</v>
      </c>
      <c r="K3787" t="inlineStr">
        <is>
          <t>NOVIEMBRE 2025</t>
        </is>
      </c>
      <c r="L3787" t="inlineStr">
        <is>
          <t>NOVIEMBRE 2026</t>
        </is>
      </c>
      <c r="M3787" t="inlineStr">
        <is>
          <t xml:space="preserve">P.Q.S.  TIPO ABC  90% </t>
        </is>
      </c>
      <c r="N3787" t="inlineStr">
        <is>
          <t>26/BR574215</t>
        </is>
      </c>
      <c r="O3787" t="inlineStr">
        <is>
          <t>R</t>
        </is>
      </c>
      <c r="P3787">
        <f>TRIM(N3787)</f>
        <v/>
      </c>
    </row>
    <row r="3788">
      <c r="A3788" t="inlineStr">
        <is>
          <t>CO-002526</t>
        </is>
      </c>
      <c r="B3788" t="inlineStr">
        <is>
          <t>SUNAT - AREQUIPA -  RIO SECO</t>
        </is>
      </c>
      <c r="C3788" t="inlineStr">
        <is>
          <t>20131312955</t>
        </is>
      </c>
      <c r="D3788" t="inlineStr">
        <is>
          <t xml:space="preserve">Altura del Km 8.5 de la Carretera Yaura - Arequipa </t>
        </is>
      </c>
      <c r="E3788" t="inlineStr">
        <is>
          <t>Lima, 05 de diciembre del 2025</t>
        </is>
      </c>
      <c r="F3788" t="inlineStr">
        <is>
          <t>la Recarga y mantenimiento</t>
        </is>
      </c>
      <c r="G3788" t="inlineStr">
        <is>
          <t>02</t>
        </is>
      </c>
      <c r="H3788" t="inlineStr">
        <is>
          <t>30 LBS</t>
        </is>
      </c>
      <c r="I3788" t="inlineStr">
        <is>
          <t>2028</t>
        </is>
      </c>
      <c r="J3788" t="n">
        <v>2013</v>
      </c>
      <c r="K3788" t="inlineStr">
        <is>
          <t>NOVIEMBRE 2025</t>
        </is>
      </c>
      <c r="L3788" t="inlineStr">
        <is>
          <t>NOVIEMBRE 2026</t>
        </is>
      </c>
      <c r="M3788" t="inlineStr">
        <is>
          <t xml:space="preserve">P.Q.S.  TIPO ABC  90% </t>
        </is>
      </c>
      <c r="N3788" t="inlineStr">
        <is>
          <t>7/BR572303</t>
        </is>
      </c>
      <c r="O3788" t="inlineStr">
        <is>
          <t>R</t>
        </is>
      </c>
      <c r="P3788">
        <f>TRIM(N3788)</f>
        <v/>
      </c>
    </row>
    <row r="3789">
      <c r="A3789" t="inlineStr">
        <is>
          <t>CO-002526</t>
        </is>
      </c>
      <c r="B3789" t="inlineStr">
        <is>
          <t>SUNAT - AREQUIPA -  RIO SECO</t>
        </is>
      </c>
      <c r="C3789" t="inlineStr">
        <is>
          <t>20131312955</t>
        </is>
      </c>
      <c r="D3789" t="inlineStr">
        <is>
          <t xml:space="preserve">Altura del Km 8.5 de la Carretera Yaura - Arequipa </t>
        </is>
      </c>
      <c r="E3789" t="inlineStr">
        <is>
          <t>Lima, 05 de diciembre del 2025</t>
        </is>
      </c>
      <c r="F3789" t="inlineStr">
        <is>
          <t>la Recarga y mantenimiento</t>
        </is>
      </c>
      <c r="G3789" t="inlineStr">
        <is>
          <t>03</t>
        </is>
      </c>
      <c r="H3789" t="inlineStr">
        <is>
          <t>04 KG</t>
        </is>
      </c>
      <c r="I3789" t="n">
        <v>2029</v>
      </c>
      <c r="J3789" t="n">
        <v>2007</v>
      </c>
      <c r="K3789" t="inlineStr">
        <is>
          <t>NOVIEMBRE 2025</t>
        </is>
      </c>
      <c r="L3789" t="inlineStr">
        <is>
          <t>NOVIEMBRE 2026</t>
        </is>
      </c>
      <c r="M3789" t="inlineStr">
        <is>
          <t xml:space="preserve">P.Q.S.  TIPO ABC  90% </t>
        </is>
      </c>
      <c r="N3789" t="inlineStr">
        <is>
          <t>S/N/000352</t>
        </is>
      </c>
      <c r="O3789" t="inlineStr">
        <is>
          <t>R</t>
        </is>
      </c>
      <c r="P3789">
        <f>TRIM(N3789)</f>
        <v/>
      </c>
    </row>
    <row r="3790">
      <c r="A3790" t="inlineStr">
        <is>
          <t>CO-002526</t>
        </is>
      </c>
      <c r="B3790" t="inlineStr">
        <is>
          <t>SUNAT - AREQUIPA -  RIO SECO</t>
        </is>
      </c>
      <c r="C3790" t="inlineStr">
        <is>
          <t>20131312955</t>
        </is>
      </c>
      <c r="D3790" t="inlineStr">
        <is>
          <t xml:space="preserve">Altura del Km 8.5 de la Carretera Yaura - Arequipa </t>
        </is>
      </c>
      <c r="E3790" t="inlineStr">
        <is>
          <t>Lima, 05 de diciembre del 2025</t>
        </is>
      </c>
      <c r="F3790" t="inlineStr">
        <is>
          <t>la Recarga y mantenimiento</t>
        </is>
      </c>
      <c r="G3790" t="inlineStr">
        <is>
          <t>04</t>
        </is>
      </c>
      <c r="H3790" t="inlineStr">
        <is>
          <t>125 LBS</t>
        </is>
      </c>
      <c r="I3790" t="n">
        <v>2026</v>
      </c>
      <c r="J3790" t="n">
        <v>2012</v>
      </c>
      <c r="K3790" t="inlineStr">
        <is>
          <t>NOVIEMBRE 2025</t>
        </is>
      </c>
      <c r="L3790" t="inlineStr">
        <is>
          <t>NOVIEMBRE 2026</t>
        </is>
      </c>
      <c r="M3790" t="inlineStr">
        <is>
          <t xml:space="preserve">P.Q.S.  TIPO ABC  90% </t>
        </is>
      </c>
      <c r="N3790" t="inlineStr">
        <is>
          <t>77/BH86057</t>
        </is>
      </c>
      <c r="O3790" t="inlineStr">
        <is>
          <t>R</t>
        </is>
      </c>
      <c r="P3790">
        <f>TRIM(N3790)</f>
        <v/>
      </c>
    </row>
    <row r="3791">
      <c r="A3791" t="inlineStr">
        <is>
          <t>CO-002526</t>
        </is>
      </c>
      <c r="B3791" t="inlineStr">
        <is>
          <t>SUNAT - AREQUIPA -  RIO SECO</t>
        </is>
      </c>
      <c r="C3791" t="inlineStr">
        <is>
          <t>20131312955</t>
        </is>
      </c>
      <c r="D3791" t="inlineStr">
        <is>
          <t xml:space="preserve">Altura del Km 8.5 de la Carretera Yaura - Arequipa </t>
        </is>
      </c>
      <c r="E3791" t="inlineStr">
        <is>
          <t>Lima, 05 de diciembre del 2025</t>
        </is>
      </c>
      <c r="F3791" t="inlineStr">
        <is>
          <t>la Recarga y mantenimiento</t>
        </is>
      </c>
      <c r="G3791" t="inlineStr">
        <is>
          <t>05</t>
        </is>
      </c>
      <c r="H3791" t="inlineStr">
        <is>
          <t>125 LBS</t>
        </is>
      </c>
      <c r="I3791" t="n">
        <v>2027</v>
      </c>
      <c r="J3791" t="n">
        <v>2012</v>
      </c>
      <c r="K3791" t="inlineStr">
        <is>
          <t>NOVIEMBRE 2025</t>
        </is>
      </c>
      <c r="L3791" t="inlineStr">
        <is>
          <t>NOVIEMBRE 2026</t>
        </is>
      </c>
      <c r="M3791" t="inlineStr">
        <is>
          <t xml:space="preserve">P.Q.S.  TIPO ABC  90% </t>
        </is>
      </c>
      <c r="N3791" t="inlineStr">
        <is>
          <t>73/BH86049</t>
        </is>
      </c>
      <c r="O3791" t="inlineStr">
        <is>
          <t>R</t>
        </is>
      </c>
      <c r="P3791">
        <f>TRIM(N3791)</f>
        <v/>
      </c>
    </row>
    <row r="3792">
      <c r="A3792" t="inlineStr">
        <is>
          <t>CO-002526</t>
        </is>
      </c>
      <c r="B3792" t="inlineStr">
        <is>
          <t>SUNAT - AREQUIPA -  RIO SECO</t>
        </is>
      </c>
      <c r="C3792" t="inlineStr">
        <is>
          <t>20131312955</t>
        </is>
      </c>
      <c r="D3792" t="inlineStr">
        <is>
          <t xml:space="preserve">Altura del Km 8.5 de la Carretera Yaura - Arequipa </t>
        </is>
      </c>
      <c r="E3792" t="inlineStr">
        <is>
          <t>Lima, 05 de diciembre del 2025</t>
        </is>
      </c>
      <c r="F3792" t="inlineStr">
        <is>
          <t>la Recarga y mantenimiento</t>
        </is>
      </c>
      <c r="G3792" t="inlineStr">
        <is>
          <t>06</t>
        </is>
      </c>
      <c r="H3792" t="inlineStr">
        <is>
          <t>125 LBS</t>
        </is>
      </c>
      <c r="I3792" t="n">
        <v>2027</v>
      </c>
      <c r="J3792" t="n">
        <v>2012</v>
      </c>
      <c r="K3792" t="inlineStr">
        <is>
          <t>NOVIEMBRE 2025</t>
        </is>
      </c>
      <c r="L3792" t="inlineStr">
        <is>
          <t>NOVIEMBRE 2026</t>
        </is>
      </c>
      <c r="M3792" t="inlineStr">
        <is>
          <t xml:space="preserve">P.Q.S.  TIPO ABC  90% </t>
        </is>
      </c>
      <c r="N3792" t="inlineStr">
        <is>
          <t>55/BH86043</t>
        </is>
      </c>
      <c r="O3792" t="inlineStr">
        <is>
          <t>R</t>
        </is>
      </c>
      <c r="P3792">
        <f>TRIM(N3792)</f>
        <v/>
      </c>
    </row>
    <row r="3793">
      <c r="A3793" t="inlineStr">
        <is>
          <t>CO-002527</t>
        </is>
      </c>
      <c r="B3793" t="inlineStr">
        <is>
          <t xml:space="preserve">SUNAT - AREQUIPA -  RIO SECO VEHICULO </t>
        </is>
      </c>
      <c r="C3793" t="inlineStr">
        <is>
          <t>20131312955</t>
        </is>
      </c>
      <c r="D3793" t="inlineStr">
        <is>
          <t xml:space="preserve">Altura del Km 8.5 de la Carretera Yaura - Arequipa </t>
        </is>
      </c>
      <c r="E3793" t="inlineStr">
        <is>
          <t>Lima, 05 de diciembre del 2025</t>
        </is>
      </c>
      <c r="F3793" t="inlineStr">
        <is>
          <t>la Recarga y mantenimiento</t>
        </is>
      </c>
      <c r="G3793" t="inlineStr">
        <is>
          <t>01</t>
        </is>
      </c>
      <c r="H3793" t="inlineStr">
        <is>
          <t>12 KG</t>
        </is>
      </c>
      <c r="I3793" t="inlineStr">
        <is>
          <t>2028</t>
        </is>
      </c>
      <c r="J3793" t="n">
        <v>2008</v>
      </c>
      <c r="K3793" t="inlineStr">
        <is>
          <t>NOVIEMBRE 2025</t>
        </is>
      </c>
      <c r="L3793" t="inlineStr">
        <is>
          <t>NOVIEMBRE 2026</t>
        </is>
      </c>
      <c r="M3793" t="inlineStr">
        <is>
          <t xml:space="preserve">P.Q.S.  TIPO ABC  90% </t>
        </is>
      </c>
      <c r="N3793" t="inlineStr">
        <is>
          <t>S/N/S/N</t>
        </is>
      </c>
      <c r="O3793" t="inlineStr">
        <is>
          <t>R</t>
        </is>
      </c>
      <c r="P3793">
        <f>TRIM(N3793)</f>
        <v/>
      </c>
    </row>
    <row r="3794">
      <c r="A3794" t="inlineStr">
        <is>
          <t>CO-002528</t>
        </is>
      </c>
      <c r="B3794" t="inlineStr">
        <is>
          <t>SUNAT - AREQUIPA - CAMANÁ</t>
        </is>
      </c>
      <c r="C3794" t="inlineStr">
        <is>
          <t>20131312955</t>
        </is>
      </c>
      <c r="D3794" t="inlineStr">
        <is>
          <t>Carretera Panamericana Sur  Km. 846+600 / Localidad de Alto Cerrillos La Pampa</t>
        </is>
      </c>
      <c r="E3794" t="inlineStr">
        <is>
          <t>Lima, 05 de diciembre del 2025</t>
        </is>
      </c>
      <c r="F3794" t="inlineStr">
        <is>
          <t>la Recarga y mantenimiento</t>
        </is>
      </c>
      <c r="G3794" t="inlineStr">
        <is>
          <t>01</t>
        </is>
      </c>
      <c r="H3794" t="inlineStr">
        <is>
          <t>10 LBS</t>
        </is>
      </c>
      <c r="I3794" t="inlineStr">
        <is>
          <t>2028</t>
        </is>
      </c>
      <c r="J3794" t="n">
        <v>2011</v>
      </c>
      <c r="K3794" t="inlineStr">
        <is>
          <t>NOVIEMBRE 2025</t>
        </is>
      </c>
      <c r="L3794" t="inlineStr">
        <is>
          <t>NOVIEMBRE 2026</t>
        </is>
      </c>
      <c r="M3794" t="inlineStr">
        <is>
          <t>CO2 /TIPO BC</t>
        </is>
      </c>
      <c r="N3794" t="inlineStr">
        <is>
          <t>01/W810176</t>
        </is>
      </c>
      <c r="O3794" t="inlineStr">
        <is>
          <t>R</t>
        </is>
      </c>
      <c r="P3794">
        <f>TRIM(N3794)</f>
        <v/>
      </c>
    </row>
    <row r="3795">
      <c r="A3795" t="inlineStr">
        <is>
          <t>CO-002528</t>
        </is>
      </c>
      <c r="B3795" t="inlineStr">
        <is>
          <t>SUNAT - AREQUIPA - CAMANÁ</t>
        </is>
      </c>
      <c r="C3795" t="inlineStr">
        <is>
          <t>20131312955</t>
        </is>
      </c>
      <c r="D3795" t="inlineStr">
        <is>
          <t>Carretera Panamericana Sur  Km. 846+600 / Localidad de Alto Cerrillos La Pampa</t>
        </is>
      </c>
      <c r="E3795" t="inlineStr">
        <is>
          <t>Lima, 05 de diciembre del 2025</t>
        </is>
      </c>
      <c r="F3795" t="inlineStr">
        <is>
          <t>la Recarga y mantenimiento</t>
        </is>
      </c>
      <c r="G3795" t="inlineStr">
        <is>
          <t>02</t>
        </is>
      </c>
      <c r="H3795" t="inlineStr">
        <is>
          <t>20 LBS</t>
        </is>
      </c>
      <c r="I3795" t="inlineStr">
        <is>
          <t>2027</t>
        </is>
      </c>
      <c r="J3795" t="n">
        <v>2011</v>
      </c>
      <c r="K3795" t="inlineStr">
        <is>
          <t>NOVIEMBRE 2025</t>
        </is>
      </c>
      <c r="L3795" t="inlineStr">
        <is>
          <t>NOVIEMBRE 2026</t>
        </is>
      </c>
      <c r="M3795" t="inlineStr">
        <is>
          <t>P.Q.S. / ABC AL 90%</t>
        </is>
      </c>
      <c r="N3795" t="inlineStr">
        <is>
          <t>02/V825378</t>
        </is>
      </c>
      <c r="O3795" t="inlineStr">
        <is>
          <t>R</t>
        </is>
      </c>
      <c r="P3795">
        <f>TRIM(N3795)</f>
        <v/>
      </c>
    </row>
    <row r="3796">
      <c r="A3796" t="inlineStr">
        <is>
          <t>CO-002528</t>
        </is>
      </c>
      <c r="B3796" t="inlineStr">
        <is>
          <t>SUNAT - AREQUIPA - CAMANÁ</t>
        </is>
      </c>
      <c r="C3796" t="inlineStr">
        <is>
          <t>20131312955</t>
        </is>
      </c>
      <c r="D3796" t="inlineStr">
        <is>
          <t>Carretera Panamericana Sur  Km. 846+600 / Localidad de Alto Cerrillos La Pampa</t>
        </is>
      </c>
      <c r="E3796" t="inlineStr">
        <is>
          <t>Lima, 05 de diciembre del 2025</t>
        </is>
      </c>
      <c r="F3796" t="inlineStr">
        <is>
          <t>la Recarga y mantenimiento</t>
        </is>
      </c>
      <c r="G3796" t="inlineStr">
        <is>
          <t>03</t>
        </is>
      </c>
      <c r="H3796" t="inlineStr">
        <is>
          <t>20 LBS</t>
        </is>
      </c>
      <c r="I3796" t="inlineStr">
        <is>
          <t>2028</t>
        </is>
      </c>
      <c r="J3796" t="n">
        <v>2011</v>
      </c>
      <c r="K3796" t="inlineStr">
        <is>
          <t>NOVIEMBRE 2025</t>
        </is>
      </c>
      <c r="L3796" t="inlineStr">
        <is>
          <t>NOVIEMBRE 2026</t>
        </is>
      </c>
      <c r="M3796" t="inlineStr">
        <is>
          <t>P.Q.S. / ABC AL 90%</t>
        </is>
      </c>
      <c r="N3796" t="inlineStr">
        <is>
          <t>03/S/N</t>
        </is>
      </c>
      <c r="O3796" t="inlineStr">
        <is>
          <t>R</t>
        </is>
      </c>
      <c r="P3796">
        <f>TRIM(N3796)</f>
        <v/>
      </c>
    </row>
    <row r="3797">
      <c r="A3797" t="inlineStr">
        <is>
          <t>CO-002528</t>
        </is>
      </c>
      <c r="B3797" t="inlineStr">
        <is>
          <t>SUNAT - AREQUIPA - CAMANÁ</t>
        </is>
      </c>
      <c r="C3797" t="inlineStr">
        <is>
          <t>20131312955</t>
        </is>
      </c>
      <c r="D3797" t="inlineStr">
        <is>
          <t>Carretera Panamericana Sur  Km. 846+600 / Localidad de Alto Cerrillos La Pampa</t>
        </is>
      </c>
      <c r="E3797" t="inlineStr">
        <is>
          <t>Lima, 05 de diciembre del 2025</t>
        </is>
      </c>
      <c r="F3797" t="inlineStr">
        <is>
          <t>la Recarga y mantenimiento</t>
        </is>
      </c>
      <c r="G3797" t="inlineStr">
        <is>
          <t>04</t>
        </is>
      </c>
      <c r="H3797" t="inlineStr">
        <is>
          <t>30 LBS</t>
        </is>
      </c>
      <c r="I3797" t="inlineStr">
        <is>
          <t>2028</t>
        </is>
      </c>
      <c r="J3797" t="n">
        <v>2015</v>
      </c>
      <c r="K3797" t="inlineStr">
        <is>
          <t>NOVIEMBRE 2025</t>
        </is>
      </c>
      <c r="L3797" t="inlineStr">
        <is>
          <t>NOVIEMBRE 2026</t>
        </is>
      </c>
      <c r="M3797" t="inlineStr">
        <is>
          <t>P.Q.S. / ABC AL 90%</t>
        </is>
      </c>
      <c r="N3797" t="inlineStr">
        <is>
          <t>04/BR574035</t>
        </is>
      </c>
      <c r="O3797" t="inlineStr">
        <is>
          <t>R</t>
        </is>
      </c>
      <c r="P3797">
        <f>TRIM(N3797)</f>
        <v/>
      </c>
    </row>
    <row r="3798">
      <c r="A3798" t="inlineStr">
        <is>
          <t>CO-002529</t>
        </is>
      </c>
      <c r="B3798" t="inlineStr">
        <is>
          <t>SUNAT - AREQUIPA -  CAMANÁ PEJAE</t>
        </is>
      </c>
      <c r="C3798" t="inlineStr">
        <is>
          <t>20131312955</t>
        </is>
      </c>
      <c r="D3798" t="inlineStr">
        <is>
          <t>Carretera Panamericana Sur  Km. 846+600 / Localidad de Alto Cerrillos La Pampa</t>
        </is>
      </c>
      <c r="E3798" t="inlineStr">
        <is>
          <t>Lima, 05 de diciembre del 2025</t>
        </is>
      </c>
      <c r="F3798" t="inlineStr">
        <is>
          <t>la Recarga y mantenimiento</t>
        </is>
      </c>
      <c r="G3798" t="inlineStr">
        <is>
          <t>01</t>
        </is>
      </c>
      <c r="H3798" t="inlineStr">
        <is>
          <t xml:space="preserve">12 KG </t>
        </is>
      </c>
      <c r="I3798" t="n">
        <v>2026</v>
      </c>
      <c r="J3798" t="inlineStr">
        <is>
          <t>N/R</t>
        </is>
      </c>
      <c r="K3798" t="inlineStr">
        <is>
          <t>NOVIEMBRE 2025</t>
        </is>
      </c>
      <c r="L3798" t="inlineStr">
        <is>
          <t>NOVIEMBRE 2026</t>
        </is>
      </c>
      <c r="M3798" t="inlineStr">
        <is>
          <t>P.Q.S. / ABC AL 90%</t>
        </is>
      </c>
      <c r="N3798" t="inlineStr">
        <is>
          <t>06/000359</t>
        </is>
      </c>
      <c r="P3798">
        <f>TRIM(N3798)</f>
        <v/>
      </c>
    </row>
    <row r="3799">
      <c r="A3799" t="inlineStr">
        <is>
          <t>CO-002530</t>
        </is>
      </c>
      <c r="B3799" t="inlineStr">
        <is>
          <t>SUNAT - AREQUIPA -  CAYMA</t>
        </is>
      </c>
      <c r="C3799" t="inlineStr">
        <is>
          <t>20131312955</t>
        </is>
      </c>
      <c r="D3799" t="inlineStr">
        <is>
          <t>Av. Ramón Castilla S/N° Estadio La Tomilla N° 12</t>
        </is>
      </c>
      <c r="E3799" t="inlineStr">
        <is>
          <t>Lima, 05 de diciembre del 2025</t>
        </is>
      </c>
      <c r="F3799" t="inlineStr">
        <is>
          <t>la Recarga y mantenimiento</t>
        </is>
      </c>
      <c r="G3799" t="inlineStr">
        <is>
          <t>01</t>
        </is>
      </c>
      <c r="H3799" t="inlineStr">
        <is>
          <t>10 LBS</t>
        </is>
      </c>
      <c r="I3799" t="inlineStr">
        <is>
          <t>2029</t>
        </is>
      </c>
      <c r="J3799" t="n">
        <v>2014</v>
      </c>
      <c r="K3799" t="inlineStr">
        <is>
          <t>NOVIEMBRE 2025</t>
        </is>
      </c>
      <c r="L3799" t="inlineStr">
        <is>
          <t>NOVIEMBRE 2026</t>
        </is>
      </c>
      <c r="M3799" t="inlineStr">
        <is>
          <t>CO2 /TIPO BC</t>
        </is>
      </c>
      <c r="N3799" t="inlineStr">
        <is>
          <t>S/N/A34185533</t>
        </is>
      </c>
      <c r="O3799" t="inlineStr">
        <is>
          <t>R</t>
        </is>
      </c>
      <c r="P3799">
        <f>TRIM(N3799)</f>
        <v/>
      </c>
    </row>
    <row r="3800">
      <c r="A3800" t="inlineStr">
        <is>
          <t>CO-002530</t>
        </is>
      </c>
      <c r="B3800" t="inlineStr">
        <is>
          <t>SUNAT - AREQUIPA -  CAYMA</t>
        </is>
      </c>
      <c r="C3800" t="inlineStr">
        <is>
          <t>20131312955</t>
        </is>
      </c>
      <c r="D3800" t="inlineStr">
        <is>
          <t>Av. Ramón Castilla S/N° Estadio La Tomilla N° 12</t>
        </is>
      </c>
      <c r="E3800" t="inlineStr">
        <is>
          <t>Lima, 05 de diciembre del 2025</t>
        </is>
      </c>
      <c r="F3800" t="inlineStr">
        <is>
          <t>la Recarga y mantenimiento</t>
        </is>
      </c>
      <c r="G3800" t="inlineStr">
        <is>
          <t>02</t>
        </is>
      </c>
      <c r="H3800" t="inlineStr">
        <is>
          <t>10 LBS</t>
        </is>
      </c>
      <c r="I3800" t="inlineStr">
        <is>
          <t>2029</t>
        </is>
      </c>
      <c r="J3800" t="n">
        <v>2014</v>
      </c>
      <c r="K3800" t="inlineStr">
        <is>
          <t>NOVIEMBRE 2025</t>
        </is>
      </c>
      <c r="L3800" t="inlineStr">
        <is>
          <t>NOVIEMBRE 2026</t>
        </is>
      </c>
      <c r="M3800" t="inlineStr">
        <is>
          <t>CO2 /TIPO BC</t>
        </is>
      </c>
      <c r="N3800" t="inlineStr">
        <is>
          <t>S/N/A34185548</t>
        </is>
      </c>
      <c r="O3800" t="inlineStr">
        <is>
          <t>R</t>
        </is>
      </c>
      <c r="P3800">
        <f>TRIM(N3800)</f>
        <v/>
      </c>
    </row>
    <row r="3801">
      <c r="A3801" t="inlineStr">
        <is>
          <t>CO-002531</t>
        </is>
      </c>
      <c r="B3801" t="inlineStr">
        <is>
          <t>SUNAT - AREQUIPA - MERCADERES</t>
        </is>
      </c>
      <c r="C3801" t="inlineStr">
        <is>
          <t>20131312955</t>
        </is>
      </c>
      <c r="D3801" t="inlineStr">
        <is>
          <t>Mercaderes 201 y Jerusalen 100-102</t>
        </is>
      </c>
      <c r="E3801" t="inlineStr">
        <is>
          <t>Lima, 05 de diciembre del 2025</t>
        </is>
      </c>
      <c r="F3801" t="inlineStr">
        <is>
          <t>la Recarga y mantenimiento</t>
        </is>
      </c>
      <c r="G3801" t="inlineStr">
        <is>
          <t>01</t>
        </is>
      </c>
      <c r="H3801" t="inlineStr">
        <is>
          <t xml:space="preserve">10 LBS </t>
        </is>
      </c>
      <c r="I3801" t="inlineStr">
        <is>
          <t>2028</t>
        </is>
      </c>
      <c r="J3801" t="n">
        <v>2005</v>
      </c>
      <c r="K3801" t="inlineStr">
        <is>
          <t>NOVIEMBRE 2025</t>
        </is>
      </c>
      <c r="L3801" t="inlineStr">
        <is>
          <t>NOVIEMBRE 2026</t>
        </is>
      </c>
      <c r="M3801" t="inlineStr">
        <is>
          <t>CO2 /TIPO BC</t>
        </is>
      </c>
      <c r="N3801" t="inlineStr">
        <is>
          <t>4/W-313141</t>
        </is>
      </c>
      <c r="O3801" t="inlineStr">
        <is>
          <t>R</t>
        </is>
      </c>
      <c r="P3801">
        <f>TRIM(N3801)</f>
        <v/>
      </c>
    </row>
    <row r="3802">
      <c r="A3802" t="inlineStr">
        <is>
          <t>CO-002531</t>
        </is>
      </c>
      <c r="B3802" t="inlineStr">
        <is>
          <t>SUNAT - AREQUIPA - MERCADERES</t>
        </is>
      </c>
      <c r="C3802" t="inlineStr">
        <is>
          <t>20131312955</t>
        </is>
      </c>
      <c r="D3802" t="inlineStr">
        <is>
          <t>Mercaderes 201 y Jerusalen 100-102</t>
        </is>
      </c>
      <c r="E3802" t="inlineStr">
        <is>
          <t>Lima, 05 de diciembre del 2025</t>
        </is>
      </c>
      <c r="F3802" t="inlineStr">
        <is>
          <t>la Recarga y mantenimiento</t>
        </is>
      </c>
      <c r="G3802" t="inlineStr">
        <is>
          <t>02</t>
        </is>
      </c>
      <c r="H3802" t="inlineStr">
        <is>
          <t xml:space="preserve">10 LBS </t>
        </is>
      </c>
      <c r="I3802" t="inlineStr">
        <is>
          <t>2028</t>
        </is>
      </c>
      <c r="J3802" t="n">
        <v>2005</v>
      </c>
      <c r="K3802" t="inlineStr">
        <is>
          <t>NOVIEMBRE 2025</t>
        </is>
      </c>
      <c r="L3802" t="inlineStr">
        <is>
          <t>NOVIEMBRE 2026</t>
        </is>
      </c>
      <c r="M3802" t="inlineStr">
        <is>
          <t>CO2 /TIPO BC</t>
        </is>
      </c>
      <c r="N3802" t="inlineStr">
        <is>
          <t>6/Y-378690</t>
        </is>
      </c>
      <c r="O3802" t="inlineStr">
        <is>
          <t>R</t>
        </is>
      </c>
      <c r="P3802">
        <f>TRIM(N3802)</f>
        <v/>
      </c>
    </row>
    <row r="3803">
      <c r="A3803" t="inlineStr">
        <is>
          <t>CO-002532</t>
        </is>
      </c>
      <c r="B3803" t="inlineStr">
        <is>
          <t>SUNAT - AREQUIPA - MOLLENDO</t>
        </is>
      </c>
      <c r="C3803" t="inlineStr">
        <is>
          <t>20131312955</t>
        </is>
      </c>
      <c r="D3803" t="inlineStr">
        <is>
          <t>Av. Tupac Amaru 102 Urb. Miramar</t>
        </is>
      </c>
      <c r="E3803" t="inlineStr">
        <is>
          <t>Lima, 05 de diciembre del 2025</t>
        </is>
      </c>
      <c r="F3803" t="inlineStr">
        <is>
          <t>la Recarga y mantenimiento</t>
        </is>
      </c>
      <c r="G3803" t="inlineStr">
        <is>
          <t>01</t>
        </is>
      </c>
      <c r="H3803" t="inlineStr">
        <is>
          <t>20 LBS</t>
        </is>
      </c>
      <c r="I3803" t="inlineStr">
        <is>
          <t>2027</t>
        </is>
      </c>
      <c r="J3803" t="n">
        <v>2007</v>
      </c>
      <c r="K3803" t="inlineStr">
        <is>
          <t>NOVIEMBRE 2025</t>
        </is>
      </c>
      <c r="L3803" t="inlineStr">
        <is>
          <t>NOVIEMBRE 2026</t>
        </is>
      </c>
      <c r="M3803" t="inlineStr">
        <is>
          <t>P.Q.S. / ABC AL 90%</t>
        </is>
      </c>
      <c r="N3803" t="inlineStr">
        <is>
          <t>01/ZB239367</t>
        </is>
      </c>
      <c r="O3803" t="inlineStr">
        <is>
          <t>R</t>
        </is>
      </c>
      <c r="P3803">
        <f>TRIM(N3803)</f>
        <v/>
      </c>
    </row>
    <row r="3804">
      <c r="A3804" t="inlineStr">
        <is>
          <t>CO-002532</t>
        </is>
      </c>
      <c r="B3804" t="inlineStr">
        <is>
          <t>SUNAT - AREQUIPA - MOLLENDO</t>
        </is>
      </c>
      <c r="C3804" t="inlineStr">
        <is>
          <t>20131312955</t>
        </is>
      </c>
      <c r="D3804" t="inlineStr">
        <is>
          <t>Av. Tupac Amaru 102 Urb. Miramar</t>
        </is>
      </c>
      <c r="E3804" t="inlineStr">
        <is>
          <t>Lima, 05 de diciembre del 2025</t>
        </is>
      </c>
      <c r="F3804" t="inlineStr">
        <is>
          <t>la Recarga y mantenimiento</t>
        </is>
      </c>
      <c r="G3804" t="inlineStr">
        <is>
          <t>02</t>
        </is>
      </c>
      <c r="H3804" t="inlineStr">
        <is>
          <t xml:space="preserve">15 LBS </t>
        </is>
      </c>
      <c r="I3804" t="inlineStr">
        <is>
          <t>2026</t>
        </is>
      </c>
      <c r="J3804" t="n">
        <v>2012</v>
      </c>
      <c r="K3804" t="inlineStr">
        <is>
          <t>NOVIEMBRE 2025</t>
        </is>
      </c>
      <c r="L3804" t="inlineStr">
        <is>
          <t>NOVIEMBRE 2026</t>
        </is>
      </c>
      <c r="M3804" t="inlineStr">
        <is>
          <t>CO2 /TIPO BC</t>
        </is>
      </c>
      <c r="N3804" t="inlineStr">
        <is>
          <t>02/790470</t>
        </is>
      </c>
      <c r="O3804" t="inlineStr">
        <is>
          <t>R</t>
        </is>
      </c>
      <c r="P3804">
        <f>TRIM(N3804)</f>
        <v/>
      </c>
    </row>
    <row r="3805">
      <c r="A3805" t="inlineStr">
        <is>
          <t>CO-002532</t>
        </is>
      </c>
      <c r="B3805" t="inlineStr">
        <is>
          <t>SUNAT - AREQUIPA - MOLLENDO</t>
        </is>
      </c>
      <c r="C3805" t="inlineStr">
        <is>
          <t>20131312955</t>
        </is>
      </c>
      <c r="D3805" t="inlineStr">
        <is>
          <t>Av. Tupac Amaru 102 Urb. Miramar</t>
        </is>
      </c>
      <c r="E3805" t="inlineStr">
        <is>
          <t>Lima, 05 de diciembre del 2025</t>
        </is>
      </c>
      <c r="F3805" t="inlineStr">
        <is>
          <t>la Recarga y mantenimiento</t>
        </is>
      </c>
      <c r="G3805" t="inlineStr">
        <is>
          <t>03</t>
        </is>
      </c>
      <c r="H3805" t="inlineStr">
        <is>
          <t>30 LBS</t>
        </is>
      </c>
      <c r="I3805" t="n">
        <v>2026</v>
      </c>
      <c r="J3805" t="n">
        <v>2013</v>
      </c>
      <c r="K3805" t="inlineStr">
        <is>
          <t>NOVIEMBRE 2025</t>
        </is>
      </c>
      <c r="L3805" t="inlineStr">
        <is>
          <t>NOVIEMBRE 2026</t>
        </is>
      </c>
      <c r="M3805" t="inlineStr">
        <is>
          <t>P.Q.S. / ABC AL 90%</t>
        </is>
      </c>
      <c r="N3805" t="inlineStr">
        <is>
          <t>03/BK574215</t>
        </is>
      </c>
      <c r="O3805" t="inlineStr">
        <is>
          <t>R</t>
        </is>
      </c>
      <c r="P3805">
        <f>TRIM(N3805)</f>
        <v/>
      </c>
    </row>
    <row r="3806">
      <c r="A3806" t="inlineStr">
        <is>
          <t>CO-002532</t>
        </is>
      </c>
      <c r="B3806" t="inlineStr">
        <is>
          <t>SUNAT - AREQUIPA - MOLLENDO</t>
        </is>
      </c>
      <c r="C3806" t="inlineStr">
        <is>
          <t>20131312955</t>
        </is>
      </c>
      <c r="D3806" t="inlineStr">
        <is>
          <t>Av. Tupac Amaru 102 Urb. Miramar</t>
        </is>
      </c>
      <c r="E3806" t="inlineStr">
        <is>
          <t>Lima, 05 de diciembre del 2025</t>
        </is>
      </c>
      <c r="F3806" t="inlineStr">
        <is>
          <t>la Recarga y mantenimiento</t>
        </is>
      </c>
      <c r="G3806" t="inlineStr">
        <is>
          <t>04</t>
        </is>
      </c>
      <c r="H3806" t="inlineStr">
        <is>
          <t xml:space="preserve">30  LBS </t>
        </is>
      </c>
      <c r="I3806" t="n">
        <v>2026</v>
      </c>
      <c r="J3806" t="n">
        <v>2013</v>
      </c>
      <c r="K3806" t="inlineStr">
        <is>
          <t>NOVIEMBRE 2025</t>
        </is>
      </c>
      <c r="L3806" t="inlineStr">
        <is>
          <t>NOVIEMBRE 2026</t>
        </is>
      </c>
      <c r="M3806" t="inlineStr">
        <is>
          <t>P.Q.S. / ABC AL 90%</t>
        </is>
      </c>
      <c r="N3806" t="inlineStr">
        <is>
          <t>04/BR572440</t>
        </is>
      </c>
      <c r="O3806" t="inlineStr">
        <is>
          <t>R</t>
        </is>
      </c>
      <c r="P3806">
        <f>TRIM(N3806)</f>
        <v/>
      </c>
    </row>
    <row r="3807">
      <c r="A3807" t="inlineStr">
        <is>
          <t>CO-002532</t>
        </is>
      </c>
      <c r="B3807" t="inlineStr">
        <is>
          <t>SUNAT - AREQUIPA - MOLLENDO</t>
        </is>
      </c>
      <c r="C3807" t="inlineStr">
        <is>
          <t>20131312955</t>
        </is>
      </c>
      <c r="D3807" t="inlineStr">
        <is>
          <t>Av. Tupac Amaru 102 Urb. Miramar</t>
        </is>
      </c>
      <c r="E3807" t="inlineStr">
        <is>
          <t>Lima, 05 de diciembre del 2025</t>
        </is>
      </c>
      <c r="F3807" t="inlineStr">
        <is>
          <t>la Recarga y mantenimiento</t>
        </is>
      </c>
      <c r="G3807" t="inlineStr">
        <is>
          <t>05</t>
        </is>
      </c>
      <c r="H3807" t="inlineStr">
        <is>
          <t xml:space="preserve">30  LBS </t>
        </is>
      </c>
      <c r="I3807" t="n">
        <v>2026</v>
      </c>
      <c r="J3807" t="n">
        <v>2013</v>
      </c>
      <c r="K3807" t="inlineStr">
        <is>
          <t>NOVIEMBRE 2025</t>
        </is>
      </c>
      <c r="L3807" t="inlineStr">
        <is>
          <t>NOVIEMBRE 2026</t>
        </is>
      </c>
      <c r="M3807" t="inlineStr">
        <is>
          <t>P.Q.S. / ABC AL 90%</t>
        </is>
      </c>
      <c r="N3807" t="inlineStr">
        <is>
          <t>05/BR574034</t>
        </is>
      </c>
      <c r="O3807" t="inlineStr">
        <is>
          <t>R</t>
        </is>
      </c>
      <c r="P3807">
        <f>TRIM(N3807)</f>
        <v/>
      </c>
    </row>
    <row r="3808">
      <c r="A3808" t="inlineStr">
        <is>
          <t>CO-002532</t>
        </is>
      </c>
      <c r="B3808" t="inlineStr">
        <is>
          <t>SUNAT - AREQUIPA - MOLLENDO</t>
        </is>
      </c>
      <c r="C3808" t="inlineStr">
        <is>
          <t>20131312955</t>
        </is>
      </c>
      <c r="D3808" t="inlineStr">
        <is>
          <t>Av. Tupac Amaru 102 Urb. Miramar</t>
        </is>
      </c>
      <c r="E3808" t="inlineStr">
        <is>
          <t>Lima, 05 de diciembre del 2025</t>
        </is>
      </c>
      <c r="F3808" t="inlineStr">
        <is>
          <t>la Recarga y mantenimiento</t>
        </is>
      </c>
      <c r="G3808" t="inlineStr">
        <is>
          <t>06</t>
        </is>
      </c>
      <c r="H3808" t="inlineStr">
        <is>
          <t xml:space="preserve">30  LBS </t>
        </is>
      </c>
      <c r="I3808" t="n">
        <v>2026</v>
      </c>
      <c r="J3808" t="n">
        <v>2013</v>
      </c>
      <c r="K3808" t="inlineStr">
        <is>
          <t>NOVIEMBRE 2025</t>
        </is>
      </c>
      <c r="L3808" t="inlineStr">
        <is>
          <t>NOVIEMBRE 2026</t>
        </is>
      </c>
      <c r="M3808" t="inlineStr">
        <is>
          <t>P.Q.S. / ABC AL 90%</t>
        </is>
      </c>
      <c r="N3808" t="inlineStr">
        <is>
          <t>06/BR572438</t>
        </is>
      </c>
      <c r="O3808" t="inlineStr">
        <is>
          <t>R</t>
        </is>
      </c>
      <c r="P3808">
        <f>TRIM(N3808)</f>
        <v/>
      </c>
    </row>
    <row r="3809">
      <c r="A3809" t="inlineStr">
        <is>
          <t>CO-002532</t>
        </is>
      </c>
      <c r="B3809" t="inlineStr">
        <is>
          <t>SUNAT - AREQUIPA - MOLLENDO</t>
        </is>
      </c>
      <c r="C3809" t="inlineStr">
        <is>
          <t>20131312955</t>
        </is>
      </c>
      <c r="D3809" t="inlineStr">
        <is>
          <t>Av. Tupac Amaru 102 Urb. Miramar</t>
        </is>
      </c>
      <c r="E3809" t="inlineStr">
        <is>
          <t>Lima, 05 de diciembre del 2025</t>
        </is>
      </c>
      <c r="F3809" t="inlineStr">
        <is>
          <t>la Recarga y mantenimiento</t>
        </is>
      </c>
      <c r="G3809" t="inlineStr">
        <is>
          <t>07</t>
        </is>
      </c>
      <c r="H3809" t="inlineStr">
        <is>
          <t>15 LBS</t>
        </is>
      </c>
      <c r="I3809" t="n">
        <v>2027</v>
      </c>
      <c r="J3809" t="n">
        <v>2012</v>
      </c>
      <c r="K3809" t="inlineStr">
        <is>
          <t>NOVIEMBRE 2025</t>
        </is>
      </c>
      <c r="L3809" t="inlineStr">
        <is>
          <t>NOVIEMBRE 2026</t>
        </is>
      </c>
      <c r="M3809" t="inlineStr">
        <is>
          <t>CO2 /TIPO BC</t>
        </is>
      </c>
      <c r="N3809" t="inlineStr">
        <is>
          <t>07/W794048</t>
        </is>
      </c>
      <c r="O3809" t="inlineStr">
        <is>
          <t>R</t>
        </is>
      </c>
      <c r="P3809">
        <f>TRIM(N3809)</f>
        <v/>
      </c>
    </row>
    <row r="3810">
      <c r="A3810" t="inlineStr">
        <is>
          <t>CO-002532</t>
        </is>
      </c>
      <c r="B3810" t="inlineStr">
        <is>
          <t>SUNAT - AREQUIPA - MOLLENDO</t>
        </is>
      </c>
      <c r="C3810" t="inlineStr">
        <is>
          <t>20131312955</t>
        </is>
      </c>
      <c r="D3810" t="inlineStr">
        <is>
          <t>Av. Tupac Amaru 102 Urb. Miramar</t>
        </is>
      </c>
      <c r="E3810" t="inlineStr">
        <is>
          <t>Lima, 05 de diciembre del 2025</t>
        </is>
      </c>
      <c r="F3810" t="inlineStr">
        <is>
          <t>la Recarga y mantenimiento</t>
        </is>
      </c>
      <c r="G3810" t="inlineStr">
        <is>
          <t>08</t>
        </is>
      </c>
      <c r="H3810" t="inlineStr">
        <is>
          <t>15 LBS</t>
        </is>
      </c>
      <c r="I3810" t="n">
        <v>2026</v>
      </c>
      <c r="J3810" t="n">
        <v>2012</v>
      </c>
      <c r="K3810" t="inlineStr">
        <is>
          <t>NOVIEMBRE 2025</t>
        </is>
      </c>
      <c r="L3810" t="inlineStr">
        <is>
          <t>NOVIEMBRE 2026</t>
        </is>
      </c>
      <c r="M3810" t="inlineStr">
        <is>
          <t>CO2 /TIPO BC</t>
        </is>
      </c>
      <c r="N3810" t="inlineStr">
        <is>
          <t>08/794336</t>
        </is>
      </c>
      <c r="O3810" t="inlineStr">
        <is>
          <t>R</t>
        </is>
      </c>
      <c r="P3810">
        <f>TRIM(N3810)</f>
        <v/>
      </c>
    </row>
    <row r="3811">
      <c r="A3811" t="inlineStr">
        <is>
          <t>CO-002532</t>
        </is>
      </c>
      <c r="B3811" t="inlineStr">
        <is>
          <t>SUNAT - AREQUIPA - MOLLENDO</t>
        </is>
      </c>
      <c r="C3811" t="inlineStr">
        <is>
          <t>20131312955</t>
        </is>
      </c>
      <c r="D3811" t="inlineStr">
        <is>
          <t>Av. Tupac Amaru 102 Urb. Miramar</t>
        </is>
      </c>
      <c r="E3811" t="inlineStr">
        <is>
          <t>Lima, 05 de diciembre del 2025</t>
        </is>
      </c>
      <c r="F3811" t="inlineStr">
        <is>
          <t>la Recarga y mantenimiento</t>
        </is>
      </c>
      <c r="G3811" t="inlineStr">
        <is>
          <t>09</t>
        </is>
      </c>
      <c r="H3811" t="inlineStr">
        <is>
          <t>15 LBS</t>
        </is>
      </c>
      <c r="I3811" t="n">
        <v>2026</v>
      </c>
      <c r="J3811" t="n">
        <v>2012</v>
      </c>
      <c r="K3811" t="inlineStr">
        <is>
          <t>NOVIEMBRE 2025</t>
        </is>
      </c>
      <c r="L3811" t="inlineStr">
        <is>
          <t>NOVIEMBRE 2026</t>
        </is>
      </c>
      <c r="M3811" t="inlineStr">
        <is>
          <t>CO2 /TIPO BC</t>
        </is>
      </c>
      <c r="N3811" t="inlineStr">
        <is>
          <t>09/794212</t>
        </is>
      </c>
      <c r="O3811" t="inlineStr">
        <is>
          <t>R</t>
        </is>
      </c>
      <c r="P3811">
        <f>TRIM(N3811)</f>
        <v/>
      </c>
    </row>
    <row r="3812">
      <c r="A3812" t="inlineStr">
        <is>
          <t>CO-002532</t>
        </is>
      </c>
      <c r="B3812" t="inlineStr">
        <is>
          <t>SUNAT - AREQUIPA - MOLLENDO</t>
        </is>
      </c>
      <c r="C3812" t="inlineStr">
        <is>
          <t>20131312955</t>
        </is>
      </c>
      <c r="D3812" t="inlineStr">
        <is>
          <t>Av. Tupac Amaru 102 Urb. Miramar</t>
        </is>
      </c>
      <c r="E3812" t="inlineStr">
        <is>
          <t>Lima, 05 de diciembre del 2025</t>
        </is>
      </c>
      <c r="F3812" t="inlineStr">
        <is>
          <t>la Recarga y mantenimiento</t>
        </is>
      </c>
      <c r="G3812" t="n">
        <v>10</v>
      </c>
      <c r="H3812" t="inlineStr">
        <is>
          <t>15 LBS</t>
        </is>
      </c>
      <c r="I3812" t="n">
        <v>2026</v>
      </c>
      <c r="J3812" t="n">
        <v>2012</v>
      </c>
      <c r="K3812" t="inlineStr">
        <is>
          <t>NOVIEMBRE 2025</t>
        </is>
      </c>
      <c r="L3812" t="inlineStr">
        <is>
          <t>NOVIEMBRE 2026</t>
        </is>
      </c>
      <c r="M3812" t="inlineStr">
        <is>
          <t>CO2 /TIPO BC</t>
        </is>
      </c>
      <c r="N3812" t="inlineStr">
        <is>
          <t>10/795618</t>
        </is>
      </c>
      <c r="O3812" t="inlineStr">
        <is>
          <t>R</t>
        </is>
      </c>
      <c r="P3812">
        <f>TRIM(N3812)</f>
        <v/>
      </c>
    </row>
    <row r="3813">
      <c r="A3813" t="inlineStr">
        <is>
          <t>CO-002532</t>
        </is>
      </c>
      <c r="B3813" t="inlineStr">
        <is>
          <t>SUNAT - AREQUIPA - MOLLENDO</t>
        </is>
      </c>
      <c r="C3813" t="inlineStr">
        <is>
          <t>20131312955</t>
        </is>
      </c>
      <c r="D3813" t="inlineStr">
        <is>
          <t>Av. Tupac Amaru 102 Urb. Miramar</t>
        </is>
      </c>
      <c r="E3813" t="inlineStr">
        <is>
          <t>Lima, 05 de diciembre del 2025</t>
        </is>
      </c>
      <c r="F3813" t="inlineStr">
        <is>
          <t>la Recarga y mantenimiento</t>
        </is>
      </c>
      <c r="G3813" t="n">
        <v>11</v>
      </c>
      <c r="H3813" t="inlineStr">
        <is>
          <t xml:space="preserve">20 LBS </t>
        </is>
      </c>
      <c r="I3813" t="n">
        <v>2026</v>
      </c>
      <c r="J3813" t="inlineStr">
        <is>
          <t>N/R</t>
        </is>
      </c>
      <c r="K3813" t="inlineStr">
        <is>
          <t>NOVIEMBRE 2025</t>
        </is>
      </c>
      <c r="L3813" t="inlineStr">
        <is>
          <t>NOVIEMBRE 2026</t>
        </is>
      </c>
      <c r="M3813" t="inlineStr">
        <is>
          <t>P.Q.S. / ABC AL 90%</t>
        </is>
      </c>
      <c r="N3813" t="inlineStr">
        <is>
          <t>12/M179924</t>
        </is>
      </c>
      <c r="O3813" t="inlineStr">
        <is>
          <t>R</t>
        </is>
      </c>
      <c r="P3813">
        <f>TRIM(N3813)</f>
        <v/>
      </c>
    </row>
    <row r="3814">
      <c r="A3814" t="inlineStr">
        <is>
          <t>CO-002532</t>
        </is>
      </c>
      <c r="B3814" t="inlineStr">
        <is>
          <t>SUNAT - AREQUIPA - MOLLENDO</t>
        </is>
      </c>
      <c r="C3814" t="inlineStr">
        <is>
          <t>20131312955</t>
        </is>
      </c>
      <c r="D3814" t="inlineStr">
        <is>
          <t>Av. Tupac Amaru 102 Urb. Miramar</t>
        </is>
      </c>
      <c r="E3814" t="inlineStr">
        <is>
          <t>Lima, 05 de diciembre del 2025</t>
        </is>
      </c>
      <c r="F3814" t="inlineStr">
        <is>
          <t>la Recarga y mantenimiento</t>
        </is>
      </c>
      <c r="G3814" t="inlineStr">
        <is>
          <t>12</t>
        </is>
      </c>
      <c r="H3814" t="inlineStr">
        <is>
          <t>20 LBS</t>
        </is>
      </c>
      <c r="I3814" t="n">
        <v>2026</v>
      </c>
      <c r="J3814" t="n">
        <v>2007</v>
      </c>
      <c r="K3814" t="inlineStr">
        <is>
          <t>NOVIEMBRE 2025</t>
        </is>
      </c>
      <c r="L3814" t="inlineStr">
        <is>
          <t>NOVIEMBRE 2026</t>
        </is>
      </c>
      <c r="M3814" t="inlineStr">
        <is>
          <t>P.Q.S. / ABC AL 90%</t>
        </is>
      </c>
      <c r="N3814" t="inlineStr">
        <is>
          <t>S/N/ZB-239298</t>
        </is>
      </c>
      <c r="O3814" t="inlineStr">
        <is>
          <t>R</t>
        </is>
      </c>
      <c r="P3814">
        <f>TRIM(N3814)</f>
        <v/>
      </c>
    </row>
    <row r="3815">
      <c r="A3815" t="inlineStr">
        <is>
          <t>CO-002532</t>
        </is>
      </c>
      <c r="B3815" t="inlineStr">
        <is>
          <t>SUNAT - AREQUIPA - MOLLENDO</t>
        </is>
      </c>
      <c r="C3815" t="inlineStr">
        <is>
          <t>20131312955</t>
        </is>
      </c>
      <c r="D3815" t="inlineStr">
        <is>
          <t>Av. Tupac Amaru 102 Urb. Miramar</t>
        </is>
      </c>
      <c r="E3815" t="inlineStr">
        <is>
          <t>Lima, 05 de diciembre del 2025</t>
        </is>
      </c>
      <c r="F3815" t="inlineStr">
        <is>
          <t>la Recarga y mantenimiento</t>
        </is>
      </c>
      <c r="G3815" t="n">
        <v>13</v>
      </c>
      <c r="H3815" t="inlineStr">
        <is>
          <t>30 LBS</t>
        </is>
      </c>
      <c r="I3815" t="n">
        <v>2026</v>
      </c>
      <c r="J3815" t="n">
        <v>2013</v>
      </c>
      <c r="K3815" t="inlineStr">
        <is>
          <t>NOVIEMBRE 2025</t>
        </is>
      </c>
      <c r="L3815" t="inlineStr">
        <is>
          <t>NOVIEMBRE 2026</t>
        </is>
      </c>
      <c r="M3815" t="inlineStr">
        <is>
          <t>P.Q.S. / ABC AL 90%</t>
        </is>
      </c>
      <c r="N3815" t="inlineStr">
        <is>
          <t>14/BR572448</t>
        </is>
      </c>
      <c r="O3815" t="inlineStr">
        <is>
          <t>R</t>
        </is>
      </c>
      <c r="P3815">
        <f>TRIM(N3815)</f>
        <v/>
      </c>
    </row>
    <row r="3816">
      <c r="A3816" t="inlineStr">
        <is>
          <t>CO-002532</t>
        </is>
      </c>
      <c r="B3816" t="inlineStr">
        <is>
          <t>SUNAT - AREQUIPA - MOLLENDO</t>
        </is>
      </c>
      <c r="C3816" t="inlineStr">
        <is>
          <t>20131312955</t>
        </is>
      </c>
      <c r="D3816" t="inlineStr">
        <is>
          <t>Av. Tupac Amaru 102 Urb. Miramar</t>
        </is>
      </c>
      <c r="E3816" t="inlineStr">
        <is>
          <t>Lima, 05 de diciembre del 2025</t>
        </is>
      </c>
      <c r="F3816" t="inlineStr">
        <is>
          <t>la Recarga y mantenimiento</t>
        </is>
      </c>
      <c r="G3816" t="n">
        <v>14</v>
      </c>
      <c r="H3816" t="inlineStr">
        <is>
          <t>20 LBS</t>
        </is>
      </c>
      <c r="I3816" t="n">
        <v>2027</v>
      </c>
      <c r="J3816" t="inlineStr">
        <is>
          <t>N/R</t>
        </is>
      </c>
      <c r="K3816" t="inlineStr">
        <is>
          <t>NOVIEMBRE 2025</t>
        </is>
      </c>
      <c r="L3816" t="inlineStr">
        <is>
          <t>NOVIEMBRE 2026</t>
        </is>
      </c>
      <c r="M3816" t="inlineStr">
        <is>
          <t>P.Q.S. / ABC AL 90%</t>
        </is>
      </c>
      <c r="N3816" t="inlineStr">
        <is>
          <t>15/M179932</t>
        </is>
      </c>
      <c r="O3816" t="inlineStr">
        <is>
          <t>R</t>
        </is>
      </c>
      <c r="P3816">
        <f>TRIM(N3816)</f>
        <v/>
      </c>
    </row>
    <row r="3817">
      <c r="A3817" t="inlineStr">
        <is>
          <t>CO-002532</t>
        </is>
      </c>
      <c r="B3817" t="inlineStr">
        <is>
          <t>SUNAT - AREQUIPA - MOLLENDO</t>
        </is>
      </c>
      <c r="C3817" t="inlineStr">
        <is>
          <t>20131312955</t>
        </is>
      </c>
      <c r="D3817" t="inlineStr">
        <is>
          <t>Av. Tupac Amaru 102 Urb. Miramar</t>
        </is>
      </c>
      <c r="E3817" t="inlineStr">
        <is>
          <t>Lima, 05 de diciembre del 2025</t>
        </is>
      </c>
      <c r="F3817" t="inlineStr">
        <is>
          <t>la Recarga y mantenimiento</t>
        </is>
      </c>
      <c r="G3817" t="n">
        <v>15</v>
      </c>
      <c r="H3817" t="inlineStr">
        <is>
          <t xml:space="preserve">20 LBS </t>
        </is>
      </c>
      <c r="I3817" t="n">
        <v>2027</v>
      </c>
      <c r="J3817" t="n">
        <v>2007</v>
      </c>
      <c r="K3817" t="inlineStr">
        <is>
          <t>NOVIEMBRE 2025</t>
        </is>
      </c>
      <c r="L3817" t="inlineStr">
        <is>
          <t>NOVIEMBRE 2026</t>
        </is>
      </c>
      <c r="M3817" t="inlineStr">
        <is>
          <t>P.Q.S. / ABC AL 90%</t>
        </is>
      </c>
      <c r="N3817" t="inlineStr">
        <is>
          <t>16/ZB239273</t>
        </is>
      </c>
      <c r="O3817" t="inlineStr">
        <is>
          <t>R</t>
        </is>
      </c>
      <c r="P3817">
        <f>TRIM(N3817)</f>
        <v/>
      </c>
    </row>
    <row r="3818">
      <c r="A3818" t="inlineStr">
        <is>
          <t>CO-002533</t>
        </is>
      </c>
      <c r="B3818" t="inlineStr">
        <is>
          <t>SUNAT - AREQUIPA - MOLLENDO</t>
        </is>
      </c>
      <c r="C3818" t="inlineStr">
        <is>
          <t>20131312955</t>
        </is>
      </c>
      <c r="D3818" t="inlineStr">
        <is>
          <t>Av. Tupac Amaru 102 Urb. Miramar</t>
        </is>
      </c>
      <c r="E3818" t="inlineStr">
        <is>
          <t>Lima, 05 de diciembre del 2025</t>
        </is>
      </c>
      <c r="F3818" t="inlineStr">
        <is>
          <t>la Recarga y mantenimiento</t>
        </is>
      </c>
      <c r="G3818" t="inlineStr">
        <is>
          <t>01</t>
        </is>
      </c>
      <c r="H3818" t="inlineStr">
        <is>
          <t>2.5 GL</t>
        </is>
      </c>
      <c r="I3818" t="inlineStr">
        <is>
          <t>2027</t>
        </is>
      </c>
      <c r="J3818" t="n">
        <v>2003</v>
      </c>
      <c r="K3818" t="inlineStr">
        <is>
          <t>NOVIEMBRE 2025</t>
        </is>
      </c>
      <c r="L3818" t="inlineStr">
        <is>
          <t>NOVIEMBRE 2026</t>
        </is>
      </c>
      <c r="M3818" t="inlineStr">
        <is>
          <t>H2O PRESURIZADA</t>
        </is>
      </c>
      <c r="N3818" t="inlineStr">
        <is>
          <t>17/AA316340</t>
        </is>
      </c>
      <c r="O3818" t="inlineStr">
        <is>
          <t>R</t>
        </is>
      </c>
      <c r="P3818">
        <f>TRIM(N3818)</f>
        <v/>
      </c>
    </row>
    <row r="3819">
      <c r="A3819" t="inlineStr">
        <is>
          <t>CO-002533</t>
        </is>
      </c>
      <c r="B3819" t="inlineStr">
        <is>
          <t>SUNAT - AREQUIPA - MOLLENDO</t>
        </is>
      </c>
      <c r="C3819" t="inlineStr">
        <is>
          <t>20131312955</t>
        </is>
      </c>
      <c r="D3819" t="inlineStr">
        <is>
          <t>Av. Tupac Amaru 102 Urb. Miramar</t>
        </is>
      </c>
      <c r="E3819" t="inlineStr">
        <is>
          <t>Lima, 05 de diciembre del 2025</t>
        </is>
      </c>
      <c r="F3819" t="inlineStr">
        <is>
          <t>la Recarga y mantenimiento</t>
        </is>
      </c>
      <c r="G3819" t="inlineStr">
        <is>
          <t>02</t>
        </is>
      </c>
      <c r="H3819" t="inlineStr">
        <is>
          <t>2.5 GL</t>
        </is>
      </c>
      <c r="I3819" t="inlineStr">
        <is>
          <t>2027</t>
        </is>
      </c>
      <c r="J3819" t="inlineStr">
        <is>
          <t>N/R</t>
        </is>
      </c>
      <c r="K3819" t="inlineStr">
        <is>
          <t>NOVIEMBRE 2025</t>
        </is>
      </c>
      <c r="L3819" t="inlineStr">
        <is>
          <t>NOVIEMBRE 2026</t>
        </is>
      </c>
      <c r="M3819" t="inlineStr">
        <is>
          <t>H2O PRESURIZADA</t>
        </is>
      </c>
      <c r="N3819" t="inlineStr">
        <is>
          <t>18/AA316247</t>
        </is>
      </c>
      <c r="O3819" t="inlineStr">
        <is>
          <t>R</t>
        </is>
      </c>
      <c r="P3819">
        <f>TRIM(N3819)</f>
        <v/>
      </c>
    </row>
    <row r="3820">
      <c r="A3820" t="inlineStr">
        <is>
          <t>CO-002533</t>
        </is>
      </c>
      <c r="B3820" t="inlineStr">
        <is>
          <t>SUNAT - AREQUIPA - MOLLENDO</t>
        </is>
      </c>
      <c r="C3820" t="inlineStr">
        <is>
          <t>20131312955</t>
        </is>
      </c>
      <c r="D3820" t="inlineStr">
        <is>
          <t>Av. Tupac Amaru 102 Urb. Miramar</t>
        </is>
      </c>
      <c r="E3820" t="inlineStr">
        <is>
          <t>Lima, 05 de diciembre del 2025</t>
        </is>
      </c>
      <c r="F3820" t="inlineStr">
        <is>
          <t>la Recarga y mantenimiento</t>
        </is>
      </c>
      <c r="G3820" t="inlineStr">
        <is>
          <t>03</t>
        </is>
      </c>
      <c r="H3820" t="inlineStr">
        <is>
          <t>125 LBS</t>
        </is>
      </c>
      <c r="I3820" t="n">
        <v>2028</v>
      </c>
      <c r="J3820" t="n">
        <v>2012</v>
      </c>
      <c r="K3820" t="inlineStr">
        <is>
          <t>NOVIEMBRE 2025</t>
        </is>
      </c>
      <c r="L3820" t="inlineStr">
        <is>
          <t>NOVIEMBRE 2026</t>
        </is>
      </c>
      <c r="M3820" t="inlineStr">
        <is>
          <t>P.Q.S. / ABC AL 90%</t>
        </is>
      </c>
      <c r="N3820" t="inlineStr">
        <is>
          <t>19/BH86021</t>
        </is>
      </c>
      <c r="O3820" t="inlineStr">
        <is>
          <t>R</t>
        </is>
      </c>
      <c r="P3820">
        <f>TRIM(N3820)</f>
        <v/>
      </c>
    </row>
    <row r="3821">
      <c r="A3821" t="inlineStr">
        <is>
          <t>CO-002533</t>
        </is>
      </c>
      <c r="B3821" t="inlineStr">
        <is>
          <t>SUNAT - AREQUIPA - MOLLENDO</t>
        </is>
      </c>
      <c r="C3821" t="inlineStr">
        <is>
          <t>20131312955</t>
        </is>
      </c>
      <c r="D3821" t="inlineStr">
        <is>
          <t>Av. Tupac Amaru 102 Urb. Miramar</t>
        </is>
      </c>
      <c r="E3821" t="inlineStr">
        <is>
          <t>Lima, 05 de diciembre del 2025</t>
        </is>
      </c>
      <c r="F3821" t="inlineStr">
        <is>
          <t>la Recarga y mantenimiento</t>
        </is>
      </c>
      <c r="G3821" t="inlineStr">
        <is>
          <t>04</t>
        </is>
      </c>
      <c r="H3821" t="inlineStr">
        <is>
          <t>30 LBS</t>
        </is>
      </c>
      <c r="I3821" t="n">
        <v>2026</v>
      </c>
      <c r="J3821" t="n">
        <v>2013</v>
      </c>
      <c r="K3821" t="inlineStr">
        <is>
          <t>NOVIEMBRE 2025</t>
        </is>
      </c>
      <c r="L3821" t="inlineStr">
        <is>
          <t>NOVIEMBRE 2026</t>
        </is>
      </c>
      <c r="M3821" t="inlineStr">
        <is>
          <t>P.Q.S. / ABC AL 90%</t>
        </is>
      </c>
      <c r="N3821" t="inlineStr">
        <is>
          <t>20/BR572449</t>
        </is>
      </c>
      <c r="O3821" t="inlineStr">
        <is>
          <t>R</t>
        </is>
      </c>
      <c r="P3821">
        <f>TRIM(N3821)</f>
        <v/>
      </c>
    </row>
    <row r="3822">
      <c r="A3822" t="inlineStr">
        <is>
          <t>CO-002533</t>
        </is>
      </c>
      <c r="B3822" t="inlineStr">
        <is>
          <t>SUNAT - AREQUIPA - MOLLENDO</t>
        </is>
      </c>
      <c r="C3822" t="inlineStr">
        <is>
          <t>20131312955</t>
        </is>
      </c>
      <c r="D3822" t="inlineStr">
        <is>
          <t>Av. Tupac Amaru 102 Urb. Miramar</t>
        </is>
      </c>
      <c r="E3822" t="inlineStr">
        <is>
          <t>Lima, 05 de diciembre del 2025</t>
        </is>
      </c>
      <c r="F3822" t="inlineStr">
        <is>
          <t>la Recarga y mantenimiento</t>
        </is>
      </c>
      <c r="G3822" t="inlineStr">
        <is>
          <t>05</t>
        </is>
      </c>
      <c r="H3822" t="inlineStr">
        <is>
          <t>15 LBS</t>
        </is>
      </c>
      <c r="I3822" t="n">
        <v>2026</v>
      </c>
      <c r="J3822" t="n">
        <v>2012</v>
      </c>
      <c r="K3822" t="inlineStr">
        <is>
          <t>NOVIEMBRE 2025</t>
        </is>
      </c>
      <c r="L3822" t="inlineStr">
        <is>
          <t>NOVIEMBRE 2026</t>
        </is>
      </c>
      <c r="M3822" t="inlineStr">
        <is>
          <t>CO2 /TIPO BC</t>
        </is>
      </c>
      <c r="N3822" t="inlineStr">
        <is>
          <t>21/795602</t>
        </is>
      </c>
      <c r="O3822" t="inlineStr">
        <is>
          <t>R</t>
        </is>
      </c>
      <c r="P3822">
        <f>TRIM(N3822)</f>
        <v/>
      </c>
    </row>
    <row r="3823">
      <c r="A3823" t="inlineStr">
        <is>
          <t>CO-002533</t>
        </is>
      </c>
      <c r="B3823" t="inlineStr">
        <is>
          <t>SUNAT - AREQUIPA - MOLLENDO</t>
        </is>
      </c>
      <c r="C3823" t="inlineStr">
        <is>
          <t>20131312955</t>
        </is>
      </c>
      <c r="D3823" t="inlineStr">
        <is>
          <t>Av. Tupac Amaru 102 Urb. Miramar</t>
        </is>
      </c>
      <c r="E3823" t="inlineStr">
        <is>
          <t>Lima, 05 de diciembre del 2025</t>
        </is>
      </c>
      <c r="F3823" t="inlineStr">
        <is>
          <t>la Recarga y mantenimiento</t>
        </is>
      </c>
      <c r="G3823" t="inlineStr">
        <is>
          <t>06</t>
        </is>
      </c>
      <c r="H3823" t="inlineStr">
        <is>
          <t>10 LBS</t>
        </is>
      </c>
      <c r="I3823" t="n">
        <v>2026</v>
      </c>
      <c r="J3823" t="n">
        <v>2015</v>
      </c>
      <c r="K3823" t="inlineStr">
        <is>
          <t>NOVIEMBRE 2025</t>
        </is>
      </c>
      <c r="L3823" t="inlineStr">
        <is>
          <t>NOVIEMBRE 2026</t>
        </is>
      </c>
      <c r="M3823" t="inlineStr">
        <is>
          <t>CO2 /TIPO BC</t>
        </is>
      </c>
      <c r="N3823" t="inlineStr">
        <is>
          <t>22/W716550</t>
        </is>
      </c>
      <c r="O3823" t="inlineStr">
        <is>
          <t>R</t>
        </is>
      </c>
      <c r="P3823">
        <f>TRIM(N3823)</f>
        <v/>
      </c>
    </row>
    <row r="3824">
      <c r="A3824" t="inlineStr">
        <is>
          <t>CO-002533</t>
        </is>
      </c>
      <c r="B3824" t="inlineStr">
        <is>
          <t>SUNAT - AREQUIPA - MOLLENDO</t>
        </is>
      </c>
      <c r="C3824" t="inlineStr">
        <is>
          <t>20131312955</t>
        </is>
      </c>
      <c r="D3824" t="inlineStr">
        <is>
          <t>Av. Tupac Amaru 102 Urb. Miramar</t>
        </is>
      </c>
      <c r="E3824" t="inlineStr">
        <is>
          <t>Lima, 05 de diciembre del 2025</t>
        </is>
      </c>
      <c r="F3824" t="inlineStr">
        <is>
          <t>la Recarga y mantenimiento</t>
        </is>
      </c>
      <c r="G3824" t="inlineStr">
        <is>
          <t>07</t>
        </is>
      </c>
      <c r="H3824" t="inlineStr">
        <is>
          <t>15 LBS</t>
        </is>
      </c>
      <c r="I3824" t="n">
        <v>2026</v>
      </c>
      <c r="J3824" t="n">
        <v>2012</v>
      </c>
      <c r="K3824" t="inlineStr">
        <is>
          <t>NOVIEMBRE 2025</t>
        </is>
      </c>
      <c r="L3824" t="inlineStr">
        <is>
          <t>NOVIEMBRE 2026</t>
        </is>
      </c>
      <c r="M3824" t="inlineStr">
        <is>
          <t>CO2 /TIPO BC</t>
        </is>
      </c>
      <c r="N3824" t="inlineStr">
        <is>
          <t>23/794351</t>
        </is>
      </c>
      <c r="O3824" t="inlineStr">
        <is>
          <t>R</t>
        </is>
      </c>
      <c r="P3824">
        <f>TRIM(N3824)</f>
        <v/>
      </c>
    </row>
    <row r="3825">
      <c r="A3825" t="inlineStr">
        <is>
          <t>CO-002533</t>
        </is>
      </c>
      <c r="B3825" t="inlineStr">
        <is>
          <t>SUNAT - AREQUIPA - MOLLENDO</t>
        </is>
      </c>
      <c r="C3825" t="inlineStr">
        <is>
          <t>20131312955</t>
        </is>
      </c>
      <c r="D3825" t="inlineStr">
        <is>
          <t>Av. Tupac Amaru 102 Urb. Miramar</t>
        </is>
      </c>
      <c r="E3825" t="inlineStr">
        <is>
          <t>Lima, 05 de diciembre del 2025</t>
        </is>
      </c>
      <c r="F3825" t="inlineStr">
        <is>
          <t>la Recarga y mantenimiento</t>
        </is>
      </c>
      <c r="G3825" t="inlineStr">
        <is>
          <t>08</t>
        </is>
      </c>
      <c r="H3825" t="inlineStr">
        <is>
          <t>20 LBS</t>
        </is>
      </c>
      <c r="I3825" t="n">
        <v>2027</v>
      </c>
      <c r="J3825" t="inlineStr">
        <is>
          <t>N/R</t>
        </is>
      </c>
      <c r="K3825" t="inlineStr">
        <is>
          <t>NOVIEMBRE 2025</t>
        </is>
      </c>
      <c r="L3825" t="inlineStr">
        <is>
          <t>NOVIEMBRE 2026</t>
        </is>
      </c>
      <c r="M3825" t="inlineStr">
        <is>
          <t>P.Q.S. / ABC AL 90%</t>
        </is>
      </c>
      <c r="N3825" t="inlineStr">
        <is>
          <t>24/M179728</t>
        </is>
      </c>
      <c r="O3825" t="inlineStr">
        <is>
          <t>R</t>
        </is>
      </c>
      <c r="P3825">
        <f>TRIM(N3825)</f>
        <v/>
      </c>
    </row>
    <row r="3826">
      <c r="A3826" t="inlineStr">
        <is>
          <t>CO-002533</t>
        </is>
      </c>
      <c r="B3826" t="inlineStr">
        <is>
          <t>SUNAT - AREQUIPA - MOLLENDO</t>
        </is>
      </c>
      <c r="C3826" t="inlineStr">
        <is>
          <t>20131312955</t>
        </is>
      </c>
      <c r="D3826" t="inlineStr">
        <is>
          <t>Av. Tupac Amaru 102 Urb. Miramar</t>
        </is>
      </c>
      <c r="E3826" t="inlineStr">
        <is>
          <t>Lima, 05 de diciembre del 2025</t>
        </is>
      </c>
      <c r="F3826" t="inlineStr">
        <is>
          <t>la Recarga y mantenimiento</t>
        </is>
      </c>
      <c r="G3826" t="inlineStr">
        <is>
          <t>09</t>
        </is>
      </c>
      <c r="H3826" t="inlineStr">
        <is>
          <t>15 LBS</t>
        </is>
      </c>
      <c r="I3826" t="n">
        <v>2026</v>
      </c>
      <c r="J3826" t="n">
        <v>2012</v>
      </c>
      <c r="K3826" t="inlineStr">
        <is>
          <t>NOVIEMBRE 2025</t>
        </is>
      </c>
      <c r="L3826" t="inlineStr">
        <is>
          <t>NOVIEMBRE 2026</t>
        </is>
      </c>
      <c r="M3826" t="inlineStr">
        <is>
          <t>CO2 /TIPO BC</t>
        </is>
      </c>
      <c r="N3826" t="inlineStr">
        <is>
          <t>25/794641</t>
        </is>
      </c>
      <c r="O3826" t="inlineStr">
        <is>
          <t>R</t>
        </is>
      </c>
      <c r="P3826">
        <f>TRIM(N3826)</f>
        <v/>
      </c>
    </row>
    <row r="3827">
      <c r="A3827" t="inlineStr">
        <is>
          <t>CO-002533</t>
        </is>
      </c>
      <c r="B3827" t="inlineStr">
        <is>
          <t>SUNAT - AREQUIPA - MOLLENDO</t>
        </is>
      </c>
      <c r="C3827" t="inlineStr">
        <is>
          <t>20131312955</t>
        </is>
      </c>
      <c r="D3827" t="inlineStr">
        <is>
          <t>Av. Tupac Amaru 102 Urb. Miramar</t>
        </is>
      </c>
      <c r="E3827" t="inlineStr">
        <is>
          <t>Lima, 05 de diciembre del 2025</t>
        </is>
      </c>
      <c r="F3827" t="inlineStr">
        <is>
          <t>la Recarga y mantenimiento</t>
        </is>
      </c>
      <c r="G3827" t="n">
        <v>10</v>
      </c>
      <c r="H3827" t="inlineStr">
        <is>
          <t>15 LBS</t>
        </is>
      </c>
      <c r="I3827" t="n">
        <v>2026</v>
      </c>
      <c r="J3827" t="n">
        <v>2012</v>
      </c>
      <c r="K3827" t="inlineStr">
        <is>
          <t>NOVIEMBRE 2025</t>
        </is>
      </c>
      <c r="L3827" t="inlineStr">
        <is>
          <t>NOVIEMBRE 2026</t>
        </is>
      </c>
      <c r="M3827" t="inlineStr">
        <is>
          <t>CO2 /TIPO BC</t>
        </is>
      </c>
      <c r="N3827" t="inlineStr">
        <is>
          <t>26/794233</t>
        </is>
      </c>
      <c r="O3827" t="inlineStr">
        <is>
          <t>R</t>
        </is>
      </c>
      <c r="P3827">
        <f>TRIM(N3827)</f>
        <v/>
      </c>
    </row>
    <row r="3828">
      <c r="A3828" t="inlineStr">
        <is>
          <t>CO-002533</t>
        </is>
      </c>
      <c r="B3828" t="inlineStr">
        <is>
          <t>SUNAT - AREQUIPA - MOLLENDO</t>
        </is>
      </c>
      <c r="C3828" t="inlineStr">
        <is>
          <t>20131312955</t>
        </is>
      </c>
      <c r="D3828" t="inlineStr">
        <is>
          <t>Av. Tupac Amaru 102 Urb. Miramar</t>
        </is>
      </c>
      <c r="E3828" t="inlineStr">
        <is>
          <t>Lima, 05 de diciembre del 2025</t>
        </is>
      </c>
      <c r="F3828" t="inlineStr">
        <is>
          <t>la Recarga y mantenimiento</t>
        </is>
      </c>
      <c r="G3828" t="n">
        <v>11</v>
      </c>
      <c r="H3828" t="inlineStr">
        <is>
          <t xml:space="preserve">20 LBS </t>
        </is>
      </c>
      <c r="I3828" t="n">
        <v>2027</v>
      </c>
      <c r="J3828" t="inlineStr">
        <is>
          <t>N/R</t>
        </is>
      </c>
      <c r="K3828" t="inlineStr">
        <is>
          <t>NOVIEMBRE 2025</t>
        </is>
      </c>
      <c r="L3828" t="inlineStr">
        <is>
          <t>NOVIEMBRE 2026</t>
        </is>
      </c>
      <c r="M3828" t="inlineStr">
        <is>
          <t>P.Q.S. / ABC AL 90%</t>
        </is>
      </c>
      <c r="N3828" t="inlineStr">
        <is>
          <t>27/M179929</t>
        </is>
      </c>
      <c r="O3828" t="inlineStr">
        <is>
          <t>R</t>
        </is>
      </c>
      <c r="P3828">
        <f>TRIM(N3828)</f>
        <v/>
      </c>
    </row>
    <row r="3829">
      <c r="A3829" t="inlineStr">
        <is>
          <t>CO-002533</t>
        </is>
      </c>
      <c r="B3829" t="inlineStr">
        <is>
          <t>SUNAT - AREQUIPA - MOLLENDO</t>
        </is>
      </c>
      <c r="C3829" t="inlineStr">
        <is>
          <t>20131312955</t>
        </is>
      </c>
      <c r="D3829" t="inlineStr">
        <is>
          <t>Av. Tupac Amaru 102 Urb. Miramar</t>
        </is>
      </c>
      <c r="E3829" t="inlineStr">
        <is>
          <t>Lima, 05 de diciembre del 2025</t>
        </is>
      </c>
      <c r="F3829" t="inlineStr">
        <is>
          <t>la Recarga y mantenimiento</t>
        </is>
      </c>
      <c r="G3829" t="n">
        <v>12</v>
      </c>
      <c r="H3829" t="inlineStr">
        <is>
          <t xml:space="preserve">20 LBS </t>
        </is>
      </c>
      <c r="I3829" t="n">
        <v>2027</v>
      </c>
      <c r="J3829" t="inlineStr">
        <is>
          <t>N/R</t>
        </is>
      </c>
      <c r="K3829" t="inlineStr">
        <is>
          <t>NOVIEMBRE 2025</t>
        </is>
      </c>
      <c r="L3829" t="inlineStr">
        <is>
          <t>NOVIEMBRE 2026</t>
        </is>
      </c>
      <c r="M3829" t="inlineStr">
        <is>
          <t>P.Q.S. / ABC AL 90%</t>
        </is>
      </c>
      <c r="N3829" t="inlineStr">
        <is>
          <t>28/N/R</t>
        </is>
      </c>
      <c r="O3829" t="inlineStr">
        <is>
          <t>R</t>
        </is>
      </c>
      <c r="P3829">
        <f>TRIM(N3829)</f>
        <v/>
      </c>
    </row>
    <row r="3830">
      <c r="A3830" t="inlineStr">
        <is>
          <t>CO-002533</t>
        </is>
      </c>
      <c r="B3830" t="inlineStr">
        <is>
          <t>SUNAT - AREQUIPA - MOLLENDO</t>
        </is>
      </c>
      <c r="C3830" t="inlineStr">
        <is>
          <t>20131312955</t>
        </is>
      </c>
      <c r="D3830" t="inlineStr">
        <is>
          <t>Av. Tupac Amaru 102 Urb. Miramar</t>
        </is>
      </c>
      <c r="E3830" t="inlineStr">
        <is>
          <t>Lima, 05 de diciembre del 2025</t>
        </is>
      </c>
      <c r="F3830" t="inlineStr">
        <is>
          <t>la Recarga y mantenimiento</t>
        </is>
      </c>
      <c r="G3830" t="n">
        <v>13</v>
      </c>
      <c r="H3830" t="inlineStr">
        <is>
          <t>15 LBS</t>
        </is>
      </c>
      <c r="I3830" t="n">
        <v>2026</v>
      </c>
      <c r="J3830" t="n">
        <v>2012</v>
      </c>
      <c r="K3830" t="inlineStr">
        <is>
          <t>NOVIEMBRE 2025</t>
        </is>
      </c>
      <c r="L3830" t="inlineStr">
        <is>
          <t>NOVIEMBRE 2026</t>
        </is>
      </c>
      <c r="M3830" t="inlineStr">
        <is>
          <t>CO2 /TIPO BC</t>
        </is>
      </c>
      <c r="N3830" t="inlineStr">
        <is>
          <t>29/794354</t>
        </is>
      </c>
      <c r="O3830" t="inlineStr">
        <is>
          <t>R</t>
        </is>
      </c>
      <c r="P3830">
        <f>TRIM(N3830)</f>
        <v/>
      </c>
    </row>
    <row r="3831">
      <c r="A3831" t="inlineStr">
        <is>
          <t>CO-002533</t>
        </is>
      </c>
      <c r="B3831" t="inlineStr">
        <is>
          <t>SUNAT - AREQUIPA - MOLLENDO</t>
        </is>
      </c>
      <c r="C3831" t="inlineStr">
        <is>
          <t>20131312955</t>
        </is>
      </c>
      <c r="D3831" t="inlineStr">
        <is>
          <t>Av. Tupac Amaru 102 Urb. Miramar</t>
        </is>
      </c>
      <c r="E3831" t="inlineStr">
        <is>
          <t>Lima, 05 de diciembre del 2025</t>
        </is>
      </c>
      <c r="F3831" t="inlineStr">
        <is>
          <t>la Recarga y mantenimiento</t>
        </is>
      </c>
      <c r="G3831" t="n">
        <v>14</v>
      </c>
      <c r="H3831" t="inlineStr">
        <is>
          <t>20LBS</t>
        </is>
      </c>
      <c r="I3831" t="n">
        <v>2027</v>
      </c>
      <c r="J3831" t="inlineStr">
        <is>
          <t>N/R</t>
        </is>
      </c>
      <c r="K3831" t="inlineStr">
        <is>
          <t>NOVIEMBRE 2025</t>
        </is>
      </c>
      <c r="L3831" t="inlineStr">
        <is>
          <t>NOVIEMBRE 2026</t>
        </is>
      </c>
      <c r="M3831" t="inlineStr">
        <is>
          <t>P.Q.S. / ABC AL 90%</t>
        </is>
      </c>
      <c r="N3831" t="inlineStr">
        <is>
          <t>30/M179922</t>
        </is>
      </c>
      <c r="O3831" t="inlineStr">
        <is>
          <t>R</t>
        </is>
      </c>
      <c r="P3831">
        <f>TRIM(N3831)</f>
        <v/>
      </c>
    </row>
    <row r="3832">
      <c r="A3832" t="inlineStr">
        <is>
          <t>CO-002533</t>
        </is>
      </c>
      <c r="B3832" t="inlineStr">
        <is>
          <t>SUNAT - AREQUIPA - MOLLENDO</t>
        </is>
      </c>
      <c r="C3832" t="inlineStr">
        <is>
          <t>20131312955</t>
        </is>
      </c>
      <c r="D3832" t="inlineStr">
        <is>
          <t>Av. Tupac Amaru 102 Urb. Miramar</t>
        </is>
      </c>
      <c r="E3832" t="inlineStr">
        <is>
          <t>Lima, 05 de diciembre del 2025</t>
        </is>
      </c>
      <c r="F3832" t="inlineStr">
        <is>
          <t>la Recarga y mantenimiento</t>
        </is>
      </c>
      <c r="G3832" t="n">
        <v>15</v>
      </c>
      <c r="H3832" t="inlineStr">
        <is>
          <t>10 LBS</t>
        </is>
      </c>
      <c r="I3832" t="n">
        <v>2026</v>
      </c>
      <c r="J3832" t="n">
        <v>2010</v>
      </c>
      <c r="K3832" t="inlineStr">
        <is>
          <t>NOVIEMBRE 2025</t>
        </is>
      </c>
      <c r="L3832" t="inlineStr">
        <is>
          <t>NOVIEMBRE 2026</t>
        </is>
      </c>
      <c r="M3832" t="inlineStr">
        <is>
          <t>CO2 TIPO BC</t>
        </is>
      </c>
      <c r="N3832" t="inlineStr">
        <is>
          <t>31/652923</t>
        </is>
      </c>
      <c r="O3832" t="inlineStr">
        <is>
          <t>R</t>
        </is>
      </c>
      <c r="P3832">
        <f>TRIM(N3832)</f>
        <v/>
      </c>
    </row>
    <row r="3833">
      <c r="A3833" t="inlineStr">
        <is>
          <t>CO-002534</t>
        </is>
      </c>
      <c r="B3833" t="inlineStr">
        <is>
          <t>SUNAT - AREQUIPA - MOLLENDO</t>
        </is>
      </c>
      <c r="C3833" t="inlineStr">
        <is>
          <t>20131312955</t>
        </is>
      </c>
      <c r="D3833" t="inlineStr">
        <is>
          <t>Av. Tupac Amaru 102 Urb. Miramar</t>
        </is>
      </c>
      <c r="E3833" t="inlineStr">
        <is>
          <t>Lima, 05 de diciembre del 2025</t>
        </is>
      </c>
      <c r="F3833" t="inlineStr">
        <is>
          <t>la Recarga y mantenimiento</t>
        </is>
      </c>
      <c r="G3833" t="inlineStr">
        <is>
          <t>01</t>
        </is>
      </c>
      <c r="H3833" t="inlineStr">
        <is>
          <t>15 LBS</t>
        </is>
      </c>
      <c r="I3833" t="inlineStr">
        <is>
          <t>2026</t>
        </is>
      </c>
      <c r="J3833" t="n">
        <v>2012</v>
      </c>
      <c r="K3833" t="inlineStr">
        <is>
          <t>NOVIEMBRE 2025</t>
        </is>
      </c>
      <c r="L3833" t="inlineStr">
        <is>
          <t>NOVIEMBRE 2026</t>
        </is>
      </c>
      <c r="M3833" t="inlineStr">
        <is>
          <t>CO2 /TIPO BC</t>
        </is>
      </c>
      <c r="N3833" t="inlineStr">
        <is>
          <t>32/794387</t>
        </is>
      </c>
      <c r="O3833" t="inlineStr">
        <is>
          <t>R</t>
        </is>
      </c>
      <c r="P3833">
        <f>TRIM(N3833)</f>
        <v/>
      </c>
    </row>
    <row r="3834">
      <c r="A3834" t="inlineStr">
        <is>
          <t>CO-002534</t>
        </is>
      </c>
      <c r="B3834" t="inlineStr">
        <is>
          <t>SUNAT - AREQUIPA - MOLLENDO</t>
        </is>
      </c>
      <c r="C3834" t="inlineStr">
        <is>
          <t>20131312955</t>
        </is>
      </c>
      <c r="D3834" t="inlineStr">
        <is>
          <t>Av. Tupac Amaru 102 Urb. Miramar</t>
        </is>
      </c>
      <c r="E3834" t="inlineStr">
        <is>
          <t>Lima, 05 de diciembre del 2025</t>
        </is>
      </c>
      <c r="F3834" t="inlineStr">
        <is>
          <t>la Recarga y mantenimiento</t>
        </is>
      </c>
      <c r="G3834" t="inlineStr">
        <is>
          <t>02</t>
        </is>
      </c>
      <c r="H3834" t="inlineStr">
        <is>
          <t>10 LBS</t>
        </is>
      </c>
      <c r="I3834" t="inlineStr">
        <is>
          <t>2026</t>
        </is>
      </c>
      <c r="J3834" t="n">
        <v>2010</v>
      </c>
      <c r="K3834" t="inlineStr">
        <is>
          <t>NOVIEMBRE 2025</t>
        </is>
      </c>
      <c r="L3834" t="inlineStr">
        <is>
          <t>NOVIEMBRE 2026</t>
        </is>
      </c>
      <c r="M3834" t="inlineStr">
        <is>
          <t>CO2 /TIPO BC</t>
        </is>
      </c>
      <c r="N3834" t="inlineStr">
        <is>
          <t>33/652879</t>
        </is>
      </c>
      <c r="O3834" t="inlineStr">
        <is>
          <t>R</t>
        </is>
      </c>
      <c r="P3834">
        <f>TRIM(N3834)</f>
        <v/>
      </c>
    </row>
    <row r="3835">
      <c r="A3835" t="inlineStr">
        <is>
          <t>CO-002534</t>
        </is>
      </c>
      <c r="B3835" t="inlineStr">
        <is>
          <t>SUNAT - AREQUIPA - MOLLENDO</t>
        </is>
      </c>
      <c r="C3835" t="inlineStr">
        <is>
          <t>20131312955</t>
        </is>
      </c>
      <c r="D3835" t="inlineStr">
        <is>
          <t>Av. Tupac Amaru 102 Urb. Miramar</t>
        </is>
      </c>
      <c r="E3835" t="inlineStr">
        <is>
          <t>Lima, 05 de diciembre del 2025</t>
        </is>
      </c>
      <c r="F3835" t="inlineStr">
        <is>
          <t>la Recarga y mantenimiento</t>
        </is>
      </c>
      <c r="G3835" t="inlineStr">
        <is>
          <t>03</t>
        </is>
      </c>
      <c r="H3835" t="inlineStr">
        <is>
          <t>20 LBS</t>
        </is>
      </c>
      <c r="I3835" t="n">
        <v>2027</v>
      </c>
      <c r="J3835" t="inlineStr">
        <is>
          <t>N/R</t>
        </is>
      </c>
      <c r="K3835" t="inlineStr">
        <is>
          <t>NOVIEMBRE 2025</t>
        </is>
      </c>
      <c r="L3835" t="inlineStr">
        <is>
          <t>NOVIEMBRE 2026</t>
        </is>
      </c>
      <c r="M3835" t="inlineStr">
        <is>
          <t>P.Q.S. / ABC AL 90%</t>
        </is>
      </c>
      <c r="N3835" t="inlineStr">
        <is>
          <t>34/M179797</t>
        </is>
      </c>
      <c r="O3835" t="inlineStr">
        <is>
          <t>R</t>
        </is>
      </c>
      <c r="P3835">
        <f>TRIM(N3835)</f>
        <v/>
      </c>
    </row>
    <row r="3836">
      <c r="A3836" t="inlineStr">
        <is>
          <t>CO-002534</t>
        </is>
      </c>
      <c r="B3836" t="inlineStr">
        <is>
          <t>SUNAT - AREQUIPA - MOLLENDO</t>
        </is>
      </c>
      <c r="C3836" t="inlineStr">
        <is>
          <t>20131312955</t>
        </is>
      </c>
      <c r="D3836" t="inlineStr">
        <is>
          <t>Av. Tupac Amaru 102 Urb. Miramar</t>
        </is>
      </c>
      <c r="E3836" t="inlineStr">
        <is>
          <t>Lima, 05 de diciembre del 2025</t>
        </is>
      </c>
      <c r="F3836" t="inlineStr">
        <is>
          <t>la Recarga y mantenimiento</t>
        </is>
      </c>
      <c r="G3836" t="inlineStr">
        <is>
          <t>04</t>
        </is>
      </c>
      <c r="H3836" t="inlineStr">
        <is>
          <t>20 LBS</t>
        </is>
      </c>
      <c r="I3836" t="n">
        <v>2027</v>
      </c>
      <c r="J3836" t="inlineStr">
        <is>
          <t>N/R</t>
        </is>
      </c>
      <c r="K3836" t="inlineStr">
        <is>
          <t>NOVIEMBRE 2025</t>
        </is>
      </c>
      <c r="L3836" t="inlineStr">
        <is>
          <t>NOVIEMBRE 2026</t>
        </is>
      </c>
      <c r="M3836" t="inlineStr">
        <is>
          <t>P.Q.S. / ABC AL 90%</t>
        </is>
      </c>
      <c r="N3836" t="inlineStr">
        <is>
          <t>35/M179919</t>
        </is>
      </c>
      <c r="O3836" t="inlineStr">
        <is>
          <t>R</t>
        </is>
      </c>
      <c r="P3836">
        <f>TRIM(N3836)</f>
        <v/>
      </c>
    </row>
    <row r="3837">
      <c r="A3837" t="inlineStr">
        <is>
          <t>CO-002534</t>
        </is>
      </c>
      <c r="B3837" t="inlineStr">
        <is>
          <t>SUNAT - AREQUIPA - MOLLENDO</t>
        </is>
      </c>
      <c r="C3837" t="inlineStr">
        <is>
          <t>20131312955</t>
        </is>
      </c>
      <c r="D3837" t="inlineStr">
        <is>
          <t>Av. Tupac Amaru 102 Urb. Miramar</t>
        </is>
      </c>
      <c r="E3837" t="inlineStr">
        <is>
          <t>Lima, 05 de diciembre del 2025</t>
        </is>
      </c>
      <c r="F3837" t="inlineStr">
        <is>
          <t>la Recarga y mantenimiento</t>
        </is>
      </c>
      <c r="G3837" t="inlineStr">
        <is>
          <t>05</t>
        </is>
      </c>
      <c r="H3837" t="inlineStr">
        <is>
          <t xml:space="preserve">30 LBS </t>
        </is>
      </c>
      <c r="I3837" t="n">
        <v>2026</v>
      </c>
      <c r="J3837" t="n">
        <v>2013</v>
      </c>
      <c r="K3837" t="inlineStr">
        <is>
          <t>NOVIEMBRE 2025</t>
        </is>
      </c>
      <c r="L3837" t="inlineStr">
        <is>
          <t>NOVIEMBRE 2026</t>
        </is>
      </c>
      <c r="M3837" t="inlineStr">
        <is>
          <t>P.Q.S. / ABC AL 90%</t>
        </is>
      </c>
      <c r="N3837" t="inlineStr">
        <is>
          <t>36/BR574031</t>
        </is>
      </c>
      <c r="O3837" t="inlineStr">
        <is>
          <t>R</t>
        </is>
      </c>
      <c r="P3837">
        <f>TRIM(N3837)</f>
        <v/>
      </c>
    </row>
    <row r="3838">
      <c r="A3838" t="inlineStr">
        <is>
          <t>CO-002534</t>
        </is>
      </c>
      <c r="B3838" t="inlineStr">
        <is>
          <t>SUNAT - AREQUIPA - MOLLENDO</t>
        </is>
      </c>
      <c r="C3838" t="inlineStr">
        <is>
          <t>20131312955</t>
        </is>
      </c>
      <c r="D3838" t="inlineStr">
        <is>
          <t>Av. Tupac Amaru 102 Urb. Miramar</t>
        </is>
      </c>
      <c r="E3838" t="inlineStr">
        <is>
          <t>Lima, 05 de diciembre del 2025</t>
        </is>
      </c>
      <c r="F3838" t="inlineStr">
        <is>
          <t>la Recarga y mantenimiento</t>
        </is>
      </c>
      <c r="G3838" t="inlineStr">
        <is>
          <t>06</t>
        </is>
      </c>
      <c r="H3838" t="inlineStr">
        <is>
          <t>125 LBS</t>
        </is>
      </c>
      <c r="I3838" t="n">
        <v>2028</v>
      </c>
      <c r="J3838" t="n">
        <v>2012</v>
      </c>
      <c r="K3838" t="inlineStr">
        <is>
          <t>NOVIEMBRE 2025</t>
        </is>
      </c>
      <c r="L3838" t="inlineStr">
        <is>
          <t>NOVIEMBRE 2026</t>
        </is>
      </c>
      <c r="M3838" t="inlineStr">
        <is>
          <t>P.Q.S. / ABC AL 90%</t>
        </is>
      </c>
      <c r="N3838" t="inlineStr">
        <is>
          <t>37/BH86037</t>
        </is>
      </c>
      <c r="O3838" t="inlineStr">
        <is>
          <t>R</t>
        </is>
      </c>
      <c r="P3838">
        <f>TRIM(N3838)</f>
        <v/>
      </c>
    </row>
    <row r="3839">
      <c r="A3839" t="inlineStr">
        <is>
          <t>CO-002534</t>
        </is>
      </c>
      <c r="B3839" t="inlineStr">
        <is>
          <t>SUNAT - AREQUIPA - MOLLENDO</t>
        </is>
      </c>
      <c r="C3839" t="inlineStr">
        <is>
          <t>20131312955</t>
        </is>
      </c>
      <c r="D3839" t="inlineStr">
        <is>
          <t>Av. Tupac Amaru 102 Urb. Miramar</t>
        </is>
      </c>
      <c r="E3839" t="inlineStr">
        <is>
          <t>Lima, 05 de diciembre del 2025</t>
        </is>
      </c>
      <c r="F3839" t="inlineStr">
        <is>
          <t>la Recarga y mantenimiento</t>
        </is>
      </c>
      <c r="G3839" t="inlineStr">
        <is>
          <t>07</t>
        </is>
      </c>
      <c r="H3839" t="inlineStr">
        <is>
          <t>30 LBS</t>
        </is>
      </c>
      <c r="I3839" t="n">
        <v>2026</v>
      </c>
      <c r="J3839" t="n">
        <v>2013</v>
      </c>
      <c r="K3839" t="inlineStr">
        <is>
          <t>NOVIEMBRE 2025</t>
        </is>
      </c>
      <c r="L3839" t="inlineStr">
        <is>
          <t>NOVIEMBRE 2026</t>
        </is>
      </c>
      <c r="M3839" t="inlineStr">
        <is>
          <t>P.Q.S. / ABC AL 90%</t>
        </is>
      </c>
      <c r="N3839" t="inlineStr">
        <is>
          <t>38/BR574126</t>
        </is>
      </c>
      <c r="O3839" t="inlineStr">
        <is>
          <t>R</t>
        </is>
      </c>
      <c r="P3839">
        <f>TRIM(N3839)</f>
        <v/>
      </c>
    </row>
    <row r="3840">
      <c r="A3840" t="inlineStr">
        <is>
          <t>CO-002534</t>
        </is>
      </c>
      <c r="B3840" t="inlineStr">
        <is>
          <t>SUNAT - AREQUIPA - MOLLENDO</t>
        </is>
      </c>
      <c r="C3840" t="inlineStr">
        <is>
          <t>20131312955</t>
        </is>
      </c>
      <c r="D3840" t="inlineStr">
        <is>
          <t>Av. Tupac Amaru 102 Urb. Miramar</t>
        </is>
      </c>
      <c r="E3840" t="inlineStr">
        <is>
          <t>Lima, 05 de diciembre del 2025</t>
        </is>
      </c>
      <c r="F3840" t="inlineStr">
        <is>
          <t>la Recarga y mantenimiento</t>
        </is>
      </c>
      <c r="G3840" t="inlineStr">
        <is>
          <t>08</t>
        </is>
      </c>
      <c r="H3840" t="inlineStr">
        <is>
          <t>30 LBS</t>
        </is>
      </c>
      <c r="I3840" t="n">
        <v>2026</v>
      </c>
      <c r="J3840" t="n">
        <v>2013</v>
      </c>
      <c r="K3840" t="inlineStr">
        <is>
          <t>NOVIEMBRE 2025</t>
        </is>
      </c>
      <c r="L3840" t="inlineStr">
        <is>
          <t>NOVIEMBRE 2026</t>
        </is>
      </c>
      <c r="M3840" t="inlineStr">
        <is>
          <t>P.Q.S. / ABC AL 90%</t>
        </is>
      </c>
      <c r="N3840" t="inlineStr">
        <is>
          <t>39/BR574105</t>
        </is>
      </c>
      <c r="O3840" t="inlineStr">
        <is>
          <t>R</t>
        </is>
      </c>
      <c r="P3840">
        <f>TRIM(N3840)</f>
        <v/>
      </c>
    </row>
    <row r="3841">
      <c r="A3841" t="inlineStr">
        <is>
          <t>CO-002534</t>
        </is>
      </c>
      <c r="B3841" t="inlineStr">
        <is>
          <t>SUNAT - AREQUIPA - MOLLENDO</t>
        </is>
      </c>
      <c r="C3841" t="inlineStr">
        <is>
          <t>20131312955</t>
        </is>
      </c>
      <c r="D3841" t="inlineStr">
        <is>
          <t>Av. Tupac Amaru 102 Urb. Miramar</t>
        </is>
      </c>
      <c r="E3841" t="inlineStr">
        <is>
          <t>Lima, 05 de diciembre del 2025</t>
        </is>
      </c>
      <c r="F3841" t="inlineStr">
        <is>
          <t>la Recarga y mantenimiento</t>
        </is>
      </c>
      <c r="G3841" t="inlineStr">
        <is>
          <t>09</t>
        </is>
      </c>
      <c r="H3841" t="inlineStr">
        <is>
          <t>30 LBS</t>
        </is>
      </c>
      <c r="I3841" t="n">
        <v>2026</v>
      </c>
      <c r="J3841" t="n">
        <v>2013</v>
      </c>
      <c r="K3841" t="inlineStr">
        <is>
          <t>NOVIEMBRE 2025</t>
        </is>
      </c>
      <c r="L3841" t="inlineStr">
        <is>
          <t>NOVIEMBRE 2026</t>
        </is>
      </c>
      <c r="M3841" t="inlineStr">
        <is>
          <t>P.Q.S. / ABC AL 90%</t>
        </is>
      </c>
      <c r="N3841" t="inlineStr">
        <is>
          <t>40/BZ574123</t>
        </is>
      </c>
      <c r="O3841" t="inlineStr">
        <is>
          <t>R</t>
        </is>
      </c>
      <c r="P3841">
        <f>TRIM(N3841)</f>
        <v/>
      </c>
    </row>
    <row r="3842">
      <c r="A3842" t="inlineStr">
        <is>
          <t>CO-002534</t>
        </is>
      </c>
      <c r="B3842" t="inlineStr">
        <is>
          <t>SUNAT - AREQUIPA - MOLLENDO</t>
        </is>
      </c>
      <c r="C3842" t="inlineStr">
        <is>
          <t>20131312955</t>
        </is>
      </c>
      <c r="D3842" t="inlineStr">
        <is>
          <t>Av. Tupac Amaru 102 Urb. Miramar</t>
        </is>
      </c>
      <c r="E3842" t="inlineStr">
        <is>
          <t>Lima, 05 de diciembre del 2025</t>
        </is>
      </c>
      <c r="F3842" t="inlineStr">
        <is>
          <t>la Recarga y mantenimiento</t>
        </is>
      </c>
      <c r="G3842" t="n">
        <v>10</v>
      </c>
      <c r="H3842" t="inlineStr">
        <is>
          <t>30 LBS</t>
        </is>
      </c>
      <c r="I3842" t="n">
        <v>2026</v>
      </c>
      <c r="J3842" t="n">
        <v>2013</v>
      </c>
      <c r="K3842" t="inlineStr">
        <is>
          <t>NOVIEMBRE 2025</t>
        </is>
      </c>
      <c r="L3842" t="inlineStr">
        <is>
          <t>NOVIEMBRE 2026</t>
        </is>
      </c>
      <c r="M3842" t="inlineStr">
        <is>
          <t>P.Q.S. / ABC AL 90%</t>
        </is>
      </c>
      <c r="N3842" t="inlineStr">
        <is>
          <t>41/BR574023</t>
        </is>
      </c>
      <c r="O3842" t="inlineStr">
        <is>
          <t>R</t>
        </is>
      </c>
      <c r="P3842">
        <f>TRIM(N3842)</f>
        <v/>
      </c>
    </row>
    <row r="3843">
      <c r="A3843" t="inlineStr">
        <is>
          <t>CO-002534</t>
        </is>
      </c>
      <c r="B3843" t="inlineStr">
        <is>
          <t>SUNAT - AREQUIPA - MOLLENDO</t>
        </is>
      </c>
      <c r="C3843" t="inlineStr">
        <is>
          <t>20131312955</t>
        </is>
      </c>
      <c r="D3843" t="inlineStr">
        <is>
          <t>Av. Tupac Amaru 102 Urb. Miramar</t>
        </is>
      </c>
      <c r="E3843" t="inlineStr">
        <is>
          <t>Lima, 05 de diciembre del 2025</t>
        </is>
      </c>
      <c r="F3843" t="inlineStr">
        <is>
          <t>la Recarga y mantenimiento</t>
        </is>
      </c>
      <c r="G3843" t="n">
        <v>11</v>
      </c>
      <c r="H3843" t="inlineStr">
        <is>
          <t>30 LBS</t>
        </is>
      </c>
      <c r="I3843" t="n">
        <v>2026</v>
      </c>
      <c r="J3843" t="n">
        <v>2013</v>
      </c>
      <c r="K3843" t="inlineStr">
        <is>
          <t>NOVIEMBRE 2025</t>
        </is>
      </c>
      <c r="L3843" t="inlineStr">
        <is>
          <t>NOVIEMBRE 2026</t>
        </is>
      </c>
      <c r="M3843" t="inlineStr">
        <is>
          <t>P.Q.S. / ABC AL 90%</t>
        </is>
      </c>
      <c r="N3843" t="inlineStr">
        <is>
          <t>42/BR574109</t>
        </is>
      </c>
      <c r="O3843" t="inlineStr">
        <is>
          <t>R</t>
        </is>
      </c>
      <c r="P3843">
        <f>TRIM(N3843)</f>
        <v/>
      </c>
    </row>
    <row r="3844">
      <c r="A3844" t="inlineStr">
        <is>
          <t>CO-002534</t>
        </is>
      </c>
      <c r="B3844" t="inlineStr">
        <is>
          <t>SUNAT - AREQUIPA - MOLLENDO</t>
        </is>
      </c>
      <c r="C3844" t="inlineStr">
        <is>
          <t>20131312955</t>
        </is>
      </c>
      <c r="D3844" t="inlineStr">
        <is>
          <t>Av. Tupac Amaru 102 Urb. Miramar</t>
        </is>
      </c>
      <c r="E3844" t="inlineStr">
        <is>
          <t>Lima, 05 de diciembre del 2025</t>
        </is>
      </c>
      <c r="F3844" t="inlineStr">
        <is>
          <t>la Recarga y mantenimiento</t>
        </is>
      </c>
      <c r="G3844" t="n">
        <v>12</v>
      </c>
      <c r="H3844" t="inlineStr">
        <is>
          <t>30 LBS</t>
        </is>
      </c>
      <c r="I3844" t="n">
        <v>2026</v>
      </c>
      <c r="J3844" t="n">
        <v>2013</v>
      </c>
      <c r="K3844" t="inlineStr">
        <is>
          <t>NOVIEMBRE 2025</t>
        </is>
      </c>
      <c r="L3844" t="inlineStr">
        <is>
          <t>NOVIEMBRE 2026</t>
        </is>
      </c>
      <c r="M3844" t="inlineStr">
        <is>
          <t>P.Q.S. / ABC AL 90%</t>
        </is>
      </c>
      <c r="N3844" t="inlineStr">
        <is>
          <t>43/BR574121</t>
        </is>
      </c>
      <c r="O3844" t="inlineStr">
        <is>
          <t>R</t>
        </is>
      </c>
      <c r="P3844">
        <f>TRIM(N3844)</f>
        <v/>
      </c>
    </row>
    <row r="3845">
      <c r="A3845" t="inlineStr">
        <is>
          <t>CO-002534</t>
        </is>
      </c>
      <c r="B3845" t="inlineStr">
        <is>
          <t>SUNAT - AREQUIPA - MOLLENDO</t>
        </is>
      </c>
      <c r="C3845" t="inlineStr">
        <is>
          <t>20131312955</t>
        </is>
      </c>
      <c r="D3845" t="inlineStr">
        <is>
          <t>Av. Tupac Amaru 102 Urb. Miramar</t>
        </is>
      </c>
      <c r="E3845" t="inlineStr">
        <is>
          <t>Lima, 05 de diciembre del 2025</t>
        </is>
      </c>
      <c r="F3845" t="inlineStr">
        <is>
          <t>la Recarga y mantenimiento</t>
        </is>
      </c>
      <c r="G3845" t="n">
        <v>13</v>
      </c>
      <c r="H3845" t="inlineStr">
        <is>
          <t>30 LBS</t>
        </is>
      </c>
      <c r="I3845" t="n">
        <v>2026</v>
      </c>
      <c r="J3845" t="n">
        <v>2013</v>
      </c>
      <c r="K3845" t="inlineStr">
        <is>
          <t>NOVIEMBRE 2025</t>
        </is>
      </c>
      <c r="L3845" t="inlineStr">
        <is>
          <t>NOVIEMBRE 2026</t>
        </is>
      </c>
      <c r="M3845" t="inlineStr">
        <is>
          <t>P.Q.S. / ABC AL 90%</t>
        </is>
      </c>
      <c r="N3845" t="inlineStr">
        <is>
          <t>46/BR574449</t>
        </is>
      </c>
      <c r="O3845" t="inlineStr">
        <is>
          <t>R</t>
        </is>
      </c>
      <c r="P3845">
        <f>TRIM(N3845)</f>
        <v/>
      </c>
    </row>
    <row r="3846">
      <c r="A3846" t="inlineStr">
        <is>
          <t>CO-002534</t>
        </is>
      </c>
      <c r="B3846" t="inlineStr">
        <is>
          <t>SUNAT - AREQUIPA - MOLLENDO</t>
        </is>
      </c>
      <c r="C3846" t="inlineStr">
        <is>
          <t>20131312955</t>
        </is>
      </c>
      <c r="D3846" t="inlineStr">
        <is>
          <t>Av. Tupac Amaru 102 Urb. Miramar</t>
        </is>
      </c>
      <c r="E3846" t="inlineStr">
        <is>
          <t>Lima, 05 de diciembre del 2025</t>
        </is>
      </c>
      <c r="F3846" t="inlineStr">
        <is>
          <t>la Recarga y mantenimiento</t>
        </is>
      </c>
      <c r="G3846" t="n">
        <v>14</v>
      </c>
      <c r="H3846" t="inlineStr">
        <is>
          <t>30 LBS</t>
        </is>
      </c>
      <c r="I3846" t="n">
        <v>2027</v>
      </c>
      <c r="J3846" t="inlineStr">
        <is>
          <t>N/R</t>
        </is>
      </c>
      <c r="K3846" t="inlineStr">
        <is>
          <t>NOVIEMBRE 2025</t>
        </is>
      </c>
      <c r="L3846" t="inlineStr">
        <is>
          <t>NOVIEMBRE 2026</t>
        </is>
      </c>
      <c r="M3846" t="inlineStr">
        <is>
          <t>P.Q.S. / ABC AL 90%</t>
        </is>
      </c>
      <c r="N3846" t="inlineStr">
        <is>
          <t>47/M179915</t>
        </is>
      </c>
      <c r="O3846" t="inlineStr">
        <is>
          <t>R</t>
        </is>
      </c>
      <c r="P3846">
        <f>TRIM(N3846)</f>
        <v/>
      </c>
    </row>
    <row r="3847">
      <c r="A3847" t="inlineStr">
        <is>
          <t>CO-002534</t>
        </is>
      </c>
      <c r="B3847" t="inlineStr">
        <is>
          <t>SUNAT - AREQUIPA - MOLLENDO</t>
        </is>
      </c>
      <c r="C3847" t="inlineStr">
        <is>
          <t>20131312955</t>
        </is>
      </c>
      <c r="D3847" t="inlineStr">
        <is>
          <t>Av. Tupac Amaru 102 Urb. Miramar</t>
        </is>
      </c>
      <c r="E3847" t="inlineStr">
        <is>
          <t>Lima, 05 de diciembre del 2025</t>
        </is>
      </c>
      <c r="F3847" t="inlineStr">
        <is>
          <t>la Recarga y mantenimiento</t>
        </is>
      </c>
      <c r="G3847" t="n">
        <v>15</v>
      </c>
      <c r="H3847" t="inlineStr">
        <is>
          <t>30 LBS</t>
        </is>
      </c>
      <c r="I3847" t="n">
        <v>2026</v>
      </c>
      <c r="J3847" t="n">
        <v>2013</v>
      </c>
      <c r="K3847" t="inlineStr">
        <is>
          <t>NOVIEMBRE 2025</t>
        </is>
      </c>
      <c r="L3847" t="inlineStr">
        <is>
          <t>NOVIEMBRE 2026</t>
        </is>
      </c>
      <c r="M3847" t="inlineStr">
        <is>
          <t>P.Q.S. / ABC AL 90%</t>
        </is>
      </c>
      <c r="N3847" t="inlineStr">
        <is>
          <t>48/BR574136</t>
        </is>
      </c>
      <c r="O3847" t="inlineStr">
        <is>
          <t>R</t>
        </is>
      </c>
      <c r="P3847">
        <f>TRIM(N3847)</f>
        <v/>
      </c>
    </row>
    <row r="3848">
      <c r="A3848" t="inlineStr">
        <is>
          <t>CO-002535</t>
        </is>
      </c>
      <c r="B3848" t="inlineStr">
        <is>
          <t>SUNAT - AREQUIPA - MOLLENDO</t>
        </is>
      </c>
      <c r="C3848" t="inlineStr">
        <is>
          <t>20131312955</t>
        </is>
      </c>
      <c r="D3848" t="inlineStr">
        <is>
          <t>Av. Tupac Amaru 102 Urb. Miramar</t>
        </is>
      </c>
      <c r="E3848" t="inlineStr">
        <is>
          <t>Lima, 05 de diciembre del 2025</t>
        </is>
      </c>
      <c r="F3848" t="inlineStr">
        <is>
          <t>la Recarga y mantenimiento</t>
        </is>
      </c>
      <c r="G3848" t="inlineStr">
        <is>
          <t>01</t>
        </is>
      </c>
      <c r="H3848" t="inlineStr">
        <is>
          <t xml:space="preserve">30 LBS </t>
        </is>
      </c>
      <c r="I3848" t="inlineStr">
        <is>
          <t>2026</t>
        </is>
      </c>
      <c r="J3848" t="n">
        <v>2007</v>
      </c>
      <c r="K3848" t="inlineStr">
        <is>
          <t>NOVIEMBRE 2025</t>
        </is>
      </c>
      <c r="L3848" t="inlineStr">
        <is>
          <t>NOVIEMBRE 2026</t>
        </is>
      </c>
      <c r="M3848" t="inlineStr">
        <is>
          <t>P.Q.S. / ABC AL 90%</t>
        </is>
      </c>
      <c r="N3848" t="inlineStr">
        <is>
          <t>S/N/ZB-239281</t>
        </is>
      </c>
      <c r="O3848" t="inlineStr">
        <is>
          <t>R</t>
        </is>
      </c>
      <c r="P3848">
        <f>TRIM(N3848)</f>
        <v/>
      </c>
    </row>
    <row r="3849">
      <c r="A3849" t="inlineStr">
        <is>
          <t>CO-002535</t>
        </is>
      </c>
      <c r="B3849" t="inlineStr">
        <is>
          <t>SUNAT - AREQUIPA - MOLLENDO</t>
        </is>
      </c>
      <c r="C3849" t="inlineStr">
        <is>
          <t>20131312955</t>
        </is>
      </c>
      <c r="D3849" t="inlineStr">
        <is>
          <t>Av. Tupac Amaru 102 Urb. Miramar</t>
        </is>
      </c>
      <c r="E3849" t="inlineStr">
        <is>
          <t>Lima, 05 de diciembre del 2025</t>
        </is>
      </c>
      <c r="F3849" t="inlineStr">
        <is>
          <t>la Recarga y mantenimiento</t>
        </is>
      </c>
      <c r="G3849" t="inlineStr">
        <is>
          <t>02</t>
        </is>
      </c>
      <c r="H3849" t="inlineStr">
        <is>
          <t>15 LBS</t>
        </is>
      </c>
      <c r="I3849" t="inlineStr">
        <is>
          <t>2029</t>
        </is>
      </c>
      <c r="J3849" t="n">
        <v>2012</v>
      </c>
      <c r="K3849" t="inlineStr">
        <is>
          <t>NOVIEMBRE 2025</t>
        </is>
      </c>
      <c r="L3849" t="inlineStr">
        <is>
          <t>NOVIEMBRE 2026</t>
        </is>
      </c>
      <c r="M3849" t="inlineStr">
        <is>
          <t>CO2 TIPO BC</t>
        </is>
      </c>
      <c r="N3849" t="inlineStr">
        <is>
          <t>S/N/AC-422733</t>
        </is>
      </c>
      <c r="O3849" t="inlineStr">
        <is>
          <t>R</t>
        </is>
      </c>
      <c r="P3849">
        <f>TRIM(N3849)</f>
        <v/>
      </c>
    </row>
    <row r="3850">
      <c r="A3850" t="inlineStr">
        <is>
          <t>CO-002535</t>
        </is>
      </c>
      <c r="B3850" t="inlineStr">
        <is>
          <t>SUNAT - AREQUIPA - MOLLENDO</t>
        </is>
      </c>
      <c r="C3850" t="inlineStr">
        <is>
          <t>20131312955</t>
        </is>
      </c>
      <c r="D3850" t="inlineStr">
        <is>
          <t>Av. Tupac Amaru 102 Urb. Miramar</t>
        </is>
      </c>
      <c r="E3850" t="inlineStr">
        <is>
          <t>Lima, 05 de diciembre del 2025</t>
        </is>
      </c>
      <c r="F3850" t="inlineStr">
        <is>
          <t>la Recarga y mantenimiento</t>
        </is>
      </c>
      <c r="G3850" t="inlineStr">
        <is>
          <t>03</t>
        </is>
      </c>
      <c r="H3850" t="inlineStr">
        <is>
          <t>04 KG</t>
        </is>
      </c>
      <c r="I3850" t="n">
        <v>2028</v>
      </c>
      <c r="J3850" t="n">
        <v>2013</v>
      </c>
      <c r="K3850" t="inlineStr">
        <is>
          <t>NOVIEMBRE 2025</t>
        </is>
      </c>
      <c r="L3850" t="inlineStr">
        <is>
          <t>NOVIEMBRE 2026</t>
        </is>
      </c>
      <c r="M3850" t="inlineStr">
        <is>
          <t>P.Q.S. / ABC AL 90%</t>
        </is>
      </c>
      <c r="N3850" t="inlineStr">
        <is>
          <t>S/N/000113</t>
        </is>
      </c>
      <c r="O3850" t="inlineStr">
        <is>
          <t>R</t>
        </is>
      </c>
      <c r="P3850">
        <f>TRIM(N3850)</f>
        <v/>
      </c>
    </row>
    <row r="3851">
      <c r="A3851" t="inlineStr">
        <is>
          <t>CO-002535</t>
        </is>
      </c>
      <c r="B3851" t="inlineStr">
        <is>
          <t>SUNAT - AREQUIPA - MOLLENDO</t>
        </is>
      </c>
      <c r="C3851" t="inlineStr">
        <is>
          <t>20131312955</t>
        </is>
      </c>
      <c r="D3851" t="inlineStr">
        <is>
          <t>Av. Tupac Amaru 102 Urb. Miramar</t>
        </is>
      </c>
      <c r="E3851" t="inlineStr">
        <is>
          <t>Lima, 05 de diciembre del 2025</t>
        </is>
      </c>
      <c r="F3851" t="inlineStr">
        <is>
          <t>la Recarga y mantenimiento</t>
        </is>
      </c>
      <c r="G3851" t="inlineStr">
        <is>
          <t>04</t>
        </is>
      </c>
      <c r="H3851" t="inlineStr">
        <is>
          <t>04 KG</t>
        </is>
      </c>
      <c r="I3851" t="n">
        <v>2028</v>
      </c>
      <c r="J3851" t="n">
        <v>2012</v>
      </c>
      <c r="K3851" t="inlineStr">
        <is>
          <t>NOVIEMBRE 2025</t>
        </is>
      </c>
      <c r="L3851" t="inlineStr">
        <is>
          <t>NOVIEMBRE 2026</t>
        </is>
      </c>
      <c r="M3851" t="inlineStr">
        <is>
          <t>P.Q.S. / ABC AL 90%</t>
        </is>
      </c>
      <c r="N3851" t="inlineStr">
        <is>
          <t>S/N/000887</t>
        </is>
      </c>
      <c r="O3851" t="inlineStr">
        <is>
          <t>R</t>
        </is>
      </c>
      <c r="P3851">
        <f>TRIM(N3851)</f>
        <v/>
      </c>
    </row>
    <row r="3852">
      <c r="A3852" t="inlineStr">
        <is>
          <t>CO-002536</t>
        </is>
      </c>
      <c r="B3852" t="inlineStr">
        <is>
          <t xml:space="preserve">SUNAT - AREQUIPA - PAUCARPATA </t>
        </is>
      </c>
      <c r="C3852" t="inlineStr">
        <is>
          <t>20131312955</t>
        </is>
      </c>
      <c r="D3852" t="inlineStr">
        <is>
          <t>Av. Pizarro N° 160, Sub lote A</t>
        </is>
      </c>
      <c r="E3852" t="inlineStr">
        <is>
          <t>Lima, 05 de diciembre del 2025</t>
        </is>
      </c>
      <c r="F3852" t="inlineStr">
        <is>
          <t>la Recarga y mantenimiento</t>
        </is>
      </c>
      <c r="G3852" t="inlineStr">
        <is>
          <t>01</t>
        </is>
      </c>
      <c r="H3852" t="inlineStr">
        <is>
          <t xml:space="preserve">06 KG </t>
        </is>
      </c>
      <c r="I3852" t="inlineStr">
        <is>
          <t>2029</t>
        </is>
      </c>
      <c r="J3852" t="n">
        <v>2014</v>
      </c>
      <c r="K3852" t="inlineStr">
        <is>
          <t>NOVIEMBRE 2025</t>
        </is>
      </c>
      <c r="L3852" t="inlineStr">
        <is>
          <t>NOVIEMBRE 2026</t>
        </is>
      </c>
      <c r="M3852" t="inlineStr">
        <is>
          <t>P.Q.S. / ABC AL 90%</t>
        </is>
      </c>
      <c r="N3852" t="inlineStr">
        <is>
          <t>1/000872</t>
        </is>
      </c>
      <c r="O3852" t="inlineStr">
        <is>
          <t>R</t>
        </is>
      </c>
      <c r="P3852">
        <f>TRIM(N3852)</f>
        <v/>
      </c>
    </row>
    <row r="3853">
      <c r="A3853" t="inlineStr">
        <is>
          <t>CO-002536</t>
        </is>
      </c>
      <c r="B3853" t="inlineStr">
        <is>
          <t xml:space="preserve">SUNAT - AREQUIPA - PAUCARPATA </t>
        </is>
      </c>
      <c r="C3853" t="inlineStr">
        <is>
          <t>20131312955</t>
        </is>
      </c>
      <c r="D3853" t="inlineStr">
        <is>
          <t>Av. Pizarro N° 160, Sub lote A</t>
        </is>
      </c>
      <c r="E3853" t="inlineStr">
        <is>
          <t>Lima, 05 de diciembre del 2025</t>
        </is>
      </c>
      <c r="F3853" t="inlineStr">
        <is>
          <t>la Recarga y mantenimiento</t>
        </is>
      </c>
      <c r="G3853" t="inlineStr">
        <is>
          <t>02</t>
        </is>
      </c>
      <c r="H3853" t="inlineStr">
        <is>
          <t xml:space="preserve">06 KG </t>
        </is>
      </c>
      <c r="I3853" t="inlineStr">
        <is>
          <t>2029</t>
        </is>
      </c>
      <c r="J3853" t="n">
        <v>2014</v>
      </c>
      <c r="K3853" t="inlineStr">
        <is>
          <t>NOVIEMBRE 2025</t>
        </is>
      </c>
      <c r="L3853" t="inlineStr">
        <is>
          <t>NOVIEMBRE 2026</t>
        </is>
      </c>
      <c r="M3853" t="inlineStr">
        <is>
          <t>P.Q.S. / ABC AL 90%</t>
        </is>
      </c>
      <c r="N3853" t="inlineStr">
        <is>
          <t>2/001249</t>
        </is>
      </c>
      <c r="O3853" t="inlineStr">
        <is>
          <t>R</t>
        </is>
      </c>
      <c r="P3853">
        <f>TRIM(N3853)</f>
        <v/>
      </c>
    </row>
    <row r="3854">
      <c r="A3854" t="inlineStr">
        <is>
          <t>CO-002536</t>
        </is>
      </c>
      <c r="B3854" t="inlineStr">
        <is>
          <t xml:space="preserve">SUNAT - AREQUIPA - PAUCARPATA </t>
        </is>
      </c>
      <c r="C3854" t="inlineStr">
        <is>
          <t>20131312955</t>
        </is>
      </c>
      <c r="D3854" t="inlineStr">
        <is>
          <t>Av. Pizarro N° 160, Sub lote A</t>
        </is>
      </c>
      <c r="E3854" t="inlineStr">
        <is>
          <t>Lima, 05 de diciembre del 2025</t>
        </is>
      </c>
      <c r="F3854" t="inlineStr">
        <is>
          <t>la Recarga y mantenimiento</t>
        </is>
      </c>
      <c r="G3854" t="inlineStr">
        <is>
          <t>03</t>
        </is>
      </c>
      <c r="H3854" t="inlineStr">
        <is>
          <t xml:space="preserve">06 KG </t>
        </is>
      </c>
      <c r="I3854" t="inlineStr">
        <is>
          <t>2029</t>
        </is>
      </c>
      <c r="J3854" t="n">
        <v>2014</v>
      </c>
      <c r="K3854" t="inlineStr">
        <is>
          <t>NOVIEMBRE 2025</t>
        </is>
      </c>
      <c r="L3854" t="inlineStr">
        <is>
          <t>NOVIEMBRE 2026</t>
        </is>
      </c>
      <c r="M3854" t="inlineStr">
        <is>
          <t>P.Q.S. / ABC AL 90%</t>
        </is>
      </c>
      <c r="N3854" t="inlineStr">
        <is>
          <t>3/001883</t>
        </is>
      </c>
      <c r="O3854" t="inlineStr">
        <is>
          <t>R</t>
        </is>
      </c>
      <c r="P3854">
        <f>TRIM(N3854)</f>
        <v/>
      </c>
    </row>
    <row r="3855">
      <c r="A3855" t="inlineStr">
        <is>
          <t>CO-002536</t>
        </is>
      </c>
      <c r="B3855" t="inlineStr">
        <is>
          <t xml:space="preserve">SUNAT - AREQUIPA - PAUCARPATA </t>
        </is>
      </c>
      <c r="C3855" t="inlineStr">
        <is>
          <t>20131312955</t>
        </is>
      </c>
      <c r="D3855" t="inlineStr">
        <is>
          <t>Av. Pizarro N° 160, Sub lote A</t>
        </is>
      </c>
      <c r="E3855" t="inlineStr">
        <is>
          <t>Lima, 05 de diciembre del 2025</t>
        </is>
      </c>
      <c r="F3855" t="inlineStr">
        <is>
          <t>la Recarga y mantenimiento</t>
        </is>
      </c>
      <c r="G3855" t="inlineStr">
        <is>
          <t>04</t>
        </is>
      </c>
      <c r="H3855" t="inlineStr">
        <is>
          <t xml:space="preserve">06 KG </t>
        </is>
      </c>
      <c r="I3855" t="inlineStr">
        <is>
          <t>2029</t>
        </is>
      </c>
      <c r="J3855" t="n">
        <v>2014</v>
      </c>
      <c r="K3855" t="inlineStr">
        <is>
          <t>NOVIEMBRE 2025</t>
        </is>
      </c>
      <c r="L3855" t="inlineStr">
        <is>
          <t>NOVIEMBRE 2026</t>
        </is>
      </c>
      <c r="M3855" t="inlineStr">
        <is>
          <t>P.Q.S. / ABC AL 90%</t>
        </is>
      </c>
      <c r="N3855" t="inlineStr">
        <is>
          <t>5/000953</t>
        </is>
      </c>
      <c r="O3855" t="inlineStr">
        <is>
          <t>R</t>
        </is>
      </c>
      <c r="P3855">
        <f>TRIM(N3855)</f>
        <v/>
      </c>
    </row>
    <row r="3856">
      <c r="A3856" t="inlineStr">
        <is>
          <t>CO-002536</t>
        </is>
      </c>
      <c r="B3856" t="inlineStr">
        <is>
          <t xml:space="preserve">SUNAT - AREQUIPA - PAUCARPATA </t>
        </is>
      </c>
      <c r="C3856" t="inlineStr">
        <is>
          <t>20131312955</t>
        </is>
      </c>
      <c r="D3856" t="inlineStr">
        <is>
          <t>Av. Pizarro N° 160, Sub lote A</t>
        </is>
      </c>
      <c r="E3856" t="inlineStr">
        <is>
          <t>Lima, 05 de diciembre del 2025</t>
        </is>
      </c>
      <c r="F3856" t="inlineStr">
        <is>
          <t>la Recarga y mantenimiento</t>
        </is>
      </c>
      <c r="G3856" t="inlineStr">
        <is>
          <t>05</t>
        </is>
      </c>
      <c r="H3856" t="inlineStr">
        <is>
          <t xml:space="preserve">06 KG </t>
        </is>
      </c>
      <c r="I3856" t="inlineStr">
        <is>
          <t>2029</t>
        </is>
      </c>
      <c r="J3856" t="n">
        <v>2014</v>
      </c>
      <c r="K3856" t="inlineStr">
        <is>
          <t>NOVIEMBRE 2025</t>
        </is>
      </c>
      <c r="L3856" t="inlineStr">
        <is>
          <t>NOVIEMBRE 2026</t>
        </is>
      </c>
      <c r="M3856" t="inlineStr">
        <is>
          <t>P.Q.S. / ABC AL 90%</t>
        </is>
      </c>
      <c r="N3856" t="inlineStr">
        <is>
          <t>6/000792</t>
        </is>
      </c>
      <c r="O3856" t="inlineStr">
        <is>
          <t>R</t>
        </is>
      </c>
      <c r="P3856">
        <f>TRIM(N3856)</f>
        <v/>
      </c>
    </row>
    <row r="3857">
      <c r="A3857" t="inlineStr">
        <is>
          <t>CO-002536</t>
        </is>
      </c>
      <c r="B3857" t="inlineStr">
        <is>
          <t xml:space="preserve">SUNAT - AREQUIPA - PAUCARPATA </t>
        </is>
      </c>
      <c r="C3857" t="inlineStr">
        <is>
          <t>20131312955</t>
        </is>
      </c>
      <c r="D3857" t="inlineStr">
        <is>
          <t>Av. Pizarro N° 160, Sub lote A</t>
        </is>
      </c>
      <c r="E3857" t="inlineStr">
        <is>
          <t>Lima, 05 de diciembre del 2025</t>
        </is>
      </c>
      <c r="F3857" t="inlineStr">
        <is>
          <t>la Recarga y mantenimiento</t>
        </is>
      </c>
      <c r="G3857" t="inlineStr">
        <is>
          <t>06</t>
        </is>
      </c>
      <c r="H3857" t="inlineStr">
        <is>
          <t xml:space="preserve">06 KG </t>
        </is>
      </c>
      <c r="I3857" t="inlineStr">
        <is>
          <t>2029</t>
        </is>
      </c>
      <c r="J3857" t="n">
        <v>2014</v>
      </c>
      <c r="K3857" t="inlineStr">
        <is>
          <t>NOVIEMBRE 2025</t>
        </is>
      </c>
      <c r="L3857" t="inlineStr">
        <is>
          <t>NOVIEMBRE 2026</t>
        </is>
      </c>
      <c r="M3857" t="inlineStr">
        <is>
          <t>P.Q.S. / ABC AL 90%</t>
        </is>
      </c>
      <c r="N3857" t="inlineStr">
        <is>
          <t>7/000283</t>
        </is>
      </c>
      <c r="O3857" t="inlineStr">
        <is>
          <t>R</t>
        </is>
      </c>
      <c r="P3857">
        <f>TRIM(N3857)</f>
        <v/>
      </c>
    </row>
    <row r="3858">
      <c r="A3858" t="inlineStr">
        <is>
          <t>CO-002536</t>
        </is>
      </c>
      <c r="B3858" t="inlineStr">
        <is>
          <t xml:space="preserve">SUNAT - AREQUIPA - PAUCARPATA </t>
        </is>
      </c>
      <c r="C3858" t="inlineStr">
        <is>
          <t>20131312955</t>
        </is>
      </c>
      <c r="D3858" t="inlineStr">
        <is>
          <t>Av. Pizarro N° 160, Sub lote A</t>
        </is>
      </c>
      <c r="E3858" t="inlineStr">
        <is>
          <t>Lima, 05 de diciembre del 2025</t>
        </is>
      </c>
      <c r="F3858" t="inlineStr">
        <is>
          <t>la Recarga y mantenimiento</t>
        </is>
      </c>
      <c r="G3858" t="inlineStr">
        <is>
          <t>07</t>
        </is>
      </c>
      <c r="H3858" t="inlineStr">
        <is>
          <t xml:space="preserve">06 KG </t>
        </is>
      </c>
      <c r="I3858" t="inlineStr">
        <is>
          <t>2029</t>
        </is>
      </c>
      <c r="J3858" t="n">
        <v>2014</v>
      </c>
      <c r="K3858" t="inlineStr">
        <is>
          <t>NOVIEMBRE 2025</t>
        </is>
      </c>
      <c r="L3858" t="inlineStr">
        <is>
          <t>NOVIEMBRE 2026</t>
        </is>
      </c>
      <c r="M3858" t="inlineStr">
        <is>
          <t>P.Q.S. / ABC AL 90%</t>
        </is>
      </c>
      <c r="N3858" t="inlineStr">
        <is>
          <t>8/000359</t>
        </is>
      </c>
      <c r="O3858" t="inlineStr">
        <is>
          <t>R</t>
        </is>
      </c>
      <c r="P3858">
        <f>TRIM(N3858)</f>
        <v/>
      </c>
    </row>
    <row r="3859">
      <c r="A3859" t="inlineStr">
        <is>
          <t>CO-002536</t>
        </is>
      </c>
      <c r="B3859" t="inlineStr">
        <is>
          <t xml:space="preserve">SUNAT - AREQUIPA - PAUCARPATA </t>
        </is>
      </c>
      <c r="C3859" t="inlineStr">
        <is>
          <t>20131312955</t>
        </is>
      </c>
      <c r="D3859" t="inlineStr">
        <is>
          <t>Av. Pizarro N° 160, Sub lote A</t>
        </is>
      </c>
      <c r="E3859" t="inlineStr">
        <is>
          <t>Lima, 05 de diciembre del 2025</t>
        </is>
      </c>
      <c r="F3859" t="inlineStr">
        <is>
          <t>la Recarga y mantenimiento</t>
        </is>
      </c>
      <c r="G3859" t="inlineStr">
        <is>
          <t>08</t>
        </is>
      </c>
      <c r="H3859" t="inlineStr">
        <is>
          <t xml:space="preserve">06 KG </t>
        </is>
      </c>
      <c r="I3859" t="inlineStr">
        <is>
          <t>2029</t>
        </is>
      </c>
      <c r="J3859" t="n">
        <v>2014</v>
      </c>
      <c r="K3859" t="inlineStr">
        <is>
          <t>NOVIEMBRE 2025</t>
        </is>
      </c>
      <c r="L3859" t="inlineStr">
        <is>
          <t>NOVIEMBRE 2026</t>
        </is>
      </c>
      <c r="M3859" t="inlineStr">
        <is>
          <t>P.Q.S. / ABC AL 90%</t>
        </is>
      </c>
      <c r="N3859" t="inlineStr">
        <is>
          <t>9/000107</t>
        </is>
      </c>
      <c r="O3859" t="inlineStr">
        <is>
          <t>R</t>
        </is>
      </c>
      <c r="P3859">
        <f>TRIM(N3859)</f>
        <v/>
      </c>
    </row>
    <row r="3860">
      <c r="A3860" t="inlineStr">
        <is>
          <t>CO-002536</t>
        </is>
      </c>
      <c r="B3860" t="inlineStr">
        <is>
          <t xml:space="preserve">SUNAT - AREQUIPA - PAUCARPATA </t>
        </is>
      </c>
      <c r="C3860" t="inlineStr">
        <is>
          <t>20131312955</t>
        </is>
      </c>
      <c r="D3860" t="inlineStr">
        <is>
          <t>Av. Pizarro N° 160, Sub lote A</t>
        </is>
      </c>
      <c r="E3860" t="inlineStr">
        <is>
          <t>Lima, 05 de diciembre del 2025</t>
        </is>
      </c>
      <c r="F3860" t="inlineStr">
        <is>
          <t>la Recarga y mantenimiento</t>
        </is>
      </c>
      <c r="G3860" t="inlineStr">
        <is>
          <t>09</t>
        </is>
      </c>
      <c r="H3860" t="inlineStr">
        <is>
          <t xml:space="preserve">06 KG </t>
        </is>
      </c>
      <c r="I3860" t="inlineStr">
        <is>
          <t>2029</t>
        </is>
      </c>
      <c r="J3860" t="n">
        <v>2014</v>
      </c>
      <c r="K3860" t="inlineStr">
        <is>
          <t>NOVIEMBRE 2025</t>
        </is>
      </c>
      <c r="L3860" t="inlineStr">
        <is>
          <t>NOVIEMBRE 2026</t>
        </is>
      </c>
      <c r="M3860" t="inlineStr">
        <is>
          <t>P.Q.S. / ABC AL 90%</t>
        </is>
      </c>
      <c r="N3860" t="inlineStr">
        <is>
          <t>10/001299</t>
        </is>
      </c>
      <c r="O3860" t="inlineStr">
        <is>
          <t>R</t>
        </is>
      </c>
      <c r="P3860">
        <f>TRIM(N3860)</f>
        <v/>
      </c>
    </row>
    <row r="3861">
      <c r="A3861" t="inlineStr">
        <is>
          <t>CO-002536</t>
        </is>
      </c>
      <c r="B3861" t="inlineStr">
        <is>
          <t xml:space="preserve">SUNAT - AREQUIPA - PAUCARPATA </t>
        </is>
      </c>
      <c r="C3861" t="inlineStr">
        <is>
          <t>20131312955</t>
        </is>
      </c>
      <c r="D3861" t="inlineStr">
        <is>
          <t>Av. Pizarro N° 160, Sub lote A</t>
        </is>
      </c>
      <c r="E3861" t="inlineStr">
        <is>
          <t>Lima, 05 de diciembre del 2025</t>
        </is>
      </c>
      <c r="F3861" t="inlineStr">
        <is>
          <t>la Recarga y mantenimiento</t>
        </is>
      </c>
      <c r="G3861" t="n">
        <v>10</v>
      </c>
      <c r="H3861" t="inlineStr">
        <is>
          <t xml:space="preserve">06 KG </t>
        </is>
      </c>
      <c r="I3861" t="inlineStr">
        <is>
          <t>2029</t>
        </is>
      </c>
      <c r="J3861" t="n">
        <v>2014</v>
      </c>
      <c r="K3861" t="inlineStr">
        <is>
          <t>NOVIEMBRE 2025</t>
        </is>
      </c>
      <c r="L3861" t="inlineStr">
        <is>
          <t>NOVIEMBRE 2026</t>
        </is>
      </c>
      <c r="M3861" t="inlineStr">
        <is>
          <t>P.Q.S. / ABC AL 90%</t>
        </is>
      </c>
      <c r="N3861" t="inlineStr">
        <is>
          <t>11/001165</t>
        </is>
      </c>
      <c r="O3861" t="inlineStr">
        <is>
          <t>R</t>
        </is>
      </c>
      <c r="P3861">
        <f>TRIM(N3861)</f>
        <v/>
      </c>
    </row>
    <row r="3862">
      <c r="A3862" t="inlineStr">
        <is>
          <t>CO-002536</t>
        </is>
      </c>
      <c r="B3862" t="inlineStr">
        <is>
          <t xml:space="preserve">SUNAT - AREQUIPA - PAUCARPATA </t>
        </is>
      </c>
      <c r="C3862" t="inlineStr">
        <is>
          <t>20131312955</t>
        </is>
      </c>
      <c r="D3862" t="inlineStr">
        <is>
          <t>Av. Pizarro N° 160, Sub lote A</t>
        </is>
      </c>
      <c r="E3862" t="inlineStr">
        <is>
          <t>Lima, 05 de diciembre del 2025</t>
        </is>
      </c>
      <c r="F3862" t="inlineStr">
        <is>
          <t>la Recarga y mantenimiento</t>
        </is>
      </c>
      <c r="G3862" t="n">
        <v>11</v>
      </c>
      <c r="H3862" t="inlineStr">
        <is>
          <t>10 LBS</t>
        </is>
      </c>
      <c r="I3862" t="n">
        <v>2029</v>
      </c>
      <c r="J3862" t="n">
        <v>2014</v>
      </c>
      <c r="K3862" t="inlineStr">
        <is>
          <t>NOVIEMBRE 2025</t>
        </is>
      </c>
      <c r="L3862" t="inlineStr">
        <is>
          <t>NOVIEMBRE 2026</t>
        </is>
      </c>
      <c r="M3862" t="inlineStr">
        <is>
          <t>CO2 /TIPO BC</t>
        </is>
      </c>
      <c r="N3862" t="inlineStr">
        <is>
          <t>12/000102</t>
        </is>
      </c>
      <c r="O3862" t="inlineStr">
        <is>
          <t>R</t>
        </is>
      </c>
      <c r="P3862">
        <f>TRIM(N3862)</f>
        <v/>
      </c>
    </row>
    <row r="3863">
      <c r="A3863" t="inlineStr">
        <is>
          <t>CO-002536</t>
        </is>
      </c>
      <c r="B3863" t="inlineStr">
        <is>
          <t xml:space="preserve">SUNAT - AREQUIPA - PAUCARPATA </t>
        </is>
      </c>
      <c r="C3863" t="inlineStr">
        <is>
          <t>20131312955</t>
        </is>
      </c>
      <c r="D3863" t="inlineStr">
        <is>
          <t>Av. Pizarro N° 160, Sub lote A</t>
        </is>
      </c>
      <c r="E3863" t="inlineStr">
        <is>
          <t>Lima, 05 de diciembre del 2025</t>
        </is>
      </c>
      <c r="F3863" t="inlineStr">
        <is>
          <t>la Recarga y mantenimiento</t>
        </is>
      </c>
      <c r="G3863" t="n">
        <v>12</v>
      </c>
      <c r="H3863" t="inlineStr">
        <is>
          <t>10 LBS</t>
        </is>
      </c>
      <c r="I3863" t="n">
        <v>2029</v>
      </c>
      <c r="J3863" t="n">
        <v>2014</v>
      </c>
      <c r="K3863" t="inlineStr">
        <is>
          <t>NOVIEMBRE 2025</t>
        </is>
      </c>
      <c r="L3863" t="inlineStr">
        <is>
          <t>NOVIEMBRE 2026</t>
        </is>
      </c>
      <c r="M3863" t="inlineStr">
        <is>
          <t>CO2 /TIPO BC</t>
        </is>
      </c>
      <c r="N3863" t="inlineStr">
        <is>
          <t>13/000088</t>
        </is>
      </c>
      <c r="O3863" t="inlineStr">
        <is>
          <t>R</t>
        </is>
      </c>
      <c r="P3863">
        <f>TRIM(N3863)</f>
        <v/>
      </c>
    </row>
    <row r="3864">
      <c r="A3864" t="inlineStr">
        <is>
          <t>CO-002536</t>
        </is>
      </c>
      <c r="B3864" t="inlineStr">
        <is>
          <t xml:space="preserve">SUNAT - AREQUIPA - PAUCARPATA </t>
        </is>
      </c>
      <c r="C3864" t="inlineStr">
        <is>
          <t>20131312955</t>
        </is>
      </c>
      <c r="D3864" t="inlineStr">
        <is>
          <t>Av. Pizarro N° 160, Sub lote A</t>
        </is>
      </c>
      <c r="E3864" t="inlineStr">
        <is>
          <t>Lima, 05 de diciembre del 2025</t>
        </is>
      </c>
      <c r="F3864" t="inlineStr">
        <is>
          <t>la Recarga y mantenimiento</t>
        </is>
      </c>
      <c r="G3864" t="n">
        <v>13</v>
      </c>
      <c r="H3864" t="inlineStr">
        <is>
          <t>10 LBS</t>
        </is>
      </c>
      <c r="I3864" t="n">
        <v>2029</v>
      </c>
      <c r="J3864" t="n">
        <v>2015</v>
      </c>
      <c r="K3864" t="inlineStr">
        <is>
          <t>NOVIEMBRE 2025</t>
        </is>
      </c>
      <c r="L3864" t="inlineStr">
        <is>
          <t>NOVIEMBRE 2026</t>
        </is>
      </c>
      <c r="M3864" t="inlineStr">
        <is>
          <t>CO2 /TIPO BC</t>
        </is>
      </c>
      <c r="N3864" t="inlineStr">
        <is>
          <t>14/W-219936</t>
        </is>
      </c>
      <c r="O3864" t="inlineStr">
        <is>
          <t>R</t>
        </is>
      </c>
      <c r="P3864">
        <f>TRIM(N3864)</f>
        <v/>
      </c>
    </row>
    <row r="3865">
      <c r="A3865" t="inlineStr">
        <is>
          <t>CO-002536</t>
        </is>
      </c>
      <c r="B3865" t="inlineStr">
        <is>
          <t xml:space="preserve">SUNAT - AREQUIPA - PAUCARPATA </t>
        </is>
      </c>
      <c r="C3865" t="inlineStr">
        <is>
          <t>20131312955</t>
        </is>
      </c>
      <c r="D3865" t="inlineStr">
        <is>
          <t>Av. Pizarro N° 160, Sub lote A</t>
        </is>
      </c>
      <c r="E3865" t="inlineStr">
        <is>
          <t>Lima, 05 de diciembre del 2025</t>
        </is>
      </c>
      <c r="F3865" t="inlineStr">
        <is>
          <t>la Recarga y mantenimiento</t>
        </is>
      </c>
      <c r="G3865" t="n">
        <v>14</v>
      </c>
      <c r="H3865" t="inlineStr">
        <is>
          <t>10 LBS</t>
        </is>
      </c>
      <c r="I3865" t="n">
        <v>2029</v>
      </c>
      <c r="J3865" t="n">
        <v>2015</v>
      </c>
      <c r="K3865" t="inlineStr">
        <is>
          <t>NOVIEMBRE 2025</t>
        </is>
      </c>
      <c r="L3865" t="inlineStr">
        <is>
          <t>NOVIEMBRE 2026</t>
        </is>
      </c>
      <c r="M3865" t="inlineStr">
        <is>
          <t>CO2 /TIPO BC</t>
        </is>
      </c>
      <c r="N3865" t="inlineStr">
        <is>
          <t>15/W-220238</t>
        </is>
      </c>
      <c r="O3865" t="inlineStr">
        <is>
          <t>R</t>
        </is>
      </c>
      <c r="P3865">
        <f>TRIM(N3865)</f>
        <v/>
      </c>
    </row>
    <row r="3866">
      <c r="A3866" t="inlineStr">
        <is>
          <t>CO-002536</t>
        </is>
      </c>
      <c r="B3866" t="inlineStr">
        <is>
          <t xml:space="preserve">SUNAT - AREQUIPA - PAUCARPATA </t>
        </is>
      </c>
      <c r="C3866" t="inlineStr">
        <is>
          <t>20131312955</t>
        </is>
      </c>
      <c r="D3866" t="inlineStr">
        <is>
          <t>Av. Pizarro N° 160, Sub lote A</t>
        </is>
      </c>
      <c r="E3866" t="inlineStr">
        <is>
          <t>Lima, 05 de diciembre del 2025</t>
        </is>
      </c>
      <c r="F3866" t="inlineStr">
        <is>
          <t>la Recarga y mantenimiento</t>
        </is>
      </c>
      <c r="G3866" t="n">
        <v>15</v>
      </c>
      <c r="H3866" t="inlineStr">
        <is>
          <t>15 LBS</t>
        </is>
      </c>
      <c r="I3866" t="n">
        <v>2029</v>
      </c>
      <c r="J3866" t="n">
        <v>2012</v>
      </c>
      <c r="K3866" t="inlineStr">
        <is>
          <t>NOVIEMBRE 2025</t>
        </is>
      </c>
      <c r="L3866" t="inlineStr">
        <is>
          <t>NOVIEMBRE 2026</t>
        </is>
      </c>
      <c r="M3866" t="inlineStr">
        <is>
          <t>CO2 TIPO BC</t>
        </is>
      </c>
      <c r="N3866" t="inlineStr">
        <is>
          <t>S/N/AC-422890</t>
        </is>
      </c>
      <c r="O3866" t="inlineStr">
        <is>
          <t>R</t>
        </is>
      </c>
      <c r="P3866">
        <f>TRIM(N3866)</f>
        <v/>
      </c>
    </row>
    <row r="3867">
      <c r="A3867" t="inlineStr">
        <is>
          <t>CO-002537</t>
        </is>
      </c>
      <c r="B3867" t="inlineStr">
        <is>
          <t xml:space="preserve">SUNAT - AREQUIPA -  SEDE SAN JOSE </t>
        </is>
      </c>
      <c r="C3867" t="inlineStr">
        <is>
          <t>20131312955</t>
        </is>
      </c>
      <c r="D3867" t="inlineStr">
        <is>
          <t>Carretera Panamaericana sur km 950</t>
        </is>
      </c>
      <c r="E3867" t="inlineStr">
        <is>
          <t>Lima, 05 de diciembre del 2025</t>
        </is>
      </c>
      <c r="F3867" t="inlineStr">
        <is>
          <t>la Recarga y mantenimiento</t>
        </is>
      </c>
      <c r="G3867" t="inlineStr">
        <is>
          <t>01</t>
        </is>
      </c>
      <c r="H3867" t="inlineStr">
        <is>
          <t xml:space="preserve">20 LBS </t>
        </is>
      </c>
      <c r="I3867" t="inlineStr">
        <is>
          <t>2027</t>
        </is>
      </c>
      <c r="J3867" t="n">
        <v>2005</v>
      </c>
      <c r="K3867" t="inlineStr">
        <is>
          <t>NOVIEMBRE 2025</t>
        </is>
      </c>
      <c r="L3867" t="inlineStr">
        <is>
          <t>NOVIEMBRE 2026</t>
        </is>
      </c>
      <c r="M3867" t="inlineStr">
        <is>
          <t>P.Q.S. / ABC AL 90%</t>
        </is>
      </c>
      <c r="N3867" t="inlineStr">
        <is>
          <t>01/XK 338113</t>
        </is>
      </c>
      <c r="O3867" t="inlineStr">
        <is>
          <t>R</t>
        </is>
      </c>
      <c r="P3867">
        <f>TRIM(N3867)</f>
        <v/>
      </c>
    </row>
    <row r="3868">
      <c r="A3868" t="inlineStr">
        <is>
          <t>CO-002538</t>
        </is>
      </c>
      <c r="B3868" t="inlineStr">
        <is>
          <t>SUNAT - AREQUIPA -  SEDE PEDREGAL</t>
        </is>
      </c>
      <c r="C3868" t="inlineStr">
        <is>
          <t>20131312955</t>
        </is>
      </c>
      <c r="D3868" t="inlineStr">
        <is>
          <t>Av. Condesuyos s/n, Mz. D, lote 3</t>
        </is>
      </c>
      <c r="E3868" t="inlineStr">
        <is>
          <t>Lima, 05 de diciembre del 2025</t>
        </is>
      </c>
      <c r="F3868" t="inlineStr">
        <is>
          <t>la Recarga y mantenimiento</t>
        </is>
      </c>
      <c r="G3868" t="inlineStr">
        <is>
          <t>01</t>
        </is>
      </c>
      <c r="H3868" t="inlineStr">
        <is>
          <t xml:space="preserve">20 LBS </t>
        </is>
      </c>
      <c r="I3868" t="inlineStr">
        <is>
          <t>2027</t>
        </is>
      </c>
      <c r="J3868" t="inlineStr">
        <is>
          <t>N/R</t>
        </is>
      </c>
      <c r="K3868" t="inlineStr">
        <is>
          <t>NOVIEMBRE 2025</t>
        </is>
      </c>
      <c r="L3868" t="inlineStr">
        <is>
          <t>NOVIEMBRE 2026</t>
        </is>
      </c>
      <c r="M3868" t="inlineStr">
        <is>
          <t>P.Q.S. / ABC AL 90%</t>
        </is>
      </c>
      <c r="N3868" t="inlineStr">
        <is>
          <t>01/AT-334724</t>
        </is>
      </c>
      <c r="O3868" t="inlineStr">
        <is>
          <t>R</t>
        </is>
      </c>
      <c r="P3868">
        <f>TRIM(N3868)</f>
        <v/>
      </c>
    </row>
    <row r="3869">
      <c r="A3869" t="inlineStr">
        <is>
          <t>CO-002538</t>
        </is>
      </c>
      <c r="B3869" t="inlineStr">
        <is>
          <t>SUNAT - AREQUIPA -  SEDE PEDREGAL</t>
        </is>
      </c>
      <c r="C3869" t="inlineStr">
        <is>
          <t>20131312955</t>
        </is>
      </c>
      <c r="D3869" t="inlineStr">
        <is>
          <t>Av. Condesuyos s/n, Mz. D, lote 3</t>
        </is>
      </c>
      <c r="E3869" t="inlineStr">
        <is>
          <t>Lima, 05 de diciembre del 2025</t>
        </is>
      </c>
      <c r="F3869" t="inlineStr">
        <is>
          <t>la Recarga y mantenimiento</t>
        </is>
      </c>
      <c r="G3869" t="inlineStr">
        <is>
          <t>02</t>
        </is>
      </c>
      <c r="H3869" t="inlineStr">
        <is>
          <t>10 LBS</t>
        </is>
      </c>
      <c r="I3869" t="inlineStr">
        <is>
          <t>2027</t>
        </is>
      </c>
      <c r="J3869" t="n">
        <v>2012</v>
      </c>
      <c r="K3869" t="inlineStr">
        <is>
          <t>NOVIEMBRE 2025</t>
        </is>
      </c>
      <c r="L3869" t="inlineStr">
        <is>
          <t>NOVIEMBRE 2026</t>
        </is>
      </c>
      <c r="M3869" t="inlineStr">
        <is>
          <t>CO2 /TIPO BC</t>
        </is>
      </c>
      <c r="N3869" t="inlineStr">
        <is>
          <t>02/A884125</t>
        </is>
      </c>
      <c r="O3869" t="inlineStr">
        <is>
          <t>R</t>
        </is>
      </c>
      <c r="P3869">
        <f>TRIM(N3869)</f>
        <v/>
      </c>
    </row>
    <row r="3870">
      <c r="A3870" t="inlineStr">
        <is>
          <t>CO-002538</t>
        </is>
      </c>
      <c r="B3870" t="inlineStr">
        <is>
          <t>SUNAT - AREQUIPA -  SEDE PEDREGAL</t>
        </is>
      </c>
      <c r="C3870" t="inlineStr">
        <is>
          <t>20131312955</t>
        </is>
      </c>
      <c r="D3870" t="inlineStr">
        <is>
          <t>Av. Condesuyos s/n, Mz. D, lote 3</t>
        </is>
      </c>
      <c r="E3870" t="inlineStr">
        <is>
          <t>Lima, 05 de diciembre del 2025</t>
        </is>
      </c>
      <c r="F3870" t="inlineStr">
        <is>
          <t>la Recarga y mantenimiento</t>
        </is>
      </c>
      <c r="G3870" t="inlineStr">
        <is>
          <t>03</t>
        </is>
      </c>
      <c r="H3870" t="inlineStr">
        <is>
          <t xml:space="preserve">20 LBS </t>
        </is>
      </c>
      <c r="I3870" t="inlineStr">
        <is>
          <t>2027</t>
        </is>
      </c>
      <c r="J3870" t="inlineStr">
        <is>
          <t>N/R</t>
        </is>
      </c>
      <c r="K3870" t="inlineStr">
        <is>
          <t>NOVIEMBRE 2025</t>
        </is>
      </c>
      <c r="L3870" t="inlineStr">
        <is>
          <t>NOVIEMBRE 2026</t>
        </is>
      </c>
      <c r="M3870" t="inlineStr">
        <is>
          <t>P.Q.S. / ABC AL 90%</t>
        </is>
      </c>
      <c r="N3870" t="inlineStr">
        <is>
          <t>03/AT-338410</t>
        </is>
      </c>
      <c r="O3870" t="inlineStr">
        <is>
          <t>R</t>
        </is>
      </c>
      <c r="P3870">
        <f>TRIM(N3870)</f>
        <v/>
      </c>
    </row>
    <row r="3871">
      <c r="A3871" t="inlineStr">
        <is>
          <t>CO-002538</t>
        </is>
      </c>
      <c r="B3871" t="inlineStr">
        <is>
          <t>SUNAT - AREQUIPA -  SEDE PEDREGAL</t>
        </is>
      </c>
      <c r="C3871" t="inlineStr">
        <is>
          <t>20131312955</t>
        </is>
      </c>
      <c r="D3871" t="inlineStr">
        <is>
          <t>Av. Condesuyos s/n, Mz. D, lote 3</t>
        </is>
      </c>
      <c r="E3871" t="inlineStr">
        <is>
          <t>Lima, 05 de diciembre del 2025</t>
        </is>
      </c>
      <c r="F3871" t="inlineStr">
        <is>
          <t>la Recarga y mantenimiento</t>
        </is>
      </c>
      <c r="G3871" t="inlineStr">
        <is>
          <t>04</t>
        </is>
      </c>
      <c r="H3871" t="inlineStr">
        <is>
          <t>10 LBS</t>
        </is>
      </c>
      <c r="I3871" t="inlineStr">
        <is>
          <t>2028</t>
        </is>
      </c>
      <c r="J3871" t="n">
        <v>2014</v>
      </c>
      <c r="K3871" t="inlineStr">
        <is>
          <t>NOVIEMBRE 2025</t>
        </is>
      </c>
      <c r="L3871" t="inlineStr">
        <is>
          <t>NOVIEMBRE 2026</t>
        </is>
      </c>
      <c r="M3871" t="inlineStr">
        <is>
          <t>CO2 /TIPO BC</t>
        </is>
      </c>
      <c r="N3871" t="inlineStr">
        <is>
          <t>06/A34185531</t>
        </is>
      </c>
      <c r="O3871" t="inlineStr">
        <is>
          <t>R</t>
        </is>
      </c>
      <c r="P3871">
        <f>TRIM(N3871)</f>
        <v/>
      </c>
    </row>
    <row r="3872">
      <c r="A3872" t="inlineStr">
        <is>
          <t>CO-002538</t>
        </is>
      </c>
      <c r="B3872" t="inlineStr">
        <is>
          <t>SUNAT - AREQUIPA -  SEDE PEDREGAL</t>
        </is>
      </c>
      <c r="C3872" t="inlineStr">
        <is>
          <t>20131312955</t>
        </is>
      </c>
      <c r="D3872" t="inlineStr">
        <is>
          <t>Av. Condesuyos s/n, Mz. D, lote 3</t>
        </is>
      </c>
      <c r="E3872" t="inlineStr">
        <is>
          <t>Lima, 05 de diciembre del 2025</t>
        </is>
      </c>
      <c r="F3872" t="inlineStr">
        <is>
          <t>la Recarga y mantenimiento</t>
        </is>
      </c>
      <c r="G3872" t="inlineStr">
        <is>
          <t>05</t>
        </is>
      </c>
      <c r="H3872" t="inlineStr">
        <is>
          <t>15 LBS</t>
        </is>
      </c>
      <c r="I3872" t="inlineStr">
        <is>
          <t>2028</t>
        </is>
      </c>
      <c r="J3872" t="n">
        <v>2014</v>
      </c>
      <c r="K3872" t="inlineStr">
        <is>
          <t>NOVIEMBRE 2025</t>
        </is>
      </c>
      <c r="L3872" t="inlineStr">
        <is>
          <t>NOVIEMBRE 2026</t>
        </is>
      </c>
      <c r="M3872" t="inlineStr">
        <is>
          <t>CO2 /TIPO BC</t>
        </is>
      </c>
      <c r="N3872" t="inlineStr">
        <is>
          <t>S/N/AC-422929</t>
        </is>
      </c>
      <c r="O3872" t="inlineStr">
        <is>
          <t>R</t>
        </is>
      </c>
      <c r="P3872">
        <f>TRIM(N3872)</f>
        <v/>
      </c>
    </row>
    <row r="3873">
      <c r="A3873" t="inlineStr">
        <is>
          <t>CO-002538</t>
        </is>
      </c>
      <c r="B3873" t="inlineStr">
        <is>
          <t>SUNAT - AREQUIPA -  SEDE PEDREGAL</t>
        </is>
      </c>
      <c r="C3873" t="inlineStr">
        <is>
          <t>20131312955</t>
        </is>
      </c>
      <c r="D3873" t="inlineStr">
        <is>
          <t>Av. Condesuyos s/n, Mz. D, lote 3</t>
        </is>
      </c>
      <c r="E3873" t="inlineStr">
        <is>
          <t>Lima, 05 de diciembre del 2025</t>
        </is>
      </c>
      <c r="F3873" t="inlineStr">
        <is>
          <t>la Recarga y mantenimiento</t>
        </is>
      </c>
      <c r="G3873" t="inlineStr">
        <is>
          <t>06</t>
        </is>
      </c>
      <c r="H3873" t="inlineStr">
        <is>
          <t>15 LBS</t>
        </is>
      </c>
      <c r="I3873" t="inlineStr">
        <is>
          <t>2029</t>
        </is>
      </c>
      <c r="J3873" t="n">
        <v>2012</v>
      </c>
      <c r="K3873" t="inlineStr">
        <is>
          <t>NOVIEMBRE 2025</t>
        </is>
      </c>
      <c r="L3873" t="inlineStr">
        <is>
          <t>NOVIEMBRE 2026</t>
        </is>
      </c>
      <c r="M3873" t="inlineStr">
        <is>
          <t>CO2 /TIPO BC</t>
        </is>
      </c>
      <c r="N3873" t="inlineStr">
        <is>
          <t>S/N/AC-422650</t>
        </is>
      </c>
      <c r="O3873" t="inlineStr">
        <is>
          <t>R</t>
        </is>
      </c>
      <c r="P3873">
        <f>TRIM(N3873)</f>
        <v/>
      </c>
    </row>
    <row r="3874">
      <c r="A3874" t="inlineStr">
        <is>
          <t>CO-002538</t>
        </is>
      </c>
      <c r="B3874" t="inlineStr">
        <is>
          <t>SUNAT - AREQUIPA -  SEDE PEDREGAL</t>
        </is>
      </c>
      <c r="C3874" t="inlineStr">
        <is>
          <t>20131312955</t>
        </is>
      </c>
      <c r="D3874" t="inlineStr">
        <is>
          <t>Av. Condesuyos s/n, Mz. D, lote 3</t>
        </is>
      </c>
      <c r="E3874" t="inlineStr">
        <is>
          <t>Lima, 05 de diciembre del 2025</t>
        </is>
      </c>
      <c r="F3874" t="inlineStr">
        <is>
          <t>la Recarga y mantenimiento</t>
        </is>
      </c>
      <c r="G3874" t="inlineStr">
        <is>
          <t>07</t>
        </is>
      </c>
      <c r="H3874" t="inlineStr">
        <is>
          <t>15 LBS</t>
        </is>
      </c>
      <c r="I3874" t="inlineStr">
        <is>
          <t>2029</t>
        </is>
      </c>
      <c r="J3874" t="n">
        <v>2012</v>
      </c>
      <c r="K3874" t="inlineStr">
        <is>
          <t>NOVIEMBRE 2025</t>
        </is>
      </c>
      <c r="L3874" t="inlineStr">
        <is>
          <t>NOVIEMBRE 2026</t>
        </is>
      </c>
      <c r="M3874" t="inlineStr">
        <is>
          <t>CO2 /TIPO BC</t>
        </is>
      </c>
      <c r="N3874" t="inlineStr">
        <is>
          <t>S/N/AC-422924</t>
        </is>
      </c>
      <c r="O3874" t="inlineStr">
        <is>
          <t>R</t>
        </is>
      </c>
      <c r="P3874">
        <f>TRIM(N3874)</f>
        <v/>
      </c>
    </row>
    <row r="3875">
      <c r="A3875" t="inlineStr">
        <is>
          <t>CO-002538</t>
        </is>
      </c>
      <c r="B3875" t="inlineStr">
        <is>
          <t>SUNAT - AREQUIPA -  SEDE PEDREGAL</t>
        </is>
      </c>
      <c r="C3875" t="inlineStr">
        <is>
          <t>20131312955</t>
        </is>
      </c>
      <c r="D3875" t="inlineStr">
        <is>
          <t>Av. Condesuyos s/n, Mz. D, lote 3</t>
        </is>
      </c>
      <c r="E3875" t="inlineStr">
        <is>
          <t>Lima, 05 de diciembre del 2025</t>
        </is>
      </c>
      <c r="F3875" t="inlineStr">
        <is>
          <t>la Recarga y mantenimiento</t>
        </is>
      </c>
      <c r="G3875" t="inlineStr">
        <is>
          <t>08</t>
        </is>
      </c>
      <c r="H3875" t="inlineStr">
        <is>
          <t>10 LBS</t>
        </is>
      </c>
      <c r="I3875" t="n">
        <v>2029</v>
      </c>
      <c r="J3875" t="n">
        <v>2012</v>
      </c>
      <c r="K3875" t="inlineStr">
        <is>
          <t>NOVIEMBRE 2025</t>
        </is>
      </c>
      <c r="L3875" t="inlineStr">
        <is>
          <t>NOVIEMBRE 2026</t>
        </is>
      </c>
      <c r="M3875" t="inlineStr">
        <is>
          <t xml:space="preserve">CO2 TIPO BC </t>
        </is>
      </c>
      <c r="N3875" t="inlineStr">
        <is>
          <t>S/N/2960369</t>
        </is>
      </c>
      <c r="O3875" t="inlineStr">
        <is>
          <t>R</t>
        </is>
      </c>
      <c r="P3875">
        <f>TRIM(N3875)</f>
        <v/>
      </c>
    </row>
    <row r="3876">
      <c r="A3876" t="inlineStr">
        <is>
          <t>CO-002539</t>
        </is>
      </c>
      <c r="B3876" t="inlineStr">
        <is>
          <t xml:space="preserve">SUNAT - AREQUIPA -  SEDE TISUR </t>
        </is>
      </c>
      <c r="C3876" t="inlineStr">
        <is>
          <t>20131312955</t>
        </is>
      </c>
      <c r="D3876" t="inlineStr">
        <is>
          <t xml:space="preserve">Puerto de Matarani </t>
        </is>
      </c>
      <c r="E3876" t="inlineStr">
        <is>
          <t>Lima, 05 de diciembre del 2025</t>
        </is>
      </c>
      <c r="F3876" t="inlineStr">
        <is>
          <t>la Recarga y mantenimiento</t>
        </is>
      </c>
      <c r="G3876" t="inlineStr">
        <is>
          <t>01</t>
        </is>
      </c>
      <c r="H3876" t="inlineStr">
        <is>
          <t>20 LBS</t>
        </is>
      </c>
      <c r="I3876" t="inlineStr">
        <is>
          <t>2026</t>
        </is>
      </c>
      <c r="J3876" t="n">
        <v>2011</v>
      </c>
      <c r="K3876" t="inlineStr">
        <is>
          <t>NOVIEMBRE 2025</t>
        </is>
      </c>
      <c r="L3876" t="inlineStr">
        <is>
          <t>NOVIEMBRE 2026</t>
        </is>
      </c>
      <c r="M3876" t="inlineStr">
        <is>
          <t>P.Q.S. / ABC AL 90%</t>
        </is>
      </c>
      <c r="N3876" t="inlineStr">
        <is>
          <t>26/ S/N</t>
        </is>
      </c>
      <c r="O3876" t="inlineStr">
        <is>
          <t>R</t>
        </is>
      </c>
      <c r="P3876">
        <f>TRIM(N3876)</f>
        <v/>
      </c>
    </row>
    <row r="3877">
      <c r="A3877" t="inlineStr">
        <is>
          <t>CO-002540</t>
        </is>
      </c>
      <c r="B3877" t="inlineStr">
        <is>
          <t>PERU MASIVO S.A - INFRAESTRUCTURA</t>
        </is>
      </c>
      <c r="C3877" t="inlineStr">
        <is>
          <t>20492392031</t>
        </is>
      </c>
      <c r="D3877" t="inlineStr">
        <is>
          <t>AV. LOS INCAS CDRA. 4 PATIO NORTE - COMAS</t>
        </is>
      </c>
      <c r="E3877" t="inlineStr">
        <is>
          <t>Lima, 05 de diciembre del 2025</t>
        </is>
      </c>
      <c r="F3877" t="inlineStr">
        <is>
          <t>la Recarga y mantenimiento</t>
        </is>
      </c>
      <c r="G3877" t="inlineStr">
        <is>
          <t>01</t>
        </is>
      </c>
      <c r="H3877" t="inlineStr">
        <is>
          <t>06 KG</t>
        </is>
      </c>
      <c r="I3877" t="inlineStr">
        <is>
          <t>2028</t>
        </is>
      </c>
      <c r="J3877" t="n">
        <v>2009</v>
      </c>
      <c r="K3877" t="inlineStr">
        <is>
          <t>DICIEMBRE 2025</t>
        </is>
      </c>
      <c r="L3877" t="inlineStr">
        <is>
          <t>DICIEMBRE 2026</t>
        </is>
      </c>
      <c r="M3877" t="inlineStr">
        <is>
          <t>P.Q.S. / ABC AL 90% NACIONAL</t>
        </is>
      </c>
      <c r="N3877" t="inlineStr">
        <is>
          <t>12/001381</t>
        </is>
      </c>
      <c r="O3877" t="inlineStr">
        <is>
          <t>R</t>
        </is>
      </c>
      <c r="P3877">
        <f>TRIM(N3877)</f>
        <v/>
      </c>
    </row>
    <row r="3878">
      <c r="A3878" t="inlineStr">
        <is>
          <t>CO-002541</t>
        </is>
      </c>
      <c r="B3878" t="inlineStr">
        <is>
          <t>QELLPU PERU SA</t>
        </is>
      </c>
      <c r="C3878" t="inlineStr">
        <is>
          <t>20492318656</t>
        </is>
      </c>
      <c r="D3878" t="inlineStr">
        <is>
          <t>AV. LOS INCAS CDRA. 4 PATIO NORTE - COMAS</t>
        </is>
      </c>
      <c r="E3878" t="inlineStr">
        <is>
          <t>Lima, 05 de diciembre del 2025</t>
        </is>
      </c>
      <c r="F3878" t="inlineStr">
        <is>
          <t>la Recarga y mantenimiento</t>
        </is>
      </c>
      <c r="G3878" t="inlineStr">
        <is>
          <t>01</t>
        </is>
      </c>
      <c r="H3878" t="inlineStr">
        <is>
          <t>10 LBS</t>
        </is>
      </c>
      <c r="I3878" t="inlineStr">
        <is>
          <t>2030</t>
        </is>
      </c>
      <c r="J3878" t="inlineStr">
        <is>
          <t>S/N</t>
        </is>
      </c>
      <c r="K3878" t="inlineStr">
        <is>
          <t>DICIEMBRE 2025</t>
        </is>
      </c>
      <c r="L3878" t="inlineStr">
        <is>
          <t>DICIEMBRE 2026</t>
        </is>
      </c>
      <c r="M3878" t="inlineStr">
        <is>
          <t>CO2 TIPO BC</t>
        </is>
      </c>
      <c r="N3878" t="inlineStr">
        <is>
          <t>5/S/N</t>
        </is>
      </c>
      <c r="O3878" t="inlineStr">
        <is>
          <t>R</t>
        </is>
      </c>
      <c r="P3878">
        <f>TRIM(N3878)</f>
        <v/>
      </c>
    </row>
    <row r="3879">
      <c r="A3879" t="inlineStr">
        <is>
          <t>CO-002541</t>
        </is>
      </c>
      <c r="B3879" t="inlineStr">
        <is>
          <t>QELLPU PERU SA</t>
        </is>
      </c>
      <c r="C3879" t="inlineStr">
        <is>
          <t>20492318656</t>
        </is>
      </c>
      <c r="D3879" t="inlineStr">
        <is>
          <t>AV. LOS INCAS CDRA. 4 PATIO NORTE - COMAS</t>
        </is>
      </c>
      <c r="E3879" t="inlineStr">
        <is>
          <t>Lima, 05 de diciembre del 2025</t>
        </is>
      </c>
      <c r="F3879" t="inlineStr">
        <is>
          <t>la Recarga y mantenimiento</t>
        </is>
      </c>
      <c r="G3879" t="inlineStr">
        <is>
          <t>02</t>
        </is>
      </c>
      <c r="H3879" t="inlineStr">
        <is>
          <t>06 KG</t>
        </is>
      </c>
      <c r="I3879" t="inlineStr">
        <is>
          <t>2028</t>
        </is>
      </c>
      <c r="J3879" t="n">
        <v>2010</v>
      </c>
      <c r="K3879" t="inlineStr">
        <is>
          <t>DICIEMBRE 2025</t>
        </is>
      </c>
      <c r="L3879" t="inlineStr">
        <is>
          <t>DICIEMBRE 2026</t>
        </is>
      </c>
      <c r="M3879" t="inlineStr">
        <is>
          <t>P.Q.S. / ABC AL 90% NACIONAL</t>
        </is>
      </c>
      <c r="N3879" t="inlineStr">
        <is>
          <t>27/001046</t>
        </is>
      </c>
      <c r="O3879" t="inlineStr">
        <is>
          <t>R</t>
        </is>
      </c>
      <c r="P3879">
        <f>TRIM(N3879)</f>
        <v/>
      </c>
    </row>
    <row r="3880">
      <c r="A3880" t="inlineStr">
        <is>
          <t>CO-002541</t>
        </is>
      </c>
      <c r="B3880" t="inlineStr">
        <is>
          <t>QELLPU PERU SA</t>
        </is>
      </c>
      <c r="C3880" t="inlineStr">
        <is>
          <t>20492318656</t>
        </is>
      </c>
      <c r="D3880" t="inlineStr">
        <is>
          <t>AV. LOS INCAS CDRA. 4 PATIO NORTE - COMAS</t>
        </is>
      </c>
      <c r="E3880" t="inlineStr">
        <is>
          <t>Lima, 05 de diciembre del 2025</t>
        </is>
      </c>
      <c r="F3880" t="inlineStr">
        <is>
          <t>la Recarga y mantenimiento</t>
        </is>
      </c>
      <c r="G3880" t="inlineStr">
        <is>
          <t>03</t>
        </is>
      </c>
      <c r="H3880" t="inlineStr">
        <is>
          <t>06 KG</t>
        </is>
      </c>
      <c r="I3880" t="n">
        <v>2028</v>
      </c>
      <c r="J3880" t="n">
        <v>2010</v>
      </c>
      <c r="K3880" t="inlineStr">
        <is>
          <t>DICIEMBRE 2025</t>
        </is>
      </c>
      <c r="L3880" t="inlineStr">
        <is>
          <t>DICIEMBRE 2026</t>
        </is>
      </c>
      <c r="M3880" t="inlineStr">
        <is>
          <t>P.Q.S. / ABC AL 90% NACIONAL</t>
        </is>
      </c>
      <c r="N3880" t="inlineStr">
        <is>
          <t>22/000232</t>
        </is>
      </c>
      <c r="O3880" t="inlineStr">
        <is>
          <t>R</t>
        </is>
      </c>
      <c r="P3880">
        <f>TRIM(N3880)</f>
        <v/>
      </c>
    </row>
    <row r="3881">
      <c r="A3881" t="inlineStr">
        <is>
          <t>CO-002541</t>
        </is>
      </c>
      <c r="B3881" t="inlineStr">
        <is>
          <t>QELLPU PERU SA</t>
        </is>
      </c>
      <c r="C3881" t="inlineStr">
        <is>
          <t>20492318656</t>
        </is>
      </c>
      <c r="D3881" t="inlineStr">
        <is>
          <t>AV. LOS INCAS CDRA. 4 PATIO NORTE - COMAS</t>
        </is>
      </c>
      <c r="E3881" t="inlineStr">
        <is>
          <t>Lima, 05 de diciembre del 2025</t>
        </is>
      </c>
      <c r="F3881" t="inlineStr">
        <is>
          <t>la Recarga y mantenimiento</t>
        </is>
      </c>
      <c r="G3881" t="inlineStr">
        <is>
          <t>04</t>
        </is>
      </c>
      <c r="H3881" t="inlineStr">
        <is>
          <t>06 KG</t>
        </is>
      </c>
      <c r="I3881" t="n">
        <v>2028</v>
      </c>
      <c r="J3881" t="n">
        <v>2010</v>
      </c>
      <c r="K3881" t="inlineStr">
        <is>
          <t>DICIEMBRE 2025</t>
        </is>
      </c>
      <c r="L3881" t="inlineStr">
        <is>
          <t>DICIEMBRE 2026</t>
        </is>
      </c>
      <c r="M3881" t="inlineStr">
        <is>
          <t>P.Q.S. / ABC AL 90% NACIONAL</t>
        </is>
      </c>
      <c r="N3881" t="inlineStr">
        <is>
          <t>24/000005</t>
        </is>
      </c>
      <c r="O3881" t="inlineStr">
        <is>
          <t>R</t>
        </is>
      </c>
      <c r="P3881">
        <f>TRIM(N3881)</f>
        <v/>
      </c>
    </row>
    <row r="3882">
      <c r="A3882" t="inlineStr">
        <is>
          <t>CO-002541</t>
        </is>
      </c>
      <c r="B3882" t="inlineStr">
        <is>
          <t>QELLPU PERU SA</t>
        </is>
      </c>
      <c r="C3882" t="inlineStr">
        <is>
          <t>20492318656</t>
        </is>
      </c>
      <c r="D3882" t="inlineStr">
        <is>
          <t>AV. LOS INCAS CDRA. 4 PATIO NORTE - COMAS</t>
        </is>
      </c>
      <c r="E3882" t="inlineStr">
        <is>
          <t>Lima, 05 de diciembre del 2025</t>
        </is>
      </c>
      <c r="F3882" t="inlineStr">
        <is>
          <t>la Recarga y mantenimiento</t>
        </is>
      </c>
      <c r="G3882" t="inlineStr">
        <is>
          <t>05</t>
        </is>
      </c>
      <c r="H3882" t="inlineStr">
        <is>
          <t>06 KG</t>
        </is>
      </c>
      <c r="I3882" t="n">
        <v>2028</v>
      </c>
      <c r="J3882" t="n">
        <v>2009</v>
      </c>
      <c r="K3882" t="inlineStr">
        <is>
          <t>DICIEMBRE 2025</t>
        </is>
      </c>
      <c r="L3882" t="inlineStr">
        <is>
          <t>DICIEMBRE 2026</t>
        </is>
      </c>
      <c r="M3882" t="inlineStr">
        <is>
          <t>P.Q.S. / ABC AL 90% NACIONAL</t>
        </is>
      </c>
      <c r="N3882" t="inlineStr">
        <is>
          <t>23/002313</t>
        </is>
      </c>
      <c r="O3882" t="inlineStr">
        <is>
          <t>R</t>
        </is>
      </c>
      <c r="P3882">
        <f>TRIM(N3882)</f>
        <v/>
      </c>
    </row>
    <row r="3883">
      <c r="A3883" t="inlineStr">
        <is>
          <t>CO-002541</t>
        </is>
      </c>
      <c r="B3883" t="inlineStr">
        <is>
          <t>QELLPU PERU SA</t>
        </is>
      </c>
      <c r="C3883" t="inlineStr">
        <is>
          <t>20492318656</t>
        </is>
      </c>
      <c r="D3883" t="inlineStr">
        <is>
          <t>AV. LOS INCAS CDRA. 4 PATIO NORTE - COMAS</t>
        </is>
      </c>
      <c r="E3883" t="inlineStr">
        <is>
          <t>Lima, 05 de diciembre del 2025</t>
        </is>
      </c>
      <c r="F3883" t="inlineStr">
        <is>
          <t>la Recarga y mantenimiento</t>
        </is>
      </c>
      <c r="G3883" t="inlineStr">
        <is>
          <t>06</t>
        </is>
      </c>
      <c r="H3883" t="inlineStr">
        <is>
          <t>06 KG</t>
        </is>
      </c>
      <c r="I3883" t="n">
        <v>2028</v>
      </c>
      <c r="J3883" t="n">
        <v>2011</v>
      </c>
      <c r="K3883" t="inlineStr">
        <is>
          <t>DICIEMBRE 2025</t>
        </is>
      </c>
      <c r="L3883" t="inlineStr">
        <is>
          <t>DICIEMBRE 2026</t>
        </is>
      </c>
      <c r="M3883" t="inlineStr">
        <is>
          <t>P.Q.S. / ABC AL 90% NACIONAL</t>
        </is>
      </c>
      <c r="N3883" t="inlineStr">
        <is>
          <t>25/000057</t>
        </is>
      </c>
      <c r="O3883" t="inlineStr">
        <is>
          <t>R</t>
        </is>
      </c>
      <c r="P3883">
        <f>TRIM(N3883)</f>
        <v/>
      </c>
    </row>
    <row r="3884">
      <c r="A3884" t="inlineStr">
        <is>
          <t>CO-002541</t>
        </is>
      </c>
      <c r="B3884" t="inlineStr">
        <is>
          <t>QELLPU PERU SA</t>
        </is>
      </c>
      <c r="C3884" t="inlineStr">
        <is>
          <t>20492318656</t>
        </is>
      </c>
      <c r="D3884" t="inlineStr">
        <is>
          <t>AV. LOS INCAS CDRA. 4 PATIO NORTE - COMAS</t>
        </is>
      </c>
      <c r="E3884" t="inlineStr">
        <is>
          <t>Lima, 05 de diciembre del 2025</t>
        </is>
      </c>
      <c r="F3884" t="inlineStr">
        <is>
          <t>la Recarga y mantenimiento</t>
        </is>
      </c>
      <c r="G3884" t="inlineStr">
        <is>
          <t>07</t>
        </is>
      </c>
      <c r="H3884" t="inlineStr">
        <is>
          <t>2.5 GLS</t>
        </is>
      </c>
      <c r="I3884" t="n">
        <v>2030</v>
      </c>
      <c r="J3884" t="n">
        <v>2020</v>
      </c>
      <c r="K3884" t="inlineStr">
        <is>
          <t>DICIEMBRE 2025</t>
        </is>
      </c>
      <c r="L3884" t="inlineStr">
        <is>
          <t>DICIEMBRE 2026</t>
        </is>
      </c>
      <c r="M3884" t="inlineStr">
        <is>
          <t>ESPUMA AFFF</t>
        </is>
      </c>
      <c r="N3884" t="inlineStr">
        <is>
          <t>26/000417</t>
        </is>
      </c>
      <c r="O3884" t="inlineStr">
        <is>
          <t>R</t>
        </is>
      </c>
      <c r="P3884">
        <f>TRIM(N3884)</f>
        <v/>
      </c>
    </row>
    <row r="3885">
      <c r="A3885" t="inlineStr">
        <is>
          <t>CO-002542</t>
        </is>
      </c>
      <c r="B3885" t="inlineStr">
        <is>
          <t>LINDE PERU S.R.L</t>
        </is>
      </c>
      <c r="C3885" t="inlineStr">
        <is>
          <t>20338570041</t>
        </is>
      </c>
      <c r="E3885" t="inlineStr">
        <is>
          <t>Lima, 10 de diciembre del 2025</t>
        </is>
      </c>
      <c r="F3885" t="inlineStr">
        <is>
          <t xml:space="preserve">La venta </t>
        </is>
      </c>
      <c r="G3885" t="inlineStr">
        <is>
          <t>01</t>
        </is>
      </c>
      <c r="H3885" t="inlineStr">
        <is>
          <t xml:space="preserve">20 LBS </t>
        </is>
      </c>
      <c r="I3885" t="inlineStr">
        <is>
          <t>2030</t>
        </is>
      </c>
      <c r="J3885" t="n">
        <v>2025</v>
      </c>
      <c r="K3885" t="inlineStr">
        <is>
          <t>DICIEMBRE 2025</t>
        </is>
      </c>
      <c r="L3885" t="inlineStr">
        <is>
          <t>DICIEMBRE 2026</t>
        </is>
      </c>
      <c r="M3885" t="inlineStr">
        <is>
          <t>P.Q.S. / ABC AL 90% UL</t>
        </is>
      </c>
      <c r="N3885" t="inlineStr">
        <is>
          <t>I36720917</t>
        </is>
      </c>
      <c r="O3885" t="inlineStr">
        <is>
          <t>R</t>
        </is>
      </c>
      <c r="P3885">
        <f>TRIM(N3885)</f>
        <v/>
      </c>
    </row>
    <row r="3886">
      <c r="A3886" t="inlineStr">
        <is>
          <t>CO-002543</t>
        </is>
      </c>
      <c r="B3886" t="inlineStr">
        <is>
          <t>LINDE PERU S.R.L</t>
        </is>
      </c>
      <c r="C3886" t="inlineStr">
        <is>
          <t>20338570041</t>
        </is>
      </c>
      <c r="E3886" t="inlineStr">
        <is>
          <t>Lima, 10 de diciembre del 2025</t>
        </is>
      </c>
      <c r="F3886" t="inlineStr">
        <is>
          <t xml:space="preserve">La venta </t>
        </is>
      </c>
      <c r="G3886" t="inlineStr">
        <is>
          <t>01</t>
        </is>
      </c>
      <c r="H3886" t="inlineStr">
        <is>
          <t xml:space="preserve">20 LBS </t>
        </is>
      </c>
      <c r="I3886" t="inlineStr">
        <is>
          <t>2030</t>
        </is>
      </c>
      <c r="J3886" t="n">
        <v>2025</v>
      </c>
      <c r="K3886" t="inlineStr">
        <is>
          <t>DICIEMBRE 2025</t>
        </is>
      </c>
      <c r="L3886" t="inlineStr">
        <is>
          <t>DICIEMBRE 2026</t>
        </is>
      </c>
      <c r="M3886" t="inlineStr">
        <is>
          <t>P.Q.S. / ABC AL 90% UL</t>
        </is>
      </c>
      <c r="N3886" t="inlineStr">
        <is>
          <t>I36720901</t>
        </is>
      </c>
      <c r="O3886" t="inlineStr">
        <is>
          <t>R</t>
        </is>
      </c>
      <c r="P3886">
        <f>TRIM(N3886)</f>
        <v/>
      </c>
    </row>
    <row r="3887">
      <c r="A3887" t="inlineStr">
        <is>
          <t>CO-002544</t>
        </is>
      </c>
      <c r="B3887" t="inlineStr">
        <is>
          <t>LINDE PERU S.R.L</t>
        </is>
      </c>
      <c r="C3887" t="inlineStr">
        <is>
          <t>20338570041</t>
        </is>
      </c>
      <c r="E3887" t="inlineStr">
        <is>
          <t>Lima, 10 de diciembre del 2025</t>
        </is>
      </c>
      <c r="F3887" t="inlineStr">
        <is>
          <t xml:space="preserve">La venta </t>
        </is>
      </c>
      <c r="G3887" t="inlineStr">
        <is>
          <t>01</t>
        </is>
      </c>
      <c r="H3887" t="inlineStr">
        <is>
          <t xml:space="preserve">20 LBS </t>
        </is>
      </c>
      <c r="I3887" t="inlineStr">
        <is>
          <t>2030</t>
        </is>
      </c>
      <c r="J3887" t="n">
        <v>2025</v>
      </c>
      <c r="K3887" t="inlineStr">
        <is>
          <t>DICIEMBRE 2025</t>
        </is>
      </c>
      <c r="L3887" t="inlineStr">
        <is>
          <t>DICIEMBRE 2026</t>
        </is>
      </c>
      <c r="M3887" t="inlineStr">
        <is>
          <t>P.Q.S. / ABC AL 90% UL</t>
        </is>
      </c>
      <c r="N3887" t="inlineStr">
        <is>
          <t>I36720886</t>
        </is>
      </c>
      <c r="O3887" t="inlineStr">
        <is>
          <t>R</t>
        </is>
      </c>
      <c r="P3887">
        <f>TRIM(N3887)</f>
        <v/>
      </c>
    </row>
    <row r="3888">
      <c r="A3888" t="inlineStr">
        <is>
          <t>CO-002545</t>
        </is>
      </c>
      <c r="B3888" t="inlineStr">
        <is>
          <t>LINDE PERU S.R.L</t>
        </is>
      </c>
      <c r="C3888" t="inlineStr">
        <is>
          <t>20338570041</t>
        </is>
      </c>
      <c r="E3888" t="inlineStr">
        <is>
          <t>Lima, 10 de diciembre del 2025</t>
        </is>
      </c>
      <c r="F3888" t="inlineStr">
        <is>
          <t xml:space="preserve">La venta </t>
        </is>
      </c>
      <c r="G3888" t="inlineStr">
        <is>
          <t>01</t>
        </is>
      </c>
      <c r="H3888" t="inlineStr">
        <is>
          <t xml:space="preserve">20 LBS </t>
        </is>
      </c>
      <c r="I3888" t="inlineStr">
        <is>
          <t>2030</t>
        </is>
      </c>
      <c r="J3888" t="n">
        <v>2025</v>
      </c>
      <c r="K3888" t="inlineStr">
        <is>
          <t>DICIEMBRE 2025</t>
        </is>
      </c>
      <c r="L3888" t="inlineStr">
        <is>
          <t>DICIEMBRE 2026</t>
        </is>
      </c>
      <c r="M3888" t="inlineStr">
        <is>
          <t>P.Q.S. / ABC AL 90% UL</t>
        </is>
      </c>
      <c r="N3888" t="inlineStr">
        <is>
          <t>I36720902</t>
        </is>
      </c>
      <c r="O3888" t="inlineStr">
        <is>
          <t>R</t>
        </is>
      </c>
      <c r="P3888">
        <f>TRIM(N3888)</f>
        <v/>
      </c>
    </row>
    <row r="3889">
      <c r="A3889" t="inlineStr">
        <is>
          <t>CO-002546</t>
        </is>
      </c>
      <c r="B3889" t="inlineStr">
        <is>
          <t>LINDE PERU S.R.L</t>
        </is>
      </c>
      <c r="C3889" t="inlineStr">
        <is>
          <t>20338570041</t>
        </is>
      </c>
      <c r="E3889" t="inlineStr">
        <is>
          <t>Lima, 10 de diciembre del 2025</t>
        </is>
      </c>
      <c r="F3889" t="inlineStr">
        <is>
          <t xml:space="preserve">La venta </t>
        </is>
      </c>
      <c r="G3889" t="inlineStr">
        <is>
          <t>01</t>
        </is>
      </c>
      <c r="H3889" t="inlineStr">
        <is>
          <t xml:space="preserve">20 LBS </t>
        </is>
      </c>
      <c r="I3889" t="inlineStr">
        <is>
          <t>2030</t>
        </is>
      </c>
      <c r="J3889" t="n">
        <v>2025</v>
      </c>
      <c r="K3889" t="inlineStr">
        <is>
          <t>DICIEMBRE 2025</t>
        </is>
      </c>
      <c r="L3889" t="inlineStr">
        <is>
          <t>DICIEMBRE 2026</t>
        </is>
      </c>
      <c r="M3889" t="inlineStr">
        <is>
          <t>P.Q.S. / ABC AL 90% UL</t>
        </is>
      </c>
      <c r="N3889" t="inlineStr">
        <is>
          <t>I36720920</t>
        </is>
      </c>
      <c r="O3889" t="inlineStr">
        <is>
          <t>R</t>
        </is>
      </c>
      <c r="P3889">
        <f>TRIM(N3889)</f>
        <v/>
      </c>
    </row>
    <row r="3890">
      <c r="A3890" t="inlineStr">
        <is>
          <t>CO-002547</t>
        </is>
      </c>
      <c r="B3890" t="inlineStr">
        <is>
          <t>LINDE PERU S.R.L</t>
        </is>
      </c>
      <c r="C3890" t="inlineStr">
        <is>
          <t>20338570041</t>
        </is>
      </c>
      <c r="E3890" t="inlineStr">
        <is>
          <t>Lima, 10 de diciembre del 2025</t>
        </is>
      </c>
      <c r="F3890" t="inlineStr">
        <is>
          <t xml:space="preserve">La venta </t>
        </is>
      </c>
      <c r="G3890" t="inlineStr">
        <is>
          <t>01</t>
        </is>
      </c>
      <c r="H3890" t="inlineStr">
        <is>
          <t xml:space="preserve">20 LBS </t>
        </is>
      </c>
      <c r="I3890" t="inlineStr">
        <is>
          <t>2030</t>
        </is>
      </c>
      <c r="J3890" t="n">
        <v>2025</v>
      </c>
      <c r="K3890" t="inlineStr">
        <is>
          <t>DICIEMBRE 2025</t>
        </is>
      </c>
      <c r="L3890" t="inlineStr">
        <is>
          <t>DICIEMBRE 2026</t>
        </is>
      </c>
      <c r="M3890" t="inlineStr">
        <is>
          <t>P.Q.S. / ABC AL 90% UL</t>
        </is>
      </c>
      <c r="N3890" t="inlineStr">
        <is>
          <t>I36720912</t>
        </is>
      </c>
      <c r="O3890" t="inlineStr">
        <is>
          <t>R</t>
        </is>
      </c>
      <c r="P3890">
        <f>TRIM(N3890)</f>
        <v/>
      </c>
    </row>
    <row r="3891">
      <c r="A3891" t="inlineStr">
        <is>
          <t>CO-002548</t>
        </is>
      </c>
      <c r="B3891" t="inlineStr">
        <is>
          <t>LINDE PERU S.R.L</t>
        </is>
      </c>
      <c r="C3891" t="inlineStr">
        <is>
          <t>20338570041</t>
        </is>
      </c>
      <c r="E3891" t="inlineStr">
        <is>
          <t>Lima, 10 de diciembre del 2025</t>
        </is>
      </c>
      <c r="F3891" t="inlineStr">
        <is>
          <t xml:space="preserve">La venta </t>
        </is>
      </c>
      <c r="G3891" t="inlineStr">
        <is>
          <t>01</t>
        </is>
      </c>
      <c r="H3891" t="inlineStr">
        <is>
          <t xml:space="preserve">20 LBS </t>
        </is>
      </c>
      <c r="I3891" t="inlineStr">
        <is>
          <t>2030</t>
        </is>
      </c>
      <c r="J3891" t="n">
        <v>2025</v>
      </c>
      <c r="K3891" t="inlineStr">
        <is>
          <t>DICIEMBRE 2025</t>
        </is>
      </c>
      <c r="L3891" t="inlineStr">
        <is>
          <t>DICIEMBRE 2026</t>
        </is>
      </c>
      <c r="M3891" t="inlineStr">
        <is>
          <t>P.Q.S. / ABC AL 90% UL</t>
        </is>
      </c>
      <c r="N3891" t="inlineStr">
        <is>
          <t>I36720862</t>
        </is>
      </c>
      <c r="O3891" t="inlineStr">
        <is>
          <t>R</t>
        </is>
      </c>
      <c r="P3891">
        <f>TRIM(N3891)</f>
        <v/>
      </c>
    </row>
    <row r="3892">
      <c r="A3892" t="inlineStr">
        <is>
          <t>CO-002549</t>
        </is>
      </c>
      <c r="B3892" t="inlineStr">
        <is>
          <t>LINDE PERU S.R.L</t>
        </is>
      </c>
      <c r="C3892" t="inlineStr">
        <is>
          <t>20338570041</t>
        </is>
      </c>
      <c r="E3892" t="inlineStr">
        <is>
          <t>Lima, 10 de diciembre del 2025</t>
        </is>
      </c>
      <c r="F3892" t="inlineStr">
        <is>
          <t xml:space="preserve">La venta </t>
        </is>
      </c>
      <c r="G3892" t="inlineStr">
        <is>
          <t>01</t>
        </is>
      </c>
      <c r="H3892" t="inlineStr">
        <is>
          <t xml:space="preserve">20 LBS </t>
        </is>
      </c>
      <c r="I3892" t="inlineStr">
        <is>
          <t>2030</t>
        </is>
      </c>
      <c r="J3892" t="n">
        <v>2025</v>
      </c>
      <c r="K3892" t="inlineStr">
        <is>
          <t>DICIEMBRE 2025</t>
        </is>
      </c>
      <c r="L3892" t="inlineStr">
        <is>
          <t>DICIEMBRE 2026</t>
        </is>
      </c>
      <c r="M3892" t="inlineStr">
        <is>
          <t>P.Q.S. / ABC AL 90% UL</t>
        </is>
      </c>
      <c r="N3892" t="inlineStr">
        <is>
          <t>I36720908</t>
        </is>
      </c>
      <c r="O3892" t="inlineStr">
        <is>
          <t>R</t>
        </is>
      </c>
      <c r="P3892">
        <f>TRIM(N3892)</f>
        <v/>
      </c>
    </row>
    <row r="3893">
      <c r="A3893" t="inlineStr">
        <is>
          <t>CO-002550</t>
        </is>
      </c>
      <c r="B3893" t="inlineStr">
        <is>
          <t>LINDE PERU S.R.L</t>
        </is>
      </c>
      <c r="C3893" t="inlineStr">
        <is>
          <t>20338570041</t>
        </is>
      </c>
      <c r="E3893" t="inlineStr">
        <is>
          <t>Lima, 10 de diciembre del 2025</t>
        </is>
      </c>
      <c r="F3893" t="inlineStr">
        <is>
          <t xml:space="preserve">La venta </t>
        </is>
      </c>
      <c r="G3893" t="inlineStr">
        <is>
          <t>01</t>
        </is>
      </c>
      <c r="H3893" t="inlineStr">
        <is>
          <t xml:space="preserve">20 LBS </t>
        </is>
      </c>
      <c r="I3893" t="inlineStr">
        <is>
          <t>2030</t>
        </is>
      </c>
      <c r="J3893" t="n">
        <v>2025</v>
      </c>
      <c r="K3893" t="inlineStr">
        <is>
          <t>DICIEMBRE 2025</t>
        </is>
      </c>
      <c r="L3893" t="inlineStr">
        <is>
          <t>DICIEMBRE 2026</t>
        </is>
      </c>
      <c r="M3893" t="inlineStr">
        <is>
          <t>P.Q.S. / ABC AL 90% UL</t>
        </is>
      </c>
      <c r="N3893" t="inlineStr">
        <is>
          <t>I36720926</t>
        </is>
      </c>
      <c r="O3893" t="inlineStr">
        <is>
          <t>R</t>
        </is>
      </c>
      <c r="P3893">
        <f>TRIM(N3893)</f>
        <v/>
      </c>
    </row>
    <row r="3894">
      <c r="A3894" t="inlineStr">
        <is>
          <t>CO-002551</t>
        </is>
      </c>
      <c r="B3894" t="inlineStr">
        <is>
          <t>LINDE PERU S.R.L</t>
        </is>
      </c>
      <c r="C3894" t="inlineStr">
        <is>
          <t>20338570041</t>
        </is>
      </c>
      <c r="E3894" t="inlineStr">
        <is>
          <t>Lima, 10 de diciembre del 2025</t>
        </is>
      </c>
      <c r="F3894" t="inlineStr">
        <is>
          <t xml:space="preserve">La venta </t>
        </is>
      </c>
      <c r="G3894" t="inlineStr">
        <is>
          <t>01</t>
        </is>
      </c>
      <c r="H3894" t="inlineStr">
        <is>
          <t xml:space="preserve">20 LBS </t>
        </is>
      </c>
      <c r="I3894" t="inlineStr">
        <is>
          <t>2030</t>
        </is>
      </c>
      <c r="J3894" t="n">
        <v>2025</v>
      </c>
      <c r="K3894" t="inlineStr">
        <is>
          <t>DICIEMBRE 2025</t>
        </is>
      </c>
      <c r="L3894" t="inlineStr">
        <is>
          <t>DICIEMBRE 2026</t>
        </is>
      </c>
      <c r="M3894" t="inlineStr">
        <is>
          <t>P.Q.S. / ABC AL 90% UL</t>
        </is>
      </c>
      <c r="N3894" t="inlineStr">
        <is>
          <t>I36720929</t>
        </is>
      </c>
      <c r="O3894" t="inlineStr">
        <is>
          <t>R</t>
        </is>
      </c>
      <c r="P3894">
        <f>TRIM(N3894)</f>
        <v/>
      </c>
    </row>
    <row r="3895">
      <c r="A3895" t="inlineStr">
        <is>
          <t>CO-002552</t>
        </is>
      </c>
      <c r="B3895" t="inlineStr">
        <is>
          <t>LINDE PERU S.R.L</t>
        </is>
      </c>
      <c r="C3895" t="inlineStr">
        <is>
          <t>20338570041</t>
        </is>
      </c>
      <c r="E3895" t="inlineStr">
        <is>
          <t>Lima, 10 de diciembre del 2025</t>
        </is>
      </c>
      <c r="F3895" t="inlineStr">
        <is>
          <t xml:space="preserve">La venta </t>
        </is>
      </c>
      <c r="G3895" t="inlineStr">
        <is>
          <t>01</t>
        </is>
      </c>
      <c r="H3895" t="inlineStr">
        <is>
          <t xml:space="preserve">20 LBS </t>
        </is>
      </c>
      <c r="I3895" t="inlineStr">
        <is>
          <t>2030</t>
        </is>
      </c>
      <c r="J3895" t="n">
        <v>2025</v>
      </c>
      <c r="K3895" t="inlineStr">
        <is>
          <t>DICIEMBRE 2025</t>
        </is>
      </c>
      <c r="L3895" t="inlineStr">
        <is>
          <t>DICIEMBRE 2026</t>
        </is>
      </c>
      <c r="M3895" t="inlineStr">
        <is>
          <t>P.Q.S. / ABC AL 90% UL</t>
        </is>
      </c>
      <c r="N3895" t="inlineStr">
        <is>
          <t>I36720910</t>
        </is>
      </c>
      <c r="O3895" t="inlineStr">
        <is>
          <t>R</t>
        </is>
      </c>
      <c r="P3895">
        <f>TRIM(N3895)</f>
        <v/>
      </c>
    </row>
    <row r="3896">
      <c r="A3896" t="inlineStr">
        <is>
          <t>CO-002553</t>
        </is>
      </c>
      <c r="B3896" t="inlineStr">
        <is>
          <t>LINDE PERU S.R.L</t>
        </is>
      </c>
      <c r="C3896" t="inlineStr">
        <is>
          <t>20338570041</t>
        </is>
      </c>
      <c r="E3896" t="inlineStr">
        <is>
          <t>Lima, 10 de diciembre del 2025</t>
        </is>
      </c>
      <c r="F3896" t="inlineStr">
        <is>
          <t xml:space="preserve">La venta </t>
        </is>
      </c>
      <c r="G3896" t="inlineStr">
        <is>
          <t>01</t>
        </is>
      </c>
      <c r="H3896" t="inlineStr">
        <is>
          <t xml:space="preserve">20 LBS </t>
        </is>
      </c>
      <c r="I3896" t="inlineStr">
        <is>
          <t>2030</t>
        </is>
      </c>
      <c r="J3896" t="n">
        <v>2025</v>
      </c>
      <c r="K3896" t="inlineStr">
        <is>
          <t>DICIEMBRE 2025</t>
        </is>
      </c>
      <c r="L3896" t="inlineStr">
        <is>
          <t>DICIEMBRE 2026</t>
        </is>
      </c>
      <c r="M3896" t="inlineStr">
        <is>
          <t>P.Q.S. / ABC AL 90% UL</t>
        </is>
      </c>
      <c r="N3896" t="inlineStr">
        <is>
          <t xml:space="preserve">I36720896 </t>
        </is>
      </c>
      <c r="O3896" t="inlineStr">
        <is>
          <t>R</t>
        </is>
      </c>
      <c r="P3896">
        <f>TRIM(N3896)</f>
        <v/>
      </c>
    </row>
    <row r="3897">
      <c r="A3897" t="inlineStr">
        <is>
          <t>CO-002554</t>
        </is>
      </c>
      <c r="B3897" t="inlineStr">
        <is>
          <t>LINDE PERU S.R.L</t>
        </is>
      </c>
      <c r="C3897" t="inlineStr">
        <is>
          <t>20338570041</t>
        </is>
      </c>
      <c r="E3897" t="inlineStr">
        <is>
          <t>Lima, 10 de diciembre del 2025</t>
        </is>
      </c>
      <c r="F3897" t="inlineStr">
        <is>
          <t xml:space="preserve">La venta </t>
        </is>
      </c>
      <c r="G3897" t="inlineStr">
        <is>
          <t>01</t>
        </is>
      </c>
      <c r="H3897" t="inlineStr">
        <is>
          <t xml:space="preserve">20 LBS </t>
        </is>
      </c>
      <c r="I3897" t="inlineStr">
        <is>
          <t>2030</t>
        </is>
      </c>
      <c r="J3897" t="n">
        <v>2025</v>
      </c>
      <c r="K3897" t="inlineStr">
        <is>
          <t>DICIEMBRE 2025</t>
        </is>
      </c>
      <c r="L3897" t="inlineStr">
        <is>
          <t>DICIEMBRE 2026</t>
        </is>
      </c>
      <c r="M3897" t="inlineStr">
        <is>
          <t>P.Q.S. / ABC AL 90% UL</t>
        </is>
      </c>
      <c r="N3897" t="inlineStr">
        <is>
          <t>I36720927</t>
        </is>
      </c>
      <c r="O3897" t="inlineStr">
        <is>
          <t>R</t>
        </is>
      </c>
      <c r="P3897">
        <f>TRIM(N3897)</f>
        <v/>
      </c>
    </row>
    <row r="3898">
      <c r="A3898" t="inlineStr">
        <is>
          <t>CO-002555</t>
        </is>
      </c>
      <c r="B3898" t="inlineStr">
        <is>
          <t>BRITISH AMERICAN HOSPITAL S.A. - CLINICA ANGLOAMERICANA</t>
        </is>
      </c>
      <c r="C3898" t="inlineStr">
        <is>
          <t>20107695584</t>
        </is>
      </c>
      <c r="D3898" t="inlineStr">
        <is>
          <t xml:space="preserve">JR ALFREDO SALAZAR 350 - SAN ISIDRO </t>
        </is>
      </c>
      <c r="E3898" t="inlineStr">
        <is>
          <t>Lima, 11 de diciembre del 2025</t>
        </is>
      </c>
      <c r="F3898" t="inlineStr">
        <is>
          <t>la Recarga y mantenimiento</t>
        </is>
      </c>
      <c r="G3898" t="inlineStr">
        <is>
          <t>01</t>
        </is>
      </c>
      <c r="H3898" t="inlineStr">
        <is>
          <t>06 KG</t>
        </is>
      </c>
      <c r="I3898" t="inlineStr">
        <is>
          <t>2027</t>
        </is>
      </c>
      <c r="J3898" t="n">
        <v>2007</v>
      </c>
      <c r="K3898" t="inlineStr">
        <is>
          <t>DICIEMBRE 2025</t>
        </is>
      </c>
      <c r="L3898" t="inlineStr">
        <is>
          <t>DICIEMBRE 2026</t>
        </is>
      </c>
      <c r="M3898" t="inlineStr">
        <is>
          <t xml:space="preserve">PQS TIPO ABC AL 75% </t>
        </is>
      </c>
      <c r="N3898" t="inlineStr">
        <is>
          <t>E-042/000376</t>
        </is>
      </c>
      <c r="O3898" t="inlineStr">
        <is>
          <t>R</t>
        </is>
      </c>
      <c r="P3898">
        <f>TRIM(N3898)</f>
        <v/>
      </c>
    </row>
    <row r="3899">
      <c r="A3899" t="inlineStr">
        <is>
          <t>CO-002555</t>
        </is>
      </c>
      <c r="B3899" t="inlineStr">
        <is>
          <t>BRITISH AMERICAN HOSPITAL S.A. - CLINICA ANGLOAMERICANA</t>
        </is>
      </c>
      <c r="C3899" t="inlineStr">
        <is>
          <t>20107695584</t>
        </is>
      </c>
      <c r="D3899" t="inlineStr">
        <is>
          <t xml:space="preserve">JR ALFREDO SALAZAR 350 - SAN ISIDRO </t>
        </is>
      </c>
      <c r="E3899" t="inlineStr">
        <is>
          <t>Lima, 11 de diciembre del 2025</t>
        </is>
      </c>
      <c r="F3899" t="inlineStr">
        <is>
          <t>la Recarga y mantenimiento</t>
        </is>
      </c>
      <c r="G3899" t="inlineStr">
        <is>
          <t>02</t>
        </is>
      </c>
      <c r="H3899" t="inlineStr">
        <is>
          <t>06 KG</t>
        </is>
      </c>
      <c r="I3899" t="inlineStr">
        <is>
          <t>2029</t>
        </is>
      </c>
      <c r="J3899" t="n">
        <v>2017</v>
      </c>
      <c r="K3899" t="inlineStr">
        <is>
          <t>DICIEMBRE 2025</t>
        </is>
      </c>
      <c r="L3899" t="inlineStr">
        <is>
          <t>DICIEMBRE 2026</t>
        </is>
      </c>
      <c r="M3899" t="inlineStr">
        <is>
          <t xml:space="preserve">PQS TIPO ABC AL 75% </t>
        </is>
      </c>
      <c r="N3899" t="inlineStr">
        <is>
          <t>E-022/000008</t>
        </is>
      </c>
      <c r="O3899" t="inlineStr">
        <is>
          <t>R</t>
        </is>
      </c>
      <c r="P3899">
        <f>TRIM(N3899)</f>
        <v/>
      </c>
    </row>
    <row r="3900">
      <c r="A3900" t="inlineStr">
        <is>
          <t>CO-002555</t>
        </is>
      </c>
      <c r="B3900" t="inlineStr">
        <is>
          <t>BRITISH AMERICAN HOSPITAL S.A. - CLINICA ANGLOAMERICANA</t>
        </is>
      </c>
      <c r="C3900" t="inlineStr">
        <is>
          <t>20107695584</t>
        </is>
      </c>
      <c r="D3900" t="inlineStr">
        <is>
          <t xml:space="preserve">JR ALFREDO SALAZAR 350 - SAN ISIDRO </t>
        </is>
      </c>
      <c r="E3900" t="inlineStr">
        <is>
          <t>Lima, 11 de diciembre del 2025</t>
        </is>
      </c>
      <c r="F3900" t="inlineStr">
        <is>
          <t>la Recarga y mantenimiento</t>
        </is>
      </c>
      <c r="G3900" t="inlineStr">
        <is>
          <t>03</t>
        </is>
      </c>
      <c r="H3900" t="inlineStr">
        <is>
          <t>06 KG</t>
        </is>
      </c>
      <c r="I3900" t="n">
        <v>2026</v>
      </c>
      <c r="J3900" t="n">
        <v>2011</v>
      </c>
      <c r="K3900" t="inlineStr">
        <is>
          <t>DICIEMBRE 2025</t>
        </is>
      </c>
      <c r="L3900" t="inlineStr">
        <is>
          <t>DICIEMBRE 2026</t>
        </is>
      </c>
      <c r="M3900" t="inlineStr">
        <is>
          <t xml:space="preserve">PQS TIPO ABC AL 75% </t>
        </is>
      </c>
      <c r="N3900" t="inlineStr">
        <is>
          <t>E-012/003007</t>
        </is>
      </c>
      <c r="O3900" t="inlineStr">
        <is>
          <t>R</t>
        </is>
      </c>
      <c r="P3900">
        <f>TRIM(N3900)</f>
        <v/>
      </c>
    </row>
    <row r="3901">
      <c r="A3901" t="inlineStr">
        <is>
          <t>CO-002555</t>
        </is>
      </c>
      <c r="B3901" t="inlineStr">
        <is>
          <t>BRITISH AMERICAN HOSPITAL S.A. - CLINICA ANGLOAMERICANA</t>
        </is>
      </c>
      <c r="C3901" t="inlineStr">
        <is>
          <t>20107695584</t>
        </is>
      </c>
      <c r="D3901" t="inlineStr">
        <is>
          <t xml:space="preserve">JR ALFREDO SALAZAR 350 - SAN ISIDRO </t>
        </is>
      </c>
      <c r="E3901" t="inlineStr">
        <is>
          <t>Lima, 11 de diciembre del 2025</t>
        </is>
      </c>
      <c r="F3901" t="inlineStr">
        <is>
          <t>la Recarga y mantenimiento</t>
        </is>
      </c>
      <c r="G3901" t="inlineStr">
        <is>
          <t>04</t>
        </is>
      </c>
      <c r="H3901" t="inlineStr">
        <is>
          <t>06 KG</t>
        </is>
      </c>
      <c r="I3901" t="n">
        <v>2027</v>
      </c>
      <c r="J3901" t="n">
        <v>2012</v>
      </c>
      <c r="K3901" t="inlineStr">
        <is>
          <t>DICIEMBRE 2025</t>
        </is>
      </c>
      <c r="L3901" t="inlineStr">
        <is>
          <t>DICIEMBRE 2026</t>
        </is>
      </c>
      <c r="M3901" t="inlineStr">
        <is>
          <t xml:space="preserve">PQS TIPO ABC AL 75% </t>
        </is>
      </c>
      <c r="N3901" t="inlineStr">
        <is>
          <t>E-011/000862</t>
        </is>
      </c>
      <c r="O3901" t="inlineStr">
        <is>
          <t>R</t>
        </is>
      </c>
      <c r="P3901">
        <f>TRIM(N3901)</f>
        <v/>
      </c>
    </row>
    <row r="3902">
      <c r="A3902" t="inlineStr">
        <is>
          <t>CO-002555</t>
        </is>
      </c>
      <c r="B3902" t="inlineStr">
        <is>
          <t>BRITISH AMERICAN HOSPITAL S.A. - CLINICA ANGLOAMERICANA</t>
        </is>
      </c>
      <c r="C3902" t="inlineStr">
        <is>
          <t>20107695584</t>
        </is>
      </c>
      <c r="D3902" t="inlineStr">
        <is>
          <t xml:space="preserve">JR ALFREDO SALAZAR 350 - SAN ISIDRO </t>
        </is>
      </c>
      <c r="E3902" t="inlineStr">
        <is>
          <t>Lima, 11 de diciembre del 2025</t>
        </is>
      </c>
      <c r="F3902" t="inlineStr">
        <is>
          <t>la Recarga y mantenimiento</t>
        </is>
      </c>
      <c r="G3902" t="inlineStr">
        <is>
          <t xml:space="preserve">05 </t>
        </is>
      </c>
      <c r="H3902" t="inlineStr">
        <is>
          <t>09 KG</t>
        </is>
      </c>
      <c r="I3902" t="n">
        <v>2027</v>
      </c>
      <c r="J3902" t="n">
        <v>2007</v>
      </c>
      <c r="K3902" t="inlineStr">
        <is>
          <t>DICIEMBRE 2025</t>
        </is>
      </c>
      <c r="L3902" t="inlineStr">
        <is>
          <t>DICIEMBRE 2026</t>
        </is>
      </c>
      <c r="M3902" t="inlineStr">
        <is>
          <t xml:space="preserve">PQS TIPO ABC AL 75% </t>
        </is>
      </c>
      <c r="N3902" t="inlineStr">
        <is>
          <t>E-028/000226</t>
        </is>
      </c>
      <c r="O3902" t="inlineStr">
        <is>
          <t>R</t>
        </is>
      </c>
      <c r="P3902">
        <f>TRIM(N3902)</f>
        <v/>
      </c>
    </row>
    <row r="3903">
      <c r="A3903" t="inlineStr">
        <is>
          <t>CO-002555</t>
        </is>
      </c>
      <c r="B3903" t="inlineStr">
        <is>
          <t>BRITISH AMERICAN HOSPITAL S.A. - CLINICA ANGLOAMERICANA</t>
        </is>
      </c>
      <c r="C3903" t="inlineStr">
        <is>
          <t>20107695584</t>
        </is>
      </c>
      <c r="D3903" t="inlineStr">
        <is>
          <t xml:space="preserve">JR ALFREDO SALAZAR 350 - SAN ISIDRO </t>
        </is>
      </c>
      <c r="E3903" t="inlineStr">
        <is>
          <t>Lima, 11 de diciembre del 2025</t>
        </is>
      </c>
      <c r="F3903" t="inlineStr">
        <is>
          <t>la Recarga y mantenimiento</t>
        </is>
      </c>
      <c r="G3903" t="inlineStr">
        <is>
          <t>06</t>
        </is>
      </c>
      <c r="H3903" t="inlineStr">
        <is>
          <t>12 KG</t>
        </is>
      </c>
      <c r="I3903" t="n">
        <v>2027</v>
      </c>
      <c r="J3903" t="n">
        <v>2007</v>
      </c>
      <c r="K3903" t="inlineStr">
        <is>
          <t>DICIEMBRE 2025</t>
        </is>
      </c>
      <c r="L3903" t="inlineStr">
        <is>
          <t>DICIEMBRE 2026</t>
        </is>
      </c>
      <c r="M3903" t="inlineStr">
        <is>
          <t xml:space="preserve">PQS TIPO ABC AL 75% </t>
        </is>
      </c>
      <c r="N3903" t="inlineStr">
        <is>
          <t>E-021/000245</t>
        </is>
      </c>
      <c r="O3903" t="inlineStr">
        <is>
          <t>R</t>
        </is>
      </c>
      <c r="P3903">
        <f>TRIM(N3903)</f>
        <v/>
      </c>
    </row>
    <row r="3904">
      <c r="A3904" t="inlineStr">
        <is>
          <t>CO-002555</t>
        </is>
      </c>
      <c r="B3904" t="inlineStr">
        <is>
          <t>BRITISH AMERICAN HOSPITAL S.A. - CLINICA ANGLOAMERICANA</t>
        </is>
      </c>
      <c r="C3904" t="inlineStr">
        <is>
          <t>20107695584</t>
        </is>
      </c>
      <c r="D3904" t="inlineStr">
        <is>
          <t xml:space="preserve">JR ALFREDO SALAZAR 350 - SAN ISIDRO </t>
        </is>
      </c>
      <c r="E3904" t="inlineStr">
        <is>
          <t>Lima, 11 de diciembre del 2025</t>
        </is>
      </c>
      <c r="F3904" t="inlineStr">
        <is>
          <t>la Recarga y mantenimiento</t>
        </is>
      </c>
      <c r="G3904" t="inlineStr">
        <is>
          <t>07</t>
        </is>
      </c>
      <c r="H3904" t="inlineStr">
        <is>
          <t>12 KG</t>
        </is>
      </c>
      <c r="I3904" t="n">
        <v>2026</v>
      </c>
      <c r="J3904" t="inlineStr">
        <is>
          <t>S/N</t>
        </is>
      </c>
      <c r="K3904" t="inlineStr">
        <is>
          <t>DICIEMBRE 2025</t>
        </is>
      </c>
      <c r="L3904" t="inlineStr">
        <is>
          <t>DICIEMBRE 2026</t>
        </is>
      </c>
      <c r="M3904" t="inlineStr">
        <is>
          <t xml:space="preserve">PQS TIPO ABC AL 75% </t>
        </is>
      </c>
      <c r="N3904" t="inlineStr">
        <is>
          <t>E-030/S/N</t>
        </is>
      </c>
      <c r="O3904" t="inlineStr">
        <is>
          <t>R</t>
        </is>
      </c>
      <c r="P3904">
        <f>TRIM(N3904)</f>
        <v/>
      </c>
    </row>
    <row r="3905">
      <c r="A3905" t="inlineStr">
        <is>
          <t>CO-002555</t>
        </is>
      </c>
      <c r="B3905" t="inlineStr">
        <is>
          <t>BRITISH AMERICAN HOSPITAL S.A. - CLINICA ANGLOAMERICANA</t>
        </is>
      </c>
      <c r="C3905" t="inlineStr">
        <is>
          <t>20107695584</t>
        </is>
      </c>
      <c r="D3905" t="inlineStr">
        <is>
          <t xml:space="preserve">JR ALFREDO SALAZAR 350 - SAN ISIDRO </t>
        </is>
      </c>
      <c r="E3905" t="inlineStr">
        <is>
          <t>Lima, 11 de diciembre del 2025</t>
        </is>
      </c>
      <c r="F3905" t="inlineStr">
        <is>
          <t>la Recarga y mantenimiento</t>
        </is>
      </c>
      <c r="G3905" t="inlineStr">
        <is>
          <t>08</t>
        </is>
      </c>
      <c r="H3905" t="inlineStr">
        <is>
          <t>12 KG</t>
        </is>
      </c>
      <c r="I3905" t="n">
        <v>2030</v>
      </c>
      <c r="J3905" t="n">
        <v>2017</v>
      </c>
      <c r="K3905" t="inlineStr">
        <is>
          <t>DICIEMBRE 2025</t>
        </is>
      </c>
      <c r="L3905" t="inlineStr">
        <is>
          <t>DICIEMBRE 2026</t>
        </is>
      </c>
      <c r="M3905" t="inlineStr">
        <is>
          <t xml:space="preserve">PQS TIPO ABC AL 75% </t>
        </is>
      </c>
      <c r="N3905" t="inlineStr">
        <is>
          <t>E-165/000430</t>
        </is>
      </c>
      <c r="O3905" t="inlineStr">
        <is>
          <t>R</t>
        </is>
      </c>
      <c r="P3905">
        <f>TRIM(N3905)</f>
        <v/>
      </c>
    </row>
    <row r="3906">
      <c r="A3906" t="inlineStr">
        <is>
          <t>CO-002555</t>
        </is>
      </c>
      <c r="B3906" t="inlineStr">
        <is>
          <t>BRITISH AMERICAN HOSPITAL S.A. - CLINICA ANGLOAMERICANA</t>
        </is>
      </c>
      <c r="C3906" t="inlineStr">
        <is>
          <t>20107695584</t>
        </is>
      </c>
      <c r="D3906" t="inlineStr">
        <is>
          <t xml:space="preserve">JR ALFREDO SALAZAR 350 - SAN ISIDRO </t>
        </is>
      </c>
      <c r="E3906" t="inlineStr">
        <is>
          <t>Lima, 11 de diciembre del 2025</t>
        </is>
      </c>
      <c r="F3906" t="inlineStr">
        <is>
          <t>la Recarga y mantenimiento</t>
        </is>
      </c>
      <c r="G3906" t="inlineStr">
        <is>
          <t>09</t>
        </is>
      </c>
      <c r="H3906" t="inlineStr">
        <is>
          <t>12 KG</t>
        </is>
      </c>
      <c r="I3906" t="n">
        <v>2027</v>
      </c>
      <c r="J3906" t="n">
        <v>2007</v>
      </c>
      <c r="K3906" t="inlineStr">
        <is>
          <t>DICIEMBRE 2025</t>
        </is>
      </c>
      <c r="L3906" t="inlineStr">
        <is>
          <t>DICIEMBRE 2026</t>
        </is>
      </c>
      <c r="M3906" t="inlineStr">
        <is>
          <t xml:space="preserve">PQS TIPO ABC AL 75% </t>
        </is>
      </c>
      <c r="N3906" t="inlineStr">
        <is>
          <t>E-009/000649</t>
        </is>
      </c>
      <c r="O3906" t="inlineStr">
        <is>
          <t>R</t>
        </is>
      </c>
      <c r="P3906">
        <f>TRIM(N3906)</f>
        <v/>
      </c>
    </row>
    <row r="3907">
      <c r="A3907" t="inlineStr">
        <is>
          <t>CO-002555</t>
        </is>
      </c>
      <c r="B3907" t="inlineStr">
        <is>
          <t>BRITISH AMERICAN HOSPITAL S.A. - CLINICA ANGLOAMERICANA</t>
        </is>
      </c>
      <c r="C3907" t="inlineStr">
        <is>
          <t>20107695584</t>
        </is>
      </c>
      <c r="D3907" t="inlineStr">
        <is>
          <t xml:space="preserve">JR ALFREDO SALAZAR 350 - SAN ISIDRO </t>
        </is>
      </c>
      <c r="E3907" t="inlineStr">
        <is>
          <t>Lima, 11 de diciembre del 2025</t>
        </is>
      </c>
      <c r="F3907" t="inlineStr">
        <is>
          <t>la Recarga y mantenimiento</t>
        </is>
      </c>
      <c r="G3907" t="inlineStr">
        <is>
          <t>10</t>
        </is>
      </c>
      <c r="H3907" t="inlineStr">
        <is>
          <t>12 KG</t>
        </is>
      </c>
      <c r="I3907" t="n">
        <v>2029</v>
      </c>
      <c r="J3907" t="n">
        <v>2017</v>
      </c>
      <c r="K3907" t="inlineStr">
        <is>
          <t>DICIEMBRE 2025</t>
        </is>
      </c>
      <c r="L3907" t="inlineStr">
        <is>
          <t>DICIEMBRE 2026</t>
        </is>
      </c>
      <c r="M3907" t="inlineStr">
        <is>
          <t xml:space="preserve">PQS TIPO ABC AL 75% </t>
        </is>
      </c>
      <c r="N3907" t="inlineStr">
        <is>
          <t>E-136/000457</t>
        </is>
      </c>
      <c r="O3907" t="inlineStr">
        <is>
          <t>R</t>
        </is>
      </c>
      <c r="P3907">
        <f>TRIM(N3907)</f>
        <v/>
      </c>
    </row>
    <row r="3908">
      <c r="A3908" t="inlineStr">
        <is>
          <t>CO-002555</t>
        </is>
      </c>
      <c r="B3908" t="inlineStr">
        <is>
          <t>BRITISH AMERICAN HOSPITAL S.A. - CLINICA ANGLOAMERICANA</t>
        </is>
      </c>
      <c r="C3908" t="inlineStr">
        <is>
          <t>20107695584</t>
        </is>
      </c>
      <c r="D3908" t="inlineStr">
        <is>
          <t xml:space="preserve">JR ALFREDO SALAZAR 350 - SAN ISIDRO </t>
        </is>
      </c>
      <c r="E3908" t="inlineStr">
        <is>
          <t>Lima, 11 de diciembre del 2025</t>
        </is>
      </c>
      <c r="F3908" t="inlineStr">
        <is>
          <t>la Recarga y mantenimiento</t>
        </is>
      </c>
      <c r="G3908" t="inlineStr">
        <is>
          <t>11</t>
        </is>
      </c>
      <c r="H3908" t="inlineStr">
        <is>
          <t>12 KG</t>
        </is>
      </c>
      <c r="I3908" t="n">
        <v>2027</v>
      </c>
      <c r="J3908" t="n">
        <v>2007</v>
      </c>
      <c r="K3908" t="inlineStr">
        <is>
          <t>DICIEMBRE 2025</t>
        </is>
      </c>
      <c r="L3908" t="inlineStr">
        <is>
          <t>DICIEMBRE 2026</t>
        </is>
      </c>
      <c r="M3908" t="inlineStr">
        <is>
          <t xml:space="preserve">PQS TIPO ABC AL 75% </t>
        </is>
      </c>
      <c r="N3908" t="inlineStr">
        <is>
          <t>E-108/000054</t>
        </is>
      </c>
      <c r="O3908" t="inlineStr">
        <is>
          <t>R</t>
        </is>
      </c>
      <c r="P3908">
        <f>TRIM(N3908)</f>
        <v/>
      </c>
    </row>
    <row r="3909">
      <c r="A3909" t="inlineStr">
        <is>
          <t>CO-002555</t>
        </is>
      </c>
      <c r="B3909" t="inlineStr">
        <is>
          <t>BRITISH AMERICAN HOSPITAL S.A. - CLINICA ANGLOAMERICANA</t>
        </is>
      </c>
      <c r="C3909" t="inlineStr">
        <is>
          <t>20107695584</t>
        </is>
      </c>
      <c r="D3909" t="inlineStr">
        <is>
          <t xml:space="preserve">JR ALFREDO SALAZAR 350 - SAN ISIDRO </t>
        </is>
      </c>
      <c r="E3909" t="inlineStr">
        <is>
          <t>Lima, 11 de diciembre del 2025</t>
        </is>
      </c>
      <c r="F3909" t="inlineStr">
        <is>
          <t>la Recarga y mantenimiento</t>
        </is>
      </c>
      <c r="G3909" t="n">
        <v>12</v>
      </c>
      <c r="H3909" t="inlineStr">
        <is>
          <t>20 LBS</t>
        </is>
      </c>
      <c r="I3909" t="n">
        <v>2029</v>
      </c>
      <c r="J3909" t="inlineStr">
        <is>
          <t>S/N</t>
        </is>
      </c>
      <c r="K3909" t="inlineStr">
        <is>
          <t>DICIEMBRE 2025</t>
        </is>
      </c>
      <c r="L3909" t="inlineStr">
        <is>
          <t>DICIEMBRE 2026</t>
        </is>
      </c>
      <c r="M3909" t="inlineStr">
        <is>
          <t xml:space="preserve">PQS TIPO ABC AL 75% </t>
        </is>
      </c>
      <c r="N3909" t="inlineStr">
        <is>
          <t>E-098/330245</t>
        </is>
      </c>
      <c r="O3909" t="inlineStr">
        <is>
          <t>R</t>
        </is>
      </c>
      <c r="P3909">
        <f>TRIM(N3909)</f>
        <v/>
      </c>
    </row>
    <row r="3910">
      <c r="A3910" t="inlineStr">
        <is>
          <t>CO-002556</t>
        </is>
      </c>
      <c r="B3910" t="inlineStr">
        <is>
          <t>BRITISH AMERICAN HOSPITAL S.A. - CLINICA ANGLOAMERICANA</t>
        </is>
      </c>
      <c r="C3910" t="inlineStr">
        <is>
          <t>20107695584</t>
        </is>
      </c>
      <c r="D3910" t="inlineStr">
        <is>
          <t xml:space="preserve">JR ALFREDO SALAZAR 350 - SAN ISIDRO </t>
        </is>
      </c>
      <c r="E3910" t="inlineStr">
        <is>
          <t>Lima, 11 de diciembre del 2025</t>
        </is>
      </c>
      <c r="F3910" t="inlineStr">
        <is>
          <t>la Recarga y mantenimiento</t>
        </is>
      </c>
      <c r="G3910" t="inlineStr">
        <is>
          <t>01</t>
        </is>
      </c>
      <c r="H3910" t="inlineStr">
        <is>
          <t>05 LBS</t>
        </is>
      </c>
      <c r="I3910" t="inlineStr">
        <is>
          <t>2028</t>
        </is>
      </c>
      <c r="J3910" t="n">
        <v>2018</v>
      </c>
      <c r="K3910" t="inlineStr">
        <is>
          <t>DICIEMBRE 2025</t>
        </is>
      </c>
      <c r="L3910" t="inlineStr">
        <is>
          <t>DICIEMBRE 2026</t>
        </is>
      </c>
      <c r="M3910" t="inlineStr">
        <is>
          <t>CO2 TIPO BC</t>
        </is>
      </c>
      <c r="N3910" t="inlineStr">
        <is>
          <t>E-027/000004</t>
        </is>
      </c>
      <c r="O3910" t="inlineStr">
        <is>
          <t>R</t>
        </is>
      </c>
      <c r="P3910">
        <f>TRIM(N3910)</f>
        <v/>
      </c>
    </row>
    <row r="3911">
      <c r="A3911" t="inlineStr">
        <is>
          <t>CO-002556</t>
        </is>
      </c>
      <c r="B3911" t="inlineStr">
        <is>
          <t>BRITISH AMERICAN HOSPITAL S.A. - CLINICA ANGLOAMERICANA</t>
        </is>
      </c>
      <c r="C3911" t="inlineStr">
        <is>
          <t>20107695584</t>
        </is>
      </c>
      <c r="D3911" t="inlineStr">
        <is>
          <t xml:space="preserve">JR ALFREDO SALAZAR 350 - SAN ISIDRO </t>
        </is>
      </c>
      <c r="E3911" t="inlineStr">
        <is>
          <t>Lima, 11 de diciembre del 2025</t>
        </is>
      </c>
      <c r="F3911" t="inlineStr">
        <is>
          <t>la Recarga y mantenimiento</t>
        </is>
      </c>
      <c r="G3911" t="inlineStr">
        <is>
          <t>02</t>
        </is>
      </c>
      <c r="H3911" t="inlineStr">
        <is>
          <t>10 LBS</t>
        </is>
      </c>
      <c r="I3911" t="inlineStr">
        <is>
          <t>2027</t>
        </is>
      </c>
      <c r="J3911" t="n">
        <v>2022</v>
      </c>
      <c r="K3911" t="inlineStr">
        <is>
          <t>DICIEMBRE 2025</t>
        </is>
      </c>
      <c r="L3911" t="inlineStr">
        <is>
          <t>DICIEMBRE 2026</t>
        </is>
      </c>
      <c r="M3911" t="inlineStr">
        <is>
          <t>CO2 TIPO BC</t>
        </is>
      </c>
      <c r="N3911" t="inlineStr">
        <is>
          <t>E-164/000890</t>
        </is>
      </c>
      <c r="O3911" t="inlineStr">
        <is>
          <t>R</t>
        </is>
      </c>
      <c r="P3911">
        <f>TRIM(N3911)</f>
        <v/>
      </c>
    </row>
    <row r="3912">
      <c r="A3912" t="inlineStr">
        <is>
          <t>CO-002556</t>
        </is>
      </c>
      <c r="B3912" t="inlineStr">
        <is>
          <t>BRITISH AMERICAN HOSPITAL S.A. - CLINICA ANGLOAMERICANA</t>
        </is>
      </c>
      <c r="C3912" t="inlineStr">
        <is>
          <t>20107695584</t>
        </is>
      </c>
      <c r="D3912" t="inlineStr">
        <is>
          <t xml:space="preserve">JR ALFREDO SALAZAR 350 - SAN ISIDRO </t>
        </is>
      </c>
      <c r="E3912" t="inlineStr">
        <is>
          <t>Lima, 11 de diciembre del 2025</t>
        </is>
      </c>
      <c r="F3912" t="inlineStr">
        <is>
          <t>la Recarga y mantenimiento</t>
        </is>
      </c>
      <c r="G3912" t="inlineStr">
        <is>
          <t>03</t>
        </is>
      </c>
      <c r="H3912" t="inlineStr">
        <is>
          <t>10 LBS</t>
        </is>
      </c>
      <c r="I3912" t="n">
        <v>2026</v>
      </c>
      <c r="J3912" t="n">
        <v>2018</v>
      </c>
      <c r="K3912" t="inlineStr">
        <is>
          <t>DICIEMBRE 2025</t>
        </is>
      </c>
      <c r="L3912" t="inlineStr">
        <is>
          <t>DICIEMBRE 2026</t>
        </is>
      </c>
      <c r="M3912" t="inlineStr">
        <is>
          <t>CO2 TIPO BC</t>
        </is>
      </c>
      <c r="N3912" t="inlineStr">
        <is>
          <t>E-013/000008</t>
        </is>
      </c>
      <c r="O3912" t="inlineStr">
        <is>
          <t>R</t>
        </is>
      </c>
      <c r="P3912">
        <f>TRIM(N3912)</f>
        <v/>
      </c>
    </row>
    <row r="3913">
      <c r="A3913" t="inlineStr">
        <is>
          <t>CO-002556</t>
        </is>
      </c>
      <c r="B3913" t="inlineStr">
        <is>
          <t>BRITISH AMERICAN HOSPITAL S.A. - CLINICA ANGLOAMERICANA</t>
        </is>
      </c>
      <c r="C3913" t="inlineStr">
        <is>
          <t>20107695584</t>
        </is>
      </c>
      <c r="D3913" t="inlineStr">
        <is>
          <t xml:space="preserve">JR ALFREDO SALAZAR 350 - SAN ISIDRO </t>
        </is>
      </c>
      <c r="E3913" t="inlineStr">
        <is>
          <t>Lima, 11 de diciembre del 2025</t>
        </is>
      </c>
      <c r="F3913" t="inlineStr">
        <is>
          <t>la Recarga y mantenimiento</t>
        </is>
      </c>
      <c r="G3913" t="inlineStr">
        <is>
          <t>04</t>
        </is>
      </c>
      <c r="H3913" t="inlineStr">
        <is>
          <t>10 LBS</t>
        </is>
      </c>
      <c r="I3913" t="n">
        <v>2028</v>
      </c>
      <c r="J3913" t="n">
        <v>2008</v>
      </c>
      <c r="K3913" t="inlineStr">
        <is>
          <t>DICIEMBRE 2025</t>
        </is>
      </c>
      <c r="L3913" t="inlineStr">
        <is>
          <t>DICIEMBRE 2026</t>
        </is>
      </c>
      <c r="M3913" t="inlineStr">
        <is>
          <t>CO2 TIPO BC</t>
        </is>
      </c>
      <c r="N3913" t="inlineStr">
        <is>
          <t>E-045/000226</t>
        </is>
      </c>
      <c r="O3913" t="inlineStr">
        <is>
          <t>R</t>
        </is>
      </c>
      <c r="P3913">
        <f>TRIM(N3913)</f>
        <v/>
      </c>
    </row>
    <row r="3914">
      <c r="A3914" t="inlineStr">
        <is>
          <t>CO-002556</t>
        </is>
      </c>
      <c r="B3914" t="inlineStr">
        <is>
          <t>BRITISH AMERICAN HOSPITAL S.A. - CLINICA ANGLOAMERICANA</t>
        </is>
      </c>
      <c r="C3914" t="inlineStr">
        <is>
          <t>20107695584</t>
        </is>
      </c>
      <c r="D3914" t="inlineStr">
        <is>
          <t xml:space="preserve">JR ALFREDO SALAZAR 350 - SAN ISIDRO </t>
        </is>
      </c>
      <c r="E3914" t="inlineStr">
        <is>
          <t>Lima, 11 de diciembre del 2025</t>
        </is>
      </c>
      <c r="F3914" t="inlineStr">
        <is>
          <t>la Recarga y mantenimiento</t>
        </is>
      </c>
      <c r="G3914" t="inlineStr">
        <is>
          <t xml:space="preserve">05 </t>
        </is>
      </c>
      <c r="H3914" t="inlineStr">
        <is>
          <t>15 LBS</t>
        </is>
      </c>
      <c r="I3914" t="n">
        <v>2027</v>
      </c>
      <c r="J3914" t="n">
        <v>2022</v>
      </c>
      <c r="K3914" t="inlineStr">
        <is>
          <t>DICIEMBRE 2025</t>
        </is>
      </c>
      <c r="L3914" t="inlineStr">
        <is>
          <t>DICIEMBRE 2026</t>
        </is>
      </c>
      <c r="M3914" t="inlineStr">
        <is>
          <t>CO2 TIPO BC</t>
        </is>
      </c>
      <c r="N3914" t="inlineStr">
        <is>
          <t>E-037/000103</t>
        </is>
      </c>
      <c r="O3914" t="inlineStr">
        <is>
          <t>R</t>
        </is>
      </c>
      <c r="P3914">
        <f>TRIM(N3914)</f>
        <v/>
      </c>
    </row>
    <row r="3915">
      <c r="A3915" t="inlineStr">
        <is>
          <t>CO-002556</t>
        </is>
      </c>
      <c r="B3915" t="inlineStr">
        <is>
          <t>BRITISH AMERICAN HOSPITAL S.A. - CLINICA ANGLOAMERICANA</t>
        </is>
      </c>
      <c r="C3915" t="inlineStr">
        <is>
          <t>20107695584</t>
        </is>
      </c>
      <c r="D3915" t="inlineStr">
        <is>
          <t xml:space="preserve">JR ALFREDO SALAZAR 350 - SAN ISIDRO </t>
        </is>
      </c>
      <c r="E3915" t="inlineStr">
        <is>
          <t>Lima, 11 de diciembre del 2025</t>
        </is>
      </c>
      <c r="F3915" t="inlineStr">
        <is>
          <t>la Recarga y mantenimiento</t>
        </is>
      </c>
      <c r="G3915" t="inlineStr">
        <is>
          <t>06</t>
        </is>
      </c>
      <c r="H3915" t="inlineStr">
        <is>
          <t>15 LBS</t>
        </is>
      </c>
      <c r="I3915" t="n">
        <v>2028</v>
      </c>
      <c r="J3915" t="n">
        <v>2018</v>
      </c>
      <c r="K3915" t="inlineStr">
        <is>
          <t>DICIEMBRE 2025</t>
        </is>
      </c>
      <c r="L3915" t="inlineStr">
        <is>
          <t>DICIEMBRE 2026</t>
        </is>
      </c>
      <c r="M3915" t="inlineStr">
        <is>
          <t>CO2 TIPO BC</t>
        </is>
      </c>
      <c r="N3915" t="inlineStr">
        <is>
          <t>E-041/000008</t>
        </is>
      </c>
      <c r="O3915" t="inlineStr">
        <is>
          <t>R</t>
        </is>
      </c>
      <c r="P3915">
        <f>TRIM(N3915)</f>
        <v/>
      </c>
    </row>
    <row r="3916">
      <c r="A3916" t="inlineStr">
        <is>
          <t>CO-002556</t>
        </is>
      </c>
      <c r="B3916" t="inlineStr">
        <is>
          <t>BRITISH AMERICAN HOSPITAL S.A. - CLINICA ANGLOAMERICANA</t>
        </is>
      </c>
      <c r="C3916" t="inlineStr">
        <is>
          <t>20107695584</t>
        </is>
      </c>
      <c r="D3916" t="inlineStr">
        <is>
          <t xml:space="preserve">JR ALFREDO SALAZAR 350 - SAN ISIDRO </t>
        </is>
      </c>
      <c r="E3916" t="inlineStr">
        <is>
          <t>Lima, 11 de diciembre del 2025</t>
        </is>
      </c>
      <c r="F3916" t="inlineStr">
        <is>
          <t>la Recarga y mantenimiento</t>
        </is>
      </c>
      <c r="G3916" t="inlineStr">
        <is>
          <t>07</t>
        </is>
      </c>
      <c r="H3916" t="inlineStr">
        <is>
          <t>15 LBS</t>
        </is>
      </c>
      <c r="I3916" t="n">
        <v>2030</v>
      </c>
      <c r="J3916" t="n">
        <v>2019</v>
      </c>
      <c r="K3916" t="inlineStr">
        <is>
          <t>DICIEMBRE 2025</t>
        </is>
      </c>
      <c r="L3916" t="inlineStr">
        <is>
          <t>DICIEMBRE 2026</t>
        </is>
      </c>
      <c r="M3916" t="inlineStr">
        <is>
          <t>CO2 TIPO BC</t>
        </is>
      </c>
      <c r="N3916" t="inlineStr">
        <is>
          <t>E-115/000009</t>
        </is>
      </c>
      <c r="O3916" t="inlineStr">
        <is>
          <t>R</t>
        </is>
      </c>
      <c r="P3916">
        <f>TRIM(N3916)</f>
        <v/>
      </c>
    </row>
    <row r="3917">
      <c r="A3917" t="inlineStr">
        <is>
          <t>CO-002557</t>
        </is>
      </c>
      <c r="B3917" t="inlineStr">
        <is>
          <t>BRITISH AMERICAN HOSPITAL S.A. - CLINICA ANGLOAMERICANA</t>
        </is>
      </c>
      <c r="C3917" t="inlineStr">
        <is>
          <t>20107695584</t>
        </is>
      </c>
      <c r="D3917" t="inlineStr">
        <is>
          <t xml:space="preserve">JR ALFREDO SALAZAR 350 - SAN ISIDRO </t>
        </is>
      </c>
      <c r="E3917" t="inlineStr">
        <is>
          <t>Lima, 11 de diciembre del 2025</t>
        </is>
      </c>
      <c r="F3917" t="inlineStr">
        <is>
          <t>la Recarga y mantenimiento</t>
        </is>
      </c>
      <c r="G3917" t="inlineStr">
        <is>
          <t>01</t>
        </is>
      </c>
      <c r="H3917" t="inlineStr">
        <is>
          <t>06 KG</t>
        </is>
      </c>
      <c r="I3917" t="inlineStr">
        <is>
          <t>2029</t>
        </is>
      </c>
      <c r="J3917" t="n">
        <v>1996</v>
      </c>
      <c r="K3917" t="inlineStr">
        <is>
          <t>DICIEMBRE 2025</t>
        </is>
      </c>
      <c r="L3917" t="inlineStr">
        <is>
          <t>DICIEMBRE 2026</t>
        </is>
      </c>
      <c r="M3917" t="inlineStr">
        <is>
          <t>HALOTRON</t>
        </is>
      </c>
      <c r="N3917" t="inlineStr">
        <is>
          <t>E-162/4193751</t>
        </is>
      </c>
      <c r="O3917" t="inlineStr">
        <is>
          <t>R</t>
        </is>
      </c>
      <c r="P3917">
        <f>TRIM(N3917)</f>
        <v/>
      </c>
    </row>
    <row r="3918">
      <c r="A3918" t="inlineStr">
        <is>
          <t>CO-002557</t>
        </is>
      </c>
      <c r="B3918" t="inlineStr">
        <is>
          <t>BRITISH AMERICAN HOSPITAL S.A. - CLINICA ANGLOAMERICANA</t>
        </is>
      </c>
      <c r="C3918" t="inlineStr">
        <is>
          <t>20107695584</t>
        </is>
      </c>
      <c r="D3918" t="inlineStr">
        <is>
          <t xml:space="preserve">JR ALFREDO SALAZAR 350 - SAN ISIDRO </t>
        </is>
      </c>
      <c r="E3918" t="inlineStr">
        <is>
          <t>Lima, 11 de diciembre del 2025</t>
        </is>
      </c>
      <c r="F3918" t="inlineStr">
        <is>
          <t>la Recarga y mantenimiento</t>
        </is>
      </c>
      <c r="G3918" t="inlineStr">
        <is>
          <t>02</t>
        </is>
      </c>
      <c r="H3918" t="inlineStr">
        <is>
          <t>06 KG</t>
        </is>
      </c>
      <c r="I3918" t="inlineStr">
        <is>
          <t>2029</t>
        </is>
      </c>
      <c r="J3918" t="n">
        <v>1996</v>
      </c>
      <c r="K3918" t="inlineStr">
        <is>
          <t>DICIEMBRE 2025</t>
        </is>
      </c>
      <c r="L3918" t="inlineStr">
        <is>
          <t>DICIEMBRE 2026</t>
        </is>
      </c>
      <c r="M3918" t="inlineStr">
        <is>
          <t>HALOTRON</t>
        </is>
      </c>
      <c r="N3918" t="inlineStr">
        <is>
          <t>E-152/5614548</t>
        </is>
      </c>
      <c r="O3918" t="inlineStr">
        <is>
          <t>R</t>
        </is>
      </c>
      <c r="P3918">
        <f>TRIM(N3918)</f>
        <v/>
      </c>
    </row>
    <row r="3919">
      <c r="A3919" t="inlineStr">
        <is>
          <t>CO-002557</t>
        </is>
      </c>
      <c r="B3919" t="inlineStr">
        <is>
          <t>BRITISH AMERICAN HOSPITAL S.A. - CLINICA ANGLOAMERICANA</t>
        </is>
      </c>
      <c r="C3919" t="inlineStr">
        <is>
          <t>20107695584</t>
        </is>
      </c>
      <c r="D3919" t="inlineStr">
        <is>
          <t xml:space="preserve">JR ALFREDO SALAZAR 350 - SAN ISIDRO </t>
        </is>
      </c>
      <c r="E3919" t="inlineStr">
        <is>
          <t>Lima, 11 de diciembre del 2025</t>
        </is>
      </c>
      <c r="F3919" t="inlineStr">
        <is>
          <t>la Recarga y mantenimiento</t>
        </is>
      </c>
      <c r="G3919" t="inlineStr">
        <is>
          <t>03</t>
        </is>
      </c>
      <c r="H3919" t="inlineStr">
        <is>
          <t>06 KG</t>
        </is>
      </c>
      <c r="I3919" t="inlineStr">
        <is>
          <t>2029</t>
        </is>
      </c>
      <c r="J3919" t="n">
        <v>1996</v>
      </c>
      <c r="K3919" t="inlineStr">
        <is>
          <t>DICIEMBRE 2025</t>
        </is>
      </c>
      <c r="L3919" t="inlineStr">
        <is>
          <t>DICIEMBRE 2026</t>
        </is>
      </c>
      <c r="M3919" t="inlineStr">
        <is>
          <t>HALOTRON</t>
        </is>
      </c>
      <c r="N3919" t="inlineStr">
        <is>
          <t>E-163/193760</t>
        </is>
      </c>
      <c r="O3919" t="inlineStr">
        <is>
          <t>R</t>
        </is>
      </c>
      <c r="P3919">
        <f>TRIM(N3919)</f>
        <v/>
      </c>
    </row>
    <row r="3920">
      <c r="A3920" t="inlineStr">
        <is>
          <t>CO-002557</t>
        </is>
      </c>
      <c r="B3920" t="inlineStr">
        <is>
          <t>BRITISH AMERICAN HOSPITAL S.A. - CLINICA ANGLOAMERICANA</t>
        </is>
      </c>
      <c r="C3920" t="inlineStr">
        <is>
          <t>20107695584</t>
        </is>
      </c>
      <c r="D3920" t="inlineStr">
        <is>
          <t xml:space="preserve">JR ALFREDO SALAZAR 350 - SAN ISIDRO </t>
        </is>
      </c>
      <c r="E3920" t="inlineStr">
        <is>
          <t>Lima, 11 de diciembre del 2025</t>
        </is>
      </c>
      <c r="F3920" t="inlineStr">
        <is>
          <t>la Recarga y mantenimiento</t>
        </is>
      </c>
      <c r="G3920" t="inlineStr">
        <is>
          <t>04</t>
        </is>
      </c>
      <c r="H3920" t="inlineStr">
        <is>
          <t>06 KG</t>
        </is>
      </c>
      <c r="I3920" t="inlineStr">
        <is>
          <t>2029</t>
        </is>
      </c>
      <c r="J3920" t="n">
        <v>1996</v>
      </c>
      <c r="K3920" t="inlineStr">
        <is>
          <t>DICIEMBRE 2025</t>
        </is>
      </c>
      <c r="L3920" t="inlineStr">
        <is>
          <t>DICIEMBRE 2026</t>
        </is>
      </c>
      <c r="M3920" t="inlineStr">
        <is>
          <t>HALOTRON</t>
        </is>
      </c>
      <c r="N3920" t="inlineStr">
        <is>
          <t>E-158/5615055</t>
        </is>
      </c>
      <c r="O3920" t="inlineStr">
        <is>
          <t>R</t>
        </is>
      </c>
      <c r="P3920">
        <f>TRIM(N3920)</f>
        <v/>
      </c>
    </row>
    <row r="3921">
      <c r="A3921" t="inlineStr">
        <is>
          <t>CO-002557</t>
        </is>
      </c>
      <c r="B3921" t="inlineStr">
        <is>
          <t>BRITISH AMERICAN HOSPITAL S.A. - CLINICA ANGLOAMERICANA</t>
        </is>
      </c>
      <c r="C3921" t="inlineStr">
        <is>
          <t>20107695584</t>
        </is>
      </c>
      <c r="D3921" t="inlineStr">
        <is>
          <t xml:space="preserve">JR ALFREDO SALAZAR 350 - SAN ISIDRO </t>
        </is>
      </c>
      <c r="E3921" t="inlineStr">
        <is>
          <t>Lima, 11 de diciembre del 2025</t>
        </is>
      </c>
      <c r="F3921" t="inlineStr">
        <is>
          <t>la Recarga y mantenimiento</t>
        </is>
      </c>
      <c r="G3921" t="inlineStr">
        <is>
          <t>05</t>
        </is>
      </c>
      <c r="H3921" t="inlineStr">
        <is>
          <t>06 KG</t>
        </is>
      </c>
      <c r="I3921" t="inlineStr">
        <is>
          <t>2029</t>
        </is>
      </c>
      <c r="J3921" t="n">
        <v>1996</v>
      </c>
      <c r="K3921" t="inlineStr">
        <is>
          <t>DICIEMBRE 2025</t>
        </is>
      </c>
      <c r="L3921" t="inlineStr">
        <is>
          <t>DICIEMBRE 2026</t>
        </is>
      </c>
      <c r="M3921" t="inlineStr">
        <is>
          <t>HALOTRON</t>
        </is>
      </c>
      <c r="N3921" t="inlineStr">
        <is>
          <t>E-156/5615469</t>
        </is>
      </c>
      <c r="O3921" t="inlineStr">
        <is>
          <t>R</t>
        </is>
      </c>
      <c r="P3921">
        <f>TRIM(N3921)</f>
        <v/>
      </c>
    </row>
    <row r="3922">
      <c r="A3922" t="inlineStr">
        <is>
          <t>CO-002557</t>
        </is>
      </c>
      <c r="B3922" t="inlineStr">
        <is>
          <t>BRITISH AMERICAN HOSPITAL S.A. - CLINICA ANGLOAMERICANA</t>
        </is>
      </c>
      <c r="C3922" t="inlineStr">
        <is>
          <t>20107695584</t>
        </is>
      </c>
      <c r="D3922" t="inlineStr">
        <is>
          <t xml:space="preserve">JR ALFREDO SALAZAR 350 - SAN ISIDRO </t>
        </is>
      </c>
      <c r="E3922" t="inlineStr">
        <is>
          <t>Lima, 11 de diciembre del 2025</t>
        </is>
      </c>
      <c r="F3922" t="inlineStr">
        <is>
          <t>la Recarga y mantenimiento</t>
        </is>
      </c>
      <c r="G3922" t="inlineStr">
        <is>
          <t>06</t>
        </is>
      </c>
      <c r="H3922" t="inlineStr">
        <is>
          <t>06 KG</t>
        </is>
      </c>
      <c r="I3922" t="inlineStr">
        <is>
          <t>2029</t>
        </is>
      </c>
      <c r="J3922" t="n">
        <v>1996</v>
      </c>
      <c r="K3922" t="inlineStr">
        <is>
          <t>DICIEMBRE 2025</t>
        </is>
      </c>
      <c r="L3922" t="inlineStr">
        <is>
          <t>DICIEMBRE 2026</t>
        </is>
      </c>
      <c r="M3922" t="inlineStr">
        <is>
          <t>HALOTRON</t>
        </is>
      </c>
      <c r="N3922" t="inlineStr">
        <is>
          <t>E-153/5616091</t>
        </is>
      </c>
      <c r="O3922" t="inlineStr">
        <is>
          <t>R</t>
        </is>
      </c>
      <c r="P3922">
        <f>TRIM(N3922)</f>
        <v/>
      </c>
    </row>
    <row r="3923">
      <c r="A3923" t="inlineStr">
        <is>
          <t>CO-002557</t>
        </is>
      </c>
      <c r="B3923" t="inlineStr">
        <is>
          <t>BRITISH AMERICAN HOSPITAL S.A. - CLINICA ANGLOAMERICANA</t>
        </is>
      </c>
      <c r="C3923" t="inlineStr">
        <is>
          <t>20107695584</t>
        </is>
      </c>
      <c r="D3923" t="inlineStr">
        <is>
          <t xml:space="preserve">JR ALFREDO SALAZAR 350 - SAN ISIDRO </t>
        </is>
      </c>
      <c r="E3923" t="inlineStr">
        <is>
          <t>Lima, 11 de diciembre del 2025</t>
        </is>
      </c>
      <c r="F3923" t="inlineStr">
        <is>
          <t>la Recarga y mantenimiento</t>
        </is>
      </c>
      <c r="G3923" t="inlineStr">
        <is>
          <t>07</t>
        </is>
      </c>
      <c r="H3923" t="inlineStr">
        <is>
          <t>06 KG</t>
        </is>
      </c>
      <c r="I3923" t="inlineStr">
        <is>
          <t>2029</t>
        </is>
      </c>
      <c r="J3923" t="n">
        <v>1996</v>
      </c>
      <c r="K3923" t="inlineStr">
        <is>
          <t>DICIEMBRE 2025</t>
        </is>
      </c>
      <c r="L3923" t="inlineStr">
        <is>
          <t>DICIEMBRE 2026</t>
        </is>
      </c>
      <c r="M3923" t="inlineStr">
        <is>
          <t>HALOTRON</t>
        </is>
      </c>
      <c r="N3923" t="inlineStr">
        <is>
          <t>E-154/5614998</t>
        </is>
      </c>
      <c r="O3923" t="inlineStr">
        <is>
          <t>R</t>
        </is>
      </c>
      <c r="P3923">
        <f>TRIM(N3923)</f>
        <v/>
      </c>
    </row>
    <row r="3924">
      <c r="A3924" t="inlineStr">
        <is>
          <t>CO-002557</t>
        </is>
      </c>
      <c r="B3924" t="inlineStr">
        <is>
          <t>BRITISH AMERICAN HOSPITAL S.A. - CLINICA ANGLOAMERICANA</t>
        </is>
      </c>
      <c r="C3924" t="inlineStr">
        <is>
          <t>20107695584</t>
        </is>
      </c>
      <c r="D3924" t="inlineStr">
        <is>
          <t xml:space="preserve">JR ALFREDO SALAZAR 350 - SAN ISIDRO </t>
        </is>
      </c>
      <c r="E3924" t="inlineStr">
        <is>
          <t>Lima, 11 de diciembre del 2025</t>
        </is>
      </c>
      <c r="F3924" t="inlineStr">
        <is>
          <t>la Recarga y mantenimiento</t>
        </is>
      </c>
      <c r="G3924" t="inlineStr">
        <is>
          <t>08</t>
        </is>
      </c>
      <c r="H3924" t="inlineStr">
        <is>
          <t>06 KG</t>
        </is>
      </c>
      <c r="I3924" t="inlineStr">
        <is>
          <t>2029</t>
        </is>
      </c>
      <c r="J3924" t="n">
        <v>1996</v>
      </c>
      <c r="K3924" t="inlineStr">
        <is>
          <t>DICIEMBRE 2025</t>
        </is>
      </c>
      <c r="L3924" t="inlineStr">
        <is>
          <t>DICIEMBRE 2026</t>
        </is>
      </c>
      <c r="M3924" t="inlineStr">
        <is>
          <t>HALOTRON</t>
        </is>
      </c>
      <c r="N3924" t="inlineStr">
        <is>
          <t>E-161/5615457</t>
        </is>
      </c>
      <c r="O3924" t="inlineStr">
        <is>
          <t>R</t>
        </is>
      </c>
      <c r="P3924">
        <f>TRIM(N3924)</f>
        <v/>
      </c>
    </row>
    <row r="3925">
      <c r="A3925" t="inlineStr">
        <is>
          <t>CO-002557</t>
        </is>
      </c>
      <c r="B3925" t="inlineStr">
        <is>
          <t>BRITISH AMERICAN HOSPITAL S.A. - CLINICA ANGLOAMERICANA</t>
        </is>
      </c>
      <c r="C3925" t="inlineStr">
        <is>
          <t>20107695584</t>
        </is>
      </c>
      <c r="D3925" t="inlineStr">
        <is>
          <t xml:space="preserve">JR ALFREDO SALAZAR 350 - SAN ISIDRO </t>
        </is>
      </c>
      <c r="E3925" t="inlineStr">
        <is>
          <t>Lima, 11 de diciembre del 2025</t>
        </is>
      </c>
      <c r="F3925" t="inlineStr">
        <is>
          <t>la Recarga y mantenimiento</t>
        </is>
      </c>
      <c r="G3925" t="inlineStr">
        <is>
          <t>09</t>
        </is>
      </c>
      <c r="H3925" t="inlineStr">
        <is>
          <t>06 KG</t>
        </is>
      </c>
      <c r="I3925" t="inlineStr">
        <is>
          <t>2029</t>
        </is>
      </c>
      <c r="J3925" t="n">
        <v>1996</v>
      </c>
      <c r="K3925" t="inlineStr">
        <is>
          <t>DICIEMBRE 2025</t>
        </is>
      </c>
      <c r="L3925" t="inlineStr">
        <is>
          <t>DICIEMBRE 2026</t>
        </is>
      </c>
      <c r="M3925" t="inlineStr">
        <is>
          <t>HALOTRON</t>
        </is>
      </c>
      <c r="N3925" t="inlineStr">
        <is>
          <t>E-159/5615409</t>
        </is>
      </c>
      <c r="O3925" t="inlineStr">
        <is>
          <t>R</t>
        </is>
      </c>
      <c r="P3925">
        <f>TRIM(N3925)</f>
        <v/>
      </c>
    </row>
    <row r="3926">
      <c r="A3926" t="inlineStr">
        <is>
          <t>CO-002557</t>
        </is>
      </c>
      <c r="B3926" t="inlineStr">
        <is>
          <t>BRITISH AMERICAN HOSPITAL S.A. - CLINICA ANGLOAMERICANA</t>
        </is>
      </c>
      <c r="C3926" t="inlineStr">
        <is>
          <t>20107695584</t>
        </is>
      </c>
      <c r="D3926" t="inlineStr">
        <is>
          <t xml:space="preserve">JR ALFREDO SALAZAR 350 - SAN ISIDRO </t>
        </is>
      </c>
      <c r="E3926" t="inlineStr">
        <is>
          <t>Lima, 11 de diciembre del 2025</t>
        </is>
      </c>
      <c r="F3926" t="inlineStr">
        <is>
          <t>la Recarga y mantenimiento</t>
        </is>
      </c>
      <c r="G3926" t="inlineStr">
        <is>
          <t>10</t>
        </is>
      </c>
      <c r="H3926" t="inlineStr">
        <is>
          <t>06 KG</t>
        </is>
      </c>
      <c r="I3926" t="inlineStr">
        <is>
          <t>2029</t>
        </is>
      </c>
      <c r="J3926" t="n">
        <v>1996</v>
      </c>
      <c r="K3926" t="inlineStr">
        <is>
          <t>DICIEMBRE 2025</t>
        </is>
      </c>
      <c r="L3926" t="inlineStr">
        <is>
          <t>DICIEMBRE 2026</t>
        </is>
      </c>
      <c r="M3926" t="inlineStr">
        <is>
          <t>HALOTRON</t>
        </is>
      </c>
      <c r="N3926" t="inlineStr">
        <is>
          <t>E-155/5614488</t>
        </is>
      </c>
      <c r="O3926" t="inlineStr">
        <is>
          <t>R</t>
        </is>
      </c>
      <c r="P3926">
        <f>TRIM(N3926)</f>
        <v/>
      </c>
    </row>
    <row r="3927">
      <c r="A3927" t="inlineStr">
        <is>
          <t>CO-002557</t>
        </is>
      </c>
      <c r="B3927" t="inlineStr">
        <is>
          <t>BRITISH AMERICAN HOSPITAL S.A. - CLINICA ANGLOAMERICANA</t>
        </is>
      </c>
      <c r="C3927" t="inlineStr">
        <is>
          <t>20107695584</t>
        </is>
      </c>
      <c r="D3927" t="inlineStr">
        <is>
          <t xml:space="preserve">JR ALFREDO SALAZAR 350 - SAN ISIDRO </t>
        </is>
      </c>
      <c r="E3927" t="inlineStr">
        <is>
          <t>Lima, 11 de diciembre del 2025</t>
        </is>
      </c>
      <c r="F3927" t="inlineStr">
        <is>
          <t>la Recarga y mantenimiento</t>
        </is>
      </c>
      <c r="G3927" t="inlineStr">
        <is>
          <t>11</t>
        </is>
      </c>
      <c r="H3927" t="inlineStr">
        <is>
          <t>06 KG</t>
        </is>
      </c>
      <c r="I3927" t="inlineStr">
        <is>
          <t>2029</t>
        </is>
      </c>
      <c r="J3927" t="n">
        <v>1996</v>
      </c>
      <c r="K3927" t="inlineStr">
        <is>
          <t>DICIEMBRE 2025</t>
        </is>
      </c>
      <c r="L3927" t="inlineStr">
        <is>
          <t>DICIEMBRE 2026</t>
        </is>
      </c>
      <c r="M3927" t="inlineStr">
        <is>
          <t>HALOTRON</t>
        </is>
      </c>
      <c r="N3927" t="inlineStr">
        <is>
          <t>E-160/5615407</t>
        </is>
      </c>
      <c r="O3927" t="inlineStr">
        <is>
          <t>R</t>
        </is>
      </c>
      <c r="P3927">
        <f>TRIM(N3927)</f>
        <v/>
      </c>
    </row>
    <row r="3928">
      <c r="A3928" t="inlineStr">
        <is>
          <t>CO-002557</t>
        </is>
      </c>
      <c r="B3928" t="inlineStr">
        <is>
          <t>BRITISH AMERICAN HOSPITAL S.A. - CLINICA ANGLOAMERICANA</t>
        </is>
      </c>
      <c r="C3928" t="inlineStr">
        <is>
          <t>20107695584</t>
        </is>
      </c>
      <c r="D3928" t="inlineStr">
        <is>
          <t xml:space="preserve">JR ALFREDO SALAZAR 350 - SAN ISIDRO </t>
        </is>
      </c>
      <c r="E3928" t="inlineStr">
        <is>
          <t>Lima, 11 de diciembre del 2025</t>
        </is>
      </c>
      <c r="F3928" t="inlineStr">
        <is>
          <t>la Recarga y mantenimiento</t>
        </is>
      </c>
      <c r="G3928" t="inlineStr">
        <is>
          <t>12</t>
        </is>
      </c>
      <c r="H3928" t="inlineStr">
        <is>
          <t>06 KG</t>
        </is>
      </c>
      <c r="I3928" t="inlineStr">
        <is>
          <t>2029</t>
        </is>
      </c>
      <c r="J3928" t="n">
        <v>1996</v>
      </c>
      <c r="K3928" t="inlineStr">
        <is>
          <t>DICIEMBRE 2025</t>
        </is>
      </c>
      <c r="L3928" t="inlineStr">
        <is>
          <t>DICIEMBRE 2026</t>
        </is>
      </c>
      <c r="M3928" t="inlineStr">
        <is>
          <t>HALOTRON</t>
        </is>
      </c>
      <c r="N3928" t="inlineStr">
        <is>
          <t>H-5/419314</t>
        </is>
      </c>
      <c r="O3928" t="inlineStr">
        <is>
          <t>R</t>
        </is>
      </c>
      <c r="P3928">
        <f>TRIM(N3928)</f>
        <v/>
      </c>
    </row>
    <row r="3929">
      <c r="A3929" t="inlineStr">
        <is>
          <t>CO-002557</t>
        </is>
      </c>
      <c r="B3929" t="inlineStr">
        <is>
          <t>BRITISH AMERICAN HOSPITAL S.A. - CLINICA ANGLOAMERICANA</t>
        </is>
      </c>
      <c r="C3929" t="inlineStr">
        <is>
          <t>20107695584</t>
        </is>
      </c>
      <c r="D3929" t="inlineStr">
        <is>
          <t xml:space="preserve">JR ALFREDO SALAZAR 350 - SAN ISIDRO </t>
        </is>
      </c>
      <c r="E3929" t="inlineStr">
        <is>
          <t>Lima, 11 de diciembre del 2025</t>
        </is>
      </c>
      <c r="F3929" t="inlineStr">
        <is>
          <t>la Recarga y mantenimiento</t>
        </is>
      </c>
      <c r="G3929" t="inlineStr">
        <is>
          <t>13</t>
        </is>
      </c>
      <c r="H3929" t="inlineStr">
        <is>
          <t>06 KG</t>
        </is>
      </c>
      <c r="I3929" t="inlineStr">
        <is>
          <t>2029</t>
        </is>
      </c>
      <c r="J3929" t="n">
        <v>1996</v>
      </c>
      <c r="K3929" t="inlineStr">
        <is>
          <t>DICIEMBRE 2025</t>
        </is>
      </c>
      <c r="L3929" t="inlineStr">
        <is>
          <t>DICIEMBRE 2026</t>
        </is>
      </c>
      <c r="M3929" t="inlineStr">
        <is>
          <t>HALOTRON</t>
        </is>
      </c>
      <c r="N3929" t="inlineStr">
        <is>
          <t>E-157/5615415</t>
        </is>
      </c>
      <c r="O3929" t="inlineStr">
        <is>
          <t>R</t>
        </is>
      </c>
      <c r="P3929">
        <f>TRIM(N3929)</f>
        <v/>
      </c>
    </row>
    <row r="3930">
      <c r="A3930" t="inlineStr">
        <is>
          <t>CO-002558</t>
        </is>
      </c>
      <c r="B3930" t="inlineStr">
        <is>
          <t>AIR WELD S.A.C.</t>
        </is>
      </c>
      <c r="C3930" t="inlineStr">
        <is>
          <t>20608367854</t>
        </is>
      </c>
      <c r="D3930" t="inlineStr">
        <is>
          <t xml:space="preserve"> </t>
        </is>
      </c>
      <c r="E3930" t="inlineStr">
        <is>
          <t>Lima, 11 de diciembre del 2025</t>
        </is>
      </c>
      <c r="F3930" t="inlineStr">
        <is>
          <t>la Recarga y mantenimiento</t>
        </is>
      </c>
      <c r="G3930" t="inlineStr">
        <is>
          <t>01</t>
        </is>
      </c>
      <c r="H3930" t="inlineStr">
        <is>
          <t>06 KG</t>
        </is>
      </c>
      <c r="I3930" t="inlineStr">
        <is>
          <t>2030</t>
        </is>
      </c>
      <c r="J3930" t="n">
        <v>2014</v>
      </c>
      <c r="K3930" t="inlineStr">
        <is>
          <t>DICIEMBRE 2025</t>
        </is>
      </c>
      <c r="L3930" t="inlineStr">
        <is>
          <t>DICIEMBRE 2026</t>
        </is>
      </c>
      <c r="M3930" t="inlineStr">
        <is>
          <t xml:space="preserve">PQS TIPO ABC AL 75% </t>
        </is>
      </c>
      <c r="N3930" t="inlineStr">
        <is>
          <t>000003</t>
        </is>
      </c>
      <c r="O3930" t="inlineStr">
        <is>
          <t>R</t>
        </is>
      </c>
      <c r="P3930">
        <f>TRIM(N3930)</f>
        <v/>
      </c>
    </row>
    <row r="3931">
      <c r="A3931" t="inlineStr">
        <is>
          <t>CO-002558</t>
        </is>
      </c>
      <c r="B3931" t="inlineStr">
        <is>
          <t>AIR WELD S.A.C.</t>
        </is>
      </c>
      <c r="C3931" t="inlineStr">
        <is>
          <t>20608367854</t>
        </is>
      </c>
      <c r="D3931" t="inlineStr">
        <is>
          <t xml:space="preserve"> </t>
        </is>
      </c>
      <c r="E3931" t="inlineStr">
        <is>
          <t>Lima, 11 de diciembre del 2025</t>
        </is>
      </c>
      <c r="F3931" t="inlineStr">
        <is>
          <t>la Recarga y mantenimiento</t>
        </is>
      </c>
      <c r="G3931" t="inlineStr">
        <is>
          <t>02</t>
        </is>
      </c>
      <c r="H3931" t="inlineStr">
        <is>
          <t>06 KG</t>
        </is>
      </c>
      <c r="I3931" t="inlineStr">
        <is>
          <t>2026</t>
        </is>
      </c>
      <c r="J3931" t="n">
        <v>2021</v>
      </c>
      <c r="K3931" t="inlineStr">
        <is>
          <t>DICIEMBRE 2025</t>
        </is>
      </c>
      <c r="L3931" t="inlineStr">
        <is>
          <t>DICIEMBRE 2026</t>
        </is>
      </c>
      <c r="M3931" t="inlineStr">
        <is>
          <t xml:space="preserve">PQS TIPO ABC AL 75% </t>
        </is>
      </c>
      <c r="N3931" t="inlineStr">
        <is>
          <t>297774</t>
        </is>
      </c>
      <c r="O3931" t="inlineStr">
        <is>
          <t>R</t>
        </is>
      </c>
      <c r="P3931">
        <f>TRIM(N3931)</f>
        <v/>
      </c>
    </row>
    <row r="3932">
      <c r="A3932" t="inlineStr">
        <is>
          <t>CO-002558</t>
        </is>
      </c>
      <c r="B3932" t="inlineStr">
        <is>
          <t>AIR WELD S.A.C.</t>
        </is>
      </c>
      <c r="C3932" t="inlineStr">
        <is>
          <t>20608367854</t>
        </is>
      </c>
      <c r="D3932" t="inlineStr">
        <is>
          <t xml:space="preserve"> </t>
        </is>
      </c>
      <c r="E3932" t="inlineStr">
        <is>
          <t>Lima, 11 de diciembre del 2025</t>
        </is>
      </c>
      <c r="F3932" t="inlineStr">
        <is>
          <t>la Recarga y mantenimiento</t>
        </is>
      </c>
      <c r="G3932" t="inlineStr">
        <is>
          <t>03</t>
        </is>
      </c>
      <c r="H3932" t="inlineStr">
        <is>
          <t>12 KG</t>
        </is>
      </c>
      <c r="I3932" t="n">
        <v>2027</v>
      </c>
      <c r="J3932" t="n">
        <v>2013</v>
      </c>
      <c r="K3932" t="inlineStr">
        <is>
          <t>DICIEMBRE 2025</t>
        </is>
      </c>
      <c r="L3932" t="inlineStr">
        <is>
          <t>DICIEMBRE 2026</t>
        </is>
      </c>
      <c r="M3932" t="inlineStr">
        <is>
          <t xml:space="preserve">PQS TIPO ABC AL 75% </t>
        </is>
      </c>
      <c r="N3932" t="inlineStr">
        <is>
          <t>000039</t>
        </is>
      </c>
      <c r="O3932" t="inlineStr">
        <is>
          <t>R</t>
        </is>
      </c>
      <c r="P3932">
        <f>TRIM(N3932)</f>
        <v/>
      </c>
    </row>
    <row r="3933">
      <c r="A3933" t="inlineStr">
        <is>
          <t>CO-002558</t>
        </is>
      </c>
      <c r="B3933" t="inlineStr">
        <is>
          <t>AIR WELD S.A.C.</t>
        </is>
      </c>
      <c r="C3933" t="inlineStr">
        <is>
          <t>20608367854</t>
        </is>
      </c>
      <c r="D3933" t="inlineStr">
        <is>
          <t xml:space="preserve"> </t>
        </is>
      </c>
      <c r="E3933" t="inlineStr">
        <is>
          <t>Lima, 11 de diciembre del 2025</t>
        </is>
      </c>
      <c r="F3933" t="inlineStr">
        <is>
          <t>la Recarga y mantenimiento</t>
        </is>
      </c>
      <c r="G3933" t="inlineStr">
        <is>
          <t>04</t>
        </is>
      </c>
      <c r="H3933" t="inlineStr">
        <is>
          <t>12 KG</t>
        </is>
      </c>
      <c r="I3933" t="n">
        <v>2027</v>
      </c>
      <c r="J3933" t="n">
        <v>2013</v>
      </c>
      <c r="K3933" t="inlineStr">
        <is>
          <t>DICIEMBRE 2025</t>
        </is>
      </c>
      <c r="L3933" t="inlineStr">
        <is>
          <t>DICIEMBRE 2026</t>
        </is>
      </c>
      <c r="M3933" t="inlineStr">
        <is>
          <t xml:space="preserve">PQS TIPO ABC AL 75% </t>
        </is>
      </c>
      <c r="N3933" t="inlineStr">
        <is>
          <t>000299</t>
        </is>
      </c>
      <c r="O3933" t="inlineStr">
        <is>
          <t>R</t>
        </is>
      </c>
      <c r="P3933">
        <f>TRIM(N3933)</f>
        <v/>
      </c>
    </row>
    <row r="3934">
      <c r="A3934" t="inlineStr">
        <is>
          <t>CO-002559</t>
        </is>
      </c>
      <c r="B3934" t="inlineStr">
        <is>
          <t>GRANEROS DEL SUR SOCIEDAD ANONIMA CERRADA</t>
        </is>
      </c>
      <c r="C3934" t="inlineStr">
        <is>
          <t>20600821211</t>
        </is>
      </c>
      <c r="D3934" t="inlineStr">
        <is>
          <t>AV. MARIANO CONDORCANQUI  MZ. R LT 23 - URB LUCYANA</t>
        </is>
      </c>
      <c r="E3934" t="inlineStr">
        <is>
          <t>Lima, 11 de diciembre del 2025</t>
        </is>
      </c>
      <c r="F3934" t="inlineStr">
        <is>
          <t>la Recarga y mantenimiento</t>
        </is>
      </c>
      <c r="G3934" t="inlineStr">
        <is>
          <t>01</t>
        </is>
      </c>
      <c r="H3934" t="inlineStr">
        <is>
          <t>06 KG</t>
        </is>
      </c>
      <c r="I3934" t="inlineStr">
        <is>
          <t>2030</t>
        </is>
      </c>
      <c r="J3934" t="n">
        <v>2020</v>
      </c>
      <c r="K3934" t="inlineStr">
        <is>
          <t>DICIEMBRE 2025</t>
        </is>
      </c>
      <c r="L3934" t="inlineStr">
        <is>
          <t>DICIEMBRE 2026</t>
        </is>
      </c>
      <c r="M3934" t="inlineStr">
        <is>
          <t xml:space="preserve">PQS TIPO ABC AL 75% </t>
        </is>
      </c>
      <c r="N3934" t="inlineStr">
        <is>
          <t>01/153208</t>
        </is>
      </c>
      <c r="O3934" t="inlineStr">
        <is>
          <t>R</t>
        </is>
      </c>
      <c r="P3934">
        <f>TRIM(N3934)</f>
        <v/>
      </c>
    </row>
    <row r="3935">
      <c r="A3935" t="inlineStr">
        <is>
          <t>CO-002559</t>
        </is>
      </c>
      <c r="B3935" t="inlineStr">
        <is>
          <t>GRANEROS DEL SUR SOCIEDAD ANONIMA CERRADA</t>
        </is>
      </c>
      <c r="C3935" t="inlineStr">
        <is>
          <t>20600821211</t>
        </is>
      </c>
      <c r="D3935" t="inlineStr">
        <is>
          <t>AV. MARIANO CONDORCANQUI  MZ. R LT 23 - URB LUCYANA</t>
        </is>
      </c>
      <c r="E3935" t="inlineStr">
        <is>
          <t>Lima, 11 de diciembre del 2025</t>
        </is>
      </c>
      <c r="F3935" t="inlineStr">
        <is>
          <t>la Recarga y mantenimiento</t>
        </is>
      </c>
      <c r="G3935" t="inlineStr">
        <is>
          <t>02</t>
        </is>
      </c>
      <c r="H3935" t="inlineStr">
        <is>
          <t>06 KG</t>
        </is>
      </c>
      <c r="I3935" t="inlineStr">
        <is>
          <t>2030</t>
        </is>
      </c>
      <c r="J3935" t="inlineStr">
        <is>
          <t>S/N</t>
        </is>
      </c>
      <c r="K3935" t="inlineStr">
        <is>
          <t>DICIEMBRE 2025</t>
        </is>
      </c>
      <c r="L3935" t="inlineStr">
        <is>
          <t>DICIEMBRE 2026</t>
        </is>
      </c>
      <c r="M3935" t="inlineStr">
        <is>
          <t xml:space="preserve">PQS TIPO ABC AL 75% </t>
        </is>
      </c>
      <c r="N3935" t="inlineStr">
        <is>
          <t>02/S/N</t>
        </is>
      </c>
      <c r="O3935" t="inlineStr">
        <is>
          <t>R</t>
        </is>
      </c>
      <c r="P3935">
        <f>TRIM(N3935)</f>
        <v/>
      </c>
    </row>
    <row r="3936">
      <c r="A3936" t="inlineStr">
        <is>
          <t>CO-002560</t>
        </is>
      </c>
      <c r="B3936" t="inlineStr">
        <is>
          <t>ZULEMA LILI CAHUANA GRANADOS</t>
        </is>
      </c>
      <c r="C3936" t="inlineStr">
        <is>
          <t>09546963</t>
        </is>
      </c>
      <c r="D3936" t="inlineStr">
        <is>
          <t>MERCADO FRONTERA</t>
        </is>
      </c>
      <c r="E3936" t="inlineStr">
        <is>
          <t>Lima, 11 de diciembre del 2025</t>
        </is>
      </c>
      <c r="F3936" t="inlineStr">
        <is>
          <t>la Recarga y mantenimiento</t>
        </is>
      </c>
      <c r="G3936" t="inlineStr">
        <is>
          <t>01</t>
        </is>
      </c>
      <c r="H3936" t="inlineStr">
        <is>
          <t>06 KG</t>
        </is>
      </c>
      <c r="I3936" t="inlineStr">
        <is>
          <t>2030</t>
        </is>
      </c>
      <c r="J3936" t="n">
        <v>2019</v>
      </c>
      <c r="K3936" t="inlineStr">
        <is>
          <t>DICIEMBRE 2025</t>
        </is>
      </c>
      <c r="L3936" t="inlineStr">
        <is>
          <t>DICIEMBRE 2026</t>
        </is>
      </c>
      <c r="M3936" t="inlineStr">
        <is>
          <t xml:space="preserve">PQS TIPO ABC AL 75% </t>
        </is>
      </c>
      <c r="N3936" t="inlineStr">
        <is>
          <t>01/000979</t>
        </is>
      </c>
      <c r="O3936" t="inlineStr">
        <is>
          <t>R</t>
        </is>
      </c>
      <c r="P3936">
        <f>TRIM(N3936)</f>
        <v/>
      </c>
    </row>
    <row r="3937">
      <c r="A3937" t="inlineStr">
        <is>
          <t>CO-002561</t>
        </is>
      </c>
      <c r="B3937" t="inlineStr">
        <is>
          <t>KEVIN VILLEGAS</t>
        </is>
      </c>
      <c r="E3937" t="inlineStr">
        <is>
          <t>Lima, 11 de diciembre del 2025</t>
        </is>
      </c>
      <c r="F3937" t="inlineStr">
        <is>
          <t>la Recarga y mantenimiento</t>
        </is>
      </c>
      <c r="G3937" t="inlineStr">
        <is>
          <t>01</t>
        </is>
      </c>
      <c r="H3937" t="inlineStr">
        <is>
          <t>06 KG</t>
        </is>
      </c>
      <c r="I3937" t="inlineStr">
        <is>
          <t>2028</t>
        </is>
      </c>
      <c r="J3937" t="n">
        <v>2023</v>
      </c>
      <c r="K3937" t="inlineStr">
        <is>
          <t>DICIEMBRE 2025</t>
        </is>
      </c>
      <c r="L3937" t="inlineStr">
        <is>
          <t>DICIEMBRE 2026</t>
        </is>
      </c>
      <c r="M3937" t="inlineStr">
        <is>
          <t xml:space="preserve">PQS TIPO ABC AL 75% </t>
        </is>
      </c>
      <c r="N3937" t="inlineStr">
        <is>
          <t>01/010936</t>
        </is>
      </c>
      <c r="O3937" t="inlineStr">
        <is>
          <t>R</t>
        </is>
      </c>
      <c r="P3937">
        <f>TRIM(N3937)</f>
        <v/>
      </c>
    </row>
    <row r="3938">
      <c r="A3938" t="inlineStr">
        <is>
          <t>CO-002561</t>
        </is>
      </c>
      <c r="B3938" t="inlineStr">
        <is>
          <t>KEVIN VILLEGAS</t>
        </is>
      </c>
      <c r="E3938" t="inlineStr">
        <is>
          <t>Lima, 11 de diciembre del 2025</t>
        </is>
      </c>
      <c r="F3938" t="inlineStr">
        <is>
          <t>la Recarga y mantenimiento</t>
        </is>
      </c>
      <c r="G3938" t="inlineStr">
        <is>
          <t>02</t>
        </is>
      </c>
      <c r="H3938" t="inlineStr">
        <is>
          <t>06 KG</t>
        </is>
      </c>
      <c r="I3938" t="inlineStr">
        <is>
          <t>2029</t>
        </is>
      </c>
      <c r="J3938" t="n">
        <v>2012</v>
      </c>
      <c r="K3938" t="inlineStr">
        <is>
          <t>DICIEMBRE 2025</t>
        </is>
      </c>
      <c r="L3938" t="inlineStr">
        <is>
          <t>DICIEMBRE 2026</t>
        </is>
      </c>
      <c r="M3938" t="inlineStr">
        <is>
          <t xml:space="preserve">PQS TIPO ABC AL 75% </t>
        </is>
      </c>
      <c r="N3938" t="inlineStr">
        <is>
          <t>02/001010</t>
        </is>
      </c>
      <c r="O3938" t="inlineStr">
        <is>
          <t>R</t>
        </is>
      </c>
      <c r="P3938">
        <f>TRIM(N3938)</f>
        <v/>
      </c>
    </row>
    <row r="3939">
      <c r="A3939" t="inlineStr">
        <is>
          <t>CO-002562</t>
        </is>
      </c>
      <c r="B3939" t="inlineStr">
        <is>
          <t>BRITISH AMERICAN HOSPITAL S.A. - CLINICA ANGLOAMERICANA</t>
        </is>
      </c>
      <c r="C3939" t="inlineStr">
        <is>
          <t>20107695584</t>
        </is>
      </c>
      <c r="D3939" t="inlineStr">
        <is>
          <t xml:space="preserve">JR ALFREDO SALAZAR 350 - SAN ISIDRO </t>
        </is>
      </c>
      <c r="E3939" t="inlineStr">
        <is>
          <t>Lima, 11 de diciembre del 2025</t>
        </is>
      </c>
      <c r="F3939" t="inlineStr">
        <is>
          <t>la Recarga y mantenimiento</t>
        </is>
      </c>
      <c r="G3939" t="inlineStr">
        <is>
          <t>01</t>
        </is>
      </c>
      <c r="H3939" t="inlineStr">
        <is>
          <t>06 KG</t>
        </is>
      </c>
      <c r="I3939" t="inlineStr">
        <is>
          <t>2017</t>
        </is>
      </c>
      <c r="J3939" t="n">
        <v>2028</v>
      </c>
      <c r="K3939" t="inlineStr">
        <is>
          <t>DICIEMBRE 2025</t>
        </is>
      </c>
      <c r="L3939" t="inlineStr">
        <is>
          <t>DICIEMBRE 2026</t>
        </is>
      </c>
      <c r="M3939" t="inlineStr">
        <is>
          <t xml:space="preserve">PQS TIPO ABC AL 75% </t>
        </is>
      </c>
      <c r="N3939" t="inlineStr">
        <is>
          <t>E-039/000008</t>
        </is>
      </c>
      <c r="O3939" t="inlineStr">
        <is>
          <t>R</t>
        </is>
      </c>
      <c r="P3939">
        <f>TRIM(N3939)</f>
        <v/>
      </c>
    </row>
    <row r="3940">
      <c r="A3940" t="inlineStr">
        <is>
          <t>CO-002562</t>
        </is>
      </c>
      <c r="B3940" t="inlineStr">
        <is>
          <t>BRITISH AMERICAN HOSPITAL S.A. - CLINICA ANGLOAMERICANA</t>
        </is>
      </c>
      <c r="C3940" t="inlineStr">
        <is>
          <t>20107695584</t>
        </is>
      </c>
      <c r="D3940" t="inlineStr">
        <is>
          <t xml:space="preserve">JR ALFREDO SALAZAR 350 - SAN ISIDRO </t>
        </is>
      </c>
      <c r="E3940" t="inlineStr">
        <is>
          <t>Lima, 11 de diciembre del 2025</t>
        </is>
      </c>
      <c r="F3940" t="inlineStr">
        <is>
          <t>la Recarga y mantenimiento</t>
        </is>
      </c>
      <c r="G3940" t="inlineStr">
        <is>
          <t>02</t>
        </is>
      </c>
      <c r="H3940" t="inlineStr">
        <is>
          <t>06 KG</t>
        </is>
      </c>
      <c r="I3940" t="inlineStr">
        <is>
          <t>2029</t>
        </is>
      </c>
      <c r="J3940" t="n">
        <v>2017</v>
      </c>
      <c r="K3940" t="inlineStr">
        <is>
          <t>DICIEMBRE 2025</t>
        </is>
      </c>
      <c r="L3940" t="inlineStr">
        <is>
          <t>DICIEMBRE 2026</t>
        </is>
      </c>
      <c r="M3940" t="inlineStr">
        <is>
          <t xml:space="preserve">PQS TIPO ABC AL 75% </t>
        </is>
      </c>
      <c r="N3940" t="inlineStr">
        <is>
          <t>E-147/000008</t>
        </is>
      </c>
      <c r="O3940" t="inlineStr">
        <is>
          <t>R</t>
        </is>
      </c>
      <c r="P3940">
        <f>TRIM(N3940)</f>
        <v/>
      </c>
    </row>
    <row r="3941">
      <c r="A3941" t="inlineStr">
        <is>
          <t>CO-002562</t>
        </is>
      </c>
      <c r="B3941" t="inlineStr">
        <is>
          <t>BRITISH AMERICAN HOSPITAL S.A. - CLINICA ANGLOAMERICANA</t>
        </is>
      </c>
      <c r="C3941" t="inlineStr">
        <is>
          <t>20107695584</t>
        </is>
      </c>
      <c r="D3941" t="inlineStr">
        <is>
          <t xml:space="preserve">JR ALFREDO SALAZAR 350 - SAN ISIDRO </t>
        </is>
      </c>
      <c r="E3941" t="inlineStr">
        <is>
          <t>Lima, 11 de diciembre del 2025</t>
        </is>
      </c>
      <c r="F3941" t="inlineStr">
        <is>
          <t>la Recarga y mantenimiento</t>
        </is>
      </c>
      <c r="G3941" t="inlineStr">
        <is>
          <t>03</t>
        </is>
      </c>
      <c r="H3941" t="inlineStr">
        <is>
          <t>04 KG</t>
        </is>
      </c>
      <c r="I3941" t="inlineStr">
        <is>
          <t>2029</t>
        </is>
      </c>
      <c r="J3941" t="n">
        <v>2024</v>
      </c>
      <c r="K3941" t="inlineStr">
        <is>
          <t>DICIEMBRE 2025</t>
        </is>
      </c>
      <c r="L3941" t="inlineStr">
        <is>
          <t>DICIEMBRE 2026</t>
        </is>
      </c>
      <c r="M3941" t="inlineStr">
        <is>
          <t xml:space="preserve">PQS TIPO ABC AL 75% </t>
        </is>
      </c>
      <c r="N3941" t="inlineStr">
        <is>
          <t>E-080/000694</t>
        </is>
      </c>
      <c r="O3941" t="inlineStr">
        <is>
          <t>R</t>
        </is>
      </c>
      <c r="P3941">
        <f>TRIM(N3941)</f>
        <v/>
      </c>
    </row>
    <row r="3942">
      <c r="A3942" t="inlineStr">
        <is>
          <t>CO-002562</t>
        </is>
      </c>
      <c r="B3942" t="inlineStr">
        <is>
          <t>BRITISH AMERICAN HOSPITAL S.A. - CLINICA ANGLOAMERICANA</t>
        </is>
      </c>
      <c r="C3942" t="inlineStr">
        <is>
          <t>20107695584</t>
        </is>
      </c>
      <c r="D3942" t="inlineStr">
        <is>
          <t xml:space="preserve">JR ALFREDO SALAZAR 350 - SAN ISIDRO </t>
        </is>
      </c>
      <c r="E3942" t="inlineStr">
        <is>
          <t>Lima, 11 de diciembre del 2025</t>
        </is>
      </c>
      <c r="F3942" t="inlineStr">
        <is>
          <t>la Recarga y mantenimiento</t>
        </is>
      </c>
      <c r="G3942" t="inlineStr">
        <is>
          <t>04</t>
        </is>
      </c>
      <c r="H3942" t="inlineStr">
        <is>
          <t>10 LBS</t>
        </is>
      </c>
      <c r="I3942" t="inlineStr">
        <is>
          <t>2028</t>
        </is>
      </c>
      <c r="J3942" t="n">
        <v>2011</v>
      </c>
      <c r="K3942" t="inlineStr">
        <is>
          <t>DICIEMBRE 2025</t>
        </is>
      </c>
      <c r="L3942" t="inlineStr">
        <is>
          <t>DICIEMBRE 2026</t>
        </is>
      </c>
      <c r="M3942" t="inlineStr">
        <is>
          <t>CO2 TIPO BC</t>
        </is>
      </c>
      <c r="N3942" t="inlineStr">
        <is>
          <t>E-083/S/N</t>
        </is>
      </c>
      <c r="O3942" t="inlineStr">
        <is>
          <t>R</t>
        </is>
      </c>
      <c r="P3942">
        <f>TRIM(N3942)</f>
        <v/>
      </c>
    </row>
    <row r="3943">
      <c r="A3943" t="inlineStr">
        <is>
          <t>CO-002562</t>
        </is>
      </c>
      <c r="B3943" t="inlineStr">
        <is>
          <t>BRITISH AMERICAN HOSPITAL S.A. - CLINICA ANGLOAMERICANA</t>
        </is>
      </c>
      <c r="C3943" t="inlineStr">
        <is>
          <t>20107695584</t>
        </is>
      </c>
      <c r="D3943" t="inlineStr">
        <is>
          <t xml:space="preserve">JR ALFREDO SALAZAR 350 - SAN ISIDRO </t>
        </is>
      </c>
      <c r="E3943" t="inlineStr">
        <is>
          <t>Lima, 11 de diciembre del 2025</t>
        </is>
      </c>
      <c r="F3943" t="inlineStr">
        <is>
          <t>la Recarga y mantenimiento</t>
        </is>
      </c>
      <c r="G3943" t="inlineStr">
        <is>
          <t>05</t>
        </is>
      </c>
      <c r="H3943" t="inlineStr">
        <is>
          <t>2.5 GLS</t>
        </is>
      </c>
      <c r="I3943" t="inlineStr">
        <is>
          <t>2029</t>
        </is>
      </c>
      <c r="J3943" t="n">
        <v>2016</v>
      </c>
      <c r="K3943" t="inlineStr">
        <is>
          <t>DICIEMBRE 2025</t>
        </is>
      </c>
      <c r="L3943" t="inlineStr">
        <is>
          <t>DICIEMBRE 2026</t>
        </is>
      </c>
      <c r="M3943" t="inlineStr">
        <is>
          <t>H2O PRESURIZADA</t>
        </is>
      </c>
      <c r="N3943" t="inlineStr">
        <is>
          <t>E-050/AA-387245</t>
        </is>
      </c>
      <c r="O3943" t="inlineStr">
        <is>
          <t>R</t>
        </is>
      </c>
      <c r="P3943">
        <f>TRIM(N3943)</f>
        <v/>
      </c>
    </row>
    <row r="3944">
      <c r="A3944" t="inlineStr">
        <is>
          <t>CO-002562</t>
        </is>
      </c>
      <c r="B3944" t="inlineStr">
        <is>
          <t>BRITISH AMERICAN HOSPITAL S.A. - CLINICA ANGLOAMERICANA</t>
        </is>
      </c>
      <c r="C3944" t="inlineStr">
        <is>
          <t>20107695584</t>
        </is>
      </c>
      <c r="D3944" t="inlineStr">
        <is>
          <t xml:space="preserve">JR ALFREDO SALAZAR 350 - SAN ISIDRO </t>
        </is>
      </c>
      <c r="E3944" t="inlineStr">
        <is>
          <t>Lima, 11 de diciembre del 2025</t>
        </is>
      </c>
      <c r="F3944" t="inlineStr">
        <is>
          <t>la Recarga y mantenimiento</t>
        </is>
      </c>
      <c r="G3944" t="inlineStr">
        <is>
          <t>06</t>
        </is>
      </c>
      <c r="H3944" t="inlineStr">
        <is>
          <t>2.5 GLS</t>
        </is>
      </c>
      <c r="I3944" t="n">
        <v>2028</v>
      </c>
      <c r="J3944" t="n">
        <v>2018</v>
      </c>
      <c r="K3944" t="inlineStr">
        <is>
          <t>DICIEMBRE 2025</t>
        </is>
      </c>
      <c r="L3944" t="inlineStr">
        <is>
          <t>DICIEMBRE 2026</t>
        </is>
      </c>
      <c r="M3944" t="inlineStr">
        <is>
          <t>ACETATO</t>
        </is>
      </c>
      <c r="N3944" t="inlineStr">
        <is>
          <t>E-044/003501</t>
        </is>
      </c>
      <c r="O3944" t="inlineStr">
        <is>
          <t>R</t>
        </is>
      </c>
      <c r="P3944">
        <f>TRIM(N3944)</f>
        <v/>
      </c>
    </row>
    <row r="3945">
      <c r="A3945" t="inlineStr">
        <is>
          <t>CO-002563</t>
        </is>
      </c>
      <c r="C3945" t="inlineStr">
        <is>
          <t>CMN-653</t>
        </is>
      </c>
      <c r="E3945" t="inlineStr">
        <is>
          <t>Lima, 11 de diciembre del 2025</t>
        </is>
      </c>
      <c r="F3945" t="inlineStr">
        <is>
          <t>la Recarga y mantenimiento</t>
        </is>
      </c>
      <c r="G3945" t="inlineStr">
        <is>
          <t>01</t>
        </is>
      </c>
      <c r="H3945" t="inlineStr">
        <is>
          <t>01 KG</t>
        </is>
      </c>
      <c r="J3945" t="n">
        <v>2019</v>
      </c>
      <c r="K3945" t="inlineStr">
        <is>
          <t>DICIEMBRE 2025</t>
        </is>
      </c>
      <c r="L3945" t="inlineStr">
        <is>
          <t>DICIEMBRE 2026</t>
        </is>
      </c>
      <c r="M3945" t="inlineStr">
        <is>
          <t xml:space="preserve">PQS TIPO ABC AL 75% </t>
        </is>
      </c>
      <c r="N3945" t="inlineStr">
        <is>
          <t>001070</t>
        </is>
      </c>
      <c r="O3945" t="inlineStr">
        <is>
          <t>R</t>
        </is>
      </c>
      <c r="P3945">
        <f>TRIM(N3945)</f>
        <v/>
      </c>
    </row>
    <row r="3946">
      <c r="A3946" t="inlineStr">
        <is>
          <t>CO-002564</t>
        </is>
      </c>
      <c r="B3946" t="inlineStr">
        <is>
          <t>ZUÑIGA SANCHEZ, GLODY</t>
        </is>
      </c>
      <c r="C3946" t="inlineStr">
        <is>
          <t>17251874824</t>
        </is>
      </c>
      <c r="D3946" t="inlineStr">
        <is>
          <t>KM. 42.5 CARRETERA LIMA CANTA - COCAYALTA - DISTRITO: SANTA ROSA DE QUIVES</t>
        </is>
      </c>
      <c r="E3946" t="inlineStr">
        <is>
          <t>Lima, 13 de diciembre del 2025</t>
        </is>
      </c>
      <c r="F3946" t="inlineStr">
        <is>
          <t>la Recarga y mantenimiento</t>
        </is>
      </c>
      <c r="G3946" t="inlineStr">
        <is>
          <t>01</t>
        </is>
      </c>
      <c r="H3946" t="inlineStr">
        <is>
          <t>30 LBS</t>
        </is>
      </c>
      <c r="I3946" t="inlineStr">
        <is>
          <t>2026</t>
        </is>
      </c>
      <c r="J3946" t="n">
        <v>2021</v>
      </c>
      <c r="K3946" t="inlineStr">
        <is>
          <t>DICIEMBRE 2025</t>
        </is>
      </c>
      <c r="L3946" t="inlineStr">
        <is>
          <t>DICIEMBRE 2026</t>
        </is>
      </c>
      <c r="M3946" t="inlineStr">
        <is>
          <t>P.Q.S. / ABC AL 90% UL</t>
        </is>
      </c>
      <c r="N3946" t="inlineStr">
        <is>
          <t>G-39956721</t>
        </is>
      </c>
      <c r="O3946" t="inlineStr">
        <is>
          <t>M4</t>
        </is>
      </c>
      <c r="P3946">
        <f>TRIM(N3946)</f>
        <v/>
      </c>
    </row>
    <row r="3947">
      <c r="A3947" t="inlineStr">
        <is>
          <t>CO-002564</t>
        </is>
      </c>
      <c r="B3947" t="inlineStr">
        <is>
          <t>ZUÑIGA SANCHEZ, GLODY</t>
        </is>
      </c>
      <c r="C3947" t="inlineStr">
        <is>
          <t>17251874824</t>
        </is>
      </c>
      <c r="D3947" t="inlineStr">
        <is>
          <t>KM. 42.5 CARRETERA LIMA CANTA - COCAYALTA - DISTRITO: SANTA ROSA DE QUIVES</t>
        </is>
      </c>
      <c r="E3947" t="inlineStr">
        <is>
          <t>Lima, 13 de diciembre del 2025</t>
        </is>
      </c>
      <c r="F3947" t="inlineStr">
        <is>
          <t>la Recarga y mantenimiento</t>
        </is>
      </c>
      <c r="G3947" t="inlineStr">
        <is>
          <t>02</t>
        </is>
      </c>
      <c r="H3947" t="inlineStr">
        <is>
          <t>125 LBS</t>
        </is>
      </c>
      <c r="I3947" t="inlineStr">
        <is>
          <t>2029</t>
        </is>
      </c>
      <c r="J3947" t="n">
        <v>2019</v>
      </c>
      <c r="K3947" t="inlineStr">
        <is>
          <t>DICIEMBRE 2025</t>
        </is>
      </c>
      <c r="L3947" t="inlineStr">
        <is>
          <t>DICIEMBRE 2026</t>
        </is>
      </c>
      <c r="M3947" t="inlineStr">
        <is>
          <t>P.Q.S. / ABC AL 90% UL</t>
        </is>
      </c>
      <c r="N3947" t="inlineStr">
        <is>
          <t>F-46647653</t>
        </is>
      </c>
      <c r="O3947" t="inlineStr">
        <is>
          <t>M1</t>
        </is>
      </c>
      <c r="P3947">
        <f>TRIM(N3947)</f>
        <v/>
      </c>
    </row>
    <row r="3948">
      <c r="A3948" t="inlineStr">
        <is>
          <t>CO-002564</t>
        </is>
      </c>
      <c r="B3948" t="inlineStr">
        <is>
          <t>ZUÑIGA SANCHEZ, GLODY</t>
        </is>
      </c>
      <c r="C3948" t="inlineStr">
        <is>
          <t>17251874824</t>
        </is>
      </c>
      <c r="D3948" t="inlineStr">
        <is>
          <t>KM. 42.5 CARRETERA LIMA CANTA - COCAYALTA - DISTRITO: SANTA ROSA DE QUIVES</t>
        </is>
      </c>
      <c r="E3948" t="inlineStr">
        <is>
          <t>Lima, 13 de diciembre del 2025</t>
        </is>
      </c>
      <c r="F3948" t="inlineStr">
        <is>
          <t>la Recarga y mantenimiento</t>
        </is>
      </c>
      <c r="G3948" t="inlineStr">
        <is>
          <t>03</t>
        </is>
      </c>
      <c r="H3948" t="inlineStr">
        <is>
          <t>20 LBS</t>
        </is>
      </c>
      <c r="I3948" t="n">
        <v>2028</v>
      </c>
      <c r="J3948" t="n">
        <v>2018</v>
      </c>
      <c r="K3948" t="inlineStr">
        <is>
          <t>DICIEMBRE 2025</t>
        </is>
      </c>
      <c r="L3948" t="inlineStr">
        <is>
          <t>DICIEMBRE 2026</t>
        </is>
      </c>
      <c r="M3948" t="inlineStr">
        <is>
          <t>P.Q.S. / ABC AL 90% UL</t>
        </is>
      </c>
      <c r="N3948" t="inlineStr">
        <is>
          <t>E-82857538</t>
        </is>
      </c>
      <c r="O3948" t="inlineStr">
        <is>
          <t>M2</t>
        </is>
      </c>
      <c r="P3948">
        <f>TRIM(N3948)</f>
        <v/>
      </c>
    </row>
    <row r="3949">
      <c r="A3949" t="inlineStr">
        <is>
          <t>CO-002564</t>
        </is>
      </c>
      <c r="B3949" t="inlineStr">
        <is>
          <t>ZUÑIGA SANCHEZ, GLODY</t>
        </is>
      </c>
      <c r="C3949" t="inlineStr">
        <is>
          <t>17251874824</t>
        </is>
      </c>
      <c r="D3949" t="inlineStr">
        <is>
          <t>KM. 42.5 CARRETERA LIMA CANTA - COCAYALTA - DISTRITO: SANTA ROSA DE QUIVES</t>
        </is>
      </c>
      <c r="E3949" t="inlineStr">
        <is>
          <t>Lima, 13 de diciembre del 2025</t>
        </is>
      </c>
      <c r="F3949" t="inlineStr">
        <is>
          <t>la Recarga y mantenimiento</t>
        </is>
      </c>
      <c r="G3949" t="inlineStr">
        <is>
          <t>04</t>
        </is>
      </c>
      <c r="H3949" t="inlineStr">
        <is>
          <t>20 LBS</t>
        </is>
      </c>
      <c r="I3949" t="n">
        <v>2028</v>
      </c>
      <c r="J3949" t="n">
        <v>2018</v>
      </c>
      <c r="K3949" t="inlineStr">
        <is>
          <t>DICIEMBRE 2025</t>
        </is>
      </c>
      <c r="L3949" t="inlineStr">
        <is>
          <t>DICIEMBRE 2026</t>
        </is>
      </c>
      <c r="M3949" t="inlineStr">
        <is>
          <t>P.Q.S. / ABC AL 90% UL</t>
        </is>
      </c>
      <c r="N3949" t="inlineStr">
        <is>
          <t>E-82857540</t>
        </is>
      </c>
      <c r="O3949" t="inlineStr">
        <is>
          <t>M2</t>
        </is>
      </c>
      <c r="P3949">
        <f>TRIM(N3949)</f>
        <v/>
      </c>
    </row>
    <row r="3950">
      <c r="A3950" t="inlineStr">
        <is>
          <t>CO-002565</t>
        </is>
      </c>
      <c r="B3950" t="inlineStr">
        <is>
          <t>LINDE PERU S.R.L</t>
        </is>
      </c>
      <c r="C3950" t="inlineStr">
        <is>
          <t>20338570041</t>
        </is>
      </c>
      <c r="D3950" t="inlineStr">
        <is>
          <t>SEDE LURIN</t>
        </is>
      </c>
      <c r="E3950" t="inlineStr">
        <is>
          <t>Lima, 16 de diciembre del 2025</t>
        </is>
      </c>
      <c r="F3950" t="inlineStr">
        <is>
          <t>la Recarga y mantenimiento</t>
        </is>
      </c>
      <c r="G3950" t="inlineStr">
        <is>
          <t>01</t>
        </is>
      </c>
      <c r="H3950" t="inlineStr">
        <is>
          <t>20 LBS</t>
        </is>
      </c>
      <c r="I3950" t="inlineStr">
        <is>
          <t>2029</t>
        </is>
      </c>
      <c r="J3950" t="n">
        <v>2024</v>
      </c>
      <c r="K3950" t="inlineStr">
        <is>
          <t>DICIEMBRE 2025</t>
        </is>
      </c>
      <c r="L3950" t="inlineStr">
        <is>
          <t>DICIEMBRE 2026</t>
        </is>
      </c>
      <c r="M3950" t="inlineStr">
        <is>
          <t>P.Q.S. / ABC AL 90% UL BADGER</t>
        </is>
      </c>
      <c r="N3950" t="inlineStr">
        <is>
          <t>01/33080979</t>
        </is>
      </c>
      <c r="O3950" t="inlineStr">
        <is>
          <t>M1</t>
        </is>
      </c>
      <c r="P3950">
        <f>TRIM(N3950)</f>
        <v/>
      </c>
    </row>
    <row r="3951">
      <c r="A3951" t="inlineStr">
        <is>
          <t>CO-002565</t>
        </is>
      </c>
      <c r="B3951" t="inlineStr">
        <is>
          <t>LINDE PERU S.R.L</t>
        </is>
      </c>
      <c r="C3951" t="inlineStr">
        <is>
          <t>20338570041</t>
        </is>
      </c>
      <c r="D3951" t="inlineStr">
        <is>
          <t>SEDE LURIN</t>
        </is>
      </c>
      <c r="E3951" t="inlineStr">
        <is>
          <t>Lima, 16 de diciembre del 2025</t>
        </is>
      </c>
      <c r="F3951" t="inlineStr">
        <is>
          <t>la Recarga y mantenimiento</t>
        </is>
      </c>
      <c r="G3951" t="inlineStr">
        <is>
          <t>02</t>
        </is>
      </c>
      <c r="H3951" t="inlineStr">
        <is>
          <t>20 LBS</t>
        </is>
      </c>
      <c r="I3951" t="inlineStr">
        <is>
          <t>2029</t>
        </is>
      </c>
      <c r="J3951" t="n">
        <v>2024</v>
      </c>
      <c r="K3951" t="inlineStr">
        <is>
          <t>DICIEMBRE 2025</t>
        </is>
      </c>
      <c r="L3951" t="inlineStr">
        <is>
          <t>DICIEMBRE 2026</t>
        </is>
      </c>
      <c r="M3951" t="inlineStr">
        <is>
          <t>P.Q.S. / ABC AL 90% UL BADGER</t>
        </is>
      </c>
      <c r="N3951" t="inlineStr">
        <is>
          <t>02/33850975</t>
        </is>
      </c>
      <c r="O3951" t="inlineStr">
        <is>
          <t>M1</t>
        </is>
      </c>
      <c r="P3951">
        <f>TRIM(N3951)</f>
        <v/>
      </c>
    </row>
    <row r="3952">
      <c r="A3952" t="inlineStr">
        <is>
          <t>CO-002565</t>
        </is>
      </c>
      <c r="B3952" t="inlineStr">
        <is>
          <t>LINDE PERU S.R.L</t>
        </is>
      </c>
      <c r="C3952" t="inlineStr">
        <is>
          <t>20338570041</t>
        </is>
      </c>
      <c r="D3952" t="inlineStr">
        <is>
          <t>SEDE LURIN</t>
        </is>
      </c>
      <c r="E3952" t="inlineStr">
        <is>
          <t>Lima, 16 de diciembre del 2025</t>
        </is>
      </c>
      <c r="F3952" t="inlineStr">
        <is>
          <t>la Recarga y mantenimiento</t>
        </is>
      </c>
      <c r="G3952" t="inlineStr">
        <is>
          <t>03</t>
        </is>
      </c>
      <c r="H3952" t="inlineStr">
        <is>
          <t>20 LBS</t>
        </is>
      </c>
      <c r="I3952" t="inlineStr">
        <is>
          <t>2029</t>
        </is>
      </c>
      <c r="J3952" t="n">
        <v>2024</v>
      </c>
      <c r="K3952" t="inlineStr">
        <is>
          <t>DICIEMBRE 2025</t>
        </is>
      </c>
      <c r="L3952" t="inlineStr">
        <is>
          <t>DICIEMBRE 2026</t>
        </is>
      </c>
      <c r="M3952" t="inlineStr">
        <is>
          <t>P.Q.S. / ABC AL 90% UL BADGER</t>
        </is>
      </c>
      <c r="N3952" t="inlineStr">
        <is>
          <t>03/31051460</t>
        </is>
      </c>
      <c r="O3952" t="inlineStr">
        <is>
          <t>M1</t>
        </is>
      </c>
      <c r="P3952">
        <f>TRIM(N3952)</f>
        <v/>
      </c>
    </row>
    <row r="3953">
      <c r="A3953" t="inlineStr">
        <is>
          <t>CO-002565</t>
        </is>
      </c>
      <c r="B3953" t="inlineStr">
        <is>
          <t>LINDE PERU S.R.L</t>
        </is>
      </c>
      <c r="C3953" t="inlineStr">
        <is>
          <t>20338570041</t>
        </is>
      </c>
      <c r="D3953" t="inlineStr">
        <is>
          <t>SEDE LURIN</t>
        </is>
      </c>
      <c r="E3953" t="inlineStr">
        <is>
          <t>Lima, 16 de diciembre del 2025</t>
        </is>
      </c>
      <c r="F3953" t="inlineStr">
        <is>
          <t>la Recarga y mantenimiento</t>
        </is>
      </c>
      <c r="G3953" t="inlineStr">
        <is>
          <t>04</t>
        </is>
      </c>
      <c r="H3953" t="inlineStr">
        <is>
          <t>20 LBS</t>
        </is>
      </c>
      <c r="I3953" t="inlineStr">
        <is>
          <t>2029</t>
        </is>
      </c>
      <c r="J3953" t="n">
        <v>2024</v>
      </c>
      <c r="K3953" t="inlineStr">
        <is>
          <t>DICIEMBRE 2025</t>
        </is>
      </c>
      <c r="L3953" t="inlineStr">
        <is>
          <t>DICIEMBRE 2026</t>
        </is>
      </c>
      <c r="M3953" t="inlineStr">
        <is>
          <t>CO2 / TIPO BC UL BADGER</t>
        </is>
      </c>
      <c r="N3953" t="inlineStr">
        <is>
          <t>04/31051451</t>
        </is>
      </c>
      <c r="O3953" t="inlineStr">
        <is>
          <t>M1</t>
        </is>
      </c>
      <c r="P3953">
        <f>TRIM(N3953)</f>
        <v/>
      </c>
    </row>
    <row r="3954">
      <c r="A3954" t="inlineStr">
        <is>
          <t>CO-002565</t>
        </is>
      </c>
      <c r="B3954" t="inlineStr">
        <is>
          <t>LINDE PERU S.R.L</t>
        </is>
      </c>
      <c r="C3954" t="inlineStr">
        <is>
          <t>20338570041</t>
        </is>
      </c>
      <c r="D3954" t="inlineStr">
        <is>
          <t>SEDE LURIN</t>
        </is>
      </c>
      <c r="E3954" t="inlineStr">
        <is>
          <t>Lima, 16 de diciembre del 2025</t>
        </is>
      </c>
      <c r="F3954" t="inlineStr">
        <is>
          <t>la Recarga y mantenimiento</t>
        </is>
      </c>
      <c r="G3954" t="inlineStr">
        <is>
          <t>05</t>
        </is>
      </c>
      <c r="H3954" t="inlineStr">
        <is>
          <t>20 LBS</t>
        </is>
      </c>
      <c r="I3954" t="inlineStr">
        <is>
          <t>2029</t>
        </is>
      </c>
      <c r="J3954" t="n">
        <v>2024</v>
      </c>
      <c r="K3954" t="inlineStr">
        <is>
          <t>DICIEMBRE 2025</t>
        </is>
      </c>
      <c r="L3954" t="inlineStr">
        <is>
          <t>DICIEMBRE 2026</t>
        </is>
      </c>
      <c r="M3954" t="inlineStr">
        <is>
          <t>P.Q.S. / ABC AL 90% UL BADGER</t>
        </is>
      </c>
      <c r="N3954" t="inlineStr">
        <is>
          <t>05/33850962</t>
        </is>
      </c>
      <c r="O3954" t="inlineStr">
        <is>
          <t>M1</t>
        </is>
      </c>
      <c r="P3954">
        <f>TRIM(N3954)</f>
        <v/>
      </c>
    </row>
    <row r="3955">
      <c r="A3955" t="inlineStr">
        <is>
          <t>CO-002565</t>
        </is>
      </c>
      <c r="B3955" t="inlineStr">
        <is>
          <t>LINDE PERU S.R.L</t>
        </is>
      </c>
      <c r="C3955" t="inlineStr">
        <is>
          <t>20338570041</t>
        </is>
      </c>
      <c r="D3955" t="inlineStr">
        <is>
          <t>SEDE LURIN</t>
        </is>
      </c>
      <c r="E3955" t="inlineStr">
        <is>
          <t>Lima, 16 de diciembre del 2025</t>
        </is>
      </c>
      <c r="F3955" t="inlineStr">
        <is>
          <t>la Recarga y mantenimiento</t>
        </is>
      </c>
      <c r="G3955" t="inlineStr">
        <is>
          <t>06</t>
        </is>
      </c>
      <c r="H3955" t="inlineStr">
        <is>
          <t xml:space="preserve">20 LBS </t>
        </is>
      </c>
      <c r="I3955" t="n">
        <v>2029</v>
      </c>
      <c r="J3955" t="n">
        <v>2024</v>
      </c>
      <c r="K3955" t="inlineStr">
        <is>
          <t>DICIEMBRE 2024</t>
        </is>
      </c>
      <c r="L3955" t="inlineStr">
        <is>
          <t>DICIEMBRE 2025</t>
        </is>
      </c>
      <c r="M3955" t="inlineStr">
        <is>
          <t>P.Q.S. / ABC AL 90% UL BADGER</t>
        </is>
      </c>
      <c r="N3955" t="inlineStr">
        <is>
          <t>06/31051455</t>
        </is>
      </c>
      <c r="O3955" t="inlineStr">
        <is>
          <t>M1</t>
        </is>
      </c>
      <c r="P3955">
        <f>TRIM(N3955)</f>
        <v/>
      </c>
    </row>
    <row r="3956">
      <c r="A3956" t="inlineStr">
        <is>
          <t>CO-002566</t>
        </is>
      </c>
      <c r="B3956" t="inlineStr">
        <is>
          <t>PERU MASIVO S.A - BUSES</t>
        </is>
      </c>
      <c r="C3956" t="inlineStr">
        <is>
          <t>20492392031</t>
        </is>
      </c>
      <c r="D3956" t="inlineStr">
        <is>
          <t>AV. LOS INCAS CDRA. 4 PATIO NORTE - COMAS</t>
        </is>
      </c>
      <c r="E3956" t="inlineStr">
        <is>
          <t>Lima, 13 de diciembre del 2025</t>
        </is>
      </c>
      <c r="F3956" t="inlineStr">
        <is>
          <t>la Recarga y mantenimiento</t>
        </is>
      </c>
      <c r="G3956" t="inlineStr">
        <is>
          <t>01</t>
        </is>
      </c>
      <c r="H3956" t="inlineStr">
        <is>
          <t>06 KG</t>
        </is>
      </c>
      <c r="I3956" t="inlineStr">
        <is>
          <t>2028</t>
        </is>
      </c>
      <c r="J3956" t="n">
        <v>2009</v>
      </c>
      <c r="K3956" t="inlineStr">
        <is>
          <t>DICIEMBRE 2025</t>
        </is>
      </c>
      <c r="L3956" t="inlineStr">
        <is>
          <t>DICIEMBRE 2026</t>
        </is>
      </c>
      <c r="M3956" t="inlineStr">
        <is>
          <t>P.Q.S.  TIPO ABC  90% NACIONAL</t>
        </is>
      </c>
      <c r="N3956" t="inlineStr">
        <is>
          <t>32/001288</t>
        </is>
      </c>
      <c r="O3956" t="inlineStr">
        <is>
          <t>R</t>
        </is>
      </c>
      <c r="P3956">
        <f>TRIM(N3956)</f>
        <v/>
      </c>
    </row>
    <row r="3957">
      <c r="A3957" t="inlineStr">
        <is>
          <t>CO-002566</t>
        </is>
      </c>
      <c r="B3957" t="inlineStr">
        <is>
          <t>PERU MASIVO S.A - BUSES</t>
        </is>
      </c>
      <c r="C3957" t="inlineStr">
        <is>
          <t>20492392031</t>
        </is>
      </c>
      <c r="D3957" t="inlineStr">
        <is>
          <t>AV. LOS INCAS CDRA. 4 PATIO NORTE - COMAS</t>
        </is>
      </c>
      <c r="E3957" t="inlineStr">
        <is>
          <t>Lima, 13 de diciembre del 2025</t>
        </is>
      </c>
      <c r="F3957" t="inlineStr">
        <is>
          <t>la Recarga y mantenimiento</t>
        </is>
      </c>
      <c r="G3957" t="inlineStr">
        <is>
          <t>02</t>
        </is>
      </c>
      <c r="H3957" t="inlineStr">
        <is>
          <t>06 KG</t>
        </is>
      </c>
      <c r="I3957" t="inlineStr">
        <is>
          <t>2028</t>
        </is>
      </c>
      <c r="J3957" t="n">
        <v>2013</v>
      </c>
      <c r="K3957" t="inlineStr">
        <is>
          <t>DICIEMBRE 2025</t>
        </is>
      </c>
      <c r="L3957" t="inlineStr">
        <is>
          <t>DICIEMBRE 2026</t>
        </is>
      </c>
      <c r="M3957" t="inlineStr">
        <is>
          <t>P.Q.S.  TIPO ABC  90% NACIONAL</t>
        </is>
      </c>
      <c r="N3957" t="inlineStr">
        <is>
          <t>306/001425</t>
        </is>
      </c>
      <c r="O3957" t="inlineStr">
        <is>
          <t>R</t>
        </is>
      </c>
      <c r="P3957">
        <f>TRIM(N3957)</f>
        <v/>
      </c>
    </row>
    <row r="3958">
      <c r="A3958" t="inlineStr">
        <is>
          <t>CO-002566</t>
        </is>
      </c>
      <c r="B3958" t="inlineStr">
        <is>
          <t>PERU MASIVO S.A - BUSES</t>
        </is>
      </c>
      <c r="C3958" t="inlineStr">
        <is>
          <t>20492392031</t>
        </is>
      </c>
      <c r="D3958" t="inlineStr">
        <is>
          <t>AV. LOS INCAS CDRA. 4 PATIO NORTE - COMAS</t>
        </is>
      </c>
      <c r="E3958" t="inlineStr">
        <is>
          <t>Lima, 13 de diciembre del 2025</t>
        </is>
      </c>
      <c r="F3958" t="inlineStr">
        <is>
          <t>la Recarga y mantenimiento</t>
        </is>
      </c>
      <c r="G3958" t="inlineStr">
        <is>
          <t>03</t>
        </is>
      </c>
      <c r="H3958" t="inlineStr">
        <is>
          <t>06 KG</t>
        </is>
      </c>
      <c r="I3958" t="n">
        <v>2028</v>
      </c>
      <c r="J3958" t="n">
        <v>2010</v>
      </c>
      <c r="K3958" t="inlineStr">
        <is>
          <t>DICIEMBRE 2025</t>
        </is>
      </c>
      <c r="L3958" t="inlineStr">
        <is>
          <t>DICIEMBRE 2026</t>
        </is>
      </c>
      <c r="M3958" t="inlineStr">
        <is>
          <t>P.Q.S.  TIPO ABC  90% NACIONAL</t>
        </is>
      </c>
      <c r="N3958" t="inlineStr">
        <is>
          <t>390/000448</t>
        </is>
      </c>
      <c r="O3958" t="inlineStr">
        <is>
          <t>R</t>
        </is>
      </c>
      <c r="P3958">
        <f>TRIM(N3958)</f>
        <v/>
      </c>
    </row>
    <row r="3959">
      <c r="A3959" t="inlineStr">
        <is>
          <t>CO-002566</t>
        </is>
      </c>
      <c r="B3959" t="inlineStr">
        <is>
          <t>PERU MASIVO S.A - BUSES</t>
        </is>
      </c>
      <c r="C3959" t="inlineStr">
        <is>
          <t>20492392031</t>
        </is>
      </c>
      <c r="D3959" t="inlineStr">
        <is>
          <t>AV. LOS INCAS CDRA. 4 PATIO NORTE - COMAS</t>
        </is>
      </c>
      <c r="E3959" t="inlineStr">
        <is>
          <t>Lima, 13 de diciembre del 2025</t>
        </is>
      </c>
      <c r="F3959" t="inlineStr">
        <is>
          <t>la Recarga y mantenimiento</t>
        </is>
      </c>
      <c r="G3959" t="inlineStr">
        <is>
          <t>04</t>
        </is>
      </c>
      <c r="H3959" t="inlineStr">
        <is>
          <t>06 KG</t>
        </is>
      </c>
      <c r="I3959" t="n">
        <v>2028</v>
      </c>
      <c r="J3959" t="n">
        <v>2009</v>
      </c>
      <c r="K3959" t="inlineStr">
        <is>
          <t>DICIEMBRE 2025</t>
        </is>
      </c>
      <c r="L3959" t="inlineStr">
        <is>
          <t>DICIEMBRE 2026</t>
        </is>
      </c>
      <c r="M3959" t="inlineStr">
        <is>
          <t>P.Q.S.  TIPO ABC  90% NACIONAL</t>
        </is>
      </c>
      <c r="N3959" t="inlineStr">
        <is>
          <t>76/ 001940</t>
        </is>
      </c>
      <c r="O3959" t="inlineStr">
        <is>
          <t>R</t>
        </is>
      </c>
      <c r="P3959">
        <f>TRIM(N3959)</f>
        <v/>
      </c>
    </row>
    <row r="3960">
      <c r="A3960" t="inlineStr">
        <is>
          <t>CO-002566</t>
        </is>
      </c>
      <c r="B3960" t="inlineStr">
        <is>
          <t>PERU MASIVO S.A - BUSES</t>
        </is>
      </c>
      <c r="C3960" t="inlineStr">
        <is>
          <t>20492392031</t>
        </is>
      </c>
      <c r="D3960" t="inlineStr">
        <is>
          <t>AV. LOS INCAS CDRA. 4 PATIO NORTE - COMAS</t>
        </is>
      </c>
      <c r="E3960" t="inlineStr">
        <is>
          <t>Lima, 13 de diciembre del 2025</t>
        </is>
      </c>
      <c r="F3960" t="inlineStr">
        <is>
          <t>la Recarga y mantenimiento</t>
        </is>
      </c>
      <c r="G3960" t="inlineStr">
        <is>
          <t>05</t>
        </is>
      </c>
      <c r="H3960" t="inlineStr">
        <is>
          <t>06 KG</t>
        </is>
      </c>
      <c r="I3960" t="n">
        <v>2028</v>
      </c>
      <c r="J3960" t="n">
        <v>2010</v>
      </c>
      <c r="K3960" t="inlineStr">
        <is>
          <t>DICIEMBRE 2025</t>
        </is>
      </c>
      <c r="L3960" t="inlineStr">
        <is>
          <t>DICIEMBRE 2026</t>
        </is>
      </c>
      <c r="M3960" t="inlineStr">
        <is>
          <t>P.Q.S.  TIPO ABC  90% NACIONAL</t>
        </is>
      </c>
      <c r="N3960" t="inlineStr">
        <is>
          <t>28/000005</t>
        </is>
      </c>
      <c r="O3960" t="inlineStr">
        <is>
          <t>R</t>
        </is>
      </c>
      <c r="P3960">
        <f>TRIM(N3960)</f>
        <v/>
      </c>
    </row>
    <row r="3961">
      <c r="A3961" t="inlineStr">
        <is>
          <t>CO-002566</t>
        </is>
      </c>
      <c r="B3961" t="inlineStr">
        <is>
          <t>PERU MASIVO S.A - BUSES</t>
        </is>
      </c>
      <c r="C3961" t="inlineStr">
        <is>
          <t>20492392031</t>
        </is>
      </c>
      <c r="D3961" t="inlineStr">
        <is>
          <t>AV. LOS INCAS CDRA. 4 PATIO NORTE - COMAS</t>
        </is>
      </c>
      <c r="E3961" t="inlineStr">
        <is>
          <t>Lima, 13 de diciembre del 2025</t>
        </is>
      </c>
      <c r="F3961" t="inlineStr">
        <is>
          <t>la Recarga y mantenimiento</t>
        </is>
      </c>
      <c r="G3961" t="inlineStr">
        <is>
          <t>06</t>
        </is>
      </c>
      <c r="H3961" t="inlineStr">
        <is>
          <t>06 KG</t>
        </is>
      </c>
      <c r="I3961" t="n">
        <v>2028</v>
      </c>
      <c r="J3961" t="n">
        <v>2009</v>
      </c>
      <c r="K3961" t="inlineStr">
        <is>
          <t>DICIEMBRE 2025</t>
        </is>
      </c>
      <c r="L3961" t="inlineStr">
        <is>
          <t>DICIEMBRE 2026</t>
        </is>
      </c>
      <c r="M3961" t="inlineStr">
        <is>
          <t>P.Q.S.  TIPO ABC  90% NACIONAL</t>
        </is>
      </c>
      <c r="N3961" t="inlineStr">
        <is>
          <t>31/001337</t>
        </is>
      </c>
      <c r="O3961" t="inlineStr">
        <is>
          <t>R</t>
        </is>
      </c>
      <c r="P3961">
        <f>TRIM(N3961)</f>
        <v/>
      </c>
    </row>
    <row r="3962">
      <c r="A3962" t="inlineStr">
        <is>
          <t>CO-002566</t>
        </is>
      </c>
      <c r="B3962" t="inlineStr">
        <is>
          <t>PERU MASIVO S.A - BUSES</t>
        </is>
      </c>
      <c r="C3962" t="inlineStr">
        <is>
          <t>20492392031</t>
        </is>
      </c>
      <c r="D3962" t="inlineStr">
        <is>
          <t>AV. LOS INCAS CDRA. 4 PATIO NORTE - COMAS</t>
        </is>
      </c>
      <c r="E3962" t="inlineStr">
        <is>
          <t>Lima, 13 de diciembre del 2025</t>
        </is>
      </c>
      <c r="F3962" t="inlineStr">
        <is>
          <t>la Recarga y mantenimiento</t>
        </is>
      </c>
      <c r="G3962" t="inlineStr">
        <is>
          <t>07</t>
        </is>
      </c>
      <c r="H3962" t="inlineStr">
        <is>
          <t>06 KG</t>
        </is>
      </c>
      <c r="I3962" t="n">
        <v>2028</v>
      </c>
      <c r="J3962" t="n">
        <v>2009</v>
      </c>
      <c r="K3962" t="inlineStr">
        <is>
          <t>DICIEMBRE 2025</t>
        </is>
      </c>
      <c r="L3962" t="inlineStr">
        <is>
          <t>DICIEMBRE 2026</t>
        </is>
      </c>
      <c r="M3962" t="inlineStr">
        <is>
          <t>P.Q.S.  TIPO ABC  90% NACIONAL</t>
        </is>
      </c>
      <c r="N3962" t="inlineStr">
        <is>
          <t>154/002014</t>
        </is>
      </c>
      <c r="O3962" t="inlineStr">
        <is>
          <t>R</t>
        </is>
      </c>
      <c r="P3962">
        <f>TRIM(N3962)</f>
        <v/>
      </c>
    </row>
    <row r="3963">
      <c r="A3963" t="inlineStr">
        <is>
          <t>CO-002566</t>
        </is>
      </c>
      <c r="B3963" t="inlineStr">
        <is>
          <t>PERU MASIVO S.A - BUSES</t>
        </is>
      </c>
      <c r="C3963" t="inlineStr">
        <is>
          <t>20492392031</t>
        </is>
      </c>
      <c r="D3963" t="inlineStr">
        <is>
          <t>AV. LOS INCAS CDRA. 4 PATIO NORTE - COMAS</t>
        </is>
      </c>
      <c r="E3963" t="inlineStr">
        <is>
          <t>Lima, 13 de diciembre del 2025</t>
        </is>
      </c>
      <c r="F3963" t="inlineStr">
        <is>
          <t>la Recarga y mantenimiento</t>
        </is>
      </c>
      <c r="G3963" t="inlineStr">
        <is>
          <t>08</t>
        </is>
      </c>
      <c r="H3963" t="inlineStr">
        <is>
          <t>06 KG</t>
        </is>
      </c>
      <c r="I3963" t="n">
        <v>2028</v>
      </c>
      <c r="J3963" t="n">
        <v>2010</v>
      </c>
      <c r="K3963" t="inlineStr">
        <is>
          <t>DICIEMBRE 2025</t>
        </is>
      </c>
      <c r="L3963" t="inlineStr">
        <is>
          <t>DICIEMBRE 2026</t>
        </is>
      </c>
      <c r="M3963" t="inlineStr">
        <is>
          <t>P.Q.S.  TIPO ABC  90% NACIONAL</t>
        </is>
      </c>
      <c r="N3963" t="inlineStr">
        <is>
          <t>136/000008</t>
        </is>
      </c>
      <c r="O3963" t="inlineStr">
        <is>
          <t>R</t>
        </is>
      </c>
      <c r="P3963">
        <f>TRIM(N3963)</f>
        <v/>
      </c>
    </row>
    <row r="3964">
      <c r="A3964" t="inlineStr">
        <is>
          <t>CO-002566</t>
        </is>
      </c>
      <c r="B3964" t="inlineStr">
        <is>
          <t>PERU MASIVO S.A - BUSES</t>
        </is>
      </c>
      <c r="C3964" t="inlineStr">
        <is>
          <t>20492392031</t>
        </is>
      </c>
      <c r="D3964" t="inlineStr">
        <is>
          <t>AV. LOS INCAS CDRA. 4 PATIO NORTE - COMAS</t>
        </is>
      </c>
      <c r="E3964" t="inlineStr">
        <is>
          <t>Lima, 13 de diciembre del 2025</t>
        </is>
      </c>
      <c r="F3964" t="inlineStr">
        <is>
          <t>la Recarga y mantenimiento</t>
        </is>
      </c>
      <c r="G3964" t="inlineStr">
        <is>
          <t>09</t>
        </is>
      </c>
      <c r="H3964" t="inlineStr">
        <is>
          <t>06 KG</t>
        </is>
      </c>
      <c r="I3964" t="n">
        <v>2028</v>
      </c>
      <c r="J3964" t="n">
        <v>2009</v>
      </c>
      <c r="K3964" t="inlineStr">
        <is>
          <t>DICIEMBRE 2025</t>
        </is>
      </c>
      <c r="L3964" t="inlineStr">
        <is>
          <t>DICIEMBRE 2026</t>
        </is>
      </c>
      <c r="M3964" t="inlineStr">
        <is>
          <t>P.Q.S.  TIPO ABC  90% NACIONAL</t>
        </is>
      </c>
      <c r="N3964" t="inlineStr">
        <is>
          <t>83/000672</t>
        </is>
      </c>
      <c r="O3964" t="inlineStr">
        <is>
          <t>R</t>
        </is>
      </c>
      <c r="P3964">
        <f>TRIM(N3964)</f>
        <v/>
      </c>
    </row>
    <row r="3965">
      <c r="A3965" t="inlineStr">
        <is>
          <t>CO-002566</t>
        </is>
      </c>
      <c r="B3965" t="inlineStr">
        <is>
          <t>PERU MASIVO S.A - BUSES</t>
        </is>
      </c>
      <c r="C3965" t="inlineStr">
        <is>
          <t>20492392031</t>
        </is>
      </c>
      <c r="D3965" t="inlineStr">
        <is>
          <t>AV. LOS INCAS CDRA. 4 PATIO NORTE - COMAS</t>
        </is>
      </c>
      <c r="E3965" t="inlineStr">
        <is>
          <t>Lima, 13 de diciembre del 2025</t>
        </is>
      </c>
      <c r="F3965" t="inlineStr">
        <is>
          <t>la Recarga y mantenimiento</t>
        </is>
      </c>
      <c r="G3965" t="n">
        <v>10</v>
      </c>
      <c r="H3965" t="inlineStr">
        <is>
          <t>06 KG</t>
        </is>
      </c>
      <c r="I3965" t="n">
        <v>2028</v>
      </c>
      <c r="J3965" t="n">
        <v>2017</v>
      </c>
      <c r="K3965" t="inlineStr">
        <is>
          <t>DICIEMBRE 2025</t>
        </is>
      </c>
      <c r="L3965" t="inlineStr">
        <is>
          <t>DICIEMBRE 2026</t>
        </is>
      </c>
      <c r="M3965" t="inlineStr">
        <is>
          <t>P.Q.S.  TIPO ABC  90% NACIONAL</t>
        </is>
      </c>
      <c r="N3965" t="inlineStr">
        <is>
          <t>315/004016</t>
        </is>
      </c>
      <c r="O3965" t="inlineStr">
        <is>
          <t>R</t>
        </is>
      </c>
      <c r="P3965">
        <f>TRIM(N3965)</f>
        <v/>
      </c>
    </row>
    <row r="3966">
      <c r="A3966" t="inlineStr">
        <is>
          <t>CO-002566</t>
        </is>
      </c>
      <c r="B3966" t="inlineStr">
        <is>
          <t>PERU MASIVO S.A - BUSES</t>
        </is>
      </c>
      <c r="C3966" t="inlineStr">
        <is>
          <t>20492392031</t>
        </is>
      </c>
      <c r="D3966" t="inlineStr">
        <is>
          <t>AV. LOS INCAS CDRA. 4 PATIO NORTE - COMAS</t>
        </is>
      </c>
      <c r="E3966" t="inlineStr">
        <is>
          <t>Lima, 13 de diciembre del 2025</t>
        </is>
      </c>
      <c r="F3966" t="inlineStr">
        <is>
          <t>la Recarga y mantenimiento</t>
        </is>
      </c>
      <c r="G3966" t="n">
        <v>11</v>
      </c>
      <c r="H3966" t="inlineStr">
        <is>
          <t>06 KG</t>
        </is>
      </c>
      <c r="I3966" t="n">
        <v>2028</v>
      </c>
      <c r="J3966" t="n">
        <v>2019</v>
      </c>
      <c r="K3966" t="inlineStr">
        <is>
          <t>DICIEMBRE 2025</t>
        </is>
      </c>
      <c r="L3966" t="inlineStr">
        <is>
          <t>DICIEMBRE 2026</t>
        </is>
      </c>
      <c r="M3966" t="inlineStr">
        <is>
          <t>P.Q.S.  TIPO ABC  90% NACIONAL</t>
        </is>
      </c>
      <c r="N3966" t="inlineStr">
        <is>
          <t>316/001015</t>
        </is>
      </c>
      <c r="O3966" t="inlineStr">
        <is>
          <t>R</t>
        </is>
      </c>
      <c r="P3966">
        <f>TRIM(N3966)</f>
        <v/>
      </c>
    </row>
    <row r="3967">
      <c r="A3967" t="inlineStr">
        <is>
          <t>CO-002566</t>
        </is>
      </c>
      <c r="B3967" t="inlineStr">
        <is>
          <t>PERU MASIVO S.A - BUSES</t>
        </is>
      </c>
      <c r="C3967" t="inlineStr">
        <is>
          <t>20492392031</t>
        </is>
      </c>
      <c r="D3967" t="inlineStr">
        <is>
          <t>AV. LOS INCAS CDRA. 4 PATIO NORTE - COMAS</t>
        </is>
      </c>
      <c r="E3967" t="inlineStr">
        <is>
          <t>Lima, 13 de diciembre del 2025</t>
        </is>
      </c>
      <c r="F3967" t="inlineStr">
        <is>
          <t>la Recarga y mantenimiento</t>
        </is>
      </c>
      <c r="G3967" t="n">
        <v>12</v>
      </c>
      <c r="H3967" t="inlineStr">
        <is>
          <t>06 KG</t>
        </is>
      </c>
      <c r="I3967" t="n">
        <v>2028</v>
      </c>
      <c r="J3967" t="n">
        <v>2010</v>
      </c>
      <c r="K3967" t="inlineStr">
        <is>
          <t>DICIEMBRE 2025</t>
        </is>
      </c>
      <c r="L3967" t="inlineStr">
        <is>
          <t>DICIEMBRE 2026</t>
        </is>
      </c>
      <c r="M3967" t="inlineStr">
        <is>
          <t>P.Q.S.  TIPO ABC  90% NACIONAL</t>
        </is>
      </c>
      <c r="N3967" t="inlineStr">
        <is>
          <t>51/000065</t>
        </is>
      </c>
      <c r="O3967" t="inlineStr">
        <is>
          <t>R</t>
        </is>
      </c>
      <c r="P3967">
        <f>TRIM(N3967)</f>
        <v/>
      </c>
    </row>
    <row r="3968">
      <c r="A3968" t="inlineStr">
        <is>
          <t>CO-002566</t>
        </is>
      </c>
      <c r="B3968" t="inlineStr">
        <is>
          <t>PERU MASIVO S.A - BUSES</t>
        </is>
      </c>
      <c r="C3968" t="inlineStr">
        <is>
          <t>20492392031</t>
        </is>
      </c>
      <c r="D3968" t="inlineStr">
        <is>
          <t>AV. LOS INCAS CDRA. 4 PATIO NORTE - COMAS</t>
        </is>
      </c>
      <c r="E3968" t="inlineStr">
        <is>
          <t>Lima, 13 de diciembre del 2025</t>
        </is>
      </c>
      <c r="F3968" t="inlineStr">
        <is>
          <t>la Recarga y mantenimiento</t>
        </is>
      </c>
      <c r="G3968" t="n">
        <v>13</v>
      </c>
      <c r="H3968" t="inlineStr">
        <is>
          <t>06 KG</t>
        </is>
      </c>
      <c r="I3968" t="n">
        <v>2028</v>
      </c>
      <c r="J3968" t="n">
        <v>2013</v>
      </c>
      <c r="K3968" t="inlineStr">
        <is>
          <t>DICIEMBRE 2025</t>
        </is>
      </c>
      <c r="L3968" t="inlineStr">
        <is>
          <t>DICIEMBRE 2026</t>
        </is>
      </c>
      <c r="M3968" t="inlineStr">
        <is>
          <t>P.Q.S.  TIPO ABC  90% NACIONAL</t>
        </is>
      </c>
      <c r="N3968" t="inlineStr">
        <is>
          <t>326/000584</t>
        </is>
      </c>
      <c r="O3968" t="inlineStr">
        <is>
          <t>R</t>
        </is>
      </c>
      <c r="P3968">
        <f>TRIM(N3968)</f>
        <v/>
      </c>
    </row>
    <row r="3969">
      <c r="A3969" t="inlineStr">
        <is>
          <t>CO-002569</t>
        </is>
      </c>
      <c r="B3969" t="inlineStr">
        <is>
          <t>LINDE PERU S.R.L</t>
        </is>
      </c>
      <c r="C3969" t="inlineStr">
        <is>
          <t>20338570041</t>
        </is>
      </c>
      <c r="D3969" t="inlineStr">
        <is>
          <t>SEDE LURIN</t>
        </is>
      </c>
      <c r="E3969" t="inlineStr">
        <is>
          <t>Lima, 16 de diciembre del 2025</t>
        </is>
      </c>
      <c r="F3969" t="inlineStr">
        <is>
          <t>la Recarga y mantenimiento</t>
        </is>
      </c>
      <c r="G3969" t="inlineStr">
        <is>
          <t>01</t>
        </is>
      </c>
      <c r="H3969" t="inlineStr">
        <is>
          <t>10 LBS</t>
        </is>
      </c>
      <c r="I3969" t="n">
        <v>2029</v>
      </c>
      <c r="J3969" t="n">
        <v>2024</v>
      </c>
      <c r="K3969" t="inlineStr">
        <is>
          <t>DICIEMBRE 2025</t>
        </is>
      </c>
      <c r="L3969" t="inlineStr">
        <is>
          <t>DICIEMBRE 2026</t>
        </is>
      </c>
      <c r="M3969" t="inlineStr">
        <is>
          <t>CO2 / TIPO BC UL BADGER</t>
        </is>
      </c>
      <c r="N3969" t="inlineStr">
        <is>
          <t>07/264704</t>
        </is>
      </c>
      <c r="O3969" t="inlineStr">
        <is>
          <t>R</t>
        </is>
      </c>
      <c r="P3969">
        <f>TRIM(N3969)</f>
        <v/>
      </c>
    </row>
    <row r="3970">
      <c r="A3970" t="inlineStr">
        <is>
          <t>CO-002569</t>
        </is>
      </c>
      <c r="B3970" t="inlineStr">
        <is>
          <t>LINDE PERU S.R.L</t>
        </is>
      </c>
      <c r="C3970" t="inlineStr">
        <is>
          <t>20338570041</t>
        </is>
      </c>
      <c r="D3970" t="inlineStr">
        <is>
          <t>SEDE LURIN</t>
        </is>
      </c>
      <c r="E3970" t="inlineStr">
        <is>
          <t>Lima, 16 de diciembre del 2025</t>
        </is>
      </c>
      <c r="F3970" t="inlineStr">
        <is>
          <t>la Recarga y mantenimiento</t>
        </is>
      </c>
      <c r="G3970" t="inlineStr">
        <is>
          <t>02</t>
        </is>
      </c>
      <c r="H3970" t="inlineStr">
        <is>
          <t>10 LBS</t>
        </is>
      </c>
      <c r="I3970" t="n">
        <v>2029</v>
      </c>
      <c r="J3970" t="n">
        <v>2024</v>
      </c>
      <c r="K3970" t="inlineStr">
        <is>
          <t>DICIEMBRE 2025</t>
        </is>
      </c>
      <c r="L3970" t="inlineStr">
        <is>
          <t>DICIEMBRE 2026</t>
        </is>
      </c>
      <c r="M3970" t="inlineStr">
        <is>
          <t>CO2 / TIPO BC UL BADGER</t>
        </is>
      </c>
      <c r="N3970" t="inlineStr">
        <is>
          <t>08/264713</t>
        </is>
      </c>
      <c r="O3970" t="inlineStr">
        <is>
          <t>R</t>
        </is>
      </c>
      <c r="P3970">
        <f>TRIM(N3970)</f>
        <v/>
      </c>
    </row>
    <row r="3971">
      <c r="A3971" t="inlineStr">
        <is>
          <t>CO-002569</t>
        </is>
      </c>
      <c r="B3971" t="inlineStr">
        <is>
          <t>LINDE PERU S.R.L</t>
        </is>
      </c>
      <c r="C3971" t="inlineStr">
        <is>
          <t>20338570041</t>
        </is>
      </c>
      <c r="D3971" t="inlineStr">
        <is>
          <t>SEDE LURIN</t>
        </is>
      </c>
      <c r="E3971" t="inlineStr">
        <is>
          <t>Lima, 16 de diciembre del 2025</t>
        </is>
      </c>
      <c r="F3971" t="inlineStr">
        <is>
          <t>la Recarga y mantenimiento</t>
        </is>
      </c>
      <c r="G3971" t="inlineStr">
        <is>
          <t>03</t>
        </is>
      </c>
      <c r="H3971" t="inlineStr">
        <is>
          <t>10 LBS</t>
        </is>
      </c>
      <c r="I3971" t="n">
        <v>2029</v>
      </c>
      <c r="J3971" t="n">
        <v>2024</v>
      </c>
      <c r="K3971" t="inlineStr">
        <is>
          <t>DICIEMBRE 2025</t>
        </is>
      </c>
      <c r="L3971" t="inlineStr">
        <is>
          <t>DICIEMBRE 2026</t>
        </is>
      </c>
      <c r="M3971" t="inlineStr">
        <is>
          <t>CO2 / TIPO BC UL BADGER</t>
        </is>
      </c>
      <c r="N3971" t="inlineStr">
        <is>
          <t>09/264705</t>
        </is>
      </c>
      <c r="O3971" t="inlineStr">
        <is>
          <t>R</t>
        </is>
      </c>
      <c r="P3971">
        <f>TRIM(N3971)</f>
        <v/>
      </c>
    </row>
    <row r="3972">
      <c r="A3972" t="inlineStr">
        <is>
          <t>CO-002569</t>
        </is>
      </c>
      <c r="B3972" t="inlineStr">
        <is>
          <t>LINDE PERU S.R.L</t>
        </is>
      </c>
      <c r="C3972" t="inlineStr">
        <is>
          <t>20338570041</t>
        </is>
      </c>
      <c r="D3972" t="inlineStr">
        <is>
          <t>SEDE LURIN</t>
        </is>
      </c>
      <c r="E3972" t="inlineStr">
        <is>
          <t>Lima, 16 de diciembre del 2025</t>
        </is>
      </c>
      <c r="F3972" t="inlineStr">
        <is>
          <t>la Recarga y mantenimiento</t>
        </is>
      </c>
      <c r="G3972" t="n">
        <v>4</v>
      </c>
      <c r="H3972" t="inlineStr">
        <is>
          <t>10 LBS</t>
        </is>
      </c>
      <c r="I3972" t="n">
        <v>2029</v>
      </c>
      <c r="J3972" t="n">
        <v>2024</v>
      </c>
      <c r="K3972" t="inlineStr">
        <is>
          <t>DICIEMBRE 2025</t>
        </is>
      </c>
      <c r="L3972" t="inlineStr">
        <is>
          <t>DICIEMBRE 2026</t>
        </is>
      </c>
      <c r="M3972" t="inlineStr">
        <is>
          <t>CO2 / TIPO BC UL BADGER</t>
        </is>
      </c>
      <c r="N3972" t="inlineStr">
        <is>
          <t>10/264709</t>
        </is>
      </c>
      <c r="O3972" t="inlineStr">
        <is>
          <t>R</t>
        </is>
      </c>
      <c r="P3972">
        <f>TRIM(N3972)</f>
        <v/>
      </c>
    </row>
    <row r="3973">
      <c r="A3973" t="inlineStr">
        <is>
          <t>CO-002569</t>
        </is>
      </c>
      <c r="B3973" t="inlineStr">
        <is>
          <t>LINDE PERU S.R.L</t>
        </is>
      </c>
      <c r="C3973" t="inlineStr">
        <is>
          <t>20338570041</t>
        </is>
      </c>
      <c r="D3973" t="inlineStr">
        <is>
          <t>SEDE LURIN</t>
        </is>
      </c>
      <c r="E3973" t="inlineStr">
        <is>
          <t>Lima, 16 de diciembre del 2025</t>
        </is>
      </c>
      <c r="F3973" t="inlineStr">
        <is>
          <t>la Recarga y mantenimiento</t>
        </is>
      </c>
      <c r="G3973" t="inlineStr">
        <is>
          <t>05</t>
        </is>
      </c>
      <c r="H3973" t="inlineStr">
        <is>
          <t>10 LBS</t>
        </is>
      </c>
      <c r="I3973" t="n">
        <v>2029</v>
      </c>
      <c r="J3973" t="n">
        <v>2024</v>
      </c>
      <c r="K3973" t="inlineStr">
        <is>
          <t>DICIEMBRE 2025</t>
        </is>
      </c>
      <c r="L3973" t="inlineStr">
        <is>
          <t>DICIEMBRE 2026</t>
        </is>
      </c>
      <c r="M3973" t="inlineStr">
        <is>
          <t>CO2 / TIPO BC UL BADGER</t>
        </is>
      </c>
      <c r="N3973" t="inlineStr">
        <is>
          <t>11/264707</t>
        </is>
      </c>
      <c r="O3973" t="inlineStr">
        <is>
          <t>R</t>
        </is>
      </c>
      <c r="P3973">
        <f>TRIM(N3973)</f>
        <v/>
      </c>
    </row>
    <row r="3974">
      <c r="A3974" t="inlineStr">
        <is>
          <t>CO-002570</t>
        </is>
      </c>
      <c r="B3974" t="inlineStr">
        <is>
          <t>LINDE PERU S.R.L</t>
        </is>
      </c>
      <c r="C3974" t="inlineStr">
        <is>
          <t>20338570041</t>
        </is>
      </c>
      <c r="D3974" t="inlineStr">
        <is>
          <t>SEDE LURIN</t>
        </is>
      </c>
      <c r="E3974" t="inlineStr">
        <is>
          <t>Lima, 16 de diciembre del 2025</t>
        </is>
      </c>
      <c r="F3974" t="inlineStr">
        <is>
          <t>la Recarga y mantenimiento</t>
        </is>
      </c>
      <c r="G3974" t="inlineStr">
        <is>
          <t>01</t>
        </is>
      </c>
      <c r="H3974" t="inlineStr">
        <is>
          <t>09 KG</t>
        </is>
      </c>
      <c r="I3974" t="n">
        <v>2029</v>
      </c>
      <c r="J3974" t="n">
        <v>2024</v>
      </c>
      <c r="K3974" t="inlineStr">
        <is>
          <t>DICIEMBRE 2025</t>
        </is>
      </c>
      <c r="L3974" t="inlineStr">
        <is>
          <t>DICIEMBRE 2026</t>
        </is>
      </c>
      <c r="M3974" t="inlineStr">
        <is>
          <t>P.Q.S. / ABC AL 90% UL BADGER</t>
        </is>
      </c>
      <c r="N3974" t="inlineStr">
        <is>
          <t>S/N/000474</t>
        </is>
      </c>
      <c r="O3974" t="inlineStr">
        <is>
          <t>R</t>
        </is>
      </c>
      <c r="P3974">
        <f>TRIM(N3974)</f>
        <v/>
      </c>
    </row>
    <row r="3975">
      <c r="A3975" t="inlineStr">
        <is>
          <t>CO-002571</t>
        </is>
      </c>
      <c r="B3975" t="inlineStr">
        <is>
          <t>WILLIAM MURILLO CARRANZA</t>
        </is>
      </c>
      <c r="D3975" t="inlineStr">
        <is>
          <t>BVY-787</t>
        </is>
      </c>
      <c r="E3975" t="inlineStr">
        <is>
          <t>Lima, 16 de diciembre del 2025</t>
        </is>
      </c>
      <c r="F3975" t="inlineStr">
        <is>
          <t>la Recarga y mantenimiento</t>
        </is>
      </c>
      <c r="G3975" t="inlineStr">
        <is>
          <t>01</t>
        </is>
      </c>
      <c r="H3975" t="inlineStr">
        <is>
          <t>06 KG</t>
        </is>
      </c>
      <c r="I3975" t="inlineStr">
        <is>
          <t>2028</t>
        </is>
      </c>
      <c r="J3975" t="n">
        <v>2023</v>
      </c>
      <c r="K3975" t="inlineStr">
        <is>
          <t>DICIEMBRE 2025</t>
        </is>
      </c>
      <c r="L3975" t="inlineStr">
        <is>
          <t>DICIEMBRE 2026</t>
        </is>
      </c>
      <c r="M3975" t="inlineStr">
        <is>
          <t>P.Q.S TIPO ABC</t>
        </is>
      </c>
      <c r="N3975" t="inlineStr">
        <is>
          <t>002440</t>
        </is>
      </c>
      <c r="O3975" t="inlineStr">
        <is>
          <t>R</t>
        </is>
      </c>
      <c r="P3975">
        <f>TRIM(N3975)</f>
        <v/>
      </c>
    </row>
    <row r="3976">
      <c r="A3976" t="inlineStr">
        <is>
          <t>CO-002572</t>
        </is>
      </c>
      <c r="B3976" t="inlineStr">
        <is>
          <t>VATEL S.A.C.</t>
        </is>
      </c>
      <c r="C3976" t="inlineStr">
        <is>
          <t>20516036720</t>
        </is>
      </c>
      <c r="D3976" t="inlineStr">
        <is>
          <t>JR. ROUSSEAU 289 SAN BORJA</t>
        </is>
      </c>
      <c r="E3976" t="inlineStr">
        <is>
          <t>Lima, 17 de diciembre del 2025</t>
        </is>
      </c>
      <c r="F3976" t="inlineStr">
        <is>
          <t>la Recarga y mantenimiento</t>
        </is>
      </c>
      <c r="G3976" t="inlineStr">
        <is>
          <t>01</t>
        </is>
      </c>
      <c r="H3976" t="inlineStr">
        <is>
          <t>06 KG</t>
        </is>
      </c>
      <c r="I3976" t="inlineStr">
        <is>
          <t>2030</t>
        </is>
      </c>
      <c r="J3976" t="n">
        <v>2016</v>
      </c>
      <c r="K3976" t="inlineStr">
        <is>
          <t>DICIEMBRE 2025</t>
        </is>
      </c>
      <c r="L3976" t="inlineStr">
        <is>
          <t>DICIEMBRE 2026</t>
        </is>
      </c>
      <c r="M3976" t="inlineStr">
        <is>
          <t>P.Q.S TIPO ABC</t>
        </is>
      </c>
      <c r="N3976" t="inlineStr">
        <is>
          <t>002128</t>
        </is>
      </c>
      <c r="O3976" t="inlineStr">
        <is>
          <t>R</t>
        </is>
      </c>
      <c r="P3976">
        <f>TRIM(N3976)</f>
        <v/>
      </c>
    </row>
    <row r="3977">
      <c r="A3977" t="inlineStr">
        <is>
          <t>CO-002572</t>
        </is>
      </c>
      <c r="B3977" t="inlineStr">
        <is>
          <t>VATEL S.A.C.</t>
        </is>
      </c>
      <c r="C3977" t="inlineStr">
        <is>
          <t>20516036720</t>
        </is>
      </c>
      <c r="D3977" t="inlineStr">
        <is>
          <t>JR. ROUSSEAU 289 SAN BORJA</t>
        </is>
      </c>
      <c r="E3977" t="inlineStr">
        <is>
          <t>Lima, 17 de diciembre del 2025</t>
        </is>
      </c>
      <c r="F3977" t="inlineStr">
        <is>
          <t>la Recarga y mantenimiento</t>
        </is>
      </c>
      <c r="G3977" t="inlineStr">
        <is>
          <t>02</t>
        </is>
      </c>
      <c r="H3977" t="inlineStr">
        <is>
          <t>06 KG</t>
        </is>
      </c>
      <c r="I3977" t="inlineStr">
        <is>
          <t>2030</t>
        </is>
      </c>
      <c r="J3977" t="n">
        <v>2016</v>
      </c>
      <c r="K3977" t="inlineStr">
        <is>
          <t>DICIEMBRE 2025</t>
        </is>
      </c>
      <c r="L3977" t="inlineStr">
        <is>
          <t>DICIEMBRE 2026</t>
        </is>
      </c>
      <c r="M3977" t="inlineStr">
        <is>
          <t>P.Q.S TIPO ABC</t>
        </is>
      </c>
      <c r="N3977" t="inlineStr">
        <is>
          <t>001417</t>
        </is>
      </c>
      <c r="O3977" t="inlineStr">
        <is>
          <t>R</t>
        </is>
      </c>
      <c r="P3977">
        <f>TRIM(N3977)</f>
        <v/>
      </c>
    </row>
    <row r="3978">
      <c r="A3978" t="inlineStr">
        <is>
          <t>CO-002573</t>
        </is>
      </c>
      <c r="B3978" t="inlineStr">
        <is>
          <t>GACSA PERU S.A.C.</t>
        </is>
      </c>
      <c r="C3978" t="n">
        <v>20602629067</v>
      </c>
      <c r="D3978" t="inlineStr">
        <is>
          <t>NISSAN ALMACEN LA MOLINA</t>
        </is>
      </c>
      <c r="E3978" t="inlineStr">
        <is>
          <t>Lima, 18 de diciembre del 2025</t>
        </is>
      </c>
      <c r="F3978" t="inlineStr">
        <is>
          <t>la Recarga y mantenimiento</t>
        </is>
      </c>
      <c r="G3978" t="inlineStr">
        <is>
          <t>01</t>
        </is>
      </c>
      <c r="H3978" t="inlineStr">
        <is>
          <t>06 KG</t>
        </is>
      </c>
      <c r="I3978" t="inlineStr">
        <is>
          <t>2030</t>
        </is>
      </c>
      <c r="J3978" t="n">
        <v>2007</v>
      </c>
      <c r="K3978" t="inlineStr">
        <is>
          <t>DICIEMBRE 2025</t>
        </is>
      </c>
      <c r="L3978" t="inlineStr">
        <is>
          <t>DICIEMBRE 2026</t>
        </is>
      </c>
      <c r="M3978" t="inlineStr">
        <is>
          <t xml:space="preserve">PQS TIPO ABC AL 75% </t>
        </is>
      </c>
      <c r="N3978" t="inlineStr">
        <is>
          <t>26/000015</t>
        </is>
      </c>
      <c r="O3978" t="inlineStr">
        <is>
          <t>R</t>
        </is>
      </c>
      <c r="P3978">
        <f>TRIM(N3978)</f>
        <v/>
      </c>
    </row>
    <row r="3979">
      <c r="A3979" t="inlineStr">
        <is>
          <t>CO-002573</t>
        </is>
      </c>
      <c r="B3979" t="inlineStr">
        <is>
          <t>GACSA PERU S.A.C.</t>
        </is>
      </c>
      <c r="C3979" t="n">
        <v>20602629067</v>
      </c>
      <c r="D3979" t="inlineStr">
        <is>
          <t>NISSAN ALMACEN LA MOLINA</t>
        </is>
      </c>
      <c r="E3979" t="inlineStr">
        <is>
          <t>Lima, 18 de diciembre del 2025</t>
        </is>
      </c>
      <c r="F3979" t="inlineStr">
        <is>
          <t>la Recarga y mantenimiento</t>
        </is>
      </c>
      <c r="G3979" t="inlineStr">
        <is>
          <t>02</t>
        </is>
      </c>
      <c r="H3979" t="inlineStr">
        <is>
          <t>12 KG</t>
        </is>
      </c>
      <c r="I3979" t="inlineStr">
        <is>
          <t>2030</t>
        </is>
      </c>
      <c r="J3979" t="n">
        <v>2012</v>
      </c>
      <c r="K3979" t="inlineStr">
        <is>
          <t>DICIEMBRE 2025</t>
        </is>
      </c>
      <c r="L3979" t="inlineStr">
        <is>
          <t>DICIEMBRE 2026</t>
        </is>
      </c>
      <c r="M3979" t="inlineStr">
        <is>
          <t xml:space="preserve">PQS TIPO ABC AL 75% </t>
        </is>
      </c>
      <c r="N3979" t="inlineStr">
        <is>
          <t>27/004875</t>
        </is>
      </c>
      <c r="O3979" t="inlineStr">
        <is>
          <t>R</t>
        </is>
      </c>
      <c r="P3979">
        <f>TRIM(N3979)</f>
        <v/>
      </c>
    </row>
    <row r="3980">
      <c r="A3980" t="inlineStr">
        <is>
          <t>CO-002573</t>
        </is>
      </c>
      <c r="B3980" t="inlineStr">
        <is>
          <t>GACSA PERU S.A.C.</t>
        </is>
      </c>
      <c r="C3980" t="n">
        <v>20602629067</v>
      </c>
      <c r="D3980" t="inlineStr">
        <is>
          <t>NISSAN ALMACEN LA MOLINA</t>
        </is>
      </c>
      <c r="E3980" t="inlineStr">
        <is>
          <t>Lima, 18 de diciembre del 2025</t>
        </is>
      </c>
      <c r="F3980" t="inlineStr">
        <is>
          <t>la Recarga y mantenimiento</t>
        </is>
      </c>
      <c r="G3980" t="inlineStr">
        <is>
          <t>03</t>
        </is>
      </c>
      <c r="H3980" t="inlineStr">
        <is>
          <t>12 KG</t>
        </is>
      </c>
      <c r="I3980" t="n">
        <v>2030</v>
      </c>
      <c r="J3980" t="n">
        <v>2015</v>
      </c>
      <c r="K3980" t="inlineStr">
        <is>
          <t>DICIEMBRE 2025</t>
        </is>
      </c>
      <c r="L3980" t="inlineStr">
        <is>
          <t>DICIEMBRE 2026</t>
        </is>
      </c>
      <c r="M3980" t="inlineStr">
        <is>
          <t xml:space="preserve">PQS TIPO ABC AL 75% </t>
        </is>
      </c>
      <c r="N3980" t="inlineStr">
        <is>
          <t>28/000220</t>
        </is>
      </c>
      <c r="O3980" t="inlineStr">
        <is>
          <t>R</t>
        </is>
      </c>
      <c r="P3980">
        <f>TRIM(N3980)</f>
        <v/>
      </c>
    </row>
    <row r="3981">
      <c r="A3981" t="inlineStr">
        <is>
          <t>CO-002573</t>
        </is>
      </c>
      <c r="B3981" t="inlineStr">
        <is>
          <t>GACSA PERU S.A.C.</t>
        </is>
      </c>
      <c r="C3981" t="n">
        <v>20602629067</v>
      </c>
      <c r="D3981" t="inlineStr">
        <is>
          <t>NISSAN ALMACEN LA MOLINA</t>
        </is>
      </c>
      <c r="E3981" t="inlineStr">
        <is>
          <t>Lima, 18 de diciembre del 2025</t>
        </is>
      </c>
      <c r="F3981" t="inlineStr">
        <is>
          <t>la Recarga y mantenimiento</t>
        </is>
      </c>
      <c r="G3981" t="inlineStr">
        <is>
          <t>04</t>
        </is>
      </c>
      <c r="H3981" t="inlineStr">
        <is>
          <t>12 KG</t>
        </is>
      </c>
      <c r="I3981" t="n">
        <v>2030</v>
      </c>
      <c r="J3981" t="n">
        <v>2015</v>
      </c>
      <c r="K3981" t="inlineStr">
        <is>
          <t>DICIEMBRE 2025</t>
        </is>
      </c>
      <c r="L3981" t="inlineStr">
        <is>
          <t>DICIEMBRE 2026</t>
        </is>
      </c>
      <c r="M3981" t="inlineStr">
        <is>
          <t xml:space="preserve">PQS TIPO ABC AL 75% </t>
        </is>
      </c>
      <c r="N3981" t="inlineStr">
        <is>
          <t>29/000147</t>
        </is>
      </c>
      <c r="O3981" t="inlineStr">
        <is>
          <t>R</t>
        </is>
      </c>
      <c r="P3981">
        <f>TRIM(N3981)</f>
        <v/>
      </c>
    </row>
    <row r="3982">
      <c r="A3982" t="inlineStr">
        <is>
          <t>CO-002574</t>
        </is>
      </c>
      <c r="B3982" t="inlineStr">
        <is>
          <t>TEODOCIA FIAFILIO BION DE ROJAS</t>
        </is>
      </c>
      <c r="C3982" t="inlineStr">
        <is>
          <t>06891720</t>
        </is>
      </c>
      <c r="D3982" t="inlineStr">
        <is>
          <t>MERCADO ALBORADA PUESTO N° 039</t>
        </is>
      </c>
      <c r="E3982" t="inlineStr">
        <is>
          <t>Lima, 19 de diciembre del 2025</t>
        </is>
      </c>
      <c r="F3982" t="inlineStr">
        <is>
          <t xml:space="preserve">La venta </t>
        </is>
      </c>
      <c r="G3982" t="inlineStr">
        <is>
          <t>01</t>
        </is>
      </c>
      <c r="H3982" t="inlineStr">
        <is>
          <t xml:space="preserve">04 KG </t>
        </is>
      </c>
      <c r="I3982" t="inlineStr">
        <is>
          <t>2030</t>
        </is>
      </c>
      <c r="J3982" t="n">
        <v>2025</v>
      </c>
      <c r="K3982" t="inlineStr">
        <is>
          <t>DICIEMBRE 2025</t>
        </is>
      </c>
      <c r="L3982" t="inlineStr">
        <is>
          <t>DICIEMBRE 2026</t>
        </is>
      </c>
      <c r="M3982" t="inlineStr">
        <is>
          <t>P.Q.S TIPO ABC</t>
        </is>
      </c>
      <c r="N3982" t="inlineStr">
        <is>
          <t>01/000584</t>
        </is>
      </c>
      <c r="O3982" t="inlineStr">
        <is>
          <t>V</t>
        </is>
      </c>
      <c r="P3982">
        <f>TRIM(N3982)</f>
        <v/>
      </c>
    </row>
    <row r="3983">
      <c r="A3983" t="inlineStr">
        <is>
          <t>CO-002575</t>
        </is>
      </c>
      <c r="B3983" t="inlineStr">
        <is>
          <t>BRITISH AMERICAN HOSPITAL S.A. - CLINICA ANGLOAMERICANA</t>
        </is>
      </c>
      <c r="C3983" t="inlineStr">
        <is>
          <t>20107695584</t>
        </is>
      </c>
      <c r="D3983" t="inlineStr">
        <is>
          <t>Av. Conquistadores N° 638 Int. 3</t>
        </is>
      </c>
      <c r="E3983" t="inlineStr">
        <is>
          <t>Lima, 22 de diciembre del 2025</t>
        </is>
      </c>
      <c r="F3983" t="inlineStr">
        <is>
          <t>la Recarga y mantenimiento</t>
        </is>
      </c>
      <c r="G3983" t="inlineStr">
        <is>
          <t>01</t>
        </is>
      </c>
      <c r="H3983" t="inlineStr">
        <is>
          <t>06 KG</t>
        </is>
      </c>
      <c r="I3983" t="inlineStr">
        <is>
          <t>2027</t>
        </is>
      </c>
      <c r="J3983" t="n">
        <v>2022</v>
      </c>
      <c r="K3983" t="inlineStr">
        <is>
          <t>DICIEMBRE 2025</t>
        </is>
      </c>
      <c r="L3983" t="inlineStr">
        <is>
          <t>DICIEMBRE 2026</t>
        </is>
      </c>
      <c r="M3983" t="inlineStr">
        <is>
          <t xml:space="preserve">PQS TIPO ABC AL 75% </t>
        </is>
      </c>
      <c r="N3983" t="inlineStr">
        <is>
          <t>07/009923</t>
        </is>
      </c>
      <c r="O3983" t="inlineStr">
        <is>
          <t>R</t>
        </is>
      </c>
      <c r="P3983">
        <f>TRIM(N3983)</f>
        <v/>
      </c>
    </row>
    <row r="3984">
      <c r="A3984" t="inlineStr">
        <is>
          <t>CO-002576</t>
        </is>
      </c>
      <c r="B3984" t="inlineStr">
        <is>
          <t>PERU MASIVO S.A - BUSES</t>
        </is>
      </c>
      <c r="C3984" t="inlineStr">
        <is>
          <t>20492392031</t>
        </is>
      </c>
      <c r="D3984" t="inlineStr">
        <is>
          <t>AV. LOS INCAS CDRA. 4 PATIO NORTE - COMAS</t>
        </is>
      </c>
      <c r="E3984" t="inlineStr">
        <is>
          <t>Lima, 24 de diciembre del 2025</t>
        </is>
      </c>
      <c r="F3984" t="inlineStr">
        <is>
          <t>la Recarga y mantenimiento</t>
        </is>
      </c>
      <c r="G3984" t="inlineStr">
        <is>
          <t>01</t>
        </is>
      </c>
      <c r="H3984" t="inlineStr">
        <is>
          <t>06 KG</t>
        </is>
      </c>
      <c r="I3984" t="inlineStr">
        <is>
          <t>2028</t>
        </is>
      </c>
      <c r="J3984" t="n">
        <v>2009</v>
      </c>
      <c r="K3984" t="inlineStr">
        <is>
          <t>DICIEMBRE 2025</t>
        </is>
      </c>
      <c r="L3984" t="inlineStr">
        <is>
          <t>DICIEMBRE 2026</t>
        </is>
      </c>
      <c r="M3984" t="inlineStr">
        <is>
          <t>P.Q.S.  TIPO ABC  90% NACIONAL</t>
        </is>
      </c>
      <c r="N3984" t="inlineStr">
        <is>
          <t>221/001544</t>
        </is>
      </c>
      <c r="O3984" t="inlineStr">
        <is>
          <t>R</t>
        </is>
      </c>
      <c r="P3984">
        <f>TRIM(N3984)</f>
        <v/>
      </c>
    </row>
    <row r="3985">
      <c r="A3985" t="inlineStr">
        <is>
          <t>CO-002576</t>
        </is>
      </c>
      <c r="B3985" t="inlineStr">
        <is>
          <t>PERU MASIVO S.A - BUSES</t>
        </is>
      </c>
      <c r="C3985" t="inlineStr">
        <is>
          <t>20492392031</t>
        </is>
      </c>
      <c r="D3985" t="inlineStr">
        <is>
          <t>AV. LOS INCAS CDRA. 4 PATIO NORTE - COMAS</t>
        </is>
      </c>
      <c r="E3985" t="inlineStr">
        <is>
          <t>Lima, 24 de diciembre del 2025</t>
        </is>
      </c>
      <c r="F3985" t="inlineStr">
        <is>
          <t>la Recarga y mantenimiento</t>
        </is>
      </c>
      <c r="G3985" t="inlineStr">
        <is>
          <t>02</t>
        </is>
      </c>
      <c r="H3985" t="inlineStr">
        <is>
          <t>06 KG</t>
        </is>
      </c>
      <c r="I3985" t="inlineStr">
        <is>
          <t>2028</t>
        </is>
      </c>
      <c r="J3985" t="n">
        <v>2027</v>
      </c>
      <c r="K3985" t="inlineStr">
        <is>
          <t>DICIEMBRE 2025</t>
        </is>
      </c>
      <c r="L3985" t="inlineStr">
        <is>
          <t>DICIEMBRE 2026</t>
        </is>
      </c>
      <c r="M3985" t="inlineStr">
        <is>
          <t>P.Q.S.  TIPO ABC  90% NACIONAL</t>
        </is>
      </c>
      <c r="N3985" t="inlineStr">
        <is>
          <t>326/000483</t>
        </is>
      </c>
      <c r="O3985" t="inlineStr">
        <is>
          <t>R</t>
        </is>
      </c>
      <c r="P3985">
        <f>TRIM(N3985)</f>
        <v/>
      </c>
    </row>
    <row r="3986">
      <c r="A3986" t="inlineStr">
        <is>
          <t>CO-002576</t>
        </is>
      </c>
      <c r="B3986" t="inlineStr">
        <is>
          <t>PERU MASIVO S.A - BUSES</t>
        </is>
      </c>
      <c r="C3986" t="inlineStr">
        <is>
          <t>20492392031</t>
        </is>
      </c>
      <c r="D3986" t="inlineStr">
        <is>
          <t>AV. LOS INCAS CDRA. 4 PATIO NORTE - COMAS</t>
        </is>
      </c>
      <c r="E3986" t="inlineStr">
        <is>
          <t>Lima, 24 de diciembre del 2025</t>
        </is>
      </c>
      <c r="F3986" t="inlineStr">
        <is>
          <t>la Recarga y mantenimiento</t>
        </is>
      </c>
      <c r="G3986" t="inlineStr">
        <is>
          <t>03</t>
        </is>
      </c>
      <c r="H3986" t="inlineStr">
        <is>
          <t>06 KG</t>
        </is>
      </c>
      <c r="I3986" t="n">
        <v>2028</v>
      </c>
      <c r="J3986" t="n">
        <v>2010</v>
      </c>
      <c r="K3986" t="inlineStr">
        <is>
          <t>DICIEMBRE 2025</t>
        </is>
      </c>
      <c r="L3986" t="inlineStr">
        <is>
          <t>DICIEMBRE 2026</t>
        </is>
      </c>
      <c r="M3986" t="inlineStr">
        <is>
          <t>P.Q.S.  TIPO ABC  90% NACIONAL</t>
        </is>
      </c>
      <c r="N3986" t="inlineStr">
        <is>
          <t>255/000108</t>
        </is>
      </c>
      <c r="O3986" t="inlineStr">
        <is>
          <t>R</t>
        </is>
      </c>
      <c r="P3986">
        <f>TRIM(N3986)</f>
        <v/>
      </c>
    </row>
    <row r="3987">
      <c r="A3987" t="inlineStr">
        <is>
          <t>CO-002576</t>
        </is>
      </c>
      <c r="B3987" t="inlineStr">
        <is>
          <t>PERU MASIVO S.A - BUSES</t>
        </is>
      </c>
      <c r="C3987" t="inlineStr">
        <is>
          <t>20492392031</t>
        </is>
      </c>
      <c r="D3987" t="inlineStr">
        <is>
          <t>AV. LOS INCAS CDRA. 4 PATIO NORTE - COMAS</t>
        </is>
      </c>
      <c r="E3987" t="inlineStr">
        <is>
          <t>Lima, 24 de diciembre del 2025</t>
        </is>
      </c>
      <c r="F3987" t="inlineStr">
        <is>
          <t>la Recarga y mantenimiento</t>
        </is>
      </c>
      <c r="G3987" t="inlineStr">
        <is>
          <t>04</t>
        </is>
      </c>
      <c r="H3987" t="inlineStr">
        <is>
          <t>06 KG</t>
        </is>
      </c>
      <c r="I3987" t="n">
        <v>2028</v>
      </c>
      <c r="J3987" t="n">
        <v>2009</v>
      </c>
      <c r="K3987" t="inlineStr">
        <is>
          <t>DICIEMBRE 2025</t>
        </is>
      </c>
      <c r="L3987" t="inlineStr">
        <is>
          <t>DICIEMBRE 2026</t>
        </is>
      </c>
      <c r="M3987" t="inlineStr">
        <is>
          <t>P.Q.S.  TIPO ABC  90% NACIONAL</t>
        </is>
      </c>
      <c r="N3987" t="inlineStr">
        <is>
          <t>212/ 003073</t>
        </is>
      </c>
      <c r="O3987" t="inlineStr">
        <is>
          <t>R</t>
        </is>
      </c>
      <c r="P3987">
        <f>TRIM(N3987)</f>
        <v/>
      </c>
    </row>
    <row r="3988">
      <c r="A3988" t="inlineStr">
        <is>
          <t>CO-002576</t>
        </is>
      </c>
      <c r="B3988" t="inlineStr">
        <is>
          <t>PERU MASIVO S.A - BUSES</t>
        </is>
      </c>
      <c r="C3988" t="inlineStr">
        <is>
          <t>20492392031</t>
        </is>
      </c>
      <c r="D3988" t="inlineStr">
        <is>
          <t>AV. LOS INCAS CDRA. 4 PATIO NORTE - COMAS</t>
        </is>
      </c>
      <c r="E3988" t="inlineStr">
        <is>
          <t>Lima, 24 de diciembre del 2025</t>
        </is>
      </c>
      <c r="F3988" t="inlineStr">
        <is>
          <t>la Recarga y mantenimiento</t>
        </is>
      </c>
      <c r="G3988" t="inlineStr">
        <is>
          <t>05</t>
        </is>
      </c>
      <c r="H3988" t="inlineStr">
        <is>
          <t>06 KG</t>
        </is>
      </c>
      <c r="I3988" t="n">
        <v>2028</v>
      </c>
      <c r="J3988" t="n">
        <v>2009</v>
      </c>
      <c r="K3988" t="inlineStr">
        <is>
          <t>DICIEMBRE 2025</t>
        </is>
      </c>
      <c r="L3988" t="inlineStr">
        <is>
          <t>DICIEMBRE 2026</t>
        </is>
      </c>
      <c r="M3988" t="inlineStr">
        <is>
          <t>P.Q.S.  TIPO ABC  90% NACIONAL</t>
        </is>
      </c>
      <c r="N3988" t="inlineStr">
        <is>
          <t>142/000123</t>
        </is>
      </c>
      <c r="O3988" t="inlineStr">
        <is>
          <t>R</t>
        </is>
      </c>
      <c r="P3988">
        <f>TRIM(N3988)</f>
        <v/>
      </c>
    </row>
    <row r="3989">
      <c r="A3989" t="inlineStr">
        <is>
          <t>CO-002576</t>
        </is>
      </c>
      <c r="B3989" t="inlineStr">
        <is>
          <t>PERU MASIVO S.A - BUSES</t>
        </is>
      </c>
      <c r="C3989" t="inlineStr">
        <is>
          <t>20492392031</t>
        </is>
      </c>
      <c r="D3989" t="inlineStr">
        <is>
          <t>AV. LOS INCAS CDRA. 4 PATIO NORTE - COMAS</t>
        </is>
      </c>
      <c r="E3989" t="inlineStr">
        <is>
          <t>Lima, 24 de diciembre del 2025</t>
        </is>
      </c>
      <c r="F3989" t="inlineStr">
        <is>
          <t>la Recarga y mantenimiento</t>
        </is>
      </c>
      <c r="G3989" t="inlineStr">
        <is>
          <t>06</t>
        </is>
      </c>
      <c r="H3989" t="inlineStr">
        <is>
          <t>06 KG</t>
        </is>
      </c>
      <c r="I3989" t="n">
        <v>2028</v>
      </c>
      <c r="J3989" t="n">
        <v>2009</v>
      </c>
      <c r="K3989" t="inlineStr">
        <is>
          <t>DICIEMBRE 2025</t>
        </is>
      </c>
      <c r="L3989" t="inlineStr">
        <is>
          <t>DICIEMBRE 2026</t>
        </is>
      </c>
      <c r="M3989" t="inlineStr">
        <is>
          <t>P.Q.S.  TIPO ABC  90% NACIONAL</t>
        </is>
      </c>
      <c r="N3989" t="inlineStr">
        <is>
          <t>34/001548</t>
        </is>
      </c>
      <c r="O3989" t="inlineStr">
        <is>
          <t>R</t>
        </is>
      </c>
      <c r="P3989">
        <f>TRIM(N3989)</f>
        <v/>
      </c>
    </row>
    <row r="3990">
      <c r="A3990" t="inlineStr">
        <is>
          <t>CO-002576</t>
        </is>
      </c>
      <c r="B3990" t="inlineStr">
        <is>
          <t>PERU MASIVO S.A - BUSES</t>
        </is>
      </c>
      <c r="C3990" t="inlineStr">
        <is>
          <t>20492392031</t>
        </is>
      </c>
      <c r="D3990" t="inlineStr">
        <is>
          <t>AV. LOS INCAS CDRA. 4 PATIO NORTE - COMAS</t>
        </is>
      </c>
      <c r="E3990" t="inlineStr">
        <is>
          <t>Lima, 24 de diciembre del 2025</t>
        </is>
      </c>
      <c r="F3990" t="inlineStr">
        <is>
          <t>la Recarga y mantenimiento</t>
        </is>
      </c>
      <c r="G3990" t="inlineStr">
        <is>
          <t>07</t>
        </is>
      </c>
      <c r="H3990" t="inlineStr">
        <is>
          <t>06 KG</t>
        </is>
      </c>
      <c r="I3990" t="n">
        <v>2028</v>
      </c>
      <c r="J3990" t="n">
        <v>2009</v>
      </c>
      <c r="K3990" t="inlineStr">
        <is>
          <t>DICIEMBRE 2025</t>
        </is>
      </c>
      <c r="L3990" t="inlineStr">
        <is>
          <t>DICIEMBRE 2026</t>
        </is>
      </c>
      <c r="M3990" t="inlineStr">
        <is>
          <t>P.Q.S.  TIPO ABC  90% NACIONAL</t>
        </is>
      </c>
      <c r="N3990" t="inlineStr">
        <is>
          <t>303/001225</t>
        </is>
      </c>
      <c r="O3990" t="inlineStr">
        <is>
          <t>R</t>
        </is>
      </c>
      <c r="P3990">
        <f>TRIM(N3990)</f>
        <v/>
      </c>
    </row>
    <row r="3991">
      <c r="A3991" t="inlineStr">
        <is>
          <t>CO-002576</t>
        </is>
      </c>
      <c r="B3991" t="inlineStr">
        <is>
          <t>PERU MASIVO S.A - BUSES</t>
        </is>
      </c>
      <c r="C3991" t="inlineStr">
        <is>
          <t>20492392031</t>
        </is>
      </c>
      <c r="D3991" t="inlineStr">
        <is>
          <t>AV. LOS INCAS CDRA. 4 PATIO NORTE - COMAS</t>
        </is>
      </c>
      <c r="E3991" t="inlineStr">
        <is>
          <t>Lima, 24 de diciembre del 2025</t>
        </is>
      </c>
      <c r="F3991" t="inlineStr">
        <is>
          <t>la Recarga y mantenimiento</t>
        </is>
      </c>
      <c r="G3991" t="inlineStr">
        <is>
          <t>08</t>
        </is>
      </c>
      <c r="H3991" t="inlineStr">
        <is>
          <t>06 KG</t>
        </is>
      </c>
      <c r="I3991" t="n">
        <v>2028</v>
      </c>
      <c r="J3991" t="n">
        <v>2010</v>
      </c>
      <c r="K3991" t="inlineStr">
        <is>
          <t>DICIEMBRE 2025</t>
        </is>
      </c>
      <c r="L3991" t="inlineStr">
        <is>
          <t>DICIEMBRE 2026</t>
        </is>
      </c>
      <c r="M3991" t="inlineStr">
        <is>
          <t>P.Q.S.  TIPO ABC  90% NACIONAL</t>
        </is>
      </c>
      <c r="N3991" t="inlineStr">
        <is>
          <t>58/000312</t>
        </is>
      </c>
      <c r="O3991" t="inlineStr">
        <is>
          <t>R</t>
        </is>
      </c>
      <c r="P3991">
        <f>TRIM(N3991)</f>
        <v/>
      </c>
    </row>
    <row r="3992">
      <c r="A3992" t="inlineStr">
        <is>
          <t>CO-002576</t>
        </is>
      </c>
      <c r="B3992" t="inlineStr">
        <is>
          <t>PERU MASIVO S.A - BUSES</t>
        </is>
      </c>
      <c r="C3992" t="inlineStr">
        <is>
          <t>20492392031</t>
        </is>
      </c>
      <c r="D3992" t="inlineStr">
        <is>
          <t>AV. LOS INCAS CDRA. 4 PATIO NORTE - COMAS</t>
        </is>
      </c>
      <c r="E3992" t="inlineStr">
        <is>
          <t>Lima, 24 de diciembre del 2025</t>
        </is>
      </c>
      <c r="F3992" t="inlineStr">
        <is>
          <t>la Recarga y mantenimiento</t>
        </is>
      </c>
      <c r="G3992" t="inlineStr">
        <is>
          <t>09</t>
        </is>
      </c>
      <c r="H3992" t="inlineStr">
        <is>
          <t>06 KG</t>
        </is>
      </c>
      <c r="I3992" t="n">
        <v>2028</v>
      </c>
      <c r="J3992" t="n">
        <v>2017</v>
      </c>
      <c r="K3992" t="inlineStr">
        <is>
          <t>DICIEMBRE 2025</t>
        </is>
      </c>
      <c r="L3992" t="inlineStr">
        <is>
          <t>DICIEMBRE 2026</t>
        </is>
      </c>
      <c r="M3992" t="inlineStr">
        <is>
          <t>P.Q.S.  TIPO ABC  90% NACIONAL</t>
        </is>
      </c>
      <c r="N3992" t="inlineStr">
        <is>
          <t>329/003884</t>
        </is>
      </c>
      <c r="O3992" t="inlineStr">
        <is>
          <t>R</t>
        </is>
      </c>
      <c r="P3992">
        <f>TRIM(N3992)</f>
        <v/>
      </c>
    </row>
    <row r="3993">
      <c r="A3993" t="inlineStr">
        <is>
          <t>CO-002576</t>
        </is>
      </c>
      <c r="B3993" t="inlineStr">
        <is>
          <t>PERU MASIVO S.A - BUSES</t>
        </is>
      </c>
      <c r="C3993" t="inlineStr">
        <is>
          <t>20492392031</t>
        </is>
      </c>
      <c r="D3993" t="inlineStr">
        <is>
          <t>AV. LOS INCAS CDRA. 4 PATIO NORTE - COMAS</t>
        </is>
      </c>
      <c r="E3993" t="inlineStr">
        <is>
          <t>Lima, 24 de diciembre del 2025</t>
        </is>
      </c>
      <c r="F3993" t="inlineStr">
        <is>
          <t>la Recarga y mantenimiento</t>
        </is>
      </c>
      <c r="G3993" t="n">
        <v>10</v>
      </c>
      <c r="H3993" t="inlineStr">
        <is>
          <t>06 KG</t>
        </is>
      </c>
      <c r="I3993" t="n">
        <v>2028</v>
      </c>
      <c r="J3993" t="n">
        <v>2010</v>
      </c>
      <c r="K3993" t="inlineStr">
        <is>
          <t>DICIEMBRE 2025</t>
        </is>
      </c>
      <c r="L3993" t="inlineStr">
        <is>
          <t>DICIEMBRE 2026</t>
        </is>
      </c>
      <c r="M3993" t="inlineStr">
        <is>
          <t>P.Q.S.  TIPO ABC  90% NACIONAL</t>
        </is>
      </c>
      <c r="N3993" t="inlineStr">
        <is>
          <t>340/000005</t>
        </is>
      </c>
      <c r="O3993" t="inlineStr">
        <is>
          <t>R</t>
        </is>
      </c>
      <c r="P3993">
        <f>TRIM(N3993)</f>
        <v/>
      </c>
    </row>
    <row r="3994">
      <c r="A3994" t="inlineStr">
        <is>
          <t>CO-002576</t>
        </is>
      </c>
      <c r="B3994" t="inlineStr">
        <is>
          <t>PERU MASIVO S.A - BUSES</t>
        </is>
      </c>
      <c r="C3994" t="inlineStr">
        <is>
          <t>20492392031</t>
        </is>
      </c>
      <c r="D3994" t="inlineStr">
        <is>
          <t>AV. LOS INCAS CDRA. 4 PATIO NORTE - COMAS</t>
        </is>
      </c>
      <c r="E3994" t="inlineStr">
        <is>
          <t>Lima, 24 de diciembre del 2025</t>
        </is>
      </c>
      <c r="F3994" t="inlineStr">
        <is>
          <t>la Recarga y mantenimiento</t>
        </is>
      </c>
      <c r="G3994" t="n">
        <v>11</v>
      </c>
      <c r="H3994" t="inlineStr">
        <is>
          <t>06 KG</t>
        </is>
      </c>
      <c r="I3994" t="n">
        <v>2028</v>
      </c>
      <c r="J3994" t="n">
        <v>2011</v>
      </c>
      <c r="K3994" t="inlineStr">
        <is>
          <t>DICIEMBRE 2025</t>
        </is>
      </c>
      <c r="L3994" t="inlineStr">
        <is>
          <t>DICIEMBRE 2026</t>
        </is>
      </c>
      <c r="M3994" t="inlineStr">
        <is>
          <t>P.Q.S.  TIPO ABC  90% NACIONAL</t>
        </is>
      </c>
      <c r="N3994" t="inlineStr">
        <is>
          <t>349/000006</t>
        </is>
      </c>
      <c r="O3994" t="inlineStr">
        <is>
          <t>R</t>
        </is>
      </c>
      <c r="P3994">
        <f>TRIM(N3994)</f>
        <v/>
      </c>
    </row>
    <row r="3995">
      <c r="A3995" t="inlineStr">
        <is>
          <t>CO-002576</t>
        </is>
      </c>
      <c r="B3995" t="inlineStr">
        <is>
          <t>PERU MASIVO S.A - BUSES</t>
        </is>
      </c>
      <c r="C3995" t="inlineStr">
        <is>
          <t>20492392031</t>
        </is>
      </c>
      <c r="D3995" t="inlineStr">
        <is>
          <t>AV. LOS INCAS CDRA. 4 PATIO NORTE - COMAS</t>
        </is>
      </c>
      <c r="E3995" t="inlineStr">
        <is>
          <t>Lima, 24 de diciembre del 2025</t>
        </is>
      </c>
      <c r="F3995" t="inlineStr">
        <is>
          <t>la Recarga y mantenimiento</t>
        </is>
      </c>
      <c r="G3995" t="n">
        <v>12</v>
      </c>
      <c r="H3995" t="inlineStr">
        <is>
          <t>06 KG</t>
        </is>
      </c>
      <c r="I3995" t="n">
        <v>2028</v>
      </c>
      <c r="J3995" t="n">
        <v>2012</v>
      </c>
      <c r="K3995" t="inlineStr">
        <is>
          <t>DICIEMBRE 2025</t>
        </is>
      </c>
      <c r="L3995" t="inlineStr">
        <is>
          <t>DICIEMBRE 2026</t>
        </is>
      </c>
      <c r="M3995" t="inlineStr">
        <is>
          <t>P.Q.S.  TIPO ABC  90% NACIONAL</t>
        </is>
      </c>
      <c r="N3995" t="inlineStr">
        <is>
          <t>399/000553</t>
        </is>
      </c>
      <c r="O3995" t="inlineStr">
        <is>
          <t>R</t>
        </is>
      </c>
      <c r="P3995">
        <f>TRIM(N3995)</f>
        <v/>
      </c>
    </row>
    <row r="3996">
      <c r="A3996" t="inlineStr">
        <is>
          <t>CO-002576</t>
        </is>
      </c>
      <c r="B3996" t="inlineStr">
        <is>
          <t>PERU MASIVO S.A - BUSES</t>
        </is>
      </c>
      <c r="C3996" t="inlineStr">
        <is>
          <t>20492392031</t>
        </is>
      </c>
      <c r="D3996" t="inlineStr">
        <is>
          <t>AV. LOS INCAS CDRA. 4 PATIO NORTE - COMAS</t>
        </is>
      </c>
      <c r="E3996" t="inlineStr">
        <is>
          <t>Lima, 24 de diciembre del 2025</t>
        </is>
      </c>
      <c r="F3996" t="inlineStr">
        <is>
          <t>la Recarga y mantenimiento</t>
        </is>
      </c>
      <c r="G3996" t="n">
        <v>13</v>
      </c>
      <c r="H3996" t="inlineStr">
        <is>
          <t>06 KG</t>
        </is>
      </c>
      <c r="I3996" t="n">
        <v>2029</v>
      </c>
      <c r="J3996" t="n">
        <v>2024</v>
      </c>
      <c r="K3996" t="inlineStr">
        <is>
          <t>DICIEMBRE 2025</t>
        </is>
      </c>
      <c r="L3996" t="inlineStr">
        <is>
          <t>DICIEMBRE 2026</t>
        </is>
      </c>
      <c r="M3996" t="inlineStr">
        <is>
          <t>P.Q.S.  TIPO ABC  90% NACIONAL</t>
        </is>
      </c>
      <c r="N3996" t="inlineStr">
        <is>
          <t>146/002987</t>
        </is>
      </c>
      <c r="O3996" t="inlineStr">
        <is>
          <t>R</t>
        </is>
      </c>
      <c r="P3996">
        <f>TRIM(N3996)</f>
        <v/>
      </c>
    </row>
    <row r="3997">
      <c r="A3997" t="inlineStr">
        <is>
          <t>CO-002576</t>
        </is>
      </c>
      <c r="B3997" t="inlineStr">
        <is>
          <t>PERU MASIVO S.A - BUSES</t>
        </is>
      </c>
      <c r="C3997" t="inlineStr">
        <is>
          <t>20492392031</t>
        </is>
      </c>
      <c r="D3997" t="inlineStr">
        <is>
          <t>AV. LOS INCAS CDRA. 4 PATIO NORTE - COMAS</t>
        </is>
      </c>
      <c r="E3997" t="inlineStr">
        <is>
          <t>Lima, 24 de diciembre del 2025</t>
        </is>
      </c>
      <c r="F3997" t="inlineStr">
        <is>
          <t>la Recarga y mantenimiento</t>
        </is>
      </c>
      <c r="G3997" t="n">
        <v>14</v>
      </c>
      <c r="H3997" t="inlineStr">
        <is>
          <t>06 KG</t>
        </is>
      </c>
      <c r="I3997" t="n">
        <v>2028</v>
      </c>
      <c r="J3997" t="n">
        <v>2010</v>
      </c>
      <c r="K3997" t="inlineStr">
        <is>
          <t>DICIEMBRE 2025</t>
        </is>
      </c>
      <c r="L3997" t="inlineStr">
        <is>
          <t>DICIEMBRE 2026</t>
        </is>
      </c>
      <c r="M3997" t="inlineStr">
        <is>
          <t>P.Q.S.  TIPO ABC  90% NACIONAL</t>
        </is>
      </c>
      <c r="N3997" t="inlineStr">
        <is>
          <t>336/000307</t>
        </is>
      </c>
      <c r="O3997" t="inlineStr">
        <is>
          <t>R</t>
        </is>
      </c>
      <c r="P3997">
        <f>TRIM(N3997)</f>
        <v/>
      </c>
    </row>
    <row r="3998">
      <c r="A3998" t="inlineStr">
        <is>
          <t>CO-002576</t>
        </is>
      </c>
      <c r="B3998" t="inlineStr">
        <is>
          <t>PERU MASIVO S.A - BUSES</t>
        </is>
      </c>
      <c r="C3998" t="inlineStr">
        <is>
          <t>20492392031</t>
        </is>
      </c>
      <c r="D3998" t="inlineStr">
        <is>
          <t>AV. LOS INCAS CDRA. 4 PATIO NORTE - COMAS</t>
        </is>
      </c>
      <c r="E3998" t="inlineStr">
        <is>
          <t>Lima, 24 de diciembre del 2025</t>
        </is>
      </c>
      <c r="F3998" t="inlineStr">
        <is>
          <t>la Recarga y mantenimiento</t>
        </is>
      </c>
      <c r="G3998" t="n">
        <v>15</v>
      </c>
      <c r="H3998" t="inlineStr">
        <is>
          <t>06 KG</t>
        </is>
      </c>
      <c r="I3998" t="n">
        <v>2023</v>
      </c>
      <c r="J3998" t="n">
        <v>2017</v>
      </c>
      <c r="K3998" t="inlineStr">
        <is>
          <t>DICIEMBRE 2025</t>
        </is>
      </c>
      <c r="L3998" t="inlineStr">
        <is>
          <t>DICIEMBRE 2026</t>
        </is>
      </c>
      <c r="M3998" t="inlineStr">
        <is>
          <t>P.Q.S.  TIPO ABC  90% NACIONAL</t>
        </is>
      </c>
      <c r="N3998" t="inlineStr">
        <is>
          <t>351/001638</t>
        </is>
      </c>
      <c r="O3998" t="inlineStr">
        <is>
          <t>R</t>
        </is>
      </c>
      <c r="P3998">
        <f>TRIM(N3998)</f>
        <v/>
      </c>
    </row>
    <row r="3999">
      <c r="A3999" t="inlineStr">
        <is>
          <t>CO-002577</t>
        </is>
      </c>
      <c r="B3999" t="inlineStr">
        <is>
          <t>BRITISH AMERICAN HOSPITAL S.A. - CLINICA ANGLOAMERICANA</t>
        </is>
      </c>
      <c r="C3999" t="inlineStr">
        <is>
          <t>20107695584</t>
        </is>
      </c>
      <c r="D3999" t="inlineStr">
        <is>
          <t xml:space="preserve">JR ALFREDO SALAZAR 350 - SAN ISIDRO </t>
        </is>
      </c>
      <c r="E3999" t="inlineStr">
        <is>
          <t>Lima, 24 de diciembre del 2025</t>
        </is>
      </c>
      <c r="F3999" t="inlineStr">
        <is>
          <t>La Venta</t>
        </is>
      </c>
      <c r="G3999" t="inlineStr">
        <is>
          <t xml:space="preserve">01 </t>
        </is>
      </c>
      <c r="H3999" t="inlineStr">
        <is>
          <t>06 KG</t>
        </is>
      </c>
      <c r="I3999" t="inlineStr">
        <is>
          <t>2030</t>
        </is>
      </c>
      <c r="J3999" t="n">
        <v>2025</v>
      </c>
      <c r="K3999" t="inlineStr">
        <is>
          <t>DICIEMBRE 2025</t>
        </is>
      </c>
      <c r="L3999" t="inlineStr">
        <is>
          <t>DICIEMBRE 2026</t>
        </is>
      </c>
      <c r="M3999" t="inlineStr">
        <is>
          <t xml:space="preserve">PQS TIPO ABC AL 75% </t>
        </is>
      </c>
      <c r="N3999" t="inlineStr">
        <is>
          <t>E-033/000519</t>
        </is>
      </c>
      <c r="O3999" t="inlineStr">
        <is>
          <t>V</t>
        </is>
      </c>
      <c r="P3999">
        <f>TRIM(N3999)</f>
        <v/>
      </c>
    </row>
    <row r="4000">
      <c r="A4000" t="inlineStr">
        <is>
          <t>CO-002577</t>
        </is>
      </c>
      <c r="B4000" t="inlineStr">
        <is>
          <t>BRITISH AMERICAN HOSPITAL S.A. - CLINICA ANGLOAMERICANA</t>
        </is>
      </c>
      <c r="C4000" t="inlineStr">
        <is>
          <t>20107695584</t>
        </is>
      </c>
      <c r="D4000" t="inlineStr">
        <is>
          <t xml:space="preserve">JR ALFREDO SALAZAR 350 - SAN ISIDRO </t>
        </is>
      </c>
      <c r="E4000" t="inlineStr">
        <is>
          <t>Lima, 24 de diciembre del 2025</t>
        </is>
      </c>
      <c r="F4000" t="inlineStr">
        <is>
          <t>La Venta</t>
        </is>
      </c>
      <c r="G4000" t="inlineStr">
        <is>
          <t>02</t>
        </is>
      </c>
      <c r="H4000" t="inlineStr">
        <is>
          <t xml:space="preserve">06 KG </t>
        </is>
      </c>
      <c r="I4000" t="inlineStr">
        <is>
          <t>2030</t>
        </is>
      </c>
      <c r="J4000" t="n">
        <v>2025</v>
      </c>
      <c r="K4000" t="inlineStr">
        <is>
          <t>DICIEMBRE 2025</t>
        </is>
      </c>
      <c r="L4000" t="inlineStr">
        <is>
          <t>DICIEMBRE 2026</t>
        </is>
      </c>
      <c r="M4000" t="inlineStr">
        <is>
          <t xml:space="preserve">PQS TIPO ABC AL 75% </t>
        </is>
      </c>
      <c r="N4000" t="inlineStr">
        <is>
          <t>E-082/005808</t>
        </is>
      </c>
      <c r="O4000" t="inlineStr">
        <is>
          <t>V</t>
        </is>
      </c>
      <c r="P4000">
        <f>TRIM(N4000)</f>
        <v/>
      </c>
    </row>
    <row r="4001">
      <c r="A4001" t="inlineStr">
        <is>
          <t>CO-002577</t>
        </is>
      </c>
      <c r="B4001" t="inlineStr">
        <is>
          <t>BRITISH AMERICAN HOSPITAL S.A. - CLINICA ANGLOAMERICANA</t>
        </is>
      </c>
      <c r="C4001" t="inlineStr">
        <is>
          <t>20107695584</t>
        </is>
      </c>
      <c r="D4001" t="inlineStr">
        <is>
          <t xml:space="preserve">JR ALFREDO SALAZAR 350 - SAN ISIDRO </t>
        </is>
      </c>
      <c r="E4001" t="inlineStr">
        <is>
          <t>Lima, 24 de diciembre del 2025</t>
        </is>
      </c>
      <c r="F4001" t="inlineStr">
        <is>
          <t>La Venta</t>
        </is>
      </c>
      <c r="G4001" t="inlineStr">
        <is>
          <t>03</t>
        </is>
      </c>
      <c r="H4001" t="inlineStr">
        <is>
          <t>06 KG</t>
        </is>
      </c>
      <c r="I4001" t="n">
        <v>2030</v>
      </c>
      <c r="J4001" t="n">
        <v>2025</v>
      </c>
      <c r="K4001" t="inlineStr">
        <is>
          <t>DICIEMBRE 2025</t>
        </is>
      </c>
      <c r="L4001" t="inlineStr">
        <is>
          <t>DICIEMBRE 2026</t>
        </is>
      </c>
      <c r="M4001" t="inlineStr">
        <is>
          <t xml:space="preserve">PQS TIPO ABC AL 75% </t>
        </is>
      </c>
      <c r="N4001" t="inlineStr">
        <is>
          <t>E-038/003787</t>
        </is>
      </c>
      <c r="O4001" t="inlineStr">
        <is>
          <t>V</t>
        </is>
      </c>
      <c r="P4001">
        <f>TRIM(N4001)</f>
        <v/>
      </c>
    </row>
    <row r="4002">
      <c r="A4002" t="inlineStr">
        <is>
          <t>CO-002577</t>
        </is>
      </c>
      <c r="B4002" t="inlineStr">
        <is>
          <t>BRITISH AMERICAN HOSPITAL S.A. - CLINICA ANGLOAMERICANA</t>
        </is>
      </c>
      <c r="C4002" t="inlineStr">
        <is>
          <t>20107695584</t>
        </is>
      </c>
      <c r="D4002" t="inlineStr">
        <is>
          <t xml:space="preserve">JR ALFREDO SALAZAR 350 - SAN ISIDRO </t>
        </is>
      </c>
      <c r="E4002" t="inlineStr">
        <is>
          <t>Lima, 24 de diciembre del 2025</t>
        </is>
      </c>
      <c r="F4002" t="inlineStr">
        <is>
          <t>La Venta</t>
        </is>
      </c>
      <c r="G4002" t="inlineStr">
        <is>
          <t>04</t>
        </is>
      </c>
      <c r="H4002" t="inlineStr">
        <is>
          <t>04 KG</t>
        </is>
      </c>
      <c r="I4002" t="n">
        <v>2030</v>
      </c>
      <c r="J4002" t="n">
        <v>2025</v>
      </c>
      <c r="K4002" t="inlineStr">
        <is>
          <t>DICIEMBRE 2025</t>
        </is>
      </c>
      <c r="L4002" t="inlineStr">
        <is>
          <t>DICIEMBRE 2026</t>
        </is>
      </c>
      <c r="M4002" t="inlineStr">
        <is>
          <t xml:space="preserve">PQS TIPO ABC AL 75% </t>
        </is>
      </c>
      <c r="N4002" t="inlineStr">
        <is>
          <t>E-401/000467</t>
        </is>
      </c>
      <c r="O4002" t="inlineStr">
        <is>
          <t>V</t>
        </is>
      </c>
      <c r="P4002">
        <f>TRIM(N4002)</f>
        <v/>
      </c>
    </row>
    <row r="4003">
      <c r="A4003" t="inlineStr">
        <is>
          <t>CO-002577</t>
        </is>
      </c>
      <c r="B4003" t="inlineStr">
        <is>
          <t>BRITISH AMERICAN HOSPITAL S.A. - CLINICA ANGLOAMERICANA</t>
        </is>
      </c>
      <c r="C4003" t="inlineStr">
        <is>
          <t>20107695584</t>
        </is>
      </c>
      <c r="D4003" t="inlineStr">
        <is>
          <t xml:space="preserve">JR ALFREDO SALAZAR 350 - SAN ISIDRO </t>
        </is>
      </c>
      <c r="E4003" t="inlineStr">
        <is>
          <t>Lima, 24 de diciembre del 2025</t>
        </is>
      </c>
      <c r="F4003" t="inlineStr">
        <is>
          <t>La Venta</t>
        </is>
      </c>
      <c r="G4003" t="inlineStr">
        <is>
          <t xml:space="preserve">05 </t>
        </is>
      </c>
      <c r="H4003" t="inlineStr">
        <is>
          <t>12 KG</t>
        </is>
      </c>
      <c r="I4003" t="n">
        <v>2030</v>
      </c>
      <c r="J4003" t="n">
        <v>2025</v>
      </c>
      <c r="K4003" t="inlineStr">
        <is>
          <t>DICIEMBRE 2025</t>
        </is>
      </c>
      <c r="L4003" t="inlineStr">
        <is>
          <t>DICIEMBRE 2026</t>
        </is>
      </c>
      <c r="M4003" t="inlineStr">
        <is>
          <t xml:space="preserve">PQS TIPO ABC AL 75% </t>
        </is>
      </c>
      <c r="N4003" t="inlineStr">
        <is>
          <t xml:space="preserve">E-103/587469 </t>
        </is>
      </c>
      <c r="O4003" t="inlineStr">
        <is>
          <t>V</t>
        </is>
      </c>
      <c r="P4003">
        <f>TRIM(N4003)</f>
        <v/>
      </c>
    </row>
    <row r="4004">
      <c r="A4004" t="inlineStr">
        <is>
          <t>CO-002577</t>
        </is>
      </c>
      <c r="B4004" t="inlineStr">
        <is>
          <t>BRITISH AMERICAN HOSPITAL S.A. - CLINICA ANGLOAMERICANA</t>
        </is>
      </c>
      <c r="C4004" t="inlineStr">
        <is>
          <t>20107695584</t>
        </is>
      </c>
      <c r="D4004" t="inlineStr">
        <is>
          <t xml:space="preserve">JR ALFREDO SALAZAR 350 - SAN ISIDRO </t>
        </is>
      </c>
      <c r="E4004" t="inlineStr">
        <is>
          <t>Lima, 24 de diciembre del 2025</t>
        </is>
      </c>
      <c r="F4004" t="inlineStr">
        <is>
          <t>La Venta</t>
        </is>
      </c>
      <c r="G4004" t="inlineStr">
        <is>
          <t xml:space="preserve">06 </t>
        </is>
      </c>
      <c r="H4004" t="inlineStr">
        <is>
          <t>10 LBS</t>
        </is>
      </c>
      <c r="I4004" t="n">
        <v>2030</v>
      </c>
      <c r="J4004" t="n">
        <v>2025</v>
      </c>
      <c r="K4004" t="inlineStr">
        <is>
          <t>DICIEMBRE 2025</t>
        </is>
      </c>
      <c r="L4004" t="inlineStr">
        <is>
          <t>DICIEMBRE 2026</t>
        </is>
      </c>
      <c r="M4004" t="inlineStr">
        <is>
          <t>CO2 TIPO BC</t>
        </is>
      </c>
      <c r="N4004" t="inlineStr">
        <is>
          <t>E-168/000252</t>
        </is>
      </c>
      <c r="O4004" t="inlineStr">
        <is>
          <t>V</t>
        </is>
      </c>
      <c r="P4004">
        <f>TRIM(N4004)</f>
        <v/>
      </c>
    </row>
    <row r="4005">
      <c r="A4005" t="inlineStr">
        <is>
          <t>CO-002577</t>
        </is>
      </c>
      <c r="B4005" t="inlineStr">
        <is>
          <t>BRITISH AMERICAN HOSPITAL S.A. - CLINICA ANGLOAMERICANA</t>
        </is>
      </c>
      <c r="C4005" t="inlineStr">
        <is>
          <t>20107695584</t>
        </is>
      </c>
      <c r="D4005" t="inlineStr">
        <is>
          <t xml:space="preserve">JR ALFREDO SALAZAR 350 - SAN ISIDRO </t>
        </is>
      </c>
      <c r="E4005" t="inlineStr">
        <is>
          <t>Lima, 24 de diciembre del 2025</t>
        </is>
      </c>
      <c r="F4005" t="inlineStr">
        <is>
          <t>La Venta</t>
        </is>
      </c>
      <c r="G4005" t="inlineStr">
        <is>
          <t>07</t>
        </is>
      </c>
      <c r="H4005" t="inlineStr">
        <is>
          <t>11 LBS</t>
        </is>
      </c>
      <c r="I4005" t="n">
        <v>2028</v>
      </c>
      <c r="J4005" t="n">
        <v>2023</v>
      </c>
      <c r="K4005" t="inlineStr">
        <is>
          <t>DICIEMBRE 2025</t>
        </is>
      </c>
      <c r="L4005" t="inlineStr">
        <is>
          <t>DICIEMBRE 2026</t>
        </is>
      </c>
      <c r="M4005" t="inlineStr">
        <is>
          <t>HALOTRON</t>
        </is>
      </c>
      <c r="N4005" t="inlineStr">
        <is>
          <t>E-087/H91207364</t>
        </is>
      </c>
      <c r="O4005" t="inlineStr">
        <is>
          <t>V</t>
        </is>
      </c>
      <c r="P4005">
        <f>TRIM(N4005)</f>
        <v/>
      </c>
    </row>
    <row r="4006">
      <c r="A4006" t="inlineStr">
        <is>
          <t>CO-002577</t>
        </is>
      </c>
      <c r="B4006" t="inlineStr">
        <is>
          <t>BRITISH AMERICAN HOSPITAL S.A. - CLINICA ANGLOAMERICANA</t>
        </is>
      </c>
      <c r="C4006" t="inlineStr">
        <is>
          <t>20107695584</t>
        </is>
      </c>
      <c r="D4006" t="inlineStr">
        <is>
          <t xml:space="preserve">JR ALFREDO SALAZAR 350 - SAN ISIDRO </t>
        </is>
      </c>
      <c r="E4006" t="inlineStr">
        <is>
          <t>Lima, 24 de diciembre del 2025</t>
        </is>
      </c>
      <c r="F4006" t="inlineStr">
        <is>
          <t>La Venta</t>
        </is>
      </c>
      <c r="G4006" t="inlineStr">
        <is>
          <t>08</t>
        </is>
      </c>
      <c r="H4006" t="inlineStr">
        <is>
          <t>2.5 GLS</t>
        </is>
      </c>
      <c r="I4006" t="n">
        <v>2030</v>
      </c>
      <c r="J4006" t="n">
        <v>2025</v>
      </c>
      <c r="K4006" t="inlineStr">
        <is>
          <t>DICIEMBRE 2025</t>
        </is>
      </c>
      <c r="L4006" t="inlineStr">
        <is>
          <t>DICIEMBRE 2026</t>
        </is>
      </c>
      <c r="M4006" t="inlineStr">
        <is>
          <t>H2O PRESURIZADA</t>
        </is>
      </c>
      <c r="N4006" t="inlineStr">
        <is>
          <t>E-084/I-67036992</t>
        </is>
      </c>
      <c r="O4006" t="inlineStr">
        <is>
          <t>V</t>
        </is>
      </c>
      <c r="P4006">
        <f>TRIM(N4006)</f>
        <v/>
      </c>
    </row>
    <row r="4007">
      <c r="A4007" t="inlineStr">
        <is>
          <t>CO-002578</t>
        </is>
      </c>
      <c r="B4007" t="inlineStr">
        <is>
          <t>GACSA PERU S.A.C.</t>
        </is>
      </c>
      <c r="C4007" t="n">
        <v>20602629068</v>
      </c>
      <c r="D4007" t="inlineStr">
        <is>
          <t>HYUNDAI SHOWROOM</t>
        </is>
      </c>
      <c r="E4007" t="inlineStr">
        <is>
          <t>Lima, 26 de diciembre del 2025</t>
        </is>
      </c>
      <c r="F4007" t="inlineStr">
        <is>
          <t>la Recarga y mantenimiento</t>
        </is>
      </c>
      <c r="G4007" t="inlineStr">
        <is>
          <t xml:space="preserve">01 </t>
        </is>
      </c>
      <c r="H4007" t="inlineStr">
        <is>
          <t>12 KG</t>
        </is>
      </c>
      <c r="I4007" t="inlineStr">
        <is>
          <t>2011</t>
        </is>
      </c>
      <c r="J4007" t="n">
        <v>2026</v>
      </c>
      <c r="K4007" t="inlineStr">
        <is>
          <t>DICIEMBRE 2025</t>
        </is>
      </c>
      <c r="L4007" t="inlineStr">
        <is>
          <t>DICIEMBRE 2026</t>
        </is>
      </c>
      <c r="M4007" t="inlineStr">
        <is>
          <t xml:space="preserve">PQS TIPO ABC AL 75% </t>
        </is>
      </c>
      <c r="N4007" t="inlineStr">
        <is>
          <t>01/003130</t>
        </is>
      </c>
      <c r="O4007" t="inlineStr">
        <is>
          <t>R</t>
        </is>
      </c>
      <c r="P4007">
        <f>TRIM(N4007)</f>
        <v/>
      </c>
    </row>
    <row r="4008">
      <c r="A4008" t="inlineStr">
        <is>
          <t>CO-002578</t>
        </is>
      </c>
      <c r="B4008" t="inlineStr">
        <is>
          <t>GACSA PERU S.A.C.</t>
        </is>
      </c>
      <c r="C4008" t="n">
        <v>20602629068</v>
      </c>
      <c r="D4008" t="inlineStr">
        <is>
          <t>HYUNDAI SHOWROOM</t>
        </is>
      </c>
      <c r="E4008" t="inlineStr">
        <is>
          <t>Lima, 26 de diciembre del 2025</t>
        </is>
      </c>
      <c r="F4008" t="inlineStr">
        <is>
          <t>la Recarga y mantenimiento</t>
        </is>
      </c>
      <c r="G4008" t="inlineStr">
        <is>
          <t xml:space="preserve">02 </t>
        </is>
      </c>
      <c r="H4008" t="inlineStr">
        <is>
          <t>12 KG</t>
        </is>
      </c>
      <c r="I4008" t="inlineStr">
        <is>
          <t>2026</t>
        </is>
      </c>
      <c r="J4008" t="n">
        <v>2016</v>
      </c>
      <c r="K4008" t="inlineStr">
        <is>
          <t>DICIEMBRE 2025</t>
        </is>
      </c>
      <c r="L4008" t="inlineStr">
        <is>
          <t>DICIEMBRE 2026</t>
        </is>
      </c>
      <c r="M4008" t="inlineStr">
        <is>
          <t xml:space="preserve">PQS TIPO ABC AL 75% </t>
        </is>
      </c>
      <c r="N4008" t="inlineStr">
        <is>
          <t>02/000696</t>
        </is>
      </c>
      <c r="O4008" t="inlineStr">
        <is>
          <t>R</t>
        </is>
      </c>
      <c r="P4008">
        <f>TRIM(N4008)</f>
        <v/>
      </c>
    </row>
    <row r="4009">
      <c r="A4009" t="inlineStr">
        <is>
          <t>CO-002578</t>
        </is>
      </c>
      <c r="B4009" t="inlineStr">
        <is>
          <t>GACSA PERU S.A.C.</t>
        </is>
      </c>
      <c r="C4009" t="n">
        <v>20602629068</v>
      </c>
      <c r="D4009" t="inlineStr">
        <is>
          <t>HYUNDAI SHOWROOM</t>
        </is>
      </c>
      <c r="E4009" t="inlineStr">
        <is>
          <t>Lima, 26 de diciembre del 2025</t>
        </is>
      </c>
      <c r="F4009" t="inlineStr">
        <is>
          <t>la Recarga y mantenimiento</t>
        </is>
      </c>
      <c r="G4009" t="inlineStr">
        <is>
          <t>03</t>
        </is>
      </c>
      <c r="H4009" t="inlineStr">
        <is>
          <t>12 KG</t>
        </is>
      </c>
      <c r="I4009" t="n">
        <v>2027</v>
      </c>
      <c r="J4009" t="n">
        <v>2017</v>
      </c>
      <c r="K4009" t="inlineStr">
        <is>
          <t>DICIEMBRE 2025</t>
        </is>
      </c>
      <c r="L4009" t="inlineStr">
        <is>
          <t>DICIEMBRE 2026</t>
        </is>
      </c>
      <c r="M4009" t="inlineStr">
        <is>
          <t xml:space="preserve">PQS TIPO ABC AL 75% </t>
        </is>
      </c>
      <c r="N4009" t="inlineStr">
        <is>
          <t>03/000160</t>
        </is>
      </c>
      <c r="O4009" t="inlineStr">
        <is>
          <t>R</t>
        </is>
      </c>
      <c r="P4009">
        <f>TRIM(N4009)</f>
        <v/>
      </c>
    </row>
    <row r="4010">
      <c r="A4010" t="inlineStr">
        <is>
          <t>CO-002578</t>
        </is>
      </c>
      <c r="B4010" t="inlineStr">
        <is>
          <t>GACSA PERU S.A.C.</t>
        </is>
      </c>
      <c r="C4010" t="n">
        <v>20602629068</v>
      </c>
      <c r="D4010" t="inlineStr">
        <is>
          <t>HYUNDAI SHOWROOM</t>
        </is>
      </c>
      <c r="E4010" t="inlineStr">
        <is>
          <t>Lima, 26 de diciembre del 2025</t>
        </is>
      </c>
      <c r="F4010" t="inlineStr">
        <is>
          <t>la Recarga y mantenimiento</t>
        </is>
      </c>
      <c r="G4010" t="inlineStr">
        <is>
          <t xml:space="preserve">04 </t>
        </is>
      </c>
      <c r="H4010" t="inlineStr">
        <is>
          <t>12 KG</t>
        </is>
      </c>
      <c r="I4010" t="n">
        <v>2027</v>
      </c>
      <c r="J4010" t="n">
        <v>2017</v>
      </c>
      <c r="K4010" t="inlineStr">
        <is>
          <t>DICIEMBRE 2025</t>
        </is>
      </c>
      <c r="L4010" t="inlineStr">
        <is>
          <t>DICIEMBRE 2026</t>
        </is>
      </c>
      <c r="M4010" t="inlineStr">
        <is>
          <t xml:space="preserve">PQS TIPO ABC AL 75% </t>
        </is>
      </c>
      <c r="N4010" t="inlineStr">
        <is>
          <t>04/000121</t>
        </is>
      </c>
      <c r="O4010" t="inlineStr">
        <is>
          <t>R</t>
        </is>
      </c>
      <c r="P4010">
        <f>TRIM(N4010)</f>
        <v/>
      </c>
    </row>
    <row r="4011">
      <c r="A4011" t="inlineStr">
        <is>
          <t>CO-002578</t>
        </is>
      </c>
      <c r="B4011" t="inlineStr">
        <is>
          <t>GACSA PERU S.A.C.</t>
        </is>
      </c>
      <c r="C4011" t="n">
        <v>20602629068</v>
      </c>
      <c r="D4011" t="inlineStr">
        <is>
          <t>HYUNDAI SHOWROOM</t>
        </is>
      </c>
      <c r="E4011" t="inlineStr">
        <is>
          <t>Lima, 26 de diciembre del 2025</t>
        </is>
      </c>
      <c r="F4011" t="inlineStr">
        <is>
          <t>la Recarga y mantenimiento</t>
        </is>
      </c>
      <c r="G4011" t="inlineStr">
        <is>
          <t>05</t>
        </is>
      </c>
      <c r="H4011" t="inlineStr">
        <is>
          <t>10 LBS</t>
        </is>
      </c>
      <c r="I4011" t="n">
        <v>2029</v>
      </c>
      <c r="J4011" t="n">
        <v>2024</v>
      </c>
      <c r="K4011" t="inlineStr">
        <is>
          <t>DICIEMBRE 2025</t>
        </is>
      </c>
      <c r="L4011" t="inlineStr">
        <is>
          <t>DICIEMBRE 2026</t>
        </is>
      </c>
      <c r="M4011" t="inlineStr">
        <is>
          <t>CO2 TIPO BC</t>
        </is>
      </c>
      <c r="N4011" t="inlineStr">
        <is>
          <t>05/003376</t>
        </is>
      </c>
      <c r="O4011" t="inlineStr">
        <is>
          <t>R</t>
        </is>
      </c>
      <c r="P4011">
        <f>TRIM(N4011)</f>
        <v/>
      </c>
    </row>
    <row r="4012">
      <c r="A4012" t="inlineStr">
        <is>
          <t>CO-002578</t>
        </is>
      </c>
      <c r="B4012" t="inlineStr">
        <is>
          <t>GACSA PERU S.A.C.</t>
        </is>
      </c>
      <c r="C4012" t="n">
        <v>20602629068</v>
      </c>
      <c r="D4012" t="inlineStr">
        <is>
          <t>HYUNDAI SHOWROOM</t>
        </is>
      </c>
      <c r="E4012" t="inlineStr">
        <is>
          <t>Lima, 26 de diciembre del 2025</t>
        </is>
      </c>
      <c r="F4012" t="inlineStr">
        <is>
          <t>la Recarga y mantenimiento</t>
        </is>
      </c>
      <c r="G4012" t="inlineStr">
        <is>
          <t>06</t>
        </is>
      </c>
      <c r="H4012" t="inlineStr">
        <is>
          <t>06 KG</t>
        </is>
      </c>
      <c r="I4012" t="n">
        <v>2027</v>
      </c>
      <c r="J4012" t="n">
        <v>2017</v>
      </c>
      <c r="K4012" t="inlineStr">
        <is>
          <t>DICIEMBRE 2025</t>
        </is>
      </c>
      <c r="L4012" t="inlineStr">
        <is>
          <t>DICIEMBRE 2026</t>
        </is>
      </c>
      <c r="M4012" t="inlineStr">
        <is>
          <t xml:space="preserve">PQS TIPO ABC AL 75% </t>
        </is>
      </c>
      <c r="N4012" t="inlineStr">
        <is>
          <t>06/006972</t>
        </is>
      </c>
      <c r="O4012" t="inlineStr">
        <is>
          <t>R</t>
        </is>
      </c>
      <c r="P4012">
        <f>TRIM(N4012)</f>
        <v/>
      </c>
    </row>
    <row r="4013">
      <c r="A4013" t="inlineStr">
        <is>
          <t>CO-002578</t>
        </is>
      </c>
      <c r="B4013" t="inlineStr">
        <is>
          <t>GACSA PERU S.A.C.</t>
        </is>
      </c>
      <c r="C4013" t="n">
        <v>20602629068</v>
      </c>
      <c r="D4013" t="inlineStr">
        <is>
          <t>HYUNDAI SHOWROOM</t>
        </is>
      </c>
      <c r="E4013" t="inlineStr">
        <is>
          <t>Lima, 26 de diciembre del 2025</t>
        </is>
      </c>
      <c r="F4013" t="inlineStr">
        <is>
          <t>la Recarga y mantenimiento</t>
        </is>
      </c>
      <c r="G4013" t="inlineStr">
        <is>
          <t>07</t>
        </is>
      </c>
      <c r="H4013" t="inlineStr">
        <is>
          <t>06 KG</t>
        </is>
      </c>
      <c r="I4013" t="n">
        <v>2026</v>
      </c>
      <c r="J4013" t="n">
        <v>2014</v>
      </c>
      <c r="K4013" t="inlineStr">
        <is>
          <t>DICIEMBRE 2025</t>
        </is>
      </c>
      <c r="L4013" t="inlineStr">
        <is>
          <t>DICIEMBRE 2026</t>
        </is>
      </c>
      <c r="M4013" t="inlineStr">
        <is>
          <t xml:space="preserve">PQS TIPO ABC AL 75% </t>
        </is>
      </c>
      <c r="N4013" t="inlineStr">
        <is>
          <t>07/000817</t>
        </is>
      </c>
      <c r="O4013" t="inlineStr">
        <is>
          <t>R</t>
        </is>
      </c>
      <c r="P4013">
        <f>TRIM(N4013)</f>
        <v/>
      </c>
    </row>
    <row r="4014">
      <c r="A4014" t="inlineStr">
        <is>
          <t>CO-002578</t>
        </is>
      </c>
      <c r="B4014" t="inlineStr">
        <is>
          <t>GACSA PERU S.A.C.</t>
        </is>
      </c>
      <c r="C4014" t="n">
        <v>20602629068</v>
      </c>
      <c r="D4014" t="inlineStr">
        <is>
          <t>HYUNDAI SHOWROOM</t>
        </is>
      </c>
      <c r="E4014" t="inlineStr">
        <is>
          <t>Lima, 26 de diciembre del 2025</t>
        </is>
      </c>
      <c r="F4014" t="inlineStr">
        <is>
          <t>la Recarga y mantenimiento</t>
        </is>
      </c>
      <c r="G4014" t="inlineStr">
        <is>
          <t>08</t>
        </is>
      </c>
      <c r="H4014" t="inlineStr">
        <is>
          <t>06 KG</t>
        </is>
      </c>
      <c r="I4014" t="n">
        <v>2027</v>
      </c>
      <c r="J4014" t="n">
        <v>2017</v>
      </c>
      <c r="K4014" t="inlineStr">
        <is>
          <t>DICIEMBRE 2025</t>
        </is>
      </c>
      <c r="L4014" t="inlineStr">
        <is>
          <t>DICIEMBRE 2026</t>
        </is>
      </c>
      <c r="M4014" t="inlineStr">
        <is>
          <t xml:space="preserve">PQS TIPO ABC AL 75% </t>
        </is>
      </c>
      <c r="N4014" t="inlineStr">
        <is>
          <t>08/001466</t>
        </is>
      </c>
      <c r="O4014" t="inlineStr">
        <is>
          <t>R</t>
        </is>
      </c>
      <c r="P4014">
        <f>TRIM(N4014)</f>
        <v/>
      </c>
    </row>
    <row r="4015">
      <c r="A4015" t="inlineStr">
        <is>
          <t>CO-002578</t>
        </is>
      </c>
      <c r="B4015" t="inlineStr">
        <is>
          <t>GACSA PERU S.A.C.</t>
        </is>
      </c>
      <c r="C4015" t="n">
        <v>20602629068</v>
      </c>
      <c r="D4015" t="inlineStr">
        <is>
          <t>HYUNDAI SHOWROOM</t>
        </is>
      </c>
      <c r="E4015" t="inlineStr">
        <is>
          <t>Lima, 26 de diciembre del 2025</t>
        </is>
      </c>
      <c r="F4015" t="inlineStr">
        <is>
          <t>la Recarga y mantenimiento</t>
        </is>
      </c>
      <c r="G4015" t="inlineStr">
        <is>
          <t>09</t>
        </is>
      </c>
      <c r="H4015" t="inlineStr">
        <is>
          <t>06 KG</t>
        </is>
      </c>
      <c r="I4015" t="n">
        <v>2026</v>
      </c>
      <c r="J4015" t="n">
        <v>2016</v>
      </c>
      <c r="K4015" t="inlineStr">
        <is>
          <t>DICIEMBRE 2025</t>
        </is>
      </c>
      <c r="L4015" t="inlineStr">
        <is>
          <t>DICIEMBRE 2026</t>
        </is>
      </c>
      <c r="M4015" t="inlineStr">
        <is>
          <t xml:space="preserve">PQS TIPO ABC AL 75% </t>
        </is>
      </c>
      <c r="N4015" t="inlineStr">
        <is>
          <t>09/002708</t>
        </is>
      </c>
      <c r="O4015" t="inlineStr">
        <is>
          <t>R</t>
        </is>
      </c>
      <c r="P4015">
        <f>TRIM(N4015)</f>
        <v/>
      </c>
    </row>
    <row r="4016">
      <c r="A4016" t="inlineStr">
        <is>
          <t>CO-002578</t>
        </is>
      </c>
      <c r="B4016" t="inlineStr">
        <is>
          <t>GACSA PERU S.A.C.</t>
        </is>
      </c>
      <c r="C4016" t="n">
        <v>20602629068</v>
      </c>
      <c r="D4016" t="inlineStr">
        <is>
          <t>HYUNDAI SHOWROOM</t>
        </is>
      </c>
      <c r="E4016" t="inlineStr">
        <is>
          <t>Lima, 26 de diciembre del 2025</t>
        </is>
      </c>
      <c r="F4016" t="inlineStr">
        <is>
          <t>la Recarga y mantenimiento</t>
        </is>
      </c>
      <c r="G4016" t="n">
        <v>10</v>
      </c>
      <c r="H4016" t="inlineStr">
        <is>
          <t>12 KG</t>
        </is>
      </c>
      <c r="I4016" t="n">
        <v>2026</v>
      </c>
      <c r="J4016" t="n">
        <v>2021</v>
      </c>
      <c r="K4016" t="inlineStr">
        <is>
          <t>DICIEMBRE 2025</t>
        </is>
      </c>
      <c r="L4016" t="inlineStr">
        <is>
          <t>DICIEMBRE 2026</t>
        </is>
      </c>
      <c r="M4016" t="inlineStr">
        <is>
          <t xml:space="preserve">PQS TIPO ABC AL 75% </t>
        </is>
      </c>
      <c r="N4016" t="inlineStr">
        <is>
          <t>10/000101</t>
        </is>
      </c>
      <c r="O4016" t="inlineStr">
        <is>
          <t>R</t>
        </is>
      </c>
      <c r="P4016">
        <f>TRIM(N4016)</f>
        <v/>
      </c>
    </row>
    <row r="4017">
      <c r="A4017" t="inlineStr">
        <is>
          <t>CO-002578</t>
        </is>
      </c>
      <c r="B4017" t="inlineStr">
        <is>
          <t>GACSA PERU S.A.C.</t>
        </is>
      </c>
      <c r="C4017" t="n">
        <v>20602629068</v>
      </c>
      <c r="D4017" t="inlineStr">
        <is>
          <t>HYUNDAI SHOWROOM</t>
        </is>
      </c>
      <c r="E4017" t="inlineStr">
        <is>
          <t>Lima, 26 de diciembre del 2025</t>
        </is>
      </c>
      <c r="F4017" t="inlineStr">
        <is>
          <t>la Recarga y mantenimiento</t>
        </is>
      </c>
      <c r="G4017" t="n">
        <v>11</v>
      </c>
      <c r="H4017" t="inlineStr">
        <is>
          <t>06 KG</t>
        </is>
      </c>
      <c r="I4017" t="n">
        <v>2030</v>
      </c>
      <c r="J4017" t="n">
        <v>2025</v>
      </c>
      <c r="K4017" t="inlineStr">
        <is>
          <t>DICIEMBRE 2025</t>
        </is>
      </c>
      <c r="L4017" t="inlineStr">
        <is>
          <t>DICIEMBRE 2026</t>
        </is>
      </c>
      <c r="M4017" t="inlineStr">
        <is>
          <t xml:space="preserve">PQS TIPO ABC AL 75% </t>
        </is>
      </c>
      <c r="N4017" t="inlineStr">
        <is>
          <t>11/034980</t>
        </is>
      </c>
      <c r="O4017" t="inlineStr">
        <is>
          <t>R</t>
        </is>
      </c>
      <c r="P4017">
        <f>TRIM(N4017)</f>
        <v/>
      </c>
    </row>
    <row r="4018">
      <c r="A4018" t="inlineStr">
        <is>
          <t>CO-002578</t>
        </is>
      </c>
      <c r="B4018" t="inlineStr">
        <is>
          <t>GACSA PERU S.A.C.</t>
        </is>
      </c>
      <c r="C4018" t="n">
        <v>20602629068</v>
      </c>
      <c r="D4018" t="inlineStr">
        <is>
          <t>HYUNDAI SHOWROOM</t>
        </is>
      </c>
      <c r="E4018" t="inlineStr">
        <is>
          <t>Lima, 26 de diciembre del 2025</t>
        </is>
      </c>
      <c r="F4018" t="inlineStr">
        <is>
          <t>la Recarga y mantenimiento</t>
        </is>
      </c>
      <c r="G4018" t="n">
        <v>12</v>
      </c>
      <c r="H4018" t="inlineStr">
        <is>
          <t>12 KG</t>
        </is>
      </c>
      <c r="I4018" t="n">
        <v>2026</v>
      </c>
      <c r="J4018" t="n">
        <v>2015</v>
      </c>
      <c r="K4018" t="inlineStr">
        <is>
          <t>DICIEMBRE 2025</t>
        </is>
      </c>
      <c r="L4018" t="inlineStr">
        <is>
          <t>DICIEMBRE 2026</t>
        </is>
      </c>
      <c r="M4018" t="inlineStr">
        <is>
          <t xml:space="preserve">PQS TIPO ABC AL 75% </t>
        </is>
      </c>
      <c r="N4018" t="inlineStr">
        <is>
          <t>12/000830</t>
        </is>
      </c>
      <c r="O4018" t="inlineStr">
        <is>
          <t>R</t>
        </is>
      </c>
      <c r="P4018">
        <f>TRIM(N4018)</f>
        <v/>
      </c>
    </row>
    <row r="4019">
      <c r="A4019" t="inlineStr">
        <is>
          <t>CO-002578</t>
        </is>
      </c>
      <c r="B4019" t="inlineStr">
        <is>
          <t>GACSA PERU S.A.C.</t>
        </is>
      </c>
      <c r="C4019" t="n">
        <v>20602629068</v>
      </c>
      <c r="D4019" t="inlineStr">
        <is>
          <t>HYUNDAI SHOWROOM</t>
        </is>
      </c>
      <c r="E4019" t="inlineStr">
        <is>
          <t>Lima, 26 de diciembre del 2025</t>
        </is>
      </c>
      <c r="F4019" t="inlineStr">
        <is>
          <t>la Recarga y mantenimiento</t>
        </is>
      </c>
      <c r="G4019" t="n">
        <v>13</v>
      </c>
      <c r="H4019" t="inlineStr">
        <is>
          <t>10 LBS</t>
        </is>
      </c>
      <c r="I4019" t="n">
        <v>2029</v>
      </c>
      <c r="J4019" t="n">
        <v>2024</v>
      </c>
      <c r="K4019" t="inlineStr">
        <is>
          <t>DICIEMBRE 2025</t>
        </is>
      </c>
      <c r="L4019" t="inlineStr">
        <is>
          <t>DICIEMBRE 2026</t>
        </is>
      </c>
      <c r="M4019" t="inlineStr">
        <is>
          <t xml:space="preserve">PQS TIPO ABC AL 75% </t>
        </is>
      </c>
      <c r="N4019" t="inlineStr">
        <is>
          <t>13/000370</t>
        </is>
      </c>
      <c r="O4019" t="inlineStr">
        <is>
          <t>R</t>
        </is>
      </c>
      <c r="P4019">
        <f>TRIM(N4019)</f>
        <v/>
      </c>
    </row>
    <row r="4020">
      <c r="A4020" t="inlineStr">
        <is>
          <t>CO-002578</t>
        </is>
      </c>
      <c r="B4020" t="inlineStr">
        <is>
          <t>GACSA PERU S.A.C.</t>
        </is>
      </c>
      <c r="C4020" t="n">
        <v>20602629068</v>
      </c>
      <c r="D4020" t="inlineStr">
        <is>
          <t>HYUNDAI SHOWROOM</t>
        </is>
      </c>
      <c r="E4020" t="inlineStr">
        <is>
          <t>Lima, 26 de diciembre del 2025</t>
        </is>
      </c>
      <c r="F4020" t="inlineStr">
        <is>
          <t>la Recarga y mantenimiento</t>
        </is>
      </c>
      <c r="G4020" t="n">
        <v>14</v>
      </c>
      <c r="H4020" t="inlineStr">
        <is>
          <t>09 KG</t>
        </is>
      </c>
      <c r="I4020" t="n">
        <v>2027</v>
      </c>
      <c r="J4020" t="n">
        <v>2017</v>
      </c>
      <c r="K4020" t="inlineStr">
        <is>
          <t>DICIEMBRE 2025</t>
        </is>
      </c>
      <c r="L4020" t="inlineStr">
        <is>
          <t>DICIEMBRE 2026</t>
        </is>
      </c>
      <c r="M4020" t="inlineStr">
        <is>
          <t xml:space="preserve">PQS TIPO ABC AL 75% </t>
        </is>
      </c>
      <c r="N4020" t="inlineStr">
        <is>
          <t>14/000132</t>
        </is>
      </c>
      <c r="O4020" t="inlineStr">
        <is>
          <t>R</t>
        </is>
      </c>
      <c r="P4020">
        <f>TRIM(N4020)</f>
        <v/>
      </c>
    </row>
    <row r="4021">
      <c r="A4021" t="inlineStr">
        <is>
          <t>CO-002578</t>
        </is>
      </c>
      <c r="B4021" t="inlineStr">
        <is>
          <t>GACSA PERU S.A.C.</t>
        </is>
      </c>
      <c r="C4021" t="n">
        <v>20602629068</v>
      </c>
      <c r="D4021" t="inlineStr">
        <is>
          <t>HYUNDAI SHOWROOM</t>
        </is>
      </c>
      <c r="E4021" t="inlineStr">
        <is>
          <t>Lima, 26 de diciembre del 2025</t>
        </is>
      </c>
      <c r="F4021" t="inlineStr">
        <is>
          <t>la Recarga y mantenimiento</t>
        </is>
      </c>
      <c r="G4021" t="n">
        <v>15</v>
      </c>
      <c r="H4021" t="inlineStr">
        <is>
          <t>06 KG</t>
        </is>
      </c>
      <c r="I4021" t="n">
        <v>2026</v>
      </c>
      <c r="J4021" t="n">
        <v>2009</v>
      </c>
      <c r="K4021" t="inlineStr">
        <is>
          <t>DICIEMBRE 2025</t>
        </is>
      </c>
      <c r="L4021" t="inlineStr">
        <is>
          <t>DICIEMBRE 2026</t>
        </is>
      </c>
      <c r="M4021" t="inlineStr">
        <is>
          <t xml:space="preserve">PQS TIPO ABC AL 75% </t>
        </is>
      </c>
      <c r="N4021" t="inlineStr">
        <is>
          <t>15/002164</t>
        </is>
      </c>
      <c r="O4021" t="inlineStr">
        <is>
          <t>R</t>
        </is>
      </c>
      <c r="P4021">
        <f>TRIM(N4021)</f>
        <v/>
      </c>
    </row>
    <row r="4022">
      <c r="A4022" t="inlineStr">
        <is>
          <t>CO-002579</t>
        </is>
      </c>
      <c r="B4022" t="inlineStr">
        <is>
          <t>GACSA PERU S.A.C.</t>
        </is>
      </c>
      <c r="C4022" t="n">
        <v>20602629068</v>
      </c>
      <c r="D4022" t="inlineStr">
        <is>
          <t>HYUNDAI SHOWROOM</t>
        </is>
      </c>
      <c r="E4022" t="inlineStr">
        <is>
          <t>Lima, 26 de diciembre del 2025</t>
        </is>
      </c>
      <c r="F4022" t="inlineStr">
        <is>
          <t>la Recarga y mantenimiento</t>
        </is>
      </c>
      <c r="G4022" t="inlineStr">
        <is>
          <t>01</t>
        </is>
      </c>
      <c r="H4022" t="inlineStr">
        <is>
          <t>06 KG</t>
        </is>
      </c>
      <c r="I4022" t="inlineStr">
        <is>
          <t>2027</t>
        </is>
      </c>
      <c r="J4022" t="n">
        <v>2017</v>
      </c>
      <c r="K4022" t="inlineStr">
        <is>
          <t>DICIEMBRE 2025</t>
        </is>
      </c>
      <c r="L4022" t="inlineStr">
        <is>
          <t>DICIEMBRE 2026</t>
        </is>
      </c>
      <c r="M4022" t="inlineStr">
        <is>
          <t xml:space="preserve">PQS TIPO ABC AL 75% </t>
        </is>
      </c>
      <c r="N4022" t="inlineStr">
        <is>
          <t>16/000173</t>
        </is>
      </c>
      <c r="O4022" t="inlineStr">
        <is>
          <t>R</t>
        </is>
      </c>
      <c r="P4022">
        <f>TRIM(N4022)</f>
        <v/>
      </c>
    </row>
    <row r="4023">
      <c r="A4023" t="inlineStr">
        <is>
          <t>CO-002579</t>
        </is>
      </c>
      <c r="B4023" t="inlineStr">
        <is>
          <t>GACSA PERU S.A.C.</t>
        </is>
      </c>
      <c r="C4023" t="n">
        <v>20602629068</v>
      </c>
      <c r="D4023" t="inlineStr">
        <is>
          <t>HYUNDAI SHOWROOM</t>
        </is>
      </c>
      <c r="E4023" t="inlineStr">
        <is>
          <t>Lima, 26 de diciembre del 2025</t>
        </is>
      </c>
      <c r="F4023" t="inlineStr">
        <is>
          <t>la Recarga y mantenimiento</t>
        </is>
      </c>
      <c r="G4023" t="inlineStr">
        <is>
          <t>02</t>
        </is>
      </c>
      <c r="H4023" t="inlineStr">
        <is>
          <t>10 LBS</t>
        </is>
      </c>
      <c r="I4023" t="inlineStr">
        <is>
          <t>2029</t>
        </is>
      </c>
      <c r="J4023" t="n">
        <v>2014</v>
      </c>
      <c r="K4023" t="inlineStr">
        <is>
          <t>DICIEMBRE 2025</t>
        </is>
      </c>
      <c r="L4023" t="inlineStr">
        <is>
          <t>DICIEMBRE 2026</t>
        </is>
      </c>
      <c r="M4023" t="inlineStr">
        <is>
          <t xml:space="preserve">PQS TIPO ABC AL 75% </t>
        </is>
      </c>
      <c r="N4023" t="inlineStr">
        <is>
          <t>17/355166</t>
        </is>
      </c>
      <c r="O4023" t="inlineStr">
        <is>
          <t>R</t>
        </is>
      </c>
      <c r="P4023">
        <f>TRIM(N4023)</f>
        <v/>
      </c>
    </row>
    <row r="4024">
      <c r="A4024" t="inlineStr">
        <is>
          <t>CO-002579</t>
        </is>
      </c>
      <c r="B4024" t="inlineStr">
        <is>
          <t>GACSA PERU S.A.C.</t>
        </is>
      </c>
      <c r="C4024" t="n">
        <v>20602629068</v>
      </c>
      <c r="D4024" t="inlineStr">
        <is>
          <t>HYUNDAI SHOWROOM</t>
        </is>
      </c>
      <c r="E4024" t="inlineStr">
        <is>
          <t>Lima, 26 de diciembre del 2025</t>
        </is>
      </c>
      <c r="F4024" t="inlineStr">
        <is>
          <t>la Recarga y mantenimiento</t>
        </is>
      </c>
      <c r="G4024" t="inlineStr">
        <is>
          <t>03</t>
        </is>
      </c>
      <c r="H4024" t="inlineStr">
        <is>
          <t>12 KG</t>
        </is>
      </c>
      <c r="I4024" t="n">
        <v>2026</v>
      </c>
      <c r="J4024" t="n">
        <v>2021</v>
      </c>
      <c r="K4024" t="inlineStr">
        <is>
          <t>DICIEMBRE 2025</t>
        </is>
      </c>
      <c r="L4024" t="inlineStr">
        <is>
          <t>DICIEMBRE 2026</t>
        </is>
      </c>
      <c r="M4024" t="inlineStr">
        <is>
          <t xml:space="preserve">PQS TIPO ABC AL 75% </t>
        </is>
      </c>
      <c r="N4024" t="inlineStr">
        <is>
          <t>18/000102</t>
        </is>
      </c>
      <c r="O4024" t="inlineStr">
        <is>
          <t>R</t>
        </is>
      </c>
      <c r="P4024">
        <f>TRIM(N4024)</f>
        <v/>
      </c>
    </row>
    <row r="4025">
      <c r="A4025" t="inlineStr">
        <is>
          <t>CO-002580</t>
        </is>
      </c>
      <c r="B4025" t="inlineStr">
        <is>
          <t>GACSA PERU S.A.C.</t>
        </is>
      </c>
      <c r="C4025" t="inlineStr">
        <is>
          <t>20602629068</t>
        </is>
      </c>
      <c r="D4025" t="inlineStr">
        <is>
          <t>HYUNDAI TALLER</t>
        </is>
      </c>
      <c r="E4025" t="inlineStr">
        <is>
          <t>Lima, 26 de diciembre del 2025</t>
        </is>
      </c>
      <c r="F4025" t="inlineStr">
        <is>
          <t>la Recarga y mantenimiento</t>
        </is>
      </c>
      <c r="G4025" t="inlineStr">
        <is>
          <t xml:space="preserve">01 </t>
        </is>
      </c>
      <c r="H4025" t="inlineStr">
        <is>
          <t>09 KG</t>
        </is>
      </c>
      <c r="I4025" t="inlineStr">
        <is>
          <t>2026</t>
        </is>
      </c>
      <c r="J4025" t="n">
        <v>2018</v>
      </c>
      <c r="K4025" t="inlineStr">
        <is>
          <t>DICIEMBRE 2025</t>
        </is>
      </c>
      <c r="L4025" t="inlineStr">
        <is>
          <t>DICIEMBRE 2026</t>
        </is>
      </c>
      <c r="M4025" t="inlineStr">
        <is>
          <t xml:space="preserve">PQS TIPO ABC AL 75% </t>
        </is>
      </c>
      <c r="N4025" t="inlineStr">
        <is>
          <t>01/001122</t>
        </is>
      </c>
      <c r="O4025" t="inlineStr">
        <is>
          <t>R</t>
        </is>
      </c>
      <c r="P4025">
        <f>TRIM(N4025)</f>
        <v/>
      </c>
    </row>
    <row r="4026">
      <c r="A4026" t="inlineStr">
        <is>
          <t>CO-002580</t>
        </is>
      </c>
      <c r="B4026" t="inlineStr">
        <is>
          <t>GACSA PERU S.A.C.</t>
        </is>
      </c>
      <c r="C4026" t="inlineStr">
        <is>
          <t>20602629068</t>
        </is>
      </c>
      <c r="D4026" t="inlineStr">
        <is>
          <t>HYUNDAI TALLER</t>
        </is>
      </c>
      <c r="E4026" t="inlineStr">
        <is>
          <t>Lima, 26 de diciembre del 2025</t>
        </is>
      </c>
      <c r="F4026" t="inlineStr">
        <is>
          <t>la Recarga y mantenimiento</t>
        </is>
      </c>
      <c r="G4026" t="inlineStr">
        <is>
          <t xml:space="preserve">02 </t>
        </is>
      </c>
      <c r="H4026" t="inlineStr">
        <is>
          <t>09 KG</t>
        </is>
      </c>
      <c r="I4026" t="inlineStr">
        <is>
          <t>2028</t>
        </is>
      </c>
      <c r="J4026" t="n">
        <v>2006</v>
      </c>
      <c r="K4026" t="inlineStr">
        <is>
          <t>DICIEMBRE 2025</t>
        </is>
      </c>
      <c r="L4026" t="inlineStr">
        <is>
          <t>DICIEMBRE 2026</t>
        </is>
      </c>
      <c r="M4026" t="inlineStr">
        <is>
          <t xml:space="preserve">PQS TIPO ABC AL 75% </t>
        </is>
      </c>
      <c r="N4026" t="inlineStr">
        <is>
          <t>02/000009</t>
        </is>
      </c>
      <c r="O4026" t="inlineStr">
        <is>
          <t>R</t>
        </is>
      </c>
      <c r="P4026">
        <f>TRIM(N4026)</f>
        <v/>
      </c>
    </row>
    <row r="4027">
      <c r="A4027" t="inlineStr">
        <is>
          <t>CO-002580</t>
        </is>
      </c>
      <c r="B4027" t="inlineStr">
        <is>
          <t>GACSA PERU S.A.C.</t>
        </is>
      </c>
      <c r="C4027" t="inlineStr">
        <is>
          <t>20602629068</t>
        </is>
      </c>
      <c r="D4027" t="inlineStr">
        <is>
          <t>HYUNDAI TALLER</t>
        </is>
      </c>
      <c r="E4027" t="inlineStr">
        <is>
          <t>Lima, 26 de diciembre del 2025</t>
        </is>
      </c>
      <c r="F4027" t="inlineStr">
        <is>
          <t>la Recarga y mantenimiento</t>
        </is>
      </c>
      <c r="G4027" t="inlineStr">
        <is>
          <t>03</t>
        </is>
      </c>
      <c r="H4027" t="inlineStr">
        <is>
          <t>10 LBS</t>
        </is>
      </c>
      <c r="I4027" t="n">
        <v>2028</v>
      </c>
      <c r="J4027" t="n">
        <v>2013</v>
      </c>
      <c r="K4027" t="inlineStr">
        <is>
          <t>DICIEMBRE 2025</t>
        </is>
      </c>
      <c r="L4027" t="inlineStr">
        <is>
          <t>DICIEMBRE 2026</t>
        </is>
      </c>
      <c r="M4027" t="inlineStr">
        <is>
          <t>CO2 TIPO BC</t>
        </is>
      </c>
      <c r="N4027" t="inlineStr">
        <is>
          <t>03/000169</t>
        </is>
      </c>
      <c r="O4027" t="inlineStr">
        <is>
          <t>R</t>
        </is>
      </c>
      <c r="P4027">
        <f>TRIM(N4027)</f>
        <v/>
      </c>
    </row>
    <row r="4028">
      <c r="A4028" t="inlineStr">
        <is>
          <t>CO-002580</t>
        </is>
      </c>
      <c r="B4028" t="inlineStr">
        <is>
          <t>GACSA PERU S.A.C.</t>
        </is>
      </c>
      <c r="C4028" t="inlineStr">
        <is>
          <t>20602629068</t>
        </is>
      </c>
      <c r="D4028" t="inlineStr">
        <is>
          <t>HYUNDAI TALLER</t>
        </is>
      </c>
      <c r="E4028" t="inlineStr">
        <is>
          <t>Lima, 26 de diciembre del 2025</t>
        </is>
      </c>
      <c r="F4028" t="inlineStr">
        <is>
          <t>la Recarga y mantenimiento</t>
        </is>
      </c>
      <c r="G4028" t="inlineStr">
        <is>
          <t xml:space="preserve">04 </t>
        </is>
      </c>
      <c r="H4028" t="inlineStr">
        <is>
          <t>12 KG</t>
        </is>
      </c>
      <c r="I4028" t="n">
        <v>2028</v>
      </c>
      <c r="J4028" t="n">
        <v>2008</v>
      </c>
      <c r="K4028" t="inlineStr">
        <is>
          <t>DICIEMBRE 2025</t>
        </is>
      </c>
      <c r="L4028" t="inlineStr">
        <is>
          <t>DICIEMBRE 2026</t>
        </is>
      </c>
      <c r="M4028" t="inlineStr">
        <is>
          <t xml:space="preserve">PQS TIPO ABC AL 75% </t>
        </is>
      </c>
      <c r="N4028" t="inlineStr">
        <is>
          <t>04/000350</t>
        </is>
      </c>
      <c r="O4028" t="inlineStr">
        <is>
          <t>R</t>
        </is>
      </c>
      <c r="P4028">
        <f>TRIM(N4028)</f>
        <v/>
      </c>
    </row>
    <row r="4029">
      <c r="A4029" t="inlineStr">
        <is>
          <t>CO-002580</t>
        </is>
      </c>
      <c r="B4029" t="inlineStr">
        <is>
          <t>GACSA PERU S.A.C.</t>
        </is>
      </c>
      <c r="C4029" t="inlineStr">
        <is>
          <t>20602629068</t>
        </is>
      </c>
      <c r="D4029" t="inlineStr">
        <is>
          <t>HYUNDAI TALLER</t>
        </is>
      </c>
      <c r="E4029" t="inlineStr">
        <is>
          <t>Lima, 26 de diciembre del 2025</t>
        </is>
      </c>
      <c r="F4029" t="inlineStr">
        <is>
          <t>la Recarga y mantenimiento</t>
        </is>
      </c>
      <c r="G4029" t="inlineStr">
        <is>
          <t>05</t>
        </is>
      </c>
      <c r="H4029" t="inlineStr">
        <is>
          <t>12 KG</t>
        </is>
      </c>
      <c r="I4029" t="n">
        <v>2028</v>
      </c>
      <c r="J4029" t="n">
        <v>2008</v>
      </c>
      <c r="K4029" t="inlineStr">
        <is>
          <t>DICIEMBRE 2025</t>
        </is>
      </c>
      <c r="L4029" t="inlineStr">
        <is>
          <t>DICIEMBRE 2026</t>
        </is>
      </c>
      <c r="M4029" t="inlineStr">
        <is>
          <t xml:space="preserve">PQS TIPO ABC AL 75% </t>
        </is>
      </c>
      <c r="N4029" t="inlineStr">
        <is>
          <t>05/000008</t>
        </is>
      </c>
      <c r="O4029" t="inlineStr">
        <is>
          <t>R</t>
        </is>
      </c>
      <c r="P4029">
        <f>TRIM(N4029)</f>
        <v/>
      </c>
    </row>
    <row r="4030">
      <c r="A4030" t="inlineStr">
        <is>
          <t>CO-002580</t>
        </is>
      </c>
      <c r="B4030" t="inlineStr">
        <is>
          <t>GACSA PERU S.A.C.</t>
        </is>
      </c>
      <c r="C4030" t="inlineStr">
        <is>
          <t>20602629068</t>
        </is>
      </c>
      <c r="D4030" t="inlineStr">
        <is>
          <t>HYUNDAI TALLER</t>
        </is>
      </c>
      <c r="E4030" t="inlineStr">
        <is>
          <t>Lima, 26 de diciembre del 2025</t>
        </is>
      </c>
      <c r="F4030" t="inlineStr">
        <is>
          <t>la Recarga y mantenimiento</t>
        </is>
      </c>
      <c r="G4030" t="inlineStr">
        <is>
          <t>06</t>
        </is>
      </c>
      <c r="H4030" t="inlineStr">
        <is>
          <t>10 LBS</t>
        </is>
      </c>
      <c r="I4030" t="n">
        <v>2029</v>
      </c>
      <c r="J4030" t="n">
        <v>2024</v>
      </c>
      <c r="K4030" t="inlineStr">
        <is>
          <t>DICIEMBRE 2025</t>
        </is>
      </c>
      <c r="L4030" t="inlineStr">
        <is>
          <t>DICIEMBRE 2026</t>
        </is>
      </c>
      <c r="M4030" t="inlineStr">
        <is>
          <t>CO2 TIPO BC</t>
        </is>
      </c>
      <c r="N4030" t="inlineStr">
        <is>
          <t>06/000001</t>
        </is>
      </c>
      <c r="O4030" t="inlineStr">
        <is>
          <t>R</t>
        </is>
      </c>
      <c r="P4030">
        <f>TRIM(N4030)</f>
        <v/>
      </c>
    </row>
    <row r="4031">
      <c r="A4031" t="inlineStr">
        <is>
          <t>CO-002580</t>
        </is>
      </c>
      <c r="B4031" t="inlineStr">
        <is>
          <t>GACSA PERU S.A.C.</t>
        </is>
      </c>
      <c r="C4031" t="inlineStr">
        <is>
          <t>20602629068</t>
        </is>
      </c>
      <c r="D4031" t="inlineStr">
        <is>
          <t>HYUNDAI TALLER</t>
        </is>
      </c>
      <c r="E4031" t="inlineStr">
        <is>
          <t>Lima, 26 de diciembre del 2025</t>
        </is>
      </c>
      <c r="F4031" t="inlineStr">
        <is>
          <t>la Recarga y mantenimiento</t>
        </is>
      </c>
      <c r="G4031" t="inlineStr">
        <is>
          <t>07</t>
        </is>
      </c>
      <c r="H4031" t="inlineStr">
        <is>
          <t>09 KG</t>
        </is>
      </c>
      <c r="I4031" t="n">
        <v>2026</v>
      </c>
      <c r="J4031" t="n">
        <v>2015</v>
      </c>
      <c r="K4031" t="inlineStr">
        <is>
          <t>DICIEMBRE 2025</t>
        </is>
      </c>
      <c r="L4031" t="inlineStr">
        <is>
          <t>DICIEMBRE 2026</t>
        </is>
      </c>
      <c r="M4031" t="inlineStr">
        <is>
          <t xml:space="preserve">PQS TIPO ABC AL 75% </t>
        </is>
      </c>
      <c r="N4031" t="inlineStr">
        <is>
          <t>07/000074</t>
        </is>
      </c>
      <c r="O4031" t="inlineStr">
        <is>
          <t>R</t>
        </is>
      </c>
      <c r="P4031">
        <f>TRIM(N4031)</f>
        <v/>
      </c>
    </row>
    <row r="4032">
      <c r="A4032" t="inlineStr">
        <is>
          <t>CO-002580</t>
        </is>
      </c>
      <c r="B4032" t="inlineStr">
        <is>
          <t>GACSA PERU S.A.C.</t>
        </is>
      </c>
      <c r="C4032" t="inlineStr">
        <is>
          <t>20602629068</t>
        </is>
      </c>
      <c r="D4032" t="inlineStr">
        <is>
          <t>HYUNDAI TALLER</t>
        </is>
      </c>
      <c r="E4032" t="inlineStr">
        <is>
          <t>Lima, 26 de diciembre del 2025</t>
        </is>
      </c>
      <c r="F4032" t="inlineStr">
        <is>
          <t>la Recarga y mantenimiento</t>
        </is>
      </c>
      <c r="G4032" t="inlineStr">
        <is>
          <t>08</t>
        </is>
      </c>
      <c r="H4032" t="inlineStr">
        <is>
          <t>10 LBS</t>
        </is>
      </c>
      <c r="I4032" t="n">
        <v>2029</v>
      </c>
      <c r="J4032" t="n">
        <v>2024</v>
      </c>
      <c r="K4032" t="inlineStr">
        <is>
          <t>DICIEMBRE 2025</t>
        </is>
      </c>
      <c r="L4032" t="inlineStr">
        <is>
          <t>DICIEMBRE 2026</t>
        </is>
      </c>
      <c r="M4032" t="inlineStr">
        <is>
          <t xml:space="preserve">CO2 TIPO BC </t>
        </is>
      </c>
      <c r="N4032" t="inlineStr">
        <is>
          <t>08/000100</t>
        </is>
      </c>
      <c r="O4032" t="inlineStr">
        <is>
          <t>R</t>
        </is>
      </c>
      <c r="P4032">
        <f>TRIM(N4032)</f>
        <v/>
      </c>
    </row>
    <row r="4033">
      <c r="A4033" t="inlineStr">
        <is>
          <t>CO-002580</t>
        </is>
      </c>
      <c r="B4033" t="inlineStr">
        <is>
          <t>GACSA PERU S.A.C.</t>
        </is>
      </c>
      <c r="C4033" t="inlineStr">
        <is>
          <t>20602629068</t>
        </is>
      </c>
      <c r="D4033" t="inlineStr">
        <is>
          <t>HYUNDAI TALLER</t>
        </is>
      </c>
      <c r="E4033" t="inlineStr">
        <is>
          <t>Lima, 26 de diciembre del 2025</t>
        </is>
      </c>
      <c r="F4033" t="inlineStr">
        <is>
          <t>la Recarga y mantenimiento</t>
        </is>
      </c>
      <c r="G4033" t="inlineStr">
        <is>
          <t>09</t>
        </is>
      </c>
      <c r="H4033" t="inlineStr">
        <is>
          <t>09 KG</t>
        </is>
      </c>
      <c r="I4033" t="n">
        <v>2029</v>
      </c>
      <c r="J4033" t="n">
        <v>2019</v>
      </c>
      <c r="K4033" t="inlineStr">
        <is>
          <t>DICIEMBRE 2025</t>
        </is>
      </c>
      <c r="L4033" t="inlineStr">
        <is>
          <t>DICIEMBRE 2026</t>
        </is>
      </c>
      <c r="M4033" t="inlineStr">
        <is>
          <t xml:space="preserve">PQS TIPO ABC AL 75% </t>
        </is>
      </c>
      <c r="N4033" t="inlineStr">
        <is>
          <t>09/000065</t>
        </is>
      </c>
      <c r="O4033" t="inlineStr">
        <is>
          <t>R</t>
        </is>
      </c>
      <c r="P4033">
        <f>TRIM(N4033)</f>
        <v/>
      </c>
    </row>
    <row r="4034">
      <c r="A4034" t="inlineStr">
        <is>
          <t>CO-002580</t>
        </is>
      </c>
      <c r="B4034" t="inlineStr">
        <is>
          <t>GACSA PERU S.A.C.</t>
        </is>
      </c>
      <c r="C4034" t="inlineStr">
        <is>
          <t>20602629068</t>
        </is>
      </c>
      <c r="D4034" t="inlineStr">
        <is>
          <t>HYUNDAI TALLER</t>
        </is>
      </c>
      <c r="E4034" t="inlineStr">
        <is>
          <t>Lima, 26 de diciembre del 2025</t>
        </is>
      </c>
      <c r="F4034" t="inlineStr">
        <is>
          <t>la Recarga y mantenimiento</t>
        </is>
      </c>
      <c r="G4034" t="n">
        <v>10</v>
      </c>
      <c r="H4034" t="inlineStr">
        <is>
          <t>12 KG</t>
        </is>
      </c>
      <c r="I4034" t="n">
        <v>2026</v>
      </c>
      <c r="J4034" t="n">
        <v>2021</v>
      </c>
      <c r="K4034" t="inlineStr">
        <is>
          <t>DICIEMBRE 2025</t>
        </is>
      </c>
      <c r="L4034" t="inlineStr">
        <is>
          <t>DICIEMBRE 2026</t>
        </is>
      </c>
      <c r="M4034" t="inlineStr">
        <is>
          <t xml:space="preserve">PQS TIPO ABC AL 75% </t>
        </is>
      </c>
      <c r="N4034" t="inlineStr">
        <is>
          <t>10/000510</t>
        </is>
      </c>
      <c r="O4034" t="inlineStr">
        <is>
          <t>R</t>
        </is>
      </c>
      <c r="P4034">
        <f>TRIM(N4034)</f>
        <v/>
      </c>
    </row>
    <row r="4035">
      <c r="A4035" t="inlineStr">
        <is>
          <t>CO-002580</t>
        </is>
      </c>
      <c r="B4035" t="inlineStr">
        <is>
          <t>GACSA PERU S.A.C.</t>
        </is>
      </c>
      <c r="C4035" t="inlineStr">
        <is>
          <t>20602629068</t>
        </is>
      </c>
      <c r="D4035" t="inlineStr">
        <is>
          <t>HYUNDAI TALLER</t>
        </is>
      </c>
      <c r="E4035" t="inlineStr">
        <is>
          <t>Lima, 26 de diciembre del 2025</t>
        </is>
      </c>
      <c r="F4035" t="inlineStr">
        <is>
          <t>la Recarga y mantenimiento</t>
        </is>
      </c>
      <c r="G4035" t="n">
        <v>11</v>
      </c>
      <c r="H4035" t="inlineStr">
        <is>
          <t>09 KG</t>
        </is>
      </c>
      <c r="I4035" t="n">
        <v>2027</v>
      </c>
      <c r="J4035" t="n">
        <v>2017</v>
      </c>
      <c r="K4035" t="inlineStr">
        <is>
          <t>DICIEMBRE 2025</t>
        </is>
      </c>
      <c r="L4035" t="inlineStr">
        <is>
          <t>DICIEMBRE 2026</t>
        </is>
      </c>
      <c r="M4035" t="inlineStr">
        <is>
          <t xml:space="preserve">PQS TIPO ABC AL 75% </t>
        </is>
      </c>
      <c r="N4035" t="inlineStr">
        <is>
          <t>11/000180</t>
        </is>
      </c>
      <c r="O4035" t="inlineStr">
        <is>
          <t>R</t>
        </is>
      </c>
      <c r="P4035">
        <f>TRIM(N4035)</f>
        <v/>
      </c>
    </row>
    <row r="4036">
      <c r="A4036" t="inlineStr">
        <is>
          <t>CO-002580</t>
        </is>
      </c>
      <c r="B4036" t="inlineStr">
        <is>
          <t>GACSA PERU S.A.C.</t>
        </is>
      </c>
      <c r="C4036" t="inlineStr">
        <is>
          <t>20602629068</t>
        </is>
      </c>
      <c r="D4036" t="inlineStr">
        <is>
          <t>HYUNDAI TALLER</t>
        </is>
      </c>
      <c r="E4036" t="inlineStr">
        <is>
          <t>Lima, 26 de diciembre del 2025</t>
        </is>
      </c>
      <c r="F4036" t="inlineStr">
        <is>
          <t>la Recarga y mantenimiento</t>
        </is>
      </c>
      <c r="G4036" t="n">
        <v>12</v>
      </c>
      <c r="H4036" t="inlineStr">
        <is>
          <t>12 KG</t>
        </is>
      </c>
      <c r="I4036" t="n">
        <v>2030</v>
      </c>
      <c r="J4036" t="n">
        <v>2015</v>
      </c>
      <c r="K4036" t="inlineStr">
        <is>
          <t>DICIEMBRE 2025</t>
        </is>
      </c>
      <c r="L4036" t="inlineStr">
        <is>
          <t>DICIEMBRE 2026</t>
        </is>
      </c>
      <c r="M4036" t="inlineStr">
        <is>
          <t xml:space="preserve">PQS TIPO ABC AL 75% </t>
        </is>
      </c>
      <c r="N4036" t="inlineStr">
        <is>
          <t>12/000090</t>
        </is>
      </c>
      <c r="O4036" t="inlineStr">
        <is>
          <t>R</t>
        </is>
      </c>
      <c r="P4036">
        <f>TRIM(N4036)</f>
        <v/>
      </c>
    </row>
    <row r="4037">
      <c r="A4037" t="inlineStr">
        <is>
          <t>CO-002580</t>
        </is>
      </c>
      <c r="B4037" t="inlineStr">
        <is>
          <t>GACSA PERU S.A.C.</t>
        </is>
      </c>
      <c r="C4037" t="inlineStr">
        <is>
          <t>20602629068</t>
        </is>
      </c>
      <c r="D4037" t="inlineStr">
        <is>
          <t>HYUNDAI TALLER</t>
        </is>
      </c>
      <c r="E4037" t="inlineStr">
        <is>
          <t>Lima, 26 de diciembre del 2025</t>
        </is>
      </c>
      <c r="F4037" t="inlineStr">
        <is>
          <t>la Recarga y mantenimiento</t>
        </is>
      </c>
      <c r="G4037" t="n">
        <v>13</v>
      </c>
      <c r="H4037" t="inlineStr">
        <is>
          <t>12 KG</t>
        </is>
      </c>
      <c r="I4037" t="n">
        <v>2026</v>
      </c>
      <c r="J4037" t="n">
        <v>2011</v>
      </c>
      <c r="K4037" t="inlineStr">
        <is>
          <t>DICIEMBRE 2025</t>
        </is>
      </c>
      <c r="L4037" t="inlineStr">
        <is>
          <t>DICIEMBRE 2026</t>
        </is>
      </c>
      <c r="M4037" t="inlineStr">
        <is>
          <t xml:space="preserve">PQS TIPO ABC AL 75% </t>
        </is>
      </c>
      <c r="N4037" t="inlineStr">
        <is>
          <t>13/000160</t>
        </is>
      </c>
      <c r="O4037" t="inlineStr">
        <is>
          <t>R</t>
        </is>
      </c>
      <c r="P4037">
        <f>TRIM(N4037)</f>
        <v/>
      </c>
    </row>
    <row r="4038">
      <c r="A4038" t="inlineStr">
        <is>
          <t>CO-002580</t>
        </is>
      </c>
      <c r="B4038" t="inlineStr">
        <is>
          <t>GACSA PERU S.A.C.</t>
        </is>
      </c>
      <c r="C4038" t="inlineStr">
        <is>
          <t>20602629068</t>
        </is>
      </c>
      <c r="D4038" t="inlineStr">
        <is>
          <t>HYUNDAI TALLER</t>
        </is>
      </c>
      <c r="E4038" t="inlineStr">
        <is>
          <t>Lima, 26 de diciembre del 2025</t>
        </is>
      </c>
      <c r="F4038" t="inlineStr">
        <is>
          <t>la Recarga y mantenimiento</t>
        </is>
      </c>
      <c r="G4038" t="n">
        <v>14</v>
      </c>
      <c r="H4038" t="inlineStr">
        <is>
          <t>10 LBS</t>
        </is>
      </c>
      <c r="I4038" t="n">
        <v>2029</v>
      </c>
      <c r="J4038" t="n">
        <v>2024</v>
      </c>
      <c r="K4038" t="inlineStr">
        <is>
          <t>DICIEMBRE 2025</t>
        </is>
      </c>
      <c r="L4038" t="inlineStr">
        <is>
          <t>DICIEMBRE 2026</t>
        </is>
      </c>
      <c r="M4038" t="inlineStr">
        <is>
          <t>CO2 TIPO BC</t>
        </is>
      </c>
      <c r="N4038" t="inlineStr">
        <is>
          <t>14/000246</t>
        </is>
      </c>
      <c r="O4038" t="inlineStr">
        <is>
          <t>R</t>
        </is>
      </c>
      <c r="P4038">
        <f>TRIM(N4038)</f>
        <v/>
      </c>
    </row>
    <row r="4039">
      <c r="A4039" t="inlineStr">
        <is>
          <t>CO-002581</t>
        </is>
      </c>
      <c r="B4039" t="inlineStr">
        <is>
          <t>GACSA PERU S.A.C.</t>
        </is>
      </c>
      <c r="C4039" t="n">
        <v>20602629068</v>
      </c>
      <c r="D4039" t="inlineStr">
        <is>
          <t>NISSAN LA MOLINA</t>
        </is>
      </c>
      <c r="E4039" t="inlineStr">
        <is>
          <t>Lima, 18 de diciembre del 2025</t>
        </is>
      </c>
      <c r="F4039" t="inlineStr">
        <is>
          <t>la Recarga y mantenimiento</t>
        </is>
      </c>
      <c r="G4039" t="inlineStr">
        <is>
          <t xml:space="preserve">01 </t>
        </is>
      </c>
      <c r="H4039" t="inlineStr">
        <is>
          <t>12 KG</t>
        </is>
      </c>
      <c r="I4039" t="inlineStr">
        <is>
          <t>2027</t>
        </is>
      </c>
      <c r="J4039" t="n">
        <v>2022</v>
      </c>
      <c r="K4039" t="inlineStr">
        <is>
          <t>DICIEMBRE 2025</t>
        </is>
      </c>
      <c r="L4039" t="inlineStr">
        <is>
          <t>DICIEMBRE 2026</t>
        </is>
      </c>
      <c r="M4039" t="inlineStr">
        <is>
          <t xml:space="preserve">PQS TIPO ABC AL 75% </t>
        </is>
      </c>
      <c r="N4039" t="inlineStr">
        <is>
          <t>01/002604</t>
        </is>
      </c>
      <c r="O4039" t="inlineStr">
        <is>
          <t>R</t>
        </is>
      </c>
      <c r="P4039">
        <f>TRIM(N4039)</f>
        <v/>
      </c>
    </row>
    <row r="4040">
      <c r="A4040" t="inlineStr">
        <is>
          <t>CO-002581</t>
        </is>
      </c>
      <c r="B4040" t="inlineStr">
        <is>
          <t>GACSA PERU S.A.C.</t>
        </is>
      </c>
      <c r="C4040" t="n">
        <v>20602629068</v>
      </c>
      <c r="D4040" t="inlineStr">
        <is>
          <t>NISSAN LA MOLINA</t>
        </is>
      </c>
      <c r="E4040" t="inlineStr">
        <is>
          <t>Lima, 18 de diciembre del 2025</t>
        </is>
      </c>
      <c r="F4040" t="inlineStr">
        <is>
          <t>la Recarga y mantenimiento</t>
        </is>
      </c>
      <c r="G4040" t="inlineStr">
        <is>
          <t xml:space="preserve">02 </t>
        </is>
      </c>
      <c r="H4040" t="inlineStr">
        <is>
          <t>06 KG</t>
        </is>
      </c>
      <c r="I4040" t="inlineStr">
        <is>
          <t>2026</t>
        </is>
      </c>
      <c r="J4040" t="n">
        <v>2021</v>
      </c>
      <c r="K4040" t="inlineStr">
        <is>
          <t>DICIEMBRE 2025</t>
        </is>
      </c>
      <c r="L4040" t="inlineStr">
        <is>
          <t>DICIEMBRE 2026</t>
        </is>
      </c>
      <c r="M4040" t="inlineStr">
        <is>
          <t xml:space="preserve">PQS TIPO ABC AL 75% </t>
        </is>
      </c>
      <c r="N4040" t="inlineStr">
        <is>
          <t>02/004760</t>
        </is>
      </c>
      <c r="O4040" t="inlineStr">
        <is>
          <t>R</t>
        </is>
      </c>
      <c r="P4040">
        <f>TRIM(N4040)</f>
        <v/>
      </c>
    </row>
    <row r="4041">
      <c r="A4041" t="inlineStr">
        <is>
          <t>CO-002581</t>
        </is>
      </c>
      <c r="B4041" t="inlineStr">
        <is>
          <t>GACSA PERU S.A.C.</t>
        </is>
      </c>
      <c r="C4041" t="n">
        <v>20602629068</v>
      </c>
      <c r="D4041" t="inlineStr">
        <is>
          <t>NISSAN LA MOLINA</t>
        </is>
      </c>
      <c r="E4041" t="inlineStr">
        <is>
          <t>Lima, 18 de diciembre del 2025</t>
        </is>
      </c>
      <c r="F4041" t="inlineStr">
        <is>
          <t>la Recarga y mantenimiento</t>
        </is>
      </c>
      <c r="G4041" t="inlineStr">
        <is>
          <t>03</t>
        </is>
      </c>
      <c r="H4041" t="inlineStr">
        <is>
          <t>06 KG</t>
        </is>
      </c>
      <c r="I4041" t="n">
        <v>2027</v>
      </c>
      <c r="J4041" t="n">
        <v>2022</v>
      </c>
      <c r="K4041" t="inlineStr">
        <is>
          <t>DICIEMBRE 2025</t>
        </is>
      </c>
      <c r="L4041" t="inlineStr">
        <is>
          <t>DICIEMBRE 2026</t>
        </is>
      </c>
      <c r="M4041" t="inlineStr">
        <is>
          <t xml:space="preserve">PQS TIPO ABC AL 75% </t>
        </is>
      </c>
      <c r="N4041" t="inlineStr">
        <is>
          <t>03/006797</t>
        </is>
      </c>
      <c r="O4041" t="inlineStr">
        <is>
          <t>R</t>
        </is>
      </c>
      <c r="P4041">
        <f>TRIM(N4041)</f>
        <v/>
      </c>
    </row>
    <row r="4042">
      <c r="A4042" t="inlineStr">
        <is>
          <t>CO-002581</t>
        </is>
      </c>
      <c r="B4042" t="inlineStr">
        <is>
          <t>GACSA PERU S.A.C.</t>
        </is>
      </c>
      <c r="C4042" t="n">
        <v>20602629068</v>
      </c>
      <c r="D4042" t="inlineStr">
        <is>
          <t>NISSAN LA MOLINA</t>
        </is>
      </c>
      <c r="E4042" t="inlineStr">
        <is>
          <t>Lima, 18 de diciembre del 2025</t>
        </is>
      </c>
      <c r="F4042" t="inlineStr">
        <is>
          <t>la Recarga y mantenimiento</t>
        </is>
      </c>
      <c r="G4042" t="inlineStr">
        <is>
          <t xml:space="preserve">04 </t>
        </is>
      </c>
      <c r="H4042" t="inlineStr">
        <is>
          <t>06 KG</t>
        </is>
      </c>
      <c r="I4042" t="n">
        <v>2026</v>
      </c>
      <c r="J4042" t="n">
        <v>2021</v>
      </c>
      <c r="K4042" t="inlineStr">
        <is>
          <t>DICIEMBRE 2025</t>
        </is>
      </c>
      <c r="L4042" t="inlineStr">
        <is>
          <t>DICIEMBRE 2026</t>
        </is>
      </c>
      <c r="M4042" t="inlineStr">
        <is>
          <t xml:space="preserve">PQS TIPO ABC </t>
        </is>
      </c>
      <c r="N4042" t="inlineStr">
        <is>
          <t>04/005823</t>
        </is>
      </c>
      <c r="O4042" t="inlineStr">
        <is>
          <t>R</t>
        </is>
      </c>
      <c r="P4042">
        <f>TRIM(N4042)</f>
        <v/>
      </c>
    </row>
    <row r="4043">
      <c r="A4043" t="inlineStr">
        <is>
          <t>CO-002581</t>
        </is>
      </c>
      <c r="B4043" t="inlineStr">
        <is>
          <t>GACSA PERU S.A.C.</t>
        </is>
      </c>
      <c r="C4043" t="n">
        <v>20602629068</v>
      </c>
      <c r="D4043" t="inlineStr">
        <is>
          <t>NISSAN LA MOLINA</t>
        </is>
      </c>
      <c r="E4043" t="inlineStr">
        <is>
          <t>Lima, 18 de diciembre del 2025</t>
        </is>
      </c>
      <c r="F4043" t="inlineStr">
        <is>
          <t>la Recarga y mantenimiento</t>
        </is>
      </c>
      <c r="G4043" t="inlineStr">
        <is>
          <t>05</t>
        </is>
      </c>
      <c r="H4043" t="inlineStr">
        <is>
          <t>06 KG</t>
        </is>
      </c>
      <c r="I4043" t="n">
        <v>2028</v>
      </c>
      <c r="J4043" t="n">
        <v>2010</v>
      </c>
      <c r="K4043" t="inlineStr">
        <is>
          <t>DICIEMBRE 2025</t>
        </is>
      </c>
      <c r="L4043" t="inlineStr">
        <is>
          <t>DICIEMBRE 2026</t>
        </is>
      </c>
      <c r="M4043" t="inlineStr">
        <is>
          <t xml:space="preserve">PQS TIPO ABC </t>
        </is>
      </c>
      <c r="N4043" t="inlineStr">
        <is>
          <t>05/000579</t>
        </is>
      </c>
      <c r="O4043" t="inlineStr">
        <is>
          <t>R</t>
        </is>
      </c>
      <c r="P4043">
        <f>TRIM(N4043)</f>
        <v/>
      </c>
    </row>
    <row r="4044">
      <c r="A4044" t="inlineStr">
        <is>
          <t>CO-002581</t>
        </is>
      </c>
      <c r="B4044" t="inlineStr">
        <is>
          <t>GACSA PERU S.A.C.</t>
        </is>
      </c>
      <c r="C4044" t="n">
        <v>20602629068</v>
      </c>
      <c r="D4044" t="inlineStr">
        <is>
          <t>NISSAN LA MOLINA</t>
        </is>
      </c>
      <c r="E4044" t="inlineStr">
        <is>
          <t>Lima, 18 de diciembre del 2025</t>
        </is>
      </c>
      <c r="F4044" t="inlineStr">
        <is>
          <t>la Recarga y mantenimiento</t>
        </is>
      </c>
      <c r="G4044" t="inlineStr">
        <is>
          <t>06</t>
        </is>
      </c>
      <c r="H4044" t="inlineStr">
        <is>
          <t>10 LBS</t>
        </is>
      </c>
      <c r="I4044" t="n">
        <v>2029</v>
      </c>
      <c r="J4044" t="n">
        <v>2015</v>
      </c>
      <c r="K4044" t="inlineStr">
        <is>
          <t>DICIEMBRE 2025</t>
        </is>
      </c>
      <c r="L4044" t="inlineStr">
        <is>
          <t>DICIEMBRE 2026</t>
        </is>
      </c>
      <c r="M4044" t="inlineStr">
        <is>
          <t>CO2 TIPO BC</t>
        </is>
      </c>
      <c r="N4044" t="inlineStr">
        <is>
          <t>06/000050</t>
        </is>
      </c>
      <c r="O4044" t="inlineStr">
        <is>
          <t>R</t>
        </is>
      </c>
      <c r="P4044">
        <f>TRIM(N4044)</f>
        <v/>
      </c>
    </row>
    <row r="4045">
      <c r="A4045" t="inlineStr">
        <is>
          <t>CO-002581</t>
        </is>
      </c>
      <c r="B4045" t="inlineStr">
        <is>
          <t>GACSA PERU S.A.C.</t>
        </is>
      </c>
      <c r="C4045" t="n">
        <v>20602629068</v>
      </c>
      <c r="D4045" t="inlineStr">
        <is>
          <t>NISSAN LA MOLINA</t>
        </is>
      </c>
      <c r="E4045" t="inlineStr">
        <is>
          <t>Lima, 18 de diciembre del 2025</t>
        </is>
      </c>
      <c r="F4045" t="inlineStr">
        <is>
          <t>la Recarga y mantenimiento</t>
        </is>
      </c>
      <c r="G4045" t="inlineStr">
        <is>
          <t>07</t>
        </is>
      </c>
      <c r="H4045" t="inlineStr">
        <is>
          <t>10 LBS</t>
        </is>
      </c>
      <c r="I4045" t="n">
        <v>2028</v>
      </c>
      <c r="J4045" t="n">
        <v>2023</v>
      </c>
      <c r="K4045" t="inlineStr">
        <is>
          <t>DICIEMBRE 2025</t>
        </is>
      </c>
      <c r="L4045" t="inlineStr">
        <is>
          <t>DICIEMBRE 2026</t>
        </is>
      </c>
      <c r="M4045" t="inlineStr">
        <is>
          <t>CO2 TIPO BC</t>
        </is>
      </c>
      <c r="N4045" t="inlineStr">
        <is>
          <t>07/000080</t>
        </is>
      </c>
      <c r="O4045" t="inlineStr">
        <is>
          <t>R</t>
        </is>
      </c>
      <c r="P4045">
        <f>TRIM(N4045)</f>
        <v/>
      </c>
    </row>
    <row r="4046">
      <c r="A4046" t="inlineStr">
        <is>
          <t>CO-002581</t>
        </is>
      </c>
      <c r="B4046" t="inlineStr">
        <is>
          <t>GACSA PERU S.A.C.</t>
        </is>
      </c>
      <c r="C4046" t="n">
        <v>20602629068</v>
      </c>
      <c r="D4046" t="inlineStr">
        <is>
          <t>NISSAN LA MOLINA</t>
        </is>
      </c>
      <c r="E4046" t="inlineStr">
        <is>
          <t>Lima, 18 de diciembre del 2025</t>
        </is>
      </c>
      <c r="F4046" t="inlineStr">
        <is>
          <t>la Recarga y mantenimiento</t>
        </is>
      </c>
      <c r="G4046" t="inlineStr">
        <is>
          <t>08</t>
        </is>
      </c>
      <c r="H4046" t="inlineStr">
        <is>
          <t>12 KG</t>
        </is>
      </c>
      <c r="I4046" t="n">
        <v>2030</v>
      </c>
      <c r="J4046" t="n">
        <v>2007</v>
      </c>
      <c r="K4046" t="inlineStr">
        <is>
          <t>DICIEMBRE 2025</t>
        </is>
      </c>
      <c r="L4046" t="inlineStr">
        <is>
          <t>DICIEMBRE 2026</t>
        </is>
      </c>
      <c r="M4046" t="inlineStr">
        <is>
          <t xml:space="preserve">PQS TIPO ABC </t>
        </is>
      </c>
      <c r="N4046" t="inlineStr">
        <is>
          <t>08/N/R</t>
        </is>
      </c>
      <c r="O4046" t="inlineStr">
        <is>
          <t>R</t>
        </is>
      </c>
      <c r="P4046">
        <f>TRIM(N4046)</f>
        <v/>
      </c>
    </row>
    <row r="4047">
      <c r="A4047" t="inlineStr">
        <is>
          <t>CO-002581</t>
        </is>
      </c>
      <c r="B4047" t="inlineStr">
        <is>
          <t>GACSA PERU S.A.C.</t>
        </is>
      </c>
      <c r="C4047" t="n">
        <v>20602629068</v>
      </c>
      <c r="D4047" t="inlineStr">
        <is>
          <t>NISSAN LA MOLINA</t>
        </is>
      </c>
      <c r="E4047" t="inlineStr">
        <is>
          <t>Lima, 18 de diciembre del 2025</t>
        </is>
      </c>
      <c r="F4047" t="inlineStr">
        <is>
          <t>la Recarga y mantenimiento</t>
        </is>
      </c>
      <c r="G4047" t="inlineStr">
        <is>
          <t>09</t>
        </is>
      </c>
      <c r="H4047" t="inlineStr">
        <is>
          <t>10 LBS</t>
        </is>
      </c>
      <c r="I4047" t="n">
        <v>2028</v>
      </c>
      <c r="J4047" t="n">
        <v>2023</v>
      </c>
      <c r="K4047" t="inlineStr">
        <is>
          <t>DICIEMBRE 2025</t>
        </is>
      </c>
      <c r="L4047" t="inlineStr">
        <is>
          <t>DICIEMBRE 2026</t>
        </is>
      </c>
      <c r="M4047" t="inlineStr">
        <is>
          <t xml:space="preserve">CO2 TIPO BC </t>
        </is>
      </c>
      <c r="N4047" t="inlineStr">
        <is>
          <t>09/000596</t>
        </is>
      </c>
      <c r="O4047" t="inlineStr">
        <is>
          <t>R</t>
        </is>
      </c>
      <c r="P4047">
        <f>TRIM(N4047)</f>
        <v/>
      </c>
    </row>
    <row r="4048">
      <c r="A4048" t="inlineStr">
        <is>
          <t>CO-002581</t>
        </is>
      </c>
      <c r="B4048" t="inlineStr">
        <is>
          <t>GACSA PERU S.A.C.</t>
        </is>
      </c>
      <c r="C4048" t="n">
        <v>20602629068</v>
      </c>
      <c r="D4048" t="inlineStr">
        <is>
          <t>NISSAN LA MOLINA</t>
        </is>
      </c>
      <c r="E4048" t="inlineStr">
        <is>
          <t>Lima, 18 de diciembre del 2025</t>
        </is>
      </c>
      <c r="F4048" t="inlineStr">
        <is>
          <t>la Recarga y mantenimiento</t>
        </is>
      </c>
      <c r="G4048" t="n">
        <v>10</v>
      </c>
      <c r="H4048" t="inlineStr">
        <is>
          <t>20 LBS</t>
        </is>
      </c>
      <c r="I4048" t="n">
        <v>2029</v>
      </c>
      <c r="J4048" t="n">
        <v>2014</v>
      </c>
      <c r="K4048" t="inlineStr">
        <is>
          <t>DICIEMBRE 2025</t>
        </is>
      </c>
      <c r="L4048" t="inlineStr">
        <is>
          <t>DICIEMBRE 2026</t>
        </is>
      </c>
      <c r="M4048" t="inlineStr">
        <is>
          <t xml:space="preserve">CO2 TIPO BC </t>
        </is>
      </c>
      <c r="N4048" t="inlineStr">
        <is>
          <t>10/A29052894</t>
        </is>
      </c>
      <c r="O4048" t="inlineStr">
        <is>
          <t>R</t>
        </is>
      </c>
      <c r="P4048">
        <f>TRIM(N4048)</f>
        <v/>
      </c>
    </row>
    <row r="4049">
      <c r="A4049" t="inlineStr">
        <is>
          <t>CO-002581</t>
        </is>
      </c>
      <c r="B4049" t="inlineStr">
        <is>
          <t>GACSA PERU S.A.C.</t>
        </is>
      </c>
      <c r="C4049" t="n">
        <v>20602629068</v>
      </c>
      <c r="D4049" t="inlineStr">
        <is>
          <t>NISSAN LA MOLINA</t>
        </is>
      </c>
      <c r="E4049" t="inlineStr">
        <is>
          <t>Lima, 18 de diciembre del 2025</t>
        </is>
      </c>
      <c r="F4049" t="inlineStr">
        <is>
          <t>la Recarga y mantenimiento</t>
        </is>
      </c>
      <c r="G4049" t="n">
        <v>11</v>
      </c>
      <c r="H4049" t="inlineStr">
        <is>
          <t>12 KG</t>
        </is>
      </c>
      <c r="I4049" t="n">
        <v>2030</v>
      </c>
      <c r="J4049" t="n">
        <v>2009</v>
      </c>
      <c r="K4049" t="inlineStr">
        <is>
          <t>DICIEMBRE 2025</t>
        </is>
      </c>
      <c r="L4049" t="inlineStr">
        <is>
          <t>DICIEMBRE 2026</t>
        </is>
      </c>
      <c r="M4049" t="inlineStr">
        <is>
          <t xml:space="preserve">PQS TIPO ABC </t>
        </is>
      </c>
      <c r="N4049" t="inlineStr">
        <is>
          <t>11/000334</t>
        </is>
      </c>
      <c r="O4049" t="inlineStr">
        <is>
          <t>R</t>
        </is>
      </c>
      <c r="P4049">
        <f>TRIM(N4049)</f>
        <v/>
      </c>
    </row>
    <row r="4050">
      <c r="A4050" t="inlineStr">
        <is>
          <t>CO-002581</t>
        </is>
      </c>
      <c r="B4050" t="inlineStr">
        <is>
          <t>GACSA PERU S.A.C.</t>
        </is>
      </c>
      <c r="C4050" t="n">
        <v>20602629068</v>
      </c>
      <c r="D4050" t="inlineStr">
        <is>
          <t>NISSAN LA MOLINA</t>
        </is>
      </c>
      <c r="E4050" t="inlineStr">
        <is>
          <t>Lima, 18 de diciembre del 2025</t>
        </is>
      </c>
      <c r="F4050" t="inlineStr">
        <is>
          <t>la Recarga y mantenimiento</t>
        </is>
      </c>
      <c r="G4050" t="n">
        <v>12</v>
      </c>
      <c r="H4050" t="inlineStr">
        <is>
          <t>2.5 GLS</t>
        </is>
      </c>
      <c r="I4050" t="n">
        <v>2030</v>
      </c>
      <c r="J4050" t="n">
        <v>2009</v>
      </c>
      <c r="K4050" t="inlineStr">
        <is>
          <t>DICIEMBRE 2025</t>
        </is>
      </c>
      <c r="L4050" t="inlineStr">
        <is>
          <t>DICIEMBRE 2026</t>
        </is>
      </c>
      <c r="M4050" t="inlineStr">
        <is>
          <t>ACETATO</t>
        </is>
      </c>
      <c r="N4050" t="inlineStr">
        <is>
          <t>12/000138</t>
        </is>
      </c>
      <c r="O4050" t="inlineStr">
        <is>
          <t>R</t>
        </is>
      </c>
      <c r="P4050">
        <f>TRIM(N4050)</f>
        <v/>
      </c>
    </row>
    <row r="4051">
      <c r="A4051" t="inlineStr">
        <is>
          <t>CO-002581</t>
        </is>
      </c>
      <c r="B4051" t="inlineStr">
        <is>
          <t>GACSA PERU S.A.C.</t>
        </is>
      </c>
      <c r="C4051" t="n">
        <v>20602629068</v>
      </c>
      <c r="D4051" t="inlineStr">
        <is>
          <t>NISSAN LA MOLINA</t>
        </is>
      </c>
      <c r="E4051" t="inlineStr">
        <is>
          <t>Lima, 18 de diciembre del 2025</t>
        </is>
      </c>
      <c r="F4051" t="inlineStr">
        <is>
          <t>la Recarga y mantenimiento</t>
        </is>
      </c>
      <c r="G4051" t="n">
        <v>13</v>
      </c>
      <c r="H4051" t="inlineStr">
        <is>
          <t>12 KG</t>
        </is>
      </c>
      <c r="I4051" t="n">
        <v>2030</v>
      </c>
      <c r="J4051" t="n">
        <v>2008</v>
      </c>
      <c r="K4051" t="inlineStr">
        <is>
          <t>DICIEMBRE 2025</t>
        </is>
      </c>
      <c r="L4051" t="inlineStr">
        <is>
          <t>DICIEMBRE 2026</t>
        </is>
      </c>
      <c r="M4051" t="inlineStr">
        <is>
          <t xml:space="preserve">PQS TIPO ABC </t>
        </is>
      </c>
      <c r="N4051" t="inlineStr">
        <is>
          <t>13/000006</t>
        </is>
      </c>
      <c r="O4051" t="inlineStr">
        <is>
          <t>R</t>
        </is>
      </c>
      <c r="P4051">
        <f>TRIM(N4051)</f>
        <v/>
      </c>
    </row>
    <row r="4052">
      <c r="A4052" t="inlineStr">
        <is>
          <t>CO-002581</t>
        </is>
      </c>
      <c r="B4052" t="inlineStr">
        <is>
          <t>GACSA PERU S.A.C.</t>
        </is>
      </c>
      <c r="C4052" t="n">
        <v>20602629068</v>
      </c>
      <c r="D4052" t="inlineStr">
        <is>
          <t>NISSAN LA MOLINA</t>
        </is>
      </c>
      <c r="E4052" t="inlineStr">
        <is>
          <t>Lima, 18 de diciembre del 2025</t>
        </is>
      </c>
      <c r="F4052" t="inlineStr">
        <is>
          <t>la Recarga y mantenimiento</t>
        </is>
      </c>
      <c r="G4052" t="n">
        <v>14</v>
      </c>
      <c r="H4052" t="inlineStr">
        <is>
          <t>50 KG</t>
        </is>
      </c>
      <c r="I4052" t="n">
        <v>2026</v>
      </c>
      <c r="J4052" t="n">
        <v>2021</v>
      </c>
      <c r="K4052" t="inlineStr">
        <is>
          <t>DICIEMBRE 2025</t>
        </is>
      </c>
      <c r="L4052" t="inlineStr">
        <is>
          <t>DICIEMBRE 2026</t>
        </is>
      </c>
      <c r="M4052" t="inlineStr">
        <is>
          <t xml:space="preserve">PQS TIPO ABC AL 75% </t>
        </is>
      </c>
      <c r="N4052" t="inlineStr">
        <is>
          <t>14/000030</t>
        </is>
      </c>
      <c r="O4052" t="inlineStr">
        <is>
          <t>R</t>
        </is>
      </c>
      <c r="P4052">
        <f>TRIM(N4052)</f>
        <v/>
      </c>
    </row>
    <row r="4053">
      <c r="A4053" t="inlineStr">
        <is>
          <t>CO-002581</t>
        </is>
      </c>
      <c r="B4053" t="inlineStr">
        <is>
          <t>GACSA PERU S.A.C.</t>
        </is>
      </c>
      <c r="C4053" t="n">
        <v>20602629068</v>
      </c>
      <c r="D4053" t="inlineStr">
        <is>
          <t>NISSAN LA MOLINA</t>
        </is>
      </c>
      <c r="E4053" t="inlineStr">
        <is>
          <t>Lima, 18 de diciembre del 2025</t>
        </is>
      </c>
      <c r="F4053" t="inlineStr">
        <is>
          <t>la Recarga y mantenimiento</t>
        </is>
      </c>
      <c r="G4053" t="n">
        <v>15</v>
      </c>
      <c r="H4053" t="inlineStr">
        <is>
          <t>06 KG</t>
        </is>
      </c>
      <c r="I4053" t="n">
        <v>2030</v>
      </c>
      <c r="J4053" t="n">
        <v>2007</v>
      </c>
      <c r="K4053" t="inlineStr">
        <is>
          <t>DICIEMBRE 2025</t>
        </is>
      </c>
      <c r="L4053" t="inlineStr">
        <is>
          <t>DICIEMBRE 2026</t>
        </is>
      </c>
      <c r="M4053" t="inlineStr">
        <is>
          <t xml:space="preserve">PQS TIPO ABC </t>
        </is>
      </c>
      <c r="N4053" t="inlineStr">
        <is>
          <t>15/000325</t>
        </is>
      </c>
      <c r="O4053" t="inlineStr">
        <is>
          <t>R</t>
        </is>
      </c>
      <c r="P4053">
        <f>TRIM(N4053)</f>
        <v/>
      </c>
    </row>
    <row r="4054">
      <c r="A4054" t="inlineStr">
        <is>
          <t>CO-002582</t>
        </is>
      </c>
      <c r="B4054" t="inlineStr">
        <is>
          <t>GACSA PERU S.A.C.</t>
        </is>
      </c>
      <c r="C4054" t="n">
        <v>20602629068</v>
      </c>
      <c r="D4054" t="inlineStr">
        <is>
          <t>NISSAN LA MOLINA</t>
        </is>
      </c>
      <c r="E4054" t="inlineStr">
        <is>
          <t>Lima, 18 de diciembre del 2025</t>
        </is>
      </c>
      <c r="F4054" t="inlineStr">
        <is>
          <t>la Recarga y mantenimiento</t>
        </is>
      </c>
      <c r="G4054" t="inlineStr">
        <is>
          <t xml:space="preserve">01 </t>
        </is>
      </c>
      <c r="H4054" t="inlineStr">
        <is>
          <t>12 KG</t>
        </is>
      </c>
      <c r="I4054" t="inlineStr">
        <is>
          <t>2030</t>
        </is>
      </c>
      <c r="J4054" t="n">
        <v>2012</v>
      </c>
      <c r="K4054" t="inlineStr">
        <is>
          <t>DICIEMBRE 2025</t>
        </is>
      </c>
      <c r="L4054" t="inlineStr">
        <is>
          <t>DICIEMBRE 2026</t>
        </is>
      </c>
      <c r="M4054" t="inlineStr">
        <is>
          <t xml:space="preserve">PQS TIPO ABC AL 75% </t>
        </is>
      </c>
      <c r="N4054" t="inlineStr">
        <is>
          <t>16/000358</t>
        </is>
      </c>
      <c r="O4054" t="inlineStr">
        <is>
          <t>R</t>
        </is>
      </c>
      <c r="P4054">
        <f>TRIM(N4054)</f>
        <v/>
      </c>
    </row>
    <row r="4055">
      <c r="A4055" t="inlineStr">
        <is>
          <t>CO-002582</t>
        </is>
      </c>
      <c r="B4055" t="inlineStr">
        <is>
          <t>GACSA PERU S.A.C.</t>
        </is>
      </c>
      <c r="C4055" t="n">
        <v>20602629068</v>
      </c>
      <c r="D4055" t="inlineStr">
        <is>
          <t>NISSAN LA MOLINA</t>
        </is>
      </c>
      <c r="E4055" t="inlineStr">
        <is>
          <t>Lima, 18 de diciembre del 2025</t>
        </is>
      </c>
      <c r="F4055" t="inlineStr">
        <is>
          <t>la Recarga y mantenimiento</t>
        </is>
      </c>
      <c r="G4055" t="inlineStr">
        <is>
          <t xml:space="preserve">02 </t>
        </is>
      </c>
      <c r="H4055" t="inlineStr">
        <is>
          <t>50 KG</t>
        </is>
      </c>
      <c r="I4055" t="inlineStr">
        <is>
          <t>2030</t>
        </is>
      </c>
      <c r="J4055" t="n">
        <v>2012</v>
      </c>
      <c r="K4055" t="inlineStr">
        <is>
          <t>DICIEMBRE 2025</t>
        </is>
      </c>
      <c r="L4055" t="inlineStr">
        <is>
          <t>DICIEMBRE 2026</t>
        </is>
      </c>
      <c r="M4055" t="inlineStr">
        <is>
          <t xml:space="preserve">PQS TIPO ABC </t>
        </is>
      </c>
      <c r="N4055" t="inlineStr">
        <is>
          <t>17/000017</t>
        </is>
      </c>
      <c r="O4055" t="inlineStr">
        <is>
          <t>R</t>
        </is>
      </c>
      <c r="P4055">
        <f>TRIM(N4055)</f>
        <v/>
      </c>
    </row>
    <row r="4056">
      <c r="A4056" t="inlineStr">
        <is>
          <t>CO-002582</t>
        </is>
      </c>
      <c r="B4056" t="inlineStr">
        <is>
          <t>GACSA PERU S.A.C.</t>
        </is>
      </c>
      <c r="C4056" t="n">
        <v>20602629068</v>
      </c>
      <c r="D4056" t="inlineStr">
        <is>
          <t>NISSAN LA MOLINA</t>
        </is>
      </c>
      <c r="E4056" t="inlineStr">
        <is>
          <t>Lima, 18 de diciembre del 2025</t>
        </is>
      </c>
      <c r="F4056" t="inlineStr">
        <is>
          <t>la Recarga y mantenimiento</t>
        </is>
      </c>
      <c r="G4056" t="inlineStr">
        <is>
          <t>03</t>
        </is>
      </c>
      <c r="H4056" t="inlineStr">
        <is>
          <t>06 KG</t>
        </is>
      </c>
      <c r="I4056" t="n">
        <v>2029</v>
      </c>
      <c r="J4056" t="n">
        <v>2019</v>
      </c>
      <c r="K4056" t="inlineStr">
        <is>
          <t>DICIEMBRE 2025</t>
        </is>
      </c>
      <c r="L4056" t="inlineStr">
        <is>
          <t>DICIEMBRE 2026</t>
        </is>
      </c>
      <c r="M4056" t="inlineStr">
        <is>
          <t xml:space="preserve">PQS TIPO ABC </t>
        </is>
      </c>
      <c r="N4056" t="inlineStr">
        <is>
          <t>18/002601</t>
        </is>
      </c>
      <c r="O4056" t="inlineStr">
        <is>
          <t>R</t>
        </is>
      </c>
      <c r="P4056">
        <f>TRIM(N4056)</f>
        <v/>
      </c>
    </row>
    <row r="4057">
      <c r="A4057" t="inlineStr">
        <is>
          <t>CO-002582</t>
        </is>
      </c>
      <c r="B4057" t="inlineStr">
        <is>
          <t>GACSA PERU S.A.C.</t>
        </is>
      </c>
      <c r="C4057" t="n">
        <v>20602629068</v>
      </c>
      <c r="D4057" t="inlineStr">
        <is>
          <t>NISSAN LA MOLINA</t>
        </is>
      </c>
      <c r="E4057" t="inlineStr">
        <is>
          <t>Lima, 18 de diciembre del 2025</t>
        </is>
      </c>
      <c r="F4057" t="inlineStr">
        <is>
          <t>la Recarga y mantenimiento</t>
        </is>
      </c>
      <c r="G4057" t="inlineStr">
        <is>
          <t xml:space="preserve">04 </t>
        </is>
      </c>
      <c r="H4057" t="inlineStr">
        <is>
          <t>06 KG</t>
        </is>
      </c>
      <c r="I4057" t="n">
        <v>2026</v>
      </c>
      <c r="J4057" t="n">
        <v>2021</v>
      </c>
      <c r="K4057" t="inlineStr">
        <is>
          <t>DICIEMBRE 2025</t>
        </is>
      </c>
      <c r="L4057" t="inlineStr">
        <is>
          <t>DICIEMBRE 2026</t>
        </is>
      </c>
      <c r="M4057" t="inlineStr">
        <is>
          <t xml:space="preserve">PQS TIPO ABC </t>
        </is>
      </c>
      <c r="N4057" t="inlineStr">
        <is>
          <t>19/002087</t>
        </is>
      </c>
      <c r="O4057" t="inlineStr">
        <is>
          <t>R</t>
        </is>
      </c>
      <c r="P4057">
        <f>TRIM(N4057)</f>
        <v/>
      </c>
    </row>
    <row r="4058">
      <c r="A4058" t="inlineStr">
        <is>
          <t>CO-002582</t>
        </is>
      </c>
      <c r="B4058" t="inlineStr">
        <is>
          <t>GACSA PERU S.A.C.</t>
        </is>
      </c>
      <c r="C4058" t="n">
        <v>20602629068</v>
      </c>
      <c r="D4058" t="inlineStr">
        <is>
          <t>NISSAN LA MOLINA</t>
        </is>
      </c>
      <c r="E4058" t="inlineStr">
        <is>
          <t>Lima, 18 de diciembre del 2025</t>
        </is>
      </c>
      <c r="F4058" t="inlineStr">
        <is>
          <t>la Recarga y mantenimiento</t>
        </is>
      </c>
      <c r="G4058" t="inlineStr">
        <is>
          <t>05</t>
        </is>
      </c>
      <c r="H4058" t="inlineStr">
        <is>
          <t>12 KG</t>
        </is>
      </c>
      <c r="I4058" t="n">
        <v>2026</v>
      </c>
      <c r="J4058" t="n">
        <v>2016</v>
      </c>
      <c r="K4058" t="inlineStr">
        <is>
          <t>DICIEMBRE 2025</t>
        </is>
      </c>
      <c r="L4058" t="inlineStr">
        <is>
          <t>DICIEMBRE 2026</t>
        </is>
      </c>
      <c r="M4058" t="inlineStr">
        <is>
          <t xml:space="preserve">PQS TIPO ABC </t>
        </is>
      </c>
      <c r="N4058" t="inlineStr">
        <is>
          <t>20/000114</t>
        </is>
      </c>
      <c r="O4058" t="inlineStr">
        <is>
          <t>R</t>
        </is>
      </c>
      <c r="P4058">
        <f>TRIM(N4058)</f>
        <v/>
      </c>
    </row>
    <row r="4059">
      <c r="A4059" t="inlineStr">
        <is>
          <t>CO-002582</t>
        </is>
      </c>
      <c r="B4059" t="inlineStr">
        <is>
          <t>GACSA PERU S.A.C.</t>
        </is>
      </c>
      <c r="C4059" t="n">
        <v>20602629068</v>
      </c>
      <c r="D4059" t="inlineStr">
        <is>
          <t>NISSAN LA MOLINA</t>
        </is>
      </c>
      <c r="E4059" t="inlineStr">
        <is>
          <t>Lima, 18 de diciembre del 2025</t>
        </is>
      </c>
      <c r="F4059" t="inlineStr">
        <is>
          <t>la Recarga y mantenimiento</t>
        </is>
      </c>
      <c r="G4059" t="inlineStr">
        <is>
          <t>06</t>
        </is>
      </c>
      <c r="H4059" t="inlineStr">
        <is>
          <t>10 LBS</t>
        </is>
      </c>
      <c r="I4059" t="n">
        <v>2028</v>
      </c>
      <c r="J4059" t="n">
        <v>2023</v>
      </c>
      <c r="K4059" t="inlineStr">
        <is>
          <t>DICIEMBRE 2025</t>
        </is>
      </c>
      <c r="L4059" t="inlineStr">
        <is>
          <t>DICIEMBRE 2026</t>
        </is>
      </c>
      <c r="M4059" t="inlineStr">
        <is>
          <t>CO2 TIPO BC</t>
        </is>
      </c>
      <c r="N4059" t="inlineStr">
        <is>
          <t>21/000710</t>
        </is>
      </c>
      <c r="O4059" t="inlineStr">
        <is>
          <t>R</t>
        </is>
      </c>
      <c r="P4059">
        <f>TRIM(N4059)</f>
        <v/>
      </c>
    </row>
    <row r="4060">
      <c r="A4060" t="inlineStr">
        <is>
          <t>CO-002582</t>
        </is>
      </c>
      <c r="B4060" t="inlineStr">
        <is>
          <t>GACSA PERU S.A.C.</t>
        </is>
      </c>
      <c r="C4060" t="n">
        <v>20602629068</v>
      </c>
      <c r="D4060" t="inlineStr">
        <is>
          <t>NISSAN LA MOLINA</t>
        </is>
      </c>
      <c r="E4060" t="inlineStr">
        <is>
          <t>Lima, 18 de diciembre del 2025</t>
        </is>
      </c>
      <c r="F4060" t="inlineStr">
        <is>
          <t>la Recarga y mantenimiento</t>
        </is>
      </c>
      <c r="G4060" t="inlineStr">
        <is>
          <t>07</t>
        </is>
      </c>
      <c r="H4060" t="inlineStr">
        <is>
          <t>10 LBS</t>
        </is>
      </c>
      <c r="I4060" t="n">
        <v>2029</v>
      </c>
      <c r="J4060" t="n">
        <v>2019</v>
      </c>
      <c r="K4060" t="inlineStr">
        <is>
          <t>DICIEMBRE 2025</t>
        </is>
      </c>
      <c r="L4060" t="inlineStr">
        <is>
          <t>DICIEMBRE 2026</t>
        </is>
      </c>
      <c r="M4060" t="inlineStr">
        <is>
          <t>CO2 TIPO BC</t>
        </is>
      </c>
      <c r="N4060" t="inlineStr">
        <is>
          <t>22/000543</t>
        </is>
      </c>
      <c r="O4060" t="inlineStr">
        <is>
          <t>R</t>
        </is>
      </c>
      <c r="P4060">
        <f>TRIM(N4060)</f>
        <v/>
      </c>
    </row>
    <row r="4061">
      <c r="A4061" t="inlineStr">
        <is>
          <t>CO-002582</t>
        </is>
      </c>
      <c r="B4061" t="inlineStr">
        <is>
          <t>GACSA PERU S.A.C.</t>
        </is>
      </c>
      <c r="C4061" t="n">
        <v>20602629068</v>
      </c>
      <c r="D4061" t="inlineStr">
        <is>
          <t>NISSAN LA MOLINA</t>
        </is>
      </c>
      <c r="E4061" t="inlineStr">
        <is>
          <t>Lima, 18 de diciembre del 2025</t>
        </is>
      </c>
      <c r="F4061" t="inlineStr">
        <is>
          <t>la Recarga y mantenimiento</t>
        </is>
      </c>
      <c r="G4061" t="inlineStr">
        <is>
          <t>08</t>
        </is>
      </c>
      <c r="H4061" t="inlineStr">
        <is>
          <t>1O LBS</t>
        </is>
      </c>
      <c r="I4061" t="n">
        <v>2029</v>
      </c>
      <c r="J4061" t="n">
        <v>2019</v>
      </c>
      <c r="K4061" t="inlineStr">
        <is>
          <t>DICIEMBRE 2025</t>
        </is>
      </c>
      <c r="L4061" t="inlineStr">
        <is>
          <t>DICIEMBRE 2026</t>
        </is>
      </c>
      <c r="M4061" t="inlineStr">
        <is>
          <t xml:space="preserve">CO2 TIPO BC </t>
        </is>
      </c>
      <c r="N4061" t="inlineStr">
        <is>
          <t>23/000517</t>
        </is>
      </c>
      <c r="O4061" t="inlineStr">
        <is>
          <t>R</t>
        </is>
      </c>
      <c r="P4061">
        <f>TRIM(N4061)</f>
        <v/>
      </c>
    </row>
    <row r="4062">
      <c r="A4062" t="inlineStr">
        <is>
          <t>CO-002582</t>
        </is>
      </c>
      <c r="B4062" t="inlineStr">
        <is>
          <t>GACSA PERU S.A.C.</t>
        </is>
      </c>
      <c r="C4062" t="n">
        <v>20602629068</v>
      </c>
      <c r="D4062" t="inlineStr">
        <is>
          <t>NISSAN LA MOLINA</t>
        </is>
      </c>
      <c r="E4062" t="inlineStr">
        <is>
          <t>Lima, 18 de diciembre del 2025</t>
        </is>
      </c>
      <c r="F4062" t="inlineStr">
        <is>
          <t>la Recarga y mantenimiento</t>
        </is>
      </c>
      <c r="G4062" t="inlineStr">
        <is>
          <t>09</t>
        </is>
      </c>
      <c r="H4062" t="inlineStr">
        <is>
          <t>10 LBS</t>
        </is>
      </c>
      <c r="I4062" t="n">
        <v>2030</v>
      </c>
      <c r="J4062" t="n">
        <v>2025</v>
      </c>
      <c r="K4062" t="inlineStr">
        <is>
          <t>DICIEMBRE 2025</t>
        </is>
      </c>
      <c r="L4062" t="inlineStr">
        <is>
          <t>DICIEMBRE 2026</t>
        </is>
      </c>
      <c r="M4062" t="inlineStr">
        <is>
          <t xml:space="preserve">CO2 TIPO BC </t>
        </is>
      </c>
      <c r="N4062" t="inlineStr">
        <is>
          <t>24/000515</t>
        </is>
      </c>
      <c r="O4062" t="inlineStr">
        <is>
          <t>R</t>
        </is>
      </c>
      <c r="P4062">
        <f>TRIM(N4062)</f>
        <v/>
      </c>
    </row>
    <row r="4063">
      <c r="A4063" t="inlineStr">
        <is>
          <t>CO-002582</t>
        </is>
      </c>
      <c r="B4063" t="inlineStr">
        <is>
          <t>GACSA PERU S.A.C.</t>
        </is>
      </c>
      <c r="C4063" t="n">
        <v>20602629068</v>
      </c>
      <c r="D4063" t="inlineStr">
        <is>
          <t>NISSAN LA MOLINA</t>
        </is>
      </c>
      <c r="E4063" t="inlineStr">
        <is>
          <t>Lima, 18 de diciembre del 2025</t>
        </is>
      </c>
      <c r="F4063" t="inlineStr">
        <is>
          <t>la Recarga y mantenimiento</t>
        </is>
      </c>
      <c r="G4063" t="n">
        <v>10</v>
      </c>
      <c r="H4063" t="inlineStr">
        <is>
          <t>12 KG</t>
        </is>
      </c>
      <c r="I4063" t="n">
        <v>2030</v>
      </c>
      <c r="J4063" t="n">
        <v>2009</v>
      </c>
      <c r="K4063" t="inlineStr">
        <is>
          <t>DICIEMBRE 2025</t>
        </is>
      </c>
      <c r="L4063" t="inlineStr">
        <is>
          <t>DICIEMBRE 2026</t>
        </is>
      </c>
      <c r="M4063" t="inlineStr">
        <is>
          <t xml:space="preserve">PQS TIPO ABC </t>
        </is>
      </c>
      <c r="N4063" t="inlineStr">
        <is>
          <t>25/001333</t>
        </is>
      </c>
      <c r="O4063" t="inlineStr">
        <is>
          <t>R</t>
        </is>
      </c>
      <c r="P4063">
        <f>TRIM(N4063)</f>
        <v/>
      </c>
    </row>
    <row r="4064">
      <c r="A4064" t="inlineStr">
        <is>
          <t>CO-002582</t>
        </is>
      </c>
      <c r="B4064" t="inlineStr">
        <is>
          <t>GACSA PERU S.A.C.</t>
        </is>
      </c>
      <c r="C4064" t="n">
        <v>20602629068</v>
      </c>
      <c r="D4064" t="inlineStr">
        <is>
          <t>NISSAN LA MOLINA</t>
        </is>
      </c>
      <c r="E4064" t="inlineStr">
        <is>
          <t>Lima, 18 de diciembre del 2025</t>
        </is>
      </c>
      <c r="F4064" t="inlineStr">
        <is>
          <t>la Recarga y mantenimiento</t>
        </is>
      </c>
      <c r="G4064" t="n">
        <v>11</v>
      </c>
      <c r="H4064" t="inlineStr">
        <is>
          <t>06 KG</t>
        </is>
      </c>
      <c r="I4064" t="n">
        <v>2030</v>
      </c>
      <c r="J4064" t="n">
        <v>2007</v>
      </c>
      <c r="K4064" t="inlineStr">
        <is>
          <t>DICIEMBRE 2025</t>
        </is>
      </c>
      <c r="L4064" t="inlineStr">
        <is>
          <t>DICIEMBRE 2026</t>
        </is>
      </c>
      <c r="M4064" t="inlineStr">
        <is>
          <t xml:space="preserve">PQS TIPO ABC AL 75% </t>
        </is>
      </c>
      <c r="N4064" t="inlineStr">
        <is>
          <t>26/000015</t>
        </is>
      </c>
      <c r="O4064" t="inlineStr">
        <is>
          <t>R</t>
        </is>
      </c>
      <c r="P4064">
        <f>TRIM(N4064)</f>
        <v/>
      </c>
    </row>
    <row r="4065">
      <c r="A4065" t="inlineStr">
        <is>
          <t>CO-002582</t>
        </is>
      </c>
      <c r="B4065" t="inlineStr">
        <is>
          <t>GACSA PERU S.A.C.</t>
        </is>
      </c>
      <c r="C4065" t="n">
        <v>20602629068</v>
      </c>
      <c r="D4065" t="inlineStr">
        <is>
          <t>NISSAN LA MOLINA</t>
        </is>
      </c>
      <c r="E4065" t="inlineStr">
        <is>
          <t>Lima, 18 de diciembre del 2025</t>
        </is>
      </c>
      <c r="F4065" t="inlineStr">
        <is>
          <t>la Recarga y mantenimiento</t>
        </is>
      </c>
      <c r="G4065" t="n">
        <v>12</v>
      </c>
      <c r="H4065" t="inlineStr">
        <is>
          <t>12 KG</t>
        </is>
      </c>
      <c r="I4065" t="n">
        <v>2030</v>
      </c>
      <c r="J4065" t="n">
        <v>2015</v>
      </c>
      <c r="K4065" t="inlineStr">
        <is>
          <t>DICIEMBRE 2025</t>
        </is>
      </c>
      <c r="L4065" t="inlineStr">
        <is>
          <t>DICIEMBRE 2026</t>
        </is>
      </c>
      <c r="M4065" t="inlineStr">
        <is>
          <t xml:space="preserve">PQS TIPO ABC AL 75% </t>
        </is>
      </c>
      <c r="N4065" t="inlineStr">
        <is>
          <t>27/004875</t>
        </is>
      </c>
      <c r="O4065" t="inlineStr">
        <is>
          <t>R</t>
        </is>
      </c>
      <c r="P4065">
        <f>TRIM(N4065)</f>
        <v/>
      </c>
    </row>
    <row r="4066">
      <c r="A4066" t="inlineStr">
        <is>
          <t>CO-002582</t>
        </is>
      </c>
      <c r="B4066" t="inlineStr">
        <is>
          <t>GACSA PERU S.A.C.</t>
        </is>
      </c>
      <c r="C4066" t="n">
        <v>20602629068</v>
      </c>
      <c r="D4066" t="inlineStr">
        <is>
          <t>NISSAN LA MOLINA</t>
        </is>
      </c>
      <c r="E4066" t="inlineStr">
        <is>
          <t>Lima, 18 de diciembre del 2025</t>
        </is>
      </c>
      <c r="F4066" t="inlineStr">
        <is>
          <t>la Recarga y mantenimiento</t>
        </is>
      </c>
      <c r="G4066" t="n">
        <v>13</v>
      </c>
      <c r="H4066" t="inlineStr">
        <is>
          <t>12 KG</t>
        </is>
      </c>
      <c r="I4066" t="n">
        <v>2030</v>
      </c>
      <c r="J4066" t="n">
        <v>2015</v>
      </c>
      <c r="K4066" t="inlineStr">
        <is>
          <t>DICIEMBRE 2025</t>
        </is>
      </c>
      <c r="L4066" t="inlineStr">
        <is>
          <t>DICIEMBRE 2026</t>
        </is>
      </c>
      <c r="M4066" t="inlineStr">
        <is>
          <t xml:space="preserve">PQS TIPO ABC AL 75% </t>
        </is>
      </c>
      <c r="N4066" t="inlineStr">
        <is>
          <t>28/000220</t>
        </is>
      </c>
      <c r="O4066" t="inlineStr">
        <is>
          <t>R</t>
        </is>
      </c>
      <c r="P4066">
        <f>TRIM(N4066)</f>
        <v/>
      </c>
    </row>
    <row r="4067">
      <c r="A4067" t="inlineStr">
        <is>
          <t>CO-002582</t>
        </is>
      </c>
      <c r="B4067" t="inlineStr">
        <is>
          <t>GACSA PERU S.A.C.</t>
        </is>
      </c>
      <c r="C4067" t="n">
        <v>20602629068</v>
      </c>
      <c r="D4067" t="inlineStr">
        <is>
          <t>NISSAN LA MOLINA</t>
        </is>
      </c>
      <c r="E4067" t="inlineStr">
        <is>
          <t>Lima, 18 de diciembre del 2025</t>
        </is>
      </c>
      <c r="F4067" t="inlineStr">
        <is>
          <t>la Recarga y mantenimiento</t>
        </is>
      </c>
      <c r="G4067" t="n">
        <v>14</v>
      </c>
      <c r="H4067" t="inlineStr">
        <is>
          <t>12 KG</t>
        </is>
      </c>
      <c r="I4067" t="n">
        <v>2030</v>
      </c>
      <c r="J4067" t="n">
        <v>2015</v>
      </c>
      <c r="K4067" t="inlineStr">
        <is>
          <t>DICIEMBRE 2025</t>
        </is>
      </c>
      <c r="L4067" t="inlineStr">
        <is>
          <t>DICIEMBRE 2026</t>
        </is>
      </c>
      <c r="M4067" t="inlineStr">
        <is>
          <t xml:space="preserve">PQS TIPO ABC AL 75% </t>
        </is>
      </c>
      <c r="N4067" t="inlineStr">
        <is>
          <t>29/000147</t>
        </is>
      </c>
      <c r="O4067" t="inlineStr">
        <is>
          <t>R</t>
        </is>
      </c>
      <c r="P4067">
        <f>TRIM(N4067)</f>
        <v/>
      </c>
    </row>
    <row r="4068">
      <c r="A4068" t="inlineStr">
        <is>
          <t>CO-002582</t>
        </is>
      </c>
      <c r="B4068" t="inlineStr">
        <is>
          <t>GACSA PERU S.A.C.</t>
        </is>
      </c>
      <c r="C4068" t="n">
        <v>20602629068</v>
      </c>
      <c r="D4068" t="inlineStr">
        <is>
          <t>NISSAN LA MOLINA</t>
        </is>
      </c>
      <c r="E4068" t="inlineStr">
        <is>
          <t>Lima, 18 de diciembre del 2025</t>
        </is>
      </c>
      <c r="F4068" t="inlineStr">
        <is>
          <t>la Recarga y mantenimiento</t>
        </is>
      </c>
      <c r="G4068" t="n">
        <v>15</v>
      </c>
      <c r="H4068" t="inlineStr">
        <is>
          <t>06 KG</t>
        </is>
      </c>
      <c r="I4068" t="n">
        <v>2026</v>
      </c>
      <c r="J4068" t="n">
        <v>2021</v>
      </c>
      <c r="K4068" t="inlineStr">
        <is>
          <t>DICIEMBRE 2025</t>
        </is>
      </c>
      <c r="L4068" t="inlineStr">
        <is>
          <t>DICIEMBRE 2026</t>
        </is>
      </c>
      <c r="M4068" t="inlineStr">
        <is>
          <t xml:space="preserve">PQS TIPO ABC AL 75% </t>
        </is>
      </c>
      <c r="N4068" t="inlineStr">
        <is>
          <t>30/004927</t>
        </is>
      </c>
      <c r="O4068" t="inlineStr">
        <is>
          <t>R</t>
        </is>
      </c>
      <c r="P4068">
        <f>TRIM(N4068)</f>
        <v/>
      </c>
    </row>
    <row r="4069">
      <c r="A4069" t="inlineStr">
        <is>
          <t>CO-002583</t>
        </is>
      </c>
      <c r="B4069" t="inlineStr">
        <is>
          <t>GACSA PERU S.A.C.</t>
        </is>
      </c>
      <c r="C4069" t="n">
        <v>20602629068</v>
      </c>
      <c r="D4069" t="inlineStr">
        <is>
          <t>PYP VILLA EL SALVADOR</t>
        </is>
      </c>
      <c r="E4069" t="inlineStr">
        <is>
          <t>Lima, 29 de diciembre del 2025</t>
        </is>
      </c>
      <c r="F4069" t="inlineStr">
        <is>
          <t>la Recarga y mantenimiento</t>
        </is>
      </c>
      <c r="G4069" t="inlineStr">
        <is>
          <t>01</t>
        </is>
      </c>
      <c r="H4069" t="inlineStr">
        <is>
          <t>06 KG</t>
        </is>
      </c>
      <c r="I4069" t="inlineStr">
        <is>
          <t>2027</t>
        </is>
      </c>
      <c r="J4069" t="n">
        <v>2015</v>
      </c>
      <c r="K4069" t="inlineStr">
        <is>
          <t>DICIEMBRE 2025</t>
        </is>
      </c>
      <c r="L4069" t="inlineStr">
        <is>
          <t>DICIEMBRE 2026</t>
        </is>
      </c>
      <c r="M4069" t="inlineStr">
        <is>
          <t xml:space="preserve">PQS TIPO ABC AL 75% </t>
        </is>
      </c>
      <c r="N4069" t="inlineStr">
        <is>
          <t>000579</t>
        </is>
      </c>
      <c r="O4069" t="inlineStr">
        <is>
          <t>R</t>
        </is>
      </c>
      <c r="P4069">
        <f>TRIM(N4069)</f>
        <v/>
      </c>
    </row>
    <row r="4070">
      <c r="A4070" t="inlineStr">
        <is>
          <t>CO-002583</t>
        </is>
      </c>
      <c r="B4070" t="inlineStr">
        <is>
          <t>GACSA PERU S.A.C.</t>
        </is>
      </c>
      <c r="C4070" t="n">
        <v>20602629068</v>
      </c>
      <c r="D4070" t="inlineStr">
        <is>
          <t>PYP VILLA EL SALVADOR</t>
        </is>
      </c>
      <c r="E4070" t="inlineStr">
        <is>
          <t>Lima, 29 de diciembre del 2025</t>
        </is>
      </c>
      <c r="F4070" t="inlineStr">
        <is>
          <t>la Recarga y mantenimiento</t>
        </is>
      </c>
      <c r="G4070" t="inlineStr">
        <is>
          <t>02</t>
        </is>
      </c>
      <c r="H4070" t="inlineStr">
        <is>
          <t>06 KG</t>
        </is>
      </c>
      <c r="I4070" t="inlineStr">
        <is>
          <t>2027</t>
        </is>
      </c>
      <c r="J4070" t="n">
        <v>2015</v>
      </c>
      <c r="K4070" t="inlineStr">
        <is>
          <t>DICIEMBRE 2025</t>
        </is>
      </c>
      <c r="L4070" t="inlineStr">
        <is>
          <t>DICIEMBRE 2026</t>
        </is>
      </c>
      <c r="M4070" t="inlineStr">
        <is>
          <t xml:space="preserve">PQS TIPO ABC AL 75% </t>
        </is>
      </c>
      <c r="N4070" t="inlineStr">
        <is>
          <t>000455</t>
        </is>
      </c>
      <c r="O4070" t="inlineStr">
        <is>
          <t>R</t>
        </is>
      </c>
      <c r="P4070">
        <f>TRIM(N4070)</f>
        <v/>
      </c>
    </row>
    <row r="4071">
      <c r="A4071" t="inlineStr">
        <is>
          <t>CO-002583</t>
        </is>
      </c>
      <c r="B4071" t="inlineStr">
        <is>
          <t>GACSA PERU S.A.C.</t>
        </is>
      </c>
      <c r="C4071" t="n">
        <v>20602629068</v>
      </c>
      <c r="D4071" t="inlineStr">
        <is>
          <t>PYP VILLA EL SALVADOR</t>
        </is>
      </c>
      <c r="E4071" t="inlineStr">
        <is>
          <t>Lima, 29 de diciembre del 2025</t>
        </is>
      </c>
      <c r="F4071" t="inlineStr">
        <is>
          <t>la Recarga y mantenimiento</t>
        </is>
      </c>
      <c r="G4071" t="inlineStr">
        <is>
          <t>03</t>
        </is>
      </c>
      <c r="H4071" t="inlineStr">
        <is>
          <t>06 KG</t>
        </is>
      </c>
      <c r="I4071" t="inlineStr">
        <is>
          <t>2026</t>
        </is>
      </c>
      <c r="J4071" t="n">
        <v>2015</v>
      </c>
      <c r="K4071" t="inlineStr">
        <is>
          <t>DICIEMBRE 2025</t>
        </is>
      </c>
      <c r="L4071" t="inlineStr">
        <is>
          <t>DICIEMBRE 2026</t>
        </is>
      </c>
      <c r="M4071" t="inlineStr">
        <is>
          <t xml:space="preserve">PQS TIPO ABC AL 75% </t>
        </is>
      </c>
      <c r="N4071" t="inlineStr">
        <is>
          <t>000835</t>
        </is>
      </c>
      <c r="O4071" t="inlineStr">
        <is>
          <t>R</t>
        </is>
      </c>
      <c r="P4071">
        <f>TRIM(N4071)</f>
        <v/>
      </c>
    </row>
    <row r="4072">
      <c r="A4072" t="inlineStr">
        <is>
          <t>CO-002583</t>
        </is>
      </c>
      <c r="B4072" t="inlineStr">
        <is>
          <t>GACSA PERU S.A.C.</t>
        </is>
      </c>
      <c r="C4072" t="n">
        <v>20602629068</v>
      </c>
      <c r="D4072" t="inlineStr">
        <is>
          <t>PYP VILLA EL SALVADOR</t>
        </is>
      </c>
      <c r="E4072" t="inlineStr">
        <is>
          <t>Lima, 29 de diciembre del 2025</t>
        </is>
      </c>
      <c r="F4072" t="inlineStr">
        <is>
          <t>la Recarga y mantenimiento</t>
        </is>
      </c>
      <c r="G4072" t="inlineStr">
        <is>
          <t>04</t>
        </is>
      </c>
      <c r="H4072" t="inlineStr">
        <is>
          <t>06 KG</t>
        </is>
      </c>
      <c r="I4072" t="inlineStr">
        <is>
          <t>2026</t>
        </is>
      </c>
      <c r="J4072" t="n">
        <v>2015</v>
      </c>
      <c r="K4072" t="inlineStr">
        <is>
          <t>DICIEMBRE 2025</t>
        </is>
      </c>
      <c r="L4072" t="inlineStr">
        <is>
          <t>DICIEMBRE 2026</t>
        </is>
      </c>
      <c r="M4072" t="inlineStr">
        <is>
          <t xml:space="preserve">PQS TIPO ABC AL 75% </t>
        </is>
      </c>
      <c r="N4072" t="inlineStr">
        <is>
          <t>000554</t>
        </is>
      </c>
      <c r="O4072" t="inlineStr">
        <is>
          <t>R</t>
        </is>
      </c>
      <c r="P4072">
        <f>TRIM(N4072)</f>
        <v/>
      </c>
    </row>
    <row r="4073">
      <c r="A4073" t="inlineStr">
        <is>
          <t>CO-002583</t>
        </is>
      </c>
      <c r="B4073" t="inlineStr">
        <is>
          <t>GACSA PERU S.A.C.</t>
        </is>
      </c>
      <c r="C4073" t="n">
        <v>20602629068</v>
      </c>
      <c r="D4073" t="inlineStr">
        <is>
          <t>PYP VILLA EL SALVADOR</t>
        </is>
      </c>
      <c r="E4073" t="inlineStr">
        <is>
          <t>Lima, 29 de diciembre del 2025</t>
        </is>
      </c>
      <c r="F4073" t="inlineStr">
        <is>
          <t>la Recarga y mantenimiento</t>
        </is>
      </c>
      <c r="G4073" t="inlineStr">
        <is>
          <t>05</t>
        </is>
      </c>
      <c r="H4073" t="inlineStr">
        <is>
          <t>06 KG</t>
        </is>
      </c>
      <c r="I4073" t="inlineStr">
        <is>
          <t>2027</t>
        </is>
      </c>
      <c r="J4073" t="n">
        <v>2015</v>
      </c>
      <c r="K4073" t="inlineStr">
        <is>
          <t>DICIEMBRE 2025</t>
        </is>
      </c>
      <c r="L4073" t="inlineStr">
        <is>
          <t>DICIEMBRE 2026</t>
        </is>
      </c>
      <c r="M4073" t="inlineStr">
        <is>
          <t xml:space="preserve">PQS TIPO ABC AL 75% </t>
        </is>
      </c>
      <c r="N4073" t="inlineStr">
        <is>
          <t>000672</t>
        </is>
      </c>
      <c r="O4073" t="inlineStr">
        <is>
          <t>R</t>
        </is>
      </c>
      <c r="P4073">
        <f>TRIM(N4073)</f>
        <v/>
      </c>
    </row>
    <row r="4074">
      <c r="A4074" t="inlineStr">
        <is>
          <t>CO-002583</t>
        </is>
      </c>
      <c r="B4074" t="inlineStr">
        <is>
          <t>GACSA PERU S.A.C.</t>
        </is>
      </c>
      <c r="C4074" t="n">
        <v>20602629068</v>
      </c>
      <c r="D4074" t="inlineStr">
        <is>
          <t>PYP VILLA EL SALVADOR</t>
        </is>
      </c>
      <c r="E4074" t="inlineStr">
        <is>
          <t>Lima, 29 de diciembre del 2025</t>
        </is>
      </c>
      <c r="F4074" t="inlineStr">
        <is>
          <t>la Recarga y mantenimiento</t>
        </is>
      </c>
      <c r="G4074" t="inlineStr">
        <is>
          <t>06</t>
        </is>
      </c>
      <c r="H4074" t="inlineStr">
        <is>
          <t>06 KG</t>
        </is>
      </c>
      <c r="I4074" t="inlineStr">
        <is>
          <t>2027</t>
        </is>
      </c>
      <c r="J4074" t="n">
        <v>2015</v>
      </c>
      <c r="K4074" t="inlineStr">
        <is>
          <t>DICIEMBRE 2025</t>
        </is>
      </c>
      <c r="L4074" t="inlineStr">
        <is>
          <t>DICIEMBRE 2026</t>
        </is>
      </c>
      <c r="M4074" t="inlineStr">
        <is>
          <t xml:space="preserve">PQS TIPO ABC AL 75% </t>
        </is>
      </c>
      <c r="N4074" t="inlineStr">
        <is>
          <t>000504</t>
        </is>
      </c>
      <c r="O4074" t="inlineStr">
        <is>
          <t>R</t>
        </is>
      </c>
      <c r="P4074">
        <f>TRIM(N4074)</f>
        <v/>
      </c>
    </row>
    <row r="4075">
      <c r="A4075" t="inlineStr">
        <is>
          <t>CO-002583</t>
        </is>
      </c>
      <c r="B4075" t="inlineStr">
        <is>
          <t>GACSA PERU S.A.C.</t>
        </is>
      </c>
      <c r="C4075" t="n">
        <v>20602629068</v>
      </c>
      <c r="D4075" t="inlineStr">
        <is>
          <t>PYP VILLA EL SALVADOR</t>
        </is>
      </c>
      <c r="E4075" t="inlineStr">
        <is>
          <t>Lima, 29 de diciembre del 2025</t>
        </is>
      </c>
      <c r="F4075" t="inlineStr">
        <is>
          <t>la Recarga y mantenimiento</t>
        </is>
      </c>
      <c r="G4075" t="inlineStr">
        <is>
          <t>07</t>
        </is>
      </c>
      <c r="H4075" t="inlineStr">
        <is>
          <t>06 KG</t>
        </is>
      </c>
      <c r="I4075" t="inlineStr">
        <is>
          <t>2027</t>
        </is>
      </c>
      <c r="J4075" t="n">
        <v>2015</v>
      </c>
      <c r="K4075" t="inlineStr">
        <is>
          <t>DICIEMBRE 2025</t>
        </is>
      </c>
      <c r="L4075" t="inlineStr">
        <is>
          <t>DICIEMBRE 2026</t>
        </is>
      </c>
      <c r="M4075" t="inlineStr">
        <is>
          <t xml:space="preserve">PQS TIPO ABC AL 75% </t>
        </is>
      </c>
      <c r="N4075" t="inlineStr">
        <is>
          <t>000381</t>
        </is>
      </c>
      <c r="O4075" t="inlineStr">
        <is>
          <t>R</t>
        </is>
      </c>
      <c r="P4075">
        <f>TRIM(N4075)</f>
        <v/>
      </c>
    </row>
    <row r="4076">
      <c r="A4076" t="inlineStr">
        <is>
          <t>CO-002583</t>
        </is>
      </c>
      <c r="B4076" t="inlineStr">
        <is>
          <t>GACSA PERU S.A.C.</t>
        </is>
      </c>
      <c r="C4076" t="n">
        <v>20602629068</v>
      </c>
      <c r="D4076" t="inlineStr">
        <is>
          <t>PYP VILLA EL SALVADOR</t>
        </is>
      </c>
      <c r="E4076" t="inlineStr">
        <is>
          <t>Lima, 29 de diciembre del 2025</t>
        </is>
      </c>
      <c r="F4076" t="inlineStr">
        <is>
          <t>la Recarga y mantenimiento</t>
        </is>
      </c>
      <c r="G4076" t="inlineStr">
        <is>
          <t>08</t>
        </is>
      </c>
      <c r="H4076" t="inlineStr">
        <is>
          <t>06 KG</t>
        </is>
      </c>
      <c r="I4076" t="inlineStr">
        <is>
          <t>2027</t>
        </is>
      </c>
      <c r="J4076" t="n">
        <v>2015</v>
      </c>
      <c r="K4076" t="inlineStr">
        <is>
          <t>DICIEMBRE 2025</t>
        </is>
      </c>
      <c r="L4076" t="inlineStr">
        <is>
          <t>DICIEMBRE 2026</t>
        </is>
      </c>
      <c r="M4076" t="inlineStr">
        <is>
          <t xml:space="preserve">PQS TIPO ABC AL 75% </t>
        </is>
      </c>
      <c r="N4076" t="inlineStr">
        <is>
          <t>001166</t>
        </is>
      </c>
      <c r="O4076" t="inlineStr">
        <is>
          <t>R</t>
        </is>
      </c>
      <c r="P4076">
        <f>TRIM(N4076)</f>
        <v/>
      </c>
    </row>
    <row r="4077">
      <c r="A4077" t="inlineStr">
        <is>
          <t>CO-002583</t>
        </is>
      </c>
      <c r="B4077" t="inlineStr">
        <is>
          <t>GACSA PERU S.A.C.</t>
        </is>
      </c>
      <c r="C4077" t="n">
        <v>20602629068</v>
      </c>
      <c r="D4077" t="inlineStr">
        <is>
          <t>PYP VILLA EL SALVADOR</t>
        </is>
      </c>
      <c r="E4077" t="inlineStr">
        <is>
          <t>Lima, 29 de diciembre del 2025</t>
        </is>
      </c>
      <c r="F4077" t="inlineStr">
        <is>
          <t>la Recarga y mantenimiento</t>
        </is>
      </c>
      <c r="G4077" t="inlineStr">
        <is>
          <t>09</t>
        </is>
      </c>
      <c r="H4077" t="inlineStr">
        <is>
          <t>06 KG</t>
        </is>
      </c>
      <c r="I4077" t="inlineStr">
        <is>
          <t>2026</t>
        </is>
      </c>
      <c r="J4077" t="n">
        <v>2015</v>
      </c>
      <c r="K4077" t="inlineStr">
        <is>
          <t>DICIEMBRE 2025</t>
        </is>
      </c>
      <c r="L4077" t="inlineStr">
        <is>
          <t>DICIEMBRE 2026</t>
        </is>
      </c>
      <c r="M4077" t="inlineStr">
        <is>
          <t xml:space="preserve">PQS TIPO ABC AL 75% </t>
        </is>
      </c>
      <c r="N4077" t="inlineStr">
        <is>
          <t>000772</t>
        </is>
      </c>
      <c r="O4077" t="inlineStr">
        <is>
          <t>R</t>
        </is>
      </c>
      <c r="P4077">
        <f>TRIM(N4077)</f>
        <v/>
      </c>
    </row>
    <row r="4078">
      <c r="A4078" t="inlineStr">
        <is>
          <t>CO-002583</t>
        </is>
      </c>
      <c r="B4078" t="inlineStr">
        <is>
          <t>GACSA PERU S.A.C.</t>
        </is>
      </c>
      <c r="C4078" t="n">
        <v>20602629068</v>
      </c>
      <c r="D4078" t="inlineStr">
        <is>
          <t>PYP VILLA EL SALVADOR</t>
        </is>
      </c>
      <c r="E4078" t="inlineStr">
        <is>
          <t>Lima, 29 de diciembre del 2025</t>
        </is>
      </c>
      <c r="F4078" t="inlineStr">
        <is>
          <t>la Recarga y mantenimiento</t>
        </is>
      </c>
      <c r="G4078" t="n">
        <v>10</v>
      </c>
      <c r="H4078" t="inlineStr">
        <is>
          <t>06 KG</t>
        </is>
      </c>
      <c r="I4078" t="inlineStr">
        <is>
          <t>2027</t>
        </is>
      </c>
      <c r="J4078" t="n">
        <v>2015</v>
      </c>
      <c r="K4078" t="inlineStr">
        <is>
          <t>DICIEMBRE 2025</t>
        </is>
      </c>
      <c r="L4078" t="inlineStr">
        <is>
          <t>DICIEMBRE 2026</t>
        </is>
      </c>
      <c r="M4078" t="inlineStr">
        <is>
          <t xml:space="preserve">PQS TIPO ABC AL 75% </t>
        </is>
      </c>
      <c r="N4078" t="inlineStr">
        <is>
          <t>000404</t>
        </is>
      </c>
      <c r="O4078" t="inlineStr">
        <is>
          <t>R</t>
        </is>
      </c>
      <c r="P4078">
        <f>TRIM(N4078)</f>
        <v/>
      </c>
    </row>
    <row r="4079">
      <c r="A4079" t="inlineStr">
        <is>
          <t>CO-002583</t>
        </is>
      </c>
      <c r="B4079" t="inlineStr">
        <is>
          <t>GACSA PERU S.A.C.</t>
        </is>
      </c>
      <c r="C4079" t="n">
        <v>20602629068</v>
      </c>
      <c r="D4079" t="inlineStr">
        <is>
          <t>PYP VILLA EL SALVADOR</t>
        </is>
      </c>
      <c r="E4079" t="inlineStr">
        <is>
          <t>Lima, 29 de diciembre del 2025</t>
        </is>
      </c>
      <c r="F4079" t="inlineStr">
        <is>
          <t>la Recarga y mantenimiento</t>
        </is>
      </c>
      <c r="G4079" t="n">
        <v>11</v>
      </c>
      <c r="H4079" t="inlineStr">
        <is>
          <t>06 KG</t>
        </is>
      </c>
      <c r="I4079" t="inlineStr">
        <is>
          <t>2027</t>
        </is>
      </c>
      <c r="J4079" t="n">
        <v>2025</v>
      </c>
      <c r="K4079" t="inlineStr">
        <is>
          <t>DICIEMBRE 2025</t>
        </is>
      </c>
      <c r="L4079" t="inlineStr">
        <is>
          <t>DICIEMBRE 2026</t>
        </is>
      </c>
      <c r="M4079" t="inlineStr">
        <is>
          <t xml:space="preserve">PQS TIPO ABC AL 75% </t>
        </is>
      </c>
      <c r="N4079" t="inlineStr">
        <is>
          <t>000857</t>
        </is>
      </c>
      <c r="O4079" t="inlineStr">
        <is>
          <t>R</t>
        </is>
      </c>
      <c r="P4079">
        <f>TRIM(N4079)</f>
        <v/>
      </c>
    </row>
    <row r="4080">
      <c r="A4080" t="inlineStr">
        <is>
          <t>CO-002583</t>
        </is>
      </c>
      <c r="B4080" t="inlineStr">
        <is>
          <t>GACSA PERU S.A.C.</t>
        </is>
      </c>
      <c r="C4080" t="n">
        <v>20602629068</v>
      </c>
      <c r="D4080" t="inlineStr">
        <is>
          <t>PYP VILLA EL SALVADOR</t>
        </is>
      </c>
      <c r="E4080" t="inlineStr">
        <is>
          <t>Lima, 29 de diciembre del 2025</t>
        </is>
      </c>
      <c r="F4080" t="inlineStr">
        <is>
          <t>la Recarga y mantenimiento</t>
        </is>
      </c>
      <c r="G4080" t="n">
        <v>12</v>
      </c>
      <c r="H4080" t="inlineStr">
        <is>
          <t>06 KG</t>
        </is>
      </c>
      <c r="I4080" t="inlineStr">
        <is>
          <t>2027</t>
        </is>
      </c>
      <c r="J4080" t="n">
        <v>2015</v>
      </c>
      <c r="K4080" t="inlineStr">
        <is>
          <t>DICIEMBRE 2025</t>
        </is>
      </c>
      <c r="L4080" t="inlineStr">
        <is>
          <t>DICIEMBRE 2026</t>
        </is>
      </c>
      <c r="M4080" t="inlineStr">
        <is>
          <t xml:space="preserve">PQS TIPO ABC AL 75% </t>
        </is>
      </c>
      <c r="N4080" t="inlineStr">
        <is>
          <t>000428</t>
        </is>
      </c>
      <c r="O4080" t="inlineStr">
        <is>
          <t>R</t>
        </is>
      </c>
      <c r="P4080">
        <f>TRIM(N4080)</f>
        <v/>
      </c>
    </row>
    <row r="4081">
      <c r="A4081" t="inlineStr">
        <is>
          <t>CO-002583</t>
        </is>
      </c>
      <c r="B4081" t="inlineStr">
        <is>
          <t>GACSA PERU S.A.C.</t>
        </is>
      </c>
      <c r="C4081" t="n">
        <v>20602629068</v>
      </c>
      <c r="D4081" t="inlineStr">
        <is>
          <t>PYP VILLA EL SALVADOR</t>
        </is>
      </c>
      <c r="E4081" t="inlineStr">
        <is>
          <t>Lima, 29 de diciembre del 2025</t>
        </is>
      </c>
      <c r="F4081" t="inlineStr">
        <is>
          <t>la Recarga y mantenimiento</t>
        </is>
      </c>
      <c r="G4081" t="n">
        <v>13</v>
      </c>
      <c r="H4081" t="inlineStr">
        <is>
          <t>06 KG</t>
        </is>
      </c>
      <c r="I4081" t="inlineStr">
        <is>
          <t>2027</t>
        </is>
      </c>
      <c r="J4081" t="n">
        <v>2015</v>
      </c>
      <c r="K4081" t="inlineStr">
        <is>
          <t>DICIEMBRE 2025</t>
        </is>
      </c>
      <c r="L4081" t="inlineStr">
        <is>
          <t>DICIEMBRE 2026</t>
        </is>
      </c>
      <c r="M4081" t="inlineStr">
        <is>
          <t xml:space="preserve">PQS TIPO ABC AL 75% </t>
        </is>
      </c>
      <c r="N4081" t="inlineStr">
        <is>
          <t>001158</t>
        </is>
      </c>
      <c r="O4081" t="inlineStr">
        <is>
          <t>R</t>
        </is>
      </c>
      <c r="P4081">
        <f>TRIM(N4081)</f>
        <v/>
      </c>
    </row>
    <row r="4082">
      <c r="A4082" t="inlineStr">
        <is>
          <t>CO-002583</t>
        </is>
      </c>
      <c r="B4082" t="inlineStr">
        <is>
          <t>GACSA PERU S.A.C.</t>
        </is>
      </c>
      <c r="C4082" t="n">
        <v>20602629068</v>
      </c>
      <c r="D4082" t="inlineStr">
        <is>
          <t>PYP VILLA EL SALVADOR</t>
        </is>
      </c>
      <c r="E4082" t="inlineStr">
        <is>
          <t>Lima, 29 de diciembre del 2025</t>
        </is>
      </c>
      <c r="F4082" t="inlineStr">
        <is>
          <t>la Recarga y mantenimiento</t>
        </is>
      </c>
      <c r="G4082" t="n">
        <v>14</v>
      </c>
      <c r="H4082" t="inlineStr">
        <is>
          <t>06 KG</t>
        </is>
      </c>
      <c r="I4082" t="inlineStr">
        <is>
          <t>2027</t>
        </is>
      </c>
      <c r="J4082" t="n">
        <v>2015</v>
      </c>
      <c r="K4082" t="inlineStr">
        <is>
          <t>DICIEMBRE 2025</t>
        </is>
      </c>
      <c r="L4082" t="inlineStr">
        <is>
          <t>DICIEMBRE 2026</t>
        </is>
      </c>
      <c r="M4082" t="inlineStr">
        <is>
          <t xml:space="preserve">PQS TIPO ABC AL 75% </t>
        </is>
      </c>
      <c r="N4082" t="inlineStr">
        <is>
          <t>000940</t>
        </is>
      </c>
      <c r="O4082" t="inlineStr">
        <is>
          <t>R</t>
        </is>
      </c>
      <c r="P4082">
        <f>TRIM(N4082)</f>
        <v/>
      </c>
    </row>
    <row r="4083">
      <c r="A4083" t="inlineStr">
        <is>
          <t>CO-002583</t>
        </is>
      </c>
      <c r="B4083" t="inlineStr">
        <is>
          <t>GACSA PERU S.A.C.</t>
        </is>
      </c>
      <c r="C4083" t="n">
        <v>20602629068</v>
      </c>
      <c r="D4083" t="inlineStr">
        <is>
          <t>PYP VILLA EL SALVADOR</t>
        </is>
      </c>
      <c r="E4083" t="inlineStr">
        <is>
          <t>Lima, 29 de diciembre del 2025</t>
        </is>
      </c>
      <c r="F4083" t="inlineStr">
        <is>
          <t>la Recarga y mantenimiento</t>
        </is>
      </c>
      <c r="G4083" t="n">
        <v>15</v>
      </c>
      <c r="H4083" t="inlineStr">
        <is>
          <t>06 KG</t>
        </is>
      </c>
      <c r="I4083" t="inlineStr">
        <is>
          <t>2026</t>
        </is>
      </c>
      <c r="J4083" t="n">
        <v>2015</v>
      </c>
      <c r="K4083" t="inlineStr">
        <is>
          <t>DICIEMBRE 2025</t>
        </is>
      </c>
      <c r="L4083" t="inlineStr">
        <is>
          <t>DICIEMBRE 2026</t>
        </is>
      </c>
      <c r="M4083" t="inlineStr">
        <is>
          <t xml:space="preserve">PQS TIPO ABC AL 75% </t>
        </is>
      </c>
      <c r="N4083" t="inlineStr">
        <is>
          <t>000910</t>
        </is>
      </c>
      <c r="O4083" t="inlineStr">
        <is>
          <t>R</t>
        </is>
      </c>
      <c r="P4083">
        <f>TRIM(N4083)</f>
        <v/>
      </c>
    </row>
    <row r="4084">
      <c r="A4084" t="inlineStr">
        <is>
          <t>CO-002584</t>
        </is>
      </c>
      <c r="B4084" t="inlineStr">
        <is>
          <t>GACSA PERU S.A.C.</t>
        </is>
      </c>
      <c r="C4084" t="n">
        <v>20602629068</v>
      </c>
      <c r="D4084" t="inlineStr">
        <is>
          <t>PYP VILLA EL SALVADOR</t>
        </is>
      </c>
      <c r="E4084" t="inlineStr">
        <is>
          <t>Lima, 29 de diciembre del 2025</t>
        </is>
      </c>
      <c r="F4084" t="inlineStr">
        <is>
          <t>la Recarga y mantenimiento</t>
        </is>
      </c>
      <c r="G4084" t="inlineStr">
        <is>
          <t>01</t>
        </is>
      </c>
      <c r="H4084" t="inlineStr">
        <is>
          <t>06 KG</t>
        </is>
      </c>
      <c r="I4084" t="inlineStr">
        <is>
          <t>2027</t>
        </is>
      </c>
      <c r="J4084" t="n">
        <v>2015</v>
      </c>
      <c r="K4084" t="inlineStr">
        <is>
          <t>DICIEMBRE 2025</t>
        </is>
      </c>
      <c r="L4084" t="inlineStr">
        <is>
          <t>DICIEMBRE 2026</t>
        </is>
      </c>
      <c r="M4084" t="inlineStr">
        <is>
          <t xml:space="preserve">PQS TIPO ABC AL 75% </t>
        </is>
      </c>
      <c r="N4084" t="inlineStr">
        <is>
          <t>001073</t>
        </is>
      </c>
      <c r="O4084" t="inlineStr">
        <is>
          <t>R</t>
        </is>
      </c>
      <c r="P4084">
        <f>TRIM(N4084)</f>
        <v/>
      </c>
    </row>
    <row r="4085">
      <c r="A4085" t="inlineStr">
        <is>
          <t>CO-002584</t>
        </is>
      </c>
      <c r="B4085" t="inlineStr">
        <is>
          <t>GACSA PERU S.A.C.</t>
        </is>
      </c>
      <c r="C4085" t="n">
        <v>20602629068</v>
      </c>
      <c r="D4085" t="inlineStr">
        <is>
          <t>PYP VILLA EL SALVADOR</t>
        </is>
      </c>
      <c r="E4085" t="inlineStr">
        <is>
          <t>Lima, 29 de diciembre del 2025</t>
        </is>
      </c>
      <c r="F4085" t="inlineStr">
        <is>
          <t>la Recarga y mantenimiento</t>
        </is>
      </c>
      <c r="G4085" t="inlineStr">
        <is>
          <t>02</t>
        </is>
      </c>
      <c r="H4085" t="inlineStr">
        <is>
          <t>06 KG</t>
        </is>
      </c>
      <c r="I4085" t="inlineStr">
        <is>
          <t>2029</t>
        </is>
      </c>
      <c r="J4085" t="n">
        <v>2019</v>
      </c>
      <c r="K4085" t="inlineStr">
        <is>
          <t>DICIEMBRE 2025</t>
        </is>
      </c>
      <c r="L4085" t="inlineStr">
        <is>
          <t>DICIEMBRE 2026</t>
        </is>
      </c>
      <c r="M4085" t="inlineStr">
        <is>
          <t xml:space="preserve">PQS TIPO ABC AL 75% </t>
        </is>
      </c>
      <c r="N4085" t="inlineStr">
        <is>
          <t>003452</t>
        </is>
      </c>
      <c r="O4085" t="inlineStr">
        <is>
          <t>R</t>
        </is>
      </c>
      <c r="P4085">
        <f>TRIM(N4085)</f>
        <v/>
      </c>
    </row>
    <row r="4086">
      <c r="A4086" t="inlineStr">
        <is>
          <t>CO-002584</t>
        </is>
      </c>
      <c r="B4086" t="inlineStr">
        <is>
          <t>GACSA PERU S.A.C.</t>
        </is>
      </c>
      <c r="C4086" t="n">
        <v>20602629068</v>
      </c>
      <c r="D4086" t="inlineStr">
        <is>
          <t>PYP VILLA EL SALVADOR</t>
        </is>
      </c>
      <c r="E4086" t="inlineStr">
        <is>
          <t>Lima, 29 de diciembre del 2025</t>
        </is>
      </c>
      <c r="F4086" t="inlineStr">
        <is>
          <t>la Recarga y mantenimiento</t>
        </is>
      </c>
      <c r="G4086" t="inlineStr">
        <is>
          <t>03</t>
        </is>
      </c>
      <c r="H4086" t="inlineStr">
        <is>
          <t>06 KG</t>
        </is>
      </c>
      <c r="I4086" t="inlineStr">
        <is>
          <t>2030</t>
        </is>
      </c>
      <c r="J4086" t="n">
        <v>2025</v>
      </c>
      <c r="K4086" t="inlineStr">
        <is>
          <t>DICIEMBRE 2025</t>
        </is>
      </c>
      <c r="L4086" t="inlineStr">
        <is>
          <t>DICIEMBRE 2026</t>
        </is>
      </c>
      <c r="M4086" t="inlineStr">
        <is>
          <t xml:space="preserve">PQS TIPO ABC AL 75% </t>
        </is>
      </c>
      <c r="N4086" t="inlineStr">
        <is>
          <t>000059</t>
        </is>
      </c>
      <c r="O4086" t="inlineStr">
        <is>
          <t>R</t>
        </is>
      </c>
      <c r="P4086">
        <f>TRIM(N4086)</f>
        <v/>
      </c>
    </row>
    <row r="4087">
      <c r="A4087" t="inlineStr">
        <is>
          <t>CO-002584</t>
        </is>
      </c>
      <c r="B4087" t="inlineStr">
        <is>
          <t>GACSA PERU S.A.C.</t>
        </is>
      </c>
      <c r="C4087" t="n">
        <v>20602629068</v>
      </c>
      <c r="D4087" t="inlineStr">
        <is>
          <t>PYP VILLA EL SALVADOR</t>
        </is>
      </c>
      <c r="E4087" t="inlineStr">
        <is>
          <t>Lima, 29 de diciembre del 2025</t>
        </is>
      </c>
      <c r="F4087" t="inlineStr">
        <is>
          <t>la Recarga y mantenimiento</t>
        </is>
      </c>
      <c r="G4087" t="inlineStr">
        <is>
          <t>04</t>
        </is>
      </c>
      <c r="H4087" t="inlineStr">
        <is>
          <t>06 KG</t>
        </is>
      </c>
      <c r="I4087" t="inlineStr">
        <is>
          <t>2026</t>
        </is>
      </c>
      <c r="J4087" t="n">
        <v>2015</v>
      </c>
      <c r="K4087" t="inlineStr">
        <is>
          <t>DICIEMBRE 2025</t>
        </is>
      </c>
      <c r="L4087" t="inlineStr">
        <is>
          <t>DICIEMBRE 2026</t>
        </is>
      </c>
      <c r="M4087" t="inlineStr">
        <is>
          <t xml:space="preserve">PQS TIPO ABC AL 75% </t>
        </is>
      </c>
      <c r="N4087" t="inlineStr">
        <is>
          <t>001081</t>
        </is>
      </c>
      <c r="O4087" t="inlineStr">
        <is>
          <t>R</t>
        </is>
      </c>
      <c r="P4087">
        <f>TRIM(N4087)</f>
        <v/>
      </c>
    </row>
    <row r="4088">
      <c r="A4088" t="inlineStr">
        <is>
          <t>CO-002584</t>
        </is>
      </c>
      <c r="B4088" t="inlineStr">
        <is>
          <t>GACSA PERU S.A.C.</t>
        </is>
      </c>
      <c r="C4088" t="n">
        <v>20602629068</v>
      </c>
      <c r="D4088" t="inlineStr">
        <is>
          <t>PYP VILLA EL SALVADOR</t>
        </is>
      </c>
      <c r="E4088" t="inlineStr">
        <is>
          <t>Lima, 29 de diciembre del 2025</t>
        </is>
      </c>
      <c r="F4088" t="inlineStr">
        <is>
          <t>la Recarga y mantenimiento</t>
        </is>
      </c>
      <c r="G4088" t="inlineStr">
        <is>
          <t>05</t>
        </is>
      </c>
      <c r="H4088" t="inlineStr">
        <is>
          <t>06 KG</t>
        </is>
      </c>
      <c r="I4088" t="inlineStr">
        <is>
          <t>2027</t>
        </is>
      </c>
      <c r="J4088" t="n">
        <v>2015</v>
      </c>
      <c r="K4088" t="inlineStr">
        <is>
          <t>DICIEMBRE 2025</t>
        </is>
      </c>
      <c r="L4088" t="inlineStr">
        <is>
          <t>DICIEMBRE 2026</t>
        </is>
      </c>
      <c r="M4088" t="inlineStr">
        <is>
          <t xml:space="preserve">PQS TIPO ABC AL 75% </t>
        </is>
      </c>
      <c r="N4088" t="inlineStr">
        <is>
          <t>000782</t>
        </is>
      </c>
      <c r="O4088" t="inlineStr">
        <is>
          <t>R</t>
        </is>
      </c>
      <c r="P4088">
        <f>TRIM(N4088)</f>
        <v/>
      </c>
    </row>
    <row r="4089">
      <c r="A4089" t="inlineStr">
        <is>
          <t>CO-002584</t>
        </is>
      </c>
      <c r="B4089" t="inlineStr">
        <is>
          <t>GACSA PERU S.A.C.</t>
        </is>
      </c>
      <c r="C4089" t="n">
        <v>20602629068</v>
      </c>
      <c r="D4089" t="inlineStr">
        <is>
          <t>PYP VILLA EL SALVADOR</t>
        </is>
      </c>
      <c r="E4089" t="inlineStr">
        <is>
          <t>Lima, 29 de diciembre del 2025</t>
        </is>
      </c>
      <c r="F4089" t="inlineStr">
        <is>
          <t>la Recarga y mantenimiento</t>
        </is>
      </c>
      <c r="G4089" t="inlineStr">
        <is>
          <t>06</t>
        </is>
      </c>
      <c r="H4089" t="inlineStr">
        <is>
          <t>06 KG</t>
        </is>
      </c>
      <c r="I4089" t="inlineStr">
        <is>
          <t>2026</t>
        </is>
      </c>
      <c r="J4089" t="n">
        <v>2015</v>
      </c>
      <c r="K4089" t="inlineStr">
        <is>
          <t>DICIEMBRE 2025</t>
        </is>
      </c>
      <c r="L4089" t="inlineStr">
        <is>
          <t>DICIEMBRE 2026</t>
        </is>
      </c>
      <c r="M4089" t="inlineStr">
        <is>
          <t xml:space="preserve">PQS TIPO ABC AL 75% </t>
        </is>
      </c>
      <c r="N4089" t="inlineStr">
        <is>
          <t>000652</t>
        </is>
      </c>
      <c r="O4089" t="inlineStr">
        <is>
          <t>R</t>
        </is>
      </c>
      <c r="P4089">
        <f>TRIM(N4089)</f>
        <v/>
      </c>
    </row>
    <row r="4090">
      <c r="A4090" t="inlineStr">
        <is>
          <t>CO-002584</t>
        </is>
      </c>
      <c r="B4090" t="inlineStr">
        <is>
          <t>GACSA PERU S.A.C.</t>
        </is>
      </c>
      <c r="C4090" t="n">
        <v>20602629068</v>
      </c>
      <c r="D4090" t="inlineStr">
        <is>
          <t>PYP VILLA EL SALVADOR</t>
        </is>
      </c>
      <c r="E4090" t="inlineStr">
        <is>
          <t>Lima, 29 de diciembre del 2025</t>
        </is>
      </c>
      <c r="F4090" t="inlineStr">
        <is>
          <t>la Recarga y mantenimiento</t>
        </is>
      </c>
      <c r="G4090" t="inlineStr">
        <is>
          <t>07</t>
        </is>
      </c>
      <c r="H4090" t="inlineStr">
        <is>
          <t>06 KG</t>
        </is>
      </c>
      <c r="I4090" t="inlineStr">
        <is>
          <t>2026</t>
        </is>
      </c>
      <c r="J4090" t="n">
        <v>2021</v>
      </c>
      <c r="K4090" t="inlineStr">
        <is>
          <t>DICIEMBRE 2025</t>
        </is>
      </c>
      <c r="L4090" t="inlineStr">
        <is>
          <t>DICIEMBRE 2026</t>
        </is>
      </c>
      <c r="M4090" t="inlineStr">
        <is>
          <t xml:space="preserve">PQS TIPO ABC AL 75% </t>
        </is>
      </c>
      <c r="N4090" t="inlineStr">
        <is>
          <t>002096</t>
        </is>
      </c>
      <c r="O4090" t="inlineStr">
        <is>
          <t>R</t>
        </is>
      </c>
      <c r="P4090">
        <f>TRIM(N4090)</f>
        <v/>
      </c>
    </row>
    <row r="4091">
      <c r="A4091" t="inlineStr">
        <is>
          <t>CO-002584</t>
        </is>
      </c>
      <c r="B4091" t="inlineStr">
        <is>
          <t>GACSA PERU S.A.C.</t>
        </is>
      </c>
      <c r="C4091" t="n">
        <v>20602629068</v>
      </c>
      <c r="D4091" t="inlineStr">
        <is>
          <t>PYP VILLA EL SALVADOR</t>
        </is>
      </c>
      <c r="E4091" t="inlineStr">
        <is>
          <t>Lima, 29 de diciembre del 2025</t>
        </is>
      </c>
      <c r="F4091" t="inlineStr">
        <is>
          <t>la Recarga y mantenimiento</t>
        </is>
      </c>
      <c r="G4091" t="inlineStr">
        <is>
          <t>08</t>
        </is>
      </c>
      <c r="H4091" t="inlineStr">
        <is>
          <t>06 KG</t>
        </is>
      </c>
      <c r="I4091" t="inlineStr">
        <is>
          <t>2027</t>
        </is>
      </c>
      <c r="J4091" t="n">
        <v>2015</v>
      </c>
      <c r="K4091" t="inlineStr">
        <is>
          <t>DICIEMBRE 2025</t>
        </is>
      </c>
      <c r="L4091" t="inlineStr">
        <is>
          <t>DICIEMBRE 2026</t>
        </is>
      </c>
      <c r="M4091" t="inlineStr">
        <is>
          <t xml:space="preserve">PQS TIPO ABC AL 75% </t>
        </is>
      </c>
      <c r="N4091" t="inlineStr">
        <is>
          <t>000648</t>
        </is>
      </c>
      <c r="O4091" t="inlineStr">
        <is>
          <t>R</t>
        </is>
      </c>
      <c r="P4091">
        <f>TRIM(N4091)</f>
        <v/>
      </c>
    </row>
    <row r="4092">
      <c r="A4092" t="inlineStr">
        <is>
          <t>CO-002584</t>
        </is>
      </c>
      <c r="B4092" t="inlineStr">
        <is>
          <t>GACSA PERU S.A.C.</t>
        </is>
      </c>
      <c r="C4092" t="n">
        <v>20602629068</v>
      </c>
      <c r="D4092" t="inlineStr">
        <is>
          <t>PYP VILLA EL SALVADOR</t>
        </is>
      </c>
      <c r="E4092" t="inlineStr">
        <is>
          <t>Lima, 29 de diciembre del 2025</t>
        </is>
      </c>
      <c r="F4092" t="inlineStr">
        <is>
          <t>la Recarga y mantenimiento</t>
        </is>
      </c>
      <c r="G4092" t="inlineStr">
        <is>
          <t>09</t>
        </is>
      </c>
      <c r="H4092" t="inlineStr">
        <is>
          <t>06 KG</t>
        </is>
      </c>
      <c r="I4092" t="inlineStr">
        <is>
          <t>2027</t>
        </is>
      </c>
      <c r="J4092" t="n">
        <v>2015</v>
      </c>
      <c r="K4092" t="inlineStr">
        <is>
          <t>DICIEMBRE 2025</t>
        </is>
      </c>
      <c r="L4092" t="inlineStr">
        <is>
          <t>DICIEMBRE 2026</t>
        </is>
      </c>
      <c r="M4092" t="inlineStr">
        <is>
          <t xml:space="preserve">PQS TIPO ABC AL 75% </t>
        </is>
      </c>
      <c r="N4092" t="inlineStr">
        <is>
          <t>000081</t>
        </is>
      </c>
      <c r="O4092" t="inlineStr">
        <is>
          <t>R</t>
        </is>
      </c>
      <c r="P4092">
        <f>TRIM(N4092)</f>
        <v/>
      </c>
    </row>
    <row r="4093">
      <c r="A4093" t="inlineStr">
        <is>
          <t>CO-002584</t>
        </is>
      </c>
      <c r="B4093" t="inlineStr">
        <is>
          <t>GACSA PERU S.A.C.</t>
        </is>
      </c>
      <c r="C4093" t="n">
        <v>20602629068</v>
      </c>
      <c r="D4093" t="inlineStr">
        <is>
          <t>PYP VILLA EL SALVADOR</t>
        </is>
      </c>
      <c r="E4093" t="inlineStr">
        <is>
          <t>Lima, 29 de diciembre del 2025</t>
        </is>
      </c>
      <c r="F4093" t="inlineStr">
        <is>
          <t>la Recarga y mantenimiento</t>
        </is>
      </c>
      <c r="G4093" t="n">
        <v>10</v>
      </c>
      <c r="H4093" t="inlineStr">
        <is>
          <t>06 KG</t>
        </is>
      </c>
      <c r="I4093" t="inlineStr">
        <is>
          <t>2026</t>
        </is>
      </c>
      <c r="J4093" t="n">
        <v>2015</v>
      </c>
      <c r="K4093" t="inlineStr">
        <is>
          <t>DICIEMBRE 2025</t>
        </is>
      </c>
      <c r="L4093" t="inlineStr">
        <is>
          <t>DICIEMBRE 2026</t>
        </is>
      </c>
      <c r="M4093" t="inlineStr">
        <is>
          <t xml:space="preserve">PQS TIPO ABC AL 75% </t>
        </is>
      </c>
      <c r="N4093" t="inlineStr">
        <is>
          <t>001025</t>
        </is>
      </c>
      <c r="O4093" t="inlineStr">
        <is>
          <t>R</t>
        </is>
      </c>
      <c r="P4093">
        <f>TRIM(N4093)</f>
        <v/>
      </c>
    </row>
    <row r="4094">
      <c r="A4094" t="inlineStr">
        <is>
          <t>CO-002584</t>
        </is>
      </c>
      <c r="B4094" t="inlineStr">
        <is>
          <t>GACSA PERU S.A.C.</t>
        </is>
      </c>
      <c r="C4094" t="n">
        <v>20602629068</v>
      </c>
      <c r="D4094" t="inlineStr">
        <is>
          <t>PYP VILLA EL SALVADOR</t>
        </is>
      </c>
      <c r="E4094" t="inlineStr">
        <is>
          <t>Lima, 29 de diciembre del 2025</t>
        </is>
      </c>
      <c r="F4094" t="inlineStr">
        <is>
          <t>la Recarga y mantenimiento</t>
        </is>
      </c>
      <c r="G4094" t="n">
        <v>11</v>
      </c>
      <c r="H4094" t="inlineStr">
        <is>
          <t>06 KG</t>
        </is>
      </c>
      <c r="I4094" t="inlineStr">
        <is>
          <t>2023</t>
        </is>
      </c>
      <c r="K4094" t="inlineStr">
        <is>
          <t>DICIEMBRE 2025</t>
        </is>
      </c>
      <c r="L4094" t="inlineStr">
        <is>
          <t>DICIEMBRE 2026</t>
        </is>
      </c>
      <c r="M4094" t="inlineStr">
        <is>
          <t xml:space="preserve">PQS TIPO ABC AL 75% </t>
        </is>
      </c>
      <c r="N4094" t="inlineStr">
        <is>
          <t>S/N</t>
        </is>
      </c>
      <c r="O4094" t="inlineStr">
        <is>
          <t>R</t>
        </is>
      </c>
      <c r="P4094">
        <f>TRIM(N4094)</f>
        <v/>
      </c>
    </row>
    <row r="4095">
      <c r="A4095" t="inlineStr">
        <is>
          <t>CO-002584</t>
        </is>
      </c>
      <c r="B4095" t="inlineStr">
        <is>
          <t>GACSA PERU S.A.C.</t>
        </is>
      </c>
      <c r="C4095" t="n">
        <v>20602629068</v>
      </c>
      <c r="D4095" t="inlineStr">
        <is>
          <t>PYP VILLA EL SALVADOR</t>
        </is>
      </c>
      <c r="E4095" t="inlineStr">
        <is>
          <t>Lima, 29 de diciembre del 2025</t>
        </is>
      </c>
      <c r="F4095" t="inlineStr">
        <is>
          <t>la Recarga y mantenimiento</t>
        </is>
      </c>
      <c r="G4095" t="n">
        <v>12</v>
      </c>
      <c r="H4095" t="inlineStr">
        <is>
          <t>10 LBS</t>
        </is>
      </c>
      <c r="I4095" t="inlineStr">
        <is>
          <t>2030</t>
        </is>
      </c>
      <c r="J4095" t="n">
        <v>2025</v>
      </c>
      <c r="K4095" t="inlineStr">
        <is>
          <t>DICIEMBRE 2025</t>
        </is>
      </c>
      <c r="L4095" t="inlineStr">
        <is>
          <t>DICIEMBRE 2026</t>
        </is>
      </c>
      <c r="M4095" t="inlineStr">
        <is>
          <t>CO2 TIPO BC</t>
        </is>
      </c>
      <c r="N4095" t="inlineStr">
        <is>
          <t>000064</t>
        </is>
      </c>
      <c r="O4095" t="inlineStr">
        <is>
          <t>R</t>
        </is>
      </c>
      <c r="P4095">
        <f>TRIM(N4095)</f>
        <v/>
      </c>
    </row>
    <row r="4096">
      <c r="A4096" t="inlineStr">
        <is>
          <t>CO-002584</t>
        </is>
      </c>
      <c r="B4096" t="inlineStr">
        <is>
          <t>GACSA PERU S.A.C.</t>
        </is>
      </c>
      <c r="C4096" t="n">
        <v>20602629068</v>
      </c>
      <c r="D4096" t="inlineStr">
        <is>
          <t>PYP VILLA EL SALVADOR</t>
        </is>
      </c>
      <c r="E4096" t="inlineStr">
        <is>
          <t>Lima, 29 de diciembre del 2025</t>
        </is>
      </c>
      <c r="F4096" t="inlineStr">
        <is>
          <t>la Recarga y mantenimiento</t>
        </is>
      </c>
      <c r="G4096" t="n">
        <v>13</v>
      </c>
      <c r="H4096" t="inlineStr">
        <is>
          <t>10 LBS</t>
        </is>
      </c>
      <c r="I4096" t="inlineStr">
        <is>
          <t>2030</t>
        </is>
      </c>
      <c r="J4096" t="n">
        <v>2025</v>
      </c>
      <c r="K4096" t="inlineStr">
        <is>
          <t>DICIEMBRE 2025</t>
        </is>
      </c>
      <c r="L4096" t="inlineStr">
        <is>
          <t>DICIEMBRE 2026</t>
        </is>
      </c>
      <c r="M4096" t="inlineStr">
        <is>
          <t>CO2 TIPO BC</t>
        </is>
      </c>
      <c r="N4096" t="inlineStr">
        <is>
          <t>000119</t>
        </is>
      </c>
      <c r="O4096" t="inlineStr">
        <is>
          <t>R</t>
        </is>
      </c>
      <c r="P4096">
        <f>TRIM(N4096)</f>
        <v/>
      </c>
    </row>
    <row r="4097">
      <c r="A4097" t="inlineStr">
        <is>
          <t>CO-002584</t>
        </is>
      </c>
      <c r="B4097" t="inlineStr">
        <is>
          <t>GACSA PERU S.A.C.</t>
        </is>
      </c>
      <c r="C4097" t="n">
        <v>20602629068</v>
      </c>
      <c r="D4097" t="inlineStr">
        <is>
          <t>PYP VILLA EL SALVADOR</t>
        </is>
      </c>
      <c r="E4097" t="inlineStr">
        <is>
          <t>Lima, 29 de diciembre del 2025</t>
        </is>
      </c>
      <c r="F4097" t="inlineStr">
        <is>
          <t>la Recarga y mantenimiento</t>
        </is>
      </c>
      <c r="G4097" t="n">
        <v>14</v>
      </c>
      <c r="H4097" t="inlineStr">
        <is>
          <t>10 LBS</t>
        </is>
      </c>
      <c r="I4097" t="inlineStr">
        <is>
          <t>2030</t>
        </is>
      </c>
      <c r="J4097" t="n">
        <v>2025</v>
      </c>
      <c r="K4097" t="inlineStr">
        <is>
          <t>DICIEMBRE 2025</t>
        </is>
      </c>
      <c r="L4097" t="inlineStr">
        <is>
          <t>DICIEMBRE 2026</t>
        </is>
      </c>
      <c r="M4097" t="inlineStr">
        <is>
          <t>CO2 TIPO BC</t>
        </is>
      </c>
      <c r="N4097" t="inlineStr">
        <is>
          <t>005190</t>
        </is>
      </c>
      <c r="O4097" t="inlineStr">
        <is>
          <t>R</t>
        </is>
      </c>
      <c r="P4097">
        <f>TRIM(N4097)</f>
        <v/>
      </c>
    </row>
    <row r="4098">
      <c r="A4098" t="inlineStr">
        <is>
          <t>CO-002584</t>
        </is>
      </c>
      <c r="B4098" t="inlineStr">
        <is>
          <t>GACSA PERU S.A.C.</t>
        </is>
      </c>
      <c r="C4098" t="n">
        <v>20602629068</v>
      </c>
      <c r="D4098" t="inlineStr">
        <is>
          <t>PYP VILLA EL SALVADOR</t>
        </is>
      </c>
      <c r="E4098" t="inlineStr">
        <is>
          <t>Lima, 29 de diciembre del 2025</t>
        </is>
      </c>
      <c r="F4098" t="inlineStr">
        <is>
          <t>la Recarga y mantenimiento</t>
        </is>
      </c>
      <c r="G4098" t="n">
        <v>15</v>
      </c>
      <c r="H4098" t="inlineStr">
        <is>
          <t>10 LBS</t>
        </is>
      </c>
      <c r="I4098" t="inlineStr">
        <is>
          <t>2030</t>
        </is>
      </c>
      <c r="J4098" t="n">
        <v>2025</v>
      </c>
      <c r="K4098" t="inlineStr">
        <is>
          <t>DICIEMBRE 2025</t>
        </is>
      </c>
      <c r="L4098" t="inlineStr">
        <is>
          <t>DICIEMBRE 2026</t>
        </is>
      </c>
      <c r="M4098" t="inlineStr">
        <is>
          <t>CO2 TIPO BC</t>
        </is>
      </c>
      <c r="N4098" t="inlineStr">
        <is>
          <t>005179</t>
        </is>
      </c>
      <c r="O4098" t="inlineStr">
        <is>
          <t>R</t>
        </is>
      </c>
      <c r="P4098">
        <f>TRIM(N4098)</f>
        <v/>
      </c>
    </row>
    <row r="4099">
      <c r="A4099" t="inlineStr">
        <is>
          <t>CO-002585</t>
        </is>
      </c>
      <c r="B4099" t="inlineStr">
        <is>
          <t>GACSA PERU S.A.C.</t>
        </is>
      </c>
      <c r="C4099" t="n">
        <v>20602629068</v>
      </c>
      <c r="D4099" t="inlineStr">
        <is>
          <t>PYP VILLA EL SALVADOR</t>
        </is>
      </c>
      <c r="E4099" t="inlineStr">
        <is>
          <t>Lima, 29 de diciembre del 2025</t>
        </is>
      </c>
      <c r="F4099" t="inlineStr">
        <is>
          <t>la Recarga y mantenimiento</t>
        </is>
      </c>
      <c r="G4099" t="inlineStr">
        <is>
          <t>01</t>
        </is>
      </c>
      <c r="H4099" t="inlineStr">
        <is>
          <t>10 LBS</t>
        </is>
      </c>
      <c r="I4099" t="inlineStr">
        <is>
          <t>2030</t>
        </is>
      </c>
      <c r="J4099" t="n">
        <v>2025</v>
      </c>
      <c r="K4099" t="inlineStr">
        <is>
          <t>DICIEMBRE 2025</t>
        </is>
      </c>
      <c r="L4099" t="inlineStr">
        <is>
          <t>DICIEMBRE 2026</t>
        </is>
      </c>
      <c r="M4099" t="inlineStr">
        <is>
          <t>CO2 TIPO BC</t>
        </is>
      </c>
      <c r="N4099" t="inlineStr">
        <is>
          <t>005200</t>
        </is>
      </c>
      <c r="O4099" t="inlineStr">
        <is>
          <t>R</t>
        </is>
      </c>
      <c r="P4099">
        <f>TRIM(N4099)</f>
        <v/>
      </c>
    </row>
    <row r="4100">
      <c r="A4100" t="inlineStr">
        <is>
          <t>CO-002585</t>
        </is>
      </c>
      <c r="B4100" t="inlineStr">
        <is>
          <t>GACSA PERU S.A.C.</t>
        </is>
      </c>
      <c r="C4100" t="n">
        <v>20602629068</v>
      </c>
      <c r="D4100" t="inlineStr">
        <is>
          <t>PYP VILLA EL SALVADOR</t>
        </is>
      </c>
      <c r="E4100" t="inlineStr">
        <is>
          <t>Lima, 29 de diciembre del 2025</t>
        </is>
      </c>
      <c r="F4100" t="inlineStr">
        <is>
          <t>la Recarga y mantenimiento</t>
        </is>
      </c>
      <c r="G4100" t="inlineStr">
        <is>
          <t>02</t>
        </is>
      </c>
      <c r="H4100" t="inlineStr">
        <is>
          <t>10 LBS</t>
        </is>
      </c>
      <c r="I4100" t="inlineStr">
        <is>
          <t>2030</t>
        </is>
      </c>
      <c r="J4100" t="n">
        <v>2025</v>
      </c>
      <c r="K4100" t="inlineStr">
        <is>
          <t>DICIEMBRE 2025</t>
        </is>
      </c>
      <c r="L4100" t="inlineStr">
        <is>
          <t>DICIEMBRE 2026</t>
        </is>
      </c>
      <c r="M4100" t="inlineStr">
        <is>
          <t>CO2 TIPO BC</t>
        </is>
      </c>
      <c r="N4100" t="inlineStr">
        <is>
          <t>005067</t>
        </is>
      </c>
      <c r="O4100" t="inlineStr">
        <is>
          <t>R</t>
        </is>
      </c>
      <c r="P4100">
        <f>TRIM(N4100)</f>
        <v/>
      </c>
    </row>
    <row r="4101">
      <c r="A4101" t="inlineStr">
        <is>
          <t>CO-002585</t>
        </is>
      </c>
      <c r="B4101" t="inlineStr">
        <is>
          <t>GACSA PERU S.A.C.</t>
        </is>
      </c>
      <c r="C4101" t="n">
        <v>20602629068</v>
      </c>
      <c r="D4101" t="inlineStr">
        <is>
          <t>PYP VILLA EL SALVADOR</t>
        </is>
      </c>
      <c r="E4101" t="inlineStr">
        <is>
          <t>Lima, 29 de diciembre del 2025</t>
        </is>
      </c>
      <c r="F4101" t="inlineStr">
        <is>
          <t>la Recarga y mantenimiento</t>
        </is>
      </c>
      <c r="G4101" t="inlineStr">
        <is>
          <t>03</t>
        </is>
      </c>
      <c r="H4101" t="inlineStr">
        <is>
          <t>10 LBS</t>
        </is>
      </c>
      <c r="I4101" t="inlineStr">
        <is>
          <t>2030</t>
        </is>
      </c>
      <c r="J4101" t="n">
        <v>2025</v>
      </c>
      <c r="K4101" t="inlineStr">
        <is>
          <t>DICIEMBRE 2025</t>
        </is>
      </c>
      <c r="L4101" t="inlineStr">
        <is>
          <t>DICIEMBRE 2026</t>
        </is>
      </c>
      <c r="M4101" t="inlineStr">
        <is>
          <t>CO2 TIPO BC</t>
        </is>
      </c>
      <c r="N4101" t="inlineStr">
        <is>
          <t>005207</t>
        </is>
      </c>
      <c r="O4101" t="inlineStr">
        <is>
          <t>R</t>
        </is>
      </c>
      <c r="P4101">
        <f>TRIM(N4101)</f>
        <v/>
      </c>
    </row>
    <row r="4102">
      <c r="A4102" t="inlineStr">
        <is>
          <t>CO-002585</t>
        </is>
      </c>
      <c r="B4102" t="inlineStr">
        <is>
          <t>GACSA PERU S.A.C.</t>
        </is>
      </c>
      <c r="C4102" t="n">
        <v>20602629068</v>
      </c>
      <c r="D4102" t="inlineStr">
        <is>
          <t>PYP VILLA EL SALVADOR</t>
        </is>
      </c>
      <c r="E4102" t="inlineStr">
        <is>
          <t>Lima, 29 de diciembre del 2025</t>
        </is>
      </c>
      <c r="F4102" t="inlineStr">
        <is>
          <t>la Recarga y mantenimiento</t>
        </is>
      </c>
      <c r="G4102" t="inlineStr">
        <is>
          <t>04</t>
        </is>
      </c>
      <c r="H4102" t="inlineStr">
        <is>
          <t>10 LBS</t>
        </is>
      </c>
      <c r="I4102" t="inlineStr">
        <is>
          <t>2030</t>
        </is>
      </c>
      <c r="J4102" t="n">
        <v>2025</v>
      </c>
      <c r="K4102" t="inlineStr">
        <is>
          <t>DICIEMBRE 2025</t>
        </is>
      </c>
      <c r="L4102" t="inlineStr">
        <is>
          <t>DICIEMBRE 2026</t>
        </is>
      </c>
      <c r="M4102" t="inlineStr">
        <is>
          <t>CO2 TIPO BC</t>
        </is>
      </c>
      <c r="N4102" t="inlineStr">
        <is>
          <t>000157</t>
        </is>
      </c>
      <c r="O4102" t="inlineStr">
        <is>
          <t>R</t>
        </is>
      </c>
      <c r="P4102">
        <f>TRIM(N4102)</f>
        <v/>
      </c>
    </row>
    <row r="4103">
      <c r="A4103" t="inlineStr">
        <is>
          <t>CO-002585</t>
        </is>
      </c>
      <c r="B4103" t="inlineStr">
        <is>
          <t>GACSA PERU S.A.C.</t>
        </is>
      </c>
      <c r="C4103" t="n">
        <v>20602629068</v>
      </c>
      <c r="D4103" t="inlineStr">
        <is>
          <t>PYP VILLA EL SALVADOR</t>
        </is>
      </c>
      <c r="E4103" t="inlineStr">
        <is>
          <t>Lima, 29 de diciembre del 2025</t>
        </is>
      </c>
      <c r="F4103" t="inlineStr">
        <is>
          <t>la Recarga y mantenimiento</t>
        </is>
      </c>
      <c r="G4103" t="inlineStr">
        <is>
          <t>05</t>
        </is>
      </c>
      <c r="H4103" t="inlineStr">
        <is>
          <t>10 LBS</t>
        </is>
      </c>
      <c r="I4103" t="inlineStr">
        <is>
          <t>2030</t>
        </is>
      </c>
      <c r="J4103" t="n">
        <v>2025</v>
      </c>
      <c r="K4103" t="inlineStr">
        <is>
          <t>DICIEMBRE 2025</t>
        </is>
      </c>
      <c r="L4103" t="inlineStr">
        <is>
          <t>DICIEMBRE 2026</t>
        </is>
      </c>
      <c r="M4103" t="inlineStr">
        <is>
          <t>CO2 TIPO BC</t>
        </is>
      </c>
      <c r="N4103" t="inlineStr">
        <is>
          <t>005110</t>
        </is>
      </c>
      <c r="O4103" t="inlineStr">
        <is>
          <t>R</t>
        </is>
      </c>
      <c r="P4103">
        <f>TRIM(N4103)</f>
        <v/>
      </c>
    </row>
    <row r="4104">
      <c r="A4104" t="inlineStr">
        <is>
          <t>CO-002585</t>
        </is>
      </c>
      <c r="B4104" t="inlineStr">
        <is>
          <t>GACSA PERU S.A.C.</t>
        </is>
      </c>
      <c r="C4104" t="n">
        <v>20602629068</v>
      </c>
      <c r="D4104" t="inlineStr">
        <is>
          <t>PYP VILLA EL SALVADOR</t>
        </is>
      </c>
      <c r="E4104" t="inlineStr">
        <is>
          <t>Lima, 29 de diciembre del 2025</t>
        </is>
      </c>
      <c r="F4104" t="inlineStr">
        <is>
          <t>la Recarga y mantenimiento</t>
        </is>
      </c>
      <c r="G4104" t="inlineStr">
        <is>
          <t>06</t>
        </is>
      </c>
      <c r="H4104" t="inlineStr">
        <is>
          <t>15 LBS</t>
        </is>
      </c>
      <c r="I4104" t="inlineStr">
        <is>
          <t>2030</t>
        </is>
      </c>
      <c r="J4104" t="n">
        <v>2025</v>
      </c>
      <c r="K4104" t="inlineStr">
        <is>
          <t>DICIEMBRE 2025</t>
        </is>
      </c>
      <c r="L4104" t="inlineStr">
        <is>
          <t>DICIEMBRE 2026</t>
        </is>
      </c>
      <c r="M4104" t="inlineStr">
        <is>
          <t>CO2 TIPO BC</t>
        </is>
      </c>
      <c r="N4104" t="inlineStr">
        <is>
          <t>000147</t>
        </is>
      </c>
      <c r="O4104" t="inlineStr">
        <is>
          <t>R</t>
        </is>
      </c>
      <c r="P4104">
        <f>TRIM(N4104)</f>
        <v/>
      </c>
    </row>
    <row r="4105">
      <c r="A4105" t="inlineStr">
        <is>
          <t>CO-002585</t>
        </is>
      </c>
      <c r="B4105" t="inlineStr">
        <is>
          <t>GACSA PERU S.A.C.</t>
        </is>
      </c>
      <c r="C4105" t="n">
        <v>20602629068</v>
      </c>
      <c r="D4105" t="inlineStr">
        <is>
          <t>PYP VILLA EL SALVADOR</t>
        </is>
      </c>
      <c r="E4105" t="inlineStr">
        <is>
          <t>Lima, 29 de diciembre del 2025</t>
        </is>
      </c>
      <c r="F4105" t="inlineStr">
        <is>
          <t>la Recarga y mantenimiento</t>
        </is>
      </c>
      <c r="G4105" t="inlineStr">
        <is>
          <t>07</t>
        </is>
      </c>
      <c r="H4105" t="inlineStr">
        <is>
          <t>15 LBS</t>
        </is>
      </c>
      <c r="I4105" t="inlineStr">
        <is>
          <t>2027</t>
        </is>
      </c>
      <c r="J4105" t="n">
        <v>2022</v>
      </c>
      <c r="K4105" t="inlineStr">
        <is>
          <t>DICIEMBRE 2025</t>
        </is>
      </c>
      <c r="L4105" t="inlineStr">
        <is>
          <t>DICIEMBRE 2026</t>
        </is>
      </c>
      <c r="M4105" t="inlineStr">
        <is>
          <t>CO2 TIPO BC</t>
        </is>
      </c>
      <c r="N4105" t="inlineStr">
        <is>
          <t>000162</t>
        </is>
      </c>
      <c r="O4105" t="inlineStr">
        <is>
          <t>R</t>
        </is>
      </c>
      <c r="P4105">
        <f>TRIM(N4105)</f>
        <v/>
      </c>
    </row>
    <row r="4106">
      <c r="A4106" t="inlineStr">
        <is>
          <t>CO-002585</t>
        </is>
      </c>
      <c r="B4106" t="inlineStr">
        <is>
          <t>GACSA PERU S.A.C.</t>
        </is>
      </c>
      <c r="C4106" t="n">
        <v>20602629068</v>
      </c>
      <c r="D4106" t="inlineStr">
        <is>
          <t>PYP VILLA EL SALVADOR</t>
        </is>
      </c>
      <c r="E4106" t="inlineStr">
        <is>
          <t>Lima, 29 de diciembre del 2025</t>
        </is>
      </c>
      <c r="F4106" t="inlineStr">
        <is>
          <t>la Recarga y mantenimiento</t>
        </is>
      </c>
      <c r="G4106" t="inlineStr">
        <is>
          <t>08</t>
        </is>
      </c>
      <c r="H4106" t="inlineStr">
        <is>
          <t>15 LBS</t>
        </is>
      </c>
      <c r="I4106" t="inlineStr">
        <is>
          <t>2027</t>
        </is>
      </c>
      <c r="J4106" t="n">
        <v>2022</v>
      </c>
      <c r="K4106" t="inlineStr">
        <is>
          <t>DICIEMBRE 2025</t>
        </is>
      </c>
      <c r="L4106" t="inlineStr">
        <is>
          <t>DICIEMBRE 2026</t>
        </is>
      </c>
      <c r="M4106" t="inlineStr">
        <is>
          <t>CO2 TIPO BC</t>
        </is>
      </c>
      <c r="N4106" t="inlineStr">
        <is>
          <t>000231</t>
        </is>
      </c>
      <c r="O4106" t="inlineStr">
        <is>
          <t>R</t>
        </is>
      </c>
      <c r="P4106">
        <f>TRIM(N4106)</f>
        <v/>
      </c>
    </row>
    <row r="4107">
      <c r="A4107" t="inlineStr">
        <is>
          <t>CO-002585</t>
        </is>
      </c>
      <c r="B4107" t="inlineStr">
        <is>
          <t>GACSA PERU S.A.C.</t>
        </is>
      </c>
      <c r="C4107" t="n">
        <v>20602629068</v>
      </c>
      <c r="D4107" t="inlineStr">
        <is>
          <t>PYP VILLA EL SALVADOR</t>
        </is>
      </c>
      <c r="E4107" t="inlineStr">
        <is>
          <t>Lima, 29 de diciembre del 2025</t>
        </is>
      </c>
      <c r="F4107" t="inlineStr">
        <is>
          <t>la Recarga y mantenimiento</t>
        </is>
      </c>
      <c r="G4107" t="inlineStr">
        <is>
          <t>09</t>
        </is>
      </c>
      <c r="H4107" t="inlineStr">
        <is>
          <t>15 LBS</t>
        </is>
      </c>
      <c r="I4107" t="inlineStr">
        <is>
          <t>2030</t>
        </is>
      </c>
      <c r="J4107" t="n">
        <v>2025</v>
      </c>
      <c r="K4107" t="inlineStr">
        <is>
          <t>DICIEMBRE 2025</t>
        </is>
      </c>
      <c r="L4107" t="inlineStr">
        <is>
          <t>DICIEMBRE 2026</t>
        </is>
      </c>
      <c r="M4107" t="inlineStr">
        <is>
          <t>CO2 TIPO BC</t>
        </is>
      </c>
      <c r="N4107" t="inlineStr">
        <is>
          <t>000350</t>
        </is>
      </c>
      <c r="O4107" t="inlineStr">
        <is>
          <t>R</t>
        </is>
      </c>
      <c r="P4107">
        <f>TRIM(N4107)</f>
        <v/>
      </c>
    </row>
    <row r="4108">
      <c r="A4108" t="inlineStr">
        <is>
          <t>CO-002585</t>
        </is>
      </c>
      <c r="B4108" t="inlineStr">
        <is>
          <t>GACSA PERU S.A.C.</t>
        </is>
      </c>
      <c r="C4108" t="n">
        <v>20602629068</v>
      </c>
      <c r="D4108" t="inlineStr">
        <is>
          <t>PYP VILLA EL SALVADOR</t>
        </is>
      </c>
      <c r="E4108" t="inlineStr">
        <is>
          <t>Lima, 29 de diciembre del 2025</t>
        </is>
      </c>
      <c r="F4108" t="inlineStr">
        <is>
          <t>la Recarga y mantenimiento</t>
        </is>
      </c>
      <c r="G4108" t="n">
        <v>10</v>
      </c>
      <c r="H4108" t="inlineStr">
        <is>
          <t>15 LBS</t>
        </is>
      </c>
      <c r="I4108" t="inlineStr">
        <is>
          <t>2030</t>
        </is>
      </c>
      <c r="J4108" t="n">
        <v>2025</v>
      </c>
      <c r="K4108" t="inlineStr">
        <is>
          <t>DICIEMBRE 2025</t>
        </is>
      </c>
      <c r="L4108" t="inlineStr">
        <is>
          <t>DICIEMBRE 2026</t>
        </is>
      </c>
      <c r="M4108" t="inlineStr">
        <is>
          <t>CO2 TIPO BC</t>
        </is>
      </c>
      <c r="N4108" t="inlineStr">
        <is>
          <t>000031</t>
        </is>
      </c>
      <c r="O4108" t="inlineStr">
        <is>
          <t>R</t>
        </is>
      </c>
      <c r="P4108">
        <f>TRIM(N4108)</f>
        <v/>
      </c>
    </row>
    <row r="4109">
      <c r="A4109" t="inlineStr">
        <is>
          <t>CO-002585</t>
        </is>
      </c>
      <c r="B4109" t="inlineStr">
        <is>
          <t>GACSA PERU S.A.C.</t>
        </is>
      </c>
      <c r="C4109" t="n">
        <v>20602629068</v>
      </c>
      <c r="D4109" t="inlineStr">
        <is>
          <t>PYP VILLA EL SALVADOR</t>
        </is>
      </c>
      <c r="E4109" t="inlineStr">
        <is>
          <t>Lima, 29 de diciembre del 2025</t>
        </is>
      </c>
      <c r="F4109" t="inlineStr">
        <is>
          <t>la Recarga y mantenimiento</t>
        </is>
      </c>
      <c r="G4109" t="n">
        <v>11</v>
      </c>
      <c r="H4109" t="inlineStr">
        <is>
          <t>15 LBS</t>
        </is>
      </c>
      <c r="I4109" t="n">
        <v>2027</v>
      </c>
      <c r="J4109" t="n">
        <v>2022</v>
      </c>
      <c r="K4109" t="inlineStr">
        <is>
          <t>DICIEMBRE 2025</t>
        </is>
      </c>
      <c r="L4109" t="inlineStr">
        <is>
          <t>DICIEMBRE 2026</t>
        </is>
      </c>
      <c r="M4109" t="inlineStr">
        <is>
          <t>CO2 TIPO BC</t>
        </is>
      </c>
      <c r="N4109" t="inlineStr">
        <is>
          <t>000321</t>
        </is>
      </c>
      <c r="O4109" t="inlineStr">
        <is>
          <t>R</t>
        </is>
      </c>
      <c r="P4109">
        <f>TRIM(N4109)</f>
        <v/>
      </c>
    </row>
    <row r="4110">
      <c r="A4110" t="inlineStr">
        <is>
          <t>CO-002585</t>
        </is>
      </c>
      <c r="B4110" t="inlineStr">
        <is>
          <t>GACSA PERU S.A.C.</t>
        </is>
      </c>
      <c r="C4110" t="n">
        <v>20602629068</v>
      </c>
      <c r="D4110" t="inlineStr">
        <is>
          <t>PYP VILLA EL SALVADOR</t>
        </is>
      </c>
      <c r="E4110" t="inlineStr">
        <is>
          <t>Lima, 29 de diciembre del 2025</t>
        </is>
      </c>
      <c r="F4110" t="inlineStr">
        <is>
          <t>la Recarga y mantenimiento</t>
        </is>
      </c>
      <c r="G4110" t="n">
        <v>12</v>
      </c>
      <c r="H4110" t="inlineStr">
        <is>
          <t>15 LBS</t>
        </is>
      </c>
      <c r="I4110" t="n">
        <v>2027</v>
      </c>
      <c r="J4110" t="n">
        <v>2022</v>
      </c>
      <c r="K4110" t="inlineStr">
        <is>
          <t>DICIEMBRE 2025</t>
        </is>
      </c>
      <c r="L4110" t="inlineStr">
        <is>
          <t>DICIEMBRE 2026</t>
        </is>
      </c>
      <c r="M4110" t="inlineStr">
        <is>
          <t>CO2 TIPO BC</t>
        </is>
      </c>
      <c r="N4110" t="inlineStr">
        <is>
          <t>000017</t>
        </is>
      </c>
      <c r="O4110" t="inlineStr">
        <is>
          <t>R</t>
        </is>
      </c>
      <c r="P4110">
        <f>TRIM(N4110)</f>
        <v/>
      </c>
    </row>
    <row r="4111">
      <c r="A4111" t="inlineStr">
        <is>
          <t>CO-002585</t>
        </is>
      </c>
      <c r="B4111" t="inlineStr">
        <is>
          <t>GACSA PERU S.A.C.</t>
        </is>
      </c>
      <c r="C4111" t="n">
        <v>20602629068</v>
      </c>
      <c r="D4111" t="inlineStr">
        <is>
          <t>PYP VILLA EL SALVADOR</t>
        </is>
      </c>
      <c r="E4111" t="inlineStr">
        <is>
          <t>Lima, 29 de diciembre del 2025</t>
        </is>
      </c>
      <c r="F4111" t="inlineStr">
        <is>
          <t>la Recarga y mantenimiento</t>
        </is>
      </c>
      <c r="G4111" t="n">
        <v>13</v>
      </c>
      <c r="H4111" t="inlineStr">
        <is>
          <t>2.5 GLS</t>
        </is>
      </c>
      <c r="I4111" t="n">
        <v>2026</v>
      </c>
      <c r="J4111" t="n">
        <v>2013</v>
      </c>
      <c r="K4111" t="inlineStr">
        <is>
          <t>DICIEMBRE 2025</t>
        </is>
      </c>
      <c r="L4111" t="inlineStr">
        <is>
          <t>DICIEMBRE 2026</t>
        </is>
      </c>
      <c r="M4111" t="inlineStr">
        <is>
          <t>ACETATO TIPO K</t>
        </is>
      </c>
      <c r="N4111" t="inlineStr">
        <is>
          <t>1027337</t>
        </is>
      </c>
      <c r="O4111" t="inlineStr">
        <is>
          <t>R</t>
        </is>
      </c>
      <c r="P4111">
        <f>TRIM(N4111)</f>
        <v/>
      </c>
    </row>
    <row r="4112">
      <c r="A4112" t="inlineStr">
        <is>
          <t>CO-002585</t>
        </is>
      </c>
      <c r="B4112" t="inlineStr">
        <is>
          <t>GACSA PERU S.A.C.</t>
        </is>
      </c>
      <c r="C4112" t="n">
        <v>20602629068</v>
      </c>
      <c r="D4112" t="inlineStr">
        <is>
          <t>PYP VILLA EL SALVADOR</t>
        </is>
      </c>
      <c r="E4112" t="inlineStr">
        <is>
          <t>Lima, 29 de diciembre del 2025</t>
        </is>
      </c>
      <c r="F4112" t="inlineStr">
        <is>
          <t>la Recarga y mantenimiento</t>
        </is>
      </c>
      <c r="G4112" t="n">
        <v>14</v>
      </c>
      <c r="H4112" t="inlineStr">
        <is>
          <t>50 KG</t>
        </is>
      </c>
      <c r="I4112" t="n">
        <v>2027</v>
      </c>
      <c r="J4112" t="n">
        <v>2022</v>
      </c>
      <c r="K4112" t="inlineStr">
        <is>
          <t>DICIEMBRE 2025</t>
        </is>
      </c>
      <c r="L4112" t="inlineStr">
        <is>
          <t>DICIEMBRE 2026</t>
        </is>
      </c>
      <c r="M4112" t="inlineStr">
        <is>
          <t xml:space="preserve">PQS TIPO ABC AL 75% </t>
        </is>
      </c>
      <c r="N4112" t="inlineStr">
        <is>
          <t>000001</t>
        </is>
      </c>
      <c r="O4112" t="inlineStr">
        <is>
          <t>R</t>
        </is>
      </c>
      <c r="P4112">
        <f>TRIM(N4112)</f>
        <v/>
      </c>
    </row>
    <row r="4113">
      <c r="A4113" t="inlineStr">
        <is>
          <t>CO-002585</t>
        </is>
      </c>
      <c r="B4113" t="inlineStr">
        <is>
          <t>GACSA PERU S.A.C.</t>
        </is>
      </c>
      <c r="C4113" t="n">
        <v>20602629068</v>
      </c>
      <c r="D4113" t="inlineStr">
        <is>
          <t>PYP VILLA EL SALVADOR</t>
        </is>
      </c>
      <c r="E4113" t="inlineStr">
        <is>
          <t>Lima, 29 de diciembre del 2025</t>
        </is>
      </c>
      <c r="F4113" t="inlineStr">
        <is>
          <t>la Recarga y mantenimiento</t>
        </is>
      </c>
      <c r="G4113" t="n">
        <v>15</v>
      </c>
      <c r="H4113" t="inlineStr">
        <is>
          <t>50 KG</t>
        </is>
      </c>
      <c r="I4113" t="n">
        <v>2027</v>
      </c>
      <c r="J4113" t="n">
        <v>2022</v>
      </c>
      <c r="K4113" t="inlineStr">
        <is>
          <t>DICIEMBRE 2025</t>
        </is>
      </c>
      <c r="L4113" t="inlineStr">
        <is>
          <t>DICIEMBRE 2026</t>
        </is>
      </c>
      <c r="M4113" t="inlineStr">
        <is>
          <t xml:space="preserve">PQS TIPO ABC AL 75% </t>
        </is>
      </c>
      <c r="N4113" t="inlineStr">
        <is>
          <t>004498</t>
        </is>
      </c>
      <c r="O4113" t="inlineStr">
        <is>
          <t>R</t>
        </is>
      </c>
      <c r="P4113">
        <f>TRIM(N4113)</f>
        <v/>
      </c>
    </row>
    <row r="4114">
      <c r="A4114" t="inlineStr">
        <is>
          <t>CO-002586</t>
        </is>
      </c>
      <c r="B4114" t="inlineStr">
        <is>
          <t>BRITISH AMERICAN HOSPITAL S.A. - CLINICA ANGLOAMERICANA</t>
        </is>
      </c>
      <c r="C4114" t="inlineStr">
        <is>
          <t>20107695584</t>
        </is>
      </c>
      <c r="D4114" t="inlineStr">
        <is>
          <t>Av. Conquistadores N° 638 Int. 3</t>
        </is>
      </c>
      <c r="E4114" t="inlineStr">
        <is>
          <t>Lima, 29 de diciembre del 2025</t>
        </is>
      </c>
      <c r="F4114" t="inlineStr">
        <is>
          <t>La Venta</t>
        </is>
      </c>
      <c r="G4114" t="inlineStr">
        <is>
          <t>01</t>
        </is>
      </c>
      <c r="H4114" t="inlineStr">
        <is>
          <t xml:space="preserve">06 KG </t>
        </is>
      </c>
      <c r="I4114" t="inlineStr">
        <is>
          <t>2030</t>
        </is>
      </c>
      <c r="J4114" t="n">
        <v>2025</v>
      </c>
      <c r="K4114" t="inlineStr">
        <is>
          <t>DICIEMBRE 2025</t>
        </is>
      </c>
      <c r="L4114" t="inlineStr">
        <is>
          <t>DICIEMBRE 2026</t>
        </is>
      </c>
      <c r="M4114" t="inlineStr">
        <is>
          <t xml:space="preserve">PQS TIPO ABC AL 75% </t>
        </is>
      </c>
      <c r="N4114" t="inlineStr">
        <is>
          <t>07/000305</t>
        </is>
      </c>
      <c r="O4114" t="inlineStr">
        <is>
          <t>V</t>
        </is>
      </c>
      <c r="P4114">
        <f>TRIM(N4114)</f>
        <v/>
      </c>
    </row>
    <row r="4115">
      <c r="A4115" t="inlineStr">
        <is>
          <t>CO-002586</t>
        </is>
      </c>
      <c r="B4115" t="inlineStr">
        <is>
          <t>BRITISH AMERICAN HOSPITAL S.A. - CLINICA ANGLOAMERICANA</t>
        </is>
      </c>
      <c r="C4115" t="inlineStr">
        <is>
          <t>20107695584</t>
        </is>
      </c>
      <c r="D4115" t="inlineStr">
        <is>
          <t>Av. Conquistadores N° 638 Int. 3</t>
        </is>
      </c>
      <c r="E4115" t="inlineStr">
        <is>
          <t>Lima, 29 de diciembre del 2025</t>
        </is>
      </c>
      <c r="F4115" t="inlineStr">
        <is>
          <t>La Venta</t>
        </is>
      </c>
      <c r="G4115" t="inlineStr">
        <is>
          <t>02</t>
        </is>
      </c>
      <c r="H4115" t="inlineStr">
        <is>
          <t xml:space="preserve">06 KG </t>
        </is>
      </c>
      <c r="I4115" t="inlineStr">
        <is>
          <t>2030</t>
        </is>
      </c>
      <c r="J4115" t="n">
        <v>2025</v>
      </c>
      <c r="K4115" t="inlineStr">
        <is>
          <t>DICIEMBRE 2025</t>
        </is>
      </c>
      <c r="L4115" t="inlineStr">
        <is>
          <t>DICIEMBRE 2026</t>
        </is>
      </c>
      <c r="M4115" t="inlineStr">
        <is>
          <t xml:space="preserve">PQS TIPO ABC AL 75% </t>
        </is>
      </c>
      <c r="N4115" t="inlineStr">
        <is>
          <t>08/000134</t>
        </is>
      </c>
      <c r="O4115" t="inlineStr">
        <is>
          <t>V</t>
        </is>
      </c>
      <c r="P4115">
        <f>TRIM(N4115)</f>
        <v/>
      </c>
    </row>
    <row r="4116">
      <c r="A4116" t="inlineStr">
        <is>
          <t>CO-002586</t>
        </is>
      </c>
      <c r="B4116" t="inlineStr">
        <is>
          <t>BRITISH AMERICAN HOSPITAL S.A. - CLINICA ANGLOAMERICANA</t>
        </is>
      </c>
      <c r="C4116" t="inlineStr">
        <is>
          <t>20107695584</t>
        </is>
      </c>
      <c r="D4116" t="inlineStr">
        <is>
          <t>Av. Conquistadores N° 638 Int. 3</t>
        </is>
      </c>
      <c r="E4116" t="inlineStr">
        <is>
          <t>Lima, 29 de diciembre del 2025</t>
        </is>
      </c>
      <c r="F4116" t="inlineStr">
        <is>
          <t>La Venta</t>
        </is>
      </c>
      <c r="G4116" t="inlineStr">
        <is>
          <t>03</t>
        </is>
      </c>
      <c r="H4116" t="inlineStr">
        <is>
          <t xml:space="preserve">06 KG </t>
        </is>
      </c>
      <c r="I4116" t="inlineStr">
        <is>
          <t>2030</t>
        </is>
      </c>
      <c r="J4116" t="n">
        <v>2025</v>
      </c>
      <c r="K4116" t="inlineStr">
        <is>
          <t>DICIEMBRE 2025</t>
        </is>
      </c>
      <c r="L4116" t="inlineStr">
        <is>
          <t>DICIEMBRE 2026</t>
        </is>
      </c>
      <c r="M4116" t="inlineStr">
        <is>
          <t xml:space="preserve">PQS TIPO ABC AL 75% </t>
        </is>
      </c>
      <c r="N4116" t="inlineStr">
        <is>
          <t>09/000137</t>
        </is>
      </c>
      <c r="O4116" t="inlineStr">
        <is>
          <t>V</t>
        </is>
      </c>
      <c r="P4116">
        <f>TRIM(N4116)</f>
        <v/>
      </c>
    </row>
    <row r="4117">
      <c r="A4117" t="inlineStr">
        <is>
          <t>CO-002587</t>
        </is>
      </c>
      <c r="B4117" t="inlineStr">
        <is>
          <t>GACSA PERU S.A.C.</t>
        </is>
      </c>
      <c r="C4117" t="n">
        <v>20602629068</v>
      </c>
      <c r="D4117" t="inlineStr">
        <is>
          <t>SEMINUEVO CAMACHO</t>
        </is>
      </c>
      <c r="E4117" t="inlineStr">
        <is>
          <t>Lima, 02 de enero del 2026</t>
        </is>
      </c>
      <c r="F4117" t="inlineStr">
        <is>
          <t>la Recarga y mantenimiento</t>
        </is>
      </c>
      <c r="G4117" t="inlineStr">
        <is>
          <t>01</t>
        </is>
      </c>
      <c r="H4117" t="inlineStr">
        <is>
          <t>10 LBS</t>
        </is>
      </c>
      <c r="I4117" t="n">
        <v>2028</v>
      </c>
      <c r="J4117" t="n">
        <v>2023</v>
      </c>
      <c r="K4117" t="inlineStr">
        <is>
          <t>ENERO 2026</t>
        </is>
      </c>
      <c r="L4117" t="inlineStr">
        <is>
          <t>ENERO 2027</t>
        </is>
      </c>
      <c r="M4117" t="inlineStr">
        <is>
          <t>CO2 TIPO BC</t>
        </is>
      </c>
      <c r="N4117" t="inlineStr">
        <is>
          <t>01/000528</t>
        </is>
      </c>
      <c r="O4117" t="inlineStr">
        <is>
          <t>R</t>
        </is>
      </c>
      <c r="P4117">
        <f>TRIM(N4117)</f>
        <v/>
      </c>
    </row>
    <row r="4118">
      <c r="A4118" t="inlineStr">
        <is>
          <t>CO-002587</t>
        </is>
      </c>
      <c r="B4118" t="inlineStr">
        <is>
          <t>GACSA PERU S.A.C.</t>
        </is>
      </c>
      <c r="C4118" t="n">
        <v>20602629068</v>
      </c>
      <c r="D4118" t="inlineStr">
        <is>
          <t>SEMINUEVO CAMACHO</t>
        </is>
      </c>
      <c r="E4118" t="inlineStr">
        <is>
          <t>Lima, 02 de enero del 2026</t>
        </is>
      </c>
      <c r="F4118" t="inlineStr">
        <is>
          <t>la Recarga y mantenimiento</t>
        </is>
      </c>
      <c r="G4118" t="inlineStr">
        <is>
          <t>02</t>
        </is>
      </c>
      <c r="H4118" t="inlineStr">
        <is>
          <t>10 LBS</t>
        </is>
      </c>
      <c r="I4118" t="inlineStr">
        <is>
          <t>2030</t>
        </is>
      </c>
      <c r="J4118" t="n">
        <v>2025</v>
      </c>
      <c r="K4118" t="inlineStr">
        <is>
          <t>ENERO 2026</t>
        </is>
      </c>
      <c r="L4118" t="inlineStr">
        <is>
          <t>ENERO 2027</t>
        </is>
      </c>
      <c r="M4118" t="inlineStr">
        <is>
          <t>CO2 TIPO BC</t>
        </is>
      </c>
      <c r="N4118" t="inlineStr">
        <is>
          <t>02/005045</t>
        </is>
      </c>
      <c r="O4118" t="inlineStr">
        <is>
          <t>R</t>
        </is>
      </c>
      <c r="P4118">
        <f>TRIM(N4118)</f>
        <v/>
      </c>
    </row>
    <row r="4119">
      <c r="A4119" t="inlineStr">
        <is>
          <t>CO-002587</t>
        </is>
      </c>
      <c r="B4119" t="inlineStr">
        <is>
          <t>GACSA PERU S.A.C.</t>
        </is>
      </c>
      <c r="C4119" t="n">
        <v>20602629068</v>
      </c>
      <c r="D4119" t="inlineStr">
        <is>
          <t>SEMINUEVO CAMACHO</t>
        </is>
      </c>
      <c r="E4119" t="inlineStr">
        <is>
          <t>Lima, 02 de enero del 2026</t>
        </is>
      </c>
      <c r="F4119" t="inlineStr">
        <is>
          <t>la Recarga y mantenimiento</t>
        </is>
      </c>
      <c r="G4119" t="inlineStr">
        <is>
          <t>03</t>
        </is>
      </c>
      <c r="H4119" t="inlineStr">
        <is>
          <t>06 KG</t>
        </is>
      </c>
      <c r="I4119" t="n">
        <v>2027</v>
      </c>
      <c r="J4119" t="n">
        <v>2022</v>
      </c>
      <c r="K4119" t="inlineStr">
        <is>
          <t>ENERO 2026</t>
        </is>
      </c>
      <c r="L4119" t="inlineStr">
        <is>
          <t>ENERO 2027</t>
        </is>
      </c>
      <c r="M4119" t="inlineStr">
        <is>
          <t xml:space="preserve">PQS TIPO ABC AL 75% </t>
        </is>
      </c>
      <c r="N4119" t="inlineStr">
        <is>
          <t>03/000280</t>
        </is>
      </c>
      <c r="O4119" t="inlineStr">
        <is>
          <t>R</t>
        </is>
      </c>
      <c r="P4119">
        <f>TRIM(N4119)</f>
        <v/>
      </c>
    </row>
    <row r="4120">
      <c r="A4120" t="inlineStr">
        <is>
          <t>CO-002587</t>
        </is>
      </c>
      <c r="B4120" t="inlineStr">
        <is>
          <t>GACSA PERU S.A.C.</t>
        </is>
      </c>
      <c r="C4120" t="n">
        <v>20602629068</v>
      </c>
      <c r="D4120" t="inlineStr">
        <is>
          <t>SEMINUEVO CAMACHO</t>
        </is>
      </c>
      <c r="E4120" t="inlineStr">
        <is>
          <t>Lima, 02 de enero del 2026</t>
        </is>
      </c>
      <c r="F4120" t="inlineStr">
        <is>
          <t>la Recarga y mantenimiento</t>
        </is>
      </c>
      <c r="G4120" t="inlineStr">
        <is>
          <t>04</t>
        </is>
      </c>
      <c r="H4120" t="inlineStr">
        <is>
          <t>06 KG</t>
        </is>
      </c>
      <c r="I4120" t="n">
        <v>2027</v>
      </c>
      <c r="J4120" t="n">
        <v>2022</v>
      </c>
      <c r="K4120" t="inlineStr">
        <is>
          <t>ENERO 2026</t>
        </is>
      </c>
      <c r="L4120" t="inlineStr">
        <is>
          <t>ENERO 2027</t>
        </is>
      </c>
      <c r="M4120" t="inlineStr">
        <is>
          <t xml:space="preserve">PQS TIPO ABC AL 75% </t>
        </is>
      </c>
      <c r="N4120" t="inlineStr">
        <is>
          <t>04/001891</t>
        </is>
      </c>
      <c r="O4120" t="inlineStr">
        <is>
          <t>R</t>
        </is>
      </c>
      <c r="P4120">
        <f>TRIM(N4120)</f>
        <v/>
      </c>
    </row>
    <row r="4121">
      <c r="A4121" t="inlineStr">
        <is>
          <t>CO-002587</t>
        </is>
      </c>
      <c r="B4121" t="inlineStr">
        <is>
          <t>GACSA PERU S.A.C.</t>
        </is>
      </c>
      <c r="C4121" t="n">
        <v>20602629068</v>
      </c>
      <c r="D4121" t="inlineStr">
        <is>
          <t>SEMINUEVO CAMACHO</t>
        </is>
      </c>
      <c r="E4121" t="inlineStr">
        <is>
          <t>Lima, 02 de enero del 2026</t>
        </is>
      </c>
      <c r="F4121" t="inlineStr">
        <is>
          <t>la Recarga y mantenimiento</t>
        </is>
      </c>
      <c r="G4121" t="inlineStr">
        <is>
          <t>05</t>
        </is>
      </c>
      <c r="H4121" t="inlineStr">
        <is>
          <t>12 KG</t>
        </is>
      </c>
      <c r="I4121" t="n">
        <v>2028</v>
      </c>
      <c r="J4121" t="n">
        <v>2023</v>
      </c>
      <c r="K4121" t="inlineStr">
        <is>
          <t xml:space="preserve">ENERO 2026 </t>
        </is>
      </c>
      <c r="L4121" t="inlineStr">
        <is>
          <t>ENERO 2027</t>
        </is>
      </c>
      <c r="M4121" t="inlineStr">
        <is>
          <t xml:space="preserve">PQS TIPO ABC AL 75% </t>
        </is>
      </c>
      <c r="N4121" t="inlineStr">
        <is>
          <t>05/000896</t>
        </is>
      </c>
      <c r="O4121" t="inlineStr">
        <is>
          <t>R</t>
        </is>
      </c>
      <c r="P4121">
        <f>TRIM(N4121)</f>
        <v/>
      </c>
    </row>
    <row r="4122">
      <c r="A4122" t="inlineStr">
        <is>
          <t>CO-002587</t>
        </is>
      </c>
      <c r="B4122" t="inlineStr">
        <is>
          <t>GACSA PERU S.A.C.</t>
        </is>
      </c>
      <c r="C4122" t="n">
        <v>20602629068</v>
      </c>
      <c r="D4122" t="inlineStr">
        <is>
          <t>SEMINUEVO CAMACHO</t>
        </is>
      </c>
      <c r="E4122" t="inlineStr">
        <is>
          <t>Lima, 02 de enero del 2026</t>
        </is>
      </c>
      <c r="F4122" t="inlineStr">
        <is>
          <t>la Recarga y mantenimiento</t>
        </is>
      </c>
      <c r="G4122" t="inlineStr">
        <is>
          <t>06</t>
        </is>
      </c>
      <c r="H4122" t="inlineStr">
        <is>
          <t>12 KG</t>
        </is>
      </c>
      <c r="I4122" t="n">
        <v>2031</v>
      </c>
      <c r="J4122" t="n">
        <v>2021</v>
      </c>
      <c r="K4122" t="inlineStr">
        <is>
          <t>ENERO 2026</t>
        </is>
      </c>
      <c r="L4122" t="inlineStr">
        <is>
          <t>ENERO 2027</t>
        </is>
      </c>
      <c r="M4122" t="inlineStr">
        <is>
          <t xml:space="preserve">PQS TIPO ABC AL 75% </t>
        </is>
      </c>
      <c r="N4122" t="inlineStr">
        <is>
          <t>06/000848</t>
        </is>
      </c>
      <c r="O4122" t="inlineStr">
        <is>
          <t>R</t>
        </is>
      </c>
      <c r="P4122">
        <f>TRIM(N4122)</f>
        <v/>
      </c>
    </row>
    <row r="4123">
      <c r="A4123" t="inlineStr">
        <is>
          <t>CO-002587</t>
        </is>
      </c>
      <c r="B4123" t="inlineStr">
        <is>
          <t>GACSA PERU S.A.C.</t>
        </is>
      </c>
      <c r="C4123" t="n">
        <v>20602629068</v>
      </c>
      <c r="D4123" t="inlineStr">
        <is>
          <t>SEMINUEVO CAMACHO</t>
        </is>
      </c>
      <c r="E4123" t="inlineStr">
        <is>
          <t>Lima, 02 de enero del 2026</t>
        </is>
      </c>
      <c r="F4123" t="inlineStr">
        <is>
          <t>la Recarga y mantenimiento</t>
        </is>
      </c>
      <c r="G4123" t="inlineStr">
        <is>
          <t>07</t>
        </is>
      </c>
      <c r="H4123" t="inlineStr">
        <is>
          <t>10 LBS</t>
        </is>
      </c>
      <c r="I4123" t="inlineStr">
        <is>
          <t>2030</t>
        </is>
      </c>
      <c r="J4123" t="n">
        <v>2025</v>
      </c>
      <c r="K4123" t="inlineStr">
        <is>
          <t>ENERO 2026</t>
        </is>
      </c>
      <c r="L4123" t="inlineStr">
        <is>
          <t>ENERO 2027</t>
        </is>
      </c>
      <c r="M4123" t="inlineStr">
        <is>
          <t>CO2 TIPO BC</t>
        </is>
      </c>
      <c r="N4123" t="inlineStr">
        <is>
          <t>07/000451</t>
        </is>
      </c>
      <c r="O4123" t="inlineStr">
        <is>
          <t>R</t>
        </is>
      </c>
      <c r="P4123">
        <f>TRIM(N4123)</f>
        <v/>
      </c>
    </row>
    <row r="4124">
      <c r="A4124" t="inlineStr">
        <is>
          <t>CO-002587</t>
        </is>
      </c>
      <c r="B4124" t="inlineStr">
        <is>
          <t>GACSA PERU S.A.C.</t>
        </is>
      </c>
      <c r="C4124" t="n">
        <v>20602629068</v>
      </c>
      <c r="D4124" t="inlineStr">
        <is>
          <t>SEMINUEVO CAMACHO</t>
        </is>
      </c>
      <c r="E4124" t="inlineStr">
        <is>
          <t>Lima, 02 de enero del 2026</t>
        </is>
      </c>
      <c r="F4124" t="inlineStr">
        <is>
          <t>la Recarga y mantenimiento</t>
        </is>
      </c>
      <c r="G4124" t="inlineStr">
        <is>
          <t>08</t>
        </is>
      </c>
      <c r="H4124" t="inlineStr">
        <is>
          <t>06 KG</t>
        </is>
      </c>
      <c r="I4124" t="n">
        <v>2027</v>
      </c>
      <c r="J4124" t="n">
        <v>2022</v>
      </c>
      <c r="K4124" t="inlineStr">
        <is>
          <t>ENERO 2026</t>
        </is>
      </c>
      <c r="L4124" t="inlineStr">
        <is>
          <t>ENERO 2027</t>
        </is>
      </c>
      <c r="M4124" t="inlineStr">
        <is>
          <t xml:space="preserve">PQS TIPO ABC AL 75% </t>
        </is>
      </c>
      <c r="N4124" t="inlineStr">
        <is>
          <t>08/000719</t>
        </is>
      </c>
      <c r="O4124" t="inlineStr">
        <is>
          <t>R</t>
        </is>
      </c>
      <c r="P4124">
        <f>TRIM(N4124)</f>
        <v/>
      </c>
    </row>
    <row r="4125">
      <c r="A4125" t="inlineStr">
        <is>
          <t>CO-002588</t>
        </is>
      </c>
      <c r="B4125" t="inlineStr">
        <is>
          <t>GACSA PERU S.A.C.</t>
        </is>
      </c>
      <c r="C4125" t="n">
        <v>20602629068</v>
      </c>
      <c r="D4125" t="inlineStr">
        <is>
          <t>NISSAN LA MOLINA</t>
        </is>
      </c>
      <c r="E4125" t="inlineStr">
        <is>
          <t>Lima, 02 de enero del 2026</t>
        </is>
      </c>
      <c r="F4125" t="inlineStr">
        <is>
          <t>la Recarga y mantenimiento</t>
        </is>
      </c>
      <c r="G4125" t="inlineStr">
        <is>
          <t>01</t>
        </is>
      </c>
      <c r="H4125" t="inlineStr">
        <is>
          <t>06 KG</t>
        </is>
      </c>
      <c r="I4125" t="inlineStr">
        <is>
          <t>2027</t>
        </is>
      </c>
      <c r="J4125" t="n">
        <v>2022</v>
      </c>
      <c r="K4125" t="inlineStr">
        <is>
          <t>ENERO 2026</t>
        </is>
      </c>
      <c r="L4125" t="inlineStr">
        <is>
          <t>ENERO 2027</t>
        </is>
      </c>
      <c r="M4125" t="inlineStr">
        <is>
          <t xml:space="preserve">PQS TIPO ABC AL 75% </t>
        </is>
      </c>
      <c r="N4125" t="inlineStr">
        <is>
          <t>05/006797</t>
        </is>
      </c>
      <c r="O4125" t="inlineStr">
        <is>
          <t>R</t>
        </is>
      </c>
      <c r="P4125">
        <f>TRIM(N4125)</f>
        <v/>
      </c>
    </row>
    <row r="4126">
      <c r="A4126" t="inlineStr">
        <is>
          <t>CO-002588</t>
        </is>
      </c>
      <c r="B4126" t="inlineStr">
        <is>
          <t>GACSA PERU S.A.C.</t>
        </is>
      </c>
      <c r="C4126" t="n">
        <v>20602629068</v>
      </c>
      <c r="D4126" t="inlineStr">
        <is>
          <t>NISSAN LA MOLINA</t>
        </is>
      </c>
      <c r="E4126" t="inlineStr">
        <is>
          <t>Lima, 02 de enero del 2026</t>
        </is>
      </c>
      <c r="F4126" t="inlineStr">
        <is>
          <t>la Recarga y mantenimiento</t>
        </is>
      </c>
      <c r="G4126" t="inlineStr">
        <is>
          <t>02</t>
        </is>
      </c>
      <c r="H4126" t="inlineStr">
        <is>
          <t>06 KG</t>
        </is>
      </c>
      <c r="P4126">
        <f>TRIM(N4126)</f>
        <v/>
      </c>
    </row>
    <row r="4127">
      <c r="A4127" t="inlineStr">
        <is>
          <t>CO-002590</t>
        </is>
      </c>
      <c r="B4127" t="inlineStr">
        <is>
          <t>PERU MASIVO - BUSES</t>
        </is>
      </c>
      <c r="C4127" t="inlineStr">
        <is>
          <t>20492392031</t>
        </is>
      </c>
      <c r="D4127" t="inlineStr">
        <is>
          <t>AV. LOS INCAS CDRA. 4 PATIO NORTE - COMAS</t>
        </is>
      </c>
      <c r="E4127" t="inlineStr">
        <is>
          <t>Lima, 05 de enero del 2026</t>
        </is>
      </c>
      <c r="F4127" t="inlineStr">
        <is>
          <t>la Recarga y mantenimiento</t>
        </is>
      </c>
      <c r="G4127" t="inlineStr">
        <is>
          <t>01</t>
        </is>
      </c>
      <c r="H4127" t="inlineStr">
        <is>
          <t>06 KG</t>
        </is>
      </c>
      <c r="I4127" t="inlineStr">
        <is>
          <t>2028</t>
        </is>
      </c>
      <c r="J4127" t="n">
        <v>2010</v>
      </c>
      <c r="K4127" t="inlineStr">
        <is>
          <t>ENERO 2026</t>
        </is>
      </c>
      <c r="L4127" t="inlineStr">
        <is>
          <t>ENERO 2027</t>
        </is>
      </c>
      <c r="M4127" t="inlineStr">
        <is>
          <t>P.Q.S TIPO ABC AL 90 % NACIONAL</t>
        </is>
      </c>
      <c r="N4127" t="inlineStr">
        <is>
          <t>100/000837</t>
        </is>
      </c>
      <c r="O4127" t="inlineStr">
        <is>
          <t>R</t>
        </is>
      </c>
      <c r="P4127">
        <f>TRIM(N4127)</f>
        <v/>
      </c>
    </row>
    <row r="4128">
      <c r="A4128" t="inlineStr">
        <is>
          <t>CO-002590</t>
        </is>
      </c>
      <c r="B4128" t="inlineStr">
        <is>
          <t>PERU MASIVO - BUSES</t>
        </is>
      </c>
      <c r="C4128" t="inlineStr">
        <is>
          <t>20492392031</t>
        </is>
      </c>
      <c r="D4128" t="inlineStr">
        <is>
          <t>AV. LOS INCAS CDRA. 4 PATIO NORTE - COMAS</t>
        </is>
      </c>
      <c r="E4128" t="inlineStr">
        <is>
          <t>Lima, 05 de enero del 2026</t>
        </is>
      </c>
      <c r="F4128" t="inlineStr">
        <is>
          <t>la Recarga y mantenimiento</t>
        </is>
      </c>
      <c r="G4128" t="inlineStr">
        <is>
          <t>02</t>
        </is>
      </c>
      <c r="H4128" t="inlineStr">
        <is>
          <t>06 KG</t>
        </is>
      </c>
      <c r="I4128" t="inlineStr">
        <is>
          <t>2028</t>
        </is>
      </c>
      <c r="J4128" t="n">
        <v>2010</v>
      </c>
      <c r="K4128" t="inlineStr">
        <is>
          <t>ENERO 2026</t>
        </is>
      </c>
      <c r="L4128" t="inlineStr">
        <is>
          <t>ENERO 2027</t>
        </is>
      </c>
      <c r="M4128" t="inlineStr">
        <is>
          <t>P.Q.S TIPO ABC AL 90 % NACIONAL</t>
        </is>
      </c>
      <c r="N4128" t="inlineStr">
        <is>
          <t>356/000313</t>
        </is>
      </c>
      <c r="O4128" t="inlineStr">
        <is>
          <t>R</t>
        </is>
      </c>
      <c r="P4128">
        <f>TRIM(N4128)</f>
        <v/>
      </c>
    </row>
    <row r="4129">
      <c r="A4129" t="inlineStr">
        <is>
          <t>CO-002590</t>
        </is>
      </c>
      <c r="B4129" t="inlineStr">
        <is>
          <t>PERU MASIVO - BUSES</t>
        </is>
      </c>
      <c r="C4129" t="inlineStr">
        <is>
          <t>20492392031</t>
        </is>
      </c>
      <c r="D4129" t="inlineStr">
        <is>
          <t>AV. LOS INCAS CDRA. 4 PATIO NORTE - COMAS</t>
        </is>
      </c>
      <c r="E4129" t="inlineStr">
        <is>
          <t>Lima, 05 de enero del 2026</t>
        </is>
      </c>
      <c r="F4129" t="inlineStr">
        <is>
          <t>la Recarga y mantenimiento</t>
        </is>
      </c>
      <c r="G4129" t="inlineStr">
        <is>
          <t>03</t>
        </is>
      </c>
      <c r="H4129" t="inlineStr">
        <is>
          <t>06 KG</t>
        </is>
      </c>
      <c r="I4129" t="inlineStr">
        <is>
          <t>2029</t>
        </is>
      </c>
      <c r="J4129" t="n">
        <v>2010</v>
      </c>
      <c r="K4129" t="inlineStr">
        <is>
          <t>ENERO 2026</t>
        </is>
      </c>
      <c r="L4129" t="inlineStr">
        <is>
          <t>ENERO 2027</t>
        </is>
      </c>
      <c r="M4129" t="inlineStr">
        <is>
          <t>P.Q.S TIPO ABC AL 90 % NACIONAL</t>
        </is>
      </c>
      <c r="N4129" t="inlineStr">
        <is>
          <t>309/000234</t>
        </is>
      </c>
      <c r="O4129" t="inlineStr">
        <is>
          <t>R</t>
        </is>
      </c>
      <c r="P4129">
        <f>TRIM(N4129)</f>
        <v/>
      </c>
    </row>
    <row r="4130">
      <c r="A4130" t="inlineStr">
        <is>
          <t>CO-002590</t>
        </is>
      </c>
      <c r="B4130" t="inlineStr">
        <is>
          <t>PERU MASIVO - BUSES</t>
        </is>
      </c>
      <c r="C4130" t="inlineStr">
        <is>
          <t>20492392031</t>
        </is>
      </c>
      <c r="D4130" t="inlineStr">
        <is>
          <t>AV. LOS INCAS CDRA. 4 PATIO NORTE - COMAS</t>
        </is>
      </c>
      <c r="E4130" t="inlineStr">
        <is>
          <t>Lima, 05 de enero del 2026</t>
        </is>
      </c>
      <c r="F4130" t="inlineStr">
        <is>
          <t>la Recarga y mantenimiento</t>
        </is>
      </c>
      <c r="G4130" t="inlineStr">
        <is>
          <t>04</t>
        </is>
      </c>
      <c r="H4130" t="inlineStr">
        <is>
          <t>06 KG</t>
        </is>
      </c>
      <c r="I4130" t="inlineStr">
        <is>
          <t>2028</t>
        </is>
      </c>
      <c r="J4130" t="n">
        <v>2017</v>
      </c>
      <c r="K4130" t="inlineStr">
        <is>
          <t>ENERO 2026</t>
        </is>
      </c>
      <c r="L4130" t="inlineStr">
        <is>
          <t>ENERO 2027</t>
        </is>
      </c>
      <c r="M4130" t="inlineStr">
        <is>
          <t>P.Q.S TIPO ABC AL 90 % NACIONAL</t>
        </is>
      </c>
      <c r="N4130" t="inlineStr">
        <is>
          <t>359/004887</t>
        </is>
      </c>
      <c r="O4130" t="inlineStr">
        <is>
          <t>R</t>
        </is>
      </c>
      <c r="P4130">
        <f>TRIM(N4130)</f>
        <v/>
      </c>
    </row>
    <row r="4131">
      <c r="A4131" t="inlineStr">
        <is>
          <t>CO-002590</t>
        </is>
      </c>
      <c r="B4131" t="inlineStr">
        <is>
          <t>PERU MASIVO - BUSES</t>
        </is>
      </c>
      <c r="C4131" t="inlineStr">
        <is>
          <t>20492392031</t>
        </is>
      </c>
      <c r="D4131" t="inlineStr">
        <is>
          <t>AV. LOS INCAS CDRA. 4 PATIO NORTE - COMAS</t>
        </is>
      </c>
      <c r="E4131" t="inlineStr">
        <is>
          <t>Lima, 05 de enero del 2026</t>
        </is>
      </c>
      <c r="F4131" t="inlineStr">
        <is>
          <t>la Recarga y mantenimiento</t>
        </is>
      </c>
      <c r="G4131" t="inlineStr">
        <is>
          <t>05</t>
        </is>
      </c>
      <c r="H4131" t="inlineStr">
        <is>
          <t>06 KG</t>
        </is>
      </c>
      <c r="I4131" t="inlineStr">
        <is>
          <t>2028</t>
        </is>
      </c>
      <c r="J4131" t="n">
        <v>2010</v>
      </c>
      <c r="K4131" t="inlineStr">
        <is>
          <t>ENERO 2026</t>
        </is>
      </c>
      <c r="L4131" t="inlineStr">
        <is>
          <t>ENERO 2027</t>
        </is>
      </c>
      <c r="M4131" t="inlineStr">
        <is>
          <t>P.Q.S TIPO ABC AL 90 % NACIONAL</t>
        </is>
      </c>
      <c r="N4131" t="inlineStr">
        <is>
          <t>364/000005</t>
        </is>
      </c>
      <c r="O4131" t="inlineStr">
        <is>
          <t>R</t>
        </is>
      </c>
      <c r="P4131">
        <f>TRIM(N4131)</f>
        <v/>
      </c>
    </row>
    <row r="4132">
      <c r="A4132" t="inlineStr">
        <is>
          <t>CO-002590</t>
        </is>
      </c>
      <c r="B4132" t="inlineStr">
        <is>
          <t>PERU MASIVO - BUSES</t>
        </is>
      </c>
      <c r="C4132" t="inlineStr">
        <is>
          <t>20492392031</t>
        </is>
      </c>
      <c r="D4132" t="inlineStr">
        <is>
          <t>AV. LOS INCAS CDRA. 4 PATIO NORTE - COMAS</t>
        </is>
      </c>
      <c r="E4132" t="inlineStr">
        <is>
          <t>Lima, 05 de enero del 2026</t>
        </is>
      </c>
      <c r="F4132" t="inlineStr">
        <is>
          <t>la Recarga y mantenimiento</t>
        </is>
      </c>
      <c r="G4132" t="inlineStr">
        <is>
          <t>06</t>
        </is>
      </c>
      <c r="H4132" t="inlineStr">
        <is>
          <t>06 KG</t>
        </is>
      </c>
      <c r="I4132" t="inlineStr">
        <is>
          <t>2029</t>
        </is>
      </c>
      <c r="J4132" t="n">
        <v>2010</v>
      </c>
      <c r="K4132" t="inlineStr">
        <is>
          <t>ENERO 2026</t>
        </is>
      </c>
      <c r="L4132" t="inlineStr">
        <is>
          <t>ENERO 2027</t>
        </is>
      </c>
      <c r="M4132" t="inlineStr">
        <is>
          <t>P.Q.S TIPO ABC AL 90 % NACIONAL</t>
        </is>
      </c>
      <c r="N4132" t="inlineStr">
        <is>
          <t>164/002173</t>
        </is>
      </c>
      <c r="O4132" t="inlineStr">
        <is>
          <t>R</t>
        </is>
      </c>
      <c r="P4132">
        <f>TRIM(N4132)</f>
        <v/>
      </c>
    </row>
    <row r="4133">
      <c r="A4133" t="inlineStr">
        <is>
          <t>CO-002590</t>
        </is>
      </c>
      <c r="B4133" t="inlineStr">
        <is>
          <t>PERU MASIVO - BUSES</t>
        </is>
      </c>
      <c r="C4133" t="inlineStr">
        <is>
          <t>20492392031</t>
        </is>
      </c>
      <c r="D4133" t="inlineStr">
        <is>
          <t>AV. LOS INCAS CDRA. 4 PATIO NORTE - COMAS</t>
        </is>
      </c>
      <c r="E4133" t="inlineStr">
        <is>
          <t>Lima, 05 de enero del 2026</t>
        </is>
      </c>
      <c r="F4133" t="inlineStr">
        <is>
          <t>la Recarga y mantenimiento</t>
        </is>
      </c>
      <c r="G4133" t="inlineStr">
        <is>
          <t>07</t>
        </is>
      </c>
      <c r="H4133" t="inlineStr">
        <is>
          <t>06 KG</t>
        </is>
      </c>
      <c r="I4133" t="inlineStr">
        <is>
          <t>2028</t>
        </is>
      </c>
      <c r="J4133" t="n">
        <v>2009</v>
      </c>
      <c r="K4133" t="inlineStr">
        <is>
          <t>ENERO 2026</t>
        </is>
      </c>
      <c r="L4133" t="inlineStr">
        <is>
          <t>ENERO 2027</t>
        </is>
      </c>
      <c r="M4133" t="inlineStr">
        <is>
          <t>P.Q.S TIPO ABC AL 90 % NACIONAL</t>
        </is>
      </c>
      <c r="N4133" t="inlineStr">
        <is>
          <t>42/001270</t>
        </is>
      </c>
      <c r="O4133" t="inlineStr">
        <is>
          <t>R</t>
        </is>
      </c>
      <c r="P4133">
        <f>TRIM(N4133)</f>
        <v/>
      </c>
    </row>
    <row r="4134">
      <c r="A4134" t="inlineStr">
        <is>
          <t>CO-002591</t>
        </is>
      </c>
      <c r="B4134" t="inlineStr">
        <is>
          <t>GACSA PERU S.A.C.</t>
        </is>
      </c>
      <c r="C4134" t="n">
        <v>20602629068</v>
      </c>
      <c r="D4134" t="inlineStr">
        <is>
          <t xml:space="preserve">NISSAN TIENDA SURCO </t>
        </is>
      </c>
      <c r="E4134" t="inlineStr">
        <is>
          <t>Lima, 05 de enero del 2026</t>
        </is>
      </c>
      <c r="F4134" t="inlineStr">
        <is>
          <t>la Recarga y mantenimiento</t>
        </is>
      </c>
      <c r="G4134" t="inlineStr">
        <is>
          <t>01</t>
        </is>
      </c>
      <c r="H4134" t="inlineStr">
        <is>
          <t xml:space="preserve">06 KG </t>
        </is>
      </c>
      <c r="I4134" t="inlineStr">
        <is>
          <t>2027</t>
        </is>
      </c>
      <c r="J4134" t="n">
        <v>2017</v>
      </c>
      <c r="K4134" t="inlineStr">
        <is>
          <t>ENERO 2026</t>
        </is>
      </c>
      <c r="L4134" t="inlineStr">
        <is>
          <t>ENERO 2027</t>
        </is>
      </c>
      <c r="M4134" t="inlineStr">
        <is>
          <t xml:space="preserve">PQS TIPO ABC AL 75% </t>
        </is>
      </c>
      <c r="N4134" t="inlineStr">
        <is>
          <t>01/000581</t>
        </is>
      </c>
      <c r="O4134" t="inlineStr">
        <is>
          <t>R</t>
        </is>
      </c>
      <c r="P4134">
        <f>TRIM(N4134)</f>
        <v/>
      </c>
    </row>
    <row r="4135">
      <c r="A4135" t="inlineStr">
        <is>
          <t>CO-002591</t>
        </is>
      </c>
      <c r="B4135" t="inlineStr">
        <is>
          <t>GACSA PERU S.A.C.</t>
        </is>
      </c>
      <c r="C4135" t="n">
        <v>20602629068</v>
      </c>
      <c r="D4135" t="inlineStr">
        <is>
          <t xml:space="preserve">NISSAN TIENDA SURCO </t>
        </is>
      </c>
      <c r="E4135" t="inlineStr">
        <is>
          <t>Lima, 05 de enero del 2026</t>
        </is>
      </c>
      <c r="F4135" t="inlineStr">
        <is>
          <t>la Recarga y mantenimiento</t>
        </is>
      </c>
      <c r="G4135" t="inlineStr">
        <is>
          <t>02</t>
        </is>
      </c>
      <c r="H4135" t="inlineStr">
        <is>
          <t xml:space="preserve">06 KG </t>
        </is>
      </c>
      <c r="I4135" t="inlineStr">
        <is>
          <t>2027</t>
        </is>
      </c>
      <c r="J4135" t="n">
        <v>2017</v>
      </c>
      <c r="K4135" t="inlineStr">
        <is>
          <t>ENERO 2026</t>
        </is>
      </c>
      <c r="L4135" t="inlineStr">
        <is>
          <t>ENERO 2027</t>
        </is>
      </c>
      <c r="M4135" t="inlineStr">
        <is>
          <t xml:space="preserve">PQS TIPO ABC AL 75% </t>
        </is>
      </c>
      <c r="N4135" t="inlineStr">
        <is>
          <t>02/000499</t>
        </is>
      </c>
      <c r="O4135" t="inlineStr">
        <is>
          <t>R</t>
        </is>
      </c>
      <c r="P4135">
        <f>TRIM(N4135)</f>
        <v/>
      </c>
    </row>
    <row r="4136">
      <c r="A4136" t="inlineStr">
        <is>
          <t>CO-002591</t>
        </is>
      </c>
      <c r="B4136" t="inlineStr">
        <is>
          <t>GACSA PERU S.A.C.</t>
        </is>
      </c>
      <c r="C4136" t="n">
        <v>20602629068</v>
      </c>
      <c r="D4136" t="inlineStr">
        <is>
          <t xml:space="preserve">NISSAN TIENDA SURCO </t>
        </is>
      </c>
      <c r="E4136" t="inlineStr">
        <is>
          <t>Lima, 05 de enero del 2026</t>
        </is>
      </c>
      <c r="F4136" t="inlineStr">
        <is>
          <t>la Recarga y mantenimiento</t>
        </is>
      </c>
      <c r="G4136" t="inlineStr">
        <is>
          <t>03</t>
        </is>
      </c>
      <c r="H4136" t="inlineStr">
        <is>
          <t>09 KG</t>
        </is>
      </c>
      <c r="I4136" t="inlineStr">
        <is>
          <t>2031</t>
        </is>
      </c>
      <c r="J4136" t="n">
        <v>2021</v>
      </c>
      <c r="K4136" t="inlineStr">
        <is>
          <t>ENERO 2026</t>
        </is>
      </c>
      <c r="L4136" t="inlineStr">
        <is>
          <t>ENERO 2027</t>
        </is>
      </c>
      <c r="M4136" t="inlineStr">
        <is>
          <t xml:space="preserve">PQS TIPO ABC AL 75% </t>
        </is>
      </c>
      <c r="N4136" t="inlineStr">
        <is>
          <t>03/003247</t>
        </is>
      </c>
      <c r="O4136" t="inlineStr">
        <is>
          <t>R</t>
        </is>
      </c>
      <c r="P4136">
        <f>TRIM(N4136)</f>
        <v/>
      </c>
    </row>
    <row r="4137">
      <c r="A4137" t="inlineStr">
        <is>
          <t>CO-002591</t>
        </is>
      </c>
      <c r="B4137" t="inlineStr">
        <is>
          <t>GACSA PERU S.A.C.</t>
        </is>
      </c>
      <c r="C4137" t="n">
        <v>20602629068</v>
      </c>
      <c r="D4137" t="inlineStr">
        <is>
          <t xml:space="preserve">NISSAN TIENDA SURCO </t>
        </is>
      </c>
      <c r="E4137" t="inlineStr">
        <is>
          <t>Lima, 05 de enero del 2026</t>
        </is>
      </c>
      <c r="F4137" t="inlineStr">
        <is>
          <t>la Recarga y mantenimiento</t>
        </is>
      </c>
      <c r="G4137" t="inlineStr">
        <is>
          <t>04</t>
        </is>
      </c>
      <c r="H4137" t="inlineStr">
        <is>
          <t>09 KG</t>
        </is>
      </c>
      <c r="I4137" t="inlineStr">
        <is>
          <t>2031</t>
        </is>
      </c>
      <c r="J4137" t="n">
        <v>2021</v>
      </c>
      <c r="K4137" t="inlineStr">
        <is>
          <t>ENERO 2026</t>
        </is>
      </c>
      <c r="L4137" t="inlineStr">
        <is>
          <t>ENERO 2027</t>
        </is>
      </c>
      <c r="M4137" t="inlineStr">
        <is>
          <t xml:space="preserve">PQS TIPO ABC AL 75% </t>
        </is>
      </c>
      <c r="N4137" t="inlineStr">
        <is>
          <t>04/002981</t>
        </is>
      </c>
      <c r="O4137" t="inlineStr">
        <is>
          <t>R</t>
        </is>
      </c>
      <c r="P4137">
        <f>TRIM(N4137)</f>
        <v/>
      </c>
    </row>
    <row r="4138">
      <c r="A4138" t="inlineStr">
        <is>
          <t>CO-002591</t>
        </is>
      </c>
      <c r="B4138" t="inlineStr">
        <is>
          <t>GACSA PERU S.A.C.</t>
        </is>
      </c>
      <c r="C4138" t="n">
        <v>20602629068</v>
      </c>
      <c r="D4138" t="inlineStr">
        <is>
          <t xml:space="preserve">NISSAN TIENDA SURCO </t>
        </is>
      </c>
      <c r="E4138" t="inlineStr">
        <is>
          <t>Lima, 05 de enero del 2026</t>
        </is>
      </c>
      <c r="F4138" t="inlineStr">
        <is>
          <t>la Recarga y mantenimiento</t>
        </is>
      </c>
      <c r="G4138" t="inlineStr">
        <is>
          <t>05</t>
        </is>
      </c>
      <c r="H4138" t="inlineStr">
        <is>
          <t xml:space="preserve">06 KG </t>
        </is>
      </c>
      <c r="I4138" t="inlineStr">
        <is>
          <t>2031</t>
        </is>
      </c>
      <c r="J4138" t="n">
        <v>2021</v>
      </c>
      <c r="K4138" t="inlineStr">
        <is>
          <t>ENERO 2026</t>
        </is>
      </c>
      <c r="L4138" t="inlineStr">
        <is>
          <t>ENERO 2027</t>
        </is>
      </c>
      <c r="M4138" t="inlineStr">
        <is>
          <t xml:space="preserve">PQS TIPO ABC AL 75% </t>
        </is>
      </c>
      <c r="N4138" t="inlineStr">
        <is>
          <t>05/002466</t>
        </is>
      </c>
      <c r="O4138" t="inlineStr">
        <is>
          <t>R</t>
        </is>
      </c>
      <c r="P4138">
        <f>TRIM(N4138)</f>
        <v/>
      </c>
    </row>
    <row r="4139">
      <c r="A4139" t="inlineStr">
        <is>
          <t>CO-002591</t>
        </is>
      </c>
      <c r="B4139" t="inlineStr">
        <is>
          <t>GACSA PERU S.A.C.</t>
        </is>
      </c>
      <c r="C4139" t="n">
        <v>20602629068</v>
      </c>
      <c r="D4139" t="inlineStr">
        <is>
          <t xml:space="preserve">NISSAN TIENDA SURCO </t>
        </is>
      </c>
      <c r="E4139" t="inlineStr">
        <is>
          <t>Lima, 05 de enero del 2026</t>
        </is>
      </c>
      <c r="F4139" t="inlineStr">
        <is>
          <t>la Recarga y mantenimiento</t>
        </is>
      </c>
      <c r="G4139" t="inlineStr">
        <is>
          <t>06</t>
        </is>
      </c>
      <c r="H4139" t="inlineStr">
        <is>
          <t>10 LBS</t>
        </is>
      </c>
      <c r="I4139" t="n">
        <v>2028</v>
      </c>
      <c r="J4139" t="n">
        <v>2023</v>
      </c>
      <c r="K4139" t="inlineStr">
        <is>
          <t>ENERO 2026</t>
        </is>
      </c>
      <c r="L4139" t="inlineStr">
        <is>
          <t>ENERO 2027</t>
        </is>
      </c>
      <c r="M4139" t="inlineStr">
        <is>
          <t xml:space="preserve">CO2 TIPO BC </t>
        </is>
      </c>
      <c r="N4139" t="inlineStr">
        <is>
          <t>06/000499</t>
        </is>
      </c>
      <c r="O4139" t="inlineStr">
        <is>
          <t>R</t>
        </is>
      </c>
      <c r="P4139">
        <f>TRIM(N4139)</f>
        <v/>
      </c>
    </row>
    <row r="4140">
      <c r="A4140" t="inlineStr">
        <is>
          <t>CO-002592</t>
        </is>
      </c>
      <c r="B4140" t="inlineStr">
        <is>
          <t>GACSA PERU S.A.C.</t>
        </is>
      </c>
      <c r="C4140" t="n">
        <v>20602629068</v>
      </c>
      <c r="D4140" t="inlineStr">
        <is>
          <t>AV. DOMINGO ORUE 375 (SEMINUEVOS SURQUILLO)</t>
        </is>
      </c>
      <c r="E4140" t="inlineStr">
        <is>
          <t>Lima, 05 de enero del 2026</t>
        </is>
      </c>
      <c r="F4140" t="inlineStr">
        <is>
          <t>la Recarga y mantenimiento</t>
        </is>
      </c>
      <c r="G4140" t="inlineStr">
        <is>
          <t>01</t>
        </is>
      </c>
      <c r="H4140" t="inlineStr">
        <is>
          <t xml:space="preserve">06 KG </t>
        </is>
      </c>
      <c r="I4140" t="inlineStr">
        <is>
          <t>2027</t>
        </is>
      </c>
      <c r="J4140" t="n">
        <v>2022</v>
      </c>
      <c r="K4140" t="inlineStr">
        <is>
          <t>ENERO 2026</t>
        </is>
      </c>
      <c r="L4140" t="inlineStr">
        <is>
          <t>ENERO 2027</t>
        </is>
      </c>
      <c r="M4140" t="inlineStr">
        <is>
          <t xml:space="preserve">PQS TIPO ABC AL 75% </t>
        </is>
      </c>
      <c r="N4140" t="inlineStr">
        <is>
          <t>01/002229</t>
        </is>
      </c>
      <c r="O4140" t="inlineStr">
        <is>
          <t>R</t>
        </is>
      </c>
      <c r="P4140">
        <f>TRIM(N4140)</f>
        <v/>
      </c>
    </row>
    <row r="4141">
      <c r="A4141" t="inlineStr">
        <is>
          <t>CO-002592</t>
        </is>
      </c>
      <c r="B4141" t="inlineStr">
        <is>
          <t>GACSA PERU S.A.C.</t>
        </is>
      </c>
      <c r="C4141" t="n">
        <v>20602629068</v>
      </c>
      <c r="D4141" t="inlineStr">
        <is>
          <t>AV. DOMINGO ORUE 375 (SEMINUEVOS SURQUILLO)</t>
        </is>
      </c>
      <c r="E4141" t="inlineStr">
        <is>
          <t>Lima, 05 de enero del 2026</t>
        </is>
      </c>
      <c r="F4141" t="inlineStr">
        <is>
          <t>la Recarga y mantenimiento</t>
        </is>
      </c>
      <c r="G4141" t="inlineStr">
        <is>
          <t>02</t>
        </is>
      </c>
      <c r="H4141" t="inlineStr">
        <is>
          <t>10 LBS</t>
        </is>
      </c>
      <c r="I4141" t="inlineStr">
        <is>
          <t>2030</t>
        </is>
      </c>
      <c r="J4141" t="n">
        <v>2025</v>
      </c>
      <c r="K4141" t="inlineStr">
        <is>
          <t>ENERO 2026</t>
        </is>
      </c>
      <c r="L4141" t="inlineStr">
        <is>
          <t>ENERO 2027</t>
        </is>
      </c>
      <c r="M4141" t="inlineStr">
        <is>
          <t>CO2 TIPO BC</t>
        </is>
      </c>
      <c r="N4141" t="inlineStr">
        <is>
          <t>02/002169</t>
        </is>
      </c>
      <c r="O4141" t="inlineStr">
        <is>
          <t>R</t>
        </is>
      </c>
      <c r="P4141">
        <f>TRIM(N4141)</f>
        <v/>
      </c>
    </row>
    <row r="4142">
      <c r="A4142" t="inlineStr">
        <is>
          <t>CO-002592</t>
        </is>
      </c>
      <c r="B4142" t="inlineStr">
        <is>
          <t>GACSA PERU S.A.C.</t>
        </is>
      </c>
      <c r="C4142" t="n">
        <v>20602629068</v>
      </c>
      <c r="D4142" t="inlineStr">
        <is>
          <t>AV. DOMINGO ORUE 375 (SEMINUEVOS SURQUILLO)</t>
        </is>
      </c>
      <c r="E4142" t="inlineStr">
        <is>
          <t>Lima, 05 de enero del 2026</t>
        </is>
      </c>
      <c r="F4142" t="inlineStr">
        <is>
          <t>la Recarga y mantenimiento</t>
        </is>
      </c>
      <c r="G4142" t="inlineStr">
        <is>
          <t>03</t>
        </is>
      </c>
      <c r="H4142" t="inlineStr">
        <is>
          <t xml:space="preserve">06 KG </t>
        </is>
      </c>
      <c r="I4142" t="inlineStr">
        <is>
          <t>2027</t>
        </is>
      </c>
      <c r="J4142" t="n">
        <v>2022</v>
      </c>
      <c r="K4142" t="inlineStr">
        <is>
          <t>ENERO 2026</t>
        </is>
      </c>
      <c r="L4142" t="inlineStr">
        <is>
          <t>ENERO 2027</t>
        </is>
      </c>
      <c r="M4142" t="inlineStr">
        <is>
          <t xml:space="preserve">PQS TIPO ABC AL 75% </t>
        </is>
      </c>
      <c r="N4142" t="inlineStr">
        <is>
          <t>03/001860</t>
        </is>
      </c>
      <c r="O4142" t="inlineStr">
        <is>
          <t>R</t>
        </is>
      </c>
      <c r="P4142">
        <f>TRIM(N4142)</f>
        <v/>
      </c>
    </row>
    <row r="4143">
      <c r="A4143" t="inlineStr">
        <is>
          <t>CO-002592</t>
        </is>
      </c>
      <c r="B4143" t="inlineStr">
        <is>
          <t>GACSA PERU S.A.C.</t>
        </is>
      </c>
      <c r="C4143" t="n">
        <v>20602629068</v>
      </c>
      <c r="D4143" t="inlineStr">
        <is>
          <t>AV. DOMINGO ORUE 375 (SEMINUEVOS SURQUILLO)</t>
        </is>
      </c>
      <c r="E4143" t="inlineStr">
        <is>
          <t>Lima, 05 de enero del 2026</t>
        </is>
      </c>
      <c r="F4143" t="inlineStr">
        <is>
          <t>la Recarga y mantenimiento</t>
        </is>
      </c>
      <c r="G4143" t="inlineStr">
        <is>
          <t>04</t>
        </is>
      </c>
      <c r="H4143" t="inlineStr">
        <is>
          <t>06 KG</t>
        </is>
      </c>
      <c r="I4143" t="inlineStr">
        <is>
          <t>2027</t>
        </is>
      </c>
      <c r="J4143" t="n">
        <v>2022</v>
      </c>
      <c r="K4143" t="inlineStr">
        <is>
          <t>ENERO 2026</t>
        </is>
      </c>
      <c r="L4143" t="inlineStr">
        <is>
          <t>ENERO 2027</t>
        </is>
      </c>
      <c r="M4143" t="inlineStr">
        <is>
          <t xml:space="preserve">PQS TIPO ABC AL 75% </t>
        </is>
      </c>
      <c r="N4143" t="inlineStr">
        <is>
          <t>04/001864</t>
        </is>
      </c>
      <c r="O4143" t="inlineStr">
        <is>
          <t>R</t>
        </is>
      </c>
      <c r="P4143">
        <f>TRIM(N4143)</f>
        <v/>
      </c>
    </row>
    <row r="4144">
      <c r="A4144" t="inlineStr">
        <is>
          <t>CO-002592</t>
        </is>
      </c>
      <c r="B4144" t="inlineStr">
        <is>
          <t>GACSA PERU S.A.C.</t>
        </is>
      </c>
      <c r="C4144" t="n">
        <v>20602629068</v>
      </c>
      <c r="D4144" t="inlineStr">
        <is>
          <t>AV. DOMINGO ORUE 375 (SEMINUEVOS SURQUILLO)</t>
        </is>
      </c>
      <c r="E4144" t="inlineStr">
        <is>
          <t>Lima, 05 de enero del 2026</t>
        </is>
      </c>
      <c r="F4144" t="inlineStr">
        <is>
          <t>la Recarga y mantenimiento</t>
        </is>
      </c>
      <c r="G4144" t="inlineStr">
        <is>
          <t>05</t>
        </is>
      </c>
      <c r="H4144" t="inlineStr">
        <is>
          <t xml:space="preserve">06 KG </t>
        </is>
      </c>
      <c r="I4144" t="inlineStr">
        <is>
          <t>2027</t>
        </is>
      </c>
      <c r="J4144" t="n">
        <v>2022</v>
      </c>
      <c r="K4144" t="inlineStr">
        <is>
          <t>ENERO 2026</t>
        </is>
      </c>
      <c r="L4144" t="inlineStr">
        <is>
          <t>ENERO 2027</t>
        </is>
      </c>
      <c r="M4144" t="inlineStr">
        <is>
          <t xml:space="preserve">PQS TIPO ABC AL 75% </t>
        </is>
      </c>
      <c r="N4144" t="inlineStr">
        <is>
          <t>05/001371</t>
        </is>
      </c>
      <c r="O4144" t="inlineStr">
        <is>
          <t>R</t>
        </is>
      </c>
      <c r="P4144">
        <f>TRIM(N4144)</f>
        <v/>
      </c>
    </row>
    <row r="4145">
      <c r="A4145" t="inlineStr">
        <is>
          <t>CO-002592</t>
        </is>
      </c>
      <c r="B4145" t="inlineStr">
        <is>
          <t>GACSA PERU S.A.C.</t>
        </is>
      </c>
      <c r="C4145" t="n">
        <v>20602629068</v>
      </c>
      <c r="D4145" t="inlineStr">
        <is>
          <t>AV. DOMINGO ORUE 375 (SEMINUEVOS SURQUILLO)</t>
        </is>
      </c>
      <c r="E4145" t="inlineStr">
        <is>
          <t>Lima, 05 de enero del 2026</t>
        </is>
      </c>
      <c r="F4145" t="inlineStr">
        <is>
          <t>la Recarga y mantenimiento</t>
        </is>
      </c>
      <c r="G4145" t="inlineStr">
        <is>
          <t>06</t>
        </is>
      </c>
      <c r="H4145" t="inlineStr">
        <is>
          <t>06 KG</t>
        </is>
      </c>
      <c r="I4145" t="n">
        <v>2027</v>
      </c>
      <c r="J4145" t="n">
        <v>2022</v>
      </c>
      <c r="K4145" t="inlineStr">
        <is>
          <t>ENERO 2026</t>
        </is>
      </c>
      <c r="L4145" t="inlineStr">
        <is>
          <t>ENERO 2027</t>
        </is>
      </c>
      <c r="M4145" t="inlineStr">
        <is>
          <t xml:space="preserve">PQS TIPO ABC AL 75% </t>
        </is>
      </c>
      <c r="N4145" t="inlineStr">
        <is>
          <t>06/003246</t>
        </is>
      </c>
      <c r="O4145" t="inlineStr">
        <is>
          <t>R</t>
        </is>
      </c>
      <c r="P4145">
        <f>TRIM(N4145)</f>
        <v/>
      </c>
    </row>
    <row r="4146">
      <c r="A4146" t="inlineStr">
        <is>
          <t>CO-002592</t>
        </is>
      </c>
      <c r="B4146" t="inlineStr">
        <is>
          <t>GACSA PERU S.A.C.</t>
        </is>
      </c>
      <c r="C4146" t="n">
        <v>20602629068</v>
      </c>
      <c r="D4146" t="inlineStr">
        <is>
          <t>AV. DOMINGO ORUE 375 (SEMINUEVOS SURQUILLO)</t>
        </is>
      </c>
      <c r="E4146" t="inlineStr">
        <is>
          <t>Lima, 05 de enero del 2026</t>
        </is>
      </c>
      <c r="F4146" t="inlineStr">
        <is>
          <t>la Recarga y mantenimiento</t>
        </is>
      </c>
      <c r="G4146" t="inlineStr">
        <is>
          <t>07</t>
        </is>
      </c>
      <c r="H4146" t="inlineStr">
        <is>
          <t>06 KG</t>
        </is>
      </c>
      <c r="I4146" t="n">
        <v>2027</v>
      </c>
      <c r="J4146" t="n">
        <v>2022</v>
      </c>
      <c r="K4146" t="inlineStr">
        <is>
          <t>ENERO 2026</t>
        </is>
      </c>
      <c r="L4146" t="inlineStr">
        <is>
          <t>ENERO 2027</t>
        </is>
      </c>
      <c r="M4146" t="inlineStr">
        <is>
          <t xml:space="preserve">PQS TIPO ABC AL 75% </t>
        </is>
      </c>
      <c r="N4146" t="inlineStr">
        <is>
          <t>07/000995</t>
        </is>
      </c>
      <c r="O4146" t="inlineStr">
        <is>
          <t>R</t>
        </is>
      </c>
      <c r="P4146">
        <f>TRIM(N4146)</f>
        <v/>
      </c>
    </row>
    <row r="4147">
      <c r="A4147" t="inlineStr">
        <is>
          <t>CO-002592</t>
        </is>
      </c>
      <c r="B4147" t="inlineStr">
        <is>
          <t>GACSA PERU S.A.C.</t>
        </is>
      </c>
      <c r="C4147" t="n">
        <v>20602629068</v>
      </c>
      <c r="D4147" t="inlineStr">
        <is>
          <t>AV. DOMINGO ORUE 375 (SEMINUEVOS SURQUILLO)</t>
        </is>
      </c>
      <c r="E4147" t="inlineStr">
        <is>
          <t>Lima, 05 de enero del 2026</t>
        </is>
      </c>
      <c r="F4147" t="inlineStr">
        <is>
          <t>la Recarga y mantenimiento</t>
        </is>
      </c>
      <c r="G4147" t="inlineStr">
        <is>
          <t>08</t>
        </is>
      </c>
      <c r="H4147" t="inlineStr">
        <is>
          <t>06 KG</t>
        </is>
      </c>
      <c r="I4147" t="n">
        <v>2030</v>
      </c>
      <c r="J4147" t="n">
        <v>2017</v>
      </c>
      <c r="K4147" t="inlineStr">
        <is>
          <t>ENERO 2026</t>
        </is>
      </c>
      <c r="L4147" t="inlineStr">
        <is>
          <t>ENERO 2027</t>
        </is>
      </c>
      <c r="M4147" t="inlineStr">
        <is>
          <t xml:space="preserve">PQS TIPO ABC AL 75% </t>
        </is>
      </c>
      <c r="N4147" t="inlineStr">
        <is>
          <t>08/002766</t>
        </is>
      </c>
      <c r="O4147" t="inlineStr">
        <is>
          <t>R</t>
        </is>
      </c>
      <c r="P4147">
        <f>TRIM(N4147)</f>
        <v/>
      </c>
    </row>
    <row r="4148">
      <c r="A4148" t="inlineStr">
        <is>
          <t>CO-002592</t>
        </is>
      </c>
      <c r="B4148" t="inlineStr">
        <is>
          <t>GACSA PERU S.A.C.</t>
        </is>
      </c>
      <c r="C4148" t="n">
        <v>20602629068</v>
      </c>
      <c r="D4148" t="inlineStr">
        <is>
          <t>AV. DOMINGO ORUE 375 (SEMINUEVOS SURQUILLO)</t>
        </is>
      </c>
      <c r="E4148" t="inlineStr">
        <is>
          <t>Lima, 05 de enero del 2026</t>
        </is>
      </c>
      <c r="F4148" t="inlineStr">
        <is>
          <t>la Recarga y mantenimiento</t>
        </is>
      </c>
      <c r="G4148" t="inlineStr">
        <is>
          <t>09</t>
        </is>
      </c>
      <c r="H4148" t="inlineStr">
        <is>
          <t>06 KG</t>
        </is>
      </c>
      <c r="I4148" t="n">
        <v>2027</v>
      </c>
      <c r="J4148" t="n">
        <v>2022</v>
      </c>
      <c r="K4148" t="inlineStr">
        <is>
          <t>ENERO 2026</t>
        </is>
      </c>
      <c r="L4148" t="inlineStr">
        <is>
          <t>ENERO 2027</t>
        </is>
      </c>
      <c r="M4148" t="inlineStr">
        <is>
          <t xml:space="preserve">PQS TIPO ABC AL 75% </t>
        </is>
      </c>
      <c r="N4148" t="inlineStr">
        <is>
          <t>09/002092</t>
        </is>
      </c>
      <c r="O4148" t="inlineStr">
        <is>
          <t>R</t>
        </is>
      </c>
      <c r="P4148">
        <f>TRIM(N4148)</f>
        <v/>
      </c>
    </row>
    <row r="4149">
      <c r="A4149" t="inlineStr">
        <is>
          <t>CO-002592</t>
        </is>
      </c>
      <c r="B4149" t="inlineStr">
        <is>
          <t>GACSA PERU S.A.C.</t>
        </is>
      </c>
      <c r="C4149" t="n">
        <v>20602629068</v>
      </c>
      <c r="D4149" t="inlineStr">
        <is>
          <t>AV. DOMINGO ORUE 375 (SEMINUEVOS SURQUILLO)</t>
        </is>
      </c>
      <c r="E4149" t="inlineStr">
        <is>
          <t>Lima, 05 de enero del 2026</t>
        </is>
      </c>
      <c r="F4149" t="inlineStr">
        <is>
          <t>la Recarga y mantenimiento</t>
        </is>
      </c>
      <c r="G4149" t="n">
        <v>10</v>
      </c>
      <c r="H4149" t="inlineStr">
        <is>
          <t>50 KG</t>
        </is>
      </c>
      <c r="I4149" t="n">
        <v>2028</v>
      </c>
      <c r="J4149" t="n">
        <v>2023</v>
      </c>
      <c r="K4149" t="inlineStr">
        <is>
          <t>ENERO 2026</t>
        </is>
      </c>
      <c r="L4149" t="inlineStr">
        <is>
          <t>ENERO 2027</t>
        </is>
      </c>
      <c r="M4149" t="inlineStr">
        <is>
          <t xml:space="preserve">PQS TIPO ABC AL 75% </t>
        </is>
      </c>
      <c r="N4149" t="inlineStr">
        <is>
          <t>10/S/N</t>
        </is>
      </c>
      <c r="O4149" t="inlineStr">
        <is>
          <t>R</t>
        </is>
      </c>
      <c r="P4149">
        <f>TRIM(N4149)</f>
        <v/>
      </c>
    </row>
    <row r="4150">
      <c r="A4150" t="inlineStr">
        <is>
          <t>CO-002592</t>
        </is>
      </c>
      <c r="B4150" t="inlineStr">
        <is>
          <t>GACSA PERU S.A.C.</t>
        </is>
      </c>
      <c r="C4150" t="n">
        <v>20602629068</v>
      </c>
      <c r="D4150" t="inlineStr">
        <is>
          <t>AV. DOMINGO ORUE 375 (SEMINUEVOS SURQUILLO)</t>
        </is>
      </c>
      <c r="E4150" t="inlineStr">
        <is>
          <t>Lima, 05 de enero del 2026</t>
        </is>
      </c>
      <c r="F4150" t="inlineStr">
        <is>
          <t>la Recarga y mantenimiento</t>
        </is>
      </c>
      <c r="G4150" t="n">
        <v>11</v>
      </c>
      <c r="H4150" t="inlineStr">
        <is>
          <t>06 KG</t>
        </is>
      </c>
      <c r="I4150" t="n">
        <v>2030</v>
      </c>
      <c r="J4150" t="n">
        <v>2009</v>
      </c>
      <c r="K4150" t="inlineStr">
        <is>
          <t>ENERO 2026</t>
        </is>
      </c>
      <c r="L4150" t="inlineStr">
        <is>
          <t>ENERO 2027</t>
        </is>
      </c>
      <c r="M4150" t="inlineStr">
        <is>
          <t xml:space="preserve">PQS TIPO ABC AL 75% </t>
        </is>
      </c>
      <c r="N4150" t="inlineStr">
        <is>
          <t>11/003091</t>
        </is>
      </c>
      <c r="O4150" t="inlineStr">
        <is>
          <t>R</t>
        </is>
      </c>
      <c r="P4150">
        <f>TRIM(N4150)</f>
        <v/>
      </c>
    </row>
    <row r="4151">
      <c r="A4151" t="inlineStr">
        <is>
          <t>CO-002592</t>
        </is>
      </c>
      <c r="B4151" t="inlineStr">
        <is>
          <t>GACSA PERU S.A.C.</t>
        </is>
      </c>
      <c r="C4151" t="n">
        <v>20602629068</v>
      </c>
      <c r="D4151" t="inlineStr">
        <is>
          <t>AV. DOMINGO ORUE 375 (SEMINUEVOS SURQUILLO)</t>
        </is>
      </c>
      <c r="E4151" t="inlineStr">
        <is>
          <t>Lima, 05 de enero del 2026</t>
        </is>
      </c>
      <c r="F4151" t="inlineStr">
        <is>
          <t>la Recarga y mantenimiento</t>
        </is>
      </c>
      <c r="G4151" t="n">
        <v>12</v>
      </c>
      <c r="H4151" t="inlineStr">
        <is>
          <t>06 KG</t>
        </is>
      </c>
      <c r="I4151" t="n">
        <v>2027</v>
      </c>
      <c r="J4151" t="n">
        <v>2022</v>
      </c>
      <c r="K4151" t="inlineStr">
        <is>
          <t>ENERO 2026</t>
        </is>
      </c>
      <c r="L4151" t="inlineStr">
        <is>
          <t>ENERO 2027</t>
        </is>
      </c>
      <c r="M4151" t="inlineStr">
        <is>
          <t xml:space="preserve">PQS TIPO ABC AL 75% </t>
        </is>
      </c>
      <c r="N4151" t="inlineStr">
        <is>
          <t>12/002480</t>
        </is>
      </c>
      <c r="O4151" t="inlineStr">
        <is>
          <t>R</t>
        </is>
      </c>
      <c r="P4151">
        <f>TRIM(N4151)</f>
        <v/>
      </c>
    </row>
    <row r="4152">
      <c r="A4152" t="inlineStr">
        <is>
          <t>CO-002592</t>
        </is>
      </c>
      <c r="B4152" t="inlineStr">
        <is>
          <t>GACSA PERU S.A.C.</t>
        </is>
      </c>
      <c r="C4152" t="n">
        <v>20602629068</v>
      </c>
      <c r="D4152" t="inlineStr">
        <is>
          <t>AV. DOMINGO ORUE 375 (SEMINUEVOS SURQUILLO)</t>
        </is>
      </c>
      <c r="E4152" t="inlineStr">
        <is>
          <t>Lima, 05 de enero del 2026</t>
        </is>
      </c>
      <c r="F4152" t="inlineStr">
        <is>
          <t>la Recarga y mantenimiento</t>
        </is>
      </c>
      <c r="G4152" t="n">
        <v>13</v>
      </c>
      <c r="H4152" t="inlineStr">
        <is>
          <t>10 LBS</t>
        </is>
      </c>
      <c r="I4152" t="n">
        <v>2027</v>
      </c>
      <c r="J4152" t="n">
        <v>2022</v>
      </c>
      <c r="K4152" t="inlineStr">
        <is>
          <t>JULIO 2026</t>
        </is>
      </c>
      <c r="L4152" t="inlineStr">
        <is>
          <t>JULIO 2027</t>
        </is>
      </c>
      <c r="M4152" t="inlineStr">
        <is>
          <t>CO2 TIPO BC</t>
        </is>
      </c>
      <c r="N4152" t="inlineStr">
        <is>
          <t>13/000485</t>
        </is>
      </c>
      <c r="O4152" t="inlineStr">
        <is>
          <t>R</t>
        </is>
      </c>
      <c r="P4152">
        <f>TRIM(N4152)</f>
        <v/>
      </c>
    </row>
    <row r="4153">
      <c r="A4153" t="inlineStr">
        <is>
          <t>CO-002593</t>
        </is>
      </c>
      <c r="B4153" t="inlineStr">
        <is>
          <t>LABORATORIO ARC HOLDING S.A.C.</t>
        </is>
      </c>
      <c r="C4153" t="n">
        <v>20612452319</v>
      </c>
      <c r="D4153" t="inlineStr">
        <is>
          <t>CAL. LOS CIPRECES MZ. I LT. 39A Z.I. LA ENSENADA PUENTE PIEDRA</t>
        </is>
      </c>
      <c r="E4153" t="inlineStr">
        <is>
          <t>Lima, 05 de enero del 2026</t>
        </is>
      </c>
      <c r="F4153" t="inlineStr">
        <is>
          <t>la Recarga y mantenimiento</t>
        </is>
      </c>
      <c r="G4153" t="inlineStr">
        <is>
          <t>01</t>
        </is>
      </c>
      <c r="H4153" t="inlineStr">
        <is>
          <t>06 KG</t>
        </is>
      </c>
      <c r="I4153" t="inlineStr">
        <is>
          <t>2029</t>
        </is>
      </c>
      <c r="J4153" t="n">
        <v>2024</v>
      </c>
      <c r="K4153" t="inlineStr">
        <is>
          <t>ENERO 2026</t>
        </is>
      </c>
      <c r="L4153" t="inlineStr">
        <is>
          <t>ENERO 2027</t>
        </is>
      </c>
      <c r="M4153" t="inlineStr">
        <is>
          <t xml:space="preserve">PQS TIPO ABC AL 75% </t>
        </is>
      </c>
      <c r="N4153" t="inlineStr">
        <is>
          <t>000860</t>
        </is>
      </c>
      <c r="O4153" t="inlineStr">
        <is>
          <t>R</t>
        </is>
      </c>
      <c r="P4153">
        <f>TRIM(N4153)</f>
        <v/>
      </c>
    </row>
    <row r="4154">
      <c r="A4154" t="inlineStr">
        <is>
          <t>CO-002593</t>
        </is>
      </c>
      <c r="B4154" t="inlineStr">
        <is>
          <t>LABORATORIO ARC HOLDING S.A.C.</t>
        </is>
      </c>
      <c r="C4154" t="n">
        <v>20612452319</v>
      </c>
      <c r="D4154" t="inlineStr">
        <is>
          <t>CAL. LOS CIPRECES MZ. I LT. 39A Z.I. LA ENSENADA PUENTE PIEDRA</t>
        </is>
      </c>
      <c r="E4154" t="inlineStr">
        <is>
          <t>Lima, 05 de enero del 2026</t>
        </is>
      </c>
      <c r="F4154" t="inlineStr">
        <is>
          <t>la Recarga y mantenimiento</t>
        </is>
      </c>
      <c r="G4154" t="inlineStr">
        <is>
          <t>02</t>
        </is>
      </c>
      <c r="H4154" t="inlineStr">
        <is>
          <t>05 LBS</t>
        </is>
      </c>
      <c r="I4154" t="inlineStr">
        <is>
          <t>2030</t>
        </is>
      </c>
      <c r="J4154" t="n">
        <v>2007</v>
      </c>
      <c r="K4154" t="inlineStr">
        <is>
          <t>ENERO 2026</t>
        </is>
      </c>
      <c r="L4154" t="inlineStr">
        <is>
          <t>ENERO 2027</t>
        </is>
      </c>
      <c r="M4154" t="inlineStr">
        <is>
          <t>CO2 TIPO BC</t>
        </is>
      </c>
      <c r="N4154" t="inlineStr">
        <is>
          <t>000010</t>
        </is>
      </c>
      <c r="O4154" t="inlineStr">
        <is>
          <t>R</t>
        </is>
      </c>
      <c r="P4154">
        <f>TRIM(N4154)</f>
        <v/>
      </c>
    </row>
    <row r="4155">
      <c r="A4155" t="inlineStr">
        <is>
          <t>CO-002594</t>
        </is>
      </c>
      <c r="B4155" t="inlineStr">
        <is>
          <t>VIRGINIA BAILON PATRICIO</t>
        </is>
      </c>
      <c r="D4155" t="inlineStr">
        <is>
          <t>JR AREQUIPA 391 - COMAS</t>
        </is>
      </c>
      <c r="E4155" t="inlineStr">
        <is>
          <t>Lima, 08 de enero del 2026</t>
        </is>
      </c>
      <c r="F4155" t="inlineStr">
        <is>
          <t>la Recarga y mantenimiento</t>
        </is>
      </c>
      <c r="G4155" t="inlineStr">
        <is>
          <t>01</t>
        </is>
      </c>
      <c r="H4155" t="inlineStr">
        <is>
          <t>06 KG</t>
        </is>
      </c>
      <c r="I4155" t="inlineStr">
        <is>
          <t>2029</t>
        </is>
      </c>
      <c r="J4155" t="n">
        <v>2019</v>
      </c>
      <c r="K4155" t="inlineStr">
        <is>
          <t>ENERO 2026</t>
        </is>
      </c>
      <c r="L4155" t="inlineStr">
        <is>
          <t>ENERO 2027</t>
        </is>
      </c>
      <c r="M4155" t="inlineStr">
        <is>
          <t>P.Q.S TIPO ABC</t>
        </is>
      </c>
      <c r="N4155" t="inlineStr">
        <is>
          <t>01/000167</t>
        </is>
      </c>
      <c r="O4155" t="inlineStr">
        <is>
          <t>R</t>
        </is>
      </c>
      <c r="P4155">
        <f>TRIM(N4155)</f>
        <v/>
      </c>
    </row>
    <row r="4156">
      <c r="A4156" t="inlineStr">
        <is>
          <t>CO-002595</t>
        </is>
      </c>
      <c r="B4156" t="inlineStr">
        <is>
          <t>GACSA PERU S.A.C.</t>
        </is>
      </c>
      <c r="C4156" t="n">
        <v>20602629068</v>
      </c>
      <c r="D4156" t="inlineStr">
        <is>
          <t>Vía Expresa Luis Fernan Bedoya Reyes N° 2323 (DERCO LA VICTORIA)</t>
        </is>
      </c>
      <c r="E4156" t="inlineStr">
        <is>
          <t>Lima, 07 de enero del 2026</t>
        </is>
      </c>
      <c r="F4156" t="inlineStr">
        <is>
          <t>la Recarga y mantenimiento</t>
        </is>
      </c>
      <c r="G4156" t="inlineStr">
        <is>
          <t>01</t>
        </is>
      </c>
      <c r="H4156" t="inlineStr">
        <is>
          <t>10 LBS</t>
        </is>
      </c>
      <c r="I4156" t="inlineStr">
        <is>
          <t>2031</t>
        </is>
      </c>
      <c r="J4156" t="n">
        <v>2021</v>
      </c>
      <c r="K4156" t="inlineStr">
        <is>
          <t>ENERO 2026</t>
        </is>
      </c>
      <c r="L4156" t="inlineStr">
        <is>
          <t>ENERO 2027</t>
        </is>
      </c>
      <c r="M4156" t="inlineStr">
        <is>
          <t>CO2 TIPO BC</t>
        </is>
      </c>
      <c r="N4156" t="inlineStr">
        <is>
          <t>02/000069</t>
        </is>
      </c>
      <c r="O4156" t="inlineStr">
        <is>
          <t>R</t>
        </is>
      </c>
      <c r="P4156">
        <f>TRIM(N4156)</f>
        <v/>
      </c>
    </row>
    <row r="4157">
      <c r="A4157" t="inlineStr">
        <is>
          <t>CO-002595</t>
        </is>
      </c>
      <c r="B4157" t="inlineStr">
        <is>
          <t>GACSA PERU S.A.C.</t>
        </is>
      </c>
      <c r="C4157" t="n">
        <v>20602629068</v>
      </c>
      <c r="D4157" t="inlineStr">
        <is>
          <t>Vía Expresa Luis Fernan Bedoya Reyes N° 2323 (DERCO LA VICTORIA)</t>
        </is>
      </c>
      <c r="E4157" t="inlineStr">
        <is>
          <t>Lima, 07 de enero del 2026</t>
        </is>
      </c>
      <c r="F4157" t="inlineStr">
        <is>
          <t>la Recarga y mantenimiento</t>
        </is>
      </c>
      <c r="G4157" t="inlineStr">
        <is>
          <t>02</t>
        </is>
      </c>
      <c r="H4157" t="inlineStr">
        <is>
          <t>50 KG</t>
        </is>
      </c>
      <c r="I4157" t="inlineStr">
        <is>
          <t>2030</t>
        </is>
      </c>
      <c r="J4157" t="n">
        <v>2019</v>
      </c>
      <c r="K4157" t="inlineStr">
        <is>
          <t>ENERO 2026</t>
        </is>
      </c>
      <c r="L4157" t="inlineStr">
        <is>
          <t>ENERO 2027</t>
        </is>
      </c>
      <c r="M4157" t="inlineStr">
        <is>
          <t xml:space="preserve">PQS TIPO ABC AL 75% </t>
        </is>
      </c>
      <c r="N4157" t="inlineStr">
        <is>
          <t>03/000044</t>
        </is>
      </c>
      <c r="O4157" t="inlineStr">
        <is>
          <t>R</t>
        </is>
      </c>
      <c r="P4157">
        <f>TRIM(N4157)</f>
        <v/>
      </c>
    </row>
    <row r="4158">
      <c r="A4158" t="inlineStr">
        <is>
          <t>CO-002595</t>
        </is>
      </c>
      <c r="B4158" t="inlineStr">
        <is>
          <t>GACSA PERU S.A.C.</t>
        </is>
      </c>
      <c r="C4158" t="n">
        <v>20602629068</v>
      </c>
      <c r="D4158" t="inlineStr">
        <is>
          <t>Vía Expresa Luis Fernan Bedoya Reyes N° 2323 (DERCO LA VICTORIA)</t>
        </is>
      </c>
      <c r="E4158" t="inlineStr">
        <is>
          <t>Lima, 07 de enero del 2026</t>
        </is>
      </c>
      <c r="F4158" t="inlineStr">
        <is>
          <t>la Recarga y mantenimiento</t>
        </is>
      </c>
      <c r="G4158" t="inlineStr">
        <is>
          <t>03</t>
        </is>
      </c>
      <c r="H4158" t="inlineStr">
        <is>
          <t>10 LBS</t>
        </is>
      </c>
      <c r="I4158" t="n">
        <v>2031</v>
      </c>
      <c r="J4158" t="n">
        <v>2021</v>
      </c>
      <c r="K4158" t="inlineStr">
        <is>
          <t>ENERO 2026</t>
        </is>
      </c>
      <c r="L4158" t="inlineStr">
        <is>
          <t>ENERO 2027</t>
        </is>
      </c>
      <c r="M4158" t="inlineStr">
        <is>
          <t>CO2 TIPO BC</t>
        </is>
      </c>
      <c r="N4158" t="inlineStr">
        <is>
          <t>05/000026</t>
        </is>
      </c>
      <c r="O4158" t="inlineStr">
        <is>
          <t>R</t>
        </is>
      </c>
      <c r="P4158">
        <f>TRIM(N4158)</f>
        <v/>
      </c>
    </row>
    <row r="4159">
      <c r="A4159" t="inlineStr">
        <is>
          <t>CO-002595</t>
        </is>
      </c>
      <c r="B4159" t="inlineStr">
        <is>
          <t>GACSA PERU S.A.C.</t>
        </is>
      </c>
      <c r="C4159" t="n">
        <v>20602629068</v>
      </c>
      <c r="D4159" t="inlineStr">
        <is>
          <t>Vía Expresa Luis Fernan Bedoya Reyes N° 2323 (DERCO LA VICTORIA)</t>
        </is>
      </c>
      <c r="E4159" t="inlineStr">
        <is>
          <t>Lima, 07 de enero del 2026</t>
        </is>
      </c>
      <c r="F4159" t="inlineStr">
        <is>
          <t>la Recarga y mantenimiento</t>
        </is>
      </c>
      <c r="G4159" t="inlineStr">
        <is>
          <t>04</t>
        </is>
      </c>
      <c r="H4159" t="inlineStr">
        <is>
          <t>10 LBS</t>
        </is>
      </c>
      <c r="I4159" t="n">
        <v>2031</v>
      </c>
      <c r="J4159" t="n">
        <v>2021</v>
      </c>
      <c r="K4159" t="inlineStr">
        <is>
          <t>ENERO 2026</t>
        </is>
      </c>
      <c r="L4159" t="inlineStr">
        <is>
          <t>ENERO 2027</t>
        </is>
      </c>
      <c r="M4159" t="inlineStr">
        <is>
          <t>CO2 TIPO BC</t>
        </is>
      </c>
      <c r="N4159" t="inlineStr">
        <is>
          <t>06/000325</t>
        </is>
      </c>
      <c r="O4159" t="inlineStr">
        <is>
          <t>R</t>
        </is>
      </c>
      <c r="P4159">
        <f>TRIM(N4159)</f>
        <v/>
      </c>
    </row>
    <row r="4160">
      <c r="A4160" t="inlineStr">
        <is>
          <t>CO-002595</t>
        </is>
      </c>
      <c r="B4160" t="inlineStr">
        <is>
          <t>GACSA PERU S.A.C.</t>
        </is>
      </c>
      <c r="C4160" t="n">
        <v>20602629068</v>
      </c>
      <c r="D4160" t="inlineStr">
        <is>
          <t>Vía Expresa Luis Fernan Bedoya Reyes N° 2323 (DERCO LA VICTORIA)</t>
        </is>
      </c>
      <c r="E4160" t="inlineStr">
        <is>
          <t>Lima, 07 de enero del 2026</t>
        </is>
      </c>
      <c r="F4160" t="inlineStr">
        <is>
          <t>la Recarga y mantenimiento</t>
        </is>
      </c>
      <c r="G4160" t="inlineStr">
        <is>
          <t>05</t>
        </is>
      </c>
      <c r="H4160" t="inlineStr">
        <is>
          <t>50 KG</t>
        </is>
      </c>
      <c r="I4160" t="n">
        <v>2031</v>
      </c>
      <c r="J4160" t="n">
        <v>2021</v>
      </c>
      <c r="K4160" t="inlineStr">
        <is>
          <t>ENERO 2026</t>
        </is>
      </c>
      <c r="L4160" t="inlineStr">
        <is>
          <t>ENERO 2027</t>
        </is>
      </c>
      <c r="M4160" t="inlineStr">
        <is>
          <t xml:space="preserve">PQS TIPO ABC AL 75% </t>
        </is>
      </c>
      <c r="N4160" t="inlineStr">
        <is>
          <t>08/000034</t>
        </is>
      </c>
      <c r="O4160" t="inlineStr">
        <is>
          <t>R</t>
        </is>
      </c>
      <c r="P4160">
        <f>TRIM(N4160)</f>
        <v/>
      </c>
    </row>
    <row r="4161">
      <c r="A4161" t="inlineStr">
        <is>
          <t>CO-002595</t>
        </is>
      </c>
      <c r="B4161" t="inlineStr">
        <is>
          <t>GACSA PERU S.A.C.</t>
        </is>
      </c>
      <c r="C4161" t="n">
        <v>20602629068</v>
      </c>
      <c r="D4161" t="inlineStr">
        <is>
          <t>Vía Expresa Luis Fernan Bedoya Reyes N° 2323 (DERCO LA VICTORIA)</t>
        </is>
      </c>
      <c r="E4161" t="inlineStr">
        <is>
          <t>Lima, 07 de enero del 2026</t>
        </is>
      </c>
      <c r="F4161" t="inlineStr">
        <is>
          <t>la Recarga y mantenimiento</t>
        </is>
      </c>
      <c r="G4161" t="inlineStr">
        <is>
          <t>06</t>
        </is>
      </c>
      <c r="H4161" t="inlineStr">
        <is>
          <t>06 KG</t>
        </is>
      </c>
      <c r="I4161" t="n">
        <v>2029</v>
      </c>
      <c r="J4161" t="n">
        <v>2019</v>
      </c>
      <c r="K4161" t="inlineStr">
        <is>
          <t>ENERO 2026</t>
        </is>
      </c>
      <c r="L4161" t="inlineStr">
        <is>
          <t>ENERO 2027</t>
        </is>
      </c>
      <c r="M4161" t="inlineStr">
        <is>
          <t xml:space="preserve">PQS TIPO ABC AL 75% </t>
        </is>
      </c>
      <c r="N4161" t="inlineStr">
        <is>
          <t>09/004664</t>
        </is>
      </c>
      <c r="O4161" t="inlineStr">
        <is>
          <t>R</t>
        </is>
      </c>
      <c r="P4161">
        <f>TRIM(N4161)</f>
        <v/>
      </c>
    </row>
    <row r="4162">
      <c r="A4162" t="inlineStr">
        <is>
          <t>CO-002595</t>
        </is>
      </c>
      <c r="B4162" t="inlineStr">
        <is>
          <t>GACSA PERU S.A.C.</t>
        </is>
      </c>
      <c r="C4162" t="n">
        <v>20602629068</v>
      </c>
      <c r="D4162" t="inlineStr">
        <is>
          <t>Vía Expresa Luis Fernan Bedoya Reyes N° 2323 (DERCO LA VICTORIA)</t>
        </is>
      </c>
      <c r="E4162" t="inlineStr">
        <is>
          <t>Lima, 07 de enero del 2026</t>
        </is>
      </c>
      <c r="F4162" t="inlineStr">
        <is>
          <t>la Recarga y mantenimiento</t>
        </is>
      </c>
      <c r="G4162" t="inlineStr">
        <is>
          <t>07</t>
        </is>
      </c>
      <c r="H4162" t="inlineStr">
        <is>
          <t>06 KG</t>
        </is>
      </c>
      <c r="I4162" t="n">
        <v>2029</v>
      </c>
      <c r="J4162" t="n">
        <v>2019</v>
      </c>
      <c r="K4162" t="inlineStr">
        <is>
          <t>ENERO 2026</t>
        </is>
      </c>
      <c r="L4162" t="inlineStr">
        <is>
          <t>ENERO 2027</t>
        </is>
      </c>
      <c r="M4162" t="inlineStr">
        <is>
          <t xml:space="preserve">PQS TIPO ABC AL 75% </t>
        </is>
      </c>
      <c r="N4162" t="inlineStr">
        <is>
          <t>10/000958</t>
        </is>
      </c>
      <c r="O4162" t="inlineStr">
        <is>
          <t>R</t>
        </is>
      </c>
      <c r="P4162">
        <f>TRIM(N4162)</f>
        <v/>
      </c>
    </row>
    <row r="4163">
      <c r="A4163" t="inlineStr">
        <is>
          <t>CO-002595</t>
        </is>
      </c>
      <c r="B4163" t="inlineStr">
        <is>
          <t>GACSA PERU S.A.C.</t>
        </is>
      </c>
      <c r="C4163" t="n">
        <v>20602629068</v>
      </c>
      <c r="D4163" t="inlineStr">
        <is>
          <t>Vía Expresa Luis Fernan Bedoya Reyes N° 2323 (DERCO LA VICTORIA)</t>
        </is>
      </c>
      <c r="E4163" t="inlineStr">
        <is>
          <t>Lima, 07 de enero del 2026</t>
        </is>
      </c>
      <c r="F4163" t="inlineStr">
        <is>
          <t>la Recarga y mantenimiento</t>
        </is>
      </c>
      <c r="G4163" t="inlineStr">
        <is>
          <t>08</t>
        </is>
      </c>
      <c r="H4163" t="inlineStr">
        <is>
          <t>04 KG</t>
        </is>
      </c>
      <c r="I4163" t="n">
        <v>2030</v>
      </c>
      <c r="J4163" t="n">
        <v>2025</v>
      </c>
      <c r="K4163" t="inlineStr">
        <is>
          <t>ENERO 2026</t>
        </is>
      </c>
      <c r="L4163" t="inlineStr">
        <is>
          <t>ENERO 2027</t>
        </is>
      </c>
      <c r="M4163" t="inlineStr">
        <is>
          <t xml:space="preserve">PQS TIPO ABC AL 75% </t>
        </is>
      </c>
      <c r="N4163" t="inlineStr">
        <is>
          <t>11/000115</t>
        </is>
      </c>
      <c r="O4163" t="inlineStr">
        <is>
          <t>R</t>
        </is>
      </c>
      <c r="P4163">
        <f>TRIM(N4163)</f>
        <v/>
      </c>
    </row>
    <row r="4164">
      <c r="A4164" t="inlineStr">
        <is>
          <t>CO-002595</t>
        </is>
      </c>
      <c r="B4164" t="inlineStr">
        <is>
          <t>GACSA PERU S.A.C.</t>
        </is>
      </c>
      <c r="C4164" t="n">
        <v>20602629068</v>
      </c>
      <c r="D4164" t="inlineStr">
        <is>
          <t>Vía Expresa Luis Fernan Bedoya Reyes N° 2323 (DERCO LA VICTORIA)</t>
        </is>
      </c>
      <c r="E4164" t="inlineStr">
        <is>
          <t>Lima, 07 de enero del 2026</t>
        </is>
      </c>
      <c r="F4164" t="inlineStr">
        <is>
          <t>la Recarga y mantenimiento</t>
        </is>
      </c>
      <c r="G4164" t="inlineStr">
        <is>
          <t>09</t>
        </is>
      </c>
      <c r="H4164" t="inlineStr">
        <is>
          <t>06 KG</t>
        </is>
      </c>
      <c r="I4164" t="n">
        <v>2031</v>
      </c>
      <c r="J4164" t="n">
        <v>2019</v>
      </c>
      <c r="K4164" t="inlineStr">
        <is>
          <t>ENERO 2026</t>
        </is>
      </c>
      <c r="L4164" t="inlineStr">
        <is>
          <t>ENERO 2027</t>
        </is>
      </c>
      <c r="M4164" t="inlineStr">
        <is>
          <t xml:space="preserve">PQS TIPO ABC AL 75% </t>
        </is>
      </c>
      <c r="N4164" t="inlineStr">
        <is>
          <t>12/003077</t>
        </is>
      </c>
      <c r="O4164" t="inlineStr">
        <is>
          <t>R</t>
        </is>
      </c>
      <c r="P4164">
        <f>TRIM(N4164)</f>
        <v/>
      </c>
    </row>
    <row r="4165">
      <c r="A4165" t="inlineStr">
        <is>
          <t>CO-002595</t>
        </is>
      </c>
      <c r="B4165" t="inlineStr">
        <is>
          <t>GACSA PERU S.A.C.</t>
        </is>
      </c>
      <c r="C4165" t="n">
        <v>20602629068</v>
      </c>
      <c r="D4165" t="inlineStr">
        <is>
          <t>Vía Expresa Luis Fernan Bedoya Reyes N° 2323 (DERCO LA VICTORIA)</t>
        </is>
      </c>
      <c r="E4165" t="inlineStr">
        <is>
          <t>Lima, 07 de enero del 2026</t>
        </is>
      </c>
      <c r="F4165" t="inlineStr">
        <is>
          <t>la Recarga y mantenimiento</t>
        </is>
      </c>
      <c r="G4165" t="n">
        <v>10</v>
      </c>
      <c r="H4165" t="inlineStr">
        <is>
          <t>06 KG</t>
        </is>
      </c>
      <c r="I4165" t="n">
        <v>2029</v>
      </c>
      <c r="J4165" t="n">
        <v>2019</v>
      </c>
      <c r="K4165" t="inlineStr">
        <is>
          <t>ENERO 2026</t>
        </is>
      </c>
      <c r="L4165" t="inlineStr">
        <is>
          <t>ENERO 2027</t>
        </is>
      </c>
      <c r="M4165" t="inlineStr">
        <is>
          <t xml:space="preserve">PQS TIPO ABC AL 75% </t>
        </is>
      </c>
      <c r="N4165" t="inlineStr">
        <is>
          <t>13/004124</t>
        </is>
      </c>
      <c r="O4165" t="inlineStr">
        <is>
          <t>R</t>
        </is>
      </c>
      <c r="P4165">
        <f>TRIM(N4165)</f>
        <v/>
      </c>
    </row>
    <row r="4166">
      <c r="A4166" t="inlineStr">
        <is>
          <t>CO-002595</t>
        </is>
      </c>
      <c r="B4166" t="inlineStr">
        <is>
          <t>GACSA PERU S.A.C.</t>
        </is>
      </c>
      <c r="C4166" t="n">
        <v>20602629068</v>
      </c>
      <c r="D4166" t="inlineStr">
        <is>
          <t>Vía Expresa Luis Fernan Bedoya Reyes N° 2323 (DERCO LA VICTORIA)</t>
        </is>
      </c>
      <c r="E4166" t="inlineStr">
        <is>
          <t>Lima, 07 de enero del 2026</t>
        </is>
      </c>
      <c r="F4166" t="inlineStr">
        <is>
          <t>la Recarga y mantenimiento</t>
        </is>
      </c>
      <c r="G4166" t="n">
        <v>11</v>
      </c>
      <c r="H4166" t="inlineStr">
        <is>
          <t>06 KG</t>
        </is>
      </c>
      <c r="I4166" t="n">
        <v>2029</v>
      </c>
      <c r="J4166" t="n">
        <v>2019</v>
      </c>
      <c r="K4166" t="inlineStr">
        <is>
          <t>ENERO 2026</t>
        </is>
      </c>
      <c r="L4166" t="inlineStr">
        <is>
          <t>ENERO 2027</t>
        </is>
      </c>
      <c r="M4166" t="inlineStr">
        <is>
          <t xml:space="preserve">PQS TIPO ABC AL 75% </t>
        </is>
      </c>
      <c r="N4166" t="inlineStr">
        <is>
          <t>14/000308</t>
        </is>
      </c>
      <c r="O4166" t="inlineStr">
        <is>
          <t>R</t>
        </is>
      </c>
      <c r="P4166">
        <f>TRIM(N4166)</f>
        <v/>
      </c>
    </row>
    <row r="4167">
      <c r="A4167" t="inlineStr">
        <is>
          <t>CO-002595</t>
        </is>
      </c>
      <c r="B4167" t="inlineStr">
        <is>
          <t>GACSA PERU S.A.C.</t>
        </is>
      </c>
      <c r="C4167" t="n">
        <v>20602629068</v>
      </c>
      <c r="D4167" t="inlineStr">
        <is>
          <t>Vía Expresa Luis Fernan Bedoya Reyes N° 2323 (DERCO LA VICTORIA)</t>
        </is>
      </c>
      <c r="E4167" t="inlineStr">
        <is>
          <t>Lima, 07 de enero del 2026</t>
        </is>
      </c>
      <c r="F4167" t="inlineStr">
        <is>
          <t>la Recarga y mantenimiento</t>
        </is>
      </c>
      <c r="G4167" t="n">
        <v>12</v>
      </c>
      <c r="H4167" t="inlineStr">
        <is>
          <t>06 KG</t>
        </is>
      </c>
      <c r="I4167" t="n">
        <v>2029</v>
      </c>
      <c r="J4167" t="n">
        <v>2019</v>
      </c>
      <c r="K4167" t="inlineStr">
        <is>
          <t>ENERO 2026</t>
        </is>
      </c>
      <c r="L4167" t="inlineStr">
        <is>
          <t>ENERO 2027</t>
        </is>
      </c>
      <c r="M4167" t="inlineStr">
        <is>
          <t xml:space="preserve">PQS TIPO ABC AL 75% </t>
        </is>
      </c>
      <c r="N4167" t="inlineStr">
        <is>
          <t>15/004738</t>
        </is>
      </c>
      <c r="O4167" t="inlineStr">
        <is>
          <t>R</t>
        </is>
      </c>
      <c r="P4167">
        <f>TRIM(N4167)</f>
        <v/>
      </c>
    </row>
    <row r="4168">
      <c r="A4168" t="inlineStr">
        <is>
          <t>CO-002595</t>
        </is>
      </c>
      <c r="B4168" t="inlineStr">
        <is>
          <t>GACSA PERU S.A.C.</t>
        </is>
      </c>
      <c r="C4168" t="n">
        <v>20602629068</v>
      </c>
      <c r="D4168" t="inlineStr">
        <is>
          <t>Vía Expresa Luis Fernan Bedoya Reyes N° 2323 (DERCO LA VICTORIA)</t>
        </is>
      </c>
      <c r="E4168" t="inlineStr">
        <is>
          <t>Lima, 07 de enero del 2026</t>
        </is>
      </c>
      <c r="F4168" t="inlineStr">
        <is>
          <t>la Recarga y mantenimiento</t>
        </is>
      </c>
      <c r="G4168" t="n">
        <v>13</v>
      </c>
      <c r="H4168" t="inlineStr">
        <is>
          <t>06 KG</t>
        </is>
      </c>
      <c r="I4168" t="n">
        <v>2029</v>
      </c>
      <c r="J4168" t="n">
        <v>2019</v>
      </c>
      <c r="K4168" t="inlineStr">
        <is>
          <t>ENERO 2026</t>
        </is>
      </c>
      <c r="L4168" t="inlineStr">
        <is>
          <t>ENERO 2027</t>
        </is>
      </c>
      <c r="M4168" t="inlineStr">
        <is>
          <t xml:space="preserve">PQS TIPO ABC AL 75% </t>
        </is>
      </c>
      <c r="N4168" t="inlineStr">
        <is>
          <t>16/001339</t>
        </is>
      </c>
      <c r="O4168" t="inlineStr">
        <is>
          <t>R</t>
        </is>
      </c>
      <c r="P4168">
        <f>TRIM(N4168)</f>
        <v/>
      </c>
    </row>
    <row r="4169">
      <c r="A4169" t="inlineStr">
        <is>
          <t>CO-002595</t>
        </is>
      </c>
      <c r="B4169" t="inlineStr">
        <is>
          <t>GACSA PERU S.A.C.</t>
        </is>
      </c>
      <c r="C4169" t="n">
        <v>20602629068</v>
      </c>
      <c r="D4169" t="inlineStr">
        <is>
          <t>Vía Expresa Luis Fernan Bedoya Reyes N° 2323 (DERCO LA VICTORIA)</t>
        </is>
      </c>
      <c r="E4169" t="inlineStr">
        <is>
          <t>Lima, 07 de enero del 2026</t>
        </is>
      </c>
      <c r="F4169" t="inlineStr">
        <is>
          <t>la Recarga y mantenimiento</t>
        </is>
      </c>
      <c r="G4169" t="n">
        <v>14</v>
      </c>
      <c r="H4169" t="inlineStr">
        <is>
          <t>06 KG</t>
        </is>
      </c>
      <c r="I4169" t="n">
        <v>2029</v>
      </c>
      <c r="J4169" t="n">
        <v>2019</v>
      </c>
      <c r="K4169" t="inlineStr">
        <is>
          <t>ENERO 2026</t>
        </is>
      </c>
      <c r="L4169" t="inlineStr">
        <is>
          <t>ENERO 2027</t>
        </is>
      </c>
      <c r="M4169" t="inlineStr">
        <is>
          <t xml:space="preserve">PQS TIPO ABC AL 75% </t>
        </is>
      </c>
      <c r="N4169" t="inlineStr">
        <is>
          <t>17/000034</t>
        </is>
      </c>
      <c r="O4169" t="inlineStr">
        <is>
          <t>R</t>
        </is>
      </c>
      <c r="P4169">
        <f>TRIM(N4169)</f>
        <v/>
      </c>
    </row>
    <row r="4170">
      <c r="A4170" t="inlineStr">
        <is>
          <t>CO-002595</t>
        </is>
      </c>
      <c r="B4170" t="inlineStr">
        <is>
          <t>GACSA PERU S.A.C.</t>
        </is>
      </c>
      <c r="C4170" t="n">
        <v>20602629068</v>
      </c>
      <c r="D4170" t="inlineStr">
        <is>
          <t>Vía Expresa Luis Fernan Bedoya Reyes N° 2323 (DERCO LA VICTORIA)</t>
        </is>
      </c>
      <c r="E4170" t="inlineStr">
        <is>
          <t>Lima, 07 de enero del 2026</t>
        </is>
      </c>
      <c r="F4170" t="inlineStr">
        <is>
          <t>la Recarga y mantenimiento</t>
        </is>
      </c>
      <c r="G4170" t="n">
        <v>15</v>
      </c>
      <c r="H4170" t="inlineStr">
        <is>
          <t>12 KG</t>
        </is>
      </c>
      <c r="I4170" t="n">
        <v>2031</v>
      </c>
      <c r="J4170" t="n">
        <v>2021</v>
      </c>
      <c r="K4170" t="inlineStr">
        <is>
          <t>ENERO 2026</t>
        </is>
      </c>
      <c r="L4170" t="inlineStr">
        <is>
          <t>ENERO 2027</t>
        </is>
      </c>
      <c r="M4170" t="inlineStr">
        <is>
          <t xml:space="preserve">PQS TIPO ABC AL 75% </t>
        </is>
      </c>
      <c r="N4170" t="inlineStr">
        <is>
          <t>18/004916</t>
        </is>
      </c>
      <c r="O4170" t="inlineStr">
        <is>
          <t>R</t>
        </is>
      </c>
      <c r="P4170">
        <f>TRIM(N4170)</f>
        <v/>
      </c>
    </row>
    <row r="4171">
      <c r="A4171" t="inlineStr">
        <is>
          <t>CO-002596</t>
        </is>
      </c>
      <c r="B4171" t="inlineStr">
        <is>
          <t>GACSA PERU S.A.C.</t>
        </is>
      </c>
      <c r="C4171" t="n">
        <v>20602629068</v>
      </c>
      <c r="D4171" t="inlineStr">
        <is>
          <t>Vía Expresa Luis Fernan Bedoya Reyes N° 2323 (DERCO LA VICTORIA)</t>
        </is>
      </c>
      <c r="E4171" t="inlineStr">
        <is>
          <t>Lima, 29 de noviembre del 2025</t>
        </is>
      </c>
      <c r="F4171" t="inlineStr">
        <is>
          <t>la Recarga y mantenimiento</t>
        </is>
      </c>
      <c r="G4171" t="inlineStr">
        <is>
          <t>01</t>
        </is>
      </c>
      <c r="H4171" t="inlineStr">
        <is>
          <t>12 KG</t>
        </is>
      </c>
      <c r="I4171" t="inlineStr">
        <is>
          <t>2030</t>
        </is>
      </c>
      <c r="J4171" t="n">
        <v>2021</v>
      </c>
      <c r="K4171" t="inlineStr">
        <is>
          <t>NOVIEMBRE 2025</t>
        </is>
      </c>
      <c r="L4171" t="inlineStr">
        <is>
          <t>NOVIEMBRE 2026</t>
        </is>
      </c>
      <c r="M4171" t="inlineStr">
        <is>
          <t xml:space="preserve">PQS TIPO ABC AL 75% </t>
        </is>
      </c>
      <c r="N4171" t="inlineStr">
        <is>
          <t>01/004903</t>
        </is>
      </c>
      <c r="O4171" t="inlineStr">
        <is>
          <t>R</t>
        </is>
      </c>
      <c r="P4171">
        <f>TRIM(N4171)</f>
        <v/>
      </c>
    </row>
    <row r="4172">
      <c r="A4172" t="inlineStr">
        <is>
          <t>CO-002596</t>
        </is>
      </c>
      <c r="B4172" t="inlineStr">
        <is>
          <t>GACSA PERU S.A.C.</t>
        </is>
      </c>
      <c r="C4172" t="n">
        <v>20602629068</v>
      </c>
      <c r="D4172" t="inlineStr">
        <is>
          <t>Vía Expresa Luis Fernan Bedoya Reyes N° 2323 (DERCO LA VICTORIA)</t>
        </is>
      </c>
      <c r="E4172" t="inlineStr">
        <is>
          <t>Lima, 29 de noviembre del 2025</t>
        </is>
      </c>
      <c r="F4172" t="inlineStr">
        <is>
          <t>la Recarga y mantenimiento</t>
        </is>
      </c>
      <c r="G4172" t="inlineStr">
        <is>
          <t>02</t>
        </is>
      </c>
      <c r="H4172" t="inlineStr">
        <is>
          <t>10 LBS</t>
        </is>
      </c>
      <c r="I4172" t="inlineStr">
        <is>
          <t>2027</t>
        </is>
      </c>
      <c r="J4172" t="n">
        <v>2022</v>
      </c>
      <c r="K4172" t="inlineStr">
        <is>
          <t>NOVIEMBRE 2025</t>
        </is>
      </c>
      <c r="L4172" t="inlineStr">
        <is>
          <t>NOVIEMBRE 2026</t>
        </is>
      </c>
      <c r="M4172" t="inlineStr">
        <is>
          <t>CO2 TIPO BC</t>
        </is>
      </c>
      <c r="N4172" t="inlineStr">
        <is>
          <t>07/000590</t>
        </is>
      </c>
      <c r="O4172" t="inlineStr">
        <is>
          <t>R</t>
        </is>
      </c>
      <c r="P4172">
        <f>TRIM(N4172)</f>
        <v/>
      </c>
    </row>
    <row r="4173">
      <c r="A4173" t="inlineStr">
        <is>
          <t>CO-002596</t>
        </is>
      </c>
      <c r="B4173" t="inlineStr">
        <is>
          <t>GACSA PERU S.A.C.</t>
        </is>
      </c>
      <c r="C4173" t="n">
        <v>20602629068</v>
      </c>
      <c r="D4173" t="inlineStr">
        <is>
          <t>Vía Expresa Luis Fernan Bedoya Reyes N° 2323 (DERCO LA VICTORIA)</t>
        </is>
      </c>
      <c r="E4173" t="inlineStr">
        <is>
          <t>Lima, 29 de noviembre del 2025</t>
        </is>
      </c>
      <c r="F4173" t="inlineStr">
        <is>
          <t>la Recarga y mantenimiento</t>
        </is>
      </c>
      <c r="G4173" t="inlineStr">
        <is>
          <t>03</t>
        </is>
      </c>
      <c r="H4173" t="inlineStr">
        <is>
          <t xml:space="preserve">12 KG </t>
        </is>
      </c>
      <c r="I4173" t="n">
        <v>2030</v>
      </c>
      <c r="J4173" t="n">
        <v>2012</v>
      </c>
      <c r="K4173" t="inlineStr">
        <is>
          <t>NOVIEMBRE 2025</t>
        </is>
      </c>
      <c r="L4173" t="inlineStr">
        <is>
          <t>NOVIEMBRE 2026</t>
        </is>
      </c>
      <c r="M4173" t="inlineStr">
        <is>
          <t xml:space="preserve">PQS TIPO ABC AL 75% </t>
        </is>
      </c>
      <c r="N4173" t="inlineStr">
        <is>
          <t>21/000345</t>
        </is>
      </c>
      <c r="O4173" t="inlineStr">
        <is>
          <t>R</t>
        </is>
      </c>
      <c r="P4173">
        <f>TRIM(N4173)</f>
        <v/>
      </c>
    </row>
    <row r="4174">
      <c r="A4174" t="inlineStr">
        <is>
          <t>CO-002596</t>
        </is>
      </c>
      <c r="B4174" t="inlineStr">
        <is>
          <t>GACSA PERU S.A.C.</t>
        </is>
      </c>
      <c r="C4174" t="n">
        <v>20602629068</v>
      </c>
      <c r="D4174" t="inlineStr">
        <is>
          <t>Vía Expresa Luis Fernan Bedoya Reyes N° 2323 (DERCO LA VICTORIA)</t>
        </is>
      </c>
      <c r="E4174" t="inlineStr">
        <is>
          <t>Lima, 29 de noviembre del 2025</t>
        </is>
      </c>
      <c r="F4174" t="inlineStr">
        <is>
          <t>la Recarga y mantenimiento</t>
        </is>
      </c>
      <c r="G4174" t="inlineStr">
        <is>
          <t>04</t>
        </is>
      </c>
      <c r="H4174" t="inlineStr">
        <is>
          <t xml:space="preserve">12 KG </t>
        </is>
      </c>
      <c r="I4174" t="n">
        <v>2026</v>
      </c>
      <c r="J4174" t="n">
        <v>2021</v>
      </c>
      <c r="K4174" t="inlineStr">
        <is>
          <t>NOVIEMBRE 2025</t>
        </is>
      </c>
      <c r="L4174" t="inlineStr">
        <is>
          <t>NOVIEMBRE 2026</t>
        </is>
      </c>
      <c r="M4174" t="inlineStr">
        <is>
          <t xml:space="preserve">PQS TIPO ABC AL 75% </t>
        </is>
      </c>
      <c r="N4174" t="inlineStr">
        <is>
          <t>22/004912</t>
        </is>
      </c>
      <c r="O4174" t="inlineStr">
        <is>
          <t>R</t>
        </is>
      </c>
      <c r="P4174">
        <f>TRIM(N4174)</f>
        <v/>
      </c>
    </row>
    <row r="4175">
      <c r="A4175" t="inlineStr">
        <is>
          <t>CO-002596</t>
        </is>
      </c>
      <c r="B4175" t="inlineStr">
        <is>
          <t>GACSA PERU S.A.C.</t>
        </is>
      </c>
      <c r="C4175" t="n">
        <v>20602629068</v>
      </c>
      <c r="D4175" t="inlineStr">
        <is>
          <t>Vía Expresa Luis Fernan Bedoya Reyes N° 2323 (DERCO LA VICTORIA)</t>
        </is>
      </c>
      <c r="E4175" t="inlineStr">
        <is>
          <t>Lima, 29 de noviembre del 2025</t>
        </is>
      </c>
      <c r="F4175" t="inlineStr">
        <is>
          <t>la Recarga y mantenimiento</t>
        </is>
      </c>
      <c r="G4175" t="inlineStr">
        <is>
          <t>05</t>
        </is>
      </c>
      <c r="H4175" t="inlineStr">
        <is>
          <t>06 KG</t>
        </is>
      </c>
      <c r="I4175" t="n">
        <v>2030</v>
      </c>
      <c r="J4175" t="n">
        <v>2008</v>
      </c>
      <c r="K4175" t="inlineStr">
        <is>
          <t>NOVIEMBRE 2025</t>
        </is>
      </c>
      <c r="L4175" t="inlineStr">
        <is>
          <t>NOVIEMBRE 2026</t>
        </is>
      </c>
      <c r="M4175" t="inlineStr">
        <is>
          <t xml:space="preserve">PQS TIPO ABC AL 75% </t>
        </is>
      </c>
      <c r="N4175" t="inlineStr">
        <is>
          <t>24/003299</t>
        </is>
      </c>
      <c r="O4175" t="inlineStr">
        <is>
          <t>R</t>
        </is>
      </c>
      <c r="P4175">
        <f>TRIM(N4175)</f>
        <v/>
      </c>
    </row>
    <row r="4176">
      <c r="A4176" t="inlineStr">
        <is>
          <t>CO-002596</t>
        </is>
      </c>
      <c r="B4176" t="inlineStr">
        <is>
          <t>GACSA PERU S.A.C.</t>
        </is>
      </c>
      <c r="C4176" t="n">
        <v>20602629068</v>
      </c>
      <c r="D4176" t="inlineStr">
        <is>
          <t>Vía Expresa Luis Fernan Bedoya Reyes N° 2323 (DERCO LA VICTORIA)</t>
        </is>
      </c>
      <c r="E4176" t="inlineStr">
        <is>
          <t>Lima, 29 de noviembre del 2025</t>
        </is>
      </c>
      <c r="F4176" t="inlineStr">
        <is>
          <t>la Recarga y mantenimiento</t>
        </is>
      </c>
      <c r="G4176" t="inlineStr">
        <is>
          <t>06</t>
        </is>
      </c>
      <c r="H4176" t="inlineStr">
        <is>
          <t>50 KG</t>
        </is>
      </c>
      <c r="I4176" t="n">
        <v>2029</v>
      </c>
      <c r="J4176" t="n">
        <v>2012</v>
      </c>
      <c r="K4176" t="inlineStr">
        <is>
          <t>NOVIEMBRE 2025</t>
        </is>
      </c>
      <c r="L4176" t="inlineStr">
        <is>
          <t>NOVIEMBRE 2026</t>
        </is>
      </c>
      <c r="M4176" t="inlineStr">
        <is>
          <t xml:space="preserve">PQS TIPO ABC AL 75% </t>
        </is>
      </c>
      <c r="N4176" t="inlineStr">
        <is>
          <t>28/000073</t>
        </is>
      </c>
      <c r="O4176" t="inlineStr">
        <is>
          <t>R</t>
        </is>
      </c>
      <c r="P4176">
        <f>TRIM(N4176)</f>
        <v/>
      </c>
    </row>
    <row r="4177">
      <c r="A4177" t="inlineStr">
        <is>
          <t>CO-002596</t>
        </is>
      </c>
      <c r="B4177" t="inlineStr">
        <is>
          <t>GACSA PERU S.A.C.</t>
        </is>
      </c>
      <c r="C4177" t="n">
        <v>20602629068</v>
      </c>
      <c r="D4177" t="inlineStr">
        <is>
          <t>Vía Expresa Luis Fernan Bedoya Reyes N° 2323 (DERCO LA VICTORIA)</t>
        </is>
      </c>
      <c r="E4177" t="inlineStr">
        <is>
          <t>Lima, 29 de noviembre del 2025</t>
        </is>
      </c>
      <c r="F4177" t="inlineStr">
        <is>
          <t>la Recarga y mantenimiento</t>
        </is>
      </c>
      <c r="G4177" t="inlineStr">
        <is>
          <t>07</t>
        </is>
      </c>
      <c r="H4177" t="inlineStr">
        <is>
          <t xml:space="preserve">12 KG </t>
        </is>
      </c>
      <c r="I4177" t="n">
        <v>2030</v>
      </c>
      <c r="J4177" t="n">
        <v>2010</v>
      </c>
      <c r="K4177" t="inlineStr">
        <is>
          <t>NOVIEMBRE 2025</t>
        </is>
      </c>
      <c r="L4177" t="inlineStr">
        <is>
          <t>NOVIEMBRE 2026</t>
        </is>
      </c>
      <c r="M4177" t="inlineStr">
        <is>
          <t xml:space="preserve">PQS TIPO ABC AL 75% </t>
        </is>
      </c>
      <c r="N4177" t="inlineStr">
        <is>
          <t>44/000092</t>
        </is>
      </c>
      <c r="O4177" t="inlineStr">
        <is>
          <t>R</t>
        </is>
      </c>
      <c r="P4177">
        <f>TRIM(N4177)</f>
        <v/>
      </c>
    </row>
    <row r="4178">
      <c r="A4178" t="inlineStr">
        <is>
          <t>CO-002596</t>
        </is>
      </c>
      <c r="B4178" t="inlineStr">
        <is>
          <t>GACSA PERU S.A.C.</t>
        </is>
      </c>
      <c r="C4178" t="n">
        <v>20602629068</v>
      </c>
      <c r="D4178" t="inlineStr">
        <is>
          <t>Vía Expresa Luis Fernan Bedoya Reyes N° 2323 (DERCO LA VICTORIA)</t>
        </is>
      </c>
      <c r="E4178" t="inlineStr">
        <is>
          <t>Lima, 29 de noviembre del 2025</t>
        </is>
      </c>
      <c r="F4178" t="inlineStr">
        <is>
          <t>la Recarga y mantenimiento</t>
        </is>
      </c>
      <c r="G4178" t="inlineStr">
        <is>
          <t>08</t>
        </is>
      </c>
      <c r="H4178" t="inlineStr">
        <is>
          <t>20 LBS</t>
        </is>
      </c>
      <c r="I4178" t="n">
        <v>2029</v>
      </c>
      <c r="J4178" t="n">
        <v>2014</v>
      </c>
      <c r="K4178" t="inlineStr">
        <is>
          <t>NOVIEMBRE 2025</t>
        </is>
      </c>
      <c r="L4178" t="inlineStr">
        <is>
          <t>NOVIEMBRE 2026</t>
        </is>
      </c>
      <c r="M4178" t="inlineStr">
        <is>
          <t>CO2 TIPO BC</t>
        </is>
      </c>
      <c r="N4178" t="inlineStr">
        <is>
          <t>50/A34222906</t>
        </is>
      </c>
      <c r="O4178" t="inlineStr">
        <is>
          <t>R</t>
        </is>
      </c>
      <c r="P4178">
        <f>TRIM(N4178)</f>
        <v/>
      </c>
    </row>
    <row r="4179">
      <c r="A4179" t="inlineStr">
        <is>
          <t>CO-002596</t>
        </is>
      </c>
      <c r="B4179" t="inlineStr">
        <is>
          <t>GACSA PERU S.A.C.</t>
        </is>
      </c>
      <c r="C4179" t="n">
        <v>20602629068</v>
      </c>
      <c r="D4179" t="inlineStr">
        <is>
          <t>Vía Expresa Luis Fernan Bedoya Reyes N° 2323 (DERCO LA VICTORIA)</t>
        </is>
      </c>
      <c r="E4179" t="inlineStr">
        <is>
          <t>Lima, 29 de noviembre del 2025</t>
        </is>
      </c>
      <c r="F4179" t="inlineStr">
        <is>
          <t>la Recarga y mantenimiento</t>
        </is>
      </c>
      <c r="G4179" t="inlineStr">
        <is>
          <t>09</t>
        </is>
      </c>
      <c r="H4179" t="inlineStr">
        <is>
          <t xml:space="preserve">06 KG </t>
        </is>
      </c>
      <c r="I4179" t="n">
        <v>2030</v>
      </c>
      <c r="J4179" t="n">
        <v>2008</v>
      </c>
      <c r="K4179" t="inlineStr">
        <is>
          <t>NOVIEMBRE 2025</t>
        </is>
      </c>
      <c r="L4179" t="inlineStr">
        <is>
          <t>NOVIEMBRE 2026</t>
        </is>
      </c>
      <c r="M4179" t="inlineStr">
        <is>
          <t xml:space="preserve">PQS TIPO ABC AL 75% </t>
        </is>
      </c>
      <c r="N4179" t="inlineStr">
        <is>
          <t>52/003295</t>
        </is>
      </c>
      <c r="O4179" t="inlineStr">
        <is>
          <t>R</t>
        </is>
      </c>
      <c r="P4179">
        <f>TRIM(N4179)</f>
        <v/>
      </c>
    </row>
    <row r="4180">
      <c r="A4180" t="inlineStr">
        <is>
          <t>CO-002596</t>
        </is>
      </c>
      <c r="B4180" t="inlineStr">
        <is>
          <t>GACSA PERU S.A.C.</t>
        </is>
      </c>
      <c r="C4180" t="n">
        <v>20602629068</v>
      </c>
      <c r="D4180" t="inlineStr">
        <is>
          <t>Vía Expresa Luis Fernan Bedoya Reyes N° 2323 (DERCO LA VICTORIA)</t>
        </is>
      </c>
      <c r="E4180" t="inlineStr">
        <is>
          <t>Lima, 29 de noviembre del 2025</t>
        </is>
      </c>
      <c r="F4180" t="inlineStr">
        <is>
          <t>la Recarga y mantenimiento</t>
        </is>
      </c>
      <c r="G4180" t="inlineStr">
        <is>
          <t>10</t>
        </is>
      </c>
      <c r="H4180" t="inlineStr">
        <is>
          <t>12 KG</t>
        </is>
      </c>
      <c r="I4180" t="n">
        <v>2026</v>
      </c>
      <c r="J4180" t="n">
        <v>2021</v>
      </c>
      <c r="K4180" t="inlineStr">
        <is>
          <t>NOVIEMBRE 2025</t>
        </is>
      </c>
      <c r="L4180" t="inlineStr">
        <is>
          <t>NOVIEMBRE 2026</t>
        </is>
      </c>
      <c r="M4180" t="inlineStr">
        <is>
          <t xml:space="preserve">PQS TIPO ABC AL 75% </t>
        </is>
      </c>
      <c r="N4180" t="inlineStr">
        <is>
          <t>60/004905</t>
        </is>
      </c>
      <c r="O4180" t="inlineStr">
        <is>
          <t>R</t>
        </is>
      </c>
      <c r="P4180">
        <f>TRIM(N4180)</f>
        <v/>
      </c>
    </row>
    <row r="4181">
      <c r="A4181" t="inlineStr">
        <is>
          <t>CO-002596</t>
        </is>
      </c>
      <c r="B4181" t="inlineStr">
        <is>
          <t>GACSA PERU S.A.C.</t>
        </is>
      </c>
      <c r="C4181" t="n">
        <v>20602629068</v>
      </c>
      <c r="D4181" t="inlineStr">
        <is>
          <t>Vía Expresa Luis Fernan Bedoya Reyes N° 2323 (DERCO LA VICTORIA)</t>
        </is>
      </c>
      <c r="E4181" t="inlineStr">
        <is>
          <t>Lima, 29 de noviembre del 2025</t>
        </is>
      </c>
      <c r="F4181" t="inlineStr">
        <is>
          <t>la Recarga y mantenimiento</t>
        </is>
      </c>
      <c r="G4181" t="n">
        <v>11</v>
      </c>
      <c r="H4181" t="inlineStr">
        <is>
          <t>12 KG</t>
        </is>
      </c>
      <c r="I4181" t="n">
        <v>2026</v>
      </c>
      <c r="J4181" t="n">
        <v>2021</v>
      </c>
      <c r="K4181" t="inlineStr">
        <is>
          <t>NOVIEMBRE 2025</t>
        </is>
      </c>
      <c r="L4181" t="inlineStr">
        <is>
          <t>NOVIEMBRE 2026</t>
        </is>
      </c>
      <c r="M4181" t="inlineStr">
        <is>
          <t xml:space="preserve">PQS TIPO ABC AL 75% </t>
        </is>
      </c>
      <c r="N4181" t="inlineStr">
        <is>
          <t>61/004889</t>
        </is>
      </c>
      <c r="O4181" t="inlineStr">
        <is>
          <t>R</t>
        </is>
      </c>
      <c r="P4181">
        <f>TRIM(N4181)</f>
        <v/>
      </c>
    </row>
    <row r="4182">
      <c r="A4182" t="inlineStr">
        <is>
          <t>CO-002597</t>
        </is>
      </c>
      <c r="B4182" t="inlineStr">
        <is>
          <t>GACSA PERU S.A.C.</t>
        </is>
      </c>
      <c r="C4182" t="n">
        <v>20602629068</v>
      </c>
      <c r="D4182" t="inlineStr">
        <is>
          <t>Vía Expresa Luis Fernan Bedoya Reyes N° 2323 (DERCO LA VICTORIA)</t>
        </is>
      </c>
      <c r="E4182" t="inlineStr">
        <is>
          <t>Lima, 07 de enero del 2026</t>
        </is>
      </c>
      <c r="F4182" t="inlineStr">
        <is>
          <t>la Recarga y mantenimiento</t>
        </is>
      </c>
      <c r="G4182" t="inlineStr">
        <is>
          <t>01</t>
        </is>
      </c>
      <c r="H4182" t="inlineStr">
        <is>
          <t>10 LBS</t>
        </is>
      </c>
      <c r="I4182" t="inlineStr">
        <is>
          <t>2029</t>
        </is>
      </c>
      <c r="J4182" t="n">
        <v>2024</v>
      </c>
      <c r="K4182" t="inlineStr">
        <is>
          <t>ENERO 2026</t>
        </is>
      </c>
      <c r="L4182" t="inlineStr">
        <is>
          <t>ENERO 2027</t>
        </is>
      </c>
      <c r="M4182" t="inlineStr">
        <is>
          <t>CO2 TIPO BC</t>
        </is>
      </c>
      <c r="N4182" t="inlineStr">
        <is>
          <t>19/020965</t>
        </is>
      </c>
      <c r="O4182" t="inlineStr">
        <is>
          <t>R</t>
        </is>
      </c>
      <c r="P4182">
        <f>TRIM(N4182)</f>
        <v/>
      </c>
    </row>
    <row r="4183">
      <c r="A4183" t="inlineStr">
        <is>
          <t>CO-002597</t>
        </is>
      </c>
      <c r="B4183" t="inlineStr">
        <is>
          <t>GACSA PERU S.A.C.</t>
        </is>
      </c>
      <c r="C4183" t="n">
        <v>20602629068</v>
      </c>
      <c r="D4183" t="inlineStr">
        <is>
          <t>Vía Expresa Luis Fernan Bedoya Reyes N° 2323 (DERCO LA VICTORIA)</t>
        </is>
      </c>
      <c r="E4183" t="inlineStr">
        <is>
          <t>Lima, 07 de enero del 2026</t>
        </is>
      </c>
      <c r="F4183" t="inlineStr">
        <is>
          <t>la Recarga y mantenimiento</t>
        </is>
      </c>
      <c r="G4183" t="inlineStr">
        <is>
          <t>02</t>
        </is>
      </c>
      <c r="H4183" t="inlineStr">
        <is>
          <t>06 KG</t>
        </is>
      </c>
      <c r="I4183" t="inlineStr">
        <is>
          <t>2029</t>
        </is>
      </c>
      <c r="J4183" t="n">
        <v>2019</v>
      </c>
      <c r="K4183" t="inlineStr">
        <is>
          <t>ENERO 2026</t>
        </is>
      </c>
      <c r="L4183" t="inlineStr">
        <is>
          <t>ENERO 2027</t>
        </is>
      </c>
      <c r="M4183" t="inlineStr">
        <is>
          <t xml:space="preserve">PQS TIPO ABC AL 75% </t>
        </is>
      </c>
      <c r="N4183" t="inlineStr">
        <is>
          <t>20/004405</t>
        </is>
      </c>
      <c r="O4183" t="inlineStr">
        <is>
          <t>R</t>
        </is>
      </c>
      <c r="P4183">
        <f>TRIM(N4183)</f>
        <v/>
      </c>
    </row>
    <row r="4184">
      <c r="A4184" t="inlineStr">
        <is>
          <t>CO-002597</t>
        </is>
      </c>
      <c r="B4184" t="inlineStr">
        <is>
          <t>GACSA PERU S.A.C.</t>
        </is>
      </c>
      <c r="C4184" t="n">
        <v>20602629068</v>
      </c>
      <c r="D4184" t="inlineStr">
        <is>
          <t>Vía Expresa Luis Fernan Bedoya Reyes N° 2323 (DERCO LA VICTORIA)</t>
        </is>
      </c>
      <c r="E4184" t="inlineStr">
        <is>
          <t>Lima, 07 de enero del 2026</t>
        </is>
      </c>
      <c r="F4184" t="inlineStr">
        <is>
          <t>la Recarga y mantenimiento</t>
        </is>
      </c>
      <c r="G4184" t="inlineStr">
        <is>
          <t>03</t>
        </is>
      </c>
      <c r="H4184" t="inlineStr">
        <is>
          <t>06 KG</t>
        </is>
      </c>
      <c r="I4184" t="n">
        <v>2029</v>
      </c>
      <c r="J4184" t="n">
        <v>2019</v>
      </c>
      <c r="K4184" t="inlineStr">
        <is>
          <t>ENERO 2026</t>
        </is>
      </c>
      <c r="L4184" t="inlineStr">
        <is>
          <t>ENERO 2027</t>
        </is>
      </c>
      <c r="M4184" t="inlineStr">
        <is>
          <t xml:space="preserve">PQS TIPO ABC AL 75% </t>
        </is>
      </c>
      <c r="N4184" t="inlineStr">
        <is>
          <t>23/000625</t>
        </is>
      </c>
      <c r="O4184" t="inlineStr">
        <is>
          <t>R</t>
        </is>
      </c>
      <c r="P4184">
        <f>TRIM(N4184)</f>
        <v/>
      </c>
    </row>
    <row r="4185">
      <c r="A4185" t="inlineStr">
        <is>
          <t>CO-002597</t>
        </is>
      </c>
      <c r="B4185" t="inlineStr">
        <is>
          <t>GACSA PERU S.A.C.</t>
        </is>
      </c>
      <c r="C4185" t="n">
        <v>20602629068</v>
      </c>
      <c r="D4185" t="inlineStr">
        <is>
          <t>Vía Expresa Luis Fernan Bedoya Reyes N° 2323 (DERCO LA VICTORIA)</t>
        </is>
      </c>
      <c r="E4185" t="inlineStr">
        <is>
          <t>Lima, 07 de enero del 2026</t>
        </is>
      </c>
      <c r="F4185" t="inlineStr">
        <is>
          <t>la Recarga y mantenimiento</t>
        </is>
      </c>
      <c r="G4185" t="inlineStr">
        <is>
          <t>04</t>
        </is>
      </c>
      <c r="H4185" t="inlineStr">
        <is>
          <t>06 KG</t>
        </is>
      </c>
      <c r="I4185" t="n">
        <v>2031</v>
      </c>
      <c r="J4185" t="n">
        <v>2019</v>
      </c>
      <c r="K4185" t="inlineStr">
        <is>
          <t>ENERO 2026</t>
        </is>
      </c>
      <c r="L4185" t="inlineStr">
        <is>
          <t>ENERO 2027</t>
        </is>
      </c>
      <c r="M4185" t="inlineStr">
        <is>
          <t xml:space="preserve">PQS TIPO ABC AL 75% </t>
        </is>
      </c>
      <c r="N4185" t="inlineStr">
        <is>
          <t>25/001172</t>
        </is>
      </c>
      <c r="O4185" t="inlineStr">
        <is>
          <t>R</t>
        </is>
      </c>
      <c r="P4185">
        <f>TRIM(N4185)</f>
        <v/>
      </c>
    </row>
    <row r="4186">
      <c r="A4186" t="inlineStr">
        <is>
          <t>CO-002597</t>
        </is>
      </c>
      <c r="B4186" t="inlineStr">
        <is>
          <t>GACSA PERU S.A.C.</t>
        </is>
      </c>
      <c r="C4186" t="n">
        <v>20602629068</v>
      </c>
      <c r="D4186" t="inlineStr">
        <is>
          <t>Vía Expresa Luis Fernan Bedoya Reyes N° 2323 (DERCO LA VICTORIA)</t>
        </is>
      </c>
      <c r="E4186" t="inlineStr">
        <is>
          <t>Lima, 07 de enero del 2026</t>
        </is>
      </c>
      <c r="F4186" t="inlineStr">
        <is>
          <t>la Recarga y mantenimiento</t>
        </is>
      </c>
      <c r="G4186" t="inlineStr">
        <is>
          <t>05</t>
        </is>
      </c>
      <c r="H4186" t="inlineStr">
        <is>
          <t>06 KG</t>
        </is>
      </c>
      <c r="I4186" t="n">
        <v>2031</v>
      </c>
      <c r="J4186" t="n">
        <v>2019</v>
      </c>
      <c r="K4186" t="inlineStr">
        <is>
          <t>ENERO 2026</t>
        </is>
      </c>
      <c r="L4186" t="inlineStr">
        <is>
          <t>ENERO 2027</t>
        </is>
      </c>
      <c r="M4186" t="inlineStr">
        <is>
          <t xml:space="preserve">PQS TIPO ABC AL 75% </t>
        </is>
      </c>
      <c r="N4186" t="inlineStr">
        <is>
          <t>26/004655</t>
        </is>
      </c>
      <c r="O4186" t="inlineStr">
        <is>
          <t>R</t>
        </is>
      </c>
      <c r="P4186">
        <f>TRIM(N4186)</f>
        <v/>
      </c>
    </row>
    <row r="4187">
      <c r="A4187" t="inlineStr">
        <is>
          <t>CO-002597</t>
        </is>
      </c>
      <c r="B4187" t="inlineStr">
        <is>
          <t>GACSA PERU S.A.C.</t>
        </is>
      </c>
      <c r="C4187" t="n">
        <v>20602629068</v>
      </c>
      <c r="D4187" t="inlineStr">
        <is>
          <t>Vía Expresa Luis Fernan Bedoya Reyes N° 2323 (DERCO LA VICTORIA)</t>
        </is>
      </c>
      <c r="E4187" t="inlineStr">
        <is>
          <t>Lima, 07 de enero del 2026</t>
        </is>
      </c>
      <c r="F4187" t="inlineStr">
        <is>
          <t>la Recarga y mantenimiento</t>
        </is>
      </c>
      <c r="G4187" t="inlineStr">
        <is>
          <t>06</t>
        </is>
      </c>
      <c r="H4187" t="inlineStr">
        <is>
          <t>06 KG</t>
        </is>
      </c>
      <c r="I4187" t="n">
        <v>2029</v>
      </c>
      <c r="J4187" t="n">
        <v>2019</v>
      </c>
      <c r="K4187" t="inlineStr">
        <is>
          <t>ENERO 2026</t>
        </is>
      </c>
      <c r="L4187" t="inlineStr">
        <is>
          <t>ENERO 2027</t>
        </is>
      </c>
      <c r="M4187" t="inlineStr">
        <is>
          <t xml:space="preserve">PQS TIPO ABC AL 75% </t>
        </is>
      </c>
      <c r="N4187" t="inlineStr">
        <is>
          <t>27/004754</t>
        </is>
      </c>
      <c r="O4187" t="inlineStr">
        <is>
          <t>R</t>
        </is>
      </c>
      <c r="P4187">
        <f>TRIM(N4187)</f>
        <v/>
      </c>
    </row>
    <row r="4188">
      <c r="A4188" t="inlineStr">
        <is>
          <t>CO-002597</t>
        </is>
      </c>
      <c r="B4188" t="inlineStr">
        <is>
          <t>GACSA PERU S.A.C.</t>
        </is>
      </c>
      <c r="C4188" t="n">
        <v>20602629068</v>
      </c>
      <c r="D4188" t="inlineStr">
        <is>
          <t>Vía Expresa Luis Fernan Bedoya Reyes N° 2323 (DERCO LA VICTORIA)</t>
        </is>
      </c>
      <c r="E4188" t="inlineStr">
        <is>
          <t>Lima, 07 de enero del 2026</t>
        </is>
      </c>
      <c r="F4188" t="inlineStr">
        <is>
          <t>la Recarga y mantenimiento</t>
        </is>
      </c>
      <c r="G4188" t="inlineStr">
        <is>
          <t>07</t>
        </is>
      </c>
      <c r="H4188" t="inlineStr">
        <is>
          <t>06 KG</t>
        </is>
      </c>
      <c r="I4188" t="n">
        <v>2029</v>
      </c>
      <c r="J4188" t="n">
        <v>2019</v>
      </c>
      <c r="K4188" t="inlineStr">
        <is>
          <t>ENERO 2026</t>
        </is>
      </c>
      <c r="L4188" t="inlineStr">
        <is>
          <t>ENERO 2027</t>
        </is>
      </c>
      <c r="M4188" t="inlineStr">
        <is>
          <t xml:space="preserve">PQS TIPO ABC AL 75% </t>
        </is>
      </c>
      <c r="N4188" t="inlineStr">
        <is>
          <t>29/000889</t>
        </is>
      </c>
      <c r="O4188" t="inlineStr">
        <is>
          <t>R</t>
        </is>
      </c>
      <c r="P4188">
        <f>TRIM(N4188)</f>
        <v/>
      </c>
    </row>
    <row r="4189">
      <c r="A4189" t="inlineStr">
        <is>
          <t>CO-002597</t>
        </is>
      </c>
      <c r="B4189" t="inlineStr">
        <is>
          <t>GACSA PERU S.A.C.</t>
        </is>
      </c>
      <c r="C4189" t="n">
        <v>20602629068</v>
      </c>
      <c r="D4189" t="inlineStr">
        <is>
          <t>Vía Expresa Luis Fernan Bedoya Reyes N° 2323 (DERCO LA VICTORIA)</t>
        </is>
      </c>
      <c r="E4189" t="inlineStr">
        <is>
          <t>Lima, 07 de enero del 2026</t>
        </is>
      </c>
      <c r="F4189" t="inlineStr">
        <is>
          <t>la Recarga y mantenimiento</t>
        </is>
      </c>
      <c r="G4189" t="inlineStr">
        <is>
          <t>08</t>
        </is>
      </c>
      <c r="H4189" t="inlineStr">
        <is>
          <t>06 KG</t>
        </is>
      </c>
      <c r="I4189" t="n">
        <v>2031</v>
      </c>
      <c r="J4189" t="n">
        <v>2019</v>
      </c>
      <c r="K4189" t="inlineStr">
        <is>
          <t>ENERO 2026</t>
        </is>
      </c>
      <c r="L4189" t="inlineStr">
        <is>
          <t>ENERO 2027</t>
        </is>
      </c>
      <c r="M4189" t="inlineStr">
        <is>
          <t xml:space="preserve">PQS TIPO ABC AL 75% </t>
        </is>
      </c>
      <c r="N4189" t="inlineStr">
        <is>
          <t>30/003158</t>
        </is>
      </c>
      <c r="O4189" t="inlineStr">
        <is>
          <t>R</t>
        </is>
      </c>
      <c r="P4189">
        <f>TRIM(N4189)</f>
        <v/>
      </c>
    </row>
    <row r="4190">
      <c r="A4190" t="inlineStr">
        <is>
          <t>CO-002597</t>
        </is>
      </c>
      <c r="B4190" t="inlineStr">
        <is>
          <t>GACSA PERU S.A.C.</t>
        </is>
      </c>
      <c r="C4190" t="n">
        <v>20602629068</v>
      </c>
      <c r="D4190" t="inlineStr">
        <is>
          <t>Vía Expresa Luis Fernan Bedoya Reyes N° 2323 (DERCO LA VICTORIA)</t>
        </is>
      </c>
      <c r="E4190" t="inlineStr">
        <is>
          <t>Lima, 07 de enero del 2026</t>
        </is>
      </c>
      <c r="F4190" t="inlineStr">
        <is>
          <t>la Recarga y mantenimiento</t>
        </is>
      </c>
      <c r="G4190" t="inlineStr">
        <is>
          <t>09</t>
        </is>
      </c>
      <c r="H4190" t="inlineStr">
        <is>
          <t>12 KG</t>
        </is>
      </c>
      <c r="I4190" t="n">
        <v>2031</v>
      </c>
      <c r="J4190" t="n">
        <v>2021</v>
      </c>
      <c r="K4190" t="inlineStr">
        <is>
          <t>ENERO 2026</t>
        </is>
      </c>
      <c r="L4190" t="inlineStr">
        <is>
          <t>ENERO 2027</t>
        </is>
      </c>
      <c r="M4190" t="inlineStr">
        <is>
          <t xml:space="preserve">PQS TIPO ABC AL 75% </t>
        </is>
      </c>
      <c r="N4190" t="inlineStr">
        <is>
          <t>31/004853</t>
        </is>
      </c>
      <c r="O4190" t="inlineStr">
        <is>
          <t>R</t>
        </is>
      </c>
      <c r="P4190">
        <f>TRIM(N4190)</f>
        <v/>
      </c>
    </row>
    <row r="4191">
      <c r="A4191" t="inlineStr">
        <is>
          <t>CO-002597</t>
        </is>
      </c>
      <c r="B4191" t="inlineStr">
        <is>
          <t>GACSA PERU S.A.C.</t>
        </is>
      </c>
      <c r="C4191" t="n">
        <v>20602629068</v>
      </c>
      <c r="D4191" t="inlineStr">
        <is>
          <t>Vía Expresa Luis Fernan Bedoya Reyes N° 2323 (DERCO LA VICTORIA)</t>
        </is>
      </c>
      <c r="E4191" t="inlineStr">
        <is>
          <t>Lima, 07 de enero del 2026</t>
        </is>
      </c>
      <c r="F4191" t="inlineStr">
        <is>
          <t>la Recarga y mantenimiento</t>
        </is>
      </c>
      <c r="G4191" t="n">
        <v>10</v>
      </c>
      <c r="H4191" t="inlineStr">
        <is>
          <t>10 LBS</t>
        </is>
      </c>
      <c r="I4191" t="n">
        <v>2031</v>
      </c>
      <c r="J4191" t="n">
        <v>2021</v>
      </c>
      <c r="K4191" t="inlineStr">
        <is>
          <t>ENERO 2026</t>
        </is>
      </c>
      <c r="L4191" t="inlineStr">
        <is>
          <t>ENERO 2027</t>
        </is>
      </c>
      <c r="M4191" t="inlineStr">
        <is>
          <t>CO2 TIPO BC</t>
        </is>
      </c>
      <c r="N4191" t="inlineStr">
        <is>
          <t>32/000343</t>
        </is>
      </c>
      <c r="O4191" t="inlineStr">
        <is>
          <t>R</t>
        </is>
      </c>
      <c r="P4191">
        <f>TRIM(N4191)</f>
        <v/>
      </c>
    </row>
    <row r="4192">
      <c r="A4192" t="inlineStr">
        <is>
          <t>CO-002597</t>
        </is>
      </c>
      <c r="B4192" t="inlineStr">
        <is>
          <t>GACSA PERU S.A.C.</t>
        </is>
      </c>
      <c r="C4192" t="n">
        <v>20602629068</v>
      </c>
      <c r="D4192" t="inlineStr">
        <is>
          <t>Vía Expresa Luis Fernan Bedoya Reyes N° 2323 (DERCO LA VICTORIA)</t>
        </is>
      </c>
      <c r="E4192" t="inlineStr">
        <is>
          <t>Lima, 07 de enero del 2026</t>
        </is>
      </c>
      <c r="F4192" t="inlineStr">
        <is>
          <t>la Recarga y mantenimiento</t>
        </is>
      </c>
      <c r="G4192" t="n">
        <v>11</v>
      </c>
      <c r="H4192" t="inlineStr">
        <is>
          <t>10 LBS</t>
        </is>
      </c>
      <c r="I4192" t="n">
        <v>2029</v>
      </c>
      <c r="J4192" t="n">
        <v>2024</v>
      </c>
      <c r="K4192" t="inlineStr">
        <is>
          <t>ENERO 2026</t>
        </is>
      </c>
      <c r="L4192" t="inlineStr">
        <is>
          <t>ENERO 2027</t>
        </is>
      </c>
      <c r="M4192" t="inlineStr">
        <is>
          <t>CO2 TIPO BC</t>
        </is>
      </c>
      <c r="N4192" t="inlineStr">
        <is>
          <t>33/000052</t>
        </is>
      </c>
      <c r="O4192" t="inlineStr">
        <is>
          <t>R</t>
        </is>
      </c>
      <c r="P4192">
        <f>TRIM(N4192)</f>
        <v/>
      </c>
    </row>
    <row r="4193">
      <c r="A4193" t="inlineStr">
        <is>
          <t>CO-002597</t>
        </is>
      </c>
      <c r="B4193" t="inlineStr">
        <is>
          <t>GACSA PERU S.A.C.</t>
        </is>
      </c>
      <c r="C4193" t="n">
        <v>20602629068</v>
      </c>
      <c r="D4193" t="inlineStr">
        <is>
          <t>Vía Expresa Luis Fernan Bedoya Reyes N° 2323 (DERCO LA VICTORIA)</t>
        </is>
      </c>
      <c r="E4193" t="inlineStr">
        <is>
          <t>Lima, 07 de enero del 2026</t>
        </is>
      </c>
      <c r="F4193" t="inlineStr">
        <is>
          <t>la Recarga y mantenimiento</t>
        </is>
      </c>
      <c r="G4193" t="n">
        <v>12</v>
      </c>
      <c r="H4193" t="inlineStr">
        <is>
          <t>06 KG</t>
        </is>
      </c>
      <c r="I4193" t="n">
        <v>2029</v>
      </c>
      <c r="J4193" t="n">
        <v>2019</v>
      </c>
      <c r="K4193" t="inlineStr">
        <is>
          <t>ENERO 2026</t>
        </is>
      </c>
      <c r="L4193" t="inlineStr">
        <is>
          <t>ENERO 2027</t>
        </is>
      </c>
      <c r="M4193" t="inlineStr">
        <is>
          <t xml:space="preserve">PQS TIPO ABC AL 75% </t>
        </is>
      </c>
      <c r="N4193" t="inlineStr">
        <is>
          <t>34/000658</t>
        </is>
      </c>
      <c r="O4193" t="inlineStr">
        <is>
          <t>R</t>
        </is>
      </c>
      <c r="P4193">
        <f>TRIM(N4193)</f>
        <v/>
      </c>
    </row>
    <row r="4194">
      <c r="A4194" t="inlineStr">
        <is>
          <t>CO-002597</t>
        </is>
      </c>
      <c r="B4194" t="inlineStr">
        <is>
          <t>GACSA PERU S.A.C.</t>
        </is>
      </c>
      <c r="C4194" t="n">
        <v>20602629068</v>
      </c>
      <c r="D4194" t="inlineStr">
        <is>
          <t>Vía Expresa Luis Fernan Bedoya Reyes N° 2323 (DERCO LA VICTORIA)</t>
        </is>
      </c>
      <c r="E4194" t="inlineStr">
        <is>
          <t>Lima, 07 de enero del 2026</t>
        </is>
      </c>
      <c r="F4194" t="inlineStr">
        <is>
          <t>la Recarga y mantenimiento</t>
        </is>
      </c>
      <c r="G4194" t="n">
        <v>13</v>
      </c>
      <c r="H4194" t="inlineStr">
        <is>
          <t>06 KG</t>
        </is>
      </c>
      <c r="I4194" t="n">
        <v>2029</v>
      </c>
      <c r="J4194" t="n">
        <v>2024</v>
      </c>
      <c r="K4194" t="inlineStr">
        <is>
          <t>ENERO 2026</t>
        </is>
      </c>
      <c r="L4194" t="inlineStr">
        <is>
          <t>ENERO 2027</t>
        </is>
      </c>
      <c r="M4194" t="inlineStr">
        <is>
          <t xml:space="preserve">PQS TIPO ABC AL 75% </t>
        </is>
      </c>
      <c r="N4194" t="inlineStr">
        <is>
          <t>35/003522</t>
        </is>
      </c>
      <c r="O4194" t="inlineStr">
        <is>
          <t>R</t>
        </is>
      </c>
      <c r="P4194">
        <f>TRIM(N4194)</f>
        <v/>
      </c>
    </row>
    <row r="4195">
      <c r="A4195" t="inlineStr">
        <is>
          <t>CO-002597</t>
        </is>
      </c>
      <c r="B4195" t="inlineStr">
        <is>
          <t>GACSA PERU S.A.C.</t>
        </is>
      </c>
      <c r="C4195" t="n">
        <v>20602629068</v>
      </c>
      <c r="D4195" t="inlineStr">
        <is>
          <t>Vía Expresa Luis Fernan Bedoya Reyes N° 2323 (DERCO LA VICTORIA)</t>
        </is>
      </c>
      <c r="E4195" t="inlineStr">
        <is>
          <t>Lima, 07 de enero del 2026</t>
        </is>
      </c>
      <c r="F4195" t="inlineStr">
        <is>
          <t>la Recarga y mantenimiento</t>
        </is>
      </c>
      <c r="G4195" t="n">
        <v>14</v>
      </c>
      <c r="H4195" t="inlineStr">
        <is>
          <t>06 KG</t>
        </is>
      </c>
      <c r="I4195" t="n">
        <v>2031</v>
      </c>
      <c r="J4195" t="n">
        <v>2019</v>
      </c>
      <c r="K4195" t="inlineStr">
        <is>
          <t>ENERO 2026</t>
        </is>
      </c>
      <c r="L4195" t="inlineStr">
        <is>
          <t>ENERO 2027</t>
        </is>
      </c>
      <c r="M4195" t="inlineStr">
        <is>
          <t xml:space="preserve">PQS TIPO ABC AL 75% </t>
        </is>
      </c>
      <c r="N4195" t="inlineStr">
        <is>
          <t>36/002049</t>
        </is>
      </c>
      <c r="O4195" t="inlineStr">
        <is>
          <t>R</t>
        </is>
      </c>
      <c r="P4195">
        <f>TRIM(N4195)</f>
        <v/>
      </c>
    </row>
    <row r="4196">
      <c r="A4196" t="inlineStr">
        <is>
          <t>CO-002597</t>
        </is>
      </c>
      <c r="B4196" t="inlineStr">
        <is>
          <t>GACSA PERU S.A.C.</t>
        </is>
      </c>
      <c r="C4196" t="n">
        <v>20602629068</v>
      </c>
      <c r="D4196" t="inlineStr">
        <is>
          <t>Vía Expresa Luis Fernan Bedoya Reyes N° 2323 (DERCO LA VICTORIA)</t>
        </is>
      </c>
      <c r="E4196" t="inlineStr">
        <is>
          <t>Lima, 07 de enero del 2026</t>
        </is>
      </c>
      <c r="F4196" t="inlineStr">
        <is>
          <t>la Recarga y mantenimiento</t>
        </is>
      </c>
      <c r="G4196" t="n">
        <v>15</v>
      </c>
      <c r="H4196" t="inlineStr">
        <is>
          <t>10 LBS</t>
        </is>
      </c>
      <c r="I4196" t="n">
        <v>2031</v>
      </c>
      <c r="J4196" t="n">
        <v>2021</v>
      </c>
      <c r="K4196" t="inlineStr">
        <is>
          <t>ENERO 2026</t>
        </is>
      </c>
      <c r="L4196" t="inlineStr">
        <is>
          <t>ENERO 2027</t>
        </is>
      </c>
      <c r="M4196" t="inlineStr">
        <is>
          <t xml:space="preserve">PQS TIPO ABC AL 75% </t>
        </is>
      </c>
      <c r="N4196" t="inlineStr">
        <is>
          <t>37/000221</t>
        </is>
      </c>
      <c r="O4196" t="inlineStr">
        <is>
          <t>R</t>
        </is>
      </c>
      <c r="P4196">
        <f>TRIM(N4196)</f>
        <v/>
      </c>
    </row>
    <row r="4197">
      <c r="A4197" t="inlineStr">
        <is>
          <t>CO-002598</t>
        </is>
      </c>
      <c r="B4197" t="inlineStr">
        <is>
          <t>GACSA PERU S.A.C.</t>
        </is>
      </c>
      <c r="C4197" t="n">
        <v>20602629068</v>
      </c>
      <c r="D4197" t="inlineStr">
        <is>
          <t>Vía Expresa Luis Fernan Bedoya Reyes N° 2323 (DERCO LA VICTORIA)</t>
        </is>
      </c>
      <c r="E4197" t="inlineStr">
        <is>
          <t>Lima, 07 de enero del 2026</t>
        </is>
      </c>
      <c r="F4197" t="inlineStr">
        <is>
          <t>la Recarga y mantenimiento</t>
        </is>
      </c>
      <c r="G4197" t="inlineStr">
        <is>
          <t>01</t>
        </is>
      </c>
      <c r="H4197" t="inlineStr">
        <is>
          <t>12 KG</t>
        </is>
      </c>
      <c r="I4197" t="inlineStr">
        <is>
          <t>2030</t>
        </is>
      </c>
      <c r="J4197" t="n">
        <v>2015</v>
      </c>
      <c r="K4197" t="inlineStr">
        <is>
          <t>ENERO 2026</t>
        </is>
      </c>
      <c r="L4197" t="inlineStr">
        <is>
          <t>ENERO 2027</t>
        </is>
      </c>
      <c r="M4197" t="inlineStr">
        <is>
          <t xml:space="preserve">PQS TIPO ABC AL 75% </t>
        </is>
      </c>
      <c r="N4197" t="inlineStr">
        <is>
          <t>38/001748</t>
        </is>
      </c>
      <c r="O4197" t="inlineStr">
        <is>
          <t>R</t>
        </is>
      </c>
      <c r="P4197">
        <f>TRIM(N4197)</f>
        <v/>
      </c>
    </row>
    <row r="4198">
      <c r="A4198" t="inlineStr">
        <is>
          <t>CO-002598</t>
        </is>
      </c>
      <c r="B4198" t="inlineStr">
        <is>
          <t>GACSA PERU S.A.C.</t>
        </is>
      </c>
      <c r="C4198" t="n">
        <v>20602629068</v>
      </c>
      <c r="D4198" t="inlineStr">
        <is>
          <t>Vía Expresa Luis Fernan Bedoya Reyes N° 2323 (DERCO LA VICTORIA)</t>
        </is>
      </c>
      <c r="E4198" t="inlineStr">
        <is>
          <t>Lima, 07 de enero del 2026</t>
        </is>
      </c>
      <c r="F4198" t="inlineStr">
        <is>
          <t>la Recarga y mantenimiento</t>
        </is>
      </c>
      <c r="G4198" t="inlineStr">
        <is>
          <t>02</t>
        </is>
      </c>
      <c r="H4198" t="inlineStr">
        <is>
          <t>06 KG</t>
        </is>
      </c>
      <c r="I4198" t="inlineStr">
        <is>
          <t>2031</t>
        </is>
      </c>
      <c r="J4198" t="n">
        <v>2019</v>
      </c>
      <c r="K4198" t="inlineStr">
        <is>
          <t>ENERO 2026</t>
        </is>
      </c>
      <c r="L4198" t="inlineStr">
        <is>
          <t>ENERO 2027</t>
        </is>
      </c>
      <c r="M4198" t="inlineStr">
        <is>
          <t xml:space="preserve">PQS TIPO ABC AL 75% </t>
        </is>
      </c>
      <c r="N4198" t="inlineStr">
        <is>
          <t>39/003259</t>
        </is>
      </c>
      <c r="O4198" t="inlineStr">
        <is>
          <t>R</t>
        </is>
      </c>
      <c r="P4198">
        <f>TRIM(N4198)</f>
        <v/>
      </c>
    </row>
    <row r="4199">
      <c r="A4199" t="inlineStr">
        <is>
          <t>CO-002598</t>
        </is>
      </c>
      <c r="B4199" t="inlineStr">
        <is>
          <t>GACSA PERU S.A.C.</t>
        </is>
      </c>
      <c r="C4199" t="n">
        <v>20602629068</v>
      </c>
      <c r="D4199" t="inlineStr">
        <is>
          <t>Vía Expresa Luis Fernan Bedoya Reyes N° 2323 (DERCO LA VICTORIA)</t>
        </is>
      </c>
      <c r="E4199" t="inlineStr">
        <is>
          <t>Lima, 07 de enero del 2026</t>
        </is>
      </c>
      <c r="F4199" t="inlineStr">
        <is>
          <t>la Recarga y mantenimiento</t>
        </is>
      </c>
      <c r="G4199" t="inlineStr">
        <is>
          <t>03</t>
        </is>
      </c>
      <c r="H4199" t="inlineStr">
        <is>
          <t>12 KG</t>
        </is>
      </c>
      <c r="I4199" t="n">
        <v>2030</v>
      </c>
      <c r="J4199" t="n">
        <v>2012</v>
      </c>
      <c r="K4199" t="inlineStr">
        <is>
          <t>ENERO 2026</t>
        </is>
      </c>
      <c r="L4199" t="inlineStr">
        <is>
          <t>ENERO 2027</t>
        </is>
      </c>
      <c r="M4199" t="inlineStr">
        <is>
          <t xml:space="preserve">PQS TIPO ABC AL 75% </t>
        </is>
      </c>
      <c r="N4199" t="inlineStr">
        <is>
          <t>40/000213</t>
        </is>
      </c>
      <c r="O4199" t="inlineStr">
        <is>
          <t>R</t>
        </is>
      </c>
      <c r="P4199">
        <f>TRIM(N4199)</f>
        <v/>
      </c>
    </row>
    <row r="4200">
      <c r="A4200" t="inlineStr">
        <is>
          <t>CO-002598</t>
        </is>
      </c>
      <c r="B4200" t="inlineStr">
        <is>
          <t>GACSA PERU S.A.C.</t>
        </is>
      </c>
      <c r="C4200" t="n">
        <v>20602629068</v>
      </c>
      <c r="D4200" t="inlineStr">
        <is>
          <t>Vía Expresa Luis Fernan Bedoya Reyes N° 2323 (DERCO LA VICTORIA)</t>
        </is>
      </c>
      <c r="E4200" t="inlineStr">
        <is>
          <t>Lima, 07 de enero del 2026</t>
        </is>
      </c>
      <c r="F4200" t="inlineStr">
        <is>
          <t>la Recarga y mantenimiento</t>
        </is>
      </c>
      <c r="G4200" t="inlineStr">
        <is>
          <t>04</t>
        </is>
      </c>
      <c r="H4200" t="inlineStr">
        <is>
          <t>12 KG</t>
        </is>
      </c>
      <c r="I4200" t="n">
        <v>2030</v>
      </c>
      <c r="J4200" t="n">
        <v>2012</v>
      </c>
      <c r="K4200" t="inlineStr">
        <is>
          <t>ENERO 2026</t>
        </is>
      </c>
      <c r="L4200" t="inlineStr">
        <is>
          <t>ENERO 2027</t>
        </is>
      </c>
      <c r="M4200" t="inlineStr">
        <is>
          <t xml:space="preserve">PQS TIPO ABC AL 75% </t>
        </is>
      </c>
      <c r="N4200" t="inlineStr">
        <is>
          <t>41/000964</t>
        </is>
      </c>
      <c r="O4200" t="inlineStr">
        <is>
          <t>R</t>
        </is>
      </c>
      <c r="P4200">
        <f>TRIM(N4200)</f>
        <v/>
      </c>
    </row>
    <row r="4201">
      <c r="A4201" t="inlineStr">
        <is>
          <t>CO-002598</t>
        </is>
      </c>
      <c r="B4201" t="inlineStr">
        <is>
          <t>GACSA PERU S.A.C.</t>
        </is>
      </c>
      <c r="C4201" t="n">
        <v>20602629068</v>
      </c>
      <c r="D4201" t="inlineStr">
        <is>
          <t>Vía Expresa Luis Fernan Bedoya Reyes N° 2323 (DERCO LA VICTORIA)</t>
        </is>
      </c>
      <c r="E4201" t="inlineStr">
        <is>
          <t>Lima, 07 de enero del 2026</t>
        </is>
      </c>
      <c r="F4201" t="inlineStr">
        <is>
          <t>la Recarga y mantenimiento</t>
        </is>
      </c>
      <c r="G4201" t="inlineStr">
        <is>
          <t>05</t>
        </is>
      </c>
      <c r="H4201" t="inlineStr">
        <is>
          <t>06 KG</t>
        </is>
      </c>
      <c r="I4201" t="n">
        <v>2029</v>
      </c>
      <c r="J4201" t="n">
        <v>2019</v>
      </c>
      <c r="K4201" t="inlineStr">
        <is>
          <t>ENERO 2026</t>
        </is>
      </c>
      <c r="L4201" t="inlineStr">
        <is>
          <t>ENERO 2027</t>
        </is>
      </c>
      <c r="M4201" t="inlineStr">
        <is>
          <t xml:space="preserve">PQS TIPO ABC AL 75% </t>
        </is>
      </c>
      <c r="N4201" t="inlineStr">
        <is>
          <t>42/003744</t>
        </is>
      </c>
      <c r="O4201" t="inlineStr">
        <is>
          <t>R</t>
        </is>
      </c>
      <c r="P4201">
        <f>TRIM(N4201)</f>
        <v/>
      </c>
    </row>
    <row r="4202">
      <c r="A4202" t="inlineStr">
        <is>
          <t>CO-002598</t>
        </is>
      </c>
      <c r="B4202" t="inlineStr">
        <is>
          <t>GACSA PERU S.A.C.</t>
        </is>
      </c>
      <c r="C4202" t="n">
        <v>20602629068</v>
      </c>
      <c r="D4202" t="inlineStr">
        <is>
          <t>Vía Expresa Luis Fernan Bedoya Reyes N° 2323 (DERCO LA VICTORIA)</t>
        </is>
      </c>
      <c r="E4202" t="inlineStr">
        <is>
          <t>Lima, 07 de enero del 2026</t>
        </is>
      </c>
      <c r="F4202" t="inlineStr">
        <is>
          <t>la Recarga y mantenimiento</t>
        </is>
      </c>
      <c r="G4202" t="inlineStr">
        <is>
          <t>06</t>
        </is>
      </c>
      <c r="H4202" t="inlineStr">
        <is>
          <t>06 KG</t>
        </is>
      </c>
      <c r="I4202" t="n">
        <v>2029</v>
      </c>
      <c r="J4202" t="n">
        <v>2019</v>
      </c>
      <c r="K4202" t="inlineStr">
        <is>
          <t>ENERO 2026</t>
        </is>
      </c>
      <c r="L4202" t="inlineStr">
        <is>
          <t>ENERO 2027</t>
        </is>
      </c>
      <c r="M4202" t="inlineStr">
        <is>
          <t xml:space="preserve">PQS TIPO ABC AL 75% </t>
        </is>
      </c>
      <c r="N4202" t="inlineStr">
        <is>
          <t>43/004141</t>
        </is>
      </c>
      <c r="O4202" t="inlineStr">
        <is>
          <t>R</t>
        </is>
      </c>
      <c r="P4202">
        <f>TRIM(N4202)</f>
        <v/>
      </c>
    </row>
    <row r="4203">
      <c r="A4203" t="inlineStr">
        <is>
          <t>CO-002598</t>
        </is>
      </c>
      <c r="B4203" t="inlineStr">
        <is>
          <t>GACSA PERU S.A.C.</t>
        </is>
      </c>
      <c r="C4203" t="n">
        <v>20602629068</v>
      </c>
      <c r="D4203" t="inlineStr">
        <is>
          <t>Vía Expresa Luis Fernan Bedoya Reyes N° 2323 (DERCO LA VICTORIA)</t>
        </is>
      </c>
      <c r="E4203" t="inlineStr">
        <is>
          <t>Lima, 07 de enero del 2026</t>
        </is>
      </c>
      <c r="F4203" t="inlineStr">
        <is>
          <t>la Recarga y mantenimiento</t>
        </is>
      </c>
      <c r="G4203" t="inlineStr">
        <is>
          <t>07</t>
        </is>
      </c>
      <c r="H4203" t="inlineStr">
        <is>
          <t>06 KG</t>
        </is>
      </c>
      <c r="I4203" t="n">
        <v>2029</v>
      </c>
      <c r="J4203" t="n">
        <v>2019</v>
      </c>
      <c r="K4203" t="inlineStr">
        <is>
          <t>ENERO 2026</t>
        </is>
      </c>
      <c r="L4203" t="inlineStr">
        <is>
          <t>ENERO 2027</t>
        </is>
      </c>
      <c r="M4203" t="inlineStr">
        <is>
          <t xml:space="preserve">PQS TIPO ABC AL 75% </t>
        </is>
      </c>
      <c r="N4203" t="inlineStr">
        <is>
          <t>45/003824</t>
        </is>
      </c>
      <c r="O4203" t="inlineStr">
        <is>
          <t>R</t>
        </is>
      </c>
      <c r="P4203">
        <f>TRIM(N4203)</f>
        <v/>
      </c>
    </row>
    <row r="4204">
      <c r="A4204" t="inlineStr">
        <is>
          <t>CO-002598</t>
        </is>
      </c>
      <c r="B4204" t="inlineStr">
        <is>
          <t>GACSA PERU S.A.C.</t>
        </is>
      </c>
      <c r="C4204" t="n">
        <v>20602629068</v>
      </c>
      <c r="D4204" t="inlineStr">
        <is>
          <t>Vía Expresa Luis Fernan Bedoya Reyes N° 2323 (DERCO LA VICTORIA)</t>
        </is>
      </c>
      <c r="E4204" t="inlineStr">
        <is>
          <t>Lima, 07 de enero del 2026</t>
        </is>
      </c>
      <c r="F4204" t="inlineStr">
        <is>
          <t>la Recarga y mantenimiento</t>
        </is>
      </c>
      <c r="G4204" t="inlineStr">
        <is>
          <t>08</t>
        </is>
      </c>
      <c r="H4204" t="inlineStr">
        <is>
          <t>06 KG</t>
        </is>
      </c>
      <c r="I4204" t="n">
        <v>2029</v>
      </c>
      <c r="J4204" t="n">
        <v>2019</v>
      </c>
      <c r="K4204" t="inlineStr">
        <is>
          <t>ENERO 2026</t>
        </is>
      </c>
      <c r="L4204" t="inlineStr">
        <is>
          <t>ENERO 2027</t>
        </is>
      </c>
      <c r="M4204" t="inlineStr">
        <is>
          <t xml:space="preserve">PQS TIPO ABC AL 75% </t>
        </is>
      </c>
      <c r="N4204" t="inlineStr">
        <is>
          <t>46/001079</t>
        </is>
      </c>
      <c r="O4204" t="inlineStr">
        <is>
          <t>R</t>
        </is>
      </c>
      <c r="P4204">
        <f>TRIM(N4204)</f>
        <v/>
      </c>
    </row>
    <row r="4205">
      <c r="A4205" t="inlineStr">
        <is>
          <t>CO-002598</t>
        </is>
      </c>
      <c r="B4205" t="inlineStr">
        <is>
          <t>GACSA PERU S.A.C.</t>
        </is>
      </c>
      <c r="C4205" t="n">
        <v>20602629068</v>
      </c>
      <c r="D4205" t="inlineStr">
        <is>
          <t>Vía Expresa Luis Fernan Bedoya Reyes N° 2323 (DERCO LA VICTORIA)</t>
        </is>
      </c>
      <c r="E4205" t="inlineStr">
        <is>
          <t>Lima, 07 de enero del 2026</t>
        </is>
      </c>
      <c r="F4205" t="inlineStr">
        <is>
          <t>la Recarga y mantenimiento</t>
        </is>
      </c>
      <c r="G4205" t="inlineStr">
        <is>
          <t>09</t>
        </is>
      </c>
      <c r="H4205" t="inlineStr">
        <is>
          <t>06 KG</t>
        </is>
      </c>
      <c r="I4205" t="n">
        <v>2029</v>
      </c>
      <c r="J4205" t="n">
        <v>2019</v>
      </c>
      <c r="K4205" t="inlineStr">
        <is>
          <t>ENERO 2026</t>
        </is>
      </c>
      <c r="L4205" t="inlineStr">
        <is>
          <t>ENERO 2027</t>
        </is>
      </c>
      <c r="M4205" t="inlineStr">
        <is>
          <t xml:space="preserve">PQS TIPO ABC AL 75% </t>
        </is>
      </c>
      <c r="N4205" t="inlineStr">
        <is>
          <t>47/000703</t>
        </is>
      </c>
      <c r="O4205" t="inlineStr">
        <is>
          <t>R</t>
        </is>
      </c>
      <c r="P4205">
        <f>TRIM(N4205)</f>
        <v/>
      </c>
    </row>
    <row r="4206">
      <c r="A4206" t="inlineStr">
        <is>
          <t>CO-002598</t>
        </is>
      </c>
      <c r="B4206" t="inlineStr">
        <is>
          <t>GACSA PERU S.A.C.</t>
        </is>
      </c>
      <c r="C4206" t="n">
        <v>20602629068</v>
      </c>
      <c r="D4206" t="inlineStr">
        <is>
          <t>Vía Expresa Luis Fernan Bedoya Reyes N° 2323 (DERCO LA VICTORIA)</t>
        </is>
      </c>
      <c r="E4206" t="inlineStr">
        <is>
          <t>Lima, 07 de enero del 2026</t>
        </is>
      </c>
      <c r="F4206" t="inlineStr">
        <is>
          <t>la Recarga y mantenimiento</t>
        </is>
      </c>
      <c r="G4206" t="n">
        <v>10</v>
      </c>
      <c r="H4206" t="inlineStr">
        <is>
          <t xml:space="preserve">06 KG </t>
        </is>
      </c>
      <c r="I4206" t="n">
        <v>2029</v>
      </c>
      <c r="J4206" t="n">
        <v>2019</v>
      </c>
      <c r="K4206" t="inlineStr">
        <is>
          <t>ENERO 2026</t>
        </is>
      </c>
      <c r="L4206" t="inlineStr">
        <is>
          <t>ENERO 2027</t>
        </is>
      </c>
      <c r="M4206" t="inlineStr">
        <is>
          <t xml:space="preserve">PQS TIPO ABC AL 75% </t>
        </is>
      </c>
      <c r="N4206" t="inlineStr">
        <is>
          <t>48/001437</t>
        </is>
      </c>
      <c r="O4206" t="inlineStr">
        <is>
          <t>R</t>
        </is>
      </c>
      <c r="P4206">
        <f>TRIM(N4206)</f>
        <v/>
      </c>
    </row>
    <row r="4207">
      <c r="A4207" t="inlineStr">
        <is>
          <t>CO-002598</t>
        </is>
      </c>
      <c r="B4207" t="inlineStr">
        <is>
          <t>GACSA PERU S.A.C.</t>
        </is>
      </c>
      <c r="C4207" t="n">
        <v>20602629068</v>
      </c>
      <c r="D4207" t="inlineStr">
        <is>
          <t>Vía Expresa Luis Fernan Bedoya Reyes N° 2323 (DERCO LA VICTORIA)</t>
        </is>
      </c>
      <c r="E4207" t="inlineStr">
        <is>
          <t>Lima, 07 de enero del 2026</t>
        </is>
      </c>
      <c r="F4207" t="inlineStr">
        <is>
          <t>la Recarga y mantenimiento</t>
        </is>
      </c>
      <c r="G4207" t="n">
        <v>11</v>
      </c>
      <c r="H4207" t="inlineStr">
        <is>
          <t>06 KG</t>
        </is>
      </c>
      <c r="I4207" t="n">
        <v>2029</v>
      </c>
      <c r="J4207" t="n">
        <v>2019</v>
      </c>
      <c r="K4207" t="inlineStr">
        <is>
          <t>ENERO 2026</t>
        </is>
      </c>
      <c r="L4207" t="inlineStr">
        <is>
          <t>ENERO 2027</t>
        </is>
      </c>
      <c r="M4207" t="inlineStr">
        <is>
          <t xml:space="preserve">PQS TIPO ABC AL 75% </t>
        </is>
      </c>
      <c r="N4207" t="inlineStr">
        <is>
          <t>49/001205</t>
        </is>
      </c>
      <c r="O4207" t="inlineStr">
        <is>
          <t>R</t>
        </is>
      </c>
      <c r="P4207">
        <f>TRIM(N4207)</f>
        <v/>
      </c>
    </row>
    <row r="4208">
      <c r="A4208" t="inlineStr">
        <is>
          <t>CO-002598</t>
        </is>
      </c>
      <c r="B4208" t="inlineStr">
        <is>
          <t>GACSA PERU S.A.C.</t>
        </is>
      </c>
      <c r="C4208" t="n">
        <v>20602629068</v>
      </c>
      <c r="D4208" t="inlineStr">
        <is>
          <t>Vía Expresa Luis Fernan Bedoya Reyes N° 2323 (DERCO LA VICTORIA)</t>
        </is>
      </c>
      <c r="E4208" t="inlineStr">
        <is>
          <t>Lima, 07 de enero del 2026</t>
        </is>
      </c>
      <c r="F4208" t="inlineStr">
        <is>
          <t>la Recarga y mantenimiento</t>
        </is>
      </c>
      <c r="G4208" t="n">
        <v>12</v>
      </c>
      <c r="H4208" t="inlineStr">
        <is>
          <t>06 KG</t>
        </is>
      </c>
      <c r="I4208" t="n">
        <v>2031</v>
      </c>
      <c r="J4208" t="n">
        <v>2019</v>
      </c>
      <c r="K4208" t="inlineStr">
        <is>
          <t>ENERO 2026</t>
        </is>
      </c>
      <c r="L4208" t="inlineStr">
        <is>
          <t>ENERO 2027</t>
        </is>
      </c>
      <c r="M4208" t="inlineStr">
        <is>
          <t xml:space="preserve">PQS TIPO ABC AL 75% </t>
        </is>
      </c>
      <c r="N4208" t="inlineStr">
        <is>
          <t>52/000123</t>
        </is>
      </c>
      <c r="O4208" t="inlineStr">
        <is>
          <t>R</t>
        </is>
      </c>
      <c r="P4208">
        <f>TRIM(N4208)</f>
        <v/>
      </c>
    </row>
    <row r="4209">
      <c r="A4209" t="inlineStr">
        <is>
          <t>CO-002598</t>
        </is>
      </c>
      <c r="B4209" t="inlineStr">
        <is>
          <t>GACSA PERU S.A.C.</t>
        </is>
      </c>
      <c r="C4209" t="n">
        <v>20602629068</v>
      </c>
      <c r="D4209" t="inlineStr">
        <is>
          <t>Vía Expresa Luis Fernan Bedoya Reyes N° 2323 (DERCO LA VICTORIA)</t>
        </is>
      </c>
      <c r="E4209" t="inlineStr">
        <is>
          <t>Lima, 07 de enero del 2026</t>
        </is>
      </c>
      <c r="F4209" t="inlineStr">
        <is>
          <t>la Recarga y mantenimiento</t>
        </is>
      </c>
      <c r="G4209" t="n">
        <v>13</v>
      </c>
      <c r="H4209" t="inlineStr">
        <is>
          <t>06 KG</t>
        </is>
      </c>
      <c r="I4209" t="n">
        <v>2029</v>
      </c>
      <c r="J4209" t="n">
        <v>2019</v>
      </c>
      <c r="K4209" t="inlineStr">
        <is>
          <t>ENERO 2026</t>
        </is>
      </c>
      <c r="L4209" t="inlineStr">
        <is>
          <t>ENERO 2027</t>
        </is>
      </c>
      <c r="M4209" t="inlineStr">
        <is>
          <t xml:space="preserve">PQS TIPO ABC AL 75% </t>
        </is>
      </c>
      <c r="N4209" t="inlineStr">
        <is>
          <t>53/003434</t>
        </is>
      </c>
      <c r="O4209" t="inlineStr">
        <is>
          <t>R</t>
        </is>
      </c>
      <c r="P4209">
        <f>TRIM(N4209)</f>
        <v/>
      </c>
    </row>
    <row r="4210">
      <c r="A4210" t="inlineStr">
        <is>
          <t>CO-002598</t>
        </is>
      </c>
      <c r="B4210" t="inlineStr">
        <is>
          <t>GACSA PERU S.A.C.</t>
        </is>
      </c>
      <c r="C4210" t="n">
        <v>20602629068</v>
      </c>
      <c r="D4210" t="inlineStr">
        <is>
          <t>Vía Expresa Luis Fernan Bedoya Reyes N° 2323 (DERCO LA VICTORIA)</t>
        </is>
      </c>
      <c r="E4210" t="inlineStr">
        <is>
          <t>Lima, 07 de enero del 2026</t>
        </is>
      </c>
      <c r="F4210" t="inlineStr">
        <is>
          <t>la Recarga y mantenimiento</t>
        </is>
      </c>
      <c r="G4210" t="n">
        <v>14</v>
      </c>
      <c r="H4210" t="inlineStr">
        <is>
          <t>06 KG</t>
        </is>
      </c>
      <c r="I4210" t="n">
        <v>2029</v>
      </c>
      <c r="J4210" t="n">
        <v>2019</v>
      </c>
      <c r="K4210" t="inlineStr">
        <is>
          <t>ENERO 2026</t>
        </is>
      </c>
      <c r="L4210" t="inlineStr">
        <is>
          <t>ENERO 2027</t>
        </is>
      </c>
      <c r="M4210" t="inlineStr">
        <is>
          <t xml:space="preserve">PQS TIPO ABC AL 75% </t>
        </is>
      </c>
      <c r="N4210" t="inlineStr">
        <is>
          <t>54/000850</t>
        </is>
      </c>
      <c r="O4210" t="inlineStr">
        <is>
          <t>R</t>
        </is>
      </c>
      <c r="P4210">
        <f>TRIM(N4210)</f>
        <v/>
      </c>
    </row>
    <row r="4211">
      <c r="A4211" t="inlineStr">
        <is>
          <t>CO-002598</t>
        </is>
      </c>
      <c r="B4211" t="inlineStr">
        <is>
          <t>GACSA PERU S.A.C.</t>
        </is>
      </c>
      <c r="C4211" t="n">
        <v>20602629068</v>
      </c>
      <c r="D4211" t="inlineStr">
        <is>
          <t>Vía Expresa Luis Fernan Bedoya Reyes N° 2323 (DERCO LA VICTORIA)</t>
        </is>
      </c>
      <c r="E4211" t="inlineStr">
        <is>
          <t>Lima, 07 de enero del 2026</t>
        </is>
      </c>
      <c r="F4211" t="inlineStr">
        <is>
          <t>la Recarga y mantenimiento</t>
        </is>
      </c>
      <c r="G4211" t="n">
        <v>15</v>
      </c>
      <c r="H4211" t="inlineStr">
        <is>
          <t>10 LBS</t>
        </is>
      </c>
      <c r="I4211" t="n">
        <v>2029</v>
      </c>
      <c r="J4211" t="n">
        <v>2024</v>
      </c>
      <c r="K4211" t="inlineStr">
        <is>
          <t>ENERO 2026</t>
        </is>
      </c>
      <c r="L4211" t="inlineStr">
        <is>
          <t>ENERO 2027</t>
        </is>
      </c>
      <c r="M4211" t="inlineStr">
        <is>
          <t>CO2 TIPO BC</t>
        </is>
      </c>
      <c r="N4211" t="inlineStr">
        <is>
          <t>55/009932</t>
        </is>
      </c>
      <c r="O4211" t="inlineStr">
        <is>
          <t>R</t>
        </is>
      </c>
      <c r="P4211">
        <f>TRIM(N4211)</f>
        <v/>
      </c>
    </row>
    <row r="4212">
      <c r="A4212" t="inlineStr">
        <is>
          <t>CO-002599</t>
        </is>
      </c>
      <c r="B4212" t="inlineStr">
        <is>
          <t>GACSA PERU S.A.C.</t>
        </is>
      </c>
      <c r="C4212" t="n">
        <v>20602629068</v>
      </c>
      <c r="D4212" t="inlineStr">
        <is>
          <t>Vía Expresa Luis Fernan Bedoya Reyes N° 2323 (DERCO LA VICTORIA)</t>
        </is>
      </c>
      <c r="E4212" t="inlineStr">
        <is>
          <t>Lima, 07 de enero del 2026</t>
        </is>
      </c>
      <c r="F4212" t="inlineStr">
        <is>
          <t>la Recarga y mantenimiento</t>
        </is>
      </c>
      <c r="G4212" t="inlineStr">
        <is>
          <t>01</t>
        </is>
      </c>
      <c r="H4212" t="inlineStr">
        <is>
          <t>10 LBS</t>
        </is>
      </c>
      <c r="I4212" t="inlineStr">
        <is>
          <t>2029</t>
        </is>
      </c>
      <c r="J4212" t="n">
        <v>2024</v>
      </c>
      <c r="K4212" t="inlineStr">
        <is>
          <t>ENERO 2026</t>
        </is>
      </c>
      <c r="L4212" t="inlineStr">
        <is>
          <t>ENERO 2027</t>
        </is>
      </c>
      <c r="M4212" t="inlineStr">
        <is>
          <t>CO2 TIPO BC</t>
        </is>
      </c>
      <c r="N4212" t="inlineStr">
        <is>
          <t>56/000375</t>
        </is>
      </c>
      <c r="O4212" t="inlineStr">
        <is>
          <t>R</t>
        </is>
      </c>
      <c r="P4212">
        <f>TRIM(N4212)</f>
        <v/>
      </c>
    </row>
    <row r="4213">
      <c r="A4213" t="inlineStr">
        <is>
          <t>CO-002599</t>
        </is>
      </c>
      <c r="B4213" t="inlineStr">
        <is>
          <t>GACSA PERU S.A.C.</t>
        </is>
      </c>
      <c r="C4213" t="n">
        <v>20602629068</v>
      </c>
      <c r="D4213" t="inlineStr">
        <is>
          <t>Vía Expresa Luis Fernan Bedoya Reyes N° 2323 (DERCO LA VICTORIA)</t>
        </is>
      </c>
      <c r="E4213" t="inlineStr">
        <is>
          <t>Lima, 07 de enero del 2026</t>
        </is>
      </c>
      <c r="F4213" t="inlineStr">
        <is>
          <t>la Recarga y mantenimiento</t>
        </is>
      </c>
      <c r="G4213" t="inlineStr">
        <is>
          <t>02</t>
        </is>
      </c>
      <c r="H4213" t="inlineStr">
        <is>
          <t>10 LBS</t>
        </is>
      </c>
      <c r="I4213" t="inlineStr">
        <is>
          <t>2031</t>
        </is>
      </c>
      <c r="J4213" t="n">
        <v>2021</v>
      </c>
      <c r="K4213" t="inlineStr">
        <is>
          <t>ENERO 2026</t>
        </is>
      </c>
      <c r="L4213" t="inlineStr">
        <is>
          <t>ENERO 2027</t>
        </is>
      </c>
      <c r="M4213" t="inlineStr">
        <is>
          <t>CO2 TIPOBC</t>
        </is>
      </c>
      <c r="N4213" t="inlineStr">
        <is>
          <t>57/000379</t>
        </is>
      </c>
      <c r="O4213" t="inlineStr">
        <is>
          <t>R</t>
        </is>
      </c>
      <c r="P4213">
        <f>TRIM(N4213)</f>
        <v/>
      </c>
    </row>
    <row r="4214">
      <c r="A4214" t="inlineStr">
        <is>
          <t>CO-002599</t>
        </is>
      </c>
      <c r="B4214" t="inlineStr">
        <is>
          <t>GACSA PERU S.A.C.</t>
        </is>
      </c>
      <c r="C4214" t="n">
        <v>20602629068</v>
      </c>
      <c r="D4214" t="inlineStr">
        <is>
          <t>Vía Expresa Luis Fernan Bedoya Reyes N° 2323 (DERCO LA VICTORIA)</t>
        </is>
      </c>
      <c r="E4214" t="inlineStr">
        <is>
          <t>Lima, 07 de enero del 2026</t>
        </is>
      </c>
      <c r="F4214" t="inlineStr">
        <is>
          <t>la Recarga y mantenimiento</t>
        </is>
      </c>
      <c r="G4214" t="inlineStr">
        <is>
          <t>03</t>
        </is>
      </c>
      <c r="H4214" t="inlineStr">
        <is>
          <t>06 KG</t>
        </is>
      </c>
      <c r="I4214" t="n">
        <v>2029</v>
      </c>
      <c r="J4214" t="n">
        <v>2019</v>
      </c>
      <c r="K4214" t="inlineStr">
        <is>
          <t>ENERO 2026</t>
        </is>
      </c>
      <c r="L4214" t="inlineStr">
        <is>
          <t>ENERO 2027</t>
        </is>
      </c>
      <c r="M4214" t="inlineStr">
        <is>
          <t xml:space="preserve">PQS TIPO ABC AL 75% </t>
        </is>
      </c>
      <c r="N4214" t="inlineStr">
        <is>
          <t>58/000079</t>
        </is>
      </c>
      <c r="O4214" t="inlineStr">
        <is>
          <t>R</t>
        </is>
      </c>
      <c r="P4214">
        <f>TRIM(N4214)</f>
        <v/>
      </c>
    </row>
    <row r="4215">
      <c r="A4215" t="inlineStr">
        <is>
          <t>CO-002599</t>
        </is>
      </c>
      <c r="B4215" t="inlineStr">
        <is>
          <t>GACSA PERU S.A.C.</t>
        </is>
      </c>
      <c r="C4215" t="n">
        <v>20602629068</v>
      </c>
      <c r="D4215" t="inlineStr">
        <is>
          <t>Vía Expresa Luis Fernan Bedoya Reyes N° 2323 (DERCO LA VICTORIA)</t>
        </is>
      </c>
      <c r="E4215" t="inlineStr">
        <is>
          <t>Lima, 07 de enero del 2026</t>
        </is>
      </c>
      <c r="F4215" t="inlineStr">
        <is>
          <t>la Recarga y mantenimiento</t>
        </is>
      </c>
      <c r="G4215" t="inlineStr">
        <is>
          <t>04</t>
        </is>
      </c>
      <c r="H4215" t="inlineStr">
        <is>
          <t>06 KG</t>
        </is>
      </c>
      <c r="I4215" t="n">
        <v>2029</v>
      </c>
      <c r="J4215" t="n">
        <v>2019</v>
      </c>
      <c r="K4215" t="inlineStr">
        <is>
          <t>ENERO 2026</t>
        </is>
      </c>
      <c r="L4215" t="inlineStr">
        <is>
          <t>ENERO 2027</t>
        </is>
      </c>
      <c r="M4215" t="inlineStr">
        <is>
          <t xml:space="preserve">PQS TIPO ABC AL 75% </t>
        </is>
      </c>
      <c r="N4215" t="inlineStr">
        <is>
          <t>59/000509</t>
        </is>
      </c>
      <c r="O4215" t="inlineStr">
        <is>
          <t>R</t>
        </is>
      </c>
      <c r="P4215">
        <f>TRIM(N4215)</f>
        <v/>
      </c>
    </row>
    <row r="4216">
      <c r="A4216" t="inlineStr">
        <is>
          <t>CO-002600</t>
        </is>
      </c>
      <c r="B4216" t="inlineStr">
        <is>
          <t>GACSA PERU S.A.C.</t>
        </is>
      </c>
      <c r="C4216" t="n">
        <v>20602629068</v>
      </c>
      <c r="D4216" t="inlineStr">
        <is>
          <t>Vía Expresa Luis Fernan Bedoya Reyes N° 2323 (DERCO LA VICTORIA)</t>
        </is>
      </c>
      <c r="E4216" t="inlineStr">
        <is>
          <t>Lima, 07 de enero del 2026</t>
        </is>
      </c>
      <c r="F4216" t="inlineStr">
        <is>
          <t>Venta</t>
        </is>
      </c>
      <c r="G4216" t="inlineStr">
        <is>
          <t>01</t>
        </is>
      </c>
      <c r="H4216" t="inlineStr">
        <is>
          <t>10 LBS</t>
        </is>
      </c>
      <c r="I4216" t="inlineStr">
        <is>
          <t>2030</t>
        </is>
      </c>
      <c r="J4216" t="n">
        <v>2025</v>
      </c>
      <c r="K4216" t="inlineStr">
        <is>
          <t>ENERO 2026</t>
        </is>
      </c>
      <c r="L4216" t="inlineStr">
        <is>
          <t>ENERO 2027</t>
        </is>
      </c>
      <c r="M4216" t="inlineStr">
        <is>
          <t>CO2 TIPO BC</t>
        </is>
      </c>
      <c r="N4216" t="inlineStr">
        <is>
          <t>04/000015</t>
        </is>
      </c>
      <c r="O4216" t="inlineStr">
        <is>
          <t>V</t>
        </is>
      </c>
      <c r="P4216">
        <f>TRIM(N4216)</f>
        <v/>
      </c>
    </row>
    <row r="4217">
      <c r="A4217" t="inlineStr">
        <is>
          <t>CO-002601</t>
        </is>
      </c>
      <c r="B4217" t="inlineStr">
        <is>
          <t xml:space="preserve">LUIS SANCHEZ TESEN </t>
        </is>
      </c>
      <c r="C4217" t="inlineStr">
        <is>
          <t>43479669</t>
        </is>
      </c>
      <c r="D4217" t="inlineStr">
        <is>
          <t>AV. TRAPICHE MZ I LT 10 URB. SANTO DOMINGO 2DA ETAPA</t>
        </is>
      </c>
      <c r="E4217" t="inlineStr">
        <is>
          <t>Lima, 12 de Enero de 2026</t>
        </is>
      </c>
      <c r="F4217" t="inlineStr">
        <is>
          <t>la Recarga y mantenimiento</t>
        </is>
      </c>
      <c r="G4217" t="inlineStr">
        <is>
          <t>01</t>
        </is>
      </c>
      <c r="H4217" t="inlineStr">
        <is>
          <t>06 KG</t>
        </is>
      </c>
      <c r="I4217" t="inlineStr">
        <is>
          <t>2028</t>
        </is>
      </c>
      <c r="J4217" t="n">
        <v>2013</v>
      </c>
      <c r="K4217" t="inlineStr">
        <is>
          <t>ENERO 2026</t>
        </is>
      </c>
      <c r="L4217" t="inlineStr">
        <is>
          <t>ENERO 2027</t>
        </is>
      </c>
      <c r="M4217" t="inlineStr">
        <is>
          <t xml:space="preserve">P.Q.S.  TIPO ABC </t>
        </is>
      </c>
      <c r="N4217" t="inlineStr">
        <is>
          <t>01/001164</t>
        </is>
      </c>
      <c r="O4217" t="inlineStr">
        <is>
          <t>R</t>
        </is>
      </c>
      <c r="P4217">
        <f>TRIM(N4217)</f>
        <v/>
      </c>
    </row>
    <row r="4218">
      <c r="A4218" t="inlineStr">
        <is>
          <t>CO-002602</t>
        </is>
      </c>
      <c r="B4218" t="inlineStr">
        <is>
          <t xml:space="preserve">LUIS SANCHEZ TESEN </t>
        </is>
      </c>
      <c r="C4218" t="inlineStr">
        <is>
          <t>43479669</t>
        </is>
      </c>
      <c r="D4218" t="inlineStr">
        <is>
          <t>PLACA: BDL - 652</t>
        </is>
      </c>
      <c r="E4218" t="inlineStr">
        <is>
          <t>Lima, 12 de Enero de 2026</t>
        </is>
      </c>
      <c r="F4218" t="inlineStr">
        <is>
          <t>la Recarga y mantenimiento</t>
        </is>
      </c>
      <c r="G4218" t="inlineStr">
        <is>
          <t>01</t>
        </is>
      </c>
      <c r="H4218" t="inlineStr">
        <is>
          <t>02 KG</t>
        </is>
      </c>
      <c r="I4218" t="inlineStr">
        <is>
          <t>2028</t>
        </is>
      </c>
      <c r="J4218" t="n">
        <v>2018</v>
      </c>
      <c r="K4218" t="inlineStr">
        <is>
          <t>ENERO 2026</t>
        </is>
      </c>
      <c r="L4218" t="inlineStr">
        <is>
          <t>ENERO 2027</t>
        </is>
      </c>
      <c r="M4218" t="inlineStr">
        <is>
          <t xml:space="preserve">P.Q.S.  TIPO ABC </t>
        </is>
      </c>
      <c r="N4218" t="inlineStr">
        <is>
          <t>02/000608</t>
        </is>
      </c>
      <c r="O4218" t="inlineStr">
        <is>
          <t>R</t>
        </is>
      </c>
      <c r="P4218">
        <f>TRIM(N4218)</f>
        <v/>
      </c>
    </row>
    <row r="4219">
      <c r="A4219" t="inlineStr">
        <is>
          <t>CO-002603</t>
        </is>
      </c>
      <c r="B4219" t="inlineStr">
        <is>
          <t>GRIFO COMARSA - COMARSA &amp; CIA. S.R.L.</t>
        </is>
      </c>
      <c r="C4219" t="inlineStr">
        <is>
          <t>20471884741</t>
        </is>
      </c>
      <c r="D4219" t="inlineStr">
        <is>
          <t>AV. FELIPE MENDIZABAL 580 - TUNGASUCA - CARABAYLLO</t>
        </is>
      </c>
      <c r="E4219" t="inlineStr">
        <is>
          <t>Lima, 12 de Enero de 2026</t>
        </is>
      </c>
      <c r="F4219" t="inlineStr">
        <is>
          <t>la Recarga y mantenimiento</t>
        </is>
      </c>
      <c r="G4219" t="inlineStr">
        <is>
          <t>01</t>
        </is>
      </c>
      <c r="H4219" t="inlineStr">
        <is>
          <t>13.6 KG</t>
        </is>
      </c>
      <c r="I4219" t="inlineStr">
        <is>
          <t>2031</t>
        </is>
      </c>
      <c r="J4219" t="inlineStr">
        <is>
          <t>S/F</t>
        </is>
      </c>
      <c r="K4219" t="inlineStr">
        <is>
          <t>ENERO 2026</t>
        </is>
      </c>
      <c r="L4219" t="inlineStr">
        <is>
          <t>ENERO 2027</t>
        </is>
      </c>
      <c r="M4219" t="inlineStr">
        <is>
          <t>P.Q.S.  TIPO ABC AL 90% UL</t>
        </is>
      </c>
      <c r="N4219" t="inlineStr">
        <is>
          <t>01 / 000855</t>
        </is>
      </c>
      <c r="O4219" t="inlineStr">
        <is>
          <t>M2</t>
        </is>
      </c>
      <c r="P4219">
        <f>TRIM(N4219)</f>
        <v/>
      </c>
    </row>
    <row r="4220">
      <c r="A4220" t="inlineStr">
        <is>
          <t>CO-002604</t>
        </is>
      </c>
      <c r="B4220" t="inlineStr">
        <is>
          <t>GRIFO COMARSA - COMARSA &amp; CIA. S.R.L.</t>
        </is>
      </c>
      <c r="C4220" t="inlineStr">
        <is>
          <t>20471884741</t>
        </is>
      </c>
      <c r="D4220" t="inlineStr">
        <is>
          <t>AV. FELIPE MENDIZABAL 580 - TUNGASUCA - CARABAYLLO</t>
        </is>
      </c>
      <c r="E4220" t="inlineStr">
        <is>
          <t>Lima, 12 de Enero de 2026</t>
        </is>
      </c>
      <c r="F4220" t="inlineStr">
        <is>
          <t>la Recarga y mantenimiento</t>
        </is>
      </c>
      <c r="G4220" t="inlineStr">
        <is>
          <t>01</t>
        </is>
      </c>
      <c r="H4220" t="inlineStr">
        <is>
          <t>06KG</t>
        </is>
      </c>
      <c r="I4220" t="inlineStr">
        <is>
          <t>2031</t>
        </is>
      </c>
      <c r="J4220" t="n">
        <v>2020</v>
      </c>
      <c r="K4220" t="inlineStr">
        <is>
          <t>ENERO 2026</t>
        </is>
      </c>
      <c r="L4220" t="inlineStr">
        <is>
          <t>ENERO 2027</t>
        </is>
      </c>
      <c r="M4220" t="inlineStr">
        <is>
          <t>P.Q.S.  TIPO ABC AL 90% UL</t>
        </is>
      </c>
      <c r="N4220" t="inlineStr">
        <is>
          <t>02 / 143097</t>
        </is>
      </c>
      <c r="O4220" t="inlineStr">
        <is>
          <t>M4</t>
        </is>
      </c>
      <c r="P4220">
        <f>TRIM(N4220)</f>
        <v/>
      </c>
    </row>
    <row r="4221">
      <c r="A4221" t="inlineStr">
        <is>
          <t>CO-002605</t>
        </is>
      </c>
      <c r="B4221" t="inlineStr">
        <is>
          <t>PERU MASIVO - BUSES</t>
        </is>
      </c>
      <c r="C4221" t="inlineStr">
        <is>
          <t>20492392031</t>
        </is>
      </c>
      <c r="D4221" t="inlineStr">
        <is>
          <t>AV. LOS INCAS CDRA. 4 PATIO NORTE - COMAS</t>
        </is>
      </c>
      <c r="E4221" t="inlineStr">
        <is>
          <t>Lima, 12 de enero del 2026</t>
        </is>
      </c>
      <c r="F4221" t="inlineStr">
        <is>
          <t>la Recarga y mantenimiento</t>
        </is>
      </c>
      <c r="G4221" t="inlineStr">
        <is>
          <t>01</t>
        </is>
      </c>
      <c r="H4221" t="inlineStr">
        <is>
          <t>06 KG</t>
        </is>
      </c>
      <c r="I4221" t="inlineStr">
        <is>
          <t>2028</t>
        </is>
      </c>
      <c r="J4221" t="n">
        <v>2009</v>
      </c>
      <c r="K4221" t="inlineStr">
        <is>
          <t>ENERO 2026</t>
        </is>
      </c>
      <c r="L4221" t="inlineStr">
        <is>
          <t>ENERO 2027</t>
        </is>
      </c>
      <c r="M4221" t="inlineStr">
        <is>
          <t>P.Q.S TIPO ABC AL 90 % NACIONAL</t>
        </is>
      </c>
      <c r="N4221" t="inlineStr">
        <is>
          <t>292/001002</t>
        </is>
      </c>
      <c r="O4221" t="inlineStr">
        <is>
          <t>R</t>
        </is>
      </c>
      <c r="P4221">
        <f>TRIM(N4221)</f>
        <v/>
      </c>
    </row>
    <row r="4222">
      <c r="A4222" t="inlineStr">
        <is>
          <t>CO-002605</t>
        </is>
      </c>
      <c r="B4222" t="inlineStr">
        <is>
          <t>PERU MASIVO - BUSES</t>
        </is>
      </c>
      <c r="C4222" t="inlineStr">
        <is>
          <t>20492392031</t>
        </is>
      </c>
      <c r="D4222" t="inlineStr">
        <is>
          <t>AV. LOS INCAS CDRA. 4 PATIO NORTE - COMAS</t>
        </is>
      </c>
      <c r="E4222" t="inlineStr">
        <is>
          <t>Lima, 12 de enero del 2026</t>
        </is>
      </c>
      <c r="F4222" t="inlineStr">
        <is>
          <t>la Recarga y mantenimiento</t>
        </is>
      </c>
      <c r="G4222" t="inlineStr">
        <is>
          <t>02</t>
        </is>
      </c>
      <c r="H4222" t="inlineStr">
        <is>
          <t>06 KG</t>
        </is>
      </c>
      <c r="I4222" t="inlineStr">
        <is>
          <t>2028</t>
        </is>
      </c>
      <c r="J4222" t="n">
        <v>2009</v>
      </c>
      <c r="K4222" t="inlineStr">
        <is>
          <t>ENERO 2026</t>
        </is>
      </c>
      <c r="L4222" t="inlineStr">
        <is>
          <t>ENERO 2027</t>
        </is>
      </c>
      <c r="M4222" t="inlineStr">
        <is>
          <t>P.Q.S TIPO ABC AL 90 % NACIONAL</t>
        </is>
      </c>
      <c r="N4222" t="inlineStr">
        <is>
          <t>61/001492</t>
        </is>
      </c>
      <c r="O4222" t="inlineStr">
        <is>
          <t>R</t>
        </is>
      </c>
      <c r="P4222">
        <f>TRIM(N4222)</f>
        <v/>
      </c>
    </row>
    <row r="4223">
      <c r="A4223" t="inlineStr">
        <is>
          <t>CO-002605</t>
        </is>
      </c>
      <c r="B4223" t="inlineStr">
        <is>
          <t>PERU MASIVO - BUSES</t>
        </is>
      </c>
      <c r="C4223" t="inlineStr">
        <is>
          <t>20492392031</t>
        </is>
      </c>
      <c r="D4223" t="inlineStr">
        <is>
          <t>AV. LOS INCAS CDRA. 4 PATIO NORTE - COMAS</t>
        </is>
      </c>
      <c r="E4223" t="inlineStr">
        <is>
          <t>Lima, 12 de enero del 2026</t>
        </is>
      </c>
      <c r="F4223" t="inlineStr">
        <is>
          <t>la Recarga y mantenimiento</t>
        </is>
      </c>
      <c r="G4223" t="inlineStr">
        <is>
          <t>03</t>
        </is>
      </c>
      <c r="H4223" t="inlineStr">
        <is>
          <t>06 KG</t>
        </is>
      </c>
      <c r="I4223" t="inlineStr">
        <is>
          <t>2028</t>
        </is>
      </c>
      <c r="J4223" t="n">
        <v>2009</v>
      </c>
      <c r="K4223" t="inlineStr">
        <is>
          <t>ENERO 2026</t>
        </is>
      </c>
      <c r="L4223" t="inlineStr">
        <is>
          <t>ENERO 2027</t>
        </is>
      </c>
      <c r="M4223" t="inlineStr">
        <is>
          <t>P.Q.S TIPO ABC AL 90 % NACIONAL</t>
        </is>
      </c>
      <c r="N4223" t="inlineStr">
        <is>
          <t>304/001244</t>
        </is>
      </c>
      <c r="O4223" t="inlineStr">
        <is>
          <t>R</t>
        </is>
      </c>
      <c r="P4223">
        <f>TRIM(N4223)</f>
        <v/>
      </c>
    </row>
    <row r="4224">
      <c r="A4224" t="inlineStr">
        <is>
          <t>CO-002605</t>
        </is>
      </c>
      <c r="B4224" t="inlineStr">
        <is>
          <t>PERU MASIVO - BUSES</t>
        </is>
      </c>
      <c r="C4224" t="inlineStr">
        <is>
          <t>20492392031</t>
        </is>
      </c>
      <c r="D4224" t="inlineStr">
        <is>
          <t>AV. LOS INCAS CDRA. 4 PATIO NORTE - COMAS</t>
        </is>
      </c>
      <c r="E4224" t="inlineStr">
        <is>
          <t>Lima, 12 de enero del 2026</t>
        </is>
      </c>
      <c r="F4224" t="inlineStr">
        <is>
          <t>la Recarga y mantenimiento</t>
        </is>
      </c>
      <c r="G4224" t="inlineStr">
        <is>
          <t>04</t>
        </is>
      </c>
      <c r="H4224" t="inlineStr">
        <is>
          <t>06 KG</t>
        </is>
      </c>
      <c r="I4224" t="inlineStr">
        <is>
          <t>2029</t>
        </is>
      </c>
      <c r="J4224" t="n">
        <v>2010</v>
      </c>
      <c r="K4224" t="inlineStr">
        <is>
          <t>ENERO 2026</t>
        </is>
      </c>
      <c r="L4224" t="inlineStr">
        <is>
          <t>ENERO 2027</t>
        </is>
      </c>
      <c r="M4224" t="inlineStr">
        <is>
          <t>P.Q.S TIPO ABC AL 90 % NACIONAL</t>
        </is>
      </c>
      <c r="N4224" t="inlineStr">
        <is>
          <t>92/000649</t>
        </is>
      </c>
      <c r="O4224" t="inlineStr">
        <is>
          <t>R</t>
        </is>
      </c>
      <c r="P4224">
        <f>TRIM(N4224)</f>
        <v/>
      </c>
    </row>
    <row r="4225">
      <c r="A4225" t="inlineStr">
        <is>
          <t>CO-002605</t>
        </is>
      </c>
      <c r="B4225" t="inlineStr">
        <is>
          <t>PERU MASIVO - BUSES</t>
        </is>
      </c>
      <c r="C4225" t="inlineStr">
        <is>
          <t>20492392031</t>
        </is>
      </c>
      <c r="D4225" t="inlineStr">
        <is>
          <t>AV. LOS INCAS CDRA. 4 PATIO NORTE - COMAS</t>
        </is>
      </c>
      <c r="E4225" t="inlineStr">
        <is>
          <t>Lima, 12 de enero del 2026</t>
        </is>
      </c>
      <c r="F4225" t="inlineStr">
        <is>
          <t>la Recarga y mantenimiento</t>
        </is>
      </c>
      <c r="G4225" t="inlineStr">
        <is>
          <t>05</t>
        </is>
      </c>
      <c r="H4225" t="inlineStr">
        <is>
          <t>06 KG</t>
        </is>
      </c>
      <c r="I4225" t="inlineStr">
        <is>
          <t>2029</t>
        </is>
      </c>
      <c r="J4225" t="n">
        <v>2011</v>
      </c>
      <c r="K4225" t="inlineStr">
        <is>
          <t>ENERO 2026</t>
        </is>
      </c>
      <c r="L4225" t="inlineStr">
        <is>
          <t>ENERO 2027</t>
        </is>
      </c>
      <c r="M4225" t="inlineStr">
        <is>
          <t>P.Q.S TIPO ABC AL 90 % NACIONAL</t>
        </is>
      </c>
      <c r="N4225" t="inlineStr">
        <is>
          <t>29/011039</t>
        </is>
      </c>
      <c r="O4225" t="inlineStr">
        <is>
          <t>R</t>
        </is>
      </c>
      <c r="P4225">
        <f>TRIM(N4225)</f>
        <v/>
      </c>
    </row>
    <row r="4226">
      <c r="A4226" t="inlineStr">
        <is>
          <t>CO-002605</t>
        </is>
      </c>
      <c r="B4226" t="inlineStr">
        <is>
          <t>PERU MASIVO - BUSES</t>
        </is>
      </c>
      <c r="C4226" t="inlineStr">
        <is>
          <t>20492392031</t>
        </is>
      </c>
      <c r="D4226" t="inlineStr">
        <is>
          <t>AV. LOS INCAS CDRA. 4 PATIO NORTE - COMAS</t>
        </is>
      </c>
      <c r="E4226" t="inlineStr">
        <is>
          <t>Lima, 12 de enero del 2026</t>
        </is>
      </c>
      <c r="F4226" t="inlineStr">
        <is>
          <t>la Recarga y mantenimiento</t>
        </is>
      </c>
      <c r="G4226" t="inlineStr">
        <is>
          <t>06</t>
        </is>
      </c>
      <c r="H4226" t="inlineStr">
        <is>
          <t>06 KG</t>
        </is>
      </c>
      <c r="I4226" t="inlineStr">
        <is>
          <t>2028</t>
        </is>
      </c>
      <c r="J4226" t="n">
        <v>2017</v>
      </c>
      <c r="K4226" t="inlineStr">
        <is>
          <t>ENERO 2026</t>
        </is>
      </c>
      <c r="L4226" t="inlineStr">
        <is>
          <t>ENERO 2027</t>
        </is>
      </c>
      <c r="M4226" t="inlineStr">
        <is>
          <t>P.Q.S TIPO ABC AL 90 % NACIONAL</t>
        </is>
      </c>
      <c r="N4226" t="inlineStr">
        <is>
          <t>371/000202</t>
        </is>
      </c>
      <c r="O4226" t="inlineStr">
        <is>
          <t>R</t>
        </is>
      </c>
      <c r="P4226">
        <f>TRIM(N4226)</f>
        <v/>
      </c>
    </row>
    <row r="4227">
      <c r="A4227" t="inlineStr">
        <is>
          <t>CO-002605</t>
        </is>
      </c>
      <c r="B4227" t="inlineStr">
        <is>
          <t>PERU MASIVO - BUSES</t>
        </is>
      </c>
      <c r="C4227" t="inlineStr">
        <is>
          <t>20492392031</t>
        </is>
      </c>
      <c r="D4227" t="inlineStr">
        <is>
          <t>AV. LOS INCAS CDRA. 4 PATIO NORTE - COMAS</t>
        </is>
      </c>
      <c r="E4227" t="inlineStr">
        <is>
          <t>Lima, 12 de enero del 2026</t>
        </is>
      </c>
      <c r="F4227" t="inlineStr">
        <is>
          <t>la Recarga y mantenimiento</t>
        </is>
      </c>
      <c r="G4227" t="inlineStr">
        <is>
          <t>07</t>
        </is>
      </c>
      <c r="H4227" t="inlineStr">
        <is>
          <t>06 KG</t>
        </is>
      </c>
      <c r="I4227" t="inlineStr">
        <is>
          <t>2028</t>
        </is>
      </c>
      <c r="J4227" t="n">
        <v>2015</v>
      </c>
      <c r="K4227" t="inlineStr">
        <is>
          <t>ENERO 2026</t>
        </is>
      </c>
      <c r="L4227" t="inlineStr">
        <is>
          <t>ENERO 2027</t>
        </is>
      </c>
      <c r="M4227" t="inlineStr">
        <is>
          <t>P.Q.S TIPO ABC AL 90 % NACIONAL</t>
        </is>
      </c>
      <c r="N4227" t="inlineStr">
        <is>
          <t>372/000066</t>
        </is>
      </c>
      <c r="O4227" t="inlineStr">
        <is>
          <t>R</t>
        </is>
      </c>
      <c r="P4227">
        <f>TRIM(N4227)</f>
        <v/>
      </c>
    </row>
    <row r="4228">
      <c r="A4228" t="inlineStr">
        <is>
          <t>CO-002605</t>
        </is>
      </c>
      <c r="B4228" t="inlineStr">
        <is>
          <t>PERU MASIVO - BUSES</t>
        </is>
      </c>
      <c r="C4228" t="inlineStr">
        <is>
          <t>20492392031</t>
        </is>
      </c>
      <c r="D4228" t="inlineStr">
        <is>
          <t>AV. LOS INCAS CDRA. 4 PATIO NORTE - COMAS</t>
        </is>
      </c>
      <c r="E4228" t="inlineStr">
        <is>
          <t>Lima, 12 de enero del 2026</t>
        </is>
      </c>
      <c r="F4228" t="inlineStr">
        <is>
          <t>la Recarga y mantenimiento</t>
        </is>
      </c>
      <c r="G4228" t="inlineStr">
        <is>
          <t>08</t>
        </is>
      </c>
      <c r="H4228" t="inlineStr">
        <is>
          <t>06 KG</t>
        </is>
      </c>
      <c r="I4228" t="inlineStr">
        <is>
          <t>2029</t>
        </is>
      </c>
      <c r="J4228" t="n">
        <v>2010</v>
      </c>
      <c r="K4228" t="inlineStr">
        <is>
          <t>ENERO 2026</t>
        </is>
      </c>
      <c r="L4228" t="inlineStr">
        <is>
          <t>ENERO 2027</t>
        </is>
      </c>
      <c r="M4228" t="inlineStr">
        <is>
          <t>P.Q.S TIPO ABC AL 90 % NACIONAL</t>
        </is>
      </c>
      <c r="N4228" t="inlineStr">
        <is>
          <t>106/000688</t>
        </is>
      </c>
      <c r="O4228" t="inlineStr">
        <is>
          <t>R</t>
        </is>
      </c>
      <c r="P4228">
        <f>TRIM(N4228)</f>
        <v/>
      </c>
    </row>
    <row r="4229">
      <c r="A4229" t="inlineStr">
        <is>
          <t>CO-002605</t>
        </is>
      </c>
      <c r="B4229" t="inlineStr">
        <is>
          <t>PERU MASIVO - BUSES</t>
        </is>
      </c>
      <c r="C4229" t="inlineStr">
        <is>
          <t>20492392031</t>
        </is>
      </c>
      <c r="D4229" t="inlineStr">
        <is>
          <t>AV. LOS INCAS CDRA. 4 PATIO NORTE - COMAS</t>
        </is>
      </c>
      <c r="E4229" t="inlineStr">
        <is>
          <t>Lima, 12 de enero del 2026</t>
        </is>
      </c>
      <c r="F4229" t="inlineStr">
        <is>
          <t>la Recarga y mantenimiento</t>
        </is>
      </c>
      <c r="G4229" t="inlineStr">
        <is>
          <t>09</t>
        </is>
      </c>
      <c r="H4229" t="inlineStr">
        <is>
          <t>06 KG</t>
        </is>
      </c>
      <c r="I4229" t="inlineStr">
        <is>
          <t>2029</t>
        </is>
      </c>
      <c r="J4229" t="n">
        <v>2018</v>
      </c>
      <c r="K4229" t="inlineStr">
        <is>
          <t>ENERO 2026</t>
        </is>
      </c>
      <c r="L4229" t="inlineStr">
        <is>
          <t>ENERO 2027</t>
        </is>
      </c>
      <c r="M4229" t="inlineStr">
        <is>
          <t>P.Q.S TIPO ABC AL 90 % NACIONAL</t>
        </is>
      </c>
      <c r="N4229" t="inlineStr">
        <is>
          <t>33/005946</t>
        </is>
      </c>
      <c r="O4229" t="inlineStr">
        <is>
          <t>R</t>
        </is>
      </c>
      <c r="P4229">
        <f>TRIM(N4229)</f>
        <v/>
      </c>
    </row>
    <row r="4230">
      <c r="A4230" t="inlineStr">
        <is>
          <t>CO-002605</t>
        </is>
      </c>
      <c r="B4230" t="inlineStr">
        <is>
          <t>PERU MASIVO - BUSES</t>
        </is>
      </c>
      <c r="C4230" t="inlineStr">
        <is>
          <t>20492392031</t>
        </is>
      </c>
      <c r="D4230" t="inlineStr">
        <is>
          <t>AV. LOS INCAS CDRA. 4 PATIO NORTE - COMAS</t>
        </is>
      </c>
      <c r="E4230" t="inlineStr">
        <is>
          <t>Lima, 12 de enero del 2026</t>
        </is>
      </c>
      <c r="F4230" t="inlineStr">
        <is>
          <t>la Recarga y mantenimiento</t>
        </is>
      </c>
      <c r="G4230" t="inlineStr">
        <is>
          <t>10</t>
        </is>
      </c>
      <c r="H4230" t="inlineStr">
        <is>
          <t>06 KG</t>
        </is>
      </c>
      <c r="I4230" t="inlineStr">
        <is>
          <t>2029</t>
        </is>
      </c>
      <c r="J4230" t="n">
        <v>2009</v>
      </c>
      <c r="K4230" t="inlineStr">
        <is>
          <t>ENERO 2026</t>
        </is>
      </c>
      <c r="L4230" t="inlineStr">
        <is>
          <t>ENERO 2027</t>
        </is>
      </c>
      <c r="M4230" t="inlineStr">
        <is>
          <t>P.Q.S TIPO ABC AL 90 % NACIONAL</t>
        </is>
      </c>
      <c r="N4230" t="inlineStr">
        <is>
          <t>251/001843</t>
        </is>
      </c>
      <c r="O4230" t="inlineStr">
        <is>
          <t>R</t>
        </is>
      </c>
      <c r="P4230">
        <f>TRIM(N4230)</f>
        <v/>
      </c>
    </row>
    <row r="4231">
      <c r="A4231" t="inlineStr">
        <is>
          <t>CO-002605</t>
        </is>
      </c>
      <c r="B4231" t="inlineStr">
        <is>
          <t>PERU MASIVO - BUSES</t>
        </is>
      </c>
      <c r="C4231" t="inlineStr">
        <is>
          <t>20492392031</t>
        </is>
      </c>
      <c r="D4231" t="inlineStr">
        <is>
          <t>AV. LOS INCAS CDRA. 4 PATIO NORTE - COMAS</t>
        </is>
      </c>
      <c r="E4231" t="inlineStr">
        <is>
          <t>Lima, 12 de enero del 2026</t>
        </is>
      </c>
      <c r="F4231" t="inlineStr">
        <is>
          <t>la Recarga y mantenimiento</t>
        </is>
      </c>
      <c r="G4231" t="n">
        <v>11</v>
      </c>
      <c r="H4231" t="inlineStr">
        <is>
          <t>06 KG</t>
        </is>
      </c>
      <c r="I4231" t="n">
        <v>2029</v>
      </c>
      <c r="J4231" t="n">
        <v>2009</v>
      </c>
      <c r="K4231" t="inlineStr">
        <is>
          <t>ENERO 2026</t>
        </is>
      </c>
      <c r="L4231" t="inlineStr">
        <is>
          <t>ENERO 2027</t>
        </is>
      </c>
      <c r="M4231" t="inlineStr">
        <is>
          <t>P.Q.S.  TIPO ABC  90% NACIONAL</t>
        </is>
      </c>
      <c r="N4231" t="inlineStr">
        <is>
          <t>354/000816</t>
        </is>
      </c>
      <c r="O4231" t="inlineStr">
        <is>
          <t>R</t>
        </is>
      </c>
      <c r="P4231">
        <f>TRIM(N4231)</f>
        <v/>
      </c>
    </row>
    <row r="4232">
      <c r="A4232" t="inlineStr">
        <is>
          <t>CO-002606</t>
        </is>
      </c>
      <c r="B4232" t="inlineStr">
        <is>
          <t>PERU MASIVO S.A. MAGDALENA</t>
        </is>
      </c>
      <c r="C4232" t="inlineStr">
        <is>
          <t>20492392031</t>
        </is>
      </c>
      <c r="D4232" t="inlineStr">
        <is>
          <t xml:space="preserve">AV. ANTONIO MIROQUESADA NRO. 457 INT. 1201 MAGDALENA DEL MAR LIMA </t>
        </is>
      </c>
      <c r="E4232" t="inlineStr">
        <is>
          <t>Lima, 14 de Enero del 2026</t>
        </is>
      </c>
      <c r="F4232" t="inlineStr">
        <is>
          <t>la Recarga y mantenimiento</t>
        </is>
      </c>
      <c r="G4232" t="inlineStr">
        <is>
          <t>01</t>
        </is>
      </c>
      <c r="H4232" t="inlineStr">
        <is>
          <t>10 LBS</t>
        </is>
      </c>
      <c r="I4232" t="inlineStr">
        <is>
          <t>2030</t>
        </is>
      </c>
      <c r="J4232" t="n">
        <v>2015</v>
      </c>
      <c r="K4232" t="inlineStr">
        <is>
          <t>ENERO 2026</t>
        </is>
      </c>
      <c r="L4232" t="inlineStr">
        <is>
          <t>ENERO 2027</t>
        </is>
      </c>
      <c r="M4232" t="inlineStr">
        <is>
          <t>CO2 / TIPO BC</t>
        </is>
      </c>
      <c r="N4232" t="inlineStr">
        <is>
          <t>01 / 000405</t>
        </is>
      </c>
      <c r="O4232" t="inlineStr">
        <is>
          <t>R</t>
        </is>
      </c>
      <c r="P4232">
        <f>TRIM(N4232)</f>
        <v/>
      </c>
    </row>
    <row r="4233">
      <c r="A4233" t="inlineStr">
        <is>
          <t>CO-002606</t>
        </is>
      </c>
      <c r="B4233" t="inlineStr">
        <is>
          <t>PERU MASIVO S.A. MAGDALENA</t>
        </is>
      </c>
      <c r="C4233" t="inlineStr">
        <is>
          <t>20492392031</t>
        </is>
      </c>
      <c r="D4233" t="inlineStr">
        <is>
          <t xml:space="preserve">AV. ANTONIO MIROQUESADA NRO. 457 INT. 1201 MAGDALENA DEL MAR LIMA </t>
        </is>
      </c>
      <c r="E4233" t="inlineStr">
        <is>
          <t>Lima, 14 de Enero del 2026</t>
        </is>
      </c>
      <c r="F4233" t="inlineStr">
        <is>
          <t>la Recarga y mantenimiento</t>
        </is>
      </c>
      <c r="G4233" t="inlineStr">
        <is>
          <t>02</t>
        </is>
      </c>
      <c r="H4233" t="inlineStr">
        <is>
          <t>09 KG</t>
        </is>
      </c>
      <c r="I4233" t="inlineStr">
        <is>
          <t>2029</t>
        </is>
      </c>
      <c r="J4233" t="n">
        <v>2015</v>
      </c>
      <c r="K4233" t="inlineStr">
        <is>
          <t>ENERO 2026</t>
        </is>
      </c>
      <c r="L4233" t="inlineStr">
        <is>
          <t>ENERO 2027</t>
        </is>
      </c>
      <c r="M4233" t="inlineStr">
        <is>
          <t>P.Q.S TIPO ABC AL 90 % NACIONAL</t>
        </is>
      </c>
      <c r="N4233" t="inlineStr">
        <is>
          <t xml:space="preserve">02 / 002536 </t>
        </is>
      </c>
      <c r="O4233" t="inlineStr">
        <is>
          <t>R</t>
        </is>
      </c>
      <c r="P4233">
        <f>TRIM(N4233)</f>
        <v/>
      </c>
    </row>
    <row r="4234">
      <c r="A4234" t="inlineStr">
        <is>
          <t>CO-002606</t>
        </is>
      </c>
      <c r="B4234" t="inlineStr">
        <is>
          <t>PERU MASIVO S.A. MAGDALENA</t>
        </is>
      </c>
      <c r="C4234" t="inlineStr">
        <is>
          <t>20492392031</t>
        </is>
      </c>
      <c r="D4234" t="inlineStr">
        <is>
          <t xml:space="preserve">AV. ANTONIO MIROQUESADA NRO. 457 INT. 1201 MAGDALENA DEL MAR LIMA </t>
        </is>
      </c>
      <c r="E4234" t="inlineStr">
        <is>
          <t>Lima, 14 de Enero del 2026</t>
        </is>
      </c>
      <c r="F4234" t="inlineStr">
        <is>
          <t>la Recarga y mantenimiento</t>
        </is>
      </c>
      <c r="G4234" t="inlineStr">
        <is>
          <t>03</t>
        </is>
      </c>
      <c r="H4234" t="inlineStr">
        <is>
          <t>06 KG</t>
        </is>
      </c>
      <c r="I4234" t="inlineStr">
        <is>
          <t>2029</t>
        </is>
      </c>
      <c r="J4234" t="n">
        <v>2015</v>
      </c>
      <c r="K4234" t="inlineStr">
        <is>
          <t>ENERO 2026</t>
        </is>
      </c>
      <c r="L4234" t="inlineStr">
        <is>
          <t>ENERO 2027</t>
        </is>
      </c>
      <c r="M4234" t="inlineStr">
        <is>
          <t>P.Q.S TIPO ABC AL 90 % NACIONAL</t>
        </is>
      </c>
      <c r="N4234" t="inlineStr">
        <is>
          <t>03 / 016106</t>
        </is>
      </c>
      <c r="O4234" t="inlineStr">
        <is>
          <t>R</t>
        </is>
      </c>
      <c r="P4234">
        <f>TRIM(N4234)</f>
        <v/>
      </c>
    </row>
    <row r="4235">
      <c r="A4235" t="inlineStr">
        <is>
          <t>CO-002606</t>
        </is>
      </c>
      <c r="B4235" t="inlineStr">
        <is>
          <t>PERU MASIVO S.A. MAGDALENA</t>
        </is>
      </c>
      <c r="C4235" t="inlineStr">
        <is>
          <t>20492392031</t>
        </is>
      </c>
      <c r="D4235" t="inlineStr">
        <is>
          <t xml:space="preserve">AV. ANTONIO MIROQUESADA NRO. 457 INT. 1201 MAGDALENA DEL MAR LIMA </t>
        </is>
      </c>
      <c r="E4235" t="inlineStr">
        <is>
          <t>Lima, 14 de Enero del 2026</t>
        </is>
      </c>
      <c r="F4235" t="inlineStr">
        <is>
          <t>la Recarga y mantenimiento</t>
        </is>
      </c>
      <c r="G4235" t="inlineStr">
        <is>
          <t>04</t>
        </is>
      </c>
      <c r="H4235" t="inlineStr">
        <is>
          <t>10 LBS</t>
        </is>
      </c>
      <c r="I4235" t="inlineStr">
        <is>
          <t>2030</t>
        </is>
      </c>
      <c r="J4235" t="n">
        <v>2015</v>
      </c>
      <c r="K4235" t="inlineStr">
        <is>
          <t>ENERO 2026</t>
        </is>
      </c>
      <c r="L4235" t="inlineStr">
        <is>
          <t>ENERO 2027</t>
        </is>
      </c>
      <c r="M4235" t="inlineStr">
        <is>
          <t>CO2 / TIPO BC</t>
        </is>
      </c>
      <c r="N4235" t="inlineStr">
        <is>
          <t>04 / 000378</t>
        </is>
      </c>
      <c r="O4235" t="inlineStr">
        <is>
          <t>R</t>
        </is>
      </c>
      <c r="P4235">
        <f>TRIM(N4235)</f>
        <v/>
      </c>
    </row>
    <row r="4236">
      <c r="A4236" t="inlineStr">
        <is>
          <t>CO-002606</t>
        </is>
      </c>
      <c r="B4236" t="inlineStr">
        <is>
          <t>PERU MASIVO S.A. MAGDALENA</t>
        </is>
      </c>
      <c r="C4236" t="inlineStr">
        <is>
          <t>20492392031</t>
        </is>
      </c>
      <c r="D4236" t="inlineStr">
        <is>
          <t xml:space="preserve">AV. ANTONIO MIROQUESADA NRO. 457 INT. 1201 MAGDALENA DEL MAR LIMA </t>
        </is>
      </c>
      <c r="E4236" t="inlineStr">
        <is>
          <t>Lima, 14 de Enero del 2026</t>
        </is>
      </c>
      <c r="F4236" t="inlineStr">
        <is>
          <t>la Recarga y mantenimiento</t>
        </is>
      </c>
      <c r="G4236" t="inlineStr">
        <is>
          <t>05</t>
        </is>
      </c>
      <c r="H4236" t="inlineStr">
        <is>
          <t>06 KG</t>
        </is>
      </c>
      <c r="I4236" t="inlineStr">
        <is>
          <t>2029</t>
        </is>
      </c>
      <c r="J4236" t="n">
        <v>2015</v>
      </c>
      <c r="K4236" t="inlineStr">
        <is>
          <t>ENERO 2026</t>
        </is>
      </c>
      <c r="L4236" t="inlineStr">
        <is>
          <t>ENERO 2027</t>
        </is>
      </c>
      <c r="M4236" t="inlineStr">
        <is>
          <t>P.Q.S TIPO ABC AL 90 % NACIONAL</t>
        </is>
      </c>
      <c r="N4236" t="inlineStr">
        <is>
          <t>05 / 015794</t>
        </is>
      </c>
      <c r="O4236" t="inlineStr">
        <is>
          <t>R</t>
        </is>
      </c>
      <c r="P4236">
        <f>TRIM(N4236)</f>
        <v/>
      </c>
    </row>
    <row r="4237">
      <c r="A4237" t="inlineStr">
        <is>
          <t>CO-002606</t>
        </is>
      </c>
      <c r="B4237" t="inlineStr">
        <is>
          <t>PERU MASIVO S.A. MAGDALENA</t>
        </is>
      </c>
      <c r="C4237" t="inlineStr">
        <is>
          <t>20492392031</t>
        </is>
      </c>
      <c r="D4237" t="inlineStr">
        <is>
          <t xml:space="preserve">AV. ANTONIO MIROQUESADA NRO. 457 INT. 1201 MAGDALENA DEL MAR LIMA </t>
        </is>
      </c>
      <c r="E4237" t="inlineStr">
        <is>
          <t>Lima, 14 de Enero del 2026</t>
        </is>
      </c>
      <c r="F4237" t="inlineStr">
        <is>
          <t>la Recarga y mantenimiento</t>
        </is>
      </c>
      <c r="G4237" t="inlineStr">
        <is>
          <t>06</t>
        </is>
      </c>
      <c r="H4237" t="inlineStr">
        <is>
          <t>06 KG</t>
        </is>
      </c>
      <c r="I4237" t="inlineStr">
        <is>
          <t>2029</t>
        </is>
      </c>
      <c r="J4237" t="n">
        <v>2015</v>
      </c>
      <c r="K4237" t="inlineStr">
        <is>
          <t>ENERO 2026</t>
        </is>
      </c>
      <c r="L4237" t="inlineStr">
        <is>
          <t>ENERO 2027</t>
        </is>
      </c>
      <c r="M4237" t="inlineStr">
        <is>
          <t>P.Q.S TIPO ABC AL 90 % NACIONAL</t>
        </is>
      </c>
      <c r="N4237" t="inlineStr">
        <is>
          <t>06 / 015890</t>
        </is>
      </c>
      <c r="O4237" t="inlineStr">
        <is>
          <t>R</t>
        </is>
      </c>
      <c r="P4237">
        <f>TRIM(N4237)</f>
        <v/>
      </c>
    </row>
    <row r="4238">
      <c r="A4238" t="inlineStr">
        <is>
          <t>CO-002607</t>
        </is>
      </c>
      <c r="B4238" t="inlineStr">
        <is>
          <t>CLINICA DENTAL MIODENT</t>
        </is>
      </c>
      <c r="C4238" t="inlineStr">
        <is>
          <t>20609716143</t>
        </is>
      </c>
      <c r="D4238" t="inlineStr">
        <is>
          <t>AV. TUPAC AMARU N°4886 - COMAS</t>
        </is>
      </c>
      <c r="E4238" t="inlineStr">
        <is>
          <t>Lima, 21 de Enero del 2026</t>
        </is>
      </c>
      <c r="F4238" t="inlineStr">
        <is>
          <t>la Recarga y mantenimiento</t>
        </is>
      </c>
      <c r="G4238" t="inlineStr">
        <is>
          <t>01</t>
        </is>
      </c>
      <c r="H4238" t="inlineStr">
        <is>
          <t>06 KG</t>
        </is>
      </c>
      <c r="I4238" t="inlineStr">
        <is>
          <t>2027</t>
        </is>
      </c>
      <c r="J4238" t="n">
        <v>2022</v>
      </c>
      <c r="K4238" t="inlineStr">
        <is>
          <t>ENERO 2026</t>
        </is>
      </c>
      <c r="L4238" t="inlineStr">
        <is>
          <t>ENERO 2027</t>
        </is>
      </c>
      <c r="M4238" t="inlineStr">
        <is>
          <t>P.Q.S TIPO ABC</t>
        </is>
      </c>
      <c r="N4238" t="inlineStr">
        <is>
          <t>01/153603</t>
        </is>
      </c>
      <c r="O4238" t="inlineStr">
        <is>
          <t>R</t>
        </is>
      </c>
      <c r="P4238">
        <f>TRIM(N4238)</f>
        <v/>
      </c>
    </row>
    <row r="4239">
      <c r="A4239" t="inlineStr">
        <is>
          <t>CO-002608</t>
        </is>
      </c>
      <c r="B4239" t="inlineStr">
        <is>
          <t>EDIFICIO LAS TERRAZAS</t>
        </is>
      </c>
      <c r="D4239" t="inlineStr">
        <is>
          <t>Jirón Nazca 612, Jesús María 15072</t>
        </is>
      </c>
      <c r="E4239" t="inlineStr">
        <is>
          <t>Lima, 21 de Enero del 2026</t>
        </is>
      </c>
      <c r="F4239" t="inlineStr">
        <is>
          <t>la Recarga y mantenimiento</t>
        </is>
      </c>
      <c r="G4239" t="inlineStr">
        <is>
          <t>01</t>
        </is>
      </c>
      <c r="H4239" t="inlineStr">
        <is>
          <t>06 KG</t>
        </is>
      </c>
      <c r="I4239" t="inlineStr">
        <is>
          <t>2029</t>
        </is>
      </c>
      <c r="J4239" t="n">
        <v>2024</v>
      </c>
      <c r="K4239" t="inlineStr">
        <is>
          <t>ENERO 2026</t>
        </is>
      </c>
      <c r="L4239" t="inlineStr">
        <is>
          <t>ENERO 2027</t>
        </is>
      </c>
      <c r="M4239" t="inlineStr">
        <is>
          <t xml:space="preserve">PQS TIPO ABC </t>
        </is>
      </c>
      <c r="N4239" t="inlineStr">
        <is>
          <t>01/001057</t>
        </is>
      </c>
      <c r="O4239" t="inlineStr">
        <is>
          <t>R</t>
        </is>
      </c>
      <c r="P4239">
        <f>TRIM(N4239)</f>
        <v/>
      </c>
    </row>
    <row r="4240">
      <c r="A4240" t="inlineStr">
        <is>
          <t>CO-002608</t>
        </is>
      </c>
      <c r="B4240" t="inlineStr">
        <is>
          <t>EDIFICIO LAS TERRAZAS</t>
        </is>
      </c>
      <c r="D4240" t="inlineStr">
        <is>
          <t>Jirón Nazca 612, Jesús María 15072</t>
        </is>
      </c>
      <c r="E4240" t="inlineStr">
        <is>
          <t>Lima, 21 de Enero del 2026</t>
        </is>
      </c>
      <c r="F4240" t="inlineStr">
        <is>
          <t>la Recarga y mantenimiento</t>
        </is>
      </c>
      <c r="G4240" t="inlineStr">
        <is>
          <t>02</t>
        </is>
      </c>
      <c r="H4240" t="inlineStr">
        <is>
          <t>06 KG</t>
        </is>
      </c>
      <c r="I4240" t="n">
        <v>2031</v>
      </c>
      <c r="J4240" t="n">
        <v>2007</v>
      </c>
      <c r="K4240" t="inlineStr">
        <is>
          <t>ENERO 2026</t>
        </is>
      </c>
      <c r="L4240" t="inlineStr">
        <is>
          <t>ENERO 2027</t>
        </is>
      </c>
      <c r="M4240" t="inlineStr">
        <is>
          <t>PQS TIPO ABC</t>
        </is>
      </c>
      <c r="N4240" t="inlineStr">
        <is>
          <t>06/006790</t>
        </is>
      </c>
      <c r="O4240" t="inlineStr">
        <is>
          <t>R</t>
        </is>
      </c>
      <c r="P4240">
        <f>TRIM(N4240)</f>
        <v/>
      </c>
    </row>
    <row r="4241">
      <c r="A4241" t="inlineStr">
        <is>
          <t>CO-002608</t>
        </is>
      </c>
      <c r="B4241" t="inlineStr">
        <is>
          <t>EDIFICIO LAS TERRAZAS</t>
        </is>
      </c>
      <c r="D4241" t="inlineStr">
        <is>
          <t>Jirón Nazca 612, Jesús María 15072</t>
        </is>
      </c>
      <c r="E4241" t="inlineStr">
        <is>
          <t>Lima, 21 de Enero del 2026</t>
        </is>
      </c>
      <c r="F4241" t="inlineStr">
        <is>
          <t>la Recarga y mantenimiento</t>
        </is>
      </c>
      <c r="G4241" t="inlineStr">
        <is>
          <t>03</t>
        </is>
      </c>
      <c r="H4241" t="inlineStr">
        <is>
          <t>06 KG</t>
        </is>
      </c>
      <c r="I4241" t="n">
        <v>2031</v>
      </c>
      <c r="J4241" t="n">
        <v>2020</v>
      </c>
      <c r="K4241" t="inlineStr">
        <is>
          <t>ENERO 2026</t>
        </is>
      </c>
      <c r="L4241" t="inlineStr">
        <is>
          <t>ENERO 2027</t>
        </is>
      </c>
      <c r="M4241" t="inlineStr">
        <is>
          <t>PQS TIPO ABC</t>
        </is>
      </c>
      <c r="N4241" t="inlineStr">
        <is>
          <t>07/004806</t>
        </is>
      </c>
      <c r="O4241" t="inlineStr">
        <is>
          <t>R</t>
        </is>
      </c>
      <c r="P4241">
        <f>TRIM(N4241)</f>
        <v/>
      </c>
    </row>
    <row r="4242">
      <c r="A4242" t="inlineStr">
        <is>
          <t>CO-002609</t>
        </is>
      </c>
      <c r="B4242" t="inlineStr">
        <is>
          <t>GACSA PERU S.A.C.</t>
        </is>
      </c>
      <c r="C4242" t="n">
        <v>20602629068</v>
      </c>
      <c r="D4242" t="inlineStr">
        <is>
          <t>MALL SANTA ANITA</t>
        </is>
      </c>
      <c r="E4242" t="inlineStr">
        <is>
          <t>Lima, 20 de Enero del 2026</t>
        </is>
      </c>
      <c r="F4242" t="inlineStr">
        <is>
          <t>la Recarga y mantenimiento</t>
        </is>
      </c>
      <c r="G4242" t="inlineStr">
        <is>
          <t>01</t>
        </is>
      </c>
      <c r="H4242" t="inlineStr">
        <is>
          <t>06 KG</t>
        </is>
      </c>
      <c r="I4242" t="inlineStr">
        <is>
          <t>2029</t>
        </is>
      </c>
      <c r="J4242" t="n">
        <v>2024</v>
      </c>
      <c r="K4242" t="inlineStr">
        <is>
          <t>ENERO 2026</t>
        </is>
      </c>
      <c r="L4242" t="inlineStr">
        <is>
          <t>ENERO 2027</t>
        </is>
      </c>
      <c r="M4242" t="inlineStr">
        <is>
          <t xml:space="preserve">PQS TIPO ABC AL 75% </t>
        </is>
      </c>
      <c r="N4242" t="inlineStr">
        <is>
          <t>01/004122</t>
        </is>
      </c>
      <c r="O4242" t="inlineStr">
        <is>
          <t>R</t>
        </is>
      </c>
      <c r="P4242">
        <f>TRIM(N4242)</f>
        <v/>
      </c>
    </row>
    <row r="4243">
      <c r="A4243" t="inlineStr">
        <is>
          <t>CO-002609</t>
        </is>
      </c>
      <c r="B4243" t="inlineStr">
        <is>
          <t>GACSA PERU S.A.C.</t>
        </is>
      </c>
      <c r="C4243" t="n">
        <v>20602629068</v>
      </c>
      <c r="D4243" t="inlineStr">
        <is>
          <t>MALL SANTA ANITA</t>
        </is>
      </c>
      <c r="E4243" t="inlineStr">
        <is>
          <t>Lima, 20 de Enero del 2026</t>
        </is>
      </c>
      <c r="F4243" t="inlineStr">
        <is>
          <t>la Recarga y mantenimiento</t>
        </is>
      </c>
      <c r="G4243" t="inlineStr">
        <is>
          <t>02</t>
        </is>
      </c>
      <c r="H4243" t="inlineStr">
        <is>
          <t>10 LBS</t>
        </is>
      </c>
      <c r="I4243" t="inlineStr">
        <is>
          <t>2029</t>
        </is>
      </c>
      <c r="J4243" t="n">
        <v>2024</v>
      </c>
      <c r="K4243" t="inlineStr">
        <is>
          <t>ENERO 2026</t>
        </is>
      </c>
      <c r="L4243" t="inlineStr">
        <is>
          <t>ENERO 2027</t>
        </is>
      </c>
      <c r="M4243" t="inlineStr">
        <is>
          <t>CO2 TIPO BC</t>
        </is>
      </c>
      <c r="N4243" t="inlineStr">
        <is>
          <t>02/000100</t>
        </is>
      </c>
      <c r="O4243" t="inlineStr">
        <is>
          <t>R</t>
        </is>
      </c>
      <c r="P4243">
        <f>TRIM(N4243)</f>
        <v/>
      </c>
    </row>
    <row r="4244">
      <c r="A4244" t="inlineStr">
        <is>
          <t>CO-002609</t>
        </is>
      </c>
      <c r="B4244" t="inlineStr">
        <is>
          <t>GACSA PERU S.A.C.</t>
        </is>
      </c>
      <c r="C4244" t="n">
        <v>20602629068</v>
      </c>
      <c r="D4244" t="inlineStr">
        <is>
          <t>MALL SANTA ANITA</t>
        </is>
      </c>
      <c r="E4244" t="inlineStr">
        <is>
          <t>Lima, 20 de Enero del 2026</t>
        </is>
      </c>
      <c r="F4244" t="inlineStr">
        <is>
          <t>la Recarga y mantenimiento</t>
        </is>
      </c>
      <c r="G4244" t="inlineStr">
        <is>
          <t>03</t>
        </is>
      </c>
      <c r="H4244" t="inlineStr">
        <is>
          <t>06 KG</t>
        </is>
      </c>
      <c r="I4244" t="inlineStr">
        <is>
          <t>2029</t>
        </is>
      </c>
      <c r="J4244" t="n">
        <v>2024</v>
      </c>
      <c r="K4244" t="inlineStr">
        <is>
          <t>ENERO 2026</t>
        </is>
      </c>
      <c r="L4244" t="inlineStr">
        <is>
          <t>ENERO 2027</t>
        </is>
      </c>
      <c r="M4244" t="inlineStr">
        <is>
          <t xml:space="preserve">PQS TIPO ABC AL 75% </t>
        </is>
      </c>
      <c r="N4244" t="inlineStr">
        <is>
          <t>03/003744</t>
        </is>
      </c>
      <c r="O4244" t="inlineStr">
        <is>
          <t>R</t>
        </is>
      </c>
      <c r="P4244">
        <f>TRIM(N4244)</f>
        <v/>
      </c>
    </row>
    <row r="4245">
      <c r="A4245" t="inlineStr">
        <is>
          <t>CO-002609</t>
        </is>
      </c>
      <c r="B4245" t="inlineStr">
        <is>
          <t>GACSA PERU S.A.C.</t>
        </is>
      </c>
      <c r="C4245" t="n">
        <v>20602629068</v>
      </c>
      <c r="D4245" t="inlineStr">
        <is>
          <t>MALL SANTA ANITA</t>
        </is>
      </c>
      <c r="E4245" t="inlineStr">
        <is>
          <t>Lima, 20 de Enero del 2026</t>
        </is>
      </c>
      <c r="F4245" t="inlineStr">
        <is>
          <t>la Recarga y mantenimiento</t>
        </is>
      </c>
      <c r="G4245" t="inlineStr">
        <is>
          <t>04</t>
        </is>
      </c>
      <c r="H4245" t="inlineStr">
        <is>
          <t>06 KG</t>
        </is>
      </c>
      <c r="I4245" t="inlineStr">
        <is>
          <t>2029</t>
        </is>
      </c>
      <c r="J4245" t="n">
        <v>2024</v>
      </c>
      <c r="K4245" t="inlineStr">
        <is>
          <t>ENERO 2026</t>
        </is>
      </c>
      <c r="L4245" t="inlineStr">
        <is>
          <t>ENERO 2027</t>
        </is>
      </c>
      <c r="M4245" t="inlineStr">
        <is>
          <t xml:space="preserve">PQS TIPO ABC AL 75% </t>
        </is>
      </c>
      <c r="N4245" t="inlineStr">
        <is>
          <t>04/003702</t>
        </is>
      </c>
      <c r="O4245" t="inlineStr">
        <is>
          <t>R</t>
        </is>
      </c>
      <c r="P4245">
        <f>TRIM(N4245)</f>
        <v/>
      </c>
    </row>
    <row r="4246">
      <c r="A4246" t="inlineStr">
        <is>
          <t>CO-002609</t>
        </is>
      </c>
      <c r="B4246" t="inlineStr">
        <is>
          <t>GACSA PERU S.A.C.</t>
        </is>
      </c>
      <c r="C4246" t="n">
        <v>20602629068</v>
      </c>
      <c r="D4246" t="inlineStr">
        <is>
          <t>MALL SANTA ANITA</t>
        </is>
      </c>
      <c r="E4246" t="inlineStr">
        <is>
          <t>Lima, 20 de Enero del 2026</t>
        </is>
      </c>
      <c r="F4246" t="inlineStr">
        <is>
          <t>la Recarga y mantenimiento</t>
        </is>
      </c>
      <c r="G4246" t="inlineStr">
        <is>
          <t>05</t>
        </is>
      </c>
      <c r="H4246" t="inlineStr">
        <is>
          <t>06 KG</t>
        </is>
      </c>
      <c r="I4246" t="n">
        <v>2029</v>
      </c>
      <c r="J4246" t="n">
        <v>2024</v>
      </c>
      <c r="K4246" t="inlineStr">
        <is>
          <t>ENERO 2026</t>
        </is>
      </c>
      <c r="L4246" t="inlineStr">
        <is>
          <t>ENERO 2027</t>
        </is>
      </c>
      <c r="M4246" t="inlineStr">
        <is>
          <t xml:space="preserve">PQS TIPO ABC AL 75% </t>
        </is>
      </c>
      <c r="N4246" t="inlineStr">
        <is>
          <t>05/000520</t>
        </is>
      </c>
      <c r="O4246" t="inlineStr">
        <is>
          <t>R</t>
        </is>
      </c>
      <c r="P4246">
        <f>TRIM(N4246)</f>
        <v/>
      </c>
    </row>
    <row r="4247">
      <c r="A4247" t="inlineStr">
        <is>
          <t>CO-002610</t>
        </is>
      </c>
      <c r="B4247" t="inlineStr">
        <is>
          <t>EDIFICIO LAS TERRAZAS</t>
        </is>
      </c>
      <c r="D4247" t="inlineStr">
        <is>
          <t>Jirón Nazca 612, Jesús María 15072</t>
        </is>
      </c>
      <c r="E4247" t="inlineStr">
        <is>
          <t>Lima, 21 de Enero del 2026</t>
        </is>
      </c>
      <c r="F4247" t="inlineStr">
        <is>
          <t>La Venta</t>
        </is>
      </c>
      <c r="G4247" t="inlineStr">
        <is>
          <t>01</t>
        </is>
      </c>
      <c r="H4247" t="inlineStr">
        <is>
          <t>06 KG</t>
        </is>
      </c>
      <c r="I4247" t="inlineStr">
        <is>
          <t>2031</t>
        </is>
      </c>
      <c r="J4247" t="n">
        <v>2026</v>
      </c>
      <c r="K4247" t="inlineStr">
        <is>
          <t>ENERO 2026</t>
        </is>
      </c>
      <c r="L4247" t="inlineStr">
        <is>
          <t>ENERO 2027</t>
        </is>
      </c>
      <c r="M4247" t="inlineStr">
        <is>
          <t xml:space="preserve">PQS TIPO ABC AL 75% </t>
        </is>
      </c>
      <c r="N4247" t="inlineStr">
        <is>
          <t>02/035572</t>
        </is>
      </c>
      <c r="O4247" t="inlineStr">
        <is>
          <t>V</t>
        </is>
      </c>
      <c r="P4247">
        <f>TRIM(N4247)</f>
        <v/>
      </c>
    </row>
    <row r="4248">
      <c r="A4248" t="inlineStr">
        <is>
          <t>CO-002610</t>
        </is>
      </c>
      <c r="B4248" t="inlineStr">
        <is>
          <t>EDIFICIO LAS TERRAZAS</t>
        </is>
      </c>
      <c r="D4248" t="inlineStr">
        <is>
          <t>Jirón Nazca 612, Jesús María 15072</t>
        </is>
      </c>
      <c r="E4248" t="inlineStr">
        <is>
          <t>Lima, 21 de Enero del 2026</t>
        </is>
      </c>
      <c r="F4248" t="inlineStr">
        <is>
          <t>La Venta</t>
        </is>
      </c>
      <c r="G4248" t="inlineStr">
        <is>
          <t>02</t>
        </is>
      </c>
      <c r="H4248" t="inlineStr">
        <is>
          <t>06 KG</t>
        </is>
      </c>
      <c r="I4248" t="inlineStr">
        <is>
          <t>2031</t>
        </is>
      </c>
      <c r="J4248" t="n">
        <v>2026</v>
      </c>
      <c r="K4248" t="inlineStr">
        <is>
          <t>ENERO 2026</t>
        </is>
      </c>
      <c r="L4248" t="inlineStr">
        <is>
          <t>ENERO 2027</t>
        </is>
      </c>
      <c r="M4248" t="inlineStr">
        <is>
          <t xml:space="preserve">PQS TIPO ABC AL 75% </t>
        </is>
      </c>
      <c r="N4248" t="inlineStr">
        <is>
          <t>03/034870</t>
        </is>
      </c>
      <c r="O4248" t="inlineStr">
        <is>
          <t>V</t>
        </is>
      </c>
      <c r="P4248">
        <f>TRIM(N4248)</f>
        <v/>
      </c>
    </row>
    <row r="4249">
      <c r="A4249" t="inlineStr">
        <is>
          <t>CO-002610</t>
        </is>
      </c>
      <c r="B4249" t="inlineStr">
        <is>
          <t>EDIFICIO LAS TERRAZAS</t>
        </is>
      </c>
      <c r="D4249" t="inlineStr">
        <is>
          <t>Jirón Nazca 612, Jesús María 15072</t>
        </is>
      </c>
      <c r="E4249" t="inlineStr">
        <is>
          <t>Lima, 21 de Enero del 2026</t>
        </is>
      </c>
      <c r="F4249" t="inlineStr">
        <is>
          <t>La Venta</t>
        </is>
      </c>
      <c r="G4249" t="inlineStr">
        <is>
          <t>03</t>
        </is>
      </c>
      <c r="H4249" t="inlineStr">
        <is>
          <t>06 KG</t>
        </is>
      </c>
      <c r="I4249" t="inlineStr">
        <is>
          <t>2031</t>
        </is>
      </c>
      <c r="J4249" t="n">
        <v>2026</v>
      </c>
      <c r="K4249" t="inlineStr">
        <is>
          <t>ENERO 2026</t>
        </is>
      </c>
      <c r="L4249" t="inlineStr">
        <is>
          <t>ENERO 2027</t>
        </is>
      </c>
      <c r="M4249" t="inlineStr">
        <is>
          <t xml:space="preserve">PQS TIPO ABC AL 75% </t>
        </is>
      </c>
      <c r="N4249" t="inlineStr">
        <is>
          <t>04/171411</t>
        </is>
      </c>
      <c r="O4249" t="inlineStr">
        <is>
          <t>V</t>
        </is>
      </c>
      <c r="P4249">
        <f>TRIM(N4249)</f>
        <v/>
      </c>
    </row>
    <row r="4250">
      <c r="A4250" t="inlineStr">
        <is>
          <t>CO-002610</t>
        </is>
      </c>
      <c r="B4250" t="inlineStr">
        <is>
          <t>EDIFICIO LAS TERRAZAS</t>
        </is>
      </c>
      <c r="D4250" t="inlineStr">
        <is>
          <t>Jirón Nazca 612, Jesús María 15072</t>
        </is>
      </c>
      <c r="E4250" t="inlineStr">
        <is>
          <t>Lima, 21 de Enero del 2026</t>
        </is>
      </c>
      <c r="F4250" t="inlineStr">
        <is>
          <t>La Venta</t>
        </is>
      </c>
      <c r="G4250" t="inlineStr">
        <is>
          <t>04</t>
        </is>
      </c>
      <c r="H4250" t="inlineStr">
        <is>
          <t>06 KG</t>
        </is>
      </c>
      <c r="I4250" t="inlineStr">
        <is>
          <t>2031</t>
        </is>
      </c>
      <c r="J4250" t="n">
        <v>2026</v>
      </c>
      <c r="K4250" t="inlineStr">
        <is>
          <t>ENERO 2026</t>
        </is>
      </c>
      <c r="L4250" t="inlineStr">
        <is>
          <t>ENERO 2027</t>
        </is>
      </c>
      <c r="M4250" t="inlineStr">
        <is>
          <t xml:space="preserve">PQS TIPO ABC AL 75% </t>
        </is>
      </c>
      <c r="N4250" t="inlineStr">
        <is>
          <t>05/034834</t>
        </is>
      </c>
      <c r="O4250" t="inlineStr">
        <is>
          <t>V</t>
        </is>
      </c>
      <c r="P4250">
        <f>TRIM(N4250)</f>
        <v/>
      </c>
    </row>
    <row r="4251">
      <c r="A4251" t="inlineStr">
        <is>
          <t>CO-002610</t>
        </is>
      </c>
      <c r="B4251" t="inlineStr">
        <is>
          <t>EDIFICIO LAS TERRAZAS</t>
        </is>
      </c>
      <c r="D4251" t="inlineStr">
        <is>
          <t>Jirón Nazca 612, Jesús María 15072</t>
        </is>
      </c>
      <c r="E4251" t="inlineStr">
        <is>
          <t>Lima, 21 de Enero del 2026</t>
        </is>
      </c>
      <c r="F4251" t="inlineStr">
        <is>
          <t>La Venta</t>
        </is>
      </c>
      <c r="G4251" t="inlineStr">
        <is>
          <t>05</t>
        </is>
      </c>
      <c r="H4251" t="inlineStr">
        <is>
          <t>06 KG</t>
        </is>
      </c>
      <c r="I4251" t="inlineStr">
        <is>
          <t>2031</t>
        </is>
      </c>
      <c r="J4251" t="n">
        <v>2026</v>
      </c>
      <c r="K4251" t="inlineStr">
        <is>
          <t>ENERO 2026</t>
        </is>
      </c>
      <c r="L4251" t="inlineStr">
        <is>
          <t>ENERO 2027</t>
        </is>
      </c>
      <c r="M4251" t="inlineStr">
        <is>
          <t xml:space="preserve">PQS TIPO ABC AL 75% </t>
        </is>
      </c>
      <c r="N4251" t="inlineStr">
        <is>
          <t>08/035555</t>
        </is>
      </c>
      <c r="O4251" t="inlineStr">
        <is>
          <t>V</t>
        </is>
      </c>
      <c r="P4251">
        <f>TRIM(N4251)</f>
        <v/>
      </c>
    </row>
    <row r="4252">
      <c r="A4252" t="inlineStr">
        <is>
          <t>CO-002611</t>
        </is>
      </c>
      <c r="B4252" t="inlineStr">
        <is>
          <t>LUIS PALACIOS MONTALVO</t>
        </is>
      </c>
      <c r="C4252" t="inlineStr">
        <is>
          <t>44469425</t>
        </is>
      </c>
      <c r="D4252" t="inlineStr">
        <is>
          <t>PLACA: BUT - 048</t>
        </is>
      </c>
      <c r="E4252" t="inlineStr">
        <is>
          <t>Lima, 23 de Enero de 2026</t>
        </is>
      </c>
      <c r="F4252" t="inlineStr">
        <is>
          <t>la Recarga y mantenimiento</t>
        </is>
      </c>
      <c r="G4252" t="inlineStr">
        <is>
          <t>01</t>
        </is>
      </c>
      <c r="H4252" t="inlineStr">
        <is>
          <t>02 KG</t>
        </is>
      </c>
      <c r="I4252" t="inlineStr">
        <is>
          <t>2031</t>
        </is>
      </c>
      <c r="J4252" t="n">
        <v>2020</v>
      </c>
      <c r="K4252" t="inlineStr">
        <is>
          <t>ENERO 2026</t>
        </is>
      </c>
      <c r="L4252" t="inlineStr">
        <is>
          <t>ENERO 2027</t>
        </is>
      </c>
      <c r="M4252" t="inlineStr">
        <is>
          <t xml:space="preserve">P.Q.S.  TIPO ABC </t>
        </is>
      </c>
      <c r="N4252" t="inlineStr">
        <is>
          <t>01/048322</t>
        </is>
      </c>
      <c r="O4252" t="inlineStr">
        <is>
          <t>R</t>
        </is>
      </c>
      <c r="P4252">
        <f>TRIM(N4252)</f>
        <v/>
      </c>
    </row>
    <row r="4253">
      <c r="A4253" t="inlineStr">
        <is>
          <t>CO-002612</t>
        </is>
      </c>
      <c r="B4253" t="inlineStr">
        <is>
          <t>IEI 164 - MI BUEN JESUS</t>
        </is>
      </c>
      <c r="D4253" t="inlineStr">
        <is>
          <t>Mz. B Lote 1 - Las Brisas - Parcela C - Pachacutec -Ventanilla.</t>
        </is>
      </c>
      <c r="E4253" t="inlineStr">
        <is>
          <t>Lima, 02 de Febrero del 2026</t>
        </is>
      </c>
      <c r="F4253" t="inlineStr">
        <is>
          <t>la Recarga y mantenimiento</t>
        </is>
      </c>
      <c r="G4253" t="inlineStr">
        <is>
          <t>01</t>
        </is>
      </c>
      <c r="H4253" t="inlineStr">
        <is>
          <t>06 KG</t>
        </is>
      </c>
      <c r="I4253" t="inlineStr">
        <is>
          <t>2031</t>
        </is>
      </c>
      <c r="J4253" t="n">
        <v>2013</v>
      </c>
      <c r="K4253" t="inlineStr">
        <is>
          <t>FEBRERO 2026</t>
        </is>
      </c>
      <c r="L4253" t="inlineStr">
        <is>
          <t>FEBRERO 2027</t>
        </is>
      </c>
      <c r="M4253" t="inlineStr">
        <is>
          <t xml:space="preserve">PQS TIPO ABC AL 75% </t>
        </is>
      </c>
      <c r="N4253" t="inlineStr">
        <is>
          <t>009844</t>
        </is>
      </c>
      <c r="O4253" t="inlineStr">
        <is>
          <t>R</t>
        </is>
      </c>
      <c r="P4253">
        <f>TRIM(N4253)</f>
        <v/>
      </c>
    </row>
    <row r="4254">
      <c r="A4254" t="inlineStr">
        <is>
          <t>CO-002612</t>
        </is>
      </c>
      <c r="B4254" t="inlineStr">
        <is>
          <t>IEI 164 - MI BUEN JESUS</t>
        </is>
      </c>
      <c r="D4254" t="inlineStr">
        <is>
          <t>Mz. B Lote 1 - Las Brisas - Parcela C - Pachacutec -Ventanilla.</t>
        </is>
      </c>
      <c r="E4254" t="inlineStr">
        <is>
          <t>Lima, 02 de Febrero del 2026</t>
        </is>
      </c>
      <c r="F4254" t="inlineStr">
        <is>
          <t>la Recarga y mantenimiento</t>
        </is>
      </c>
      <c r="G4254" t="inlineStr">
        <is>
          <t>02</t>
        </is>
      </c>
      <c r="H4254" t="inlineStr">
        <is>
          <t>06 KG</t>
        </is>
      </c>
      <c r="I4254" t="inlineStr">
        <is>
          <t>2031</t>
        </is>
      </c>
      <c r="J4254" t="n">
        <v>2014</v>
      </c>
      <c r="K4254" t="inlineStr">
        <is>
          <t>FEBRERO 2026</t>
        </is>
      </c>
      <c r="L4254" t="inlineStr">
        <is>
          <t>FEBRERO 2027</t>
        </is>
      </c>
      <c r="M4254" t="inlineStr">
        <is>
          <t xml:space="preserve">PQS TIPO ABC AL 75% </t>
        </is>
      </c>
      <c r="N4254" t="inlineStr">
        <is>
          <t>002176</t>
        </is>
      </c>
      <c r="O4254" t="inlineStr">
        <is>
          <t>R</t>
        </is>
      </c>
      <c r="P4254">
        <f>TRIM(N4254)</f>
        <v/>
      </c>
    </row>
    <row r="4255">
      <c r="A4255" t="inlineStr">
        <is>
          <t>CO-002613</t>
        </is>
      </c>
      <c r="B4255" t="inlineStr">
        <is>
          <t xml:space="preserve">PERU MASIVO - INFRAESTRUCTURA </t>
        </is>
      </c>
      <c r="C4255" t="inlineStr">
        <is>
          <t>20492392031</t>
        </is>
      </c>
      <c r="D4255" t="inlineStr">
        <is>
          <t>AV. LOS INCAS CDRA. 4 PATIO NORTE - COMAS</t>
        </is>
      </c>
      <c r="E4255" t="inlineStr">
        <is>
          <t>Lima, 28 de enero del 2026</t>
        </is>
      </c>
      <c r="F4255" t="inlineStr">
        <is>
          <t>la Recarga y mantenimiento</t>
        </is>
      </c>
      <c r="G4255" t="inlineStr">
        <is>
          <t>01</t>
        </is>
      </c>
      <c r="H4255" t="inlineStr">
        <is>
          <t xml:space="preserve">06 KG </t>
        </is>
      </c>
      <c r="I4255" t="inlineStr">
        <is>
          <t>2029</t>
        </is>
      </c>
      <c r="J4255" t="n">
        <v>2012</v>
      </c>
      <c r="K4255" t="inlineStr">
        <is>
          <t>ENERO 2026</t>
        </is>
      </c>
      <c r="L4255" t="inlineStr">
        <is>
          <t>ENERO 2027</t>
        </is>
      </c>
      <c r="M4255" t="inlineStr">
        <is>
          <t>P.Q.S TIPO ABC AL 90 % NACIONAL</t>
        </is>
      </c>
      <c r="N4255" t="inlineStr">
        <is>
          <t>17/000062</t>
        </is>
      </c>
      <c r="O4255" t="inlineStr">
        <is>
          <t>R</t>
        </is>
      </c>
      <c r="P4255">
        <f>TRIM(N4255)</f>
        <v/>
      </c>
    </row>
    <row r="4256">
      <c r="A4256" t="inlineStr">
        <is>
          <t>CO-002613</t>
        </is>
      </c>
      <c r="B4256" t="inlineStr">
        <is>
          <t xml:space="preserve">PERU MASIVO - INFRAESTRUCTURA </t>
        </is>
      </c>
      <c r="C4256" t="inlineStr">
        <is>
          <t>20492392031</t>
        </is>
      </c>
      <c r="D4256" t="inlineStr">
        <is>
          <t>AV. LOS INCAS CDRA. 4 PATIO NORTE - COMAS</t>
        </is>
      </c>
      <c r="E4256" t="inlineStr">
        <is>
          <t>Lima, 28 de enero del 2026</t>
        </is>
      </c>
      <c r="F4256" t="inlineStr">
        <is>
          <t>la Recarga y mantenimiento</t>
        </is>
      </c>
      <c r="G4256" t="inlineStr">
        <is>
          <t>02</t>
        </is>
      </c>
      <c r="H4256" t="inlineStr">
        <is>
          <t xml:space="preserve">06 KG </t>
        </is>
      </c>
      <c r="I4256" t="inlineStr">
        <is>
          <t>2028</t>
        </is>
      </c>
      <c r="J4256" t="n">
        <v>2017</v>
      </c>
      <c r="K4256" t="inlineStr">
        <is>
          <t>ENERO 2026</t>
        </is>
      </c>
      <c r="L4256" t="inlineStr">
        <is>
          <t>ENERO 2027</t>
        </is>
      </c>
      <c r="M4256" t="inlineStr">
        <is>
          <t>P.Q.S TIPO ABC AL 90 % NACIONAL</t>
        </is>
      </c>
      <c r="N4256" t="inlineStr">
        <is>
          <t>20/003286</t>
        </is>
      </c>
      <c r="O4256" t="inlineStr">
        <is>
          <t>R</t>
        </is>
      </c>
      <c r="P4256">
        <f>TRIM(N4256)</f>
        <v/>
      </c>
    </row>
    <row r="4257">
      <c r="A4257" t="inlineStr">
        <is>
          <t>CO-002613</t>
        </is>
      </c>
      <c r="B4257" t="inlineStr">
        <is>
          <t xml:space="preserve">PERU MASIVO - INFRAESTRUCTURA </t>
        </is>
      </c>
      <c r="C4257" t="inlineStr">
        <is>
          <t>20492392031</t>
        </is>
      </c>
      <c r="D4257" t="inlineStr">
        <is>
          <t>AV. LOS INCAS CDRA. 4 PATIO NORTE - COMAS</t>
        </is>
      </c>
      <c r="E4257" t="inlineStr">
        <is>
          <t>Lima, 28 de enero del 2026</t>
        </is>
      </c>
      <c r="F4257" t="inlineStr">
        <is>
          <t>la Recarga y mantenimiento</t>
        </is>
      </c>
      <c r="G4257" t="inlineStr">
        <is>
          <t>03</t>
        </is>
      </c>
      <c r="H4257" t="inlineStr">
        <is>
          <t xml:space="preserve">06 KG </t>
        </is>
      </c>
      <c r="I4257" t="inlineStr">
        <is>
          <t>2029</t>
        </is>
      </c>
      <c r="J4257" t="n">
        <v>2010</v>
      </c>
      <c r="K4257" t="inlineStr">
        <is>
          <t>ENERO 2026</t>
        </is>
      </c>
      <c r="L4257" t="inlineStr">
        <is>
          <t>ENERO 2027</t>
        </is>
      </c>
      <c r="M4257" t="inlineStr">
        <is>
          <t>P.Q.S TIPO ABC AL 90 % NACIONAL</t>
        </is>
      </c>
      <c r="N4257" t="inlineStr">
        <is>
          <t>11/000154</t>
        </is>
      </c>
      <c r="O4257" t="inlineStr">
        <is>
          <t>R</t>
        </is>
      </c>
      <c r="P4257">
        <f>TRIM(N4257)</f>
        <v/>
      </c>
    </row>
    <row r="4258">
      <c r="A4258" t="inlineStr">
        <is>
          <t>CO-002613</t>
        </is>
      </c>
      <c r="B4258" t="inlineStr">
        <is>
          <t xml:space="preserve">PERU MASIVO - INFRAESTRUCTURA </t>
        </is>
      </c>
      <c r="C4258" t="inlineStr">
        <is>
          <t>20492392031</t>
        </is>
      </c>
      <c r="D4258" t="inlineStr">
        <is>
          <t>AV. LOS INCAS CDRA. 4 PATIO NORTE - COMAS</t>
        </is>
      </c>
      <c r="E4258" t="inlineStr">
        <is>
          <t>Lima, 28 de enero del 2026</t>
        </is>
      </c>
      <c r="F4258" t="inlineStr">
        <is>
          <t>la Recarga y mantenimiento</t>
        </is>
      </c>
      <c r="G4258" t="inlineStr">
        <is>
          <t>04</t>
        </is>
      </c>
      <c r="H4258" t="inlineStr">
        <is>
          <t xml:space="preserve">06 KG </t>
        </is>
      </c>
      <c r="I4258" t="inlineStr">
        <is>
          <t>2029</t>
        </is>
      </c>
      <c r="J4258" t="n">
        <v>2009</v>
      </c>
      <c r="K4258" t="inlineStr">
        <is>
          <t>ENERO 2026</t>
        </is>
      </c>
      <c r="L4258" t="inlineStr">
        <is>
          <t>ENERO 2027</t>
        </is>
      </c>
      <c r="M4258" t="inlineStr">
        <is>
          <t>P.Q.S TIPO ABC AL 90 % NACIONAL</t>
        </is>
      </c>
      <c r="N4258" t="inlineStr">
        <is>
          <t>14/000903</t>
        </is>
      </c>
      <c r="O4258" t="inlineStr">
        <is>
          <t>R</t>
        </is>
      </c>
      <c r="P4258">
        <f>TRIM(N4258)</f>
        <v/>
      </c>
    </row>
    <row r="4259">
      <c r="A4259" t="inlineStr">
        <is>
          <t>CO-002613</t>
        </is>
      </c>
      <c r="B4259" t="inlineStr">
        <is>
          <t xml:space="preserve">PERU MASIVO - INFRAESTRUCTURA </t>
        </is>
      </c>
      <c r="C4259" t="inlineStr">
        <is>
          <t>20492392031</t>
        </is>
      </c>
      <c r="D4259" t="inlineStr">
        <is>
          <t>AV. LOS INCAS CDRA. 4 PATIO NORTE - COMAS</t>
        </is>
      </c>
      <c r="E4259" t="inlineStr">
        <is>
          <t>Lima, 28 de enero del 2026</t>
        </is>
      </c>
      <c r="F4259" t="inlineStr">
        <is>
          <t>la Recarga y mantenimiento</t>
        </is>
      </c>
      <c r="G4259" t="inlineStr">
        <is>
          <t>05</t>
        </is>
      </c>
      <c r="H4259" t="inlineStr">
        <is>
          <t xml:space="preserve">06 KG </t>
        </is>
      </c>
      <c r="I4259" t="inlineStr">
        <is>
          <t>2029</t>
        </is>
      </c>
      <c r="J4259" t="n">
        <v>2009</v>
      </c>
      <c r="K4259" t="inlineStr">
        <is>
          <t>ENERO 2026</t>
        </is>
      </c>
      <c r="L4259" t="inlineStr">
        <is>
          <t>ENERO 2027</t>
        </is>
      </c>
      <c r="M4259" t="inlineStr">
        <is>
          <t>P.Q.S TIPO ABC AL 90 % NACIONAL</t>
        </is>
      </c>
      <c r="N4259" t="inlineStr">
        <is>
          <t>08/002569</t>
        </is>
      </c>
      <c r="O4259" t="inlineStr">
        <is>
          <t>R</t>
        </is>
      </c>
      <c r="P4259">
        <f>TRIM(N4259)</f>
        <v/>
      </c>
    </row>
    <row r="4260">
      <c r="A4260" t="inlineStr">
        <is>
          <t>CO-002613</t>
        </is>
      </c>
      <c r="B4260" t="inlineStr">
        <is>
          <t xml:space="preserve">PERU MASIVO - INFRAESTRUCTURA </t>
        </is>
      </c>
      <c r="C4260" t="inlineStr">
        <is>
          <t>20492392031</t>
        </is>
      </c>
      <c r="D4260" t="inlineStr">
        <is>
          <t>AV. LOS INCAS CDRA. 4 PATIO NORTE - COMAS</t>
        </is>
      </c>
      <c r="E4260" t="inlineStr">
        <is>
          <t>Lima, 28 de enero del 2026</t>
        </is>
      </c>
      <c r="F4260" t="inlineStr">
        <is>
          <t>la Recarga y mantenimiento</t>
        </is>
      </c>
      <c r="G4260" t="inlineStr">
        <is>
          <t>06</t>
        </is>
      </c>
      <c r="H4260" t="inlineStr">
        <is>
          <t xml:space="preserve">06 KG </t>
        </is>
      </c>
      <c r="I4260" t="inlineStr">
        <is>
          <t>2028</t>
        </is>
      </c>
      <c r="J4260" t="n">
        <v>2010</v>
      </c>
      <c r="K4260" t="inlineStr">
        <is>
          <t>ENERO 2026</t>
        </is>
      </c>
      <c r="L4260" t="inlineStr">
        <is>
          <t>ENERO 2027</t>
        </is>
      </c>
      <c r="M4260" t="inlineStr">
        <is>
          <t>P.Q.S TIPO ABC AL 90 % NACIONAL</t>
        </is>
      </c>
      <c r="N4260" t="inlineStr">
        <is>
          <t>07/003056</t>
        </is>
      </c>
      <c r="O4260" t="inlineStr">
        <is>
          <t>R</t>
        </is>
      </c>
      <c r="P4260">
        <f>TRIM(N4260)</f>
        <v/>
      </c>
    </row>
    <row r="4261">
      <c r="A4261" t="inlineStr">
        <is>
          <t>CO-002613</t>
        </is>
      </c>
      <c r="B4261" t="inlineStr">
        <is>
          <t xml:space="preserve">PERU MASIVO - INFRAESTRUCTURA </t>
        </is>
      </c>
      <c r="C4261" t="inlineStr">
        <is>
          <t>20492392031</t>
        </is>
      </c>
      <c r="D4261" t="inlineStr">
        <is>
          <t>AV. LOS INCAS CDRA. 4 PATIO NORTE - COMAS</t>
        </is>
      </c>
      <c r="E4261" t="inlineStr">
        <is>
          <t>Lima, 28 de enero del 2026</t>
        </is>
      </c>
      <c r="F4261" t="inlineStr">
        <is>
          <t>la Recarga y mantenimiento</t>
        </is>
      </c>
      <c r="G4261" t="inlineStr">
        <is>
          <t>07</t>
        </is>
      </c>
      <c r="H4261" t="inlineStr">
        <is>
          <t xml:space="preserve">06 KG </t>
        </is>
      </c>
      <c r="I4261" t="inlineStr">
        <is>
          <t>2029</t>
        </is>
      </c>
      <c r="J4261" t="n">
        <v>2009</v>
      </c>
      <c r="K4261" t="inlineStr">
        <is>
          <t>ENERO 2026</t>
        </is>
      </c>
      <c r="L4261" t="inlineStr">
        <is>
          <t>ENERO 2027</t>
        </is>
      </c>
      <c r="M4261" t="inlineStr">
        <is>
          <t>P.Q.S TIPO ABC AL 90 % NACIONAL</t>
        </is>
      </c>
      <c r="N4261" t="inlineStr">
        <is>
          <t>10/000744</t>
        </is>
      </c>
      <c r="O4261" t="inlineStr">
        <is>
          <t>R</t>
        </is>
      </c>
      <c r="P4261">
        <f>TRIM(N4261)</f>
        <v/>
      </c>
    </row>
    <row r="4262">
      <c r="A4262" t="inlineStr">
        <is>
          <t>CO-002613</t>
        </is>
      </c>
      <c r="B4262" t="inlineStr">
        <is>
          <t xml:space="preserve">PERU MASIVO - INFRAESTRUCTURA </t>
        </is>
      </c>
      <c r="C4262" t="inlineStr">
        <is>
          <t>20492392031</t>
        </is>
      </c>
      <c r="D4262" t="inlineStr">
        <is>
          <t>AV. LOS INCAS CDRA. 4 PATIO NORTE - COMAS</t>
        </is>
      </c>
      <c r="E4262" t="inlineStr">
        <is>
          <t>Lima, 28 de enero del 2026</t>
        </is>
      </c>
      <c r="F4262" t="inlineStr">
        <is>
          <t>la Recarga y mantenimiento</t>
        </is>
      </c>
      <c r="G4262" t="inlineStr">
        <is>
          <t>08</t>
        </is>
      </c>
      <c r="H4262" t="inlineStr">
        <is>
          <t xml:space="preserve">06 KG </t>
        </is>
      </c>
      <c r="I4262" t="inlineStr">
        <is>
          <t>2028</t>
        </is>
      </c>
      <c r="J4262" t="n">
        <v>2009</v>
      </c>
      <c r="K4262" t="inlineStr">
        <is>
          <t>ENERO 2026</t>
        </is>
      </c>
      <c r="L4262" t="inlineStr">
        <is>
          <t>ENERO 2027</t>
        </is>
      </c>
      <c r="M4262" t="inlineStr">
        <is>
          <t>P.Q.S TIPO ABC AL 90 % NACIONAL</t>
        </is>
      </c>
      <c r="N4262" t="inlineStr">
        <is>
          <t>01/000603</t>
        </is>
      </c>
      <c r="O4262" t="inlineStr">
        <is>
          <t>R</t>
        </is>
      </c>
      <c r="P4262">
        <f>TRIM(N4262)</f>
        <v/>
      </c>
    </row>
    <row r="4263">
      <c r="A4263" t="inlineStr">
        <is>
          <t>CO-002614</t>
        </is>
      </c>
      <c r="B4263" t="inlineStr">
        <is>
          <t>QELLPU PERU SA</t>
        </is>
      </c>
      <c r="C4263" t="inlineStr">
        <is>
          <t>20492318656</t>
        </is>
      </c>
      <c r="D4263" t="inlineStr">
        <is>
          <t>AV. LOS INCAS CDRA. 4 PATIO NORTE - COMAS</t>
        </is>
      </c>
      <c r="E4263" t="inlineStr">
        <is>
          <t>Lima, 28 de enero del 2026</t>
        </is>
      </c>
      <c r="F4263" t="inlineStr">
        <is>
          <t>la Recarga y mantenimiento</t>
        </is>
      </c>
      <c r="G4263" t="inlineStr">
        <is>
          <t>01</t>
        </is>
      </c>
      <c r="H4263" t="inlineStr">
        <is>
          <t xml:space="preserve">06 KG </t>
        </is>
      </c>
      <c r="I4263" t="inlineStr">
        <is>
          <t>2029</t>
        </is>
      </c>
      <c r="J4263" t="n">
        <v>2009</v>
      </c>
      <c r="K4263" t="inlineStr">
        <is>
          <t>ENERO 2026</t>
        </is>
      </c>
      <c r="L4263" t="inlineStr">
        <is>
          <t>ENERO 2027</t>
        </is>
      </c>
      <c r="M4263" t="inlineStr">
        <is>
          <t>P.Q.S TIPO ABC AL 90 % NACIONAL</t>
        </is>
      </c>
      <c r="N4263" t="inlineStr">
        <is>
          <t>30/001644</t>
        </is>
      </c>
      <c r="O4263" t="inlineStr">
        <is>
          <t>R</t>
        </is>
      </c>
      <c r="P4263">
        <f>TRIM(N4263)</f>
        <v/>
      </c>
    </row>
    <row r="4264">
      <c r="A4264" t="inlineStr">
        <is>
          <t>CO-002614</t>
        </is>
      </c>
      <c r="B4264" t="inlineStr">
        <is>
          <t>QELLPU PERU SA</t>
        </is>
      </c>
      <c r="C4264" t="inlineStr">
        <is>
          <t>20492318656</t>
        </is>
      </c>
      <c r="D4264" t="inlineStr">
        <is>
          <t>AV. LOS INCAS CDRA. 4 PATIO NORTE - COMAS</t>
        </is>
      </c>
      <c r="E4264" t="inlineStr">
        <is>
          <t>Lima, 28 de enero del 2026</t>
        </is>
      </c>
      <c r="F4264" t="inlineStr">
        <is>
          <t>la Recarga y mantenimiento</t>
        </is>
      </c>
      <c r="G4264" t="inlineStr">
        <is>
          <t>02</t>
        </is>
      </c>
      <c r="H4264" t="inlineStr">
        <is>
          <t xml:space="preserve">06 KG </t>
        </is>
      </c>
      <c r="I4264" t="inlineStr">
        <is>
          <t>2029</t>
        </is>
      </c>
      <c r="J4264" t="n">
        <v>2009</v>
      </c>
      <c r="K4264" t="inlineStr">
        <is>
          <t>ENERO 2026</t>
        </is>
      </c>
      <c r="L4264" t="inlineStr">
        <is>
          <t>ENERO 2027</t>
        </is>
      </c>
      <c r="M4264" t="inlineStr">
        <is>
          <t>P.Q.S TIPO ABC AL 90 % NACIONAL</t>
        </is>
      </c>
      <c r="N4264" t="inlineStr">
        <is>
          <t>04/001619</t>
        </is>
      </c>
      <c r="O4264" t="inlineStr">
        <is>
          <t>R</t>
        </is>
      </c>
      <c r="P4264">
        <f>TRIM(N4264)</f>
        <v/>
      </c>
    </row>
    <row r="4265">
      <c r="A4265" t="inlineStr">
        <is>
          <t>CO-002615</t>
        </is>
      </c>
      <c r="B4265" t="inlineStr">
        <is>
          <t xml:space="preserve">INDEXTU SAC </t>
        </is>
      </c>
      <c r="C4265" t="inlineStr">
        <is>
          <t>20602503039</t>
        </is>
      </c>
      <c r="D4265" t="inlineStr">
        <is>
          <t xml:space="preserve"> AV. MAQUINARIAS NRO. 2341 Z.I. INDUSTRIAL, LIMA</t>
        </is>
      </c>
      <c r="E4265" t="inlineStr">
        <is>
          <t>Lima, 29 de enero del 2026</t>
        </is>
      </c>
      <c r="F4265" t="inlineStr">
        <is>
          <t>la Recarga y mantenimiento</t>
        </is>
      </c>
      <c r="G4265" t="inlineStr">
        <is>
          <t xml:space="preserve">01 </t>
        </is>
      </c>
      <c r="H4265" t="inlineStr">
        <is>
          <t>06 KG</t>
        </is>
      </c>
      <c r="I4265" t="inlineStr">
        <is>
          <t>2031</t>
        </is>
      </c>
      <c r="J4265" t="n">
        <v>2021</v>
      </c>
      <c r="K4265" t="inlineStr">
        <is>
          <t>ENERO 2026</t>
        </is>
      </c>
      <c r="L4265" t="inlineStr">
        <is>
          <t>ENERO 2027</t>
        </is>
      </c>
      <c r="M4265" t="inlineStr">
        <is>
          <t>PQS TIPO ABC AL 90%</t>
        </is>
      </c>
      <c r="N4265" t="inlineStr">
        <is>
          <t>9/000190</t>
        </is>
      </c>
      <c r="O4265" t="inlineStr">
        <is>
          <t>R</t>
        </is>
      </c>
      <c r="P4265">
        <f>TRIM(N4265)</f>
        <v/>
      </c>
    </row>
    <row r="4266">
      <c r="A4266" t="inlineStr">
        <is>
          <t>CO-002615</t>
        </is>
      </c>
      <c r="B4266" t="inlineStr">
        <is>
          <t xml:space="preserve">INDEXTU SAC </t>
        </is>
      </c>
      <c r="C4266" t="inlineStr">
        <is>
          <t>20602503039</t>
        </is>
      </c>
      <c r="D4266" t="inlineStr">
        <is>
          <t xml:space="preserve"> AV. MAQUINARIAS NRO. 2341 Z.I. INDUSTRIAL, LIMA</t>
        </is>
      </c>
      <c r="E4266" t="inlineStr">
        <is>
          <t>Lima, 29 de enero del 2026</t>
        </is>
      </c>
      <c r="F4266" t="inlineStr">
        <is>
          <t>la Recarga y mantenimiento</t>
        </is>
      </c>
      <c r="G4266" t="inlineStr">
        <is>
          <t>02</t>
        </is>
      </c>
      <c r="H4266" t="inlineStr">
        <is>
          <t>12 KG</t>
        </is>
      </c>
      <c r="I4266" t="inlineStr">
        <is>
          <t>2031</t>
        </is>
      </c>
      <c r="J4266" t="n">
        <v>2021</v>
      </c>
      <c r="K4266" t="inlineStr">
        <is>
          <t>ENERO 2026</t>
        </is>
      </c>
      <c r="L4266" t="inlineStr">
        <is>
          <t>ENERO 2027</t>
        </is>
      </c>
      <c r="M4266" t="inlineStr">
        <is>
          <t>PQS TIPO ABC AL 90%</t>
        </is>
      </c>
      <c r="N4266" t="inlineStr">
        <is>
          <t>12/000204</t>
        </is>
      </c>
      <c r="O4266" t="inlineStr">
        <is>
          <t>R</t>
        </is>
      </c>
      <c r="P4266">
        <f>TRIM(N4266)</f>
        <v/>
      </c>
    </row>
    <row r="4267">
      <c r="A4267" t="inlineStr">
        <is>
          <t>CO-002615</t>
        </is>
      </c>
      <c r="B4267" t="inlineStr">
        <is>
          <t xml:space="preserve">INDEXTU SAC </t>
        </is>
      </c>
      <c r="C4267" t="inlineStr">
        <is>
          <t>20602503039</t>
        </is>
      </c>
      <c r="D4267" t="inlineStr">
        <is>
          <t xml:space="preserve"> AV. MAQUINARIAS NRO. 2341 Z.I. INDUSTRIAL, LIMA</t>
        </is>
      </c>
      <c r="E4267" t="inlineStr">
        <is>
          <t>Lima, 29 de enero del 2026</t>
        </is>
      </c>
      <c r="F4267" t="inlineStr">
        <is>
          <t>la Recarga y mantenimiento</t>
        </is>
      </c>
      <c r="G4267" t="inlineStr">
        <is>
          <t>03</t>
        </is>
      </c>
      <c r="H4267" t="inlineStr">
        <is>
          <t>10 LBS</t>
        </is>
      </c>
      <c r="I4267" t="n">
        <v>2031</v>
      </c>
      <c r="J4267" t="n">
        <v>2016</v>
      </c>
      <c r="K4267" t="inlineStr">
        <is>
          <t>ENERO 2026</t>
        </is>
      </c>
      <c r="L4267" t="inlineStr">
        <is>
          <t>ENERO 2027</t>
        </is>
      </c>
      <c r="M4267" t="inlineStr">
        <is>
          <t>CO2 TIPO BC</t>
        </is>
      </c>
      <c r="N4267" t="inlineStr">
        <is>
          <t>14/310322</t>
        </is>
      </c>
      <c r="O4267" t="inlineStr">
        <is>
          <t>R</t>
        </is>
      </c>
      <c r="P4267">
        <f>TRIM(N4267)</f>
        <v/>
      </c>
    </row>
    <row r="4268">
      <c r="A4268" t="inlineStr">
        <is>
          <t>CO-002616</t>
        </is>
      </c>
      <c r="B4268" t="inlineStr">
        <is>
          <t>GACSA PERU S.A.C.</t>
        </is>
      </c>
      <c r="C4268" t="n">
        <v>20602629068</v>
      </c>
      <c r="D4268" t="inlineStr">
        <is>
          <t xml:space="preserve">MALL DEL SUR TIENDA CHERY </t>
        </is>
      </c>
      <c r="E4268" t="inlineStr">
        <is>
          <t>Lima, 24 de enero del 2026</t>
        </is>
      </c>
      <c r="F4268" t="inlineStr">
        <is>
          <t>la Recarga y mantenimiento</t>
        </is>
      </c>
      <c r="G4268" t="inlineStr">
        <is>
          <t>01</t>
        </is>
      </c>
      <c r="H4268" t="inlineStr">
        <is>
          <t>10 LBS</t>
        </is>
      </c>
      <c r="I4268" t="inlineStr">
        <is>
          <t>2027</t>
        </is>
      </c>
      <c r="J4268" t="n">
        <v>2022</v>
      </c>
      <c r="K4268" t="inlineStr">
        <is>
          <t>ENERO 2026</t>
        </is>
      </c>
      <c r="L4268" t="inlineStr">
        <is>
          <t>ENERO 2027</t>
        </is>
      </c>
      <c r="M4268" t="inlineStr">
        <is>
          <t>CO2 TIPO BC</t>
        </is>
      </c>
      <c r="N4268" t="inlineStr">
        <is>
          <t>01/000143</t>
        </is>
      </c>
      <c r="O4268" t="inlineStr">
        <is>
          <t>R</t>
        </is>
      </c>
      <c r="P4268">
        <f>TRIM(N4268)</f>
        <v/>
      </c>
    </row>
    <row r="4269">
      <c r="A4269" t="inlineStr">
        <is>
          <t>CO-002616</t>
        </is>
      </c>
      <c r="B4269" t="inlineStr">
        <is>
          <t>GACSA PERU S.A.C.</t>
        </is>
      </c>
      <c r="C4269" t="n">
        <v>20602629068</v>
      </c>
      <c r="D4269" t="inlineStr">
        <is>
          <t xml:space="preserve">MALL DEL SUR TIENDA CHERY </t>
        </is>
      </c>
      <c r="E4269" t="inlineStr">
        <is>
          <t>Lima, 24 de enero del 2026</t>
        </is>
      </c>
      <c r="F4269" t="inlineStr">
        <is>
          <t>la Recarga y mantenimiento</t>
        </is>
      </c>
      <c r="G4269" t="inlineStr">
        <is>
          <t>02</t>
        </is>
      </c>
      <c r="H4269" t="inlineStr">
        <is>
          <t>06 KG</t>
        </is>
      </c>
      <c r="I4269" t="inlineStr">
        <is>
          <t>2031</t>
        </is>
      </c>
      <c r="J4269" t="n">
        <v>2015</v>
      </c>
      <c r="K4269" t="inlineStr">
        <is>
          <t>ENERO 2026</t>
        </is>
      </c>
      <c r="L4269" t="inlineStr">
        <is>
          <t>ENERO 2027</t>
        </is>
      </c>
      <c r="M4269" t="inlineStr">
        <is>
          <t>PQS TIPO ABC</t>
        </is>
      </c>
      <c r="N4269" t="inlineStr">
        <is>
          <t>02/000036</t>
        </is>
      </c>
      <c r="O4269" t="inlineStr">
        <is>
          <t>R</t>
        </is>
      </c>
      <c r="P4269">
        <f>TRIM(N4269)</f>
        <v/>
      </c>
    </row>
    <row r="4270">
      <c r="A4270" t="inlineStr">
        <is>
          <t>CO-002616</t>
        </is>
      </c>
      <c r="B4270" t="inlineStr">
        <is>
          <t>GACSA PERU S.A.C.</t>
        </is>
      </c>
      <c r="C4270" t="n">
        <v>20602629068</v>
      </c>
      <c r="D4270" t="inlineStr">
        <is>
          <t xml:space="preserve">MALL DEL SUR TIENDA CHERY </t>
        </is>
      </c>
      <c r="E4270" t="inlineStr">
        <is>
          <t>Lima, 24 de enero del 2026</t>
        </is>
      </c>
      <c r="F4270" t="inlineStr">
        <is>
          <t>la Recarga y mantenimiento</t>
        </is>
      </c>
      <c r="G4270" t="inlineStr">
        <is>
          <t>03</t>
        </is>
      </c>
      <c r="H4270" t="inlineStr">
        <is>
          <t>12 KG</t>
        </is>
      </c>
      <c r="I4270" t="n">
        <v>2031</v>
      </c>
      <c r="J4270" t="n">
        <v>2011</v>
      </c>
      <c r="K4270" t="inlineStr">
        <is>
          <t>ENERO 2026</t>
        </is>
      </c>
      <c r="L4270" t="inlineStr">
        <is>
          <t>ENERO 2027</t>
        </is>
      </c>
      <c r="M4270" t="inlineStr">
        <is>
          <t>PQS TIPO ABC</t>
        </is>
      </c>
      <c r="N4270" t="inlineStr">
        <is>
          <t>03/000309</t>
        </is>
      </c>
      <c r="O4270" t="inlineStr">
        <is>
          <t>R</t>
        </is>
      </c>
      <c r="P4270">
        <f>TRIM(N4270)</f>
        <v/>
      </c>
    </row>
    <row r="4271">
      <c r="A4271" t="inlineStr">
        <is>
          <t>CO-002616</t>
        </is>
      </c>
      <c r="B4271" t="inlineStr">
        <is>
          <t>GACSA PERU S.A.C.</t>
        </is>
      </c>
      <c r="C4271" t="n">
        <v>20602629068</v>
      </c>
      <c r="D4271" t="inlineStr">
        <is>
          <t xml:space="preserve">MALL DEL SUR TIENDA CHERY </t>
        </is>
      </c>
      <c r="E4271" t="inlineStr">
        <is>
          <t>Lima, 24 de enero del 2026</t>
        </is>
      </c>
      <c r="F4271" t="inlineStr">
        <is>
          <t>la Recarga y mantenimiento</t>
        </is>
      </c>
      <c r="G4271" t="inlineStr">
        <is>
          <t>04</t>
        </is>
      </c>
      <c r="H4271" t="inlineStr">
        <is>
          <t xml:space="preserve">10 LBS </t>
        </is>
      </c>
      <c r="I4271" t="n">
        <v>2027</v>
      </c>
      <c r="J4271" t="n">
        <v>2022</v>
      </c>
      <c r="K4271" t="inlineStr">
        <is>
          <t>ENERO 2026</t>
        </is>
      </c>
      <c r="L4271" t="inlineStr">
        <is>
          <t>ENERO 2027</t>
        </is>
      </c>
      <c r="M4271" t="inlineStr">
        <is>
          <t>CO2 TIPO BC</t>
        </is>
      </c>
      <c r="N4271" t="inlineStr">
        <is>
          <t>04/000805</t>
        </is>
      </c>
      <c r="O4271" t="inlineStr">
        <is>
          <t>R</t>
        </is>
      </c>
      <c r="P4271">
        <f>TRIM(N4271)</f>
        <v/>
      </c>
    </row>
    <row r="4272">
      <c r="A4272" t="inlineStr">
        <is>
          <t>CO-002616</t>
        </is>
      </c>
      <c r="B4272" t="inlineStr">
        <is>
          <t>GACSA PERU S.A.C.</t>
        </is>
      </c>
      <c r="C4272" t="n">
        <v>20602629068</v>
      </c>
      <c r="D4272" t="inlineStr">
        <is>
          <t xml:space="preserve">MALL DEL SUR TIENDA CHERY </t>
        </is>
      </c>
      <c r="E4272" t="inlineStr">
        <is>
          <t>Lima, 24 de enero del 2026</t>
        </is>
      </c>
      <c r="F4272" t="inlineStr">
        <is>
          <t>la Recarga y mantenimiento</t>
        </is>
      </c>
      <c r="G4272" t="inlineStr">
        <is>
          <t>05</t>
        </is>
      </c>
      <c r="H4272" t="inlineStr">
        <is>
          <t>10 LBS</t>
        </is>
      </c>
      <c r="I4272" t="n">
        <v>2031</v>
      </c>
      <c r="J4272" t="n">
        <v>2026</v>
      </c>
      <c r="K4272" t="inlineStr">
        <is>
          <t>ABRIL 2026</t>
        </is>
      </c>
      <c r="L4272" t="inlineStr">
        <is>
          <t>ABRIL 2027</t>
        </is>
      </c>
      <c r="M4272" t="inlineStr">
        <is>
          <t>CO2 TIPO BC</t>
        </is>
      </c>
      <c r="N4272" t="inlineStr">
        <is>
          <t>05/000208</t>
        </is>
      </c>
      <c r="O4272" t="inlineStr">
        <is>
          <t>V</t>
        </is>
      </c>
      <c r="P4272">
        <f>TRIM(N4272)</f>
        <v/>
      </c>
    </row>
    <row r="4273">
      <c r="A4273" t="inlineStr">
        <is>
          <t>CO-002617</t>
        </is>
      </c>
      <c r="B4273" t="inlineStr">
        <is>
          <t>GACSA PERU S.A.C.</t>
        </is>
      </c>
      <c r="C4273" t="n">
        <v>20602629068</v>
      </c>
      <c r="D4273" t="inlineStr">
        <is>
          <t xml:space="preserve">MALL DEL SUR TIENDA GELLY </t>
        </is>
      </c>
      <c r="E4273" t="inlineStr">
        <is>
          <t>Lima, 24 de enero del 2026</t>
        </is>
      </c>
      <c r="F4273" t="inlineStr">
        <is>
          <t>la Recarga y mantenimiento</t>
        </is>
      </c>
      <c r="G4273" t="inlineStr">
        <is>
          <t>01</t>
        </is>
      </c>
      <c r="H4273" t="inlineStr">
        <is>
          <t>10 LBS</t>
        </is>
      </c>
      <c r="I4273" t="inlineStr">
        <is>
          <t>2027</t>
        </is>
      </c>
      <c r="J4273" t="n">
        <v>2022</v>
      </c>
      <c r="K4273" t="inlineStr">
        <is>
          <t>ENERO 2026</t>
        </is>
      </c>
      <c r="L4273" t="inlineStr">
        <is>
          <t>ENERO 2027</t>
        </is>
      </c>
      <c r="M4273" t="inlineStr">
        <is>
          <t>CO2 TIPO BC</t>
        </is>
      </c>
      <c r="N4273" t="inlineStr">
        <is>
          <t>01/000066</t>
        </is>
      </c>
      <c r="O4273" t="inlineStr">
        <is>
          <t>R</t>
        </is>
      </c>
      <c r="P4273">
        <f>TRIM(N4273)</f>
        <v/>
      </c>
    </row>
    <row r="4274">
      <c r="A4274" t="inlineStr">
        <is>
          <t>CO-002617</t>
        </is>
      </c>
      <c r="B4274" t="inlineStr">
        <is>
          <t>GACSA PERU S.A.C.</t>
        </is>
      </c>
      <c r="C4274" t="n">
        <v>20602629068</v>
      </c>
      <c r="D4274" t="inlineStr">
        <is>
          <t xml:space="preserve">MALL DEL SUR TIENDA GELLY </t>
        </is>
      </c>
      <c r="E4274" t="inlineStr">
        <is>
          <t>Lima, 24 de enero del 2026</t>
        </is>
      </c>
      <c r="F4274" t="inlineStr">
        <is>
          <t>la Recarga y mantenimiento</t>
        </is>
      </c>
      <c r="G4274" t="inlineStr">
        <is>
          <t>02</t>
        </is>
      </c>
      <c r="H4274" t="inlineStr">
        <is>
          <t>06 KG</t>
        </is>
      </c>
      <c r="I4274" t="inlineStr">
        <is>
          <t>2031</t>
        </is>
      </c>
      <c r="J4274" t="n">
        <v>2012</v>
      </c>
      <c r="K4274" t="inlineStr">
        <is>
          <t>ENERO 2026</t>
        </is>
      </c>
      <c r="L4274" t="inlineStr">
        <is>
          <t>ENERO 2027</t>
        </is>
      </c>
      <c r="M4274" t="inlineStr">
        <is>
          <t>PQS TIPO ABC</t>
        </is>
      </c>
      <c r="N4274" t="inlineStr">
        <is>
          <t>02/002653</t>
        </is>
      </c>
      <c r="O4274" t="inlineStr">
        <is>
          <t>R</t>
        </is>
      </c>
      <c r="P4274">
        <f>TRIM(N4274)</f>
        <v/>
      </c>
    </row>
    <row r="4275">
      <c r="A4275" t="inlineStr">
        <is>
          <t>CO-002617</t>
        </is>
      </c>
      <c r="B4275" t="inlineStr">
        <is>
          <t>GACSA PERU S.A.C.</t>
        </is>
      </c>
      <c r="C4275" t="n">
        <v>20602629068</v>
      </c>
      <c r="D4275" t="inlineStr">
        <is>
          <t xml:space="preserve">MALL DEL SUR TIENDA GELLY </t>
        </is>
      </c>
      <c r="E4275" t="inlineStr">
        <is>
          <t>Lima, 24 de enero del 2026</t>
        </is>
      </c>
      <c r="F4275" t="inlineStr">
        <is>
          <t>la Recarga y mantenimiento</t>
        </is>
      </c>
      <c r="G4275" t="inlineStr">
        <is>
          <t>03</t>
        </is>
      </c>
      <c r="H4275" t="inlineStr">
        <is>
          <t>06 KG</t>
        </is>
      </c>
      <c r="I4275" t="n">
        <v>2031</v>
      </c>
      <c r="J4275" t="n">
        <v>2019</v>
      </c>
      <c r="K4275" t="inlineStr">
        <is>
          <t>ENERO 2026</t>
        </is>
      </c>
      <c r="L4275" t="inlineStr">
        <is>
          <t>ENERO 2027</t>
        </is>
      </c>
      <c r="M4275" t="inlineStr">
        <is>
          <t>PQS TIPO ABC</t>
        </is>
      </c>
      <c r="N4275" t="inlineStr">
        <is>
          <t>03/003612</t>
        </is>
      </c>
      <c r="O4275" t="inlineStr">
        <is>
          <t>R</t>
        </is>
      </c>
      <c r="P4275">
        <f>TRIM(N4275)</f>
        <v/>
      </c>
    </row>
    <row r="4276">
      <c r="A4276" t="inlineStr">
        <is>
          <t>CO-002617</t>
        </is>
      </c>
      <c r="B4276" t="inlineStr">
        <is>
          <t>GACSA PERU S.A.C.</t>
        </is>
      </c>
      <c r="C4276" t="n">
        <v>20602629068</v>
      </c>
      <c r="D4276" t="inlineStr">
        <is>
          <t xml:space="preserve">MALL DEL SUR TIENDA GELLY </t>
        </is>
      </c>
      <c r="E4276" t="inlineStr">
        <is>
          <t>Lima, 24 de enero del 2026</t>
        </is>
      </c>
      <c r="F4276" t="inlineStr">
        <is>
          <t>la Recarga y mantenimiento</t>
        </is>
      </c>
      <c r="G4276" t="inlineStr">
        <is>
          <t>04</t>
        </is>
      </c>
      <c r="H4276" t="inlineStr">
        <is>
          <t>10 LBS</t>
        </is>
      </c>
      <c r="I4276" t="n">
        <v>2030</v>
      </c>
      <c r="J4276" t="n">
        <v>2025</v>
      </c>
      <c r="K4276" t="inlineStr">
        <is>
          <t>ENERO 2026</t>
        </is>
      </c>
      <c r="L4276" t="inlineStr">
        <is>
          <t>ENERO 2027</t>
        </is>
      </c>
      <c r="M4276" t="inlineStr">
        <is>
          <t>CO2 TIPO BC</t>
        </is>
      </c>
      <c r="N4276" t="inlineStr">
        <is>
          <t>04/000014</t>
        </is>
      </c>
      <c r="O4276" t="inlineStr">
        <is>
          <t>R</t>
        </is>
      </c>
      <c r="P4276">
        <f>TRIM(N4276)</f>
        <v/>
      </c>
    </row>
    <row r="4277">
      <c r="A4277" t="inlineStr">
        <is>
          <t>CO-002618</t>
        </is>
      </c>
      <c r="B4277" t="inlineStr">
        <is>
          <t>GACSA PERU S.A.C.</t>
        </is>
      </c>
      <c r="C4277" t="n">
        <v>20602629068</v>
      </c>
      <c r="D4277" t="inlineStr">
        <is>
          <t xml:space="preserve">MALL DEL SUR TIENDA HYUNDAI </t>
        </is>
      </c>
      <c r="E4277" t="inlineStr">
        <is>
          <t>Lima, 24 de enero del 2026</t>
        </is>
      </c>
      <c r="F4277" t="inlineStr">
        <is>
          <t>la Recarga y mantenimiento</t>
        </is>
      </c>
      <c r="G4277" t="inlineStr">
        <is>
          <t>01</t>
        </is>
      </c>
      <c r="H4277" t="inlineStr">
        <is>
          <t>06 KG</t>
        </is>
      </c>
      <c r="I4277" t="inlineStr">
        <is>
          <t>2027</t>
        </is>
      </c>
      <c r="J4277" t="n">
        <v>2022</v>
      </c>
      <c r="K4277" t="inlineStr">
        <is>
          <t>ENERO 2026</t>
        </is>
      </c>
      <c r="L4277" t="inlineStr">
        <is>
          <t>ENERO 2027</t>
        </is>
      </c>
      <c r="M4277" t="inlineStr">
        <is>
          <t>PQS TIPO ABC</t>
        </is>
      </c>
      <c r="N4277" t="inlineStr">
        <is>
          <t>01/003222</t>
        </is>
      </c>
      <c r="O4277" t="inlineStr">
        <is>
          <t>R</t>
        </is>
      </c>
      <c r="P4277">
        <f>TRIM(N4277)</f>
        <v/>
      </c>
    </row>
    <row r="4278">
      <c r="A4278" t="inlineStr">
        <is>
          <t>CO-002618</t>
        </is>
      </c>
      <c r="B4278" t="inlineStr">
        <is>
          <t>GACSA PERU S.A.C.</t>
        </is>
      </c>
      <c r="C4278" t="n">
        <v>20602629068</v>
      </c>
      <c r="D4278" t="inlineStr">
        <is>
          <t xml:space="preserve">MALL DEL SUR TIENDA HYUNDAI </t>
        </is>
      </c>
      <c r="E4278" t="inlineStr">
        <is>
          <t>Lima, 24 de enero del 2026</t>
        </is>
      </c>
      <c r="F4278" t="inlineStr">
        <is>
          <t>la Recarga y mantenimiento</t>
        </is>
      </c>
      <c r="G4278" t="inlineStr">
        <is>
          <t>02</t>
        </is>
      </c>
      <c r="H4278" t="inlineStr">
        <is>
          <t>06 KG</t>
        </is>
      </c>
      <c r="I4278" t="inlineStr">
        <is>
          <t>2031</t>
        </is>
      </c>
      <c r="J4278" t="n">
        <v>2019</v>
      </c>
      <c r="K4278" t="inlineStr">
        <is>
          <t>ENERO 2026</t>
        </is>
      </c>
      <c r="L4278" t="inlineStr">
        <is>
          <t>ENERO 2027</t>
        </is>
      </c>
      <c r="M4278" t="inlineStr">
        <is>
          <t>PQS TIPO ABC</t>
        </is>
      </c>
      <c r="N4278" t="inlineStr">
        <is>
          <t>02/004229</t>
        </is>
      </c>
      <c r="O4278" t="inlineStr">
        <is>
          <t>R</t>
        </is>
      </c>
      <c r="P4278">
        <f>TRIM(N4278)</f>
        <v/>
      </c>
    </row>
    <row r="4279">
      <c r="A4279" t="inlineStr">
        <is>
          <t>CO-002618</t>
        </is>
      </c>
      <c r="B4279" t="inlineStr">
        <is>
          <t>GACSA PERU S.A.C.</t>
        </is>
      </c>
      <c r="C4279" t="n">
        <v>20602629068</v>
      </c>
      <c r="D4279" t="inlineStr">
        <is>
          <t xml:space="preserve">MALL DEL SUR TIENDA HYUNDAI </t>
        </is>
      </c>
      <c r="E4279" t="inlineStr">
        <is>
          <t>Lima, 24 de enero del 2026</t>
        </is>
      </c>
      <c r="F4279" t="inlineStr">
        <is>
          <t>la Recarga y mantenimiento</t>
        </is>
      </c>
      <c r="G4279" t="inlineStr">
        <is>
          <t>03</t>
        </is>
      </c>
      <c r="H4279" t="inlineStr">
        <is>
          <t>06 KG</t>
        </is>
      </c>
      <c r="I4279" t="n">
        <v>2031</v>
      </c>
      <c r="J4279" t="n">
        <v>2010</v>
      </c>
      <c r="K4279" t="inlineStr">
        <is>
          <t>ENERO 2026</t>
        </is>
      </c>
      <c r="L4279" t="inlineStr">
        <is>
          <t>ENERO 2027</t>
        </is>
      </c>
      <c r="M4279" t="inlineStr">
        <is>
          <t>PQS TIPO ABC</t>
        </is>
      </c>
      <c r="N4279" t="inlineStr">
        <is>
          <t>03/001798</t>
        </is>
      </c>
      <c r="O4279" t="inlineStr">
        <is>
          <t>R</t>
        </is>
      </c>
      <c r="P4279">
        <f>TRIM(N4279)</f>
        <v/>
      </c>
    </row>
    <row r="4280">
      <c r="A4280" t="inlineStr">
        <is>
          <t>CO-002618</t>
        </is>
      </c>
      <c r="B4280" t="inlineStr">
        <is>
          <t>GACSA PERU S.A.C.</t>
        </is>
      </c>
      <c r="C4280" t="n">
        <v>20602629068</v>
      </c>
      <c r="D4280" t="inlineStr">
        <is>
          <t xml:space="preserve">MALL DEL SUR TIENDA HYUNDAI </t>
        </is>
      </c>
      <c r="E4280" t="inlineStr">
        <is>
          <t>Lima, 24 de enero del 2026</t>
        </is>
      </c>
      <c r="F4280" t="inlineStr">
        <is>
          <t>la Recarga y mantenimiento</t>
        </is>
      </c>
      <c r="G4280" t="inlineStr">
        <is>
          <t>04</t>
        </is>
      </c>
      <c r="H4280" t="inlineStr">
        <is>
          <t>12 KG</t>
        </is>
      </c>
      <c r="I4280" t="n">
        <v>2031</v>
      </c>
      <c r="J4280" t="n">
        <v>2011</v>
      </c>
      <c r="K4280" t="inlineStr">
        <is>
          <t>ENERO 2026</t>
        </is>
      </c>
      <c r="L4280" t="inlineStr">
        <is>
          <t>ENERO 2027</t>
        </is>
      </c>
      <c r="M4280" t="inlineStr">
        <is>
          <t>PQS TIPO ABC</t>
        </is>
      </c>
      <c r="N4280" t="inlineStr">
        <is>
          <t>04/001938</t>
        </is>
      </c>
      <c r="O4280" t="inlineStr">
        <is>
          <t>R</t>
        </is>
      </c>
      <c r="P4280">
        <f>TRIM(N4280)</f>
        <v/>
      </c>
    </row>
    <row r="4281">
      <c r="A4281" t="inlineStr">
        <is>
          <t>CO-002619</t>
        </is>
      </c>
      <c r="B4281" t="inlineStr">
        <is>
          <t>GACSA PERU S.A.C.</t>
        </is>
      </c>
      <c r="C4281" t="n">
        <v>20602629068</v>
      </c>
      <c r="D4281" t="inlineStr">
        <is>
          <t xml:space="preserve">MALL DEL SUR TIENDA KIA </t>
        </is>
      </c>
      <c r="E4281" t="inlineStr">
        <is>
          <t>Lima, 24 de enero del 2026</t>
        </is>
      </c>
      <c r="F4281" t="inlineStr">
        <is>
          <t>la Recarga y mantenimiento</t>
        </is>
      </c>
      <c r="G4281" t="inlineStr">
        <is>
          <t>01</t>
        </is>
      </c>
      <c r="H4281" t="inlineStr">
        <is>
          <t>09 KG</t>
        </is>
      </c>
      <c r="I4281" t="inlineStr">
        <is>
          <t>2031</t>
        </is>
      </c>
      <c r="J4281" t="n">
        <v>2015</v>
      </c>
      <c r="K4281" t="inlineStr">
        <is>
          <t>ENERO 2026</t>
        </is>
      </c>
      <c r="L4281" t="inlineStr">
        <is>
          <t>ENERO 2027</t>
        </is>
      </c>
      <c r="M4281" t="inlineStr">
        <is>
          <t>PQS TIPO ABC</t>
        </is>
      </c>
      <c r="N4281" t="inlineStr">
        <is>
          <t>01/000636</t>
        </is>
      </c>
      <c r="O4281" t="inlineStr">
        <is>
          <t>R</t>
        </is>
      </c>
      <c r="P4281">
        <f>TRIM(N4281)</f>
        <v/>
      </c>
    </row>
    <row r="4282">
      <c r="A4282" t="inlineStr">
        <is>
          <t>CO-002619</t>
        </is>
      </c>
      <c r="B4282" t="inlineStr">
        <is>
          <t>GACSA PERU S.A.C.</t>
        </is>
      </c>
      <c r="C4282" t="n">
        <v>20602629068</v>
      </c>
      <c r="D4282" t="inlineStr">
        <is>
          <t xml:space="preserve">MALL DEL SUR TIENDA KIA </t>
        </is>
      </c>
      <c r="E4282" t="inlineStr">
        <is>
          <t>Lima, 24 de enero del 2026</t>
        </is>
      </c>
      <c r="F4282" t="inlineStr">
        <is>
          <t>la Recarga y mantenimiento</t>
        </is>
      </c>
      <c r="G4282" t="inlineStr">
        <is>
          <t>02</t>
        </is>
      </c>
      <c r="H4282" t="inlineStr">
        <is>
          <t>10 LBS</t>
        </is>
      </c>
      <c r="I4282" t="inlineStr">
        <is>
          <t>2027</t>
        </is>
      </c>
      <c r="J4282" t="n">
        <v>2022</v>
      </c>
      <c r="K4282" t="inlineStr">
        <is>
          <t>ENERO 2026</t>
        </is>
      </c>
      <c r="L4282" t="inlineStr">
        <is>
          <t>ENERO 2027</t>
        </is>
      </c>
      <c r="M4282" t="inlineStr">
        <is>
          <t xml:space="preserve">CO2 TIPO BC </t>
        </is>
      </c>
      <c r="N4282" t="inlineStr">
        <is>
          <t>02/000849</t>
        </is>
      </c>
      <c r="O4282" t="inlineStr">
        <is>
          <t>R</t>
        </is>
      </c>
      <c r="P4282">
        <f>TRIM(N4282)</f>
        <v/>
      </c>
    </row>
    <row r="4283">
      <c r="A4283" t="inlineStr">
        <is>
          <t>CO-002619</t>
        </is>
      </c>
      <c r="B4283" t="inlineStr">
        <is>
          <t>GACSA PERU S.A.C.</t>
        </is>
      </c>
      <c r="C4283" t="n">
        <v>20602629068</v>
      </c>
      <c r="D4283" t="inlineStr">
        <is>
          <t xml:space="preserve">MALL DEL SUR TIENDA KIA </t>
        </is>
      </c>
      <c r="E4283" t="inlineStr">
        <is>
          <t>Lima, 24 de enero del 2026</t>
        </is>
      </c>
      <c r="F4283" t="inlineStr">
        <is>
          <t>la Recarga y mantenimiento</t>
        </is>
      </c>
      <c r="G4283" t="inlineStr">
        <is>
          <t>03</t>
        </is>
      </c>
      <c r="H4283" t="inlineStr">
        <is>
          <t>09 KG</t>
        </is>
      </c>
      <c r="I4283" t="n">
        <v>2031</v>
      </c>
      <c r="J4283" t="n">
        <v>2015</v>
      </c>
      <c r="K4283" t="inlineStr">
        <is>
          <t>ENERO 2026</t>
        </is>
      </c>
      <c r="L4283" t="inlineStr">
        <is>
          <t>ENERO 2027</t>
        </is>
      </c>
      <c r="M4283" t="inlineStr">
        <is>
          <t>PQS TIPO ABC</t>
        </is>
      </c>
      <c r="N4283" t="inlineStr">
        <is>
          <t>03/000651</t>
        </is>
      </c>
      <c r="O4283" t="inlineStr">
        <is>
          <t>R</t>
        </is>
      </c>
      <c r="P4283">
        <f>TRIM(N4283)</f>
        <v/>
      </c>
    </row>
    <row r="4284">
      <c r="A4284" t="inlineStr">
        <is>
          <t>CO-002619</t>
        </is>
      </c>
      <c r="B4284" t="inlineStr">
        <is>
          <t>GACSA PERU S.A.C.</t>
        </is>
      </c>
      <c r="C4284" t="n">
        <v>20602629068</v>
      </c>
      <c r="D4284" t="inlineStr">
        <is>
          <t xml:space="preserve">MALL DEL SUR TIENDA KIA </t>
        </is>
      </c>
      <c r="E4284" t="inlineStr">
        <is>
          <t>Lima, 24 de enero del 2026</t>
        </is>
      </c>
      <c r="F4284" t="inlineStr">
        <is>
          <t>la Recarga y mantenimiento</t>
        </is>
      </c>
      <c r="G4284" t="inlineStr">
        <is>
          <t>04</t>
        </is>
      </c>
      <c r="H4284" t="inlineStr">
        <is>
          <t>09 KG</t>
        </is>
      </c>
      <c r="I4284" t="n">
        <v>2031</v>
      </c>
      <c r="J4284" t="n">
        <v>2016</v>
      </c>
      <c r="K4284" t="inlineStr">
        <is>
          <t>ENERO 2026</t>
        </is>
      </c>
      <c r="L4284" t="inlineStr">
        <is>
          <t>ENERO 2027</t>
        </is>
      </c>
      <c r="M4284" t="inlineStr">
        <is>
          <t>PQS TIPO ABC</t>
        </is>
      </c>
      <c r="N4284" t="inlineStr">
        <is>
          <t>04/000260</t>
        </is>
      </c>
      <c r="O4284" t="inlineStr">
        <is>
          <t>R</t>
        </is>
      </c>
      <c r="P4284">
        <f>TRIM(N4284)</f>
        <v/>
      </c>
    </row>
    <row r="4285">
      <c r="A4285" t="inlineStr">
        <is>
          <t>CO-002619</t>
        </is>
      </c>
      <c r="B4285" t="inlineStr">
        <is>
          <t>GACSA PERU S.A.C.</t>
        </is>
      </c>
      <c r="C4285" t="n">
        <v>20602629068</v>
      </c>
      <c r="D4285" t="inlineStr">
        <is>
          <t xml:space="preserve">MALL DEL SUR TIENDA KIA </t>
        </is>
      </c>
      <c r="E4285" t="inlineStr">
        <is>
          <t>Lima, 24 de enero del 2026</t>
        </is>
      </c>
      <c r="F4285" t="inlineStr">
        <is>
          <t>la Recarga y mantenimiento</t>
        </is>
      </c>
      <c r="G4285" t="inlineStr">
        <is>
          <t>05</t>
        </is>
      </c>
      <c r="H4285" t="inlineStr">
        <is>
          <t>06 KG</t>
        </is>
      </c>
      <c r="I4285" t="n">
        <v>2031</v>
      </c>
      <c r="J4285" t="n">
        <v>2019</v>
      </c>
      <c r="K4285" t="inlineStr">
        <is>
          <t>ENERO 2026</t>
        </is>
      </c>
      <c r="L4285" t="inlineStr">
        <is>
          <t>ENERO 2027</t>
        </is>
      </c>
      <c r="M4285" t="inlineStr">
        <is>
          <t xml:space="preserve">PQS TIPO ABC </t>
        </is>
      </c>
      <c r="N4285" t="inlineStr">
        <is>
          <t>05/003749</t>
        </is>
      </c>
      <c r="O4285" t="inlineStr">
        <is>
          <t>R</t>
        </is>
      </c>
      <c r="P4285">
        <f>TRIM(N4285)</f>
        <v/>
      </c>
    </row>
    <row r="4286">
      <c r="A4286" t="inlineStr">
        <is>
          <t>CO-002619</t>
        </is>
      </c>
      <c r="B4286" t="inlineStr">
        <is>
          <t>GACSA PERU S.A.C.</t>
        </is>
      </c>
      <c r="C4286" t="n">
        <v>20602629068</v>
      </c>
      <c r="D4286" t="inlineStr">
        <is>
          <t xml:space="preserve">MALL DEL SUR TIENDA KIA </t>
        </is>
      </c>
      <c r="E4286" t="inlineStr">
        <is>
          <t>Lima, 24 de enero del 2026</t>
        </is>
      </c>
      <c r="F4286" t="inlineStr">
        <is>
          <t>la Recarga y mantenimiento</t>
        </is>
      </c>
      <c r="G4286" t="inlineStr">
        <is>
          <t>06</t>
        </is>
      </c>
      <c r="H4286" t="inlineStr">
        <is>
          <t>09 KG</t>
        </is>
      </c>
      <c r="I4286" t="n">
        <v>2031</v>
      </c>
      <c r="J4286" t="n">
        <v>2014</v>
      </c>
      <c r="K4286" t="inlineStr">
        <is>
          <t>ENERO 2026</t>
        </is>
      </c>
      <c r="L4286" t="inlineStr">
        <is>
          <t>ENERO 2027</t>
        </is>
      </c>
      <c r="M4286" t="inlineStr">
        <is>
          <t>PQS TIPO ABC</t>
        </is>
      </c>
      <c r="N4286" t="inlineStr">
        <is>
          <t>06/000502</t>
        </is>
      </c>
      <c r="O4286" t="inlineStr">
        <is>
          <t>R</t>
        </is>
      </c>
      <c r="P4286">
        <f>TRIM(N4286)</f>
        <v/>
      </c>
    </row>
    <row r="4287">
      <c r="A4287" t="inlineStr">
        <is>
          <t>CO-002619</t>
        </is>
      </c>
      <c r="B4287" t="inlineStr">
        <is>
          <t>GACSA PERU S.A.C.</t>
        </is>
      </c>
      <c r="C4287" t="n">
        <v>20602629068</v>
      </c>
      <c r="D4287" t="inlineStr">
        <is>
          <t xml:space="preserve">MALL DEL SUR TIENDA KIA </t>
        </is>
      </c>
      <c r="E4287" t="inlineStr">
        <is>
          <t>Lima, 24 de enero del 2026</t>
        </is>
      </c>
      <c r="F4287" t="inlineStr">
        <is>
          <t>la Recarga y mantenimiento</t>
        </is>
      </c>
      <c r="G4287" t="inlineStr">
        <is>
          <t>07</t>
        </is>
      </c>
      <c r="H4287" t="inlineStr">
        <is>
          <t>06 KG</t>
        </is>
      </c>
      <c r="I4287" t="n">
        <v>2031</v>
      </c>
      <c r="J4287" t="n">
        <v>2013</v>
      </c>
      <c r="K4287" t="inlineStr">
        <is>
          <t>ENERO 2026</t>
        </is>
      </c>
      <c r="L4287" t="inlineStr">
        <is>
          <t>ENERO 2027</t>
        </is>
      </c>
      <c r="M4287" t="inlineStr">
        <is>
          <t>PQS TIPO ABC</t>
        </is>
      </c>
      <c r="N4287" t="inlineStr">
        <is>
          <t>07/000748</t>
        </is>
      </c>
      <c r="P4287">
        <f>TRIM(N4287)</f>
        <v/>
      </c>
    </row>
    <row r="4288">
      <c r="A4288" t="inlineStr">
        <is>
          <t>CO-002620</t>
        </is>
      </c>
      <c r="B4288" t="inlineStr">
        <is>
          <t>GACSA PERU S.A.C.</t>
        </is>
      </c>
      <c r="C4288" t="n">
        <v>20602629068</v>
      </c>
      <c r="D4288" t="inlineStr">
        <is>
          <t>MALL DEL SUR TIENDA MITSUBISHI</t>
        </is>
      </c>
      <c r="E4288" t="inlineStr">
        <is>
          <t>Lima, 24 de enero del 2026</t>
        </is>
      </c>
      <c r="F4288" t="inlineStr">
        <is>
          <t>la Recarga y mantenimiento</t>
        </is>
      </c>
      <c r="G4288" t="inlineStr">
        <is>
          <t>01</t>
        </is>
      </c>
      <c r="H4288" t="inlineStr">
        <is>
          <t>06 KG</t>
        </is>
      </c>
      <c r="I4288" t="inlineStr">
        <is>
          <t>2031</t>
        </is>
      </c>
      <c r="J4288" t="n">
        <v>2012</v>
      </c>
      <c r="K4288" t="inlineStr">
        <is>
          <t>ENERO 2026</t>
        </is>
      </c>
      <c r="L4288" t="inlineStr">
        <is>
          <t>ENERO 2027</t>
        </is>
      </c>
      <c r="M4288" t="inlineStr">
        <is>
          <t>PQS TIPO ABC</t>
        </is>
      </c>
      <c r="N4288" t="inlineStr">
        <is>
          <t>01/003259</t>
        </is>
      </c>
      <c r="O4288" t="inlineStr">
        <is>
          <t>R</t>
        </is>
      </c>
      <c r="P4288">
        <f>TRIM(N4288)</f>
        <v/>
      </c>
    </row>
    <row r="4289">
      <c r="A4289" t="inlineStr">
        <is>
          <t>CO-002620</t>
        </is>
      </c>
      <c r="B4289" t="inlineStr">
        <is>
          <t>GACSA PERU S.A.C.</t>
        </is>
      </c>
      <c r="C4289" t="n">
        <v>20602629068</v>
      </c>
      <c r="D4289" t="inlineStr">
        <is>
          <t>MALL DEL SUR TIENDA MITSUBISHI</t>
        </is>
      </c>
      <c r="E4289" t="inlineStr">
        <is>
          <t>Lima, 24 de enero del 2026</t>
        </is>
      </c>
      <c r="F4289" t="inlineStr">
        <is>
          <t>la Recarga y mantenimiento</t>
        </is>
      </c>
      <c r="G4289" t="inlineStr">
        <is>
          <t>02</t>
        </is>
      </c>
      <c r="H4289" t="inlineStr">
        <is>
          <t>06 KG</t>
        </is>
      </c>
      <c r="I4289" t="inlineStr">
        <is>
          <t>2031</t>
        </is>
      </c>
      <c r="J4289" t="n">
        <v>2017</v>
      </c>
      <c r="K4289" t="inlineStr">
        <is>
          <t>ENERO 2026</t>
        </is>
      </c>
      <c r="L4289" t="inlineStr">
        <is>
          <t>ENERO 2027</t>
        </is>
      </c>
      <c r="M4289" t="inlineStr">
        <is>
          <t>PQS TIPO ABC</t>
        </is>
      </c>
      <c r="N4289" t="inlineStr">
        <is>
          <t>02/000523</t>
        </is>
      </c>
      <c r="O4289" t="inlineStr">
        <is>
          <t>R</t>
        </is>
      </c>
      <c r="P4289">
        <f>TRIM(N4289)</f>
        <v/>
      </c>
    </row>
    <row r="4290">
      <c r="A4290" t="inlineStr">
        <is>
          <t>CO-002621</t>
        </is>
      </c>
      <c r="B4290" t="inlineStr">
        <is>
          <t>GACSA PERU S.A.C.</t>
        </is>
      </c>
      <c r="C4290" t="n">
        <v>20602629068</v>
      </c>
      <c r="D4290" t="inlineStr">
        <is>
          <t>MALL DEL SUR TIENDA PEAGOUT</t>
        </is>
      </c>
      <c r="E4290" t="inlineStr">
        <is>
          <t>Lima, 24 de enero del 2026</t>
        </is>
      </c>
      <c r="F4290" t="inlineStr">
        <is>
          <t>la Recarga y mantenimiento</t>
        </is>
      </c>
      <c r="G4290" t="inlineStr">
        <is>
          <t>01</t>
        </is>
      </c>
      <c r="H4290" t="inlineStr">
        <is>
          <t>09 KG</t>
        </is>
      </c>
      <c r="I4290" t="inlineStr">
        <is>
          <t>2031</t>
        </is>
      </c>
      <c r="J4290" t="n">
        <v>2015</v>
      </c>
      <c r="K4290" t="inlineStr">
        <is>
          <t>ENERO 2026</t>
        </is>
      </c>
      <c r="L4290" t="inlineStr">
        <is>
          <t>ENERO 2027</t>
        </is>
      </c>
      <c r="M4290" t="inlineStr">
        <is>
          <t>PQS TIPO ABC</t>
        </is>
      </c>
      <c r="N4290" t="inlineStr">
        <is>
          <t>01/00047</t>
        </is>
      </c>
      <c r="O4290" t="inlineStr">
        <is>
          <t>R</t>
        </is>
      </c>
      <c r="P4290">
        <f>TRIM(N4290)</f>
        <v/>
      </c>
    </row>
    <row r="4291">
      <c r="A4291" t="inlineStr">
        <is>
          <t>CO-002621</t>
        </is>
      </c>
      <c r="B4291" t="inlineStr">
        <is>
          <t>GACSA PERU S.A.C.</t>
        </is>
      </c>
      <c r="C4291" t="n">
        <v>20602629068</v>
      </c>
      <c r="D4291" t="inlineStr">
        <is>
          <t>MALL DEL SUR TIENDA PEAGOUT</t>
        </is>
      </c>
      <c r="E4291" t="inlineStr">
        <is>
          <t>Lima, 24 de enero del 2026</t>
        </is>
      </c>
      <c r="F4291" t="inlineStr">
        <is>
          <t>la Recarga y mantenimiento</t>
        </is>
      </c>
      <c r="G4291" t="inlineStr">
        <is>
          <t>02</t>
        </is>
      </c>
      <c r="H4291" t="inlineStr">
        <is>
          <t>10 LBS</t>
        </is>
      </c>
      <c r="I4291" t="inlineStr">
        <is>
          <t>2031</t>
        </is>
      </c>
      <c r="J4291" t="n">
        <v>2013</v>
      </c>
      <c r="K4291" t="inlineStr">
        <is>
          <t>ENERO 2026</t>
        </is>
      </c>
      <c r="L4291" t="inlineStr">
        <is>
          <t>ENERO 2027</t>
        </is>
      </c>
      <c r="M4291" t="inlineStr">
        <is>
          <t>CO2 TIPO BC</t>
        </is>
      </c>
      <c r="N4291" t="inlineStr">
        <is>
          <t>02/512901</t>
        </is>
      </c>
      <c r="O4291" t="inlineStr">
        <is>
          <t>R</t>
        </is>
      </c>
      <c r="P4291">
        <f>TRIM(N4291)</f>
        <v/>
      </c>
    </row>
    <row r="4292">
      <c r="A4292" t="inlineStr">
        <is>
          <t>CO-002621</t>
        </is>
      </c>
      <c r="B4292" t="inlineStr">
        <is>
          <t>GACSA PERU S.A.C.</t>
        </is>
      </c>
      <c r="C4292" t="n">
        <v>20602629068</v>
      </c>
      <c r="D4292" t="inlineStr">
        <is>
          <t>MALL DEL SUR TIENDA PEAGOUT</t>
        </is>
      </c>
      <c r="E4292" t="inlineStr">
        <is>
          <t>Lima, 24 de enero del 2026</t>
        </is>
      </c>
      <c r="F4292" t="inlineStr">
        <is>
          <t>la Recarga y mantenimiento</t>
        </is>
      </c>
      <c r="G4292" t="inlineStr">
        <is>
          <t>03</t>
        </is>
      </c>
      <c r="H4292" t="inlineStr">
        <is>
          <t>12 KG</t>
        </is>
      </c>
      <c r="I4292" t="n">
        <v>2031</v>
      </c>
      <c r="J4292" t="n">
        <v>2007</v>
      </c>
      <c r="K4292" t="inlineStr">
        <is>
          <t>ENERO 2026</t>
        </is>
      </c>
      <c r="L4292" t="inlineStr">
        <is>
          <t>ENERO 2027</t>
        </is>
      </c>
      <c r="M4292" t="inlineStr">
        <is>
          <t>PQS TIPO ABC</t>
        </is>
      </c>
      <c r="N4292" t="inlineStr">
        <is>
          <t>03/000018</t>
        </is>
      </c>
      <c r="O4292" t="inlineStr">
        <is>
          <t>R</t>
        </is>
      </c>
      <c r="P4292">
        <f>TRIM(N4292)</f>
        <v/>
      </c>
    </row>
    <row r="4293">
      <c r="A4293" t="inlineStr">
        <is>
          <t>CO-002621</t>
        </is>
      </c>
      <c r="B4293" t="inlineStr">
        <is>
          <t>GACSA PERU S.A.C.</t>
        </is>
      </c>
      <c r="C4293" t="n">
        <v>20602629068</v>
      </c>
      <c r="D4293" t="inlineStr">
        <is>
          <t>MALL DEL SUR TIENDA PEAGOUT</t>
        </is>
      </c>
      <c r="E4293" t="inlineStr">
        <is>
          <t>Lima, 24 de enero del 2026</t>
        </is>
      </c>
      <c r="F4293" t="inlineStr">
        <is>
          <t>la Recarga y mantenimiento</t>
        </is>
      </c>
      <c r="G4293" t="inlineStr">
        <is>
          <t>04</t>
        </is>
      </c>
      <c r="H4293" t="inlineStr">
        <is>
          <t>06 KG</t>
        </is>
      </c>
      <c r="I4293" t="n">
        <v>2031</v>
      </c>
      <c r="J4293" t="n">
        <v>2012</v>
      </c>
      <c r="K4293" t="inlineStr">
        <is>
          <t>ENERO 2026</t>
        </is>
      </c>
      <c r="L4293" t="inlineStr">
        <is>
          <t>ENERO 2027</t>
        </is>
      </c>
      <c r="M4293" t="inlineStr">
        <is>
          <t>PQS TIPO ABC</t>
        </is>
      </c>
      <c r="N4293" t="inlineStr">
        <is>
          <t>04/002509</t>
        </is>
      </c>
      <c r="O4293" t="inlineStr">
        <is>
          <t>R</t>
        </is>
      </c>
      <c r="P4293">
        <f>TRIM(N4293)</f>
        <v/>
      </c>
    </row>
    <row r="4294">
      <c r="A4294" t="inlineStr">
        <is>
          <t>CO-002621</t>
        </is>
      </c>
      <c r="B4294" t="inlineStr">
        <is>
          <t>GACSA PERU S.A.C.</t>
        </is>
      </c>
      <c r="C4294" t="n">
        <v>20602629068</v>
      </c>
      <c r="D4294" t="inlineStr">
        <is>
          <t>MALL DEL SUR TIENDA PEAGOUT</t>
        </is>
      </c>
      <c r="E4294" t="inlineStr">
        <is>
          <t>Lima, 24 de enero del 2026</t>
        </is>
      </c>
      <c r="F4294" t="inlineStr">
        <is>
          <t>la Recarga y mantenimiento</t>
        </is>
      </c>
      <c r="G4294" t="inlineStr">
        <is>
          <t>05</t>
        </is>
      </c>
      <c r="H4294" t="inlineStr">
        <is>
          <t>09 KG</t>
        </is>
      </c>
      <c r="I4294" t="n">
        <v>2031</v>
      </c>
      <c r="J4294" t="n">
        <v>2015</v>
      </c>
      <c r="K4294" t="inlineStr">
        <is>
          <t>ENERO 2026</t>
        </is>
      </c>
      <c r="L4294" t="inlineStr">
        <is>
          <t>ENERO 2027</t>
        </is>
      </c>
      <c r="M4294" t="inlineStr">
        <is>
          <t>PQS TIPO ABC</t>
        </is>
      </c>
      <c r="N4294" t="inlineStr">
        <is>
          <t>05/000254</t>
        </is>
      </c>
      <c r="O4294" t="inlineStr">
        <is>
          <t>R</t>
        </is>
      </c>
      <c r="P4294">
        <f>TRIM(N4294)</f>
        <v/>
      </c>
    </row>
    <row r="4295">
      <c r="A4295" t="inlineStr">
        <is>
          <t>CO-002621</t>
        </is>
      </c>
      <c r="B4295" t="inlineStr">
        <is>
          <t>GACSA PERU S.A.C.</t>
        </is>
      </c>
      <c r="C4295" t="n">
        <v>20602629068</v>
      </c>
      <c r="D4295" t="inlineStr">
        <is>
          <t>MALL DEL SUR TIENDA PEAGOUT</t>
        </is>
      </c>
      <c r="E4295" t="inlineStr">
        <is>
          <t>Lima, 24 de enero del 2026</t>
        </is>
      </c>
      <c r="F4295" t="inlineStr">
        <is>
          <t>la Recarga y mantenimiento</t>
        </is>
      </c>
      <c r="G4295" t="inlineStr">
        <is>
          <t>06</t>
        </is>
      </c>
      <c r="H4295" t="inlineStr">
        <is>
          <t>06 KG</t>
        </is>
      </c>
      <c r="I4295" t="n">
        <v>2031</v>
      </c>
      <c r="J4295" t="n">
        <v>2019</v>
      </c>
      <c r="K4295" t="inlineStr">
        <is>
          <t>ENERO 2026</t>
        </is>
      </c>
      <c r="L4295" t="inlineStr">
        <is>
          <t>ENERO 2027</t>
        </is>
      </c>
      <c r="M4295" t="inlineStr">
        <is>
          <t>PQS TIPO ABC</t>
        </is>
      </c>
      <c r="N4295" t="inlineStr">
        <is>
          <t>06/001138</t>
        </is>
      </c>
      <c r="O4295" t="inlineStr">
        <is>
          <t>R</t>
        </is>
      </c>
      <c r="P4295">
        <f>TRIM(N4295)</f>
        <v/>
      </c>
    </row>
    <row r="4296">
      <c r="A4296" t="inlineStr">
        <is>
          <t>CO-002624</t>
        </is>
      </c>
      <c r="B4296" t="inlineStr">
        <is>
          <t>BRITISH AMERICAN HOSPITAL S.A. - CLINICA ANGLOAMERICANA</t>
        </is>
      </c>
      <c r="C4296" t="inlineStr">
        <is>
          <t>20107695584</t>
        </is>
      </c>
      <c r="D4296" t="inlineStr">
        <is>
          <t>AV. FELIPE PARDO Y ALIAGA 699, OFICINA 601</t>
        </is>
      </c>
      <c r="E4296" t="inlineStr">
        <is>
          <t>Lima, 30 de enero del 2026</t>
        </is>
      </c>
      <c r="F4296" t="inlineStr">
        <is>
          <t>la Recarga y mantenimiento</t>
        </is>
      </c>
      <c r="G4296" t="inlineStr">
        <is>
          <t>01</t>
        </is>
      </c>
      <c r="H4296" t="inlineStr">
        <is>
          <t>02 KG</t>
        </is>
      </c>
      <c r="I4296" t="inlineStr">
        <is>
          <t>2031</t>
        </is>
      </c>
      <c r="J4296" t="n">
        <v>2015</v>
      </c>
      <c r="K4296" t="inlineStr">
        <is>
          <t>ENERO 2026</t>
        </is>
      </c>
      <c r="L4296" t="inlineStr">
        <is>
          <t>ENERO 2027</t>
        </is>
      </c>
      <c r="M4296" t="inlineStr">
        <is>
          <t>CO2 TIPO BC</t>
        </is>
      </c>
      <c r="N4296" t="inlineStr">
        <is>
          <t>01/009730</t>
        </is>
      </c>
      <c r="O4296" t="inlineStr">
        <is>
          <t>R</t>
        </is>
      </c>
      <c r="P4296">
        <f>TRIM(N4296)</f>
        <v/>
      </c>
    </row>
    <row r="4297">
      <c r="A4297" t="inlineStr">
        <is>
          <t>CO-002624</t>
        </is>
      </c>
      <c r="B4297" t="inlineStr">
        <is>
          <t>BRITISH AMERICAN HOSPITAL S.A. - CLINICA ANGLOAMERICANA</t>
        </is>
      </c>
      <c r="C4297" t="inlineStr">
        <is>
          <t>20107695584</t>
        </is>
      </c>
      <c r="D4297" t="inlineStr">
        <is>
          <t>AV. FELIPE PARDO Y ALIAGA 699, OFICINA 601</t>
        </is>
      </c>
      <c r="E4297" t="inlineStr">
        <is>
          <t>Lima, 30 de enero del 2026</t>
        </is>
      </c>
      <c r="F4297" t="inlineStr">
        <is>
          <t>la Recarga y mantenimiento</t>
        </is>
      </c>
      <c r="G4297" t="inlineStr">
        <is>
          <t>02</t>
        </is>
      </c>
      <c r="H4297" t="inlineStr">
        <is>
          <t>02 KG</t>
        </is>
      </c>
      <c r="I4297" t="inlineStr">
        <is>
          <t>2031</t>
        </is>
      </c>
      <c r="J4297" t="n">
        <v>2015</v>
      </c>
      <c r="K4297" t="inlineStr">
        <is>
          <t>ENERO 2026</t>
        </is>
      </c>
      <c r="L4297" t="inlineStr">
        <is>
          <t>ENERO 2027</t>
        </is>
      </c>
      <c r="M4297" t="inlineStr">
        <is>
          <t>CO2 IPO BC</t>
        </is>
      </c>
      <c r="N4297" t="inlineStr">
        <is>
          <t>02/009733</t>
        </is>
      </c>
      <c r="O4297" t="inlineStr">
        <is>
          <t>R</t>
        </is>
      </c>
      <c r="P4297">
        <f>TRIM(N4297)</f>
        <v/>
      </c>
    </row>
    <row r="4298">
      <c r="A4298" t="inlineStr">
        <is>
          <t>CO-002624</t>
        </is>
      </c>
      <c r="B4298" t="inlineStr">
        <is>
          <t>BRITISH AMERICAN HOSPITAL S.A. - CLINICA ANGLOAMERICANA</t>
        </is>
      </c>
      <c r="C4298" t="inlineStr">
        <is>
          <t>20107695584</t>
        </is>
      </c>
      <c r="D4298" t="inlineStr">
        <is>
          <t>AV. FELIPE PARDO Y ALIAGA 699, OFICINA 601</t>
        </is>
      </c>
      <c r="E4298" t="inlineStr">
        <is>
          <t>Lima, 30 de enero del 2026</t>
        </is>
      </c>
      <c r="F4298" t="inlineStr">
        <is>
          <t>la Recarga y mantenimiento</t>
        </is>
      </c>
      <c r="G4298" t="inlineStr">
        <is>
          <t>03</t>
        </is>
      </c>
      <c r="H4298" t="inlineStr">
        <is>
          <t>06 KG</t>
        </is>
      </c>
      <c r="I4298" t="n">
        <v>2031</v>
      </c>
      <c r="J4298" t="n">
        <v>2015</v>
      </c>
      <c r="K4298" t="inlineStr">
        <is>
          <t>ENERO 2026</t>
        </is>
      </c>
      <c r="L4298" t="inlineStr">
        <is>
          <t>ENERO 2027</t>
        </is>
      </c>
      <c r="M4298" t="inlineStr">
        <is>
          <t xml:space="preserve">PQS TIPO ABC AL 75% </t>
        </is>
      </c>
      <c r="N4298" t="inlineStr">
        <is>
          <t>03/000522</t>
        </is>
      </c>
      <c r="O4298" t="inlineStr">
        <is>
          <t>R</t>
        </is>
      </c>
      <c r="P4298">
        <f>TRIM(N4298)</f>
        <v/>
      </c>
    </row>
    <row r="4299">
      <c r="A4299" t="inlineStr">
        <is>
          <t>CO-002624</t>
        </is>
      </c>
      <c r="B4299" t="inlineStr">
        <is>
          <t>BRITISH AMERICAN HOSPITAL S.A. - CLINICA ANGLOAMERICANA</t>
        </is>
      </c>
      <c r="C4299" t="inlineStr">
        <is>
          <t>20107695584</t>
        </is>
      </c>
      <c r="D4299" t="inlineStr">
        <is>
          <t>AV. FELIPE PARDO Y ALIAGA 699, OFICINA 601</t>
        </is>
      </c>
      <c r="E4299" t="inlineStr">
        <is>
          <t>Lima, 30 de enero del 2026</t>
        </is>
      </c>
      <c r="F4299" t="inlineStr">
        <is>
          <t>la Recarga y mantenimiento</t>
        </is>
      </c>
      <c r="G4299" t="inlineStr">
        <is>
          <t>04</t>
        </is>
      </c>
      <c r="H4299" t="inlineStr">
        <is>
          <t>06 KG</t>
        </is>
      </c>
      <c r="I4299" t="n">
        <v>2031</v>
      </c>
      <c r="J4299" t="n">
        <v>2015</v>
      </c>
      <c r="K4299" t="inlineStr">
        <is>
          <t>ENERO 2026</t>
        </is>
      </c>
      <c r="L4299" t="inlineStr">
        <is>
          <t>ENERO 2027</t>
        </is>
      </c>
      <c r="M4299" t="inlineStr">
        <is>
          <t xml:space="preserve">PQS TIPO ABC AL 75% </t>
        </is>
      </c>
      <c r="N4299" t="inlineStr">
        <is>
          <t>04/000511</t>
        </is>
      </c>
      <c r="O4299" t="inlineStr">
        <is>
          <t>R</t>
        </is>
      </c>
      <c r="P4299">
        <f>TRIM(N4299)</f>
        <v/>
      </c>
    </row>
    <row r="4300">
      <c r="A4300" t="inlineStr">
        <is>
          <t>CO-002625</t>
        </is>
      </c>
      <c r="B4300" t="inlineStr">
        <is>
          <t xml:space="preserve">INDEXTU SAC </t>
        </is>
      </c>
      <c r="C4300" t="inlineStr">
        <is>
          <t>20602503039</t>
        </is>
      </c>
      <c r="D4300" t="inlineStr">
        <is>
          <t xml:space="preserve"> AV. MAQUINARIAS NRO. 2341 Z.I. INDUSTRIAL, LIMA</t>
        </is>
      </c>
      <c r="E4300" t="inlineStr">
        <is>
          <t>Lima, 30 de enero del 2026</t>
        </is>
      </c>
      <c r="F4300" t="inlineStr">
        <is>
          <t>la Recarga y mantenimiento</t>
        </is>
      </c>
      <c r="G4300" t="inlineStr">
        <is>
          <t>01</t>
        </is>
      </c>
      <c r="H4300" t="inlineStr">
        <is>
          <t>12 KG</t>
        </is>
      </c>
      <c r="I4300" t="inlineStr">
        <is>
          <t>2027</t>
        </is>
      </c>
      <c r="J4300" t="n">
        <v>2022</v>
      </c>
      <c r="K4300" t="inlineStr">
        <is>
          <t>ENERO 2026</t>
        </is>
      </c>
      <c r="L4300" t="inlineStr">
        <is>
          <t>ENERO 2027</t>
        </is>
      </c>
      <c r="M4300" t="inlineStr">
        <is>
          <t>PQS TIPO ABC AL 90%</t>
        </is>
      </c>
      <c r="N4300" t="inlineStr">
        <is>
          <t>07/000105</t>
        </is>
      </c>
      <c r="O4300" t="inlineStr">
        <is>
          <t>M4</t>
        </is>
      </c>
      <c r="P4300">
        <f>TRIM(N4300)</f>
        <v/>
      </c>
    </row>
    <row r="4301">
      <c r="A4301" t="inlineStr">
        <is>
          <t>CO-002625</t>
        </is>
      </c>
      <c r="B4301" t="inlineStr">
        <is>
          <t xml:space="preserve">INDEXTU SAC </t>
        </is>
      </c>
      <c r="C4301" t="inlineStr">
        <is>
          <t>20602503039</t>
        </is>
      </c>
      <c r="D4301" t="inlineStr">
        <is>
          <t xml:space="preserve"> AV. MAQUINARIAS NRO. 2341 Z.I. INDUSTRIAL, LIMA</t>
        </is>
      </c>
      <c r="E4301" t="inlineStr">
        <is>
          <t>Lima, 30 de enero del 2026</t>
        </is>
      </c>
      <c r="F4301" t="inlineStr">
        <is>
          <t>la Recarga y mantenimiento</t>
        </is>
      </c>
      <c r="G4301" t="inlineStr">
        <is>
          <t>02</t>
        </is>
      </c>
      <c r="H4301" t="inlineStr">
        <is>
          <t>12 KG</t>
        </is>
      </c>
      <c r="I4301" t="inlineStr">
        <is>
          <t>2027</t>
        </is>
      </c>
      <c r="J4301" t="n">
        <v>2022</v>
      </c>
      <c r="K4301" t="inlineStr">
        <is>
          <t>ENERO 2026</t>
        </is>
      </c>
      <c r="L4301" t="inlineStr">
        <is>
          <t>ENERO 2027</t>
        </is>
      </c>
      <c r="M4301" t="inlineStr">
        <is>
          <t>PQS TIPO ABC AL 90%</t>
        </is>
      </c>
      <c r="N4301" t="inlineStr">
        <is>
          <t>11/000129</t>
        </is>
      </c>
      <c r="O4301" t="inlineStr">
        <is>
          <t>M4</t>
        </is>
      </c>
      <c r="P4301">
        <f>TRIM(N4301)</f>
        <v/>
      </c>
    </row>
    <row r="4302">
      <c r="A4302" t="inlineStr">
        <is>
          <t>CO-002626</t>
        </is>
      </c>
      <c r="B4302" t="inlineStr">
        <is>
          <t>PERU MASIVO - BUSES</t>
        </is>
      </c>
      <c r="C4302" t="inlineStr">
        <is>
          <t>20492392031</t>
        </is>
      </c>
      <c r="D4302" t="inlineStr">
        <is>
          <t>AV. LOS INCAS CDRA. 4 PATIO NORTE - COMAS</t>
        </is>
      </c>
      <c r="E4302" t="inlineStr">
        <is>
          <t>Lima, 30 de enero del 2026</t>
        </is>
      </c>
      <c r="F4302" t="inlineStr">
        <is>
          <t>la Recarga y mantenimiento</t>
        </is>
      </c>
      <c r="G4302" t="inlineStr">
        <is>
          <t>01</t>
        </is>
      </c>
      <c r="H4302" t="inlineStr">
        <is>
          <t>06 KG</t>
        </is>
      </c>
      <c r="I4302" t="inlineStr">
        <is>
          <t>2029</t>
        </is>
      </c>
      <c r="J4302" t="n">
        <v>2009</v>
      </c>
      <c r="K4302" t="inlineStr">
        <is>
          <t>ENERO 2026</t>
        </is>
      </c>
      <c r="L4302" t="inlineStr">
        <is>
          <t>ENERO 2027</t>
        </is>
      </c>
      <c r="M4302" t="inlineStr">
        <is>
          <t>P.Q.S TIPO ABC AL 90 % NACIONAL</t>
        </is>
      </c>
      <c r="N4302" t="inlineStr">
        <is>
          <t>181/001803</t>
        </is>
      </c>
      <c r="O4302" t="inlineStr">
        <is>
          <t>R</t>
        </is>
      </c>
      <c r="P4302">
        <f>TRIM(N4302)</f>
        <v/>
      </c>
    </row>
    <row r="4303">
      <c r="A4303" t="inlineStr">
        <is>
          <t>CO-002626</t>
        </is>
      </c>
      <c r="B4303" t="inlineStr">
        <is>
          <t>PERU MASIVO - BUSES</t>
        </is>
      </c>
      <c r="C4303" t="inlineStr">
        <is>
          <t>20492392031</t>
        </is>
      </c>
      <c r="D4303" t="inlineStr">
        <is>
          <t>AV. LOS INCAS CDRA. 4 PATIO NORTE - COMAS</t>
        </is>
      </c>
      <c r="E4303" t="inlineStr">
        <is>
          <t>Lima, 30 de enero del 2026</t>
        </is>
      </c>
      <c r="F4303" t="inlineStr">
        <is>
          <t>la Recarga y mantenimiento</t>
        </is>
      </c>
      <c r="G4303" t="inlineStr">
        <is>
          <t>02</t>
        </is>
      </c>
      <c r="H4303" t="inlineStr">
        <is>
          <t>06 KG</t>
        </is>
      </c>
      <c r="I4303" t="inlineStr">
        <is>
          <t>2029</t>
        </is>
      </c>
      <c r="J4303" t="n">
        <v>2009</v>
      </c>
      <c r="K4303" t="inlineStr">
        <is>
          <t>ENERO 2026</t>
        </is>
      </c>
      <c r="L4303" t="inlineStr">
        <is>
          <t>ENERO 2027</t>
        </is>
      </c>
      <c r="M4303" t="inlineStr">
        <is>
          <t>P.Q.S TIPO ABC AL 90 % NACIONAL</t>
        </is>
      </c>
      <c r="N4303" t="inlineStr">
        <is>
          <t>194/001188</t>
        </is>
      </c>
      <c r="O4303" t="inlineStr">
        <is>
          <t>R</t>
        </is>
      </c>
      <c r="P4303">
        <f>TRIM(N4303)</f>
        <v/>
      </c>
    </row>
    <row r="4304">
      <c r="A4304" t="inlineStr">
        <is>
          <t>CO-002626</t>
        </is>
      </c>
      <c r="B4304" t="inlineStr">
        <is>
          <t>PERU MASIVO - BUSES</t>
        </is>
      </c>
      <c r="C4304" t="inlineStr">
        <is>
          <t>20492392031</t>
        </is>
      </c>
      <c r="D4304" t="inlineStr">
        <is>
          <t>AV. LOS INCAS CDRA. 4 PATIO NORTE - COMAS</t>
        </is>
      </c>
      <c r="E4304" t="inlineStr">
        <is>
          <t>Lima, 30 de enero del 2026</t>
        </is>
      </c>
      <c r="F4304" t="inlineStr">
        <is>
          <t>la Recarga y mantenimiento</t>
        </is>
      </c>
      <c r="G4304" t="inlineStr">
        <is>
          <t>03</t>
        </is>
      </c>
      <c r="H4304" t="inlineStr">
        <is>
          <t>06 KG</t>
        </is>
      </c>
      <c r="I4304" t="inlineStr">
        <is>
          <t>2029</t>
        </is>
      </c>
      <c r="J4304" t="inlineStr">
        <is>
          <t>S/N</t>
        </is>
      </c>
      <c r="K4304" t="inlineStr">
        <is>
          <t>ENERO 2026</t>
        </is>
      </c>
      <c r="L4304" t="inlineStr">
        <is>
          <t>ENERO 2027</t>
        </is>
      </c>
      <c r="M4304" t="inlineStr">
        <is>
          <t>P.Q.S TIPO ABC AL 90 % NACIONAL</t>
        </is>
      </c>
      <c r="N4304" t="inlineStr">
        <is>
          <t>25/000665</t>
        </is>
      </c>
      <c r="O4304" t="inlineStr">
        <is>
          <t>R</t>
        </is>
      </c>
      <c r="P4304">
        <f>TRIM(N4304)</f>
        <v/>
      </c>
    </row>
    <row r="4305">
      <c r="A4305" t="inlineStr">
        <is>
          <t>CO-002626</t>
        </is>
      </c>
      <c r="B4305" t="inlineStr">
        <is>
          <t>PERU MASIVO - BUSES</t>
        </is>
      </c>
      <c r="C4305" t="inlineStr">
        <is>
          <t>20492392031</t>
        </is>
      </c>
      <c r="D4305" t="inlineStr">
        <is>
          <t>AV. LOS INCAS CDRA. 4 PATIO NORTE - COMAS</t>
        </is>
      </c>
      <c r="E4305" t="inlineStr">
        <is>
          <t>Lima, 30 de enero del 2026</t>
        </is>
      </c>
      <c r="F4305" t="inlineStr">
        <is>
          <t>la Recarga y mantenimiento</t>
        </is>
      </c>
      <c r="G4305" t="inlineStr">
        <is>
          <t>04</t>
        </is>
      </c>
      <c r="H4305" t="inlineStr">
        <is>
          <t>06 KG</t>
        </is>
      </c>
      <c r="I4305" t="inlineStr">
        <is>
          <t>2028</t>
        </is>
      </c>
      <c r="J4305" t="n">
        <v>2010</v>
      </c>
      <c r="K4305" t="inlineStr">
        <is>
          <t>ENERO 2026</t>
        </is>
      </c>
      <c r="L4305" t="inlineStr">
        <is>
          <t>ENERO 2027</t>
        </is>
      </c>
      <c r="M4305" t="inlineStr">
        <is>
          <t>P.Q.S TIPO ABC AL 90 % NACIONAL</t>
        </is>
      </c>
      <c r="N4305" t="inlineStr">
        <is>
          <t>128/006508</t>
        </is>
      </c>
      <c r="O4305" t="inlineStr">
        <is>
          <t>R</t>
        </is>
      </c>
      <c r="P4305">
        <f>TRIM(N4305)</f>
        <v/>
      </c>
    </row>
    <row r="4306">
      <c r="A4306" t="inlineStr">
        <is>
          <t>CO-002626</t>
        </is>
      </c>
      <c r="B4306" t="inlineStr">
        <is>
          <t>PERU MASIVO - BUSES</t>
        </is>
      </c>
      <c r="C4306" t="inlineStr">
        <is>
          <t>20492392031</t>
        </is>
      </c>
      <c r="D4306" t="inlineStr">
        <is>
          <t>AV. LOS INCAS CDRA. 4 PATIO NORTE - COMAS</t>
        </is>
      </c>
      <c r="E4306" t="inlineStr">
        <is>
          <t>Lima, 30 de enero del 2026</t>
        </is>
      </c>
      <c r="F4306" t="inlineStr">
        <is>
          <t>la Recarga y mantenimiento</t>
        </is>
      </c>
      <c r="G4306" t="inlineStr">
        <is>
          <t>05</t>
        </is>
      </c>
      <c r="H4306" t="inlineStr">
        <is>
          <t>06 KG</t>
        </is>
      </c>
      <c r="I4306" t="inlineStr">
        <is>
          <t>2029</t>
        </is>
      </c>
      <c r="J4306" t="n">
        <v>2010</v>
      </c>
      <c r="K4306" t="inlineStr">
        <is>
          <t>ENERO 2026</t>
        </is>
      </c>
      <c r="L4306" t="inlineStr">
        <is>
          <t>ENERO 2027</t>
        </is>
      </c>
      <c r="M4306" t="inlineStr">
        <is>
          <t>P.Q.S TIPO ABC AL 90 % NACIONAL</t>
        </is>
      </c>
      <c r="N4306" t="inlineStr">
        <is>
          <t>289/000598</t>
        </is>
      </c>
      <c r="O4306" t="inlineStr">
        <is>
          <t>R</t>
        </is>
      </c>
      <c r="P4306">
        <f>TRIM(N4306)</f>
        <v/>
      </c>
    </row>
    <row r="4307">
      <c r="A4307" t="inlineStr">
        <is>
          <t>CO-002626</t>
        </is>
      </c>
      <c r="B4307" t="inlineStr">
        <is>
          <t>PERU MASIVO - BUSES</t>
        </is>
      </c>
      <c r="C4307" t="inlineStr">
        <is>
          <t>20492392031</t>
        </is>
      </c>
      <c r="D4307" t="inlineStr">
        <is>
          <t>AV. LOS INCAS CDRA. 4 PATIO NORTE - COMAS</t>
        </is>
      </c>
      <c r="E4307" t="inlineStr">
        <is>
          <t>Lima, 30 de enero del 2026</t>
        </is>
      </c>
      <c r="F4307" t="inlineStr">
        <is>
          <t>la Recarga y mantenimiento</t>
        </is>
      </c>
      <c r="G4307" t="inlineStr">
        <is>
          <t>06</t>
        </is>
      </c>
      <c r="H4307" t="inlineStr">
        <is>
          <t>06 KG</t>
        </is>
      </c>
      <c r="I4307" t="inlineStr">
        <is>
          <t>2029</t>
        </is>
      </c>
      <c r="J4307" t="n">
        <v>2015</v>
      </c>
      <c r="K4307" t="inlineStr">
        <is>
          <t>ENERO 2026</t>
        </is>
      </c>
      <c r="L4307" t="inlineStr">
        <is>
          <t>ENERO 2027</t>
        </is>
      </c>
      <c r="M4307" t="inlineStr">
        <is>
          <t>P.Q.S TIPO ABC AL 90 % NACIONAL</t>
        </is>
      </c>
      <c r="N4307" t="inlineStr">
        <is>
          <t>09/001548</t>
        </is>
      </c>
      <c r="O4307" t="inlineStr">
        <is>
          <t>R</t>
        </is>
      </c>
      <c r="P4307">
        <f>TRIM(N4307)</f>
        <v/>
      </c>
    </row>
    <row r="4308">
      <c r="A4308" t="inlineStr">
        <is>
          <t>CO-002626</t>
        </is>
      </c>
      <c r="B4308" t="inlineStr">
        <is>
          <t>PERU MASIVO - BUSES</t>
        </is>
      </c>
      <c r="C4308" t="inlineStr">
        <is>
          <t>20492392031</t>
        </is>
      </c>
      <c r="D4308" t="inlineStr">
        <is>
          <t>AV. LOS INCAS CDRA. 4 PATIO NORTE - COMAS</t>
        </is>
      </c>
      <c r="E4308" t="inlineStr">
        <is>
          <t>Lima, 30 de enero del 2026</t>
        </is>
      </c>
      <c r="F4308" t="inlineStr">
        <is>
          <t>la Recarga y mantenimiento</t>
        </is>
      </c>
      <c r="G4308" t="inlineStr">
        <is>
          <t>07</t>
        </is>
      </c>
      <c r="H4308" t="inlineStr">
        <is>
          <t>06 KG</t>
        </is>
      </c>
      <c r="I4308" t="inlineStr">
        <is>
          <t>2029</t>
        </is>
      </c>
      <c r="J4308" t="n">
        <v>2009</v>
      </c>
      <c r="K4308" t="inlineStr">
        <is>
          <t>ENERO 2026</t>
        </is>
      </c>
      <c r="L4308" t="inlineStr">
        <is>
          <t>ENERO 2027</t>
        </is>
      </c>
      <c r="M4308" t="inlineStr">
        <is>
          <t>P.Q.S TIPO ABC AL 90 % NACIONAL</t>
        </is>
      </c>
      <c r="N4308" t="inlineStr">
        <is>
          <t>363/001595</t>
        </is>
      </c>
      <c r="O4308" t="inlineStr">
        <is>
          <t>R</t>
        </is>
      </c>
      <c r="P4308">
        <f>TRIM(N4308)</f>
        <v/>
      </c>
    </row>
    <row r="4309">
      <c r="A4309" t="inlineStr">
        <is>
          <t>CO-002626</t>
        </is>
      </c>
      <c r="B4309" t="inlineStr">
        <is>
          <t>PERU MASIVO - BUSES</t>
        </is>
      </c>
      <c r="C4309" t="inlineStr">
        <is>
          <t>20492392031</t>
        </is>
      </c>
      <c r="D4309" t="inlineStr">
        <is>
          <t>AV. LOS INCAS CDRA. 4 PATIO NORTE - COMAS</t>
        </is>
      </c>
      <c r="E4309" t="inlineStr">
        <is>
          <t>Lima, 30 de enero del 2026</t>
        </is>
      </c>
      <c r="F4309" t="inlineStr">
        <is>
          <t>la Recarga y mantenimiento</t>
        </is>
      </c>
      <c r="G4309" t="inlineStr">
        <is>
          <t>08</t>
        </is>
      </c>
      <c r="H4309" t="inlineStr">
        <is>
          <t>06 KG</t>
        </is>
      </c>
      <c r="I4309" t="inlineStr">
        <is>
          <t>2028</t>
        </is>
      </c>
      <c r="J4309" t="n">
        <v>2010</v>
      </c>
      <c r="K4309" t="inlineStr">
        <is>
          <t>ENERO 2026</t>
        </is>
      </c>
      <c r="L4309" t="inlineStr">
        <is>
          <t>ENERO 2027</t>
        </is>
      </c>
      <c r="M4309" t="inlineStr">
        <is>
          <t>P.Q.S TIPO ABC AL 90 % NACIONAL</t>
        </is>
      </c>
      <c r="N4309" t="inlineStr">
        <is>
          <t>59/000050</t>
        </is>
      </c>
      <c r="O4309" t="inlineStr">
        <is>
          <t>R</t>
        </is>
      </c>
      <c r="P4309">
        <f>TRIM(N4309)</f>
        <v/>
      </c>
    </row>
    <row r="4310">
      <c r="A4310" t="inlineStr">
        <is>
          <t>CO-002626</t>
        </is>
      </c>
      <c r="B4310" t="inlineStr">
        <is>
          <t>PERU MASIVO - BUSES</t>
        </is>
      </c>
      <c r="C4310" t="inlineStr">
        <is>
          <t>20492392031</t>
        </is>
      </c>
      <c r="D4310" t="inlineStr">
        <is>
          <t>AV. LOS INCAS CDRA. 4 PATIO NORTE - COMAS</t>
        </is>
      </c>
      <c r="E4310" t="inlineStr">
        <is>
          <t>Lima, 30 de enero del 2026</t>
        </is>
      </c>
      <c r="F4310" t="inlineStr">
        <is>
          <t>la Recarga y mantenimiento</t>
        </is>
      </c>
      <c r="G4310" t="inlineStr">
        <is>
          <t>09</t>
        </is>
      </c>
      <c r="H4310" t="inlineStr">
        <is>
          <t>06 KG</t>
        </is>
      </c>
      <c r="I4310" t="inlineStr">
        <is>
          <t>2029</t>
        </is>
      </c>
      <c r="J4310" t="n">
        <v>2021</v>
      </c>
      <c r="K4310" t="inlineStr">
        <is>
          <t>ENERO 2026</t>
        </is>
      </c>
      <c r="L4310" t="inlineStr">
        <is>
          <t>ENERO 2027</t>
        </is>
      </c>
      <c r="M4310" t="inlineStr">
        <is>
          <t>P.Q.S TIPO ABC AL 90 % NACIONAL</t>
        </is>
      </c>
      <c r="N4310" t="inlineStr">
        <is>
          <t>9/007813</t>
        </is>
      </c>
      <c r="O4310" t="inlineStr">
        <is>
          <t>R</t>
        </is>
      </c>
      <c r="P4310">
        <f>TRIM(N4310)</f>
        <v/>
      </c>
    </row>
    <row r="4311">
      <c r="A4311" t="inlineStr">
        <is>
          <t>CO-002626</t>
        </is>
      </c>
      <c r="B4311" t="inlineStr">
        <is>
          <t>PERU MASIVO - BUSES</t>
        </is>
      </c>
      <c r="C4311" t="inlineStr">
        <is>
          <t>20492392031</t>
        </is>
      </c>
      <c r="D4311" t="inlineStr">
        <is>
          <t>AV. LOS INCAS CDRA. 4 PATIO NORTE - COMAS</t>
        </is>
      </c>
      <c r="E4311" t="inlineStr">
        <is>
          <t>Lima, 30 de enero del 2026</t>
        </is>
      </c>
      <c r="F4311" t="inlineStr">
        <is>
          <t>la Recarga y mantenimiento</t>
        </is>
      </c>
      <c r="G4311" t="inlineStr">
        <is>
          <t>10</t>
        </is>
      </c>
      <c r="H4311" t="inlineStr">
        <is>
          <t>06 KG</t>
        </is>
      </c>
      <c r="I4311" t="inlineStr">
        <is>
          <t>2029</t>
        </is>
      </c>
      <c r="J4311" t="n">
        <v>2012</v>
      </c>
      <c r="K4311" t="inlineStr">
        <is>
          <t>ENERO 2026</t>
        </is>
      </c>
      <c r="L4311" t="inlineStr">
        <is>
          <t>ENERO 2027</t>
        </is>
      </c>
      <c r="M4311" t="inlineStr">
        <is>
          <t>P.Q.S TIPO ABC AL 90 % NACIONAL</t>
        </is>
      </c>
      <c r="N4311" t="inlineStr">
        <is>
          <t>20/002474</t>
        </is>
      </c>
      <c r="O4311" t="inlineStr">
        <is>
          <t>R</t>
        </is>
      </c>
      <c r="P4311">
        <f>TRIM(N4311)</f>
        <v/>
      </c>
    </row>
    <row r="4312">
      <c r="A4312" t="inlineStr">
        <is>
          <t>CO-002627</t>
        </is>
      </c>
      <c r="B4312" t="inlineStr">
        <is>
          <t>PERU MASIVO - BUSES</t>
        </is>
      </c>
      <c r="C4312" t="inlineStr">
        <is>
          <t>20492392031</t>
        </is>
      </c>
      <c r="D4312" t="inlineStr">
        <is>
          <t>AV. LOS INCAS CDRA. 4 PATIO NORTE - COMAS</t>
        </is>
      </c>
      <c r="E4312" t="inlineStr">
        <is>
          <t>Lima, 30 de enero del 2026</t>
        </is>
      </c>
      <c r="F4312" t="inlineStr">
        <is>
          <t>el mantenimiento</t>
        </is>
      </c>
      <c r="G4312" t="n">
        <v>1</v>
      </c>
      <c r="H4312" t="inlineStr">
        <is>
          <t>06 KG</t>
        </is>
      </c>
      <c r="I4312" t="n">
        <v>2028</v>
      </c>
      <c r="J4312" t="n">
        <v>2009</v>
      </c>
      <c r="K4312" t="inlineStr">
        <is>
          <t>ENERO 2026</t>
        </is>
      </c>
      <c r="L4312" t="inlineStr">
        <is>
          <t>ENERO 2027</t>
        </is>
      </c>
      <c r="M4312" t="inlineStr">
        <is>
          <t>P.Q.S.  TIPO ABC  90% NACIONAL</t>
        </is>
      </c>
      <c r="N4312" t="inlineStr">
        <is>
          <t>76/001940</t>
        </is>
      </c>
      <c r="O4312" t="inlineStr">
        <is>
          <t>R</t>
        </is>
      </c>
      <c r="P4312">
        <f>TRIM(N4312)</f>
        <v/>
      </c>
    </row>
    <row r="4313">
      <c r="A4313" t="inlineStr">
        <is>
          <t>CO-002628</t>
        </is>
      </c>
      <c r="B4313" t="inlineStr">
        <is>
          <t>IE. 5148 - LAS BRISAS</t>
        </is>
      </c>
      <c r="D4313" t="inlineStr">
        <is>
          <t>Mz. B Lote 1 - Las Brisas - Parcela C - Pachacutec -Ventanilla.</t>
        </is>
      </c>
      <c r="E4313" t="inlineStr">
        <is>
          <t>Lima, 02 de Febrero del 2026</t>
        </is>
      </c>
      <c r="F4313" t="inlineStr">
        <is>
          <t>la Recarga y mantenimiento</t>
        </is>
      </c>
      <c r="G4313" t="inlineStr">
        <is>
          <t>01</t>
        </is>
      </c>
      <c r="H4313" t="inlineStr">
        <is>
          <t>06 KG</t>
        </is>
      </c>
      <c r="I4313" t="inlineStr">
        <is>
          <t>2027</t>
        </is>
      </c>
      <c r="J4313" t="n">
        <v>2022</v>
      </c>
      <c r="K4313" t="inlineStr">
        <is>
          <t>FEBRERO 2026</t>
        </is>
      </c>
      <c r="L4313" t="inlineStr">
        <is>
          <t>FEBRERO 2027</t>
        </is>
      </c>
      <c r="M4313" t="inlineStr">
        <is>
          <t xml:space="preserve">PQS TIPO ABC AL 75% </t>
        </is>
      </c>
      <c r="N4313" t="inlineStr">
        <is>
          <t>000757</t>
        </is>
      </c>
      <c r="O4313" t="inlineStr">
        <is>
          <t>R</t>
        </is>
      </c>
      <c r="P4313">
        <f>TRIM(N4313)</f>
        <v/>
      </c>
    </row>
    <row r="4314">
      <c r="A4314" t="inlineStr">
        <is>
          <t>CO-002628</t>
        </is>
      </c>
      <c r="B4314" t="inlineStr">
        <is>
          <t>IE. 5148 - LAS BRISAS</t>
        </is>
      </c>
      <c r="D4314" t="inlineStr">
        <is>
          <t>Mz. B Lote 1 - Las Brisas - Parcela C - Pachacutec -Ventanilla.</t>
        </is>
      </c>
      <c r="E4314" t="inlineStr">
        <is>
          <t>Lima, 02 de Febrero del 2026</t>
        </is>
      </c>
      <c r="F4314" t="inlineStr">
        <is>
          <t>la Recarga y mantenimiento</t>
        </is>
      </c>
      <c r="G4314" t="inlineStr">
        <is>
          <t>02</t>
        </is>
      </c>
      <c r="H4314" t="inlineStr">
        <is>
          <t>06 KG</t>
        </is>
      </c>
      <c r="I4314" t="inlineStr">
        <is>
          <t>2027</t>
        </is>
      </c>
      <c r="J4314" t="n">
        <v>2022</v>
      </c>
      <c r="K4314" t="inlineStr">
        <is>
          <t>FEBRERO 2026</t>
        </is>
      </c>
      <c r="L4314" t="inlineStr">
        <is>
          <t>FEBRERO 2027</t>
        </is>
      </c>
      <c r="M4314" t="inlineStr">
        <is>
          <t xml:space="preserve">PQS TIPO ABC AL 75% </t>
        </is>
      </c>
      <c r="N4314" t="inlineStr">
        <is>
          <t>000023</t>
        </is>
      </c>
      <c r="O4314" t="inlineStr">
        <is>
          <t>R</t>
        </is>
      </c>
      <c r="P4314">
        <f>TRIM(N4314)</f>
        <v/>
      </c>
    </row>
    <row r="4315">
      <c r="A4315" t="inlineStr">
        <is>
          <t>CO-002628</t>
        </is>
      </c>
      <c r="B4315" t="inlineStr">
        <is>
          <t>IE. 5148 - LAS BRISAS</t>
        </is>
      </c>
      <c r="D4315" t="inlineStr">
        <is>
          <t>Mz. B Lote 1 - Las Brisas - Parcela C - Pachacutec -Ventanilla.</t>
        </is>
      </c>
      <c r="E4315" t="inlineStr">
        <is>
          <t>Lima, 02 de Febrero del 2026</t>
        </is>
      </c>
      <c r="F4315" t="inlineStr">
        <is>
          <t>la Recarga y mantenimiento</t>
        </is>
      </c>
      <c r="G4315" t="inlineStr">
        <is>
          <t>03</t>
        </is>
      </c>
      <c r="H4315" t="inlineStr">
        <is>
          <t>06 KG</t>
        </is>
      </c>
      <c r="I4315" t="inlineStr">
        <is>
          <t>2027</t>
        </is>
      </c>
      <c r="J4315" t="n">
        <v>2022</v>
      </c>
      <c r="K4315" t="inlineStr">
        <is>
          <t>FEBRERO 2026</t>
        </is>
      </c>
      <c r="L4315" t="inlineStr">
        <is>
          <t>FEBRERO 2027</t>
        </is>
      </c>
      <c r="M4315" t="inlineStr">
        <is>
          <t xml:space="preserve">PQS TIPO ABC AL 75% </t>
        </is>
      </c>
      <c r="N4315" t="inlineStr">
        <is>
          <t>009161</t>
        </is>
      </c>
      <c r="O4315" t="inlineStr">
        <is>
          <t>R</t>
        </is>
      </c>
      <c r="P4315">
        <f>TRIM(N4315)</f>
        <v/>
      </c>
    </row>
    <row r="4316">
      <c r="A4316" t="inlineStr">
        <is>
          <t>CO-002629</t>
        </is>
      </c>
      <c r="B4316" t="inlineStr">
        <is>
          <t>BODEGA LIBRERÍA SAN MARTIN De: Bertha Porras Perez.</t>
        </is>
      </c>
      <c r="D4316" t="inlineStr">
        <is>
          <t>Jr. San Julian N° 102 Urb. San Juan Bautista - Comas.</t>
        </is>
      </c>
      <c r="E4316" t="inlineStr">
        <is>
          <t>Lima, 02 de Febrero del 2026</t>
        </is>
      </c>
      <c r="F4316" t="inlineStr">
        <is>
          <t>la Recarga y mantenimiento</t>
        </is>
      </c>
      <c r="G4316" t="inlineStr">
        <is>
          <t>01</t>
        </is>
      </c>
      <c r="H4316" t="inlineStr">
        <is>
          <t>06 KG</t>
        </is>
      </c>
      <c r="I4316" t="inlineStr">
        <is>
          <t>2027</t>
        </is>
      </c>
      <c r="J4316" t="n">
        <v>2022</v>
      </c>
      <c r="K4316" t="inlineStr">
        <is>
          <t>FEBRERO 2026</t>
        </is>
      </c>
      <c r="L4316" t="inlineStr">
        <is>
          <t>FEBRERO 2027</t>
        </is>
      </c>
      <c r="M4316" t="inlineStr">
        <is>
          <t xml:space="preserve">PQS TIPO ABC AL 75% </t>
        </is>
      </c>
      <c r="N4316" t="inlineStr">
        <is>
          <t>001076</t>
        </is>
      </c>
      <c r="O4316" t="inlineStr">
        <is>
          <t>R</t>
        </is>
      </c>
      <c r="P4316">
        <f>TRIM(N4316)</f>
        <v/>
      </c>
    </row>
    <row r="4317">
      <c r="A4317" t="inlineStr">
        <is>
          <t>CO-002633</t>
        </is>
      </c>
      <c r="B4317" t="inlineStr">
        <is>
          <t>PERU MASIVO - BUSES</t>
        </is>
      </c>
      <c r="C4317" t="inlineStr">
        <is>
          <t>20492392031</t>
        </is>
      </c>
      <c r="D4317" t="inlineStr">
        <is>
          <t>AV. LOS INCAS CDRA. 4 PATIO NORTE - COMAS</t>
        </is>
      </c>
      <c r="E4317" t="inlineStr">
        <is>
          <t>Lima, 04 de febrero del 2026</t>
        </is>
      </c>
      <c r="F4317" t="inlineStr">
        <is>
          <t>la Recarga y mantenimiento</t>
        </is>
      </c>
      <c r="G4317" t="inlineStr">
        <is>
          <t>01</t>
        </is>
      </c>
      <c r="H4317" t="inlineStr">
        <is>
          <t>06 KG</t>
        </is>
      </c>
      <c r="I4317" t="inlineStr">
        <is>
          <t>2029</t>
        </is>
      </c>
      <c r="J4317" t="n">
        <v>2010</v>
      </c>
      <c r="K4317" t="inlineStr">
        <is>
          <t>FEBRERO 2026</t>
        </is>
      </c>
      <c r="L4317" t="inlineStr">
        <is>
          <t>FEBRERO 2027</t>
        </is>
      </c>
      <c r="M4317" t="inlineStr">
        <is>
          <t>P.Q.S TIPO ABC AL 90 % NACIONAL</t>
        </is>
      </c>
      <c r="N4317" t="inlineStr">
        <is>
          <t>17002530</t>
        </is>
      </c>
      <c r="O4317" t="inlineStr">
        <is>
          <t>R</t>
        </is>
      </c>
      <c r="P4317">
        <f>TRIM(N4317)</f>
        <v/>
      </c>
    </row>
    <row r="4318">
      <c r="A4318" t="inlineStr">
        <is>
          <t>CO-002633</t>
        </is>
      </c>
      <c r="B4318" t="inlineStr">
        <is>
          <t>PERU MASIVO - BUSES</t>
        </is>
      </c>
      <c r="C4318" t="inlineStr">
        <is>
          <t>20492392031</t>
        </is>
      </c>
      <c r="D4318" t="inlineStr">
        <is>
          <t>AV. LOS INCAS CDRA. 4 PATIO NORTE - COMAS</t>
        </is>
      </c>
      <c r="E4318" t="inlineStr">
        <is>
          <t>Lima, 04 de febrero del 2026</t>
        </is>
      </c>
      <c r="F4318" t="inlineStr">
        <is>
          <t>la Recarga y mantenimiento</t>
        </is>
      </c>
      <c r="G4318" t="inlineStr">
        <is>
          <t>02</t>
        </is>
      </c>
      <c r="H4318" t="inlineStr">
        <is>
          <t>06 KG</t>
        </is>
      </c>
      <c r="I4318" t="inlineStr">
        <is>
          <t>2029</t>
        </is>
      </c>
      <c r="J4318" t="n">
        <v>2010</v>
      </c>
      <c r="K4318" t="inlineStr">
        <is>
          <t>FEBRERO 2026</t>
        </is>
      </c>
      <c r="L4318" t="inlineStr">
        <is>
          <t>FEBRERO 2027</t>
        </is>
      </c>
      <c r="M4318" t="inlineStr">
        <is>
          <t>P.Q.S TIPO ABC AL 90 % NACIONAL</t>
        </is>
      </c>
      <c r="N4318" t="inlineStr">
        <is>
          <t>126/001005</t>
        </is>
      </c>
      <c r="O4318" t="inlineStr">
        <is>
          <t>R</t>
        </is>
      </c>
      <c r="P4318">
        <f>TRIM(N4318)</f>
        <v/>
      </c>
    </row>
    <row r="4319">
      <c r="A4319" t="inlineStr">
        <is>
          <t>CO-002633</t>
        </is>
      </c>
      <c r="B4319" t="inlineStr">
        <is>
          <t>PERU MASIVO - BUSES</t>
        </is>
      </c>
      <c r="C4319" t="inlineStr">
        <is>
          <t>20492392031</t>
        </is>
      </c>
      <c r="D4319" t="inlineStr">
        <is>
          <t>AV. LOS INCAS CDRA. 4 PATIO NORTE - COMAS</t>
        </is>
      </c>
      <c r="E4319" t="inlineStr">
        <is>
          <t>Lima, 04 de febrero del 2026</t>
        </is>
      </c>
      <c r="F4319" t="inlineStr">
        <is>
          <t>la Recarga y mantenimiento</t>
        </is>
      </c>
      <c r="G4319" t="inlineStr">
        <is>
          <t>03</t>
        </is>
      </c>
      <c r="H4319" t="inlineStr">
        <is>
          <t>06 KG</t>
        </is>
      </c>
      <c r="I4319" t="inlineStr">
        <is>
          <t>2029</t>
        </is>
      </c>
      <c r="J4319" t="n">
        <v>2009</v>
      </c>
      <c r="K4319" t="inlineStr">
        <is>
          <t>FEBRERO 2026</t>
        </is>
      </c>
      <c r="L4319" t="inlineStr">
        <is>
          <t>FEBRERO 2027</t>
        </is>
      </c>
      <c r="M4319" t="inlineStr">
        <is>
          <t>P.Q.S TIPO ABC AL 90 % NACIONAL</t>
        </is>
      </c>
      <c r="N4319" t="inlineStr">
        <is>
          <t>98/002612</t>
        </is>
      </c>
      <c r="O4319" t="inlineStr">
        <is>
          <t>R</t>
        </is>
      </c>
      <c r="P4319">
        <f>TRIM(N4319)</f>
        <v/>
      </c>
    </row>
    <row r="4320">
      <c r="A4320" t="inlineStr">
        <is>
          <t>CO-002633</t>
        </is>
      </c>
      <c r="B4320" t="inlineStr">
        <is>
          <t>PERU MASIVO - BUSES</t>
        </is>
      </c>
      <c r="C4320" t="inlineStr">
        <is>
          <t>20492392031</t>
        </is>
      </c>
      <c r="D4320" t="inlineStr">
        <is>
          <t>AV. LOS INCAS CDRA. 4 PATIO NORTE - COMAS</t>
        </is>
      </c>
      <c r="E4320" t="inlineStr">
        <is>
          <t>Lima, 04 de febrero del 2026</t>
        </is>
      </c>
      <c r="F4320" t="inlineStr">
        <is>
          <t>la Recarga y mantenimiento</t>
        </is>
      </c>
      <c r="G4320" t="inlineStr">
        <is>
          <t>04</t>
        </is>
      </c>
      <c r="H4320" t="inlineStr">
        <is>
          <t>06 KG</t>
        </is>
      </c>
      <c r="I4320" t="inlineStr">
        <is>
          <t>2029</t>
        </is>
      </c>
      <c r="J4320" t="n">
        <v>2010</v>
      </c>
      <c r="K4320" t="inlineStr">
        <is>
          <t>FEBRERO 2026</t>
        </is>
      </c>
      <c r="L4320" t="inlineStr">
        <is>
          <t>FEBRERO 2027</t>
        </is>
      </c>
      <c r="M4320" t="inlineStr">
        <is>
          <t>P.Q.S TIPO ABC AL 90 % NACIONAL</t>
        </is>
      </c>
      <c r="N4320" t="inlineStr">
        <is>
          <t>24/000590</t>
        </is>
      </c>
      <c r="O4320" t="inlineStr">
        <is>
          <t>R</t>
        </is>
      </c>
      <c r="P4320">
        <f>TRIM(N4320)</f>
        <v/>
      </c>
    </row>
    <row r="4321">
      <c r="A4321" t="inlineStr">
        <is>
          <t>CO-002633</t>
        </is>
      </c>
      <c r="B4321" t="inlineStr">
        <is>
          <t>PERU MASIVO - BUSES</t>
        </is>
      </c>
      <c r="C4321" t="inlineStr">
        <is>
          <t>20492392031</t>
        </is>
      </c>
      <c r="D4321" t="inlineStr">
        <is>
          <t>AV. LOS INCAS CDRA. 4 PATIO NORTE - COMAS</t>
        </is>
      </c>
      <c r="E4321" t="inlineStr">
        <is>
          <t>Lima, 04 de febrero del 2026</t>
        </is>
      </c>
      <c r="F4321" t="inlineStr">
        <is>
          <t>la Recarga y mantenimiento</t>
        </is>
      </c>
      <c r="G4321" t="inlineStr">
        <is>
          <t>05</t>
        </is>
      </c>
      <c r="H4321" t="inlineStr">
        <is>
          <t>06 KG</t>
        </is>
      </c>
      <c r="I4321" t="inlineStr">
        <is>
          <t>2029</t>
        </is>
      </c>
      <c r="J4321" t="n">
        <v>2009</v>
      </c>
      <c r="K4321" t="inlineStr">
        <is>
          <t>FEBRERO 2026</t>
        </is>
      </c>
      <c r="L4321" t="inlineStr">
        <is>
          <t>FEBRERO 2027</t>
        </is>
      </c>
      <c r="M4321" t="inlineStr">
        <is>
          <t>P.Q.S TIPO ABC AL 90 % NACIONAL</t>
        </is>
      </c>
      <c r="N4321" t="inlineStr">
        <is>
          <t>366/001128</t>
        </is>
      </c>
      <c r="O4321" t="inlineStr">
        <is>
          <t>R</t>
        </is>
      </c>
      <c r="P4321">
        <f>TRIM(N4321)</f>
        <v/>
      </c>
    </row>
    <row r="4322">
      <c r="A4322" t="inlineStr">
        <is>
          <t>CO-002633</t>
        </is>
      </c>
      <c r="B4322" t="inlineStr">
        <is>
          <t>PERU MASIVO - BUSES</t>
        </is>
      </c>
      <c r="C4322" t="inlineStr">
        <is>
          <t>20492392031</t>
        </is>
      </c>
      <c r="D4322" t="inlineStr">
        <is>
          <t>AV. LOS INCAS CDRA. 4 PATIO NORTE - COMAS</t>
        </is>
      </c>
      <c r="E4322" t="inlineStr">
        <is>
          <t>Lima, 04 de febrero del 2026</t>
        </is>
      </c>
      <c r="F4322" t="inlineStr">
        <is>
          <t>la Recarga y mantenimiento</t>
        </is>
      </c>
      <c r="G4322" t="inlineStr">
        <is>
          <t>06</t>
        </is>
      </c>
      <c r="H4322" t="inlineStr">
        <is>
          <t>06 KG</t>
        </is>
      </c>
      <c r="I4322" t="inlineStr">
        <is>
          <t>2028</t>
        </is>
      </c>
      <c r="J4322" t="n">
        <v>2010</v>
      </c>
      <c r="K4322" t="inlineStr">
        <is>
          <t>FEBRERO 2026</t>
        </is>
      </c>
      <c r="L4322" t="inlineStr">
        <is>
          <t>FEBRERO 2027</t>
        </is>
      </c>
      <c r="M4322" t="inlineStr">
        <is>
          <t>P.Q.S TIPO ABC AL 90 % NACIONAL</t>
        </is>
      </c>
      <c r="N4322" t="inlineStr">
        <is>
          <t>345/000070</t>
        </is>
      </c>
      <c r="O4322" t="inlineStr">
        <is>
          <t>R</t>
        </is>
      </c>
      <c r="P4322">
        <f>TRIM(N4322)</f>
        <v/>
      </c>
    </row>
    <row r="4323">
      <c r="A4323" t="inlineStr">
        <is>
          <t>CO-002633</t>
        </is>
      </c>
      <c r="B4323" t="inlineStr">
        <is>
          <t>PERU MASIVO - BUSES</t>
        </is>
      </c>
      <c r="C4323" t="inlineStr">
        <is>
          <t>20492392031</t>
        </is>
      </c>
      <c r="D4323" t="inlineStr">
        <is>
          <t>AV. LOS INCAS CDRA. 4 PATIO NORTE - COMAS</t>
        </is>
      </c>
      <c r="E4323" t="inlineStr">
        <is>
          <t>Lima, 04 de febrero del 2026</t>
        </is>
      </c>
      <c r="F4323" t="inlineStr">
        <is>
          <t>la Recarga y mantenimiento</t>
        </is>
      </c>
      <c r="G4323" t="inlineStr">
        <is>
          <t>07</t>
        </is>
      </c>
      <c r="H4323" t="inlineStr">
        <is>
          <t>06 KG</t>
        </is>
      </c>
      <c r="I4323" t="inlineStr">
        <is>
          <t>2029</t>
        </is>
      </c>
      <c r="J4323" t="n">
        <v>2014</v>
      </c>
      <c r="K4323" t="inlineStr">
        <is>
          <t>FEBRERO 2026</t>
        </is>
      </c>
      <c r="L4323" t="inlineStr">
        <is>
          <t>FEBRERO 2027</t>
        </is>
      </c>
      <c r="M4323" t="inlineStr">
        <is>
          <t>P.Q.S TIPO ABC AL 90 % NACIONAL</t>
        </is>
      </c>
      <c r="N4323" t="inlineStr">
        <is>
          <t>373/002831</t>
        </is>
      </c>
      <c r="O4323" t="inlineStr">
        <is>
          <t>R</t>
        </is>
      </c>
      <c r="P4323">
        <f>TRIM(N4323)</f>
        <v/>
      </c>
    </row>
    <row r="4324">
      <c r="A4324" t="inlineStr">
        <is>
          <t>CO-002633</t>
        </is>
      </c>
      <c r="B4324" t="inlineStr">
        <is>
          <t>PERU MASIVO - BUSES</t>
        </is>
      </c>
      <c r="C4324" t="inlineStr">
        <is>
          <t>20492392031</t>
        </is>
      </c>
      <c r="D4324" t="inlineStr">
        <is>
          <t>AV. LOS INCAS CDRA. 4 PATIO NORTE - COMAS</t>
        </is>
      </c>
      <c r="E4324" t="inlineStr">
        <is>
          <t>Lima, 04 de febrero del 2026</t>
        </is>
      </c>
      <c r="F4324" t="inlineStr">
        <is>
          <t>la Recarga y mantenimiento</t>
        </is>
      </c>
      <c r="G4324" t="inlineStr">
        <is>
          <t>08</t>
        </is>
      </c>
      <c r="H4324" t="inlineStr">
        <is>
          <t>06 KG</t>
        </is>
      </c>
      <c r="I4324" t="inlineStr">
        <is>
          <t>2028</t>
        </is>
      </c>
      <c r="J4324" t="n">
        <v>2010</v>
      </c>
      <c r="K4324" t="inlineStr">
        <is>
          <t>FEBRERO 2026</t>
        </is>
      </c>
      <c r="L4324" t="inlineStr">
        <is>
          <t>FEBRERO 2027</t>
        </is>
      </c>
      <c r="M4324" t="inlineStr">
        <is>
          <t>P.Q.S TIPO ABC AL 90 % NACIONAL</t>
        </is>
      </c>
      <c r="N4324" t="inlineStr">
        <is>
          <t>342/000934</t>
        </is>
      </c>
      <c r="O4324" t="inlineStr">
        <is>
          <t>R</t>
        </is>
      </c>
      <c r="P4324">
        <f>TRIM(N4324)</f>
        <v/>
      </c>
    </row>
    <row r="4325">
      <c r="A4325" t="inlineStr">
        <is>
          <t>CO-002633</t>
        </is>
      </c>
      <c r="B4325" t="inlineStr">
        <is>
          <t>PERU MASIVO - BUSES</t>
        </is>
      </c>
      <c r="C4325" t="inlineStr">
        <is>
          <t>20492392031</t>
        </is>
      </c>
      <c r="D4325" t="inlineStr">
        <is>
          <t>AV. LOS INCAS CDRA. 4 PATIO NORTE - COMAS</t>
        </is>
      </c>
      <c r="E4325" t="inlineStr">
        <is>
          <t>Lima, 04 de febrero del 2026</t>
        </is>
      </c>
      <c r="F4325" t="inlineStr">
        <is>
          <t>la Recarga y mantenimiento</t>
        </is>
      </c>
      <c r="G4325" t="inlineStr">
        <is>
          <t>09</t>
        </is>
      </c>
      <c r="H4325" t="inlineStr">
        <is>
          <t>06 KG</t>
        </is>
      </c>
      <c r="I4325" t="inlineStr">
        <is>
          <t>2028</t>
        </is>
      </c>
      <c r="J4325" t="n">
        <v>2009</v>
      </c>
      <c r="K4325" t="inlineStr">
        <is>
          <t>FEBRERO 2026</t>
        </is>
      </c>
      <c r="L4325" t="inlineStr">
        <is>
          <t>FEBRERO 2027</t>
        </is>
      </c>
      <c r="M4325" t="inlineStr">
        <is>
          <t>P.Q.S TIPO ABC AL 90 % NACIONAL</t>
        </is>
      </c>
      <c r="N4325" t="inlineStr">
        <is>
          <t>46/001272</t>
        </is>
      </c>
      <c r="O4325" t="inlineStr">
        <is>
          <t>R</t>
        </is>
      </c>
      <c r="P4325">
        <f>TRIM(N4325)</f>
        <v/>
      </c>
    </row>
    <row r="4326">
      <c r="A4326" t="inlineStr">
        <is>
          <t>CO-002633</t>
        </is>
      </c>
      <c r="B4326" t="inlineStr">
        <is>
          <t>PERU MASIVO - BUSES</t>
        </is>
      </c>
      <c r="C4326" t="inlineStr">
        <is>
          <t>20492392031</t>
        </is>
      </c>
      <c r="D4326" t="inlineStr">
        <is>
          <t>AV. LOS INCAS CDRA. 4 PATIO NORTE - COMAS</t>
        </is>
      </c>
      <c r="E4326" t="inlineStr">
        <is>
          <t>Lima, 04 de febrero del 2026</t>
        </is>
      </c>
      <c r="F4326" t="inlineStr">
        <is>
          <t>la Recarga y mantenimiento</t>
        </is>
      </c>
      <c r="G4326" t="inlineStr">
        <is>
          <t>10</t>
        </is>
      </c>
      <c r="H4326" t="inlineStr">
        <is>
          <t>06 KG</t>
        </is>
      </c>
      <c r="I4326" t="inlineStr">
        <is>
          <t>2029</t>
        </is>
      </c>
      <c r="J4326" t="n">
        <v>2016</v>
      </c>
      <c r="K4326" t="inlineStr">
        <is>
          <t>FEBRERO 2026</t>
        </is>
      </c>
      <c r="L4326" t="inlineStr">
        <is>
          <t>FEBRERO 2027</t>
        </is>
      </c>
      <c r="M4326" t="inlineStr">
        <is>
          <t>P.Q.S TIPO ABC AL 90 % NACIONAL</t>
        </is>
      </c>
      <c r="N4326" t="inlineStr">
        <is>
          <t>36/000357</t>
        </is>
      </c>
      <c r="O4326" t="inlineStr">
        <is>
          <t>R</t>
        </is>
      </c>
      <c r="P4326">
        <f>TRIM(N4326)</f>
        <v/>
      </c>
    </row>
    <row r="4327">
      <c r="A4327" t="inlineStr">
        <is>
          <t>CO-002634</t>
        </is>
      </c>
      <c r="B4327" t="inlineStr">
        <is>
          <t xml:space="preserve">PERU MASIVO - INFRAESTRUCTURA </t>
        </is>
      </c>
      <c r="C4327" t="inlineStr">
        <is>
          <t>20492392031</t>
        </is>
      </c>
      <c r="D4327" t="inlineStr">
        <is>
          <t>AV. LOS INCAS CDRA. 4 PATIO NORTE - COMAS</t>
        </is>
      </c>
      <c r="E4327" t="inlineStr">
        <is>
          <t>Lima, 04 de febrero del 2026</t>
        </is>
      </c>
      <c r="F4327" t="inlineStr">
        <is>
          <t>la Recarga y mantenimiento</t>
        </is>
      </c>
      <c r="G4327" t="inlineStr">
        <is>
          <t>01</t>
        </is>
      </c>
      <c r="H4327" t="inlineStr">
        <is>
          <t>10 LBS</t>
        </is>
      </c>
      <c r="I4327" t="n">
        <v>2028</v>
      </c>
      <c r="J4327" t="n">
        <v>2022</v>
      </c>
      <c r="K4327" t="inlineStr">
        <is>
          <t>FEBRERO 2026</t>
        </is>
      </c>
      <c r="L4327" t="inlineStr">
        <is>
          <t>FEBRERO 2027</t>
        </is>
      </c>
      <c r="M4327" t="inlineStr">
        <is>
          <t>CO2 TIPO BC</t>
        </is>
      </c>
      <c r="N4327" t="inlineStr">
        <is>
          <t>13/008215</t>
        </is>
      </c>
      <c r="O4327" t="inlineStr">
        <is>
          <t>R</t>
        </is>
      </c>
      <c r="P4327">
        <f>TRIM(N4327)</f>
        <v/>
      </c>
    </row>
    <row r="4328">
      <c r="A4328" t="inlineStr">
        <is>
          <t>CO-002634</t>
        </is>
      </c>
      <c r="B4328" t="inlineStr">
        <is>
          <t xml:space="preserve">PERU MASIVO - INFRAESTRUCTURA </t>
        </is>
      </c>
      <c r="C4328" t="inlineStr">
        <is>
          <t>20492392031</t>
        </is>
      </c>
      <c r="D4328" t="inlineStr">
        <is>
          <t>AV. LOS INCAS CDRA. 4 PATIO NORTE - COMAS</t>
        </is>
      </c>
      <c r="E4328" t="inlineStr">
        <is>
          <t>Lima, 04 de febrero del 2026</t>
        </is>
      </c>
      <c r="F4328" t="inlineStr">
        <is>
          <t>la Recarga y mantenimiento</t>
        </is>
      </c>
      <c r="G4328" t="inlineStr">
        <is>
          <t>02</t>
        </is>
      </c>
      <c r="H4328" t="inlineStr">
        <is>
          <t>10 LBS</t>
        </is>
      </c>
      <c r="I4328" t="n">
        <v>2028</v>
      </c>
      <c r="J4328" t="n">
        <v>2022</v>
      </c>
      <c r="K4328" t="inlineStr">
        <is>
          <t>FEBRERO 2026</t>
        </is>
      </c>
      <c r="L4328" t="inlineStr">
        <is>
          <t>FEBRERO 2027</t>
        </is>
      </c>
      <c r="M4328" t="inlineStr">
        <is>
          <t xml:space="preserve">CO2 TIPO BC </t>
        </is>
      </c>
      <c r="N4328" t="inlineStr">
        <is>
          <t>09/010909</t>
        </is>
      </c>
      <c r="O4328" t="inlineStr">
        <is>
          <t>R</t>
        </is>
      </c>
      <c r="P4328">
        <f>TRIM(N4328)</f>
        <v/>
      </c>
    </row>
    <row r="4329">
      <c r="A4329" t="inlineStr">
        <is>
          <t>CO-002634</t>
        </is>
      </c>
      <c r="B4329" t="inlineStr">
        <is>
          <t xml:space="preserve">PERU MASIVO - INFRAESTRUCTURA </t>
        </is>
      </c>
      <c r="C4329" t="inlineStr">
        <is>
          <t>20492392031</t>
        </is>
      </c>
      <c r="D4329" t="inlineStr">
        <is>
          <t>AV. LOS INCAS CDRA. 4 PATIO NORTE - COMAS</t>
        </is>
      </c>
      <c r="E4329" t="inlineStr">
        <is>
          <t>Lima, 04 de febrero del 2026</t>
        </is>
      </c>
      <c r="F4329" t="inlineStr">
        <is>
          <t>la Recarga y mantenimiento</t>
        </is>
      </c>
      <c r="G4329" t="inlineStr">
        <is>
          <t>03</t>
        </is>
      </c>
      <c r="H4329" t="inlineStr">
        <is>
          <t>10 LBS</t>
        </is>
      </c>
      <c r="I4329" t="n">
        <v>2030</v>
      </c>
      <c r="J4329" t="n">
        <v>2010</v>
      </c>
      <c r="K4329" t="inlineStr">
        <is>
          <t>FEBRERO 2026</t>
        </is>
      </c>
      <c r="L4329" t="inlineStr">
        <is>
          <t>FEBRERO 2027</t>
        </is>
      </c>
      <c r="M4329" t="inlineStr">
        <is>
          <t>CO2 TIPO BC</t>
        </is>
      </c>
      <c r="N4329" t="inlineStr">
        <is>
          <t>32/000012</t>
        </is>
      </c>
      <c r="O4329" t="inlineStr">
        <is>
          <t>R</t>
        </is>
      </c>
      <c r="P4329">
        <f>TRIM(N4329)</f>
        <v/>
      </c>
    </row>
    <row r="4330">
      <c r="A4330" t="inlineStr">
        <is>
          <t>CO-002635</t>
        </is>
      </c>
      <c r="B4330" t="inlineStr">
        <is>
          <t>SUNAT - AREQUIPA -  RIO SECO</t>
        </is>
      </c>
      <c r="C4330" t="inlineStr">
        <is>
          <t>20131312955</t>
        </is>
      </c>
      <c r="D4330" t="inlineStr">
        <is>
          <t xml:space="preserve">Altura del Km 8.5 de la Carretera Yaura - Arequipa </t>
        </is>
      </c>
      <c r="E4330" t="inlineStr">
        <is>
          <t xml:space="preserve">Lima, 27 de enero del 2026 </t>
        </is>
      </c>
      <c r="F4330" t="inlineStr">
        <is>
          <t>la Recarga y mantenimiento</t>
        </is>
      </c>
      <c r="G4330" t="inlineStr">
        <is>
          <t>01</t>
        </is>
      </c>
      <c r="H4330" t="inlineStr">
        <is>
          <t>10 LBS</t>
        </is>
      </c>
      <c r="I4330" t="n">
        <v>2027</v>
      </c>
      <c r="J4330" t="n">
        <v>2019</v>
      </c>
      <c r="K4330" t="inlineStr">
        <is>
          <t>ENERO 2026</t>
        </is>
      </c>
      <c r="L4330" t="inlineStr">
        <is>
          <t>ENERO 2027</t>
        </is>
      </c>
      <c r="M4330" t="inlineStr">
        <is>
          <t>CO2 TIPO BC</t>
        </is>
      </c>
      <c r="N4330" t="inlineStr">
        <is>
          <t>A34185530/ W-643816</t>
        </is>
      </c>
      <c r="O4330" t="inlineStr">
        <is>
          <t>R</t>
        </is>
      </c>
      <c r="P4330">
        <f>TRIM(N4330)</f>
        <v/>
      </c>
    </row>
    <row r="4331">
      <c r="A4331" t="inlineStr">
        <is>
          <t>CO-002636</t>
        </is>
      </c>
      <c r="B4331" t="inlineStr">
        <is>
          <t>PERU MASIVO - BUSES</t>
        </is>
      </c>
      <c r="C4331" t="inlineStr">
        <is>
          <t>20492392031</t>
        </is>
      </c>
      <c r="D4331" t="inlineStr">
        <is>
          <t>AV. LOS INCAS CDRA. 4 PATIO NORTE - COMAS</t>
        </is>
      </c>
      <c r="E4331" t="inlineStr">
        <is>
          <t>Lima, 10 de febrero del 2026</t>
        </is>
      </c>
      <c r="F4331" t="inlineStr">
        <is>
          <t>la Recarga y mantenimiento</t>
        </is>
      </c>
      <c r="G4331" t="inlineStr">
        <is>
          <t>01</t>
        </is>
      </c>
      <c r="H4331" t="inlineStr">
        <is>
          <t>06 KG</t>
        </is>
      </c>
      <c r="I4331" t="inlineStr">
        <is>
          <t>2029</t>
        </is>
      </c>
      <c r="J4331" t="n">
        <v>2009</v>
      </c>
      <c r="K4331" t="inlineStr">
        <is>
          <t>FEBRERO 2026</t>
        </is>
      </c>
      <c r="L4331" t="inlineStr">
        <is>
          <t>FEBRERO 2027</t>
        </is>
      </c>
      <c r="M4331" t="inlineStr">
        <is>
          <t>P.Q.S TIPO ABC AL 90 % NACIONAL</t>
        </is>
      </c>
      <c r="N4331" t="inlineStr">
        <is>
          <t>387/000451</t>
        </is>
      </c>
      <c r="O4331" t="inlineStr">
        <is>
          <t>R</t>
        </is>
      </c>
      <c r="P4331">
        <f>TRIM(N4331)</f>
        <v/>
      </c>
    </row>
    <row r="4332">
      <c r="A4332" t="inlineStr">
        <is>
          <t>CO-002636</t>
        </is>
      </c>
      <c r="B4332" t="inlineStr">
        <is>
          <t>PERU MASIVO - BUSES</t>
        </is>
      </c>
      <c r="C4332" t="inlineStr">
        <is>
          <t>20492392031</t>
        </is>
      </c>
      <c r="D4332" t="inlineStr">
        <is>
          <t>AV. LOS INCAS CDRA. 4 PATIO NORTE - COMAS</t>
        </is>
      </c>
      <c r="E4332" t="inlineStr">
        <is>
          <t>Lima, 10 de febrero del 2026</t>
        </is>
      </c>
      <c r="F4332" t="inlineStr">
        <is>
          <t>la Recarga y mantenimiento</t>
        </is>
      </c>
      <c r="G4332" t="inlineStr">
        <is>
          <t>02</t>
        </is>
      </c>
      <c r="H4332" t="inlineStr">
        <is>
          <t>06 KG</t>
        </is>
      </c>
      <c r="I4332" t="inlineStr">
        <is>
          <t>2029</t>
        </is>
      </c>
      <c r="J4332" t="n">
        <v>2010</v>
      </c>
      <c r="K4332" t="inlineStr">
        <is>
          <t>FEBRERO 2026</t>
        </is>
      </c>
      <c r="L4332" t="inlineStr">
        <is>
          <t>FEBRERO 2027</t>
        </is>
      </c>
      <c r="M4332" t="inlineStr">
        <is>
          <t>P.Q.S TIPO ABC AL 90 % NACIONAL</t>
        </is>
      </c>
      <c r="N4332" t="inlineStr">
        <is>
          <t>16/000444</t>
        </is>
      </c>
      <c r="O4332" t="inlineStr">
        <is>
          <t>R</t>
        </is>
      </c>
      <c r="P4332">
        <f>TRIM(N4332)</f>
        <v/>
      </c>
    </row>
    <row r="4333">
      <c r="A4333" t="inlineStr">
        <is>
          <t>CO-002636</t>
        </is>
      </c>
      <c r="B4333" t="inlineStr">
        <is>
          <t>PERU MASIVO - BUSES</t>
        </is>
      </c>
      <c r="C4333" t="inlineStr">
        <is>
          <t>20492392031</t>
        </is>
      </c>
      <c r="D4333" t="inlineStr">
        <is>
          <t>AV. LOS INCAS CDRA. 4 PATIO NORTE - COMAS</t>
        </is>
      </c>
      <c r="E4333" t="inlineStr">
        <is>
          <t>Lima, 10 de febrero del 2026</t>
        </is>
      </c>
      <c r="F4333" t="inlineStr">
        <is>
          <t>la Recarga y mantenimiento</t>
        </is>
      </c>
      <c r="G4333" t="inlineStr">
        <is>
          <t>03</t>
        </is>
      </c>
      <c r="H4333" t="inlineStr">
        <is>
          <t>06 KG</t>
        </is>
      </c>
      <c r="I4333" t="inlineStr">
        <is>
          <t>2029</t>
        </is>
      </c>
      <c r="J4333" t="n">
        <v>2010</v>
      </c>
      <c r="K4333" t="inlineStr">
        <is>
          <t>FEBRERO 2026</t>
        </is>
      </c>
      <c r="L4333" t="inlineStr">
        <is>
          <t>FEBRERO 2027</t>
        </is>
      </c>
      <c r="M4333" t="inlineStr">
        <is>
          <t>P.Q.S TIPO ABC AL 90 % NACIONAL</t>
        </is>
      </c>
      <c r="N4333" t="inlineStr">
        <is>
          <t>297/000847</t>
        </is>
      </c>
      <c r="O4333" t="inlineStr">
        <is>
          <t>R</t>
        </is>
      </c>
      <c r="P4333">
        <f>TRIM(N4333)</f>
        <v/>
      </c>
    </row>
    <row r="4334">
      <c r="A4334" t="inlineStr">
        <is>
          <t>CO-002636</t>
        </is>
      </c>
      <c r="B4334" t="inlineStr">
        <is>
          <t>PERU MASIVO - BUSES</t>
        </is>
      </c>
      <c r="C4334" t="inlineStr">
        <is>
          <t>20492392031</t>
        </is>
      </c>
      <c r="D4334" t="inlineStr">
        <is>
          <t>AV. LOS INCAS CDRA. 4 PATIO NORTE - COMAS</t>
        </is>
      </c>
      <c r="E4334" t="inlineStr">
        <is>
          <t>Lima, 10 de febrero del 2026</t>
        </is>
      </c>
      <c r="F4334" t="inlineStr">
        <is>
          <t>la Recarga y mantenimiento</t>
        </is>
      </c>
      <c r="G4334" t="inlineStr">
        <is>
          <t>04</t>
        </is>
      </c>
      <c r="H4334" t="inlineStr">
        <is>
          <t>06 KG</t>
        </is>
      </c>
      <c r="I4334" t="inlineStr">
        <is>
          <t>2029</t>
        </is>
      </c>
      <c r="J4334" t="n">
        <v>2009</v>
      </c>
      <c r="K4334" t="inlineStr">
        <is>
          <t>FEBRERO 2026</t>
        </is>
      </c>
      <c r="L4334" t="inlineStr">
        <is>
          <t>FEBRERO 2027</t>
        </is>
      </c>
      <c r="M4334" t="inlineStr">
        <is>
          <t>P.Q.S TIPO ABC AL 90 % NACIONAL</t>
        </is>
      </c>
      <c r="N4334" t="inlineStr">
        <is>
          <t>321/000581</t>
        </is>
      </c>
      <c r="O4334" t="inlineStr">
        <is>
          <t>R</t>
        </is>
      </c>
      <c r="P4334">
        <f>TRIM(N4334)</f>
        <v/>
      </c>
    </row>
    <row r="4335">
      <c r="A4335" t="inlineStr">
        <is>
          <t>CO-002636</t>
        </is>
      </c>
      <c r="B4335" t="inlineStr">
        <is>
          <t>PERU MASIVO - BUSES</t>
        </is>
      </c>
      <c r="C4335" t="inlineStr">
        <is>
          <t>20492392031</t>
        </is>
      </c>
      <c r="D4335" t="inlineStr">
        <is>
          <t>AV. LOS INCAS CDRA. 4 PATIO NORTE - COMAS</t>
        </is>
      </c>
      <c r="E4335" t="inlineStr">
        <is>
          <t>Lima, 10 de febrero del 2026</t>
        </is>
      </c>
      <c r="F4335" t="inlineStr">
        <is>
          <t>la Recarga y mantenimiento</t>
        </is>
      </c>
      <c r="G4335" t="inlineStr">
        <is>
          <t>05</t>
        </is>
      </c>
      <c r="H4335" t="inlineStr">
        <is>
          <t>06 KG</t>
        </is>
      </c>
      <c r="I4335" t="inlineStr">
        <is>
          <t>2028</t>
        </is>
      </c>
      <c r="J4335" t="n">
        <v>2010</v>
      </c>
      <c r="K4335" t="inlineStr">
        <is>
          <t>FEBRERO 2026</t>
        </is>
      </c>
      <c r="L4335" t="inlineStr">
        <is>
          <t>FEBRERO 2027</t>
        </is>
      </c>
      <c r="M4335" t="inlineStr">
        <is>
          <t>P.Q.S TIPO ABC AL 90 % NACIONAL</t>
        </is>
      </c>
      <c r="N4335" t="inlineStr">
        <is>
          <t>69/000005</t>
        </is>
      </c>
      <c r="O4335" t="inlineStr">
        <is>
          <t>R</t>
        </is>
      </c>
      <c r="P4335">
        <f>TRIM(N4335)</f>
        <v/>
      </c>
    </row>
    <row r="4336">
      <c r="A4336" t="inlineStr">
        <is>
          <t>CO-002636</t>
        </is>
      </c>
      <c r="B4336" t="inlineStr">
        <is>
          <t>PERU MASIVO - BUSES</t>
        </is>
      </c>
      <c r="C4336" t="inlineStr">
        <is>
          <t>20492392031</t>
        </is>
      </c>
      <c r="D4336" t="inlineStr">
        <is>
          <t>AV. LOS INCAS CDRA. 4 PATIO NORTE - COMAS</t>
        </is>
      </c>
      <c r="E4336" t="inlineStr">
        <is>
          <t>Lima, 10 de febrero del 2026</t>
        </is>
      </c>
      <c r="F4336" t="inlineStr">
        <is>
          <t>la Recarga y mantenimiento</t>
        </is>
      </c>
      <c r="G4336" t="inlineStr">
        <is>
          <t>06</t>
        </is>
      </c>
      <c r="H4336" t="inlineStr">
        <is>
          <t>06 KG</t>
        </is>
      </c>
      <c r="I4336" t="inlineStr">
        <is>
          <t>2028</t>
        </is>
      </c>
      <c r="J4336" t="n">
        <v>2010</v>
      </c>
      <c r="K4336" t="inlineStr">
        <is>
          <t>FEBRERO 2026</t>
        </is>
      </c>
      <c r="L4336" t="inlineStr">
        <is>
          <t>FEBRERO 2027</t>
        </is>
      </c>
      <c r="M4336" t="inlineStr">
        <is>
          <t>P.Q.S TIPO ABC AL 90 % NACIONAL</t>
        </is>
      </c>
      <c r="N4336" t="inlineStr">
        <is>
          <t>210/000982</t>
        </is>
      </c>
      <c r="O4336" t="inlineStr">
        <is>
          <t>R</t>
        </is>
      </c>
      <c r="P4336">
        <f>TRIM(N4336)</f>
        <v/>
      </c>
    </row>
    <row r="4337">
      <c r="A4337" t="inlineStr">
        <is>
          <t>CO-002636</t>
        </is>
      </c>
      <c r="B4337" t="inlineStr">
        <is>
          <t>PERU MASIVO - BUSES</t>
        </is>
      </c>
      <c r="C4337" t="inlineStr">
        <is>
          <t>20492392031</t>
        </is>
      </c>
      <c r="D4337" t="inlineStr">
        <is>
          <t>AV. LOS INCAS CDRA. 4 PATIO NORTE - COMAS</t>
        </is>
      </c>
      <c r="E4337" t="inlineStr">
        <is>
          <t>Lima, 10 de febrero del 2026</t>
        </is>
      </c>
      <c r="F4337" t="inlineStr">
        <is>
          <t>la Recarga y mantenimiento</t>
        </is>
      </c>
      <c r="G4337" t="inlineStr">
        <is>
          <t>07</t>
        </is>
      </c>
      <c r="H4337" t="inlineStr">
        <is>
          <t>06 KG</t>
        </is>
      </c>
      <c r="I4337" t="inlineStr">
        <is>
          <t>2029</t>
        </is>
      </c>
      <c r="J4337" t="n">
        <v>2009</v>
      </c>
      <c r="K4337" t="inlineStr">
        <is>
          <t>FEBRERO 2026</t>
        </is>
      </c>
      <c r="L4337" t="inlineStr">
        <is>
          <t>FEBRERO 2027</t>
        </is>
      </c>
      <c r="M4337" t="inlineStr">
        <is>
          <t>P.Q.S TIPO ABC AL 90 % NACIONAL</t>
        </is>
      </c>
      <c r="N4337" t="inlineStr">
        <is>
          <t>62/000351</t>
        </is>
      </c>
      <c r="O4337" t="inlineStr">
        <is>
          <t>R</t>
        </is>
      </c>
      <c r="P4337">
        <f>TRIM(N4337)</f>
        <v/>
      </c>
    </row>
    <row r="4338">
      <c r="A4338" t="inlineStr">
        <is>
          <t>CO-002636</t>
        </is>
      </c>
      <c r="B4338" t="inlineStr">
        <is>
          <t>PERU MASIVO - BUSES</t>
        </is>
      </c>
      <c r="C4338" t="inlineStr">
        <is>
          <t>20492392031</t>
        </is>
      </c>
      <c r="D4338" t="inlineStr">
        <is>
          <t>AV. LOS INCAS CDRA. 4 PATIO NORTE - COMAS</t>
        </is>
      </c>
      <c r="E4338" t="inlineStr">
        <is>
          <t>Lima, 10 de febrero del 2026</t>
        </is>
      </c>
      <c r="F4338" t="inlineStr">
        <is>
          <t>la Recarga y mantenimiento</t>
        </is>
      </c>
      <c r="G4338" t="inlineStr">
        <is>
          <t>08</t>
        </is>
      </c>
      <c r="H4338" t="inlineStr">
        <is>
          <t>06 KG</t>
        </is>
      </c>
      <c r="I4338" t="inlineStr">
        <is>
          <t>2029</t>
        </is>
      </c>
      <c r="J4338" t="n">
        <v>2010</v>
      </c>
      <c r="K4338" t="inlineStr">
        <is>
          <t>FEBRERO 2026</t>
        </is>
      </c>
      <c r="L4338" t="inlineStr">
        <is>
          <t>FEBRERO 2027</t>
        </is>
      </c>
      <c r="M4338" t="inlineStr">
        <is>
          <t>P.Q.S TIPO ABC AL 90 % NACIONAL</t>
        </is>
      </c>
      <c r="N4338" t="inlineStr">
        <is>
          <t>386/001467</t>
        </is>
      </c>
      <c r="O4338" t="inlineStr">
        <is>
          <t>R</t>
        </is>
      </c>
      <c r="P4338">
        <f>TRIM(N4338)</f>
        <v/>
      </c>
    </row>
    <row r="4339">
      <c r="A4339" t="inlineStr">
        <is>
          <t>CO-002636</t>
        </is>
      </c>
      <c r="B4339" t="inlineStr">
        <is>
          <t>PERU MASIVO - BUSES</t>
        </is>
      </c>
      <c r="C4339" t="inlineStr">
        <is>
          <t>20492392031</t>
        </is>
      </c>
      <c r="D4339" t="inlineStr">
        <is>
          <t>AV. LOS INCAS CDRA. 4 PATIO NORTE - COMAS</t>
        </is>
      </c>
      <c r="E4339" t="inlineStr">
        <is>
          <t>Lima, 10 de febrero del 2026</t>
        </is>
      </c>
      <c r="F4339" t="inlineStr">
        <is>
          <t>la Recarga y mantenimiento</t>
        </is>
      </c>
      <c r="G4339" t="inlineStr">
        <is>
          <t>09</t>
        </is>
      </c>
      <c r="H4339" t="inlineStr">
        <is>
          <t>06 KG</t>
        </is>
      </c>
      <c r="I4339" t="inlineStr">
        <is>
          <t>2029</t>
        </is>
      </c>
      <c r="J4339" t="n">
        <v>2009</v>
      </c>
      <c r="K4339" t="inlineStr">
        <is>
          <t>FEBRERO 2026</t>
        </is>
      </c>
      <c r="L4339" t="inlineStr">
        <is>
          <t>FEBRERO 2027</t>
        </is>
      </c>
      <c r="M4339" t="inlineStr">
        <is>
          <t>P.Q.S TIPO ABC AL 90 % NACIONAL</t>
        </is>
      </c>
      <c r="N4339" t="inlineStr">
        <is>
          <t>224/000265</t>
        </is>
      </c>
      <c r="O4339" t="inlineStr">
        <is>
          <t>R</t>
        </is>
      </c>
      <c r="P4339">
        <f>TRIM(N4339)</f>
        <v/>
      </c>
    </row>
    <row r="4340">
      <c r="A4340" t="inlineStr">
        <is>
          <t>CO-002636</t>
        </is>
      </c>
      <c r="B4340" t="inlineStr">
        <is>
          <t>PERU MASIVO - BUSES</t>
        </is>
      </c>
      <c r="C4340" t="inlineStr">
        <is>
          <t>20492392031</t>
        </is>
      </c>
      <c r="D4340" t="inlineStr">
        <is>
          <t>AV. LOS INCAS CDRA. 4 PATIO NORTE - COMAS</t>
        </is>
      </c>
      <c r="E4340" t="inlineStr">
        <is>
          <t>Lima, 10 de febrero del 2026</t>
        </is>
      </c>
      <c r="F4340" t="inlineStr">
        <is>
          <t>la Recarga y mantenimiento</t>
        </is>
      </c>
      <c r="G4340" t="inlineStr">
        <is>
          <t>10</t>
        </is>
      </c>
      <c r="H4340" t="inlineStr">
        <is>
          <t>06 KG</t>
        </is>
      </c>
      <c r="I4340" t="inlineStr">
        <is>
          <t>2028</t>
        </is>
      </c>
      <c r="J4340" t="n">
        <v>2009</v>
      </c>
      <c r="K4340" t="inlineStr">
        <is>
          <t>FEBRERO 2026</t>
        </is>
      </c>
      <c r="L4340" t="inlineStr">
        <is>
          <t>FEBRERO 2027</t>
        </is>
      </c>
      <c r="M4340" t="inlineStr">
        <is>
          <t>P.Q.S TIPO ABC AL 90 % NACIONAL</t>
        </is>
      </c>
      <c r="N4340" t="inlineStr">
        <is>
          <t>155/001375</t>
        </is>
      </c>
      <c r="O4340" t="inlineStr">
        <is>
          <t>R</t>
        </is>
      </c>
      <c r="P4340">
        <f>TRIM(N4340)</f>
        <v/>
      </c>
    </row>
    <row r="4341">
      <c r="A4341" t="inlineStr">
        <is>
          <t>CO-002636</t>
        </is>
      </c>
      <c r="B4341" t="inlineStr">
        <is>
          <t>PERU MASIVO - BUSES</t>
        </is>
      </c>
      <c r="C4341" t="inlineStr">
        <is>
          <t>20492392031</t>
        </is>
      </c>
      <c r="D4341" t="inlineStr">
        <is>
          <t>AV. LOS INCAS CDRA. 4 PATIO NORTE - COMAS</t>
        </is>
      </c>
      <c r="E4341" t="inlineStr">
        <is>
          <t>Lima, 10 de febrero del 2026</t>
        </is>
      </c>
      <c r="F4341" t="inlineStr">
        <is>
          <t>la Recarga y mantenimiento</t>
        </is>
      </c>
      <c r="G4341" t="inlineStr">
        <is>
          <t>11</t>
        </is>
      </c>
      <c r="H4341" t="inlineStr">
        <is>
          <t>06 KG</t>
        </is>
      </c>
      <c r="I4341" t="inlineStr">
        <is>
          <t>2029</t>
        </is>
      </c>
      <c r="J4341" t="n">
        <v>2010</v>
      </c>
      <c r="K4341" t="inlineStr">
        <is>
          <t>FEBRERO 2026</t>
        </is>
      </c>
      <c r="L4341" t="inlineStr">
        <is>
          <t>FEBRERO 2027</t>
        </is>
      </c>
      <c r="M4341" t="inlineStr">
        <is>
          <t>P.Q.S TIPO ABC AL 90 % NACIONAL</t>
        </is>
      </c>
      <c r="N4341" t="inlineStr">
        <is>
          <t>95/000125</t>
        </is>
      </c>
      <c r="O4341" t="inlineStr">
        <is>
          <t>R</t>
        </is>
      </c>
      <c r="P4341">
        <f>TRIM(N4341)</f>
        <v/>
      </c>
    </row>
    <row r="4342">
      <c r="A4342" t="inlineStr">
        <is>
          <t>CO-002636</t>
        </is>
      </c>
      <c r="B4342" t="inlineStr">
        <is>
          <t>PERU MASIVO - BUSES</t>
        </is>
      </c>
      <c r="C4342" t="inlineStr">
        <is>
          <t>20492392031</t>
        </is>
      </c>
      <c r="D4342" t="inlineStr">
        <is>
          <t>AV. LOS INCAS CDRA. 4 PATIO NORTE - COMAS</t>
        </is>
      </c>
      <c r="E4342" t="inlineStr">
        <is>
          <t>Lima, 10 de febrero del 2026</t>
        </is>
      </c>
      <c r="F4342" t="inlineStr">
        <is>
          <t>la Recarga y mantenimiento</t>
        </is>
      </c>
      <c r="G4342" t="inlineStr">
        <is>
          <t>12</t>
        </is>
      </c>
      <c r="H4342" t="inlineStr">
        <is>
          <t>06 KG</t>
        </is>
      </c>
      <c r="I4342" t="inlineStr">
        <is>
          <t>2029</t>
        </is>
      </c>
      <c r="J4342" t="n">
        <v>2009</v>
      </c>
      <c r="K4342" t="inlineStr">
        <is>
          <t>FEBRERO 2026</t>
        </is>
      </c>
      <c r="L4342" t="inlineStr">
        <is>
          <t>FEBRERO 2027</t>
        </is>
      </c>
      <c r="M4342" t="inlineStr">
        <is>
          <t>P.Q.S TIPO ABC AL 90 % NACIONAL</t>
        </is>
      </c>
      <c r="N4342" t="inlineStr">
        <is>
          <t>341/001634</t>
        </is>
      </c>
      <c r="O4342" t="inlineStr">
        <is>
          <t>R</t>
        </is>
      </c>
      <c r="P4342">
        <f>TRIM(N4342)</f>
        <v/>
      </c>
    </row>
    <row r="4343">
      <c r="A4343" t="inlineStr">
        <is>
          <t>CO-002636</t>
        </is>
      </c>
      <c r="B4343" t="inlineStr">
        <is>
          <t>PERU MASIVO - BUSES</t>
        </is>
      </c>
      <c r="C4343" t="inlineStr">
        <is>
          <t>20492392031</t>
        </is>
      </c>
      <c r="D4343" t="inlineStr">
        <is>
          <t>AV. LOS INCAS CDRA. 4 PATIO NORTE - COMAS</t>
        </is>
      </c>
      <c r="E4343" t="inlineStr">
        <is>
          <t>Lima, 10 de febrero del 2026</t>
        </is>
      </c>
      <c r="F4343" t="inlineStr">
        <is>
          <t>la Recarga y mantenimiento</t>
        </is>
      </c>
      <c r="G4343" t="inlineStr">
        <is>
          <t>13</t>
        </is>
      </c>
      <c r="H4343" t="inlineStr">
        <is>
          <t>06 KG</t>
        </is>
      </c>
      <c r="I4343" t="inlineStr">
        <is>
          <t>2028</t>
        </is>
      </c>
      <c r="J4343" t="n">
        <v>2009</v>
      </c>
      <c r="K4343" t="inlineStr">
        <is>
          <t>FEBRERO 2026</t>
        </is>
      </c>
      <c r="L4343" t="inlineStr">
        <is>
          <t>FEBRERO 2027</t>
        </is>
      </c>
      <c r="M4343" t="inlineStr">
        <is>
          <t>P.Q.S TIPO ABC AL 90 % NACIONAL</t>
        </is>
      </c>
      <c r="N4343" t="inlineStr">
        <is>
          <t>365/000571</t>
        </is>
      </c>
      <c r="O4343" t="inlineStr">
        <is>
          <t>R</t>
        </is>
      </c>
      <c r="P4343">
        <f>TRIM(N4343)</f>
        <v/>
      </c>
    </row>
    <row r="4344">
      <c r="A4344" t="inlineStr">
        <is>
          <t>CO-002637</t>
        </is>
      </c>
      <c r="B4344" t="inlineStr">
        <is>
          <t>UNIGRAF SAC</t>
        </is>
      </c>
      <c r="C4344" t="n">
        <v>20113367955</v>
      </c>
      <c r="D4344" t="inlineStr">
        <is>
          <t>CALLE LOS CEDROS MZ C1 LT1 CPM HUACHIPA, LURIGANCHO CHOSICA</t>
        </is>
      </c>
      <c r="E4344" t="inlineStr">
        <is>
          <t>Lima, 12 de febrero del 2026</t>
        </is>
      </c>
      <c r="F4344" t="inlineStr">
        <is>
          <t>la Recarga y mantenimiento</t>
        </is>
      </c>
      <c r="G4344" t="inlineStr">
        <is>
          <t>01</t>
        </is>
      </c>
      <c r="H4344" t="inlineStr">
        <is>
          <t>06 KG</t>
        </is>
      </c>
      <c r="I4344" t="n">
        <v>2030</v>
      </c>
      <c r="J4344" t="n">
        <v>2017</v>
      </c>
      <c r="K4344" t="inlineStr">
        <is>
          <t>FEBRERO 2026</t>
        </is>
      </c>
      <c r="L4344" t="inlineStr">
        <is>
          <t>FEBRERO 2027</t>
        </is>
      </c>
      <c r="M4344" t="inlineStr">
        <is>
          <t>PQS TIPO ABC AL 75%</t>
        </is>
      </c>
      <c r="N4344" t="inlineStr">
        <is>
          <t>20/000748</t>
        </is>
      </c>
      <c r="O4344" t="inlineStr">
        <is>
          <t>R</t>
        </is>
      </c>
      <c r="P4344">
        <f>TRIM(N4344)</f>
        <v/>
      </c>
    </row>
    <row r="4345">
      <c r="A4345" t="inlineStr">
        <is>
          <t>CO-002637</t>
        </is>
      </c>
      <c r="B4345" t="inlineStr">
        <is>
          <t>UNIGRAF SAC</t>
        </is>
      </c>
      <c r="C4345" t="n">
        <v>20113367955</v>
      </c>
      <c r="D4345" t="inlineStr">
        <is>
          <t>CALLE LOS CEDROS MZ C1 LT1 CPM HUACHIPA, LURIGANCHO CHOSICA</t>
        </is>
      </c>
      <c r="E4345" t="inlineStr">
        <is>
          <t>Lima, 12 de febrero del 2026</t>
        </is>
      </c>
      <c r="F4345" t="inlineStr">
        <is>
          <t>la Recarga y mantenimiento</t>
        </is>
      </c>
      <c r="G4345" t="inlineStr">
        <is>
          <t>02</t>
        </is>
      </c>
      <c r="H4345" t="inlineStr">
        <is>
          <t>06 KG</t>
        </is>
      </c>
      <c r="I4345" t="n">
        <v>2030</v>
      </c>
      <c r="J4345" t="n">
        <v>2011</v>
      </c>
      <c r="K4345" t="inlineStr">
        <is>
          <t>FEBRERO 2026</t>
        </is>
      </c>
      <c r="L4345" t="inlineStr">
        <is>
          <t>FEBRERO 2027</t>
        </is>
      </c>
      <c r="M4345" t="inlineStr">
        <is>
          <t>PQS TIPO ABC AL 75%</t>
        </is>
      </c>
      <c r="N4345" t="inlineStr">
        <is>
          <t>03/002040</t>
        </is>
      </c>
      <c r="O4345" t="inlineStr">
        <is>
          <t>R</t>
        </is>
      </c>
      <c r="P4345">
        <f>TRIM(N4345)</f>
        <v/>
      </c>
    </row>
    <row r="4346">
      <c r="A4346" t="inlineStr">
        <is>
          <t>CO-002637</t>
        </is>
      </c>
      <c r="B4346" t="inlineStr">
        <is>
          <t>UNIGRAF SAC</t>
        </is>
      </c>
      <c r="C4346" t="n">
        <v>20113367955</v>
      </c>
      <c r="D4346" t="inlineStr">
        <is>
          <t>CALLE LOS CEDROS MZ C1 LT1 CPM HUACHIPA, LURIGANCHO CHOSICA</t>
        </is>
      </c>
      <c r="E4346" t="inlineStr">
        <is>
          <t>Lima, 12 de febrero del 2026</t>
        </is>
      </c>
      <c r="F4346" t="inlineStr">
        <is>
          <t>la Recarga y mantenimiento</t>
        </is>
      </c>
      <c r="G4346" t="n">
        <v>3</v>
      </c>
      <c r="H4346" t="inlineStr">
        <is>
          <t>06 KG</t>
        </is>
      </c>
      <c r="I4346" t="n">
        <v>2028</v>
      </c>
      <c r="J4346" t="n">
        <v>2023</v>
      </c>
      <c r="K4346" t="inlineStr">
        <is>
          <t>FEBRERO 2026</t>
        </is>
      </c>
      <c r="L4346" t="inlineStr">
        <is>
          <t>FEBRERO 2027</t>
        </is>
      </c>
      <c r="M4346" t="inlineStr">
        <is>
          <t>PQS TIPO ABC AL 75%</t>
        </is>
      </c>
      <c r="N4346" t="inlineStr">
        <is>
          <t>S/N/001350</t>
        </is>
      </c>
      <c r="O4346" t="inlineStr">
        <is>
          <t>R</t>
        </is>
      </c>
      <c r="P4346">
        <f>TRIM(N4346)</f>
        <v/>
      </c>
    </row>
    <row r="4347">
      <c r="A4347" t="inlineStr">
        <is>
          <t>CO-002637</t>
        </is>
      </c>
      <c r="B4347" t="inlineStr">
        <is>
          <t>UNIGRAF SAC</t>
        </is>
      </c>
      <c r="C4347" t="n">
        <v>20113367955</v>
      </c>
      <c r="D4347" t="inlineStr">
        <is>
          <t>CALLE LOS CEDROS MZ C1 LT1 CPM HUACHIPA, LURIGANCHO CHOSICA</t>
        </is>
      </c>
      <c r="E4347" t="inlineStr">
        <is>
          <t>Lima, 12 de febrero del 2026</t>
        </is>
      </c>
      <c r="F4347" t="inlineStr">
        <is>
          <t>la Recarga y mantenimiento</t>
        </is>
      </c>
      <c r="G4347" t="n">
        <v>4</v>
      </c>
      <c r="H4347" t="inlineStr">
        <is>
          <t>06 KG</t>
        </is>
      </c>
      <c r="I4347" t="n">
        <v>2029</v>
      </c>
      <c r="J4347" t="n">
        <v>2014</v>
      </c>
      <c r="K4347" t="inlineStr">
        <is>
          <t>FEBRERO 2026</t>
        </is>
      </c>
      <c r="L4347" t="inlineStr">
        <is>
          <t>FEBRERO 2027</t>
        </is>
      </c>
      <c r="M4347" t="inlineStr">
        <is>
          <t>PQS TIPO ABC AL 75%</t>
        </is>
      </c>
      <c r="N4347" t="inlineStr">
        <is>
          <t>S/N/002747</t>
        </is>
      </c>
      <c r="O4347" t="inlineStr">
        <is>
          <t>R</t>
        </is>
      </c>
      <c r="P4347">
        <f>TRIM(N4347)</f>
        <v/>
      </c>
    </row>
    <row r="4348">
      <c r="A4348" t="inlineStr">
        <is>
          <t>CO-002637</t>
        </is>
      </c>
      <c r="B4348" t="inlineStr">
        <is>
          <t>UNIGRAF SAC</t>
        </is>
      </c>
      <c r="C4348" t="n">
        <v>20113367955</v>
      </c>
      <c r="D4348" t="inlineStr">
        <is>
          <t>CALLE LOS CEDROS MZ C1 LT1 CPM HUACHIPA, LURIGANCHO CHOSICA</t>
        </is>
      </c>
      <c r="E4348" t="inlineStr">
        <is>
          <t>Lima, 12 de febrero del 2026</t>
        </is>
      </c>
      <c r="F4348" t="inlineStr">
        <is>
          <t>la Recarga y mantenimiento</t>
        </is>
      </c>
      <c r="G4348" t="n">
        <v>5</v>
      </c>
      <c r="H4348" t="inlineStr">
        <is>
          <t xml:space="preserve">12 KG </t>
        </is>
      </c>
      <c r="I4348" t="n">
        <v>2029</v>
      </c>
      <c r="J4348" t="n">
        <v>2024</v>
      </c>
      <c r="K4348" t="inlineStr">
        <is>
          <t>FEBRERO 2026</t>
        </is>
      </c>
      <c r="L4348" t="inlineStr">
        <is>
          <t>FEBRERO 2027</t>
        </is>
      </c>
      <c r="M4348" t="inlineStr">
        <is>
          <t>PQS TIPO ABC AL 75%</t>
        </is>
      </c>
      <c r="N4348" t="inlineStr">
        <is>
          <t>07/000249</t>
        </is>
      </c>
      <c r="O4348" t="inlineStr">
        <is>
          <t>R</t>
        </is>
      </c>
      <c r="P4348">
        <f>TRIM(N4348)</f>
        <v/>
      </c>
    </row>
    <row r="4349">
      <c r="A4349" t="inlineStr">
        <is>
          <t>CO-002638</t>
        </is>
      </c>
      <c r="B4349" t="inlineStr">
        <is>
          <t>PERU MASIVO - BUSES</t>
        </is>
      </c>
      <c r="C4349" t="inlineStr">
        <is>
          <t>20492392031</t>
        </is>
      </c>
      <c r="D4349" t="inlineStr">
        <is>
          <t>AV. LOS INCAS CDRA. 4 PATIO NORTE - COMAS</t>
        </is>
      </c>
      <c r="E4349" t="inlineStr">
        <is>
          <t>Lima, 18 de febrero del 2026</t>
        </is>
      </c>
      <c r="F4349" t="inlineStr">
        <is>
          <t>la Recarga y mantenimiento</t>
        </is>
      </c>
      <c r="G4349" t="inlineStr">
        <is>
          <t>01</t>
        </is>
      </c>
      <c r="H4349" t="inlineStr">
        <is>
          <t>06 KG</t>
        </is>
      </c>
      <c r="I4349" t="inlineStr">
        <is>
          <t>2029</t>
        </is>
      </c>
      <c r="J4349" t="n">
        <v>2010</v>
      </c>
      <c r="K4349" t="inlineStr">
        <is>
          <t>FEBRERO 2026</t>
        </is>
      </c>
      <c r="L4349" t="inlineStr">
        <is>
          <t>FEBRERO 2027</t>
        </is>
      </c>
      <c r="M4349" t="inlineStr">
        <is>
          <t>P.Q.S TIPO ABC AL 90 % NACIONAL</t>
        </is>
      </c>
      <c r="N4349" t="inlineStr">
        <is>
          <t>163/000854</t>
        </is>
      </c>
      <c r="O4349" t="inlineStr">
        <is>
          <t>R</t>
        </is>
      </c>
      <c r="P4349">
        <f>TRIM(N4349)</f>
        <v/>
      </c>
    </row>
    <row r="4350">
      <c r="A4350" t="inlineStr">
        <is>
          <t>CO-002638</t>
        </is>
      </c>
      <c r="B4350" t="inlineStr">
        <is>
          <t>PERU MASIVO - BUSES</t>
        </is>
      </c>
      <c r="C4350" t="inlineStr">
        <is>
          <t>20492392031</t>
        </is>
      </c>
      <c r="D4350" t="inlineStr">
        <is>
          <t>AV. LOS INCAS CDRA. 4 PATIO NORTE - COMAS</t>
        </is>
      </c>
      <c r="E4350" t="inlineStr">
        <is>
          <t>Lima, 18 de febrero del 2026</t>
        </is>
      </c>
      <c r="F4350" t="inlineStr">
        <is>
          <t>la Recarga y mantenimiento</t>
        </is>
      </c>
      <c r="G4350" t="inlineStr">
        <is>
          <t>02</t>
        </is>
      </c>
      <c r="H4350" t="inlineStr">
        <is>
          <t>06 KG</t>
        </is>
      </c>
      <c r="I4350" t="inlineStr">
        <is>
          <t>2029</t>
        </is>
      </c>
      <c r="J4350" t="n">
        <v>2010</v>
      </c>
      <c r="K4350" t="inlineStr">
        <is>
          <t>FEBRERO 2026</t>
        </is>
      </c>
      <c r="L4350" t="inlineStr">
        <is>
          <t>FEBRERO 2027</t>
        </is>
      </c>
      <c r="M4350" t="inlineStr">
        <is>
          <t>P.Q.S TIPO ABC AL 90 % NACIONAL</t>
        </is>
      </c>
      <c r="N4350" t="inlineStr">
        <is>
          <t>244/001534</t>
        </is>
      </c>
      <c r="O4350" t="inlineStr">
        <is>
          <t>R</t>
        </is>
      </c>
      <c r="P4350">
        <f>TRIM(N4350)</f>
        <v/>
      </c>
    </row>
    <row r="4351">
      <c r="A4351" t="inlineStr">
        <is>
          <t>CO-002638</t>
        </is>
      </c>
      <c r="B4351" t="inlineStr">
        <is>
          <t>PERU MASIVO - BUSES</t>
        </is>
      </c>
      <c r="C4351" t="inlineStr">
        <is>
          <t>20492392031</t>
        </is>
      </c>
      <c r="D4351" t="inlineStr">
        <is>
          <t>AV. LOS INCAS CDRA. 4 PATIO NORTE - COMAS</t>
        </is>
      </c>
      <c r="E4351" t="inlineStr">
        <is>
          <t>Lima, 18 de febrero del 2026</t>
        </is>
      </c>
      <c r="F4351" t="inlineStr">
        <is>
          <t>la Recarga y mantenimiento</t>
        </is>
      </c>
      <c r="G4351" t="inlineStr">
        <is>
          <t>03</t>
        </is>
      </c>
      <c r="H4351" t="inlineStr">
        <is>
          <t>06 KG</t>
        </is>
      </c>
      <c r="I4351" t="inlineStr">
        <is>
          <t>2029</t>
        </is>
      </c>
      <c r="J4351" t="n">
        <v>2010</v>
      </c>
      <c r="K4351" t="inlineStr">
        <is>
          <t>FEBRERO 2026</t>
        </is>
      </c>
      <c r="L4351" t="inlineStr">
        <is>
          <t>FEBRERO 2027</t>
        </is>
      </c>
      <c r="M4351" t="inlineStr">
        <is>
          <t>P.Q.S TIPO ABC AL 90 % NACIONAL</t>
        </is>
      </c>
      <c r="N4351" t="inlineStr">
        <is>
          <t>179/000005</t>
        </is>
      </c>
      <c r="O4351" t="inlineStr">
        <is>
          <t>R</t>
        </is>
      </c>
      <c r="P4351">
        <f>TRIM(N4351)</f>
        <v/>
      </c>
    </row>
    <row r="4352">
      <c r="A4352" t="inlineStr">
        <is>
          <t>CO-002638</t>
        </is>
      </c>
      <c r="B4352" t="inlineStr">
        <is>
          <t>PERU MASIVO - BUSES</t>
        </is>
      </c>
      <c r="C4352" t="inlineStr">
        <is>
          <t>20492392031</t>
        </is>
      </c>
      <c r="D4352" t="inlineStr">
        <is>
          <t>AV. LOS INCAS CDRA. 4 PATIO NORTE - COMAS</t>
        </is>
      </c>
      <c r="E4352" t="inlineStr">
        <is>
          <t>Lima, 18 de febrero del 2026</t>
        </is>
      </c>
      <c r="F4352" t="inlineStr">
        <is>
          <t>la Recarga y mantenimiento</t>
        </is>
      </c>
      <c r="G4352" t="inlineStr">
        <is>
          <t>04</t>
        </is>
      </c>
      <c r="H4352" t="inlineStr">
        <is>
          <t>06 KG</t>
        </is>
      </c>
      <c r="I4352" t="inlineStr">
        <is>
          <t>2029</t>
        </is>
      </c>
      <c r="J4352" t="n">
        <v>2009</v>
      </c>
      <c r="K4352" t="inlineStr">
        <is>
          <t>FEBRERO 2026</t>
        </is>
      </c>
      <c r="L4352" t="inlineStr">
        <is>
          <t>FEBRERO 2027</t>
        </is>
      </c>
      <c r="M4352" t="inlineStr">
        <is>
          <t>P.Q.S TIPO ABC AL 90 % NACIONAL</t>
        </is>
      </c>
      <c r="N4352" t="inlineStr">
        <is>
          <t>368/002766</t>
        </is>
      </c>
      <c r="O4352" t="inlineStr">
        <is>
          <t>R</t>
        </is>
      </c>
      <c r="P4352">
        <f>TRIM(N4352)</f>
        <v/>
      </c>
    </row>
    <row r="4353">
      <c r="A4353" t="inlineStr">
        <is>
          <t>CO-002638</t>
        </is>
      </c>
      <c r="B4353" t="inlineStr">
        <is>
          <t>PERU MASIVO - BUSES</t>
        </is>
      </c>
      <c r="C4353" t="inlineStr">
        <is>
          <t>20492392031</t>
        </is>
      </c>
      <c r="D4353" t="inlineStr">
        <is>
          <t>AV. LOS INCAS CDRA. 4 PATIO NORTE - COMAS</t>
        </is>
      </c>
      <c r="E4353" t="inlineStr">
        <is>
          <t>Lima, 18 de febrero del 2026</t>
        </is>
      </c>
      <c r="F4353" t="inlineStr">
        <is>
          <t>la Recarga y mantenimiento</t>
        </is>
      </c>
      <c r="G4353" t="inlineStr">
        <is>
          <t>05</t>
        </is>
      </c>
      <c r="H4353" t="inlineStr">
        <is>
          <t>06 KG</t>
        </is>
      </c>
      <c r="I4353" t="inlineStr">
        <is>
          <t>2029</t>
        </is>
      </c>
      <c r="J4353" t="n">
        <v>2010</v>
      </c>
      <c r="K4353" t="inlineStr">
        <is>
          <t>FEBRERO 2026</t>
        </is>
      </c>
      <c r="L4353" t="inlineStr">
        <is>
          <t>FEBRERO 2027</t>
        </is>
      </c>
      <c r="M4353" t="inlineStr">
        <is>
          <t>P.Q.S TIPO ABC AL 90 % NACIONAL</t>
        </is>
      </c>
      <c r="N4353" t="inlineStr">
        <is>
          <t>381/001019</t>
        </is>
      </c>
      <c r="O4353" t="inlineStr">
        <is>
          <t>R</t>
        </is>
      </c>
      <c r="P4353">
        <f>TRIM(N4353)</f>
        <v/>
      </c>
    </row>
    <row r="4354">
      <c r="A4354" t="inlineStr">
        <is>
          <t>CO-002638</t>
        </is>
      </c>
      <c r="B4354" t="inlineStr">
        <is>
          <t>PERU MASIVO - BUSES</t>
        </is>
      </c>
      <c r="C4354" t="inlineStr">
        <is>
          <t>20492392031</t>
        </is>
      </c>
      <c r="D4354" t="inlineStr">
        <is>
          <t>AV. LOS INCAS CDRA. 4 PATIO NORTE - COMAS</t>
        </is>
      </c>
      <c r="E4354" t="inlineStr">
        <is>
          <t>Lima, 18 de febrero del 2026</t>
        </is>
      </c>
      <c r="F4354" t="inlineStr">
        <is>
          <t>la Recarga y mantenimiento</t>
        </is>
      </c>
      <c r="G4354" t="inlineStr">
        <is>
          <t>06</t>
        </is>
      </c>
      <c r="H4354" t="inlineStr">
        <is>
          <t>06 KG</t>
        </is>
      </c>
      <c r="I4354" t="inlineStr">
        <is>
          <t>2029</t>
        </is>
      </c>
      <c r="J4354" t="n">
        <v>2010</v>
      </c>
      <c r="K4354" t="inlineStr">
        <is>
          <t>FEBRERO 2026</t>
        </is>
      </c>
      <c r="L4354" t="inlineStr">
        <is>
          <t>FEBRERO 2027</t>
        </is>
      </c>
      <c r="M4354" t="inlineStr">
        <is>
          <t>P.Q.S TIPO ABC AL 90 % NACIONAL</t>
        </is>
      </c>
      <c r="N4354" t="inlineStr">
        <is>
          <t>18/001163</t>
        </is>
      </c>
      <c r="O4354" t="inlineStr">
        <is>
          <t>R</t>
        </is>
      </c>
      <c r="P4354">
        <f>TRIM(N4354)</f>
        <v/>
      </c>
    </row>
    <row r="4355">
      <c r="A4355" t="inlineStr">
        <is>
          <t>CO-002638</t>
        </is>
      </c>
      <c r="B4355" t="inlineStr">
        <is>
          <t>PERU MASIVO - BUSES</t>
        </is>
      </c>
      <c r="C4355" t="inlineStr">
        <is>
          <t>20492392031</t>
        </is>
      </c>
      <c r="D4355" t="inlineStr">
        <is>
          <t>AV. LOS INCAS CDRA. 4 PATIO NORTE - COMAS</t>
        </is>
      </c>
      <c r="E4355" t="inlineStr">
        <is>
          <t>Lima, 18 de febrero del 2026</t>
        </is>
      </c>
      <c r="F4355" t="inlineStr">
        <is>
          <t>la Recarga y mantenimiento</t>
        </is>
      </c>
      <c r="G4355" t="inlineStr">
        <is>
          <t>07</t>
        </is>
      </c>
      <c r="H4355" t="inlineStr">
        <is>
          <t>06 KG</t>
        </is>
      </c>
      <c r="I4355" t="inlineStr">
        <is>
          <t>2029</t>
        </is>
      </c>
      <c r="J4355" t="n">
        <v>2010</v>
      </c>
      <c r="K4355" t="inlineStr">
        <is>
          <t>FEBRERO 2026</t>
        </is>
      </c>
      <c r="L4355" t="inlineStr">
        <is>
          <t>FEBRERO 2027</t>
        </is>
      </c>
      <c r="M4355" t="inlineStr">
        <is>
          <t>P.Q.S TIPO ABC AL 90 % NACIONAL</t>
        </is>
      </c>
      <c r="N4355" t="inlineStr">
        <is>
          <t>95/000125</t>
        </is>
      </c>
      <c r="O4355" t="inlineStr">
        <is>
          <t>R</t>
        </is>
      </c>
      <c r="P4355">
        <f>TRIM(N4355)</f>
        <v/>
      </c>
    </row>
    <row r="4356">
      <c r="A4356" t="inlineStr">
        <is>
          <t>CO-002638</t>
        </is>
      </c>
      <c r="B4356" t="inlineStr">
        <is>
          <t>PERU MASIVO - BUSES</t>
        </is>
      </c>
      <c r="C4356" t="inlineStr">
        <is>
          <t>20492392031</t>
        </is>
      </c>
      <c r="D4356" t="inlineStr">
        <is>
          <t>AV. LOS INCAS CDRA. 4 PATIO NORTE - COMAS</t>
        </is>
      </c>
      <c r="E4356" t="inlineStr">
        <is>
          <t>Lima, 18 de febrero del 2026</t>
        </is>
      </c>
      <c r="F4356" t="inlineStr">
        <is>
          <t>la Recarga y mantenimiento</t>
        </is>
      </c>
      <c r="G4356" t="inlineStr">
        <is>
          <t>08</t>
        </is>
      </c>
      <c r="H4356" t="inlineStr">
        <is>
          <t>06 KG</t>
        </is>
      </c>
      <c r="I4356" t="inlineStr">
        <is>
          <t>2029</t>
        </is>
      </c>
      <c r="J4356" t="n">
        <v>2010</v>
      </c>
      <c r="K4356" t="inlineStr">
        <is>
          <t>FEBRERO 2026</t>
        </is>
      </c>
      <c r="L4356" t="inlineStr">
        <is>
          <t>FEBRERO 2027</t>
        </is>
      </c>
      <c r="M4356" t="inlineStr">
        <is>
          <t>P.Q.S TIPO ABC AL 90 % NACIONAL</t>
        </is>
      </c>
      <c r="N4356" t="inlineStr">
        <is>
          <t>355/001330</t>
        </is>
      </c>
      <c r="O4356" t="inlineStr">
        <is>
          <t>R</t>
        </is>
      </c>
      <c r="P4356">
        <f>TRIM(N4356)</f>
        <v/>
      </c>
    </row>
    <row r="4357">
      <c r="A4357" t="inlineStr">
        <is>
          <t>CO-002638</t>
        </is>
      </c>
      <c r="B4357" t="inlineStr">
        <is>
          <t>PERU MASIVO - BUSES</t>
        </is>
      </c>
      <c r="C4357" t="inlineStr">
        <is>
          <t>20492392031</t>
        </is>
      </c>
      <c r="D4357" t="inlineStr">
        <is>
          <t>AV. LOS INCAS CDRA. 4 PATIO NORTE - COMAS</t>
        </is>
      </c>
      <c r="E4357" t="inlineStr">
        <is>
          <t>Lima, 18 de febrero del 2026</t>
        </is>
      </c>
      <c r="F4357" t="inlineStr">
        <is>
          <t>la Recarga y mantenimiento</t>
        </is>
      </c>
      <c r="G4357" t="inlineStr">
        <is>
          <t>09</t>
        </is>
      </c>
      <c r="H4357" t="inlineStr">
        <is>
          <t>06 KG</t>
        </is>
      </c>
      <c r="I4357" t="inlineStr">
        <is>
          <t>2029</t>
        </is>
      </c>
      <c r="J4357" t="n">
        <v>2010</v>
      </c>
      <c r="K4357" t="inlineStr">
        <is>
          <t>FEBRERO 2026</t>
        </is>
      </c>
      <c r="L4357" t="inlineStr">
        <is>
          <t>FEBRERO 2027</t>
        </is>
      </c>
      <c r="M4357" t="inlineStr">
        <is>
          <t>P.Q.S TIPO ABC AL 90 % NACIONAL</t>
        </is>
      </c>
      <c r="N4357" t="inlineStr">
        <is>
          <t>159/000597</t>
        </is>
      </c>
      <c r="O4357" t="inlineStr">
        <is>
          <t>R</t>
        </is>
      </c>
      <c r="P4357">
        <f>TRIM(N4357)</f>
        <v/>
      </c>
    </row>
    <row r="4358">
      <c r="A4358" t="inlineStr">
        <is>
          <t>CO-002638</t>
        </is>
      </c>
      <c r="B4358" t="inlineStr">
        <is>
          <t>PERU MASIVO - BUSES</t>
        </is>
      </c>
      <c r="C4358" t="inlineStr">
        <is>
          <t>20492392031</t>
        </is>
      </c>
      <c r="D4358" t="inlineStr">
        <is>
          <t>AV. LOS INCAS CDRA. 4 PATIO NORTE - COMAS</t>
        </is>
      </c>
      <c r="E4358" t="inlineStr">
        <is>
          <t>Lima, 18 de febrero del 2026</t>
        </is>
      </c>
      <c r="F4358" t="inlineStr">
        <is>
          <t>la Recarga y mantenimiento</t>
        </is>
      </c>
      <c r="G4358" t="inlineStr">
        <is>
          <t>10</t>
        </is>
      </c>
      <c r="H4358" t="inlineStr">
        <is>
          <t>06 KG</t>
        </is>
      </c>
      <c r="I4358" t="inlineStr">
        <is>
          <t>2029</t>
        </is>
      </c>
      <c r="J4358" t="n">
        <v>2017</v>
      </c>
      <c r="K4358" t="inlineStr">
        <is>
          <t>FEBRERO 2026</t>
        </is>
      </c>
      <c r="L4358" t="inlineStr">
        <is>
          <t>FEBRERO 2027</t>
        </is>
      </c>
      <c r="M4358" t="inlineStr">
        <is>
          <t>P.Q.S TIPO ABC AL 90 % NACIONAL</t>
        </is>
      </c>
      <c r="N4358" t="inlineStr">
        <is>
          <t>276/003136</t>
        </is>
      </c>
      <c r="O4358" t="inlineStr">
        <is>
          <t>R</t>
        </is>
      </c>
      <c r="P4358">
        <f>TRIM(N4358)</f>
        <v/>
      </c>
    </row>
    <row r="4359">
      <c r="A4359" t="inlineStr">
        <is>
          <t>CO-002638</t>
        </is>
      </c>
      <c r="B4359" t="inlineStr">
        <is>
          <t>PERU MASIVO - BUSES</t>
        </is>
      </c>
      <c r="C4359" t="inlineStr">
        <is>
          <t>20492392031</t>
        </is>
      </c>
      <c r="D4359" t="inlineStr">
        <is>
          <t>AV. LOS INCAS CDRA. 4 PATIO NORTE - COMAS</t>
        </is>
      </c>
      <c r="E4359" t="inlineStr">
        <is>
          <t>Lima, 18 de febrero del 2026</t>
        </is>
      </c>
      <c r="F4359" t="inlineStr">
        <is>
          <t>la Recarga y mantenimiento</t>
        </is>
      </c>
      <c r="G4359" t="inlineStr">
        <is>
          <t>11</t>
        </is>
      </c>
      <c r="H4359" t="inlineStr">
        <is>
          <t>06 KG</t>
        </is>
      </c>
      <c r="I4359" t="inlineStr">
        <is>
          <t>2029</t>
        </is>
      </c>
      <c r="J4359" t="n">
        <v>2009</v>
      </c>
      <c r="K4359" t="inlineStr">
        <is>
          <t>FEBRERO 2026</t>
        </is>
      </c>
      <c r="L4359" t="inlineStr">
        <is>
          <t>FEBRERO 2027</t>
        </is>
      </c>
      <c r="M4359" t="inlineStr">
        <is>
          <t>P.Q.S TIPO ABC AL 90 % NACIONAL</t>
        </is>
      </c>
      <c r="N4359" t="inlineStr">
        <is>
          <t>127/000017</t>
        </is>
      </c>
      <c r="O4359" t="inlineStr">
        <is>
          <t>R</t>
        </is>
      </c>
      <c r="P4359">
        <f>TRIM(N4359)</f>
        <v/>
      </c>
    </row>
    <row r="4360">
      <c r="A4360" t="inlineStr">
        <is>
          <t>CO-002638</t>
        </is>
      </c>
      <c r="B4360" t="inlineStr">
        <is>
          <t>PERU MASIVO - BUSES</t>
        </is>
      </c>
      <c r="C4360" t="inlineStr">
        <is>
          <t>20492392031</t>
        </is>
      </c>
      <c r="D4360" t="inlineStr">
        <is>
          <t>AV. LOS INCAS CDRA. 4 PATIO NORTE - COMAS</t>
        </is>
      </c>
      <c r="E4360" t="inlineStr">
        <is>
          <t>Lima, 18 de febrero del 2026</t>
        </is>
      </c>
      <c r="F4360" t="inlineStr">
        <is>
          <t>la Recarga y mantenimiento</t>
        </is>
      </c>
      <c r="G4360" t="inlineStr">
        <is>
          <t>12</t>
        </is>
      </c>
      <c r="H4360" t="inlineStr">
        <is>
          <t>06 KG</t>
        </is>
      </c>
      <c r="I4360" t="inlineStr">
        <is>
          <t>2029</t>
        </is>
      </c>
      <c r="J4360" t="n">
        <v>2009</v>
      </c>
      <c r="K4360" t="inlineStr">
        <is>
          <t>FEBRERO 2026</t>
        </is>
      </c>
      <c r="L4360" t="inlineStr">
        <is>
          <t>FEBRERO 2027</t>
        </is>
      </c>
      <c r="M4360" t="inlineStr">
        <is>
          <t>P.Q.S TIPO ABC AL 90 % NACIONAL</t>
        </is>
      </c>
      <c r="N4360" t="inlineStr">
        <is>
          <t>174/001932</t>
        </is>
      </c>
      <c r="O4360" t="inlineStr">
        <is>
          <t>R</t>
        </is>
      </c>
      <c r="P4360">
        <f>TRIM(N4360)</f>
        <v/>
      </c>
    </row>
    <row r="4361">
      <c r="A4361" t="inlineStr">
        <is>
          <t>CO-002638</t>
        </is>
      </c>
      <c r="B4361" t="inlineStr">
        <is>
          <t>PERU MASIVO - BUSES</t>
        </is>
      </c>
      <c r="C4361" t="inlineStr">
        <is>
          <t>20492392031</t>
        </is>
      </c>
      <c r="D4361" t="inlineStr">
        <is>
          <t>AV. LOS INCAS CDRA. 4 PATIO NORTE - COMAS</t>
        </is>
      </c>
      <c r="E4361" t="inlineStr">
        <is>
          <t>Lima, 18 de febrero del 2026</t>
        </is>
      </c>
      <c r="F4361" t="inlineStr">
        <is>
          <t>la Recarga y mantenimiento</t>
        </is>
      </c>
      <c r="G4361" t="inlineStr">
        <is>
          <t>13</t>
        </is>
      </c>
      <c r="H4361" t="inlineStr">
        <is>
          <t>06 KG</t>
        </is>
      </c>
      <c r="I4361" t="inlineStr">
        <is>
          <t>2029</t>
        </is>
      </c>
      <c r="J4361" t="n">
        <v>2009</v>
      </c>
      <c r="K4361" t="inlineStr">
        <is>
          <t>FEBRERO 2026</t>
        </is>
      </c>
      <c r="L4361" t="inlineStr">
        <is>
          <t>FEBRERO 2027</t>
        </is>
      </c>
      <c r="M4361" t="inlineStr">
        <is>
          <t>P.Q.S TIPO ABC AL 90 % NACIONAL</t>
        </is>
      </c>
      <c r="N4361" t="inlineStr">
        <is>
          <t>158/002165</t>
        </is>
      </c>
      <c r="O4361" t="inlineStr">
        <is>
          <t>R</t>
        </is>
      </c>
      <c r="P4361">
        <f>TRIM(N4361)</f>
        <v/>
      </c>
    </row>
    <row r="4362">
      <c r="A4362" t="inlineStr">
        <is>
          <t>CO-002638</t>
        </is>
      </c>
      <c r="B4362" t="inlineStr">
        <is>
          <t>SUNAT - AREQUIPA - MOLLENDO</t>
        </is>
      </c>
      <c r="C4362" t="inlineStr">
        <is>
          <t>20131312955</t>
        </is>
      </c>
      <c r="D4362" t="inlineStr">
        <is>
          <t>Av. Tupac Amaru 102 Urb. Miramar</t>
        </is>
      </c>
      <c r="E4362" t="inlineStr">
        <is>
          <t>Lima, 20 de febrero del 2026</t>
        </is>
      </c>
      <c r="F4362" t="inlineStr">
        <is>
          <t>la Recarga y mantenimiento</t>
        </is>
      </c>
      <c r="G4362" t="inlineStr">
        <is>
          <t>01</t>
        </is>
      </c>
      <c r="H4362" t="inlineStr">
        <is>
          <t>12 KG</t>
        </is>
      </c>
      <c r="I4362" t="inlineStr">
        <is>
          <t>2030</t>
        </is>
      </c>
      <c r="J4362" t="n">
        <v>2015</v>
      </c>
      <c r="K4362" t="inlineStr">
        <is>
          <t>FEBRERO 2026</t>
        </is>
      </c>
      <c r="L4362" t="inlineStr">
        <is>
          <t>FEBRERO 2027</t>
        </is>
      </c>
      <c r="M4362" t="inlineStr">
        <is>
          <t>P.Q.S. / ABC AL 90%</t>
        </is>
      </c>
      <c r="N4362" t="inlineStr">
        <is>
          <t>S/N/000387</t>
        </is>
      </c>
      <c r="O4362" t="inlineStr">
        <is>
          <t>R</t>
        </is>
      </c>
      <c r="P4362">
        <f>TRIM(N4362)</f>
        <v/>
      </c>
    </row>
    <row r="4363">
      <c r="A4363" t="inlineStr">
        <is>
          <t>CO-002638</t>
        </is>
      </c>
      <c r="B4363" t="inlineStr">
        <is>
          <t>SUNAT - AREQUIPA - MOLLENDO</t>
        </is>
      </c>
      <c r="C4363" t="inlineStr">
        <is>
          <t>20131312955</t>
        </is>
      </c>
      <c r="D4363" t="inlineStr">
        <is>
          <t>Av. Tupac Amaru 102 Urb. Miramar</t>
        </is>
      </c>
      <c r="E4363" t="inlineStr">
        <is>
          <t>Lima, 20 de febrero del 2026</t>
        </is>
      </c>
      <c r="F4363" t="inlineStr">
        <is>
          <t>la Recarga y mantenimiento</t>
        </is>
      </c>
      <c r="G4363" t="inlineStr">
        <is>
          <t>02</t>
        </is>
      </c>
      <c r="H4363" t="inlineStr">
        <is>
          <t>04 KG</t>
        </is>
      </c>
      <c r="I4363" t="inlineStr">
        <is>
          <t>2030</t>
        </is>
      </c>
      <c r="J4363" t="n">
        <v>2023</v>
      </c>
      <c r="K4363" t="inlineStr">
        <is>
          <t>FEBRERO 2026</t>
        </is>
      </c>
      <c r="L4363" t="inlineStr">
        <is>
          <t>FEBRERO 2027</t>
        </is>
      </c>
      <c r="M4363" t="inlineStr">
        <is>
          <t>P.Q.S. / ABC AL 90%</t>
        </is>
      </c>
      <c r="N4363" t="inlineStr">
        <is>
          <t>S/N/000270</t>
        </is>
      </c>
      <c r="O4363" t="inlineStr">
        <is>
          <t>R</t>
        </is>
      </c>
      <c r="P4363">
        <f>TRIM(N4363)</f>
        <v/>
      </c>
    </row>
    <row r="4364">
      <c r="A4364" t="inlineStr">
        <is>
          <t>CO-002638</t>
        </is>
      </c>
      <c r="B4364" t="inlineStr">
        <is>
          <t>SUNAT - AREQUIPA - MOLLENDO</t>
        </is>
      </c>
      <c r="C4364" t="inlineStr">
        <is>
          <t>20131312955</t>
        </is>
      </c>
      <c r="D4364" t="inlineStr">
        <is>
          <t>Av. Tupac Amaru 102 Urb. Miramar</t>
        </is>
      </c>
      <c r="E4364" t="inlineStr">
        <is>
          <t>Lima, 20 de febrero del 2026</t>
        </is>
      </c>
      <c r="F4364" t="inlineStr">
        <is>
          <t>la Recarga y mantenimiento</t>
        </is>
      </c>
      <c r="G4364" t="n">
        <v>3</v>
      </c>
      <c r="H4364" t="inlineStr">
        <is>
          <t>04 KG</t>
        </is>
      </c>
      <c r="I4364" t="inlineStr">
        <is>
          <t>2028</t>
        </is>
      </c>
      <c r="J4364" t="inlineStr">
        <is>
          <t>S/N</t>
        </is>
      </c>
      <c r="K4364" t="inlineStr">
        <is>
          <t>FEBRERO 2026</t>
        </is>
      </c>
      <c r="L4364" t="inlineStr">
        <is>
          <t>FEBRERO 2027</t>
        </is>
      </c>
      <c r="M4364" t="inlineStr">
        <is>
          <t>P.Q.S. / ABC AL 90%</t>
        </is>
      </c>
      <c r="N4364" t="inlineStr">
        <is>
          <t>S/N/11886</t>
        </is>
      </c>
      <c r="P4364">
        <f>TRIM(N4364)</f>
        <v/>
      </c>
    </row>
    <row r="4365">
      <c r="A4365" t="inlineStr">
        <is>
          <t>CO-002639</t>
        </is>
      </c>
      <c r="B4365" t="inlineStr">
        <is>
          <t>SUNAT - AREQUIPA -  RIO SECO</t>
        </is>
      </c>
      <c r="C4365" t="inlineStr">
        <is>
          <t>20131312955</t>
        </is>
      </c>
      <c r="D4365" t="inlineStr">
        <is>
          <t xml:space="preserve">Altura del Km 8.5 de la Carretera Yaura - Arequipa </t>
        </is>
      </c>
      <c r="E4365" t="inlineStr">
        <is>
          <t>Lima, 03 de febrero del 2026</t>
        </is>
      </c>
      <c r="F4365" t="inlineStr">
        <is>
          <t>la Recarga y mantenimiento</t>
        </is>
      </c>
      <c r="G4365" t="inlineStr">
        <is>
          <t>01</t>
        </is>
      </c>
      <c r="H4365" t="inlineStr">
        <is>
          <t xml:space="preserve">04 KG </t>
        </is>
      </c>
      <c r="I4365" t="inlineStr">
        <is>
          <t>2027</t>
        </is>
      </c>
      <c r="J4365" t="n">
        <v>2022</v>
      </c>
      <c r="K4365" t="inlineStr">
        <is>
          <t>FEBRERO 2026</t>
        </is>
      </c>
      <c r="L4365" t="inlineStr">
        <is>
          <t>FEBRERO 2027</t>
        </is>
      </c>
      <c r="M4365" t="inlineStr">
        <is>
          <t>P.Q.S. / ABC AL 90%</t>
        </is>
      </c>
      <c r="N4365" t="inlineStr">
        <is>
          <t>000462</t>
        </is>
      </c>
      <c r="O4365" t="inlineStr">
        <is>
          <t>R</t>
        </is>
      </c>
      <c r="P4365">
        <f>TRIM(N4365)</f>
        <v/>
      </c>
    </row>
    <row r="4366">
      <c r="A4366" t="inlineStr">
        <is>
          <t>CO-002640</t>
        </is>
      </c>
      <c r="B4366" t="inlineStr">
        <is>
          <t>BRITISH AMERICAN HOSPITAL S.A. - CLINICA ANGLOAMERICANA</t>
        </is>
      </c>
      <c r="C4366" t="inlineStr">
        <is>
          <t>20107695584</t>
        </is>
      </c>
      <c r="D4366" t="inlineStr">
        <is>
          <t xml:space="preserve">JR ALFREDO SALAZAR 350 - SAN ISIDRO </t>
        </is>
      </c>
      <c r="E4366" t="inlineStr">
        <is>
          <t>Lima, 20 de febrero del 2026</t>
        </is>
      </c>
      <c r="F4366" t="inlineStr">
        <is>
          <t>la Recarga y mantenimiento</t>
        </is>
      </c>
      <c r="G4366" t="inlineStr">
        <is>
          <t>01</t>
        </is>
      </c>
      <c r="H4366" t="inlineStr">
        <is>
          <t>06 KG</t>
        </is>
      </c>
      <c r="I4366" t="n">
        <v>2027</v>
      </c>
      <c r="J4366" t="n">
        <v>2014</v>
      </c>
      <c r="K4366" t="inlineStr">
        <is>
          <t>FEBRERO 2026</t>
        </is>
      </c>
      <c r="L4366" t="inlineStr">
        <is>
          <t>FEBRERO 2027</t>
        </is>
      </c>
      <c r="M4366" t="inlineStr">
        <is>
          <t xml:space="preserve">PQS TIPO ABC AL 75% </t>
        </is>
      </c>
      <c r="N4366" t="inlineStr">
        <is>
          <t>E-094/000207</t>
        </is>
      </c>
      <c r="O4366" t="inlineStr">
        <is>
          <t>R</t>
        </is>
      </c>
      <c r="P4366">
        <f>TRIM(N4366)</f>
        <v/>
      </c>
    </row>
    <row r="4367">
      <c r="A4367" t="inlineStr">
        <is>
          <t>CO-002640</t>
        </is>
      </c>
      <c r="B4367" t="inlineStr">
        <is>
          <t>BRITISH AMERICAN HOSPITAL S.A. - CLINICA ANGLOAMERICANA</t>
        </is>
      </c>
      <c r="C4367" t="inlineStr">
        <is>
          <t>20107695584</t>
        </is>
      </c>
      <c r="D4367" t="inlineStr">
        <is>
          <t xml:space="preserve">JR ALFREDO SALAZAR 350 - SAN ISIDRO </t>
        </is>
      </c>
      <c r="E4367" t="inlineStr">
        <is>
          <t>Lima, 20 de febrero del 2026</t>
        </is>
      </c>
      <c r="F4367" t="inlineStr">
        <is>
          <t>la Recarga y mantenimiento</t>
        </is>
      </c>
      <c r="G4367" t="inlineStr">
        <is>
          <t>02</t>
        </is>
      </c>
      <c r="H4367" t="inlineStr">
        <is>
          <t>06 KG</t>
        </is>
      </c>
      <c r="I4367" t="n">
        <v>2031</v>
      </c>
      <c r="J4367" t="n">
        <v>2017</v>
      </c>
      <c r="K4367" t="inlineStr">
        <is>
          <t>FEBRERO 2026</t>
        </is>
      </c>
      <c r="L4367" t="inlineStr">
        <is>
          <t>FEBRERO 2027</t>
        </is>
      </c>
      <c r="M4367" t="inlineStr">
        <is>
          <t xml:space="preserve">PQS TIPO ABC AL 75% </t>
        </is>
      </c>
      <c r="N4367" t="inlineStr">
        <is>
          <t>E-097/000531</t>
        </is>
      </c>
      <c r="O4367" t="inlineStr">
        <is>
          <t>R</t>
        </is>
      </c>
      <c r="P4367">
        <f>TRIM(N4367)</f>
        <v/>
      </c>
    </row>
    <row r="4368">
      <c r="A4368" t="inlineStr">
        <is>
          <t>CO-002640</t>
        </is>
      </c>
      <c r="B4368" t="inlineStr">
        <is>
          <t>BRITISH AMERICAN HOSPITAL S.A. - CLINICA ANGLOAMERICANA</t>
        </is>
      </c>
      <c r="C4368" t="inlineStr">
        <is>
          <t>20107695584</t>
        </is>
      </c>
      <c r="D4368" t="inlineStr">
        <is>
          <t xml:space="preserve">JR ALFREDO SALAZAR 350 - SAN ISIDRO </t>
        </is>
      </c>
      <c r="E4368" t="inlineStr">
        <is>
          <t>Lima, 20 de febrero del 2026</t>
        </is>
      </c>
      <c r="F4368" t="inlineStr">
        <is>
          <t>la Recarga y mantenimiento</t>
        </is>
      </c>
      <c r="G4368" t="n">
        <v>3</v>
      </c>
      <c r="H4368" t="inlineStr">
        <is>
          <t>06 KG</t>
        </is>
      </c>
      <c r="I4368" t="n">
        <v>2031</v>
      </c>
      <c r="J4368" t="n">
        <v>2011</v>
      </c>
      <c r="K4368" t="inlineStr">
        <is>
          <t>FEBRERO 2026</t>
        </is>
      </c>
      <c r="L4368" t="inlineStr">
        <is>
          <t>FEBRERO 2027</t>
        </is>
      </c>
      <c r="M4368" t="inlineStr">
        <is>
          <t xml:space="preserve">PQS TIPO ABC AL 75% </t>
        </is>
      </c>
      <c r="N4368" t="inlineStr">
        <is>
          <t>E-091/000160|</t>
        </is>
      </c>
      <c r="O4368" t="inlineStr">
        <is>
          <t>R</t>
        </is>
      </c>
      <c r="P4368">
        <f>TRIM(N4368)</f>
        <v/>
      </c>
    </row>
    <row r="4369">
      <c r="A4369" t="inlineStr">
        <is>
          <t>CO-002640</t>
        </is>
      </c>
      <c r="B4369" t="inlineStr">
        <is>
          <t>BRITISH AMERICAN HOSPITAL S.A. - CLINICA ANGLOAMERICANA</t>
        </is>
      </c>
      <c r="C4369" t="inlineStr">
        <is>
          <t>20107695584</t>
        </is>
      </c>
      <c r="D4369" t="inlineStr">
        <is>
          <t xml:space="preserve">JR ALFREDO SALAZAR 350 - SAN ISIDRO </t>
        </is>
      </c>
      <c r="E4369" t="inlineStr">
        <is>
          <t>Lima, 20 de febrero del 2026</t>
        </is>
      </c>
      <c r="F4369" t="inlineStr">
        <is>
          <t>la Recarga y mantenimiento</t>
        </is>
      </c>
      <c r="G4369" t="n">
        <v>4</v>
      </c>
      <c r="H4369" t="inlineStr">
        <is>
          <t>06 KG</t>
        </is>
      </c>
      <c r="I4369" t="n">
        <v>2029</v>
      </c>
      <c r="J4369" t="n">
        <v>2014</v>
      </c>
      <c r="K4369" t="inlineStr">
        <is>
          <t>FEBRERO 2026</t>
        </is>
      </c>
      <c r="L4369" t="inlineStr">
        <is>
          <t>FEBRERO 2027</t>
        </is>
      </c>
      <c r="M4369" t="inlineStr">
        <is>
          <t xml:space="preserve">PQS TIPO ABC AL 75% </t>
        </is>
      </c>
      <c r="N4369" t="inlineStr">
        <is>
          <t>E-025/001855</t>
        </is>
      </c>
      <c r="O4369" t="inlineStr">
        <is>
          <t>R</t>
        </is>
      </c>
      <c r="P4369">
        <f>TRIM(N4369)</f>
        <v/>
      </c>
    </row>
    <row r="4370">
      <c r="A4370" t="inlineStr">
        <is>
          <t>CO-002640</t>
        </is>
      </c>
      <c r="B4370" t="inlineStr">
        <is>
          <t>BRITISH AMERICAN HOSPITAL S.A. - CLINICA ANGLOAMERICANA</t>
        </is>
      </c>
      <c r="C4370" t="inlineStr">
        <is>
          <t>20107695584</t>
        </is>
      </c>
      <c r="D4370" t="inlineStr">
        <is>
          <t xml:space="preserve">JR ALFREDO SALAZAR 350 - SAN ISIDRO </t>
        </is>
      </c>
      <c r="E4370" t="inlineStr">
        <is>
          <t>Lima, 20 de febrero del 2026</t>
        </is>
      </c>
      <c r="F4370" t="inlineStr">
        <is>
          <t>la Recarga y mantenimiento</t>
        </is>
      </c>
      <c r="G4370" t="n">
        <v>5</v>
      </c>
      <c r="H4370" t="inlineStr">
        <is>
          <t>06 KG</t>
        </is>
      </c>
      <c r="I4370" t="n">
        <v>2031</v>
      </c>
      <c r="J4370" t="n">
        <v>2008</v>
      </c>
      <c r="K4370" t="inlineStr">
        <is>
          <t>FEBRERO 2026</t>
        </is>
      </c>
      <c r="L4370" t="inlineStr">
        <is>
          <t>FEBRERO 2027</t>
        </is>
      </c>
      <c r="M4370" t="inlineStr">
        <is>
          <t xml:space="preserve">PQS TIPO ABC AL 75% </t>
        </is>
      </c>
      <c r="N4370" t="inlineStr">
        <is>
          <t>E-060/000864</t>
        </is>
      </c>
      <c r="O4370" t="inlineStr">
        <is>
          <t>R</t>
        </is>
      </c>
      <c r="P4370">
        <f>TRIM(N4370)</f>
        <v/>
      </c>
    </row>
    <row r="4371">
      <c r="A4371" t="inlineStr">
        <is>
          <t>CO-002640</t>
        </is>
      </c>
      <c r="B4371" t="inlineStr">
        <is>
          <t>BRITISH AMERICAN HOSPITAL S.A. - CLINICA ANGLOAMERICANA</t>
        </is>
      </c>
      <c r="C4371" t="inlineStr">
        <is>
          <t>20107695584</t>
        </is>
      </c>
      <c r="D4371" t="inlineStr">
        <is>
          <t xml:space="preserve">JR ALFREDO SALAZAR 350 - SAN ISIDRO </t>
        </is>
      </c>
      <c r="E4371" t="inlineStr">
        <is>
          <t>Lima, 20 de febrero del 2026</t>
        </is>
      </c>
      <c r="F4371" t="inlineStr">
        <is>
          <t>la Recarga y mantenimiento</t>
        </is>
      </c>
      <c r="G4371" t="n">
        <v>6</v>
      </c>
      <c r="H4371" t="inlineStr">
        <is>
          <t>06 KG</t>
        </is>
      </c>
      <c r="I4371" t="n">
        <v>2031</v>
      </c>
      <c r="J4371" t="n">
        <v>2016</v>
      </c>
      <c r="K4371" t="inlineStr">
        <is>
          <t>FEBRERO 2026</t>
        </is>
      </c>
      <c r="L4371" t="inlineStr">
        <is>
          <t>FEBRERO 2027</t>
        </is>
      </c>
      <c r="M4371" t="inlineStr">
        <is>
          <t xml:space="preserve">PQS TIPO ABC AL 75% </t>
        </is>
      </c>
      <c r="N4371" t="inlineStr">
        <is>
          <t>E-010/005955</t>
        </is>
      </c>
      <c r="O4371" t="inlineStr">
        <is>
          <t>R</t>
        </is>
      </c>
      <c r="P4371">
        <f>TRIM(N4371)</f>
        <v/>
      </c>
    </row>
    <row r="4372">
      <c r="A4372" t="inlineStr">
        <is>
          <t>CO-002640</t>
        </is>
      </c>
      <c r="B4372" t="inlineStr">
        <is>
          <t>BRITISH AMERICAN HOSPITAL S.A. - CLINICA ANGLOAMERICANA</t>
        </is>
      </c>
      <c r="C4372" t="inlineStr">
        <is>
          <t>20107695584</t>
        </is>
      </c>
      <c r="D4372" t="inlineStr">
        <is>
          <t xml:space="preserve">JR ALFREDO SALAZAR 350 - SAN ISIDRO </t>
        </is>
      </c>
      <c r="E4372" t="inlineStr">
        <is>
          <t>Lima, 20 de febrero del 2026</t>
        </is>
      </c>
      <c r="F4372" t="inlineStr">
        <is>
          <t>la Recarga y mantenimiento</t>
        </is>
      </c>
      <c r="G4372" t="n">
        <v>7</v>
      </c>
      <c r="H4372" t="inlineStr">
        <is>
          <t>06 KG</t>
        </is>
      </c>
      <c r="I4372" t="n">
        <v>2028</v>
      </c>
      <c r="J4372" t="n">
        <v>2012</v>
      </c>
      <c r="K4372" t="inlineStr">
        <is>
          <t>FEBRERO 2026</t>
        </is>
      </c>
      <c r="L4372" t="inlineStr">
        <is>
          <t>FEBRERO 2027</t>
        </is>
      </c>
      <c r="M4372" t="inlineStr">
        <is>
          <t xml:space="preserve">PQS TIPO ABC AL 75% </t>
        </is>
      </c>
      <c r="N4372" t="inlineStr">
        <is>
          <t>E-054/000534</t>
        </is>
      </c>
      <c r="O4372" t="inlineStr">
        <is>
          <t>R</t>
        </is>
      </c>
      <c r="P4372">
        <f>TRIM(N4372)</f>
        <v/>
      </c>
    </row>
    <row r="4373">
      <c r="A4373" t="inlineStr">
        <is>
          <t>CO-002640</t>
        </is>
      </c>
      <c r="B4373" t="inlineStr">
        <is>
          <t>BRITISH AMERICAN HOSPITAL S.A. - CLINICA ANGLOAMERICANA</t>
        </is>
      </c>
      <c r="C4373" t="inlineStr">
        <is>
          <t>20107695584</t>
        </is>
      </c>
      <c r="D4373" t="inlineStr">
        <is>
          <t xml:space="preserve">JR ALFREDO SALAZAR 350 - SAN ISIDRO </t>
        </is>
      </c>
      <c r="E4373" t="inlineStr">
        <is>
          <t>Lima, 20 de febrero del 2026</t>
        </is>
      </c>
      <c r="F4373" t="inlineStr">
        <is>
          <t>la Recarga y mantenimiento</t>
        </is>
      </c>
      <c r="G4373" t="n">
        <v>8</v>
      </c>
      <c r="H4373" t="inlineStr">
        <is>
          <t>04 KG</t>
        </is>
      </c>
      <c r="I4373" t="n">
        <v>2030</v>
      </c>
      <c r="J4373" t="n">
        <v>2008</v>
      </c>
      <c r="K4373" t="inlineStr">
        <is>
          <t>FEBRERO 2026</t>
        </is>
      </c>
      <c r="L4373" t="inlineStr">
        <is>
          <t>FEBRERO 2027</t>
        </is>
      </c>
      <c r="M4373" t="inlineStr">
        <is>
          <t xml:space="preserve">PQS TIPO ABC AL 75% </t>
        </is>
      </c>
      <c r="N4373" t="inlineStr">
        <is>
          <t>E-090/000579</t>
        </is>
      </c>
      <c r="O4373" t="inlineStr">
        <is>
          <t>R</t>
        </is>
      </c>
      <c r="P4373">
        <f>TRIM(N4373)</f>
        <v/>
      </c>
    </row>
    <row r="4374">
      <c r="A4374" t="inlineStr">
        <is>
          <t>CO-002640</t>
        </is>
      </c>
      <c r="B4374" t="inlineStr">
        <is>
          <t>BRITISH AMERICAN HOSPITAL S.A. - CLINICA ANGLOAMERICANA</t>
        </is>
      </c>
      <c r="C4374" t="inlineStr">
        <is>
          <t>20107695584</t>
        </is>
      </c>
      <c r="D4374" t="inlineStr">
        <is>
          <t xml:space="preserve">JR ALFREDO SALAZAR 350 - SAN ISIDRO </t>
        </is>
      </c>
      <c r="E4374" t="inlineStr">
        <is>
          <t>Lima, 20 de febrero del 2026</t>
        </is>
      </c>
      <c r="F4374" t="inlineStr">
        <is>
          <t>la Recarga y mantenimiento</t>
        </is>
      </c>
      <c r="G4374" t="n">
        <v>9</v>
      </c>
      <c r="H4374" t="inlineStr">
        <is>
          <t>09 KG</t>
        </is>
      </c>
      <c r="I4374" t="n">
        <v>2031</v>
      </c>
      <c r="J4374" t="n">
        <v>2007</v>
      </c>
      <c r="K4374" t="inlineStr">
        <is>
          <t>FEBRERO 2026</t>
        </is>
      </c>
      <c r="L4374" t="inlineStr">
        <is>
          <t>FEBRERO 2027</t>
        </is>
      </c>
      <c r="M4374" t="inlineStr">
        <is>
          <t xml:space="preserve">PQS TIPO ABC AL 75% </t>
        </is>
      </c>
      <c r="N4374" t="inlineStr">
        <is>
          <t>E-055/000064</t>
        </is>
      </c>
      <c r="O4374" t="inlineStr">
        <is>
          <t>R</t>
        </is>
      </c>
      <c r="P4374">
        <f>TRIM(N4374)</f>
        <v/>
      </c>
    </row>
    <row r="4375">
      <c r="A4375" t="inlineStr">
        <is>
          <t>CO-002640</t>
        </is>
      </c>
      <c r="B4375" t="inlineStr">
        <is>
          <t>BRITISH AMERICAN HOSPITAL S.A. - CLINICA ANGLOAMERICANA</t>
        </is>
      </c>
      <c r="C4375" t="inlineStr">
        <is>
          <t>20107695584</t>
        </is>
      </c>
      <c r="D4375" t="inlineStr">
        <is>
          <t xml:space="preserve">JR ALFREDO SALAZAR 350 - SAN ISIDRO </t>
        </is>
      </c>
      <c r="E4375" t="inlineStr">
        <is>
          <t>Lima, 20 de febrero del 2026</t>
        </is>
      </c>
      <c r="F4375" t="inlineStr">
        <is>
          <t>la Recarga y mantenimiento</t>
        </is>
      </c>
      <c r="G4375" t="n">
        <v>10</v>
      </c>
      <c r="H4375" t="inlineStr">
        <is>
          <t>12 KG</t>
        </is>
      </c>
      <c r="I4375" t="n">
        <v>2029</v>
      </c>
      <c r="J4375" t="n">
        <v>2017</v>
      </c>
      <c r="K4375" t="inlineStr">
        <is>
          <t>FEBRERO 2026</t>
        </is>
      </c>
      <c r="L4375" t="inlineStr">
        <is>
          <t>FEBRERO 2027</t>
        </is>
      </c>
      <c r="M4375" t="inlineStr">
        <is>
          <t xml:space="preserve">PQS TIPO ABC AL 75% </t>
        </is>
      </c>
      <c r="N4375" t="inlineStr">
        <is>
          <t>E-139/000128</t>
        </is>
      </c>
      <c r="O4375" t="inlineStr">
        <is>
          <t>R</t>
        </is>
      </c>
      <c r="P4375">
        <f>TRIM(N4375)</f>
        <v/>
      </c>
    </row>
    <row r="4376">
      <c r="A4376" t="inlineStr">
        <is>
          <t>CO-002640</t>
        </is>
      </c>
      <c r="B4376" t="inlineStr">
        <is>
          <t>BRITISH AMERICAN HOSPITAL S.A. - CLINICA ANGLOAMERICANA</t>
        </is>
      </c>
      <c r="C4376" t="inlineStr">
        <is>
          <t>20107695584</t>
        </is>
      </c>
      <c r="D4376" t="inlineStr">
        <is>
          <t xml:space="preserve">JR ALFREDO SALAZAR 350 - SAN ISIDRO </t>
        </is>
      </c>
      <c r="E4376" t="inlineStr">
        <is>
          <t>Lima, 20 de febrero del 2026</t>
        </is>
      </c>
      <c r="F4376" t="inlineStr">
        <is>
          <t>la Recarga y mantenimiento</t>
        </is>
      </c>
      <c r="G4376" t="n">
        <v>11</v>
      </c>
      <c r="H4376" t="inlineStr">
        <is>
          <t>12 KG</t>
        </is>
      </c>
      <c r="I4376" t="n">
        <v>2029</v>
      </c>
      <c r="J4376" t="n">
        <v>2017</v>
      </c>
      <c r="K4376" t="inlineStr">
        <is>
          <t>FEBRERO 2026</t>
        </is>
      </c>
      <c r="L4376" t="inlineStr">
        <is>
          <t>FEBRERO 2027</t>
        </is>
      </c>
      <c r="M4376" t="inlineStr">
        <is>
          <t xml:space="preserve">PQS TIPO ABC AL 75% </t>
        </is>
      </c>
      <c r="N4376" t="inlineStr">
        <is>
          <t>E-134/000105</t>
        </is>
      </c>
      <c r="O4376" t="inlineStr">
        <is>
          <t>R</t>
        </is>
      </c>
      <c r="P4376">
        <f>TRIM(N4376)</f>
        <v/>
      </c>
    </row>
    <row r="4377">
      <c r="A4377" t="inlineStr">
        <is>
          <t>CO-002640</t>
        </is>
      </c>
      <c r="B4377" t="inlineStr">
        <is>
          <t>BRITISH AMERICAN HOSPITAL S.A. - CLINICA ANGLOAMERICANA</t>
        </is>
      </c>
      <c r="C4377" t="inlineStr">
        <is>
          <t>20107695584</t>
        </is>
      </c>
      <c r="D4377" t="inlineStr">
        <is>
          <t xml:space="preserve">JR ALFREDO SALAZAR 350 - SAN ISIDRO </t>
        </is>
      </c>
      <c r="E4377" t="inlineStr">
        <is>
          <t>Lima, 20 de febrero del 2026</t>
        </is>
      </c>
      <c r="F4377" t="inlineStr">
        <is>
          <t>la Recarga y mantenimiento</t>
        </is>
      </c>
      <c r="G4377" t="n">
        <v>12</v>
      </c>
      <c r="H4377" t="inlineStr">
        <is>
          <t>12 KG</t>
        </is>
      </c>
      <c r="I4377" t="n">
        <v>2029</v>
      </c>
      <c r="J4377" t="n">
        <v>2017</v>
      </c>
      <c r="K4377" t="inlineStr">
        <is>
          <t>FEBRERO 2026</t>
        </is>
      </c>
      <c r="L4377" t="inlineStr">
        <is>
          <t>FEBRERO 2027</t>
        </is>
      </c>
      <c r="M4377" t="inlineStr">
        <is>
          <t xml:space="preserve">PQS TIPO ABC AL 75% </t>
        </is>
      </c>
      <c r="N4377" t="inlineStr">
        <is>
          <t>E-135/000085</t>
        </is>
      </c>
      <c r="O4377" t="inlineStr">
        <is>
          <t>R</t>
        </is>
      </c>
      <c r="P4377">
        <f>TRIM(N4377)</f>
        <v/>
      </c>
    </row>
    <row r="4378">
      <c r="A4378" t="inlineStr">
        <is>
          <t>CO-002640</t>
        </is>
      </c>
      <c r="B4378" t="inlineStr">
        <is>
          <t>BRITISH AMERICAN HOSPITAL S.A. - CLINICA ANGLOAMERICANA</t>
        </is>
      </c>
      <c r="C4378" t="inlineStr">
        <is>
          <t>20107695584</t>
        </is>
      </c>
      <c r="D4378" t="inlineStr">
        <is>
          <t xml:space="preserve">JR ALFREDO SALAZAR 350 - SAN ISIDRO </t>
        </is>
      </c>
      <c r="E4378" t="inlineStr">
        <is>
          <t>Lima, 20 de febrero del 2026</t>
        </is>
      </c>
      <c r="F4378" t="inlineStr">
        <is>
          <t>la Recarga y mantenimiento</t>
        </is>
      </c>
      <c r="G4378" t="n">
        <v>13</v>
      </c>
      <c r="H4378" t="inlineStr">
        <is>
          <t>12 KG</t>
        </is>
      </c>
      <c r="I4378" t="n">
        <v>2029</v>
      </c>
      <c r="J4378" t="n">
        <v>2017</v>
      </c>
      <c r="K4378" t="inlineStr">
        <is>
          <t>FEBRERO 2026</t>
        </is>
      </c>
      <c r="L4378" t="inlineStr">
        <is>
          <t>FEBRERO 2027</t>
        </is>
      </c>
      <c r="M4378" t="inlineStr">
        <is>
          <t xml:space="preserve">PQS TIPO ABC AL 75% </t>
        </is>
      </c>
      <c r="N4378" t="inlineStr">
        <is>
          <t>E-137/000424</t>
        </is>
      </c>
      <c r="O4378" t="inlineStr">
        <is>
          <t>R</t>
        </is>
      </c>
      <c r="P4378">
        <f>TRIM(N4378)</f>
        <v/>
      </c>
    </row>
    <row r="4379">
      <c r="A4379" t="inlineStr">
        <is>
          <t>CO-002640</t>
        </is>
      </c>
      <c r="B4379" t="inlineStr">
        <is>
          <t>BRITISH AMERICAN HOSPITAL S.A. - CLINICA ANGLOAMERICANA</t>
        </is>
      </c>
      <c r="C4379" t="inlineStr">
        <is>
          <t>20107695584</t>
        </is>
      </c>
      <c r="D4379" t="inlineStr">
        <is>
          <t xml:space="preserve">JR ALFREDO SALAZAR 350 - SAN ISIDRO </t>
        </is>
      </c>
      <c r="E4379" t="inlineStr">
        <is>
          <t>Lima, 20 de febrero del 2026</t>
        </is>
      </c>
      <c r="F4379" t="inlineStr">
        <is>
          <t>la Recarga y mantenimiento</t>
        </is>
      </c>
      <c r="G4379" t="n">
        <v>14</v>
      </c>
      <c r="H4379" t="inlineStr">
        <is>
          <t>20 LBS</t>
        </is>
      </c>
      <c r="J4379" t="n">
        <v>2009</v>
      </c>
      <c r="K4379" t="inlineStr">
        <is>
          <t>FEBRERO 2026</t>
        </is>
      </c>
      <c r="L4379" t="inlineStr">
        <is>
          <t>FEBRERO 2027</t>
        </is>
      </c>
      <c r="M4379" t="inlineStr">
        <is>
          <t xml:space="preserve">PQS TIPO ABC AL 90% </t>
        </is>
      </c>
      <c r="N4379" t="inlineStr">
        <is>
          <t>E-001/330245</t>
        </is>
      </c>
      <c r="O4379" t="inlineStr">
        <is>
          <t>R</t>
        </is>
      </c>
      <c r="P4379">
        <f>TRIM(N4379)</f>
        <v/>
      </c>
    </row>
    <row r="4380">
      <c r="A4380" t="inlineStr">
        <is>
          <t>CO-002640</t>
        </is>
      </c>
      <c r="B4380" t="inlineStr">
        <is>
          <t>BRITISH AMERICAN HOSPITAL S.A. - CLINICA ANGLOAMERICANA</t>
        </is>
      </c>
      <c r="C4380" t="inlineStr">
        <is>
          <t>20107695584</t>
        </is>
      </c>
      <c r="D4380" t="inlineStr">
        <is>
          <t xml:space="preserve">JR ALFREDO SALAZAR 350 - SAN ISIDRO </t>
        </is>
      </c>
      <c r="E4380" t="inlineStr">
        <is>
          <t>Lima, 20 de febrero del 2026</t>
        </is>
      </c>
      <c r="F4380" t="inlineStr">
        <is>
          <t>la Recarga y mantenimiento</t>
        </is>
      </c>
      <c r="G4380" t="n">
        <v>15</v>
      </c>
      <c r="H4380" t="inlineStr">
        <is>
          <t>10 LBS</t>
        </is>
      </c>
      <c r="I4380" t="n">
        <v>2027</v>
      </c>
      <c r="J4380" t="n">
        <v>2022</v>
      </c>
      <c r="K4380" t="inlineStr">
        <is>
          <t>FEBRERO 2026</t>
        </is>
      </c>
      <c r="L4380" t="inlineStr">
        <is>
          <t>FEBRERO 2027</t>
        </is>
      </c>
      <c r="M4380" t="inlineStr">
        <is>
          <t>CO2 TIPO BC</t>
        </is>
      </c>
      <c r="N4380" t="inlineStr">
        <is>
          <t>E-174/000158</t>
        </is>
      </c>
      <c r="O4380" t="inlineStr">
        <is>
          <t>R</t>
        </is>
      </c>
      <c r="P4380">
        <f>TRIM(N4380)</f>
        <v/>
      </c>
    </row>
    <row r="4381">
      <c r="A4381" t="inlineStr">
        <is>
          <t>CO-002641</t>
        </is>
      </c>
      <c r="B4381" t="inlineStr">
        <is>
          <t>BRITISH AMERICAN HOSPITAL S.A. - CLINICA ANGLOAMERICANA</t>
        </is>
      </c>
      <c r="C4381" t="inlineStr">
        <is>
          <t>20107695584</t>
        </is>
      </c>
      <c r="D4381" t="inlineStr">
        <is>
          <t xml:space="preserve">JR ALFREDO SALAZAR 350 - SAN ISIDRO </t>
        </is>
      </c>
      <c r="E4381" t="inlineStr">
        <is>
          <t>Lima, 20 de febrero del 2026</t>
        </is>
      </c>
      <c r="F4381" t="inlineStr">
        <is>
          <t>la Recarga y mantenimiento</t>
        </is>
      </c>
      <c r="G4381" t="inlineStr">
        <is>
          <t>01</t>
        </is>
      </c>
      <c r="H4381" t="inlineStr">
        <is>
          <t>06 KG</t>
        </is>
      </c>
      <c r="I4381" t="n">
        <v>2027</v>
      </c>
      <c r="J4381" t="n">
        <v>2010</v>
      </c>
      <c r="K4381" t="inlineStr">
        <is>
          <t>FEBRERO 2026</t>
        </is>
      </c>
      <c r="L4381" t="inlineStr">
        <is>
          <t>FEBRERO 2027</t>
        </is>
      </c>
      <c r="M4381" t="inlineStr">
        <is>
          <t>HALOTRON</t>
        </is>
      </c>
      <c r="N4381" t="inlineStr">
        <is>
          <t>H-1/00009</t>
        </is>
      </c>
      <c r="O4381" t="inlineStr">
        <is>
          <t>R</t>
        </is>
      </c>
      <c r="P4381">
        <f>TRIM(N4381)</f>
        <v/>
      </c>
    </row>
    <row r="4382">
      <c r="A4382" t="inlineStr">
        <is>
          <t>CO-002641</t>
        </is>
      </c>
      <c r="B4382" t="inlineStr">
        <is>
          <t>BRITISH AMERICAN HOSPITAL S.A. - CLINICA ANGLOAMERICANA</t>
        </is>
      </c>
      <c r="C4382" t="inlineStr">
        <is>
          <t>20107695584</t>
        </is>
      </c>
      <c r="D4382" t="inlineStr">
        <is>
          <t xml:space="preserve">JR ALFREDO SALAZAR 350 - SAN ISIDRO </t>
        </is>
      </c>
      <c r="E4382" t="inlineStr">
        <is>
          <t>Lima, 20 de febrero del 2026</t>
        </is>
      </c>
      <c r="F4382" t="inlineStr">
        <is>
          <t>la Recarga y mantenimiento</t>
        </is>
      </c>
      <c r="G4382" t="inlineStr">
        <is>
          <t>02</t>
        </is>
      </c>
      <c r="H4382" t="inlineStr">
        <is>
          <t>06 KG</t>
        </is>
      </c>
      <c r="I4382" t="n">
        <v>2027</v>
      </c>
      <c r="J4382" t="n">
        <v>2010</v>
      </c>
      <c r="K4382" t="inlineStr">
        <is>
          <t>FEBRERO 2026</t>
        </is>
      </c>
      <c r="L4382" t="inlineStr">
        <is>
          <t>FEBRERO 2027</t>
        </is>
      </c>
      <c r="M4382" t="inlineStr">
        <is>
          <t>HALOTRON</t>
        </is>
      </c>
      <c r="N4382" t="inlineStr">
        <is>
          <t>H-2/000092</t>
        </is>
      </c>
      <c r="O4382" t="inlineStr">
        <is>
          <t>R</t>
        </is>
      </c>
      <c r="P4382">
        <f>TRIM(N4382)</f>
        <v/>
      </c>
    </row>
    <row r="4383">
      <c r="A4383" t="inlineStr">
        <is>
          <t>CO-002641</t>
        </is>
      </c>
      <c r="B4383" t="inlineStr">
        <is>
          <t>BRITISH AMERICAN HOSPITAL S.A. - CLINICA ANGLOAMERICANA</t>
        </is>
      </c>
      <c r="C4383" t="inlineStr">
        <is>
          <t>20107695584</t>
        </is>
      </c>
      <c r="D4383" t="inlineStr">
        <is>
          <t xml:space="preserve">JR ALFREDO SALAZAR 350 - SAN ISIDRO </t>
        </is>
      </c>
      <c r="E4383" t="inlineStr">
        <is>
          <t>Lima, 20 de febrero del 2026</t>
        </is>
      </c>
      <c r="F4383" t="inlineStr">
        <is>
          <t>la Recarga y mantenimiento</t>
        </is>
      </c>
      <c r="G4383" t="n">
        <v>3</v>
      </c>
      <c r="H4383" t="inlineStr">
        <is>
          <t>06 KG</t>
        </is>
      </c>
      <c r="I4383" t="n">
        <v>2027</v>
      </c>
      <c r="J4383" t="n">
        <v>2010</v>
      </c>
      <c r="K4383" t="inlineStr">
        <is>
          <t>FEBRERO 2026</t>
        </is>
      </c>
      <c r="L4383" t="inlineStr">
        <is>
          <t>FEBRERO 2027</t>
        </is>
      </c>
      <c r="M4383" t="inlineStr">
        <is>
          <t>HALOTRON</t>
        </is>
      </c>
      <c r="N4383" t="inlineStr">
        <is>
          <t>H-3/000093</t>
        </is>
      </c>
      <c r="O4383" t="inlineStr">
        <is>
          <t>R</t>
        </is>
      </c>
      <c r="P4383">
        <f>TRIM(N4383)</f>
        <v/>
      </c>
    </row>
    <row r="4384">
      <c r="A4384" t="inlineStr">
        <is>
          <t>CO-002642</t>
        </is>
      </c>
      <c r="B4384" t="inlineStr">
        <is>
          <t>BRITISH AMERICAN HOSPITAL S.A. - CLINICA ANGLOAMERICANA</t>
        </is>
      </c>
      <c r="C4384" t="inlineStr">
        <is>
          <t>20107695584</t>
        </is>
      </c>
      <c r="D4384" t="inlineStr">
        <is>
          <t xml:space="preserve">JR ALFREDO SALAZAR 350 - SAN ISIDRO </t>
        </is>
      </c>
      <c r="E4384" t="inlineStr">
        <is>
          <t>Lima, 20 de febrero del 2026</t>
        </is>
      </c>
      <c r="F4384" t="inlineStr">
        <is>
          <t>La venta</t>
        </is>
      </c>
      <c r="G4384" t="inlineStr">
        <is>
          <t>01</t>
        </is>
      </c>
      <c r="H4384" t="inlineStr">
        <is>
          <t>06 KG</t>
        </is>
      </c>
      <c r="I4384" t="n">
        <v>2031</v>
      </c>
      <c r="J4384" t="n">
        <v>2026</v>
      </c>
      <c r="K4384" t="inlineStr">
        <is>
          <t>FEBRERO 2026</t>
        </is>
      </c>
      <c r="L4384" t="inlineStr">
        <is>
          <t>FEBRERO 2027</t>
        </is>
      </c>
      <c r="M4384" t="inlineStr">
        <is>
          <t xml:space="preserve">PQS TIPO ABC AL 75% </t>
        </is>
      </c>
      <c r="N4384" t="inlineStr">
        <is>
          <t>E-024/034891</t>
        </is>
      </c>
      <c r="O4384" t="inlineStr">
        <is>
          <t>V</t>
        </is>
      </c>
      <c r="P4384">
        <f>TRIM(N4384)</f>
        <v/>
      </c>
    </row>
    <row r="4385">
      <c r="A4385" t="inlineStr">
        <is>
          <t>CO-002642</t>
        </is>
      </c>
      <c r="B4385" t="inlineStr">
        <is>
          <t>BRITISH AMERICAN HOSPITAL S.A. - CLINICA ANGLOAMERICANA</t>
        </is>
      </c>
      <c r="C4385" t="inlineStr">
        <is>
          <t>20107695584</t>
        </is>
      </c>
      <c r="D4385" t="inlineStr">
        <is>
          <t xml:space="preserve">JR ALFREDO SALAZAR 350 - SAN ISIDRO </t>
        </is>
      </c>
      <c r="E4385" t="inlineStr">
        <is>
          <t>Lima, 20 de febrero del 2026</t>
        </is>
      </c>
      <c r="F4385" t="inlineStr">
        <is>
          <t>La venta</t>
        </is>
      </c>
      <c r="G4385" t="inlineStr">
        <is>
          <t>02</t>
        </is>
      </c>
      <c r="H4385" t="inlineStr">
        <is>
          <t>06 KG</t>
        </is>
      </c>
      <c r="I4385" t="n">
        <v>2026</v>
      </c>
      <c r="J4385" t="n">
        <v>2031</v>
      </c>
      <c r="K4385" t="inlineStr">
        <is>
          <t>FEBRERO 2026</t>
        </is>
      </c>
      <c r="L4385" t="inlineStr">
        <is>
          <t>FEBRERO 2027</t>
        </is>
      </c>
      <c r="M4385" t="inlineStr">
        <is>
          <t xml:space="preserve">PQS TIPO ABC AL 75% </t>
        </is>
      </c>
      <c r="N4385" t="inlineStr">
        <is>
          <t>E-048/002852</t>
        </is>
      </c>
      <c r="O4385" t="inlineStr">
        <is>
          <t>V</t>
        </is>
      </c>
      <c r="P4385">
        <f>TRIM(N4385)</f>
        <v/>
      </c>
    </row>
    <row r="4386">
      <c r="A4386" t="inlineStr">
        <is>
          <t>CO-002642</t>
        </is>
      </c>
      <c r="B4386" t="inlineStr">
        <is>
          <t>BRITISH AMERICAN HOSPITAL S.A. - CLINICA ANGLOAMERICANA</t>
        </is>
      </c>
      <c r="C4386" t="inlineStr">
        <is>
          <t>20107695584</t>
        </is>
      </c>
      <c r="D4386" t="inlineStr">
        <is>
          <t xml:space="preserve">JR ALFREDO SALAZAR 350 - SAN ISIDRO </t>
        </is>
      </c>
      <c r="E4386" t="inlineStr">
        <is>
          <t>Lima, 20 de febrero del 2026</t>
        </is>
      </c>
      <c r="F4386" t="inlineStr">
        <is>
          <t>La venta</t>
        </is>
      </c>
      <c r="G4386" t="n">
        <v>3</v>
      </c>
      <c r="H4386" t="inlineStr">
        <is>
          <t>06 KG</t>
        </is>
      </c>
      <c r="I4386" t="n">
        <v>2026</v>
      </c>
      <c r="J4386" t="n">
        <v>2031</v>
      </c>
      <c r="K4386" t="inlineStr">
        <is>
          <t>FEBRERO 2026</t>
        </is>
      </c>
      <c r="L4386" t="inlineStr">
        <is>
          <t>FEBRERO 2027</t>
        </is>
      </c>
      <c r="M4386" t="inlineStr">
        <is>
          <t xml:space="preserve">PQS TIPO ABC AL 75% </t>
        </is>
      </c>
      <c r="N4386" t="inlineStr">
        <is>
          <t>E-138/035234</t>
        </is>
      </c>
      <c r="O4386" t="inlineStr">
        <is>
          <t>V</t>
        </is>
      </c>
      <c r="P4386">
        <f>TRIM(N4386)</f>
        <v/>
      </c>
    </row>
    <row r="4387">
      <c r="A4387" t="inlineStr">
        <is>
          <t>CO-002642</t>
        </is>
      </c>
      <c r="B4387" t="inlineStr">
        <is>
          <t>BRITISH AMERICAN HOSPITAL S.A. - CLINICA ANGLOAMERICANA</t>
        </is>
      </c>
      <c r="C4387" t="inlineStr">
        <is>
          <t>20107695584</t>
        </is>
      </c>
      <c r="D4387" t="inlineStr">
        <is>
          <t xml:space="preserve">JR ALFREDO SALAZAR 350 - SAN ISIDRO </t>
        </is>
      </c>
      <c r="E4387" t="inlineStr">
        <is>
          <t>Lima, 20 de febrero del 2026</t>
        </is>
      </c>
      <c r="F4387" t="inlineStr">
        <is>
          <t>La venta</t>
        </is>
      </c>
      <c r="G4387" t="n">
        <v>4</v>
      </c>
      <c r="H4387" t="inlineStr">
        <is>
          <t>04 KG</t>
        </is>
      </c>
      <c r="I4387" t="n">
        <v>2026</v>
      </c>
      <c r="J4387" t="n">
        <v>2031</v>
      </c>
      <c r="K4387" t="inlineStr">
        <is>
          <t>FEBRERO 2026</t>
        </is>
      </c>
      <c r="L4387" t="inlineStr">
        <is>
          <t>FEBRERO 2027</t>
        </is>
      </c>
      <c r="M4387" t="inlineStr">
        <is>
          <t xml:space="preserve">PQS TIPO ABC AL 75% </t>
        </is>
      </c>
      <c r="N4387" t="inlineStr">
        <is>
          <t>E-002/000038</t>
        </is>
      </c>
      <c r="O4387" t="inlineStr">
        <is>
          <t>V</t>
        </is>
      </c>
      <c r="P4387">
        <f>TRIM(N4387)</f>
        <v/>
      </c>
    </row>
    <row r="4388">
      <c r="A4388" t="inlineStr">
        <is>
          <t>CO-002642</t>
        </is>
      </c>
      <c r="B4388" t="inlineStr">
        <is>
          <t>BRITISH AMERICAN HOSPITAL S.A. - CLINICA ANGLOAMERICANA</t>
        </is>
      </c>
      <c r="C4388" t="inlineStr">
        <is>
          <t>20107695584</t>
        </is>
      </c>
      <c r="D4388" t="inlineStr">
        <is>
          <t xml:space="preserve">JR ALFREDO SALAZAR 350 - SAN ISIDRO </t>
        </is>
      </c>
      <c r="E4388" t="inlineStr">
        <is>
          <t>Lima, 20 de febrero del 2026</t>
        </is>
      </c>
      <c r="F4388" t="inlineStr">
        <is>
          <t>La venta</t>
        </is>
      </c>
      <c r="G4388" t="n">
        <v>5</v>
      </c>
      <c r="H4388" t="inlineStr">
        <is>
          <t>10 LBS</t>
        </is>
      </c>
      <c r="I4388" t="n">
        <v>2025</v>
      </c>
      <c r="J4388" t="n">
        <v>2030</v>
      </c>
      <c r="K4388" t="inlineStr">
        <is>
          <t>FEBRERO 2026</t>
        </is>
      </c>
      <c r="L4388" t="inlineStr">
        <is>
          <t>FEBRERO 2027</t>
        </is>
      </c>
      <c r="M4388" t="inlineStr">
        <is>
          <t>CO2 TIPO BC</t>
        </is>
      </c>
      <c r="N4388" t="inlineStr">
        <is>
          <t>E-096/000253</t>
        </is>
      </c>
      <c r="O4388" t="inlineStr">
        <is>
          <t>V</t>
        </is>
      </c>
      <c r="P4388">
        <f>TRIM(N4388)</f>
        <v/>
      </c>
    </row>
    <row r="4389">
      <c r="A4389" t="inlineStr">
        <is>
          <t>CO-002642</t>
        </is>
      </c>
      <c r="B4389" t="inlineStr">
        <is>
          <t>BRITISH AMERICAN HOSPITAL S.A. - CLINICA ANGLOAMERICANA</t>
        </is>
      </c>
      <c r="C4389" t="inlineStr">
        <is>
          <t>20107695584</t>
        </is>
      </c>
      <c r="D4389" t="inlineStr">
        <is>
          <t xml:space="preserve">JR ALFREDO SALAZAR 350 - SAN ISIDRO </t>
        </is>
      </c>
      <c r="E4389" t="inlineStr">
        <is>
          <t>Lima, 20 de febrero del 2026</t>
        </is>
      </c>
      <c r="F4389" t="inlineStr">
        <is>
          <t>La venta</t>
        </is>
      </c>
      <c r="G4389" t="n">
        <v>6</v>
      </c>
      <c r="H4389" t="inlineStr">
        <is>
          <t>10 LBS</t>
        </is>
      </c>
      <c r="I4389" t="n">
        <v>2025</v>
      </c>
      <c r="J4389" t="n">
        <v>2030</v>
      </c>
      <c r="K4389" t="inlineStr">
        <is>
          <t>FEBRERO 2026</t>
        </is>
      </c>
      <c r="L4389" t="inlineStr">
        <is>
          <t>FEBRERO 2027</t>
        </is>
      </c>
      <c r="M4389" t="inlineStr">
        <is>
          <t>CO2 TIPO BC</t>
        </is>
      </c>
      <c r="N4389" t="inlineStr">
        <is>
          <t>E-109/000618</t>
        </is>
      </c>
      <c r="O4389" t="inlineStr">
        <is>
          <t>V</t>
        </is>
      </c>
      <c r="P4389">
        <f>TRIM(N4389)</f>
        <v/>
      </c>
    </row>
    <row r="4390">
      <c r="A4390" t="inlineStr">
        <is>
          <t>CO-002643</t>
        </is>
      </c>
      <c r="B4390" t="inlineStr">
        <is>
          <t>BRITISH AMERICAN HOSPITAL S.A. - CLINICA ANGLOAMERICANA</t>
        </is>
      </c>
      <c r="C4390" t="inlineStr">
        <is>
          <t>20107695584</t>
        </is>
      </c>
      <c r="D4390" t="inlineStr">
        <is>
          <t xml:space="preserve">AV. LA FONTANA 362 - LA MOLINA </t>
        </is>
      </c>
      <c r="E4390" t="inlineStr">
        <is>
          <t>Lima, 20 de febrero del 2026</t>
        </is>
      </c>
      <c r="F4390" t="inlineStr">
        <is>
          <t>La venta</t>
        </is>
      </c>
      <c r="G4390" t="inlineStr">
        <is>
          <t>01</t>
        </is>
      </c>
      <c r="H4390" t="inlineStr">
        <is>
          <t>06 KG</t>
        </is>
      </c>
      <c r="I4390" t="n">
        <v>2031</v>
      </c>
      <c r="J4390" t="n">
        <v>2026</v>
      </c>
      <c r="K4390" t="inlineStr">
        <is>
          <t>FEBRERO 2026</t>
        </is>
      </c>
      <c r="L4390" t="inlineStr">
        <is>
          <t>FEBRERO 2027</t>
        </is>
      </c>
      <c r="M4390" t="inlineStr">
        <is>
          <t xml:space="preserve">PQS TIPO ABC AL 75% </t>
        </is>
      </c>
      <c r="N4390" t="inlineStr">
        <is>
          <t>E-013/035525</t>
        </is>
      </c>
      <c r="O4390" t="inlineStr">
        <is>
          <t>V</t>
        </is>
      </c>
      <c r="P4390">
        <f>TRIM(N4390)</f>
        <v/>
      </c>
    </row>
    <row r="4391">
      <c r="A4391" t="inlineStr">
        <is>
          <t>CO-002644</t>
        </is>
      </c>
      <c r="B4391" t="inlineStr">
        <is>
          <t>BRITISH AMERICAN HOSPITAL S.A. - CLINICA ANGLOAMERICANA</t>
        </is>
      </c>
      <c r="C4391" t="inlineStr">
        <is>
          <t>20107695584</t>
        </is>
      </c>
      <c r="D4391" t="inlineStr">
        <is>
          <t>LLANO ZAPATA</t>
        </is>
      </c>
      <c r="E4391" t="inlineStr">
        <is>
          <t>Lima, 20 de febrero del 2026</t>
        </is>
      </c>
      <c r="F4391" t="inlineStr">
        <is>
          <t>la Recarga y mantenimiento</t>
        </is>
      </c>
      <c r="G4391" t="inlineStr">
        <is>
          <t>01</t>
        </is>
      </c>
      <c r="H4391" t="inlineStr">
        <is>
          <t>05 LBS</t>
        </is>
      </c>
      <c r="I4391" t="n">
        <v>2031</v>
      </c>
      <c r="J4391" t="n">
        <v>2008</v>
      </c>
      <c r="K4391" t="inlineStr">
        <is>
          <t>FEBRERO 2026</t>
        </is>
      </c>
      <c r="L4391" t="inlineStr">
        <is>
          <t>FEBRERO 2027</t>
        </is>
      </c>
      <c r="M4391" t="inlineStr">
        <is>
          <t>CO2 TIPO BC</t>
        </is>
      </c>
      <c r="N4391" t="inlineStr">
        <is>
          <t>E-131/000086</t>
        </is>
      </c>
      <c r="O4391" t="inlineStr">
        <is>
          <t>R</t>
        </is>
      </c>
      <c r="P4391">
        <f>TRIM(N4391)</f>
        <v/>
      </c>
    </row>
    <row r="4392">
      <c r="A4392" t="inlineStr">
        <is>
          <t>CO-002644</t>
        </is>
      </c>
      <c r="B4392" t="inlineStr">
        <is>
          <t>BRITISH AMERICAN HOSPITAL S.A. - CLINICA ANGLOAMERICANA</t>
        </is>
      </c>
      <c r="C4392" t="inlineStr">
        <is>
          <t>20107695584</t>
        </is>
      </c>
      <c r="D4392" t="inlineStr">
        <is>
          <t>LLANO ZAPATA</t>
        </is>
      </c>
      <c r="E4392" t="inlineStr">
        <is>
          <t>Lima, 20 de febrero del 2026</t>
        </is>
      </c>
      <c r="F4392" t="inlineStr">
        <is>
          <t>la Recarga y mantenimiento</t>
        </is>
      </c>
      <c r="G4392" t="inlineStr">
        <is>
          <t>02</t>
        </is>
      </c>
      <c r="H4392" t="inlineStr">
        <is>
          <t>05 LBS</t>
        </is>
      </c>
      <c r="I4392" t="n">
        <v>2031</v>
      </c>
      <c r="J4392" t="n">
        <v>2008</v>
      </c>
      <c r="K4392" t="inlineStr">
        <is>
          <t>FEBRERO 2026</t>
        </is>
      </c>
      <c r="L4392" t="inlineStr">
        <is>
          <t>FEBRERO 2027</t>
        </is>
      </c>
      <c r="M4392" t="inlineStr">
        <is>
          <t>CO2 TIPO BC</t>
        </is>
      </c>
      <c r="N4392" t="inlineStr">
        <is>
          <t>E-127/000045</t>
        </is>
      </c>
      <c r="O4392" t="inlineStr">
        <is>
          <t>R</t>
        </is>
      </c>
      <c r="P4392">
        <f>TRIM(N4392)</f>
        <v/>
      </c>
    </row>
    <row r="4393">
      <c r="A4393" t="inlineStr">
        <is>
          <t>CO-002645</t>
        </is>
      </c>
      <c r="B4393" t="inlineStr">
        <is>
          <t>BRITISH AMERICAN HOSPITAL S.A. - CLINICA ANGLOAMERICANA</t>
        </is>
      </c>
      <c r="C4393" t="inlineStr">
        <is>
          <t>20107695584</t>
        </is>
      </c>
      <c r="D4393" t="inlineStr">
        <is>
          <t>LLANO ZAPATA</t>
        </is>
      </c>
      <c r="E4393" t="inlineStr">
        <is>
          <t>Lima, 20 de febrero del 2026</t>
        </is>
      </c>
      <c r="F4393" t="inlineStr">
        <is>
          <t>La venta</t>
        </is>
      </c>
      <c r="G4393" t="inlineStr">
        <is>
          <t>01</t>
        </is>
      </c>
      <c r="H4393" t="inlineStr">
        <is>
          <t>06 KG</t>
        </is>
      </c>
      <c r="I4393" t="n">
        <v>2026</v>
      </c>
      <c r="J4393" t="n">
        <v>2031</v>
      </c>
      <c r="K4393" t="inlineStr">
        <is>
          <t>FEBRERO 2026</t>
        </is>
      </c>
      <c r="L4393" t="inlineStr">
        <is>
          <t>FEBRERO 2027</t>
        </is>
      </c>
      <c r="M4393" t="inlineStr">
        <is>
          <t xml:space="preserve">PQS TIPO ABC AL 75% </t>
        </is>
      </c>
      <c r="N4393" t="inlineStr">
        <is>
          <t>E-133/003873</t>
        </is>
      </c>
      <c r="O4393" t="inlineStr">
        <is>
          <t>V</t>
        </is>
      </c>
      <c r="P4393">
        <f>TRIM(N4393)</f>
        <v/>
      </c>
    </row>
    <row r="4394">
      <c r="A4394" t="inlineStr">
        <is>
          <t>CO-002646</t>
        </is>
      </c>
      <c r="B4394" t="inlineStr">
        <is>
          <t>LINDE PERU S.R.L</t>
        </is>
      </c>
      <c r="C4394" t="inlineStr">
        <is>
          <t>20338570041</t>
        </is>
      </c>
      <c r="D4394" t="inlineStr">
        <is>
          <t>CAR.CARRET.CENTRAL KM.9.5 Z.I. ZONA INDUSTRIAL(DESVIO HUACHIPA LURIGANCHO CHOSICA) LIMA LURIGANCHO</t>
        </is>
      </c>
      <c r="E4394" t="inlineStr">
        <is>
          <t>Lima, 20 de febrero del 2026</t>
        </is>
      </c>
      <c r="F4394" t="inlineStr">
        <is>
          <t>la Recarga y mantenimiento</t>
        </is>
      </c>
      <c r="G4394" t="inlineStr">
        <is>
          <t>01</t>
        </is>
      </c>
      <c r="H4394" t="inlineStr">
        <is>
          <t xml:space="preserve">12 KG </t>
        </is>
      </c>
      <c r="I4394" t="n">
        <v>2027</v>
      </c>
      <c r="J4394" t="n">
        <v>2012</v>
      </c>
      <c r="K4394" t="inlineStr">
        <is>
          <t>FEBRERO 2026</t>
        </is>
      </c>
      <c r="L4394" t="inlineStr">
        <is>
          <t>FEBRERO 2027</t>
        </is>
      </c>
      <c r="M4394" t="inlineStr">
        <is>
          <t xml:space="preserve">PQS TIPO ABC AL 90% </t>
        </is>
      </c>
      <c r="N4394" t="inlineStr">
        <is>
          <t>32/004864</t>
        </is>
      </c>
      <c r="O4394" t="inlineStr">
        <is>
          <t>M3</t>
        </is>
      </c>
      <c r="P4394">
        <f>TRIM(N4394)</f>
        <v/>
      </c>
    </row>
    <row r="4395">
      <c r="A4395" t="inlineStr">
        <is>
          <t>CO-002646</t>
        </is>
      </c>
      <c r="B4395" t="inlineStr">
        <is>
          <t>LINDE PERU S.R.L</t>
        </is>
      </c>
      <c r="C4395" t="inlineStr">
        <is>
          <t>20338570041</t>
        </is>
      </c>
      <c r="D4395" t="inlineStr">
        <is>
          <t>CAR.CARRET.CENTRAL KM.9.5 Z.I. ZONA INDUSTRIAL(DESVIO HUACHIPA LURIGANCHO CHOSICA) LIMA LURIGANCHO</t>
        </is>
      </c>
      <c r="E4395" t="inlineStr">
        <is>
          <t>Lima, 20 de febrero del 2026</t>
        </is>
      </c>
      <c r="F4395" t="inlineStr">
        <is>
          <t>la Recarga y mantenimiento</t>
        </is>
      </c>
      <c r="G4395" t="inlineStr">
        <is>
          <t>02</t>
        </is>
      </c>
      <c r="H4395" t="inlineStr">
        <is>
          <t>10 LBS</t>
        </is>
      </c>
      <c r="I4395" t="n">
        <v>2031</v>
      </c>
      <c r="J4395" t="n">
        <v>2019</v>
      </c>
      <c r="K4395" t="inlineStr">
        <is>
          <t>FEBRERO 2026</t>
        </is>
      </c>
      <c r="L4395" t="inlineStr">
        <is>
          <t>FEBRERO 2027</t>
        </is>
      </c>
      <c r="M4395" t="inlineStr">
        <is>
          <t>CO2 TIPO BC</t>
        </is>
      </c>
      <c r="N4395" t="inlineStr">
        <is>
          <t>33/AB-340476</t>
        </is>
      </c>
      <c r="O4395" t="inlineStr">
        <is>
          <t>R</t>
        </is>
      </c>
      <c r="P4395">
        <f>TRIM(N4395)</f>
        <v/>
      </c>
    </row>
    <row r="4396">
      <c r="A4396" t="inlineStr">
        <is>
          <t>CO-002646</t>
        </is>
      </c>
      <c r="B4396" t="inlineStr">
        <is>
          <t>LINDE PERU S.R.L</t>
        </is>
      </c>
      <c r="C4396" t="inlineStr">
        <is>
          <t>20338570041</t>
        </is>
      </c>
      <c r="D4396" t="inlineStr">
        <is>
          <t>CAR.CARRET.CENTRAL KM.9.5 Z.I. ZONA INDUSTRIAL(DESVIO HUACHIPA LURIGANCHO CHOSICA) LIMA LURIGANCHO</t>
        </is>
      </c>
      <c r="E4396" t="inlineStr">
        <is>
          <t>Lima, 20 de febrero del 2026</t>
        </is>
      </c>
      <c r="F4396" t="inlineStr">
        <is>
          <t>la Recarga y mantenimiento</t>
        </is>
      </c>
      <c r="G4396" t="n">
        <v>3</v>
      </c>
      <c r="H4396" t="inlineStr">
        <is>
          <t>06 KG</t>
        </is>
      </c>
      <c r="I4396" t="n">
        <v>2029</v>
      </c>
      <c r="J4396" t="n">
        <v>2017</v>
      </c>
      <c r="K4396" t="inlineStr">
        <is>
          <t>FEBRERO 2026</t>
        </is>
      </c>
      <c r="L4396" t="inlineStr">
        <is>
          <t>FEBRERO 2027</t>
        </is>
      </c>
      <c r="M4396" t="inlineStr">
        <is>
          <t xml:space="preserve">PQS TIPO ABC AL 90% </t>
        </is>
      </c>
      <c r="N4396" t="inlineStr">
        <is>
          <t>01/000242</t>
        </is>
      </c>
      <c r="O4396" t="inlineStr">
        <is>
          <t>M2</t>
        </is>
      </c>
      <c r="P4396">
        <f>TRIM(N4396)</f>
        <v/>
      </c>
    </row>
    <row r="4397">
      <c r="A4397" t="inlineStr">
        <is>
          <t>CO-002646</t>
        </is>
      </c>
      <c r="B4397" t="inlineStr">
        <is>
          <t>LINDE PERU S.R.L</t>
        </is>
      </c>
      <c r="C4397" t="inlineStr">
        <is>
          <t>20338570041</t>
        </is>
      </c>
      <c r="D4397" t="inlineStr">
        <is>
          <t>CAR.CARRET.CENTRAL KM.9.5 Z.I. ZONA INDUSTRIAL(DESVIO HUACHIPA LURIGANCHO CHOSICA) LIMA LURIGANCHO</t>
        </is>
      </c>
      <c r="E4397" t="inlineStr">
        <is>
          <t>Lima, 20 de febrero del 2026</t>
        </is>
      </c>
      <c r="F4397" t="inlineStr">
        <is>
          <t>la Recarga y mantenimiento</t>
        </is>
      </c>
      <c r="G4397" t="n">
        <v>4</v>
      </c>
      <c r="H4397" t="inlineStr">
        <is>
          <t>06 KG</t>
        </is>
      </c>
      <c r="I4397" t="n">
        <v>2031</v>
      </c>
      <c r="J4397" t="n">
        <v>2023</v>
      </c>
      <c r="K4397" t="inlineStr">
        <is>
          <t>FEBRERO 2026</t>
        </is>
      </c>
      <c r="L4397" t="inlineStr">
        <is>
          <t>FEBRERO 2027</t>
        </is>
      </c>
      <c r="M4397" t="inlineStr">
        <is>
          <t xml:space="preserve">PQS TIPO ABC AL 90% </t>
        </is>
      </c>
      <c r="N4397" t="inlineStr">
        <is>
          <t>34/002618</t>
        </is>
      </c>
      <c r="O4397" t="inlineStr">
        <is>
          <t>R</t>
        </is>
      </c>
      <c r="P4397">
        <f>TRIM(N4397)</f>
        <v/>
      </c>
    </row>
    <row r="4398">
      <c r="A4398" t="inlineStr">
        <is>
          <t>CO-002646</t>
        </is>
      </c>
      <c r="B4398" t="inlineStr">
        <is>
          <t>LINDE PERU S.R.L</t>
        </is>
      </c>
      <c r="C4398" t="inlineStr">
        <is>
          <t>20338570041</t>
        </is>
      </c>
      <c r="D4398" t="inlineStr">
        <is>
          <t>CAR.CARRET.CENTRAL KM.9.5 Z.I. ZONA INDUSTRIAL(DESVIO HUACHIPA LURIGANCHO CHOSICA) LIMA LURIGANCHO</t>
        </is>
      </c>
      <c r="E4398" t="inlineStr">
        <is>
          <t>Lima, 20 de febrero del 2026</t>
        </is>
      </c>
      <c r="F4398" t="inlineStr">
        <is>
          <t>la Recarga y mantenimiento</t>
        </is>
      </c>
      <c r="G4398" t="n">
        <v>5</v>
      </c>
      <c r="H4398" t="inlineStr">
        <is>
          <t>06 KG</t>
        </is>
      </c>
      <c r="I4398" t="n">
        <v>2029</v>
      </c>
      <c r="J4398" t="n">
        <v>2024</v>
      </c>
      <c r="K4398" t="inlineStr">
        <is>
          <t>FEBRERO 2026</t>
        </is>
      </c>
      <c r="L4398" t="inlineStr">
        <is>
          <t>FEBRERO 2027</t>
        </is>
      </c>
      <c r="M4398" t="inlineStr">
        <is>
          <t xml:space="preserve">PQS TIPO ABC AL 90% </t>
        </is>
      </c>
      <c r="N4398" t="inlineStr">
        <is>
          <t>02/007585</t>
        </is>
      </c>
      <c r="O4398" t="inlineStr">
        <is>
          <t>M2</t>
        </is>
      </c>
      <c r="P4398">
        <f>TRIM(N4398)</f>
        <v/>
      </c>
    </row>
    <row r="4399">
      <c r="A4399" t="inlineStr">
        <is>
          <t>CO-002646</t>
        </is>
      </c>
      <c r="B4399" t="inlineStr">
        <is>
          <t>LINDE PERU S.R.L</t>
        </is>
      </c>
      <c r="C4399" t="inlineStr">
        <is>
          <t>20338570041</t>
        </is>
      </c>
      <c r="D4399" t="inlineStr">
        <is>
          <t>CAR.CARRET.CENTRAL KM.9.5 Z.I. ZONA INDUSTRIAL(DESVIO HUACHIPA LURIGANCHO CHOSICA) LIMA LURIGANCHO</t>
        </is>
      </c>
      <c r="E4399" t="inlineStr">
        <is>
          <t>Lima, 20 de febrero del 2026</t>
        </is>
      </c>
      <c r="F4399" t="inlineStr">
        <is>
          <t>la Recarga y mantenimiento</t>
        </is>
      </c>
      <c r="G4399" t="n">
        <v>6</v>
      </c>
      <c r="H4399" t="inlineStr">
        <is>
          <t xml:space="preserve">12 KG </t>
        </is>
      </c>
      <c r="I4399" t="n">
        <v>2027</v>
      </c>
      <c r="J4399" t="n">
        <v>2012</v>
      </c>
      <c r="K4399" t="inlineStr">
        <is>
          <t>FEBRERO 2026</t>
        </is>
      </c>
      <c r="L4399" t="inlineStr">
        <is>
          <t>FEBRERO 2027</t>
        </is>
      </c>
      <c r="M4399" t="inlineStr">
        <is>
          <t xml:space="preserve">PQS TIPO ABC AL 90% </t>
        </is>
      </c>
      <c r="N4399" t="inlineStr">
        <is>
          <t>16/004972</t>
        </is>
      </c>
      <c r="O4399" t="inlineStr">
        <is>
          <t>M3</t>
        </is>
      </c>
      <c r="P4399">
        <f>TRIM(N4399)</f>
        <v/>
      </c>
    </row>
    <row r="4400">
      <c r="A4400" t="inlineStr">
        <is>
          <t>CO-002646</t>
        </is>
      </c>
      <c r="B4400" t="inlineStr">
        <is>
          <t>LINDE PERU S.R.L</t>
        </is>
      </c>
      <c r="C4400" t="inlineStr">
        <is>
          <t>20338570041</t>
        </is>
      </c>
      <c r="D4400" t="inlineStr">
        <is>
          <t>CAR.CARRET.CENTRAL KM.9.5 Z.I. ZONA INDUSTRIAL(DESVIO HUACHIPA LURIGANCHO CHOSICA) LIMA LURIGANCHO</t>
        </is>
      </c>
      <c r="E4400" t="inlineStr">
        <is>
          <t>Lima, 20 de febrero del 2026</t>
        </is>
      </c>
      <c r="F4400" t="inlineStr">
        <is>
          <t>la Recarga y mantenimiento</t>
        </is>
      </c>
      <c r="G4400" t="n">
        <v>7</v>
      </c>
      <c r="H4400" t="inlineStr">
        <is>
          <t xml:space="preserve">12 KG </t>
        </is>
      </c>
      <c r="I4400" t="n">
        <v>2027</v>
      </c>
      <c r="J4400" t="n">
        <v>2012</v>
      </c>
      <c r="K4400" t="inlineStr">
        <is>
          <t>FEBRERO 2026</t>
        </is>
      </c>
      <c r="L4400" t="inlineStr">
        <is>
          <t>FEBRERO 2027</t>
        </is>
      </c>
      <c r="M4400" t="inlineStr">
        <is>
          <t xml:space="preserve">PQS TIPO ABC AL 90% </t>
        </is>
      </c>
      <c r="N4400" t="inlineStr">
        <is>
          <t>14/004909</t>
        </is>
      </c>
      <c r="O4400" t="inlineStr">
        <is>
          <t>M3</t>
        </is>
      </c>
      <c r="P4400">
        <f>TRIM(N4400)</f>
        <v/>
      </c>
    </row>
    <row r="4401">
      <c r="A4401" t="inlineStr">
        <is>
          <t>CO-002646</t>
        </is>
      </c>
      <c r="B4401" t="inlineStr">
        <is>
          <t>LINDE PERU S.R.L</t>
        </is>
      </c>
      <c r="C4401" t="inlineStr">
        <is>
          <t>20338570041</t>
        </is>
      </c>
      <c r="D4401" t="inlineStr">
        <is>
          <t>CAR.CARRET.CENTRAL KM.9.5 Z.I. ZONA INDUSTRIAL(DESVIO HUACHIPA LURIGANCHO CHOSICA) LIMA LURIGANCHO</t>
        </is>
      </c>
      <c r="E4401" t="inlineStr">
        <is>
          <t>Lima, 20 de febrero del 2026</t>
        </is>
      </c>
      <c r="F4401" t="inlineStr">
        <is>
          <t>la Recarga y mantenimiento</t>
        </is>
      </c>
      <c r="G4401" t="n">
        <v>8</v>
      </c>
      <c r="H4401" t="inlineStr">
        <is>
          <t xml:space="preserve">12 KG </t>
        </is>
      </c>
      <c r="I4401" t="n">
        <v>2027</v>
      </c>
      <c r="J4401" t="n">
        <v>2012</v>
      </c>
      <c r="K4401" t="inlineStr">
        <is>
          <t>FEBRERO 2026</t>
        </is>
      </c>
      <c r="L4401" t="inlineStr">
        <is>
          <t>FEBRERO 2027</t>
        </is>
      </c>
      <c r="M4401" t="inlineStr">
        <is>
          <t xml:space="preserve">PQS TIPO ABC AL 90% </t>
        </is>
      </c>
      <c r="N4401" t="inlineStr">
        <is>
          <t>17/004372</t>
        </is>
      </c>
      <c r="O4401" t="inlineStr">
        <is>
          <t>R</t>
        </is>
      </c>
      <c r="P4401">
        <f>TRIM(N4401)</f>
        <v/>
      </c>
    </row>
    <row r="4402">
      <c r="A4402" t="inlineStr">
        <is>
          <t>CO-002646</t>
        </is>
      </c>
      <c r="B4402" t="inlineStr">
        <is>
          <t>LINDE PERU S.R.L</t>
        </is>
      </c>
      <c r="C4402" t="inlineStr">
        <is>
          <t>20338570041</t>
        </is>
      </c>
      <c r="D4402" t="inlineStr">
        <is>
          <t>CAR.CARRET.CENTRAL KM.9.5 Z.I. ZONA INDUSTRIAL(DESVIO HUACHIPA LURIGANCHO CHOSICA) LIMA LURIGANCHO</t>
        </is>
      </c>
      <c r="E4402" t="inlineStr">
        <is>
          <t>Lima, 20 de febrero del 2026</t>
        </is>
      </c>
      <c r="F4402" t="inlineStr">
        <is>
          <t>la Recarga y mantenimiento</t>
        </is>
      </c>
      <c r="G4402" t="n">
        <v>9</v>
      </c>
      <c r="H4402" t="inlineStr">
        <is>
          <t xml:space="preserve">12 KG </t>
        </is>
      </c>
      <c r="I4402" t="n">
        <v>2031</v>
      </c>
      <c r="J4402" t="n">
        <v>2023</v>
      </c>
      <c r="K4402" t="inlineStr">
        <is>
          <t>FEBRERO 2026</t>
        </is>
      </c>
      <c r="L4402" t="inlineStr">
        <is>
          <t>FEBRERO 2027</t>
        </is>
      </c>
      <c r="M4402" t="inlineStr">
        <is>
          <t xml:space="preserve">PQS TIPO ABC AL 90% </t>
        </is>
      </c>
      <c r="N4402" t="inlineStr">
        <is>
          <t>35/031472</t>
        </is>
      </c>
      <c r="O4402" t="inlineStr">
        <is>
          <t>R</t>
        </is>
      </c>
      <c r="P4402">
        <f>TRIM(N4402)</f>
        <v/>
      </c>
    </row>
    <row r="4403">
      <c r="A4403" t="inlineStr">
        <is>
          <t>CO-002647</t>
        </is>
      </c>
      <c r="B4403" t="inlineStr">
        <is>
          <t>GACSA PERU S.A.C.</t>
        </is>
      </c>
      <c r="C4403" t="n">
        <v>20602629068</v>
      </c>
      <c r="D4403" t="inlineStr">
        <is>
          <t>NISSAN LA MOLINA</t>
        </is>
      </c>
      <c r="E4403" t="inlineStr">
        <is>
          <t>Lima, 20 de febrero del 2026</t>
        </is>
      </c>
      <c r="F4403" t="inlineStr">
        <is>
          <t>la Recarga y mantenimiento</t>
        </is>
      </c>
      <c r="G4403" t="inlineStr">
        <is>
          <t>01</t>
        </is>
      </c>
      <c r="H4403" t="inlineStr">
        <is>
          <t>10 LBS</t>
        </is>
      </c>
      <c r="I4403" t="n">
        <v>2030</v>
      </c>
      <c r="J4403" t="n">
        <v>2025</v>
      </c>
      <c r="K4403" t="inlineStr">
        <is>
          <t>FEBRERO 2026</t>
        </is>
      </c>
      <c r="L4403" t="inlineStr">
        <is>
          <t>FEBRERO 2027</t>
        </is>
      </c>
      <c r="M4403" t="inlineStr">
        <is>
          <t>CO2 TIPO BC</t>
        </is>
      </c>
      <c r="N4403" t="inlineStr">
        <is>
          <t>31/000031</t>
        </is>
      </c>
      <c r="O4403" t="inlineStr">
        <is>
          <t>V</t>
        </is>
      </c>
      <c r="P4403">
        <f>TRIM(N4403)</f>
        <v/>
      </c>
    </row>
    <row r="4404">
      <c r="A4404" t="inlineStr">
        <is>
          <t>CO-002647</t>
        </is>
      </c>
      <c r="B4404" t="inlineStr">
        <is>
          <t>GACSA PERU S.A.C.</t>
        </is>
      </c>
      <c r="C4404" t="n">
        <v>20602629068</v>
      </c>
      <c r="D4404" t="inlineStr">
        <is>
          <t>NISSAN LA MOLINA</t>
        </is>
      </c>
      <c r="E4404" t="inlineStr">
        <is>
          <t>Lima, 20 de febrero del 2026</t>
        </is>
      </c>
      <c r="F4404" t="inlineStr">
        <is>
          <t>la Recarga y mantenimiento</t>
        </is>
      </c>
      <c r="G4404" t="inlineStr">
        <is>
          <t>02</t>
        </is>
      </c>
      <c r="H4404" t="inlineStr">
        <is>
          <t>10 LBS</t>
        </is>
      </c>
      <c r="I4404" t="n">
        <v>2030</v>
      </c>
      <c r="J4404" t="n">
        <v>2025</v>
      </c>
      <c r="K4404" t="inlineStr">
        <is>
          <t>FEBRERO 2026</t>
        </is>
      </c>
      <c r="L4404" t="inlineStr">
        <is>
          <t>FEBRERO 2027</t>
        </is>
      </c>
      <c r="M4404" t="inlineStr">
        <is>
          <t>CO2 TIPO BC</t>
        </is>
      </c>
      <c r="N4404" t="inlineStr">
        <is>
          <t>32/000217</t>
        </is>
      </c>
      <c r="O4404" t="inlineStr">
        <is>
          <t>V</t>
        </is>
      </c>
      <c r="P4404">
        <f>TRIM(N4404)</f>
        <v/>
      </c>
    </row>
    <row r="4405">
      <c r="A4405" t="inlineStr">
        <is>
          <t>CO-002647</t>
        </is>
      </c>
      <c r="B4405" t="inlineStr">
        <is>
          <t>GACSA PERU S.A.C.</t>
        </is>
      </c>
      <c r="C4405" t="n">
        <v>20602629068</v>
      </c>
      <c r="D4405" t="inlineStr">
        <is>
          <t>NISSAN LA MOLINA</t>
        </is>
      </c>
      <c r="E4405" t="inlineStr">
        <is>
          <t>Lima, 20 de febrero del 2026</t>
        </is>
      </c>
      <c r="F4405" t="inlineStr">
        <is>
          <t>la Recarga y mantenimiento</t>
        </is>
      </c>
      <c r="G4405" t="n">
        <v>3</v>
      </c>
      <c r="H4405" t="inlineStr">
        <is>
          <t>10 LBS</t>
        </is>
      </c>
      <c r="I4405" t="n">
        <v>2030</v>
      </c>
      <c r="J4405" t="n">
        <v>2025</v>
      </c>
      <c r="K4405" t="inlineStr">
        <is>
          <t>FEBRERO 2026</t>
        </is>
      </c>
      <c r="L4405" t="inlineStr">
        <is>
          <t>FEBRERO 2027</t>
        </is>
      </c>
      <c r="M4405" t="inlineStr">
        <is>
          <t>CO2 TIPO BC</t>
        </is>
      </c>
      <c r="N4405" t="inlineStr">
        <is>
          <t>33/000306</t>
        </is>
      </c>
      <c r="O4405" t="inlineStr">
        <is>
          <t>V</t>
        </is>
      </c>
      <c r="P4405">
        <f>TRIM(N4405)</f>
        <v/>
      </c>
    </row>
    <row r="4406">
      <c r="A4406" t="inlineStr">
        <is>
          <t>CO-002647</t>
        </is>
      </c>
      <c r="B4406" t="inlineStr">
        <is>
          <t>GACSA PERU S.A.C.</t>
        </is>
      </c>
      <c r="C4406" t="n">
        <v>20602629068</v>
      </c>
      <c r="D4406" t="inlineStr">
        <is>
          <t>NISSAN LA MOLINA</t>
        </is>
      </c>
      <c r="E4406" t="inlineStr">
        <is>
          <t>Lima, 20 de febrero del 2026</t>
        </is>
      </c>
      <c r="F4406" t="inlineStr">
        <is>
          <t>la Recarga y mantenimiento</t>
        </is>
      </c>
      <c r="G4406" t="n">
        <v>4</v>
      </c>
      <c r="H4406" t="inlineStr">
        <is>
          <t>10 LBS</t>
        </is>
      </c>
      <c r="I4406" t="n">
        <v>2030</v>
      </c>
      <c r="J4406" t="n">
        <v>2025</v>
      </c>
      <c r="K4406" t="inlineStr">
        <is>
          <t>FEBRERO 2026</t>
        </is>
      </c>
      <c r="L4406" t="inlineStr">
        <is>
          <t>FEBRERO 2027</t>
        </is>
      </c>
      <c r="M4406" t="inlineStr">
        <is>
          <t>CO2 TIPO BC</t>
        </is>
      </c>
      <c r="N4406" t="inlineStr">
        <is>
          <t>34/000470</t>
        </is>
      </c>
      <c r="O4406" t="inlineStr">
        <is>
          <t>V</t>
        </is>
      </c>
      <c r="P4406">
        <f>TRIM(N4406)</f>
        <v/>
      </c>
    </row>
    <row r="4407">
      <c r="A4407" t="inlineStr">
        <is>
          <t>CO-002648</t>
        </is>
      </c>
      <c r="B4407" t="inlineStr">
        <is>
          <t>CENTRAL PARKING SYSTEM PERÚ SA</t>
        </is>
      </c>
      <c r="C4407" t="inlineStr">
        <is>
          <t>20505205791</t>
        </is>
      </c>
      <c r="D4407" t="inlineStr">
        <is>
          <t xml:space="preserve">AV. LA FONTANA N° 342-362, MZ. A LT. 9-10-URB RESIDENCIAL MONTERRICO  - LA MOLINA </t>
        </is>
      </c>
      <c r="E4407" t="inlineStr">
        <is>
          <t>Lima, 25 de febrero del 2026</t>
        </is>
      </c>
      <c r="F4407" t="inlineStr">
        <is>
          <t>La venta</t>
        </is>
      </c>
      <c r="G4407" t="inlineStr">
        <is>
          <t>01</t>
        </is>
      </c>
      <c r="H4407" t="inlineStr">
        <is>
          <t>06 KG</t>
        </is>
      </c>
      <c r="I4407" t="n">
        <v>2031</v>
      </c>
      <c r="J4407" t="n">
        <v>2026</v>
      </c>
      <c r="K4407" t="inlineStr">
        <is>
          <t>FEBRERO 2026</t>
        </is>
      </c>
      <c r="L4407" t="inlineStr">
        <is>
          <t>FEBRERO 2027</t>
        </is>
      </c>
      <c r="M4407" t="inlineStr">
        <is>
          <t xml:space="preserve">PQS TIPO ABC AL 75% </t>
        </is>
      </c>
      <c r="N4407" t="inlineStr">
        <is>
          <t>E-032/000722</t>
        </is>
      </c>
      <c r="O4407" t="inlineStr">
        <is>
          <t>V</t>
        </is>
      </c>
      <c r="P4407">
        <f>TRIM(N4407)</f>
        <v/>
      </c>
    </row>
    <row r="4408">
      <c r="A4408" t="inlineStr">
        <is>
          <t>CO-002648</t>
        </is>
      </c>
      <c r="B4408" t="inlineStr">
        <is>
          <t>CENTRAL PARKING SYSTEM PERÚ SA</t>
        </is>
      </c>
      <c r="C4408" t="inlineStr">
        <is>
          <t>20505205791</t>
        </is>
      </c>
      <c r="D4408" t="inlineStr">
        <is>
          <t xml:space="preserve">AV. LA FONTANA N° 342-362, MZ. A LT. 9-10-URB RESIDENCIAL MONTERRICO  - LA MOLINA </t>
        </is>
      </c>
      <c r="E4408" t="inlineStr">
        <is>
          <t>Lima, 25 de febrero del 2026</t>
        </is>
      </c>
      <c r="F4408" t="inlineStr">
        <is>
          <t>La venta</t>
        </is>
      </c>
      <c r="G4408" t="inlineStr">
        <is>
          <t>02</t>
        </is>
      </c>
      <c r="H4408" t="inlineStr">
        <is>
          <t>06 KG</t>
        </is>
      </c>
      <c r="I4408" t="n">
        <v>2031</v>
      </c>
      <c r="J4408" t="n">
        <v>2026</v>
      </c>
      <c r="K4408" t="inlineStr">
        <is>
          <t>FEBRERO 2026</t>
        </is>
      </c>
      <c r="L4408" t="inlineStr">
        <is>
          <t>FEBRERO 2027</t>
        </is>
      </c>
      <c r="M4408" t="inlineStr">
        <is>
          <t xml:space="preserve">PQS TIPO ABC AL 75% </t>
        </is>
      </c>
      <c r="N4408" t="inlineStr">
        <is>
          <t>E-033/000286</t>
        </is>
      </c>
      <c r="O4408" t="inlineStr">
        <is>
          <t>V</t>
        </is>
      </c>
      <c r="P4408">
        <f>TRIM(N4408)</f>
        <v/>
      </c>
    </row>
    <row r="4409">
      <c r="A4409" t="inlineStr">
        <is>
          <t>CO-002648</t>
        </is>
      </c>
      <c r="B4409" t="inlineStr">
        <is>
          <t>CENTRAL PARKING SYSTEM PERÚ SA</t>
        </is>
      </c>
      <c r="C4409" t="inlineStr">
        <is>
          <t>20505205791</t>
        </is>
      </c>
      <c r="D4409" t="inlineStr">
        <is>
          <t xml:space="preserve">AV. LA FONTANA N° 342-362, MZ. A LT. 9-10-URB RESIDENCIAL MONTERRICO  - LA MOLINA </t>
        </is>
      </c>
      <c r="E4409" t="inlineStr">
        <is>
          <t>Lima, 25 de febrero del 2026</t>
        </is>
      </c>
      <c r="F4409" t="inlineStr">
        <is>
          <t>La venta</t>
        </is>
      </c>
      <c r="G4409" t="n">
        <v>3</v>
      </c>
      <c r="H4409" t="inlineStr">
        <is>
          <t>06 KG</t>
        </is>
      </c>
      <c r="I4409" t="n">
        <v>2031</v>
      </c>
      <c r="J4409" t="n">
        <v>2026</v>
      </c>
      <c r="K4409" t="inlineStr">
        <is>
          <t>FEBRERO 2026</t>
        </is>
      </c>
      <c r="L4409" t="inlineStr">
        <is>
          <t>FEBRERO 2027</t>
        </is>
      </c>
      <c r="M4409" t="inlineStr">
        <is>
          <t xml:space="preserve">PQS TIPO ABC AL 75% </t>
        </is>
      </c>
      <c r="N4409" t="inlineStr">
        <is>
          <t>E-034/002977</t>
        </is>
      </c>
      <c r="O4409" t="inlineStr">
        <is>
          <t>V</t>
        </is>
      </c>
      <c r="P4409">
        <f>TRIM(N4409)</f>
        <v/>
      </c>
    </row>
    <row r="4410">
      <c r="A4410" t="inlineStr">
        <is>
          <t>CO-002648</t>
        </is>
      </c>
      <c r="B4410" t="inlineStr">
        <is>
          <t>CENTRAL PARKING SYSTEM PERÚ SA</t>
        </is>
      </c>
      <c r="C4410" t="inlineStr">
        <is>
          <t>20505205791</t>
        </is>
      </c>
      <c r="D4410" t="inlineStr">
        <is>
          <t xml:space="preserve">AV. LA FONTANA N° 342-362, MZ. A LT. 9-10-URB RESIDENCIAL MONTERRICO  - LA MOLINA </t>
        </is>
      </c>
      <c r="E4410" t="inlineStr">
        <is>
          <t>Lima, 25 de febrero del 2026</t>
        </is>
      </c>
      <c r="F4410" t="inlineStr">
        <is>
          <t>La venta</t>
        </is>
      </c>
      <c r="G4410" t="n">
        <v>4</v>
      </c>
      <c r="H4410" t="inlineStr">
        <is>
          <t>06 KG</t>
        </is>
      </c>
      <c r="I4410" t="n">
        <v>2031</v>
      </c>
      <c r="J4410" t="n">
        <v>2026</v>
      </c>
      <c r="K4410" t="inlineStr">
        <is>
          <t>FEBRERO 2026</t>
        </is>
      </c>
      <c r="L4410" t="inlineStr">
        <is>
          <t>FEBRERO 2027</t>
        </is>
      </c>
      <c r="M4410" t="inlineStr">
        <is>
          <t xml:space="preserve">PQS TIPO ABC AL 75% </t>
        </is>
      </c>
      <c r="N4410" t="inlineStr">
        <is>
          <t>E-035/005586</t>
        </is>
      </c>
      <c r="O4410" t="inlineStr">
        <is>
          <t>V</t>
        </is>
      </c>
      <c r="P4410">
        <f>TRIM(N4410)</f>
        <v/>
      </c>
    </row>
    <row r="4411">
      <c r="A4411" t="inlineStr">
        <is>
          <t>CO-002648</t>
        </is>
      </c>
      <c r="B4411" t="inlineStr">
        <is>
          <t>CENTRAL PARKING SYSTEM PERÚ SA</t>
        </is>
      </c>
      <c r="C4411" t="inlineStr">
        <is>
          <t>20505205791</t>
        </is>
      </c>
      <c r="D4411" t="inlineStr">
        <is>
          <t xml:space="preserve">AV. LA FONTANA N° 342-362, MZ. A LT. 9-10-URB RESIDENCIAL MONTERRICO  - LA MOLINA </t>
        </is>
      </c>
      <c r="E4411" t="inlineStr">
        <is>
          <t>Lima, 25 de febrero del 2026</t>
        </is>
      </c>
      <c r="F4411" t="inlineStr">
        <is>
          <t>La venta</t>
        </is>
      </c>
      <c r="G4411" t="n">
        <v>5</v>
      </c>
      <c r="H4411" t="inlineStr">
        <is>
          <t>06 KG</t>
        </is>
      </c>
      <c r="I4411" t="n">
        <v>2031</v>
      </c>
      <c r="J4411" t="n">
        <v>2026</v>
      </c>
      <c r="K4411" t="inlineStr">
        <is>
          <t>FEBRERO 2026</t>
        </is>
      </c>
      <c r="L4411" t="inlineStr">
        <is>
          <t>FEBRERO 2027</t>
        </is>
      </c>
      <c r="M4411" t="inlineStr">
        <is>
          <t xml:space="preserve">PQS TIPO ABC AL 75% </t>
        </is>
      </c>
      <c r="N4411" t="inlineStr">
        <is>
          <t>E-036/002830</t>
        </is>
      </c>
      <c r="O4411" t="inlineStr">
        <is>
          <t>V</t>
        </is>
      </c>
      <c r="P4411">
        <f>TRIM(N4411)</f>
        <v/>
      </c>
    </row>
    <row r="4412">
      <c r="A4412" t="inlineStr">
        <is>
          <t>CO-002648</t>
        </is>
      </c>
      <c r="B4412" t="inlineStr">
        <is>
          <t>CENTRAL PARKING SYSTEM PERÚ SA</t>
        </is>
      </c>
      <c r="C4412" t="inlineStr">
        <is>
          <t>20505205791</t>
        </is>
      </c>
      <c r="D4412" t="inlineStr">
        <is>
          <t xml:space="preserve">AV. LA FONTANA N° 342-362, MZ. A LT. 9-10-URB RESIDENCIAL MONTERRICO  - LA MOLINA </t>
        </is>
      </c>
      <c r="E4412" t="inlineStr">
        <is>
          <t>Lima, 25 de febrero del 2026</t>
        </is>
      </c>
      <c r="F4412" t="inlineStr">
        <is>
          <t>La venta</t>
        </is>
      </c>
      <c r="G4412" t="n">
        <v>6</v>
      </c>
      <c r="H4412" t="inlineStr">
        <is>
          <t>06 KG</t>
        </is>
      </c>
      <c r="I4412" t="n">
        <v>2031</v>
      </c>
      <c r="J4412" t="n">
        <v>2026</v>
      </c>
      <c r="K4412" t="inlineStr">
        <is>
          <t>FEBRERO 2026</t>
        </is>
      </c>
      <c r="L4412" t="inlineStr">
        <is>
          <t>FEBRERO 2027</t>
        </is>
      </c>
      <c r="M4412" t="inlineStr">
        <is>
          <t xml:space="preserve">PQS TIPO ABC AL 75% </t>
        </is>
      </c>
      <c r="N4412" t="inlineStr">
        <is>
          <t>E-037/004880</t>
        </is>
      </c>
      <c r="O4412" t="inlineStr">
        <is>
          <t>V</t>
        </is>
      </c>
      <c r="P4412">
        <f>TRIM(N4412)</f>
        <v/>
      </c>
    </row>
    <row r="4413">
      <c r="A4413" t="inlineStr">
        <is>
          <t>CO-002649</t>
        </is>
      </c>
      <c r="B4413" t="inlineStr">
        <is>
          <t>CHEMIFABRIK PERU SAC</t>
        </is>
      </c>
      <c r="C4413" t="inlineStr">
        <is>
          <t xml:space="preserve">20252814036 </t>
        </is>
      </c>
      <c r="D4413" t="inlineStr">
        <is>
          <t>Gilberto Espinoza 120, Urb, Santa Anita 15008</t>
        </is>
      </c>
      <c r="E4413" t="inlineStr">
        <is>
          <t>Lima, 02 de marzo del 2026</t>
        </is>
      </c>
      <c r="F4413" t="inlineStr">
        <is>
          <t>la Recarga y mantenimiento</t>
        </is>
      </c>
      <c r="G4413" t="n">
        <v>1</v>
      </c>
      <c r="H4413" t="inlineStr">
        <is>
          <t>12 KG</t>
        </is>
      </c>
      <c r="I4413" t="n">
        <v>2031</v>
      </c>
      <c r="J4413" t="n">
        <v>2021</v>
      </c>
      <c r="K4413" t="inlineStr">
        <is>
          <t>MARZO 2026</t>
        </is>
      </c>
      <c r="L4413" t="inlineStr">
        <is>
          <t>MARZO 2027</t>
        </is>
      </c>
      <c r="M4413" t="inlineStr">
        <is>
          <t xml:space="preserve">PQS TIPO ABC AL 90% </t>
        </is>
      </c>
      <c r="N4413" t="inlineStr">
        <is>
          <t>03/001734</t>
        </is>
      </c>
      <c r="O4413" t="inlineStr">
        <is>
          <t>R</t>
        </is>
      </c>
      <c r="P4413">
        <f>TRIM(N4413)</f>
        <v/>
      </c>
    </row>
    <row r="4414">
      <c r="A4414" t="inlineStr">
        <is>
          <t>CO-002649</t>
        </is>
      </c>
      <c r="B4414" t="inlineStr">
        <is>
          <t>CHEMIFABRIK PERU SAC</t>
        </is>
      </c>
      <c r="C4414" t="inlineStr">
        <is>
          <t xml:space="preserve">20252814036 </t>
        </is>
      </c>
      <c r="D4414" t="inlineStr">
        <is>
          <t>Gilberto Espinoza 120, Urb, Santa Anita 15008</t>
        </is>
      </c>
      <c r="E4414" t="inlineStr">
        <is>
          <t>Lima, 02 de marzo del 2026</t>
        </is>
      </c>
      <c r="F4414" t="inlineStr">
        <is>
          <t>la Recarga y mantenimiento</t>
        </is>
      </c>
      <c r="G4414" t="n">
        <v>2</v>
      </c>
      <c r="H4414" t="inlineStr">
        <is>
          <t>50 KG</t>
        </is>
      </c>
      <c r="I4414" t="n">
        <v>2031</v>
      </c>
      <c r="J4414" t="n">
        <v>2013</v>
      </c>
      <c r="K4414" t="inlineStr">
        <is>
          <t>MARZO 2026</t>
        </is>
      </c>
      <c r="L4414" t="inlineStr">
        <is>
          <t>MARZO 2027</t>
        </is>
      </c>
      <c r="M4414" t="inlineStr">
        <is>
          <t xml:space="preserve">PQS TIPO ABC AL 90% </t>
        </is>
      </c>
      <c r="N4414" t="inlineStr">
        <is>
          <t>06/000026</t>
        </is>
      </c>
      <c r="O4414" t="inlineStr">
        <is>
          <t>R</t>
        </is>
      </c>
      <c r="P4414">
        <f>TRIM(N4414)</f>
        <v/>
      </c>
    </row>
    <row r="4415">
      <c r="A4415" t="inlineStr">
        <is>
          <t>CO-002649</t>
        </is>
      </c>
      <c r="B4415" t="inlineStr">
        <is>
          <t>CHEMIFABRIK PERU SAC</t>
        </is>
      </c>
      <c r="C4415" t="inlineStr">
        <is>
          <t xml:space="preserve">20252814036 </t>
        </is>
      </c>
      <c r="D4415" t="inlineStr">
        <is>
          <t>Gilberto Espinoza 120, Urb, Santa Anita 15008</t>
        </is>
      </c>
      <c r="E4415" t="inlineStr">
        <is>
          <t>Lima, 02 de marzo del 2026</t>
        </is>
      </c>
      <c r="F4415" t="inlineStr">
        <is>
          <t>la Recarga y mantenimiento</t>
        </is>
      </c>
      <c r="G4415" t="n">
        <v>3</v>
      </c>
      <c r="H4415" t="inlineStr">
        <is>
          <t>5 LBS</t>
        </is>
      </c>
      <c r="I4415" t="n">
        <v>2031</v>
      </c>
      <c r="J4415" t="n">
        <v>2016</v>
      </c>
      <c r="K4415" t="inlineStr">
        <is>
          <t>MARZO 2026</t>
        </is>
      </c>
      <c r="L4415" t="inlineStr">
        <is>
          <t>MARZO 2027</t>
        </is>
      </c>
      <c r="M4415" t="inlineStr">
        <is>
          <t>CO2 TIPO BC</t>
        </is>
      </c>
      <c r="N4415" t="inlineStr">
        <is>
          <t>10/000163</t>
        </is>
      </c>
      <c r="O4415" t="inlineStr">
        <is>
          <t>R</t>
        </is>
      </c>
      <c r="P4415">
        <f>TRIM(N4415)</f>
        <v/>
      </c>
    </row>
    <row r="4416">
      <c r="A4416" t="inlineStr">
        <is>
          <t>CO-002649</t>
        </is>
      </c>
      <c r="B4416" t="inlineStr">
        <is>
          <t>CHEMIFABRIK PERU SAC</t>
        </is>
      </c>
      <c r="C4416" t="inlineStr">
        <is>
          <t xml:space="preserve">20252814036 </t>
        </is>
      </c>
      <c r="D4416" t="inlineStr">
        <is>
          <t>Gilberto Espinoza 120, Urb, Santa Anita 15008</t>
        </is>
      </c>
      <c r="E4416" t="inlineStr">
        <is>
          <t>Lima, 02 de marzo del 2026</t>
        </is>
      </c>
      <c r="F4416" t="inlineStr">
        <is>
          <t>la Recarga y mantenimiento</t>
        </is>
      </c>
      <c r="G4416" t="n">
        <v>4</v>
      </c>
      <c r="H4416" t="inlineStr">
        <is>
          <t>05 LBS</t>
        </is>
      </c>
      <c r="I4416" t="n">
        <v>2031</v>
      </c>
      <c r="J4416" t="n">
        <v>2016</v>
      </c>
      <c r="K4416" t="inlineStr">
        <is>
          <t>MARZO 2026</t>
        </is>
      </c>
      <c r="L4416" t="inlineStr">
        <is>
          <t>MARZO 2027</t>
        </is>
      </c>
      <c r="M4416" t="inlineStr">
        <is>
          <t>CO2 TIPO BC</t>
        </is>
      </c>
      <c r="N4416" t="inlineStr">
        <is>
          <t>14/000164</t>
        </is>
      </c>
      <c r="O4416" t="inlineStr">
        <is>
          <t>R</t>
        </is>
      </c>
      <c r="P4416">
        <f>TRIM(N4416)</f>
        <v/>
      </c>
    </row>
    <row r="4417">
      <c r="A4417" t="inlineStr">
        <is>
          <t>CO-002649</t>
        </is>
      </c>
      <c r="B4417" t="inlineStr">
        <is>
          <t>CHEMIFABRIK PERU SAC</t>
        </is>
      </c>
      <c r="C4417" t="inlineStr">
        <is>
          <t xml:space="preserve">20252814036 </t>
        </is>
      </c>
      <c r="D4417" t="inlineStr">
        <is>
          <t>Gilberto Espinoza 120, Urb, Santa Anita 15008</t>
        </is>
      </c>
      <c r="E4417" t="inlineStr">
        <is>
          <t>Lima, 02 de marzo del 2026</t>
        </is>
      </c>
      <c r="F4417" t="inlineStr">
        <is>
          <t>la Recarga y mantenimiento</t>
        </is>
      </c>
      <c r="G4417" t="n">
        <v>5</v>
      </c>
      <c r="H4417" t="inlineStr">
        <is>
          <t>50 KG</t>
        </is>
      </c>
      <c r="I4417" t="n">
        <v>2031</v>
      </c>
      <c r="J4417" t="n">
        <v>2017</v>
      </c>
      <c r="K4417" t="inlineStr">
        <is>
          <t>MARZO 2026</t>
        </is>
      </c>
      <c r="L4417" t="inlineStr">
        <is>
          <t>MARZO 2027</t>
        </is>
      </c>
      <c r="M4417" t="inlineStr">
        <is>
          <t xml:space="preserve">PQS TIPO ABC AL 90% </t>
        </is>
      </c>
      <c r="N4417" t="inlineStr">
        <is>
          <t>17/000017</t>
        </is>
      </c>
      <c r="O4417" t="inlineStr">
        <is>
          <t>R</t>
        </is>
      </c>
      <c r="P4417">
        <f>TRIM(N4417)</f>
        <v/>
      </c>
    </row>
    <row r="4418">
      <c r="A4418" t="inlineStr">
        <is>
          <t>CO-002649</t>
        </is>
      </c>
      <c r="B4418" t="inlineStr">
        <is>
          <t>CHEMIFABRIK PERU SAC</t>
        </is>
      </c>
      <c r="C4418" t="inlineStr">
        <is>
          <t xml:space="preserve">20252814036 </t>
        </is>
      </c>
      <c r="D4418" t="inlineStr">
        <is>
          <t>Gilberto Espinoza 120, Urb, Santa Anita 15008</t>
        </is>
      </c>
      <c r="E4418" t="inlineStr">
        <is>
          <t>Lima, 02 de marzo del 2026</t>
        </is>
      </c>
      <c r="F4418" t="inlineStr">
        <is>
          <t>la Recarga y mantenimiento</t>
        </is>
      </c>
      <c r="G4418" t="n">
        <v>6</v>
      </c>
      <c r="H4418" t="inlineStr">
        <is>
          <t>25 KG</t>
        </is>
      </c>
      <c r="I4418" t="n">
        <v>2031</v>
      </c>
      <c r="J4418" t="n">
        <v>2021</v>
      </c>
      <c r="K4418" t="inlineStr">
        <is>
          <t>MARZO 2026</t>
        </is>
      </c>
      <c r="L4418" t="inlineStr">
        <is>
          <t>MARZO 2027</t>
        </is>
      </c>
      <c r="M4418" t="inlineStr">
        <is>
          <t xml:space="preserve">PQS TIPO ABC AL 90% </t>
        </is>
      </c>
      <c r="N4418" t="inlineStr">
        <is>
          <t>19/000025</t>
        </is>
      </c>
      <c r="O4418" t="inlineStr">
        <is>
          <t>R</t>
        </is>
      </c>
      <c r="P4418">
        <f>TRIM(N4418)</f>
        <v/>
      </c>
    </row>
    <row r="4419">
      <c r="A4419" t="inlineStr">
        <is>
          <t>CO-002649</t>
        </is>
      </c>
      <c r="B4419" t="inlineStr">
        <is>
          <t>CHEMIFABRIK PERU SAC</t>
        </is>
      </c>
      <c r="C4419" t="inlineStr">
        <is>
          <t xml:space="preserve">20252814036 </t>
        </is>
      </c>
      <c r="D4419" t="inlineStr">
        <is>
          <t>Gilberto Espinoza 120, Urb, Santa Anita 15008</t>
        </is>
      </c>
      <c r="E4419" t="inlineStr">
        <is>
          <t>Lima, 02 de marzo del 2026</t>
        </is>
      </c>
      <c r="F4419" t="inlineStr">
        <is>
          <t>la Recarga y mantenimiento</t>
        </is>
      </c>
      <c r="G4419" t="n">
        <v>7</v>
      </c>
      <c r="H4419" t="inlineStr">
        <is>
          <t>12 KG</t>
        </is>
      </c>
      <c r="I4419" t="n">
        <v>2031</v>
      </c>
      <c r="J4419" t="n">
        <v>2011</v>
      </c>
      <c r="K4419" t="inlineStr">
        <is>
          <t>MARZO 2026</t>
        </is>
      </c>
      <c r="L4419" t="inlineStr">
        <is>
          <t>MARZO 2027</t>
        </is>
      </c>
      <c r="M4419" t="inlineStr">
        <is>
          <t xml:space="preserve">PQS TIPO ABC AL 90% </t>
        </is>
      </c>
      <c r="N4419" t="inlineStr">
        <is>
          <t>28/000340</t>
        </is>
      </c>
      <c r="O4419" t="inlineStr">
        <is>
          <t>R</t>
        </is>
      </c>
      <c r="P4419">
        <f>TRIM(N4419)</f>
        <v/>
      </c>
    </row>
    <row r="4420">
      <c r="A4420" t="inlineStr">
        <is>
          <t>CO-002649</t>
        </is>
      </c>
      <c r="B4420" t="inlineStr">
        <is>
          <t>CHEMIFABRIK PERU SAC</t>
        </is>
      </c>
      <c r="C4420" t="inlineStr">
        <is>
          <t xml:space="preserve">20252814036 </t>
        </is>
      </c>
      <c r="D4420" t="inlineStr">
        <is>
          <t>Gilberto Espinoza 120, Urb, Santa Anita 15008</t>
        </is>
      </c>
      <c r="E4420" t="inlineStr">
        <is>
          <t>Lima, 02 de marzo del 2026</t>
        </is>
      </c>
      <c r="F4420" t="inlineStr">
        <is>
          <t>la Recarga y mantenimiento</t>
        </is>
      </c>
      <c r="G4420" t="n">
        <v>8</v>
      </c>
      <c r="H4420" t="inlineStr">
        <is>
          <t>50 LTS</t>
        </is>
      </c>
      <c r="I4420" t="n">
        <v>2031</v>
      </c>
      <c r="J4420" t="inlineStr">
        <is>
          <t>S/N</t>
        </is>
      </c>
      <c r="K4420" t="inlineStr">
        <is>
          <t>MARZO 2026</t>
        </is>
      </c>
      <c r="L4420" t="inlineStr">
        <is>
          <t>MARZO 2027</t>
        </is>
      </c>
      <c r="M4420" t="inlineStr">
        <is>
          <t>ESPUMA AFFF</t>
        </is>
      </c>
      <c r="N4420" t="inlineStr">
        <is>
          <t>30/S/N</t>
        </is>
      </c>
      <c r="O4420" t="inlineStr">
        <is>
          <t>R</t>
        </is>
      </c>
      <c r="P4420">
        <f>TRIM(N4420)</f>
        <v/>
      </c>
    </row>
    <row r="4421">
      <c r="A4421" t="inlineStr">
        <is>
          <t>CO-002649</t>
        </is>
      </c>
      <c r="B4421" t="inlineStr">
        <is>
          <t>CHEMIFABRIK PERU SAC</t>
        </is>
      </c>
      <c r="C4421" t="inlineStr">
        <is>
          <t xml:space="preserve">20252814036 </t>
        </is>
      </c>
      <c r="D4421" t="inlineStr">
        <is>
          <t>Gilberto Espinoza 120, Urb, Santa Anita 15008</t>
        </is>
      </c>
      <c r="E4421" t="inlineStr">
        <is>
          <t>Lima, 02 de marzo del 2026</t>
        </is>
      </c>
      <c r="F4421" t="inlineStr">
        <is>
          <t>la Recarga y mantenimiento</t>
        </is>
      </c>
      <c r="G4421" t="n">
        <v>9</v>
      </c>
      <c r="H4421" t="inlineStr">
        <is>
          <t>12 KG</t>
        </is>
      </c>
      <c r="I4421" t="n">
        <v>2031</v>
      </c>
      <c r="J4421" t="n">
        <v>2018</v>
      </c>
      <c r="K4421" t="inlineStr">
        <is>
          <t>MARZO 2026</t>
        </is>
      </c>
      <c r="L4421" t="inlineStr">
        <is>
          <t>MARZO 2027</t>
        </is>
      </c>
      <c r="M4421" t="inlineStr">
        <is>
          <t xml:space="preserve">PQS TIPO ABC AL 90% </t>
        </is>
      </c>
      <c r="N4421" t="inlineStr">
        <is>
          <t>31/000319</t>
        </is>
      </c>
      <c r="O4421" t="inlineStr">
        <is>
          <t>R</t>
        </is>
      </c>
      <c r="P4421">
        <f>TRIM(N4421)</f>
        <v/>
      </c>
    </row>
    <row r="4422">
      <c r="A4422" t="inlineStr">
        <is>
          <t>CO-002649</t>
        </is>
      </c>
      <c r="B4422" t="inlineStr">
        <is>
          <t>CHEMIFABRIK PERU SAC</t>
        </is>
      </c>
      <c r="C4422" t="inlineStr">
        <is>
          <t xml:space="preserve">20252814036 </t>
        </is>
      </c>
      <c r="D4422" t="inlineStr">
        <is>
          <t>Gilberto Espinoza 120, Urb, Santa Anita 15008</t>
        </is>
      </c>
      <c r="E4422" t="inlineStr">
        <is>
          <t>Lima, 02 de marzo del 2026</t>
        </is>
      </c>
      <c r="F4422" t="inlineStr">
        <is>
          <t>la Recarga y mantenimiento</t>
        </is>
      </c>
      <c r="G4422" t="n">
        <v>10</v>
      </c>
      <c r="H4422" t="inlineStr">
        <is>
          <t>12 KG</t>
        </is>
      </c>
      <c r="I4422" t="n">
        <v>2031</v>
      </c>
      <c r="J4422" t="n">
        <v>2021</v>
      </c>
      <c r="K4422" t="inlineStr">
        <is>
          <t>MARZO 2026</t>
        </is>
      </c>
      <c r="L4422" t="inlineStr">
        <is>
          <t>MARZO 2027</t>
        </is>
      </c>
      <c r="M4422" t="inlineStr">
        <is>
          <t xml:space="preserve">PQS TIPO ABC AL 90% </t>
        </is>
      </c>
      <c r="N4422" t="inlineStr">
        <is>
          <t>33/001458</t>
        </is>
      </c>
      <c r="O4422" t="inlineStr">
        <is>
          <t>R</t>
        </is>
      </c>
      <c r="P4422">
        <f>TRIM(N4422)</f>
        <v/>
      </c>
    </row>
    <row r="4423">
      <c r="A4423" t="inlineStr">
        <is>
          <t>CO-002649</t>
        </is>
      </c>
      <c r="B4423" t="inlineStr">
        <is>
          <t>CHEMIFABRIK PERU SAC</t>
        </is>
      </c>
      <c r="C4423" t="inlineStr">
        <is>
          <t xml:space="preserve">20252814036 </t>
        </is>
      </c>
      <c r="D4423" t="inlineStr">
        <is>
          <t>Gilberto Espinoza 120, Urb, Santa Anita 15008</t>
        </is>
      </c>
      <c r="E4423" t="inlineStr">
        <is>
          <t>Lima, 02 de marzo del 2026</t>
        </is>
      </c>
      <c r="F4423" t="inlineStr">
        <is>
          <t>la Recarga y mantenimiento</t>
        </is>
      </c>
      <c r="G4423" t="n">
        <v>11</v>
      </c>
      <c r="H4423" t="inlineStr">
        <is>
          <t>12 KG</t>
        </is>
      </c>
      <c r="I4423" t="n">
        <v>2031</v>
      </c>
      <c r="J4423" t="n">
        <v>2021</v>
      </c>
      <c r="K4423" t="inlineStr">
        <is>
          <t>MARZO 2026</t>
        </is>
      </c>
      <c r="L4423" t="inlineStr">
        <is>
          <t>MARZO 2027</t>
        </is>
      </c>
      <c r="M4423" t="inlineStr">
        <is>
          <t xml:space="preserve">PQS TIPO ABC AL 90% </t>
        </is>
      </c>
      <c r="N4423" t="inlineStr">
        <is>
          <t>34/002573</t>
        </is>
      </c>
      <c r="O4423" t="inlineStr">
        <is>
          <t>R</t>
        </is>
      </c>
      <c r="P4423">
        <f>TRIM(N4423)</f>
        <v/>
      </c>
    </row>
    <row r="4424">
      <c r="A4424" t="inlineStr">
        <is>
          <t>CO-002649</t>
        </is>
      </c>
      <c r="B4424" t="inlineStr">
        <is>
          <t>CHEMIFABRIK PERU SAC</t>
        </is>
      </c>
      <c r="C4424" t="inlineStr">
        <is>
          <t xml:space="preserve">20252814036 </t>
        </is>
      </c>
      <c r="D4424" t="inlineStr">
        <is>
          <t>Gilberto Espinoza 120, Urb, Santa Anita 15008</t>
        </is>
      </c>
      <c r="E4424" t="inlineStr">
        <is>
          <t>Lima, 02 de marzo del 2026</t>
        </is>
      </c>
      <c r="F4424" t="inlineStr">
        <is>
          <t>la Recarga y mantenimiento</t>
        </is>
      </c>
      <c r="G4424" t="n">
        <v>12</v>
      </c>
      <c r="H4424" t="inlineStr">
        <is>
          <t>12 KG</t>
        </is>
      </c>
      <c r="I4424" t="n">
        <v>2029</v>
      </c>
      <c r="J4424" t="n">
        <v>2024</v>
      </c>
      <c r="K4424" t="inlineStr">
        <is>
          <t>MARZO 2026</t>
        </is>
      </c>
      <c r="L4424" t="inlineStr">
        <is>
          <t>MARZO 2027</t>
        </is>
      </c>
      <c r="M4424" t="inlineStr">
        <is>
          <t xml:space="preserve">PQS TIPO ABC AL 90% </t>
        </is>
      </c>
      <c r="N4424" t="inlineStr">
        <is>
          <t>35/001314</t>
        </is>
      </c>
      <c r="O4424" t="inlineStr">
        <is>
          <t>R</t>
        </is>
      </c>
      <c r="P4424">
        <f>TRIM(N4424)</f>
        <v/>
      </c>
    </row>
    <row r="4425">
      <c r="A4425" t="inlineStr">
        <is>
          <t>CO-002650</t>
        </is>
      </c>
      <c r="B4425" t="inlineStr">
        <is>
          <t>CHEMIFABRIK PERU SAC</t>
        </is>
      </c>
      <c r="C4425" t="inlineStr">
        <is>
          <t xml:space="preserve">20252814036 </t>
        </is>
      </c>
      <c r="D4425" t="inlineStr">
        <is>
          <t>Gilberto Espinoza 140, Urb, Santa Anita 15008 (ALMACEN)</t>
        </is>
      </c>
      <c r="E4425" t="inlineStr">
        <is>
          <t>Lima, 02 de marzo del 2026</t>
        </is>
      </c>
      <c r="F4425" t="inlineStr">
        <is>
          <t>la Recarga y mantenimiento</t>
        </is>
      </c>
      <c r="G4425" t="n">
        <v>1</v>
      </c>
      <c r="H4425" t="inlineStr">
        <is>
          <t>12 KG</t>
        </is>
      </c>
      <c r="I4425" t="n">
        <v>2029</v>
      </c>
      <c r="J4425" t="n">
        <v>2024</v>
      </c>
      <c r="K4425" t="inlineStr">
        <is>
          <t>MARZO 2026</t>
        </is>
      </c>
      <c r="L4425" t="inlineStr">
        <is>
          <t>MARZO 2027</t>
        </is>
      </c>
      <c r="M4425" t="inlineStr">
        <is>
          <t xml:space="preserve">PQS TIPO ABC AL 75% </t>
        </is>
      </c>
      <c r="N4425" t="inlineStr">
        <is>
          <t>01/001322</t>
        </is>
      </c>
      <c r="O4425" t="inlineStr">
        <is>
          <t>R</t>
        </is>
      </c>
      <c r="P4425">
        <f>TRIM(N4425)</f>
        <v/>
      </c>
    </row>
    <row r="4426">
      <c r="A4426" t="inlineStr">
        <is>
          <t>CO-002650</t>
        </is>
      </c>
      <c r="B4426" t="inlineStr">
        <is>
          <t>CHEMIFABRIK PERU SAC</t>
        </is>
      </c>
      <c r="C4426" t="inlineStr">
        <is>
          <t xml:space="preserve">20252814036 </t>
        </is>
      </c>
      <c r="D4426" t="inlineStr">
        <is>
          <t>Gilberto Espinoza 140, Urb, Santa Anita 15008 (ALMACEN)</t>
        </is>
      </c>
      <c r="E4426" t="inlineStr">
        <is>
          <t>Lima, 02 de marzo del 2026</t>
        </is>
      </c>
      <c r="F4426" t="inlineStr">
        <is>
          <t>la Recarga y mantenimiento</t>
        </is>
      </c>
      <c r="G4426" t="n">
        <v>2</v>
      </c>
      <c r="H4426" t="inlineStr">
        <is>
          <t>50 KG</t>
        </is>
      </c>
      <c r="I4426" t="n">
        <v>2029</v>
      </c>
      <c r="J4426" t="n">
        <v>2024</v>
      </c>
      <c r="K4426" t="inlineStr">
        <is>
          <t>MARZO 2026</t>
        </is>
      </c>
      <c r="L4426" t="inlineStr">
        <is>
          <t>MARZO 2027</t>
        </is>
      </c>
      <c r="M4426" t="inlineStr">
        <is>
          <t xml:space="preserve">PQS TIPO ABC AL 75% </t>
        </is>
      </c>
      <c r="N4426" t="inlineStr">
        <is>
          <t>02/000005</t>
        </is>
      </c>
      <c r="O4426" t="inlineStr">
        <is>
          <t>R</t>
        </is>
      </c>
      <c r="P4426">
        <f>TRIM(N4426)</f>
        <v/>
      </c>
    </row>
    <row r="4427">
      <c r="A4427" t="inlineStr">
        <is>
          <t>CO-002650</t>
        </is>
      </c>
      <c r="B4427" t="inlineStr">
        <is>
          <t>CHEMIFABRIK PERU SAC</t>
        </is>
      </c>
      <c r="C4427" t="inlineStr">
        <is>
          <t xml:space="preserve">20252814036 </t>
        </is>
      </c>
      <c r="D4427" t="inlineStr">
        <is>
          <t>Gilberto Espinoza 140, Urb, Santa Anita 15008 (ALMACEN)</t>
        </is>
      </c>
      <c r="E4427" t="inlineStr">
        <is>
          <t>Lima, 02 de marzo del 2026</t>
        </is>
      </c>
      <c r="F4427" t="inlineStr">
        <is>
          <t>la Recarga y mantenimiento</t>
        </is>
      </c>
      <c r="G4427" t="n">
        <v>3</v>
      </c>
      <c r="H4427" t="inlineStr">
        <is>
          <t>12 KG</t>
        </is>
      </c>
      <c r="I4427" t="n">
        <v>2029</v>
      </c>
      <c r="J4427" t="n">
        <v>2024</v>
      </c>
      <c r="K4427" t="inlineStr">
        <is>
          <t>MARZO 2026</t>
        </is>
      </c>
      <c r="L4427" t="inlineStr">
        <is>
          <t>MARZO 2027</t>
        </is>
      </c>
      <c r="M4427" t="inlineStr">
        <is>
          <t xml:space="preserve">PQS TIPO ABC AL 75% </t>
        </is>
      </c>
      <c r="N4427" t="inlineStr">
        <is>
          <t>03/001325</t>
        </is>
      </c>
      <c r="O4427" t="inlineStr">
        <is>
          <t>R</t>
        </is>
      </c>
      <c r="P4427">
        <f>TRIM(N4427)</f>
        <v/>
      </c>
    </row>
    <row r="4428">
      <c r="A4428" t="inlineStr">
        <is>
          <t>CO-002650</t>
        </is>
      </c>
      <c r="B4428" t="inlineStr">
        <is>
          <t>CHEMIFABRIK PERU SAC</t>
        </is>
      </c>
      <c r="C4428" t="inlineStr">
        <is>
          <t xml:space="preserve">20252814036 </t>
        </is>
      </c>
      <c r="D4428" t="inlineStr">
        <is>
          <t>Gilberto Espinoza 140, Urb, Santa Anita 15008 (ALMACEN)</t>
        </is>
      </c>
      <c r="E4428" t="inlineStr">
        <is>
          <t>Lima, 02 de marzo del 2026</t>
        </is>
      </c>
      <c r="F4428" t="inlineStr">
        <is>
          <t>la Recarga y mantenimiento</t>
        </is>
      </c>
      <c r="G4428" t="n">
        <v>4</v>
      </c>
      <c r="H4428" t="inlineStr">
        <is>
          <t>12 KG</t>
        </is>
      </c>
      <c r="I4428" t="n">
        <v>2029</v>
      </c>
      <c r="J4428" t="n">
        <v>2024</v>
      </c>
      <c r="K4428" t="inlineStr">
        <is>
          <t>MARZO 2026</t>
        </is>
      </c>
      <c r="L4428" t="inlineStr">
        <is>
          <t>MARZO 2027</t>
        </is>
      </c>
      <c r="M4428" t="inlineStr">
        <is>
          <t xml:space="preserve">PQS TIPO ABC AL 75% </t>
        </is>
      </c>
      <c r="N4428" t="inlineStr">
        <is>
          <t>04/002243</t>
        </is>
      </c>
      <c r="O4428" t="inlineStr">
        <is>
          <t>R</t>
        </is>
      </c>
      <c r="P4428">
        <f>TRIM(N4428)</f>
        <v/>
      </c>
    </row>
    <row r="4429">
      <c r="A4429" t="inlineStr">
        <is>
          <t>CO-002650</t>
        </is>
      </c>
      <c r="B4429" t="inlineStr">
        <is>
          <t>CHEMIFABRIK PERU SAC</t>
        </is>
      </c>
      <c r="C4429" t="inlineStr">
        <is>
          <t xml:space="preserve">20252814036 </t>
        </is>
      </c>
      <c r="D4429" t="inlineStr">
        <is>
          <t>Gilberto Espinoza 140, Urb, Santa Anita 15008 (ALMACEN)</t>
        </is>
      </c>
      <c r="E4429" t="inlineStr">
        <is>
          <t>Lima, 02 de marzo del 2026</t>
        </is>
      </c>
      <c r="F4429" t="inlineStr">
        <is>
          <t>la Recarga y mantenimiento</t>
        </is>
      </c>
      <c r="G4429" t="n">
        <v>5</v>
      </c>
      <c r="H4429" t="inlineStr">
        <is>
          <t>12 KG</t>
        </is>
      </c>
      <c r="I4429" t="n">
        <v>2029</v>
      </c>
      <c r="J4429" t="n">
        <v>2024</v>
      </c>
      <c r="K4429" t="inlineStr">
        <is>
          <t>MARZO 2026</t>
        </is>
      </c>
      <c r="L4429" t="inlineStr">
        <is>
          <t>MARZO 2027</t>
        </is>
      </c>
      <c r="M4429" t="inlineStr">
        <is>
          <t xml:space="preserve">PQS TIPO ABC AL 75% </t>
        </is>
      </c>
      <c r="N4429" t="inlineStr">
        <is>
          <t>05/001840</t>
        </is>
      </c>
      <c r="O4429" t="inlineStr">
        <is>
          <t>R</t>
        </is>
      </c>
      <c r="P4429">
        <f>TRIM(N4429)</f>
        <v/>
      </c>
    </row>
    <row r="4430">
      <c r="A4430" t="inlineStr">
        <is>
          <t>CO-002650</t>
        </is>
      </c>
      <c r="B4430" t="inlineStr">
        <is>
          <t>CHEMIFABRIK PERU SAC</t>
        </is>
      </c>
      <c r="C4430" t="inlineStr">
        <is>
          <t xml:space="preserve">20252814036 </t>
        </is>
      </c>
      <c r="D4430" t="inlineStr">
        <is>
          <t>Gilberto Espinoza 140, Urb, Santa Anita 15008 (ALMACEN)</t>
        </is>
      </c>
      <c r="E4430" t="inlineStr">
        <is>
          <t>Lima, 02 de marzo del 2026</t>
        </is>
      </c>
      <c r="F4430" t="inlineStr">
        <is>
          <t>la Recarga y mantenimiento</t>
        </is>
      </c>
      <c r="G4430" t="n">
        <v>6</v>
      </c>
      <c r="H4430" t="inlineStr">
        <is>
          <t>12 KG</t>
        </is>
      </c>
      <c r="I4430" t="n">
        <v>2029</v>
      </c>
      <c r="J4430" t="n">
        <v>2024</v>
      </c>
      <c r="K4430" t="inlineStr">
        <is>
          <t>MARZO 2026</t>
        </is>
      </c>
      <c r="L4430" t="inlineStr">
        <is>
          <t>MARZO 2027</t>
        </is>
      </c>
      <c r="M4430" t="inlineStr">
        <is>
          <t xml:space="preserve">PQS TIPO ABC AL 75% </t>
        </is>
      </c>
      <c r="N4430" t="inlineStr">
        <is>
          <t>06/001400</t>
        </is>
      </c>
      <c r="O4430" t="inlineStr">
        <is>
          <t>R</t>
        </is>
      </c>
      <c r="P4430">
        <f>TRIM(N4430)</f>
        <v/>
      </c>
    </row>
    <row r="4431">
      <c r="A4431" t="inlineStr">
        <is>
          <t>CO-002650</t>
        </is>
      </c>
      <c r="B4431" t="inlineStr">
        <is>
          <t>CHEMIFABRIK PERU SAC</t>
        </is>
      </c>
      <c r="C4431" t="inlineStr">
        <is>
          <t xml:space="preserve">20252814036 </t>
        </is>
      </c>
      <c r="D4431" t="inlineStr">
        <is>
          <t>Gilberto Espinoza 140, Urb, Santa Anita 15008 (ALMACEN)</t>
        </is>
      </c>
      <c r="E4431" t="inlineStr">
        <is>
          <t>Lima, 02 de marzo del 2026</t>
        </is>
      </c>
      <c r="F4431" t="inlineStr">
        <is>
          <t>la Recarga y mantenimiento</t>
        </is>
      </c>
      <c r="G4431" t="n">
        <v>7</v>
      </c>
      <c r="H4431" t="inlineStr">
        <is>
          <t>12 KG</t>
        </is>
      </c>
      <c r="I4431" t="n">
        <v>2029</v>
      </c>
      <c r="J4431" t="n">
        <v>2024</v>
      </c>
      <c r="K4431" t="inlineStr">
        <is>
          <t>MARZO 2026</t>
        </is>
      </c>
      <c r="L4431" t="inlineStr">
        <is>
          <t>MARZO 2027</t>
        </is>
      </c>
      <c r="M4431" t="inlineStr">
        <is>
          <t xml:space="preserve">PQS TIPO ABC AL 75% </t>
        </is>
      </c>
      <c r="N4431" t="inlineStr">
        <is>
          <t>07/002256</t>
        </is>
      </c>
      <c r="O4431" t="inlineStr">
        <is>
          <t>R</t>
        </is>
      </c>
      <c r="P4431">
        <f>TRIM(N4431)</f>
        <v/>
      </c>
    </row>
    <row r="4432">
      <c r="A4432" t="inlineStr">
        <is>
          <t>CO-002650</t>
        </is>
      </c>
      <c r="B4432" t="inlineStr">
        <is>
          <t>CHEMIFABRIK PERU SAC</t>
        </is>
      </c>
      <c r="C4432" t="inlineStr">
        <is>
          <t xml:space="preserve">20252814036 </t>
        </is>
      </c>
      <c r="D4432" t="inlineStr">
        <is>
          <t>Gilberto Espinoza 140, Urb, Santa Anita 15008 (ALMACEN)</t>
        </is>
      </c>
      <c r="E4432" t="inlineStr">
        <is>
          <t>Lima, 02 de marzo del 2026</t>
        </is>
      </c>
      <c r="F4432" t="inlineStr">
        <is>
          <t>la Recarga y mantenimiento</t>
        </is>
      </c>
      <c r="G4432" t="n">
        <v>8</v>
      </c>
      <c r="H4432" t="inlineStr">
        <is>
          <t>12 KG</t>
        </is>
      </c>
      <c r="I4432" t="n">
        <v>2029</v>
      </c>
      <c r="J4432" t="n">
        <v>2024</v>
      </c>
      <c r="K4432" t="inlineStr">
        <is>
          <t>MARZO 2026</t>
        </is>
      </c>
      <c r="L4432" t="inlineStr">
        <is>
          <t>MARZO 2027</t>
        </is>
      </c>
      <c r="M4432" t="inlineStr">
        <is>
          <t xml:space="preserve">PQS TIPO ABC AL 75% </t>
        </is>
      </c>
      <c r="N4432" t="inlineStr">
        <is>
          <t>08/002501</t>
        </is>
      </c>
      <c r="O4432" t="inlineStr">
        <is>
          <t>R</t>
        </is>
      </c>
      <c r="P4432">
        <f>TRIM(N4432)</f>
        <v/>
      </c>
    </row>
    <row r="4433">
      <c r="A4433" t="inlineStr">
        <is>
          <t>CO-002651</t>
        </is>
      </c>
      <c r="B4433" t="inlineStr">
        <is>
          <t>PERU MASIVO - BUSES</t>
        </is>
      </c>
      <c r="C4433" t="inlineStr">
        <is>
          <t>20492392031</t>
        </is>
      </c>
      <c r="D4433" t="inlineStr">
        <is>
          <t>AV. LOS INCAS CDRA. 4 PATIO NORTE - COMAS</t>
        </is>
      </c>
      <c r="E4433" t="inlineStr">
        <is>
          <t>Lima, 03 de marzo del 2026</t>
        </is>
      </c>
      <c r="F4433" t="inlineStr">
        <is>
          <t>la Recarga y mantenimiento</t>
        </is>
      </c>
      <c r="G4433" t="inlineStr">
        <is>
          <t>01</t>
        </is>
      </c>
      <c r="H4433" t="inlineStr">
        <is>
          <t>06 KG</t>
        </is>
      </c>
      <c r="I4433" t="inlineStr">
        <is>
          <t>2029</t>
        </is>
      </c>
      <c r="J4433" t="n">
        <v>2009</v>
      </c>
      <c r="K4433" t="inlineStr">
        <is>
          <t>MARZO 2026</t>
        </is>
      </c>
      <c r="L4433" t="inlineStr">
        <is>
          <t>MARZO 2027</t>
        </is>
      </c>
      <c r="M4433" t="inlineStr">
        <is>
          <t>P.Q.S TIPO ABC AL 90 % NACIONAL</t>
        </is>
      </c>
      <c r="N4433" t="inlineStr">
        <is>
          <t>140/003215</t>
        </is>
      </c>
      <c r="O4433" t="inlineStr">
        <is>
          <t>R</t>
        </is>
      </c>
      <c r="P4433">
        <f>TRIM(N4433)</f>
        <v/>
      </c>
    </row>
    <row r="4434">
      <c r="A4434" t="inlineStr">
        <is>
          <t>CO-002651</t>
        </is>
      </c>
      <c r="B4434" t="inlineStr">
        <is>
          <t>PERU MASIVO - BUSES</t>
        </is>
      </c>
      <c r="C4434" t="inlineStr">
        <is>
          <t>20492392031</t>
        </is>
      </c>
      <c r="D4434" t="inlineStr">
        <is>
          <t>AV. LOS INCAS CDRA. 4 PATIO NORTE - COMAS</t>
        </is>
      </c>
      <c r="E4434" t="inlineStr">
        <is>
          <t>Lima, 03 de marzo del 2026</t>
        </is>
      </c>
      <c r="F4434" t="inlineStr">
        <is>
          <t>la Recarga y mantenimiento</t>
        </is>
      </c>
      <c r="G4434" t="inlineStr">
        <is>
          <t>02</t>
        </is>
      </c>
      <c r="H4434" t="inlineStr">
        <is>
          <t>06 KG</t>
        </is>
      </c>
      <c r="I4434" t="inlineStr">
        <is>
          <t>2029</t>
        </is>
      </c>
      <c r="J4434" t="n">
        <v>2009</v>
      </c>
      <c r="K4434" t="inlineStr">
        <is>
          <t>MARZO 2026</t>
        </is>
      </c>
      <c r="L4434" t="inlineStr">
        <is>
          <t>MARZO 2027</t>
        </is>
      </c>
      <c r="M4434" t="inlineStr">
        <is>
          <t>P.Q.S TIPO ABC AL 90 % NACIONAL</t>
        </is>
      </c>
      <c r="N4434" t="inlineStr">
        <is>
          <t>144/000333</t>
        </is>
      </c>
      <c r="O4434" t="inlineStr">
        <is>
          <t>R</t>
        </is>
      </c>
      <c r="P4434">
        <f>TRIM(N4434)</f>
        <v/>
      </c>
    </row>
    <row r="4435">
      <c r="A4435" t="inlineStr">
        <is>
          <t>CO-002651</t>
        </is>
      </c>
      <c r="B4435" t="inlineStr">
        <is>
          <t>PERU MASIVO - BUSES</t>
        </is>
      </c>
      <c r="C4435" t="inlineStr">
        <is>
          <t>20492392031</t>
        </is>
      </c>
      <c r="D4435" t="inlineStr">
        <is>
          <t>AV. LOS INCAS CDRA. 4 PATIO NORTE - COMAS</t>
        </is>
      </c>
      <c r="E4435" t="inlineStr">
        <is>
          <t>Lima, 03 de marzo del 2026</t>
        </is>
      </c>
      <c r="F4435" t="inlineStr">
        <is>
          <t>la Recarga y mantenimiento</t>
        </is>
      </c>
      <c r="G4435" t="inlineStr">
        <is>
          <t>03</t>
        </is>
      </c>
      <c r="H4435" t="inlineStr">
        <is>
          <t>06 KG</t>
        </is>
      </c>
      <c r="I4435" t="inlineStr">
        <is>
          <t>2029</t>
        </is>
      </c>
      <c r="J4435" t="n">
        <v>2009</v>
      </c>
      <c r="K4435" t="inlineStr">
        <is>
          <t>MARZO 2026</t>
        </is>
      </c>
      <c r="L4435" t="inlineStr">
        <is>
          <t>MARZO 2027</t>
        </is>
      </c>
      <c r="M4435" t="inlineStr">
        <is>
          <t>P.Q.S TIPO ABC AL 90 % NACIONAL</t>
        </is>
      </c>
      <c r="N4435" t="inlineStr">
        <is>
          <t>382/003327</t>
        </is>
      </c>
      <c r="O4435" t="inlineStr">
        <is>
          <t>R</t>
        </is>
      </c>
      <c r="P4435">
        <f>TRIM(N4435)</f>
        <v/>
      </c>
    </row>
    <row r="4436">
      <c r="A4436" t="inlineStr">
        <is>
          <t>CO-002651</t>
        </is>
      </c>
      <c r="B4436" t="inlineStr">
        <is>
          <t>PERU MASIVO - BUSES</t>
        </is>
      </c>
      <c r="C4436" t="inlineStr">
        <is>
          <t>20492392031</t>
        </is>
      </c>
      <c r="D4436" t="inlineStr">
        <is>
          <t>AV. LOS INCAS CDRA. 4 PATIO NORTE - COMAS</t>
        </is>
      </c>
      <c r="E4436" t="inlineStr">
        <is>
          <t>Lima, 03 de marzo del 2026</t>
        </is>
      </c>
      <c r="F4436" t="inlineStr">
        <is>
          <t>la Recarga y mantenimiento</t>
        </is>
      </c>
      <c r="G4436" t="inlineStr">
        <is>
          <t>04</t>
        </is>
      </c>
      <c r="H4436" t="inlineStr">
        <is>
          <t>06 KG</t>
        </is>
      </c>
      <c r="I4436" t="inlineStr">
        <is>
          <t>2029</t>
        </is>
      </c>
      <c r="J4436" t="n">
        <v>2009</v>
      </c>
      <c r="K4436" t="inlineStr">
        <is>
          <t>MARZO 2026</t>
        </is>
      </c>
      <c r="L4436" t="inlineStr">
        <is>
          <t>MARZO 2027</t>
        </is>
      </c>
      <c r="M4436" t="inlineStr">
        <is>
          <t>P.Q.S TIPO ABC AL 90 % NACIONAL</t>
        </is>
      </c>
      <c r="N4436" t="inlineStr">
        <is>
          <t>348/001137</t>
        </is>
      </c>
      <c r="O4436" t="inlineStr">
        <is>
          <t>R</t>
        </is>
      </c>
      <c r="P4436">
        <f>TRIM(N4436)</f>
        <v/>
      </c>
    </row>
    <row r="4437">
      <c r="A4437" t="inlineStr">
        <is>
          <t>CO-002651</t>
        </is>
      </c>
      <c r="B4437" t="inlineStr">
        <is>
          <t>PERU MASIVO - BUSES</t>
        </is>
      </c>
      <c r="C4437" t="inlineStr">
        <is>
          <t>20492392031</t>
        </is>
      </c>
      <c r="D4437" t="inlineStr">
        <is>
          <t>AV. LOS INCAS CDRA. 4 PATIO NORTE - COMAS</t>
        </is>
      </c>
      <c r="E4437" t="inlineStr">
        <is>
          <t>Lima, 03 de marzo del 2026</t>
        </is>
      </c>
      <c r="F4437" t="inlineStr">
        <is>
          <t>la Recarga y mantenimiento</t>
        </is>
      </c>
      <c r="G4437" t="inlineStr">
        <is>
          <t>05</t>
        </is>
      </c>
      <c r="H4437" t="inlineStr">
        <is>
          <t>06 KG</t>
        </is>
      </c>
      <c r="I4437" t="inlineStr">
        <is>
          <t>2029</t>
        </is>
      </c>
      <c r="J4437" t="n">
        <v>2009</v>
      </c>
      <c r="K4437" t="inlineStr">
        <is>
          <t>MARZO 2026</t>
        </is>
      </c>
      <c r="L4437" t="inlineStr">
        <is>
          <t>MARZO 2027</t>
        </is>
      </c>
      <c r="M4437" t="inlineStr">
        <is>
          <t>P.Q.S TIPO ABC AL 90 % NACIONAL</t>
        </is>
      </c>
      <c r="N4437" t="inlineStr">
        <is>
          <t>161/000569</t>
        </is>
      </c>
      <c r="O4437" t="inlineStr">
        <is>
          <t>R</t>
        </is>
      </c>
      <c r="P4437">
        <f>TRIM(N4437)</f>
        <v/>
      </c>
    </row>
    <row r="4438">
      <c r="A4438" t="inlineStr">
        <is>
          <t>CO-002651</t>
        </is>
      </c>
      <c r="B4438" t="inlineStr">
        <is>
          <t>PERU MASIVO - BUSES</t>
        </is>
      </c>
      <c r="C4438" t="inlineStr">
        <is>
          <t>20492392031</t>
        </is>
      </c>
      <c r="D4438" t="inlineStr">
        <is>
          <t>AV. LOS INCAS CDRA. 4 PATIO NORTE - COMAS</t>
        </is>
      </c>
      <c r="E4438" t="inlineStr">
        <is>
          <t>Lima, 03 de marzo del 2026</t>
        </is>
      </c>
      <c r="F4438" t="inlineStr">
        <is>
          <t>la Recarga y mantenimiento</t>
        </is>
      </c>
      <c r="G4438" t="inlineStr">
        <is>
          <t>06</t>
        </is>
      </c>
      <c r="H4438" t="inlineStr">
        <is>
          <t>06 KG</t>
        </is>
      </c>
      <c r="I4438" t="inlineStr">
        <is>
          <t>2029</t>
        </is>
      </c>
      <c r="J4438" t="n">
        <v>2017</v>
      </c>
      <c r="K4438" t="inlineStr">
        <is>
          <t>MARZO 2026</t>
        </is>
      </c>
      <c r="L4438" t="inlineStr">
        <is>
          <t>MARZO 2027</t>
        </is>
      </c>
      <c r="M4438" t="inlineStr">
        <is>
          <t>P.Q.S TIPO ABC AL 90 % NACIONAL</t>
        </is>
      </c>
      <c r="N4438" t="inlineStr">
        <is>
          <t>47/000178</t>
        </is>
      </c>
      <c r="O4438" t="inlineStr">
        <is>
          <t>R</t>
        </is>
      </c>
      <c r="P4438">
        <f>TRIM(N4438)</f>
        <v/>
      </c>
    </row>
    <row r="4439">
      <c r="A4439" t="inlineStr">
        <is>
          <t>CO-002651</t>
        </is>
      </c>
      <c r="B4439" t="inlineStr">
        <is>
          <t>PERU MASIVO - BUSES</t>
        </is>
      </c>
      <c r="C4439" t="inlineStr">
        <is>
          <t>20492392031</t>
        </is>
      </c>
      <c r="D4439" t="inlineStr">
        <is>
          <t>AV. LOS INCAS CDRA. 4 PATIO NORTE - COMAS</t>
        </is>
      </c>
      <c r="E4439" t="inlineStr">
        <is>
          <t>Lima, 03 de marzo del 2026</t>
        </is>
      </c>
      <c r="F4439" t="inlineStr">
        <is>
          <t>la Recarga y mantenimiento</t>
        </is>
      </c>
      <c r="G4439" t="inlineStr">
        <is>
          <t>07</t>
        </is>
      </c>
      <c r="H4439" t="inlineStr">
        <is>
          <t>06 KG</t>
        </is>
      </c>
      <c r="I4439" t="inlineStr">
        <is>
          <t>2029</t>
        </is>
      </c>
      <c r="J4439" t="n">
        <v>2010</v>
      </c>
      <c r="K4439" t="inlineStr">
        <is>
          <t>MARZO 2026</t>
        </is>
      </c>
      <c r="L4439" t="inlineStr">
        <is>
          <t>MARZO 2027</t>
        </is>
      </c>
      <c r="M4439" t="inlineStr">
        <is>
          <t>P.Q.S TIPO ABC AL 90 % NACIONAL</t>
        </is>
      </c>
      <c r="N4439" t="inlineStr">
        <is>
          <t>203/001605</t>
        </is>
      </c>
      <c r="O4439" t="inlineStr">
        <is>
          <t>R</t>
        </is>
      </c>
      <c r="P4439">
        <f>TRIM(N4439)</f>
        <v/>
      </c>
    </row>
    <row r="4440">
      <c r="A4440" t="inlineStr">
        <is>
          <t>CO-002651</t>
        </is>
      </c>
      <c r="B4440" t="inlineStr">
        <is>
          <t>PERU MASIVO - BUSES</t>
        </is>
      </c>
      <c r="C4440" t="inlineStr">
        <is>
          <t>20492392031</t>
        </is>
      </c>
      <c r="D4440" t="inlineStr">
        <is>
          <t>AV. LOS INCAS CDRA. 4 PATIO NORTE - COMAS</t>
        </is>
      </c>
      <c r="E4440" t="inlineStr">
        <is>
          <t>Lima, 03 de marzo del 2026</t>
        </is>
      </c>
      <c r="F4440" t="inlineStr">
        <is>
          <t>la Recarga y mantenimiento</t>
        </is>
      </c>
      <c r="G4440" t="inlineStr">
        <is>
          <t>08</t>
        </is>
      </c>
      <c r="H4440" t="inlineStr">
        <is>
          <t>06 KG</t>
        </is>
      </c>
      <c r="I4440" t="inlineStr">
        <is>
          <t>2029</t>
        </is>
      </c>
      <c r="J4440" t="n">
        <v>2010</v>
      </c>
      <c r="K4440" t="inlineStr">
        <is>
          <t>MARZO 2026</t>
        </is>
      </c>
      <c r="L4440" t="inlineStr">
        <is>
          <t>MARZO 2027</t>
        </is>
      </c>
      <c r="M4440" t="inlineStr">
        <is>
          <t>P.Q.S TIPO ABC AL 90 % NACIONAL</t>
        </is>
      </c>
      <c r="N4440" t="inlineStr">
        <is>
          <t>148/000544</t>
        </is>
      </c>
      <c r="O4440" t="inlineStr">
        <is>
          <t>R</t>
        </is>
      </c>
      <c r="P4440">
        <f>TRIM(N4440)</f>
        <v/>
      </c>
    </row>
    <row r="4441">
      <c r="A4441" t="inlineStr">
        <is>
          <t>CO-002651</t>
        </is>
      </c>
      <c r="B4441" t="inlineStr">
        <is>
          <t>PERU MASIVO - BUSES</t>
        </is>
      </c>
      <c r="C4441" t="inlineStr">
        <is>
          <t>20492392031</t>
        </is>
      </c>
      <c r="D4441" t="inlineStr">
        <is>
          <t>AV. LOS INCAS CDRA. 4 PATIO NORTE - COMAS</t>
        </is>
      </c>
      <c r="E4441" t="inlineStr">
        <is>
          <t>Lima, 03 de marzo del 2026</t>
        </is>
      </c>
      <c r="F4441" t="inlineStr">
        <is>
          <t>la Recarga y mantenimiento</t>
        </is>
      </c>
      <c r="G4441" t="inlineStr">
        <is>
          <t>09</t>
        </is>
      </c>
      <c r="H4441" t="inlineStr">
        <is>
          <t>06 KG</t>
        </is>
      </c>
      <c r="I4441" t="inlineStr">
        <is>
          <t>2029</t>
        </is>
      </c>
      <c r="J4441" t="n">
        <v>2009</v>
      </c>
      <c r="K4441" t="inlineStr">
        <is>
          <t>MARZO 2026</t>
        </is>
      </c>
      <c r="L4441" t="inlineStr">
        <is>
          <t>MARZO 2027</t>
        </is>
      </c>
      <c r="M4441" t="inlineStr">
        <is>
          <t>P.Q.S TIPO ABC AL 90 % NACIONAL</t>
        </is>
      </c>
      <c r="N4441" t="inlineStr">
        <is>
          <t>49/000944</t>
        </is>
      </c>
      <c r="O4441" t="inlineStr">
        <is>
          <t>R</t>
        </is>
      </c>
      <c r="P4441">
        <f>TRIM(N4441)</f>
        <v/>
      </c>
    </row>
    <row r="4442">
      <c r="A4442" t="inlineStr">
        <is>
          <t>CO-002651</t>
        </is>
      </c>
      <c r="B4442" t="inlineStr">
        <is>
          <t>PERU MASIVO - BUSES</t>
        </is>
      </c>
      <c r="C4442" t="inlineStr">
        <is>
          <t>20492392031</t>
        </is>
      </c>
      <c r="D4442" t="inlineStr">
        <is>
          <t>AV. LOS INCAS CDRA. 4 PATIO NORTE - COMAS</t>
        </is>
      </c>
      <c r="E4442" t="inlineStr">
        <is>
          <t>Lima, 03 de marzo del 2026</t>
        </is>
      </c>
      <c r="F4442" t="inlineStr">
        <is>
          <t>la Recarga y mantenimiento</t>
        </is>
      </c>
      <c r="G4442" t="inlineStr">
        <is>
          <t>10</t>
        </is>
      </c>
      <c r="H4442" t="inlineStr">
        <is>
          <t>06 KG</t>
        </is>
      </c>
      <c r="I4442" t="inlineStr">
        <is>
          <t>2029</t>
        </is>
      </c>
      <c r="J4442" t="n">
        <v>2010</v>
      </c>
      <c r="K4442" t="inlineStr">
        <is>
          <t>MARZO 2026</t>
        </is>
      </c>
      <c r="L4442" t="inlineStr">
        <is>
          <t>MARZO 2027</t>
        </is>
      </c>
      <c r="M4442" t="inlineStr">
        <is>
          <t>P.Q.S TIPO ABC AL 90 % NACIONAL</t>
        </is>
      </c>
      <c r="N4442" t="inlineStr">
        <is>
          <t>44/006512</t>
        </is>
      </c>
      <c r="O4442" t="inlineStr">
        <is>
          <t>R</t>
        </is>
      </c>
      <c r="P4442">
        <f>TRIM(N4442)</f>
        <v/>
      </c>
    </row>
    <row r="4443">
      <c r="A4443" t="inlineStr">
        <is>
          <t>CO-002651</t>
        </is>
      </c>
      <c r="B4443" t="inlineStr">
        <is>
          <t>PERU MASIVO - BUSES</t>
        </is>
      </c>
      <c r="C4443" t="inlineStr">
        <is>
          <t>20492392031</t>
        </is>
      </c>
      <c r="D4443" t="inlineStr">
        <is>
          <t>AV. LOS INCAS CDRA. 4 PATIO NORTE - COMAS</t>
        </is>
      </c>
      <c r="E4443" t="inlineStr">
        <is>
          <t>Lima, 03 de marzo del 2026</t>
        </is>
      </c>
      <c r="F4443" t="inlineStr">
        <is>
          <t>la Recarga y mantenimiento</t>
        </is>
      </c>
      <c r="G4443" t="inlineStr">
        <is>
          <t>11</t>
        </is>
      </c>
      <c r="H4443" t="inlineStr">
        <is>
          <t>06 KG</t>
        </is>
      </c>
      <c r="I4443" t="inlineStr">
        <is>
          <t>2029</t>
        </is>
      </c>
      <c r="J4443" t="n">
        <v>2017</v>
      </c>
      <c r="K4443" t="inlineStr">
        <is>
          <t>MARZO 2026</t>
        </is>
      </c>
      <c r="L4443" t="inlineStr">
        <is>
          <t>MARZO 2027</t>
        </is>
      </c>
      <c r="M4443" t="inlineStr">
        <is>
          <t>P.Q.S TIPO ABC AL 90 % NACIONAL</t>
        </is>
      </c>
      <c r="N4443" t="inlineStr">
        <is>
          <t>39/000287</t>
        </is>
      </c>
      <c r="O4443" t="inlineStr">
        <is>
          <t>R</t>
        </is>
      </c>
      <c r="P4443">
        <f>TRIM(N4443)</f>
        <v/>
      </c>
    </row>
    <row r="4444">
      <c r="A4444" t="inlineStr">
        <is>
          <t>CO-002652</t>
        </is>
      </c>
      <c r="B4444" t="inlineStr">
        <is>
          <t>RESITER PERU SAC</t>
        </is>
      </c>
      <c r="C4444" t="inlineStr">
        <is>
          <t xml:space="preserve">20537921464 </t>
        </is>
      </c>
      <c r="D4444" t="inlineStr">
        <is>
          <t>MINERA NEXA CAJAMARQUILLA</t>
        </is>
      </c>
      <c r="E4444" t="inlineStr">
        <is>
          <t>Lima, 09 de marzo del 2026</t>
        </is>
      </c>
      <c r="F4444" t="inlineStr">
        <is>
          <t>la Recarga y mantenimiento</t>
        </is>
      </c>
      <c r="G4444" t="n">
        <v>1</v>
      </c>
      <c r="H4444" t="inlineStr">
        <is>
          <t>12 KG</t>
        </is>
      </c>
      <c r="I4444" t="n">
        <v>2030</v>
      </c>
      <c r="J4444" t="n">
        <v>2025</v>
      </c>
      <c r="K4444" t="inlineStr">
        <is>
          <t>MARZO 2026</t>
        </is>
      </c>
      <c r="L4444" t="inlineStr">
        <is>
          <t>MARZO 2027</t>
        </is>
      </c>
      <c r="M4444" t="inlineStr">
        <is>
          <t xml:space="preserve">PQS TIPO ABC AL 75% </t>
        </is>
      </c>
      <c r="N4444" t="inlineStr">
        <is>
          <t>001114</t>
        </is>
      </c>
      <c r="O4444" t="inlineStr">
        <is>
          <t>R</t>
        </is>
      </c>
      <c r="P4444">
        <f>TRIM(N4444)</f>
        <v/>
      </c>
    </row>
    <row r="4445">
      <c r="A4445" t="inlineStr">
        <is>
          <t>CO-002652</t>
        </is>
      </c>
      <c r="B4445" t="inlineStr">
        <is>
          <t>RESITER PERU SAC</t>
        </is>
      </c>
      <c r="C4445" t="inlineStr">
        <is>
          <t xml:space="preserve">20537921464 </t>
        </is>
      </c>
      <c r="D4445" t="inlineStr">
        <is>
          <t>MINERA NEXA CAJAMARQUILLA</t>
        </is>
      </c>
      <c r="E4445" t="inlineStr">
        <is>
          <t>Lima, 09 de marzo del 2026</t>
        </is>
      </c>
      <c r="F4445" t="inlineStr">
        <is>
          <t>la Recarga y mantenimiento</t>
        </is>
      </c>
      <c r="G4445" t="inlineStr">
        <is>
          <t>02</t>
        </is>
      </c>
      <c r="H4445" t="inlineStr">
        <is>
          <t>12 KG</t>
        </is>
      </c>
      <c r="I4445" t="inlineStr">
        <is>
          <t>2030</t>
        </is>
      </c>
      <c r="J4445" t="inlineStr">
        <is>
          <t>2025</t>
        </is>
      </c>
      <c r="K4445" t="inlineStr">
        <is>
          <t>MARZO 2026</t>
        </is>
      </c>
      <c r="L4445" t="inlineStr">
        <is>
          <t>MARZO 2027</t>
        </is>
      </c>
      <c r="M4445" t="inlineStr">
        <is>
          <t xml:space="preserve">PQS TIPO ABC AL 75% </t>
        </is>
      </c>
      <c r="N4445" t="inlineStr">
        <is>
          <t>008252</t>
        </is>
      </c>
      <c r="O4445" t="inlineStr">
        <is>
          <t>R</t>
        </is>
      </c>
      <c r="P4445">
        <f>TRIM(N4445)</f>
        <v/>
      </c>
    </row>
    <row r="4446">
      <c r="A4446" t="inlineStr">
        <is>
          <t>CO-002652</t>
        </is>
      </c>
      <c r="B4446" t="inlineStr">
        <is>
          <t>RESITER PERU SAC</t>
        </is>
      </c>
      <c r="C4446" t="inlineStr">
        <is>
          <t xml:space="preserve">20537921464 </t>
        </is>
      </c>
      <c r="D4446" t="inlineStr">
        <is>
          <t>MINERA NEXA CAJAMARQUILLA</t>
        </is>
      </c>
      <c r="E4446" t="inlineStr">
        <is>
          <t>Lima, 09 de marzo del 2026</t>
        </is>
      </c>
      <c r="F4446" t="inlineStr">
        <is>
          <t>la Recarga y mantenimiento</t>
        </is>
      </c>
      <c r="G4446" t="inlineStr">
        <is>
          <t>03</t>
        </is>
      </c>
      <c r="H4446" t="inlineStr">
        <is>
          <t>12 KG</t>
        </is>
      </c>
      <c r="I4446" t="n">
        <v>2029</v>
      </c>
      <c r="J4446" t="n">
        <v>2024</v>
      </c>
      <c r="K4446" t="inlineStr">
        <is>
          <t>MARZO 2026</t>
        </is>
      </c>
      <c r="L4446" t="inlineStr">
        <is>
          <t>MARZO 2027</t>
        </is>
      </c>
      <c r="M4446" t="inlineStr">
        <is>
          <t xml:space="preserve">PQS TIPO ABC AL 75% </t>
        </is>
      </c>
      <c r="N4446" t="inlineStr">
        <is>
          <t>013950</t>
        </is>
      </c>
      <c r="O4446" t="inlineStr">
        <is>
          <t>R</t>
        </is>
      </c>
      <c r="P4446">
        <f>TRIM(N4446)</f>
        <v/>
      </c>
    </row>
    <row r="4447">
      <c r="A4447" t="inlineStr">
        <is>
          <t>CO-002652</t>
        </is>
      </c>
      <c r="B4447" t="inlineStr">
        <is>
          <t>RESITER PERU SAC</t>
        </is>
      </c>
      <c r="C4447" t="inlineStr">
        <is>
          <t xml:space="preserve">20537921464 </t>
        </is>
      </c>
      <c r="D4447" t="inlineStr">
        <is>
          <t>MINERA NEXA CAJAMARQUILLA</t>
        </is>
      </c>
      <c r="E4447" t="inlineStr">
        <is>
          <t>Lima, 09 de marzo del 2026</t>
        </is>
      </c>
      <c r="F4447" t="inlineStr">
        <is>
          <t>la Recarga y mantenimiento</t>
        </is>
      </c>
      <c r="G4447" t="inlineStr">
        <is>
          <t>04</t>
        </is>
      </c>
      <c r="H4447" t="inlineStr">
        <is>
          <t>12 KG</t>
        </is>
      </c>
      <c r="I4447" t="inlineStr">
        <is>
          <t>2029</t>
        </is>
      </c>
      <c r="J4447" t="inlineStr">
        <is>
          <t>2024</t>
        </is>
      </c>
      <c r="K4447" t="inlineStr">
        <is>
          <t>MARZO 2026</t>
        </is>
      </c>
      <c r="L4447" t="inlineStr">
        <is>
          <t>MARZO 2027</t>
        </is>
      </c>
      <c r="M4447" t="inlineStr">
        <is>
          <t xml:space="preserve">PQS TIPO ABC AL 75% </t>
        </is>
      </c>
      <c r="N4447" t="inlineStr">
        <is>
          <t>002570</t>
        </is>
      </c>
      <c r="O4447" t="inlineStr">
        <is>
          <t>R</t>
        </is>
      </c>
      <c r="P4447">
        <f>TRIM(N4447)</f>
        <v/>
      </c>
    </row>
    <row r="4448">
      <c r="A4448" t="inlineStr">
        <is>
          <t>CO-002652</t>
        </is>
      </c>
      <c r="B4448" t="inlineStr">
        <is>
          <t>RESITER PERU SAC</t>
        </is>
      </c>
      <c r="C4448" t="inlineStr">
        <is>
          <t xml:space="preserve">20537921464 </t>
        </is>
      </c>
      <c r="D4448" t="inlineStr">
        <is>
          <t>MINERA NEXA CAJAMARQUILLA</t>
        </is>
      </c>
      <c r="E4448" t="inlineStr">
        <is>
          <t>Lima, 09 de marzo del 2026</t>
        </is>
      </c>
      <c r="F4448" t="inlineStr">
        <is>
          <t>la Recarga y mantenimiento</t>
        </is>
      </c>
      <c r="G4448" t="inlineStr">
        <is>
          <t>05</t>
        </is>
      </c>
      <c r="H4448" t="inlineStr">
        <is>
          <t>06 KG</t>
        </is>
      </c>
      <c r="I4448" t="inlineStr">
        <is>
          <t>2029</t>
        </is>
      </c>
      <c r="J4448" t="inlineStr">
        <is>
          <t>2024</t>
        </is>
      </c>
      <c r="K4448" t="inlineStr">
        <is>
          <t>MARZO 2026</t>
        </is>
      </c>
      <c r="L4448" t="inlineStr">
        <is>
          <t>MARZO 2027</t>
        </is>
      </c>
      <c r="M4448" t="inlineStr">
        <is>
          <t xml:space="preserve">PQS TIPO ABC AL 75% </t>
        </is>
      </c>
      <c r="N4448" t="inlineStr">
        <is>
          <t>003407</t>
        </is>
      </c>
      <c r="O4448" t="inlineStr">
        <is>
          <t>R</t>
        </is>
      </c>
      <c r="P4448">
        <f>TRIM(N4448)</f>
        <v/>
      </c>
    </row>
    <row r="4449">
      <c r="A4449" t="inlineStr">
        <is>
          <t>CO-002653</t>
        </is>
      </c>
      <c r="B4449" t="inlineStr">
        <is>
          <t>SODEXO - HUB DE PRODUCCION</t>
        </is>
      </c>
      <c r="C4449" t="inlineStr">
        <is>
          <t>20414766308</t>
        </is>
      </c>
      <c r="D4449" t="inlineStr">
        <is>
          <t>AV LOS FRUTALES 220 ATE</t>
        </is>
      </c>
      <c r="E4449" t="inlineStr">
        <is>
          <t>Lima, 09 de marzo del 2026</t>
        </is>
      </c>
      <c r="F4449" t="inlineStr">
        <is>
          <t>la Recarga y mantenimiento</t>
        </is>
      </c>
      <c r="G4449" t="inlineStr">
        <is>
          <t>01</t>
        </is>
      </c>
      <c r="H4449" t="inlineStr">
        <is>
          <t>10 LBS</t>
        </is>
      </c>
      <c r="I4449" t="inlineStr">
        <is>
          <t>2029</t>
        </is>
      </c>
      <c r="J4449" t="n">
        <v>2020</v>
      </c>
      <c r="K4449" t="inlineStr">
        <is>
          <t>MARZO 2026</t>
        </is>
      </c>
      <c r="L4449" t="inlineStr">
        <is>
          <t>MARZO 2027</t>
        </is>
      </c>
      <c r="M4449" t="inlineStr">
        <is>
          <t>P.Q.S.  TIPO ABC AL 90% UL</t>
        </is>
      </c>
      <c r="N4449" t="inlineStr">
        <is>
          <t>01/G09014474</t>
        </is>
      </c>
      <c r="O4449" t="inlineStr">
        <is>
          <t>M3</t>
        </is>
      </c>
      <c r="P4449">
        <f>TRIM(N4449)</f>
        <v/>
      </c>
    </row>
    <row r="4450">
      <c r="A4450" t="inlineStr">
        <is>
          <t>CO-002653</t>
        </is>
      </c>
      <c r="B4450" t="inlineStr">
        <is>
          <t>SODEXO - HUB DE PRODUCCION</t>
        </is>
      </c>
      <c r="C4450" t="inlineStr">
        <is>
          <t>20414766308</t>
        </is>
      </c>
      <c r="D4450" t="inlineStr">
        <is>
          <t>AV LOS FRUTALES 220 ATE</t>
        </is>
      </c>
      <c r="E4450" t="inlineStr">
        <is>
          <t>Lima, 09 de marzo del 2026</t>
        </is>
      </c>
      <c r="F4450" t="inlineStr">
        <is>
          <t>la Recarga y mantenimiento</t>
        </is>
      </c>
      <c r="G4450" t="inlineStr">
        <is>
          <t>02</t>
        </is>
      </c>
      <c r="H4450" t="inlineStr">
        <is>
          <t>06 KG</t>
        </is>
      </c>
      <c r="I4450" t="inlineStr">
        <is>
          <t>2029</t>
        </is>
      </c>
      <c r="J4450" t="n">
        <v>2020</v>
      </c>
      <c r="K4450" t="inlineStr">
        <is>
          <t>MARZO 2026</t>
        </is>
      </c>
      <c r="L4450" t="inlineStr">
        <is>
          <t>MARZO 2027</t>
        </is>
      </c>
      <c r="M4450" t="inlineStr">
        <is>
          <t>P.Q.S.  TIPO ABC AL 90% UL</t>
        </is>
      </c>
      <c r="N4450" t="inlineStr">
        <is>
          <t>02/003004</t>
        </is>
      </c>
      <c r="O4450" t="inlineStr">
        <is>
          <t>R</t>
        </is>
      </c>
      <c r="P4450">
        <f>TRIM(N4450)</f>
        <v/>
      </c>
    </row>
    <row r="4451">
      <c r="A4451" t="inlineStr">
        <is>
          <t>CO-002653</t>
        </is>
      </c>
      <c r="B4451" t="inlineStr">
        <is>
          <t>SODEXO - HUB DE PRODUCCION</t>
        </is>
      </c>
      <c r="C4451" t="inlineStr">
        <is>
          <t>20414766308</t>
        </is>
      </c>
      <c r="D4451" t="inlineStr">
        <is>
          <t>AV LOS FRUTALES 220 ATE</t>
        </is>
      </c>
      <c r="E4451" t="inlineStr">
        <is>
          <t>Lima, 09 de marzo del 2026</t>
        </is>
      </c>
      <c r="F4451" t="inlineStr">
        <is>
          <t>la Recarga y mantenimiento</t>
        </is>
      </c>
      <c r="G4451" t="inlineStr">
        <is>
          <t>03</t>
        </is>
      </c>
      <c r="H4451" t="inlineStr">
        <is>
          <t>10 LBS</t>
        </is>
      </c>
      <c r="I4451" t="inlineStr">
        <is>
          <t>2030</t>
        </is>
      </c>
      <c r="J4451" t="n">
        <v>2020</v>
      </c>
      <c r="K4451" t="inlineStr">
        <is>
          <t>MARZO 2026</t>
        </is>
      </c>
      <c r="L4451" t="inlineStr">
        <is>
          <t>MARZO 2027</t>
        </is>
      </c>
      <c r="M4451" t="inlineStr">
        <is>
          <t>CO2  TIPO BC</t>
        </is>
      </c>
      <c r="N4451" t="inlineStr">
        <is>
          <t>03/695600</t>
        </is>
      </c>
      <c r="O4451" t="inlineStr">
        <is>
          <t>R</t>
        </is>
      </c>
      <c r="P4451">
        <f>TRIM(N4451)</f>
        <v/>
      </c>
    </row>
    <row r="4452">
      <c r="A4452" t="inlineStr">
        <is>
          <t>CO-002653</t>
        </is>
      </c>
      <c r="B4452" t="inlineStr">
        <is>
          <t>SODEXO - HUB DE PRODUCCION</t>
        </is>
      </c>
      <c r="C4452" t="inlineStr">
        <is>
          <t>20414766308</t>
        </is>
      </c>
      <c r="D4452" t="inlineStr">
        <is>
          <t>AV LOS FRUTALES 220 ATE</t>
        </is>
      </c>
      <c r="E4452" t="inlineStr">
        <is>
          <t>Lima, 09 de marzo del 2026</t>
        </is>
      </c>
      <c r="F4452" t="inlineStr">
        <is>
          <t>la Recarga y mantenimiento</t>
        </is>
      </c>
      <c r="G4452" t="inlineStr">
        <is>
          <t>04</t>
        </is>
      </c>
      <c r="H4452" t="inlineStr">
        <is>
          <t>10 LBS</t>
        </is>
      </c>
      <c r="I4452" t="inlineStr">
        <is>
          <t>2030</t>
        </is>
      </c>
      <c r="J4452" t="n">
        <v>2020</v>
      </c>
      <c r="K4452" t="inlineStr">
        <is>
          <t>MARZO 2026</t>
        </is>
      </c>
      <c r="L4452" t="inlineStr">
        <is>
          <t>MARZO 2027</t>
        </is>
      </c>
      <c r="M4452" t="inlineStr">
        <is>
          <t>CO2  TIPO BC</t>
        </is>
      </c>
      <c r="N4452" t="inlineStr">
        <is>
          <t>04/743028</t>
        </is>
      </c>
      <c r="O4452" t="inlineStr">
        <is>
          <t>R</t>
        </is>
      </c>
      <c r="P4452">
        <f>TRIM(N4452)</f>
        <v/>
      </c>
    </row>
    <row r="4453">
      <c r="A4453" t="inlineStr">
        <is>
          <t>CO-002653</t>
        </is>
      </c>
      <c r="B4453" t="inlineStr">
        <is>
          <t>SODEXO - HUB DE PRODUCCION</t>
        </is>
      </c>
      <c r="C4453" t="inlineStr">
        <is>
          <t>20414766308</t>
        </is>
      </c>
      <c r="D4453" t="inlineStr">
        <is>
          <t>AV LOS FRUTALES 220 ATE</t>
        </is>
      </c>
      <c r="E4453" t="inlineStr">
        <is>
          <t>Lima, 09 de marzo del 2026</t>
        </is>
      </c>
      <c r="F4453" t="inlineStr">
        <is>
          <t>la Recarga y mantenimiento</t>
        </is>
      </c>
      <c r="G4453" t="inlineStr">
        <is>
          <t>05</t>
        </is>
      </c>
      <c r="H4453" t="inlineStr">
        <is>
          <t>2.5 GLS</t>
        </is>
      </c>
      <c r="I4453" t="inlineStr">
        <is>
          <t>2026</t>
        </is>
      </c>
      <c r="J4453" t="n">
        <v>2021</v>
      </c>
      <c r="K4453" t="inlineStr">
        <is>
          <t>MARZO 2026</t>
        </is>
      </c>
      <c r="L4453" t="inlineStr">
        <is>
          <t>MARZO 2027</t>
        </is>
      </c>
      <c r="M4453" t="inlineStr">
        <is>
          <t>ACETATO DE POTASIO TIPO K</t>
        </is>
      </c>
      <c r="N4453" t="inlineStr">
        <is>
          <t>05/000074</t>
        </is>
      </c>
      <c r="O4453" t="inlineStr">
        <is>
          <t>R</t>
        </is>
      </c>
      <c r="P4453">
        <f>TRIM(N4453)</f>
        <v/>
      </c>
    </row>
    <row r="4454">
      <c r="A4454" t="inlineStr">
        <is>
          <t>CO-002654</t>
        </is>
      </c>
      <c r="B4454" t="inlineStr">
        <is>
          <t>INVERSIONES TELCOTEL SAC</t>
        </is>
      </c>
      <c r="C4454" t="inlineStr">
        <is>
          <t>20549846000</t>
        </is>
      </c>
      <c r="D4454" t="inlineStr">
        <is>
          <t xml:space="preserve">INDEPENDENCIA </t>
        </is>
      </c>
      <c r="E4454" t="inlineStr">
        <is>
          <t>Lima, 09 de marzo del 2026</t>
        </is>
      </c>
      <c r="F4454" t="inlineStr">
        <is>
          <t>la Recarga y mantenimiento</t>
        </is>
      </c>
      <c r="G4454" t="inlineStr">
        <is>
          <t>01</t>
        </is>
      </c>
      <c r="H4454" t="inlineStr">
        <is>
          <t>05 LBS</t>
        </is>
      </c>
      <c r="I4454" t="inlineStr">
        <is>
          <t>2031</t>
        </is>
      </c>
      <c r="J4454" t="inlineStr">
        <is>
          <t>2018</t>
        </is>
      </c>
      <c r="K4454" t="inlineStr">
        <is>
          <t>MARZO 2026</t>
        </is>
      </c>
      <c r="L4454" t="inlineStr">
        <is>
          <t>MARZO 2027</t>
        </is>
      </c>
      <c r="M4454" t="inlineStr">
        <is>
          <t>CO2 TIPO BC</t>
        </is>
      </c>
      <c r="N4454" t="inlineStr">
        <is>
          <t>025659</t>
        </is>
      </c>
      <c r="O4454" t="inlineStr">
        <is>
          <t>R</t>
        </is>
      </c>
      <c r="P4454">
        <f>TRIM(N4454)</f>
        <v/>
      </c>
    </row>
    <row r="4455">
      <c r="A4455" t="inlineStr">
        <is>
          <t>CO-002654</t>
        </is>
      </c>
      <c r="B4455" t="inlineStr">
        <is>
          <t>INVERSIONES TELCOTEL SAC</t>
        </is>
      </c>
      <c r="C4455" t="inlineStr">
        <is>
          <t>20549846000</t>
        </is>
      </c>
      <c r="D4455" t="inlineStr">
        <is>
          <t xml:space="preserve">INDEPENDENCIA </t>
        </is>
      </c>
      <c r="E4455" t="inlineStr">
        <is>
          <t>Lima, 09 de marzo del 2026</t>
        </is>
      </c>
      <c r="F4455" t="inlineStr">
        <is>
          <t>la Recarga y mantenimiento</t>
        </is>
      </c>
      <c r="G4455" t="inlineStr">
        <is>
          <t>02</t>
        </is>
      </c>
      <c r="H4455" t="inlineStr">
        <is>
          <t>05 LBS</t>
        </is>
      </c>
      <c r="I4455" t="inlineStr">
        <is>
          <t>2031</t>
        </is>
      </c>
      <c r="J4455" t="inlineStr">
        <is>
          <t>2018</t>
        </is>
      </c>
      <c r="K4455" t="inlineStr">
        <is>
          <t>MARZO 2026</t>
        </is>
      </c>
      <c r="L4455" t="inlineStr">
        <is>
          <t>MARZO 2027</t>
        </is>
      </c>
      <c r="M4455" t="inlineStr">
        <is>
          <t>CO2 TIPO BC</t>
        </is>
      </c>
      <c r="N4455" t="inlineStr">
        <is>
          <t>025325</t>
        </is>
      </c>
      <c r="O4455" t="inlineStr">
        <is>
          <t>R</t>
        </is>
      </c>
      <c r="P4455">
        <f>TRIM(N4455)</f>
        <v/>
      </c>
    </row>
    <row r="4456">
      <c r="A4456" t="inlineStr">
        <is>
          <t>CO-002654</t>
        </is>
      </c>
      <c r="B4456" t="inlineStr">
        <is>
          <t>INVERSIONES TELCOTEL SAC</t>
        </is>
      </c>
      <c r="C4456" t="inlineStr">
        <is>
          <t>20549846000</t>
        </is>
      </c>
      <c r="D4456" t="inlineStr">
        <is>
          <t xml:space="preserve">INDEPENDENCIA </t>
        </is>
      </c>
      <c r="E4456" t="inlineStr">
        <is>
          <t>Lima, 09 de marzo del 2026</t>
        </is>
      </c>
      <c r="F4456" t="inlineStr">
        <is>
          <t>la Recarga y mantenimiento</t>
        </is>
      </c>
      <c r="G4456" t="inlineStr">
        <is>
          <t>03</t>
        </is>
      </c>
      <c r="H4456" t="inlineStr">
        <is>
          <t>06 KG</t>
        </is>
      </c>
      <c r="I4456" t="inlineStr">
        <is>
          <t>2031</t>
        </is>
      </c>
      <c r="J4456" t="inlineStr">
        <is>
          <t>2017</t>
        </is>
      </c>
      <c r="K4456" t="inlineStr">
        <is>
          <t>MARZO 2026</t>
        </is>
      </c>
      <c r="L4456" t="inlineStr">
        <is>
          <t>MARZO 2027</t>
        </is>
      </c>
      <c r="M4456" t="inlineStr">
        <is>
          <t xml:space="preserve">PQS TIPO BC  </t>
        </is>
      </c>
      <c r="N4456" t="inlineStr">
        <is>
          <t>003506</t>
        </is>
      </c>
      <c r="O4456" t="inlineStr">
        <is>
          <t>R</t>
        </is>
      </c>
      <c r="P4456">
        <f>TRIM(N4456)</f>
        <v/>
      </c>
    </row>
    <row r="4457">
      <c r="A4457" t="inlineStr">
        <is>
          <t>CO-002655</t>
        </is>
      </c>
      <c r="B4457" t="inlineStr">
        <is>
          <t>PERU MASIVO - BUSES</t>
        </is>
      </c>
      <c r="C4457" t="inlineStr">
        <is>
          <t>20492392031</t>
        </is>
      </c>
      <c r="D4457" t="inlineStr">
        <is>
          <t>AV. LOS INCAS CDRA. 4 PATIO NORTE - COMAS</t>
        </is>
      </c>
      <c r="E4457" t="inlineStr">
        <is>
          <t>Lima, 10 de marzo del 2026</t>
        </is>
      </c>
      <c r="F4457" t="inlineStr">
        <is>
          <t>la Recarga y mantenimiento</t>
        </is>
      </c>
      <c r="G4457" t="inlineStr">
        <is>
          <t>01</t>
        </is>
      </c>
      <c r="H4457" t="inlineStr">
        <is>
          <t>06 KG</t>
        </is>
      </c>
      <c r="I4457" t="inlineStr">
        <is>
          <t>2029</t>
        </is>
      </c>
      <c r="J4457" t="n">
        <v>2017</v>
      </c>
      <c r="K4457" t="inlineStr">
        <is>
          <t>MARZO 2026</t>
        </is>
      </c>
      <c r="L4457" t="inlineStr">
        <is>
          <t>MARZO 2027</t>
        </is>
      </c>
      <c r="M4457" t="inlineStr">
        <is>
          <t>P.Q.S TIPO ABC AL 90 % NACIONAL</t>
        </is>
      </c>
      <c r="N4457" t="inlineStr">
        <is>
          <t>125/003890</t>
        </is>
      </c>
      <c r="O4457" t="inlineStr">
        <is>
          <t>R</t>
        </is>
      </c>
      <c r="P4457">
        <f>TRIM(N4457)</f>
        <v/>
      </c>
    </row>
    <row r="4458">
      <c r="A4458" t="inlineStr">
        <is>
          <t>CO-002655</t>
        </is>
      </c>
      <c r="B4458" t="inlineStr">
        <is>
          <t>PERU MASIVO - BUSES</t>
        </is>
      </c>
      <c r="C4458" t="inlineStr">
        <is>
          <t>20492392031</t>
        </is>
      </c>
      <c r="D4458" t="inlineStr">
        <is>
          <t>AV. LOS INCAS CDRA. 4 PATIO NORTE - COMAS</t>
        </is>
      </c>
      <c r="E4458" t="inlineStr">
        <is>
          <t>Lima, 10 de marzo del 2026</t>
        </is>
      </c>
      <c r="F4458" t="inlineStr">
        <is>
          <t>la Recarga y mantenimiento</t>
        </is>
      </c>
      <c r="G4458" t="n">
        <v>3</v>
      </c>
      <c r="O4458" t="inlineStr">
        <is>
          <t>R</t>
        </is>
      </c>
      <c r="P4458">
        <f>TRIM(N4458)</f>
        <v/>
      </c>
    </row>
    <row r="4459">
      <c r="A4459" t="inlineStr">
        <is>
          <t>CO-002655</t>
        </is>
      </c>
      <c r="B4459" t="inlineStr">
        <is>
          <t>PERU MASIVO - BUSES</t>
        </is>
      </c>
      <c r="C4459" t="inlineStr">
        <is>
          <t>20492392031</t>
        </is>
      </c>
      <c r="D4459" t="inlineStr">
        <is>
          <t>AV. LOS INCAS CDRA. 4 PATIO NORTE - COMAS</t>
        </is>
      </c>
      <c r="E4459" t="inlineStr">
        <is>
          <t>Lima, 10 de marzo del 2026</t>
        </is>
      </c>
      <c r="F4459" t="inlineStr">
        <is>
          <t>la Recarga y mantenimiento</t>
        </is>
      </c>
      <c r="G4459" t="inlineStr">
        <is>
          <t>04</t>
        </is>
      </c>
      <c r="H4459" t="inlineStr">
        <is>
          <t>6KG</t>
        </is>
      </c>
      <c r="I4459" t="inlineStr">
        <is>
          <t>2029</t>
        </is>
      </c>
      <c r="J4459" t="inlineStr">
        <is>
          <t>2010</t>
        </is>
      </c>
      <c r="K4459" t="inlineStr">
        <is>
          <t>MARZO 2026</t>
        </is>
      </c>
      <c r="L4459" t="inlineStr">
        <is>
          <t>MARZO 2027</t>
        </is>
      </c>
      <c r="M4459" t="inlineStr">
        <is>
          <t>P.Q.S TIPO ABC AL 90 % NACIONAL</t>
        </is>
      </c>
      <c r="N4459" t="inlineStr">
        <is>
          <t>153/000005</t>
        </is>
      </c>
      <c r="O4459" t="inlineStr">
        <is>
          <t>R</t>
        </is>
      </c>
      <c r="P4459">
        <f>TRIM(N4459)</f>
        <v/>
      </c>
    </row>
    <row r="4460">
      <c r="A4460" t="inlineStr">
        <is>
          <t>CO-002655</t>
        </is>
      </c>
      <c r="B4460" t="inlineStr">
        <is>
          <t>PERU MASIVO - BUSES</t>
        </is>
      </c>
      <c r="C4460" t="inlineStr">
        <is>
          <t>20492392031</t>
        </is>
      </c>
      <c r="D4460" t="inlineStr">
        <is>
          <t>AV. LOS INCAS CDRA. 4 PATIO NORTE - COMAS</t>
        </is>
      </c>
      <c r="E4460" t="inlineStr">
        <is>
          <t>Lima, 10 de marzo del 2026</t>
        </is>
      </c>
      <c r="F4460" t="inlineStr">
        <is>
          <t>la Recarga y mantenimiento</t>
        </is>
      </c>
      <c r="G4460" t="inlineStr">
        <is>
          <t>05</t>
        </is>
      </c>
      <c r="H4460" t="inlineStr">
        <is>
          <t>6KG</t>
        </is>
      </c>
      <c r="I4460" t="inlineStr">
        <is>
          <t>2029</t>
        </is>
      </c>
      <c r="J4460" t="inlineStr">
        <is>
          <t>2017</t>
        </is>
      </c>
      <c r="K4460" t="inlineStr">
        <is>
          <t>MARZO 2026</t>
        </is>
      </c>
      <c r="L4460" t="inlineStr">
        <is>
          <t>MARZO 2027</t>
        </is>
      </c>
      <c r="M4460" t="inlineStr">
        <is>
          <t>P.Q.S TIPO ABC AL 90 % NACIONAL</t>
        </is>
      </c>
      <c r="N4460" t="inlineStr">
        <is>
          <t>53/004208</t>
        </is>
      </c>
      <c r="O4460" t="inlineStr">
        <is>
          <t>R</t>
        </is>
      </c>
      <c r="P4460">
        <f>TRIM(N4460)</f>
        <v/>
      </c>
    </row>
    <row r="4461">
      <c r="A4461" t="inlineStr">
        <is>
          <t>CO-002655</t>
        </is>
      </c>
      <c r="B4461" t="inlineStr">
        <is>
          <t>PERU MASIVO - BUSES</t>
        </is>
      </c>
      <c r="C4461" t="inlineStr">
        <is>
          <t>20492392031</t>
        </is>
      </c>
      <c r="D4461" t="inlineStr">
        <is>
          <t>AV. LOS INCAS CDRA. 4 PATIO NORTE - COMAS</t>
        </is>
      </c>
      <c r="E4461" t="inlineStr">
        <is>
          <t>Lima, 10 de marzo del 2026</t>
        </is>
      </c>
      <c r="F4461" t="inlineStr">
        <is>
          <t>la Recarga y mantenimiento</t>
        </is>
      </c>
      <c r="G4461" t="n">
        <v>6</v>
      </c>
      <c r="O4461" t="inlineStr">
        <is>
          <t>R</t>
        </is>
      </c>
      <c r="P4461">
        <f>TRIM(N4461)</f>
        <v/>
      </c>
    </row>
    <row r="4462">
      <c r="A4462" t="inlineStr">
        <is>
          <t>CO-002655</t>
        </is>
      </c>
      <c r="B4462" t="inlineStr">
        <is>
          <t>PERU MASIVO - BUSES</t>
        </is>
      </c>
      <c r="C4462" t="inlineStr">
        <is>
          <t>20492392031</t>
        </is>
      </c>
      <c r="D4462" t="inlineStr">
        <is>
          <t>AV. LOS INCAS CDRA. 4 PATIO NORTE - COMAS</t>
        </is>
      </c>
      <c r="E4462" t="inlineStr">
        <is>
          <t>Lima, 10 de marzo del 2026</t>
        </is>
      </c>
      <c r="F4462" t="inlineStr">
        <is>
          <t>la Recarga y mantenimiento</t>
        </is>
      </c>
      <c r="G4462" t="inlineStr">
        <is>
          <t>07</t>
        </is>
      </c>
      <c r="H4462" t="inlineStr">
        <is>
          <t>6KG</t>
        </is>
      </c>
      <c r="I4462" t="inlineStr">
        <is>
          <t>2029</t>
        </is>
      </c>
      <c r="J4462" t="inlineStr">
        <is>
          <t>2010</t>
        </is>
      </c>
      <c r="K4462" t="inlineStr">
        <is>
          <t>MARZO 2026</t>
        </is>
      </c>
      <c r="L4462" t="inlineStr">
        <is>
          <t>MARZO 2027</t>
        </is>
      </c>
      <c r="M4462" t="inlineStr">
        <is>
          <t>P.Q.S TIPO ABC AL 90 % NACIONAL</t>
        </is>
      </c>
      <c r="N4462" t="inlineStr">
        <is>
          <t>166/002216</t>
        </is>
      </c>
      <c r="O4462" t="inlineStr">
        <is>
          <t>R</t>
        </is>
      </c>
      <c r="P4462">
        <f>TRIM(N4462)</f>
        <v/>
      </c>
    </row>
    <row r="4463">
      <c r="A4463" t="inlineStr">
        <is>
          <t>CO-002656</t>
        </is>
      </c>
      <c r="B4463" t="inlineStr">
        <is>
          <t>PERU MASIVO - BUSES</t>
        </is>
      </c>
      <c r="C4463" t="inlineStr">
        <is>
          <t>20492392031</t>
        </is>
      </c>
      <c r="D4463" t="inlineStr">
        <is>
          <t>AV. LOS INCAS CDRA. 4 PATIO NORTE - COMAS</t>
        </is>
      </c>
      <c r="E4463" t="inlineStr">
        <is>
          <t>Lima, 11 de marzo del 2026</t>
        </is>
      </c>
      <c r="F4463" t="inlineStr">
        <is>
          <t>la Recarga y mantenimiento</t>
        </is>
      </c>
      <c r="G4463" t="inlineStr">
        <is>
          <t>01</t>
        </is>
      </c>
      <c r="H4463" t="inlineStr">
        <is>
          <t>6KG</t>
        </is>
      </c>
      <c r="I4463" t="inlineStr">
        <is>
          <t>2028</t>
        </is>
      </c>
      <c r="J4463" t="inlineStr">
        <is>
          <t>2010</t>
        </is>
      </c>
      <c r="K4463" t="inlineStr">
        <is>
          <t>MARZO 2026</t>
        </is>
      </c>
      <c r="L4463" t="inlineStr">
        <is>
          <t>MARZO 2027</t>
        </is>
      </c>
      <c r="M4463" t="inlineStr">
        <is>
          <t>P.Q.S TIPO ABC AL 90 % NACIONAL</t>
        </is>
      </c>
      <c r="N4463" t="inlineStr">
        <is>
          <t>105/000033</t>
        </is>
      </c>
      <c r="O4463" t="inlineStr">
        <is>
          <t>R</t>
        </is>
      </c>
      <c r="P4463">
        <f>TRIM(N4463)</f>
        <v/>
      </c>
    </row>
    <row r="4464">
      <c r="A4464" t="inlineStr">
        <is>
          <t>CO-002656</t>
        </is>
      </c>
      <c r="B4464" t="inlineStr">
        <is>
          <t>PERU MASIVO - BUSES</t>
        </is>
      </c>
      <c r="C4464" t="inlineStr">
        <is>
          <t>20492392031</t>
        </is>
      </c>
      <c r="D4464" t="inlineStr">
        <is>
          <t>AV. LOS INCAS CDRA. 4 PATIO NORTE - COMAS</t>
        </is>
      </c>
      <c r="E4464" t="inlineStr">
        <is>
          <t>Lima, 11 de marzo del 2026</t>
        </is>
      </c>
      <c r="F4464" t="inlineStr">
        <is>
          <t>la Recarga y mantenimiento</t>
        </is>
      </c>
      <c r="G4464" t="inlineStr">
        <is>
          <t>02</t>
        </is>
      </c>
      <c r="H4464" t="inlineStr">
        <is>
          <t>6KG</t>
        </is>
      </c>
      <c r="I4464" t="inlineStr">
        <is>
          <t>2029</t>
        </is>
      </c>
      <c r="J4464" t="inlineStr">
        <is>
          <t>2010</t>
        </is>
      </c>
      <c r="K4464" t="inlineStr">
        <is>
          <t>MARZO 2026</t>
        </is>
      </c>
      <c r="L4464" t="inlineStr">
        <is>
          <t>MARZO 2027</t>
        </is>
      </c>
      <c r="M4464" t="inlineStr">
        <is>
          <t>P.Q.S TIPO ABC AL 90 % NACIONAL</t>
        </is>
      </c>
      <c r="N4464" t="inlineStr">
        <is>
          <t>185/000613</t>
        </is>
      </c>
      <c r="O4464" t="inlineStr">
        <is>
          <t>R</t>
        </is>
      </c>
      <c r="P4464">
        <f>TRIM(N4464)</f>
        <v/>
      </c>
    </row>
    <row r="4465">
      <c r="A4465" t="inlineStr">
        <is>
          <t>CO-002656</t>
        </is>
      </c>
      <c r="B4465" t="inlineStr">
        <is>
          <t>PERU MASIVO - BUSES</t>
        </is>
      </c>
      <c r="C4465" t="inlineStr">
        <is>
          <t>20492392031</t>
        </is>
      </c>
      <c r="D4465" t="inlineStr">
        <is>
          <t>AV. LOS INCAS CDRA. 4 PATIO NORTE - COMAS</t>
        </is>
      </c>
      <c r="E4465" t="inlineStr">
        <is>
          <t>Lima, 11 de marzo del 2026</t>
        </is>
      </c>
      <c r="F4465" t="inlineStr">
        <is>
          <t>la Recarga y mantenimiento</t>
        </is>
      </c>
      <c r="G4465" t="inlineStr">
        <is>
          <t>03</t>
        </is>
      </c>
      <c r="H4465" t="inlineStr">
        <is>
          <t>6KG</t>
        </is>
      </c>
      <c r="I4465" t="inlineStr">
        <is>
          <t>2029</t>
        </is>
      </c>
      <c r="J4465" t="inlineStr">
        <is>
          <t>2009</t>
        </is>
      </c>
      <c r="K4465" t="inlineStr">
        <is>
          <t>MARZO 2026</t>
        </is>
      </c>
      <c r="L4465" t="inlineStr">
        <is>
          <t>MARZO 2027</t>
        </is>
      </c>
      <c r="M4465" t="inlineStr">
        <is>
          <t>P.Q.S TIPO ABC AL 90 % NACIONAL</t>
        </is>
      </c>
      <c r="N4465" t="inlineStr">
        <is>
          <t>201/001533</t>
        </is>
      </c>
      <c r="O4465" t="inlineStr">
        <is>
          <t>R</t>
        </is>
      </c>
      <c r="P4465">
        <f>TRIM(N4465)</f>
        <v/>
      </c>
    </row>
    <row r="4466">
      <c r="A4466" t="inlineStr">
        <is>
          <t>CO-002656</t>
        </is>
      </c>
      <c r="B4466" t="inlineStr">
        <is>
          <t>PERU MASIVO - BUSES</t>
        </is>
      </c>
      <c r="C4466" t="inlineStr">
        <is>
          <t>20492392031</t>
        </is>
      </c>
      <c r="D4466" t="inlineStr">
        <is>
          <t>AV. LOS INCAS CDRA. 4 PATIO NORTE - COMAS</t>
        </is>
      </c>
      <c r="E4466" t="inlineStr">
        <is>
          <t>Lima, 11 de marzo del 2026</t>
        </is>
      </c>
      <c r="F4466" t="inlineStr">
        <is>
          <t>la Recarga y mantenimiento</t>
        </is>
      </c>
      <c r="G4466" t="inlineStr">
        <is>
          <t>04</t>
        </is>
      </c>
      <c r="H4466" t="inlineStr">
        <is>
          <t>6KG</t>
        </is>
      </c>
      <c r="I4466" t="inlineStr">
        <is>
          <t>2028</t>
        </is>
      </c>
      <c r="J4466" t="inlineStr">
        <is>
          <t>2009</t>
        </is>
      </c>
      <c r="K4466" t="inlineStr">
        <is>
          <t>MARZO 2026</t>
        </is>
      </c>
      <c r="L4466" t="inlineStr">
        <is>
          <t>MARZO 2027</t>
        </is>
      </c>
      <c r="M4466" t="inlineStr">
        <is>
          <t>P.Q.S TIPO ABC AL 90 % NACIONAL</t>
        </is>
      </c>
      <c r="N4466" t="inlineStr">
        <is>
          <t>124/000970</t>
        </is>
      </c>
      <c r="O4466" t="inlineStr">
        <is>
          <t>R</t>
        </is>
      </c>
      <c r="P4466">
        <f>TRIM(N4466)</f>
        <v/>
      </c>
    </row>
    <row r="4467">
      <c r="A4467" t="inlineStr">
        <is>
          <t>CO-002656</t>
        </is>
      </c>
      <c r="B4467" t="inlineStr">
        <is>
          <t>PERU MASIVO - BUSES</t>
        </is>
      </c>
      <c r="C4467" t="inlineStr">
        <is>
          <t>20492392031</t>
        </is>
      </c>
      <c r="D4467" t="inlineStr">
        <is>
          <t>AV. LOS INCAS CDRA. 4 PATIO NORTE - COMAS</t>
        </is>
      </c>
      <c r="E4467" t="inlineStr">
        <is>
          <t>Lima, 11 de marzo del 2026</t>
        </is>
      </c>
      <c r="F4467" t="inlineStr">
        <is>
          <t>la Recarga y mantenimiento</t>
        </is>
      </c>
      <c r="G4467" t="inlineStr">
        <is>
          <t>05</t>
        </is>
      </c>
      <c r="H4467" t="inlineStr">
        <is>
          <t>6KG</t>
        </is>
      </c>
      <c r="I4467" t="inlineStr">
        <is>
          <t>2029</t>
        </is>
      </c>
      <c r="J4467" t="inlineStr">
        <is>
          <t>2009</t>
        </is>
      </c>
      <c r="K4467" t="inlineStr">
        <is>
          <t>MARZO 2026</t>
        </is>
      </c>
      <c r="L4467" t="inlineStr">
        <is>
          <t>MARZO 2027</t>
        </is>
      </c>
      <c r="M4467" t="inlineStr">
        <is>
          <t>P.Q.S TIPO ABC AL 90 % NACIONAL</t>
        </is>
      </c>
      <c r="N4467" t="inlineStr">
        <is>
          <t>248/002215</t>
        </is>
      </c>
      <c r="O4467" t="inlineStr">
        <is>
          <t>R</t>
        </is>
      </c>
      <c r="P4467">
        <f>TRIM(N4467)</f>
        <v/>
      </c>
    </row>
    <row r="4468">
      <c r="A4468" t="inlineStr">
        <is>
          <t>CO-002656</t>
        </is>
      </c>
      <c r="B4468" t="inlineStr">
        <is>
          <t>PERU MASIVO - BUSES</t>
        </is>
      </c>
      <c r="C4468" t="inlineStr">
        <is>
          <t>20492392031</t>
        </is>
      </c>
      <c r="D4468" t="inlineStr">
        <is>
          <t>AV. LOS INCAS CDRA. 4 PATIO NORTE - COMAS</t>
        </is>
      </c>
      <c r="E4468" t="inlineStr">
        <is>
          <t>Lima, 11 de marzo del 2026</t>
        </is>
      </c>
      <c r="F4468" t="inlineStr">
        <is>
          <t>la Recarga y mantenimiento</t>
        </is>
      </c>
      <c r="G4468" t="inlineStr">
        <is>
          <t>06</t>
        </is>
      </c>
      <c r="H4468" t="inlineStr">
        <is>
          <t>6KG</t>
        </is>
      </c>
      <c r="I4468" t="inlineStr">
        <is>
          <t>2031</t>
        </is>
      </c>
      <c r="J4468" t="inlineStr">
        <is>
          <t>2021</t>
        </is>
      </c>
      <c r="K4468" t="inlineStr">
        <is>
          <t>MARZO 2026</t>
        </is>
      </c>
      <c r="L4468" t="inlineStr">
        <is>
          <t>MARZO 2027</t>
        </is>
      </c>
      <c r="M4468" t="inlineStr">
        <is>
          <t>P.Q.S TIPO ABC AL 90 % NACIONAL</t>
        </is>
      </c>
      <c r="N4468" t="inlineStr">
        <is>
          <t>130/007848</t>
        </is>
      </c>
      <c r="O4468" t="inlineStr">
        <is>
          <t>R</t>
        </is>
      </c>
      <c r="P4468">
        <f>TRIM(N4468)</f>
        <v/>
      </c>
    </row>
    <row r="4469">
      <c r="A4469" t="inlineStr">
        <is>
          <t>CO-002656</t>
        </is>
      </c>
      <c r="B4469" t="inlineStr">
        <is>
          <t>PERU MASIVO - BUSES</t>
        </is>
      </c>
      <c r="C4469" t="inlineStr">
        <is>
          <t>20492392031</t>
        </is>
      </c>
      <c r="D4469" t="inlineStr">
        <is>
          <t>AV. LOS INCAS CDRA. 4 PATIO NORTE - COMAS</t>
        </is>
      </c>
      <c r="E4469" t="inlineStr">
        <is>
          <t>Lima, 11 de marzo del 2026</t>
        </is>
      </c>
      <c r="F4469" t="inlineStr">
        <is>
          <t>la Recarga y mantenimiento</t>
        </is>
      </c>
      <c r="G4469" t="inlineStr">
        <is>
          <t>07</t>
        </is>
      </c>
      <c r="H4469" t="inlineStr">
        <is>
          <t>6KG</t>
        </is>
      </c>
      <c r="I4469" t="inlineStr">
        <is>
          <t>2029</t>
        </is>
      </c>
      <c r="J4469" t="inlineStr">
        <is>
          <t>2011</t>
        </is>
      </c>
      <c r="K4469" t="inlineStr">
        <is>
          <t>MARZO 2026</t>
        </is>
      </c>
      <c r="L4469" t="inlineStr">
        <is>
          <t>MARZO 2027</t>
        </is>
      </c>
      <c r="M4469" t="inlineStr">
        <is>
          <t>P.Q.S TIPO ABC AL 90 % NACIONAL</t>
        </is>
      </c>
      <c r="N4469" t="inlineStr">
        <is>
          <t>328/002884</t>
        </is>
      </c>
      <c r="O4469" t="inlineStr">
        <is>
          <t>R</t>
        </is>
      </c>
      <c r="P4469">
        <f>TRIM(N4469)</f>
        <v/>
      </c>
    </row>
    <row r="4470">
      <c r="A4470" t="inlineStr">
        <is>
          <t>CO-002656</t>
        </is>
      </c>
      <c r="B4470" t="inlineStr">
        <is>
          <t>PERU MASIVO - BUSES</t>
        </is>
      </c>
      <c r="C4470" t="inlineStr">
        <is>
          <t>20492392031</t>
        </is>
      </c>
      <c r="D4470" t="inlineStr">
        <is>
          <t>AV. LOS INCAS CDRA. 4 PATIO NORTE - COMAS</t>
        </is>
      </c>
      <c r="E4470" t="inlineStr">
        <is>
          <t>Lima, 11 de marzo del 2026</t>
        </is>
      </c>
      <c r="F4470" t="inlineStr">
        <is>
          <t>la Recarga y mantenimiento</t>
        </is>
      </c>
      <c r="G4470" t="inlineStr">
        <is>
          <t>08</t>
        </is>
      </c>
      <c r="H4470" t="inlineStr">
        <is>
          <t>6KG</t>
        </is>
      </c>
      <c r="I4470" t="inlineStr">
        <is>
          <t>2029</t>
        </is>
      </c>
      <c r="J4470" t="inlineStr">
        <is>
          <t>2010</t>
        </is>
      </c>
      <c r="K4470" t="inlineStr">
        <is>
          <t>MARZO 2026</t>
        </is>
      </c>
      <c r="L4470" t="inlineStr">
        <is>
          <t>MARZO 2027</t>
        </is>
      </c>
      <c r="M4470" t="inlineStr">
        <is>
          <t>P.Q.S TIPO ABC AL 90 % NACIONAL</t>
        </is>
      </c>
      <c r="N4470" t="inlineStr">
        <is>
          <t>55/006497</t>
        </is>
      </c>
      <c r="O4470" t="inlineStr">
        <is>
          <t>R</t>
        </is>
      </c>
      <c r="P4470">
        <f>TRIM(N4470)</f>
        <v/>
      </c>
    </row>
    <row r="4471">
      <c r="A4471" t="inlineStr">
        <is>
          <t>CO-002656</t>
        </is>
      </c>
      <c r="B4471" t="inlineStr">
        <is>
          <t>PERU MASIVO - BUSES</t>
        </is>
      </c>
      <c r="C4471" t="inlineStr">
        <is>
          <t>20492392031</t>
        </is>
      </c>
      <c r="D4471" t="inlineStr">
        <is>
          <t>AV. LOS INCAS CDRA. 4 PATIO NORTE - COMAS</t>
        </is>
      </c>
      <c r="E4471" t="inlineStr">
        <is>
          <t>Lima, 11 de marzo del 2026</t>
        </is>
      </c>
      <c r="F4471" t="inlineStr">
        <is>
          <t>la Recarga y mantenimiento</t>
        </is>
      </c>
      <c r="G4471" t="inlineStr">
        <is>
          <t>09</t>
        </is>
      </c>
      <c r="H4471" t="inlineStr">
        <is>
          <t>6KG</t>
        </is>
      </c>
      <c r="I4471" t="inlineStr">
        <is>
          <t>2029</t>
        </is>
      </c>
      <c r="J4471" t="inlineStr">
        <is>
          <t>2009</t>
        </is>
      </c>
      <c r="K4471" t="inlineStr">
        <is>
          <t>MARZO 2026</t>
        </is>
      </c>
      <c r="L4471" t="inlineStr">
        <is>
          <t>MARZO 2027</t>
        </is>
      </c>
      <c r="M4471" t="inlineStr">
        <is>
          <t>P.Q.S TIPO ABC AL 90 % NACIONAL</t>
        </is>
      </c>
      <c r="N4471" t="inlineStr">
        <is>
          <t>203/000768</t>
        </is>
      </c>
      <c r="O4471" t="inlineStr">
        <is>
          <t>R</t>
        </is>
      </c>
      <c r="P4471">
        <f>TRIM(N4471)</f>
        <v/>
      </c>
    </row>
    <row r="4472">
      <c r="A4472" t="inlineStr">
        <is>
          <t>CO-002656</t>
        </is>
      </c>
      <c r="B4472" t="inlineStr">
        <is>
          <t>PERU MASIVO - BUSES</t>
        </is>
      </c>
      <c r="C4472" t="inlineStr">
        <is>
          <t>20492392031</t>
        </is>
      </c>
      <c r="D4472" t="inlineStr">
        <is>
          <t>AV. LOS INCAS CDRA. 4 PATIO NORTE - COMAS</t>
        </is>
      </c>
      <c r="E4472" t="inlineStr">
        <is>
          <t>Lima, 11 de marzo del 2026</t>
        </is>
      </c>
      <c r="F4472" t="inlineStr">
        <is>
          <t>la Recarga y mantenimiento</t>
        </is>
      </c>
      <c r="G4472" t="inlineStr">
        <is>
          <t>10</t>
        </is>
      </c>
      <c r="H4472" t="inlineStr">
        <is>
          <t>6KG</t>
        </is>
      </c>
      <c r="I4472" t="inlineStr">
        <is>
          <t>2028</t>
        </is>
      </c>
      <c r="J4472" t="inlineStr">
        <is>
          <t>2010</t>
        </is>
      </c>
      <c r="K4472" t="inlineStr">
        <is>
          <t>MARZO 2026</t>
        </is>
      </c>
      <c r="L4472" t="inlineStr">
        <is>
          <t>MARZO 2027</t>
        </is>
      </c>
      <c r="M4472" t="inlineStr">
        <is>
          <t>P.Q.S TIPO ABC AL 90 % NACIONAL</t>
        </is>
      </c>
      <c r="N4472" t="inlineStr">
        <is>
          <t>254/000988</t>
        </is>
      </c>
      <c r="O4472" t="inlineStr">
        <is>
          <t>R</t>
        </is>
      </c>
      <c r="P4472">
        <f>TRIM(N4472)</f>
        <v/>
      </c>
    </row>
    <row r="4473">
      <c r="A4473" t="inlineStr">
        <is>
          <t>CO-002657</t>
        </is>
      </c>
      <c r="B4473" t="inlineStr">
        <is>
          <t>POLLERIA EL GORDO DE: Gian Franco Cjuro Huacho</t>
        </is>
      </c>
      <c r="C4473" t="inlineStr">
        <is>
          <t>47104409</t>
        </is>
      </c>
      <c r="D4473" t="inlineStr">
        <is>
          <t>AV. TUPAC AMARU  N° 12402 MZ. 72 LT. 01 TORRE BLANCA</t>
        </is>
      </c>
      <c r="E4473" t="inlineStr">
        <is>
          <t>Lima, 13 de marzo del 2026</t>
        </is>
      </c>
      <c r="F4473" t="inlineStr">
        <is>
          <t>la Recarga y mantenimiento</t>
        </is>
      </c>
      <c r="G4473" t="inlineStr">
        <is>
          <t>01</t>
        </is>
      </c>
      <c r="H4473" t="inlineStr">
        <is>
          <t>06 KG</t>
        </is>
      </c>
      <c r="I4473" t="inlineStr">
        <is>
          <t>2029</t>
        </is>
      </c>
      <c r="J4473" t="n">
        <v>2016</v>
      </c>
      <c r="K4473" t="inlineStr">
        <is>
          <t>MARZO 2026</t>
        </is>
      </c>
      <c r="L4473" t="inlineStr">
        <is>
          <t>MARZO 2027</t>
        </is>
      </c>
      <c r="M4473" t="inlineStr">
        <is>
          <t xml:space="preserve">P.Q.S.  TIPO ABC </t>
        </is>
      </c>
      <c r="N4473" t="inlineStr">
        <is>
          <t>01/001042</t>
        </is>
      </c>
      <c r="O4473" t="inlineStr">
        <is>
          <t>R</t>
        </is>
      </c>
      <c r="P4473">
        <f>TRIM(N4473)</f>
        <v/>
      </c>
    </row>
    <row r="4474">
      <c r="A4474" t="inlineStr">
        <is>
          <t>CO-002657</t>
        </is>
      </c>
      <c r="B4474" t="inlineStr">
        <is>
          <t>POLLERIA EL GORDO DE: Gian Franco Cjuro Huacho</t>
        </is>
      </c>
      <c r="C4474" t="inlineStr">
        <is>
          <t>47104409</t>
        </is>
      </c>
      <c r="D4474" t="inlineStr">
        <is>
          <t>AV. TUPAC AMARU  N° 12402 MZ. 72 LT. 01 TORRE BLANCA</t>
        </is>
      </c>
      <c r="E4474" t="inlineStr">
        <is>
          <t>Lima, 13 de marzo del 2026</t>
        </is>
      </c>
      <c r="F4474" t="inlineStr">
        <is>
          <t>la Recarga y mantenimiento</t>
        </is>
      </c>
      <c r="G4474" t="inlineStr">
        <is>
          <t>02</t>
        </is>
      </c>
      <c r="H4474" t="inlineStr">
        <is>
          <t>1.5 GLS</t>
        </is>
      </c>
      <c r="I4474" t="inlineStr">
        <is>
          <t>2027</t>
        </is>
      </c>
      <c r="J4474" t="n">
        <v>2022</v>
      </c>
      <c r="K4474" t="inlineStr">
        <is>
          <t>MARZO 2026</t>
        </is>
      </c>
      <c r="L4474" t="inlineStr">
        <is>
          <t>MARZO 2027</t>
        </is>
      </c>
      <c r="M4474" t="inlineStr">
        <is>
          <t>ACETATO DE POTASIO TIPO K</t>
        </is>
      </c>
      <c r="N4474" t="inlineStr">
        <is>
          <t>02/000195</t>
        </is>
      </c>
      <c r="O4474" t="inlineStr">
        <is>
          <t>R</t>
        </is>
      </c>
      <c r="P4474">
        <f>TRIM(N4474)</f>
        <v/>
      </c>
    </row>
    <row r="4475">
      <c r="A4475" t="inlineStr">
        <is>
          <t>CO-002658</t>
        </is>
      </c>
      <c r="B4475" t="inlineStr">
        <is>
          <t>GACSA PERU S.A.C.</t>
        </is>
      </c>
      <c r="C4475" t="n">
        <v>20602629068</v>
      </c>
      <c r="D4475" t="inlineStr">
        <is>
          <t>Vía Expresa Luis Fernan Bedoya Reyes N° 2289-2249 (CHEVROLET LA VICTORIA)</t>
        </is>
      </c>
      <c r="E4475" t="inlineStr">
        <is>
          <t>Lima, 29 de enero del 2026</t>
        </is>
      </c>
      <c r="F4475" t="inlineStr">
        <is>
          <t>la Recarga y mantenimiento</t>
        </is>
      </c>
      <c r="G4475" t="inlineStr">
        <is>
          <t>01</t>
        </is>
      </c>
      <c r="H4475" t="inlineStr">
        <is>
          <t>50 KG</t>
        </is>
      </c>
      <c r="I4475" t="inlineStr">
        <is>
          <t>2031</t>
        </is>
      </c>
      <c r="J4475" t="inlineStr">
        <is>
          <t>2021</t>
        </is>
      </c>
      <c r="K4475" t="inlineStr">
        <is>
          <t>ENERO 2026</t>
        </is>
      </c>
      <c r="L4475" t="inlineStr">
        <is>
          <t>ENERO 2027</t>
        </is>
      </c>
      <c r="M4475" t="inlineStr">
        <is>
          <t>PQS TIPO ABC AL 75%</t>
        </is>
      </c>
      <c r="N4475" t="inlineStr">
        <is>
          <t>01/000006</t>
        </is>
      </c>
      <c r="O4475" t="inlineStr">
        <is>
          <t>R</t>
        </is>
      </c>
      <c r="P4475">
        <f>TRIM(N4475)</f>
        <v/>
      </c>
    </row>
    <row r="4476">
      <c r="A4476" t="inlineStr">
        <is>
          <t>CO-002658</t>
        </is>
      </c>
      <c r="B4476" t="inlineStr">
        <is>
          <t>GACSA PERU S.A.C.</t>
        </is>
      </c>
      <c r="C4476" t="n">
        <v>20602629068</v>
      </c>
      <c r="D4476" t="inlineStr">
        <is>
          <t>Vía Expresa Luis Fernan Bedoya Reyes N° 2289-2249 (CHEVROLET LA VICTORIA)</t>
        </is>
      </c>
      <c r="E4476" t="inlineStr">
        <is>
          <t>Lima, 29 de enero del 2026</t>
        </is>
      </c>
      <c r="F4476" t="inlineStr">
        <is>
          <t>la Recarga y mantenimiento</t>
        </is>
      </c>
      <c r="G4476" t="inlineStr">
        <is>
          <t>02</t>
        </is>
      </c>
      <c r="H4476" t="inlineStr">
        <is>
          <t>06 KG</t>
        </is>
      </c>
      <c r="I4476" t="inlineStr">
        <is>
          <t>2028</t>
        </is>
      </c>
      <c r="J4476" t="inlineStr">
        <is>
          <t>2018</t>
        </is>
      </c>
      <c r="K4476" t="inlineStr">
        <is>
          <t>ENERO 2026</t>
        </is>
      </c>
      <c r="L4476" t="inlineStr">
        <is>
          <t>ENERO 2027</t>
        </is>
      </c>
      <c r="M4476" t="inlineStr">
        <is>
          <t>PQS TIPO ABC AL 75%</t>
        </is>
      </c>
      <c r="N4476" t="inlineStr">
        <is>
          <t>02/001543</t>
        </is>
      </c>
      <c r="O4476" t="inlineStr">
        <is>
          <t>R</t>
        </is>
      </c>
      <c r="P4476">
        <f>TRIM(N4476)</f>
        <v/>
      </c>
    </row>
    <row r="4477">
      <c r="A4477" t="inlineStr">
        <is>
          <t>CO-002658</t>
        </is>
      </c>
      <c r="B4477" t="inlineStr">
        <is>
          <t>GACSA PERU S.A.C.</t>
        </is>
      </c>
      <c r="C4477" t="n">
        <v>20602629068</v>
      </c>
      <c r="D4477" t="inlineStr">
        <is>
          <t>Vía Expresa Luis Fernan Bedoya Reyes N° 2289-2249 (CHEVROLET LA VICTORIA)</t>
        </is>
      </c>
      <c r="E4477" t="inlineStr">
        <is>
          <t>Lima, 29 de enero del 2026</t>
        </is>
      </c>
      <c r="F4477" t="inlineStr">
        <is>
          <t>la Recarga y mantenimiento</t>
        </is>
      </c>
      <c r="G4477" t="inlineStr">
        <is>
          <t>03</t>
        </is>
      </c>
      <c r="H4477" t="inlineStr">
        <is>
          <t>10 LBS</t>
        </is>
      </c>
      <c r="I4477" t="inlineStr">
        <is>
          <t>2030</t>
        </is>
      </c>
      <c r="J4477" t="inlineStr">
        <is>
          <t>2025</t>
        </is>
      </c>
      <c r="K4477" t="inlineStr">
        <is>
          <t>ENERO 2026</t>
        </is>
      </c>
      <c r="L4477" t="inlineStr">
        <is>
          <t>ENERO 2027</t>
        </is>
      </c>
      <c r="M4477" t="inlineStr">
        <is>
          <t>CO2 TIPO BC</t>
        </is>
      </c>
      <c r="N4477" t="inlineStr">
        <is>
          <t>03/006107</t>
        </is>
      </c>
      <c r="O4477" t="inlineStr">
        <is>
          <t>R</t>
        </is>
      </c>
      <c r="P4477">
        <f>TRIM(N4477)</f>
        <v/>
      </c>
    </row>
    <row r="4478">
      <c r="A4478" t="inlineStr">
        <is>
          <t>CO-002658</t>
        </is>
      </c>
      <c r="B4478" t="inlineStr">
        <is>
          <t>GACSA PERU S.A.C.</t>
        </is>
      </c>
      <c r="C4478" t="n">
        <v>20602629068</v>
      </c>
      <c r="D4478" t="inlineStr">
        <is>
          <t>Vía Expresa Luis Fernan Bedoya Reyes N° 2289-2249 (CHEVROLET LA VICTORIA)</t>
        </is>
      </c>
      <c r="E4478" t="inlineStr">
        <is>
          <t>Lima, 29 de enero del 2026</t>
        </is>
      </c>
      <c r="F4478" t="inlineStr">
        <is>
          <t>la Recarga y mantenimiento</t>
        </is>
      </c>
      <c r="G4478" t="inlineStr">
        <is>
          <t>04</t>
        </is>
      </c>
      <c r="H4478" t="inlineStr">
        <is>
          <t>06 KG</t>
        </is>
      </c>
      <c r="I4478" t="inlineStr">
        <is>
          <t>2031</t>
        </is>
      </c>
      <c r="J4478" t="inlineStr">
        <is>
          <t>2008</t>
        </is>
      </c>
      <c r="K4478" t="inlineStr">
        <is>
          <t>ENERO 2026</t>
        </is>
      </c>
      <c r="L4478" t="inlineStr">
        <is>
          <t>ENERO 2027</t>
        </is>
      </c>
      <c r="M4478" t="inlineStr">
        <is>
          <t>PQS TIPO ABC AL 75%</t>
        </is>
      </c>
      <c r="N4478" t="inlineStr">
        <is>
          <t>04/000006</t>
        </is>
      </c>
      <c r="O4478" t="inlineStr">
        <is>
          <t>R</t>
        </is>
      </c>
      <c r="P4478">
        <f>TRIM(N4478)</f>
        <v/>
      </c>
    </row>
    <row r="4479">
      <c r="A4479" t="inlineStr">
        <is>
          <t>CO-002658</t>
        </is>
      </c>
      <c r="B4479" t="inlineStr">
        <is>
          <t>GACSA PERU S.A.C.</t>
        </is>
      </c>
      <c r="C4479" t="n">
        <v>20602629068</v>
      </c>
      <c r="D4479" t="inlineStr">
        <is>
          <t>Vía Expresa Luis Fernan Bedoya Reyes N° 2289-2249 (CHEVROLET LA VICTORIA)</t>
        </is>
      </c>
      <c r="E4479" t="inlineStr">
        <is>
          <t>Lima, 29 de enero del 2026</t>
        </is>
      </c>
      <c r="F4479" t="inlineStr">
        <is>
          <t>la Recarga y mantenimiento</t>
        </is>
      </c>
      <c r="G4479" t="inlineStr">
        <is>
          <t>05</t>
        </is>
      </c>
      <c r="H4479" t="inlineStr">
        <is>
          <t>10 LBS</t>
        </is>
      </c>
      <c r="I4479" t="inlineStr">
        <is>
          <t>2030</t>
        </is>
      </c>
      <c r="J4479" t="inlineStr">
        <is>
          <t>2025</t>
        </is>
      </c>
      <c r="K4479" t="inlineStr">
        <is>
          <t>ENERO 2026</t>
        </is>
      </c>
      <c r="L4479" t="inlineStr">
        <is>
          <t>ENERO 2027</t>
        </is>
      </c>
      <c r="M4479" t="inlineStr">
        <is>
          <t>CO2 TIPO BC</t>
        </is>
      </c>
      <c r="N4479" t="inlineStr">
        <is>
          <t>05/000001</t>
        </is>
      </c>
      <c r="O4479" t="inlineStr">
        <is>
          <t>R</t>
        </is>
      </c>
      <c r="P4479">
        <f>TRIM(N4479)</f>
        <v/>
      </c>
    </row>
    <row r="4480">
      <c r="A4480" t="inlineStr">
        <is>
          <t>CO-002658</t>
        </is>
      </c>
      <c r="B4480" t="inlineStr">
        <is>
          <t>GACSA PERU S.A.C.</t>
        </is>
      </c>
      <c r="C4480" t="n">
        <v>20602629068</v>
      </c>
      <c r="D4480" t="inlineStr">
        <is>
          <t>Vía Expresa Luis Fernan Bedoya Reyes N° 2289-2249 (CHEVROLET LA VICTORIA)</t>
        </is>
      </c>
      <c r="E4480" t="inlineStr">
        <is>
          <t>Lima, 29 de enero del 2026</t>
        </is>
      </c>
      <c r="F4480" t="inlineStr">
        <is>
          <t>la Recarga y mantenimiento</t>
        </is>
      </c>
      <c r="G4480" t="inlineStr">
        <is>
          <t>06</t>
        </is>
      </c>
      <c r="H4480" t="inlineStr">
        <is>
          <t>12 KG</t>
        </is>
      </c>
      <c r="I4480" t="inlineStr">
        <is>
          <t>2031</t>
        </is>
      </c>
      <c r="J4480" t="inlineStr">
        <is>
          <t>S/N</t>
        </is>
      </c>
      <c r="K4480" t="inlineStr">
        <is>
          <t>ENERO 2026</t>
        </is>
      </c>
      <c r="L4480" t="inlineStr">
        <is>
          <t>ENERO 2027</t>
        </is>
      </c>
      <c r="M4480" t="inlineStr">
        <is>
          <t>PQS TIPO ABC AL 75%</t>
        </is>
      </c>
      <c r="N4480" t="inlineStr">
        <is>
          <t>06/000134</t>
        </is>
      </c>
      <c r="O4480" t="inlineStr">
        <is>
          <t>R</t>
        </is>
      </c>
      <c r="P4480">
        <f>TRIM(N4480)</f>
        <v/>
      </c>
    </row>
    <row r="4481">
      <c r="A4481" t="inlineStr">
        <is>
          <t>CO-002658</t>
        </is>
      </c>
      <c r="B4481" t="inlineStr">
        <is>
          <t>GACSA PERU S.A.C.</t>
        </is>
      </c>
      <c r="C4481" t="n">
        <v>20602629068</v>
      </c>
      <c r="D4481" t="inlineStr">
        <is>
          <t>Vía Expresa Luis Fernan Bedoya Reyes N° 2289-2249 (CHEVROLET LA VICTORIA)</t>
        </is>
      </c>
      <c r="E4481" t="inlineStr">
        <is>
          <t>Lima, 29 de enero del 2026</t>
        </is>
      </c>
      <c r="F4481" t="inlineStr">
        <is>
          <t>la Recarga y mantenimiento</t>
        </is>
      </c>
      <c r="G4481" t="inlineStr">
        <is>
          <t>07</t>
        </is>
      </c>
      <c r="H4481" t="inlineStr">
        <is>
          <t>06 KG</t>
        </is>
      </c>
      <c r="I4481" t="inlineStr">
        <is>
          <t>2031</t>
        </is>
      </c>
      <c r="J4481" t="inlineStr">
        <is>
          <t>2015</t>
        </is>
      </c>
      <c r="K4481" t="inlineStr">
        <is>
          <t>ENERO 2026</t>
        </is>
      </c>
      <c r="L4481" t="inlineStr">
        <is>
          <t>ENERO 2027</t>
        </is>
      </c>
      <c r="M4481" t="inlineStr">
        <is>
          <t>PQS TIPO ABC AL 75%</t>
        </is>
      </c>
      <c r="N4481" t="inlineStr">
        <is>
          <t>07/ 003164</t>
        </is>
      </c>
      <c r="O4481" t="inlineStr">
        <is>
          <t>R</t>
        </is>
      </c>
      <c r="P4481">
        <f>TRIM(N4481)</f>
        <v/>
      </c>
    </row>
    <row r="4482">
      <c r="A4482" t="inlineStr">
        <is>
          <t>CO-002658</t>
        </is>
      </c>
      <c r="B4482" t="inlineStr">
        <is>
          <t>GACSA PERU S.A.C.</t>
        </is>
      </c>
      <c r="C4482" t="n">
        <v>20602629068</v>
      </c>
      <c r="D4482" t="inlineStr">
        <is>
          <t>Vía Expresa Luis Fernan Bedoya Reyes N° 2289-2249 (CHEVROLET LA VICTORIA)</t>
        </is>
      </c>
      <c r="E4482" t="inlineStr">
        <is>
          <t>Lima, 29 de enero del 2026</t>
        </is>
      </c>
      <c r="F4482" t="inlineStr">
        <is>
          <t>la Recarga y mantenimiento</t>
        </is>
      </c>
      <c r="G4482" t="inlineStr">
        <is>
          <t>08</t>
        </is>
      </c>
      <c r="H4482" t="inlineStr">
        <is>
          <t>10 LBS</t>
        </is>
      </c>
      <c r="I4482" t="inlineStr">
        <is>
          <t>2028</t>
        </is>
      </c>
      <c r="J4482" t="inlineStr">
        <is>
          <t>2023</t>
        </is>
      </c>
      <c r="K4482" t="inlineStr">
        <is>
          <t>ENERO 2026</t>
        </is>
      </c>
      <c r="L4482" t="inlineStr">
        <is>
          <t>ENERO 2027</t>
        </is>
      </c>
      <c r="M4482" t="inlineStr">
        <is>
          <t>CO2 TIPO BC</t>
        </is>
      </c>
      <c r="N4482" t="inlineStr">
        <is>
          <t>08/000076</t>
        </is>
      </c>
      <c r="O4482" t="inlineStr">
        <is>
          <t>R</t>
        </is>
      </c>
      <c r="P4482">
        <f>TRIM(N4482)</f>
        <v/>
      </c>
    </row>
    <row r="4483">
      <c r="A4483" t="inlineStr">
        <is>
          <t>CO-002658</t>
        </is>
      </c>
      <c r="B4483" t="inlineStr">
        <is>
          <t>GACSA PERU S.A.C.</t>
        </is>
      </c>
      <c r="C4483" t="n">
        <v>20602629068</v>
      </c>
      <c r="D4483" t="inlineStr">
        <is>
          <t>Vía Expresa Luis Fernan Bedoya Reyes N° 2289-2249 (CHEVROLET LA VICTORIA)</t>
        </is>
      </c>
      <c r="E4483" t="inlineStr">
        <is>
          <t>Lima, 29 de enero del 2026</t>
        </is>
      </c>
      <c r="F4483" t="inlineStr">
        <is>
          <t>la Recarga y mantenimiento</t>
        </is>
      </c>
      <c r="G4483" t="inlineStr">
        <is>
          <t>09</t>
        </is>
      </c>
      <c r="H4483" t="inlineStr">
        <is>
          <t>12 KG</t>
        </is>
      </c>
      <c r="I4483" t="inlineStr">
        <is>
          <t>2030</t>
        </is>
      </c>
      <c r="J4483" t="inlineStr">
        <is>
          <t>2012</t>
        </is>
      </c>
      <c r="K4483" t="inlineStr">
        <is>
          <t>ENERO 2026</t>
        </is>
      </c>
      <c r="L4483" t="inlineStr">
        <is>
          <t>ENERO 2027</t>
        </is>
      </c>
      <c r="M4483" t="inlineStr">
        <is>
          <t>PQS TIPO ABC AL 75%</t>
        </is>
      </c>
      <c r="N4483" t="inlineStr">
        <is>
          <t>09/000329</t>
        </is>
      </c>
      <c r="O4483" t="inlineStr">
        <is>
          <t>R</t>
        </is>
      </c>
      <c r="P4483">
        <f>TRIM(N4483)</f>
        <v/>
      </c>
    </row>
    <row r="4484">
      <c r="A4484" t="inlineStr">
        <is>
          <t>CO-002658</t>
        </is>
      </c>
      <c r="B4484" t="inlineStr">
        <is>
          <t>GACSA PERU S.A.C.</t>
        </is>
      </c>
      <c r="C4484" t="n">
        <v>20602629068</v>
      </c>
      <c r="D4484" t="inlineStr">
        <is>
          <t>Vía Expresa Luis Fernan Bedoya Reyes N° 2289-2249 (CHEVROLET LA VICTORIA)</t>
        </is>
      </c>
      <c r="E4484" t="inlineStr">
        <is>
          <t>Lima, 29 de enero del 2026</t>
        </is>
      </c>
      <c r="F4484" t="inlineStr">
        <is>
          <t>la Recarga y mantenimiento</t>
        </is>
      </c>
      <c r="G4484" t="inlineStr">
        <is>
          <t>10</t>
        </is>
      </c>
      <c r="H4484" t="inlineStr">
        <is>
          <t>50 KG</t>
        </is>
      </c>
      <c r="I4484" t="inlineStr">
        <is>
          <t>2030</t>
        </is>
      </c>
      <c r="J4484" t="inlineStr">
        <is>
          <t>2016</t>
        </is>
      </c>
      <c r="K4484" t="inlineStr">
        <is>
          <t>ENERO 2026</t>
        </is>
      </c>
      <c r="L4484" t="inlineStr">
        <is>
          <t>ENERO 2027</t>
        </is>
      </c>
      <c r="M4484" t="inlineStr">
        <is>
          <t>PQS TIPO ABC AL 75%</t>
        </is>
      </c>
      <c r="N4484" t="inlineStr">
        <is>
          <t>10/000029</t>
        </is>
      </c>
      <c r="O4484" t="inlineStr">
        <is>
          <t>R</t>
        </is>
      </c>
      <c r="P4484">
        <f>TRIM(N4484)</f>
        <v/>
      </c>
    </row>
    <row r="4485">
      <c r="A4485" t="inlineStr">
        <is>
          <t>CO-002659</t>
        </is>
      </c>
      <c r="B4485" t="inlineStr">
        <is>
          <t>GACSA PERU S.A.C.</t>
        </is>
      </c>
      <c r="C4485" t="n">
        <v>20602629068</v>
      </c>
      <c r="D4485" t="inlineStr">
        <is>
          <t>Vía Expresa Luis Fernan Bedoya Reyes N° 2289-2249 (CHEVROLET LA VICTORIA)</t>
        </is>
      </c>
      <c r="E4485" t="inlineStr">
        <is>
          <t>Lima, 29 de enero del 2026</t>
        </is>
      </c>
      <c r="F4485" t="inlineStr">
        <is>
          <t>la Recarga y mantenimiento</t>
        </is>
      </c>
      <c r="G4485" t="inlineStr">
        <is>
          <t>01</t>
        </is>
      </c>
      <c r="H4485" t="inlineStr">
        <is>
          <t>10 LBS</t>
        </is>
      </c>
      <c r="I4485" t="inlineStr">
        <is>
          <t>2030</t>
        </is>
      </c>
      <c r="J4485" t="inlineStr">
        <is>
          <t>2025</t>
        </is>
      </c>
      <c r="K4485" t="inlineStr">
        <is>
          <t>ENERO 2026</t>
        </is>
      </c>
      <c r="L4485" t="inlineStr">
        <is>
          <t>ENERO 2027</t>
        </is>
      </c>
      <c r="M4485" t="inlineStr">
        <is>
          <t>CO2 TIPO BC</t>
        </is>
      </c>
      <c r="N4485" t="inlineStr">
        <is>
          <t>11/026476</t>
        </is>
      </c>
      <c r="O4485" t="inlineStr">
        <is>
          <t>R</t>
        </is>
      </c>
      <c r="P4485">
        <f>TRIM(N4485)</f>
        <v/>
      </c>
    </row>
    <row r="4486">
      <c r="A4486" t="inlineStr">
        <is>
          <t>CO-002659</t>
        </is>
      </c>
      <c r="B4486" t="inlineStr">
        <is>
          <t>GACSA PERU S.A.C.</t>
        </is>
      </c>
      <c r="C4486" t="n">
        <v>20602629068</v>
      </c>
      <c r="D4486" t="inlineStr">
        <is>
          <t>Vía Expresa Luis Fernan Bedoya Reyes N° 2289-2249 (CHEVROLET LA VICTORIA)</t>
        </is>
      </c>
      <c r="E4486" t="inlineStr">
        <is>
          <t>Lima, 29 de enero del 2026</t>
        </is>
      </c>
      <c r="F4486" t="inlineStr">
        <is>
          <t>la Recarga y mantenimiento</t>
        </is>
      </c>
      <c r="G4486" t="inlineStr">
        <is>
          <t>02</t>
        </is>
      </c>
      <c r="H4486" t="inlineStr">
        <is>
          <t>12 KG</t>
        </is>
      </c>
      <c r="I4486" t="inlineStr">
        <is>
          <t>2027</t>
        </is>
      </c>
      <c r="J4486" t="inlineStr">
        <is>
          <t>S/N</t>
        </is>
      </c>
      <c r="K4486" t="inlineStr">
        <is>
          <t>ENERO 2026</t>
        </is>
      </c>
      <c r="L4486" t="inlineStr">
        <is>
          <t>ENERO 2027</t>
        </is>
      </c>
      <c r="M4486" t="inlineStr">
        <is>
          <t>PQS TIPO ABC AL 75%</t>
        </is>
      </c>
      <c r="N4486" t="inlineStr">
        <is>
          <t>12/000145</t>
        </is>
      </c>
      <c r="O4486" t="inlineStr">
        <is>
          <t>R</t>
        </is>
      </c>
      <c r="P4486">
        <f>TRIM(N4486)</f>
        <v/>
      </c>
    </row>
    <row r="4487">
      <c r="A4487" t="inlineStr">
        <is>
          <t>CO-002659</t>
        </is>
      </c>
      <c r="B4487" t="inlineStr">
        <is>
          <t>GACSA PERU S.A.C.</t>
        </is>
      </c>
      <c r="C4487" t="n">
        <v>20602629068</v>
      </c>
      <c r="D4487" t="inlineStr">
        <is>
          <t>Vía Expresa Luis Fernan Bedoya Reyes N° 2289-2249 (CHEVROLET LA VICTORIA)</t>
        </is>
      </c>
      <c r="E4487" t="inlineStr">
        <is>
          <t>Lima, 29 de enero del 2026</t>
        </is>
      </c>
      <c r="F4487" t="inlineStr">
        <is>
          <t>la Recarga y mantenimiento</t>
        </is>
      </c>
      <c r="G4487" t="inlineStr">
        <is>
          <t>03</t>
        </is>
      </c>
      <c r="H4487" t="inlineStr">
        <is>
          <t>10 LBS</t>
        </is>
      </c>
      <c r="I4487" t="inlineStr">
        <is>
          <t>2030</t>
        </is>
      </c>
      <c r="J4487" t="inlineStr">
        <is>
          <t>2025</t>
        </is>
      </c>
      <c r="K4487" t="inlineStr">
        <is>
          <t>ENERO 2026</t>
        </is>
      </c>
      <c r="L4487" t="inlineStr">
        <is>
          <t>ENERO 2027</t>
        </is>
      </c>
      <c r="M4487" t="inlineStr">
        <is>
          <t>CO2 TIPO BC</t>
        </is>
      </c>
      <c r="N4487" t="inlineStr">
        <is>
          <t>13/000063</t>
        </is>
      </c>
      <c r="O4487" t="inlineStr">
        <is>
          <t>V</t>
        </is>
      </c>
      <c r="P4487">
        <f>TRIM(N4487)</f>
        <v/>
      </c>
    </row>
    <row r="4488">
      <c r="A4488" t="inlineStr">
        <is>
          <t>CO-002659</t>
        </is>
      </c>
      <c r="B4488" t="inlineStr">
        <is>
          <t>GACSA PERU S.A.C.</t>
        </is>
      </c>
      <c r="C4488" t="n">
        <v>20602629068</v>
      </c>
      <c r="D4488" t="inlineStr">
        <is>
          <t>Vía Expresa Luis Fernan Bedoya Reyes N° 2289-2249 (CHEVROLET LA VICTORIA)</t>
        </is>
      </c>
      <c r="E4488" t="inlineStr">
        <is>
          <t>Lima, 29 de enero del 2026</t>
        </is>
      </c>
      <c r="F4488" t="inlineStr">
        <is>
          <t>la Recarga y mantenimiento</t>
        </is>
      </c>
      <c r="G4488" t="inlineStr">
        <is>
          <t>04</t>
        </is>
      </c>
      <c r="H4488" t="inlineStr">
        <is>
          <t>10 LBS</t>
        </is>
      </c>
      <c r="I4488" t="inlineStr">
        <is>
          <t>2030</t>
        </is>
      </c>
      <c r="J4488" t="inlineStr">
        <is>
          <t>2025</t>
        </is>
      </c>
      <c r="K4488" t="inlineStr">
        <is>
          <t>ENERO 2026</t>
        </is>
      </c>
      <c r="L4488" t="inlineStr">
        <is>
          <t>ENERO 2027</t>
        </is>
      </c>
      <c r="M4488" t="inlineStr">
        <is>
          <t>CO2 TIPO BC</t>
        </is>
      </c>
      <c r="N4488" t="inlineStr">
        <is>
          <t>14/000057</t>
        </is>
      </c>
      <c r="O4488" t="inlineStr">
        <is>
          <t>V</t>
        </is>
      </c>
      <c r="P4488">
        <f>TRIM(N4488)</f>
        <v/>
      </c>
    </row>
    <row r="4489">
      <c r="A4489" t="inlineStr">
        <is>
          <t>CO-002659</t>
        </is>
      </c>
      <c r="B4489" t="inlineStr">
        <is>
          <t>GACSA PERU S.A.C.</t>
        </is>
      </c>
      <c r="C4489" t="n">
        <v>20602629068</v>
      </c>
      <c r="D4489" t="inlineStr">
        <is>
          <t>Vía Expresa Luis Fernan Bedoya Reyes N° 2289-2249 (CHEVROLET LA VICTORIA)</t>
        </is>
      </c>
      <c r="E4489" t="inlineStr">
        <is>
          <t>Lima, 29 de enero del 2026</t>
        </is>
      </c>
      <c r="F4489" t="inlineStr">
        <is>
          <t>la Recarga y mantenimiento</t>
        </is>
      </c>
      <c r="G4489" t="inlineStr">
        <is>
          <t>05</t>
        </is>
      </c>
      <c r="H4489" t="inlineStr">
        <is>
          <t>10 LBS</t>
        </is>
      </c>
      <c r="I4489" t="inlineStr">
        <is>
          <t>2030</t>
        </is>
      </c>
      <c r="J4489" t="inlineStr">
        <is>
          <t>2025</t>
        </is>
      </c>
      <c r="K4489" t="inlineStr">
        <is>
          <t>ENERO 2026</t>
        </is>
      </c>
      <c r="L4489" t="inlineStr">
        <is>
          <t>ENERO 2027</t>
        </is>
      </c>
      <c r="M4489" t="inlineStr">
        <is>
          <t>CO2 TIPO BC</t>
        </is>
      </c>
      <c r="N4489" t="inlineStr">
        <is>
          <t>15/000702</t>
        </is>
      </c>
      <c r="O4489" t="inlineStr">
        <is>
          <t>V</t>
        </is>
      </c>
      <c r="P4489">
        <f>TRIM(N4489)</f>
        <v/>
      </c>
    </row>
    <row r="4490">
      <c r="A4490" t="inlineStr">
        <is>
          <t>CO-002659</t>
        </is>
      </c>
      <c r="B4490" t="inlineStr">
        <is>
          <t>GACSA PERU S.A.C.</t>
        </is>
      </c>
      <c r="C4490" t="n">
        <v>20602629068</v>
      </c>
      <c r="D4490" t="inlineStr">
        <is>
          <t>Vía Expresa Luis Fernan Bedoya Reyes N° 2289-2249 (CHEVROLET LA VICTORIA)</t>
        </is>
      </c>
      <c r="E4490" t="inlineStr">
        <is>
          <t>Lima, 29 de enero del 2026</t>
        </is>
      </c>
      <c r="F4490" t="inlineStr">
        <is>
          <t>la Recarga y mantenimiento</t>
        </is>
      </c>
      <c r="G4490" t="inlineStr">
        <is>
          <t>06</t>
        </is>
      </c>
      <c r="H4490" t="inlineStr">
        <is>
          <t>10 LBS</t>
        </is>
      </c>
      <c r="I4490" t="inlineStr">
        <is>
          <t>2030</t>
        </is>
      </c>
      <c r="J4490" t="inlineStr">
        <is>
          <t>2025</t>
        </is>
      </c>
      <c r="K4490" t="inlineStr">
        <is>
          <t>ENERO 2026</t>
        </is>
      </c>
      <c r="L4490" t="inlineStr">
        <is>
          <t>ENERO 2027</t>
        </is>
      </c>
      <c r="M4490" t="inlineStr">
        <is>
          <t>CO2 TIPO BC</t>
        </is>
      </c>
      <c r="N4490" t="inlineStr">
        <is>
          <t>16/000099</t>
        </is>
      </c>
      <c r="O4490" t="inlineStr">
        <is>
          <t>V</t>
        </is>
      </c>
      <c r="P4490">
        <f>TRIM(N4490)</f>
        <v/>
      </c>
    </row>
    <row r="4491">
      <c r="A4491" t="inlineStr">
        <is>
          <t>CO-002659</t>
        </is>
      </c>
      <c r="B4491" t="inlineStr">
        <is>
          <t>GACSA PERU S.A.C.</t>
        </is>
      </c>
      <c r="C4491" t="n">
        <v>20602629068</v>
      </c>
      <c r="D4491" t="inlineStr">
        <is>
          <t>Vía Expresa Luis Fernan Bedoya Reyes N° 2289-2249 (CHEVROLET LA VICTORIA)</t>
        </is>
      </c>
      <c r="E4491" t="inlineStr">
        <is>
          <t>Lima, 29 de enero del 2026</t>
        </is>
      </c>
      <c r="F4491" t="inlineStr">
        <is>
          <t>la Recarga y mantenimiento</t>
        </is>
      </c>
      <c r="G4491" t="inlineStr">
        <is>
          <t>07</t>
        </is>
      </c>
      <c r="H4491" t="inlineStr">
        <is>
          <t>10 LBS</t>
        </is>
      </c>
      <c r="I4491" t="inlineStr">
        <is>
          <t>2030</t>
        </is>
      </c>
      <c r="J4491" t="inlineStr">
        <is>
          <t>2025</t>
        </is>
      </c>
      <c r="K4491" t="inlineStr">
        <is>
          <t>ENERO 2026</t>
        </is>
      </c>
      <c r="L4491" t="inlineStr">
        <is>
          <t>ENERO 2027</t>
        </is>
      </c>
      <c r="M4491" t="inlineStr">
        <is>
          <t>CO2 TIPO BC</t>
        </is>
      </c>
      <c r="N4491" t="inlineStr">
        <is>
          <t>17/000070</t>
        </is>
      </c>
      <c r="O4491" t="inlineStr">
        <is>
          <t>V</t>
        </is>
      </c>
      <c r="P4491">
        <f>TRIM(N4491)</f>
        <v/>
      </c>
    </row>
    <row r="4492">
      <c r="A4492" t="inlineStr">
        <is>
          <t>CO-002659</t>
        </is>
      </c>
      <c r="B4492" t="inlineStr">
        <is>
          <t>GACSA PERU S.A.C.</t>
        </is>
      </c>
      <c r="C4492" t="n">
        <v>20602629068</v>
      </c>
      <c r="D4492" t="inlineStr">
        <is>
          <t>Vía Expresa Luis Fernan Bedoya Reyes N° 2289-2249 (CHEVROLET LA VICTORIA)</t>
        </is>
      </c>
      <c r="E4492" t="inlineStr">
        <is>
          <t>Lima, 29 de enero del 2026</t>
        </is>
      </c>
      <c r="F4492" t="inlineStr">
        <is>
          <t>la Recarga y mantenimiento</t>
        </is>
      </c>
      <c r="G4492" t="inlineStr">
        <is>
          <t>08</t>
        </is>
      </c>
      <c r="H4492" t="inlineStr">
        <is>
          <t>10 LBS</t>
        </is>
      </c>
      <c r="I4492" t="inlineStr">
        <is>
          <t>2030</t>
        </is>
      </c>
      <c r="J4492" t="inlineStr">
        <is>
          <t>2025</t>
        </is>
      </c>
      <c r="K4492" t="inlineStr">
        <is>
          <t>ENERO 2026</t>
        </is>
      </c>
      <c r="L4492" t="inlineStr">
        <is>
          <t>ENERO 2027</t>
        </is>
      </c>
      <c r="M4492" t="inlineStr">
        <is>
          <t>CO2 TIPO BC</t>
        </is>
      </c>
      <c r="N4492" t="inlineStr">
        <is>
          <t>18/000043</t>
        </is>
      </c>
      <c r="O4492" t="inlineStr">
        <is>
          <t>V</t>
        </is>
      </c>
      <c r="P4492">
        <f>TRIM(N4492)</f>
        <v/>
      </c>
    </row>
    <row r="4493">
      <c r="A4493" t="inlineStr">
        <is>
          <t>CO-002660</t>
        </is>
      </c>
      <c r="B4493" t="inlineStr">
        <is>
          <t>PERU MASIVO - BUSES</t>
        </is>
      </c>
      <c r="C4493" t="inlineStr">
        <is>
          <t>20492392031</t>
        </is>
      </c>
      <c r="D4493" t="inlineStr">
        <is>
          <t>AV. LOS INCAS CDRA. 4 PATIO NORTE - COMAS</t>
        </is>
      </c>
      <c r="E4493" t="inlineStr">
        <is>
          <t>Lima, 19 de marzo del 2026</t>
        </is>
      </c>
      <c r="F4493" t="inlineStr">
        <is>
          <t>la Recarga y mantenimiento</t>
        </is>
      </c>
      <c r="G4493" t="inlineStr">
        <is>
          <t>01</t>
        </is>
      </c>
      <c r="H4493" t="inlineStr">
        <is>
          <t>6KG</t>
        </is>
      </c>
      <c r="I4493" t="inlineStr">
        <is>
          <t>2029</t>
        </is>
      </c>
      <c r="J4493" t="inlineStr">
        <is>
          <t>2009</t>
        </is>
      </c>
      <c r="K4493" t="inlineStr">
        <is>
          <t>MARZO 2026</t>
        </is>
      </c>
      <c r="L4493" t="inlineStr">
        <is>
          <t>MARZO 2027</t>
        </is>
      </c>
      <c r="M4493" t="inlineStr">
        <is>
          <t>P.Q.S TIPO ABC AL 90 % NACIONAL</t>
        </is>
      </c>
      <c r="N4493" t="inlineStr">
        <is>
          <t>330/002300</t>
        </is>
      </c>
      <c r="O4493" t="inlineStr">
        <is>
          <t>R</t>
        </is>
      </c>
      <c r="P4493">
        <f>TRIM(N4493)</f>
        <v/>
      </c>
    </row>
    <row r="4494">
      <c r="A4494" t="inlineStr">
        <is>
          <t>CO-002660</t>
        </is>
      </c>
      <c r="B4494" t="inlineStr">
        <is>
          <t>PERU MASIVO - BUSES</t>
        </is>
      </c>
      <c r="C4494" t="inlineStr">
        <is>
          <t>20492392031</t>
        </is>
      </c>
      <c r="D4494" t="inlineStr">
        <is>
          <t>AV. LOS INCAS CDRA. 4 PATIO NORTE - COMAS</t>
        </is>
      </c>
      <c r="E4494" t="inlineStr">
        <is>
          <t>Lima, 19 de marzo del 2026</t>
        </is>
      </c>
      <c r="F4494" t="inlineStr">
        <is>
          <t>la Recarga y mantenimiento</t>
        </is>
      </c>
      <c r="G4494" t="inlineStr">
        <is>
          <t>02</t>
        </is>
      </c>
      <c r="H4494" t="inlineStr">
        <is>
          <t>6KG</t>
        </is>
      </c>
      <c r="I4494" t="inlineStr">
        <is>
          <t>2031</t>
        </is>
      </c>
      <c r="J4494" t="inlineStr">
        <is>
          <t>2021</t>
        </is>
      </c>
      <c r="K4494" t="inlineStr">
        <is>
          <t>MARZO 2026</t>
        </is>
      </c>
      <c r="L4494" t="inlineStr">
        <is>
          <t>MARZO 2027</t>
        </is>
      </c>
      <c r="M4494" t="inlineStr">
        <is>
          <t>P.Q.S TIPO ABC AL 90 % NACIONAL</t>
        </is>
      </c>
      <c r="N4494" t="inlineStr">
        <is>
          <t>120/008129</t>
        </is>
      </c>
      <c r="O4494" t="inlineStr">
        <is>
          <t>R</t>
        </is>
      </c>
      <c r="P4494">
        <f>TRIM(N4494)</f>
        <v/>
      </c>
    </row>
    <row r="4495">
      <c r="A4495" t="inlineStr">
        <is>
          <t>CO-002660</t>
        </is>
      </c>
      <c r="B4495" t="inlineStr">
        <is>
          <t>PERU MASIVO - BUSES</t>
        </is>
      </c>
      <c r="C4495" t="inlineStr">
        <is>
          <t>20492392031</t>
        </is>
      </c>
      <c r="D4495" t="inlineStr">
        <is>
          <t>AV. LOS INCAS CDRA. 4 PATIO NORTE - COMAS</t>
        </is>
      </c>
      <c r="E4495" t="inlineStr">
        <is>
          <t>Lima, 19 de marzo del 2026</t>
        </is>
      </c>
      <c r="F4495" t="inlineStr">
        <is>
          <t>la Recarga y mantenimiento</t>
        </is>
      </c>
      <c r="G4495" t="inlineStr">
        <is>
          <t>03</t>
        </is>
      </c>
      <c r="H4495" t="inlineStr">
        <is>
          <t>6KG</t>
        </is>
      </c>
      <c r="I4495" t="inlineStr">
        <is>
          <t>2031</t>
        </is>
      </c>
      <c r="J4495" t="inlineStr">
        <is>
          <t>2010</t>
        </is>
      </c>
      <c r="K4495" t="inlineStr">
        <is>
          <t>MARZO 2026</t>
        </is>
      </c>
      <c r="L4495" t="inlineStr">
        <is>
          <t>MARZO 2027</t>
        </is>
      </c>
      <c r="M4495" t="inlineStr">
        <is>
          <t>P.Q.S TIPO ABC AL 90 % NACIONAL</t>
        </is>
      </c>
      <c r="N4495" t="inlineStr">
        <is>
          <t>247/000608</t>
        </is>
      </c>
      <c r="O4495" t="inlineStr">
        <is>
          <t>R</t>
        </is>
      </c>
      <c r="P4495">
        <f>TRIM(N4495)</f>
        <v/>
      </c>
    </row>
    <row r="4496">
      <c r="A4496" t="inlineStr">
        <is>
          <t>CO-002660</t>
        </is>
      </c>
      <c r="B4496" t="inlineStr">
        <is>
          <t>PERU MASIVO - BUSES</t>
        </is>
      </c>
      <c r="C4496" t="inlineStr">
        <is>
          <t>20492392031</t>
        </is>
      </c>
      <c r="D4496" t="inlineStr">
        <is>
          <t>AV. LOS INCAS CDRA. 4 PATIO NORTE - COMAS</t>
        </is>
      </c>
      <c r="E4496" t="inlineStr">
        <is>
          <t>Lima, 19 de marzo del 2026</t>
        </is>
      </c>
      <c r="F4496" t="inlineStr">
        <is>
          <t>la Recarga y mantenimiento</t>
        </is>
      </c>
      <c r="G4496" t="inlineStr">
        <is>
          <t>04</t>
        </is>
      </c>
      <c r="H4496" t="inlineStr">
        <is>
          <t>6KG</t>
        </is>
      </c>
      <c r="I4496" t="inlineStr">
        <is>
          <t>2029</t>
        </is>
      </c>
      <c r="J4496" t="inlineStr">
        <is>
          <t>2009</t>
        </is>
      </c>
      <c r="K4496" t="inlineStr">
        <is>
          <t>MARZO 2026</t>
        </is>
      </c>
      <c r="L4496" t="inlineStr">
        <is>
          <t>MARZO 2027</t>
        </is>
      </c>
      <c r="M4496" t="inlineStr">
        <is>
          <t>P.Q.S TIPO ABC AL 90 % NACIONAL</t>
        </is>
      </c>
      <c r="N4496" t="inlineStr">
        <is>
          <t>11/000398</t>
        </is>
      </c>
      <c r="O4496" t="inlineStr">
        <is>
          <t>R</t>
        </is>
      </c>
      <c r="P4496">
        <f>TRIM(N4496)</f>
        <v/>
      </c>
    </row>
    <row r="4497">
      <c r="A4497" t="inlineStr">
        <is>
          <t>CO-002660</t>
        </is>
      </c>
      <c r="B4497" t="inlineStr">
        <is>
          <t>PERU MASIVO - BUSES</t>
        </is>
      </c>
      <c r="C4497" t="inlineStr">
        <is>
          <t>20492392031</t>
        </is>
      </c>
      <c r="D4497" t="inlineStr">
        <is>
          <t>AV. LOS INCAS CDRA. 4 PATIO NORTE - COMAS</t>
        </is>
      </c>
      <c r="E4497" t="inlineStr">
        <is>
          <t>Lima, 19 de marzo del 2026</t>
        </is>
      </c>
      <c r="F4497" t="inlineStr">
        <is>
          <t>la Recarga y mantenimiento</t>
        </is>
      </c>
      <c r="G4497" t="inlineStr">
        <is>
          <t>05</t>
        </is>
      </c>
      <c r="H4497" t="inlineStr">
        <is>
          <t>6KG</t>
        </is>
      </c>
      <c r="I4497" t="inlineStr">
        <is>
          <t>2029</t>
        </is>
      </c>
      <c r="J4497" t="inlineStr">
        <is>
          <t>2009</t>
        </is>
      </c>
      <c r="K4497" t="inlineStr">
        <is>
          <t>MARZO 2026</t>
        </is>
      </c>
      <c r="L4497" t="inlineStr">
        <is>
          <t>MARZO 2027</t>
        </is>
      </c>
      <c r="M4497" t="inlineStr">
        <is>
          <t>P.Q.S TIPO ABC AL 90 % NACIONAL</t>
        </is>
      </c>
      <c r="N4497" t="inlineStr">
        <is>
          <t>347/000592</t>
        </is>
      </c>
      <c r="O4497" t="inlineStr">
        <is>
          <t>R</t>
        </is>
      </c>
      <c r="P4497">
        <f>TRIM(N4497)</f>
        <v/>
      </c>
    </row>
    <row r="4498">
      <c r="A4498" t="inlineStr">
        <is>
          <t>CO-002660</t>
        </is>
      </c>
      <c r="B4498" t="inlineStr">
        <is>
          <t>PERU MASIVO - BUSES</t>
        </is>
      </c>
      <c r="C4498" t="inlineStr">
        <is>
          <t>20492392031</t>
        </is>
      </c>
      <c r="D4498" t="inlineStr">
        <is>
          <t>AV. LOS INCAS CDRA. 4 PATIO NORTE - COMAS</t>
        </is>
      </c>
      <c r="E4498" t="inlineStr">
        <is>
          <t>Lima, 19 de marzo del 2026</t>
        </is>
      </c>
      <c r="F4498" t="inlineStr">
        <is>
          <t>la Recarga y mantenimiento</t>
        </is>
      </c>
      <c r="G4498" t="inlineStr">
        <is>
          <t>06</t>
        </is>
      </c>
      <c r="H4498" t="inlineStr">
        <is>
          <t>6KG</t>
        </is>
      </c>
      <c r="I4498" t="inlineStr">
        <is>
          <t>2029</t>
        </is>
      </c>
      <c r="J4498" t="inlineStr">
        <is>
          <t>2010</t>
        </is>
      </c>
      <c r="K4498" t="inlineStr">
        <is>
          <t>MARZO 2026</t>
        </is>
      </c>
      <c r="L4498" t="inlineStr">
        <is>
          <t>MARZO 2027</t>
        </is>
      </c>
      <c r="M4498" t="inlineStr">
        <is>
          <t>P.Q.S TIPO ABC AL 90 % NACIONAL</t>
        </is>
      </c>
      <c r="N4498" t="inlineStr">
        <is>
          <t>106/000334</t>
        </is>
      </c>
      <c r="O4498" t="inlineStr">
        <is>
          <t>R</t>
        </is>
      </c>
      <c r="P4498">
        <f>TRIM(N4498)</f>
        <v/>
      </c>
    </row>
    <row r="4499">
      <c r="A4499" t="inlineStr">
        <is>
          <t>CO-002660</t>
        </is>
      </c>
      <c r="B4499" t="inlineStr">
        <is>
          <t>PERU MASIVO - BUSES</t>
        </is>
      </c>
      <c r="C4499" t="inlineStr">
        <is>
          <t>20492392031</t>
        </is>
      </c>
      <c r="D4499" t="inlineStr">
        <is>
          <t>AV. LOS INCAS CDRA. 4 PATIO NORTE - COMAS</t>
        </is>
      </c>
      <c r="E4499" t="inlineStr">
        <is>
          <t>Lima, 19 de marzo del 2026</t>
        </is>
      </c>
      <c r="F4499" t="inlineStr">
        <is>
          <t>la Recarga y mantenimiento</t>
        </is>
      </c>
      <c r="G4499" t="inlineStr">
        <is>
          <t>07</t>
        </is>
      </c>
      <c r="H4499" t="inlineStr">
        <is>
          <t>6KG</t>
        </is>
      </c>
      <c r="I4499" t="inlineStr">
        <is>
          <t>2029</t>
        </is>
      </c>
      <c r="J4499" t="inlineStr">
        <is>
          <t>2009</t>
        </is>
      </c>
      <c r="K4499" t="inlineStr">
        <is>
          <t>MARZO 2026</t>
        </is>
      </c>
      <c r="L4499" t="inlineStr">
        <is>
          <t>MARZO 2027</t>
        </is>
      </c>
      <c r="M4499" t="inlineStr">
        <is>
          <t>P.Q.S TIPO ABC AL 90 % NACIONAL</t>
        </is>
      </c>
      <c r="N4499" t="inlineStr">
        <is>
          <t>91/001375</t>
        </is>
      </c>
      <c r="O4499" t="inlineStr">
        <is>
          <t>R</t>
        </is>
      </c>
      <c r="P4499">
        <f>TRIM(N4499)</f>
        <v/>
      </c>
    </row>
    <row r="4500">
      <c r="A4500" t="inlineStr">
        <is>
          <t>CO-002660</t>
        </is>
      </c>
      <c r="B4500" t="inlineStr">
        <is>
          <t>PERU MASIVO - BUSES</t>
        </is>
      </c>
      <c r="C4500" t="inlineStr">
        <is>
          <t>20492392031</t>
        </is>
      </c>
      <c r="D4500" t="inlineStr">
        <is>
          <t>AV. LOS INCAS CDRA. 4 PATIO NORTE - COMAS</t>
        </is>
      </c>
      <c r="E4500" t="inlineStr">
        <is>
          <t>Lima, 19 de marzo del 2026</t>
        </is>
      </c>
      <c r="F4500" t="inlineStr">
        <is>
          <t>la Recarga y mantenimiento</t>
        </is>
      </c>
      <c r="G4500" t="inlineStr">
        <is>
          <t>08</t>
        </is>
      </c>
      <c r="H4500" t="inlineStr">
        <is>
          <t>6KG</t>
        </is>
      </c>
      <c r="I4500" t="inlineStr">
        <is>
          <t>2028</t>
        </is>
      </c>
      <c r="J4500" t="inlineStr">
        <is>
          <t>2009</t>
        </is>
      </c>
      <c r="K4500" t="inlineStr">
        <is>
          <t>MARZO 2026</t>
        </is>
      </c>
      <c r="L4500" t="inlineStr">
        <is>
          <t>MARZO 2027</t>
        </is>
      </c>
      <c r="M4500" t="inlineStr">
        <is>
          <t>P.Q.S TIPO ABC AL 90 % NACIONAL</t>
        </is>
      </c>
      <c r="N4500" t="inlineStr">
        <is>
          <t>02/000770</t>
        </is>
      </c>
      <c r="O4500" t="inlineStr">
        <is>
          <t>R</t>
        </is>
      </c>
      <c r="P4500">
        <f>TRIM(N4500)</f>
        <v/>
      </c>
    </row>
    <row r="4501">
      <c r="A4501" t="inlineStr">
        <is>
          <t>CO-002660</t>
        </is>
      </c>
      <c r="B4501" t="inlineStr">
        <is>
          <t>PERU MASIVO - BUSES</t>
        </is>
      </c>
      <c r="C4501" t="inlineStr">
        <is>
          <t>20492392031</t>
        </is>
      </c>
      <c r="D4501" t="inlineStr">
        <is>
          <t>AV. LOS INCAS CDRA. 4 PATIO NORTE - COMAS</t>
        </is>
      </c>
      <c r="E4501" t="inlineStr">
        <is>
          <t>Lima, 19 de marzo del 2026</t>
        </is>
      </c>
      <c r="F4501" t="inlineStr">
        <is>
          <t>la Recarga y mantenimiento</t>
        </is>
      </c>
      <c r="G4501" t="inlineStr">
        <is>
          <t>09</t>
        </is>
      </c>
      <c r="H4501" t="inlineStr">
        <is>
          <t>6KG</t>
        </is>
      </c>
      <c r="I4501" t="inlineStr">
        <is>
          <t>2029</t>
        </is>
      </c>
      <c r="J4501" t="inlineStr">
        <is>
          <t>2010</t>
        </is>
      </c>
      <c r="K4501" t="inlineStr">
        <is>
          <t>MARZO 2026</t>
        </is>
      </c>
      <c r="L4501" t="inlineStr">
        <is>
          <t>MARZO 2027</t>
        </is>
      </c>
      <c r="M4501" t="inlineStr">
        <is>
          <t>P.Q.S TIPO ABC AL 90 % NACIONAL</t>
        </is>
      </c>
      <c r="N4501" t="inlineStr">
        <is>
          <t>150/006500</t>
        </is>
      </c>
      <c r="O4501" t="inlineStr">
        <is>
          <t>R</t>
        </is>
      </c>
      <c r="P4501">
        <f>TRIM(N4501)</f>
        <v/>
      </c>
    </row>
    <row r="4502">
      <c r="A4502" t="inlineStr">
        <is>
          <t>CO-002660</t>
        </is>
      </c>
      <c r="B4502" t="inlineStr">
        <is>
          <t>PERU MASIVO - BUSES</t>
        </is>
      </c>
      <c r="C4502" t="inlineStr">
        <is>
          <t>20492392031</t>
        </is>
      </c>
      <c r="D4502" t="inlineStr">
        <is>
          <t>AV. LOS INCAS CDRA. 4 PATIO NORTE - COMAS</t>
        </is>
      </c>
      <c r="E4502" t="inlineStr">
        <is>
          <t>Lima, 19 de marzo del 2026</t>
        </is>
      </c>
      <c r="F4502" t="inlineStr">
        <is>
          <t>la Recarga y mantenimiento</t>
        </is>
      </c>
      <c r="G4502" t="inlineStr">
        <is>
          <t>10</t>
        </is>
      </c>
      <c r="H4502" t="inlineStr">
        <is>
          <t>6KG</t>
        </is>
      </c>
      <c r="I4502" t="inlineStr">
        <is>
          <t>2029</t>
        </is>
      </c>
      <c r="J4502" t="inlineStr">
        <is>
          <t>2015</t>
        </is>
      </c>
      <c r="K4502" t="inlineStr">
        <is>
          <t>MARZO 2026</t>
        </is>
      </c>
      <c r="L4502" t="inlineStr">
        <is>
          <t>MARZO 2027</t>
        </is>
      </c>
      <c r="M4502" t="inlineStr">
        <is>
          <t>P.Q.S TIPO ABC AL 90 % NACIONAL</t>
        </is>
      </c>
      <c r="N4502" t="inlineStr">
        <is>
          <t>97/000341</t>
        </is>
      </c>
      <c r="O4502" t="inlineStr">
        <is>
          <t>R</t>
        </is>
      </c>
      <c r="P4502">
        <f>TRIM(N4502)</f>
        <v/>
      </c>
    </row>
    <row r="4503">
      <c r="A4503" t="inlineStr">
        <is>
          <t>CO-002660</t>
        </is>
      </c>
      <c r="B4503" t="inlineStr">
        <is>
          <t>PERU MASIVO - BUSES</t>
        </is>
      </c>
      <c r="C4503" t="inlineStr">
        <is>
          <t>20492392031</t>
        </is>
      </c>
      <c r="D4503" t="inlineStr">
        <is>
          <t>AV. LOS INCAS CDRA. 4 PATIO NORTE - COMAS</t>
        </is>
      </c>
      <c r="E4503" t="inlineStr">
        <is>
          <t>Lima, 19 de marzo del 2026</t>
        </is>
      </c>
      <c r="F4503" t="inlineStr">
        <is>
          <t>la Recarga y mantenimiento</t>
        </is>
      </c>
      <c r="G4503" t="inlineStr">
        <is>
          <t>11</t>
        </is>
      </c>
      <c r="H4503" t="inlineStr">
        <is>
          <t>6KG</t>
        </is>
      </c>
      <c r="I4503" t="inlineStr">
        <is>
          <t>2029</t>
        </is>
      </c>
      <c r="J4503" t="inlineStr">
        <is>
          <t>2009</t>
        </is>
      </c>
      <c r="K4503" t="inlineStr">
        <is>
          <t>MARZO 2026</t>
        </is>
      </c>
      <c r="L4503" t="inlineStr">
        <is>
          <t>MARZO 2027</t>
        </is>
      </c>
      <c r="M4503" t="inlineStr">
        <is>
          <t>P.Q.S TIPO ABC AL 90 % NACIONAL</t>
        </is>
      </c>
      <c r="N4503" t="inlineStr">
        <is>
          <t>361/001112</t>
        </is>
      </c>
      <c r="O4503" t="inlineStr">
        <is>
          <t>R</t>
        </is>
      </c>
      <c r="P4503">
        <f>TRIM(N4503)</f>
        <v/>
      </c>
    </row>
    <row r="4504">
      <c r="A4504" t="inlineStr">
        <is>
          <t>CO-002661</t>
        </is>
      </c>
      <c r="B4504" t="inlineStr">
        <is>
          <t>GACSA PERU S.A.C.</t>
        </is>
      </c>
      <c r="C4504" t="n">
        <v>20602629068</v>
      </c>
      <c r="D4504" t="inlineStr">
        <is>
          <t>Vía Expresa Luis Fernan Bedoya Reyes N° 2289-2249 (HYUNDAI LA VICTORIA)</t>
        </is>
      </c>
      <c r="E4504" t="inlineStr">
        <is>
          <t>Lima, 29 de enero del 2026</t>
        </is>
      </c>
      <c r="F4504" t="inlineStr">
        <is>
          <t>la Recarga y mantenimiento</t>
        </is>
      </c>
      <c r="G4504" t="n">
        <v>1</v>
      </c>
      <c r="H4504" t="inlineStr">
        <is>
          <t>05 LBS</t>
        </is>
      </c>
      <c r="I4504" t="n">
        <v>2031</v>
      </c>
      <c r="J4504" t="n">
        <v>2017</v>
      </c>
      <c r="K4504" t="inlineStr">
        <is>
          <t>ENERO 2026</t>
        </is>
      </c>
      <c r="L4504" t="inlineStr">
        <is>
          <t>ENERO 2027</t>
        </is>
      </c>
      <c r="M4504" t="inlineStr">
        <is>
          <t xml:space="preserve">CO2 TIPO BC </t>
        </is>
      </c>
      <c r="N4504" t="inlineStr">
        <is>
          <t>01/011050</t>
        </is>
      </c>
      <c r="O4504" t="inlineStr">
        <is>
          <t>R</t>
        </is>
      </c>
      <c r="P4504">
        <f>TRIM(N4504)</f>
        <v/>
      </c>
    </row>
    <row r="4505">
      <c r="A4505" t="inlineStr">
        <is>
          <t>CO-002661</t>
        </is>
      </c>
      <c r="B4505" t="inlineStr">
        <is>
          <t>GACSA PERU S.A.C.</t>
        </is>
      </c>
      <c r="C4505" t="n">
        <v>20602629068</v>
      </c>
      <c r="D4505" t="inlineStr">
        <is>
          <t>Vía Expresa Luis Fernan Bedoya Reyes N° 2289-2249 (HYUNDAI LA VICTORIA)</t>
        </is>
      </c>
      <c r="E4505" t="inlineStr">
        <is>
          <t>Lima, 29 de enero del 2026</t>
        </is>
      </c>
      <c r="F4505" t="inlineStr">
        <is>
          <t>la Recarga y mantenimiento</t>
        </is>
      </c>
      <c r="G4505" t="n">
        <v>2</v>
      </c>
      <c r="H4505" t="inlineStr">
        <is>
          <t>06 KG</t>
        </is>
      </c>
      <c r="I4505" t="n">
        <v>2026</v>
      </c>
      <c r="J4505" t="n">
        <v>2007</v>
      </c>
      <c r="K4505" s="19" t="n">
        <v>45962</v>
      </c>
      <c r="L4505" s="19" t="n">
        <v>46327</v>
      </c>
      <c r="M4505" t="inlineStr">
        <is>
          <t>P.Q.S TIPO ABC</t>
        </is>
      </c>
      <c r="N4505" t="inlineStr">
        <is>
          <t>02/000022</t>
        </is>
      </c>
      <c r="O4505" t="inlineStr">
        <is>
          <t>R</t>
        </is>
      </c>
      <c r="P4505">
        <f>TRIM(N4505)</f>
        <v/>
      </c>
    </row>
    <row r="4506">
      <c r="A4506" t="inlineStr">
        <is>
          <t>CO-002661</t>
        </is>
      </c>
      <c r="B4506" t="inlineStr">
        <is>
          <t>GACSA PERU S.A.C.</t>
        </is>
      </c>
      <c r="C4506" t="n">
        <v>20602629068</v>
      </c>
      <c r="D4506" t="inlineStr">
        <is>
          <t>Vía Expresa Luis Fernan Bedoya Reyes N° 2289-2249 (HYUNDAI LA VICTORIA)</t>
        </is>
      </c>
      <c r="E4506" t="inlineStr">
        <is>
          <t>Lima, 29 de enero del 2026</t>
        </is>
      </c>
      <c r="F4506" t="inlineStr">
        <is>
          <t>la Recarga y mantenimiento</t>
        </is>
      </c>
      <c r="G4506" t="n">
        <v>3</v>
      </c>
      <c r="H4506" t="inlineStr">
        <is>
          <t>10 LBS</t>
        </is>
      </c>
      <c r="I4506" t="n">
        <v>2030</v>
      </c>
      <c r="J4506" t="n">
        <v>2025</v>
      </c>
      <c r="K4506" s="19" t="n">
        <v>46023</v>
      </c>
      <c r="L4506" s="19" t="n">
        <v>46388</v>
      </c>
      <c r="M4506" t="inlineStr">
        <is>
          <t>CO2 TIPO BC</t>
        </is>
      </c>
      <c r="N4506" t="inlineStr">
        <is>
          <t>03/005841</t>
        </is>
      </c>
      <c r="O4506" t="inlineStr">
        <is>
          <t>R</t>
        </is>
      </c>
      <c r="P4506">
        <f>TRIM(N4506)</f>
        <v/>
      </c>
    </row>
    <row r="4507">
      <c r="A4507" t="inlineStr">
        <is>
          <t>CO-002661</t>
        </is>
      </c>
      <c r="B4507" t="inlineStr">
        <is>
          <t>GACSA PERU S.A.C.</t>
        </is>
      </c>
      <c r="C4507" t="n">
        <v>20602629068</v>
      </c>
      <c r="D4507" t="inlineStr">
        <is>
          <t>Vía Expresa Luis Fernan Bedoya Reyes N° 2289-2249 (HYUNDAI LA VICTORIA)</t>
        </is>
      </c>
      <c r="E4507" t="inlineStr">
        <is>
          <t>Lima, 29 de enero del 2026</t>
        </is>
      </c>
      <c r="F4507" t="inlineStr">
        <is>
          <t>la Recarga y mantenimiento</t>
        </is>
      </c>
      <c r="G4507" t="n">
        <v>4</v>
      </c>
      <c r="H4507" t="inlineStr">
        <is>
          <t>06 KG</t>
        </is>
      </c>
      <c r="I4507" t="n">
        <v>2031</v>
      </c>
      <c r="J4507" t="n">
        <v>2013</v>
      </c>
      <c r="K4507" s="19" t="n">
        <v>46023</v>
      </c>
      <c r="L4507" s="19" t="n">
        <v>46388</v>
      </c>
      <c r="M4507" t="inlineStr">
        <is>
          <t xml:space="preserve">PQS TIPO BC  </t>
        </is>
      </c>
      <c r="N4507" t="inlineStr">
        <is>
          <t>04/000117</t>
        </is>
      </c>
      <c r="O4507" t="inlineStr">
        <is>
          <t>R</t>
        </is>
      </c>
      <c r="P4507">
        <f>TRIM(N4507)</f>
        <v/>
      </c>
    </row>
    <row r="4508">
      <c r="A4508" t="inlineStr">
        <is>
          <t>CO-002661</t>
        </is>
      </c>
      <c r="B4508" t="inlineStr">
        <is>
          <t>GACSA PERU S.A.C.</t>
        </is>
      </c>
      <c r="C4508" t="n">
        <v>20602629068</v>
      </c>
      <c r="D4508" t="inlineStr">
        <is>
          <t>Vía Expresa Luis Fernan Bedoya Reyes N° 2289-2249 (HYUNDAI LA VICTORIA)</t>
        </is>
      </c>
      <c r="E4508" t="inlineStr">
        <is>
          <t>Lima, 29 de enero del 2026</t>
        </is>
      </c>
      <c r="F4508" t="inlineStr">
        <is>
          <t>la Recarga y mantenimiento</t>
        </is>
      </c>
      <c r="G4508" t="n">
        <v>5</v>
      </c>
      <c r="H4508" t="inlineStr">
        <is>
          <t>06 KG</t>
        </is>
      </c>
      <c r="I4508" t="n">
        <v>2028</v>
      </c>
      <c r="J4508" t="n">
        <v>2023</v>
      </c>
      <c r="K4508" s="19" t="n">
        <v>46023</v>
      </c>
      <c r="L4508" s="19" t="n">
        <v>46388</v>
      </c>
      <c r="M4508" t="inlineStr">
        <is>
          <t>PQS TIPO ABC</t>
        </is>
      </c>
      <c r="N4508" t="inlineStr">
        <is>
          <t>05/001206</t>
        </is>
      </c>
      <c r="O4508" t="inlineStr">
        <is>
          <t>R</t>
        </is>
      </c>
      <c r="P4508">
        <f>TRIM(N4508)</f>
        <v/>
      </c>
    </row>
    <row r="4509">
      <c r="A4509" t="inlineStr">
        <is>
          <t>CO-002661</t>
        </is>
      </c>
      <c r="B4509" t="inlineStr">
        <is>
          <t>GACSA PERU S.A.C.</t>
        </is>
      </c>
      <c r="C4509" t="n">
        <v>20602629068</v>
      </c>
      <c r="D4509" t="inlineStr">
        <is>
          <t>Vía Expresa Luis Fernan Bedoya Reyes N° 2289-2249 (HYUNDAI LA VICTORIA)</t>
        </is>
      </c>
      <c r="E4509" t="inlineStr">
        <is>
          <t>Lima, 29 de enero del 2026</t>
        </is>
      </c>
      <c r="F4509" t="inlineStr">
        <is>
          <t>la Recarga y mantenimiento</t>
        </is>
      </c>
      <c r="G4509" t="n">
        <v>6</v>
      </c>
      <c r="H4509" t="inlineStr">
        <is>
          <t>06 KG</t>
        </is>
      </c>
      <c r="I4509" t="n">
        <v>2026</v>
      </c>
      <c r="J4509" t="n">
        <v>2011</v>
      </c>
      <c r="K4509" s="19" t="n">
        <v>45962</v>
      </c>
      <c r="L4509" s="19" t="n">
        <v>46327</v>
      </c>
      <c r="M4509" t="inlineStr">
        <is>
          <t xml:space="preserve">PQS TIPO BC </t>
        </is>
      </c>
      <c r="N4509" t="inlineStr">
        <is>
          <t>06/000121</t>
        </is>
      </c>
      <c r="O4509" t="inlineStr">
        <is>
          <t>R</t>
        </is>
      </c>
      <c r="P4509">
        <f>TRIM(N4509)</f>
        <v/>
      </c>
    </row>
    <row r="4510">
      <c r="A4510" t="inlineStr">
        <is>
          <t>CO-002661</t>
        </is>
      </c>
      <c r="B4510" t="inlineStr">
        <is>
          <t>GACSA PERU S.A.C.</t>
        </is>
      </c>
      <c r="C4510" t="n">
        <v>20602629068</v>
      </c>
      <c r="D4510" t="inlineStr">
        <is>
          <t>Vía Expresa Luis Fernan Bedoya Reyes N° 2289-2249 (HYUNDAI LA VICTORIA)</t>
        </is>
      </c>
      <c r="E4510" t="inlineStr">
        <is>
          <t>Lima, 29 de enero del 2026</t>
        </is>
      </c>
      <c r="F4510" t="inlineStr">
        <is>
          <t>la Recarga y mantenimiento</t>
        </is>
      </c>
      <c r="G4510" t="n">
        <v>7</v>
      </c>
      <c r="H4510" t="inlineStr">
        <is>
          <t>10 LBS</t>
        </is>
      </c>
      <c r="I4510" t="n">
        <v>2029</v>
      </c>
      <c r="J4510" t="n">
        <v>2024</v>
      </c>
      <c r="K4510" s="19" t="n">
        <v>46023</v>
      </c>
      <c r="L4510" s="19" t="n">
        <v>46388</v>
      </c>
      <c r="M4510" t="inlineStr">
        <is>
          <t>CO2 TIPO BC</t>
        </is>
      </c>
      <c r="N4510" t="inlineStr">
        <is>
          <t>07/000058</t>
        </is>
      </c>
      <c r="O4510" t="inlineStr">
        <is>
          <t>R</t>
        </is>
      </c>
      <c r="P4510">
        <f>TRIM(N4510)</f>
        <v/>
      </c>
    </row>
    <row r="4511">
      <c r="A4511" t="inlineStr">
        <is>
          <t>CO-002661</t>
        </is>
      </c>
      <c r="B4511" t="inlineStr">
        <is>
          <t>GACSA PERU S.A.C.</t>
        </is>
      </c>
      <c r="C4511" t="n">
        <v>20602629068</v>
      </c>
      <c r="D4511" t="inlineStr">
        <is>
          <t>Vía Expresa Luis Fernan Bedoya Reyes N° 2289-2249 (HYUNDAI LA VICTORIA)</t>
        </is>
      </c>
      <c r="E4511" t="inlineStr">
        <is>
          <t>Lima, 29 de enero del 2026</t>
        </is>
      </c>
      <c r="F4511" t="inlineStr">
        <is>
          <t>la Recarga y mantenimiento</t>
        </is>
      </c>
      <c r="G4511" t="n">
        <v>8</v>
      </c>
      <c r="H4511" t="inlineStr">
        <is>
          <t>10 LBS</t>
        </is>
      </c>
      <c r="I4511" t="n">
        <v>2028</v>
      </c>
      <c r="J4511" t="n">
        <v>2023</v>
      </c>
      <c r="K4511" s="19" t="n">
        <v>46023</v>
      </c>
      <c r="L4511" s="19" t="n">
        <v>46388</v>
      </c>
      <c r="M4511" t="inlineStr">
        <is>
          <t>CO2 TIPO BC</t>
        </is>
      </c>
      <c r="N4511" t="inlineStr">
        <is>
          <t>08/000029</t>
        </is>
      </c>
      <c r="O4511" t="inlineStr">
        <is>
          <t>R</t>
        </is>
      </c>
      <c r="P4511">
        <f>TRIM(N4511)</f>
        <v/>
      </c>
    </row>
    <row r="4512">
      <c r="A4512" t="inlineStr">
        <is>
          <t>CO-002661</t>
        </is>
      </c>
      <c r="B4512" t="inlineStr">
        <is>
          <t>GACSA PERU S.A.C.</t>
        </is>
      </c>
      <c r="C4512" t="n">
        <v>20602629068</v>
      </c>
      <c r="D4512" t="inlineStr">
        <is>
          <t>Vía Expresa Luis Fernan Bedoya Reyes N° 2289-2249 (HYUNDAI LA VICTORIA)</t>
        </is>
      </c>
      <c r="E4512" t="inlineStr">
        <is>
          <t>Lima, 29 de enero del 2026</t>
        </is>
      </c>
      <c r="F4512" t="inlineStr">
        <is>
          <t>la Recarga y mantenimiento</t>
        </is>
      </c>
      <c r="G4512" t="n">
        <v>9</v>
      </c>
      <c r="H4512" t="inlineStr">
        <is>
          <t>10 LBS</t>
        </is>
      </c>
      <c r="I4512" t="n">
        <v>2029</v>
      </c>
      <c r="J4512" t="n">
        <v>2024</v>
      </c>
      <c r="K4512" s="19" t="n">
        <v>46023</v>
      </c>
      <c r="L4512" s="19" t="n">
        <v>46388</v>
      </c>
      <c r="M4512" t="inlineStr">
        <is>
          <t xml:space="preserve">CO2 TIPO BC </t>
        </is>
      </c>
      <c r="N4512" t="inlineStr">
        <is>
          <t>09/000002</t>
        </is>
      </c>
      <c r="O4512" t="inlineStr">
        <is>
          <t>R</t>
        </is>
      </c>
      <c r="P4512">
        <f>TRIM(N4512)</f>
        <v/>
      </c>
    </row>
    <row r="4513">
      <c r="A4513" t="inlineStr">
        <is>
          <t>CO-002661</t>
        </is>
      </c>
      <c r="B4513" t="inlineStr">
        <is>
          <t>GACSA PERU S.A.C.</t>
        </is>
      </c>
      <c r="C4513" t="n">
        <v>20602629068</v>
      </c>
      <c r="D4513" t="inlineStr">
        <is>
          <t>Vía Expresa Luis Fernan Bedoya Reyes N° 2289-2249 (HYUNDAI LA VICTORIA)</t>
        </is>
      </c>
      <c r="E4513" t="inlineStr">
        <is>
          <t>Lima, 29 de enero del 2026</t>
        </is>
      </c>
      <c r="F4513" t="inlineStr">
        <is>
          <t>la Recarga y mantenimiento</t>
        </is>
      </c>
      <c r="G4513" t="n">
        <v>10</v>
      </c>
      <c r="H4513" t="inlineStr">
        <is>
          <t>06 KG</t>
        </is>
      </c>
      <c r="I4513" t="n">
        <v>2031</v>
      </c>
      <c r="J4513" t="n">
        <v>2022</v>
      </c>
      <c r="K4513" s="19" t="n">
        <v>46023</v>
      </c>
      <c r="L4513" s="19" t="n">
        <v>46388</v>
      </c>
      <c r="M4513" t="inlineStr">
        <is>
          <t>PQS TIPO ABC</t>
        </is>
      </c>
      <c r="N4513" t="inlineStr">
        <is>
          <t>10/000494</t>
        </is>
      </c>
      <c r="O4513" t="inlineStr">
        <is>
          <t>R</t>
        </is>
      </c>
      <c r="P4513">
        <f>TRIM(N4513)</f>
        <v/>
      </c>
    </row>
    <row r="4514">
      <c r="A4514" t="inlineStr">
        <is>
          <t>CO-002661</t>
        </is>
      </c>
      <c r="B4514" t="inlineStr">
        <is>
          <t>GACSA PERU S.A.C.</t>
        </is>
      </c>
      <c r="C4514" t="n">
        <v>20602629068</v>
      </c>
      <c r="D4514" t="inlineStr">
        <is>
          <t>Vía Expresa Luis Fernan Bedoya Reyes N° 2289-2249 (HYUNDAI LA VICTORIA)</t>
        </is>
      </c>
      <c r="E4514" t="inlineStr">
        <is>
          <t>Lima, 29 de enero del 2026</t>
        </is>
      </c>
      <c r="F4514" t="inlineStr">
        <is>
          <t>la Recarga y mantenimiento</t>
        </is>
      </c>
      <c r="G4514" t="n">
        <v>11</v>
      </c>
      <c r="H4514" t="inlineStr">
        <is>
          <t>10 LBS</t>
        </is>
      </c>
      <c r="I4514" t="n">
        <v>2030</v>
      </c>
      <c r="J4514" t="n">
        <v>2025</v>
      </c>
      <c r="K4514" s="19" t="n">
        <v>46023</v>
      </c>
      <c r="L4514" s="19" t="n">
        <v>46388</v>
      </c>
      <c r="M4514" t="inlineStr">
        <is>
          <t>PQS TIPO ABC</t>
        </is>
      </c>
      <c r="N4514" t="inlineStr">
        <is>
          <t>11/006477</t>
        </is>
      </c>
      <c r="O4514" t="inlineStr">
        <is>
          <t>R</t>
        </is>
      </c>
      <c r="P4514">
        <f>TRIM(N4514)</f>
        <v/>
      </c>
    </row>
    <row r="4515">
      <c r="A4515" t="inlineStr">
        <is>
          <t>CO-002661</t>
        </is>
      </c>
      <c r="B4515" t="inlineStr">
        <is>
          <t>GACSA PERU S.A.C.</t>
        </is>
      </c>
      <c r="C4515" t="n">
        <v>20602629068</v>
      </c>
      <c r="D4515" t="inlineStr">
        <is>
          <t>Vía Expresa Luis Fernan Bedoya Reyes N° 2289-2249 (HYUNDAI LA VICTORIA)</t>
        </is>
      </c>
      <c r="E4515" t="inlineStr">
        <is>
          <t>Lima, 29 de enero del 2026</t>
        </is>
      </c>
      <c r="F4515" t="inlineStr">
        <is>
          <t>la Recarga y mantenimiento</t>
        </is>
      </c>
      <c r="G4515" t="n">
        <v>12</v>
      </c>
      <c r="H4515" t="inlineStr">
        <is>
          <t>06 KG</t>
        </is>
      </c>
      <c r="I4515" t="n">
        <v>2031</v>
      </c>
      <c r="J4515" t="n">
        <v>2021</v>
      </c>
      <c r="K4515" s="19" t="n">
        <v>46023</v>
      </c>
      <c r="L4515" s="19" t="n">
        <v>46388</v>
      </c>
      <c r="M4515" t="inlineStr">
        <is>
          <t>PQS TIPO ABC</t>
        </is>
      </c>
      <c r="N4515" t="inlineStr">
        <is>
          <t>12/000720</t>
        </is>
      </c>
      <c r="O4515" t="inlineStr">
        <is>
          <t>R</t>
        </is>
      </c>
      <c r="P4515">
        <f>TRIM(N4515)</f>
        <v/>
      </c>
    </row>
    <row r="4516">
      <c r="A4516" t="inlineStr">
        <is>
          <t>CO-002661</t>
        </is>
      </c>
      <c r="B4516" t="inlineStr">
        <is>
          <t>GACSA PERU S.A.C.</t>
        </is>
      </c>
      <c r="C4516" t="n">
        <v>20602629068</v>
      </c>
      <c r="D4516" t="inlineStr">
        <is>
          <t>Vía Expresa Luis Fernan Bedoya Reyes N° 2289-2249 (HYUNDAI LA VICTORIA)</t>
        </is>
      </c>
      <c r="E4516" t="inlineStr">
        <is>
          <t>Lima, 29 de enero del 2026</t>
        </is>
      </c>
      <c r="F4516" t="inlineStr">
        <is>
          <t>la Recarga y mantenimiento</t>
        </is>
      </c>
      <c r="G4516" t="n">
        <v>13</v>
      </c>
      <c r="H4516" t="inlineStr">
        <is>
          <t>50 KG</t>
        </is>
      </c>
      <c r="I4516" t="n">
        <v>2031</v>
      </c>
      <c r="J4516" t="n">
        <v>2021</v>
      </c>
      <c r="K4516" s="19" t="n">
        <v>46023</v>
      </c>
      <c r="L4516" s="19" t="n">
        <v>46388</v>
      </c>
      <c r="M4516" t="inlineStr">
        <is>
          <t xml:space="preserve">PQS TIPO ABC </t>
        </is>
      </c>
      <c r="N4516" t="inlineStr">
        <is>
          <t>13/000005</t>
        </is>
      </c>
      <c r="O4516" t="inlineStr">
        <is>
          <t>R</t>
        </is>
      </c>
      <c r="P4516">
        <f>TRIM(N4516)</f>
        <v/>
      </c>
    </row>
    <row r="4517">
      <c r="A4517" t="inlineStr">
        <is>
          <t>CO-002661</t>
        </is>
      </c>
      <c r="B4517" t="inlineStr">
        <is>
          <t>GACSA PERU S.A.C.</t>
        </is>
      </c>
      <c r="C4517" t="n">
        <v>20602629068</v>
      </c>
      <c r="D4517" t="inlineStr">
        <is>
          <t>Vía Expresa Luis Fernan Bedoya Reyes N° 2289-2249 (HYUNDAI LA VICTORIA)</t>
        </is>
      </c>
      <c r="E4517" t="inlineStr">
        <is>
          <t>Lima, 29 de enero del 2026</t>
        </is>
      </c>
      <c r="F4517" t="inlineStr">
        <is>
          <t>la Recarga y mantenimiento</t>
        </is>
      </c>
      <c r="G4517" t="n">
        <v>14</v>
      </c>
      <c r="H4517" t="inlineStr">
        <is>
          <t>12 KG</t>
        </is>
      </c>
      <c r="I4517" t="n">
        <v>2031</v>
      </c>
      <c r="J4517" t="n">
        <v>2021</v>
      </c>
      <c r="K4517" s="19" t="n">
        <v>46023</v>
      </c>
      <c r="L4517" s="19" t="n">
        <v>46388</v>
      </c>
      <c r="M4517" t="inlineStr">
        <is>
          <t xml:space="preserve">PQS TIPO ABC </t>
        </is>
      </c>
      <c r="N4517" t="inlineStr">
        <is>
          <t>14/000319</t>
        </is>
      </c>
      <c r="O4517" t="inlineStr">
        <is>
          <t>R</t>
        </is>
      </c>
      <c r="P4517">
        <f>TRIM(N4517)</f>
        <v/>
      </c>
    </row>
    <row r="4518">
      <c r="A4518" t="inlineStr">
        <is>
          <t>CO-002661</t>
        </is>
      </c>
      <c r="B4518" t="inlineStr">
        <is>
          <t>GACSA PERU S.A.C.</t>
        </is>
      </c>
      <c r="C4518" t="n">
        <v>20602629068</v>
      </c>
      <c r="D4518" t="inlineStr">
        <is>
          <t>Vía Expresa Luis Fernan Bedoya Reyes N° 2289-2249 (HYUNDAI LA VICTORIA)</t>
        </is>
      </c>
      <c r="E4518" t="inlineStr">
        <is>
          <t>Lima, 29 de enero del 2026</t>
        </is>
      </c>
      <c r="F4518" t="inlineStr">
        <is>
          <t>la Recarga y mantenimiento</t>
        </is>
      </c>
      <c r="G4518" t="n">
        <v>15</v>
      </c>
      <c r="H4518" t="inlineStr">
        <is>
          <t>06 KG</t>
        </is>
      </c>
      <c r="I4518" t="n">
        <v>2027</v>
      </c>
      <c r="J4518" t="n">
        <v>2022</v>
      </c>
      <c r="K4518" s="19" t="n">
        <v>46023</v>
      </c>
      <c r="L4518" s="19" t="n">
        <v>46388</v>
      </c>
      <c r="M4518" t="inlineStr">
        <is>
          <t xml:space="preserve">PQS TIPO ABC </t>
        </is>
      </c>
      <c r="N4518" t="inlineStr">
        <is>
          <t>15/001900</t>
        </is>
      </c>
      <c r="P4518">
        <f>TRIM(N4518)</f>
        <v/>
      </c>
    </row>
    <row r="4519">
      <c r="A4519" t="inlineStr">
        <is>
          <t>CO-002662</t>
        </is>
      </c>
      <c r="B4519" t="inlineStr">
        <is>
          <t>GACSA PERU S.A.C.</t>
        </is>
      </c>
      <c r="C4519" t="n">
        <v>20602629068</v>
      </c>
      <c r="D4519" t="inlineStr">
        <is>
          <t>Vía Expresa Luis Fernan Bedoya Reyes N° 2289-2249 (HYUNDAI LA VICTORIA)</t>
        </is>
      </c>
      <c r="E4519" t="inlineStr">
        <is>
          <t>Lima, 29 de enero del 2026</t>
        </is>
      </c>
      <c r="F4519" t="inlineStr">
        <is>
          <t>la Recarga y mantenimiento</t>
        </is>
      </c>
      <c r="G4519" t="n">
        <v>1</v>
      </c>
      <c r="H4519" t="inlineStr">
        <is>
          <t>06 KG</t>
        </is>
      </c>
      <c r="I4519" t="n">
        <v>2028</v>
      </c>
      <c r="J4519" t="n">
        <v>2023</v>
      </c>
      <c r="K4519" t="n">
        <v>46023</v>
      </c>
      <c r="L4519" t="n">
        <v>46388</v>
      </c>
      <c r="M4519" t="inlineStr">
        <is>
          <t>PQS TIPO ABC</t>
        </is>
      </c>
      <c r="N4519" t="inlineStr">
        <is>
          <t>16/012401</t>
        </is>
      </c>
      <c r="O4519" t="inlineStr">
        <is>
          <t>R</t>
        </is>
      </c>
      <c r="P4519">
        <f>TRIM(N4519)</f>
        <v/>
      </c>
    </row>
    <row r="4520">
      <c r="A4520" t="inlineStr">
        <is>
          <t>CO-002662</t>
        </is>
      </c>
      <c r="B4520" t="inlineStr">
        <is>
          <t>GACSA PERU S.A.C.</t>
        </is>
      </c>
      <c r="C4520" t="n">
        <v>20602629068</v>
      </c>
      <c r="D4520" t="inlineStr">
        <is>
          <t>Vía Expresa Luis Fernan Bedoya Reyes N° 2289-2249 (HYUNDAI LA VICTORIA)</t>
        </is>
      </c>
      <c r="E4520" t="inlineStr">
        <is>
          <t>Lima, 29 de enero del 2026</t>
        </is>
      </c>
      <c r="F4520" t="inlineStr">
        <is>
          <t>la Recarga y mantenimiento</t>
        </is>
      </c>
      <c r="G4520" t="n">
        <v>2</v>
      </c>
      <c r="H4520" t="inlineStr">
        <is>
          <t>12 KG</t>
        </is>
      </c>
      <c r="I4520" t="n">
        <v>2030</v>
      </c>
      <c r="J4520" t="n">
        <v>2015</v>
      </c>
      <c r="K4520" s="19" t="n">
        <v>45962</v>
      </c>
      <c r="L4520" s="19" t="n">
        <v>46327</v>
      </c>
      <c r="M4520" t="inlineStr">
        <is>
          <t>PQS TIPO ABC</t>
        </is>
      </c>
      <c r="N4520" t="inlineStr">
        <is>
          <t>17/000288</t>
        </is>
      </c>
      <c r="O4520" t="inlineStr">
        <is>
          <t>R</t>
        </is>
      </c>
      <c r="P4520">
        <f>TRIM(N4520)</f>
        <v/>
      </c>
    </row>
    <row r="4521">
      <c r="A4521" t="inlineStr">
        <is>
          <t>CO-002662</t>
        </is>
      </c>
      <c r="B4521" t="inlineStr">
        <is>
          <t>GACSA PERU S.A.C.</t>
        </is>
      </c>
      <c r="C4521" t="n">
        <v>20602629068</v>
      </c>
      <c r="D4521" t="inlineStr">
        <is>
          <t>Vía Expresa Luis Fernan Bedoya Reyes N° 2289-2249 (HYUNDAI LA VICTORIA)</t>
        </is>
      </c>
      <c r="E4521" t="inlineStr">
        <is>
          <t>Lima, 29 de enero del 2026</t>
        </is>
      </c>
      <c r="F4521" t="inlineStr">
        <is>
          <t>la Recarga y mantenimiento</t>
        </is>
      </c>
      <c r="G4521" t="n">
        <v>3</v>
      </c>
      <c r="H4521" t="inlineStr">
        <is>
          <t>6 KG</t>
        </is>
      </c>
      <c r="I4521" t="n">
        <v>2031</v>
      </c>
      <c r="J4521" t="inlineStr">
        <is>
          <t>S/N</t>
        </is>
      </c>
      <c r="K4521" s="19" t="n">
        <v>46023</v>
      </c>
      <c r="L4521" s="19" t="n">
        <v>46388</v>
      </c>
      <c r="M4521" t="inlineStr">
        <is>
          <t xml:space="preserve">PQS TIPO ABC </t>
        </is>
      </c>
      <c r="N4521" t="inlineStr">
        <is>
          <t>18/003210</t>
        </is>
      </c>
      <c r="O4521" t="inlineStr">
        <is>
          <t>R</t>
        </is>
      </c>
      <c r="P4521">
        <f>TRIM(N4521)</f>
        <v/>
      </c>
    </row>
    <row r="4522">
      <c r="A4522" t="inlineStr">
        <is>
          <t>CO-002662</t>
        </is>
      </c>
      <c r="B4522" t="inlineStr">
        <is>
          <t>GACSA PERU S.A.C.</t>
        </is>
      </c>
      <c r="C4522" t="n">
        <v>20602629068</v>
      </c>
      <c r="D4522" t="inlineStr">
        <is>
          <t>Vía Expresa Luis Fernan Bedoya Reyes N° 2289-2249 (HYUNDAI LA VICTORIA)</t>
        </is>
      </c>
      <c r="E4522" t="inlineStr">
        <is>
          <t>Lima, 29 de enero del 2026</t>
        </is>
      </c>
      <c r="F4522" t="inlineStr">
        <is>
          <t>la Recarga y mantenimiento</t>
        </is>
      </c>
      <c r="G4522" t="n">
        <v>4</v>
      </c>
      <c r="H4522" t="inlineStr">
        <is>
          <t>06 KG</t>
        </is>
      </c>
      <c r="I4522" t="n">
        <v>2030</v>
      </c>
      <c r="J4522" t="n">
        <v>2025</v>
      </c>
      <c r="K4522" s="19" t="n">
        <v>46023</v>
      </c>
      <c r="L4522" s="19" t="n">
        <v>46388</v>
      </c>
      <c r="M4522" t="inlineStr">
        <is>
          <t xml:space="preserve">PQS TIPO ABC </t>
        </is>
      </c>
      <c r="N4522" t="inlineStr">
        <is>
          <t>19/002850</t>
        </is>
      </c>
      <c r="O4522" t="inlineStr">
        <is>
          <t>R</t>
        </is>
      </c>
      <c r="P4522">
        <f>TRIM(N4522)</f>
        <v/>
      </c>
    </row>
    <row r="4523">
      <c r="A4523" t="inlineStr">
        <is>
          <t>CO-002663</t>
        </is>
      </c>
      <c r="B4523" t="inlineStr">
        <is>
          <t>GACSA PERU S.A.C.</t>
        </is>
      </c>
      <c r="C4523" t="n">
        <v>20602629068</v>
      </c>
      <c r="D4523" t="inlineStr">
        <is>
          <t xml:space="preserve">ALMACEN CD HYUNDAI LA VICTORIA </t>
        </is>
      </c>
      <c r="E4523" t="inlineStr">
        <is>
          <t>Lima, 29 de enero del 2026</t>
        </is>
      </c>
      <c r="F4523" t="inlineStr">
        <is>
          <t>la Recarga y mantenimiento</t>
        </is>
      </c>
      <c r="G4523" t="n">
        <v>1</v>
      </c>
      <c r="H4523" t="inlineStr">
        <is>
          <t>10 LBS</t>
        </is>
      </c>
      <c r="I4523" t="n">
        <v>2030</v>
      </c>
      <c r="J4523" t="n">
        <v>2025</v>
      </c>
      <c r="K4523" t="inlineStr">
        <is>
          <t>ENERO 2026</t>
        </is>
      </c>
      <c r="L4523" t="inlineStr">
        <is>
          <t>ENERO 2027</t>
        </is>
      </c>
      <c r="M4523" t="inlineStr">
        <is>
          <t>CO2 TIPO BC</t>
        </is>
      </c>
      <c r="N4523" t="inlineStr">
        <is>
          <t>01/000257</t>
        </is>
      </c>
      <c r="O4523" t="inlineStr">
        <is>
          <t>R</t>
        </is>
      </c>
      <c r="P4523">
        <f>TRIM(N4523)</f>
        <v/>
      </c>
    </row>
    <row r="4524">
      <c r="A4524" t="inlineStr">
        <is>
          <t>CO-002663</t>
        </is>
      </c>
      <c r="B4524" t="inlineStr">
        <is>
          <t>GACSA PERU S.A.C.</t>
        </is>
      </c>
      <c r="C4524" t="n">
        <v>20602629068</v>
      </c>
      <c r="D4524" t="inlineStr">
        <is>
          <t xml:space="preserve">ALMACEN CD HYUNDAI LA VICTORIA </t>
        </is>
      </c>
      <c r="E4524" t="inlineStr">
        <is>
          <t>Lima, 29 de enero del 2026</t>
        </is>
      </c>
      <c r="F4524" t="inlineStr">
        <is>
          <t>la Recarga y mantenimiento</t>
        </is>
      </c>
      <c r="G4524" t="n">
        <v>2</v>
      </c>
      <c r="H4524" t="inlineStr">
        <is>
          <t>10 LBS</t>
        </is>
      </c>
      <c r="I4524" t="n">
        <v>2028</v>
      </c>
      <c r="J4524" t="n">
        <v>2023</v>
      </c>
      <c r="K4524" t="inlineStr">
        <is>
          <t>ENERO 2026</t>
        </is>
      </c>
      <c r="L4524" t="inlineStr">
        <is>
          <t>ENERO 2027</t>
        </is>
      </c>
      <c r="M4524" t="inlineStr">
        <is>
          <t>CO2 TIPO BC</t>
        </is>
      </c>
      <c r="N4524" t="inlineStr">
        <is>
          <t>02/000156</t>
        </is>
      </c>
      <c r="O4524" t="inlineStr">
        <is>
          <t>R</t>
        </is>
      </c>
      <c r="P4524">
        <f>TRIM(N4524)</f>
        <v/>
      </c>
    </row>
    <row r="4525">
      <c r="A4525" t="inlineStr">
        <is>
          <t>CO-002663</t>
        </is>
      </c>
      <c r="B4525" t="inlineStr">
        <is>
          <t>GACSA PERU S.A.C.</t>
        </is>
      </c>
      <c r="C4525" t="n">
        <v>20602629068</v>
      </c>
      <c r="D4525" t="inlineStr">
        <is>
          <t xml:space="preserve">ALMACEN CD HYUNDAI LA VICTORIA </t>
        </is>
      </c>
      <c r="E4525" t="inlineStr">
        <is>
          <t>Lima, 29 de enero del 2026</t>
        </is>
      </c>
      <c r="F4525" t="inlineStr">
        <is>
          <t>la Recarga y mantenimiento</t>
        </is>
      </c>
      <c r="G4525" t="n">
        <v>3</v>
      </c>
      <c r="H4525" t="inlineStr">
        <is>
          <t>09 KG</t>
        </is>
      </c>
      <c r="I4525" t="n">
        <v>2030</v>
      </c>
      <c r="J4525" t="n">
        <v>2025</v>
      </c>
      <c r="K4525" t="inlineStr">
        <is>
          <t>ENERO 2026</t>
        </is>
      </c>
      <c r="L4525" t="inlineStr">
        <is>
          <t>ENERO 2027</t>
        </is>
      </c>
      <c r="M4525" t="inlineStr">
        <is>
          <t>PQS TIPO ABC AL 75%</t>
        </is>
      </c>
      <c r="N4525" t="inlineStr">
        <is>
          <t>03/000699</t>
        </is>
      </c>
      <c r="O4525" t="inlineStr">
        <is>
          <t>V</t>
        </is>
      </c>
      <c r="P4525">
        <f>TRIM(N4525)</f>
        <v/>
      </c>
    </row>
    <row r="4526">
      <c r="A4526" t="inlineStr">
        <is>
          <t>CO-002663</t>
        </is>
      </c>
      <c r="B4526" t="inlineStr">
        <is>
          <t>GACSA PERU S.A.C.</t>
        </is>
      </c>
      <c r="C4526" t="n">
        <v>20602629068</v>
      </c>
      <c r="D4526" t="inlineStr">
        <is>
          <t xml:space="preserve">ALMACEN CD HYUNDAI LA VICTORIA </t>
        </is>
      </c>
      <c r="E4526" t="inlineStr">
        <is>
          <t>Lima, 29 de enero del 2026</t>
        </is>
      </c>
      <c r="F4526" t="inlineStr">
        <is>
          <t>la Recarga y mantenimiento</t>
        </is>
      </c>
      <c r="G4526" t="n">
        <v>4</v>
      </c>
      <c r="H4526" t="inlineStr">
        <is>
          <t>09 KG</t>
        </is>
      </c>
      <c r="I4526" t="n">
        <v>2030</v>
      </c>
      <c r="J4526" t="n">
        <v>2025</v>
      </c>
      <c r="K4526" t="inlineStr">
        <is>
          <t>ENERO 2026</t>
        </is>
      </c>
      <c r="L4526" t="inlineStr">
        <is>
          <t>ENERO 2027</t>
        </is>
      </c>
      <c r="M4526" t="inlineStr">
        <is>
          <t>PQS TIPO ABC AL 75%</t>
        </is>
      </c>
      <c r="N4526" t="inlineStr">
        <is>
          <t>04/000208</t>
        </is>
      </c>
      <c r="O4526" t="inlineStr">
        <is>
          <t>V</t>
        </is>
      </c>
      <c r="P4526">
        <f>TRIM(N4526)</f>
        <v/>
      </c>
    </row>
    <row r="4527">
      <c r="A4527" t="inlineStr">
        <is>
          <t>CO-002663</t>
        </is>
      </c>
      <c r="B4527" t="inlineStr">
        <is>
          <t>GACSA PERU S.A.C.</t>
        </is>
      </c>
      <c r="C4527" t="n">
        <v>20602629068</v>
      </c>
      <c r="D4527" t="inlineStr">
        <is>
          <t xml:space="preserve">ALMACEN CD HYUNDAI LA VICTORIA </t>
        </is>
      </c>
      <c r="E4527" t="inlineStr">
        <is>
          <t>Lima, 29 de enero del 2026</t>
        </is>
      </c>
      <c r="F4527" t="inlineStr">
        <is>
          <t>la Recarga y mantenimiento</t>
        </is>
      </c>
      <c r="G4527" t="n">
        <v>5</v>
      </c>
      <c r="H4527" t="inlineStr">
        <is>
          <t>09 KG</t>
        </is>
      </c>
      <c r="I4527" t="n">
        <v>2030</v>
      </c>
      <c r="J4527" t="n">
        <v>2025</v>
      </c>
      <c r="K4527" t="inlineStr">
        <is>
          <t>ENERO 2026</t>
        </is>
      </c>
      <c r="L4527" t="inlineStr">
        <is>
          <t>ENERO 2027</t>
        </is>
      </c>
      <c r="M4527" t="inlineStr">
        <is>
          <t>PQS TIPO ABC AL 75%</t>
        </is>
      </c>
      <c r="N4527" t="inlineStr">
        <is>
          <t>05/000630</t>
        </is>
      </c>
      <c r="O4527" t="inlineStr">
        <is>
          <t>V</t>
        </is>
      </c>
      <c r="P4527">
        <f>TRIM(N4527)</f>
        <v/>
      </c>
    </row>
    <row r="4528">
      <c r="A4528" t="inlineStr">
        <is>
          <t>CO-002663</t>
        </is>
      </c>
      <c r="B4528" t="inlineStr">
        <is>
          <t>GACSA PERU S.A.C.</t>
        </is>
      </c>
      <c r="C4528" t="n">
        <v>20602629068</v>
      </c>
      <c r="D4528" t="inlineStr">
        <is>
          <t xml:space="preserve">ALMACEN CD HYUNDAI LA VICTORIA </t>
        </is>
      </c>
      <c r="E4528" t="inlineStr">
        <is>
          <t>Lima, 29 de enero del 2026</t>
        </is>
      </c>
      <c r="F4528" t="inlineStr">
        <is>
          <t>la Recarga y mantenimiento</t>
        </is>
      </c>
      <c r="G4528" t="n">
        <v>6</v>
      </c>
      <c r="H4528" t="inlineStr">
        <is>
          <t>09 KG</t>
        </is>
      </c>
      <c r="I4528" t="n">
        <v>2030</v>
      </c>
      <c r="J4528" t="n">
        <v>2025</v>
      </c>
      <c r="K4528" t="inlineStr">
        <is>
          <t>ENERO 2026</t>
        </is>
      </c>
      <c r="L4528" t="inlineStr">
        <is>
          <t>ENERO 2027</t>
        </is>
      </c>
      <c r="M4528" t="inlineStr">
        <is>
          <t>PQS TIPO ABC AL 75%</t>
        </is>
      </c>
      <c r="N4528" t="inlineStr">
        <is>
          <t>06/000236</t>
        </is>
      </c>
      <c r="O4528" t="inlineStr">
        <is>
          <t>V</t>
        </is>
      </c>
      <c r="P4528">
        <f>TRIM(N4528)</f>
        <v/>
      </c>
    </row>
    <row r="4529">
      <c r="A4529" t="inlineStr">
        <is>
          <t>CO-002663</t>
        </is>
      </c>
      <c r="B4529" t="inlineStr">
        <is>
          <t>GACSA PERU S.A.C.</t>
        </is>
      </c>
      <c r="C4529" t="n">
        <v>20602629068</v>
      </c>
      <c r="D4529" t="inlineStr">
        <is>
          <t xml:space="preserve">ALMACEN CD HYUNDAI LA VICTORIA </t>
        </is>
      </c>
      <c r="E4529" t="inlineStr">
        <is>
          <t>Lima, 29 de enero del 2026</t>
        </is>
      </c>
      <c r="F4529" t="inlineStr">
        <is>
          <t>la Recarga y mantenimiento</t>
        </is>
      </c>
      <c r="G4529" t="n">
        <v>7</v>
      </c>
      <c r="H4529" t="inlineStr">
        <is>
          <t>50 KG</t>
        </is>
      </c>
      <c r="I4529" t="n">
        <v>2030</v>
      </c>
      <c r="J4529" t="n">
        <v>2025</v>
      </c>
      <c r="K4529" t="inlineStr">
        <is>
          <t>MARZO 2026</t>
        </is>
      </c>
      <c r="L4529" t="inlineStr">
        <is>
          <t>MARZO 2027</t>
        </is>
      </c>
      <c r="M4529" t="inlineStr">
        <is>
          <t>PQS TIPO ABC AL 75%</t>
        </is>
      </c>
      <c r="N4529" t="inlineStr">
        <is>
          <t>07/000001</t>
        </is>
      </c>
      <c r="O4529" t="inlineStr">
        <is>
          <t>V</t>
        </is>
      </c>
      <c r="P4529">
        <f>TRIM(N4529)</f>
        <v/>
      </c>
    </row>
    <row r="4530">
      <c r="A4530" t="inlineStr">
        <is>
          <t>CO-002663</t>
        </is>
      </c>
      <c r="B4530" t="inlineStr">
        <is>
          <t>GACSA PERU S.A.C.</t>
        </is>
      </c>
      <c r="C4530" t="n">
        <v>20602629068</v>
      </c>
      <c r="D4530" t="inlineStr">
        <is>
          <t xml:space="preserve">ALMACEN CD HYUNDAI LA VICTORIA </t>
        </is>
      </c>
      <c r="E4530" t="inlineStr">
        <is>
          <t>Lima, 29 de enero del 2026</t>
        </is>
      </c>
      <c r="F4530" t="inlineStr">
        <is>
          <t>la Recarga y mantenimiento</t>
        </is>
      </c>
      <c r="G4530" t="n">
        <v>8</v>
      </c>
      <c r="H4530" t="inlineStr">
        <is>
          <t>50 KG</t>
        </is>
      </c>
      <c r="I4530" t="n">
        <v>2028</v>
      </c>
      <c r="J4530" t="n">
        <v>2011</v>
      </c>
      <c r="K4530" t="inlineStr">
        <is>
          <t>ENERO 2026</t>
        </is>
      </c>
      <c r="L4530" t="inlineStr">
        <is>
          <t>ENERO 2027</t>
        </is>
      </c>
      <c r="M4530" t="inlineStr">
        <is>
          <t>PQS TIPO ABC AL 75%</t>
        </is>
      </c>
      <c r="N4530" t="inlineStr">
        <is>
          <t>08/000052</t>
        </is>
      </c>
      <c r="O4530" t="inlineStr">
        <is>
          <t>R</t>
        </is>
      </c>
      <c r="P4530">
        <f>TRIM(N4530)</f>
        <v/>
      </c>
    </row>
    <row r="4531">
      <c r="A4531" t="inlineStr">
        <is>
          <t>CO-002663</t>
        </is>
      </c>
      <c r="B4531" t="inlineStr">
        <is>
          <t>GACSA PERU S.A.C.</t>
        </is>
      </c>
      <c r="C4531" t="n">
        <v>20602629068</v>
      </c>
      <c r="D4531" t="inlineStr">
        <is>
          <t xml:space="preserve">ALMACEN CD HYUNDAI LA VICTORIA </t>
        </is>
      </c>
      <c r="E4531" t="inlineStr">
        <is>
          <t>Lima, 29 de enero del 2026</t>
        </is>
      </c>
      <c r="F4531" t="inlineStr">
        <is>
          <t>la Recarga y mantenimiento</t>
        </is>
      </c>
      <c r="G4531" t="n">
        <v>9</v>
      </c>
      <c r="H4531" t="inlineStr">
        <is>
          <t>06 KG</t>
        </is>
      </c>
      <c r="I4531" t="n">
        <v>2031</v>
      </c>
      <c r="J4531" t="n">
        <v>2020</v>
      </c>
      <c r="K4531" t="inlineStr">
        <is>
          <t>ENERO 2026</t>
        </is>
      </c>
      <c r="L4531" t="inlineStr">
        <is>
          <t>ENERO 2027</t>
        </is>
      </c>
      <c r="M4531" t="inlineStr">
        <is>
          <t>PQS TIPO ABC AL 75%</t>
        </is>
      </c>
      <c r="N4531" t="inlineStr">
        <is>
          <t>09/001138</t>
        </is>
      </c>
      <c r="O4531" t="inlineStr">
        <is>
          <t>R</t>
        </is>
      </c>
      <c r="P4531">
        <f>TRIM(N4531)</f>
        <v/>
      </c>
    </row>
    <row r="4532">
      <c r="A4532" t="inlineStr">
        <is>
          <t>CO-002663</t>
        </is>
      </c>
      <c r="B4532" t="inlineStr">
        <is>
          <t>GACSA PERU S.A.C.</t>
        </is>
      </c>
      <c r="C4532" t="n">
        <v>20602629068</v>
      </c>
      <c r="D4532" t="inlineStr">
        <is>
          <t xml:space="preserve">ALMACEN CD HYUNDAI LA VICTORIA </t>
        </is>
      </c>
      <c r="E4532" t="inlineStr">
        <is>
          <t>Lima, 29 de enero del 2026</t>
        </is>
      </c>
      <c r="F4532" t="inlineStr">
        <is>
          <t>la Recarga y mantenimiento</t>
        </is>
      </c>
      <c r="G4532" t="n">
        <v>10</v>
      </c>
      <c r="H4532" t="inlineStr">
        <is>
          <t>06 KG</t>
        </is>
      </c>
      <c r="I4532" t="n">
        <v>2031</v>
      </c>
      <c r="J4532" t="n">
        <v>2026</v>
      </c>
      <c r="K4532" t="inlineStr">
        <is>
          <t>MARZO 2026</t>
        </is>
      </c>
      <c r="L4532" t="inlineStr">
        <is>
          <t>MARZO 2027</t>
        </is>
      </c>
      <c r="M4532" t="inlineStr">
        <is>
          <t>PQS TIPO ABC AL 75%</t>
        </is>
      </c>
      <c r="N4532" t="inlineStr">
        <is>
          <t>10/00002</t>
        </is>
      </c>
      <c r="O4532" t="inlineStr">
        <is>
          <t>V</t>
        </is>
      </c>
      <c r="P4532">
        <f>TRIM(N4532)</f>
        <v/>
      </c>
    </row>
    <row r="4533">
      <c r="A4533" t="inlineStr">
        <is>
          <t>CO-002663</t>
        </is>
      </c>
      <c r="B4533" t="inlineStr">
        <is>
          <t>GACSA PERU S.A.C.</t>
        </is>
      </c>
      <c r="C4533" t="n">
        <v>20602629068</v>
      </c>
      <c r="D4533" t="inlineStr">
        <is>
          <t xml:space="preserve">ALMACEN CD HYUNDAI LA VICTORIA </t>
        </is>
      </c>
      <c r="E4533" t="inlineStr">
        <is>
          <t>Lima, 29 de enero del 2026</t>
        </is>
      </c>
      <c r="F4533" t="inlineStr">
        <is>
          <t>la Recarga y mantenimiento</t>
        </is>
      </c>
      <c r="G4533" t="n">
        <v>11</v>
      </c>
      <c r="H4533" t="inlineStr">
        <is>
          <t>2.5 GLS</t>
        </is>
      </c>
      <c r="I4533" t="n">
        <v>2029</v>
      </c>
      <c r="J4533" t="inlineStr">
        <is>
          <t>N/R</t>
        </is>
      </c>
      <c r="K4533" t="inlineStr">
        <is>
          <t>ENERO 2026</t>
        </is>
      </c>
      <c r="L4533" t="inlineStr">
        <is>
          <t>ENERO 2027</t>
        </is>
      </c>
      <c r="M4533" t="inlineStr">
        <is>
          <t>ACETATO TIPO K</t>
        </is>
      </c>
      <c r="N4533" t="inlineStr">
        <is>
          <t>11/000203</t>
        </is>
      </c>
      <c r="O4533" t="inlineStr">
        <is>
          <t>R</t>
        </is>
      </c>
      <c r="P4533">
        <f>TRIM(N4533)</f>
        <v/>
      </c>
    </row>
    <row r="4534">
      <c r="A4534" t="inlineStr">
        <is>
          <t>CO-002663</t>
        </is>
      </c>
      <c r="B4534" t="inlineStr">
        <is>
          <t>GACSA PERU S.A.C.</t>
        </is>
      </c>
      <c r="C4534" t="n">
        <v>20602629068</v>
      </c>
      <c r="D4534" t="inlineStr">
        <is>
          <t xml:space="preserve">ALMACEN CD HYUNDAI LA VICTORIA </t>
        </is>
      </c>
      <c r="E4534" t="inlineStr">
        <is>
          <t>Lima, 29 de enero del 2026</t>
        </is>
      </c>
      <c r="F4534" t="inlineStr">
        <is>
          <t>la Recarga y mantenimiento</t>
        </is>
      </c>
      <c r="G4534" t="n">
        <v>12</v>
      </c>
      <c r="H4534" t="inlineStr">
        <is>
          <t>05 LBS</t>
        </is>
      </c>
      <c r="I4534" t="n">
        <v>2031</v>
      </c>
      <c r="J4534" t="n">
        <v>2026</v>
      </c>
      <c r="K4534" t="inlineStr">
        <is>
          <t>MARZO 2026</t>
        </is>
      </c>
      <c r="L4534" t="inlineStr">
        <is>
          <t>MARZO 2027</t>
        </is>
      </c>
      <c r="M4534" t="inlineStr">
        <is>
          <t>CO2 TIPO BC</t>
        </is>
      </c>
      <c r="N4534" t="inlineStr">
        <is>
          <t>12/000003</t>
        </is>
      </c>
      <c r="O4534" t="inlineStr">
        <is>
          <t>V</t>
        </is>
      </c>
      <c r="P4534">
        <f>TRIM(N4534)</f>
        <v/>
      </c>
    </row>
    <row r="4535">
      <c r="A4535" t="inlineStr">
        <is>
          <t>CO-002663</t>
        </is>
      </c>
      <c r="B4535" t="inlineStr">
        <is>
          <t>GACSA PERU S.A.C.</t>
        </is>
      </c>
      <c r="C4535" t="n">
        <v>20602629068</v>
      </c>
      <c r="D4535" t="inlineStr">
        <is>
          <t xml:space="preserve">ALMACEN CD HYUNDAI LA VICTORIA </t>
        </is>
      </c>
      <c r="E4535" t="inlineStr">
        <is>
          <t>Lima, 29 de enero del 2026</t>
        </is>
      </c>
      <c r="F4535" t="inlineStr">
        <is>
          <t>la Recarga y mantenimiento</t>
        </is>
      </c>
      <c r="G4535" t="n">
        <v>13</v>
      </c>
      <c r="H4535" t="inlineStr">
        <is>
          <t>06 KG</t>
        </is>
      </c>
      <c r="I4535" t="n">
        <v>2028</v>
      </c>
      <c r="J4535" t="n">
        <v>2018</v>
      </c>
      <c r="K4535" t="inlineStr">
        <is>
          <t>ENERO 2026</t>
        </is>
      </c>
      <c r="L4535" t="inlineStr">
        <is>
          <t>ENERO 2027</t>
        </is>
      </c>
      <c r="M4535" t="inlineStr">
        <is>
          <t>PQS TIPO ABC AL 75%</t>
        </is>
      </c>
      <c r="N4535" t="inlineStr">
        <is>
          <t>13/001994</t>
        </is>
      </c>
      <c r="O4535" t="inlineStr">
        <is>
          <t>R</t>
        </is>
      </c>
      <c r="P4535">
        <f>TRIM(N4535)</f>
        <v/>
      </c>
    </row>
    <row r="4536">
      <c r="A4536" t="inlineStr">
        <is>
          <t>CO-002664</t>
        </is>
      </c>
      <c r="B4536" t="inlineStr">
        <is>
          <t>GACSA PERU S.A.C.</t>
        </is>
      </c>
      <c r="C4536" t="n">
        <v>20602629068</v>
      </c>
      <c r="D4536" t="inlineStr">
        <is>
          <t>Vía Expresa Luis Fernan Bedoya Reyes N° 2289-2249 (GEELY LA VICTORIA)</t>
        </is>
      </c>
      <c r="E4536" t="inlineStr">
        <is>
          <t>Lima, 29 de enero del 2026</t>
        </is>
      </c>
      <c r="F4536" t="inlineStr">
        <is>
          <t>la Recarga y mantenimiento</t>
        </is>
      </c>
      <c r="G4536" t="n">
        <v>1</v>
      </c>
      <c r="H4536" t="inlineStr">
        <is>
          <t>06 KG</t>
        </is>
      </c>
      <c r="I4536" t="n">
        <v>2030</v>
      </c>
      <c r="J4536" t="n">
        <v>2025</v>
      </c>
      <c r="K4536" t="inlineStr">
        <is>
          <t>ENERO 2026</t>
        </is>
      </c>
      <c r="L4536" t="inlineStr">
        <is>
          <t>ENERO 2027</t>
        </is>
      </c>
      <c r="M4536" t="inlineStr">
        <is>
          <t xml:space="preserve">PQS TIPO ABC </t>
        </is>
      </c>
      <c r="N4536" t="inlineStr">
        <is>
          <t>01/000175</t>
        </is>
      </c>
      <c r="O4536" t="inlineStr">
        <is>
          <t>R</t>
        </is>
      </c>
      <c r="P4536">
        <f>TRIM(N4536)</f>
        <v/>
      </c>
    </row>
    <row r="4537">
      <c r="A4537" t="inlineStr">
        <is>
          <t>CO-002664</t>
        </is>
      </c>
      <c r="B4537" t="inlineStr">
        <is>
          <t>GACSA PERU S.A.C.</t>
        </is>
      </c>
      <c r="C4537" t="n">
        <v>20602629068</v>
      </c>
      <c r="D4537" t="inlineStr">
        <is>
          <t>Vía Expresa Luis Fernan Bedoya Reyes N° 2289-2249 (GEELY LA VICTORIA)</t>
        </is>
      </c>
      <c r="E4537" t="inlineStr">
        <is>
          <t>Lima, 29 de enero del 2026</t>
        </is>
      </c>
      <c r="F4537" t="inlineStr">
        <is>
          <t>la Recarga y mantenimiento</t>
        </is>
      </c>
      <c r="G4537" t="n">
        <v>2</v>
      </c>
      <c r="H4537" t="inlineStr">
        <is>
          <t>06 KG</t>
        </is>
      </c>
      <c r="I4537" t="n">
        <v>2027</v>
      </c>
      <c r="J4537" t="n">
        <v>2006</v>
      </c>
      <c r="K4537" t="inlineStr">
        <is>
          <t>ENERO 2026</t>
        </is>
      </c>
      <c r="L4537" t="inlineStr">
        <is>
          <t>ENERO 2027</t>
        </is>
      </c>
      <c r="M4537" t="inlineStr">
        <is>
          <t>PQS TIPO ABC</t>
        </is>
      </c>
      <c r="N4537" t="inlineStr">
        <is>
          <t>02/000206</t>
        </is>
      </c>
      <c r="O4537" t="inlineStr">
        <is>
          <t>R</t>
        </is>
      </c>
      <c r="P4537">
        <f>TRIM(N4537)</f>
        <v/>
      </c>
    </row>
    <row r="4538">
      <c r="A4538" t="inlineStr">
        <is>
          <t>CO-002664</t>
        </is>
      </c>
      <c r="B4538" t="inlineStr">
        <is>
          <t>GACSA PERU S.A.C.</t>
        </is>
      </c>
      <c r="C4538" t="n">
        <v>20602629068</v>
      </c>
      <c r="D4538" t="inlineStr">
        <is>
          <t>Vía Expresa Luis Fernan Bedoya Reyes N° 2289-2249 (GEELY LA VICTORIA)</t>
        </is>
      </c>
      <c r="E4538" t="inlineStr">
        <is>
          <t>Lima, 29 de enero del 2026</t>
        </is>
      </c>
      <c r="F4538" t="inlineStr">
        <is>
          <t>la Recarga y mantenimiento</t>
        </is>
      </c>
      <c r="G4538" t="n">
        <v>3</v>
      </c>
      <c r="H4538" t="inlineStr">
        <is>
          <t>05 LBS</t>
        </is>
      </c>
      <c r="I4538" t="n">
        <v>2030</v>
      </c>
      <c r="J4538" t="n">
        <v>2025</v>
      </c>
      <c r="K4538" t="inlineStr">
        <is>
          <t>ENERO 2026</t>
        </is>
      </c>
      <c r="L4538" t="inlineStr">
        <is>
          <t>ENERO 2027</t>
        </is>
      </c>
      <c r="M4538" t="inlineStr">
        <is>
          <t>PQS TIPO ABC</t>
        </is>
      </c>
      <c r="N4538" t="inlineStr">
        <is>
          <t>03/000178</t>
        </is>
      </c>
      <c r="O4538" t="inlineStr">
        <is>
          <t>R</t>
        </is>
      </c>
      <c r="P4538">
        <f>TRIM(N4538)</f>
        <v/>
      </c>
    </row>
    <row r="4539">
      <c r="A4539" t="inlineStr">
        <is>
          <t>CO-002664</t>
        </is>
      </c>
      <c r="B4539" t="inlineStr">
        <is>
          <t>GACSA PERU S.A.C.</t>
        </is>
      </c>
      <c r="C4539" t="n">
        <v>20602629068</v>
      </c>
      <c r="D4539" t="inlineStr">
        <is>
          <t>Vía Expresa Luis Fernan Bedoya Reyes N° 2289-2249 (GEELY LA VICTORIA)</t>
        </is>
      </c>
      <c r="E4539" t="inlineStr">
        <is>
          <t>Lima, 29 de enero del 2026</t>
        </is>
      </c>
      <c r="F4539" t="inlineStr">
        <is>
          <t>la Recarga y mantenimiento</t>
        </is>
      </c>
      <c r="G4539" t="n">
        <v>4</v>
      </c>
      <c r="H4539" t="inlineStr">
        <is>
          <t>10 LBS</t>
        </is>
      </c>
      <c r="I4539" t="n">
        <v>2028</v>
      </c>
      <c r="J4539" t="n">
        <v>2023</v>
      </c>
      <c r="K4539" t="inlineStr">
        <is>
          <t>ENERO 2026</t>
        </is>
      </c>
      <c r="L4539" t="inlineStr">
        <is>
          <t>ENERO 2027</t>
        </is>
      </c>
      <c r="M4539" t="inlineStr">
        <is>
          <t>CO2 TIPO BC</t>
        </is>
      </c>
      <c r="N4539" t="inlineStr">
        <is>
          <t>04/000103</t>
        </is>
      </c>
      <c r="O4539" t="inlineStr">
        <is>
          <t>R</t>
        </is>
      </c>
      <c r="P4539">
        <f>TRIM(N4539)</f>
        <v/>
      </c>
    </row>
    <row r="4540">
      <c r="A4540" t="inlineStr">
        <is>
          <t>CO-002664</t>
        </is>
      </c>
      <c r="B4540" t="inlineStr">
        <is>
          <t>GACSA PERU S.A.C.</t>
        </is>
      </c>
      <c r="C4540" t="n">
        <v>20602629068</v>
      </c>
      <c r="D4540" t="inlineStr">
        <is>
          <t>Vía Expresa Luis Fernan Bedoya Reyes N° 2289-2249 (GEELY LA VICTORIA)</t>
        </is>
      </c>
      <c r="E4540" t="inlineStr">
        <is>
          <t>Lima, 29 de enero del 2026</t>
        </is>
      </c>
      <c r="F4540" t="inlineStr">
        <is>
          <t>la Recarga y mantenimiento</t>
        </is>
      </c>
      <c r="G4540" t="n">
        <v>5</v>
      </c>
      <c r="H4540" t="inlineStr">
        <is>
          <t>10 LBS</t>
        </is>
      </c>
      <c r="I4540" t="n">
        <v>2031</v>
      </c>
      <c r="J4540" t="n">
        <v>2026</v>
      </c>
      <c r="K4540" t="inlineStr">
        <is>
          <t>MARZO 2026</t>
        </is>
      </c>
      <c r="L4540" t="inlineStr">
        <is>
          <t>MARZO 2027</t>
        </is>
      </c>
      <c r="M4540" t="inlineStr">
        <is>
          <t>CO2 TIPO BC</t>
        </is>
      </c>
      <c r="N4540" t="inlineStr">
        <is>
          <t>05/000001</t>
        </is>
      </c>
      <c r="O4540" t="inlineStr">
        <is>
          <t>V</t>
        </is>
      </c>
      <c r="P4540">
        <f>TRIM(N4540)</f>
        <v/>
      </c>
    </row>
    <row r="4541">
      <c r="A4541" t="inlineStr">
        <is>
          <t>CO-002665</t>
        </is>
      </c>
      <c r="B4541" t="inlineStr">
        <is>
          <t>INVERSIONES TELCOTEL SAC</t>
        </is>
      </c>
      <c r="C4541" t="inlineStr">
        <is>
          <t>20549846000</t>
        </is>
      </c>
      <c r="D4541" t="inlineStr">
        <is>
          <t>Av. San Felipe 806</t>
        </is>
      </c>
      <c r="E4541" t="inlineStr">
        <is>
          <t>Lima, 20 de marzo del 2026</t>
        </is>
      </c>
      <c r="F4541" t="inlineStr">
        <is>
          <t>la Recarga y mantenimiento</t>
        </is>
      </c>
      <c r="G4541" t="n">
        <v>1</v>
      </c>
      <c r="H4541" t="inlineStr">
        <is>
          <t>05 LBS</t>
        </is>
      </c>
      <c r="I4541" t="n">
        <v>2028</v>
      </c>
      <c r="J4541" t="n">
        <v>2018</v>
      </c>
      <c r="K4541" t="inlineStr">
        <is>
          <t>MARZO 2026</t>
        </is>
      </c>
      <c r="L4541" t="inlineStr">
        <is>
          <t>MARZO 2027</t>
        </is>
      </c>
      <c r="M4541" t="inlineStr">
        <is>
          <t>CO2 TIPO BC</t>
        </is>
      </c>
      <c r="N4541" t="inlineStr">
        <is>
          <t>025331</t>
        </is>
      </c>
      <c r="O4541" t="inlineStr">
        <is>
          <t>R</t>
        </is>
      </c>
      <c r="P4541">
        <f>TRIM(N4541)</f>
        <v/>
      </c>
    </row>
    <row r="4542">
      <c r="A4542" t="inlineStr">
        <is>
          <t>CO-002665</t>
        </is>
      </c>
      <c r="B4542" t="inlineStr">
        <is>
          <t>INVERSIONES TELCOTEL SAC</t>
        </is>
      </c>
      <c r="C4542" t="inlineStr">
        <is>
          <t>20549846000</t>
        </is>
      </c>
      <c r="D4542" t="inlineStr">
        <is>
          <t>Av. San Felipe 806</t>
        </is>
      </c>
      <c r="E4542" t="inlineStr">
        <is>
          <t>Lima, 20 de marzo del 2026</t>
        </is>
      </c>
      <c r="F4542" t="inlineStr">
        <is>
          <t>la Recarga y mantenimiento</t>
        </is>
      </c>
      <c r="G4542" t="n">
        <v>2</v>
      </c>
      <c r="H4542" t="inlineStr">
        <is>
          <t>10 LBS</t>
        </is>
      </c>
      <c r="I4542" t="n">
        <v>2028</v>
      </c>
      <c r="J4542" t="n">
        <v>2023</v>
      </c>
      <c r="K4542" t="inlineStr">
        <is>
          <t>MARZO 2026</t>
        </is>
      </c>
      <c r="L4542" t="inlineStr">
        <is>
          <t>MARZO 2027</t>
        </is>
      </c>
      <c r="M4542" t="inlineStr">
        <is>
          <t>CO2 TIPO BC</t>
        </is>
      </c>
      <c r="N4542" t="inlineStr">
        <is>
          <t>000100</t>
        </is>
      </c>
      <c r="O4542" t="inlineStr">
        <is>
          <t>R</t>
        </is>
      </c>
      <c r="P4542">
        <f>TRIM(N4542)</f>
        <v/>
      </c>
    </row>
    <row r="4543">
      <c r="A4543" t="inlineStr">
        <is>
          <t>CO-002665</t>
        </is>
      </c>
      <c r="B4543" t="inlineStr">
        <is>
          <t>INVERSIONES TELCOTEL SAC</t>
        </is>
      </c>
      <c r="C4543" t="inlineStr">
        <is>
          <t>20549846000</t>
        </is>
      </c>
      <c r="D4543" t="inlineStr">
        <is>
          <t>Av. San Felipe 806</t>
        </is>
      </c>
      <c r="E4543" t="inlineStr">
        <is>
          <t>Lima, 20 de marzo del 2026</t>
        </is>
      </c>
      <c r="F4543" t="inlineStr">
        <is>
          <t>la Recarga y mantenimiento</t>
        </is>
      </c>
      <c r="G4543" t="n">
        <v>3</v>
      </c>
      <c r="H4543" t="inlineStr">
        <is>
          <t>10 LBS</t>
        </is>
      </c>
      <c r="I4543" t="n">
        <v>2028</v>
      </c>
      <c r="J4543" t="n">
        <v>2023</v>
      </c>
      <c r="K4543" t="inlineStr">
        <is>
          <t>MARZO 2026</t>
        </is>
      </c>
      <c r="L4543" t="inlineStr">
        <is>
          <t>MARZO 2027</t>
        </is>
      </c>
      <c r="M4543" t="inlineStr">
        <is>
          <t>CO2 TIPO BC</t>
        </is>
      </c>
      <c r="N4543" t="inlineStr">
        <is>
          <t>000162</t>
        </is>
      </c>
      <c r="O4543" t="inlineStr">
        <is>
          <t>R</t>
        </is>
      </c>
      <c r="P4543">
        <f>TRIM(N4543)</f>
        <v/>
      </c>
    </row>
    <row r="4544">
      <c r="A4544" t="inlineStr">
        <is>
          <t>CO-002665</t>
        </is>
      </c>
      <c r="B4544" t="inlineStr">
        <is>
          <t>INVERSIONES TELCOTEL SAC</t>
        </is>
      </c>
      <c r="C4544" t="inlineStr">
        <is>
          <t>20549846000</t>
        </is>
      </c>
      <c r="D4544" t="inlineStr">
        <is>
          <t>Av. San Felipe 806</t>
        </is>
      </c>
      <c r="E4544" t="inlineStr">
        <is>
          <t>Lima, 20 de marzo del 2026</t>
        </is>
      </c>
      <c r="F4544" t="inlineStr">
        <is>
          <t>la Recarga y mantenimiento</t>
        </is>
      </c>
      <c r="G4544" t="n">
        <v>4</v>
      </c>
      <c r="H4544" t="inlineStr">
        <is>
          <t>10 LBS</t>
        </is>
      </c>
      <c r="I4544" t="n">
        <v>2028</v>
      </c>
      <c r="J4544" t="n">
        <v>2023</v>
      </c>
      <c r="K4544" t="inlineStr">
        <is>
          <t>MARZO 2026</t>
        </is>
      </c>
      <c r="L4544" t="inlineStr">
        <is>
          <t>MARZO 2027</t>
        </is>
      </c>
      <c r="M4544" t="inlineStr">
        <is>
          <t>CO2 TIPO BC</t>
        </is>
      </c>
      <c r="N4544" t="inlineStr">
        <is>
          <t>000272</t>
        </is>
      </c>
      <c r="O4544" t="inlineStr">
        <is>
          <t>R</t>
        </is>
      </c>
      <c r="P4544">
        <f>TRIM(N4544)</f>
        <v/>
      </c>
    </row>
    <row r="4545">
      <c r="A4545" t="inlineStr">
        <is>
          <t>CO-002665</t>
        </is>
      </c>
      <c r="B4545" t="inlineStr">
        <is>
          <t>INVERSIONES TELCOTEL SAC</t>
        </is>
      </c>
      <c r="C4545" t="inlineStr">
        <is>
          <t>20549846000</t>
        </is>
      </c>
      <c r="D4545" t="inlineStr">
        <is>
          <t>Av. San Felipe 806</t>
        </is>
      </c>
      <c r="E4545" t="inlineStr">
        <is>
          <t>Lima, 20 de marzo del 2026</t>
        </is>
      </c>
      <c r="F4545" t="inlineStr">
        <is>
          <t>la Recarga y mantenimiento</t>
        </is>
      </c>
      <c r="G4545" t="n">
        <v>5</v>
      </c>
      <c r="H4545" t="inlineStr">
        <is>
          <t>06 KG</t>
        </is>
      </c>
      <c r="I4545" t="n">
        <v>2031</v>
      </c>
      <c r="J4545" t="n">
        <v>2019</v>
      </c>
      <c r="K4545" t="inlineStr">
        <is>
          <t>MARZO 2026</t>
        </is>
      </c>
      <c r="L4545" t="inlineStr">
        <is>
          <t>MARZO 2027</t>
        </is>
      </c>
      <c r="M4545" t="inlineStr">
        <is>
          <t>PQS TIPO ABC</t>
        </is>
      </c>
      <c r="N4545" t="inlineStr">
        <is>
          <t>029397</t>
        </is>
      </c>
      <c r="O4545" t="inlineStr">
        <is>
          <t>R</t>
        </is>
      </c>
      <c r="P4545">
        <f>TRIM(N4545)</f>
        <v/>
      </c>
    </row>
    <row r="4546">
      <c r="A4546" t="inlineStr">
        <is>
          <t>CO-002665</t>
        </is>
      </c>
      <c r="B4546" t="inlineStr">
        <is>
          <t>INVERSIONES TELCOTEL SAC</t>
        </is>
      </c>
      <c r="C4546" t="inlineStr">
        <is>
          <t>20549846000</t>
        </is>
      </c>
      <c r="D4546" t="inlineStr">
        <is>
          <t>Av. San Felipe 806</t>
        </is>
      </c>
      <c r="E4546" t="inlineStr">
        <is>
          <t>Lima, 20 de marzo del 2026</t>
        </is>
      </c>
      <c r="F4546" t="inlineStr">
        <is>
          <t>la Recarga y mantenimiento</t>
        </is>
      </c>
      <c r="G4546" t="n">
        <v>6</v>
      </c>
      <c r="H4546" t="inlineStr">
        <is>
          <t>06 KG</t>
        </is>
      </c>
      <c r="I4546" t="n">
        <v>2030</v>
      </c>
      <c r="J4546" t="n">
        <v>2017</v>
      </c>
      <c r="K4546" t="inlineStr">
        <is>
          <t>MARZO 2026</t>
        </is>
      </c>
      <c r="L4546" t="inlineStr">
        <is>
          <t>MARZO 2027</t>
        </is>
      </c>
      <c r="M4546" t="inlineStr">
        <is>
          <t>PQS TIPO ABC</t>
        </is>
      </c>
      <c r="N4546" t="inlineStr">
        <is>
          <t>002288</t>
        </is>
      </c>
      <c r="O4546" t="inlineStr">
        <is>
          <t>R</t>
        </is>
      </c>
      <c r="P4546">
        <f>TRIM(N4546)</f>
        <v/>
      </c>
    </row>
    <row r="4547">
      <c r="A4547" t="inlineStr">
        <is>
          <t>CO-002665</t>
        </is>
      </c>
      <c r="B4547" t="inlineStr">
        <is>
          <t>INVERSIONES TELCOTEL SAC</t>
        </is>
      </c>
      <c r="C4547" t="inlineStr">
        <is>
          <t>20549846000</t>
        </is>
      </c>
      <c r="D4547" t="inlineStr">
        <is>
          <t>Av. San Felipe 806</t>
        </is>
      </c>
      <c r="E4547" t="inlineStr">
        <is>
          <t>Lima, 20 de marzo del 2026</t>
        </is>
      </c>
      <c r="F4547" t="inlineStr">
        <is>
          <t>la Recarga y mantenimiento</t>
        </is>
      </c>
      <c r="G4547" t="n">
        <v>7</v>
      </c>
      <c r="H4547" t="inlineStr">
        <is>
          <t>06 KG</t>
        </is>
      </c>
      <c r="I4547" t="n">
        <v>2027</v>
      </c>
      <c r="J4547" t="n">
        <v>2022</v>
      </c>
      <c r="K4547" t="inlineStr">
        <is>
          <t>MARZO 2026</t>
        </is>
      </c>
      <c r="L4547" t="inlineStr">
        <is>
          <t>MARZO 2027</t>
        </is>
      </c>
      <c r="M4547" t="inlineStr">
        <is>
          <t>PQS TIPO ABC</t>
        </is>
      </c>
      <c r="N4547" t="inlineStr">
        <is>
          <t>005253</t>
        </is>
      </c>
      <c r="O4547" t="inlineStr">
        <is>
          <t>R</t>
        </is>
      </c>
      <c r="P4547">
        <f>TRIM(N4547)</f>
        <v/>
      </c>
    </row>
    <row r="4548">
      <c r="A4548" t="inlineStr">
        <is>
          <t>CO-002665</t>
        </is>
      </c>
      <c r="B4548" t="inlineStr">
        <is>
          <t>INVERSIONES TELCOTEL SAC</t>
        </is>
      </c>
      <c r="C4548" t="inlineStr">
        <is>
          <t>20549846000</t>
        </is>
      </c>
      <c r="D4548" t="inlineStr">
        <is>
          <t>Av. San Felipe 806</t>
        </is>
      </c>
      <c r="E4548" t="inlineStr">
        <is>
          <t>Lima, 20 de marzo del 2026</t>
        </is>
      </c>
      <c r="F4548" t="inlineStr">
        <is>
          <t>la Recarga y mantenimiento</t>
        </is>
      </c>
      <c r="G4548" t="n">
        <v>8</v>
      </c>
      <c r="H4548" t="inlineStr">
        <is>
          <t>06 KG</t>
        </is>
      </c>
      <c r="I4548" t="n">
        <v>2028</v>
      </c>
      <c r="J4548" t="n">
        <v>2023</v>
      </c>
      <c r="K4548" t="inlineStr">
        <is>
          <t>MARZO 2026</t>
        </is>
      </c>
      <c r="L4548" t="inlineStr">
        <is>
          <t>MARZO 2027</t>
        </is>
      </c>
      <c r="M4548" t="inlineStr">
        <is>
          <t>PQS TIPO ABC</t>
        </is>
      </c>
      <c r="N4548" t="inlineStr">
        <is>
          <t>103322</t>
        </is>
      </c>
      <c r="O4548" t="inlineStr">
        <is>
          <t>R</t>
        </is>
      </c>
      <c r="P4548">
        <f>TRIM(N4548)</f>
        <v/>
      </c>
    </row>
    <row r="4549">
      <c r="A4549" t="inlineStr">
        <is>
          <t>CO-002665</t>
        </is>
      </c>
      <c r="B4549" t="inlineStr">
        <is>
          <t>INVERSIONES TELCOTEL SAC</t>
        </is>
      </c>
      <c r="C4549" t="inlineStr">
        <is>
          <t>20549846000</t>
        </is>
      </c>
      <c r="D4549" t="inlineStr">
        <is>
          <t>Av. San Felipe 806</t>
        </is>
      </c>
      <c r="E4549" t="inlineStr">
        <is>
          <t>Lima, 20 de marzo del 2026</t>
        </is>
      </c>
      <c r="F4549" t="inlineStr">
        <is>
          <t>la Recarga y mantenimiento</t>
        </is>
      </c>
      <c r="G4549" t="n">
        <v>9</v>
      </c>
      <c r="H4549" t="inlineStr">
        <is>
          <t>06 KG</t>
        </is>
      </c>
      <c r="I4549" t="n">
        <v>2029</v>
      </c>
      <c r="J4549" t="n">
        <v>2024</v>
      </c>
      <c r="K4549" t="inlineStr">
        <is>
          <t>MARZO 2026</t>
        </is>
      </c>
      <c r="L4549" t="inlineStr">
        <is>
          <t>MARZO 2027</t>
        </is>
      </c>
      <c r="M4549" t="inlineStr">
        <is>
          <t>PQS TIPO ABC</t>
        </is>
      </c>
      <c r="N4549" t="inlineStr">
        <is>
          <t>006598</t>
        </is>
      </c>
      <c r="O4549" t="inlineStr">
        <is>
          <t>R</t>
        </is>
      </c>
      <c r="P4549">
        <f>TRIM(N4549)</f>
        <v/>
      </c>
    </row>
    <row r="4550">
      <c r="A4550" t="inlineStr">
        <is>
          <t>CO-002665</t>
        </is>
      </c>
      <c r="B4550" t="inlineStr">
        <is>
          <t>INVERSIONES TELCOTEL SAC</t>
        </is>
      </c>
      <c r="C4550" t="inlineStr">
        <is>
          <t>20549846000</t>
        </is>
      </c>
      <c r="D4550" t="inlineStr">
        <is>
          <t>Av. San Felipe 806</t>
        </is>
      </c>
      <c r="E4550" t="inlineStr">
        <is>
          <t>Lima, 20 de marzo del 2026</t>
        </is>
      </c>
      <c r="F4550" t="inlineStr">
        <is>
          <t>la Recarga y mantenimiento</t>
        </is>
      </c>
      <c r="G4550" t="n">
        <v>10</v>
      </c>
      <c r="H4550" t="inlineStr">
        <is>
          <t>05 LBS</t>
        </is>
      </c>
      <c r="I4550" t="n">
        <v>2028</v>
      </c>
      <c r="J4550" t="n">
        <v>2018</v>
      </c>
      <c r="K4550" t="inlineStr">
        <is>
          <t>MARZO 2026</t>
        </is>
      </c>
      <c r="L4550" t="inlineStr">
        <is>
          <t>MARZO 2027</t>
        </is>
      </c>
      <c r="M4550" t="inlineStr">
        <is>
          <t>PQS TIPO ABC</t>
        </is>
      </c>
      <c r="N4550" t="inlineStr">
        <is>
          <t>025671</t>
        </is>
      </c>
      <c r="O4550" t="inlineStr">
        <is>
          <t>R</t>
        </is>
      </c>
      <c r="P4550">
        <f>TRIM(N4550)</f>
        <v/>
      </c>
    </row>
    <row r="4551">
      <c r="A4551" t="inlineStr">
        <is>
          <t>CO-002666</t>
        </is>
      </c>
      <c r="B4551" t="inlineStr">
        <is>
          <t>INVERSIONES TELCOTEL SAC</t>
        </is>
      </c>
      <c r="C4551" t="inlineStr">
        <is>
          <t>20549846000</t>
        </is>
      </c>
      <c r="D4551" t="inlineStr">
        <is>
          <t xml:space="preserve">CANTA CALLAO </t>
        </is>
      </c>
      <c r="E4551" t="inlineStr">
        <is>
          <t>Lima, 20 de marzo del 2026</t>
        </is>
      </c>
      <c r="F4551" t="inlineStr">
        <is>
          <t>la Recarga y mantenimiento</t>
        </is>
      </c>
      <c r="G4551" t="n">
        <v>1</v>
      </c>
      <c r="H4551" t="inlineStr">
        <is>
          <t>05 LBS</t>
        </is>
      </c>
      <c r="I4551" t="n">
        <v>2031</v>
      </c>
      <c r="J4551" t="n">
        <v>2018</v>
      </c>
      <c r="K4551" t="inlineStr">
        <is>
          <t>MARZO 2026</t>
        </is>
      </c>
      <c r="L4551" t="inlineStr">
        <is>
          <t>MARZO 2027</t>
        </is>
      </c>
      <c r="M4551" t="inlineStr">
        <is>
          <t>CO2 TIPO BC</t>
        </is>
      </c>
      <c r="N4551" t="inlineStr">
        <is>
          <t>025338</t>
        </is>
      </c>
      <c r="O4551" t="inlineStr">
        <is>
          <t>R</t>
        </is>
      </c>
      <c r="P4551">
        <f>TRIM(N4551)</f>
        <v/>
      </c>
    </row>
    <row r="4552">
      <c r="A4552" t="inlineStr">
        <is>
          <t>CO-002666</t>
        </is>
      </c>
      <c r="B4552" t="inlineStr">
        <is>
          <t>INVERSIONES TELCOTEL SAC</t>
        </is>
      </c>
      <c r="C4552" t="inlineStr">
        <is>
          <t>20549846000</t>
        </is>
      </c>
      <c r="D4552" t="inlineStr">
        <is>
          <t xml:space="preserve">CANTA CALLAO </t>
        </is>
      </c>
      <c r="E4552" t="inlineStr">
        <is>
          <t>Lima, 20 de marzo del 2026</t>
        </is>
      </c>
      <c r="F4552" t="inlineStr">
        <is>
          <t>la Recarga y mantenimiento</t>
        </is>
      </c>
      <c r="G4552" t="n">
        <v>2</v>
      </c>
      <c r="H4552" t="inlineStr">
        <is>
          <t>06 KG</t>
        </is>
      </c>
      <c r="I4552" t="n">
        <v>2031</v>
      </c>
      <c r="J4552" t="n">
        <v>2018</v>
      </c>
      <c r="K4552" t="inlineStr">
        <is>
          <t>MARZO 2026</t>
        </is>
      </c>
      <c r="L4552" t="inlineStr">
        <is>
          <t>MARZO 2027</t>
        </is>
      </c>
      <c r="M4552" t="inlineStr">
        <is>
          <t>PQS TIPO ABC</t>
        </is>
      </c>
      <c r="N4552" t="inlineStr">
        <is>
          <t>000845</t>
        </is>
      </c>
      <c r="O4552" t="inlineStr">
        <is>
          <t>R</t>
        </is>
      </c>
      <c r="P4552">
        <f>TRIM(N4552)</f>
        <v/>
      </c>
    </row>
    <row r="4553">
      <c r="A4553" t="inlineStr">
        <is>
          <t>CO-002666</t>
        </is>
      </c>
      <c r="B4553" t="inlineStr">
        <is>
          <t>INVERSIONES TELCOTEL SAC</t>
        </is>
      </c>
      <c r="C4553" t="inlineStr">
        <is>
          <t>20549846000</t>
        </is>
      </c>
      <c r="D4553" t="inlineStr">
        <is>
          <t xml:space="preserve">CANTA CALLAO </t>
        </is>
      </c>
      <c r="E4553" t="inlineStr">
        <is>
          <t>Lima, 20 de marzo del 2026</t>
        </is>
      </c>
      <c r="F4553" t="inlineStr">
        <is>
          <t>la Recarga y mantenimiento</t>
        </is>
      </c>
      <c r="G4553" t="n">
        <v>3</v>
      </c>
      <c r="H4553" t="inlineStr">
        <is>
          <t>06 KG</t>
        </is>
      </c>
      <c r="I4553" t="n">
        <v>2028</v>
      </c>
      <c r="J4553" t="n">
        <v>2023</v>
      </c>
      <c r="K4553" t="inlineStr">
        <is>
          <t>MARZO 2026</t>
        </is>
      </c>
      <c r="L4553" t="inlineStr">
        <is>
          <t>MARZO 2027</t>
        </is>
      </c>
      <c r="M4553" t="inlineStr">
        <is>
          <t>PQS TIPO ABC</t>
        </is>
      </c>
      <c r="N4553" t="inlineStr">
        <is>
          <t>104676</t>
        </is>
      </c>
      <c r="O4553" t="inlineStr">
        <is>
          <t>R</t>
        </is>
      </c>
      <c r="P4553">
        <f>TRIM(N4553)</f>
        <v/>
      </c>
    </row>
    <row r="4554">
      <c r="A4554" t="inlineStr">
        <is>
          <t>CO-002667</t>
        </is>
      </c>
      <c r="B4554" t="inlineStr">
        <is>
          <t xml:space="preserve">SUNAT - AREQUIPA - MATARANI </t>
        </is>
      </c>
      <c r="C4554" t="inlineStr">
        <is>
          <t>20131312955</t>
        </is>
      </c>
      <c r="D4554" t="inlineStr">
        <is>
          <t>Carretera Matarani - Mollendo Km. 1.5, Islay</t>
        </is>
      </c>
      <c r="E4554" t="inlineStr">
        <is>
          <t>17 de marzo del 2026</t>
        </is>
      </c>
      <c r="F4554" t="inlineStr">
        <is>
          <t>la Recarga y mantenimiento</t>
        </is>
      </c>
      <c r="G4554" t="n">
        <v>1</v>
      </c>
      <c r="H4554" t="inlineStr">
        <is>
          <t>15 LBS</t>
        </is>
      </c>
      <c r="I4554" t="n">
        <v>2029</v>
      </c>
      <c r="J4554" t="n">
        <v>2012</v>
      </c>
      <c r="K4554" t="inlineStr">
        <is>
          <t>MARZO 2026</t>
        </is>
      </c>
      <c r="L4554" t="inlineStr">
        <is>
          <t>MARZO 2027</t>
        </is>
      </c>
      <c r="M4554" t="inlineStr">
        <is>
          <t>CO2 TIPO BC</t>
        </is>
      </c>
      <c r="N4554" t="inlineStr">
        <is>
          <t>AC 422840</t>
        </is>
      </c>
      <c r="O4554" t="inlineStr">
        <is>
          <t>R</t>
        </is>
      </c>
      <c r="P4554">
        <f>TRIM(N4554)</f>
        <v/>
      </c>
    </row>
    <row r="4555">
      <c r="A4555" t="inlineStr">
        <is>
          <t>CO-002668</t>
        </is>
      </c>
      <c r="B4555" t="inlineStr">
        <is>
          <t>FLOR MARINA BLANCO JULON</t>
        </is>
      </c>
      <c r="C4555" t="n">
        <v>40750856</v>
      </c>
      <c r="D4555" t="inlineStr">
        <is>
          <t xml:space="preserve">AV. CORDORCANQUI MZ A LOTE 7 </t>
        </is>
      </c>
      <c r="E4555" t="inlineStr">
        <is>
          <t>25 de marzo del 2026</t>
        </is>
      </c>
      <c r="F4555" t="inlineStr">
        <is>
          <t>la Recarga y mantenimiento</t>
        </is>
      </c>
      <c r="G4555" t="n">
        <v>1</v>
      </c>
      <c r="H4555" t="inlineStr">
        <is>
          <t>6KG</t>
        </is>
      </c>
      <c r="I4555" t="n">
        <v>2031</v>
      </c>
      <c r="J4555" t="n">
        <v>2012</v>
      </c>
      <c r="K4555" t="inlineStr">
        <is>
          <t>MARZO 2026</t>
        </is>
      </c>
      <c r="L4555" t="inlineStr">
        <is>
          <t>MARZO 2027</t>
        </is>
      </c>
      <c r="M4555" t="inlineStr">
        <is>
          <t>PQS TIPO ABC</t>
        </is>
      </c>
      <c r="N4555" t="inlineStr">
        <is>
          <t>000498</t>
        </is>
      </c>
      <c r="O4555" t="inlineStr">
        <is>
          <t>R</t>
        </is>
      </c>
      <c r="P4555">
        <f>TRIM(N4555)</f>
        <v/>
      </c>
    </row>
    <row r="4556">
      <c r="A4556" t="inlineStr">
        <is>
          <t>CO-002669</t>
        </is>
      </c>
      <c r="B4556" t="inlineStr">
        <is>
          <t>CICSA PERU SAC</t>
        </is>
      </c>
      <c r="C4556" t="n">
        <v>20512780114</v>
      </c>
      <c r="D4556" t="inlineStr">
        <is>
          <t>HUACHO</t>
        </is>
      </c>
      <c r="E4556" t="inlineStr">
        <is>
          <t>27 de marzo del 2026</t>
        </is>
      </c>
      <c r="F4556" t="inlineStr">
        <is>
          <t>la Recarga y mantenimiento</t>
        </is>
      </c>
      <c r="G4556" t="n">
        <v>1</v>
      </c>
      <c r="H4556" t="inlineStr">
        <is>
          <t>20 LBS</t>
        </is>
      </c>
      <c r="I4556" t="n">
        <v>2030</v>
      </c>
      <c r="J4556" t="n">
        <v>2018</v>
      </c>
      <c r="K4556" t="inlineStr">
        <is>
          <t>ABRIL 2026</t>
        </is>
      </c>
      <c r="L4556" t="inlineStr">
        <is>
          <t>ABRIL 2027</t>
        </is>
      </c>
      <c r="M4556" t="inlineStr">
        <is>
          <t xml:space="preserve">CO2 TIPO BC </t>
        </is>
      </c>
      <c r="N4556" t="inlineStr">
        <is>
          <t>01/152324</t>
        </is>
      </c>
      <c r="O4556" t="inlineStr">
        <is>
          <t>R</t>
        </is>
      </c>
      <c r="P4556">
        <f>TRIM(N4556)</f>
        <v/>
      </c>
    </row>
    <row r="4557">
      <c r="A4557" t="inlineStr">
        <is>
          <t>CO-002669</t>
        </is>
      </c>
      <c r="B4557" t="inlineStr">
        <is>
          <t>CICSA PERU SAC</t>
        </is>
      </c>
      <c r="C4557" t="n">
        <v>20512780114</v>
      </c>
      <c r="D4557" t="inlineStr">
        <is>
          <t>HUACHO</t>
        </is>
      </c>
      <c r="E4557" t="inlineStr">
        <is>
          <t>27 de marzo del 2026</t>
        </is>
      </c>
      <c r="F4557" t="inlineStr">
        <is>
          <t>la Recarga y mantenimiento</t>
        </is>
      </c>
      <c r="G4557" t="n">
        <v>2</v>
      </c>
      <c r="H4557" t="inlineStr">
        <is>
          <t>20 LBS</t>
        </is>
      </c>
      <c r="I4557" t="n">
        <v>2031</v>
      </c>
      <c r="J4557" t="n">
        <v>2019</v>
      </c>
      <c r="K4557" t="inlineStr">
        <is>
          <t>ABRIL 2026</t>
        </is>
      </c>
      <c r="L4557" t="inlineStr">
        <is>
          <t>ABRIL 2027</t>
        </is>
      </c>
      <c r="M4557" t="inlineStr">
        <is>
          <t xml:space="preserve">CO2 TIPO BC </t>
        </is>
      </c>
      <c r="N4557" t="inlineStr">
        <is>
          <t>02/181264</t>
        </is>
      </c>
      <c r="O4557" t="inlineStr">
        <is>
          <t>R</t>
        </is>
      </c>
      <c r="P4557">
        <f>TRIM(N4557)</f>
        <v/>
      </c>
    </row>
    <row r="4558">
      <c r="A4558" t="inlineStr">
        <is>
          <t>CO-002669</t>
        </is>
      </c>
      <c r="B4558" t="inlineStr">
        <is>
          <t>CICSA PERU SAC</t>
        </is>
      </c>
      <c r="C4558" t="n">
        <v>20512780114</v>
      </c>
      <c r="D4558" t="inlineStr">
        <is>
          <t>HUACHO</t>
        </is>
      </c>
      <c r="E4558" t="inlineStr">
        <is>
          <t>27 de marzo del 2026</t>
        </is>
      </c>
      <c r="F4558" t="inlineStr">
        <is>
          <t>la Recarga y mantenimiento</t>
        </is>
      </c>
      <c r="G4558" t="n">
        <v>3</v>
      </c>
      <c r="H4558" t="inlineStr">
        <is>
          <t>20 LBS</t>
        </is>
      </c>
      <c r="I4558" t="n">
        <v>2030</v>
      </c>
      <c r="J4558" t="n">
        <v>2018</v>
      </c>
      <c r="K4558" t="inlineStr">
        <is>
          <t>ABRIL 2026</t>
        </is>
      </c>
      <c r="L4558" t="inlineStr">
        <is>
          <t>ABRIL 2027</t>
        </is>
      </c>
      <c r="M4558" t="inlineStr">
        <is>
          <t xml:space="preserve">CO2 TIPO BC </t>
        </is>
      </c>
      <c r="N4558" t="inlineStr">
        <is>
          <t>03/141198</t>
        </is>
      </c>
      <c r="O4558" t="inlineStr">
        <is>
          <t>R</t>
        </is>
      </c>
      <c r="P4558">
        <f>TRIM(N4558)</f>
        <v/>
      </c>
    </row>
    <row r="4559">
      <c r="A4559" t="inlineStr">
        <is>
          <t>CO-002669</t>
        </is>
      </c>
      <c r="B4559" t="inlineStr">
        <is>
          <t>CICSA PERU SAC</t>
        </is>
      </c>
      <c r="C4559" t="n">
        <v>20512780114</v>
      </c>
      <c r="D4559" t="inlineStr">
        <is>
          <t>HUACHO</t>
        </is>
      </c>
      <c r="E4559" t="inlineStr">
        <is>
          <t>27 de marzo del 2026</t>
        </is>
      </c>
      <c r="F4559" t="inlineStr">
        <is>
          <t>la Recarga y mantenimiento</t>
        </is>
      </c>
      <c r="G4559" t="n">
        <v>4</v>
      </c>
      <c r="H4559" t="inlineStr">
        <is>
          <t>20 LBS</t>
        </is>
      </c>
      <c r="I4559" t="n">
        <v>2031</v>
      </c>
      <c r="J4559" t="n">
        <v>2019</v>
      </c>
      <c r="K4559" t="inlineStr">
        <is>
          <t>ABRIL 2026</t>
        </is>
      </c>
      <c r="L4559" t="inlineStr">
        <is>
          <t>ABRIL 2027</t>
        </is>
      </c>
      <c r="M4559" t="inlineStr">
        <is>
          <t xml:space="preserve">CO2 TIPO BC </t>
        </is>
      </c>
      <c r="N4559" t="inlineStr">
        <is>
          <t>04/190967</t>
        </is>
      </c>
      <c r="O4559" t="inlineStr">
        <is>
          <t>R</t>
        </is>
      </c>
      <c r="P4559">
        <f>TRIM(N4559)</f>
        <v/>
      </c>
    </row>
    <row r="4560">
      <c r="A4560" t="inlineStr">
        <is>
          <t>CO-002669</t>
        </is>
      </c>
      <c r="B4560" t="inlineStr">
        <is>
          <t>CICSA PERU SAC</t>
        </is>
      </c>
      <c r="C4560" t="n">
        <v>20512780114</v>
      </c>
      <c r="D4560" t="inlineStr">
        <is>
          <t>HUACHO</t>
        </is>
      </c>
      <c r="E4560" t="inlineStr">
        <is>
          <t>27 de marzo del 2026</t>
        </is>
      </c>
      <c r="F4560" t="inlineStr">
        <is>
          <t>la Recarga y mantenimiento</t>
        </is>
      </c>
      <c r="G4560" t="n">
        <v>5</v>
      </c>
      <c r="H4560" t="inlineStr">
        <is>
          <t>20 LBS</t>
        </is>
      </c>
      <c r="I4560" t="n">
        <v>2030</v>
      </c>
      <c r="J4560" t="n">
        <v>2018</v>
      </c>
      <c r="K4560" t="inlineStr">
        <is>
          <t>ABRIL 2026</t>
        </is>
      </c>
      <c r="L4560" t="inlineStr">
        <is>
          <t>ABRIL 2027</t>
        </is>
      </c>
      <c r="M4560" t="inlineStr">
        <is>
          <t xml:space="preserve">CO2 TIPO BC </t>
        </is>
      </c>
      <c r="N4560" t="inlineStr">
        <is>
          <t>05/141933</t>
        </is>
      </c>
      <c r="O4560" t="inlineStr">
        <is>
          <t>R</t>
        </is>
      </c>
      <c r="P4560">
        <f>TRIM(N4560)</f>
        <v/>
      </c>
    </row>
    <row r="4561">
      <c r="A4561" t="inlineStr">
        <is>
          <t>CO-002669</t>
        </is>
      </c>
      <c r="B4561" t="inlineStr">
        <is>
          <t>CICSA PERU SAC</t>
        </is>
      </c>
      <c r="C4561" t="n">
        <v>20512780114</v>
      </c>
      <c r="D4561" t="inlineStr">
        <is>
          <t>HUACHO</t>
        </is>
      </c>
      <c r="E4561" t="inlineStr">
        <is>
          <t>27 de marzo del 2026</t>
        </is>
      </c>
      <c r="F4561" t="inlineStr">
        <is>
          <t>la Recarga y mantenimiento</t>
        </is>
      </c>
      <c r="G4561" t="n">
        <v>6</v>
      </c>
      <c r="H4561" t="inlineStr">
        <is>
          <t>20 LBS</t>
        </is>
      </c>
      <c r="I4561" t="n">
        <v>2029</v>
      </c>
      <c r="J4561" t="n">
        <v>2019</v>
      </c>
      <c r="K4561" t="inlineStr">
        <is>
          <t>ABRIL 2026</t>
        </is>
      </c>
      <c r="L4561" t="inlineStr">
        <is>
          <t>ABRIL 2027</t>
        </is>
      </c>
      <c r="M4561" t="inlineStr">
        <is>
          <t xml:space="preserve">CO2 TIPO BC </t>
        </is>
      </c>
      <c r="N4561" t="inlineStr">
        <is>
          <t>06/190718</t>
        </is>
      </c>
      <c r="O4561" t="inlineStr">
        <is>
          <t>R</t>
        </is>
      </c>
      <c r="P4561">
        <f>TRIM(N4561)</f>
        <v/>
      </c>
    </row>
    <row r="4562">
      <c r="A4562" t="inlineStr">
        <is>
          <t>CO-002669</t>
        </is>
      </c>
      <c r="B4562" t="inlineStr">
        <is>
          <t>CICSA PERU SAC</t>
        </is>
      </c>
      <c r="C4562" t="n">
        <v>20512780114</v>
      </c>
      <c r="D4562" t="inlineStr">
        <is>
          <t>HUACHO</t>
        </is>
      </c>
      <c r="E4562" t="inlineStr">
        <is>
          <t>27 de marzo del 2026</t>
        </is>
      </c>
      <c r="F4562" t="inlineStr">
        <is>
          <t>la Recarga y mantenimiento</t>
        </is>
      </c>
      <c r="G4562" t="n">
        <v>7</v>
      </c>
      <c r="H4562" t="inlineStr">
        <is>
          <t>20 LBS</t>
        </is>
      </c>
      <c r="I4562" t="n">
        <v>2030</v>
      </c>
      <c r="J4562" t="n">
        <v>2019</v>
      </c>
      <c r="K4562" t="inlineStr">
        <is>
          <t>ABRIL 2026</t>
        </is>
      </c>
      <c r="L4562" t="inlineStr">
        <is>
          <t>ABRIL 2027</t>
        </is>
      </c>
      <c r="M4562" t="inlineStr">
        <is>
          <t xml:space="preserve">CO2 TIPO BC </t>
        </is>
      </c>
      <c r="N4562" t="inlineStr">
        <is>
          <t>07/190686</t>
        </is>
      </c>
      <c r="O4562" t="inlineStr">
        <is>
          <t>R</t>
        </is>
      </c>
      <c r="P4562">
        <f>TRIM(N4562)</f>
        <v/>
      </c>
    </row>
    <row r="4563">
      <c r="A4563" t="inlineStr">
        <is>
          <t>CO-002669</t>
        </is>
      </c>
      <c r="B4563" t="inlineStr">
        <is>
          <t>CICSA PERU SAC</t>
        </is>
      </c>
      <c r="C4563" t="n">
        <v>20512780114</v>
      </c>
      <c r="D4563" t="inlineStr">
        <is>
          <t>HUACHO</t>
        </is>
      </c>
      <c r="E4563" t="inlineStr">
        <is>
          <t>27 de marzo del 2026</t>
        </is>
      </c>
      <c r="F4563" t="inlineStr">
        <is>
          <t>la Recarga y mantenimiento</t>
        </is>
      </c>
      <c r="G4563" t="n">
        <v>8</v>
      </c>
      <c r="H4563" t="inlineStr">
        <is>
          <t>20 LBS</t>
        </is>
      </c>
      <c r="I4563" t="n">
        <v>2030</v>
      </c>
      <c r="J4563" t="n">
        <v>2019</v>
      </c>
      <c r="K4563" t="inlineStr">
        <is>
          <t>ABRIL 2026</t>
        </is>
      </c>
      <c r="L4563" t="inlineStr">
        <is>
          <t>ABRIL 2027</t>
        </is>
      </c>
      <c r="M4563" t="inlineStr">
        <is>
          <t xml:space="preserve">CO2 TIPO BC </t>
        </is>
      </c>
      <c r="N4563" t="inlineStr">
        <is>
          <t>08/181266</t>
        </is>
      </c>
      <c r="O4563" t="inlineStr">
        <is>
          <t>R</t>
        </is>
      </c>
      <c r="P4563">
        <f>TRIM(N4563)</f>
        <v/>
      </c>
    </row>
    <row r="4564">
      <c r="A4564" t="inlineStr">
        <is>
          <t>CO-002669</t>
        </is>
      </c>
      <c r="B4564" t="inlineStr">
        <is>
          <t>CICSA PERU SAC</t>
        </is>
      </c>
      <c r="C4564" t="n">
        <v>20512780114</v>
      </c>
      <c r="D4564" t="inlineStr">
        <is>
          <t>HUACHO</t>
        </is>
      </c>
      <c r="E4564" t="inlineStr">
        <is>
          <t>27 de marzo del 2026</t>
        </is>
      </c>
      <c r="F4564" t="inlineStr">
        <is>
          <t>la Recarga y mantenimiento</t>
        </is>
      </c>
      <c r="G4564" t="n">
        <v>9</v>
      </c>
      <c r="H4564" t="inlineStr">
        <is>
          <t>20 LBS</t>
        </is>
      </c>
      <c r="I4564" t="n">
        <v>2027</v>
      </c>
      <c r="J4564" t="n">
        <v>2018</v>
      </c>
      <c r="K4564" t="inlineStr">
        <is>
          <t>ABRIL 2026</t>
        </is>
      </c>
      <c r="L4564" t="inlineStr">
        <is>
          <t>ABRIL 2027</t>
        </is>
      </c>
      <c r="M4564" t="inlineStr">
        <is>
          <t xml:space="preserve">CO2 TIPO BC </t>
        </is>
      </c>
      <c r="N4564" t="inlineStr">
        <is>
          <t>09/152468</t>
        </is>
      </c>
      <c r="O4564" t="inlineStr">
        <is>
          <t>R</t>
        </is>
      </c>
      <c r="P4564">
        <f>TRIM(N4564)</f>
        <v/>
      </c>
    </row>
    <row r="4565">
      <c r="A4565" t="inlineStr">
        <is>
          <t>CO-002669</t>
        </is>
      </c>
      <c r="B4565" t="inlineStr">
        <is>
          <t>CICSA PERU SAC</t>
        </is>
      </c>
      <c r="C4565" t="n">
        <v>20512780114</v>
      </c>
      <c r="D4565" t="inlineStr">
        <is>
          <t>HUACHO</t>
        </is>
      </c>
      <c r="E4565" t="inlineStr">
        <is>
          <t>27 de marzo del 2026</t>
        </is>
      </c>
      <c r="F4565" t="inlineStr">
        <is>
          <t>la Recarga y mantenimiento</t>
        </is>
      </c>
      <c r="G4565" t="n">
        <v>10</v>
      </c>
      <c r="H4565" t="inlineStr">
        <is>
          <t>20 LBS</t>
        </is>
      </c>
      <c r="I4565" t="n">
        <v>2030</v>
      </c>
      <c r="J4565" t="n">
        <v>2019</v>
      </c>
      <c r="K4565" t="inlineStr">
        <is>
          <t>ABRIL 2026</t>
        </is>
      </c>
      <c r="L4565" t="inlineStr">
        <is>
          <t>ABRIL 2027</t>
        </is>
      </c>
      <c r="M4565" t="inlineStr">
        <is>
          <t xml:space="preserve">CO2 TIPO BC </t>
        </is>
      </c>
      <c r="N4565" t="inlineStr">
        <is>
          <t>10/191199</t>
        </is>
      </c>
      <c r="O4565" t="inlineStr">
        <is>
          <t>R</t>
        </is>
      </c>
      <c r="P4565">
        <f>TRIM(N4565)</f>
        <v/>
      </c>
    </row>
    <row r="4566">
      <c r="A4566" t="inlineStr">
        <is>
          <t>CO-002669</t>
        </is>
      </c>
      <c r="B4566" t="inlineStr">
        <is>
          <t>CICSA PERU SAC</t>
        </is>
      </c>
      <c r="C4566" t="n">
        <v>20512780114</v>
      </c>
      <c r="D4566" t="inlineStr">
        <is>
          <t>HUACHO</t>
        </is>
      </c>
      <c r="E4566" t="inlineStr">
        <is>
          <t>27 de marzo del 2026</t>
        </is>
      </c>
      <c r="F4566" t="inlineStr">
        <is>
          <t>la Recarga y mantenimiento</t>
        </is>
      </c>
      <c r="G4566" t="n">
        <v>11</v>
      </c>
      <c r="H4566" t="inlineStr">
        <is>
          <t>20 LBS</t>
        </is>
      </c>
      <c r="I4566" t="n">
        <v>2030</v>
      </c>
      <c r="J4566" t="n">
        <v>2019</v>
      </c>
      <c r="K4566" t="inlineStr">
        <is>
          <t>ABRIL 2026</t>
        </is>
      </c>
      <c r="L4566" t="inlineStr">
        <is>
          <t>ABRIL 2027</t>
        </is>
      </c>
      <c r="M4566" t="inlineStr">
        <is>
          <t xml:space="preserve">CO2 TIPO BC </t>
        </is>
      </c>
      <c r="N4566" t="inlineStr">
        <is>
          <t>11/190708</t>
        </is>
      </c>
      <c r="O4566" t="inlineStr">
        <is>
          <t>R</t>
        </is>
      </c>
      <c r="P4566">
        <f>TRIM(N4566)</f>
        <v/>
      </c>
    </row>
    <row r="4567">
      <c r="A4567" t="inlineStr">
        <is>
          <t>CO-002669</t>
        </is>
      </c>
      <c r="B4567" t="inlineStr">
        <is>
          <t>CICSA PERU SAC</t>
        </is>
      </c>
      <c r="C4567" t="n">
        <v>20512780114</v>
      </c>
      <c r="D4567" t="inlineStr">
        <is>
          <t>HUACHO</t>
        </is>
      </c>
      <c r="E4567" t="inlineStr">
        <is>
          <t>27 de marzo del 2026</t>
        </is>
      </c>
      <c r="F4567" t="inlineStr">
        <is>
          <t>la Recarga y mantenimiento</t>
        </is>
      </c>
      <c r="G4567" t="n">
        <v>12</v>
      </c>
      <c r="H4567" t="inlineStr">
        <is>
          <t>20 LBS</t>
        </is>
      </c>
      <c r="I4567" t="n">
        <v>2030</v>
      </c>
      <c r="J4567" t="n">
        <v>2019</v>
      </c>
      <c r="K4567" t="inlineStr">
        <is>
          <t>ABRIL 2026</t>
        </is>
      </c>
      <c r="L4567" t="inlineStr">
        <is>
          <t>ABRIL 2027</t>
        </is>
      </c>
      <c r="M4567" t="inlineStr">
        <is>
          <t xml:space="preserve">CO2 TIPO BC </t>
        </is>
      </c>
      <c r="N4567" t="inlineStr">
        <is>
          <t>12/191188</t>
        </is>
      </c>
      <c r="O4567" t="inlineStr">
        <is>
          <t>R</t>
        </is>
      </c>
      <c r="P4567">
        <f>TRIM(N4567)</f>
        <v/>
      </c>
    </row>
    <row r="4568">
      <c r="A4568" t="inlineStr">
        <is>
          <t>CO-002669</t>
        </is>
      </c>
      <c r="B4568" t="inlineStr">
        <is>
          <t>CICSA PERU SAC</t>
        </is>
      </c>
      <c r="C4568" t="n">
        <v>20512780114</v>
      </c>
      <c r="D4568" t="inlineStr">
        <is>
          <t>HUACHO</t>
        </is>
      </c>
      <c r="E4568" t="inlineStr">
        <is>
          <t>27 de marzo del 2026</t>
        </is>
      </c>
      <c r="F4568" t="inlineStr">
        <is>
          <t>la Recarga y mantenimiento</t>
        </is>
      </c>
      <c r="G4568" t="n">
        <v>13</v>
      </c>
      <c r="H4568" t="inlineStr">
        <is>
          <t>20 LBS</t>
        </is>
      </c>
      <c r="I4568" t="n">
        <v>2030</v>
      </c>
      <c r="J4568" t="n">
        <v>2019</v>
      </c>
      <c r="K4568" t="inlineStr">
        <is>
          <t>ABRIL 2026</t>
        </is>
      </c>
      <c r="L4568" t="inlineStr">
        <is>
          <t>ABRIL 2027</t>
        </is>
      </c>
      <c r="M4568" t="inlineStr">
        <is>
          <t xml:space="preserve">CO2 TIPO BC </t>
        </is>
      </c>
      <c r="N4568" t="inlineStr">
        <is>
          <t>13/191030</t>
        </is>
      </c>
      <c r="O4568" t="inlineStr">
        <is>
          <t>R</t>
        </is>
      </c>
      <c r="P4568">
        <f>TRIM(N4568)</f>
        <v/>
      </c>
    </row>
    <row r="4569">
      <c r="A4569" t="inlineStr">
        <is>
          <t>CO-002669</t>
        </is>
      </c>
      <c r="B4569" t="inlineStr">
        <is>
          <t>CICSA PERU SAC</t>
        </is>
      </c>
      <c r="C4569" t="n">
        <v>20512780114</v>
      </c>
      <c r="D4569" t="inlineStr">
        <is>
          <t>HUACHO</t>
        </is>
      </c>
      <c r="E4569" t="inlineStr">
        <is>
          <t>27 de marzo del 2026</t>
        </is>
      </c>
      <c r="F4569" t="inlineStr">
        <is>
          <t>la Recarga y mantenimiento</t>
        </is>
      </c>
      <c r="G4569" t="n">
        <v>14</v>
      </c>
      <c r="H4569" t="inlineStr">
        <is>
          <t>20 LBS</t>
        </is>
      </c>
      <c r="I4569" t="n">
        <v>2029</v>
      </c>
      <c r="J4569" t="n">
        <v>2019</v>
      </c>
      <c r="K4569" t="inlineStr">
        <is>
          <t>ABRIL 2026</t>
        </is>
      </c>
      <c r="L4569" t="inlineStr">
        <is>
          <t>ABRIL 2027</t>
        </is>
      </c>
      <c r="M4569" t="inlineStr">
        <is>
          <t xml:space="preserve">CO2 TIPO BC </t>
        </is>
      </c>
      <c r="N4569" t="inlineStr">
        <is>
          <t>14/190681</t>
        </is>
      </c>
      <c r="O4569" t="inlineStr">
        <is>
          <t>R</t>
        </is>
      </c>
      <c r="P4569">
        <f>TRIM(N4569)</f>
        <v/>
      </c>
    </row>
    <row r="4570">
      <c r="A4570" t="inlineStr">
        <is>
          <t>CO-002669</t>
        </is>
      </c>
      <c r="B4570" t="inlineStr">
        <is>
          <t>CICSA PERU SAC</t>
        </is>
      </c>
      <c r="C4570" t="n">
        <v>20512780114</v>
      </c>
      <c r="D4570" t="inlineStr">
        <is>
          <t>HUACHO</t>
        </is>
      </c>
      <c r="E4570" t="inlineStr">
        <is>
          <t>27 de marzo del 2026</t>
        </is>
      </c>
      <c r="F4570" t="inlineStr">
        <is>
          <t>la Recarga y mantenimiento</t>
        </is>
      </c>
      <c r="G4570" t="n">
        <v>15</v>
      </c>
      <c r="H4570" t="inlineStr">
        <is>
          <t>20 LBS</t>
        </is>
      </c>
      <c r="I4570" t="n">
        <v>2031</v>
      </c>
      <c r="J4570" t="n">
        <v>2019</v>
      </c>
      <c r="K4570" t="inlineStr">
        <is>
          <t>ABRIL 2026</t>
        </is>
      </c>
      <c r="L4570" t="inlineStr">
        <is>
          <t>ABRIL 2027</t>
        </is>
      </c>
      <c r="M4570" t="inlineStr">
        <is>
          <t xml:space="preserve">CO2 TIPO BC </t>
        </is>
      </c>
      <c r="N4570" t="inlineStr">
        <is>
          <t>15/218145</t>
        </is>
      </c>
      <c r="O4570" t="inlineStr">
        <is>
          <t>R</t>
        </is>
      </c>
      <c r="P4570">
        <f>TRIM(N4570)</f>
        <v/>
      </c>
    </row>
    <row r="4571">
      <c r="A4571" t="inlineStr">
        <is>
          <t>CO-002670</t>
        </is>
      </c>
      <c r="B4571" t="inlineStr">
        <is>
          <t>CICSA PERU SAC</t>
        </is>
      </c>
      <c r="C4571" t="n">
        <v>20512780114</v>
      </c>
      <c r="D4571" t="inlineStr">
        <is>
          <t>HUACHO</t>
        </is>
      </c>
      <c r="E4571" t="inlineStr">
        <is>
          <t>27 de marzo del 2026</t>
        </is>
      </c>
      <c r="F4571" t="inlineStr">
        <is>
          <t>la Recarga y mantenimiento</t>
        </is>
      </c>
      <c r="G4571" t="n">
        <v>1</v>
      </c>
      <c r="H4571" t="inlineStr">
        <is>
          <t>20 LBS</t>
        </is>
      </c>
      <c r="I4571" t="n">
        <v>2031</v>
      </c>
      <c r="J4571" t="n">
        <v>2018</v>
      </c>
      <c r="K4571" t="inlineStr">
        <is>
          <t>ABRIL 2026</t>
        </is>
      </c>
      <c r="L4571" t="inlineStr">
        <is>
          <t>ABRIL 2027</t>
        </is>
      </c>
      <c r="M4571" t="inlineStr">
        <is>
          <t xml:space="preserve">CO2 TIPO BC </t>
        </is>
      </c>
      <c r="N4571" t="inlineStr">
        <is>
          <t>16/152398</t>
        </is>
      </c>
      <c r="O4571" t="inlineStr">
        <is>
          <t>R</t>
        </is>
      </c>
      <c r="P4571">
        <f>TRIM(N4571)</f>
        <v/>
      </c>
    </row>
    <row r="4572">
      <c r="A4572" t="inlineStr">
        <is>
          <t>CO-002670</t>
        </is>
      </c>
      <c r="B4572" t="inlineStr">
        <is>
          <t>CICSA PERU SAC</t>
        </is>
      </c>
      <c r="C4572" t="n">
        <v>20512780114</v>
      </c>
      <c r="D4572" t="inlineStr">
        <is>
          <t>HUACHO</t>
        </is>
      </c>
      <c r="E4572" t="inlineStr">
        <is>
          <t>27 de marzo del 2026</t>
        </is>
      </c>
      <c r="F4572" t="inlineStr">
        <is>
          <t>la Recarga y mantenimiento</t>
        </is>
      </c>
      <c r="G4572" t="n">
        <v>2</v>
      </c>
      <c r="H4572" t="inlineStr">
        <is>
          <t>20 LBS</t>
        </is>
      </c>
      <c r="I4572" t="n">
        <v>2030</v>
      </c>
      <c r="J4572" t="n">
        <v>2019</v>
      </c>
      <c r="K4572" t="inlineStr">
        <is>
          <t>ABRIL 2026</t>
        </is>
      </c>
      <c r="L4572" t="inlineStr">
        <is>
          <t>ABRIL 2027</t>
        </is>
      </c>
      <c r="M4572" t="inlineStr">
        <is>
          <t xml:space="preserve">CO2 TIPO BC </t>
        </is>
      </c>
      <c r="N4572" t="inlineStr">
        <is>
          <t>17/180856</t>
        </is>
      </c>
      <c r="O4572" t="inlineStr">
        <is>
          <t>R</t>
        </is>
      </c>
      <c r="P4572">
        <f>TRIM(N4572)</f>
        <v/>
      </c>
    </row>
    <row r="4573">
      <c r="A4573" t="inlineStr">
        <is>
          <t>CO-002670</t>
        </is>
      </c>
      <c r="B4573" t="inlineStr">
        <is>
          <t>CICSA PERU SAC</t>
        </is>
      </c>
      <c r="C4573" t="n">
        <v>20512780114</v>
      </c>
      <c r="D4573" t="inlineStr">
        <is>
          <t>HUACHO</t>
        </is>
      </c>
      <c r="E4573" t="inlineStr">
        <is>
          <t>27 de marzo del 2026</t>
        </is>
      </c>
      <c r="F4573" t="inlineStr">
        <is>
          <t>la Recarga y mantenimiento</t>
        </is>
      </c>
      <c r="G4573" t="n">
        <v>3</v>
      </c>
      <c r="H4573" t="inlineStr">
        <is>
          <t>20 LBS</t>
        </is>
      </c>
      <c r="I4573" t="n">
        <v>2030</v>
      </c>
      <c r="J4573" t="n">
        <v>2019</v>
      </c>
      <c r="K4573" t="inlineStr">
        <is>
          <t>ABRIL 2026</t>
        </is>
      </c>
      <c r="L4573" t="inlineStr">
        <is>
          <t>ABRIL 2027</t>
        </is>
      </c>
      <c r="M4573" t="inlineStr">
        <is>
          <t xml:space="preserve">CO2 TIPO BC </t>
        </is>
      </c>
      <c r="N4573" t="inlineStr">
        <is>
          <t>18/190868</t>
        </is>
      </c>
      <c r="O4573" t="inlineStr">
        <is>
          <t>R</t>
        </is>
      </c>
      <c r="P4573">
        <f>TRIM(N4573)</f>
        <v/>
      </c>
    </row>
    <row r="4574">
      <c r="A4574" t="inlineStr">
        <is>
          <t>CO-002670</t>
        </is>
      </c>
      <c r="B4574" t="inlineStr">
        <is>
          <t>CICSA PERU SAC</t>
        </is>
      </c>
      <c r="C4574" t="n">
        <v>20512780114</v>
      </c>
      <c r="D4574" t="inlineStr">
        <is>
          <t>HUACHO</t>
        </is>
      </c>
      <c r="E4574" t="inlineStr">
        <is>
          <t>27 de marzo del 2026</t>
        </is>
      </c>
      <c r="F4574" t="inlineStr">
        <is>
          <t>la Recarga y mantenimiento</t>
        </is>
      </c>
      <c r="G4574" t="n">
        <v>4</v>
      </c>
      <c r="H4574" t="inlineStr">
        <is>
          <t>20 LBS</t>
        </is>
      </c>
      <c r="I4574" t="n">
        <v>2031</v>
      </c>
      <c r="J4574" t="n">
        <v>2018</v>
      </c>
      <c r="K4574" t="inlineStr">
        <is>
          <t>ABRIL 2026</t>
        </is>
      </c>
      <c r="L4574" t="inlineStr">
        <is>
          <t>ABRIL 2027</t>
        </is>
      </c>
      <c r="M4574" t="inlineStr">
        <is>
          <t xml:space="preserve">CO2 TIPO BC </t>
        </is>
      </c>
      <c r="N4574" t="inlineStr">
        <is>
          <t>19/152304</t>
        </is>
      </c>
      <c r="O4574" t="inlineStr">
        <is>
          <t>R</t>
        </is>
      </c>
      <c r="P4574">
        <f>TRIM(N4574)</f>
        <v/>
      </c>
    </row>
    <row r="4575">
      <c r="A4575" t="inlineStr">
        <is>
          <t>CO-002670</t>
        </is>
      </c>
      <c r="B4575" t="inlineStr">
        <is>
          <t>CICSA PERU SAC</t>
        </is>
      </c>
      <c r="C4575" t="n">
        <v>20512780114</v>
      </c>
      <c r="D4575" t="inlineStr">
        <is>
          <t>HUACHO</t>
        </is>
      </c>
      <c r="E4575" t="inlineStr">
        <is>
          <t>27 de marzo del 2026</t>
        </is>
      </c>
      <c r="F4575" t="inlineStr">
        <is>
          <t>la Recarga y mantenimiento</t>
        </is>
      </c>
      <c r="G4575" t="n">
        <v>5</v>
      </c>
      <c r="H4575" t="inlineStr">
        <is>
          <t>20 LBS</t>
        </is>
      </c>
      <c r="I4575" t="n">
        <v>2031</v>
      </c>
      <c r="J4575" t="n">
        <v>2019</v>
      </c>
      <c r="K4575" t="inlineStr">
        <is>
          <t>ABRIL 2026</t>
        </is>
      </c>
      <c r="L4575" t="inlineStr">
        <is>
          <t>ABRIL 2027</t>
        </is>
      </c>
      <c r="M4575" t="inlineStr">
        <is>
          <t xml:space="preserve">CO2 TIPO BC </t>
        </is>
      </c>
      <c r="N4575" t="inlineStr">
        <is>
          <t>20/190940</t>
        </is>
      </c>
      <c r="O4575" t="inlineStr">
        <is>
          <t>R</t>
        </is>
      </c>
      <c r="P4575">
        <f>TRIM(N4575)</f>
        <v/>
      </c>
    </row>
    <row r="4576">
      <c r="A4576" t="inlineStr">
        <is>
          <t>CO-002670</t>
        </is>
      </c>
      <c r="B4576" t="inlineStr">
        <is>
          <t>CICSA PERU SAC</t>
        </is>
      </c>
      <c r="C4576" t="n">
        <v>20512780114</v>
      </c>
      <c r="D4576" t="inlineStr">
        <is>
          <t>HUACHO</t>
        </is>
      </c>
      <c r="E4576" t="inlineStr">
        <is>
          <t>27 de marzo del 2026</t>
        </is>
      </c>
      <c r="F4576" t="inlineStr">
        <is>
          <t>la Recarga y mantenimiento</t>
        </is>
      </c>
      <c r="G4576" t="n">
        <v>6</v>
      </c>
      <c r="H4576" t="inlineStr">
        <is>
          <t>20 LBS</t>
        </is>
      </c>
      <c r="I4576" t="n">
        <v>2030</v>
      </c>
      <c r="J4576" t="n">
        <v>2019</v>
      </c>
      <c r="K4576" t="inlineStr">
        <is>
          <t>ABRIL 2026</t>
        </is>
      </c>
      <c r="L4576" t="inlineStr">
        <is>
          <t>ABRIL 2027</t>
        </is>
      </c>
      <c r="M4576" t="inlineStr">
        <is>
          <t xml:space="preserve">CO2 TIPO BC </t>
        </is>
      </c>
      <c r="N4576" t="inlineStr">
        <is>
          <t>21/178854</t>
        </is>
      </c>
      <c r="O4576" t="inlineStr">
        <is>
          <t>R</t>
        </is>
      </c>
      <c r="P4576">
        <f>TRIM(N4576)</f>
        <v/>
      </c>
    </row>
    <row r="4577">
      <c r="A4577" t="inlineStr">
        <is>
          <t>CO-002670</t>
        </is>
      </c>
      <c r="B4577" t="inlineStr">
        <is>
          <t>CICSA PERU SAC</t>
        </is>
      </c>
      <c r="C4577" t="n">
        <v>20512780114</v>
      </c>
      <c r="D4577" t="inlineStr">
        <is>
          <t>HUACHO</t>
        </is>
      </c>
      <c r="E4577" t="inlineStr">
        <is>
          <t>27 de marzo del 2026</t>
        </is>
      </c>
      <c r="F4577" t="inlineStr">
        <is>
          <t>la Recarga y mantenimiento</t>
        </is>
      </c>
      <c r="G4577" t="n">
        <v>7</v>
      </c>
      <c r="H4577" t="inlineStr">
        <is>
          <t>20 LBS</t>
        </is>
      </c>
      <c r="I4577" t="n">
        <v>2030</v>
      </c>
      <c r="J4577" t="n">
        <v>2019</v>
      </c>
      <c r="K4577" t="inlineStr">
        <is>
          <t>ABRIL 2026</t>
        </is>
      </c>
      <c r="L4577" t="inlineStr">
        <is>
          <t>ABRIL 2027</t>
        </is>
      </c>
      <c r="M4577" t="inlineStr">
        <is>
          <t xml:space="preserve">CO2 TIPO BC </t>
        </is>
      </c>
      <c r="N4577" t="inlineStr">
        <is>
          <t>22/191133</t>
        </is>
      </c>
      <c r="O4577" t="inlineStr">
        <is>
          <t>R</t>
        </is>
      </c>
      <c r="P4577">
        <f>TRIM(N4577)</f>
        <v/>
      </c>
    </row>
    <row r="4578">
      <c r="A4578" t="inlineStr">
        <is>
          <t>CO-002670</t>
        </is>
      </c>
      <c r="B4578" t="inlineStr">
        <is>
          <t>CICSA PERU SAC</t>
        </is>
      </c>
      <c r="C4578" t="n">
        <v>20512780114</v>
      </c>
      <c r="D4578" t="inlineStr">
        <is>
          <t>HUACHO</t>
        </is>
      </c>
      <c r="E4578" t="inlineStr">
        <is>
          <t>27 de marzo del 2026</t>
        </is>
      </c>
      <c r="F4578" t="inlineStr">
        <is>
          <t>la Recarga y mantenimiento</t>
        </is>
      </c>
      <c r="G4578" t="n">
        <v>8</v>
      </c>
      <c r="H4578" t="inlineStr">
        <is>
          <t>20 LBS</t>
        </is>
      </c>
      <c r="I4578" t="n">
        <v>2031</v>
      </c>
      <c r="J4578" t="n">
        <v>2019</v>
      </c>
      <c r="K4578" t="inlineStr">
        <is>
          <t>ABRIL 2026</t>
        </is>
      </c>
      <c r="L4578" t="inlineStr">
        <is>
          <t>ABRIL 2027</t>
        </is>
      </c>
      <c r="M4578" t="inlineStr">
        <is>
          <t xml:space="preserve">CO2 TIPO BC </t>
        </is>
      </c>
      <c r="N4578" t="inlineStr">
        <is>
          <t>23/191141</t>
        </is>
      </c>
      <c r="O4578" t="inlineStr">
        <is>
          <t>R</t>
        </is>
      </c>
      <c r="P4578">
        <f>TRIM(N4578)</f>
        <v/>
      </c>
    </row>
    <row r="4579">
      <c r="A4579" t="inlineStr">
        <is>
          <t>CO-002670</t>
        </is>
      </c>
      <c r="B4579" t="inlineStr">
        <is>
          <t>CICSA PERU SAC</t>
        </is>
      </c>
      <c r="C4579" t="n">
        <v>20512780114</v>
      </c>
      <c r="D4579" t="inlineStr">
        <is>
          <t>HUACHO</t>
        </is>
      </c>
      <c r="E4579" t="inlineStr">
        <is>
          <t>27 de marzo del 2026</t>
        </is>
      </c>
      <c r="F4579" t="inlineStr">
        <is>
          <t>la Recarga y mantenimiento</t>
        </is>
      </c>
      <c r="G4579" t="n">
        <v>9</v>
      </c>
      <c r="H4579" t="inlineStr">
        <is>
          <t>20 LBS</t>
        </is>
      </c>
      <c r="I4579" t="n">
        <v>2030</v>
      </c>
      <c r="J4579" t="n">
        <v>2019</v>
      </c>
      <c r="K4579" t="inlineStr">
        <is>
          <t>ABRIL 2026</t>
        </is>
      </c>
      <c r="L4579" t="inlineStr">
        <is>
          <t>ABRIL 2027</t>
        </is>
      </c>
      <c r="M4579" t="inlineStr">
        <is>
          <t xml:space="preserve">CO2 TIPO BC </t>
        </is>
      </c>
      <c r="N4579" t="inlineStr">
        <is>
          <t>24/178571</t>
        </is>
      </c>
      <c r="O4579" t="inlineStr">
        <is>
          <t>R</t>
        </is>
      </c>
      <c r="P4579">
        <f>TRIM(N4579)</f>
        <v/>
      </c>
    </row>
    <row r="4580">
      <c r="A4580" t="inlineStr">
        <is>
          <t>CO-002670</t>
        </is>
      </c>
      <c r="B4580" t="inlineStr">
        <is>
          <t>CICSA PERU SAC</t>
        </is>
      </c>
      <c r="C4580" t="n">
        <v>20512780114</v>
      </c>
      <c r="D4580" t="inlineStr">
        <is>
          <t>HUACHO</t>
        </is>
      </c>
      <c r="E4580" t="inlineStr">
        <is>
          <t>27 de marzo del 2026</t>
        </is>
      </c>
      <c r="F4580" t="inlineStr">
        <is>
          <t>la Recarga y mantenimiento</t>
        </is>
      </c>
      <c r="G4580" t="n">
        <v>10</v>
      </c>
      <c r="H4580" t="inlineStr">
        <is>
          <t>20 LBS</t>
        </is>
      </c>
      <c r="I4580" t="n">
        <v>2030</v>
      </c>
      <c r="J4580" t="n">
        <v>2018</v>
      </c>
      <c r="K4580" t="inlineStr">
        <is>
          <t>ABRIL 2026</t>
        </is>
      </c>
      <c r="L4580" t="inlineStr">
        <is>
          <t>ABRIL 2027</t>
        </is>
      </c>
      <c r="M4580" t="inlineStr">
        <is>
          <t xml:space="preserve">CO2 TIPO BC </t>
        </is>
      </c>
      <c r="N4580" t="inlineStr">
        <is>
          <t>25/146043</t>
        </is>
      </c>
      <c r="O4580" t="inlineStr">
        <is>
          <t>R</t>
        </is>
      </c>
      <c r="P4580">
        <f>TRIM(N4580)</f>
        <v/>
      </c>
    </row>
    <row r="4581">
      <c r="A4581" t="inlineStr">
        <is>
          <t>CO-002670</t>
        </is>
      </c>
      <c r="B4581" t="inlineStr">
        <is>
          <t>CICSA PERU SAC</t>
        </is>
      </c>
      <c r="C4581" t="n">
        <v>20512780114</v>
      </c>
      <c r="D4581" t="inlineStr">
        <is>
          <t>HUACHO</t>
        </is>
      </c>
      <c r="E4581" t="inlineStr">
        <is>
          <t>27 de marzo del 2026</t>
        </is>
      </c>
      <c r="F4581" t="inlineStr">
        <is>
          <t>la Recarga y mantenimiento</t>
        </is>
      </c>
      <c r="G4581" t="n">
        <v>11</v>
      </c>
      <c r="H4581" t="inlineStr">
        <is>
          <t>20 LBS</t>
        </is>
      </c>
      <c r="I4581" t="n">
        <v>2030</v>
      </c>
      <c r="J4581" t="n">
        <v>2019</v>
      </c>
      <c r="K4581" t="inlineStr">
        <is>
          <t>ABRIL 2026</t>
        </is>
      </c>
      <c r="L4581" t="inlineStr">
        <is>
          <t>ABRIL 2027</t>
        </is>
      </c>
      <c r="M4581" t="inlineStr">
        <is>
          <t xml:space="preserve">CO2 TIPO BC </t>
        </is>
      </c>
      <c r="N4581" t="inlineStr">
        <is>
          <t>26/191126</t>
        </is>
      </c>
      <c r="O4581" t="inlineStr">
        <is>
          <t>R</t>
        </is>
      </c>
      <c r="P4581">
        <f>TRIM(N4581)</f>
        <v/>
      </c>
    </row>
    <row r="4582">
      <c r="A4582" t="inlineStr">
        <is>
          <t>CO-002670</t>
        </is>
      </c>
      <c r="B4582" t="inlineStr">
        <is>
          <t>CICSA PERU SAC</t>
        </is>
      </c>
      <c r="C4582" t="n">
        <v>20512780114</v>
      </c>
      <c r="D4582" t="inlineStr">
        <is>
          <t>HUACHO</t>
        </is>
      </c>
      <c r="E4582" t="inlineStr">
        <is>
          <t>27 de marzo del 2026</t>
        </is>
      </c>
      <c r="F4582" t="inlineStr">
        <is>
          <t>la Recarga y mantenimiento</t>
        </is>
      </c>
      <c r="G4582" t="n">
        <v>12</v>
      </c>
      <c r="H4582" t="inlineStr">
        <is>
          <t>20 LBS</t>
        </is>
      </c>
      <c r="I4582" t="n">
        <v>2031</v>
      </c>
      <c r="J4582" t="n">
        <v>2019</v>
      </c>
      <c r="K4582" t="inlineStr">
        <is>
          <t>ABRIL 2026</t>
        </is>
      </c>
      <c r="L4582" t="inlineStr">
        <is>
          <t>ABRIL 2027</t>
        </is>
      </c>
      <c r="M4582" t="inlineStr">
        <is>
          <t xml:space="preserve">CO2 TIPO BC </t>
        </is>
      </c>
      <c r="N4582" t="inlineStr">
        <is>
          <t>27/181271</t>
        </is>
      </c>
      <c r="O4582" t="inlineStr">
        <is>
          <t>R</t>
        </is>
      </c>
      <c r="P4582">
        <f>TRIM(N4582)</f>
        <v/>
      </c>
    </row>
    <row r="4583">
      <c r="A4583" t="inlineStr">
        <is>
          <t>CO-002670</t>
        </is>
      </c>
      <c r="B4583" t="inlineStr">
        <is>
          <t>CICSA PERU SAC</t>
        </is>
      </c>
      <c r="C4583" t="n">
        <v>20512780114</v>
      </c>
      <c r="D4583" t="inlineStr">
        <is>
          <t>HUACHO</t>
        </is>
      </c>
      <c r="E4583" t="inlineStr">
        <is>
          <t>27 de marzo del 2026</t>
        </is>
      </c>
      <c r="F4583" t="inlineStr">
        <is>
          <t>la Recarga y mantenimiento</t>
        </is>
      </c>
      <c r="G4583" t="n">
        <v>13</v>
      </c>
      <c r="H4583" t="inlineStr">
        <is>
          <t>20 LBS</t>
        </is>
      </c>
      <c r="I4583" t="n">
        <v>2030</v>
      </c>
      <c r="J4583" t="n">
        <v>2019</v>
      </c>
      <c r="K4583" t="inlineStr">
        <is>
          <t>ABRIL 2026</t>
        </is>
      </c>
      <c r="L4583" t="inlineStr">
        <is>
          <t>ABRIL 2027</t>
        </is>
      </c>
      <c r="M4583" t="inlineStr">
        <is>
          <t xml:space="preserve">CO2 TIPO BC </t>
        </is>
      </c>
      <c r="N4583" t="inlineStr">
        <is>
          <t>28/191101</t>
        </is>
      </c>
      <c r="O4583" t="inlineStr">
        <is>
          <t>R</t>
        </is>
      </c>
      <c r="P4583">
        <f>TRIM(N4583)</f>
        <v/>
      </c>
    </row>
    <row r="4584">
      <c r="A4584" t="inlineStr">
        <is>
          <t>CO-002670</t>
        </is>
      </c>
      <c r="B4584" t="inlineStr">
        <is>
          <t>CICSA PERU SAC</t>
        </is>
      </c>
      <c r="C4584" t="n">
        <v>20512780114</v>
      </c>
      <c r="D4584" t="inlineStr">
        <is>
          <t>HUACHO</t>
        </is>
      </c>
      <c r="E4584" t="inlineStr">
        <is>
          <t>27 de marzo del 2026</t>
        </is>
      </c>
      <c r="F4584" t="inlineStr">
        <is>
          <t>la Recarga y mantenimiento</t>
        </is>
      </c>
      <c r="G4584" t="n">
        <v>14</v>
      </c>
      <c r="H4584" t="inlineStr">
        <is>
          <t>20 LBS</t>
        </is>
      </c>
      <c r="I4584" t="n">
        <v>2030</v>
      </c>
      <c r="J4584" t="n">
        <v>2018</v>
      </c>
      <c r="K4584" t="inlineStr">
        <is>
          <t>ABRIL 2026</t>
        </is>
      </c>
      <c r="L4584" t="inlineStr">
        <is>
          <t>ABRIL 2027</t>
        </is>
      </c>
      <c r="M4584" t="inlineStr">
        <is>
          <t xml:space="preserve">CO2 TIPO BC </t>
        </is>
      </c>
      <c r="N4584" t="inlineStr">
        <is>
          <t>29/152347</t>
        </is>
      </c>
      <c r="O4584" t="inlineStr">
        <is>
          <t>R</t>
        </is>
      </c>
      <c r="P4584">
        <f>TRIM(N4584)</f>
        <v/>
      </c>
    </row>
    <row r="4585">
      <c r="A4585" t="inlineStr">
        <is>
          <t>CO-002670</t>
        </is>
      </c>
      <c r="B4585" t="inlineStr">
        <is>
          <t>CICSA PERU SAC</t>
        </is>
      </c>
      <c r="C4585" t="n">
        <v>20512780114</v>
      </c>
      <c r="D4585" t="inlineStr">
        <is>
          <t>HUACHO</t>
        </is>
      </c>
      <c r="E4585" t="inlineStr">
        <is>
          <t>27 de marzo del 2026</t>
        </is>
      </c>
      <c r="F4585" t="inlineStr">
        <is>
          <t>la Recarga y mantenimiento</t>
        </is>
      </c>
      <c r="G4585" t="n">
        <v>15</v>
      </c>
      <c r="H4585" t="inlineStr">
        <is>
          <t>20 LBS</t>
        </is>
      </c>
      <c r="I4585" t="n">
        <v>2030</v>
      </c>
      <c r="J4585" t="n">
        <v>2019</v>
      </c>
      <c r="K4585" t="inlineStr">
        <is>
          <t>ABRIL 2026</t>
        </is>
      </c>
      <c r="L4585" t="inlineStr">
        <is>
          <t>ABRIL 2027</t>
        </is>
      </c>
      <c r="M4585" t="inlineStr">
        <is>
          <t xml:space="preserve">CO2 TIPO BC </t>
        </is>
      </c>
      <c r="N4585" t="inlineStr">
        <is>
          <t>31/190282</t>
        </is>
      </c>
      <c r="O4585" t="inlineStr">
        <is>
          <t>R</t>
        </is>
      </c>
      <c r="P4585">
        <f>TRIM(N4585)</f>
        <v/>
      </c>
    </row>
    <row r="4586">
      <c r="A4586" t="inlineStr">
        <is>
          <t>CO-002671</t>
        </is>
      </c>
      <c r="B4586" t="inlineStr">
        <is>
          <t>CICSA PERU SAC</t>
        </is>
      </c>
      <c r="C4586" t="n">
        <v>20512780114</v>
      </c>
      <c r="D4586" t="inlineStr">
        <is>
          <t>HUACHO</t>
        </is>
      </c>
      <c r="E4586" t="inlineStr">
        <is>
          <t>27 de marzo del 2026</t>
        </is>
      </c>
      <c r="F4586" t="inlineStr">
        <is>
          <t>la Recarga y mantenimiento</t>
        </is>
      </c>
      <c r="G4586" t="n">
        <v>1</v>
      </c>
      <c r="H4586" t="inlineStr">
        <is>
          <t>20 LBS</t>
        </is>
      </c>
      <c r="I4586" t="n">
        <v>2030</v>
      </c>
      <c r="J4586" t="n">
        <v>2019</v>
      </c>
      <c r="K4586" t="inlineStr">
        <is>
          <t>ABRIL 2026</t>
        </is>
      </c>
      <c r="L4586" t="inlineStr">
        <is>
          <t>ABRIL 2027</t>
        </is>
      </c>
      <c r="M4586" t="inlineStr">
        <is>
          <t xml:space="preserve">CO2 TIPO BC </t>
        </is>
      </c>
      <c r="N4586" t="inlineStr">
        <is>
          <t>32/178979</t>
        </is>
      </c>
      <c r="O4586" t="inlineStr">
        <is>
          <t>R</t>
        </is>
      </c>
      <c r="P4586">
        <f>TRIM(N4586)</f>
        <v/>
      </c>
    </row>
    <row r="4587">
      <c r="A4587" t="inlineStr">
        <is>
          <t>CO-002671</t>
        </is>
      </c>
      <c r="B4587" t="inlineStr">
        <is>
          <t>CICSA PERU SAC</t>
        </is>
      </c>
      <c r="C4587" t="n">
        <v>20512780114</v>
      </c>
      <c r="D4587" t="inlineStr">
        <is>
          <t>HUACHO</t>
        </is>
      </c>
      <c r="E4587" t="inlineStr">
        <is>
          <t>27 de marzo del 2026</t>
        </is>
      </c>
      <c r="F4587" t="inlineStr">
        <is>
          <t>la Recarga y mantenimiento</t>
        </is>
      </c>
      <c r="G4587" t="n">
        <v>2</v>
      </c>
      <c r="H4587" t="inlineStr">
        <is>
          <t>20 LBS</t>
        </is>
      </c>
      <c r="I4587" t="n">
        <v>2030</v>
      </c>
      <c r="J4587" t="n">
        <v>2018</v>
      </c>
      <c r="K4587" t="inlineStr">
        <is>
          <t>ABRIL 2026</t>
        </is>
      </c>
      <c r="L4587" t="inlineStr">
        <is>
          <t>ABRIL 2027</t>
        </is>
      </c>
      <c r="M4587" t="inlineStr">
        <is>
          <t xml:space="preserve">CO2 TIPO BC </t>
        </is>
      </c>
      <c r="N4587" t="inlineStr">
        <is>
          <t>33/148873</t>
        </is>
      </c>
      <c r="O4587" t="inlineStr">
        <is>
          <t>R</t>
        </is>
      </c>
      <c r="P4587">
        <f>TRIM(N4587)</f>
        <v/>
      </c>
    </row>
    <row r="4588">
      <c r="A4588" t="inlineStr">
        <is>
          <t>CO-002671</t>
        </is>
      </c>
      <c r="B4588" t="inlineStr">
        <is>
          <t>CICSA PERU SAC</t>
        </is>
      </c>
      <c r="C4588" t="n">
        <v>20512780114</v>
      </c>
      <c r="D4588" t="inlineStr">
        <is>
          <t>HUACHO</t>
        </is>
      </c>
      <c r="E4588" t="inlineStr">
        <is>
          <t>27 de marzo del 2026</t>
        </is>
      </c>
      <c r="F4588" t="inlineStr">
        <is>
          <t>la Recarga y mantenimiento</t>
        </is>
      </c>
      <c r="G4588" t="n">
        <v>3</v>
      </c>
      <c r="H4588" t="inlineStr">
        <is>
          <t>20 LBS</t>
        </is>
      </c>
      <c r="I4588" t="n">
        <v>2031</v>
      </c>
      <c r="J4588" t="n">
        <v>2019</v>
      </c>
      <c r="K4588" t="inlineStr">
        <is>
          <t>ABRIL 2026</t>
        </is>
      </c>
      <c r="L4588" t="inlineStr">
        <is>
          <t>ABRIL 2027</t>
        </is>
      </c>
      <c r="M4588" t="inlineStr">
        <is>
          <t xml:space="preserve">CO2 TIPO BC </t>
        </is>
      </c>
      <c r="N4588" t="inlineStr">
        <is>
          <t>34/190876</t>
        </is>
      </c>
      <c r="O4588" t="inlineStr">
        <is>
          <t>R</t>
        </is>
      </c>
      <c r="P4588">
        <f>TRIM(N4588)</f>
        <v/>
      </c>
    </row>
    <row r="4589">
      <c r="A4589" t="inlineStr">
        <is>
          <t>CO-002671</t>
        </is>
      </c>
      <c r="B4589" t="inlineStr">
        <is>
          <t>CICSA PERU SAC</t>
        </is>
      </c>
      <c r="C4589" t="n">
        <v>20512780114</v>
      </c>
      <c r="D4589" t="inlineStr">
        <is>
          <t>HUACHO</t>
        </is>
      </c>
      <c r="E4589" t="inlineStr">
        <is>
          <t>27 de marzo del 2026</t>
        </is>
      </c>
      <c r="F4589" t="inlineStr">
        <is>
          <t>la Recarga y mantenimiento</t>
        </is>
      </c>
      <c r="G4589" t="n">
        <v>4</v>
      </c>
      <c r="H4589" t="inlineStr">
        <is>
          <t>20 LBS</t>
        </is>
      </c>
      <c r="I4589" t="n">
        <v>2030</v>
      </c>
      <c r="J4589" t="n">
        <v>2018</v>
      </c>
      <c r="K4589" t="inlineStr">
        <is>
          <t>ABRIL 2026</t>
        </is>
      </c>
      <c r="L4589" t="inlineStr">
        <is>
          <t>ABRIL 2027</t>
        </is>
      </c>
      <c r="M4589" t="inlineStr">
        <is>
          <t xml:space="preserve">CO2 TIPO BC </t>
        </is>
      </c>
      <c r="N4589" t="inlineStr">
        <is>
          <t>35/152476</t>
        </is>
      </c>
      <c r="O4589" t="inlineStr">
        <is>
          <t>R</t>
        </is>
      </c>
      <c r="P4589">
        <f>TRIM(N4589)</f>
        <v/>
      </c>
    </row>
    <row r="4590">
      <c r="A4590" t="inlineStr">
        <is>
          <t>CO-002671</t>
        </is>
      </c>
      <c r="B4590" t="inlineStr">
        <is>
          <t>CICSA PERU SAC</t>
        </is>
      </c>
      <c r="C4590" t="n">
        <v>20512780114</v>
      </c>
      <c r="D4590" t="inlineStr">
        <is>
          <t>HUACHO</t>
        </is>
      </c>
      <c r="E4590" t="inlineStr">
        <is>
          <t>27 de marzo del 2026</t>
        </is>
      </c>
      <c r="F4590" t="inlineStr">
        <is>
          <t>la Recarga y mantenimiento</t>
        </is>
      </c>
      <c r="G4590" t="n">
        <v>5</v>
      </c>
      <c r="H4590" t="inlineStr">
        <is>
          <t>20 LBS</t>
        </is>
      </c>
      <c r="I4590" t="n">
        <v>2028</v>
      </c>
      <c r="J4590" t="n">
        <v>2018</v>
      </c>
      <c r="K4590" t="inlineStr">
        <is>
          <t>ABRIL 2026</t>
        </is>
      </c>
      <c r="L4590" t="inlineStr">
        <is>
          <t>ABRIL 2027</t>
        </is>
      </c>
      <c r="M4590" t="inlineStr">
        <is>
          <t xml:space="preserve">CO2 TIPO BC </t>
        </is>
      </c>
      <c r="N4590" t="inlineStr">
        <is>
          <t>36/141949</t>
        </is>
      </c>
      <c r="O4590" t="inlineStr">
        <is>
          <t>R</t>
        </is>
      </c>
      <c r="P4590">
        <f>TRIM(N4590)</f>
        <v/>
      </c>
    </row>
    <row r="4591">
      <c r="A4591" t="inlineStr">
        <is>
          <t>CO-002671</t>
        </is>
      </c>
      <c r="B4591" t="inlineStr">
        <is>
          <t>CICSA PERU SAC</t>
        </is>
      </c>
      <c r="C4591" t="n">
        <v>20512780114</v>
      </c>
      <c r="D4591" t="inlineStr">
        <is>
          <t>HUACHO</t>
        </is>
      </c>
      <c r="E4591" t="inlineStr">
        <is>
          <t>27 de marzo del 2026</t>
        </is>
      </c>
      <c r="F4591" t="inlineStr">
        <is>
          <t>la Recarga y mantenimiento</t>
        </is>
      </c>
      <c r="G4591" t="n">
        <v>6</v>
      </c>
      <c r="H4591" t="inlineStr">
        <is>
          <t>20 LBS</t>
        </is>
      </c>
      <c r="I4591" t="n">
        <v>2030</v>
      </c>
      <c r="J4591" t="n">
        <v>2019</v>
      </c>
      <c r="K4591" t="inlineStr">
        <is>
          <t>ABRIL 2026</t>
        </is>
      </c>
      <c r="L4591" t="inlineStr">
        <is>
          <t>ABRIL 2027</t>
        </is>
      </c>
      <c r="M4591" t="inlineStr">
        <is>
          <t xml:space="preserve">CO2 TIPO BC </t>
        </is>
      </c>
      <c r="N4591" t="inlineStr">
        <is>
          <t>37/190968</t>
        </is>
      </c>
      <c r="O4591" t="inlineStr">
        <is>
          <t>R</t>
        </is>
      </c>
      <c r="P4591">
        <f>TRIM(N4591)</f>
        <v/>
      </c>
    </row>
    <row r="4592">
      <c r="A4592" t="inlineStr">
        <is>
          <t>CO-002671</t>
        </is>
      </c>
      <c r="B4592" t="inlineStr">
        <is>
          <t>CICSA PERU SAC</t>
        </is>
      </c>
      <c r="C4592" t="n">
        <v>20512780114</v>
      </c>
      <c r="D4592" t="inlineStr">
        <is>
          <t>HUACHO</t>
        </is>
      </c>
      <c r="E4592" t="inlineStr">
        <is>
          <t>27 de marzo del 2026</t>
        </is>
      </c>
      <c r="F4592" t="inlineStr">
        <is>
          <t>la Recarga y mantenimiento</t>
        </is>
      </c>
      <c r="G4592" t="n">
        <v>7</v>
      </c>
      <c r="H4592" t="inlineStr">
        <is>
          <t>20 LBS</t>
        </is>
      </c>
      <c r="I4592" t="n">
        <v>2031</v>
      </c>
      <c r="J4592" t="n">
        <v>2019</v>
      </c>
      <c r="K4592" t="inlineStr">
        <is>
          <t>ABRIL 2026</t>
        </is>
      </c>
      <c r="L4592" t="inlineStr">
        <is>
          <t>ABRIL 2027</t>
        </is>
      </c>
      <c r="M4592" t="inlineStr">
        <is>
          <t xml:space="preserve">CO2 TIPO BC </t>
        </is>
      </c>
      <c r="N4592" t="inlineStr">
        <is>
          <t>38/190636</t>
        </is>
      </c>
      <c r="O4592" t="inlineStr">
        <is>
          <t>R</t>
        </is>
      </c>
      <c r="P4592">
        <f>TRIM(N4592)</f>
        <v/>
      </c>
    </row>
    <row r="4593">
      <c r="A4593" t="inlineStr">
        <is>
          <t>CO-002671</t>
        </is>
      </c>
      <c r="B4593" t="inlineStr">
        <is>
          <t>CICSA PERU SAC</t>
        </is>
      </c>
      <c r="C4593" t="n">
        <v>20512780114</v>
      </c>
      <c r="D4593" t="inlineStr">
        <is>
          <t>HUACHO</t>
        </is>
      </c>
      <c r="E4593" t="inlineStr">
        <is>
          <t>27 de marzo del 2026</t>
        </is>
      </c>
      <c r="F4593" t="inlineStr">
        <is>
          <t>la Recarga y mantenimiento</t>
        </is>
      </c>
      <c r="G4593" t="n">
        <v>8</v>
      </c>
      <c r="H4593" t="inlineStr">
        <is>
          <t>20 LBS</t>
        </is>
      </c>
      <c r="I4593" t="n">
        <v>2030</v>
      </c>
      <c r="J4593" t="n">
        <v>2019</v>
      </c>
      <c r="K4593" t="inlineStr">
        <is>
          <t>ABRIL 2026</t>
        </is>
      </c>
      <c r="L4593" t="inlineStr">
        <is>
          <t>ABRIL 2027</t>
        </is>
      </c>
      <c r="M4593" t="inlineStr">
        <is>
          <t xml:space="preserve">CO2 TIPO BC </t>
        </is>
      </c>
      <c r="N4593" t="inlineStr">
        <is>
          <t>39/190864</t>
        </is>
      </c>
      <c r="O4593" t="inlineStr">
        <is>
          <t>R</t>
        </is>
      </c>
      <c r="P4593">
        <f>TRIM(N4593)</f>
        <v/>
      </c>
    </row>
    <row r="4594">
      <c r="A4594" t="inlineStr">
        <is>
          <t>CO-002671</t>
        </is>
      </c>
      <c r="B4594" t="inlineStr">
        <is>
          <t>CICSA PERU SAC</t>
        </is>
      </c>
      <c r="C4594" t="n">
        <v>20512780114</v>
      </c>
      <c r="D4594" t="inlineStr">
        <is>
          <t>HUACHO</t>
        </is>
      </c>
      <c r="E4594" t="inlineStr">
        <is>
          <t>27 de marzo del 2026</t>
        </is>
      </c>
      <c r="F4594" t="inlineStr">
        <is>
          <t>la Recarga y mantenimiento</t>
        </is>
      </c>
      <c r="G4594" t="n">
        <v>9</v>
      </c>
      <c r="H4594" t="inlineStr">
        <is>
          <t>20 LBS</t>
        </is>
      </c>
      <c r="I4594" t="n">
        <v>2031</v>
      </c>
      <c r="J4594" t="n">
        <v>2018</v>
      </c>
      <c r="K4594" t="inlineStr">
        <is>
          <t>ABRIL 2026</t>
        </is>
      </c>
      <c r="L4594" t="inlineStr">
        <is>
          <t>ABRIL 2027</t>
        </is>
      </c>
      <c r="M4594" t="inlineStr">
        <is>
          <t xml:space="preserve">CO2 TIPO BC </t>
        </is>
      </c>
      <c r="N4594" t="inlineStr">
        <is>
          <t>40/152480</t>
        </is>
      </c>
      <c r="O4594" t="inlineStr">
        <is>
          <t>R</t>
        </is>
      </c>
      <c r="P4594">
        <f>TRIM(N4594)</f>
        <v/>
      </c>
    </row>
    <row r="4595">
      <c r="A4595" t="inlineStr">
        <is>
          <t>CO-002671</t>
        </is>
      </c>
      <c r="B4595" t="inlineStr">
        <is>
          <t>CICSA PERU SAC</t>
        </is>
      </c>
      <c r="C4595" t="n">
        <v>20512780114</v>
      </c>
      <c r="D4595" t="inlineStr">
        <is>
          <t>HUACHO</t>
        </is>
      </c>
      <c r="E4595" t="inlineStr">
        <is>
          <t>27 de marzo del 2026</t>
        </is>
      </c>
      <c r="F4595" t="inlineStr">
        <is>
          <t>la Recarga y mantenimiento</t>
        </is>
      </c>
      <c r="G4595" t="n">
        <v>10</v>
      </c>
      <c r="H4595" t="inlineStr">
        <is>
          <t>20 LBS</t>
        </is>
      </c>
      <c r="I4595" t="n">
        <v>2031</v>
      </c>
      <c r="J4595" t="n">
        <v>2019</v>
      </c>
      <c r="K4595" t="inlineStr">
        <is>
          <t>ABRIL 2026</t>
        </is>
      </c>
      <c r="L4595" t="inlineStr">
        <is>
          <t>ABRIL 2027</t>
        </is>
      </c>
      <c r="M4595" t="inlineStr">
        <is>
          <t xml:space="preserve">CO2 TIPO BC </t>
        </is>
      </c>
      <c r="N4595" t="inlineStr">
        <is>
          <t>41/181273</t>
        </is>
      </c>
      <c r="O4595" t="inlineStr">
        <is>
          <t>R</t>
        </is>
      </c>
      <c r="P4595">
        <f>TRIM(N4595)</f>
        <v/>
      </c>
    </row>
    <row r="4596">
      <c r="A4596" t="inlineStr">
        <is>
          <t>CO-002671</t>
        </is>
      </c>
      <c r="B4596" t="inlineStr">
        <is>
          <t>CICSA PERU SAC</t>
        </is>
      </c>
      <c r="C4596" t="n">
        <v>20512780114</v>
      </c>
      <c r="D4596" t="inlineStr">
        <is>
          <t>HUACHO</t>
        </is>
      </c>
      <c r="E4596" t="inlineStr">
        <is>
          <t>27 de marzo del 2026</t>
        </is>
      </c>
      <c r="F4596" t="inlineStr">
        <is>
          <t>la Recarga y mantenimiento</t>
        </is>
      </c>
      <c r="G4596" t="n">
        <v>11</v>
      </c>
      <c r="H4596" t="inlineStr">
        <is>
          <t>20 LBS</t>
        </is>
      </c>
      <c r="I4596" t="n">
        <v>2030</v>
      </c>
      <c r="J4596" t="n">
        <v>2019</v>
      </c>
      <c r="K4596" t="inlineStr">
        <is>
          <t>ABRIL 2026</t>
        </is>
      </c>
      <c r="L4596" t="inlineStr">
        <is>
          <t>ABRIL 2027</t>
        </is>
      </c>
      <c r="M4596" t="inlineStr">
        <is>
          <t xml:space="preserve">CO2 TIPO BC </t>
        </is>
      </c>
      <c r="N4596" t="inlineStr">
        <is>
          <t>42/190906</t>
        </is>
      </c>
      <c r="O4596" t="inlineStr">
        <is>
          <t>R</t>
        </is>
      </c>
      <c r="P4596">
        <f>TRIM(N4596)</f>
        <v/>
      </c>
    </row>
    <row r="4597">
      <c r="A4597" t="inlineStr">
        <is>
          <t>CO-002671</t>
        </is>
      </c>
      <c r="B4597" t="inlineStr">
        <is>
          <t>CICSA PERU SAC</t>
        </is>
      </c>
      <c r="C4597" t="n">
        <v>20512780114</v>
      </c>
      <c r="D4597" t="inlineStr">
        <is>
          <t>HUACHO</t>
        </is>
      </c>
      <c r="E4597" t="inlineStr">
        <is>
          <t>27 de marzo del 2026</t>
        </is>
      </c>
      <c r="F4597" t="inlineStr">
        <is>
          <t>la Recarga y mantenimiento</t>
        </is>
      </c>
      <c r="G4597" t="n">
        <v>12</v>
      </c>
      <c r="H4597" t="inlineStr">
        <is>
          <t>20 LBS</t>
        </is>
      </c>
      <c r="I4597" t="n">
        <v>2030</v>
      </c>
      <c r="J4597" t="n">
        <v>2018</v>
      </c>
      <c r="K4597" t="inlineStr">
        <is>
          <t>ABRIL 2026</t>
        </is>
      </c>
      <c r="L4597" t="inlineStr">
        <is>
          <t>ABRIL 2027</t>
        </is>
      </c>
      <c r="M4597" t="inlineStr">
        <is>
          <t xml:space="preserve">CO2 TIPO BC </t>
        </is>
      </c>
      <c r="N4597" t="inlineStr">
        <is>
          <t>43/190701</t>
        </is>
      </c>
      <c r="O4597" t="inlineStr">
        <is>
          <t>R</t>
        </is>
      </c>
      <c r="P4597">
        <f>TRIM(N4597)</f>
        <v/>
      </c>
    </row>
    <row r="4598">
      <c r="A4598" t="inlineStr">
        <is>
          <t>CO-002671</t>
        </is>
      </c>
      <c r="B4598" t="inlineStr">
        <is>
          <t>CICSA PERU SAC</t>
        </is>
      </c>
      <c r="C4598" t="n">
        <v>20512780114</v>
      </c>
      <c r="D4598" t="inlineStr">
        <is>
          <t>HUACHO</t>
        </is>
      </c>
      <c r="E4598" t="inlineStr">
        <is>
          <t>27 de marzo del 2026</t>
        </is>
      </c>
      <c r="F4598" t="inlineStr">
        <is>
          <t>la Recarga y mantenimiento</t>
        </is>
      </c>
      <c r="G4598" t="n">
        <v>13</v>
      </c>
      <c r="H4598" t="inlineStr">
        <is>
          <t>20 LBS</t>
        </is>
      </c>
      <c r="I4598" t="n">
        <v>2030</v>
      </c>
      <c r="J4598" t="n">
        <v>2019</v>
      </c>
      <c r="K4598" t="inlineStr">
        <is>
          <t>ABRIL 2026</t>
        </is>
      </c>
      <c r="L4598" t="inlineStr">
        <is>
          <t>ABRIL 2027</t>
        </is>
      </c>
      <c r="M4598" t="inlineStr">
        <is>
          <t xml:space="preserve">CO2 TIPO BC </t>
        </is>
      </c>
      <c r="N4598" t="inlineStr">
        <is>
          <t>44/190857</t>
        </is>
      </c>
      <c r="O4598" t="inlineStr">
        <is>
          <t>R</t>
        </is>
      </c>
      <c r="P4598">
        <f>TRIM(N4598)</f>
        <v/>
      </c>
    </row>
    <row r="4599">
      <c r="A4599" t="inlineStr">
        <is>
          <t>CO-002671</t>
        </is>
      </c>
      <c r="B4599" t="inlineStr">
        <is>
          <t>CICSA PERU SAC</t>
        </is>
      </c>
      <c r="C4599" t="n">
        <v>20512780114</v>
      </c>
      <c r="D4599" t="inlineStr">
        <is>
          <t>HUACHO</t>
        </is>
      </c>
      <c r="E4599" t="inlineStr">
        <is>
          <t>27 de marzo del 2026</t>
        </is>
      </c>
      <c r="F4599" t="inlineStr">
        <is>
          <t>la Recarga y mantenimiento</t>
        </is>
      </c>
      <c r="G4599" t="n">
        <v>14</v>
      </c>
      <c r="H4599" t="inlineStr">
        <is>
          <t>20 LBS</t>
        </is>
      </c>
      <c r="I4599" t="n">
        <v>2031</v>
      </c>
      <c r="J4599" t="n">
        <v>2019</v>
      </c>
      <c r="K4599" t="inlineStr">
        <is>
          <t>ABRIL 2026</t>
        </is>
      </c>
      <c r="L4599" t="inlineStr">
        <is>
          <t>ABRIL 2027</t>
        </is>
      </c>
      <c r="M4599" t="inlineStr">
        <is>
          <t xml:space="preserve">CO2 TIPO BC </t>
        </is>
      </c>
      <c r="N4599" t="inlineStr">
        <is>
          <t>45/190970</t>
        </is>
      </c>
      <c r="O4599" t="inlineStr">
        <is>
          <t>R</t>
        </is>
      </c>
      <c r="P4599">
        <f>TRIM(N4599)</f>
        <v/>
      </c>
    </row>
    <row r="4600">
      <c r="A4600" t="inlineStr">
        <is>
          <t>CO-002671</t>
        </is>
      </c>
      <c r="B4600" t="inlineStr">
        <is>
          <t>CICSA PERU SAC</t>
        </is>
      </c>
      <c r="C4600" t="n">
        <v>20512780114</v>
      </c>
      <c r="D4600" t="inlineStr">
        <is>
          <t>HUACHO</t>
        </is>
      </c>
      <c r="E4600" t="inlineStr">
        <is>
          <t>27 de marzo del 2026</t>
        </is>
      </c>
      <c r="F4600" t="inlineStr">
        <is>
          <t>la Recarga y mantenimiento</t>
        </is>
      </c>
      <c r="G4600" t="n">
        <v>15</v>
      </c>
      <c r="H4600" t="inlineStr">
        <is>
          <t>20 LBS</t>
        </is>
      </c>
      <c r="I4600" t="n">
        <v>2031</v>
      </c>
      <c r="J4600" t="n">
        <v>2018</v>
      </c>
      <c r="K4600" t="inlineStr">
        <is>
          <t>ABRIL 2026</t>
        </is>
      </c>
      <c r="L4600" t="inlineStr">
        <is>
          <t>ABRIL 2027</t>
        </is>
      </c>
      <c r="M4600" t="inlineStr">
        <is>
          <t xml:space="preserve">CO2 TIPO BC </t>
        </is>
      </c>
      <c r="N4600" t="inlineStr">
        <is>
          <t>46/145973</t>
        </is>
      </c>
      <c r="P4600">
        <f>TRIM(N4600)</f>
        <v/>
      </c>
    </row>
    <row r="4601">
      <c r="A4601" t="inlineStr">
        <is>
          <t>CO-002672</t>
        </is>
      </c>
      <c r="B4601" t="inlineStr">
        <is>
          <t>CICSA PERU SAC</t>
        </is>
      </c>
      <c r="C4601" t="n">
        <v>20512780114</v>
      </c>
      <c r="D4601" t="inlineStr">
        <is>
          <t>HUACHO</t>
        </is>
      </c>
      <c r="E4601" t="inlineStr">
        <is>
          <t>27 de marzo del 2026</t>
        </is>
      </c>
      <c r="F4601" t="inlineStr">
        <is>
          <t>la Recarga y mantenimiento</t>
        </is>
      </c>
      <c r="G4601" t="n">
        <v>1</v>
      </c>
      <c r="H4601" t="inlineStr">
        <is>
          <t>20 LBS</t>
        </is>
      </c>
      <c r="I4601" t="n">
        <v>2030</v>
      </c>
      <c r="J4601" t="n">
        <v>2019</v>
      </c>
      <c r="K4601" t="inlineStr">
        <is>
          <t>ABRIL 2026</t>
        </is>
      </c>
      <c r="L4601" t="inlineStr">
        <is>
          <t>ABRIL 2027</t>
        </is>
      </c>
      <c r="M4601" t="inlineStr">
        <is>
          <t xml:space="preserve">CO2 TIPO BC </t>
        </is>
      </c>
      <c r="N4601" t="inlineStr">
        <is>
          <t>47/191186</t>
        </is>
      </c>
      <c r="O4601" t="inlineStr">
        <is>
          <t>R</t>
        </is>
      </c>
      <c r="P4601">
        <f>TRIM(N4601)</f>
        <v/>
      </c>
    </row>
    <row r="4602">
      <c r="A4602" t="inlineStr">
        <is>
          <t>CO-002672</t>
        </is>
      </c>
      <c r="B4602" t="inlineStr">
        <is>
          <t>CICSA PERU SAC</t>
        </is>
      </c>
      <c r="C4602" t="n">
        <v>20512780114</v>
      </c>
      <c r="D4602" t="inlineStr">
        <is>
          <t>HUACHO</t>
        </is>
      </c>
      <c r="E4602" t="inlineStr">
        <is>
          <t>27 de marzo del 2026</t>
        </is>
      </c>
      <c r="F4602" t="inlineStr">
        <is>
          <t>la Recarga y mantenimiento</t>
        </is>
      </c>
      <c r="G4602" t="n">
        <v>2</v>
      </c>
      <c r="H4602" t="inlineStr">
        <is>
          <t>20 LBS</t>
        </is>
      </c>
      <c r="I4602" t="n">
        <v>2031</v>
      </c>
      <c r="J4602" t="n">
        <v>2019</v>
      </c>
      <c r="K4602" t="inlineStr">
        <is>
          <t>ABRIL 2026</t>
        </is>
      </c>
      <c r="L4602" t="inlineStr">
        <is>
          <t>ABRIL 2027</t>
        </is>
      </c>
      <c r="M4602" t="inlineStr">
        <is>
          <t xml:space="preserve">CO2 TIPO BC </t>
        </is>
      </c>
      <c r="N4602" t="inlineStr">
        <is>
          <t>48/178773</t>
        </is>
      </c>
      <c r="O4602" t="inlineStr">
        <is>
          <t>R</t>
        </is>
      </c>
      <c r="P4602">
        <f>TRIM(N4602)</f>
        <v/>
      </c>
    </row>
    <row r="4603">
      <c r="A4603" t="inlineStr">
        <is>
          <t>CO-002672</t>
        </is>
      </c>
      <c r="B4603" t="inlineStr">
        <is>
          <t>CICSA PERU SAC</t>
        </is>
      </c>
      <c r="C4603" t="n">
        <v>20512780114</v>
      </c>
      <c r="D4603" t="inlineStr">
        <is>
          <t>HUACHO</t>
        </is>
      </c>
      <c r="E4603" t="inlineStr">
        <is>
          <t>27 de marzo del 2026</t>
        </is>
      </c>
      <c r="F4603" t="inlineStr">
        <is>
          <t>la Recarga y mantenimiento</t>
        </is>
      </c>
      <c r="G4603" t="n">
        <v>3</v>
      </c>
      <c r="H4603" t="inlineStr">
        <is>
          <t>20 LBS</t>
        </is>
      </c>
      <c r="I4603" t="n">
        <v>2030</v>
      </c>
      <c r="J4603" t="n">
        <v>2018</v>
      </c>
      <c r="K4603" t="inlineStr">
        <is>
          <t>ABRIL 2026</t>
        </is>
      </c>
      <c r="L4603" t="inlineStr">
        <is>
          <t>ABRIL 2027</t>
        </is>
      </c>
      <c r="M4603" t="inlineStr">
        <is>
          <t xml:space="preserve">CO2 TIPO BC </t>
        </is>
      </c>
      <c r="N4603" t="inlineStr">
        <is>
          <t>49/148795</t>
        </is>
      </c>
      <c r="O4603" t="inlineStr">
        <is>
          <t>R</t>
        </is>
      </c>
      <c r="P4603">
        <f>TRIM(N4603)</f>
        <v/>
      </c>
    </row>
    <row r="4604">
      <c r="A4604" t="inlineStr">
        <is>
          <t>CO-002672</t>
        </is>
      </c>
      <c r="B4604" t="inlineStr">
        <is>
          <t>CICSA PERU SAC</t>
        </is>
      </c>
      <c r="C4604" t="n">
        <v>20512780114</v>
      </c>
      <c r="D4604" t="inlineStr">
        <is>
          <t>HUACHO</t>
        </is>
      </c>
      <c r="E4604" t="inlineStr">
        <is>
          <t>27 de marzo del 2026</t>
        </is>
      </c>
      <c r="F4604" t="inlineStr">
        <is>
          <t>la Recarga y mantenimiento</t>
        </is>
      </c>
      <c r="G4604" t="n">
        <v>4</v>
      </c>
      <c r="H4604" t="inlineStr">
        <is>
          <t>20 LBS</t>
        </is>
      </c>
      <c r="I4604" t="n">
        <v>2029</v>
      </c>
      <c r="J4604" t="n">
        <v>2019</v>
      </c>
      <c r="K4604" t="inlineStr">
        <is>
          <t>ABRIL 2026</t>
        </is>
      </c>
      <c r="L4604" t="inlineStr">
        <is>
          <t>ABRIL 2027</t>
        </is>
      </c>
      <c r="M4604" t="inlineStr">
        <is>
          <t xml:space="preserve">CO2 TIPO BC </t>
        </is>
      </c>
      <c r="N4604" t="inlineStr">
        <is>
          <t>51/191197</t>
        </is>
      </c>
      <c r="O4604" t="inlineStr">
        <is>
          <t>R</t>
        </is>
      </c>
      <c r="P4604">
        <f>TRIM(N4604)</f>
        <v/>
      </c>
    </row>
    <row r="4605">
      <c r="A4605" t="inlineStr">
        <is>
          <t>CO-002672</t>
        </is>
      </c>
      <c r="B4605" t="inlineStr">
        <is>
          <t>CICSA PERU SAC</t>
        </is>
      </c>
      <c r="C4605" t="n">
        <v>20512780114</v>
      </c>
      <c r="D4605" t="inlineStr">
        <is>
          <t>HUACHO</t>
        </is>
      </c>
      <c r="E4605" t="inlineStr">
        <is>
          <t>27 de marzo del 2026</t>
        </is>
      </c>
      <c r="F4605" t="inlineStr">
        <is>
          <t>la Recarga y mantenimiento</t>
        </is>
      </c>
      <c r="G4605" t="n">
        <v>5</v>
      </c>
      <c r="H4605" t="inlineStr">
        <is>
          <t>20 LBS</t>
        </is>
      </c>
      <c r="I4605" t="n">
        <v>2030</v>
      </c>
      <c r="J4605" t="n">
        <v>2019</v>
      </c>
      <c r="K4605" t="inlineStr">
        <is>
          <t>ABRIL 2026</t>
        </is>
      </c>
      <c r="L4605" t="inlineStr">
        <is>
          <t>ABRIL 2027</t>
        </is>
      </c>
      <c r="M4605" t="inlineStr">
        <is>
          <t xml:space="preserve">CO2 TIPO BC </t>
        </is>
      </c>
      <c r="N4605" t="inlineStr">
        <is>
          <t>52/181297</t>
        </is>
      </c>
      <c r="O4605" t="inlineStr">
        <is>
          <t>R</t>
        </is>
      </c>
      <c r="P4605">
        <f>TRIM(N4605)</f>
        <v/>
      </c>
    </row>
    <row r="4606">
      <c r="A4606" t="inlineStr">
        <is>
          <t>CO-002672</t>
        </is>
      </c>
      <c r="B4606" t="inlineStr">
        <is>
          <t>CICSA PERU SAC</t>
        </is>
      </c>
      <c r="C4606" t="n">
        <v>20512780114</v>
      </c>
      <c r="D4606" t="inlineStr">
        <is>
          <t>HUACHO</t>
        </is>
      </c>
      <c r="E4606" t="inlineStr">
        <is>
          <t>27 de marzo del 2026</t>
        </is>
      </c>
      <c r="F4606" t="inlineStr">
        <is>
          <t>la Recarga y mantenimiento</t>
        </is>
      </c>
      <c r="G4606" t="n">
        <v>6</v>
      </c>
      <c r="H4606" t="inlineStr">
        <is>
          <t>20 LBS</t>
        </is>
      </c>
      <c r="I4606" t="n">
        <v>2031</v>
      </c>
      <c r="J4606" t="n">
        <v>2019</v>
      </c>
      <c r="K4606" t="inlineStr">
        <is>
          <t>ABRIL 2026</t>
        </is>
      </c>
      <c r="L4606" t="inlineStr">
        <is>
          <t>ABRIL 2027</t>
        </is>
      </c>
      <c r="M4606" t="inlineStr">
        <is>
          <t xml:space="preserve">CO2 TIPO BC </t>
        </is>
      </c>
      <c r="N4606" t="inlineStr">
        <is>
          <t>53/218324</t>
        </is>
      </c>
      <c r="O4606" t="inlineStr">
        <is>
          <t>R</t>
        </is>
      </c>
      <c r="P4606">
        <f>TRIM(N4606)</f>
        <v/>
      </c>
    </row>
    <row r="4607">
      <c r="A4607" t="inlineStr">
        <is>
          <t>CO-002672</t>
        </is>
      </c>
      <c r="B4607" t="inlineStr">
        <is>
          <t>CICSA PERU SAC</t>
        </is>
      </c>
      <c r="C4607" t="n">
        <v>20512780114</v>
      </c>
      <c r="D4607" t="inlineStr">
        <is>
          <t>HUACHO</t>
        </is>
      </c>
      <c r="E4607" t="inlineStr">
        <is>
          <t>27 de marzo del 2026</t>
        </is>
      </c>
      <c r="F4607" t="inlineStr">
        <is>
          <t>la Recarga y mantenimiento</t>
        </is>
      </c>
      <c r="G4607" t="n">
        <v>7</v>
      </c>
      <c r="H4607" t="inlineStr">
        <is>
          <t>20 LBS</t>
        </is>
      </c>
      <c r="I4607" t="n">
        <v>2030</v>
      </c>
      <c r="J4607" t="n">
        <v>2019</v>
      </c>
      <c r="K4607" t="inlineStr">
        <is>
          <t>ABRIL 2026</t>
        </is>
      </c>
      <c r="L4607" t="inlineStr">
        <is>
          <t>ABRIL 2027</t>
        </is>
      </c>
      <c r="M4607" t="inlineStr">
        <is>
          <t xml:space="preserve">CO2 TIPO BC </t>
        </is>
      </c>
      <c r="N4607" t="inlineStr">
        <is>
          <t>54/178842</t>
        </is>
      </c>
      <c r="O4607" t="inlineStr">
        <is>
          <t>R</t>
        </is>
      </c>
      <c r="P4607">
        <f>TRIM(N4607)</f>
        <v/>
      </c>
    </row>
    <row r="4608">
      <c r="A4608" t="inlineStr">
        <is>
          <t>CO-002672</t>
        </is>
      </c>
      <c r="B4608" t="inlineStr">
        <is>
          <t>CICSA PERU SAC</t>
        </is>
      </c>
      <c r="C4608" t="n">
        <v>20512780114</v>
      </c>
      <c r="D4608" t="inlineStr">
        <is>
          <t>HUACHO</t>
        </is>
      </c>
      <c r="E4608" t="inlineStr">
        <is>
          <t>27 de marzo del 2026</t>
        </is>
      </c>
      <c r="F4608" t="inlineStr">
        <is>
          <t>la Recarga y mantenimiento</t>
        </is>
      </c>
      <c r="G4608" t="n">
        <v>8</v>
      </c>
      <c r="H4608" t="inlineStr">
        <is>
          <t>20 LBS</t>
        </is>
      </c>
      <c r="I4608" t="n">
        <v>2030</v>
      </c>
      <c r="J4608" t="n">
        <v>2018</v>
      </c>
      <c r="K4608" t="inlineStr">
        <is>
          <t>ABRIL 2026</t>
        </is>
      </c>
      <c r="L4608" t="inlineStr">
        <is>
          <t>ABRIL 2027</t>
        </is>
      </c>
      <c r="M4608" t="inlineStr">
        <is>
          <t xml:space="preserve">CO2 TIPO BC </t>
        </is>
      </c>
      <c r="N4608" t="inlineStr">
        <is>
          <t>55/152478</t>
        </is>
      </c>
      <c r="O4608" t="inlineStr">
        <is>
          <t>R</t>
        </is>
      </c>
      <c r="P4608">
        <f>TRIM(N4608)</f>
        <v/>
      </c>
    </row>
    <row r="4609">
      <c r="A4609" t="inlineStr">
        <is>
          <t>CO-002672</t>
        </is>
      </c>
      <c r="B4609" t="inlineStr">
        <is>
          <t>CICSA PERU SAC</t>
        </is>
      </c>
      <c r="C4609" t="n">
        <v>20512780114</v>
      </c>
      <c r="D4609" t="inlineStr">
        <is>
          <t>HUACHO</t>
        </is>
      </c>
      <c r="E4609" t="inlineStr">
        <is>
          <t>27 de marzo del 2026</t>
        </is>
      </c>
      <c r="F4609" t="inlineStr">
        <is>
          <t>la Recarga y mantenimiento</t>
        </is>
      </c>
      <c r="G4609" t="n">
        <v>9</v>
      </c>
      <c r="H4609" t="inlineStr">
        <is>
          <t>20 LBS</t>
        </is>
      </c>
      <c r="I4609" t="n">
        <v>2031</v>
      </c>
      <c r="J4609" t="n">
        <v>2019</v>
      </c>
      <c r="K4609" t="inlineStr">
        <is>
          <t>ABRIL 2026</t>
        </is>
      </c>
      <c r="L4609" t="inlineStr">
        <is>
          <t>ABRIL 2027</t>
        </is>
      </c>
      <c r="M4609" t="inlineStr">
        <is>
          <t xml:space="preserve">CO2 TIPO BC </t>
        </is>
      </c>
      <c r="N4609" t="inlineStr">
        <is>
          <t>56/191303</t>
        </is>
      </c>
      <c r="O4609" t="inlineStr">
        <is>
          <t>R</t>
        </is>
      </c>
      <c r="P4609">
        <f>TRIM(N4609)</f>
        <v/>
      </c>
    </row>
    <row r="4610">
      <c r="A4610" t="inlineStr">
        <is>
          <t>CO-002672</t>
        </is>
      </c>
      <c r="B4610" t="inlineStr">
        <is>
          <t>CICSA PERU SAC</t>
        </is>
      </c>
      <c r="C4610" t="n">
        <v>20512780114</v>
      </c>
      <c r="D4610" t="inlineStr">
        <is>
          <t>HUACHO</t>
        </is>
      </c>
      <c r="E4610" t="inlineStr">
        <is>
          <t>27 de marzo del 2026</t>
        </is>
      </c>
      <c r="F4610" t="inlineStr">
        <is>
          <t>la Recarga y mantenimiento</t>
        </is>
      </c>
      <c r="G4610" t="n">
        <v>10</v>
      </c>
      <c r="H4610" t="inlineStr">
        <is>
          <t>20 LBS</t>
        </is>
      </c>
      <c r="I4610" t="n">
        <v>2030</v>
      </c>
      <c r="J4610" t="n">
        <v>2019</v>
      </c>
      <c r="K4610" t="inlineStr">
        <is>
          <t>ABRIL 2026</t>
        </is>
      </c>
      <c r="L4610" t="inlineStr">
        <is>
          <t>ABRIL 2027</t>
        </is>
      </c>
      <c r="M4610" t="inlineStr">
        <is>
          <t xml:space="preserve">CO2 TIPO BC </t>
        </is>
      </c>
      <c r="N4610" t="inlineStr">
        <is>
          <t>57/191226</t>
        </is>
      </c>
      <c r="O4610" t="inlineStr">
        <is>
          <t>R</t>
        </is>
      </c>
      <c r="P4610">
        <f>TRIM(N4610)</f>
        <v/>
      </c>
    </row>
    <row r="4611">
      <c r="A4611" t="inlineStr">
        <is>
          <t>CO-002672</t>
        </is>
      </c>
      <c r="B4611" t="inlineStr">
        <is>
          <t>CICSA PERU SAC</t>
        </is>
      </c>
      <c r="C4611" t="n">
        <v>20512780114</v>
      </c>
      <c r="D4611" t="inlineStr">
        <is>
          <t>HUACHO</t>
        </is>
      </c>
      <c r="E4611" t="inlineStr">
        <is>
          <t>27 de marzo del 2026</t>
        </is>
      </c>
      <c r="F4611" t="inlineStr">
        <is>
          <t>la Recarga y mantenimiento</t>
        </is>
      </c>
      <c r="G4611" t="n">
        <v>11</v>
      </c>
      <c r="H4611" t="inlineStr">
        <is>
          <t>20 LBS</t>
        </is>
      </c>
      <c r="I4611" t="n">
        <v>2030</v>
      </c>
      <c r="J4611" t="n">
        <v>2018</v>
      </c>
      <c r="K4611" t="inlineStr">
        <is>
          <t>ABRIL 2026</t>
        </is>
      </c>
      <c r="L4611" t="inlineStr">
        <is>
          <t>ABRIL 2027</t>
        </is>
      </c>
      <c r="M4611" t="inlineStr">
        <is>
          <t xml:space="preserve">CO2 TIPO BC </t>
        </is>
      </c>
      <c r="N4611" t="inlineStr">
        <is>
          <t>58/152407</t>
        </is>
      </c>
      <c r="O4611" t="inlineStr">
        <is>
          <t>R</t>
        </is>
      </c>
      <c r="P4611">
        <f>TRIM(N4611)</f>
        <v/>
      </c>
    </row>
    <row r="4612">
      <c r="A4612" t="inlineStr">
        <is>
          <t>CO-002672</t>
        </is>
      </c>
      <c r="B4612" t="inlineStr">
        <is>
          <t>CICSA PERU SAC</t>
        </is>
      </c>
      <c r="C4612" t="n">
        <v>20512780114</v>
      </c>
      <c r="D4612" t="inlineStr">
        <is>
          <t>HUACHO</t>
        </is>
      </c>
      <c r="E4612" t="inlineStr">
        <is>
          <t>27 de marzo del 2026</t>
        </is>
      </c>
      <c r="F4612" t="inlineStr">
        <is>
          <t>la Recarga y mantenimiento</t>
        </is>
      </c>
      <c r="G4612" t="n">
        <v>12</v>
      </c>
      <c r="H4612" t="inlineStr">
        <is>
          <t>20 LBS</t>
        </is>
      </c>
      <c r="I4612" t="n">
        <v>2029</v>
      </c>
      <c r="J4612" t="n">
        <v>2019</v>
      </c>
      <c r="K4612" t="inlineStr">
        <is>
          <t>ABRIL 2026</t>
        </is>
      </c>
      <c r="L4612" t="inlineStr">
        <is>
          <t>ABRIL 2027</t>
        </is>
      </c>
      <c r="M4612" t="inlineStr">
        <is>
          <t xml:space="preserve">CO2 TIPO BC </t>
        </is>
      </c>
      <c r="N4612" t="inlineStr">
        <is>
          <t>59/178685</t>
        </is>
      </c>
      <c r="O4612" t="inlineStr">
        <is>
          <t>R</t>
        </is>
      </c>
      <c r="P4612">
        <f>TRIM(N4612)</f>
        <v/>
      </c>
    </row>
    <row r="4613">
      <c r="A4613" t="inlineStr">
        <is>
          <t>CO-002672</t>
        </is>
      </c>
      <c r="B4613" t="inlineStr">
        <is>
          <t>CICSA PERU SAC</t>
        </is>
      </c>
      <c r="C4613" t="n">
        <v>20512780114</v>
      </c>
      <c r="D4613" t="inlineStr">
        <is>
          <t>HUACHO</t>
        </is>
      </c>
      <c r="E4613" t="inlineStr">
        <is>
          <t>27 de marzo del 2026</t>
        </is>
      </c>
      <c r="F4613" t="inlineStr">
        <is>
          <t>la Recarga y mantenimiento</t>
        </is>
      </c>
      <c r="G4613" t="n">
        <v>13</v>
      </c>
      <c r="H4613" t="inlineStr">
        <is>
          <t>20 LBS</t>
        </is>
      </c>
      <c r="I4613" t="n">
        <v>2031</v>
      </c>
      <c r="J4613" t="n">
        <v>2019</v>
      </c>
      <c r="K4613" t="inlineStr">
        <is>
          <t>ABRIL 2026</t>
        </is>
      </c>
      <c r="L4613" t="inlineStr">
        <is>
          <t>ABRIL 2027</t>
        </is>
      </c>
      <c r="M4613" t="inlineStr">
        <is>
          <t xml:space="preserve">CO2 TIPO BC </t>
        </is>
      </c>
      <c r="N4613" t="inlineStr">
        <is>
          <t>60/190964</t>
        </is>
      </c>
      <c r="O4613" t="inlineStr">
        <is>
          <t>R</t>
        </is>
      </c>
      <c r="P4613">
        <f>TRIM(N4613)</f>
        <v/>
      </c>
    </row>
    <row r="4614">
      <c r="A4614" t="inlineStr">
        <is>
          <t>CO-002672</t>
        </is>
      </c>
      <c r="B4614" t="inlineStr">
        <is>
          <t>CICSA PERU SAC</t>
        </is>
      </c>
      <c r="C4614" t="n">
        <v>20512780114</v>
      </c>
      <c r="D4614" t="inlineStr">
        <is>
          <t>HUACHO</t>
        </is>
      </c>
      <c r="E4614" t="inlineStr">
        <is>
          <t>27 de marzo del 2026</t>
        </is>
      </c>
      <c r="F4614" t="inlineStr">
        <is>
          <t>la Recarga y mantenimiento</t>
        </is>
      </c>
      <c r="G4614" t="n">
        <v>14</v>
      </c>
      <c r="H4614" t="inlineStr">
        <is>
          <t>20 LBS</t>
        </is>
      </c>
      <c r="I4614" t="n">
        <v>2031</v>
      </c>
      <c r="J4614" t="n">
        <v>2019</v>
      </c>
      <c r="K4614" t="inlineStr">
        <is>
          <t>ABRIL 2026</t>
        </is>
      </c>
      <c r="L4614" t="inlineStr">
        <is>
          <t>ABRIL 2027</t>
        </is>
      </c>
      <c r="M4614" t="inlineStr">
        <is>
          <t xml:space="preserve">CO2 TIPO BC </t>
        </is>
      </c>
      <c r="N4614" t="inlineStr">
        <is>
          <t>61/181377</t>
        </is>
      </c>
      <c r="O4614" t="inlineStr">
        <is>
          <t>R</t>
        </is>
      </c>
      <c r="P4614">
        <f>TRIM(N4614)</f>
        <v/>
      </c>
    </row>
    <row r="4615">
      <c r="A4615" t="inlineStr">
        <is>
          <t>CO-002672</t>
        </is>
      </c>
      <c r="B4615" t="inlineStr">
        <is>
          <t>CICSA PERU SAC</t>
        </is>
      </c>
      <c r="C4615" t="n">
        <v>20512780114</v>
      </c>
      <c r="D4615" t="inlineStr">
        <is>
          <t>HUACHO</t>
        </is>
      </c>
      <c r="E4615" t="inlineStr">
        <is>
          <t>27 de marzo del 2026</t>
        </is>
      </c>
      <c r="F4615" t="inlineStr">
        <is>
          <t>la Recarga y mantenimiento</t>
        </is>
      </c>
      <c r="G4615" t="n">
        <v>15</v>
      </c>
      <c r="H4615" t="inlineStr">
        <is>
          <t>20 LBS</t>
        </is>
      </c>
      <c r="I4615" t="n">
        <v>2030</v>
      </c>
      <c r="J4615" t="n">
        <v>2019</v>
      </c>
      <c r="K4615" t="inlineStr">
        <is>
          <t>ABRIL 2026</t>
        </is>
      </c>
      <c r="L4615" t="inlineStr">
        <is>
          <t>ABRIL 2027</t>
        </is>
      </c>
      <c r="M4615" t="inlineStr">
        <is>
          <t xml:space="preserve">CO2 TIPO BC </t>
        </is>
      </c>
      <c r="N4615" t="inlineStr">
        <is>
          <t>62/178979</t>
        </is>
      </c>
      <c r="P4615">
        <f>TRIM(N4615)</f>
        <v/>
      </c>
    </row>
    <row r="4616">
      <c r="A4616" t="inlineStr">
        <is>
          <t>CO-002673</t>
        </is>
      </c>
      <c r="B4616" t="inlineStr">
        <is>
          <t>CICSA PERU SAC</t>
        </is>
      </c>
      <c r="C4616" t="n">
        <v>20512780114</v>
      </c>
      <c r="D4616" t="inlineStr">
        <is>
          <t>HUACHO</t>
        </is>
      </c>
      <c r="E4616" t="inlineStr">
        <is>
          <t>27 de marzo del 2026</t>
        </is>
      </c>
      <c r="F4616" t="inlineStr">
        <is>
          <t>la Recarga y mantenimiento</t>
        </is>
      </c>
      <c r="G4616" t="n">
        <v>1</v>
      </c>
      <c r="H4616" t="inlineStr">
        <is>
          <t>20 LBS</t>
        </is>
      </c>
      <c r="I4616" t="n">
        <v>2031</v>
      </c>
      <c r="J4616" t="n">
        <v>2019</v>
      </c>
      <c r="K4616" t="inlineStr">
        <is>
          <t>ABRIL 2026</t>
        </is>
      </c>
      <c r="L4616" t="inlineStr">
        <is>
          <t>ABRIL 2027</t>
        </is>
      </c>
      <c r="M4616" t="inlineStr">
        <is>
          <t xml:space="preserve">CO2 TIPO BC </t>
        </is>
      </c>
      <c r="N4616" t="inlineStr">
        <is>
          <t>63/181395</t>
        </is>
      </c>
      <c r="O4616" t="inlineStr">
        <is>
          <t>R</t>
        </is>
      </c>
      <c r="P4616">
        <f>TRIM(N4616)</f>
        <v/>
      </c>
    </row>
    <row r="4617">
      <c r="A4617" t="inlineStr">
        <is>
          <t>CO-002673</t>
        </is>
      </c>
      <c r="B4617" t="inlineStr">
        <is>
          <t>CICSA PERU SAC</t>
        </is>
      </c>
      <c r="C4617" t="n">
        <v>20512780114</v>
      </c>
      <c r="D4617" t="inlineStr">
        <is>
          <t>HUACHO</t>
        </is>
      </c>
      <c r="E4617" t="inlineStr">
        <is>
          <t>27 de marzo del 2026</t>
        </is>
      </c>
      <c r="F4617" t="inlineStr">
        <is>
          <t>la Recarga y mantenimiento</t>
        </is>
      </c>
      <c r="G4617" t="n">
        <v>2</v>
      </c>
      <c r="H4617" t="inlineStr">
        <is>
          <t>20 LBS</t>
        </is>
      </c>
      <c r="I4617" t="n">
        <v>2031</v>
      </c>
      <c r="J4617" t="n">
        <v>2019</v>
      </c>
      <c r="K4617" t="inlineStr">
        <is>
          <t>ABRIL 2026</t>
        </is>
      </c>
      <c r="L4617" t="inlineStr">
        <is>
          <t>ABRIL 2027</t>
        </is>
      </c>
      <c r="M4617" t="inlineStr">
        <is>
          <t xml:space="preserve">CO2 TIPO BC </t>
        </is>
      </c>
      <c r="N4617" t="inlineStr">
        <is>
          <t>64/192256</t>
        </is>
      </c>
      <c r="O4617" t="inlineStr">
        <is>
          <t>R</t>
        </is>
      </c>
      <c r="P4617">
        <f>TRIM(N4617)</f>
        <v/>
      </c>
    </row>
    <row r="4618">
      <c r="A4618" t="inlineStr">
        <is>
          <t>CO-002673</t>
        </is>
      </c>
      <c r="B4618" t="inlineStr">
        <is>
          <t>CICSA PERU SAC</t>
        </is>
      </c>
      <c r="C4618" t="n">
        <v>20512780114</v>
      </c>
      <c r="D4618" t="inlineStr">
        <is>
          <t>HUACHO</t>
        </is>
      </c>
      <c r="E4618" t="inlineStr">
        <is>
          <t>27 de marzo del 2026</t>
        </is>
      </c>
      <c r="F4618" t="inlineStr">
        <is>
          <t>la Recarga y mantenimiento</t>
        </is>
      </c>
      <c r="G4618" t="n">
        <v>3</v>
      </c>
      <c r="H4618" t="inlineStr">
        <is>
          <t>20 LBS</t>
        </is>
      </c>
      <c r="I4618" t="n">
        <v>2031</v>
      </c>
      <c r="J4618" t="n">
        <v>2018</v>
      </c>
      <c r="K4618" t="inlineStr">
        <is>
          <t>ABRIL 2026</t>
        </is>
      </c>
      <c r="L4618" t="inlineStr">
        <is>
          <t>ABRIL 2027</t>
        </is>
      </c>
      <c r="M4618" t="inlineStr">
        <is>
          <t xml:space="preserve">CO2 TIPO BC </t>
        </is>
      </c>
      <c r="N4618" t="inlineStr">
        <is>
          <t>65/152481</t>
        </is>
      </c>
      <c r="O4618" t="inlineStr">
        <is>
          <t>R</t>
        </is>
      </c>
      <c r="P4618">
        <f>TRIM(N4618)</f>
        <v/>
      </c>
    </row>
    <row r="4619">
      <c r="A4619" t="inlineStr">
        <is>
          <t>CO-002673</t>
        </is>
      </c>
      <c r="B4619" t="inlineStr">
        <is>
          <t>CICSA PERU SAC</t>
        </is>
      </c>
      <c r="C4619" t="n">
        <v>20512780114</v>
      </c>
      <c r="D4619" t="inlineStr">
        <is>
          <t>HUACHO</t>
        </is>
      </c>
      <c r="E4619" t="inlineStr">
        <is>
          <t>27 de marzo del 2026</t>
        </is>
      </c>
      <c r="F4619" t="inlineStr">
        <is>
          <t>la Recarga y mantenimiento</t>
        </is>
      </c>
      <c r="G4619" t="n">
        <v>4</v>
      </c>
      <c r="H4619" t="inlineStr">
        <is>
          <t>20 LBS</t>
        </is>
      </c>
      <c r="I4619" t="n">
        <v>2030</v>
      </c>
      <c r="J4619" t="n">
        <v>2019</v>
      </c>
      <c r="K4619" t="inlineStr">
        <is>
          <t>ABRIL 2026</t>
        </is>
      </c>
      <c r="L4619" t="inlineStr">
        <is>
          <t>ABRIL 2027</t>
        </is>
      </c>
      <c r="M4619" t="inlineStr">
        <is>
          <t xml:space="preserve">CO2 TIPO BC </t>
        </is>
      </c>
      <c r="N4619" t="inlineStr">
        <is>
          <t>66/181410</t>
        </is>
      </c>
      <c r="O4619" t="inlineStr">
        <is>
          <t>R</t>
        </is>
      </c>
      <c r="P4619">
        <f>TRIM(N4619)</f>
        <v/>
      </c>
    </row>
    <row r="4620">
      <c r="A4620" t="inlineStr">
        <is>
          <t>CO-002673</t>
        </is>
      </c>
      <c r="B4620" t="inlineStr">
        <is>
          <t>CICSA PERU SAC</t>
        </is>
      </c>
      <c r="C4620" t="n">
        <v>20512780114</v>
      </c>
      <c r="D4620" t="inlineStr">
        <is>
          <t>HUACHO</t>
        </is>
      </c>
      <c r="E4620" t="inlineStr">
        <is>
          <t>27 de marzo del 2026</t>
        </is>
      </c>
      <c r="F4620" t="inlineStr">
        <is>
          <t>la Recarga y mantenimiento</t>
        </is>
      </c>
      <c r="G4620" t="n">
        <v>5</v>
      </c>
      <c r="H4620" t="inlineStr">
        <is>
          <t>20 LBS</t>
        </is>
      </c>
      <c r="I4620" t="n">
        <v>2030</v>
      </c>
      <c r="J4620" t="n">
        <v>2018</v>
      </c>
      <c r="K4620" t="inlineStr">
        <is>
          <t>ABRIL 2026</t>
        </is>
      </c>
      <c r="L4620" t="inlineStr">
        <is>
          <t>ABRIL 2027</t>
        </is>
      </c>
      <c r="M4620" t="inlineStr">
        <is>
          <t xml:space="preserve">CO2 TIPO BC </t>
        </is>
      </c>
      <c r="N4620" t="inlineStr">
        <is>
          <t>67/141182</t>
        </is>
      </c>
      <c r="O4620" t="inlineStr">
        <is>
          <t>R</t>
        </is>
      </c>
      <c r="P4620">
        <f>TRIM(N4620)</f>
        <v/>
      </c>
    </row>
    <row r="4621">
      <c r="A4621" t="inlineStr">
        <is>
          <t>CO-002673</t>
        </is>
      </c>
      <c r="B4621" t="inlineStr">
        <is>
          <t>CICSA PERU SAC</t>
        </is>
      </c>
      <c r="C4621" t="n">
        <v>20512780114</v>
      </c>
      <c r="D4621" t="inlineStr">
        <is>
          <t>HUACHO</t>
        </is>
      </c>
      <c r="E4621" t="inlineStr">
        <is>
          <t>27 de marzo del 2026</t>
        </is>
      </c>
      <c r="F4621" t="inlineStr">
        <is>
          <t>la Recarga y mantenimiento</t>
        </is>
      </c>
      <c r="G4621" t="n">
        <v>6</v>
      </c>
      <c r="H4621" t="inlineStr">
        <is>
          <t>20 LBS</t>
        </is>
      </c>
      <c r="I4621" t="n">
        <v>2030</v>
      </c>
      <c r="J4621" t="n">
        <v>2019</v>
      </c>
      <c r="K4621" t="inlineStr">
        <is>
          <t>ABRIL 2026</t>
        </is>
      </c>
      <c r="L4621" t="inlineStr">
        <is>
          <t>ABRIL 2027</t>
        </is>
      </c>
      <c r="M4621" t="inlineStr">
        <is>
          <t xml:space="preserve">CO2 TIPO BC </t>
        </is>
      </c>
      <c r="N4621" t="inlineStr">
        <is>
          <t>68/190918</t>
        </is>
      </c>
      <c r="O4621" t="inlineStr">
        <is>
          <t>R</t>
        </is>
      </c>
      <c r="P4621">
        <f>TRIM(N4621)</f>
        <v/>
      </c>
    </row>
    <row r="4622">
      <c r="A4622" t="inlineStr">
        <is>
          <t>CO-002673</t>
        </is>
      </c>
      <c r="B4622" t="inlineStr">
        <is>
          <t>CICSA PERU SAC</t>
        </is>
      </c>
      <c r="C4622" t="n">
        <v>20512780114</v>
      </c>
      <c r="D4622" t="inlineStr">
        <is>
          <t>HUACHO</t>
        </is>
      </c>
      <c r="E4622" t="inlineStr">
        <is>
          <t>27 de marzo del 2026</t>
        </is>
      </c>
      <c r="F4622" t="inlineStr">
        <is>
          <t>la Recarga y mantenimiento</t>
        </is>
      </c>
      <c r="G4622" t="n">
        <v>7</v>
      </c>
      <c r="H4622" t="inlineStr">
        <is>
          <t>20 LBS</t>
        </is>
      </c>
      <c r="I4622" t="n">
        <v>2031</v>
      </c>
      <c r="J4622" t="n">
        <v>2019</v>
      </c>
      <c r="K4622" t="inlineStr">
        <is>
          <t>ABRIL 2026</t>
        </is>
      </c>
      <c r="L4622" t="inlineStr">
        <is>
          <t>ABRIL 2027</t>
        </is>
      </c>
      <c r="M4622" t="inlineStr">
        <is>
          <t xml:space="preserve">CO2 TIPO BC </t>
        </is>
      </c>
      <c r="N4622" t="inlineStr">
        <is>
          <t>69/190897</t>
        </is>
      </c>
      <c r="O4622" t="inlineStr">
        <is>
          <t>R</t>
        </is>
      </c>
      <c r="P4622">
        <f>TRIM(N4622)</f>
        <v/>
      </c>
    </row>
    <row r="4623">
      <c r="A4623" t="inlineStr">
        <is>
          <t>CO-002673</t>
        </is>
      </c>
      <c r="B4623" t="inlineStr">
        <is>
          <t>CICSA PERU SAC</t>
        </is>
      </c>
      <c r="C4623" t="n">
        <v>20512780114</v>
      </c>
      <c r="D4623" t="inlineStr">
        <is>
          <t>HUACHO</t>
        </is>
      </c>
      <c r="E4623" t="inlineStr">
        <is>
          <t>27 de marzo del 2026</t>
        </is>
      </c>
      <c r="F4623" t="inlineStr">
        <is>
          <t>la Recarga y mantenimiento</t>
        </is>
      </c>
      <c r="G4623" t="n">
        <v>8</v>
      </c>
      <c r="H4623" t="inlineStr">
        <is>
          <t>20 LBS</t>
        </is>
      </c>
      <c r="I4623" t="n">
        <v>2031</v>
      </c>
      <c r="J4623" t="n">
        <v>2018</v>
      </c>
      <c r="K4623" t="inlineStr">
        <is>
          <t>ABRIL 2026</t>
        </is>
      </c>
      <c r="L4623" t="inlineStr">
        <is>
          <t>ABRIL 2027</t>
        </is>
      </c>
      <c r="M4623" t="inlineStr">
        <is>
          <t xml:space="preserve">CO2 TIPO BC </t>
        </is>
      </c>
      <c r="N4623" t="inlineStr">
        <is>
          <t>70/146042</t>
        </is>
      </c>
      <c r="O4623" t="inlineStr">
        <is>
          <t>R</t>
        </is>
      </c>
      <c r="P4623">
        <f>TRIM(N4623)</f>
        <v/>
      </c>
    </row>
    <row r="4624">
      <c r="A4624" t="inlineStr">
        <is>
          <t>CO-002673</t>
        </is>
      </c>
      <c r="B4624" t="inlineStr">
        <is>
          <t>CICSA PERU SAC</t>
        </is>
      </c>
      <c r="C4624" t="n">
        <v>20512780114</v>
      </c>
      <c r="D4624" t="inlineStr">
        <is>
          <t>HUACHO</t>
        </is>
      </c>
      <c r="E4624" t="inlineStr">
        <is>
          <t>27 de marzo del 2026</t>
        </is>
      </c>
      <c r="F4624" t="inlineStr">
        <is>
          <t>la Recarga y mantenimiento</t>
        </is>
      </c>
      <c r="G4624" t="n">
        <v>9</v>
      </c>
      <c r="H4624" t="inlineStr">
        <is>
          <t>20 LBS</t>
        </is>
      </c>
      <c r="I4624" t="n">
        <v>2030</v>
      </c>
      <c r="J4624" t="n">
        <v>2019</v>
      </c>
      <c r="K4624" t="inlineStr">
        <is>
          <t>ABRIL 2026</t>
        </is>
      </c>
      <c r="L4624" t="inlineStr">
        <is>
          <t>ABRIL 2027</t>
        </is>
      </c>
      <c r="M4624" t="inlineStr">
        <is>
          <t xml:space="preserve">CO2 TIPO BC </t>
        </is>
      </c>
      <c r="N4624" t="inlineStr">
        <is>
          <t>71/190971</t>
        </is>
      </c>
      <c r="O4624" t="inlineStr">
        <is>
          <t>R</t>
        </is>
      </c>
      <c r="P4624">
        <f>TRIM(N4624)</f>
        <v/>
      </c>
    </row>
    <row r="4625">
      <c r="A4625" t="inlineStr">
        <is>
          <t>CO-002673</t>
        </is>
      </c>
      <c r="B4625" t="inlineStr">
        <is>
          <t>CICSA PERU SAC</t>
        </is>
      </c>
      <c r="C4625" t="n">
        <v>20512780114</v>
      </c>
      <c r="D4625" t="inlineStr">
        <is>
          <t>HUACHO</t>
        </is>
      </c>
      <c r="E4625" t="inlineStr">
        <is>
          <t>27 de marzo del 2026</t>
        </is>
      </c>
      <c r="F4625" t="inlineStr">
        <is>
          <t>la Recarga y mantenimiento</t>
        </is>
      </c>
      <c r="G4625" t="n">
        <v>10</v>
      </c>
      <c r="H4625" t="inlineStr">
        <is>
          <t>20 LBS</t>
        </is>
      </c>
      <c r="I4625" t="n">
        <v>2031</v>
      </c>
      <c r="J4625" t="n">
        <v>2018</v>
      </c>
      <c r="K4625" t="inlineStr">
        <is>
          <t>ABRIL 2026</t>
        </is>
      </c>
      <c r="L4625" t="inlineStr">
        <is>
          <t>ABRIL 2027</t>
        </is>
      </c>
      <c r="M4625" t="inlineStr">
        <is>
          <t xml:space="preserve">CO2 TIPO BC </t>
        </is>
      </c>
      <c r="N4625" t="inlineStr">
        <is>
          <t>72/152333</t>
        </is>
      </c>
      <c r="O4625" t="inlineStr">
        <is>
          <t>R</t>
        </is>
      </c>
      <c r="P4625">
        <f>TRIM(N4625)</f>
        <v/>
      </c>
    </row>
    <row r="4626">
      <c r="A4626" t="inlineStr">
        <is>
          <t>CO-002673</t>
        </is>
      </c>
      <c r="B4626" t="inlineStr">
        <is>
          <t>CICSA PERU SAC</t>
        </is>
      </c>
      <c r="C4626" t="n">
        <v>20512780114</v>
      </c>
      <c r="D4626" t="inlineStr">
        <is>
          <t>HUACHO</t>
        </is>
      </c>
      <c r="E4626" t="inlineStr">
        <is>
          <t>27 de marzo del 2026</t>
        </is>
      </c>
      <c r="F4626" t="inlineStr">
        <is>
          <t>la Recarga y mantenimiento</t>
        </is>
      </c>
      <c r="G4626" t="n">
        <v>11</v>
      </c>
      <c r="H4626" t="inlineStr">
        <is>
          <t>20 LBS</t>
        </is>
      </c>
      <c r="I4626" t="n">
        <v>2031</v>
      </c>
      <c r="J4626" t="n">
        <v>2019</v>
      </c>
      <c r="K4626" t="inlineStr">
        <is>
          <t>ABRIL 2026</t>
        </is>
      </c>
      <c r="L4626" t="inlineStr">
        <is>
          <t>ABRIL 2027</t>
        </is>
      </c>
      <c r="M4626" t="inlineStr">
        <is>
          <t xml:space="preserve">CO2 TIPO BC </t>
        </is>
      </c>
      <c r="N4626" t="inlineStr">
        <is>
          <t>73/178764</t>
        </is>
      </c>
      <c r="O4626" t="inlineStr">
        <is>
          <t>R</t>
        </is>
      </c>
      <c r="P4626">
        <f>TRIM(N4626)</f>
        <v/>
      </c>
    </row>
    <row r="4627">
      <c r="A4627" t="inlineStr">
        <is>
          <t>CO-002673</t>
        </is>
      </c>
      <c r="B4627" t="inlineStr">
        <is>
          <t>CICSA PERU SAC</t>
        </is>
      </c>
      <c r="C4627" t="n">
        <v>20512780114</v>
      </c>
      <c r="D4627" t="inlineStr">
        <is>
          <t>HUACHO</t>
        </is>
      </c>
      <c r="E4627" t="inlineStr">
        <is>
          <t>27 de marzo del 2026</t>
        </is>
      </c>
      <c r="F4627" t="inlineStr">
        <is>
          <t>la Recarga y mantenimiento</t>
        </is>
      </c>
      <c r="G4627" t="n">
        <v>12</v>
      </c>
      <c r="H4627" t="inlineStr">
        <is>
          <t>20 LBS</t>
        </is>
      </c>
      <c r="I4627" t="n">
        <v>2031</v>
      </c>
      <c r="J4627" t="n">
        <v>2019</v>
      </c>
      <c r="K4627" t="inlineStr">
        <is>
          <t>ABRIL 2026</t>
        </is>
      </c>
      <c r="L4627" t="inlineStr">
        <is>
          <t>ABRIL 2027</t>
        </is>
      </c>
      <c r="M4627" t="inlineStr">
        <is>
          <t xml:space="preserve">CO2 TIPO BC </t>
        </is>
      </c>
      <c r="N4627" t="inlineStr">
        <is>
          <t>74/191251</t>
        </is>
      </c>
      <c r="O4627" t="inlineStr">
        <is>
          <t>R</t>
        </is>
      </c>
      <c r="P4627">
        <f>TRIM(N4627)</f>
        <v/>
      </c>
    </row>
    <row r="4628">
      <c r="A4628" t="inlineStr">
        <is>
          <t>CO-002673</t>
        </is>
      </c>
      <c r="B4628" t="inlineStr">
        <is>
          <t>CICSA PERU SAC</t>
        </is>
      </c>
      <c r="C4628" t="n">
        <v>20512780114</v>
      </c>
      <c r="D4628" t="inlineStr">
        <is>
          <t>HUACHO</t>
        </is>
      </c>
      <c r="E4628" t="inlineStr">
        <is>
          <t>27 de marzo del 2026</t>
        </is>
      </c>
      <c r="F4628" t="inlineStr">
        <is>
          <t>la Recarga y mantenimiento</t>
        </is>
      </c>
      <c r="G4628" t="n">
        <v>13</v>
      </c>
      <c r="H4628" t="inlineStr">
        <is>
          <t>20 LBS</t>
        </is>
      </c>
      <c r="I4628" t="n">
        <v>2030</v>
      </c>
      <c r="J4628" t="n">
        <v>2018</v>
      </c>
      <c r="K4628" t="inlineStr">
        <is>
          <t>ABRIL 2026</t>
        </is>
      </c>
      <c r="L4628" t="inlineStr">
        <is>
          <t>ABRIL 2027</t>
        </is>
      </c>
      <c r="M4628" t="inlineStr">
        <is>
          <t xml:space="preserve">CO2 TIPO BC </t>
        </is>
      </c>
      <c r="N4628" t="inlineStr">
        <is>
          <t>75/152346</t>
        </is>
      </c>
      <c r="O4628" t="inlineStr">
        <is>
          <t>R</t>
        </is>
      </c>
      <c r="P4628">
        <f>TRIM(N4628)</f>
        <v/>
      </c>
    </row>
    <row r="4629">
      <c r="A4629" t="inlineStr">
        <is>
          <t>CO-002673</t>
        </is>
      </c>
      <c r="B4629" t="inlineStr">
        <is>
          <t>CICSA PERU SAC</t>
        </is>
      </c>
      <c r="C4629" t="n">
        <v>20512780114</v>
      </c>
      <c r="D4629" t="inlineStr">
        <is>
          <t>HUACHO</t>
        </is>
      </c>
      <c r="E4629" t="inlineStr">
        <is>
          <t>27 de marzo del 2026</t>
        </is>
      </c>
      <c r="F4629" t="inlineStr">
        <is>
          <t>la Recarga y mantenimiento</t>
        </is>
      </c>
      <c r="G4629" t="n">
        <v>14</v>
      </c>
      <c r="H4629" t="inlineStr">
        <is>
          <t>20 LBS</t>
        </is>
      </c>
      <c r="I4629" t="n">
        <v>2029</v>
      </c>
      <c r="J4629" t="n">
        <v>2019</v>
      </c>
      <c r="K4629" t="inlineStr">
        <is>
          <t>ABRIL 2026</t>
        </is>
      </c>
      <c r="L4629" t="inlineStr">
        <is>
          <t>ABRIL 2027</t>
        </is>
      </c>
      <c r="M4629" t="inlineStr">
        <is>
          <t xml:space="preserve">CO2 TIPO BC </t>
        </is>
      </c>
      <c r="N4629" t="inlineStr">
        <is>
          <t>76/191221</t>
        </is>
      </c>
      <c r="O4629" t="inlineStr">
        <is>
          <t>R</t>
        </is>
      </c>
      <c r="P4629">
        <f>TRIM(N4629)</f>
        <v/>
      </c>
    </row>
    <row r="4630">
      <c r="A4630" t="inlineStr">
        <is>
          <t>CO-002673</t>
        </is>
      </c>
      <c r="B4630" t="inlineStr">
        <is>
          <t>CICSA PERU SAC</t>
        </is>
      </c>
      <c r="C4630" t="n">
        <v>20512780114</v>
      </c>
      <c r="D4630" t="inlineStr">
        <is>
          <t>HUACHO</t>
        </is>
      </c>
      <c r="E4630" t="inlineStr">
        <is>
          <t>27 de marzo del 2026</t>
        </is>
      </c>
      <c r="F4630" t="inlineStr">
        <is>
          <t>la Recarga y mantenimiento</t>
        </is>
      </c>
      <c r="G4630" t="n">
        <v>15</v>
      </c>
      <c r="H4630" t="inlineStr">
        <is>
          <t>20 LBS</t>
        </is>
      </c>
      <c r="I4630" t="n">
        <v>2030</v>
      </c>
      <c r="J4630" t="n">
        <v>2019</v>
      </c>
      <c r="K4630" t="inlineStr">
        <is>
          <t>ABRIL 2026</t>
        </is>
      </c>
      <c r="L4630" t="inlineStr">
        <is>
          <t>ABRIL 2027</t>
        </is>
      </c>
      <c r="M4630" t="inlineStr">
        <is>
          <t xml:space="preserve">CO2 TIPO BC </t>
        </is>
      </c>
      <c r="N4630" t="inlineStr">
        <is>
          <t>77/178846</t>
        </is>
      </c>
      <c r="O4630" t="inlineStr">
        <is>
          <t>R</t>
        </is>
      </c>
      <c r="P4630">
        <f>TRIM(N4630)</f>
        <v/>
      </c>
    </row>
    <row r="4631">
      <c r="A4631" t="inlineStr">
        <is>
          <t>CO-002674</t>
        </is>
      </c>
      <c r="B4631" t="inlineStr">
        <is>
          <t>CICSA PERU SAC</t>
        </is>
      </c>
      <c r="C4631" t="n">
        <v>20512780114</v>
      </c>
      <c r="D4631" t="inlineStr">
        <is>
          <t>HUACHO</t>
        </is>
      </c>
      <c r="E4631" t="inlineStr">
        <is>
          <t>27 de marzo del 2026</t>
        </is>
      </c>
      <c r="F4631" t="inlineStr">
        <is>
          <t>la Recarga y mantenimiento</t>
        </is>
      </c>
      <c r="G4631" t="n">
        <v>1</v>
      </c>
      <c r="H4631" t="inlineStr">
        <is>
          <t>20 LBS</t>
        </is>
      </c>
      <c r="I4631" t="n">
        <v>2031</v>
      </c>
      <c r="J4631" t="n">
        <v>2019</v>
      </c>
      <c r="K4631" t="inlineStr">
        <is>
          <t>ABRIL 2026</t>
        </is>
      </c>
      <c r="L4631" t="inlineStr">
        <is>
          <t>ABRIL 2027</t>
        </is>
      </c>
      <c r="M4631" t="inlineStr">
        <is>
          <t xml:space="preserve">CO2 TIPO BC </t>
        </is>
      </c>
      <c r="N4631" t="inlineStr">
        <is>
          <t>78/190703</t>
        </is>
      </c>
      <c r="O4631" t="inlineStr">
        <is>
          <t>R</t>
        </is>
      </c>
      <c r="P4631">
        <f>TRIM(N4631)</f>
        <v/>
      </c>
    </row>
    <row r="4632">
      <c r="A4632" t="inlineStr">
        <is>
          <t>CO-002674</t>
        </is>
      </c>
      <c r="B4632" t="inlineStr">
        <is>
          <t>CICSA PERU SAC</t>
        </is>
      </c>
      <c r="C4632" t="n">
        <v>20512780114</v>
      </c>
      <c r="D4632" t="inlineStr">
        <is>
          <t>HUACHO</t>
        </is>
      </c>
      <c r="E4632" t="inlineStr">
        <is>
          <t>27 de marzo del 2026</t>
        </is>
      </c>
      <c r="F4632" t="inlineStr">
        <is>
          <t>la Recarga y mantenimiento</t>
        </is>
      </c>
      <c r="G4632" t="n">
        <v>2</v>
      </c>
      <c r="H4632" t="inlineStr">
        <is>
          <t>20 LBS</t>
        </is>
      </c>
      <c r="I4632" t="n">
        <v>2031</v>
      </c>
      <c r="J4632" t="n">
        <v>2018</v>
      </c>
      <c r="K4632" t="inlineStr">
        <is>
          <t>ABRIL 2026</t>
        </is>
      </c>
      <c r="L4632" t="inlineStr">
        <is>
          <t>ABRIL 2027</t>
        </is>
      </c>
      <c r="M4632" t="inlineStr">
        <is>
          <t xml:space="preserve">CO2 TIPO BC </t>
        </is>
      </c>
      <c r="N4632" t="inlineStr">
        <is>
          <t>79/152414</t>
        </is>
      </c>
      <c r="O4632" t="inlineStr">
        <is>
          <t>R</t>
        </is>
      </c>
      <c r="P4632">
        <f>TRIM(N4632)</f>
        <v/>
      </c>
    </row>
    <row r="4633">
      <c r="A4633" t="inlineStr">
        <is>
          <t>CO-002674</t>
        </is>
      </c>
      <c r="B4633" t="inlineStr">
        <is>
          <t>CICSA PERU SAC</t>
        </is>
      </c>
      <c r="C4633" t="n">
        <v>20512780114</v>
      </c>
      <c r="D4633" t="inlineStr">
        <is>
          <t>HUACHO</t>
        </is>
      </c>
      <c r="E4633" t="inlineStr">
        <is>
          <t>27 de marzo del 2026</t>
        </is>
      </c>
      <c r="F4633" t="inlineStr">
        <is>
          <t>la Recarga y mantenimiento</t>
        </is>
      </c>
      <c r="G4633" t="n">
        <v>3</v>
      </c>
      <c r="H4633" t="inlineStr">
        <is>
          <t>20 LBS</t>
        </is>
      </c>
      <c r="I4633" t="n">
        <v>2030</v>
      </c>
      <c r="J4633" t="n">
        <v>2018</v>
      </c>
      <c r="K4633" t="inlineStr">
        <is>
          <t>ABRIL 2026</t>
        </is>
      </c>
      <c r="L4633" t="inlineStr">
        <is>
          <t>ABRIL 2027</t>
        </is>
      </c>
      <c r="M4633" t="inlineStr">
        <is>
          <t xml:space="preserve">CO2 TIPO BC </t>
        </is>
      </c>
      <c r="N4633" t="inlineStr">
        <is>
          <t>80/152514</t>
        </is>
      </c>
      <c r="O4633" t="inlineStr">
        <is>
          <t>R</t>
        </is>
      </c>
      <c r="P4633">
        <f>TRIM(N4633)</f>
        <v/>
      </c>
    </row>
    <row r="4634">
      <c r="A4634" t="inlineStr">
        <is>
          <t>CO-002674</t>
        </is>
      </c>
      <c r="B4634" t="inlineStr">
        <is>
          <t>CICSA PERU SAC</t>
        </is>
      </c>
      <c r="C4634" t="n">
        <v>20512780114</v>
      </c>
      <c r="D4634" t="inlineStr">
        <is>
          <t>HUACHO</t>
        </is>
      </c>
      <c r="E4634" t="inlineStr">
        <is>
          <t>27 de marzo del 2026</t>
        </is>
      </c>
      <c r="F4634" t="inlineStr">
        <is>
          <t>la Recarga y mantenimiento</t>
        </is>
      </c>
      <c r="G4634" t="n">
        <v>4</v>
      </c>
      <c r="H4634" t="inlineStr">
        <is>
          <t>20 LBS</t>
        </is>
      </c>
      <c r="I4634" t="n">
        <v>2031</v>
      </c>
      <c r="J4634" t="n">
        <v>2019</v>
      </c>
      <c r="K4634" t="inlineStr">
        <is>
          <t>ABRIL 2026</t>
        </is>
      </c>
      <c r="L4634" t="inlineStr">
        <is>
          <t>ABRIL 2027</t>
        </is>
      </c>
      <c r="M4634" t="inlineStr">
        <is>
          <t xml:space="preserve">CO2 TIPO BC </t>
        </is>
      </c>
      <c r="N4634" t="inlineStr">
        <is>
          <t>81/181301</t>
        </is>
      </c>
      <c r="O4634" t="inlineStr">
        <is>
          <t>R</t>
        </is>
      </c>
      <c r="P4634">
        <f>TRIM(N4634)</f>
        <v/>
      </c>
    </row>
    <row r="4635">
      <c r="A4635" t="inlineStr">
        <is>
          <t>CO-002674</t>
        </is>
      </c>
      <c r="B4635" t="inlineStr">
        <is>
          <t>CICSA PERU SAC</t>
        </is>
      </c>
      <c r="C4635" t="n">
        <v>20512780114</v>
      </c>
      <c r="D4635" t="inlineStr">
        <is>
          <t>HUACHO</t>
        </is>
      </c>
      <c r="E4635" t="inlineStr">
        <is>
          <t>27 de marzo del 2026</t>
        </is>
      </c>
      <c r="F4635" t="inlineStr">
        <is>
          <t>la Recarga y mantenimiento</t>
        </is>
      </c>
      <c r="G4635" t="n">
        <v>5</v>
      </c>
      <c r="H4635" t="inlineStr">
        <is>
          <t>20 LBS</t>
        </is>
      </c>
      <c r="I4635" t="n">
        <v>2031</v>
      </c>
      <c r="J4635" t="n">
        <v>2019</v>
      </c>
      <c r="K4635" t="inlineStr">
        <is>
          <t>ABRIL 2026</t>
        </is>
      </c>
      <c r="L4635" t="inlineStr">
        <is>
          <t>ABRIL 2027</t>
        </is>
      </c>
      <c r="M4635" t="inlineStr">
        <is>
          <t xml:space="preserve">CO2 TIPO BC </t>
        </is>
      </c>
      <c r="N4635" t="inlineStr">
        <is>
          <t>82/179234</t>
        </is>
      </c>
      <c r="O4635" t="inlineStr">
        <is>
          <t>R</t>
        </is>
      </c>
      <c r="P4635">
        <f>TRIM(N4635)</f>
        <v/>
      </c>
    </row>
    <row r="4636">
      <c r="A4636" t="inlineStr">
        <is>
          <t>CO-002675</t>
        </is>
      </c>
      <c r="B4636" t="inlineStr">
        <is>
          <t>CICSA PERU SAC</t>
        </is>
      </c>
      <c r="C4636" t="n">
        <v>20512780114</v>
      </c>
      <c r="D4636" t="inlineStr">
        <is>
          <t>HUACHO</t>
        </is>
      </c>
      <c r="E4636" t="inlineStr">
        <is>
          <t>27 de marzo del 2026</t>
        </is>
      </c>
      <c r="F4636" t="inlineStr">
        <is>
          <t>la Recarga y mantenimiento</t>
        </is>
      </c>
      <c r="G4636" t="n">
        <v>1</v>
      </c>
      <c r="H4636" t="inlineStr">
        <is>
          <t>20 LBS</t>
        </is>
      </c>
      <c r="I4636" t="n">
        <v>2030</v>
      </c>
      <c r="J4636" t="n">
        <v>2019</v>
      </c>
      <c r="K4636" t="inlineStr">
        <is>
          <t>ABRIL 2026</t>
        </is>
      </c>
      <c r="L4636" t="inlineStr">
        <is>
          <t>ABRIL 2027</t>
        </is>
      </c>
      <c r="M4636" t="inlineStr">
        <is>
          <t xml:space="preserve">CO2 TIPO BC </t>
        </is>
      </c>
      <c r="N4636" t="inlineStr">
        <is>
          <t>84/178970</t>
        </is>
      </c>
      <c r="O4636" t="inlineStr">
        <is>
          <t>R</t>
        </is>
      </c>
      <c r="P4636">
        <f>TRIM(N4636)</f>
        <v/>
      </c>
    </row>
    <row r="4637">
      <c r="A4637" t="inlineStr">
        <is>
          <t>CO-002675</t>
        </is>
      </c>
      <c r="B4637" t="inlineStr">
        <is>
          <t>CICSA PERU SAC</t>
        </is>
      </c>
      <c r="C4637" t="n">
        <v>20512780114</v>
      </c>
      <c r="D4637" t="inlineStr">
        <is>
          <t>HUACHO</t>
        </is>
      </c>
      <c r="E4637" t="inlineStr">
        <is>
          <t>27 de marzo del 2026</t>
        </is>
      </c>
      <c r="F4637" t="inlineStr">
        <is>
          <t>la Recarga y mantenimiento</t>
        </is>
      </c>
      <c r="G4637" t="n">
        <v>2</v>
      </c>
      <c r="H4637" t="inlineStr">
        <is>
          <t>20 LBS</t>
        </is>
      </c>
      <c r="I4637" t="n">
        <v>2030</v>
      </c>
      <c r="J4637" t="n">
        <v>2019</v>
      </c>
      <c r="K4637" t="inlineStr">
        <is>
          <t>ABRIL 2026</t>
        </is>
      </c>
      <c r="L4637" t="inlineStr">
        <is>
          <t>ABRIL 2027</t>
        </is>
      </c>
      <c r="M4637" t="inlineStr">
        <is>
          <t xml:space="preserve">CO2 TIPO BC </t>
        </is>
      </c>
      <c r="N4637" t="inlineStr">
        <is>
          <t>85/179247</t>
        </is>
      </c>
      <c r="O4637" t="inlineStr">
        <is>
          <t>R</t>
        </is>
      </c>
      <c r="P4637">
        <f>TRIM(N4637)</f>
        <v/>
      </c>
    </row>
    <row r="4638">
      <c r="A4638" t="inlineStr">
        <is>
          <t>CO-002675</t>
        </is>
      </c>
      <c r="B4638" t="inlineStr">
        <is>
          <t>CICSA PERU SAC</t>
        </is>
      </c>
      <c r="C4638" t="n">
        <v>20512780114</v>
      </c>
      <c r="D4638" t="inlineStr">
        <is>
          <t>HUACHO</t>
        </is>
      </c>
      <c r="E4638" t="inlineStr">
        <is>
          <t>27 de marzo del 2026</t>
        </is>
      </c>
      <c r="F4638" t="inlineStr">
        <is>
          <t>la Recarga y mantenimiento</t>
        </is>
      </c>
      <c r="G4638" t="n">
        <v>3</v>
      </c>
      <c r="H4638" t="inlineStr">
        <is>
          <t>20 LBS</t>
        </is>
      </c>
      <c r="I4638" t="n">
        <v>2030</v>
      </c>
      <c r="J4638" t="n">
        <v>2018</v>
      </c>
      <c r="K4638" t="inlineStr">
        <is>
          <t>ABRIL 2026</t>
        </is>
      </c>
      <c r="L4638" t="inlineStr">
        <is>
          <t>ABRIL 2027</t>
        </is>
      </c>
      <c r="M4638" t="inlineStr">
        <is>
          <t xml:space="preserve">CO2 TIPO BC </t>
        </is>
      </c>
      <c r="N4638" t="inlineStr">
        <is>
          <t>86/152344</t>
        </is>
      </c>
      <c r="O4638" t="inlineStr">
        <is>
          <t>R</t>
        </is>
      </c>
      <c r="P4638">
        <f>TRIM(N4638)</f>
        <v/>
      </c>
    </row>
    <row r="4639">
      <c r="A4639" t="inlineStr">
        <is>
          <t>CO-002675</t>
        </is>
      </c>
      <c r="B4639" t="inlineStr">
        <is>
          <t>CICSA PERU SAC</t>
        </is>
      </c>
      <c r="C4639" t="n">
        <v>20512780114</v>
      </c>
      <c r="D4639" t="inlineStr">
        <is>
          <t>HUACHO</t>
        </is>
      </c>
      <c r="E4639" t="inlineStr">
        <is>
          <t>27 de marzo del 2026</t>
        </is>
      </c>
      <c r="F4639" t="inlineStr">
        <is>
          <t>la Recarga y mantenimiento</t>
        </is>
      </c>
      <c r="G4639" t="n">
        <v>4</v>
      </c>
      <c r="H4639" t="inlineStr">
        <is>
          <t>20 LBS</t>
        </is>
      </c>
      <c r="I4639" t="n">
        <v>2030</v>
      </c>
      <c r="J4639" t="n">
        <v>2019</v>
      </c>
      <c r="K4639" t="inlineStr">
        <is>
          <t>ABRIL 2026</t>
        </is>
      </c>
      <c r="L4639" t="inlineStr">
        <is>
          <t>ABRIL 2027</t>
        </is>
      </c>
      <c r="M4639" t="inlineStr">
        <is>
          <t xml:space="preserve">CO2 TIPO BC </t>
        </is>
      </c>
      <c r="N4639" t="inlineStr">
        <is>
          <t>87/190877</t>
        </is>
      </c>
      <c r="O4639" t="inlineStr">
        <is>
          <t>R</t>
        </is>
      </c>
      <c r="P4639">
        <f>TRIM(N4639)</f>
        <v/>
      </c>
    </row>
    <row r="4640">
      <c r="A4640" t="inlineStr">
        <is>
          <t>CO-002675</t>
        </is>
      </c>
      <c r="B4640" t="inlineStr">
        <is>
          <t>CICSA PERU SAC</t>
        </is>
      </c>
      <c r="C4640" t="n">
        <v>20512780114</v>
      </c>
      <c r="D4640" t="inlineStr">
        <is>
          <t>HUACHO</t>
        </is>
      </c>
      <c r="E4640" t="inlineStr">
        <is>
          <t>27 de marzo del 2026</t>
        </is>
      </c>
      <c r="F4640" t="inlineStr">
        <is>
          <t>la Recarga y mantenimiento</t>
        </is>
      </c>
      <c r="G4640" t="n">
        <v>5</v>
      </c>
      <c r="H4640" t="inlineStr">
        <is>
          <t>20 LBS</t>
        </is>
      </c>
      <c r="I4640" t="n">
        <v>2030</v>
      </c>
      <c r="J4640" t="n">
        <v>2019</v>
      </c>
      <c r="K4640" t="inlineStr">
        <is>
          <t>ABRIL 2026</t>
        </is>
      </c>
      <c r="L4640" t="inlineStr">
        <is>
          <t>ABRIL 2027</t>
        </is>
      </c>
      <c r="M4640" t="inlineStr">
        <is>
          <t xml:space="preserve">CO2 TIPO BC </t>
        </is>
      </c>
      <c r="N4640" t="inlineStr">
        <is>
          <t>88/178879</t>
        </is>
      </c>
      <c r="O4640" t="inlineStr">
        <is>
          <t>R</t>
        </is>
      </c>
      <c r="P4640">
        <f>TRIM(N4640)</f>
        <v/>
      </c>
    </row>
    <row r="4641">
      <c r="A4641" t="inlineStr">
        <is>
          <t>CO-002675</t>
        </is>
      </c>
      <c r="B4641" t="inlineStr">
        <is>
          <t>CICSA PERU SAC</t>
        </is>
      </c>
      <c r="C4641" t="n">
        <v>20512780114</v>
      </c>
      <c r="D4641" t="inlineStr">
        <is>
          <t>HUACHO</t>
        </is>
      </c>
      <c r="E4641" t="inlineStr">
        <is>
          <t>27 de marzo del 2026</t>
        </is>
      </c>
      <c r="F4641" t="inlineStr">
        <is>
          <t>la Recarga y mantenimiento</t>
        </is>
      </c>
      <c r="G4641" t="n">
        <v>6</v>
      </c>
      <c r="H4641" t="inlineStr">
        <is>
          <t>20 LBS</t>
        </is>
      </c>
      <c r="I4641" t="n">
        <v>2031</v>
      </c>
      <c r="J4641" t="n">
        <v>2019</v>
      </c>
      <c r="K4641" t="inlineStr">
        <is>
          <t>ABRIL 2026</t>
        </is>
      </c>
      <c r="L4641" t="inlineStr">
        <is>
          <t>ABRIL 2027</t>
        </is>
      </c>
      <c r="M4641" t="inlineStr">
        <is>
          <t xml:space="preserve">CO2 TIPO BC </t>
        </is>
      </c>
      <c r="N4641" t="inlineStr">
        <is>
          <t>89/178747</t>
        </is>
      </c>
      <c r="O4641" t="inlineStr">
        <is>
          <t>R</t>
        </is>
      </c>
      <c r="P4641">
        <f>TRIM(N4641)</f>
        <v/>
      </c>
    </row>
    <row r="4642">
      <c r="A4642" t="inlineStr">
        <is>
          <t>CO-002675</t>
        </is>
      </c>
      <c r="B4642" t="inlineStr">
        <is>
          <t>CICSA PERU SAC</t>
        </is>
      </c>
      <c r="C4642" t="n">
        <v>20512780114</v>
      </c>
      <c r="D4642" t="inlineStr">
        <is>
          <t>HUACHO</t>
        </is>
      </c>
      <c r="E4642" t="inlineStr">
        <is>
          <t>27 de marzo del 2026</t>
        </is>
      </c>
      <c r="F4642" t="inlineStr">
        <is>
          <t>la Recarga y mantenimiento</t>
        </is>
      </c>
      <c r="G4642" t="n">
        <v>7</v>
      </c>
      <c r="H4642" t="inlineStr">
        <is>
          <t>20 LBS</t>
        </is>
      </c>
      <c r="I4642" t="n">
        <v>2030</v>
      </c>
      <c r="J4642" t="n">
        <v>2019</v>
      </c>
      <c r="K4642" t="inlineStr">
        <is>
          <t>ABRIL 2026</t>
        </is>
      </c>
      <c r="L4642" t="inlineStr">
        <is>
          <t>ABRIL 2027</t>
        </is>
      </c>
      <c r="M4642" t="inlineStr">
        <is>
          <t xml:space="preserve">CO2 TIPO BC </t>
        </is>
      </c>
      <c r="N4642" t="inlineStr">
        <is>
          <t>90/178743</t>
        </is>
      </c>
      <c r="O4642" t="inlineStr">
        <is>
          <t>R</t>
        </is>
      </c>
      <c r="P4642">
        <f>TRIM(N4642)</f>
        <v/>
      </c>
    </row>
    <row r="4643">
      <c r="A4643" t="inlineStr">
        <is>
          <t>CO-002675</t>
        </is>
      </c>
      <c r="B4643" t="inlineStr">
        <is>
          <t>CICSA PERU SAC</t>
        </is>
      </c>
      <c r="C4643" t="n">
        <v>20512780114</v>
      </c>
      <c r="D4643" t="inlineStr">
        <is>
          <t>HUACHO</t>
        </is>
      </c>
      <c r="E4643" t="inlineStr">
        <is>
          <t>27 de marzo del 2026</t>
        </is>
      </c>
      <c r="F4643" t="inlineStr">
        <is>
          <t>la Recarga y mantenimiento</t>
        </is>
      </c>
      <c r="G4643" t="n">
        <v>8</v>
      </c>
      <c r="H4643" t="inlineStr">
        <is>
          <t>20 LBS</t>
        </is>
      </c>
      <c r="I4643" t="n">
        <v>2031</v>
      </c>
      <c r="J4643" t="n">
        <v>2019</v>
      </c>
      <c r="K4643" t="inlineStr">
        <is>
          <t>ABRIL 2026</t>
        </is>
      </c>
      <c r="L4643" t="inlineStr">
        <is>
          <t>ABRIL 2027</t>
        </is>
      </c>
      <c r="M4643" t="inlineStr">
        <is>
          <t xml:space="preserve">CO2 TIPO BC </t>
        </is>
      </c>
      <c r="N4643" t="inlineStr">
        <is>
          <t>91/178831</t>
        </is>
      </c>
      <c r="O4643" t="inlineStr">
        <is>
          <t>R</t>
        </is>
      </c>
      <c r="P4643">
        <f>TRIM(N4643)</f>
        <v/>
      </c>
    </row>
    <row r="4644">
      <c r="A4644" t="inlineStr">
        <is>
          <t>CO-002675</t>
        </is>
      </c>
      <c r="B4644" t="inlineStr">
        <is>
          <t>CICSA PERU SAC</t>
        </is>
      </c>
      <c r="C4644" t="n">
        <v>20512780114</v>
      </c>
      <c r="D4644" t="inlineStr">
        <is>
          <t>HUACHO</t>
        </is>
      </c>
      <c r="E4644" t="inlineStr">
        <is>
          <t>27 de marzo del 2026</t>
        </is>
      </c>
      <c r="F4644" t="inlineStr">
        <is>
          <t>la Recarga y mantenimiento</t>
        </is>
      </c>
      <c r="G4644" t="n">
        <v>9</v>
      </c>
      <c r="H4644" t="inlineStr">
        <is>
          <t>20 LBS</t>
        </is>
      </c>
      <c r="I4644" t="n">
        <v>2031</v>
      </c>
      <c r="J4644" t="n">
        <v>2019</v>
      </c>
      <c r="K4644" t="inlineStr">
        <is>
          <t>ABRIL 2026</t>
        </is>
      </c>
      <c r="L4644" t="inlineStr">
        <is>
          <t>ABRIL 2027</t>
        </is>
      </c>
      <c r="M4644" t="inlineStr">
        <is>
          <t xml:space="preserve">CO2 TIPO BC </t>
        </is>
      </c>
      <c r="N4644" t="inlineStr">
        <is>
          <t>92/191195</t>
        </is>
      </c>
      <c r="O4644" t="inlineStr">
        <is>
          <t>R</t>
        </is>
      </c>
      <c r="P4644">
        <f>TRIM(N4644)</f>
        <v/>
      </c>
    </row>
    <row r="4645">
      <c r="A4645" t="inlineStr">
        <is>
          <t>CO-002675</t>
        </is>
      </c>
      <c r="B4645" t="inlineStr">
        <is>
          <t>CICSA PERU SAC</t>
        </is>
      </c>
      <c r="C4645" t="n">
        <v>20512780114</v>
      </c>
      <c r="D4645" t="inlineStr">
        <is>
          <t>HUACHO</t>
        </is>
      </c>
      <c r="E4645" t="inlineStr">
        <is>
          <t>27 de marzo del 2026</t>
        </is>
      </c>
      <c r="F4645" t="inlineStr">
        <is>
          <t>la Recarga y mantenimiento</t>
        </is>
      </c>
      <c r="G4645" t="n">
        <v>10</v>
      </c>
      <c r="H4645" t="inlineStr">
        <is>
          <t>20 LBS</t>
        </is>
      </c>
      <c r="I4645" t="n">
        <v>2031</v>
      </c>
      <c r="J4645" t="n">
        <v>2019</v>
      </c>
      <c r="K4645" t="inlineStr">
        <is>
          <t>ABRIL 2026</t>
        </is>
      </c>
      <c r="L4645" t="inlineStr">
        <is>
          <t>ABRIL 2027</t>
        </is>
      </c>
      <c r="M4645" t="inlineStr">
        <is>
          <t xml:space="preserve">CO2 TIPO BC </t>
        </is>
      </c>
      <c r="N4645" t="inlineStr">
        <is>
          <t>93/190874</t>
        </is>
      </c>
      <c r="O4645" t="inlineStr">
        <is>
          <t>R</t>
        </is>
      </c>
      <c r="P4645">
        <f>TRIM(N4645)</f>
        <v/>
      </c>
    </row>
    <row r="4646">
      <c r="A4646" t="inlineStr">
        <is>
          <t>CO-002675</t>
        </is>
      </c>
      <c r="B4646" t="inlineStr">
        <is>
          <t>CICSA PERU SAC</t>
        </is>
      </c>
      <c r="C4646" t="n">
        <v>20512780114</v>
      </c>
      <c r="D4646" t="inlineStr">
        <is>
          <t>HUACHO</t>
        </is>
      </c>
      <c r="E4646" t="inlineStr">
        <is>
          <t>27 de marzo del 2026</t>
        </is>
      </c>
      <c r="F4646" t="inlineStr">
        <is>
          <t>la Recarga y mantenimiento</t>
        </is>
      </c>
      <c r="G4646" t="n">
        <v>11</v>
      </c>
      <c r="H4646" t="inlineStr">
        <is>
          <t>20 LBS</t>
        </is>
      </c>
      <c r="I4646" t="n">
        <v>2030</v>
      </c>
      <c r="J4646" t="n">
        <v>2019</v>
      </c>
      <c r="K4646" t="inlineStr">
        <is>
          <t>ABRIL 2026</t>
        </is>
      </c>
      <c r="L4646" t="inlineStr">
        <is>
          <t>ABRIL 2027</t>
        </is>
      </c>
      <c r="M4646" t="inlineStr">
        <is>
          <t xml:space="preserve">CO2 TIPO BC </t>
        </is>
      </c>
      <c r="N4646" t="inlineStr">
        <is>
          <t>94/191061</t>
        </is>
      </c>
      <c r="O4646" t="inlineStr">
        <is>
          <t>R</t>
        </is>
      </c>
      <c r="P4646">
        <f>TRIM(N4646)</f>
        <v/>
      </c>
    </row>
    <row r="4647">
      <c r="A4647" t="inlineStr">
        <is>
          <t>CO-002675</t>
        </is>
      </c>
      <c r="B4647" t="inlineStr">
        <is>
          <t>CICSA PERU SAC</t>
        </is>
      </c>
      <c r="C4647" t="n">
        <v>20512780114</v>
      </c>
      <c r="D4647" t="inlineStr">
        <is>
          <t>HUACHO</t>
        </is>
      </c>
      <c r="E4647" t="inlineStr">
        <is>
          <t>27 de marzo del 2026</t>
        </is>
      </c>
      <c r="F4647" t="inlineStr">
        <is>
          <t>la Recarga y mantenimiento</t>
        </is>
      </c>
      <c r="G4647" t="n">
        <v>12</v>
      </c>
      <c r="H4647" t="inlineStr">
        <is>
          <t>20 LBS</t>
        </is>
      </c>
      <c r="I4647" t="n">
        <v>2031</v>
      </c>
      <c r="J4647" t="n">
        <v>2018</v>
      </c>
      <c r="K4647" t="inlineStr">
        <is>
          <t>ABRIL 2026</t>
        </is>
      </c>
      <c r="L4647" t="inlineStr">
        <is>
          <t>ABRIL 2027</t>
        </is>
      </c>
      <c r="M4647" t="inlineStr">
        <is>
          <t xml:space="preserve">CO2 TIPO BC </t>
        </is>
      </c>
      <c r="N4647" t="inlineStr">
        <is>
          <t>95/148772</t>
        </is>
      </c>
      <c r="O4647" t="inlineStr">
        <is>
          <t>R</t>
        </is>
      </c>
      <c r="P4647">
        <f>TRIM(N4647)</f>
        <v/>
      </c>
    </row>
    <row r="4648">
      <c r="A4648" t="inlineStr">
        <is>
          <t>CO-002675</t>
        </is>
      </c>
      <c r="B4648" t="inlineStr">
        <is>
          <t>CICSA PERU SAC</t>
        </is>
      </c>
      <c r="C4648" t="n">
        <v>20512780114</v>
      </c>
      <c r="D4648" t="inlineStr">
        <is>
          <t>HUACHO</t>
        </is>
      </c>
      <c r="E4648" t="inlineStr">
        <is>
          <t>27 de marzo del 2026</t>
        </is>
      </c>
      <c r="F4648" t="inlineStr">
        <is>
          <t>la Recarga y mantenimiento</t>
        </is>
      </c>
      <c r="G4648" t="n">
        <v>13</v>
      </c>
      <c r="H4648" t="inlineStr">
        <is>
          <t>20 LBS</t>
        </is>
      </c>
      <c r="I4648" t="n">
        <v>2030</v>
      </c>
      <c r="J4648" t="n">
        <v>2019</v>
      </c>
      <c r="K4648" t="inlineStr">
        <is>
          <t>ABRIL 2026</t>
        </is>
      </c>
      <c r="L4648" t="inlineStr">
        <is>
          <t>ABRIL 2027</t>
        </is>
      </c>
      <c r="M4648" t="inlineStr">
        <is>
          <t xml:space="preserve">CO2 TIPO BC </t>
        </is>
      </c>
      <c r="N4648" t="inlineStr">
        <is>
          <t>96/191091</t>
        </is>
      </c>
      <c r="O4648" t="inlineStr">
        <is>
          <t>R</t>
        </is>
      </c>
      <c r="P4648">
        <f>TRIM(N4648)</f>
        <v/>
      </c>
    </row>
    <row r="4649">
      <c r="A4649" t="inlineStr">
        <is>
          <t>CO-002675</t>
        </is>
      </c>
      <c r="B4649" t="inlineStr">
        <is>
          <t>CICSA PERU SAC</t>
        </is>
      </c>
      <c r="C4649" t="n">
        <v>20512780114</v>
      </c>
      <c r="D4649" t="inlineStr">
        <is>
          <t>HUACHO</t>
        </is>
      </c>
      <c r="E4649" t="inlineStr">
        <is>
          <t>27 de marzo del 2026</t>
        </is>
      </c>
      <c r="F4649" t="inlineStr">
        <is>
          <t>la Recarga y mantenimiento</t>
        </is>
      </c>
      <c r="G4649" t="n">
        <v>14</v>
      </c>
      <c r="H4649" t="inlineStr">
        <is>
          <t>20 LBS</t>
        </is>
      </c>
      <c r="I4649" t="n">
        <v>2030</v>
      </c>
      <c r="J4649" t="n">
        <v>2019</v>
      </c>
      <c r="K4649" t="inlineStr">
        <is>
          <t>ABRIL 2026</t>
        </is>
      </c>
      <c r="L4649" t="inlineStr">
        <is>
          <t>ABRIL 2027</t>
        </is>
      </c>
      <c r="M4649" t="inlineStr">
        <is>
          <t xml:space="preserve">CO2 TIPO BC </t>
        </is>
      </c>
      <c r="N4649" t="inlineStr">
        <is>
          <t>97/190903</t>
        </is>
      </c>
      <c r="O4649" t="inlineStr">
        <is>
          <t>R</t>
        </is>
      </c>
      <c r="P4649">
        <f>TRIM(N4649)</f>
        <v/>
      </c>
    </row>
    <row r="4650">
      <c r="A4650" t="inlineStr">
        <is>
          <t>CO-002675</t>
        </is>
      </c>
      <c r="B4650" t="inlineStr">
        <is>
          <t>CICSA PERU SAC</t>
        </is>
      </c>
      <c r="C4650" t="n">
        <v>20512780114</v>
      </c>
      <c r="D4650" t="inlineStr">
        <is>
          <t>HUACHO</t>
        </is>
      </c>
      <c r="E4650" t="inlineStr">
        <is>
          <t>27 de marzo del 2026</t>
        </is>
      </c>
      <c r="F4650" t="inlineStr">
        <is>
          <t>la Recarga y mantenimiento</t>
        </is>
      </c>
      <c r="G4650" t="n">
        <v>15</v>
      </c>
      <c r="H4650" t="inlineStr">
        <is>
          <t>20 LBS</t>
        </is>
      </c>
      <c r="I4650" t="n">
        <v>2030</v>
      </c>
      <c r="J4650" t="n">
        <v>2019</v>
      </c>
      <c r="K4650" t="inlineStr">
        <is>
          <t>ABRIL 2026</t>
        </is>
      </c>
      <c r="L4650" t="inlineStr">
        <is>
          <t>ABRIL 2027</t>
        </is>
      </c>
      <c r="M4650" t="inlineStr">
        <is>
          <t xml:space="preserve">CO2 TIPO BC </t>
        </is>
      </c>
      <c r="N4650" t="inlineStr">
        <is>
          <t>98/191250</t>
        </is>
      </c>
      <c r="O4650" t="inlineStr">
        <is>
          <t>R</t>
        </is>
      </c>
      <c r="P4650">
        <f>TRIM(N4650)</f>
        <v/>
      </c>
    </row>
    <row r="4651">
      <c r="A4651" t="inlineStr">
        <is>
          <t>CO-002676</t>
        </is>
      </c>
      <c r="B4651" t="inlineStr">
        <is>
          <t>CICSA PERU SAC</t>
        </is>
      </c>
      <c r="C4651" t="n">
        <v>20512780114</v>
      </c>
      <c r="D4651" t="inlineStr">
        <is>
          <t>HUACHO</t>
        </is>
      </c>
      <c r="E4651" t="inlineStr">
        <is>
          <t>27 de marzo del 2026</t>
        </is>
      </c>
      <c r="F4651" t="inlineStr">
        <is>
          <t>la Recarga y mantenimiento</t>
        </is>
      </c>
      <c r="G4651" t="n">
        <v>1</v>
      </c>
      <c r="H4651" t="inlineStr">
        <is>
          <t>20 LBS</t>
        </is>
      </c>
      <c r="I4651" t="n">
        <v>2031</v>
      </c>
      <c r="J4651" t="n">
        <v>2018</v>
      </c>
      <c r="K4651" t="inlineStr">
        <is>
          <t>ABRIL 2026</t>
        </is>
      </c>
      <c r="L4651" t="inlineStr">
        <is>
          <t>ABRIL 2027</t>
        </is>
      </c>
      <c r="M4651" t="inlineStr">
        <is>
          <t xml:space="preserve">CO2 TIPO BC </t>
        </is>
      </c>
      <c r="N4651" t="inlineStr">
        <is>
          <t>99/148781</t>
        </is>
      </c>
      <c r="O4651" t="inlineStr">
        <is>
          <t>R</t>
        </is>
      </c>
      <c r="P4651">
        <f>TRIM(N4651)</f>
        <v/>
      </c>
    </row>
    <row r="4652">
      <c r="A4652" t="inlineStr">
        <is>
          <t>CO-002676</t>
        </is>
      </c>
      <c r="B4652" t="inlineStr">
        <is>
          <t>CICSA PERU SAC</t>
        </is>
      </c>
      <c r="C4652" t="n">
        <v>20512780114</v>
      </c>
      <c r="D4652" t="inlineStr">
        <is>
          <t>HUACHO</t>
        </is>
      </c>
      <c r="E4652" t="inlineStr">
        <is>
          <t>27 de marzo del 2026</t>
        </is>
      </c>
      <c r="F4652" t="inlineStr">
        <is>
          <t>la Recarga y mantenimiento</t>
        </is>
      </c>
      <c r="G4652" t="n">
        <v>2</v>
      </c>
      <c r="H4652" t="inlineStr">
        <is>
          <t>20 LBS</t>
        </is>
      </c>
      <c r="I4652" t="n">
        <v>2030</v>
      </c>
      <c r="J4652" t="n">
        <v>2019</v>
      </c>
      <c r="K4652" t="inlineStr">
        <is>
          <t>ABRIL 2026</t>
        </is>
      </c>
      <c r="L4652" t="inlineStr">
        <is>
          <t>ABRIL 2027</t>
        </is>
      </c>
      <c r="M4652" t="inlineStr">
        <is>
          <t xml:space="preserve">CO2 TIPO BC </t>
        </is>
      </c>
      <c r="N4652" t="inlineStr">
        <is>
          <t>100/190894</t>
        </is>
      </c>
      <c r="O4652" t="inlineStr">
        <is>
          <t>R</t>
        </is>
      </c>
      <c r="P4652">
        <f>TRIM(N4652)</f>
        <v/>
      </c>
    </row>
    <row r="4653">
      <c r="A4653" t="inlineStr">
        <is>
          <t>CO-002676</t>
        </is>
      </c>
      <c r="B4653" t="inlineStr">
        <is>
          <t>CICSA PERU SAC</t>
        </is>
      </c>
      <c r="C4653" t="n">
        <v>20512780114</v>
      </c>
      <c r="D4653" t="inlineStr">
        <is>
          <t>HUACHO</t>
        </is>
      </c>
      <c r="E4653" t="inlineStr">
        <is>
          <t>27 de marzo del 2026</t>
        </is>
      </c>
      <c r="F4653" t="inlineStr">
        <is>
          <t>la Recarga y mantenimiento</t>
        </is>
      </c>
      <c r="G4653" t="n">
        <v>3</v>
      </c>
      <c r="H4653" t="inlineStr">
        <is>
          <t>20 LBS</t>
        </is>
      </c>
      <c r="I4653" t="n">
        <v>2030</v>
      </c>
      <c r="J4653" t="n">
        <v>2019</v>
      </c>
      <c r="K4653" t="inlineStr">
        <is>
          <t>ABRIL 2026</t>
        </is>
      </c>
      <c r="L4653" t="inlineStr">
        <is>
          <t>ABRIL 2027</t>
        </is>
      </c>
      <c r="M4653" t="inlineStr">
        <is>
          <t xml:space="preserve">CO2 TIPO BC </t>
        </is>
      </c>
      <c r="N4653" t="inlineStr">
        <is>
          <t>101/181267</t>
        </is>
      </c>
      <c r="O4653" t="inlineStr">
        <is>
          <t>R</t>
        </is>
      </c>
      <c r="P4653">
        <f>TRIM(N4653)</f>
        <v/>
      </c>
    </row>
    <row r="4654">
      <c r="A4654" t="inlineStr">
        <is>
          <t>CO-002676</t>
        </is>
      </c>
      <c r="B4654" t="inlineStr">
        <is>
          <t>CICSA PERU SAC</t>
        </is>
      </c>
      <c r="C4654" t="n">
        <v>20512780114</v>
      </c>
      <c r="D4654" t="inlineStr">
        <is>
          <t>HUACHO</t>
        </is>
      </c>
      <c r="E4654" t="inlineStr">
        <is>
          <t>27 de marzo del 2026</t>
        </is>
      </c>
      <c r="F4654" t="inlineStr">
        <is>
          <t>la Recarga y mantenimiento</t>
        </is>
      </c>
      <c r="G4654" t="n">
        <v>4</v>
      </c>
      <c r="H4654" t="inlineStr">
        <is>
          <t>20 LBS</t>
        </is>
      </c>
      <c r="I4654" t="n">
        <v>2030</v>
      </c>
      <c r="J4654" t="n">
        <v>2018</v>
      </c>
      <c r="K4654" t="inlineStr">
        <is>
          <t>ABRIL 2026</t>
        </is>
      </c>
      <c r="L4654" t="inlineStr">
        <is>
          <t>ABRIL 2027</t>
        </is>
      </c>
      <c r="M4654" t="inlineStr">
        <is>
          <t xml:space="preserve">CO2 TIPO BC </t>
        </is>
      </c>
      <c r="N4654" t="inlineStr">
        <is>
          <t>102/152345</t>
        </is>
      </c>
      <c r="O4654" t="inlineStr">
        <is>
          <t>R</t>
        </is>
      </c>
      <c r="P4654">
        <f>TRIM(N4654)</f>
        <v/>
      </c>
    </row>
    <row r="4655">
      <c r="A4655" t="inlineStr">
        <is>
          <t>CO-002676</t>
        </is>
      </c>
      <c r="B4655" t="inlineStr">
        <is>
          <t>CICSA PERU SAC</t>
        </is>
      </c>
      <c r="C4655" t="n">
        <v>20512780114</v>
      </c>
      <c r="D4655" t="inlineStr">
        <is>
          <t>HUACHO</t>
        </is>
      </c>
      <c r="E4655" t="inlineStr">
        <is>
          <t>27 de marzo del 2026</t>
        </is>
      </c>
      <c r="F4655" t="inlineStr">
        <is>
          <t>la Recarga y mantenimiento</t>
        </is>
      </c>
      <c r="G4655" t="n">
        <v>5</v>
      </c>
      <c r="H4655" t="inlineStr">
        <is>
          <t>20 LBS</t>
        </is>
      </c>
      <c r="I4655" t="n">
        <v>2030</v>
      </c>
      <c r="J4655" t="n">
        <v>2019</v>
      </c>
      <c r="K4655" t="inlineStr">
        <is>
          <t>ABRIL 2026</t>
        </is>
      </c>
      <c r="L4655" t="inlineStr">
        <is>
          <t>ABRIL 2027</t>
        </is>
      </c>
      <c r="M4655" t="inlineStr">
        <is>
          <t xml:space="preserve">CO2 TIPO BC </t>
        </is>
      </c>
      <c r="N4655" t="inlineStr">
        <is>
          <t>103/191251</t>
        </is>
      </c>
      <c r="O4655" t="inlineStr">
        <is>
          <t>R</t>
        </is>
      </c>
      <c r="P4655">
        <f>TRIM(N4655)</f>
        <v/>
      </c>
    </row>
    <row r="4656">
      <c r="A4656" t="inlineStr">
        <is>
          <t>CO-002676</t>
        </is>
      </c>
      <c r="B4656" t="inlineStr">
        <is>
          <t>CICSA PERU SAC</t>
        </is>
      </c>
      <c r="C4656" t="n">
        <v>20512780114</v>
      </c>
      <c r="D4656" t="inlineStr">
        <is>
          <t>HUACHO</t>
        </is>
      </c>
      <c r="E4656" t="inlineStr">
        <is>
          <t>27 de marzo del 2026</t>
        </is>
      </c>
      <c r="F4656" t="inlineStr">
        <is>
          <t>la Recarga y mantenimiento</t>
        </is>
      </c>
      <c r="G4656" t="n">
        <v>6</v>
      </c>
      <c r="H4656" t="inlineStr">
        <is>
          <t>20 LBS</t>
        </is>
      </c>
      <c r="I4656" t="n">
        <v>2030</v>
      </c>
      <c r="J4656" t="n">
        <v>2019</v>
      </c>
      <c r="K4656" t="inlineStr">
        <is>
          <t>ABRIL 2026</t>
        </is>
      </c>
      <c r="L4656" t="inlineStr">
        <is>
          <t>ABRIL 2027</t>
        </is>
      </c>
      <c r="M4656" t="inlineStr">
        <is>
          <t xml:space="preserve">CO2 TIPO BC </t>
        </is>
      </c>
      <c r="N4656" t="inlineStr">
        <is>
          <t>104/181288</t>
        </is>
      </c>
      <c r="O4656" t="inlineStr">
        <is>
          <t>R</t>
        </is>
      </c>
      <c r="P4656">
        <f>TRIM(N4656)</f>
        <v/>
      </c>
    </row>
    <row r="4657">
      <c r="A4657" t="inlineStr">
        <is>
          <t>CO-002676</t>
        </is>
      </c>
      <c r="B4657" t="inlineStr">
        <is>
          <t>CICSA PERU SAC</t>
        </is>
      </c>
      <c r="C4657" t="n">
        <v>20512780114</v>
      </c>
      <c r="D4657" t="inlineStr">
        <is>
          <t>HUACHO</t>
        </is>
      </c>
      <c r="E4657" t="inlineStr">
        <is>
          <t>27 de marzo del 2026</t>
        </is>
      </c>
      <c r="F4657" t="inlineStr">
        <is>
          <t>la Recarga y mantenimiento</t>
        </is>
      </c>
      <c r="G4657" t="n">
        <v>7</v>
      </c>
      <c r="H4657" t="inlineStr">
        <is>
          <t>20 LBS</t>
        </is>
      </c>
      <c r="I4657" t="n">
        <v>2030</v>
      </c>
      <c r="J4657" t="n">
        <v>2019</v>
      </c>
      <c r="K4657" t="inlineStr">
        <is>
          <t>ABRIL 2026</t>
        </is>
      </c>
      <c r="L4657" t="inlineStr">
        <is>
          <t>ABRIL 2027</t>
        </is>
      </c>
      <c r="M4657" t="inlineStr">
        <is>
          <t xml:space="preserve">CO2 TIPO BC </t>
        </is>
      </c>
      <c r="N4657" t="inlineStr">
        <is>
          <t>105/190922</t>
        </is>
      </c>
      <c r="O4657" t="inlineStr">
        <is>
          <t>R</t>
        </is>
      </c>
      <c r="P4657">
        <f>TRIM(N4657)</f>
        <v/>
      </c>
    </row>
    <row r="4658">
      <c r="A4658" t="inlineStr">
        <is>
          <t>CO-002676</t>
        </is>
      </c>
      <c r="B4658" t="inlineStr">
        <is>
          <t>CICSA PERU SAC</t>
        </is>
      </c>
      <c r="C4658" t="n">
        <v>20512780114</v>
      </c>
      <c r="D4658" t="inlineStr">
        <is>
          <t>HUACHO</t>
        </is>
      </c>
      <c r="E4658" t="inlineStr">
        <is>
          <t>27 de marzo del 2026</t>
        </is>
      </c>
      <c r="F4658" t="inlineStr">
        <is>
          <t>la Recarga y mantenimiento</t>
        </is>
      </c>
      <c r="G4658" t="n">
        <v>8</v>
      </c>
      <c r="H4658" t="inlineStr">
        <is>
          <t>20 LBS</t>
        </is>
      </c>
      <c r="I4658" t="n">
        <v>2031</v>
      </c>
      <c r="J4658" t="n">
        <v>2018</v>
      </c>
      <c r="K4658" t="inlineStr">
        <is>
          <t>ABRIL 2026</t>
        </is>
      </c>
      <c r="L4658" t="inlineStr">
        <is>
          <t>ABRIL 2027</t>
        </is>
      </c>
      <c r="M4658" t="inlineStr">
        <is>
          <t xml:space="preserve">CO2 TIPO BC </t>
        </is>
      </c>
      <c r="N4658" t="inlineStr">
        <is>
          <t>106/485897</t>
        </is>
      </c>
      <c r="O4658" t="inlineStr">
        <is>
          <t>R</t>
        </is>
      </c>
      <c r="P4658">
        <f>TRIM(N4658)</f>
        <v/>
      </c>
    </row>
    <row r="4659">
      <c r="A4659" t="inlineStr">
        <is>
          <t>CO-002680</t>
        </is>
      </c>
      <c r="B4659" t="inlineStr">
        <is>
          <t>CICSA PERU SAC</t>
        </is>
      </c>
      <c r="C4659" t="n">
        <v>20512780114</v>
      </c>
      <c r="D4659" t="inlineStr">
        <is>
          <t xml:space="preserve">CAÑETE </t>
        </is>
      </c>
      <c r="E4659" t="inlineStr">
        <is>
          <t>27 de marzo del 2026</t>
        </is>
      </c>
      <c r="F4659" t="inlineStr">
        <is>
          <t>la Recarga y mantenimiento</t>
        </is>
      </c>
      <c r="G4659" t="n">
        <v>1</v>
      </c>
      <c r="H4659" t="inlineStr">
        <is>
          <t>15 lbs</t>
        </is>
      </c>
      <c r="P4659">
        <f>TRIM(N4659)</f>
        <v/>
      </c>
    </row>
    <row r="4660">
      <c r="A4660" t="inlineStr">
        <is>
          <t>CO-002677</t>
        </is>
      </c>
      <c r="B4660" t="inlineStr">
        <is>
          <t>INVERSIONES TELCOTEL SAC</t>
        </is>
      </c>
      <c r="C4660" t="inlineStr">
        <is>
          <t>20549846000</t>
        </is>
      </c>
      <c r="D4660" t="inlineStr">
        <is>
          <t>Av. San Felipe 806</t>
        </is>
      </c>
      <c r="E4660" t="inlineStr">
        <is>
          <t>27 de marzo del 2026</t>
        </is>
      </c>
      <c r="F4660" t="inlineStr">
        <is>
          <t>la Recarga y mantenimiento</t>
        </is>
      </c>
      <c r="G4660" t="n">
        <v>1</v>
      </c>
      <c r="H4660" t="inlineStr">
        <is>
          <t>06 KG</t>
        </is>
      </c>
      <c r="I4660" t="n">
        <v>2029</v>
      </c>
      <c r="J4660" t="n">
        <v>2024</v>
      </c>
      <c r="K4660" t="inlineStr">
        <is>
          <t>MARZO 2026</t>
        </is>
      </c>
      <c r="L4660" t="inlineStr">
        <is>
          <t>MARZO 2027</t>
        </is>
      </c>
      <c r="M4660" t="inlineStr">
        <is>
          <t>PQS TIPO ABC</t>
        </is>
      </c>
      <c r="N4660" t="inlineStr">
        <is>
          <t>03/006598</t>
        </is>
      </c>
      <c r="O4660" t="inlineStr">
        <is>
          <t>R</t>
        </is>
      </c>
      <c r="P4660">
        <f>TRIM(N4660)</f>
        <v/>
      </c>
    </row>
    <row r="4661">
      <c r="A4661" t="inlineStr">
        <is>
          <t>CO-002677</t>
        </is>
      </c>
      <c r="B4661" t="inlineStr">
        <is>
          <t>INVERSIONES TELCOTEL SAC</t>
        </is>
      </c>
      <c r="C4661" t="inlineStr">
        <is>
          <t>20549846000</t>
        </is>
      </c>
      <c r="D4661" t="inlineStr">
        <is>
          <t>Av. San Felipe 806</t>
        </is>
      </c>
      <c r="E4661" t="inlineStr">
        <is>
          <t>27 de marzo del 2026</t>
        </is>
      </c>
      <c r="F4661" t="inlineStr">
        <is>
          <t>la Recarga y mantenimiento</t>
        </is>
      </c>
      <c r="G4661" t="n">
        <v>2</v>
      </c>
      <c r="H4661" t="inlineStr">
        <is>
          <t>10 LBS</t>
        </is>
      </c>
      <c r="I4661" t="n">
        <v>2028</v>
      </c>
      <c r="J4661" t="n">
        <v>2023</v>
      </c>
      <c r="K4661" t="inlineStr">
        <is>
          <t>MARZO 2026</t>
        </is>
      </c>
      <c r="L4661" t="inlineStr">
        <is>
          <t>MARZO 2027</t>
        </is>
      </c>
      <c r="M4661" t="inlineStr">
        <is>
          <t xml:space="preserve">CO2 TIPO BC </t>
        </is>
      </c>
      <c r="N4661" t="inlineStr">
        <is>
          <t>05/000162</t>
        </is>
      </c>
      <c r="O4661" t="inlineStr">
        <is>
          <t>R</t>
        </is>
      </c>
      <c r="P4661">
        <f>TRIM(N4661)</f>
        <v/>
      </c>
    </row>
    <row r="4662">
      <c r="A4662" t="inlineStr">
        <is>
          <t>CO-002677</t>
        </is>
      </c>
      <c r="B4662" t="inlineStr">
        <is>
          <t>INVERSIONES TELCOTEL SAC</t>
        </is>
      </c>
      <c r="C4662" t="inlineStr">
        <is>
          <t>20549846000</t>
        </is>
      </c>
      <c r="D4662" t="inlineStr">
        <is>
          <t>Av. San Felipe 806</t>
        </is>
      </c>
      <c r="E4662" t="inlineStr">
        <is>
          <t>27 de marzo del 2026</t>
        </is>
      </c>
      <c r="F4662" t="inlineStr">
        <is>
          <t>la Recarga y mantenimiento</t>
        </is>
      </c>
      <c r="G4662" t="n">
        <v>3</v>
      </c>
      <c r="H4662" t="inlineStr">
        <is>
          <t xml:space="preserve">06 KG </t>
        </is>
      </c>
      <c r="I4662" t="n">
        <v>2027</v>
      </c>
      <c r="J4662" t="n">
        <v>2022</v>
      </c>
      <c r="K4662" t="inlineStr">
        <is>
          <t>MARZO 2026</t>
        </is>
      </c>
      <c r="L4662" t="inlineStr">
        <is>
          <t>MARZO 2027</t>
        </is>
      </c>
      <c r="M4662" t="inlineStr">
        <is>
          <t>PQS TIPO ABC</t>
        </is>
      </c>
      <c r="N4662" t="inlineStr">
        <is>
          <t>07/005253</t>
        </is>
      </c>
      <c r="O4662" t="inlineStr">
        <is>
          <t>R</t>
        </is>
      </c>
      <c r="P4662">
        <f>TRIM(N4662)</f>
        <v/>
      </c>
    </row>
    <row r="4663">
      <c r="A4663" t="inlineStr">
        <is>
          <t>CO-002677</t>
        </is>
      </c>
      <c r="B4663" t="inlineStr">
        <is>
          <t>INVERSIONES TELCOTEL SAC</t>
        </is>
      </c>
      <c r="C4663" t="inlineStr">
        <is>
          <t>20549846000</t>
        </is>
      </c>
      <c r="D4663" t="inlineStr">
        <is>
          <t>Av. San Felipe 806</t>
        </is>
      </c>
      <c r="E4663" t="inlineStr">
        <is>
          <t>27 de marzo del 2026</t>
        </is>
      </c>
      <c r="F4663" t="inlineStr">
        <is>
          <t>la Recarga y mantenimiento</t>
        </is>
      </c>
      <c r="G4663" t="n">
        <v>4</v>
      </c>
      <c r="H4663" t="inlineStr">
        <is>
          <t>06 KG</t>
        </is>
      </c>
      <c r="I4663" t="n">
        <v>2028</v>
      </c>
      <c r="J4663" t="n">
        <v>2023</v>
      </c>
      <c r="K4663" t="inlineStr">
        <is>
          <t>MARZO 2026</t>
        </is>
      </c>
      <c r="L4663" t="inlineStr">
        <is>
          <t>MARZO 2027</t>
        </is>
      </c>
      <c r="M4663" t="inlineStr">
        <is>
          <t>PQS TIPO ABC</t>
        </is>
      </c>
      <c r="N4663" t="inlineStr">
        <is>
          <t>08/103322</t>
        </is>
      </c>
      <c r="O4663" t="inlineStr">
        <is>
          <t>R</t>
        </is>
      </c>
      <c r="P4663">
        <f>TRIM(N4663)</f>
        <v/>
      </c>
    </row>
    <row r="4664">
      <c r="A4664" t="inlineStr">
        <is>
          <t>CO-002677</t>
        </is>
      </c>
      <c r="B4664" t="inlineStr">
        <is>
          <t>INVERSIONES TELCOTEL SAC</t>
        </is>
      </c>
      <c r="C4664" t="inlineStr">
        <is>
          <t>20549846000</t>
        </is>
      </c>
      <c r="D4664" t="inlineStr">
        <is>
          <t>Av. San Felipe 806</t>
        </is>
      </c>
      <c r="E4664" t="inlineStr">
        <is>
          <t>27 de marzo del 2026</t>
        </is>
      </c>
      <c r="F4664" t="inlineStr">
        <is>
          <t>la Recarga y mantenimiento</t>
        </is>
      </c>
      <c r="G4664" t="n">
        <v>5</v>
      </c>
      <c r="H4664" t="inlineStr">
        <is>
          <t>10 LBS</t>
        </is>
      </c>
      <c r="I4664" t="n">
        <v>2028</v>
      </c>
      <c r="J4664" t="n">
        <v>2023</v>
      </c>
      <c r="K4664" t="inlineStr">
        <is>
          <t>MARZO 2026</t>
        </is>
      </c>
      <c r="L4664" t="inlineStr">
        <is>
          <t>MARZO 2027</t>
        </is>
      </c>
      <c r="M4664" t="inlineStr">
        <is>
          <t>CO2 TIPO BC</t>
        </is>
      </c>
      <c r="N4664" t="inlineStr">
        <is>
          <t>09/000272</t>
        </is>
      </c>
      <c r="O4664" t="inlineStr">
        <is>
          <t>R</t>
        </is>
      </c>
      <c r="P4664">
        <f>TRIM(N4664)</f>
        <v/>
      </c>
    </row>
    <row r="4665">
      <c r="A4665" t="inlineStr">
        <is>
          <t>CO-002677</t>
        </is>
      </c>
      <c r="B4665" t="inlineStr">
        <is>
          <t>INVERSIONES TELCOTEL SAC</t>
        </is>
      </c>
      <c r="C4665" t="inlineStr">
        <is>
          <t>20549846000</t>
        </is>
      </c>
      <c r="D4665" t="inlineStr">
        <is>
          <t>Av. San Felipe 806</t>
        </is>
      </c>
      <c r="E4665" t="inlineStr">
        <is>
          <t>27 de marzo del 2026</t>
        </is>
      </c>
      <c r="F4665" t="inlineStr">
        <is>
          <t>la Recarga y mantenimiento</t>
        </is>
      </c>
      <c r="G4665" t="n">
        <v>6</v>
      </c>
      <c r="H4665" t="inlineStr">
        <is>
          <t>06 KG</t>
        </is>
      </c>
      <c r="I4665" t="n">
        <v>2031</v>
      </c>
      <c r="J4665" t="n">
        <v>2017</v>
      </c>
      <c r="K4665" t="inlineStr">
        <is>
          <t>MARZO 2026</t>
        </is>
      </c>
      <c r="L4665" t="inlineStr">
        <is>
          <t>MARZO 2027</t>
        </is>
      </c>
      <c r="M4665" t="inlineStr">
        <is>
          <t>PQS TIPO ABC</t>
        </is>
      </c>
      <c r="N4665" t="inlineStr">
        <is>
          <t>10/002288</t>
        </is>
      </c>
      <c r="O4665" t="inlineStr">
        <is>
          <t>R</t>
        </is>
      </c>
      <c r="P4665">
        <f>TRIM(N4665)</f>
        <v/>
      </c>
    </row>
    <row r="4666">
      <c r="A4666" t="inlineStr">
        <is>
          <t>CO-002677</t>
        </is>
      </c>
      <c r="B4666" t="inlineStr">
        <is>
          <t>INVERSIONES TELCOTEL SAC</t>
        </is>
      </c>
      <c r="C4666" t="inlineStr">
        <is>
          <t>20549846000</t>
        </is>
      </c>
      <c r="D4666" t="inlineStr">
        <is>
          <t>Av. San Felipe 806</t>
        </is>
      </c>
      <c r="E4666" t="inlineStr">
        <is>
          <t>27 de marzo del 2026</t>
        </is>
      </c>
      <c r="F4666" t="inlineStr">
        <is>
          <t>la Recarga y mantenimiento</t>
        </is>
      </c>
      <c r="G4666" t="n">
        <v>7</v>
      </c>
      <c r="H4666" t="inlineStr">
        <is>
          <t>10 LBS</t>
        </is>
      </c>
      <c r="I4666" t="n">
        <v>2028</v>
      </c>
      <c r="J4666" t="n">
        <v>2023</v>
      </c>
      <c r="K4666" t="inlineStr">
        <is>
          <t>MARZO 2026</t>
        </is>
      </c>
      <c r="L4666" t="inlineStr">
        <is>
          <t>MARZO 2027</t>
        </is>
      </c>
      <c r="M4666" t="inlineStr">
        <is>
          <t xml:space="preserve">CO2 TIPO BC </t>
        </is>
      </c>
      <c r="N4666" t="inlineStr">
        <is>
          <t>11/000100</t>
        </is>
      </c>
      <c r="O4666" t="inlineStr">
        <is>
          <t>R</t>
        </is>
      </c>
      <c r="P4666">
        <f>TRIM(N4666)</f>
        <v/>
      </c>
    </row>
    <row r="4667">
      <c r="A4667" t="inlineStr">
        <is>
          <t>CO-002677</t>
        </is>
      </c>
      <c r="B4667" t="inlineStr">
        <is>
          <t>INVERSIONES TELCOTEL SAC</t>
        </is>
      </c>
      <c r="C4667" t="inlineStr">
        <is>
          <t>20549846000</t>
        </is>
      </c>
      <c r="D4667" t="inlineStr">
        <is>
          <t>Av. San Felipe 806</t>
        </is>
      </c>
      <c r="E4667" t="inlineStr">
        <is>
          <t>27 de marzo del 2026</t>
        </is>
      </c>
      <c r="F4667" t="inlineStr">
        <is>
          <t>la Recarga y mantenimiento</t>
        </is>
      </c>
      <c r="G4667" t="n">
        <v>8</v>
      </c>
      <c r="H4667" t="inlineStr">
        <is>
          <t>06 KG</t>
        </is>
      </c>
      <c r="I4667" t="n">
        <v>2031</v>
      </c>
      <c r="J4667" t="n">
        <v>2019</v>
      </c>
      <c r="K4667" t="inlineStr">
        <is>
          <t>MARZO 2026</t>
        </is>
      </c>
      <c r="L4667" t="inlineStr">
        <is>
          <t>MARZO 2027</t>
        </is>
      </c>
      <c r="M4667" t="inlineStr">
        <is>
          <t xml:space="preserve">PQS TIPO ABC </t>
        </is>
      </c>
      <c r="N4667" t="inlineStr">
        <is>
          <t>12/029397</t>
        </is>
      </c>
      <c r="O4667" t="inlineStr">
        <is>
          <t>R</t>
        </is>
      </c>
      <c r="P4667">
        <f>TRIM(N4667)</f>
        <v/>
      </c>
    </row>
    <row r="4668">
      <c r="A4668" t="inlineStr">
        <is>
          <t>CO-002677</t>
        </is>
      </c>
      <c r="B4668" t="inlineStr">
        <is>
          <t>INVERSIONES TELCOTEL SAC</t>
        </is>
      </c>
      <c r="C4668" t="inlineStr">
        <is>
          <t>20549846000</t>
        </is>
      </c>
      <c r="D4668" t="inlineStr">
        <is>
          <t>Av. San Felipe 806</t>
        </is>
      </c>
      <c r="E4668" t="inlineStr">
        <is>
          <t>27 de marzo del 2026</t>
        </is>
      </c>
      <c r="F4668" t="inlineStr">
        <is>
          <t>la Recarga y mantenimiento</t>
        </is>
      </c>
      <c r="G4668" t="n">
        <v>9</v>
      </c>
      <c r="H4668" t="inlineStr">
        <is>
          <t>06 KG</t>
        </is>
      </c>
      <c r="I4668" t="n">
        <v>2029</v>
      </c>
      <c r="J4668" t="n">
        <v>2024</v>
      </c>
      <c r="K4668" t="inlineStr">
        <is>
          <t>MARZO 2026</t>
        </is>
      </c>
      <c r="L4668" t="inlineStr">
        <is>
          <t>MARZO 2027</t>
        </is>
      </c>
      <c r="M4668" t="inlineStr">
        <is>
          <t>PQS TIPO ABC</t>
        </is>
      </c>
      <c r="N4668" t="inlineStr">
        <is>
          <t>13/000030</t>
        </is>
      </c>
      <c r="O4668" t="inlineStr">
        <is>
          <t>R</t>
        </is>
      </c>
      <c r="P4668">
        <f>TRIM(N4668)</f>
        <v/>
      </c>
    </row>
    <row r="4669">
      <c r="A4669" t="inlineStr">
        <is>
          <t>CO-002678</t>
        </is>
      </c>
      <c r="B4669" t="inlineStr">
        <is>
          <t>INVERSIONES TELCOTEL SAC</t>
        </is>
      </c>
      <c r="C4669" t="inlineStr">
        <is>
          <t>20549846000</t>
        </is>
      </c>
      <c r="D4669" t="inlineStr">
        <is>
          <t>Av. San Felipe 806</t>
        </is>
      </c>
      <c r="E4669" t="inlineStr">
        <is>
          <t>27 de marzo del 2026</t>
        </is>
      </c>
      <c r="F4669" t="inlineStr">
        <is>
          <t>la Recarga y mantenimiento</t>
        </is>
      </c>
      <c r="G4669" t="n">
        <v>1</v>
      </c>
      <c r="H4669" t="inlineStr">
        <is>
          <t>05 LBS</t>
        </is>
      </c>
      <c r="I4669" t="n">
        <v>2028</v>
      </c>
      <c r="J4669" t="n">
        <v>2013</v>
      </c>
      <c r="K4669" t="inlineStr">
        <is>
          <t>MARZO 2026</t>
        </is>
      </c>
      <c r="L4669" t="inlineStr">
        <is>
          <t>MARZO 2027</t>
        </is>
      </c>
      <c r="M4669" t="inlineStr">
        <is>
          <t>CO2 TIPO BC</t>
        </is>
      </c>
      <c r="N4669" t="inlineStr">
        <is>
          <t>02/025331</t>
        </is>
      </c>
      <c r="O4669" t="inlineStr">
        <is>
          <t>R</t>
        </is>
      </c>
      <c r="P4669">
        <f>TRIM(N4669)</f>
        <v/>
      </c>
    </row>
    <row r="4670">
      <c r="A4670" t="inlineStr">
        <is>
          <t>CO-002679</t>
        </is>
      </c>
      <c r="B4670" t="inlineStr">
        <is>
          <t>ECONOCABLE MEDIA SAC</t>
        </is>
      </c>
      <c r="C4670" t="inlineStr">
        <is>
          <t>20549846000</t>
        </is>
      </c>
      <c r="D4670" t="inlineStr">
        <is>
          <t>Rosseau 289, san Borja</t>
        </is>
      </c>
      <c r="E4670" t="inlineStr">
        <is>
          <t>01 de abril del 2026</t>
        </is>
      </c>
      <c r="F4670" t="inlineStr">
        <is>
          <t>la Recarga , mantenimiento y venta</t>
        </is>
      </c>
      <c r="G4670" t="n">
        <v>1</v>
      </c>
      <c r="H4670" t="inlineStr">
        <is>
          <t>04 KG</t>
        </is>
      </c>
      <c r="I4670" t="n">
        <v>2031</v>
      </c>
      <c r="J4670" t="n">
        <v>2017</v>
      </c>
      <c r="K4670" t="inlineStr">
        <is>
          <t>ABRIL 2026</t>
        </is>
      </c>
      <c r="L4670" t="inlineStr">
        <is>
          <t>ABRIL 2027</t>
        </is>
      </c>
      <c r="M4670" t="inlineStr">
        <is>
          <t xml:space="preserve">PQS TIPO ABC </t>
        </is>
      </c>
      <c r="N4670" t="inlineStr">
        <is>
          <t>002133</t>
        </is>
      </c>
      <c r="O4670" t="inlineStr">
        <is>
          <t>R</t>
        </is>
      </c>
      <c r="P4670">
        <f>TRIM(N4670)</f>
        <v/>
      </c>
    </row>
    <row r="4671">
      <c r="A4671" t="inlineStr">
        <is>
          <t>CO-002679</t>
        </is>
      </c>
      <c r="B4671" t="inlineStr">
        <is>
          <t>ECONOCABLE MEDIA SAC</t>
        </is>
      </c>
      <c r="C4671" t="inlineStr">
        <is>
          <t>20549846000</t>
        </is>
      </c>
      <c r="D4671" t="inlineStr">
        <is>
          <t>Rosseau 289, san Borja</t>
        </is>
      </c>
      <c r="E4671" t="inlineStr">
        <is>
          <t>01 de abril del 2026</t>
        </is>
      </c>
      <c r="F4671" t="inlineStr">
        <is>
          <t>la Recarga , mantenimiento y venta</t>
        </is>
      </c>
      <c r="G4671" t="n">
        <v>2</v>
      </c>
      <c r="H4671" t="inlineStr">
        <is>
          <t>05 LBS</t>
        </is>
      </c>
      <c r="I4671" t="n">
        <v>2030</v>
      </c>
      <c r="J4671" t="n">
        <v>2025</v>
      </c>
      <c r="K4671" t="inlineStr">
        <is>
          <t>ABRIL 2026</t>
        </is>
      </c>
      <c r="L4671" t="inlineStr">
        <is>
          <t>ABRIL 2027</t>
        </is>
      </c>
      <c r="M4671" t="inlineStr">
        <is>
          <t xml:space="preserve">CO2 TIPO BC </t>
        </is>
      </c>
      <c r="N4671" t="n">
        <v>876</v>
      </c>
      <c r="O4671" t="inlineStr">
        <is>
          <t>V</t>
        </is>
      </c>
      <c r="P4671">
        <f>TRIM(N4671)</f>
        <v/>
      </c>
    </row>
    <row r="4672">
      <c r="A4672" t="inlineStr">
        <is>
          <t>CO-002680</t>
        </is>
      </c>
      <c r="B4672" t="inlineStr">
        <is>
          <t>CABLEMASTER COMUNICACIONES SAC</t>
        </is>
      </c>
      <c r="C4672" t="n">
        <v>20508720255</v>
      </c>
      <c r="D4672" t="inlineStr">
        <is>
          <t>PAMPLONA</t>
        </is>
      </c>
      <c r="E4672" t="inlineStr">
        <is>
          <t>27 de marzo del 2026</t>
        </is>
      </c>
      <c r="F4672" t="inlineStr">
        <is>
          <t>la Recarga y mantenimiento</t>
        </is>
      </c>
      <c r="G4672" t="n">
        <v>1</v>
      </c>
      <c r="H4672" t="inlineStr">
        <is>
          <t>05 LBS</t>
        </is>
      </c>
      <c r="I4672" t="n">
        <v>2031</v>
      </c>
      <c r="J4672" t="n">
        <v>2012</v>
      </c>
      <c r="K4672" t="inlineStr">
        <is>
          <t>MARZO 2026</t>
        </is>
      </c>
      <c r="L4672" t="inlineStr">
        <is>
          <t>MARZO 2027</t>
        </is>
      </c>
      <c r="M4672" t="inlineStr">
        <is>
          <t>CO2 TIPO BC</t>
        </is>
      </c>
      <c r="N4672" t="inlineStr">
        <is>
          <t>000138</t>
        </is>
      </c>
      <c r="O4672" t="inlineStr">
        <is>
          <t>R</t>
        </is>
      </c>
      <c r="P4672">
        <f>TRIM(N4672)</f>
        <v/>
      </c>
    </row>
    <row r="4673">
      <c r="A4673" t="inlineStr">
        <is>
          <t>CO-002681</t>
        </is>
      </c>
      <c r="B4673" t="inlineStr">
        <is>
          <t>ECONOCABLE MEDIA SAC</t>
        </is>
      </c>
      <c r="C4673" t="n">
        <v>20508720255</v>
      </c>
      <c r="D4673" t="inlineStr">
        <is>
          <t>Av. Defensores del Morro, Chorrillos 15057(huaylas)</t>
        </is>
      </c>
      <c r="E4673" t="inlineStr">
        <is>
          <t>27 de marzo del 2026</t>
        </is>
      </c>
      <c r="F4673" t="inlineStr">
        <is>
          <t xml:space="preserve">la Recarga y mantenimiento y venta </t>
        </is>
      </c>
      <c r="G4673" t="n">
        <v>1</v>
      </c>
      <c r="H4673" t="inlineStr">
        <is>
          <t>10 LBS</t>
        </is>
      </c>
      <c r="I4673" t="n">
        <v>2030</v>
      </c>
      <c r="J4673" t="n">
        <v>2025</v>
      </c>
      <c r="K4673" t="inlineStr">
        <is>
          <t>MARZO 2026</t>
        </is>
      </c>
      <c r="L4673" t="inlineStr">
        <is>
          <t>MARZO 2027</t>
        </is>
      </c>
      <c r="M4673" t="inlineStr">
        <is>
          <t>CO2 TIPO BC</t>
        </is>
      </c>
      <c r="N4673" t="inlineStr">
        <is>
          <t>001082</t>
        </is>
      </c>
      <c r="O4673" t="inlineStr">
        <is>
          <t>V</t>
        </is>
      </c>
      <c r="P4673">
        <f>TRIM(N4673)</f>
        <v/>
      </c>
    </row>
    <row r="4674">
      <c r="A4674" t="inlineStr">
        <is>
          <t>CO-002682</t>
        </is>
      </c>
      <c r="B4674" t="inlineStr">
        <is>
          <t>PERU MASIVO - BUSES</t>
        </is>
      </c>
      <c r="C4674" t="inlineStr">
        <is>
          <t>20492392031</t>
        </is>
      </c>
      <c r="D4674" t="inlineStr">
        <is>
          <t>AV. LOS INCAS CDRA. 4 PATIO NORTE - COMAS</t>
        </is>
      </c>
      <c r="E4674" t="inlineStr">
        <is>
          <t>28 de marzo del 2026</t>
        </is>
      </c>
      <c r="F4674" t="inlineStr">
        <is>
          <t>la Recarga y mantenimiento</t>
        </is>
      </c>
      <c r="G4674" t="n">
        <v>1</v>
      </c>
      <c r="H4674" t="inlineStr">
        <is>
          <t>6KG</t>
        </is>
      </c>
      <c r="I4674" t="n">
        <v>2029</v>
      </c>
      <c r="J4674" t="n">
        <v>2009</v>
      </c>
      <c r="K4674" t="inlineStr">
        <is>
          <t>MARZO 2026</t>
        </is>
      </c>
      <c r="L4674" t="inlineStr">
        <is>
          <t>MARZO 2027</t>
        </is>
      </c>
      <c r="M4674" t="inlineStr">
        <is>
          <t>PQS TIPO ABC</t>
        </is>
      </c>
      <c r="N4674" t="inlineStr">
        <is>
          <t>129/001994</t>
        </is>
      </c>
      <c r="O4674" t="inlineStr">
        <is>
          <t>R</t>
        </is>
      </c>
      <c r="P4674">
        <f>TRIM(N4674)</f>
        <v/>
      </c>
    </row>
    <row r="4675">
      <c r="A4675" t="inlineStr">
        <is>
          <t>CO-002682</t>
        </is>
      </c>
      <c r="B4675" t="inlineStr">
        <is>
          <t>PERU MASIVO - BUSES</t>
        </is>
      </c>
      <c r="C4675" t="inlineStr">
        <is>
          <t>20492392031</t>
        </is>
      </c>
      <c r="D4675" t="inlineStr">
        <is>
          <t>AV. LOS INCAS CDRA. 4 PATIO NORTE - COMAS</t>
        </is>
      </c>
      <c r="E4675" t="inlineStr">
        <is>
          <t>28 de marzo del 2026</t>
        </is>
      </c>
      <c r="F4675" t="inlineStr">
        <is>
          <t>la Recarga y mantenimiento</t>
        </is>
      </c>
      <c r="G4675" t="n">
        <v>2</v>
      </c>
      <c r="H4675" t="inlineStr">
        <is>
          <t>6KG</t>
        </is>
      </c>
      <c r="I4675" t="n">
        <v>2031</v>
      </c>
      <c r="J4675" t="n">
        <v>2010</v>
      </c>
      <c r="K4675" t="inlineStr">
        <is>
          <t>MARZO 2026</t>
        </is>
      </c>
      <c r="L4675" t="inlineStr">
        <is>
          <t>MARZO 2027</t>
        </is>
      </c>
      <c r="M4675" t="inlineStr">
        <is>
          <t>PQS TIPO ABC</t>
        </is>
      </c>
      <c r="N4675" t="inlineStr">
        <is>
          <t>180/000005</t>
        </is>
      </c>
      <c r="O4675" t="inlineStr">
        <is>
          <t>R</t>
        </is>
      </c>
      <c r="P4675">
        <f>TRIM(N4675)</f>
        <v/>
      </c>
    </row>
    <row r="4676">
      <c r="A4676" t="inlineStr">
        <is>
          <t>CO-002682</t>
        </is>
      </c>
      <c r="B4676" t="inlineStr">
        <is>
          <t>PERU MASIVO - BUSES</t>
        </is>
      </c>
      <c r="C4676" t="inlineStr">
        <is>
          <t>20492392031</t>
        </is>
      </c>
      <c r="D4676" t="inlineStr">
        <is>
          <t>AV. LOS INCAS CDRA. 4 PATIO NORTE - COMAS</t>
        </is>
      </c>
      <c r="E4676" t="inlineStr">
        <is>
          <t>28 de marzo del 2026</t>
        </is>
      </c>
      <c r="F4676" t="inlineStr">
        <is>
          <t>la Recarga y mantenimiento</t>
        </is>
      </c>
      <c r="G4676" t="n">
        <v>3</v>
      </c>
      <c r="H4676" t="inlineStr">
        <is>
          <t>6KG</t>
        </is>
      </c>
      <c r="I4676" t="n">
        <v>2029</v>
      </c>
      <c r="J4676" t="n">
        <v>2010</v>
      </c>
      <c r="K4676" t="inlineStr">
        <is>
          <t>MARZO 2026</t>
        </is>
      </c>
      <c r="L4676" t="inlineStr">
        <is>
          <t>MARZO 2027</t>
        </is>
      </c>
      <c r="M4676" t="inlineStr">
        <is>
          <t>PQS TIPO ABC</t>
        </is>
      </c>
      <c r="N4676" t="inlineStr">
        <is>
          <t>85/021354</t>
        </is>
      </c>
      <c r="O4676" t="inlineStr">
        <is>
          <t>R</t>
        </is>
      </c>
      <c r="P4676">
        <f>TRIM(N4676)</f>
        <v/>
      </c>
    </row>
    <row r="4677">
      <c r="A4677" t="inlineStr">
        <is>
          <t>CO-002682</t>
        </is>
      </c>
      <c r="B4677" t="inlineStr">
        <is>
          <t>PERU MASIVO - BUSES</t>
        </is>
      </c>
      <c r="C4677" t="inlineStr">
        <is>
          <t>20492392031</t>
        </is>
      </c>
      <c r="D4677" t="inlineStr">
        <is>
          <t>AV. LOS INCAS CDRA. 4 PATIO NORTE - COMAS</t>
        </is>
      </c>
      <c r="E4677" t="inlineStr">
        <is>
          <t>28 de marzo del 2026</t>
        </is>
      </c>
      <c r="F4677" t="inlineStr">
        <is>
          <t>la Recarga y mantenimiento</t>
        </is>
      </c>
      <c r="G4677" t="n">
        <v>4</v>
      </c>
      <c r="H4677" t="inlineStr">
        <is>
          <t>6KG</t>
        </is>
      </c>
      <c r="I4677" t="n">
        <v>2031</v>
      </c>
      <c r="J4677" t="n">
        <v>2010</v>
      </c>
      <c r="K4677" t="inlineStr">
        <is>
          <t>MARZO 2026</t>
        </is>
      </c>
      <c r="L4677" t="inlineStr">
        <is>
          <t>MARZO 2027</t>
        </is>
      </c>
      <c r="M4677" t="inlineStr">
        <is>
          <t xml:space="preserve">PQS TIPO ABC </t>
        </is>
      </c>
      <c r="N4677" t="inlineStr">
        <is>
          <t>269/000005</t>
        </is>
      </c>
      <c r="O4677" t="inlineStr">
        <is>
          <t>R</t>
        </is>
      </c>
      <c r="P4677">
        <f>TRIM(N4677)</f>
        <v/>
      </c>
    </row>
    <row r="4678">
      <c r="A4678" t="inlineStr">
        <is>
          <t>CO-002682</t>
        </is>
      </c>
      <c r="B4678" t="inlineStr">
        <is>
          <t>PERU MASIVO - BUSES</t>
        </is>
      </c>
      <c r="C4678" t="inlineStr">
        <is>
          <t>20492392031</t>
        </is>
      </c>
      <c r="D4678" t="inlineStr">
        <is>
          <t>AV. LOS INCAS CDRA. 4 PATIO NORTE - COMAS</t>
        </is>
      </c>
      <c r="E4678" t="inlineStr">
        <is>
          <t>28 de marzo del 2026</t>
        </is>
      </c>
      <c r="F4678" t="inlineStr">
        <is>
          <t>la Recarga y mantenimiento</t>
        </is>
      </c>
      <c r="G4678" t="n">
        <v>5</v>
      </c>
      <c r="H4678" t="inlineStr">
        <is>
          <t>6KG</t>
        </is>
      </c>
      <c r="I4678" t="n">
        <v>2031</v>
      </c>
      <c r="J4678" t="n">
        <v>2011</v>
      </c>
      <c r="K4678" t="inlineStr">
        <is>
          <t>MARZO 2026</t>
        </is>
      </c>
      <c r="L4678" t="inlineStr">
        <is>
          <t>MARZO 2027</t>
        </is>
      </c>
      <c r="M4678" t="inlineStr">
        <is>
          <t>PQS TIPO ABC</t>
        </is>
      </c>
      <c r="N4678" t="inlineStr">
        <is>
          <t>77/006415</t>
        </is>
      </c>
      <c r="O4678" t="inlineStr">
        <is>
          <t>R</t>
        </is>
      </c>
      <c r="P4678">
        <f>TRIM(N4678)</f>
        <v/>
      </c>
    </row>
    <row r="4679">
      <c r="A4679" t="inlineStr">
        <is>
          <t>CO-002682</t>
        </is>
      </c>
      <c r="B4679" t="inlineStr">
        <is>
          <t>PERU MASIVO - BUSES</t>
        </is>
      </c>
      <c r="C4679" t="inlineStr">
        <is>
          <t>20492392031</t>
        </is>
      </c>
      <c r="D4679" t="inlineStr">
        <is>
          <t>AV. LOS INCAS CDRA. 4 PATIO NORTE - COMAS</t>
        </is>
      </c>
      <c r="E4679" t="inlineStr">
        <is>
          <t>28 de marzo del 2026</t>
        </is>
      </c>
      <c r="F4679" t="inlineStr">
        <is>
          <t>la Recarga y mantenimiento</t>
        </is>
      </c>
      <c r="G4679" t="n">
        <v>6</v>
      </c>
      <c r="H4679" t="inlineStr">
        <is>
          <t>6KG</t>
        </is>
      </c>
      <c r="I4679" t="n">
        <v>2029</v>
      </c>
      <c r="J4679" t="n">
        <v>2014</v>
      </c>
      <c r="K4679" t="inlineStr">
        <is>
          <t>MARZO 2026</t>
        </is>
      </c>
      <c r="L4679" t="inlineStr">
        <is>
          <t>MARZO 2027</t>
        </is>
      </c>
      <c r="M4679" t="inlineStr">
        <is>
          <t>PQS TIPO ABC</t>
        </is>
      </c>
      <c r="N4679" t="inlineStr">
        <is>
          <t>121/001460</t>
        </is>
      </c>
      <c r="O4679" t="inlineStr">
        <is>
          <t>R</t>
        </is>
      </c>
      <c r="P4679">
        <f>TRIM(N4679)</f>
        <v/>
      </c>
    </row>
    <row r="4680">
      <c r="A4680" t="inlineStr">
        <is>
          <t>CO-002682</t>
        </is>
      </c>
      <c r="B4680" t="inlineStr">
        <is>
          <t>PERU MASIVO - BUSES</t>
        </is>
      </c>
      <c r="C4680" t="inlineStr">
        <is>
          <t>20492392031</t>
        </is>
      </c>
      <c r="D4680" t="inlineStr">
        <is>
          <t>AV. LOS INCAS CDRA. 4 PATIO NORTE - COMAS</t>
        </is>
      </c>
      <c r="E4680" t="inlineStr">
        <is>
          <t>28 de marzo del 2026</t>
        </is>
      </c>
      <c r="F4680" t="inlineStr">
        <is>
          <t>la Recarga y mantenimiento</t>
        </is>
      </c>
      <c r="G4680" t="n">
        <v>7</v>
      </c>
      <c r="H4680" t="inlineStr">
        <is>
          <t>6KG</t>
        </is>
      </c>
      <c r="I4680" t="n">
        <v>2029</v>
      </c>
      <c r="J4680" t="n">
        <v>2021</v>
      </c>
      <c r="K4680" t="inlineStr">
        <is>
          <t>MARZO 2026</t>
        </is>
      </c>
      <c r="L4680" t="inlineStr">
        <is>
          <t>MARZO 2027</t>
        </is>
      </c>
      <c r="M4680" t="inlineStr">
        <is>
          <t>PQS TIPO ABC</t>
        </is>
      </c>
      <c r="N4680" t="inlineStr">
        <is>
          <t>88/008539</t>
        </is>
      </c>
      <c r="O4680" t="inlineStr">
        <is>
          <t>R</t>
        </is>
      </c>
      <c r="P4680">
        <f>TRIM(N4680)</f>
        <v/>
      </c>
    </row>
    <row r="4681">
      <c r="A4681" t="inlineStr">
        <is>
          <t>CO-002682</t>
        </is>
      </c>
      <c r="B4681" t="inlineStr">
        <is>
          <t>PERU MASIVO - BUSES</t>
        </is>
      </c>
      <c r="C4681" t="inlineStr">
        <is>
          <t>20492392031</t>
        </is>
      </c>
      <c r="D4681" t="inlineStr">
        <is>
          <t>AV. LOS INCAS CDRA. 4 PATIO NORTE - COMAS</t>
        </is>
      </c>
      <c r="E4681" t="inlineStr">
        <is>
          <t>28 de marzo del 2026</t>
        </is>
      </c>
      <c r="F4681" t="inlineStr">
        <is>
          <t>la Recarga y mantenimiento</t>
        </is>
      </c>
      <c r="G4681" t="n">
        <v>8</v>
      </c>
      <c r="H4681" t="inlineStr">
        <is>
          <t>6KG</t>
        </is>
      </c>
      <c r="I4681" t="n">
        <v>2030</v>
      </c>
      <c r="J4681" t="n">
        <v>2009</v>
      </c>
      <c r="K4681" t="inlineStr">
        <is>
          <t>MARZO 2026</t>
        </is>
      </c>
      <c r="L4681" t="inlineStr">
        <is>
          <t>MARZO 2027</t>
        </is>
      </c>
      <c r="M4681" t="inlineStr">
        <is>
          <t>PQS TIPO ABC</t>
        </is>
      </c>
      <c r="N4681" t="inlineStr">
        <is>
          <t>173/000490</t>
        </is>
      </c>
      <c r="O4681" t="inlineStr">
        <is>
          <t>R</t>
        </is>
      </c>
      <c r="P4681">
        <f>TRIM(N4681)</f>
        <v/>
      </c>
    </row>
    <row r="4682">
      <c r="A4682" t="inlineStr">
        <is>
          <t>CO-002682</t>
        </is>
      </c>
      <c r="B4682" t="inlineStr">
        <is>
          <t>PERU MASIVO - BUSES</t>
        </is>
      </c>
      <c r="C4682" t="inlineStr">
        <is>
          <t>20492392031</t>
        </is>
      </c>
      <c r="D4682" t="inlineStr">
        <is>
          <t>AV. LOS INCAS CDRA. 4 PATIO NORTE - COMAS</t>
        </is>
      </c>
      <c r="E4682" t="inlineStr">
        <is>
          <t>28 de marzo del 2026</t>
        </is>
      </c>
      <c r="F4682" t="inlineStr">
        <is>
          <t>la Recarga y mantenimiento</t>
        </is>
      </c>
      <c r="G4682" t="n">
        <v>9</v>
      </c>
      <c r="H4682" t="inlineStr">
        <is>
          <t>6KG</t>
        </is>
      </c>
      <c r="I4682" t="n">
        <v>2029</v>
      </c>
      <c r="J4682" t="n">
        <v>2009</v>
      </c>
      <c r="K4682" t="inlineStr">
        <is>
          <t>MARZO 2026</t>
        </is>
      </c>
      <c r="L4682" t="inlineStr">
        <is>
          <t>MARZO 2027</t>
        </is>
      </c>
      <c r="M4682" t="inlineStr">
        <is>
          <t>PQS TIPO ABC</t>
        </is>
      </c>
      <c r="N4682" t="inlineStr">
        <is>
          <t>191/001416</t>
        </is>
      </c>
      <c r="O4682" t="inlineStr">
        <is>
          <t>R</t>
        </is>
      </c>
      <c r="P4682">
        <f>TRIM(N4682)</f>
        <v/>
      </c>
    </row>
    <row r="4683">
      <c r="A4683" t="inlineStr">
        <is>
          <t>CO-002682</t>
        </is>
      </c>
      <c r="B4683" t="inlineStr">
        <is>
          <t>PERU MASIVO - BUSES</t>
        </is>
      </c>
      <c r="C4683" t="inlineStr">
        <is>
          <t>20492392031</t>
        </is>
      </c>
      <c r="D4683" t="inlineStr">
        <is>
          <t>AV. LOS INCAS CDRA. 4 PATIO NORTE - COMAS</t>
        </is>
      </c>
      <c r="E4683" t="inlineStr">
        <is>
          <t>28 de marzo del 2026</t>
        </is>
      </c>
      <c r="F4683" t="inlineStr">
        <is>
          <t>la Recarga y mantenimiento</t>
        </is>
      </c>
      <c r="G4683" t="n">
        <v>10</v>
      </c>
      <c r="H4683" t="inlineStr">
        <is>
          <t>6KG</t>
        </is>
      </c>
      <c r="I4683" t="n">
        <v>2029</v>
      </c>
      <c r="J4683" t="n">
        <v>2009</v>
      </c>
      <c r="K4683" t="inlineStr">
        <is>
          <t>MARZO 2026</t>
        </is>
      </c>
      <c r="L4683" t="inlineStr">
        <is>
          <t>MARZO 2027</t>
        </is>
      </c>
      <c r="M4683" t="inlineStr">
        <is>
          <t>PQS TIPO ABC</t>
        </is>
      </c>
      <c r="N4683" t="inlineStr">
        <is>
          <t>259/000105</t>
        </is>
      </c>
      <c r="O4683" t="inlineStr">
        <is>
          <t>R</t>
        </is>
      </c>
      <c r="P4683">
        <f>TRIM(N4683)</f>
        <v/>
      </c>
    </row>
    <row r="4684">
      <c r="A4684" t="inlineStr">
        <is>
          <t>CO-002682</t>
        </is>
      </c>
      <c r="B4684" t="inlineStr">
        <is>
          <t>PERU MASIVO - BUSES</t>
        </is>
      </c>
      <c r="C4684" t="inlineStr">
        <is>
          <t>20492392031</t>
        </is>
      </c>
      <c r="D4684" t="inlineStr">
        <is>
          <t>AV. LOS INCAS CDRA. 4 PATIO NORTE - COMAS</t>
        </is>
      </c>
      <c r="E4684" t="inlineStr">
        <is>
          <t>28 de marzo del 2026</t>
        </is>
      </c>
      <c r="F4684" t="inlineStr">
        <is>
          <t>la Recarga y mantenimiento</t>
        </is>
      </c>
      <c r="G4684" t="n">
        <v>11</v>
      </c>
      <c r="H4684" t="inlineStr">
        <is>
          <t>6KG</t>
        </is>
      </c>
      <c r="I4684" t="n">
        <v>2029</v>
      </c>
      <c r="J4684" t="n">
        <v>2015</v>
      </c>
      <c r="K4684" t="inlineStr">
        <is>
          <t>MARZO 2026</t>
        </is>
      </c>
      <c r="L4684" t="inlineStr">
        <is>
          <t>MARZO 2027</t>
        </is>
      </c>
      <c r="M4684" t="inlineStr">
        <is>
          <t xml:space="preserve">PQS TIPO ABC </t>
        </is>
      </c>
      <c r="N4684" t="inlineStr">
        <is>
          <t>37/000420</t>
        </is>
      </c>
      <c r="O4684" t="inlineStr">
        <is>
          <t>R</t>
        </is>
      </c>
      <c r="P4684">
        <f>TRIM(N4684)</f>
        <v/>
      </c>
    </row>
    <row r="4685">
      <c r="A4685" t="inlineStr">
        <is>
          <t>CO-002682</t>
        </is>
      </c>
      <c r="B4685" t="inlineStr">
        <is>
          <t>PERU MASIVO - BUSES</t>
        </is>
      </c>
      <c r="C4685" t="inlineStr">
        <is>
          <t>20492392031</t>
        </is>
      </c>
      <c r="D4685" t="inlineStr">
        <is>
          <t>AV. LOS INCAS CDRA. 4 PATIO NORTE - COMAS</t>
        </is>
      </c>
      <c r="E4685" t="inlineStr">
        <is>
          <t>28 de marzo del 2026</t>
        </is>
      </c>
      <c r="F4685" t="inlineStr">
        <is>
          <t>la Recarga y mantenimiento</t>
        </is>
      </c>
      <c r="G4685" t="n">
        <v>12</v>
      </c>
      <c r="H4685" t="inlineStr">
        <is>
          <t>6KG</t>
        </is>
      </c>
      <c r="I4685" t="n">
        <v>2029</v>
      </c>
      <c r="J4685" t="n">
        <v>2010</v>
      </c>
      <c r="K4685" t="inlineStr">
        <is>
          <t>MARZO 2026</t>
        </is>
      </c>
      <c r="L4685" t="inlineStr">
        <is>
          <t>MARZO 2027</t>
        </is>
      </c>
      <c r="M4685" t="inlineStr">
        <is>
          <t xml:space="preserve">PQS TIPO ABC </t>
        </is>
      </c>
      <c r="N4685" t="inlineStr">
        <is>
          <t>157/000132</t>
        </is>
      </c>
      <c r="O4685" t="inlineStr">
        <is>
          <t>R</t>
        </is>
      </c>
      <c r="P4685">
        <f>TRIM(N4685)</f>
        <v/>
      </c>
    </row>
    <row r="4686">
      <c r="A4686" t="inlineStr">
        <is>
          <t>CO-002682</t>
        </is>
      </c>
      <c r="B4686" t="inlineStr">
        <is>
          <t>PERU MASIVO - BUSES</t>
        </is>
      </c>
      <c r="C4686" t="inlineStr">
        <is>
          <t>20492392031</t>
        </is>
      </c>
      <c r="D4686" t="inlineStr">
        <is>
          <t>AV. LOS INCAS CDRA. 4 PATIO NORTE - COMAS</t>
        </is>
      </c>
      <c r="E4686" t="inlineStr">
        <is>
          <t>28 de marzo del 2026</t>
        </is>
      </c>
      <c r="F4686" t="inlineStr">
        <is>
          <t>la Recarga y mantenimiento</t>
        </is>
      </c>
      <c r="G4686" t="n">
        <v>13</v>
      </c>
      <c r="H4686" t="inlineStr">
        <is>
          <t>6KG</t>
        </is>
      </c>
      <c r="I4686" t="n">
        <v>2031</v>
      </c>
      <c r="J4686" t="n">
        <v>2009</v>
      </c>
      <c r="K4686" t="inlineStr">
        <is>
          <t>MARZO 2026</t>
        </is>
      </c>
      <c r="L4686" t="inlineStr">
        <is>
          <t>MARZO 2027</t>
        </is>
      </c>
      <c r="M4686" t="inlineStr">
        <is>
          <t>PQS TPO ABC</t>
        </is>
      </c>
      <c r="N4686" t="inlineStr">
        <is>
          <t>217/001645</t>
        </is>
      </c>
      <c r="O4686" t="inlineStr">
        <is>
          <t>R</t>
        </is>
      </c>
      <c r="P4686">
        <f>TRIM(N4686)</f>
        <v/>
      </c>
    </row>
    <row r="4687">
      <c r="A4687" t="inlineStr">
        <is>
          <t>CO-002682</t>
        </is>
      </c>
      <c r="B4687" t="inlineStr">
        <is>
          <t>PERU MASIVO - BUSES</t>
        </is>
      </c>
      <c r="C4687" t="inlineStr">
        <is>
          <t>20492392031</t>
        </is>
      </c>
      <c r="D4687" t="inlineStr">
        <is>
          <t>AV. LOS INCAS CDRA. 4 PATIO NORTE - COMAS</t>
        </is>
      </c>
      <c r="E4687" t="inlineStr">
        <is>
          <t>28 de marzo del 2026</t>
        </is>
      </c>
      <c r="F4687" t="inlineStr">
        <is>
          <t>la Recarga y mantenimiento</t>
        </is>
      </c>
      <c r="G4687" t="n">
        <v>14</v>
      </c>
      <c r="H4687" t="inlineStr">
        <is>
          <t>6KG</t>
        </is>
      </c>
      <c r="I4687" t="n">
        <v>2029</v>
      </c>
      <c r="J4687" t="n">
        <v>2010</v>
      </c>
      <c r="K4687" t="inlineStr">
        <is>
          <t>MARZO 2026</t>
        </is>
      </c>
      <c r="L4687" t="inlineStr">
        <is>
          <t>MARZO 2027</t>
        </is>
      </c>
      <c r="M4687" t="inlineStr">
        <is>
          <t>PQS TIPO ABC</t>
        </is>
      </c>
      <c r="N4687" t="inlineStr">
        <is>
          <t>230/000089</t>
        </is>
      </c>
      <c r="O4687" t="inlineStr">
        <is>
          <t>R</t>
        </is>
      </c>
      <c r="P4687">
        <f>TRIM(N4687)</f>
        <v/>
      </c>
    </row>
    <row r="4688">
      <c r="A4688" t="inlineStr">
        <is>
          <t>CO-002682</t>
        </is>
      </c>
      <c r="B4688" t="inlineStr">
        <is>
          <t>PERU MASIVO - BUSES</t>
        </is>
      </c>
      <c r="C4688" t="inlineStr">
        <is>
          <t>20492392031</t>
        </is>
      </c>
      <c r="D4688" t="inlineStr">
        <is>
          <t>AV. LOS INCAS CDRA. 4 PATIO NORTE - COMAS</t>
        </is>
      </c>
      <c r="E4688" t="inlineStr">
        <is>
          <t>28 de marzo del 2026</t>
        </is>
      </c>
      <c r="F4688" t="inlineStr">
        <is>
          <t>la Recarga y mantenimiento</t>
        </is>
      </c>
      <c r="G4688" t="n">
        <v>15</v>
      </c>
      <c r="H4688" t="inlineStr">
        <is>
          <t>6KG</t>
        </is>
      </c>
      <c r="I4688" t="n">
        <v>2029</v>
      </c>
      <c r="J4688" t="inlineStr">
        <is>
          <t>S/N</t>
        </is>
      </c>
      <c r="K4688" t="inlineStr">
        <is>
          <t>MARZO 2026</t>
        </is>
      </c>
      <c r="L4688" t="inlineStr">
        <is>
          <t>MARZO 2027</t>
        </is>
      </c>
      <c r="M4688" t="inlineStr">
        <is>
          <t>PQS TIPO ABC</t>
        </is>
      </c>
      <c r="N4688" t="inlineStr">
        <is>
          <t>314/002909</t>
        </is>
      </c>
      <c r="O4688" t="inlineStr">
        <is>
          <t>R</t>
        </is>
      </c>
      <c r="P4688">
        <f>TRIM(N4688)</f>
        <v/>
      </c>
    </row>
    <row r="4689">
      <c r="A4689" t="inlineStr">
        <is>
          <t>CO-002683</t>
        </is>
      </c>
      <c r="B4689" t="inlineStr">
        <is>
          <t>INSTITUCION EDUCATIVA N° 8155 VICTOR RAUL HAYA DE LA TORRE</t>
        </is>
      </c>
      <c r="C4689" t="inlineStr">
        <is>
          <t>2051824292</t>
        </is>
      </c>
      <c r="D4689" t="inlineStr">
        <is>
          <t>JR. AUGUSTO SALAVERRY, CARABAYLLO</t>
        </is>
      </c>
      <c r="E4689" t="inlineStr">
        <is>
          <t>28 de marzo del 2026</t>
        </is>
      </c>
      <c r="F4689" t="inlineStr">
        <is>
          <t>la Recarga y mantenimiento</t>
        </is>
      </c>
      <c r="G4689" t="inlineStr">
        <is>
          <t>1</t>
        </is>
      </c>
      <c r="H4689" t="inlineStr">
        <is>
          <t xml:space="preserve">06 KG </t>
        </is>
      </c>
      <c r="I4689" t="inlineStr">
        <is>
          <t>2029</t>
        </is>
      </c>
      <c r="J4689" t="n">
        <v>2024</v>
      </c>
      <c r="K4689" t="inlineStr">
        <is>
          <t>MARZO 2026</t>
        </is>
      </c>
      <c r="L4689" t="inlineStr">
        <is>
          <t>MARZO 2027</t>
        </is>
      </c>
      <c r="M4689" t="inlineStr">
        <is>
          <t>PQS TIPO ABC</t>
        </is>
      </c>
      <c r="N4689" t="inlineStr">
        <is>
          <t>01/006419</t>
        </is>
      </c>
      <c r="O4689" t="inlineStr">
        <is>
          <t>R</t>
        </is>
      </c>
      <c r="P4689">
        <f>TRIM(N4689)</f>
        <v/>
      </c>
    </row>
    <row r="4690">
      <c r="A4690" t="inlineStr">
        <is>
          <t>CO-002683</t>
        </is>
      </c>
      <c r="B4690" t="inlineStr">
        <is>
          <t>INSTITUCION EDUCATIVA N° 8155 VICTOR RAUL HAYA DE LA TORRE</t>
        </is>
      </c>
      <c r="C4690" t="inlineStr">
        <is>
          <t>2051824292</t>
        </is>
      </c>
      <c r="D4690" t="inlineStr">
        <is>
          <t>JR. AUGUSTO SALAVERRY, CARABAYLLO</t>
        </is>
      </c>
      <c r="E4690" t="inlineStr">
        <is>
          <t>28 de marzo del 2026</t>
        </is>
      </c>
      <c r="F4690" t="inlineStr">
        <is>
          <t>la Recarga y mantenimiento</t>
        </is>
      </c>
      <c r="G4690" t="inlineStr">
        <is>
          <t>02</t>
        </is>
      </c>
      <c r="H4690" t="inlineStr">
        <is>
          <t>06 KG</t>
        </is>
      </c>
      <c r="I4690" t="inlineStr">
        <is>
          <t>2028</t>
        </is>
      </c>
      <c r="J4690" t="n">
        <v>2018</v>
      </c>
      <c r="K4690" t="inlineStr">
        <is>
          <t>MARZO 2026</t>
        </is>
      </c>
      <c r="L4690" t="inlineStr">
        <is>
          <t>MARZO 2027</t>
        </is>
      </c>
      <c r="M4690" t="inlineStr">
        <is>
          <t>PQS TIPO ABC</t>
        </is>
      </c>
      <c r="N4690" t="inlineStr">
        <is>
          <t>02/000557</t>
        </is>
      </c>
      <c r="O4690" t="inlineStr">
        <is>
          <t>R</t>
        </is>
      </c>
      <c r="P4690">
        <f>TRIM(N4690)</f>
        <v/>
      </c>
    </row>
    <row r="4691">
      <c r="A4691" t="inlineStr">
        <is>
          <t>CO-002683</t>
        </is>
      </c>
      <c r="B4691" t="inlineStr">
        <is>
          <t>INSTITUCION EDUCATIVA N° 8155 VICTOR RAUL HAYA DE LA TORRE</t>
        </is>
      </c>
      <c r="C4691" t="inlineStr">
        <is>
          <t>2051824292</t>
        </is>
      </c>
      <c r="D4691" t="inlineStr">
        <is>
          <t>JR. AUGUSTO SALAVERRY, CARABAYLLO</t>
        </is>
      </c>
      <c r="E4691" t="inlineStr">
        <is>
          <t>28 de marzo del 2026</t>
        </is>
      </c>
      <c r="F4691" t="inlineStr">
        <is>
          <t>la Recarga y mantenimiento</t>
        </is>
      </c>
      <c r="G4691" t="inlineStr">
        <is>
          <t>03</t>
        </is>
      </c>
      <c r="H4691" t="inlineStr">
        <is>
          <t>04 KG</t>
        </is>
      </c>
      <c r="I4691" t="inlineStr">
        <is>
          <t>2028</t>
        </is>
      </c>
      <c r="J4691" t="n">
        <v>2013</v>
      </c>
      <c r="K4691" t="inlineStr">
        <is>
          <t>MARZO 2026</t>
        </is>
      </c>
      <c r="L4691" t="inlineStr">
        <is>
          <t>MARZO 2027</t>
        </is>
      </c>
      <c r="M4691" t="inlineStr">
        <is>
          <t>PQS TIPO ABC</t>
        </is>
      </c>
      <c r="N4691" t="inlineStr">
        <is>
          <t>03/000009</t>
        </is>
      </c>
      <c r="O4691" t="inlineStr">
        <is>
          <t>R</t>
        </is>
      </c>
      <c r="P4691">
        <f>TRIM(N4691)</f>
        <v/>
      </c>
    </row>
    <row r="4692">
      <c r="A4692" t="inlineStr">
        <is>
          <t>CO-002683</t>
        </is>
      </c>
      <c r="B4692" t="inlineStr">
        <is>
          <t>INSTITUCION EDUCATIVA N° 8155 VICTOR RAUL HAYA DE LA TORRE</t>
        </is>
      </c>
      <c r="C4692" t="inlineStr">
        <is>
          <t>2051824292</t>
        </is>
      </c>
      <c r="D4692" t="inlineStr">
        <is>
          <t>JR. AUGUSTO SALAVERRY, CARABAYLLO</t>
        </is>
      </c>
      <c r="E4692" t="inlineStr">
        <is>
          <t>28 de marzo del 2026</t>
        </is>
      </c>
      <c r="F4692" t="inlineStr">
        <is>
          <t>la Recarga y mantenimiento</t>
        </is>
      </c>
      <c r="G4692" t="inlineStr">
        <is>
          <t>04</t>
        </is>
      </c>
      <c r="H4692" t="inlineStr">
        <is>
          <t>04 KG</t>
        </is>
      </c>
      <c r="I4692" t="inlineStr">
        <is>
          <t>2030</t>
        </is>
      </c>
      <c r="J4692" t="n">
        <v>2020</v>
      </c>
      <c r="K4692" t="inlineStr">
        <is>
          <t>MARZO 2026</t>
        </is>
      </c>
      <c r="L4692" t="inlineStr">
        <is>
          <t>MARZO 2027</t>
        </is>
      </c>
      <c r="M4692" t="inlineStr">
        <is>
          <t xml:space="preserve">PQS TIPO ABC </t>
        </is>
      </c>
      <c r="N4692" t="inlineStr">
        <is>
          <t>04/117669</t>
        </is>
      </c>
      <c r="O4692" t="inlineStr">
        <is>
          <t>R</t>
        </is>
      </c>
      <c r="P4692">
        <f>TRIM(N4692)</f>
        <v/>
      </c>
    </row>
    <row r="4693">
      <c r="A4693" t="inlineStr">
        <is>
          <t>CO-002683</t>
        </is>
      </c>
      <c r="B4693" t="inlineStr">
        <is>
          <t>INSTITUCION EDUCATIVA N° 8155 VICTOR RAUL HAYA DE LA TORRE</t>
        </is>
      </c>
      <c r="C4693" t="inlineStr">
        <is>
          <t>2051824292</t>
        </is>
      </c>
      <c r="D4693" t="inlineStr">
        <is>
          <t>JR. AUGUSTO SALAVERRY, CARABAYLLO</t>
        </is>
      </c>
      <c r="E4693" t="inlineStr">
        <is>
          <t>28 de marzo del 2026</t>
        </is>
      </c>
      <c r="F4693" t="inlineStr">
        <is>
          <t>la Recarga y mantenimiento</t>
        </is>
      </c>
      <c r="G4693" t="n">
        <v>5</v>
      </c>
      <c r="H4693" t="inlineStr">
        <is>
          <t>05 LBS</t>
        </is>
      </c>
      <c r="I4693" t="n">
        <v>2027</v>
      </c>
      <c r="J4693" t="n">
        <v>2022</v>
      </c>
      <c r="K4693" s="19" t="n">
        <v>46082</v>
      </c>
      <c r="L4693" s="19" t="n">
        <v>46447</v>
      </c>
      <c r="M4693" t="inlineStr">
        <is>
          <t>CO2 TIPO BC</t>
        </is>
      </c>
      <c r="N4693" t="inlineStr">
        <is>
          <t>05/000120</t>
        </is>
      </c>
      <c r="P4693">
        <f>TRIM(N4693)</f>
        <v/>
      </c>
    </row>
    <row r="4694">
      <c r="A4694" t="inlineStr">
        <is>
          <t>CO-002684</t>
        </is>
      </c>
      <c r="B4694" t="inlineStr">
        <is>
          <t>CABLEMASTER COMUNICACIONES SAC</t>
        </is>
      </c>
      <c r="C4694" t="n">
        <v>20508871385</v>
      </c>
      <c r="D4694" t="inlineStr">
        <is>
          <t>BRG-830</t>
        </is>
      </c>
      <c r="E4694" t="inlineStr">
        <is>
          <t>28 de marzo del 2026</t>
        </is>
      </c>
      <c r="F4694" t="inlineStr">
        <is>
          <t>la Recarga y mantenimiento</t>
        </is>
      </c>
      <c r="G4694" t="n">
        <v>1</v>
      </c>
      <c r="H4694" t="inlineStr">
        <is>
          <t>06 KG</t>
        </is>
      </c>
      <c r="I4694" t="n">
        <v>2031</v>
      </c>
      <c r="J4694" t="n">
        <v>2017</v>
      </c>
      <c r="K4694" t="inlineStr">
        <is>
          <t>MARZO 2026</t>
        </is>
      </c>
      <c r="L4694" t="inlineStr">
        <is>
          <t>MARZO 2027</t>
        </is>
      </c>
      <c r="M4694" t="inlineStr">
        <is>
          <t>PQS TIPO ABC</t>
        </is>
      </c>
      <c r="N4694" t="inlineStr">
        <is>
          <t>005061</t>
        </is>
      </c>
      <c r="O4694" t="inlineStr">
        <is>
          <t>R</t>
        </is>
      </c>
      <c r="P4694">
        <f>TRIM(N4694)</f>
        <v/>
      </c>
    </row>
    <row r="4695">
      <c r="A4695" t="inlineStr">
        <is>
          <t>CO-002685</t>
        </is>
      </c>
      <c r="B4695" t="inlineStr">
        <is>
          <t>QELLPU PERU SA</t>
        </is>
      </c>
      <c r="C4695" t="inlineStr">
        <is>
          <t>20492318656</t>
        </is>
      </c>
      <c r="D4695" t="inlineStr">
        <is>
          <t>AV. LOS INCAS CDRA. 4 PATIO NORTE - COMAS</t>
        </is>
      </c>
      <c r="E4695" t="inlineStr">
        <is>
          <t>30 de marzo del 2026</t>
        </is>
      </c>
      <c r="F4695" t="inlineStr">
        <is>
          <t>la Recarga y mantenimiento</t>
        </is>
      </c>
      <c r="G4695" t="inlineStr">
        <is>
          <t>01</t>
        </is>
      </c>
      <c r="H4695" t="inlineStr">
        <is>
          <t>10 LBS</t>
        </is>
      </c>
      <c r="I4695" t="inlineStr">
        <is>
          <t>2031</t>
        </is>
      </c>
      <c r="J4695" t="n">
        <v>2014</v>
      </c>
      <c r="K4695" t="inlineStr">
        <is>
          <t>MARZO 2026</t>
        </is>
      </c>
      <c r="L4695" t="inlineStr">
        <is>
          <t>MARZO 2027</t>
        </is>
      </c>
      <c r="M4695" t="inlineStr">
        <is>
          <t>CO2 / TIPO BC</t>
        </is>
      </c>
      <c r="N4695" t="inlineStr">
        <is>
          <t>29 / 000204</t>
        </is>
      </c>
      <c r="O4695" t="inlineStr">
        <is>
          <t>R</t>
        </is>
      </c>
      <c r="P4695">
        <f>TRIM(N4695)</f>
        <v/>
      </c>
    </row>
    <row r="4696">
      <c r="A4696" t="inlineStr">
        <is>
          <t>CO-002686</t>
        </is>
      </c>
      <c r="B4696" t="inlineStr">
        <is>
          <t xml:space="preserve">PERU MASIVO - INFRAESTRUCTURA </t>
        </is>
      </c>
      <c r="C4696" t="inlineStr">
        <is>
          <t>20492392031</t>
        </is>
      </c>
      <c r="D4696" t="inlineStr">
        <is>
          <t>AV. LOS INCAS CDRA. 4 PATIO NORTE - COMAS</t>
        </is>
      </c>
      <c r="E4696" t="inlineStr">
        <is>
          <t>30 de marzo del 2026</t>
        </is>
      </c>
      <c r="F4696" t="inlineStr">
        <is>
          <t>la Recarga y mantenimiento</t>
        </is>
      </c>
      <c r="G4696" t="inlineStr">
        <is>
          <t>01</t>
        </is>
      </c>
      <c r="H4696" t="inlineStr">
        <is>
          <t>10 LBS</t>
        </is>
      </c>
      <c r="I4696" t="inlineStr">
        <is>
          <t>2030</t>
        </is>
      </c>
      <c r="J4696" t="n">
        <v>2012</v>
      </c>
      <c r="K4696" t="inlineStr">
        <is>
          <t>MARZO 2026</t>
        </is>
      </c>
      <c r="L4696" t="inlineStr">
        <is>
          <t>MARZO 2027</t>
        </is>
      </c>
      <c r="M4696" t="inlineStr">
        <is>
          <t xml:space="preserve">CO2 TIPO BC </t>
        </is>
      </c>
      <c r="N4696" t="inlineStr">
        <is>
          <t>02/014496</t>
        </is>
      </c>
      <c r="O4696" t="inlineStr">
        <is>
          <t>R</t>
        </is>
      </c>
      <c r="P4696">
        <f>TRIM(N4696)</f>
        <v/>
      </c>
    </row>
    <row r="4697">
      <c r="A4697" t="inlineStr">
        <is>
          <t>CO-002686</t>
        </is>
      </c>
      <c r="B4697" t="inlineStr">
        <is>
          <t xml:space="preserve">PERU MASIVO - INFRAESTRUCTURA </t>
        </is>
      </c>
      <c r="C4697" t="inlineStr">
        <is>
          <t>20492392031</t>
        </is>
      </c>
      <c r="D4697" t="inlineStr">
        <is>
          <t>AV. LOS INCAS CDRA. 4 PATIO NORTE - COMAS</t>
        </is>
      </c>
      <c r="E4697" t="inlineStr">
        <is>
          <t>30 de marzo del 2026</t>
        </is>
      </c>
      <c r="F4697" t="inlineStr">
        <is>
          <t>la Recarga y mantenimiento</t>
        </is>
      </c>
      <c r="G4697" t="n">
        <v>2</v>
      </c>
      <c r="H4697" t="inlineStr">
        <is>
          <t>06 KG</t>
        </is>
      </c>
      <c r="I4697" t="n">
        <v>2027</v>
      </c>
      <c r="J4697" t="n">
        <v>2022</v>
      </c>
      <c r="K4697" t="inlineStr">
        <is>
          <t>MARZO 2026</t>
        </is>
      </c>
      <c r="L4697" t="inlineStr">
        <is>
          <t>MARZO 2027</t>
        </is>
      </c>
      <c r="M4697" t="inlineStr">
        <is>
          <t>PQS/ABC AL 90%</t>
        </is>
      </c>
      <c r="N4697" t="inlineStr">
        <is>
          <t>22/000232</t>
        </is>
      </c>
      <c r="P4697">
        <f>TRIM(N4697)</f>
        <v/>
      </c>
    </row>
    <row r="4698">
      <c r="A4698" t="inlineStr">
        <is>
          <t>CO-002688</t>
        </is>
      </c>
      <c r="B4698" t="inlineStr">
        <is>
          <t>CICSA PERU SAC</t>
        </is>
      </c>
      <c r="C4698" t="n">
        <v>20512780114</v>
      </c>
      <c r="D4698" t="inlineStr">
        <is>
          <t>CANTA - CARABAYLLO</t>
        </is>
      </c>
      <c r="E4698" t="inlineStr">
        <is>
          <t>01 de abril del 2026</t>
        </is>
      </c>
      <c r="F4698" t="inlineStr">
        <is>
          <t>la Recarga y mantenimiento</t>
        </is>
      </c>
      <c r="G4698" t="n">
        <v>1</v>
      </c>
      <c r="H4698" t="inlineStr">
        <is>
          <t>20LBS</t>
        </is>
      </c>
      <c r="I4698" t="n">
        <v>2031</v>
      </c>
      <c r="J4698" t="n">
        <v>2018</v>
      </c>
      <c r="K4698" t="inlineStr">
        <is>
          <t>ABRIL 2026</t>
        </is>
      </c>
      <c r="L4698" t="inlineStr">
        <is>
          <t>ABRIL 2027</t>
        </is>
      </c>
      <c r="M4698" t="inlineStr">
        <is>
          <t xml:space="preserve">CO2 TIPO BC </t>
        </is>
      </c>
      <c r="N4698" t="inlineStr">
        <is>
          <t>123/152473</t>
        </is>
      </c>
      <c r="O4698" t="inlineStr">
        <is>
          <t>R</t>
        </is>
      </c>
      <c r="P4698">
        <f>TRIM(N4698)</f>
        <v/>
      </c>
    </row>
    <row r="4699">
      <c r="A4699" t="inlineStr">
        <is>
          <t>CO-002688</t>
        </is>
      </c>
      <c r="B4699" t="inlineStr">
        <is>
          <t>CICSA PERU SAC</t>
        </is>
      </c>
      <c r="C4699" t="n">
        <v>20512780114</v>
      </c>
      <c r="D4699" t="inlineStr">
        <is>
          <t>CANTA - CARABAYLLO</t>
        </is>
      </c>
      <c r="E4699" t="inlineStr">
        <is>
          <t>01 de abril del 2026</t>
        </is>
      </c>
      <c r="F4699" t="inlineStr">
        <is>
          <t>la Recarga y mantenimiento</t>
        </is>
      </c>
      <c r="G4699" t="n">
        <v>2</v>
      </c>
      <c r="H4699" t="inlineStr">
        <is>
          <t>20LBS</t>
        </is>
      </c>
      <c r="I4699" t="n">
        <v>2031</v>
      </c>
      <c r="J4699" t="n">
        <v>2019</v>
      </c>
      <c r="K4699" t="inlineStr">
        <is>
          <t>ABRIL 2026</t>
        </is>
      </c>
      <c r="L4699" t="inlineStr">
        <is>
          <t>ABRIL 2027</t>
        </is>
      </c>
      <c r="M4699" t="inlineStr">
        <is>
          <t xml:space="preserve">CO2 TIPO BC </t>
        </is>
      </c>
      <c r="N4699" t="inlineStr">
        <is>
          <t>124/178752</t>
        </is>
      </c>
      <c r="O4699" t="inlineStr">
        <is>
          <t>R</t>
        </is>
      </c>
      <c r="P4699">
        <f>TRIM(N4699)</f>
        <v/>
      </c>
    </row>
    <row r="4700">
      <c r="A4700" t="inlineStr">
        <is>
          <t>CO-002688</t>
        </is>
      </c>
      <c r="B4700" t="inlineStr">
        <is>
          <t>CICSA PERU SAC</t>
        </is>
      </c>
      <c r="C4700" t="n">
        <v>20512780114</v>
      </c>
      <c r="D4700" t="inlineStr">
        <is>
          <t>CANTA - CARABAYLLO</t>
        </is>
      </c>
      <c r="E4700" t="inlineStr">
        <is>
          <t>01 de abril del 2026</t>
        </is>
      </c>
      <c r="F4700" t="inlineStr">
        <is>
          <t>la Recarga y mantenimiento</t>
        </is>
      </c>
      <c r="G4700" t="n">
        <v>3</v>
      </c>
      <c r="H4700" t="inlineStr">
        <is>
          <t>20LBS</t>
        </is>
      </c>
      <c r="I4700" t="n">
        <v>2029</v>
      </c>
      <c r="J4700" t="n">
        <v>2019</v>
      </c>
      <c r="K4700" t="inlineStr">
        <is>
          <t>ABRIL 2026</t>
        </is>
      </c>
      <c r="L4700" t="inlineStr">
        <is>
          <t>ABRIL 2027</t>
        </is>
      </c>
      <c r="M4700" t="inlineStr">
        <is>
          <t>CO2 TIPO BC</t>
        </is>
      </c>
      <c r="N4700" t="inlineStr">
        <is>
          <t>125/191124</t>
        </is>
      </c>
      <c r="O4700" t="inlineStr">
        <is>
          <t>R</t>
        </is>
      </c>
      <c r="P4700">
        <f>TRIM(N4700)</f>
        <v/>
      </c>
    </row>
    <row r="4701">
      <c r="A4701" t="inlineStr">
        <is>
          <t>CO-002688</t>
        </is>
      </c>
      <c r="B4701" t="inlineStr">
        <is>
          <t>CICSA PERU SAC</t>
        </is>
      </c>
      <c r="C4701" t="n">
        <v>20512780114</v>
      </c>
      <c r="D4701" t="inlineStr">
        <is>
          <t>CANTA - CARABAYLLO</t>
        </is>
      </c>
      <c r="E4701" t="inlineStr">
        <is>
          <t>01 de abril del 2026</t>
        </is>
      </c>
      <c r="F4701" t="inlineStr">
        <is>
          <t>la Recarga y mantenimiento</t>
        </is>
      </c>
      <c r="G4701" t="n">
        <v>4</v>
      </c>
      <c r="H4701" t="inlineStr">
        <is>
          <t>20LBS</t>
        </is>
      </c>
      <c r="I4701" t="n">
        <v>2030</v>
      </c>
      <c r="J4701" t="n">
        <v>2018</v>
      </c>
      <c r="K4701" t="inlineStr">
        <is>
          <t>ABRIL 2026</t>
        </is>
      </c>
      <c r="L4701" t="inlineStr">
        <is>
          <t>ABRIL 2027</t>
        </is>
      </c>
      <c r="M4701" t="inlineStr">
        <is>
          <t>CO2 TIPO BC</t>
        </is>
      </c>
      <c r="N4701" t="inlineStr">
        <is>
          <t>126/141183</t>
        </is>
      </c>
      <c r="O4701" t="inlineStr">
        <is>
          <t>R</t>
        </is>
      </c>
      <c r="P4701">
        <f>TRIM(N4701)</f>
        <v/>
      </c>
    </row>
    <row r="4702">
      <c r="A4702" t="inlineStr">
        <is>
          <t>CO-002688</t>
        </is>
      </c>
      <c r="B4702" t="inlineStr">
        <is>
          <t>CICSA PERU SAC</t>
        </is>
      </c>
      <c r="C4702" t="n">
        <v>20512780114</v>
      </c>
      <c r="D4702" t="inlineStr">
        <is>
          <t>CANTA - CARABAYLLO</t>
        </is>
      </c>
      <c r="E4702" t="inlineStr">
        <is>
          <t>01 de abril del 2026</t>
        </is>
      </c>
      <c r="F4702" t="inlineStr">
        <is>
          <t>la Recarga y mantenimiento</t>
        </is>
      </c>
      <c r="G4702" t="n">
        <v>5</v>
      </c>
      <c r="H4702" t="inlineStr">
        <is>
          <t>20LBS</t>
        </is>
      </c>
      <c r="I4702" t="n">
        <v>2030</v>
      </c>
      <c r="J4702" t="n">
        <v>2019</v>
      </c>
      <c r="K4702" t="inlineStr">
        <is>
          <t>ABRIL 2026</t>
        </is>
      </c>
      <c r="L4702" t="inlineStr">
        <is>
          <t>ABRIL 2027</t>
        </is>
      </c>
      <c r="M4702" t="inlineStr">
        <is>
          <t xml:space="preserve">CO2 TIPO BC </t>
        </is>
      </c>
      <c r="N4702" t="inlineStr">
        <is>
          <t>127/190723</t>
        </is>
      </c>
      <c r="O4702" t="inlineStr">
        <is>
          <t>R</t>
        </is>
      </c>
      <c r="P4702">
        <f>TRIM(N4702)</f>
        <v/>
      </c>
    </row>
    <row r="4703">
      <c r="A4703" t="inlineStr">
        <is>
          <t>CO-002688</t>
        </is>
      </c>
      <c r="B4703" t="inlineStr">
        <is>
          <t>CICSA PERU SAC</t>
        </is>
      </c>
      <c r="C4703" t="n">
        <v>20512780114</v>
      </c>
      <c r="D4703" t="inlineStr">
        <is>
          <t>CANTA - CARABAYLLO</t>
        </is>
      </c>
      <c r="E4703" t="inlineStr">
        <is>
          <t>01 de abril del 2026</t>
        </is>
      </c>
      <c r="F4703" t="inlineStr">
        <is>
          <t>la Recarga y mantenimiento</t>
        </is>
      </c>
      <c r="G4703" t="n">
        <v>6</v>
      </c>
      <c r="H4703" t="inlineStr">
        <is>
          <t>20LBS</t>
        </is>
      </c>
      <c r="I4703" t="n">
        <v>2030</v>
      </c>
      <c r="J4703" t="n">
        <v>2019</v>
      </c>
      <c r="K4703" t="inlineStr">
        <is>
          <t>ABRIL 2026</t>
        </is>
      </c>
      <c r="L4703" t="inlineStr">
        <is>
          <t>ABRIL 2027</t>
        </is>
      </c>
      <c r="M4703" t="inlineStr">
        <is>
          <t>CO2 TIPO BC</t>
        </is>
      </c>
      <c r="N4703" t="inlineStr">
        <is>
          <t>128/178749</t>
        </is>
      </c>
      <c r="O4703" t="inlineStr">
        <is>
          <t>R</t>
        </is>
      </c>
      <c r="P4703">
        <f>TRIM(N4703)</f>
        <v/>
      </c>
    </row>
    <row r="4704">
      <c r="A4704" t="inlineStr">
        <is>
          <t>CO-002688</t>
        </is>
      </c>
      <c r="B4704" t="inlineStr">
        <is>
          <t>CICSA PERU SAC</t>
        </is>
      </c>
      <c r="C4704" t="n">
        <v>20512780114</v>
      </c>
      <c r="D4704" t="inlineStr">
        <is>
          <t>CANTA - CARABAYLLO</t>
        </is>
      </c>
      <c r="E4704" t="inlineStr">
        <is>
          <t>01 de abril del 2026</t>
        </is>
      </c>
      <c r="F4704" t="inlineStr">
        <is>
          <t>la Recarga y mantenimiento</t>
        </is>
      </c>
      <c r="G4704" t="n">
        <v>7</v>
      </c>
      <c r="H4704" t="inlineStr">
        <is>
          <t>20LBS</t>
        </is>
      </c>
      <c r="I4704" t="n">
        <v>2030</v>
      </c>
      <c r="J4704" t="n">
        <v>2019</v>
      </c>
      <c r="K4704" t="inlineStr">
        <is>
          <t>ABRIL 2026</t>
        </is>
      </c>
      <c r="L4704" t="inlineStr">
        <is>
          <t>ABRIL 2027</t>
        </is>
      </c>
      <c r="M4704" t="inlineStr">
        <is>
          <t>CO2 TIPO BC</t>
        </is>
      </c>
      <c r="N4704" t="inlineStr">
        <is>
          <t>129/181246</t>
        </is>
      </c>
      <c r="O4704" t="inlineStr">
        <is>
          <t>R</t>
        </is>
      </c>
      <c r="P4704">
        <f>TRIM(N4704)</f>
        <v/>
      </c>
    </row>
    <row r="4705">
      <c r="A4705" t="inlineStr">
        <is>
          <t>CO-002688</t>
        </is>
      </c>
      <c r="B4705" t="inlineStr">
        <is>
          <t>CICSA PERU SAC</t>
        </is>
      </c>
      <c r="C4705" t="n">
        <v>20512780114</v>
      </c>
      <c r="D4705" t="inlineStr">
        <is>
          <t>CANTA - CARABAYLLO</t>
        </is>
      </c>
      <c r="E4705" t="inlineStr">
        <is>
          <t>01 de abril del 2026</t>
        </is>
      </c>
      <c r="F4705" t="inlineStr">
        <is>
          <t>la Recarga y mantenimiento</t>
        </is>
      </c>
      <c r="G4705" t="n">
        <v>8</v>
      </c>
      <c r="H4705" t="inlineStr">
        <is>
          <t>20LBS</t>
        </is>
      </c>
      <c r="I4705" t="n">
        <v>2030</v>
      </c>
      <c r="J4705" t="n">
        <v>2019</v>
      </c>
      <c r="K4705" t="inlineStr">
        <is>
          <t>ABRIL 2026</t>
        </is>
      </c>
      <c r="L4705" t="inlineStr">
        <is>
          <t>ABRIL 2027</t>
        </is>
      </c>
      <c r="M4705" t="inlineStr">
        <is>
          <t>CO2 TIPO BC</t>
        </is>
      </c>
      <c r="N4705" t="inlineStr">
        <is>
          <t>130/191181</t>
        </is>
      </c>
      <c r="O4705" t="inlineStr">
        <is>
          <t>R</t>
        </is>
      </c>
      <c r="P4705">
        <f>TRIM(N4705)</f>
        <v/>
      </c>
    </row>
    <row r="4706">
      <c r="A4706" t="inlineStr">
        <is>
          <t>CO-002688</t>
        </is>
      </c>
      <c r="B4706" t="inlineStr">
        <is>
          <t>CICSA PERU SAC</t>
        </is>
      </c>
      <c r="C4706" t="n">
        <v>20512780114</v>
      </c>
      <c r="D4706" t="inlineStr">
        <is>
          <t>CANTA - CARABAYLLO</t>
        </is>
      </c>
      <c r="E4706" t="inlineStr">
        <is>
          <t>01 de abril del 2026</t>
        </is>
      </c>
      <c r="F4706" t="inlineStr">
        <is>
          <t>la Recarga y mantenimiento</t>
        </is>
      </c>
      <c r="G4706" t="n">
        <v>9</v>
      </c>
      <c r="H4706" t="inlineStr">
        <is>
          <t>20LBS</t>
        </is>
      </c>
      <c r="I4706" t="n">
        <v>2030</v>
      </c>
      <c r="J4706" t="n">
        <v>2019</v>
      </c>
      <c r="K4706" t="inlineStr">
        <is>
          <t>ABRIL 2026</t>
        </is>
      </c>
      <c r="L4706" t="inlineStr">
        <is>
          <t>ABRIL 2027</t>
        </is>
      </c>
      <c r="M4706" t="inlineStr">
        <is>
          <t>CO2 TIPO BC</t>
        </is>
      </c>
      <c r="N4706" t="inlineStr">
        <is>
          <t>131/179555</t>
        </is>
      </c>
      <c r="O4706" t="inlineStr">
        <is>
          <t>R</t>
        </is>
      </c>
      <c r="P4706">
        <f>TRIM(N4706)</f>
        <v/>
      </c>
    </row>
    <row r="4707">
      <c r="A4707" t="inlineStr">
        <is>
          <t>CO-002688</t>
        </is>
      </c>
      <c r="B4707" t="inlineStr">
        <is>
          <t>CICSA PERU SAC</t>
        </is>
      </c>
      <c r="C4707" t="n">
        <v>20512780114</v>
      </c>
      <c r="D4707" t="inlineStr">
        <is>
          <t>CANTA - CARABAYLLO</t>
        </is>
      </c>
      <c r="E4707" t="inlineStr">
        <is>
          <t>01 de abril del 2026</t>
        </is>
      </c>
      <c r="F4707" t="inlineStr">
        <is>
          <t>la Recarga y mantenimiento</t>
        </is>
      </c>
      <c r="G4707" t="n">
        <v>10</v>
      </c>
      <c r="H4707" t="inlineStr">
        <is>
          <t>20LBS</t>
        </is>
      </c>
      <c r="I4707" t="n">
        <v>2031</v>
      </c>
      <c r="J4707" t="n">
        <v>2019</v>
      </c>
      <c r="K4707" t="inlineStr">
        <is>
          <t>ABRIL 2026</t>
        </is>
      </c>
      <c r="L4707" t="inlineStr">
        <is>
          <t>ABRIL 2027</t>
        </is>
      </c>
      <c r="M4707" t="inlineStr">
        <is>
          <t>CO2 TIPO BC</t>
        </is>
      </c>
      <c r="N4707" t="inlineStr">
        <is>
          <t>133/181248</t>
        </is>
      </c>
      <c r="O4707" t="inlineStr">
        <is>
          <t>R</t>
        </is>
      </c>
      <c r="P4707">
        <f>TRIM(N4707)</f>
        <v/>
      </c>
    </row>
    <row r="4708">
      <c r="A4708" t="inlineStr">
        <is>
          <t>CO-002688</t>
        </is>
      </c>
      <c r="B4708" t="inlineStr">
        <is>
          <t>CICSA PERU SAC</t>
        </is>
      </c>
      <c r="C4708" t="n">
        <v>20512780114</v>
      </c>
      <c r="D4708" t="inlineStr">
        <is>
          <t>CANTA - CARABAYLLO</t>
        </is>
      </c>
      <c r="E4708" t="inlineStr">
        <is>
          <t>01 de abril del 2026</t>
        </is>
      </c>
      <c r="F4708" t="inlineStr">
        <is>
          <t>la Recarga y mantenimiento</t>
        </is>
      </c>
      <c r="G4708" t="n">
        <v>11</v>
      </c>
      <c r="H4708" t="inlineStr">
        <is>
          <t>20LBS</t>
        </is>
      </c>
      <c r="I4708" t="n">
        <v>2031</v>
      </c>
      <c r="J4708" t="n">
        <v>2019</v>
      </c>
      <c r="K4708" t="inlineStr">
        <is>
          <t>ABRIL 2026</t>
        </is>
      </c>
      <c r="L4708" t="inlineStr">
        <is>
          <t>ABRIL 2027</t>
        </is>
      </c>
      <c r="M4708" t="inlineStr">
        <is>
          <t>CO2 TIPO BC</t>
        </is>
      </c>
      <c r="N4708" t="inlineStr">
        <is>
          <t>134/190885</t>
        </is>
      </c>
      <c r="O4708" t="inlineStr">
        <is>
          <t>R</t>
        </is>
      </c>
      <c r="P4708">
        <f>TRIM(N4708)</f>
        <v/>
      </c>
    </row>
    <row r="4709">
      <c r="A4709" t="inlineStr">
        <is>
          <t>CO-002688</t>
        </is>
      </c>
      <c r="B4709" t="inlineStr">
        <is>
          <t>CICSA PERU SAC</t>
        </is>
      </c>
      <c r="C4709" t="n">
        <v>20512780114</v>
      </c>
      <c r="D4709" t="inlineStr">
        <is>
          <t>CANTA - CARABAYLLO</t>
        </is>
      </c>
      <c r="E4709" t="inlineStr">
        <is>
          <t>01 de abril del 2026</t>
        </is>
      </c>
      <c r="F4709" t="inlineStr">
        <is>
          <t>la Recarga y mantenimiento</t>
        </is>
      </c>
      <c r="G4709" t="n">
        <v>12</v>
      </c>
      <c r="H4709" t="inlineStr">
        <is>
          <t>20LBS</t>
        </is>
      </c>
      <c r="I4709" t="n">
        <v>2030</v>
      </c>
      <c r="J4709" t="n">
        <v>2018</v>
      </c>
      <c r="K4709" t="inlineStr">
        <is>
          <t>ABRIL 2026</t>
        </is>
      </c>
      <c r="L4709" t="inlineStr">
        <is>
          <t>ABRIL 2027</t>
        </is>
      </c>
      <c r="M4709" t="inlineStr">
        <is>
          <t>CO2 TIPO BC</t>
        </is>
      </c>
      <c r="N4709" t="inlineStr">
        <is>
          <t>135/148794</t>
        </is>
      </c>
      <c r="O4709" t="inlineStr">
        <is>
          <t>R</t>
        </is>
      </c>
      <c r="P4709">
        <f>TRIM(N4709)</f>
        <v/>
      </c>
    </row>
    <row r="4710">
      <c r="A4710" t="inlineStr">
        <is>
          <t>CO-002688</t>
        </is>
      </c>
      <c r="B4710" t="inlineStr">
        <is>
          <t>CICSA PERU SAC</t>
        </is>
      </c>
      <c r="C4710" t="n">
        <v>20512780114</v>
      </c>
      <c r="D4710" t="inlineStr">
        <is>
          <t>CANTA - CARABAYLLO</t>
        </is>
      </c>
      <c r="E4710" t="inlineStr">
        <is>
          <t>01 de abril del 2026</t>
        </is>
      </c>
      <c r="F4710" t="inlineStr">
        <is>
          <t>la Recarga y mantenimiento</t>
        </is>
      </c>
      <c r="G4710" t="n">
        <v>13</v>
      </c>
      <c r="H4710" t="inlineStr">
        <is>
          <t>20LBS</t>
        </is>
      </c>
      <c r="I4710" t="n">
        <v>2031</v>
      </c>
      <c r="J4710" t="n">
        <v>2019</v>
      </c>
      <c r="K4710" t="inlineStr">
        <is>
          <t>ABRIL 2026</t>
        </is>
      </c>
      <c r="L4710" t="inlineStr">
        <is>
          <t>ABRIL 2027</t>
        </is>
      </c>
      <c r="M4710" t="inlineStr">
        <is>
          <t>CO2 TIPO BC</t>
        </is>
      </c>
      <c r="N4710" t="inlineStr">
        <is>
          <t>136/178826</t>
        </is>
      </c>
      <c r="O4710" t="inlineStr">
        <is>
          <t>R</t>
        </is>
      </c>
      <c r="P4710">
        <f>TRIM(N4710)</f>
        <v/>
      </c>
    </row>
    <row r="4711">
      <c r="A4711" t="inlineStr">
        <is>
          <t>CO-002688</t>
        </is>
      </c>
      <c r="B4711" t="inlineStr">
        <is>
          <t>CICSA PERU SAC</t>
        </is>
      </c>
      <c r="C4711" t="n">
        <v>20512780114</v>
      </c>
      <c r="D4711" t="inlineStr">
        <is>
          <t>CANTA - CARABAYLLO</t>
        </is>
      </c>
      <c r="E4711" t="inlineStr">
        <is>
          <t>01 de abril del 2026</t>
        </is>
      </c>
      <c r="F4711" t="inlineStr">
        <is>
          <t>la Recarga y mantenimiento</t>
        </is>
      </c>
      <c r="G4711" t="n">
        <v>14</v>
      </c>
      <c r="H4711" t="inlineStr">
        <is>
          <t>20LBS</t>
        </is>
      </c>
      <c r="I4711" t="n">
        <v>2024</v>
      </c>
      <c r="J4711" t="n">
        <v>2019</v>
      </c>
      <c r="K4711" t="inlineStr">
        <is>
          <t>ABRIL 2026</t>
        </is>
      </c>
      <c r="L4711" t="inlineStr">
        <is>
          <t>ABRIL 2027</t>
        </is>
      </c>
      <c r="M4711" t="inlineStr">
        <is>
          <t>CO2 TIPO BC</t>
        </is>
      </c>
      <c r="N4711" t="inlineStr">
        <is>
          <t>137/218141</t>
        </is>
      </c>
      <c r="O4711" t="inlineStr">
        <is>
          <t>R</t>
        </is>
      </c>
      <c r="P4711">
        <f>TRIM(N4711)</f>
        <v/>
      </c>
    </row>
    <row r="4712">
      <c r="A4712" t="inlineStr">
        <is>
          <t>CO-002688</t>
        </is>
      </c>
      <c r="B4712" t="inlineStr">
        <is>
          <t>CICSA PERU SAC</t>
        </is>
      </c>
      <c r="C4712" t="n">
        <v>20512780114</v>
      </c>
      <c r="D4712" t="inlineStr">
        <is>
          <t>CANTA - CARABAYLLO</t>
        </is>
      </c>
      <c r="E4712" t="inlineStr">
        <is>
          <t>01 de abril del 2026</t>
        </is>
      </c>
      <c r="F4712" t="inlineStr">
        <is>
          <t>la Recarga y mantenimiento</t>
        </is>
      </c>
      <c r="G4712" t="n">
        <v>15</v>
      </c>
      <c r="H4712" t="inlineStr">
        <is>
          <t>20LBS</t>
        </is>
      </c>
      <c r="I4712" t="n">
        <v>2030</v>
      </c>
      <c r="J4712" t="n">
        <v>2019</v>
      </c>
      <c r="K4712" t="inlineStr">
        <is>
          <t>ABRIL 2026</t>
        </is>
      </c>
      <c r="L4712" t="inlineStr">
        <is>
          <t>ABRIL 2027</t>
        </is>
      </c>
      <c r="M4712" t="inlineStr">
        <is>
          <t>CO2 TIPO BC</t>
        </is>
      </c>
      <c r="N4712" t="inlineStr">
        <is>
          <t>138/190706</t>
        </is>
      </c>
      <c r="O4712" t="inlineStr">
        <is>
          <t>R</t>
        </is>
      </c>
      <c r="P4712">
        <f>TRIM(N4712)</f>
        <v/>
      </c>
    </row>
    <row r="4713">
      <c r="A4713" t="inlineStr">
        <is>
          <t>CO-002689</t>
        </is>
      </c>
      <c r="B4713" t="inlineStr">
        <is>
          <t>CICSA PERU SAC</t>
        </is>
      </c>
      <c r="C4713" t="n">
        <v>20512780114</v>
      </c>
      <c r="D4713" t="inlineStr">
        <is>
          <t>CANTA - CARABAYLLO</t>
        </is>
      </c>
      <c r="E4713" t="inlineStr">
        <is>
          <t>01 de abril del 2026</t>
        </is>
      </c>
      <c r="F4713" t="inlineStr">
        <is>
          <t>la Recarga y mantenimiento</t>
        </is>
      </c>
      <c r="G4713" t="n">
        <v>1</v>
      </c>
      <c r="H4713" t="inlineStr">
        <is>
          <t>20LBS</t>
        </is>
      </c>
      <c r="I4713" t="n">
        <v>2030</v>
      </c>
      <c r="J4713" t="n">
        <v>2019</v>
      </c>
      <c r="K4713" t="inlineStr">
        <is>
          <t>ABRIL 2026</t>
        </is>
      </c>
      <c r="L4713" t="inlineStr">
        <is>
          <t>ABRIL 2027</t>
        </is>
      </c>
      <c r="M4713" t="inlineStr">
        <is>
          <t>CO2 TIPO BC</t>
        </is>
      </c>
      <c r="N4713" t="inlineStr">
        <is>
          <t>139/178836</t>
        </is>
      </c>
      <c r="O4713" t="inlineStr">
        <is>
          <t>R</t>
        </is>
      </c>
      <c r="P4713">
        <f>TRIM(N4713)</f>
        <v/>
      </c>
    </row>
    <row r="4714">
      <c r="A4714" t="inlineStr">
        <is>
          <t>CO-002689</t>
        </is>
      </c>
      <c r="B4714" t="inlineStr">
        <is>
          <t>CICSA PERU SAC</t>
        </is>
      </c>
      <c r="C4714" t="n">
        <v>20512780114</v>
      </c>
      <c r="D4714" t="inlineStr">
        <is>
          <t>CANTA - CARABAYLLO</t>
        </is>
      </c>
      <c r="E4714" t="inlineStr">
        <is>
          <t>01 de abril del 2026</t>
        </is>
      </c>
      <c r="F4714" t="inlineStr">
        <is>
          <t>la Recarga y mantenimiento</t>
        </is>
      </c>
      <c r="G4714" t="n">
        <v>2</v>
      </c>
      <c r="H4714" t="inlineStr">
        <is>
          <t>20LBS</t>
        </is>
      </c>
      <c r="I4714" t="n">
        <v>2030</v>
      </c>
      <c r="J4714" t="n">
        <v>2019</v>
      </c>
      <c r="K4714" t="inlineStr">
        <is>
          <t>ABRIL 2026</t>
        </is>
      </c>
      <c r="L4714" t="inlineStr">
        <is>
          <t>ABRIL 2027</t>
        </is>
      </c>
      <c r="M4714" t="inlineStr">
        <is>
          <t>CO2 TIPO BC</t>
        </is>
      </c>
      <c r="N4714" t="inlineStr">
        <is>
          <t>140/178864</t>
        </is>
      </c>
      <c r="O4714" t="inlineStr">
        <is>
          <t>R</t>
        </is>
      </c>
      <c r="P4714">
        <f>TRIM(N4714)</f>
        <v/>
      </c>
    </row>
    <row r="4715">
      <c r="A4715" t="inlineStr">
        <is>
          <t>CO-002689</t>
        </is>
      </c>
      <c r="B4715" t="inlineStr">
        <is>
          <t>CICSA PERU SAC</t>
        </is>
      </c>
      <c r="C4715" t="n">
        <v>20512780114</v>
      </c>
      <c r="D4715" t="inlineStr">
        <is>
          <t>CANTA - CARABAYLLO</t>
        </is>
      </c>
      <c r="E4715" t="inlineStr">
        <is>
          <t>01 de abril del 2026</t>
        </is>
      </c>
      <c r="F4715" t="inlineStr">
        <is>
          <t>la Recarga y mantenimiento</t>
        </is>
      </c>
      <c r="G4715" t="n">
        <v>3</v>
      </c>
      <c r="H4715" t="inlineStr">
        <is>
          <t>20LBS</t>
        </is>
      </c>
      <c r="I4715" t="n">
        <v>2030</v>
      </c>
      <c r="J4715" t="n">
        <v>2019</v>
      </c>
      <c r="K4715" t="inlineStr">
        <is>
          <t>ABRIL 2026</t>
        </is>
      </c>
      <c r="L4715" t="inlineStr">
        <is>
          <t>ABRIL 2027</t>
        </is>
      </c>
      <c r="M4715" t="inlineStr">
        <is>
          <t>CO2 TIPO BC</t>
        </is>
      </c>
      <c r="N4715" t="inlineStr">
        <is>
          <t>141/190969</t>
        </is>
      </c>
      <c r="O4715" t="inlineStr">
        <is>
          <t>R</t>
        </is>
      </c>
      <c r="P4715">
        <f>TRIM(N4715)</f>
        <v/>
      </c>
    </row>
    <row r="4716">
      <c r="A4716" t="inlineStr">
        <is>
          <t>CO-002689</t>
        </is>
      </c>
      <c r="B4716" t="inlineStr">
        <is>
          <t>CICSA PERU SAC</t>
        </is>
      </c>
      <c r="C4716" t="n">
        <v>20512780114</v>
      </c>
      <c r="D4716" t="inlineStr">
        <is>
          <t>CANTA - CARABAYLLO</t>
        </is>
      </c>
      <c r="E4716" t="inlineStr">
        <is>
          <t>01 de abril del 2026</t>
        </is>
      </c>
      <c r="F4716" t="inlineStr">
        <is>
          <t>la Recarga y mantenimiento</t>
        </is>
      </c>
      <c r="G4716" t="n">
        <v>4</v>
      </c>
      <c r="H4716" t="inlineStr">
        <is>
          <t>20LBS</t>
        </is>
      </c>
      <c r="I4716" t="n">
        <v>2030</v>
      </c>
      <c r="J4716" t="n">
        <v>2019</v>
      </c>
      <c r="K4716" t="inlineStr">
        <is>
          <t>ABRIL 2026</t>
        </is>
      </c>
      <c r="L4716" t="inlineStr">
        <is>
          <t>ABRIL 2027</t>
        </is>
      </c>
      <c r="M4716" t="inlineStr">
        <is>
          <t>CO2 TIPO BC</t>
        </is>
      </c>
      <c r="N4716" t="inlineStr">
        <is>
          <t>142/191214</t>
        </is>
      </c>
      <c r="O4716" t="inlineStr">
        <is>
          <t>R</t>
        </is>
      </c>
      <c r="P4716">
        <f>TRIM(N4716)</f>
        <v/>
      </c>
    </row>
    <row r="4717">
      <c r="A4717" t="inlineStr">
        <is>
          <t>CO-002689</t>
        </is>
      </c>
      <c r="B4717" t="inlineStr">
        <is>
          <t>CICSA PERU SAC</t>
        </is>
      </c>
      <c r="C4717" t="n">
        <v>20512780114</v>
      </c>
      <c r="D4717" t="inlineStr">
        <is>
          <t>CANTA - CARABAYLLO</t>
        </is>
      </c>
      <c r="E4717" t="inlineStr">
        <is>
          <t>01 de abril del 2026</t>
        </is>
      </c>
      <c r="F4717" t="inlineStr">
        <is>
          <t>la Recarga y mantenimiento</t>
        </is>
      </c>
      <c r="G4717" t="n">
        <v>5</v>
      </c>
      <c r="H4717" t="inlineStr">
        <is>
          <t>20LBS</t>
        </is>
      </c>
      <c r="I4717" t="n">
        <v>2030</v>
      </c>
      <c r="J4717" t="n">
        <v>2018</v>
      </c>
      <c r="K4717" t="inlineStr">
        <is>
          <t>ABRIL 2026</t>
        </is>
      </c>
      <c r="L4717" t="inlineStr">
        <is>
          <t>ABRIL 2027</t>
        </is>
      </c>
      <c r="M4717" t="inlineStr">
        <is>
          <t>CO2 TIPO BC</t>
        </is>
      </c>
      <c r="N4717" t="inlineStr">
        <is>
          <t>143/148784</t>
        </is>
      </c>
      <c r="O4717" t="inlineStr">
        <is>
          <t>R</t>
        </is>
      </c>
      <c r="P4717">
        <f>TRIM(N4717)</f>
        <v/>
      </c>
    </row>
    <row r="4718">
      <c r="A4718" t="inlineStr">
        <is>
          <t>CO-002689</t>
        </is>
      </c>
      <c r="B4718" t="inlineStr">
        <is>
          <t>CICSA PERU SAC</t>
        </is>
      </c>
      <c r="C4718" t="n">
        <v>20512780114</v>
      </c>
      <c r="D4718" t="inlineStr">
        <is>
          <t>CANTA - CARABAYLLO</t>
        </is>
      </c>
      <c r="E4718" t="inlineStr">
        <is>
          <t>01 de abril del 2026</t>
        </is>
      </c>
      <c r="F4718" t="inlineStr">
        <is>
          <t>la Recarga y mantenimiento</t>
        </is>
      </c>
      <c r="G4718" t="n">
        <v>6</v>
      </c>
      <c r="H4718" t="inlineStr">
        <is>
          <t>20LBS</t>
        </is>
      </c>
      <c r="I4718" t="n">
        <v>2030</v>
      </c>
      <c r="J4718" t="n">
        <v>2019</v>
      </c>
      <c r="K4718" t="inlineStr">
        <is>
          <t>ABRIL 2026</t>
        </is>
      </c>
      <c r="L4718" t="inlineStr">
        <is>
          <t>ABRIL 2027</t>
        </is>
      </c>
      <c r="M4718" t="inlineStr">
        <is>
          <t>CO2 TIPO BC</t>
        </is>
      </c>
      <c r="N4718" t="inlineStr">
        <is>
          <t>144/191140</t>
        </is>
      </c>
      <c r="O4718" t="inlineStr">
        <is>
          <t>R</t>
        </is>
      </c>
      <c r="P4718">
        <f>TRIM(N4718)</f>
        <v/>
      </c>
    </row>
    <row r="4719">
      <c r="A4719" t="inlineStr">
        <is>
          <t>CO-002689</t>
        </is>
      </c>
      <c r="B4719" t="inlineStr">
        <is>
          <t>CICSA PERU SAC</t>
        </is>
      </c>
      <c r="C4719" t="n">
        <v>20512780114</v>
      </c>
      <c r="D4719" t="inlineStr">
        <is>
          <t>CANTA - CARABAYLLO</t>
        </is>
      </c>
      <c r="E4719" t="inlineStr">
        <is>
          <t>01 de abril del 2026</t>
        </is>
      </c>
      <c r="F4719" t="inlineStr">
        <is>
          <t>la Recarga y mantenimiento</t>
        </is>
      </c>
      <c r="G4719" t="n">
        <v>7</v>
      </c>
      <c r="H4719" t="inlineStr">
        <is>
          <t>20LBS</t>
        </is>
      </c>
      <c r="I4719" t="n">
        <v>2030</v>
      </c>
      <c r="J4719" t="n">
        <v>2019</v>
      </c>
      <c r="K4719" t="inlineStr">
        <is>
          <t>ABRIL 2026</t>
        </is>
      </c>
      <c r="L4719" t="inlineStr">
        <is>
          <t>ABRIL 2027</t>
        </is>
      </c>
      <c r="M4719" t="inlineStr">
        <is>
          <t xml:space="preserve">CO2 TIPO BC </t>
        </is>
      </c>
      <c r="N4719" t="inlineStr">
        <is>
          <t>145/191604</t>
        </is>
      </c>
      <c r="O4719" t="inlineStr">
        <is>
          <t>R</t>
        </is>
      </c>
      <c r="P4719">
        <f>TRIM(N4719)</f>
        <v/>
      </c>
    </row>
    <row r="4720">
      <c r="A4720" t="inlineStr">
        <is>
          <t>CO-002689</t>
        </is>
      </c>
      <c r="B4720" t="inlineStr">
        <is>
          <t>CICSA PERU SAC</t>
        </is>
      </c>
      <c r="C4720" t="n">
        <v>20512780114</v>
      </c>
      <c r="D4720" t="inlineStr">
        <is>
          <t>CANTA - CARABAYLLO</t>
        </is>
      </c>
      <c r="E4720" t="inlineStr">
        <is>
          <t>01 de abril del 2026</t>
        </is>
      </c>
      <c r="F4720" t="inlineStr">
        <is>
          <t>la Recarga y mantenimiento</t>
        </is>
      </c>
      <c r="G4720" t="n">
        <v>8</v>
      </c>
      <c r="H4720" t="inlineStr">
        <is>
          <t>20LBS</t>
        </is>
      </c>
      <c r="I4720" t="n">
        <v>2029</v>
      </c>
      <c r="J4720" t="n">
        <v>2019</v>
      </c>
      <c r="K4720" t="inlineStr">
        <is>
          <t>ABRIL 2026</t>
        </is>
      </c>
      <c r="L4720" t="inlineStr">
        <is>
          <t>ABRIL 2027</t>
        </is>
      </c>
      <c r="M4720" t="inlineStr">
        <is>
          <t>CO2 TIPO BC</t>
        </is>
      </c>
      <c r="N4720" t="inlineStr">
        <is>
          <t>146/190957</t>
        </is>
      </c>
      <c r="O4720" t="inlineStr">
        <is>
          <t>R</t>
        </is>
      </c>
      <c r="P4720">
        <f>TRIM(N4720)</f>
        <v/>
      </c>
    </row>
    <row r="4721">
      <c r="A4721" t="inlineStr">
        <is>
          <t>CO-002689</t>
        </is>
      </c>
      <c r="B4721" t="inlineStr">
        <is>
          <t>CICSA PERU SAC</t>
        </is>
      </c>
      <c r="C4721" t="n">
        <v>20512780114</v>
      </c>
      <c r="D4721" t="inlineStr">
        <is>
          <t>CANTA - CARABAYLLO</t>
        </is>
      </c>
      <c r="E4721" t="inlineStr">
        <is>
          <t>01 de abril del 2026</t>
        </is>
      </c>
      <c r="F4721" t="inlineStr">
        <is>
          <t>la Recarga y mantenimiento</t>
        </is>
      </c>
      <c r="G4721" t="n">
        <v>9</v>
      </c>
      <c r="H4721" t="inlineStr">
        <is>
          <t>20LBS</t>
        </is>
      </c>
      <c r="I4721" t="n">
        <v>2031</v>
      </c>
      <c r="J4721" t="n">
        <v>2018</v>
      </c>
      <c r="K4721" t="inlineStr">
        <is>
          <t>ABRIL 2026</t>
        </is>
      </c>
      <c r="L4721" t="inlineStr">
        <is>
          <t>ABRIL 2027</t>
        </is>
      </c>
      <c r="M4721" t="inlineStr">
        <is>
          <t xml:space="preserve">CO2 TIPO BC </t>
        </is>
      </c>
      <c r="N4721" t="inlineStr">
        <is>
          <t>147/148779</t>
        </is>
      </c>
      <c r="O4721" t="inlineStr">
        <is>
          <t>R</t>
        </is>
      </c>
      <c r="P4721">
        <f>TRIM(N4721)</f>
        <v/>
      </c>
    </row>
    <row r="4722">
      <c r="A4722" t="inlineStr">
        <is>
          <t>CO-002689</t>
        </is>
      </c>
      <c r="B4722" t="inlineStr">
        <is>
          <t>CICSA PERU SAC</t>
        </is>
      </c>
      <c r="C4722" t="n">
        <v>20512780114</v>
      </c>
      <c r="D4722" t="inlineStr">
        <is>
          <t>CANTA - CARABAYLLO</t>
        </is>
      </c>
      <c r="E4722" t="inlineStr">
        <is>
          <t>01 de abril del 2026</t>
        </is>
      </c>
      <c r="F4722" t="inlineStr">
        <is>
          <t>la Recarga y mantenimiento</t>
        </is>
      </c>
      <c r="G4722" t="n">
        <v>10</v>
      </c>
      <c r="H4722" t="inlineStr">
        <is>
          <t>20LBS</t>
        </is>
      </c>
      <c r="I4722" t="n">
        <v>2030</v>
      </c>
      <c r="J4722" t="n">
        <v>2019</v>
      </c>
      <c r="K4722" t="inlineStr">
        <is>
          <t>ABRIL 2026</t>
        </is>
      </c>
      <c r="L4722" t="inlineStr">
        <is>
          <t>ABRIL 2027</t>
        </is>
      </c>
      <c r="M4722" t="inlineStr">
        <is>
          <t>CO2 TIPO BC</t>
        </is>
      </c>
      <c r="N4722" t="inlineStr">
        <is>
          <t>148/191095</t>
        </is>
      </c>
      <c r="O4722" t="inlineStr">
        <is>
          <t>R</t>
        </is>
      </c>
      <c r="P4722">
        <f>TRIM(N4722)</f>
        <v/>
      </c>
    </row>
    <row r="4723">
      <c r="A4723" t="inlineStr">
        <is>
          <t>CO-002689</t>
        </is>
      </c>
      <c r="B4723" t="inlineStr">
        <is>
          <t>CICSA PERU SAC</t>
        </is>
      </c>
      <c r="C4723" t="n">
        <v>20512780114</v>
      </c>
      <c r="D4723" t="inlineStr">
        <is>
          <t>CANTA - CARABAYLLO</t>
        </is>
      </c>
      <c r="E4723" t="inlineStr">
        <is>
          <t>01 de abril del 2026</t>
        </is>
      </c>
      <c r="F4723" t="inlineStr">
        <is>
          <t>la Recarga y mantenimiento</t>
        </is>
      </c>
      <c r="G4723" t="n">
        <v>11</v>
      </c>
      <c r="H4723" t="inlineStr">
        <is>
          <t>20LBS</t>
        </is>
      </c>
      <c r="I4723" t="n">
        <v>2029</v>
      </c>
      <c r="J4723" t="n">
        <v>2019</v>
      </c>
      <c r="K4723" t="inlineStr">
        <is>
          <t>ABRIL 2026</t>
        </is>
      </c>
      <c r="L4723" t="inlineStr">
        <is>
          <t>ABRIL 2027</t>
        </is>
      </c>
      <c r="M4723" t="inlineStr">
        <is>
          <t>CO2 TIPO BC</t>
        </is>
      </c>
      <c r="N4723" t="inlineStr">
        <is>
          <t>149/178750</t>
        </is>
      </c>
      <c r="O4723" t="inlineStr">
        <is>
          <t>R</t>
        </is>
      </c>
      <c r="P4723">
        <f>TRIM(N4723)</f>
        <v/>
      </c>
    </row>
    <row r="4724">
      <c r="A4724" t="inlineStr">
        <is>
          <t>CO-002689</t>
        </is>
      </c>
      <c r="B4724" t="inlineStr">
        <is>
          <t>CICSA PERU SAC</t>
        </is>
      </c>
      <c r="C4724" t="n">
        <v>20512780114</v>
      </c>
      <c r="D4724" t="inlineStr">
        <is>
          <t>CANTA - CARABAYLLO</t>
        </is>
      </c>
      <c r="E4724" t="inlineStr">
        <is>
          <t>01 de abril del 2026</t>
        </is>
      </c>
      <c r="F4724" t="inlineStr">
        <is>
          <t>la Recarga y mantenimiento</t>
        </is>
      </c>
      <c r="G4724" t="n">
        <v>12</v>
      </c>
      <c r="H4724" t="inlineStr">
        <is>
          <t>20LBS</t>
        </is>
      </c>
      <c r="I4724" t="n">
        <v>2030</v>
      </c>
      <c r="J4724" t="n">
        <v>2018</v>
      </c>
      <c r="K4724" t="inlineStr">
        <is>
          <t>ABRIL 2026</t>
        </is>
      </c>
      <c r="L4724" t="inlineStr">
        <is>
          <t>ABRIL 2027</t>
        </is>
      </c>
      <c r="M4724" t="inlineStr">
        <is>
          <t>CO2 TIPO BC</t>
        </is>
      </c>
      <c r="N4724" t="inlineStr">
        <is>
          <t>150/141185</t>
        </is>
      </c>
      <c r="O4724" t="inlineStr">
        <is>
          <t>R</t>
        </is>
      </c>
      <c r="P4724">
        <f>TRIM(N4724)</f>
        <v/>
      </c>
    </row>
    <row r="4725">
      <c r="A4725" t="inlineStr">
        <is>
          <t>CO-002689</t>
        </is>
      </c>
      <c r="B4725" t="inlineStr">
        <is>
          <t>CICSA PERU SAC</t>
        </is>
      </c>
      <c r="C4725" t="n">
        <v>20512780114</v>
      </c>
      <c r="D4725" t="inlineStr">
        <is>
          <t>CANTA - CARABAYLLO</t>
        </is>
      </c>
      <c r="E4725" t="inlineStr">
        <is>
          <t>01 de abril del 2026</t>
        </is>
      </c>
      <c r="F4725" t="inlineStr">
        <is>
          <t>la Recarga y mantenimiento</t>
        </is>
      </c>
      <c r="G4725" t="n">
        <v>13</v>
      </c>
      <c r="H4725" t="inlineStr">
        <is>
          <t>20LBS</t>
        </is>
      </c>
      <c r="I4725" t="n">
        <v>2030</v>
      </c>
      <c r="J4725" t="n">
        <v>2019</v>
      </c>
      <c r="K4725" t="inlineStr">
        <is>
          <t>ABRIL 2026</t>
        </is>
      </c>
      <c r="L4725" t="inlineStr">
        <is>
          <t>ABRIL 2027</t>
        </is>
      </c>
      <c r="M4725" t="inlineStr">
        <is>
          <t>CO2 TIPO BC</t>
        </is>
      </c>
      <c r="N4725" t="inlineStr">
        <is>
          <t>152/181303</t>
        </is>
      </c>
      <c r="O4725" t="inlineStr">
        <is>
          <t>R</t>
        </is>
      </c>
      <c r="P4725">
        <f>TRIM(N4725)</f>
        <v/>
      </c>
    </row>
    <row r="4726">
      <c r="A4726" t="inlineStr">
        <is>
          <t>CO-002689</t>
        </is>
      </c>
      <c r="B4726" t="inlineStr">
        <is>
          <t>CICSA PERU SAC</t>
        </is>
      </c>
      <c r="C4726" t="n">
        <v>20512780114</v>
      </c>
      <c r="D4726" t="inlineStr">
        <is>
          <t>CANTA - CARABAYLLO</t>
        </is>
      </c>
      <c r="E4726" t="inlineStr">
        <is>
          <t>01 de abril del 2026</t>
        </is>
      </c>
      <c r="F4726" t="inlineStr">
        <is>
          <t>la Recarga y mantenimiento</t>
        </is>
      </c>
      <c r="G4726" t="n">
        <v>14</v>
      </c>
      <c r="H4726" t="inlineStr">
        <is>
          <t>20LBS</t>
        </is>
      </c>
      <c r="I4726" t="n">
        <v>2031</v>
      </c>
      <c r="J4726" t="n">
        <v>2019</v>
      </c>
      <c r="K4726" t="inlineStr">
        <is>
          <t>ABRIL 2026</t>
        </is>
      </c>
      <c r="L4726" t="inlineStr">
        <is>
          <t>ABRIL 2027</t>
        </is>
      </c>
      <c r="M4726" t="inlineStr">
        <is>
          <t>CO2 TIPO BC</t>
        </is>
      </c>
      <c r="N4726" t="inlineStr">
        <is>
          <t>153/191207</t>
        </is>
      </c>
      <c r="O4726" t="inlineStr">
        <is>
          <t>R</t>
        </is>
      </c>
      <c r="P4726">
        <f>TRIM(N4726)</f>
        <v/>
      </c>
    </row>
    <row r="4727">
      <c r="A4727" t="inlineStr">
        <is>
          <t>CO-002690</t>
        </is>
      </c>
      <c r="B4727" t="inlineStr">
        <is>
          <t>CICSA PERU SAC</t>
        </is>
      </c>
      <c r="C4727" t="n">
        <v>20512780114</v>
      </c>
      <c r="D4727" t="inlineStr">
        <is>
          <t>CANTA - CARABAYLLO</t>
        </is>
      </c>
      <c r="E4727" t="inlineStr">
        <is>
          <t>07 de abril del 2026</t>
        </is>
      </c>
      <c r="F4727" t="inlineStr">
        <is>
          <t>la Recarga y mantenimiento</t>
        </is>
      </c>
      <c r="G4727" t="n">
        <v>1</v>
      </c>
      <c r="H4727" t="inlineStr">
        <is>
          <t>20LBS</t>
        </is>
      </c>
      <c r="I4727" t="n">
        <v>2030</v>
      </c>
      <c r="J4727" t="n">
        <v>2019</v>
      </c>
      <c r="K4727" t="inlineStr">
        <is>
          <t>ABRIL 2026</t>
        </is>
      </c>
      <c r="L4727" t="inlineStr">
        <is>
          <t>ABRIL 2027</t>
        </is>
      </c>
      <c r="M4727" t="inlineStr">
        <is>
          <t>CO2 TIPO BC</t>
        </is>
      </c>
      <c r="N4727" t="inlineStr">
        <is>
          <t>174/178862</t>
        </is>
      </c>
      <c r="O4727" t="inlineStr">
        <is>
          <t>R</t>
        </is>
      </c>
      <c r="P4727">
        <f>TRIM(N4727)</f>
        <v/>
      </c>
    </row>
    <row r="4728">
      <c r="A4728" t="inlineStr">
        <is>
          <t>CO-002690</t>
        </is>
      </c>
      <c r="B4728" t="inlineStr">
        <is>
          <t>CICSA PERU SAC</t>
        </is>
      </c>
      <c r="C4728" t="n">
        <v>20512780114</v>
      </c>
      <c r="D4728" t="inlineStr">
        <is>
          <t>CANTA - CARABAYLLO</t>
        </is>
      </c>
      <c r="E4728" t="inlineStr">
        <is>
          <t>07 de abril del 2026</t>
        </is>
      </c>
      <c r="F4728" t="inlineStr">
        <is>
          <t>la Recarga y mantenimiento</t>
        </is>
      </c>
      <c r="G4728" t="n">
        <v>2</v>
      </c>
      <c r="H4728" t="inlineStr">
        <is>
          <t>20LBS</t>
        </is>
      </c>
      <c r="I4728" t="n">
        <v>2030</v>
      </c>
      <c r="J4728" t="n">
        <v>2019</v>
      </c>
      <c r="K4728" t="inlineStr">
        <is>
          <t>ABRIL 2026</t>
        </is>
      </c>
      <c r="L4728" t="inlineStr">
        <is>
          <t>ABRIL 2027</t>
        </is>
      </c>
      <c r="M4728" t="inlineStr">
        <is>
          <t>CO2 TIPO BC</t>
        </is>
      </c>
      <c r="N4728" t="inlineStr">
        <is>
          <t>175/190884</t>
        </is>
      </c>
      <c r="O4728" t="inlineStr">
        <is>
          <t>R</t>
        </is>
      </c>
      <c r="P4728">
        <f>TRIM(N4728)</f>
        <v/>
      </c>
    </row>
    <row r="4729">
      <c r="A4729" t="inlineStr">
        <is>
          <t>CO-002690</t>
        </is>
      </c>
      <c r="B4729" t="inlineStr">
        <is>
          <t>CICSA PERU SAC</t>
        </is>
      </c>
      <c r="C4729" t="n">
        <v>20512780114</v>
      </c>
      <c r="D4729" t="inlineStr">
        <is>
          <t>CANTA - CARABAYLLO</t>
        </is>
      </c>
      <c r="E4729" t="inlineStr">
        <is>
          <t>07 de abril del 2026</t>
        </is>
      </c>
      <c r="F4729" t="inlineStr">
        <is>
          <t>la Recarga y mantenimiento</t>
        </is>
      </c>
      <c r="G4729" t="n">
        <v>3</v>
      </c>
      <c r="H4729" t="inlineStr">
        <is>
          <t>20LBS</t>
        </is>
      </c>
      <c r="I4729" t="n">
        <v>2030</v>
      </c>
      <c r="J4729" t="n">
        <v>2019</v>
      </c>
      <c r="K4729" t="inlineStr">
        <is>
          <t>ABRIL 2026</t>
        </is>
      </c>
      <c r="L4729" t="inlineStr">
        <is>
          <t>ABRIL 2027</t>
        </is>
      </c>
      <c r="M4729" t="inlineStr">
        <is>
          <t xml:space="preserve">CO2 TIPO BC </t>
        </is>
      </c>
      <c r="N4729" t="inlineStr">
        <is>
          <t>176/191253</t>
        </is>
      </c>
      <c r="O4729" t="inlineStr">
        <is>
          <t>R</t>
        </is>
      </c>
      <c r="P4729">
        <f>TRIM(N4729)</f>
        <v/>
      </c>
    </row>
    <row r="4730">
      <c r="A4730" t="inlineStr">
        <is>
          <t>CO-002690</t>
        </is>
      </c>
      <c r="B4730" t="inlineStr">
        <is>
          <t>CICSA PERU SAC</t>
        </is>
      </c>
      <c r="C4730" t="n">
        <v>20512780114</v>
      </c>
      <c r="D4730" t="inlineStr">
        <is>
          <t>CANTA - CARABAYLLO</t>
        </is>
      </c>
      <c r="E4730" t="inlineStr">
        <is>
          <t>07 de abril del 2026</t>
        </is>
      </c>
      <c r="F4730" t="inlineStr">
        <is>
          <t>la Recarga y mantenimiento</t>
        </is>
      </c>
      <c r="G4730" t="n">
        <v>4</v>
      </c>
      <c r="H4730" t="inlineStr">
        <is>
          <t>20LBS</t>
        </is>
      </c>
      <c r="I4730" t="n">
        <v>2030</v>
      </c>
      <c r="J4730" t="n">
        <v>2018</v>
      </c>
      <c r="K4730" t="inlineStr">
        <is>
          <t>ABRIL 2026</t>
        </is>
      </c>
      <c r="L4730" t="inlineStr">
        <is>
          <t>ABRIL 2027</t>
        </is>
      </c>
      <c r="M4730" t="inlineStr">
        <is>
          <t>CO2 TIPO BC</t>
        </is>
      </c>
      <c r="N4730" t="inlineStr">
        <is>
          <t>177/152402</t>
        </is>
      </c>
      <c r="O4730" t="inlineStr">
        <is>
          <t>R</t>
        </is>
      </c>
      <c r="P4730">
        <f>TRIM(N4730)</f>
        <v/>
      </c>
    </row>
    <row r="4731">
      <c r="A4731" t="inlineStr">
        <is>
          <t>CO-002690</t>
        </is>
      </c>
      <c r="B4731" t="inlineStr">
        <is>
          <t>CICSA PERU SAC</t>
        </is>
      </c>
      <c r="C4731" t="n">
        <v>20512780114</v>
      </c>
      <c r="D4731" t="inlineStr">
        <is>
          <t>CANTA - CARABAYLLO</t>
        </is>
      </c>
      <c r="E4731" t="inlineStr">
        <is>
          <t>07 de abril del 2026</t>
        </is>
      </c>
      <c r="F4731" t="inlineStr">
        <is>
          <t>la Recarga y mantenimiento</t>
        </is>
      </c>
      <c r="G4731" t="n">
        <v>5</v>
      </c>
      <c r="H4731" t="inlineStr">
        <is>
          <t>20LBS</t>
        </is>
      </c>
      <c r="I4731" t="n">
        <v>2030</v>
      </c>
      <c r="J4731" t="n">
        <v>2019</v>
      </c>
      <c r="K4731" t="inlineStr">
        <is>
          <t>ABRIL 2026</t>
        </is>
      </c>
      <c r="L4731" t="inlineStr">
        <is>
          <t>ABRIL 2027</t>
        </is>
      </c>
      <c r="M4731" t="inlineStr">
        <is>
          <t>CO2 TIPO BC</t>
        </is>
      </c>
      <c r="N4731" t="inlineStr">
        <is>
          <t>178/191242</t>
        </is>
      </c>
      <c r="O4731" t="inlineStr">
        <is>
          <t>R</t>
        </is>
      </c>
      <c r="P4731">
        <f>TRIM(N4731)</f>
        <v/>
      </c>
    </row>
    <row r="4732">
      <c r="A4732" t="inlineStr">
        <is>
          <t>CO-002690</t>
        </is>
      </c>
      <c r="B4732" t="inlineStr">
        <is>
          <t>CICSA PERU SAC</t>
        </is>
      </c>
      <c r="C4732" t="n">
        <v>20512780114</v>
      </c>
      <c r="D4732" t="inlineStr">
        <is>
          <t>CANTA - CARABAYLLO</t>
        </is>
      </c>
      <c r="E4732" t="inlineStr">
        <is>
          <t>07 de abril del 2026</t>
        </is>
      </c>
      <c r="F4732" t="inlineStr">
        <is>
          <t>la Recarga y mantenimiento</t>
        </is>
      </c>
      <c r="G4732" t="n">
        <v>6</v>
      </c>
      <c r="H4732" t="inlineStr">
        <is>
          <t>20LBS</t>
        </is>
      </c>
      <c r="I4732" t="n">
        <v>2030</v>
      </c>
      <c r="J4732" t="n">
        <v>2018</v>
      </c>
      <c r="K4732" t="inlineStr">
        <is>
          <t>ABRIL 2026</t>
        </is>
      </c>
      <c r="L4732" t="inlineStr">
        <is>
          <t>ABRIL 2027</t>
        </is>
      </c>
      <c r="M4732" t="inlineStr">
        <is>
          <t>CO2 TIPO BC</t>
        </is>
      </c>
      <c r="N4732" t="inlineStr">
        <is>
          <t>179/148871</t>
        </is>
      </c>
      <c r="O4732" t="inlineStr">
        <is>
          <t>R</t>
        </is>
      </c>
      <c r="P4732">
        <f>TRIM(N4732)</f>
        <v/>
      </c>
    </row>
    <row r="4733">
      <c r="A4733" t="inlineStr">
        <is>
          <t>CO-002690</t>
        </is>
      </c>
      <c r="B4733" t="inlineStr">
        <is>
          <t>CICSA PERU SAC</t>
        </is>
      </c>
      <c r="C4733" t="n">
        <v>20512780114</v>
      </c>
      <c r="D4733" t="inlineStr">
        <is>
          <t>CANTA - CARABAYLLO</t>
        </is>
      </c>
      <c r="E4733" t="inlineStr">
        <is>
          <t>07 de abril del 2026</t>
        </is>
      </c>
      <c r="F4733" t="inlineStr">
        <is>
          <t>la Recarga y mantenimiento</t>
        </is>
      </c>
      <c r="G4733" t="n">
        <v>7</v>
      </c>
      <c r="H4733" t="inlineStr">
        <is>
          <t>20LBS</t>
        </is>
      </c>
      <c r="I4733" t="n">
        <v>2031</v>
      </c>
      <c r="J4733" t="n">
        <v>2019</v>
      </c>
      <c r="K4733" t="inlineStr">
        <is>
          <t>ABRIL 2026</t>
        </is>
      </c>
      <c r="L4733" t="inlineStr">
        <is>
          <t>ABRIL 2027</t>
        </is>
      </c>
      <c r="M4733" t="inlineStr">
        <is>
          <t>CO2 TIPO BC</t>
        </is>
      </c>
      <c r="N4733" t="inlineStr">
        <is>
          <t>180/191182</t>
        </is>
      </c>
      <c r="O4733" t="inlineStr">
        <is>
          <t>R</t>
        </is>
      </c>
      <c r="P4733">
        <f>TRIM(N4733)</f>
        <v/>
      </c>
    </row>
    <row r="4734">
      <c r="A4734" t="inlineStr">
        <is>
          <t>CO-002690</t>
        </is>
      </c>
      <c r="B4734" t="inlineStr">
        <is>
          <t>CICSA PERU SAC</t>
        </is>
      </c>
      <c r="C4734" t="n">
        <v>20512780114</v>
      </c>
      <c r="D4734" t="inlineStr">
        <is>
          <t>CANTA - CARABAYLLO</t>
        </is>
      </c>
      <c r="E4734" t="inlineStr">
        <is>
          <t>07 de abril del 2026</t>
        </is>
      </c>
      <c r="F4734" t="inlineStr">
        <is>
          <t>la Recarga y mantenimiento</t>
        </is>
      </c>
      <c r="G4734" t="n">
        <v>8</v>
      </c>
      <c r="H4734" t="inlineStr">
        <is>
          <t>20LBS</t>
        </is>
      </c>
      <c r="I4734" t="n">
        <v>2030</v>
      </c>
      <c r="J4734" t="n">
        <v>2019</v>
      </c>
      <c r="K4734" t="inlineStr">
        <is>
          <t>ABRIL 2026</t>
        </is>
      </c>
      <c r="L4734" t="inlineStr">
        <is>
          <t>ABRIL 2027</t>
        </is>
      </c>
      <c r="M4734" t="inlineStr">
        <is>
          <t>CO2 TIPO BC</t>
        </is>
      </c>
      <c r="N4734" t="inlineStr">
        <is>
          <t>181/181400</t>
        </is>
      </c>
      <c r="O4734" t="inlineStr">
        <is>
          <t>R</t>
        </is>
      </c>
      <c r="P4734">
        <f>TRIM(N4734)</f>
        <v/>
      </c>
    </row>
    <row r="4735">
      <c r="A4735" t="inlineStr">
        <is>
          <t>CO-002690</t>
        </is>
      </c>
      <c r="B4735" t="inlineStr">
        <is>
          <t>CICSA PERU SAC</t>
        </is>
      </c>
      <c r="C4735" t="n">
        <v>20512780114</v>
      </c>
      <c r="D4735" t="inlineStr">
        <is>
          <t>CANTA - CARABAYLLO</t>
        </is>
      </c>
      <c r="E4735" t="inlineStr">
        <is>
          <t>07 de abril del 2026</t>
        </is>
      </c>
      <c r="F4735" t="inlineStr">
        <is>
          <t>la Recarga y mantenimiento</t>
        </is>
      </c>
      <c r="G4735" t="n">
        <v>9</v>
      </c>
      <c r="H4735" t="inlineStr">
        <is>
          <t>20LBS</t>
        </is>
      </c>
      <c r="I4735" t="n">
        <v>2030</v>
      </c>
      <c r="J4735" t="n">
        <v>2019</v>
      </c>
      <c r="K4735" t="inlineStr">
        <is>
          <t>ABRIL 2026</t>
        </is>
      </c>
      <c r="L4735" t="inlineStr">
        <is>
          <t>ABRIL 2027</t>
        </is>
      </c>
      <c r="M4735" t="inlineStr">
        <is>
          <t>CO2 TIPO BC</t>
        </is>
      </c>
      <c r="N4735" t="inlineStr">
        <is>
          <t>182/178887</t>
        </is>
      </c>
      <c r="O4735" t="inlineStr">
        <is>
          <t>R</t>
        </is>
      </c>
      <c r="P4735">
        <f>TRIM(N4735)</f>
        <v/>
      </c>
    </row>
    <row r="4736">
      <c r="A4736" t="inlineStr">
        <is>
          <t>CO-002690</t>
        </is>
      </c>
      <c r="B4736" t="inlineStr">
        <is>
          <t>CICSA PERU SAC</t>
        </is>
      </c>
      <c r="C4736" t="n">
        <v>20512780114</v>
      </c>
      <c r="D4736" t="inlineStr">
        <is>
          <t>CANTA - CARABAYLLO</t>
        </is>
      </c>
      <c r="E4736" t="inlineStr">
        <is>
          <t>07 de abril del 2026</t>
        </is>
      </c>
      <c r="F4736" t="inlineStr">
        <is>
          <t>la Recarga y mantenimiento</t>
        </is>
      </c>
      <c r="G4736" t="n">
        <v>10</v>
      </c>
      <c r="H4736" t="inlineStr">
        <is>
          <t>20LBS</t>
        </is>
      </c>
      <c r="I4736" t="n">
        <v>2029</v>
      </c>
      <c r="J4736" t="n">
        <v>2019</v>
      </c>
      <c r="K4736" t="inlineStr">
        <is>
          <t>ABRIL 2026</t>
        </is>
      </c>
      <c r="L4736" t="inlineStr">
        <is>
          <t>ABRIL 2027</t>
        </is>
      </c>
      <c r="M4736" t="inlineStr">
        <is>
          <t>CO2 TIPO BC</t>
        </is>
      </c>
      <c r="N4736" t="inlineStr">
        <is>
          <t>183/191240</t>
        </is>
      </c>
      <c r="O4736" t="inlineStr">
        <is>
          <t>R</t>
        </is>
      </c>
      <c r="P4736">
        <f>TRIM(N4736)</f>
        <v/>
      </c>
    </row>
    <row r="4737">
      <c r="A4737" t="inlineStr">
        <is>
          <t>CO-002690</t>
        </is>
      </c>
      <c r="B4737" t="inlineStr">
        <is>
          <t>CICSA PERU SAC</t>
        </is>
      </c>
      <c r="C4737" t="n">
        <v>20512780114</v>
      </c>
      <c r="D4737" t="inlineStr">
        <is>
          <t>CANTA - CARABAYLLO</t>
        </is>
      </c>
      <c r="E4737" t="inlineStr">
        <is>
          <t>07 de abril del 2026</t>
        </is>
      </c>
      <c r="F4737" t="inlineStr">
        <is>
          <t>la Recarga y mantenimiento</t>
        </is>
      </c>
      <c r="G4737" t="n">
        <v>11</v>
      </c>
      <c r="H4737" t="inlineStr">
        <is>
          <t>20LBS</t>
        </is>
      </c>
      <c r="I4737" t="n">
        <v>2030</v>
      </c>
      <c r="J4737" t="inlineStr">
        <is>
          <t>2018</t>
        </is>
      </c>
      <c r="K4737" t="inlineStr">
        <is>
          <t>ABRIL 2026</t>
        </is>
      </c>
      <c r="L4737" t="inlineStr">
        <is>
          <t>ABRIL 2027</t>
        </is>
      </c>
      <c r="M4737" t="inlineStr">
        <is>
          <t>CO2 TIPO BC</t>
        </is>
      </c>
      <c r="N4737" t="inlineStr">
        <is>
          <t>184/152420</t>
        </is>
      </c>
      <c r="O4737" t="inlineStr">
        <is>
          <t>R</t>
        </is>
      </c>
      <c r="P4737">
        <f>TRIM(N4737)</f>
        <v/>
      </c>
    </row>
    <row r="4738">
      <c r="A4738" t="inlineStr">
        <is>
          <t>CO-002690</t>
        </is>
      </c>
      <c r="B4738" t="inlineStr">
        <is>
          <t>CICSA PERU SAC</t>
        </is>
      </c>
      <c r="C4738" t="n">
        <v>20512780114</v>
      </c>
      <c r="D4738" t="inlineStr">
        <is>
          <t>CANTA - CARABAYLLO</t>
        </is>
      </c>
      <c r="E4738" t="inlineStr">
        <is>
          <t>07 de abril del 2026</t>
        </is>
      </c>
      <c r="F4738" t="inlineStr">
        <is>
          <t>la Recarga y mantenimiento</t>
        </is>
      </c>
      <c r="G4738" t="n">
        <v>12</v>
      </c>
      <c r="H4738" t="inlineStr">
        <is>
          <t>20LBS</t>
        </is>
      </c>
      <c r="I4738" t="n">
        <v>2030</v>
      </c>
      <c r="J4738" t="n">
        <v>2019</v>
      </c>
      <c r="K4738" t="inlineStr">
        <is>
          <t>ABRIL 2026</t>
        </is>
      </c>
      <c r="L4738" t="inlineStr">
        <is>
          <t>ABRIL 2027</t>
        </is>
      </c>
      <c r="M4738" t="inlineStr">
        <is>
          <t>CO2 TIPO BC</t>
        </is>
      </c>
      <c r="N4738" t="inlineStr">
        <is>
          <t>185/191132</t>
        </is>
      </c>
      <c r="O4738" t="inlineStr">
        <is>
          <t>R</t>
        </is>
      </c>
      <c r="P4738">
        <f>TRIM(N4738)</f>
        <v/>
      </c>
    </row>
    <row r="4739">
      <c r="A4739" t="inlineStr">
        <is>
          <t>CO-002690</t>
        </is>
      </c>
      <c r="B4739" t="inlineStr">
        <is>
          <t>CICSA PERU SAC</t>
        </is>
      </c>
      <c r="C4739" t="n">
        <v>20512780114</v>
      </c>
      <c r="D4739" t="inlineStr">
        <is>
          <t>CANTA - CARABAYLLO</t>
        </is>
      </c>
      <c r="E4739" t="inlineStr">
        <is>
          <t>07 de abril del 2026</t>
        </is>
      </c>
      <c r="F4739" t="inlineStr">
        <is>
          <t>la Recarga y mantenimiento</t>
        </is>
      </c>
      <c r="G4739" t="n">
        <v>13</v>
      </c>
      <c r="H4739" t="inlineStr">
        <is>
          <t>20LBS</t>
        </is>
      </c>
      <c r="I4739" t="n">
        <v>2030</v>
      </c>
      <c r="J4739" t="n">
        <v>2019</v>
      </c>
      <c r="K4739" t="inlineStr">
        <is>
          <t>ABRIL 2026</t>
        </is>
      </c>
      <c r="L4739" t="inlineStr">
        <is>
          <t>ABRIL 2027</t>
        </is>
      </c>
      <c r="M4739" t="inlineStr">
        <is>
          <t>CO2 TIPO BC</t>
        </is>
      </c>
      <c r="N4739" t="inlineStr">
        <is>
          <t>186/190910</t>
        </is>
      </c>
      <c r="O4739" t="inlineStr">
        <is>
          <t>R</t>
        </is>
      </c>
      <c r="P4739">
        <f>TRIM(N4739)</f>
        <v/>
      </c>
    </row>
    <row r="4740">
      <c r="A4740" t="inlineStr">
        <is>
          <t>CO-002690</t>
        </is>
      </c>
      <c r="B4740" t="inlineStr">
        <is>
          <t xml:space="preserve">FERRETERIA TOBA S.A. DE: FRANCISCO LUIS TOBALINO HIDALGO </t>
        </is>
      </c>
      <c r="D4740" t="inlineStr">
        <is>
          <t>AV. SAN FELIPE N° 981 URB. SAN FELIPE  - COMAS</t>
        </is>
      </c>
      <c r="E4740" t="inlineStr">
        <is>
          <t>07 de abril del 2026</t>
        </is>
      </c>
      <c r="F4740" t="inlineStr">
        <is>
          <t>la Recarga y mantenimiento</t>
        </is>
      </c>
      <c r="G4740" t="inlineStr">
        <is>
          <t>01</t>
        </is>
      </c>
      <c r="H4740" t="inlineStr">
        <is>
          <t>06 KG</t>
        </is>
      </c>
      <c r="I4740" t="n">
        <v>2028</v>
      </c>
      <c r="J4740" t="n">
        <v>2008</v>
      </c>
      <c r="K4740" t="inlineStr">
        <is>
          <t>ABRIL 2026</t>
        </is>
      </c>
      <c r="L4740" t="inlineStr">
        <is>
          <t>ABRIL 2027</t>
        </is>
      </c>
      <c r="M4740" t="inlineStr">
        <is>
          <t xml:space="preserve">P.Q.S.  TIPO ABC </t>
        </is>
      </c>
      <c r="N4740" t="inlineStr">
        <is>
          <t>1/003235</t>
        </is>
      </c>
      <c r="O4740" t="inlineStr">
        <is>
          <t>R</t>
        </is>
      </c>
      <c r="P4740">
        <f>TRIM(N4740)</f>
        <v/>
      </c>
    </row>
    <row r="4741">
      <c r="A4741" t="inlineStr">
        <is>
          <t>CO-002690</t>
        </is>
      </c>
      <c r="B4741" t="inlineStr">
        <is>
          <t xml:space="preserve">FERRETERIA TOBA S.A. DE: FRANCISCO LUIS TOBALINO HIDALGO </t>
        </is>
      </c>
      <c r="D4741" t="inlineStr">
        <is>
          <t>AV. SAN FELIPE N° 981 URB. SAN FELIPE  - COMAS</t>
        </is>
      </c>
      <c r="E4741" t="inlineStr">
        <is>
          <t>07 de abril del 2026</t>
        </is>
      </c>
      <c r="F4741" t="inlineStr">
        <is>
          <t>la Recarga y mantenimiento</t>
        </is>
      </c>
      <c r="G4741" t="n">
        <v>2</v>
      </c>
      <c r="H4741" t="inlineStr">
        <is>
          <t>09 KG</t>
        </is>
      </c>
      <c r="I4741" t="n">
        <v>2027</v>
      </c>
      <c r="J4741" t="n">
        <v>2015</v>
      </c>
      <c r="K4741" t="inlineStr">
        <is>
          <t>ABRIL 2026</t>
        </is>
      </c>
      <c r="L4741" t="inlineStr">
        <is>
          <t>ABRIL 2027</t>
        </is>
      </c>
      <c r="M4741" t="inlineStr">
        <is>
          <t xml:space="preserve">P.Q.S.  TIPO ABC </t>
        </is>
      </c>
      <c r="N4741" t="inlineStr">
        <is>
          <t>2/005092</t>
        </is>
      </c>
      <c r="O4741" t="inlineStr">
        <is>
          <t>R</t>
        </is>
      </c>
      <c r="P4741">
        <f>TRIM(N4741)</f>
        <v/>
      </c>
    </row>
    <row r="4742">
      <c r="A4742" t="inlineStr">
        <is>
          <t>CO-002695</t>
        </is>
      </c>
      <c r="B4742" t="inlineStr">
        <is>
          <t>ECONOCABLE MEDIA SAC</t>
        </is>
      </c>
      <c r="C4742" t="n">
        <v>20508720255</v>
      </c>
      <c r="D4742" t="inlineStr">
        <is>
          <t>Rousseau, Lima 15037</t>
        </is>
      </c>
      <c r="E4742" t="inlineStr">
        <is>
          <t>07 de abril del 2026</t>
        </is>
      </c>
      <c r="F4742" t="inlineStr">
        <is>
          <t xml:space="preserve">la Recarga, mantenimiento y venta </t>
        </is>
      </c>
      <c r="G4742" t="n">
        <v>1</v>
      </c>
      <c r="H4742" t="inlineStr">
        <is>
          <t>04 KG</t>
        </is>
      </c>
      <c r="I4742" t="n">
        <v>2031</v>
      </c>
      <c r="J4742" t="n">
        <v>2017</v>
      </c>
      <c r="K4742" t="inlineStr">
        <is>
          <t>ABRIL 2026</t>
        </is>
      </c>
      <c r="L4742" t="inlineStr">
        <is>
          <t>ABRIL 2027</t>
        </is>
      </c>
      <c r="M4742" t="inlineStr">
        <is>
          <t xml:space="preserve">PQS TIPO ABC </t>
        </is>
      </c>
      <c r="N4742" t="inlineStr">
        <is>
          <t>002133</t>
        </is>
      </c>
      <c r="O4742" t="inlineStr">
        <is>
          <t>R</t>
        </is>
      </c>
      <c r="P4742">
        <f>TRIM(N4742)</f>
        <v/>
      </c>
    </row>
    <row r="4743">
      <c r="A4743" t="inlineStr">
        <is>
          <t>CO-002695</t>
        </is>
      </c>
      <c r="B4743" t="inlineStr">
        <is>
          <t>ECONOCABLE MEDIA SAC</t>
        </is>
      </c>
      <c r="C4743" t="n">
        <v>20508720255</v>
      </c>
      <c r="D4743" t="inlineStr">
        <is>
          <t>Rousseau, Lima 15037</t>
        </is>
      </c>
      <c r="E4743" t="inlineStr">
        <is>
          <t>07 de abril del 2026</t>
        </is>
      </c>
      <c r="F4743" t="inlineStr">
        <is>
          <t xml:space="preserve">la Recarga, mantenimiento y venta </t>
        </is>
      </c>
      <c r="G4743" t="n">
        <v>2</v>
      </c>
      <c r="H4743" t="inlineStr">
        <is>
          <t>05 LBS</t>
        </is>
      </c>
      <c r="I4743" t="n">
        <v>2031</v>
      </c>
      <c r="J4743" t="n">
        <v>2026</v>
      </c>
      <c r="K4743" t="inlineStr">
        <is>
          <t>ABRIL 2026</t>
        </is>
      </c>
      <c r="L4743" t="inlineStr">
        <is>
          <t>ABRIL 2027</t>
        </is>
      </c>
      <c r="M4743" t="inlineStr">
        <is>
          <t>CO2 TIPO BC</t>
        </is>
      </c>
      <c r="N4743" t="n">
        <v>876</v>
      </c>
      <c r="O4743" t="inlineStr">
        <is>
          <t>V</t>
        </is>
      </c>
      <c r="P4743">
        <f>TRIM(N4743)</f>
        <v/>
      </c>
    </row>
    <row r="4744">
      <c r="A4744" t="inlineStr">
        <is>
          <t>CO-002691</t>
        </is>
      </c>
      <c r="B4744" t="inlineStr">
        <is>
          <t>CICSA PERU SAC</t>
        </is>
      </c>
      <c r="C4744" t="n">
        <v>20512780114</v>
      </c>
      <c r="D4744" t="inlineStr">
        <is>
          <t xml:space="preserve">CANTA </t>
        </is>
      </c>
      <c r="E4744" t="inlineStr">
        <is>
          <t>8 de abril del 2026</t>
        </is>
      </c>
      <c r="F4744" t="inlineStr">
        <is>
          <t xml:space="preserve">la Recarga, mantenimiento y venta </t>
        </is>
      </c>
      <c r="G4744" t="n">
        <v>1</v>
      </c>
      <c r="H4744" t="inlineStr">
        <is>
          <t>20LBS</t>
        </is>
      </c>
      <c r="I4744" t="n">
        <v>2030</v>
      </c>
      <c r="J4744" t="n">
        <v>2018</v>
      </c>
      <c r="K4744" t="inlineStr">
        <is>
          <t>ABRIL 2026</t>
        </is>
      </c>
      <c r="L4744" t="inlineStr">
        <is>
          <t>ABRIL 2027</t>
        </is>
      </c>
      <c r="M4744" t="inlineStr">
        <is>
          <t>PQS TIPO BC</t>
        </is>
      </c>
      <c r="N4744" t="inlineStr">
        <is>
          <t>209/152348</t>
        </is>
      </c>
      <c r="O4744" t="inlineStr">
        <is>
          <t>R</t>
        </is>
      </c>
      <c r="P4744">
        <f>TRIM(N4744)</f>
        <v/>
      </c>
    </row>
    <row r="4745">
      <c r="A4745" t="inlineStr">
        <is>
          <t>CO-002691</t>
        </is>
      </c>
      <c r="B4745" t="inlineStr">
        <is>
          <t>CICSA PERU SAC</t>
        </is>
      </c>
      <c r="C4745" t="n">
        <v>20512780114</v>
      </c>
      <c r="D4745" t="inlineStr">
        <is>
          <t xml:space="preserve">CANTA </t>
        </is>
      </c>
      <c r="E4745" t="inlineStr">
        <is>
          <t>8 de abril del 2026</t>
        </is>
      </c>
      <c r="F4745" t="inlineStr">
        <is>
          <t xml:space="preserve">la Recarga, mantenimiento y venta </t>
        </is>
      </c>
      <c r="G4745" t="n">
        <v>2</v>
      </c>
      <c r="H4745" t="inlineStr">
        <is>
          <t>20LBS</t>
        </is>
      </c>
      <c r="I4745" t="n">
        <v>2030</v>
      </c>
      <c r="J4745" t="n">
        <v>2018</v>
      </c>
      <c r="K4745" t="inlineStr">
        <is>
          <t>ABRIL 2026</t>
        </is>
      </c>
      <c r="L4745" t="inlineStr">
        <is>
          <t>ABRIL 2027</t>
        </is>
      </c>
      <c r="M4745" t="inlineStr">
        <is>
          <t>CO2 TIPO BC</t>
        </is>
      </c>
      <c r="N4745" t="inlineStr">
        <is>
          <t>210/152403</t>
        </is>
      </c>
      <c r="O4745" t="inlineStr">
        <is>
          <t>R</t>
        </is>
      </c>
      <c r="P4745">
        <f>TRIM(N4745)</f>
        <v/>
      </c>
    </row>
    <row r="4746">
      <c r="A4746" t="inlineStr">
        <is>
          <t>CO-002691</t>
        </is>
      </c>
      <c r="B4746" t="inlineStr">
        <is>
          <t>CICSA PERU SAC</t>
        </is>
      </c>
      <c r="C4746" t="n">
        <v>20512780114</v>
      </c>
      <c r="D4746" t="inlineStr">
        <is>
          <t xml:space="preserve">CANTA </t>
        </is>
      </c>
      <c r="E4746" t="inlineStr">
        <is>
          <t>8 de abril del 2026</t>
        </is>
      </c>
      <c r="F4746" t="inlineStr">
        <is>
          <t xml:space="preserve">la Recarga, mantenimiento y venta </t>
        </is>
      </c>
      <c r="G4746" t="n">
        <v>3</v>
      </c>
      <c r="H4746" t="inlineStr">
        <is>
          <t>20LBS</t>
        </is>
      </c>
      <c r="I4746" t="n">
        <v>2030</v>
      </c>
      <c r="J4746" t="n">
        <v>2018</v>
      </c>
      <c r="K4746" t="inlineStr">
        <is>
          <t>ABRIL 2026</t>
        </is>
      </c>
      <c r="L4746" t="inlineStr">
        <is>
          <t>ABRIL 2027</t>
        </is>
      </c>
      <c r="M4746" t="inlineStr">
        <is>
          <t>CO2 TIPO BC</t>
        </is>
      </c>
      <c r="N4746" t="inlineStr">
        <is>
          <t>211/148774</t>
        </is>
      </c>
      <c r="O4746" t="inlineStr">
        <is>
          <t>R</t>
        </is>
      </c>
      <c r="P4746">
        <f>TRIM(N4746)</f>
        <v/>
      </c>
    </row>
    <row r="4747">
      <c r="A4747" t="inlineStr">
        <is>
          <t>CO-002691</t>
        </is>
      </c>
      <c r="B4747" t="inlineStr">
        <is>
          <t>CICSA PERU SAC</t>
        </is>
      </c>
      <c r="C4747" t="n">
        <v>20512780114</v>
      </c>
      <c r="D4747" t="inlineStr">
        <is>
          <t xml:space="preserve">CANTA </t>
        </is>
      </c>
      <c r="E4747" t="inlineStr">
        <is>
          <t>8 de abril del 2026</t>
        </is>
      </c>
      <c r="F4747" t="inlineStr">
        <is>
          <t xml:space="preserve">la Recarga, mantenimiento y venta </t>
        </is>
      </c>
      <c r="G4747" t="n">
        <v>4</v>
      </c>
      <c r="H4747" t="inlineStr">
        <is>
          <t>20LBS</t>
        </is>
      </c>
      <c r="I4747" t="n">
        <v>2030</v>
      </c>
      <c r="J4747" t="n">
        <v>2019</v>
      </c>
      <c r="K4747" t="inlineStr">
        <is>
          <t>ABRIL 2026</t>
        </is>
      </c>
      <c r="L4747" t="inlineStr">
        <is>
          <t>ABRIL 2027</t>
        </is>
      </c>
      <c r="M4747" t="inlineStr">
        <is>
          <t>CO2 TIPO BC</t>
        </is>
      </c>
      <c r="N4747" t="inlineStr">
        <is>
          <t>212/178833</t>
        </is>
      </c>
      <c r="O4747" t="inlineStr">
        <is>
          <t>R</t>
        </is>
      </c>
      <c r="P4747">
        <f>TRIM(N4747)</f>
        <v/>
      </c>
    </row>
    <row r="4748">
      <c r="A4748" t="inlineStr">
        <is>
          <t>CO-002691</t>
        </is>
      </c>
      <c r="B4748" t="inlineStr">
        <is>
          <t>CICSA PERU SAC</t>
        </is>
      </c>
      <c r="C4748" t="n">
        <v>20512780114</v>
      </c>
      <c r="D4748" t="inlineStr">
        <is>
          <t xml:space="preserve">CANTA </t>
        </is>
      </c>
      <c r="E4748" t="inlineStr">
        <is>
          <t>8 de abril del 2026</t>
        </is>
      </c>
      <c r="F4748" t="inlineStr">
        <is>
          <t xml:space="preserve">la Recarga, mantenimiento y venta </t>
        </is>
      </c>
      <c r="G4748" t="n">
        <v>5</v>
      </c>
      <c r="H4748" t="inlineStr">
        <is>
          <t>20LBS</t>
        </is>
      </c>
      <c r="I4748" t="n">
        <v>2030</v>
      </c>
      <c r="J4748" t="n">
        <v>2019</v>
      </c>
      <c r="K4748" t="inlineStr">
        <is>
          <t>ABRIL 2026</t>
        </is>
      </c>
      <c r="L4748" t="inlineStr">
        <is>
          <t>ABRIL 2027</t>
        </is>
      </c>
      <c r="M4748" t="inlineStr">
        <is>
          <t>CO2 TIPO BC</t>
        </is>
      </c>
      <c r="N4748" t="inlineStr">
        <is>
          <t>213/178766</t>
        </is>
      </c>
      <c r="O4748" t="inlineStr">
        <is>
          <t>R</t>
        </is>
      </c>
      <c r="P4748">
        <f>TRIM(N4748)</f>
        <v/>
      </c>
    </row>
    <row r="4749">
      <c r="A4749" t="inlineStr">
        <is>
          <t>CO-002697</t>
        </is>
      </c>
      <c r="B4749" t="inlineStr">
        <is>
          <t>UNIGRAF SAC</t>
        </is>
      </c>
      <c r="C4749" t="n">
        <v>20113367955</v>
      </c>
      <c r="D4749" t="inlineStr">
        <is>
          <t>CALLE LOS CEDROS MZ C1 LT1 CPM HUACHIPA, LURIGANCHO CHOSICA</t>
        </is>
      </c>
      <c r="E4749" t="inlineStr">
        <is>
          <t>8 de abril del 2026</t>
        </is>
      </c>
      <c r="F4749" t="inlineStr">
        <is>
          <t>la Recarga y mantenimiento</t>
        </is>
      </c>
      <c r="G4749" t="n">
        <v>1</v>
      </c>
      <c r="H4749" t="inlineStr">
        <is>
          <t>12KG</t>
        </is>
      </c>
      <c r="I4749" t="n">
        <v>2030</v>
      </c>
      <c r="J4749" t="n">
        <v>2025</v>
      </c>
      <c r="K4749" t="inlineStr">
        <is>
          <t>ABRIL 2026</t>
        </is>
      </c>
      <c r="L4749" t="inlineStr">
        <is>
          <t>ABRIL 2027</t>
        </is>
      </c>
      <c r="M4749" t="inlineStr">
        <is>
          <t>PQS TIPO ABC</t>
        </is>
      </c>
      <c r="N4749" t="inlineStr">
        <is>
          <t>12/000047</t>
        </is>
      </c>
      <c r="O4749" t="inlineStr">
        <is>
          <t>R</t>
        </is>
      </c>
      <c r="P4749">
        <f>TRIM(N4749)</f>
        <v/>
      </c>
    </row>
    <row r="4750">
      <c r="A4750" t="inlineStr">
        <is>
          <t>CO-002697</t>
        </is>
      </c>
      <c r="B4750" t="inlineStr">
        <is>
          <t>UNIGRAF SAC</t>
        </is>
      </c>
      <c r="C4750" t="n">
        <v>20113367955</v>
      </c>
      <c r="D4750" t="inlineStr">
        <is>
          <t>CALLE LOS CEDROS MZ C1 LT1 CPM HUACHIPA, LURIGANCHO CHOSICA</t>
        </is>
      </c>
      <c r="E4750" t="inlineStr">
        <is>
          <t>8 de abril del 2026</t>
        </is>
      </c>
      <c r="F4750" t="inlineStr">
        <is>
          <t>la Recarga y mantenimiento</t>
        </is>
      </c>
      <c r="G4750" t="n">
        <v>2</v>
      </c>
      <c r="H4750" t="inlineStr">
        <is>
          <t>12KG</t>
        </is>
      </c>
      <c r="I4750" t="n">
        <v>2030</v>
      </c>
      <c r="J4750" t="n">
        <v>2011</v>
      </c>
      <c r="K4750" t="inlineStr">
        <is>
          <t>ABRIL 2026</t>
        </is>
      </c>
      <c r="L4750" t="inlineStr">
        <is>
          <t>ABRIL 2027</t>
        </is>
      </c>
      <c r="M4750" t="inlineStr">
        <is>
          <t>PQS TIPO ABC</t>
        </is>
      </c>
      <c r="N4750" t="inlineStr">
        <is>
          <t>02/000715</t>
        </is>
      </c>
      <c r="O4750" t="inlineStr">
        <is>
          <t>R</t>
        </is>
      </c>
      <c r="P4750">
        <f>TRIM(N4750)</f>
        <v/>
      </c>
    </row>
    <row r="4751">
      <c r="A4751" t="inlineStr">
        <is>
          <t>CO-002697</t>
        </is>
      </c>
      <c r="B4751" t="inlineStr">
        <is>
          <t>UNIGRAF SAC</t>
        </is>
      </c>
      <c r="C4751" t="n">
        <v>20113367955</v>
      </c>
      <c r="D4751" t="inlineStr">
        <is>
          <t>CALLE LOS CEDROS MZ C1 LT1 CPM HUACHIPA, LURIGANCHO CHOSICA</t>
        </is>
      </c>
      <c r="E4751" t="inlineStr">
        <is>
          <t>8 de abril del 2026</t>
        </is>
      </c>
      <c r="F4751" t="inlineStr">
        <is>
          <t>la Recarga y mantenimiento</t>
        </is>
      </c>
      <c r="G4751" t="n">
        <v>3</v>
      </c>
      <c r="H4751" t="inlineStr">
        <is>
          <t>12KG</t>
        </is>
      </c>
      <c r="I4751" t="n">
        <v>2030</v>
      </c>
      <c r="J4751" t="n">
        <v>2011</v>
      </c>
      <c r="K4751" t="inlineStr">
        <is>
          <t>ABRIL 2026</t>
        </is>
      </c>
      <c r="L4751" t="inlineStr">
        <is>
          <t>ABRIL 2027</t>
        </is>
      </c>
      <c r="M4751" t="inlineStr">
        <is>
          <t>PQS TIPO ABC</t>
        </is>
      </c>
      <c r="N4751" t="inlineStr">
        <is>
          <t>11/000338</t>
        </is>
      </c>
      <c r="O4751" t="inlineStr">
        <is>
          <t>R</t>
        </is>
      </c>
      <c r="P4751">
        <f>TRIM(N4751)</f>
        <v/>
      </c>
    </row>
    <row r="4752">
      <c r="A4752" t="inlineStr">
        <is>
          <t>CO-002697</t>
        </is>
      </c>
      <c r="B4752" t="inlineStr">
        <is>
          <t>UNIGRAF SAC</t>
        </is>
      </c>
      <c r="C4752" t="n">
        <v>20113367955</v>
      </c>
      <c r="D4752" t="inlineStr">
        <is>
          <t>CALLE LOS CEDROS MZ C1 LT1 CPM HUACHIPA, LURIGANCHO CHOSICA</t>
        </is>
      </c>
      <c r="E4752" t="inlineStr">
        <is>
          <t>8 de abril del 2026</t>
        </is>
      </c>
      <c r="F4752" t="inlineStr">
        <is>
          <t>la Recarga y mantenimiento</t>
        </is>
      </c>
      <c r="G4752" t="n">
        <v>4</v>
      </c>
      <c r="H4752" t="inlineStr">
        <is>
          <t>12KG</t>
        </is>
      </c>
      <c r="I4752" t="n">
        <v>2029</v>
      </c>
      <c r="J4752" t="n">
        <v>2024</v>
      </c>
      <c r="K4752" t="inlineStr">
        <is>
          <t>ABRIL 2026</t>
        </is>
      </c>
      <c r="L4752" t="inlineStr">
        <is>
          <t>ABRIL 2027</t>
        </is>
      </c>
      <c r="M4752" t="inlineStr">
        <is>
          <t>PQS TIPO ABC</t>
        </is>
      </c>
      <c r="N4752" t="inlineStr">
        <is>
          <t>18/000015</t>
        </is>
      </c>
      <c r="O4752" t="inlineStr">
        <is>
          <t>R</t>
        </is>
      </c>
      <c r="P4752">
        <f>TRIM(N4752)</f>
        <v/>
      </c>
    </row>
    <row r="4753">
      <c r="A4753" t="inlineStr">
        <is>
          <t>CO-002697</t>
        </is>
      </c>
      <c r="B4753" t="inlineStr">
        <is>
          <t>UNIGRAF SAC</t>
        </is>
      </c>
      <c r="C4753" t="n">
        <v>20113367955</v>
      </c>
      <c r="D4753" t="inlineStr">
        <is>
          <t>CALLE LOS CEDROS MZ C1 LT1 CPM HUACHIPA, LURIGANCHO CHOSICA</t>
        </is>
      </c>
      <c r="E4753" t="inlineStr">
        <is>
          <t>8 de abril del 2026</t>
        </is>
      </c>
      <c r="F4753" t="inlineStr">
        <is>
          <t>la Recarga y mantenimiento</t>
        </is>
      </c>
      <c r="G4753" t="n">
        <v>5</v>
      </c>
      <c r="H4753" t="inlineStr">
        <is>
          <t>06 KG</t>
        </is>
      </c>
      <c r="I4753" t="n">
        <v>2029</v>
      </c>
      <c r="J4753" t="n">
        <v>2013</v>
      </c>
      <c r="K4753" t="inlineStr">
        <is>
          <t>ABRIL 2026</t>
        </is>
      </c>
      <c r="L4753" t="inlineStr">
        <is>
          <t>ABRIL 2027</t>
        </is>
      </c>
      <c r="M4753" t="inlineStr">
        <is>
          <t>PQS TIPO ABC</t>
        </is>
      </c>
      <c r="N4753" t="inlineStr">
        <is>
          <t>SN/000645</t>
        </is>
      </c>
      <c r="O4753" t="inlineStr">
        <is>
          <t>R</t>
        </is>
      </c>
      <c r="P4753">
        <f>TRIM(N4753)</f>
        <v/>
      </c>
    </row>
    <row r="4754">
      <c r="A4754" t="inlineStr">
        <is>
          <t>CO-002697</t>
        </is>
      </c>
      <c r="B4754" t="inlineStr">
        <is>
          <t>UNIGRAF SAC</t>
        </is>
      </c>
      <c r="C4754" t="n">
        <v>20113367955</v>
      </c>
      <c r="D4754" t="inlineStr">
        <is>
          <t>CALLE LOS CEDROS MZ C1 LT1 CPM HUACHIPA, LURIGANCHO CHOSICA</t>
        </is>
      </c>
      <c r="E4754" t="inlineStr">
        <is>
          <t>8 de abril del 2026</t>
        </is>
      </c>
      <c r="F4754" t="inlineStr">
        <is>
          <t>la Recarga y mantenimiento</t>
        </is>
      </c>
      <c r="G4754" t="n">
        <v>6</v>
      </c>
      <c r="H4754" t="inlineStr">
        <is>
          <t>06 KG</t>
        </is>
      </c>
      <c r="I4754" t="n">
        <v>2029</v>
      </c>
      <c r="J4754" t="n">
        <v>2024</v>
      </c>
      <c r="K4754" t="inlineStr">
        <is>
          <t>ABRIL 2026</t>
        </is>
      </c>
      <c r="L4754" t="inlineStr">
        <is>
          <t>ABRIL 2027</t>
        </is>
      </c>
      <c r="M4754" t="inlineStr">
        <is>
          <t>PQS TIPO ABC</t>
        </is>
      </c>
      <c r="N4754" t="inlineStr">
        <is>
          <t>SN/006242</t>
        </is>
      </c>
      <c r="O4754" t="inlineStr">
        <is>
          <t>R</t>
        </is>
      </c>
      <c r="P4754">
        <f>TRIM(N4754)</f>
        <v/>
      </c>
    </row>
    <row r="4755">
      <c r="A4755" t="inlineStr">
        <is>
          <t>CO-002697</t>
        </is>
      </c>
      <c r="B4755" t="inlineStr">
        <is>
          <t>UNIGRAF SAC</t>
        </is>
      </c>
      <c r="C4755" t="n">
        <v>20113367955</v>
      </c>
      <c r="D4755" t="inlineStr">
        <is>
          <t>CALLE LOS CEDROS MZ C1 LT1 CPM HUACHIPA, LURIGANCHO CHOSICA</t>
        </is>
      </c>
      <c r="E4755" t="inlineStr">
        <is>
          <t>8 de abril del 2026</t>
        </is>
      </c>
      <c r="F4755" t="inlineStr">
        <is>
          <t>la Recarga y mantenimiento</t>
        </is>
      </c>
      <c r="G4755" t="n">
        <v>7</v>
      </c>
      <c r="H4755" t="inlineStr">
        <is>
          <t>06 KG</t>
        </is>
      </c>
      <c r="I4755" t="n">
        <v>2031</v>
      </c>
      <c r="J4755" t="n">
        <v>2013</v>
      </c>
      <c r="K4755" t="inlineStr">
        <is>
          <t>ABRIL 2026</t>
        </is>
      </c>
      <c r="L4755" t="inlineStr">
        <is>
          <t>ABRIL 2027</t>
        </is>
      </c>
      <c r="M4755" t="inlineStr">
        <is>
          <t>PQS TIPO ABC</t>
        </is>
      </c>
      <c r="N4755" t="inlineStr">
        <is>
          <t>19/002492</t>
        </is>
      </c>
      <c r="O4755" t="inlineStr">
        <is>
          <t>R</t>
        </is>
      </c>
      <c r="P4755">
        <f>TRIM(N4755)</f>
        <v/>
      </c>
    </row>
    <row r="4756">
      <c r="A4756" t="inlineStr">
        <is>
          <t>CO-002698</t>
        </is>
      </c>
      <c r="B4756" t="inlineStr">
        <is>
          <t>PERU MASIVO S.A.</t>
        </is>
      </c>
      <c r="C4756" t="inlineStr">
        <is>
          <t>20492392031</t>
        </is>
      </c>
      <c r="D4756" t="inlineStr">
        <is>
          <t>AV. LOS INCAS CDRA. 4 PATIO NORTE - COMAS</t>
        </is>
      </c>
      <c r="E4756" t="inlineStr">
        <is>
          <t>11 de abril del 2026</t>
        </is>
      </c>
      <c r="F4756" t="inlineStr">
        <is>
          <t>la Recarga y mantenimiento</t>
        </is>
      </c>
      <c r="G4756" t="n">
        <v>1</v>
      </c>
      <c r="H4756" t="inlineStr">
        <is>
          <t>06 KG</t>
        </is>
      </c>
      <c r="I4756" t="n">
        <v>2031</v>
      </c>
      <c r="J4756" t="n">
        <v>2021</v>
      </c>
      <c r="K4756" t="inlineStr">
        <is>
          <t>ABRIL 2026</t>
        </is>
      </c>
      <c r="L4756" t="inlineStr">
        <is>
          <t>ABRIL 2027</t>
        </is>
      </c>
      <c r="M4756" t="inlineStr">
        <is>
          <t>PQS/ABC AL 90%</t>
        </is>
      </c>
      <c r="N4756" t="inlineStr">
        <is>
          <t>78/009766</t>
        </is>
      </c>
      <c r="O4756" t="inlineStr">
        <is>
          <t>R</t>
        </is>
      </c>
      <c r="P4756">
        <f>TRIM(N4756)</f>
        <v/>
      </c>
    </row>
    <row r="4757">
      <c r="A4757" t="inlineStr">
        <is>
          <t>CO-002698</t>
        </is>
      </c>
      <c r="B4757" t="inlineStr">
        <is>
          <t>PERU MASIVO S.A.</t>
        </is>
      </c>
      <c r="C4757" t="inlineStr">
        <is>
          <t>20492392031</t>
        </is>
      </c>
      <c r="D4757" t="inlineStr">
        <is>
          <t>AV. LOS INCAS CDRA. 4 PATIO NORTE - COMAS</t>
        </is>
      </c>
      <c r="E4757" t="inlineStr">
        <is>
          <t>11 de abril del 2026</t>
        </is>
      </c>
      <c r="F4757" t="inlineStr">
        <is>
          <t>la Recarga y mantenimiento</t>
        </is>
      </c>
      <c r="G4757" t="n">
        <v>2</v>
      </c>
      <c r="H4757" t="inlineStr">
        <is>
          <t>06 KG</t>
        </is>
      </c>
      <c r="I4757" t="n">
        <v>2029</v>
      </c>
      <c r="J4757" t="n">
        <v>2009</v>
      </c>
      <c r="K4757" t="inlineStr">
        <is>
          <t>ABRIL 2026</t>
        </is>
      </c>
      <c r="L4757" t="inlineStr">
        <is>
          <t>ABRIL 2027</t>
        </is>
      </c>
      <c r="M4757" t="inlineStr">
        <is>
          <t>PQS/ABC AL 90%</t>
        </is>
      </c>
      <c r="N4757" t="inlineStr">
        <is>
          <t>246/002693</t>
        </is>
      </c>
      <c r="O4757" t="inlineStr">
        <is>
          <t>R</t>
        </is>
      </c>
      <c r="P4757">
        <f>TRIM(N4757)</f>
        <v/>
      </c>
    </row>
    <row r="4758">
      <c r="A4758" t="inlineStr">
        <is>
          <t>CO-002698</t>
        </is>
      </c>
      <c r="B4758" t="inlineStr">
        <is>
          <t>PERU MASIVO S.A.</t>
        </is>
      </c>
      <c r="C4758" t="inlineStr">
        <is>
          <t>20492392031</t>
        </is>
      </c>
      <c r="D4758" t="inlineStr">
        <is>
          <t>AV. LOS INCAS CDRA. 4 PATIO NORTE - COMAS</t>
        </is>
      </c>
      <c r="E4758" t="inlineStr">
        <is>
          <t>11 de abril del 2026</t>
        </is>
      </c>
      <c r="F4758" t="inlineStr">
        <is>
          <t>la Recarga y mantenimiento</t>
        </is>
      </c>
      <c r="G4758" t="n">
        <v>3</v>
      </c>
      <c r="H4758" t="inlineStr">
        <is>
          <t>06 KG</t>
        </is>
      </c>
      <c r="I4758" t="n">
        <v>2029</v>
      </c>
      <c r="J4758" t="n">
        <v>2009</v>
      </c>
      <c r="K4758" t="inlineStr">
        <is>
          <t>ABRIL 2026</t>
        </is>
      </c>
      <c r="L4758" t="inlineStr">
        <is>
          <t>ABRIL 2027</t>
        </is>
      </c>
      <c r="M4758" t="inlineStr">
        <is>
          <t>PQS/ABC AL 90%</t>
        </is>
      </c>
      <c r="N4758" t="inlineStr">
        <is>
          <t>192/002197</t>
        </is>
      </c>
      <c r="O4758" t="inlineStr">
        <is>
          <t>R</t>
        </is>
      </c>
      <c r="P4758">
        <f>TRIM(N4758)</f>
        <v/>
      </c>
    </row>
    <row r="4759">
      <c r="A4759" t="inlineStr">
        <is>
          <t>CO-002698</t>
        </is>
      </c>
      <c r="B4759" t="inlineStr">
        <is>
          <t>PERU MASIVO S.A.</t>
        </is>
      </c>
      <c r="C4759" t="inlineStr">
        <is>
          <t>20492392031</t>
        </is>
      </c>
      <c r="D4759" t="inlineStr">
        <is>
          <t>AV. LOS INCAS CDRA. 4 PATIO NORTE - COMAS</t>
        </is>
      </c>
      <c r="E4759" t="inlineStr">
        <is>
          <t>11 de abril del 2026</t>
        </is>
      </c>
      <c r="F4759" t="inlineStr">
        <is>
          <t>la Recarga y mantenimiento</t>
        </is>
      </c>
      <c r="G4759" t="n">
        <v>4</v>
      </c>
      <c r="H4759" t="inlineStr">
        <is>
          <t>06 KG</t>
        </is>
      </c>
      <c r="I4759" t="n">
        <v>2028</v>
      </c>
      <c r="J4759" t="n">
        <v>2009</v>
      </c>
      <c r="K4759" t="inlineStr">
        <is>
          <t>ABRIL 2026</t>
        </is>
      </c>
      <c r="L4759" t="inlineStr">
        <is>
          <t>ABRIL 2027</t>
        </is>
      </c>
      <c r="M4759" t="inlineStr">
        <is>
          <t>PQS/ABC AL 90%</t>
        </is>
      </c>
      <c r="N4759" t="inlineStr">
        <is>
          <t>214/001243</t>
        </is>
      </c>
      <c r="O4759" t="inlineStr">
        <is>
          <t>R</t>
        </is>
      </c>
      <c r="P4759">
        <f>TRIM(N4759)</f>
        <v/>
      </c>
    </row>
    <row r="4760">
      <c r="A4760" t="inlineStr">
        <is>
          <t>CO-002698</t>
        </is>
      </c>
      <c r="B4760" t="inlineStr">
        <is>
          <t>PERU MASIVO S.A.</t>
        </is>
      </c>
      <c r="C4760" t="inlineStr">
        <is>
          <t>20492392031</t>
        </is>
      </c>
      <c r="D4760" t="inlineStr">
        <is>
          <t>AV. LOS INCAS CDRA. 4 PATIO NORTE - COMAS</t>
        </is>
      </c>
      <c r="E4760" t="inlineStr">
        <is>
          <t>11 de abril del 2026</t>
        </is>
      </c>
      <c r="F4760" t="inlineStr">
        <is>
          <t>la Recarga y mantenimiento</t>
        </is>
      </c>
      <c r="G4760" t="n">
        <v>5</v>
      </c>
      <c r="H4760" t="inlineStr">
        <is>
          <t>06 KG</t>
        </is>
      </c>
      <c r="I4760" t="n">
        <v>2028</v>
      </c>
      <c r="J4760" t="n">
        <v>2015</v>
      </c>
      <c r="K4760" t="inlineStr">
        <is>
          <t>ABRIL 2026</t>
        </is>
      </c>
      <c r="L4760" t="inlineStr">
        <is>
          <t>ABRIL 2027</t>
        </is>
      </c>
      <c r="M4760" t="inlineStr">
        <is>
          <t>PQS/ABC AL 90%</t>
        </is>
      </c>
      <c r="N4760" t="inlineStr">
        <is>
          <t>114/016160</t>
        </is>
      </c>
      <c r="O4760" t="inlineStr">
        <is>
          <t>R</t>
        </is>
      </c>
      <c r="P4760">
        <f>TRIM(N4760)</f>
        <v/>
      </c>
    </row>
    <row r="4761">
      <c r="A4761" t="inlineStr">
        <is>
          <t>CO-002698</t>
        </is>
      </c>
      <c r="B4761" t="inlineStr">
        <is>
          <t>PERU MASIVO S.A.</t>
        </is>
      </c>
      <c r="C4761" t="inlineStr">
        <is>
          <t>20492392031</t>
        </is>
      </c>
      <c r="D4761" t="inlineStr">
        <is>
          <t>AV. LOS INCAS CDRA. 4 PATIO NORTE - COMAS</t>
        </is>
      </c>
      <c r="E4761" t="inlineStr">
        <is>
          <t>11 de abril del 2026</t>
        </is>
      </c>
      <c r="F4761" t="inlineStr">
        <is>
          <t>la Recarga y mantenimiento</t>
        </is>
      </c>
      <c r="G4761" t="n">
        <v>6</v>
      </c>
      <c r="H4761" t="inlineStr">
        <is>
          <t>06 KG</t>
        </is>
      </c>
      <c r="I4761" t="n">
        <v>2031</v>
      </c>
      <c r="J4761" t="n">
        <v>2021</v>
      </c>
      <c r="K4761" t="inlineStr">
        <is>
          <t>ABRIL 2026</t>
        </is>
      </c>
      <c r="L4761" t="inlineStr">
        <is>
          <t>ABRIL 2027</t>
        </is>
      </c>
      <c r="M4761" t="inlineStr">
        <is>
          <t>PQS/ABC AL 90%</t>
        </is>
      </c>
      <c r="N4761" t="inlineStr">
        <is>
          <t>77/009075</t>
        </is>
      </c>
      <c r="O4761" t="inlineStr">
        <is>
          <t>R</t>
        </is>
      </c>
      <c r="P4761">
        <f>TRIM(N4761)</f>
        <v/>
      </c>
    </row>
    <row r="4762">
      <c r="A4762" t="inlineStr">
        <is>
          <t>CO-002698</t>
        </is>
      </c>
      <c r="B4762" t="inlineStr">
        <is>
          <t>PERU MASIVO S.A.</t>
        </is>
      </c>
      <c r="C4762" t="inlineStr">
        <is>
          <t>20492392031</t>
        </is>
      </c>
      <c r="D4762" t="inlineStr">
        <is>
          <t>AV. LOS INCAS CDRA. 4 PATIO NORTE - COMAS</t>
        </is>
      </c>
      <c r="E4762" t="inlineStr">
        <is>
          <t>11 de abril del 2026</t>
        </is>
      </c>
      <c r="F4762" t="inlineStr">
        <is>
          <t>la Recarga y mantenimiento</t>
        </is>
      </c>
      <c r="G4762" t="n">
        <v>7</v>
      </c>
      <c r="H4762" t="inlineStr">
        <is>
          <t>06 KG</t>
        </is>
      </c>
      <c r="I4762" t="n">
        <v>2030</v>
      </c>
      <c r="J4762" t="n">
        <v>2017</v>
      </c>
      <c r="K4762" t="inlineStr">
        <is>
          <t>ABRIL 2026</t>
        </is>
      </c>
      <c r="L4762" t="inlineStr">
        <is>
          <t>ABRIL 2027</t>
        </is>
      </c>
      <c r="M4762" t="inlineStr">
        <is>
          <t>PQS/ABC AL 90%</t>
        </is>
      </c>
      <c r="N4762" t="inlineStr">
        <is>
          <t>47/000190</t>
        </is>
      </c>
      <c r="O4762" t="inlineStr">
        <is>
          <t>R</t>
        </is>
      </c>
      <c r="P4762">
        <f>TRIM(N4762)</f>
        <v/>
      </c>
    </row>
    <row r="4763">
      <c r="A4763" t="inlineStr">
        <is>
          <t>CO-002698</t>
        </is>
      </c>
      <c r="B4763" t="inlineStr">
        <is>
          <t>PERU MASIVO S.A.</t>
        </is>
      </c>
      <c r="C4763" t="inlineStr">
        <is>
          <t>20492392031</t>
        </is>
      </c>
      <c r="D4763" t="inlineStr">
        <is>
          <t>AV. LOS INCAS CDRA. 4 PATIO NORTE - COMAS</t>
        </is>
      </c>
      <c r="E4763" t="inlineStr">
        <is>
          <t>11 de abril del 2026</t>
        </is>
      </c>
      <c r="F4763" t="inlineStr">
        <is>
          <t>la Recarga y mantenimiento</t>
        </is>
      </c>
      <c r="G4763" t="n">
        <v>8</v>
      </c>
      <c r="H4763" t="inlineStr">
        <is>
          <t>06 KG</t>
        </is>
      </c>
      <c r="I4763" t="n">
        <v>2029</v>
      </c>
      <c r="J4763" t="n">
        <v>2010</v>
      </c>
      <c r="K4763" t="inlineStr">
        <is>
          <t>ABRIL 2026</t>
        </is>
      </c>
      <c r="L4763" t="inlineStr">
        <is>
          <t>ABRIL 2027</t>
        </is>
      </c>
      <c r="M4763" t="inlineStr">
        <is>
          <t>PQS/ABC AL 90%</t>
        </is>
      </c>
      <c r="N4763" t="inlineStr">
        <is>
          <t>252/002751</t>
        </is>
      </c>
      <c r="O4763" t="inlineStr">
        <is>
          <t>R</t>
        </is>
      </c>
      <c r="P4763">
        <f>TRIM(N4763)</f>
        <v/>
      </c>
    </row>
    <row r="4764">
      <c r="A4764" t="inlineStr">
        <is>
          <t>CO-002698</t>
        </is>
      </c>
      <c r="B4764" t="inlineStr">
        <is>
          <t>PERU MASIVO S.A.</t>
        </is>
      </c>
      <c r="C4764" t="inlineStr">
        <is>
          <t>20492392031</t>
        </is>
      </c>
      <c r="D4764" t="inlineStr">
        <is>
          <t>AV. LOS INCAS CDRA. 4 PATIO NORTE - COMAS</t>
        </is>
      </c>
      <c r="E4764" t="inlineStr">
        <is>
          <t>11 de abril del 2026</t>
        </is>
      </c>
      <c r="F4764" t="inlineStr">
        <is>
          <t>la Recarga y mantenimiento</t>
        </is>
      </c>
      <c r="G4764" t="n">
        <v>9</v>
      </c>
      <c r="H4764" t="inlineStr">
        <is>
          <t>06 KG</t>
        </is>
      </c>
      <c r="I4764" t="n">
        <v>2029</v>
      </c>
      <c r="J4764" t="n">
        <v>2013</v>
      </c>
      <c r="K4764" t="inlineStr">
        <is>
          <t>ABRIL 2026</t>
        </is>
      </c>
      <c r="L4764" t="inlineStr">
        <is>
          <t>ABRIL 2027</t>
        </is>
      </c>
      <c r="M4764" t="inlineStr">
        <is>
          <t>PQS/ABC AL 90%</t>
        </is>
      </c>
      <c r="N4764" t="inlineStr">
        <is>
          <t>391/000723</t>
        </is>
      </c>
      <c r="O4764" t="inlineStr">
        <is>
          <t>R</t>
        </is>
      </c>
      <c r="P4764">
        <f>TRIM(N4764)</f>
        <v/>
      </c>
    </row>
    <row r="4765">
      <c r="A4765" t="inlineStr">
        <is>
          <t>CO-002698</t>
        </is>
      </c>
      <c r="B4765" t="inlineStr">
        <is>
          <t>PERU MASIVO S.A.</t>
        </is>
      </c>
      <c r="C4765" t="inlineStr">
        <is>
          <t>20492392031</t>
        </is>
      </c>
      <c r="D4765" t="inlineStr">
        <is>
          <t>AV. LOS INCAS CDRA. 4 PATIO NORTE - COMAS</t>
        </is>
      </c>
      <c r="E4765" t="inlineStr">
        <is>
          <t>11 de abril del 2026</t>
        </is>
      </c>
      <c r="F4765" t="inlineStr">
        <is>
          <t>la Recarga y mantenimiento</t>
        </is>
      </c>
      <c r="G4765" t="n">
        <v>10</v>
      </c>
      <c r="H4765" t="inlineStr">
        <is>
          <t>06 KG</t>
        </is>
      </c>
      <c r="I4765" t="n">
        <v>2029</v>
      </c>
      <c r="J4765" t="n">
        <v>2009</v>
      </c>
      <c r="K4765" t="inlineStr">
        <is>
          <t>ABRIL 2026</t>
        </is>
      </c>
      <c r="L4765" t="inlineStr">
        <is>
          <t>ABRIL 2027</t>
        </is>
      </c>
      <c r="M4765" t="inlineStr">
        <is>
          <t>PQS/ABC AL 90%</t>
        </is>
      </c>
      <c r="N4765" t="inlineStr">
        <is>
          <t>167/002616</t>
        </is>
      </c>
      <c r="O4765" t="inlineStr">
        <is>
          <t>R</t>
        </is>
      </c>
      <c r="P4765">
        <f>TRIM(N4765)</f>
        <v/>
      </c>
    </row>
    <row r="4766">
      <c r="A4766" t="inlineStr">
        <is>
          <t>CO-002698</t>
        </is>
      </c>
      <c r="B4766" t="inlineStr">
        <is>
          <t>PERU MASIVO S.A.</t>
        </is>
      </c>
      <c r="C4766" t="inlineStr">
        <is>
          <t>20492392031</t>
        </is>
      </c>
      <c r="D4766" t="inlineStr">
        <is>
          <t>AV. LOS INCAS CDRA. 4 PATIO NORTE - COMAS</t>
        </is>
      </c>
      <c r="E4766" t="inlineStr">
        <is>
          <t>11 de abril del 2026</t>
        </is>
      </c>
      <c r="F4766" t="inlineStr">
        <is>
          <t>la Recarga y mantenimiento</t>
        </is>
      </c>
      <c r="G4766" t="n">
        <v>11</v>
      </c>
      <c r="H4766" t="inlineStr">
        <is>
          <t>06 KG</t>
        </is>
      </c>
      <c r="I4766" t="n">
        <v>2031</v>
      </c>
      <c r="J4766" t="n">
        <v>2021</v>
      </c>
      <c r="K4766" t="inlineStr">
        <is>
          <t>ABRIL 2026</t>
        </is>
      </c>
      <c r="L4766" t="inlineStr">
        <is>
          <t>ABRIL 2027</t>
        </is>
      </c>
      <c r="M4766" t="inlineStr">
        <is>
          <t>PQS/ABC AL 90%</t>
        </is>
      </c>
      <c r="N4766" t="inlineStr">
        <is>
          <t>80/006094</t>
        </is>
      </c>
      <c r="O4766" t="inlineStr">
        <is>
          <t>R</t>
        </is>
      </c>
      <c r="P4766">
        <f>TRIM(N4766)</f>
        <v/>
      </c>
    </row>
    <row r="4767">
      <c r="A4767" t="inlineStr">
        <is>
          <t>CO-002698</t>
        </is>
      </c>
      <c r="B4767" t="inlineStr">
        <is>
          <t>PERU MASIVO S.A.</t>
        </is>
      </c>
      <c r="C4767" t="inlineStr">
        <is>
          <t>20492392031</t>
        </is>
      </c>
      <c r="D4767" t="inlineStr">
        <is>
          <t>AV. LOS INCAS CDRA. 4 PATIO NORTE - COMAS</t>
        </is>
      </c>
      <c r="E4767" t="inlineStr">
        <is>
          <t>11 de abril del 2026</t>
        </is>
      </c>
      <c r="F4767" t="inlineStr">
        <is>
          <t>la Recarga y mantenimiento</t>
        </is>
      </c>
      <c r="G4767" t="n">
        <v>12</v>
      </c>
      <c r="H4767" t="inlineStr">
        <is>
          <t>06 KG</t>
        </is>
      </c>
      <c r="I4767" t="n">
        <v>2029</v>
      </c>
      <c r="J4767" t="n">
        <v>2015</v>
      </c>
      <c r="K4767" t="inlineStr">
        <is>
          <t>ABRIL 2026</t>
        </is>
      </c>
      <c r="L4767" t="inlineStr">
        <is>
          <t>ABRIL 2027</t>
        </is>
      </c>
      <c r="M4767" t="inlineStr">
        <is>
          <t>PQS/ABC AL 90%</t>
        </is>
      </c>
      <c r="N4767" t="inlineStr">
        <is>
          <t>75/001440</t>
        </is>
      </c>
      <c r="O4767" t="inlineStr">
        <is>
          <t>R</t>
        </is>
      </c>
      <c r="P4767">
        <f>TRIM(N4767)</f>
        <v/>
      </c>
    </row>
    <row r="4768">
      <c r="A4768" t="inlineStr">
        <is>
          <t>CO-002698</t>
        </is>
      </c>
      <c r="B4768" t="inlineStr">
        <is>
          <t>PERU MASIVO S.A.</t>
        </is>
      </c>
      <c r="C4768" t="inlineStr">
        <is>
          <t>20492392031</t>
        </is>
      </c>
      <c r="D4768" t="inlineStr">
        <is>
          <t>AV. LOS INCAS CDRA. 4 PATIO NORTE - COMAS</t>
        </is>
      </c>
      <c r="E4768" t="inlineStr">
        <is>
          <t>11 de abril del 2026</t>
        </is>
      </c>
      <c r="F4768" t="inlineStr">
        <is>
          <t>la Recarga y mantenimiento</t>
        </is>
      </c>
      <c r="G4768" t="n">
        <v>13</v>
      </c>
      <c r="H4768" t="inlineStr">
        <is>
          <t>06 KG</t>
        </is>
      </c>
      <c r="I4768" t="n">
        <v>2023</v>
      </c>
      <c r="J4768" t="n">
        <v>2009</v>
      </c>
      <c r="K4768" t="inlineStr">
        <is>
          <t>ABRIL 2026</t>
        </is>
      </c>
      <c r="L4768" t="inlineStr">
        <is>
          <t>ABRIL 2027</t>
        </is>
      </c>
      <c r="M4768" t="inlineStr">
        <is>
          <t>PQS/ABC AL 90%</t>
        </is>
      </c>
      <c r="N4768" t="inlineStr">
        <is>
          <t>08/000956</t>
        </is>
      </c>
      <c r="O4768" t="inlineStr">
        <is>
          <t>R</t>
        </is>
      </c>
      <c r="P4768">
        <f>TRIM(N4768)</f>
        <v/>
      </c>
    </row>
    <row r="4769">
      <c r="A4769" t="inlineStr">
        <is>
          <t>CO-002698</t>
        </is>
      </c>
      <c r="B4769" t="inlineStr">
        <is>
          <t>PERU MASIVO S.A.</t>
        </is>
      </c>
      <c r="C4769" t="inlineStr">
        <is>
          <t>20492392031</t>
        </is>
      </c>
      <c r="D4769" t="inlineStr">
        <is>
          <t>AV. LOS INCAS CDRA. 4 PATIO NORTE - COMAS</t>
        </is>
      </c>
      <c r="E4769" t="inlineStr">
        <is>
          <t>11 de abril del 2026</t>
        </is>
      </c>
      <c r="F4769" t="inlineStr">
        <is>
          <t>la Recarga y mantenimiento</t>
        </is>
      </c>
      <c r="G4769" t="n">
        <v>14</v>
      </c>
      <c r="H4769" t="inlineStr">
        <is>
          <t>06 KG</t>
        </is>
      </c>
      <c r="I4769" t="n">
        <v>2028</v>
      </c>
      <c r="J4769" t="n">
        <v>2010</v>
      </c>
      <c r="K4769" t="inlineStr">
        <is>
          <t>ABRIL 2026</t>
        </is>
      </c>
      <c r="L4769" t="inlineStr">
        <is>
          <t>ABRIL 2027</t>
        </is>
      </c>
      <c r="M4769" t="inlineStr">
        <is>
          <t>PQS/ABC AL 90%</t>
        </is>
      </c>
      <c r="N4769" t="inlineStr">
        <is>
          <t>122/000008</t>
        </is>
      </c>
      <c r="O4769" t="inlineStr">
        <is>
          <t>R</t>
        </is>
      </c>
      <c r="P4769">
        <f>TRIM(N4769)</f>
        <v/>
      </c>
    </row>
    <row r="4770">
      <c r="A4770" t="inlineStr">
        <is>
          <t>CO-002700</t>
        </is>
      </c>
      <c r="B4770" t="inlineStr">
        <is>
          <t>BRITISH AMERICAN HOSPITAL S.A. - CLINICA ANGLOAMERICANA</t>
        </is>
      </c>
      <c r="C4770" t="inlineStr">
        <is>
          <t>20107695584</t>
        </is>
      </c>
      <c r="D4770" t="inlineStr">
        <is>
          <t xml:space="preserve">AV. LA FONTANA 362 - LA MOLINA </t>
        </is>
      </c>
      <c r="E4770" t="inlineStr">
        <is>
          <t>11 de abril del 2026</t>
        </is>
      </c>
      <c r="F4770" t="inlineStr">
        <is>
          <t>La venta</t>
        </is>
      </c>
      <c r="G4770" t="n">
        <v>1</v>
      </c>
      <c r="H4770" t="inlineStr">
        <is>
          <t>06 KG</t>
        </is>
      </c>
      <c r="I4770" t="n">
        <v>2026</v>
      </c>
      <c r="J4770" t="n">
        <v>2031</v>
      </c>
      <c r="K4770" t="inlineStr">
        <is>
          <t>ABRIL 2026</t>
        </is>
      </c>
      <c r="L4770" t="inlineStr">
        <is>
          <t>ABRIL 2027</t>
        </is>
      </c>
      <c r="M4770" t="inlineStr">
        <is>
          <t xml:space="preserve">PQS TIPO ABC AL 75% </t>
        </is>
      </c>
      <c r="N4770" t="inlineStr">
        <is>
          <t>E-018/003040</t>
        </is>
      </c>
      <c r="O4770" t="inlineStr">
        <is>
          <t>V</t>
        </is>
      </c>
      <c r="P4770">
        <f>TRIM(N4770)</f>
        <v/>
      </c>
    </row>
    <row r="4771">
      <c r="A4771" t="inlineStr">
        <is>
          <t>CO-002701</t>
        </is>
      </c>
      <c r="B4771" t="inlineStr">
        <is>
          <t xml:space="preserve">INDEXTU SAC </t>
        </is>
      </c>
      <c r="C4771" t="inlineStr">
        <is>
          <t>20602503039</t>
        </is>
      </c>
      <c r="D4771" t="inlineStr">
        <is>
          <t xml:space="preserve"> AV. MAQUINARIAS NRO. 2341 Z.I. INDUSTRIAL, LIMA</t>
        </is>
      </c>
      <c r="E4771" t="inlineStr">
        <is>
          <t>14 de abril del 2026</t>
        </is>
      </c>
      <c r="F4771" t="inlineStr">
        <is>
          <t>el mantenimiento</t>
        </is>
      </c>
      <c r="G4771" t="inlineStr">
        <is>
          <t>01</t>
        </is>
      </c>
      <c r="H4771" t="inlineStr">
        <is>
          <t xml:space="preserve">12 KG </t>
        </is>
      </c>
      <c r="I4771" t="inlineStr">
        <is>
          <t>2027</t>
        </is>
      </c>
      <c r="J4771" t="n">
        <v>2022</v>
      </c>
      <c r="K4771" t="inlineStr">
        <is>
          <t>ABRIL 2026</t>
        </is>
      </c>
      <c r="L4771" t="inlineStr">
        <is>
          <t>ABRIL 2027</t>
        </is>
      </c>
      <c r="M4771" t="inlineStr">
        <is>
          <t xml:space="preserve">P.Q.S.  TIPO ABC AL 90% UL </t>
        </is>
      </c>
      <c r="N4771" t="inlineStr">
        <is>
          <t>23/000121</t>
        </is>
      </c>
      <c r="O4771" t="inlineStr">
        <is>
          <t>M4</t>
        </is>
      </c>
      <c r="P4771">
        <f>TRIM(N4771)</f>
        <v/>
      </c>
    </row>
    <row r="4772">
      <c r="A4772" t="inlineStr">
        <is>
          <t>CO-002701</t>
        </is>
      </c>
      <c r="B4772" t="inlineStr">
        <is>
          <t xml:space="preserve">INDEXTU SAC </t>
        </is>
      </c>
      <c r="C4772" t="inlineStr">
        <is>
          <t>20602503039</t>
        </is>
      </c>
      <c r="D4772" t="inlineStr">
        <is>
          <t xml:space="preserve"> AV. MAQUINARIAS NRO. 2341 Z.I. INDUSTRIAL, LIMA</t>
        </is>
      </c>
      <c r="E4772" t="inlineStr">
        <is>
          <t>14 de abril del 2026</t>
        </is>
      </c>
      <c r="F4772" t="inlineStr">
        <is>
          <t>el mantenimiento</t>
        </is>
      </c>
      <c r="G4772" t="inlineStr">
        <is>
          <t>02</t>
        </is>
      </c>
      <c r="H4772" t="inlineStr">
        <is>
          <t>12 KG</t>
        </is>
      </c>
      <c r="I4772" t="inlineStr">
        <is>
          <t>2027</t>
        </is>
      </c>
      <c r="J4772" t="n">
        <v>2022</v>
      </c>
      <c r="K4772" t="inlineStr">
        <is>
          <t>ABRIL 2026</t>
        </is>
      </c>
      <c r="L4772" t="inlineStr">
        <is>
          <t>ABRIL 2027</t>
        </is>
      </c>
      <c r="M4772" t="inlineStr">
        <is>
          <t xml:space="preserve">P.Q.S.  TIPO ABC AL 90% UL </t>
        </is>
      </c>
      <c r="N4772" t="inlineStr">
        <is>
          <t>20/000086</t>
        </is>
      </c>
      <c r="O4772" t="inlineStr">
        <is>
          <t>M4</t>
        </is>
      </c>
      <c r="P4772">
        <f>TRIM(N4772)</f>
        <v/>
      </c>
    </row>
    <row r="4773">
      <c r="A4773" t="inlineStr">
        <is>
          <t>CO-002701</t>
        </is>
      </c>
      <c r="B4773" t="inlineStr">
        <is>
          <t xml:space="preserve">INDEXTU SAC </t>
        </is>
      </c>
      <c r="C4773" t="inlineStr">
        <is>
          <t>20602503039</t>
        </is>
      </c>
      <c r="D4773" t="inlineStr">
        <is>
          <t xml:space="preserve"> AV. MAQUINARIAS NRO. 2341 Z.I. INDUSTRIAL, LIMA</t>
        </is>
      </c>
      <c r="E4773" t="inlineStr">
        <is>
          <t>14 de abril del 2026</t>
        </is>
      </c>
      <c r="F4773" t="inlineStr">
        <is>
          <t>el mantenimiento</t>
        </is>
      </c>
      <c r="G4773" t="inlineStr">
        <is>
          <t>03</t>
        </is>
      </c>
      <c r="H4773" t="inlineStr">
        <is>
          <t>12 KG</t>
        </is>
      </c>
      <c r="I4773" t="inlineStr">
        <is>
          <t>2027</t>
        </is>
      </c>
      <c r="J4773" t="n">
        <v>2022</v>
      </c>
      <c r="K4773" t="inlineStr">
        <is>
          <t>ABRIL 2026</t>
        </is>
      </c>
      <c r="L4773" t="inlineStr">
        <is>
          <t>ABRIL 2027</t>
        </is>
      </c>
      <c r="M4773" t="inlineStr">
        <is>
          <t xml:space="preserve">P.Q.S.  TIPO ABC AL 90% UL </t>
        </is>
      </c>
      <c r="N4773" t="inlineStr">
        <is>
          <t>06/000180</t>
        </is>
      </c>
      <c r="O4773" t="inlineStr">
        <is>
          <t>M4</t>
        </is>
      </c>
      <c r="P4773">
        <f>TRIM(N4773)</f>
        <v/>
      </c>
    </row>
    <row r="4774">
      <c r="A4774" t="inlineStr">
        <is>
          <t>CO-002701</t>
        </is>
      </c>
      <c r="B4774" t="inlineStr">
        <is>
          <t xml:space="preserve">INDEXTU SAC </t>
        </is>
      </c>
      <c r="C4774" t="inlineStr">
        <is>
          <t>20602503039</t>
        </is>
      </c>
      <c r="D4774" t="inlineStr">
        <is>
          <t xml:space="preserve"> AV. MAQUINARIAS NRO. 2341 Z.I. INDUSTRIAL, LIMA</t>
        </is>
      </c>
      <c r="E4774" t="inlineStr">
        <is>
          <t>14 de abril del 2026</t>
        </is>
      </c>
      <c r="F4774" t="inlineStr">
        <is>
          <t>el mantenimiento</t>
        </is>
      </c>
      <c r="G4774" t="inlineStr">
        <is>
          <t>04</t>
        </is>
      </c>
      <c r="H4774" t="inlineStr">
        <is>
          <t>12 KG</t>
        </is>
      </c>
      <c r="I4774" t="inlineStr">
        <is>
          <t>2027</t>
        </is>
      </c>
      <c r="J4774" t="n">
        <v>2022</v>
      </c>
      <c r="K4774" t="inlineStr">
        <is>
          <t>ABRIL 2026</t>
        </is>
      </c>
      <c r="L4774" t="inlineStr">
        <is>
          <t>ABRIL 2027</t>
        </is>
      </c>
      <c r="M4774" t="inlineStr">
        <is>
          <t xml:space="preserve">P.Q.S.  TIPO ABC AL 90% UL </t>
        </is>
      </c>
      <c r="N4774" t="inlineStr">
        <is>
          <t>16/000111</t>
        </is>
      </c>
      <c r="O4774" t="inlineStr">
        <is>
          <t>M4</t>
        </is>
      </c>
      <c r="P4774">
        <f>TRIM(N4774)</f>
        <v/>
      </c>
    </row>
    <row r="4775">
      <c r="A4775" t="inlineStr">
        <is>
          <t>CO-002701</t>
        </is>
      </c>
      <c r="B4775" t="inlineStr">
        <is>
          <t xml:space="preserve">INDEXTU SAC </t>
        </is>
      </c>
      <c r="C4775" t="inlineStr">
        <is>
          <t>20602503039</t>
        </is>
      </c>
      <c r="D4775" t="inlineStr">
        <is>
          <t xml:space="preserve"> AV. MAQUINARIAS NRO. 2341 Z.I. INDUSTRIAL, LIMA</t>
        </is>
      </c>
      <c r="E4775" t="inlineStr">
        <is>
          <t>14 de abril del 2026</t>
        </is>
      </c>
      <c r="F4775" t="inlineStr">
        <is>
          <t>el mantenimiento</t>
        </is>
      </c>
      <c r="G4775" t="inlineStr">
        <is>
          <t>05</t>
        </is>
      </c>
      <c r="H4775" t="inlineStr">
        <is>
          <t>06 KG</t>
        </is>
      </c>
      <c r="I4775" t="inlineStr">
        <is>
          <t>2027</t>
        </is>
      </c>
      <c r="J4775" t="n">
        <v>2022</v>
      </c>
      <c r="K4775" t="inlineStr">
        <is>
          <t>ABRIL 2026</t>
        </is>
      </c>
      <c r="L4775" t="inlineStr">
        <is>
          <t>ABRIL 2027</t>
        </is>
      </c>
      <c r="M4775" t="inlineStr">
        <is>
          <t xml:space="preserve">P.Q.S.  TIPO ABC AL 90% UL </t>
        </is>
      </c>
      <c r="N4775" t="inlineStr">
        <is>
          <t>13/001174</t>
        </is>
      </c>
      <c r="O4775" t="inlineStr">
        <is>
          <t>M4</t>
        </is>
      </c>
      <c r="P4775">
        <f>TRIM(N4775)</f>
        <v/>
      </c>
    </row>
    <row r="4776">
      <c r="A4776" t="inlineStr">
        <is>
          <t>CO-002702</t>
        </is>
      </c>
      <c r="B4776" t="inlineStr">
        <is>
          <t>GACSA PERU S.A.C.</t>
        </is>
      </c>
      <c r="C4776" t="n">
        <v>20602629068</v>
      </c>
      <c r="D4776" t="inlineStr">
        <is>
          <t>MALL DEL SUR TIENDA OMODA</t>
        </is>
      </c>
      <c r="E4776" t="inlineStr">
        <is>
          <t>Lima, 15 de abril del 2026</t>
        </is>
      </c>
      <c r="F4776" t="inlineStr">
        <is>
          <t>La venta</t>
        </is>
      </c>
      <c r="G4776" t="n">
        <v>1</v>
      </c>
      <c r="H4776" t="inlineStr">
        <is>
          <t>06 KG</t>
        </is>
      </c>
      <c r="I4776" t="n">
        <v>2031</v>
      </c>
      <c r="J4776" t="n">
        <v>2026</v>
      </c>
      <c r="K4776" t="inlineStr">
        <is>
          <t>ABRIL 2026</t>
        </is>
      </c>
      <c r="L4776" t="inlineStr">
        <is>
          <t>ABRIL 2027</t>
        </is>
      </c>
      <c r="M4776" t="inlineStr">
        <is>
          <t>PQS TIPO ABC</t>
        </is>
      </c>
      <c r="N4776" t="inlineStr">
        <is>
          <t>01/163722</t>
        </is>
      </c>
      <c r="O4776" t="inlineStr">
        <is>
          <t>V</t>
        </is>
      </c>
      <c r="P4776">
        <f>TRIM(N4776)</f>
        <v/>
      </c>
    </row>
    <row r="4777">
      <c r="A4777" t="inlineStr">
        <is>
          <t>CO-002702</t>
        </is>
      </c>
      <c r="B4777" t="inlineStr">
        <is>
          <t>GACSA PERU S.A.C.</t>
        </is>
      </c>
      <c r="C4777" t="n">
        <v>20602629068</v>
      </c>
      <c r="D4777" t="inlineStr">
        <is>
          <t>MALL DEL SUR TIENDA OMODA</t>
        </is>
      </c>
      <c r="E4777" t="inlineStr">
        <is>
          <t>Lima, 15 de abril del 2026</t>
        </is>
      </c>
      <c r="F4777" t="inlineStr">
        <is>
          <t>La venta</t>
        </is>
      </c>
      <c r="G4777" t="n">
        <v>2</v>
      </c>
      <c r="H4777" t="inlineStr">
        <is>
          <t>06 KG</t>
        </is>
      </c>
      <c r="I4777" t="n">
        <v>2031</v>
      </c>
      <c r="J4777" t="n">
        <v>2026</v>
      </c>
      <c r="K4777" t="inlineStr">
        <is>
          <t>ABRIL 2026</t>
        </is>
      </c>
      <c r="L4777" t="inlineStr">
        <is>
          <t>ABRIL 2027</t>
        </is>
      </c>
      <c r="M4777" t="inlineStr">
        <is>
          <t>PQS TIPO ABC</t>
        </is>
      </c>
      <c r="N4777" t="inlineStr">
        <is>
          <t>02/156198</t>
        </is>
      </c>
      <c r="O4777" t="inlineStr">
        <is>
          <t>V</t>
        </is>
      </c>
      <c r="P4777">
        <f>TRIM(N4777)</f>
        <v/>
      </c>
    </row>
    <row r="4778">
      <c r="A4778" t="inlineStr">
        <is>
          <t>CO-002702</t>
        </is>
      </c>
      <c r="B4778" t="inlineStr">
        <is>
          <t>GACSA PERU S.A.C.</t>
        </is>
      </c>
      <c r="C4778" t="n">
        <v>20602629068</v>
      </c>
      <c r="D4778" t="inlineStr">
        <is>
          <t>MALL DEL SUR TIENDA OMODA</t>
        </is>
      </c>
      <c r="E4778" t="inlineStr">
        <is>
          <t>Lima, 15 de abril del 2026</t>
        </is>
      </c>
      <c r="F4778" t="inlineStr">
        <is>
          <t>La venta</t>
        </is>
      </c>
      <c r="G4778" t="n">
        <v>3</v>
      </c>
      <c r="H4778" t="inlineStr">
        <is>
          <t>10 LBS</t>
        </is>
      </c>
      <c r="I4778" t="n">
        <v>2030</v>
      </c>
      <c r="J4778" t="n">
        <v>2025</v>
      </c>
      <c r="K4778" t="inlineStr">
        <is>
          <t>ABRIL 2026</t>
        </is>
      </c>
      <c r="L4778" t="inlineStr">
        <is>
          <t>ABRIL 2027</t>
        </is>
      </c>
      <c r="M4778" t="inlineStr">
        <is>
          <t>CO2 TIPO BC</t>
        </is>
      </c>
      <c r="N4778" t="inlineStr">
        <is>
          <t>03/000525</t>
        </is>
      </c>
      <c r="O4778" t="inlineStr">
        <is>
          <t>V</t>
        </is>
      </c>
      <c r="P4778">
        <f>TRIM(N4778)</f>
        <v/>
      </c>
    </row>
    <row r="4779">
      <c r="A4779" t="inlineStr">
        <is>
          <t>CO-002703</t>
        </is>
      </c>
      <c r="B4779" t="inlineStr">
        <is>
          <t>PERU MASIVO S.A.</t>
        </is>
      </c>
      <c r="C4779" t="inlineStr">
        <is>
          <t>20492392031</t>
        </is>
      </c>
      <c r="D4779" t="inlineStr">
        <is>
          <t>AV. LOS INCAS CDRA. 4 PATIO NORTE - COMAS</t>
        </is>
      </c>
      <c r="E4779" t="inlineStr">
        <is>
          <t>20 de abril del 2026</t>
        </is>
      </c>
      <c r="F4779" t="inlineStr">
        <is>
          <t>la Recarga y mantenimiento</t>
        </is>
      </c>
      <c r="G4779" t="n">
        <v>1</v>
      </c>
      <c r="H4779" t="inlineStr">
        <is>
          <t>06 KG</t>
        </is>
      </c>
      <c r="I4779" t="n">
        <v>2029</v>
      </c>
      <c r="J4779" t="n">
        <v>2009</v>
      </c>
      <c r="K4779" t="inlineStr">
        <is>
          <t>ABRIL 2026</t>
        </is>
      </c>
      <c r="L4779" t="inlineStr">
        <is>
          <t>ABRIL 2027</t>
        </is>
      </c>
      <c r="M4779" t="inlineStr">
        <is>
          <t>PQS/ABC AL 90%</t>
        </is>
      </c>
      <c r="N4779" t="inlineStr">
        <is>
          <t>218/000980</t>
        </is>
      </c>
      <c r="O4779" t="inlineStr">
        <is>
          <t>R</t>
        </is>
      </c>
      <c r="P4779">
        <f>TRIM(N4779)</f>
        <v/>
      </c>
    </row>
    <row r="4780">
      <c r="A4780" t="inlineStr">
        <is>
          <t>CO-002703</t>
        </is>
      </c>
      <c r="B4780" t="inlineStr">
        <is>
          <t>PERU MASIVO S.A.</t>
        </is>
      </c>
      <c r="C4780" t="inlineStr">
        <is>
          <t>20492392031</t>
        </is>
      </c>
      <c r="D4780" t="inlineStr">
        <is>
          <t>AV. LOS INCAS CDRA. 4 PATIO NORTE - COMAS</t>
        </is>
      </c>
      <c r="E4780" t="inlineStr">
        <is>
          <t>20 de abril del 2026</t>
        </is>
      </c>
      <c r="F4780" t="inlineStr">
        <is>
          <t>la Recarga y mantenimiento</t>
        </is>
      </c>
      <c r="G4780" t="n">
        <v>2</v>
      </c>
      <c r="H4780" t="inlineStr">
        <is>
          <t>06 KG</t>
        </is>
      </c>
      <c r="I4780" t="n">
        <v>2029</v>
      </c>
      <c r="J4780" t="n">
        <v>2009</v>
      </c>
      <c r="K4780" t="inlineStr">
        <is>
          <t>ABRIL 2026</t>
        </is>
      </c>
      <c r="L4780" t="inlineStr">
        <is>
          <t>ABRIL 2027</t>
        </is>
      </c>
      <c r="M4780" t="inlineStr">
        <is>
          <t>PQS/ABC AL 90%</t>
        </is>
      </c>
      <c r="N4780" t="inlineStr">
        <is>
          <t>182/001279</t>
        </is>
      </c>
      <c r="O4780" t="inlineStr">
        <is>
          <t>R</t>
        </is>
      </c>
      <c r="P4780">
        <f>TRIM(N4780)</f>
        <v/>
      </c>
    </row>
    <row r="4781">
      <c r="A4781" t="inlineStr">
        <is>
          <t>CO-002703</t>
        </is>
      </c>
      <c r="B4781" t="inlineStr">
        <is>
          <t>PERU MASIVO S.A.</t>
        </is>
      </c>
      <c r="C4781" t="inlineStr">
        <is>
          <t>20492392031</t>
        </is>
      </c>
      <c r="D4781" t="inlineStr">
        <is>
          <t>AV. LOS INCAS CDRA. 4 PATIO NORTE - COMAS</t>
        </is>
      </c>
      <c r="E4781" t="inlineStr">
        <is>
          <t>20 de abril del 2026</t>
        </is>
      </c>
      <c r="F4781" t="inlineStr">
        <is>
          <t>la Recarga y mantenimiento</t>
        </is>
      </c>
      <c r="G4781" t="n">
        <v>3</v>
      </c>
      <c r="H4781" t="inlineStr">
        <is>
          <t>06 KG</t>
        </is>
      </c>
      <c r="I4781" t="n">
        <v>2028</v>
      </c>
      <c r="J4781" t="n">
        <v>2015</v>
      </c>
      <c r="K4781" t="inlineStr">
        <is>
          <t>ABRIL 2026</t>
        </is>
      </c>
      <c r="L4781" t="inlineStr">
        <is>
          <t>ABRIL 2027</t>
        </is>
      </c>
      <c r="M4781" t="inlineStr">
        <is>
          <t>PQS/ABC AL 90%</t>
        </is>
      </c>
      <c r="N4781" t="inlineStr">
        <is>
          <t>372/000066</t>
        </is>
      </c>
      <c r="O4781" t="inlineStr">
        <is>
          <t>R</t>
        </is>
      </c>
      <c r="P4781">
        <f>TRIM(N4781)</f>
        <v/>
      </c>
    </row>
    <row r="4782">
      <c r="A4782" t="inlineStr">
        <is>
          <t>CO-002703</t>
        </is>
      </c>
      <c r="B4782" t="inlineStr">
        <is>
          <t>PERU MASIVO S.A.</t>
        </is>
      </c>
      <c r="C4782" t="inlineStr">
        <is>
          <t>20492392031</t>
        </is>
      </c>
      <c r="D4782" t="inlineStr">
        <is>
          <t>AV. LOS INCAS CDRA. 4 PATIO NORTE - COMAS</t>
        </is>
      </c>
      <c r="E4782" t="inlineStr">
        <is>
          <t>20 de abril del 2026</t>
        </is>
      </c>
      <c r="F4782" t="inlineStr">
        <is>
          <t>la Recarga y mantenimiento</t>
        </is>
      </c>
      <c r="G4782" t="n">
        <v>4</v>
      </c>
      <c r="H4782" t="inlineStr">
        <is>
          <t>06 KG</t>
        </is>
      </c>
      <c r="I4782" t="n">
        <v>2029</v>
      </c>
      <c r="J4782" t="n">
        <v>2011</v>
      </c>
      <c r="K4782" t="inlineStr">
        <is>
          <t>ABRIL 2026</t>
        </is>
      </c>
      <c r="L4782" t="inlineStr">
        <is>
          <t>ABRIL 2027</t>
        </is>
      </c>
      <c r="M4782" t="inlineStr">
        <is>
          <t>PQS/ABC AL 90%</t>
        </is>
      </c>
      <c r="N4782" t="inlineStr">
        <is>
          <t>131/000395</t>
        </is>
      </c>
      <c r="O4782" t="inlineStr">
        <is>
          <t>R</t>
        </is>
      </c>
      <c r="P4782">
        <f>TRIM(N4782)</f>
        <v/>
      </c>
    </row>
    <row r="4783">
      <c r="A4783" t="inlineStr">
        <is>
          <t>CO-002703</t>
        </is>
      </c>
      <c r="B4783" t="inlineStr">
        <is>
          <t>PERU MASIVO S.A.</t>
        </is>
      </c>
      <c r="C4783" t="inlineStr">
        <is>
          <t>20492392031</t>
        </is>
      </c>
      <c r="D4783" t="inlineStr">
        <is>
          <t>AV. LOS INCAS CDRA. 4 PATIO NORTE - COMAS</t>
        </is>
      </c>
      <c r="E4783" t="inlineStr">
        <is>
          <t>20 de abril del 2026</t>
        </is>
      </c>
      <c r="F4783" t="inlineStr">
        <is>
          <t>la Recarga y mantenimiento</t>
        </is>
      </c>
      <c r="G4783" t="n">
        <v>5</v>
      </c>
      <c r="H4783" t="inlineStr">
        <is>
          <t>06 KG</t>
        </is>
      </c>
      <c r="I4783" t="n">
        <v>2031</v>
      </c>
      <c r="J4783" t="n">
        <v>2009</v>
      </c>
      <c r="K4783" t="inlineStr">
        <is>
          <t>ABRIL 2026</t>
        </is>
      </c>
      <c r="L4783" t="inlineStr">
        <is>
          <t>ABRIL 2027</t>
        </is>
      </c>
      <c r="M4783" t="inlineStr">
        <is>
          <t>PQS/ABC AL 90%</t>
        </is>
      </c>
      <c r="N4783" t="inlineStr">
        <is>
          <t>204/002339</t>
        </is>
      </c>
      <c r="O4783" t="inlineStr">
        <is>
          <t>R</t>
        </is>
      </c>
      <c r="P4783">
        <f>TRIM(N4783)</f>
        <v/>
      </c>
    </row>
    <row r="4784">
      <c r="A4784" t="inlineStr">
        <is>
          <t>CO-002703</t>
        </is>
      </c>
      <c r="B4784" t="inlineStr">
        <is>
          <t>PERU MASIVO S.A.</t>
        </is>
      </c>
      <c r="C4784" t="inlineStr">
        <is>
          <t>20492392031</t>
        </is>
      </c>
      <c r="D4784" t="inlineStr">
        <is>
          <t>AV. LOS INCAS CDRA. 4 PATIO NORTE - COMAS</t>
        </is>
      </c>
      <c r="E4784" t="inlineStr">
        <is>
          <t>20 de abril del 2026</t>
        </is>
      </c>
      <c r="F4784" t="inlineStr">
        <is>
          <t>la Recarga y mantenimiento</t>
        </is>
      </c>
      <c r="G4784" t="n">
        <v>6</v>
      </c>
      <c r="H4784" t="inlineStr">
        <is>
          <t>06 KG</t>
        </is>
      </c>
      <c r="I4784" t="n">
        <v>2029</v>
      </c>
      <c r="J4784" t="n">
        <v>2017</v>
      </c>
      <c r="K4784" t="inlineStr">
        <is>
          <t>ABRIL 2026</t>
        </is>
      </c>
      <c r="L4784" t="inlineStr">
        <is>
          <t>ABRIL 2027</t>
        </is>
      </c>
      <c r="M4784" t="inlineStr">
        <is>
          <t>PQS/ABC AL 90%</t>
        </is>
      </c>
      <c r="N4784" t="inlineStr">
        <is>
          <t>74/000308</t>
        </is>
      </c>
      <c r="O4784" t="inlineStr">
        <is>
          <t>R</t>
        </is>
      </c>
      <c r="P4784">
        <f>TRIM(N4784)</f>
        <v/>
      </c>
    </row>
    <row r="4785">
      <c r="A4785" t="inlineStr">
        <is>
          <t>CO-002703</t>
        </is>
      </c>
      <c r="B4785" t="inlineStr">
        <is>
          <t>PERU MASIVO S.A.</t>
        </is>
      </c>
      <c r="C4785" t="inlineStr">
        <is>
          <t>20492392031</t>
        </is>
      </c>
      <c r="D4785" t="inlineStr">
        <is>
          <t>AV. LOS INCAS CDRA. 4 PATIO NORTE - COMAS</t>
        </is>
      </c>
      <c r="E4785" t="inlineStr">
        <is>
          <t>20 de abril del 2026</t>
        </is>
      </c>
      <c r="F4785" t="inlineStr">
        <is>
          <t>la Recarga y mantenimiento</t>
        </is>
      </c>
      <c r="G4785" t="n">
        <v>7</v>
      </c>
      <c r="H4785" t="inlineStr">
        <is>
          <t>06 KG</t>
        </is>
      </c>
      <c r="I4785" t="n">
        <v>2028</v>
      </c>
      <c r="J4785" t="n">
        <v>2010</v>
      </c>
      <c r="K4785" t="inlineStr">
        <is>
          <t>ABRIL 2026</t>
        </is>
      </c>
      <c r="L4785" t="inlineStr">
        <is>
          <t>ABRIL 2027</t>
        </is>
      </c>
      <c r="M4785" t="inlineStr">
        <is>
          <t>PQS/ABC AL 90%</t>
        </is>
      </c>
      <c r="N4785" t="inlineStr">
        <is>
          <t>288/000005</t>
        </is>
      </c>
      <c r="O4785" t="inlineStr">
        <is>
          <t>R</t>
        </is>
      </c>
      <c r="P4785">
        <f>TRIM(N4785)</f>
        <v/>
      </c>
    </row>
    <row r="4786">
      <c r="A4786" t="inlineStr">
        <is>
          <t>CO-002704</t>
        </is>
      </c>
      <c r="B4786" t="inlineStr">
        <is>
          <t>GACSA PERU S.A.C.</t>
        </is>
      </c>
      <c r="C4786" t="n">
        <v>20602629068</v>
      </c>
      <c r="D4786" t="inlineStr">
        <is>
          <t>Jr. Morro Solar 690 (ASTARA MORRO SOLAR)</t>
        </is>
      </c>
      <c r="E4786" t="inlineStr">
        <is>
          <t>16 de abril del 2026</t>
        </is>
      </c>
      <c r="F4786" t="inlineStr">
        <is>
          <t>la Recarga y mantenimiento</t>
        </is>
      </c>
      <c r="G4786" t="n">
        <v>1</v>
      </c>
      <c r="H4786" t="inlineStr">
        <is>
          <t>12 KG</t>
        </is>
      </c>
      <c r="I4786" t="n">
        <v>2027</v>
      </c>
      <c r="J4786" t="n">
        <v>2022</v>
      </c>
      <c r="K4786" t="inlineStr">
        <is>
          <t>ABRIL 2026</t>
        </is>
      </c>
      <c r="L4786" t="inlineStr">
        <is>
          <t>ABRIL 2027</t>
        </is>
      </c>
      <c r="M4786" t="inlineStr">
        <is>
          <t>PQS TIPO ABC</t>
        </is>
      </c>
      <c r="N4786" t="inlineStr">
        <is>
          <t>01/000120</t>
        </is>
      </c>
      <c r="O4786" t="inlineStr">
        <is>
          <t>R</t>
        </is>
      </c>
      <c r="P4786">
        <f>TRIM(N4786)</f>
        <v/>
      </c>
    </row>
    <row r="4787">
      <c r="A4787" t="inlineStr">
        <is>
          <t>CO-002704</t>
        </is>
      </c>
      <c r="B4787" t="inlineStr">
        <is>
          <t>GACSA PERU S.A.C.</t>
        </is>
      </c>
      <c r="C4787" t="n">
        <v>20602629068</v>
      </c>
      <c r="D4787" t="inlineStr">
        <is>
          <t>Jr. Morro Solar 690 (ASTARA MORRO SOLAR)</t>
        </is>
      </c>
      <c r="E4787" t="inlineStr">
        <is>
          <t>16 de abril del 2026</t>
        </is>
      </c>
      <c r="F4787" t="inlineStr">
        <is>
          <t>la Recarga y mantenimiento</t>
        </is>
      </c>
      <c r="G4787" t="n">
        <v>2</v>
      </c>
      <c r="H4787" t="inlineStr">
        <is>
          <t>12 KG</t>
        </is>
      </c>
      <c r="I4787" t="n">
        <v>2027</v>
      </c>
      <c r="J4787" t="n">
        <v>2022</v>
      </c>
      <c r="K4787" t="inlineStr">
        <is>
          <t>ABRIL 2026</t>
        </is>
      </c>
      <c r="L4787" t="inlineStr">
        <is>
          <t>ABRIL 2027</t>
        </is>
      </c>
      <c r="M4787" t="inlineStr">
        <is>
          <t>PQS TIPO ABC</t>
        </is>
      </c>
      <c r="N4787" t="inlineStr">
        <is>
          <t>02/000278</t>
        </is>
      </c>
      <c r="O4787" t="inlineStr">
        <is>
          <t>R</t>
        </is>
      </c>
      <c r="P4787">
        <f>TRIM(N4787)</f>
        <v/>
      </c>
    </row>
    <row r="4788">
      <c r="A4788" t="inlineStr">
        <is>
          <t>CO-002704</t>
        </is>
      </c>
      <c r="B4788" t="inlineStr">
        <is>
          <t>GACSA PERU S.A.C.</t>
        </is>
      </c>
      <c r="C4788" t="n">
        <v>20602629068</v>
      </c>
      <c r="D4788" t="inlineStr">
        <is>
          <t>Jr. Morro Solar 690 (ASTARA MORRO SOLAR)</t>
        </is>
      </c>
      <c r="E4788" t="inlineStr">
        <is>
          <t>16 de abril del 2026</t>
        </is>
      </c>
      <c r="F4788" t="inlineStr">
        <is>
          <t>la Recarga y mantenimiento</t>
        </is>
      </c>
      <c r="G4788" t="n">
        <v>3</v>
      </c>
      <c r="H4788" t="inlineStr">
        <is>
          <t>15 LBS</t>
        </is>
      </c>
      <c r="I4788" t="n">
        <v>2031</v>
      </c>
      <c r="J4788" t="n">
        <v>2021</v>
      </c>
      <c r="K4788" t="inlineStr">
        <is>
          <t>ABRIL 2026</t>
        </is>
      </c>
      <c r="L4788" t="inlineStr">
        <is>
          <t>ABRIL 2027</t>
        </is>
      </c>
      <c r="M4788" t="inlineStr">
        <is>
          <t>CO2 TIPO BC</t>
        </is>
      </c>
      <c r="N4788" t="inlineStr">
        <is>
          <t>03/000195</t>
        </is>
      </c>
      <c r="O4788" t="inlineStr">
        <is>
          <t>R</t>
        </is>
      </c>
      <c r="P4788">
        <f>TRIM(N4788)</f>
        <v/>
      </c>
    </row>
    <row r="4789">
      <c r="A4789" t="inlineStr">
        <is>
          <t>CO-002704</t>
        </is>
      </c>
      <c r="B4789" t="inlineStr">
        <is>
          <t>GACSA PERU S.A.C.</t>
        </is>
      </c>
      <c r="C4789" t="n">
        <v>20602629068</v>
      </c>
      <c r="D4789" t="inlineStr">
        <is>
          <t>Jr. Morro Solar 690 (ASTARA MORRO SOLAR)</t>
        </is>
      </c>
      <c r="E4789" t="inlineStr">
        <is>
          <t>16 de abril del 2026</t>
        </is>
      </c>
      <c r="F4789" t="inlineStr">
        <is>
          <t>la Recarga y mantenimiento</t>
        </is>
      </c>
      <c r="G4789" t="n">
        <v>4</v>
      </c>
      <c r="H4789" t="inlineStr">
        <is>
          <t>12 KG</t>
        </is>
      </c>
      <c r="I4789" t="n">
        <v>2029</v>
      </c>
      <c r="J4789" t="n">
        <v>2011</v>
      </c>
      <c r="K4789" t="inlineStr">
        <is>
          <t>ABRIL 2026</t>
        </is>
      </c>
      <c r="L4789" t="inlineStr">
        <is>
          <t>ABRIL 2027</t>
        </is>
      </c>
      <c r="M4789" t="inlineStr">
        <is>
          <t>PQS TIPO ABC</t>
        </is>
      </c>
      <c r="N4789" t="inlineStr">
        <is>
          <t>04/001948</t>
        </is>
      </c>
      <c r="O4789" t="inlineStr">
        <is>
          <t>R</t>
        </is>
      </c>
      <c r="P4789">
        <f>TRIM(N4789)</f>
        <v/>
      </c>
    </row>
    <row r="4790">
      <c r="A4790" t="inlineStr">
        <is>
          <t>CO-002704</t>
        </is>
      </c>
      <c r="B4790" t="inlineStr">
        <is>
          <t>GACSA PERU S.A.C.</t>
        </is>
      </c>
      <c r="C4790" t="n">
        <v>20602629068</v>
      </c>
      <c r="D4790" t="inlineStr">
        <is>
          <t>Jr. Morro Solar 690 (ASTARA MORRO SOLAR)</t>
        </is>
      </c>
      <c r="E4790" t="inlineStr">
        <is>
          <t>16 de abril del 2026</t>
        </is>
      </c>
      <c r="F4790" t="inlineStr">
        <is>
          <t>la Recarga y mantenimiento</t>
        </is>
      </c>
      <c r="G4790" t="n">
        <v>5</v>
      </c>
      <c r="H4790" t="inlineStr">
        <is>
          <t>12 KG</t>
        </is>
      </c>
      <c r="I4790" t="n">
        <v>2030</v>
      </c>
      <c r="J4790" t="n">
        <v>2015</v>
      </c>
      <c r="K4790" t="inlineStr">
        <is>
          <t>ABRIL 2026</t>
        </is>
      </c>
      <c r="L4790" t="inlineStr">
        <is>
          <t>ABRIL 2027</t>
        </is>
      </c>
      <c r="M4790" t="inlineStr">
        <is>
          <t>PQS TIPO ABC</t>
        </is>
      </c>
      <c r="N4790" t="inlineStr">
        <is>
          <t>05/002566</t>
        </is>
      </c>
      <c r="O4790" t="inlineStr">
        <is>
          <t>R</t>
        </is>
      </c>
      <c r="P4790">
        <f>TRIM(N4790)</f>
        <v/>
      </c>
    </row>
    <row r="4791">
      <c r="A4791" t="inlineStr">
        <is>
          <t>CO-002704</t>
        </is>
      </c>
      <c r="B4791" t="inlineStr">
        <is>
          <t>GACSA PERU S.A.C.</t>
        </is>
      </c>
      <c r="C4791" t="n">
        <v>20602629068</v>
      </c>
      <c r="D4791" t="inlineStr">
        <is>
          <t>Jr. Morro Solar 690 (ASTARA MORRO SOLAR)</t>
        </is>
      </c>
      <c r="E4791" t="inlineStr">
        <is>
          <t>16 de abril del 2026</t>
        </is>
      </c>
      <c r="F4791" t="inlineStr">
        <is>
          <t>la Recarga y mantenimiento</t>
        </is>
      </c>
      <c r="G4791" t="n">
        <v>6</v>
      </c>
      <c r="H4791" t="inlineStr">
        <is>
          <t>06 KG</t>
        </is>
      </c>
      <c r="I4791" t="n">
        <v>2031</v>
      </c>
      <c r="J4791" t="n">
        <v>2026</v>
      </c>
      <c r="K4791" t="inlineStr">
        <is>
          <t>ABRIL 2026</t>
        </is>
      </c>
      <c r="L4791" t="inlineStr">
        <is>
          <t>ABRIL 2027</t>
        </is>
      </c>
      <c r="M4791" t="inlineStr">
        <is>
          <t>PQS TIPO ABC</t>
        </is>
      </c>
      <c r="N4791" t="inlineStr">
        <is>
          <t>06/000001</t>
        </is>
      </c>
      <c r="O4791" t="inlineStr">
        <is>
          <t>R</t>
        </is>
      </c>
      <c r="P4791">
        <f>TRIM(N4791)</f>
        <v/>
      </c>
    </row>
    <row r="4792">
      <c r="A4792" t="inlineStr">
        <is>
          <t>CO-002704</t>
        </is>
      </c>
      <c r="B4792" t="inlineStr">
        <is>
          <t>GACSA PERU S.A.C.</t>
        </is>
      </c>
      <c r="C4792" t="n">
        <v>20602629068</v>
      </c>
      <c r="D4792" t="inlineStr">
        <is>
          <t>Jr. Morro Solar 690 (ASTARA MORRO SOLAR)</t>
        </is>
      </c>
      <c r="E4792" t="inlineStr">
        <is>
          <t>16 de abril del 2026</t>
        </is>
      </c>
      <c r="F4792" t="inlineStr">
        <is>
          <t>la Recarga y mantenimiento</t>
        </is>
      </c>
      <c r="G4792" t="n">
        <v>7</v>
      </c>
      <c r="H4792" t="inlineStr">
        <is>
          <t>06 KG</t>
        </is>
      </c>
      <c r="I4792" t="n">
        <v>2030</v>
      </c>
      <c r="J4792" t="n">
        <v>2020</v>
      </c>
      <c r="K4792" t="inlineStr">
        <is>
          <t>ABRIL 2026</t>
        </is>
      </c>
      <c r="L4792" t="inlineStr">
        <is>
          <t>ABRIL 2027</t>
        </is>
      </c>
      <c r="M4792" t="inlineStr">
        <is>
          <t>PQS TIPO ABC</t>
        </is>
      </c>
      <c r="N4792" t="inlineStr">
        <is>
          <t>07/010271</t>
        </is>
      </c>
      <c r="O4792" t="inlineStr">
        <is>
          <t>R</t>
        </is>
      </c>
      <c r="P4792">
        <f>TRIM(N4792)</f>
        <v/>
      </c>
    </row>
    <row r="4793">
      <c r="A4793" t="inlineStr">
        <is>
          <t>CO-002704</t>
        </is>
      </c>
      <c r="B4793" t="inlineStr">
        <is>
          <t>GACSA PERU S.A.C.</t>
        </is>
      </c>
      <c r="C4793" t="n">
        <v>20602629068</v>
      </c>
      <c r="D4793" t="inlineStr">
        <is>
          <t>Jr. Morro Solar 690 (ASTARA MORRO SOLAR)</t>
        </is>
      </c>
      <c r="E4793" t="inlineStr">
        <is>
          <t>16 de abril del 2026</t>
        </is>
      </c>
      <c r="F4793" t="inlineStr">
        <is>
          <t>la Recarga y mantenimiento</t>
        </is>
      </c>
      <c r="G4793" t="n">
        <v>8</v>
      </c>
      <c r="H4793" t="inlineStr">
        <is>
          <t>10 LBS</t>
        </is>
      </c>
      <c r="I4793" t="n">
        <v>2027</v>
      </c>
      <c r="J4793" t="n">
        <v>2022</v>
      </c>
      <c r="K4793" t="inlineStr">
        <is>
          <t>ABRIL 2026</t>
        </is>
      </c>
      <c r="L4793" t="inlineStr">
        <is>
          <t>ABRIL 2027</t>
        </is>
      </c>
      <c r="M4793" t="inlineStr">
        <is>
          <t>CO2 TIPO BC</t>
        </is>
      </c>
      <c r="N4793" t="inlineStr">
        <is>
          <t>08/000375</t>
        </is>
      </c>
      <c r="O4793" t="inlineStr">
        <is>
          <t>R</t>
        </is>
      </c>
      <c r="P4793">
        <f>TRIM(N4793)</f>
        <v/>
      </c>
    </row>
    <row r="4794">
      <c r="A4794" t="inlineStr">
        <is>
          <t>CO-002704</t>
        </is>
      </c>
      <c r="B4794" t="inlineStr">
        <is>
          <t>GACSA PERU S.A.C.</t>
        </is>
      </c>
      <c r="C4794" t="n">
        <v>20602629068</v>
      </c>
      <c r="D4794" t="inlineStr">
        <is>
          <t>Jr. Morro Solar 690 (ASTARA MORRO SOLAR)</t>
        </is>
      </c>
      <c r="E4794" t="inlineStr">
        <is>
          <t>16 de abril del 2026</t>
        </is>
      </c>
      <c r="F4794" t="inlineStr">
        <is>
          <t>la Recarga y mantenimiento</t>
        </is>
      </c>
      <c r="G4794" t="n">
        <v>9</v>
      </c>
      <c r="H4794" t="inlineStr">
        <is>
          <t>12 KG</t>
        </is>
      </c>
      <c r="I4794" t="n">
        <v>2031</v>
      </c>
      <c r="J4794" t="n">
        <v>2007</v>
      </c>
      <c r="K4794" t="inlineStr">
        <is>
          <t>ABRIL 2026</t>
        </is>
      </c>
      <c r="L4794" t="inlineStr">
        <is>
          <t>ABRIL 2027</t>
        </is>
      </c>
      <c r="M4794" t="inlineStr">
        <is>
          <t>PQS TIPO ABC</t>
        </is>
      </c>
      <c r="N4794" t="inlineStr">
        <is>
          <t>09/000196</t>
        </is>
      </c>
      <c r="O4794" t="inlineStr">
        <is>
          <t>R</t>
        </is>
      </c>
      <c r="P4794">
        <f>TRIM(N4794)</f>
        <v/>
      </c>
    </row>
    <row r="4795">
      <c r="A4795" t="inlineStr">
        <is>
          <t>CO-002704</t>
        </is>
      </c>
      <c r="B4795" t="inlineStr">
        <is>
          <t>GACSA PERU S.A.C.</t>
        </is>
      </c>
      <c r="C4795" t="n">
        <v>20602629068</v>
      </c>
      <c r="D4795" t="inlineStr">
        <is>
          <t>Jr. Morro Solar 690 (ASTARA MORRO SOLAR)</t>
        </is>
      </c>
      <c r="E4795" t="inlineStr">
        <is>
          <t>16 de abril del 2026</t>
        </is>
      </c>
      <c r="F4795" t="inlineStr">
        <is>
          <t>la Recarga y mantenimiento</t>
        </is>
      </c>
      <c r="G4795" t="n">
        <v>10</v>
      </c>
      <c r="H4795" t="inlineStr">
        <is>
          <t>06 KG</t>
        </is>
      </c>
      <c r="I4795" t="n">
        <v>2031</v>
      </c>
      <c r="J4795" t="n">
        <v>2026</v>
      </c>
      <c r="K4795" t="inlineStr">
        <is>
          <t>ABRIL 2026</t>
        </is>
      </c>
      <c r="L4795" t="inlineStr">
        <is>
          <t>ABRIL 2027</t>
        </is>
      </c>
      <c r="M4795" t="inlineStr">
        <is>
          <t>PQS TIPO ABC</t>
        </is>
      </c>
      <c r="N4795" t="inlineStr">
        <is>
          <t>10/156307</t>
        </is>
      </c>
      <c r="O4795" t="inlineStr">
        <is>
          <t>V</t>
        </is>
      </c>
      <c r="P4795">
        <f>TRIM(N4795)</f>
        <v/>
      </c>
    </row>
    <row r="4796">
      <c r="A4796" t="inlineStr">
        <is>
          <t>CO-002704</t>
        </is>
      </c>
      <c r="B4796" t="inlineStr">
        <is>
          <t>GACSA PERU S.A.C.</t>
        </is>
      </c>
      <c r="C4796" t="n">
        <v>20602629068</v>
      </c>
      <c r="D4796" t="inlineStr">
        <is>
          <t>Jr. Morro Solar 690 (ASTARA MORRO SOLAR)</t>
        </is>
      </c>
      <c r="E4796" t="inlineStr">
        <is>
          <t>16 de abril del 2026</t>
        </is>
      </c>
      <c r="F4796" t="inlineStr">
        <is>
          <t>la Recarga y mantenimiento</t>
        </is>
      </c>
      <c r="G4796" t="n">
        <v>11</v>
      </c>
      <c r="H4796" t="inlineStr">
        <is>
          <t>50 KG</t>
        </is>
      </c>
      <c r="I4796" t="n">
        <v>2031</v>
      </c>
      <c r="J4796" t="n">
        <v>2021</v>
      </c>
      <c r="K4796" t="inlineStr">
        <is>
          <t>ABRIL 2026</t>
        </is>
      </c>
      <c r="L4796" t="inlineStr">
        <is>
          <t>ABRIL 2027</t>
        </is>
      </c>
      <c r="M4796" t="inlineStr">
        <is>
          <t>PQS TIPO ABC RODANTE</t>
        </is>
      </c>
      <c r="N4796" t="inlineStr">
        <is>
          <t>11/000026</t>
        </is>
      </c>
      <c r="O4796" t="inlineStr">
        <is>
          <t>R</t>
        </is>
      </c>
      <c r="P4796">
        <f>TRIM(N4796)</f>
        <v/>
      </c>
    </row>
    <row r="4797">
      <c r="A4797" t="inlineStr">
        <is>
          <t>CO-002704</t>
        </is>
      </c>
      <c r="B4797" t="inlineStr">
        <is>
          <t>GACSA PERU S.A.C.</t>
        </is>
      </c>
      <c r="C4797" t="n">
        <v>20602629068</v>
      </c>
      <c r="D4797" t="inlineStr">
        <is>
          <t>Jr. Morro Solar 690 (ASTARA MORRO SOLAR)</t>
        </is>
      </c>
      <c r="E4797" t="inlineStr">
        <is>
          <t>16 de abril del 2026</t>
        </is>
      </c>
      <c r="F4797" t="inlineStr">
        <is>
          <t>la Recarga y mantenimiento</t>
        </is>
      </c>
      <c r="G4797" t="n">
        <v>12</v>
      </c>
      <c r="H4797" t="inlineStr">
        <is>
          <t>06 KG</t>
        </is>
      </c>
      <c r="I4797" t="n">
        <v>2030</v>
      </c>
      <c r="J4797" t="n">
        <v>2020</v>
      </c>
      <c r="K4797" t="inlineStr">
        <is>
          <t>ABRIL 2026</t>
        </is>
      </c>
      <c r="L4797" t="inlineStr">
        <is>
          <t>ABRIL 2027</t>
        </is>
      </c>
      <c r="M4797" t="inlineStr">
        <is>
          <t>PQS TIPO ABC</t>
        </is>
      </c>
      <c r="N4797" t="inlineStr">
        <is>
          <t>12/009171</t>
        </is>
      </c>
      <c r="O4797" t="inlineStr">
        <is>
          <t>R</t>
        </is>
      </c>
      <c r="P4797">
        <f>TRIM(N4797)</f>
        <v/>
      </c>
    </row>
    <row r="4798">
      <c r="A4798" t="inlineStr">
        <is>
          <t>CO-002704</t>
        </is>
      </c>
      <c r="B4798" t="inlineStr">
        <is>
          <t>GACSA PERU S.A.C.</t>
        </is>
      </c>
      <c r="C4798" t="n">
        <v>20602629068</v>
      </c>
      <c r="D4798" t="inlineStr">
        <is>
          <t>Jr. Morro Solar 690 (ASTARA MORRO SOLAR)</t>
        </is>
      </c>
      <c r="E4798" t="inlineStr">
        <is>
          <t>16 de abril del 2026</t>
        </is>
      </c>
      <c r="F4798" t="inlineStr">
        <is>
          <t>la Recarga y mantenimiento</t>
        </is>
      </c>
      <c r="G4798" t="n">
        <v>13</v>
      </c>
      <c r="H4798" t="inlineStr">
        <is>
          <t>06 KG</t>
        </is>
      </c>
      <c r="I4798" t="n">
        <v>2029</v>
      </c>
      <c r="J4798" t="n">
        <v>2006</v>
      </c>
      <c r="K4798" t="inlineStr">
        <is>
          <t>ABRIL 2026</t>
        </is>
      </c>
      <c r="L4798" t="inlineStr">
        <is>
          <t>ABRIL 2027</t>
        </is>
      </c>
      <c r="M4798" t="inlineStr">
        <is>
          <t>PQS TIPO ABC</t>
        </is>
      </c>
      <c r="N4798" t="inlineStr">
        <is>
          <t>13/000094</t>
        </is>
      </c>
      <c r="O4798" t="inlineStr">
        <is>
          <t>R</t>
        </is>
      </c>
      <c r="P4798">
        <f>TRIM(N4798)</f>
        <v/>
      </c>
    </row>
    <row r="4799">
      <c r="A4799" t="inlineStr">
        <is>
          <t>CO-002704</t>
        </is>
      </c>
      <c r="B4799" t="inlineStr">
        <is>
          <t>GACSA PERU S.A.C.</t>
        </is>
      </c>
      <c r="C4799" t="n">
        <v>20602629068</v>
      </c>
      <c r="D4799" t="inlineStr">
        <is>
          <t>Jr. Morro Solar 690 (ASTARA MORRO SOLAR)</t>
        </is>
      </c>
      <c r="E4799" t="inlineStr">
        <is>
          <t>16 de abril del 2026</t>
        </is>
      </c>
      <c r="F4799" t="inlineStr">
        <is>
          <t>la Recarga y mantenimiento</t>
        </is>
      </c>
      <c r="G4799" t="n">
        <v>14</v>
      </c>
      <c r="H4799" t="inlineStr">
        <is>
          <t>12 KG</t>
        </is>
      </c>
      <c r="I4799" t="n">
        <v>2030</v>
      </c>
      <c r="J4799" t="n">
        <v>2011</v>
      </c>
      <c r="K4799" t="inlineStr">
        <is>
          <t>ABRIL 2026</t>
        </is>
      </c>
      <c r="L4799" t="inlineStr">
        <is>
          <t>ABRIL 2027</t>
        </is>
      </c>
      <c r="M4799" t="inlineStr">
        <is>
          <t>PQS TIPO ABC</t>
        </is>
      </c>
      <c r="N4799" t="inlineStr">
        <is>
          <t>14/001937</t>
        </is>
      </c>
      <c r="O4799" t="inlineStr">
        <is>
          <t>R</t>
        </is>
      </c>
      <c r="P4799">
        <f>TRIM(N4799)</f>
        <v/>
      </c>
    </row>
    <row r="4800">
      <c r="A4800" t="inlineStr">
        <is>
          <t>CO-002704</t>
        </is>
      </c>
      <c r="B4800" t="inlineStr">
        <is>
          <t>GACSA PERU S.A.C.</t>
        </is>
      </c>
      <c r="C4800" t="n">
        <v>20602629068</v>
      </c>
      <c r="D4800" t="inlineStr">
        <is>
          <t>Jr. Morro Solar 690 (ASTARA MORRO SOLAR)</t>
        </is>
      </c>
      <c r="E4800" t="inlineStr">
        <is>
          <t>16 de abril del 2026</t>
        </is>
      </c>
      <c r="F4800" t="inlineStr">
        <is>
          <t>la Recarga y mantenimiento</t>
        </is>
      </c>
      <c r="G4800" t="n">
        <v>15</v>
      </c>
      <c r="H4800" t="inlineStr">
        <is>
          <t>06 KG</t>
        </is>
      </c>
      <c r="I4800" t="n">
        <v>2031</v>
      </c>
      <c r="J4800" t="n">
        <v>2026</v>
      </c>
      <c r="K4800" t="inlineStr">
        <is>
          <t>ABRIL 2026</t>
        </is>
      </c>
      <c r="L4800" t="inlineStr">
        <is>
          <t>ABRIL 2027</t>
        </is>
      </c>
      <c r="M4800" t="inlineStr">
        <is>
          <t>PQS TIPO ABC</t>
        </is>
      </c>
      <c r="N4800" t="inlineStr">
        <is>
          <t>15/163801</t>
        </is>
      </c>
      <c r="O4800" t="inlineStr">
        <is>
          <t>V</t>
        </is>
      </c>
      <c r="P4800">
        <f>TRIM(N4800)</f>
        <v/>
      </c>
    </row>
    <row r="4801">
      <c r="A4801" t="inlineStr">
        <is>
          <t>CO-002705</t>
        </is>
      </c>
      <c r="B4801" t="inlineStr">
        <is>
          <t>BRITISH AMERICAN HOSPITAL S.A. - CLINICA ANGLOAMERICANA</t>
        </is>
      </c>
      <c r="C4801" t="inlineStr">
        <is>
          <t>20107695584</t>
        </is>
      </c>
      <c r="D4801" t="inlineStr">
        <is>
          <t xml:space="preserve">AV. LA FONTANA 362 - LA MOLINA </t>
        </is>
      </c>
      <c r="E4801" t="inlineStr">
        <is>
          <t>20 de abril del 2026</t>
        </is>
      </c>
      <c r="F4801" t="inlineStr">
        <is>
          <t>la Recarga y mantenimiento</t>
        </is>
      </c>
      <c r="G4801" t="n">
        <v>1</v>
      </c>
      <c r="H4801" t="inlineStr">
        <is>
          <t>06 KG</t>
        </is>
      </c>
      <c r="I4801" t="n">
        <v>2031</v>
      </c>
      <c r="J4801" t="n">
        <v>2017</v>
      </c>
      <c r="K4801" t="inlineStr">
        <is>
          <t>ABRIL 2026</t>
        </is>
      </c>
      <c r="L4801" t="inlineStr">
        <is>
          <t>ABRIL 2027</t>
        </is>
      </c>
      <c r="M4801" t="inlineStr">
        <is>
          <t xml:space="preserve">PQS TIPO ABC AL 75% </t>
        </is>
      </c>
      <c r="N4801" t="inlineStr">
        <is>
          <t>E-032/000275</t>
        </is>
      </c>
      <c r="O4801" t="inlineStr">
        <is>
          <t>R</t>
        </is>
      </c>
      <c r="P4801">
        <f>TRIM(N4801)</f>
        <v/>
      </c>
    </row>
    <row r="4802">
      <c r="A4802" t="inlineStr">
        <is>
          <t>CO-002706</t>
        </is>
      </c>
      <c r="B4802" t="inlineStr">
        <is>
          <t>ECONOCABLE MEDIA SAC</t>
        </is>
      </c>
      <c r="C4802" t="n">
        <v>20508720255</v>
      </c>
      <c r="D4802" t="inlineStr">
        <is>
          <t>MALECON</t>
        </is>
      </c>
      <c r="E4802" t="inlineStr">
        <is>
          <t>07 de abril del 2026</t>
        </is>
      </c>
      <c r="F4802" t="inlineStr">
        <is>
          <t xml:space="preserve">la Recarga y mantenimiento </t>
        </is>
      </c>
      <c r="G4802" t="n">
        <v>1</v>
      </c>
      <c r="H4802" t="inlineStr">
        <is>
          <t>05 LBS</t>
        </is>
      </c>
      <c r="I4802" t="n">
        <v>2031</v>
      </c>
      <c r="J4802" t="n">
        <v>2012</v>
      </c>
      <c r="K4802" t="inlineStr">
        <is>
          <t>ABRIL 2026</t>
        </is>
      </c>
      <c r="L4802" t="inlineStr">
        <is>
          <t>ABRIL 2027</t>
        </is>
      </c>
      <c r="M4802" t="inlineStr">
        <is>
          <t>CO2 TIPO BC</t>
        </is>
      </c>
      <c r="N4802" t="inlineStr">
        <is>
          <t>000081</t>
        </is>
      </c>
      <c r="O4802" t="inlineStr">
        <is>
          <t>R</t>
        </is>
      </c>
      <c r="P4802">
        <f>TRIM(N4802)</f>
        <v/>
      </c>
    </row>
    <row r="4803">
      <c r="A4803" t="inlineStr">
        <is>
          <t>CO-002707</t>
        </is>
      </c>
      <c r="B4803" t="inlineStr">
        <is>
          <t>GACSA PERU S.A.C.</t>
        </is>
      </c>
      <c r="C4803" t="n">
        <v>20602629068</v>
      </c>
      <c r="D4803" t="inlineStr">
        <is>
          <t>Jr. Morro Solar 690 (ASTARA MORRO SOLAR)</t>
        </is>
      </c>
      <c r="E4803" t="inlineStr">
        <is>
          <t>16 de abril del 2026</t>
        </is>
      </c>
      <c r="F4803" t="inlineStr">
        <is>
          <t>la Recarga y mantenimiento</t>
        </is>
      </c>
      <c r="G4803" t="n">
        <v>1</v>
      </c>
      <c r="H4803" t="inlineStr">
        <is>
          <t>10 LBS</t>
        </is>
      </c>
      <c r="I4803" t="n">
        <v>2027</v>
      </c>
      <c r="J4803" t="n">
        <v>2022</v>
      </c>
      <c r="K4803" t="inlineStr">
        <is>
          <t>ABRIL 2026</t>
        </is>
      </c>
      <c r="L4803" t="inlineStr">
        <is>
          <t>ABRIL 2027</t>
        </is>
      </c>
      <c r="M4803" t="inlineStr">
        <is>
          <t>CO2 TIPO BC</t>
        </is>
      </c>
      <c r="N4803" t="inlineStr">
        <is>
          <t>16/0001500</t>
        </is>
      </c>
      <c r="O4803" t="inlineStr">
        <is>
          <t>R</t>
        </is>
      </c>
      <c r="P4803">
        <f>TRIM(N4803)</f>
        <v/>
      </c>
    </row>
    <row r="4804">
      <c r="A4804" t="inlineStr">
        <is>
          <t>CO-002707</t>
        </is>
      </c>
      <c r="B4804" t="inlineStr">
        <is>
          <t>GACSA PERU S.A.C.</t>
        </is>
      </c>
      <c r="C4804" t="n">
        <v>20602629068</v>
      </c>
      <c r="D4804" t="inlineStr">
        <is>
          <t>Jr. Morro Solar 690 (ASTARA MORRO SOLAR)</t>
        </is>
      </c>
      <c r="E4804" t="inlineStr">
        <is>
          <t>16 de abril del 2026</t>
        </is>
      </c>
      <c r="F4804" t="inlineStr">
        <is>
          <t>la Recarga y mantenimiento</t>
        </is>
      </c>
      <c r="G4804" t="n">
        <v>2</v>
      </c>
      <c r="H4804" t="inlineStr">
        <is>
          <t>10 LBS</t>
        </is>
      </c>
      <c r="I4804" t="n">
        <v>2028</v>
      </c>
      <c r="J4804" t="n">
        <v>2023</v>
      </c>
      <c r="K4804" t="inlineStr">
        <is>
          <t>ABRIL 2026</t>
        </is>
      </c>
      <c r="L4804" t="inlineStr">
        <is>
          <t>ABRIL 2027</t>
        </is>
      </c>
      <c r="M4804" t="inlineStr">
        <is>
          <t>CO2 TIPO BC</t>
        </is>
      </c>
      <c r="N4804" t="inlineStr">
        <is>
          <t>17/000057</t>
        </is>
      </c>
      <c r="O4804" t="inlineStr">
        <is>
          <t>R</t>
        </is>
      </c>
      <c r="P4804">
        <f>TRIM(N4804)</f>
        <v/>
      </c>
    </row>
    <row r="4805">
      <c r="A4805" t="inlineStr">
        <is>
          <t>CO-002707</t>
        </is>
      </c>
      <c r="B4805" t="inlineStr">
        <is>
          <t>GACSA PERU S.A.C.</t>
        </is>
      </c>
      <c r="C4805" t="n">
        <v>20602629068</v>
      </c>
      <c r="D4805" t="inlineStr">
        <is>
          <t>Jr. Morro Solar 690 (ASTARA MORRO SOLAR)</t>
        </is>
      </c>
      <c r="E4805" t="inlineStr">
        <is>
          <t>16 de abril del 2026</t>
        </is>
      </c>
      <c r="F4805" t="inlineStr">
        <is>
          <t>la Recarga y mantenimiento</t>
        </is>
      </c>
      <c r="G4805" t="n">
        <v>3</v>
      </c>
      <c r="H4805" t="inlineStr">
        <is>
          <t>12 KG</t>
        </is>
      </c>
      <c r="I4805" t="n">
        <v>2030</v>
      </c>
      <c r="J4805" t="n">
        <v>2010</v>
      </c>
      <c r="K4805" t="inlineStr">
        <is>
          <t>ABRIL 2026</t>
        </is>
      </c>
      <c r="L4805" t="inlineStr">
        <is>
          <t>ABRIL 2027</t>
        </is>
      </c>
      <c r="M4805" t="inlineStr">
        <is>
          <t>PQS TIPO ABC</t>
        </is>
      </c>
      <c r="N4805" t="inlineStr">
        <is>
          <t>18/002083</t>
        </is>
      </c>
      <c r="O4805" t="inlineStr">
        <is>
          <t>R</t>
        </is>
      </c>
      <c r="P4805">
        <f>TRIM(N4805)</f>
        <v/>
      </c>
    </row>
    <row r="4806">
      <c r="A4806" t="inlineStr">
        <is>
          <t>CO-002707</t>
        </is>
      </c>
      <c r="B4806" t="inlineStr">
        <is>
          <t>GACSA PERU S.A.C.</t>
        </is>
      </c>
      <c r="C4806" t="n">
        <v>20602629068</v>
      </c>
      <c r="D4806" t="inlineStr">
        <is>
          <t>Jr. Morro Solar 690 (ASTARA MORRO SOLAR)</t>
        </is>
      </c>
      <c r="E4806" t="inlineStr">
        <is>
          <t>16 de abril del 2026</t>
        </is>
      </c>
      <c r="F4806" t="inlineStr">
        <is>
          <t>la Recarga y mantenimiento</t>
        </is>
      </c>
      <c r="G4806" t="n">
        <v>4</v>
      </c>
      <c r="H4806" t="inlineStr">
        <is>
          <t>06 KG</t>
        </is>
      </c>
      <c r="I4806" t="n">
        <v>2027</v>
      </c>
      <c r="J4806" t="n">
        <v>2012</v>
      </c>
      <c r="K4806" t="inlineStr">
        <is>
          <t>ABRIL 2026</t>
        </is>
      </c>
      <c r="L4806" t="inlineStr">
        <is>
          <t>ABRIL 2027</t>
        </is>
      </c>
      <c r="M4806" t="inlineStr">
        <is>
          <t>PQS TIPO ABC</t>
        </is>
      </c>
      <c r="N4806" t="inlineStr">
        <is>
          <t>19/009557</t>
        </is>
      </c>
      <c r="O4806" t="inlineStr">
        <is>
          <t>R</t>
        </is>
      </c>
      <c r="P4806">
        <f>TRIM(N4806)</f>
        <v/>
      </c>
    </row>
    <row r="4807">
      <c r="A4807" t="inlineStr">
        <is>
          <t>CO-002707</t>
        </is>
      </c>
      <c r="B4807" t="inlineStr">
        <is>
          <t>GACSA PERU S.A.C.</t>
        </is>
      </c>
      <c r="C4807" t="n">
        <v>20602629068</v>
      </c>
      <c r="D4807" t="inlineStr">
        <is>
          <t>Jr. Morro Solar 690 (ASTARA MORRO SOLAR)</t>
        </is>
      </c>
      <c r="E4807" t="inlineStr">
        <is>
          <t>16 de abril del 2026</t>
        </is>
      </c>
      <c r="F4807" t="inlineStr">
        <is>
          <t>la Recarga y mantenimiento</t>
        </is>
      </c>
      <c r="G4807" t="n">
        <v>5</v>
      </c>
      <c r="H4807" t="inlineStr">
        <is>
          <t>12 KG</t>
        </is>
      </c>
      <c r="I4807" t="n">
        <v>2027</v>
      </c>
      <c r="J4807" t="inlineStr">
        <is>
          <t>N/R</t>
        </is>
      </c>
      <c r="K4807" t="inlineStr">
        <is>
          <t>ABRIL 2026</t>
        </is>
      </c>
      <c r="L4807" t="inlineStr">
        <is>
          <t>ABRIL 2027</t>
        </is>
      </c>
      <c r="M4807" t="inlineStr">
        <is>
          <t>PQS TIPO ABC</t>
        </is>
      </c>
      <c r="N4807" t="inlineStr">
        <is>
          <t>20/000984</t>
        </is>
      </c>
      <c r="O4807" t="inlineStr">
        <is>
          <t>R</t>
        </is>
      </c>
      <c r="P4807">
        <f>TRIM(N4807)</f>
        <v/>
      </c>
    </row>
    <row r="4808">
      <c r="A4808" t="inlineStr">
        <is>
          <t>CO-002707</t>
        </is>
      </c>
      <c r="B4808" t="inlineStr">
        <is>
          <t>GACSA PERU S.A.C.</t>
        </is>
      </c>
      <c r="C4808" t="n">
        <v>20602629068</v>
      </c>
      <c r="D4808" t="inlineStr">
        <is>
          <t>Jr. Morro Solar 690 (ASTARA MORRO SOLAR)</t>
        </is>
      </c>
      <c r="E4808" t="inlineStr">
        <is>
          <t>16 de abril del 2026</t>
        </is>
      </c>
      <c r="F4808" t="inlineStr">
        <is>
          <t>la Recarga y mantenimiento</t>
        </is>
      </c>
      <c r="G4808" t="n">
        <v>6</v>
      </c>
      <c r="H4808" t="inlineStr">
        <is>
          <t>06 KG</t>
        </is>
      </c>
      <c r="I4808" t="n">
        <v>2030</v>
      </c>
      <c r="J4808" t="n">
        <v>2016</v>
      </c>
      <c r="K4808" t="inlineStr">
        <is>
          <t>ABRIL 2026</t>
        </is>
      </c>
      <c r="L4808" t="inlineStr">
        <is>
          <t>ABRIL 2027</t>
        </is>
      </c>
      <c r="M4808" t="inlineStr">
        <is>
          <t>PQS TIPO ABC</t>
        </is>
      </c>
      <c r="N4808" t="inlineStr">
        <is>
          <t>21/004393</t>
        </is>
      </c>
      <c r="O4808" t="inlineStr">
        <is>
          <t>R</t>
        </is>
      </c>
      <c r="P4808">
        <f>TRIM(N4808)</f>
        <v/>
      </c>
    </row>
    <row r="4809">
      <c r="A4809" t="inlineStr">
        <is>
          <t>CO-002707</t>
        </is>
      </c>
      <c r="B4809" t="inlineStr">
        <is>
          <t>GACSA PERU S.A.C.</t>
        </is>
      </c>
      <c r="C4809" t="n">
        <v>20602629068</v>
      </c>
      <c r="D4809" t="inlineStr">
        <is>
          <t>Jr. Morro Solar 690 (ASTARA MORRO SOLAR)</t>
        </is>
      </c>
      <c r="E4809" t="inlineStr">
        <is>
          <t>16 de abril del 2026</t>
        </is>
      </c>
      <c r="F4809" t="inlineStr">
        <is>
          <t>la Recarga y mantenimiento</t>
        </is>
      </c>
      <c r="G4809" t="n">
        <v>7</v>
      </c>
      <c r="H4809" t="inlineStr">
        <is>
          <t>25 KG</t>
        </is>
      </c>
      <c r="I4809" t="n">
        <v>2031</v>
      </c>
      <c r="J4809" t="n">
        <v>2008</v>
      </c>
      <c r="K4809" t="inlineStr">
        <is>
          <t>ABRIL 2026</t>
        </is>
      </c>
      <c r="L4809" t="inlineStr">
        <is>
          <t>ABRIL 2027</t>
        </is>
      </c>
      <c r="M4809" t="inlineStr">
        <is>
          <t>PQS TIPO ABC RODANTE</t>
        </is>
      </c>
      <c r="N4809" t="inlineStr">
        <is>
          <t>22/000007</t>
        </is>
      </c>
      <c r="O4809" t="inlineStr">
        <is>
          <t>R</t>
        </is>
      </c>
      <c r="P4809">
        <f>TRIM(N4809)</f>
        <v/>
      </c>
    </row>
    <row r="4810">
      <c r="A4810" t="inlineStr">
        <is>
          <t>CO-002707</t>
        </is>
      </c>
      <c r="B4810" t="inlineStr">
        <is>
          <t>GACSA PERU S.A.C.</t>
        </is>
      </c>
      <c r="C4810" t="n">
        <v>20602629068</v>
      </c>
      <c r="D4810" t="inlineStr">
        <is>
          <t>Jr. Morro Solar 690 (ASTARA MORRO SOLAR)</t>
        </is>
      </c>
      <c r="E4810" t="inlineStr">
        <is>
          <t>16 de abril del 2026</t>
        </is>
      </c>
      <c r="F4810" t="inlineStr">
        <is>
          <t>la Recarga y mantenimiento</t>
        </is>
      </c>
      <c r="G4810" t="n">
        <v>8</v>
      </c>
      <c r="H4810" t="inlineStr">
        <is>
          <t>50 KG</t>
        </is>
      </c>
      <c r="I4810" t="n">
        <v>2031</v>
      </c>
      <c r="J4810" t="n">
        <v>2026</v>
      </c>
      <c r="K4810" t="inlineStr">
        <is>
          <t>ABRIL 2026</t>
        </is>
      </c>
      <c r="L4810" t="inlineStr">
        <is>
          <t>ABRIL 2027</t>
        </is>
      </c>
      <c r="M4810" t="inlineStr">
        <is>
          <t>PQS TIPO ABC RODANTE</t>
        </is>
      </c>
      <c r="N4810" t="inlineStr">
        <is>
          <t>23/000002</t>
        </is>
      </c>
      <c r="O4810" t="inlineStr">
        <is>
          <t>V</t>
        </is>
      </c>
      <c r="P4810">
        <f>TRIM(N4810)</f>
        <v/>
      </c>
    </row>
    <row r="4811">
      <c r="A4811" t="inlineStr">
        <is>
          <t>CO-002707</t>
        </is>
      </c>
      <c r="B4811" t="inlineStr">
        <is>
          <t>GACSA PERU S.A.C.</t>
        </is>
      </c>
      <c r="C4811" t="n">
        <v>20602629068</v>
      </c>
      <c r="D4811" t="inlineStr">
        <is>
          <t>Jr. Morro Solar 690 (ASTARA MORRO SOLAR)</t>
        </is>
      </c>
      <c r="E4811" t="inlineStr">
        <is>
          <t>16 de abril del 2026</t>
        </is>
      </c>
      <c r="F4811" t="inlineStr">
        <is>
          <t>la Recarga y mantenimiento</t>
        </is>
      </c>
      <c r="G4811" t="n">
        <v>9</v>
      </c>
      <c r="H4811" t="inlineStr">
        <is>
          <t>12 KG</t>
        </is>
      </c>
      <c r="I4811" t="n">
        <v>2027</v>
      </c>
      <c r="J4811" t="inlineStr">
        <is>
          <t>N/R</t>
        </is>
      </c>
      <c r="K4811" t="inlineStr">
        <is>
          <t>ABRIL 2026</t>
        </is>
      </c>
      <c r="L4811" t="inlineStr">
        <is>
          <t>ABRIL 2027</t>
        </is>
      </c>
      <c r="M4811" t="inlineStr">
        <is>
          <t>PQS TIPO ABC</t>
        </is>
      </c>
      <c r="N4811" t="inlineStr">
        <is>
          <t>24/008759</t>
        </is>
      </c>
      <c r="O4811" t="inlineStr">
        <is>
          <t>R</t>
        </is>
      </c>
      <c r="P4811">
        <f>TRIM(N4811)</f>
        <v/>
      </c>
    </row>
    <row r="4812">
      <c r="A4812" t="inlineStr">
        <is>
          <t>CO-002707</t>
        </is>
      </c>
      <c r="B4812" t="inlineStr">
        <is>
          <t>GACSA PERU S.A.C.</t>
        </is>
      </c>
      <c r="C4812" t="n">
        <v>20602629068</v>
      </c>
      <c r="D4812" t="inlineStr">
        <is>
          <t>Jr. Morro Solar 690 (ASTARA MORRO SOLAR)</t>
        </is>
      </c>
      <c r="E4812" t="inlineStr">
        <is>
          <t>16 de abril del 2026</t>
        </is>
      </c>
      <c r="F4812" t="inlineStr">
        <is>
          <t>la Recarga y mantenimiento</t>
        </is>
      </c>
      <c r="G4812" t="n">
        <v>10</v>
      </c>
      <c r="H4812" t="inlineStr">
        <is>
          <t>12 KG</t>
        </is>
      </c>
      <c r="I4812" t="inlineStr">
        <is>
          <t>2027</t>
        </is>
      </c>
      <c r="J4812" t="inlineStr">
        <is>
          <t>N/R</t>
        </is>
      </c>
      <c r="K4812" t="inlineStr">
        <is>
          <t>ABRIL 2026</t>
        </is>
      </c>
      <c r="L4812" t="inlineStr">
        <is>
          <t>ABRIL 2027</t>
        </is>
      </c>
      <c r="M4812" t="inlineStr">
        <is>
          <t>PQS TIPO ABC</t>
        </is>
      </c>
      <c r="N4812" t="inlineStr">
        <is>
          <t>25/001603</t>
        </is>
      </c>
      <c r="O4812" t="inlineStr">
        <is>
          <t>R</t>
        </is>
      </c>
      <c r="P4812">
        <f>TRIM(N4812)</f>
        <v/>
      </c>
    </row>
    <row r="4813">
      <c r="A4813" t="inlineStr">
        <is>
          <t>CO-002707</t>
        </is>
      </c>
      <c r="B4813" t="inlineStr">
        <is>
          <t>GACSA PERU S.A.C.</t>
        </is>
      </c>
      <c r="C4813" t="n">
        <v>20602629068</v>
      </c>
      <c r="D4813" t="inlineStr">
        <is>
          <t>Jr. Morro Solar 690 (ASTARA MORRO SOLAR)</t>
        </is>
      </c>
      <c r="E4813" t="inlineStr">
        <is>
          <t>16 de abril del 2026</t>
        </is>
      </c>
      <c r="F4813" t="inlineStr">
        <is>
          <t>la Recarga y mantenimiento</t>
        </is>
      </c>
      <c r="G4813" t="n">
        <v>11</v>
      </c>
      <c r="H4813" t="inlineStr">
        <is>
          <t>06 KG</t>
        </is>
      </c>
      <c r="I4813" t="n">
        <v>2030</v>
      </c>
      <c r="J4813" t="n">
        <v>2012</v>
      </c>
      <c r="K4813" t="inlineStr">
        <is>
          <t>ABRIL 2026</t>
        </is>
      </c>
      <c r="L4813" t="inlineStr">
        <is>
          <t>ABRIL 2027</t>
        </is>
      </c>
      <c r="M4813" t="inlineStr">
        <is>
          <t>PQS TIPO ABC</t>
        </is>
      </c>
      <c r="N4813" t="inlineStr">
        <is>
          <t>26/001190</t>
        </is>
      </c>
      <c r="O4813" t="inlineStr">
        <is>
          <t>R</t>
        </is>
      </c>
      <c r="P4813">
        <f>TRIM(N4813)</f>
        <v/>
      </c>
    </row>
    <row r="4814">
      <c r="A4814" t="inlineStr">
        <is>
          <t>CO-002707</t>
        </is>
      </c>
      <c r="B4814" t="inlineStr">
        <is>
          <t>GACSA PERU S.A.C.</t>
        </is>
      </c>
      <c r="C4814" t="n">
        <v>20602629068</v>
      </c>
      <c r="D4814" t="inlineStr">
        <is>
          <t>Jr. Morro Solar 690 (ASTARA MORRO SOLAR)</t>
        </is>
      </c>
      <c r="E4814" t="inlineStr">
        <is>
          <t>16 de abril del 2026</t>
        </is>
      </c>
      <c r="F4814" t="inlineStr">
        <is>
          <t>la Recarga y mantenimiento</t>
        </is>
      </c>
      <c r="G4814" t="n">
        <v>12</v>
      </c>
      <c r="H4814" t="inlineStr">
        <is>
          <t>12 KG</t>
        </is>
      </c>
      <c r="I4814" t="n">
        <v>2027</v>
      </c>
      <c r="J4814" t="n">
        <v>2007</v>
      </c>
      <c r="K4814" t="inlineStr">
        <is>
          <t>ABRIL 2026</t>
        </is>
      </c>
      <c r="L4814" t="inlineStr">
        <is>
          <t>ABRIL 2027</t>
        </is>
      </c>
      <c r="M4814" t="inlineStr">
        <is>
          <t>PQS TIPO ABC</t>
        </is>
      </c>
      <c r="N4814" t="inlineStr">
        <is>
          <t>27/000007</t>
        </is>
      </c>
      <c r="O4814" t="inlineStr">
        <is>
          <t>R</t>
        </is>
      </c>
      <c r="P4814">
        <f>TRIM(N4814)</f>
        <v/>
      </c>
    </row>
    <row r="4815">
      <c r="A4815" t="inlineStr">
        <is>
          <t>CO-002707</t>
        </is>
      </c>
      <c r="B4815" t="inlineStr">
        <is>
          <t>GACSA PERU S.A.C.</t>
        </is>
      </c>
      <c r="C4815" t="n">
        <v>20602629068</v>
      </c>
      <c r="D4815" t="inlineStr">
        <is>
          <t>Jr. Morro Solar 690 (ASTARA MORRO SOLAR)</t>
        </is>
      </c>
      <c r="E4815" t="inlineStr">
        <is>
          <t>16 de abril del 2026</t>
        </is>
      </c>
      <c r="F4815" t="inlineStr">
        <is>
          <t>la Recarga y mantenimiento</t>
        </is>
      </c>
      <c r="G4815" t="n">
        <v>13</v>
      </c>
      <c r="H4815" t="inlineStr">
        <is>
          <t>05 LBS</t>
        </is>
      </c>
      <c r="I4815" t="n">
        <v>2029</v>
      </c>
      <c r="J4815" t="n">
        <v>2014</v>
      </c>
      <c r="K4815" t="inlineStr">
        <is>
          <t>ABRIL 2026</t>
        </is>
      </c>
      <c r="L4815" t="inlineStr">
        <is>
          <t>ABRIL 2027</t>
        </is>
      </c>
      <c r="M4815" t="inlineStr">
        <is>
          <t>CO2 TIPO BC</t>
        </is>
      </c>
      <c r="N4815" t="inlineStr">
        <is>
          <t>28/X995480</t>
        </is>
      </c>
      <c r="O4815" t="inlineStr">
        <is>
          <t>R</t>
        </is>
      </c>
      <c r="P4815">
        <f>TRIM(N4815)</f>
        <v/>
      </c>
    </row>
    <row r="4816">
      <c r="A4816" t="inlineStr">
        <is>
          <t>CO-002707</t>
        </is>
      </c>
      <c r="B4816" t="inlineStr">
        <is>
          <t>GACSA PERU S.A.C.</t>
        </is>
      </c>
      <c r="C4816" t="n">
        <v>20602629068</v>
      </c>
      <c r="D4816" t="inlineStr">
        <is>
          <t>Jr. Morro Solar 690 (ASTARA MORRO SOLAR)</t>
        </is>
      </c>
      <c r="E4816" t="inlineStr">
        <is>
          <t>16 de abril del 2026</t>
        </is>
      </c>
      <c r="F4816" t="inlineStr">
        <is>
          <t>la Recarga y mantenimiento</t>
        </is>
      </c>
      <c r="G4816" t="n">
        <v>14</v>
      </c>
      <c r="H4816" t="inlineStr">
        <is>
          <t xml:space="preserve">50 KG </t>
        </is>
      </c>
      <c r="I4816" t="n">
        <v>2028</v>
      </c>
      <c r="J4816" t="n">
        <v>2023</v>
      </c>
      <c r="K4816" t="inlineStr">
        <is>
          <t>ABRIL 2026</t>
        </is>
      </c>
      <c r="L4816" t="inlineStr">
        <is>
          <t>ABRIL 2027</t>
        </is>
      </c>
      <c r="M4816" t="inlineStr">
        <is>
          <t>PQS TIPO ABC RODANTE</t>
        </is>
      </c>
      <c r="N4816" t="inlineStr">
        <is>
          <t>29/000021</t>
        </is>
      </c>
      <c r="O4816" t="inlineStr">
        <is>
          <t>R</t>
        </is>
      </c>
      <c r="P4816">
        <f>TRIM(N4816)</f>
        <v/>
      </c>
    </row>
    <row r="4817">
      <c r="A4817" t="inlineStr">
        <is>
          <t>CO-002707</t>
        </is>
      </c>
      <c r="B4817" t="inlineStr">
        <is>
          <t>GACSA PERU S.A.C.</t>
        </is>
      </c>
      <c r="C4817" t="n">
        <v>20602629068</v>
      </c>
      <c r="D4817" t="inlineStr">
        <is>
          <t>Jr. Morro Solar 690 (ASTARA MORRO SOLAR)</t>
        </is>
      </c>
      <c r="E4817" t="inlineStr">
        <is>
          <t>16 de abril del 2026</t>
        </is>
      </c>
      <c r="F4817" t="inlineStr">
        <is>
          <t>la Recarga y mantenimiento</t>
        </is>
      </c>
      <c r="G4817" t="n">
        <v>15</v>
      </c>
      <c r="H4817" t="inlineStr">
        <is>
          <t>12 KG</t>
        </is>
      </c>
      <c r="I4817" t="n">
        <v>2031</v>
      </c>
      <c r="J4817" t="n">
        <v>2026</v>
      </c>
      <c r="K4817" t="inlineStr">
        <is>
          <t>ABRIL 2026</t>
        </is>
      </c>
      <c r="L4817" t="inlineStr">
        <is>
          <t>ABRIL 2027</t>
        </is>
      </c>
      <c r="M4817" t="inlineStr">
        <is>
          <t>PQS TIPO ABC</t>
        </is>
      </c>
      <c r="N4817" t="inlineStr">
        <is>
          <t>30/000082</t>
        </is>
      </c>
      <c r="O4817" t="inlineStr">
        <is>
          <t>V</t>
        </is>
      </c>
      <c r="P4817">
        <f>TRIM(N4817)</f>
        <v/>
      </c>
    </row>
    <row r="4818">
      <c r="A4818" t="inlineStr">
        <is>
          <t>CO-002708</t>
        </is>
      </c>
      <c r="B4818" t="inlineStr">
        <is>
          <t>GACSA PERU S.A.C.</t>
        </is>
      </c>
      <c r="C4818" t="n">
        <v>20602629068</v>
      </c>
      <c r="D4818" t="inlineStr">
        <is>
          <t>Jr. Morro Solar 690 (ASTARA MORRO SOLAR)</t>
        </is>
      </c>
      <c r="E4818" t="inlineStr">
        <is>
          <t>16 de abril del 2026</t>
        </is>
      </c>
      <c r="F4818" t="inlineStr">
        <is>
          <t>la Recarga y mantenimiento</t>
        </is>
      </c>
      <c r="G4818" t="n">
        <v>1</v>
      </c>
      <c r="H4818" t="inlineStr">
        <is>
          <t>10 LBS</t>
        </is>
      </c>
      <c r="I4818" t="n">
        <v>2031</v>
      </c>
      <c r="J4818" t="n">
        <v>2011</v>
      </c>
      <c r="K4818" t="inlineStr">
        <is>
          <t>ABRIL 2026</t>
        </is>
      </c>
      <c r="L4818" t="inlineStr">
        <is>
          <t>ABRIL 2027</t>
        </is>
      </c>
      <c r="M4818" t="inlineStr">
        <is>
          <t>CO2 TIPO BC</t>
        </is>
      </c>
      <c r="N4818" t="inlineStr">
        <is>
          <t>31/000736</t>
        </is>
      </c>
      <c r="O4818" t="inlineStr">
        <is>
          <t>R</t>
        </is>
      </c>
      <c r="P4818">
        <f>TRIM(N4818)</f>
        <v/>
      </c>
    </row>
    <row r="4819">
      <c r="A4819" t="inlineStr">
        <is>
          <t>CO-002708</t>
        </is>
      </c>
      <c r="B4819" t="inlineStr">
        <is>
          <t>GACSA PERU S.A.C.</t>
        </is>
      </c>
      <c r="C4819" t="n">
        <v>20602629068</v>
      </c>
      <c r="D4819" t="inlineStr">
        <is>
          <t>Jr. Morro Solar 690 (ASTARA MORRO SOLAR)</t>
        </is>
      </c>
      <c r="E4819" t="inlineStr">
        <is>
          <t>16 de abril del 2026</t>
        </is>
      </c>
      <c r="F4819" t="inlineStr">
        <is>
          <t>la Recarga y mantenimiento</t>
        </is>
      </c>
      <c r="G4819" t="n">
        <v>2</v>
      </c>
      <c r="H4819" t="inlineStr">
        <is>
          <t>10 LBS</t>
        </is>
      </c>
      <c r="I4819" t="n">
        <v>2030</v>
      </c>
      <c r="J4819" t="n">
        <v>2025</v>
      </c>
      <c r="K4819" t="inlineStr">
        <is>
          <t>ABRIL 2026</t>
        </is>
      </c>
      <c r="L4819" t="inlineStr">
        <is>
          <t>ABRIL 2027</t>
        </is>
      </c>
      <c r="M4819" t="inlineStr">
        <is>
          <t>CO2 TIPO BC</t>
        </is>
      </c>
      <c r="N4819" t="inlineStr">
        <is>
          <t>32/026515</t>
        </is>
      </c>
      <c r="O4819" t="inlineStr">
        <is>
          <t>R</t>
        </is>
      </c>
      <c r="P4819">
        <f>TRIM(N4819)</f>
        <v/>
      </c>
    </row>
    <row r="4820">
      <c r="A4820" t="inlineStr">
        <is>
          <t>CO-002708</t>
        </is>
      </c>
      <c r="B4820" t="inlineStr">
        <is>
          <t>GACSA PERU S.A.C.</t>
        </is>
      </c>
      <c r="C4820" t="n">
        <v>20602629068</v>
      </c>
      <c r="D4820" t="inlineStr">
        <is>
          <t>Jr. Morro Solar 690 (ASTARA MORRO SOLAR)</t>
        </is>
      </c>
      <c r="E4820" t="inlineStr">
        <is>
          <t>16 de abril del 2026</t>
        </is>
      </c>
      <c r="F4820" t="inlineStr">
        <is>
          <t>la Recarga y mantenimiento</t>
        </is>
      </c>
      <c r="G4820" t="n">
        <v>3</v>
      </c>
      <c r="H4820" t="inlineStr">
        <is>
          <t>12 KG</t>
        </is>
      </c>
      <c r="I4820" t="n">
        <v>2030</v>
      </c>
      <c r="J4820" t="n">
        <v>2012</v>
      </c>
      <c r="K4820" t="inlineStr">
        <is>
          <t>ABRIL 2026</t>
        </is>
      </c>
      <c r="L4820" t="inlineStr">
        <is>
          <t>ABRIL 2027</t>
        </is>
      </c>
      <c r="M4820" t="inlineStr">
        <is>
          <t>PQS TIPO ABC</t>
        </is>
      </c>
      <c r="N4820" t="inlineStr">
        <is>
          <t>33/000360</t>
        </is>
      </c>
      <c r="O4820" t="inlineStr">
        <is>
          <t>R</t>
        </is>
      </c>
      <c r="P4820">
        <f>TRIM(N4820)</f>
        <v/>
      </c>
    </row>
    <row r="4821">
      <c r="A4821" t="inlineStr">
        <is>
          <t>CO-002708</t>
        </is>
      </c>
      <c r="B4821" t="inlineStr">
        <is>
          <t>GACSA PERU S.A.C.</t>
        </is>
      </c>
      <c r="C4821" t="n">
        <v>20602629068</v>
      </c>
      <c r="D4821" t="inlineStr">
        <is>
          <t>Jr. Morro Solar 690 (ASTARA MORRO SOLAR)</t>
        </is>
      </c>
      <c r="E4821" t="inlineStr">
        <is>
          <t>16 de abril del 2026</t>
        </is>
      </c>
      <c r="F4821" t="inlineStr">
        <is>
          <t>la Recarga y mantenimiento</t>
        </is>
      </c>
      <c r="G4821" t="n">
        <v>4</v>
      </c>
      <c r="H4821" t="inlineStr">
        <is>
          <t>06 LTS</t>
        </is>
      </c>
      <c r="I4821" t="n">
        <v>2027</v>
      </c>
      <c r="J4821" t="inlineStr">
        <is>
          <t>N/R</t>
        </is>
      </c>
      <c r="K4821" t="inlineStr">
        <is>
          <t>ABRIL 2026</t>
        </is>
      </c>
      <c r="L4821" t="inlineStr">
        <is>
          <t>ABRIL 2027</t>
        </is>
      </c>
      <c r="M4821" t="inlineStr">
        <is>
          <t>ACETATO TIPO K</t>
        </is>
      </c>
      <c r="N4821" t="inlineStr">
        <is>
          <t>34/189725</t>
        </is>
      </c>
      <c r="O4821" t="inlineStr">
        <is>
          <t>R</t>
        </is>
      </c>
      <c r="P4821">
        <f>TRIM(N4821)</f>
        <v/>
      </c>
    </row>
    <row r="4822">
      <c r="A4822" t="inlineStr">
        <is>
          <t>CO-002708</t>
        </is>
      </c>
      <c r="B4822" t="inlineStr">
        <is>
          <t>GACSA PERU S.A.C.</t>
        </is>
      </c>
      <c r="C4822" t="n">
        <v>20602629068</v>
      </c>
      <c r="D4822" t="inlineStr">
        <is>
          <t>Jr. Morro Solar 690 (ASTARA MORRO SOLAR)</t>
        </is>
      </c>
      <c r="E4822" t="inlineStr">
        <is>
          <t>16 de abril del 2026</t>
        </is>
      </c>
      <c r="F4822" t="inlineStr">
        <is>
          <t>la Recarga y mantenimiento</t>
        </is>
      </c>
      <c r="G4822" t="n">
        <v>5</v>
      </c>
      <c r="H4822" t="inlineStr">
        <is>
          <t>50 KG</t>
        </is>
      </c>
      <c r="I4822" t="n">
        <v>2027</v>
      </c>
      <c r="J4822" t="n">
        <v>2008</v>
      </c>
      <c r="K4822" t="inlineStr">
        <is>
          <t>ABRIL 2026</t>
        </is>
      </c>
      <c r="L4822" t="inlineStr">
        <is>
          <t>ABRIL 2027</t>
        </is>
      </c>
      <c r="M4822" t="inlineStr">
        <is>
          <t>PQS TIPO ABC RODANTE</t>
        </is>
      </c>
      <c r="N4822" t="inlineStr">
        <is>
          <t>35/000003</t>
        </is>
      </c>
      <c r="O4822" t="inlineStr">
        <is>
          <t>R</t>
        </is>
      </c>
      <c r="P4822">
        <f>TRIM(N4822)</f>
        <v/>
      </c>
    </row>
    <row r="4823">
      <c r="A4823" t="inlineStr">
        <is>
          <t>CO-002709</t>
        </is>
      </c>
      <c r="B4823" t="inlineStr">
        <is>
          <t>AUTOMOTORES YOSHIVAL S.A.C.</t>
        </is>
      </c>
      <c r="C4823" t="inlineStr">
        <is>
          <t>20408104638</t>
        </is>
      </c>
      <c r="D4823" t="inlineStr">
        <is>
          <t>Av. Colonial 398 JR Pacasmayo 581</t>
        </is>
      </c>
      <c r="E4823" t="inlineStr">
        <is>
          <t>Lima, 01 de mayo del 2026</t>
        </is>
      </c>
      <c r="F4823" t="inlineStr">
        <is>
          <t>la Recarga y mantenimiento</t>
        </is>
      </c>
      <c r="G4823" t="n">
        <v>1</v>
      </c>
      <c r="H4823" t="inlineStr">
        <is>
          <t>06 KG</t>
        </is>
      </c>
      <c r="I4823" t="n">
        <v>2030</v>
      </c>
      <c r="J4823" t="n">
        <v>2025</v>
      </c>
      <c r="K4823" t="inlineStr">
        <is>
          <t>MAYO 2026</t>
        </is>
      </c>
      <c r="L4823" t="inlineStr">
        <is>
          <t>MAYO 2027</t>
        </is>
      </c>
      <c r="M4823" t="inlineStr">
        <is>
          <t>PQS/ABC AL 75%</t>
        </is>
      </c>
      <c r="N4823" t="inlineStr">
        <is>
          <t>03/003544</t>
        </is>
      </c>
      <c r="O4823" t="inlineStr">
        <is>
          <t>R</t>
        </is>
      </c>
      <c r="P4823">
        <f>TRIM(N4823)</f>
        <v/>
      </c>
    </row>
    <row r="4824">
      <c r="A4824" t="inlineStr">
        <is>
          <t>CO-002709</t>
        </is>
      </c>
      <c r="B4824" t="inlineStr">
        <is>
          <t>AUTOMOTORES YOSHIVAL S.A.C.</t>
        </is>
      </c>
      <c r="C4824" t="inlineStr">
        <is>
          <t>20408104638</t>
        </is>
      </c>
      <c r="D4824" t="inlineStr">
        <is>
          <t>Av. Colonial 398 JR Pacasmayo 581</t>
        </is>
      </c>
      <c r="E4824" t="inlineStr">
        <is>
          <t>Lima, 01 de mayo del 2026</t>
        </is>
      </c>
      <c r="F4824" t="inlineStr">
        <is>
          <t>la Recarga y mantenimiento</t>
        </is>
      </c>
      <c r="G4824" t="n">
        <v>2</v>
      </c>
      <c r="H4824" t="inlineStr">
        <is>
          <t>06 KG</t>
        </is>
      </c>
      <c r="I4824" t="n">
        <v>2030</v>
      </c>
      <c r="J4824" t="n">
        <v>2025</v>
      </c>
      <c r="K4824" t="inlineStr">
        <is>
          <t>MAYO 2026</t>
        </is>
      </c>
      <c r="L4824" t="inlineStr">
        <is>
          <t>MAYO 2027</t>
        </is>
      </c>
      <c r="M4824" t="inlineStr">
        <is>
          <t>PQS/ABC AL 75%</t>
        </is>
      </c>
      <c r="N4824" t="inlineStr">
        <is>
          <t>09/000866</t>
        </is>
      </c>
      <c r="O4824" t="inlineStr">
        <is>
          <t>R</t>
        </is>
      </c>
      <c r="P4824">
        <f>TRIM(N4824)</f>
        <v/>
      </c>
    </row>
    <row r="4825">
      <c r="A4825" t="inlineStr">
        <is>
          <t>CO-002709</t>
        </is>
      </c>
      <c r="B4825" t="inlineStr">
        <is>
          <t>AUTOMOTORES YOSHIVAL S.A.C.</t>
        </is>
      </c>
      <c r="C4825" t="inlineStr">
        <is>
          <t>20408104638</t>
        </is>
      </c>
      <c r="D4825" t="inlineStr">
        <is>
          <t>Av. Colonial 398 JR Pacasmayo 581</t>
        </is>
      </c>
      <c r="E4825" t="inlineStr">
        <is>
          <t>Lima, 01 de mayo del 2026</t>
        </is>
      </c>
      <c r="F4825" t="inlineStr">
        <is>
          <t>la Recarga y mantenimiento</t>
        </is>
      </c>
      <c r="G4825" t="n">
        <v>3</v>
      </c>
      <c r="H4825" t="inlineStr">
        <is>
          <t>06 KG</t>
        </is>
      </c>
      <c r="I4825" t="n">
        <v>2030</v>
      </c>
      <c r="J4825" t="n">
        <v>2025</v>
      </c>
      <c r="K4825" t="inlineStr">
        <is>
          <t>MAYO 2026</t>
        </is>
      </c>
      <c r="L4825" t="inlineStr">
        <is>
          <t>MAYO 2027</t>
        </is>
      </c>
      <c r="M4825" t="inlineStr">
        <is>
          <t>PQS/ABC AL 75%</t>
        </is>
      </c>
      <c r="N4825" t="inlineStr">
        <is>
          <t>08/004192</t>
        </is>
      </c>
      <c r="O4825" t="inlineStr">
        <is>
          <t>R</t>
        </is>
      </c>
      <c r="P4825">
        <f>TRIM(N4825)</f>
        <v/>
      </c>
    </row>
    <row r="4826">
      <c r="A4826" t="inlineStr">
        <is>
          <t>CO-002709</t>
        </is>
      </c>
      <c r="B4826" t="inlineStr">
        <is>
          <t>AUTOMOTORES YOSHIVAL S.A.C.</t>
        </is>
      </c>
      <c r="C4826" t="inlineStr">
        <is>
          <t>20408104638</t>
        </is>
      </c>
      <c r="D4826" t="inlineStr">
        <is>
          <t>Av. Colonial 398 JR Pacasmayo 581</t>
        </is>
      </c>
      <c r="E4826" t="inlineStr">
        <is>
          <t>Lima, 01 de mayo del 2026</t>
        </is>
      </c>
      <c r="F4826" t="inlineStr">
        <is>
          <t>la Recarga y mantenimiento</t>
        </is>
      </c>
      <c r="G4826" t="n">
        <v>4</v>
      </c>
      <c r="H4826" t="inlineStr">
        <is>
          <t>06 KG</t>
        </is>
      </c>
      <c r="I4826" t="n">
        <v>2030</v>
      </c>
      <c r="J4826" t="n">
        <v>2025</v>
      </c>
      <c r="K4826" t="inlineStr">
        <is>
          <t>MAYO 2026</t>
        </is>
      </c>
      <c r="L4826" t="inlineStr">
        <is>
          <t>MAYO 2027</t>
        </is>
      </c>
      <c r="M4826" t="inlineStr">
        <is>
          <t>PQS/ABC AL 75%</t>
        </is>
      </c>
      <c r="N4826" t="inlineStr">
        <is>
          <t>04/003553</t>
        </is>
      </c>
      <c r="O4826" t="inlineStr">
        <is>
          <t>R</t>
        </is>
      </c>
      <c r="P4826">
        <f>TRIM(N4826)</f>
        <v/>
      </c>
    </row>
    <row r="4827">
      <c r="A4827" t="inlineStr">
        <is>
          <t>CO-002709</t>
        </is>
      </c>
      <c r="B4827" t="inlineStr">
        <is>
          <t>AUTOMOTORES YOSHIVAL S.A.C.</t>
        </is>
      </c>
      <c r="C4827" t="inlineStr">
        <is>
          <t>20408104638</t>
        </is>
      </c>
      <c r="D4827" t="inlineStr">
        <is>
          <t>Av. Colonial 398 JR Pacasmayo 581</t>
        </is>
      </c>
      <c r="E4827" t="inlineStr">
        <is>
          <t>Lima, 01 de mayo del 2026</t>
        </is>
      </c>
      <c r="F4827" t="inlineStr">
        <is>
          <t>la Recarga y mantenimiento</t>
        </is>
      </c>
      <c r="G4827" t="n">
        <v>5</v>
      </c>
      <c r="H4827" t="inlineStr">
        <is>
          <t>06 KG</t>
        </is>
      </c>
      <c r="I4827" t="n">
        <v>2030</v>
      </c>
      <c r="J4827" t="n">
        <v>2025</v>
      </c>
      <c r="K4827" t="inlineStr">
        <is>
          <t>MAYO 2026</t>
        </is>
      </c>
      <c r="L4827" t="inlineStr">
        <is>
          <t>MAYO 2027</t>
        </is>
      </c>
      <c r="M4827" t="inlineStr">
        <is>
          <t>PQS/ABC AL 75%</t>
        </is>
      </c>
      <c r="N4827" t="inlineStr">
        <is>
          <t>13/974808</t>
        </is>
      </c>
      <c r="O4827" t="inlineStr">
        <is>
          <t>R</t>
        </is>
      </c>
      <c r="P4827">
        <f>TRIM(N4827)</f>
        <v/>
      </c>
    </row>
    <row r="4828">
      <c r="A4828" t="inlineStr">
        <is>
          <t>CO-002709</t>
        </is>
      </c>
      <c r="B4828" t="inlineStr">
        <is>
          <t>AUTOMOTORES YOSHIVAL S.A.C.</t>
        </is>
      </c>
      <c r="C4828" t="inlineStr">
        <is>
          <t>20408104638</t>
        </is>
      </c>
      <c r="D4828" t="inlineStr">
        <is>
          <t>Av. Colonial 398 JR Pacasmayo 581</t>
        </is>
      </c>
      <c r="E4828" t="inlineStr">
        <is>
          <t>Lima, 01 de mayo del 2026</t>
        </is>
      </c>
      <c r="F4828" t="inlineStr">
        <is>
          <t>la Recarga y mantenimiento</t>
        </is>
      </c>
      <c r="G4828" t="n">
        <v>6</v>
      </c>
      <c r="H4828" t="inlineStr">
        <is>
          <t>06 KG</t>
        </is>
      </c>
      <c r="I4828" t="n">
        <v>2029</v>
      </c>
      <c r="J4828" t="n">
        <v>2024</v>
      </c>
      <c r="K4828" t="inlineStr">
        <is>
          <t>MAYO 2026</t>
        </is>
      </c>
      <c r="L4828" t="inlineStr">
        <is>
          <t>MAYO 2027</t>
        </is>
      </c>
      <c r="M4828" t="inlineStr">
        <is>
          <t>PQS/ABC AL 75%</t>
        </is>
      </c>
      <c r="N4828" t="inlineStr">
        <is>
          <t>12/003907</t>
        </is>
      </c>
      <c r="O4828" t="inlineStr">
        <is>
          <t>R</t>
        </is>
      </c>
      <c r="P4828">
        <f>TRIM(N4828)</f>
        <v/>
      </c>
    </row>
    <row r="4829">
      <c r="A4829" t="inlineStr">
        <is>
          <t>CO-002709</t>
        </is>
      </c>
      <c r="B4829" t="inlineStr">
        <is>
          <t>AUTOMOTORES YOSHIVAL S.A.C.</t>
        </is>
      </c>
      <c r="C4829" t="inlineStr">
        <is>
          <t>20408104638</t>
        </is>
      </c>
      <c r="D4829" t="inlineStr">
        <is>
          <t>Av. Colonial 398 JR Pacasmayo 581</t>
        </is>
      </c>
      <c r="E4829" t="inlineStr">
        <is>
          <t>Lima, 01 de mayo del 2026</t>
        </is>
      </c>
      <c r="F4829" t="inlineStr">
        <is>
          <t>la Recarga y mantenimiento</t>
        </is>
      </c>
      <c r="G4829" t="n">
        <v>7</v>
      </c>
      <c r="H4829" t="inlineStr">
        <is>
          <t>06 KG</t>
        </is>
      </c>
      <c r="I4829" t="n">
        <v>2029</v>
      </c>
      <c r="J4829" t="n">
        <v>2024</v>
      </c>
      <c r="K4829" t="inlineStr">
        <is>
          <t>MAYO 2026</t>
        </is>
      </c>
      <c r="L4829" t="inlineStr">
        <is>
          <t>MAYO 2027</t>
        </is>
      </c>
      <c r="M4829" t="inlineStr">
        <is>
          <t>PQS/ABC AL 75%</t>
        </is>
      </c>
      <c r="N4829" t="inlineStr">
        <is>
          <t>15/003928</t>
        </is>
      </c>
      <c r="O4829" t="inlineStr">
        <is>
          <t>R</t>
        </is>
      </c>
      <c r="P4829">
        <f>TRIM(N4829)</f>
        <v/>
      </c>
    </row>
    <row r="4830">
      <c r="A4830" t="inlineStr">
        <is>
          <t>CO-002709</t>
        </is>
      </c>
      <c r="B4830" t="inlineStr">
        <is>
          <t>AUTOMOTORES YOSHIVAL S.A.C.</t>
        </is>
      </c>
      <c r="C4830" t="inlineStr">
        <is>
          <t>20408104638</t>
        </is>
      </c>
      <c r="D4830" t="inlineStr">
        <is>
          <t>Av. Colonial 398 JR Pacasmayo 581</t>
        </is>
      </c>
      <c r="E4830" t="inlineStr">
        <is>
          <t>Lima, 01 de mayo del 2026</t>
        </is>
      </c>
      <c r="F4830" t="inlineStr">
        <is>
          <t>la Recarga y mantenimiento</t>
        </is>
      </c>
      <c r="G4830" t="n">
        <v>8</v>
      </c>
      <c r="H4830" t="inlineStr">
        <is>
          <t>06 KG</t>
        </is>
      </c>
      <c r="I4830" t="n">
        <v>2030</v>
      </c>
      <c r="J4830" t="n">
        <v>2025</v>
      </c>
      <c r="K4830" t="inlineStr">
        <is>
          <t>MAYO 2026</t>
        </is>
      </c>
      <c r="L4830" t="inlineStr">
        <is>
          <t>MAYO 2027</t>
        </is>
      </c>
      <c r="M4830" t="inlineStr">
        <is>
          <t>PQS/ABC AL 75%</t>
        </is>
      </c>
      <c r="N4830" t="inlineStr">
        <is>
          <t>02/003800</t>
        </is>
      </c>
      <c r="O4830" t="inlineStr">
        <is>
          <t>R</t>
        </is>
      </c>
      <c r="P4830">
        <f>TRIM(N4830)</f>
        <v/>
      </c>
    </row>
    <row r="4831">
      <c r="A4831" t="inlineStr">
        <is>
          <t>CO-002710</t>
        </is>
      </c>
      <c r="B4831" t="inlineStr">
        <is>
          <t>INVERSIONES TELCOTEL SAC</t>
        </is>
      </c>
      <c r="C4831" t="inlineStr">
        <is>
          <t>20549846000</t>
        </is>
      </c>
      <c r="D4831" t="inlineStr">
        <is>
          <t>BRL-857</t>
        </is>
      </c>
      <c r="E4831" t="inlineStr">
        <is>
          <t>Lima, 24 de abril del 2026</t>
        </is>
      </c>
      <c r="F4831" t="inlineStr">
        <is>
          <t>la Recarga y mantenimiento</t>
        </is>
      </c>
      <c r="G4831" t="n">
        <v>1</v>
      </c>
      <c r="H4831" t="inlineStr">
        <is>
          <t>06 KG</t>
        </is>
      </c>
      <c r="I4831" t="n">
        <v>2031</v>
      </c>
      <c r="J4831" t="n">
        <v>2017</v>
      </c>
      <c r="K4831" t="inlineStr">
        <is>
          <t>ABRIL 2026</t>
        </is>
      </c>
      <c r="L4831" t="inlineStr">
        <is>
          <t>ABRIL 2027</t>
        </is>
      </c>
      <c r="M4831" t="inlineStr">
        <is>
          <t xml:space="preserve">PQS TIPO ABC AL 75% </t>
        </is>
      </c>
      <c r="N4831" t="inlineStr">
        <is>
          <t>000503</t>
        </is>
      </c>
      <c r="O4831" t="inlineStr">
        <is>
          <t>R</t>
        </is>
      </c>
      <c r="P4831">
        <f>TRIM(N4831)</f>
        <v/>
      </c>
    </row>
    <row r="4832">
      <c r="A4832" t="inlineStr">
        <is>
          <t>CO-002711</t>
        </is>
      </c>
      <c r="B4832" t="inlineStr">
        <is>
          <t>JYS SERVICIOS GENERALES SAC</t>
        </is>
      </c>
      <c r="C4832" t="n">
        <v>20552465301</v>
      </c>
      <c r="D4832" t="inlineStr">
        <is>
          <t>Av. Rivera Navarrete 395 San Isidro edificio T Tower</t>
        </is>
      </c>
      <c r="E4832" t="inlineStr">
        <is>
          <t>Lima, 24 de abril del 2026</t>
        </is>
      </c>
      <c r="F4832" t="inlineStr">
        <is>
          <t>la venta</t>
        </is>
      </c>
      <c r="G4832" t="n">
        <v>1</v>
      </c>
      <c r="H4832" t="inlineStr">
        <is>
          <t>06 KG</t>
        </is>
      </c>
      <c r="I4832" t="n">
        <v>2031</v>
      </c>
      <c r="J4832" t="n">
        <v>2026</v>
      </c>
      <c r="K4832" t="inlineStr">
        <is>
          <t>ABRIL 2026</t>
        </is>
      </c>
      <c r="L4832" t="inlineStr">
        <is>
          <t>ABRIL 2027</t>
        </is>
      </c>
      <c r="M4832" t="inlineStr">
        <is>
          <t xml:space="preserve">PQS TIPO ABC AL 75% </t>
        </is>
      </c>
      <c r="N4832" t="inlineStr">
        <is>
          <t>156270</t>
        </is>
      </c>
      <c r="O4832" t="inlineStr">
        <is>
          <t>V</t>
        </is>
      </c>
      <c r="P4832">
        <f>TRIM(N4832)</f>
        <v/>
      </c>
    </row>
    <row r="4833">
      <c r="A4833" t="inlineStr">
        <is>
          <t>CO-002711</t>
        </is>
      </c>
      <c r="B4833" t="inlineStr">
        <is>
          <t>JYS SERVICIOS GENERALES SAC</t>
        </is>
      </c>
      <c r="C4833" t="n">
        <v>20552465301</v>
      </c>
      <c r="D4833" t="inlineStr">
        <is>
          <t>Av. Rivera Navarrete 395 San Isidro edificio T Tower</t>
        </is>
      </c>
      <c r="E4833" t="inlineStr">
        <is>
          <t>Lima, 24 de abril del 2026</t>
        </is>
      </c>
      <c r="F4833" t="inlineStr">
        <is>
          <t>la venta</t>
        </is>
      </c>
      <c r="G4833" t="n">
        <v>2</v>
      </c>
      <c r="H4833" t="inlineStr">
        <is>
          <t>06 KG</t>
        </is>
      </c>
      <c r="I4833" t="n">
        <v>2031</v>
      </c>
      <c r="J4833" t="n">
        <v>2026</v>
      </c>
      <c r="K4833" t="inlineStr">
        <is>
          <t>ABRIL 2026</t>
        </is>
      </c>
      <c r="L4833" t="inlineStr">
        <is>
          <t>ABRIL 2027</t>
        </is>
      </c>
      <c r="M4833" t="inlineStr">
        <is>
          <t xml:space="preserve">PQS TIPO ABC AL 75% </t>
        </is>
      </c>
      <c r="N4833" t="inlineStr">
        <is>
          <t>156210</t>
        </is>
      </c>
      <c r="O4833" t="inlineStr">
        <is>
          <t>V</t>
        </is>
      </c>
      <c r="P4833">
        <f>TRIM(N4833)</f>
        <v/>
      </c>
    </row>
    <row r="4834">
      <c r="A4834" t="inlineStr">
        <is>
          <t>CO-002711</t>
        </is>
      </c>
      <c r="B4834" t="inlineStr">
        <is>
          <t>JYS SERVICIOS GENERALES SAC</t>
        </is>
      </c>
      <c r="C4834" t="n">
        <v>20552465301</v>
      </c>
      <c r="D4834" t="inlineStr">
        <is>
          <t>Av. Rivera Navarrete 395 San Isidro edificio T Tower</t>
        </is>
      </c>
      <c r="E4834" t="inlineStr">
        <is>
          <t>Lima, 24 de abril del 2026</t>
        </is>
      </c>
      <c r="F4834" t="inlineStr">
        <is>
          <t>la venta</t>
        </is>
      </c>
      <c r="G4834" t="n">
        <v>3</v>
      </c>
      <c r="H4834" t="inlineStr">
        <is>
          <t>05 LBS</t>
        </is>
      </c>
      <c r="I4834" t="n">
        <v>2030</v>
      </c>
      <c r="J4834" t="n">
        <v>2025</v>
      </c>
      <c r="K4834" t="inlineStr">
        <is>
          <t>ABRIL 2026</t>
        </is>
      </c>
      <c r="L4834" t="inlineStr">
        <is>
          <t>ABRIL 2027</t>
        </is>
      </c>
      <c r="M4834" t="inlineStr">
        <is>
          <t>CO2 TIPO BC</t>
        </is>
      </c>
      <c r="N4834" t="inlineStr">
        <is>
          <t>000033</t>
        </is>
      </c>
      <c r="O4834" t="inlineStr">
        <is>
          <t>v</t>
        </is>
      </c>
      <c r="P4834">
        <f>TRIM(N4834)</f>
        <v/>
      </c>
    </row>
    <row r="4835">
      <c r="A4835" t="inlineStr">
        <is>
          <t>CO-002712</t>
        </is>
      </c>
      <c r="B4835" t="inlineStr">
        <is>
          <t>I.E.P. CORAZON DE MARIA</t>
        </is>
      </c>
      <c r="C4835" t="inlineStr">
        <is>
          <t>20512612165</t>
        </is>
      </c>
      <c r="D4835" t="inlineStr">
        <is>
          <t>AV. SANGARARA 347 COOP. LA CALICHERA , COMAS</t>
        </is>
      </c>
      <c r="E4835" t="inlineStr">
        <is>
          <t>Lima, 28 de abril del 2026</t>
        </is>
      </c>
      <c r="F4835" t="inlineStr">
        <is>
          <t>la Recarga y mantenimiento</t>
        </is>
      </c>
      <c r="G4835" t="inlineStr">
        <is>
          <t>01</t>
        </is>
      </c>
      <c r="H4835" t="inlineStr">
        <is>
          <t>04 KG</t>
        </is>
      </c>
      <c r="I4835" t="inlineStr">
        <is>
          <t>2027</t>
        </is>
      </c>
      <c r="J4835" t="n">
        <v>2011</v>
      </c>
      <c r="K4835" t="inlineStr">
        <is>
          <t>ABRIL 2026</t>
        </is>
      </c>
      <c r="L4835" t="inlineStr">
        <is>
          <t>ABRIL 2027</t>
        </is>
      </c>
      <c r="M4835" t="inlineStr">
        <is>
          <t xml:space="preserve">P.Q.S.  TIPO ABC </t>
        </is>
      </c>
      <c r="N4835" t="inlineStr">
        <is>
          <t>01 / 002600</t>
        </is>
      </c>
      <c r="O4835" t="inlineStr">
        <is>
          <t>R</t>
        </is>
      </c>
      <c r="P4835">
        <f>TRIM(N4835)</f>
        <v/>
      </c>
    </row>
    <row r="4836">
      <c r="A4836" t="inlineStr">
        <is>
          <t>CO-002712</t>
        </is>
      </c>
      <c r="B4836" t="inlineStr">
        <is>
          <t>I.E.P. CORAZON DE MARIA</t>
        </is>
      </c>
      <c r="C4836" t="inlineStr">
        <is>
          <t>20512612165</t>
        </is>
      </c>
      <c r="D4836" t="inlineStr">
        <is>
          <t>AV. SANGARARA 347 COOP. LA CALICHERA , COMAS</t>
        </is>
      </c>
      <c r="E4836" t="inlineStr">
        <is>
          <t>Lima, 28 de abril del 2026</t>
        </is>
      </c>
      <c r="F4836" t="inlineStr">
        <is>
          <t>la Recarga y mantenimiento</t>
        </is>
      </c>
      <c r="G4836" t="inlineStr">
        <is>
          <t>02</t>
        </is>
      </c>
      <c r="H4836" t="inlineStr">
        <is>
          <t>04 KG</t>
        </is>
      </c>
      <c r="I4836" t="inlineStr">
        <is>
          <t>2027</t>
        </is>
      </c>
      <c r="J4836" t="n">
        <v>2009</v>
      </c>
      <c r="K4836" t="inlineStr">
        <is>
          <t>ABRIL 2026</t>
        </is>
      </c>
      <c r="L4836" t="inlineStr">
        <is>
          <t>ABRIL 2027</t>
        </is>
      </c>
      <c r="M4836" t="inlineStr">
        <is>
          <t xml:space="preserve">P.Q.S.  TIPO ABC </t>
        </is>
      </c>
      <c r="N4836" t="inlineStr">
        <is>
          <t>02 / 000152</t>
        </is>
      </c>
      <c r="O4836" t="inlineStr">
        <is>
          <t>R</t>
        </is>
      </c>
      <c r="P4836">
        <f>TRIM(N4836)</f>
        <v/>
      </c>
    </row>
    <row r="4837">
      <c r="A4837" t="inlineStr">
        <is>
          <t>CO-002713</t>
        </is>
      </c>
      <c r="B4837" t="inlineStr">
        <is>
          <t>INVERSIONES TELCOTEL SAC</t>
        </is>
      </c>
      <c r="C4837" t="inlineStr">
        <is>
          <t>20549846000</t>
        </is>
      </c>
      <c r="D4837" t="inlineStr">
        <is>
          <t>Av. San Felipe 806</t>
        </is>
      </c>
      <c r="E4837" t="inlineStr">
        <is>
          <t>Lima, 28 de marzo del 2026</t>
        </is>
      </c>
      <c r="F4837" t="inlineStr">
        <is>
          <t>la Recarga y mantenimiento</t>
        </is>
      </c>
      <c r="G4837" t="n">
        <v>1</v>
      </c>
      <c r="H4837" t="inlineStr">
        <is>
          <t>05 LBS</t>
        </is>
      </c>
      <c r="I4837" t="n">
        <v>2028</v>
      </c>
      <c r="J4837" t="n">
        <v>2018</v>
      </c>
      <c r="K4837" t="inlineStr">
        <is>
          <t xml:space="preserve">MARZO 2026 </t>
        </is>
      </c>
      <c r="L4837" t="inlineStr">
        <is>
          <t xml:space="preserve">MARZO 2026 </t>
        </is>
      </c>
      <c r="M4837" t="inlineStr">
        <is>
          <t>CO2 TIPO BC</t>
        </is>
      </c>
      <c r="N4837" t="inlineStr">
        <is>
          <t>02/025331</t>
        </is>
      </c>
      <c r="O4837" t="inlineStr">
        <is>
          <t>R</t>
        </is>
      </c>
      <c r="P4837">
        <f>TRIM(N4837)</f>
        <v/>
      </c>
    </row>
    <row r="4838">
      <c r="A4838" t="inlineStr">
        <is>
          <t>CO-002713</t>
        </is>
      </c>
      <c r="B4838" t="inlineStr">
        <is>
          <t>INVERSIONES TELCOTEL SAC</t>
        </is>
      </c>
      <c r="C4838" t="inlineStr">
        <is>
          <t>20549846000</t>
        </is>
      </c>
      <c r="D4838" t="inlineStr">
        <is>
          <t>Av. San Felipe 806</t>
        </is>
      </c>
      <c r="E4838" t="inlineStr">
        <is>
          <t>Lima, 28 de marzo del 2026</t>
        </is>
      </c>
      <c r="F4838" t="inlineStr">
        <is>
          <t>la Recarga y mantenimiento</t>
        </is>
      </c>
      <c r="G4838" t="n">
        <v>2</v>
      </c>
      <c r="H4838" t="inlineStr">
        <is>
          <t>06 KG</t>
        </is>
      </c>
      <c r="I4838" t="n">
        <v>2029</v>
      </c>
      <c r="J4838" t="n">
        <v>2024</v>
      </c>
      <c r="K4838" t="inlineStr">
        <is>
          <t xml:space="preserve">MARZO 2026 </t>
        </is>
      </c>
      <c r="L4838" t="inlineStr">
        <is>
          <t xml:space="preserve">MARZO 2026 </t>
        </is>
      </c>
      <c r="M4838" t="inlineStr">
        <is>
          <t xml:space="preserve">P.Q.S.  TIPO ABC </t>
        </is>
      </c>
      <c r="N4838" t="inlineStr">
        <is>
          <t>03/006598</t>
        </is>
      </c>
      <c r="O4838" t="inlineStr">
        <is>
          <t>R</t>
        </is>
      </c>
      <c r="P4838">
        <f>TRIM(N4838)</f>
        <v/>
      </c>
    </row>
    <row r="4839">
      <c r="A4839" t="inlineStr">
        <is>
          <t>CO-002713</t>
        </is>
      </c>
      <c r="B4839" t="inlineStr">
        <is>
          <t>INVERSIONES TELCOTEL SAC</t>
        </is>
      </c>
      <c r="C4839" t="inlineStr">
        <is>
          <t>20549846000</t>
        </is>
      </c>
      <c r="D4839" t="inlineStr">
        <is>
          <t>Av. San Felipe 806</t>
        </is>
      </c>
      <c r="E4839" t="inlineStr">
        <is>
          <t>Lima, 28 de marzo del 2026</t>
        </is>
      </c>
      <c r="F4839" t="inlineStr">
        <is>
          <t>la Recarga y mantenimiento</t>
        </is>
      </c>
      <c r="G4839" t="n">
        <v>3</v>
      </c>
      <c r="H4839" t="inlineStr">
        <is>
          <t>05 LBS</t>
        </is>
      </c>
      <c r="I4839" t="n">
        <v>2028</v>
      </c>
      <c r="J4839" t="n">
        <v>2018</v>
      </c>
      <c r="K4839" t="inlineStr">
        <is>
          <t xml:space="preserve">MARZO 2026 </t>
        </is>
      </c>
      <c r="L4839" t="inlineStr">
        <is>
          <t xml:space="preserve">MARZO 2026 </t>
        </is>
      </c>
      <c r="M4839" t="inlineStr">
        <is>
          <t>CO2 TIPO BC</t>
        </is>
      </c>
      <c r="N4839" t="inlineStr">
        <is>
          <t>04/025341</t>
        </is>
      </c>
      <c r="O4839" t="inlineStr">
        <is>
          <t>R</t>
        </is>
      </c>
      <c r="P4839">
        <f>TRIM(N4839)</f>
        <v/>
      </c>
    </row>
    <row r="4840">
      <c r="A4840" t="inlineStr">
        <is>
          <t>CO-002713</t>
        </is>
      </c>
      <c r="B4840" t="inlineStr">
        <is>
          <t>INVERSIONES TELCOTEL SAC</t>
        </is>
      </c>
      <c r="C4840" t="inlineStr">
        <is>
          <t>20549846000</t>
        </is>
      </c>
      <c r="D4840" t="inlineStr">
        <is>
          <t>Av. San Felipe 806</t>
        </is>
      </c>
      <c r="E4840" t="inlineStr">
        <is>
          <t>Lima, 28 de marzo del 2026</t>
        </is>
      </c>
      <c r="F4840" t="inlineStr">
        <is>
          <t>la Recarga y mantenimiento</t>
        </is>
      </c>
      <c r="G4840" t="n">
        <v>4</v>
      </c>
      <c r="H4840" t="inlineStr">
        <is>
          <t>10 LBS</t>
        </is>
      </c>
      <c r="I4840" t="n">
        <v>2028</v>
      </c>
      <c r="J4840" t="n">
        <v>2023</v>
      </c>
      <c r="K4840" t="inlineStr">
        <is>
          <t xml:space="preserve">MARZO 2026 </t>
        </is>
      </c>
      <c r="L4840" t="inlineStr">
        <is>
          <t xml:space="preserve">MARZO 2026 </t>
        </is>
      </c>
      <c r="M4840" t="inlineStr">
        <is>
          <t>CO2 TIPO BC</t>
        </is>
      </c>
      <c r="N4840" t="inlineStr">
        <is>
          <t>05/000162</t>
        </is>
      </c>
      <c r="O4840" t="inlineStr">
        <is>
          <t>R</t>
        </is>
      </c>
      <c r="P4840">
        <f>TRIM(N4840)</f>
        <v/>
      </c>
    </row>
    <row r="4841">
      <c r="A4841" t="inlineStr">
        <is>
          <t>CO-002713</t>
        </is>
      </c>
      <c r="B4841" t="inlineStr">
        <is>
          <t>INVERSIONES TELCOTEL SAC</t>
        </is>
      </c>
      <c r="C4841" t="inlineStr">
        <is>
          <t>20549846000</t>
        </is>
      </c>
      <c r="D4841" t="inlineStr">
        <is>
          <t>Av. San Felipe 806</t>
        </is>
      </c>
      <c r="E4841" t="inlineStr">
        <is>
          <t>Lima, 28 de marzo del 2026</t>
        </is>
      </c>
      <c r="F4841" t="inlineStr">
        <is>
          <t>la Recarga y mantenimiento</t>
        </is>
      </c>
      <c r="G4841" t="n">
        <v>5</v>
      </c>
      <c r="H4841" t="inlineStr">
        <is>
          <t>06 KG</t>
        </is>
      </c>
      <c r="I4841" t="n">
        <v>2027</v>
      </c>
      <c r="J4841" t="n">
        <v>2022</v>
      </c>
      <c r="K4841" t="inlineStr">
        <is>
          <t xml:space="preserve">MARZO 2026 </t>
        </is>
      </c>
      <c r="L4841" t="inlineStr">
        <is>
          <t xml:space="preserve">MARZO 2026 </t>
        </is>
      </c>
      <c r="M4841" t="inlineStr">
        <is>
          <t xml:space="preserve">P.Q.S.  TIPO ABC </t>
        </is>
      </c>
      <c r="N4841" t="inlineStr">
        <is>
          <t>07/005253</t>
        </is>
      </c>
      <c r="O4841" t="inlineStr">
        <is>
          <t>R</t>
        </is>
      </c>
      <c r="P4841">
        <f>TRIM(N4841)</f>
        <v/>
      </c>
    </row>
    <row r="4842">
      <c r="A4842" t="inlineStr">
        <is>
          <t>CO-002713</t>
        </is>
      </c>
      <c r="B4842" t="inlineStr">
        <is>
          <t>INVERSIONES TELCOTEL SAC</t>
        </is>
      </c>
      <c r="C4842" t="inlineStr">
        <is>
          <t>20549846000</t>
        </is>
      </c>
      <c r="D4842" t="inlineStr">
        <is>
          <t>Av. San Felipe 806</t>
        </is>
      </c>
      <c r="E4842" t="inlineStr">
        <is>
          <t>Lima, 28 de marzo del 2026</t>
        </is>
      </c>
      <c r="F4842" t="inlineStr">
        <is>
          <t>la Recarga y mantenimiento</t>
        </is>
      </c>
      <c r="G4842" t="n">
        <v>6</v>
      </c>
      <c r="H4842" t="inlineStr">
        <is>
          <t>06 KG</t>
        </is>
      </c>
      <c r="I4842" t="n">
        <v>2028</v>
      </c>
      <c r="J4842" t="n">
        <v>2023</v>
      </c>
      <c r="K4842" t="inlineStr">
        <is>
          <t xml:space="preserve">MARZO 2026 </t>
        </is>
      </c>
      <c r="L4842" t="inlineStr">
        <is>
          <t xml:space="preserve">MARZO 2026 </t>
        </is>
      </c>
      <c r="M4842" t="inlineStr">
        <is>
          <t xml:space="preserve">P.Q.S.  TIPO ABC </t>
        </is>
      </c>
      <c r="N4842" t="inlineStr">
        <is>
          <t>08/103322</t>
        </is>
      </c>
      <c r="O4842" t="inlineStr">
        <is>
          <t>R</t>
        </is>
      </c>
      <c r="P4842">
        <f>TRIM(N4842)</f>
        <v/>
      </c>
    </row>
    <row r="4843">
      <c r="A4843" t="inlineStr">
        <is>
          <t>CO-002713</t>
        </is>
      </c>
      <c r="B4843" t="inlineStr">
        <is>
          <t>INVERSIONES TELCOTEL SAC</t>
        </is>
      </c>
      <c r="C4843" t="inlineStr">
        <is>
          <t>20549846000</t>
        </is>
      </c>
      <c r="D4843" t="inlineStr">
        <is>
          <t>Av. San Felipe 806</t>
        </is>
      </c>
      <c r="E4843" t="inlineStr">
        <is>
          <t>Lima, 28 de marzo del 2026</t>
        </is>
      </c>
      <c r="F4843" t="inlineStr">
        <is>
          <t>la Recarga y mantenimiento</t>
        </is>
      </c>
      <c r="G4843" t="n">
        <v>7</v>
      </c>
      <c r="H4843" t="inlineStr">
        <is>
          <t>10 LBS</t>
        </is>
      </c>
      <c r="I4843" t="n">
        <v>2028</v>
      </c>
      <c r="J4843" t="n">
        <v>2023</v>
      </c>
      <c r="K4843" t="inlineStr">
        <is>
          <t xml:space="preserve">MARZO 2026 </t>
        </is>
      </c>
      <c r="L4843" t="inlineStr">
        <is>
          <t xml:space="preserve">MARZO 2026 </t>
        </is>
      </c>
      <c r="M4843" t="inlineStr">
        <is>
          <t>CO2 TIPO BC</t>
        </is>
      </c>
      <c r="N4843" t="inlineStr">
        <is>
          <t>09/000272</t>
        </is>
      </c>
      <c r="O4843" t="inlineStr">
        <is>
          <t>R</t>
        </is>
      </c>
      <c r="P4843">
        <f>TRIM(N4843)</f>
        <v/>
      </c>
    </row>
    <row r="4844">
      <c r="A4844" t="inlineStr">
        <is>
          <t>CO-002713</t>
        </is>
      </c>
      <c r="B4844" t="inlineStr">
        <is>
          <t>INVERSIONES TELCOTEL SAC</t>
        </is>
      </c>
      <c r="C4844" t="inlineStr">
        <is>
          <t>20549846000</t>
        </is>
      </c>
      <c r="D4844" t="inlineStr">
        <is>
          <t>Av. San Felipe 806</t>
        </is>
      </c>
      <c r="E4844" t="inlineStr">
        <is>
          <t>Lima, 28 de marzo del 2026</t>
        </is>
      </c>
      <c r="F4844" t="inlineStr">
        <is>
          <t>la Recarga y mantenimiento</t>
        </is>
      </c>
      <c r="G4844" t="n">
        <v>8</v>
      </c>
      <c r="H4844" t="inlineStr">
        <is>
          <t>06 KG</t>
        </is>
      </c>
      <c r="I4844" t="n">
        <v>2031</v>
      </c>
      <c r="J4844" t="n">
        <v>2017</v>
      </c>
      <c r="K4844" t="inlineStr">
        <is>
          <t xml:space="preserve">MARZO 2026 </t>
        </is>
      </c>
      <c r="L4844" t="inlineStr">
        <is>
          <t xml:space="preserve">MARZO 2026 </t>
        </is>
      </c>
      <c r="M4844" t="inlineStr">
        <is>
          <t xml:space="preserve">P.Q.S.  TIPO ABC </t>
        </is>
      </c>
      <c r="N4844" t="inlineStr">
        <is>
          <t>10/002288</t>
        </is>
      </c>
      <c r="O4844" t="inlineStr">
        <is>
          <t>R</t>
        </is>
      </c>
      <c r="P4844">
        <f>TRIM(N4844)</f>
        <v/>
      </c>
    </row>
    <row r="4845">
      <c r="A4845" t="inlineStr">
        <is>
          <t>CO-002713</t>
        </is>
      </c>
      <c r="B4845" t="inlineStr">
        <is>
          <t>INVERSIONES TELCOTEL SAC</t>
        </is>
      </c>
      <c r="C4845" t="inlineStr">
        <is>
          <t>20549846000</t>
        </is>
      </c>
      <c r="D4845" t="inlineStr">
        <is>
          <t>Av. San Felipe 806</t>
        </is>
      </c>
      <c r="E4845" t="inlineStr">
        <is>
          <t>Lima, 28 de marzo del 2026</t>
        </is>
      </c>
      <c r="F4845" t="inlineStr">
        <is>
          <t>la Recarga y mantenimiento</t>
        </is>
      </c>
      <c r="G4845" t="n">
        <v>9</v>
      </c>
      <c r="H4845" t="inlineStr">
        <is>
          <t>06 KG</t>
        </is>
      </c>
      <c r="I4845" t="n">
        <v>2028</v>
      </c>
      <c r="J4845" t="n">
        <v>2023</v>
      </c>
      <c r="K4845" t="inlineStr">
        <is>
          <t xml:space="preserve">MARZO 2026 </t>
        </is>
      </c>
      <c r="L4845" t="inlineStr">
        <is>
          <t xml:space="preserve">MARZO 2026 </t>
        </is>
      </c>
      <c r="M4845" t="inlineStr">
        <is>
          <t>CO2 TIPO BC</t>
        </is>
      </c>
      <c r="N4845" t="inlineStr">
        <is>
          <t>11/000100</t>
        </is>
      </c>
      <c r="O4845" t="inlineStr">
        <is>
          <t>R</t>
        </is>
      </c>
      <c r="P4845">
        <f>TRIM(N4845)</f>
        <v/>
      </c>
    </row>
    <row r="4846">
      <c r="A4846" t="inlineStr">
        <is>
          <t>CO-002713</t>
        </is>
      </c>
      <c r="B4846" t="inlineStr">
        <is>
          <t>INVERSIONES TELCOTEL SAC</t>
        </is>
      </c>
      <c r="C4846" t="inlineStr">
        <is>
          <t>20549846000</t>
        </is>
      </c>
      <c r="D4846" t="inlineStr">
        <is>
          <t>Av. San Felipe 806</t>
        </is>
      </c>
      <c r="E4846" t="inlineStr">
        <is>
          <t>Lima, 28 de marzo del 2026</t>
        </is>
      </c>
      <c r="F4846" t="inlineStr">
        <is>
          <t>la Recarga y mantenimiento</t>
        </is>
      </c>
      <c r="G4846" t="n">
        <v>10</v>
      </c>
      <c r="H4846" t="inlineStr">
        <is>
          <t>06 KG</t>
        </is>
      </c>
      <c r="I4846" t="n">
        <v>2031</v>
      </c>
      <c r="J4846" t="n">
        <v>2019</v>
      </c>
      <c r="K4846" t="inlineStr">
        <is>
          <t xml:space="preserve">MARZO 2026 </t>
        </is>
      </c>
      <c r="L4846" t="inlineStr">
        <is>
          <t xml:space="preserve">MARZO 2026 </t>
        </is>
      </c>
      <c r="M4846" t="inlineStr">
        <is>
          <t xml:space="preserve">P.Q.S.  TIPO ABC </t>
        </is>
      </c>
      <c r="N4846" t="inlineStr">
        <is>
          <t>12/029397</t>
        </is>
      </c>
      <c r="O4846" t="inlineStr">
        <is>
          <t>R</t>
        </is>
      </c>
      <c r="P4846">
        <f>TRIM(N4846)</f>
        <v/>
      </c>
    </row>
    <row r="4847">
      <c r="A4847" t="inlineStr">
        <is>
          <t>CO-002713</t>
        </is>
      </c>
      <c r="B4847" t="inlineStr">
        <is>
          <t>INVERSIONES TELCOTEL SAC</t>
        </is>
      </c>
      <c r="C4847" t="inlineStr">
        <is>
          <t>20549846000</t>
        </is>
      </c>
      <c r="D4847" t="inlineStr">
        <is>
          <t>Av. San Felipe 806</t>
        </is>
      </c>
      <c r="E4847" t="inlineStr">
        <is>
          <t>Lima, 28 de marzo del 2026</t>
        </is>
      </c>
      <c r="F4847" t="inlineStr">
        <is>
          <t>la Recarga y mantenimiento</t>
        </is>
      </c>
      <c r="G4847" t="n">
        <v>11</v>
      </c>
      <c r="H4847" t="inlineStr">
        <is>
          <t>06 KG</t>
        </is>
      </c>
      <c r="I4847" t="n">
        <v>2029</v>
      </c>
      <c r="J4847" t="n">
        <v>2024</v>
      </c>
      <c r="K4847" t="inlineStr">
        <is>
          <t xml:space="preserve">MARZO 2026 </t>
        </is>
      </c>
      <c r="L4847" t="inlineStr">
        <is>
          <t xml:space="preserve">MARZO 2026 </t>
        </is>
      </c>
      <c r="M4847" t="inlineStr">
        <is>
          <t xml:space="preserve">P.Q.S.  TIPO ABC </t>
        </is>
      </c>
      <c r="N4847" t="inlineStr">
        <is>
          <t>13/000030</t>
        </is>
      </c>
      <c r="O4847" t="inlineStr">
        <is>
          <t>R</t>
        </is>
      </c>
      <c r="P4847">
        <f>TRIM(N4847)</f>
        <v/>
      </c>
    </row>
    <row r="4848">
      <c r="A4848" t="inlineStr">
        <is>
          <t>CO-002714</t>
        </is>
      </c>
      <c r="B4848" t="inlineStr">
        <is>
          <t>PERU MASIVO SA</t>
        </is>
      </c>
      <c r="C4848" t="inlineStr">
        <is>
          <t>20492392031</t>
        </is>
      </c>
      <c r="D4848" t="inlineStr">
        <is>
          <t>AV. LOS INCAS CDRA. 4 PATIO NORTE - COMAS</t>
        </is>
      </c>
      <c r="E4848" t="inlineStr">
        <is>
          <t>Lima, 28 de abril del 2026</t>
        </is>
      </c>
      <c r="F4848" t="inlineStr">
        <is>
          <t>la Recarga y mantenimiento</t>
        </is>
      </c>
      <c r="G4848" t="n">
        <v>1</v>
      </c>
      <c r="H4848" t="inlineStr">
        <is>
          <t>06 KG</t>
        </is>
      </c>
      <c r="I4848" t="n">
        <v>2029</v>
      </c>
      <c r="J4848" t="n">
        <v>2016</v>
      </c>
      <c r="K4848" t="inlineStr">
        <is>
          <t>ABRIL 2026</t>
        </is>
      </c>
      <c r="L4848" t="inlineStr">
        <is>
          <t>ABRIL 2027</t>
        </is>
      </c>
      <c r="M4848" t="inlineStr">
        <is>
          <t>PQS/ABC AL 90%</t>
        </is>
      </c>
      <c r="N4848" t="inlineStr">
        <is>
          <t>68/000506</t>
        </is>
      </c>
      <c r="O4848" t="inlineStr">
        <is>
          <t>R</t>
        </is>
      </c>
      <c r="P4848">
        <f>TRIM(N4848)</f>
        <v/>
      </c>
    </row>
    <row r="4849">
      <c r="A4849" t="inlineStr">
        <is>
          <t>CO-002714</t>
        </is>
      </c>
      <c r="B4849" t="inlineStr">
        <is>
          <t>PERU MASIVO SA</t>
        </is>
      </c>
      <c r="C4849" t="inlineStr">
        <is>
          <t>20492392031</t>
        </is>
      </c>
      <c r="D4849" t="inlineStr">
        <is>
          <t>AV. LOS INCAS CDRA. 4 PATIO NORTE - COMAS</t>
        </is>
      </c>
      <c r="E4849" t="inlineStr">
        <is>
          <t>Lima, 28 de abril del 2026</t>
        </is>
      </c>
      <c r="F4849" t="inlineStr">
        <is>
          <t>la Recarga y mantenimiento</t>
        </is>
      </c>
      <c r="G4849" t="n">
        <v>2</v>
      </c>
      <c r="H4849" t="inlineStr">
        <is>
          <t>06 KG</t>
        </is>
      </c>
      <c r="I4849" t="n">
        <v>2028</v>
      </c>
      <c r="J4849" t="n">
        <v>2009</v>
      </c>
      <c r="K4849" t="inlineStr">
        <is>
          <t>ABRIL 2026</t>
        </is>
      </c>
      <c r="L4849" t="inlineStr">
        <is>
          <t>ABRIL 2027</t>
        </is>
      </c>
      <c r="M4849" t="inlineStr">
        <is>
          <t>PQS/ABC AL 90%</t>
        </is>
      </c>
      <c r="N4849" t="inlineStr">
        <is>
          <t>267/000732</t>
        </is>
      </c>
      <c r="O4849" t="inlineStr">
        <is>
          <t>R</t>
        </is>
      </c>
      <c r="P4849">
        <f>TRIM(N4849)</f>
        <v/>
      </c>
    </row>
    <row r="4850">
      <c r="A4850" t="inlineStr">
        <is>
          <t>CO-002714</t>
        </is>
      </c>
      <c r="B4850" t="inlineStr">
        <is>
          <t>PERU MASIVO SA</t>
        </is>
      </c>
      <c r="C4850" t="inlineStr">
        <is>
          <t>20492392031</t>
        </is>
      </c>
      <c r="D4850" t="inlineStr">
        <is>
          <t>AV. LOS INCAS CDRA. 4 PATIO NORTE - COMAS</t>
        </is>
      </c>
      <c r="E4850" t="inlineStr">
        <is>
          <t>Lima, 28 de abril del 2026</t>
        </is>
      </c>
      <c r="F4850" t="inlineStr">
        <is>
          <t>la Recarga y mantenimiento</t>
        </is>
      </c>
      <c r="G4850" t="n">
        <v>3</v>
      </c>
      <c r="H4850" t="inlineStr">
        <is>
          <t>06 KG</t>
        </is>
      </c>
      <c r="I4850" t="n">
        <v>2029</v>
      </c>
      <c r="J4850" t="n">
        <v>2019</v>
      </c>
      <c r="K4850" t="inlineStr">
        <is>
          <t>ABRIL 2026</t>
        </is>
      </c>
      <c r="L4850" t="inlineStr">
        <is>
          <t>ABRIL 2027</t>
        </is>
      </c>
      <c r="M4850" t="inlineStr">
        <is>
          <t>PQS/ABC AL 90%</t>
        </is>
      </c>
      <c r="N4850" t="inlineStr">
        <is>
          <t>56/000824</t>
        </is>
      </c>
      <c r="O4850" t="inlineStr">
        <is>
          <t>R</t>
        </is>
      </c>
      <c r="P4850">
        <f>TRIM(N4850)</f>
        <v/>
      </c>
    </row>
    <row r="4851">
      <c r="A4851" t="inlineStr">
        <is>
          <t>CO-002714</t>
        </is>
      </c>
      <c r="B4851" t="inlineStr">
        <is>
          <t>PERU MASIVO SA</t>
        </is>
      </c>
      <c r="C4851" t="inlineStr">
        <is>
          <t>20492392031</t>
        </is>
      </c>
      <c r="D4851" t="inlineStr">
        <is>
          <t>AV. LOS INCAS CDRA. 4 PATIO NORTE - COMAS</t>
        </is>
      </c>
      <c r="E4851" t="inlineStr">
        <is>
          <t>Lima, 28 de abril del 2026</t>
        </is>
      </c>
      <c r="F4851" t="inlineStr">
        <is>
          <t>la Recarga y mantenimiento</t>
        </is>
      </c>
      <c r="G4851" t="n">
        <v>4</v>
      </c>
      <c r="H4851" t="inlineStr">
        <is>
          <t>06 KG</t>
        </is>
      </c>
      <c r="I4851" t="n">
        <v>2029</v>
      </c>
      <c r="J4851" t="n">
        <v>2009</v>
      </c>
      <c r="K4851" t="inlineStr">
        <is>
          <t>ABRIL 2026</t>
        </is>
      </c>
      <c r="L4851" t="inlineStr">
        <is>
          <t>ABRIL 2027</t>
        </is>
      </c>
      <c r="M4851" t="inlineStr">
        <is>
          <t>PQS/ABC AL 90%</t>
        </is>
      </c>
      <c r="N4851" t="inlineStr">
        <is>
          <t>298/002485</t>
        </is>
      </c>
      <c r="O4851" t="inlineStr">
        <is>
          <t>R</t>
        </is>
      </c>
      <c r="P4851">
        <f>TRIM(N4851)</f>
        <v/>
      </c>
    </row>
    <row r="4852">
      <c r="A4852" t="inlineStr">
        <is>
          <t>CO-002714</t>
        </is>
      </c>
      <c r="B4852" t="inlineStr">
        <is>
          <t>PERU MASIVO SA</t>
        </is>
      </c>
      <c r="C4852" t="inlineStr">
        <is>
          <t>20492392031</t>
        </is>
      </c>
      <c r="D4852" t="inlineStr">
        <is>
          <t>AV. LOS INCAS CDRA. 4 PATIO NORTE - COMAS</t>
        </is>
      </c>
      <c r="E4852" t="inlineStr">
        <is>
          <t>Lima, 28 de abril del 2026</t>
        </is>
      </c>
      <c r="F4852" t="inlineStr">
        <is>
          <t>la Recarga y mantenimiento</t>
        </is>
      </c>
      <c r="G4852" t="n">
        <v>5</v>
      </c>
      <c r="H4852" t="inlineStr">
        <is>
          <t>06 KG</t>
        </is>
      </c>
      <c r="I4852" t="n">
        <v>2028</v>
      </c>
      <c r="J4852" t="n">
        <v>2016</v>
      </c>
      <c r="K4852" t="inlineStr">
        <is>
          <t>ABRIL 2026</t>
        </is>
      </c>
      <c r="L4852" t="inlineStr">
        <is>
          <t>ABRIL 2027</t>
        </is>
      </c>
      <c r="M4852" t="inlineStr">
        <is>
          <t>PQS/ABC AL 90%</t>
        </is>
      </c>
      <c r="N4852" t="inlineStr">
        <is>
          <t>107/000942</t>
        </is>
      </c>
      <c r="O4852" t="inlineStr">
        <is>
          <t>R</t>
        </is>
      </c>
      <c r="P4852">
        <f>TRIM(N4852)</f>
        <v/>
      </c>
    </row>
    <row r="4853">
      <c r="A4853" t="inlineStr">
        <is>
          <t>CO-002714</t>
        </is>
      </c>
      <c r="B4853" t="inlineStr">
        <is>
          <t>PERU MASIVO SA</t>
        </is>
      </c>
      <c r="C4853" t="inlineStr">
        <is>
          <t>20492392031</t>
        </is>
      </c>
      <c r="D4853" t="inlineStr">
        <is>
          <t>AV. LOS INCAS CDRA. 4 PATIO NORTE - COMAS</t>
        </is>
      </c>
      <c r="E4853" t="inlineStr">
        <is>
          <t>Lima, 28 de abril del 2026</t>
        </is>
      </c>
      <c r="F4853" t="inlineStr">
        <is>
          <t>la Recarga y mantenimiento</t>
        </is>
      </c>
      <c r="G4853" t="n">
        <v>6</v>
      </c>
      <c r="H4853" t="inlineStr">
        <is>
          <t>06 KG</t>
        </is>
      </c>
      <c r="I4853" t="n">
        <v>2029</v>
      </c>
      <c r="J4853" t="n">
        <v>2011</v>
      </c>
      <c r="K4853" t="inlineStr">
        <is>
          <t>ABRIL 2026</t>
        </is>
      </c>
      <c r="L4853" t="inlineStr">
        <is>
          <t>ABRIL 2027</t>
        </is>
      </c>
      <c r="M4853" t="inlineStr">
        <is>
          <t>PQS/ABC AL 90%</t>
        </is>
      </c>
      <c r="N4853" t="inlineStr">
        <is>
          <t>131/000395</t>
        </is>
      </c>
      <c r="O4853" t="inlineStr">
        <is>
          <t>R</t>
        </is>
      </c>
      <c r="P4853">
        <f>TRIM(N4853)</f>
        <v/>
      </c>
    </row>
    <row r="4854">
      <c r="A4854" t="inlineStr">
        <is>
          <t>CO-002714</t>
        </is>
      </c>
      <c r="B4854" t="inlineStr">
        <is>
          <t>PERU MASIVO SA</t>
        </is>
      </c>
      <c r="C4854" t="inlineStr">
        <is>
          <t>20492392031</t>
        </is>
      </c>
      <c r="D4854" t="inlineStr">
        <is>
          <t>AV. LOS INCAS CDRA. 4 PATIO NORTE - COMAS</t>
        </is>
      </c>
      <c r="E4854" t="inlineStr">
        <is>
          <t>Lima, 28 de abril del 2026</t>
        </is>
      </c>
      <c r="F4854" t="inlineStr">
        <is>
          <t>la Recarga y mantenimiento</t>
        </is>
      </c>
      <c r="G4854" t="n">
        <v>7</v>
      </c>
      <c r="H4854" t="inlineStr">
        <is>
          <t>06 KG</t>
        </is>
      </c>
      <c r="I4854" t="n">
        <v>2029</v>
      </c>
      <c r="J4854" t="n">
        <v>2009</v>
      </c>
      <c r="K4854" t="inlineStr">
        <is>
          <t>ABRIL 2026</t>
        </is>
      </c>
      <c r="L4854" t="inlineStr">
        <is>
          <t>ABRIL 2027</t>
        </is>
      </c>
      <c r="M4854" t="inlineStr">
        <is>
          <t>PQS/ABC AL 90%</t>
        </is>
      </c>
      <c r="N4854" t="inlineStr">
        <is>
          <t>236/001913</t>
        </is>
      </c>
      <c r="O4854" t="inlineStr">
        <is>
          <t>R</t>
        </is>
      </c>
      <c r="P4854">
        <f>TRIM(N4854)</f>
        <v/>
      </c>
    </row>
    <row r="4855">
      <c r="A4855" t="inlineStr">
        <is>
          <t>CO-002714</t>
        </is>
      </c>
      <c r="B4855" t="inlineStr">
        <is>
          <t>PERU MASIVO SA</t>
        </is>
      </c>
      <c r="C4855" t="inlineStr">
        <is>
          <t>20492392031</t>
        </is>
      </c>
      <c r="D4855" t="inlineStr">
        <is>
          <t>AV. LOS INCAS CDRA. 4 PATIO NORTE - COMAS</t>
        </is>
      </c>
      <c r="E4855" t="inlineStr">
        <is>
          <t>Lima, 28 de abril del 2026</t>
        </is>
      </c>
      <c r="F4855" t="inlineStr">
        <is>
          <t>la Recarga y mantenimiento</t>
        </is>
      </c>
      <c r="G4855" t="n">
        <v>8</v>
      </c>
      <c r="H4855" t="inlineStr">
        <is>
          <t>06 KG</t>
        </is>
      </c>
      <c r="I4855" t="n">
        <v>2028</v>
      </c>
      <c r="J4855" t="n">
        <v>2009</v>
      </c>
      <c r="K4855" t="inlineStr">
        <is>
          <t>ABRIL 2026</t>
        </is>
      </c>
      <c r="L4855" t="inlineStr">
        <is>
          <t>ABRIL 2027</t>
        </is>
      </c>
      <c r="M4855" t="inlineStr">
        <is>
          <t>PQS/ABC AL 90%</t>
        </is>
      </c>
      <c r="N4855" t="inlineStr">
        <is>
          <t>305/000697</t>
        </is>
      </c>
      <c r="O4855" t="inlineStr">
        <is>
          <t>R</t>
        </is>
      </c>
      <c r="P4855">
        <f>TRIM(N4855)</f>
        <v/>
      </c>
    </row>
    <row r="4856">
      <c r="A4856" t="inlineStr">
        <is>
          <t>CO-002714</t>
        </is>
      </c>
      <c r="B4856" t="inlineStr">
        <is>
          <t>PERU MASIVO SA</t>
        </is>
      </c>
      <c r="C4856" t="inlineStr">
        <is>
          <t>20492392031</t>
        </is>
      </c>
      <c r="D4856" t="inlineStr">
        <is>
          <t>AV. LOS INCAS CDRA. 4 PATIO NORTE - COMAS</t>
        </is>
      </c>
      <c r="E4856" t="inlineStr">
        <is>
          <t>Lima, 28 de abril del 2026</t>
        </is>
      </c>
      <c r="F4856" t="inlineStr">
        <is>
          <t>la Recarga y mantenimiento</t>
        </is>
      </c>
      <c r="G4856" t="n">
        <v>9</v>
      </c>
      <c r="H4856" t="inlineStr">
        <is>
          <t>06 KG</t>
        </is>
      </c>
      <c r="I4856" t="n">
        <v>2029</v>
      </c>
      <c r="J4856" t="n">
        <v>2009</v>
      </c>
      <c r="K4856" t="inlineStr">
        <is>
          <t>ABRIL 2026</t>
        </is>
      </c>
      <c r="L4856" t="inlineStr">
        <is>
          <t>ABRIL 2027</t>
        </is>
      </c>
      <c r="M4856" t="inlineStr">
        <is>
          <t>PQS/ABC AL 90%</t>
        </is>
      </c>
      <c r="N4856" t="inlineStr">
        <is>
          <t>277/001108</t>
        </is>
      </c>
      <c r="O4856" t="inlineStr">
        <is>
          <t>R</t>
        </is>
      </c>
      <c r="P4856">
        <f>TRIM(N4856)</f>
        <v/>
      </c>
    </row>
    <row r="4857">
      <c r="A4857" t="inlineStr">
        <is>
          <t>CO-002714</t>
        </is>
      </c>
      <c r="B4857" t="inlineStr">
        <is>
          <t>PERU MASIVO SA</t>
        </is>
      </c>
      <c r="C4857" t="inlineStr">
        <is>
          <t>20492392031</t>
        </is>
      </c>
      <c r="D4857" t="inlineStr">
        <is>
          <t>AV. LOS INCAS CDRA. 4 PATIO NORTE - COMAS</t>
        </is>
      </c>
      <c r="E4857" t="inlineStr">
        <is>
          <t>Lima, 28 de abril del 2026</t>
        </is>
      </c>
      <c r="F4857" t="inlineStr">
        <is>
          <t>la Recarga y mantenimiento</t>
        </is>
      </c>
      <c r="G4857" t="n">
        <v>10</v>
      </c>
      <c r="H4857" t="inlineStr">
        <is>
          <t>06 KG</t>
        </is>
      </c>
      <c r="I4857" t="n">
        <v>2028</v>
      </c>
      <c r="J4857" t="n">
        <v>2018</v>
      </c>
      <c r="K4857" t="inlineStr">
        <is>
          <t>ABRIL 2026</t>
        </is>
      </c>
      <c r="L4857" t="inlineStr">
        <is>
          <t>ABRIL 2027</t>
        </is>
      </c>
      <c r="M4857" t="inlineStr">
        <is>
          <t>PQS/ABC AL 90%</t>
        </is>
      </c>
      <c r="N4857" t="inlineStr">
        <is>
          <t>116/001150</t>
        </is>
      </c>
      <c r="O4857" t="inlineStr">
        <is>
          <t>R</t>
        </is>
      </c>
      <c r="P4857">
        <f>TRIM(N4857)</f>
        <v/>
      </c>
    </row>
    <row r="4858">
      <c r="A4858" t="inlineStr">
        <is>
          <t>CO-002714</t>
        </is>
      </c>
      <c r="B4858" t="inlineStr">
        <is>
          <t>PERU MASIVO SA</t>
        </is>
      </c>
      <c r="C4858" t="inlineStr">
        <is>
          <t>20492392031</t>
        </is>
      </c>
      <c r="D4858" t="inlineStr">
        <is>
          <t>AV. LOS INCAS CDRA. 4 PATIO NORTE - COMAS</t>
        </is>
      </c>
      <c r="E4858" t="inlineStr">
        <is>
          <t>Lima, 28 de abril del 2026</t>
        </is>
      </c>
      <c r="F4858" t="inlineStr">
        <is>
          <t>la Recarga y mantenimiento</t>
        </is>
      </c>
      <c r="G4858" t="n">
        <v>11</v>
      </c>
      <c r="H4858" t="inlineStr">
        <is>
          <t>06 KG</t>
        </is>
      </c>
      <c r="I4858" t="n">
        <v>2030</v>
      </c>
      <c r="J4858" t="n">
        <v>2016</v>
      </c>
      <c r="K4858" t="inlineStr">
        <is>
          <t>ABRIL 2026</t>
        </is>
      </c>
      <c r="L4858" t="inlineStr">
        <is>
          <t>ABRIL 2027</t>
        </is>
      </c>
      <c r="M4858" t="inlineStr">
        <is>
          <t>PQS/ABC AL 90%</t>
        </is>
      </c>
      <c r="N4858" t="inlineStr">
        <is>
          <t>14/000718</t>
        </is>
      </c>
      <c r="O4858" t="inlineStr">
        <is>
          <t>R</t>
        </is>
      </c>
      <c r="P4858">
        <f>TRIM(N4858)</f>
        <v/>
      </c>
    </row>
    <row r="4859">
      <c r="A4859" t="inlineStr">
        <is>
          <t>CO-002714</t>
        </is>
      </c>
      <c r="B4859" t="inlineStr">
        <is>
          <t>PERU MASIVO SA</t>
        </is>
      </c>
      <c r="C4859" t="inlineStr">
        <is>
          <t>20492392031</t>
        </is>
      </c>
      <c r="D4859" t="inlineStr">
        <is>
          <t>AV. LOS INCAS CDRA. 4 PATIO NORTE - COMAS</t>
        </is>
      </c>
      <c r="E4859" t="inlineStr">
        <is>
          <t>Lima, 28 de abril del 2026</t>
        </is>
      </c>
      <c r="F4859" t="inlineStr">
        <is>
          <t>la Recarga y mantenimiento</t>
        </is>
      </c>
      <c r="G4859" t="n">
        <v>12</v>
      </c>
      <c r="H4859" t="inlineStr">
        <is>
          <t>06 KG</t>
        </is>
      </c>
      <c r="I4859" t="n">
        <v>2028</v>
      </c>
      <c r="J4859" t="n">
        <v>2010</v>
      </c>
      <c r="K4859" t="inlineStr">
        <is>
          <t>ABRIL 2026</t>
        </is>
      </c>
      <c r="L4859" t="inlineStr">
        <is>
          <t>ABRIL 2027</t>
        </is>
      </c>
      <c r="M4859" t="inlineStr">
        <is>
          <t>PQS/ABC AL 90%</t>
        </is>
      </c>
      <c r="N4859" t="inlineStr">
        <is>
          <t>295/000054</t>
        </is>
      </c>
      <c r="O4859" t="inlineStr">
        <is>
          <t>R</t>
        </is>
      </c>
      <c r="P4859">
        <f>TRIM(N4859)</f>
        <v/>
      </c>
    </row>
    <row r="4860">
      <c r="A4860" t="inlineStr">
        <is>
          <t>CO-002714</t>
        </is>
      </c>
      <c r="B4860" t="inlineStr">
        <is>
          <t>PERU MASIVO SA</t>
        </is>
      </c>
      <c r="C4860" t="inlineStr">
        <is>
          <t>20492392031</t>
        </is>
      </c>
      <c r="D4860" t="inlineStr">
        <is>
          <t>AV. LOS INCAS CDRA. 4 PATIO NORTE - COMAS</t>
        </is>
      </c>
      <c r="E4860" t="inlineStr">
        <is>
          <t>Lima, 28 de abril del 2026</t>
        </is>
      </c>
      <c r="F4860" t="inlineStr">
        <is>
          <t>la Recarga y mantenimiento</t>
        </is>
      </c>
      <c r="G4860" t="n">
        <v>13</v>
      </c>
      <c r="H4860" t="inlineStr">
        <is>
          <t>06 KG</t>
        </is>
      </c>
      <c r="I4860" t="n">
        <v>2029</v>
      </c>
      <c r="J4860" t="n">
        <v>2024</v>
      </c>
      <c r="K4860" t="inlineStr">
        <is>
          <t>ABRIL 2026</t>
        </is>
      </c>
      <c r="L4860" t="inlineStr">
        <is>
          <t>ABRIL 2027</t>
        </is>
      </c>
      <c r="M4860" t="inlineStr">
        <is>
          <t>PQS/ABC AL 90%</t>
        </is>
      </c>
      <c r="N4860" t="inlineStr">
        <is>
          <t>134/003097</t>
        </is>
      </c>
      <c r="O4860" t="inlineStr">
        <is>
          <t>R</t>
        </is>
      </c>
      <c r="P4860">
        <f>TRIM(N4860)</f>
        <v/>
      </c>
    </row>
    <row r="4861">
      <c r="A4861" t="inlineStr">
        <is>
          <t>CO-002714</t>
        </is>
      </c>
      <c r="B4861" t="inlineStr">
        <is>
          <t>PERU MASIVO SA</t>
        </is>
      </c>
      <c r="C4861" t="inlineStr">
        <is>
          <t>20492392031</t>
        </is>
      </c>
      <c r="D4861" t="inlineStr">
        <is>
          <t>AV. LOS INCAS CDRA. 4 PATIO NORTE - COMAS</t>
        </is>
      </c>
      <c r="E4861" t="inlineStr">
        <is>
          <t>Lima, 28 de abril del 2026</t>
        </is>
      </c>
      <c r="F4861" t="inlineStr">
        <is>
          <t>la Recarga y mantenimiento</t>
        </is>
      </c>
      <c r="G4861" t="n">
        <v>14</v>
      </c>
      <c r="H4861" t="inlineStr">
        <is>
          <t>06 KG</t>
        </is>
      </c>
      <c r="I4861" t="n">
        <v>2029</v>
      </c>
      <c r="J4861" t="n">
        <v>2009</v>
      </c>
      <c r="K4861" t="inlineStr">
        <is>
          <t>ABRIL 2026</t>
        </is>
      </c>
      <c r="L4861" t="inlineStr">
        <is>
          <t>ABRIL 2027</t>
        </is>
      </c>
      <c r="M4861" t="inlineStr">
        <is>
          <t>PQS/ABC AL 90%</t>
        </is>
      </c>
      <c r="N4861" t="inlineStr">
        <is>
          <t>71/000030</t>
        </is>
      </c>
      <c r="O4861" t="inlineStr">
        <is>
          <t>R</t>
        </is>
      </c>
      <c r="P4861">
        <f>TRIM(N4861)</f>
        <v/>
      </c>
    </row>
    <row r="4862">
      <c r="A4862" t="inlineStr">
        <is>
          <t>CO-002714</t>
        </is>
      </c>
      <c r="B4862" t="inlineStr">
        <is>
          <t>PERU MASIVO SA</t>
        </is>
      </c>
      <c r="C4862" t="inlineStr">
        <is>
          <t>20492392031</t>
        </is>
      </c>
      <c r="D4862" t="inlineStr">
        <is>
          <t>AV. LOS INCAS CDRA. 4 PATIO NORTE - COMAS</t>
        </is>
      </c>
      <c r="E4862" t="inlineStr">
        <is>
          <t>Lima, 28 de abril del 2026</t>
        </is>
      </c>
      <c r="F4862" t="inlineStr">
        <is>
          <t>la Recarga y mantenimiento</t>
        </is>
      </c>
      <c r="G4862" t="n">
        <v>15</v>
      </c>
      <c r="H4862" t="inlineStr">
        <is>
          <t>06 KG</t>
        </is>
      </c>
      <c r="I4862" t="n">
        <v>2029</v>
      </c>
      <c r="J4862" t="n">
        <v>2009</v>
      </c>
      <c r="K4862" t="inlineStr">
        <is>
          <t>ABRIL 2026</t>
        </is>
      </c>
      <c r="L4862" t="inlineStr">
        <is>
          <t>ABRIL 2027</t>
        </is>
      </c>
      <c r="M4862" t="inlineStr">
        <is>
          <t>PQS/ABC AL 90%</t>
        </is>
      </c>
      <c r="N4862" t="inlineStr">
        <is>
          <t>189/000999</t>
        </is>
      </c>
      <c r="O4862" t="inlineStr">
        <is>
          <t>R</t>
        </is>
      </c>
      <c r="P4862">
        <f>TRIM(N4862)</f>
        <v/>
      </c>
    </row>
    <row r="4863">
      <c r="A4863" t="inlineStr">
        <is>
          <t>CO-002715</t>
        </is>
      </c>
      <c r="B4863" t="inlineStr">
        <is>
          <t>LINDE PERU SRL</t>
        </is>
      </c>
      <c r="C4863" t="inlineStr">
        <is>
          <t>20338570041</t>
        </is>
      </c>
      <c r="E4863" t="inlineStr">
        <is>
          <t>Lima, 06 de mayo del 2026</t>
        </is>
      </c>
      <c r="F4863" t="inlineStr">
        <is>
          <t xml:space="preserve">La venta </t>
        </is>
      </c>
      <c r="G4863" t="n">
        <v>1</v>
      </c>
      <c r="H4863" t="inlineStr">
        <is>
          <t>20 LBS</t>
        </is>
      </c>
      <c r="I4863" t="n">
        <v>2030</v>
      </c>
      <c r="J4863" t="n">
        <v>2025</v>
      </c>
      <c r="K4863" t="inlineStr">
        <is>
          <t>MAYO 2026</t>
        </is>
      </c>
      <c r="L4863" t="inlineStr">
        <is>
          <t>MAYO 2027</t>
        </is>
      </c>
      <c r="M4863" t="inlineStr">
        <is>
          <t>PQS TIPO ABC AL 90%</t>
        </is>
      </c>
      <c r="N4863" t="inlineStr">
        <is>
          <t>I79857059</t>
        </is>
      </c>
      <c r="O4863" t="inlineStr">
        <is>
          <t>V</t>
        </is>
      </c>
      <c r="P4863">
        <f>TRIM(N4863)</f>
        <v/>
      </c>
    </row>
    <row r="4864">
      <c r="A4864" t="inlineStr">
        <is>
          <t>CO-002715</t>
        </is>
      </c>
      <c r="B4864" t="inlineStr">
        <is>
          <t>LINDE PERU SRL</t>
        </is>
      </c>
      <c r="C4864" t="inlineStr">
        <is>
          <t>20338570041</t>
        </is>
      </c>
      <c r="E4864" t="inlineStr">
        <is>
          <t>Lima, 06 de mayo del 2026</t>
        </is>
      </c>
      <c r="F4864" t="inlineStr">
        <is>
          <t xml:space="preserve">La venta </t>
        </is>
      </c>
      <c r="G4864" t="n">
        <v>2</v>
      </c>
      <c r="H4864" t="inlineStr">
        <is>
          <t>20 LBS</t>
        </is>
      </c>
      <c r="I4864" t="n">
        <v>2030</v>
      </c>
      <c r="J4864" t="n">
        <v>2025</v>
      </c>
      <c r="K4864" t="inlineStr">
        <is>
          <t>MAYO 2026</t>
        </is>
      </c>
      <c r="L4864" t="inlineStr">
        <is>
          <t>MAYO 2027</t>
        </is>
      </c>
      <c r="M4864" t="inlineStr">
        <is>
          <t>PQS TIPO ABC AL 90%</t>
        </is>
      </c>
      <c r="N4864" t="inlineStr">
        <is>
          <t>I79857084</t>
        </is>
      </c>
      <c r="O4864" t="inlineStr">
        <is>
          <t>V</t>
        </is>
      </c>
      <c r="P4864">
        <f>TRIM(N4864)</f>
        <v/>
      </c>
    </row>
    <row r="4865">
      <c r="A4865" t="inlineStr">
        <is>
          <t>CO-002715</t>
        </is>
      </c>
      <c r="B4865" t="inlineStr">
        <is>
          <t>LINDE PERU SRL</t>
        </is>
      </c>
      <c r="C4865" t="inlineStr">
        <is>
          <t>20338570041</t>
        </is>
      </c>
      <c r="E4865" t="inlineStr">
        <is>
          <t>Lima, 06 de mayo del 2026</t>
        </is>
      </c>
      <c r="F4865" t="inlineStr">
        <is>
          <t xml:space="preserve">La venta </t>
        </is>
      </c>
      <c r="G4865" t="n">
        <v>3</v>
      </c>
      <c r="H4865" t="inlineStr">
        <is>
          <t>20 LBS</t>
        </is>
      </c>
      <c r="I4865" t="n">
        <v>2030</v>
      </c>
      <c r="J4865" t="n">
        <v>2025</v>
      </c>
      <c r="K4865" t="inlineStr">
        <is>
          <t>MAYO 2026</t>
        </is>
      </c>
      <c r="L4865" t="inlineStr">
        <is>
          <t>MAYO 2027</t>
        </is>
      </c>
      <c r="M4865" t="inlineStr">
        <is>
          <t>PQS TIPO ABC AL 90%</t>
        </is>
      </c>
      <c r="N4865" t="inlineStr">
        <is>
          <t>I79857066</t>
        </is>
      </c>
      <c r="O4865" t="inlineStr">
        <is>
          <t>V</t>
        </is>
      </c>
      <c r="P4865">
        <f>TRIM(N4865)</f>
        <v/>
      </c>
    </row>
    <row r="4866">
      <c r="A4866" t="inlineStr">
        <is>
          <t>CO-002715</t>
        </is>
      </c>
      <c r="B4866" t="inlineStr">
        <is>
          <t>LINDE PERU SRL</t>
        </is>
      </c>
      <c r="C4866" t="inlineStr">
        <is>
          <t>20338570041</t>
        </is>
      </c>
      <c r="E4866" t="inlineStr">
        <is>
          <t>Lima, 06 de mayo del 2026</t>
        </is>
      </c>
      <c r="F4866" t="inlineStr">
        <is>
          <t xml:space="preserve">La venta </t>
        </is>
      </c>
      <c r="G4866" t="n">
        <v>4</v>
      </c>
      <c r="H4866" t="inlineStr">
        <is>
          <t>20 LBS</t>
        </is>
      </c>
      <c r="I4866" t="n">
        <v>2030</v>
      </c>
      <c r="J4866" t="n">
        <v>2025</v>
      </c>
      <c r="K4866" t="inlineStr">
        <is>
          <t>MAYO 2026</t>
        </is>
      </c>
      <c r="L4866" t="inlineStr">
        <is>
          <t>MAYO 2027</t>
        </is>
      </c>
      <c r="M4866" t="inlineStr">
        <is>
          <t>PQS TIPO ABC AL 90%</t>
        </is>
      </c>
      <c r="N4866" t="inlineStr">
        <is>
          <t>I79857072</t>
        </is>
      </c>
      <c r="O4866" t="inlineStr">
        <is>
          <t>V</t>
        </is>
      </c>
      <c r="P4866">
        <f>TRIM(N4866)</f>
        <v/>
      </c>
    </row>
    <row r="4867">
      <c r="A4867" t="inlineStr">
        <is>
          <t>CO-002715</t>
        </is>
      </c>
      <c r="B4867" t="inlineStr">
        <is>
          <t>LINDE PERU SRL</t>
        </is>
      </c>
      <c r="C4867" t="inlineStr">
        <is>
          <t>20338570041</t>
        </is>
      </c>
      <c r="E4867" t="inlineStr">
        <is>
          <t>Lima, 06 de mayo del 2026</t>
        </is>
      </c>
      <c r="F4867" t="inlineStr">
        <is>
          <t xml:space="preserve">La venta </t>
        </is>
      </c>
      <c r="G4867" t="n">
        <v>5</v>
      </c>
      <c r="H4867" t="inlineStr">
        <is>
          <t>20 LBS</t>
        </is>
      </c>
      <c r="I4867" t="n">
        <v>2030</v>
      </c>
      <c r="J4867" t="n">
        <v>2025</v>
      </c>
      <c r="K4867" t="inlineStr">
        <is>
          <t>MAYO 2026</t>
        </is>
      </c>
      <c r="L4867" t="inlineStr">
        <is>
          <t>MAYO 2027</t>
        </is>
      </c>
      <c r="M4867" t="inlineStr">
        <is>
          <t>PQS TIPO ABC AL 90%</t>
        </is>
      </c>
      <c r="N4867" t="inlineStr">
        <is>
          <t>I79857085</t>
        </is>
      </c>
      <c r="O4867" t="inlineStr">
        <is>
          <t>V</t>
        </is>
      </c>
      <c r="P4867">
        <f>TRIM(N4867)</f>
        <v/>
      </c>
    </row>
    <row r="4868">
      <c r="A4868" t="inlineStr">
        <is>
          <t>CO-002715</t>
        </is>
      </c>
      <c r="B4868" t="inlineStr">
        <is>
          <t>LINDE PERU SRL</t>
        </is>
      </c>
      <c r="C4868" t="inlineStr">
        <is>
          <t>20338570041</t>
        </is>
      </c>
      <c r="E4868" t="inlineStr">
        <is>
          <t>Lima, 06 de mayo del 2026</t>
        </is>
      </c>
      <c r="F4868" t="inlineStr">
        <is>
          <t xml:space="preserve">La venta </t>
        </is>
      </c>
      <c r="G4868" t="n">
        <v>6</v>
      </c>
      <c r="H4868" t="inlineStr">
        <is>
          <t>10 LBS</t>
        </is>
      </c>
      <c r="I4868" t="n">
        <v>2030</v>
      </c>
      <c r="J4868" t="n">
        <v>2025</v>
      </c>
      <c r="K4868" t="inlineStr">
        <is>
          <t>MAYO 2026</t>
        </is>
      </c>
      <c r="L4868" t="inlineStr">
        <is>
          <t>MAYO 2027</t>
        </is>
      </c>
      <c r="M4868" t="inlineStr">
        <is>
          <t>CO2 TIPO BC</t>
        </is>
      </c>
      <c r="N4868" t="inlineStr">
        <is>
          <t>H41356917</t>
        </is>
      </c>
      <c r="O4868" t="inlineStr">
        <is>
          <t>V</t>
        </is>
      </c>
      <c r="P4868">
        <f>TRIM(N4868)</f>
        <v/>
      </c>
    </row>
    <row r="4869">
      <c r="A4869" t="inlineStr">
        <is>
          <t>CO-002715</t>
        </is>
      </c>
      <c r="B4869" t="inlineStr">
        <is>
          <t>LINDE PERU SRL</t>
        </is>
      </c>
      <c r="C4869" t="inlineStr">
        <is>
          <t>20338570041</t>
        </is>
      </c>
      <c r="E4869" t="inlineStr">
        <is>
          <t>Lima, 06 de mayo del 2026</t>
        </is>
      </c>
      <c r="F4869" t="inlineStr">
        <is>
          <t xml:space="preserve">La venta </t>
        </is>
      </c>
      <c r="G4869" t="n">
        <v>7</v>
      </c>
      <c r="H4869" t="inlineStr">
        <is>
          <t>10 LBS</t>
        </is>
      </c>
      <c r="I4869" t="n">
        <v>2030</v>
      </c>
      <c r="J4869" t="n">
        <v>2025</v>
      </c>
      <c r="K4869" t="inlineStr">
        <is>
          <t>MAYO 2026</t>
        </is>
      </c>
      <c r="L4869" t="inlineStr">
        <is>
          <t>MAYO 2027</t>
        </is>
      </c>
      <c r="M4869" t="inlineStr">
        <is>
          <t>CO2 TIPO BC</t>
        </is>
      </c>
      <c r="N4869" t="inlineStr">
        <is>
          <t>H41356915</t>
        </is>
      </c>
      <c r="O4869" t="inlineStr">
        <is>
          <t>V</t>
        </is>
      </c>
      <c r="P4869">
        <f>TRIM(N4869)</f>
        <v/>
      </c>
    </row>
    <row r="4870">
      <c r="A4870" t="inlineStr">
        <is>
          <t>CO-002716</t>
        </is>
      </c>
      <c r="B4870" t="inlineStr">
        <is>
          <t>PERU MASIVO SA</t>
        </is>
      </c>
      <c r="C4870" t="inlineStr">
        <is>
          <t>20492392031</t>
        </is>
      </c>
      <c r="D4870" t="inlineStr">
        <is>
          <t>AV. LOS INCAS CDRA. 4 PATIO NORTE - COMAS</t>
        </is>
      </c>
      <c r="E4870" t="inlineStr">
        <is>
          <t>Lima, 05 de mayo del 2026</t>
        </is>
      </c>
      <c r="F4870" t="inlineStr">
        <is>
          <t>la Recarga y mantenimiento</t>
        </is>
      </c>
      <c r="G4870" t="n">
        <v>1</v>
      </c>
      <c r="H4870" t="inlineStr">
        <is>
          <t>06 KG</t>
        </is>
      </c>
      <c r="I4870" t="n">
        <v>2028</v>
      </c>
      <c r="J4870" t="n">
        <v>2009</v>
      </c>
      <c r="K4870" t="inlineStr">
        <is>
          <t>MAYO 2026</t>
        </is>
      </c>
      <c r="L4870" t="inlineStr">
        <is>
          <t>MAYO 2027</t>
        </is>
      </c>
      <c r="M4870" t="inlineStr">
        <is>
          <t>PQS/ABC AL 90%</t>
        </is>
      </c>
      <c r="N4870" t="inlineStr">
        <is>
          <t>291/002708</t>
        </is>
      </c>
      <c r="O4870" t="inlineStr">
        <is>
          <t>R</t>
        </is>
      </c>
      <c r="P4870">
        <f>TRIM(N4870)</f>
        <v/>
      </c>
    </row>
    <row r="4871">
      <c r="A4871" t="inlineStr">
        <is>
          <t>CO-002716</t>
        </is>
      </c>
      <c r="B4871" t="inlineStr">
        <is>
          <t>PERU MASIVO SA</t>
        </is>
      </c>
      <c r="C4871" t="inlineStr">
        <is>
          <t>20492392031</t>
        </is>
      </c>
      <c r="D4871" t="inlineStr">
        <is>
          <t>AV. LOS INCAS CDRA. 4 PATIO NORTE - COMAS</t>
        </is>
      </c>
      <c r="E4871" t="inlineStr">
        <is>
          <t>Lima, 05 de mayo del 2026</t>
        </is>
      </c>
      <c r="F4871" t="inlineStr">
        <is>
          <t>la Recarga y mantenimiento</t>
        </is>
      </c>
      <c r="G4871" t="n">
        <v>2</v>
      </c>
      <c r="H4871" t="inlineStr">
        <is>
          <t>06 KG</t>
        </is>
      </c>
      <c r="I4871" t="n">
        <v>2028</v>
      </c>
      <c r="J4871" t="n">
        <v>2009</v>
      </c>
      <c r="K4871" t="inlineStr">
        <is>
          <t>MAYO 2026</t>
        </is>
      </c>
      <c r="L4871" t="inlineStr">
        <is>
          <t>MAYO 2027</t>
        </is>
      </c>
      <c r="M4871" t="inlineStr">
        <is>
          <t>PQS/ABC AL 90%</t>
        </is>
      </c>
      <c r="N4871" t="inlineStr">
        <is>
          <t>365/000571</t>
        </is>
      </c>
      <c r="O4871" t="inlineStr">
        <is>
          <t>R</t>
        </is>
      </c>
      <c r="P4871">
        <f>TRIM(N4871)</f>
        <v/>
      </c>
    </row>
    <row r="4872">
      <c r="A4872" t="inlineStr">
        <is>
          <t>CO-002716</t>
        </is>
      </c>
      <c r="B4872" t="inlineStr">
        <is>
          <t>PERU MASIVO SA</t>
        </is>
      </c>
      <c r="C4872" t="inlineStr">
        <is>
          <t>20492392031</t>
        </is>
      </c>
      <c r="D4872" t="inlineStr">
        <is>
          <t>AV. LOS INCAS CDRA. 4 PATIO NORTE - COMAS</t>
        </is>
      </c>
      <c r="E4872" t="inlineStr">
        <is>
          <t>Lima, 05 de mayo del 2026</t>
        </is>
      </c>
      <c r="F4872" t="inlineStr">
        <is>
          <t>la Recarga y mantenimiento</t>
        </is>
      </c>
      <c r="G4872" t="n">
        <v>3</v>
      </c>
      <c r="H4872" t="inlineStr">
        <is>
          <t>06 KG</t>
        </is>
      </c>
      <c r="I4872" t="n">
        <v>2029</v>
      </c>
      <c r="J4872" t="n">
        <v>2019</v>
      </c>
      <c r="K4872" t="inlineStr">
        <is>
          <t>MAYO 2026</t>
        </is>
      </c>
      <c r="L4872" t="inlineStr">
        <is>
          <t>MAYO 2027</t>
        </is>
      </c>
      <c r="M4872" t="inlineStr">
        <is>
          <t>PQS/ABC AL 90%</t>
        </is>
      </c>
      <c r="N4872" t="inlineStr">
        <is>
          <t>64/000054</t>
        </is>
      </c>
      <c r="O4872" t="inlineStr">
        <is>
          <t>R</t>
        </is>
      </c>
      <c r="P4872">
        <f>TRIM(N4872)</f>
        <v/>
      </c>
    </row>
    <row r="4873">
      <c r="A4873" t="inlineStr">
        <is>
          <t>CO-002716</t>
        </is>
      </c>
      <c r="B4873" t="inlineStr">
        <is>
          <t>PERU MASIVO SA</t>
        </is>
      </c>
      <c r="C4873" t="inlineStr">
        <is>
          <t>20492392031</t>
        </is>
      </c>
      <c r="D4873" t="inlineStr">
        <is>
          <t>AV. LOS INCAS CDRA. 4 PATIO NORTE - COMAS</t>
        </is>
      </c>
      <c r="E4873" t="inlineStr">
        <is>
          <t>Lima, 05 de mayo del 2026</t>
        </is>
      </c>
      <c r="F4873" t="inlineStr">
        <is>
          <t>la Recarga y mantenimiento</t>
        </is>
      </c>
      <c r="G4873" t="n">
        <v>4</v>
      </c>
      <c r="H4873" t="inlineStr">
        <is>
          <t>06 KG</t>
        </is>
      </c>
      <c r="I4873" t="n">
        <v>2028</v>
      </c>
      <c r="J4873" t="n">
        <v>2010</v>
      </c>
      <c r="K4873" t="inlineStr">
        <is>
          <t>MAYO 2026</t>
        </is>
      </c>
      <c r="L4873" t="inlineStr">
        <is>
          <t>MAYO 2027</t>
        </is>
      </c>
      <c r="M4873" t="inlineStr">
        <is>
          <t>PQS/ABC AL 90%</t>
        </is>
      </c>
      <c r="N4873" t="inlineStr">
        <is>
          <t>139/000257</t>
        </is>
      </c>
      <c r="O4873" t="inlineStr">
        <is>
          <t>R</t>
        </is>
      </c>
      <c r="P4873">
        <f>TRIM(N4873)</f>
        <v/>
      </c>
    </row>
    <row r="4874">
      <c r="A4874" t="inlineStr">
        <is>
          <t>CO-002716</t>
        </is>
      </c>
      <c r="B4874" t="inlineStr">
        <is>
          <t>PERU MASIVO SA</t>
        </is>
      </c>
      <c r="C4874" t="inlineStr">
        <is>
          <t>20492392031</t>
        </is>
      </c>
      <c r="D4874" t="inlineStr">
        <is>
          <t>AV. LOS INCAS CDRA. 4 PATIO NORTE - COMAS</t>
        </is>
      </c>
      <c r="E4874" t="inlineStr">
        <is>
          <t>Lima, 05 de mayo del 2026</t>
        </is>
      </c>
      <c r="F4874" t="inlineStr">
        <is>
          <t>la Recarga y mantenimiento</t>
        </is>
      </c>
      <c r="G4874" t="n">
        <v>5</v>
      </c>
      <c r="H4874" t="inlineStr">
        <is>
          <t>06 KG</t>
        </is>
      </c>
      <c r="I4874" t="n">
        <v>2028</v>
      </c>
      <c r="J4874" t="n">
        <v>2016</v>
      </c>
      <c r="K4874" t="inlineStr">
        <is>
          <t>MAYO 2026</t>
        </is>
      </c>
      <c r="L4874" t="inlineStr">
        <is>
          <t>MAYO 2027</t>
        </is>
      </c>
      <c r="M4874" t="inlineStr">
        <is>
          <t>PQS/ABC AL 90%</t>
        </is>
      </c>
      <c r="N4874" t="inlineStr">
        <is>
          <t>109/001243</t>
        </is>
      </c>
      <c r="O4874" t="inlineStr">
        <is>
          <t>R</t>
        </is>
      </c>
      <c r="P4874">
        <f>TRIM(N4874)</f>
        <v/>
      </c>
    </row>
    <row r="4875">
      <c r="A4875" t="inlineStr">
        <is>
          <t>CO-002716</t>
        </is>
      </c>
      <c r="B4875" t="inlineStr">
        <is>
          <t>PERU MASIVO SA</t>
        </is>
      </c>
      <c r="C4875" t="inlineStr">
        <is>
          <t>20492392031</t>
        </is>
      </c>
      <c r="D4875" t="inlineStr">
        <is>
          <t>AV. LOS INCAS CDRA. 4 PATIO NORTE - COMAS</t>
        </is>
      </c>
      <c r="E4875" t="inlineStr">
        <is>
          <t>Lima, 05 de mayo del 2026</t>
        </is>
      </c>
      <c r="F4875" t="inlineStr">
        <is>
          <t>la Recarga y mantenimiento</t>
        </is>
      </c>
      <c r="G4875" t="n">
        <v>6</v>
      </c>
      <c r="H4875" t="inlineStr">
        <is>
          <t>06 KG</t>
        </is>
      </c>
      <c r="I4875" t="n">
        <v>2028</v>
      </c>
      <c r="J4875" t="n">
        <v>2009</v>
      </c>
      <c r="K4875" t="inlineStr">
        <is>
          <t>MAYO 2026</t>
        </is>
      </c>
      <c r="L4875" t="inlineStr">
        <is>
          <t>MAYO 2027</t>
        </is>
      </c>
      <c r="M4875" t="inlineStr">
        <is>
          <t>PQS/ABC AL 90%</t>
        </is>
      </c>
      <c r="N4875" t="inlineStr">
        <is>
          <t>265/000098</t>
        </is>
      </c>
      <c r="O4875" t="inlineStr">
        <is>
          <t>R</t>
        </is>
      </c>
      <c r="P4875">
        <f>TRIM(N4875)</f>
        <v/>
      </c>
    </row>
    <row r="4876">
      <c r="A4876" t="inlineStr">
        <is>
          <t>CO-002716</t>
        </is>
      </c>
      <c r="B4876" t="inlineStr">
        <is>
          <t>PERU MASIVO SA</t>
        </is>
      </c>
      <c r="C4876" t="inlineStr">
        <is>
          <t>20492392031</t>
        </is>
      </c>
      <c r="D4876" t="inlineStr">
        <is>
          <t>AV. LOS INCAS CDRA. 4 PATIO NORTE - COMAS</t>
        </is>
      </c>
      <c r="E4876" t="inlineStr">
        <is>
          <t>Lima, 05 de mayo del 2026</t>
        </is>
      </c>
      <c r="F4876" t="inlineStr">
        <is>
          <t>la Recarga y mantenimiento</t>
        </is>
      </c>
      <c r="G4876" t="n">
        <v>7</v>
      </c>
      <c r="H4876" t="inlineStr">
        <is>
          <t>06 KG</t>
        </is>
      </c>
      <c r="I4876" t="n">
        <v>2029</v>
      </c>
      <c r="J4876" t="n">
        <v>2009</v>
      </c>
      <c r="K4876" t="inlineStr">
        <is>
          <t>MAYO 2026</t>
        </is>
      </c>
      <c r="L4876" t="inlineStr">
        <is>
          <t>MAYO 2027</t>
        </is>
      </c>
      <c r="M4876" t="inlineStr">
        <is>
          <t>PQS/ABC AL 90%</t>
        </is>
      </c>
      <c r="N4876" t="inlineStr">
        <is>
          <t>280/000484</t>
        </is>
      </c>
      <c r="O4876" t="inlineStr">
        <is>
          <t>R</t>
        </is>
      </c>
      <c r="P4876">
        <f>TRIM(N4876)</f>
        <v/>
      </c>
    </row>
    <row r="4877">
      <c r="A4877" t="inlineStr">
        <is>
          <t>CO-002716</t>
        </is>
      </c>
      <c r="B4877" t="inlineStr">
        <is>
          <t>PERU MASIVO SA</t>
        </is>
      </c>
      <c r="C4877" t="inlineStr">
        <is>
          <t>20492392031</t>
        </is>
      </c>
      <c r="D4877" t="inlineStr">
        <is>
          <t>AV. LOS INCAS CDRA. 4 PATIO NORTE - COMAS</t>
        </is>
      </c>
      <c r="E4877" t="inlineStr">
        <is>
          <t>Lima, 05 de mayo del 2026</t>
        </is>
      </c>
      <c r="F4877" t="inlineStr">
        <is>
          <t>la Recarga y mantenimiento</t>
        </is>
      </c>
      <c r="G4877" t="n">
        <v>8</v>
      </c>
      <c r="H4877" t="inlineStr">
        <is>
          <t>06 KG</t>
        </is>
      </c>
      <c r="I4877" t="n">
        <v>2028</v>
      </c>
      <c r="J4877" t="n">
        <v>2010</v>
      </c>
      <c r="K4877" t="inlineStr">
        <is>
          <t>MAYO 2026</t>
        </is>
      </c>
      <c r="L4877" t="inlineStr">
        <is>
          <t>MAYO 2027</t>
        </is>
      </c>
      <c r="M4877" t="inlineStr">
        <is>
          <t>PQS/ABC AL 90%</t>
        </is>
      </c>
      <c r="N4877" t="inlineStr">
        <is>
          <t>102/000005</t>
        </is>
      </c>
      <c r="O4877" t="inlineStr">
        <is>
          <t>R</t>
        </is>
      </c>
      <c r="P4877">
        <f>TRIM(N4877)</f>
        <v/>
      </c>
    </row>
    <row r="4878">
      <c r="A4878" t="inlineStr">
        <is>
          <t>CO-002716</t>
        </is>
      </c>
      <c r="B4878" t="inlineStr">
        <is>
          <t>PERU MASIVO SA</t>
        </is>
      </c>
      <c r="C4878" t="inlineStr">
        <is>
          <t>20492392031</t>
        </is>
      </c>
      <c r="D4878" t="inlineStr">
        <is>
          <t>AV. LOS INCAS CDRA. 4 PATIO NORTE - COMAS</t>
        </is>
      </c>
      <c r="E4878" t="inlineStr">
        <is>
          <t>Lima, 05 de mayo del 2026</t>
        </is>
      </c>
      <c r="F4878" t="inlineStr">
        <is>
          <t>la Recarga y mantenimiento</t>
        </is>
      </c>
      <c r="G4878" t="n">
        <v>9</v>
      </c>
      <c r="H4878" t="inlineStr">
        <is>
          <t>06 KG</t>
        </is>
      </c>
      <c r="I4878" t="n">
        <v>2028</v>
      </c>
      <c r="J4878" t="n">
        <v>2009</v>
      </c>
      <c r="K4878" t="inlineStr">
        <is>
          <t>MAYO 2026</t>
        </is>
      </c>
      <c r="L4878" t="inlineStr">
        <is>
          <t>MAYO 2027</t>
        </is>
      </c>
      <c r="M4878" t="inlineStr">
        <is>
          <t>PQS/ABC AL 90%</t>
        </is>
      </c>
      <c r="N4878" t="inlineStr">
        <is>
          <t>333/001048</t>
        </is>
      </c>
      <c r="O4878" t="inlineStr">
        <is>
          <t>R</t>
        </is>
      </c>
      <c r="P4878">
        <f>TRIM(N4878)</f>
        <v/>
      </c>
    </row>
    <row r="4879">
      <c r="A4879" t="inlineStr">
        <is>
          <t>CO-002716</t>
        </is>
      </c>
      <c r="B4879" t="inlineStr">
        <is>
          <t>PERU MASIVO SA</t>
        </is>
      </c>
      <c r="C4879" t="inlineStr">
        <is>
          <t>20492392031</t>
        </is>
      </c>
      <c r="D4879" t="inlineStr">
        <is>
          <t>AV. LOS INCAS CDRA. 4 PATIO NORTE - COMAS</t>
        </is>
      </c>
      <c r="E4879" t="inlineStr">
        <is>
          <t>Lima, 05 de mayo del 2026</t>
        </is>
      </c>
      <c r="F4879" t="inlineStr">
        <is>
          <t>la Recarga y mantenimiento</t>
        </is>
      </c>
      <c r="G4879" t="n">
        <v>10</v>
      </c>
      <c r="H4879" t="inlineStr">
        <is>
          <t>06 KG</t>
        </is>
      </c>
      <c r="I4879" t="n">
        <v>2029</v>
      </c>
      <c r="J4879" t="n">
        <v>2009</v>
      </c>
      <c r="K4879" t="inlineStr">
        <is>
          <t>MAYO 2026</t>
        </is>
      </c>
      <c r="L4879" t="inlineStr">
        <is>
          <t>MAYO 2027</t>
        </is>
      </c>
      <c r="M4879" t="inlineStr">
        <is>
          <t>PQS/ABC AL 90%</t>
        </is>
      </c>
      <c r="N4879" t="inlineStr">
        <is>
          <t>282/000201</t>
        </is>
      </c>
      <c r="O4879" t="inlineStr">
        <is>
          <t>R</t>
        </is>
      </c>
      <c r="P4879">
        <f>TRIM(N4879)</f>
        <v/>
      </c>
    </row>
    <row r="4880">
      <c r="A4880" t="inlineStr">
        <is>
          <t>CO-002716</t>
        </is>
      </c>
      <c r="B4880" t="inlineStr">
        <is>
          <t>PERU MASIVO SA</t>
        </is>
      </c>
      <c r="C4880" t="inlineStr">
        <is>
          <t>20492392031</t>
        </is>
      </c>
      <c r="D4880" t="inlineStr">
        <is>
          <t>AV. LOS INCAS CDRA. 4 PATIO NORTE - COMAS</t>
        </is>
      </c>
      <c r="E4880" t="inlineStr">
        <is>
          <t>Lima, 05 de mayo del 2026</t>
        </is>
      </c>
      <c r="F4880" t="inlineStr">
        <is>
          <t>la Recarga y mantenimiento</t>
        </is>
      </c>
      <c r="G4880" t="n">
        <v>11</v>
      </c>
      <c r="H4880" t="inlineStr">
        <is>
          <t>06 KG</t>
        </is>
      </c>
      <c r="I4880" t="n">
        <v>2028</v>
      </c>
      <c r="J4880" t="n">
        <v>2009</v>
      </c>
      <c r="K4880" t="inlineStr">
        <is>
          <t>MAYO 2026</t>
        </is>
      </c>
      <c r="L4880" t="inlineStr">
        <is>
          <t>MAYO 2027</t>
        </is>
      </c>
      <c r="M4880" t="inlineStr">
        <is>
          <t>PQS/ABC AL 90%</t>
        </is>
      </c>
      <c r="N4880" t="inlineStr">
        <is>
          <t>296/001459</t>
        </is>
      </c>
      <c r="O4880" t="inlineStr">
        <is>
          <t>R</t>
        </is>
      </c>
      <c r="P4880">
        <f>TRIM(N4880)</f>
        <v/>
      </c>
    </row>
    <row r="4881">
      <c r="A4881" t="inlineStr">
        <is>
          <t>CO-002716</t>
        </is>
      </c>
      <c r="B4881" t="inlineStr">
        <is>
          <t>PERU MASIVO SA</t>
        </is>
      </c>
      <c r="C4881" t="inlineStr">
        <is>
          <t>20492392031</t>
        </is>
      </c>
      <c r="D4881" t="inlineStr">
        <is>
          <t>AV. LOS INCAS CDRA. 4 PATIO NORTE - COMAS</t>
        </is>
      </c>
      <c r="E4881" t="inlineStr">
        <is>
          <t>Lima, 05 de mayo del 2026</t>
        </is>
      </c>
      <c r="F4881" t="inlineStr">
        <is>
          <t>la Recarga y mantenimiento</t>
        </is>
      </c>
      <c r="G4881" t="n">
        <v>12</v>
      </c>
      <c r="H4881" t="inlineStr">
        <is>
          <t>06 KG</t>
        </is>
      </c>
      <c r="I4881" t="n">
        <v>2024</v>
      </c>
      <c r="J4881" t="n">
        <v>2009</v>
      </c>
      <c r="K4881" t="inlineStr">
        <is>
          <t>MAYO 2026</t>
        </is>
      </c>
      <c r="L4881" t="inlineStr">
        <is>
          <t>MAYO 2027</t>
        </is>
      </c>
      <c r="M4881" t="inlineStr">
        <is>
          <t>PQS/ABC AL 90%</t>
        </is>
      </c>
      <c r="N4881" t="inlineStr">
        <is>
          <t>07/001500</t>
        </is>
      </c>
      <c r="O4881" t="inlineStr">
        <is>
          <t>R</t>
        </is>
      </c>
      <c r="P4881">
        <f>TRIM(N4881)</f>
        <v/>
      </c>
    </row>
    <row r="4882">
      <c r="A4882" t="inlineStr">
        <is>
          <t>CO-002716</t>
        </is>
      </c>
      <c r="B4882" t="inlineStr">
        <is>
          <t>PERU MASIVO SA</t>
        </is>
      </c>
      <c r="C4882" t="inlineStr">
        <is>
          <t>20492392031</t>
        </is>
      </c>
      <c r="D4882" t="inlineStr">
        <is>
          <t>AV. LOS INCAS CDRA. 4 PATIO NORTE - COMAS</t>
        </is>
      </c>
      <c r="E4882" t="inlineStr">
        <is>
          <t>Lima, 05 de mayo del 2026</t>
        </is>
      </c>
      <c r="F4882" t="inlineStr">
        <is>
          <t>la Recarga y mantenimiento</t>
        </is>
      </c>
      <c r="G4882" t="n">
        <v>13</v>
      </c>
      <c r="H4882" t="inlineStr">
        <is>
          <t>06 KG</t>
        </is>
      </c>
      <c r="I4882" t="n">
        <v>2029</v>
      </c>
      <c r="J4882" t="n">
        <v>2009</v>
      </c>
      <c r="K4882" t="inlineStr">
        <is>
          <t>MAYO 2026</t>
        </is>
      </c>
      <c r="L4882" t="inlineStr">
        <is>
          <t>MAYO 2027</t>
        </is>
      </c>
      <c r="M4882" t="inlineStr">
        <is>
          <t>PQS/ABC AL 90%</t>
        </is>
      </c>
      <c r="N4882" t="inlineStr">
        <is>
          <t>81/001025</t>
        </is>
      </c>
      <c r="O4882" t="inlineStr">
        <is>
          <t>R</t>
        </is>
      </c>
      <c r="P4882">
        <f>TRIM(N4882)</f>
        <v/>
      </c>
    </row>
    <row r="4883">
      <c r="A4883" t="inlineStr">
        <is>
          <t>CO-002716</t>
        </is>
      </c>
      <c r="B4883" t="inlineStr">
        <is>
          <t>PERU MASIVO SA</t>
        </is>
      </c>
      <c r="C4883" t="inlineStr">
        <is>
          <t>20492392031</t>
        </is>
      </c>
      <c r="D4883" t="inlineStr">
        <is>
          <t>AV. LOS INCAS CDRA. 4 PATIO NORTE - COMAS</t>
        </is>
      </c>
      <c r="E4883" t="inlineStr">
        <is>
          <t>Lima, 05 de mayo del 2026</t>
        </is>
      </c>
      <c r="F4883" t="inlineStr">
        <is>
          <t>la Recarga y mantenimiento</t>
        </is>
      </c>
      <c r="G4883" t="n">
        <v>14</v>
      </c>
      <c r="H4883" t="inlineStr">
        <is>
          <t>06 KG</t>
        </is>
      </c>
      <c r="I4883" t="n">
        <v>2028</v>
      </c>
      <c r="J4883" t="n">
        <v>2010</v>
      </c>
      <c r="K4883" t="inlineStr">
        <is>
          <t>MAYO 2026</t>
        </is>
      </c>
      <c r="L4883" t="inlineStr">
        <is>
          <t>MAYO 2027</t>
        </is>
      </c>
      <c r="M4883" t="inlineStr">
        <is>
          <t>PQS/ABC AL 90%</t>
        </is>
      </c>
      <c r="N4883" t="inlineStr">
        <is>
          <t>70/000005</t>
        </is>
      </c>
      <c r="O4883" t="inlineStr">
        <is>
          <t>R</t>
        </is>
      </c>
      <c r="P4883">
        <f>TRIM(N4883)</f>
        <v/>
      </c>
    </row>
    <row r="4884">
      <c r="A4884" t="inlineStr">
        <is>
          <t>CO-002716</t>
        </is>
      </c>
      <c r="B4884" t="inlineStr">
        <is>
          <t>PERU MASIVO SA</t>
        </is>
      </c>
      <c r="C4884" t="inlineStr">
        <is>
          <t>20492392031</t>
        </is>
      </c>
      <c r="D4884" t="inlineStr">
        <is>
          <t>AV. LOS INCAS CDRA. 4 PATIO NORTE - COMAS</t>
        </is>
      </c>
      <c r="E4884" t="inlineStr">
        <is>
          <t>Lima, 05 de mayo del 2026</t>
        </is>
      </c>
      <c r="F4884" t="inlineStr">
        <is>
          <t>la Recarga y mantenimiento</t>
        </is>
      </c>
      <c r="G4884" t="n">
        <v>15</v>
      </c>
      <c r="H4884" t="inlineStr">
        <is>
          <t>06 KG</t>
        </is>
      </c>
      <c r="I4884" t="n">
        <v>2028</v>
      </c>
      <c r="J4884" t="n">
        <v>2010</v>
      </c>
      <c r="K4884" t="inlineStr">
        <is>
          <t>MAYO 2026</t>
        </is>
      </c>
      <c r="L4884" t="inlineStr">
        <is>
          <t>MAYO 2027</t>
        </is>
      </c>
      <c r="M4884" t="inlineStr">
        <is>
          <t>PQS/ABC AL 90%</t>
        </is>
      </c>
      <c r="N4884" t="inlineStr">
        <is>
          <t>216/000241</t>
        </is>
      </c>
      <c r="O4884" t="inlineStr">
        <is>
          <t>R</t>
        </is>
      </c>
      <c r="P4884">
        <f>TRIM(N4884)</f>
        <v/>
      </c>
    </row>
    <row r="4885">
      <c r="A4885" t="inlineStr">
        <is>
          <t>CO-002717</t>
        </is>
      </c>
      <c r="B4885" t="inlineStr">
        <is>
          <t>PERU MASIVO SA</t>
        </is>
      </c>
      <c r="C4885" t="inlineStr">
        <is>
          <t>20492392031</t>
        </is>
      </c>
      <c r="D4885" t="inlineStr">
        <is>
          <t>AV. LOS INCAS CDRA. 4 PATIO NORTE - COMAS</t>
        </is>
      </c>
      <c r="E4885" t="inlineStr">
        <is>
          <t>Lima, 05 de mayo del 2026</t>
        </is>
      </c>
      <c r="F4885" t="inlineStr">
        <is>
          <t>la Recarga y mantenimiento</t>
        </is>
      </c>
      <c r="G4885" t="n">
        <v>1</v>
      </c>
      <c r="H4885" t="inlineStr">
        <is>
          <t>06 KG</t>
        </is>
      </c>
      <c r="I4885" t="n">
        <v>2029</v>
      </c>
      <c r="J4885" t="n">
        <v>2010</v>
      </c>
      <c r="K4885" t="inlineStr">
        <is>
          <t>MAYO 2026</t>
        </is>
      </c>
      <c r="L4885" t="inlineStr">
        <is>
          <t>MAYO 2027</t>
        </is>
      </c>
      <c r="M4885" t="inlineStr">
        <is>
          <t>PQS/ABC AL 90%</t>
        </is>
      </c>
      <c r="N4885" t="inlineStr">
        <is>
          <t>102/000383</t>
        </is>
      </c>
      <c r="O4885" t="inlineStr">
        <is>
          <t>R</t>
        </is>
      </c>
      <c r="P4885">
        <f>TRIM(N4885)</f>
        <v/>
      </c>
    </row>
    <row r="4886">
      <c r="A4886" t="inlineStr">
        <is>
          <t>CO-002717</t>
        </is>
      </c>
      <c r="B4886" t="inlineStr">
        <is>
          <t>PERU MASIVO SA</t>
        </is>
      </c>
      <c r="C4886" t="inlineStr">
        <is>
          <t>20492392031</t>
        </is>
      </c>
      <c r="D4886" t="inlineStr">
        <is>
          <t>AV. LOS INCAS CDRA. 4 PATIO NORTE - COMAS</t>
        </is>
      </c>
      <c r="E4886" t="inlineStr">
        <is>
          <t>Lima, 05 de mayo del 2026</t>
        </is>
      </c>
      <c r="F4886" t="inlineStr">
        <is>
          <t>la Recarga y mantenimiento</t>
        </is>
      </c>
      <c r="G4886" t="n">
        <v>2</v>
      </c>
      <c r="H4886" t="inlineStr">
        <is>
          <t>06 KG</t>
        </is>
      </c>
      <c r="I4886" t="n">
        <v>2028</v>
      </c>
      <c r="J4886" t="n">
        <v>2010</v>
      </c>
      <c r="K4886" t="inlineStr">
        <is>
          <t>MAYO 2026</t>
        </is>
      </c>
      <c r="L4886" t="inlineStr">
        <is>
          <t>MAYO 2027</t>
        </is>
      </c>
      <c r="M4886" t="inlineStr">
        <is>
          <t>PQS/ABC AL 90%</t>
        </is>
      </c>
      <c r="N4886" t="inlineStr">
        <is>
          <t>230/000597</t>
        </is>
      </c>
      <c r="O4886" t="inlineStr">
        <is>
          <t>R</t>
        </is>
      </c>
      <c r="P4886">
        <f>TRIM(N4886)</f>
        <v/>
      </c>
    </row>
    <row r="4887">
      <c r="A4887" t="inlineStr">
        <is>
          <t>CO-002718</t>
        </is>
      </c>
      <c r="B4887" t="inlineStr">
        <is>
          <t>AEQUILIBRIUM SAC</t>
        </is>
      </c>
      <c r="C4887" t="n">
        <v>20507636501</v>
      </c>
      <c r="D4887" t="inlineStr">
        <is>
          <t>Av Emilio Cavenecia 225. Of 516 San Isidro</t>
        </is>
      </c>
      <c r="E4887" t="inlineStr">
        <is>
          <t>Lima, 05 de mayo del 2026</t>
        </is>
      </c>
      <c r="F4887" t="inlineStr">
        <is>
          <t xml:space="preserve">La venta </t>
        </is>
      </c>
      <c r="G4887" t="n">
        <v>1</v>
      </c>
      <c r="H4887" t="inlineStr">
        <is>
          <t>06 KG</t>
        </is>
      </c>
      <c r="I4887" t="n">
        <v>2031</v>
      </c>
      <c r="J4887" t="n">
        <v>2026</v>
      </c>
      <c r="K4887" t="inlineStr">
        <is>
          <t>MAYO 2026</t>
        </is>
      </c>
      <c r="L4887" t="inlineStr">
        <is>
          <t>MAYO 2027</t>
        </is>
      </c>
      <c r="M4887" t="inlineStr">
        <is>
          <t xml:space="preserve">PQS TIPO ABC AL 75% </t>
        </is>
      </c>
      <c r="N4887" t="inlineStr">
        <is>
          <t>01/169339</t>
        </is>
      </c>
      <c r="O4887" t="inlineStr">
        <is>
          <t>V</t>
        </is>
      </c>
      <c r="P4887">
        <f>TRIM(N4887)</f>
        <v/>
      </c>
    </row>
    <row r="4888">
      <c r="A4888" t="inlineStr">
        <is>
          <t>CO-002719</t>
        </is>
      </c>
      <c r="B4888" t="inlineStr">
        <is>
          <t xml:space="preserve"> EDEN AGUA SOLUCIONES INTEGRALES S.A.C.</t>
        </is>
      </c>
      <c r="C4888" t="n">
        <v>20613553372</v>
      </c>
      <c r="D4888" t="inlineStr">
        <is>
          <t>Jr Arica 419 - 421 Barranco</t>
        </is>
      </c>
      <c r="E4888" t="inlineStr">
        <is>
          <t>Lima, 07 de mayo del 2026</t>
        </is>
      </c>
      <c r="F4888" t="inlineStr">
        <is>
          <t>la Recarga y mantenimiento</t>
        </is>
      </c>
      <c r="G4888" t="n">
        <v>1</v>
      </c>
      <c r="H4888" t="inlineStr">
        <is>
          <t>06 KG</t>
        </is>
      </c>
      <c r="I4888" t="n">
        <v>2031</v>
      </c>
      <c r="J4888" t="n">
        <v>2014</v>
      </c>
      <c r="K4888" t="inlineStr">
        <is>
          <t>MAYO 2026</t>
        </is>
      </c>
      <c r="L4888" t="inlineStr">
        <is>
          <t>MAYO 2027</t>
        </is>
      </c>
      <c r="M4888" t="inlineStr">
        <is>
          <t xml:space="preserve">PQS TIPO ABC AL 75% </t>
        </is>
      </c>
      <c r="N4888" t="inlineStr">
        <is>
          <t>01/008997</t>
        </is>
      </c>
      <c r="O4888" t="inlineStr">
        <is>
          <t>R</t>
        </is>
      </c>
      <c r="P4888">
        <f>TRIM(N4888)</f>
        <v/>
      </c>
    </row>
    <row r="4889">
      <c r="A4889" t="inlineStr">
        <is>
          <t>CO-002719</t>
        </is>
      </c>
      <c r="B4889" t="inlineStr">
        <is>
          <t xml:space="preserve"> EDEN AGUA SOLUCIONES INTEGRALES S.A.C.</t>
        </is>
      </c>
      <c r="C4889" t="n">
        <v>20613553372</v>
      </c>
      <c r="D4889" t="inlineStr">
        <is>
          <t>Jr Arica 419 - 421 Barranco</t>
        </is>
      </c>
      <c r="E4889" t="inlineStr">
        <is>
          <t>Lima, 07 de mayo del 2026</t>
        </is>
      </c>
      <c r="F4889" t="inlineStr">
        <is>
          <t>la Recarga y mantenimiento</t>
        </is>
      </c>
      <c r="G4889" t="n">
        <v>2</v>
      </c>
      <c r="H4889" t="inlineStr">
        <is>
          <t>06 KG</t>
        </is>
      </c>
      <c r="I4889" t="n">
        <v>2031</v>
      </c>
      <c r="J4889" t="n">
        <v>2011</v>
      </c>
      <c r="K4889" t="inlineStr">
        <is>
          <t>MAYO 2026</t>
        </is>
      </c>
      <c r="L4889" t="inlineStr">
        <is>
          <t>MAYO 2027</t>
        </is>
      </c>
      <c r="M4889" t="inlineStr">
        <is>
          <t xml:space="preserve">PQS TIPO ABC AL 75% </t>
        </is>
      </c>
      <c r="N4889" t="inlineStr">
        <is>
          <t>02/000229</t>
        </is>
      </c>
      <c r="O4889" t="inlineStr">
        <is>
          <t>R</t>
        </is>
      </c>
      <c r="P4889">
        <f>TRIM(N4889)</f>
        <v/>
      </c>
    </row>
    <row r="4890">
      <c r="A4890" t="inlineStr">
        <is>
          <t>CO-002719</t>
        </is>
      </c>
      <c r="B4890" t="inlineStr">
        <is>
          <t xml:space="preserve"> EDEN AGUA SOLUCIONES INTEGRALES S.A.C.</t>
        </is>
      </c>
      <c r="C4890" t="n">
        <v>20613553372</v>
      </c>
      <c r="D4890" t="inlineStr">
        <is>
          <t>Jr Arica 419 - 421 Barranco</t>
        </is>
      </c>
      <c r="E4890" t="inlineStr">
        <is>
          <t>Lima, 07 de mayo del 2026</t>
        </is>
      </c>
      <c r="F4890" t="inlineStr">
        <is>
          <t>la Recarga y mantenimiento</t>
        </is>
      </c>
      <c r="G4890" t="n">
        <v>3</v>
      </c>
      <c r="H4890" t="inlineStr">
        <is>
          <t>06 KG</t>
        </is>
      </c>
      <c r="I4890" t="n">
        <v>2031</v>
      </c>
      <c r="J4890" t="n">
        <v>2008</v>
      </c>
      <c r="K4890" t="inlineStr">
        <is>
          <t>MAYO 2026</t>
        </is>
      </c>
      <c r="L4890" t="inlineStr">
        <is>
          <t>MAYO 2027</t>
        </is>
      </c>
      <c r="M4890" t="inlineStr">
        <is>
          <t xml:space="preserve">PQS TIPO ABC AL 75% </t>
        </is>
      </c>
      <c r="N4890" t="inlineStr">
        <is>
          <t>03/002993</t>
        </is>
      </c>
      <c r="O4890" t="inlineStr">
        <is>
          <t>R</t>
        </is>
      </c>
      <c r="P4890">
        <f>TRIM(N4890)</f>
        <v/>
      </c>
    </row>
    <row r="4891">
      <c r="A4891" t="inlineStr">
        <is>
          <t>CO-002719</t>
        </is>
      </c>
      <c r="B4891" t="inlineStr">
        <is>
          <t xml:space="preserve"> EDEN AGUA SOLUCIONES INTEGRALES S.A.C.</t>
        </is>
      </c>
      <c r="C4891" t="n">
        <v>20613553372</v>
      </c>
      <c r="D4891" t="inlineStr">
        <is>
          <t>Jr Arica 419 - 421 Barranco</t>
        </is>
      </c>
      <c r="E4891" t="inlineStr">
        <is>
          <t>Lima, 07 de mayo del 2026</t>
        </is>
      </c>
      <c r="F4891" t="inlineStr">
        <is>
          <t>la Recarga y mantenimiento</t>
        </is>
      </c>
      <c r="G4891" t="n">
        <v>4</v>
      </c>
      <c r="H4891" t="inlineStr">
        <is>
          <t>06 KG</t>
        </is>
      </c>
      <c r="I4891" t="n">
        <v>2031</v>
      </c>
      <c r="J4891" t="n">
        <v>2014</v>
      </c>
      <c r="K4891" t="inlineStr">
        <is>
          <t>MAYO 2026</t>
        </is>
      </c>
      <c r="L4891" t="inlineStr">
        <is>
          <t>MAYO 2027</t>
        </is>
      </c>
      <c r="M4891" t="inlineStr">
        <is>
          <t xml:space="preserve">PQS TIPO ABC AL 75% </t>
        </is>
      </c>
      <c r="N4891" t="inlineStr">
        <is>
          <t>04/009044</t>
        </is>
      </c>
      <c r="O4891" t="inlineStr">
        <is>
          <t>R</t>
        </is>
      </c>
      <c r="P4891">
        <f>TRIM(N4891)</f>
        <v/>
      </c>
    </row>
    <row r="4892">
      <c r="A4892" t="inlineStr">
        <is>
          <t>CO-002719</t>
        </is>
      </c>
      <c r="B4892" t="inlineStr">
        <is>
          <t xml:space="preserve"> EDEN AGUA SOLUCIONES INTEGRALES S.A.C.</t>
        </is>
      </c>
      <c r="C4892" t="n">
        <v>20613553372</v>
      </c>
      <c r="D4892" t="inlineStr">
        <is>
          <t>Jr Arica 419 - 421 Barranco</t>
        </is>
      </c>
      <c r="E4892" t="inlineStr">
        <is>
          <t>Lima, 07 de mayo del 2026</t>
        </is>
      </c>
      <c r="F4892" t="inlineStr">
        <is>
          <t>la Recarga y mantenimiento</t>
        </is>
      </c>
      <c r="G4892" t="n">
        <v>5</v>
      </c>
      <c r="H4892" t="inlineStr">
        <is>
          <t>06 KG</t>
        </is>
      </c>
      <c r="I4892" t="n">
        <v>2031</v>
      </c>
      <c r="J4892" t="n">
        <v>2012</v>
      </c>
      <c r="K4892" t="inlineStr">
        <is>
          <t>MAYO 2026</t>
        </is>
      </c>
      <c r="L4892" t="inlineStr">
        <is>
          <t>MAYO 2027</t>
        </is>
      </c>
      <c r="M4892" t="inlineStr">
        <is>
          <t xml:space="preserve">PQS TIPO ABC AL 75% </t>
        </is>
      </c>
      <c r="N4892" t="inlineStr">
        <is>
          <t>05/000119</t>
        </is>
      </c>
      <c r="O4892" t="inlineStr">
        <is>
          <t>R</t>
        </is>
      </c>
      <c r="P4892">
        <f>TRIM(N4892)</f>
        <v/>
      </c>
    </row>
    <row r="4893">
      <c r="A4893" t="inlineStr">
        <is>
          <t>CO-002719</t>
        </is>
      </c>
      <c r="B4893" t="inlineStr">
        <is>
          <t xml:space="preserve"> EDEN AGUA SOLUCIONES INTEGRALES S.A.C.</t>
        </is>
      </c>
      <c r="C4893" t="n">
        <v>20613553372</v>
      </c>
      <c r="D4893" t="inlineStr">
        <is>
          <t>Jr Arica 419 - 421 Barranco</t>
        </is>
      </c>
      <c r="E4893" t="inlineStr">
        <is>
          <t>Lima, 07 de mayo del 2026</t>
        </is>
      </c>
      <c r="F4893" t="inlineStr">
        <is>
          <t>la Recarga y mantenimiento</t>
        </is>
      </c>
      <c r="G4893" t="n">
        <v>6</v>
      </c>
      <c r="H4893" t="inlineStr">
        <is>
          <t>06 KG</t>
        </is>
      </c>
      <c r="I4893" t="n">
        <v>2031</v>
      </c>
      <c r="J4893" t="n">
        <v>2014</v>
      </c>
      <c r="K4893" t="inlineStr">
        <is>
          <t>MAYO 2026</t>
        </is>
      </c>
      <c r="L4893" t="inlineStr">
        <is>
          <t>MAYO 2027</t>
        </is>
      </c>
      <c r="M4893" t="inlineStr">
        <is>
          <t xml:space="preserve">PQS TIPO ABC AL 75% </t>
        </is>
      </c>
      <c r="N4893" t="inlineStr">
        <is>
          <t>06/012152</t>
        </is>
      </c>
      <c r="O4893" t="inlineStr">
        <is>
          <t>R</t>
        </is>
      </c>
      <c r="P4893">
        <f>TRIM(N4893)</f>
        <v/>
      </c>
    </row>
    <row r="4894">
      <c r="A4894" t="inlineStr">
        <is>
          <t>CO-002719</t>
        </is>
      </c>
      <c r="B4894" t="inlineStr">
        <is>
          <t xml:space="preserve"> EDEN AGUA SOLUCIONES INTEGRALES S.A.C.</t>
        </is>
      </c>
      <c r="C4894" t="n">
        <v>20613553372</v>
      </c>
      <c r="D4894" t="inlineStr">
        <is>
          <t>Jr Arica 419 - 421 Barranco</t>
        </is>
      </c>
      <c r="E4894" t="inlineStr">
        <is>
          <t>Lima, 07 de mayo del 2026</t>
        </is>
      </c>
      <c r="F4894" t="inlineStr">
        <is>
          <t>la Recarga y mantenimiento</t>
        </is>
      </c>
      <c r="G4894" t="n">
        <v>7</v>
      </c>
      <c r="H4894" t="inlineStr">
        <is>
          <t>06 KG</t>
        </is>
      </c>
      <c r="I4894" t="n">
        <v>2031</v>
      </c>
      <c r="J4894" t="n">
        <v>2011</v>
      </c>
      <c r="K4894" t="inlineStr">
        <is>
          <t>MAYO 2026</t>
        </is>
      </c>
      <c r="L4894" t="inlineStr">
        <is>
          <t>MAYO 2027</t>
        </is>
      </c>
      <c r="M4894" t="inlineStr">
        <is>
          <t xml:space="preserve">PQS TIPO ABC AL 75% </t>
        </is>
      </c>
      <c r="N4894" t="inlineStr">
        <is>
          <t>07/002020</t>
        </is>
      </c>
      <c r="O4894" t="inlineStr">
        <is>
          <t>R</t>
        </is>
      </c>
      <c r="P4894">
        <f>TRIM(N4894)</f>
        <v/>
      </c>
    </row>
    <row r="4895">
      <c r="A4895" t="inlineStr">
        <is>
          <t>CO-002719</t>
        </is>
      </c>
      <c r="B4895" t="inlineStr">
        <is>
          <t xml:space="preserve"> EDEN AGUA SOLUCIONES INTEGRALES S.A.C.</t>
        </is>
      </c>
      <c r="C4895" t="n">
        <v>20613553372</v>
      </c>
      <c r="D4895" t="inlineStr">
        <is>
          <t>Jr Arica 419 - 421 Barranco</t>
        </is>
      </c>
      <c r="E4895" t="inlineStr">
        <is>
          <t>Lima, 07 de mayo del 2026</t>
        </is>
      </c>
      <c r="F4895" t="inlineStr">
        <is>
          <t>la Recarga y mantenimiento</t>
        </is>
      </c>
      <c r="G4895" t="n">
        <v>8</v>
      </c>
      <c r="H4895" t="inlineStr">
        <is>
          <t>06 KG</t>
        </is>
      </c>
      <c r="I4895" t="n">
        <v>2031</v>
      </c>
      <c r="J4895" t="n">
        <v>2017</v>
      </c>
      <c r="K4895" t="inlineStr">
        <is>
          <t>MAYO 2026</t>
        </is>
      </c>
      <c r="L4895" t="inlineStr">
        <is>
          <t>MAYO 2027</t>
        </is>
      </c>
      <c r="M4895" t="inlineStr">
        <is>
          <t xml:space="preserve">PQS TIPO ABC AL 75% </t>
        </is>
      </c>
      <c r="N4895" t="inlineStr">
        <is>
          <t>08/009082</t>
        </is>
      </c>
      <c r="O4895" t="inlineStr">
        <is>
          <t>R</t>
        </is>
      </c>
      <c r="P4895">
        <f>TRIM(N4895)</f>
        <v/>
      </c>
    </row>
    <row r="4896">
      <c r="A4896" t="inlineStr">
        <is>
          <t>CO-002720</t>
        </is>
      </c>
      <c r="B4896" t="inlineStr">
        <is>
          <t xml:space="preserve"> EDEN AGUA SOLUCIONES INTEGRALES S.A.C.</t>
        </is>
      </c>
      <c r="C4896" t="n">
        <v>20613553372</v>
      </c>
      <c r="D4896" t="inlineStr">
        <is>
          <t>Jr Arica 419 - 421 Barranco</t>
        </is>
      </c>
      <c r="E4896" t="inlineStr">
        <is>
          <t>Lima, 07 de mayo del 2026</t>
        </is>
      </c>
      <c r="F4896" t="inlineStr">
        <is>
          <t xml:space="preserve">La venta </t>
        </is>
      </c>
      <c r="G4896" t="n">
        <v>1</v>
      </c>
      <c r="H4896" t="inlineStr">
        <is>
          <t>10 LBS</t>
        </is>
      </c>
      <c r="I4896" t="n">
        <v>2030</v>
      </c>
      <c r="J4896" t="n">
        <v>2025</v>
      </c>
      <c r="K4896" t="inlineStr">
        <is>
          <t>MAYO 2026</t>
        </is>
      </c>
      <c r="L4896" t="inlineStr">
        <is>
          <t>MAYO 2027</t>
        </is>
      </c>
      <c r="M4896" t="inlineStr">
        <is>
          <t>CO2 TIPO BC</t>
        </is>
      </c>
      <c r="N4896" t="inlineStr">
        <is>
          <t>000319</t>
        </is>
      </c>
      <c r="O4896" t="inlineStr">
        <is>
          <t>V</t>
        </is>
      </c>
      <c r="P4896">
        <f>TRIM(N4896)</f>
        <v/>
      </c>
    </row>
    <row r="4897">
      <c r="A4897" t="inlineStr">
        <is>
          <t>CO-002721</t>
        </is>
      </c>
      <c r="B4897" t="inlineStr">
        <is>
          <t xml:space="preserve"> EDEN AGUA SOLUCIONES INTEGRALES S.A.C.</t>
        </is>
      </c>
      <c r="C4897" t="n">
        <v>20613553372</v>
      </c>
      <c r="D4897" t="inlineStr">
        <is>
          <t>C. Francisco de Paula Ugarriza 783, Miraflores</t>
        </is>
      </c>
      <c r="E4897" t="inlineStr">
        <is>
          <t>Lima, 07 de mayo del 2026</t>
        </is>
      </c>
      <c r="F4897" t="inlineStr">
        <is>
          <t>la Recarga y mantenimiento</t>
        </is>
      </c>
      <c r="G4897" t="n">
        <v>1</v>
      </c>
      <c r="H4897" t="inlineStr">
        <is>
          <t>06 KG</t>
        </is>
      </c>
      <c r="I4897" t="n">
        <v>2029</v>
      </c>
      <c r="J4897" t="n">
        <v>2024</v>
      </c>
      <c r="K4897" t="inlineStr">
        <is>
          <t>MAYO 2026</t>
        </is>
      </c>
      <c r="L4897" t="inlineStr">
        <is>
          <t>MAYO 2027</t>
        </is>
      </c>
      <c r="M4897" t="inlineStr">
        <is>
          <t xml:space="preserve">PQS TIPO ABC AL 75% </t>
        </is>
      </c>
      <c r="N4897" t="inlineStr">
        <is>
          <t>01/006221</t>
        </is>
      </c>
      <c r="O4897" t="inlineStr">
        <is>
          <t>R</t>
        </is>
      </c>
      <c r="P4897">
        <f>TRIM(N4897)</f>
        <v/>
      </c>
    </row>
    <row r="4898">
      <c r="A4898" t="inlineStr">
        <is>
          <t>CO-002721</t>
        </is>
      </c>
      <c r="B4898" t="inlineStr">
        <is>
          <t xml:space="preserve"> EDEN AGUA SOLUCIONES INTEGRALES S.A.C.</t>
        </is>
      </c>
      <c r="C4898" t="n">
        <v>20613553372</v>
      </c>
      <c r="D4898" t="inlineStr">
        <is>
          <t>C. Francisco de Paula Ugarriza 783, Miraflores</t>
        </is>
      </c>
      <c r="E4898" t="inlineStr">
        <is>
          <t>Lima, 07 de mayo del 2026</t>
        </is>
      </c>
      <c r="F4898" t="inlineStr">
        <is>
          <t>la Recarga y mantenimiento</t>
        </is>
      </c>
      <c r="G4898" t="n">
        <v>2</v>
      </c>
      <c r="H4898" t="inlineStr">
        <is>
          <t>10 LBS</t>
        </is>
      </c>
      <c r="I4898" t="n">
        <v>2029</v>
      </c>
      <c r="J4898" t="n">
        <v>2024</v>
      </c>
      <c r="K4898" t="inlineStr">
        <is>
          <t>MAYO 2026</t>
        </is>
      </c>
      <c r="L4898" t="inlineStr">
        <is>
          <t>MAYO 2027</t>
        </is>
      </c>
      <c r="M4898" t="inlineStr">
        <is>
          <t>CO2 TIPO BC</t>
        </is>
      </c>
      <c r="N4898" t="inlineStr">
        <is>
          <t>02/000160</t>
        </is>
      </c>
      <c r="O4898" t="inlineStr">
        <is>
          <t>R</t>
        </is>
      </c>
      <c r="P4898">
        <f>TRIM(N4898)</f>
        <v/>
      </c>
    </row>
    <row r="4899">
      <c r="A4899" t="inlineStr">
        <is>
          <t>CO-002721</t>
        </is>
      </c>
      <c r="B4899" t="inlineStr">
        <is>
          <t xml:space="preserve"> EDEN AGUA SOLUCIONES INTEGRALES S.A.C.</t>
        </is>
      </c>
      <c r="C4899" t="n">
        <v>20613553372</v>
      </c>
      <c r="D4899" t="inlineStr">
        <is>
          <t>C. Francisco de Paula Ugarriza 783, Miraflores</t>
        </is>
      </c>
      <c r="E4899" t="inlineStr">
        <is>
          <t>Lima, 07 de mayo del 2026</t>
        </is>
      </c>
      <c r="F4899" t="inlineStr">
        <is>
          <t>la Recarga y mantenimiento</t>
        </is>
      </c>
      <c r="G4899" t="n">
        <v>3</v>
      </c>
      <c r="H4899" t="inlineStr">
        <is>
          <t>05 LBS</t>
        </is>
      </c>
      <c r="I4899" t="n">
        <v>2027</v>
      </c>
      <c r="J4899" t="n">
        <v>2022</v>
      </c>
      <c r="K4899" t="inlineStr">
        <is>
          <t>MAYO 2026</t>
        </is>
      </c>
      <c r="L4899" t="inlineStr">
        <is>
          <t>MAYO 2027</t>
        </is>
      </c>
      <c r="M4899" t="inlineStr">
        <is>
          <t>CO2 TIPO BC</t>
        </is>
      </c>
      <c r="N4899" t="inlineStr">
        <is>
          <t>03/000223</t>
        </is>
      </c>
      <c r="O4899" t="inlineStr">
        <is>
          <t>R</t>
        </is>
      </c>
      <c r="P4899">
        <f>TRIM(N4899)</f>
        <v/>
      </c>
    </row>
    <row r="4900">
      <c r="A4900" t="inlineStr">
        <is>
          <t>CO-002721</t>
        </is>
      </c>
      <c r="B4900" t="inlineStr">
        <is>
          <t xml:space="preserve"> EDEN AGUA SOLUCIONES INTEGRALES S.A.C.</t>
        </is>
      </c>
      <c r="C4900" t="n">
        <v>20613553372</v>
      </c>
      <c r="D4900" t="inlineStr">
        <is>
          <t>C. Francisco de Paula Ugarriza 783, Miraflores</t>
        </is>
      </c>
      <c r="E4900" t="inlineStr">
        <is>
          <t>Lima, 07 de mayo del 2026</t>
        </is>
      </c>
      <c r="F4900" t="inlineStr">
        <is>
          <t>la Recarga y mantenimiento</t>
        </is>
      </c>
      <c r="G4900" t="n">
        <v>4</v>
      </c>
      <c r="H4900" t="inlineStr">
        <is>
          <t>06 KG</t>
        </is>
      </c>
      <c r="I4900" t="n">
        <v>2029</v>
      </c>
      <c r="J4900" t="n">
        <v>2024</v>
      </c>
      <c r="K4900" t="inlineStr">
        <is>
          <t>MAYO 2026</t>
        </is>
      </c>
      <c r="L4900" t="inlineStr">
        <is>
          <t>MAYO 2027</t>
        </is>
      </c>
      <c r="M4900" t="inlineStr">
        <is>
          <t xml:space="preserve">PQS TIPO ABC AL 75% </t>
        </is>
      </c>
      <c r="N4900" t="inlineStr">
        <is>
          <t>04/006370</t>
        </is>
      </c>
      <c r="O4900" t="inlineStr">
        <is>
          <t>R</t>
        </is>
      </c>
      <c r="P4900">
        <f>TRIM(N4900)</f>
        <v/>
      </c>
    </row>
    <row r="4901">
      <c r="A4901" t="inlineStr">
        <is>
          <t>CO-002721</t>
        </is>
      </c>
      <c r="B4901" t="inlineStr">
        <is>
          <t xml:space="preserve"> EDEN AGUA SOLUCIONES INTEGRALES S.A.C.</t>
        </is>
      </c>
      <c r="C4901" t="n">
        <v>20613553372</v>
      </c>
      <c r="D4901" t="inlineStr">
        <is>
          <t>C. Francisco de Paula Ugarriza 783, Miraflores</t>
        </is>
      </c>
      <c r="E4901" t="inlineStr">
        <is>
          <t>Lima, 07 de mayo del 2026</t>
        </is>
      </c>
      <c r="F4901" t="inlineStr">
        <is>
          <t>la Recarga y mantenimiento</t>
        </is>
      </c>
      <c r="G4901" t="n">
        <v>5</v>
      </c>
      <c r="H4901" t="inlineStr">
        <is>
          <t>06 KG</t>
        </is>
      </c>
      <c r="I4901" t="n">
        <v>2027</v>
      </c>
      <c r="J4901" t="n">
        <v>2022</v>
      </c>
      <c r="K4901" t="inlineStr">
        <is>
          <t>MAYO 2026</t>
        </is>
      </c>
      <c r="L4901" t="inlineStr">
        <is>
          <t>MAYO 2027</t>
        </is>
      </c>
      <c r="M4901" t="inlineStr">
        <is>
          <t xml:space="preserve">PQS TIPO ABC AL 75% </t>
        </is>
      </c>
      <c r="N4901" t="inlineStr">
        <is>
          <t>05/000934</t>
        </is>
      </c>
      <c r="O4901" t="inlineStr">
        <is>
          <t>R</t>
        </is>
      </c>
      <c r="P4901">
        <f>TRIM(N4901)</f>
        <v/>
      </c>
    </row>
    <row r="4902">
      <c r="A4902" t="inlineStr">
        <is>
          <t>CO-002721</t>
        </is>
      </c>
      <c r="B4902" t="inlineStr">
        <is>
          <t xml:space="preserve"> EDEN AGUA SOLUCIONES INTEGRALES S.A.C.</t>
        </is>
      </c>
      <c r="C4902" t="n">
        <v>20613553372</v>
      </c>
      <c r="D4902" t="inlineStr">
        <is>
          <t>C. Francisco de Paula Ugarriza 783, Miraflores</t>
        </is>
      </c>
      <c r="E4902" t="inlineStr">
        <is>
          <t>Lima, 07 de mayo del 2026</t>
        </is>
      </c>
      <c r="F4902" t="inlineStr">
        <is>
          <t>la Recarga y mantenimiento</t>
        </is>
      </c>
      <c r="G4902" t="n">
        <v>6</v>
      </c>
      <c r="H4902" t="inlineStr">
        <is>
          <t>10 LBS</t>
        </is>
      </c>
      <c r="I4902" t="n">
        <v>2029</v>
      </c>
      <c r="J4902" t="n">
        <v>2024</v>
      </c>
      <c r="K4902" t="inlineStr">
        <is>
          <t>MAYO 2026</t>
        </is>
      </c>
      <c r="L4902" t="inlineStr">
        <is>
          <t>MAYO 2027</t>
        </is>
      </c>
      <c r="M4902" t="inlineStr">
        <is>
          <t>CO2 TIPO BC</t>
        </is>
      </c>
      <c r="N4902" t="inlineStr">
        <is>
          <t>06/000046</t>
        </is>
      </c>
      <c r="O4902" t="inlineStr">
        <is>
          <t>R</t>
        </is>
      </c>
      <c r="P4902">
        <f>TRIM(N4902)</f>
        <v/>
      </c>
    </row>
    <row r="4903">
      <c r="A4903" t="inlineStr">
        <is>
          <t>CO-002722</t>
        </is>
      </c>
      <c r="B4903" t="inlineStr">
        <is>
          <t>ECONOCABLE MEDIA SAC</t>
        </is>
      </c>
      <c r="C4903" t="n">
        <v>20508720255</v>
      </c>
      <c r="D4903" t="inlineStr">
        <is>
          <t>HUAYLAS</t>
        </is>
      </c>
      <c r="E4903" t="inlineStr">
        <is>
          <t>Lima, 07 de mayo del 2026</t>
        </is>
      </c>
      <c r="F4903" t="inlineStr">
        <is>
          <t xml:space="preserve">la Recarga y mantenimiento </t>
        </is>
      </c>
      <c r="G4903" t="n">
        <v>1</v>
      </c>
      <c r="H4903" t="inlineStr">
        <is>
          <t>09 KG</t>
        </is>
      </c>
      <c r="I4903" t="n">
        <v>2027</v>
      </c>
      <c r="J4903" t="n">
        <v>2017</v>
      </c>
      <c r="K4903" t="inlineStr">
        <is>
          <t>MAYO 2026</t>
        </is>
      </c>
      <c r="L4903" t="inlineStr">
        <is>
          <t>MAYO 2027</t>
        </is>
      </c>
      <c r="M4903" t="inlineStr">
        <is>
          <t xml:space="preserve">PQS TIPO ABC AL 75% </t>
        </is>
      </c>
      <c r="N4903" t="inlineStr">
        <is>
          <t>01/001328</t>
        </is>
      </c>
      <c r="O4903" t="inlineStr">
        <is>
          <t>R</t>
        </is>
      </c>
      <c r="P4903">
        <f>TRIM(N4903)</f>
        <v/>
      </c>
    </row>
    <row r="4904">
      <c r="A4904" t="inlineStr">
        <is>
          <t>CO-002722</t>
        </is>
      </c>
      <c r="B4904" t="inlineStr">
        <is>
          <t>ECONOCABLE MEDIA SAC</t>
        </is>
      </c>
      <c r="C4904" t="n">
        <v>20508720255</v>
      </c>
      <c r="D4904" t="inlineStr">
        <is>
          <t>HUAYLAS</t>
        </is>
      </c>
      <c r="E4904" t="inlineStr">
        <is>
          <t>Lima, 07 de mayo del 2026</t>
        </is>
      </c>
      <c r="F4904" t="inlineStr">
        <is>
          <t xml:space="preserve">la Recarga y mantenimiento </t>
        </is>
      </c>
      <c r="G4904" t="n">
        <v>2</v>
      </c>
      <c r="H4904" t="inlineStr">
        <is>
          <t>06 KG</t>
        </is>
      </c>
      <c r="I4904" t="n">
        <v>2031</v>
      </c>
      <c r="J4904" t="n">
        <v>2021</v>
      </c>
      <c r="K4904" t="inlineStr">
        <is>
          <t>MAYO 2026</t>
        </is>
      </c>
      <c r="L4904" t="inlineStr">
        <is>
          <t>MAYO 2027</t>
        </is>
      </c>
      <c r="M4904" t="inlineStr">
        <is>
          <t xml:space="preserve">PQS TIPO ABC AL 75% </t>
        </is>
      </c>
      <c r="N4904" t="inlineStr">
        <is>
          <t>02/356262</t>
        </is>
      </c>
      <c r="O4904" t="inlineStr">
        <is>
          <t>R</t>
        </is>
      </c>
      <c r="P4904">
        <f>TRIM(N4904)</f>
        <v/>
      </c>
    </row>
    <row r="4905">
      <c r="A4905" t="inlineStr">
        <is>
          <t>CO-002723</t>
        </is>
      </c>
      <c r="B4905" t="inlineStr">
        <is>
          <t xml:space="preserve">PERU MASIVO SA - BUSES </t>
        </is>
      </c>
      <c r="C4905" t="inlineStr">
        <is>
          <t>20492392031</t>
        </is>
      </c>
      <c r="D4905" t="inlineStr">
        <is>
          <t>AV. LOS INCAS CDRA. 4 PATIO NORTE - COMAS</t>
        </is>
      </c>
      <c r="E4905" t="inlineStr">
        <is>
          <t>Lima, 11 de mayo del 2026</t>
        </is>
      </c>
      <c r="F4905" t="inlineStr">
        <is>
          <t>la Recarga y mantenimiento</t>
        </is>
      </c>
      <c r="G4905" t="n">
        <v>1</v>
      </c>
      <c r="H4905" t="inlineStr">
        <is>
          <t>06 KG</t>
        </is>
      </c>
      <c r="I4905" t="n">
        <v>2029</v>
      </c>
      <c r="J4905" t="n">
        <v>2015</v>
      </c>
      <c r="K4905" t="inlineStr">
        <is>
          <t>MAYO 2026</t>
        </is>
      </c>
      <c r="L4905" t="inlineStr">
        <is>
          <t>MAYO 2027</t>
        </is>
      </c>
      <c r="M4905" t="inlineStr">
        <is>
          <t>PQS/ABC AL 90%</t>
        </is>
      </c>
      <c r="N4905" t="inlineStr">
        <is>
          <t>72/000966</t>
        </is>
      </c>
      <c r="O4905" t="inlineStr">
        <is>
          <t>R</t>
        </is>
      </c>
      <c r="P4905">
        <f>TRIM(N4905)</f>
        <v/>
      </c>
    </row>
    <row r="4906">
      <c r="A4906" t="inlineStr">
        <is>
          <t>CO-002723</t>
        </is>
      </c>
      <c r="B4906" t="inlineStr">
        <is>
          <t xml:space="preserve">PERU MASIVO SA - BUSES </t>
        </is>
      </c>
      <c r="C4906" t="inlineStr">
        <is>
          <t>20492392031</t>
        </is>
      </c>
      <c r="D4906" t="inlineStr">
        <is>
          <t>AV. LOS INCAS CDRA. 4 PATIO NORTE - COMAS</t>
        </is>
      </c>
      <c r="E4906" t="inlineStr">
        <is>
          <t>Lima, 11 de mayo del 2026</t>
        </is>
      </c>
      <c r="F4906" t="inlineStr">
        <is>
          <t>la Recarga y mantenimiento</t>
        </is>
      </c>
      <c r="G4906" t="n">
        <v>2</v>
      </c>
      <c r="H4906" t="inlineStr">
        <is>
          <t>06 KG</t>
        </is>
      </c>
      <c r="I4906" t="n">
        <v>2028</v>
      </c>
      <c r="J4906" t="n">
        <v>2012</v>
      </c>
      <c r="K4906" t="inlineStr">
        <is>
          <t>MAYO 2026</t>
        </is>
      </c>
      <c r="L4906" t="inlineStr">
        <is>
          <t>MAYO 2027</t>
        </is>
      </c>
      <c r="M4906" t="inlineStr">
        <is>
          <t>PQS/ABC AL 90%</t>
        </is>
      </c>
      <c r="N4906" t="inlineStr">
        <is>
          <t>87/000597</t>
        </is>
      </c>
      <c r="O4906" t="inlineStr">
        <is>
          <t>R</t>
        </is>
      </c>
      <c r="P4906">
        <f>TRIM(N4906)</f>
        <v/>
      </c>
    </row>
    <row r="4907">
      <c r="A4907" t="inlineStr">
        <is>
          <t>CO-002723</t>
        </is>
      </c>
      <c r="B4907" t="inlineStr">
        <is>
          <t xml:space="preserve">PERU MASIVO SA - BUSES </t>
        </is>
      </c>
      <c r="C4907" t="inlineStr">
        <is>
          <t>20492392031</t>
        </is>
      </c>
      <c r="D4907" t="inlineStr">
        <is>
          <t>AV. LOS INCAS CDRA. 4 PATIO NORTE - COMAS</t>
        </is>
      </c>
      <c r="E4907" t="inlineStr">
        <is>
          <t>Lima, 11 de mayo del 2026</t>
        </is>
      </c>
      <c r="F4907" t="inlineStr">
        <is>
          <t>la Recarga y mantenimiento</t>
        </is>
      </c>
      <c r="G4907" t="n">
        <v>3</v>
      </c>
      <c r="H4907" t="inlineStr">
        <is>
          <t>06 KG</t>
        </is>
      </c>
      <c r="I4907" t="n">
        <v>2029</v>
      </c>
      <c r="J4907" t="n">
        <v>2010</v>
      </c>
      <c r="K4907" t="inlineStr">
        <is>
          <t>MAYO 2026</t>
        </is>
      </c>
      <c r="L4907" t="inlineStr">
        <is>
          <t>MAYO 2027</t>
        </is>
      </c>
      <c r="M4907" t="inlineStr">
        <is>
          <t>PQS/ABC AL 90%</t>
        </is>
      </c>
      <c r="N4907" t="inlineStr">
        <is>
          <t>140/006506</t>
        </is>
      </c>
      <c r="O4907" t="inlineStr">
        <is>
          <t>R</t>
        </is>
      </c>
      <c r="P4907">
        <f>TRIM(N4907)</f>
        <v/>
      </c>
    </row>
    <row r="4908">
      <c r="A4908" t="inlineStr">
        <is>
          <t>CO-002723</t>
        </is>
      </c>
      <c r="B4908" t="inlineStr">
        <is>
          <t xml:space="preserve">PERU MASIVO SA - BUSES </t>
        </is>
      </c>
      <c r="C4908" t="inlineStr">
        <is>
          <t>20492392031</t>
        </is>
      </c>
      <c r="D4908" t="inlineStr">
        <is>
          <t>AV. LOS INCAS CDRA. 4 PATIO NORTE - COMAS</t>
        </is>
      </c>
      <c r="E4908" t="inlineStr">
        <is>
          <t>Lima, 11 de mayo del 2026</t>
        </is>
      </c>
      <c r="F4908" t="inlineStr">
        <is>
          <t>la Recarga y mantenimiento</t>
        </is>
      </c>
      <c r="G4908" t="n">
        <v>4</v>
      </c>
      <c r="H4908" t="inlineStr">
        <is>
          <t>06 KG</t>
        </is>
      </c>
      <c r="I4908" t="n">
        <v>2028</v>
      </c>
      <c r="J4908" t="n">
        <v>2009</v>
      </c>
      <c r="K4908" t="inlineStr">
        <is>
          <t>MAYO 2026</t>
        </is>
      </c>
      <c r="L4908" t="inlineStr">
        <is>
          <t>MAYO 2027</t>
        </is>
      </c>
      <c r="M4908" t="inlineStr">
        <is>
          <t>PQS/ABC AL 90%</t>
        </is>
      </c>
      <c r="N4908" t="inlineStr">
        <is>
          <t>344/002162</t>
        </is>
      </c>
      <c r="O4908" t="inlineStr">
        <is>
          <t>R</t>
        </is>
      </c>
      <c r="P4908">
        <f>TRIM(N4908)</f>
        <v/>
      </c>
    </row>
    <row r="4909">
      <c r="A4909" t="inlineStr">
        <is>
          <t>CO-002723</t>
        </is>
      </c>
      <c r="B4909" t="inlineStr">
        <is>
          <t xml:space="preserve">PERU MASIVO SA - BUSES </t>
        </is>
      </c>
      <c r="C4909" t="inlineStr">
        <is>
          <t>20492392031</t>
        </is>
      </c>
      <c r="D4909" t="inlineStr">
        <is>
          <t>AV. LOS INCAS CDRA. 4 PATIO NORTE - COMAS</t>
        </is>
      </c>
      <c r="E4909" t="inlineStr">
        <is>
          <t>Lima, 11 de mayo del 2026</t>
        </is>
      </c>
      <c r="F4909" t="inlineStr">
        <is>
          <t>la Recarga y mantenimiento</t>
        </is>
      </c>
      <c r="G4909" t="n">
        <v>5</v>
      </c>
      <c r="H4909" t="inlineStr">
        <is>
          <t>06 KG</t>
        </is>
      </c>
      <c r="I4909" t="n">
        <v>2029</v>
      </c>
      <c r="J4909" t="n">
        <v>2010</v>
      </c>
      <c r="K4909" t="inlineStr">
        <is>
          <t>MAYO 2026</t>
        </is>
      </c>
      <c r="L4909" t="inlineStr">
        <is>
          <t>MAYO 2027</t>
        </is>
      </c>
      <c r="M4909" t="inlineStr">
        <is>
          <t>PQS/ABC AL 90%</t>
        </is>
      </c>
      <c r="N4909" t="inlineStr">
        <is>
          <t>03/000932</t>
        </is>
      </c>
      <c r="O4909" t="inlineStr">
        <is>
          <t>R</t>
        </is>
      </c>
      <c r="P4909">
        <f>TRIM(N4909)</f>
        <v/>
      </c>
    </row>
    <row r="4910">
      <c r="A4910" t="inlineStr">
        <is>
          <t>CO-002724</t>
        </is>
      </c>
      <c r="B4910" t="inlineStr">
        <is>
          <t>PERU MASIVO SA - INFRAESTRUCTURA</t>
        </is>
      </c>
      <c r="C4910" t="inlineStr">
        <is>
          <t>20492392031</t>
        </is>
      </c>
      <c r="D4910" t="inlineStr">
        <is>
          <t>AV. LOS INCAS CDRA. 4 PATIO NORTE - COMAS</t>
        </is>
      </c>
      <c r="E4910" t="inlineStr">
        <is>
          <t>Lima, 11 de mayo del 2026</t>
        </is>
      </c>
      <c r="F4910" t="inlineStr">
        <is>
          <t>la Recarga y mantenimiento</t>
        </is>
      </c>
      <c r="G4910" t="n">
        <v>1</v>
      </c>
      <c r="H4910" t="inlineStr">
        <is>
          <t>06 KG</t>
        </is>
      </c>
      <c r="I4910" t="n">
        <v>2030</v>
      </c>
      <c r="J4910" t="n">
        <v>2011</v>
      </c>
      <c r="K4910" t="inlineStr">
        <is>
          <t>MAYO 2026</t>
        </is>
      </c>
      <c r="L4910" t="inlineStr">
        <is>
          <t>MAYO 2027</t>
        </is>
      </c>
      <c r="M4910" t="inlineStr">
        <is>
          <t>PQS/ABC AL 90%</t>
        </is>
      </c>
      <c r="N4910" t="inlineStr">
        <is>
          <t>93/000299</t>
        </is>
      </c>
      <c r="O4910" t="inlineStr">
        <is>
          <t>R</t>
        </is>
      </c>
      <c r="P4910">
        <f>TRIM(N4910)</f>
        <v/>
      </c>
    </row>
    <row r="4911">
      <c r="A4911" t="inlineStr">
        <is>
          <t>CO-002725</t>
        </is>
      </c>
      <c r="B4911" t="inlineStr">
        <is>
          <t xml:space="preserve">QELLPU PERU SA -  INFRAESTRUCTURA </t>
        </is>
      </c>
      <c r="C4911" t="inlineStr">
        <is>
          <t>20492318656</t>
        </is>
      </c>
      <c r="D4911" t="inlineStr">
        <is>
          <t>AV. LOS INCAS CDRA. 4 PATIO NORTE - COMAS</t>
        </is>
      </c>
      <c r="E4911" t="inlineStr">
        <is>
          <t>Lima, 11 de mayo del 2026</t>
        </is>
      </c>
      <c r="F4911" t="inlineStr">
        <is>
          <t>la Recarga y mantenimiento</t>
        </is>
      </c>
      <c r="G4911" t="n">
        <v>1</v>
      </c>
      <c r="H4911" t="inlineStr">
        <is>
          <t>06 KG</t>
        </is>
      </c>
      <c r="I4911" t="n">
        <v>2028</v>
      </c>
      <c r="J4911" t="n">
        <v>2010</v>
      </c>
      <c r="K4911" t="inlineStr">
        <is>
          <t>MAYO 2026</t>
        </is>
      </c>
      <c r="L4911" t="inlineStr">
        <is>
          <t>MAYO 2027</t>
        </is>
      </c>
      <c r="M4911" t="inlineStr">
        <is>
          <t>PQS/ABC AL 90%</t>
        </is>
      </c>
      <c r="N4911" t="inlineStr">
        <is>
          <t>24/000005</t>
        </is>
      </c>
      <c r="O4911" t="inlineStr">
        <is>
          <t>R</t>
        </is>
      </c>
      <c r="P4911">
        <f>TRIM(N4911)</f>
        <v/>
      </c>
    </row>
    <row r="4912">
      <c r="A4912" t="inlineStr">
        <is>
          <t>CO-002725</t>
        </is>
      </c>
      <c r="B4912" t="inlineStr">
        <is>
          <t xml:space="preserve">QELLPU PERU SA -  INFRAESTRUCTURA </t>
        </is>
      </c>
      <c r="C4912" t="inlineStr">
        <is>
          <t>20492318656</t>
        </is>
      </c>
      <c r="D4912" t="inlineStr">
        <is>
          <t>AV. LOS INCAS CDRA. 4 PATIO NORTE - COMAS</t>
        </is>
      </c>
      <c r="E4912" t="inlineStr">
        <is>
          <t>Lima, 11 de mayo del 2026</t>
        </is>
      </c>
      <c r="F4912" t="inlineStr">
        <is>
          <t>la Recarga y mantenimiento</t>
        </is>
      </c>
      <c r="G4912" t="n">
        <v>2</v>
      </c>
      <c r="H4912" t="inlineStr">
        <is>
          <t>06 KG</t>
        </is>
      </c>
      <c r="I4912" t="n">
        <v>2028</v>
      </c>
      <c r="J4912" t="n">
        <v>2010</v>
      </c>
      <c r="K4912" t="inlineStr">
        <is>
          <t>MAYO 2026</t>
        </is>
      </c>
      <c r="L4912" t="inlineStr">
        <is>
          <t>MAYO 2027</t>
        </is>
      </c>
      <c r="M4912" t="inlineStr">
        <is>
          <t>PQS/ABC AL 90%</t>
        </is>
      </c>
      <c r="N4912" t="inlineStr">
        <is>
          <t>22/000232</t>
        </is>
      </c>
      <c r="O4912" t="inlineStr">
        <is>
          <t>R</t>
        </is>
      </c>
      <c r="P4912">
        <f>TRIM(N4912)</f>
        <v/>
      </c>
    </row>
    <row r="4913">
      <c r="A4913" t="inlineStr">
        <is>
          <t>CO-002726</t>
        </is>
      </c>
      <c r="B4913" t="inlineStr">
        <is>
          <t>BRITISH AMERICAN HOSPITAL S.A. - CLINICA ANGLOAMERICANA</t>
        </is>
      </c>
      <c r="C4913" t="inlineStr">
        <is>
          <t>20107695584</t>
        </is>
      </c>
      <c r="D4913" t="inlineStr">
        <is>
          <t xml:space="preserve">AV. LA FONTANA 362 - LA MOLINA </t>
        </is>
      </c>
      <c r="E4913" t="inlineStr">
        <is>
          <t>Lima, 11 de mayo del 2026</t>
        </is>
      </c>
      <c r="F4913" t="inlineStr">
        <is>
          <t>la Recarga y mantenimiento</t>
        </is>
      </c>
      <c r="G4913" t="inlineStr">
        <is>
          <t>01</t>
        </is>
      </c>
      <c r="H4913" t="inlineStr">
        <is>
          <t>06 KG</t>
        </is>
      </c>
      <c r="I4913" t="n">
        <v>2031</v>
      </c>
      <c r="J4913" t="n">
        <v>2017</v>
      </c>
      <c r="K4913" t="inlineStr">
        <is>
          <t>MAYO 2026</t>
        </is>
      </c>
      <c r="L4913" t="inlineStr">
        <is>
          <t>MAYO 2027</t>
        </is>
      </c>
      <c r="M4913" t="inlineStr">
        <is>
          <t xml:space="preserve">PQS TIPO ABC AL 75% </t>
        </is>
      </c>
      <c r="N4913" t="inlineStr">
        <is>
          <t>E-032/000275</t>
        </is>
      </c>
      <c r="O4913" t="inlineStr">
        <is>
          <t>R</t>
        </is>
      </c>
      <c r="P4913">
        <f>TRIM(N4913)</f>
        <v/>
      </c>
    </row>
    <row r="4914">
      <c r="A4914" t="inlineStr">
        <is>
          <t>CO-002726</t>
        </is>
      </c>
      <c r="B4914" t="inlineStr">
        <is>
          <t>BRITISH AMERICAN HOSPITAL S.A. - CLINICA ANGLOAMERICANA</t>
        </is>
      </c>
      <c r="C4914" t="inlineStr">
        <is>
          <t>20107695584</t>
        </is>
      </c>
      <c r="D4914" t="inlineStr">
        <is>
          <t xml:space="preserve">AV. LA FONTANA 362 - LA MOLINA </t>
        </is>
      </c>
      <c r="E4914" t="inlineStr">
        <is>
          <t>Lima, 11 de mayo del 2026</t>
        </is>
      </c>
      <c r="F4914" t="inlineStr">
        <is>
          <t>la Recarga y mantenimiento</t>
        </is>
      </c>
      <c r="G4914" t="n">
        <v>2</v>
      </c>
      <c r="H4914" t="inlineStr">
        <is>
          <t>06 KG</t>
        </is>
      </c>
      <c r="I4914" t="n">
        <v>2031</v>
      </c>
      <c r="J4914" t="n">
        <v>2026</v>
      </c>
      <c r="K4914" t="inlineStr">
        <is>
          <t>MAYO 2026</t>
        </is>
      </c>
      <c r="L4914" t="inlineStr">
        <is>
          <t>MAYO 2027</t>
        </is>
      </c>
      <c r="M4914" t="inlineStr">
        <is>
          <t xml:space="preserve">PQS TIPO ABC AL 75% </t>
        </is>
      </c>
      <c r="N4914" t="inlineStr">
        <is>
          <t>E-013/035525</t>
        </is>
      </c>
      <c r="P4914">
        <f>TRIM(N4914)</f>
        <v/>
      </c>
    </row>
    <row r="4915">
      <c r="A4915" t="inlineStr">
        <is>
          <t>CO-002727</t>
        </is>
      </c>
      <c r="B4915" t="inlineStr">
        <is>
          <t>CHEMIFABRIK PERU SAC</t>
        </is>
      </c>
      <c r="C4915" t="inlineStr">
        <is>
          <t xml:space="preserve">20252814036 </t>
        </is>
      </c>
      <c r="D4915" t="inlineStr">
        <is>
          <t>Gilberto Espinoza 140, Urb, Santa Anita 15008 (PLANTA)</t>
        </is>
      </c>
      <c r="E4915" t="inlineStr">
        <is>
          <t>Lima, 17 de mayo del 2026</t>
        </is>
      </c>
      <c r="F4915" t="inlineStr">
        <is>
          <t>la Recarga y mantenimiento</t>
        </is>
      </c>
      <c r="G4915" t="n">
        <v>1</v>
      </c>
      <c r="H4915" t="inlineStr">
        <is>
          <t>12 KG</t>
        </is>
      </c>
      <c r="I4915" t="n">
        <v>2031</v>
      </c>
      <c r="J4915" t="n">
        <v>2018</v>
      </c>
      <c r="K4915" t="inlineStr">
        <is>
          <t>MAYO 2026</t>
        </is>
      </c>
      <c r="L4915" t="inlineStr">
        <is>
          <t>MAYO 2027</t>
        </is>
      </c>
      <c r="M4915" t="inlineStr">
        <is>
          <t xml:space="preserve">PQS TIPO ABC AL 90% UL PYROCHEM </t>
        </is>
      </c>
      <c r="N4915" t="inlineStr">
        <is>
          <t>04/000348</t>
        </is>
      </c>
      <c r="O4915" t="inlineStr">
        <is>
          <t>R</t>
        </is>
      </c>
      <c r="P4915">
        <f>TRIM(N4915)</f>
        <v/>
      </c>
    </row>
    <row r="4916">
      <c r="A4916" t="inlineStr">
        <is>
          <t>CO-002728</t>
        </is>
      </c>
      <c r="B4916" t="inlineStr">
        <is>
          <t>ECONOCABLE MEDIA SAC</t>
        </is>
      </c>
      <c r="C4916" t="n">
        <v>20508720255</v>
      </c>
      <c r="D4916" t="inlineStr">
        <is>
          <t>Av. Defensores del Morro, Chorrillos 15057(huaylas)</t>
        </is>
      </c>
      <c r="E4916" t="inlineStr">
        <is>
          <t>27 de marzo del 2026</t>
        </is>
      </c>
      <c r="F4916" t="inlineStr">
        <is>
          <t xml:space="preserve">la Recarga y mantenimiento y venta </t>
        </is>
      </c>
      <c r="G4916" t="n">
        <v>1</v>
      </c>
      <c r="H4916" t="inlineStr">
        <is>
          <t>06 KG</t>
        </is>
      </c>
      <c r="I4916" t="n">
        <v>2031</v>
      </c>
      <c r="J4916" t="n">
        <v>2013</v>
      </c>
      <c r="K4916" t="inlineStr">
        <is>
          <t>MARZO 2026</t>
        </is>
      </c>
      <c r="L4916" t="inlineStr">
        <is>
          <t>MARZO 2027</t>
        </is>
      </c>
      <c r="M4916" t="inlineStr">
        <is>
          <t>PQS TIPO ABC</t>
        </is>
      </c>
      <c r="N4916" t="inlineStr">
        <is>
          <t>002363</t>
        </is>
      </c>
      <c r="O4916" t="inlineStr">
        <is>
          <t>R</t>
        </is>
      </c>
      <c r="P4916">
        <f>TRIM(N4916)</f>
        <v/>
      </c>
    </row>
    <row r="4917">
      <c r="A4917" t="inlineStr">
        <is>
          <t>CO-002729</t>
        </is>
      </c>
      <c r="B4917" t="inlineStr">
        <is>
          <t>GACSA PERU S.A.C.</t>
        </is>
      </c>
      <c r="C4917" t="n">
        <v>20602629068</v>
      </c>
      <c r="D4917" t="inlineStr">
        <is>
          <t>Av. Alfredo Mendiola 1400 Cruce con Tomás Valle - Plaza Norte EXS 0017</t>
        </is>
      </c>
      <c r="E4917" t="inlineStr">
        <is>
          <t>Lima, 12 de mayo del 2026</t>
        </is>
      </c>
      <c r="F4917" t="inlineStr">
        <is>
          <t>la venta</t>
        </is>
      </c>
      <c r="G4917" t="n">
        <v>1</v>
      </c>
      <c r="H4917" t="inlineStr">
        <is>
          <t>06 KG</t>
        </is>
      </c>
      <c r="I4917" t="n">
        <v>2031</v>
      </c>
      <c r="J4917" t="n">
        <v>2026</v>
      </c>
      <c r="K4917" t="inlineStr">
        <is>
          <t>ABRIL 2026</t>
        </is>
      </c>
      <c r="L4917" t="inlineStr">
        <is>
          <t>ABRIL 2027</t>
        </is>
      </c>
      <c r="M4917" t="inlineStr">
        <is>
          <t xml:space="preserve">PQS TIPO ABC AL 75% </t>
        </is>
      </c>
      <c r="N4917" t="inlineStr">
        <is>
          <t>01/156313</t>
        </is>
      </c>
      <c r="O4917" t="inlineStr">
        <is>
          <t>V</t>
        </is>
      </c>
      <c r="P4917">
        <f>TRIM(N4917)</f>
        <v/>
      </c>
    </row>
    <row r="4918">
      <c r="A4918" t="inlineStr">
        <is>
          <t>CO-002729</t>
        </is>
      </c>
      <c r="B4918" t="inlineStr">
        <is>
          <t>GACSA PERU S.A.C.</t>
        </is>
      </c>
      <c r="C4918" t="n">
        <v>20602629068</v>
      </c>
      <c r="D4918" t="inlineStr">
        <is>
          <t>Av. Alfredo Mendiola 1400 Cruce con Tomás Valle - Plaza Norte EXS 0017</t>
        </is>
      </c>
      <c r="E4918" t="inlineStr">
        <is>
          <t>Lima, 12 de mayo del 2026</t>
        </is>
      </c>
      <c r="F4918" t="inlineStr">
        <is>
          <t>la venta</t>
        </is>
      </c>
      <c r="G4918" t="n">
        <v>2</v>
      </c>
      <c r="H4918" t="inlineStr">
        <is>
          <t>06 KG</t>
        </is>
      </c>
      <c r="I4918" t="n">
        <v>2031</v>
      </c>
      <c r="J4918" t="n">
        <v>2026</v>
      </c>
      <c r="K4918" t="inlineStr">
        <is>
          <t>MAYO 2026</t>
        </is>
      </c>
      <c r="L4918" t="inlineStr">
        <is>
          <t>MAYO 2027</t>
        </is>
      </c>
      <c r="M4918" t="inlineStr">
        <is>
          <t xml:space="preserve">PQS TIPO ABC AL 75% </t>
        </is>
      </c>
      <c r="N4918" t="inlineStr">
        <is>
          <t>02/156314</t>
        </is>
      </c>
      <c r="O4918" t="inlineStr">
        <is>
          <t>V</t>
        </is>
      </c>
      <c r="P4918">
        <f>TRIM(N4918)</f>
        <v/>
      </c>
    </row>
    <row r="4919">
      <c r="A4919" t="inlineStr">
        <is>
          <t>CO-002730</t>
        </is>
      </c>
      <c r="B4919" t="inlineStr">
        <is>
          <t>CICSA PERU SAC</t>
        </is>
      </c>
      <c r="C4919" t="n">
        <v>20512780114</v>
      </c>
      <c r="D4919" t="inlineStr">
        <is>
          <t>AL.AMADOR MERINO REYNA NRO. 267 (OFIC. 501) LIMA - LIMA - SAN ISIDRO</t>
        </is>
      </c>
      <c r="E4919" t="inlineStr">
        <is>
          <t>Lima, 13 de mayo del 2026</t>
        </is>
      </c>
      <c r="F4919" t="inlineStr">
        <is>
          <t>la venta</t>
        </is>
      </c>
      <c r="G4919" t="n">
        <v>1</v>
      </c>
      <c r="H4919" t="inlineStr">
        <is>
          <t>20 LBS</t>
        </is>
      </c>
      <c r="I4919" t="n">
        <v>2030</v>
      </c>
      <c r="J4919" t="n">
        <v>2025</v>
      </c>
      <c r="K4919" t="inlineStr">
        <is>
          <t>MAYO 2026</t>
        </is>
      </c>
      <c r="L4919" t="inlineStr">
        <is>
          <t>MAYO 2027</t>
        </is>
      </c>
      <c r="M4919" t="inlineStr">
        <is>
          <t>CO2 TIPO BC</t>
        </is>
      </c>
      <c r="N4919" t="inlineStr">
        <is>
          <t>903927-0048</t>
        </is>
      </c>
      <c r="O4919" t="inlineStr">
        <is>
          <t>V</t>
        </is>
      </c>
      <c r="P4919">
        <f>TRIM(N4919)</f>
        <v/>
      </c>
    </row>
    <row r="4920">
      <c r="A4920" t="inlineStr">
        <is>
          <t>CO-002730</t>
        </is>
      </c>
      <c r="B4920" t="inlineStr">
        <is>
          <t>CICSA PERU SAC</t>
        </is>
      </c>
      <c r="C4920" t="n">
        <v>20512780114</v>
      </c>
      <c r="D4920" t="inlineStr">
        <is>
          <t>AL.AMADOR MERINO REYNA NRO. 267 (OFIC. 501) LIMA - LIMA - SAN ISIDRO</t>
        </is>
      </c>
      <c r="E4920" t="inlineStr">
        <is>
          <t>Lima, 13 de mayo del 2026</t>
        </is>
      </c>
      <c r="F4920" t="inlineStr">
        <is>
          <t>la venta</t>
        </is>
      </c>
      <c r="G4920" t="n">
        <v>2</v>
      </c>
      <c r="H4920" t="inlineStr">
        <is>
          <t>20 LBS</t>
        </is>
      </c>
      <c r="I4920" t="n">
        <v>2029</v>
      </c>
      <c r="J4920" t="n">
        <v>2024</v>
      </c>
      <c r="K4920" t="inlineStr">
        <is>
          <t>MAYO 2026</t>
        </is>
      </c>
      <c r="L4920" t="inlineStr">
        <is>
          <t>MAYO 2027</t>
        </is>
      </c>
      <c r="M4920" t="inlineStr">
        <is>
          <t>CO2 TIPO BC</t>
        </is>
      </c>
      <c r="N4920" t="inlineStr">
        <is>
          <t>862720</t>
        </is>
      </c>
      <c r="O4920" t="inlineStr">
        <is>
          <t>V</t>
        </is>
      </c>
      <c r="P4920">
        <f>TRIM(N4920)</f>
        <v/>
      </c>
    </row>
    <row r="4921">
      <c r="A4921" t="inlineStr">
        <is>
          <t>CO-002730</t>
        </is>
      </c>
      <c r="B4921" t="inlineStr">
        <is>
          <t>CICSA PERU SAC</t>
        </is>
      </c>
      <c r="C4921" t="n">
        <v>20512780114</v>
      </c>
      <c r="D4921" t="inlineStr">
        <is>
          <t>AL.AMADOR MERINO REYNA NRO. 267 (OFIC. 501) LIMA - LIMA - SAN ISIDRO</t>
        </is>
      </c>
      <c r="E4921" t="inlineStr">
        <is>
          <t>Lima, 13 de mayo del 2026</t>
        </is>
      </c>
      <c r="F4921" t="inlineStr">
        <is>
          <t>la venta</t>
        </is>
      </c>
      <c r="G4921" t="n">
        <v>3</v>
      </c>
      <c r="H4921" t="inlineStr">
        <is>
          <t>20 LBS</t>
        </is>
      </c>
      <c r="I4921" t="n">
        <v>2030</v>
      </c>
      <c r="J4921" t="n">
        <v>2025</v>
      </c>
      <c r="K4921" t="inlineStr">
        <is>
          <t>MAYO 2026</t>
        </is>
      </c>
      <c r="L4921" t="inlineStr">
        <is>
          <t>MAYO 2027</t>
        </is>
      </c>
      <c r="M4921" t="inlineStr">
        <is>
          <t>CO2 TIPO BC</t>
        </is>
      </c>
      <c r="N4921" t="inlineStr">
        <is>
          <t>903927-00090</t>
        </is>
      </c>
      <c r="O4921" t="inlineStr">
        <is>
          <t>V</t>
        </is>
      </c>
      <c r="P4921">
        <f>TRIM(N4921)</f>
        <v/>
      </c>
    </row>
    <row r="4922">
      <c r="A4922" t="inlineStr">
        <is>
          <t>CO-002730</t>
        </is>
      </c>
      <c r="B4922" t="inlineStr">
        <is>
          <t>CICSA PERU SAC</t>
        </is>
      </c>
      <c r="C4922" t="n">
        <v>20512780114</v>
      </c>
      <c r="D4922" t="inlineStr">
        <is>
          <t>AL.AMADOR MERINO REYNA NRO. 267 (OFIC. 501) LIMA - LIMA - SAN ISIDRO</t>
        </is>
      </c>
      <c r="E4922" t="inlineStr">
        <is>
          <t>Lima, 13 de mayo del 2026</t>
        </is>
      </c>
      <c r="F4922" t="inlineStr">
        <is>
          <t>la venta</t>
        </is>
      </c>
      <c r="G4922" t="n">
        <v>4</v>
      </c>
      <c r="H4922" t="inlineStr">
        <is>
          <t>20 LBS</t>
        </is>
      </c>
      <c r="I4922" t="n">
        <v>2029</v>
      </c>
      <c r="J4922" t="n">
        <v>2024</v>
      </c>
      <c r="K4922" t="inlineStr">
        <is>
          <t>MAYO 2026</t>
        </is>
      </c>
      <c r="L4922" t="inlineStr">
        <is>
          <t>MAYO 2027</t>
        </is>
      </c>
      <c r="M4922" t="inlineStr">
        <is>
          <t>CO2 TIPO BC</t>
        </is>
      </c>
      <c r="N4922" t="inlineStr">
        <is>
          <t>000040</t>
        </is>
      </c>
      <c r="O4922" t="inlineStr">
        <is>
          <t>V</t>
        </is>
      </c>
      <c r="P4922">
        <f>TRIM(N4922)</f>
        <v/>
      </c>
    </row>
    <row r="4923">
      <c r="A4923" t="inlineStr">
        <is>
          <t>CO-002730</t>
        </is>
      </c>
      <c r="B4923" t="inlineStr">
        <is>
          <t>CICSA PERU SAC</t>
        </is>
      </c>
      <c r="C4923" t="n">
        <v>20512780114</v>
      </c>
      <c r="D4923" t="inlineStr">
        <is>
          <t>AL.AMADOR MERINO REYNA NRO. 267 (OFIC. 501) LIMA - LIMA - SAN ISIDRO</t>
        </is>
      </c>
      <c r="E4923" t="inlineStr">
        <is>
          <t>Lima, 13 de mayo del 2026</t>
        </is>
      </c>
      <c r="F4923" t="inlineStr">
        <is>
          <t>la venta</t>
        </is>
      </c>
      <c r="G4923" t="n">
        <v>5</v>
      </c>
      <c r="H4923" t="inlineStr">
        <is>
          <t>20 LBS</t>
        </is>
      </c>
      <c r="I4923" t="n">
        <v>2030</v>
      </c>
      <c r="J4923" t="n">
        <v>2025</v>
      </c>
      <c r="K4923" t="inlineStr">
        <is>
          <t>MAYO 2026</t>
        </is>
      </c>
      <c r="L4923" t="inlineStr">
        <is>
          <t>MAYO 2027</t>
        </is>
      </c>
      <c r="M4923" t="inlineStr">
        <is>
          <t>CO2 TIPO BC</t>
        </is>
      </c>
      <c r="N4923" t="inlineStr">
        <is>
          <t>903927-0084</t>
        </is>
      </c>
      <c r="O4923" t="inlineStr">
        <is>
          <t>V</t>
        </is>
      </c>
      <c r="P4923">
        <f>TRIM(N4923)</f>
        <v/>
      </c>
    </row>
    <row r="4924">
      <c r="A4924" t="inlineStr">
        <is>
          <t>CO-002730</t>
        </is>
      </c>
      <c r="B4924" t="inlineStr">
        <is>
          <t>CICSA PERU SAC</t>
        </is>
      </c>
      <c r="C4924" t="n">
        <v>20512780114</v>
      </c>
      <c r="D4924" t="inlineStr">
        <is>
          <t>AL.AMADOR MERINO REYNA NRO. 267 (OFIC. 501) LIMA - LIMA - SAN ISIDRO</t>
        </is>
      </c>
      <c r="E4924" t="inlineStr">
        <is>
          <t>Lima, 13 de mayo del 2026</t>
        </is>
      </c>
      <c r="F4924" t="inlineStr">
        <is>
          <t>la venta</t>
        </is>
      </c>
      <c r="G4924" t="n">
        <v>6</v>
      </c>
      <c r="H4924" t="inlineStr">
        <is>
          <t>20 LBS</t>
        </is>
      </c>
      <c r="I4924" t="n">
        <v>2029</v>
      </c>
      <c r="J4924" t="n">
        <v>2019</v>
      </c>
      <c r="K4924" t="inlineStr">
        <is>
          <t>MAYO 2026</t>
        </is>
      </c>
      <c r="L4924" t="inlineStr">
        <is>
          <t>MAYO 2027</t>
        </is>
      </c>
      <c r="M4924" t="inlineStr">
        <is>
          <t>CO2 TIPO BC</t>
        </is>
      </c>
      <c r="N4924" t="inlineStr">
        <is>
          <t>218285</t>
        </is>
      </c>
      <c r="O4924" t="inlineStr">
        <is>
          <t>V</t>
        </is>
      </c>
      <c r="P4924">
        <f>TRIM(N4924)</f>
        <v/>
      </c>
    </row>
    <row r="4925">
      <c r="A4925" t="inlineStr">
        <is>
          <t>CO-002730</t>
        </is>
      </c>
      <c r="B4925" t="inlineStr">
        <is>
          <t>CICSA PERU SAC</t>
        </is>
      </c>
      <c r="C4925" t="n">
        <v>20512780114</v>
      </c>
      <c r="D4925" t="inlineStr">
        <is>
          <t>AL.AMADOR MERINO REYNA NRO. 267 (OFIC. 501) LIMA - LIMA - SAN ISIDRO</t>
        </is>
      </c>
      <c r="E4925" t="inlineStr">
        <is>
          <t>Lima, 13 de mayo del 2026</t>
        </is>
      </c>
      <c r="F4925" t="inlineStr">
        <is>
          <t>la venta</t>
        </is>
      </c>
      <c r="G4925" t="n">
        <v>7</v>
      </c>
      <c r="H4925" t="inlineStr">
        <is>
          <t>20 LBS</t>
        </is>
      </c>
      <c r="I4925" t="n">
        <v>2030</v>
      </c>
      <c r="J4925" t="n">
        <v>2025</v>
      </c>
      <c r="K4925" t="inlineStr">
        <is>
          <t>MAYO 2026</t>
        </is>
      </c>
      <c r="L4925" t="inlineStr">
        <is>
          <t>MAYO 2027</t>
        </is>
      </c>
      <c r="M4925" t="inlineStr">
        <is>
          <t>CO2 TIPO BC</t>
        </is>
      </c>
      <c r="N4925" t="inlineStr">
        <is>
          <t>903927-0078</t>
        </is>
      </c>
      <c r="O4925" t="inlineStr">
        <is>
          <t>V</t>
        </is>
      </c>
      <c r="P4925">
        <f>TRIM(N4925)</f>
        <v/>
      </c>
    </row>
    <row r="4926">
      <c r="A4926" t="inlineStr">
        <is>
          <t>CO-002731</t>
        </is>
      </c>
      <c r="B4926" t="inlineStr">
        <is>
          <t xml:space="preserve">PERU MASIVO SA - BUSES </t>
        </is>
      </c>
      <c r="C4926" t="inlineStr">
        <is>
          <t>20492392031</t>
        </is>
      </c>
      <c r="D4926" t="inlineStr">
        <is>
          <t>AV. LOS INCAS CDRA. 4 PATIO NORTE - COMAS</t>
        </is>
      </c>
      <c r="E4926" t="inlineStr">
        <is>
          <t>Lima, 18 de mayo del 2026</t>
        </is>
      </c>
      <c r="F4926" t="inlineStr">
        <is>
          <t>la Recarga y mantenimiento</t>
        </is>
      </c>
      <c r="G4926" t="n">
        <v>1</v>
      </c>
      <c r="H4926" t="inlineStr">
        <is>
          <t>06 KG</t>
        </is>
      </c>
      <c r="I4926" t="n">
        <v>2028</v>
      </c>
      <c r="J4926" t="n">
        <v>2009</v>
      </c>
      <c r="K4926" t="inlineStr">
        <is>
          <t>MAYO 2026</t>
        </is>
      </c>
      <c r="L4926" t="inlineStr">
        <is>
          <t>MAYO 2027</t>
        </is>
      </c>
      <c r="M4926" t="inlineStr">
        <is>
          <t>PQS/ABC AL 90%</t>
        </is>
      </c>
      <c r="N4926" t="inlineStr">
        <is>
          <t>344/002162</t>
        </is>
      </c>
      <c r="O4926" t="inlineStr">
        <is>
          <t>R</t>
        </is>
      </c>
      <c r="P4926">
        <f>TRIM(N4926)</f>
        <v/>
      </c>
    </row>
    <row r="4927">
      <c r="A4927" t="inlineStr">
        <is>
          <t>CO-002731</t>
        </is>
      </c>
      <c r="B4927" t="inlineStr">
        <is>
          <t xml:space="preserve">PERU MASIVO SA - BUSES </t>
        </is>
      </c>
      <c r="C4927" t="inlineStr">
        <is>
          <t>20492392031</t>
        </is>
      </c>
      <c r="D4927" t="inlineStr">
        <is>
          <t>AV. LOS INCAS CDRA. 4 PATIO NORTE - COMAS</t>
        </is>
      </c>
      <c r="E4927" t="inlineStr">
        <is>
          <t>Lima, 18 de mayo del 2026</t>
        </is>
      </c>
      <c r="F4927" t="inlineStr">
        <is>
          <t>la Recarga y mantenimiento</t>
        </is>
      </c>
      <c r="G4927" t="n">
        <v>2</v>
      </c>
      <c r="H4927" t="inlineStr">
        <is>
          <t>06 KG</t>
        </is>
      </c>
      <c r="I4927" t="n">
        <v>2029</v>
      </c>
      <c r="J4927" t="n">
        <v>2010</v>
      </c>
      <c r="K4927" t="inlineStr">
        <is>
          <t>MAYO 2026</t>
        </is>
      </c>
      <c r="L4927" t="inlineStr">
        <is>
          <t>MAYO 2027</t>
        </is>
      </c>
      <c r="M4927" t="inlineStr">
        <is>
          <t>PQS/ABC AL 90%</t>
        </is>
      </c>
      <c r="N4927" t="inlineStr">
        <is>
          <t>03/000938</t>
        </is>
      </c>
      <c r="O4927" t="inlineStr">
        <is>
          <t>R</t>
        </is>
      </c>
      <c r="P4927">
        <f>TRIM(N4927)</f>
        <v/>
      </c>
    </row>
    <row r="4928">
      <c r="A4928" t="inlineStr">
        <is>
          <t>CO-002731</t>
        </is>
      </c>
      <c r="B4928" t="inlineStr">
        <is>
          <t xml:space="preserve">PERU MASIVO SA - BUSES </t>
        </is>
      </c>
      <c r="C4928" t="inlineStr">
        <is>
          <t>20492392031</t>
        </is>
      </c>
      <c r="D4928" t="inlineStr">
        <is>
          <t>AV. LOS INCAS CDRA. 4 PATIO NORTE - COMAS</t>
        </is>
      </c>
      <c r="E4928" t="inlineStr">
        <is>
          <t>Lima, 18 de mayo del 2026</t>
        </is>
      </c>
      <c r="F4928" t="inlineStr">
        <is>
          <t>la Recarga y mantenimiento</t>
        </is>
      </c>
      <c r="G4928" t="n">
        <v>3</v>
      </c>
      <c r="H4928" t="inlineStr">
        <is>
          <t>06 KG</t>
        </is>
      </c>
      <c r="I4928" t="n">
        <v>2028</v>
      </c>
      <c r="J4928" t="n">
        <v>2012</v>
      </c>
      <c r="K4928" t="inlineStr">
        <is>
          <t>MAYO 2026</t>
        </is>
      </c>
      <c r="L4928" t="inlineStr">
        <is>
          <t>MAYO 2027</t>
        </is>
      </c>
      <c r="M4928" t="inlineStr">
        <is>
          <t>PQS/ABC AL 90%</t>
        </is>
      </c>
      <c r="N4928" t="inlineStr">
        <is>
          <t>87/000451</t>
        </is>
      </c>
      <c r="O4928" t="inlineStr">
        <is>
          <t>R</t>
        </is>
      </c>
      <c r="P4928">
        <f>TRIM(N4928)</f>
        <v/>
      </c>
    </row>
    <row r="4929">
      <c r="A4929" t="inlineStr">
        <is>
          <t>CO-002731</t>
        </is>
      </c>
      <c r="B4929" t="inlineStr">
        <is>
          <t xml:space="preserve">PERU MASIVO SA - BUSES </t>
        </is>
      </c>
      <c r="C4929" t="inlineStr">
        <is>
          <t>20492392031</t>
        </is>
      </c>
      <c r="D4929" t="inlineStr">
        <is>
          <t>AV. LOS INCAS CDRA. 4 PATIO NORTE - COMAS</t>
        </is>
      </c>
      <c r="E4929" t="inlineStr">
        <is>
          <t>Lima, 18 de mayo del 2026</t>
        </is>
      </c>
      <c r="F4929" t="inlineStr">
        <is>
          <t>la Recarga y mantenimiento</t>
        </is>
      </c>
      <c r="G4929" t="n">
        <v>4</v>
      </c>
      <c r="H4929" t="inlineStr">
        <is>
          <t>06 KG</t>
        </is>
      </c>
      <c r="I4929" t="n">
        <v>2029</v>
      </c>
      <c r="J4929" t="n">
        <v>2010</v>
      </c>
      <c r="K4929" t="inlineStr">
        <is>
          <t>MAYO 2026</t>
        </is>
      </c>
      <c r="L4929" t="inlineStr">
        <is>
          <t>MAYO 2027</t>
        </is>
      </c>
      <c r="M4929" t="inlineStr">
        <is>
          <t>PQS/ABC AL 90%</t>
        </is>
      </c>
      <c r="N4929" t="inlineStr">
        <is>
          <t>140/006506</t>
        </is>
      </c>
      <c r="O4929" t="inlineStr">
        <is>
          <t>R</t>
        </is>
      </c>
      <c r="P4929">
        <f>TRIM(N4929)</f>
        <v/>
      </c>
    </row>
    <row r="4930">
      <c r="A4930" t="inlineStr">
        <is>
          <t>CO-002731</t>
        </is>
      </c>
      <c r="B4930" t="inlineStr">
        <is>
          <t xml:space="preserve">PERU MASIVO SA - BUSES </t>
        </is>
      </c>
      <c r="C4930" t="inlineStr">
        <is>
          <t>20492392031</t>
        </is>
      </c>
      <c r="D4930" t="inlineStr">
        <is>
          <t>AV. LOS INCAS CDRA. 4 PATIO NORTE - COMAS</t>
        </is>
      </c>
      <c r="E4930" t="inlineStr">
        <is>
          <t>Lima, 18 de mayo del 2026</t>
        </is>
      </c>
      <c r="F4930" t="inlineStr">
        <is>
          <t>la Recarga y mantenimiento</t>
        </is>
      </c>
      <c r="G4930" t="n">
        <v>5</v>
      </c>
      <c r="H4930" t="inlineStr">
        <is>
          <t>06 KG</t>
        </is>
      </c>
      <c r="I4930" t="n">
        <v>2029</v>
      </c>
      <c r="J4930" t="n">
        <v>2010</v>
      </c>
      <c r="K4930" t="inlineStr">
        <is>
          <t>MAYO 2026</t>
        </is>
      </c>
      <c r="L4930" t="inlineStr">
        <is>
          <t>MAYO 2027</t>
        </is>
      </c>
      <c r="M4930" t="inlineStr">
        <is>
          <t>PQS/ABC AL 90%</t>
        </is>
      </c>
      <c r="N4930" t="inlineStr">
        <is>
          <t>220/000882</t>
        </is>
      </c>
      <c r="O4930" t="inlineStr">
        <is>
          <t>R</t>
        </is>
      </c>
      <c r="P4930">
        <f>TRIM(N4930)</f>
        <v/>
      </c>
    </row>
    <row r="4931">
      <c r="A4931" t="inlineStr">
        <is>
          <t>CO-002731</t>
        </is>
      </c>
      <c r="B4931" t="inlineStr">
        <is>
          <t xml:space="preserve">PERU MASIVO SA - BUSES </t>
        </is>
      </c>
      <c r="C4931" t="inlineStr">
        <is>
          <t>20492392031</t>
        </is>
      </c>
      <c r="D4931" t="inlineStr">
        <is>
          <t>AV. LOS INCAS CDRA. 4 PATIO NORTE - COMAS</t>
        </is>
      </c>
      <c r="E4931" t="inlineStr">
        <is>
          <t>Lima, 18 de mayo del 2026</t>
        </is>
      </c>
      <c r="F4931" t="inlineStr">
        <is>
          <t>la Recarga y mantenimiento</t>
        </is>
      </c>
      <c r="G4931" t="n">
        <v>6</v>
      </c>
      <c r="H4931" t="inlineStr">
        <is>
          <t>06 KG</t>
        </is>
      </c>
      <c r="I4931" t="n">
        <v>2028</v>
      </c>
      <c r="J4931" t="n">
        <v>2015</v>
      </c>
      <c r="K4931" t="inlineStr">
        <is>
          <t>MAYO 2026</t>
        </is>
      </c>
      <c r="L4931" t="inlineStr">
        <is>
          <t>MAYO 2027</t>
        </is>
      </c>
      <c r="M4931" t="inlineStr">
        <is>
          <t>PQS/ABC AL 90%</t>
        </is>
      </c>
      <c r="N4931" t="inlineStr">
        <is>
          <t>45/016379</t>
        </is>
      </c>
      <c r="O4931" t="inlineStr">
        <is>
          <t>R</t>
        </is>
      </c>
      <c r="P4931">
        <f>TRIM(N4931)</f>
        <v/>
      </c>
    </row>
    <row r="4932">
      <c r="A4932" t="inlineStr">
        <is>
          <t>CO-002731</t>
        </is>
      </c>
      <c r="B4932" t="inlineStr">
        <is>
          <t xml:space="preserve">PERU MASIVO SA - BUSES </t>
        </is>
      </c>
      <c r="C4932" t="inlineStr">
        <is>
          <t>20492392031</t>
        </is>
      </c>
      <c r="D4932" t="inlineStr">
        <is>
          <t>AV. LOS INCAS CDRA. 4 PATIO NORTE - COMAS</t>
        </is>
      </c>
      <c r="E4932" t="inlineStr">
        <is>
          <t>Lima, 18 de mayo del 2026</t>
        </is>
      </c>
      <c r="F4932" t="inlineStr">
        <is>
          <t>la Recarga y mantenimiento</t>
        </is>
      </c>
      <c r="G4932" t="n">
        <v>7</v>
      </c>
      <c r="H4932" t="inlineStr">
        <is>
          <t>06 KG</t>
        </is>
      </c>
      <c r="I4932" t="n">
        <v>2029</v>
      </c>
      <c r="J4932" t="n">
        <v>2015</v>
      </c>
      <c r="K4932" t="inlineStr">
        <is>
          <t>MAYO 2026</t>
        </is>
      </c>
      <c r="L4932" t="inlineStr">
        <is>
          <t>MAYO 2027</t>
        </is>
      </c>
      <c r="M4932" t="inlineStr">
        <is>
          <t>PQS/ABC AL 90%</t>
        </is>
      </c>
      <c r="N4932" t="inlineStr">
        <is>
          <t>72/000966</t>
        </is>
      </c>
      <c r="O4932" t="inlineStr">
        <is>
          <t>R</t>
        </is>
      </c>
      <c r="P4932">
        <f>TRIM(N4932)</f>
        <v/>
      </c>
    </row>
    <row r="4933">
      <c r="A4933" t="inlineStr">
        <is>
          <t>CO-002731</t>
        </is>
      </c>
      <c r="B4933" t="inlineStr">
        <is>
          <t xml:space="preserve">PERU MASIVO SA - BUSES </t>
        </is>
      </c>
      <c r="C4933" t="inlineStr">
        <is>
          <t>20492392031</t>
        </is>
      </c>
      <c r="D4933" t="inlineStr">
        <is>
          <t>AV. LOS INCAS CDRA. 4 PATIO NORTE - COMAS</t>
        </is>
      </c>
      <c r="E4933" t="inlineStr">
        <is>
          <t>Lima, 18 de mayo del 2026</t>
        </is>
      </c>
      <c r="F4933" t="inlineStr">
        <is>
          <t>la Recarga y mantenimiento</t>
        </is>
      </c>
      <c r="G4933" t="n">
        <v>8</v>
      </c>
      <c r="H4933" t="inlineStr">
        <is>
          <t>06 KG</t>
        </is>
      </c>
      <c r="I4933" t="n">
        <v>2029</v>
      </c>
      <c r="J4933" t="n">
        <v>2009</v>
      </c>
      <c r="K4933" t="inlineStr">
        <is>
          <t>MAYO 2026</t>
        </is>
      </c>
      <c r="L4933" t="inlineStr">
        <is>
          <t>MAYO 2027</t>
        </is>
      </c>
      <c r="M4933" t="inlineStr">
        <is>
          <t>PQS/ABC AL 90%</t>
        </is>
      </c>
      <c r="N4933" t="inlineStr">
        <is>
          <t>67/001573</t>
        </is>
      </c>
      <c r="O4933" t="inlineStr">
        <is>
          <t>R</t>
        </is>
      </c>
      <c r="P4933">
        <f>TRIM(N4933)</f>
        <v/>
      </c>
    </row>
    <row r="4934">
      <c r="A4934" t="inlineStr">
        <is>
          <t>CO-002731</t>
        </is>
      </c>
      <c r="B4934" t="inlineStr">
        <is>
          <t xml:space="preserve">PERU MASIVO SA - BUSES </t>
        </is>
      </c>
      <c r="C4934" t="inlineStr">
        <is>
          <t>20492392031</t>
        </is>
      </c>
      <c r="D4934" t="inlineStr">
        <is>
          <t>AV. LOS INCAS CDRA. 4 PATIO NORTE - COMAS</t>
        </is>
      </c>
      <c r="E4934" t="inlineStr">
        <is>
          <t>Lima, 18 de mayo del 2026</t>
        </is>
      </c>
      <c r="F4934" t="inlineStr">
        <is>
          <t>la Recarga y mantenimiento</t>
        </is>
      </c>
      <c r="G4934" t="n">
        <v>9</v>
      </c>
      <c r="H4934" t="inlineStr">
        <is>
          <t>06 KG</t>
        </is>
      </c>
      <c r="I4934" t="n">
        <v>2028</v>
      </c>
      <c r="J4934" t="n">
        <v>2010</v>
      </c>
      <c r="K4934" t="inlineStr">
        <is>
          <t>MAYO 2026</t>
        </is>
      </c>
      <c r="L4934" t="inlineStr">
        <is>
          <t>MAYO 2027</t>
        </is>
      </c>
      <c r="M4934" t="inlineStr">
        <is>
          <t>PQS/ABC AL 90%</t>
        </is>
      </c>
      <c r="N4934" t="inlineStr">
        <is>
          <t>06/000956</t>
        </is>
      </c>
      <c r="O4934" t="inlineStr">
        <is>
          <t>R</t>
        </is>
      </c>
      <c r="P4934">
        <f>TRIM(N4934)</f>
        <v/>
      </c>
    </row>
    <row r="4935">
      <c r="A4935" t="inlineStr">
        <is>
          <t>CO-002732</t>
        </is>
      </c>
      <c r="B4935" t="inlineStr">
        <is>
          <t xml:space="preserve">PERU MASIVO SA - BUSES </t>
        </is>
      </c>
      <c r="C4935" t="inlineStr">
        <is>
          <t>20492392031</t>
        </is>
      </c>
      <c r="D4935" t="inlineStr">
        <is>
          <t>AV. LOS INCAS CDRA. 4 PATIO NORTE - COMAS</t>
        </is>
      </c>
      <c r="E4935" t="inlineStr">
        <is>
          <t>Lima, 19 de mayo del 2026</t>
        </is>
      </c>
      <c r="F4935" t="inlineStr">
        <is>
          <t>la Recarga y mantenimiento</t>
        </is>
      </c>
      <c r="G4935" t="n">
        <v>1</v>
      </c>
      <c r="H4935" t="inlineStr">
        <is>
          <t>06 KG</t>
        </is>
      </c>
      <c r="I4935" t="n">
        <v>2028</v>
      </c>
      <c r="J4935" t="n">
        <v>2009</v>
      </c>
      <c r="K4935" t="inlineStr">
        <is>
          <t>MAYO 2026</t>
        </is>
      </c>
      <c r="L4935" t="inlineStr">
        <is>
          <t>MAYO 2027</t>
        </is>
      </c>
      <c r="M4935" t="inlineStr">
        <is>
          <t>PQS/ABC AL 90%</t>
        </is>
      </c>
      <c r="N4935" t="inlineStr">
        <is>
          <t>324/002625</t>
        </is>
      </c>
      <c r="O4935" t="inlineStr">
        <is>
          <t>R</t>
        </is>
      </c>
      <c r="P4935">
        <f>TRIM(N4935)</f>
        <v/>
      </c>
    </row>
    <row r="4936">
      <c r="A4936" t="inlineStr">
        <is>
          <t>CO-002732</t>
        </is>
      </c>
      <c r="B4936" t="inlineStr">
        <is>
          <t xml:space="preserve">PERU MASIVO SA - BUSES </t>
        </is>
      </c>
      <c r="C4936" t="inlineStr">
        <is>
          <t>20492392031</t>
        </is>
      </c>
      <c r="D4936" t="inlineStr">
        <is>
          <t>AV. LOS INCAS CDRA. 4 PATIO NORTE - COMAS</t>
        </is>
      </c>
      <c r="E4936" t="inlineStr">
        <is>
          <t>Lima, 19 de mayo del 2026</t>
        </is>
      </c>
      <c r="F4936" t="inlineStr">
        <is>
          <t>la Recarga y mantenimiento</t>
        </is>
      </c>
      <c r="G4936" t="n">
        <v>2</v>
      </c>
      <c r="H4936" t="inlineStr">
        <is>
          <t>06 KG</t>
        </is>
      </c>
      <c r="I4936" t="n">
        <v>2028</v>
      </c>
      <c r="J4936" t="n">
        <v>2010</v>
      </c>
      <c r="K4936" t="inlineStr">
        <is>
          <t>MAYO 2026</t>
        </is>
      </c>
      <c r="L4936" t="inlineStr">
        <is>
          <t>MAYO 2027</t>
        </is>
      </c>
      <c r="M4936" t="inlineStr">
        <is>
          <t>PQS/ABC AL 90%</t>
        </is>
      </c>
      <c r="N4936" t="inlineStr">
        <is>
          <t>288/000005</t>
        </is>
      </c>
      <c r="O4936" t="inlineStr">
        <is>
          <t>R</t>
        </is>
      </c>
      <c r="P4936">
        <f>TRIM(N4936)</f>
        <v/>
      </c>
    </row>
    <row r="4937">
      <c r="A4937" t="inlineStr">
        <is>
          <t>CO-002732</t>
        </is>
      </c>
      <c r="B4937" t="inlineStr">
        <is>
          <t xml:space="preserve">PERU MASIVO SA - BUSES </t>
        </is>
      </c>
      <c r="C4937" t="inlineStr">
        <is>
          <t>20492392031</t>
        </is>
      </c>
      <c r="D4937" t="inlineStr">
        <is>
          <t>AV. LOS INCAS CDRA. 4 PATIO NORTE - COMAS</t>
        </is>
      </c>
      <c r="E4937" t="inlineStr">
        <is>
          <t>Lima, 19 de mayo del 2026</t>
        </is>
      </c>
      <c r="F4937" t="inlineStr">
        <is>
          <t>la Recarga y mantenimiento</t>
        </is>
      </c>
      <c r="G4937" t="n">
        <v>3</v>
      </c>
      <c r="H4937" t="inlineStr">
        <is>
          <t>06 KG</t>
        </is>
      </c>
      <c r="I4937" t="n">
        <v>2028</v>
      </c>
      <c r="J4937" t="n">
        <v>2010</v>
      </c>
      <c r="K4937" t="inlineStr">
        <is>
          <t>MAYO 2026</t>
        </is>
      </c>
      <c r="L4937" t="inlineStr">
        <is>
          <t>MAYO 2027</t>
        </is>
      </c>
      <c r="M4937" t="inlineStr">
        <is>
          <t>PQS/ABC AL 90%</t>
        </is>
      </c>
      <c r="N4937" t="inlineStr">
        <is>
          <t>229/000605</t>
        </is>
      </c>
      <c r="O4937" t="inlineStr">
        <is>
          <t>R</t>
        </is>
      </c>
      <c r="P4937">
        <f>TRIM(N4937)</f>
        <v/>
      </c>
    </row>
    <row r="4938">
      <c r="A4938" t="inlineStr">
        <is>
          <t>CO-002732</t>
        </is>
      </c>
      <c r="B4938" t="inlineStr">
        <is>
          <t xml:space="preserve">PERU MASIVO SA - BUSES </t>
        </is>
      </c>
      <c r="C4938" t="inlineStr">
        <is>
          <t>20492392031</t>
        </is>
      </c>
      <c r="D4938" t="inlineStr">
        <is>
          <t>AV. LOS INCAS CDRA. 4 PATIO NORTE - COMAS</t>
        </is>
      </c>
      <c r="E4938" t="inlineStr">
        <is>
          <t>Lima, 19 de mayo del 2026</t>
        </is>
      </c>
      <c r="F4938" t="inlineStr">
        <is>
          <t>la Recarga y mantenimiento</t>
        </is>
      </c>
      <c r="G4938" t="n">
        <v>4</v>
      </c>
      <c r="H4938" t="inlineStr">
        <is>
          <t>06 KG</t>
        </is>
      </c>
      <c r="I4938" t="n">
        <v>2028</v>
      </c>
      <c r="J4938" t="n">
        <v>2009</v>
      </c>
      <c r="K4938" t="inlineStr">
        <is>
          <t>MAYO 2026</t>
        </is>
      </c>
      <c r="L4938" t="inlineStr">
        <is>
          <t>MAYO 2027</t>
        </is>
      </c>
      <c r="M4938" t="inlineStr">
        <is>
          <t>PQS/ABC AL 90%</t>
        </is>
      </c>
      <c r="N4938" t="inlineStr">
        <is>
          <t>365/000571</t>
        </is>
      </c>
      <c r="O4938" t="inlineStr">
        <is>
          <t>R</t>
        </is>
      </c>
      <c r="P4938">
        <f>TRIM(N4938)</f>
        <v/>
      </c>
    </row>
    <row r="4939">
      <c r="A4939" t="inlineStr">
        <is>
          <t>CO-002732</t>
        </is>
      </c>
      <c r="B4939" t="inlineStr">
        <is>
          <t xml:space="preserve">PERU MASIVO SA - BUSES </t>
        </is>
      </c>
      <c r="C4939" t="inlineStr">
        <is>
          <t>20492392031</t>
        </is>
      </c>
      <c r="D4939" t="inlineStr">
        <is>
          <t>AV. LOS INCAS CDRA. 4 PATIO NORTE - COMAS</t>
        </is>
      </c>
      <c r="E4939" t="inlineStr">
        <is>
          <t>Lima, 19 de mayo del 2026</t>
        </is>
      </c>
      <c r="F4939" t="inlineStr">
        <is>
          <t>la Recarga y mantenimiento</t>
        </is>
      </c>
      <c r="G4939" t="n">
        <v>5</v>
      </c>
      <c r="H4939" t="inlineStr">
        <is>
          <t>06 KG</t>
        </is>
      </c>
      <c r="I4939" t="n">
        <v>2028</v>
      </c>
      <c r="J4939" t="n">
        <v>2019</v>
      </c>
      <c r="K4939" t="inlineStr">
        <is>
          <t>MAYO 2026</t>
        </is>
      </c>
      <c r="L4939" t="inlineStr">
        <is>
          <t>MAYO 2027</t>
        </is>
      </c>
      <c r="M4939" t="inlineStr">
        <is>
          <t>PQS/ABC AL 90%</t>
        </is>
      </c>
      <c r="N4939" t="inlineStr">
        <is>
          <t>183/001640</t>
        </is>
      </c>
      <c r="O4939" t="inlineStr">
        <is>
          <t>R</t>
        </is>
      </c>
      <c r="P4939">
        <f>TRIM(N4939)</f>
        <v/>
      </c>
    </row>
    <row r="4940">
      <c r="A4940" t="inlineStr">
        <is>
          <t>CO-002732</t>
        </is>
      </c>
      <c r="B4940" t="inlineStr">
        <is>
          <t xml:space="preserve">PERU MASIVO SA - BUSES </t>
        </is>
      </c>
      <c r="C4940" t="inlineStr">
        <is>
          <t>20492392031</t>
        </is>
      </c>
      <c r="D4940" t="inlineStr">
        <is>
          <t>AV. LOS INCAS CDRA. 4 PATIO NORTE - COMAS</t>
        </is>
      </c>
      <c r="E4940" t="inlineStr">
        <is>
          <t>Lima, 19 de mayo del 2026</t>
        </is>
      </c>
      <c r="F4940" t="inlineStr">
        <is>
          <t>la Recarga y mantenimiento</t>
        </is>
      </c>
      <c r="G4940" t="n">
        <v>6</v>
      </c>
      <c r="H4940" t="inlineStr">
        <is>
          <t>06 KG</t>
        </is>
      </c>
      <c r="I4940" t="n">
        <v>2028</v>
      </c>
      <c r="J4940" t="n">
        <v>2016</v>
      </c>
      <c r="K4940" t="inlineStr">
        <is>
          <t>MAYO 2026</t>
        </is>
      </c>
      <c r="L4940" t="inlineStr">
        <is>
          <t>MAYO 2027</t>
        </is>
      </c>
      <c r="M4940" t="inlineStr">
        <is>
          <t>PQS/ABC AL 90%</t>
        </is>
      </c>
      <c r="N4940" t="inlineStr">
        <is>
          <t>118/001487</t>
        </is>
      </c>
      <c r="O4940" t="inlineStr">
        <is>
          <t>R</t>
        </is>
      </c>
      <c r="P4940">
        <f>TRIM(N4940)</f>
        <v/>
      </c>
    </row>
    <row r="4941">
      <c r="A4941" t="inlineStr">
        <is>
          <t>CO-002732</t>
        </is>
      </c>
      <c r="B4941" t="inlineStr">
        <is>
          <t xml:space="preserve">PERU MASIVO SA - BUSES </t>
        </is>
      </c>
      <c r="C4941" t="inlineStr">
        <is>
          <t>20492392031</t>
        </is>
      </c>
      <c r="D4941" t="inlineStr">
        <is>
          <t>AV. LOS INCAS CDRA. 4 PATIO NORTE - COMAS</t>
        </is>
      </c>
      <c r="E4941" t="inlineStr">
        <is>
          <t>Lima, 19 de mayo del 2026</t>
        </is>
      </c>
      <c r="F4941" t="inlineStr">
        <is>
          <t>la Recarga y mantenimiento</t>
        </is>
      </c>
      <c r="G4941" t="n">
        <v>7</v>
      </c>
      <c r="H4941" t="inlineStr">
        <is>
          <t>06 KG</t>
        </is>
      </c>
      <c r="I4941" t="n">
        <v>2028</v>
      </c>
      <c r="J4941" t="n">
        <v>2010</v>
      </c>
      <c r="K4941" t="inlineStr">
        <is>
          <t>MAYO 2026</t>
        </is>
      </c>
      <c r="L4941" t="inlineStr">
        <is>
          <t>MAYO 2027</t>
        </is>
      </c>
      <c r="M4941" t="inlineStr">
        <is>
          <t>PQS/ABC AL 90%</t>
        </is>
      </c>
      <c r="N4941" t="inlineStr">
        <is>
          <t>39/000923</t>
        </is>
      </c>
      <c r="O4941" t="inlineStr">
        <is>
          <t>R</t>
        </is>
      </c>
      <c r="P4941">
        <f>TRIM(N4941)</f>
        <v/>
      </c>
    </row>
    <row r="4942">
      <c r="A4942" t="inlineStr">
        <is>
          <t>CO-002732</t>
        </is>
      </c>
      <c r="B4942" t="inlineStr">
        <is>
          <t xml:space="preserve">PERU MASIVO SA - BUSES </t>
        </is>
      </c>
      <c r="C4942" t="inlineStr">
        <is>
          <t>20492392031</t>
        </is>
      </c>
      <c r="D4942" t="inlineStr">
        <is>
          <t>AV. LOS INCAS CDRA. 4 PATIO NORTE - COMAS</t>
        </is>
      </c>
      <c r="E4942" t="inlineStr">
        <is>
          <t>Lima, 19 de mayo del 2026</t>
        </is>
      </c>
      <c r="F4942" t="inlineStr">
        <is>
          <t>la Recarga y mantenimiento</t>
        </is>
      </c>
      <c r="G4942" t="n">
        <v>8</v>
      </c>
      <c r="H4942" t="inlineStr">
        <is>
          <t>06 KG</t>
        </is>
      </c>
      <c r="I4942" t="n">
        <v>2029</v>
      </c>
      <c r="J4942" t="n">
        <v>2017</v>
      </c>
      <c r="K4942" t="inlineStr">
        <is>
          <t>MAYO 2026</t>
        </is>
      </c>
      <c r="L4942" t="inlineStr">
        <is>
          <t>MAYO 2027</t>
        </is>
      </c>
      <c r="M4942" t="inlineStr">
        <is>
          <t>PQS/ABC AL 90%</t>
        </is>
      </c>
      <c r="N4942" t="inlineStr">
        <is>
          <t>204/003106</t>
        </is>
      </c>
      <c r="O4942" t="inlineStr">
        <is>
          <t>R</t>
        </is>
      </c>
      <c r="P4942">
        <f>TRIM(N4942)</f>
        <v/>
      </c>
    </row>
    <row r="4943">
      <c r="A4943" t="inlineStr">
        <is>
          <t>CO-002732</t>
        </is>
      </c>
      <c r="B4943" t="inlineStr">
        <is>
          <t xml:space="preserve">PERU MASIVO SA - BUSES </t>
        </is>
      </c>
      <c r="C4943" t="inlineStr">
        <is>
          <t>20492392031</t>
        </is>
      </c>
      <c r="D4943" t="inlineStr">
        <is>
          <t>AV. LOS INCAS CDRA. 4 PATIO NORTE - COMAS</t>
        </is>
      </c>
      <c r="E4943" t="inlineStr">
        <is>
          <t>Lima, 19 de mayo del 2026</t>
        </is>
      </c>
      <c r="F4943" t="inlineStr">
        <is>
          <t>la Recarga y mantenimiento</t>
        </is>
      </c>
      <c r="G4943" t="n">
        <v>9</v>
      </c>
      <c r="H4943" t="inlineStr">
        <is>
          <t>06 KG</t>
        </is>
      </c>
      <c r="I4943" t="n">
        <v>2028</v>
      </c>
      <c r="J4943" t="n">
        <v>2009</v>
      </c>
      <c r="K4943" t="inlineStr">
        <is>
          <t>MAYO 2026</t>
        </is>
      </c>
      <c r="L4943" t="inlineStr">
        <is>
          <t>MAYO 2027</t>
        </is>
      </c>
      <c r="M4943" t="inlineStr">
        <is>
          <t>PQS/ABC AL 90%</t>
        </is>
      </c>
      <c r="N4943" t="inlineStr">
        <is>
          <t>352/001485</t>
        </is>
      </c>
      <c r="O4943" t="inlineStr">
        <is>
          <t>R</t>
        </is>
      </c>
      <c r="P4943">
        <f>TRIM(N4943)</f>
        <v/>
      </c>
    </row>
    <row r="4944">
      <c r="A4944" t="inlineStr">
        <is>
          <t>CO-002732</t>
        </is>
      </c>
      <c r="B4944" t="inlineStr">
        <is>
          <t xml:space="preserve">PERU MASIVO SA - BUSES </t>
        </is>
      </c>
      <c r="C4944" t="inlineStr">
        <is>
          <t>20492392031</t>
        </is>
      </c>
      <c r="D4944" t="inlineStr">
        <is>
          <t>AV. LOS INCAS CDRA. 4 PATIO NORTE - COMAS</t>
        </is>
      </c>
      <c r="E4944" t="inlineStr">
        <is>
          <t>Lima, 19 de mayo del 2026</t>
        </is>
      </c>
      <c r="F4944" t="inlineStr">
        <is>
          <t>la Recarga y mantenimiento</t>
        </is>
      </c>
      <c r="G4944" t="n">
        <v>10</v>
      </c>
      <c r="H4944" t="inlineStr">
        <is>
          <t>06 KG</t>
        </is>
      </c>
      <c r="I4944" t="n">
        <v>2028</v>
      </c>
      <c r="J4944" t="n">
        <v>2016</v>
      </c>
      <c r="K4944" t="inlineStr">
        <is>
          <t>MAYO 2026</t>
        </is>
      </c>
      <c r="L4944" t="inlineStr">
        <is>
          <t>MAYO 2027</t>
        </is>
      </c>
      <c r="M4944" t="inlineStr">
        <is>
          <t>PQS/ABC AL 90%</t>
        </is>
      </c>
      <c r="N4944" t="inlineStr">
        <is>
          <t>391/0020140</t>
        </is>
      </c>
      <c r="O4944" t="inlineStr">
        <is>
          <t>R</t>
        </is>
      </c>
      <c r="P4944">
        <f>TRIM(N4944)</f>
        <v/>
      </c>
    </row>
    <row r="4945">
      <c r="A4945" t="inlineStr">
        <is>
          <t>CO-002732</t>
        </is>
      </c>
      <c r="B4945" t="inlineStr">
        <is>
          <t xml:space="preserve">PERU MASIVO SA - BUSES </t>
        </is>
      </c>
      <c r="C4945" t="inlineStr">
        <is>
          <t>20492392031</t>
        </is>
      </c>
      <c r="D4945" t="inlineStr">
        <is>
          <t>AV. LOS INCAS CDRA. 4 PATIO NORTE - COMAS</t>
        </is>
      </c>
      <c r="E4945" t="inlineStr">
        <is>
          <t>Lima, 19 de mayo del 2026</t>
        </is>
      </c>
      <c r="F4945" t="inlineStr">
        <is>
          <t>la Recarga y mantenimiento</t>
        </is>
      </c>
      <c r="G4945" t="n">
        <v>11</v>
      </c>
      <c r="H4945" t="inlineStr">
        <is>
          <t>06 KG</t>
        </is>
      </c>
      <c r="I4945" t="n">
        <v>2028</v>
      </c>
      <c r="J4945" t="n">
        <v>2009</v>
      </c>
      <c r="K4945" t="inlineStr">
        <is>
          <t>MAYO 2026</t>
        </is>
      </c>
      <c r="L4945" t="inlineStr">
        <is>
          <t>MAYO 2027</t>
        </is>
      </c>
      <c r="M4945" t="inlineStr">
        <is>
          <t>PQS/ABC AL 90%</t>
        </is>
      </c>
      <c r="N4945" t="inlineStr">
        <is>
          <t>08/002713</t>
        </is>
      </c>
      <c r="O4945" t="inlineStr">
        <is>
          <t>R</t>
        </is>
      </c>
      <c r="P4945">
        <f>TRIM(N4945)</f>
        <v/>
      </c>
    </row>
    <row r="4946">
      <c r="A4946" t="inlineStr">
        <is>
          <t>CO-002733</t>
        </is>
      </c>
      <c r="B4946" t="inlineStr">
        <is>
          <t>AUTOMOTORES YOSHIVAL S.A.C.</t>
        </is>
      </c>
      <c r="C4946" t="inlineStr">
        <is>
          <t>20408104638</t>
        </is>
      </c>
      <c r="D4946" t="inlineStr">
        <is>
          <t>Av. Colonial 398 JR Pacasmayo 581</t>
        </is>
      </c>
      <c r="E4946" t="inlineStr">
        <is>
          <t>Lima, 22 de mayo del 2026</t>
        </is>
      </c>
      <c r="F4946" t="inlineStr">
        <is>
          <t>la Recarga y mantenimiento</t>
        </is>
      </c>
      <c r="G4946" t="n">
        <v>1</v>
      </c>
      <c r="H4946" t="inlineStr">
        <is>
          <t>06 KG</t>
        </is>
      </c>
      <c r="I4946" t="n">
        <v>2031</v>
      </c>
      <c r="J4946" t="n">
        <v>2021</v>
      </c>
      <c r="K4946" t="inlineStr">
        <is>
          <t>MAYO 2026</t>
        </is>
      </c>
      <c r="L4946" t="inlineStr">
        <is>
          <t>MAYO 2027</t>
        </is>
      </c>
      <c r="M4946" t="inlineStr">
        <is>
          <t xml:space="preserve">PQS TIPO ABC AL 75% </t>
        </is>
      </c>
      <c r="N4946" t="inlineStr">
        <is>
          <t>008657</t>
        </is>
      </c>
      <c r="O4946" t="inlineStr">
        <is>
          <t>R</t>
        </is>
      </c>
      <c r="P4946">
        <f>TRIM(N4946)</f>
        <v/>
      </c>
    </row>
    <row r="4947">
      <c r="A4947" t="inlineStr">
        <is>
          <t>CO-002733</t>
        </is>
      </c>
      <c r="B4947" t="inlineStr">
        <is>
          <t>AUTOMOTORES YOSHIVAL S.A.C.</t>
        </is>
      </c>
      <c r="C4947" t="inlineStr">
        <is>
          <t>20408104638</t>
        </is>
      </c>
      <c r="D4947" t="inlineStr">
        <is>
          <t>Av. Colonial 398 JR Pacasmayo 581</t>
        </is>
      </c>
      <c r="E4947" t="inlineStr">
        <is>
          <t>Lima, 22 de mayo del 2026</t>
        </is>
      </c>
      <c r="F4947" t="inlineStr">
        <is>
          <t>la Recarga y mantenimiento</t>
        </is>
      </c>
      <c r="G4947" t="n">
        <v>2</v>
      </c>
      <c r="H4947" t="inlineStr">
        <is>
          <t>06 KG</t>
        </is>
      </c>
      <c r="I4947" t="n">
        <v>2031</v>
      </c>
      <c r="J4947" t="n">
        <v>2011</v>
      </c>
      <c r="K4947" t="inlineStr">
        <is>
          <t>MAYO 2026</t>
        </is>
      </c>
      <c r="L4947" t="inlineStr">
        <is>
          <t>MAYO 2027</t>
        </is>
      </c>
      <c r="M4947" t="inlineStr">
        <is>
          <t xml:space="preserve">PQS TIPO ABC AL 75% </t>
        </is>
      </c>
      <c r="N4947" t="inlineStr">
        <is>
          <t>000097</t>
        </is>
      </c>
      <c r="O4947" t="inlineStr">
        <is>
          <t>R</t>
        </is>
      </c>
      <c r="P4947">
        <f>TRIM(N4947)</f>
        <v/>
      </c>
    </row>
    <row r="4948">
      <c r="A4948" t="inlineStr">
        <is>
          <t>CO-002733</t>
        </is>
      </c>
      <c r="B4948" t="inlineStr">
        <is>
          <t>AUTOMOTORES YOSHIVAL S.A.C.</t>
        </is>
      </c>
      <c r="C4948" t="inlineStr">
        <is>
          <t>20408104638</t>
        </is>
      </c>
      <c r="D4948" t="inlineStr">
        <is>
          <t>Av. Colonial 398 JR Pacasmayo 581</t>
        </is>
      </c>
      <c r="E4948" t="inlineStr">
        <is>
          <t>Lima, 22 de mayo del 2026</t>
        </is>
      </c>
      <c r="F4948" t="inlineStr">
        <is>
          <t>la Recarga y mantenimiento</t>
        </is>
      </c>
      <c r="G4948" t="n">
        <v>3</v>
      </c>
      <c r="H4948" t="inlineStr">
        <is>
          <t>12 KG</t>
        </is>
      </c>
      <c r="I4948" t="n">
        <v>2031</v>
      </c>
      <c r="J4948" t="n">
        <v>2012</v>
      </c>
      <c r="K4948" t="inlineStr">
        <is>
          <t>MAYO 2026</t>
        </is>
      </c>
      <c r="L4948" t="inlineStr">
        <is>
          <t>MAYO 2027</t>
        </is>
      </c>
      <c r="M4948" t="inlineStr">
        <is>
          <t xml:space="preserve">PQS TIPO ABC AL 75% </t>
        </is>
      </c>
      <c r="N4948" t="inlineStr">
        <is>
          <t>000131</t>
        </is>
      </c>
      <c r="O4948" t="inlineStr">
        <is>
          <t>R</t>
        </is>
      </c>
      <c r="P4948">
        <f>TRIM(N4948)</f>
        <v/>
      </c>
    </row>
    <row r="4949">
      <c r="A4949" t="inlineStr">
        <is>
          <t>CO-002733</t>
        </is>
      </c>
      <c r="B4949" t="inlineStr">
        <is>
          <t>AUTOMOTORES YOSHIVAL S.A.C.</t>
        </is>
      </c>
      <c r="C4949" t="inlineStr">
        <is>
          <t>20408104638</t>
        </is>
      </c>
      <c r="D4949" t="inlineStr">
        <is>
          <t>Av. Colonial 398 JR Pacasmayo 581</t>
        </is>
      </c>
      <c r="E4949" t="inlineStr">
        <is>
          <t>Lima, 22 de mayo del 2026</t>
        </is>
      </c>
      <c r="F4949" t="inlineStr">
        <is>
          <t>la Recarga y mantenimiento</t>
        </is>
      </c>
      <c r="G4949" t="n">
        <v>4</v>
      </c>
      <c r="H4949" t="inlineStr">
        <is>
          <t>12 KG</t>
        </is>
      </c>
      <c r="I4949" t="n">
        <v>2031</v>
      </c>
      <c r="J4949" t="n">
        <v>2012</v>
      </c>
      <c r="K4949" t="inlineStr">
        <is>
          <t>MAYO 2026</t>
        </is>
      </c>
      <c r="L4949" t="inlineStr">
        <is>
          <t>MAYO 2027</t>
        </is>
      </c>
      <c r="M4949" t="inlineStr">
        <is>
          <t xml:space="preserve">PQS TIPO ABC AL 75% </t>
        </is>
      </c>
      <c r="N4949" t="inlineStr">
        <is>
          <t>000302</t>
        </is>
      </c>
      <c r="O4949" t="inlineStr">
        <is>
          <t>R</t>
        </is>
      </c>
      <c r="P4949">
        <f>TRIM(N4949)</f>
        <v/>
      </c>
    </row>
    <row r="4950">
      <c r="A4950" t="inlineStr">
        <is>
          <t>CO-002733</t>
        </is>
      </c>
      <c r="B4950" t="inlineStr">
        <is>
          <t>AUTOMOTORES YOSHIVAL S.A.C.</t>
        </is>
      </c>
      <c r="C4950" t="inlineStr">
        <is>
          <t>20408104638</t>
        </is>
      </c>
      <c r="D4950" t="inlineStr">
        <is>
          <t>Av. Colonial 398 JR Pacasmayo 581</t>
        </is>
      </c>
      <c r="E4950" t="inlineStr">
        <is>
          <t>Lima, 22 de mayo del 2026</t>
        </is>
      </c>
      <c r="F4950" t="inlineStr">
        <is>
          <t>la Recarga y mantenimiento</t>
        </is>
      </c>
      <c r="G4950" t="n">
        <v>5</v>
      </c>
      <c r="H4950" t="inlineStr">
        <is>
          <t>12 KG</t>
        </is>
      </c>
      <c r="I4950" t="n">
        <v>2031</v>
      </c>
      <c r="J4950" t="n">
        <v>2013</v>
      </c>
      <c r="K4950" t="inlineStr">
        <is>
          <t>MAYO 2026</t>
        </is>
      </c>
      <c r="L4950" t="inlineStr">
        <is>
          <t>MAYO 2027</t>
        </is>
      </c>
      <c r="M4950" t="inlineStr">
        <is>
          <t xml:space="preserve">PQS TIPO ABC AL 75% </t>
        </is>
      </c>
      <c r="N4950" t="inlineStr">
        <is>
          <t>000109</t>
        </is>
      </c>
      <c r="O4950" t="inlineStr">
        <is>
          <t>R</t>
        </is>
      </c>
      <c r="P4950">
        <f>TRIM(N4950)</f>
        <v/>
      </c>
    </row>
    <row r="4951">
      <c r="A4951" t="inlineStr">
        <is>
          <t>CO-002733</t>
        </is>
      </c>
      <c r="B4951" t="inlineStr">
        <is>
          <t>AUTOMOTORES YOSHIVAL S.A.C.</t>
        </is>
      </c>
      <c r="C4951" t="inlineStr">
        <is>
          <t>20408104638</t>
        </is>
      </c>
      <c r="D4951" t="inlineStr">
        <is>
          <t>Av. Colonial 398 JR Pacasmayo 581</t>
        </is>
      </c>
      <c r="E4951" t="inlineStr">
        <is>
          <t>Lima, 22 de mayo del 2026</t>
        </is>
      </c>
      <c r="F4951" t="inlineStr">
        <is>
          <t>la Recarga y mantenimiento</t>
        </is>
      </c>
      <c r="G4951" t="n">
        <v>6</v>
      </c>
      <c r="H4951" t="inlineStr">
        <is>
          <t>12 KG</t>
        </is>
      </c>
      <c r="I4951" t="n">
        <v>2031</v>
      </c>
      <c r="J4951" t="inlineStr">
        <is>
          <t>N/R</t>
        </is>
      </c>
      <c r="K4951" t="inlineStr">
        <is>
          <t>MAYO 2026</t>
        </is>
      </c>
      <c r="L4951" t="inlineStr">
        <is>
          <t>MAYO 2027</t>
        </is>
      </c>
      <c r="M4951" t="inlineStr">
        <is>
          <t xml:space="preserve">PQS TIPO ABC AL 75% </t>
        </is>
      </c>
      <c r="N4951" t="inlineStr">
        <is>
          <t>000002</t>
        </is>
      </c>
      <c r="O4951" t="inlineStr">
        <is>
          <t>R</t>
        </is>
      </c>
      <c r="P4951">
        <f>TRIM(N4951)</f>
        <v/>
      </c>
    </row>
    <row r="4952">
      <c r="A4952" t="inlineStr">
        <is>
          <t>CO-002736</t>
        </is>
      </c>
      <c r="B4952" t="inlineStr">
        <is>
          <t xml:space="preserve">PERU MASIVO SA - BUSES </t>
        </is>
      </c>
      <c r="C4952" t="inlineStr">
        <is>
          <t>20492392031</t>
        </is>
      </c>
      <c r="D4952" t="inlineStr">
        <is>
          <t>AV. LOS INCAS CDRA. 4 PATIO NORTE - COMAS</t>
        </is>
      </c>
      <c r="E4952" t="inlineStr">
        <is>
          <t>Lima, 22 de mayo del 2026</t>
        </is>
      </c>
      <c r="F4952" t="inlineStr">
        <is>
          <t>la Recarga y mantenimiento</t>
        </is>
      </c>
      <c r="G4952" t="n">
        <v>1</v>
      </c>
      <c r="H4952" t="inlineStr">
        <is>
          <t>06 KG</t>
        </is>
      </c>
      <c r="I4952" t="n">
        <v>2028</v>
      </c>
      <c r="J4952" t="n">
        <v>2010</v>
      </c>
      <c r="K4952" t="inlineStr">
        <is>
          <t>MAYO 2026</t>
        </is>
      </c>
      <c r="L4952" t="inlineStr">
        <is>
          <t>MAYO 2027</t>
        </is>
      </c>
      <c r="M4952" t="inlineStr">
        <is>
          <t>PQS/ABC AL 90%</t>
        </is>
      </c>
      <c r="N4952" t="inlineStr">
        <is>
          <t>145/000459</t>
        </is>
      </c>
      <c r="O4952" t="inlineStr">
        <is>
          <t>R</t>
        </is>
      </c>
      <c r="P4952">
        <f>TRIM(N4952)</f>
        <v/>
      </c>
    </row>
    <row r="4953">
      <c r="A4953" t="inlineStr">
        <is>
          <t>CO-002736</t>
        </is>
      </c>
      <c r="B4953" t="inlineStr">
        <is>
          <t xml:space="preserve">PERU MASIVO SA - BUSES </t>
        </is>
      </c>
      <c r="C4953" t="inlineStr">
        <is>
          <t>20492392031</t>
        </is>
      </c>
      <c r="D4953" t="inlineStr">
        <is>
          <t>AV. LOS INCAS CDRA. 4 PATIO NORTE - COMAS</t>
        </is>
      </c>
      <c r="E4953" t="inlineStr">
        <is>
          <t>Lima, 22 de mayo del 2026</t>
        </is>
      </c>
      <c r="F4953" t="inlineStr">
        <is>
          <t>la Recarga y mantenimiento</t>
        </is>
      </c>
      <c r="G4953" t="n">
        <v>2</v>
      </c>
      <c r="H4953" t="inlineStr">
        <is>
          <t>06 KG</t>
        </is>
      </c>
      <c r="I4953" t="n">
        <v>2029</v>
      </c>
      <c r="J4953" t="n">
        <v>2010</v>
      </c>
      <c r="K4953" t="inlineStr">
        <is>
          <t>MAYO 2026</t>
        </is>
      </c>
      <c r="L4953" t="inlineStr">
        <is>
          <t>MAYO 2027</t>
        </is>
      </c>
      <c r="M4953" t="inlineStr">
        <is>
          <t>PQS/ABC AL 90%</t>
        </is>
      </c>
      <c r="N4953" t="inlineStr">
        <is>
          <t>78/000854</t>
        </is>
      </c>
      <c r="O4953" t="inlineStr">
        <is>
          <t>R</t>
        </is>
      </c>
      <c r="P4953">
        <f>TRIM(N4953)</f>
        <v/>
      </c>
    </row>
    <row r="4954">
      <c r="A4954" t="inlineStr">
        <is>
          <t>CO-002736</t>
        </is>
      </c>
      <c r="B4954" t="inlineStr">
        <is>
          <t xml:space="preserve">PERU MASIVO SA - BUSES </t>
        </is>
      </c>
      <c r="C4954" t="inlineStr">
        <is>
          <t>20492392031</t>
        </is>
      </c>
      <c r="D4954" t="inlineStr">
        <is>
          <t>AV. LOS INCAS CDRA. 4 PATIO NORTE - COMAS</t>
        </is>
      </c>
      <c r="E4954" t="inlineStr">
        <is>
          <t>Lima, 22 de mayo del 2026</t>
        </is>
      </c>
      <c r="F4954" t="inlineStr">
        <is>
          <t>la Recarga y mantenimiento</t>
        </is>
      </c>
      <c r="G4954" t="n">
        <v>3</v>
      </c>
      <c r="H4954" t="inlineStr">
        <is>
          <t>06 KG</t>
        </is>
      </c>
      <c r="I4954" t="n">
        <v>2028</v>
      </c>
      <c r="J4954" t="n">
        <v>2015</v>
      </c>
      <c r="K4954" t="inlineStr">
        <is>
          <t>MAYO 2026</t>
        </is>
      </c>
      <c r="L4954" t="inlineStr">
        <is>
          <t>MAYO 2027</t>
        </is>
      </c>
      <c r="M4954" t="inlineStr">
        <is>
          <t>PQS/ABC AL 90%</t>
        </is>
      </c>
      <c r="N4954" t="inlineStr">
        <is>
          <t>19/000915</t>
        </is>
      </c>
      <c r="O4954" t="inlineStr">
        <is>
          <t>R</t>
        </is>
      </c>
      <c r="P4954">
        <f>TRIM(N4954)</f>
        <v/>
      </c>
    </row>
    <row r="4955">
      <c r="A4955" t="inlineStr">
        <is>
          <t>CO-002736</t>
        </is>
      </c>
      <c r="B4955" t="inlineStr">
        <is>
          <t xml:space="preserve">PERU MASIVO SA - BUSES </t>
        </is>
      </c>
      <c r="C4955" t="inlineStr">
        <is>
          <t>20492392031</t>
        </is>
      </c>
      <c r="D4955" t="inlineStr">
        <is>
          <t>AV. LOS INCAS CDRA. 4 PATIO NORTE - COMAS</t>
        </is>
      </c>
      <c r="E4955" t="inlineStr">
        <is>
          <t>Lima, 22 de mayo del 2026</t>
        </is>
      </c>
      <c r="F4955" t="inlineStr">
        <is>
          <t>la Recarga y mantenimiento</t>
        </is>
      </c>
      <c r="G4955" t="n">
        <v>4</v>
      </c>
      <c r="H4955" t="inlineStr">
        <is>
          <t>06 KG</t>
        </is>
      </c>
      <c r="I4955" t="n">
        <v>2028</v>
      </c>
      <c r="J4955" t="n">
        <v>2010</v>
      </c>
      <c r="K4955" t="inlineStr">
        <is>
          <t>MAYO 2026</t>
        </is>
      </c>
      <c r="L4955" t="inlineStr">
        <is>
          <t>MAYO 2027</t>
        </is>
      </c>
      <c r="M4955" t="inlineStr">
        <is>
          <t>PQS/ABC AL 90%</t>
        </is>
      </c>
      <c r="N4955" t="inlineStr">
        <is>
          <t>269/000496</t>
        </is>
      </c>
      <c r="O4955" t="inlineStr">
        <is>
          <t>R</t>
        </is>
      </c>
      <c r="P4955">
        <f>TRIM(N4955)</f>
        <v/>
      </c>
    </row>
    <row r="4956">
      <c r="A4956" t="inlineStr">
        <is>
          <t>CO-002736</t>
        </is>
      </c>
      <c r="B4956" t="inlineStr">
        <is>
          <t xml:space="preserve">PERU MASIVO SA - BUSES </t>
        </is>
      </c>
      <c r="C4956" t="inlineStr">
        <is>
          <t>20492392031</t>
        </is>
      </c>
      <c r="D4956" t="inlineStr">
        <is>
          <t>AV. LOS INCAS CDRA. 4 PATIO NORTE - COMAS</t>
        </is>
      </c>
      <c r="E4956" t="inlineStr">
        <is>
          <t>Lima, 22 de mayo del 2026</t>
        </is>
      </c>
      <c r="F4956" t="inlineStr">
        <is>
          <t>la Recarga y mantenimiento</t>
        </is>
      </c>
      <c r="G4956" t="n">
        <v>5</v>
      </c>
      <c r="H4956" t="inlineStr">
        <is>
          <t>06 KG</t>
        </is>
      </c>
      <c r="I4956" t="n">
        <v>2028</v>
      </c>
      <c r="J4956" t="n">
        <v>2009</v>
      </c>
      <c r="K4956" t="inlineStr">
        <is>
          <t>MAYO 2026</t>
        </is>
      </c>
      <c r="L4956" t="inlineStr">
        <is>
          <t>MAYO 2027</t>
        </is>
      </c>
      <c r="M4956" t="inlineStr">
        <is>
          <t>PQS/ABC AL 90%</t>
        </is>
      </c>
      <c r="N4956" t="inlineStr">
        <is>
          <t>299/001414</t>
        </is>
      </c>
      <c r="O4956" t="inlineStr">
        <is>
          <t>R</t>
        </is>
      </c>
      <c r="P4956">
        <f>TRIM(N4956)</f>
        <v/>
      </c>
    </row>
    <row r="4957">
      <c r="A4957" t="inlineStr">
        <is>
          <t>CO-002736</t>
        </is>
      </c>
      <c r="B4957" t="inlineStr">
        <is>
          <t xml:space="preserve">PERU MASIVO SA - BUSES </t>
        </is>
      </c>
      <c r="C4957" t="inlineStr">
        <is>
          <t>20492392031</t>
        </is>
      </c>
      <c r="D4957" t="inlineStr">
        <is>
          <t>AV. LOS INCAS CDRA. 4 PATIO NORTE - COMAS</t>
        </is>
      </c>
      <c r="E4957" t="inlineStr">
        <is>
          <t>Lima, 22 de mayo del 2026</t>
        </is>
      </c>
      <c r="F4957" t="inlineStr">
        <is>
          <t>la Recarga y mantenimiento</t>
        </is>
      </c>
      <c r="G4957" t="n">
        <v>6</v>
      </c>
      <c r="H4957" t="inlineStr">
        <is>
          <t>06 KG</t>
        </is>
      </c>
      <c r="I4957" t="n">
        <v>2029</v>
      </c>
      <c r="J4957" t="n">
        <v>2009</v>
      </c>
      <c r="K4957" t="inlineStr">
        <is>
          <t>MAYO 2026</t>
        </is>
      </c>
      <c r="L4957" t="inlineStr">
        <is>
          <t>MAYO 2027</t>
        </is>
      </c>
      <c r="M4957" t="inlineStr">
        <is>
          <t>PQS/ABC AL 90%</t>
        </is>
      </c>
      <c r="N4957" t="inlineStr">
        <is>
          <t>240/002499</t>
        </is>
      </c>
      <c r="O4957" t="inlineStr">
        <is>
          <t>R</t>
        </is>
      </c>
      <c r="P4957">
        <f>TRIM(N4957)</f>
        <v/>
      </c>
    </row>
    <row r="4958">
      <c r="A4958" t="inlineStr">
        <is>
          <t>CO-002736</t>
        </is>
      </c>
      <c r="B4958" t="inlineStr">
        <is>
          <t xml:space="preserve">PERU MASIVO SA - BUSES </t>
        </is>
      </c>
      <c r="C4958" t="inlineStr">
        <is>
          <t>20492392031</t>
        </is>
      </c>
      <c r="D4958" t="inlineStr">
        <is>
          <t>AV. LOS INCAS CDRA. 4 PATIO NORTE - COMAS</t>
        </is>
      </c>
      <c r="E4958" t="inlineStr">
        <is>
          <t>Lima, 22 de mayo del 2026</t>
        </is>
      </c>
      <c r="F4958" t="inlineStr">
        <is>
          <t>la Recarga y mantenimiento</t>
        </is>
      </c>
      <c r="G4958" t="n">
        <v>7</v>
      </c>
      <c r="H4958" t="inlineStr">
        <is>
          <t>06 KG</t>
        </is>
      </c>
      <c r="I4958" t="n">
        <v>2028</v>
      </c>
      <c r="J4958" t="n">
        <v>2013</v>
      </c>
      <c r="K4958" t="inlineStr">
        <is>
          <t>MAYO 2026</t>
        </is>
      </c>
      <c r="L4958" t="inlineStr">
        <is>
          <t>MAYO 2027</t>
        </is>
      </c>
      <c r="M4958" t="inlineStr">
        <is>
          <t>PQS/ABC AL 90%</t>
        </is>
      </c>
      <c r="N4958" t="inlineStr">
        <is>
          <t>132/001015</t>
        </is>
      </c>
      <c r="O4958" t="inlineStr">
        <is>
          <t>R</t>
        </is>
      </c>
      <c r="P4958">
        <f>TRIM(N4958)</f>
        <v/>
      </c>
    </row>
    <row r="4959">
      <c r="A4959" t="inlineStr">
        <is>
          <t>CO-002736</t>
        </is>
      </c>
      <c r="B4959" t="inlineStr">
        <is>
          <t xml:space="preserve">PERU MASIVO SA - BUSES </t>
        </is>
      </c>
      <c r="C4959" t="inlineStr">
        <is>
          <t>20492392031</t>
        </is>
      </c>
      <c r="D4959" t="inlineStr">
        <is>
          <t>AV. LOS INCAS CDRA. 4 PATIO NORTE - COMAS</t>
        </is>
      </c>
      <c r="E4959" t="inlineStr">
        <is>
          <t>Lima, 22 de mayo del 2026</t>
        </is>
      </c>
      <c r="F4959" t="inlineStr">
        <is>
          <t>la Recarga y mantenimiento</t>
        </is>
      </c>
      <c r="G4959" t="n">
        <v>8</v>
      </c>
      <c r="H4959" t="inlineStr">
        <is>
          <t>06 KG</t>
        </is>
      </c>
      <c r="I4959" t="n">
        <v>2028</v>
      </c>
      <c r="J4959" t="n">
        <v>2009</v>
      </c>
      <c r="K4959" t="inlineStr">
        <is>
          <t>MAYO 2026</t>
        </is>
      </c>
      <c r="L4959" t="inlineStr">
        <is>
          <t>MAYO 2027</t>
        </is>
      </c>
      <c r="M4959" t="inlineStr">
        <is>
          <t>PQS/ABC AL 90%</t>
        </is>
      </c>
      <c r="N4959" t="inlineStr">
        <is>
          <t>321/001393</t>
        </is>
      </c>
      <c r="O4959" t="inlineStr">
        <is>
          <t>R</t>
        </is>
      </c>
      <c r="P4959">
        <f>TRIM(N4959)</f>
        <v/>
      </c>
    </row>
    <row r="4960">
      <c r="A4960" t="inlineStr">
        <is>
          <t>CO-002737</t>
        </is>
      </c>
      <c r="B4960" t="inlineStr">
        <is>
          <t xml:space="preserve">PERU MASIVO SA - BUSES </t>
        </is>
      </c>
      <c r="C4960" t="inlineStr">
        <is>
          <t>20492392031</t>
        </is>
      </c>
      <c r="D4960" t="inlineStr">
        <is>
          <t>AV. LOS INCAS CDRA. 4 PATIO NORTE - COMAS</t>
        </is>
      </c>
      <c r="E4960" t="inlineStr">
        <is>
          <t>Lima, 22 de mayo del 2026</t>
        </is>
      </c>
      <c r="F4960" t="inlineStr">
        <is>
          <t>la Recarga y mantenimiento</t>
        </is>
      </c>
      <c r="G4960" t="n">
        <v>1</v>
      </c>
      <c r="H4960" t="inlineStr">
        <is>
          <t>06 KG</t>
        </is>
      </c>
      <c r="I4960" t="n">
        <v>2028</v>
      </c>
      <c r="J4960" t="n">
        <v>2010</v>
      </c>
      <c r="K4960" t="inlineStr">
        <is>
          <t>MAYO 2026</t>
        </is>
      </c>
      <c r="L4960" t="inlineStr">
        <is>
          <t>MAYO 2027</t>
        </is>
      </c>
      <c r="M4960" t="inlineStr">
        <is>
          <t>PQS/ABC AL 90% NACIONAL</t>
        </is>
      </c>
      <c r="N4960" t="inlineStr">
        <is>
          <t>253/000611</t>
        </is>
      </c>
      <c r="O4960" t="inlineStr">
        <is>
          <t>R</t>
        </is>
      </c>
      <c r="P4960">
        <f>TRIM(N4960)</f>
        <v/>
      </c>
    </row>
    <row r="4961">
      <c r="A4961" t="inlineStr">
        <is>
          <t>CO-002737</t>
        </is>
      </c>
      <c r="B4961" t="inlineStr">
        <is>
          <t xml:space="preserve">PERU MASIVO SA - BUSES </t>
        </is>
      </c>
      <c r="C4961" t="inlineStr">
        <is>
          <t>20492392031</t>
        </is>
      </c>
      <c r="D4961" t="inlineStr">
        <is>
          <t>AV. LOS INCAS CDRA. 4 PATIO NORTE - COMAS</t>
        </is>
      </c>
      <c r="E4961" t="inlineStr">
        <is>
          <t>Lima, 22 de mayo del 2026</t>
        </is>
      </c>
      <c r="F4961" t="inlineStr">
        <is>
          <t>la Recarga y mantenimiento</t>
        </is>
      </c>
      <c r="G4961" t="n">
        <v>2</v>
      </c>
      <c r="H4961" t="inlineStr">
        <is>
          <t>06 KG</t>
        </is>
      </c>
      <c r="I4961" t="n">
        <v>2029</v>
      </c>
      <c r="J4961" t="n">
        <v>2015</v>
      </c>
      <c r="K4961" t="inlineStr">
        <is>
          <t>MAYO 2026</t>
        </is>
      </c>
      <c r="L4961" t="inlineStr">
        <is>
          <t>MAYO 2027</t>
        </is>
      </c>
      <c r="M4961" t="inlineStr">
        <is>
          <t>PQS/ABC AL 90% NACIONAL</t>
        </is>
      </c>
      <c r="N4961" t="inlineStr">
        <is>
          <t>201/000609</t>
        </is>
      </c>
      <c r="O4961" t="inlineStr">
        <is>
          <t>R</t>
        </is>
      </c>
      <c r="P4961">
        <f>TRIM(N4961)</f>
        <v/>
      </c>
    </row>
    <row r="4962">
      <c r="A4962" t="inlineStr">
        <is>
          <t>CO-002737</t>
        </is>
      </c>
      <c r="B4962" t="inlineStr">
        <is>
          <t xml:space="preserve">PERU MASIVO SA - BUSES </t>
        </is>
      </c>
      <c r="C4962" t="inlineStr">
        <is>
          <t>20492392031</t>
        </is>
      </c>
      <c r="D4962" t="inlineStr">
        <is>
          <t>AV. LOS INCAS CDRA. 4 PATIO NORTE - COMAS</t>
        </is>
      </c>
      <c r="E4962" t="inlineStr">
        <is>
          <t>Lima, 22 de mayo del 2026</t>
        </is>
      </c>
      <c r="F4962" t="inlineStr">
        <is>
          <t>la Recarga y mantenimiento</t>
        </is>
      </c>
      <c r="G4962" t="n">
        <v>3</v>
      </c>
      <c r="H4962" t="inlineStr">
        <is>
          <t>06 KG</t>
        </is>
      </c>
      <c r="I4962" t="n">
        <v>2028</v>
      </c>
      <c r="J4962" t="n">
        <v>2010</v>
      </c>
      <c r="K4962" t="inlineStr">
        <is>
          <t>MAYO 2026</t>
        </is>
      </c>
      <c r="L4962" t="inlineStr">
        <is>
          <t>MAYO 2027</t>
        </is>
      </c>
      <c r="M4962" t="inlineStr">
        <is>
          <t>PQS/ABC AL 90% NACIONAL</t>
        </is>
      </c>
      <c r="N4962" t="inlineStr">
        <is>
          <t>350/001028</t>
        </is>
      </c>
      <c r="O4962" t="inlineStr">
        <is>
          <t>R</t>
        </is>
      </c>
      <c r="P4962">
        <f>TRIM(N4962)</f>
        <v/>
      </c>
    </row>
    <row r="4963">
      <c r="A4963" t="inlineStr">
        <is>
          <t>CO-002737</t>
        </is>
      </c>
      <c r="B4963" t="inlineStr">
        <is>
          <t xml:space="preserve">PERU MASIVO SA - BUSES </t>
        </is>
      </c>
      <c r="C4963" t="inlineStr">
        <is>
          <t>20492392031</t>
        </is>
      </c>
      <c r="D4963" t="inlineStr">
        <is>
          <t>AV. LOS INCAS CDRA. 4 PATIO NORTE - COMAS</t>
        </is>
      </c>
      <c r="E4963" t="inlineStr">
        <is>
          <t>Lima, 22 de mayo del 2026</t>
        </is>
      </c>
      <c r="F4963" t="inlineStr">
        <is>
          <t>la Recarga y mantenimiento</t>
        </is>
      </c>
      <c r="G4963" t="n">
        <v>4</v>
      </c>
      <c r="H4963" t="inlineStr">
        <is>
          <t>06 KG</t>
        </is>
      </c>
      <c r="I4963" t="n">
        <v>2028</v>
      </c>
      <c r="J4963" t="n">
        <v>2009</v>
      </c>
      <c r="K4963" t="inlineStr">
        <is>
          <t>MAYO 2026</t>
        </is>
      </c>
      <c r="L4963" t="inlineStr">
        <is>
          <t>MAYO 2027</t>
        </is>
      </c>
      <c r="M4963" t="inlineStr">
        <is>
          <t>PQS/ABC AL 90% NACIONAL</t>
        </is>
      </c>
      <c r="N4963" t="inlineStr">
        <is>
          <t>241/001353</t>
        </is>
      </c>
      <c r="O4963" t="inlineStr">
        <is>
          <t>R</t>
        </is>
      </c>
      <c r="P4963">
        <f>TRIM(N4963)</f>
        <v/>
      </c>
    </row>
    <row r="4964">
      <c r="A4964" t="inlineStr">
        <is>
          <t>CO-002737</t>
        </is>
      </c>
      <c r="B4964" t="inlineStr">
        <is>
          <t xml:space="preserve">PERU MASIVO SA - BUSES </t>
        </is>
      </c>
      <c r="C4964" t="inlineStr">
        <is>
          <t>20492392031</t>
        </is>
      </c>
      <c r="D4964" t="inlineStr">
        <is>
          <t>AV. LOS INCAS CDRA. 4 PATIO NORTE - COMAS</t>
        </is>
      </c>
      <c r="E4964" t="inlineStr">
        <is>
          <t>Lima, 22 de mayo del 2026</t>
        </is>
      </c>
      <c r="F4964" t="inlineStr">
        <is>
          <t>la Recarga y mantenimiento</t>
        </is>
      </c>
      <c r="G4964" t="n">
        <v>5</v>
      </c>
      <c r="H4964" t="inlineStr">
        <is>
          <t>06 KG</t>
        </is>
      </c>
      <c r="I4964" t="n">
        <v>2028</v>
      </c>
      <c r="J4964" t="n">
        <v>2019</v>
      </c>
      <c r="K4964" t="inlineStr">
        <is>
          <t>MAYO 2026</t>
        </is>
      </c>
      <c r="L4964" t="inlineStr">
        <is>
          <t>MAYO 2027</t>
        </is>
      </c>
      <c r="M4964" t="inlineStr">
        <is>
          <t>PQS/ABC AL 90% NACIONAL</t>
        </is>
      </c>
      <c r="N4964" t="inlineStr">
        <is>
          <t>389/000737</t>
        </is>
      </c>
      <c r="O4964" t="inlineStr">
        <is>
          <t>R</t>
        </is>
      </c>
      <c r="P4964">
        <f>TRIM(N4964)</f>
        <v/>
      </c>
    </row>
    <row r="4965">
      <c r="A4965" t="inlineStr">
        <is>
          <t>CO-002737</t>
        </is>
      </c>
      <c r="B4965" t="inlineStr">
        <is>
          <t xml:space="preserve">PERU MASIVO SA - BUSES </t>
        </is>
      </c>
      <c r="C4965" t="inlineStr">
        <is>
          <t>20492392031</t>
        </is>
      </c>
      <c r="D4965" t="inlineStr">
        <is>
          <t>AV. LOS INCAS CDRA. 4 PATIO NORTE - COMAS</t>
        </is>
      </c>
      <c r="E4965" t="inlineStr">
        <is>
          <t>Lima, 22 de mayo del 2026</t>
        </is>
      </c>
      <c r="F4965" t="inlineStr">
        <is>
          <t>la Recarga y mantenimiento</t>
        </is>
      </c>
      <c r="G4965" t="n">
        <v>6</v>
      </c>
      <c r="H4965" t="inlineStr">
        <is>
          <t>06 KG</t>
        </is>
      </c>
      <c r="I4965" t="n">
        <v>2028</v>
      </c>
      <c r="J4965" t="n">
        <v>2009</v>
      </c>
      <c r="K4965" t="inlineStr">
        <is>
          <t>MAYO 2026</t>
        </is>
      </c>
      <c r="L4965" t="inlineStr">
        <is>
          <t>MAYO 2027</t>
        </is>
      </c>
      <c r="M4965" t="inlineStr">
        <is>
          <t>PQS/ABC AL 90% NACIONAL</t>
        </is>
      </c>
      <c r="N4965" t="inlineStr">
        <is>
          <t>311/001700</t>
        </is>
      </c>
      <c r="O4965" t="inlineStr">
        <is>
          <t>R</t>
        </is>
      </c>
      <c r="P4965">
        <f>TRIM(N4965)</f>
        <v/>
      </c>
    </row>
    <row r="4966">
      <c r="A4966" t="inlineStr">
        <is>
          <t>CO-002737</t>
        </is>
      </c>
      <c r="B4966" t="inlineStr">
        <is>
          <t xml:space="preserve">PERU MASIVO SA - BUSES </t>
        </is>
      </c>
      <c r="C4966" t="inlineStr">
        <is>
          <t>20492392031</t>
        </is>
      </c>
      <c r="D4966" t="inlineStr">
        <is>
          <t>AV. LOS INCAS CDRA. 4 PATIO NORTE - COMAS</t>
        </is>
      </c>
      <c r="E4966" t="inlineStr">
        <is>
          <t>Lima, 22 de mayo del 2026</t>
        </is>
      </c>
      <c r="F4966" t="inlineStr">
        <is>
          <t>la Recarga y mantenimiento</t>
        </is>
      </c>
      <c r="G4966" t="n">
        <v>7</v>
      </c>
      <c r="H4966" t="inlineStr">
        <is>
          <t>06 KG</t>
        </is>
      </c>
      <c r="I4966" t="n">
        <v>2028</v>
      </c>
      <c r="J4966" t="n">
        <v>2009</v>
      </c>
      <c r="K4966" t="inlineStr">
        <is>
          <t>MAYO 2026</t>
        </is>
      </c>
      <c r="L4966" t="inlineStr">
        <is>
          <t>MAYO 2027</t>
        </is>
      </c>
      <c r="M4966" t="inlineStr">
        <is>
          <t>PQS/ABC AL 90% NACIONAL</t>
        </is>
      </c>
      <c r="N4966" t="inlineStr">
        <is>
          <t>175/000431</t>
        </is>
      </c>
      <c r="O4966" t="inlineStr">
        <is>
          <t>R</t>
        </is>
      </c>
      <c r="P4966">
        <f>TRIM(N4966)</f>
        <v/>
      </c>
    </row>
    <row r="4967">
      <c r="A4967" t="inlineStr">
        <is>
          <t>CO-002737</t>
        </is>
      </c>
      <c r="B4967" t="inlineStr">
        <is>
          <t xml:space="preserve">PERU MASIVO SA - BUSES </t>
        </is>
      </c>
      <c r="C4967" t="inlineStr">
        <is>
          <t>20492392031</t>
        </is>
      </c>
      <c r="D4967" t="inlineStr">
        <is>
          <t>AV. LOS INCAS CDRA. 4 PATIO NORTE - COMAS</t>
        </is>
      </c>
      <c r="E4967" t="inlineStr">
        <is>
          <t>Lima, 22 de mayo del 2026</t>
        </is>
      </c>
      <c r="F4967" t="inlineStr">
        <is>
          <t>la Recarga y mantenimiento</t>
        </is>
      </c>
      <c r="G4967" t="n">
        <v>8</v>
      </c>
      <c r="H4967" t="inlineStr">
        <is>
          <t>06 KG</t>
        </is>
      </c>
      <c r="I4967" t="n">
        <v>2029</v>
      </c>
      <c r="J4967" t="n">
        <v>2010</v>
      </c>
      <c r="K4967" t="inlineStr">
        <is>
          <t>MAYO 2026</t>
        </is>
      </c>
      <c r="L4967" t="inlineStr">
        <is>
          <t>MAYO 2027</t>
        </is>
      </c>
      <c r="M4967" t="inlineStr">
        <is>
          <t>PQS/ABC AL 90% NACIONAL</t>
        </is>
      </c>
      <c r="N4967" t="inlineStr">
        <is>
          <t>272/000593</t>
        </is>
      </c>
      <c r="O4967" t="inlineStr">
        <is>
          <t>R</t>
        </is>
      </c>
      <c r="P4967">
        <f>TRIM(N4967)</f>
        <v/>
      </c>
    </row>
    <row r="4968">
      <c r="A4968" t="inlineStr">
        <is>
          <t>CO-002737</t>
        </is>
      </c>
      <c r="B4968" t="inlineStr">
        <is>
          <t xml:space="preserve">PERU MASIVO SA - BUSES </t>
        </is>
      </c>
      <c r="C4968" t="inlineStr">
        <is>
          <t>20492392031</t>
        </is>
      </c>
      <c r="D4968" t="inlineStr">
        <is>
          <t>AV. LOS INCAS CDRA. 4 PATIO NORTE - COMAS</t>
        </is>
      </c>
      <c r="E4968" t="inlineStr">
        <is>
          <t>Lima, 22 de mayo del 2026</t>
        </is>
      </c>
      <c r="F4968" t="inlineStr">
        <is>
          <t>la Recarga y mantenimiento</t>
        </is>
      </c>
      <c r="G4968" t="n">
        <v>9</v>
      </c>
      <c r="H4968" t="inlineStr">
        <is>
          <t>06 KG</t>
        </is>
      </c>
      <c r="I4968" t="n">
        <v>2028</v>
      </c>
      <c r="J4968" t="n">
        <v>2010</v>
      </c>
      <c r="K4968" t="inlineStr">
        <is>
          <t>MAYO 2026</t>
        </is>
      </c>
      <c r="L4968" t="inlineStr">
        <is>
          <t>MAYO 2027</t>
        </is>
      </c>
      <c r="M4968" t="inlineStr">
        <is>
          <t>PQS/ABC AL 90% NACIONAL</t>
        </is>
      </c>
      <c r="N4968" t="inlineStr">
        <is>
          <t>286/001921</t>
        </is>
      </c>
      <c r="O4968" t="inlineStr">
        <is>
          <t>R</t>
        </is>
      </c>
      <c r="P4968">
        <f>TRIM(N4968)</f>
        <v/>
      </c>
    </row>
    <row r="4969">
      <c r="A4969" t="inlineStr">
        <is>
          <t>CO-002737</t>
        </is>
      </c>
      <c r="B4969" t="inlineStr">
        <is>
          <t xml:space="preserve">PERU MASIVO SA - BUSES </t>
        </is>
      </c>
      <c r="C4969" t="inlineStr">
        <is>
          <t>20492392031</t>
        </is>
      </c>
      <c r="D4969" t="inlineStr">
        <is>
          <t>AV. LOS INCAS CDRA. 4 PATIO NORTE - COMAS</t>
        </is>
      </c>
      <c r="E4969" t="inlineStr">
        <is>
          <t>Lima, 22 de mayo del 2026</t>
        </is>
      </c>
      <c r="F4969" t="inlineStr">
        <is>
          <t>la Recarga y mantenimiento</t>
        </is>
      </c>
      <c r="G4969" t="n">
        <v>10</v>
      </c>
      <c r="H4969" t="inlineStr">
        <is>
          <t>06 KG</t>
        </is>
      </c>
      <c r="I4969" t="n">
        <v>2028</v>
      </c>
      <c r="J4969" t="n">
        <v>2015</v>
      </c>
      <c r="K4969" t="inlineStr">
        <is>
          <t>MAYO 2026</t>
        </is>
      </c>
      <c r="L4969" t="inlineStr">
        <is>
          <t>MAYO 2027</t>
        </is>
      </c>
      <c r="M4969" t="inlineStr">
        <is>
          <t>PQS/ABC AL 90% NACIONAL</t>
        </is>
      </c>
      <c r="N4969" t="inlineStr">
        <is>
          <t>285/000853</t>
        </is>
      </c>
      <c r="O4969" t="inlineStr">
        <is>
          <t>R</t>
        </is>
      </c>
      <c r="P4969">
        <f>TRIM(N4969)</f>
        <v/>
      </c>
    </row>
    <row r="4970">
      <c r="A4970" t="inlineStr">
        <is>
          <t>CO-002737</t>
        </is>
      </c>
      <c r="B4970" t="inlineStr">
        <is>
          <t xml:space="preserve">PERU MASIVO SA - BUSES </t>
        </is>
      </c>
      <c r="C4970" t="inlineStr">
        <is>
          <t>20492392031</t>
        </is>
      </c>
      <c r="D4970" t="inlineStr">
        <is>
          <t>AV. LOS INCAS CDRA. 4 PATIO NORTE - COMAS</t>
        </is>
      </c>
      <c r="E4970" t="inlineStr">
        <is>
          <t>Lima, 22 de mayo del 2026</t>
        </is>
      </c>
      <c r="F4970" t="inlineStr">
        <is>
          <t>la Recarga y mantenimiento</t>
        </is>
      </c>
      <c r="G4970" t="n">
        <v>11</v>
      </c>
      <c r="H4970" t="inlineStr">
        <is>
          <t>06 KG</t>
        </is>
      </c>
      <c r="I4970" t="n">
        <v>2028</v>
      </c>
      <c r="J4970" t="n">
        <v>2009</v>
      </c>
      <c r="K4970" t="inlineStr">
        <is>
          <t>MAYO 2026</t>
        </is>
      </c>
      <c r="L4970" t="inlineStr">
        <is>
          <t>MAYO 2027</t>
        </is>
      </c>
      <c r="M4970" t="inlineStr">
        <is>
          <t>PQS/ABC AL 90% NACIONAL</t>
        </is>
      </c>
      <c r="N4970" t="inlineStr">
        <is>
          <t>335/001071</t>
        </is>
      </c>
      <c r="O4970" t="inlineStr">
        <is>
          <t>R</t>
        </is>
      </c>
      <c r="P4970">
        <f>TRIM(N4970)</f>
        <v/>
      </c>
    </row>
    <row r="4971">
      <c r="A4971" t="inlineStr">
        <is>
          <t>CO-002737</t>
        </is>
      </c>
      <c r="B4971" t="inlineStr">
        <is>
          <t xml:space="preserve">PERU MASIVO SA - BUSES </t>
        </is>
      </c>
      <c r="C4971" t="inlineStr">
        <is>
          <t>20492392031</t>
        </is>
      </c>
      <c r="D4971" t="inlineStr">
        <is>
          <t>AV. LOS INCAS CDRA. 4 PATIO NORTE - COMAS</t>
        </is>
      </c>
      <c r="E4971" t="inlineStr">
        <is>
          <t>Lima, 22 de mayo del 2026</t>
        </is>
      </c>
      <c r="F4971" t="inlineStr">
        <is>
          <t>la Recarga y mantenimiento</t>
        </is>
      </c>
      <c r="G4971" t="n">
        <v>12</v>
      </c>
      <c r="H4971" t="inlineStr">
        <is>
          <t>06 KG</t>
        </is>
      </c>
      <c r="I4971" t="n">
        <v>2029</v>
      </c>
      <c r="J4971" t="n">
        <v>2010</v>
      </c>
      <c r="K4971" t="inlineStr">
        <is>
          <t>MAYO 2026</t>
        </is>
      </c>
      <c r="L4971" t="inlineStr">
        <is>
          <t>MAYO 2027</t>
        </is>
      </c>
      <c r="M4971" t="inlineStr">
        <is>
          <t>PQS/ABC AL 90% NACIONAL</t>
        </is>
      </c>
      <c r="N4971" t="inlineStr">
        <is>
          <t>346/006495</t>
        </is>
      </c>
      <c r="O4971" t="inlineStr">
        <is>
          <t>R</t>
        </is>
      </c>
      <c r="P4971">
        <f>TRIM(N4971)</f>
        <v/>
      </c>
    </row>
    <row r="4972">
      <c r="A4972" t="inlineStr">
        <is>
          <t>CO-002737</t>
        </is>
      </c>
      <c r="B4972" t="inlineStr">
        <is>
          <t xml:space="preserve">PERU MASIVO SA - BUSES </t>
        </is>
      </c>
      <c r="C4972" t="inlineStr">
        <is>
          <t>20492392031</t>
        </is>
      </c>
      <c r="D4972" t="inlineStr">
        <is>
          <t>AV. LOS INCAS CDRA. 4 PATIO NORTE - COMAS</t>
        </is>
      </c>
      <c r="E4972" t="inlineStr">
        <is>
          <t>Lima, 22 de mayo del 2026</t>
        </is>
      </c>
      <c r="F4972" t="inlineStr">
        <is>
          <t>la Recarga y mantenimiento</t>
        </is>
      </c>
      <c r="G4972" t="n">
        <v>13</v>
      </c>
      <c r="H4972" t="inlineStr">
        <is>
          <t>06 KG</t>
        </is>
      </c>
      <c r="I4972" t="n">
        <v>2029</v>
      </c>
      <c r="J4972" t="n">
        <v>2024</v>
      </c>
      <c r="K4972" t="inlineStr">
        <is>
          <t>MAYO 2026</t>
        </is>
      </c>
      <c r="L4972" t="inlineStr">
        <is>
          <t>MAYO 2027</t>
        </is>
      </c>
      <c r="M4972" t="inlineStr">
        <is>
          <t>PQS/ABC AL 90% NACIONAL</t>
        </is>
      </c>
      <c r="N4972" t="inlineStr">
        <is>
          <t>143/003851</t>
        </is>
      </c>
      <c r="O4972" t="inlineStr">
        <is>
          <t>R</t>
        </is>
      </c>
      <c r="P4972">
        <f>TRIM(N4972)</f>
        <v/>
      </c>
    </row>
    <row r="4973">
      <c r="A4973" t="inlineStr">
        <is>
          <t>CO-002738</t>
        </is>
      </c>
      <c r="B4973" t="inlineStr">
        <is>
          <t>CABLEMASTER COMUNICACIONES SAC</t>
        </is>
      </c>
      <c r="C4973" t="n">
        <v>20508871385</v>
      </c>
      <c r="D4973" t="inlineStr">
        <is>
          <t xml:space="preserve">HUB SAN GABRIEL </t>
        </is>
      </c>
      <c r="E4973" t="inlineStr">
        <is>
          <t>Lima, 25 de mayo del 2026</t>
        </is>
      </c>
      <c r="F4973" t="inlineStr">
        <is>
          <t>la Recarga y mantenimiento</t>
        </is>
      </c>
      <c r="G4973" t="n">
        <v>1</v>
      </c>
      <c r="H4973" t="inlineStr">
        <is>
          <t>05 LBS</t>
        </is>
      </c>
      <c r="I4973" t="n">
        <v>2031</v>
      </c>
      <c r="J4973" t="n">
        <v>2012</v>
      </c>
      <c r="K4973" t="inlineStr">
        <is>
          <t>MAYO 2026</t>
        </is>
      </c>
      <c r="L4973" t="inlineStr">
        <is>
          <t>MAYO 2027</t>
        </is>
      </c>
      <c r="M4973" t="inlineStr">
        <is>
          <t xml:space="preserve">CO2 TIPO BC </t>
        </is>
      </c>
      <c r="N4973" t="inlineStr">
        <is>
          <t>000134</t>
        </is>
      </c>
      <c r="O4973" t="inlineStr">
        <is>
          <t>R</t>
        </is>
      </c>
      <c r="P4973">
        <f>TRIM(N4973)</f>
        <v/>
      </c>
    </row>
    <row r="4974">
      <c r="A4974" t="inlineStr">
        <is>
          <t>CO-002739</t>
        </is>
      </c>
      <c r="B4974" t="inlineStr">
        <is>
          <t>CABLEMASTER COMUNICACIONES SAC</t>
        </is>
      </c>
      <c r="C4974" t="n">
        <v>20508871385</v>
      </c>
      <c r="D4974" t="inlineStr">
        <is>
          <t>HUB PAMPLONA</t>
        </is>
      </c>
      <c r="E4974" t="inlineStr">
        <is>
          <t>Lima, 25 de mayo del 2026</t>
        </is>
      </c>
      <c r="F4974" t="inlineStr">
        <is>
          <t>la Recarga y mantenimiento</t>
        </is>
      </c>
      <c r="G4974" t="n">
        <v>1</v>
      </c>
      <c r="H4974" t="inlineStr">
        <is>
          <t>05 LBS</t>
        </is>
      </c>
      <c r="I4974" t="n">
        <v>2027</v>
      </c>
      <c r="J4974" t="n">
        <v>2022</v>
      </c>
      <c r="K4974" t="inlineStr">
        <is>
          <t>MAYO 2026</t>
        </is>
      </c>
      <c r="L4974" t="inlineStr">
        <is>
          <t>MAYO 2027</t>
        </is>
      </c>
      <c r="M4974" t="inlineStr">
        <is>
          <t xml:space="preserve">CO2 TIPO BC </t>
        </is>
      </c>
      <c r="N4974" t="inlineStr">
        <is>
          <t>000086</t>
        </is>
      </c>
      <c r="O4974" t="inlineStr">
        <is>
          <t>R</t>
        </is>
      </c>
      <c r="P4974">
        <f>TRIM(N4974)</f>
        <v/>
      </c>
    </row>
    <row r="4975">
      <c r="A4975" t="inlineStr">
        <is>
          <t>CO-002740</t>
        </is>
      </c>
      <c r="B4975" t="inlineStr">
        <is>
          <t>CABLEMASTER COMUNICACIONES SAC</t>
        </is>
      </c>
      <c r="C4975" t="n">
        <v>20508871385</v>
      </c>
      <c r="D4975" t="inlineStr">
        <is>
          <t>HUB TABLADA</t>
        </is>
      </c>
      <c r="E4975" t="inlineStr">
        <is>
          <t>Lima, 25 de mayo del 2026</t>
        </is>
      </c>
      <c r="F4975" t="inlineStr">
        <is>
          <t>la Recarga y mantenimiento</t>
        </is>
      </c>
      <c r="G4975" t="n">
        <v>1</v>
      </c>
      <c r="H4975" t="inlineStr">
        <is>
          <t>05 LBS</t>
        </is>
      </c>
      <c r="I4975" t="n">
        <v>2027</v>
      </c>
      <c r="J4975" t="n">
        <v>2022</v>
      </c>
      <c r="K4975" t="inlineStr">
        <is>
          <t>MAYO 2026</t>
        </is>
      </c>
      <c r="L4975" t="inlineStr">
        <is>
          <t>MAYO 2027</t>
        </is>
      </c>
      <c r="M4975" t="inlineStr">
        <is>
          <t xml:space="preserve">CO2 TIPO BC </t>
        </is>
      </c>
      <c r="N4975" t="inlineStr">
        <is>
          <t>000226</t>
        </is>
      </c>
      <c r="O4975" t="inlineStr">
        <is>
          <t>R</t>
        </is>
      </c>
      <c r="P4975">
        <f>TRIM(N4975)</f>
        <v/>
      </c>
    </row>
    <row r="4976">
      <c r="A4976" t="inlineStr">
        <is>
          <t>CO-002741</t>
        </is>
      </c>
      <c r="B4976" t="inlineStr">
        <is>
          <t>CABLEMASTER COMUNICACIONES SAC</t>
        </is>
      </c>
      <c r="C4976" t="n">
        <v>20508871385</v>
      </c>
      <c r="D4976" t="inlineStr">
        <is>
          <t>HUB JOSE GALVEZ</t>
        </is>
      </c>
      <c r="E4976" t="inlineStr">
        <is>
          <t>Lima, 25 de mayo del 2026</t>
        </is>
      </c>
      <c r="F4976" t="inlineStr">
        <is>
          <t>la Recarga y mantenimiento</t>
        </is>
      </c>
      <c r="G4976" t="n">
        <v>1</v>
      </c>
      <c r="H4976" t="inlineStr">
        <is>
          <t>05 LBS</t>
        </is>
      </c>
      <c r="I4976" t="n">
        <v>2027</v>
      </c>
      <c r="J4976" t="n">
        <v>2022</v>
      </c>
      <c r="K4976" t="inlineStr">
        <is>
          <t>MAYO 2026</t>
        </is>
      </c>
      <c r="L4976" t="inlineStr">
        <is>
          <t>MAYO 2027</t>
        </is>
      </c>
      <c r="M4976" t="inlineStr">
        <is>
          <t xml:space="preserve">CO2 TIPO BC </t>
        </is>
      </c>
      <c r="N4976" t="inlineStr">
        <is>
          <t>000176</t>
        </is>
      </c>
      <c r="O4976" t="inlineStr">
        <is>
          <t>R</t>
        </is>
      </c>
      <c r="P4976">
        <f>TRIM(N4976)</f>
        <v/>
      </c>
    </row>
    <row r="4977">
      <c r="A4977" t="inlineStr">
        <is>
          <t>CO-002742</t>
        </is>
      </c>
      <c r="B4977" t="inlineStr">
        <is>
          <t>ECONOCABLE MEDIA SAC</t>
        </is>
      </c>
      <c r="C4977" t="n">
        <v>20508720255</v>
      </c>
      <c r="D4977" t="inlineStr">
        <is>
          <t>OFICINA HUAYLAS</t>
        </is>
      </c>
      <c r="E4977" t="inlineStr">
        <is>
          <t>Lima, 25 de mayo del 2026</t>
        </is>
      </c>
      <c r="F4977" t="inlineStr">
        <is>
          <t>la Recarga y mantenimiento</t>
        </is>
      </c>
      <c r="G4977" t="n">
        <v>1</v>
      </c>
      <c r="H4977" t="inlineStr">
        <is>
          <t>06 KG</t>
        </is>
      </c>
      <c r="I4977" t="n">
        <v>2027</v>
      </c>
      <c r="J4977" t="n">
        <v>2012</v>
      </c>
      <c r="K4977" t="inlineStr">
        <is>
          <t>MAYO 2026</t>
        </is>
      </c>
      <c r="L4977" t="inlineStr">
        <is>
          <t>MAYO 2027</t>
        </is>
      </c>
      <c r="M4977" t="inlineStr">
        <is>
          <t>PQS/ABC AL 75%</t>
        </is>
      </c>
      <c r="N4977" t="inlineStr">
        <is>
          <t>000281</t>
        </is>
      </c>
      <c r="O4977" t="inlineStr">
        <is>
          <t>R</t>
        </is>
      </c>
      <c r="P4977">
        <f>TRIM(N4977)</f>
        <v/>
      </c>
    </row>
    <row r="4978">
      <c r="A4978" t="inlineStr">
        <is>
          <t>CO-002742</t>
        </is>
      </c>
      <c r="B4978" t="inlineStr">
        <is>
          <t>ECONOCABLE MEDIA SAC</t>
        </is>
      </c>
      <c r="C4978" t="n">
        <v>20508720255</v>
      </c>
      <c r="D4978" t="inlineStr">
        <is>
          <t>OFICINA HUAYLAS</t>
        </is>
      </c>
      <c r="E4978" t="inlineStr">
        <is>
          <t>Lima, 25 de mayo del 2026</t>
        </is>
      </c>
      <c r="F4978" t="inlineStr">
        <is>
          <t>la Recarga y mantenimiento</t>
        </is>
      </c>
      <c r="G4978" t="n">
        <v>2</v>
      </c>
      <c r="H4978" t="inlineStr">
        <is>
          <t>06 KG</t>
        </is>
      </c>
      <c r="I4978" t="n">
        <v>2027</v>
      </c>
      <c r="J4978" t="n">
        <v>2012</v>
      </c>
      <c r="K4978" t="inlineStr">
        <is>
          <t>MAYO 2026</t>
        </is>
      </c>
      <c r="L4978" t="inlineStr">
        <is>
          <t>MAYO 2027</t>
        </is>
      </c>
      <c r="M4978" t="inlineStr">
        <is>
          <t>PQS/ABC AL 75%</t>
        </is>
      </c>
      <c r="N4978" t="inlineStr">
        <is>
          <t>001359</t>
        </is>
      </c>
      <c r="O4978" t="inlineStr">
        <is>
          <t>R</t>
        </is>
      </c>
      <c r="P4978">
        <f>TRIM(N4978)</f>
        <v/>
      </c>
    </row>
    <row r="4979">
      <c r="A4979" t="inlineStr">
        <is>
          <t>CO-002743</t>
        </is>
      </c>
      <c r="B4979" t="inlineStr">
        <is>
          <t>ECONOCABLE MEDIA SAC</t>
        </is>
      </c>
      <c r="C4979" t="n">
        <v>20508720255</v>
      </c>
      <c r="D4979" t="inlineStr">
        <is>
          <t>HUB AMERICA</t>
        </is>
      </c>
      <c r="E4979" t="inlineStr">
        <is>
          <t>Lima, 25 de mayo del 2026</t>
        </is>
      </c>
      <c r="F4979" t="inlineStr">
        <is>
          <t>la Recarga y mantenimiento</t>
        </is>
      </c>
      <c r="G4979" t="n">
        <v>1</v>
      </c>
      <c r="H4979" t="inlineStr">
        <is>
          <t>05 LBS</t>
        </is>
      </c>
      <c r="I4979" t="n">
        <v>2027</v>
      </c>
      <c r="J4979" t="n">
        <v>2022</v>
      </c>
      <c r="K4979" t="inlineStr">
        <is>
          <t>MAYO 2026</t>
        </is>
      </c>
      <c r="L4979" t="inlineStr">
        <is>
          <t>MAYO 2027</t>
        </is>
      </c>
      <c r="M4979" t="inlineStr">
        <is>
          <t xml:space="preserve">CO2 TIPO BC </t>
        </is>
      </c>
      <c r="N4979" t="inlineStr">
        <is>
          <t>000035</t>
        </is>
      </c>
      <c r="P4979">
        <f>TRIM(N4979)</f>
        <v/>
      </c>
    </row>
    <row r="4980">
      <c r="A4980" t="inlineStr">
        <is>
          <t>CO-002745</t>
        </is>
      </c>
      <c r="B4980" t="inlineStr">
        <is>
          <t>BRITISH AMERICAN HOSPITAL S.A. - CLINICA ANGLOAMERICANA</t>
        </is>
      </c>
      <c r="C4980" t="inlineStr">
        <is>
          <t>20107695584</t>
        </is>
      </c>
      <c r="D4980" t="inlineStr">
        <is>
          <t xml:space="preserve">AV. LA FONTANA 362 - LA MOLINA </t>
        </is>
      </c>
      <c r="E4980" t="inlineStr">
        <is>
          <t>Lima, 17 de mayo del 2026</t>
        </is>
      </c>
      <c r="F4980" t="inlineStr">
        <is>
          <t>la Recarga y mantenimiento</t>
        </is>
      </c>
      <c r="G4980" t="inlineStr">
        <is>
          <t>01</t>
        </is>
      </c>
      <c r="H4980" t="inlineStr">
        <is>
          <t>06 KG</t>
        </is>
      </c>
      <c r="I4980" t="n">
        <v>2031</v>
      </c>
      <c r="J4980" t="n">
        <v>2026</v>
      </c>
      <c r="K4980" t="inlineStr">
        <is>
          <t>MAYO 2026</t>
        </is>
      </c>
      <c r="L4980" t="inlineStr">
        <is>
          <t>MAYO 2027</t>
        </is>
      </c>
      <c r="M4980" t="inlineStr">
        <is>
          <t xml:space="preserve">PQS TIPO ABC AL 75% </t>
        </is>
      </c>
      <c r="N4980" t="inlineStr">
        <is>
          <t>E-013/035525</t>
        </is>
      </c>
      <c r="O4980" t="inlineStr">
        <is>
          <t>R</t>
        </is>
      </c>
      <c r="P4980">
        <f>TRIM(N4980)</f>
        <v/>
      </c>
    </row>
    <row r="4981">
      <c r="A4981" t="inlineStr">
        <is>
          <t>CO-002746</t>
        </is>
      </c>
      <c r="B4981" t="inlineStr">
        <is>
          <t>VELOA GROUP E.I.R.L.</t>
        </is>
      </c>
      <c r="C4981" t="n">
        <v>20615611957</v>
      </c>
      <c r="D4981" t="inlineStr">
        <is>
          <t>RESIDENCIAL LOS PORTALES DE CARABAYLLO MZ A1 LT 20A</t>
        </is>
      </c>
      <c r="E4981" t="inlineStr">
        <is>
          <t>Lima, 26 de mayo del 2026</t>
        </is>
      </c>
      <c r="F4981" t="inlineStr">
        <is>
          <t>la Recarga y mantenimiento</t>
        </is>
      </c>
      <c r="G4981" t="n">
        <v>1</v>
      </c>
      <c r="H4981" t="inlineStr">
        <is>
          <t>06 KG</t>
        </is>
      </c>
      <c r="I4981" t="n">
        <v>2031</v>
      </c>
      <c r="J4981" t="n">
        <v>2018</v>
      </c>
      <c r="K4981" t="inlineStr">
        <is>
          <t>MAYO 2026</t>
        </is>
      </c>
      <c r="L4981" t="inlineStr">
        <is>
          <t>MAYO 2027</t>
        </is>
      </c>
      <c r="M4981" t="inlineStr">
        <is>
          <t xml:space="preserve">PQS TIPO ABC AL 75% </t>
        </is>
      </c>
      <c r="N4981" t="inlineStr">
        <is>
          <t>01/002771</t>
        </is>
      </c>
      <c r="O4981" t="inlineStr">
        <is>
          <t>R</t>
        </is>
      </c>
      <c r="P4981">
        <f>TRIM(N4981)</f>
        <v/>
      </c>
    </row>
    <row r="4982">
      <c r="A4982" t="inlineStr">
        <is>
          <t>CO-002746</t>
        </is>
      </c>
      <c r="B4982" t="inlineStr">
        <is>
          <t>VELOA GROUP E.I.R.L.</t>
        </is>
      </c>
      <c r="C4982" t="n">
        <v>20615611957</v>
      </c>
      <c r="D4982" t="inlineStr">
        <is>
          <t>RESIDENCIAL LOS PORTALES DE CARABAYLLO MZ A1 LT 20A</t>
        </is>
      </c>
      <c r="E4982" t="inlineStr">
        <is>
          <t>Lima, 26 de mayo del 2026</t>
        </is>
      </c>
      <c r="F4982" t="inlineStr">
        <is>
          <t>la Recarga y mantenimiento</t>
        </is>
      </c>
      <c r="G4982" t="n">
        <v>2</v>
      </c>
      <c r="H4982" t="inlineStr">
        <is>
          <t>06 KG</t>
        </is>
      </c>
      <c r="I4982" t="n">
        <v>2027</v>
      </c>
      <c r="J4982" t="n">
        <v>2017</v>
      </c>
      <c r="K4982" t="inlineStr">
        <is>
          <t>MAYO 2026</t>
        </is>
      </c>
      <c r="L4982" t="inlineStr">
        <is>
          <t>MAYO 2027</t>
        </is>
      </c>
      <c r="M4982" t="inlineStr">
        <is>
          <t xml:space="preserve">PQS TIPO ABC AL 75% </t>
        </is>
      </c>
      <c r="N4982" t="inlineStr">
        <is>
          <t>02/003863</t>
        </is>
      </c>
      <c r="O4982" t="inlineStr">
        <is>
          <t>R</t>
        </is>
      </c>
      <c r="P4982">
        <f>TRIM(N4982)</f>
        <v/>
      </c>
    </row>
    <row r="4983">
      <c r="A4983" t="inlineStr">
        <is>
          <t>CO-002747</t>
        </is>
      </c>
      <c r="B4983" t="inlineStr">
        <is>
          <t>LUROUS CONFECCIONES S.A.C</t>
        </is>
      </c>
      <c r="C4983" t="n">
        <v>20613710699</v>
      </c>
      <c r="D4983" t="inlineStr">
        <is>
          <t>RESIDENCIAL LOS PORTALES DE CARABAYLLO MZ A1 LT 20A</t>
        </is>
      </c>
      <c r="E4983" t="inlineStr">
        <is>
          <t>Lima, 26 de mayo del 2026</t>
        </is>
      </c>
      <c r="F4983" t="inlineStr">
        <is>
          <t>la Recarga y mantenimiento</t>
        </is>
      </c>
      <c r="G4983" t="n">
        <v>1</v>
      </c>
      <c r="H4983" t="inlineStr">
        <is>
          <t>06 KG</t>
        </is>
      </c>
      <c r="I4983" t="n">
        <v>2028</v>
      </c>
      <c r="J4983" t="n">
        <v>2032</v>
      </c>
      <c r="K4983" t="inlineStr">
        <is>
          <t>MAYO 2026</t>
        </is>
      </c>
      <c r="L4983" t="inlineStr">
        <is>
          <t>MAYO 2027</t>
        </is>
      </c>
      <c r="M4983" t="inlineStr">
        <is>
          <t xml:space="preserve">PQS TIPO ABC AL 75% </t>
        </is>
      </c>
      <c r="N4983" t="inlineStr">
        <is>
          <t>01/088015</t>
        </is>
      </c>
      <c r="O4983" t="inlineStr">
        <is>
          <t>R</t>
        </is>
      </c>
      <c r="P4983">
        <f>TRIM(N4983)</f>
        <v/>
      </c>
    </row>
    <row r="4984">
      <c r="A4984" t="inlineStr">
        <is>
          <t>CO-002748</t>
        </is>
      </c>
      <c r="B4984" t="inlineStr">
        <is>
          <t xml:space="preserve">PERU MASIVO SA - BUSES </t>
        </is>
      </c>
      <c r="C4984" t="inlineStr">
        <is>
          <t>20492392031</t>
        </is>
      </c>
      <c r="D4984" t="inlineStr">
        <is>
          <t>AV. LOS INCAS CDRA. 4 PATIO NORTE - COMAS</t>
        </is>
      </c>
      <c r="E4984" t="inlineStr">
        <is>
          <t>Lima, 29 de mayo del 2026</t>
        </is>
      </c>
      <c r="F4984" t="inlineStr">
        <is>
          <t>la Recarga y mantenimiento</t>
        </is>
      </c>
      <c r="G4984" t="n">
        <v>1</v>
      </c>
      <c r="H4984" t="inlineStr">
        <is>
          <t>06 KG</t>
        </is>
      </c>
      <c r="I4984" t="n">
        <v>2028</v>
      </c>
      <c r="J4984" t="n">
        <v>2014</v>
      </c>
      <c r="K4984" t="inlineStr">
        <is>
          <t>MAYO 2026</t>
        </is>
      </c>
      <c r="L4984" t="inlineStr">
        <is>
          <t>MAYO 2027</t>
        </is>
      </c>
      <c r="M4984" t="inlineStr">
        <is>
          <t>PQS/ABC AL 90% NACIONAL</t>
        </is>
      </c>
      <c r="N4984" t="inlineStr">
        <is>
          <t>338/000098</t>
        </is>
      </c>
      <c r="O4984" t="inlineStr">
        <is>
          <t>R</t>
        </is>
      </c>
      <c r="P4984">
        <f>TRIM(N4984)</f>
        <v/>
      </c>
    </row>
    <row r="4985">
      <c r="A4985" t="inlineStr">
        <is>
          <t>CO-002748</t>
        </is>
      </c>
      <c r="B4985" t="inlineStr">
        <is>
          <t xml:space="preserve">PERU MASIVO SA - BUSES </t>
        </is>
      </c>
      <c r="C4985" t="inlineStr">
        <is>
          <t>20492392031</t>
        </is>
      </c>
      <c r="D4985" t="inlineStr">
        <is>
          <t>AV. LOS INCAS CDRA. 4 PATIO NORTE - COMAS</t>
        </is>
      </c>
      <c r="E4985" t="inlineStr">
        <is>
          <t>Lima, 29 de mayo del 2026</t>
        </is>
      </c>
      <c r="F4985" t="inlineStr">
        <is>
          <t>la Recarga y mantenimiento</t>
        </is>
      </c>
      <c r="G4985" t="n">
        <v>2</v>
      </c>
      <c r="H4985" t="inlineStr">
        <is>
          <t>06 KG</t>
        </is>
      </c>
      <c r="I4985" t="n">
        <v>2028</v>
      </c>
      <c r="J4985" t="n">
        <v>2010</v>
      </c>
      <c r="K4985" t="inlineStr">
        <is>
          <t>MAYO 2026</t>
        </is>
      </c>
      <c r="L4985" t="inlineStr">
        <is>
          <t>MAYO 2027</t>
        </is>
      </c>
      <c r="M4985" t="inlineStr">
        <is>
          <t>PQS/ABC AL 90% NACIONAL</t>
        </is>
      </c>
      <c r="N4985" t="inlineStr">
        <is>
          <t>383/001109</t>
        </is>
      </c>
      <c r="O4985" t="inlineStr">
        <is>
          <t>R</t>
        </is>
      </c>
      <c r="P4985">
        <f>TRIM(N4985)</f>
        <v/>
      </c>
    </row>
    <row r="4986">
      <c r="A4986" t="inlineStr">
        <is>
          <t>CO-002748</t>
        </is>
      </c>
      <c r="B4986" t="inlineStr">
        <is>
          <t xml:space="preserve">PERU MASIVO SA - BUSES </t>
        </is>
      </c>
      <c r="C4986" t="inlineStr">
        <is>
          <t>20492392031</t>
        </is>
      </c>
      <c r="D4986" t="inlineStr">
        <is>
          <t>AV. LOS INCAS CDRA. 4 PATIO NORTE - COMAS</t>
        </is>
      </c>
      <c r="E4986" t="inlineStr">
        <is>
          <t>Lima, 29 de mayo del 2026</t>
        </is>
      </c>
      <c r="F4986" t="inlineStr">
        <is>
          <t>la Recarga y mantenimiento</t>
        </is>
      </c>
      <c r="G4986" t="n">
        <v>3</v>
      </c>
      <c r="H4986" t="inlineStr">
        <is>
          <t>06 KG</t>
        </is>
      </c>
      <c r="I4986" t="n">
        <v>2028</v>
      </c>
      <c r="J4986" t="n">
        <v>2010</v>
      </c>
      <c r="K4986" t="inlineStr">
        <is>
          <t>MAYO 2026</t>
        </is>
      </c>
      <c r="L4986" t="inlineStr">
        <is>
          <t>MAYO 2027</t>
        </is>
      </c>
      <c r="M4986" t="inlineStr">
        <is>
          <t>PQS/ABC AL 90% NACIONAL</t>
        </is>
      </c>
      <c r="N4986" t="inlineStr">
        <is>
          <t>48/000077</t>
        </is>
      </c>
      <c r="O4986" t="inlineStr">
        <is>
          <t>R</t>
        </is>
      </c>
      <c r="P4986">
        <f>TRIM(N4986)</f>
        <v/>
      </c>
    </row>
    <row r="4987">
      <c r="A4987" t="inlineStr">
        <is>
          <t>CO-002748</t>
        </is>
      </c>
      <c r="B4987" t="inlineStr">
        <is>
          <t xml:space="preserve">PERU MASIVO SA - BUSES </t>
        </is>
      </c>
      <c r="C4987" t="inlineStr">
        <is>
          <t>20492392031</t>
        </is>
      </c>
      <c r="D4987" t="inlineStr">
        <is>
          <t>AV. LOS INCAS CDRA. 4 PATIO NORTE - COMAS</t>
        </is>
      </c>
      <c r="E4987" t="inlineStr">
        <is>
          <t>Lima, 29 de mayo del 2026</t>
        </is>
      </c>
      <c r="F4987" t="inlineStr">
        <is>
          <t>la Recarga y mantenimiento</t>
        </is>
      </c>
      <c r="G4987" t="n">
        <v>4</v>
      </c>
      <c r="H4987" t="inlineStr">
        <is>
          <t>06 KG</t>
        </is>
      </c>
      <c r="I4987" t="n">
        <v>2031</v>
      </c>
      <c r="J4987" t="n">
        <v>2021</v>
      </c>
      <c r="K4987" t="inlineStr">
        <is>
          <t>MAYO 2026</t>
        </is>
      </c>
      <c r="L4987" t="inlineStr">
        <is>
          <t>MAYO 2027</t>
        </is>
      </c>
      <c r="M4987" t="inlineStr">
        <is>
          <t>PQS/ABC AL 90% NACIONAL</t>
        </is>
      </c>
      <c r="N4987" t="inlineStr">
        <is>
          <t>149/009608</t>
        </is>
      </c>
      <c r="O4987" t="inlineStr">
        <is>
          <t>R</t>
        </is>
      </c>
      <c r="P4987">
        <f>TRIM(N4987)</f>
        <v/>
      </c>
    </row>
    <row r="4988">
      <c r="A4988" t="inlineStr">
        <is>
          <t>CO-002748</t>
        </is>
      </c>
      <c r="B4988" t="inlineStr">
        <is>
          <t xml:space="preserve">PERU MASIVO SA - BUSES </t>
        </is>
      </c>
      <c r="C4988" t="inlineStr">
        <is>
          <t>20492392031</t>
        </is>
      </c>
      <c r="D4988" t="inlineStr">
        <is>
          <t>AV. LOS INCAS CDRA. 4 PATIO NORTE - COMAS</t>
        </is>
      </c>
      <c r="E4988" t="inlineStr">
        <is>
          <t>Lima, 29 de mayo del 2026</t>
        </is>
      </c>
      <c r="F4988" t="inlineStr">
        <is>
          <t>la Recarga y mantenimiento</t>
        </is>
      </c>
      <c r="G4988" t="n">
        <v>5</v>
      </c>
      <c r="H4988" t="inlineStr">
        <is>
          <t>06 KG</t>
        </is>
      </c>
      <c r="I4988" t="n">
        <v>2028</v>
      </c>
      <c r="J4988" t="n">
        <v>2010</v>
      </c>
      <c r="K4988" t="inlineStr">
        <is>
          <t>MAYO 2026</t>
        </is>
      </c>
      <c r="L4988" t="inlineStr">
        <is>
          <t>MAYO 2027</t>
        </is>
      </c>
      <c r="M4988" t="inlineStr">
        <is>
          <t>PQS/ABC AL 90% NACIONAL</t>
        </is>
      </c>
      <c r="N4988" t="inlineStr">
        <is>
          <t>243/000409</t>
        </is>
      </c>
      <c r="O4988" t="inlineStr">
        <is>
          <t>R</t>
        </is>
      </c>
      <c r="P4988">
        <f>TRIM(N4988)</f>
        <v/>
      </c>
    </row>
    <row r="4989">
      <c r="A4989" t="inlineStr">
        <is>
          <t>CO-002748</t>
        </is>
      </c>
      <c r="B4989" t="inlineStr">
        <is>
          <t xml:space="preserve">PERU MASIVO SA - BUSES </t>
        </is>
      </c>
      <c r="C4989" t="inlineStr">
        <is>
          <t>20492392031</t>
        </is>
      </c>
      <c r="D4989" t="inlineStr">
        <is>
          <t>AV. LOS INCAS CDRA. 4 PATIO NORTE - COMAS</t>
        </is>
      </c>
      <c r="E4989" t="inlineStr">
        <is>
          <t>Lima, 29 de mayo del 2026</t>
        </is>
      </c>
      <c r="F4989" t="inlineStr">
        <is>
          <t>la Recarga y mantenimiento</t>
        </is>
      </c>
      <c r="G4989" t="n">
        <v>6</v>
      </c>
      <c r="H4989" t="inlineStr">
        <is>
          <t>06 KG</t>
        </is>
      </c>
      <c r="I4989" t="n">
        <v>2031</v>
      </c>
      <c r="J4989" t="n">
        <v>2021</v>
      </c>
      <c r="K4989" t="inlineStr">
        <is>
          <t>MAYO 2026</t>
        </is>
      </c>
      <c r="L4989" t="inlineStr">
        <is>
          <t>MAYO 2027</t>
        </is>
      </c>
      <c r="M4989" t="inlineStr">
        <is>
          <t>PQS/ABC AL 90% NACIONAL</t>
        </is>
      </c>
      <c r="N4989" t="inlineStr">
        <is>
          <t>63/002071</t>
        </is>
      </c>
      <c r="O4989" t="inlineStr">
        <is>
          <t>R</t>
        </is>
      </c>
      <c r="P4989">
        <f>TRIM(N4989)</f>
        <v/>
      </c>
    </row>
    <row r="4990">
      <c r="A4990" t="inlineStr">
        <is>
          <t>CO-002748</t>
        </is>
      </c>
      <c r="B4990" t="inlineStr">
        <is>
          <t xml:space="preserve">PERU MASIVO SA - BUSES </t>
        </is>
      </c>
      <c r="C4990" t="inlineStr">
        <is>
          <t>20492392031</t>
        </is>
      </c>
      <c r="D4990" t="inlineStr">
        <is>
          <t>AV. LOS INCAS CDRA. 4 PATIO NORTE - COMAS</t>
        </is>
      </c>
      <c r="E4990" t="inlineStr">
        <is>
          <t>Lima, 29 de mayo del 2026</t>
        </is>
      </c>
      <c r="F4990" t="inlineStr">
        <is>
          <t>la Recarga y mantenimiento</t>
        </is>
      </c>
      <c r="G4990" t="n">
        <v>7</v>
      </c>
      <c r="H4990" t="inlineStr">
        <is>
          <t>06 KG</t>
        </is>
      </c>
      <c r="I4990" t="n">
        <v>2028</v>
      </c>
      <c r="J4990" t="n">
        <v>2010</v>
      </c>
      <c r="K4990" t="inlineStr">
        <is>
          <t>MAYO 2026</t>
        </is>
      </c>
      <c r="L4990" t="inlineStr">
        <is>
          <t>MAYO 2027</t>
        </is>
      </c>
      <c r="M4990" t="inlineStr">
        <is>
          <t>PQS/ABC AL 90% NACIONAL</t>
        </is>
      </c>
      <c r="N4990" t="inlineStr">
        <is>
          <t>223/001170</t>
        </is>
      </c>
      <c r="O4990" t="inlineStr">
        <is>
          <t>R</t>
        </is>
      </c>
      <c r="P4990">
        <f>TRIM(N4990)</f>
        <v/>
      </c>
    </row>
    <row r="4991">
      <c r="A4991" t="inlineStr">
        <is>
          <t>CO-002748</t>
        </is>
      </c>
      <c r="B4991" t="inlineStr">
        <is>
          <t xml:space="preserve">PERU MASIVO SA - BUSES </t>
        </is>
      </c>
      <c r="C4991" t="inlineStr">
        <is>
          <t>20492392031</t>
        </is>
      </c>
      <c r="D4991" t="inlineStr">
        <is>
          <t>AV. LOS INCAS CDRA. 4 PATIO NORTE - COMAS</t>
        </is>
      </c>
      <c r="E4991" t="inlineStr">
        <is>
          <t>Lima, 29 de mayo del 2026</t>
        </is>
      </c>
      <c r="F4991" t="inlineStr">
        <is>
          <t>la Recarga y mantenimiento</t>
        </is>
      </c>
      <c r="G4991" t="n">
        <v>8</v>
      </c>
      <c r="H4991" t="inlineStr">
        <is>
          <t>06 KG</t>
        </is>
      </c>
      <c r="I4991" t="n">
        <v>2028</v>
      </c>
      <c r="J4991" t="n">
        <v>2010</v>
      </c>
      <c r="K4991" t="inlineStr">
        <is>
          <t>MAYO 2026</t>
        </is>
      </c>
      <c r="L4991" t="inlineStr">
        <is>
          <t>MAYO 2027</t>
        </is>
      </c>
      <c r="M4991" t="inlineStr">
        <is>
          <t>PQS/ABC AL 90% NACIONAL</t>
        </is>
      </c>
      <c r="N4991" t="inlineStr">
        <is>
          <t>103/000245</t>
        </is>
      </c>
      <c r="O4991" t="inlineStr">
        <is>
          <t>R</t>
        </is>
      </c>
      <c r="P4991">
        <f>TRIM(N4991)</f>
        <v/>
      </c>
    </row>
    <row r="4992">
      <c r="A4992" t="inlineStr">
        <is>
          <t>CO-002748</t>
        </is>
      </c>
      <c r="B4992" t="inlineStr">
        <is>
          <t xml:space="preserve">PERU MASIVO SA - BUSES </t>
        </is>
      </c>
      <c r="C4992" t="inlineStr">
        <is>
          <t>20492392031</t>
        </is>
      </c>
      <c r="D4992" t="inlineStr">
        <is>
          <t>AV. LOS INCAS CDRA. 4 PATIO NORTE - COMAS</t>
        </is>
      </c>
      <c r="E4992" t="inlineStr">
        <is>
          <t>Lima, 29 de mayo del 2026</t>
        </is>
      </c>
      <c r="F4992" t="inlineStr">
        <is>
          <t>la Recarga y mantenimiento</t>
        </is>
      </c>
      <c r="G4992" t="n">
        <v>9</v>
      </c>
      <c r="H4992" t="inlineStr">
        <is>
          <t>06 KG</t>
        </is>
      </c>
      <c r="I4992" t="n">
        <v>2028</v>
      </c>
      <c r="J4992" t="n">
        <v>2010</v>
      </c>
      <c r="K4992" t="inlineStr">
        <is>
          <t>MAYO 2026</t>
        </is>
      </c>
      <c r="L4992" t="inlineStr">
        <is>
          <t>MAYO 2027</t>
        </is>
      </c>
      <c r="M4992" t="inlineStr">
        <is>
          <t>PQS/ABC AL 90% NACIONAL</t>
        </is>
      </c>
      <c r="N4992" t="inlineStr">
        <is>
          <t>21/00005</t>
        </is>
      </c>
      <c r="O4992" t="inlineStr">
        <is>
          <t>R</t>
        </is>
      </c>
      <c r="P4992">
        <f>TRIM(N4992)</f>
        <v/>
      </c>
    </row>
    <row r="4993">
      <c r="A4993" t="inlineStr">
        <is>
          <t>CO-002748</t>
        </is>
      </c>
      <c r="B4993" t="inlineStr">
        <is>
          <t xml:space="preserve">PERU MASIVO SA - BUSES </t>
        </is>
      </c>
      <c r="C4993" t="inlineStr">
        <is>
          <t>20492392031</t>
        </is>
      </c>
      <c r="D4993" t="inlineStr">
        <is>
          <t>AV. LOS INCAS CDRA. 4 PATIO NORTE - COMAS</t>
        </is>
      </c>
      <c r="E4993" t="inlineStr">
        <is>
          <t>Lima, 29 de mayo del 2026</t>
        </is>
      </c>
      <c r="F4993" t="inlineStr">
        <is>
          <t>la Recarga y mantenimiento</t>
        </is>
      </c>
      <c r="G4993" t="n">
        <v>10</v>
      </c>
      <c r="H4993" t="inlineStr">
        <is>
          <t>06 KG</t>
        </is>
      </c>
      <c r="I4993" t="n">
        <v>2028</v>
      </c>
      <c r="J4993" t="n">
        <v>2010</v>
      </c>
      <c r="K4993" t="inlineStr">
        <is>
          <t>MAYO 2026</t>
        </is>
      </c>
      <c r="L4993" t="inlineStr">
        <is>
          <t>MAYO 2027</t>
        </is>
      </c>
      <c r="M4993" t="inlineStr">
        <is>
          <t>PQS/ABC AL 90% NACIONAL</t>
        </is>
      </c>
      <c r="N4993" t="inlineStr">
        <is>
          <t>206/001475</t>
        </is>
      </c>
      <c r="O4993" t="inlineStr">
        <is>
          <t>R</t>
        </is>
      </c>
      <c r="P4993">
        <f>TRIM(N4993)</f>
        <v/>
      </c>
    </row>
    <row r="4994">
      <c r="A4994" t="inlineStr">
        <is>
          <t>CO-002748</t>
        </is>
      </c>
      <c r="B4994" t="inlineStr">
        <is>
          <t xml:space="preserve">PERU MASIVO SA - BUSES </t>
        </is>
      </c>
      <c r="C4994" t="inlineStr">
        <is>
          <t>20492392031</t>
        </is>
      </c>
      <c r="D4994" t="inlineStr">
        <is>
          <t>AV. LOS INCAS CDRA. 4 PATIO NORTE - COMAS</t>
        </is>
      </c>
      <c r="E4994" t="inlineStr">
        <is>
          <t>Lima, 29 de mayo del 2026</t>
        </is>
      </c>
      <c r="F4994" t="inlineStr">
        <is>
          <t>la Recarga y mantenimiento</t>
        </is>
      </c>
      <c r="G4994" t="n">
        <v>11</v>
      </c>
      <c r="H4994" t="inlineStr">
        <is>
          <t>06 KG</t>
        </is>
      </c>
      <c r="I4994" t="n">
        <v>2028</v>
      </c>
      <c r="J4994" t="n">
        <v>2015</v>
      </c>
      <c r="K4994" t="inlineStr">
        <is>
          <t>MAYO 2026</t>
        </is>
      </c>
      <c r="L4994" t="inlineStr">
        <is>
          <t>MAYO 2027</t>
        </is>
      </c>
      <c r="M4994" t="inlineStr">
        <is>
          <t>PQS/ABC AL 90% NACIONAL</t>
        </is>
      </c>
      <c r="N4994" t="inlineStr">
        <is>
          <t>184/000689</t>
        </is>
      </c>
      <c r="O4994" t="inlineStr">
        <is>
          <t>R</t>
        </is>
      </c>
      <c r="P4994">
        <f>TRIM(N4994)</f>
        <v/>
      </c>
    </row>
    <row r="4995">
      <c r="A4995" t="inlineStr">
        <is>
          <t>CO-002749</t>
        </is>
      </c>
      <c r="B4995" t="inlineStr">
        <is>
          <t xml:space="preserve">PERU MASIVO SA - INFRAESTRUCTURA </t>
        </is>
      </c>
      <c r="C4995" t="inlineStr">
        <is>
          <t>20492392031</t>
        </is>
      </c>
      <c r="D4995" t="inlineStr">
        <is>
          <t>AV. LOS INCAS CDRA. 4 PATIO NORTE - COMAS</t>
        </is>
      </c>
      <c r="E4995" t="inlineStr">
        <is>
          <t>Lima, 29 de mayo del 2026</t>
        </is>
      </c>
      <c r="F4995" t="inlineStr">
        <is>
          <t>la Recarga y mantenimiento</t>
        </is>
      </c>
      <c r="G4995" t="n">
        <v>1</v>
      </c>
      <c r="H4995" t="inlineStr">
        <is>
          <t>06 KG</t>
        </is>
      </c>
      <c r="I4995" t="n">
        <v>2028</v>
      </c>
      <c r="J4995" t="n">
        <v>2010</v>
      </c>
      <c r="K4995" t="inlineStr">
        <is>
          <t>MAYO 2026</t>
        </is>
      </c>
      <c r="L4995" t="inlineStr">
        <is>
          <t>MAYO 2027</t>
        </is>
      </c>
      <c r="M4995" t="inlineStr">
        <is>
          <t>PQS/ABC AL 90% NACIONAL</t>
        </is>
      </c>
      <c r="N4995" t="inlineStr">
        <is>
          <t>39/001140</t>
        </is>
      </c>
      <c r="O4995" t="inlineStr">
        <is>
          <t>R</t>
        </is>
      </c>
      <c r="P4995">
        <f>TRIM(N4995)</f>
        <v/>
      </c>
    </row>
    <row r="4996">
      <c r="A4996" t="inlineStr">
        <is>
          <t>CO-002750</t>
        </is>
      </c>
      <c r="B4996" t="inlineStr">
        <is>
          <t xml:space="preserve">QELLPU PERU SA -  INFRAESTRUCTURA </t>
        </is>
      </c>
      <c r="C4996" t="inlineStr">
        <is>
          <t>20492318656</t>
        </is>
      </c>
      <c r="D4996" t="inlineStr">
        <is>
          <t>AV. LOS INCAS CDRA. 4 PATIO NORTE - COMAS</t>
        </is>
      </c>
      <c r="E4996" t="inlineStr">
        <is>
          <t>Lima, 29 de mayo del 2026</t>
        </is>
      </c>
      <c r="F4996" t="inlineStr">
        <is>
          <t>la Recarga y mantenimiento</t>
        </is>
      </c>
      <c r="G4996" t="n">
        <v>1</v>
      </c>
      <c r="H4996" t="inlineStr">
        <is>
          <t>12 KG</t>
        </is>
      </c>
      <c r="I4996" t="n">
        <v>2029</v>
      </c>
      <c r="J4996" t="n">
        <v>2012</v>
      </c>
      <c r="K4996" t="inlineStr">
        <is>
          <t>MAYO 2026</t>
        </is>
      </c>
      <c r="L4996" t="inlineStr">
        <is>
          <t>MAYO 2027</t>
        </is>
      </c>
      <c r="M4996" t="inlineStr">
        <is>
          <t>PQS/ABC AL 90% NACIONAL</t>
        </is>
      </c>
      <c r="N4996" t="inlineStr">
        <is>
          <t>31/000395</t>
        </is>
      </c>
      <c r="O4996" t="inlineStr">
        <is>
          <t>R</t>
        </is>
      </c>
      <c r="P4996">
        <f>TRIM(N4996)</f>
        <v/>
      </c>
    </row>
    <row r="4997">
      <c r="A4997" t="inlineStr">
        <is>
          <t>CO-002751</t>
        </is>
      </c>
      <c r="B4997" t="inlineStr">
        <is>
          <t>SUNAT - AREQUIPA -  RIO SECO</t>
        </is>
      </c>
      <c r="C4997" t="inlineStr">
        <is>
          <t>20131312955</t>
        </is>
      </c>
      <c r="D4997" t="inlineStr">
        <is>
          <t xml:space="preserve">Altura del Km 8.5 de la Carretera Yaura - Arequipa </t>
        </is>
      </c>
      <c r="E4997" t="inlineStr">
        <is>
          <t>Lima, 23 de mayo de 2026</t>
        </is>
      </c>
      <c r="F4997" t="inlineStr">
        <is>
          <t>la Recarga y mantenimiento</t>
        </is>
      </c>
      <c r="G4997" t="inlineStr">
        <is>
          <t>01</t>
        </is>
      </c>
      <c r="H4997" t="inlineStr">
        <is>
          <t>10 LBS</t>
        </is>
      </c>
      <c r="I4997" t="inlineStr">
        <is>
          <t>2027</t>
        </is>
      </c>
      <c r="J4997" t="n">
        <v>2002</v>
      </c>
      <c r="K4997" t="inlineStr">
        <is>
          <t>MAYO 2026</t>
        </is>
      </c>
      <c r="L4997" t="inlineStr">
        <is>
          <t>MAYO 2027</t>
        </is>
      </c>
      <c r="M4997" t="inlineStr">
        <is>
          <t xml:space="preserve">CO2 TIPO BC </t>
        </is>
      </c>
      <c r="N4997" t="inlineStr">
        <is>
          <t>20/ Y-377991</t>
        </is>
      </c>
      <c r="O4997" t="inlineStr">
        <is>
          <t>R</t>
        </is>
      </c>
      <c r="P4997">
        <f>TRIM(N4997)</f>
        <v/>
      </c>
    </row>
    <row r="4998">
      <c r="A4998" t="inlineStr">
        <is>
          <t>CO-002752</t>
        </is>
      </c>
      <c r="B4998" t="inlineStr">
        <is>
          <t>HAMANN DISEÑO Y CONSTRUCCION S.A.C.</t>
        </is>
      </c>
      <c r="C4998" t="inlineStr">
        <is>
          <t>20514795569</t>
        </is>
      </c>
      <c r="D4998" t="inlineStr">
        <is>
          <t>CLL. CAPITAN ELIAS AGUIRRE 180, MIRAFLORES</t>
        </is>
      </c>
      <c r="E4998" t="inlineStr">
        <is>
          <t>Lima, 30 de mayo del 2026</t>
        </is>
      </c>
      <c r="F4998" t="inlineStr">
        <is>
          <t>la Recarga y mantenimiento</t>
        </is>
      </c>
      <c r="G4998" t="inlineStr">
        <is>
          <t>01</t>
        </is>
      </c>
      <c r="H4998" t="inlineStr">
        <is>
          <t>06 KG</t>
        </is>
      </c>
      <c r="I4998" t="inlineStr">
        <is>
          <t>2028</t>
        </is>
      </c>
      <c r="J4998" t="n">
        <v>2023</v>
      </c>
      <c r="K4998" t="inlineStr">
        <is>
          <t>MAYO 2026</t>
        </is>
      </c>
      <c r="L4998" t="inlineStr">
        <is>
          <t>MAYO 2027</t>
        </is>
      </c>
      <c r="M4998" t="inlineStr">
        <is>
          <t>PQS TIPO ABC AL 75%</t>
        </is>
      </c>
      <c r="N4998" t="inlineStr">
        <is>
          <t>000636</t>
        </is>
      </c>
      <c r="O4998" t="inlineStr">
        <is>
          <t>R</t>
        </is>
      </c>
      <c r="P4998">
        <f>TRIM(N4998)</f>
        <v/>
      </c>
    </row>
    <row r="4999">
      <c r="A4999" t="inlineStr">
        <is>
          <t>CO-002752</t>
        </is>
      </c>
      <c r="B4999" t="inlineStr">
        <is>
          <t>HAMANN DISEÑO Y CONSTRUCCION S.A.C.</t>
        </is>
      </c>
      <c r="C4999" t="inlineStr">
        <is>
          <t>20514795569</t>
        </is>
      </c>
      <c r="D4999" t="inlineStr">
        <is>
          <t>CLL. CAPITAN ELIAS AGUIRRE 180, MIRAFLORES</t>
        </is>
      </c>
      <c r="E4999" t="inlineStr">
        <is>
          <t>Lima, 30 de mayo del 2026</t>
        </is>
      </c>
      <c r="F4999" t="inlineStr">
        <is>
          <t>la Recarga y mantenimiento</t>
        </is>
      </c>
      <c r="G4999" t="n">
        <v>2</v>
      </c>
      <c r="H4999" t="inlineStr">
        <is>
          <t>06 KG</t>
        </is>
      </c>
      <c r="I4999" t="n">
        <v>2029</v>
      </c>
      <c r="J4999" t="n">
        <v>2024</v>
      </c>
      <c r="K4999" t="inlineStr">
        <is>
          <t>MAYO 2026</t>
        </is>
      </c>
      <c r="L4999" t="inlineStr">
        <is>
          <t>MAYO 2027</t>
        </is>
      </c>
      <c r="M4999" t="inlineStr">
        <is>
          <t>PQS TIPO ABC AL 75%</t>
        </is>
      </c>
      <c r="N4999" t="inlineStr">
        <is>
          <t>006383</t>
        </is>
      </c>
      <c r="O4999" t="inlineStr">
        <is>
          <t>R</t>
        </is>
      </c>
      <c r="P4999">
        <f>TRIM(N4999)</f>
        <v/>
      </c>
    </row>
    <row r="5000">
      <c r="A5000" t="inlineStr">
        <is>
          <t>CO-002752</t>
        </is>
      </c>
      <c r="B5000" t="inlineStr">
        <is>
          <t>HAMANN DISEÑO Y CONSTRUCCION S.A.C.</t>
        </is>
      </c>
      <c r="C5000" t="inlineStr">
        <is>
          <t>20514795569</t>
        </is>
      </c>
      <c r="D5000" t="inlineStr">
        <is>
          <t>CLL. CAPITAN ELIAS AGUIRRE 180, MIRAFLORES</t>
        </is>
      </c>
      <c r="E5000" t="inlineStr">
        <is>
          <t>Lima, 30 de mayo del 2026</t>
        </is>
      </c>
      <c r="F5000" t="inlineStr">
        <is>
          <t>la Recarga y mantenimiento</t>
        </is>
      </c>
      <c r="G5000" t="n">
        <v>3</v>
      </c>
      <c r="H5000" t="inlineStr">
        <is>
          <t>06 KG</t>
        </is>
      </c>
      <c r="I5000" t="n">
        <v>2023</v>
      </c>
      <c r="J5000" t="n">
        <v>2028</v>
      </c>
      <c r="K5000" t="inlineStr">
        <is>
          <t>MAYO 2026</t>
        </is>
      </c>
      <c r="L5000" t="inlineStr">
        <is>
          <t>MAYO 2027</t>
        </is>
      </c>
      <c r="M5000" t="inlineStr">
        <is>
          <t>PQS TIPO ABC AL 75%</t>
        </is>
      </c>
      <c r="N5000" t="inlineStr">
        <is>
          <t>002594</t>
        </is>
      </c>
      <c r="O5000" t="inlineStr">
        <is>
          <t>R</t>
        </is>
      </c>
      <c r="P5000">
        <f>TRIM(N5000)</f>
        <v/>
      </c>
    </row>
    <row r="5001">
      <c r="A5001" t="inlineStr">
        <is>
          <t>CO-002752</t>
        </is>
      </c>
      <c r="B5001" t="inlineStr">
        <is>
          <t>HAMANN DISEÑO Y CONSTRUCCION S.A.C.</t>
        </is>
      </c>
      <c r="C5001" t="inlineStr">
        <is>
          <t>20514795569</t>
        </is>
      </c>
      <c r="D5001" t="inlineStr">
        <is>
          <t>CLL. CAPITAN ELIAS AGUIRRE 180, MIRAFLORES</t>
        </is>
      </c>
      <c r="E5001" t="inlineStr">
        <is>
          <t>Lima, 30 de mayo del 2026</t>
        </is>
      </c>
      <c r="F5001" t="inlineStr">
        <is>
          <t>la Recarga y mantenimiento</t>
        </is>
      </c>
      <c r="G5001" t="n">
        <v>4</v>
      </c>
      <c r="H5001" t="inlineStr">
        <is>
          <t>06 KG</t>
        </is>
      </c>
      <c r="I5001" t="n">
        <v>2029</v>
      </c>
      <c r="J5001" t="n">
        <v>2024</v>
      </c>
      <c r="K5001" t="inlineStr">
        <is>
          <t>MAYO 2026</t>
        </is>
      </c>
      <c r="L5001" t="inlineStr">
        <is>
          <t>MAYO 2027</t>
        </is>
      </c>
      <c r="M5001" t="inlineStr">
        <is>
          <t>PQS TIPO ABC AL 75%</t>
        </is>
      </c>
      <c r="N5001" t="inlineStr">
        <is>
          <t>049377</t>
        </is>
      </c>
      <c r="O5001" t="inlineStr">
        <is>
          <t>R</t>
        </is>
      </c>
      <c r="P5001">
        <f>TRIM(N5001)</f>
        <v/>
      </c>
    </row>
    <row r="5002">
      <c r="A5002" t="inlineStr">
        <is>
          <t>CO-002752</t>
        </is>
      </c>
      <c r="B5002" t="inlineStr">
        <is>
          <t>HAMANN DISEÑO Y CONSTRUCCION S.A.C.</t>
        </is>
      </c>
      <c r="C5002" t="inlineStr">
        <is>
          <t>20514795569</t>
        </is>
      </c>
      <c r="D5002" t="inlineStr">
        <is>
          <t>CLL. CAPITAN ELIAS AGUIRRE 180, MIRAFLORES</t>
        </is>
      </c>
      <c r="E5002" t="inlineStr">
        <is>
          <t>Lima, 30 de mayo del 2026</t>
        </is>
      </c>
      <c r="F5002" t="inlineStr">
        <is>
          <t>la Recarga y mantenimiento</t>
        </is>
      </c>
      <c r="G5002" t="n">
        <v>5</v>
      </c>
      <c r="H5002" t="inlineStr">
        <is>
          <t>06 KG</t>
        </is>
      </c>
      <c r="I5002" t="n">
        <v>2029</v>
      </c>
      <c r="J5002" t="n">
        <v>2024</v>
      </c>
      <c r="K5002" t="inlineStr">
        <is>
          <t>MAYO 2026</t>
        </is>
      </c>
      <c r="L5002" t="inlineStr">
        <is>
          <t>MAYO 2027</t>
        </is>
      </c>
      <c r="M5002" t="inlineStr">
        <is>
          <t>PQS TIPO ABC AL 75%</t>
        </is>
      </c>
      <c r="N5002" t="inlineStr">
        <is>
          <t>001458</t>
        </is>
      </c>
      <c r="O5002" t="inlineStr">
        <is>
          <t>R</t>
        </is>
      </c>
      <c r="P5002">
        <f>TRIM(N5002)</f>
        <v/>
      </c>
    </row>
    <row r="5003">
      <c r="A5003" t="inlineStr">
        <is>
          <t>CO-002752</t>
        </is>
      </c>
      <c r="B5003" t="inlineStr">
        <is>
          <t>HAMANN DISEÑO Y CONSTRUCCION S.A.C.</t>
        </is>
      </c>
      <c r="C5003" t="inlineStr">
        <is>
          <t>20514795569</t>
        </is>
      </c>
      <c r="D5003" t="inlineStr">
        <is>
          <t>CLL. CAPITAN ELIAS AGUIRRE 180, MIRAFLORES</t>
        </is>
      </c>
      <c r="E5003" t="inlineStr">
        <is>
          <t>Lima, 30 de mayo del 2026</t>
        </is>
      </c>
      <c r="F5003" t="inlineStr">
        <is>
          <t>la Recarga y mantenimiento</t>
        </is>
      </c>
      <c r="G5003" t="n">
        <v>6</v>
      </c>
      <c r="H5003" t="inlineStr">
        <is>
          <t>06 KG</t>
        </is>
      </c>
      <c r="I5003" t="n">
        <v>2028</v>
      </c>
      <c r="J5003" t="n">
        <v>2023</v>
      </c>
      <c r="K5003" t="inlineStr">
        <is>
          <t>MAYO 2026</t>
        </is>
      </c>
      <c r="L5003" t="inlineStr">
        <is>
          <t>MAYO 2027</t>
        </is>
      </c>
      <c r="M5003" t="inlineStr">
        <is>
          <t>PQS TIPO ABC AL 75%</t>
        </is>
      </c>
      <c r="N5003" t="inlineStr">
        <is>
          <t>049099</t>
        </is>
      </c>
      <c r="O5003" t="inlineStr">
        <is>
          <t>R</t>
        </is>
      </c>
      <c r="P5003">
        <f>TRIM(N5003)</f>
        <v/>
      </c>
    </row>
    <row r="5004">
      <c r="A5004" t="inlineStr">
        <is>
          <t>CO-002752</t>
        </is>
      </c>
      <c r="B5004" t="inlineStr">
        <is>
          <t>HAMANN DISEÑO Y CONSTRUCCION S.A.C.</t>
        </is>
      </c>
      <c r="C5004" t="inlineStr">
        <is>
          <t>20514795569</t>
        </is>
      </c>
      <c r="D5004" t="inlineStr">
        <is>
          <t>CLL. CAPITAN ELIAS AGUIRRE 180, MIRAFLORES</t>
        </is>
      </c>
      <c r="E5004" t="inlineStr">
        <is>
          <t>Lima, 30 de mayo del 2026</t>
        </is>
      </c>
      <c r="F5004" t="inlineStr">
        <is>
          <t>la Recarga y mantenimiento</t>
        </is>
      </c>
      <c r="G5004" t="n">
        <v>7</v>
      </c>
      <c r="H5004" t="inlineStr">
        <is>
          <t>06 KG</t>
        </is>
      </c>
      <c r="I5004" t="n">
        <v>2029</v>
      </c>
      <c r="J5004" t="n">
        <v>2024</v>
      </c>
      <c r="K5004" t="inlineStr">
        <is>
          <t>MAYO 2026</t>
        </is>
      </c>
      <c r="L5004" t="inlineStr">
        <is>
          <t>MAYO 2027</t>
        </is>
      </c>
      <c r="M5004" t="inlineStr">
        <is>
          <t>PQS TIPO ABC AL 75%</t>
        </is>
      </c>
      <c r="N5004" t="inlineStr">
        <is>
          <t>006508</t>
        </is>
      </c>
      <c r="O5004" t="inlineStr">
        <is>
          <t>R</t>
        </is>
      </c>
      <c r="P5004">
        <f>TRIM(N5004)</f>
        <v/>
      </c>
    </row>
    <row r="5005">
      <c r="A5005" t="inlineStr">
        <is>
          <t>CO-002752</t>
        </is>
      </c>
      <c r="B5005" t="inlineStr">
        <is>
          <t>HAMANN DISEÑO Y CONSTRUCCION S.A.C.</t>
        </is>
      </c>
      <c r="C5005" t="inlineStr">
        <is>
          <t>20514795569</t>
        </is>
      </c>
      <c r="D5005" t="inlineStr">
        <is>
          <t>CLL. CAPITAN ELIAS AGUIRRE 180, MIRAFLORES</t>
        </is>
      </c>
      <c r="E5005" t="inlineStr">
        <is>
          <t>Lima, 30 de mayo del 2026</t>
        </is>
      </c>
      <c r="F5005" t="inlineStr">
        <is>
          <t>la Recarga y mantenimiento</t>
        </is>
      </c>
      <c r="G5005" t="n">
        <v>8</v>
      </c>
      <c r="H5005" t="inlineStr">
        <is>
          <t>06 KG</t>
        </is>
      </c>
      <c r="I5005" t="n">
        <v>2029</v>
      </c>
      <c r="J5005" t="n">
        <v>2024</v>
      </c>
      <c r="K5005" t="inlineStr">
        <is>
          <t>MAYO 2026</t>
        </is>
      </c>
      <c r="L5005" t="inlineStr">
        <is>
          <t>MAYO 2027</t>
        </is>
      </c>
      <c r="M5005" t="inlineStr">
        <is>
          <t>PQS TIPO ABC AL 75%</t>
        </is>
      </c>
      <c r="N5005" t="inlineStr">
        <is>
          <t>006316</t>
        </is>
      </c>
      <c r="P5005">
        <f>TRIM(N5005)</f>
        <v/>
      </c>
    </row>
    <row r="5006">
      <c r="A5006" t="inlineStr">
        <is>
          <t>CO-002753</t>
        </is>
      </c>
      <c r="B5006" t="inlineStr">
        <is>
          <t>CICSA PERU SAC</t>
        </is>
      </c>
      <c r="C5006" t="n">
        <v>20512780114</v>
      </c>
      <c r="D5006" t="inlineStr">
        <is>
          <t>AL.AMADOR MERINO REYNA NRO. 267 (OFIC. 501) LIMA - LIMA - SAN ISIDRO</t>
        </is>
      </c>
      <c r="E5006" t="inlineStr">
        <is>
          <t>Lima, 30 de mayo del 2026</t>
        </is>
      </c>
      <c r="F5006" t="inlineStr">
        <is>
          <t>la venta</t>
        </is>
      </c>
      <c r="G5006" t="n">
        <v>1</v>
      </c>
      <c r="H5006" t="inlineStr">
        <is>
          <t xml:space="preserve">20 LBS </t>
        </is>
      </c>
      <c r="I5006" t="n">
        <v>2031</v>
      </c>
      <c r="J5006" t="n">
        <v>2026</v>
      </c>
      <c r="K5006" t="inlineStr">
        <is>
          <t>MAYO 2026</t>
        </is>
      </c>
      <c r="L5006" t="inlineStr">
        <is>
          <t>MAYO 2027</t>
        </is>
      </c>
      <c r="M5006" t="inlineStr">
        <is>
          <t xml:space="preserve">CO2 TIPO BC </t>
        </is>
      </c>
      <c r="N5006" t="inlineStr">
        <is>
          <t>34/433915</t>
        </is>
      </c>
      <c r="O5006" t="inlineStr">
        <is>
          <t>V</t>
        </is>
      </c>
      <c r="P5006">
        <f>TRIM(N5006)</f>
        <v/>
      </c>
    </row>
    <row r="5007">
      <c r="A5007" t="inlineStr">
        <is>
          <t>CO-002753</t>
        </is>
      </c>
      <c r="B5007" t="inlineStr">
        <is>
          <t>CICSA PERU SAC</t>
        </is>
      </c>
      <c r="C5007" t="n">
        <v>20512780114</v>
      </c>
      <c r="D5007" t="inlineStr">
        <is>
          <t>AL.AMADOR MERINO REYNA NRO. 267 (OFIC. 501) LIMA - LIMA - SAN ISIDRO</t>
        </is>
      </c>
      <c r="E5007" t="inlineStr">
        <is>
          <t>Lima, 30 de mayo del 2026</t>
        </is>
      </c>
      <c r="F5007" t="inlineStr">
        <is>
          <t>la venta</t>
        </is>
      </c>
      <c r="G5007" t="n">
        <v>2</v>
      </c>
      <c r="H5007" t="inlineStr">
        <is>
          <t xml:space="preserve">20 LBS </t>
        </is>
      </c>
      <c r="I5007" t="n">
        <v>2031</v>
      </c>
      <c r="J5007" t="n">
        <v>2026</v>
      </c>
      <c r="K5007" t="inlineStr">
        <is>
          <t>MAYO 2026</t>
        </is>
      </c>
      <c r="L5007" t="inlineStr">
        <is>
          <t>MAYO 2027</t>
        </is>
      </c>
      <c r="M5007" t="inlineStr">
        <is>
          <t xml:space="preserve">CO2 TIPO BC </t>
        </is>
      </c>
      <c r="N5007" t="inlineStr">
        <is>
          <t>35/849292</t>
        </is>
      </c>
      <c r="O5007" t="inlineStr">
        <is>
          <t>V</t>
        </is>
      </c>
      <c r="P5007">
        <f>TRIM(N5007)</f>
        <v/>
      </c>
    </row>
    <row r="5008">
      <c r="A5008" t="inlineStr">
        <is>
          <t>CO-002753</t>
        </is>
      </c>
      <c r="B5008" t="inlineStr">
        <is>
          <t>CICSA PERU SAC</t>
        </is>
      </c>
      <c r="C5008" t="n">
        <v>20512780114</v>
      </c>
      <c r="D5008" t="inlineStr">
        <is>
          <t>AL.AMADOR MERINO REYNA NRO. 267 (OFIC. 501) LIMA - LIMA - SAN ISIDRO</t>
        </is>
      </c>
      <c r="E5008" t="inlineStr">
        <is>
          <t>Lima, 30 de mayo del 2026</t>
        </is>
      </c>
      <c r="F5008" t="inlineStr">
        <is>
          <t>la venta</t>
        </is>
      </c>
      <c r="G5008" t="n">
        <v>3</v>
      </c>
      <c r="H5008" t="inlineStr">
        <is>
          <t xml:space="preserve">20 LBS </t>
        </is>
      </c>
      <c r="I5008" t="n">
        <v>2031</v>
      </c>
      <c r="J5008" t="n">
        <v>2026</v>
      </c>
      <c r="K5008" t="inlineStr">
        <is>
          <t>MAYO 2026</t>
        </is>
      </c>
      <c r="L5008" t="inlineStr">
        <is>
          <t>MAYO 2027</t>
        </is>
      </c>
      <c r="M5008" t="inlineStr">
        <is>
          <t xml:space="preserve">CO2 TIPO BC </t>
        </is>
      </c>
      <c r="N5008" t="inlineStr">
        <is>
          <t>36/227542</t>
        </is>
      </c>
      <c r="O5008" t="inlineStr">
        <is>
          <t>V</t>
        </is>
      </c>
      <c r="P5008">
        <f>TRIM(N5008)</f>
        <v/>
      </c>
    </row>
    <row r="5009">
      <c r="A5009" t="inlineStr">
        <is>
          <t>CO-002753</t>
        </is>
      </c>
      <c r="B5009" t="inlineStr">
        <is>
          <t>CICSA PERU SAC</t>
        </is>
      </c>
      <c r="C5009" t="n">
        <v>20512780114</v>
      </c>
      <c r="D5009" t="inlineStr">
        <is>
          <t>AL.AMADOR MERINO REYNA NRO. 267 (OFIC. 501) LIMA - LIMA - SAN ISIDRO</t>
        </is>
      </c>
      <c r="E5009" t="inlineStr">
        <is>
          <t>Lima, 30 de mayo del 2026</t>
        </is>
      </c>
      <c r="F5009" t="inlineStr">
        <is>
          <t>la venta</t>
        </is>
      </c>
      <c r="G5009" t="n">
        <v>4</v>
      </c>
      <c r="H5009" t="inlineStr">
        <is>
          <t xml:space="preserve">20 LBS </t>
        </is>
      </c>
      <c r="I5009" t="n">
        <v>2031</v>
      </c>
      <c r="J5009" t="n">
        <v>2026</v>
      </c>
      <c r="K5009" t="inlineStr">
        <is>
          <t>MAYO 2026</t>
        </is>
      </c>
      <c r="L5009" t="inlineStr">
        <is>
          <t>MAYO 2027</t>
        </is>
      </c>
      <c r="M5009" t="inlineStr">
        <is>
          <t xml:space="preserve">CO2 TIPO BC </t>
        </is>
      </c>
      <c r="N5009" t="inlineStr">
        <is>
          <t>37/112079</t>
        </is>
      </c>
      <c r="O5009" t="inlineStr">
        <is>
          <t>V</t>
        </is>
      </c>
      <c r="P5009">
        <f>TRIM(N5009)</f>
        <v/>
      </c>
    </row>
    <row r="5010">
      <c r="A5010" t="inlineStr">
        <is>
          <t>CO-002753</t>
        </is>
      </c>
      <c r="B5010" t="inlineStr">
        <is>
          <t>CICSA PERU SAC</t>
        </is>
      </c>
      <c r="C5010" t="n">
        <v>20512780114</v>
      </c>
      <c r="D5010" t="inlineStr">
        <is>
          <t>AL.AMADOR MERINO REYNA NRO. 267 (OFIC. 501) LIMA - LIMA - SAN ISIDRO</t>
        </is>
      </c>
      <c r="E5010" t="inlineStr">
        <is>
          <t>Lima, 30 de mayo del 2026</t>
        </is>
      </c>
      <c r="F5010" t="inlineStr">
        <is>
          <t>la venta</t>
        </is>
      </c>
      <c r="G5010" t="n">
        <v>5</v>
      </c>
      <c r="H5010" t="inlineStr">
        <is>
          <t xml:space="preserve">20 LBS </t>
        </is>
      </c>
      <c r="I5010" t="n">
        <v>2031</v>
      </c>
      <c r="J5010" t="n">
        <v>2026</v>
      </c>
      <c r="K5010" t="inlineStr">
        <is>
          <t>MAYO 2026</t>
        </is>
      </c>
      <c r="L5010" t="inlineStr">
        <is>
          <t>MAYO 2027</t>
        </is>
      </c>
      <c r="M5010" t="inlineStr">
        <is>
          <t xml:space="preserve">CO2 TIPO BC </t>
        </is>
      </c>
      <c r="N5010" t="inlineStr">
        <is>
          <t>38/000018</t>
        </is>
      </c>
      <c r="O5010" t="inlineStr">
        <is>
          <t>V</t>
        </is>
      </c>
      <c r="P5010">
        <f>TRIM(N5010)</f>
        <v/>
      </c>
    </row>
    <row r="5011">
      <c r="A5011" t="inlineStr">
        <is>
          <t>CO-002753</t>
        </is>
      </c>
      <c r="B5011" t="inlineStr">
        <is>
          <t>CICSA PERU SAC</t>
        </is>
      </c>
      <c r="C5011" t="n">
        <v>20512780114</v>
      </c>
      <c r="D5011" t="inlineStr">
        <is>
          <t>AL.AMADOR MERINO REYNA NRO. 267 (OFIC. 501) LIMA - LIMA - SAN ISIDRO</t>
        </is>
      </c>
      <c r="E5011" t="inlineStr">
        <is>
          <t>Lima, 30 de mayo del 2026</t>
        </is>
      </c>
      <c r="F5011" t="inlineStr">
        <is>
          <t>la venta</t>
        </is>
      </c>
      <c r="G5011" t="n">
        <v>6</v>
      </c>
      <c r="H5011" t="inlineStr">
        <is>
          <t xml:space="preserve">20 LBS </t>
        </is>
      </c>
      <c r="I5011" t="n">
        <v>2031</v>
      </c>
      <c r="J5011" t="n">
        <v>2026</v>
      </c>
      <c r="K5011" t="inlineStr">
        <is>
          <t>MAYO 2026</t>
        </is>
      </c>
      <c r="L5011" t="inlineStr">
        <is>
          <t>MAYO 2027</t>
        </is>
      </c>
      <c r="M5011" t="inlineStr">
        <is>
          <t xml:space="preserve">CO2 TIPO BC </t>
        </is>
      </c>
      <c r="N5011" t="inlineStr">
        <is>
          <t>39/000020</t>
        </is>
      </c>
      <c r="O5011" t="inlineStr">
        <is>
          <t>V</t>
        </is>
      </c>
      <c r="P5011">
        <f>TRIM(N5011)</f>
        <v/>
      </c>
    </row>
    <row r="5012">
      <c r="A5012" t="inlineStr">
        <is>
          <t>CO-002753</t>
        </is>
      </c>
      <c r="B5012" t="inlineStr">
        <is>
          <t>CICSA PERU SAC</t>
        </is>
      </c>
      <c r="C5012" t="n">
        <v>20512780114</v>
      </c>
      <c r="D5012" t="inlineStr">
        <is>
          <t>AL.AMADOR MERINO REYNA NRO. 267 (OFIC. 501) LIMA - LIMA - SAN ISIDRO</t>
        </is>
      </c>
      <c r="E5012" t="inlineStr">
        <is>
          <t>Lima, 30 de mayo del 2026</t>
        </is>
      </c>
      <c r="F5012" t="inlineStr">
        <is>
          <t>la venta</t>
        </is>
      </c>
      <c r="G5012" t="n">
        <v>7</v>
      </c>
      <c r="H5012" t="inlineStr">
        <is>
          <t xml:space="preserve">20 LBS </t>
        </is>
      </c>
      <c r="I5012" t="n">
        <v>2031</v>
      </c>
      <c r="J5012" t="n">
        <v>2026</v>
      </c>
      <c r="K5012" t="inlineStr">
        <is>
          <t>MAYO 2026</t>
        </is>
      </c>
      <c r="L5012" t="inlineStr">
        <is>
          <t>MAYO 2027</t>
        </is>
      </c>
      <c r="M5012" t="inlineStr">
        <is>
          <t xml:space="preserve">CO2 TIPO BC </t>
        </is>
      </c>
      <c r="N5012" t="inlineStr">
        <is>
          <t>40/900755</t>
        </is>
      </c>
      <c r="O5012" t="inlineStr">
        <is>
          <t>V</t>
        </is>
      </c>
      <c r="P5012">
        <f>TRIM(N5012)</f>
        <v/>
      </c>
    </row>
    <row r="5013">
      <c r="A5013" t="inlineStr">
        <is>
          <t>CO-002754</t>
        </is>
      </c>
      <c r="B5013" t="inlineStr">
        <is>
          <t>BRITISH AMERICAN HOSPITAL S.A. - CLINICA ANGLOAMERICANA</t>
        </is>
      </c>
      <c r="C5013" t="inlineStr">
        <is>
          <t>20107695584</t>
        </is>
      </c>
      <c r="D5013" t="inlineStr">
        <is>
          <t xml:space="preserve">AV. LA FONTANA 362 - LA MOLINA </t>
        </is>
      </c>
      <c r="E5013" t="inlineStr">
        <is>
          <t>Lima, 08 de junio del 2026</t>
        </is>
      </c>
      <c r="F5013" t="inlineStr">
        <is>
          <t>la Recarga y mantenimiento</t>
        </is>
      </c>
      <c r="G5013" t="n">
        <v>1</v>
      </c>
      <c r="H5013" t="inlineStr">
        <is>
          <t>07 LBS</t>
        </is>
      </c>
      <c r="I5013" t="n">
        <v>2028</v>
      </c>
      <c r="J5013" t="n">
        <v>2018</v>
      </c>
      <c r="K5013" t="inlineStr">
        <is>
          <t>JUNIO 2026</t>
        </is>
      </c>
      <c r="L5013" t="inlineStr">
        <is>
          <t>JUNIO 2027</t>
        </is>
      </c>
      <c r="M5013" t="inlineStr">
        <is>
          <t>CO2 TIPO BC</t>
        </is>
      </c>
      <c r="N5013" t="inlineStr">
        <is>
          <t>E-020/000087</t>
        </is>
      </c>
      <c r="O5013" t="inlineStr">
        <is>
          <t>R</t>
        </is>
      </c>
      <c r="P5013">
        <f>TRIM(N5013)</f>
        <v/>
      </c>
    </row>
    <row r="5014">
      <c r="A5014" t="inlineStr">
        <is>
          <t>CO-002754</t>
        </is>
      </c>
      <c r="B5014" t="inlineStr">
        <is>
          <t>BRITISH AMERICAN HOSPITAL S.A. - CLINICA ANGLOAMERICANA</t>
        </is>
      </c>
      <c r="C5014" t="inlineStr">
        <is>
          <t>20107695584</t>
        </is>
      </c>
      <c r="D5014" t="inlineStr">
        <is>
          <t xml:space="preserve">AV. LA FONTANA 362 - LA MOLINA </t>
        </is>
      </c>
      <c r="E5014" t="inlineStr">
        <is>
          <t>Lima, 08 de junio del 2026</t>
        </is>
      </c>
      <c r="F5014" t="inlineStr">
        <is>
          <t>la Recarga y mantenimiento</t>
        </is>
      </c>
      <c r="G5014" t="n">
        <v>2</v>
      </c>
      <c r="H5014" t="inlineStr">
        <is>
          <t>10 LBS</t>
        </is>
      </c>
      <c r="I5014" t="n">
        <v>2028</v>
      </c>
      <c r="J5014" t="n">
        <v>2017</v>
      </c>
      <c r="K5014" t="inlineStr">
        <is>
          <t>JUNIO 2026</t>
        </is>
      </c>
      <c r="L5014" t="inlineStr">
        <is>
          <t>JUNIO 2027</t>
        </is>
      </c>
      <c r="M5014" t="inlineStr">
        <is>
          <t>PQS TPI ABC AL 90%</t>
        </is>
      </c>
      <c r="N5014" t="inlineStr">
        <is>
          <t>E-033/207522</t>
        </is>
      </c>
      <c r="O5014" t="inlineStr">
        <is>
          <t>R</t>
        </is>
      </c>
      <c r="P5014">
        <f>TRIM(N5014)</f>
        <v/>
      </c>
    </row>
    <row r="5015">
      <c r="A5015" t="inlineStr">
        <is>
          <t>CO-002754</t>
        </is>
      </c>
      <c r="B5015" t="inlineStr">
        <is>
          <t>BRITISH AMERICAN HOSPITAL S.A. - CLINICA ANGLOAMERICANA</t>
        </is>
      </c>
      <c r="C5015" t="inlineStr">
        <is>
          <t>20107695584</t>
        </is>
      </c>
      <c r="D5015" t="inlineStr">
        <is>
          <t xml:space="preserve">AV. LA FONTANA 362 - LA MOLINA </t>
        </is>
      </c>
      <c r="E5015" t="inlineStr">
        <is>
          <t>Lima, 08 de junio del 2026</t>
        </is>
      </c>
      <c r="F5015" t="inlineStr">
        <is>
          <t>la Recarga y mantenimiento</t>
        </is>
      </c>
      <c r="G5015" t="n">
        <v>3</v>
      </c>
      <c r="H5015" t="inlineStr">
        <is>
          <t>09 KG</t>
        </is>
      </c>
      <c r="I5015" t="n">
        <v>2028</v>
      </c>
      <c r="J5015" t="n">
        <v>2007</v>
      </c>
      <c r="K5015" t="inlineStr">
        <is>
          <t>JUNIO 2026</t>
        </is>
      </c>
      <c r="L5015" t="inlineStr">
        <is>
          <t>JUNIO 2027</t>
        </is>
      </c>
      <c r="M5015" t="inlineStr">
        <is>
          <t>PQS TIPO ABC AL 75%</t>
        </is>
      </c>
      <c r="N5015" t="inlineStr">
        <is>
          <t>E-031/000229</t>
        </is>
      </c>
      <c r="O5015" t="inlineStr">
        <is>
          <t>R</t>
        </is>
      </c>
      <c r="P5015">
        <f>TRIM(N5015)</f>
        <v/>
      </c>
    </row>
    <row r="5016">
      <c r="A5016" t="inlineStr">
        <is>
          <t>CO-002754</t>
        </is>
      </c>
      <c r="B5016" t="inlineStr">
        <is>
          <t>BRITISH AMERICAN HOSPITAL S.A. - CLINICA ANGLOAMERICANA</t>
        </is>
      </c>
      <c r="C5016" t="inlineStr">
        <is>
          <t>20107695584</t>
        </is>
      </c>
      <c r="D5016" t="inlineStr">
        <is>
          <t xml:space="preserve">AV. LA FONTANA 362 - LA MOLINA </t>
        </is>
      </c>
      <c r="E5016" t="inlineStr">
        <is>
          <t>Lima, 08 de junio del 2026</t>
        </is>
      </c>
      <c r="F5016" t="inlineStr">
        <is>
          <t>la Recarga y mantenimiento</t>
        </is>
      </c>
      <c r="G5016" t="n">
        <v>4</v>
      </c>
      <c r="H5016" t="inlineStr">
        <is>
          <t>15 LBS</t>
        </is>
      </c>
      <c r="I5016" t="n">
        <v>2028</v>
      </c>
      <c r="J5016" t="n">
        <v>2018</v>
      </c>
      <c r="K5016" t="inlineStr">
        <is>
          <t>JUNIO 2026</t>
        </is>
      </c>
      <c r="L5016" t="inlineStr">
        <is>
          <t>JUNIO 2027</t>
        </is>
      </c>
      <c r="M5016" t="inlineStr">
        <is>
          <t xml:space="preserve">CO2 TIPO BC </t>
        </is>
      </c>
      <c r="N5016" t="inlineStr">
        <is>
          <t>E-001/001011</t>
        </is>
      </c>
      <c r="O5016" t="inlineStr">
        <is>
          <t>R</t>
        </is>
      </c>
      <c r="P5016">
        <f>TRIM(N5016)</f>
        <v/>
      </c>
    </row>
    <row r="5017">
      <c r="A5017" t="inlineStr">
        <is>
          <t>CO-002754</t>
        </is>
      </c>
      <c r="B5017" t="inlineStr">
        <is>
          <t>BRITISH AMERICAN HOSPITAL S.A. - CLINICA ANGLOAMERICANA</t>
        </is>
      </c>
      <c r="C5017" t="inlineStr">
        <is>
          <t>20107695584</t>
        </is>
      </c>
      <c r="D5017" t="inlineStr">
        <is>
          <t xml:space="preserve">AV. LA FONTANA 362 - LA MOLINA </t>
        </is>
      </c>
      <c r="E5017" t="inlineStr">
        <is>
          <t>Lima, 08 de junio del 2026</t>
        </is>
      </c>
      <c r="F5017" t="inlineStr">
        <is>
          <t>la Recarga y mantenimiento</t>
        </is>
      </c>
      <c r="G5017" t="n">
        <v>5</v>
      </c>
      <c r="H5017" t="inlineStr">
        <is>
          <t>15 LBS</t>
        </is>
      </c>
      <c r="I5017" t="n">
        <v>2030</v>
      </c>
      <c r="J5017" t="n">
        <v>2019</v>
      </c>
      <c r="K5017" t="inlineStr">
        <is>
          <t>JUNIO 2026</t>
        </is>
      </c>
      <c r="L5017" t="inlineStr">
        <is>
          <t>JUNIO 2027</t>
        </is>
      </c>
      <c r="M5017" t="inlineStr">
        <is>
          <t xml:space="preserve">CO2 TIPO BC </t>
        </is>
      </c>
      <c r="N5017" t="inlineStr">
        <is>
          <t>E-007/006080</t>
        </is>
      </c>
      <c r="O5017" t="inlineStr">
        <is>
          <t>R</t>
        </is>
      </c>
      <c r="P5017">
        <f>TRIM(N5017)</f>
        <v/>
      </c>
    </row>
    <row r="5018">
      <c r="A5018" t="inlineStr">
        <is>
          <t>CO-002754</t>
        </is>
      </c>
      <c r="B5018" t="inlineStr">
        <is>
          <t>BRITISH AMERICAN HOSPITAL S.A. - CLINICA ANGLOAMERICANA</t>
        </is>
      </c>
      <c r="C5018" t="inlineStr">
        <is>
          <t>20107695584</t>
        </is>
      </c>
      <c r="D5018" t="inlineStr">
        <is>
          <t xml:space="preserve">AV. LA FONTANA 362 - LA MOLINA </t>
        </is>
      </c>
      <c r="E5018" t="inlineStr">
        <is>
          <t>Lima, 08 de junio del 2026</t>
        </is>
      </c>
      <c r="F5018" t="inlineStr">
        <is>
          <t>la Recarga y mantenimiento</t>
        </is>
      </c>
      <c r="G5018" t="n">
        <v>6</v>
      </c>
      <c r="H5018" t="inlineStr">
        <is>
          <t>06 KG</t>
        </is>
      </c>
      <c r="I5018" t="n">
        <v>2029</v>
      </c>
      <c r="J5018" t="n">
        <v>2019</v>
      </c>
      <c r="K5018" t="inlineStr">
        <is>
          <t>JUNIO 2026</t>
        </is>
      </c>
      <c r="L5018" t="inlineStr">
        <is>
          <t>JUNIO 2027</t>
        </is>
      </c>
      <c r="M5018" t="inlineStr">
        <is>
          <t xml:space="preserve">HALOTRON </t>
        </is>
      </c>
      <c r="N5018" t="inlineStr">
        <is>
          <t>E-021/5614530</t>
        </is>
      </c>
      <c r="O5018" t="inlineStr">
        <is>
          <t>R</t>
        </is>
      </c>
      <c r="P5018">
        <f>TRIM(N5018)</f>
        <v/>
      </c>
    </row>
    <row r="5019">
      <c r="A5019" t="inlineStr">
        <is>
          <t>CO-002754</t>
        </is>
      </c>
      <c r="B5019" t="inlineStr">
        <is>
          <t>BRITISH AMERICAN HOSPITAL S.A. - CLINICA ANGLOAMERICANA</t>
        </is>
      </c>
      <c r="C5019" t="inlineStr">
        <is>
          <t>20107695584</t>
        </is>
      </c>
      <c r="D5019" t="inlineStr">
        <is>
          <t xml:space="preserve">AV. LA FONTANA 362 - LA MOLINA </t>
        </is>
      </c>
      <c r="E5019" t="inlineStr">
        <is>
          <t>Lima, 08 de junio del 2026</t>
        </is>
      </c>
      <c r="F5019" t="inlineStr">
        <is>
          <t>la Recarga y mantenimiento</t>
        </is>
      </c>
      <c r="G5019" t="n">
        <v>7</v>
      </c>
      <c r="H5019" t="inlineStr">
        <is>
          <t>06 KG</t>
        </is>
      </c>
      <c r="I5019" t="n">
        <v>2029</v>
      </c>
      <c r="J5019" t="n">
        <v>2019</v>
      </c>
      <c r="K5019" t="inlineStr">
        <is>
          <t>JUNIO 2026</t>
        </is>
      </c>
      <c r="L5019" t="inlineStr">
        <is>
          <t>JUNIO 2027</t>
        </is>
      </c>
      <c r="M5019" t="inlineStr">
        <is>
          <t xml:space="preserve">HALOTRON </t>
        </is>
      </c>
      <c r="N5019" t="inlineStr">
        <is>
          <t>E-022/4193912</t>
        </is>
      </c>
      <c r="O5019" t="inlineStr">
        <is>
          <t>R</t>
        </is>
      </c>
      <c r="P5019">
        <f>TRIM(N5019)</f>
        <v/>
      </c>
    </row>
    <row r="5020">
      <c r="A5020" t="inlineStr">
        <is>
          <t>CO-002754</t>
        </is>
      </c>
      <c r="B5020" t="inlineStr">
        <is>
          <t>BRITISH AMERICAN HOSPITAL S.A. - CLINICA ANGLOAMERICANA</t>
        </is>
      </c>
      <c r="C5020" t="inlineStr">
        <is>
          <t>20107695584</t>
        </is>
      </c>
      <c r="D5020" t="inlineStr">
        <is>
          <t xml:space="preserve">AV. LA FONTANA 362 - LA MOLINA </t>
        </is>
      </c>
      <c r="E5020" t="inlineStr">
        <is>
          <t>Lima, 08 de junio del 2026</t>
        </is>
      </c>
      <c r="F5020" t="inlineStr">
        <is>
          <t>la Recarga y mantenimiento</t>
        </is>
      </c>
      <c r="G5020" t="n">
        <v>8</v>
      </c>
      <c r="H5020" t="inlineStr">
        <is>
          <t>06 KG</t>
        </is>
      </c>
      <c r="I5020" t="n">
        <v>2029</v>
      </c>
      <c r="J5020" t="n">
        <v>2019</v>
      </c>
      <c r="K5020" t="inlineStr">
        <is>
          <t>JUNIO 2026</t>
        </is>
      </c>
      <c r="L5020" t="inlineStr">
        <is>
          <t>JUNIO 2027</t>
        </is>
      </c>
      <c r="M5020" t="inlineStr">
        <is>
          <t xml:space="preserve">HALOTRON </t>
        </is>
      </c>
      <c r="N5020" t="inlineStr">
        <is>
          <t>E-023/4193771</t>
        </is>
      </c>
      <c r="O5020" t="inlineStr">
        <is>
          <t>R</t>
        </is>
      </c>
      <c r="P5020">
        <f>TRIM(N5020)</f>
        <v/>
      </c>
    </row>
    <row r="5021">
      <c r="A5021" t="inlineStr">
        <is>
          <t>CO-002754</t>
        </is>
      </c>
      <c r="B5021" t="inlineStr">
        <is>
          <t>BRITISH AMERICAN HOSPITAL S.A. - CLINICA ANGLOAMERICANA</t>
        </is>
      </c>
      <c r="C5021" t="inlineStr">
        <is>
          <t>20107695584</t>
        </is>
      </c>
      <c r="D5021" t="inlineStr">
        <is>
          <t xml:space="preserve">AV. LA FONTANA 362 - LA MOLINA </t>
        </is>
      </c>
      <c r="E5021" t="inlineStr">
        <is>
          <t>Lima, 08 de junio del 2026</t>
        </is>
      </c>
      <c r="F5021" t="inlineStr">
        <is>
          <t>la Recarga y mantenimiento</t>
        </is>
      </c>
      <c r="G5021" t="n">
        <v>9</v>
      </c>
      <c r="H5021" t="inlineStr">
        <is>
          <t>06 KG</t>
        </is>
      </c>
      <c r="I5021" t="n">
        <v>2029</v>
      </c>
      <c r="J5021" t="n">
        <v>2019</v>
      </c>
      <c r="K5021" t="inlineStr">
        <is>
          <t>JUNIO 2026</t>
        </is>
      </c>
      <c r="L5021" t="inlineStr">
        <is>
          <t>JUNIO 2027</t>
        </is>
      </c>
      <c r="M5021" t="inlineStr">
        <is>
          <t xml:space="preserve">HALOTRON </t>
        </is>
      </c>
      <c r="N5021" t="inlineStr">
        <is>
          <t>E-024/5615425</t>
        </is>
      </c>
      <c r="O5021" t="inlineStr">
        <is>
          <t>R</t>
        </is>
      </c>
      <c r="P5021">
        <f>TRIM(N5021)</f>
        <v/>
      </c>
    </row>
    <row r="5022">
      <c r="A5022" t="inlineStr">
        <is>
          <t>CO-002754</t>
        </is>
      </c>
      <c r="B5022" t="inlineStr">
        <is>
          <t>BRITISH AMERICAN HOSPITAL S.A. - CLINICA ANGLOAMERICANA</t>
        </is>
      </c>
      <c r="C5022" t="inlineStr">
        <is>
          <t>20107695584</t>
        </is>
      </c>
      <c r="D5022" t="inlineStr">
        <is>
          <t xml:space="preserve">AV. LA FONTANA 362 - LA MOLINA </t>
        </is>
      </c>
      <c r="E5022" t="inlineStr">
        <is>
          <t>Lima, 08 de junio del 2026</t>
        </is>
      </c>
      <c r="F5022" t="inlineStr">
        <is>
          <t>la Recarga y mantenimiento</t>
        </is>
      </c>
      <c r="G5022" t="n">
        <v>10</v>
      </c>
      <c r="H5022" t="inlineStr">
        <is>
          <t>06 KG</t>
        </is>
      </c>
      <c r="I5022" t="n">
        <v>2029</v>
      </c>
      <c r="J5022" t="n">
        <v>2019</v>
      </c>
      <c r="K5022" t="inlineStr">
        <is>
          <t>JUNIO 2026</t>
        </is>
      </c>
      <c r="L5022" t="inlineStr">
        <is>
          <t>JUNIO 2027</t>
        </is>
      </c>
      <c r="M5022" t="inlineStr">
        <is>
          <t xml:space="preserve">HALOTRON </t>
        </is>
      </c>
      <c r="N5022" t="inlineStr">
        <is>
          <t>E-025/419311</t>
        </is>
      </c>
      <c r="O5022" t="inlineStr">
        <is>
          <t>R</t>
        </is>
      </c>
      <c r="P5022">
        <f>TRIM(N5022)</f>
        <v/>
      </c>
    </row>
    <row r="5023">
      <c r="A5023" t="inlineStr">
        <is>
          <t>CO-002754</t>
        </is>
      </c>
      <c r="B5023" t="inlineStr">
        <is>
          <t>BRITISH AMERICAN HOSPITAL S.A. - CLINICA ANGLOAMERICANA</t>
        </is>
      </c>
      <c r="C5023" t="inlineStr">
        <is>
          <t>20107695584</t>
        </is>
      </c>
      <c r="D5023" t="inlineStr">
        <is>
          <t xml:space="preserve">AV. LA FONTANA 362 - LA MOLINA </t>
        </is>
      </c>
      <c r="E5023" t="inlineStr">
        <is>
          <t>Lima, 08 de junio del 2026</t>
        </is>
      </c>
      <c r="F5023" t="inlineStr">
        <is>
          <t>la Recarga y mantenimiento</t>
        </is>
      </c>
      <c r="G5023" t="n">
        <v>11</v>
      </c>
      <c r="H5023" t="inlineStr">
        <is>
          <t>06 KG</t>
        </is>
      </c>
      <c r="I5023" t="n">
        <v>2029</v>
      </c>
      <c r="J5023" t="n">
        <v>2019</v>
      </c>
      <c r="K5023" t="inlineStr">
        <is>
          <t>JUNIO 2026</t>
        </is>
      </c>
      <c r="L5023" t="inlineStr">
        <is>
          <t>JUNIO 2027</t>
        </is>
      </c>
      <c r="M5023" t="inlineStr">
        <is>
          <t xml:space="preserve">HALOTRON </t>
        </is>
      </c>
      <c r="N5023" t="inlineStr">
        <is>
          <t>E-026/5614963</t>
        </is>
      </c>
      <c r="O5023" t="inlineStr">
        <is>
          <t>R</t>
        </is>
      </c>
      <c r="P5023">
        <f>TRIM(N5023)</f>
        <v/>
      </c>
    </row>
    <row r="5024">
      <c r="A5024" t="inlineStr">
        <is>
          <t>CO-002754</t>
        </is>
      </c>
      <c r="B5024" t="inlineStr">
        <is>
          <t>BRITISH AMERICAN HOSPITAL S.A. - CLINICA ANGLOAMERICANA</t>
        </is>
      </c>
      <c r="C5024" t="inlineStr">
        <is>
          <t>20107695584</t>
        </is>
      </c>
      <c r="D5024" t="inlineStr">
        <is>
          <t xml:space="preserve">AV. LA FONTANA 362 - LA MOLINA </t>
        </is>
      </c>
      <c r="E5024" t="inlineStr">
        <is>
          <t>Lima, 08 de junio del 2026</t>
        </is>
      </c>
      <c r="F5024" t="inlineStr">
        <is>
          <t>la Recarga y mantenimiento</t>
        </is>
      </c>
      <c r="G5024" t="n">
        <v>12</v>
      </c>
      <c r="H5024" t="inlineStr">
        <is>
          <t>06 KG</t>
        </is>
      </c>
      <c r="I5024" t="n">
        <v>2029</v>
      </c>
      <c r="J5024" t="n">
        <v>2019</v>
      </c>
      <c r="K5024" t="inlineStr">
        <is>
          <t>JUNIO 2026</t>
        </is>
      </c>
      <c r="L5024" t="inlineStr">
        <is>
          <t>JUNIO 2027</t>
        </is>
      </c>
      <c r="M5024" t="inlineStr">
        <is>
          <t xml:space="preserve">HALOTRON </t>
        </is>
      </c>
      <c r="N5024" t="inlineStr">
        <is>
          <t>E-027/5614988</t>
        </is>
      </c>
      <c r="O5024" t="inlineStr">
        <is>
          <t>R</t>
        </is>
      </c>
      <c r="P5024">
        <f>TRIM(N5024)</f>
        <v/>
      </c>
    </row>
    <row r="5025">
      <c r="A5025" t="inlineStr">
        <is>
          <t>CO-002754</t>
        </is>
      </c>
      <c r="B5025" t="inlineStr">
        <is>
          <t>BRITISH AMERICAN HOSPITAL S.A. - CLINICA ANGLOAMERICANA</t>
        </is>
      </c>
      <c r="C5025" t="inlineStr">
        <is>
          <t>20107695584</t>
        </is>
      </c>
      <c r="D5025" t="inlineStr">
        <is>
          <t xml:space="preserve">AV. LA FONTANA 362 - LA MOLINA </t>
        </is>
      </c>
      <c r="E5025" t="inlineStr">
        <is>
          <t>Lima, 08 de junio del 2026</t>
        </is>
      </c>
      <c r="F5025" t="inlineStr">
        <is>
          <t>la Recarga y mantenimiento</t>
        </is>
      </c>
      <c r="G5025" t="n">
        <v>13</v>
      </c>
      <c r="H5025" t="inlineStr">
        <is>
          <t>06 KG</t>
        </is>
      </c>
      <c r="I5025" t="n">
        <v>2029</v>
      </c>
      <c r="J5025" t="n">
        <v>2019</v>
      </c>
      <c r="K5025" t="inlineStr">
        <is>
          <t>JUNIO 2026</t>
        </is>
      </c>
      <c r="L5025" t="inlineStr">
        <is>
          <t>JUNIO 2027</t>
        </is>
      </c>
      <c r="M5025" t="inlineStr">
        <is>
          <t xml:space="preserve">HALOTRON </t>
        </is>
      </c>
      <c r="N5025" t="inlineStr">
        <is>
          <t>E-028/5614961</t>
        </is>
      </c>
      <c r="P5025">
        <f>TRIM(N5025)</f>
        <v/>
      </c>
    </row>
    <row r="5026">
      <c r="A5026" t="inlineStr">
        <is>
          <t>CO-002755</t>
        </is>
      </c>
      <c r="B5026" t="inlineStr">
        <is>
          <t>CORPORACION DENTAL SERPA E.I.R.L. DE SANDRA QUISPE</t>
        </is>
      </c>
      <c r="C5026" t="inlineStr">
        <is>
          <t>20612042862</t>
        </is>
      </c>
      <c r="D5026" t="inlineStr">
        <is>
          <t>AV. CONDORCANQUI MZ. R1 LT. 22 URB. RESIDENCIAL LUCYANA CARABAYLLO LIMA</t>
        </is>
      </c>
      <c r="E5026" t="inlineStr">
        <is>
          <t>Lima, 05 de junio del 2026</t>
        </is>
      </c>
      <c r="F5026" t="inlineStr">
        <is>
          <t>la Recarga y mantenimiento</t>
        </is>
      </c>
      <c r="G5026" t="inlineStr">
        <is>
          <t>01</t>
        </is>
      </c>
      <c r="H5026" t="inlineStr">
        <is>
          <t>06 KG</t>
        </is>
      </c>
      <c r="I5026" t="inlineStr">
        <is>
          <t>2028</t>
        </is>
      </c>
      <c r="J5026" t="n">
        <v>2023</v>
      </c>
      <c r="K5026" t="inlineStr">
        <is>
          <t>JUNIO 2026</t>
        </is>
      </c>
      <c r="L5026" t="inlineStr">
        <is>
          <t>JUNIO 2027</t>
        </is>
      </c>
      <c r="M5026" t="inlineStr">
        <is>
          <t>PQS TIPO ABC AL 75%</t>
        </is>
      </c>
      <c r="N5026" t="inlineStr">
        <is>
          <t>01/000390</t>
        </is>
      </c>
      <c r="O5026" t="inlineStr">
        <is>
          <t>R</t>
        </is>
      </c>
      <c r="P5026">
        <f>TRIM(N5026)</f>
        <v/>
      </c>
    </row>
    <row r="5027">
      <c r="A5027" t="inlineStr">
        <is>
          <t>CO-002756</t>
        </is>
      </c>
      <c r="B5027" t="inlineStr">
        <is>
          <t xml:space="preserve">PERU MASIVO SA - BUSES </t>
        </is>
      </c>
      <c r="C5027" t="inlineStr">
        <is>
          <t>20492392031</t>
        </is>
      </c>
      <c r="D5027" t="inlineStr">
        <is>
          <t>AV. LOS INCAS CDRA. 4 PATIO NORTE - COMAS</t>
        </is>
      </c>
      <c r="E5027" t="inlineStr">
        <is>
          <t>Lima, 08 de junio del 2026</t>
        </is>
      </c>
      <c r="F5027" t="inlineStr">
        <is>
          <t>la Recarga y mantenimiento</t>
        </is>
      </c>
      <c r="G5027" t="n">
        <v>1</v>
      </c>
      <c r="H5027" t="inlineStr">
        <is>
          <t>06 KG</t>
        </is>
      </c>
      <c r="I5027" t="n">
        <v>2031</v>
      </c>
      <c r="J5027" t="n">
        <v>2021</v>
      </c>
      <c r="K5027" t="inlineStr">
        <is>
          <t>JUNIO 2026</t>
        </is>
      </c>
      <c r="L5027" t="inlineStr">
        <is>
          <t>JUNIO 2027</t>
        </is>
      </c>
      <c r="M5027" t="inlineStr">
        <is>
          <t>PQS/ABC AL 90% NACIONAL</t>
        </is>
      </c>
      <c r="N5027" t="inlineStr">
        <is>
          <t>115/194056</t>
        </is>
      </c>
      <c r="O5027" t="inlineStr">
        <is>
          <t>R</t>
        </is>
      </c>
      <c r="P5027">
        <f>TRIM(N5027)</f>
        <v/>
      </c>
    </row>
    <row r="5028">
      <c r="A5028" t="inlineStr">
        <is>
          <t>CO-002756</t>
        </is>
      </c>
      <c r="B5028" t="inlineStr">
        <is>
          <t xml:space="preserve">PERU MASIVO SA - BUSES </t>
        </is>
      </c>
      <c r="C5028" t="inlineStr">
        <is>
          <t>20492392031</t>
        </is>
      </c>
      <c r="D5028" t="inlineStr">
        <is>
          <t>AV. LOS INCAS CDRA. 4 PATIO NORTE - COMAS</t>
        </is>
      </c>
      <c r="E5028" t="inlineStr">
        <is>
          <t>Lima, 08 de junio del 2026</t>
        </is>
      </c>
      <c r="F5028" t="inlineStr">
        <is>
          <t>la Recarga y mantenimiento</t>
        </is>
      </c>
      <c r="G5028" t="n">
        <v>2</v>
      </c>
      <c r="H5028" t="inlineStr">
        <is>
          <t>06 KG</t>
        </is>
      </c>
      <c r="I5028" t="n">
        <v>2028</v>
      </c>
      <c r="J5028" t="n">
        <v>2010</v>
      </c>
      <c r="K5028" t="inlineStr">
        <is>
          <t>JUNIO 2026</t>
        </is>
      </c>
      <c r="L5028" t="inlineStr">
        <is>
          <t>JUNIO 2027</t>
        </is>
      </c>
      <c r="M5028" t="inlineStr">
        <is>
          <t>PQS/ABC AL 90% NACIONAL</t>
        </is>
      </c>
      <c r="N5028" t="inlineStr">
        <is>
          <t>308/000301</t>
        </is>
      </c>
      <c r="O5028" t="inlineStr">
        <is>
          <t>R</t>
        </is>
      </c>
      <c r="P5028">
        <f>TRIM(N5028)</f>
        <v/>
      </c>
    </row>
    <row r="5029">
      <c r="A5029" t="inlineStr">
        <is>
          <t>CO-002756</t>
        </is>
      </c>
      <c r="B5029" t="inlineStr">
        <is>
          <t xml:space="preserve">PERU MASIVO SA - BUSES </t>
        </is>
      </c>
      <c r="C5029" t="inlineStr">
        <is>
          <t>20492392031</t>
        </is>
      </c>
      <c r="D5029" t="inlineStr">
        <is>
          <t>AV. LOS INCAS CDRA. 4 PATIO NORTE - COMAS</t>
        </is>
      </c>
      <c r="E5029" t="inlineStr">
        <is>
          <t>Lima, 08 de junio del 2026</t>
        </is>
      </c>
      <c r="F5029" t="inlineStr">
        <is>
          <t>la Recarga y mantenimiento</t>
        </is>
      </c>
      <c r="G5029" t="n">
        <v>3</v>
      </c>
      <c r="H5029" t="inlineStr">
        <is>
          <t>06 KG</t>
        </is>
      </c>
      <c r="I5029" t="n">
        <v>2028</v>
      </c>
      <c r="J5029" t="n">
        <v>2009</v>
      </c>
      <c r="K5029" t="inlineStr">
        <is>
          <t>JUNIO 2026</t>
        </is>
      </c>
      <c r="L5029" t="inlineStr">
        <is>
          <t>JUNIO 2027</t>
        </is>
      </c>
      <c r="M5029" t="inlineStr">
        <is>
          <t>PQS/ABC AL 90% NACIONAL</t>
        </is>
      </c>
      <c r="N5029" t="inlineStr">
        <is>
          <t>242/001183</t>
        </is>
      </c>
      <c r="O5029" t="inlineStr">
        <is>
          <t>R</t>
        </is>
      </c>
      <c r="P5029">
        <f>TRIM(N5029)</f>
        <v/>
      </c>
    </row>
    <row r="5030">
      <c r="A5030" t="inlineStr">
        <is>
          <t>CO-002756</t>
        </is>
      </c>
      <c r="B5030" t="inlineStr">
        <is>
          <t xml:space="preserve">PERU MASIVO SA - BUSES </t>
        </is>
      </c>
      <c r="C5030" t="inlineStr">
        <is>
          <t>20492392031</t>
        </is>
      </c>
      <c r="D5030" t="inlineStr">
        <is>
          <t>AV. LOS INCAS CDRA. 4 PATIO NORTE - COMAS</t>
        </is>
      </c>
      <c r="E5030" t="inlineStr">
        <is>
          <t>Lima, 08 de junio del 2026</t>
        </is>
      </c>
      <c r="F5030" t="inlineStr">
        <is>
          <t>la Recarga y mantenimiento</t>
        </is>
      </c>
      <c r="G5030" t="n">
        <v>4</v>
      </c>
      <c r="H5030" t="inlineStr">
        <is>
          <t>06 KG</t>
        </is>
      </c>
      <c r="I5030" t="n">
        <v>2028</v>
      </c>
      <c r="J5030" t="n">
        <v>2010</v>
      </c>
      <c r="K5030" t="inlineStr">
        <is>
          <t>JUNIO 2026</t>
        </is>
      </c>
      <c r="L5030" t="inlineStr">
        <is>
          <t>JUNIO 2027</t>
        </is>
      </c>
      <c r="M5030" t="inlineStr">
        <is>
          <t>PQS/ABC AL 90% NACIONAL</t>
        </is>
      </c>
      <c r="N5030" t="inlineStr">
        <is>
          <t>293/000978</t>
        </is>
      </c>
      <c r="O5030" t="inlineStr">
        <is>
          <t>R</t>
        </is>
      </c>
      <c r="P5030">
        <f>TRIM(N5030)</f>
        <v/>
      </c>
    </row>
    <row r="5031">
      <c r="A5031" t="inlineStr">
        <is>
          <t>CO-002756</t>
        </is>
      </c>
      <c r="B5031" t="inlineStr">
        <is>
          <t xml:space="preserve">PERU MASIVO SA - BUSES </t>
        </is>
      </c>
      <c r="C5031" t="inlineStr">
        <is>
          <t>20492392031</t>
        </is>
      </c>
      <c r="D5031" t="inlineStr">
        <is>
          <t>AV. LOS INCAS CDRA. 4 PATIO NORTE - COMAS</t>
        </is>
      </c>
      <c r="E5031" t="inlineStr">
        <is>
          <t>Lima, 08 de junio del 2026</t>
        </is>
      </c>
      <c r="F5031" t="inlineStr">
        <is>
          <t>la Recarga y mantenimiento</t>
        </is>
      </c>
      <c r="G5031" t="n">
        <v>5</v>
      </c>
      <c r="H5031" t="inlineStr">
        <is>
          <t>06 KG</t>
        </is>
      </c>
      <c r="I5031" t="n">
        <v>2028</v>
      </c>
      <c r="J5031" t="n">
        <v>2009</v>
      </c>
      <c r="K5031" t="inlineStr">
        <is>
          <t>JUNIO 2026</t>
        </is>
      </c>
      <c r="L5031" t="inlineStr">
        <is>
          <t>JUNIO 2027</t>
        </is>
      </c>
      <c r="M5031" t="inlineStr">
        <is>
          <t>PQS/ABC AL 90% NACIONAL</t>
        </is>
      </c>
      <c r="N5031" t="inlineStr">
        <is>
          <t>287/000680</t>
        </is>
      </c>
      <c r="O5031" t="inlineStr">
        <is>
          <t>R</t>
        </is>
      </c>
      <c r="P5031">
        <f>TRIM(N5031)</f>
        <v/>
      </c>
    </row>
    <row r="5032">
      <c r="A5032" t="inlineStr">
        <is>
          <t>CO-002756</t>
        </is>
      </c>
      <c r="B5032" t="inlineStr">
        <is>
          <t xml:space="preserve">PERU MASIVO SA - BUSES </t>
        </is>
      </c>
      <c r="C5032" t="inlineStr">
        <is>
          <t>20492392031</t>
        </is>
      </c>
      <c r="D5032" t="inlineStr">
        <is>
          <t>AV. LOS INCAS CDRA. 4 PATIO NORTE - COMAS</t>
        </is>
      </c>
      <c r="E5032" t="inlineStr">
        <is>
          <t>Lima, 08 de junio del 2026</t>
        </is>
      </c>
      <c r="F5032" t="inlineStr">
        <is>
          <t>la Recarga y mantenimiento</t>
        </is>
      </c>
      <c r="G5032" t="n">
        <v>6</v>
      </c>
      <c r="H5032" t="inlineStr">
        <is>
          <t>06 KG</t>
        </is>
      </c>
      <c r="I5032" t="n">
        <v>2028</v>
      </c>
      <c r="J5032" t="n">
        <v>2009</v>
      </c>
      <c r="K5032" t="inlineStr">
        <is>
          <t>JUNIO 2026</t>
        </is>
      </c>
      <c r="L5032" t="inlineStr">
        <is>
          <t>JUNIO 2027</t>
        </is>
      </c>
      <c r="M5032" t="inlineStr">
        <is>
          <t>PQS/ABC AL 90% NACIONAL</t>
        </is>
      </c>
      <c r="N5032" t="inlineStr">
        <is>
          <t>245/001309</t>
        </is>
      </c>
      <c r="O5032" t="inlineStr">
        <is>
          <t>R</t>
        </is>
      </c>
      <c r="P5032">
        <f>TRIM(N5032)</f>
        <v/>
      </c>
    </row>
    <row r="5033">
      <c r="A5033" t="inlineStr">
        <is>
          <t>CO-002757</t>
        </is>
      </c>
      <c r="B5033" t="inlineStr">
        <is>
          <t xml:space="preserve">PERU MASIVO SA - BUSES </t>
        </is>
      </c>
      <c r="C5033" t="inlineStr">
        <is>
          <t>20492392031</t>
        </is>
      </c>
      <c r="D5033" t="inlineStr">
        <is>
          <t>AV. LOS INCAS CDRA. 4 PATIO NORTE - COMAS</t>
        </is>
      </c>
      <c r="E5033" t="inlineStr">
        <is>
          <t>Lima, 08 de junio del 2026</t>
        </is>
      </c>
      <c r="F5033" t="inlineStr">
        <is>
          <t>la Recarga y mantenimiento</t>
        </is>
      </c>
      <c r="G5033" t="n">
        <v>1</v>
      </c>
      <c r="H5033" t="inlineStr">
        <is>
          <t>06 KG</t>
        </is>
      </c>
      <c r="I5033" t="n">
        <v>2029</v>
      </c>
      <c r="J5033" t="n">
        <v>2009</v>
      </c>
      <c r="K5033" t="inlineStr">
        <is>
          <t>JUNIO 2026</t>
        </is>
      </c>
      <c r="L5033" t="inlineStr">
        <is>
          <t>JUNIO 2027</t>
        </is>
      </c>
      <c r="M5033" t="inlineStr">
        <is>
          <t>PQS/ABC AL 90% NACIONAL</t>
        </is>
      </c>
      <c r="N5033" t="inlineStr">
        <is>
          <t>158/002165</t>
        </is>
      </c>
      <c r="O5033" t="inlineStr">
        <is>
          <t>R</t>
        </is>
      </c>
      <c r="P5033">
        <f>TRIM(N5033)</f>
        <v/>
      </c>
    </row>
    <row r="5034">
      <c r="A5034" t="inlineStr">
        <is>
          <t>CO-002757</t>
        </is>
      </c>
      <c r="B5034" t="inlineStr">
        <is>
          <t xml:space="preserve">PERU MASIVO SA - BUSES </t>
        </is>
      </c>
      <c r="C5034" t="inlineStr">
        <is>
          <t>20492392031</t>
        </is>
      </c>
      <c r="D5034" t="inlineStr">
        <is>
          <t>AV. LOS INCAS CDRA. 4 PATIO NORTE - COMAS</t>
        </is>
      </c>
      <c r="E5034" t="inlineStr">
        <is>
          <t>Lima, 08 de junio del 2026</t>
        </is>
      </c>
      <c r="F5034" t="inlineStr">
        <is>
          <t>la Recarga y mantenimiento</t>
        </is>
      </c>
      <c r="G5034" t="n">
        <v>2</v>
      </c>
      <c r="H5034" t="inlineStr">
        <is>
          <t>06 KG</t>
        </is>
      </c>
      <c r="I5034" t="n">
        <v>2028</v>
      </c>
      <c r="J5034" t="n">
        <v>2009</v>
      </c>
      <c r="K5034" t="inlineStr">
        <is>
          <t>JUNIO 2026</t>
        </is>
      </c>
      <c r="L5034" t="inlineStr">
        <is>
          <t>JUNIO 2027</t>
        </is>
      </c>
      <c r="M5034" t="inlineStr">
        <is>
          <t>PQS/ABC AL 90% NACIONAL</t>
        </is>
      </c>
      <c r="N5034" t="inlineStr">
        <is>
          <t>10/001664</t>
        </is>
      </c>
      <c r="O5034" t="inlineStr">
        <is>
          <t>R</t>
        </is>
      </c>
      <c r="P5034">
        <f>TRIM(N5034)</f>
        <v/>
      </c>
    </row>
    <row r="5035">
      <c r="A5035" t="inlineStr">
        <is>
          <t>CO-002757</t>
        </is>
      </c>
      <c r="B5035" t="inlineStr">
        <is>
          <t xml:space="preserve">PERU MASIVO SA - BUSES </t>
        </is>
      </c>
      <c r="C5035" t="inlineStr">
        <is>
          <t>20492392031</t>
        </is>
      </c>
      <c r="D5035" t="inlineStr">
        <is>
          <t>AV. LOS INCAS CDRA. 4 PATIO NORTE - COMAS</t>
        </is>
      </c>
      <c r="E5035" t="inlineStr">
        <is>
          <t>Lima, 08 de junio del 2026</t>
        </is>
      </c>
      <c r="F5035" t="inlineStr">
        <is>
          <t>la Recarga y mantenimiento</t>
        </is>
      </c>
      <c r="G5035" t="n">
        <v>3</v>
      </c>
      <c r="H5035" t="inlineStr">
        <is>
          <t>06 KG</t>
        </is>
      </c>
      <c r="I5035" t="n">
        <v>2028</v>
      </c>
      <c r="J5035" t="n">
        <v>2009</v>
      </c>
      <c r="K5035" t="inlineStr">
        <is>
          <t>JUNIO 2026</t>
        </is>
      </c>
      <c r="L5035" t="inlineStr">
        <is>
          <t>JUNIO 2027</t>
        </is>
      </c>
      <c r="M5035" t="inlineStr">
        <is>
          <t>PQS/ABC AL 90% NACIONAL</t>
        </is>
      </c>
      <c r="N5035" t="inlineStr">
        <is>
          <t>215/001118</t>
        </is>
      </c>
      <c r="O5035" t="inlineStr">
        <is>
          <t>R</t>
        </is>
      </c>
      <c r="P5035">
        <f>TRIM(N5035)</f>
        <v/>
      </c>
    </row>
    <row r="5036">
      <c r="A5036" t="inlineStr">
        <is>
          <t>CO-002757</t>
        </is>
      </c>
      <c r="B5036" t="inlineStr">
        <is>
          <t xml:space="preserve">PERU MASIVO SA - BUSES </t>
        </is>
      </c>
      <c r="C5036" t="inlineStr">
        <is>
          <t>20492392031</t>
        </is>
      </c>
      <c r="D5036" t="inlineStr">
        <is>
          <t>AV. LOS INCAS CDRA. 4 PATIO NORTE - COMAS</t>
        </is>
      </c>
      <c r="E5036" t="inlineStr">
        <is>
          <t>Lima, 08 de junio del 2026</t>
        </is>
      </c>
      <c r="F5036" t="inlineStr">
        <is>
          <t>la Recarga y mantenimiento</t>
        </is>
      </c>
      <c r="G5036" t="n">
        <v>4</v>
      </c>
      <c r="H5036" t="inlineStr">
        <is>
          <t>06 KG</t>
        </is>
      </c>
      <c r="I5036" t="n">
        <v>2028</v>
      </c>
      <c r="J5036" t="n">
        <v>2010</v>
      </c>
      <c r="K5036" t="inlineStr">
        <is>
          <t>JUNIO 2026</t>
        </is>
      </c>
      <c r="L5036" t="inlineStr">
        <is>
          <t>JUNIO 2027</t>
        </is>
      </c>
      <c r="M5036" t="inlineStr">
        <is>
          <t>PQS/ABC AL 90% NACIONAL</t>
        </is>
      </c>
      <c r="N5036" t="inlineStr">
        <is>
          <t>337/000572</t>
        </is>
      </c>
      <c r="O5036" t="inlineStr">
        <is>
          <t>R</t>
        </is>
      </c>
      <c r="P5036">
        <f>TRIM(N5036)</f>
        <v/>
      </c>
    </row>
    <row r="5037">
      <c r="A5037" t="inlineStr">
        <is>
          <t>CO-002757</t>
        </is>
      </c>
      <c r="B5037" t="inlineStr">
        <is>
          <t xml:space="preserve">PERU MASIVO SA - BUSES </t>
        </is>
      </c>
      <c r="C5037" t="inlineStr">
        <is>
          <t>20492392031</t>
        </is>
      </c>
      <c r="D5037" t="inlineStr">
        <is>
          <t>AV. LOS INCAS CDRA. 4 PATIO NORTE - COMAS</t>
        </is>
      </c>
      <c r="E5037" t="inlineStr">
        <is>
          <t>Lima, 08 de junio del 2026</t>
        </is>
      </c>
      <c r="F5037" t="inlineStr">
        <is>
          <t>la Recarga y mantenimiento</t>
        </is>
      </c>
      <c r="G5037" t="n">
        <v>5</v>
      </c>
      <c r="H5037" t="inlineStr">
        <is>
          <t>06 KG</t>
        </is>
      </c>
      <c r="I5037" t="n">
        <v>2028</v>
      </c>
      <c r="J5037" t="n">
        <v>2009</v>
      </c>
      <c r="K5037" t="inlineStr">
        <is>
          <t>JUNIO 2026</t>
        </is>
      </c>
      <c r="L5037" t="inlineStr">
        <is>
          <t>JUNIO 2027</t>
        </is>
      </c>
      <c r="M5037" t="inlineStr">
        <is>
          <t>PQS/ABC AL 90% NACIONAL</t>
        </is>
      </c>
      <c r="N5037" t="inlineStr">
        <is>
          <t>290/002769</t>
        </is>
      </c>
      <c r="O5037" t="inlineStr">
        <is>
          <t>R</t>
        </is>
      </c>
      <c r="P5037">
        <f>TRIM(N5037)</f>
        <v/>
      </c>
    </row>
    <row r="5038">
      <c r="A5038" t="inlineStr">
        <is>
          <t>CO-002757</t>
        </is>
      </c>
      <c r="B5038" t="inlineStr">
        <is>
          <t xml:space="preserve">PERU MASIVO SA - BUSES </t>
        </is>
      </c>
      <c r="C5038" t="inlineStr">
        <is>
          <t>20492392031</t>
        </is>
      </c>
      <c r="D5038" t="inlineStr">
        <is>
          <t>AV. LOS INCAS CDRA. 4 PATIO NORTE - COMAS</t>
        </is>
      </c>
      <c r="E5038" t="inlineStr">
        <is>
          <t>Lima, 08 de junio del 2026</t>
        </is>
      </c>
      <c r="F5038" t="inlineStr">
        <is>
          <t>la Recarga y mantenimiento</t>
        </is>
      </c>
      <c r="G5038" t="n">
        <v>6</v>
      </c>
      <c r="H5038" t="inlineStr">
        <is>
          <t>06 KG</t>
        </is>
      </c>
      <c r="I5038" t="n">
        <v>2028</v>
      </c>
      <c r="J5038" t="n">
        <v>2010</v>
      </c>
      <c r="K5038" t="inlineStr">
        <is>
          <t>JUNIO 2026</t>
        </is>
      </c>
      <c r="L5038" t="inlineStr">
        <is>
          <t>JUNIO 2027</t>
        </is>
      </c>
      <c r="M5038" t="inlineStr">
        <is>
          <t>PQS/ABC AL 90% NACIONAL</t>
        </is>
      </c>
      <c r="N5038" t="inlineStr">
        <is>
          <t>307/000138</t>
        </is>
      </c>
      <c r="O5038" t="inlineStr">
        <is>
          <t>R</t>
        </is>
      </c>
      <c r="P5038">
        <f>TRIM(N5038)</f>
        <v/>
      </c>
    </row>
    <row r="5039">
      <c r="A5039" t="inlineStr">
        <is>
          <t>CO-002757</t>
        </is>
      </c>
      <c r="B5039" t="inlineStr">
        <is>
          <t xml:space="preserve">PERU MASIVO SA - BUSES </t>
        </is>
      </c>
      <c r="C5039" t="inlineStr">
        <is>
          <t>20492392031</t>
        </is>
      </c>
      <c r="D5039" t="inlineStr">
        <is>
          <t>AV. LOS INCAS CDRA. 4 PATIO NORTE - COMAS</t>
        </is>
      </c>
      <c r="E5039" t="inlineStr">
        <is>
          <t>Lima, 08 de junio del 2026</t>
        </is>
      </c>
      <c r="F5039" t="inlineStr">
        <is>
          <t>la Recarga y mantenimiento</t>
        </is>
      </c>
      <c r="G5039" t="n">
        <v>7</v>
      </c>
      <c r="H5039" t="inlineStr">
        <is>
          <t>06 KG</t>
        </is>
      </c>
      <c r="I5039" t="n">
        <v>2028</v>
      </c>
      <c r="J5039" t="n">
        <v>2015</v>
      </c>
      <c r="K5039" t="inlineStr">
        <is>
          <t>JUNIO 2026</t>
        </is>
      </c>
      <c r="L5039" t="inlineStr">
        <is>
          <t>JUNIO 2027</t>
        </is>
      </c>
      <c r="M5039" t="inlineStr">
        <is>
          <t>PQS/ABC AL 90% NACIONAL</t>
        </is>
      </c>
      <c r="N5039" t="inlineStr">
        <is>
          <t>09/001999</t>
        </is>
      </c>
      <c r="O5039" t="inlineStr">
        <is>
          <t>R</t>
        </is>
      </c>
      <c r="P5039">
        <f>TRIM(N5039)</f>
        <v/>
      </c>
    </row>
    <row r="5040">
      <c r="A5040" t="inlineStr">
        <is>
          <t>CO-002757</t>
        </is>
      </c>
      <c r="B5040" t="inlineStr">
        <is>
          <t xml:space="preserve">PERU MASIVO SA - BUSES </t>
        </is>
      </c>
      <c r="C5040" t="inlineStr">
        <is>
          <t>20492392031</t>
        </is>
      </c>
      <c r="D5040" t="inlineStr">
        <is>
          <t>AV. LOS INCAS CDRA. 4 PATIO NORTE - COMAS</t>
        </is>
      </c>
      <c r="E5040" t="inlineStr">
        <is>
          <t>Lima, 08 de junio del 2026</t>
        </is>
      </c>
      <c r="F5040" t="inlineStr">
        <is>
          <t>la Recarga y mantenimiento</t>
        </is>
      </c>
      <c r="G5040" t="n">
        <v>8</v>
      </c>
      <c r="H5040" t="inlineStr">
        <is>
          <t>06 KG</t>
        </is>
      </c>
      <c r="I5040" t="n">
        <v>2028</v>
      </c>
      <c r="J5040" t="n">
        <v>2015</v>
      </c>
      <c r="K5040" t="inlineStr">
        <is>
          <t>JUNIO 2026</t>
        </is>
      </c>
      <c r="L5040" t="inlineStr">
        <is>
          <t>JUNIO 2027</t>
        </is>
      </c>
      <c r="M5040" t="inlineStr">
        <is>
          <t>PQS/ABC AL 90% NACIONAL</t>
        </is>
      </c>
      <c r="N5040" t="inlineStr">
        <is>
          <t>44/001353</t>
        </is>
      </c>
      <c r="O5040" t="inlineStr">
        <is>
          <t>R</t>
        </is>
      </c>
      <c r="P5040">
        <f>TRIM(N5040)</f>
        <v/>
      </c>
    </row>
    <row r="5041">
      <c r="A5041" t="inlineStr">
        <is>
          <t>CO-002757</t>
        </is>
      </c>
      <c r="B5041" t="inlineStr">
        <is>
          <t xml:space="preserve">PERU MASIVO SA - BUSES </t>
        </is>
      </c>
      <c r="C5041" t="inlineStr">
        <is>
          <t>20492392031</t>
        </is>
      </c>
      <c r="D5041" t="inlineStr">
        <is>
          <t>AV. LOS INCAS CDRA. 4 PATIO NORTE - COMAS</t>
        </is>
      </c>
      <c r="E5041" t="inlineStr">
        <is>
          <t>Lima, 08 de junio del 2026</t>
        </is>
      </c>
      <c r="F5041" t="inlineStr">
        <is>
          <t>la Recarga y mantenimiento</t>
        </is>
      </c>
      <c r="G5041" t="n">
        <v>9</v>
      </c>
      <c r="H5041" t="inlineStr">
        <is>
          <t>06 KG</t>
        </is>
      </c>
      <c r="I5041" t="n">
        <v>2028</v>
      </c>
      <c r="J5041" t="n">
        <v>2009</v>
      </c>
      <c r="K5041" t="inlineStr">
        <is>
          <t>JUNIO 2026</t>
        </is>
      </c>
      <c r="L5041" t="inlineStr">
        <is>
          <t>JUNIO 2027</t>
        </is>
      </c>
      <c r="M5041" t="inlineStr">
        <is>
          <t>PQS/ABC AL 90% NACIONAL</t>
        </is>
      </c>
      <c r="N5041" t="inlineStr">
        <is>
          <t>322/001677</t>
        </is>
      </c>
      <c r="O5041" t="inlineStr">
        <is>
          <t>R</t>
        </is>
      </c>
      <c r="P5041">
        <f>TRIM(N5041)</f>
        <v/>
      </c>
    </row>
    <row r="5042">
      <c r="A5042" t="inlineStr">
        <is>
          <t>CO-002757</t>
        </is>
      </c>
      <c r="B5042" t="inlineStr">
        <is>
          <t xml:space="preserve">PERU MASIVO SA - BUSES </t>
        </is>
      </c>
      <c r="C5042" t="inlineStr">
        <is>
          <t>20492392031</t>
        </is>
      </c>
      <c r="D5042" t="inlineStr">
        <is>
          <t>AV. LOS INCAS CDRA. 4 PATIO NORTE - COMAS</t>
        </is>
      </c>
      <c r="E5042" t="inlineStr">
        <is>
          <t>Lima, 08 de junio del 2026</t>
        </is>
      </c>
      <c r="F5042" t="inlineStr">
        <is>
          <t>la Recarga y mantenimiento</t>
        </is>
      </c>
      <c r="G5042" t="n">
        <v>10</v>
      </c>
      <c r="H5042" t="inlineStr">
        <is>
          <t>06 KG</t>
        </is>
      </c>
      <c r="I5042" t="n">
        <v>2028</v>
      </c>
      <c r="J5042" t="n">
        <v>2010</v>
      </c>
      <c r="K5042" t="inlineStr">
        <is>
          <t>JUNIO 2026</t>
        </is>
      </c>
      <c r="L5042" t="inlineStr">
        <is>
          <t>JUNIO 2027</t>
        </is>
      </c>
      <c r="M5042" t="inlineStr">
        <is>
          <t>PQS/ABC AL 90% NACIONAL</t>
        </is>
      </c>
      <c r="N5042" t="inlineStr">
        <is>
          <t>192/000168</t>
        </is>
      </c>
      <c r="O5042" t="inlineStr">
        <is>
          <t>R</t>
        </is>
      </c>
      <c r="P5042">
        <f>TRIM(N5042)</f>
        <v/>
      </c>
    </row>
    <row r="5043">
      <c r="A5043" t="inlineStr">
        <is>
          <t>CO-002757</t>
        </is>
      </c>
      <c r="B5043" t="inlineStr">
        <is>
          <t xml:space="preserve">PERU MASIVO SA - BUSES </t>
        </is>
      </c>
      <c r="C5043" t="inlineStr">
        <is>
          <t>20492392031</t>
        </is>
      </c>
      <c r="D5043" t="inlineStr">
        <is>
          <t>AV. LOS INCAS CDRA. 4 PATIO NORTE - COMAS</t>
        </is>
      </c>
      <c r="E5043" t="inlineStr">
        <is>
          <t>Lima, 08 de junio del 2026</t>
        </is>
      </c>
      <c r="F5043" t="inlineStr">
        <is>
          <t>la Recarga y mantenimiento</t>
        </is>
      </c>
      <c r="G5043" t="n">
        <v>11</v>
      </c>
      <c r="H5043" t="inlineStr">
        <is>
          <t>06 KG</t>
        </is>
      </c>
      <c r="I5043" t="n">
        <v>2028</v>
      </c>
      <c r="J5043" t="n">
        <v>2010</v>
      </c>
      <c r="K5043" t="inlineStr">
        <is>
          <t>JUNIO 2026</t>
        </is>
      </c>
      <c r="L5043" t="inlineStr">
        <is>
          <t>JUNIO 2027</t>
        </is>
      </c>
      <c r="M5043" t="inlineStr">
        <is>
          <t>PQS/ABC AL 90% NACIONAL</t>
        </is>
      </c>
      <c r="N5043" t="inlineStr">
        <is>
          <t>285/000802</t>
        </is>
      </c>
      <c r="O5043" t="inlineStr">
        <is>
          <t>R</t>
        </is>
      </c>
      <c r="P5043">
        <f>TRIM(N5043)</f>
        <v/>
      </c>
    </row>
    <row r="5044">
      <c r="A5044" t="inlineStr">
        <is>
          <t>CO-002758</t>
        </is>
      </c>
      <c r="B5044" t="inlineStr">
        <is>
          <t xml:space="preserve">PERU MASIVO SA </t>
        </is>
      </c>
      <c r="C5044" t="inlineStr">
        <is>
          <t>20492392031</t>
        </is>
      </c>
      <c r="D5044" t="inlineStr">
        <is>
          <t>AV. LOS INCAS CDRA. 4 PATIO NORTE - COMAS</t>
        </is>
      </c>
      <c r="E5044" t="inlineStr">
        <is>
          <t>Lima, 08 de junio del 2026</t>
        </is>
      </c>
      <c r="F5044" t="inlineStr">
        <is>
          <t>la Recarga y mantenimiento</t>
        </is>
      </c>
      <c r="G5044" t="n">
        <v>1</v>
      </c>
      <c r="H5044" t="inlineStr">
        <is>
          <t>06 KG</t>
        </is>
      </c>
      <c r="I5044" t="n">
        <v>2</v>
      </c>
      <c r="J5044" t="n">
        <v>2020</v>
      </c>
      <c r="K5044" t="inlineStr">
        <is>
          <t>JUNIO 2026</t>
        </is>
      </c>
      <c r="L5044" t="inlineStr">
        <is>
          <t>JUNIO 2027</t>
        </is>
      </c>
      <c r="M5044" t="inlineStr">
        <is>
          <t>PQS/ABC AL 90% NACIONAL</t>
        </is>
      </c>
      <c r="N5044" t="inlineStr">
        <is>
          <t>000301</t>
        </is>
      </c>
      <c r="P5044">
        <f>TRIM(N5044)</f>
        <v/>
      </c>
    </row>
    <row r="5045">
      <c r="A5045" t="inlineStr">
        <is>
          <t>CO-002759</t>
        </is>
      </c>
      <c r="B5045" t="inlineStr">
        <is>
          <t>BRITISH AMERICAN HOSPITAL S.A. - CLINICA ANGLOAMERICANA</t>
        </is>
      </c>
      <c r="C5045" t="inlineStr">
        <is>
          <t>20107695584</t>
        </is>
      </c>
      <c r="D5045" t="inlineStr">
        <is>
          <t xml:space="preserve">JR ALFREDO SALAZAR 350 - SAN ISIDRO </t>
        </is>
      </c>
      <c r="E5045" t="inlineStr">
        <is>
          <t>Lima, 12 de junio del 2026</t>
        </is>
      </c>
      <c r="F5045" t="inlineStr">
        <is>
          <t>la Recarga y mantenimiento</t>
        </is>
      </c>
      <c r="G5045" t="n">
        <v>1</v>
      </c>
      <c r="H5045" t="inlineStr">
        <is>
          <t>04 KG</t>
        </is>
      </c>
      <c r="I5045" t="n">
        <v>2029</v>
      </c>
      <c r="J5045" t="n">
        <v>2008</v>
      </c>
      <c r="K5045" t="inlineStr">
        <is>
          <t>JUNIO 2026</t>
        </is>
      </c>
      <c r="L5045" t="inlineStr">
        <is>
          <t>JUNIO 2027</t>
        </is>
      </c>
      <c r="M5045" t="inlineStr">
        <is>
          <t>PQS TIPO ABC AL 75%</t>
        </is>
      </c>
      <c r="N5045" t="inlineStr">
        <is>
          <t>S/N/000761</t>
        </is>
      </c>
      <c r="O5045" t="inlineStr">
        <is>
          <t>R</t>
        </is>
      </c>
      <c r="P5045">
        <f>TRIM(N5045)</f>
        <v/>
      </c>
    </row>
    <row r="5046">
      <c r="A5046" t="inlineStr">
        <is>
          <t>CO-002759</t>
        </is>
      </c>
      <c r="B5046" t="inlineStr">
        <is>
          <t>BRITISH AMERICAN HOSPITAL S.A. - CLINICA ANGLOAMERICANA</t>
        </is>
      </c>
      <c r="C5046" t="inlineStr">
        <is>
          <t>20107695584</t>
        </is>
      </c>
      <c r="D5046" t="inlineStr">
        <is>
          <t xml:space="preserve">JR ALFREDO SALAZAR 350 - SAN ISIDRO </t>
        </is>
      </c>
      <c r="E5046" t="inlineStr">
        <is>
          <t>Lima, 12 de junio del 2026</t>
        </is>
      </c>
      <c r="F5046" t="inlineStr">
        <is>
          <t>la Recarga y mantenimiento</t>
        </is>
      </c>
      <c r="G5046" t="n">
        <v>2</v>
      </c>
      <c r="H5046" t="inlineStr">
        <is>
          <t>04 KG</t>
        </is>
      </c>
      <c r="I5046" t="n">
        <v>2029</v>
      </c>
      <c r="J5046" t="n">
        <v>2013</v>
      </c>
      <c r="K5046" t="inlineStr">
        <is>
          <t>JUNIO 2026</t>
        </is>
      </c>
      <c r="L5046" t="inlineStr">
        <is>
          <t>JUNIO 2027</t>
        </is>
      </c>
      <c r="M5046" t="inlineStr">
        <is>
          <t>PQS TIPO ABC AL 75%</t>
        </is>
      </c>
      <c r="N5046" t="inlineStr">
        <is>
          <t>E-107/001244</t>
        </is>
      </c>
      <c r="O5046" t="inlineStr">
        <is>
          <t>R</t>
        </is>
      </c>
      <c r="P5046">
        <f>TRIM(N5046)</f>
        <v/>
      </c>
    </row>
    <row r="5047">
      <c r="A5047" t="inlineStr">
        <is>
          <t>CO-002759</t>
        </is>
      </c>
      <c r="B5047" t="inlineStr">
        <is>
          <t>BRITISH AMERICAN HOSPITAL S.A. - CLINICA ANGLOAMERICANA</t>
        </is>
      </c>
      <c r="C5047" t="inlineStr">
        <is>
          <t>20107695584</t>
        </is>
      </c>
      <c r="D5047" t="inlineStr">
        <is>
          <t xml:space="preserve">JR ALFREDO SALAZAR 350 - SAN ISIDRO </t>
        </is>
      </c>
      <c r="E5047" t="inlineStr">
        <is>
          <t>Lima, 12 de junio del 2026</t>
        </is>
      </c>
      <c r="F5047" t="inlineStr">
        <is>
          <t>la Recarga y mantenimiento</t>
        </is>
      </c>
      <c r="G5047" t="n">
        <v>3</v>
      </c>
      <c r="H5047" t="inlineStr">
        <is>
          <t>06 KG</t>
        </is>
      </c>
      <c r="I5047" t="n">
        <v>2031</v>
      </c>
      <c r="J5047" t="n">
        <v>2016</v>
      </c>
      <c r="K5047" t="inlineStr">
        <is>
          <t>JUNIO 2026</t>
        </is>
      </c>
      <c r="L5047" t="inlineStr">
        <is>
          <t>JUNIO 2027</t>
        </is>
      </c>
      <c r="M5047" t="inlineStr">
        <is>
          <t>PQS TIPO ABC AL 75%</t>
        </is>
      </c>
      <c r="N5047" t="inlineStr">
        <is>
          <t>E-093/005048</t>
        </is>
      </c>
      <c r="O5047" t="inlineStr">
        <is>
          <t>R</t>
        </is>
      </c>
      <c r="P5047">
        <f>TRIM(N5047)</f>
        <v/>
      </c>
    </row>
    <row r="5048">
      <c r="A5048" t="inlineStr">
        <is>
          <t>CO-002759</t>
        </is>
      </c>
      <c r="B5048" t="inlineStr">
        <is>
          <t>BRITISH AMERICAN HOSPITAL S.A. - CLINICA ANGLOAMERICANA</t>
        </is>
      </c>
      <c r="C5048" t="inlineStr">
        <is>
          <t>20107695584</t>
        </is>
      </c>
      <c r="D5048" t="inlineStr">
        <is>
          <t xml:space="preserve">JR ALFREDO SALAZAR 350 - SAN ISIDRO </t>
        </is>
      </c>
      <c r="E5048" t="inlineStr">
        <is>
          <t>Lima, 12 de junio del 2026</t>
        </is>
      </c>
      <c r="F5048" t="inlineStr">
        <is>
          <t>la Recarga y mantenimiento</t>
        </is>
      </c>
      <c r="G5048" t="n">
        <v>4</v>
      </c>
      <c r="H5048" t="inlineStr">
        <is>
          <t>06 KG</t>
        </is>
      </c>
      <c r="I5048" t="n">
        <v>2029</v>
      </c>
      <c r="J5048" t="n">
        <v>2024</v>
      </c>
      <c r="K5048" t="inlineStr">
        <is>
          <t>JUNIO 2026</t>
        </is>
      </c>
      <c r="L5048" t="inlineStr">
        <is>
          <t>JUNIO 2027</t>
        </is>
      </c>
      <c r="M5048" t="inlineStr">
        <is>
          <t>PQS TIPO ABC AL 75%</t>
        </is>
      </c>
      <c r="N5048" t="inlineStr">
        <is>
          <t>S/N/932875</t>
        </is>
      </c>
      <c r="O5048" t="inlineStr">
        <is>
          <t>R</t>
        </is>
      </c>
      <c r="P5048">
        <f>TRIM(N5048)</f>
        <v/>
      </c>
    </row>
    <row r="5049">
      <c r="A5049" t="inlineStr">
        <is>
          <t>CO-002759</t>
        </is>
      </c>
      <c r="B5049" t="inlineStr">
        <is>
          <t>BRITISH AMERICAN HOSPITAL S.A. - CLINICA ANGLOAMERICANA</t>
        </is>
      </c>
      <c r="C5049" t="inlineStr">
        <is>
          <t>20107695584</t>
        </is>
      </c>
      <c r="D5049" t="inlineStr">
        <is>
          <t xml:space="preserve">JR ALFREDO SALAZAR 350 - SAN ISIDRO </t>
        </is>
      </c>
      <c r="E5049" t="inlineStr">
        <is>
          <t>Lima, 12 de junio del 2026</t>
        </is>
      </c>
      <c r="F5049" t="inlineStr">
        <is>
          <t>la Recarga y mantenimiento</t>
        </is>
      </c>
      <c r="G5049" t="n">
        <v>5</v>
      </c>
      <c r="H5049" t="inlineStr">
        <is>
          <t>06 KG</t>
        </is>
      </c>
      <c r="I5049" t="n">
        <v>2029</v>
      </c>
      <c r="J5049" t="n">
        <v>2024</v>
      </c>
      <c r="K5049" t="inlineStr">
        <is>
          <t>JUNIO 2026</t>
        </is>
      </c>
      <c r="L5049" t="inlineStr">
        <is>
          <t>JUNIO 2027</t>
        </is>
      </c>
      <c r="M5049" t="inlineStr">
        <is>
          <t>PQS TIPO ABC AL 75%</t>
        </is>
      </c>
      <c r="N5049" t="inlineStr">
        <is>
          <t>S/N901335</t>
        </is>
      </c>
      <c r="O5049" t="inlineStr">
        <is>
          <t>R</t>
        </is>
      </c>
      <c r="P5049">
        <f>TRIM(N5049)</f>
        <v/>
      </c>
    </row>
    <row r="5050">
      <c r="A5050" t="inlineStr">
        <is>
          <t>CO-002759</t>
        </is>
      </c>
      <c r="B5050" t="inlineStr">
        <is>
          <t>BRITISH AMERICAN HOSPITAL S.A. - CLINICA ANGLOAMERICANA</t>
        </is>
      </c>
      <c r="C5050" t="inlineStr">
        <is>
          <t>20107695584</t>
        </is>
      </c>
      <c r="D5050" t="inlineStr">
        <is>
          <t xml:space="preserve">JR ALFREDO SALAZAR 350 - SAN ISIDRO </t>
        </is>
      </c>
      <c r="E5050" t="inlineStr">
        <is>
          <t>Lima, 12 de junio del 2026</t>
        </is>
      </c>
      <c r="F5050" t="inlineStr">
        <is>
          <t>la Recarga y mantenimiento</t>
        </is>
      </c>
      <c r="G5050" t="n">
        <v>6</v>
      </c>
      <c r="H5050" t="inlineStr">
        <is>
          <t>06 KG</t>
        </is>
      </c>
      <c r="I5050" t="n">
        <v>2031</v>
      </c>
      <c r="J5050" t="n">
        <v>2014</v>
      </c>
      <c r="K5050" t="inlineStr">
        <is>
          <t>JUNIO 2026</t>
        </is>
      </c>
      <c r="L5050" t="inlineStr">
        <is>
          <t>JUNIO 2027</t>
        </is>
      </c>
      <c r="M5050" t="inlineStr">
        <is>
          <t>PQS TIPO ABC AL 75%</t>
        </is>
      </c>
      <c r="N5050" t="inlineStr">
        <is>
          <t>E-099/001942</t>
        </is>
      </c>
      <c r="O5050" t="inlineStr">
        <is>
          <t>R</t>
        </is>
      </c>
      <c r="P5050">
        <f>TRIM(N5050)</f>
        <v/>
      </c>
    </row>
    <row r="5051">
      <c r="A5051" t="inlineStr">
        <is>
          <t>CO-002759</t>
        </is>
      </c>
      <c r="B5051" t="inlineStr">
        <is>
          <t>BRITISH AMERICAN HOSPITAL S.A. - CLINICA ANGLOAMERICANA</t>
        </is>
      </c>
      <c r="C5051" t="inlineStr">
        <is>
          <t>20107695584</t>
        </is>
      </c>
      <c r="D5051" t="inlineStr">
        <is>
          <t xml:space="preserve">JR ALFREDO SALAZAR 350 - SAN ISIDRO </t>
        </is>
      </c>
      <c r="E5051" t="inlineStr">
        <is>
          <t>Lima, 12 de junio del 2026</t>
        </is>
      </c>
      <c r="F5051" t="inlineStr">
        <is>
          <t>la Recarga y mantenimiento</t>
        </is>
      </c>
      <c r="G5051" t="n">
        <v>7</v>
      </c>
      <c r="H5051" t="inlineStr">
        <is>
          <t>06 KG</t>
        </is>
      </c>
      <c r="I5051" t="n">
        <v>2028</v>
      </c>
      <c r="J5051" t="n">
        <v>2010</v>
      </c>
      <c r="K5051" t="inlineStr">
        <is>
          <t>JUNIO 2026</t>
        </is>
      </c>
      <c r="L5051" t="inlineStr">
        <is>
          <t>JUNIO 2027</t>
        </is>
      </c>
      <c r="M5051" t="inlineStr">
        <is>
          <t>PQS TIPO ABC AL 75%</t>
        </is>
      </c>
      <c r="N5051" t="inlineStr">
        <is>
          <t>E-051/000889</t>
        </is>
      </c>
      <c r="O5051" t="inlineStr">
        <is>
          <t>R</t>
        </is>
      </c>
      <c r="P5051">
        <f>TRIM(N5051)</f>
        <v/>
      </c>
    </row>
    <row r="5052">
      <c r="A5052" t="inlineStr">
        <is>
          <t>CO-002759</t>
        </is>
      </c>
      <c r="B5052" t="inlineStr">
        <is>
          <t>BRITISH AMERICAN HOSPITAL S.A. - CLINICA ANGLOAMERICANA</t>
        </is>
      </c>
      <c r="C5052" t="inlineStr">
        <is>
          <t>20107695584</t>
        </is>
      </c>
      <c r="D5052" t="inlineStr">
        <is>
          <t xml:space="preserve">JR ALFREDO SALAZAR 350 - SAN ISIDRO </t>
        </is>
      </c>
      <c r="E5052" t="inlineStr">
        <is>
          <t>Lima, 12 de junio del 2026</t>
        </is>
      </c>
      <c r="F5052" t="inlineStr">
        <is>
          <t>la Recarga y mantenimiento</t>
        </is>
      </c>
      <c r="G5052" t="n">
        <v>8</v>
      </c>
      <c r="H5052" t="inlineStr">
        <is>
          <t>09 KG</t>
        </is>
      </c>
      <c r="I5052" t="n">
        <v>2028</v>
      </c>
      <c r="J5052" t="n">
        <v>2012</v>
      </c>
      <c r="K5052" t="inlineStr">
        <is>
          <t>JUNIO 2026</t>
        </is>
      </c>
      <c r="L5052" t="inlineStr">
        <is>
          <t>JUNIO 2027</t>
        </is>
      </c>
      <c r="M5052" t="inlineStr">
        <is>
          <t>PQS TIPO ABC AL 75%</t>
        </is>
      </c>
      <c r="N5052" t="inlineStr">
        <is>
          <t>E-052/000207</t>
        </is>
      </c>
      <c r="O5052" t="inlineStr">
        <is>
          <t>R</t>
        </is>
      </c>
      <c r="P5052">
        <f>TRIM(N5052)</f>
        <v/>
      </c>
    </row>
    <row r="5053">
      <c r="A5053" t="inlineStr">
        <is>
          <t>CO-002759</t>
        </is>
      </c>
      <c r="B5053" t="inlineStr">
        <is>
          <t>BRITISH AMERICAN HOSPITAL S.A. - CLINICA ANGLOAMERICANA</t>
        </is>
      </c>
      <c r="C5053" t="inlineStr">
        <is>
          <t>20107695584</t>
        </is>
      </c>
      <c r="D5053" t="inlineStr">
        <is>
          <t xml:space="preserve">JR ALFREDO SALAZAR 350 - SAN ISIDRO </t>
        </is>
      </c>
      <c r="E5053" t="inlineStr">
        <is>
          <t>Lima, 12 de junio del 2026</t>
        </is>
      </c>
      <c r="F5053" t="inlineStr">
        <is>
          <t>la Recarga y mantenimiento</t>
        </is>
      </c>
      <c r="G5053" t="n">
        <v>9</v>
      </c>
      <c r="H5053" t="inlineStr">
        <is>
          <t>06 KG</t>
        </is>
      </c>
      <c r="I5053" t="n">
        <v>2029</v>
      </c>
      <c r="J5053" t="n">
        <v>2017</v>
      </c>
      <c r="K5053" t="inlineStr">
        <is>
          <t>JUNIO 2026</t>
        </is>
      </c>
      <c r="L5053" t="inlineStr">
        <is>
          <t>JUNIO 2027</t>
        </is>
      </c>
      <c r="M5053" t="inlineStr">
        <is>
          <t>PQS TIPO ABC AL 75%</t>
        </is>
      </c>
      <c r="N5053" t="inlineStr">
        <is>
          <t>E-122/000324</t>
        </is>
      </c>
      <c r="O5053" t="inlineStr">
        <is>
          <t>R</t>
        </is>
      </c>
      <c r="P5053">
        <f>TRIM(N5053)</f>
        <v/>
      </c>
    </row>
    <row r="5054">
      <c r="A5054" t="inlineStr">
        <is>
          <t>CO-002759</t>
        </is>
      </c>
      <c r="B5054" t="inlineStr">
        <is>
          <t>BRITISH AMERICAN HOSPITAL S.A. - CLINICA ANGLOAMERICANA</t>
        </is>
      </c>
      <c r="C5054" t="inlineStr">
        <is>
          <t>20107695584</t>
        </is>
      </c>
      <c r="D5054" t="inlineStr">
        <is>
          <t xml:space="preserve">JR ALFREDO SALAZAR 350 - SAN ISIDRO </t>
        </is>
      </c>
      <c r="E5054" t="inlineStr">
        <is>
          <t>Lima, 12 de junio del 2026</t>
        </is>
      </c>
      <c r="F5054" t="inlineStr">
        <is>
          <t>la Recarga y mantenimiento</t>
        </is>
      </c>
      <c r="G5054" t="n">
        <v>10</v>
      </c>
      <c r="H5054" t="inlineStr">
        <is>
          <t>06 KG</t>
        </is>
      </c>
      <c r="I5054" t="n">
        <v>2028</v>
      </c>
      <c r="J5054" t="n">
        <v>2009</v>
      </c>
      <c r="K5054" t="inlineStr">
        <is>
          <t>JUNIO 2026</t>
        </is>
      </c>
      <c r="L5054" t="inlineStr">
        <is>
          <t>JUNIO 2027</t>
        </is>
      </c>
      <c r="M5054" t="inlineStr">
        <is>
          <t>PQS TIPO ABC AL 75%</t>
        </is>
      </c>
      <c r="N5054" t="inlineStr">
        <is>
          <t>E-053/001075</t>
        </is>
      </c>
      <c r="O5054" t="inlineStr">
        <is>
          <t>R</t>
        </is>
      </c>
      <c r="P5054">
        <f>TRIM(N5054)</f>
        <v/>
      </c>
    </row>
    <row r="5055">
      <c r="A5055" t="inlineStr">
        <is>
          <t>CO-002759</t>
        </is>
      </c>
      <c r="B5055" t="inlineStr">
        <is>
          <t>BRITISH AMERICAN HOSPITAL S.A. - CLINICA ANGLOAMERICANA</t>
        </is>
      </c>
      <c r="C5055" t="inlineStr">
        <is>
          <t>20107695584</t>
        </is>
      </c>
      <c r="D5055" t="inlineStr">
        <is>
          <t xml:space="preserve">JR ALFREDO SALAZAR 350 - SAN ISIDRO </t>
        </is>
      </c>
      <c r="E5055" t="inlineStr">
        <is>
          <t>Lima, 12 de junio del 2026</t>
        </is>
      </c>
      <c r="F5055" t="inlineStr">
        <is>
          <t>la Recarga y mantenimiento</t>
        </is>
      </c>
      <c r="G5055" t="n">
        <v>11</v>
      </c>
      <c r="H5055" t="inlineStr">
        <is>
          <t>06 KG</t>
        </is>
      </c>
      <c r="I5055" t="n">
        <v>2029</v>
      </c>
      <c r="J5055" t="n">
        <v>2014</v>
      </c>
      <c r="K5055" t="inlineStr">
        <is>
          <t>JUNIO 2026</t>
        </is>
      </c>
      <c r="L5055" t="inlineStr">
        <is>
          <t>JUNIO 2027</t>
        </is>
      </c>
      <c r="M5055" t="inlineStr">
        <is>
          <t>PQS TIPO ABC AL 75%</t>
        </is>
      </c>
      <c r="N5055" t="inlineStr">
        <is>
          <t>E-025/001855</t>
        </is>
      </c>
      <c r="O5055" t="inlineStr">
        <is>
          <t>R</t>
        </is>
      </c>
      <c r="P5055">
        <f>TRIM(N5055)</f>
        <v/>
      </c>
    </row>
    <row r="5056">
      <c r="A5056" t="inlineStr">
        <is>
          <t>CO-002759</t>
        </is>
      </c>
      <c r="B5056" t="inlineStr">
        <is>
          <t>BRITISH AMERICAN HOSPITAL S.A. - CLINICA ANGLOAMERICANA</t>
        </is>
      </c>
      <c r="C5056" t="inlineStr">
        <is>
          <t>20107695584</t>
        </is>
      </c>
      <c r="D5056" t="inlineStr">
        <is>
          <t xml:space="preserve">JR ALFREDO SALAZAR 350 - SAN ISIDRO </t>
        </is>
      </c>
      <c r="E5056" t="inlineStr">
        <is>
          <t>Lima, 12 de junio del 2026</t>
        </is>
      </c>
      <c r="F5056" t="inlineStr">
        <is>
          <t>la Recarga y mantenimiento</t>
        </is>
      </c>
      <c r="G5056" t="n">
        <v>12</v>
      </c>
      <c r="H5056" t="inlineStr">
        <is>
          <t>09 KG</t>
        </is>
      </c>
      <c r="I5056" t="n">
        <v>2028</v>
      </c>
      <c r="J5056" t="n">
        <v>2007</v>
      </c>
      <c r="K5056" t="inlineStr">
        <is>
          <t>JUNIO 2026</t>
        </is>
      </c>
      <c r="L5056" t="inlineStr">
        <is>
          <t>JUNIO 2027</t>
        </is>
      </c>
      <c r="M5056" t="inlineStr">
        <is>
          <t>PQS TIPO ABC AL 75%</t>
        </is>
      </c>
      <c r="N5056" t="inlineStr">
        <is>
          <t>E-018/000119</t>
        </is>
      </c>
      <c r="O5056" t="inlineStr">
        <is>
          <t>R</t>
        </is>
      </c>
      <c r="P5056">
        <f>TRIM(N5056)</f>
        <v/>
      </c>
    </row>
    <row r="5057">
      <c r="A5057" t="inlineStr">
        <is>
          <t>CO-002759</t>
        </is>
      </c>
      <c r="B5057" t="inlineStr">
        <is>
          <t>BRITISH AMERICAN HOSPITAL S.A. - CLINICA ANGLOAMERICANA</t>
        </is>
      </c>
      <c r="C5057" t="inlineStr">
        <is>
          <t>20107695584</t>
        </is>
      </c>
      <c r="D5057" t="inlineStr">
        <is>
          <t xml:space="preserve">JR ALFREDO SALAZAR 350 - SAN ISIDRO </t>
        </is>
      </c>
      <c r="E5057" t="inlineStr">
        <is>
          <t>Lima, 12 de junio del 2026</t>
        </is>
      </c>
      <c r="F5057" t="inlineStr">
        <is>
          <t>la Recarga y mantenimiento</t>
        </is>
      </c>
      <c r="G5057" t="n">
        <v>13</v>
      </c>
      <c r="H5057" t="inlineStr">
        <is>
          <t>12 KG</t>
        </is>
      </c>
      <c r="I5057" t="n">
        <v>2029</v>
      </c>
      <c r="J5057" t="n">
        <v>2007</v>
      </c>
      <c r="K5057" t="inlineStr">
        <is>
          <t>JUNIO 2026</t>
        </is>
      </c>
      <c r="L5057" t="inlineStr">
        <is>
          <t>JUNIO 2027</t>
        </is>
      </c>
      <c r="M5057" t="inlineStr">
        <is>
          <t>PQS TIPO ABC AL 75%</t>
        </is>
      </c>
      <c r="N5057" t="inlineStr">
        <is>
          <t>E-145/000166</t>
        </is>
      </c>
      <c r="O5057" t="inlineStr">
        <is>
          <t>R</t>
        </is>
      </c>
      <c r="P5057">
        <f>TRIM(N5057)</f>
        <v/>
      </c>
    </row>
    <row r="5058">
      <c r="A5058" t="inlineStr">
        <is>
          <t>CO-002759</t>
        </is>
      </c>
      <c r="B5058" t="inlineStr">
        <is>
          <t>BRITISH AMERICAN HOSPITAL S.A. - CLINICA ANGLOAMERICANA</t>
        </is>
      </c>
      <c r="C5058" t="inlineStr">
        <is>
          <t>20107695584</t>
        </is>
      </c>
      <c r="D5058" t="inlineStr">
        <is>
          <t xml:space="preserve">JR ALFREDO SALAZAR 350 - SAN ISIDRO </t>
        </is>
      </c>
      <c r="E5058" t="inlineStr">
        <is>
          <t>Lima, 12 de junio del 2026</t>
        </is>
      </c>
      <c r="F5058" t="inlineStr">
        <is>
          <t>la Recarga y mantenimiento</t>
        </is>
      </c>
      <c r="G5058" t="n">
        <v>14</v>
      </c>
      <c r="H5058" t="inlineStr">
        <is>
          <t>12 KG</t>
        </is>
      </c>
      <c r="I5058" t="n">
        <v>2028</v>
      </c>
      <c r="J5058" t="n">
        <v>2007</v>
      </c>
      <c r="K5058" t="inlineStr">
        <is>
          <t>JUNIO 2026</t>
        </is>
      </c>
      <c r="L5058" t="inlineStr">
        <is>
          <t>JUNIO 2027</t>
        </is>
      </c>
      <c r="M5058" t="inlineStr">
        <is>
          <t>PQS TIPO ABC AL 75%</t>
        </is>
      </c>
      <c r="N5058" t="inlineStr">
        <is>
          <t>E-004/000199</t>
        </is>
      </c>
      <c r="O5058" t="inlineStr">
        <is>
          <t>R</t>
        </is>
      </c>
      <c r="P5058">
        <f>TRIM(N5058)</f>
        <v/>
      </c>
    </row>
    <row r="5059">
      <c r="A5059" t="inlineStr">
        <is>
          <t>CO-002759</t>
        </is>
      </c>
      <c r="B5059" t="inlineStr">
        <is>
          <t>BRITISH AMERICAN HOSPITAL S.A. - CLINICA ANGLOAMERICANA</t>
        </is>
      </c>
      <c r="C5059" t="inlineStr">
        <is>
          <t>20107695584</t>
        </is>
      </c>
      <c r="D5059" t="inlineStr">
        <is>
          <t xml:space="preserve">JR ALFREDO SALAZAR 350 - SAN ISIDRO </t>
        </is>
      </c>
      <c r="E5059" t="inlineStr">
        <is>
          <t>Lima, 12 de junio del 2026</t>
        </is>
      </c>
      <c r="F5059" t="inlineStr">
        <is>
          <t>la Recarga y mantenimiento</t>
        </is>
      </c>
      <c r="G5059" t="n">
        <v>15</v>
      </c>
      <c r="H5059" t="inlineStr">
        <is>
          <t>12 KG</t>
        </is>
      </c>
      <c r="I5059" t="n">
        <v>2028</v>
      </c>
      <c r="J5059" t="n">
        <v>2017</v>
      </c>
      <c r="K5059" t="inlineStr">
        <is>
          <t>JUNIO 2026</t>
        </is>
      </c>
      <c r="L5059" t="inlineStr">
        <is>
          <t>JUNIO 2027</t>
        </is>
      </c>
      <c r="M5059" t="inlineStr">
        <is>
          <t>PQS TIPO ABC AL 75%</t>
        </is>
      </c>
      <c r="N5059" t="inlineStr">
        <is>
          <t>E-035/000336</t>
        </is>
      </c>
      <c r="O5059" t="inlineStr">
        <is>
          <t>R</t>
        </is>
      </c>
      <c r="P5059">
        <f>TRIM(N5059)</f>
        <v/>
      </c>
    </row>
    <row r="5060">
      <c r="A5060" t="inlineStr">
        <is>
          <t>CO-002759</t>
        </is>
      </c>
      <c r="B5060" t="inlineStr">
        <is>
          <t>BRITISH AMERICAN HOSPITAL S.A. - CLINICA ANGLOAMERICANA</t>
        </is>
      </c>
      <c r="C5060" t="inlineStr">
        <is>
          <t>20107695584</t>
        </is>
      </c>
      <c r="D5060" t="inlineStr">
        <is>
          <t xml:space="preserve">JR ALFREDO SALAZAR 350 - SAN ISIDRO </t>
        </is>
      </c>
      <c r="E5060" t="inlineStr">
        <is>
          <t>Lima, 12 de junio del 2026</t>
        </is>
      </c>
      <c r="F5060" t="inlineStr">
        <is>
          <t>la Recarga y mantenimiento</t>
        </is>
      </c>
      <c r="G5060" t="n">
        <v>1</v>
      </c>
      <c r="H5060" t="inlineStr">
        <is>
          <t>10 LBS</t>
        </is>
      </c>
      <c r="I5060" t="n">
        <v>2031</v>
      </c>
      <c r="J5060" t="n">
        <v>2011</v>
      </c>
      <c r="K5060" t="inlineStr">
        <is>
          <t>JUNIO 2026</t>
        </is>
      </c>
      <c r="L5060" t="inlineStr">
        <is>
          <t>JUNIO 2027</t>
        </is>
      </c>
      <c r="M5060" t="inlineStr">
        <is>
          <t>PQS TIPO ABC AL 90% UL</t>
        </is>
      </c>
      <c r="N5060" t="inlineStr">
        <is>
          <t>E-126/001361</t>
        </is>
      </c>
      <c r="O5060" t="inlineStr">
        <is>
          <t>R</t>
        </is>
      </c>
      <c r="P5060">
        <f>TRIM(N5060)</f>
        <v/>
      </c>
    </row>
    <row r="5061">
      <c r="A5061" t="inlineStr">
        <is>
          <t>CO-002759</t>
        </is>
      </c>
      <c r="B5061" t="inlineStr">
        <is>
          <t>BRITISH AMERICAN HOSPITAL S.A. - CLINICA ANGLOAMERICANA</t>
        </is>
      </c>
      <c r="C5061" t="inlineStr">
        <is>
          <t>20107695584</t>
        </is>
      </c>
      <c r="D5061" t="inlineStr">
        <is>
          <t xml:space="preserve">JR ALFREDO SALAZAR 350 - SAN ISIDRO </t>
        </is>
      </c>
      <c r="E5061" t="inlineStr">
        <is>
          <t>Lima, 12 de junio del 2026</t>
        </is>
      </c>
      <c r="F5061" t="inlineStr">
        <is>
          <t>la Recarga y mantenimiento</t>
        </is>
      </c>
      <c r="G5061" t="n">
        <v>2</v>
      </c>
      <c r="H5061" t="inlineStr">
        <is>
          <t>20 LBS</t>
        </is>
      </c>
      <c r="I5061" t="n">
        <v>2027</v>
      </c>
      <c r="J5061" t="n">
        <v>2022</v>
      </c>
      <c r="K5061" t="inlineStr">
        <is>
          <t>JUNIO 2026</t>
        </is>
      </c>
      <c r="L5061" t="inlineStr">
        <is>
          <t>JUNIO 2027</t>
        </is>
      </c>
      <c r="M5061" t="inlineStr">
        <is>
          <t>PQS TIPO ABC AL 90% UL</t>
        </is>
      </c>
      <c r="N5061" t="inlineStr">
        <is>
          <t>E-110/S/N</t>
        </is>
      </c>
      <c r="O5061" t="inlineStr">
        <is>
          <t>R</t>
        </is>
      </c>
      <c r="P5061">
        <f>TRIM(N5061)</f>
        <v/>
      </c>
    </row>
    <row r="5062">
      <c r="A5062" t="inlineStr">
        <is>
          <t>CO-002759</t>
        </is>
      </c>
      <c r="B5062" t="inlineStr">
        <is>
          <t>BRITISH AMERICAN HOSPITAL S.A. - CLINICA ANGLOAMERICANA</t>
        </is>
      </c>
      <c r="C5062" t="inlineStr">
        <is>
          <t>20107695584</t>
        </is>
      </c>
      <c r="D5062" t="inlineStr">
        <is>
          <t xml:space="preserve">JR ALFREDO SALAZAR 350 - SAN ISIDRO </t>
        </is>
      </c>
      <c r="E5062" t="inlineStr">
        <is>
          <t>Lima, 12 de junio del 2026</t>
        </is>
      </c>
      <c r="F5062" t="inlineStr">
        <is>
          <t>la Recarga y mantenimiento</t>
        </is>
      </c>
      <c r="G5062" t="n">
        <v>3</v>
      </c>
      <c r="H5062" t="inlineStr">
        <is>
          <t>20 LBS</t>
        </is>
      </c>
      <c r="I5062" t="n">
        <v>2027</v>
      </c>
      <c r="J5062" t="n">
        <v>2022</v>
      </c>
      <c r="K5062" t="inlineStr">
        <is>
          <t>JUNIO 2026</t>
        </is>
      </c>
      <c r="L5062" t="inlineStr">
        <is>
          <t>JUNIO 2027</t>
        </is>
      </c>
      <c r="M5062" t="inlineStr">
        <is>
          <t>PQS TIPO ABC AL 90% UL</t>
        </is>
      </c>
      <c r="N5062" t="inlineStr">
        <is>
          <t>E-105/43930667</t>
        </is>
      </c>
      <c r="O5062" t="inlineStr">
        <is>
          <t>R</t>
        </is>
      </c>
      <c r="P5062">
        <f>TRIM(N5062)</f>
        <v/>
      </c>
    </row>
    <row r="5063">
      <c r="A5063" t="inlineStr">
        <is>
          <t>CO-002759</t>
        </is>
      </c>
      <c r="B5063" t="inlineStr">
        <is>
          <t>BRITISH AMERICAN HOSPITAL S.A. - CLINICA ANGLOAMERICANA</t>
        </is>
      </c>
      <c r="C5063" t="inlineStr">
        <is>
          <t>20107695584</t>
        </is>
      </c>
      <c r="D5063" t="inlineStr">
        <is>
          <t xml:space="preserve">JR ALFREDO SALAZAR 350 - SAN ISIDRO </t>
        </is>
      </c>
      <c r="E5063" t="inlineStr">
        <is>
          <t>Lima, 12 de junio del 2026</t>
        </is>
      </c>
      <c r="F5063" t="inlineStr">
        <is>
          <t>la Recarga y mantenimiento</t>
        </is>
      </c>
      <c r="G5063" t="n">
        <v>4</v>
      </c>
      <c r="H5063" t="inlineStr">
        <is>
          <t>10 LBS</t>
        </is>
      </c>
      <c r="I5063" t="n">
        <v>2031</v>
      </c>
      <c r="J5063" t="n">
        <v>2007</v>
      </c>
      <c r="K5063" t="inlineStr">
        <is>
          <t>JUNIO 2026</t>
        </is>
      </c>
      <c r="L5063" t="inlineStr">
        <is>
          <t>JUNIO 2027</t>
        </is>
      </c>
      <c r="M5063" t="inlineStr">
        <is>
          <t>CO2 TIPO BC</t>
        </is>
      </c>
      <c r="N5063" t="inlineStr">
        <is>
          <t>E-065/029306</t>
        </is>
      </c>
      <c r="O5063" t="inlineStr">
        <is>
          <t>R</t>
        </is>
      </c>
      <c r="P5063">
        <f>TRIM(N5063)</f>
        <v/>
      </c>
    </row>
    <row r="5064">
      <c r="A5064" t="inlineStr">
        <is>
          <t>CO-002759</t>
        </is>
      </c>
      <c r="B5064" t="inlineStr">
        <is>
          <t>BRITISH AMERICAN HOSPITAL S.A. - CLINICA ANGLOAMERICANA</t>
        </is>
      </c>
      <c r="C5064" t="inlineStr">
        <is>
          <t>20107695584</t>
        </is>
      </c>
      <c r="D5064" t="inlineStr">
        <is>
          <t xml:space="preserve">JR ALFREDO SALAZAR 350 - SAN ISIDRO </t>
        </is>
      </c>
      <c r="E5064" t="inlineStr">
        <is>
          <t>Lima, 12 de junio del 2026</t>
        </is>
      </c>
      <c r="F5064" t="inlineStr">
        <is>
          <t>la Recarga y mantenimiento</t>
        </is>
      </c>
      <c r="G5064" t="n">
        <v>5</v>
      </c>
      <c r="H5064" t="inlineStr">
        <is>
          <t>10 LBS</t>
        </is>
      </c>
      <c r="I5064" t="n">
        <v>2030</v>
      </c>
      <c r="J5064" t="n">
        <v>2015</v>
      </c>
      <c r="K5064" t="inlineStr">
        <is>
          <t>JUNIO 2026</t>
        </is>
      </c>
      <c r="L5064" t="inlineStr">
        <is>
          <t>JUNIO 2027</t>
        </is>
      </c>
      <c r="M5064" t="inlineStr">
        <is>
          <t>CO2 TIPO BC</t>
        </is>
      </c>
      <c r="N5064" t="inlineStr">
        <is>
          <t>E-062/000233</t>
        </is>
      </c>
      <c r="O5064" t="inlineStr">
        <is>
          <t>R</t>
        </is>
      </c>
      <c r="P5064">
        <f>TRIM(N5064)</f>
        <v/>
      </c>
    </row>
    <row r="5065">
      <c r="A5065" t="inlineStr">
        <is>
          <t>CO-002759</t>
        </is>
      </c>
      <c r="B5065" t="inlineStr">
        <is>
          <t>BRITISH AMERICAN HOSPITAL S.A. - CLINICA ANGLOAMERICANA</t>
        </is>
      </c>
      <c r="C5065" t="inlineStr">
        <is>
          <t>20107695584</t>
        </is>
      </c>
      <c r="D5065" t="inlineStr">
        <is>
          <t xml:space="preserve">JR ALFREDO SALAZAR 350 - SAN ISIDRO </t>
        </is>
      </c>
      <c r="E5065" t="inlineStr">
        <is>
          <t>Lima, 12 de junio del 2026</t>
        </is>
      </c>
      <c r="F5065" t="inlineStr">
        <is>
          <t>la Recarga y mantenimiento</t>
        </is>
      </c>
      <c r="G5065" t="n">
        <v>6</v>
      </c>
      <c r="H5065" t="inlineStr">
        <is>
          <t>10 LBS</t>
        </is>
      </c>
      <c r="I5065" t="n">
        <v>2029</v>
      </c>
      <c r="J5065" t="n">
        <v>2014</v>
      </c>
      <c r="K5065" t="inlineStr">
        <is>
          <t>JUNIO 2026</t>
        </is>
      </c>
      <c r="L5065" t="inlineStr">
        <is>
          <t>JUNIO 2027</t>
        </is>
      </c>
      <c r="M5065" t="inlineStr">
        <is>
          <t>CO2 TIPO BC</t>
        </is>
      </c>
      <c r="N5065" t="inlineStr">
        <is>
          <t>E-056/000126</t>
        </is>
      </c>
      <c r="O5065" t="inlineStr">
        <is>
          <t>R</t>
        </is>
      </c>
      <c r="P5065">
        <f>TRIM(N5065)</f>
        <v/>
      </c>
    </row>
    <row r="5066">
      <c r="A5066" t="inlineStr">
        <is>
          <t>CO-002759</t>
        </is>
      </c>
      <c r="B5066" t="inlineStr">
        <is>
          <t>BRITISH AMERICAN HOSPITAL S.A. - CLINICA ANGLOAMERICANA</t>
        </is>
      </c>
      <c r="C5066" t="inlineStr">
        <is>
          <t>20107695584</t>
        </is>
      </c>
      <c r="D5066" t="inlineStr">
        <is>
          <t xml:space="preserve">JR ALFREDO SALAZAR 350 - SAN ISIDRO </t>
        </is>
      </c>
      <c r="E5066" t="inlineStr">
        <is>
          <t>Lima, 12 de junio del 2026</t>
        </is>
      </c>
      <c r="F5066" t="inlineStr">
        <is>
          <t>la Recarga y mantenimiento</t>
        </is>
      </c>
      <c r="G5066" t="n">
        <v>7</v>
      </c>
      <c r="H5066" t="inlineStr">
        <is>
          <t>10 LBS</t>
        </is>
      </c>
      <c r="I5066" t="n">
        <v>2029</v>
      </c>
      <c r="J5066" t="n">
        <v>2024</v>
      </c>
      <c r="K5066" t="inlineStr">
        <is>
          <t>JUNIO 2026</t>
        </is>
      </c>
      <c r="L5066" t="inlineStr">
        <is>
          <t>JUNIO 2027</t>
        </is>
      </c>
      <c r="M5066" t="inlineStr">
        <is>
          <t>CO2 TIPO BC</t>
        </is>
      </c>
      <c r="N5066" t="inlineStr">
        <is>
          <t>E-086/003383</t>
        </is>
      </c>
      <c r="O5066" t="inlineStr">
        <is>
          <t>R</t>
        </is>
      </c>
      <c r="P5066">
        <f>TRIM(N5066)</f>
        <v/>
      </c>
    </row>
    <row r="5067">
      <c r="A5067" t="inlineStr">
        <is>
          <t>CO-002759</t>
        </is>
      </c>
      <c r="B5067" t="inlineStr">
        <is>
          <t>BRITISH AMERICAN HOSPITAL S.A. - CLINICA ANGLOAMERICANA</t>
        </is>
      </c>
      <c r="C5067" t="inlineStr">
        <is>
          <t>20107695584</t>
        </is>
      </c>
      <c r="D5067" t="inlineStr">
        <is>
          <t xml:space="preserve">JR ALFREDO SALAZAR 350 - SAN ISIDRO </t>
        </is>
      </c>
      <c r="E5067" t="inlineStr">
        <is>
          <t>Lima, 12 de junio del 2026</t>
        </is>
      </c>
      <c r="F5067" t="inlineStr">
        <is>
          <t>la Recarga y mantenimiento</t>
        </is>
      </c>
      <c r="G5067" t="n">
        <v>8</v>
      </c>
      <c r="H5067" t="inlineStr">
        <is>
          <t>10 LBS</t>
        </is>
      </c>
      <c r="I5067" t="n">
        <v>2030</v>
      </c>
      <c r="J5067" t="n">
        <v>2010</v>
      </c>
      <c r="K5067" t="inlineStr">
        <is>
          <t>JUNIO 2026</t>
        </is>
      </c>
      <c r="L5067" t="inlineStr">
        <is>
          <t>JUNIO 2027</t>
        </is>
      </c>
      <c r="M5067" t="inlineStr">
        <is>
          <t>CO2 TIPO BC</t>
        </is>
      </c>
      <c r="N5067" t="inlineStr">
        <is>
          <t>E-014/000119</t>
        </is>
      </c>
      <c r="O5067" t="inlineStr">
        <is>
          <t>R</t>
        </is>
      </c>
      <c r="P5067">
        <f>TRIM(N5067)</f>
        <v/>
      </c>
    </row>
    <row r="5068">
      <c r="A5068" t="inlineStr">
        <is>
          <t>CO-002759</t>
        </is>
      </c>
      <c r="B5068" t="inlineStr">
        <is>
          <t>BRITISH AMERICAN HOSPITAL S.A. - CLINICA ANGLOAMERICANA</t>
        </is>
      </c>
      <c r="C5068" t="inlineStr">
        <is>
          <t>20107695584</t>
        </is>
      </c>
      <c r="D5068" t="inlineStr">
        <is>
          <t xml:space="preserve">JR ALFREDO SALAZAR 350 - SAN ISIDRO </t>
        </is>
      </c>
      <c r="E5068" t="inlineStr">
        <is>
          <t>Lima, 12 de junio del 2026</t>
        </is>
      </c>
      <c r="F5068" t="inlineStr">
        <is>
          <t>la Recarga y mantenimiento</t>
        </is>
      </c>
      <c r="G5068" t="n">
        <v>9</v>
      </c>
      <c r="H5068" t="inlineStr">
        <is>
          <t>10 LBS</t>
        </is>
      </c>
      <c r="I5068" t="n">
        <v>2028</v>
      </c>
      <c r="J5068" t="n">
        <v>2016</v>
      </c>
      <c r="K5068" t="inlineStr">
        <is>
          <t>JUNIO 2026</t>
        </is>
      </c>
      <c r="L5068" t="inlineStr">
        <is>
          <t>JUNIO 2027</t>
        </is>
      </c>
      <c r="M5068" t="inlineStr">
        <is>
          <t>CO2 TIPO BC</t>
        </is>
      </c>
      <c r="N5068" t="inlineStr">
        <is>
          <t>E-069/000001</t>
        </is>
      </c>
      <c r="O5068" t="inlineStr">
        <is>
          <t>R</t>
        </is>
      </c>
      <c r="P5068">
        <f>TRIM(N5068)</f>
        <v/>
      </c>
    </row>
    <row r="5069">
      <c r="A5069" t="inlineStr">
        <is>
          <t>CO-002759</t>
        </is>
      </c>
      <c r="B5069" t="inlineStr">
        <is>
          <t>BRITISH AMERICAN HOSPITAL S.A. - CLINICA ANGLOAMERICANA</t>
        </is>
      </c>
      <c r="C5069" t="inlineStr">
        <is>
          <t>20107695584</t>
        </is>
      </c>
      <c r="D5069" t="inlineStr">
        <is>
          <t xml:space="preserve">JR ALFREDO SALAZAR 350 - SAN ISIDRO </t>
        </is>
      </c>
      <c r="E5069" t="inlineStr">
        <is>
          <t>Lima, 12 de junio del 2026</t>
        </is>
      </c>
      <c r="F5069" t="inlineStr">
        <is>
          <t>la Recarga y mantenimiento</t>
        </is>
      </c>
      <c r="G5069" t="n">
        <v>10</v>
      </c>
      <c r="H5069" t="inlineStr">
        <is>
          <t>10 LBS</t>
        </is>
      </c>
      <c r="I5069" t="n">
        <v>2028</v>
      </c>
      <c r="J5069" t="n">
        <v>2007</v>
      </c>
      <c r="K5069" t="inlineStr">
        <is>
          <t>JUNIO 2026</t>
        </is>
      </c>
      <c r="L5069" t="inlineStr">
        <is>
          <t>JUNIO 2027</t>
        </is>
      </c>
      <c r="M5069" t="inlineStr">
        <is>
          <t>CO2 TIPO BC</t>
        </is>
      </c>
      <c r="N5069" t="inlineStr">
        <is>
          <t>E-095/174848</t>
        </is>
      </c>
      <c r="O5069" t="inlineStr">
        <is>
          <t>R</t>
        </is>
      </c>
      <c r="P5069">
        <f>TRIM(N5069)</f>
        <v/>
      </c>
    </row>
    <row r="5070">
      <c r="A5070" t="inlineStr">
        <is>
          <t>CO-002759</t>
        </is>
      </c>
      <c r="B5070" t="inlineStr">
        <is>
          <t>BRITISH AMERICAN HOSPITAL S.A. - CLINICA ANGLOAMERICANA</t>
        </is>
      </c>
      <c r="C5070" t="inlineStr">
        <is>
          <t>20107695584</t>
        </is>
      </c>
      <c r="D5070" t="inlineStr">
        <is>
          <t xml:space="preserve">JR ALFREDO SALAZAR 350 - SAN ISIDRO </t>
        </is>
      </c>
      <c r="E5070" t="inlineStr">
        <is>
          <t>Lima, 12 de junio del 2026</t>
        </is>
      </c>
      <c r="F5070" t="inlineStr">
        <is>
          <t>la Recarga y mantenimiento</t>
        </is>
      </c>
      <c r="G5070" t="n">
        <v>11</v>
      </c>
      <c r="H5070" t="inlineStr">
        <is>
          <t>15 LBS</t>
        </is>
      </c>
      <c r="I5070" t="n">
        <v>2031</v>
      </c>
      <c r="J5070" t="n">
        <v>2019</v>
      </c>
      <c r="K5070" t="inlineStr">
        <is>
          <t>JUNIO 2026</t>
        </is>
      </c>
      <c r="L5070" t="inlineStr">
        <is>
          <t>JUNIO 2027</t>
        </is>
      </c>
      <c r="M5070" t="inlineStr">
        <is>
          <t>CO2 TIPO BC</t>
        </is>
      </c>
      <c r="N5070" t="inlineStr">
        <is>
          <t>E-312/000015</t>
        </is>
      </c>
      <c r="O5070" t="inlineStr">
        <is>
          <t>R</t>
        </is>
      </c>
      <c r="P5070">
        <f>TRIM(N5070)</f>
        <v/>
      </c>
    </row>
    <row r="5071">
      <c r="A5071" t="inlineStr">
        <is>
          <t>CO-002759</t>
        </is>
      </c>
      <c r="B5071" t="inlineStr">
        <is>
          <t>BRITISH AMERICAN HOSPITAL S.A. - CLINICA ANGLOAMERICANA</t>
        </is>
      </c>
      <c r="C5071" t="inlineStr">
        <is>
          <t>20107695584</t>
        </is>
      </c>
      <c r="D5071" t="inlineStr">
        <is>
          <t xml:space="preserve">JR ALFREDO SALAZAR 350 - SAN ISIDRO </t>
        </is>
      </c>
      <c r="E5071" t="inlineStr">
        <is>
          <t>Lima, 12 de junio del 2026</t>
        </is>
      </c>
      <c r="F5071" t="inlineStr">
        <is>
          <t>la Recarga y mantenimiento</t>
        </is>
      </c>
      <c r="G5071" t="n">
        <v>12</v>
      </c>
      <c r="H5071" t="inlineStr">
        <is>
          <t>15 LBS</t>
        </is>
      </c>
      <c r="I5071" t="n">
        <v>2031</v>
      </c>
      <c r="J5071" t="n">
        <v>2011</v>
      </c>
      <c r="K5071" t="inlineStr">
        <is>
          <t>JUNIO 2026</t>
        </is>
      </c>
      <c r="L5071" t="inlineStr">
        <is>
          <t>JUNIO 2027</t>
        </is>
      </c>
      <c r="M5071" t="inlineStr">
        <is>
          <t>HALOTRON</t>
        </is>
      </c>
      <c r="N5071" t="inlineStr">
        <is>
          <t>E-085/W611819</t>
        </is>
      </c>
      <c r="O5071" t="inlineStr">
        <is>
          <t>R</t>
        </is>
      </c>
      <c r="P5071">
        <f>TRIM(N5071)</f>
        <v/>
      </c>
    </row>
    <row r="5072">
      <c r="A5072" t="inlineStr">
        <is>
          <t>CO-002759</t>
        </is>
      </c>
      <c r="B5072" t="inlineStr">
        <is>
          <t>BRITISH AMERICAN HOSPITAL S.A. - CLINICA ANGLOAMERICANA</t>
        </is>
      </c>
      <c r="C5072" t="inlineStr">
        <is>
          <t>20107695584</t>
        </is>
      </c>
      <c r="D5072" t="inlineStr">
        <is>
          <t xml:space="preserve">JR ALFREDO SALAZAR 350 - SAN ISIDRO </t>
        </is>
      </c>
      <c r="E5072" t="inlineStr">
        <is>
          <t>Lima, 12 de junio del 2026</t>
        </is>
      </c>
      <c r="F5072" t="inlineStr">
        <is>
          <t>la Recarga y mantenimiento</t>
        </is>
      </c>
      <c r="G5072" t="n">
        <v>13</v>
      </c>
      <c r="H5072" t="inlineStr">
        <is>
          <t>2.5 GLS</t>
        </is>
      </c>
      <c r="I5072" t="n">
        <v>2031</v>
      </c>
      <c r="J5072" t="inlineStr">
        <is>
          <t>S/N</t>
        </is>
      </c>
      <c r="K5072" t="inlineStr">
        <is>
          <t>JUNIO 2026</t>
        </is>
      </c>
      <c r="L5072" t="inlineStr">
        <is>
          <t>JUNIO 2027</t>
        </is>
      </c>
      <c r="M5072" t="inlineStr">
        <is>
          <t xml:space="preserve">ACETATO TIPO K </t>
        </is>
      </c>
      <c r="N5072" t="inlineStr">
        <is>
          <t>E-064/001249</t>
        </is>
      </c>
      <c r="O5072" t="inlineStr">
        <is>
          <t>R</t>
        </is>
      </c>
      <c r="P5072">
        <f>TRIM(N5072)</f>
        <v/>
      </c>
    </row>
    <row r="5073">
      <c r="A5073" t="inlineStr">
        <is>
          <t>CO-002759</t>
        </is>
      </c>
      <c r="B5073" t="inlineStr">
        <is>
          <t>BRITISH AMERICAN HOSPITAL S.A. - CLINICA ANGLOAMERICANA</t>
        </is>
      </c>
      <c r="C5073" t="inlineStr">
        <is>
          <t>20107695584</t>
        </is>
      </c>
      <c r="D5073" t="inlineStr">
        <is>
          <t xml:space="preserve">JR ALFREDO SALAZAR 350 - SAN ISIDRO </t>
        </is>
      </c>
      <c r="E5073" t="inlineStr">
        <is>
          <t>Lima, 12 de junio del 2026</t>
        </is>
      </c>
      <c r="F5073" t="inlineStr">
        <is>
          <t>la Recarga y mantenimiento</t>
        </is>
      </c>
      <c r="G5073" t="n">
        <v>14</v>
      </c>
      <c r="H5073" t="inlineStr">
        <is>
          <t>2.5 GLS</t>
        </is>
      </c>
      <c r="I5073" t="n">
        <v>2028</v>
      </c>
      <c r="J5073" t="inlineStr">
        <is>
          <t>S/N</t>
        </is>
      </c>
      <c r="K5073" t="inlineStr">
        <is>
          <t>JUNIO 2026</t>
        </is>
      </c>
      <c r="L5073" t="inlineStr">
        <is>
          <t>JUNIO 2027</t>
        </is>
      </c>
      <c r="M5073" t="inlineStr">
        <is>
          <t xml:space="preserve">ACETATO TIPO K </t>
        </is>
      </c>
      <c r="N5073" t="inlineStr">
        <is>
          <t>E-061/999687</t>
        </is>
      </c>
      <c r="O5073" t="inlineStr">
        <is>
          <t>R</t>
        </is>
      </c>
      <c r="P5073">
        <f>TRIM(N5073)</f>
        <v/>
      </c>
    </row>
    <row r="5074">
      <c r="A5074" t="inlineStr">
        <is>
          <t>CO-002761</t>
        </is>
      </c>
      <c r="B5074" t="inlineStr">
        <is>
          <t xml:space="preserve">PERU MASIVO SA - BUSES </t>
        </is>
      </c>
      <c r="C5074" t="inlineStr">
        <is>
          <t>20492392031</t>
        </is>
      </c>
      <c r="D5074" t="inlineStr">
        <is>
          <t>AV. LOS INCAS CDRA. 4 PATIO NORTE - COMAS</t>
        </is>
      </c>
      <c r="E5074" t="inlineStr">
        <is>
          <t>Lima, 12 de junio del 2026</t>
        </is>
      </c>
      <c r="F5074" t="inlineStr">
        <is>
          <t>la Recarga y mantenimiento</t>
        </is>
      </c>
      <c r="G5074" t="n">
        <v>1</v>
      </c>
      <c r="H5074" t="inlineStr">
        <is>
          <t>06 KG</t>
        </is>
      </c>
      <c r="I5074" t="n">
        <v>2029</v>
      </c>
      <c r="J5074" t="n">
        <v>2010</v>
      </c>
      <c r="K5074" t="inlineStr">
        <is>
          <t>JUNIO 2026</t>
        </is>
      </c>
      <c r="L5074" t="inlineStr">
        <is>
          <t>JUNIO 2027</t>
        </is>
      </c>
      <c r="M5074" t="inlineStr">
        <is>
          <t>PQS/ABC AL 90% NACIONAL</t>
        </is>
      </c>
      <c r="N5074" t="inlineStr">
        <is>
          <t>302/000059</t>
        </is>
      </c>
      <c r="O5074" t="inlineStr">
        <is>
          <t>R</t>
        </is>
      </c>
      <c r="P5074">
        <f>TRIM(N5074)</f>
        <v/>
      </c>
    </row>
    <row r="5075">
      <c r="A5075" t="inlineStr">
        <is>
          <t>CO-002761</t>
        </is>
      </c>
      <c r="B5075" t="inlineStr">
        <is>
          <t xml:space="preserve">PERU MASIVO SA - BUSES </t>
        </is>
      </c>
      <c r="C5075" t="inlineStr">
        <is>
          <t>20492392031</t>
        </is>
      </c>
      <c r="D5075" t="inlineStr">
        <is>
          <t>AV. LOS INCAS CDRA. 4 PATIO NORTE - COMAS</t>
        </is>
      </c>
      <c r="E5075" t="inlineStr">
        <is>
          <t>Lima, 12 de junio del 2026</t>
        </is>
      </c>
      <c r="F5075" t="inlineStr">
        <is>
          <t>la Recarga y mantenimiento</t>
        </is>
      </c>
      <c r="G5075" t="n">
        <v>2</v>
      </c>
      <c r="H5075" t="inlineStr">
        <is>
          <t>06 KG</t>
        </is>
      </c>
      <c r="I5075" t="n">
        <v>2029</v>
      </c>
      <c r="J5075" t="n">
        <v>2009</v>
      </c>
      <c r="K5075" t="inlineStr">
        <is>
          <t>JUNIO 2026</t>
        </is>
      </c>
      <c r="L5075" t="inlineStr">
        <is>
          <t>JUNIO 2027</t>
        </is>
      </c>
      <c r="M5075" t="inlineStr">
        <is>
          <t>PQS/ABC AL 90% NACIONAL</t>
        </is>
      </c>
      <c r="N5075" t="inlineStr">
        <is>
          <t>366/001128</t>
        </is>
      </c>
      <c r="O5075" t="inlineStr">
        <is>
          <t>R</t>
        </is>
      </c>
      <c r="P5075">
        <f>TRIM(N5075)</f>
        <v/>
      </c>
    </row>
    <row r="5076">
      <c r="A5076" t="inlineStr">
        <is>
          <t>CO-002761</t>
        </is>
      </c>
      <c r="B5076" t="inlineStr">
        <is>
          <t xml:space="preserve">PERU MASIVO SA - BUSES </t>
        </is>
      </c>
      <c r="C5076" t="inlineStr">
        <is>
          <t>20492392031</t>
        </is>
      </c>
      <c r="D5076" t="inlineStr">
        <is>
          <t>AV. LOS INCAS CDRA. 4 PATIO NORTE - COMAS</t>
        </is>
      </c>
      <c r="E5076" t="inlineStr">
        <is>
          <t>Lima, 12 de junio del 2026</t>
        </is>
      </c>
      <c r="F5076" t="inlineStr">
        <is>
          <t>la Recarga y mantenimiento</t>
        </is>
      </c>
      <c r="G5076" t="n">
        <v>3</v>
      </c>
      <c r="H5076" t="inlineStr">
        <is>
          <t>06 KG</t>
        </is>
      </c>
      <c r="I5076" t="n">
        <v>2028</v>
      </c>
      <c r="J5076" t="n">
        <v>2009</v>
      </c>
      <c r="K5076" t="inlineStr">
        <is>
          <t>JUNIO 2026</t>
        </is>
      </c>
      <c r="L5076" t="inlineStr">
        <is>
          <t>JUNIO 2027</t>
        </is>
      </c>
      <c r="M5076" t="inlineStr">
        <is>
          <t>PQS/ABC AL 90% NACIONAL</t>
        </is>
      </c>
      <c r="N5076" t="inlineStr">
        <is>
          <t>268/001559</t>
        </is>
      </c>
      <c r="O5076" t="inlineStr">
        <is>
          <t>R</t>
        </is>
      </c>
      <c r="P5076">
        <f>TRIM(N5076)</f>
        <v/>
      </c>
    </row>
    <row r="5077">
      <c r="A5077" t="inlineStr">
        <is>
          <t>CO-002761</t>
        </is>
      </c>
      <c r="B5077" t="inlineStr">
        <is>
          <t xml:space="preserve">PERU MASIVO SA - BUSES </t>
        </is>
      </c>
      <c r="C5077" t="inlineStr">
        <is>
          <t>20492392031</t>
        </is>
      </c>
      <c r="D5077" t="inlineStr">
        <is>
          <t>AV. LOS INCAS CDRA. 4 PATIO NORTE - COMAS</t>
        </is>
      </c>
      <c r="E5077" t="inlineStr">
        <is>
          <t>Lima, 12 de junio del 2026</t>
        </is>
      </c>
      <c r="F5077" t="inlineStr">
        <is>
          <t>la Recarga y mantenimiento</t>
        </is>
      </c>
      <c r="G5077" t="n">
        <v>4</v>
      </c>
      <c r="H5077" t="inlineStr">
        <is>
          <t>06 KG</t>
        </is>
      </c>
      <c r="I5077" t="n">
        <v>2028</v>
      </c>
      <c r="J5077" t="n">
        <v>2014</v>
      </c>
      <c r="K5077" t="inlineStr">
        <is>
          <t>JUNIO 2026</t>
        </is>
      </c>
      <c r="L5077" t="inlineStr">
        <is>
          <t>JUNIO 2027</t>
        </is>
      </c>
      <c r="M5077" t="inlineStr">
        <is>
          <t>PQS/ABC AL 90% NACIONAL</t>
        </is>
      </c>
      <c r="N5077" t="inlineStr">
        <is>
          <t>400/000377</t>
        </is>
      </c>
      <c r="O5077" t="inlineStr">
        <is>
          <t>R</t>
        </is>
      </c>
      <c r="P5077">
        <f>TRIM(N5077)</f>
        <v/>
      </c>
    </row>
    <row r="5078">
      <c r="A5078" t="inlineStr">
        <is>
          <t>CO-002761</t>
        </is>
      </c>
      <c r="B5078" t="inlineStr">
        <is>
          <t xml:space="preserve">PERU MASIVO SA - BUSES </t>
        </is>
      </c>
      <c r="C5078" t="inlineStr">
        <is>
          <t>20492392031</t>
        </is>
      </c>
      <c r="D5078" t="inlineStr">
        <is>
          <t>AV. LOS INCAS CDRA. 4 PATIO NORTE - COMAS</t>
        </is>
      </c>
      <c r="E5078" t="inlineStr">
        <is>
          <t>Lima, 12 de junio del 2026</t>
        </is>
      </c>
      <c r="F5078" t="inlineStr">
        <is>
          <t>la Recarga y mantenimiento</t>
        </is>
      </c>
      <c r="G5078" t="n">
        <v>5</v>
      </c>
      <c r="H5078" t="inlineStr">
        <is>
          <t>06 KG</t>
        </is>
      </c>
      <c r="I5078" t="n">
        <v>2028</v>
      </c>
      <c r="J5078" t="n">
        <v>2010</v>
      </c>
      <c r="K5078" t="inlineStr">
        <is>
          <t>JUNIO 2026</t>
        </is>
      </c>
      <c r="L5078" t="inlineStr">
        <is>
          <t>JUNIO 2027</t>
        </is>
      </c>
      <c r="M5078" t="inlineStr">
        <is>
          <t>PQS/ABC AL 90% NACIONAL</t>
        </is>
      </c>
      <c r="N5078" t="inlineStr">
        <is>
          <t>340/000597</t>
        </is>
      </c>
      <c r="O5078" t="inlineStr">
        <is>
          <t>R</t>
        </is>
      </c>
      <c r="P5078">
        <f>TRIM(N5078)</f>
        <v/>
      </c>
    </row>
    <row r="5079">
      <c r="A5079" t="inlineStr">
        <is>
          <t>CO-002761</t>
        </is>
      </c>
      <c r="B5079" t="inlineStr">
        <is>
          <t xml:space="preserve">PERU MASIVO SA - BUSES </t>
        </is>
      </c>
      <c r="C5079" t="inlineStr">
        <is>
          <t>20492392031</t>
        </is>
      </c>
      <c r="D5079" t="inlineStr">
        <is>
          <t>AV. LOS INCAS CDRA. 4 PATIO NORTE - COMAS</t>
        </is>
      </c>
      <c r="E5079" t="inlineStr">
        <is>
          <t>Lima, 12 de junio del 2026</t>
        </is>
      </c>
      <c r="F5079" t="inlineStr">
        <is>
          <t>la Recarga y mantenimiento</t>
        </is>
      </c>
      <c r="G5079" t="n">
        <v>6</v>
      </c>
      <c r="H5079" t="inlineStr">
        <is>
          <t>06 KG</t>
        </is>
      </c>
      <c r="I5079" t="n">
        <v>2028</v>
      </c>
      <c r="J5079" t="n">
        <v>2010</v>
      </c>
      <c r="K5079" t="inlineStr">
        <is>
          <t>JUNIO 2026</t>
        </is>
      </c>
      <c r="L5079" t="inlineStr">
        <is>
          <t>JUNIO 2027</t>
        </is>
      </c>
      <c r="M5079" t="inlineStr">
        <is>
          <t>PQS/ABC AL 90% NACIONAL</t>
        </is>
      </c>
      <c r="N5079" t="inlineStr">
        <is>
          <t>219/001767</t>
        </is>
      </c>
      <c r="O5079" t="inlineStr">
        <is>
          <t>R</t>
        </is>
      </c>
      <c r="P5079">
        <f>TRIM(N5079)</f>
        <v/>
      </c>
    </row>
    <row r="5080">
      <c r="A5080" t="inlineStr">
        <is>
          <t>CO-002761</t>
        </is>
      </c>
      <c r="B5080" t="inlineStr">
        <is>
          <t xml:space="preserve">PERU MASIVO SA - BUSES </t>
        </is>
      </c>
      <c r="C5080" t="inlineStr">
        <is>
          <t>20492392031</t>
        </is>
      </c>
      <c r="D5080" t="inlineStr">
        <is>
          <t>AV. LOS INCAS CDRA. 4 PATIO NORTE - COMAS</t>
        </is>
      </c>
      <c r="E5080" t="inlineStr">
        <is>
          <t>Lima, 12 de junio del 2026</t>
        </is>
      </c>
      <c r="F5080" t="inlineStr">
        <is>
          <t>la Recarga y mantenimiento</t>
        </is>
      </c>
      <c r="G5080" t="n">
        <v>7</v>
      </c>
      <c r="H5080" t="inlineStr">
        <is>
          <t>06 KG</t>
        </is>
      </c>
      <c r="I5080" t="n">
        <v>2028</v>
      </c>
      <c r="J5080" t="n">
        <v>2011</v>
      </c>
      <c r="K5080" t="inlineStr">
        <is>
          <t>JUNIO 2026</t>
        </is>
      </c>
      <c r="L5080" t="inlineStr">
        <is>
          <t>JUNIO 2027</t>
        </is>
      </c>
      <c r="M5080" t="inlineStr">
        <is>
          <t>PQS/ABC AL 90% NACIONAL</t>
        </is>
      </c>
      <c r="N5080" t="inlineStr">
        <is>
          <t>172/000942</t>
        </is>
      </c>
      <c r="O5080" t="inlineStr">
        <is>
          <t>R</t>
        </is>
      </c>
      <c r="P5080">
        <f>TRIM(N5080)</f>
        <v/>
      </c>
    </row>
    <row r="5081">
      <c r="A5081" t="inlineStr">
        <is>
          <t>CO-002761</t>
        </is>
      </c>
      <c r="B5081" t="inlineStr">
        <is>
          <t xml:space="preserve">PERU MASIVO SA - BUSES </t>
        </is>
      </c>
      <c r="C5081" t="inlineStr">
        <is>
          <t>20492392031</t>
        </is>
      </c>
      <c r="D5081" t="inlineStr">
        <is>
          <t>AV. LOS INCAS CDRA. 4 PATIO NORTE - COMAS</t>
        </is>
      </c>
      <c r="E5081" t="inlineStr">
        <is>
          <t>Lima, 12 de junio del 2026</t>
        </is>
      </c>
      <c r="F5081" t="inlineStr">
        <is>
          <t>la Recarga y mantenimiento</t>
        </is>
      </c>
      <c r="G5081" t="n">
        <v>8</v>
      </c>
      <c r="H5081" t="inlineStr">
        <is>
          <t>06 KG</t>
        </is>
      </c>
      <c r="I5081" t="n">
        <v>2028</v>
      </c>
      <c r="J5081" t="n">
        <v>2010</v>
      </c>
      <c r="K5081" t="inlineStr">
        <is>
          <t>JUNIO 2026</t>
        </is>
      </c>
      <c r="L5081" t="inlineStr">
        <is>
          <t>JUNIO 2027</t>
        </is>
      </c>
      <c r="M5081" t="inlineStr">
        <is>
          <t>PQS/ABC AL 90% NACIONAL</t>
        </is>
      </c>
      <c r="N5081" t="inlineStr">
        <is>
          <t>60/001029</t>
        </is>
      </c>
      <c r="O5081" t="inlineStr">
        <is>
          <t>R</t>
        </is>
      </c>
      <c r="P5081">
        <f>TRIM(N5081)</f>
        <v/>
      </c>
    </row>
    <row r="5082">
      <c r="A5082" t="inlineStr">
        <is>
          <t>CO-002761</t>
        </is>
      </c>
      <c r="B5082" t="inlineStr">
        <is>
          <t xml:space="preserve">PERU MASIVO SA - BUSES </t>
        </is>
      </c>
      <c r="C5082" t="inlineStr">
        <is>
          <t>20492392031</t>
        </is>
      </c>
      <c r="D5082" t="inlineStr">
        <is>
          <t>AV. LOS INCAS CDRA. 4 PATIO NORTE - COMAS</t>
        </is>
      </c>
      <c r="E5082" t="inlineStr">
        <is>
          <t>Lima, 12 de junio del 2026</t>
        </is>
      </c>
      <c r="F5082" t="inlineStr">
        <is>
          <t>la Recarga y mantenimiento</t>
        </is>
      </c>
      <c r="G5082" t="n">
        <v>9</v>
      </c>
      <c r="H5082" t="inlineStr">
        <is>
          <t>06 KG</t>
        </is>
      </c>
      <c r="I5082" t="n">
        <v>2028</v>
      </c>
      <c r="J5082" t="n">
        <v>2010</v>
      </c>
      <c r="K5082" t="inlineStr">
        <is>
          <t>JUNIO 2026</t>
        </is>
      </c>
      <c r="L5082" t="inlineStr">
        <is>
          <t>JUNIO 2027</t>
        </is>
      </c>
      <c r="M5082" t="inlineStr">
        <is>
          <t>PQS/ABC AL 90% NACIONAL</t>
        </is>
      </c>
      <c r="N5082" t="inlineStr">
        <is>
          <t>332/001050</t>
        </is>
      </c>
      <c r="O5082" t="inlineStr">
        <is>
          <t>R</t>
        </is>
      </c>
      <c r="P5082">
        <f>TRIM(N5082)</f>
        <v/>
      </c>
    </row>
    <row r="5083">
      <c r="A5083" t="inlineStr">
        <is>
          <t>CO-002761</t>
        </is>
      </c>
      <c r="B5083" t="inlineStr">
        <is>
          <t xml:space="preserve">PERU MASIVO SA - BUSES </t>
        </is>
      </c>
      <c r="C5083" t="inlineStr">
        <is>
          <t>20492392031</t>
        </is>
      </c>
      <c r="D5083" t="inlineStr">
        <is>
          <t>AV. LOS INCAS CDRA. 4 PATIO NORTE - COMAS</t>
        </is>
      </c>
      <c r="E5083" t="inlineStr">
        <is>
          <t>Lima, 12 de junio del 2026</t>
        </is>
      </c>
      <c r="F5083" t="inlineStr">
        <is>
          <t>la Recarga y mantenimiento</t>
        </is>
      </c>
      <c r="G5083" t="n">
        <v>10</v>
      </c>
      <c r="H5083" t="inlineStr">
        <is>
          <t>06 KG</t>
        </is>
      </c>
      <c r="I5083" t="n">
        <v>2028</v>
      </c>
      <c r="J5083" t="n">
        <v>2010</v>
      </c>
      <c r="K5083" t="inlineStr">
        <is>
          <t>JUNIO 2026</t>
        </is>
      </c>
      <c r="L5083" t="inlineStr">
        <is>
          <t>JUNIO 2027</t>
        </is>
      </c>
      <c r="M5083" t="inlineStr">
        <is>
          <t>PQS/ABC AL 90% NACIONAL</t>
        </is>
      </c>
      <c r="N5083" t="inlineStr">
        <is>
          <t>94/000005</t>
        </is>
      </c>
      <c r="O5083" t="inlineStr">
        <is>
          <t>R</t>
        </is>
      </c>
      <c r="P5083">
        <f>TRIM(N5083)</f>
        <v/>
      </c>
    </row>
    <row r="5084">
      <c r="A5084" t="inlineStr">
        <is>
          <t>CO-002761</t>
        </is>
      </c>
      <c r="B5084" t="inlineStr">
        <is>
          <t xml:space="preserve">PERU MASIVO SA - BUSES </t>
        </is>
      </c>
      <c r="C5084" t="inlineStr">
        <is>
          <t>20492392031</t>
        </is>
      </c>
      <c r="D5084" t="inlineStr">
        <is>
          <t>AV. LOS INCAS CDRA. 4 PATIO NORTE - COMAS</t>
        </is>
      </c>
      <c r="E5084" t="inlineStr">
        <is>
          <t>Lima, 12 de junio del 2026</t>
        </is>
      </c>
      <c r="F5084" t="inlineStr">
        <is>
          <t>la Recarga y mantenimiento</t>
        </is>
      </c>
      <c r="G5084" t="n">
        <v>11</v>
      </c>
      <c r="H5084" t="inlineStr">
        <is>
          <t>06 KG</t>
        </is>
      </c>
      <c r="I5084" t="n">
        <v>2028</v>
      </c>
      <c r="J5084" t="n">
        <v>2011</v>
      </c>
      <c r="K5084" t="inlineStr">
        <is>
          <t>JUNIO 2026</t>
        </is>
      </c>
      <c r="L5084" t="inlineStr">
        <is>
          <t>JUNIO 2027</t>
        </is>
      </c>
      <c r="M5084" t="inlineStr">
        <is>
          <t>PQS/ABC AL 90% NACIONAL</t>
        </is>
      </c>
      <c r="N5084" t="inlineStr">
        <is>
          <t>343/01584</t>
        </is>
      </c>
      <c r="O5084" t="inlineStr">
        <is>
          <t>R</t>
        </is>
      </c>
      <c r="P5084">
        <f>TRIM(N5084)</f>
        <v/>
      </c>
    </row>
    <row r="5085">
      <c r="A5085" t="inlineStr">
        <is>
          <t>CO-002761</t>
        </is>
      </c>
      <c r="B5085" t="inlineStr">
        <is>
          <t xml:space="preserve">PERU MASIVO SA - BUSES </t>
        </is>
      </c>
      <c r="C5085" t="inlineStr">
        <is>
          <t>20492392031</t>
        </is>
      </c>
      <c r="D5085" t="inlineStr">
        <is>
          <t>AV. LOS INCAS CDRA. 4 PATIO NORTE - COMAS</t>
        </is>
      </c>
      <c r="E5085" t="inlineStr">
        <is>
          <t>Lima, 12 de junio del 2026</t>
        </is>
      </c>
      <c r="F5085" t="inlineStr">
        <is>
          <t>la Recarga y mantenimiento</t>
        </is>
      </c>
      <c r="G5085" t="n">
        <v>12</v>
      </c>
      <c r="H5085" t="inlineStr">
        <is>
          <t>06 KG</t>
        </is>
      </c>
      <c r="I5085" t="n">
        <v>2028</v>
      </c>
      <c r="J5085" t="n">
        <v>2011</v>
      </c>
      <c r="K5085" t="inlineStr">
        <is>
          <t>JUNIO 2026</t>
        </is>
      </c>
      <c r="L5085" t="inlineStr">
        <is>
          <t>JUNIO 2027</t>
        </is>
      </c>
      <c r="M5085" t="inlineStr">
        <is>
          <t>PQS/ABC AL 90% NACIONAL</t>
        </is>
      </c>
      <c r="N5085" t="inlineStr">
        <is>
          <t>123/001622</t>
        </is>
      </c>
      <c r="O5085" t="inlineStr">
        <is>
          <t>R</t>
        </is>
      </c>
      <c r="P5085">
        <f>TRIM(N5085)</f>
        <v/>
      </c>
    </row>
    <row r="5086">
      <c r="A5086" t="inlineStr">
        <is>
          <t>CO-002761</t>
        </is>
      </c>
      <c r="B5086" t="inlineStr">
        <is>
          <t xml:space="preserve">PERU MASIVO SA - BUSES </t>
        </is>
      </c>
      <c r="C5086" t="inlineStr">
        <is>
          <t>20492392031</t>
        </is>
      </c>
      <c r="D5086" t="inlineStr">
        <is>
          <t>AV. LOS INCAS CDRA. 4 PATIO NORTE - COMAS</t>
        </is>
      </c>
      <c r="E5086" t="inlineStr">
        <is>
          <t>Lima, 12 de junio del 2026</t>
        </is>
      </c>
      <c r="F5086" t="inlineStr">
        <is>
          <t>la Recarga y mantenimiento</t>
        </is>
      </c>
      <c r="G5086" t="n">
        <v>13</v>
      </c>
      <c r="H5086" t="inlineStr">
        <is>
          <t>06 KG</t>
        </is>
      </c>
      <c r="I5086" t="n">
        <v>2028</v>
      </c>
      <c r="J5086" t="n">
        <v>2010</v>
      </c>
      <c r="K5086" t="inlineStr">
        <is>
          <t>JUNIO 2026</t>
        </is>
      </c>
      <c r="L5086" t="inlineStr">
        <is>
          <t>JUNIO 2027</t>
        </is>
      </c>
      <c r="M5086" t="inlineStr">
        <is>
          <t>PQS/ABC AL 90% NACIONAL</t>
        </is>
      </c>
      <c r="N5086" t="inlineStr">
        <is>
          <t>295/000704</t>
        </is>
      </c>
      <c r="O5086" t="inlineStr">
        <is>
          <t>R</t>
        </is>
      </c>
      <c r="P5086">
        <f>TRIM(N5086)</f>
        <v/>
      </c>
    </row>
    <row r="5087">
      <c r="A5087" t="inlineStr">
        <is>
          <t>CO-002762</t>
        </is>
      </c>
      <c r="B5087" t="inlineStr">
        <is>
          <t>LINDE PERU S.R.L. - YAULI</t>
        </is>
      </c>
      <c r="C5087" t="inlineStr">
        <is>
          <t>20338570041</t>
        </is>
      </c>
      <c r="D5087" t="inlineStr">
        <is>
          <t>SECTOR PACHACHACA LOTE G-1 YAULI, JUNIN, PERÚ</t>
        </is>
      </c>
      <c r="E5087" t="inlineStr">
        <is>
          <t>Lima, 16 de junio del 2026</t>
        </is>
      </c>
      <c r="F5087" t="inlineStr">
        <is>
          <t>la Recarga y mantenimiento</t>
        </is>
      </c>
      <c r="G5087" t="inlineStr">
        <is>
          <t>01</t>
        </is>
      </c>
      <c r="H5087" t="inlineStr">
        <is>
          <t>12 KG</t>
        </is>
      </c>
      <c r="I5087" t="inlineStr">
        <is>
          <t>2030</t>
        </is>
      </c>
      <c r="J5087" t="n">
        <v>2012</v>
      </c>
      <c r="K5087" t="inlineStr">
        <is>
          <t>JUNIO 2026</t>
        </is>
      </c>
      <c r="L5087" t="inlineStr">
        <is>
          <t>JUNIO 2027</t>
        </is>
      </c>
      <c r="M5087" t="inlineStr">
        <is>
          <t>P.Q.S.  TIPO ABC AL 90% UL</t>
        </is>
      </c>
      <c r="N5087" t="inlineStr">
        <is>
          <t>01/000136</t>
        </is>
      </c>
      <c r="O5087" t="inlineStr">
        <is>
          <t>M3</t>
        </is>
      </c>
      <c r="P5087">
        <f>TRIM(N5087)</f>
        <v/>
      </c>
    </row>
    <row r="5088">
      <c r="A5088" t="inlineStr">
        <is>
          <t>CO-002762</t>
        </is>
      </c>
      <c r="B5088" t="inlineStr">
        <is>
          <t>LINDE PERU S.R.L. - YAULI</t>
        </is>
      </c>
      <c r="C5088" t="inlineStr">
        <is>
          <t>20338570041</t>
        </is>
      </c>
      <c r="D5088" t="inlineStr">
        <is>
          <t>SECTOR PACHACHACA LOTE G-1 YAULI, JUNIN, PERÚ</t>
        </is>
      </c>
      <c r="E5088" t="inlineStr">
        <is>
          <t>Lima, 16 de junio del 2026</t>
        </is>
      </c>
      <c r="F5088" t="inlineStr">
        <is>
          <t>la Recarga y mantenimiento</t>
        </is>
      </c>
      <c r="G5088" t="inlineStr">
        <is>
          <t>02</t>
        </is>
      </c>
      <c r="H5088" t="inlineStr">
        <is>
          <t>12 KG</t>
        </is>
      </c>
      <c r="I5088" t="inlineStr">
        <is>
          <t>2030</t>
        </is>
      </c>
      <c r="J5088" t="n">
        <v>2012</v>
      </c>
      <c r="K5088" t="inlineStr">
        <is>
          <t>JUNIO 2026</t>
        </is>
      </c>
      <c r="L5088" t="inlineStr">
        <is>
          <t>JUNIO 2027</t>
        </is>
      </c>
      <c r="M5088" t="inlineStr">
        <is>
          <t>P.Q.S.  TIPO ABC AL 90% UL</t>
        </is>
      </c>
      <c r="N5088" t="inlineStr">
        <is>
          <t>02/000267</t>
        </is>
      </c>
      <c r="O5088" t="inlineStr">
        <is>
          <t>M3</t>
        </is>
      </c>
      <c r="P5088">
        <f>TRIM(N5088)</f>
        <v/>
      </c>
    </row>
    <row r="5089">
      <c r="A5089" t="inlineStr">
        <is>
          <t>CO-002762</t>
        </is>
      </c>
      <c r="B5089" t="inlineStr">
        <is>
          <t>LINDE PERU S.R.L. - YAULI</t>
        </is>
      </c>
      <c r="C5089" t="inlineStr">
        <is>
          <t>20338570041</t>
        </is>
      </c>
      <c r="D5089" t="inlineStr">
        <is>
          <t>SECTOR PACHACHACA LOTE G-1 YAULI, JUNIN, PERÚ</t>
        </is>
      </c>
      <c r="E5089" t="inlineStr">
        <is>
          <t>Lima, 16 de junio del 2026</t>
        </is>
      </c>
      <c r="F5089" t="inlineStr">
        <is>
          <t>la Recarga y mantenimiento</t>
        </is>
      </c>
      <c r="G5089" t="inlineStr">
        <is>
          <t>03</t>
        </is>
      </c>
      <c r="H5089" t="inlineStr">
        <is>
          <t>12 KG</t>
        </is>
      </c>
      <c r="I5089" t="inlineStr">
        <is>
          <t>2030</t>
        </is>
      </c>
      <c r="J5089" t="n">
        <v>2011</v>
      </c>
      <c r="K5089" t="inlineStr">
        <is>
          <t>JUNIO 2026</t>
        </is>
      </c>
      <c r="L5089" t="inlineStr">
        <is>
          <t>JUNIO 2027</t>
        </is>
      </c>
      <c r="M5089" t="inlineStr">
        <is>
          <t>P.Q.S.  TIPO ABC AL 90% UL</t>
        </is>
      </c>
      <c r="N5089" t="inlineStr">
        <is>
          <t>03/000333</t>
        </is>
      </c>
      <c r="O5089" t="inlineStr">
        <is>
          <t>M3</t>
        </is>
      </c>
      <c r="P5089">
        <f>TRIM(N5089)</f>
        <v/>
      </c>
    </row>
    <row r="5090">
      <c r="A5090" t="inlineStr">
        <is>
          <t>CO-002762</t>
        </is>
      </c>
      <c r="B5090" t="inlineStr">
        <is>
          <t>LINDE PERU S.R.L. - YAULI</t>
        </is>
      </c>
      <c r="C5090" t="inlineStr">
        <is>
          <t>20338570041</t>
        </is>
      </c>
      <c r="D5090" t="inlineStr">
        <is>
          <t>SECTOR PACHACHACA LOTE G-1 YAULI, JUNIN, PERÚ</t>
        </is>
      </c>
      <c r="E5090" t="inlineStr">
        <is>
          <t>Lima, 16 de junio del 2026</t>
        </is>
      </c>
      <c r="F5090" t="inlineStr">
        <is>
          <t>la Recarga y mantenimiento</t>
        </is>
      </c>
      <c r="G5090" t="inlineStr">
        <is>
          <t>04</t>
        </is>
      </c>
      <c r="H5090" t="inlineStr">
        <is>
          <t>15 LBS</t>
        </is>
      </c>
      <c r="I5090" t="n">
        <v>2029</v>
      </c>
      <c r="J5090" t="n">
        <v>2008</v>
      </c>
      <c r="K5090" t="inlineStr">
        <is>
          <t>JUNIO 2026</t>
        </is>
      </c>
      <c r="L5090" t="inlineStr">
        <is>
          <t>JUNIO 2027</t>
        </is>
      </c>
      <c r="M5090" t="inlineStr">
        <is>
          <t xml:space="preserve">CO2 TIPO BC </t>
        </is>
      </c>
      <c r="N5090" t="inlineStr">
        <is>
          <t>04/627123</t>
        </is>
      </c>
      <c r="O5090" t="inlineStr">
        <is>
          <t>R</t>
        </is>
      </c>
      <c r="P5090">
        <f>TRIM(N5090)</f>
        <v/>
      </c>
    </row>
    <row r="5091">
      <c r="A5091" t="inlineStr">
        <is>
          <t>CO-002762</t>
        </is>
      </c>
      <c r="B5091" t="inlineStr">
        <is>
          <t>LINDE PERU S.R.L. - YAULI</t>
        </is>
      </c>
      <c r="C5091" t="inlineStr">
        <is>
          <t>20338570041</t>
        </is>
      </c>
      <c r="D5091" t="inlineStr">
        <is>
          <t>SECTOR PACHACHACA LOTE G-1 YAULI, JUNIN, PERÚ</t>
        </is>
      </c>
      <c r="E5091" t="inlineStr">
        <is>
          <t>Lima, 16 de junio del 2026</t>
        </is>
      </c>
      <c r="F5091" t="inlineStr">
        <is>
          <t>la Recarga y mantenimiento</t>
        </is>
      </c>
      <c r="G5091" t="inlineStr">
        <is>
          <t>05</t>
        </is>
      </c>
      <c r="H5091" t="inlineStr">
        <is>
          <t>09 KG</t>
        </is>
      </c>
      <c r="I5091" t="n">
        <v>2030</v>
      </c>
      <c r="J5091" t="n">
        <v>2010</v>
      </c>
      <c r="K5091" t="inlineStr">
        <is>
          <t>JUNIO 2026</t>
        </is>
      </c>
      <c r="L5091" t="inlineStr">
        <is>
          <t>JUNIO 2027</t>
        </is>
      </c>
      <c r="M5091" t="inlineStr">
        <is>
          <t>P.Q.S.  TIPO ABC AL 90% UL</t>
        </is>
      </c>
      <c r="N5091" t="inlineStr">
        <is>
          <t>05/000006</t>
        </is>
      </c>
      <c r="O5091" t="inlineStr">
        <is>
          <t>M3</t>
        </is>
      </c>
      <c r="P5091">
        <f>TRIM(N5091)</f>
        <v/>
      </c>
    </row>
    <row r="5092">
      <c r="A5092" t="inlineStr">
        <is>
          <t>CO-002762</t>
        </is>
      </c>
      <c r="B5092" t="inlineStr">
        <is>
          <t>LINDE PERU S.R.L. - YAULI</t>
        </is>
      </c>
      <c r="C5092" t="inlineStr">
        <is>
          <t>20338570041</t>
        </is>
      </c>
      <c r="D5092" t="inlineStr">
        <is>
          <t>SECTOR PACHACHACA LOTE G-1 YAULI, JUNIN, PERÚ</t>
        </is>
      </c>
      <c r="E5092" t="inlineStr">
        <is>
          <t>Lima, 16 de junio del 2026</t>
        </is>
      </c>
      <c r="F5092" t="inlineStr">
        <is>
          <t>la Recarga y mantenimiento</t>
        </is>
      </c>
      <c r="G5092" t="inlineStr">
        <is>
          <t>06</t>
        </is>
      </c>
      <c r="H5092" t="inlineStr">
        <is>
          <t>10 LBS</t>
        </is>
      </c>
      <c r="I5092" t="n">
        <v>2029</v>
      </c>
      <c r="J5092" t="n">
        <v>2000</v>
      </c>
      <c r="K5092" t="inlineStr">
        <is>
          <t>JUNIO 2026</t>
        </is>
      </c>
      <c r="L5092" t="inlineStr">
        <is>
          <t>JUNIO 2027</t>
        </is>
      </c>
      <c r="M5092" t="inlineStr">
        <is>
          <t xml:space="preserve">CO2 TIPO BC </t>
        </is>
      </c>
      <c r="N5092" t="inlineStr">
        <is>
          <t>06/700659</t>
        </is>
      </c>
      <c r="O5092" t="inlineStr">
        <is>
          <t>R</t>
        </is>
      </c>
      <c r="P5092">
        <f>TRIM(N5092)</f>
        <v/>
      </c>
    </row>
    <row r="5093">
      <c r="A5093" t="inlineStr">
        <is>
          <t>CO-002762</t>
        </is>
      </c>
      <c r="B5093" t="inlineStr">
        <is>
          <t>LINDE PERU S.R.L. - YAULI</t>
        </is>
      </c>
      <c r="C5093" t="inlineStr">
        <is>
          <t>20338570041</t>
        </is>
      </c>
      <c r="D5093" t="inlineStr">
        <is>
          <t>SECTOR PACHACHACA LOTE G-1 YAULI, JUNIN, PERÚ</t>
        </is>
      </c>
      <c r="E5093" t="inlineStr">
        <is>
          <t>Lima, 16 de junio del 2026</t>
        </is>
      </c>
      <c r="F5093" t="inlineStr">
        <is>
          <t>la Recarga y mantenimiento</t>
        </is>
      </c>
      <c r="G5093" t="inlineStr">
        <is>
          <t>07</t>
        </is>
      </c>
      <c r="H5093" t="inlineStr">
        <is>
          <t>12 KG</t>
        </is>
      </c>
      <c r="I5093" t="n">
        <v>2030</v>
      </c>
      <c r="J5093" t="n">
        <v>2019</v>
      </c>
      <c r="K5093" t="inlineStr">
        <is>
          <t>JUNIO 2026</t>
        </is>
      </c>
      <c r="L5093" t="inlineStr">
        <is>
          <t>JUNIO 2027</t>
        </is>
      </c>
      <c r="M5093" t="inlineStr">
        <is>
          <t>P.Q.S.  TIPO ABC AL 90% UL</t>
        </is>
      </c>
      <c r="N5093" t="inlineStr">
        <is>
          <t>07/000289</t>
        </is>
      </c>
      <c r="O5093" t="inlineStr">
        <is>
          <t>M3</t>
        </is>
      </c>
      <c r="P5093">
        <f>TRIM(N5093)</f>
        <v/>
      </c>
    </row>
    <row r="5094">
      <c r="A5094" t="inlineStr">
        <is>
          <t>CO-002763</t>
        </is>
      </c>
      <c r="B5094" t="inlineStr">
        <is>
          <t>GACSA PERU S.A.C.</t>
        </is>
      </c>
      <c r="C5094" t="n">
        <v>20602629068</v>
      </c>
      <c r="D5094" t="inlineStr">
        <is>
          <t>MOVILIDAD</t>
        </is>
      </c>
      <c r="E5094" t="inlineStr">
        <is>
          <t>Lima, 18 de junio del 2026</t>
        </is>
      </c>
      <c r="F5094" t="inlineStr">
        <is>
          <t>la Recarga y mantenimiento</t>
        </is>
      </c>
      <c r="G5094" t="n">
        <v>1</v>
      </c>
      <c r="H5094" t="inlineStr">
        <is>
          <t>06 KG</t>
        </is>
      </c>
      <c r="I5094" t="n">
        <v>2028</v>
      </c>
      <c r="J5094" t="n">
        <v>2023</v>
      </c>
      <c r="K5094" t="inlineStr">
        <is>
          <t>JUNIO 2026</t>
        </is>
      </c>
      <c r="L5094" t="inlineStr">
        <is>
          <t>JUNIO 2027</t>
        </is>
      </c>
      <c r="M5094" t="inlineStr">
        <is>
          <t>PQS TIPO ABC AL 75%</t>
        </is>
      </c>
      <c r="N5094" t="inlineStr">
        <is>
          <t>19/011779</t>
        </is>
      </c>
      <c r="O5094" t="inlineStr">
        <is>
          <t>R</t>
        </is>
      </c>
      <c r="P5094">
        <f>TRIM(N5094)</f>
        <v/>
      </c>
    </row>
    <row r="5095">
      <c r="A5095" t="inlineStr">
        <is>
          <t>CO-002764</t>
        </is>
      </c>
      <c r="B5095" t="inlineStr">
        <is>
          <t xml:space="preserve">FRANCISCA BALBOA TORRES </t>
        </is>
      </c>
      <c r="C5095" t="inlineStr">
        <is>
          <t>09483023</t>
        </is>
      </c>
      <c r="D5095" t="inlineStr">
        <is>
          <t xml:space="preserve">MERCADO AÑO NUEVO PSTO 119, COMAS </t>
        </is>
      </c>
      <c r="E5095" t="inlineStr">
        <is>
          <t>Lima, 19 de junio del 2026</t>
        </is>
      </c>
      <c r="F5095" t="inlineStr">
        <is>
          <t>la Recarga y mantenimiento</t>
        </is>
      </c>
      <c r="G5095" t="inlineStr">
        <is>
          <t xml:space="preserve">01 </t>
        </is>
      </c>
      <c r="H5095" t="inlineStr">
        <is>
          <t>06 KG</t>
        </is>
      </c>
      <c r="I5095" t="inlineStr">
        <is>
          <t>2030</t>
        </is>
      </c>
      <c r="J5095" t="n">
        <v>2024</v>
      </c>
      <c r="K5095" t="inlineStr">
        <is>
          <t>JUNIO 2026</t>
        </is>
      </c>
      <c r="L5095" t="inlineStr">
        <is>
          <t>JUNIO 2027</t>
        </is>
      </c>
      <c r="M5095" t="inlineStr">
        <is>
          <t>PQS TIPO ABC AL 75%</t>
        </is>
      </c>
      <c r="N5095" t="inlineStr">
        <is>
          <t>01/007534</t>
        </is>
      </c>
      <c r="O5095" t="inlineStr">
        <is>
          <t>R</t>
        </is>
      </c>
      <c r="P5095">
        <f>TRIM(N5095)</f>
        <v/>
      </c>
    </row>
    <row r="5096">
      <c r="A5096" t="inlineStr">
        <is>
          <t>CO-002765</t>
        </is>
      </c>
      <c r="B5096" t="inlineStr">
        <is>
          <t>PROYECTO LIDERES DEL PERU S.A.C.</t>
        </is>
      </c>
      <c r="C5096" t="inlineStr">
        <is>
          <t>20612009482</t>
        </is>
      </c>
      <c r="D5096" t="inlineStr">
        <is>
          <t>AV. LOS INCAS N° 1054 URB. EL PINAR - COMAS</t>
        </is>
      </c>
      <c r="E5096" t="inlineStr">
        <is>
          <t>Lima, 22 de junio del 2026</t>
        </is>
      </c>
      <c r="F5096" t="inlineStr">
        <is>
          <t>la Recarga y mantenimiento</t>
        </is>
      </c>
      <c r="G5096" t="inlineStr">
        <is>
          <t>01</t>
        </is>
      </c>
      <c r="H5096" t="inlineStr">
        <is>
          <t>06 KG</t>
        </is>
      </c>
      <c r="I5096" t="inlineStr">
        <is>
          <t>2027</t>
        </is>
      </c>
      <c r="J5096" t="n">
        <v>2022</v>
      </c>
      <c r="K5096" t="inlineStr">
        <is>
          <t>JUNIO 2026</t>
        </is>
      </c>
      <c r="L5096" t="inlineStr">
        <is>
          <t>JUNIO 2027</t>
        </is>
      </c>
      <c r="M5096" t="inlineStr">
        <is>
          <t>PQS TIPO ABC AL 75%</t>
        </is>
      </c>
      <c r="N5096" t="inlineStr">
        <is>
          <t>01/501127</t>
        </is>
      </c>
      <c r="O5096" t="inlineStr">
        <is>
          <t>R</t>
        </is>
      </c>
      <c r="P5096">
        <f>TRIM(N5096)</f>
        <v/>
      </c>
    </row>
    <row r="5097">
      <c r="A5097" t="inlineStr">
        <is>
          <t>CO-002765</t>
        </is>
      </c>
      <c r="B5097" t="inlineStr">
        <is>
          <t>PROYECTO LIDERES DEL PERU S.A.C.</t>
        </is>
      </c>
      <c r="C5097" t="inlineStr">
        <is>
          <t>20612009482</t>
        </is>
      </c>
      <c r="D5097" t="inlineStr">
        <is>
          <t>AV. LOS INCAS N° 1054 URB. EL PINAR - COMAS</t>
        </is>
      </c>
      <c r="E5097" t="inlineStr">
        <is>
          <t>Lima, 22 de junio del 2026</t>
        </is>
      </c>
      <c r="F5097" t="inlineStr">
        <is>
          <t>la Recarga y mantenimiento</t>
        </is>
      </c>
      <c r="G5097" t="inlineStr">
        <is>
          <t>02</t>
        </is>
      </c>
      <c r="H5097" t="inlineStr">
        <is>
          <t>06 KG</t>
        </is>
      </c>
      <c r="I5097" t="inlineStr">
        <is>
          <t>2029</t>
        </is>
      </c>
      <c r="J5097" t="n">
        <v>2017</v>
      </c>
      <c r="K5097" t="inlineStr">
        <is>
          <t>JUNIO 2026</t>
        </is>
      </c>
      <c r="L5097" t="inlineStr">
        <is>
          <t>JUNIO 2027</t>
        </is>
      </c>
      <c r="M5097" t="inlineStr">
        <is>
          <t>PQS TIPO ABC AL 75%</t>
        </is>
      </c>
      <c r="N5097" t="inlineStr">
        <is>
          <t>02/000244</t>
        </is>
      </c>
      <c r="O5097" t="inlineStr">
        <is>
          <t>R</t>
        </is>
      </c>
      <c r="P5097">
        <f>TRIM(N5097)</f>
        <v/>
      </c>
    </row>
    <row r="5098">
      <c r="A5098" t="inlineStr">
        <is>
          <t>CO-002765</t>
        </is>
      </c>
      <c r="B5098" t="inlineStr">
        <is>
          <t>PROYECTO LIDERES DEL PERU S.A.C.</t>
        </is>
      </c>
      <c r="C5098" t="inlineStr">
        <is>
          <t>20612009482</t>
        </is>
      </c>
      <c r="D5098" t="inlineStr">
        <is>
          <t>AV. LOS INCAS N° 1054 URB. EL PINAR - COMAS</t>
        </is>
      </c>
      <c r="E5098" t="inlineStr">
        <is>
          <t>Lima, 22 de junio del 2026</t>
        </is>
      </c>
      <c r="F5098" t="inlineStr">
        <is>
          <t>la Recarga y mantenimiento</t>
        </is>
      </c>
      <c r="G5098" t="inlineStr">
        <is>
          <t>03</t>
        </is>
      </c>
      <c r="H5098" t="inlineStr">
        <is>
          <t>06 KG</t>
        </is>
      </c>
      <c r="I5098" t="inlineStr">
        <is>
          <t>2029</t>
        </is>
      </c>
      <c r="J5098" t="n">
        <v>2012</v>
      </c>
      <c r="K5098" t="inlineStr">
        <is>
          <t>JUNIO 2026</t>
        </is>
      </c>
      <c r="L5098" t="inlineStr">
        <is>
          <t>JUNIO 2027</t>
        </is>
      </c>
      <c r="M5098" t="inlineStr">
        <is>
          <t>PQS TIPO ABC AL 75%</t>
        </is>
      </c>
      <c r="N5098" t="inlineStr">
        <is>
          <t>03/001722</t>
        </is>
      </c>
      <c r="O5098" t="inlineStr">
        <is>
          <t>R</t>
        </is>
      </c>
      <c r="P5098">
        <f>TRIM(N5098)</f>
        <v/>
      </c>
    </row>
    <row r="5099">
      <c r="A5099" t="inlineStr">
        <is>
          <t>CO-002765</t>
        </is>
      </c>
      <c r="B5099" t="inlineStr">
        <is>
          <t>PROYECTO LIDERES DEL PERU S.A.C.</t>
        </is>
      </c>
      <c r="C5099" t="inlineStr">
        <is>
          <t>20612009482</t>
        </is>
      </c>
      <c r="D5099" t="inlineStr">
        <is>
          <t>AV. LOS INCAS N° 1054 URB. EL PINAR - COMAS</t>
        </is>
      </c>
      <c r="E5099" t="inlineStr">
        <is>
          <t>Lima, 22 de junio del 2026</t>
        </is>
      </c>
      <c r="F5099" t="inlineStr">
        <is>
          <t>la Recarga y mantenimiento</t>
        </is>
      </c>
      <c r="G5099" t="inlineStr">
        <is>
          <t>04</t>
        </is>
      </c>
      <c r="H5099" t="inlineStr">
        <is>
          <t>06 KG</t>
        </is>
      </c>
      <c r="I5099" t="inlineStr">
        <is>
          <t>2027</t>
        </is>
      </c>
      <c r="J5099" t="n">
        <v>2022</v>
      </c>
      <c r="K5099" t="inlineStr">
        <is>
          <t>JUNIO 2026</t>
        </is>
      </c>
      <c r="L5099" t="inlineStr">
        <is>
          <t>JUNIO 2027</t>
        </is>
      </c>
      <c r="M5099" t="inlineStr">
        <is>
          <t>PQS TIPO ABC AL 75%</t>
        </is>
      </c>
      <c r="N5099" t="inlineStr">
        <is>
          <t>04/422684</t>
        </is>
      </c>
      <c r="O5099" t="inlineStr">
        <is>
          <t>R</t>
        </is>
      </c>
      <c r="P5099">
        <f>TRIM(N5099)</f>
        <v/>
      </c>
    </row>
    <row r="5100">
      <c r="A5100" t="inlineStr">
        <is>
          <t>CO-002765</t>
        </is>
      </c>
      <c r="B5100" t="inlineStr">
        <is>
          <t>PROYECTO LIDERES DEL PERU S.A.C.</t>
        </is>
      </c>
      <c r="C5100" t="inlineStr">
        <is>
          <t>20612009482</t>
        </is>
      </c>
      <c r="D5100" t="inlineStr">
        <is>
          <t>AV. LOS INCAS N° 1054 URB. EL PINAR - COMAS</t>
        </is>
      </c>
      <c r="E5100" t="inlineStr">
        <is>
          <t>Lima, 22 de junio del 2026</t>
        </is>
      </c>
      <c r="F5100" t="inlineStr">
        <is>
          <t>la Recarga y mantenimiento</t>
        </is>
      </c>
      <c r="G5100" t="inlineStr">
        <is>
          <t>05</t>
        </is>
      </c>
      <c r="H5100" t="inlineStr">
        <is>
          <t>06 KG</t>
        </is>
      </c>
      <c r="I5100" t="inlineStr">
        <is>
          <t>2029</t>
        </is>
      </c>
      <c r="J5100" t="n">
        <v>2016</v>
      </c>
      <c r="K5100" t="inlineStr">
        <is>
          <t>JUNIO 2026</t>
        </is>
      </c>
      <c r="L5100" t="inlineStr">
        <is>
          <t>JUNIO 2027</t>
        </is>
      </c>
      <c r="M5100" t="inlineStr">
        <is>
          <t>PQS TIPO ABC AL 75%</t>
        </is>
      </c>
      <c r="N5100" t="inlineStr">
        <is>
          <t>05/000016</t>
        </is>
      </c>
      <c r="O5100" t="inlineStr">
        <is>
          <t>R</t>
        </is>
      </c>
      <c r="P5100">
        <f>TRIM(N5100)</f>
        <v/>
      </c>
    </row>
    <row r="5101">
      <c r="A5101" t="inlineStr">
        <is>
          <t>CO-002766</t>
        </is>
      </c>
      <c r="B5101" t="inlineStr">
        <is>
          <t>RADIADORES FORTALEZA S.A.</t>
        </is>
      </c>
      <c r="C5101" t="inlineStr">
        <is>
          <t xml:space="preserve">20101636411 </t>
        </is>
      </c>
      <c r="D5101" t="inlineStr">
        <is>
          <t xml:space="preserve">AV. SEPARADORA INDUSTRIAL NO. 1555, URB. INDUSTRIAL SAN FRANCISCO -ATE </t>
        </is>
      </c>
      <c r="E5101" t="inlineStr">
        <is>
          <t>Lima, 21 de junio del 2026</t>
        </is>
      </c>
      <c r="F5101" t="inlineStr">
        <is>
          <t>la Recarga y mantenimiento</t>
        </is>
      </c>
      <c r="G5101" t="n">
        <v>1</v>
      </c>
      <c r="H5101" t="inlineStr">
        <is>
          <t>12 KG</t>
        </is>
      </c>
      <c r="I5101" t="n">
        <v>2030</v>
      </c>
      <c r="J5101" t="n">
        <v>2025</v>
      </c>
      <c r="K5101" t="inlineStr">
        <is>
          <t>JUNIO 2026</t>
        </is>
      </c>
      <c r="L5101" t="inlineStr">
        <is>
          <t>JUNIO 2027</t>
        </is>
      </c>
      <c r="M5101" t="inlineStr">
        <is>
          <t>PQS TIPO ABC AL 75%</t>
        </is>
      </c>
      <c r="N5101" t="inlineStr">
        <is>
          <t>01/000257</t>
        </is>
      </c>
      <c r="O5101" t="inlineStr">
        <is>
          <t>V</t>
        </is>
      </c>
      <c r="P5101">
        <f>TRIM(N5101)</f>
        <v/>
      </c>
    </row>
    <row r="5102">
      <c r="A5102" t="inlineStr">
        <is>
          <t>CO-002766</t>
        </is>
      </c>
      <c r="B5102" t="inlineStr">
        <is>
          <t>RADIADORES FORTALEZA S.A.</t>
        </is>
      </c>
      <c r="C5102" t="inlineStr">
        <is>
          <t xml:space="preserve">20101636411 </t>
        </is>
      </c>
      <c r="D5102" t="inlineStr">
        <is>
          <t xml:space="preserve">AV. SEPARADORA INDUSTRIAL NO. 1555, URB. INDUSTRIAL SAN FRANCISCO -ATE </t>
        </is>
      </c>
      <c r="E5102" t="inlineStr">
        <is>
          <t>Lima, 21 de junio del 2026</t>
        </is>
      </c>
      <c r="F5102" t="inlineStr">
        <is>
          <t>la Recarga y mantenimiento</t>
        </is>
      </c>
      <c r="G5102" t="n">
        <v>2</v>
      </c>
      <c r="H5102" t="inlineStr">
        <is>
          <t>15 LBS</t>
        </is>
      </c>
      <c r="I5102" t="n">
        <v>2030</v>
      </c>
      <c r="J5102" t="n">
        <v>2010</v>
      </c>
      <c r="K5102" t="inlineStr">
        <is>
          <t>JUNIO 2026</t>
        </is>
      </c>
      <c r="L5102" t="inlineStr">
        <is>
          <t>JUNIO 2027</t>
        </is>
      </c>
      <c r="M5102" t="inlineStr">
        <is>
          <t>PQS TIPO ABC AL 75%</t>
        </is>
      </c>
      <c r="N5102" t="inlineStr">
        <is>
          <t>CO2 TIPO BC</t>
        </is>
      </c>
      <c r="O5102" t="inlineStr">
        <is>
          <t>R</t>
        </is>
      </c>
      <c r="P5102">
        <f>TRIM(N5102)</f>
        <v/>
      </c>
    </row>
    <row r="5103">
      <c r="A5103" t="inlineStr">
        <is>
          <t>CO-002766</t>
        </is>
      </c>
      <c r="B5103" t="inlineStr">
        <is>
          <t>RADIADORES FORTALEZA S.A.</t>
        </is>
      </c>
      <c r="C5103" t="inlineStr">
        <is>
          <t xml:space="preserve">20101636411 </t>
        </is>
      </c>
      <c r="D5103" t="inlineStr">
        <is>
          <t xml:space="preserve">AV. SEPARADORA INDUSTRIAL NO. 1555, URB. INDUSTRIAL SAN FRANCISCO -ATE </t>
        </is>
      </c>
      <c r="E5103" t="inlineStr">
        <is>
          <t>Lima, 21 de junio del 2026</t>
        </is>
      </c>
      <c r="F5103" t="inlineStr">
        <is>
          <t>la Recarga y mantenimiento</t>
        </is>
      </c>
      <c r="G5103" t="n">
        <v>3</v>
      </c>
      <c r="H5103" t="inlineStr">
        <is>
          <t>12 KG</t>
        </is>
      </c>
      <c r="I5103" t="n">
        <v>2030</v>
      </c>
      <c r="J5103" t="n">
        <v>2007</v>
      </c>
      <c r="K5103" t="inlineStr">
        <is>
          <t>JUNIO 2026</t>
        </is>
      </c>
      <c r="L5103" t="inlineStr">
        <is>
          <t>JUNIO 2027</t>
        </is>
      </c>
      <c r="M5103" t="inlineStr">
        <is>
          <t>PQS TIPO ABC AL 75%</t>
        </is>
      </c>
      <c r="N5103" t="inlineStr">
        <is>
          <t>03/000090</t>
        </is>
      </c>
      <c r="O5103" t="inlineStr">
        <is>
          <t>R</t>
        </is>
      </c>
      <c r="P5103">
        <f>TRIM(N5103)</f>
        <v/>
      </c>
    </row>
    <row r="5104">
      <c r="A5104" t="inlineStr">
        <is>
          <t>CO-002766</t>
        </is>
      </c>
      <c r="B5104" t="inlineStr">
        <is>
          <t>RADIADORES FORTALEZA S.A.</t>
        </is>
      </c>
      <c r="C5104" t="inlineStr">
        <is>
          <t xml:space="preserve">20101636411 </t>
        </is>
      </c>
      <c r="D5104" t="inlineStr">
        <is>
          <t xml:space="preserve">AV. SEPARADORA INDUSTRIAL NO. 1555, URB. INDUSTRIAL SAN FRANCISCO -ATE </t>
        </is>
      </c>
      <c r="E5104" t="inlineStr">
        <is>
          <t>Lima, 21 de junio del 2026</t>
        </is>
      </c>
      <c r="F5104" t="inlineStr">
        <is>
          <t>la Recarga y mantenimiento</t>
        </is>
      </c>
      <c r="G5104" t="n">
        <v>4</v>
      </c>
      <c r="H5104" t="inlineStr">
        <is>
          <t>06 KG</t>
        </is>
      </c>
      <c r="I5104" t="n">
        <v>2030</v>
      </c>
      <c r="J5104" t="n">
        <v>2025</v>
      </c>
      <c r="K5104" t="inlineStr">
        <is>
          <t>JUNIO 2026</t>
        </is>
      </c>
      <c r="L5104" t="inlineStr">
        <is>
          <t>JUNIO 2027</t>
        </is>
      </c>
      <c r="M5104" t="inlineStr">
        <is>
          <t>PQS TIPO ABC AL 90%</t>
        </is>
      </c>
      <c r="N5104" t="inlineStr">
        <is>
          <t>04/002652</t>
        </is>
      </c>
      <c r="O5104" t="inlineStr">
        <is>
          <t>R</t>
        </is>
      </c>
      <c r="P5104">
        <f>TRIM(N5104)</f>
        <v/>
      </c>
    </row>
    <row r="5105">
      <c r="A5105" t="inlineStr">
        <is>
          <t>CO-002766</t>
        </is>
      </c>
      <c r="B5105" t="inlineStr">
        <is>
          <t>RADIADORES FORTALEZA S.A.</t>
        </is>
      </c>
      <c r="C5105" t="inlineStr">
        <is>
          <t xml:space="preserve">20101636411 </t>
        </is>
      </c>
      <c r="D5105" t="inlineStr">
        <is>
          <t xml:space="preserve">AV. SEPARADORA INDUSTRIAL NO. 1555, URB. INDUSTRIAL SAN FRANCISCO -ATE </t>
        </is>
      </c>
      <c r="E5105" t="inlineStr">
        <is>
          <t>Lima, 21 de junio del 2026</t>
        </is>
      </c>
      <c r="F5105" t="inlineStr">
        <is>
          <t>la Recarga y mantenimiento</t>
        </is>
      </c>
      <c r="G5105" t="n">
        <v>5</v>
      </c>
      <c r="H5105" t="inlineStr">
        <is>
          <t>09 KG</t>
        </is>
      </c>
      <c r="I5105" t="n">
        <v>2030</v>
      </c>
      <c r="J5105" t="n">
        <v>2016</v>
      </c>
      <c r="K5105" t="inlineStr">
        <is>
          <t>JUNIO 2026</t>
        </is>
      </c>
      <c r="L5105" t="inlineStr">
        <is>
          <t>JUNIO 2027</t>
        </is>
      </c>
      <c r="M5105" t="inlineStr">
        <is>
          <t>PQS TIPO ABC AL 75%</t>
        </is>
      </c>
      <c r="N5105" t="inlineStr">
        <is>
          <t>05/000424</t>
        </is>
      </c>
      <c r="O5105" t="inlineStr">
        <is>
          <t>R</t>
        </is>
      </c>
      <c r="P5105">
        <f>TRIM(N5105)</f>
        <v/>
      </c>
    </row>
    <row r="5106">
      <c r="A5106" t="inlineStr">
        <is>
          <t>CO-002766</t>
        </is>
      </c>
      <c r="B5106" t="inlineStr">
        <is>
          <t>RADIADORES FORTALEZA S.A.</t>
        </is>
      </c>
      <c r="C5106" t="inlineStr">
        <is>
          <t xml:space="preserve">20101636411 </t>
        </is>
      </c>
      <c r="D5106" t="inlineStr">
        <is>
          <t xml:space="preserve">AV. SEPARADORA INDUSTRIAL NO. 1555, URB. INDUSTRIAL SAN FRANCISCO -ATE </t>
        </is>
      </c>
      <c r="E5106" t="inlineStr">
        <is>
          <t>Lima, 21 de junio del 2026</t>
        </is>
      </c>
      <c r="F5106" t="inlineStr">
        <is>
          <t>la Recarga y mantenimiento</t>
        </is>
      </c>
      <c r="G5106" t="n">
        <v>6</v>
      </c>
      <c r="H5106" t="inlineStr">
        <is>
          <t>10 LBS</t>
        </is>
      </c>
      <c r="I5106" t="n">
        <v>2030</v>
      </c>
      <c r="J5106" t="n">
        <v>2025</v>
      </c>
      <c r="K5106" t="inlineStr">
        <is>
          <t>JUNIO 2026</t>
        </is>
      </c>
      <c r="L5106" t="inlineStr">
        <is>
          <t>JUNIO 2027</t>
        </is>
      </c>
      <c r="M5106" t="inlineStr">
        <is>
          <t>CO2 TIPO BC</t>
        </is>
      </c>
      <c r="N5106" t="inlineStr">
        <is>
          <t>06/000314</t>
        </is>
      </c>
      <c r="O5106" t="inlineStr">
        <is>
          <t>R</t>
        </is>
      </c>
      <c r="P5106">
        <f>TRIM(N5106)</f>
        <v/>
      </c>
    </row>
    <row r="5107">
      <c r="A5107" t="inlineStr">
        <is>
          <t>CO-002766</t>
        </is>
      </c>
      <c r="B5107" t="inlineStr">
        <is>
          <t>RADIADORES FORTALEZA S.A.</t>
        </is>
      </c>
      <c r="C5107" t="inlineStr">
        <is>
          <t xml:space="preserve">20101636411 </t>
        </is>
      </c>
      <c r="D5107" t="inlineStr">
        <is>
          <t xml:space="preserve">AV. SEPARADORA INDUSTRIAL NO. 1555, URB. INDUSTRIAL SAN FRANCISCO -ATE </t>
        </is>
      </c>
      <c r="E5107" t="inlineStr">
        <is>
          <t>Lima, 21 de junio del 2026</t>
        </is>
      </c>
      <c r="F5107" t="inlineStr">
        <is>
          <t>la Recarga y mantenimiento</t>
        </is>
      </c>
      <c r="G5107" t="n">
        <v>7</v>
      </c>
      <c r="H5107" t="inlineStr">
        <is>
          <t>10 LBS</t>
        </is>
      </c>
      <c r="I5107" t="n">
        <v>2030</v>
      </c>
      <c r="J5107" t="n">
        <v>2025</v>
      </c>
      <c r="K5107" t="inlineStr">
        <is>
          <t>JUNIO 2026</t>
        </is>
      </c>
      <c r="L5107" t="inlineStr">
        <is>
          <t>JUNIO 2027</t>
        </is>
      </c>
      <c r="M5107" t="inlineStr">
        <is>
          <t>CO2 TIPO BC</t>
        </is>
      </c>
      <c r="N5107" t="inlineStr">
        <is>
          <t>07/000567</t>
        </is>
      </c>
      <c r="O5107" t="inlineStr">
        <is>
          <t>R</t>
        </is>
      </c>
      <c r="P5107">
        <f>TRIM(N5107)</f>
        <v/>
      </c>
    </row>
    <row r="5108">
      <c r="A5108" t="inlineStr">
        <is>
          <t>CO-002766</t>
        </is>
      </c>
      <c r="B5108" t="inlineStr">
        <is>
          <t>RADIADORES FORTALEZA S.A.</t>
        </is>
      </c>
      <c r="C5108" t="inlineStr">
        <is>
          <t xml:space="preserve">20101636411 </t>
        </is>
      </c>
      <c r="D5108" t="inlineStr">
        <is>
          <t xml:space="preserve">AV. SEPARADORA INDUSTRIAL NO. 1555, URB. INDUSTRIAL SAN FRANCISCO -ATE </t>
        </is>
      </c>
      <c r="E5108" t="inlineStr">
        <is>
          <t>Lima, 21 de junio del 2026</t>
        </is>
      </c>
      <c r="F5108" t="inlineStr">
        <is>
          <t>la Recarga y mantenimiento</t>
        </is>
      </c>
      <c r="G5108" t="n">
        <v>8</v>
      </c>
      <c r="H5108" t="inlineStr">
        <is>
          <t>10 LBS</t>
        </is>
      </c>
      <c r="I5108" t="n">
        <v>2030</v>
      </c>
      <c r="J5108" t="n">
        <v>2008</v>
      </c>
      <c r="K5108" t="inlineStr">
        <is>
          <t>JUNIO 2026</t>
        </is>
      </c>
      <c r="L5108" t="inlineStr">
        <is>
          <t>JUNIO 2027</t>
        </is>
      </c>
      <c r="M5108" t="inlineStr">
        <is>
          <t>CO2 TIPO BC</t>
        </is>
      </c>
      <c r="N5108" t="inlineStr">
        <is>
          <t>08/000285</t>
        </is>
      </c>
      <c r="O5108" t="inlineStr">
        <is>
          <t>R</t>
        </is>
      </c>
      <c r="P5108">
        <f>TRIM(N5108)</f>
        <v/>
      </c>
    </row>
    <row r="5109">
      <c r="A5109" t="inlineStr">
        <is>
          <t>CO-002766</t>
        </is>
      </c>
      <c r="B5109" t="inlineStr">
        <is>
          <t>RADIADORES FORTALEZA S.A.</t>
        </is>
      </c>
      <c r="C5109" t="inlineStr">
        <is>
          <t xml:space="preserve">20101636411 </t>
        </is>
      </c>
      <c r="D5109" t="inlineStr">
        <is>
          <t xml:space="preserve">AV. SEPARADORA INDUSTRIAL NO. 1555, URB. INDUSTRIAL SAN FRANCISCO -ATE </t>
        </is>
      </c>
      <c r="E5109" t="inlineStr">
        <is>
          <t>Lima, 21 de junio del 2026</t>
        </is>
      </c>
      <c r="F5109" t="inlineStr">
        <is>
          <t>la Recarga y mantenimiento</t>
        </is>
      </c>
      <c r="G5109" t="n">
        <v>9</v>
      </c>
      <c r="H5109" t="inlineStr">
        <is>
          <t>12 KG</t>
        </is>
      </c>
      <c r="I5109" t="n">
        <v>2030</v>
      </c>
      <c r="J5109" t="n">
        <v>2025</v>
      </c>
      <c r="K5109" t="inlineStr">
        <is>
          <t>JUNIO 2026</t>
        </is>
      </c>
      <c r="L5109" t="inlineStr">
        <is>
          <t>JUNIO 2027</t>
        </is>
      </c>
      <c r="M5109" t="inlineStr">
        <is>
          <t>PQS TIPO ABC AL 75%</t>
        </is>
      </c>
      <c r="N5109" t="inlineStr">
        <is>
          <t>09/000150</t>
        </is>
      </c>
      <c r="O5109" t="inlineStr">
        <is>
          <t>V</t>
        </is>
      </c>
      <c r="P5109">
        <f>TRIM(N5109)</f>
        <v/>
      </c>
    </row>
    <row r="5110">
      <c r="A5110" t="inlineStr">
        <is>
          <t>CO-002766</t>
        </is>
      </c>
      <c r="B5110" t="inlineStr">
        <is>
          <t>RADIADORES FORTALEZA S.A.</t>
        </is>
      </c>
      <c r="C5110" t="inlineStr">
        <is>
          <t xml:space="preserve">20101636411 </t>
        </is>
      </c>
      <c r="D5110" t="inlineStr">
        <is>
          <t xml:space="preserve">AV. SEPARADORA INDUSTRIAL NO. 1555, URB. INDUSTRIAL SAN FRANCISCO -ATE </t>
        </is>
      </c>
      <c r="E5110" t="inlineStr">
        <is>
          <t>Lima, 21 de junio del 2026</t>
        </is>
      </c>
      <c r="F5110" t="inlineStr">
        <is>
          <t>la Recarga y mantenimiento</t>
        </is>
      </c>
      <c r="G5110" t="n">
        <v>10</v>
      </c>
      <c r="H5110" t="inlineStr">
        <is>
          <t>12 KG</t>
        </is>
      </c>
      <c r="I5110" t="n">
        <v>2030</v>
      </c>
      <c r="J5110" t="n">
        <v>2025</v>
      </c>
      <c r="K5110" t="inlineStr">
        <is>
          <t>JUNIO 2026</t>
        </is>
      </c>
      <c r="L5110" t="inlineStr">
        <is>
          <t>JUNIO 2027</t>
        </is>
      </c>
      <c r="M5110" t="inlineStr">
        <is>
          <t>PQS TIPO ABC AL 75%</t>
        </is>
      </c>
      <c r="N5110" t="inlineStr">
        <is>
          <t>10/000518</t>
        </is>
      </c>
      <c r="O5110" t="inlineStr">
        <is>
          <t>V</t>
        </is>
      </c>
      <c r="P5110">
        <f>TRIM(N5110)</f>
        <v/>
      </c>
    </row>
    <row r="5111">
      <c r="A5111" t="inlineStr">
        <is>
          <t>CO-002766</t>
        </is>
      </c>
      <c r="B5111" t="inlineStr">
        <is>
          <t>RADIADORES FORTALEZA S.A.</t>
        </is>
      </c>
      <c r="C5111" t="inlineStr">
        <is>
          <t xml:space="preserve">20101636411 </t>
        </is>
      </c>
      <c r="D5111" t="inlineStr">
        <is>
          <t xml:space="preserve">AV. SEPARADORA INDUSTRIAL NO. 1555, URB. INDUSTRIAL SAN FRANCISCO -ATE </t>
        </is>
      </c>
      <c r="E5111" t="inlineStr">
        <is>
          <t>Lima, 21 de junio del 2026</t>
        </is>
      </c>
      <c r="F5111" t="inlineStr">
        <is>
          <t>la Recarga y mantenimiento</t>
        </is>
      </c>
      <c r="G5111" t="n">
        <v>11</v>
      </c>
      <c r="H5111" t="inlineStr">
        <is>
          <t>12 KG</t>
        </is>
      </c>
      <c r="I5111" t="n">
        <v>2030</v>
      </c>
      <c r="J5111" t="n">
        <v>2010</v>
      </c>
      <c r="K5111" t="inlineStr">
        <is>
          <t>JUNIO 2026</t>
        </is>
      </c>
      <c r="L5111" t="inlineStr">
        <is>
          <t>JUNIO 2027</t>
        </is>
      </c>
      <c r="M5111" t="inlineStr">
        <is>
          <t>PQS TIPO ABC AL 90%</t>
        </is>
      </c>
      <c r="N5111" t="inlineStr">
        <is>
          <t>11/000042</t>
        </is>
      </c>
      <c r="O5111" t="inlineStr">
        <is>
          <t>R</t>
        </is>
      </c>
      <c r="P5111">
        <f>TRIM(N5111)</f>
        <v/>
      </c>
    </row>
    <row r="5112">
      <c r="A5112" t="inlineStr">
        <is>
          <t>CO-002766</t>
        </is>
      </c>
      <c r="B5112" t="inlineStr">
        <is>
          <t>RADIADORES FORTALEZA S.A.</t>
        </is>
      </c>
      <c r="C5112" t="inlineStr">
        <is>
          <t xml:space="preserve">20101636411 </t>
        </is>
      </c>
      <c r="D5112" t="inlineStr">
        <is>
          <t xml:space="preserve">AV. SEPARADORA INDUSTRIAL NO. 1555, URB. INDUSTRIAL SAN FRANCISCO -ATE </t>
        </is>
      </c>
      <c r="E5112" t="inlineStr">
        <is>
          <t>Lima, 21 de junio del 2026</t>
        </is>
      </c>
      <c r="F5112" t="inlineStr">
        <is>
          <t>la Recarga y mantenimiento</t>
        </is>
      </c>
      <c r="G5112" t="n">
        <v>12</v>
      </c>
      <c r="H5112" t="inlineStr">
        <is>
          <t>12 KG</t>
        </is>
      </c>
      <c r="I5112" t="n">
        <v>2030</v>
      </c>
      <c r="J5112" t="n">
        <v>2010</v>
      </c>
      <c r="K5112" t="inlineStr">
        <is>
          <t>JUNIO 2026</t>
        </is>
      </c>
      <c r="L5112" t="inlineStr">
        <is>
          <t>JUNIO 2027</t>
        </is>
      </c>
      <c r="M5112" t="inlineStr">
        <is>
          <t>PQS TIPO ABC AL 90%</t>
        </is>
      </c>
      <c r="N5112" t="inlineStr">
        <is>
          <t>12/000124</t>
        </is>
      </c>
      <c r="O5112" t="inlineStr">
        <is>
          <t>R</t>
        </is>
      </c>
      <c r="P5112">
        <f>TRIM(N5112)</f>
        <v/>
      </c>
    </row>
    <row r="5113">
      <c r="A5113" t="inlineStr">
        <is>
          <t>CO-002766</t>
        </is>
      </c>
      <c r="B5113" t="inlineStr">
        <is>
          <t>RADIADORES FORTALEZA S.A.</t>
        </is>
      </c>
      <c r="C5113" t="inlineStr">
        <is>
          <t xml:space="preserve">20101636411 </t>
        </is>
      </c>
      <c r="D5113" t="inlineStr">
        <is>
          <t xml:space="preserve">AV. SEPARADORA INDUSTRIAL NO. 1555, URB. INDUSTRIAL SAN FRANCISCO -ATE </t>
        </is>
      </c>
      <c r="E5113" t="inlineStr">
        <is>
          <t>Lima, 21 de junio del 2026</t>
        </is>
      </c>
      <c r="F5113" t="inlineStr">
        <is>
          <t>la Recarga y mantenimiento</t>
        </is>
      </c>
      <c r="G5113" t="n">
        <v>13</v>
      </c>
      <c r="H5113" t="inlineStr">
        <is>
          <t>2.5 GLS</t>
        </is>
      </c>
      <c r="I5113" t="n">
        <v>2031</v>
      </c>
      <c r="J5113" t="inlineStr">
        <is>
          <t>S/N</t>
        </is>
      </c>
      <c r="K5113" t="inlineStr">
        <is>
          <t>JUNIO 2026</t>
        </is>
      </c>
      <c r="L5113" t="inlineStr">
        <is>
          <t>JUNIO 2027</t>
        </is>
      </c>
      <c r="M5113" t="inlineStr">
        <is>
          <t>H2O PRESURIZADA</t>
        </is>
      </c>
      <c r="N5113" t="inlineStr">
        <is>
          <t>13/S/N</t>
        </is>
      </c>
      <c r="O5113" t="inlineStr">
        <is>
          <t>R</t>
        </is>
      </c>
      <c r="P5113">
        <f>TRIM(N5113)</f>
        <v/>
      </c>
    </row>
    <row r="5114">
      <c r="A5114" t="inlineStr">
        <is>
          <t>CO-002766</t>
        </is>
      </c>
      <c r="B5114" t="inlineStr">
        <is>
          <t>RADIADORES FORTALEZA S.A.</t>
        </is>
      </c>
      <c r="C5114" t="inlineStr">
        <is>
          <t xml:space="preserve">20101636411 </t>
        </is>
      </c>
      <c r="D5114" t="inlineStr">
        <is>
          <t xml:space="preserve">AV. SEPARADORA INDUSTRIAL NO. 1555, URB. INDUSTRIAL SAN FRANCISCO -ATE </t>
        </is>
      </c>
      <c r="E5114" t="inlineStr">
        <is>
          <t>Lima, 21 de junio del 2026</t>
        </is>
      </c>
      <c r="F5114" t="inlineStr">
        <is>
          <t>la Recarga y mantenimiento</t>
        </is>
      </c>
      <c r="G5114" t="n">
        <v>14</v>
      </c>
      <c r="H5114" t="inlineStr">
        <is>
          <t>12 KG</t>
        </is>
      </c>
      <c r="I5114" t="n">
        <v>2030</v>
      </c>
      <c r="J5114" t="n">
        <v>2010</v>
      </c>
      <c r="K5114" t="inlineStr">
        <is>
          <t>JUNIO 2026</t>
        </is>
      </c>
      <c r="L5114" t="inlineStr">
        <is>
          <t>JUNIO 2027</t>
        </is>
      </c>
      <c r="M5114" t="inlineStr">
        <is>
          <t>PQS TIPO ABC AL 75%</t>
        </is>
      </c>
      <c r="N5114" t="inlineStr">
        <is>
          <t>14/000050</t>
        </is>
      </c>
      <c r="O5114" t="inlineStr">
        <is>
          <t>R</t>
        </is>
      </c>
      <c r="P5114">
        <f>TRIM(N5114)</f>
        <v/>
      </c>
    </row>
    <row r="5115">
      <c r="A5115" t="inlineStr">
        <is>
          <t>CO-002766</t>
        </is>
      </c>
      <c r="B5115" t="inlineStr">
        <is>
          <t>RADIADORES FORTALEZA S.A.</t>
        </is>
      </c>
      <c r="C5115" t="inlineStr">
        <is>
          <t xml:space="preserve">20101636411 </t>
        </is>
      </c>
      <c r="D5115" t="inlineStr">
        <is>
          <t xml:space="preserve">AV. SEPARADORA INDUSTRIAL NO. 1555, URB. INDUSTRIAL SAN FRANCISCO -ATE </t>
        </is>
      </c>
      <c r="E5115" t="inlineStr">
        <is>
          <t>Lima, 21 de junio del 2026</t>
        </is>
      </c>
      <c r="F5115" t="inlineStr">
        <is>
          <t>la Recarga y mantenimiento</t>
        </is>
      </c>
      <c r="G5115" t="n">
        <v>15</v>
      </c>
      <c r="H5115" t="inlineStr">
        <is>
          <t>50 KG</t>
        </is>
      </c>
      <c r="I5115" t="n">
        <v>2030</v>
      </c>
      <c r="J5115" t="n">
        <v>2011</v>
      </c>
      <c r="K5115" t="inlineStr">
        <is>
          <t>JUNIO 2026</t>
        </is>
      </c>
      <c r="L5115" t="inlineStr">
        <is>
          <t>JUNIO 2027</t>
        </is>
      </c>
      <c r="M5115" t="inlineStr">
        <is>
          <t>PQS TIPO ABC AL 75%</t>
        </is>
      </c>
      <c r="N5115" t="inlineStr">
        <is>
          <t>15/000033</t>
        </is>
      </c>
      <c r="O5115" t="inlineStr">
        <is>
          <t>R</t>
        </is>
      </c>
      <c r="P5115">
        <f>TRIM(N5115)</f>
        <v/>
      </c>
    </row>
    <row r="5116">
      <c r="A5116" t="inlineStr">
        <is>
          <t>CO-002767</t>
        </is>
      </c>
      <c r="B5116" t="inlineStr">
        <is>
          <t>RADIADORES FORTALEZA S.A.</t>
        </is>
      </c>
      <c r="C5116" t="inlineStr">
        <is>
          <t xml:space="preserve">20101636411 </t>
        </is>
      </c>
      <c r="D5116" t="inlineStr">
        <is>
          <t xml:space="preserve">AV. SEPARADORA INDUSTRIAL NO. 1555, URB. INDUSTRIAL SAN FRANCISCO -ATE </t>
        </is>
      </c>
      <c r="E5116" t="inlineStr">
        <is>
          <t>Lima, 21 de junio del 2026</t>
        </is>
      </c>
      <c r="F5116" t="inlineStr">
        <is>
          <t>la Recarga y mantenimiento</t>
        </is>
      </c>
      <c r="G5116" t="n">
        <v>1</v>
      </c>
      <c r="H5116" t="inlineStr">
        <is>
          <t>12 KG</t>
        </is>
      </c>
      <c r="I5116" t="n">
        <v>2030</v>
      </c>
      <c r="J5116" t="n">
        <v>2010</v>
      </c>
      <c r="K5116" t="inlineStr">
        <is>
          <t>JUNIO 2026</t>
        </is>
      </c>
      <c r="L5116" t="inlineStr">
        <is>
          <t>JUNIO 2027</t>
        </is>
      </c>
      <c r="M5116" t="inlineStr">
        <is>
          <t>PQS TIPO ABC AL 75%</t>
        </is>
      </c>
      <c r="N5116" t="inlineStr">
        <is>
          <t>16/000134</t>
        </is>
      </c>
      <c r="O5116" t="inlineStr">
        <is>
          <t>R</t>
        </is>
      </c>
      <c r="P5116">
        <f>TRIM(N5116)</f>
        <v/>
      </c>
    </row>
    <row r="5117">
      <c r="A5117" t="inlineStr">
        <is>
          <t>CO-002767</t>
        </is>
      </c>
      <c r="B5117" t="inlineStr">
        <is>
          <t>RADIADORES FORTALEZA S.A.</t>
        </is>
      </c>
      <c r="C5117" t="inlineStr">
        <is>
          <t xml:space="preserve">20101636411 </t>
        </is>
      </c>
      <c r="D5117" t="inlineStr">
        <is>
          <t xml:space="preserve">AV. SEPARADORA INDUSTRIAL NO. 1555, URB. INDUSTRIAL SAN FRANCISCO -ATE </t>
        </is>
      </c>
      <c r="E5117" t="inlineStr">
        <is>
          <t>Lima, 21 de junio del 2026</t>
        </is>
      </c>
      <c r="F5117" t="inlineStr">
        <is>
          <t>la Recarga y mantenimiento</t>
        </is>
      </c>
      <c r="G5117" t="n">
        <v>2</v>
      </c>
      <c r="H5117" t="inlineStr">
        <is>
          <t>12 KG</t>
        </is>
      </c>
      <c r="I5117" t="n">
        <v>2030</v>
      </c>
      <c r="J5117" t="n">
        <v>2010</v>
      </c>
      <c r="K5117" t="inlineStr">
        <is>
          <t>JUNIO 2026</t>
        </is>
      </c>
      <c r="L5117" t="inlineStr">
        <is>
          <t>JUNIO 2027</t>
        </is>
      </c>
      <c r="M5117" t="inlineStr">
        <is>
          <t>PQS TIPO ABC AL 90%</t>
        </is>
      </c>
      <c r="N5117" t="inlineStr">
        <is>
          <t>17/000013</t>
        </is>
      </c>
      <c r="O5117" t="inlineStr">
        <is>
          <t>R</t>
        </is>
      </c>
      <c r="P5117">
        <f>TRIM(N5117)</f>
        <v/>
      </c>
    </row>
    <row r="5118">
      <c r="A5118" t="inlineStr">
        <is>
          <t>CO-002767</t>
        </is>
      </c>
      <c r="B5118" t="inlineStr">
        <is>
          <t>RADIADORES FORTALEZA S.A.</t>
        </is>
      </c>
      <c r="C5118" t="inlineStr">
        <is>
          <t xml:space="preserve">20101636411 </t>
        </is>
      </c>
      <c r="D5118" t="inlineStr">
        <is>
          <t xml:space="preserve">AV. SEPARADORA INDUSTRIAL NO. 1555, URB. INDUSTRIAL SAN FRANCISCO -ATE </t>
        </is>
      </c>
      <c r="E5118" t="inlineStr">
        <is>
          <t>Lima, 21 de junio del 2026</t>
        </is>
      </c>
      <c r="F5118" t="inlineStr">
        <is>
          <t>la Recarga y mantenimiento</t>
        </is>
      </c>
      <c r="G5118" t="n">
        <v>3</v>
      </c>
      <c r="H5118" t="inlineStr">
        <is>
          <t>12 KG</t>
        </is>
      </c>
      <c r="I5118" t="n">
        <v>2030</v>
      </c>
      <c r="J5118" t="n">
        <v>2025</v>
      </c>
      <c r="K5118" t="inlineStr">
        <is>
          <t>JUNIO 2026</t>
        </is>
      </c>
      <c r="L5118" t="inlineStr">
        <is>
          <t>JUNIO 2027</t>
        </is>
      </c>
      <c r="M5118" t="inlineStr">
        <is>
          <t>PQS TIPO ABC AL 75%</t>
        </is>
      </c>
      <c r="N5118" t="inlineStr">
        <is>
          <t>18/000450</t>
        </is>
      </c>
      <c r="O5118" t="inlineStr">
        <is>
          <t>V</t>
        </is>
      </c>
      <c r="P5118">
        <f>TRIM(N5118)</f>
        <v/>
      </c>
    </row>
    <row r="5119">
      <c r="A5119" t="inlineStr">
        <is>
          <t>CO-002767</t>
        </is>
      </c>
      <c r="B5119" t="inlineStr">
        <is>
          <t>RADIADORES FORTALEZA S.A.</t>
        </is>
      </c>
      <c r="C5119" t="inlineStr">
        <is>
          <t xml:space="preserve">20101636411 </t>
        </is>
      </c>
      <c r="D5119" t="inlineStr">
        <is>
          <t xml:space="preserve">AV. SEPARADORA INDUSTRIAL NO. 1555, URB. INDUSTRIAL SAN FRANCISCO -ATE </t>
        </is>
      </c>
      <c r="E5119" t="inlineStr">
        <is>
          <t>Lima, 21 de junio del 2026</t>
        </is>
      </c>
      <c r="F5119" t="inlineStr">
        <is>
          <t>la Recarga y mantenimiento</t>
        </is>
      </c>
      <c r="G5119" t="n">
        <v>4</v>
      </c>
      <c r="H5119" t="inlineStr">
        <is>
          <t>10 LBS</t>
        </is>
      </c>
      <c r="I5119" t="n">
        <v>2030</v>
      </c>
      <c r="J5119" t="n">
        <v>2008</v>
      </c>
      <c r="K5119" t="inlineStr">
        <is>
          <t>JUNIO 2026</t>
        </is>
      </c>
      <c r="L5119" t="inlineStr">
        <is>
          <t>JUNIO 2027</t>
        </is>
      </c>
      <c r="M5119" t="inlineStr">
        <is>
          <t xml:space="preserve">CO2 TIPO BC </t>
        </is>
      </c>
      <c r="N5119" t="inlineStr">
        <is>
          <t>19/000237</t>
        </is>
      </c>
      <c r="O5119" t="inlineStr">
        <is>
          <t>R</t>
        </is>
      </c>
      <c r="P5119">
        <f>TRIM(N5119)</f>
        <v/>
      </c>
    </row>
    <row r="5120">
      <c r="A5120" t="inlineStr">
        <is>
          <t>CO-002767</t>
        </is>
      </c>
      <c r="B5120" t="inlineStr">
        <is>
          <t>RADIADORES FORTALEZA S.A.</t>
        </is>
      </c>
      <c r="C5120" t="inlineStr">
        <is>
          <t xml:space="preserve">20101636411 </t>
        </is>
      </c>
      <c r="D5120" t="inlineStr">
        <is>
          <t xml:space="preserve">AV. SEPARADORA INDUSTRIAL NO. 1555, URB. INDUSTRIAL SAN FRANCISCO -ATE </t>
        </is>
      </c>
      <c r="E5120" t="inlineStr">
        <is>
          <t>Lima, 21 de junio del 2026</t>
        </is>
      </c>
      <c r="F5120" t="inlineStr">
        <is>
          <t>la Recarga y mantenimiento</t>
        </is>
      </c>
      <c r="G5120" t="n">
        <v>5</v>
      </c>
      <c r="H5120" t="inlineStr">
        <is>
          <t>05 LBS</t>
        </is>
      </c>
      <c r="I5120" t="n">
        <v>2030</v>
      </c>
      <c r="J5120" t="n">
        <v>2025</v>
      </c>
      <c r="K5120" t="inlineStr">
        <is>
          <t>JUNIO 2026</t>
        </is>
      </c>
      <c r="L5120" t="inlineStr">
        <is>
          <t>JUNIO 2027</t>
        </is>
      </c>
      <c r="M5120" t="inlineStr">
        <is>
          <t xml:space="preserve">CO2 TIPO BC </t>
        </is>
      </c>
      <c r="N5120" t="inlineStr">
        <is>
          <t>21/000330</t>
        </is>
      </c>
      <c r="O5120" t="inlineStr">
        <is>
          <t>V</t>
        </is>
      </c>
      <c r="P5120">
        <f>TRIM(N5120)</f>
        <v/>
      </c>
    </row>
    <row r="5121">
      <c r="A5121" t="inlineStr">
        <is>
          <t>CO-002767</t>
        </is>
      </c>
      <c r="B5121" t="inlineStr">
        <is>
          <t>RADIADORES FORTALEZA S.A.</t>
        </is>
      </c>
      <c r="C5121" t="inlineStr">
        <is>
          <t xml:space="preserve">20101636411 </t>
        </is>
      </c>
      <c r="D5121" t="inlineStr">
        <is>
          <t xml:space="preserve">AV. SEPARADORA INDUSTRIAL NO. 1555, URB. INDUSTRIAL SAN FRANCISCO -ATE </t>
        </is>
      </c>
      <c r="E5121" t="inlineStr">
        <is>
          <t>Lima, 21 de junio del 2026</t>
        </is>
      </c>
      <c r="F5121" t="inlineStr">
        <is>
          <t>la Recarga y mantenimiento</t>
        </is>
      </c>
      <c r="G5121" t="n">
        <v>6</v>
      </c>
      <c r="H5121" t="inlineStr">
        <is>
          <t>04 KG</t>
        </is>
      </c>
      <c r="I5121" t="n">
        <v>2030</v>
      </c>
      <c r="J5121" t="n">
        <v>2008</v>
      </c>
      <c r="K5121" t="inlineStr">
        <is>
          <t>JUNIO 2026</t>
        </is>
      </c>
      <c r="L5121" t="inlineStr">
        <is>
          <t>JUNIO 2027</t>
        </is>
      </c>
      <c r="M5121" t="inlineStr">
        <is>
          <t>PQS TIPO ABC AL 75%</t>
        </is>
      </c>
      <c r="N5121" t="inlineStr">
        <is>
          <t>24/000028</t>
        </is>
      </c>
      <c r="O5121" t="inlineStr">
        <is>
          <t>R</t>
        </is>
      </c>
      <c r="P5121">
        <f>TRIM(N5121)</f>
        <v/>
      </c>
    </row>
    <row r="5122">
      <c r="A5122" t="inlineStr">
        <is>
          <t>CO-002767</t>
        </is>
      </c>
      <c r="B5122" t="inlineStr">
        <is>
          <t>RADIADORES FORTALEZA S.A.</t>
        </is>
      </c>
      <c r="C5122" t="inlineStr">
        <is>
          <t xml:space="preserve">20101636411 </t>
        </is>
      </c>
      <c r="D5122" t="inlineStr">
        <is>
          <t xml:space="preserve">AV. SEPARADORA INDUSTRIAL NO. 1555, URB. INDUSTRIAL SAN FRANCISCO -ATE </t>
        </is>
      </c>
      <c r="E5122" t="inlineStr">
        <is>
          <t>Lima, 21 de junio del 2026</t>
        </is>
      </c>
      <c r="F5122" t="inlineStr">
        <is>
          <t>la Recarga y mantenimiento</t>
        </is>
      </c>
      <c r="G5122" t="n">
        <v>7</v>
      </c>
      <c r="H5122" t="inlineStr">
        <is>
          <t>04 KG</t>
        </is>
      </c>
      <c r="I5122" t="n">
        <v>2030</v>
      </c>
      <c r="J5122" t="n">
        <v>2008</v>
      </c>
      <c r="K5122" t="inlineStr">
        <is>
          <t>JUNIO 2026</t>
        </is>
      </c>
      <c r="L5122" t="inlineStr">
        <is>
          <t>JUNIO 2027</t>
        </is>
      </c>
      <c r="M5122" t="inlineStr">
        <is>
          <t>PQS TIPO ABC AL 75%</t>
        </is>
      </c>
      <c r="N5122" t="inlineStr">
        <is>
          <t>25/000145</t>
        </is>
      </c>
      <c r="O5122" t="inlineStr">
        <is>
          <t>R</t>
        </is>
      </c>
      <c r="P5122">
        <f>TRIM(N5122)</f>
        <v/>
      </c>
    </row>
    <row r="5123">
      <c r="A5123" t="inlineStr">
        <is>
          <t>CO-002767</t>
        </is>
      </c>
      <c r="B5123" t="inlineStr">
        <is>
          <t>RADIADORES FORTALEZA S.A.</t>
        </is>
      </c>
      <c r="C5123" t="inlineStr">
        <is>
          <t xml:space="preserve">20101636411 </t>
        </is>
      </c>
      <c r="D5123" t="inlineStr">
        <is>
          <t xml:space="preserve">AV. SEPARADORA INDUSTRIAL NO. 1555, URB. INDUSTRIAL SAN FRANCISCO -ATE </t>
        </is>
      </c>
      <c r="E5123" t="inlineStr">
        <is>
          <t>Lima, 21 de junio del 2026</t>
        </is>
      </c>
      <c r="F5123" t="inlineStr">
        <is>
          <t>la Recarga y mantenimiento</t>
        </is>
      </c>
      <c r="G5123" t="n">
        <v>8</v>
      </c>
      <c r="H5123" t="inlineStr">
        <is>
          <t>04 KG</t>
        </is>
      </c>
      <c r="I5123" t="n">
        <v>2030</v>
      </c>
      <c r="J5123" t="n">
        <v>2008</v>
      </c>
      <c r="K5123" t="inlineStr">
        <is>
          <t>JUNIO 2026</t>
        </is>
      </c>
      <c r="L5123" t="inlineStr">
        <is>
          <t>JUNIO 2027</t>
        </is>
      </c>
      <c r="M5123" t="inlineStr">
        <is>
          <t>PQS TIPO ABC AL 75%</t>
        </is>
      </c>
      <c r="N5123" t="inlineStr">
        <is>
          <t>27/000030</t>
        </is>
      </c>
      <c r="O5123" t="inlineStr">
        <is>
          <t>R</t>
        </is>
      </c>
      <c r="P5123">
        <f>TRIM(N5123)</f>
        <v/>
      </c>
    </row>
    <row r="5124">
      <c r="A5124" t="inlineStr">
        <is>
          <t>CO-002767</t>
        </is>
      </c>
      <c r="B5124" t="inlineStr">
        <is>
          <t>RADIADORES FORTALEZA S.A.</t>
        </is>
      </c>
      <c r="C5124" t="inlineStr">
        <is>
          <t xml:space="preserve">20101636411 </t>
        </is>
      </c>
      <c r="D5124" t="inlineStr">
        <is>
          <t xml:space="preserve">AV. SEPARADORA INDUSTRIAL NO. 1555, URB. INDUSTRIAL SAN FRANCISCO -ATE </t>
        </is>
      </c>
      <c r="E5124" t="inlineStr">
        <is>
          <t>Lima, 21 de junio del 2026</t>
        </is>
      </c>
      <c r="F5124" t="inlineStr">
        <is>
          <t>la Recarga y mantenimiento</t>
        </is>
      </c>
      <c r="G5124" t="n">
        <v>9</v>
      </c>
      <c r="H5124" t="inlineStr">
        <is>
          <t>04 KG</t>
        </is>
      </c>
      <c r="I5124" t="n">
        <v>2030</v>
      </c>
      <c r="J5124" t="n">
        <v>2008</v>
      </c>
      <c r="K5124" t="inlineStr">
        <is>
          <t>JUNIO 2026</t>
        </is>
      </c>
      <c r="L5124" t="inlineStr">
        <is>
          <t>JUNIO 2027</t>
        </is>
      </c>
      <c r="M5124" t="inlineStr">
        <is>
          <t>PQS TIPO ABC AL 75%</t>
        </is>
      </c>
      <c r="N5124" t="inlineStr">
        <is>
          <t>29/000004</t>
        </is>
      </c>
      <c r="O5124" t="inlineStr">
        <is>
          <t>R</t>
        </is>
      </c>
      <c r="P5124">
        <f>TRIM(N5124)</f>
        <v/>
      </c>
    </row>
    <row r="5125">
      <c r="A5125" t="inlineStr">
        <is>
          <t>CO-002767</t>
        </is>
      </c>
      <c r="B5125" t="inlineStr">
        <is>
          <t>RADIADORES FORTALEZA S.A.</t>
        </is>
      </c>
      <c r="C5125" t="inlineStr">
        <is>
          <t xml:space="preserve">20101636411 </t>
        </is>
      </c>
      <c r="D5125" t="inlineStr">
        <is>
          <t xml:space="preserve">AV. SEPARADORA INDUSTRIAL NO. 1555, URB. INDUSTRIAL SAN FRANCISCO -ATE </t>
        </is>
      </c>
      <c r="E5125" t="inlineStr">
        <is>
          <t>Lima, 21 de junio del 2026</t>
        </is>
      </c>
      <c r="F5125" t="inlineStr">
        <is>
          <t>la Recarga y mantenimiento</t>
        </is>
      </c>
      <c r="G5125" t="n">
        <v>10</v>
      </c>
      <c r="H5125" t="inlineStr">
        <is>
          <t>12 KG</t>
        </is>
      </c>
      <c r="I5125" t="n">
        <v>2030</v>
      </c>
      <c r="J5125" t="n">
        <v>2025</v>
      </c>
      <c r="K5125" t="inlineStr">
        <is>
          <t>JUNIO 2026</t>
        </is>
      </c>
      <c r="L5125" t="inlineStr">
        <is>
          <t>JUNIO 2027</t>
        </is>
      </c>
      <c r="M5125" t="inlineStr">
        <is>
          <t>PQS TIPO ABC AL 75%</t>
        </is>
      </c>
      <c r="N5125" t="inlineStr">
        <is>
          <t>30/000249</t>
        </is>
      </c>
      <c r="O5125" t="inlineStr">
        <is>
          <t>V</t>
        </is>
      </c>
      <c r="P5125">
        <f>TRIM(N5125)</f>
        <v/>
      </c>
    </row>
    <row r="5126">
      <c r="A5126" t="inlineStr">
        <is>
          <t>CO-002767</t>
        </is>
      </c>
      <c r="B5126" t="inlineStr">
        <is>
          <t>RADIADORES FORTALEZA S.A.</t>
        </is>
      </c>
      <c r="C5126" t="inlineStr">
        <is>
          <t xml:space="preserve">20101636411 </t>
        </is>
      </c>
      <c r="D5126" t="inlineStr">
        <is>
          <t xml:space="preserve">AV. SEPARADORA INDUSTRIAL NO. 1555, URB. INDUSTRIAL SAN FRANCISCO -ATE </t>
        </is>
      </c>
      <c r="E5126" t="inlineStr">
        <is>
          <t>Lima, 21 de junio del 2026</t>
        </is>
      </c>
      <c r="F5126" t="inlineStr">
        <is>
          <t>la Recarga y mantenimiento</t>
        </is>
      </c>
      <c r="G5126" t="n">
        <v>11</v>
      </c>
      <c r="H5126" t="inlineStr">
        <is>
          <t>15 LBS</t>
        </is>
      </c>
      <c r="I5126" t="n">
        <v>2030</v>
      </c>
      <c r="J5126" t="n">
        <v>2010</v>
      </c>
      <c r="K5126" t="inlineStr">
        <is>
          <t>JUNIO 2026</t>
        </is>
      </c>
      <c r="L5126" t="inlineStr">
        <is>
          <t>JUNIO 2027</t>
        </is>
      </c>
      <c r="M5126" t="inlineStr">
        <is>
          <t>CO2 TIPO BC</t>
        </is>
      </c>
      <c r="N5126" t="inlineStr">
        <is>
          <t>33/000104</t>
        </is>
      </c>
      <c r="O5126" t="inlineStr">
        <is>
          <t>R</t>
        </is>
      </c>
      <c r="P5126">
        <f>TRIM(N5126)</f>
        <v/>
      </c>
    </row>
    <row r="5127">
      <c r="A5127" t="inlineStr">
        <is>
          <t>CO-002767</t>
        </is>
      </c>
      <c r="B5127" t="inlineStr">
        <is>
          <t>RADIADORES FORTALEZA S.A.</t>
        </is>
      </c>
      <c r="C5127" t="inlineStr">
        <is>
          <t xml:space="preserve">20101636411 </t>
        </is>
      </c>
      <c r="D5127" t="inlineStr">
        <is>
          <t xml:space="preserve">AV. SEPARADORA INDUSTRIAL NO. 1555, URB. INDUSTRIAL SAN FRANCISCO -ATE </t>
        </is>
      </c>
      <c r="E5127" t="inlineStr">
        <is>
          <t>Lima, 21 de junio del 2026</t>
        </is>
      </c>
      <c r="F5127" t="inlineStr">
        <is>
          <t>la Recarga y mantenimiento</t>
        </is>
      </c>
      <c r="G5127" t="n">
        <v>12</v>
      </c>
      <c r="H5127" t="inlineStr">
        <is>
          <t>04 KG</t>
        </is>
      </c>
      <c r="I5127" t="n">
        <v>2030</v>
      </c>
      <c r="J5127" t="n">
        <v>2008</v>
      </c>
      <c r="K5127" t="inlineStr">
        <is>
          <t>JUNIO 2026</t>
        </is>
      </c>
      <c r="L5127" t="inlineStr">
        <is>
          <t>JUNIO 2027</t>
        </is>
      </c>
      <c r="M5127" t="inlineStr">
        <is>
          <t>PQS TIPO ABC AL 75%</t>
        </is>
      </c>
      <c r="N5127" t="inlineStr">
        <is>
          <t>34/000086</t>
        </is>
      </c>
      <c r="O5127" t="inlineStr">
        <is>
          <t>R</t>
        </is>
      </c>
      <c r="P5127">
        <f>TRIM(N5127)</f>
        <v/>
      </c>
    </row>
    <row r="5128">
      <c r="A5128" t="inlineStr">
        <is>
          <t>CO-002767</t>
        </is>
      </c>
      <c r="B5128" t="inlineStr">
        <is>
          <t>RADIADORES FORTALEZA S.A.</t>
        </is>
      </c>
      <c r="C5128" t="inlineStr">
        <is>
          <t xml:space="preserve">20101636411 </t>
        </is>
      </c>
      <c r="D5128" t="inlineStr">
        <is>
          <t xml:space="preserve">AV. SEPARADORA INDUSTRIAL NO. 1555, URB. INDUSTRIAL SAN FRANCISCO -ATE </t>
        </is>
      </c>
      <c r="E5128" t="inlineStr">
        <is>
          <t>Lima, 21 de junio del 2026</t>
        </is>
      </c>
      <c r="F5128" t="inlineStr">
        <is>
          <t>la Recarga y mantenimiento</t>
        </is>
      </c>
      <c r="G5128" t="n">
        <v>13</v>
      </c>
      <c r="H5128" t="inlineStr">
        <is>
          <t>12 KG</t>
        </is>
      </c>
      <c r="I5128" t="n">
        <v>2031</v>
      </c>
      <c r="J5128" t="n">
        <v>2026</v>
      </c>
      <c r="K5128" t="inlineStr">
        <is>
          <t>JUNIO 2026</t>
        </is>
      </c>
      <c r="L5128" t="inlineStr">
        <is>
          <t>JUNIO 2027</t>
        </is>
      </c>
      <c r="M5128" t="inlineStr">
        <is>
          <t>PQS TIPO ABC AL 75%</t>
        </is>
      </c>
      <c r="N5128" t="inlineStr">
        <is>
          <t>35/000189</t>
        </is>
      </c>
      <c r="O5128" t="inlineStr">
        <is>
          <t>V</t>
        </is>
      </c>
      <c r="P5128">
        <f>TRIM(N5128)</f>
        <v/>
      </c>
    </row>
    <row r="5129">
      <c r="A5129" t="inlineStr">
        <is>
          <t>CO-002767</t>
        </is>
      </c>
      <c r="B5129" t="inlineStr">
        <is>
          <t>RADIADORES FORTALEZA S.A.</t>
        </is>
      </c>
      <c r="C5129" t="inlineStr">
        <is>
          <t xml:space="preserve">20101636411 </t>
        </is>
      </c>
      <c r="D5129" t="inlineStr">
        <is>
          <t xml:space="preserve">AV. SEPARADORA INDUSTRIAL NO. 1555, URB. INDUSTRIAL SAN FRANCISCO -ATE </t>
        </is>
      </c>
      <c r="E5129" t="inlineStr">
        <is>
          <t>Lima, 21 de junio del 2026</t>
        </is>
      </c>
      <c r="F5129" t="inlineStr">
        <is>
          <t>la Recarga y mantenimiento</t>
        </is>
      </c>
      <c r="G5129" t="n">
        <v>14</v>
      </c>
      <c r="H5129" t="inlineStr">
        <is>
          <t>12 KG</t>
        </is>
      </c>
      <c r="I5129" t="n">
        <v>2030</v>
      </c>
      <c r="J5129" t="n">
        <v>2010</v>
      </c>
      <c r="K5129" t="inlineStr">
        <is>
          <t>JUNIO 2026</t>
        </is>
      </c>
      <c r="L5129" t="inlineStr">
        <is>
          <t>JUNIO 2027</t>
        </is>
      </c>
      <c r="M5129" t="inlineStr">
        <is>
          <t>PQS TIPO ABC AL 90%</t>
        </is>
      </c>
      <c r="N5129" t="inlineStr">
        <is>
          <t>36/000125</t>
        </is>
      </c>
      <c r="O5129" t="inlineStr">
        <is>
          <t>R</t>
        </is>
      </c>
      <c r="P5129">
        <f>TRIM(N5129)</f>
        <v/>
      </c>
    </row>
    <row r="5130">
      <c r="A5130" t="inlineStr">
        <is>
          <t>CO-002767</t>
        </is>
      </c>
      <c r="B5130" t="inlineStr">
        <is>
          <t>RADIADORES FORTALEZA S.A.</t>
        </is>
      </c>
      <c r="C5130" t="inlineStr">
        <is>
          <t xml:space="preserve">20101636411 </t>
        </is>
      </c>
      <c r="D5130" t="inlineStr">
        <is>
          <t xml:space="preserve">AV. SEPARADORA INDUSTRIAL NO. 1555, URB. INDUSTRIAL SAN FRANCISCO -ATE </t>
        </is>
      </c>
      <c r="E5130" t="inlineStr">
        <is>
          <t>Lima, 21 de junio del 2026</t>
        </is>
      </c>
      <c r="F5130" t="inlineStr">
        <is>
          <t>la Recarga y mantenimiento</t>
        </is>
      </c>
      <c r="G5130" t="n">
        <v>15</v>
      </c>
      <c r="H5130" t="inlineStr">
        <is>
          <t>10 LBS</t>
        </is>
      </c>
      <c r="I5130" t="n">
        <v>2030</v>
      </c>
      <c r="J5130" t="n">
        <v>2016</v>
      </c>
      <c r="K5130" t="inlineStr">
        <is>
          <t>JUNIO 2026</t>
        </is>
      </c>
      <c r="L5130" t="inlineStr">
        <is>
          <t>JUNIO 2027</t>
        </is>
      </c>
      <c r="M5130" t="inlineStr">
        <is>
          <t>CO2 TIPO BC</t>
        </is>
      </c>
      <c r="N5130" t="inlineStr">
        <is>
          <t>37/023327</t>
        </is>
      </c>
      <c r="O5130" t="inlineStr">
        <is>
          <t>R</t>
        </is>
      </c>
      <c r="P5130">
        <f>TRIM(N5130)</f>
        <v/>
      </c>
    </row>
    <row r="5131">
      <c r="A5131" t="inlineStr">
        <is>
          <t>CO-002768</t>
        </is>
      </c>
      <c r="B5131" t="inlineStr">
        <is>
          <t>RADIADORES FORTALEZA S.A.</t>
        </is>
      </c>
      <c r="C5131" t="inlineStr">
        <is>
          <t xml:space="preserve">20101636411 </t>
        </is>
      </c>
      <c r="D5131" t="inlineStr">
        <is>
          <t xml:space="preserve">AV. SEPARADORA INDUSTRIAL NO. 1555, URB. INDUSTRIAL SAN FRANCISCO -ATE </t>
        </is>
      </c>
      <c r="E5131" t="inlineStr">
        <is>
          <t>Lima, 21 de junio del 2026</t>
        </is>
      </c>
      <c r="F5131" t="inlineStr">
        <is>
          <t>la Recarga y mantenimiento</t>
        </is>
      </c>
      <c r="G5131" t="n">
        <v>1</v>
      </c>
      <c r="H5131" t="inlineStr">
        <is>
          <t>02 KG</t>
        </is>
      </c>
      <c r="I5131" t="n">
        <v>2030</v>
      </c>
      <c r="J5131" t="n">
        <v>2025</v>
      </c>
      <c r="K5131" t="inlineStr">
        <is>
          <t>JUNIO 2026</t>
        </is>
      </c>
      <c r="L5131" t="inlineStr">
        <is>
          <t>JUNIO 2027</t>
        </is>
      </c>
      <c r="M5131" t="inlineStr">
        <is>
          <t>PQS TIPO ABC AL 90%</t>
        </is>
      </c>
      <c r="N5131" t="inlineStr">
        <is>
          <t>38/000643</t>
        </is>
      </c>
      <c r="O5131" t="inlineStr">
        <is>
          <t>R</t>
        </is>
      </c>
      <c r="P5131">
        <f>TRIM(N5131)</f>
        <v/>
      </c>
    </row>
    <row r="5132">
      <c r="A5132" t="inlineStr">
        <is>
          <t>CO-002768</t>
        </is>
      </c>
      <c r="B5132" t="inlineStr">
        <is>
          <t>RADIADORES FORTALEZA S.A.</t>
        </is>
      </c>
      <c r="C5132" t="inlineStr">
        <is>
          <t xml:space="preserve">20101636411 </t>
        </is>
      </c>
      <c r="D5132" t="inlineStr">
        <is>
          <t xml:space="preserve">AV. SEPARADORA INDUSTRIAL NO. 1555, URB. INDUSTRIAL SAN FRANCISCO -ATE </t>
        </is>
      </c>
      <c r="E5132" t="inlineStr">
        <is>
          <t>Lima, 21 de junio del 2026</t>
        </is>
      </c>
      <c r="F5132" t="inlineStr">
        <is>
          <t>la Recarga y mantenimiento</t>
        </is>
      </c>
      <c r="G5132" t="n">
        <v>2</v>
      </c>
      <c r="H5132" t="inlineStr">
        <is>
          <t>12 KG</t>
        </is>
      </c>
      <c r="I5132" t="n">
        <v>2030</v>
      </c>
      <c r="J5132" t="n">
        <v>2010</v>
      </c>
      <c r="K5132" t="inlineStr">
        <is>
          <t>JUNIO 2026</t>
        </is>
      </c>
      <c r="L5132" t="inlineStr">
        <is>
          <t>JUNIO 2027</t>
        </is>
      </c>
      <c r="M5132" t="inlineStr">
        <is>
          <t>PQS TIPO ABC AL 90%</t>
        </is>
      </c>
      <c r="N5132" t="inlineStr">
        <is>
          <t>39/000067</t>
        </is>
      </c>
      <c r="O5132" t="inlineStr">
        <is>
          <t>R</t>
        </is>
      </c>
      <c r="P5132">
        <f>TRIM(N5132)</f>
        <v/>
      </c>
    </row>
    <row r="5133">
      <c r="A5133" t="inlineStr">
        <is>
          <t>CO-002768</t>
        </is>
      </c>
      <c r="B5133" t="inlineStr">
        <is>
          <t>RADIADORES FORTALEZA S.A.</t>
        </is>
      </c>
      <c r="C5133" t="inlineStr">
        <is>
          <t xml:space="preserve">20101636411 </t>
        </is>
      </c>
      <c r="D5133" t="inlineStr">
        <is>
          <t xml:space="preserve">AV. SEPARADORA INDUSTRIAL NO. 1555, URB. INDUSTRIAL SAN FRANCISCO -ATE </t>
        </is>
      </c>
      <c r="E5133" t="inlineStr">
        <is>
          <t>Lima, 21 de junio del 2026</t>
        </is>
      </c>
      <c r="F5133" t="inlineStr">
        <is>
          <t>la Recarga y mantenimiento</t>
        </is>
      </c>
      <c r="G5133" t="n">
        <v>3</v>
      </c>
      <c r="H5133" t="inlineStr">
        <is>
          <t>12 KG</t>
        </is>
      </c>
      <c r="I5133" t="n">
        <v>2030</v>
      </c>
      <c r="J5133" t="n">
        <v>2010</v>
      </c>
      <c r="K5133" t="inlineStr">
        <is>
          <t>JUNIO 2026</t>
        </is>
      </c>
      <c r="L5133" t="inlineStr">
        <is>
          <t>JUNIO 2027</t>
        </is>
      </c>
      <c r="M5133" t="inlineStr">
        <is>
          <t>PQS TIPO ABC AL 75%</t>
        </is>
      </c>
      <c r="N5133" t="inlineStr">
        <is>
          <t>40/000016</t>
        </is>
      </c>
      <c r="O5133" t="inlineStr">
        <is>
          <t>R</t>
        </is>
      </c>
      <c r="P5133">
        <f>TRIM(N5133)</f>
        <v/>
      </c>
    </row>
    <row r="5134">
      <c r="A5134" t="inlineStr">
        <is>
          <t>CO-002768</t>
        </is>
      </c>
      <c r="B5134" t="inlineStr">
        <is>
          <t>RADIADORES FORTALEZA S.A.</t>
        </is>
      </c>
      <c r="C5134" t="inlineStr">
        <is>
          <t xml:space="preserve">20101636411 </t>
        </is>
      </c>
      <c r="D5134" t="inlineStr">
        <is>
          <t xml:space="preserve">AV. SEPARADORA INDUSTRIAL NO. 1555, URB. INDUSTRIAL SAN FRANCISCO -ATE </t>
        </is>
      </c>
      <c r="E5134" t="inlineStr">
        <is>
          <t>Lima, 21 de junio del 2026</t>
        </is>
      </c>
      <c r="F5134" t="inlineStr">
        <is>
          <t>la Recarga y mantenimiento</t>
        </is>
      </c>
      <c r="G5134" t="n">
        <v>4</v>
      </c>
      <c r="H5134" t="inlineStr">
        <is>
          <t>09 KG</t>
        </is>
      </c>
      <c r="I5134" t="n">
        <v>2030</v>
      </c>
      <c r="J5134" t="n">
        <v>2019</v>
      </c>
      <c r="K5134" t="inlineStr">
        <is>
          <t>JUNIO 2026</t>
        </is>
      </c>
      <c r="L5134" t="inlineStr">
        <is>
          <t>JUNIO 2027</t>
        </is>
      </c>
      <c r="M5134" t="inlineStr">
        <is>
          <t>PQS TIPO ABC AL 75%</t>
        </is>
      </c>
      <c r="N5134" t="inlineStr">
        <is>
          <t>41/000087</t>
        </is>
      </c>
      <c r="O5134" t="inlineStr">
        <is>
          <t>R</t>
        </is>
      </c>
      <c r="P5134">
        <f>TRIM(N5134)</f>
        <v/>
      </c>
    </row>
    <row r="5135">
      <c r="A5135" t="inlineStr">
        <is>
          <t>CO-002768</t>
        </is>
      </c>
      <c r="B5135" t="inlineStr">
        <is>
          <t>RADIADORES FORTALEZA S.A.</t>
        </is>
      </c>
      <c r="C5135" t="inlineStr">
        <is>
          <t xml:space="preserve">20101636411 </t>
        </is>
      </c>
      <c r="D5135" t="inlineStr">
        <is>
          <t xml:space="preserve">AV. SEPARADORA INDUSTRIAL NO. 1555, URB. INDUSTRIAL SAN FRANCISCO -ATE </t>
        </is>
      </c>
      <c r="E5135" t="inlineStr">
        <is>
          <t>Lima, 21 de junio del 2026</t>
        </is>
      </c>
      <c r="F5135" t="inlineStr">
        <is>
          <t>la Recarga y mantenimiento</t>
        </is>
      </c>
      <c r="G5135" t="n">
        <v>5</v>
      </c>
      <c r="H5135" t="inlineStr">
        <is>
          <t>06 KG</t>
        </is>
      </c>
      <c r="I5135" t="n">
        <v>2030</v>
      </c>
      <c r="J5135" t="n">
        <v>2019</v>
      </c>
      <c r="K5135" t="inlineStr">
        <is>
          <t>JUNIO 2026</t>
        </is>
      </c>
      <c r="L5135" t="inlineStr">
        <is>
          <t>JUNIO 2027</t>
        </is>
      </c>
      <c r="M5135" t="inlineStr">
        <is>
          <t>PQS TIPO ABC AL 90%</t>
        </is>
      </c>
      <c r="N5135" t="inlineStr">
        <is>
          <t>42/000495</t>
        </is>
      </c>
      <c r="O5135" t="inlineStr">
        <is>
          <t>R</t>
        </is>
      </c>
      <c r="P5135">
        <f>TRIM(N5135)</f>
        <v/>
      </c>
    </row>
    <row r="5136">
      <c r="A5136" t="inlineStr">
        <is>
          <t>CO-002768</t>
        </is>
      </c>
      <c r="B5136" t="inlineStr">
        <is>
          <t>RADIADORES FORTALEZA S.A.</t>
        </is>
      </c>
      <c r="C5136" t="inlineStr">
        <is>
          <t xml:space="preserve">20101636411 </t>
        </is>
      </c>
      <c r="D5136" t="inlineStr">
        <is>
          <t xml:space="preserve">AV. SEPARADORA INDUSTRIAL NO. 1555, URB. INDUSTRIAL SAN FRANCISCO -ATE </t>
        </is>
      </c>
      <c r="E5136" t="inlineStr">
        <is>
          <t>Lima, 21 de junio del 2026</t>
        </is>
      </c>
      <c r="F5136" t="inlineStr">
        <is>
          <t>la Recarga y mantenimiento</t>
        </is>
      </c>
      <c r="G5136" t="n">
        <v>6</v>
      </c>
      <c r="H5136" t="inlineStr">
        <is>
          <t>02 KG</t>
        </is>
      </c>
      <c r="I5136" t="n">
        <v>2030</v>
      </c>
      <c r="J5136" t="n">
        <v>2007</v>
      </c>
      <c r="K5136" t="inlineStr">
        <is>
          <t>JUNIO 2026</t>
        </is>
      </c>
      <c r="L5136" t="inlineStr">
        <is>
          <t>JUNIO 2027</t>
        </is>
      </c>
      <c r="M5136" t="inlineStr">
        <is>
          <t>PQS TIPO ABC AL 75%</t>
        </is>
      </c>
      <c r="N5136" t="inlineStr">
        <is>
          <t>42/000444</t>
        </is>
      </c>
      <c r="O5136" t="inlineStr">
        <is>
          <t>R</t>
        </is>
      </c>
      <c r="P5136">
        <f>TRIM(N5136)</f>
        <v/>
      </c>
    </row>
    <row r="5137">
      <c r="A5137" t="inlineStr">
        <is>
          <t>CO-002768</t>
        </is>
      </c>
      <c r="B5137" t="inlineStr">
        <is>
          <t>RADIADORES FORTALEZA S.A.</t>
        </is>
      </c>
      <c r="C5137" t="inlineStr">
        <is>
          <t xml:space="preserve">20101636411 </t>
        </is>
      </c>
      <c r="D5137" t="inlineStr">
        <is>
          <t xml:space="preserve">AV. SEPARADORA INDUSTRIAL NO. 1555, URB. INDUSTRIAL SAN FRANCISCO -ATE </t>
        </is>
      </c>
      <c r="E5137" t="inlineStr">
        <is>
          <t>Lima, 21 de junio del 2026</t>
        </is>
      </c>
      <c r="F5137" t="inlineStr">
        <is>
          <t>la Recarga y mantenimiento</t>
        </is>
      </c>
      <c r="G5137" t="n">
        <v>7</v>
      </c>
      <c r="H5137" t="inlineStr">
        <is>
          <t>06 KG</t>
        </is>
      </c>
      <c r="I5137" t="n">
        <v>2030</v>
      </c>
      <c r="J5137" t="n">
        <v>2025</v>
      </c>
      <c r="K5137" t="inlineStr">
        <is>
          <t>JUNIO 2026</t>
        </is>
      </c>
      <c r="L5137" t="inlineStr">
        <is>
          <t>JUNIO 2027</t>
        </is>
      </c>
      <c r="M5137" t="inlineStr">
        <is>
          <t>PQS TIPO ABC AL 90%</t>
        </is>
      </c>
      <c r="N5137" t="inlineStr">
        <is>
          <t>44/001281</t>
        </is>
      </c>
      <c r="O5137" t="inlineStr">
        <is>
          <t>R</t>
        </is>
      </c>
      <c r="P5137">
        <f>TRIM(N5137)</f>
        <v/>
      </c>
    </row>
    <row r="5138">
      <c r="A5138" t="inlineStr">
        <is>
          <t>CO-002768</t>
        </is>
      </c>
      <c r="B5138" t="inlineStr">
        <is>
          <t>RADIADORES FORTALEZA S.A.</t>
        </is>
      </c>
      <c r="C5138" t="inlineStr">
        <is>
          <t xml:space="preserve">20101636411 </t>
        </is>
      </c>
      <c r="D5138" t="inlineStr">
        <is>
          <t xml:space="preserve">AV. SEPARADORA INDUSTRIAL NO. 1555, URB. INDUSTRIAL SAN FRANCISCO -ATE </t>
        </is>
      </c>
      <c r="E5138" t="inlineStr">
        <is>
          <t>Lima, 21 de junio del 2026</t>
        </is>
      </c>
      <c r="F5138" t="inlineStr">
        <is>
          <t>la Recarga y mantenimiento</t>
        </is>
      </c>
      <c r="G5138" t="n">
        <v>8</v>
      </c>
      <c r="H5138" t="inlineStr">
        <is>
          <t>12 KG</t>
        </is>
      </c>
      <c r="I5138" t="n">
        <v>2030</v>
      </c>
      <c r="J5138" t="n">
        <v>2010</v>
      </c>
      <c r="K5138" t="inlineStr">
        <is>
          <t>JUNIO 2026</t>
        </is>
      </c>
      <c r="L5138" t="inlineStr">
        <is>
          <t>JUNIO 2027</t>
        </is>
      </c>
      <c r="M5138" t="inlineStr">
        <is>
          <t>PQS TIPO ABC AL 75%</t>
        </is>
      </c>
      <c r="N5138" t="inlineStr">
        <is>
          <t>46/000043</t>
        </is>
      </c>
      <c r="O5138" t="inlineStr">
        <is>
          <t>R</t>
        </is>
      </c>
      <c r="P5138">
        <f>TRIM(N5138)</f>
        <v/>
      </c>
    </row>
    <row r="5139">
      <c r="A5139" t="inlineStr">
        <is>
          <t>CO-002769</t>
        </is>
      </c>
      <c r="B5139" t="inlineStr">
        <is>
          <t>LISSETE LOURDES SANTOS SOTO</t>
        </is>
      </c>
      <c r="D5139" t="inlineStr">
        <is>
          <t xml:space="preserve">JR UNION 650 URB. PABLO VI , COMAS </t>
        </is>
      </c>
      <c r="E5139" t="inlineStr">
        <is>
          <t>Lima, 22 de junio del 2026</t>
        </is>
      </c>
      <c r="F5139" t="inlineStr">
        <is>
          <t>la Recarga y mantenimiento</t>
        </is>
      </c>
      <c r="G5139" t="inlineStr">
        <is>
          <t>01</t>
        </is>
      </c>
      <c r="H5139" t="inlineStr">
        <is>
          <t>04 KG</t>
        </is>
      </c>
      <c r="I5139" t="inlineStr">
        <is>
          <t>2029</t>
        </is>
      </c>
      <c r="J5139" t="n">
        <v>2016</v>
      </c>
      <c r="K5139" t="inlineStr">
        <is>
          <t>JUNIO 2026</t>
        </is>
      </c>
      <c r="L5139" t="inlineStr">
        <is>
          <t>JUNIO 2027</t>
        </is>
      </c>
      <c r="M5139" t="inlineStr">
        <is>
          <t xml:space="preserve">P.Q.S.  TIPO ABC </t>
        </is>
      </c>
      <c r="N5139" t="inlineStr">
        <is>
          <t>01/000276</t>
        </is>
      </c>
      <c r="O5139" t="inlineStr">
        <is>
          <t>R</t>
        </is>
      </c>
      <c r="P5139">
        <f>TRIM(N5139)</f>
        <v/>
      </c>
    </row>
    <row r="5140">
      <c r="A5140" t="inlineStr">
        <is>
          <t>CO-002770</t>
        </is>
      </c>
      <c r="B5140" t="inlineStr">
        <is>
          <t>ECONOCABLE MEDIA S.A.C.</t>
        </is>
      </c>
      <c r="C5140" t="n">
        <v>20508720255</v>
      </c>
      <c r="D5140" t="inlineStr">
        <is>
          <t>FILIAL PACHACAMAC.</t>
        </is>
      </c>
      <c r="E5140" t="inlineStr">
        <is>
          <t>Lima, 24 de junio del 2026</t>
        </is>
      </c>
      <c r="F5140" t="inlineStr">
        <is>
          <t>la Recarga y mantenimiento</t>
        </is>
      </c>
      <c r="G5140" t="inlineStr">
        <is>
          <t>01</t>
        </is>
      </c>
      <c r="H5140" t="inlineStr">
        <is>
          <t>10 LBS</t>
        </is>
      </c>
      <c r="I5140" t="n">
        <v>2030</v>
      </c>
      <c r="J5140" t="n">
        <v>2025</v>
      </c>
      <c r="K5140" t="inlineStr">
        <is>
          <t>JUNIO 2026</t>
        </is>
      </c>
      <c r="L5140" t="inlineStr">
        <is>
          <t>JUNIO 2027</t>
        </is>
      </c>
      <c r="M5140" t="inlineStr">
        <is>
          <t>CO2 TIPO BC</t>
        </is>
      </c>
      <c r="N5140" t="inlineStr">
        <is>
          <t>S.N/001199</t>
        </is>
      </c>
      <c r="O5140" t="inlineStr">
        <is>
          <t>R</t>
        </is>
      </c>
      <c r="P5140">
        <f>TRIM(N5140)</f>
        <v/>
      </c>
    </row>
    <row r="5141">
      <c r="A5141" t="inlineStr">
        <is>
          <t>CO-002770</t>
        </is>
      </c>
      <c r="B5141" t="inlineStr">
        <is>
          <t>ECONOCABLE MEDIA S.A.C.</t>
        </is>
      </c>
      <c r="C5141" t="n">
        <v>20508720255</v>
      </c>
      <c r="D5141" t="inlineStr">
        <is>
          <t>FILIAL PACHACAMAC.</t>
        </is>
      </c>
      <c r="E5141" t="inlineStr">
        <is>
          <t>Lima, 24 de junio del 2026</t>
        </is>
      </c>
      <c r="F5141" t="inlineStr">
        <is>
          <t>la Recarga y mantenimiento</t>
        </is>
      </c>
      <c r="G5141" t="inlineStr">
        <is>
          <t>02</t>
        </is>
      </c>
      <c r="H5141" t="inlineStr">
        <is>
          <t>06 KG</t>
        </is>
      </c>
      <c r="I5141" t="n">
        <v>2028</v>
      </c>
      <c r="J5141" t="n">
        <v>2017</v>
      </c>
      <c r="K5141" t="inlineStr">
        <is>
          <t>JUNIO 2026</t>
        </is>
      </c>
      <c r="L5141" t="inlineStr">
        <is>
          <t>JUNIO 2027</t>
        </is>
      </c>
      <c r="M5141" t="inlineStr">
        <is>
          <t>PQS TIPO ABC AL 75%</t>
        </is>
      </c>
      <c r="N5141" t="inlineStr">
        <is>
          <t>S.N/000299</t>
        </is>
      </c>
      <c r="O5141" t="inlineStr">
        <is>
          <t>R</t>
        </is>
      </c>
      <c r="P5141">
        <f>TRIM(N5141)</f>
        <v/>
      </c>
    </row>
    <row r="5142">
      <c r="A5142" t="inlineStr">
        <is>
          <t>CO-002770</t>
        </is>
      </c>
      <c r="B5142" t="inlineStr">
        <is>
          <t>ECONOCABLE MEDIA S.A.C.</t>
        </is>
      </c>
      <c r="C5142" t="n">
        <v>20508720255</v>
      </c>
      <c r="D5142" t="inlineStr">
        <is>
          <t>FILIAL PACHACAMAC.</t>
        </is>
      </c>
      <c r="E5142" t="inlineStr">
        <is>
          <t>Lima, 24 de junio del 2026</t>
        </is>
      </c>
      <c r="F5142" t="inlineStr">
        <is>
          <t>la Recarga y mantenimiento</t>
        </is>
      </c>
      <c r="G5142" t="inlineStr">
        <is>
          <t>03</t>
        </is>
      </c>
      <c r="H5142" t="inlineStr">
        <is>
          <t>06 KG</t>
        </is>
      </c>
      <c r="I5142" t="n">
        <v>2031</v>
      </c>
      <c r="J5142" t="n">
        <v>2021</v>
      </c>
      <c r="K5142" t="inlineStr">
        <is>
          <t>JUNIO 2026</t>
        </is>
      </c>
      <c r="L5142" t="inlineStr">
        <is>
          <t>JUNIO 2027</t>
        </is>
      </c>
      <c r="M5142" t="inlineStr">
        <is>
          <t>PQS TIPO ABC AL 75%</t>
        </is>
      </c>
      <c r="N5142" t="inlineStr">
        <is>
          <t>S.N/000649</t>
        </is>
      </c>
      <c r="O5142" t="inlineStr">
        <is>
          <t>R</t>
        </is>
      </c>
      <c r="P5142">
        <f>TRIM(N5142)</f>
        <v/>
      </c>
    </row>
    <row r="5143">
      <c r="A5143" t="inlineStr">
        <is>
          <t>CO-002770</t>
        </is>
      </c>
      <c r="B5143" t="inlineStr">
        <is>
          <t>ECONOCABLE MEDIA S.A.C.</t>
        </is>
      </c>
      <c r="C5143" t="n">
        <v>20508720255</v>
      </c>
      <c r="D5143" t="inlineStr">
        <is>
          <t>FILIAL PACHACAMAC.</t>
        </is>
      </c>
      <c r="E5143" t="inlineStr">
        <is>
          <t>Lima, 24 de junio del 2026</t>
        </is>
      </c>
      <c r="F5143" t="inlineStr">
        <is>
          <t>la Recarga y mantenimiento</t>
        </is>
      </c>
      <c r="G5143" t="inlineStr">
        <is>
          <t>04</t>
        </is>
      </c>
      <c r="H5143" t="inlineStr">
        <is>
          <t>06 KG</t>
        </is>
      </c>
      <c r="I5143" t="n">
        <v>2031</v>
      </c>
      <c r="J5143" t="n">
        <v>2018</v>
      </c>
      <c r="K5143" t="inlineStr">
        <is>
          <t>JUNIO 2026</t>
        </is>
      </c>
      <c r="L5143" t="inlineStr">
        <is>
          <t>JUNIO 2027</t>
        </is>
      </c>
      <c r="M5143" t="inlineStr">
        <is>
          <t>PQS TIPO ABC AL 75%</t>
        </is>
      </c>
      <c r="N5143" t="inlineStr">
        <is>
          <t>S.N/000647</t>
        </is>
      </c>
      <c r="O5143" t="inlineStr">
        <is>
          <t>R</t>
        </is>
      </c>
      <c r="P5143">
        <f>TRIM(N5143)</f>
        <v/>
      </c>
    </row>
    <row r="5144">
      <c r="A5144" t="inlineStr">
        <is>
          <t>CO-002771</t>
        </is>
      </c>
      <c r="B5144" t="inlineStr">
        <is>
          <t>ECONOCABLE MEDIA S.A.C.</t>
        </is>
      </c>
      <c r="C5144" t="n">
        <v>20508720255</v>
      </c>
      <c r="D5144" t="inlineStr">
        <is>
          <t>FILIAL COCHARCAS.</t>
        </is>
      </c>
      <c r="E5144" t="inlineStr">
        <is>
          <t>Lima, 24 de junio del 2026</t>
        </is>
      </c>
      <c r="F5144" t="inlineStr">
        <is>
          <t>la Recarga y mantenimiento</t>
        </is>
      </c>
      <c r="G5144" t="inlineStr">
        <is>
          <t>01</t>
        </is>
      </c>
      <c r="H5144" t="inlineStr">
        <is>
          <t>06 kg</t>
        </is>
      </c>
      <c r="I5144" t="n">
        <v>2028</v>
      </c>
      <c r="J5144" t="n">
        <v>2017</v>
      </c>
      <c r="K5144" t="inlineStr">
        <is>
          <t>JUNIO 2026</t>
        </is>
      </c>
      <c r="L5144" t="inlineStr">
        <is>
          <t>JUNIO 2027</t>
        </is>
      </c>
      <c r="M5144" t="inlineStr">
        <is>
          <t>P.Q.S.  TIPO ABC AL 75 %</t>
        </is>
      </c>
      <c r="N5144" t="inlineStr">
        <is>
          <t>12/029077</t>
        </is>
      </c>
      <c r="O5144" t="inlineStr">
        <is>
          <t>R</t>
        </is>
      </c>
      <c r="P5144">
        <f>TRIM(N5144)</f>
        <v/>
      </c>
    </row>
    <row r="5145">
      <c r="A5145" t="inlineStr">
        <is>
          <t>CO-002772</t>
        </is>
      </c>
      <c r="B5145" t="inlineStr">
        <is>
          <t>VETERINARIA MARYVET DE PANTOJA AQUINO MARILU</t>
        </is>
      </c>
      <c r="C5145" t="n">
        <v>10102144487</v>
      </c>
      <c r="D5145" t="inlineStr">
        <is>
          <t>JR. UNION 231 URB. SAN FELIPE - COMAS</t>
        </is>
      </c>
      <c r="E5145" t="inlineStr">
        <is>
          <t>Lima, 24 de junio del 2026</t>
        </is>
      </c>
      <c r="F5145" t="inlineStr">
        <is>
          <t>la Recarga y mantenimiento</t>
        </is>
      </c>
      <c r="G5145" t="inlineStr">
        <is>
          <t>01</t>
        </is>
      </c>
      <c r="H5145" t="inlineStr">
        <is>
          <t>06 KG</t>
        </is>
      </c>
      <c r="I5145" t="n">
        <v>2031</v>
      </c>
      <c r="J5145" t="n">
        <v>2020</v>
      </c>
      <c r="K5145" t="inlineStr">
        <is>
          <t>JUNIO 2026</t>
        </is>
      </c>
      <c r="L5145" t="inlineStr">
        <is>
          <t>JUNIO 2027</t>
        </is>
      </c>
      <c r="M5145" t="inlineStr">
        <is>
          <t>P.Q.S.  TIPO ABC AL 75 %</t>
        </is>
      </c>
      <c r="N5145" t="inlineStr">
        <is>
          <t>01/003390</t>
        </is>
      </c>
      <c r="O5145" t="inlineStr">
        <is>
          <t>R</t>
        </is>
      </c>
      <c r="P5145">
        <f>TRIM(N5145)</f>
        <v/>
      </c>
    </row>
    <row r="5146">
      <c r="A5146" t="inlineStr">
        <is>
          <t>CO-002772</t>
        </is>
      </c>
      <c r="B5146" t="inlineStr">
        <is>
          <t>VETERINARIA MARYVET DE PANTOJA AQUINO MARILU</t>
        </is>
      </c>
      <c r="C5146" t="n">
        <v>10102144487</v>
      </c>
      <c r="D5146" t="inlineStr">
        <is>
          <t>JR. UNION 231 URB. SAN FELIPE - COMAS</t>
        </is>
      </c>
      <c r="E5146" t="inlineStr">
        <is>
          <t>Lima, 24 de junio del 2026</t>
        </is>
      </c>
      <c r="F5146" t="inlineStr">
        <is>
          <t>la Recarga y mantenimiento</t>
        </is>
      </c>
      <c r="G5146" t="inlineStr">
        <is>
          <t>02</t>
        </is>
      </c>
      <c r="H5146" t="inlineStr">
        <is>
          <t>06 KG</t>
        </is>
      </c>
      <c r="I5146" t="n">
        <v>2027</v>
      </c>
      <c r="J5146" t="n">
        <v>2022</v>
      </c>
      <c r="K5146" t="inlineStr">
        <is>
          <t>JUNIO 2026</t>
        </is>
      </c>
      <c r="L5146" t="inlineStr">
        <is>
          <t>JUNIO 2027</t>
        </is>
      </c>
      <c r="M5146" t="inlineStr">
        <is>
          <t>PQS TIPO ABC AL 75%</t>
        </is>
      </c>
      <c r="N5146" t="inlineStr">
        <is>
          <t>02/306937</t>
        </is>
      </c>
      <c r="O5146" t="inlineStr">
        <is>
          <t>R</t>
        </is>
      </c>
      <c r="P5146">
        <f>TRIM(N5146)</f>
        <v/>
      </c>
    </row>
    <row r="5147">
      <c r="A5147" t="inlineStr">
        <is>
          <t>CO-002773</t>
        </is>
      </c>
      <c r="B5147" t="inlineStr">
        <is>
          <t>VETERINARIA MARYVET DE PANTOJA AQUINO MARILU</t>
        </is>
      </c>
      <c r="C5147" t="n">
        <v>10102144487</v>
      </c>
      <c r="D5147" t="inlineStr">
        <is>
          <t>AV SAN FELIPE MZ I LT 07 NRO 1351 - COMAS</t>
        </is>
      </c>
      <c r="E5147" t="inlineStr">
        <is>
          <t>Lima, 24 de junio del 2026</t>
        </is>
      </c>
      <c r="F5147" t="inlineStr">
        <is>
          <t>la Recarga y mantenimiento</t>
        </is>
      </c>
      <c r="G5147" t="inlineStr">
        <is>
          <t>01</t>
        </is>
      </c>
      <c r="H5147" t="inlineStr">
        <is>
          <t>06 KG</t>
        </is>
      </c>
      <c r="I5147" t="n">
        <v>2027</v>
      </c>
      <c r="J5147" t="n">
        <v>2022</v>
      </c>
      <c r="K5147" t="inlineStr">
        <is>
          <t>JUNIO 2026</t>
        </is>
      </c>
      <c r="L5147" t="inlineStr">
        <is>
          <t>JUNIO 2027</t>
        </is>
      </c>
      <c r="M5147" t="inlineStr">
        <is>
          <t>P.Q.S.  TIPO ABC AL 75 %</t>
        </is>
      </c>
      <c r="N5147" t="inlineStr">
        <is>
          <t>03/307181</t>
        </is>
      </c>
      <c r="O5147" t="inlineStr">
        <is>
          <t>R</t>
        </is>
      </c>
      <c r="P5147">
        <f>TRIM(N5147)</f>
        <v/>
      </c>
    </row>
    <row r="5148">
      <c r="A5148" t="inlineStr">
        <is>
          <t>CO-002774</t>
        </is>
      </c>
      <c r="B5148" t="inlineStr">
        <is>
          <t>VETERINARIA MARYVET DE PANTOJA AQUINO MARILU</t>
        </is>
      </c>
      <c r="C5148" t="n">
        <v>10102144487</v>
      </c>
      <c r="D5148" t="inlineStr">
        <is>
          <t>AV LIMA 101 - COMAS</t>
        </is>
      </c>
      <c r="E5148" t="inlineStr">
        <is>
          <t>Lima, 24 de junio del 2026</t>
        </is>
      </c>
      <c r="F5148" t="inlineStr">
        <is>
          <t>la Recarga y mantenimiento</t>
        </is>
      </c>
      <c r="G5148" t="inlineStr">
        <is>
          <t>01</t>
        </is>
      </c>
      <c r="H5148" t="inlineStr">
        <is>
          <t>06 KG</t>
        </is>
      </c>
      <c r="I5148" t="n">
        <v>2031</v>
      </c>
      <c r="J5148" t="n">
        <v>2017</v>
      </c>
      <c r="K5148" t="inlineStr">
        <is>
          <t>JUNIO 2026</t>
        </is>
      </c>
      <c r="L5148" t="inlineStr">
        <is>
          <t>JUNIO 2027</t>
        </is>
      </c>
      <c r="M5148" t="inlineStr">
        <is>
          <t>P.Q.S.  TIPO ABC AL 75 %</t>
        </is>
      </c>
      <c r="N5148" t="inlineStr">
        <is>
          <t>04/001329</t>
        </is>
      </c>
      <c r="O5148" t="inlineStr">
        <is>
          <t>R</t>
        </is>
      </c>
      <c r="P5148">
        <f>TRIM(N5148)</f>
        <v/>
      </c>
    </row>
    <row r="5149">
      <c r="A5149" t="inlineStr">
        <is>
          <t>CO-002775</t>
        </is>
      </c>
      <c r="B5149" t="inlineStr">
        <is>
          <t>SUNAT - AREQUIPA - MERCADERES</t>
        </is>
      </c>
      <c r="C5149" t="inlineStr">
        <is>
          <t>20131312955</t>
        </is>
      </c>
      <c r="D5149" t="inlineStr">
        <is>
          <t>Mercaderes 201 y Jerusalen 100-102</t>
        </is>
      </c>
      <c r="E5149" t="inlineStr">
        <is>
          <t>Lima, 25 de junio del 2026</t>
        </is>
      </c>
      <c r="F5149" t="inlineStr">
        <is>
          <t>la Recarga y mantenimiento</t>
        </is>
      </c>
      <c r="G5149" t="inlineStr">
        <is>
          <t>01</t>
        </is>
      </c>
      <c r="H5149" t="inlineStr">
        <is>
          <t>06 KG</t>
        </is>
      </c>
      <c r="I5149" t="n">
        <v>2027</v>
      </c>
      <c r="J5149" t="n">
        <v>2015</v>
      </c>
      <c r="K5149" t="inlineStr">
        <is>
          <t>JUNIO 2026</t>
        </is>
      </c>
      <c r="L5149" t="inlineStr">
        <is>
          <t>JUNIO 2027</t>
        </is>
      </c>
      <c r="M5149" t="inlineStr">
        <is>
          <t>PQS TIPO ABC AL 90% PYROCHEM</t>
        </is>
      </c>
      <c r="N5149" t="inlineStr">
        <is>
          <t>01/000509</t>
        </is>
      </c>
      <c r="O5149" t="inlineStr">
        <is>
          <t>R</t>
        </is>
      </c>
      <c r="P5149">
        <f>TRIM(N5149)</f>
        <v/>
      </c>
    </row>
    <row r="5150">
      <c r="A5150" t="inlineStr">
        <is>
          <t>CO-002775</t>
        </is>
      </c>
      <c r="B5150" t="inlineStr">
        <is>
          <t>SUNAT - AREQUIPA - MERCADERES</t>
        </is>
      </c>
      <c r="C5150" t="inlineStr">
        <is>
          <t>20131312955</t>
        </is>
      </c>
      <c r="D5150" t="inlineStr">
        <is>
          <t>Mercaderes 201 y Jerusalen 100-102</t>
        </is>
      </c>
      <c r="E5150" t="inlineStr">
        <is>
          <t>Lima, 25 de junio del 2026</t>
        </is>
      </c>
      <c r="F5150" t="inlineStr">
        <is>
          <t>la Recarga y mantenimiento</t>
        </is>
      </c>
      <c r="G5150" t="inlineStr">
        <is>
          <t>02</t>
        </is>
      </c>
      <c r="H5150" t="inlineStr">
        <is>
          <t>10 LBS</t>
        </is>
      </c>
      <c r="I5150" t="n">
        <v>2027</v>
      </c>
      <c r="J5150" t="n">
        <v>2005</v>
      </c>
      <c r="K5150" t="inlineStr">
        <is>
          <t>JUNIO 2026</t>
        </is>
      </c>
      <c r="L5150" t="inlineStr">
        <is>
          <t>JUNIO 2027</t>
        </is>
      </c>
      <c r="M5150" t="inlineStr">
        <is>
          <t xml:space="preserve">CO2 TIPO BC </t>
        </is>
      </c>
      <c r="N5150" t="inlineStr">
        <is>
          <t>02/A34185235</t>
        </is>
      </c>
      <c r="O5150" t="inlineStr">
        <is>
          <t>R</t>
        </is>
      </c>
      <c r="P5150">
        <f>TRIM(N5150)</f>
        <v/>
      </c>
    </row>
    <row r="5151">
      <c r="A5151" t="inlineStr">
        <is>
          <t>CO-002775</t>
        </is>
      </c>
      <c r="B5151" t="inlineStr">
        <is>
          <t>SUNAT - AREQUIPA - MERCADERES</t>
        </is>
      </c>
      <c r="C5151" t="inlineStr">
        <is>
          <t>20131312955</t>
        </is>
      </c>
      <c r="D5151" t="inlineStr">
        <is>
          <t>Mercaderes 201 y Jerusalen 100-102</t>
        </is>
      </c>
      <c r="E5151" t="inlineStr">
        <is>
          <t>Lima, 25 de junio del 2026</t>
        </is>
      </c>
      <c r="F5151" t="inlineStr">
        <is>
          <t>la Recarga y mantenimiento</t>
        </is>
      </c>
      <c r="G5151" t="n">
        <v>3</v>
      </c>
      <c r="H5151" t="inlineStr">
        <is>
          <t>10 LBS</t>
        </is>
      </c>
      <c r="I5151" t="n">
        <v>2027</v>
      </c>
      <c r="J5151" t="n">
        <v>2005</v>
      </c>
      <c r="K5151" t="inlineStr">
        <is>
          <t>JUNIO 2026</t>
        </is>
      </c>
      <c r="L5151" t="inlineStr">
        <is>
          <t>JUNIO 2027</t>
        </is>
      </c>
      <c r="M5151" t="inlineStr">
        <is>
          <t xml:space="preserve">CO2 TIPO BC </t>
        </is>
      </c>
      <c r="N5151" t="inlineStr">
        <is>
          <t>03/A34185536</t>
        </is>
      </c>
      <c r="O5151" t="inlineStr">
        <is>
          <t>R</t>
        </is>
      </c>
      <c r="P5151">
        <f>TRIM(N5151)</f>
        <v/>
      </c>
    </row>
    <row r="5152">
      <c r="A5152" t="inlineStr">
        <is>
          <t>CO-002775</t>
        </is>
      </c>
      <c r="B5152" t="inlineStr">
        <is>
          <t>SUNAT - AREQUIPA - MERCADERES</t>
        </is>
      </c>
      <c r="C5152" t="inlineStr">
        <is>
          <t>20131312955</t>
        </is>
      </c>
      <c r="D5152" t="inlineStr">
        <is>
          <t>Mercaderes 201 y Jerusalen 100-102</t>
        </is>
      </c>
      <c r="E5152" t="inlineStr">
        <is>
          <t>Lima, 25 de junio del 2026</t>
        </is>
      </c>
      <c r="F5152" t="inlineStr">
        <is>
          <t>la Recarga y mantenimiento</t>
        </is>
      </c>
      <c r="G5152" t="n">
        <v>4</v>
      </c>
      <c r="H5152" t="inlineStr">
        <is>
          <t>06 KG</t>
        </is>
      </c>
      <c r="I5152" t="n">
        <v>2027</v>
      </c>
      <c r="J5152" t="n">
        <v>2016</v>
      </c>
      <c r="K5152" t="inlineStr">
        <is>
          <t>JUNIO 2026</t>
        </is>
      </c>
      <c r="L5152" t="inlineStr">
        <is>
          <t>JUNIO 2027</t>
        </is>
      </c>
      <c r="M5152" t="inlineStr">
        <is>
          <t xml:space="preserve">CO2 TIPO BC </t>
        </is>
      </c>
      <c r="N5152" t="inlineStr">
        <is>
          <t>05/000280</t>
        </is>
      </c>
      <c r="O5152" t="inlineStr">
        <is>
          <t>R</t>
        </is>
      </c>
      <c r="P5152">
        <f>TRIM(N5152)</f>
        <v/>
      </c>
    </row>
    <row r="5153">
      <c r="A5153" t="inlineStr">
        <is>
          <t>CO-002775</t>
        </is>
      </c>
      <c r="B5153" t="inlineStr">
        <is>
          <t>SUNAT - AREQUIPA - MERCADERES</t>
        </is>
      </c>
      <c r="C5153" t="inlineStr">
        <is>
          <t>20131312955</t>
        </is>
      </c>
      <c r="D5153" t="inlineStr">
        <is>
          <t>Mercaderes 201 y Jerusalen 100-102</t>
        </is>
      </c>
      <c r="E5153" t="inlineStr">
        <is>
          <t>Lima, 25 de junio del 2026</t>
        </is>
      </c>
      <c r="F5153" t="inlineStr">
        <is>
          <t>la Recarga y mantenimiento</t>
        </is>
      </c>
      <c r="G5153" t="n">
        <v>5</v>
      </c>
      <c r="H5153" t="inlineStr">
        <is>
          <t>06 KG</t>
        </is>
      </c>
      <c r="I5153" t="n">
        <v>2027</v>
      </c>
      <c r="J5153" t="n">
        <v>2016</v>
      </c>
      <c r="K5153" t="inlineStr">
        <is>
          <t>JUNIO 2026</t>
        </is>
      </c>
      <c r="L5153" t="inlineStr">
        <is>
          <t>JUNIO 2027</t>
        </is>
      </c>
      <c r="M5153" t="inlineStr">
        <is>
          <t xml:space="preserve">CO2 TIPO BC </t>
        </is>
      </c>
      <c r="N5153" t="inlineStr">
        <is>
          <t>07/000286</t>
        </is>
      </c>
      <c r="O5153" t="inlineStr">
        <is>
          <t>R</t>
        </is>
      </c>
      <c r="P5153">
        <f>TRIM(N5153)</f>
        <v/>
      </c>
    </row>
    <row r="5154">
      <c r="A5154" t="inlineStr">
        <is>
          <t>CO-002775</t>
        </is>
      </c>
      <c r="B5154" t="inlineStr">
        <is>
          <t>SUNAT - AREQUIPA - MERCADERES</t>
        </is>
      </c>
      <c r="C5154" t="inlineStr">
        <is>
          <t>20131312955</t>
        </is>
      </c>
      <c r="D5154" t="inlineStr">
        <is>
          <t>Mercaderes 201 y Jerusalen 100-102</t>
        </is>
      </c>
      <c r="E5154" t="inlineStr">
        <is>
          <t>Lima, 25 de junio del 2026</t>
        </is>
      </c>
      <c r="F5154" t="inlineStr">
        <is>
          <t>la Recarga y mantenimiento</t>
        </is>
      </c>
      <c r="G5154" t="n">
        <v>6</v>
      </c>
      <c r="H5154" t="inlineStr">
        <is>
          <t>06 KG</t>
        </is>
      </c>
      <c r="I5154" t="n">
        <v>2027</v>
      </c>
      <c r="J5154" t="n">
        <v>2016</v>
      </c>
      <c r="K5154" t="inlineStr">
        <is>
          <t>JUNIO 2026</t>
        </is>
      </c>
      <c r="L5154" t="inlineStr">
        <is>
          <t>JUNIO 2027</t>
        </is>
      </c>
      <c r="M5154" t="inlineStr">
        <is>
          <t xml:space="preserve">CO2 TIPO BC </t>
        </is>
      </c>
      <c r="N5154" t="inlineStr">
        <is>
          <t>08/000312</t>
        </is>
      </c>
      <c r="O5154" t="inlineStr">
        <is>
          <t>R</t>
        </is>
      </c>
      <c r="P5154">
        <f>TRIM(N5154)</f>
        <v/>
      </c>
    </row>
    <row r="5155">
      <c r="A5155" t="inlineStr">
        <is>
          <t>CO-002775</t>
        </is>
      </c>
      <c r="B5155" t="inlineStr">
        <is>
          <t>SUNAT - AREQUIPA - MERCADERES</t>
        </is>
      </c>
      <c r="C5155" t="inlineStr">
        <is>
          <t>20131312955</t>
        </is>
      </c>
      <c r="D5155" t="inlineStr">
        <is>
          <t>Mercaderes 201 y Jerusalen 100-102</t>
        </is>
      </c>
      <c r="E5155" t="inlineStr">
        <is>
          <t>Lima, 25 de junio del 2026</t>
        </is>
      </c>
      <c r="F5155" t="inlineStr">
        <is>
          <t>la Recarga y mantenimiento</t>
        </is>
      </c>
      <c r="G5155" t="n">
        <v>7</v>
      </c>
      <c r="H5155" t="inlineStr">
        <is>
          <t>06 KG</t>
        </is>
      </c>
      <c r="I5155" t="n">
        <v>2031</v>
      </c>
      <c r="J5155" t="n">
        <v>2015</v>
      </c>
      <c r="K5155" t="inlineStr">
        <is>
          <t>JUNIO 2026</t>
        </is>
      </c>
      <c r="L5155" t="inlineStr">
        <is>
          <t>JUNIO 2027</t>
        </is>
      </c>
      <c r="M5155" t="inlineStr">
        <is>
          <t>PQS TIPO ABC AL 90% PYROCHEM</t>
        </is>
      </c>
      <c r="N5155" t="inlineStr">
        <is>
          <t>09/000266</t>
        </is>
      </c>
      <c r="O5155" t="inlineStr">
        <is>
          <t>R</t>
        </is>
      </c>
      <c r="P5155">
        <f>TRIM(N5155)</f>
        <v/>
      </c>
    </row>
    <row r="5156">
      <c r="A5156" t="inlineStr">
        <is>
          <t>CO-002775</t>
        </is>
      </c>
      <c r="B5156" t="inlineStr">
        <is>
          <t>SUNAT - AREQUIPA - MERCADERES</t>
        </is>
      </c>
      <c r="C5156" t="inlineStr">
        <is>
          <t>20131312955</t>
        </is>
      </c>
      <c r="D5156" t="inlineStr">
        <is>
          <t>Mercaderes 201 y Jerusalen 100-102</t>
        </is>
      </c>
      <c r="E5156" t="inlineStr">
        <is>
          <t>Lima, 25 de junio del 2026</t>
        </is>
      </c>
      <c r="F5156" t="inlineStr">
        <is>
          <t>la Recarga y mantenimiento</t>
        </is>
      </c>
      <c r="G5156" t="n">
        <v>8</v>
      </c>
      <c r="H5156" t="inlineStr">
        <is>
          <t>06 KG</t>
        </is>
      </c>
      <c r="I5156" t="n">
        <v>2027</v>
      </c>
      <c r="J5156" t="n">
        <v>2016</v>
      </c>
      <c r="K5156" t="inlineStr">
        <is>
          <t>JUNIO 2026</t>
        </is>
      </c>
      <c r="L5156" t="inlineStr">
        <is>
          <t>JUNIO 2027</t>
        </is>
      </c>
      <c r="M5156" t="inlineStr">
        <is>
          <t xml:space="preserve">CO2 TIPO BC </t>
        </is>
      </c>
      <c r="N5156" t="inlineStr">
        <is>
          <t>10/000295</t>
        </is>
      </c>
      <c r="O5156" t="inlineStr">
        <is>
          <t>R</t>
        </is>
      </c>
      <c r="P5156">
        <f>TRIM(N5156)</f>
        <v/>
      </c>
    </row>
    <row r="5157">
      <c r="A5157" t="inlineStr">
        <is>
          <t>CO-002775</t>
        </is>
      </c>
      <c r="B5157" t="inlineStr">
        <is>
          <t>SUNAT - AREQUIPA - MERCADERES</t>
        </is>
      </c>
      <c r="C5157" t="inlineStr">
        <is>
          <t>20131312955</t>
        </is>
      </c>
      <c r="D5157" t="inlineStr">
        <is>
          <t>Mercaderes 201 y Jerusalen 100-102</t>
        </is>
      </c>
      <c r="E5157" t="inlineStr">
        <is>
          <t>Lima, 25 de junio del 2026</t>
        </is>
      </c>
      <c r="F5157" t="inlineStr">
        <is>
          <t>la Recarga y mantenimiento</t>
        </is>
      </c>
      <c r="G5157" t="n">
        <v>9</v>
      </c>
      <c r="H5157" t="inlineStr">
        <is>
          <t>06 KG</t>
        </is>
      </c>
      <c r="I5157" t="n">
        <v>2027</v>
      </c>
      <c r="J5157" t="n">
        <v>2016</v>
      </c>
      <c r="K5157" t="inlineStr">
        <is>
          <t>JUNIO 2026</t>
        </is>
      </c>
      <c r="L5157" t="inlineStr">
        <is>
          <t>JUNIO 2027</t>
        </is>
      </c>
      <c r="M5157" t="inlineStr">
        <is>
          <t xml:space="preserve">CO2 TIPO BC </t>
        </is>
      </c>
      <c r="N5157" t="inlineStr">
        <is>
          <t>11/000330</t>
        </is>
      </c>
      <c r="O5157" t="inlineStr">
        <is>
          <t>R</t>
        </is>
      </c>
      <c r="P5157">
        <f>TRIM(N5157)</f>
        <v/>
      </c>
    </row>
    <row r="5158">
      <c r="A5158" t="inlineStr">
        <is>
          <t>CO-002775</t>
        </is>
      </c>
      <c r="B5158" t="inlineStr">
        <is>
          <t>SUNAT - AREQUIPA - MERCADERES</t>
        </is>
      </c>
      <c r="C5158" t="inlineStr">
        <is>
          <t>20131312955</t>
        </is>
      </c>
      <c r="D5158" t="inlineStr">
        <is>
          <t>Mercaderes 201 y Jerusalen 100-102</t>
        </is>
      </c>
      <c r="E5158" t="inlineStr">
        <is>
          <t>Lima, 25 de junio del 2026</t>
        </is>
      </c>
      <c r="F5158" t="inlineStr">
        <is>
          <t>la Recarga y mantenimiento</t>
        </is>
      </c>
      <c r="G5158" t="n">
        <v>10</v>
      </c>
      <c r="H5158" t="inlineStr">
        <is>
          <t>10 LBS</t>
        </is>
      </c>
      <c r="I5158" t="n">
        <v>2027</v>
      </c>
      <c r="J5158" t="n">
        <v>2005</v>
      </c>
      <c r="K5158" t="inlineStr">
        <is>
          <t>JUNIO 2026</t>
        </is>
      </c>
      <c r="L5158" t="inlineStr">
        <is>
          <t>JUNIO 2027</t>
        </is>
      </c>
      <c r="M5158" t="inlineStr">
        <is>
          <t xml:space="preserve">CO2 TIPO BC </t>
        </is>
      </c>
      <c r="N5158" t="inlineStr">
        <is>
          <t>12/AC-336655</t>
        </is>
      </c>
      <c r="O5158" t="inlineStr">
        <is>
          <t>R</t>
        </is>
      </c>
      <c r="P5158">
        <f>TRIM(N5158)</f>
        <v/>
      </c>
    </row>
    <row r="5159">
      <c r="A5159" t="inlineStr">
        <is>
          <t>CO-002775</t>
        </is>
      </c>
      <c r="B5159" t="inlineStr">
        <is>
          <t>SUNAT - AREQUIPA - MERCADERES</t>
        </is>
      </c>
      <c r="C5159" t="inlineStr">
        <is>
          <t>20131312955</t>
        </is>
      </c>
      <c r="D5159" t="inlineStr">
        <is>
          <t>Mercaderes 201 y Jerusalen 100-102</t>
        </is>
      </c>
      <c r="E5159" t="inlineStr">
        <is>
          <t>Lima, 25 de junio del 2026</t>
        </is>
      </c>
      <c r="F5159" t="inlineStr">
        <is>
          <t>la Recarga y mantenimiento</t>
        </is>
      </c>
      <c r="G5159" t="n">
        <v>11</v>
      </c>
      <c r="H5159" t="inlineStr">
        <is>
          <t>06 KG</t>
        </is>
      </c>
      <c r="I5159" t="n">
        <v>2027</v>
      </c>
      <c r="J5159" t="n">
        <v>2016</v>
      </c>
      <c r="K5159" t="inlineStr">
        <is>
          <t>JUNIO 2026</t>
        </is>
      </c>
      <c r="L5159" t="inlineStr">
        <is>
          <t>JUNIO 2027</t>
        </is>
      </c>
      <c r="M5159" t="inlineStr">
        <is>
          <t xml:space="preserve">CO2 TIPO BC </t>
        </is>
      </c>
      <c r="N5159" t="inlineStr">
        <is>
          <t>13/000350</t>
        </is>
      </c>
      <c r="O5159" t="inlineStr">
        <is>
          <t>R</t>
        </is>
      </c>
      <c r="P5159">
        <f>TRIM(N5159)</f>
        <v/>
      </c>
    </row>
    <row r="5160">
      <c r="A5160" t="inlineStr">
        <is>
          <t>CO-002775</t>
        </is>
      </c>
      <c r="B5160" t="inlineStr">
        <is>
          <t>SUNAT - AREQUIPA - MERCADERES</t>
        </is>
      </c>
      <c r="C5160" t="inlineStr">
        <is>
          <t>20131312955</t>
        </is>
      </c>
      <c r="D5160" t="inlineStr">
        <is>
          <t>Mercaderes 201 y Jerusalen 100-102</t>
        </is>
      </c>
      <c r="E5160" t="inlineStr">
        <is>
          <t>Lima, 25 de junio del 2026</t>
        </is>
      </c>
      <c r="F5160" t="inlineStr">
        <is>
          <t>la Recarga y mantenimiento</t>
        </is>
      </c>
      <c r="G5160" t="n">
        <v>12</v>
      </c>
      <c r="H5160" t="inlineStr">
        <is>
          <t>06 KG</t>
        </is>
      </c>
      <c r="I5160" t="n">
        <v>2027</v>
      </c>
      <c r="J5160" t="n">
        <v>2016</v>
      </c>
      <c r="K5160" t="inlineStr">
        <is>
          <t>JUNIO 2026</t>
        </is>
      </c>
      <c r="L5160" t="inlineStr">
        <is>
          <t>JUNIO 2027</t>
        </is>
      </c>
      <c r="M5160" t="inlineStr">
        <is>
          <t xml:space="preserve">CO2 TIPO BC </t>
        </is>
      </c>
      <c r="N5160" t="inlineStr">
        <is>
          <t>14/000259</t>
        </is>
      </c>
      <c r="O5160" t="inlineStr">
        <is>
          <t>R</t>
        </is>
      </c>
      <c r="P5160">
        <f>TRIM(N5160)</f>
        <v/>
      </c>
    </row>
    <row r="5161">
      <c r="A5161" t="inlineStr">
        <is>
          <t>CO-002775</t>
        </is>
      </c>
      <c r="B5161" t="inlineStr">
        <is>
          <t>SUNAT - AREQUIPA - MERCADERES</t>
        </is>
      </c>
      <c r="C5161" t="inlineStr">
        <is>
          <t>20131312955</t>
        </is>
      </c>
      <c r="D5161" t="inlineStr">
        <is>
          <t>Mercaderes 201 y Jerusalen 100-102</t>
        </is>
      </c>
      <c r="E5161" t="inlineStr">
        <is>
          <t>Lima, 25 de junio del 2026</t>
        </is>
      </c>
      <c r="F5161" t="inlineStr">
        <is>
          <t>la Recarga y mantenimiento</t>
        </is>
      </c>
      <c r="G5161" t="n">
        <v>13</v>
      </c>
      <c r="H5161" t="inlineStr">
        <is>
          <t>06 KG</t>
        </is>
      </c>
      <c r="I5161" t="n">
        <v>2027</v>
      </c>
      <c r="J5161" t="n">
        <v>2016</v>
      </c>
      <c r="K5161" t="inlineStr">
        <is>
          <t>JUNIO 2026</t>
        </is>
      </c>
      <c r="L5161" t="inlineStr">
        <is>
          <t>JUNIO 2027</t>
        </is>
      </c>
      <c r="M5161" t="inlineStr">
        <is>
          <t xml:space="preserve">CO2 TIPO BC </t>
        </is>
      </c>
      <c r="N5161" t="inlineStr">
        <is>
          <t>15/000223</t>
        </is>
      </c>
      <c r="O5161" t="inlineStr">
        <is>
          <t>R</t>
        </is>
      </c>
      <c r="P5161">
        <f>TRIM(N5161)</f>
        <v/>
      </c>
    </row>
    <row r="5162">
      <c r="A5162" t="inlineStr">
        <is>
          <t>CO-002775</t>
        </is>
      </c>
      <c r="B5162" t="inlineStr">
        <is>
          <t>SUNAT - AREQUIPA - MERCADERES</t>
        </is>
      </c>
      <c r="C5162" t="inlineStr">
        <is>
          <t>20131312955</t>
        </is>
      </c>
      <c r="D5162" t="inlineStr">
        <is>
          <t>Mercaderes 201 y Jerusalen 100-102</t>
        </is>
      </c>
      <c r="E5162" t="inlineStr">
        <is>
          <t>Lima, 25 de junio del 2026</t>
        </is>
      </c>
      <c r="F5162" t="inlineStr">
        <is>
          <t>la Recarga y mantenimiento</t>
        </is>
      </c>
      <c r="G5162" t="n">
        <v>14</v>
      </c>
      <c r="H5162" t="inlineStr">
        <is>
          <t>06 KG</t>
        </is>
      </c>
      <c r="I5162" t="n">
        <v>2027</v>
      </c>
      <c r="J5162" t="n">
        <v>2016</v>
      </c>
      <c r="K5162" t="inlineStr">
        <is>
          <t>JUNIO 2026</t>
        </is>
      </c>
      <c r="L5162" t="inlineStr">
        <is>
          <t>JUNIO 2027</t>
        </is>
      </c>
      <c r="M5162" t="inlineStr">
        <is>
          <t xml:space="preserve">CO2 TIPO BC </t>
        </is>
      </c>
      <c r="N5162" t="inlineStr">
        <is>
          <t>16/00346</t>
        </is>
      </c>
      <c r="O5162" t="inlineStr">
        <is>
          <t>R</t>
        </is>
      </c>
      <c r="P5162">
        <f>TRIM(N5162)</f>
        <v/>
      </c>
    </row>
    <row r="5163">
      <c r="A5163" t="inlineStr">
        <is>
          <t>CO-002775</t>
        </is>
      </c>
      <c r="B5163" t="inlineStr">
        <is>
          <t>SUNAT - AREQUIPA - MERCADERES</t>
        </is>
      </c>
      <c r="C5163" t="inlineStr">
        <is>
          <t>20131312955</t>
        </is>
      </c>
      <c r="D5163" t="inlineStr">
        <is>
          <t>Mercaderes 201 y Jerusalen 100-102</t>
        </is>
      </c>
      <c r="E5163" t="inlineStr">
        <is>
          <t>Lima, 25 de junio del 2026</t>
        </is>
      </c>
      <c r="F5163" t="inlineStr">
        <is>
          <t>la Recarga y mantenimiento</t>
        </is>
      </c>
      <c r="G5163" t="n">
        <v>15</v>
      </c>
      <c r="H5163" t="inlineStr">
        <is>
          <t>06 KG</t>
        </is>
      </c>
      <c r="I5163" t="n">
        <v>2027</v>
      </c>
      <c r="J5163" t="n">
        <v>2016</v>
      </c>
      <c r="K5163" t="inlineStr">
        <is>
          <t>JUNIO 2026</t>
        </is>
      </c>
      <c r="L5163" t="inlineStr">
        <is>
          <t>JUNIO 2027</t>
        </is>
      </c>
      <c r="M5163" t="inlineStr">
        <is>
          <t xml:space="preserve">CO2 TIPO BC </t>
        </is>
      </c>
      <c r="N5163" t="inlineStr">
        <is>
          <t>17/000212</t>
        </is>
      </c>
      <c r="O5163" t="inlineStr">
        <is>
          <t>R</t>
        </is>
      </c>
      <c r="P5163">
        <f>TRIM(N5163)</f>
        <v/>
      </c>
    </row>
    <row r="5164">
      <c r="A5164" t="inlineStr">
        <is>
          <t>CO-002776</t>
        </is>
      </c>
      <c r="B5164" t="inlineStr">
        <is>
          <t>SUNAT - AREQUIPA - MERCADERES</t>
        </is>
      </c>
      <c r="C5164" t="inlineStr">
        <is>
          <t>20131312955</t>
        </is>
      </c>
      <c r="D5164" t="inlineStr">
        <is>
          <t>Mercaderes 201 y Jerusalen 100-102</t>
        </is>
      </c>
      <c r="E5164" t="inlineStr">
        <is>
          <t>Lima, 25 de junio del 2026</t>
        </is>
      </c>
      <c r="F5164" t="inlineStr">
        <is>
          <t>la Recarga y mantenimiento</t>
        </is>
      </c>
      <c r="G5164" t="inlineStr">
        <is>
          <t>01</t>
        </is>
      </c>
      <c r="H5164" t="inlineStr">
        <is>
          <t>06 KG</t>
        </is>
      </c>
      <c r="I5164" t="n">
        <v>2027</v>
      </c>
      <c r="J5164" t="n">
        <v>2016</v>
      </c>
      <c r="K5164" t="inlineStr">
        <is>
          <t>JUNIO 2026</t>
        </is>
      </c>
      <c r="L5164" t="inlineStr">
        <is>
          <t>JUNIO 2027</t>
        </is>
      </c>
      <c r="M5164" t="inlineStr">
        <is>
          <t>CO2 TIPO BC</t>
        </is>
      </c>
      <c r="N5164" t="inlineStr">
        <is>
          <t>18/00275</t>
        </is>
      </c>
      <c r="O5164" t="inlineStr">
        <is>
          <t>R</t>
        </is>
      </c>
      <c r="P5164">
        <f>TRIM(N5164)</f>
        <v/>
      </c>
    </row>
    <row r="5165">
      <c r="A5165" t="inlineStr">
        <is>
          <t>CO-002776</t>
        </is>
      </c>
      <c r="B5165" t="inlineStr">
        <is>
          <t>SUNAT - AREQUIPA - MERCADERES</t>
        </is>
      </c>
      <c r="C5165" t="inlineStr">
        <is>
          <t>20131312955</t>
        </is>
      </c>
      <c r="D5165" t="inlineStr">
        <is>
          <t>Mercaderes 201 y Jerusalen 100-102</t>
        </is>
      </c>
      <c r="E5165" t="inlineStr">
        <is>
          <t>Lima, 25 de junio del 2026</t>
        </is>
      </c>
      <c r="F5165" t="inlineStr">
        <is>
          <t>la Recarga y mantenimiento</t>
        </is>
      </c>
      <c r="G5165" t="inlineStr">
        <is>
          <t>02</t>
        </is>
      </c>
      <c r="H5165" t="inlineStr">
        <is>
          <t>10 LBS</t>
        </is>
      </c>
      <c r="I5165" t="n">
        <v>2027</v>
      </c>
      <c r="J5165" t="n">
        <v>2012</v>
      </c>
      <c r="K5165" t="inlineStr">
        <is>
          <t>JUNIO 2026</t>
        </is>
      </c>
      <c r="L5165" t="inlineStr">
        <is>
          <t>JUNIO 2027</t>
        </is>
      </c>
      <c r="M5165" t="inlineStr">
        <is>
          <t xml:space="preserve">CO2 TIPO BC </t>
        </is>
      </c>
      <c r="N5165" t="inlineStr">
        <is>
          <t>19/AC-336632</t>
        </is>
      </c>
      <c r="O5165" t="inlineStr">
        <is>
          <t>R</t>
        </is>
      </c>
      <c r="P5165">
        <f>TRIM(N5165)</f>
        <v/>
      </c>
    </row>
    <row r="5166">
      <c r="A5166" t="inlineStr">
        <is>
          <t>CO-002776</t>
        </is>
      </c>
      <c r="B5166" t="inlineStr">
        <is>
          <t>SUNAT - AREQUIPA - MERCADERES</t>
        </is>
      </c>
      <c r="C5166" t="inlineStr">
        <is>
          <t>20131312955</t>
        </is>
      </c>
      <c r="D5166" t="inlineStr">
        <is>
          <t>Mercaderes 201 y Jerusalen 100-102</t>
        </is>
      </c>
      <c r="E5166" t="inlineStr">
        <is>
          <t>Lima, 25 de junio del 2026</t>
        </is>
      </c>
      <c r="F5166" t="inlineStr">
        <is>
          <t>la Recarga y mantenimiento</t>
        </is>
      </c>
      <c r="G5166" t="n">
        <v>3</v>
      </c>
      <c r="H5166" t="inlineStr">
        <is>
          <t>06 KG</t>
        </is>
      </c>
      <c r="I5166" t="n">
        <v>2027</v>
      </c>
      <c r="J5166" t="n">
        <v>2016</v>
      </c>
      <c r="K5166" t="inlineStr">
        <is>
          <t>JUNIO 2026</t>
        </is>
      </c>
      <c r="L5166" t="inlineStr">
        <is>
          <t>JUNIO 2027</t>
        </is>
      </c>
      <c r="M5166" t="inlineStr">
        <is>
          <t xml:space="preserve">CO2 TIPO BC </t>
        </is>
      </c>
      <c r="N5166" t="inlineStr">
        <is>
          <t>20/000238</t>
        </is>
      </c>
      <c r="O5166" t="inlineStr">
        <is>
          <t>R</t>
        </is>
      </c>
      <c r="P5166">
        <f>TRIM(N5166)</f>
        <v/>
      </c>
    </row>
    <row r="5167">
      <c r="A5167" t="inlineStr">
        <is>
          <t>CO-002776</t>
        </is>
      </c>
      <c r="B5167" t="inlineStr">
        <is>
          <t>SUNAT - AREQUIPA - MERCADERES</t>
        </is>
      </c>
      <c r="C5167" t="inlineStr">
        <is>
          <t>20131312955</t>
        </is>
      </c>
      <c r="D5167" t="inlineStr">
        <is>
          <t>Mercaderes 201 y Jerusalen 100-102</t>
        </is>
      </c>
      <c r="E5167" t="inlineStr">
        <is>
          <t>Lima, 25 de junio del 2026</t>
        </is>
      </c>
      <c r="F5167" t="inlineStr">
        <is>
          <t>la Recarga y mantenimiento</t>
        </is>
      </c>
      <c r="G5167" t="n">
        <v>4</v>
      </c>
      <c r="H5167" t="inlineStr">
        <is>
          <t>06 KG</t>
        </is>
      </c>
      <c r="I5167" t="n">
        <v>2027</v>
      </c>
      <c r="J5167" t="n">
        <v>2016</v>
      </c>
      <c r="K5167" t="inlineStr">
        <is>
          <t>JUNIO 2026</t>
        </is>
      </c>
      <c r="L5167" t="inlineStr">
        <is>
          <t>JUNIO 2027</t>
        </is>
      </c>
      <c r="M5167" t="inlineStr">
        <is>
          <t xml:space="preserve">CO2 TIPO BC </t>
        </is>
      </c>
      <c r="N5167" t="inlineStr">
        <is>
          <t>21/00359</t>
        </is>
      </c>
      <c r="O5167" t="inlineStr">
        <is>
          <t>R</t>
        </is>
      </c>
      <c r="P5167">
        <f>TRIM(N5167)</f>
        <v/>
      </c>
    </row>
    <row r="5168">
      <c r="A5168" t="inlineStr">
        <is>
          <t>CO-002776</t>
        </is>
      </c>
      <c r="B5168" t="inlineStr">
        <is>
          <t>SUNAT - AREQUIPA - MERCADERES</t>
        </is>
      </c>
      <c r="C5168" t="inlineStr">
        <is>
          <t>20131312955</t>
        </is>
      </c>
      <c r="D5168" t="inlineStr">
        <is>
          <t>Mercaderes 201 y Jerusalen 100-102</t>
        </is>
      </c>
      <c r="E5168" t="inlineStr">
        <is>
          <t>Lima, 25 de junio del 2026</t>
        </is>
      </c>
      <c r="F5168" t="inlineStr">
        <is>
          <t>la Recarga y mantenimiento</t>
        </is>
      </c>
      <c r="G5168" t="n">
        <v>5</v>
      </c>
      <c r="H5168" t="inlineStr">
        <is>
          <t>06 KG</t>
        </is>
      </c>
      <c r="I5168" t="n">
        <v>2027</v>
      </c>
      <c r="J5168" t="n">
        <v>2016</v>
      </c>
      <c r="K5168" t="inlineStr">
        <is>
          <t>JUNIO 2026</t>
        </is>
      </c>
      <c r="L5168" t="inlineStr">
        <is>
          <t>JUNIO 2027</t>
        </is>
      </c>
      <c r="M5168" t="inlineStr">
        <is>
          <t xml:space="preserve">CO2 TIPO BC </t>
        </is>
      </c>
      <c r="N5168" t="inlineStr">
        <is>
          <t>22/000283</t>
        </is>
      </c>
      <c r="O5168" t="inlineStr">
        <is>
          <t>R</t>
        </is>
      </c>
      <c r="P5168">
        <f>TRIM(N5168)</f>
        <v/>
      </c>
    </row>
    <row r="5169">
      <c r="A5169" t="inlineStr">
        <is>
          <t>CO-002776</t>
        </is>
      </c>
      <c r="B5169" t="inlineStr">
        <is>
          <t>SUNAT - AREQUIPA - MERCADERES</t>
        </is>
      </c>
      <c r="C5169" t="inlineStr">
        <is>
          <t>20131312955</t>
        </is>
      </c>
      <c r="D5169" t="inlineStr">
        <is>
          <t>Mercaderes 201 y Jerusalen 100-102</t>
        </is>
      </c>
      <c r="E5169" t="inlineStr">
        <is>
          <t>Lima, 25 de junio del 2026</t>
        </is>
      </c>
      <c r="F5169" t="inlineStr">
        <is>
          <t>la Recarga y mantenimiento</t>
        </is>
      </c>
      <c r="G5169" t="n">
        <v>6</v>
      </c>
      <c r="H5169" t="inlineStr">
        <is>
          <t>06 KG</t>
        </is>
      </c>
      <c r="I5169" t="n">
        <v>2031</v>
      </c>
      <c r="J5169" t="n">
        <v>2016</v>
      </c>
      <c r="K5169" t="inlineStr">
        <is>
          <t>JUNIO 2026</t>
        </is>
      </c>
      <c r="L5169" t="inlineStr">
        <is>
          <t>JUNIO 2027</t>
        </is>
      </c>
      <c r="M5169" t="inlineStr">
        <is>
          <t xml:space="preserve">CO2 TIPO BC </t>
        </is>
      </c>
      <c r="N5169" t="inlineStr">
        <is>
          <t>23/000622</t>
        </is>
      </c>
      <c r="O5169" t="inlineStr">
        <is>
          <t>R</t>
        </is>
      </c>
      <c r="P5169">
        <f>TRIM(N5169)</f>
        <v/>
      </c>
    </row>
    <row r="5170">
      <c r="A5170" t="inlineStr">
        <is>
          <t>CO-002776</t>
        </is>
      </c>
      <c r="B5170" t="inlineStr">
        <is>
          <t>SUNAT - AREQUIPA - MERCADERES</t>
        </is>
      </c>
      <c r="C5170" t="inlineStr">
        <is>
          <t>20131312955</t>
        </is>
      </c>
      <c r="D5170" t="inlineStr">
        <is>
          <t>Mercaderes 201 y Jerusalen 100-102</t>
        </is>
      </c>
      <c r="E5170" t="inlineStr">
        <is>
          <t>Lima, 25 de junio del 2026</t>
        </is>
      </c>
      <c r="F5170" t="inlineStr">
        <is>
          <t>la Recarga y mantenimiento</t>
        </is>
      </c>
      <c r="G5170" t="n">
        <v>7</v>
      </c>
      <c r="H5170" t="inlineStr">
        <is>
          <t>06 KG</t>
        </is>
      </c>
      <c r="I5170" t="n">
        <v>2027</v>
      </c>
      <c r="J5170" t="n">
        <v>2016</v>
      </c>
      <c r="K5170" t="inlineStr">
        <is>
          <t>JUNIO 2026</t>
        </is>
      </c>
      <c r="L5170" t="inlineStr">
        <is>
          <t>JUNIO 2027</t>
        </is>
      </c>
      <c r="M5170" t="inlineStr">
        <is>
          <t xml:space="preserve">CO2 TIPO BC </t>
        </is>
      </c>
      <c r="N5170" t="inlineStr">
        <is>
          <t>24/000232</t>
        </is>
      </c>
      <c r="O5170" t="inlineStr">
        <is>
          <t>R</t>
        </is>
      </c>
      <c r="P5170">
        <f>TRIM(N5170)</f>
        <v/>
      </c>
    </row>
    <row r="5171">
      <c r="A5171" t="inlineStr">
        <is>
          <t>CO-002776</t>
        </is>
      </c>
      <c r="B5171" t="inlineStr">
        <is>
          <t>SUNAT - AREQUIPA - MERCADERES</t>
        </is>
      </c>
      <c r="C5171" t="inlineStr">
        <is>
          <t>20131312955</t>
        </is>
      </c>
      <c r="D5171" t="inlineStr">
        <is>
          <t>Mercaderes 201 y Jerusalen 100-102</t>
        </is>
      </c>
      <c r="E5171" t="inlineStr">
        <is>
          <t>Lima, 25 de junio del 2026</t>
        </is>
      </c>
      <c r="F5171" t="inlineStr">
        <is>
          <t>la Recarga y mantenimiento</t>
        </is>
      </c>
      <c r="G5171" t="n">
        <v>8</v>
      </c>
      <c r="H5171" t="inlineStr">
        <is>
          <t>06 KG</t>
        </is>
      </c>
      <c r="I5171" t="n">
        <v>2027</v>
      </c>
      <c r="J5171" t="n">
        <v>2016</v>
      </c>
      <c r="K5171" t="inlineStr">
        <is>
          <t>JUNIO 2026</t>
        </is>
      </c>
      <c r="L5171" t="inlineStr">
        <is>
          <t>JUNIO 2027</t>
        </is>
      </c>
      <c r="M5171" t="inlineStr">
        <is>
          <t xml:space="preserve">CO2 TIPO BC </t>
        </is>
      </c>
      <c r="N5171" t="inlineStr">
        <is>
          <t>25/000326</t>
        </is>
      </c>
      <c r="O5171" t="inlineStr">
        <is>
          <t>R</t>
        </is>
      </c>
      <c r="P5171">
        <f>TRIM(N5171)</f>
        <v/>
      </c>
    </row>
    <row r="5172">
      <c r="A5172" t="inlineStr">
        <is>
          <t>CO-002776</t>
        </is>
      </c>
      <c r="B5172" t="inlineStr">
        <is>
          <t>SUNAT - AREQUIPA - MERCADERES</t>
        </is>
      </c>
      <c r="C5172" t="inlineStr">
        <is>
          <t>20131312955</t>
        </is>
      </c>
      <c r="D5172" t="inlineStr">
        <is>
          <t>Mercaderes 201 y Jerusalen 100-102</t>
        </is>
      </c>
      <c r="E5172" t="inlineStr">
        <is>
          <t>Lima, 25 de junio del 2026</t>
        </is>
      </c>
      <c r="F5172" t="inlineStr">
        <is>
          <t>la Recarga y mantenimiento</t>
        </is>
      </c>
      <c r="G5172" t="n">
        <v>9</v>
      </c>
      <c r="H5172" t="inlineStr">
        <is>
          <t>06 KG</t>
        </is>
      </c>
      <c r="I5172" t="n">
        <v>2027</v>
      </c>
      <c r="J5172" t="n">
        <v>2016</v>
      </c>
      <c r="K5172" t="inlineStr">
        <is>
          <t>JUNIO 2026</t>
        </is>
      </c>
      <c r="L5172" t="inlineStr">
        <is>
          <t>JUNIO 2027</t>
        </is>
      </c>
      <c r="M5172" t="inlineStr">
        <is>
          <t xml:space="preserve">CO2 TIPO BC </t>
        </is>
      </c>
      <c r="N5172" t="inlineStr">
        <is>
          <t>26/000279</t>
        </is>
      </c>
      <c r="O5172" t="inlineStr">
        <is>
          <t>R</t>
        </is>
      </c>
      <c r="P5172">
        <f>TRIM(N5172)</f>
        <v/>
      </c>
    </row>
    <row r="5173">
      <c r="A5173" t="inlineStr">
        <is>
          <t>CO-002776</t>
        </is>
      </c>
      <c r="B5173" t="inlineStr">
        <is>
          <t>SUNAT - AREQUIPA - MERCADERES</t>
        </is>
      </c>
      <c r="C5173" t="inlineStr">
        <is>
          <t>20131312955</t>
        </is>
      </c>
      <c r="D5173" t="inlineStr">
        <is>
          <t>Mercaderes 201 y Jerusalen 100-102</t>
        </is>
      </c>
      <c r="E5173" t="inlineStr">
        <is>
          <t>Lima, 25 de junio del 2026</t>
        </is>
      </c>
      <c r="F5173" t="inlineStr">
        <is>
          <t>la Recarga y mantenimiento</t>
        </is>
      </c>
      <c r="G5173" t="n">
        <v>10</v>
      </c>
      <c r="H5173" t="inlineStr">
        <is>
          <t>06 KG</t>
        </is>
      </c>
      <c r="I5173" t="n">
        <v>2027</v>
      </c>
      <c r="J5173" t="n">
        <v>2016</v>
      </c>
      <c r="K5173" t="inlineStr">
        <is>
          <t>JUNIO 2026</t>
        </is>
      </c>
      <c r="L5173" t="inlineStr">
        <is>
          <t>JUNIO 2027</t>
        </is>
      </c>
      <c r="M5173" t="inlineStr">
        <is>
          <t xml:space="preserve">CO2 TIPO BC </t>
        </is>
      </c>
      <c r="N5173" t="inlineStr">
        <is>
          <t>27/000213</t>
        </is>
      </c>
      <c r="O5173" t="inlineStr">
        <is>
          <t>R</t>
        </is>
      </c>
      <c r="P5173">
        <f>TRIM(N5173)</f>
        <v/>
      </c>
    </row>
    <row r="5174">
      <c r="A5174" t="inlineStr">
        <is>
          <t>CO-002776</t>
        </is>
      </c>
      <c r="B5174" t="inlineStr">
        <is>
          <t>SUNAT - AREQUIPA - MERCADERES</t>
        </is>
      </c>
      <c r="C5174" t="inlineStr">
        <is>
          <t>20131312955</t>
        </is>
      </c>
      <c r="D5174" t="inlineStr">
        <is>
          <t>Mercaderes 201 y Jerusalen 100-102</t>
        </is>
      </c>
      <c r="E5174" t="inlineStr">
        <is>
          <t>Lima, 25 de junio del 2026</t>
        </is>
      </c>
      <c r="F5174" t="inlineStr">
        <is>
          <t>la Recarga y mantenimiento</t>
        </is>
      </c>
      <c r="G5174" t="n">
        <v>11</v>
      </c>
      <c r="H5174" t="inlineStr">
        <is>
          <t xml:space="preserve">10 LBS </t>
        </is>
      </c>
      <c r="I5174" t="n">
        <v>2027</v>
      </c>
      <c r="J5174" t="n">
        <v>2014</v>
      </c>
      <c r="K5174" t="inlineStr">
        <is>
          <t>JUNIO 2026</t>
        </is>
      </c>
      <c r="L5174" t="inlineStr">
        <is>
          <t>JUNIO 2027</t>
        </is>
      </c>
      <c r="M5174" t="inlineStr">
        <is>
          <t xml:space="preserve">CO2 TIPO BC </t>
        </is>
      </c>
      <c r="N5174" t="inlineStr">
        <is>
          <t>028/A-34185232</t>
        </is>
      </c>
      <c r="O5174" t="inlineStr">
        <is>
          <t>R</t>
        </is>
      </c>
      <c r="P5174">
        <f>TRIM(N5174)</f>
        <v/>
      </c>
    </row>
    <row r="5175">
      <c r="A5175" t="inlineStr">
        <is>
          <t>CO-002777</t>
        </is>
      </c>
      <c r="B5175" t="inlineStr">
        <is>
          <t>SUNAT - AREQUIPA -  RIO SECO</t>
        </is>
      </c>
      <c r="C5175" t="inlineStr">
        <is>
          <t>20131312955</t>
        </is>
      </c>
      <c r="D5175" t="inlineStr">
        <is>
          <t xml:space="preserve">Altura del Km 8.5 de la Carretera Yaura - Arequipa </t>
        </is>
      </c>
      <c r="E5175" t="inlineStr">
        <is>
          <t>Lima, 25 de junio del 2026</t>
        </is>
      </c>
      <c r="F5175" t="inlineStr">
        <is>
          <t>la Recarga y mantenimiento</t>
        </is>
      </c>
      <c r="G5175" t="inlineStr">
        <is>
          <t>01</t>
        </is>
      </c>
      <c r="H5175" t="inlineStr">
        <is>
          <t>2.5 GLS</t>
        </is>
      </c>
      <c r="I5175" t="inlineStr">
        <is>
          <t>2027</t>
        </is>
      </c>
      <c r="J5175" t="n">
        <v>2003</v>
      </c>
      <c r="K5175" t="inlineStr">
        <is>
          <t>JUNIO 2026</t>
        </is>
      </c>
      <c r="L5175" t="inlineStr">
        <is>
          <t>JUNIO 2027</t>
        </is>
      </c>
      <c r="M5175" t="inlineStr">
        <is>
          <t>H2O PRESURIZADA</t>
        </is>
      </c>
      <c r="N5175" t="inlineStr">
        <is>
          <t>39/S/N</t>
        </is>
      </c>
      <c r="O5175" t="inlineStr">
        <is>
          <t>R</t>
        </is>
      </c>
      <c r="P5175">
        <f>TRIM(N5175)</f>
        <v/>
      </c>
    </row>
    <row r="5176">
      <c r="A5176" t="inlineStr">
        <is>
          <t>CO-002777</t>
        </is>
      </c>
      <c r="B5176" t="inlineStr">
        <is>
          <t>SUNAT - AREQUIPA -  RIO SECO</t>
        </is>
      </c>
      <c r="C5176" t="inlineStr">
        <is>
          <t>20131312955</t>
        </is>
      </c>
      <c r="D5176" t="inlineStr">
        <is>
          <t xml:space="preserve">Altura del Km 8.5 de la Carretera Yaura - Arequipa </t>
        </is>
      </c>
      <c r="E5176" t="inlineStr">
        <is>
          <t>Lima, 25 de junio del 2026</t>
        </is>
      </c>
      <c r="F5176" t="inlineStr">
        <is>
          <t>la Recarga y mantenimiento</t>
        </is>
      </c>
      <c r="G5176" t="inlineStr">
        <is>
          <t>02</t>
        </is>
      </c>
      <c r="H5176" t="inlineStr">
        <is>
          <t>2.5 GLS</t>
        </is>
      </c>
      <c r="I5176" t="inlineStr">
        <is>
          <t>2026</t>
        </is>
      </c>
      <c r="J5176" t="n">
        <v>2003</v>
      </c>
      <c r="K5176" t="inlineStr">
        <is>
          <t>JUNIO 2026</t>
        </is>
      </c>
      <c r="L5176" t="inlineStr">
        <is>
          <t>JUNIO 2027</t>
        </is>
      </c>
      <c r="M5176" t="inlineStr">
        <is>
          <t>H2O PRESURIZADA</t>
        </is>
      </c>
      <c r="N5176" t="inlineStr">
        <is>
          <t>12/S/N</t>
        </is>
      </c>
      <c r="O5176" t="inlineStr">
        <is>
          <t>R</t>
        </is>
      </c>
      <c r="P5176">
        <f>TRIM(N5176)</f>
        <v/>
      </c>
    </row>
    <row r="5177">
      <c r="A5177" t="inlineStr">
        <is>
          <t>CO-002777</t>
        </is>
      </c>
      <c r="B5177" t="inlineStr">
        <is>
          <t>SUNAT - AREQUIPA -  RIO SECO</t>
        </is>
      </c>
      <c r="C5177" t="inlineStr">
        <is>
          <t>20131312955</t>
        </is>
      </c>
      <c r="D5177" t="inlineStr">
        <is>
          <t xml:space="preserve">Altura del Km 8.5 de la Carretera Yaura - Arequipa </t>
        </is>
      </c>
      <c r="E5177" t="inlineStr">
        <is>
          <t>Lima, 25 de junio del 2026</t>
        </is>
      </c>
      <c r="F5177" t="inlineStr">
        <is>
          <t>la Recarga y mantenimiento</t>
        </is>
      </c>
      <c r="G5177" t="inlineStr">
        <is>
          <t>03</t>
        </is>
      </c>
      <c r="H5177" t="inlineStr">
        <is>
          <t>30 LBS</t>
        </is>
      </c>
      <c r="I5177" t="n">
        <v>2028</v>
      </c>
      <c r="J5177" t="n">
        <v>2013</v>
      </c>
      <c r="K5177" t="inlineStr">
        <is>
          <t>JUNIO 2026</t>
        </is>
      </c>
      <c r="L5177" t="inlineStr">
        <is>
          <t>JUNIO 2027</t>
        </is>
      </c>
      <c r="M5177" t="inlineStr">
        <is>
          <t>PQS ABC AL 90% PYROCHEM</t>
        </is>
      </c>
      <c r="N5177" t="inlineStr">
        <is>
          <t>16/BR574129</t>
        </is>
      </c>
      <c r="O5177" t="inlineStr">
        <is>
          <t>R</t>
        </is>
      </c>
      <c r="P5177">
        <f>TRIM(N5177)</f>
        <v/>
      </c>
    </row>
    <row r="5178">
      <c r="A5178" t="inlineStr">
        <is>
          <t>CO-002777</t>
        </is>
      </c>
      <c r="B5178" t="inlineStr">
        <is>
          <t>SUNAT - AREQUIPA -  RIO SECO</t>
        </is>
      </c>
      <c r="C5178" t="inlineStr">
        <is>
          <t>20131312955</t>
        </is>
      </c>
      <c r="D5178" t="inlineStr">
        <is>
          <t xml:space="preserve">Altura del Km 8.5 de la Carretera Yaura - Arequipa </t>
        </is>
      </c>
      <c r="E5178" t="inlineStr">
        <is>
          <t>Lima, 25 de junio del 2026</t>
        </is>
      </c>
      <c r="F5178" t="inlineStr">
        <is>
          <t>la Recarga y mantenimiento</t>
        </is>
      </c>
      <c r="G5178" t="inlineStr">
        <is>
          <t>04</t>
        </is>
      </c>
      <c r="H5178" t="inlineStr">
        <is>
          <t>10 LBS</t>
        </is>
      </c>
      <c r="I5178" t="n">
        <v>2027</v>
      </c>
      <c r="J5178" t="n">
        <v>2012</v>
      </c>
      <c r="K5178" t="inlineStr">
        <is>
          <t>JUNIO 2026</t>
        </is>
      </c>
      <c r="L5178" t="inlineStr">
        <is>
          <t>JUNIO 2027</t>
        </is>
      </c>
      <c r="M5178" t="inlineStr">
        <is>
          <t xml:space="preserve">CO2 TIPO BC </t>
        </is>
      </c>
      <c r="N5178" t="inlineStr">
        <is>
          <t>95/W894027</t>
        </is>
      </c>
      <c r="O5178" t="inlineStr">
        <is>
          <t>R</t>
        </is>
      </c>
      <c r="P5178">
        <f>TRIM(N5178)</f>
        <v/>
      </c>
    </row>
    <row r="5179">
      <c r="A5179" t="inlineStr">
        <is>
          <t>CO-002777</t>
        </is>
      </c>
      <c r="B5179" t="inlineStr">
        <is>
          <t>SUNAT - AREQUIPA -  RIO SECO</t>
        </is>
      </c>
      <c r="C5179" t="inlineStr">
        <is>
          <t>20131312955</t>
        </is>
      </c>
      <c r="D5179" t="inlineStr">
        <is>
          <t xml:space="preserve">Altura del Km 8.5 de la Carretera Yaura - Arequipa </t>
        </is>
      </c>
      <c r="E5179" t="inlineStr">
        <is>
          <t>Lima, 25 de junio del 2026</t>
        </is>
      </c>
      <c r="F5179" t="inlineStr">
        <is>
          <t>la Recarga y mantenimiento</t>
        </is>
      </c>
      <c r="G5179" t="inlineStr">
        <is>
          <t>05</t>
        </is>
      </c>
      <c r="H5179" t="inlineStr">
        <is>
          <t>10 LBS</t>
        </is>
      </c>
      <c r="I5179" t="n">
        <v>2027</v>
      </c>
      <c r="J5179" t="n">
        <v>2015</v>
      </c>
      <c r="K5179" t="inlineStr">
        <is>
          <t>JUNIO 2026</t>
        </is>
      </c>
      <c r="L5179" t="inlineStr">
        <is>
          <t>JUNIO 2027</t>
        </is>
      </c>
      <c r="M5179" t="inlineStr">
        <is>
          <t xml:space="preserve">CO2 TIPO BC </t>
        </is>
      </c>
      <c r="N5179" t="inlineStr">
        <is>
          <t>97/W219903</t>
        </is>
      </c>
      <c r="O5179" t="inlineStr">
        <is>
          <t>R</t>
        </is>
      </c>
      <c r="P5179">
        <f>TRIM(N5179)</f>
        <v/>
      </c>
    </row>
    <row r="5180">
      <c r="A5180" t="inlineStr">
        <is>
          <t>CO-002777</t>
        </is>
      </c>
      <c r="B5180" t="inlineStr">
        <is>
          <t>SUNAT - AREQUIPA -  RIO SECO</t>
        </is>
      </c>
      <c r="C5180" t="inlineStr">
        <is>
          <t>20131312955</t>
        </is>
      </c>
      <c r="D5180" t="inlineStr">
        <is>
          <t xml:space="preserve">Altura del Km 8.5 de la Carretera Yaura - Arequipa </t>
        </is>
      </c>
      <c r="E5180" t="inlineStr">
        <is>
          <t>Lima, 25 de junio del 2026</t>
        </is>
      </c>
      <c r="F5180" t="inlineStr">
        <is>
          <t>la Recarga y mantenimiento</t>
        </is>
      </c>
      <c r="G5180" t="inlineStr">
        <is>
          <t>06</t>
        </is>
      </c>
      <c r="H5180" t="inlineStr">
        <is>
          <t>10 LBS</t>
        </is>
      </c>
      <c r="I5180" t="n">
        <v>2027</v>
      </c>
      <c r="J5180" t="n">
        <v>2015</v>
      </c>
      <c r="K5180" t="inlineStr">
        <is>
          <t>JUNIO 2026</t>
        </is>
      </c>
      <c r="L5180" t="inlineStr">
        <is>
          <t>JUNIO 2027</t>
        </is>
      </c>
      <c r="M5180" t="inlineStr">
        <is>
          <t xml:space="preserve">CO2 TIPO BC </t>
        </is>
      </c>
      <c r="N5180" t="inlineStr">
        <is>
          <t>98/W219977</t>
        </is>
      </c>
      <c r="O5180" t="inlineStr">
        <is>
          <t>R</t>
        </is>
      </c>
      <c r="P5180">
        <f>TRIM(N5180)</f>
        <v/>
      </c>
    </row>
    <row r="5181">
      <c r="A5181" t="inlineStr">
        <is>
          <t>CO-002777</t>
        </is>
      </c>
      <c r="B5181" t="inlineStr">
        <is>
          <t>SUNAT - AREQUIPA -  RIO SECO</t>
        </is>
      </c>
      <c r="C5181" t="inlineStr">
        <is>
          <t>20131312955</t>
        </is>
      </c>
      <c r="D5181" t="inlineStr">
        <is>
          <t xml:space="preserve">Altura del Km 8.5 de la Carretera Yaura - Arequipa </t>
        </is>
      </c>
      <c r="E5181" t="inlineStr">
        <is>
          <t>Lima, 25 de junio del 2026</t>
        </is>
      </c>
      <c r="F5181" t="inlineStr">
        <is>
          <t>la Recarga y mantenimiento</t>
        </is>
      </c>
      <c r="G5181" t="inlineStr">
        <is>
          <t>07</t>
        </is>
      </c>
      <c r="H5181" t="inlineStr">
        <is>
          <t>06 KG</t>
        </is>
      </c>
      <c r="I5181" t="n">
        <v>2027</v>
      </c>
      <c r="J5181" t="n">
        <v>2012</v>
      </c>
      <c r="K5181" t="inlineStr">
        <is>
          <t>JUNIO 2026</t>
        </is>
      </c>
      <c r="L5181" t="inlineStr">
        <is>
          <t>JUNIO 2027</t>
        </is>
      </c>
      <c r="M5181" t="inlineStr">
        <is>
          <t xml:space="preserve">PQS TIPO ABC </t>
        </is>
      </c>
      <c r="N5181" t="inlineStr">
        <is>
          <t>03/002333</t>
        </is>
      </c>
      <c r="O5181" t="inlineStr">
        <is>
          <t>R</t>
        </is>
      </c>
      <c r="P5181">
        <f>TRIM(N5181)</f>
        <v/>
      </c>
    </row>
    <row r="5182">
      <c r="A5182" t="inlineStr">
        <is>
          <t>CO-002777</t>
        </is>
      </c>
      <c r="B5182" t="inlineStr">
        <is>
          <t>SUNAT - AREQUIPA -  RIO SECO</t>
        </is>
      </c>
      <c r="C5182" t="inlineStr">
        <is>
          <t>20131312955</t>
        </is>
      </c>
      <c r="D5182" t="inlineStr">
        <is>
          <t xml:space="preserve">Altura del Km 8.5 de la Carretera Yaura - Arequipa </t>
        </is>
      </c>
      <c r="E5182" t="inlineStr">
        <is>
          <t>Lima, 25 de junio del 2026</t>
        </is>
      </c>
      <c r="F5182" t="inlineStr">
        <is>
          <t>la Recarga y mantenimiento</t>
        </is>
      </c>
      <c r="G5182" t="inlineStr">
        <is>
          <t>08</t>
        </is>
      </c>
      <c r="H5182" t="inlineStr">
        <is>
          <t>06 KG</t>
        </is>
      </c>
      <c r="I5182" t="n">
        <v>2027</v>
      </c>
      <c r="J5182" t="n">
        <v>2011</v>
      </c>
      <c r="K5182" t="inlineStr">
        <is>
          <t>JUNIO 2026</t>
        </is>
      </c>
      <c r="L5182" t="inlineStr">
        <is>
          <t>JUNIO 2027</t>
        </is>
      </c>
      <c r="M5182" t="inlineStr">
        <is>
          <t xml:space="preserve">PQS TIPO ABC </t>
        </is>
      </c>
      <c r="N5182" t="inlineStr">
        <is>
          <t>01/001575</t>
        </is>
      </c>
      <c r="O5182" t="inlineStr">
        <is>
          <t>R</t>
        </is>
      </c>
      <c r="P5182">
        <f>TRIM(N5182)</f>
        <v/>
      </c>
    </row>
    <row r="5183">
      <c r="A5183" t="inlineStr">
        <is>
          <t>CO-002777</t>
        </is>
      </c>
      <c r="B5183" t="inlineStr">
        <is>
          <t>SUNAT - AREQUIPA -  RIO SECO</t>
        </is>
      </c>
      <c r="C5183" t="inlineStr">
        <is>
          <t>20131312955</t>
        </is>
      </c>
      <c r="D5183" t="inlineStr">
        <is>
          <t xml:space="preserve">Altura del Km 8.5 de la Carretera Yaura - Arequipa </t>
        </is>
      </c>
      <c r="E5183" t="inlineStr">
        <is>
          <t>Lima, 25 de junio del 2026</t>
        </is>
      </c>
      <c r="F5183" t="inlineStr">
        <is>
          <t>la Recarga y mantenimiento</t>
        </is>
      </c>
      <c r="G5183" t="inlineStr">
        <is>
          <t>09</t>
        </is>
      </c>
      <c r="H5183" t="inlineStr">
        <is>
          <t>06 KG</t>
        </is>
      </c>
      <c r="I5183" t="n">
        <v>2027</v>
      </c>
      <c r="J5183" t="n">
        <v>2011</v>
      </c>
      <c r="K5183" t="inlineStr">
        <is>
          <t>JUNIO 2026</t>
        </is>
      </c>
      <c r="L5183" t="inlineStr">
        <is>
          <t>JUNIO 2027</t>
        </is>
      </c>
      <c r="M5183" t="inlineStr">
        <is>
          <t xml:space="preserve">PQS TIPO ABC </t>
        </is>
      </c>
      <c r="N5183" t="inlineStr">
        <is>
          <t>S/N/624</t>
        </is>
      </c>
      <c r="O5183" t="inlineStr">
        <is>
          <t>R</t>
        </is>
      </c>
      <c r="P5183">
        <f>TRIM(N5183)</f>
        <v/>
      </c>
    </row>
    <row r="5184">
      <c r="A5184" t="inlineStr">
        <is>
          <t>CO-002777</t>
        </is>
      </c>
      <c r="B5184" t="inlineStr">
        <is>
          <t>SUNAT - AREQUIPA -  RIO SECO</t>
        </is>
      </c>
      <c r="C5184" t="inlineStr">
        <is>
          <t>20131312955</t>
        </is>
      </c>
      <c r="D5184" t="inlineStr">
        <is>
          <t xml:space="preserve">Altura del Km 8.5 de la Carretera Yaura - Arequipa </t>
        </is>
      </c>
      <c r="E5184" t="inlineStr">
        <is>
          <t>Lima, 25 de junio del 2026</t>
        </is>
      </c>
      <c r="F5184" t="inlineStr">
        <is>
          <t>la Recarga y mantenimiento</t>
        </is>
      </c>
      <c r="G5184" t="n">
        <v>10</v>
      </c>
      <c r="H5184" t="inlineStr">
        <is>
          <t>10 LBS</t>
        </is>
      </c>
      <c r="I5184" t="n">
        <v>2030</v>
      </c>
      <c r="J5184" t="n">
        <v>2008</v>
      </c>
      <c r="K5184" t="inlineStr">
        <is>
          <t>JUNIO 2026</t>
        </is>
      </c>
      <c r="L5184" t="inlineStr">
        <is>
          <t>JUNIO 2027</t>
        </is>
      </c>
      <c r="M5184" t="inlineStr">
        <is>
          <t xml:space="preserve">PQS TIPO ABC  AL 90% PYROCHEM </t>
        </is>
      </c>
      <c r="N5184" t="inlineStr">
        <is>
          <t>115/ZV-225203</t>
        </is>
      </c>
      <c r="O5184" t="inlineStr">
        <is>
          <t>R</t>
        </is>
      </c>
      <c r="P5184">
        <f>TRIM(N5184)</f>
        <v/>
      </c>
    </row>
    <row r="5185">
      <c r="A5185" t="inlineStr">
        <is>
          <t>CO-002759</t>
        </is>
      </c>
      <c r="B5185" t="inlineStr">
        <is>
          <t>BRITISH AMERICAN HOSPITAL S.A. - CLINICA ANGLOAMERICANA</t>
        </is>
      </c>
      <c r="C5185" t="inlineStr">
        <is>
          <t>20107695584</t>
        </is>
      </c>
      <c r="D5185" t="inlineStr">
        <is>
          <t xml:space="preserve">JR ALFREDO SALAZAR 350 - SAN ISIDRO </t>
        </is>
      </c>
      <c r="E5185" t="inlineStr">
        <is>
          <t>Lima, 25 de junio del 2026</t>
        </is>
      </c>
      <c r="F5185" t="inlineStr">
        <is>
          <t>la Recarga y mantenimiento</t>
        </is>
      </c>
      <c r="G5185" t="inlineStr">
        <is>
          <t>01</t>
        </is>
      </c>
      <c r="H5185" t="inlineStr">
        <is>
          <t>06 KG</t>
        </is>
      </c>
      <c r="I5185" t="n">
        <v>2031</v>
      </c>
      <c r="J5185" t="inlineStr">
        <is>
          <t>N/R</t>
        </is>
      </c>
      <c r="K5185" t="inlineStr">
        <is>
          <t>JUNIO 2026</t>
        </is>
      </c>
      <c r="L5185" t="inlineStr">
        <is>
          <t>JUNIO 2027</t>
        </is>
      </c>
      <c r="M5185" t="inlineStr">
        <is>
          <t>HALOTRON</t>
        </is>
      </c>
      <c r="N5185" t="inlineStr">
        <is>
          <t>E-004/000091</t>
        </is>
      </c>
      <c r="O5185" t="inlineStr">
        <is>
          <t>R</t>
        </is>
      </c>
      <c r="P5185">
        <f>TRIM(N5185)</f>
        <v/>
      </c>
    </row>
    <row r="5186">
      <c r="A5186" t="inlineStr">
        <is>
          <t>CO-002779</t>
        </is>
      </c>
      <c r="B5186" t="inlineStr">
        <is>
          <t xml:space="preserve">TRANSPORTES A &amp; P YANAVILVA E.I.R.L </t>
        </is>
      </c>
      <c r="C5186" t="n">
        <v>20548344116</v>
      </c>
      <c r="D5186" t="inlineStr">
        <is>
          <t>PLACA : B4L-792</t>
        </is>
      </c>
      <c r="E5186" t="inlineStr">
        <is>
          <t>Lima, 26 de junio del 2026</t>
        </is>
      </c>
      <c r="F5186" t="inlineStr">
        <is>
          <t>la Recarga y mantenimiento</t>
        </is>
      </c>
      <c r="G5186" t="inlineStr">
        <is>
          <t>01</t>
        </is>
      </c>
      <c r="H5186" t="inlineStr">
        <is>
          <t>13.6 KG</t>
        </is>
      </c>
      <c r="I5186" t="n">
        <v>2028</v>
      </c>
      <c r="J5186" t="n">
        <v>2012</v>
      </c>
      <c r="K5186" t="inlineStr">
        <is>
          <t>JUNIO 2026</t>
        </is>
      </c>
      <c r="L5186" t="inlineStr">
        <is>
          <t>JUNIO 2027</t>
        </is>
      </c>
      <c r="M5186" t="inlineStr">
        <is>
          <t>PQS TIPO ABC AL 90% UL PYROCHEM (BOTELLA EXTERNA)</t>
        </is>
      </c>
      <c r="N5186" t="inlineStr">
        <is>
          <t>000456</t>
        </is>
      </c>
      <c r="O5186" t="inlineStr">
        <is>
          <t>R</t>
        </is>
      </c>
      <c r="P5186">
        <f>TRIM(N5186)</f>
        <v/>
      </c>
    </row>
    <row r="5187">
      <c r="A5187" t="inlineStr">
        <is>
          <t>CO-002780</t>
        </is>
      </c>
      <c r="B5187" t="inlineStr">
        <is>
          <t xml:space="preserve">TRANSPORTES A &amp; P YANAVILVA E.I.R.L </t>
        </is>
      </c>
      <c r="C5187" t="n">
        <v>20548344116</v>
      </c>
      <c r="D5187" t="inlineStr">
        <is>
          <t>PLACA : B4H-736</t>
        </is>
      </c>
      <c r="E5187" t="inlineStr">
        <is>
          <t>Lima, 26 de junio del 2026</t>
        </is>
      </c>
      <c r="F5187" t="inlineStr">
        <is>
          <t>la Recarga y mantenimiento</t>
        </is>
      </c>
      <c r="G5187" t="inlineStr">
        <is>
          <t>01</t>
        </is>
      </c>
      <c r="H5187" t="inlineStr">
        <is>
          <t>30 LBS</t>
        </is>
      </c>
      <c r="I5187" t="n">
        <v>2028</v>
      </c>
      <c r="J5187" t="n">
        <v>2023</v>
      </c>
      <c r="K5187" t="inlineStr">
        <is>
          <t>JUNIO 2026</t>
        </is>
      </c>
      <c r="L5187" t="inlineStr">
        <is>
          <t>JUNIO 2027</t>
        </is>
      </c>
      <c r="M5187" t="inlineStr">
        <is>
          <t xml:space="preserve">PQS TIPO ABC AL 90% UL PYROCHEM </t>
        </is>
      </c>
      <c r="N5187" t="inlineStr">
        <is>
          <t>004244</t>
        </is>
      </c>
      <c r="O5187" t="inlineStr">
        <is>
          <t>R</t>
        </is>
      </c>
      <c r="P5187">
        <f>TRIM(N5187)</f>
        <v/>
      </c>
    </row>
    <row r="5188">
      <c r="A5188" t="inlineStr">
        <is>
          <t>CO-002781</t>
        </is>
      </c>
      <c r="B5188" t="inlineStr">
        <is>
          <t xml:space="preserve">TRANSPORTES A &amp; P YANAVILVA E.I.R.L </t>
        </is>
      </c>
      <c r="C5188" t="n">
        <v>20548344116</v>
      </c>
      <c r="D5188" t="inlineStr">
        <is>
          <t>PLACA : CMT-846</t>
        </is>
      </c>
      <c r="E5188" t="inlineStr">
        <is>
          <t>Lima, 26 de junio del 2026</t>
        </is>
      </c>
      <c r="F5188" t="inlineStr">
        <is>
          <t>la Recarga y mantenimiento</t>
        </is>
      </c>
      <c r="G5188" t="inlineStr">
        <is>
          <t>01</t>
        </is>
      </c>
      <c r="H5188" t="inlineStr">
        <is>
          <t>30 LBS</t>
        </is>
      </c>
      <c r="I5188" t="n">
        <v>2027</v>
      </c>
      <c r="J5188" t="n">
        <v>2022</v>
      </c>
      <c r="K5188" t="inlineStr">
        <is>
          <t>JUNIO 2026</t>
        </is>
      </c>
      <c r="L5188" t="inlineStr">
        <is>
          <t>JUNIO 2027</t>
        </is>
      </c>
      <c r="M5188" t="inlineStr">
        <is>
          <t xml:space="preserve">PQS TIPO ABC AL 90% UL PYROCHEM </t>
        </is>
      </c>
      <c r="N5188" t="inlineStr">
        <is>
          <t>000925</t>
        </is>
      </c>
      <c r="O5188" t="inlineStr">
        <is>
          <t>R</t>
        </is>
      </c>
      <c r="P5188">
        <f>TRIM(N5188)</f>
        <v/>
      </c>
    </row>
    <row r="5189">
      <c r="A5189" t="inlineStr">
        <is>
          <t>CO-002782</t>
        </is>
      </c>
      <c r="B5189" t="inlineStr">
        <is>
          <t xml:space="preserve">TRANSPORTES A &amp; P YANAVILVA E.I.R.L </t>
        </is>
      </c>
      <c r="C5189" t="n">
        <v>20548344116</v>
      </c>
      <c r="D5189" t="inlineStr">
        <is>
          <t>PLACA : APQ-787</t>
        </is>
      </c>
      <c r="E5189" t="inlineStr">
        <is>
          <t>Lima, 26 de junio del 2026</t>
        </is>
      </c>
      <c r="F5189" t="inlineStr">
        <is>
          <t>la Recarga y mantenimiento</t>
        </is>
      </c>
      <c r="G5189" t="inlineStr">
        <is>
          <t>01</t>
        </is>
      </c>
      <c r="H5189" t="inlineStr">
        <is>
          <t>30 LBS</t>
        </is>
      </c>
      <c r="I5189" t="n">
        <v>2027</v>
      </c>
      <c r="J5189" t="n">
        <v>2022</v>
      </c>
      <c r="K5189" t="inlineStr">
        <is>
          <t>JUNIO 2026</t>
        </is>
      </c>
      <c r="L5189" t="inlineStr">
        <is>
          <t>JUNIO 2027</t>
        </is>
      </c>
      <c r="M5189" t="inlineStr">
        <is>
          <t xml:space="preserve">PQS TIPO ABC AL 90% UL PYROCHEM </t>
        </is>
      </c>
      <c r="N5189" t="inlineStr">
        <is>
          <t>000919</t>
        </is>
      </c>
      <c r="O5189" t="inlineStr">
        <is>
          <t>R</t>
        </is>
      </c>
      <c r="P5189">
        <f>TRIM(N5189)</f>
        <v/>
      </c>
    </row>
    <row r="5190">
      <c r="A5190" t="inlineStr">
        <is>
          <t>CO-002783</t>
        </is>
      </c>
      <c r="B5190" t="inlineStr">
        <is>
          <t xml:space="preserve">PERU MASIVO SA - BUSES </t>
        </is>
      </c>
      <c r="C5190" t="inlineStr">
        <is>
          <t>20492392031</t>
        </is>
      </c>
      <c r="D5190" t="inlineStr">
        <is>
          <t>AV. LOS INCAS CDRA. 4 PATIO NORTE - COMAS</t>
        </is>
      </c>
      <c r="E5190" t="inlineStr">
        <is>
          <t>Lima, 30 de junio del 2026</t>
        </is>
      </c>
      <c r="F5190" t="inlineStr">
        <is>
          <t>la Recarga y mantenimiento</t>
        </is>
      </c>
      <c r="G5190" t="inlineStr">
        <is>
          <t>01</t>
        </is>
      </c>
      <c r="H5190" t="inlineStr">
        <is>
          <t>06 KG</t>
        </is>
      </c>
      <c r="I5190" t="n">
        <v>2028</v>
      </c>
      <c r="J5190" t="n">
        <v>2014</v>
      </c>
      <c r="K5190" t="inlineStr">
        <is>
          <t>JUNIO 2026</t>
        </is>
      </c>
      <c r="L5190" t="inlineStr">
        <is>
          <t>JUNIO 2027</t>
        </is>
      </c>
      <c r="M5190" t="inlineStr">
        <is>
          <t>PQS/ABC AL 90% NACIONAL</t>
        </is>
      </c>
      <c r="N5190" t="inlineStr">
        <is>
          <t>43/002142</t>
        </is>
      </c>
      <c r="O5190" t="inlineStr">
        <is>
          <t>R</t>
        </is>
      </c>
      <c r="P5190">
        <f>TRIM(N5190)</f>
        <v/>
      </c>
    </row>
    <row r="5191">
      <c r="A5191" t="inlineStr">
        <is>
          <t>CO-002783</t>
        </is>
      </c>
      <c r="B5191" t="inlineStr">
        <is>
          <t xml:space="preserve">PERU MASIVO SA - BUSES </t>
        </is>
      </c>
      <c r="C5191" t="inlineStr">
        <is>
          <t>20492392031</t>
        </is>
      </c>
      <c r="D5191" t="inlineStr">
        <is>
          <t>AV. LOS INCAS CDRA. 4 PATIO NORTE - COMAS</t>
        </is>
      </c>
      <c r="E5191" t="inlineStr">
        <is>
          <t>Lima, 30 de junio del 2026</t>
        </is>
      </c>
      <c r="F5191" t="inlineStr">
        <is>
          <t>la Recarga y mantenimiento</t>
        </is>
      </c>
      <c r="G5191" t="n">
        <v>2</v>
      </c>
      <c r="H5191" t="inlineStr">
        <is>
          <t>06 KG</t>
        </is>
      </c>
      <c r="I5191" t="n">
        <v>2028</v>
      </c>
      <c r="J5191" t="n">
        <v>2016</v>
      </c>
      <c r="K5191" t="inlineStr">
        <is>
          <t>JUNIO 2026</t>
        </is>
      </c>
      <c r="L5191" t="inlineStr">
        <is>
          <t>JUNIO 2027</t>
        </is>
      </c>
      <c r="M5191" t="inlineStr">
        <is>
          <t>PQS/ABC AL 90% NACIONAL</t>
        </is>
      </c>
      <c r="N5191" t="inlineStr">
        <is>
          <t>208/020160</t>
        </is>
      </c>
      <c r="O5191" t="inlineStr">
        <is>
          <t>R</t>
        </is>
      </c>
      <c r="P5191">
        <f>TRIM(N5191)</f>
        <v/>
      </c>
    </row>
    <row r="5192">
      <c r="A5192" t="inlineStr">
        <is>
          <t>CO-002783</t>
        </is>
      </c>
      <c r="B5192" t="inlineStr">
        <is>
          <t xml:space="preserve">PERU MASIVO SA - BUSES </t>
        </is>
      </c>
      <c r="C5192" t="inlineStr">
        <is>
          <t>20492392031</t>
        </is>
      </c>
      <c r="D5192" t="inlineStr">
        <is>
          <t>AV. LOS INCAS CDRA. 4 PATIO NORTE - COMAS</t>
        </is>
      </c>
      <c r="E5192" t="inlineStr">
        <is>
          <t>Lima, 30 de junio del 2026</t>
        </is>
      </c>
      <c r="F5192" t="inlineStr">
        <is>
          <t>la Recarga y mantenimiento</t>
        </is>
      </c>
      <c r="G5192" t="n">
        <v>3</v>
      </c>
      <c r="H5192" t="inlineStr">
        <is>
          <t>06 KG</t>
        </is>
      </c>
      <c r="I5192" t="n">
        <v>2029</v>
      </c>
      <c r="J5192" t="n">
        <v>2010</v>
      </c>
      <c r="K5192" t="inlineStr">
        <is>
          <t>JUNIO 2026</t>
        </is>
      </c>
      <c r="L5192" t="inlineStr">
        <is>
          <t>JUNIO 2027</t>
        </is>
      </c>
      <c r="M5192" t="inlineStr">
        <is>
          <t>PQS/ABC AL 90% NACIONAL</t>
        </is>
      </c>
      <c r="N5192" t="inlineStr">
        <is>
          <t>129/0001994</t>
        </is>
      </c>
      <c r="O5192" t="inlineStr">
        <is>
          <t>R</t>
        </is>
      </c>
      <c r="P5192">
        <f>TRIM(N5192)</f>
        <v/>
      </c>
    </row>
    <row r="5193">
      <c r="A5193" t="inlineStr">
        <is>
          <t>CO-002783</t>
        </is>
      </c>
      <c r="B5193" t="inlineStr">
        <is>
          <t xml:space="preserve">PERU MASIVO SA - BUSES </t>
        </is>
      </c>
      <c r="C5193" t="inlineStr">
        <is>
          <t>20492392031</t>
        </is>
      </c>
      <c r="D5193" t="inlineStr">
        <is>
          <t>AV. LOS INCAS CDRA. 4 PATIO NORTE - COMAS</t>
        </is>
      </c>
      <c r="E5193" t="inlineStr">
        <is>
          <t>Lima, 30 de junio del 2026</t>
        </is>
      </c>
      <c r="F5193" t="inlineStr">
        <is>
          <t>la Recarga y mantenimiento</t>
        </is>
      </c>
      <c r="G5193" t="n">
        <v>4</v>
      </c>
      <c r="H5193" t="inlineStr">
        <is>
          <t>06 KG</t>
        </is>
      </c>
      <c r="I5193" t="n">
        <v>2029</v>
      </c>
      <c r="J5193" t="n">
        <v>2010</v>
      </c>
      <c r="K5193" t="inlineStr">
        <is>
          <t>JUNIO 2026</t>
        </is>
      </c>
      <c r="L5193" t="inlineStr">
        <is>
          <t>JUNIO 2027</t>
        </is>
      </c>
      <c r="M5193" t="inlineStr">
        <is>
          <t>PQS/ABC AL 90% NACIONAL</t>
        </is>
      </c>
      <c r="N5193" t="inlineStr">
        <is>
          <t>209/000877</t>
        </is>
      </c>
      <c r="O5193" t="inlineStr">
        <is>
          <t>R</t>
        </is>
      </c>
      <c r="P5193">
        <f>TRIM(N5193)</f>
        <v/>
      </c>
    </row>
    <row r="5194">
      <c r="A5194" t="inlineStr">
        <is>
          <t>CO-002783</t>
        </is>
      </c>
      <c r="B5194" t="inlineStr">
        <is>
          <t xml:space="preserve">PERU MASIVO SA - BUSES </t>
        </is>
      </c>
      <c r="C5194" t="inlineStr">
        <is>
          <t>20492392031</t>
        </is>
      </c>
      <c r="D5194" t="inlineStr">
        <is>
          <t>AV. LOS INCAS CDRA. 4 PATIO NORTE - COMAS</t>
        </is>
      </c>
      <c r="E5194" t="inlineStr">
        <is>
          <t>Lima, 30 de junio del 2026</t>
        </is>
      </c>
      <c r="F5194" t="inlineStr">
        <is>
          <t>la Recarga y mantenimiento</t>
        </is>
      </c>
      <c r="G5194" t="n">
        <v>5</v>
      </c>
      <c r="H5194" t="inlineStr">
        <is>
          <t>06 KG</t>
        </is>
      </c>
      <c r="I5194" t="n">
        <v>2028</v>
      </c>
      <c r="J5194" t="n">
        <v>2010</v>
      </c>
      <c r="K5194" t="inlineStr">
        <is>
          <t>JUNIO 2026</t>
        </is>
      </c>
      <c r="L5194" t="inlineStr">
        <is>
          <t>JUNIO 2027</t>
        </is>
      </c>
      <c r="M5194" t="inlineStr">
        <is>
          <t>PQS/ABC AL 90% NACIONAL</t>
        </is>
      </c>
      <c r="N5194" t="inlineStr">
        <is>
          <t>141/000275</t>
        </is>
      </c>
      <c r="O5194" t="inlineStr">
        <is>
          <t>R</t>
        </is>
      </c>
      <c r="P5194">
        <f>TRIM(N5194)</f>
        <v/>
      </c>
    </row>
    <row r="5195">
      <c r="A5195" t="inlineStr">
        <is>
          <t>CO-002783</t>
        </is>
      </c>
      <c r="B5195" t="inlineStr">
        <is>
          <t xml:space="preserve">PERU MASIVO SA - BUSES </t>
        </is>
      </c>
      <c r="C5195" t="inlineStr">
        <is>
          <t>20492392031</t>
        </is>
      </c>
      <c r="D5195" t="inlineStr">
        <is>
          <t>AV. LOS INCAS CDRA. 4 PATIO NORTE - COMAS</t>
        </is>
      </c>
      <c r="E5195" t="inlineStr">
        <is>
          <t>Lima, 30 de junio del 2026</t>
        </is>
      </c>
      <c r="F5195" t="inlineStr">
        <is>
          <t>la Recarga y mantenimiento</t>
        </is>
      </c>
      <c r="G5195" t="n">
        <v>6</v>
      </c>
      <c r="H5195" t="inlineStr">
        <is>
          <t>06 KG</t>
        </is>
      </c>
      <c r="I5195" t="n">
        <v>2028</v>
      </c>
      <c r="J5195" t="n">
        <v>2011</v>
      </c>
      <c r="K5195" t="inlineStr">
        <is>
          <t>JUNIO 2026</t>
        </is>
      </c>
      <c r="L5195" t="inlineStr">
        <is>
          <t>JUNIO 2027</t>
        </is>
      </c>
      <c r="M5195" t="inlineStr">
        <is>
          <t>PQS/ABC AL 90% NACIONAL</t>
        </is>
      </c>
      <c r="N5195" t="inlineStr">
        <is>
          <t>323/000579</t>
        </is>
      </c>
      <c r="O5195" t="inlineStr">
        <is>
          <t>R</t>
        </is>
      </c>
      <c r="P5195">
        <f>TRIM(N5195)</f>
        <v/>
      </c>
    </row>
    <row r="5196">
      <c r="A5196" t="inlineStr">
        <is>
          <t>CO-002783</t>
        </is>
      </c>
      <c r="B5196" t="inlineStr">
        <is>
          <t xml:space="preserve">PERU MASIVO SA - BUSES </t>
        </is>
      </c>
      <c r="C5196" t="inlineStr">
        <is>
          <t>20492392031</t>
        </is>
      </c>
      <c r="D5196" t="inlineStr">
        <is>
          <t>AV. LOS INCAS CDRA. 4 PATIO NORTE - COMAS</t>
        </is>
      </c>
      <c r="E5196" t="inlineStr">
        <is>
          <t>Lima, 30 de junio del 2026</t>
        </is>
      </c>
      <c r="F5196" t="inlineStr">
        <is>
          <t>la Recarga y mantenimiento</t>
        </is>
      </c>
      <c r="G5196" t="n">
        <v>7</v>
      </c>
      <c r="H5196" t="inlineStr">
        <is>
          <t>06 KG</t>
        </is>
      </c>
      <c r="I5196" t="n">
        <v>2028</v>
      </c>
      <c r="J5196" t="n">
        <v>2015</v>
      </c>
      <c r="K5196" t="inlineStr">
        <is>
          <t>JUNIO 2026</t>
        </is>
      </c>
      <c r="L5196" t="inlineStr">
        <is>
          <t>JUNIO 2027</t>
        </is>
      </c>
      <c r="M5196" t="inlineStr">
        <is>
          <t>PQS/ABC AL 90% NACIONAL</t>
        </is>
      </c>
      <c r="N5196" t="inlineStr">
        <is>
          <t>200/000173</t>
        </is>
      </c>
      <c r="O5196" t="inlineStr">
        <is>
          <t>R</t>
        </is>
      </c>
      <c r="P5196">
        <f>TRIM(N5196)</f>
        <v/>
      </c>
    </row>
    <row r="5197">
      <c r="A5197" t="inlineStr">
        <is>
          <t>CO-002784</t>
        </is>
      </c>
      <c r="B5197" t="inlineStr">
        <is>
          <t>QUALITY TIRES SAC</t>
        </is>
      </c>
      <c r="C5197" t="n">
        <v>20492629813</v>
      </c>
      <c r="D5197" t="inlineStr">
        <is>
          <t>AV. TUPAC AMARU NRO. 4292  S PEDRO COMAS</t>
        </is>
      </c>
      <c r="E5197" t="inlineStr">
        <is>
          <t>Lima, 30 de junio del 2026</t>
        </is>
      </c>
      <c r="F5197" t="inlineStr">
        <is>
          <t>la Recarga y mantenimiento</t>
        </is>
      </c>
      <c r="G5197" t="inlineStr">
        <is>
          <t>01</t>
        </is>
      </c>
      <c r="H5197" t="inlineStr">
        <is>
          <t>09 KG</t>
        </is>
      </c>
      <c r="I5197" t="n">
        <v>2031</v>
      </c>
      <c r="J5197" t="n">
        <v>2010</v>
      </c>
      <c r="K5197" t="inlineStr">
        <is>
          <t>JUNIO 2026</t>
        </is>
      </c>
      <c r="L5197" t="inlineStr">
        <is>
          <t>JUNIO 2027</t>
        </is>
      </c>
      <c r="M5197" t="inlineStr">
        <is>
          <t>PQS TIPO ABC AL 7%</t>
        </is>
      </c>
      <c r="N5197" t="inlineStr">
        <is>
          <t>01/003993</t>
        </is>
      </c>
      <c r="O5197" t="inlineStr">
        <is>
          <t>R</t>
        </is>
      </c>
      <c r="P5197">
        <f>TRIM(N5197)</f>
        <v/>
      </c>
    </row>
    <row r="5198">
      <c r="A5198" t="inlineStr">
        <is>
          <t>CO-002784</t>
        </is>
      </c>
      <c r="B5198" t="inlineStr">
        <is>
          <t>QUALITY TIRES SAC</t>
        </is>
      </c>
      <c r="C5198" t="n">
        <v>20492629813</v>
      </c>
      <c r="D5198" t="inlineStr">
        <is>
          <t>AV. TUPAC AMARU NRO. 4292  S PEDRO COMAS</t>
        </is>
      </c>
      <c r="E5198" t="inlineStr">
        <is>
          <t>Lima, 30 de junio del 2026</t>
        </is>
      </c>
      <c r="F5198" t="inlineStr">
        <is>
          <t>la Recarga y mantenimiento</t>
        </is>
      </c>
      <c r="G5198" t="inlineStr">
        <is>
          <t>2</t>
        </is>
      </c>
      <c r="H5198" t="inlineStr">
        <is>
          <t>04 KG</t>
        </is>
      </c>
      <c r="I5198" t="n">
        <v>2031</v>
      </c>
      <c r="J5198" t="n">
        <v>2003</v>
      </c>
      <c r="K5198" t="inlineStr">
        <is>
          <t>JUNIO 2026</t>
        </is>
      </c>
      <c r="L5198" t="inlineStr">
        <is>
          <t>JUNIO 2027</t>
        </is>
      </c>
      <c r="M5198" t="inlineStr">
        <is>
          <t>PQS TIPO ABC AL 7%</t>
        </is>
      </c>
      <c r="N5198" t="inlineStr">
        <is>
          <t>02/000004</t>
        </is>
      </c>
      <c r="O5198" t="inlineStr">
        <is>
          <t>R</t>
        </is>
      </c>
      <c r="P5198">
        <f>TRIM(N5198)</f>
        <v/>
      </c>
    </row>
    <row r="5199">
      <c r="A5199" t="inlineStr">
        <is>
          <t>CO-002784</t>
        </is>
      </c>
      <c r="B5199" t="inlineStr">
        <is>
          <t>QUALITY TIRES SAC</t>
        </is>
      </c>
      <c r="C5199" t="n">
        <v>20492629813</v>
      </c>
      <c r="D5199" t="inlineStr">
        <is>
          <t>AV. TUPAC AMARU NRO. 4292  S PEDRO COMAS</t>
        </is>
      </c>
      <c r="E5199" t="inlineStr">
        <is>
          <t>Lima, 30 de junio del 2026</t>
        </is>
      </c>
      <c r="F5199" t="inlineStr">
        <is>
          <t>la Recarga y mantenimiento</t>
        </is>
      </c>
      <c r="G5199" t="n">
        <v>3</v>
      </c>
      <c r="H5199" t="inlineStr">
        <is>
          <t>04 KG</t>
        </is>
      </c>
      <c r="I5199" t="n">
        <v>2031</v>
      </c>
      <c r="J5199" t="n">
        <v>2003</v>
      </c>
      <c r="K5199" t="inlineStr">
        <is>
          <t>JUNIO 2026</t>
        </is>
      </c>
      <c r="L5199" t="inlineStr">
        <is>
          <t>JUNIO 2027</t>
        </is>
      </c>
      <c r="M5199" t="inlineStr">
        <is>
          <t>PQS TIPO ABC AL 7%</t>
        </is>
      </c>
      <c r="N5199" t="inlineStr">
        <is>
          <t>03/000383</t>
        </is>
      </c>
      <c r="O5199" t="inlineStr">
        <is>
          <t>R</t>
        </is>
      </c>
      <c r="P5199">
        <f>TRIM(N5199)</f>
        <v/>
      </c>
    </row>
    <row r="5200">
      <c r="A5200" t="inlineStr">
        <is>
          <t>CO-002785</t>
        </is>
      </c>
      <c r="B5200" t="inlineStr">
        <is>
          <t>PERU MASIVO SA - INFRAESTRUCTURA</t>
        </is>
      </c>
      <c r="C5200" t="inlineStr">
        <is>
          <t>20492392031</t>
        </is>
      </c>
      <c r="D5200" t="inlineStr">
        <is>
          <t>AV. LOS INCAS CDRA. 4 PATIO NORTE - COMAS</t>
        </is>
      </c>
      <c r="E5200" t="inlineStr">
        <is>
          <t>Lima, 30 de junio del 2026</t>
        </is>
      </c>
      <c r="F5200" t="inlineStr">
        <is>
          <t>la Recarga y mantenimiento</t>
        </is>
      </c>
      <c r="G5200" t="inlineStr">
        <is>
          <t>01</t>
        </is>
      </c>
      <c r="H5200" t="inlineStr">
        <is>
          <t>06 KG</t>
        </is>
      </c>
      <c r="I5200" t="n">
        <v>2028</v>
      </c>
      <c r="J5200" t="n">
        <v>2023</v>
      </c>
      <c r="K5200" t="inlineStr">
        <is>
          <t>JUNIO 2026</t>
        </is>
      </c>
      <c r="L5200" t="inlineStr">
        <is>
          <t>JUNIO 2027</t>
        </is>
      </c>
      <c r="M5200" t="inlineStr">
        <is>
          <t>PQS/ABC AL 90% NACIONAL</t>
        </is>
      </c>
      <c r="N5200" t="inlineStr">
        <is>
          <t>03/000120</t>
        </is>
      </c>
      <c r="O5200" t="inlineStr">
        <is>
          <t>R</t>
        </is>
      </c>
      <c r="P5200">
        <f>TRIM(N5200)</f>
        <v/>
      </c>
    </row>
    <row r="5201">
      <c r="A5201" t="inlineStr">
        <is>
          <t>CO-002785</t>
        </is>
      </c>
      <c r="B5201" t="inlineStr">
        <is>
          <t>PERU MASIVO SA - INFRAESTRUCTURA</t>
        </is>
      </c>
      <c r="C5201" t="inlineStr">
        <is>
          <t>20492392031</t>
        </is>
      </c>
      <c r="D5201" t="inlineStr">
        <is>
          <t>AV. LOS INCAS CDRA. 4 PATIO NORTE - COMAS</t>
        </is>
      </c>
      <c r="E5201" t="inlineStr">
        <is>
          <t>Lima, 30 de junio del 2026</t>
        </is>
      </c>
      <c r="F5201" t="inlineStr">
        <is>
          <t>la Recarga y mantenimiento</t>
        </is>
      </c>
      <c r="G5201" t="inlineStr">
        <is>
          <t>02</t>
        </is>
      </c>
      <c r="H5201" t="inlineStr">
        <is>
          <t>06 KG</t>
        </is>
      </c>
      <c r="I5201" t="n">
        <v>2027</v>
      </c>
      <c r="J5201" t="n">
        <v>2022</v>
      </c>
      <c r="K5201" t="inlineStr">
        <is>
          <t>JUNIO 2026</t>
        </is>
      </c>
      <c r="L5201" t="inlineStr">
        <is>
          <t>JUNIO 2027</t>
        </is>
      </c>
      <c r="M5201" t="inlineStr">
        <is>
          <t>PQS/ABC AL 90% NACIONAL</t>
        </is>
      </c>
      <c r="N5201" t="inlineStr">
        <is>
          <t>22/369054</t>
        </is>
      </c>
      <c r="O5201" t="inlineStr">
        <is>
          <t>R</t>
        </is>
      </c>
      <c r="P5201">
        <f>TRIM(N5201)</f>
        <v/>
      </c>
    </row>
    <row r="5202">
      <c r="A5202" t="inlineStr">
        <is>
          <t>CO-002786</t>
        </is>
      </c>
      <c r="B5202" t="inlineStr">
        <is>
          <t>LIZ FARMA De: Lizbeth Karina Lachira Fabian</t>
        </is>
      </c>
      <c r="D5202" t="inlineStr">
        <is>
          <t>AV. MANUEL PRADO S/N  MZ.J  LT. 18 -  PROG. VIV. SAN FRANCISCO DE CARABAYLLO</t>
        </is>
      </c>
      <c r="E5202" t="inlineStr">
        <is>
          <t>Lima, 30 de junio de 2026</t>
        </is>
      </c>
      <c r="F5202" t="inlineStr">
        <is>
          <t>la Recarga y mantenimiento</t>
        </is>
      </c>
      <c r="G5202" t="inlineStr">
        <is>
          <t>01</t>
        </is>
      </c>
      <c r="H5202" t="inlineStr">
        <is>
          <t>06 KG</t>
        </is>
      </c>
      <c r="I5202" t="inlineStr">
        <is>
          <t>2031</t>
        </is>
      </c>
      <c r="J5202" t="n">
        <v>2021</v>
      </c>
      <c r="K5202" t="inlineStr">
        <is>
          <t>JUNIO 2026</t>
        </is>
      </c>
      <c r="L5202" t="inlineStr">
        <is>
          <t>JUNIO 2027</t>
        </is>
      </c>
      <c r="M5202" t="inlineStr">
        <is>
          <t>PQS TIPO ABC AL 75%</t>
        </is>
      </c>
      <c r="N5202" t="inlineStr">
        <is>
          <t>01/262951</t>
        </is>
      </c>
      <c r="O5202" t="inlineStr">
        <is>
          <t>R</t>
        </is>
      </c>
      <c r="P5202">
        <f>TRIM(N5202)</f>
        <v/>
      </c>
    </row>
    <row r="5203">
      <c r="A5203" t="inlineStr">
        <is>
          <t>CO-002787</t>
        </is>
      </c>
      <c r="B5203" t="inlineStr">
        <is>
          <t>CICSA PERU SAC</t>
        </is>
      </c>
      <c r="C5203" t="n">
        <v>20512780114</v>
      </c>
      <c r="D5203" t="inlineStr">
        <is>
          <t>CANTA - CARABAYLLO</t>
        </is>
      </c>
      <c r="E5203" t="inlineStr">
        <is>
          <t>Lima, 02 de julio del 2026</t>
        </is>
      </c>
      <c r="F5203" t="inlineStr">
        <is>
          <t>la Recarga y mantenimiento</t>
        </is>
      </c>
      <c r="G5203" t="inlineStr">
        <is>
          <t>01</t>
        </is>
      </c>
      <c r="H5203" t="inlineStr">
        <is>
          <t>20 LBS</t>
        </is>
      </c>
      <c r="I5203" t="n">
        <v>2031</v>
      </c>
      <c r="J5203" t="n">
        <v>2018</v>
      </c>
      <c r="K5203" t="inlineStr">
        <is>
          <t>JULIO 2026</t>
        </is>
      </c>
      <c r="L5203" t="inlineStr">
        <is>
          <t>JULIO 2027</t>
        </is>
      </c>
      <c r="M5203" t="inlineStr">
        <is>
          <t xml:space="preserve">CO2 TIPO BC </t>
        </is>
      </c>
      <c r="N5203" t="inlineStr">
        <is>
          <t>158/148783</t>
        </is>
      </c>
      <c r="O5203" t="inlineStr">
        <is>
          <t>R</t>
        </is>
      </c>
      <c r="P5203">
        <f>TRIM(N5203)</f>
        <v/>
      </c>
    </row>
    <row r="5204">
      <c r="A5204" t="inlineStr">
        <is>
          <t>CO-002787</t>
        </is>
      </c>
      <c r="B5204" t="inlineStr">
        <is>
          <t>CICSA PERU SAC</t>
        </is>
      </c>
      <c r="C5204" t="n">
        <v>20512780114</v>
      </c>
      <c r="D5204" t="inlineStr">
        <is>
          <t>CANTA - CARABAYLLO</t>
        </is>
      </c>
      <c r="E5204" t="inlineStr">
        <is>
          <t>Lima, 02 de julio del 2026</t>
        </is>
      </c>
      <c r="F5204" t="inlineStr">
        <is>
          <t>la Recarga y mantenimiento</t>
        </is>
      </c>
      <c r="G5204" t="inlineStr">
        <is>
          <t>02</t>
        </is>
      </c>
      <c r="H5204" t="inlineStr">
        <is>
          <t>20 LBS</t>
        </is>
      </c>
      <c r="I5204" t="n">
        <v>2031</v>
      </c>
      <c r="J5204" t="n">
        <v>2018</v>
      </c>
      <c r="K5204" t="inlineStr">
        <is>
          <t>JULIO 2026</t>
        </is>
      </c>
      <c r="L5204" t="inlineStr">
        <is>
          <t>JULIO 2027</t>
        </is>
      </c>
      <c r="M5204" t="inlineStr">
        <is>
          <t xml:space="preserve">CO2 TIPO BC </t>
        </is>
      </c>
      <c r="N5204" t="inlineStr">
        <is>
          <t>156/152305</t>
        </is>
      </c>
      <c r="O5204" t="inlineStr">
        <is>
          <t>R</t>
        </is>
      </c>
      <c r="P5204">
        <f>TRIM(N5204)</f>
        <v/>
      </c>
    </row>
    <row r="5205">
      <c r="A5205" t="inlineStr">
        <is>
          <t>CO-002787</t>
        </is>
      </c>
      <c r="B5205" t="inlineStr">
        <is>
          <t>CICSA PERU SAC</t>
        </is>
      </c>
      <c r="C5205" t="n">
        <v>20512780114</v>
      </c>
      <c r="D5205" t="inlineStr">
        <is>
          <t>CANTA - CARABAYLLO</t>
        </is>
      </c>
      <c r="E5205" t="inlineStr">
        <is>
          <t>Lima, 02 de julio del 2026</t>
        </is>
      </c>
      <c r="F5205" t="inlineStr">
        <is>
          <t>la Recarga y mantenimiento</t>
        </is>
      </c>
      <c r="G5205" t="inlineStr">
        <is>
          <t>03</t>
        </is>
      </c>
      <c r="H5205" t="inlineStr">
        <is>
          <t>20 LBS</t>
        </is>
      </c>
      <c r="I5205" t="n">
        <v>2030</v>
      </c>
      <c r="J5205" t="n">
        <v>2019</v>
      </c>
      <c r="K5205" t="inlineStr">
        <is>
          <t>JULIO 2026</t>
        </is>
      </c>
      <c r="L5205" t="inlineStr">
        <is>
          <t>JULIO 2027</t>
        </is>
      </c>
      <c r="M5205" t="inlineStr">
        <is>
          <t xml:space="preserve">CO2 TIPO BC </t>
        </is>
      </c>
      <c r="N5205" t="inlineStr">
        <is>
          <t>112/190881</t>
        </is>
      </c>
      <c r="O5205" t="inlineStr">
        <is>
          <t>R</t>
        </is>
      </c>
      <c r="P5205">
        <f>TRIM(N5205)</f>
        <v/>
      </c>
    </row>
    <row r="5206">
      <c r="A5206" t="inlineStr">
        <is>
          <t>CO-002787</t>
        </is>
      </c>
      <c r="B5206" t="inlineStr">
        <is>
          <t>CICSA PERU SAC</t>
        </is>
      </c>
      <c r="C5206" t="n">
        <v>20512780114</v>
      </c>
      <c r="D5206" t="inlineStr">
        <is>
          <t>CANTA - CARABAYLLO</t>
        </is>
      </c>
      <c r="E5206" t="inlineStr">
        <is>
          <t>Lima, 02 de julio del 2026</t>
        </is>
      </c>
      <c r="F5206" t="inlineStr">
        <is>
          <t>la Recarga y mantenimiento</t>
        </is>
      </c>
      <c r="G5206" t="inlineStr">
        <is>
          <t>04</t>
        </is>
      </c>
      <c r="H5206" t="inlineStr">
        <is>
          <t>20 LBS</t>
        </is>
      </c>
      <c r="I5206" t="n">
        <v>2030</v>
      </c>
      <c r="J5206" t="n">
        <v>2019</v>
      </c>
      <c r="K5206" t="inlineStr">
        <is>
          <t>JULIO 2026</t>
        </is>
      </c>
      <c r="L5206" t="inlineStr">
        <is>
          <t>JULIO 2027</t>
        </is>
      </c>
      <c r="M5206" t="inlineStr">
        <is>
          <t xml:space="preserve">CO2 TIPO BC </t>
        </is>
      </c>
      <c r="N5206" t="inlineStr">
        <is>
          <t>118/179238</t>
        </is>
      </c>
      <c r="O5206" t="inlineStr">
        <is>
          <t>R</t>
        </is>
      </c>
      <c r="P5206">
        <f>TRIM(N5206)</f>
        <v/>
      </c>
    </row>
    <row r="5207">
      <c r="A5207" t="inlineStr">
        <is>
          <t>CO-002787</t>
        </is>
      </c>
      <c r="B5207" t="inlineStr">
        <is>
          <t>CICSA PERU SAC</t>
        </is>
      </c>
      <c r="C5207" t="n">
        <v>20512780114</v>
      </c>
      <c r="D5207" t="inlineStr">
        <is>
          <t>CANTA - CARABAYLLO</t>
        </is>
      </c>
      <c r="E5207" t="inlineStr">
        <is>
          <t>Lima, 02 de julio del 2026</t>
        </is>
      </c>
      <c r="F5207" t="inlineStr">
        <is>
          <t>la Recarga y mantenimiento</t>
        </is>
      </c>
      <c r="G5207" t="inlineStr">
        <is>
          <t>05</t>
        </is>
      </c>
      <c r="H5207" t="inlineStr">
        <is>
          <t>20 LBS</t>
        </is>
      </c>
      <c r="I5207" t="n">
        <v>2031</v>
      </c>
      <c r="J5207" t="n">
        <v>2019</v>
      </c>
      <c r="K5207" t="inlineStr">
        <is>
          <t>JULIO 2026</t>
        </is>
      </c>
      <c r="L5207" t="inlineStr">
        <is>
          <t>JULIO 2027</t>
        </is>
      </c>
      <c r="M5207" t="inlineStr">
        <is>
          <t xml:space="preserve">CO2 TIPO BC </t>
        </is>
      </c>
      <c r="N5207" t="inlineStr">
        <is>
          <t>151/190709</t>
        </is>
      </c>
      <c r="O5207" t="inlineStr">
        <is>
          <t>R</t>
        </is>
      </c>
      <c r="P5207">
        <f>TRIM(N5207)</f>
        <v/>
      </c>
    </row>
    <row r="5208">
      <c r="A5208" t="inlineStr">
        <is>
          <t>CO-002787</t>
        </is>
      </c>
      <c r="B5208" t="inlineStr">
        <is>
          <t>CICSA PERU SAC</t>
        </is>
      </c>
      <c r="C5208" t="n">
        <v>20512780114</v>
      </c>
      <c r="D5208" t="inlineStr">
        <is>
          <t>CANTA - CARABAYLLO</t>
        </is>
      </c>
      <c r="E5208" t="inlineStr">
        <is>
          <t>Lima, 02 de julio del 2026</t>
        </is>
      </c>
      <c r="F5208" t="inlineStr">
        <is>
          <t>la Recarga y mantenimiento</t>
        </is>
      </c>
      <c r="G5208" t="inlineStr">
        <is>
          <t>06</t>
        </is>
      </c>
      <c r="H5208" t="inlineStr">
        <is>
          <t>20 LBS</t>
        </is>
      </c>
      <c r="I5208" t="n">
        <v>2031</v>
      </c>
      <c r="J5208" t="n">
        <v>2019</v>
      </c>
      <c r="K5208" t="inlineStr">
        <is>
          <t>JULIO 2026</t>
        </is>
      </c>
      <c r="L5208" t="inlineStr">
        <is>
          <t>JULIO 2027</t>
        </is>
      </c>
      <c r="M5208" t="inlineStr">
        <is>
          <t xml:space="preserve">CO2 TIPO BC </t>
        </is>
      </c>
      <c r="N5208" t="inlineStr">
        <is>
          <t>155/190867</t>
        </is>
      </c>
      <c r="O5208" t="inlineStr">
        <is>
          <t>R</t>
        </is>
      </c>
      <c r="P5208">
        <f>TRIM(N5208)</f>
        <v/>
      </c>
    </row>
    <row r="5209">
      <c r="A5209" t="inlineStr">
        <is>
          <t>CO-002787</t>
        </is>
      </c>
      <c r="B5209" t="inlineStr">
        <is>
          <t>CICSA PERU SAC</t>
        </is>
      </c>
      <c r="C5209" t="n">
        <v>20512780114</v>
      </c>
      <c r="D5209" t="inlineStr">
        <is>
          <t>CANTA - CARABAYLLO</t>
        </is>
      </c>
      <c r="E5209" t="inlineStr">
        <is>
          <t>Lima, 02 de julio del 2026</t>
        </is>
      </c>
      <c r="F5209" t="inlineStr">
        <is>
          <t>la Recarga y mantenimiento</t>
        </is>
      </c>
      <c r="G5209" t="inlineStr">
        <is>
          <t>07</t>
        </is>
      </c>
      <c r="H5209" t="inlineStr">
        <is>
          <t>20 LBS</t>
        </is>
      </c>
      <c r="I5209" t="n">
        <v>2031</v>
      </c>
      <c r="J5209" t="n">
        <v>2019</v>
      </c>
      <c r="K5209" t="inlineStr">
        <is>
          <t>JULIO 2026</t>
        </is>
      </c>
      <c r="L5209" t="inlineStr">
        <is>
          <t>JULIO 2027</t>
        </is>
      </c>
      <c r="M5209" t="inlineStr">
        <is>
          <t xml:space="preserve">CO2 TIPO BC </t>
        </is>
      </c>
      <c r="N5209" t="inlineStr">
        <is>
          <t>132/190875</t>
        </is>
      </c>
      <c r="O5209" t="inlineStr">
        <is>
          <t>R</t>
        </is>
      </c>
      <c r="P5209">
        <f>TRIM(N5209)</f>
        <v/>
      </c>
    </row>
    <row r="5210">
      <c r="A5210" t="inlineStr">
        <is>
          <t>CO-002787</t>
        </is>
      </c>
      <c r="B5210" t="inlineStr">
        <is>
          <t>CICSA PERU SAC</t>
        </is>
      </c>
      <c r="C5210" t="n">
        <v>20512780114</v>
      </c>
      <c r="D5210" t="inlineStr">
        <is>
          <t>CANTA - CARABAYLLO</t>
        </is>
      </c>
      <c r="E5210" t="inlineStr">
        <is>
          <t>Lima, 02 de julio del 2026</t>
        </is>
      </c>
      <c r="F5210" t="inlineStr">
        <is>
          <t>la Recarga y mantenimiento</t>
        </is>
      </c>
      <c r="G5210" t="inlineStr">
        <is>
          <t>08</t>
        </is>
      </c>
      <c r="H5210" t="inlineStr">
        <is>
          <t>20 LBS</t>
        </is>
      </c>
      <c r="I5210" t="n">
        <v>2031</v>
      </c>
      <c r="J5210" t="n">
        <v>2019</v>
      </c>
      <c r="K5210" t="inlineStr">
        <is>
          <t>JULIO 2026</t>
        </is>
      </c>
      <c r="L5210" t="inlineStr">
        <is>
          <t>JULIO 2027</t>
        </is>
      </c>
      <c r="M5210" t="inlineStr">
        <is>
          <t xml:space="preserve">CO2 TIPO BC </t>
        </is>
      </c>
      <c r="N5210" t="inlineStr">
        <is>
          <t>154/191176</t>
        </is>
      </c>
      <c r="O5210" t="inlineStr">
        <is>
          <t>R</t>
        </is>
      </c>
      <c r="P5210">
        <f>TRIM(N5210)</f>
        <v/>
      </c>
    </row>
    <row r="5211">
      <c r="A5211" t="inlineStr">
        <is>
          <t>CO-002787</t>
        </is>
      </c>
      <c r="B5211" t="inlineStr">
        <is>
          <t>CICSA PERU SAC</t>
        </is>
      </c>
      <c r="C5211" t="n">
        <v>20512780114</v>
      </c>
      <c r="D5211" t="inlineStr">
        <is>
          <t>CANTA - CARABAYLLO</t>
        </is>
      </c>
      <c r="E5211" t="inlineStr">
        <is>
          <t>Lima, 02 de julio del 2026</t>
        </is>
      </c>
      <c r="F5211" t="inlineStr">
        <is>
          <t>la Recarga y mantenimiento</t>
        </is>
      </c>
      <c r="G5211" t="inlineStr">
        <is>
          <t>09</t>
        </is>
      </c>
      <c r="H5211" t="inlineStr">
        <is>
          <t>20 LBS</t>
        </is>
      </c>
      <c r="I5211" t="n">
        <v>2031</v>
      </c>
      <c r="J5211" t="n">
        <v>2018</v>
      </c>
      <c r="K5211" t="inlineStr">
        <is>
          <t>JULIO 2026</t>
        </is>
      </c>
      <c r="L5211" t="inlineStr">
        <is>
          <t>JULIO 2027</t>
        </is>
      </c>
      <c r="M5211" t="inlineStr">
        <is>
          <t xml:space="preserve">CO2 TIPO BC </t>
        </is>
      </c>
      <c r="N5211" t="inlineStr">
        <is>
          <t>157/152419</t>
        </is>
      </c>
      <c r="O5211" t="inlineStr">
        <is>
          <t>R</t>
        </is>
      </c>
      <c r="P5211">
        <f>TRIM(N5211)</f>
        <v/>
      </c>
    </row>
    <row r="5212">
      <c r="A5212" t="inlineStr">
        <is>
          <t>CO-002787</t>
        </is>
      </c>
      <c r="B5212" t="inlineStr">
        <is>
          <t>CICSA PERU SAC</t>
        </is>
      </c>
      <c r="C5212" t="n">
        <v>20512780114</v>
      </c>
      <c r="D5212" t="inlineStr">
        <is>
          <t>CANTA - CARABAYLLO</t>
        </is>
      </c>
      <c r="E5212" t="inlineStr">
        <is>
          <t>Lima, 02 de julio del 2026</t>
        </is>
      </c>
      <c r="F5212" t="inlineStr">
        <is>
          <t>la Recarga y mantenimiento</t>
        </is>
      </c>
      <c r="G5212" t="inlineStr">
        <is>
          <t>10</t>
        </is>
      </c>
      <c r="H5212" t="inlineStr">
        <is>
          <t>20 LBS</t>
        </is>
      </c>
      <c r="I5212" t="n">
        <v>2031</v>
      </c>
      <c r="J5212" t="n">
        <v>2019</v>
      </c>
      <c r="K5212" t="inlineStr">
        <is>
          <t>JULIO 2026</t>
        </is>
      </c>
      <c r="L5212" t="inlineStr">
        <is>
          <t>JULIO 2027</t>
        </is>
      </c>
      <c r="M5212" t="inlineStr">
        <is>
          <t xml:space="preserve">CO2 TIPO BC </t>
        </is>
      </c>
      <c r="N5212" t="inlineStr">
        <is>
          <t>121/178767</t>
        </is>
      </c>
      <c r="O5212" t="inlineStr">
        <is>
          <t>R</t>
        </is>
      </c>
      <c r="P5212">
        <f>TRIM(N5212)</f>
        <v/>
      </c>
    </row>
    <row r="5213">
      <c r="A5213" t="inlineStr">
        <is>
          <t>CO-002788</t>
        </is>
      </c>
      <c r="B5213" t="inlineStr">
        <is>
          <t>CICSA PERU SAC</t>
        </is>
      </c>
      <c r="C5213" t="n">
        <v>20512780114</v>
      </c>
      <c r="D5213" t="inlineStr">
        <is>
          <t>HUACHO</t>
        </is>
      </c>
      <c r="E5213" t="inlineStr">
        <is>
          <t>Lima, 02 de julio del 2026</t>
        </is>
      </c>
      <c r="F5213" t="inlineStr">
        <is>
          <t>la Recarga y mantenimiento</t>
        </is>
      </c>
      <c r="G5213" t="inlineStr">
        <is>
          <t>01</t>
        </is>
      </c>
      <c r="H5213" t="inlineStr">
        <is>
          <t>20 LBS</t>
        </is>
      </c>
      <c r="I5213" t="n">
        <v>2031</v>
      </c>
      <c r="J5213" t="n">
        <v>2019</v>
      </c>
      <c r="K5213" t="inlineStr">
        <is>
          <t>JULIO 2026</t>
        </is>
      </c>
      <c r="L5213" t="inlineStr">
        <is>
          <t>JULIO 2027</t>
        </is>
      </c>
      <c r="M5213" t="inlineStr">
        <is>
          <t xml:space="preserve">CO2 TIPO BC </t>
        </is>
      </c>
      <c r="N5213" t="inlineStr">
        <is>
          <t>63/181395</t>
        </is>
      </c>
      <c r="O5213" t="inlineStr">
        <is>
          <t>R</t>
        </is>
      </c>
      <c r="P5213">
        <f>TRIM(N5213)</f>
        <v/>
      </c>
    </row>
    <row r="5214">
      <c r="A5214" t="inlineStr">
        <is>
          <t>CO-002788</t>
        </is>
      </c>
      <c r="B5214" t="inlineStr">
        <is>
          <t>CICSA PERU SAC</t>
        </is>
      </c>
      <c r="C5214" t="n">
        <v>20512780114</v>
      </c>
      <c r="D5214" t="inlineStr">
        <is>
          <t>HUACHO</t>
        </is>
      </c>
      <c r="E5214" t="inlineStr">
        <is>
          <t>Lima, 02 de julio del 2026</t>
        </is>
      </c>
      <c r="F5214" t="inlineStr">
        <is>
          <t>la Recarga y mantenimiento</t>
        </is>
      </c>
      <c r="G5214" t="inlineStr">
        <is>
          <t>02</t>
        </is>
      </c>
      <c r="H5214" t="inlineStr">
        <is>
          <t>20 LBS</t>
        </is>
      </c>
      <c r="I5214" t="n">
        <v>2030</v>
      </c>
      <c r="J5214" t="n">
        <v>2019</v>
      </c>
      <c r="K5214" t="inlineStr">
        <is>
          <t>JULIO 2026</t>
        </is>
      </c>
      <c r="L5214" t="inlineStr">
        <is>
          <t>JULIO 2027</t>
        </is>
      </c>
      <c r="M5214" t="inlineStr">
        <is>
          <t xml:space="preserve">CO2 TIPO BC </t>
        </is>
      </c>
      <c r="N5214" t="inlineStr">
        <is>
          <t>83/178859</t>
        </is>
      </c>
      <c r="O5214" t="inlineStr">
        <is>
          <t>R</t>
        </is>
      </c>
      <c r="P5214">
        <f>TRIM(N5214)</f>
        <v/>
      </c>
    </row>
    <row r="5215">
      <c r="A5215" t="inlineStr">
        <is>
          <t>CO-002788</t>
        </is>
      </c>
      <c r="B5215" t="inlineStr">
        <is>
          <t>CICSA PERU SAC</t>
        </is>
      </c>
      <c r="C5215" t="n">
        <v>20512780114</v>
      </c>
      <c r="D5215" t="inlineStr">
        <is>
          <t>HUACHO</t>
        </is>
      </c>
      <c r="E5215" t="inlineStr">
        <is>
          <t>Lima, 02 de julio del 2026</t>
        </is>
      </c>
      <c r="F5215" t="inlineStr">
        <is>
          <t>la Recarga y mantenimiento</t>
        </is>
      </c>
      <c r="G5215" t="inlineStr">
        <is>
          <t>03</t>
        </is>
      </c>
      <c r="H5215" t="inlineStr">
        <is>
          <t>20 LBS</t>
        </is>
      </c>
      <c r="I5215" t="n">
        <v>2031</v>
      </c>
      <c r="J5215" t="n">
        <v>2019</v>
      </c>
      <c r="K5215" t="inlineStr">
        <is>
          <t>JULIO 2026</t>
        </is>
      </c>
      <c r="L5215" t="inlineStr">
        <is>
          <t>JULIO 2027</t>
        </is>
      </c>
      <c r="M5215" t="inlineStr">
        <is>
          <t xml:space="preserve">CO2 TIPO BC </t>
        </is>
      </c>
      <c r="N5215" t="inlineStr">
        <is>
          <t>30/190697</t>
        </is>
      </c>
      <c r="O5215" t="inlineStr">
        <is>
          <t>R</t>
        </is>
      </c>
      <c r="P5215">
        <f>TRIM(N5215)</f>
        <v/>
      </c>
    </row>
    <row r="5216">
      <c r="A5216" t="inlineStr">
        <is>
          <t>CO-002788</t>
        </is>
      </c>
      <c r="B5216" t="inlineStr">
        <is>
          <t>CICSA PERU SAC</t>
        </is>
      </c>
      <c r="C5216" t="n">
        <v>20512780114</v>
      </c>
      <c r="D5216" t="inlineStr">
        <is>
          <t>HUACHO</t>
        </is>
      </c>
      <c r="E5216" t="inlineStr">
        <is>
          <t>Lima, 02 de julio del 2026</t>
        </is>
      </c>
      <c r="F5216" t="inlineStr">
        <is>
          <t>la Recarga y mantenimiento</t>
        </is>
      </c>
      <c r="G5216" t="inlineStr">
        <is>
          <t>04</t>
        </is>
      </c>
      <c r="H5216" t="inlineStr">
        <is>
          <t>20 LBS</t>
        </is>
      </c>
      <c r="I5216" t="n">
        <v>2030</v>
      </c>
      <c r="J5216" t="n">
        <v>2019</v>
      </c>
      <c r="K5216" t="inlineStr">
        <is>
          <t>JULIO 2026</t>
        </is>
      </c>
      <c r="L5216" t="inlineStr">
        <is>
          <t>JULIO 2027</t>
        </is>
      </c>
      <c r="M5216" t="inlineStr">
        <is>
          <t xml:space="preserve">CO2 TIPO BC </t>
        </is>
      </c>
      <c r="N5216" t="inlineStr">
        <is>
          <t>50/190717</t>
        </is>
      </c>
      <c r="O5216" t="inlineStr">
        <is>
          <t>R</t>
        </is>
      </c>
      <c r="P5216">
        <f>TRIM(N5216)</f>
        <v/>
      </c>
    </row>
    <row r="5217">
      <c r="A5217" t="inlineStr">
        <is>
          <t>CO-002789</t>
        </is>
      </c>
      <c r="B5217" t="inlineStr">
        <is>
          <t>PROGRAMA NACIONAL DE INVESTIGACIÓN CIENTÍFICA Y ESTUDIOS AVANZADOS</t>
        </is>
      </c>
      <c r="C5217" t="n">
        <v>20608551698</v>
      </c>
      <c r="D5217" t="inlineStr">
        <is>
          <t>CAL.JIRON DOMENICO MORELLI NRO. 150 OTR. . (TORRE 2 - PISO 9) LIMA - LIMA - SAN BORJA</t>
        </is>
      </c>
      <c r="E5217" t="inlineStr">
        <is>
          <t>Lima, 06 de julio del 2026</t>
        </is>
      </c>
      <c r="F5217" t="inlineStr">
        <is>
          <t>la Recarga y mantenimiento</t>
        </is>
      </c>
      <c r="G5217" t="inlineStr">
        <is>
          <t>01</t>
        </is>
      </c>
      <c r="H5217" t="inlineStr">
        <is>
          <t>06 KG</t>
        </is>
      </c>
      <c r="I5217" t="n">
        <v>2031</v>
      </c>
      <c r="J5217" t="n">
        <v>2014</v>
      </c>
      <c r="K5217" t="inlineStr">
        <is>
          <t>JULIO 2026</t>
        </is>
      </c>
      <c r="L5217" t="inlineStr">
        <is>
          <t>JULIO 2027</t>
        </is>
      </c>
      <c r="M5217" t="inlineStr">
        <is>
          <t>P.Q.S.  TIPO ABC AL 75 %</t>
        </is>
      </c>
      <c r="N5217" t="inlineStr">
        <is>
          <t>09/001191</t>
        </is>
      </c>
      <c r="O5217" t="inlineStr">
        <is>
          <t>R</t>
        </is>
      </c>
      <c r="P5217">
        <f>TRIM(N5217)</f>
        <v/>
      </c>
    </row>
    <row r="5218">
      <c r="A5218" t="inlineStr">
        <is>
          <t>CO-002789</t>
        </is>
      </c>
      <c r="B5218" t="inlineStr">
        <is>
          <t>PROGRAMA NACIONAL DE INVESTIGACIÓN CIENTÍFICA Y ESTUDIOS AVANZADOS</t>
        </is>
      </c>
      <c r="C5218" t="n">
        <v>20608551698</v>
      </c>
      <c r="D5218" t="inlineStr">
        <is>
          <t>CAL.JIRON DOMENICO MORELLI NRO. 150 OTR. . (TORRE 2 - PISO 9) LIMA - LIMA - SAN BORJA</t>
        </is>
      </c>
      <c r="E5218" t="inlineStr">
        <is>
          <t>Lima, 06 de julio del 2026</t>
        </is>
      </c>
      <c r="F5218" t="inlineStr">
        <is>
          <t>la Recarga y mantenimiento</t>
        </is>
      </c>
      <c r="G5218" t="inlineStr">
        <is>
          <t>02</t>
        </is>
      </c>
      <c r="H5218" t="inlineStr">
        <is>
          <t>06 KG</t>
        </is>
      </c>
      <c r="I5218" t="n">
        <v>2031</v>
      </c>
      <c r="J5218" t="n">
        <v>2014</v>
      </c>
      <c r="K5218" t="inlineStr">
        <is>
          <t>JULIO 2026</t>
        </is>
      </c>
      <c r="L5218" t="inlineStr">
        <is>
          <t>JULIO 2027</t>
        </is>
      </c>
      <c r="M5218" t="inlineStr">
        <is>
          <t>P.Q.S.  TIPO ABC AL 75 %</t>
        </is>
      </c>
      <c r="N5218" t="inlineStr">
        <is>
          <t>13/000143</t>
        </is>
      </c>
      <c r="O5218" t="inlineStr">
        <is>
          <t>R</t>
        </is>
      </c>
      <c r="P5218">
        <f>TRIM(N5218)</f>
        <v/>
      </c>
    </row>
    <row r="5219">
      <c r="A5219" t="inlineStr">
        <is>
          <t>CO-002789</t>
        </is>
      </c>
      <c r="B5219" t="inlineStr">
        <is>
          <t>PROGRAMA NACIONAL DE INVESTIGACIÓN CIENTÍFICA Y ESTUDIOS AVANZADOS</t>
        </is>
      </c>
      <c r="C5219" t="n">
        <v>20608551698</v>
      </c>
      <c r="D5219" t="inlineStr">
        <is>
          <t>CAL.JIRON DOMENICO MORELLI NRO. 150 OTR. . (TORRE 2 - PISO 9) LIMA - LIMA - SAN BORJA</t>
        </is>
      </c>
      <c r="E5219" t="inlineStr">
        <is>
          <t>Lima, 06 de julio del 2026</t>
        </is>
      </c>
      <c r="F5219" t="inlineStr">
        <is>
          <t>la Recarga y mantenimiento</t>
        </is>
      </c>
      <c r="G5219" t="inlineStr">
        <is>
          <t>03</t>
        </is>
      </c>
      <c r="H5219" t="inlineStr">
        <is>
          <t>06 KG</t>
        </is>
      </c>
      <c r="I5219" t="n">
        <v>2031</v>
      </c>
      <c r="J5219" t="n">
        <v>2014</v>
      </c>
      <c r="K5219" t="inlineStr">
        <is>
          <t>JULIO 2026</t>
        </is>
      </c>
      <c r="L5219" t="inlineStr">
        <is>
          <t>JULIO 2027</t>
        </is>
      </c>
      <c r="M5219" t="inlineStr">
        <is>
          <t>P.Q.S.  TIPO ABC AL 75 %</t>
        </is>
      </c>
      <c r="N5219" t="inlineStr">
        <is>
          <t>10/000413</t>
        </is>
      </c>
      <c r="O5219" t="inlineStr">
        <is>
          <t>R</t>
        </is>
      </c>
      <c r="P5219">
        <f>TRIM(N5219)</f>
        <v/>
      </c>
    </row>
    <row r="5220">
      <c r="A5220" t="inlineStr">
        <is>
          <t>CO-002789</t>
        </is>
      </c>
      <c r="B5220" t="inlineStr">
        <is>
          <t>PROGRAMA NACIONAL DE INVESTIGACIÓN CIENTÍFICA Y ESTUDIOS AVANZADOS</t>
        </is>
      </c>
      <c r="C5220" t="n">
        <v>20608551698</v>
      </c>
      <c r="D5220" t="inlineStr">
        <is>
          <t>CAL.JIRON DOMENICO MORELLI NRO. 150 OTR. . (TORRE 2 - PISO 9) LIMA - LIMA - SAN BORJA</t>
        </is>
      </c>
      <c r="E5220" t="inlineStr">
        <is>
          <t>Lima, 06 de julio del 2026</t>
        </is>
      </c>
      <c r="F5220" t="inlineStr">
        <is>
          <t>la Recarga y mantenimiento</t>
        </is>
      </c>
      <c r="G5220" t="inlineStr">
        <is>
          <t>04</t>
        </is>
      </c>
      <c r="H5220" t="inlineStr">
        <is>
          <t>06 KG</t>
        </is>
      </c>
      <c r="I5220" t="n">
        <v>2031</v>
      </c>
      <c r="J5220" t="n">
        <v>2014</v>
      </c>
      <c r="K5220" t="inlineStr">
        <is>
          <t>JULIO 2026</t>
        </is>
      </c>
      <c r="L5220" t="inlineStr">
        <is>
          <t>JULIO 2027</t>
        </is>
      </c>
      <c r="M5220" t="inlineStr">
        <is>
          <t>P.Q.S.  TIPO ABC AL 75 %</t>
        </is>
      </c>
      <c r="N5220" t="inlineStr">
        <is>
          <t>12/000239</t>
        </is>
      </c>
      <c r="O5220" t="inlineStr">
        <is>
          <t>R</t>
        </is>
      </c>
      <c r="P5220">
        <f>TRIM(N5220)</f>
        <v/>
      </c>
    </row>
    <row r="5221">
      <c r="A5221" t="inlineStr">
        <is>
          <t>CO-002789</t>
        </is>
      </c>
      <c r="B5221" t="inlineStr">
        <is>
          <t>PROGRAMA NACIONAL DE INVESTIGACIÓN CIENTÍFICA Y ESTUDIOS AVANZADOS</t>
        </is>
      </c>
      <c r="C5221" t="n">
        <v>20608551698</v>
      </c>
      <c r="D5221" t="inlineStr">
        <is>
          <t>CAL.JIRON DOMENICO MORELLI NRO. 150 OTR. . (TORRE 2 - PISO 9) LIMA - LIMA - SAN BORJA</t>
        </is>
      </c>
      <c r="E5221" t="inlineStr">
        <is>
          <t>Lima, 06 de julio del 2026</t>
        </is>
      </c>
      <c r="F5221" t="inlineStr">
        <is>
          <t>la Recarga y mantenimiento</t>
        </is>
      </c>
      <c r="G5221" t="inlineStr">
        <is>
          <t>05</t>
        </is>
      </c>
      <c r="H5221" t="inlineStr">
        <is>
          <t>06 KG</t>
        </is>
      </c>
      <c r="I5221" t="n">
        <v>2031</v>
      </c>
      <c r="J5221" t="n">
        <v>2014</v>
      </c>
      <c r="K5221" t="inlineStr">
        <is>
          <t>JULIO 2026</t>
        </is>
      </c>
      <c r="L5221" t="inlineStr">
        <is>
          <t>JULIO 2027</t>
        </is>
      </c>
      <c r="M5221" t="inlineStr">
        <is>
          <t>P.Q.S.  TIPO ABC AL 75 %</t>
        </is>
      </c>
      <c r="N5221" t="inlineStr">
        <is>
          <t>11/000519</t>
        </is>
      </c>
      <c r="O5221" t="inlineStr">
        <is>
          <t>R</t>
        </is>
      </c>
      <c r="P5221">
        <f>TRIM(N5221)</f>
        <v/>
      </c>
    </row>
    <row r="5222">
      <c r="A5222" t="inlineStr">
        <is>
          <t>CO-002789</t>
        </is>
      </c>
      <c r="B5222" t="inlineStr">
        <is>
          <t>PROGRAMA NACIONAL DE INVESTIGACIÓN CIENTÍFICA Y ESTUDIOS AVANZADOS</t>
        </is>
      </c>
      <c r="C5222" t="n">
        <v>20608551698</v>
      </c>
      <c r="D5222" t="inlineStr">
        <is>
          <t>CAL.JIRON DOMENICO MORELLI NRO. 150 OTR. . (TORRE 2 - PISO 9) LIMA - LIMA - SAN BORJA</t>
        </is>
      </c>
      <c r="E5222" t="inlineStr">
        <is>
          <t>Lima, 06 de julio del 2026</t>
        </is>
      </c>
      <c r="F5222" t="inlineStr">
        <is>
          <t>la Recarga y mantenimiento</t>
        </is>
      </c>
      <c r="G5222" t="inlineStr">
        <is>
          <t>06</t>
        </is>
      </c>
      <c r="H5222" t="inlineStr">
        <is>
          <t>15 LBS</t>
        </is>
      </c>
      <c r="I5222" t="n">
        <v>2031</v>
      </c>
      <c r="J5222" t="n">
        <v>2017</v>
      </c>
      <c r="K5222" t="inlineStr">
        <is>
          <t>JULIO 2026</t>
        </is>
      </c>
      <c r="L5222" t="inlineStr">
        <is>
          <t>JULIO 2027</t>
        </is>
      </c>
      <c r="M5222" t="inlineStr">
        <is>
          <t xml:space="preserve">CO2 TIPO BC </t>
        </is>
      </c>
      <c r="N5222" t="inlineStr">
        <is>
          <t>14/000052</t>
        </is>
      </c>
      <c r="O5222" t="inlineStr">
        <is>
          <t>R</t>
        </is>
      </c>
      <c r="P5222">
        <f>TRIM(N5222)</f>
        <v/>
      </c>
    </row>
    <row r="5223">
      <c r="A5223" t="inlineStr">
        <is>
          <t>CO-002789</t>
        </is>
      </c>
      <c r="B5223" t="inlineStr">
        <is>
          <t>PROGRAMA NACIONAL DE INVESTIGACIÓN CIENTÍFICA Y ESTUDIOS AVANZADOS</t>
        </is>
      </c>
      <c r="C5223" t="n">
        <v>20608551698</v>
      </c>
      <c r="D5223" t="inlineStr">
        <is>
          <t>CAL.JIRON DOMENICO MORELLI NRO. 150 OTR. . (TORRE 2 - PISO 9) LIMA - LIMA - SAN BORJA</t>
        </is>
      </c>
      <c r="E5223" t="inlineStr">
        <is>
          <t>Lima, 06 de julio del 2026</t>
        </is>
      </c>
      <c r="F5223" t="inlineStr">
        <is>
          <t>la Recarga y mantenimiento</t>
        </is>
      </c>
      <c r="G5223" t="inlineStr">
        <is>
          <t>07</t>
        </is>
      </c>
      <c r="H5223" t="inlineStr">
        <is>
          <t>15 LBS</t>
        </is>
      </c>
      <c r="I5223" t="n">
        <v>2031</v>
      </c>
      <c r="J5223" t="n">
        <v>2017</v>
      </c>
      <c r="K5223" t="inlineStr">
        <is>
          <t>JULIO 2026</t>
        </is>
      </c>
      <c r="L5223" t="inlineStr">
        <is>
          <t>JULIO 2027</t>
        </is>
      </c>
      <c r="M5223" t="inlineStr">
        <is>
          <t xml:space="preserve">CO2 TIPO BC </t>
        </is>
      </c>
      <c r="N5223" t="inlineStr">
        <is>
          <t>15/000068</t>
        </is>
      </c>
      <c r="O5223" t="inlineStr">
        <is>
          <t>R</t>
        </is>
      </c>
      <c r="P5223">
        <f>TRIM(N5223)</f>
        <v/>
      </c>
    </row>
    <row r="5224">
      <c r="A5224" t="inlineStr">
        <is>
          <t>CO-002790</t>
        </is>
      </c>
      <c r="B5224" t="inlineStr">
        <is>
          <t xml:space="preserve">INDEXTU SAC </t>
        </is>
      </c>
      <c r="C5224" t="inlineStr">
        <is>
          <t>20602503039</t>
        </is>
      </c>
      <c r="D5224" t="inlineStr">
        <is>
          <t xml:space="preserve"> AV. MAQUINARIAS NRO. 2341 Z.I. INDUSTRIAL, LIMA</t>
        </is>
      </c>
      <c r="E5224" t="inlineStr">
        <is>
          <t>Lima, 04 de julio del 2026</t>
        </is>
      </c>
      <c r="F5224" t="inlineStr">
        <is>
          <t>la Recarga y mantenimiento</t>
        </is>
      </c>
      <c r="G5224" t="inlineStr">
        <is>
          <t>01</t>
        </is>
      </c>
      <c r="H5224" t="inlineStr">
        <is>
          <t>06 KG</t>
        </is>
      </c>
      <c r="I5224" t="inlineStr">
        <is>
          <t>2028</t>
        </is>
      </c>
      <c r="J5224" t="n">
        <v>2023</v>
      </c>
      <c r="K5224" t="inlineStr">
        <is>
          <t>JULIO 2026</t>
        </is>
      </c>
      <c r="L5224" t="inlineStr">
        <is>
          <t>JULIO 2027</t>
        </is>
      </c>
      <c r="M5224" t="inlineStr">
        <is>
          <t>P.Q.S TIPO ABC AL 90%</t>
        </is>
      </c>
      <c r="N5224" t="inlineStr">
        <is>
          <t>01/544865</t>
        </is>
      </c>
      <c r="O5224" t="inlineStr">
        <is>
          <t>M3</t>
        </is>
      </c>
      <c r="P5224">
        <f>TRIM(N5224)</f>
        <v/>
      </c>
    </row>
    <row r="5225">
      <c r="A5225" t="inlineStr">
        <is>
          <t>CO-002790</t>
        </is>
      </c>
      <c r="B5225" t="inlineStr">
        <is>
          <t xml:space="preserve">INDEXTU SAC </t>
        </is>
      </c>
      <c r="C5225" t="inlineStr">
        <is>
          <t>20602503039</t>
        </is>
      </c>
      <c r="D5225" t="inlineStr">
        <is>
          <t xml:space="preserve"> AV. MAQUINARIAS NRO. 2341 Z.I. INDUSTRIAL, LIMA</t>
        </is>
      </c>
      <c r="E5225" t="inlineStr">
        <is>
          <t>Lima, 04 de julio del 2026</t>
        </is>
      </c>
      <c r="F5225" t="inlineStr">
        <is>
          <t>la Recarga y mantenimiento</t>
        </is>
      </c>
      <c r="G5225" t="inlineStr">
        <is>
          <t>02</t>
        </is>
      </c>
      <c r="H5225" t="inlineStr">
        <is>
          <t>06 KG</t>
        </is>
      </c>
      <c r="I5225" t="inlineStr">
        <is>
          <t>2030</t>
        </is>
      </c>
      <c r="J5225" t="n">
        <v>2020</v>
      </c>
      <c r="K5225" t="inlineStr">
        <is>
          <t>JULIO 2025</t>
        </is>
      </c>
      <c r="L5225" t="inlineStr">
        <is>
          <t>JULIO 2026</t>
        </is>
      </c>
      <c r="M5225" t="inlineStr">
        <is>
          <t>P.Q.S TIPO ABC AL 90%</t>
        </is>
      </c>
      <c r="N5225" t="inlineStr">
        <is>
          <t>04/000277</t>
        </is>
      </c>
      <c r="O5225" t="inlineStr">
        <is>
          <t>R</t>
        </is>
      </c>
      <c r="P5225">
        <f>TRIM(N5225)</f>
        <v/>
      </c>
    </row>
    <row r="5226">
      <c r="A5226" t="inlineStr">
        <is>
          <t>CO-002790</t>
        </is>
      </c>
      <c r="B5226" t="inlineStr">
        <is>
          <t xml:space="preserve">INDEXTU SAC </t>
        </is>
      </c>
      <c r="C5226" t="inlineStr">
        <is>
          <t>20602503039</t>
        </is>
      </c>
      <c r="D5226" t="inlineStr">
        <is>
          <t xml:space="preserve"> AV. MAQUINARIAS NRO. 2341 Z.I. INDUSTRIAL, LIMA</t>
        </is>
      </c>
      <c r="E5226" t="inlineStr">
        <is>
          <t>Lima, 04 de julio del 2026</t>
        </is>
      </c>
      <c r="F5226" t="inlineStr">
        <is>
          <t>la Recarga y mantenimiento</t>
        </is>
      </c>
      <c r="G5226" t="inlineStr">
        <is>
          <t>03</t>
        </is>
      </c>
      <c r="H5226" t="inlineStr">
        <is>
          <t xml:space="preserve">50 KG </t>
        </is>
      </c>
      <c r="I5226" t="inlineStr">
        <is>
          <t>2030</t>
        </is>
      </c>
      <c r="J5226" t="n">
        <v>2020</v>
      </c>
      <c r="K5226" t="inlineStr">
        <is>
          <t>JULIO 2025</t>
        </is>
      </c>
      <c r="L5226" t="inlineStr">
        <is>
          <t>JULIO 2026</t>
        </is>
      </c>
      <c r="M5226" t="inlineStr">
        <is>
          <t>P.Q.S TIPO ABC AL 90%</t>
        </is>
      </c>
      <c r="N5226" t="inlineStr">
        <is>
          <t>05/000001</t>
        </is>
      </c>
      <c r="O5226" t="inlineStr">
        <is>
          <t>R</t>
        </is>
      </c>
      <c r="P5226">
        <f>TRIM(N5226)</f>
        <v/>
      </c>
    </row>
    <row r="5227">
      <c r="A5227" t="inlineStr">
        <is>
          <t>CO-002790</t>
        </is>
      </c>
      <c r="B5227" t="inlineStr">
        <is>
          <t xml:space="preserve">INDEXTU SAC </t>
        </is>
      </c>
      <c r="C5227" t="inlineStr">
        <is>
          <t>20602503039</t>
        </is>
      </c>
      <c r="D5227" t="inlineStr">
        <is>
          <t xml:space="preserve"> AV. MAQUINARIAS NRO. 2341 Z.I. INDUSTRIAL, LIMA</t>
        </is>
      </c>
      <c r="E5227" t="inlineStr">
        <is>
          <t>Lima, 04 de julio del 2026</t>
        </is>
      </c>
      <c r="F5227" t="inlineStr">
        <is>
          <t>la Recarga y mantenimiento</t>
        </is>
      </c>
      <c r="G5227" t="inlineStr">
        <is>
          <t>04</t>
        </is>
      </c>
      <c r="H5227" t="inlineStr">
        <is>
          <t>12 KG</t>
        </is>
      </c>
      <c r="I5227" t="inlineStr">
        <is>
          <t>2029</t>
        </is>
      </c>
      <c r="J5227" t="n">
        <v>2019</v>
      </c>
      <c r="K5227" t="inlineStr">
        <is>
          <t>JULIO 2025</t>
        </is>
      </c>
      <c r="L5227" t="inlineStr">
        <is>
          <t>JULIO 2026</t>
        </is>
      </c>
      <c r="M5227" t="inlineStr">
        <is>
          <t>P.Q.S TIPO ABC AL 90%</t>
        </is>
      </c>
      <c r="N5227" t="inlineStr">
        <is>
          <t>08/000197</t>
        </is>
      </c>
      <c r="O5227" t="inlineStr">
        <is>
          <t>M2</t>
        </is>
      </c>
      <c r="P5227">
        <f>TRIM(N5227)</f>
        <v/>
      </c>
    </row>
    <row r="5228">
      <c r="A5228" t="inlineStr">
        <is>
          <t>CO-002790</t>
        </is>
      </c>
      <c r="B5228" t="inlineStr">
        <is>
          <t xml:space="preserve">INDEXTU SAC </t>
        </is>
      </c>
      <c r="C5228" t="inlineStr">
        <is>
          <t>20602503039</t>
        </is>
      </c>
      <c r="D5228" t="inlineStr">
        <is>
          <t xml:space="preserve"> AV. MAQUINARIAS NRO. 2341 Z.I. INDUSTRIAL, LIMA</t>
        </is>
      </c>
      <c r="E5228" t="inlineStr">
        <is>
          <t>Lima, 04 de julio del 2026</t>
        </is>
      </c>
      <c r="F5228" t="inlineStr">
        <is>
          <t>la Recarga y mantenimiento</t>
        </is>
      </c>
      <c r="G5228" t="inlineStr">
        <is>
          <t>05</t>
        </is>
      </c>
      <c r="H5228" t="inlineStr">
        <is>
          <t>12 KG</t>
        </is>
      </c>
      <c r="I5228" t="inlineStr">
        <is>
          <t>2029</t>
        </is>
      </c>
      <c r="J5228" t="n">
        <v>2019</v>
      </c>
      <c r="K5228" t="inlineStr">
        <is>
          <t>JULIO 2025</t>
        </is>
      </c>
      <c r="L5228" t="inlineStr">
        <is>
          <t>JULIO 2026</t>
        </is>
      </c>
      <c r="M5228" t="inlineStr">
        <is>
          <t>P.Q.S TIPO ABC AL 90%</t>
        </is>
      </c>
      <c r="N5228" t="inlineStr">
        <is>
          <t>10/000195</t>
        </is>
      </c>
      <c r="O5228" t="inlineStr">
        <is>
          <t>M2</t>
        </is>
      </c>
      <c r="P5228">
        <f>TRIM(N5228)</f>
        <v/>
      </c>
    </row>
    <row r="5229">
      <c r="A5229" t="inlineStr">
        <is>
          <t>CO-002790</t>
        </is>
      </c>
      <c r="B5229" t="inlineStr">
        <is>
          <t xml:space="preserve">INDEXTU SAC </t>
        </is>
      </c>
      <c r="C5229" t="inlineStr">
        <is>
          <t>20602503039</t>
        </is>
      </c>
      <c r="D5229" t="inlineStr">
        <is>
          <t xml:space="preserve"> AV. MAQUINARIAS NRO. 2341 Z.I. INDUSTRIAL, LIMA</t>
        </is>
      </c>
      <c r="E5229" t="inlineStr">
        <is>
          <t>Lima, 04 de julio del 2026</t>
        </is>
      </c>
      <c r="F5229" t="inlineStr">
        <is>
          <t>la Recarga y mantenimiento</t>
        </is>
      </c>
      <c r="G5229" t="inlineStr">
        <is>
          <t>06</t>
        </is>
      </c>
      <c r="H5229" t="inlineStr">
        <is>
          <t>06 KG</t>
        </is>
      </c>
      <c r="I5229" t="inlineStr">
        <is>
          <t>2027</t>
        </is>
      </c>
      <c r="J5229" t="n">
        <v>2022</v>
      </c>
      <c r="K5229" t="inlineStr">
        <is>
          <t>JULIO 2025</t>
        </is>
      </c>
      <c r="L5229" t="inlineStr">
        <is>
          <t>JULIO 2026</t>
        </is>
      </c>
      <c r="M5229" t="inlineStr">
        <is>
          <t>P.Q.S TIPO ABC AL 90%</t>
        </is>
      </c>
      <c r="N5229" t="inlineStr">
        <is>
          <t>15/001170</t>
        </is>
      </c>
      <c r="O5229" t="inlineStr">
        <is>
          <t>M4</t>
        </is>
      </c>
      <c r="P5229">
        <f>TRIM(N5229)</f>
        <v/>
      </c>
    </row>
    <row r="5230">
      <c r="A5230" t="inlineStr">
        <is>
          <t>CO-002790</t>
        </is>
      </c>
      <c r="B5230" t="inlineStr">
        <is>
          <t xml:space="preserve">INDEXTU SAC </t>
        </is>
      </c>
      <c r="C5230" t="inlineStr">
        <is>
          <t>20602503039</t>
        </is>
      </c>
      <c r="D5230" t="inlineStr">
        <is>
          <t xml:space="preserve"> AV. MAQUINARIAS NRO. 2341 Z.I. INDUSTRIAL, LIMA</t>
        </is>
      </c>
      <c r="E5230" t="inlineStr">
        <is>
          <t>Lima, 04 de julio del 2026</t>
        </is>
      </c>
      <c r="F5230" t="inlineStr">
        <is>
          <t>la Recarga y mantenimiento</t>
        </is>
      </c>
      <c r="G5230" t="inlineStr">
        <is>
          <t>07</t>
        </is>
      </c>
      <c r="H5230" t="inlineStr">
        <is>
          <t>12 KG</t>
        </is>
      </c>
      <c r="I5230" t="inlineStr">
        <is>
          <t>2027</t>
        </is>
      </c>
      <c r="J5230" t="n">
        <v>2022</v>
      </c>
      <c r="K5230" t="inlineStr">
        <is>
          <t>JULIO 2025</t>
        </is>
      </c>
      <c r="L5230" t="inlineStr">
        <is>
          <t>JULIO 2026</t>
        </is>
      </c>
      <c r="M5230" t="inlineStr">
        <is>
          <t>P.Q.S TIPO ABC AL 90%</t>
        </is>
      </c>
      <c r="N5230" t="inlineStr">
        <is>
          <t>19/000494</t>
        </is>
      </c>
      <c r="O5230" t="inlineStr">
        <is>
          <t>M4</t>
        </is>
      </c>
      <c r="P5230">
        <f>TRIM(N5230)</f>
        <v/>
      </c>
    </row>
    <row r="5231">
      <c r="A5231" t="inlineStr">
        <is>
          <t>CO-002790</t>
        </is>
      </c>
      <c r="B5231" t="inlineStr">
        <is>
          <t xml:space="preserve">INDEXTU SAC </t>
        </is>
      </c>
      <c r="C5231" t="inlineStr">
        <is>
          <t>20602503039</t>
        </is>
      </c>
      <c r="D5231" t="inlineStr">
        <is>
          <t xml:space="preserve"> AV. MAQUINARIAS NRO. 2341 Z.I. INDUSTRIAL, LIMA</t>
        </is>
      </c>
      <c r="E5231" t="inlineStr">
        <is>
          <t>Lima, 04 de julio del 2026</t>
        </is>
      </c>
      <c r="F5231" t="inlineStr">
        <is>
          <t>la Recarga y mantenimiento</t>
        </is>
      </c>
      <c r="G5231" t="inlineStr">
        <is>
          <t>08</t>
        </is>
      </c>
      <c r="H5231" t="inlineStr">
        <is>
          <t>12 KG</t>
        </is>
      </c>
      <c r="I5231" t="inlineStr">
        <is>
          <t>2030</t>
        </is>
      </c>
      <c r="J5231" t="inlineStr">
        <is>
          <t>S/N</t>
        </is>
      </c>
      <c r="K5231" t="inlineStr">
        <is>
          <t>JULIO 2025</t>
        </is>
      </c>
      <c r="L5231" t="inlineStr">
        <is>
          <t>JULIO 2026</t>
        </is>
      </c>
      <c r="M5231" t="inlineStr">
        <is>
          <t>P.Q.S TIPO ABC AL 90%</t>
        </is>
      </c>
      <c r="N5231" t="inlineStr">
        <is>
          <t>21/S/N</t>
        </is>
      </c>
      <c r="O5231" t="inlineStr">
        <is>
          <t>R</t>
        </is>
      </c>
      <c r="P5231">
        <f>TRIM(N5231)</f>
        <v/>
      </c>
    </row>
    <row r="5232">
      <c r="A5232" t="inlineStr">
        <is>
          <t>CO-002790</t>
        </is>
      </c>
      <c r="B5232" t="inlineStr">
        <is>
          <t xml:space="preserve">INDEXTU SAC </t>
        </is>
      </c>
      <c r="C5232" t="inlineStr">
        <is>
          <t>20602503039</t>
        </is>
      </c>
      <c r="D5232" t="inlineStr">
        <is>
          <t xml:space="preserve"> AV. MAQUINARIAS NRO. 2341 Z.I. INDUSTRIAL, LIMA</t>
        </is>
      </c>
      <c r="E5232" t="inlineStr">
        <is>
          <t>Lima, 04 de julio del 2026</t>
        </is>
      </c>
      <c r="F5232" t="inlineStr">
        <is>
          <t>la Recarga y mantenimiento</t>
        </is>
      </c>
      <c r="G5232" t="inlineStr">
        <is>
          <t>09</t>
        </is>
      </c>
      <c r="H5232" t="inlineStr">
        <is>
          <t>12 KG</t>
        </is>
      </c>
      <c r="I5232" t="inlineStr">
        <is>
          <t>2030</t>
        </is>
      </c>
      <c r="J5232" t="n">
        <v>2020</v>
      </c>
      <c r="K5232" t="inlineStr">
        <is>
          <t>JULIO 2025</t>
        </is>
      </c>
      <c r="L5232" t="inlineStr">
        <is>
          <t>JULIO 2026</t>
        </is>
      </c>
      <c r="M5232" t="inlineStr">
        <is>
          <t>P.Q.S TIPO ABC AL 90%</t>
        </is>
      </c>
      <c r="N5232" t="inlineStr">
        <is>
          <t>22/000004</t>
        </is>
      </c>
      <c r="O5232" t="inlineStr">
        <is>
          <t>R</t>
        </is>
      </c>
      <c r="P5232">
        <f>TRIM(N5232)</f>
        <v/>
      </c>
    </row>
    <row r="5233">
      <c r="A5233" t="inlineStr">
        <is>
          <t>CO-002790</t>
        </is>
      </c>
      <c r="B5233" t="inlineStr">
        <is>
          <t xml:space="preserve">INDEXTU SAC </t>
        </is>
      </c>
      <c r="C5233" t="inlineStr">
        <is>
          <t>20602503039</t>
        </is>
      </c>
      <c r="D5233" t="inlineStr">
        <is>
          <t xml:space="preserve"> AV. MAQUINARIAS NRO. 2341 Z.I. INDUSTRIAL, LIMA</t>
        </is>
      </c>
      <c r="E5233" t="inlineStr">
        <is>
          <t>Lima, 04 de julio del 2026</t>
        </is>
      </c>
      <c r="F5233" t="inlineStr">
        <is>
          <t>la Recarga y mantenimiento</t>
        </is>
      </c>
      <c r="G5233" t="n">
        <v>10</v>
      </c>
      <c r="H5233" t="inlineStr">
        <is>
          <t xml:space="preserve">06 KG </t>
        </is>
      </c>
      <c r="I5233" t="inlineStr">
        <is>
          <t>2029</t>
        </is>
      </c>
      <c r="J5233" t="n">
        <v>2018</v>
      </c>
      <c r="K5233" t="inlineStr">
        <is>
          <t>JULIO 2025</t>
        </is>
      </c>
      <c r="L5233" t="inlineStr">
        <is>
          <t>JULIO 2026</t>
        </is>
      </c>
      <c r="M5233" t="inlineStr">
        <is>
          <t>P.Q.S TIPO ABC AL 90%</t>
        </is>
      </c>
      <c r="N5233" t="inlineStr">
        <is>
          <t>24/000665</t>
        </is>
      </c>
      <c r="O5233" t="inlineStr">
        <is>
          <t>M2</t>
        </is>
      </c>
      <c r="P5233">
        <f>TRIM(N5233)</f>
        <v/>
      </c>
    </row>
    <row r="5234">
      <c r="A5234" t="inlineStr">
        <is>
          <t>CO-002791</t>
        </is>
      </c>
      <c r="B5234" t="inlineStr">
        <is>
          <t xml:space="preserve">INDEXTU SAC </t>
        </is>
      </c>
      <c r="C5234" t="inlineStr">
        <is>
          <t>20602503039</t>
        </is>
      </c>
      <c r="D5234" t="inlineStr">
        <is>
          <t xml:space="preserve"> AV. MAQUINARIAS NRO. 2341 Z.I. INDUSTRIAL, LIMA</t>
        </is>
      </c>
      <c r="E5234" t="inlineStr">
        <is>
          <t>Lima, 04 de julio del 2026</t>
        </is>
      </c>
      <c r="F5234" t="inlineStr">
        <is>
          <t>la Recarga y mantenimiento</t>
        </is>
      </c>
      <c r="G5234" t="inlineStr">
        <is>
          <t>01</t>
        </is>
      </c>
      <c r="H5234" t="inlineStr">
        <is>
          <t xml:space="preserve">06 KG </t>
        </is>
      </c>
      <c r="I5234" t="inlineStr">
        <is>
          <t>2029</t>
        </is>
      </c>
      <c r="J5234" t="n">
        <v>2019</v>
      </c>
      <c r="K5234" t="inlineStr">
        <is>
          <t>JULIO 2026</t>
        </is>
      </c>
      <c r="L5234" t="inlineStr">
        <is>
          <t>JULIO 2027</t>
        </is>
      </c>
      <c r="M5234" t="inlineStr">
        <is>
          <t>P.Q.S TIPO ABC AL 90%</t>
        </is>
      </c>
      <c r="N5234" t="inlineStr">
        <is>
          <t>26/000127</t>
        </is>
      </c>
      <c r="O5234" t="inlineStr">
        <is>
          <t>M2</t>
        </is>
      </c>
      <c r="P5234">
        <f>TRIM(N5234)</f>
        <v/>
      </c>
    </row>
    <row r="5235">
      <c r="A5235" t="inlineStr">
        <is>
          <t>CO-002791</t>
        </is>
      </c>
      <c r="B5235" t="inlineStr">
        <is>
          <t xml:space="preserve">INDEXTU SAC </t>
        </is>
      </c>
      <c r="C5235" t="inlineStr">
        <is>
          <t>20602503039</t>
        </is>
      </c>
      <c r="D5235" t="inlineStr">
        <is>
          <t xml:space="preserve"> AV. MAQUINARIAS NRO. 2341 Z.I. INDUSTRIAL, LIMA</t>
        </is>
      </c>
      <c r="E5235" t="inlineStr">
        <is>
          <t>Lima, 04 de julio del 2026</t>
        </is>
      </c>
      <c r="F5235" t="inlineStr">
        <is>
          <t>la Recarga y mantenimiento</t>
        </is>
      </c>
      <c r="G5235" t="n">
        <v>2</v>
      </c>
      <c r="H5235" t="inlineStr">
        <is>
          <t xml:space="preserve">06 KG </t>
        </is>
      </c>
      <c r="I5235" t="inlineStr">
        <is>
          <t>2028</t>
        </is>
      </c>
      <c r="J5235" t="n">
        <v>2023</v>
      </c>
      <c r="K5235" t="inlineStr">
        <is>
          <t>JULIO 2025</t>
        </is>
      </c>
      <c r="L5235" t="inlineStr">
        <is>
          <t>JULIO 2026</t>
        </is>
      </c>
      <c r="M5235" t="inlineStr">
        <is>
          <t>P.Q.S TIPO ABC AL 90%</t>
        </is>
      </c>
      <c r="N5235" t="inlineStr">
        <is>
          <t>27/544829</t>
        </is>
      </c>
      <c r="O5235" t="inlineStr">
        <is>
          <t>M3</t>
        </is>
      </c>
      <c r="P5235">
        <f>TRIM(N5235)</f>
        <v/>
      </c>
    </row>
    <row r="5236">
      <c r="A5236" t="inlineStr">
        <is>
          <t>CO-002791</t>
        </is>
      </c>
      <c r="B5236" t="inlineStr">
        <is>
          <t xml:space="preserve">INDEXTU SAC </t>
        </is>
      </c>
      <c r="C5236" t="inlineStr">
        <is>
          <t>20602503039</t>
        </is>
      </c>
      <c r="D5236" t="inlineStr">
        <is>
          <t xml:space="preserve"> AV. MAQUINARIAS NRO. 2341 Z.I. INDUSTRIAL, LIMA</t>
        </is>
      </c>
      <c r="E5236" t="inlineStr">
        <is>
          <t>Lima, 04 de julio del 2026</t>
        </is>
      </c>
      <c r="F5236" t="inlineStr">
        <is>
          <t>la Recarga y mantenimiento</t>
        </is>
      </c>
      <c r="G5236" t="n">
        <v>3</v>
      </c>
      <c r="H5236" t="inlineStr">
        <is>
          <t xml:space="preserve">06 KG </t>
        </is>
      </c>
      <c r="I5236" t="inlineStr">
        <is>
          <t>2028</t>
        </is>
      </c>
      <c r="J5236" t="n">
        <v>2023</v>
      </c>
      <c r="K5236" t="inlineStr">
        <is>
          <t>JULIO 2025</t>
        </is>
      </c>
      <c r="L5236" t="inlineStr">
        <is>
          <t>JULIO 2026</t>
        </is>
      </c>
      <c r="M5236" t="inlineStr">
        <is>
          <t>P.Q.S TIPO ABC AL 90%</t>
        </is>
      </c>
      <c r="N5236" t="inlineStr">
        <is>
          <t>28/544853</t>
        </is>
      </c>
      <c r="O5236" t="inlineStr">
        <is>
          <t>M3</t>
        </is>
      </c>
      <c r="P5236">
        <f>TRIM(N5236)</f>
        <v/>
      </c>
    </row>
    <row r="5237">
      <c r="A5237" t="inlineStr">
        <is>
          <t>CO-002791</t>
        </is>
      </c>
      <c r="B5237" t="inlineStr">
        <is>
          <t xml:space="preserve">INDEXTU SAC </t>
        </is>
      </c>
      <c r="C5237" t="inlineStr">
        <is>
          <t>20602503039</t>
        </is>
      </c>
      <c r="D5237" t="inlineStr">
        <is>
          <t xml:space="preserve"> AV. MAQUINARIAS NRO. 2341 Z.I. INDUSTRIAL, LIMA</t>
        </is>
      </c>
      <c r="E5237" t="inlineStr">
        <is>
          <t>Lima, 04 de julio del 2026</t>
        </is>
      </c>
      <c r="F5237" t="inlineStr">
        <is>
          <t>la Recarga y mantenimiento</t>
        </is>
      </c>
      <c r="G5237" t="n">
        <v>4</v>
      </c>
      <c r="H5237" t="inlineStr">
        <is>
          <t>10 LBS</t>
        </is>
      </c>
      <c r="I5237" t="inlineStr">
        <is>
          <t>2026</t>
        </is>
      </c>
      <c r="J5237" t="n">
        <v>2016</v>
      </c>
      <c r="K5237" t="inlineStr">
        <is>
          <t>JULIO 2025</t>
        </is>
      </c>
      <c r="L5237" t="inlineStr">
        <is>
          <t>JULIO 2026</t>
        </is>
      </c>
      <c r="M5237" t="inlineStr">
        <is>
          <t xml:space="preserve">CO2 TIPO BC UL </t>
        </is>
      </c>
      <c r="N5237" t="inlineStr">
        <is>
          <t>03/310347</t>
        </is>
      </c>
      <c r="O5237" t="inlineStr">
        <is>
          <t>R</t>
        </is>
      </c>
      <c r="P5237">
        <f>TRIM(N5237)</f>
        <v/>
      </c>
    </row>
    <row r="5238">
      <c r="A5238" t="inlineStr">
        <is>
          <t>CO-002791</t>
        </is>
      </c>
      <c r="B5238" t="inlineStr">
        <is>
          <t xml:space="preserve">INDEXTU SAC </t>
        </is>
      </c>
      <c r="C5238" t="inlineStr">
        <is>
          <t>20602503039</t>
        </is>
      </c>
      <c r="D5238" t="inlineStr">
        <is>
          <t xml:space="preserve"> AV. MAQUINARIAS NRO. 2341 Z.I. INDUSTRIAL, LIMA</t>
        </is>
      </c>
      <c r="E5238" t="inlineStr">
        <is>
          <t>Lima, 04 de julio del 2026</t>
        </is>
      </c>
      <c r="F5238" t="inlineStr">
        <is>
          <t>la Recarga y mantenimiento</t>
        </is>
      </c>
      <c r="G5238" t="n">
        <v>5</v>
      </c>
      <c r="H5238" t="inlineStr">
        <is>
          <t>10 LBS</t>
        </is>
      </c>
      <c r="I5238" t="inlineStr">
        <is>
          <t>2026</t>
        </is>
      </c>
      <c r="J5238" t="n">
        <v>2016</v>
      </c>
      <c r="K5238" t="inlineStr">
        <is>
          <t>JULIO 2025</t>
        </is>
      </c>
      <c r="L5238" t="inlineStr">
        <is>
          <t>JULIO 2026</t>
        </is>
      </c>
      <c r="M5238" t="inlineStr">
        <is>
          <t xml:space="preserve">CO2 TIPO BC UL </t>
        </is>
      </c>
      <c r="N5238" t="inlineStr">
        <is>
          <t>25/310134</t>
        </is>
      </c>
      <c r="O5238" t="inlineStr">
        <is>
          <t>R</t>
        </is>
      </c>
      <c r="P5238">
        <f>TRIM(N5238)</f>
        <v/>
      </c>
    </row>
    <row r="5239">
      <c r="A5239" t="inlineStr">
        <is>
          <t>CO-002792</t>
        </is>
      </c>
      <c r="B5239" t="inlineStr">
        <is>
          <t>ECONOCABLE S.A.C.</t>
        </is>
      </c>
      <c r="C5239" t="n">
        <v>20526919077</v>
      </c>
      <c r="D5239" t="inlineStr">
        <is>
          <t>FILIAL QUILLABAMBA</t>
        </is>
      </c>
      <c r="E5239" t="inlineStr">
        <is>
          <t>Lima, 06 de julio del 2026</t>
        </is>
      </c>
      <c r="F5239" t="inlineStr">
        <is>
          <t>la Recarga y mantenimiento</t>
        </is>
      </c>
      <c r="G5239" t="inlineStr">
        <is>
          <t>01</t>
        </is>
      </c>
      <c r="H5239" t="inlineStr">
        <is>
          <t>10 LBS</t>
        </is>
      </c>
      <c r="I5239" t="n">
        <v>2030</v>
      </c>
      <c r="J5239" t="n">
        <v>2025</v>
      </c>
      <c r="K5239" t="inlineStr">
        <is>
          <t>JULIO 2026</t>
        </is>
      </c>
      <c r="L5239" t="inlineStr">
        <is>
          <t>JULIO 2027</t>
        </is>
      </c>
      <c r="M5239" t="inlineStr">
        <is>
          <t xml:space="preserve">CO2 TIPO BC </t>
        </is>
      </c>
      <c r="N5239" t="inlineStr">
        <is>
          <t>000168</t>
        </is>
      </c>
      <c r="O5239" t="inlineStr">
        <is>
          <t>V</t>
        </is>
      </c>
      <c r="P5239">
        <f>TRIM(N5239)</f>
        <v/>
      </c>
    </row>
    <row r="5240">
      <c r="A5240" t="inlineStr">
        <is>
          <t>CO-002792</t>
        </is>
      </c>
      <c r="B5240" t="inlineStr">
        <is>
          <t>ECONOCABLE S.A.C.</t>
        </is>
      </c>
      <c r="C5240" t="n">
        <v>20526919077</v>
      </c>
      <c r="D5240" t="inlineStr">
        <is>
          <t>FILIAL QUILLABAMBA</t>
        </is>
      </c>
      <c r="E5240" t="inlineStr">
        <is>
          <t>Lima, 06 de julio del 2026</t>
        </is>
      </c>
      <c r="F5240" t="inlineStr">
        <is>
          <t>la Recarga y mantenimiento</t>
        </is>
      </c>
      <c r="G5240" t="inlineStr">
        <is>
          <t>02</t>
        </is>
      </c>
      <c r="H5240" t="inlineStr">
        <is>
          <t>10 LBS</t>
        </is>
      </c>
      <c r="I5240" t="n">
        <v>2030</v>
      </c>
      <c r="J5240" t="n">
        <v>2025</v>
      </c>
      <c r="K5240" t="inlineStr">
        <is>
          <t>JULIO 2026</t>
        </is>
      </c>
      <c r="L5240" t="inlineStr">
        <is>
          <t>JULIO 2027</t>
        </is>
      </c>
      <c r="M5240" t="inlineStr">
        <is>
          <t xml:space="preserve">CO2 TIPO BC </t>
        </is>
      </c>
      <c r="N5240" t="inlineStr">
        <is>
          <t>000153</t>
        </is>
      </c>
      <c r="O5240" t="inlineStr">
        <is>
          <t>V</t>
        </is>
      </c>
      <c r="P5240">
        <f>TRIM(N5240)</f>
        <v/>
      </c>
    </row>
    <row r="5241">
      <c r="A5241" t="inlineStr">
        <is>
          <t>CO-002792</t>
        </is>
      </c>
      <c r="B5241" t="inlineStr">
        <is>
          <t>ECONOCABLE S.A.C.</t>
        </is>
      </c>
      <c r="C5241" t="n">
        <v>20526919077</v>
      </c>
      <c r="D5241" t="inlineStr">
        <is>
          <t>FILIAL QUILLABAMBA</t>
        </is>
      </c>
      <c r="E5241" t="inlineStr">
        <is>
          <t>Lima, 06 de julio del 2026</t>
        </is>
      </c>
      <c r="F5241" t="inlineStr">
        <is>
          <t>la Recarga y mantenimiento</t>
        </is>
      </c>
      <c r="G5241" t="inlineStr">
        <is>
          <t>03</t>
        </is>
      </c>
      <c r="H5241" t="inlineStr">
        <is>
          <t>05 LBS</t>
        </is>
      </c>
      <c r="I5241" t="n">
        <v>2031</v>
      </c>
      <c r="J5241" t="n">
        <v>2026</v>
      </c>
      <c r="K5241" t="inlineStr">
        <is>
          <t>JULIO 2026</t>
        </is>
      </c>
      <c r="L5241" t="inlineStr">
        <is>
          <t>JULIO 2027</t>
        </is>
      </c>
      <c r="M5241" t="inlineStr">
        <is>
          <t xml:space="preserve">CO2 TIPO BC </t>
        </is>
      </c>
      <c r="N5241" t="inlineStr">
        <is>
          <t>000563</t>
        </is>
      </c>
      <c r="O5241" t="inlineStr">
        <is>
          <t>V</t>
        </is>
      </c>
      <c r="P5241">
        <f>TRIM(N5241)</f>
        <v/>
      </c>
    </row>
    <row r="5242">
      <c r="A5242" t="inlineStr">
        <is>
          <t>CO-002792</t>
        </is>
      </c>
      <c r="B5242" t="inlineStr">
        <is>
          <t>ECONOCABLE S.A.C.</t>
        </is>
      </c>
      <c r="C5242" t="n">
        <v>20526919077</v>
      </c>
      <c r="D5242" t="inlineStr">
        <is>
          <t>FILIAL QUILLABAMBA</t>
        </is>
      </c>
      <c r="E5242" t="inlineStr">
        <is>
          <t>Lima, 06 de julio del 2026</t>
        </is>
      </c>
      <c r="F5242" t="inlineStr">
        <is>
          <t>la Recarga y mantenimiento</t>
        </is>
      </c>
      <c r="G5242" t="inlineStr">
        <is>
          <t>04</t>
        </is>
      </c>
      <c r="H5242" t="inlineStr">
        <is>
          <t>05 LBS</t>
        </is>
      </c>
      <c r="I5242" t="n">
        <v>2031</v>
      </c>
      <c r="J5242" t="n">
        <v>2026</v>
      </c>
      <c r="K5242" t="inlineStr">
        <is>
          <t>JULIO 2026</t>
        </is>
      </c>
      <c r="L5242" t="inlineStr">
        <is>
          <t>JULIO 2027</t>
        </is>
      </c>
      <c r="M5242" t="inlineStr">
        <is>
          <t xml:space="preserve">CO2 TIPO BC </t>
        </is>
      </c>
      <c r="N5242" t="inlineStr">
        <is>
          <t>000547</t>
        </is>
      </c>
      <c r="O5242" t="inlineStr">
        <is>
          <t>V</t>
        </is>
      </c>
      <c r="P5242">
        <f>TRIM(N5242)</f>
        <v/>
      </c>
    </row>
    <row r="5243">
      <c r="A5243" t="inlineStr">
        <is>
          <t>CO-002792</t>
        </is>
      </c>
      <c r="B5243" t="inlineStr">
        <is>
          <t>ECONOCABLE S.A.C.</t>
        </is>
      </c>
      <c r="C5243" t="n">
        <v>20526919077</v>
      </c>
      <c r="D5243" t="inlineStr">
        <is>
          <t>FILIAL QUILLABAMBA</t>
        </is>
      </c>
      <c r="E5243" t="inlineStr">
        <is>
          <t>Lima, 06 de julio del 2026</t>
        </is>
      </c>
      <c r="F5243" t="inlineStr">
        <is>
          <t>la Recarga y mantenimiento</t>
        </is>
      </c>
      <c r="G5243" t="inlineStr">
        <is>
          <t>05</t>
        </is>
      </c>
      <c r="H5243" t="inlineStr">
        <is>
          <t>05 LBS</t>
        </is>
      </c>
      <c r="I5243" t="n">
        <v>2031</v>
      </c>
      <c r="J5243" t="n">
        <v>2026</v>
      </c>
      <c r="K5243" t="inlineStr">
        <is>
          <t>JULIO 2026</t>
        </is>
      </c>
      <c r="L5243" t="inlineStr">
        <is>
          <t>JULIO 2027</t>
        </is>
      </c>
      <c r="M5243" t="inlineStr">
        <is>
          <t xml:space="preserve">CO2 TIPO BC </t>
        </is>
      </c>
      <c r="N5243" t="inlineStr">
        <is>
          <t>000116</t>
        </is>
      </c>
      <c r="O5243" t="inlineStr">
        <is>
          <t>V</t>
        </is>
      </c>
      <c r="P5243">
        <f>TRIM(N5243)</f>
        <v/>
      </c>
    </row>
    <row r="5244">
      <c r="A5244" t="inlineStr">
        <is>
          <t>CO-002793</t>
        </is>
      </c>
      <c r="B5244" t="inlineStr">
        <is>
          <t>GLOBAL CABLE S.A.C.</t>
        </is>
      </c>
      <c r="C5244" t="n">
        <v>20511784833</v>
      </c>
      <c r="D5244" t="inlineStr">
        <is>
          <t>FILIAL TACNA</t>
        </is>
      </c>
      <c r="E5244" t="inlineStr">
        <is>
          <t>Lima, 06 de julio del 2026</t>
        </is>
      </c>
      <c r="F5244" t="inlineStr">
        <is>
          <t>la Recarga y mantenimiento</t>
        </is>
      </c>
      <c r="G5244" t="inlineStr">
        <is>
          <t>01</t>
        </is>
      </c>
      <c r="H5244" t="inlineStr">
        <is>
          <t>05 LBS</t>
        </is>
      </c>
      <c r="I5244" t="n">
        <v>2031</v>
      </c>
      <c r="J5244" t="n">
        <v>2026</v>
      </c>
      <c r="K5244" t="inlineStr">
        <is>
          <t>JULIO 2026</t>
        </is>
      </c>
      <c r="L5244" t="inlineStr">
        <is>
          <t>JULIO 2027</t>
        </is>
      </c>
      <c r="M5244" t="inlineStr">
        <is>
          <t xml:space="preserve">CO2 TIPO BC </t>
        </is>
      </c>
      <c r="N5244" t="inlineStr">
        <is>
          <t>000596</t>
        </is>
      </c>
      <c r="O5244" t="inlineStr">
        <is>
          <t>V</t>
        </is>
      </c>
      <c r="P5244">
        <f>TRIM(N5244)</f>
        <v/>
      </c>
    </row>
    <row r="5245">
      <c r="A5245" t="inlineStr">
        <is>
          <t>CO-002793</t>
        </is>
      </c>
      <c r="B5245" t="inlineStr">
        <is>
          <t>GLOBAL CABLE S.A.C.</t>
        </is>
      </c>
      <c r="C5245" t="n">
        <v>20511784833</v>
      </c>
      <c r="D5245" t="inlineStr">
        <is>
          <t>FILIAL TACNA</t>
        </is>
      </c>
      <c r="E5245" t="inlineStr">
        <is>
          <t>Lima, 06 de julio del 2026</t>
        </is>
      </c>
      <c r="F5245" t="inlineStr">
        <is>
          <t>la Recarga y mantenimiento</t>
        </is>
      </c>
      <c r="G5245" t="inlineStr">
        <is>
          <t>02</t>
        </is>
      </c>
      <c r="H5245" t="inlineStr">
        <is>
          <t>05 LBS</t>
        </is>
      </c>
      <c r="I5245" t="n">
        <v>2031</v>
      </c>
      <c r="J5245" t="n">
        <v>2026</v>
      </c>
      <c r="K5245" t="inlineStr">
        <is>
          <t>JULIO 2026</t>
        </is>
      </c>
      <c r="L5245" t="inlineStr">
        <is>
          <t>JULIO 2027</t>
        </is>
      </c>
      <c r="M5245" t="inlineStr">
        <is>
          <t xml:space="preserve">CO2 TIPO BC </t>
        </is>
      </c>
      <c r="N5245" t="inlineStr">
        <is>
          <t>000599</t>
        </is>
      </c>
      <c r="O5245" t="inlineStr">
        <is>
          <t>V</t>
        </is>
      </c>
      <c r="P5245">
        <f>TRIM(N5245)</f>
        <v/>
      </c>
    </row>
    <row r="5246">
      <c r="A5246" t="inlineStr">
        <is>
          <t>CO-002794</t>
        </is>
      </c>
      <c r="B5246" t="inlineStr">
        <is>
          <t>VOZ Y TELEVISION SOCIEDAD ANONIMA CERRADA</t>
        </is>
      </c>
      <c r="C5246" t="n">
        <v>20513281758</v>
      </c>
      <c r="D5246" t="inlineStr">
        <is>
          <t>FILIAL BARRANCA</t>
        </is>
      </c>
      <c r="E5246" t="inlineStr">
        <is>
          <t>Lima, 06 de julio del 2026</t>
        </is>
      </c>
      <c r="F5246" t="inlineStr">
        <is>
          <t>la Recarga y mantenimiento</t>
        </is>
      </c>
      <c r="G5246" t="inlineStr">
        <is>
          <t>01</t>
        </is>
      </c>
      <c r="H5246" t="inlineStr">
        <is>
          <t>05 LBS</t>
        </is>
      </c>
      <c r="I5246" t="n">
        <v>2030</v>
      </c>
      <c r="J5246" t="n">
        <v>2025</v>
      </c>
      <c r="K5246" t="inlineStr">
        <is>
          <t>JULIO 2026</t>
        </is>
      </c>
      <c r="L5246" t="inlineStr">
        <is>
          <t>JULIO 2027</t>
        </is>
      </c>
      <c r="M5246" t="inlineStr">
        <is>
          <t xml:space="preserve">CO2 TIPO BC </t>
        </is>
      </c>
      <c r="N5246" t="inlineStr">
        <is>
          <t>000672</t>
        </is>
      </c>
      <c r="O5246" t="inlineStr">
        <is>
          <t>V</t>
        </is>
      </c>
      <c r="P5246">
        <f>TRIM(N5246)</f>
        <v/>
      </c>
    </row>
    <row r="5247">
      <c r="A5247" t="inlineStr">
        <is>
          <t>CO-002794</t>
        </is>
      </c>
      <c r="B5247" t="inlineStr">
        <is>
          <t>VOZ Y TELEVISION SOCIEDAD ANONIMA CERRADA</t>
        </is>
      </c>
      <c r="C5247" t="n">
        <v>20513281758</v>
      </c>
      <c r="D5247" t="inlineStr">
        <is>
          <t>FILIAL BARRANCA</t>
        </is>
      </c>
      <c r="E5247" t="inlineStr">
        <is>
          <t>Lima, 06 de julio del 2026</t>
        </is>
      </c>
      <c r="F5247" t="inlineStr">
        <is>
          <t>la Recarga y mantenimiento</t>
        </is>
      </c>
      <c r="G5247" t="inlineStr">
        <is>
          <t>02</t>
        </is>
      </c>
      <c r="H5247" t="inlineStr">
        <is>
          <t>05 LBS</t>
        </is>
      </c>
      <c r="I5247" t="n">
        <v>2031</v>
      </c>
      <c r="J5247" t="n">
        <v>2026</v>
      </c>
      <c r="K5247" t="inlineStr">
        <is>
          <t>JULIO 2026</t>
        </is>
      </c>
      <c r="L5247" t="inlineStr">
        <is>
          <t>JULIO 2027</t>
        </is>
      </c>
      <c r="M5247" t="inlineStr">
        <is>
          <t xml:space="preserve">CO2 TIPO BC </t>
        </is>
      </c>
      <c r="N5247" t="inlineStr">
        <is>
          <t>000061</t>
        </is>
      </c>
      <c r="O5247" t="inlineStr">
        <is>
          <t>V</t>
        </is>
      </c>
      <c r="P5247">
        <f>TRIM(N5247)</f>
        <v/>
      </c>
    </row>
    <row r="5248">
      <c r="A5248" t="inlineStr">
        <is>
          <t>CO-002794</t>
        </is>
      </c>
      <c r="B5248" t="inlineStr">
        <is>
          <t>VOZ Y TELEVISION SOCIEDAD ANONIMA CERRADA</t>
        </is>
      </c>
      <c r="C5248" t="n">
        <v>20513281758</v>
      </c>
      <c r="D5248" t="inlineStr">
        <is>
          <t>FILIAL BARRANCA</t>
        </is>
      </c>
      <c r="E5248" t="inlineStr">
        <is>
          <t>Lima, 06 de julio del 2026</t>
        </is>
      </c>
      <c r="F5248" t="inlineStr">
        <is>
          <t>la Recarga y mantenimiento</t>
        </is>
      </c>
      <c r="G5248" t="inlineStr">
        <is>
          <t>03</t>
        </is>
      </c>
      <c r="H5248" t="inlineStr">
        <is>
          <t>05 LBS</t>
        </is>
      </c>
      <c r="I5248" t="n">
        <v>2031</v>
      </c>
      <c r="J5248" t="n">
        <v>2026</v>
      </c>
      <c r="K5248" t="inlineStr">
        <is>
          <t>JULIO 2026</t>
        </is>
      </c>
      <c r="L5248" t="inlineStr">
        <is>
          <t>JULIO 2027</t>
        </is>
      </c>
      <c r="M5248" t="inlineStr">
        <is>
          <t xml:space="preserve">CO2 TIPO BC </t>
        </is>
      </c>
      <c r="N5248" t="inlineStr">
        <is>
          <t>000036</t>
        </is>
      </c>
      <c r="O5248" t="inlineStr">
        <is>
          <t>V</t>
        </is>
      </c>
      <c r="P5248">
        <f>TRIM(N5248)</f>
        <v/>
      </c>
    </row>
    <row r="5249">
      <c r="A5249" t="inlineStr">
        <is>
          <t>CO-002795</t>
        </is>
      </c>
      <c r="B5249" t="inlineStr">
        <is>
          <t>ECONOCABLE S.A.C.</t>
        </is>
      </c>
      <c r="C5249" t="n">
        <v>20526919077</v>
      </c>
      <c r="D5249" t="inlineStr">
        <is>
          <t>FILIAL PUERTO MALDONADO</t>
        </is>
      </c>
      <c r="E5249" t="inlineStr">
        <is>
          <t>Lima, 06 de julio del 2026</t>
        </is>
      </c>
      <c r="F5249" t="inlineStr">
        <is>
          <t>la Recarga y mantenimiento</t>
        </is>
      </c>
      <c r="G5249" t="inlineStr">
        <is>
          <t>01</t>
        </is>
      </c>
      <c r="H5249" t="inlineStr">
        <is>
          <t>05 LBS</t>
        </is>
      </c>
      <c r="I5249" t="n">
        <v>2030</v>
      </c>
      <c r="J5249" t="n">
        <v>2025</v>
      </c>
      <c r="K5249" t="inlineStr">
        <is>
          <t>JULIO 2026</t>
        </is>
      </c>
      <c r="L5249" t="inlineStr">
        <is>
          <t>JULIO 2027</t>
        </is>
      </c>
      <c r="M5249" t="inlineStr">
        <is>
          <t xml:space="preserve">CO2 TIPO BC </t>
        </is>
      </c>
      <c r="N5249" t="inlineStr">
        <is>
          <t>000597</t>
        </is>
      </c>
      <c r="O5249" t="inlineStr">
        <is>
          <t>V</t>
        </is>
      </c>
      <c r="P5249">
        <f>TRIM(N5249)</f>
        <v/>
      </c>
    </row>
    <row r="5250">
      <c r="A5250" t="inlineStr">
        <is>
          <t>CO-002795</t>
        </is>
      </c>
      <c r="B5250" t="inlineStr">
        <is>
          <t>ECONOCABLE S.A.C.</t>
        </is>
      </c>
      <c r="C5250" t="n">
        <v>20526919077</v>
      </c>
      <c r="D5250" t="inlineStr">
        <is>
          <t>FILIAL PUERTO MALDONADO</t>
        </is>
      </c>
      <c r="E5250" t="inlineStr">
        <is>
          <t>Lima, 06 de julio del 2026</t>
        </is>
      </c>
      <c r="F5250" t="inlineStr">
        <is>
          <t>la Recarga y mantenimiento</t>
        </is>
      </c>
      <c r="G5250" t="inlineStr">
        <is>
          <t>02</t>
        </is>
      </c>
      <c r="H5250" t="inlineStr">
        <is>
          <t>05 LBS</t>
        </is>
      </c>
      <c r="I5250" t="n">
        <v>2031</v>
      </c>
      <c r="J5250" t="n">
        <v>2026</v>
      </c>
      <c r="K5250" t="inlineStr">
        <is>
          <t>JULIO 2026</t>
        </is>
      </c>
      <c r="L5250" t="inlineStr">
        <is>
          <t>JULIO 2027</t>
        </is>
      </c>
      <c r="M5250" t="inlineStr">
        <is>
          <t xml:space="preserve">CO2 TIPO BC </t>
        </is>
      </c>
      <c r="N5250" t="inlineStr">
        <is>
          <t>000101</t>
        </is>
      </c>
      <c r="O5250" t="inlineStr">
        <is>
          <t>V</t>
        </is>
      </c>
      <c r="P5250">
        <f>TRIM(N5250)</f>
        <v/>
      </c>
    </row>
    <row r="5251">
      <c r="A5251" t="inlineStr">
        <is>
          <t>CO-002795</t>
        </is>
      </c>
      <c r="B5251" t="inlineStr">
        <is>
          <t>ECONOCABLE S.A.C.</t>
        </is>
      </c>
      <c r="C5251" t="n">
        <v>20526919077</v>
      </c>
      <c r="D5251" t="inlineStr">
        <is>
          <t>FILIAL PUERTO MALDONADO</t>
        </is>
      </c>
      <c r="E5251" t="inlineStr">
        <is>
          <t>Lima, 06 de julio del 2026</t>
        </is>
      </c>
      <c r="F5251" t="inlineStr">
        <is>
          <t>la Recarga y mantenimiento</t>
        </is>
      </c>
      <c r="G5251" t="inlineStr">
        <is>
          <t>03</t>
        </is>
      </c>
      <c r="H5251" t="inlineStr">
        <is>
          <t>05 LBS</t>
        </is>
      </c>
      <c r="I5251" t="n">
        <v>2031</v>
      </c>
      <c r="J5251" t="n">
        <v>2026</v>
      </c>
      <c r="K5251" t="inlineStr">
        <is>
          <t>JULIO 2026</t>
        </is>
      </c>
      <c r="L5251" t="inlineStr">
        <is>
          <t>JULIO 2027</t>
        </is>
      </c>
      <c r="M5251" t="inlineStr">
        <is>
          <t xml:space="preserve">CO2 TIPO BC </t>
        </is>
      </c>
      <c r="N5251" t="inlineStr">
        <is>
          <t>000683</t>
        </is>
      </c>
      <c r="O5251" t="inlineStr">
        <is>
          <t>V</t>
        </is>
      </c>
      <c r="P5251">
        <f>TRIM(N5251)</f>
        <v/>
      </c>
    </row>
    <row r="5252">
      <c r="A5252" t="inlineStr">
        <is>
          <t>CO-002795</t>
        </is>
      </c>
      <c r="B5252" t="inlineStr">
        <is>
          <t>ECONOCABLE S.A.C.</t>
        </is>
      </c>
      <c r="C5252" t="n">
        <v>20526919077</v>
      </c>
      <c r="D5252" t="inlineStr">
        <is>
          <t>FILIAL PUERTO MALDONADO</t>
        </is>
      </c>
      <c r="E5252" t="inlineStr">
        <is>
          <t>Lima, 06 de julio del 2026</t>
        </is>
      </c>
      <c r="F5252" t="inlineStr">
        <is>
          <t>la Recarga y mantenimiento</t>
        </is>
      </c>
      <c r="G5252" t="inlineStr">
        <is>
          <t>04</t>
        </is>
      </c>
      <c r="H5252" t="inlineStr">
        <is>
          <t>05 LBS</t>
        </is>
      </c>
      <c r="I5252" t="n">
        <v>2031</v>
      </c>
      <c r="J5252" t="n">
        <v>2026</v>
      </c>
      <c r="K5252" t="inlineStr">
        <is>
          <t>JULIO 2026</t>
        </is>
      </c>
      <c r="L5252" t="inlineStr">
        <is>
          <t>JULIO 2027</t>
        </is>
      </c>
      <c r="M5252" t="inlineStr">
        <is>
          <t xml:space="preserve">CO2 TIPO BC </t>
        </is>
      </c>
      <c r="N5252" t="inlineStr">
        <is>
          <t>000631</t>
        </is>
      </c>
      <c r="O5252" t="inlineStr">
        <is>
          <t>V</t>
        </is>
      </c>
      <c r="P5252">
        <f>TRIM(N5252)</f>
        <v/>
      </c>
    </row>
    <row r="5253">
      <c r="A5253" t="inlineStr">
        <is>
          <t>CO-002796</t>
        </is>
      </c>
      <c r="B5253" t="inlineStr">
        <is>
          <t>CABLE ANDINA S.A.C.</t>
        </is>
      </c>
      <c r="C5253" t="n">
        <v>20558639629</v>
      </c>
      <c r="D5253" t="inlineStr">
        <is>
          <t>FILIAL PUNO - OFICINA</t>
        </is>
      </c>
      <c r="E5253" t="inlineStr">
        <is>
          <t>Lima, 07 de julio del 2026</t>
        </is>
      </c>
      <c r="F5253" t="inlineStr">
        <is>
          <t>la Recarga y mantenimiento</t>
        </is>
      </c>
      <c r="G5253" t="inlineStr">
        <is>
          <t>01</t>
        </is>
      </c>
      <c r="H5253" t="inlineStr">
        <is>
          <t xml:space="preserve">06 KG </t>
        </is>
      </c>
      <c r="I5253" t="inlineStr">
        <is>
          <t>2028</t>
        </is>
      </c>
      <c r="J5253" t="n">
        <v>2014</v>
      </c>
      <c r="K5253" t="inlineStr">
        <is>
          <t>JULIO 2026</t>
        </is>
      </c>
      <c r="L5253" t="inlineStr">
        <is>
          <t>JULIO 2027</t>
        </is>
      </c>
      <c r="M5253" t="inlineStr">
        <is>
          <t>P.Q.S TIPO ABC AL 75%</t>
        </is>
      </c>
      <c r="N5253" t="inlineStr">
        <is>
          <t>000898</t>
        </is>
      </c>
      <c r="O5253" t="inlineStr">
        <is>
          <t>R</t>
        </is>
      </c>
      <c r="P5253">
        <f>TRIM(N5253)</f>
        <v/>
      </c>
    </row>
    <row r="5254">
      <c r="A5254" t="inlineStr">
        <is>
          <t>CO-002796</t>
        </is>
      </c>
      <c r="B5254" t="inlineStr">
        <is>
          <t>CABLE ANDINA S.A.C.</t>
        </is>
      </c>
      <c r="C5254" t="n">
        <v>20558639629</v>
      </c>
      <c r="D5254" t="inlineStr">
        <is>
          <t>FILIAL PUNO - OFICINA</t>
        </is>
      </c>
      <c r="E5254" t="inlineStr">
        <is>
          <t>Lima, 07 de julio del 2026</t>
        </is>
      </c>
      <c r="F5254" t="inlineStr">
        <is>
          <t>la Recarga y mantenimiento</t>
        </is>
      </c>
      <c r="G5254" t="inlineStr">
        <is>
          <t>02</t>
        </is>
      </c>
      <c r="H5254" t="inlineStr">
        <is>
          <t xml:space="preserve">06 KG </t>
        </is>
      </c>
      <c r="I5254" t="inlineStr">
        <is>
          <t>2039</t>
        </is>
      </c>
      <c r="J5254" t="n">
        <v>2016</v>
      </c>
      <c r="K5254" t="inlineStr">
        <is>
          <t>JULIO 2026</t>
        </is>
      </c>
      <c r="L5254" t="inlineStr">
        <is>
          <t>JULIO 2027</t>
        </is>
      </c>
      <c r="M5254" t="inlineStr">
        <is>
          <t>P.Q.S TIPO ABC AL 75%</t>
        </is>
      </c>
      <c r="N5254" t="inlineStr">
        <is>
          <t>021352</t>
        </is>
      </c>
      <c r="O5254" t="inlineStr">
        <is>
          <t>R</t>
        </is>
      </c>
      <c r="P5254">
        <f>TRIM(N5254)</f>
        <v/>
      </c>
    </row>
    <row r="5255">
      <c r="A5255" t="inlineStr">
        <is>
          <t>CO-002797</t>
        </is>
      </c>
      <c r="B5255" t="inlineStr">
        <is>
          <t>ECONOCABLE PERU S.A.C.</t>
        </is>
      </c>
      <c r="C5255" t="n">
        <v>20503965250</v>
      </c>
      <c r="D5255" t="inlineStr">
        <is>
          <t>FILIAL ABANCAY - OFICINA</t>
        </is>
      </c>
      <c r="E5255" t="inlineStr">
        <is>
          <t>Lima, 07 de julio del 2026</t>
        </is>
      </c>
      <c r="F5255" t="inlineStr">
        <is>
          <t>la Recarga y mantenimiento</t>
        </is>
      </c>
      <c r="G5255" t="inlineStr">
        <is>
          <t>01</t>
        </is>
      </c>
      <c r="H5255" t="inlineStr">
        <is>
          <t>06 KG</t>
        </is>
      </c>
      <c r="I5255" t="n">
        <v>2028</v>
      </c>
      <c r="J5255" t="n">
        <v>2018</v>
      </c>
      <c r="K5255" t="inlineStr">
        <is>
          <t>JULIO 2026</t>
        </is>
      </c>
      <c r="L5255" t="inlineStr">
        <is>
          <t>JULIO 2027</t>
        </is>
      </c>
      <c r="M5255" t="inlineStr">
        <is>
          <t>P.Q.S TIPO ABC AL 75%</t>
        </is>
      </c>
      <c r="N5255" t="inlineStr">
        <is>
          <t>16/000450</t>
        </is>
      </c>
      <c r="O5255" t="inlineStr">
        <is>
          <t>R</t>
        </is>
      </c>
      <c r="P5255">
        <f>TRIM(N5255)</f>
        <v/>
      </c>
    </row>
    <row r="5256">
      <c r="A5256" t="inlineStr">
        <is>
          <t>CO-002797</t>
        </is>
      </c>
      <c r="B5256" t="inlineStr">
        <is>
          <t>ECONOCABLE PERU S.A.C.</t>
        </is>
      </c>
      <c r="C5256" t="n">
        <v>20503965250</v>
      </c>
      <c r="D5256" t="inlineStr">
        <is>
          <t>FILIAL ABANCAY - OFICINA</t>
        </is>
      </c>
      <c r="E5256" t="inlineStr">
        <is>
          <t>Lima, 07 de julio del 2026</t>
        </is>
      </c>
      <c r="F5256" t="inlineStr">
        <is>
          <t>la Recarga y mantenimiento</t>
        </is>
      </c>
      <c r="G5256" t="inlineStr">
        <is>
          <t>02</t>
        </is>
      </c>
      <c r="H5256" t="inlineStr">
        <is>
          <t>06 KG</t>
        </is>
      </c>
      <c r="I5256" t="n">
        <v>2027</v>
      </c>
      <c r="J5256" t="n">
        <v>2022</v>
      </c>
      <c r="K5256" t="inlineStr">
        <is>
          <t>JULIO 2026</t>
        </is>
      </c>
      <c r="L5256" t="inlineStr">
        <is>
          <t>JULIO 2027</t>
        </is>
      </c>
      <c r="M5256" t="inlineStr">
        <is>
          <t>P.Q.S TIPO ABC AL 75%</t>
        </is>
      </c>
      <c r="N5256" t="inlineStr">
        <is>
          <t>15/004816</t>
        </is>
      </c>
      <c r="O5256" t="inlineStr">
        <is>
          <t>R</t>
        </is>
      </c>
      <c r="P5256">
        <f>TRIM(N5256)</f>
        <v/>
      </c>
    </row>
    <row r="5257">
      <c r="A5257" t="inlineStr">
        <is>
          <t>CO-002798</t>
        </is>
      </c>
      <c r="B5257" t="inlineStr">
        <is>
          <t>CABLE MASTER COMUNICACIONES S.A.C.</t>
        </is>
      </c>
      <c r="C5257" t="n">
        <v>20508871385</v>
      </c>
      <c r="D5257" t="inlineStr">
        <is>
          <t>FILIAL PAMPLONA - TOTTUS PACHACUTEC</t>
        </is>
      </c>
      <c r="E5257" t="inlineStr">
        <is>
          <t>Lima, 07 de julio del 2026</t>
        </is>
      </c>
      <c r="F5257" t="inlineStr">
        <is>
          <t>la Recarga y mantenimiento</t>
        </is>
      </c>
      <c r="G5257" t="inlineStr">
        <is>
          <t>01</t>
        </is>
      </c>
      <c r="H5257" t="inlineStr">
        <is>
          <t>06 KG</t>
        </is>
      </c>
      <c r="I5257" t="n">
        <v>2031</v>
      </c>
      <c r="J5257" t="n">
        <v>2021</v>
      </c>
      <c r="K5257" t="inlineStr">
        <is>
          <t>JULIO 2026</t>
        </is>
      </c>
      <c r="L5257" t="inlineStr">
        <is>
          <t>JULIO 2027</t>
        </is>
      </c>
      <c r="M5257" t="inlineStr">
        <is>
          <t>P.Q.S TIPO ABC AL 75%</t>
        </is>
      </c>
      <c r="N5257" t="inlineStr">
        <is>
          <t>022610</t>
        </is>
      </c>
      <c r="O5257" t="inlineStr">
        <is>
          <t>R</t>
        </is>
      </c>
      <c r="P5257">
        <f>TRIM(N5257)</f>
        <v/>
      </c>
    </row>
    <row r="5258">
      <c r="A5258" t="inlineStr">
        <is>
          <t>CO-002799</t>
        </is>
      </c>
      <c r="B5258" t="inlineStr">
        <is>
          <t>PRIMETEL S.A.C.</t>
        </is>
      </c>
      <c r="C5258" t="n">
        <v>20614122260</v>
      </c>
      <c r="D5258" t="inlineStr">
        <is>
          <t>FILIAL SAN BORJA - OFICINA</t>
        </is>
      </c>
      <c r="E5258" t="inlineStr">
        <is>
          <t>Lima, 07 de julio del 2026</t>
        </is>
      </c>
      <c r="F5258" t="inlineStr">
        <is>
          <t>la Recarga y mantenimiento</t>
        </is>
      </c>
      <c r="G5258" t="inlineStr">
        <is>
          <t>01</t>
        </is>
      </c>
      <c r="H5258" t="inlineStr">
        <is>
          <t>05 LBS</t>
        </is>
      </c>
      <c r="I5258" t="n">
        <v>2030</v>
      </c>
      <c r="J5258" t="n">
        <v>2025</v>
      </c>
      <c r="K5258" t="inlineStr">
        <is>
          <t>JULIO 2026</t>
        </is>
      </c>
      <c r="L5258" t="inlineStr">
        <is>
          <t>JULIO 2027</t>
        </is>
      </c>
      <c r="M5258" t="inlineStr">
        <is>
          <t xml:space="preserve">CO2 TIPO BC </t>
        </is>
      </c>
      <c r="N5258" t="inlineStr">
        <is>
          <t>000321</t>
        </is>
      </c>
      <c r="O5258" t="inlineStr">
        <is>
          <t>R</t>
        </is>
      </c>
      <c r="P5258">
        <f>TRIM(N5258)</f>
        <v/>
      </c>
    </row>
    <row r="5259">
      <c r="A5259" t="inlineStr">
        <is>
          <t>CO-002800</t>
        </is>
      </c>
      <c r="B5259" t="inlineStr">
        <is>
          <t>CHATARRERIA AARON</t>
        </is>
      </c>
      <c r="D5259" t="inlineStr">
        <is>
          <t>PASAJE 23 MZ. J LOTE 15 AÑO NUEVO - COMAS</t>
        </is>
      </c>
      <c r="E5259" t="inlineStr">
        <is>
          <t>Lima, 11 de julio del 2026</t>
        </is>
      </c>
      <c r="F5259" t="inlineStr">
        <is>
          <t>la Recarga y mantenimiento</t>
        </is>
      </c>
      <c r="G5259" t="inlineStr">
        <is>
          <t>01</t>
        </is>
      </c>
      <c r="H5259" t="inlineStr">
        <is>
          <t xml:space="preserve">06 KG </t>
        </is>
      </c>
      <c r="I5259" t="inlineStr">
        <is>
          <t>2028</t>
        </is>
      </c>
      <c r="J5259" t="n">
        <v>2023</v>
      </c>
      <c r="K5259" t="inlineStr">
        <is>
          <t>JULIO 2026</t>
        </is>
      </c>
      <c r="L5259" t="inlineStr">
        <is>
          <t>JULIO 2027</t>
        </is>
      </c>
      <c r="M5259" t="inlineStr">
        <is>
          <t>P.Q.S TIPO ABC AL 75%</t>
        </is>
      </c>
      <c r="N5259" t="inlineStr">
        <is>
          <t>01/002553</t>
        </is>
      </c>
      <c r="O5259" t="inlineStr">
        <is>
          <t>R</t>
        </is>
      </c>
      <c r="P5259">
        <f>TRIM(N5259)</f>
        <v/>
      </c>
    </row>
    <row r="5260">
      <c r="A5260" t="inlineStr">
        <is>
          <t>CO-002800</t>
        </is>
      </c>
      <c r="B5260" t="inlineStr">
        <is>
          <t>CHATARRERIA AARON</t>
        </is>
      </c>
      <c r="D5260" t="inlineStr">
        <is>
          <t>PASAJE 23 MZ. J LOTE 15 AÑO NUEVO - COMAS</t>
        </is>
      </c>
      <c r="E5260" t="inlineStr">
        <is>
          <t>Lima, 11 de julio del 2026</t>
        </is>
      </c>
      <c r="F5260" t="inlineStr">
        <is>
          <t>la Recarga y mantenimiento</t>
        </is>
      </c>
      <c r="G5260" t="inlineStr">
        <is>
          <t>02</t>
        </is>
      </c>
      <c r="H5260" t="inlineStr">
        <is>
          <t>06 KG</t>
        </is>
      </c>
      <c r="I5260" t="inlineStr">
        <is>
          <t>2028</t>
        </is>
      </c>
      <c r="J5260" t="n">
        <v>2018</v>
      </c>
      <c r="K5260" t="inlineStr">
        <is>
          <t>JULIO 2026</t>
        </is>
      </c>
      <c r="L5260" t="inlineStr">
        <is>
          <t>JULIO 2027</t>
        </is>
      </c>
      <c r="M5260" t="inlineStr">
        <is>
          <t>P.Q.S TIPO ABC AL 75%</t>
        </is>
      </c>
      <c r="N5260" t="inlineStr">
        <is>
          <t>02/003501</t>
        </is>
      </c>
      <c r="O5260" t="inlineStr">
        <is>
          <t>R</t>
        </is>
      </c>
      <c r="P5260">
        <f>TRIM(N5260)</f>
        <v/>
      </c>
    </row>
    <row r="5261">
      <c r="A5261" t="inlineStr">
        <is>
          <t>CO-002801</t>
        </is>
      </c>
      <c r="B5261" t="inlineStr">
        <is>
          <t>BODEGA MARY DE: MARIA ENCARNACIÓN CASTILLO MENDEZ</t>
        </is>
      </c>
      <c r="D5261" t="inlineStr">
        <is>
          <t>JR. TUNGASUCA 154 AÑO NUEVO - COMAS</t>
        </is>
      </c>
      <c r="E5261" t="inlineStr">
        <is>
          <t>Lima, 11 de julio del 2026</t>
        </is>
      </c>
      <c r="F5261" t="inlineStr">
        <is>
          <t>la Recarga y mantenimiento</t>
        </is>
      </c>
      <c r="G5261" t="inlineStr">
        <is>
          <t>01</t>
        </is>
      </c>
      <c r="H5261" t="inlineStr">
        <is>
          <t>06 KG</t>
        </is>
      </c>
      <c r="I5261" t="inlineStr">
        <is>
          <t>2031</t>
        </is>
      </c>
      <c r="J5261" t="n">
        <v>2009</v>
      </c>
      <c r="K5261" t="inlineStr">
        <is>
          <t>JULIO 2026</t>
        </is>
      </c>
      <c r="L5261" t="inlineStr">
        <is>
          <t>JULIO 2027</t>
        </is>
      </c>
      <c r="M5261" t="inlineStr">
        <is>
          <t>P.Q.S TIPO ABC AL 75%</t>
        </is>
      </c>
      <c r="N5261" t="inlineStr">
        <is>
          <t>01/000001</t>
        </is>
      </c>
      <c r="O5261" t="inlineStr">
        <is>
          <t>R</t>
        </is>
      </c>
      <c r="P5261">
        <f>TRIM(N5261)</f>
        <v/>
      </c>
    </row>
    <row r="5262">
      <c r="A5262" t="inlineStr">
        <is>
          <t>CO-002802</t>
        </is>
      </c>
      <c r="B5262" t="inlineStr">
        <is>
          <t>SODEXO PERU S.A.C.</t>
        </is>
      </c>
      <c r="C5262" t="n">
        <v>20414766308</v>
      </c>
      <c r="D5262" t="inlineStr">
        <is>
          <t>Avenida gaseoducto lote 4 las praderas de Lurin</t>
        </is>
      </c>
      <c r="E5262" t="inlineStr">
        <is>
          <t>Lima, 14 de julio del 2026</t>
        </is>
      </c>
      <c r="F5262" t="inlineStr">
        <is>
          <t>la Recarga y mantenimiento</t>
        </is>
      </c>
      <c r="G5262" t="inlineStr">
        <is>
          <t>01</t>
        </is>
      </c>
      <c r="H5262" t="inlineStr">
        <is>
          <t>2.5 GLS</t>
        </is>
      </c>
      <c r="I5262" t="n">
        <v>2028</v>
      </c>
      <c r="J5262" t="n">
        <v>2017</v>
      </c>
      <c r="K5262" t="inlineStr">
        <is>
          <t>JULIO 2026</t>
        </is>
      </c>
      <c r="L5262" t="inlineStr">
        <is>
          <t>JULIO 2027</t>
        </is>
      </c>
      <c r="M5262" t="inlineStr">
        <is>
          <t>ACETATO TIPO K</t>
        </is>
      </c>
      <c r="N5262" t="inlineStr">
        <is>
          <t>12/C-92959553</t>
        </is>
      </c>
      <c r="O5262" t="inlineStr">
        <is>
          <t>R</t>
        </is>
      </c>
      <c r="P5262">
        <f>TRIM(N5262)</f>
        <v/>
      </c>
    </row>
    <row r="5263">
      <c r="A5263" t="inlineStr">
        <is>
          <t>CO-002735</t>
        </is>
      </c>
      <c r="B5263" t="inlineStr">
        <is>
          <t>GACSA PERU S.A.C.</t>
        </is>
      </c>
      <c r="C5263" t="n">
        <v>20602629068</v>
      </c>
      <c r="D5263" t="inlineStr">
        <is>
          <t>Calle el Grifo 151 La Molina</t>
        </is>
      </c>
      <c r="E5263" t="inlineStr">
        <is>
          <t>Lima, 14 de julio del 2026</t>
        </is>
      </c>
      <c r="F5263" t="inlineStr">
        <is>
          <t>la venta</t>
        </is>
      </c>
      <c r="G5263" t="n">
        <v>1</v>
      </c>
      <c r="H5263" t="inlineStr">
        <is>
          <t>12 KG</t>
        </is>
      </c>
      <c r="I5263" t="n">
        <v>2030</v>
      </c>
      <c r="J5263" t="n">
        <v>2025</v>
      </c>
      <c r="K5263" t="inlineStr">
        <is>
          <t>MAYO 2026</t>
        </is>
      </c>
      <c r="L5263" t="inlineStr">
        <is>
          <t>MAYO 2027</t>
        </is>
      </c>
      <c r="M5263" t="inlineStr">
        <is>
          <t>PQS TIPO ABC AL 75%</t>
        </is>
      </c>
      <c r="N5263" t="inlineStr">
        <is>
          <t>01/000527</t>
        </is>
      </c>
      <c r="O5263" t="inlineStr">
        <is>
          <t>V</t>
        </is>
      </c>
      <c r="P5263">
        <f>TRIM(N5263)</f>
        <v/>
      </c>
    </row>
    <row r="5264">
      <c r="A5264" t="inlineStr">
        <is>
          <t>CO-002735</t>
        </is>
      </c>
      <c r="B5264" t="inlineStr">
        <is>
          <t>GACSA PERU S.A.C.</t>
        </is>
      </c>
      <c r="C5264" t="n">
        <v>20602629068</v>
      </c>
      <c r="D5264" t="inlineStr">
        <is>
          <t>Calle el Grifo 151 La Molina</t>
        </is>
      </c>
      <c r="E5264" t="inlineStr">
        <is>
          <t>Lima, 14 de julio del 2026</t>
        </is>
      </c>
      <c r="F5264" t="inlineStr">
        <is>
          <t>la venta</t>
        </is>
      </c>
      <c r="G5264" t="n">
        <v>2</v>
      </c>
      <c r="H5264" t="inlineStr">
        <is>
          <t>12 KG</t>
        </is>
      </c>
      <c r="I5264" t="n">
        <v>2030</v>
      </c>
      <c r="J5264" t="n">
        <v>2025</v>
      </c>
      <c r="K5264" t="inlineStr">
        <is>
          <t>MAYO 2026</t>
        </is>
      </c>
      <c r="L5264" t="inlineStr">
        <is>
          <t>MAYO 2027</t>
        </is>
      </c>
      <c r="M5264" t="inlineStr">
        <is>
          <t>PQS TIPO ABC AL 75%</t>
        </is>
      </c>
      <c r="N5264" t="inlineStr">
        <is>
          <t>02/000037</t>
        </is>
      </c>
      <c r="O5264" t="inlineStr">
        <is>
          <t>V</t>
        </is>
      </c>
      <c r="P5264">
        <f>TRIM(N5264)</f>
        <v/>
      </c>
    </row>
    <row r="5265">
      <c r="A5265" t="inlineStr">
        <is>
          <t>CO-002735</t>
        </is>
      </c>
      <c r="B5265" t="inlineStr">
        <is>
          <t>GACSA PERU S.A.C.</t>
        </is>
      </c>
      <c r="C5265" t="n">
        <v>20602629068</v>
      </c>
      <c r="D5265" t="inlineStr">
        <is>
          <t>Calle el Grifo 151 La Molina</t>
        </is>
      </c>
      <c r="E5265" t="inlineStr">
        <is>
          <t>Lima, 14 de julio del 2026</t>
        </is>
      </c>
      <c r="F5265" t="inlineStr">
        <is>
          <t>la venta</t>
        </is>
      </c>
      <c r="G5265" t="n">
        <v>3</v>
      </c>
      <c r="H5265" t="inlineStr">
        <is>
          <t>12 KG</t>
        </is>
      </c>
      <c r="I5265" t="n">
        <v>2030</v>
      </c>
      <c r="J5265" t="n">
        <v>2025</v>
      </c>
      <c r="K5265" t="inlineStr">
        <is>
          <t>MAYO 2026</t>
        </is>
      </c>
      <c r="L5265" t="inlineStr">
        <is>
          <t>MAYO 2027</t>
        </is>
      </c>
      <c r="M5265" t="inlineStr">
        <is>
          <t>PQS TIPO ABC AL 75%</t>
        </is>
      </c>
      <c r="N5265" t="inlineStr">
        <is>
          <t>03/000204</t>
        </is>
      </c>
      <c r="O5265" t="inlineStr">
        <is>
          <t>V</t>
        </is>
      </c>
      <c r="P5265">
        <f>TRIM(N5265)</f>
        <v/>
      </c>
    </row>
    <row r="5266">
      <c r="A5266" t="inlineStr">
        <is>
          <t>CO-002735</t>
        </is>
      </c>
      <c r="B5266" t="inlineStr">
        <is>
          <t>GACSA PERU S.A.C.</t>
        </is>
      </c>
      <c r="C5266" t="n">
        <v>20602629068</v>
      </c>
      <c r="D5266" t="inlineStr">
        <is>
          <t>Calle el Grifo 151 La Molina</t>
        </is>
      </c>
      <c r="E5266" t="inlineStr">
        <is>
          <t>Lima, 14 de julio del 2026</t>
        </is>
      </c>
      <c r="F5266" t="inlineStr">
        <is>
          <t>la venta</t>
        </is>
      </c>
      <c r="G5266" t="n">
        <v>4</v>
      </c>
      <c r="H5266" t="inlineStr">
        <is>
          <t>50 KG</t>
        </is>
      </c>
      <c r="I5266" t="n">
        <v>2031</v>
      </c>
      <c r="J5266" t="n">
        <v>2026</v>
      </c>
      <c r="K5266" t="inlineStr">
        <is>
          <t>JULIO 2026</t>
        </is>
      </c>
      <c r="L5266" t="inlineStr">
        <is>
          <t>JULIO 2027</t>
        </is>
      </c>
      <c r="M5266" t="inlineStr">
        <is>
          <t>PQS TIPO ABC AL 75% RODANTE</t>
        </is>
      </c>
      <c r="N5266" t="inlineStr">
        <is>
          <t>04/000035</t>
        </is>
      </c>
      <c r="O5266" t="inlineStr">
        <is>
          <t>V</t>
        </is>
      </c>
      <c r="P5266">
        <f>TRIM(N5266)</f>
        <v/>
      </c>
    </row>
    <row r="5267">
      <c r="A5267" t="inlineStr">
        <is>
          <t>CO-002735</t>
        </is>
      </c>
      <c r="B5267" t="inlineStr">
        <is>
          <t>GACSA PERU S.A.C.</t>
        </is>
      </c>
      <c r="C5267" t="n">
        <v>20602629068</v>
      </c>
      <c r="D5267" t="inlineStr">
        <is>
          <t>Calle el Grifo 151 La Molina</t>
        </is>
      </c>
      <c r="E5267" t="inlineStr">
        <is>
          <t>Lima, 14 de julio del 2026</t>
        </is>
      </c>
      <c r="F5267" t="inlineStr">
        <is>
          <t>la venta</t>
        </is>
      </c>
      <c r="G5267" t="n">
        <v>5</v>
      </c>
      <c r="H5267" t="inlineStr">
        <is>
          <t>12 KG</t>
        </is>
      </c>
      <c r="I5267" t="n">
        <v>2030</v>
      </c>
      <c r="J5267" t="n">
        <v>2025</v>
      </c>
      <c r="K5267" t="inlineStr">
        <is>
          <t>MAYO 2026</t>
        </is>
      </c>
      <c r="L5267" t="inlineStr">
        <is>
          <t>MAYO 2027</t>
        </is>
      </c>
      <c r="M5267" t="inlineStr">
        <is>
          <t xml:space="preserve">PQS TIPO ABC </t>
        </is>
      </c>
      <c r="N5267" t="inlineStr">
        <is>
          <t>05/000599</t>
        </is>
      </c>
      <c r="O5267" t="inlineStr">
        <is>
          <t>V</t>
        </is>
      </c>
      <c r="P5267">
        <f>TRIM(N5267)</f>
        <v/>
      </c>
    </row>
    <row r="5268">
      <c r="A5268" t="inlineStr">
        <is>
          <t>CO-002735</t>
        </is>
      </c>
      <c r="B5268" t="inlineStr">
        <is>
          <t>GACSA PERU S.A.C.</t>
        </is>
      </c>
      <c r="C5268" t="n">
        <v>20602629068</v>
      </c>
      <c r="D5268" t="inlineStr">
        <is>
          <t>Calle el Grifo 151 La Molina</t>
        </is>
      </c>
      <c r="E5268" t="inlineStr">
        <is>
          <t>Lima, 14 de julio del 2026</t>
        </is>
      </c>
      <c r="F5268" t="inlineStr">
        <is>
          <t>la venta</t>
        </is>
      </c>
      <c r="G5268" t="n">
        <v>6</v>
      </c>
      <c r="H5268" t="inlineStr">
        <is>
          <t>12 KG</t>
        </is>
      </c>
      <c r="I5268" t="n">
        <v>2030</v>
      </c>
      <c r="J5268" t="n">
        <v>2025</v>
      </c>
      <c r="K5268" t="inlineStr">
        <is>
          <t>MAYO 2026</t>
        </is>
      </c>
      <c r="L5268" t="inlineStr">
        <is>
          <t>MAYO 2027</t>
        </is>
      </c>
      <c r="M5268" t="inlineStr">
        <is>
          <t xml:space="preserve">PQS TIPO ABC </t>
        </is>
      </c>
      <c r="N5268" t="inlineStr">
        <is>
          <t>06/000336</t>
        </is>
      </c>
      <c r="O5268" t="inlineStr">
        <is>
          <t>V</t>
        </is>
      </c>
      <c r="P5268">
        <f>TRIM(N5268)</f>
        <v/>
      </c>
    </row>
    <row r="5269">
      <c r="A5269" t="inlineStr">
        <is>
          <t>CO-002735</t>
        </is>
      </c>
      <c r="B5269" t="inlineStr">
        <is>
          <t>GACSA PERU S.A.C.</t>
        </is>
      </c>
      <c r="C5269" t="n">
        <v>20602629068</v>
      </c>
      <c r="D5269" t="inlineStr">
        <is>
          <t>Calle el Grifo 151 La Molina</t>
        </is>
      </c>
      <c r="E5269" t="inlineStr">
        <is>
          <t>Lima, 14 de julio del 2026</t>
        </is>
      </c>
      <c r="F5269" t="inlineStr">
        <is>
          <t>la venta</t>
        </is>
      </c>
      <c r="G5269" t="n">
        <v>7</v>
      </c>
      <c r="H5269" t="inlineStr">
        <is>
          <t>12 KG</t>
        </is>
      </c>
      <c r="I5269" t="n">
        <v>2030</v>
      </c>
      <c r="J5269" t="n">
        <v>2025</v>
      </c>
      <c r="K5269" t="inlineStr">
        <is>
          <t>MAYO 2026</t>
        </is>
      </c>
      <c r="L5269" t="inlineStr">
        <is>
          <t>MAYO 2027</t>
        </is>
      </c>
      <c r="M5269" t="inlineStr">
        <is>
          <t xml:space="preserve">PQS TIPO ABC </t>
        </is>
      </c>
      <c r="N5269" t="inlineStr">
        <is>
          <t>07/000001</t>
        </is>
      </c>
      <c r="O5269" t="inlineStr">
        <is>
          <t>V</t>
        </is>
      </c>
      <c r="P5269">
        <f>TRIM(N5269)</f>
        <v/>
      </c>
    </row>
    <row r="5270">
      <c r="A5270" t="inlineStr">
        <is>
          <t>CO-002735</t>
        </is>
      </c>
      <c r="B5270" t="inlineStr">
        <is>
          <t>GACSA PERU S.A.C.</t>
        </is>
      </c>
      <c r="C5270" t="n">
        <v>20602629068</v>
      </c>
      <c r="D5270" t="inlineStr">
        <is>
          <t>Calle el Grifo 151 La Molina</t>
        </is>
      </c>
      <c r="E5270" t="inlineStr">
        <is>
          <t>Lima, 14 de julio del 2026</t>
        </is>
      </c>
      <c r="F5270" t="inlineStr">
        <is>
          <t>la venta</t>
        </is>
      </c>
      <c r="G5270" t="n">
        <v>8</v>
      </c>
      <c r="H5270" t="inlineStr">
        <is>
          <t>12 KG</t>
        </is>
      </c>
      <c r="I5270" t="n">
        <v>2030</v>
      </c>
      <c r="J5270" t="n">
        <v>2025</v>
      </c>
      <c r="K5270" t="inlineStr">
        <is>
          <t>MAYO 2026</t>
        </is>
      </c>
      <c r="L5270" t="inlineStr">
        <is>
          <t>MAYO 2027</t>
        </is>
      </c>
      <c r="M5270" t="inlineStr">
        <is>
          <t xml:space="preserve">PQS TIPO ABC </t>
        </is>
      </c>
      <c r="N5270" t="inlineStr">
        <is>
          <t>08/000002</t>
        </is>
      </c>
      <c r="O5270" t="inlineStr">
        <is>
          <t>V</t>
        </is>
      </c>
      <c r="P5270">
        <f>TRIM(N5270)</f>
        <v/>
      </c>
    </row>
    <row r="5271">
      <c r="A5271" t="inlineStr">
        <is>
          <t>CO-002735</t>
        </is>
      </c>
      <c r="B5271" t="inlineStr">
        <is>
          <t>GACSA PERU S.A.C.</t>
        </is>
      </c>
      <c r="C5271" t="n">
        <v>20602629068</v>
      </c>
      <c r="D5271" t="inlineStr">
        <is>
          <t>Calle el Grifo 151 La Molina</t>
        </is>
      </c>
      <c r="E5271" t="inlineStr">
        <is>
          <t>Lima, 14 de julio del 2026</t>
        </is>
      </c>
      <c r="F5271" t="inlineStr">
        <is>
          <t>la venta</t>
        </is>
      </c>
      <c r="G5271" t="n">
        <v>9</v>
      </c>
      <c r="H5271" t="inlineStr">
        <is>
          <t>12 KG</t>
        </is>
      </c>
      <c r="I5271" t="n">
        <v>2030</v>
      </c>
      <c r="J5271" t="n">
        <v>2025</v>
      </c>
      <c r="K5271" t="inlineStr">
        <is>
          <t>MAYO 2026</t>
        </is>
      </c>
      <c r="L5271" t="inlineStr">
        <is>
          <t>MAYO 2027</t>
        </is>
      </c>
      <c r="M5271" t="inlineStr">
        <is>
          <t xml:space="preserve">PQS TIPO ABC </t>
        </is>
      </c>
      <c r="N5271" t="inlineStr">
        <is>
          <t>09/000154</t>
        </is>
      </c>
      <c r="O5271" t="inlineStr">
        <is>
          <t>V</t>
        </is>
      </c>
      <c r="P5271">
        <f>TRIM(N5271)</f>
        <v/>
      </c>
    </row>
    <row r="5272">
      <c r="A5272" t="inlineStr">
        <is>
          <t>CO-002735</t>
        </is>
      </c>
      <c r="B5272" t="inlineStr">
        <is>
          <t>GACSA PERU S.A.C.</t>
        </is>
      </c>
      <c r="C5272" t="n">
        <v>20602629068</v>
      </c>
      <c r="D5272" t="inlineStr">
        <is>
          <t>Calle el Grifo 151 La Molina</t>
        </is>
      </c>
      <c r="E5272" t="inlineStr">
        <is>
          <t>Lima, 14 de julio del 2026</t>
        </is>
      </c>
      <c r="F5272" t="inlineStr">
        <is>
          <t>la venta</t>
        </is>
      </c>
      <c r="G5272" t="n">
        <v>10</v>
      </c>
      <c r="H5272" t="inlineStr">
        <is>
          <t>12 KG</t>
        </is>
      </c>
      <c r="I5272" t="n">
        <v>2030</v>
      </c>
      <c r="J5272" t="n">
        <v>2025</v>
      </c>
      <c r="K5272" t="inlineStr">
        <is>
          <t>MAYO 2026</t>
        </is>
      </c>
      <c r="L5272" t="inlineStr">
        <is>
          <t>MAYO 2027</t>
        </is>
      </c>
      <c r="M5272" t="inlineStr">
        <is>
          <t xml:space="preserve">PQS TIPO ABC </t>
        </is>
      </c>
      <c r="N5272" t="inlineStr">
        <is>
          <t>10/000011</t>
        </is>
      </c>
      <c r="O5272" t="inlineStr">
        <is>
          <t>V</t>
        </is>
      </c>
      <c r="P5272">
        <f>TRIM(N5272)</f>
        <v/>
      </c>
    </row>
    <row r="5273">
      <c r="A5273" t="inlineStr">
        <is>
          <t>CO-002735</t>
        </is>
      </c>
      <c r="B5273" t="inlineStr">
        <is>
          <t>GACSA PERU S.A.C.</t>
        </is>
      </c>
      <c r="C5273" t="n">
        <v>20602629068</v>
      </c>
      <c r="D5273" t="inlineStr">
        <is>
          <t>Calle el Grifo 151 La Molina</t>
        </is>
      </c>
      <c r="E5273" t="inlineStr">
        <is>
          <t>Lima, 14 de julio del 2026</t>
        </is>
      </c>
      <c r="F5273" t="inlineStr">
        <is>
          <t>la venta</t>
        </is>
      </c>
      <c r="G5273" t="n">
        <v>11</v>
      </c>
      <c r="H5273" t="inlineStr">
        <is>
          <t>12 KG</t>
        </is>
      </c>
      <c r="I5273" t="n">
        <v>2030</v>
      </c>
      <c r="J5273" t="n">
        <v>2025</v>
      </c>
      <c r="K5273" t="inlineStr">
        <is>
          <t>MAYO 2026</t>
        </is>
      </c>
      <c r="L5273" t="inlineStr">
        <is>
          <t>MAYO 2027</t>
        </is>
      </c>
      <c r="M5273" t="inlineStr">
        <is>
          <t xml:space="preserve">PQS TIPO ABC </t>
        </is>
      </c>
      <c r="N5273" t="inlineStr">
        <is>
          <t>11/000432</t>
        </is>
      </c>
      <c r="O5273" t="inlineStr">
        <is>
          <t>V</t>
        </is>
      </c>
      <c r="P5273">
        <f>TRIM(N5273)</f>
        <v/>
      </c>
    </row>
    <row r="5274">
      <c r="A5274" t="inlineStr">
        <is>
          <t>CO-002736</t>
        </is>
      </c>
      <c r="B5274" t="inlineStr">
        <is>
          <t>GACSA PERU S.A.C.</t>
        </is>
      </c>
      <c r="C5274" t="n">
        <v>20602629068</v>
      </c>
      <c r="D5274" t="inlineStr">
        <is>
          <t>Calle el Grifo 151 La Molina</t>
        </is>
      </c>
      <c r="E5274" t="inlineStr">
        <is>
          <t>Lima, 14 de julio del 2026</t>
        </is>
      </c>
      <c r="F5274" t="inlineStr">
        <is>
          <t>la venta</t>
        </is>
      </c>
      <c r="G5274" t="n">
        <v>1</v>
      </c>
      <c r="H5274" t="inlineStr">
        <is>
          <t>12 KG</t>
        </is>
      </c>
      <c r="I5274" t="n">
        <v>2030</v>
      </c>
      <c r="J5274" t="n">
        <v>2025</v>
      </c>
      <c r="K5274" t="inlineStr">
        <is>
          <t>MAYO 2026</t>
        </is>
      </c>
      <c r="L5274" t="inlineStr">
        <is>
          <t>MAYO 2027</t>
        </is>
      </c>
      <c r="M5274" t="inlineStr">
        <is>
          <t>PQS TIPO ABC AL 75%</t>
        </is>
      </c>
      <c r="N5274" t="inlineStr">
        <is>
          <t>12/000377</t>
        </is>
      </c>
      <c r="O5274" t="inlineStr">
        <is>
          <t>V</t>
        </is>
      </c>
      <c r="P5274">
        <f>TRIM(N5274)</f>
        <v/>
      </c>
    </row>
    <row r="5275">
      <c r="A5275" t="inlineStr">
        <is>
          <t>CO-002736</t>
        </is>
      </c>
      <c r="B5275" t="inlineStr">
        <is>
          <t>GACSA PERU S.A.C.</t>
        </is>
      </c>
      <c r="C5275" t="n">
        <v>20602629068</v>
      </c>
      <c r="D5275" t="inlineStr">
        <is>
          <t>Calle el Grifo 151 La Molina</t>
        </is>
      </c>
      <c r="E5275" t="inlineStr">
        <is>
          <t>Lima, 14 de julio del 2026</t>
        </is>
      </c>
      <c r="F5275" t="inlineStr">
        <is>
          <t>la venta</t>
        </is>
      </c>
      <c r="G5275" t="inlineStr">
        <is>
          <t>2</t>
        </is>
      </c>
      <c r="H5275" t="inlineStr">
        <is>
          <t>12 KG</t>
        </is>
      </c>
      <c r="I5275" t="n">
        <v>2030</v>
      </c>
      <c r="J5275" t="n">
        <v>2025</v>
      </c>
      <c r="K5275" t="inlineStr">
        <is>
          <t>MAYO 2026</t>
        </is>
      </c>
      <c r="L5275" t="inlineStr">
        <is>
          <t>MAYO 2027</t>
        </is>
      </c>
      <c r="M5275" t="inlineStr">
        <is>
          <t>PQS TIPO ABC AL 75%</t>
        </is>
      </c>
      <c r="N5275" t="inlineStr">
        <is>
          <t>13/000217</t>
        </is>
      </c>
      <c r="O5275" t="inlineStr">
        <is>
          <t>V</t>
        </is>
      </c>
      <c r="P5275">
        <f>TRIM(N5275)</f>
        <v/>
      </c>
    </row>
    <row r="5276">
      <c r="A5276" t="inlineStr">
        <is>
          <t>CO-002736</t>
        </is>
      </c>
      <c r="B5276" t="inlineStr">
        <is>
          <t>GACSA PERU S.A.C.</t>
        </is>
      </c>
      <c r="C5276" t="n">
        <v>20602629068</v>
      </c>
      <c r="D5276" t="inlineStr">
        <is>
          <t>Calle el Grifo 151 La Molina</t>
        </is>
      </c>
      <c r="E5276" t="inlineStr">
        <is>
          <t>Lima, 14 de julio del 2026</t>
        </is>
      </c>
      <c r="F5276" t="inlineStr">
        <is>
          <t>la venta</t>
        </is>
      </c>
      <c r="G5276" t="inlineStr">
        <is>
          <t>3</t>
        </is>
      </c>
      <c r="H5276" t="inlineStr">
        <is>
          <t>06 KG</t>
        </is>
      </c>
      <c r="I5276" t="n">
        <v>2031</v>
      </c>
      <c r="J5276" t="n">
        <v>2026</v>
      </c>
      <c r="K5276" t="inlineStr">
        <is>
          <t>JULIO 2026</t>
        </is>
      </c>
      <c r="L5276" t="inlineStr">
        <is>
          <t>JULIO 2027</t>
        </is>
      </c>
      <c r="M5276" t="inlineStr">
        <is>
          <t>PQS TIPO ABC AL 75%</t>
        </is>
      </c>
      <c r="N5276" t="inlineStr">
        <is>
          <t>14/156222</t>
        </is>
      </c>
      <c r="O5276" t="inlineStr">
        <is>
          <t>V</t>
        </is>
      </c>
      <c r="P5276">
        <f>TRIM(N5276)</f>
        <v/>
      </c>
    </row>
    <row r="5277">
      <c r="A5277" t="inlineStr">
        <is>
          <t>CO-002736</t>
        </is>
      </c>
      <c r="B5277" t="inlineStr">
        <is>
          <t>GACSA PERU S.A.C.</t>
        </is>
      </c>
      <c r="C5277" t="n">
        <v>20602629068</v>
      </c>
      <c r="D5277" t="inlineStr">
        <is>
          <t>Calle el Grifo 151 La Molina</t>
        </is>
      </c>
      <c r="E5277" t="inlineStr">
        <is>
          <t>Lima, 14 de julio del 2026</t>
        </is>
      </c>
      <c r="F5277" t="inlineStr">
        <is>
          <t>la venta</t>
        </is>
      </c>
      <c r="G5277" t="inlineStr">
        <is>
          <t>4</t>
        </is>
      </c>
      <c r="H5277" t="inlineStr">
        <is>
          <t>10 LBS</t>
        </is>
      </c>
      <c r="I5277" t="n">
        <v>2030</v>
      </c>
      <c r="J5277" t="n">
        <v>2025</v>
      </c>
      <c r="K5277" t="inlineStr">
        <is>
          <t>JULIO 2026</t>
        </is>
      </c>
      <c r="L5277" t="inlineStr">
        <is>
          <t>JULIO 2027</t>
        </is>
      </c>
      <c r="M5277" t="inlineStr">
        <is>
          <t>CO2 TIPO BC</t>
        </is>
      </c>
      <c r="N5277" t="inlineStr">
        <is>
          <t>15/000015</t>
        </is>
      </c>
      <c r="O5277" t="inlineStr">
        <is>
          <t>V</t>
        </is>
      </c>
      <c r="P5277">
        <f>TRIM(N5277)</f>
        <v/>
      </c>
    </row>
    <row r="5278">
      <c r="A5278" t="inlineStr">
        <is>
          <t>CO-002736</t>
        </is>
      </c>
      <c r="B5278" t="inlineStr">
        <is>
          <t>GACSA PERU S.A.C.</t>
        </is>
      </c>
      <c r="C5278" t="n">
        <v>20602629068</v>
      </c>
      <c r="D5278" t="inlineStr">
        <is>
          <t>Calle el Grifo 151 La Molina</t>
        </is>
      </c>
      <c r="E5278" t="inlineStr">
        <is>
          <t>Lima, 14 de julio del 2026</t>
        </is>
      </c>
      <c r="F5278" t="inlineStr">
        <is>
          <t>la venta</t>
        </is>
      </c>
      <c r="G5278" t="inlineStr">
        <is>
          <t>5</t>
        </is>
      </c>
      <c r="H5278" t="inlineStr">
        <is>
          <t>10 LBS</t>
        </is>
      </c>
      <c r="I5278" t="n">
        <v>2030</v>
      </c>
      <c r="J5278" t="n">
        <v>2025</v>
      </c>
      <c r="K5278" t="inlineStr">
        <is>
          <t>JULIO 2026</t>
        </is>
      </c>
      <c r="L5278" t="inlineStr">
        <is>
          <t>JULIO 2027</t>
        </is>
      </c>
      <c r="M5278" t="inlineStr">
        <is>
          <t>CO2 TIPO BC</t>
        </is>
      </c>
      <c r="N5278" t="inlineStr">
        <is>
          <t>16/000475</t>
        </is>
      </c>
      <c r="O5278" t="inlineStr">
        <is>
          <t>V</t>
        </is>
      </c>
      <c r="P5278">
        <f>TRIM(N5278)</f>
        <v/>
      </c>
    </row>
    <row r="5279">
      <c r="A5279" t="inlineStr">
        <is>
          <t>CO-002736</t>
        </is>
      </c>
      <c r="B5279" t="inlineStr">
        <is>
          <t>GACSA PERU S.A.C.</t>
        </is>
      </c>
      <c r="C5279" t="n">
        <v>20602629068</v>
      </c>
      <c r="D5279" t="inlineStr">
        <is>
          <t>Calle el Grifo 151 La Molina</t>
        </is>
      </c>
      <c r="E5279" t="inlineStr">
        <is>
          <t>Lima, 14 de julio del 2026</t>
        </is>
      </c>
      <c r="F5279" t="inlineStr">
        <is>
          <t>la venta</t>
        </is>
      </c>
      <c r="G5279" t="inlineStr">
        <is>
          <t>6</t>
        </is>
      </c>
      <c r="H5279" t="inlineStr">
        <is>
          <t>06 KG</t>
        </is>
      </c>
      <c r="I5279" t="n">
        <v>2031</v>
      </c>
      <c r="J5279" t="n">
        <v>2026</v>
      </c>
      <c r="K5279" t="inlineStr">
        <is>
          <t>JULIO 2026</t>
        </is>
      </c>
      <c r="L5279" t="inlineStr">
        <is>
          <t>JULIO 2027</t>
        </is>
      </c>
      <c r="M5279" t="inlineStr">
        <is>
          <t xml:space="preserve">PQS TIPO ABC </t>
        </is>
      </c>
      <c r="N5279" t="inlineStr">
        <is>
          <t>17/169291</t>
        </is>
      </c>
      <c r="O5279" t="inlineStr">
        <is>
          <t>V</t>
        </is>
      </c>
      <c r="P5279">
        <f>TRIM(N5279)</f>
        <v/>
      </c>
    </row>
    <row r="5280">
      <c r="A5280" t="inlineStr">
        <is>
          <t>CO-002736</t>
        </is>
      </c>
      <c r="B5280" t="inlineStr">
        <is>
          <t>GACSA PERU S.A.C.</t>
        </is>
      </c>
      <c r="C5280" t="n">
        <v>20602629068</v>
      </c>
      <c r="D5280" t="inlineStr">
        <is>
          <t>Calle el Grifo 151 La Molina</t>
        </is>
      </c>
      <c r="E5280" t="inlineStr">
        <is>
          <t>Lima, 14 de julio del 2026</t>
        </is>
      </c>
      <c r="F5280" t="inlineStr">
        <is>
          <t>la venta</t>
        </is>
      </c>
      <c r="G5280" t="inlineStr">
        <is>
          <t>7</t>
        </is>
      </c>
      <c r="H5280" t="inlineStr">
        <is>
          <t>06 KG</t>
        </is>
      </c>
      <c r="I5280" t="n">
        <v>2031</v>
      </c>
      <c r="J5280" t="n">
        <v>2026</v>
      </c>
      <c r="K5280" t="inlineStr">
        <is>
          <t>JULIO 2026</t>
        </is>
      </c>
      <c r="L5280" t="inlineStr">
        <is>
          <t>JULIO 2027</t>
        </is>
      </c>
      <c r="M5280" t="inlineStr">
        <is>
          <t xml:space="preserve">PQS TIPO ABC </t>
        </is>
      </c>
      <c r="N5280" t="inlineStr">
        <is>
          <t>18/169159</t>
        </is>
      </c>
      <c r="O5280" t="inlineStr">
        <is>
          <t>V</t>
        </is>
      </c>
      <c r="P5280">
        <f>TRIM(N5280)</f>
        <v/>
      </c>
    </row>
    <row r="5281">
      <c r="A5281" t="inlineStr">
        <is>
          <t>CO-002736</t>
        </is>
      </c>
      <c r="B5281" t="inlineStr">
        <is>
          <t>GACSA PERU S.A.C.</t>
        </is>
      </c>
      <c r="C5281" t="n">
        <v>20602629068</v>
      </c>
      <c r="D5281" t="inlineStr">
        <is>
          <t>Calle el Grifo 151 La Molina</t>
        </is>
      </c>
      <c r="E5281" t="inlineStr">
        <is>
          <t>Lima, 14 de julio del 2026</t>
        </is>
      </c>
      <c r="F5281" t="inlineStr">
        <is>
          <t>la venta</t>
        </is>
      </c>
      <c r="G5281" t="inlineStr">
        <is>
          <t>8</t>
        </is>
      </c>
      <c r="H5281" t="inlineStr">
        <is>
          <t>06 KG</t>
        </is>
      </c>
      <c r="I5281" t="n">
        <v>2031</v>
      </c>
      <c r="J5281" t="n">
        <v>2026</v>
      </c>
      <c r="K5281" t="inlineStr">
        <is>
          <t>JULIO 2026</t>
        </is>
      </c>
      <c r="L5281" t="inlineStr">
        <is>
          <t>JULIO 2027</t>
        </is>
      </c>
      <c r="M5281" t="inlineStr">
        <is>
          <t xml:space="preserve">PQS TIPO ABC </t>
        </is>
      </c>
      <c r="N5281" t="inlineStr">
        <is>
          <t>19/163815</t>
        </is>
      </c>
      <c r="O5281" t="inlineStr">
        <is>
          <t>V</t>
        </is>
      </c>
      <c r="P5281">
        <f>TRIM(N5281)</f>
        <v/>
      </c>
    </row>
    <row r="5282">
      <c r="A5282" t="inlineStr">
        <is>
          <t>CO-002736</t>
        </is>
      </c>
      <c r="B5282" t="inlineStr">
        <is>
          <t>GACSA PERU S.A.C.</t>
        </is>
      </c>
      <c r="C5282" t="n">
        <v>20602629068</v>
      </c>
      <c r="D5282" t="inlineStr">
        <is>
          <t>Calle el Grifo 151 La Molina</t>
        </is>
      </c>
      <c r="E5282" t="inlineStr">
        <is>
          <t>Lima, 14 de julio del 2026</t>
        </is>
      </c>
      <c r="F5282" t="inlineStr">
        <is>
          <t>la venta</t>
        </is>
      </c>
      <c r="G5282" t="n">
        <v>9</v>
      </c>
      <c r="H5282" t="inlineStr">
        <is>
          <t>06 KG</t>
        </is>
      </c>
      <c r="I5282" t="n">
        <v>2031</v>
      </c>
      <c r="J5282" t="n">
        <v>2026</v>
      </c>
      <c r="K5282" t="inlineStr">
        <is>
          <t>JULIO 2026</t>
        </is>
      </c>
      <c r="L5282" t="inlineStr">
        <is>
          <t>JULIO 2027</t>
        </is>
      </c>
      <c r="M5282" t="inlineStr">
        <is>
          <t xml:space="preserve">PQS TIPO ABC </t>
        </is>
      </c>
      <c r="N5282" t="inlineStr">
        <is>
          <t>20/002758</t>
        </is>
      </c>
      <c r="O5282" t="inlineStr">
        <is>
          <t>V</t>
        </is>
      </c>
      <c r="P5282">
        <f>TRIM(N5282)</f>
        <v/>
      </c>
    </row>
    <row r="5283">
      <c r="A5283" t="inlineStr">
        <is>
          <t>CO-002736</t>
        </is>
      </c>
      <c r="B5283" t="inlineStr">
        <is>
          <t>GACSA PERU S.A.C.</t>
        </is>
      </c>
      <c r="C5283" t="n">
        <v>20602629068</v>
      </c>
      <c r="D5283" t="inlineStr">
        <is>
          <t>Calle el Grifo 151 La Molina</t>
        </is>
      </c>
      <c r="E5283" t="inlineStr">
        <is>
          <t>Lima, 14 de julio del 2026</t>
        </is>
      </c>
      <c r="F5283" t="inlineStr">
        <is>
          <t>la venta</t>
        </is>
      </c>
      <c r="G5283" t="n">
        <v>10</v>
      </c>
      <c r="H5283" t="inlineStr">
        <is>
          <t>05 LBS</t>
        </is>
      </c>
      <c r="I5283" t="n">
        <v>2031</v>
      </c>
      <c r="J5283" t="n">
        <v>2026</v>
      </c>
      <c r="K5283" t="inlineStr">
        <is>
          <t>JULIO 2026</t>
        </is>
      </c>
      <c r="L5283" t="inlineStr">
        <is>
          <t>JULIO 2027</t>
        </is>
      </c>
      <c r="M5283" t="inlineStr">
        <is>
          <t>CO2 TIPO BC</t>
        </is>
      </c>
      <c r="N5283" t="inlineStr">
        <is>
          <t>21/000083</t>
        </is>
      </c>
      <c r="O5283" t="inlineStr">
        <is>
          <t>V</t>
        </is>
      </c>
      <c r="P5283">
        <f>TRIM(N5283)</f>
        <v/>
      </c>
    </row>
    <row r="5284">
      <c r="A5284" t="inlineStr">
        <is>
          <t>CO-002736</t>
        </is>
      </c>
      <c r="B5284" t="inlineStr">
        <is>
          <t>GACSA PERU S.A.C.</t>
        </is>
      </c>
      <c r="C5284" t="n">
        <v>20602629068</v>
      </c>
      <c r="D5284" t="inlineStr">
        <is>
          <t>Calle el Grifo 151 La Molina</t>
        </is>
      </c>
      <c r="E5284" t="inlineStr">
        <is>
          <t>Lima, 14 de julio del 2026</t>
        </is>
      </c>
      <c r="F5284" t="inlineStr">
        <is>
          <t>la venta</t>
        </is>
      </c>
      <c r="G5284" t="n">
        <v>11</v>
      </c>
      <c r="H5284" t="inlineStr">
        <is>
          <t>50 KG</t>
        </is>
      </c>
      <c r="I5284" t="n">
        <v>2031</v>
      </c>
      <c r="J5284" t="n">
        <v>2026</v>
      </c>
      <c r="K5284" t="inlineStr">
        <is>
          <t>JULIO 2026</t>
        </is>
      </c>
      <c r="L5284" t="inlineStr">
        <is>
          <t>JULIO 2027</t>
        </is>
      </c>
      <c r="M5284" t="inlineStr">
        <is>
          <t>PQS TIPO ABC AL 75% RODANTE</t>
        </is>
      </c>
      <c r="N5284" t="inlineStr">
        <is>
          <t>22/000139</t>
        </is>
      </c>
      <c r="O5284" t="inlineStr">
        <is>
          <t>V</t>
        </is>
      </c>
      <c r="P5284">
        <f>TRIM(N5284)</f>
        <v/>
      </c>
    </row>
    <row r="5285">
      <c r="A5285" t="inlineStr">
        <is>
          <t>CO-002804</t>
        </is>
      </c>
      <c r="B5285" t="inlineStr">
        <is>
          <t xml:space="preserve">JESUS URETA </t>
        </is>
      </c>
      <c r="D5285" t="inlineStr">
        <is>
          <t>MERCADO FRONTERA -  PSTO A7</t>
        </is>
      </c>
      <c r="E5285" t="inlineStr">
        <is>
          <t>Lima, 16 de julio del 2026</t>
        </is>
      </c>
      <c r="F5285" t="inlineStr">
        <is>
          <t>la Recarga y mantenimiento</t>
        </is>
      </c>
      <c r="G5285" t="inlineStr">
        <is>
          <t>01</t>
        </is>
      </c>
      <c r="H5285" t="inlineStr">
        <is>
          <t>06 KG</t>
        </is>
      </c>
      <c r="I5285" t="inlineStr">
        <is>
          <t xml:space="preserve">VIGENTE </t>
        </is>
      </c>
      <c r="J5285" t="n">
        <v>2015</v>
      </c>
      <c r="K5285" t="inlineStr">
        <is>
          <t>JULIO 2026</t>
        </is>
      </c>
      <c r="L5285" t="inlineStr">
        <is>
          <t>JULIO 2027</t>
        </is>
      </c>
      <c r="M5285" t="inlineStr">
        <is>
          <t>PQS TIPO ABC AL 75%</t>
        </is>
      </c>
      <c r="N5285" t="inlineStr">
        <is>
          <t>001991</t>
        </is>
      </c>
      <c r="O5285" t="inlineStr">
        <is>
          <t>R</t>
        </is>
      </c>
      <c r="P5285">
        <f>TRIM(N5285)</f>
        <v/>
      </c>
    </row>
    <row r="5286">
      <c r="A5286" t="inlineStr">
        <is>
          <t>CO-002805</t>
        </is>
      </c>
      <c r="B5286" t="inlineStr">
        <is>
          <t xml:space="preserve">MARIBEL URETA </t>
        </is>
      </c>
      <c r="D5286" t="inlineStr">
        <is>
          <t>MERCADO FRONTERA - PSTO A6</t>
        </is>
      </c>
      <c r="E5286" t="inlineStr">
        <is>
          <t>Lima, 16 de julio del 2026</t>
        </is>
      </c>
      <c r="F5286" t="inlineStr">
        <is>
          <t>la Recarga y mantenimiento</t>
        </is>
      </c>
      <c r="G5286" t="inlineStr">
        <is>
          <t>01</t>
        </is>
      </c>
      <c r="H5286" t="inlineStr">
        <is>
          <t>06 KG</t>
        </is>
      </c>
      <c r="I5286" t="inlineStr">
        <is>
          <t xml:space="preserve">VIGENTE </t>
        </is>
      </c>
      <c r="J5286" t="n">
        <v>2019</v>
      </c>
      <c r="K5286" t="inlineStr">
        <is>
          <t>JULIO 2026</t>
        </is>
      </c>
      <c r="L5286" t="inlineStr">
        <is>
          <t>JULIO 2027</t>
        </is>
      </c>
      <c r="M5286" t="inlineStr">
        <is>
          <t>PQS TIPO ABC AL 75%</t>
        </is>
      </c>
      <c r="N5286" t="inlineStr">
        <is>
          <t>008682</t>
        </is>
      </c>
      <c r="O5286" t="inlineStr">
        <is>
          <t>R</t>
        </is>
      </c>
      <c r="P5286">
        <f>TRIM(N5286)</f>
        <v/>
      </c>
    </row>
    <row r="5287">
      <c r="A5287" t="inlineStr">
        <is>
          <t>CO-002806</t>
        </is>
      </c>
      <c r="B5287" t="inlineStr">
        <is>
          <t xml:space="preserve">PERU MASIVO SA - BUSES </t>
        </is>
      </c>
      <c r="C5287" t="inlineStr">
        <is>
          <t>20492392031</t>
        </is>
      </c>
      <c r="D5287" t="inlineStr">
        <is>
          <t>AV. LOS INCAS CDRA. 4 PATIO NORTE - COMAS</t>
        </is>
      </c>
      <c r="E5287" t="inlineStr">
        <is>
          <t>Lima, 18 de julio del 2026</t>
        </is>
      </c>
      <c r="F5287" t="inlineStr">
        <is>
          <t>la Recarga y mantenimiento</t>
        </is>
      </c>
      <c r="G5287" t="inlineStr">
        <is>
          <t>01</t>
        </is>
      </c>
      <c r="H5287" t="inlineStr">
        <is>
          <t>06 KG</t>
        </is>
      </c>
      <c r="I5287" t="n">
        <v>2028</v>
      </c>
      <c r="J5287" t="n">
        <v>2010</v>
      </c>
      <c r="K5287" t="inlineStr">
        <is>
          <t>JULIO 2026</t>
        </is>
      </c>
      <c r="L5287" t="inlineStr">
        <is>
          <t>JULIO 2027</t>
        </is>
      </c>
      <c r="M5287" t="inlineStr">
        <is>
          <t>PQS/ABC AL 90% NACIONAL</t>
        </is>
      </c>
      <c r="N5287" t="inlineStr">
        <is>
          <t>202/000148</t>
        </is>
      </c>
      <c r="O5287" t="inlineStr">
        <is>
          <t>R</t>
        </is>
      </c>
      <c r="P5287">
        <f>TRIM(N5287)</f>
        <v/>
      </c>
    </row>
    <row r="5288">
      <c r="A5288" t="inlineStr">
        <is>
          <t>CO-002806</t>
        </is>
      </c>
      <c r="B5288" t="inlineStr">
        <is>
          <t xml:space="preserve">PERU MASIVO SA - BUSES </t>
        </is>
      </c>
      <c r="C5288" t="inlineStr">
        <is>
          <t>20492392031</t>
        </is>
      </c>
      <c r="D5288" t="inlineStr">
        <is>
          <t>AV. LOS INCAS CDRA. 4 PATIO NORTE - COMAS</t>
        </is>
      </c>
      <c r="E5288" t="inlineStr">
        <is>
          <t>Lima, 18 de julio del 2026</t>
        </is>
      </c>
      <c r="F5288" t="inlineStr">
        <is>
          <t>la Recarga y mantenimiento</t>
        </is>
      </c>
      <c r="G5288" t="inlineStr">
        <is>
          <t>2</t>
        </is>
      </c>
      <c r="H5288" t="inlineStr">
        <is>
          <t>06 KG</t>
        </is>
      </c>
      <c r="I5288" t="n">
        <v>2028</v>
      </c>
      <c r="J5288" t="n">
        <v>2008</v>
      </c>
      <c r="K5288" t="inlineStr">
        <is>
          <t>JULIO 2026</t>
        </is>
      </c>
      <c r="L5288" t="inlineStr">
        <is>
          <t>JULIO 2027</t>
        </is>
      </c>
      <c r="M5288" t="inlineStr">
        <is>
          <t>PQS/ABC AL 90% NACIONAL</t>
        </is>
      </c>
      <c r="N5288" t="inlineStr">
        <is>
          <t>A01/000667</t>
        </is>
      </c>
      <c r="O5288" t="inlineStr">
        <is>
          <t>R</t>
        </is>
      </c>
      <c r="P5288">
        <f>TRIM(N5288)</f>
        <v/>
      </c>
    </row>
    <row r="5289">
      <c r="A5289" t="inlineStr">
        <is>
          <t>CO-002806</t>
        </is>
      </c>
      <c r="B5289" t="inlineStr">
        <is>
          <t xml:space="preserve">PERU MASIVO SA - BUSES </t>
        </is>
      </c>
      <c r="C5289" t="inlineStr">
        <is>
          <t>20492392031</t>
        </is>
      </c>
      <c r="D5289" t="inlineStr">
        <is>
          <t>AV. LOS INCAS CDRA. 4 PATIO NORTE - COMAS</t>
        </is>
      </c>
      <c r="E5289" t="inlineStr">
        <is>
          <t>Lima, 18 de julio del 2026</t>
        </is>
      </c>
      <c r="F5289" t="inlineStr">
        <is>
          <t>la Recarga y mantenimiento</t>
        </is>
      </c>
      <c r="G5289" t="inlineStr">
        <is>
          <t>3</t>
        </is>
      </c>
      <c r="H5289" t="inlineStr">
        <is>
          <t>06 KG</t>
        </is>
      </c>
      <c r="I5289" t="n">
        <v>2028</v>
      </c>
      <c r="J5289" t="n">
        <v>2014</v>
      </c>
      <c r="K5289" t="inlineStr">
        <is>
          <t>JULIO 2026</t>
        </is>
      </c>
      <c r="L5289" t="inlineStr">
        <is>
          <t>JULIO 2027</t>
        </is>
      </c>
      <c r="M5289" t="inlineStr">
        <is>
          <t>PQS/ABC AL 90% NACIONAL</t>
        </is>
      </c>
      <c r="N5289" t="inlineStr">
        <is>
          <t>270/000338</t>
        </is>
      </c>
      <c r="O5289" t="inlineStr">
        <is>
          <t>R</t>
        </is>
      </c>
      <c r="P5289">
        <f>TRIM(N5289)</f>
        <v/>
      </c>
    </row>
    <row r="5290">
      <c r="A5290" t="inlineStr">
        <is>
          <t>CO-002806</t>
        </is>
      </c>
      <c r="B5290" t="inlineStr">
        <is>
          <t xml:space="preserve">PERU MASIVO SA - BUSES </t>
        </is>
      </c>
      <c r="C5290" t="inlineStr">
        <is>
          <t>20492392031</t>
        </is>
      </c>
      <c r="D5290" t="inlineStr">
        <is>
          <t>AV. LOS INCAS CDRA. 4 PATIO NORTE - COMAS</t>
        </is>
      </c>
      <c r="E5290" t="inlineStr">
        <is>
          <t>Lima, 18 de julio del 2026</t>
        </is>
      </c>
      <c r="F5290" t="inlineStr">
        <is>
          <t>la Recarga y mantenimiento</t>
        </is>
      </c>
      <c r="G5290" t="inlineStr">
        <is>
          <t>4</t>
        </is>
      </c>
      <c r="H5290" t="inlineStr">
        <is>
          <t>06 KG</t>
        </is>
      </c>
      <c r="I5290" t="n">
        <v>2028</v>
      </c>
      <c r="J5290" t="n">
        <v>2010</v>
      </c>
      <c r="K5290" t="inlineStr">
        <is>
          <t>JULIO 2026</t>
        </is>
      </c>
      <c r="L5290" t="inlineStr">
        <is>
          <t>JULIO 2027</t>
        </is>
      </c>
      <c r="M5290" t="inlineStr">
        <is>
          <t>PQS/ABC AL 90% NACIONAL</t>
        </is>
      </c>
      <c r="N5290" t="inlineStr">
        <is>
          <t>15/002423</t>
        </is>
      </c>
      <c r="O5290" t="inlineStr">
        <is>
          <t>R</t>
        </is>
      </c>
      <c r="P5290">
        <f>TRIM(N5290)</f>
        <v/>
      </c>
    </row>
    <row r="5291">
      <c r="A5291" t="inlineStr">
        <is>
          <t>CO-002806</t>
        </is>
      </c>
      <c r="B5291" t="inlineStr">
        <is>
          <t xml:space="preserve">PERU MASIVO SA - BUSES </t>
        </is>
      </c>
      <c r="C5291" t="inlineStr">
        <is>
          <t>20492392031</t>
        </is>
      </c>
      <c r="D5291" t="inlineStr">
        <is>
          <t>AV. LOS INCAS CDRA. 4 PATIO NORTE - COMAS</t>
        </is>
      </c>
      <c r="E5291" t="inlineStr">
        <is>
          <t>Lima, 18 de julio del 2026</t>
        </is>
      </c>
      <c r="F5291" t="inlineStr">
        <is>
          <t>la Recarga y mantenimiento</t>
        </is>
      </c>
      <c r="G5291" t="inlineStr">
        <is>
          <t>5</t>
        </is>
      </c>
      <c r="H5291" t="inlineStr">
        <is>
          <t>06 KG</t>
        </is>
      </c>
      <c r="I5291" t="n">
        <v>2028</v>
      </c>
      <c r="J5291" t="n">
        <v>2009</v>
      </c>
      <c r="K5291" t="inlineStr">
        <is>
          <t>JULIO 2026</t>
        </is>
      </c>
      <c r="L5291" t="inlineStr">
        <is>
          <t>JULIO 2027</t>
        </is>
      </c>
      <c r="M5291" t="inlineStr">
        <is>
          <t>PQS/ABC AL 90% NACIONAL</t>
        </is>
      </c>
      <c r="N5291" t="inlineStr">
        <is>
          <t>23/000448</t>
        </is>
      </c>
      <c r="O5291" t="inlineStr">
        <is>
          <t>R</t>
        </is>
      </c>
      <c r="P5291">
        <f>TRIM(N5291)</f>
        <v/>
      </c>
    </row>
    <row r="5292">
      <c r="A5292" t="inlineStr">
        <is>
          <t>CO-002806</t>
        </is>
      </c>
      <c r="B5292" t="inlineStr">
        <is>
          <t xml:space="preserve">PERU MASIVO SA - BUSES </t>
        </is>
      </c>
      <c r="C5292" t="inlineStr">
        <is>
          <t>20492392031</t>
        </is>
      </c>
      <c r="D5292" t="inlineStr">
        <is>
          <t>AV. LOS INCAS CDRA. 4 PATIO NORTE - COMAS</t>
        </is>
      </c>
      <c r="E5292" t="inlineStr">
        <is>
          <t>Lima, 18 de julio del 2026</t>
        </is>
      </c>
      <c r="F5292" t="inlineStr">
        <is>
          <t>la Recarga y mantenimiento</t>
        </is>
      </c>
      <c r="G5292" t="inlineStr">
        <is>
          <t>6</t>
        </is>
      </c>
      <c r="H5292" t="inlineStr">
        <is>
          <t>06 KG</t>
        </is>
      </c>
      <c r="I5292" t="n">
        <v>2028</v>
      </c>
      <c r="J5292" t="n">
        <v>2010</v>
      </c>
      <c r="K5292" t="inlineStr">
        <is>
          <t>JULIO 2026</t>
        </is>
      </c>
      <c r="L5292" t="inlineStr">
        <is>
          <t>JULIO 2027</t>
        </is>
      </c>
      <c r="M5292" t="inlineStr">
        <is>
          <t>PQS/ABC AL 90% NACIONAL</t>
        </is>
      </c>
      <c r="N5292" t="inlineStr">
        <is>
          <t>282/000215</t>
        </is>
      </c>
      <c r="O5292" t="inlineStr">
        <is>
          <t>R</t>
        </is>
      </c>
      <c r="P5292">
        <f>TRIM(N5292)</f>
        <v/>
      </c>
    </row>
    <row r="5293">
      <c r="A5293" t="inlineStr">
        <is>
          <t>CO-002806</t>
        </is>
      </c>
      <c r="B5293" t="inlineStr">
        <is>
          <t xml:space="preserve">PERU MASIVO SA - BUSES </t>
        </is>
      </c>
      <c r="C5293" t="inlineStr">
        <is>
          <t>20492392031</t>
        </is>
      </c>
      <c r="D5293" t="inlineStr">
        <is>
          <t>AV. LOS INCAS CDRA. 4 PATIO NORTE - COMAS</t>
        </is>
      </c>
      <c r="E5293" t="inlineStr">
        <is>
          <t>Lima, 18 de julio del 2026</t>
        </is>
      </c>
      <c r="F5293" t="inlineStr">
        <is>
          <t>la Recarga y mantenimiento</t>
        </is>
      </c>
      <c r="G5293" t="inlineStr">
        <is>
          <t>7</t>
        </is>
      </c>
      <c r="H5293" t="inlineStr">
        <is>
          <t>06 KG</t>
        </is>
      </c>
      <c r="I5293" t="n">
        <v>2028</v>
      </c>
      <c r="J5293" t="n">
        <v>2011</v>
      </c>
      <c r="K5293" t="inlineStr">
        <is>
          <t>JULIO 2026</t>
        </is>
      </c>
      <c r="L5293" t="inlineStr">
        <is>
          <t>JULIO 2027</t>
        </is>
      </c>
      <c r="M5293" t="inlineStr">
        <is>
          <t>PQS/ABC AL 90% NACIONAL</t>
        </is>
      </c>
      <c r="N5293" t="inlineStr">
        <is>
          <t>117/001782</t>
        </is>
      </c>
      <c r="O5293" t="inlineStr">
        <is>
          <t>R</t>
        </is>
      </c>
      <c r="P5293">
        <f>TRIM(N5293)</f>
        <v/>
      </c>
    </row>
    <row r="5294">
      <c r="A5294" t="inlineStr">
        <is>
          <t>CO-002806</t>
        </is>
      </c>
      <c r="B5294" t="inlineStr">
        <is>
          <t xml:space="preserve">PERU MASIVO SA - BUSES </t>
        </is>
      </c>
      <c r="C5294" t="inlineStr">
        <is>
          <t>20492392031</t>
        </is>
      </c>
      <c r="D5294" t="inlineStr">
        <is>
          <t>AV. LOS INCAS CDRA. 4 PATIO NORTE - COMAS</t>
        </is>
      </c>
      <c r="E5294" t="inlineStr">
        <is>
          <t>Lima, 18 de julio del 2026</t>
        </is>
      </c>
      <c r="F5294" t="inlineStr">
        <is>
          <t>la Recarga y mantenimiento</t>
        </is>
      </c>
      <c r="G5294" t="n">
        <v>8</v>
      </c>
      <c r="H5294" t="inlineStr">
        <is>
          <t>06 KG</t>
        </is>
      </c>
      <c r="I5294" t="n">
        <v>2028</v>
      </c>
      <c r="J5294" t="n">
        <v>2009</v>
      </c>
      <c r="K5294" t="inlineStr">
        <is>
          <t>JULIO 2026</t>
        </is>
      </c>
      <c r="L5294" t="inlineStr">
        <is>
          <t>JULIO 2027</t>
        </is>
      </c>
      <c r="M5294" t="inlineStr">
        <is>
          <t>PQS/ABC AL 90% NACIONAL</t>
        </is>
      </c>
      <c r="N5294" t="inlineStr">
        <is>
          <t>275/000693</t>
        </is>
      </c>
      <c r="O5294" t="inlineStr">
        <is>
          <t>R</t>
        </is>
      </c>
      <c r="P5294">
        <f>TRIM(N5294)</f>
        <v/>
      </c>
    </row>
    <row r="5295">
      <c r="A5295" t="inlineStr">
        <is>
          <t>CO-002806</t>
        </is>
      </c>
      <c r="B5295" t="inlineStr">
        <is>
          <t xml:space="preserve">PERU MASIVO SA - BUSES </t>
        </is>
      </c>
      <c r="C5295" t="inlineStr">
        <is>
          <t>20492392031</t>
        </is>
      </c>
      <c r="D5295" t="inlineStr">
        <is>
          <t>AV. LOS INCAS CDRA. 4 PATIO NORTE - COMAS</t>
        </is>
      </c>
      <c r="E5295" t="inlineStr">
        <is>
          <t>Lima, 18 de julio del 2026</t>
        </is>
      </c>
      <c r="F5295" t="inlineStr">
        <is>
          <t>la Recarga y mantenimiento</t>
        </is>
      </c>
      <c r="G5295" t="n">
        <v>9</v>
      </c>
      <c r="H5295" t="inlineStr">
        <is>
          <t>06 KG</t>
        </is>
      </c>
      <c r="I5295" t="n">
        <v>2028</v>
      </c>
      <c r="J5295" t="n">
        <v>2010</v>
      </c>
      <c r="K5295" t="inlineStr">
        <is>
          <t>JULIO 2026</t>
        </is>
      </c>
      <c r="L5295" t="inlineStr">
        <is>
          <t>JULIO 2027</t>
        </is>
      </c>
      <c r="M5295" t="inlineStr">
        <is>
          <t>PQS/ABC AL 90% NACIONAL</t>
        </is>
      </c>
      <c r="N5295" t="inlineStr">
        <is>
          <t>232/000037</t>
        </is>
      </c>
      <c r="O5295" t="inlineStr">
        <is>
          <t>R</t>
        </is>
      </c>
      <c r="P5295">
        <f>TRIM(N5295)</f>
        <v/>
      </c>
    </row>
    <row r="5296">
      <c r="A5296" t="inlineStr">
        <is>
          <t>CO-002806</t>
        </is>
      </c>
      <c r="B5296" t="inlineStr">
        <is>
          <t xml:space="preserve">PERU MASIVO SA - BUSES </t>
        </is>
      </c>
      <c r="C5296" t="inlineStr">
        <is>
          <t>20492392031</t>
        </is>
      </c>
      <c r="D5296" t="inlineStr">
        <is>
          <t>AV. LOS INCAS CDRA. 4 PATIO NORTE - COMAS</t>
        </is>
      </c>
      <c r="E5296" t="inlineStr">
        <is>
          <t>Lima, 18 de julio del 2026</t>
        </is>
      </c>
      <c r="F5296" t="inlineStr">
        <is>
          <t>la Recarga y mantenimiento</t>
        </is>
      </c>
      <c r="G5296" t="n">
        <v>10</v>
      </c>
      <c r="H5296" t="inlineStr">
        <is>
          <t>06 KG</t>
        </is>
      </c>
      <c r="I5296" t="n">
        <v>2028</v>
      </c>
      <c r="J5296" t="n">
        <v>2010</v>
      </c>
      <c r="K5296" t="inlineStr">
        <is>
          <t>JULIO 2026</t>
        </is>
      </c>
      <c r="L5296" t="inlineStr">
        <is>
          <t>JULIO 2027</t>
        </is>
      </c>
      <c r="M5296" t="inlineStr">
        <is>
          <t>PQS/ABC AL 90% NACIONAL</t>
        </is>
      </c>
      <c r="N5296" t="inlineStr">
        <is>
          <t>186/000494</t>
        </is>
      </c>
      <c r="O5296" t="inlineStr">
        <is>
          <t>R</t>
        </is>
      </c>
      <c r="P5296">
        <f>TRIM(N5296)</f>
        <v/>
      </c>
    </row>
    <row r="5297">
      <c r="A5297" t="inlineStr">
        <is>
          <t>CO-002806</t>
        </is>
      </c>
      <c r="B5297" t="inlineStr">
        <is>
          <t xml:space="preserve">PERU MASIVO SA - BUSES </t>
        </is>
      </c>
      <c r="C5297" t="inlineStr">
        <is>
          <t>20492392031</t>
        </is>
      </c>
      <c r="D5297" t="inlineStr">
        <is>
          <t>AV. LOS INCAS CDRA. 4 PATIO NORTE - COMAS</t>
        </is>
      </c>
      <c r="E5297" t="inlineStr">
        <is>
          <t>Lima, 18 de julio del 2026</t>
        </is>
      </c>
      <c r="F5297" t="inlineStr">
        <is>
          <t>la Recarga y mantenimiento</t>
        </is>
      </c>
      <c r="G5297" t="n">
        <v>11</v>
      </c>
      <c r="H5297" t="inlineStr">
        <is>
          <t>06 KG</t>
        </is>
      </c>
      <c r="I5297" t="n">
        <v>2028</v>
      </c>
      <c r="J5297" t="n">
        <v>2010</v>
      </c>
      <c r="K5297" t="inlineStr">
        <is>
          <t>JULIO 2026</t>
        </is>
      </c>
      <c r="L5297" t="inlineStr">
        <is>
          <t>JULIO 2027</t>
        </is>
      </c>
      <c r="M5297" t="inlineStr">
        <is>
          <t>PQS/ABC AL 90% NACIONAL</t>
        </is>
      </c>
      <c r="N5297" t="inlineStr">
        <is>
          <t>317/000005</t>
        </is>
      </c>
      <c r="O5297" t="inlineStr">
        <is>
          <t>R</t>
        </is>
      </c>
      <c r="P5297">
        <f>TRIM(N5297)</f>
        <v/>
      </c>
    </row>
    <row r="5298">
      <c r="A5298" t="inlineStr">
        <is>
          <t>CO-002806</t>
        </is>
      </c>
      <c r="B5298" t="inlineStr">
        <is>
          <t xml:space="preserve">PERU MASIVO SA - BUSES </t>
        </is>
      </c>
      <c r="C5298" t="inlineStr">
        <is>
          <t>20492392031</t>
        </is>
      </c>
      <c r="D5298" t="inlineStr">
        <is>
          <t>AV. LOS INCAS CDRA. 4 PATIO NORTE - COMAS</t>
        </is>
      </c>
      <c r="E5298" t="inlineStr">
        <is>
          <t>Lima, 18 de julio del 2026</t>
        </is>
      </c>
      <c r="F5298" t="inlineStr">
        <is>
          <t>la Recarga y mantenimiento</t>
        </is>
      </c>
      <c r="G5298" t="n">
        <v>12</v>
      </c>
      <c r="H5298" t="inlineStr">
        <is>
          <t>06 KG</t>
        </is>
      </c>
      <c r="I5298" t="n">
        <v>2028</v>
      </c>
      <c r="J5298" t="n">
        <v>2010</v>
      </c>
      <c r="K5298" t="inlineStr">
        <is>
          <t>JULIO 2026</t>
        </is>
      </c>
      <c r="L5298" t="inlineStr">
        <is>
          <t>JULIO 2027</t>
        </is>
      </c>
      <c r="M5298" t="inlineStr">
        <is>
          <t>PQS/ABC AL 90% NACIONAL</t>
        </is>
      </c>
      <c r="N5298" t="inlineStr">
        <is>
          <t>357/000009</t>
        </is>
      </c>
      <c r="O5298" t="inlineStr">
        <is>
          <t>R</t>
        </is>
      </c>
      <c r="P5298">
        <f>TRIM(N5298)</f>
        <v/>
      </c>
    </row>
    <row r="5299">
      <c r="A5299" t="inlineStr">
        <is>
          <t>CO-002807</t>
        </is>
      </c>
      <c r="B5299" t="inlineStr">
        <is>
          <t>PASTELERIA LA PANACOTTA -DE : JORGES RAMOS CINDY ELKA</t>
        </is>
      </c>
      <c r="C5299" t="n">
        <v>10427551500</v>
      </c>
      <c r="D5299" t="inlineStr">
        <is>
          <t xml:space="preserve">AV MICAELA BASTIDAS </t>
        </is>
      </c>
      <c r="E5299" t="inlineStr">
        <is>
          <t>Lima, 21 de julio del 2026</t>
        </is>
      </c>
      <c r="F5299" t="inlineStr">
        <is>
          <t>la Recarga y mantenimiento</t>
        </is>
      </c>
      <c r="G5299" t="inlineStr">
        <is>
          <t>01</t>
        </is>
      </c>
      <c r="H5299" t="inlineStr">
        <is>
          <t>2.5 GLS</t>
        </is>
      </c>
      <c r="I5299" t="n">
        <v>2031</v>
      </c>
      <c r="J5299" t="n">
        <v>2021</v>
      </c>
      <c r="K5299" t="inlineStr">
        <is>
          <t>JULIO 2026</t>
        </is>
      </c>
      <c r="L5299" t="inlineStr">
        <is>
          <t>JULIO 2027</t>
        </is>
      </c>
      <c r="M5299" t="inlineStr">
        <is>
          <t>ACETATO TIPO K</t>
        </is>
      </c>
      <c r="N5299" t="inlineStr">
        <is>
          <t>01/000743</t>
        </is>
      </c>
      <c r="O5299" t="inlineStr">
        <is>
          <t>R</t>
        </is>
      </c>
      <c r="P5299">
        <f>TRIM(N5299)</f>
        <v/>
      </c>
    </row>
    <row r="5300">
      <c r="A5300" t="inlineStr">
        <is>
          <t>CO-002807</t>
        </is>
      </c>
      <c r="B5300" t="inlineStr">
        <is>
          <t>PASTELERIA LA PANACOTTA -DE : JORGES RAMOS CINDY ELKA</t>
        </is>
      </c>
      <c r="C5300" t="n">
        <v>10427551500</v>
      </c>
      <c r="D5300" t="inlineStr">
        <is>
          <t xml:space="preserve">AV MICAELA BASTIDAS </t>
        </is>
      </c>
      <c r="E5300" t="inlineStr">
        <is>
          <t>Lima, 21 de julio del 2026</t>
        </is>
      </c>
      <c r="F5300" t="inlineStr">
        <is>
          <t>la Recarga y mantenimiento</t>
        </is>
      </c>
      <c r="G5300" t="inlineStr">
        <is>
          <t>2</t>
        </is>
      </c>
      <c r="H5300" t="inlineStr">
        <is>
          <t>06 KG</t>
        </is>
      </c>
      <c r="I5300" t="n">
        <v>2031</v>
      </c>
      <c r="J5300" t="n">
        <v>2007</v>
      </c>
      <c r="K5300" t="inlineStr">
        <is>
          <t>JULIO 2026</t>
        </is>
      </c>
      <c r="L5300" t="inlineStr">
        <is>
          <t>JULIO 2027</t>
        </is>
      </c>
      <c r="M5300" t="inlineStr">
        <is>
          <t>PQS TIPO ABC AL 75%</t>
        </is>
      </c>
      <c r="N5300" t="inlineStr">
        <is>
          <t>02/001055</t>
        </is>
      </c>
      <c r="O5300" t="inlineStr">
        <is>
          <t>R</t>
        </is>
      </c>
      <c r="P5300">
        <f>TRIM(N5300)</f>
        <v/>
      </c>
    </row>
    <row r="5301">
      <c r="A5301" t="inlineStr">
        <is>
          <t>CO-002807</t>
        </is>
      </c>
      <c r="B5301" t="inlineStr">
        <is>
          <t>PASTELERIA LA PANACOTTA -DE : JORGES RAMOS CINDY ELKA</t>
        </is>
      </c>
      <c r="C5301" t="n">
        <v>10427551500</v>
      </c>
      <c r="D5301" t="inlineStr">
        <is>
          <t xml:space="preserve">AV MICAELA BASTIDAS </t>
        </is>
      </c>
      <c r="E5301" t="inlineStr">
        <is>
          <t>Lima, 21 de julio del 2026</t>
        </is>
      </c>
      <c r="F5301" t="inlineStr">
        <is>
          <t>la Recarga y mantenimiento</t>
        </is>
      </c>
      <c r="G5301" t="inlineStr">
        <is>
          <t>3</t>
        </is>
      </c>
      <c r="H5301" t="inlineStr">
        <is>
          <t>06 KG</t>
        </is>
      </c>
      <c r="I5301" t="n">
        <v>2031</v>
      </c>
      <c r="J5301" t="n">
        <v>2026</v>
      </c>
      <c r="K5301" t="inlineStr">
        <is>
          <t>JULIO 2026</t>
        </is>
      </c>
      <c r="L5301" t="inlineStr">
        <is>
          <t>JULIO 2027</t>
        </is>
      </c>
      <c r="M5301" t="inlineStr">
        <is>
          <t>PQS TIPO ABC AL 75%</t>
        </is>
      </c>
      <c r="N5301" t="inlineStr">
        <is>
          <t>03/169355</t>
        </is>
      </c>
      <c r="O5301" t="inlineStr">
        <is>
          <t>V</t>
        </is>
      </c>
      <c r="P5301">
        <f>TRIM(N5301)</f>
        <v/>
      </c>
    </row>
    <row r="5302">
      <c r="A5302" t="inlineStr">
        <is>
          <t>CO-002808</t>
        </is>
      </c>
      <c r="B5302" t="inlineStr">
        <is>
          <t>SUNAT - AREQUIPA - SEDE MOLLENDO</t>
        </is>
      </c>
      <c r="C5302" t="inlineStr">
        <is>
          <t>20131312955</t>
        </is>
      </c>
      <c r="D5302" t="inlineStr">
        <is>
          <t>Av. Tupac Amaru 102 Urb. Miramar</t>
        </is>
      </c>
      <c r="E5302" t="inlineStr">
        <is>
          <t>Lima, 21 de julio del 2026</t>
        </is>
      </c>
      <c r="F5302" t="inlineStr">
        <is>
          <t>la Recarga y mantenimiento</t>
        </is>
      </c>
      <c r="G5302" t="inlineStr">
        <is>
          <t>01</t>
        </is>
      </c>
      <c r="H5302" t="inlineStr">
        <is>
          <t>04 KG</t>
        </is>
      </c>
      <c r="I5302" t="n">
        <v>2031</v>
      </c>
      <c r="J5302" t="n">
        <v>2015</v>
      </c>
      <c r="K5302" t="inlineStr">
        <is>
          <t>JULIO 2026</t>
        </is>
      </c>
      <c r="L5302" t="inlineStr">
        <is>
          <t>JULIO 2027</t>
        </is>
      </c>
      <c r="M5302" t="inlineStr">
        <is>
          <t>PQS TIPO ABC AL 90%</t>
        </is>
      </c>
      <c r="N5302" t="inlineStr">
        <is>
          <t>S/N/00397</t>
        </is>
      </c>
      <c r="O5302" t="inlineStr">
        <is>
          <t>R</t>
        </is>
      </c>
      <c r="P5302">
        <f>TRIM(N5302)</f>
        <v/>
      </c>
    </row>
    <row r="5303">
      <c r="A5303" t="inlineStr">
        <is>
          <t>CO-002808</t>
        </is>
      </c>
      <c r="B5303" t="inlineStr">
        <is>
          <t>SUNAT - AREQUIPA - SEDE MOLLENDO</t>
        </is>
      </c>
      <c r="C5303" t="inlineStr">
        <is>
          <t>20131312955</t>
        </is>
      </c>
      <c r="D5303" t="inlineStr">
        <is>
          <t>Av. Tupac Amaru 102 Urb. Miramar</t>
        </is>
      </c>
      <c r="E5303" t="inlineStr">
        <is>
          <t>Lima, 21 de julio del 2026</t>
        </is>
      </c>
      <c r="F5303" t="inlineStr">
        <is>
          <t>la Recarga y mantenimiento</t>
        </is>
      </c>
      <c r="G5303" t="inlineStr">
        <is>
          <t>2</t>
        </is>
      </c>
      <c r="H5303" t="inlineStr">
        <is>
          <t>02 KG</t>
        </is>
      </c>
      <c r="I5303" t="n">
        <v>2031</v>
      </c>
      <c r="J5303" t="n">
        <v>2013</v>
      </c>
      <c r="K5303" t="inlineStr">
        <is>
          <t>JULIO 2026</t>
        </is>
      </c>
      <c r="L5303" t="inlineStr">
        <is>
          <t>JULIO 2027</t>
        </is>
      </c>
      <c r="M5303" t="inlineStr">
        <is>
          <t>PQS TIPO ABC AL 90%</t>
        </is>
      </c>
      <c r="N5303" t="inlineStr">
        <is>
          <t>S/N/N/R</t>
        </is>
      </c>
      <c r="O5303" t="inlineStr">
        <is>
          <t>R</t>
        </is>
      </c>
      <c r="P5303">
        <f>TRIM(N5303)</f>
        <v/>
      </c>
    </row>
    <row r="5304">
      <c r="A5304" t="inlineStr">
        <is>
          <t>CO-002808</t>
        </is>
      </c>
      <c r="B5304" t="inlineStr">
        <is>
          <t>SUNAT - AREQUIPA - SEDE MOLLENDO</t>
        </is>
      </c>
      <c r="C5304" t="inlineStr">
        <is>
          <t>20131312955</t>
        </is>
      </c>
      <c r="D5304" t="inlineStr">
        <is>
          <t>Av. Tupac Amaru 102 Urb. Miramar</t>
        </is>
      </c>
      <c r="E5304" t="inlineStr">
        <is>
          <t>Lima, 21 de julio del 2026</t>
        </is>
      </c>
      <c r="F5304" t="inlineStr">
        <is>
          <t>la Recarga y mantenimiento</t>
        </is>
      </c>
      <c r="G5304" t="inlineStr">
        <is>
          <t>3</t>
        </is>
      </c>
      <c r="H5304" t="inlineStr">
        <is>
          <t>12 KG</t>
        </is>
      </c>
      <c r="I5304" t="n">
        <v>2031</v>
      </c>
      <c r="J5304" t="n">
        <v>2015</v>
      </c>
      <c r="K5304" t="inlineStr">
        <is>
          <t>JULIO 2026</t>
        </is>
      </c>
      <c r="L5304" t="inlineStr">
        <is>
          <t>JULIO 2027</t>
        </is>
      </c>
      <c r="M5304" t="inlineStr">
        <is>
          <t>PQS TIPO ABC AL 90%</t>
        </is>
      </c>
      <c r="N5304" t="inlineStr">
        <is>
          <t>S/N/000471</t>
        </is>
      </c>
      <c r="O5304" t="inlineStr">
        <is>
          <t>R</t>
        </is>
      </c>
      <c r="P5304">
        <f>TRIM(N5304)</f>
        <v/>
      </c>
    </row>
    <row r="5305">
      <c r="A5305" t="inlineStr">
        <is>
          <t>CO-002808</t>
        </is>
      </c>
      <c r="B5305" t="inlineStr">
        <is>
          <t>SUNAT - AREQUIPA - SEDE MOLLENDO</t>
        </is>
      </c>
      <c r="C5305" t="inlineStr">
        <is>
          <t>20131312955</t>
        </is>
      </c>
      <c r="D5305" t="inlineStr">
        <is>
          <t>Av. Tupac Amaru 102 Urb. Miramar</t>
        </is>
      </c>
      <c r="E5305" t="inlineStr">
        <is>
          <t>Lima, 21 de julio del 2026</t>
        </is>
      </c>
      <c r="F5305" t="inlineStr">
        <is>
          <t>la Recarga y mantenimiento</t>
        </is>
      </c>
      <c r="G5305" t="inlineStr">
        <is>
          <t>4</t>
        </is>
      </c>
      <c r="H5305" t="inlineStr">
        <is>
          <t>04 KG</t>
        </is>
      </c>
      <c r="I5305" t="n">
        <v>2031</v>
      </c>
      <c r="J5305" t="n">
        <v>2013</v>
      </c>
      <c r="K5305" t="inlineStr">
        <is>
          <t>JULIO 2026</t>
        </is>
      </c>
      <c r="L5305" t="inlineStr">
        <is>
          <t>JULIO 2027</t>
        </is>
      </c>
      <c r="M5305" t="inlineStr">
        <is>
          <t>PQS TIPO ABC AL 90%</t>
        </is>
      </c>
      <c r="N5305" t="inlineStr">
        <is>
          <t>S/N/000387</t>
        </is>
      </c>
      <c r="O5305" t="inlineStr">
        <is>
          <t>R</t>
        </is>
      </c>
      <c r="P5305">
        <f>TRIM(N5305)</f>
        <v/>
      </c>
    </row>
    <row r="5306">
      <c r="A5306" t="inlineStr">
        <is>
          <t>CO-002808</t>
        </is>
      </c>
      <c r="B5306" t="inlineStr">
        <is>
          <t>SUNAT - AREQUIPA - SEDE MOLLENDO</t>
        </is>
      </c>
      <c r="C5306" t="inlineStr">
        <is>
          <t>20131312955</t>
        </is>
      </c>
      <c r="D5306" t="inlineStr">
        <is>
          <t>Av. Tupac Amaru 102 Urb. Miramar</t>
        </is>
      </c>
      <c r="E5306" t="inlineStr">
        <is>
          <t>Lima, 21 de julio del 2026</t>
        </is>
      </c>
      <c r="F5306" t="inlineStr">
        <is>
          <t>la Recarga y mantenimiento</t>
        </is>
      </c>
      <c r="G5306" t="inlineStr">
        <is>
          <t>5</t>
        </is>
      </c>
      <c r="H5306" t="inlineStr">
        <is>
          <t>04 KG</t>
        </is>
      </c>
      <c r="I5306" t="n">
        <v>2031</v>
      </c>
      <c r="J5306" t="n">
        <v>2014</v>
      </c>
      <c r="K5306" t="inlineStr">
        <is>
          <t>JULIO 2026</t>
        </is>
      </c>
      <c r="L5306" t="inlineStr">
        <is>
          <t>JULIO 2027</t>
        </is>
      </c>
      <c r="M5306" t="inlineStr">
        <is>
          <t>PQS TIPO ABC AL 90%</t>
        </is>
      </c>
      <c r="N5306" t="inlineStr">
        <is>
          <t>S/N/000494</t>
        </is>
      </c>
      <c r="O5306" t="inlineStr">
        <is>
          <t>R</t>
        </is>
      </c>
      <c r="P5306">
        <f>TRIM(N5306)</f>
        <v/>
      </c>
    </row>
    <row r="5307">
      <c r="A5307" t="inlineStr">
        <is>
          <t>CO-002808</t>
        </is>
      </c>
      <c r="B5307" t="inlineStr">
        <is>
          <t>SUNAT - AREQUIPA - SEDE MOLLENDO</t>
        </is>
      </c>
      <c r="C5307" t="inlineStr">
        <is>
          <t>20131312955</t>
        </is>
      </c>
      <c r="D5307" t="inlineStr">
        <is>
          <t>Av. Tupac Amaru 102 Urb. Miramar</t>
        </is>
      </c>
      <c r="E5307" t="inlineStr">
        <is>
          <t>Lima, 21 de julio del 2026</t>
        </is>
      </c>
      <c r="F5307" t="inlineStr">
        <is>
          <t>la Recarga y mantenimiento</t>
        </is>
      </c>
      <c r="G5307" t="inlineStr">
        <is>
          <t>6</t>
        </is>
      </c>
      <c r="H5307" t="inlineStr">
        <is>
          <t>04 KG</t>
        </is>
      </c>
      <c r="I5307" t="n">
        <v>2031</v>
      </c>
      <c r="J5307" t="n">
        <v>2012</v>
      </c>
      <c r="K5307" t="inlineStr">
        <is>
          <t>JULIO 2026</t>
        </is>
      </c>
      <c r="L5307" t="inlineStr">
        <is>
          <t>JULIO 2027</t>
        </is>
      </c>
      <c r="M5307" t="inlineStr">
        <is>
          <t>PQS TIPO ABC AL 90%</t>
        </is>
      </c>
      <c r="N5307" t="inlineStr">
        <is>
          <t>S/N/001273</t>
        </is>
      </c>
      <c r="O5307" t="inlineStr">
        <is>
          <t>R</t>
        </is>
      </c>
      <c r="P5307">
        <f>TRIM(N5307)</f>
        <v/>
      </c>
    </row>
    <row r="5308">
      <c r="A5308" t="inlineStr">
        <is>
          <t>CO-002808</t>
        </is>
      </c>
      <c r="B5308" t="inlineStr">
        <is>
          <t>SUNAT - AREQUIPA - SEDE MOLLENDO</t>
        </is>
      </c>
      <c r="C5308" t="inlineStr">
        <is>
          <t>20131312955</t>
        </is>
      </c>
      <c r="D5308" t="inlineStr">
        <is>
          <t>Av. Tupac Amaru 102 Urb. Miramar</t>
        </is>
      </c>
      <c r="E5308" t="inlineStr">
        <is>
          <t>Lima, 21 de julio del 2026</t>
        </is>
      </c>
      <c r="F5308" t="inlineStr">
        <is>
          <t>la Recarga y mantenimiento</t>
        </is>
      </c>
      <c r="G5308" t="inlineStr">
        <is>
          <t>7</t>
        </is>
      </c>
      <c r="H5308" t="inlineStr">
        <is>
          <t>04 KG</t>
        </is>
      </c>
      <c r="I5308" t="n">
        <v>2031</v>
      </c>
      <c r="J5308" t="n">
        <v>2013</v>
      </c>
      <c r="K5308" t="inlineStr">
        <is>
          <t>JULIO 2026</t>
        </is>
      </c>
      <c r="L5308" t="inlineStr">
        <is>
          <t>JULIO 2027</t>
        </is>
      </c>
      <c r="M5308" t="inlineStr">
        <is>
          <t>PQS TIPO ABC AL 90%</t>
        </is>
      </c>
      <c r="N5308" t="inlineStr">
        <is>
          <t>S/N/003089</t>
        </is>
      </c>
      <c r="O5308" t="inlineStr">
        <is>
          <t>R</t>
        </is>
      </c>
      <c r="P5308">
        <f>TRIM(N5308)</f>
        <v/>
      </c>
    </row>
    <row r="5309">
      <c r="A5309" t="inlineStr">
        <is>
          <t>CO-002808</t>
        </is>
      </c>
      <c r="B5309" t="inlineStr">
        <is>
          <t>SUNAT - AREQUIPA - SEDE MOLLENDO</t>
        </is>
      </c>
      <c r="C5309" t="inlineStr">
        <is>
          <t>20131312955</t>
        </is>
      </c>
      <c r="D5309" t="inlineStr">
        <is>
          <t>Av. Tupac Amaru 102 Urb. Miramar</t>
        </is>
      </c>
      <c r="E5309" t="inlineStr">
        <is>
          <t>Lima, 21 de julio del 2026</t>
        </is>
      </c>
      <c r="F5309" t="inlineStr">
        <is>
          <t>la Recarga y mantenimiento</t>
        </is>
      </c>
      <c r="G5309" t="n">
        <v>8</v>
      </c>
      <c r="H5309" t="inlineStr">
        <is>
          <t>02 KG</t>
        </is>
      </c>
      <c r="I5309" t="n">
        <v>2031</v>
      </c>
      <c r="J5309" t="n">
        <v>2001</v>
      </c>
      <c r="K5309" t="inlineStr">
        <is>
          <t>JULIO 2026</t>
        </is>
      </c>
      <c r="L5309" t="inlineStr">
        <is>
          <t>JULIO 2027</t>
        </is>
      </c>
      <c r="M5309" t="inlineStr">
        <is>
          <t>PQS TIPO ABC AL 90%</t>
        </is>
      </c>
      <c r="N5309" t="inlineStr">
        <is>
          <t>S/N/000163</t>
        </is>
      </c>
      <c r="O5309" t="inlineStr">
        <is>
          <t>R</t>
        </is>
      </c>
      <c r="P5309">
        <f>TRIM(N5309)</f>
        <v/>
      </c>
    </row>
    <row r="5310">
      <c r="A5310" t="inlineStr">
        <is>
          <t>CO-002808</t>
        </is>
      </c>
      <c r="B5310" t="inlineStr">
        <is>
          <t>SUNAT - AREQUIPA - SEDE MOLLENDO</t>
        </is>
      </c>
      <c r="C5310" t="inlineStr">
        <is>
          <t>20131312955</t>
        </is>
      </c>
      <c r="D5310" t="inlineStr">
        <is>
          <t>Av. Tupac Amaru 102 Urb. Miramar</t>
        </is>
      </c>
      <c r="E5310" t="inlineStr">
        <is>
          <t>Lima, 21 de julio del 2026</t>
        </is>
      </c>
      <c r="F5310" t="inlineStr">
        <is>
          <t>la Recarga y mantenimiento</t>
        </is>
      </c>
      <c r="G5310" t="n">
        <v>9</v>
      </c>
      <c r="H5310" t="inlineStr">
        <is>
          <t>04 KG</t>
        </is>
      </c>
      <c r="I5310" t="n">
        <v>2031</v>
      </c>
      <c r="J5310" t="n">
        <v>2013</v>
      </c>
      <c r="K5310" t="inlineStr">
        <is>
          <t>JULIO 2026</t>
        </is>
      </c>
      <c r="L5310" t="inlineStr">
        <is>
          <t>JULIO 2027</t>
        </is>
      </c>
      <c r="M5310" t="inlineStr">
        <is>
          <t>PQS TIPO ABC AL 90%</t>
        </is>
      </c>
      <c r="N5310" t="inlineStr">
        <is>
          <t>S/N/000318</t>
        </is>
      </c>
      <c r="O5310" t="inlineStr">
        <is>
          <t>R</t>
        </is>
      </c>
      <c r="P5310">
        <f>TRIM(N5310)</f>
        <v/>
      </c>
    </row>
    <row r="5311">
      <c r="A5311" t="inlineStr">
        <is>
          <t>CO-002808</t>
        </is>
      </c>
      <c r="B5311" t="inlineStr">
        <is>
          <t>SUNAT - AREQUIPA - SEDE MOLLENDO</t>
        </is>
      </c>
      <c r="C5311" t="inlineStr">
        <is>
          <t>20131312955</t>
        </is>
      </c>
      <c r="D5311" t="inlineStr">
        <is>
          <t>Av. Tupac Amaru 102 Urb. Miramar</t>
        </is>
      </c>
      <c r="E5311" t="inlineStr">
        <is>
          <t>Lima, 21 de julio del 2026</t>
        </is>
      </c>
      <c r="F5311" t="inlineStr">
        <is>
          <t>la Recarga y mantenimiento</t>
        </is>
      </c>
      <c r="G5311" t="n">
        <v>10</v>
      </c>
      <c r="H5311" t="inlineStr">
        <is>
          <t>04 KG</t>
        </is>
      </c>
      <c r="I5311" t="n">
        <v>2031</v>
      </c>
      <c r="J5311" t="n">
        <v>2013</v>
      </c>
      <c r="K5311" t="inlineStr">
        <is>
          <t>JULIO 2026</t>
        </is>
      </c>
      <c r="L5311" t="inlineStr">
        <is>
          <t>JULIO 2027</t>
        </is>
      </c>
      <c r="M5311" t="inlineStr">
        <is>
          <t>PQS TIPO ABC AL 90%</t>
        </is>
      </c>
      <c r="N5311" t="inlineStr">
        <is>
          <t>S/N/000140</t>
        </is>
      </c>
      <c r="O5311" t="inlineStr">
        <is>
          <t>R</t>
        </is>
      </c>
      <c r="P5311">
        <f>TRIM(N5311)</f>
        <v/>
      </c>
    </row>
    <row r="5312">
      <c r="A5312" t="inlineStr">
        <is>
          <t>CO-002808</t>
        </is>
      </c>
      <c r="B5312" t="inlineStr">
        <is>
          <t>SUNAT - AREQUIPA - SEDE MOLLENDO</t>
        </is>
      </c>
      <c r="C5312" t="inlineStr">
        <is>
          <t>20131312955</t>
        </is>
      </c>
      <c r="D5312" t="inlineStr">
        <is>
          <t>Av. Tupac Amaru 102 Urb. Miramar</t>
        </is>
      </c>
      <c r="E5312" t="inlineStr">
        <is>
          <t>Lima, 21 de julio del 2026</t>
        </is>
      </c>
      <c r="F5312" t="inlineStr">
        <is>
          <t>la Recarga y mantenimiento</t>
        </is>
      </c>
      <c r="G5312" t="n">
        <v>11</v>
      </c>
      <c r="H5312" t="inlineStr">
        <is>
          <t>04 KG</t>
        </is>
      </c>
      <c r="I5312" t="n">
        <v>2031</v>
      </c>
      <c r="J5312" t="inlineStr">
        <is>
          <t>S/N</t>
        </is>
      </c>
      <c r="K5312" t="inlineStr">
        <is>
          <t>JULIO 2026</t>
        </is>
      </c>
      <c r="L5312" t="inlineStr">
        <is>
          <t>JULIO 2027</t>
        </is>
      </c>
      <c r="M5312" t="inlineStr">
        <is>
          <t>PQS TIPO ABC AL 90%</t>
        </is>
      </c>
      <c r="N5312" t="inlineStr">
        <is>
          <t>S/N/000243</t>
        </is>
      </c>
      <c r="O5312" t="inlineStr">
        <is>
          <t>R</t>
        </is>
      </c>
      <c r="P5312">
        <f>TRIM(N5312)</f>
        <v/>
      </c>
    </row>
    <row r="5313">
      <c r="A5313" t="inlineStr">
        <is>
          <t>CO-002808</t>
        </is>
      </c>
      <c r="B5313" t="inlineStr">
        <is>
          <t>SUNAT - AREQUIPA - SEDE MOLLENDO</t>
        </is>
      </c>
      <c r="C5313" t="inlineStr">
        <is>
          <t>20131312955</t>
        </is>
      </c>
      <c r="D5313" t="inlineStr">
        <is>
          <t>Av. Tupac Amaru 102 Urb. Miramar</t>
        </is>
      </c>
      <c r="E5313" t="inlineStr">
        <is>
          <t>Lima, 21 de julio del 2026</t>
        </is>
      </c>
      <c r="F5313" t="inlineStr">
        <is>
          <t>la Recarga y mantenimiento</t>
        </is>
      </c>
      <c r="G5313" t="n">
        <v>12</v>
      </c>
      <c r="H5313" t="inlineStr">
        <is>
          <t>04 KG</t>
        </is>
      </c>
      <c r="I5313" t="n">
        <v>2031</v>
      </c>
      <c r="J5313" t="n">
        <v>2021</v>
      </c>
      <c r="K5313" t="inlineStr">
        <is>
          <t>JULIO 2026</t>
        </is>
      </c>
      <c r="L5313" t="inlineStr">
        <is>
          <t>JULIO 2027</t>
        </is>
      </c>
      <c r="M5313" t="inlineStr">
        <is>
          <t>PQS TIPO ABC AL 90%</t>
        </is>
      </c>
      <c r="N5313" t="inlineStr">
        <is>
          <t>S/N/011194</t>
        </is>
      </c>
      <c r="O5313" t="inlineStr">
        <is>
          <t>R</t>
        </is>
      </c>
      <c r="P5313">
        <f>TRIM(N5313)</f>
        <v/>
      </c>
    </row>
    <row r="5314">
      <c r="A5314" t="inlineStr">
        <is>
          <t>CO-002809</t>
        </is>
      </c>
      <c r="B5314" t="inlineStr">
        <is>
          <t>SUNAT - AREQUIPA - SEDE MOLLENDO</t>
        </is>
      </c>
      <c r="C5314" t="inlineStr">
        <is>
          <t>20131312955</t>
        </is>
      </c>
      <c r="D5314" t="inlineStr">
        <is>
          <t>Av. Tupac Amaru 102 Urb. Miramar</t>
        </is>
      </c>
      <c r="E5314" t="inlineStr">
        <is>
          <t>Lima, 21 de julio del 2026</t>
        </is>
      </c>
      <c r="F5314" t="inlineStr">
        <is>
          <t>la Recarga y mantenimiento</t>
        </is>
      </c>
      <c r="G5314" t="inlineStr">
        <is>
          <t>01</t>
        </is>
      </c>
      <c r="H5314" t="inlineStr">
        <is>
          <t>04 KG</t>
        </is>
      </c>
      <c r="I5314" t="n">
        <v>2031</v>
      </c>
      <c r="J5314" t="inlineStr">
        <is>
          <t>S/N</t>
        </is>
      </c>
      <c r="K5314" t="inlineStr">
        <is>
          <t>JULIO 2026</t>
        </is>
      </c>
      <c r="L5314" t="inlineStr">
        <is>
          <t>JULIO 2027</t>
        </is>
      </c>
      <c r="M5314" t="inlineStr">
        <is>
          <t>PQS TIPO ABC AL 90%</t>
        </is>
      </c>
      <c r="N5314" t="inlineStr">
        <is>
          <t>S/N/011088</t>
        </is>
      </c>
      <c r="O5314" t="inlineStr">
        <is>
          <t>R</t>
        </is>
      </c>
      <c r="P5314">
        <f>TRIM(N5314)</f>
        <v/>
      </c>
    </row>
    <row r="5315">
      <c r="A5315" t="inlineStr">
        <is>
          <t>CO-002809</t>
        </is>
      </c>
      <c r="B5315" t="inlineStr">
        <is>
          <t>SUNAT - AREQUIPA - SEDE MOLLENDO</t>
        </is>
      </c>
      <c r="C5315" t="inlineStr">
        <is>
          <t>20131312955</t>
        </is>
      </c>
      <c r="D5315" t="inlineStr">
        <is>
          <t>Av. Tupac Amaru 102 Urb. Miramar</t>
        </is>
      </c>
      <c r="E5315" t="inlineStr">
        <is>
          <t>Lima, 21 de julio del 2026</t>
        </is>
      </c>
      <c r="F5315" t="inlineStr">
        <is>
          <t>la Recarga y mantenimiento</t>
        </is>
      </c>
      <c r="G5315" t="inlineStr">
        <is>
          <t>2</t>
        </is>
      </c>
      <c r="H5315" t="inlineStr">
        <is>
          <t>04 KG</t>
        </is>
      </c>
      <c r="I5315" t="n">
        <v>2031</v>
      </c>
      <c r="J5315" t="n">
        <v>2021</v>
      </c>
      <c r="K5315" t="inlineStr">
        <is>
          <t>JULIO 2026</t>
        </is>
      </c>
      <c r="L5315" t="inlineStr">
        <is>
          <t>JULIO 2027</t>
        </is>
      </c>
      <c r="M5315" t="inlineStr">
        <is>
          <t>PQS TIPO ABC AL 90%</t>
        </is>
      </c>
      <c r="N5315" t="inlineStr">
        <is>
          <t>S/N/011552</t>
        </is>
      </c>
      <c r="O5315" t="inlineStr">
        <is>
          <t>R</t>
        </is>
      </c>
      <c r="P5315">
        <f>TRIM(N5315)</f>
        <v/>
      </c>
    </row>
    <row r="5316">
      <c r="A5316" t="inlineStr">
        <is>
          <t>CO-002809</t>
        </is>
      </c>
      <c r="B5316" t="inlineStr">
        <is>
          <t>SUNAT - AREQUIPA - SEDE MOLLENDO</t>
        </is>
      </c>
      <c r="C5316" t="inlineStr">
        <is>
          <t>20131312955</t>
        </is>
      </c>
      <c r="D5316" t="inlineStr">
        <is>
          <t>Av. Tupac Amaru 102 Urb. Miramar</t>
        </is>
      </c>
      <c r="E5316" t="inlineStr">
        <is>
          <t>Lima, 21 de julio del 2026</t>
        </is>
      </c>
      <c r="F5316" t="inlineStr">
        <is>
          <t>la Recarga y mantenimiento</t>
        </is>
      </c>
      <c r="G5316" t="inlineStr">
        <is>
          <t>3</t>
        </is>
      </c>
      <c r="H5316" t="inlineStr">
        <is>
          <t>04 KG</t>
        </is>
      </c>
      <c r="I5316" t="n">
        <v>2031</v>
      </c>
      <c r="J5316" t="n">
        <v>2013</v>
      </c>
      <c r="K5316" t="inlineStr">
        <is>
          <t>JULIO 2026</t>
        </is>
      </c>
      <c r="L5316" t="inlineStr">
        <is>
          <t>JULIO 2027</t>
        </is>
      </c>
      <c r="M5316" t="inlineStr">
        <is>
          <t>PQS TIPO ABC AL 90%</t>
        </is>
      </c>
      <c r="N5316" t="inlineStr">
        <is>
          <t>S/N/000240</t>
        </is>
      </c>
      <c r="O5316" t="inlineStr">
        <is>
          <t>R</t>
        </is>
      </c>
      <c r="P5316">
        <f>TRIM(N5316)</f>
        <v/>
      </c>
    </row>
    <row r="5317">
      <c r="A5317" t="inlineStr">
        <is>
          <t>CO-002809</t>
        </is>
      </c>
      <c r="B5317" t="inlineStr">
        <is>
          <t>SUNAT - AREQUIPA - SEDE MOLLENDO</t>
        </is>
      </c>
      <c r="C5317" t="inlineStr">
        <is>
          <t>20131312955</t>
        </is>
      </c>
      <c r="D5317" t="inlineStr">
        <is>
          <t>Av. Tupac Amaru 102 Urb. Miramar</t>
        </is>
      </c>
      <c r="E5317" t="inlineStr">
        <is>
          <t>Lima, 21 de julio del 2026</t>
        </is>
      </c>
      <c r="F5317" t="inlineStr">
        <is>
          <t>la Recarga y mantenimiento</t>
        </is>
      </c>
      <c r="G5317" t="inlineStr">
        <is>
          <t>4</t>
        </is>
      </c>
      <c r="H5317" t="inlineStr">
        <is>
          <t>02 KG</t>
        </is>
      </c>
      <c r="I5317" t="n">
        <v>2031</v>
      </c>
      <c r="J5317" t="inlineStr">
        <is>
          <t>S/N</t>
        </is>
      </c>
      <c r="K5317" t="inlineStr">
        <is>
          <t>JULIO 2026</t>
        </is>
      </c>
      <c r="L5317" t="inlineStr">
        <is>
          <t>JULIO 2027</t>
        </is>
      </c>
      <c r="M5317" t="inlineStr">
        <is>
          <t>PQS TIPO ABC AL 90%</t>
        </is>
      </c>
      <c r="N5317" t="inlineStr">
        <is>
          <t>S/N/N/R</t>
        </is>
      </c>
      <c r="O5317" t="inlineStr">
        <is>
          <t>R</t>
        </is>
      </c>
      <c r="P5317">
        <f>TRIM(N5317)</f>
        <v/>
      </c>
    </row>
    <row r="5318">
      <c r="A5318" t="inlineStr">
        <is>
          <t>CO-002809</t>
        </is>
      </c>
      <c r="B5318" t="inlineStr">
        <is>
          <t>SUNAT - AREQUIPA - SEDE MOLLENDO</t>
        </is>
      </c>
      <c r="C5318" t="inlineStr">
        <is>
          <t>20131312955</t>
        </is>
      </c>
      <c r="D5318" t="inlineStr">
        <is>
          <t>Av. Tupac Amaru 102 Urb. Miramar</t>
        </is>
      </c>
      <c r="E5318" t="inlineStr">
        <is>
          <t>Lima, 21 de julio del 2026</t>
        </is>
      </c>
      <c r="F5318" t="inlineStr">
        <is>
          <t>la Recarga y mantenimiento</t>
        </is>
      </c>
      <c r="G5318" t="inlineStr">
        <is>
          <t>5</t>
        </is>
      </c>
      <c r="H5318" t="inlineStr">
        <is>
          <t>30 LBS</t>
        </is>
      </c>
      <c r="I5318" t="n">
        <v>2031</v>
      </c>
      <c r="J5318" t="n">
        <v>2013</v>
      </c>
      <c r="K5318" t="inlineStr">
        <is>
          <t>JULIO 2026</t>
        </is>
      </c>
      <c r="L5318" t="inlineStr">
        <is>
          <t>JULIO 2027</t>
        </is>
      </c>
      <c r="M5318" t="inlineStr">
        <is>
          <t>PQS TIPO ABC AL 90%</t>
        </is>
      </c>
      <c r="N5318" t="inlineStr">
        <is>
          <t>13/BK574028</t>
        </is>
      </c>
      <c r="O5318" t="inlineStr">
        <is>
          <t>R</t>
        </is>
      </c>
      <c r="P5318">
        <f>TRIM(N5318)</f>
        <v/>
      </c>
    </row>
    <row r="5319">
      <c r="A5319" t="inlineStr">
        <is>
          <t>CO-002809</t>
        </is>
      </c>
      <c r="B5319" t="inlineStr">
        <is>
          <t>SUNAT - AREQUIPA - SEDE MOLLENDO</t>
        </is>
      </c>
      <c r="C5319" t="inlineStr">
        <is>
          <t>20131312955</t>
        </is>
      </c>
      <c r="D5319" t="inlineStr">
        <is>
          <t>Av. Tupac Amaru 102 Urb. Miramar</t>
        </is>
      </c>
      <c r="E5319" t="inlineStr">
        <is>
          <t>Lima, 21 de julio del 2026</t>
        </is>
      </c>
      <c r="F5319" t="inlineStr">
        <is>
          <t>la Recarga y mantenimiento</t>
        </is>
      </c>
      <c r="G5319" t="inlineStr">
        <is>
          <t>6</t>
        </is>
      </c>
      <c r="H5319" t="inlineStr">
        <is>
          <t>30 LBS</t>
        </is>
      </c>
      <c r="I5319" t="n">
        <v>2031</v>
      </c>
      <c r="J5319" t="n">
        <v>2013</v>
      </c>
      <c r="K5319" t="inlineStr">
        <is>
          <t>JULIO 2026</t>
        </is>
      </c>
      <c r="L5319" t="inlineStr">
        <is>
          <t>JULIO 2027</t>
        </is>
      </c>
      <c r="M5319" t="inlineStr">
        <is>
          <t>PQS TIPO ABC AL 90%</t>
        </is>
      </c>
      <c r="N5319" t="inlineStr">
        <is>
          <t>45/BK572451</t>
        </is>
      </c>
      <c r="O5319" t="inlineStr">
        <is>
          <t>R</t>
        </is>
      </c>
      <c r="P5319">
        <f>TRIM(N5319)</f>
        <v/>
      </c>
    </row>
    <row r="5320">
      <c r="A5320" t="inlineStr">
        <is>
          <t>CO-002809</t>
        </is>
      </c>
      <c r="B5320" t="inlineStr">
        <is>
          <t>SUNAT - AREQUIPA - SEDE MOLLENDO</t>
        </is>
      </c>
      <c r="C5320" t="inlineStr">
        <is>
          <t>20131312955</t>
        </is>
      </c>
      <c r="D5320" t="inlineStr">
        <is>
          <t>Av. Tupac Amaru 102 Urb. Miramar</t>
        </is>
      </c>
      <c r="E5320" t="inlineStr">
        <is>
          <t>Lima, 21 de julio del 2026</t>
        </is>
      </c>
      <c r="F5320" t="inlineStr">
        <is>
          <t>la Recarga y mantenimiento</t>
        </is>
      </c>
      <c r="G5320" t="n">
        <v>7</v>
      </c>
      <c r="H5320" t="inlineStr">
        <is>
          <t>20 LBS</t>
        </is>
      </c>
      <c r="I5320" t="n">
        <v>2031</v>
      </c>
      <c r="J5320" t="inlineStr">
        <is>
          <t>S/N</t>
        </is>
      </c>
      <c r="K5320" t="inlineStr">
        <is>
          <t>JULIO 2026</t>
        </is>
      </c>
      <c r="L5320" t="inlineStr">
        <is>
          <t>JULIO 2027</t>
        </is>
      </c>
      <c r="M5320" t="inlineStr">
        <is>
          <t>PQS TIPO ABC AL 90%</t>
        </is>
      </c>
      <c r="N5320" t="inlineStr">
        <is>
          <t>49/M179914</t>
        </is>
      </c>
      <c r="O5320" t="inlineStr">
        <is>
          <t>R</t>
        </is>
      </c>
      <c r="P5320">
        <f>TRIM(N5320)</f>
        <v/>
      </c>
    </row>
    <row r="5321">
      <c r="A5321" t="inlineStr">
        <is>
          <t>CO-002809</t>
        </is>
      </c>
      <c r="B5321" t="inlineStr">
        <is>
          <t>SUNAT - AREQUIPA - SEDE MOLLENDO</t>
        </is>
      </c>
      <c r="C5321" t="inlineStr">
        <is>
          <t>20131312955</t>
        </is>
      </c>
      <c r="D5321" t="inlineStr">
        <is>
          <t>Av. Tupac Amaru 102 Urb. Miramar</t>
        </is>
      </c>
      <c r="E5321" t="inlineStr">
        <is>
          <t>Lima, 21 de julio del 2026</t>
        </is>
      </c>
      <c r="F5321" t="inlineStr">
        <is>
          <t>la Recarga y mantenimiento</t>
        </is>
      </c>
      <c r="G5321" t="n">
        <v>8</v>
      </c>
      <c r="H5321" t="inlineStr">
        <is>
          <t>04 KG</t>
        </is>
      </c>
      <c r="I5321" t="n">
        <v>2031</v>
      </c>
      <c r="J5321" t="n">
        <v>2023</v>
      </c>
      <c r="K5321" t="inlineStr">
        <is>
          <t>JULIO 2026</t>
        </is>
      </c>
      <c r="L5321" t="inlineStr">
        <is>
          <t>JULIO 2027</t>
        </is>
      </c>
      <c r="M5321" t="inlineStr">
        <is>
          <t>PQS TIPO ABC AL 90%</t>
        </is>
      </c>
      <c r="N5321" t="inlineStr">
        <is>
          <t>S/N/000270</t>
        </is>
      </c>
      <c r="O5321" t="inlineStr">
        <is>
          <t>R</t>
        </is>
      </c>
      <c r="P5321">
        <f>TRIM(N5321)</f>
        <v/>
      </c>
    </row>
    <row r="5322">
      <c r="A5322" t="inlineStr">
        <is>
          <t>CO-002809</t>
        </is>
      </c>
      <c r="B5322" t="inlineStr">
        <is>
          <t>SUNAT - AREQUIPA - SEDE MOLLENDO</t>
        </is>
      </c>
      <c r="C5322" t="inlineStr">
        <is>
          <t>20131312955</t>
        </is>
      </c>
      <c r="D5322" t="inlineStr">
        <is>
          <t>Av. Tupac Amaru 102 Urb. Miramar</t>
        </is>
      </c>
      <c r="E5322" t="inlineStr">
        <is>
          <t>Lima, 21 de julio del 2026</t>
        </is>
      </c>
      <c r="F5322" t="inlineStr">
        <is>
          <t>la Recarga y mantenimiento</t>
        </is>
      </c>
      <c r="G5322" t="n">
        <v>9</v>
      </c>
      <c r="H5322" t="inlineStr">
        <is>
          <t>04 KG</t>
        </is>
      </c>
      <c r="I5322" t="n">
        <v>2031</v>
      </c>
      <c r="J5322" t="n">
        <v>2021</v>
      </c>
      <c r="K5322" t="inlineStr">
        <is>
          <t>JULIO 2026</t>
        </is>
      </c>
      <c r="L5322" t="inlineStr">
        <is>
          <t>JULIO 2027</t>
        </is>
      </c>
      <c r="M5322" t="inlineStr">
        <is>
          <t>PQS TIPO ABC AL 90%</t>
        </is>
      </c>
      <c r="N5322" t="inlineStr">
        <is>
          <t>S/N/011428</t>
        </is>
      </c>
      <c r="P5322">
        <f>TRIM(N5322)</f>
        <v/>
      </c>
    </row>
    <row r="5323">
      <c r="A5323" t="inlineStr">
        <is>
          <t>CO-002810</t>
        </is>
      </c>
      <c r="B5323" t="inlineStr">
        <is>
          <t>SUNAT - AREQUIPA - SEDE RIO SECO</t>
        </is>
      </c>
      <c r="C5323" t="inlineStr">
        <is>
          <t>20131312955</t>
        </is>
      </c>
      <c r="D5323" t="inlineStr">
        <is>
          <t xml:space="preserve">Altura del Km 8.5 de la Carretera Yaura - Arequipa </t>
        </is>
      </c>
      <c r="E5323" t="inlineStr">
        <is>
          <t>Lima, 21 de julio del 2026</t>
        </is>
      </c>
      <c r="F5323" t="inlineStr">
        <is>
          <t>la Recarga y mantenimiento</t>
        </is>
      </c>
      <c r="G5323" t="inlineStr">
        <is>
          <t>01</t>
        </is>
      </c>
      <c r="H5323" t="inlineStr">
        <is>
          <t>02 KG</t>
        </is>
      </c>
      <c r="I5323" t="n">
        <v>2028</v>
      </c>
      <c r="J5323" t="n">
        <v>2013</v>
      </c>
      <c r="K5323" t="inlineStr">
        <is>
          <t>JULIO 2026</t>
        </is>
      </c>
      <c r="L5323" t="inlineStr">
        <is>
          <t>JULIO 2027</t>
        </is>
      </c>
      <c r="M5323" t="inlineStr">
        <is>
          <t>PQS TIPO ABC AL 90%</t>
        </is>
      </c>
      <c r="N5323" t="inlineStr">
        <is>
          <t>30/S/N</t>
        </is>
      </c>
      <c r="O5323" t="inlineStr">
        <is>
          <t>R</t>
        </is>
      </c>
      <c r="P5323">
        <f>TRIM(N5323)</f>
        <v/>
      </c>
    </row>
    <row r="5324">
      <c r="A5324" t="inlineStr">
        <is>
          <t>CO-002810</t>
        </is>
      </c>
      <c r="B5324" t="inlineStr">
        <is>
          <t>SUNAT - AREQUIPA - SEDE RIO SECO</t>
        </is>
      </c>
      <c r="C5324" t="inlineStr">
        <is>
          <t>20131312955</t>
        </is>
      </c>
      <c r="D5324" t="inlineStr">
        <is>
          <t xml:space="preserve">Altura del Km 8.5 de la Carretera Yaura - Arequipa </t>
        </is>
      </c>
      <c r="E5324" t="inlineStr">
        <is>
          <t>Lima, 21 de julio del 2026</t>
        </is>
      </c>
      <c r="F5324" t="inlineStr">
        <is>
          <t>la Recarga y mantenimiento</t>
        </is>
      </c>
      <c r="G5324" t="inlineStr">
        <is>
          <t>02</t>
        </is>
      </c>
      <c r="H5324" t="inlineStr">
        <is>
          <t>02 KG</t>
        </is>
      </c>
      <c r="I5324" t="n">
        <v>2028</v>
      </c>
      <c r="J5324" t="n">
        <v>2013</v>
      </c>
      <c r="K5324" t="inlineStr">
        <is>
          <t>JULIO 2026</t>
        </is>
      </c>
      <c r="L5324" t="inlineStr">
        <is>
          <t>JULIO 2027</t>
        </is>
      </c>
      <c r="M5324" t="inlineStr">
        <is>
          <t>PQS TIPO ABC AL 90%</t>
        </is>
      </c>
      <c r="N5324" t="inlineStr">
        <is>
          <t>32/S/N</t>
        </is>
      </c>
      <c r="O5324" t="inlineStr">
        <is>
          <t>R</t>
        </is>
      </c>
      <c r="P5324">
        <f>TRIM(N5324)</f>
        <v/>
      </c>
    </row>
    <row r="5325">
      <c r="A5325" t="inlineStr">
        <is>
          <t>CO-002811</t>
        </is>
      </c>
      <c r="B5325" t="inlineStr">
        <is>
          <t xml:space="preserve">PERU MASIVO SA - BUSES </t>
        </is>
      </c>
      <c r="C5325" t="inlineStr">
        <is>
          <t>20492392031</t>
        </is>
      </c>
      <c r="D5325" t="inlineStr">
        <is>
          <t>AV. LOS INCAS CDRA. 4 PATIO NORTE - COMAS</t>
        </is>
      </c>
      <c r="E5325" t="inlineStr">
        <is>
          <t>Lima, 27 de julio del 2026</t>
        </is>
      </c>
      <c r="F5325" t="inlineStr">
        <is>
          <t>la Recarga y mantenimiento</t>
        </is>
      </c>
      <c r="G5325" t="inlineStr">
        <is>
          <t>01</t>
        </is>
      </c>
      <c r="H5325" t="inlineStr">
        <is>
          <t>06 KG</t>
        </is>
      </c>
      <c r="I5325" t="n">
        <v>2028</v>
      </c>
      <c r="J5325" t="n">
        <v>2010</v>
      </c>
      <c r="K5325" t="inlineStr">
        <is>
          <t xml:space="preserve">JULIO 2026 </t>
        </is>
      </c>
      <c r="L5325" t="inlineStr">
        <is>
          <t>JULIO 2027</t>
        </is>
      </c>
      <c r="M5325" t="inlineStr">
        <is>
          <t>PQS TIPO ABC AL 90%</t>
        </is>
      </c>
      <c r="N5325" t="inlineStr">
        <is>
          <t>257/001322</t>
        </is>
      </c>
      <c r="O5325" t="inlineStr">
        <is>
          <t>R</t>
        </is>
      </c>
      <c r="P5325">
        <f>TRIM(N5325)</f>
        <v/>
      </c>
    </row>
    <row r="5326">
      <c r="A5326" t="inlineStr">
        <is>
          <t>CO-002811</t>
        </is>
      </c>
      <c r="B5326" t="inlineStr">
        <is>
          <t xml:space="preserve">PERU MASIVO SA - BUSES </t>
        </is>
      </c>
      <c r="C5326" t="inlineStr">
        <is>
          <t>20492392031</t>
        </is>
      </c>
      <c r="D5326" t="inlineStr">
        <is>
          <t>AV. LOS INCAS CDRA. 4 PATIO NORTE - COMAS</t>
        </is>
      </c>
      <c r="E5326" t="inlineStr">
        <is>
          <t>Lima, 27 de julio del 2026</t>
        </is>
      </c>
      <c r="F5326" t="inlineStr">
        <is>
          <t>la Recarga y mantenimiento</t>
        </is>
      </c>
      <c r="G5326" t="inlineStr">
        <is>
          <t>02</t>
        </is>
      </c>
      <c r="H5326" t="inlineStr">
        <is>
          <t>06 KG</t>
        </is>
      </c>
      <c r="I5326" t="n">
        <v>2028</v>
      </c>
      <c r="J5326" t="n">
        <v>2010</v>
      </c>
      <c r="K5326" t="inlineStr">
        <is>
          <t xml:space="preserve">JULIO 2026 </t>
        </is>
      </c>
      <c r="L5326" t="inlineStr">
        <is>
          <t>JULIO 2027</t>
        </is>
      </c>
      <c r="M5326" t="inlineStr">
        <is>
          <t>PQS TIPO ABC AL 90%</t>
        </is>
      </c>
      <c r="N5326" t="inlineStr">
        <is>
          <t>325/000667</t>
        </is>
      </c>
      <c r="O5326" t="inlineStr">
        <is>
          <t>R</t>
        </is>
      </c>
      <c r="P5326">
        <f>TRIM(N5326)</f>
        <v/>
      </c>
    </row>
    <row r="5327">
      <c r="A5327" t="inlineStr">
        <is>
          <t>CO-002811</t>
        </is>
      </c>
      <c r="B5327" t="inlineStr">
        <is>
          <t xml:space="preserve">PERU MASIVO SA - BUSES </t>
        </is>
      </c>
      <c r="C5327" t="inlineStr">
        <is>
          <t>20492392031</t>
        </is>
      </c>
      <c r="D5327" t="inlineStr">
        <is>
          <t>AV. LOS INCAS CDRA. 4 PATIO NORTE - COMAS</t>
        </is>
      </c>
      <c r="E5327" t="inlineStr">
        <is>
          <t>Lima, 27 de julio del 2026</t>
        </is>
      </c>
      <c r="F5327" t="inlineStr">
        <is>
          <t>la Recarga y mantenimiento</t>
        </is>
      </c>
      <c r="G5327" t="inlineStr">
        <is>
          <t>03</t>
        </is>
      </c>
      <c r="H5327" t="inlineStr">
        <is>
          <t>06 KG</t>
        </is>
      </c>
      <c r="I5327" t="n">
        <v>2028</v>
      </c>
      <c r="J5327" t="n">
        <v>2011</v>
      </c>
      <c r="K5327" t="inlineStr">
        <is>
          <t xml:space="preserve">JULIO 2026 </t>
        </is>
      </c>
      <c r="L5327" t="inlineStr">
        <is>
          <t>JULIO 2027</t>
        </is>
      </c>
      <c r="M5327" t="inlineStr">
        <is>
          <t>PQS TIPO ABC AL 90%</t>
        </is>
      </c>
      <c r="N5327" t="inlineStr">
        <is>
          <t>170/006511</t>
        </is>
      </c>
      <c r="O5327" t="inlineStr">
        <is>
          <t>R</t>
        </is>
      </c>
      <c r="P5327">
        <f>TRIM(N5327)</f>
        <v/>
      </c>
    </row>
    <row r="5328">
      <c r="A5328" t="inlineStr">
        <is>
          <t>CO-002811</t>
        </is>
      </c>
      <c r="B5328" t="inlineStr">
        <is>
          <t xml:space="preserve">PERU MASIVO SA - BUSES </t>
        </is>
      </c>
      <c r="C5328" t="inlineStr">
        <is>
          <t>20492392031</t>
        </is>
      </c>
      <c r="D5328" t="inlineStr">
        <is>
          <t>AV. LOS INCAS CDRA. 4 PATIO NORTE - COMAS</t>
        </is>
      </c>
      <c r="E5328" t="inlineStr">
        <is>
          <t>Lima, 27 de julio del 2026</t>
        </is>
      </c>
      <c r="F5328" t="inlineStr">
        <is>
          <t>la Recarga y mantenimiento</t>
        </is>
      </c>
      <c r="G5328" t="n">
        <v>4</v>
      </c>
      <c r="H5328" t="inlineStr">
        <is>
          <t>06 KG</t>
        </is>
      </c>
      <c r="I5328" t="n">
        <v>2028</v>
      </c>
      <c r="J5328" t="n">
        <v>2010</v>
      </c>
      <c r="K5328" t="inlineStr">
        <is>
          <t xml:space="preserve">JULIO 2026 </t>
        </is>
      </c>
      <c r="L5328" t="inlineStr">
        <is>
          <t>JULIO 2027</t>
        </is>
      </c>
      <c r="M5328" t="inlineStr">
        <is>
          <t>PQS TIPO ABC AL 90%</t>
        </is>
      </c>
      <c r="N5328" t="inlineStr">
        <is>
          <t>177/00005</t>
        </is>
      </c>
      <c r="O5328" t="inlineStr">
        <is>
          <t>R</t>
        </is>
      </c>
      <c r="P5328">
        <f>TRIM(N5328)</f>
        <v/>
      </c>
    </row>
    <row r="5329">
      <c r="A5329" t="inlineStr">
        <is>
          <t>CO-002811</t>
        </is>
      </c>
      <c r="B5329" t="inlineStr">
        <is>
          <t xml:space="preserve">PERU MASIVO SA - BUSES </t>
        </is>
      </c>
      <c r="C5329" t="inlineStr">
        <is>
          <t>20492392031</t>
        </is>
      </c>
      <c r="D5329" t="inlineStr">
        <is>
          <t>AV. LOS INCAS CDRA. 4 PATIO NORTE - COMAS</t>
        </is>
      </c>
      <c r="E5329" t="inlineStr">
        <is>
          <t>Lima, 27 de julio del 2026</t>
        </is>
      </c>
      <c r="F5329" t="inlineStr">
        <is>
          <t>la Recarga y mantenimiento</t>
        </is>
      </c>
      <c r="G5329" t="inlineStr">
        <is>
          <t>5</t>
        </is>
      </c>
      <c r="H5329" t="inlineStr">
        <is>
          <t>06KG</t>
        </is>
      </c>
      <c r="I5329" t="inlineStr">
        <is>
          <t>2028</t>
        </is>
      </c>
      <c r="J5329" t="n">
        <v>2010</v>
      </c>
      <c r="K5329" t="inlineStr">
        <is>
          <t xml:space="preserve">JULIO 2026 </t>
        </is>
      </c>
      <c r="L5329" t="inlineStr">
        <is>
          <t>JULIO 2027</t>
        </is>
      </c>
      <c r="M5329" t="inlineStr">
        <is>
          <t>PQS TIPO ABC AL 90%</t>
        </is>
      </c>
      <c r="N5329" t="inlineStr">
        <is>
          <t>195/001026</t>
        </is>
      </c>
      <c r="O5329" t="inlineStr">
        <is>
          <t>R</t>
        </is>
      </c>
      <c r="P5329">
        <f>TRIM(N5329)</f>
        <v/>
      </c>
    </row>
    <row r="5330">
      <c r="A5330" t="inlineStr">
        <is>
          <t>CO-002811</t>
        </is>
      </c>
      <c r="B5330" t="inlineStr">
        <is>
          <t xml:space="preserve">PERU MASIVO SA - BUSES </t>
        </is>
      </c>
      <c r="C5330" t="inlineStr">
        <is>
          <t>20492392031</t>
        </is>
      </c>
      <c r="D5330" t="inlineStr">
        <is>
          <t>AV. LOS INCAS CDRA. 4 PATIO NORTE - COMAS</t>
        </is>
      </c>
      <c r="E5330" t="inlineStr">
        <is>
          <t>Lima, 27 de julio del 2026</t>
        </is>
      </c>
      <c r="F5330" t="inlineStr">
        <is>
          <t>la Recarga y mantenimiento</t>
        </is>
      </c>
      <c r="G5330" t="inlineStr">
        <is>
          <t>6</t>
        </is>
      </c>
      <c r="H5330" t="inlineStr">
        <is>
          <t>06 KG</t>
        </is>
      </c>
      <c r="I5330" t="inlineStr">
        <is>
          <t>2028</t>
        </is>
      </c>
      <c r="J5330" t="n">
        <v>2010</v>
      </c>
      <c r="K5330" t="inlineStr">
        <is>
          <t xml:space="preserve">JULIO 2026 </t>
        </is>
      </c>
      <c r="L5330" t="inlineStr">
        <is>
          <t>JULIO 2027</t>
        </is>
      </c>
      <c r="M5330" t="inlineStr">
        <is>
          <t>PQS TIPO ABC AL 90%</t>
        </is>
      </c>
      <c r="N5330" t="inlineStr">
        <is>
          <t>234/001842</t>
        </is>
      </c>
      <c r="O5330" t="inlineStr">
        <is>
          <t>R</t>
        </is>
      </c>
      <c r="P5330">
        <f>TRIM(N5330)</f>
        <v/>
      </c>
    </row>
    <row r="5331">
      <c r="A5331" t="inlineStr">
        <is>
          <t>CO-002811</t>
        </is>
      </c>
      <c r="B5331" t="inlineStr">
        <is>
          <t xml:space="preserve">PERU MASIVO SA - BUSES </t>
        </is>
      </c>
      <c r="C5331" t="inlineStr">
        <is>
          <t>20492392031</t>
        </is>
      </c>
      <c r="D5331" t="inlineStr">
        <is>
          <t>AV. LOS INCAS CDRA. 4 PATIO NORTE - COMAS</t>
        </is>
      </c>
      <c r="E5331" t="inlineStr">
        <is>
          <t>Lima, 27 de julio del 2026</t>
        </is>
      </c>
      <c r="F5331" t="inlineStr">
        <is>
          <t>la Recarga y mantenimiento</t>
        </is>
      </c>
      <c r="G5331" t="inlineStr">
        <is>
          <t>7</t>
        </is>
      </c>
      <c r="H5331" t="inlineStr">
        <is>
          <t>06KG</t>
        </is>
      </c>
      <c r="I5331" t="inlineStr">
        <is>
          <t>2028</t>
        </is>
      </c>
      <c r="J5331" t="n">
        <v>2016</v>
      </c>
      <c r="K5331" t="inlineStr">
        <is>
          <t xml:space="preserve">JULIO 2026 </t>
        </is>
      </c>
      <c r="L5331" t="inlineStr">
        <is>
          <t>JULIO 2027</t>
        </is>
      </c>
      <c r="M5331" t="inlineStr">
        <is>
          <t>PQS TIPO ABC AL 90%</t>
        </is>
      </c>
      <c r="N5331" t="inlineStr">
        <is>
          <t>156/000375</t>
        </is>
      </c>
      <c r="O5331" t="inlineStr">
        <is>
          <t>R</t>
        </is>
      </c>
      <c r="P5331">
        <f>TRIM(N5331)</f>
        <v/>
      </c>
    </row>
    <row r="5332">
      <c r="A5332" t="inlineStr">
        <is>
          <t>CO-002811</t>
        </is>
      </c>
      <c r="B5332" t="inlineStr">
        <is>
          <t xml:space="preserve">PERU MASIVO SA - BUSES </t>
        </is>
      </c>
      <c r="C5332" t="inlineStr">
        <is>
          <t>20492392031</t>
        </is>
      </c>
      <c r="D5332" t="inlineStr">
        <is>
          <t>AV. LOS INCAS CDRA. 4 PATIO NORTE - COMAS</t>
        </is>
      </c>
      <c r="E5332" t="inlineStr">
        <is>
          <t>Lima, 27 de julio del 2026</t>
        </is>
      </c>
      <c r="F5332" t="inlineStr">
        <is>
          <t>la Recarga y mantenimiento</t>
        </is>
      </c>
      <c r="G5332" t="inlineStr">
        <is>
          <t>8</t>
        </is>
      </c>
      <c r="H5332" t="inlineStr">
        <is>
          <t>06KG</t>
        </is>
      </c>
      <c r="I5332" t="inlineStr">
        <is>
          <t>2028</t>
        </is>
      </c>
      <c r="J5332" t="n">
        <v>2011</v>
      </c>
      <c r="K5332" t="inlineStr">
        <is>
          <t xml:space="preserve">JULIO 2026 </t>
        </is>
      </c>
      <c r="L5332" t="inlineStr">
        <is>
          <t>JULIO 2027</t>
        </is>
      </c>
      <c r="M5332" t="inlineStr">
        <is>
          <t>PQS TIPO ABC AL 90%</t>
        </is>
      </c>
      <c r="N5332" t="inlineStr">
        <is>
          <t>331/000811</t>
        </is>
      </c>
      <c r="O5332" t="inlineStr">
        <is>
          <t>R</t>
        </is>
      </c>
      <c r="P5332">
        <f>TRIM(N5332)</f>
        <v/>
      </c>
    </row>
    <row r="5333">
      <c r="A5333" t="inlineStr">
        <is>
          <t>CO-002811</t>
        </is>
      </c>
      <c r="B5333" t="inlineStr">
        <is>
          <t xml:space="preserve">PERU MASIVO SA - BUSES </t>
        </is>
      </c>
      <c r="C5333" t="inlineStr">
        <is>
          <t>20492392031</t>
        </is>
      </c>
      <c r="D5333" t="inlineStr">
        <is>
          <t>AV. LOS INCAS CDRA. 4 PATIO NORTE - COMAS</t>
        </is>
      </c>
      <c r="E5333" t="inlineStr">
        <is>
          <t>Lima, 27 de julio del 2026</t>
        </is>
      </c>
      <c r="F5333" t="inlineStr">
        <is>
          <t>la Recarga y mantenimiento</t>
        </is>
      </c>
      <c r="G5333" t="n">
        <v>90</v>
      </c>
      <c r="H5333" t="inlineStr">
        <is>
          <t>06KG</t>
        </is>
      </c>
      <c r="I5333" t="inlineStr">
        <is>
          <t>2028</t>
        </is>
      </c>
      <c r="J5333" t="n">
        <v>2010</v>
      </c>
      <c r="K5333" t="inlineStr">
        <is>
          <t xml:space="preserve">JULIO 2026 </t>
        </is>
      </c>
      <c r="L5333" t="inlineStr">
        <is>
          <t>JULIO 2027</t>
        </is>
      </c>
      <c r="M5333" t="inlineStr">
        <is>
          <t>PQS TIPO ABC AL 90%</t>
        </is>
      </c>
      <c r="N5333" t="inlineStr">
        <is>
          <t>05/000338</t>
        </is>
      </c>
      <c r="P5333">
        <f>TRIM(N5333)</f>
        <v/>
      </c>
    </row>
    <row r="5334">
      <c r="A5334" t="inlineStr">
        <is>
          <t>CO-002812</t>
        </is>
      </c>
      <c r="B5334" t="inlineStr">
        <is>
          <t>RADIADORES FORTALEZA S.A.</t>
        </is>
      </c>
      <c r="C5334" t="inlineStr">
        <is>
          <t xml:space="preserve">20101636411 </t>
        </is>
      </c>
      <c r="D5334" t="inlineStr">
        <is>
          <t xml:space="preserve">AV. SEPARADORA INDUSTRIAL NO. 1555, URB. INDUSTRIAL SAN FRANCISCO -ATE </t>
        </is>
      </c>
      <c r="E5334" t="inlineStr">
        <is>
          <t>Lima, 25 de julio del 2026</t>
        </is>
      </c>
      <c r="F5334" t="inlineStr">
        <is>
          <t>la Recarga y mantenimiento</t>
        </is>
      </c>
      <c r="G5334" t="inlineStr">
        <is>
          <t>01</t>
        </is>
      </c>
      <c r="H5334" t="inlineStr">
        <is>
          <t>10LBS</t>
        </is>
      </c>
      <c r="I5334" t="n">
        <v>2028</v>
      </c>
      <c r="J5334" t="n">
        <v>2018</v>
      </c>
      <c r="K5334" t="inlineStr">
        <is>
          <t xml:space="preserve">JULIO 2026 </t>
        </is>
      </c>
      <c r="L5334" t="inlineStr">
        <is>
          <t>JULIO 2027</t>
        </is>
      </c>
      <c r="M5334" t="inlineStr">
        <is>
          <t>PQS TIPO ABC AL 75%</t>
        </is>
      </c>
      <c r="N5334" t="inlineStr">
        <is>
          <t>23/EF325559</t>
        </is>
      </c>
      <c r="O5334" t="inlineStr">
        <is>
          <t>R</t>
        </is>
      </c>
      <c r="P5334">
        <f>TRIM(N5334)</f>
        <v/>
      </c>
    </row>
    <row r="5335">
      <c r="A5335" t="inlineStr">
        <is>
          <t>CO-002812</t>
        </is>
      </c>
      <c r="B5335" t="inlineStr">
        <is>
          <t>RADIADORES FORTALEZA S.A.</t>
        </is>
      </c>
      <c r="C5335" t="inlineStr">
        <is>
          <t xml:space="preserve">20101636411 </t>
        </is>
      </c>
      <c r="D5335" t="inlineStr">
        <is>
          <t xml:space="preserve">AV. SEPARADORA INDUSTRIAL NO. 1555, URB. INDUSTRIAL SAN FRANCISCO -ATE </t>
        </is>
      </c>
      <c r="E5335" t="inlineStr">
        <is>
          <t>Lima, 25 de julio del 2026</t>
        </is>
      </c>
      <c r="F5335" t="inlineStr">
        <is>
          <t>la Recarga y mantenimiento</t>
        </is>
      </c>
      <c r="G5335" t="inlineStr">
        <is>
          <t>02</t>
        </is>
      </c>
      <c r="H5335" t="inlineStr">
        <is>
          <t>02 KG</t>
        </is>
      </c>
      <c r="I5335" t="n">
        <v>2030</v>
      </c>
      <c r="J5335" t="n">
        <v>2025</v>
      </c>
      <c r="K5335" t="inlineStr">
        <is>
          <t xml:space="preserve">JULIO 2026 </t>
        </is>
      </c>
      <c r="L5335" t="inlineStr">
        <is>
          <t>JULIO 2027</t>
        </is>
      </c>
      <c r="M5335" t="inlineStr">
        <is>
          <t>PQS TIPO ABC AL 90%</t>
        </is>
      </c>
      <c r="N5335" t="inlineStr">
        <is>
          <t>43/000560</t>
        </is>
      </c>
      <c r="O5335" t="inlineStr">
        <is>
          <t>M1</t>
        </is>
      </c>
      <c r="P5335">
        <f>TRIM(N5335)</f>
        <v/>
      </c>
    </row>
    <row r="5336">
      <c r="A5336" t="inlineStr">
        <is>
          <t>CO-002812</t>
        </is>
      </c>
      <c r="B5336" t="inlineStr">
        <is>
          <t>RADIADORES FORTALEZA S.A.</t>
        </is>
      </c>
      <c r="C5336" t="inlineStr">
        <is>
          <t xml:space="preserve">20101636411 </t>
        </is>
      </c>
      <c r="D5336" t="inlineStr">
        <is>
          <t xml:space="preserve">AV. SEPARADORA INDUSTRIAL NO. 1555, URB. INDUSTRIAL SAN FRANCISCO -ATE </t>
        </is>
      </c>
      <c r="E5336" t="inlineStr">
        <is>
          <t>Lima, 25 de julio del 2026</t>
        </is>
      </c>
      <c r="F5336" t="inlineStr">
        <is>
          <t>la Recarga y mantenimiento</t>
        </is>
      </c>
      <c r="G5336" t="inlineStr">
        <is>
          <t>03</t>
        </is>
      </c>
      <c r="H5336" t="inlineStr">
        <is>
          <t>04 KG</t>
        </is>
      </c>
      <c r="I5336" t="n">
        <v>2028</v>
      </c>
      <c r="J5336" t="n">
        <v>2019</v>
      </c>
      <c r="K5336" t="inlineStr">
        <is>
          <t xml:space="preserve">JULIO 2026 </t>
        </is>
      </c>
      <c r="L5336" t="inlineStr">
        <is>
          <t>JULIO 2027</t>
        </is>
      </c>
      <c r="M5336" t="inlineStr">
        <is>
          <t>PQS TIPO ABC AL 90%</t>
        </is>
      </c>
      <c r="N5336" t="inlineStr">
        <is>
          <t>26/000041</t>
        </is>
      </c>
      <c r="O5336" t="inlineStr">
        <is>
          <t>R</t>
        </is>
      </c>
      <c r="P5336">
        <f>TRIM(N5336)</f>
        <v/>
      </c>
    </row>
    <row r="5337">
      <c r="A5337" t="inlineStr">
        <is>
          <t>CO-002812</t>
        </is>
      </c>
      <c r="B5337" t="inlineStr">
        <is>
          <t>RADIADORES FORTALEZA S.A.</t>
        </is>
      </c>
      <c r="C5337" t="inlineStr">
        <is>
          <t xml:space="preserve">20101636411 </t>
        </is>
      </c>
      <c r="D5337" t="inlineStr">
        <is>
          <t xml:space="preserve">AV. SEPARADORA INDUSTRIAL NO. 1555, URB. INDUSTRIAL SAN FRANCISCO -ATE </t>
        </is>
      </c>
      <c r="E5337" t="inlineStr">
        <is>
          <t>Lima, 25 de julio del 2026</t>
        </is>
      </c>
      <c r="F5337" t="inlineStr">
        <is>
          <t>la Recarga y mantenimiento</t>
        </is>
      </c>
      <c r="G5337" t="inlineStr">
        <is>
          <t>4</t>
        </is>
      </c>
      <c r="H5337" t="inlineStr">
        <is>
          <t>06KG</t>
        </is>
      </c>
      <c r="I5337" t="n">
        <v>2028</v>
      </c>
      <c r="J5337" t="n">
        <v>2008</v>
      </c>
      <c r="K5337" t="inlineStr">
        <is>
          <t xml:space="preserve">JULIO 2026 </t>
        </is>
      </c>
      <c r="L5337" t="inlineStr">
        <is>
          <t>JULIO 2027</t>
        </is>
      </c>
      <c r="M5337" t="inlineStr">
        <is>
          <t>PQS TIPO ABC AL 75%</t>
        </is>
      </c>
      <c r="N5337" t="inlineStr">
        <is>
          <t>22/000606</t>
        </is>
      </c>
      <c r="O5337" t="inlineStr">
        <is>
          <t>R</t>
        </is>
      </c>
      <c r="P5337">
        <f>TRIM(N5337)</f>
        <v/>
      </c>
    </row>
    <row r="5338">
      <c r="A5338" t="inlineStr">
        <is>
          <t>CO-002812</t>
        </is>
      </c>
      <c r="B5338" t="inlineStr">
        <is>
          <t>RADIADORES FORTALEZA S.A.</t>
        </is>
      </c>
      <c r="C5338" t="inlineStr">
        <is>
          <t xml:space="preserve">20101636411 </t>
        </is>
      </c>
      <c r="D5338" t="inlineStr">
        <is>
          <t xml:space="preserve">AV. SEPARADORA INDUSTRIAL NO. 1555, URB. INDUSTRIAL SAN FRANCISCO -ATE </t>
        </is>
      </c>
      <c r="E5338" t="inlineStr">
        <is>
          <t>Lima, 25 de julio del 2026</t>
        </is>
      </c>
      <c r="F5338" t="inlineStr">
        <is>
          <t>la Recarga y mantenimiento</t>
        </is>
      </c>
      <c r="G5338" t="inlineStr">
        <is>
          <t>5</t>
        </is>
      </c>
      <c r="H5338" t="inlineStr">
        <is>
          <t>06 KG</t>
        </is>
      </c>
      <c r="I5338" t="n">
        <v>2028</v>
      </c>
      <c r="J5338" t="n">
        <v>2018</v>
      </c>
      <c r="K5338" t="inlineStr">
        <is>
          <t xml:space="preserve">JULIO 2026 </t>
        </is>
      </c>
      <c r="L5338" t="inlineStr">
        <is>
          <t>JULIO 2027</t>
        </is>
      </c>
      <c r="M5338" t="inlineStr">
        <is>
          <t>PQS TIPO ABC AL 90%</t>
        </is>
      </c>
      <c r="N5338" t="inlineStr">
        <is>
          <t>32/000606</t>
        </is>
      </c>
      <c r="O5338" t="inlineStr">
        <is>
          <t>R</t>
        </is>
      </c>
      <c r="P5338">
        <f>TRIM(N5338)</f>
        <v/>
      </c>
    </row>
    <row r="5339">
      <c r="A5339" t="inlineStr">
        <is>
          <t>CO-002812</t>
        </is>
      </c>
      <c r="B5339" t="inlineStr">
        <is>
          <t>RADIADORES FORTALEZA S.A.</t>
        </is>
      </c>
      <c r="C5339" t="inlineStr">
        <is>
          <t xml:space="preserve">20101636411 </t>
        </is>
      </c>
      <c r="D5339" t="inlineStr">
        <is>
          <t xml:space="preserve">AV. SEPARADORA INDUSTRIAL NO. 1555, URB. INDUSTRIAL SAN FRANCISCO -ATE </t>
        </is>
      </c>
      <c r="E5339" t="inlineStr">
        <is>
          <t>Lima, 25 de julio del 2026</t>
        </is>
      </c>
      <c r="F5339" t="inlineStr">
        <is>
          <t>la Recarga y mantenimiento</t>
        </is>
      </c>
      <c r="G5339" t="inlineStr">
        <is>
          <t>6</t>
        </is>
      </c>
      <c r="H5339" t="inlineStr">
        <is>
          <t>05 LBS</t>
        </is>
      </c>
      <c r="I5339" t="n">
        <v>2030</v>
      </c>
      <c r="J5339" t="n">
        <v>2025</v>
      </c>
      <c r="K5339" t="inlineStr">
        <is>
          <t xml:space="preserve">JULIO 2026 </t>
        </is>
      </c>
      <c r="L5339" t="inlineStr">
        <is>
          <t>JULIO 2027</t>
        </is>
      </c>
      <c r="M5339" t="inlineStr">
        <is>
          <t xml:space="preserve">CO2 TIPO ABC </t>
        </is>
      </c>
      <c r="N5339" t="inlineStr">
        <is>
          <t>20/000110</t>
        </is>
      </c>
      <c r="O5339" t="inlineStr">
        <is>
          <t>R</t>
        </is>
      </c>
      <c r="P5339">
        <f>TRIM(N5339)</f>
        <v/>
      </c>
    </row>
    <row r="5340">
      <c r="A5340" t="inlineStr">
        <is>
          <t>CO-002814</t>
        </is>
      </c>
      <c r="B5340" t="inlineStr">
        <is>
          <t xml:space="preserve"> EDEN AGUA SOLUCIONES INTEGRALES S.A.C.</t>
        </is>
      </c>
      <c r="C5340" t="n">
        <v>20613553372</v>
      </c>
      <c r="D5340" t="inlineStr">
        <is>
          <t>CAL. FRANCISCO DE PAULA UGARRIZA NRO. 783 MIRAFLORES</t>
        </is>
      </c>
      <c r="E5340" t="inlineStr">
        <is>
          <t>Lima, 31 de julio del 2026</t>
        </is>
      </c>
      <c r="F5340" t="inlineStr">
        <is>
          <t>la Recarga y mantenimiento</t>
        </is>
      </c>
      <c r="G5340" t="inlineStr">
        <is>
          <t>01</t>
        </is>
      </c>
      <c r="H5340" t="inlineStr">
        <is>
          <t>10 LBS</t>
        </is>
      </c>
      <c r="I5340" t="inlineStr">
        <is>
          <t>2029</t>
        </is>
      </c>
      <c r="J5340" t="n">
        <v>2024</v>
      </c>
      <c r="K5340" t="inlineStr">
        <is>
          <t xml:space="preserve">JULIO 2026 </t>
        </is>
      </c>
      <c r="L5340" t="inlineStr">
        <is>
          <t>JULIO 2027</t>
        </is>
      </c>
      <c r="M5340" t="inlineStr">
        <is>
          <t>CO2 /TIPO BC</t>
        </is>
      </c>
      <c r="N5340" t="inlineStr">
        <is>
          <t>02/000092</t>
        </is>
      </c>
      <c r="O5340" t="inlineStr">
        <is>
          <t>R</t>
        </is>
      </c>
      <c r="P5340">
        <f>TRIM(N5340)</f>
        <v/>
      </c>
    </row>
    <row r="5341">
      <c r="A5341" t="inlineStr">
        <is>
          <t>CO-002815</t>
        </is>
      </c>
      <c r="B5341" t="inlineStr">
        <is>
          <t xml:space="preserve"> EDEN AGUA SOLUCIONES INTEGRALES S.A.C.</t>
        </is>
      </c>
      <c r="C5341" t="n">
        <v>20613553372</v>
      </c>
      <c r="D5341" t="inlineStr">
        <is>
          <t>MALECON DE LA RESERVA 275 - MIRAFLORES</t>
        </is>
      </c>
      <c r="E5341" t="inlineStr">
        <is>
          <t>Lima, 31 de julio del 2026</t>
        </is>
      </c>
      <c r="F5341" t="inlineStr">
        <is>
          <t>la Recarga y mantenimiento</t>
        </is>
      </c>
      <c r="G5341" t="inlineStr">
        <is>
          <t>01</t>
        </is>
      </c>
      <c r="H5341" t="inlineStr">
        <is>
          <t>06 KG</t>
        </is>
      </c>
      <c r="I5341" t="n">
        <v>2027</v>
      </c>
      <c r="J5341" t="n">
        <v>2022</v>
      </c>
      <c r="K5341" t="inlineStr">
        <is>
          <t xml:space="preserve">JULIO 2026 </t>
        </is>
      </c>
      <c r="L5341" t="inlineStr">
        <is>
          <t>JULIO 2027</t>
        </is>
      </c>
      <c r="M5341" t="inlineStr">
        <is>
          <t>PQS TIPO ABC AL 75%</t>
        </is>
      </c>
      <c r="N5341" t="inlineStr">
        <is>
          <t>4/000934</t>
        </is>
      </c>
      <c r="O5341" t="inlineStr">
        <is>
          <t>R</t>
        </is>
      </c>
      <c r="P5341">
        <f>TRIM(N5341)</f>
        <v/>
      </c>
    </row>
    <row r="5342">
      <c r="A5342" t="inlineStr">
        <is>
          <t>CO-002815</t>
        </is>
      </c>
      <c r="B5342" t="inlineStr">
        <is>
          <t xml:space="preserve"> EDEN AGUA SOLUCIONES INTEGRALES S.A.C.</t>
        </is>
      </c>
      <c r="C5342" t="n">
        <v>20613553372</v>
      </c>
      <c r="D5342" t="inlineStr">
        <is>
          <t>MALECON DE LA RESERVA 275 - MIRAFLORES</t>
        </is>
      </c>
      <c r="E5342" t="inlineStr">
        <is>
          <t>Lima, 31 de julio del 2026</t>
        </is>
      </c>
      <c r="F5342" t="inlineStr">
        <is>
          <t>la Recarga y mantenimiento</t>
        </is>
      </c>
      <c r="G5342" t="inlineStr">
        <is>
          <t>02</t>
        </is>
      </c>
      <c r="H5342" t="inlineStr">
        <is>
          <t>05 LBS</t>
        </is>
      </c>
      <c r="I5342" t="n">
        <v>2028</v>
      </c>
      <c r="J5342" t="n">
        <v>2023</v>
      </c>
      <c r="K5342" t="inlineStr">
        <is>
          <t xml:space="preserve">JULIO 2026 </t>
        </is>
      </c>
      <c r="L5342" t="inlineStr">
        <is>
          <t>JULIO 2027</t>
        </is>
      </c>
      <c r="M5342" t="inlineStr">
        <is>
          <t xml:space="preserve">CO2 TIPO BC </t>
        </is>
      </c>
      <c r="N5342" t="inlineStr">
        <is>
          <t>S/N/ 000462</t>
        </is>
      </c>
      <c r="O5342" t="inlineStr">
        <is>
          <t>R</t>
        </is>
      </c>
      <c r="P5342">
        <f>TRIM(N5342)</f>
        <v/>
      </c>
    </row>
    <row r="5343">
      <c r="A5343" t="inlineStr">
        <is>
          <t>CO-002759</t>
        </is>
      </c>
      <c r="B5343" t="inlineStr">
        <is>
          <t>BRITISH AMERICAN HOSPITAL S.A. - CLINICA ANGLOAMERICANA</t>
        </is>
      </c>
      <c r="C5343" t="inlineStr">
        <is>
          <t>20107695584</t>
        </is>
      </c>
      <c r="D5343" t="inlineStr">
        <is>
          <t xml:space="preserve">JR ALFREDO SALAZAR 350 - SAN ISIDRO </t>
        </is>
      </c>
      <c r="E5343" t="inlineStr">
        <is>
          <t>Lima, 31 de julio del 2026</t>
        </is>
      </c>
      <c r="F5343" t="inlineStr">
        <is>
          <t>la Recarga y mantenimiento</t>
        </is>
      </c>
      <c r="G5343" t="inlineStr">
        <is>
          <t>01</t>
        </is>
      </c>
      <c r="H5343" t="inlineStr">
        <is>
          <t>06KG</t>
        </is>
      </c>
      <c r="I5343" t="n">
        <v>2028</v>
      </c>
      <c r="J5343" t="n">
        <v>2014</v>
      </c>
      <c r="K5343" t="inlineStr">
        <is>
          <t xml:space="preserve">JULIO 2026 </t>
        </is>
      </c>
      <c r="L5343" t="inlineStr">
        <is>
          <t>JULIO 2027</t>
        </is>
      </c>
      <c r="M5343" t="inlineStr">
        <is>
          <t>PQS TIPO ABC AL 75%</t>
        </is>
      </c>
      <c r="N5343" t="inlineStr">
        <is>
          <t>E-002/001170</t>
        </is>
      </c>
      <c r="O5343" t="inlineStr">
        <is>
          <t>R</t>
        </is>
      </c>
      <c r="P5343">
        <f>TRIM(N5343)</f>
        <v/>
      </c>
    </row>
    <row r="5344">
      <c r="A5344" t="inlineStr">
        <is>
          <t>CO-002759</t>
        </is>
      </c>
      <c r="B5344" t="inlineStr">
        <is>
          <t>BRITISH AMERICAN HOSPITAL S.A. - CLINICA ANGLOAMERICANA</t>
        </is>
      </c>
      <c r="C5344" t="inlineStr">
        <is>
          <t>20107695584</t>
        </is>
      </c>
      <c r="D5344" t="inlineStr">
        <is>
          <t xml:space="preserve">JR ALFREDO SALAZAR 350 - SAN ISIDRO </t>
        </is>
      </c>
      <c r="E5344" t="inlineStr">
        <is>
          <t>Lima, 31 de julio del 2026</t>
        </is>
      </c>
      <c r="F5344" t="inlineStr">
        <is>
          <t>la Recarga y mantenimiento</t>
        </is>
      </c>
      <c r="G5344" t="inlineStr">
        <is>
          <t>02</t>
        </is>
      </c>
      <c r="H5344" t="inlineStr">
        <is>
          <t>06 KG</t>
        </is>
      </c>
      <c r="I5344" t="n">
        <v>2028</v>
      </c>
      <c r="J5344" t="n">
        <v>2014</v>
      </c>
      <c r="K5344" t="inlineStr">
        <is>
          <t xml:space="preserve">JULIO 2026 </t>
        </is>
      </c>
      <c r="L5344" t="inlineStr">
        <is>
          <t>JULIO 2027</t>
        </is>
      </c>
      <c r="M5344" t="inlineStr">
        <is>
          <t>PQS TIPO ABC AL 75%</t>
        </is>
      </c>
      <c r="N5344" t="inlineStr">
        <is>
          <t>E-121/000855</t>
        </is>
      </c>
      <c r="O5344" t="inlineStr">
        <is>
          <t>R</t>
        </is>
      </c>
      <c r="P5344">
        <f>TRIM(N5344)</f>
        <v/>
      </c>
    </row>
    <row r="5345">
      <c r="A5345" t="inlineStr">
        <is>
          <t>CO-002759</t>
        </is>
      </c>
      <c r="B5345" t="inlineStr">
        <is>
          <t>BRITISH AMERICAN HOSPITAL S.A. - CLINICA ANGLOAMERICANA</t>
        </is>
      </c>
      <c r="C5345" t="inlineStr">
        <is>
          <t>20107695584</t>
        </is>
      </c>
      <c r="D5345" t="inlineStr">
        <is>
          <t xml:space="preserve">JR ALFREDO SALAZAR 350 - SAN ISIDRO </t>
        </is>
      </c>
      <c r="E5345" t="inlineStr">
        <is>
          <t>Lima, 31 de julio del 2026</t>
        </is>
      </c>
      <c r="F5345" t="inlineStr">
        <is>
          <t>la Recarga y mantenimiento</t>
        </is>
      </c>
      <c r="G5345" t="inlineStr">
        <is>
          <t>03</t>
        </is>
      </c>
      <c r="H5345" t="inlineStr">
        <is>
          <t>06 KG</t>
        </is>
      </c>
      <c r="I5345" t="n">
        <v>2028</v>
      </c>
      <c r="J5345" t="n">
        <v>2014</v>
      </c>
      <c r="K5345" t="inlineStr">
        <is>
          <t xml:space="preserve">JULIO 2026 </t>
        </is>
      </c>
      <c r="L5345" t="inlineStr">
        <is>
          <t>JULIO 2027</t>
        </is>
      </c>
      <c r="M5345" t="inlineStr">
        <is>
          <t>PQS TIPO ABC AL 75%</t>
        </is>
      </c>
      <c r="N5345" t="inlineStr">
        <is>
          <t>E-059/001917</t>
        </is>
      </c>
      <c r="O5345" t="inlineStr">
        <is>
          <t>R</t>
        </is>
      </c>
      <c r="P5345">
        <f>TRIM(N5345)</f>
        <v/>
      </c>
    </row>
    <row r="5346">
      <c r="A5346" t="inlineStr">
        <is>
          <t>CO-002759</t>
        </is>
      </c>
      <c r="B5346" t="inlineStr">
        <is>
          <t>BRITISH AMERICAN HOSPITAL S.A. - CLINICA ANGLOAMERICANA</t>
        </is>
      </c>
      <c r="C5346" t="inlineStr">
        <is>
          <t>20107695584</t>
        </is>
      </c>
      <c r="D5346" t="inlineStr">
        <is>
          <t xml:space="preserve">JR ALFREDO SALAZAR 350 - SAN ISIDRO </t>
        </is>
      </c>
      <c r="E5346" t="inlineStr">
        <is>
          <t>Lima, 31 de julio del 2026</t>
        </is>
      </c>
      <c r="F5346" t="inlineStr">
        <is>
          <t>la Recarga y mantenimiento</t>
        </is>
      </c>
      <c r="G5346" t="inlineStr">
        <is>
          <t>4</t>
        </is>
      </c>
      <c r="H5346" t="inlineStr">
        <is>
          <t>06 KG</t>
        </is>
      </c>
      <c r="I5346" t="n">
        <v>2031</v>
      </c>
      <c r="J5346" t="n">
        <v>2013</v>
      </c>
      <c r="K5346" t="inlineStr">
        <is>
          <t xml:space="preserve">JULIO 2026 </t>
        </is>
      </c>
      <c r="L5346" t="inlineStr">
        <is>
          <t>JULIO 2027</t>
        </is>
      </c>
      <c r="M5346" t="inlineStr">
        <is>
          <t>PQS TIPO ABC AL 75%</t>
        </is>
      </c>
      <c r="N5346" t="inlineStr">
        <is>
          <t>E-001/001138</t>
        </is>
      </c>
      <c r="O5346" t="inlineStr">
        <is>
          <t>R</t>
        </is>
      </c>
      <c r="P5346">
        <f>TRIM(N5346)</f>
        <v/>
      </c>
    </row>
    <row r="5347">
      <c r="A5347" t="inlineStr">
        <is>
          <t>CO-002759</t>
        </is>
      </c>
      <c r="B5347" t="inlineStr">
        <is>
          <t>BRITISH AMERICAN HOSPITAL S.A. - CLINICA ANGLOAMERICANA</t>
        </is>
      </c>
      <c r="C5347" t="inlineStr">
        <is>
          <t>20107695584</t>
        </is>
      </c>
      <c r="D5347" t="inlineStr">
        <is>
          <t xml:space="preserve">JR ALFREDO SALAZAR 350 - SAN ISIDRO </t>
        </is>
      </c>
      <c r="E5347" t="inlineStr">
        <is>
          <t>Lima, 31 de julio del 2026</t>
        </is>
      </c>
      <c r="F5347" t="inlineStr">
        <is>
          <t>la Recarga y mantenimiento</t>
        </is>
      </c>
      <c r="G5347" t="inlineStr">
        <is>
          <t>5</t>
        </is>
      </c>
      <c r="H5347" t="inlineStr">
        <is>
          <t>06 KG</t>
        </is>
      </c>
      <c r="I5347" t="n">
        <v>2031</v>
      </c>
      <c r="J5347" t="n">
        <v>2014</v>
      </c>
      <c r="K5347" t="inlineStr">
        <is>
          <t xml:space="preserve">JULIO 2026 </t>
        </is>
      </c>
      <c r="L5347" t="inlineStr">
        <is>
          <t>JULIO 2027</t>
        </is>
      </c>
      <c r="M5347" t="inlineStr">
        <is>
          <t>PQS TIPO ABC AL 75%</t>
        </is>
      </c>
      <c r="N5347" t="inlineStr">
        <is>
          <t>E-057/001763</t>
        </is>
      </c>
      <c r="O5347" t="inlineStr">
        <is>
          <t>R</t>
        </is>
      </c>
      <c r="P5347">
        <f>TRIM(N5347)</f>
        <v/>
      </c>
    </row>
    <row r="5348">
      <c r="A5348" t="inlineStr">
        <is>
          <t>CO-002759</t>
        </is>
      </c>
      <c r="B5348" t="inlineStr">
        <is>
          <t>BRITISH AMERICAN HOSPITAL S.A. - CLINICA ANGLOAMERICANA</t>
        </is>
      </c>
      <c r="C5348" t="inlineStr">
        <is>
          <t>20107695584</t>
        </is>
      </c>
      <c r="D5348" t="inlineStr">
        <is>
          <t xml:space="preserve">JR ALFREDO SALAZAR 350 - SAN ISIDRO </t>
        </is>
      </c>
      <c r="E5348" t="inlineStr">
        <is>
          <t>Lima, 31 de julio del 2026</t>
        </is>
      </c>
      <c r="F5348" t="inlineStr">
        <is>
          <t>la Recarga y mantenimiento</t>
        </is>
      </c>
      <c r="G5348" t="inlineStr">
        <is>
          <t>6</t>
        </is>
      </c>
      <c r="H5348" t="inlineStr">
        <is>
          <t>06 KG</t>
        </is>
      </c>
      <c r="I5348" t="n">
        <v>2030</v>
      </c>
      <c r="J5348" t="n">
        <v>2008</v>
      </c>
      <c r="K5348" t="inlineStr">
        <is>
          <t xml:space="preserve">JULIO 2026 </t>
        </is>
      </c>
      <c r="L5348" t="inlineStr">
        <is>
          <t>JULIO 2027</t>
        </is>
      </c>
      <c r="M5348" t="inlineStr">
        <is>
          <t>PQS TIPO ABC AL 75%</t>
        </is>
      </c>
      <c r="N5348" t="inlineStr">
        <is>
          <t>E-100/000245</t>
        </is>
      </c>
      <c r="O5348" t="inlineStr">
        <is>
          <t>R</t>
        </is>
      </c>
      <c r="P5348">
        <f>TRIM(N5348)</f>
        <v/>
      </c>
    </row>
    <row r="5349">
      <c r="A5349" t="inlineStr">
        <is>
          <t>CO-002759</t>
        </is>
      </c>
      <c r="B5349" t="inlineStr">
        <is>
          <t>BRITISH AMERICAN HOSPITAL S.A. - CLINICA ANGLOAMERICANA</t>
        </is>
      </c>
      <c r="C5349" t="inlineStr">
        <is>
          <t>20107695584</t>
        </is>
      </c>
      <c r="D5349" t="inlineStr">
        <is>
          <t xml:space="preserve">JR ALFREDO SALAZAR 350 - SAN ISIDRO </t>
        </is>
      </c>
      <c r="E5349" t="inlineStr">
        <is>
          <t>Lima, 31 de julio del 2026</t>
        </is>
      </c>
      <c r="F5349" t="inlineStr">
        <is>
          <t>la Recarga y mantenimiento</t>
        </is>
      </c>
      <c r="G5349" t="inlineStr">
        <is>
          <t>7</t>
        </is>
      </c>
      <c r="H5349" t="inlineStr">
        <is>
          <t>06 KG</t>
        </is>
      </c>
      <c r="I5349" t="n">
        <v>2031</v>
      </c>
      <c r="J5349" t="n">
        <v>2017</v>
      </c>
      <c r="K5349" t="inlineStr">
        <is>
          <t xml:space="preserve">JULIO 2026 </t>
        </is>
      </c>
      <c r="L5349" t="inlineStr">
        <is>
          <t>JULIO 2027</t>
        </is>
      </c>
      <c r="M5349" t="inlineStr">
        <is>
          <t>PQS TIPO ABC AL 75%</t>
        </is>
      </c>
      <c r="N5349" t="inlineStr">
        <is>
          <t>E-126/001003</t>
        </is>
      </c>
      <c r="O5349" t="inlineStr">
        <is>
          <t>R</t>
        </is>
      </c>
      <c r="P5349">
        <f>TRIM(N5349)</f>
        <v/>
      </c>
    </row>
    <row r="5350">
      <c r="A5350" t="inlineStr">
        <is>
          <t>CO-002759</t>
        </is>
      </c>
      <c r="B5350" t="inlineStr">
        <is>
          <t>BRITISH AMERICAN HOSPITAL S.A. - CLINICA ANGLOAMERICANA</t>
        </is>
      </c>
      <c r="C5350" t="inlineStr">
        <is>
          <t>20107695584</t>
        </is>
      </c>
      <c r="D5350" t="inlineStr">
        <is>
          <t xml:space="preserve">JR ALFREDO SALAZAR 350 - SAN ISIDRO </t>
        </is>
      </c>
      <c r="E5350" t="inlineStr">
        <is>
          <t>Lima, 31 de julio del 2026</t>
        </is>
      </c>
      <c r="F5350" t="inlineStr">
        <is>
          <t>la Recarga y mantenimiento</t>
        </is>
      </c>
      <c r="G5350" t="n">
        <v>8</v>
      </c>
      <c r="H5350" t="inlineStr">
        <is>
          <t>06 KG</t>
        </is>
      </c>
      <c r="I5350" t="n">
        <v>2030</v>
      </c>
      <c r="J5350" t="n">
        <v>2020</v>
      </c>
      <c r="K5350" t="inlineStr">
        <is>
          <t xml:space="preserve">JULIO 2026 </t>
        </is>
      </c>
      <c r="L5350" t="inlineStr">
        <is>
          <t>JULIO 2027</t>
        </is>
      </c>
      <c r="M5350" t="inlineStr">
        <is>
          <t>PQS TIPO ABC AL 75%</t>
        </is>
      </c>
      <c r="N5350" t="inlineStr">
        <is>
          <t>E-149/000062</t>
        </is>
      </c>
      <c r="O5350" t="inlineStr">
        <is>
          <t>R</t>
        </is>
      </c>
      <c r="P5350">
        <f>TRIM(N5350)</f>
        <v/>
      </c>
    </row>
    <row r="5351">
      <c r="A5351" t="inlineStr">
        <is>
          <t>CO-002759</t>
        </is>
      </c>
      <c r="B5351" t="inlineStr">
        <is>
          <t>BRITISH AMERICAN HOSPITAL S.A. - CLINICA ANGLOAMERICANA</t>
        </is>
      </c>
      <c r="C5351" t="inlineStr">
        <is>
          <t>20107695584</t>
        </is>
      </c>
      <c r="D5351" t="inlineStr">
        <is>
          <t xml:space="preserve">JR ALFREDO SALAZAR 350 - SAN ISIDRO </t>
        </is>
      </c>
      <c r="E5351" t="inlineStr">
        <is>
          <t>Lima, 31 de julio del 2026</t>
        </is>
      </c>
      <c r="F5351" t="inlineStr">
        <is>
          <t>la Recarga y mantenimiento</t>
        </is>
      </c>
      <c r="G5351" t="n">
        <v>9</v>
      </c>
      <c r="H5351" t="inlineStr">
        <is>
          <t>06 KG</t>
        </is>
      </c>
      <c r="I5351" t="n">
        <v>2031</v>
      </c>
      <c r="J5351" t="n">
        <v>2014</v>
      </c>
      <c r="K5351" t="inlineStr">
        <is>
          <t xml:space="preserve">JULIO 2026 </t>
        </is>
      </c>
      <c r="L5351" t="inlineStr">
        <is>
          <t>JULIO 2027</t>
        </is>
      </c>
      <c r="M5351" t="inlineStr">
        <is>
          <t>PQS TIPO ABC AL 75%</t>
        </is>
      </c>
      <c r="N5351" t="inlineStr">
        <is>
          <t>E-077/000702</t>
        </is>
      </c>
      <c r="O5351" t="inlineStr">
        <is>
          <t>R</t>
        </is>
      </c>
      <c r="P5351">
        <f>TRIM(N5351)</f>
        <v/>
      </c>
    </row>
    <row r="5352">
      <c r="A5352" t="inlineStr">
        <is>
          <t>CO-002759</t>
        </is>
      </c>
      <c r="B5352" t="inlineStr">
        <is>
          <t>BRITISH AMERICAN HOSPITAL S.A. - CLINICA ANGLOAMERICANA</t>
        </is>
      </c>
      <c r="C5352" t="inlineStr">
        <is>
          <t>20107695584</t>
        </is>
      </c>
      <c r="D5352" t="inlineStr">
        <is>
          <t xml:space="preserve">JR ALFREDO SALAZAR 350 - SAN ISIDRO </t>
        </is>
      </c>
      <c r="E5352" t="inlineStr">
        <is>
          <t>Lima, 31 de julio del 2026</t>
        </is>
      </c>
      <c r="F5352" t="inlineStr">
        <is>
          <t>la Recarga y mantenimiento</t>
        </is>
      </c>
      <c r="G5352" t="n">
        <v>10</v>
      </c>
      <c r="H5352" t="inlineStr">
        <is>
          <t>06 KG</t>
        </is>
      </c>
      <c r="I5352" t="n">
        <v>2030</v>
      </c>
      <c r="J5352" t="n">
        <v>2008</v>
      </c>
      <c r="K5352" t="inlineStr">
        <is>
          <t>JULIO 2026</t>
        </is>
      </c>
      <c r="L5352" t="inlineStr">
        <is>
          <t>JULIO 2027</t>
        </is>
      </c>
      <c r="M5352" t="inlineStr">
        <is>
          <t>PQS TIPO ABC AL 75%</t>
        </is>
      </c>
      <c r="N5352" t="inlineStr">
        <is>
          <t>E-123/000726</t>
        </is>
      </c>
      <c r="O5352" t="inlineStr">
        <is>
          <t>R</t>
        </is>
      </c>
      <c r="P5352">
        <f>TRIM(N5352)</f>
        <v/>
      </c>
    </row>
    <row r="5353">
      <c r="A5353" t="inlineStr">
        <is>
          <t>CO-002759</t>
        </is>
      </c>
      <c r="B5353" t="inlineStr">
        <is>
          <t>BRITISH AMERICAN HOSPITAL S.A. - CLINICA ANGLOAMERICANA</t>
        </is>
      </c>
      <c r="C5353" t="inlineStr">
        <is>
          <t>20107695584</t>
        </is>
      </c>
      <c r="D5353" t="inlineStr">
        <is>
          <t xml:space="preserve">JR ALFREDO SALAZAR 350 - SAN ISIDRO </t>
        </is>
      </c>
      <c r="E5353" t="inlineStr">
        <is>
          <t>Lima, 31 de julio del 2026</t>
        </is>
      </c>
      <c r="F5353" t="inlineStr">
        <is>
          <t>la Recarga y mantenimiento</t>
        </is>
      </c>
      <c r="G5353" t="n">
        <v>11</v>
      </c>
      <c r="H5353" t="inlineStr">
        <is>
          <t>06 KG</t>
        </is>
      </c>
      <c r="I5353" t="n">
        <v>2027</v>
      </c>
      <c r="J5353" t="n">
        <v>2014</v>
      </c>
      <c r="K5353" t="inlineStr">
        <is>
          <t>JULIO 2026</t>
        </is>
      </c>
      <c r="L5353" t="inlineStr">
        <is>
          <t>JULIO 2027</t>
        </is>
      </c>
      <c r="M5353" t="inlineStr">
        <is>
          <t>PQS TIPO ABC AL 75%</t>
        </is>
      </c>
      <c r="N5353" t="inlineStr">
        <is>
          <t>E-129/000644</t>
        </is>
      </c>
      <c r="O5353" t="inlineStr">
        <is>
          <t>R</t>
        </is>
      </c>
      <c r="P5353">
        <f>TRIM(N5353)</f>
        <v/>
      </c>
    </row>
    <row r="5354">
      <c r="A5354" t="inlineStr">
        <is>
          <t>CO-002759</t>
        </is>
      </c>
      <c r="B5354" t="inlineStr">
        <is>
          <t>BRITISH AMERICAN HOSPITAL S.A. - CLINICA ANGLOAMERICANA</t>
        </is>
      </c>
      <c r="C5354" t="inlineStr">
        <is>
          <t>20107695584</t>
        </is>
      </c>
      <c r="D5354" t="inlineStr">
        <is>
          <t xml:space="preserve">JR ALFREDO SALAZAR 350 - SAN ISIDRO </t>
        </is>
      </c>
      <c r="E5354" t="inlineStr">
        <is>
          <t>Lima, 31 de julio del 2026</t>
        </is>
      </c>
      <c r="F5354" t="inlineStr">
        <is>
          <t>la Recarga y mantenimiento</t>
        </is>
      </c>
      <c r="G5354" t="n">
        <v>12</v>
      </c>
      <c r="H5354" t="inlineStr">
        <is>
          <t>06 KG</t>
        </is>
      </c>
      <c r="I5354" t="n">
        <v>2027</v>
      </c>
      <c r="J5354" t="n">
        <v>2014</v>
      </c>
      <c r="K5354" t="inlineStr">
        <is>
          <t>JULIO 2026</t>
        </is>
      </c>
      <c r="L5354" t="inlineStr">
        <is>
          <t>JULIO 2027</t>
        </is>
      </c>
      <c r="M5354" t="inlineStr">
        <is>
          <t>PQS TIPO ABC AL 75%</t>
        </is>
      </c>
      <c r="N5354" t="inlineStr">
        <is>
          <t>E-058/001829</t>
        </is>
      </c>
      <c r="O5354" t="inlineStr">
        <is>
          <t>R</t>
        </is>
      </c>
      <c r="P5354">
        <f>TRIM(N5354)</f>
        <v/>
      </c>
    </row>
    <row r="5355">
      <c r="A5355" t="inlineStr">
        <is>
          <t>CO-002759</t>
        </is>
      </c>
      <c r="B5355" t="inlineStr">
        <is>
          <t>BRITISH AMERICAN HOSPITAL S.A. - CLINICA ANGLOAMERICANA</t>
        </is>
      </c>
      <c r="C5355" t="inlineStr">
        <is>
          <t>20107695584</t>
        </is>
      </c>
      <c r="D5355" t="inlineStr">
        <is>
          <t xml:space="preserve">JR ALFREDO SALAZAR 350 - SAN ISIDRO </t>
        </is>
      </c>
      <c r="E5355" t="inlineStr">
        <is>
          <t>Lima, 31 de julio del 2026</t>
        </is>
      </c>
      <c r="F5355" t="inlineStr">
        <is>
          <t>la Recarga y mantenimiento</t>
        </is>
      </c>
      <c r="G5355" t="n">
        <v>13</v>
      </c>
      <c r="H5355" t="inlineStr">
        <is>
          <t>06 KG</t>
        </is>
      </c>
      <c r="I5355" t="n">
        <v>2031</v>
      </c>
      <c r="J5355" t="n">
        <v>2013</v>
      </c>
      <c r="K5355" t="inlineStr">
        <is>
          <t>JULIO 2026</t>
        </is>
      </c>
      <c r="L5355" t="inlineStr">
        <is>
          <t>JULIO 2027</t>
        </is>
      </c>
      <c r="M5355" t="inlineStr">
        <is>
          <t>PQS TIPO ABC AL 75%</t>
        </is>
      </c>
      <c r="N5355" t="inlineStr">
        <is>
          <t>E-003/000752</t>
        </is>
      </c>
      <c r="O5355" t="inlineStr">
        <is>
          <t>R</t>
        </is>
      </c>
      <c r="P5355">
        <f>TRIM(N5355)</f>
        <v/>
      </c>
    </row>
    <row r="5356">
      <c r="A5356" t="inlineStr">
        <is>
          <t>CO-002759</t>
        </is>
      </c>
      <c r="B5356" t="inlineStr">
        <is>
          <t>BRITISH AMERICAN HOSPITAL S.A. - CLINICA ANGLOAMERICANA</t>
        </is>
      </c>
      <c r="C5356" t="inlineStr">
        <is>
          <t>20107695584</t>
        </is>
      </c>
      <c r="D5356" t="inlineStr">
        <is>
          <t xml:space="preserve">JR ALFREDO SALAZAR 350 - SAN ISIDRO </t>
        </is>
      </c>
      <c r="E5356" t="inlineStr">
        <is>
          <t>Lima, 31 de julio del 2026</t>
        </is>
      </c>
      <c r="F5356" t="inlineStr">
        <is>
          <t>la Recarga y mantenimiento</t>
        </is>
      </c>
      <c r="G5356" t="n">
        <v>14</v>
      </c>
      <c r="H5356" t="inlineStr">
        <is>
          <t>06 KG</t>
        </is>
      </c>
      <c r="I5356" t="n">
        <v>2031</v>
      </c>
      <c r="J5356" t="n">
        <v>2013</v>
      </c>
      <c r="K5356" t="inlineStr">
        <is>
          <t>JULIO 2026</t>
        </is>
      </c>
      <c r="L5356" t="inlineStr">
        <is>
          <t>JULIO 2027</t>
        </is>
      </c>
      <c r="M5356" t="inlineStr">
        <is>
          <t>PQS TIPO ABC AL 75%</t>
        </is>
      </c>
      <c r="N5356" t="inlineStr">
        <is>
          <t>E-004/000375</t>
        </is>
      </c>
      <c r="O5356" t="inlineStr">
        <is>
          <t>R</t>
        </is>
      </c>
      <c r="P5356">
        <f>TRIM(N5356)</f>
        <v/>
      </c>
    </row>
    <row r="5357">
      <c r="A5357" t="inlineStr">
        <is>
          <t>CO-002759</t>
        </is>
      </c>
      <c r="B5357" t="inlineStr">
        <is>
          <t>BRITISH AMERICAN HOSPITAL S.A. - CLINICA ANGLOAMERICANA</t>
        </is>
      </c>
      <c r="C5357" t="inlineStr">
        <is>
          <t>20107695584</t>
        </is>
      </c>
      <c r="D5357" t="inlineStr">
        <is>
          <t xml:space="preserve">JR ALFREDO SALAZAR 350 - SAN ISIDRO </t>
        </is>
      </c>
      <c r="E5357" t="inlineStr">
        <is>
          <t>Lima, 31 de julio del 2026</t>
        </is>
      </c>
      <c r="F5357" t="inlineStr">
        <is>
          <t>la Recarga y mantenimiento</t>
        </is>
      </c>
      <c r="G5357" t="n">
        <v>15</v>
      </c>
      <c r="H5357" t="inlineStr">
        <is>
          <t>06 KG</t>
        </is>
      </c>
      <c r="I5357" t="n">
        <v>2027</v>
      </c>
      <c r="J5357" t="n">
        <v>2014</v>
      </c>
      <c r="K5357" t="inlineStr">
        <is>
          <t>JULIO 2026</t>
        </is>
      </c>
      <c r="L5357" t="inlineStr">
        <is>
          <t>JULIO 2027</t>
        </is>
      </c>
      <c r="M5357" t="inlineStr">
        <is>
          <t>PQS TIPO ABC AL 75%</t>
        </is>
      </c>
      <c r="N5357" t="inlineStr">
        <is>
          <t>E-101/000877</t>
        </is>
      </c>
      <c r="O5357" t="inlineStr">
        <is>
          <t>R</t>
        </is>
      </c>
      <c r="P5357">
        <f>TRIM(N5357)</f>
        <v/>
      </c>
    </row>
    <row r="5358">
      <c r="A5358" t="inlineStr">
        <is>
          <t>CO-002759</t>
        </is>
      </c>
      <c r="B5358" t="inlineStr">
        <is>
          <t>BRITISH AMERICAN HOSPITAL S.A. - CLINICA ANGLOAMERICANA</t>
        </is>
      </c>
      <c r="C5358" t="inlineStr">
        <is>
          <t>20107695584</t>
        </is>
      </c>
      <c r="D5358" t="inlineStr">
        <is>
          <t xml:space="preserve">JR ALFREDO SALAZAR 350 - SAN ISIDRO </t>
        </is>
      </c>
      <c r="E5358" t="inlineStr">
        <is>
          <t>Lima, 31 de julio del 2026</t>
        </is>
      </c>
      <c r="F5358" t="inlineStr">
        <is>
          <t>la Recarga y mantenimiento</t>
        </is>
      </c>
      <c r="G5358" t="inlineStr">
        <is>
          <t>01</t>
        </is>
      </c>
      <c r="H5358" t="inlineStr">
        <is>
          <t>06 KG</t>
        </is>
      </c>
      <c r="I5358" t="n">
        <v>2029</v>
      </c>
      <c r="J5358" t="n">
        <v>2008</v>
      </c>
      <c r="K5358" t="inlineStr">
        <is>
          <t xml:space="preserve">JULIO 2026 </t>
        </is>
      </c>
      <c r="L5358" t="inlineStr">
        <is>
          <t>JULIO 2027</t>
        </is>
      </c>
      <c r="M5358" t="inlineStr">
        <is>
          <t>PQS TIPO ABC AL 75%</t>
        </is>
      </c>
      <c r="N5358" t="inlineStr">
        <is>
          <t>E-130/002679</t>
        </is>
      </c>
      <c r="O5358" t="inlineStr">
        <is>
          <t>R</t>
        </is>
      </c>
      <c r="P5358">
        <f>TRIM(N5358)</f>
        <v/>
      </c>
    </row>
    <row r="5359">
      <c r="A5359" t="inlineStr">
        <is>
          <t>CO-002759</t>
        </is>
      </c>
      <c r="B5359" t="inlineStr">
        <is>
          <t>BRITISH AMERICAN HOSPITAL S.A. - CLINICA ANGLOAMERICANA</t>
        </is>
      </c>
      <c r="C5359" t="inlineStr">
        <is>
          <t>20107695584</t>
        </is>
      </c>
      <c r="D5359" t="inlineStr">
        <is>
          <t xml:space="preserve">JR ALFREDO SALAZAR 350 - SAN ISIDRO </t>
        </is>
      </c>
      <c r="E5359" t="inlineStr">
        <is>
          <t>Lima, 31 de julio del 2026</t>
        </is>
      </c>
      <c r="F5359" t="inlineStr">
        <is>
          <t>la Recarga y mantenimiento</t>
        </is>
      </c>
      <c r="G5359" t="inlineStr">
        <is>
          <t>02</t>
        </is>
      </c>
      <c r="H5359" t="inlineStr">
        <is>
          <t>06 KG</t>
        </is>
      </c>
      <c r="I5359" t="n">
        <v>2030</v>
      </c>
      <c r="J5359" t="n">
        <v>2019</v>
      </c>
      <c r="K5359" t="inlineStr">
        <is>
          <t xml:space="preserve">JULIO 2026 </t>
        </is>
      </c>
      <c r="L5359" t="inlineStr">
        <is>
          <t>JULIO 2027</t>
        </is>
      </c>
      <c r="M5359" t="inlineStr">
        <is>
          <t>PQS TIPO ABC AL 75%</t>
        </is>
      </c>
      <c r="N5359" t="inlineStr">
        <is>
          <t>E-034/003112</t>
        </is>
      </c>
      <c r="O5359" t="inlineStr">
        <is>
          <t>R</t>
        </is>
      </c>
      <c r="P5359">
        <f>TRIM(N5359)</f>
        <v/>
      </c>
    </row>
    <row r="5360">
      <c r="A5360" t="inlineStr">
        <is>
          <t>CO-002759</t>
        </is>
      </c>
      <c r="B5360" t="inlineStr">
        <is>
          <t>BRITISH AMERICAN HOSPITAL S.A. - CLINICA ANGLOAMERICANA</t>
        </is>
      </c>
      <c r="C5360" t="inlineStr">
        <is>
          <t>20107695584</t>
        </is>
      </c>
      <c r="D5360" t="inlineStr">
        <is>
          <t xml:space="preserve">JR ALFREDO SALAZAR 350 - SAN ISIDRO </t>
        </is>
      </c>
      <c r="E5360" t="inlineStr">
        <is>
          <t>Lima, 31 de julio del 2026</t>
        </is>
      </c>
      <c r="F5360" t="inlineStr">
        <is>
          <t>la Recarga y mantenimiento</t>
        </is>
      </c>
      <c r="G5360" t="inlineStr">
        <is>
          <t>03</t>
        </is>
      </c>
      <c r="H5360" t="inlineStr">
        <is>
          <t>06 KG</t>
        </is>
      </c>
      <c r="I5360" t="n">
        <v>2027</v>
      </c>
      <c r="J5360" t="n">
        <v>2016</v>
      </c>
      <c r="K5360" t="inlineStr">
        <is>
          <t xml:space="preserve">JULIO 2026 </t>
        </is>
      </c>
      <c r="L5360" t="inlineStr">
        <is>
          <t>JULIO 2027</t>
        </is>
      </c>
      <c r="M5360" t="inlineStr">
        <is>
          <t>PQS TIPO ABC AL 75%</t>
        </is>
      </c>
      <c r="N5360" t="inlineStr">
        <is>
          <t>E-032/003979</t>
        </is>
      </c>
      <c r="O5360" t="inlineStr">
        <is>
          <t>R</t>
        </is>
      </c>
      <c r="P5360">
        <f>TRIM(N5360)</f>
        <v/>
      </c>
    </row>
    <row r="5361">
      <c r="A5361" t="inlineStr">
        <is>
          <t>CO-002759</t>
        </is>
      </c>
      <c r="B5361" t="inlineStr">
        <is>
          <t>BRITISH AMERICAN HOSPITAL S.A. - CLINICA ANGLOAMERICANA</t>
        </is>
      </c>
      <c r="C5361" t="inlineStr">
        <is>
          <t>20107695584</t>
        </is>
      </c>
      <c r="D5361" t="inlineStr">
        <is>
          <t xml:space="preserve">JR ALFREDO SALAZAR 350 - SAN ISIDRO </t>
        </is>
      </c>
      <c r="E5361" t="inlineStr">
        <is>
          <t>Lima, 31 de julio del 2026</t>
        </is>
      </c>
      <c r="F5361" t="inlineStr">
        <is>
          <t>la Recarga y mantenimiento</t>
        </is>
      </c>
      <c r="G5361" t="inlineStr">
        <is>
          <t>4</t>
        </is>
      </c>
      <c r="H5361" t="inlineStr">
        <is>
          <t>06 KG</t>
        </is>
      </c>
      <c r="I5361" t="n">
        <v>2031</v>
      </c>
      <c r="J5361" t="n">
        <v>2014</v>
      </c>
      <c r="K5361" t="inlineStr">
        <is>
          <t xml:space="preserve">JULIO 2026 </t>
        </is>
      </c>
      <c r="L5361" t="inlineStr">
        <is>
          <t>JULIO 2027</t>
        </is>
      </c>
      <c r="M5361" t="inlineStr">
        <is>
          <t>PQS TIPO ABC AL 75%</t>
        </is>
      </c>
      <c r="N5361" t="inlineStr">
        <is>
          <t>E-036/000638</t>
        </is>
      </c>
      <c r="O5361" t="inlineStr">
        <is>
          <t>R</t>
        </is>
      </c>
      <c r="P5361">
        <f>TRIM(N5361)</f>
        <v/>
      </c>
    </row>
    <row r="5362">
      <c r="A5362" t="inlineStr">
        <is>
          <t>CO-002759</t>
        </is>
      </c>
      <c r="B5362" t="inlineStr">
        <is>
          <t>BRITISH AMERICAN HOSPITAL S.A. - CLINICA ANGLOAMERICANA</t>
        </is>
      </c>
      <c r="C5362" t="inlineStr">
        <is>
          <t>20107695584</t>
        </is>
      </c>
      <c r="D5362" t="inlineStr">
        <is>
          <t xml:space="preserve">JR ALFREDO SALAZAR 350 - SAN ISIDRO </t>
        </is>
      </c>
      <c r="E5362" t="inlineStr">
        <is>
          <t>Lima, 31 de julio del 2026</t>
        </is>
      </c>
      <c r="F5362" t="inlineStr">
        <is>
          <t>la Recarga y mantenimiento</t>
        </is>
      </c>
      <c r="G5362" t="inlineStr">
        <is>
          <t>5</t>
        </is>
      </c>
      <c r="H5362" t="inlineStr">
        <is>
          <t>06 KG</t>
        </is>
      </c>
      <c r="I5362" t="n">
        <v>2031</v>
      </c>
      <c r="J5362" t="inlineStr">
        <is>
          <t>S/N</t>
        </is>
      </c>
      <c r="K5362" t="inlineStr">
        <is>
          <t xml:space="preserve">JULIO 2026 </t>
        </is>
      </c>
      <c r="L5362" t="inlineStr">
        <is>
          <t>JULIO 2027</t>
        </is>
      </c>
      <c r="M5362" t="inlineStr">
        <is>
          <t>PQS TIPO ABC AL 75%</t>
        </is>
      </c>
      <c r="N5362" t="inlineStr">
        <is>
          <t>E-026/350026</t>
        </is>
      </c>
      <c r="O5362" t="inlineStr">
        <is>
          <t>R</t>
        </is>
      </c>
      <c r="P5362">
        <f>TRIM(N5362)</f>
        <v/>
      </c>
    </row>
    <row r="5363">
      <c r="A5363" t="inlineStr">
        <is>
          <t>CO-002759</t>
        </is>
      </c>
      <c r="B5363" t="inlineStr">
        <is>
          <t>BRITISH AMERICAN HOSPITAL S.A. - CLINICA ANGLOAMERICANA</t>
        </is>
      </c>
      <c r="C5363" t="inlineStr">
        <is>
          <t>20107695584</t>
        </is>
      </c>
      <c r="D5363" t="inlineStr">
        <is>
          <t xml:space="preserve">JR ALFREDO SALAZAR 350 - SAN ISIDRO </t>
        </is>
      </c>
      <c r="E5363" t="inlineStr">
        <is>
          <t>Lima, 31 de julio del 2026</t>
        </is>
      </c>
      <c r="F5363" t="inlineStr">
        <is>
          <t>la Recarga y mantenimiento</t>
        </is>
      </c>
      <c r="G5363" t="inlineStr">
        <is>
          <t>6</t>
        </is>
      </c>
      <c r="H5363" t="inlineStr">
        <is>
          <t>06 KG</t>
        </is>
      </c>
      <c r="I5363" t="n">
        <v>2027</v>
      </c>
      <c r="J5363" t="n">
        <v>2022</v>
      </c>
      <c r="K5363" t="inlineStr">
        <is>
          <t xml:space="preserve">JULIO 2026 </t>
        </is>
      </c>
      <c r="L5363" t="inlineStr">
        <is>
          <t>JULIO 2027</t>
        </is>
      </c>
      <c r="M5363" t="inlineStr">
        <is>
          <t>PQS TIPO ABC AL 75%</t>
        </is>
      </c>
      <c r="N5363" t="inlineStr">
        <is>
          <t>E-023/001101</t>
        </is>
      </c>
      <c r="O5363" t="inlineStr">
        <is>
          <t>R</t>
        </is>
      </c>
      <c r="P5363">
        <f>TRIM(N5363)</f>
        <v/>
      </c>
    </row>
    <row r="5364">
      <c r="A5364" t="inlineStr">
        <is>
          <t>CO-002759</t>
        </is>
      </c>
      <c r="B5364" t="inlineStr">
        <is>
          <t>BRITISH AMERICAN HOSPITAL S.A. - CLINICA ANGLOAMERICANA</t>
        </is>
      </c>
      <c r="C5364" t="inlineStr">
        <is>
          <t>20107695584</t>
        </is>
      </c>
      <c r="D5364" t="inlineStr">
        <is>
          <t xml:space="preserve">JR ALFREDO SALAZAR 350 - SAN ISIDRO </t>
        </is>
      </c>
      <c r="E5364" t="inlineStr">
        <is>
          <t>Lima, 31 de julio del 2026</t>
        </is>
      </c>
      <c r="F5364" t="inlineStr">
        <is>
          <t>la Recarga y mantenimiento</t>
        </is>
      </c>
      <c r="G5364" t="inlineStr">
        <is>
          <t>7</t>
        </is>
      </c>
      <c r="H5364" t="inlineStr">
        <is>
          <t>04 KG</t>
        </is>
      </c>
      <c r="I5364" t="n">
        <v>2027</v>
      </c>
      <c r="J5364" t="n">
        <v>2012</v>
      </c>
      <c r="K5364" t="inlineStr">
        <is>
          <t xml:space="preserve">JULIO 2026 </t>
        </is>
      </c>
      <c r="L5364" t="inlineStr">
        <is>
          <t>JULIO 2027</t>
        </is>
      </c>
      <c r="M5364" t="inlineStr">
        <is>
          <t>PQS TIPO ABC AL 75%</t>
        </is>
      </c>
      <c r="N5364" t="inlineStr">
        <is>
          <t>E-151/000227</t>
        </is>
      </c>
      <c r="O5364" t="inlineStr">
        <is>
          <t>R</t>
        </is>
      </c>
      <c r="P5364">
        <f>TRIM(N5364)</f>
        <v/>
      </c>
    </row>
    <row r="5365">
      <c r="A5365" t="inlineStr">
        <is>
          <t>CO-002759</t>
        </is>
      </c>
      <c r="B5365" t="inlineStr">
        <is>
          <t>BRITISH AMERICAN HOSPITAL S.A. - CLINICA ANGLOAMERICANA</t>
        </is>
      </c>
      <c r="C5365" t="inlineStr">
        <is>
          <t>20107695584</t>
        </is>
      </c>
      <c r="D5365" t="inlineStr">
        <is>
          <t xml:space="preserve">JR ALFREDO SALAZAR 350 - SAN ISIDRO </t>
        </is>
      </c>
      <c r="E5365" t="inlineStr">
        <is>
          <t>Lima, 31 de julio del 2026</t>
        </is>
      </c>
      <c r="F5365" t="inlineStr">
        <is>
          <t>la Recarga y mantenimiento</t>
        </is>
      </c>
      <c r="G5365" t="n">
        <v>8</v>
      </c>
      <c r="H5365" t="inlineStr">
        <is>
          <t>04 KG</t>
        </is>
      </c>
      <c r="I5365" t="n">
        <v>2030</v>
      </c>
      <c r="J5365" t="n">
        <v>2010</v>
      </c>
      <c r="K5365" t="inlineStr">
        <is>
          <t xml:space="preserve">JULIO 2026 </t>
        </is>
      </c>
      <c r="L5365" t="inlineStr">
        <is>
          <t>JULIO 2027</t>
        </is>
      </c>
      <c r="M5365" t="inlineStr">
        <is>
          <t>PQS TIPO ABC AL 75%</t>
        </is>
      </c>
      <c r="N5365" t="inlineStr">
        <is>
          <t>E-405/000564</t>
        </is>
      </c>
      <c r="O5365" t="inlineStr">
        <is>
          <t>R</t>
        </is>
      </c>
      <c r="P5365">
        <f>TRIM(N5365)</f>
        <v/>
      </c>
    </row>
    <row r="5366">
      <c r="A5366" t="inlineStr">
        <is>
          <t>CO-002759</t>
        </is>
      </c>
      <c r="B5366" t="inlineStr">
        <is>
          <t>BRITISH AMERICAN HOSPITAL S.A. - CLINICA ANGLOAMERICANA</t>
        </is>
      </c>
      <c r="C5366" t="inlineStr">
        <is>
          <t>20107695584</t>
        </is>
      </c>
      <c r="D5366" t="inlineStr">
        <is>
          <t xml:space="preserve">JR ALFREDO SALAZAR 350 - SAN ISIDRO </t>
        </is>
      </c>
      <c r="E5366" t="inlineStr">
        <is>
          <t>Lima, 31 de julio del 2026</t>
        </is>
      </c>
      <c r="F5366" t="inlineStr">
        <is>
          <t>la Recarga y mantenimiento</t>
        </is>
      </c>
      <c r="G5366" t="n">
        <v>9</v>
      </c>
      <c r="H5366" t="inlineStr">
        <is>
          <t>20 LBS</t>
        </is>
      </c>
      <c r="I5366" t="inlineStr">
        <is>
          <t>2027</t>
        </is>
      </c>
      <c r="J5366" t="n">
        <v>2022</v>
      </c>
      <c r="K5366" t="inlineStr">
        <is>
          <t xml:space="preserve">JULIO 2026 </t>
        </is>
      </c>
      <c r="L5366" t="inlineStr">
        <is>
          <t>JULIO 2027</t>
        </is>
      </c>
      <c r="M5366" t="inlineStr">
        <is>
          <t>PQS TIPO ABC AL 75%</t>
        </is>
      </c>
      <c r="N5366" t="inlineStr">
        <is>
          <t>E-116/G-439305</t>
        </is>
      </c>
      <c r="O5366" t="inlineStr">
        <is>
          <t>R</t>
        </is>
      </c>
      <c r="P5366">
        <f>TRIM(N5366)</f>
        <v/>
      </c>
    </row>
    <row r="5367">
      <c r="A5367" t="inlineStr">
        <is>
          <t>CO-002759</t>
        </is>
      </c>
      <c r="B5367" t="inlineStr">
        <is>
          <t>BRITISH AMERICAN HOSPITAL S.A. - CLINICA ANGLOAMERICANA</t>
        </is>
      </c>
      <c r="C5367" t="inlineStr">
        <is>
          <t>20107695584</t>
        </is>
      </c>
      <c r="D5367" t="inlineStr">
        <is>
          <t xml:space="preserve">JR ALFREDO SALAZAR 350 - SAN ISIDRO </t>
        </is>
      </c>
      <c r="E5367" t="inlineStr">
        <is>
          <t>Lima, 31 de julio del 2026</t>
        </is>
      </c>
      <c r="F5367" t="inlineStr">
        <is>
          <t>la Recarga y mantenimiento</t>
        </is>
      </c>
      <c r="G5367" t="n">
        <v>10</v>
      </c>
      <c r="H5367" t="inlineStr">
        <is>
          <t>2.5 LBS</t>
        </is>
      </c>
      <c r="I5367" t="inlineStr">
        <is>
          <t>2030</t>
        </is>
      </c>
      <c r="J5367" t="n">
        <v>2011</v>
      </c>
      <c r="K5367" t="inlineStr">
        <is>
          <t>JULIO 2026</t>
        </is>
      </c>
      <c r="L5367" t="inlineStr">
        <is>
          <t>JULIO 2027</t>
        </is>
      </c>
      <c r="M5367" t="inlineStr">
        <is>
          <t>ACETATO TIPO K</t>
        </is>
      </c>
      <c r="N5367" t="inlineStr">
        <is>
          <t>E-017/S/N</t>
        </is>
      </c>
      <c r="O5367" t="inlineStr">
        <is>
          <t>R</t>
        </is>
      </c>
      <c r="P5367">
        <f>TRIM(N5367)</f>
        <v/>
      </c>
    </row>
    <row r="5368">
      <c r="A5368" t="inlineStr">
        <is>
          <t>CO-002759</t>
        </is>
      </c>
      <c r="B5368" t="inlineStr">
        <is>
          <t>BRITISH AMERICAN HOSPITAL S.A. - CLINICA ANGLOAMERICANA</t>
        </is>
      </c>
      <c r="C5368" t="inlineStr">
        <is>
          <t>20107695584</t>
        </is>
      </c>
      <c r="D5368" t="inlineStr">
        <is>
          <t xml:space="preserve">JR ALFREDO SALAZAR 350 - SAN ISIDRO </t>
        </is>
      </c>
      <c r="E5368" t="inlineStr">
        <is>
          <t>Lima, 31 de julio del 2026</t>
        </is>
      </c>
      <c r="F5368" t="inlineStr">
        <is>
          <t>la Recarga y mantenimiento</t>
        </is>
      </c>
      <c r="G5368" t="n">
        <v>11</v>
      </c>
      <c r="H5368" t="inlineStr">
        <is>
          <t>15 LBS</t>
        </is>
      </c>
      <c r="I5368" t="n">
        <v>2028</v>
      </c>
      <c r="J5368" t="n">
        <v>2017</v>
      </c>
      <c r="K5368" t="inlineStr">
        <is>
          <t>JULIO 2026</t>
        </is>
      </c>
      <c r="L5368" t="inlineStr">
        <is>
          <t>JULIO 2027</t>
        </is>
      </c>
      <c r="M5368" t="inlineStr">
        <is>
          <t>CO2 TIPO BC</t>
        </is>
      </c>
      <c r="N5368" t="inlineStr">
        <is>
          <t>E-044/000131</t>
        </is>
      </c>
      <c r="O5368" t="inlineStr">
        <is>
          <t>R</t>
        </is>
      </c>
      <c r="P5368">
        <f>TRIM(N5368)</f>
        <v/>
      </c>
    </row>
    <row r="5369">
      <c r="A5369" t="inlineStr">
        <is>
          <t>CO-002759</t>
        </is>
      </c>
      <c r="B5369" t="inlineStr">
        <is>
          <t>BRITISH AMERICAN HOSPITAL S.A. - CLINICA ANGLOAMERICANA</t>
        </is>
      </c>
      <c r="C5369" t="inlineStr">
        <is>
          <t>20107695584</t>
        </is>
      </c>
      <c r="D5369" t="inlineStr">
        <is>
          <t xml:space="preserve">JR ALFREDO SALAZAR 350 - SAN ISIDRO </t>
        </is>
      </c>
      <c r="E5369" t="inlineStr">
        <is>
          <t>Lima, 31 de julio del 2026</t>
        </is>
      </c>
      <c r="F5369" t="inlineStr">
        <is>
          <t>la Recarga y mantenimiento</t>
        </is>
      </c>
      <c r="G5369" t="n">
        <v>12</v>
      </c>
      <c r="H5369" t="inlineStr">
        <is>
          <t>10 LBS</t>
        </is>
      </c>
      <c r="I5369" t="n">
        <v>2030</v>
      </c>
      <c r="J5369" t="n">
        <v>2025</v>
      </c>
      <c r="K5369" t="inlineStr">
        <is>
          <t>JULIO 2026</t>
        </is>
      </c>
      <c r="L5369" t="inlineStr">
        <is>
          <t>JULIO 2027</t>
        </is>
      </c>
      <c r="M5369" t="inlineStr">
        <is>
          <t>CO2 TIPO BC</t>
        </is>
      </c>
      <c r="N5369" t="inlineStr">
        <is>
          <t>E-410/000202</t>
        </is>
      </c>
      <c r="O5369" t="inlineStr">
        <is>
          <t>R</t>
        </is>
      </c>
      <c r="P5369">
        <f>TRIM(N5369)</f>
        <v/>
      </c>
    </row>
    <row r="5370">
      <c r="A5370" t="inlineStr">
        <is>
          <t>CO-002759</t>
        </is>
      </c>
      <c r="B5370" t="inlineStr">
        <is>
          <t>BRITISH AMERICAN HOSPITAL S.A. - CLINICA ANGLOAMERICANA</t>
        </is>
      </c>
      <c r="C5370" t="inlineStr">
        <is>
          <t>20107695584</t>
        </is>
      </c>
      <c r="D5370" t="inlineStr">
        <is>
          <t xml:space="preserve">JR ALFREDO SALAZAR 350 - SAN ISIDRO </t>
        </is>
      </c>
      <c r="E5370" t="inlineStr">
        <is>
          <t>Lima, 31 de julio del 2026</t>
        </is>
      </c>
      <c r="F5370" t="inlineStr">
        <is>
          <t>la Recarga y mantenimiento</t>
        </is>
      </c>
      <c r="G5370" t="n">
        <v>13</v>
      </c>
      <c r="H5370" t="inlineStr">
        <is>
          <t>10 LBS</t>
        </is>
      </c>
      <c r="I5370" t="n">
        <v>2030</v>
      </c>
      <c r="J5370" t="n">
        <v>2019</v>
      </c>
      <c r="K5370" t="inlineStr">
        <is>
          <t>JULIO 2026</t>
        </is>
      </c>
      <c r="L5370" t="inlineStr">
        <is>
          <t>JULIO 2027</t>
        </is>
      </c>
      <c r="M5370" t="inlineStr">
        <is>
          <t>CO2 TIPO BC</t>
        </is>
      </c>
      <c r="N5370" t="inlineStr">
        <is>
          <t>E-086/00042</t>
        </is>
      </c>
      <c r="O5370" t="inlineStr">
        <is>
          <t>R</t>
        </is>
      </c>
      <c r="P5370">
        <f>TRIM(N5370)</f>
        <v/>
      </c>
    </row>
    <row r="5371">
      <c r="A5371" t="inlineStr">
        <is>
          <t>CO-002759</t>
        </is>
      </c>
      <c r="B5371" t="inlineStr">
        <is>
          <t>BRITISH AMERICAN HOSPITAL S.A. - CLINICA ANGLOAMERICANA</t>
        </is>
      </c>
      <c r="C5371" t="inlineStr">
        <is>
          <t>20107695584</t>
        </is>
      </c>
      <c r="D5371" t="inlineStr">
        <is>
          <t xml:space="preserve">JR ALFREDO SALAZAR 350 - SAN ISIDRO </t>
        </is>
      </c>
      <c r="E5371" t="inlineStr">
        <is>
          <t>Lima, 31 de julio del 2026</t>
        </is>
      </c>
      <c r="F5371" t="inlineStr">
        <is>
          <t>la Recarga y mantenimiento</t>
        </is>
      </c>
      <c r="G5371" t="n">
        <v>14</v>
      </c>
      <c r="H5371" t="inlineStr">
        <is>
          <t>05 LBS</t>
        </is>
      </c>
      <c r="I5371" t="n">
        <v>2031</v>
      </c>
      <c r="J5371" t="n">
        <v>2018</v>
      </c>
      <c r="K5371" t="inlineStr">
        <is>
          <t>JULIO 2026</t>
        </is>
      </c>
      <c r="L5371" t="inlineStr">
        <is>
          <t>JULIO 2027</t>
        </is>
      </c>
      <c r="M5371" t="inlineStr">
        <is>
          <t>CO2 TIPO BC</t>
        </is>
      </c>
      <c r="N5371" t="inlineStr">
        <is>
          <t>S/N/000904</t>
        </is>
      </c>
      <c r="O5371" t="inlineStr">
        <is>
          <t>R</t>
        </is>
      </c>
      <c r="P5371">
        <f>TRIM(N5371)</f>
        <v/>
      </c>
    </row>
    <row r="5372">
      <c r="A5372" t="inlineStr">
        <is>
          <t>CO-002759</t>
        </is>
      </c>
      <c r="B5372" t="inlineStr">
        <is>
          <t>BRITISH AMERICAN HOSPITAL S.A. - CLINICA ANGLOAMERICANA</t>
        </is>
      </c>
      <c r="C5372" t="inlineStr">
        <is>
          <t>20107695584</t>
        </is>
      </c>
      <c r="D5372" t="inlineStr">
        <is>
          <t xml:space="preserve">JR ALFREDO SALAZAR 350 - SAN ISIDRO </t>
        </is>
      </c>
      <c r="E5372" t="inlineStr">
        <is>
          <t>Lima, 10 de Agosto del 2026</t>
        </is>
      </c>
      <c r="F5372" t="inlineStr">
        <is>
          <t>La Venta</t>
        </is>
      </c>
      <c r="G5372" t="inlineStr">
        <is>
          <t>01</t>
        </is>
      </c>
      <c r="H5372" t="inlineStr">
        <is>
          <t>06 KG</t>
        </is>
      </c>
      <c r="I5372" t="n">
        <v>2031</v>
      </c>
      <c r="J5372" t="n">
        <v>2026</v>
      </c>
      <c r="K5372" t="inlineStr">
        <is>
          <t>AGOSTO 2026</t>
        </is>
      </c>
      <c r="L5372" t="inlineStr">
        <is>
          <t>AGOSTO 2027</t>
        </is>
      </c>
      <c r="M5372" t="inlineStr">
        <is>
          <t>PQS TIPO ABC AL 75%</t>
        </is>
      </c>
      <c r="N5372" t="inlineStr">
        <is>
          <t>E-088/000081</t>
        </is>
      </c>
      <c r="O5372" t="inlineStr">
        <is>
          <t>V</t>
        </is>
      </c>
      <c r="P5372">
        <f>TRIM(N5372)</f>
        <v/>
      </c>
    </row>
    <row r="5373">
      <c r="A5373" t="inlineStr">
        <is>
          <t>CO-002818</t>
        </is>
      </c>
      <c r="B5373" t="inlineStr">
        <is>
          <t>CONDOMINIO CLUB EL ROSEDAL- EDIFICIO 04</t>
        </is>
      </c>
      <c r="D5373" t="inlineStr">
        <is>
          <t>AV. INTIHUATANA CRUCE CON  AV. TAHUANTINSUYO</t>
        </is>
      </c>
      <c r="E5373" t="inlineStr">
        <is>
          <t>Lima, 04 de Agosto del 2026</t>
        </is>
      </c>
      <c r="F5373" t="inlineStr">
        <is>
          <t>la Recarga y mantenimiento</t>
        </is>
      </c>
      <c r="G5373" t="inlineStr">
        <is>
          <t>01</t>
        </is>
      </c>
      <c r="H5373" t="inlineStr">
        <is>
          <t>09 KG</t>
        </is>
      </c>
      <c r="I5373" t="inlineStr">
        <is>
          <t>2030</t>
        </is>
      </c>
      <c r="J5373" t="n">
        <v>2020</v>
      </c>
      <c r="K5373" t="inlineStr">
        <is>
          <t>AGOSTO 2026</t>
        </is>
      </c>
      <c r="L5373" t="inlineStr">
        <is>
          <t>AGOSTO 2027</t>
        </is>
      </c>
      <c r="M5373" t="inlineStr">
        <is>
          <t>PQS TIPO ABC AL 75%</t>
        </is>
      </c>
      <c r="N5373" t="inlineStr">
        <is>
          <t>01/000697</t>
        </is>
      </c>
      <c r="O5373" t="inlineStr">
        <is>
          <t>R</t>
        </is>
      </c>
      <c r="P5373">
        <f>TRIM(N5373)</f>
        <v/>
      </c>
    </row>
    <row r="5374">
      <c r="A5374" t="inlineStr">
        <is>
          <t>CO-002818</t>
        </is>
      </c>
      <c r="B5374" t="inlineStr">
        <is>
          <t>CONDOMINIO CLUB EL ROSEDAL- EDIFICIO 04</t>
        </is>
      </c>
      <c r="D5374" t="inlineStr">
        <is>
          <t>AV. INTIHUATANA CRUCE CON  AV. TAHUANTINSUYO</t>
        </is>
      </c>
      <c r="E5374" t="inlineStr">
        <is>
          <t>Lima, 04 de Agosto del 2026</t>
        </is>
      </c>
      <c r="F5374" t="inlineStr">
        <is>
          <t>la Recarga y mantenimiento</t>
        </is>
      </c>
      <c r="G5374" t="inlineStr">
        <is>
          <t>02</t>
        </is>
      </c>
      <c r="H5374" t="inlineStr">
        <is>
          <t>09 KG</t>
        </is>
      </c>
      <c r="I5374" t="inlineStr">
        <is>
          <t>2030</t>
        </is>
      </c>
      <c r="J5374" t="n">
        <v>2020</v>
      </c>
      <c r="K5374" t="inlineStr">
        <is>
          <t>AGOSTO 2026</t>
        </is>
      </c>
      <c r="L5374" t="inlineStr">
        <is>
          <t>AGOSTO 2027</t>
        </is>
      </c>
      <c r="M5374" t="inlineStr">
        <is>
          <t>PQS TIPO ABC AL 75%</t>
        </is>
      </c>
      <c r="N5374" t="inlineStr">
        <is>
          <t>02/000715</t>
        </is>
      </c>
      <c r="O5374" t="inlineStr">
        <is>
          <t>R</t>
        </is>
      </c>
      <c r="P5374">
        <f>TRIM(N5374)</f>
        <v/>
      </c>
    </row>
    <row r="5375">
      <c r="A5375" t="inlineStr">
        <is>
          <t>CO-002818</t>
        </is>
      </c>
      <c r="B5375" t="inlineStr">
        <is>
          <t>CONDOMINIO CLUB EL ROSEDAL- EDIFICIO 04</t>
        </is>
      </c>
      <c r="D5375" t="inlineStr">
        <is>
          <t>AV. INTIHUATANA CRUCE CON  AV. TAHUANTINSUYO</t>
        </is>
      </c>
      <c r="E5375" t="inlineStr">
        <is>
          <t>Lima, 04 de Agosto del 2026</t>
        </is>
      </c>
      <c r="F5375" t="inlineStr">
        <is>
          <t>la Recarga y mantenimiento</t>
        </is>
      </c>
      <c r="G5375" t="inlineStr">
        <is>
          <t>03</t>
        </is>
      </c>
      <c r="H5375" t="inlineStr">
        <is>
          <t>09 KG</t>
        </is>
      </c>
      <c r="I5375" t="inlineStr">
        <is>
          <t>2030</t>
        </is>
      </c>
      <c r="J5375" t="n">
        <v>2020</v>
      </c>
      <c r="K5375" t="inlineStr">
        <is>
          <t>AGOSTO 2026</t>
        </is>
      </c>
      <c r="L5375" t="inlineStr">
        <is>
          <t>AGOSTO 2027</t>
        </is>
      </c>
      <c r="M5375" t="inlineStr">
        <is>
          <t>PQS TIPO ABC AL 75%</t>
        </is>
      </c>
      <c r="N5375" t="inlineStr">
        <is>
          <t>03/000113</t>
        </is>
      </c>
      <c r="O5375" t="inlineStr">
        <is>
          <t>R</t>
        </is>
      </c>
      <c r="P5375">
        <f>TRIM(N5375)</f>
        <v/>
      </c>
    </row>
    <row r="5376">
      <c r="A5376" t="inlineStr">
        <is>
          <t>CO-002818</t>
        </is>
      </c>
      <c r="B5376" t="inlineStr">
        <is>
          <t>CONDOMINIO CLUB EL ROSEDAL- EDIFICIO 04</t>
        </is>
      </c>
      <c r="D5376" t="inlineStr">
        <is>
          <t>AV. INTIHUATANA CRUCE CON  AV. TAHUANTINSUYO</t>
        </is>
      </c>
      <c r="E5376" t="inlineStr">
        <is>
          <t>Lima, 04 de Agosto del 2026</t>
        </is>
      </c>
      <c r="F5376" t="inlineStr">
        <is>
          <t>la Recarga y mantenimiento</t>
        </is>
      </c>
      <c r="G5376" t="inlineStr">
        <is>
          <t>04</t>
        </is>
      </c>
      <c r="H5376" t="inlineStr">
        <is>
          <t>09 KG</t>
        </is>
      </c>
      <c r="I5376" t="inlineStr">
        <is>
          <t>2030</t>
        </is>
      </c>
      <c r="J5376" t="n">
        <v>2020</v>
      </c>
      <c r="K5376" t="inlineStr">
        <is>
          <t>AGOSTO 2026</t>
        </is>
      </c>
      <c r="L5376" t="inlineStr">
        <is>
          <t>AGOSTO 2027</t>
        </is>
      </c>
      <c r="M5376" t="inlineStr">
        <is>
          <t>PQS TIPO ABC AL 75%</t>
        </is>
      </c>
      <c r="N5376" t="inlineStr">
        <is>
          <t>04/000984</t>
        </is>
      </c>
      <c r="O5376" t="inlineStr">
        <is>
          <t>R</t>
        </is>
      </c>
      <c r="P5376">
        <f>TRIM(N5376)</f>
        <v/>
      </c>
    </row>
    <row r="5377">
      <c r="A5377" t="inlineStr">
        <is>
          <t>CO-002818</t>
        </is>
      </c>
      <c r="B5377" t="inlineStr">
        <is>
          <t>CONDOMINIO CLUB EL ROSEDAL- EDIFICIO 04</t>
        </is>
      </c>
      <c r="D5377" t="inlineStr">
        <is>
          <t>AV. INTIHUATANA CRUCE CON  AV. TAHUANTINSUYO</t>
        </is>
      </c>
      <c r="E5377" t="inlineStr">
        <is>
          <t>Lima, 04 de Agosto del 2026</t>
        </is>
      </c>
      <c r="F5377" t="inlineStr">
        <is>
          <t>la Recarga y mantenimiento</t>
        </is>
      </c>
      <c r="G5377" t="inlineStr">
        <is>
          <t>05</t>
        </is>
      </c>
      <c r="H5377" t="inlineStr">
        <is>
          <t>09 KG</t>
        </is>
      </c>
      <c r="I5377" t="inlineStr">
        <is>
          <t>2030</t>
        </is>
      </c>
      <c r="J5377" t="n">
        <v>2020</v>
      </c>
      <c r="K5377" t="inlineStr">
        <is>
          <t>AGOSTO 2026</t>
        </is>
      </c>
      <c r="L5377" t="inlineStr">
        <is>
          <t>AGOSTO 2027</t>
        </is>
      </c>
      <c r="M5377" t="inlineStr">
        <is>
          <t>PQS TIPO ABC AL 75%</t>
        </is>
      </c>
      <c r="N5377" t="inlineStr">
        <is>
          <t>05/001645</t>
        </is>
      </c>
      <c r="O5377" t="inlineStr">
        <is>
          <t>R</t>
        </is>
      </c>
      <c r="P5377">
        <f>TRIM(N5377)</f>
        <v/>
      </c>
    </row>
    <row r="5378">
      <c r="A5378" t="inlineStr">
        <is>
          <t>CO-002818</t>
        </is>
      </c>
      <c r="B5378" t="inlineStr">
        <is>
          <t>CONDOMINIO CLUB EL ROSEDAL- EDIFICIO 04</t>
        </is>
      </c>
      <c r="D5378" t="inlineStr">
        <is>
          <t>AV. INTIHUATANA CRUCE CON  AV. TAHUANTINSUYO</t>
        </is>
      </c>
      <c r="E5378" t="inlineStr">
        <is>
          <t>Lima, 04 de Agosto del 2026</t>
        </is>
      </c>
      <c r="F5378" t="inlineStr">
        <is>
          <t>la Recarga y mantenimiento</t>
        </is>
      </c>
      <c r="G5378" t="inlineStr">
        <is>
          <t>06</t>
        </is>
      </c>
      <c r="H5378" t="inlineStr">
        <is>
          <t>09 KG</t>
        </is>
      </c>
      <c r="I5378" t="inlineStr">
        <is>
          <t>2030</t>
        </is>
      </c>
      <c r="J5378" t="n">
        <v>2020</v>
      </c>
      <c r="K5378" t="inlineStr">
        <is>
          <t>AGOSTO 2026</t>
        </is>
      </c>
      <c r="L5378" t="inlineStr">
        <is>
          <t>AGOSTO 2027</t>
        </is>
      </c>
      <c r="M5378" t="inlineStr">
        <is>
          <t>PQS TIPO ABC AL 75%</t>
        </is>
      </c>
      <c r="N5378" t="inlineStr">
        <is>
          <t>06/000470</t>
        </is>
      </c>
      <c r="O5378" t="inlineStr">
        <is>
          <t>R</t>
        </is>
      </c>
      <c r="P5378">
        <f>TRIM(N5378)</f>
        <v/>
      </c>
    </row>
    <row r="5379">
      <c r="A5379" t="inlineStr">
        <is>
          <t>CO-002818</t>
        </is>
      </c>
      <c r="B5379" t="inlineStr">
        <is>
          <t>CONDOMINIO CLUB EL ROSEDAL- EDIFICIO 04</t>
        </is>
      </c>
      <c r="D5379" t="inlineStr">
        <is>
          <t>AV. INTIHUATANA CRUCE CON  AV. TAHUANTINSUYO</t>
        </is>
      </c>
      <c r="E5379" t="inlineStr">
        <is>
          <t>Lima, 04 de Agosto del 2026</t>
        </is>
      </c>
      <c r="F5379" t="inlineStr">
        <is>
          <t>la Recarga y mantenimiento</t>
        </is>
      </c>
      <c r="G5379" t="inlineStr">
        <is>
          <t>07</t>
        </is>
      </c>
      <c r="H5379" t="inlineStr">
        <is>
          <t>09 KG</t>
        </is>
      </c>
      <c r="I5379" t="inlineStr">
        <is>
          <t>2030</t>
        </is>
      </c>
      <c r="J5379" t="n">
        <v>2020</v>
      </c>
      <c r="K5379" t="inlineStr">
        <is>
          <t>AGOSTO 2026</t>
        </is>
      </c>
      <c r="L5379" t="inlineStr">
        <is>
          <t>AGOSTO 2027</t>
        </is>
      </c>
      <c r="M5379" t="inlineStr">
        <is>
          <t>PQS TIPO ABC AL 75%</t>
        </is>
      </c>
      <c r="N5379" t="inlineStr">
        <is>
          <t>07/000762</t>
        </is>
      </c>
      <c r="O5379" t="inlineStr">
        <is>
          <t>R</t>
        </is>
      </c>
      <c r="P5379">
        <f>TRIM(N5379)</f>
        <v/>
      </c>
    </row>
    <row r="5380">
      <c r="A5380" t="inlineStr">
        <is>
          <t>CO-002818</t>
        </is>
      </c>
      <c r="B5380" t="inlineStr">
        <is>
          <t>CONDOMINIO CLUB EL ROSEDAL- EDIFICIO 04</t>
        </is>
      </c>
      <c r="D5380" t="inlineStr">
        <is>
          <t>AV. INTIHUATANA CRUCE CON  AV. TAHUANTINSUYO</t>
        </is>
      </c>
      <c r="E5380" t="inlineStr">
        <is>
          <t>Lima, 04 de Agosto del 2026</t>
        </is>
      </c>
      <c r="F5380" t="inlineStr">
        <is>
          <t>la Recarga y mantenimiento</t>
        </is>
      </c>
      <c r="G5380" t="inlineStr">
        <is>
          <t>08</t>
        </is>
      </c>
      <c r="H5380" t="inlineStr">
        <is>
          <t>09 KG</t>
        </is>
      </c>
      <c r="I5380" t="inlineStr">
        <is>
          <t>2030</t>
        </is>
      </c>
      <c r="J5380" t="n">
        <v>2020</v>
      </c>
      <c r="K5380" t="inlineStr">
        <is>
          <t>AGOSTO 2026</t>
        </is>
      </c>
      <c r="L5380" t="inlineStr">
        <is>
          <t>AGOSTO 2027</t>
        </is>
      </c>
      <c r="M5380" t="inlineStr">
        <is>
          <t>PQS TIPO ABC AL 75%</t>
        </is>
      </c>
      <c r="N5380" t="inlineStr">
        <is>
          <t>08/000035</t>
        </is>
      </c>
      <c r="O5380" t="inlineStr">
        <is>
          <t>R</t>
        </is>
      </c>
      <c r="P5380">
        <f>TRIM(N5380)</f>
        <v/>
      </c>
    </row>
    <row r="5381">
      <c r="A5381" t="inlineStr">
        <is>
          <t>CO-002818</t>
        </is>
      </c>
      <c r="B5381" t="inlineStr">
        <is>
          <t>CONDOMINIO CLUB EL ROSEDAL- EDIFICIO 04</t>
        </is>
      </c>
      <c r="D5381" t="inlineStr">
        <is>
          <t>AV. INTIHUATANA CRUCE CON  AV. TAHUANTINSUYO</t>
        </is>
      </c>
      <c r="E5381" t="inlineStr">
        <is>
          <t>Lima, 04 de Agosto del 2026</t>
        </is>
      </c>
      <c r="F5381" t="inlineStr">
        <is>
          <t>la Recarga y mantenimiento</t>
        </is>
      </c>
      <c r="G5381" t="inlineStr">
        <is>
          <t>09</t>
        </is>
      </c>
      <c r="H5381" t="inlineStr">
        <is>
          <t>09 KG</t>
        </is>
      </c>
      <c r="I5381" t="inlineStr">
        <is>
          <t>2030</t>
        </is>
      </c>
      <c r="J5381" t="n">
        <v>2020</v>
      </c>
      <c r="K5381" t="inlineStr">
        <is>
          <t>AGOSTO 2026</t>
        </is>
      </c>
      <c r="L5381" t="inlineStr">
        <is>
          <t>AGOSTO 2027</t>
        </is>
      </c>
      <c r="M5381" t="inlineStr">
        <is>
          <t>PQS TIPO ABC AL 75%</t>
        </is>
      </c>
      <c r="N5381" t="inlineStr">
        <is>
          <t>09/000178</t>
        </is>
      </c>
      <c r="O5381" t="inlineStr">
        <is>
          <t>R</t>
        </is>
      </c>
      <c r="P5381">
        <f>TRIM(N5381)</f>
        <v/>
      </c>
    </row>
    <row r="5382">
      <c r="A5382" t="inlineStr">
        <is>
          <t>CO-002818</t>
        </is>
      </c>
      <c r="B5382" t="inlineStr">
        <is>
          <t>CONDOMINIO CLUB EL ROSEDAL- EDIFICIO 04</t>
        </is>
      </c>
      <c r="D5382" t="inlineStr">
        <is>
          <t>AV. INTIHUATANA CRUCE CON  AV. TAHUANTINSUYO</t>
        </is>
      </c>
      <c r="E5382" t="inlineStr">
        <is>
          <t>Lima, 04 de Agosto del 2026</t>
        </is>
      </c>
      <c r="F5382" t="inlineStr">
        <is>
          <t>la Recarga y mantenimiento</t>
        </is>
      </c>
      <c r="G5382" t="inlineStr">
        <is>
          <t>10</t>
        </is>
      </c>
      <c r="H5382" t="inlineStr">
        <is>
          <t>09  KG</t>
        </is>
      </c>
      <c r="I5382" t="inlineStr">
        <is>
          <t>2029</t>
        </is>
      </c>
      <c r="J5382" t="n">
        <v>2024</v>
      </c>
      <c r="K5382" t="inlineStr">
        <is>
          <t>AGOSTO 2026</t>
        </is>
      </c>
      <c r="L5382" t="inlineStr">
        <is>
          <t>AGOSTO 2027</t>
        </is>
      </c>
      <c r="M5382" t="inlineStr">
        <is>
          <t>PQS TIPO ABC AL 75%</t>
        </is>
      </c>
      <c r="N5382" t="inlineStr">
        <is>
          <t>10/000073</t>
        </is>
      </c>
      <c r="O5382" t="inlineStr">
        <is>
          <t>R</t>
        </is>
      </c>
      <c r="P5382">
        <f>TRIM(N5382)</f>
        <v/>
      </c>
    </row>
    <row r="5383">
      <c r="A5383" t="inlineStr">
        <is>
          <t>CO-002819</t>
        </is>
      </c>
      <c r="B5383" t="inlineStr">
        <is>
          <t>UNIGRAF SAC</t>
        </is>
      </c>
      <c r="C5383" t="n">
        <v>20113367955</v>
      </c>
      <c r="D5383" t="inlineStr">
        <is>
          <t>CALLE LOS CEDROS MZ C1 LT1 CPM HUACHIPA, LURIGANCHO CHOSICA</t>
        </is>
      </c>
      <c r="E5383" t="inlineStr">
        <is>
          <t>Lima, 04 de Agosto del 2026</t>
        </is>
      </c>
      <c r="F5383" t="inlineStr">
        <is>
          <t>la Recarga y mantenimiento</t>
        </is>
      </c>
      <c r="G5383" t="inlineStr">
        <is>
          <t xml:space="preserve">01 </t>
        </is>
      </c>
      <c r="H5383" t="inlineStr">
        <is>
          <t>12 KG</t>
        </is>
      </c>
      <c r="I5383" t="n">
        <v>2029</v>
      </c>
      <c r="J5383" t="n">
        <v>2024</v>
      </c>
      <c r="K5383" t="inlineStr">
        <is>
          <t>AGOSTO 2026</t>
        </is>
      </c>
      <c r="L5383" t="inlineStr">
        <is>
          <t>AGOSTO 2027</t>
        </is>
      </c>
      <c r="M5383" t="inlineStr">
        <is>
          <t>PQS TIPO ABC AL 75%</t>
        </is>
      </c>
      <c r="N5383" t="inlineStr">
        <is>
          <t>14/000135</t>
        </is>
      </c>
      <c r="O5383" t="inlineStr">
        <is>
          <t>R</t>
        </is>
      </c>
      <c r="P5383">
        <f>TRIM(N5383)</f>
        <v/>
      </c>
    </row>
    <row r="5384">
      <c r="A5384" t="inlineStr">
        <is>
          <t>CO-002819</t>
        </is>
      </c>
      <c r="B5384" t="inlineStr">
        <is>
          <t>UNIGRAF SAC</t>
        </is>
      </c>
      <c r="C5384" t="n">
        <v>20113367955</v>
      </c>
      <c r="D5384" t="inlineStr">
        <is>
          <t>CALLE LOS CEDROS MZ C1 LT1 CPM HUACHIPA, LURIGANCHO CHOSICA</t>
        </is>
      </c>
      <c r="E5384" t="inlineStr">
        <is>
          <t>Lima, 04 de Agosto del 2026</t>
        </is>
      </c>
      <c r="F5384" t="inlineStr">
        <is>
          <t>la Recarga y mantenimiento</t>
        </is>
      </c>
      <c r="G5384" t="inlineStr">
        <is>
          <t>02</t>
        </is>
      </c>
      <c r="H5384" t="inlineStr">
        <is>
          <t>06 KG</t>
        </is>
      </c>
      <c r="I5384" t="n">
        <v>2031</v>
      </c>
      <c r="J5384" t="n">
        <v>2013</v>
      </c>
      <c r="K5384" t="inlineStr">
        <is>
          <t>AGOSTO 2026</t>
        </is>
      </c>
      <c r="L5384" t="inlineStr">
        <is>
          <t>AGOSTO 2027</t>
        </is>
      </c>
      <c r="M5384" t="inlineStr">
        <is>
          <t xml:space="preserve">PQS TIPO ABC AL 75% </t>
        </is>
      </c>
      <c r="N5384" t="inlineStr">
        <is>
          <t>10/002455</t>
        </is>
      </c>
      <c r="O5384" t="inlineStr">
        <is>
          <t>R</t>
        </is>
      </c>
      <c r="P5384">
        <f>TRIM(N5384)</f>
        <v/>
      </c>
    </row>
    <row r="5385">
      <c r="A5385" t="inlineStr">
        <is>
          <t>CO-002820</t>
        </is>
      </c>
      <c r="B5385" t="inlineStr">
        <is>
          <t>UNIGRAF SAC</t>
        </is>
      </c>
      <c r="C5385" t="n">
        <v>20113367955</v>
      </c>
      <c r="D5385" t="inlineStr">
        <is>
          <t>CALLE LOS CEDROS MZ C1 LT1 CPM HUACHIPA, LURIGANCHO CHOSICA</t>
        </is>
      </c>
      <c r="E5385" t="inlineStr">
        <is>
          <t>Lima, 04 de Agosto del 2026</t>
        </is>
      </c>
      <c r="F5385" t="inlineStr">
        <is>
          <t>la venta</t>
        </is>
      </c>
      <c r="G5385" t="inlineStr">
        <is>
          <t>01</t>
        </is>
      </c>
      <c r="H5385" t="inlineStr">
        <is>
          <t>06 KG</t>
        </is>
      </c>
      <c r="I5385" t="n">
        <v>2031</v>
      </c>
      <c r="J5385" t="n">
        <v>2026</v>
      </c>
      <c r="K5385" t="inlineStr">
        <is>
          <t>AGOSTO 2026</t>
        </is>
      </c>
      <c r="L5385" t="inlineStr">
        <is>
          <t>AGOSTO 2027</t>
        </is>
      </c>
      <c r="M5385" t="inlineStr">
        <is>
          <t>PQS TIPO ABC AL 75%</t>
        </is>
      </c>
      <c r="N5385" t="inlineStr">
        <is>
          <t>S/N/169197</t>
        </is>
      </c>
      <c r="O5385" t="inlineStr">
        <is>
          <t>V</t>
        </is>
      </c>
      <c r="P5385">
        <f>TRIM(N5385)</f>
        <v/>
      </c>
    </row>
    <row r="5386">
      <c r="A5386" t="inlineStr">
        <is>
          <t>CO-002821</t>
        </is>
      </c>
      <c r="B5386" t="inlineStr">
        <is>
          <t>TEOLINDA OSORIO</t>
        </is>
      </c>
      <c r="D5386" t="inlineStr">
        <is>
          <t>MERCADO ALBORADA - Pst. 55 - Verdura</t>
        </is>
      </c>
      <c r="E5386" t="inlineStr">
        <is>
          <t>Lima, 05 de Agosto del 2026</t>
        </is>
      </c>
      <c r="F5386" t="inlineStr">
        <is>
          <t>la Recarga y mantenimiento</t>
        </is>
      </c>
      <c r="G5386" t="inlineStr">
        <is>
          <t>01</t>
        </is>
      </c>
      <c r="H5386" t="inlineStr">
        <is>
          <t>04 KG</t>
        </is>
      </c>
      <c r="I5386" t="n">
        <v>2029</v>
      </c>
      <c r="J5386" t="n">
        <v>2024</v>
      </c>
      <c r="K5386" t="inlineStr">
        <is>
          <t>AGOSTO 2026</t>
        </is>
      </c>
      <c r="L5386" t="inlineStr">
        <is>
          <t>AGOSTO 2027</t>
        </is>
      </c>
      <c r="M5386" t="inlineStr">
        <is>
          <t>PQS TIPO ABC AL 75%</t>
        </is>
      </c>
      <c r="N5386" t="inlineStr">
        <is>
          <t>000320</t>
        </is>
      </c>
      <c r="O5386" t="inlineStr">
        <is>
          <t>R</t>
        </is>
      </c>
      <c r="P5386">
        <f>TRIM(N5386)</f>
        <v/>
      </c>
    </row>
    <row r="5387">
      <c r="A5387" t="inlineStr">
        <is>
          <t>CO-002822</t>
        </is>
      </c>
      <c r="B5387" t="inlineStr">
        <is>
          <t xml:space="preserve">HIGIRIO RAMOS </t>
        </is>
      </c>
      <c r="D5387" t="inlineStr">
        <is>
          <t>MERCADO ALBORADA -Pst. 06</t>
        </is>
      </c>
      <c r="E5387" t="inlineStr">
        <is>
          <t>Lima, 05 de Agosto del 2026</t>
        </is>
      </c>
      <c r="F5387" t="inlineStr">
        <is>
          <t>la Recarga y mantenimiento</t>
        </is>
      </c>
      <c r="G5387" t="inlineStr">
        <is>
          <t>01</t>
        </is>
      </c>
      <c r="H5387" t="inlineStr">
        <is>
          <t>04 KG</t>
        </is>
      </c>
      <c r="I5387" t="n">
        <v>2030</v>
      </c>
      <c r="J5387" t="n">
        <v>2025</v>
      </c>
      <c r="K5387" t="inlineStr">
        <is>
          <t>AGOSTO 2026</t>
        </is>
      </c>
      <c r="L5387" t="inlineStr">
        <is>
          <t>AGOSTO 2027</t>
        </is>
      </c>
      <c r="M5387" t="inlineStr">
        <is>
          <t>PQS TIPO ABC AL 75%</t>
        </is>
      </c>
      <c r="N5387" t="inlineStr">
        <is>
          <t>000272</t>
        </is>
      </c>
      <c r="O5387" t="inlineStr">
        <is>
          <t>R</t>
        </is>
      </c>
      <c r="P5387">
        <f>TRIM(N5387)</f>
        <v/>
      </c>
    </row>
    <row r="5388">
      <c r="A5388" t="inlineStr">
        <is>
          <t>CO-002823</t>
        </is>
      </c>
      <c r="B5388" t="inlineStr">
        <is>
          <t xml:space="preserve">CARLOS QUISPE </t>
        </is>
      </c>
      <c r="D5388" t="inlineStr">
        <is>
          <t>MERCADO ALBORADA -Pst. 07</t>
        </is>
      </c>
      <c r="E5388" t="inlineStr">
        <is>
          <t>Lima, 05 de Agosto del 2026</t>
        </is>
      </c>
      <c r="F5388" t="inlineStr">
        <is>
          <t>la Recarga y mantenimiento</t>
        </is>
      </c>
      <c r="G5388" t="inlineStr">
        <is>
          <t>01</t>
        </is>
      </c>
      <c r="H5388" t="inlineStr">
        <is>
          <t>04 KG</t>
        </is>
      </c>
      <c r="I5388" t="n">
        <v>2030</v>
      </c>
      <c r="J5388" t="n">
        <v>2025</v>
      </c>
      <c r="K5388" t="inlineStr">
        <is>
          <t>AGOSTO 2026</t>
        </is>
      </c>
      <c r="L5388" t="inlineStr">
        <is>
          <t>AGOSTO 2027</t>
        </is>
      </c>
      <c r="M5388" t="inlineStr">
        <is>
          <t>PQS TIPO ABC AL 75%</t>
        </is>
      </c>
      <c r="N5388" t="inlineStr">
        <is>
          <t>000272</t>
        </is>
      </c>
      <c r="O5388" t="inlineStr">
        <is>
          <t>R</t>
        </is>
      </c>
      <c r="P5388">
        <f>TRIM(N5388)</f>
        <v/>
      </c>
    </row>
    <row r="5389">
      <c r="A5389" t="inlineStr">
        <is>
          <t>CO-002824</t>
        </is>
      </c>
      <c r="B5389" t="inlineStr">
        <is>
          <t>CLAUDIA CHIPANA</t>
        </is>
      </c>
      <c r="D5389" t="inlineStr">
        <is>
          <t>MERCADO ALBORADA - Pst. 01 - Verdura</t>
        </is>
      </c>
      <c r="E5389" t="inlineStr">
        <is>
          <t>Lima, 05 de Agosto del 2026</t>
        </is>
      </c>
      <c r="F5389" t="inlineStr">
        <is>
          <t>la Recarga y mantenimiento</t>
        </is>
      </c>
      <c r="G5389" t="inlineStr">
        <is>
          <t>01</t>
        </is>
      </c>
      <c r="H5389" t="inlineStr">
        <is>
          <t>04 KG</t>
        </is>
      </c>
      <c r="I5389" t="n">
        <v>2028</v>
      </c>
      <c r="J5389" t="n">
        <v>2023</v>
      </c>
      <c r="K5389" t="inlineStr">
        <is>
          <t>AGOSTO 2026</t>
        </is>
      </c>
      <c r="L5389" t="inlineStr">
        <is>
          <t>AGOSTO 2027</t>
        </is>
      </c>
      <c r="M5389" t="inlineStr">
        <is>
          <t>PQS TIPO ABC AL 75%</t>
        </is>
      </c>
      <c r="N5389" t="inlineStr">
        <is>
          <t>000872</t>
        </is>
      </c>
      <c r="O5389" t="inlineStr">
        <is>
          <t>R</t>
        </is>
      </c>
      <c r="P5389">
        <f>TRIM(N5389)</f>
        <v/>
      </c>
    </row>
    <row r="5390">
      <c r="A5390" t="inlineStr">
        <is>
          <t>CO-002825</t>
        </is>
      </c>
      <c r="B5390" t="inlineStr">
        <is>
          <t>SUSANA DEL AGUILA</t>
        </is>
      </c>
      <c r="D5390" t="inlineStr">
        <is>
          <t>MERCADO ALBORADA - Pst. 27</t>
        </is>
      </c>
      <c r="E5390" t="inlineStr">
        <is>
          <t>Lima, 05 de Agosto del 2026</t>
        </is>
      </c>
      <c r="F5390" t="inlineStr">
        <is>
          <t>la Recarga y mantenimiento</t>
        </is>
      </c>
      <c r="G5390" t="inlineStr">
        <is>
          <t>01</t>
        </is>
      </c>
      <c r="H5390" t="inlineStr">
        <is>
          <t>04 KG</t>
        </is>
      </c>
      <c r="I5390" t="n">
        <v>2030</v>
      </c>
      <c r="J5390" t="n">
        <v>2025</v>
      </c>
      <c r="K5390" t="inlineStr">
        <is>
          <t>AGOSTO 2026</t>
        </is>
      </c>
      <c r="L5390" t="inlineStr">
        <is>
          <t>AGOSTO 2027</t>
        </is>
      </c>
      <c r="M5390" t="inlineStr">
        <is>
          <t>PQS TIPO ABC AL 75%</t>
        </is>
      </c>
      <c r="N5390" t="inlineStr">
        <is>
          <t>000253</t>
        </is>
      </c>
      <c r="O5390" t="inlineStr">
        <is>
          <t>R</t>
        </is>
      </c>
      <c r="P5390">
        <f>TRIM(N5390)</f>
        <v/>
      </c>
    </row>
    <row r="5391">
      <c r="A5391" t="inlineStr">
        <is>
          <t>CO-002826</t>
        </is>
      </c>
      <c r="B5391" t="inlineStr">
        <is>
          <t>ROSA BUSTINZA</t>
        </is>
      </c>
      <c r="D5391" t="inlineStr">
        <is>
          <t>MERCADO ALBORADA - Pst. 03 - Ropa deporte</t>
        </is>
      </c>
      <c r="E5391" t="inlineStr">
        <is>
          <t>Lima, 05 de Agosto del 2026</t>
        </is>
      </c>
      <c r="F5391" t="inlineStr">
        <is>
          <t>la Recarga y mantenimiento</t>
        </is>
      </c>
      <c r="G5391" t="inlineStr">
        <is>
          <t>01</t>
        </is>
      </c>
      <c r="H5391" t="inlineStr">
        <is>
          <t>04 KG</t>
        </is>
      </c>
      <c r="I5391" t="n">
        <v>2028</v>
      </c>
      <c r="J5391" t="n">
        <v>2023</v>
      </c>
      <c r="K5391" t="inlineStr">
        <is>
          <t>AGOSTO 2026</t>
        </is>
      </c>
      <c r="L5391" t="inlineStr">
        <is>
          <t>AGOSTO 2027</t>
        </is>
      </c>
      <c r="M5391" t="inlineStr">
        <is>
          <t>PQS TIPO ABC AL 75%</t>
        </is>
      </c>
      <c r="N5391" t="inlineStr">
        <is>
          <t>000633</t>
        </is>
      </c>
      <c r="O5391" t="inlineStr">
        <is>
          <t>R</t>
        </is>
      </c>
      <c r="P5391">
        <f>TRIM(N5391)</f>
        <v/>
      </c>
    </row>
    <row r="5392">
      <c r="A5392" t="inlineStr">
        <is>
          <t>CO-002827</t>
        </is>
      </c>
      <c r="B5392" t="inlineStr">
        <is>
          <t>HIPOLITO CARRILLO</t>
        </is>
      </c>
      <c r="D5392" t="inlineStr">
        <is>
          <t>MERCADO ALBORADA - Pst. 08 - Pasamanería</t>
        </is>
      </c>
      <c r="E5392" t="inlineStr">
        <is>
          <t>Lima, 05 de Agosto del 2026</t>
        </is>
      </c>
      <c r="F5392" t="inlineStr">
        <is>
          <t>la Recarga y mantenimiento</t>
        </is>
      </c>
      <c r="G5392" t="inlineStr">
        <is>
          <t>01</t>
        </is>
      </c>
      <c r="H5392" t="inlineStr">
        <is>
          <t>04 KG</t>
        </is>
      </c>
      <c r="I5392" t="n">
        <v>2027</v>
      </c>
      <c r="J5392" t="n">
        <v>2003</v>
      </c>
      <c r="K5392" t="inlineStr">
        <is>
          <t>AGOSTO 2026</t>
        </is>
      </c>
      <c r="L5392" t="inlineStr">
        <is>
          <t>AGOSTO 2027</t>
        </is>
      </c>
      <c r="M5392" t="inlineStr">
        <is>
          <t>PQS TIPO ABC AL 75%</t>
        </is>
      </c>
      <c r="N5392" t="inlineStr">
        <is>
          <t>001917</t>
        </is>
      </c>
      <c r="O5392" t="inlineStr">
        <is>
          <t>R</t>
        </is>
      </c>
      <c r="P5392">
        <f>TRIM(N5392)</f>
        <v/>
      </c>
    </row>
    <row r="5393">
      <c r="A5393" t="inlineStr">
        <is>
          <t>CO-002828</t>
        </is>
      </c>
      <c r="B5393" t="inlineStr">
        <is>
          <t>LIDIA ALBORNOZ</t>
        </is>
      </c>
      <c r="D5393" t="inlineStr">
        <is>
          <t>MERCADO ALBORADA - Pst. 01 - Pescado</t>
        </is>
      </c>
      <c r="E5393" t="inlineStr">
        <is>
          <t>Lima, 05 de Agosto del 2026</t>
        </is>
      </c>
      <c r="F5393" t="inlineStr">
        <is>
          <t>la Recarga y mantenimiento</t>
        </is>
      </c>
      <c r="G5393" t="inlineStr">
        <is>
          <t>01</t>
        </is>
      </c>
      <c r="H5393" t="inlineStr">
        <is>
          <t>04 KG</t>
        </is>
      </c>
      <c r="I5393" t="n">
        <v>2028</v>
      </c>
      <c r="J5393" t="n">
        <v>2023</v>
      </c>
      <c r="K5393" t="inlineStr">
        <is>
          <t>AGOSTO 2026</t>
        </is>
      </c>
      <c r="L5393" t="inlineStr">
        <is>
          <t>AGOSTO 2027</t>
        </is>
      </c>
      <c r="M5393" t="inlineStr">
        <is>
          <t>PQS TIPO ABC AL 75%</t>
        </is>
      </c>
      <c r="N5393" t="inlineStr">
        <is>
          <t>000565</t>
        </is>
      </c>
      <c r="O5393" t="inlineStr">
        <is>
          <t>R</t>
        </is>
      </c>
      <c r="P5393">
        <f>TRIM(N5393)</f>
        <v/>
      </c>
    </row>
    <row r="5394">
      <c r="A5394" t="inlineStr">
        <is>
          <t>CO-002829</t>
        </is>
      </c>
      <c r="B5394" t="inlineStr">
        <is>
          <t>PILAR HUNANAY</t>
        </is>
      </c>
      <c r="D5394" t="inlineStr">
        <is>
          <t>MERCADO ALBORADA -Pst. 05 - VERDURAS</t>
        </is>
      </c>
      <c r="E5394" t="inlineStr">
        <is>
          <t>Lima, 05 de Agosto del 2026</t>
        </is>
      </c>
      <c r="F5394" t="inlineStr">
        <is>
          <t>la Recarga y mantenimiento</t>
        </is>
      </c>
      <c r="G5394" t="inlineStr">
        <is>
          <t>01</t>
        </is>
      </c>
      <c r="H5394" t="inlineStr">
        <is>
          <t>04 KG</t>
        </is>
      </c>
      <c r="I5394" t="n">
        <v>2030</v>
      </c>
      <c r="J5394" t="n">
        <v>2025</v>
      </c>
      <c r="K5394" t="inlineStr">
        <is>
          <t>AGOSTO 2026</t>
        </is>
      </c>
      <c r="L5394" t="inlineStr">
        <is>
          <t>AGOSTO 2027</t>
        </is>
      </c>
      <c r="M5394" t="inlineStr">
        <is>
          <t>PQS TIPO ABC AL 75%</t>
        </is>
      </c>
      <c r="N5394" t="inlineStr">
        <is>
          <t>000177</t>
        </is>
      </c>
      <c r="O5394" t="inlineStr">
        <is>
          <t>R</t>
        </is>
      </c>
      <c r="P5394">
        <f>TRIM(N5394)</f>
        <v/>
      </c>
    </row>
    <row r="5395">
      <c r="A5395" t="inlineStr">
        <is>
          <t>CO-002830</t>
        </is>
      </c>
      <c r="B5395" t="inlineStr">
        <is>
          <t>IRENE CAMACHO</t>
        </is>
      </c>
      <c r="D5395" t="inlineStr">
        <is>
          <t>MERCADO ALBORADA -Pst. 06 - Abarrotes</t>
        </is>
      </c>
      <c r="E5395" t="inlineStr">
        <is>
          <t>Lima, 05 de Agosto del 2026</t>
        </is>
      </c>
      <c r="F5395" t="inlineStr">
        <is>
          <t>la Recarga y mantenimiento</t>
        </is>
      </c>
      <c r="G5395" t="inlineStr">
        <is>
          <t>01</t>
        </is>
      </c>
      <c r="H5395" t="inlineStr">
        <is>
          <t>04 KG</t>
        </is>
      </c>
      <c r="I5395" t="n">
        <v>2028</v>
      </c>
      <c r="J5395" t="n">
        <v>2023</v>
      </c>
      <c r="K5395" t="inlineStr">
        <is>
          <t>AGOSTO 2026</t>
        </is>
      </c>
      <c r="L5395" t="inlineStr">
        <is>
          <t>AGOSTO 2027</t>
        </is>
      </c>
      <c r="M5395" t="inlineStr">
        <is>
          <t>PQS TIPO ABC AL 75%</t>
        </is>
      </c>
      <c r="N5395" t="inlineStr">
        <is>
          <t>000976</t>
        </is>
      </c>
      <c r="O5395" t="inlineStr">
        <is>
          <t>R</t>
        </is>
      </c>
      <c r="P5395">
        <f>TRIM(N5395)</f>
        <v/>
      </c>
    </row>
    <row r="5396">
      <c r="A5396" t="inlineStr">
        <is>
          <t>CO-002831</t>
        </is>
      </c>
      <c r="B5396" t="inlineStr">
        <is>
          <t>CELINA TOCOS</t>
        </is>
      </c>
      <c r="D5396" t="inlineStr">
        <is>
          <t>MERCADO ALBORADA - Pst. 10 - Abarrotes</t>
        </is>
      </c>
      <c r="E5396" t="inlineStr">
        <is>
          <t>Lima, 05 de Agosto del 2026</t>
        </is>
      </c>
      <c r="F5396" t="inlineStr">
        <is>
          <t>la Recarga y mantenimiento</t>
        </is>
      </c>
      <c r="G5396" t="inlineStr">
        <is>
          <t>01</t>
        </is>
      </c>
      <c r="H5396" t="inlineStr">
        <is>
          <t>04 KG</t>
        </is>
      </c>
      <c r="I5396" t="n">
        <v>2029</v>
      </c>
      <c r="J5396" t="n">
        <v>2024</v>
      </c>
      <c r="K5396" t="inlineStr">
        <is>
          <t>AGOSTO 2026</t>
        </is>
      </c>
      <c r="L5396" t="inlineStr">
        <is>
          <t>AGOSTO 2027</t>
        </is>
      </c>
      <c r="M5396" t="inlineStr">
        <is>
          <t>PQS TIPO ABC AL 75%</t>
        </is>
      </c>
      <c r="N5396" t="inlineStr">
        <is>
          <t>000245</t>
        </is>
      </c>
      <c r="O5396" t="inlineStr">
        <is>
          <t>R</t>
        </is>
      </c>
      <c r="P5396">
        <f>TRIM(N5396)</f>
        <v/>
      </c>
    </row>
    <row r="5397">
      <c r="A5397" t="inlineStr">
        <is>
          <t>CO-002832</t>
        </is>
      </c>
      <c r="B5397" t="inlineStr">
        <is>
          <t>ZENAIDA JULCA</t>
        </is>
      </c>
      <c r="D5397" t="inlineStr">
        <is>
          <t>MERCADO ALBORADA - Pst. 08 - Abarrotes</t>
        </is>
      </c>
      <c r="E5397" t="inlineStr">
        <is>
          <t>Lima, 05 de Agosto del 2026</t>
        </is>
      </c>
      <c r="F5397" t="inlineStr">
        <is>
          <t>la Recarga y mantenimiento</t>
        </is>
      </c>
      <c r="G5397" t="inlineStr">
        <is>
          <t>01</t>
        </is>
      </c>
      <c r="H5397" t="inlineStr">
        <is>
          <t>04 KG</t>
        </is>
      </c>
      <c r="I5397" t="n">
        <v>2029</v>
      </c>
      <c r="J5397" t="n">
        <v>2024</v>
      </c>
      <c r="K5397" t="inlineStr">
        <is>
          <t>AGOSTO 2026</t>
        </is>
      </c>
      <c r="L5397" t="inlineStr">
        <is>
          <t>AGOSTO 2027</t>
        </is>
      </c>
      <c r="M5397" t="inlineStr">
        <is>
          <t>PQS TIPO ABC AL 75%</t>
        </is>
      </c>
      <c r="N5397" t="inlineStr">
        <is>
          <t>001000</t>
        </is>
      </c>
      <c r="O5397" t="inlineStr">
        <is>
          <t>R</t>
        </is>
      </c>
      <c r="P5397">
        <f>TRIM(N5397)</f>
        <v/>
      </c>
    </row>
    <row r="5398">
      <c r="A5398" t="inlineStr">
        <is>
          <t>CO-002833</t>
        </is>
      </c>
      <c r="B5398" t="inlineStr">
        <is>
          <t>ROXANA OLIVARES</t>
        </is>
      </c>
      <c r="D5398" t="inlineStr">
        <is>
          <t>MERCADO ALBORADA - Pst. 28 - Limpieza</t>
        </is>
      </c>
      <c r="E5398" t="inlineStr">
        <is>
          <t>Lima, 05 de Agosto del 2026</t>
        </is>
      </c>
      <c r="F5398" t="inlineStr">
        <is>
          <t>la Recarga y mantenimiento</t>
        </is>
      </c>
      <c r="G5398" t="inlineStr">
        <is>
          <t>01</t>
        </is>
      </c>
      <c r="H5398" t="inlineStr">
        <is>
          <t>04 KG</t>
        </is>
      </c>
      <c r="I5398" t="n">
        <v>2028</v>
      </c>
      <c r="J5398" t="n">
        <v>2023</v>
      </c>
      <c r="K5398" t="inlineStr">
        <is>
          <t>AGOSTO 2026</t>
        </is>
      </c>
      <c r="L5398" t="inlineStr">
        <is>
          <t>AGOSTO 2027</t>
        </is>
      </c>
      <c r="M5398" t="inlineStr">
        <is>
          <t>PQS TIPO ABC AL 75%</t>
        </is>
      </c>
      <c r="N5398" t="inlineStr">
        <is>
          <t>000702</t>
        </is>
      </c>
      <c r="O5398" t="inlineStr">
        <is>
          <t>R</t>
        </is>
      </c>
      <c r="P5398">
        <f>TRIM(N5398)</f>
        <v/>
      </c>
    </row>
    <row r="5399">
      <c r="A5399" t="inlineStr">
        <is>
          <t>CO-002834</t>
        </is>
      </c>
      <c r="B5399" t="inlineStr">
        <is>
          <t>CONSUELO VILCA</t>
        </is>
      </c>
      <c r="D5399" t="inlineStr">
        <is>
          <t>MERCADO ALBORADA - Pst. 07 - maletas</t>
        </is>
      </c>
      <c r="E5399" t="inlineStr">
        <is>
          <t>Lima, 05 de Agosto del 2026</t>
        </is>
      </c>
      <c r="F5399" t="inlineStr">
        <is>
          <t>la Recarga y mantenimiento</t>
        </is>
      </c>
      <c r="G5399" t="inlineStr">
        <is>
          <t>01</t>
        </is>
      </c>
      <c r="H5399" t="inlineStr">
        <is>
          <t>04 KG</t>
        </is>
      </c>
      <c r="I5399" t="n">
        <v>2028</v>
      </c>
      <c r="J5399" t="n">
        <v>2023</v>
      </c>
      <c r="K5399" t="inlineStr">
        <is>
          <t>AGOSTO 2026</t>
        </is>
      </c>
      <c r="L5399" t="inlineStr">
        <is>
          <t>AGOSTO 2027</t>
        </is>
      </c>
      <c r="M5399" t="inlineStr">
        <is>
          <t>PQS TIPO ABC AL 75%</t>
        </is>
      </c>
      <c r="N5399" t="inlineStr">
        <is>
          <t>000867</t>
        </is>
      </c>
      <c r="O5399" t="inlineStr">
        <is>
          <t>R</t>
        </is>
      </c>
      <c r="P5399">
        <f>TRIM(N5399)</f>
        <v/>
      </c>
    </row>
    <row r="5400">
      <c r="A5400" t="inlineStr">
        <is>
          <t>CO-002835</t>
        </is>
      </c>
      <c r="B5400" t="inlineStr">
        <is>
          <t>CESAR AYALA</t>
        </is>
      </c>
      <c r="D5400" t="inlineStr">
        <is>
          <t>MERCADO ALBORADA - Pst. 05 - Menestras</t>
        </is>
      </c>
      <c r="E5400" t="inlineStr">
        <is>
          <t>Lima, 05 de Agosto del 2026</t>
        </is>
      </c>
      <c r="F5400" t="inlineStr">
        <is>
          <t>la Recarga y mantenimiento</t>
        </is>
      </c>
      <c r="G5400" t="inlineStr">
        <is>
          <t>01</t>
        </is>
      </c>
      <c r="H5400" t="inlineStr">
        <is>
          <t>04 KG</t>
        </is>
      </c>
      <c r="I5400" t="n">
        <v>2028</v>
      </c>
      <c r="J5400" t="n">
        <v>2023</v>
      </c>
      <c r="K5400" t="inlineStr">
        <is>
          <t>AGOSTO 2026</t>
        </is>
      </c>
      <c r="L5400" t="inlineStr">
        <is>
          <t>AGOSTO 2027</t>
        </is>
      </c>
      <c r="M5400" t="inlineStr">
        <is>
          <t>PQS TIPO ABC AL 75%</t>
        </is>
      </c>
      <c r="N5400" t="inlineStr">
        <is>
          <t>000817</t>
        </is>
      </c>
      <c r="O5400" t="inlineStr">
        <is>
          <t>R</t>
        </is>
      </c>
      <c r="P5400">
        <f>TRIM(N5400)</f>
        <v/>
      </c>
    </row>
    <row r="5401">
      <c r="A5401" t="inlineStr">
        <is>
          <t>CO-002836</t>
        </is>
      </c>
      <c r="B5401" t="inlineStr">
        <is>
          <t>ANTONIO ALCALA</t>
        </is>
      </c>
      <c r="D5401" t="inlineStr">
        <is>
          <t>MERCADO ALBORADA - Pst. 10</t>
        </is>
      </c>
      <c r="E5401" t="inlineStr">
        <is>
          <t>Lima, 05 de Agosto del 2026</t>
        </is>
      </c>
      <c r="F5401" t="inlineStr">
        <is>
          <t>la Recarga y mantenimiento</t>
        </is>
      </c>
      <c r="G5401" t="inlineStr">
        <is>
          <t>01</t>
        </is>
      </c>
      <c r="H5401" t="inlineStr">
        <is>
          <t>04 KG</t>
        </is>
      </c>
      <c r="I5401" t="n">
        <v>2030</v>
      </c>
      <c r="J5401" t="n">
        <v>2025</v>
      </c>
      <c r="K5401" t="inlineStr">
        <is>
          <t>AGOSTO 2026</t>
        </is>
      </c>
      <c r="L5401" t="inlineStr">
        <is>
          <t>AGOSTO 2027</t>
        </is>
      </c>
      <c r="M5401" t="inlineStr">
        <is>
          <t>PQS TIPO ABC AL 75%</t>
        </is>
      </c>
      <c r="N5401" t="inlineStr">
        <is>
          <t>000266</t>
        </is>
      </c>
      <c r="O5401" t="inlineStr">
        <is>
          <t>R</t>
        </is>
      </c>
      <c r="P5401">
        <f>TRIM(N5401)</f>
        <v/>
      </c>
    </row>
    <row r="5402">
      <c r="A5402" t="inlineStr">
        <is>
          <t>CO-002837</t>
        </is>
      </c>
      <c r="B5402" t="inlineStr">
        <is>
          <t>RIOS MENDOZA GRODY</t>
        </is>
      </c>
      <c r="D5402" t="inlineStr">
        <is>
          <t>MERCADO ALBORADA - Pst. 08 - Venta de Carnes</t>
        </is>
      </c>
      <c r="E5402" t="inlineStr">
        <is>
          <t>Lima, 05 de Agosto del 2026</t>
        </is>
      </c>
      <c r="F5402" t="inlineStr">
        <is>
          <t>la Recarga y mantenimiento</t>
        </is>
      </c>
      <c r="G5402" t="inlineStr">
        <is>
          <t>01</t>
        </is>
      </c>
      <c r="H5402" t="inlineStr">
        <is>
          <t>04 KG</t>
        </is>
      </c>
      <c r="I5402" t="n">
        <v>2029</v>
      </c>
      <c r="J5402" t="n">
        <v>2024</v>
      </c>
      <c r="K5402" t="inlineStr">
        <is>
          <t>AGOSTO 2026</t>
        </is>
      </c>
      <c r="L5402" t="inlineStr">
        <is>
          <t>AGOSTO 2027</t>
        </is>
      </c>
      <c r="M5402" t="inlineStr">
        <is>
          <t>PQS TIPO ABC AL 75%</t>
        </is>
      </c>
      <c r="N5402" t="inlineStr">
        <is>
          <t>000479</t>
        </is>
      </c>
      <c r="O5402" t="inlineStr">
        <is>
          <t>R</t>
        </is>
      </c>
      <c r="P5402">
        <f>TRIM(N5402)</f>
        <v/>
      </c>
    </row>
    <row r="5403">
      <c r="A5403" t="inlineStr">
        <is>
          <t>CO-002838</t>
        </is>
      </c>
      <c r="B5403" t="inlineStr">
        <is>
          <t>LEONARDA ESPINOZA</t>
        </is>
      </c>
      <c r="D5403" t="inlineStr">
        <is>
          <t>MERCADO ALBORADA - Pst. 08 - Locería</t>
        </is>
      </c>
      <c r="E5403" t="inlineStr">
        <is>
          <t>Lima, 05 de Agosto del 2026</t>
        </is>
      </c>
      <c r="F5403" t="inlineStr">
        <is>
          <t>la Recarga y mantenimiento</t>
        </is>
      </c>
      <c r="G5403" t="inlineStr">
        <is>
          <t>01</t>
        </is>
      </c>
      <c r="H5403" t="inlineStr">
        <is>
          <t>04 KG</t>
        </is>
      </c>
      <c r="I5403" t="n">
        <v>2028</v>
      </c>
      <c r="J5403" t="n">
        <v>2023</v>
      </c>
      <c r="K5403" t="inlineStr">
        <is>
          <t>AGOSTO 2026</t>
        </is>
      </c>
      <c r="L5403" t="inlineStr">
        <is>
          <t>AGOSTO 2027</t>
        </is>
      </c>
      <c r="M5403" t="inlineStr">
        <is>
          <t>PQS TIPO ABC AL 75%</t>
        </is>
      </c>
      <c r="N5403" t="inlineStr">
        <is>
          <t>001111</t>
        </is>
      </c>
      <c r="O5403" t="inlineStr">
        <is>
          <t>R</t>
        </is>
      </c>
      <c r="P5403">
        <f>TRIM(N5403)</f>
        <v/>
      </c>
    </row>
    <row r="5404">
      <c r="A5404" t="inlineStr">
        <is>
          <t>CO-002839</t>
        </is>
      </c>
      <c r="B5404" t="inlineStr">
        <is>
          <t>ROSA RODRIGUEZ</t>
        </is>
      </c>
      <c r="D5404" t="inlineStr">
        <is>
          <t>MERCADO ALBORADA - Pst. 59 - Verdura</t>
        </is>
      </c>
      <c r="E5404" t="inlineStr">
        <is>
          <t>Lima, 05 de Agosto del 2026</t>
        </is>
      </c>
      <c r="F5404" t="inlineStr">
        <is>
          <t>la Recarga y mantenimiento</t>
        </is>
      </c>
      <c r="G5404" t="inlineStr">
        <is>
          <t>01</t>
        </is>
      </c>
      <c r="H5404" t="inlineStr">
        <is>
          <t>04 KG</t>
        </is>
      </c>
      <c r="I5404" t="n">
        <v>2028</v>
      </c>
      <c r="J5404" t="n">
        <v>2023</v>
      </c>
      <c r="K5404" t="inlineStr">
        <is>
          <t>AGOSTO 2026</t>
        </is>
      </c>
      <c r="L5404" t="inlineStr">
        <is>
          <t>AGOSTO 2027</t>
        </is>
      </c>
      <c r="M5404" t="inlineStr">
        <is>
          <t>PQS TIPO ABC AL 75%</t>
        </is>
      </c>
      <c r="N5404" t="inlineStr">
        <is>
          <t>001007</t>
        </is>
      </c>
      <c r="O5404" t="inlineStr">
        <is>
          <t>R</t>
        </is>
      </c>
      <c r="P5404">
        <f>TRIM(N5404)</f>
        <v/>
      </c>
    </row>
    <row r="5405">
      <c r="A5405" t="inlineStr">
        <is>
          <t>CO-002840</t>
        </is>
      </c>
      <c r="B5405" t="inlineStr">
        <is>
          <t>PAULINO CHIPAYO</t>
        </is>
      </c>
      <c r="D5405" t="inlineStr">
        <is>
          <t>MERCADO ALBORADA - Pst. 05 - Fruta</t>
        </is>
      </c>
      <c r="E5405" t="inlineStr">
        <is>
          <t>Lima, 05 de Agosto del 2026</t>
        </is>
      </c>
      <c r="F5405" t="inlineStr">
        <is>
          <t>la Recarga y mantenimiento</t>
        </is>
      </c>
      <c r="G5405" t="inlineStr">
        <is>
          <t>01</t>
        </is>
      </c>
      <c r="H5405" t="inlineStr">
        <is>
          <t>04 KG</t>
        </is>
      </c>
      <c r="I5405" t="n">
        <v>2029</v>
      </c>
      <c r="J5405" t="n">
        <v>2024</v>
      </c>
      <c r="K5405" t="inlineStr">
        <is>
          <t>AGOSTO 2026</t>
        </is>
      </c>
      <c r="L5405" t="inlineStr">
        <is>
          <t>AGOSTO 2027</t>
        </is>
      </c>
      <c r="M5405" t="inlineStr">
        <is>
          <t>PQS TIPO ABC AL 75%</t>
        </is>
      </c>
      <c r="N5405" t="inlineStr">
        <is>
          <t>000587</t>
        </is>
      </c>
      <c r="O5405" t="inlineStr">
        <is>
          <t>R</t>
        </is>
      </c>
      <c r="P5405">
        <f>TRIM(N5405)</f>
        <v/>
      </c>
    </row>
    <row r="5406">
      <c r="A5406" t="inlineStr">
        <is>
          <t>CO-002841</t>
        </is>
      </c>
      <c r="B5406" t="inlineStr">
        <is>
          <t>TEODOCIA FIAFILIO</t>
        </is>
      </c>
      <c r="D5406" t="inlineStr">
        <is>
          <t>MERCADO ALBORADA - Pst. 39 - Frutas</t>
        </is>
      </c>
      <c r="E5406" t="inlineStr">
        <is>
          <t>Lima, 05 de Agosto del 2026</t>
        </is>
      </c>
      <c r="F5406" t="inlineStr">
        <is>
          <t>la Recarga y mantenimiento</t>
        </is>
      </c>
      <c r="G5406" t="inlineStr">
        <is>
          <t>01</t>
        </is>
      </c>
      <c r="H5406" t="inlineStr">
        <is>
          <t>04 KG</t>
        </is>
      </c>
      <c r="I5406" t="n">
        <v>2028</v>
      </c>
      <c r="J5406" t="n">
        <v>2023</v>
      </c>
      <c r="K5406" t="inlineStr">
        <is>
          <t>AGOSTO 2026</t>
        </is>
      </c>
      <c r="L5406" t="inlineStr">
        <is>
          <t>AGOSTO 2027</t>
        </is>
      </c>
      <c r="M5406" t="inlineStr">
        <is>
          <t>PQS TIPO ABC AL 75%</t>
        </is>
      </c>
      <c r="N5406" t="inlineStr">
        <is>
          <t>000850</t>
        </is>
      </c>
      <c r="O5406" t="inlineStr">
        <is>
          <t>R</t>
        </is>
      </c>
      <c r="P5406">
        <f>TRIM(N5406)</f>
        <v/>
      </c>
    </row>
    <row r="5407">
      <c r="A5407" t="inlineStr">
        <is>
          <t>CO-002842</t>
        </is>
      </c>
      <c r="B5407" t="inlineStr">
        <is>
          <t>NELLY VANESA TITO ZUÑIGA</t>
        </is>
      </c>
      <c r="D5407" t="inlineStr">
        <is>
          <t>MERCADO ALBORADA - Pst. 08 - Pollo</t>
        </is>
      </c>
      <c r="E5407" t="inlineStr">
        <is>
          <t>Lima, 05 de Agosto del 2026</t>
        </is>
      </c>
      <c r="F5407" t="inlineStr">
        <is>
          <t>la Recarga y mantenimiento</t>
        </is>
      </c>
      <c r="G5407" t="inlineStr">
        <is>
          <t>01</t>
        </is>
      </c>
      <c r="H5407" t="inlineStr">
        <is>
          <t>04 KG</t>
        </is>
      </c>
      <c r="I5407" t="n">
        <v>2029</v>
      </c>
      <c r="J5407" t="n">
        <v>2024</v>
      </c>
      <c r="K5407" t="inlineStr">
        <is>
          <t>AGOSTO 2026</t>
        </is>
      </c>
      <c r="L5407" t="inlineStr">
        <is>
          <t>AGOSTO 2027</t>
        </is>
      </c>
      <c r="M5407" t="inlineStr">
        <is>
          <t>PQS TIPO ABC AL 75%</t>
        </is>
      </c>
      <c r="N5407" t="inlineStr">
        <is>
          <t>000860</t>
        </is>
      </c>
      <c r="O5407" t="inlineStr">
        <is>
          <t>R</t>
        </is>
      </c>
      <c r="P5407">
        <f>TRIM(N5407)</f>
        <v/>
      </c>
    </row>
    <row r="5408">
      <c r="A5408" t="inlineStr">
        <is>
          <t>CO-002843</t>
        </is>
      </c>
      <c r="B5408" t="inlineStr">
        <is>
          <t>CARMEN HEREDIA</t>
        </is>
      </c>
      <c r="D5408" t="inlineStr">
        <is>
          <t>MERCADO ALBORADA - Pst. 04 - carnes</t>
        </is>
      </c>
      <c r="E5408" t="inlineStr">
        <is>
          <t>Lima, 05 de Agosto del 2026</t>
        </is>
      </c>
      <c r="F5408" t="inlineStr">
        <is>
          <t>la Recarga y mantenimiento</t>
        </is>
      </c>
      <c r="G5408" t="inlineStr">
        <is>
          <t>01</t>
        </is>
      </c>
      <c r="H5408" t="inlineStr">
        <is>
          <t>04 KG</t>
        </is>
      </c>
      <c r="I5408" t="n">
        <v>2028</v>
      </c>
      <c r="J5408" t="n">
        <v>2023</v>
      </c>
      <c r="K5408" t="inlineStr">
        <is>
          <t>AGOSTO 2026</t>
        </is>
      </c>
      <c r="L5408" t="inlineStr">
        <is>
          <t>AGOSTO 2027</t>
        </is>
      </c>
      <c r="M5408" t="inlineStr">
        <is>
          <t>PQS TIPO ABC AL 75%</t>
        </is>
      </c>
      <c r="N5408" t="inlineStr">
        <is>
          <t>000085</t>
        </is>
      </c>
      <c r="O5408" t="inlineStr">
        <is>
          <t>R</t>
        </is>
      </c>
      <c r="P5408">
        <f>TRIM(N5408)</f>
        <v/>
      </c>
    </row>
    <row r="5409">
      <c r="A5409" t="inlineStr">
        <is>
          <t>CO-002844</t>
        </is>
      </c>
      <c r="B5409" t="inlineStr">
        <is>
          <t>HIPOLITO CARRILLO</t>
        </is>
      </c>
      <c r="D5409" t="inlineStr">
        <is>
          <t>MERCADO ALBORADA - Pst. 08 - Pasamanería</t>
        </is>
      </c>
      <c r="E5409" t="inlineStr">
        <is>
          <t>Lima, 05 de Agosto del 2026</t>
        </is>
      </c>
      <c r="F5409" t="inlineStr">
        <is>
          <t>la Recarga y mantenimiento</t>
        </is>
      </c>
      <c r="G5409" t="inlineStr">
        <is>
          <t>01</t>
        </is>
      </c>
      <c r="H5409" t="inlineStr">
        <is>
          <t>04 KG</t>
        </is>
      </c>
      <c r="I5409" t="n">
        <v>2029</v>
      </c>
      <c r="J5409" t="n">
        <v>2008</v>
      </c>
      <c r="K5409" t="inlineStr">
        <is>
          <t>AGOSTO 2026</t>
        </is>
      </c>
      <c r="L5409" t="inlineStr">
        <is>
          <t>AGOSTO 2027</t>
        </is>
      </c>
      <c r="M5409" t="inlineStr">
        <is>
          <t>PQS TIPO ABC AL 75%</t>
        </is>
      </c>
      <c r="N5409" t="n">
        <v>219207</v>
      </c>
      <c r="O5409" t="inlineStr">
        <is>
          <t>R</t>
        </is>
      </c>
      <c r="P5409">
        <f>TRIM(N5409)</f>
        <v/>
      </c>
    </row>
    <row r="5410">
      <c r="A5410" t="inlineStr">
        <is>
          <t>CO-002845</t>
        </is>
      </c>
      <c r="B5410" t="inlineStr">
        <is>
          <t>ANA RAMOS</t>
        </is>
      </c>
      <c r="D5410" t="inlineStr">
        <is>
          <t>MERCADO ALBORADA - Pst. 06 - Verdura</t>
        </is>
      </c>
      <c r="E5410" t="inlineStr">
        <is>
          <t>Lima, 05 de Agosto del 2026</t>
        </is>
      </c>
      <c r="F5410" t="inlineStr">
        <is>
          <t>la Recarga y mantenimiento</t>
        </is>
      </c>
      <c r="G5410" t="inlineStr">
        <is>
          <t>01</t>
        </is>
      </c>
      <c r="H5410" t="inlineStr">
        <is>
          <t>04 KG</t>
        </is>
      </c>
      <c r="I5410" t="n">
        <v>2028</v>
      </c>
      <c r="J5410" t="n">
        <v>2023</v>
      </c>
      <c r="K5410" t="inlineStr">
        <is>
          <t>AGOSTO 2026</t>
        </is>
      </c>
      <c r="L5410" t="inlineStr">
        <is>
          <t>AGOSTO 2027</t>
        </is>
      </c>
      <c r="M5410" t="inlineStr">
        <is>
          <t>PQS TIPO ABC AL 75%</t>
        </is>
      </c>
      <c r="N5410" t="inlineStr">
        <is>
          <t>000174</t>
        </is>
      </c>
      <c r="O5410" t="inlineStr">
        <is>
          <t>R</t>
        </is>
      </c>
      <c r="P5410">
        <f>TRIM(N5410)</f>
        <v/>
      </c>
    </row>
    <row r="5411">
      <c r="A5411" t="inlineStr">
        <is>
          <t>CO-002846</t>
        </is>
      </c>
      <c r="B5411" t="inlineStr">
        <is>
          <t>ROSA DAVALOS</t>
        </is>
      </c>
      <c r="D5411" t="inlineStr">
        <is>
          <t>MERCADO ALBORADA - Pst. 07</t>
        </is>
      </c>
      <c r="E5411" t="inlineStr">
        <is>
          <t>Lima, 05 de Agosto del 2026</t>
        </is>
      </c>
      <c r="F5411" t="inlineStr">
        <is>
          <t>la Recarga y mantenimiento</t>
        </is>
      </c>
      <c r="G5411" t="inlineStr">
        <is>
          <t>01</t>
        </is>
      </c>
      <c r="H5411" t="inlineStr">
        <is>
          <t>04 KG</t>
        </is>
      </c>
      <c r="I5411" t="n">
        <v>2028</v>
      </c>
      <c r="J5411" t="n">
        <v>2023</v>
      </c>
      <c r="K5411" t="inlineStr">
        <is>
          <t>AGOSTO 2026</t>
        </is>
      </c>
      <c r="L5411" t="inlineStr">
        <is>
          <t>AGOSTO 2027</t>
        </is>
      </c>
      <c r="M5411" t="inlineStr">
        <is>
          <t>PQS TIPO ABC AL 75%</t>
        </is>
      </c>
      <c r="N5411" t="inlineStr">
        <is>
          <t>000436</t>
        </is>
      </c>
      <c r="O5411" t="inlineStr">
        <is>
          <t>R</t>
        </is>
      </c>
      <c r="P5411">
        <f>TRIM(N5411)</f>
        <v/>
      </c>
    </row>
    <row r="5412">
      <c r="A5412" t="inlineStr">
        <is>
          <t>CO-002847</t>
        </is>
      </c>
      <c r="B5412" t="inlineStr">
        <is>
          <t>ZUYIN SARRIA</t>
        </is>
      </c>
      <c r="D5412" t="inlineStr">
        <is>
          <t>MERCADO ALBORADA - Pst. 01 - Costura</t>
        </is>
      </c>
      <c r="E5412" t="inlineStr">
        <is>
          <t>Lima, 05 de Agosto del 2026</t>
        </is>
      </c>
      <c r="F5412" t="inlineStr">
        <is>
          <t>la Recarga y mantenimiento</t>
        </is>
      </c>
      <c r="G5412" t="inlineStr">
        <is>
          <t>01</t>
        </is>
      </c>
      <c r="H5412" t="inlineStr">
        <is>
          <t>04 KG</t>
        </is>
      </c>
      <c r="I5412" t="n">
        <v>2028</v>
      </c>
      <c r="J5412" t="n">
        <v>2003</v>
      </c>
      <c r="K5412" t="inlineStr">
        <is>
          <t>AGOSTO 2026</t>
        </is>
      </c>
      <c r="L5412" t="inlineStr">
        <is>
          <t>AGOSTO 2027</t>
        </is>
      </c>
      <c r="M5412" t="inlineStr">
        <is>
          <t>PQS TIPO ABC AL 75%</t>
        </is>
      </c>
      <c r="N5412" t="inlineStr">
        <is>
          <t>000718</t>
        </is>
      </c>
      <c r="O5412" t="inlineStr">
        <is>
          <t>R</t>
        </is>
      </c>
      <c r="P5412">
        <f>TRIM(N5412)</f>
        <v/>
      </c>
    </row>
    <row r="5413">
      <c r="A5413" t="inlineStr">
        <is>
          <t>CO-002848</t>
        </is>
      </c>
      <c r="B5413" t="inlineStr">
        <is>
          <t>ALICIA ZUÑIGA</t>
        </is>
      </c>
      <c r="D5413" t="inlineStr">
        <is>
          <t>MERCADO ALBORADA - Pst. 19 - Abarrotes</t>
        </is>
      </c>
      <c r="E5413" t="inlineStr">
        <is>
          <t>Lima, 05 de Agosto del 2026</t>
        </is>
      </c>
      <c r="F5413" t="inlineStr">
        <is>
          <t>la Recarga y mantenimiento</t>
        </is>
      </c>
      <c r="G5413" t="inlineStr">
        <is>
          <t>01</t>
        </is>
      </c>
      <c r="H5413" t="inlineStr">
        <is>
          <t>04 KG</t>
        </is>
      </c>
      <c r="I5413" t="n">
        <v>2028</v>
      </c>
      <c r="J5413" t="n">
        <v>2023</v>
      </c>
      <c r="K5413" t="inlineStr">
        <is>
          <t>AGOSTO 2026</t>
        </is>
      </c>
      <c r="L5413" t="inlineStr">
        <is>
          <t>AGOSTO 2027</t>
        </is>
      </c>
      <c r="M5413" t="inlineStr">
        <is>
          <t>PQS TIPO ABC AL 75%</t>
        </is>
      </c>
      <c r="N5413" t="inlineStr">
        <is>
          <t>000161</t>
        </is>
      </c>
      <c r="O5413" t="inlineStr">
        <is>
          <t>R</t>
        </is>
      </c>
      <c r="P5413">
        <f>TRIM(N5413)</f>
        <v/>
      </c>
    </row>
    <row r="5414">
      <c r="A5414" t="inlineStr">
        <is>
          <t>CO-002849</t>
        </is>
      </c>
      <c r="B5414" t="inlineStr">
        <is>
          <t>ROSA DAVALOS</t>
        </is>
      </c>
      <c r="D5414" t="inlineStr">
        <is>
          <t>MERCADO ALBORADA - Pst. 08</t>
        </is>
      </c>
      <c r="E5414" t="inlineStr">
        <is>
          <t>Lima, 05 de Agosto del 2026</t>
        </is>
      </c>
      <c r="F5414" t="inlineStr">
        <is>
          <t>la Recarga y mantenimiento</t>
        </is>
      </c>
      <c r="G5414" t="inlineStr">
        <is>
          <t>01</t>
        </is>
      </c>
      <c r="H5414" t="inlineStr">
        <is>
          <t>04 KG</t>
        </is>
      </c>
      <c r="I5414" t="n">
        <v>2029</v>
      </c>
      <c r="J5414" t="n">
        <v>2024</v>
      </c>
      <c r="K5414" t="inlineStr">
        <is>
          <t>AGOSTO 2026</t>
        </is>
      </c>
      <c r="L5414" t="inlineStr">
        <is>
          <t>AGOSTO 2027</t>
        </is>
      </c>
      <c r="M5414" t="inlineStr">
        <is>
          <t>PQS TIPO ABC AL 75%</t>
        </is>
      </c>
      <c r="N5414" t="inlineStr">
        <is>
          <t>000272</t>
        </is>
      </c>
      <c r="O5414" t="inlineStr">
        <is>
          <t>R</t>
        </is>
      </c>
      <c r="P5414">
        <f>TRIM(N5414)</f>
        <v/>
      </c>
    </row>
    <row r="5415">
      <c r="A5415" t="inlineStr">
        <is>
          <t>CO-002850</t>
        </is>
      </c>
      <c r="B5415" t="inlineStr">
        <is>
          <t>IRMA RIOS</t>
        </is>
      </c>
      <c r="D5415" t="inlineStr">
        <is>
          <t>MERCADO ALBORADA - Pst. 36 - Ropa Nueva</t>
        </is>
      </c>
      <c r="E5415" t="inlineStr">
        <is>
          <t>Lima, 05 de Agosto del 2026</t>
        </is>
      </c>
      <c r="F5415" t="inlineStr">
        <is>
          <t>la Recarga y mantenimiento</t>
        </is>
      </c>
      <c r="G5415" t="inlineStr">
        <is>
          <t>01</t>
        </is>
      </c>
      <c r="H5415" t="inlineStr">
        <is>
          <t>04 KG</t>
        </is>
      </c>
      <c r="I5415" t="n">
        <v>2029</v>
      </c>
      <c r="J5415" t="n">
        <v>2024</v>
      </c>
      <c r="K5415" t="inlineStr">
        <is>
          <t>AGOSTO 2026</t>
        </is>
      </c>
      <c r="L5415" t="inlineStr">
        <is>
          <t>AGOSTO 2027</t>
        </is>
      </c>
      <c r="M5415" t="inlineStr">
        <is>
          <t>PQS TIPO ABC AL 75%</t>
        </is>
      </c>
      <c r="N5415" t="inlineStr">
        <is>
          <t>000342</t>
        </is>
      </c>
      <c r="O5415" t="inlineStr">
        <is>
          <t>R</t>
        </is>
      </c>
      <c r="P5415">
        <f>TRIM(N5415)</f>
        <v/>
      </c>
    </row>
    <row r="5416">
      <c r="A5416" t="inlineStr">
        <is>
          <t>CO-002851</t>
        </is>
      </c>
      <c r="B5416" t="inlineStr">
        <is>
          <t>MIRELLA PEREIRA</t>
        </is>
      </c>
      <c r="D5416" t="inlineStr">
        <is>
          <t>MERCADO ALBORADA - Pst. 06 - Peluquería</t>
        </is>
      </c>
      <c r="E5416" t="inlineStr">
        <is>
          <t>Lima, 05 de Agosto del 2026</t>
        </is>
      </c>
      <c r="F5416" t="inlineStr">
        <is>
          <t>la Recarga y mantenimiento</t>
        </is>
      </c>
      <c r="G5416" t="inlineStr">
        <is>
          <t>01</t>
        </is>
      </c>
      <c r="H5416" t="inlineStr">
        <is>
          <t>04 KG</t>
        </is>
      </c>
      <c r="I5416" t="n">
        <v>2030</v>
      </c>
      <c r="J5416" t="n">
        <v>2025</v>
      </c>
      <c r="K5416" t="inlineStr">
        <is>
          <t>AGOSTO 2026</t>
        </is>
      </c>
      <c r="L5416" t="inlineStr">
        <is>
          <t>AGOSTO 2027</t>
        </is>
      </c>
      <c r="M5416" t="inlineStr">
        <is>
          <t>PQS TIPO ABC AL 75%</t>
        </is>
      </c>
      <c r="N5416" t="inlineStr">
        <is>
          <t>000430</t>
        </is>
      </c>
      <c r="O5416" t="inlineStr">
        <is>
          <t>R</t>
        </is>
      </c>
      <c r="P5416">
        <f>TRIM(N5416)</f>
        <v/>
      </c>
    </row>
    <row r="5417">
      <c r="A5417" t="inlineStr">
        <is>
          <t>CO-002852</t>
        </is>
      </c>
      <c r="B5417" t="inlineStr">
        <is>
          <t>LEONARDO ESPINOZA</t>
        </is>
      </c>
      <c r="D5417" t="inlineStr">
        <is>
          <t>MERCADO ALBORADA -Pst. 08 -LOCERIA</t>
        </is>
      </c>
      <c r="E5417" t="inlineStr">
        <is>
          <t>Lima, 05 de Agosto del 2026</t>
        </is>
      </c>
      <c r="F5417" t="inlineStr">
        <is>
          <t>la Recarga y mantenimiento</t>
        </is>
      </c>
      <c r="G5417" t="inlineStr">
        <is>
          <t>01</t>
        </is>
      </c>
      <c r="H5417" t="inlineStr">
        <is>
          <t>04 KG</t>
        </is>
      </c>
      <c r="I5417" t="n">
        <v>2028</v>
      </c>
      <c r="J5417" t="n">
        <v>2023</v>
      </c>
      <c r="K5417" t="inlineStr">
        <is>
          <t>AGOSTO 2026</t>
        </is>
      </c>
      <c r="L5417" t="inlineStr">
        <is>
          <t>AGOSTO 2027</t>
        </is>
      </c>
      <c r="M5417" t="inlineStr">
        <is>
          <t>PQS TIPO ABC AL 75%</t>
        </is>
      </c>
      <c r="N5417" t="inlineStr">
        <is>
          <t>000608</t>
        </is>
      </c>
      <c r="O5417" t="inlineStr">
        <is>
          <t>R</t>
        </is>
      </c>
      <c r="P5417">
        <f>TRIM(N5417)</f>
        <v/>
      </c>
    </row>
    <row r="5418">
      <c r="A5418" t="inlineStr">
        <is>
          <t>CO-002853</t>
        </is>
      </c>
      <c r="B5418" t="inlineStr">
        <is>
          <t>YESENIA RIOS</t>
        </is>
      </c>
      <c r="D5418" t="inlineStr">
        <is>
          <t>MERCADO ALBORADA - Pst. 04 - Abarrotes</t>
        </is>
      </c>
      <c r="E5418" t="inlineStr">
        <is>
          <t>Lima, 05 de Agosto del 2026</t>
        </is>
      </c>
      <c r="F5418" t="inlineStr">
        <is>
          <t>la Recarga y mantenimiento</t>
        </is>
      </c>
      <c r="G5418" t="inlineStr">
        <is>
          <t>01</t>
        </is>
      </c>
      <c r="H5418" t="inlineStr">
        <is>
          <t>04 KG</t>
        </is>
      </c>
      <c r="I5418" t="n">
        <v>2029</v>
      </c>
      <c r="J5418" t="n">
        <v>2024</v>
      </c>
      <c r="K5418" t="inlineStr">
        <is>
          <t>AGOSTO 2026</t>
        </is>
      </c>
      <c r="L5418" t="inlineStr">
        <is>
          <t>AGOSTO 2027</t>
        </is>
      </c>
      <c r="M5418" t="inlineStr">
        <is>
          <t>PQS TIPO ABC AL 75%</t>
        </is>
      </c>
      <c r="N5418" t="inlineStr">
        <is>
          <t>000002</t>
        </is>
      </c>
      <c r="O5418" t="inlineStr">
        <is>
          <t>R</t>
        </is>
      </c>
      <c r="P5418">
        <f>TRIM(N5418)</f>
        <v/>
      </c>
    </row>
    <row r="5419">
      <c r="A5419" t="inlineStr">
        <is>
          <t>CO-002854</t>
        </is>
      </c>
      <c r="B5419" t="inlineStr">
        <is>
          <t>GUILLERMO AGUILAR</t>
        </is>
      </c>
      <c r="D5419" t="inlineStr">
        <is>
          <t>MERCADO ALBORADA - Pst. 05 - Abarrotes</t>
        </is>
      </c>
      <c r="E5419" t="inlineStr">
        <is>
          <t>Lima, 05 de Agosto del 2026</t>
        </is>
      </c>
      <c r="F5419" t="inlineStr">
        <is>
          <t>la Recarga y mantenimiento</t>
        </is>
      </c>
      <c r="G5419" t="inlineStr">
        <is>
          <t>01</t>
        </is>
      </c>
      <c r="H5419" t="inlineStr">
        <is>
          <t>04 KG</t>
        </is>
      </c>
      <c r="I5419" t="n">
        <v>2028</v>
      </c>
      <c r="J5419" t="n">
        <v>2023</v>
      </c>
      <c r="K5419" t="inlineStr">
        <is>
          <t>AGOSTO 2026</t>
        </is>
      </c>
      <c r="L5419" t="inlineStr">
        <is>
          <t>AGOSTO 2027</t>
        </is>
      </c>
      <c r="M5419" t="inlineStr">
        <is>
          <t>PQS TIPO ABC AL 75%</t>
        </is>
      </c>
      <c r="N5419" t="inlineStr">
        <is>
          <t>000052</t>
        </is>
      </c>
      <c r="O5419" t="inlineStr">
        <is>
          <t>R</t>
        </is>
      </c>
      <c r="P5419">
        <f>TRIM(N5419)</f>
        <v/>
      </c>
    </row>
    <row r="5420">
      <c r="A5420" t="inlineStr">
        <is>
          <t>CO-002855</t>
        </is>
      </c>
      <c r="B5420" t="inlineStr">
        <is>
          <t>VIOLETA CALDERON</t>
        </is>
      </c>
      <c r="D5420" t="inlineStr">
        <is>
          <t>MERCADO ALBORADA - Pst. 01 - Juguería</t>
        </is>
      </c>
      <c r="E5420" t="inlineStr">
        <is>
          <t>Lima, 05 de Agosto del 2026</t>
        </is>
      </c>
      <c r="F5420" t="inlineStr">
        <is>
          <t>la Recarga y mantenimiento</t>
        </is>
      </c>
      <c r="G5420" t="inlineStr">
        <is>
          <t>01</t>
        </is>
      </c>
      <c r="H5420" t="inlineStr">
        <is>
          <t>04 KG</t>
        </is>
      </c>
      <c r="I5420" t="n">
        <v>2030</v>
      </c>
      <c r="J5420" t="n">
        <v>2025</v>
      </c>
      <c r="K5420" t="inlineStr">
        <is>
          <t>AGOSTO 2026</t>
        </is>
      </c>
      <c r="L5420" t="inlineStr">
        <is>
          <t>AGOSTO 2027</t>
        </is>
      </c>
      <c r="M5420" t="inlineStr">
        <is>
          <t>PQS TIPO ABC AL 75%</t>
        </is>
      </c>
      <c r="N5420" t="inlineStr">
        <is>
          <t>001785</t>
        </is>
      </c>
      <c r="O5420" t="inlineStr">
        <is>
          <t>R</t>
        </is>
      </c>
      <c r="P5420">
        <f>TRIM(N5420)</f>
        <v/>
      </c>
    </row>
    <row r="5421">
      <c r="A5421" t="inlineStr">
        <is>
          <t>CO-002856</t>
        </is>
      </c>
      <c r="B5421" t="inlineStr">
        <is>
          <t>ANNIE MIRANDA</t>
        </is>
      </c>
      <c r="D5421" t="inlineStr">
        <is>
          <t>MERCADO ALBORADA - Pst. 14</t>
        </is>
      </c>
      <c r="E5421" t="inlineStr">
        <is>
          <t>Lima, 05 de Agosto del 2026</t>
        </is>
      </c>
      <c r="F5421" t="inlineStr">
        <is>
          <t>la Recarga y mantenimiento</t>
        </is>
      </c>
      <c r="G5421" t="inlineStr">
        <is>
          <t>01</t>
        </is>
      </c>
      <c r="H5421" t="inlineStr">
        <is>
          <t>04 KG</t>
        </is>
      </c>
      <c r="I5421" t="n">
        <v>2028</v>
      </c>
      <c r="J5421" t="n">
        <v>2023</v>
      </c>
      <c r="K5421" t="inlineStr">
        <is>
          <t>AGOSTO 2026</t>
        </is>
      </c>
      <c r="L5421" t="inlineStr">
        <is>
          <t>AGOSTO 2027</t>
        </is>
      </c>
      <c r="M5421" t="inlineStr">
        <is>
          <t>PQS TIPO ABC AL 75%</t>
        </is>
      </c>
      <c r="N5421" t="inlineStr">
        <is>
          <t>000170</t>
        </is>
      </c>
      <c r="O5421" t="inlineStr">
        <is>
          <t>R</t>
        </is>
      </c>
      <c r="P5421">
        <f>TRIM(N5421)</f>
        <v/>
      </c>
    </row>
    <row r="5422">
      <c r="A5422" t="inlineStr">
        <is>
          <t>CO-002857</t>
        </is>
      </c>
      <c r="B5422" t="inlineStr">
        <is>
          <t>GENARO VACAS SAENZ</t>
        </is>
      </c>
      <c r="D5422" t="inlineStr">
        <is>
          <t>MERCADO ALBORADA - Pst. 45 - Abarrotes</t>
        </is>
      </c>
      <c r="E5422" t="inlineStr">
        <is>
          <t>Lima, 05 de Agosto del 2026</t>
        </is>
      </c>
      <c r="F5422" t="inlineStr">
        <is>
          <t>la Recarga y mantenimiento</t>
        </is>
      </c>
      <c r="G5422" t="inlineStr">
        <is>
          <t>01</t>
        </is>
      </c>
      <c r="H5422" t="inlineStr">
        <is>
          <t>04 KG</t>
        </is>
      </c>
      <c r="I5422" t="n">
        <v>2028</v>
      </c>
      <c r="J5422" t="n">
        <v>2023</v>
      </c>
      <c r="K5422" t="inlineStr">
        <is>
          <t>AGOSTO 2026</t>
        </is>
      </c>
      <c r="L5422" t="inlineStr">
        <is>
          <t>AGOSTO 2027</t>
        </is>
      </c>
      <c r="M5422" t="inlineStr">
        <is>
          <t>PQS TIPO ABC AL 75%</t>
        </is>
      </c>
      <c r="N5422" t="inlineStr">
        <is>
          <t>000275</t>
        </is>
      </c>
      <c r="O5422" t="inlineStr">
        <is>
          <t>R</t>
        </is>
      </c>
      <c r="P5422">
        <f>TRIM(N5422)</f>
        <v/>
      </c>
    </row>
    <row r="5423">
      <c r="A5423" t="inlineStr">
        <is>
          <t>CO-002858</t>
        </is>
      </c>
      <c r="B5423" t="inlineStr">
        <is>
          <t>EULALIA ZAPALLANAY</t>
        </is>
      </c>
      <c r="D5423" t="inlineStr">
        <is>
          <t>MERCADO ALBORADA -Pst. 02 - Especería</t>
        </is>
      </c>
      <c r="E5423" t="inlineStr">
        <is>
          <t>Lima, 05 de Agosto del 2026</t>
        </is>
      </c>
      <c r="F5423" t="inlineStr">
        <is>
          <t>la Recarga y mantenimiento</t>
        </is>
      </c>
      <c r="G5423" t="inlineStr">
        <is>
          <t>01</t>
        </is>
      </c>
      <c r="H5423" t="inlineStr">
        <is>
          <t>04 KG</t>
        </is>
      </c>
      <c r="I5423" t="n">
        <v>2028</v>
      </c>
      <c r="J5423" t="n">
        <v>2023</v>
      </c>
      <c r="K5423" t="inlineStr">
        <is>
          <t>AGOSTO 2026</t>
        </is>
      </c>
      <c r="L5423" t="inlineStr">
        <is>
          <t>AGOSTO 2027</t>
        </is>
      </c>
      <c r="M5423" t="inlineStr">
        <is>
          <t>PQS TIPO ABC AL 75%</t>
        </is>
      </c>
      <c r="N5423" t="inlineStr">
        <is>
          <t>000771</t>
        </is>
      </c>
      <c r="O5423" t="inlineStr">
        <is>
          <t>R</t>
        </is>
      </c>
      <c r="P5423">
        <f>TRIM(N5423)</f>
        <v/>
      </c>
    </row>
    <row r="5424">
      <c r="A5424" t="inlineStr">
        <is>
          <t>CO-002859</t>
        </is>
      </c>
      <c r="B5424" t="inlineStr">
        <is>
          <t>NANCY TORO</t>
        </is>
      </c>
      <c r="D5424" t="inlineStr">
        <is>
          <t>MERCADO ALBORADA - Pst. S/N - Verdura</t>
        </is>
      </c>
      <c r="E5424" t="inlineStr">
        <is>
          <t>Lima, 05 de Agosto del 2026</t>
        </is>
      </c>
      <c r="F5424" t="inlineStr">
        <is>
          <t>la Recarga y mantenimiento</t>
        </is>
      </c>
      <c r="G5424" t="inlineStr">
        <is>
          <t>01</t>
        </is>
      </c>
      <c r="H5424" t="inlineStr">
        <is>
          <t>04 KG</t>
        </is>
      </c>
      <c r="I5424" t="n">
        <v>2029</v>
      </c>
      <c r="J5424" t="n">
        <v>2024</v>
      </c>
      <c r="K5424" t="inlineStr">
        <is>
          <t>AGOSTO 2026</t>
        </is>
      </c>
      <c r="L5424" t="inlineStr">
        <is>
          <t>AGOSTO 2027</t>
        </is>
      </c>
      <c r="M5424" t="inlineStr">
        <is>
          <t>PQS TIPO ABC AL 75%</t>
        </is>
      </c>
      <c r="N5424" t="inlineStr">
        <is>
          <t>001572</t>
        </is>
      </c>
      <c r="O5424" t="inlineStr">
        <is>
          <t>R</t>
        </is>
      </c>
      <c r="P5424">
        <f>TRIM(N5424)</f>
        <v/>
      </c>
    </row>
    <row r="5425">
      <c r="A5425" t="inlineStr">
        <is>
          <t>CO-002860</t>
        </is>
      </c>
      <c r="B5425" t="inlineStr">
        <is>
          <t>LUIS QUISPE</t>
        </is>
      </c>
      <c r="D5425" t="inlineStr">
        <is>
          <t>MERCADO ALBORADA - Pst. 52 - Abarrotes</t>
        </is>
      </c>
      <c r="E5425" t="inlineStr">
        <is>
          <t>Lima, 05 de Agosto del 2026</t>
        </is>
      </c>
      <c r="F5425" t="inlineStr">
        <is>
          <t>la Recarga y mantenimiento</t>
        </is>
      </c>
      <c r="G5425" t="inlineStr">
        <is>
          <t>01</t>
        </is>
      </c>
      <c r="H5425" t="inlineStr">
        <is>
          <t>04 KG</t>
        </is>
      </c>
      <c r="I5425" t="n">
        <v>2028</v>
      </c>
      <c r="J5425" t="n">
        <v>2023</v>
      </c>
      <c r="K5425" t="inlineStr">
        <is>
          <t>AGOSTO 2026</t>
        </is>
      </c>
      <c r="L5425" t="inlineStr">
        <is>
          <t>AGOSTO 2027</t>
        </is>
      </c>
      <c r="M5425" t="inlineStr">
        <is>
          <t>PQS TIPO ABC AL 75%</t>
        </is>
      </c>
      <c r="N5425" t="inlineStr">
        <is>
          <t>000608</t>
        </is>
      </c>
      <c r="O5425" t="inlineStr">
        <is>
          <t>R</t>
        </is>
      </c>
      <c r="P5425">
        <f>TRIM(N5425)</f>
        <v/>
      </c>
    </row>
    <row r="5426">
      <c r="A5426" t="inlineStr">
        <is>
          <t>CO-002861</t>
        </is>
      </c>
      <c r="B5426" t="inlineStr">
        <is>
          <t>DIANA BENANCIO</t>
        </is>
      </c>
      <c r="D5426" t="inlineStr">
        <is>
          <t>MERCADO ALBORADA - Pst. 01 - Pollo</t>
        </is>
      </c>
      <c r="E5426" t="inlineStr">
        <is>
          <t>Lima, 05 de Agosto del 2026</t>
        </is>
      </c>
      <c r="F5426" t="inlineStr">
        <is>
          <t>la Recarga y mantenimiento</t>
        </is>
      </c>
      <c r="G5426" t="inlineStr">
        <is>
          <t>01</t>
        </is>
      </c>
      <c r="H5426" t="inlineStr">
        <is>
          <t>04 KG</t>
        </is>
      </c>
      <c r="I5426" t="n">
        <v>2028</v>
      </c>
      <c r="J5426" t="n">
        <v>2023</v>
      </c>
      <c r="K5426" t="inlineStr">
        <is>
          <t>AGOSTO 2026</t>
        </is>
      </c>
      <c r="L5426" t="inlineStr">
        <is>
          <t>AGOSTO 2027</t>
        </is>
      </c>
      <c r="M5426" t="inlineStr">
        <is>
          <t>PQS TIPO ABC AL 75%</t>
        </is>
      </c>
      <c r="N5426" t="inlineStr">
        <is>
          <t>000858</t>
        </is>
      </c>
      <c r="O5426" t="inlineStr">
        <is>
          <t>R</t>
        </is>
      </c>
      <c r="P5426">
        <f>TRIM(N5426)</f>
        <v/>
      </c>
    </row>
    <row r="5427">
      <c r="A5427" t="inlineStr">
        <is>
          <t>CO-002862</t>
        </is>
      </c>
      <c r="B5427" t="inlineStr">
        <is>
          <t>FANNY GUERRA</t>
        </is>
      </c>
      <c r="D5427" t="inlineStr">
        <is>
          <t>MERCADO ALBORADA - Pst. 02 - Piñatería</t>
        </is>
      </c>
      <c r="E5427" t="inlineStr">
        <is>
          <t>Lima, 05 de Agosto del 2026</t>
        </is>
      </c>
      <c r="F5427" t="inlineStr">
        <is>
          <t>la Recarga y mantenimiento</t>
        </is>
      </c>
      <c r="G5427" t="inlineStr">
        <is>
          <t>01</t>
        </is>
      </c>
      <c r="H5427" t="inlineStr">
        <is>
          <t>04 KG</t>
        </is>
      </c>
      <c r="I5427" t="n">
        <v>2030</v>
      </c>
      <c r="J5427" t="n">
        <v>2025</v>
      </c>
      <c r="K5427" t="inlineStr">
        <is>
          <t>AGOSTO 2026</t>
        </is>
      </c>
      <c r="L5427" t="inlineStr">
        <is>
          <t>AGOSTO 2027</t>
        </is>
      </c>
      <c r="M5427" t="inlineStr">
        <is>
          <t>PQS TIPO ABC AL 75%</t>
        </is>
      </c>
      <c r="N5427" t="inlineStr">
        <is>
          <t>000259</t>
        </is>
      </c>
      <c r="O5427" t="inlineStr">
        <is>
          <t>R</t>
        </is>
      </c>
      <c r="P5427">
        <f>TRIM(N5427)</f>
        <v/>
      </c>
    </row>
    <row r="5428">
      <c r="A5428" t="inlineStr">
        <is>
          <t>CO-002863</t>
        </is>
      </c>
      <c r="B5428" t="inlineStr">
        <is>
          <t>GREGORIA ZAPALLANAY</t>
        </is>
      </c>
      <c r="D5428" t="inlineStr">
        <is>
          <t>MERCADO ALBORADA - Pst. 09 - Ropa</t>
        </is>
      </c>
      <c r="E5428" t="inlineStr">
        <is>
          <t>Lima, 05 de Agosto del 2026</t>
        </is>
      </c>
      <c r="F5428" t="inlineStr">
        <is>
          <t>la Recarga y mantenimiento</t>
        </is>
      </c>
      <c r="G5428" t="inlineStr">
        <is>
          <t>01</t>
        </is>
      </c>
      <c r="H5428" t="inlineStr">
        <is>
          <t>04 KG</t>
        </is>
      </c>
      <c r="I5428" t="n">
        <v>2028</v>
      </c>
      <c r="J5428" t="n">
        <v>2023</v>
      </c>
      <c r="K5428" t="inlineStr">
        <is>
          <t>AGOSTO 2026</t>
        </is>
      </c>
      <c r="L5428" t="inlineStr">
        <is>
          <t>AGOSTO 2027</t>
        </is>
      </c>
      <c r="M5428" t="inlineStr">
        <is>
          <t>PQS TIPO ABC AL 75%</t>
        </is>
      </c>
      <c r="N5428" t="inlineStr">
        <is>
          <t>000238</t>
        </is>
      </c>
      <c r="O5428" t="inlineStr">
        <is>
          <t>R</t>
        </is>
      </c>
      <c r="P5428">
        <f>TRIM(N5428)</f>
        <v/>
      </c>
    </row>
    <row r="5429">
      <c r="A5429" t="inlineStr">
        <is>
          <t>CO-002864</t>
        </is>
      </c>
      <c r="B5429" t="inlineStr">
        <is>
          <t>ANTONIA ALCA</t>
        </is>
      </c>
      <c r="D5429" t="inlineStr">
        <is>
          <t>MERCADO ALBORADA - Pst. 10 - Locería</t>
        </is>
      </c>
      <c r="E5429" t="inlineStr">
        <is>
          <t>Lima, 05 de Agosto del 2026</t>
        </is>
      </c>
      <c r="F5429" t="inlineStr">
        <is>
          <t>la Recarga y mantenimiento</t>
        </is>
      </c>
      <c r="G5429" t="inlineStr">
        <is>
          <t>01</t>
        </is>
      </c>
      <c r="H5429" t="inlineStr">
        <is>
          <t>04 KG</t>
        </is>
      </c>
      <c r="I5429" t="n">
        <v>2028</v>
      </c>
      <c r="J5429" t="n">
        <v>2023</v>
      </c>
      <c r="K5429" t="inlineStr">
        <is>
          <t>AGOSTO 2026</t>
        </is>
      </c>
      <c r="L5429" t="inlineStr">
        <is>
          <t>AGOSTO 2027</t>
        </is>
      </c>
      <c r="M5429" t="inlineStr">
        <is>
          <t>PQS TIPO ABC AL 75%</t>
        </is>
      </c>
      <c r="N5429" t="inlineStr">
        <is>
          <t>000166</t>
        </is>
      </c>
      <c r="O5429" t="inlineStr">
        <is>
          <t>R</t>
        </is>
      </c>
      <c r="P5429">
        <f>TRIM(N5429)</f>
        <v/>
      </c>
    </row>
    <row r="5430">
      <c r="A5430" t="inlineStr">
        <is>
          <t>CO-002865</t>
        </is>
      </c>
      <c r="B5430" t="inlineStr">
        <is>
          <t>FIDELA RABICHAGUA</t>
        </is>
      </c>
      <c r="D5430" t="inlineStr">
        <is>
          <t>MERCADO ALBORADA - Pst. 63 - Embutidos</t>
        </is>
      </c>
      <c r="E5430" t="inlineStr">
        <is>
          <t>Lima, 05 de Agosto del 2026</t>
        </is>
      </c>
      <c r="F5430" t="inlineStr">
        <is>
          <t>la Recarga y mantenimiento</t>
        </is>
      </c>
      <c r="G5430" t="inlineStr">
        <is>
          <t>01</t>
        </is>
      </c>
      <c r="H5430" t="inlineStr">
        <is>
          <t>04 KG</t>
        </is>
      </c>
      <c r="I5430" t="n">
        <v>2028</v>
      </c>
      <c r="J5430" t="n">
        <v>2023</v>
      </c>
      <c r="K5430" t="inlineStr">
        <is>
          <t>AGOSTO 2026</t>
        </is>
      </c>
      <c r="L5430" t="inlineStr">
        <is>
          <t>AGOSTO 2027</t>
        </is>
      </c>
      <c r="M5430" t="inlineStr">
        <is>
          <t>PQS TIPO ABC AL 75%</t>
        </is>
      </c>
      <c r="N5430" t="inlineStr">
        <is>
          <t>000269</t>
        </is>
      </c>
      <c r="O5430" t="inlineStr">
        <is>
          <t>R</t>
        </is>
      </c>
      <c r="P5430">
        <f>TRIM(N5430)</f>
        <v/>
      </c>
    </row>
    <row r="5431">
      <c r="A5431" t="inlineStr">
        <is>
          <t>CO-002866</t>
        </is>
      </c>
      <c r="B5431" t="inlineStr">
        <is>
          <t>VICENTINA HUMPIRI</t>
        </is>
      </c>
      <c r="D5431" t="inlineStr">
        <is>
          <t>MERCADO ALBORADA - Pst. 38 - Fruta</t>
        </is>
      </c>
      <c r="E5431" t="inlineStr">
        <is>
          <t>Lima, 05 de Agosto del 2026</t>
        </is>
      </c>
      <c r="F5431" t="inlineStr">
        <is>
          <t>la Recarga y mantenimiento</t>
        </is>
      </c>
      <c r="G5431" t="inlineStr">
        <is>
          <t>01</t>
        </is>
      </c>
      <c r="H5431" t="inlineStr">
        <is>
          <t>04 KG</t>
        </is>
      </c>
      <c r="I5431" t="n">
        <v>2028</v>
      </c>
      <c r="J5431" t="n">
        <v>2023</v>
      </c>
      <c r="K5431" t="inlineStr">
        <is>
          <t>AGOSTO 2026</t>
        </is>
      </c>
      <c r="L5431" t="inlineStr">
        <is>
          <t>AGOSTO 2027</t>
        </is>
      </c>
      <c r="M5431" t="inlineStr">
        <is>
          <t>PQS TIPO ABC AL 75%</t>
        </is>
      </c>
      <c r="N5431" t="inlineStr">
        <is>
          <t>000046</t>
        </is>
      </c>
      <c r="O5431" t="inlineStr">
        <is>
          <t>R</t>
        </is>
      </c>
      <c r="P5431">
        <f>TRIM(N5431)</f>
        <v/>
      </c>
    </row>
    <row r="5432">
      <c r="A5432" t="inlineStr">
        <is>
          <t>CO-002867</t>
        </is>
      </c>
      <c r="B5432" t="inlineStr">
        <is>
          <t>CARMEN CHOCACA</t>
        </is>
      </c>
      <c r="D5432" t="inlineStr">
        <is>
          <t>MERCADO ALBORADA - Pst. 53</t>
        </is>
      </c>
      <c r="E5432" t="inlineStr">
        <is>
          <t>Lima, 05 de Agosto del 2026</t>
        </is>
      </c>
      <c r="F5432" t="inlineStr">
        <is>
          <t>la Recarga y mantenimiento</t>
        </is>
      </c>
      <c r="G5432" t="inlineStr">
        <is>
          <t>01</t>
        </is>
      </c>
      <c r="H5432" t="inlineStr">
        <is>
          <t>04 KG</t>
        </is>
      </c>
      <c r="I5432" t="n">
        <v>2029</v>
      </c>
      <c r="J5432" t="n">
        <v>2024</v>
      </c>
      <c r="K5432" t="inlineStr">
        <is>
          <t>AGOSTO 2026</t>
        </is>
      </c>
      <c r="L5432" t="inlineStr">
        <is>
          <t>AGOSTO 2027</t>
        </is>
      </c>
      <c r="M5432" t="inlineStr">
        <is>
          <t>PQS TIPO ABC AL 75%</t>
        </is>
      </c>
      <c r="N5432" t="inlineStr">
        <is>
          <t>000978</t>
        </is>
      </c>
      <c r="O5432" t="inlineStr">
        <is>
          <t>R</t>
        </is>
      </c>
      <c r="P5432">
        <f>TRIM(N5432)</f>
        <v/>
      </c>
    </row>
    <row r="5433">
      <c r="A5433" t="inlineStr">
        <is>
          <t>CO-002868</t>
        </is>
      </c>
      <c r="B5433" t="inlineStr">
        <is>
          <t>DELINA LOPEZ</t>
        </is>
      </c>
      <c r="D5433" t="inlineStr">
        <is>
          <t>MERCADO ALBORADA - Pst. 61</t>
        </is>
      </c>
      <c r="E5433" t="inlineStr">
        <is>
          <t>Lima, 05 de Agosto del 2026</t>
        </is>
      </c>
      <c r="F5433" t="inlineStr">
        <is>
          <t>la Recarga y mantenimiento</t>
        </is>
      </c>
      <c r="G5433" t="inlineStr">
        <is>
          <t>01</t>
        </is>
      </c>
      <c r="H5433" t="inlineStr">
        <is>
          <t>04 KG</t>
        </is>
      </c>
      <c r="I5433" t="n">
        <v>2028</v>
      </c>
      <c r="J5433" t="n">
        <v>2023</v>
      </c>
      <c r="K5433" t="inlineStr">
        <is>
          <t>AGOSTO 2026</t>
        </is>
      </c>
      <c r="L5433" t="inlineStr">
        <is>
          <t>AGOSTO 2027</t>
        </is>
      </c>
      <c r="M5433" t="inlineStr">
        <is>
          <t>PQS TIPO ABC AL 75%</t>
        </is>
      </c>
      <c r="N5433" t="inlineStr">
        <is>
          <t>001128</t>
        </is>
      </c>
      <c r="O5433" t="inlineStr">
        <is>
          <t>R</t>
        </is>
      </c>
      <c r="P5433">
        <f>TRIM(N5433)</f>
        <v/>
      </c>
    </row>
    <row r="5434">
      <c r="A5434" t="inlineStr">
        <is>
          <t>CO-002869</t>
        </is>
      </c>
      <c r="B5434" t="inlineStr">
        <is>
          <t>OLIVER DELGADO</t>
        </is>
      </c>
      <c r="D5434" t="inlineStr">
        <is>
          <t>MERCADO ALBORADA - S/N</t>
        </is>
      </c>
      <c r="E5434" t="inlineStr">
        <is>
          <t>Lima, 05 de Agosto del 2026</t>
        </is>
      </c>
      <c r="F5434" t="inlineStr">
        <is>
          <t>la Recarga y mantenimiento</t>
        </is>
      </c>
      <c r="G5434" t="inlineStr">
        <is>
          <t>01</t>
        </is>
      </c>
      <c r="H5434" t="inlineStr">
        <is>
          <t>04 KG</t>
        </is>
      </c>
      <c r="I5434" t="n">
        <v>2029</v>
      </c>
      <c r="J5434" t="n">
        <v>2015</v>
      </c>
      <c r="K5434" t="inlineStr">
        <is>
          <t>AGOSTO 2026</t>
        </is>
      </c>
      <c r="L5434" t="inlineStr">
        <is>
          <t>AGOSTO 2027</t>
        </is>
      </c>
      <c r="M5434" t="inlineStr">
        <is>
          <t>PQS TIPO ABC AL 75%</t>
        </is>
      </c>
      <c r="N5434" t="inlineStr">
        <is>
          <t>018847</t>
        </is>
      </c>
      <c r="O5434" t="inlineStr">
        <is>
          <t>R</t>
        </is>
      </c>
      <c r="P5434">
        <f>TRIM(N5434)</f>
        <v/>
      </c>
    </row>
    <row r="5435">
      <c r="A5435" t="inlineStr">
        <is>
          <t>CO-002870</t>
        </is>
      </c>
      <c r="B5435" t="inlineStr">
        <is>
          <t>ASOCIACION PROPIETARIOS</t>
        </is>
      </c>
      <c r="D5435" t="inlineStr">
        <is>
          <t>MERCADO ALBORADA - ADMINISTRACION</t>
        </is>
      </c>
      <c r="E5435" t="inlineStr">
        <is>
          <t>Lima, 05 de Agosto del 2026</t>
        </is>
      </c>
      <c r="F5435" t="inlineStr">
        <is>
          <t>la Recarga y mantenimiento</t>
        </is>
      </c>
      <c r="G5435" t="inlineStr">
        <is>
          <t>01</t>
        </is>
      </c>
      <c r="H5435" t="inlineStr">
        <is>
          <t xml:space="preserve">06 KG </t>
        </is>
      </c>
      <c r="I5435" t="n">
        <v>2028</v>
      </c>
      <c r="J5435" t="n">
        <v>2014</v>
      </c>
      <c r="K5435" t="inlineStr">
        <is>
          <t>AGOSTO 2026</t>
        </is>
      </c>
      <c r="L5435" t="inlineStr">
        <is>
          <t>AGOSTO 2027</t>
        </is>
      </c>
      <c r="M5435" t="inlineStr">
        <is>
          <t>PQS TIPO ABC AL 75%</t>
        </is>
      </c>
      <c r="N5435" t="inlineStr">
        <is>
          <t>000389</t>
        </is>
      </c>
      <c r="O5435" t="inlineStr">
        <is>
          <t>R</t>
        </is>
      </c>
      <c r="P5435">
        <f>TRIM(N5435)</f>
        <v/>
      </c>
    </row>
    <row r="5436">
      <c r="A5436" t="inlineStr">
        <is>
          <t>CO-002871</t>
        </is>
      </c>
      <c r="B5436" t="inlineStr">
        <is>
          <t>ASOCIACION PROPIETARIOS</t>
        </is>
      </c>
      <c r="D5436" t="inlineStr">
        <is>
          <t>MERCADO ALBORADA -ADMINISTRACION</t>
        </is>
      </c>
      <c r="E5436" t="inlineStr">
        <is>
          <t>Lima, 05 de Agosto del 2026</t>
        </is>
      </c>
      <c r="F5436" t="inlineStr">
        <is>
          <t>la Recarga y mantenimiento</t>
        </is>
      </c>
      <c r="G5436" t="inlineStr">
        <is>
          <t>01</t>
        </is>
      </c>
      <c r="H5436" t="inlineStr">
        <is>
          <t>06 KG</t>
        </is>
      </c>
      <c r="I5436" t="n">
        <v>2031</v>
      </c>
      <c r="J5436" t="n">
        <v>2017</v>
      </c>
      <c r="K5436" t="inlineStr">
        <is>
          <t>AGOSTO 2026</t>
        </is>
      </c>
      <c r="L5436" t="inlineStr">
        <is>
          <t>AGOSTO 2027</t>
        </is>
      </c>
      <c r="M5436" t="inlineStr">
        <is>
          <t>PQS TIPO ABC AL 75%</t>
        </is>
      </c>
      <c r="N5436" t="inlineStr">
        <is>
          <t>000702</t>
        </is>
      </c>
      <c r="O5436" t="inlineStr">
        <is>
          <t>R</t>
        </is>
      </c>
      <c r="P5436">
        <f>TRIM(N5436)</f>
        <v/>
      </c>
    </row>
    <row r="5437">
      <c r="A5437" t="inlineStr">
        <is>
          <t>CO-002872</t>
        </is>
      </c>
      <c r="B5437" t="inlineStr">
        <is>
          <t>ASOCIACION PROPIETARIOS</t>
        </is>
      </c>
      <c r="D5437" t="inlineStr">
        <is>
          <t>MERCADO ALBORADA -ADMINISTRACION</t>
        </is>
      </c>
      <c r="E5437" t="inlineStr">
        <is>
          <t>Lima, 05 de Agosto del 2026</t>
        </is>
      </c>
      <c r="F5437" t="inlineStr">
        <is>
          <t>la Recarga y mantenimiento</t>
        </is>
      </c>
      <c r="G5437" t="inlineStr">
        <is>
          <t>01</t>
        </is>
      </c>
      <c r="H5437" t="inlineStr">
        <is>
          <t>06 KG</t>
        </is>
      </c>
      <c r="I5437" t="n">
        <v>2028</v>
      </c>
      <c r="J5437" t="n">
        <v>2014</v>
      </c>
      <c r="K5437" t="inlineStr">
        <is>
          <t>AGOSTO 2026</t>
        </is>
      </c>
      <c r="L5437" t="inlineStr">
        <is>
          <t>AGOSTO 2027</t>
        </is>
      </c>
      <c r="M5437" t="inlineStr">
        <is>
          <t>PQS TIPO ABC AL 75%</t>
        </is>
      </c>
      <c r="N5437" t="inlineStr">
        <is>
          <t>000478</t>
        </is>
      </c>
      <c r="O5437" t="inlineStr">
        <is>
          <t>R</t>
        </is>
      </c>
      <c r="P5437">
        <f>TRIM(N5437)</f>
        <v/>
      </c>
    </row>
    <row r="5438">
      <c r="A5438" t="inlineStr">
        <is>
          <t>CO-002873</t>
        </is>
      </c>
      <c r="B5438" t="inlineStr">
        <is>
          <t>ASOCIACION PROPIETARIOS</t>
        </is>
      </c>
      <c r="D5438" t="inlineStr">
        <is>
          <t>MERCADO ALBORADA -ADMINISTRACION</t>
        </is>
      </c>
      <c r="E5438" t="inlineStr">
        <is>
          <t>Lima, 05 de Agosto del 2026</t>
        </is>
      </c>
      <c r="F5438" t="inlineStr">
        <is>
          <t>la Recarga y mantenimiento</t>
        </is>
      </c>
      <c r="G5438" t="inlineStr">
        <is>
          <t>01</t>
        </is>
      </c>
      <c r="H5438" t="inlineStr">
        <is>
          <t>06 KG</t>
        </is>
      </c>
      <c r="I5438" t="n">
        <v>2028</v>
      </c>
      <c r="J5438" t="n">
        <v>2014</v>
      </c>
      <c r="K5438" t="inlineStr">
        <is>
          <t>AGOSTO 2026</t>
        </is>
      </c>
      <c r="L5438" t="inlineStr">
        <is>
          <t>AGOSTO 2027</t>
        </is>
      </c>
      <c r="M5438" t="inlineStr">
        <is>
          <t>PQS TIPO ABC AL 75%</t>
        </is>
      </c>
      <c r="N5438" t="inlineStr">
        <is>
          <t>000151</t>
        </is>
      </c>
      <c r="O5438" t="inlineStr">
        <is>
          <t>R</t>
        </is>
      </c>
      <c r="P5438">
        <f>TRIM(N5438)</f>
        <v/>
      </c>
    </row>
    <row r="5439">
      <c r="A5439" t="inlineStr">
        <is>
          <t>CO-002874</t>
        </is>
      </c>
      <c r="B5439" t="inlineStr">
        <is>
          <t>ASOCIACION PROPIETARIOS</t>
        </is>
      </c>
      <c r="D5439" t="inlineStr">
        <is>
          <t>MERCADO ALBORADA - MERCADO</t>
        </is>
      </c>
      <c r="E5439" t="inlineStr">
        <is>
          <t>Lima, 05 de Agosto del 2026</t>
        </is>
      </c>
      <c r="F5439" t="inlineStr">
        <is>
          <t>la Recarga y mantenimiento</t>
        </is>
      </c>
      <c r="G5439" t="inlineStr">
        <is>
          <t>01</t>
        </is>
      </c>
      <c r="H5439" t="inlineStr">
        <is>
          <t>06 KG</t>
        </is>
      </c>
      <c r="I5439" t="n">
        <v>2028</v>
      </c>
      <c r="J5439" t="n">
        <v>2023</v>
      </c>
      <c r="K5439" t="inlineStr">
        <is>
          <t>AGOSTO 2026</t>
        </is>
      </c>
      <c r="L5439" t="inlineStr">
        <is>
          <t>AGOSTO 2027</t>
        </is>
      </c>
      <c r="M5439" t="inlineStr">
        <is>
          <t>PQS TIPO ABC AL 75%</t>
        </is>
      </c>
      <c r="N5439" t="inlineStr">
        <is>
          <t>002697</t>
        </is>
      </c>
      <c r="O5439" t="inlineStr">
        <is>
          <t>R</t>
        </is>
      </c>
      <c r="P5439">
        <f>TRIM(N5439)</f>
        <v/>
      </c>
    </row>
    <row r="5440">
      <c r="A5440" t="inlineStr">
        <is>
          <t>CO-002875</t>
        </is>
      </c>
      <c r="B5440" t="inlineStr">
        <is>
          <t>ASOCIACION PROPIETARIOS</t>
        </is>
      </c>
      <c r="D5440" t="inlineStr">
        <is>
          <t>MERCADO ALBORADA -MERCADO</t>
        </is>
      </c>
      <c r="E5440" t="inlineStr">
        <is>
          <t>Lima, 05 de Agosto del 2026</t>
        </is>
      </c>
      <c r="F5440" t="inlineStr">
        <is>
          <t>la Recarga y mantenimiento</t>
        </is>
      </c>
      <c r="G5440" t="inlineStr">
        <is>
          <t>01</t>
        </is>
      </c>
      <c r="H5440" t="inlineStr">
        <is>
          <t>06 KG</t>
        </is>
      </c>
      <c r="I5440" t="n">
        <v>2031</v>
      </c>
      <c r="J5440" t="n">
        <v>2017</v>
      </c>
      <c r="K5440" t="inlineStr">
        <is>
          <t>AGOSTO 2026</t>
        </is>
      </c>
      <c r="L5440" t="inlineStr">
        <is>
          <t>AGOSTO 2027</t>
        </is>
      </c>
      <c r="M5440" t="inlineStr">
        <is>
          <t>PQS TIPO ABC AL 75%</t>
        </is>
      </c>
      <c r="N5440" t="inlineStr">
        <is>
          <t>000369</t>
        </is>
      </c>
      <c r="O5440" t="inlineStr">
        <is>
          <t>R</t>
        </is>
      </c>
      <c r="P5440">
        <f>TRIM(N5440)</f>
        <v/>
      </c>
    </row>
    <row r="5441">
      <c r="A5441" t="inlineStr">
        <is>
          <t>CO-002876</t>
        </is>
      </c>
      <c r="B5441" t="inlineStr">
        <is>
          <t>FIDELINA ARELLANO</t>
        </is>
      </c>
      <c r="D5441" t="inlineStr">
        <is>
          <t>MERCADO ALBORADA -MERCADO</t>
        </is>
      </c>
      <c r="E5441" t="inlineStr">
        <is>
          <t>Lima, 05 de Agosto del 2026</t>
        </is>
      </c>
      <c r="F5441" t="inlineStr">
        <is>
          <t>la Recarga y mantenimiento</t>
        </is>
      </c>
      <c r="G5441" t="inlineStr">
        <is>
          <t>01</t>
        </is>
      </c>
      <c r="H5441" t="inlineStr">
        <is>
          <t>06 KG</t>
        </is>
      </c>
      <c r="I5441" t="n">
        <v>2028</v>
      </c>
      <c r="J5441" t="n">
        <v>2023</v>
      </c>
      <c r="K5441" t="inlineStr">
        <is>
          <t>AGOSTO 2026</t>
        </is>
      </c>
      <c r="L5441" t="inlineStr">
        <is>
          <t>AGOSTO 2027</t>
        </is>
      </c>
      <c r="M5441" t="inlineStr">
        <is>
          <t>PQS TIPO ABC AL 75%</t>
        </is>
      </c>
      <c r="N5441" t="inlineStr">
        <is>
          <t>002110</t>
        </is>
      </c>
      <c r="O5441" t="inlineStr">
        <is>
          <t>R</t>
        </is>
      </c>
      <c r="P5441">
        <f>TRIM(N5441)</f>
        <v/>
      </c>
    </row>
    <row r="5442">
      <c r="A5442" t="inlineStr">
        <is>
          <t>CO-002877</t>
        </is>
      </c>
      <c r="B5442" t="inlineStr">
        <is>
          <t>MANUEL CARRASCO</t>
        </is>
      </c>
      <c r="D5442" t="inlineStr">
        <is>
          <t>MERCADO ALBORADA -Zapatos psto 6</t>
        </is>
      </c>
      <c r="E5442" t="inlineStr">
        <is>
          <t>Lima, 05 de Agosto del 2026</t>
        </is>
      </c>
      <c r="F5442" t="inlineStr">
        <is>
          <t>la Recarga y mantenimiento</t>
        </is>
      </c>
      <c r="G5442" t="inlineStr">
        <is>
          <t>01</t>
        </is>
      </c>
      <c r="H5442" t="inlineStr">
        <is>
          <t>06 KG</t>
        </is>
      </c>
      <c r="I5442" t="n">
        <v>2029</v>
      </c>
      <c r="J5442" t="n">
        <v>2008</v>
      </c>
      <c r="K5442" t="inlineStr">
        <is>
          <t>AGOSTO 2026</t>
        </is>
      </c>
      <c r="L5442" t="inlineStr">
        <is>
          <t>AGOSTO 2027</t>
        </is>
      </c>
      <c r="M5442" t="inlineStr">
        <is>
          <t>PQS TIPO ABC AL 75%</t>
        </is>
      </c>
      <c r="N5442" t="inlineStr">
        <is>
          <t>000957</t>
        </is>
      </c>
      <c r="O5442" t="inlineStr">
        <is>
          <t>R</t>
        </is>
      </c>
      <c r="P5442">
        <f>TRIM(N5442)</f>
        <v/>
      </c>
    </row>
    <row r="5443">
      <c r="A5443" t="inlineStr">
        <is>
          <t>CO-002878</t>
        </is>
      </c>
      <c r="B5443" t="inlineStr">
        <is>
          <t>TERESA CASIMIR</t>
        </is>
      </c>
      <c r="D5443" t="inlineStr">
        <is>
          <t>MERCADO ALBORADA -Pst. 62</t>
        </is>
      </c>
      <c r="E5443" t="inlineStr">
        <is>
          <t>Lima, 05 de Agosto del 2026</t>
        </is>
      </c>
      <c r="F5443" t="inlineStr">
        <is>
          <t>la Recarga y mantenimiento</t>
        </is>
      </c>
      <c r="G5443" t="inlineStr">
        <is>
          <t>01</t>
        </is>
      </c>
      <c r="H5443" t="inlineStr">
        <is>
          <t>09 KG</t>
        </is>
      </c>
      <c r="I5443" t="n">
        <v>2028</v>
      </c>
      <c r="J5443" t="n">
        <v>2018</v>
      </c>
      <c r="K5443" t="inlineStr">
        <is>
          <t>AGOSTO 2026</t>
        </is>
      </c>
      <c r="L5443" t="inlineStr">
        <is>
          <t>AGOSTO 2027</t>
        </is>
      </c>
      <c r="M5443" t="inlineStr">
        <is>
          <t>PQS TIPO ABC AL 75%</t>
        </is>
      </c>
      <c r="N5443" t="inlineStr">
        <is>
          <t>000104</t>
        </is>
      </c>
      <c r="O5443" t="inlineStr">
        <is>
          <t>R</t>
        </is>
      </c>
      <c r="P5443">
        <f>TRIM(N5443)</f>
        <v/>
      </c>
    </row>
    <row r="5444">
      <c r="A5444" t="inlineStr">
        <is>
          <t>CO-002879</t>
        </is>
      </c>
      <c r="B5444" t="inlineStr">
        <is>
          <t>AMERICA MONTALVO</t>
        </is>
      </c>
      <c r="D5444" t="inlineStr">
        <is>
          <t>MERCADO ALBORADA -Pst. 03 - Comida</t>
        </is>
      </c>
      <c r="E5444" t="inlineStr">
        <is>
          <t>Lima, 05 de Agosto del 2026</t>
        </is>
      </c>
      <c r="F5444" t="inlineStr">
        <is>
          <t>la Recarga y mantenimiento</t>
        </is>
      </c>
      <c r="G5444" t="inlineStr">
        <is>
          <t>01</t>
        </is>
      </c>
      <c r="H5444" t="inlineStr">
        <is>
          <t>2.5 GLS</t>
        </is>
      </c>
      <c r="I5444" t="n">
        <v>2028</v>
      </c>
      <c r="J5444" t="n">
        <v>2023</v>
      </c>
      <c r="K5444" t="inlineStr">
        <is>
          <t>AGOSTO 2026</t>
        </is>
      </c>
      <c r="L5444" t="inlineStr">
        <is>
          <t>AGOSTO 2027</t>
        </is>
      </c>
      <c r="M5444" t="inlineStr">
        <is>
          <t>ACETATO TIPO K</t>
        </is>
      </c>
      <c r="N5444" t="inlineStr">
        <is>
          <t>000318</t>
        </is>
      </c>
      <c r="O5444" t="inlineStr">
        <is>
          <t>R</t>
        </is>
      </c>
      <c r="P5444">
        <f>TRIM(N5444)</f>
        <v/>
      </c>
    </row>
    <row r="5445">
      <c r="A5445" t="inlineStr">
        <is>
          <t>CO-002880</t>
        </is>
      </c>
      <c r="B5445" t="inlineStr">
        <is>
          <t>PILAR SANCHEZ</t>
        </is>
      </c>
      <c r="D5445" t="inlineStr">
        <is>
          <t>MERCADO ALBORADA -Pst. 12 - Comida</t>
        </is>
      </c>
      <c r="E5445" t="inlineStr">
        <is>
          <t>Lima, 05 de Agosto del 2026</t>
        </is>
      </c>
      <c r="F5445" t="inlineStr">
        <is>
          <t>la Recarga y mantenimiento</t>
        </is>
      </c>
      <c r="G5445" t="inlineStr">
        <is>
          <t>01</t>
        </is>
      </c>
      <c r="H5445" t="inlineStr">
        <is>
          <t>2.5 GLS</t>
        </is>
      </c>
      <c r="I5445" t="n">
        <v>2028</v>
      </c>
      <c r="J5445" t="n">
        <v>2023</v>
      </c>
      <c r="K5445" t="inlineStr">
        <is>
          <t>AGOSTO 2026</t>
        </is>
      </c>
      <c r="L5445" t="inlineStr">
        <is>
          <t>AGOSTO 2027</t>
        </is>
      </c>
      <c r="M5445" t="inlineStr">
        <is>
          <t>ACETATO TIPO K</t>
        </is>
      </c>
      <c r="N5445" t="inlineStr">
        <is>
          <t>000427</t>
        </is>
      </c>
      <c r="O5445" t="inlineStr">
        <is>
          <t>R</t>
        </is>
      </c>
      <c r="P5445">
        <f>TRIM(N5445)</f>
        <v/>
      </c>
    </row>
    <row r="5446">
      <c r="A5446" t="inlineStr">
        <is>
          <t>CO-002881</t>
        </is>
      </c>
      <c r="B5446" t="inlineStr">
        <is>
          <t>NORIS DOMINGUEZ</t>
        </is>
      </c>
      <c r="D5446" t="inlineStr">
        <is>
          <t>MERCADO ALBORADA -Pst. 07</t>
        </is>
      </c>
      <c r="E5446" t="inlineStr">
        <is>
          <t>Lima, 05 de Agosto del 2026</t>
        </is>
      </c>
      <c r="F5446" t="inlineStr">
        <is>
          <t>la Recarga y mantenimiento</t>
        </is>
      </c>
      <c r="G5446" t="inlineStr">
        <is>
          <t>01</t>
        </is>
      </c>
      <c r="H5446" t="inlineStr">
        <is>
          <t>06 KG</t>
        </is>
      </c>
      <c r="I5446" t="n">
        <v>2028</v>
      </c>
      <c r="J5446" t="n">
        <v>2023</v>
      </c>
      <c r="K5446" t="inlineStr">
        <is>
          <t>AGOSTO 2026</t>
        </is>
      </c>
      <c r="L5446" t="inlineStr">
        <is>
          <t>AGOSTO 2027</t>
        </is>
      </c>
      <c r="M5446" t="inlineStr">
        <is>
          <t>PQS TIPO ABC AL 75%</t>
        </is>
      </c>
      <c r="N5446" t="inlineStr">
        <is>
          <t>002261</t>
        </is>
      </c>
      <c r="O5446" t="inlineStr">
        <is>
          <t>R</t>
        </is>
      </c>
      <c r="P5446">
        <f>TRIM(N5446)</f>
        <v/>
      </c>
    </row>
    <row r="5447">
      <c r="A5447" t="inlineStr">
        <is>
          <t>CO-002882</t>
        </is>
      </c>
      <c r="B5447" t="inlineStr">
        <is>
          <t>NORIS DOMINGUEZ</t>
        </is>
      </c>
      <c r="D5447" t="inlineStr">
        <is>
          <t>MERCADO ALBORADA -Pst. 06</t>
        </is>
      </c>
      <c r="E5447" t="inlineStr">
        <is>
          <t>Lima, 05 de Agosto del 2026</t>
        </is>
      </c>
      <c r="F5447" t="inlineStr">
        <is>
          <t>la Recarga y mantenimiento</t>
        </is>
      </c>
      <c r="G5447" t="inlineStr">
        <is>
          <t>01</t>
        </is>
      </c>
      <c r="H5447" t="inlineStr">
        <is>
          <t>06 KG</t>
        </is>
      </c>
      <c r="I5447" t="n">
        <v>2028</v>
      </c>
      <c r="J5447" t="inlineStr">
        <is>
          <t>2023</t>
        </is>
      </c>
      <c r="K5447" t="inlineStr">
        <is>
          <t>AGOSTO 2026</t>
        </is>
      </c>
      <c r="L5447" t="inlineStr">
        <is>
          <t>AGOSTO 2027</t>
        </is>
      </c>
      <c r="M5447" t="inlineStr">
        <is>
          <t>PQS TIPO ABC AL 75%</t>
        </is>
      </c>
      <c r="N5447" t="inlineStr">
        <is>
          <t>002073</t>
        </is>
      </c>
      <c r="O5447" t="inlineStr">
        <is>
          <t>R</t>
        </is>
      </c>
      <c r="P5447">
        <f>TRIM(N5447)</f>
        <v/>
      </c>
    </row>
    <row r="5448">
      <c r="A5448" t="inlineStr">
        <is>
          <t>CO-002883</t>
        </is>
      </c>
      <c r="B5448" t="inlineStr">
        <is>
          <t>HERCILIA</t>
        </is>
      </c>
      <c r="D5448" t="inlineStr">
        <is>
          <t>MERCADO ALBORADA Pst. 04 - Ropa</t>
        </is>
      </c>
      <c r="E5448" t="inlineStr">
        <is>
          <t>Lima, 05 de Agosto del 2026</t>
        </is>
      </c>
      <c r="F5448" t="inlineStr">
        <is>
          <t>la Recarga y mantenimiento</t>
        </is>
      </c>
      <c r="G5448" t="inlineStr">
        <is>
          <t>01</t>
        </is>
      </c>
      <c r="H5448" t="inlineStr">
        <is>
          <t>06 KG</t>
        </is>
      </c>
      <c r="I5448" t="n">
        <v>2029</v>
      </c>
      <c r="J5448" t="n">
        <v>2015</v>
      </c>
      <c r="K5448" t="inlineStr">
        <is>
          <t>AGOSTO 2026</t>
        </is>
      </c>
      <c r="L5448" t="inlineStr">
        <is>
          <t>AGOSTO 2027</t>
        </is>
      </c>
      <c r="M5448" t="inlineStr">
        <is>
          <t>PQS TIPO ABC AL 75%</t>
        </is>
      </c>
      <c r="N5448" t="inlineStr">
        <is>
          <t>001978</t>
        </is>
      </c>
      <c r="O5448" t="inlineStr">
        <is>
          <t>R</t>
        </is>
      </c>
      <c r="P5448">
        <f>TRIM(N5448)</f>
        <v/>
      </c>
    </row>
    <row r="5449">
      <c r="A5449" t="inlineStr">
        <is>
          <t>CO-002884</t>
        </is>
      </c>
      <c r="B5449" t="inlineStr">
        <is>
          <t>VIOLETA ROCCA</t>
        </is>
      </c>
      <c r="D5449" t="inlineStr">
        <is>
          <t>MERCADO LA ALBORADA -Pst. 02</t>
        </is>
      </c>
      <c r="E5449" t="inlineStr">
        <is>
          <t>Lima, 05 de Agosto del 2026</t>
        </is>
      </c>
      <c r="F5449" t="inlineStr">
        <is>
          <t>la Recarga y mantenimiento</t>
        </is>
      </c>
      <c r="G5449" t="inlineStr">
        <is>
          <t>01</t>
        </is>
      </c>
      <c r="H5449" t="inlineStr">
        <is>
          <t>04 KG</t>
        </is>
      </c>
      <c r="I5449" t="n">
        <v>2029</v>
      </c>
      <c r="J5449" t="inlineStr">
        <is>
          <t>2024</t>
        </is>
      </c>
      <c r="K5449" t="inlineStr">
        <is>
          <t>AGOSTO 2026</t>
        </is>
      </c>
      <c r="L5449" t="inlineStr">
        <is>
          <t>AGOSTO 2027</t>
        </is>
      </c>
      <c r="M5449" t="inlineStr">
        <is>
          <t>PQS TIPO ABC AL 75%</t>
        </is>
      </c>
      <c r="N5449" t="inlineStr">
        <is>
          <t>000854</t>
        </is>
      </c>
      <c r="O5449" t="inlineStr">
        <is>
          <t>R</t>
        </is>
      </c>
      <c r="P5449">
        <f>TRIM(N5449)</f>
        <v/>
      </c>
    </row>
    <row r="5450">
      <c r="A5450" t="inlineStr">
        <is>
          <t>CO-002885</t>
        </is>
      </c>
      <c r="B5450" t="inlineStr">
        <is>
          <t>SABINA SILVA</t>
        </is>
      </c>
      <c r="D5450" t="inlineStr">
        <is>
          <t>MERCADO LA ALBORADA -Pst. 03</t>
        </is>
      </c>
      <c r="E5450" t="inlineStr">
        <is>
          <t>Lima, 05 de Agosto del 2026</t>
        </is>
      </c>
      <c r="F5450" t="inlineStr">
        <is>
          <t>la Recarga y mantenimiento</t>
        </is>
      </c>
      <c r="G5450" t="inlineStr">
        <is>
          <t>01</t>
        </is>
      </c>
      <c r="H5450" t="inlineStr">
        <is>
          <t>04 KG</t>
        </is>
      </c>
      <c r="I5450" t="n">
        <v>2028</v>
      </c>
      <c r="J5450" t="inlineStr">
        <is>
          <t>2023</t>
        </is>
      </c>
      <c r="K5450" t="inlineStr">
        <is>
          <t>AGOSTO 2026</t>
        </is>
      </c>
      <c r="L5450" t="inlineStr">
        <is>
          <t>AGOSTO 2027</t>
        </is>
      </c>
      <c r="M5450" t="inlineStr">
        <is>
          <t>PQS TIPO ABC AL 75%</t>
        </is>
      </c>
      <c r="N5450" t="inlineStr">
        <is>
          <t>000879</t>
        </is>
      </c>
      <c r="O5450" t="inlineStr">
        <is>
          <t>R</t>
        </is>
      </c>
      <c r="P5450">
        <f>TRIM(N5450)</f>
        <v/>
      </c>
    </row>
    <row r="5451">
      <c r="A5451" t="inlineStr">
        <is>
          <t>CO-002886</t>
        </is>
      </c>
      <c r="B5451" t="inlineStr">
        <is>
          <t>JAIME SANTOS</t>
        </is>
      </c>
      <c r="D5451" t="inlineStr">
        <is>
          <t>MERCADO LA ALBORADA -Pst. 04</t>
        </is>
      </c>
      <c r="E5451" t="inlineStr">
        <is>
          <t>Lima, 05 de Agosto del 2026</t>
        </is>
      </c>
      <c r="F5451" t="inlineStr">
        <is>
          <t>la Recarga y mantenimiento</t>
        </is>
      </c>
      <c r="G5451" t="inlineStr">
        <is>
          <t>01</t>
        </is>
      </c>
      <c r="H5451" t="inlineStr">
        <is>
          <t>06 KG</t>
        </is>
      </c>
      <c r="I5451" t="inlineStr">
        <is>
          <t xml:space="preserve">VIGENTE </t>
        </is>
      </c>
      <c r="J5451" t="inlineStr">
        <is>
          <t>2001</t>
        </is>
      </c>
      <c r="K5451" t="inlineStr">
        <is>
          <t>AGOSTO 2026</t>
        </is>
      </c>
      <c r="L5451" t="inlineStr">
        <is>
          <t>AGOSTO 2027</t>
        </is>
      </c>
      <c r="M5451" t="inlineStr">
        <is>
          <t>PQS TIPO ABC AL 75%</t>
        </is>
      </c>
      <c r="N5451" t="inlineStr">
        <is>
          <t>000035</t>
        </is>
      </c>
      <c r="O5451" t="inlineStr">
        <is>
          <t>R</t>
        </is>
      </c>
      <c r="P5451">
        <f>TRIM(N5451)</f>
        <v/>
      </c>
    </row>
    <row r="5452">
      <c r="A5452" t="inlineStr">
        <is>
          <t>CO-002887</t>
        </is>
      </c>
      <c r="B5452" t="inlineStr">
        <is>
          <t>JAIME SANTOS</t>
        </is>
      </c>
      <c r="D5452" t="inlineStr">
        <is>
          <t>MERCADO LA ALBORADA -Pst. 05</t>
        </is>
      </c>
      <c r="E5452" t="inlineStr">
        <is>
          <t>Lima, 05 de Agosto del 2026</t>
        </is>
      </c>
      <c r="F5452" t="inlineStr">
        <is>
          <t>la Recarga y mantenimiento</t>
        </is>
      </c>
      <c r="G5452" t="inlineStr">
        <is>
          <t>01</t>
        </is>
      </c>
      <c r="H5452" t="inlineStr">
        <is>
          <t>04 KG</t>
        </is>
      </c>
      <c r="I5452" t="n">
        <v>2028</v>
      </c>
      <c r="J5452" t="inlineStr">
        <is>
          <t>2023</t>
        </is>
      </c>
      <c r="K5452" t="inlineStr">
        <is>
          <t>AGOSTO 2026</t>
        </is>
      </c>
      <c r="L5452" t="inlineStr">
        <is>
          <t>AGOSTO 2027</t>
        </is>
      </c>
      <c r="M5452" t="inlineStr">
        <is>
          <t>PQS TIPO ABC AL 75%</t>
        </is>
      </c>
      <c r="N5452" t="inlineStr">
        <is>
          <t>000905</t>
        </is>
      </c>
      <c r="O5452" t="inlineStr">
        <is>
          <t>R</t>
        </is>
      </c>
      <c r="P5452">
        <f>TRIM(N5452)</f>
        <v/>
      </c>
    </row>
    <row r="5453">
      <c r="A5453" t="inlineStr">
        <is>
          <t>CO-002888</t>
        </is>
      </c>
      <c r="B5453" t="inlineStr">
        <is>
          <t xml:space="preserve">IRMA RIOS </t>
        </is>
      </c>
      <c r="D5453" t="inlineStr">
        <is>
          <t>MERCADO LA ALBORADA -Pst. 36</t>
        </is>
      </c>
      <c r="E5453" t="inlineStr">
        <is>
          <t>Lima, 05 de Agosto del 2026</t>
        </is>
      </c>
      <c r="F5453" t="inlineStr">
        <is>
          <t>la Recarga y mantenimiento</t>
        </is>
      </c>
      <c r="G5453" t="inlineStr">
        <is>
          <t>01</t>
        </is>
      </c>
      <c r="H5453" t="inlineStr">
        <is>
          <t>04 KG</t>
        </is>
      </c>
      <c r="I5453" t="n">
        <v>2030</v>
      </c>
      <c r="J5453" t="inlineStr">
        <is>
          <t>2025</t>
        </is>
      </c>
      <c r="K5453" t="inlineStr">
        <is>
          <t>AGOSTO 2026</t>
        </is>
      </c>
      <c r="L5453" t="inlineStr">
        <is>
          <t>AGOSTO 2027</t>
        </is>
      </c>
      <c r="M5453" t="inlineStr">
        <is>
          <t>PQS TIPO ABC AL 75%</t>
        </is>
      </c>
      <c r="N5453" t="inlineStr">
        <is>
          <t>000342</t>
        </is>
      </c>
      <c r="O5453" t="inlineStr">
        <is>
          <t>R</t>
        </is>
      </c>
      <c r="P5453">
        <f>TRIM(N5453)</f>
        <v/>
      </c>
    </row>
    <row r="5454">
      <c r="A5454" t="inlineStr">
        <is>
          <t>CO-002889</t>
        </is>
      </c>
      <c r="B5454" t="inlineStr">
        <is>
          <t>DAMASO FELIX SANTANA ZORRILLA</t>
        </is>
      </c>
      <c r="C5454" t="inlineStr">
        <is>
          <t>09475746</t>
        </is>
      </c>
      <c r="D5454" t="inlineStr">
        <is>
          <t>PLACA: AWM878</t>
        </is>
      </c>
      <c r="E5454" t="inlineStr">
        <is>
          <t>Lima, 07 de Agosto del 2026</t>
        </is>
      </c>
      <c r="F5454" t="inlineStr">
        <is>
          <t>la Recarga y mantenimiento</t>
        </is>
      </c>
      <c r="G5454" t="inlineStr">
        <is>
          <t>01</t>
        </is>
      </c>
      <c r="H5454" t="inlineStr">
        <is>
          <t>06 KG</t>
        </is>
      </c>
      <c r="I5454" t="inlineStr">
        <is>
          <t xml:space="preserve">VIGENTE </t>
        </is>
      </c>
      <c r="J5454" t="n">
        <v>2006</v>
      </c>
      <c r="K5454" t="inlineStr">
        <is>
          <t>AGOSTO 2026</t>
        </is>
      </c>
      <c r="L5454" t="inlineStr">
        <is>
          <t>AGOSTO 2027</t>
        </is>
      </c>
      <c r="M5454" t="inlineStr">
        <is>
          <t>PQS TIPO ABC AL 75%</t>
        </is>
      </c>
      <c r="N5454" t="inlineStr">
        <is>
          <t>000488</t>
        </is>
      </c>
      <c r="O5454" t="inlineStr">
        <is>
          <t>R</t>
        </is>
      </c>
      <c r="P5454">
        <f>TRIM(N5454)</f>
        <v/>
      </c>
    </row>
    <row r="5455">
      <c r="A5455" t="inlineStr">
        <is>
          <t>CO-002890</t>
        </is>
      </c>
      <c r="B5455" t="inlineStr">
        <is>
          <t>ASOCIACION PROPIETARIOS</t>
        </is>
      </c>
      <c r="C5455" t="inlineStr">
        <is>
          <t>20492406512</t>
        </is>
      </c>
      <c r="D5455" t="inlineStr">
        <is>
          <t>MERCADO ALBORADA - ADMINISTRACION</t>
        </is>
      </c>
      <c r="E5455" t="inlineStr">
        <is>
          <t>Lima, 05 de Agosto del 2026</t>
        </is>
      </c>
      <c r="F5455" t="inlineStr">
        <is>
          <t>la Recarga y mantenimiento</t>
        </is>
      </c>
      <c r="G5455" t="inlineStr">
        <is>
          <t>01</t>
        </is>
      </c>
      <c r="H5455" t="inlineStr">
        <is>
          <t>06 KG</t>
        </is>
      </c>
      <c r="I5455" t="n">
        <v>2028</v>
      </c>
      <c r="J5455" t="n">
        <v>2014</v>
      </c>
      <c r="K5455" t="inlineStr">
        <is>
          <t>AGOSTO 2026</t>
        </is>
      </c>
      <c r="L5455" t="inlineStr">
        <is>
          <t>AGOSTO 2027</t>
        </is>
      </c>
      <c r="M5455" t="inlineStr">
        <is>
          <t>PQS TIPO ABC AL 75%</t>
        </is>
      </c>
      <c r="N5455" t="inlineStr">
        <is>
          <t>000389</t>
        </is>
      </c>
      <c r="O5455" t="inlineStr">
        <is>
          <t>R</t>
        </is>
      </c>
      <c r="P5455">
        <f>TRIM(N5455)</f>
        <v/>
      </c>
    </row>
    <row r="5456">
      <c r="A5456" t="inlineStr">
        <is>
          <t>CO-002890</t>
        </is>
      </c>
      <c r="B5456" t="inlineStr">
        <is>
          <t>ASOCIACION PROPIETARIOS</t>
        </is>
      </c>
      <c r="C5456" t="inlineStr">
        <is>
          <t>20492406512</t>
        </is>
      </c>
      <c r="D5456" t="inlineStr">
        <is>
          <t>MERCADO ALBORADA - ADMINISTRACION</t>
        </is>
      </c>
      <c r="E5456" t="inlineStr">
        <is>
          <t>Lima, 05 de Agosto del 2026</t>
        </is>
      </c>
      <c r="F5456" t="inlineStr">
        <is>
          <t>la Recarga y mantenimiento</t>
        </is>
      </c>
      <c r="G5456" t="inlineStr">
        <is>
          <t>2</t>
        </is>
      </c>
      <c r="H5456" t="inlineStr">
        <is>
          <t>06 KG</t>
        </is>
      </c>
      <c r="I5456" t="n">
        <v>2031</v>
      </c>
      <c r="J5456" t="n">
        <v>2017</v>
      </c>
      <c r="K5456" t="inlineStr">
        <is>
          <t>AGOSTO 2026</t>
        </is>
      </c>
      <c r="L5456" t="inlineStr">
        <is>
          <t>AGOSTO 2027</t>
        </is>
      </c>
      <c r="M5456" t="inlineStr">
        <is>
          <t>PQS TIPO ABC AL 75%</t>
        </is>
      </c>
      <c r="N5456" t="inlineStr">
        <is>
          <t>000702</t>
        </is>
      </c>
      <c r="O5456" t="inlineStr">
        <is>
          <t>R</t>
        </is>
      </c>
      <c r="P5456">
        <f>TRIM(N5456)</f>
        <v/>
      </c>
    </row>
    <row r="5457">
      <c r="A5457" t="inlineStr">
        <is>
          <t>CO-002890</t>
        </is>
      </c>
      <c r="B5457" t="inlineStr">
        <is>
          <t>ASOCIACION PROPIETARIOS</t>
        </is>
      </c>
      <c r="C5457" t="inlineStr">
        <is>
          <t>20492406512</t>
        </is>
      </c>
      <c r="D5457" t="inlineStr">
        <is>
          <t>MERCADO ALBORADA - ADMINISTRACION</t>
        </is>
      </c>
      <c r="E5457" t="inlineStr">
        <is>
          <t>Lima, 05 de Agosto del 2026</t>
        </is>
      </c>
      <c r="F5457" t="inlineStr">
        <is>
          <t>la Recarga y mantenimiento</t>
        </is>
      </c>
      <c r="G5457" t="inlineStr">
        <is>
          <t>3</t>
        </is>
      </c>
      <c r="H5457" t="inlineStr">
        <is>
          <t>06 KG</t>
        </is>
      </c>
      <c r="I5457" t="n">
        <v>2028</v>
      </c>
      <c r="J5457" t="n">
        <v>2014</v>
      </c>
      <c r="K5457" t="inlineStr">
        <is>
          <t>AGOSTO 2026</t>
        </is>
      </c>
      <c r="L5457" t="inlineStr">
        <is>
          <t>AGOSTO 2027</t>
        </is>
      </c>
      <c r="M5457" t="inlineStr">
        <is>
          <t>PQS TIPO ABC AL 75%</t>
        </is>
      </c>
      <c r="N5457" t="inlineStr">
        <is>
          <t>000478</t>
        </is>
      </c>
      <c r="O5457" t="inlineStr">
        <is>
          <t>R</t>
        </is>
      </c>
      <c r="P5457">
        <f>TRIM(N5457)</f>
        <v/>
      </c>
    </row>
    <row r="5458">
      <c r="A5458" t="inlineStr">
        <is>
          <t>CO-002890</t>
        </is>
      </c>
      <c r="B5458" t="inlineStr">
        <is>
          <t>ASOCIACION PROPIETARIOS</t>
        </is>
      </c>
      <c r="C5458" t="inlineStr">
        <is>
          <t>20492406512</t>
        </is>
      </c>
      <c r="D5458" t="inlineStr">
        <is>
          <t>MERCADO ALBORADA - ADMINISTRACION</t>
        </is>
      </c>
      <c r="E5458" t="inlineStr">
        <is>
          <t>Lima, 05 de Agosto del 2026</t>
        </is>
      </c>
      <c r="F5458" t="inlineStr">
        <is>
          <t>la Recarga y mantenimiento</t>
        </is>
      </c>
      <c r="G5458" t="inlineStr">
        <is>
          <t>4</t>
        </is>
      </c>
      <c r="H5458" t="inlineStr">
        <is>
          <t>06 KG</t>
        </is>
      </c>
      <c r="I5458" t="n">
        <v>2028</v>
      </c>
      <c r="J5458" t="n">
        <v>2014</v>
      </c>
      <c r="K5458" t="inlineStr">
        <is>
          <t>AGOSTO 2026</t>
        </is>
      </c>
      <c r="L5458" t="inlineStr">
        <is>
          <t>AGOSTO 2027</t>
        </is>
      </c>
      <c r="M5458" t="inlineStr">
        <is>
          <t>PQS TIPO ABC AL 75%</t>
        </is>
      </c>
      <c r="N5458" t="inlineStr">
        <is>
          <t>000151</t>
        </is>
      </c>
      <c r="O5458" t="inlineStr">
        <is>
          <t>R</t>
        </is>
      </c>
      <c r="P5458">
        <f>TRIM(N5458)</f>
        <v/>
      </c>
    </row>
    <row r="5459">
      <c r="A5459" t="inlineStr">
        <is>
          <t>CO-002890</t>
        </is>
      </c>
      <c r="B5459" t="inlineStr">
        <is>
          <t>ASOCIACION PROPIETARIOS</t>
        </is>
      </c>
      <c r="C5459" t="inlineStr">
        <is>
          <t>20492406512</t>
        </is>
      </c>
      <c r="D5459" t="inlineStr">
        <is>
          <t>MERCADO ALBORADA - ADMINISTRACION</t>
        </is>
      </c>
      <c r="E5459" t="inlineStr">
        <is>
          <t>Lima, 05 de Agosto del 2026</t>
        </is>
      </c>
      <c r="F5459" t="inlineStr">
        <is>
          <t>la Recarga y mantenimiento</t>
        </is>
      </c>
      <c r="G5459" t="inlineStr">
        <is>
          <t>5</t>
        </is>
      </c>
      <c r="H5459" t="inlineStr">
        <is>
          <t>06 KG</t>
        </is>
      </c>
      <c r="I5459" t="n">
        <v>2028</v>
      </c>
      <c r="J5459" t="n">
        <v>2023</v>
      </c>
      <c r="K5459" t="inlineStr">
        <is>
          <t>AGOSTO 2026</t>
        </is>
      </c>
      <c r="L5459" t="inlineStr">
        <is>
          <t>AGOSTO 2027</t>
        </is>
      </c>
      <c r="M5459" t="inlineStr">
        <is>
          <t>PQS TIPO ABC AL 75%</t>
        </is>
      </c>
      <c r="N5459" t="inlineStr">
        <is>
          <t>002697</t>
        </is>
      </c>
      <c r="O5459" t="inlineStr">
        <is>
          <t>R</t>
        </is>
      </c>
      <c r="P5459">
        <f>TRIM(N5459)</f>
        <v/>
      </c>
    </row>
    <row r="5460">
      <c r="A5460" t="inlineStr">
        <is>
          <t>CO-002890</t>
        </is>
      </c>
      <c r="B5460" t="inlineStr">
        <is>
          <t>ASOCIACION PROPIETARIOS</t>
        </is>
      </c>
      <c r="C5460" t="inlineStr">
        <is>
          <t>20492406512</t>
        </is>
      </c>
      <c r="D5460" t="inlineStr">
        <is>
          <t>MERCADO ALBORADA - ADMINISTRACION</t>
        </is>
      </c>
      <c r="E5460" t="inlineStr">
        <is>
          <t>Lima, 05 de Agosto del 2026</t>
        </is>
      </c>
      <c r="F5460" t="inlineStr">
        <is>
          <t>la Recarga y mantenimiento</t>
        </is>
      </c>
      <c r="G5460" t="inlineStr">
        <is>
          <t>6</t>
        </is>
      </c>
      <c r="H5460" t="inlineStr">
        <is>
          <t>06 KG</t>
        </is>
      </c>
      <c r="I5460" t="n">
        <v>2031</v>
      </c>
      <c r="J5460" t="n">
        <v>2017</v>
      </c>
      <c r="K5460" t="inlineStr">
        <is>
          <t>AGOSTO 2026</t>
        </is>
      </c>
      <c r="L5460" t="inlineStr">
        <is>
          <t>AGOSTO 2027</t>
        </is>
      </c>
      <c r="M5460" t="inlineStr">
        <is>
          <t>PQS TIPO ABC AL 75%</t>
        </is>
      </c>
      <c r="N5460" t="inlineStr">
        <is>
          <t>000369</t>
        </is>
      </c>
      <c r="O5460" t="inlineStr">
        <is>
          <t>R</t>
        </is>
      </c>
      <c r="P5460">
        <f>TRIM(N5460)</f>
        <v/>
      </c>
    </row>
    <row r="5461">
      <c r="A5461" t="inlineStr">
        <is>
          <t>CO-002891</t>
        </is>
      </c>
      <c r="B5461" t="inlineStr">
        <is>
          <t>JUANA CHALCO</t>
        </is>
      </c>
      <c r="D5461" t="inlineStr">
        <is>
          <t xml:space="preserve">MERCADO ALBORADA </t>
        </is>
      </c>
      <c r="E5461" t="inlineStr">
        <is>
          <t>Lima, 05 de Agosto del 2026</t>
        </is>
      </c>
      <c r="F5461" t="inlineStr">
        <is>
          <t>la Recarga y mantenimiento</t>
        </is>
      </c>
      <c r="G5461" t="inlineStr">
        <is>
          <t>01</t>
        </is>
      </c>
      <c r="H5461" t="inlineStr">
        <is>
          <t>04 KG</t>
        </is>
      </c>
      <c r="I5461" t="n">
        <v>2029</v>
      </c>
      <c r="J5461" t="n">
        <v>2024</v>
      </c>
      <c r="K5461" t="inlineStr">
        <is>
          <t>AGOSTO 2026</t>
        </is>
      </c>
      <c r="L5461" t="inlineStr">
        <is>
          <t>AGOSTO 2027</t>
        </is>
      </c>
      <c r="M5461" t="inlineStr">
        <is>
          <t>PQS TIPO ABC AL 75%</t>
        </is>
      </c>
      <c r="N5461" t="inlineStr">
        <is>
          <t>000854</t>
        </is>
      </c>
      <c r="O5461" t="inlineStr">
        <is>
          <t>R</t>
        </is>
      </c>
      <c r="P5461">
        <f>TRIM(N5461)</f>
        <v/>
      </c>
    </row>
    <row r="5462">
      <c r="A5462" t="inlineStr">
        <is>
          <t>CO-002892</t>
        </is>
      </c>
      <c r="B5462" t="inlineStr">
        <is>
          <t>NANCY CARIN</t>
        </is>
      </c>
      <c r="D5462" t="inlineStr">
        <is>
          <t xml:space="preserve">MERCADO ALBORADA </t>
        </is>
      </c>
      <c r="E5462" t="inlineStr">
        <is>
          <t>Lima, 05 de Agosto del 2026</t>
        </is>
      </c>
      <c r="F5462" t="inlineStr">
        <is>
          <t>la Recarga y mantenimiento</t>
        </is>
      </c>
      <c r="G5462" t="inlineStr">
        <is>
          <t>01</t>
        </is>
      </c>
      <c r="H5462" t="inlineStr">
        <is>
          <t>06 KG</t>
        </is>
      </c>
      <c r="I5462" t="inlineStr">
        <is>
          <t>VIGENTE</t>
        </is>
      </c>
      <c r="J5462" t="inlineStr">
        <is>
          <t>S/N</t>
        </is>
      </c>
      <c r="K5462" t="inlineStr">
        <is>
          <t>AGOSTO 2026</t>
        </is>
      </c>
      <c r="L5462" t="inlineStr">
        <is>
          <t>AGOSTO 2027</t>
        </is>
      </c>
      <c r="M5462" t="inlineStr">
        <is>
          <t>PQS TIPO ABC AL 75%</t>
        </is>
      </c>
      <c r="N5462" t="inlineStr">
        <is>
          <t>147793</t>
        </is>
      </c>
      <c r="O5462" t="inlineStr">
        <is>
          <t>R</t>
        </is>
      </c>
      <c r="P5462">
        <f>TRIM(N5462)</f>
        <v/>
      </c>
    </row>
    <row r="5463">
      <c r="A5463" t="inlineStr">
        <is>
          <t>CO-002893</t>
        </is>
      </c>
      <c r="B5463" t="inlineStr">
        <is>
          <t>NANCY CALLE</t>
        </is>
      </c>
      <c r="D5463" t="inlineStr">
        <is>
          <t xml:space="preserve">MERCADO ALBORADA </t>
        </is>
      </c>
      <c r="E5463" t="inlineStr">
        <is>
          <t>Lima, 05 de Agosto del 2026</t>
        </is>
      </c>
      <c r="F5463" t="inlineStr">
        <is>
          <t>la Recarga y mantenimiento</t>
        </is>
      </c>
      <c r="G5463" t="inlineStr">
        <is>
          <t>01</t>
        </is>
      </c>
      <c r="H5463" t="inlineStr">
        <is>
          <t>04 KG</t>
        </is>
      </c>
      <c r="I5463" t="n">
        <v>2029</v>
      </c>
      <c r="J5463" t="n">
        <v>2024</v>
      </c>
      <c r="K5463" t="inlineStr">
        <is>
          <t>AGOSTO 2026</t>
        </is>
      </c>
      <c r="L5463" t="inlineStr">
        <is>
          <t>AGOSTO 2027</t>
        </is>
      </c>
      <c r="M5463" t="inlineStr">
        <is>
          <t>PQS TIPO ABC AL 75%</t>
        </is>
      </c>
      <c r="N5463" t="inlineStr">
        <is>
          <t>000853</t>
        </is>
      </c>
      <c r="O5463" t="inlineStr">
        <is>
          <t>R</t>
        </is>
      </c>
      <c r="P5463">
        <f>TRIM(N5463)</f>
        <v/>
      </c>
    </row>
    <row r="5464">
      <c r="A5464" t="inlineStr">
        <is>
          <t>CO-002894</t>
        </is>
      </c>
      <c r="B5464" t="inlineStr">
        <is>
          <t>July ambulodiga</t>
        </is>
      </c>
      <c r="D5464" t="inlineStr">
        <is>
          <t xml:space="preserve">MERCADO ALBORADA Puesto Nr- 3 </t>
        </is>
      </c>
      <c r="E5464" t="inlineStr">
        <is>
          <t>Lima, 05 de Agosto del 2026</t>
        </is>
      </c>
      <c r="F5464" t="inlineStr">
        <is>
          <t>la Recarga y mantenimiento</t>
        </is>
      </c>
      <c r="G5464" t="inlineStr">
        <is>
          <t>01</t>
        </is>
      </c>
      <c r="H5464" t="inlineStr">
        <is>
          <t>04 KG</t>
        </is>
      </c>
      <c r="I5464" t="n">
        <v>2030</v>
      </c>
      <c r="J5464" t="n">
        <v>2025</v>
      </c>
      <c r="K5464" t="inlineStr">
        <is>
          <t>AGOSTO 2026</t>
        </is>
      </c>
      <c r="L5464" t="inlineStr">
        <is>
          <t>AGOSTO 2027</t>
        </is>
      </c>
      <c r="M5464" t="inlineStr">
        <is>
          <t>PQS TIPO ABC AL 75%</t>
        </is>
      </c>
      <c r="N5464" t="inlineStr">
        <is>
          <t>001051</t>
        </is>
      </c>
      <c r="O5464" t="inlineStr">
        <is>
          <t>R</t>
        </is>
      </c>
      <c r="P5464">
        <f>TRIM(N5464)</f>
        <v/>
      </c>
    </row>
    <row r="5465">
      <c r="A5465" t="inlineStr">
        <is>
          <t>CO-002895</t>
        </is>
      </c>
      <c r="B5465" t="inlineStr">
        <is>
          <t xml:space="preserve">Doris Rosas </t>
        </is>
      </c>
      <c r="D5465" t="inlineStr">
        <is>
          <t>MERCADO ALBORADA Sector Disfraces 
Puesto- 30</t>
        </is>
      </c>
      <c r="E5465" t="inlineStr">
        <is>
          <t>Lima, 05 de Agosto del 2026</t>
        </is>
      </c>
      <c r="F5465" t="inlineStr">
        <is>
          <t>la Recarga y mantenimiento</t>
        </is>
      </c>
      <c r="G5465" t="inlineStr">
        <is>
          <t>01</t>
        </is>
      </c>
      <c r="H5465" t="inlineStr">
        <is>
          <t>06 KG</t>
        </is>
      </c>
      <c r="I5465" t="n">
        <v>2028</v>
      </c>
      <c r="J5465" t="n">
        <v>2010</v>
      </c>
      <c r="K5465" t="inlineStr">
        <is>
          <t>AGOSTO 2026</t>
        </is>
      </c>
      <c r="L5465" t="inlineStr">
        <is>
          <t>AGOSTO 2027</t>
        </is>
      </c>
      <c r="M5465" t="inlineStr">
        <is>
          <t>PQS TIPO ABC AL 75%</t>
        </is>
      </c>
      <c r="N5465" t="inlineStr">
        <is>
          <t>000016</t>
        </is>
      </c>
      <c r="O5465" t="inlineStr">
        <is>
          <t>R</t>
        </is>
      </c>
      <c r="P5465">
        <f>TRIM(N5465)</f>
        <v/>
      </c>
    </row>
    <row r="5466">
      <c r="A5466" t="inlineStr">
        <is>
          <t>CO-002896</t>
        </is>
      </c>
      <c r="B5466" t="inlineStr">
        <is>
          <t>RADIADORES FORTALEZA S.A.</t>
        </is>
      </c>
      <c r="C5466" t="inlineStr">
        <is>
          <t xml:space="preserve">20101636411 </t>
        </is>
      </c>
      <c r="D5466" t="inlineStr">
        <is>
          <t xml:space="preserve">AV. SEPARADORA INDUSTRIAL NO. 1555, URB. INDUSTRIAL SAN FRANCISCO -ATE </t>
        </is>
      </c>
      <c r="E5466" t="inlineStr">
        <is>
          <t>Lima, 11 de Agosto del 2026</t>
        </is>
      </c>
      <c r="F5466" t="inlineStr">
        <is>
          <t xml:space="preserve">La venta </t>
        </is>
      </c>
      <c r="G5466" t="inlineStr">
        <is>
          <t>01</t>
        </is>
      </c>
      <c r="H5466" t="inlineStr">
        <is>
          <t>10 LBS</t>
        </is>
      </c>
      <c r="I5466" t="n">
        <v>2031</v>
      </c>
      <c r="J5466" t="n">
        <v>2026</v>
      </c>
      <c r="K5466" t="inlineStr">
        <is>
          <t>AGOSTO 2026</t>
        </is>
      </c>
      <c r="L5466" t="inlineStr">
        <is>
          <t>AGOSTO 2027</t>
        </is>
      </c>
      <c r="M5466" t="inlineStr">
        <is>
          <t xml:space="preserve">PQS TIPO ABC AL 90% UL </t>
        </is>
      </c>
      <c r="N5466" t="inlineStr">
        <is>
          <t>28/I41000066</t>
        </is>
      </c>
      <c r="O5466" t="inlineStr">
        <is>
          <t>V</t>
        </is>
      </c>
      <c r="P5466">
        <f>TRIM(N5466)</f>
        <v/>
      </c>
    </row>
    <row r="5467">
      <c r="A5467" t="inlineStr">
        <is>
          <t>CO-002896</t>
        </is>
      </c>
      <c r="B5467" t="inlineStr">
        <is>
          <t>RADIADORES FORTALEZA S.A.</t>
        </is>
      </c>
      <c r="C5467" t="inlineStr">
        <is>
          <t xml:space="preserve">20101636411 </t>
        </is>
      </c>
      <c r="D5467" t="inlineStr">
        <is>
          <t xml:space="preserve">AV. SEPARADORA INDUSTRIAL NO. 1555, URB. INDUSTRIAL SAN FRANCISCO -ATE </t>
        </is>
      </c>
      <c r="E5467" t="inlineStr">
        <is>
          <t>Lima, 11 de Agosto del 2026</t>
        </is>
      </c>
      <c r="F5467" t="inlineStr">
        <is>
          <t xml:space="preserve">La venta </t>
        </is>
      </c>
      <c r="G5467" t="n">
        <v>2</v>
      </c>
      <c r="H5467" t="inlineStr">
        <is>
          <t>10 LBS</t>
        </is>
      </c>
      <c r="I5467" t="n">
        <v>2031</v>
      </c>
      <c r="J5467" t="n">
        <v>2026</v>
      </c>
      <c r="K5467" t="inlineStr">
        <is>
          <t>AGOSTO 2026</t>
        </is>
      </c>
      <c r="L5467" t="inlineStr">
        <is>
          <t>AGOSTO 2027</t>
        </is>
      </c>
      <c r="M5467" t="inlineStr">
        <is>
          <t xml:space="preserve">CO2 TIPO BC </t>
        </is>
      </c>
      <c r="N5467" t="inlineStr">
        <is>
          <t>31/000129</t>
        </is>
      </c>
      <c r="O5467" t="inlineStr">
        <is>
          <t>V</t>
        </is>
      </c>
      <c r="P5467">
        <f>TRIM(N5467)</f>
        <v/>
      </c>
    </row>
    <row r="5468">
      <c r="A5468" t="inlineStr">
        <is>
          <t>CO-002897</t>
        </is>
      </c>
      <c r="B5468" t="inlineStr">
        <is>
          <t>RUTH MORALES</t>
        </is>
      </c>
      <c r="D5468" t="inlineStr">
        <is>
          <t>MERCADO ALBORADA - Pst. 02 - venta de pollo</t>
        </is>
      </c>
      <c r="E5468" t="inlineStr">
        <is>
          <t>Lima, 10 de Agosto del 2026</t>
        </is>
      </c>
      <c r="F5468" t="inlineStr">
        <is>
          <t>la Recarga y mantenimiento</t>
        </is>
      </c>
      <c r="G5468" t="inlineStr">
        <is>
          <t>01</t>
        </is>
      </c>
      <c r="H5468" t="inlineStr">
        <is>
          <t>04 KG</t>
        </is>
      </c>
      <c r="I5468" t="n">
        <v>2031</v>
      </c>
      <c r="J5468" t="n">
        <v>2026</v>
      </c>
      <c r="K5468" t="inlineStr">
        <is>
          <t>AGOSTO 2026</t>
        </is>
      </c>
      <c r="L5468" t="inlineStr">
        <is>
          <t>AGOSTO 2027</t>
        </is>
      </c>
      <c r="M5468" t="inlineStr">
        <is>
          <t>PQS TIPO ABC AL 75%</t>
        </is>
      </c>
      <c r="N5468" t="inlineStr">
        <is>
          <t>000491</t>
        </is>
      </c>
      <c r="O5468" t="inlineStr">
        <is>
          <t>R</t>
        </is>
      </c>
      <c r="P5468">
        <f>TRIM(N5468)</f>
        <v/>
      </c>
    </row>
    <row r="5469">
      <c r="A5469" t="inlineStr">
        <is>
          <t>CO-002898</t>
        </is>
      </c>
      <c r="B5469" t="inlineStr">
        <is>
          <t>VICTOR CHAVAL CAMPOS</t>
        </is>
      </c>
      <c r="D5469" t="inlineStr">
        <is>
          <t>MERCADO ALBORADA -  Psto . 05 - comida</t>
        </is>
      </c>
      <c r="E5469" t="inlineStr">
        <is>
          <t>Lima, 10 de Agosto del 2026</t>
        </is>
      </c>
      <c r="F5469" t="inlineStr">
        <is>
          <t>la Recarga y mantenimiento</t>
        </is>
      </c>
      <c r="G5469" t="inlineStr">
        <is>
          <t>01</t>
        </is>
      </c>
      <c r="H5469" t="inlineStr">
        <is>
          <t>1.5 GLS</t>
        </is>
      </c>
      <c r="I5469" t="n">
        <v>2028</v>
      </c>
      <c r="J5469" t="n">
        <v>2023</v>
      </c>
      <c r="K5469" t="inlineStr">
        <is>
          <t>AGOSTO 2026</t>
        </is>
      </c>
      <c r="L5469" t="inlineStr">
        <is>
          <t>AGOSTO 2027</t>
        </is>
      </c>
      <c r="M5469" t="inlineStr">
        <is>
          <t>ACETATO TIPO K</t>
        </is>
      </c>
      <c r="N5469" t="inlineStr">
        <is>
          <t>000241</t>
        </is>
      </c>
      <c r="O5469" t="inlineStr">
        <is>
          <t>R</t>
        </is>
      </c>
      <c r="P5469">
        <f>TRIM(N5469)</f>
        <v/>
      </c>
    </row>
    <row r="5470">
      <c r="A5470" t="inlineStr">
        <is>
          <t>CO-002899</t>
        </is>
      </c>
      <c r="B5470" t="inlineStr">
        <is>
          <t>DANIEL MIGUEL ULLOA</t>
        </is>
      </c>
      <c r="D5470" t="inlineStr">
        <is>
          <t>MERCADO ALBORADA -  Psto . 02 - Librería Bazar</t>
        </is>
      </c>
      <c r="E5470" t="inlineStr">
        <is>
          <t>Lima, 10 de Agosto del 2026</t>
        </is>
      </c>
      <c r="F5470" t="inlineStr">
        <is>
          <t>la Recarga y mantenimiento</t>
        </is>
      </c>
      <c r="G5470" t="inlineStr">
        <is>
          <t>01</t>
        </is>
      </c>
      <c r="H5470" t="inlineStr">
        <is>
          <t>06 KG</t>
        </is>
      </c>
      <c r="I5470" t="n">
        <v>2028</v>
      </c>
      <c r="J5470" t="n">
        <v>2018</v>
      </c>
      <c r="K5470" t="inlineStr">
        <is>
          <t>AGOSTO 2026</t>
        </is>
      </c>
      <c r="L5470" t="inlineStr">
        <is>
          <t>AGOSTO 2027</t>
        </is>
      </c>
      <c r="M5470" t="inlineStr">
        <is>
          <t>PQS TIPO ABC AL 75%</t>
        </is>
      </c>
      <c r="N5470" t="inlineStr">
        <is>
          <t>023720</t>
        </is>
      </c>
      <c r="O5470" t="inlineStr">
        <is>
          <t>R</t>
        </is>
      </c>
      <c r="P5470">
        <f>TRIM(N5470)</f>
        <v/>
      </c>
    </row>
    <row r="5471">
      <c r="A5471" t="inlineStr">
        <is>
          <t>CO-002900</t>
        </is>
      </c>
      <c r="B5471" t="inlineStr">
        <is>
          <t>MARIA VILLEGAS</t>
        </is>
      </c>
      <c r="D5471" t="inlineStr">
        <is>
          <t>MERCADO ALBORADA -  Psto . 31 - sector jugueria</t>
        </is>
      </c>
      <c r="E5471" t="inlineStr">
        <is>
          <t>Lima, 10 de Agosto del 2026</t>
        </is>
      </c>
      <c r="F5471" t="inlineStr">
        <is>
          <t>la Recarga y mantenimiento</t>
        </is>
      </c>
      <c r="G5471" t="inlineStr">
        <is>
          <t>01</t>
        </is>
      </c>
      <c r="H5471" t="inlineStr">
        <is>
          <t>04 KG</t>
        </is>
      </c>
      <c r="I5471" t="n">
        <v>2030</v>
      </c>
      <c r="J5471" t="n">
        <v>2025</v>
      </c>
      <c r="K5471" t="inlineStr">
        <is>
          <t>AGOSTO 2026</t>
        </is>
      </c>
      <c r="L5471" t="inlineStr">
        <is>
          <t>AGOSTO 2027</t>
        </is>
      </c>
      <c r="M5471" t="inlineStr">
        <is>
          <t>PQS TIPO ABC AL 75%</t>
        </is>
      </c>
      <c r="N5471" t="inlineStr">
        <is>
          <t xml:space="preserve"> 000696</t>
        </is>
      </c>
      <c r="O5471" t="inlineStr">
        <is>
          <t>R</t>
        </is>
      </c>
      <c r="P5471">
        <f>TRIM(N5471)</f>
        <v/>
      </c>
    </row>
    <row r="5472">
      <c r="A5472" t="inlineStr">
        <is>
          <t>CO-002901</t>
        </is>
      </c>
      <c r="B5472" t="inlineStr">
        <is>
          <t>UNIGRAF SAC</t>
        </is>
      </c>
      <c r="C5472" t="n">
        <v>20113367955</v>
      </c>
      <c r="D5472" t="inlineStr">
        <is>
          <t>CALLE LOS CEDROS MZ C1 LT1 CPM HUACHIPA, LURIGANCHO CHOSICA</t>
        </is>
      </c>
      <c r="E5472" t="inlineStr">
        <is>
          <t>Lima, 12 de Agosto del 2026</t>
        </is>
      </c>
      <c r="F5472" t="inlineStr">
        <is>
          <t>la Recarga y mantenimiento</t>
        </is>
      </c>
      <c r="G5472" t="inlineStr">
        <is>
          <t>01</t>
        </is>
      </c>
      <c r="H5472" t="inlineStr">
        <is>
          <t>06 KG</t>
        </is>
      </c>
      <c r="I5472" t="n">
        <v>2028</v>
      </c>
      <c r="J5472" t="n">
        <v>2009</v>
      </c>
      <c r="K5472" t="inlineStr">
        <is>
          <t>AGOSTO 2026</t>
        </is>
      </c>
      <c r="L5472" t="inlineStr">
        <is>
          <t>AGOSTO 2027</t>
        </is>
      </c>
      <c r="M5472" t="inlineStr">
        <is>
          <t>PQS TIPO ABC AL 75%</t>
        </is>
      </c>
      <c r="N5472" t="inlineStr">
        <is>
          <t>002262</t>
        </is>
      </c>
      <c r="O5472" t="inlineStr">
        <is>
          <t>R</t>
        </is>
      </c>
      <c r="P5472">
        <f>TRIM(N5472)</f>
        <v/>
      </c>
    </row>
    <row r="5473">
      <c r="A5473" t="inlineStr">
        <is>
          <t>CO-002902</t>
        </is>
      </c>
      <c r="B5473" t="inlineStr">
        <is>
          <t>RADIADORES FORTALEZA S.A.</t>
        </is>
      </c>
      <c r="C5473" t="inlineStr">
        <is>
          <t xml:space="preserve">20101636411 </t>
        </is>
      </c>
      <c r="D5473" t="inlineStr">
        <is>
          <t xml:space="preserve">AV. SEPARADORA INDUSTRIAL NO. 1555, URB. INDUSTRIAL SAN FRANCISCO -ATE </t>
        </is>
      </c>
      <c r="E5473" t="inlineStr">
        <is>
          <t>Lima, 12 de Agosto del 2026</t>
        </is>
      </c>
      <c r="F5473" t="inlineStr">
        <is>
          <t>la Recarga y mantenimiento</t>
        </is>
      </c>
      <c r="G5473" t="inlineStr">
        <is>
          <t>01</t>
        </is>
      </c>
      <c r="H5473" t="inlineStr">
        <is>
          <t>06 KG</t>
        </is>
      </c>
      <c r="I5473" t="n">
        <v>2030</v>
      </c>
      <c r="J5473" t="n">
        <v>2025</v>
      </c>
      <c r="K5473" t="inlineStr">
        <is>
          <t>AGOSTO 2026</t>
        </is>
      </c>
      <c r="L5473" t="inlineStr">
        <is>
          <t>AGOSTO 2027</t>
        </is>
      </c>
      <c r="M5473" t="inlineStr">
        <is>
          <t xml:space="preserve">PQS TIPO ABC AL 90% </t>
        </is>
      </c>
      <c r="N5473" t="inlineStr">
        <is>
          <t>002810</t>
        </is>
      </c>
      <c r="O5473" t="inlineStr">
        <is>
          <t>M1</t>
        </is>
      </c>
      <c r="P5473">
        <f>TRIM(N5473)</f>
        <v/>
      </c>
    </row>
    <row r="5474">
      <c r="A5474" t="inlineStr">
        <is>
          <t>CO-002903</t>
        </is>
      </c>
      <c r="B5474" t="inlineStr">
        <is>
          <t>JUSTINA TUME</t>
        </is>
      </c>
      <c r="D5474" t="inlineStr">
        <is>
          <t>MERCADO ALBORADA SECTOR CARNE</t>
        </is>
      </c>
      <c r="E5474" t="inlineStr">
        <is>
          <t>Lima, 12 de Agosto del 2026</t>
        </is>
      </c>
      <c r="F5474" t="inlineStr">
        <is>
          <t>la Recarga y mantenimiento</t>
        </is>
      </c>
      <c r="G5474" t="inlineStr">
        <is>
          <t>01</t>
        </is>
      </c>
      <c r="H5474" t="inlineStr">
        <is>
          <t>04 KG</t>
        </is>
      </c>
      <c r="I5474" t="n">
        <v>2028</v>
      </c>
      <c r="J5474" t="n">
        <v>2014</v>
      </c>
      <c r="K5474" t="inlineStr">
        <is>
          <t>AGOSTO 2026</t>
        </is>
      </c>
      <c r="L5474" t="inlineStr">
        <is>
          <t>AGOSTO 2027</t>
        </is>
      </c>
      <c r="M5474" t="inlineStr">
        <is>
          <t>PQS TIPO ABC AL 75%</t>
        </is>
      </c>
      <c r="N5474" t="inlineStr">
        <is>
          <t>002601</t>
        </is>
      </c>
      <c r="O5474" t="inlineStr">
        <is>
          <t>R</t>
        </is>
      </c>
      <c r="P5474">
        <f>TRIM(N5474)</f>
        <v/>
      </c>
    </row>
    <row r="5475">
      <c r="A5475" t="inlineStr">
        <is>
          <t>CO-002904</t>
        </is>
      </c>
      <c r="B5475" t="inlineStr">
        <is>
          <t xml:space="preserve">PERU MASIVO SA </t>
        </is>
      </c>
      <c r="C5475" t="inlineStr">
        <is>
          <t>20492392031</t>
        </is>
      </c>
      <c r="D5475" t="inlineStr">
        <is>
          <t>AV. LOS INCAS CDRA. 4 PATIO NORTE - COMAS</t>
        </is>
      </c>
      <c r="E5475" t="inlineStr">
        <is>
          <t>Lima, 13 de Agosto del 2026</t>
        </is>
      </c>
      <c r="F5475" t="inlineStr">
        <is>
          <t>la Recarga y mantenimiento</t>
        </is>
      </c>
      <c r="G5475" t="inlineStr">
        <is>
          <t>01</t>
        </is>
      </c>
      <c r="H5475" t="inlineStr">
        <is>
          <t>06 KG</t>
        </is>
      </c>
      <c r="I5475" t="n">
        <v>2028</v>
      </c>
      <c r="J5475" t="n">
        <v>2010</v>
      </c>
      <c r="K5475" t="inlineStr">
        <is>
          <t>AGOSTO 2026</t>
        </is>
      </c>
      <c r="L5475" t="inlineStr">
        <is>
          <t>AGOSTO 2027</t>
        </is>
      </c>
      <c r="M5475" t="inlineStr">
        <is>
          <t>PQS TIPO ABC AL 90%</t>
        </is>
      </c>
      <c r="N5475" t="inlineStr">
        <is>
          <t>002423</t>
        </is>
      </c>
      <c r="O5475" t="inlineStr">
        <is>
          <t>R</t>
        </is>
      </c>
      <c r="P5475">
        <f>TRIM(N5475)</f>
        <v/>
      </c>
    </row>
    <row r="5476">
      <c r="A5476" t="inlineStr">
        <is>
          <t>CO-002905</t>
        </is>
      </c>
      <c r="B5476" t="inlineStr">
        <is>
          <t>ROBERT NIÑO SILVA</t>
        </is>
      </c>
      <c r="D5476" t="inlineStr">
        <is>
          <t>AZM-127</t>
        </is>
      </c>
      <c r="E5476" t="inlineStr">
        <is>
          <t>Lima, 17 de Agosto del 2026</t>
        </is>
      </c>
      <c r="F5476" t="inlineStr">
        <is>
          <t>la Recarga y mantenimiento</t>
        </is>
      </c>
      <c r="G5476" t="inlineStr">
        <is>
          <t>01</t>
        </is>
      </c>
      <c r="H5476" t="inlineStr">
        <is>
          <t xml:space="preserve">02 KG </t>
        </is>
      </c>
      <c r="I5476" t="inlineStr">
        <is>
          <t>VIGENTE</t>
        </is>
      </c>
      <c r="J5476" t="n">
        <v>2017</v>
      </c>
      <c r="K5476" t="inlineStr">
        <is>
          <t>AGOSTO 2026</t>
        </is>
      </c>
      <c r="L5476" t="inlineStr">
        <is>
          <t>AGOSTO 2027</t>
        </is>
      </c>
      <c r="M5476" t="inlineStr">
        <is>
          <t>PQS TIPO ABC AL 75%</t>
        </is>
      </c>
      <c r="N5476" t="inlineStr">
        <is>
          <t>004832</t>
        </is>
      </c>
      <c r="O5476" t="inlineStr">
        <is>
          <t>R</t>
        </is>
      </c>
      <c r="P5476">
        <f>TRIM(N5476)</f>
        <v/>
      </c>
    </row>
    <row r="5477">
      <c r="A5477" t="inlineStr">
        <is>
          <t>CO-002906</t>
        </is>
      </c>
      <c r="B5477" t="inlineStr">
        <is>
          <t>SODEXO PERU S.A.C.</t>
        </is>
      </c>
      <c r="C5477" t="n">
        <v>20414766308</v>
      </c>
      <c r="D5477" t="inlineStr">
        <is>
          <t>Avenida gaseoducto lote 4 las praderas de Lurin</t>
        </is>
      </c>
      <c r="E5477" t="inlineStr">
        <is>
          <t>Lima, 17 de Agosto del 2026</t>
        </is>
      </c>
      <c r="F5477" t="inlineStr">
        <is>
          <t>la Recarga y mantenimiento</t>
        </is>
      </c>
      <c r="G5477" t="inlineStr">
        <is>
          <t>01</t>
        </is>
      </c>
      <c r="H5477" t="inlineStr">
        <is>
          <t>2.5 GLS</t>
        </is>
      </c>
      <c r="I5477" t="n">
        <v>2028</v>
      </c>
      <c r="J5477" t="n">
        <v>2017</v>
      </c>
      <c r="K5477" t="inlineStr">
        <is>
          <t>AGOSTO 2026</t>
        </is>
      </c>
      <c r="L5477" t="inlineStr">
        <is>
          <t>AGOSTO 2027</t>
        </is>
      </c>
      <c r="M5477" t="inlineStr">
        <is>
          <t>ACETATO TIPO K</t>
        </is>
      </c>
      <c r="N5477" t="inlineStr">
        <is>
          <t>12/C-92959553</t>
        </is>
      </c>
      <c r="O5477" t="inlineStr">
        <is>
          <t>R</t>
        </is>
      </c>
      <c r="P5477">
        <f>TRIM(N5477)</f>
        <v/>
      </c>
    </row>
    <row r="5478">
      <c r="A5478" t="inlineStr">
        <is>
          <t>CO-002907</t>
        </is>
      </c>
      <c r="B5478" t="inlineStr">
        <is>
          <t>TEODOCIO ROMAN</t>
        </is>
      </c>
      <c r="D5478" t="inlineStr">
        <is>
          <t>MERCADO ALBORADA - Psto. 34 - Sector Ropa</t>
        </is>
      </c>
      <c r="E5478" t="inlineStr">
        <is>
          <t>Lima, 19 de Agosto del 2026</t>
        </is>
      </c>
      <c r="F5478" t="inlineStr">
        <is>
          <t>la Recarga y mantenimiento</t>
        </is>
      </c>
      <c r="G5478" t="inlineStr">
        <is>
          <t>01</t>
        </is>
      </c>
      <c r="H5478" t="inlineStr">
        <is>
          <t>04 KG</t>
        </is>
      </c>
      <c r="I5478" t="n">
        <v>2028</v>
      </c>
      <c r="J5478" t="n">
        <v>2023</v>
      </c>
      <c r="K5478" t="inlineStr">
        <is>
          <t>AGOSTO 2026</t>
        </is>
      </c>
      <c r="L5478" t="inlineStr">
        <is>
          <t>AGOSTO 2027</t>
        </is>
      </c>
      <c r="M5478" t="inlineStr">
        <is>
          <t>PQS TIPO ABC AL 75%</t>
        </is>
      </c>
      <c r="N5478" t="inlineStr">
        <is>
          <t>358911</t>
        </is>
      </c>
      <c r="O5478" t="inlineStr">
        <is>
          <t>R</t>
        </is>
      </c>
      <c r="P5478">
        <f>TRIM(N5478)</f>
        <v/>
      </c>
    </row>
    <row r="5479">
      <c r="A5479" t="inlineStr">
        <is>
          <t>CO-002908</t>
        </is>
      </c>
      <c r="B5479" t="inlineStr">
        <is>
          <t>INVERSIONES TELCOTEL SAC</t>
        </is>
      </c>
      <c r="C5479" t="inlineStr">
        <is>
          <t>20549846000</t>
        </is>
      </c>
      <c r="D5479" t="inlineStr">
        <is>
          <t xml:space="preserve">FILIAL INDEPENDENCIA </t>
        </is>
      </c>
      <c r="E5479" t="inlineStr">
        <is>
          <t>Lima, 24 de Agosto del 2026</t>
        </is>
      </c>
      <c r="F5479" t="inlineStr">
        <is>
          <t>la Recarga y mantenimiento</t>
        </is>
      </c>
      <c r="G5479" t="inlineStr">
        <is>
          <t>01</t>
        </is>
      </c>
      <c r="H5479" t="inlineStr">
        <is>
          <t>06 KG</t>
        </is>
      </c>
      <c r="I5479" t="n">
        <v>2028</v>
      </c>
      <c r="J5479" t="n">
        <v>2017</v>
      </c>
      <c r="K5479" t="inlineStr">
        <is>
          <t>AGOSTO 2026</t>
        </is>
      </c>
      <c r="L5479" t="inlineStr">
        <is>
          <t>AGOSTO 2027</t>
        </is>
      </c>
      <c r="M5479" t="inlineStr">
        <is>
          <t>PQS TIPO ABC AL 75%</t>
        </is>
      </c>
      <c r="N5479" t="inlineStr">
        <is>
          <t>001021</t>
        </is>
      </c>
      <c r="O5479" t="inlineStr">
        <is>
          <t>R</t>
        </is>
      </c>
      <c r="P5479">
        <f>TRIM(N5479)</f>
        <v/>
      </c>
    </row>
    <row r="5480">
      <c r="A5480" t="inlineStr">
        <is>
          <t>CO-002909</t>
        </is>
      </c>
      <c r="B5480" t="inlineStr">
        <is>
          <t xml:space="preserve">PERU MASIVO SA - BUSES </t>
        </is>
      </c>
      <c r="C5480" t="inlineStr">
        <is>
          <t>20492392031</t>
        </is>
      </c>
      <c r="D5480" t="inlineStr">
        <is>
          <t>AV. LOS INCAS CDRA. 4 PATIO NORTE - COMAS</t>
        </is>
      </c>
      <c r="E5480" t="inlineStr">
        <is>
          <t>Lima, 24 de Agosto del 2026</t>
        </is>
      </c>
      <c r="F5480" t="inlineStr">
        <is>
          <t>la Recarga y mantenimiento</t>
        </is>
      </c>
      <c r="G5480" t="inlineStr">
        <is>
          <t>01</t>
        </is>
      </c>
      <c r="H5480" t="inlineStr">
        <is>
          <t>06 KG</t>
        </is>
      </c>
      <c r="I5480" t="n">
        <v>2029</v>
      </c>
      <c r="J5480" t="n">
        <v>2009</v>
      </c>
      <c r="K5480" t="inlineStr">
        <is>
          <t>AGOSTO 2026</t>
        </is>
      </c>
      <c r="L5480" t="inlineStr">
        <is>
          <t>AGOSTO 2027</t>
        </is>
      </c>
      <c r="M5480" t="inlineStr">
        <is>
          <t>PQS TIPO ABC AL 90%</t>
        </is>
      </c>
      <c r="N5480" t="inlineStr">
        <is>
          <t>189/000999</t>
        </is>
      </c>
      <c r="O5480" t="inlineStr">
        <is>
          <t>R</t>
        </is>
      </c>
      <c r="P5480">
        <f>TRIM(N5480)</f>
        <v/>
      </c>
    </row>
    <row r="5481">
      <c r="A5481" t="inlineStr">
        <is>
          <t>CO-002909</t>
        </is>
      </c>
      <c r="B5481" t="inlineStr">
        <is>
          <t xml:space="preserve">PERU MASIVO SA - BUSES </t>
        </is>
      </c>
      <c r="C5481" t="inlineStr">
        <is>
          <t>20492392031</t>
        </is>
      </c>
      <c r="D5481" t="inlineStr">
        <is>
          <t>AV. LOS INCAS CDRA. 4 PATIO NORTE - COMAS</t>
        </is>
      </c>
      <c r="E5481" t="inlineStr">
        <is>
          <t>Lima, 24 de Agosto del 2026</t>
        </is>
      </c>
      <c r="F5481" t="inlineStr">
        <is>
          <t>la Recarga y mantenimiento</t>
        </is>
      </c>
      <c r="G5481" t="inlineStr">
        <is>
          <t>02</t>
        </is>
      </c>
      <c r="H5481" t="inlineStr">
        <is>
          <t>06 KG</t>
        </is>
      </c>
      <c r="I5481" t="n">
        <v>2028</v>
      </c>
      <c r="J5481" t="n">
        <v>2017</v>
      </c>
      <c r="K5481" t="inlineStr">
        <is>
          <t>AGOSTO 2026</t>
        </is>
      </c>
      <c r="L5481" t="inlineStr">
        <is>
          <t>AGOSTO 2027</t>
        </is>
      </c>
      <c r="M5481" t="inlineStr">
        <is>
          <t>PQS TIPO ABC AL 90%</t>
        </is>
      </c>
      <c r="N5481" t="inlineStr">
        <is>
          <t>351/001638</t>
        </is>
      </c>
      <c r="O5481" t="inlineStr">
        <is>
          <t>R</t>
        </is>
      </c>
      <c r="P5481">
        <f>TRIM(N5481)</f>
        <v/>
      </c>
    </row>
    <row r="5482">
      <c r="A5482" t="inlineStr">
        <is>
          <t>CO-002909</t>
        </is>
      </c>
      <c r="B5482" t="inlineStr">
        <is>
          <t xml:space="preserve">PERU MASIVO SA - BUSES </t>
        </is>
      </c>
      <c r="C5482" t="inlineStr">
        <is>
          <t>20492392031</t>
        </is>
      </c>
      <c r="D5482" t="inlineStr">
        <is>
          <t>AV. LOS INCAS CDRA. 4 PATIO NORTE - COMAS</t>
        </is>
      </c>
      <c r="E5482" t="inlineStr">
        <is>
          <t>Lima, 24 de Agosto del 2026</t>
        </is>
      </c>
      <c r="F5482" t="inlineStr">
        <is>
          <t>la Recarga y mantenimiento</t>
        </is>
      </c>
      <c r="G5482" t="inlineStr">
        <is>
          <t>03</t>
        </is>
      </c>
      <c r="H5482" t="inlineStr">
        <is>
          <t>06 KG</t>
        </is>
      </c>
      <c r="I5482" t="n">
        <v>2028</v>
      </c>
      <c r="J5482" t="n">
        <v>2010</v>
      </c>
      <c r="K5482" t="inlineStr">
        <is>
          <t>AGOSTO 2026</t>
        </is>
      </c>
      <c r="L5482" t="inlineStr">
        <is>
          <t>AGOSTO 2027</t>
        </is>
      </c>
      <c r="M5482" t="inlineStr">
        <is>
          <t>PQS TIPO ABC AL 90%</t>
        </is>
      </c>
      <c r="N5482" t="inlineStr">
        <is>
          <t>188/005496</t>
        </is>
      </c>
      <c r="O5482" t="inlineStr">
        <is>
          <t>R</t>
        </is>
      </c>
      <c r="P5482">
        <f>TRIM(N5482)</f>
        <v/>
      </c>
    </row>
    <row r="5483">
      <c r="A5483" t="inlineStr">
        <is>
          <t>CO-002909</t>
        </is>
      </c>
      <c r="B5483" t="inlineStr">
        <is>
          <t xml:space="preserve">PERU MASIVO SA - BUSES </t>
        </is>
      </c>
      <c r="C5483" t="inlineStr">
        <is>
          <t>20492392031</t>
        </is>
      </c>
      <c r="D5483" t="inlineStr">
        <is>
          <t>AV. LOS INCAS CDRA. 4 PATIO NORTE - COMAS</t>
        </is>
      </c>
      <c r="E5483" t="inlineStr">
        <is>
          <t>Lima, 24 de Agosto del 2026</t>
        </is>
      </c>
      <c r="F5483" t="inlineStr">
        <is>
          <t>la Recarga y mantenimiento</t>
        </is>
      </c>
      <c r="G5483" t="inlineStr">
        <is>
          <t>04</t>
        </is>
      </c>
      <c r="H5483" t="inlineStr">
        <is>
          <t>06 KG</t>
        </is>
      </c>
      <c r="I5483" t="n">
        <v>2028</v>
      </c>
      <c r="J5483" t="n">
        <v>2009</v>
      </c>
      <c r="K5483" t="inlineStr">
        <is>
          <t>AGOSTO 2026</t>
        </is>
      </c>
      <c r="L5483" t="inlineStr">
        <is>
          <t>AGOSTO 2027</t>
        </is>
      </c>
      <c r="M5483" t="inlineStr">
        <is>
          <t>PQS TIPO ABC AL 90%</t>
        </is>
      </c>
      <c r="N5483" t="inlineStr">
        <is>
          <t>380/000380</t>
        </is>
      </c>
      <c r="O5483" t="inlineStr">
        <is>
          <t>R</t>
        </is>
      </c>
      <c r="P5483">
        <f>TRIM(N5483)</f>
        <v/>
      </c>
    </row>
    <row r="5484">
      <c r="A5484" t="inlineStr">
        <is>
          <t>CO-002909</t>
        </is>
      </c>
      <c r="B5484" t="inlineStr">
        <is>
          <t xml:space="preserve">PERU MASIVO SA - BUSES </t>
        </is>
      </c>
      <c r="C5484" t="inlineStr">
        <is>
          <t>20492392031</t>
        </is>
      </c>
      <c r="D5484" t="inlineStr">
        <is>
          <t>AV. LOS INCAS CDRA. 4 PATIO NORTE - COMAS</t>
        </is>
      </c>
      <c r="E5484" t="inlineStr">
        <is>
          <t>Lima, 24 de Agosto del 2026</t>
        </is>
      </c>
      <c r="F5484" t="inlineStr">
        <is>
          <t>la Recarga y mantenimiento</t>
        </is>
      </c>
      <c r="G5484" t="inlineStr">
        <is>
          <t>05</t>
        </is>
      </c>
      <c r="H5484" t="inlineStr">
        <is>
          <t>06 KG</t>
        </is>
      </c>
      <c r="I5484" t="n">
        <v>2028</v>
      </c>
      <c r="J5484" t="n">
        <v>2009</v>
      </c>
      <c r="K5484" t="inlineStr">
        <is>
          <t>AGOSTO 2026</t>
        </is>
      </c>
      <c r="L5484" t="inlineStr">
        <is>
          <t>AGOSTO 2027</t>
        </is>
      </c>
      <c r="M5484" t="inlineStr">
        <is>
          <t>PQS TIPO ABC AL 90%</t>
        </is>
      </c>
      <c r="N5484" t="inlineStr">
        <is>
          <t>362/002191</t>
        </is>
      </c>
      <c r="O5484" t="inlineStr">
        <is>
          <t>R</t>
        </is>
      </c>
      <c r="P5484">
        <f>TRIM(N5484)</f>
        <v/>
      </c>
    </row>
    <row r="5485">
      <c r="A5485" t="inlineStr">
        <is>
          <t>CO-002909</t>
        </is>
      </c>
      <c r="B5485" t="inlineStr">
        <is>
          <t xml:space="preserve">PERU MASIVO SA - BUSES </t>
        </is>
      </c>
      <c r="C5485" t="inlineStr">
        <is>
          <t>20492392031</t>
        </is>
      </c>
      <c r="D5485" t="inlineStr">
        <is>
          <t>AV. LOS INCAS CDRA. 4 PATIO NORTE - COMAS</t>
        </is>
      </c>
      <c r="E5485" t="inlineStr">
        <is>
          <t>Lima, 24 de Agosto del 2026</t>
        </is>
      </c>
      <c r="F5485" t="inlineStr">
        <is>
          <t>la Recarga y mantenimiento</t>
        </is>
      </c>
      <c r="G5485" t="inlineStr">
        <is>
          <t>06</t>
        </is>
      </c>
      <c r="H5485" t="inlineStr">
        <is>
          <t>06 KG</t>
        </is>
      </c>
      <c r="I5485" t="n">
        <v>2028</v>
      </c>
      <c r="J5485" t="n">
        <v>2014</v>
      </c>
      <c r="K5485" t="inlineStr">
        <is>
          <t>AGOSTO 2026</t>
        </is>
      </c>
      <c r="L5485" t="inlineStr">
        <is>
          <t>AGOSTO 2027</t>
        </is>
      </c>
      <c r="M5485" t="inlineStr">
        <is>
          <t>PQS TIPO ABC AL 90%</t>
        </is>
      </c>
      <c r="N5485" t="inlineStr">
        <is>
          <t>160/000330</t>
        </is>
      </c>
      <c r="O5485" t="inlineStr">
        <is>
          <t>R</t>
        </is>
      </c>
      <c r="P5485">
        <f>TRIM(N5485)</f>
        <v/>
      </c>
    </row>
    <row r="5486">
      <c r="A5486" t="inlineStr">
        <is>
          <t>CO-002909</t>
        </is>
      </c>
      <c r="B5486" t="inlineStr">
        <is>
          <t xml:space="preserve">PERU MASIVO SA - BUSES </t>
        </is>
      </c>
      <c r="C5486" t="inlineStr">
        <is>
          <t>20492392031</t>
        </is>
      </c>
      <c r="D5486" t="inlineStr">
        <is>
          <t>AV. LOS INCAS CDRA. 4 PATIO NORTE - COMAS</t>
        </is>
      </c>
      <c r="E5486" t="inlineStr">
        <is>
          <t>Lima, 24 de Agosto del 2026</t>
        </is>
      </c>
      <c r="F5486" t="inlineStr">
        <is>
          <t>la Recarga y mantenimiento</t>
        </is>
      </c>
      <c r="G5486" t="inlineStr">
        <is>
          <t>07</t>
        </is>
      </c>
      <c r="H5486" t="inlineStr">
        <is>
          <t>06 KG</t>
        </is>
      </c>
      <c r="I5486" t="n">
        <v>2028</v>
      </c>
      <c r="J5486" t="n">
        <v>2010</v>
      </c>
      <c r="K5486" t="inlineStr">
        <is>
          <t>AGOSTO 2026</t>
        </is>
      </c>
      <c r="L5486" t="inlineStr">
        <is>
          <t>AGOSTO 2027</t>
        </is>
      </c>
      <c r="M5486" t="inlineStr">
        <is>
          <t>PQS TIPO ABC AL 90%</t>
        </is>
      </c>
      <c r="N5486" t="inlineStr">
        <is>
          <t>151/000124</t>
        </is>
      </c>
      <c r="O5486" t="inlineStr">
        <is>
          <t>R</t>
        </is>
      </c>
      <c r="P5486">
        <f>TRIM(N5486)</f>
        <v/>
      </c>
    </row>
    <row r="5487">
      <c r="A5487" t="inlineStr">
        <is>
          <t>CO-002909</t>
        </is>
      </c>
      <c r="B5487" t="inlineStr">
        <is>
          <t xml:space="preserve">PERU MASIVO SA - BUSES </t>
        </is>
      </c>
      <c r="C5487" t="inlineStr">
        <is>
          <t>20492392031</t>
        </is>
      </c>
      <c r="D5487" t="inlineStr">
        <is>
          <t>AV. LOS INCAS CDRA. 4 PATIO NORTE - COMAS</t>
        </is>
      </c>
      <c r="E5487" t="inlineStr">
        <is>
          <t>Lima, 24 de Agosto del 2026</t>
        </is>
      </c>
      <c r="F5487" t="inlineStr">
        <is>
          <t>la Recarga y mantenimiento</t>
        </is>
      </c>
      <c r="G5487" t="inlineStr">
        <is>
          <t>08</t>
        </is>
      </c>
      <c r="H5487" t="inlineStr">
        <is>
          <t>06 KG</t>
        </is>
      </c>
      <c r="I5487" t="n">
        <v>2028</v>
      </c>
      <c r="J5487" t="n">
        <v>2009</v>
      </c>
      <c r="K5487" t="inlineStr">
        <is>
          <t>AGOSTO 2026</t>
        </is>
      </c>
      <c r="L5487" t="inlineStr">
        <is>
          <t>AGOSTO 2027</t>
        </is>
      </c>
      <c r="M5487" t="inlineStr">
        <is>
          <t>PQS TIPO ABC AL 90%</t>
        </is>
      </c>
      <c r="N5487" t="inlineStr">
        <is>
          <t>137/000705</t>
        </is>
      </c>
      <c r="O5487" t="inlineStr">
        <is>
          <t>R</t>
        </is>
      </c>
      <c r="P5487">
        <f>TRIM(N5487)</f>
        <v/>
      </c>
    </row>
    <row r="5488">
      <c r="A5488" t="inlineStr">
        <is>
          <t>CO-002909</t>
        </is>
      </c>
      <c r="B5488" t="inlineStr">
        <is>
          <t xml:space="preserve">PERU MASIVO SA - BUSES </t>
        </is>
      </c>
      <c r="C5488" t="inlineStr">
        <is>
          <t>20492392031</t>
        </is>
      </c>
      <c r="D5488" t="inlineStr">
        <is>
          <t>AV. LOS INCAS CDRA. 4 PATIO NORTE - COMAS</t>
        </is>
      </c>
      <c r="E5488" t="inlineStr">
        <is>
          <t>Lima, 24 de Agosto del 2026</t>
        </is>
      </c>
      <c r="F5488" t="inlineStr">
        <is>
          <t>la Recarga y mantenimiento</t>
        </is>
      </c>
      <c r="G5488" t="inlineStr">
        <is>
          <t>09</t>
        </is>
      </c>
      <c r="H5488" t="inlineStr">
        <is>
          <t>06 KG</t>
        </is>
      </c>
      <c r="I5488" t="n">
        <v>2028</v>
      </c>
      <c r="J5488" t="n">
        <v>2009</v>
      </c>
      <c r="K5488" t="inlineStr">
        <is>
          <t>AGOSTO 2026</t>
        </is>
      </c>
      <c r="L5488" t="inlineStr">
        <is>
          <t>AGOSTO 2027</t>
        </is>
      </c>
      <c r="M5488" t="inlineStr">
        <is>
          <t>PQS TIPO ABC AL 90%</t>
        </is>
      </c>
      <c r="N5488" t="inlineStr">
        <is>
          <t>04/001724</t>
        </is>
      </c>
      <c r="O5488" t="inlineStr">
        <is>
          <t>R</t>
        </is>
      </c>
      <c r="P5488">
        <f>TRIM(N5488)</f>
        <v/>
      </c>
    </row>
    <row r="5489">
      <c r="A5489" t="inlineStr">
        <is>
          <t>CO-002909</t>
        </is>
      </c>
      <c r="B5489" t="inlineStr">
        <is>
          <t xml:space="preserve">PERU MASIVO SA - BUSES </t>
        </is>
      </c>
      <c r="C5489" t="inlineStr">
        <is>
          <t>20492392031</t>
        </is>
      </c>
      <c r="D5489" t="inlineStr">
        <is>
          <t>AV. LOS INCAS CDRA. 4 PATIO NORTE - COMAS</t>
        </is>
      </c>
      <c r="E5489" t="inlineStr">
        <is>
          <t>Lima, 24 de Agosto del 2026</t>
        </is>
      </c>
      <c r="F5489" t="inlineStr">
        <is>
          <t>la Recarga y mantenimiento</t>
        </is>
      </c>
      <c r="G5489" t="inlineStr">
        <is>
          <t>10</t>
        </is>
      </c>
      <c r="H5489" t="inlineStr">
        <is>
          <t>06 KG</t>
        </is>
      </c>
      <c r="I5489" t="n">
        <v>2028</v>
      </c>
      <c r="J5489" t="n">
        <v>2010</v>
      </c>
      <c r="K5489" t="inlineStr">
        <is>
          <t>AGOSTO 2026</t>
        </is>
      </c>
      <c r="L5489" t="inlineStr">
        <is>
          <t>AGOSTO 2027</t>
        </is>
      </c>
      <c r="M5489" t="inlineStr">
        <is>
          <t>PQS TIPO ABC AL 90%</t>
        </is>
      </c>
      <c r="N5489" t="inlineStr">
        <is>
          <t>230/000534</t>
        </is>
      </c>
      <c r="O5489" t="inlineStr">
        <is>
          <t>R</t>
        </is>
      </c>
      <c r="P5489">
        <f>TRIM(N5489)</f>
        <v/>
      </c>
    </row>
    <row r="5490">
      <c r="A5490" t="inlineStr">
        <is>
          <t>CO-002909</t>
        </is>
      </c>
      <c r="B5490" t="inlineStr">
        <is>
          <t xml:space="preserve">PERU MASIVO SA - BUSES </t>
        </is>
      </c>
      <c r="C5490" t="inlineStr">
        <is>
          <t>20492392031</t>
        </is>
      </c>
      <c r="D5490" t="inlineStr">
        <is>
          <t>AV. LOS INCAS CDRA. 4 PATIO NORTE - COMAS</t>
        </is>
      </c>
      <c r="E5490" t="inlineStr">
        <is>
          <t>Lima, 24 de Agosto del 2026</t>
        </is>
      </c>
      <c r="F5490" t="inlineStr">
        <is>
          <t>la Recarga y mantenimiento</t>
        </is>
      </c>
      <c r="G5490" t="inlineStr">
        <is>
          <t>11</t>
        </is>
      </c>
      <c r="H5490" t="inlineStr">
        <is>
          <t>06 KG</t>
        </is>
      </c>
      <c r="I5490" t="n">
        <v>2028</v>
      </c>
      <c r="J5490" t="n">
        <v>2010</v>
      </c>
      <c r="K5490" t="inlineStr">
        <is>
          <t>AGOSTO 2026</t>
        </is>
      </c>
      <c r="L5490" t="inlineStr">
        <is>
          <t>AGOSTO 2027</t>
        </is>
      </c>
      <c r="M5490" t="inlineStr">
        <is>
          <t>PQS TIPO ABC AL 90%</t>
        </is>
      </c>
      <c r="N5490" t="inlineStr">
        <is>
          <t>272/000558</t>
        </is>
      </c>
      <c r="O5490" t="inlineStr">
        <is>
          <t>R</t>
        </is>
      </c>
      <c r="P5490">
        <f>TRIM(N5490)</f>
        <v/>
      </c>
    </row>
    <row r="5491">
      <c r="A5491" t="inlineStr">
        <is>
          <t>CO-002909</t>
        </is>
      </c>
      <c r="B5491" t="inlineStr">
        <is>
          <t xml:space="preserve">PERU MASIVO SA - BUSES </t>
        </is>
      </c>
      <c r="C5491" t="inlineStr">
        <is>
          <t>20492392031</t>
        </is>
      </c>
      <c r="D5491" t="inlineStr">
        <is>
          <t>AV. LOS INCAS CDRA. 4 PATIO NORTE - COMAS</t>
        </is>
      </c>
      <c r="E5491" t="inlineStr">
        <is>
          <t>Lima, 24 de Agosto del 2026</t>
        </is>
      </c>
      <c r="F5491" t="inlineStr">
        <is>
          <t>la Recarga y mantenimiento</t>
        </is>
      </c>
      <c r="G5491" t="inlineStr">
        <is>
          <t>12</t>
        </is>
      </c>
      <c r="H5491" t="inlineStr">
        <is>
          <t>06 KG</t>
        </is>
      </c>
      <c r="I5491" t="n">
        <v>2028</v>
      </c>
      <c r="J5491" t="n">
        <v>2010</v>
      </c>
      <c r="K5491" t="inlineStr">
        <is>
          <t>AGOSTO 2026</t>
        </is>
      </c>
      <c r="L5491" t="inlineStr">
        <is>
          <t>AGOSTO 2027</t>
        </is>
      </c>
      <c r="M5491" t="inlineStr">
        <is>
          <t>PQS TIPO ABC AL 90%</t>
        </is>
      </c>
      <c r="N5491" t="inlineStr">
        <is>
          <t>198/000287</t>
        </is>
      </c>
      <c r="O5491" t="inlineStr">
        <is>
          <t>R</t>
        </is>
      </c>
      <c r="P5491">
        <f>TRIM(N5491)</f>
        <v/>
      </c>
    </row>
    <row r="5492">
      <c r="A5492" t="inlineStr">
        <is>
          <t>CO-002909</t>
        </is>
      </c>
      <c r="B5492" t="inlineStr">
        <is>
          <t xml:space="preserve">PERU MASIVO SA - BUSES </t>
        </is>
      </c>
      <c r="C5492" t="inlineStr">
        <is>
          <t>20492392031</t>
        </is>
      </c>
      <c r="D5492" t="inlineStr">
        <is>
          <t>AV. LOS INCAS CDRA. 4 PATIO NORTE - COMAS</t>
        </is>
      </c>
      <c r="E5492" t="inlineStr">
        <is>
          <t>Lima, 24 de Agosto del 2026</t>
        </is>
      </c>
      <c r="F5492" t="inlineStr">
        <is>
          <t>la Recarga y mantenimiento</t>
        </is>
      </c>
      <c r="G5492" t="inlineStr">
        <is>
          <t>13</t>
        </is>
      </c>
      <c r="H5492" t="inlineStr">
        <is>
          <t>06 KG</t>
        </is>
      </c>
      <c r="I5492" t="n">
        <v>2028</v>
      </c>
      <c r="J5492" t="n">
        <v>2009</v>
      </c>
      <c r="K5492" t="inlineStr">
        <is>
          <t>AGOSTO 2026</t>
        </is>
      </c>
      <c r="L5492" t="inlineStr">
        <is>
          <t>AGOSTO 2027</t>
        </is>
      </c>
      <c r="M5492" t="inlineStr">
        <is>
          <t>PQS TIPO ABC AL 90%</t>
        </is>
      </c>
      <c r="N5492" t="inlineStr">
        <is>
          <t>101/001632</t>
        </is>
      </c>
      <c r="O5492" t="inlineStr">
        <is>
          <t>R</t>
        </is>
      </c>
      <c r="P5492">
        <f>TRIM(N5492)</f>
        <v/>
      </c>
    </row>
    <row r="5493">
      <c r="A5493" t="inlineStr">
        <is>
          <t>CO-002909</t>
        </is>
      </c>
      <c r="B5493" t="inlineStr">
        <is>
          <t xml:space="preserve">PERU MASIVO SA - BUSES </t>
        </is>
      </c>
      <c r="C5493" t="inlineStr">
        <is>
          <t>20492392031</t>
        </is>
      </c>
      <c r="D5493" t="inlineStr">
        <is>
          <t>AV. LOS INCAS CDRA. 4 PATIO NORTE - COMAS</t>
        </is>
      </c>
      <c r="E5493" t="inlineStr">
        <is>
          <t>Lima, 24 de Agosto del 2026</t>
        </is>
      </c>
      <c r="F5493" t="inlineStr">
        <is>
          <t>la Recarga y mantenimiento</t>
        </is>
      </c>
      <c r="G5493" t="n">
        <v>14</v>
      </c>
      <c r="H5493" t="inlineStr">
        <is>
          <t>06 KG</t>
        </is>
      </c>
      <c r="I5493" t="n">
        <v>2028</v>
      </c>
      <c r="J5493" t="n">
        <v>2010</v>
      </c>
      <c r="K5493" t="inlineStr">
        <is>
          <t>AGOSTO 2026</t>
        </is>
      </c>
      <c r="L5493" t="inlineStr">
        <is>
          <t>AGOSTO 2027</t>
        </is>
      </c>
      <c r="M5493" t="inlineStr">
        <is>
          <t>PQS TIPO ABC AL 90%</t>
        </is>
      </c>
      <c r="N5493" t="inlineStr">
        <is>
          <t>168/000005</t>
        </is>
      </c>
      <c r="O5493" t="inlineStr">
        <is>
          <t>R</t>
        </is>
      </c>
      <c r="P5493">
        <f>TRIM(N5493)</f>
        <v/>
      </c>
    </row>
    <row r="5494">
      <c r="A5494" t="inlineStr">
        <is>
          <t>CO-002910</t>
        </is>
      </c>
      <c r="B5494" t="inlineStr">
        <is>
          <t>FERRETERIA FESMART</t>
        </is>
      </c>
      <c r="D5494" t="inlineStr">
        <is>
          <t>Jr Pimentel 260 San Felipe Comas, Perú</t>
        </is>
      </c>
      <c r="E5494" t="inlineStr">
        <is>
          <t>Lima, 21 de Agosto del 2026</t>
        </is>
      </c>
      <c r="F5494" t="inlineStr">
        <is>
          <t>la Recarga y mantenimiento</t>
        </is>
      </c>
      <c r="G5494" t="inlineStr">
        <is>
          <t>01</t>
        </is>
      </c>
      <c r="H5494" t="inlineStr">
        <is>
          <t>06 KG</t>
        </is>
      </c>
      <c r="I5494" t="n">
        <v>2029</v>
      </c>
      <c r="J5494" t="n">
        <v>2015</v>
      </c>
      <c r="K5494" t="inlineStr">
        <is>
          <t>AGOSTO 2026</t>
        </is>
      </c>
      <c r="L5494" t="inlineStr">
        <is>
          <t>AGOSTO 2027</t>
        </is>
      </c>
      <c r="M5494" t="inlineStr">
        <is>
          <t>PQS TIPO ABC AL 75%</t>
        </is>
      </c>
      <c r="N5494" t="inlineStr">
        <is>
          <t>001415</t>
        </is>
      </c>
      <c r="O5494" t="inlineStr">
        <is>
          <t>R</t>
        </is>
      </c>
      <c r="P5494">
        <f>TRIM(N5494)</f>
        <v/>
      </c>
    </row>
    <row r="5495">
      <c r="A5495" t="inlineStr">
        <is>
          <t>CO-002911</t>
        </is>
      </c>
      <c r="B5495" t="inlineStr">
        <is>
          <t>FERRETERIA FESMART</t>
        </is>
      </c>
      <c r="D5495" t="inlineStr">
        <is>
          <t>AYT-384</t>
        </is>
      </c>
      <c r="E5495" t="inlineStr">
        <is>
          <t>Lima, 21 de Agosto del 2026</t>
        </is>
      </c>
      <c r="F5495" t="inlineStr">
        <is>
          <t>la Recarga y mantenimiento</t>
        </is>
      </c>
      <c r="G5495" t="inlineStr">
        <is>
          <t>01</t>
        </is>
      </c>
      <c r="H5495" t="inlineStr">
        <is>
          <t>02 KG</t>
        </is>
      </c>
      <c r="I5495" t="n">
        <v>2028</v>
      </c>
      <c r="J5495" t="n">
        <v>2023</v>
      </c>
      <c r="K5495" t="inlineStr">
        <is>
          <t>AGOSTO 2026</t>
        </is>
      </c>
      <c r="L5495" t="inlineStr">
        <is>
          <t>AGOSTO 2027</t>
        </is>
      </c>
      <c r="M5495" t="inlineStr">
        <is>
          <t>PQS TIPO ABC AL 75%</t>
        </is>
      </c>
      <c r="N5495" t="inlineStr">
        <is>
          <t>000306</t>
        </is>
      </c>
      <c r="O5495" t="inlineStr">
        <is>
          <t>R</t>
        </is>
      </c>
      <c r="P5495">
        <f>TRIM(N5495)</f>
        <v/>
      </c>
    </row>
    <row r="5496">
      <c r="A5496" t="inlineStr">
        <is>
          <t>CO-002912</t>
        </is>
      </c>
      <c r="B5496" t="inlineStr">
        <is>
          <t>SODEXO - HUB DE PRODUCCION</t>
        </is>
      </c>
      <c r="C5496" t="inlineStr">
        <is>
          <t>20414766308</t>
        </is>
      </c>
      <c r="D5496" t="inlineStr">
        <is>
          <t>AV LOS FRUTALES 220 ATE</t>
        </is>
      </c>
      <c r="E5496" t="inlineStr">
        <is>
          <t>Lima, 21 de Agosto del 2026</t>
        </is>
      </c>
      <c r="F5496" t="inlineStr">
        <is>
          <t xml:space="preserve">La venta </t>
        </is>
      </c>
      <c r="G5496" t="inlineStr">
        <is>
          <t>01</t>
        </is>
      </c>
      <c r="H5496" t="inlineStr">
        <is>
          <t xml:space="preserve">06 KG </t>
        </is>
      </c>
      <c r="I5496" t="n">
        <v>2031</v>
      </c>
      <c r="J5496" t="n">
        <v>2026</v>
      </c>
      <c r="K5496" t="inlineStr">
        <is>
          <t>AGOSTO 2026</t>
        </is>
      </c>
      <c r="L5496" t="inlineStr">
        <is>
          <t>AGOSTO 2027</t>
        </is>
      </c>
      <c r="M5496" t="inlineStr">
        <is>
          <t xml:space="preserve">PQS TIPO ABC AL 90% PYROCHEM UL </t>
        </is>
      </c>
      <c r="N5496" t="inlineStr">
        <is>
          <t>068901</t>
        </is>
      </c>
      <c r="O5496" t="inlineStr">
        <is>
          <t>V</t>
        </is>
      </c>
      <c r="P5496">
        <f>TRIM(N5496)</f>
        <v/>
      </c>
    </row>
    <row r="5497">
      <c r="A5497" t="inlineStr">
        <is>
          <t>CO-002913</t>
        </is>
      </c>
      <c r="B5497" t="inlineStr">
        <is>
          <t>PRIMETEL SAC</t>
        </is>
      </c>
      <c r="C5497" t="n">
        <v>20614122260</v>
      </c>
      <c r="D5497" t="inlineStr">
        <is>
          <t xml:space="preserve">FILIAL SAN BORJA </t>
        </is>
      </c>
      <c r="E5497" t="inlineStr">
        <is>
          <t>Lima, 24 de Agosto del 2026</t>
        </is>
      </c>
      <c r="F5497" t="inlineStr">
        <is>
          <t>la Recarga y mantenimiento</t>
        </is>
      </c>
      <c r="G5497" t="inlineStr">
        <is>
          <t>01</t>
        </is>
      </c>
      <c r="H5497" t="inlineStr">
        <is>
          <t>10 LBS</t>
        </is>
      </c>
      <c r="I5497" t="n">
        <v>2030</v>
      </c>
      <c r="J5497" t="n">
        <v>2025</v>
      </c>
      <c r="K5497" t="inlineStr">
        <is>
          <t>AGOSTO 2026</t>
        </is>
      </c>
      <c r="L5497" t="inlineStr">
        <is>
          <t>AGOSTO 2027</t>
        </is>
      </c>
      <c r="M5497" t="inlineStr">
        <is>
          <t xml:space="preserve">CO2 TIPO BC </t>
        </is>
      </c>
      <c r="N5497" t="inlineStr">
        <is>
          <t>000193</t>
        </is>
      </c>
      <c r="O5497" t="inlineStr">
        <is>
          <t>R</t>
        </is>
      </c>
      <c r="P5497">
        <f>TRIM(N5497)</f>
        <v/>
      </c>
    </row>
    <row r="5498">
      <c r="A5498" t="inlineStr">
        <is>
          <t>CO-002914</t>
        </is>
      </c>
      <c r="B5498" t="inlineStr">
        <is>
          <t>ECONOCABLE MEDIA SAC</t>
        </is>
      </c>
      <c r="C5498" t="n">
        <v>20508720255</v>
      </c>
      <c r="D5498" t="inlineStr">
        <is>
          <t>FILIAL PACHACAMAC</t>
        </is>
      </c>
      <c r="E5498" t="inlineStr">
        <is>
          <t>Lima, 24 de Agosto del 2026</t>
        </is>
      </c>
      <c r="F5498" t="inlineStr">
        <is>
          <t>la Recarga y mantenimiento</t>
        </is>
      </c>
      <c r="G5498" t="inlineStr">
        <is>
          <t>01</t>
        </is>
      </c>
      <c r="H5498" t="inlineStr">
        <is>
          <t>05 LBS</t>
        </is>
      </c>
      <c r="I5498" t="n">
        <v>2028</v>
      </c>
      <c r="J5498" t="n">
        <v>2023</v>
      </c>
      <c r="K5498" t="inlineStr">
        <is>
          <t>AGOSTO 2026</t>
        </is>
      </c>
      <c r="L5498" t="inlineStr">
        <is>
          <t>AGOSTO 2027</t>
        </is>
      </c>
      <c r="M5498" t="inlineStr">
        <is>
          <t xml:space="preserve">CO2 TIPO BC </t>
        </is>
      </c>
      <c r="N5498" t="inlineStr">
        <is>
          <t>000165</t>
        </is>
      </c>
      <c r="O5498" t="inlineStr">
        <is>
          <t>R</t>
        </is>
      </c>
      <c r="P5498">
        <f>TRIM(N5498)</f>
        <v/>
      </c>
    </row>
    <row r="5499">
      <c r="A5499" t="inlineStr">
        <is>
          <t>CO-002916</t>
        </is>
      </c>
      <c r="B5499" t="inlineStr">
        <is>
          <t xml:space="preserve">AFRODITA TELECOMUNICACIONES EIRL </t>
        </is>
      </c>
      <c r="C5499" t="n">
        <v>20603272197</v>
      </c>
      <c r="D5499" t="inlineStr">
        <is>
          <t xml:space="preserve">HUB CONDOMINIO - SAN MIGUEL </t>
        </is>
      </c>
      <c r="E5499" t="inlineStr">
        <is>
          <t>Lima, 24 de Agosto del 2026</t>
        </is>
      </c>
      <c r="F5499" t="inlineStr">
        <is>
          <t>la Recarga y mantenimiento</t>
        </is>
      </c>
      <c r="G5499" t="inlineStr">
        <is>
          <t>01</t>
        </is>
      </c>
      <c r="H5499" t="inlineStr">
        <is>
          <t>05 LBS</t>
        </is>
      </c>
      <c r="I5499" t="n">
        <v>2028</v>
      </c>
      <c r="J5499" t="n">
        <v>2023</v>
      </c>
      <c r="K5499" t="inlineStr">
        <is>
          <t>AGOSTO 2026</t>
        </is>
      </c>
      <c r="L5499" t="inlineStr">
        <is>
          <t>AGOSTO 2027</t>
        </is>
      </c>
      <c r="M5499" t="inlineStr">
        <is>
          <t xml:space="preserve">CO2 TIPO BC </t>
        </is>
      </c>
      <c r="N5499" t="inlineStr">
        <is>
          <t>000477</t>
        </is>
      </c>
      <c r="O5499" t="inlineStr">
        <is>
          <t>R</t>
        </is>
      </c>
      <c r="P5499">
        <f>TRIM(N5499)</f>
        <v/>
      </c>
    </row>
    <row r="5500">
      <c r="A5500" t="inlineStr">
        <is>
          <t>CO-002917</t>
        </is>
      </c>
      <c r="B5500" t="inlineStr">
        <is>
          <t xml:space="preserve">JOSE MELCHOR SANCHEZ HUAMAN </t>
        </is>
      </c>
      <c r="C5500" t="inlineStr">
        <is>
          <t>41204120</t>
        </is>
      </c>
      <c r="D5500" t="inlineStr">
        <is>
          <t>JR. MARTE N°107 AÑO NUEVO - COMAS</t>
        </is>
      </c>
      <c r="E5500" t="inlineStr">
        <is>
          <t>Lima, 26 de Agosto del 2026</t>
        </is>
      </c>
      <c r="F5500" t="inlineStr">
        <is>
          <t>la Recarga y mantenimiento</t>
        </is>
      </c>
      <c r="G5500" t="inlineStr">
        <is>
          <t>01</t>
        </is>
      </c>
      <c r="H5500" t="inlineStr">
        <is>
          <t>06 KG</t>
        </is>
      </c>
      <c r="I5500" t="inlineStr">
        <is>
          <t>2027</t>
        </is>
      </c>
      <c r="J5500" t="n">
        <v>2022</v>
      </c>
      <c r="K5500" t="inlineStr">
        <is>
          <t>AGOSTO 2026</t>
        </is>
      </c>
      <c r="L5500" t="inlineStr">
        <is>
          <t>AGOSTO 2027</t>
        </is>
      </c>
      <c r="M5500" t="inlineStr">
        <is>
          <t>PQS TIPO ABC AL 75%</t>
        </is>
      </c>
      <c r="N5500" t="inlineStr">
        <is>
          <t>01/422693</t>
        </is>
      </c>
      <c r="O5500" t="inlineStr">
        <is>
          <t>R</t>
        </is>
      </c>
      <c r="P5500">
        <f>TRIM(N5500)</f>
        <v/>
      </c>
    </row>
    <row r="5501">
      <c r="A5501" t="inlineStr">
        <is>
          <t>CO-002917</t>
        </is>
      </c>
      <c r="B5501" t="inlineStr">
        <is>
          <t xml:space="preserve">JOSE MELCHOR SANCHEZ HUAMAN </t>
        </is>
      </c>
      <c r="C5501" t="inlineStr">
        <is>
          <t>41204120</t>
        </is>
      </c>
      <c r="D5501" t="inlineStr">
        <is>
          <t>JR. MARTE N°107 AÑO NUEVO - COMAS</t>
        </is>
      </c>
      <c r="E5501" t="inlineStr">
        <is>
          <t>Lima, 26 de Agosto del 2026</t>
        </is>
      </c>
      <c r="F5501" t="inlineStr">
        <is>
          <t>la Recarga y mantenimiento</t>
        </is>
      </c>
      <c r="G5501" t="inlineStr">
        <is>
          <t>02</t>
        </is>
      </c>
      <c r="H5501" t="inlineStr">
        <is>
          <t>06 KG</t>
        </is>
      </c>
      <c r="I5501" t="inlineStr">
        <is>
          <t>2027</t>
        </is>
      </c>
      <c r="J5501" t="n">
        <v>2022</v>
      </c>
      <c r="K5501" t="inlineStr">
        <is>
          <t>AGOSTO 2026</t>
        </is>
      </c>
      <c r="L5501" t="inlineStr">
        <is>
          <t>AGOSTO 2027</t>
        </is>
      </c>
      <c r="M5501" t="inlineStr">
        <is>
          <t>PQS TIPO ABC AL 75%</t>
        </is>
      </c>
      <c r="N5501" t="inlineStr">
        <is>
          <t>02/501379</t>
        </is>
      </c>
      <c r="O5501" t="inlineStr">
        <is>
          <t>R</t>
        </is>
      </c>
      <c r="P5501">
        <f>TRIM(N5501)</f>
        <v/>
      </c>
    </row>
    <row r="5502">
      <c r="A5502" t="inlineStr">
        <is>
          <t>CO-002917</t>
        </is>
      </c>
      <c r="B5502" t="inlineStr">
        <is>
          <t xml:space="preserve">JOSE MELCHOR SANCHEZ HUAMAN </t>
        </is>
      </c>
      <c r="C5502" t="inlineStr">
        <is>
          <t>41204120</t>
        </is>
      </c>
      <c r="D5502" t="inlineStr">
        <is>
          <t>JR. MARTE N°107 AÑO NUEVO - COMAS</t>
        </is>
      </c>
      <c r="E5502" t="inlineStr">
        <is>
          <t>Lima, 26 de Agosto del 2026</t>
        </is>
      </c>
      <c r="F5502" t="inlineStr">
        <is>
          <t>la Recarga y mantenimiento</t>
        </is>
      </c>
      <c r="G5502" t="inlineStr">
        <is>
          <t>03</t>
        </is>
      </c>
      <c r="H5502" t="inlineStr">
        <is>
          <t>06 KG</t>
        </is>
      </c>
      <c r="I5502" t="inlineStr">
        <is>
          <t>2027</t>
        </is>
      </c>
      <c r="J5502" t="n">
        <v>2022</v>
      </c>
      <c r="K5502" t="inlineStr">
        <is>
          <t>AGOSTO 2026</t>
        </is>
      </c>
      <c r="L5502" t="inlineStr">
        <is>
          <t>AGOSTO 2027</t>
        </is>
      </c>
      <c r="M5502" t="inlineStr">
        <is>
          <t>PQS TIPO ABC AL 75%</t>
        </is>
      </c>
      <c r="N5502" t="inlineStr">
        <is>
          <t>03/501314</t>
        </is>
      </c>
      <c r="O5502" t="inlineStr">
        <is>
          <t>R</t>
        </is>
      </c>
      <c r="P5502">
        <f>TRIM(N5502)</f>
        <v/>
      </c>
    </row>
    <row r="5503">
      <c r="A5503" t="inlineStr">
        <is>
          <t>CO-002917</t>
        </is>
      </c>
      <c r="B5503" t="inlineStr">
        <is>
          <t xml:space="preserve">JOSE MELCHOR SANCHEZ HUAMAN </t>
        </is>
      </c>
      <c r="C5503" t="inlineStr">
        <is>
          <t>41204120</t>
        </is>
      </c>
      <c r="D5503" t="inlineStr">
        <is>
          <t>JR. MARTE N°107 AÑO NUEVO - COMAS</t>
        </is>
      </c>
      <c r="E5503" t="inlineStr">
        <is>
          <t>Lima, 26 de Agosto del 2026</t>
        </is>
      </c>
      <c r="F5503" t="inlineStr">
        <is>
          <t>la Recarga y mantenimiento</t>
        </is>
      </c>
      <c r="G5503" t="inlineStr">
        <is>
          <t>04</t>
        </is>
      </c>
      <c r="H5503" t="inlineStr">
        <is>
          <t>06 KG</t>
        </is>
      </c>
      <c r="I5503" t="n">
        <v>2027</v>
      </c>
      <c r="J5503" t="n">
        <v>2022</v>
      </c>
      <c r="K5503" t="inlineStr">
        <is>
          <t>AGOSTO 2026</t>
        </is>
      </c>
      <c r="L5503" t="inlineStr">
        <is>
          <t>AGOSTO 2027</t>
        </is>
      </c>
      <c r="M5503" t="inlineStr">
        <is>
          <t>P.Q.S TIPO ABC</t>
        </is>
      </c>
      <c r="N5503" t="inlineStr">
        <is>
          <t>04/422674</t>
        </is>
      </c>
      <c r="O5503" t="inlineStr">
        <is>
          <t>R</t>
        </is>
      </c>
      <c r="P5503">
        <f>TRIM(N5503)</f>
        <v/>
      </c>
    </row>
    <row r="5504">
      <c r="A5504" t="inlineStr">
        <is>
          <t>CO-002917</t>
        </is>
      </c>
      <c r="B5504" t="inlineStr">
        <is>
          <t xml:space="preserve">JOSE MELCHOR SANCHEZ HUAMAN </t>
        </is>
      </c>
      <c r="C5504" t="inlineStr">
        <is>
          <t>41204120</t>
        </is>
      </c>
      <c r="D5504" t="inlineStr">
        <is>
          <t>JR. MARTE N°107 AÑO NUEVO - COMAS</t>
        </is>
      </c>
      <c r="E5504" t="inlineStr">
        <is>
          <t>Lima, 26 de Agosto del 2026</t>
        </is>
      </c>
      <c r="F5504" t="inlineStr">
        <is>
          <t>la Recarga y mantenimiento</t>
        </is>
      </c>
      <c r="G5504" t="inlineStr">
        <is>
          <t>05</t>
        </is>
      </c>
      <c r="H5504" t="inlineStr">
        <is>
          <t>06 KG</t>
        </is>
      </c>
      <c r="I5504" t="n">
        <v>2027</v>
      </c>
      <c r="J5504" t="n">
        <v>2022</v>
      </c>
      <c r="K5504" t="inlineStr">
        <is>
          <t>AGOSTO 2026</t>
        </is>
      </c>
      <c r="L5504" t="inlineStr">
        <is>
          <t>AGOSTO 2027</t>
        </is>
      </c>
      <c r="M5504" t="inlineStr">
        <is>
          <t>PQS TIPO ABC AL 75%</t>
        </is>
      </c>
      <c r="N5504" t="inlineStr">
        <is>
          <t>05/501365</t>
        </is>
      </c>
      <c r="O5504" t="inlineStr">
        <is>
          <t>R</t>
        </is>
      </c>
      <c r="P5504">
        <f>TRIM(N5504)</f>
        <v/>
      </c>
    </row>
    <row r="5505">
      <c r="A5505" t="inlineStr">
        <is>
          <t>CO-002917</t>
        </is>
      </c>
      <c r="B5505" t="inlineStr">
        <is>
          <t xml:space="preserve">JOSE MELCHOR SANCHEZ HUAMAN </t>
        </is>
      </c>
      <c r="C5505" t="inlineStr">
        <is>
          <t>41204120</t>
        </is>
      </c>
      <c r="D5505" t="inlineStr">
        <is>
          <t>JR. MARTE N°107 AÑO NUEVO - COMAS</t>
        </is>
      </c>
      <c r="E5505" t="inlineStr">
        <is>
          <t>Lima, 26 de Agosto del 2026</t>
        </is>
      </c>
      <c r="F5505" t="inlineStr">
        <is>
          <t>la Recarga y mantenimiento</t>
        </is>
      </c>
      <c r="G5505" t="inlineStr">
        <is>
          <t>06</t>
        </is>
      </c>
      <c r="H5505" t="inlineStr">
        <is>
          <t>06 KG</t>
        </is>
      </c>
      <c r="I5505" t="n">
        <v>2027</v>
      </c>
      <c r="J5505" t="n">
        <v>2022</v>
      </c>
      <c r="K5505" t="inlineStr">
        <is>
          <t>AGOSTO 2026</t>
        </is>
      </c>
      <c r="L5505" t="inlineStr">
        <is>
          <t>AGOSTO 2027</t>
        </is>
      </c>
      <c r="M5505" t="inlineStr">
        <is>
          <t>PQS TIPO ABC AL 75%</t>
        </is>
      </c>
      <c r="N5505" t="inlineStr">
        <is>
          <t>06/501345</t>
        </is>
      </c>
      <c r="O5505" t="inlineStr">
        <is>
          <t>R</t>
        </is>
      </c>
      <c r="P5505">
        <f>TRIM(N5505)</f>
        <v/>
      </c>
    </row>
    <row r="5506">
      <c r="A5506" t="inlineStr">
        <is>
          <t>CO-002920</t>
        </is>
      </c>
      <c r="B5506" t="inlineStr">
        <is>
          <t xml:space="preserve">JOSE MELCHOR SANCHEZ HUAMAN </t>
        </is>
      </c>
      <c r="C5506" t="inlineStr">
        <is>
          <t>41204120</t>
        </is>
      </c>
      <c r="D5506" t="inlineStr">
        <is>
          <t>JR. MARTE N°107 AÑO NUEVO - COMAS</t>
        </is>
      </c>
      <c r="E5506" t="inlineStr">
        <is>
          <t>Lima, 26 de Agosto del 2026</t>
        </is>
      </c>
      <c r="F5506" t="inlineStr">
        <is>
          <t xml:space="preserve">La Venta </t>
        </is>
      </c>
      <c r="G5506" t="inlineStr">
        <is>
          <t>01</t>
        </is>
      </c>
      <c r="H5506" t="inlineStr">
        <is>
          <t>06 KG</t>
        </is>
      </c>
      <c r="I5506" t="inlineStr">
        <is>
          <t>2031</t>
        </is>
      </c>
      <c r="J5506" t="n">
        <v>2026</v>
      </c>
      <c r="K5506" t="inlineStr">
        <is>
          <t>AGOSTO 2026</t>
        </is>
      </c>
      <c r="L5506" t="inlineStr">
        <is>
          <t>AGOSTO 2027</t>
        </is>
      </c>
      <c r="M5506" t="inlineStr">
        <is>
          <t>PQS TIPO ABC AL 75%</t>
        </is>
      </c>
      <c r="N5506" t="inlineStr">
        <is>
          <t>01/001570</t>
        </is>
      </c>
      <c r="O5506" t="inlineStr">
        <is>
          <t>R</t>
        </is>
      </c>
      <c r="P5506">
        <f>TRIM(N5506)</f>
        <v/>
      </c>
    </row>
    <row r="5507">
      <c r="A5507" t="inlineStr">
        <is>
          <t>CO-002921</t>
        </is>
      </c>
      <c r="B5507" t="inlineStr">
        <is>
          <t>LINCOL TECH SAC</t>
        </is>
      </c>
      <c r="C5507" t="inlineStr">
        <is>
          <t>20608072927</t>
        </is>
      </c>
      <c r="D5507" t="inlineStr">
        <is>
          <t>AV. LOS ROSALES NRO. 328 ASC. SHANGRILLA LIMA - LIMA - PUENTE PIEDRA</t>
        </is>
      </c>
      <c r="E5507" t="inlineStr">
        <is>
          <t>Lima, 26 de Agosto del 2026</t>
        </is>
      </c>
      <c r="F5507" t="inlineStr">
        <is>
          <t xml:space="preserve">la Vent, recarga y mantenimiento </t>
        </is>
      </c>
      <c r="G5507" t="inlineStr">
        <is>
          <t>01</t>
        </is>
      </c>
      <c r="H5507" t="inlineStr">
        <is>
          <t>12 KG</t>
        </is>
      </c>
      <c r="I5507" t="n">
        <v>2028</v>
      </c>
      <c r="J5507" t="n">
        <v>2023</v>
      </c>
      <c r="K5507" t="inlineStr">
        <is>
          <t>AGOSTO 2026</t>
        </is>
      </c>
      <c r="L5507" t="inlineStr">
        <is>
          <t>AGOSTO 2027</t>
        </is>
      </c>
      <c r="M5507" t="inlineStr">
        <is>
          <t>PQS TIPO ABC AL 75%</t>
        </is>
      </c>
      <c r="N5507" t="inlineStr">
        <is>
          <t>034499</t>
        </is>
      </c>
      <c r="O5507" t="inlineStr">
        <is>
          <t>R</t>
        </is>
      </c>
      <c r="P5507">
        <f>TRIM(N5507)</f>
        <v/>
      </c>
    </row>
    <row r="5508">
      <c r="A5508" t="inlineStr">
        <is>
          <t>CO-002921</t>
        </is>
      </c>
      <c r="B5508" t="inlineStr">
        <is>
          <t>LINCOL TECH SAC</t>
        </is>
      </c>
      <c r="C5508" t="inlineStr">
        <is>
          <t>20608072927</t>
        </is>
      </c>
      <c r="D5508" t="inlineStr">
        <is>
          <t>AV. LOS ROSALES NRO. 328 ASC. SHANGRILLA LIMA - LIMA - PUENTE PIEDRA</t>
        </is>
      </c>
      <c r="E5508" t="inlineStr">
        <is>
          <t>Lima, 26 de Agosto del 2026</t>
        </is>
      </c>
      <c r="F5508" t="inlineStr">
        <is>
          <t xml:space="preserve">la Vent, recarga y mantenimiento </t>
        </is>
      </c>
      <c r="G5508" t="inlineStr">
        <is>
          <t>02</t>
        </is>
      </c>
      <c r="H5508" t="inlineStr">
        <is>
          <t>10 BLS</t>
        </is>
      </c>
      <c r="I5508" t="n">
        <v>2030</v>
      </c>
      <c r="J5508" t="n">
        <v>2019</v>
      </c>
      <c r="K5508" t="inlineStr">
        <is>
          <t>AGOSTO 2026</t>
        </is>
      </c>
      <c r="L5508" t="inlineStr">
        <is>
          <t>AGOSTO 2027</t>
        </is>
      </c>
      <c r="M5508" t="inlineStr">
        <is>
          <t xml:space="preserve">CO2 TIPO BC </t>
        </is>
      </c>
      <c r="N5508" t="inlineStr">
        <is>
          <t>00093</t>
        </is>
      </c>
      <c r="O5508" t="inlineStr">
        <is>
          <t>R</t>
        </is>
      </c>
      <c r="P5508">
        <f>TRIM(N5508)</f>
        <v/>
      </c>
    </row>
    <row r="5509">
      <c r="A5509" t="inlineStr">
        <is>
          <t>CO-002922</t>
        </is>
      </c>
      <c r="B5509" t="inlineStr">
        <is>
          <t>PERU MASIVO - BUSES</t>
        </is>
      </c>
      <c r="C5509" t="inlineStr">
        <is>
          <t>20492392031</t>
        </is>
      </c>
      <c r="D5509" t="inlineStr">
        <is>
          <t>AV. LOS INCAS CDRA. 4 PATIO NORTE - COMAS</t>
        </is>
      </c>
      <c r="E5509" t="inlineStr">
        <is>
          <t>Lima, 27 de Agosto del 2026</t>
        </is>
      </c>
      <c r="F5509" t="inlineStr">
        <is>
          <t>la Recarga y mantenimiento</t>
        </is>
      </c>
      <c r="G5509" t="inlineStr">
        <is>
          <t>01</t>
        </is>
      </c>
      <c r="H5509" t="inlineStr">
        <is>
          <t>06 KG</t>
        </is>
      </c>
      <c r="I5509" t="n">
        <v>2028</v>
      </c>
      <c r="J5509" t="n">
        <v>2009</v>
      </c>
      <c r="K5509" t="inlineStr">
        <is>
          <t>AGOSTO 2026</t>
        </is>
      </c>
      <c r="L5509" t="inlineStr">
        <is>
          <t>AGOSTO 2027</t>
        </is>
      </c>
      <c r="M5509" t="inlineStr">
        <is>
          <t>PQS TIPO ABC AL 90%</t>
        </is>
      </c>
      <c r="N5509" t="inlineStr">
        <is>
          <t>15/001151</t>
        </is>
      </c>
      <c r="O5509" t="inlineStr">
        <is>
          <t>R</t>
        </is>
      </c>
      <c r="P5509">
        <f>TRIM(N5509)</f>
        <v/>
      </c>
    </row>
    <row r="5510">
      <c r="A5510" t="inlineStr">
        <is>
          <t>CO-002922</t>
        </is>
      </c>
      <c r="B5510" t="inlineStr">
        <is>
          <t>PERU MASIVO - BUSES</t>
        </is>
      </c>
      <c r="C5510" t="inlineStr">
        <is>
          <t>20492392031</t>
        </is>
      </c>
      <c r="D5510" t="inlineStr">
        <is>
          <t>AV. LOS INCAS CDRA. 4 PATIO NORTE - COMAS</t>
        </is>
      </c>
      <c r="E5510" t="inlineStr">
        <is>
          <t>Lima, 27 de Agosto del 2026</t>
        </is>
      </c>
      <c r="F5510" t="inlineStr">
        <is>
          <t>la Recarga y mantenimiento</t>
        </is>
      </c>
      <c r="G5510" t="inlineStr">
        <is>
          <t>02</t>
        </is>
      </c>
      <c r="H5510" t="inlineStr">
        <is>
          <t>06 KG</t>
        </is>
      </c>
      <c r="I5510" t="n">
        <v>2028</v>
      </c>
      <c r="J5510" t="n">
        <v>2009</v>
      </c>
      <c r="K5510" t="inlineStr">
        <is>
          <t>AGOSTO 2026</t>
        </is>
      </c>
      <c r="L5510" t="inlineStr">
        <is>
          <t>AGOSTO 2027</t>
        </is>
      </c>
      <c r="M5510" t="inlineStr">
        <is>
          <t>PQS TIPO ABC AL 90%</t>
        </is>
      </c>
      <c r="N5510" t="inlineStr">
        <is>
          <t>374/001418</t>
        </is>
      </c>
      <c r="O5510" t="inlineStr">
        <is>
          <t>R</t>
        </is>
      </c>
      <c r="P5510">
        <f>TRIM(N5510)</f>
        <v/>
      </c>
    </row>
    <row r="5511">
      <c r="A5511" t="inlineStr">
        <is>
          <t>CO-002922</t>
        </is>
      </c>
      <c r="B5511" t="inlineStr">
        <is>
          <t>PERU MASIVO - BUSES</t>
        </is>
      </c>
      <c r="C5511" t="inlineStr">
        <is>
          <t>20492392031</t>
        </is>
      </c>
      <c r="D5511" t="inlineStr">
        <is>
          <t>AV. LOS INCAS CDRA. 4 PATIO NORTE - COMAS</t>
        </is>
      </c>
      <c r="E5511" t="inlineStr">
        <is>
          <t>Lima, 27 de Agosto del 2026</t>
        </is>
      </c>
      <c r="F5511" t="inlineStr">
        <is>
          <t>la Recarga y mantenimiento</t>
        </is>
      </c>
      <c r="G5511" t="inlineStr">
        <is>
          <t>03</t>
        </is>
      </c>
      <c r="H5511" t="inlineStr">
        <is>
          <t>06 KG</t>
        </is>
      </c>
      <c r="I5511" t="n">
        <v>2028</v>
      </c>
      <c r="J5511" t="n">
        <v>2010</v>
      </c>
      <c r="K5511" t="inlineStr">
        <is>
          <t>AGOSTO 2026</t>
        </is>
      </c>
      <c r="L5511" t="inlineStr">
        <is>
          <t>AGOSTO 2027</t>
        </is>
      </c>
      <c r="M5511" t="inlineStr">
        <is>
          <t>PQS TIPO ABC AL 90%</t>
        </is>
      </c>
      <c r="N5511" t="inlineStr">
        <is>
          <t>237/002081</t>
        </is>
      </c>
      <c r="O5511" t="inlineStr">
        <is>
          <t>R</t>
        </is>
      </c>
      <c r="P5511">
        <f>TRIM(N5511)</f>
        <v/>
      </c>
    </row>
    <row r="5512">
      <c r="A5512" t="inlineStr">
        <is>
          <t>CO-002922</t>
        </is>
      </c>
      <c r="B5512" t="inlineStr">
        <is>
          <t>PERU MASIVO - BUSES</t>
        </is>
      </c>
      <c r="C5512" t="inlineStr">
        <is>
          <t>20492392031</t>
        </is>
      </c>
      <c r="D5512" t="inlineStr">
        <is>
          <t>AV. LOS INCAS CDRA. 4 PATIO NORTE - COMAS</t>
        </is>
      </c>
      <c r="E5512" t="inlineStr">
        <is>
          <t>Lima, 27 de Agosto del 2026</t>
        </is>
      </c>
      <c r="F5512" t="inlineStr">
        <is>
          <t>la Recarga y mantenimiento</t>
        </is>
      </c>
      <c r="G5512" t="inlineStr">
        <is>
          <t>04</t>
        </is>
      </c>
      <c r="H5512" t="inlineStr">
        <is>
          <t>06 KG</t>
        </is>
      </c>
      <c r="I5512" t="n">
        <v>2028</v>
      </c>
      <c r="J5512" t="n">
        <v>2010</v>
      </c>
      <c r="K5512" t="inlineStr">
        <is>
          <t>AGOSTO 2026</t>
        </is>
      </c>
      <c r="L5512" t="inlineStr">
        <is>
          <t>AGOSTO 2027</t>
        </is>
      </c>
      <c r="M5512" t="inlineStr">
        <is>
          <t>PQS TIPO ABC AL 90%</t>
        </is>
      </c>
      <c r="N5512" t="inlineStr">
        <is>
          <t>369/001484</t>
        </is>
      </c>
      <c r="O5512" t="inlineStr">
        <is>
          <t>R</t>
        </is>
      </c>
      <c r="P5512">
        <f>TRIM(N5512)</f>
        <v/>
      </c>
    </row>
    <row r="5513">
      <c r="A5513" t="inlineStr">
        <is>
          <t>CO-002922</t>
        </is>
      </c>
      <c r="B5513" t="inlineStr">
        <is>
          <t>PERU MASIVO - BUSES</t>
        </is>
      </c>
      <c r="C5513" t="inlineStr">
        <is>
          <t>20492392031</t>
        </is>
      </c>
      <c r="D5513" t="inlineStr">
        <is>
          <t>AV. LOS INCAS CDRA. 4 PATIO NORTE - COMAS</t>
        </is>
      </c>
      <c r="E5513" t="inlineStr">
        <is>
          <t>Lima, 27 de Agosto del 2026</t>
        </is>
      </c>
      <c r="F5513" t="inlineStr">
        <is>
          <t>la Recarga y mantenimiento</t>
        </is>
      </c>
      <c r="G5513" t="inlineStr">
        <is>
          <t>05</t>
        </is>
      </c>
      <c r="H5513" t="inlineStr">
        <is>
          <t>06 KG</t>
        </is>
      </c>
      <c r="I5513" t="n">
        <v>2028</v>
      </c>
      <c r="J5513" t="n">
        <v>2013</v>
      </c>
      <c r="K5513" t="inlineStr">
        <is>
          <t>AGOSTO 2026</t>
        </is>
      </c>
      <c r="L5513" t="inlineStr">
        <is>
          <t>AGOSTO 2027</t>
        </is>
      </c>
      <c r="M5513" t="inlineStr">
        <is>
          <t>PQS TIPO ABC AL 90%</t>
        </is>
      </c>
      <c r="N5513" t="inlineStr">
        <is>
          <t>351/017130</t>
        </is>
      </c>
      <c r="O5513" t="inlineStr">
        <is>
          <t>R</t>
        </is>
      </c>
      <c r="P5513">
        <f>TRIM(N5513)</f>
        <v/>
      </c>
    </row>
    <row r="5514">
      <c r="A5514" t="inlineStr">
        <is>
          <t>CO-002922</t>
        </is>
      </c>
      <c r="B5514" t="inlineStr">
        <is>
          <t>PERU MASIVO - BUSES</t>
        </is>
      </c>
      <c r="C5514" t="inlineStr">
        <is>
          <t>20492392031</t>
        </is>
      </c>
      <c r="D5514" t="inlineStr">
        <is>
          <t>AV. LOS INCAS CDRA. 4 PATIO NORTE - COMAS</t>
        </is>
      </c>
      <c r="E5514" t="inlineStr">
        <is>
          <t>Lima, 27 de Agosto del 2026</t>
        </is>
      </c>
      <c r="F5514" t="inlineStr">
        <is>
          <t>la Recarga y mantenimiento</t>
        </is>
      </c>
      <c r="G5514" t="inlineStr">
        <is>
          <t>06</t>
        </is>
      </c>
      <c r="H5514" t="inlineStr">
        <is>
          <t>06 KG</t>
        </is>
      </c>
      <c r="I5514" t="n">
        <v>2028</v>
      </c>
      <c r="J5514" t="n">
        <v>2010</v>
      </c>
      <c r="K5514" t="inlineStr">
        <is>
          <t>AGOSTO 2026</t>
        </is>
      </c>
      <c r="L5514" t="inlineStr">
        <is>
          <t>AGOSTO 2027</t>
        </is>
      </c>
      <c r="M5514" t="inlineStr">
        <is>
          <t>PQS TIPO ABC AL 90%</t>
        </is>
      </c>
      <c r="N5514" t="inlineStr">
        <is>
          <t>270/000254</t>
        </is>
      </c>
      <c r="O5514" t="inlineStr">
        <is>
          <t>R</t>
        </is>
      </c>
      <c r="P5514">
        <f>TRIM(N5514)</f>
        <v/>
      </c>
    </row>
    <row r="5515">
      <c r="A5515" t="inlineStr">
        <is>
          <t>CO-002922</t>
        </is>
      </c>
      <c r="B5515" t="inlineStr">
        <is>
          <t>PERU MASIVO - BUSES</t>
        </is>
      </c>
      <c r="C5515" t="inlineStr">
        <is>
          <t>20492392031</t>
        </is>
      </c>
      <c r="D5515" t="inlineStr">
        <is>
          <t>AV. LOS INCAS CDRA. 4 PATIO NORTE - COMAS</t>
        </is>
      </c>
      <c r="E5515" t="inlineStr">
        <is>
          <t>Lima, 27 de Agosto del 2026</t>
        </is>
      </c>
      <c r="F5515" t="inlineStr">
        <is>
          <t>la Recarga y mantenimiento</t>
        </is>
      </c>
      <c r="G5515" t="inlineStr">
        <is>
          <t>07</t>
        </is>
      </c>
      <c r="H5515" t="inlineStr">
        <is>
          <t>06 KG</t>
        </is>
      </c>
      <c r="I5515" t="n">
        <v>2029</v>
      </c>
      <c r="J5515" t="n">
        <v>2019</v>
      </c>
      <c r="K5515" t="inlineStr">
        <is>
          <t>AGOSTO 2026</t>
        </is>
      </c>
      <c r="L5515" t="inlineStr">
        <is>
          <t>AGOSTO 2027</t>
        </is>
      </c>
      <c r="M5515" t="inlineStr">
        <is>
          <t>PQS TIPO ABC AL 90%</t>
        </is>
      </c>
      <c r="N5515" t="inlineStr">
        <is>
          <t>170/001745</t>
        </is>
      </c>
      <c r="O5515" t="inlineStr">
        <is>
          <t>R</t>
        </is>
      </c>
      <c r="P5515">
        <f>TRIM(N5515)</f>
        <v/>
      </c>
    </row>
    <row r="5516">
      <c r="A5516" t="inlineStr">
        <is>
          <t>CO-002922</t>
        </is>
      </c>
      <c r="B5516" t="inlineStr">
        <is>
          <t>PERU MASIVO - BUSES</t>
        </is>
      </c>
      <c r="C5516" t="inlineStr">
        <is>
          <t>20492392031</t>
        </is>
      </c>
      <c r="D5516" t="inlineStr">
        <is>
          <t>AV. LOS INCAS CDRA. 4 PATIO NORTE - COMAS</t>
        </is>
      </c>
      <c r="E5516" t="inlineStr">
        <is>
          <t>Lima, 27 de Agosto del 2026</t>
        </is>
      </c>
      <c r="F5516" t="inlineStr">
        <is>
          <t>la Recarga y mantenimiento</t>
        </is>
      </c>
      <c r="G5516" t="n">
        <v>8</v>
      </c>
      <c r="H5516" t="inlineStr">
        <is>
          <t>06 KG</t>
        </is>
      </c>
      <c r="I5516" t="n">
        <v>2028</v>
      </c>
      <c r="J5516" t="n">
        <v>2009</v>
      </c>
      <c r="K5516" t="inlineStr">
        <is>
          <t>AGOSTO 2026</t>
        </is>
      </c>
      <c r="L5516" t="inlineStr">
        <is>
          <t>AGOSTO 2027</t>
        </is>
      </c>
      <c r="M5516" t="inlineStr">
        <is>
          <t>PQS TIPO ABC AL 90%</t>
        </is>
      </c>
      <c r="N5516" t="inlineStr">
        <is>
          <t>205/000291</t>
        </is>
      </c>
      <c r="O5516" t="inlineStr">
        <is>
          <t>R</t>
        </is>
      </c>
      <c r="P5516">
        <f>TRIM(N5516)</f>
        <v/>
      </c>
    </row>
    <row r="5517">
      <c r="A5517" t="inlineStr">
        <is>
          <t>CO-002922</t>
        </is>
      </c>
      <c r="B5517" t="inlineStr">
        <is>
          <t>PERU MASIVO - BUSES</t>
        </is>
      </c>
      <c r="C5517" t="inlineStr">
        <is>
          <t>20492392031</t>
        </is>
      </c>
      <c r="D5517" t="inlineStr">
        <is>
          <t>AV. LOS INCAS CDRA. 4 PATIO NORTE - COMAS</t>
        </is>
      </c>
      <c r="E5517" t="inlineStr">
        <is>
          <t>Lima, 27 de Agosto del 2026</t>
        </is>
      </c>
      <c r="F5517" t="inlineStr">
        <is>
          <t>la Recarga y mantenimiento</t>
        </is>
      </c>
      <c r="G5517" t="n">
        <v>9</v>
      </c>
      <c r="H5517" t="inlineStr">
        <is>
          <t>06 KG</t>
        </is>
      </c>
      <c r="I5517" t="n">
        <v>2029</v>
      </c>
      <c r="J5517" t="n">
        <v>2019</v>
      </c>
      <c r="K5517" t="inlineStr">
        <is>
          <t>AGOSTO 2026</t>
        </is>
      </c>
      <c r="L5517" t="inlineStr">
        <is>
          <t>AGOSTO 2027</t>
        </is>
      </c>
      <c r="M5517" t="inlineStr">
        <is>
          <t>PQS TIPO ABC AL 90%</t>
        </is>
      </c>
      <c r="N5517" t="inlineStr">
        <is>
          <t>165/001487</t>
        </is>
      </c>
      <c r="O5517" t="inlineStr">
        <is>
          <t>R</t>
        </is>
      </c>
      <c r="P5517">
        <f>TRIM(N5517)</f>
        <v/>
      </c>
    </row>
    <row r="5518">
      <c r="A5518" t="inlineStr">
        <is>
          <t>CO-002922</t>
        </is>
      </c>
      <c r="B5518" t="inlineStr">
        <is>
          <t>PERU MASIVO - BUSES</t>
        </is>
      </c>
      <c r="C5518" t="inlineStr">
        <is>
          <t>20492392031</t>
        </is>
      </c>
      <c r="D5518" t="inlineStr">
        <is>
          <t>AV. LOS INCAS CDRA. 4 PATIO NORTE - COMAS</t>
        </is>
      </c>
      <c r="E5518" t="inlineStr">
        <is>
          <t>Lima, 27 de Agosto del 2026</t>
        </is>
      </c>
      <c r="F5518" t="inlineStr">
        <is>
          <t>la Recarga y mantenimiento</t>
        </is>
      </c>
      <c r="G5518" t="n">
        <v>10</v>
      </c>
      <c r="H5518" t="inlineStr">
        <is>
          <t>06 KG</t>
        </is>
      </c>
      <c r="I5518" t="n">
        <v>2028</v>
      </c>
      <c r="J5518" t="n">
        <v>2009</v>
      </c>
      <c r="K5518" t="inlineStr">
        <is>
          <t>AGOSTO 2026</t>
        </is>
      </c>
      <c r="L5518" t="inlineStr">
        <is>
          <t>AGOSTO 2027</t>
        </is>
      </c>
      <c r="M5518" t="inlineStr">
        <is>
          <t>PQS TIPO ABC AL 90%</t>
        </is>
      </c>
      <c r="N5518" t="inlineStr">
        <is>
          <t>281/002165</t>
        </is>
      </c>
      <c r="O5518" t="inlineStr">
        <is>
          <t>R</t>
        </is>
      </c>
      <c r="P5518">
        <f>TRIM(N5518)</f>
        <v/>
      </c>
    </row>
    <row r="5519">
      <c r="A5519" t="inlineStr">
        <is>
          <t>CO-002922</t>
        </is>
      </c>
      <c r="B5519" t="inlineStr">
        <is>
          <t>PERU MASIVO - BUSES</t>
        </is>
      </c>
      <c r="C5519" t="inlineStr">
        <is>
          <t>20492392031</t>
        </is>
      </c>
      <c r="D5519" t="inlineStr">
        <is>
          <t>AV. LOS INCAS CDRA. 4 PATIO NORTE - COMAS</t>
        </is>
      </c>
      <c r="E5519" t="inlineStr">
        <is>
          <t>Lima, 27 de Agosto del 2026</t>
        </is>
      </c>
      <c r="F5519" t="inlineStr">
        <is>
          <t>la Recarga y mantenimiento</t>
        </is>
      </c>
      <c r="G5519" t="n">
        <v>11</v>
      </c>
      <c r="H5519" t="inlineStr">
        <is>
          <t>06 KG</t>
        </is>
      </c>
      <c r="I5519" t="n">
        <v>2031</v>
      </c>
      <c r="J5519" t="n">
        <v>2026</v>
      </c>
      <c r="K5519" t="inlineStr">
        <is>
          <t>AGOSTO 2026</t>
        </is>
      </c>
      <c r="L5519" t="inlineStr">
        <is>
          <t>AGOSTO 2027</t>
        </is>
      </c>
      <c r="M5519" t="inlineStr">
        <is>
          <t>PQS TIPO ABC AL 90%</t>
        </is>
      </c>
      <c r="N5519" t="n">
        <v>163736</v>
      </c>
      <c r="O5519" t="inlineStr">
        <is>
          <t>R</t>
        </is>
      </c>
      <c r="P5519">
        <f>TRIM(N5519)</f>
        <v/>
      </c>
    </row>
    <row r="5520">
      <c r="A5520" t="inlineStr">
        <is>
          <t>CO-002759</t>
        </is>
      </c>
      <c r="B5520" t="inlineStr">
        <is>
          <t>BRITISH AMERICAN HOSPITAL S.A. - CLINICA ANGLOAMERICANA</t>
        </is>
      </c>
      <c r="C5520" t="inlineStr">
        <is>
          <t>20107695584</t>
        </is>
      </c>
      <c r="D5520" t="inlineStr">
        <is>
          <t xml:space="preserve">JR ALFREDO SALAZAR 350 - SAN ISIDRO </t>
        </is>
      </c>
      <c r="E5520" t="inlineStr">
        <is>
          <t>Lima, 28 de Agosto del 2026</t>
        </is>
      </c>
      <c r="F5520" t="inlineStr">
        <is>
          <t xml:space="preserve">El mantenimiento </t>
        </is>
      </c>
      <c r="G5520" t="inlineStr">
        <is>
          <t>01</t>
        </is>
      </c>
      <c r="H5520" t="inlineStr">
        <is>
          <t xml:space="preserve">11 LBS </t>
        </is>
      </c>
      <c r="I5520" t="inlineStr">
        <is>
          <t>2027</t>
        </is>
      </c>
      <c r="J5520" t="n">
        <v>2014</v>
      </c>
      <c r="K5520" t="inlineStr">
        <is>
          <t>AGOSTO 2026</t>
        </is>
      </c>
      <c r="L5520" t="inlineStr">
        <is>
          <t>AGOSTO 2027</t>
        </is>
      </c>
      <c r="M5520" t="inlineStr">
        <is>
          <t>HALOTRON</t>
        </is>
      </c>
      <c r="N5520" t="inlineStr">
        <is>
          <t>E-303/Y-615312</t>
        </is>
      </c>
      <c r="O5520" t="inlineStr">
        <is>
          <t>M</t>
        </is>
      </c>
      <c r="P5520">
        <f>TRIM(N5520)</f>
        <v/>
      </c>
    </row>
    <row r="5521">
      <c r="A5521" t="inlineStr">
        <is>
          <t>CO-002759</t>
        </is>
      </c>
      <c r="B5521" t="inlineStr">
        <is>
          <t>BRITISH AMERICAN HOSPITAL S.A. - CLINICA ANGLOAMERICANA</t>
        </is>
      </c>
      <c r="C5521" t="inlineStr">
        <is>
          <t>20107695584</t>
        </is>
      </c>
      <c r="D5521" t="inlineStr">
        <is>
          <t xml:space="preserve">JR ALFREDO SALAZAR 350 - SAN ISIDRO </t>
        </is>
      </c>
      <c r="E5521" t="inlineStr">
        <is>
          <t>Lima, 28 de Agosto del 2026</t>
        </is>
      </c>
      <c r="F5521" t="inlineStr">
        <is>
          <t xml:space="preserve">El mantenimiento </t>
        </is>
      </c>
      <c r="G5521" t="inlineStr">
        <is>
          <t>02</t>
        </is>
      </c>
      <c r="H5521" t="inlineStr">
        <is>
          <t xml:space="preserve">11 LBS </t>
        </is>
      </c>
      <c r="I5521" t="inlineStr">
        <is>
          <t>2029</t>
        </is>
      </c>
      <c r="J5521" t="n">
        <v>2024</v>
      </c>
      <c r="K5521" t="inlineStr">
        <is>
          <t>AGOSTO 2026</t>
        </is>
      </c>
      <c r="L5521" t="inlineStr">
        <is>
          <t>AGOSTO 2027</t>
        </is>
      </c>
      <c r="M5521" t="inlineStr">
        <is>
          <t>HALOTRON</t>
        </is>
      </c>
      <c r="N5521" t="inlineStr">
        <is>
          <t>E-078/I-42250744</t>
        </is>
      </c>
      <c r="O5521" t="inlineStr">
        <is>
          <t>M</t>
        </is>
      </c>
      <c r="P5521">
        <f>TRIM(N5521)</f>
        <v/>
      </c>
    </row>
    <row r="5522">
      <c r="A5522" t="inlineStr">
        <is>
          <t>CO-002759</t>
        </is>
      </c>
      <c r="B5522" t="inlineStr">
        <is>
          <t>BRITISH AMERICAN HOSPITAL S.A. - CLINICA ANGLOAMERICANA</t>
        </is>
      </c>
      <c r="C5522" t="inlineStr">
        <is>
          <t>20107695584</t>
        </is>
      </c>
      <c r="D5522" t="inlineStr">
        <is>
          <t xml:space="preserve">JR ALFREDO SALAZAR 350 - SAN ISIDRO </t>
        </is>
      </c>
      <c r="E5522" t="inlineStr">
        <is>
          <t>Lima, 28 de Agosto del 2026</t>
        </is>
      </c>
      <c r="F5522" t="inlineStr">
        <is>
          <t xml:space="preserve">El mantenimiento </t>
        </is>
      </c>
      <c r="G5522" t="inlineStr">
        <is>
          <t>03</t>
        </is>
      </c>
      <c r="H5522" t="inlineStr">
        <is>
          <t xml:space="preserve">11 LBS </t>
        </is>
      </c>
      <c r="I5522" t="inlineStr">
        <is>
          <t>2028</t>
        </is>
      </c>
      <c r="J5522" t="n">
        <v>2002</v>
      </c>
      <c r="K5522" t="inlineStr">
        <is>
          <t>AGOSTO 2026</t>
        </is>
      </c>
      <c r="L5522" t="inlineStr">
        <is>
          <t>AGOSTO 2027</t>
        </is>
      </c>
      <c r="M5522" t="inlineStr">
        <is>
          <t>HALOTRON</t>
        </is>
      </c>
      <c r="N5522" t="inlineStr">
        <is>
          <t>E-111/W-379030</t>
        </is>
      </c>
      <c r="O5522" t="inlineStr">
        <is>
          <t>M</t>
        </is>
      </c>
      <c r="P5522">
        <f>TRIM(N5522)</f>
        <v/>
      </c>
    </row>
    <row r="5523">
      <c r="A5523" t="inlineStr">
        <is>
          <t>CO-002924</t>
        </is>
      </c>
      <c r="B5523" t="inlineStr">
        <is>
          <t>TRANSPORTES A&amp;P YANAVILVA EIRL</t>
        </is>
      </c>
      <c r="C5523" t="inlineStr">
        <is>
          <t>20548344116</t>
        </is>
      </c>
      <c r="D5523" t="inlineStr">
        <is>
          <t>AV. PRINCIPAL ESQ. CON CALLE PORVENIR, CP SAN JOSE DE LOS CHORRILLOS</t>
        </is>
      </c>
      <c r="E5523" t="inlineStr">
        <is>
          <t>Lima, 29 de Agosto del 2026</t>
        </is>
      </c>
      <c r="F5523" t="inlineStr">
        <is>
          <t>la Recarga y mantenimiento</t>
        </is>
      </c>
      <c r="G5523" t="inlineStr">
        <is>
          <t>01</t>
        </is>
      </c>
      <c r="H5523" t="inlineStr">
        <is>
          <t>20 LBS</t>
        </is>
      </c>
      <c r="I5523" t="inlineStr">
        <is>
          <t>2026</t>
        </is>
      </c>
      <c r="J5523" t="n">
        <v>2016</v>
      </c>
      <c r="K5523" t="inlineStr">
        <is>
          <t>AGOSTO 2026</t>
        </is>
      </c>
      <c r="L5523" t="inlineStr">
        <is>
          <t>AGOSTO 2027</t>
        </is>
      </c>
      <c r="M5523" t="inlineStr">
        <is>
          <t>PQS TIPO ABC AL 90%</t>
        </is>
      </c>
      <c r="N5523" t="inlineStr">
        <is>
          <t>B06338358</t>
        </is>
      </c>
      <c r="O5523" t="inlineStr">
        <is>
          <t>R</t>
        </is>
      </c>
      <c r="P5523">
        <f>TRIM(N5523)</f>
        <v/>
      </c>
    </row>
    <row r="5524">
      <c r="A5524" t="inlineStr">
        <is>
          <t>CO-002925</t>
        </is>
      </c>
      <c r="B5524" t="inlineStr">
        <is>
          <t>TRANSPORTES A&amp;P YANAVILVA EIRL</t>
        </is>
      </c>
      <c r="C5524" t="inlineStr">
        <is>
          <t>20548344116</t>
        </is>
      </c>
      <c r="D5524" t="inlineStr">
        <is>
          <t>AV. PRINCIPAL ESQ. CON CALLE PORVENIR, CP SAN JOSE DE LOS CHORRILLOS</t>
        </is>
      </c>
      <c r="E5524" t="inlineStr">
        <is>
          <t>Lima, 29 de Agosto del 2026</t>
        </is>
      </c>
      <c r="F5524" t="inlineStr">
        <is>
          <t>la Recarga y mantenimiento</t>
        </is>
      </c>
      <c r="G5524" t="inlineStr">
        <is>
          <t>01</t>
        </is>
      </c>
      <c r="H5524" t="inlineStr">
        <is>
          <t>20 LBS</t>
        </is>
      </c>
      <c r="I5524" t="inlineStr">
        <is>
          <t>2031</t>
        </is>
      </c>
      <c r="J5524" t="n">
        <v>2016</v>
      </c>
      <c r="K5524" t="inlineStr">
        <is>
          <t>AGOSTO 2026</t>
        </is>
      </c>
      <c r="L5524" t="inlineStr">
        <is>
          <t>AGOSTO 2027</t>
        </is>
      </c>
      <c r="M5524" t="inlineStr">
        <is>
          <t>PQS TIPO ABC AL 90%</t>
        </is>
      </c>
      <c r="N5524" t="inlineStr">
        <is>
          <t>B06338566</t>
        </is>
      </c>
      <c r="O5524" t="inlineStr">
        <is>
          <t>R</t>
        </is>
      </c>
      <c r="P5524">
        <f>TRIM(N5524)</f>
        <v/>
      </c>
    </row>
    <row r="5525">
      <c r="A5525" t="inlineStr">
        <is>
          <t>CO-002926</t>
        </is>
      </c>
      <c r="B5525" t="inlineStr">
        <is>
          <t>PERU MASIVO - BUSES</t>
        </is>
      </c>
      <c r="C5525" t="inlineStr">
        <is>
          <t>20492392031</t>
        </is>
      </c>
      <c r="D5525" t="inlineStr">
        <is>
          <t>AV. LOS INCAS CDRA. 4 PATIO NORTE - COMAS</t>
        </is>
      </c>
      <c r="E5525" t="inlineStr">
        <is>
          <t>Lima, 31 de Agosto del 2026</t>
        </is>
      </c>
      <c r="F5525" t="inlineStr">
        <is>
          <t>la Recarga y mantenimiento</t>
        </is>
      </c>
      <c r="G5525" t="inlineStr">
        <is>
          <t>01</t>
        </is>
      </c>
      <c r="H5525" t="inlineStr">
        <is>
          <t>06 KG</t>
        </is>
      </c>
      <c r="I5525" t="n">
        <v>2028</v>
      </c>
      <c r="J5525" t="n">
        <v>2014</v>
      </c>
      <c r="K5525" t="inlineStr">
        <is>
          <t>AGOSTO 2026</t>
        </is>
      </c>
      <c r="L5525" t="inlineStr">
        <is>
          <t>AGOSTO 2027</t>
        </is>
      </c>
      <c r="M5525" t="inlineStr">
        <is>
          <t>PQS TIPO ABC AL 90%</t>
        </is>
      </c>
      <c r="N5525" t="inlineStr">
        <is>
          <t>190/000472</t>
        </is>
      </c>
      <c r="O5525" t="inlineStr">
        <is>
          <t>R</t>
        </is>
      </c>
      <c r="P5525">
        <f>TRIM(N5525)</f>
        <v/>
      </c>
    </row>
    <row r="5526">
      <c r="A5526" t="inlineStr">
        <is>
          <t>CO-002926</t>
        </is>
      </c>
      <c r="B5526" t="inlineStr">
        <is>
          <t>PERU MASIVO - BUSES</t>
        </is>
      </c>
      <c r="C5526" t="inlineStr">
        <is>
          <t>20492392031</t>
        </is>
      </c>
      <c r="D5526" t="inlineStr">
        <is>
          <t>AV. LOS INCAS CDRA. 4 PATIO NORTE - COMAS</t>
        </is>
      </c>
      <c r="E5526" t="inlineStr">
        <is>
          <t>Lima, 31 de Agosto del 2026</t>
        </is>
      </c>
      <c r="F5526" t="inlineStr">
        <is>
          <t>la Recarga y mantenimiento</t>
        </is>
      </c>
      <c r="G5526" t="inlineStr">
        <is>
          <t>02</t>
        </is>
      </c>
      <c r="H5526" t="inlineStr">
        <is>
          <t>06 KG</t>
        </is>
      </c>
      <c r="I5526" t="n">
        <v>2028</v>
      </c>
      <c r="J5526" t="n">
        <v>2009</v>
      </c>
      <c r="K5526" t="inlineStr">
        <is>
          <t>AGOSTO 2026</t>
        </is>
      </c>
      <c r="L5526" t="inlineStr">
        <is>
          <t>AGOSTO 2027</t>
        </is>
      </c>
      <c r="M5526" t="inlineStr">
        <is>
          <t>PQS TIPO ABC AL 90%</t>
        </is>
      </c>
      <c r="N5526" t="inlineStr">
        <is>
          <t>41/001746</t>
        </is>
      </c>
      <c r="O5526" t="inlineStr">
        <is>
          <t>R</t>
        </is>
      </c>
      <c r="P5526">
        <f>TRIM(N5526)</f>
        <v/>
      </c>
    </row>
    <row r="5527">
      <c r="A5527" t="inlineStr">
        <is>
          <t>CO-002926</t>
        </is>
      </c>
      <c r="B5527" t="inlineStr">
        <is>
          <t>PERU MASIVO - BUSES</t>
        </is>
      </c>
      <c r="C5527" t="inlineStr">
        <is>
          <t>20492392031</t>
        </is>
      </c>
      <c r="D5527" t="inlineStr">
        <is>
          <t>AV. LOS INCAS CDRA. 4 PATIO NORTE - COMAS</t>
        </is>
      </c>
      <c r="E5527" t="inlineStr">
        <is>
          <t>Lima, 31 de Agosto del 2026</t>
        </is>
      </c>
      <c r="F5527" t="inlineStr">
        <is>
          <t>la Recarga y mantenimiento</t>
        </is>
      </c>
      <c r="G5527" t="inlineStr">
        <is>
          <t>03</t>
        </is>
      </c>
      <c r="H5527" t="inlineStr">
        <is>
          <t>06 KG</t>
        </is>
      </c>
      <c r="I5527" t="n">
        <v>2028</v>
      </c>
      <c r="J5527" t="n">
        <v>2009</v>
      </c>
      <c r="K5527" t="inlineStr">
        <is>
          <t>AGOSTO 2026</t>
        </is>
      </c>
      <c r="L5527" t="inlineStr">
        <is>
          <t>AGOSTO 2027</t>
        </is>
      </c>
      <c r="M5527" t="inlineStr">
        <is>
          <t>PQS TIPO ABC AL 90%</t>
        </is>
      </c>
      <c r="N5527" t="inlineStr">
        <is>
          <t>350/000586</t>
        </is>
      </c>
      <c r="O5527" t="inlineStr">
        <is>
          <t>R</t>
        </is>
      </c>
      <c r="P5527">
        <f>TRIM(N5527)</f>
        <v/>
      </c>
    </row>
    <row r="5528">
      <c r="A5528" t="inlineStr">
        <is>
          <t>CO-002926</t>
        </is>
      </c>
      <c r="B5528" t="inlineStr">
        <is>
          <t>PERU MASIVO - BUSES</t>
        </is>
      </c>
      <c r="C5528" t="inlineStr">
        <is>
          <t>20492392031</t>
        </is>
      </c>
      <c r="D5528" t="inlineStr">
        <is>
          <t>AV. LOS INCAS CDRA. 4 PATIO NORTE - COMAS</t>
        </is>
      </c>
      <c r="E5528" t="inlineStr">
        <is>
          <t>Lima, 31 de Agosto del 2026</t>
        </is>
      </c>
      <c r="F5528" t="inlineStr">
        <is>
          <t>la Recarga y mantenimiento</t>
        </is>
      </c>
      <c r="G5528" t="inlineStr">
        <is>
          <t>04</t>
        </is>
      </c>
      <c r="H5528" t="inlineStr">
        <is>
          <t>06 KG</t>
        </is>
      </c>
      <c r="I5528" t="n">
        <v>2029</v>
      </c>
      <c r="J5528" t="n">
        <v>2009</v>
      </c>
      <c r="K5528" t="inlineStr">
        <is>
          <t>AGOSTO 2026</t>
        </is>
      </c>
      <c r="L5528" t="inlineStr">
        <is>
          <t>AGOSTO 2027</t>
        </is>
      </c>
      <c r="M5528" t="inlineStr">
        <is>
          <t>PQS TIPO ABC AL 90%</t>
        </is>
      </c>
      <c r="N5528" t="inlineStr">
        <is>
          <t>238/000727</t>
        </is>
      </c>
      <c r="O5528" t="inlineStr">
        <is>
          <t>R</t>
        </is>
      </c>
      <c r="P5528">
        <f>TRIM(N5528)</f>
        <v/>
      </c>
    </row>
    <row r="5529">
      <c r="A5529" t="inlineStr">
        <is>
          <t>CO-002927</t>
        </is>
      </c>
      <c r="B5529" t="inlineStr">
        <is>
          <t>EDGAR HUAMANTECA ARCE</t>
        </is>
      </c>
      <c r="D5529" t="inlineStr">
        <is>
          <t>JR. NEPTUNO PUESTO 71 - AÑO NUEVO - COMAS</t>
        </is>
      </c>
      <c r="E5529" t="inlineStr">
        <is>
          <t>Lima, 29 de Agosto del 2026</t>
        </is>
      </c>
      <c r="F5529" t="inlineStr">
        <is>
          <t>la Recarga y mantenimiento</t>
        </is>
      </c>
      <c r="G5529" t="inlineStr">
        <is>
          <t>01</t>
        </is>
      </c>
      <c r="H5529" t="inlineStr">
        <is>
          <t>06 KG</t>
        </is>
      </c>
      <c r="I5529" t="n">
        <v>2029</v>
      </c>
      <c r="J5529" t="n">
        <v>2024</v>
      </c>
      <c r="K5529" t="inlineStr">
        <is>
          <t>AGOSTO 2026</t>
        </is>
      </c>
      <c r="L5529" t="inlineStr">
        <is>
          <t>AGOSTO 2027</t>
        </is>
      </c>
      <c r="M5529" t="inlineStr">
        <is>
          <t>PQS TIPO ABC AL 75%</t>
        </is>
      </c>
      <c r="N5529" t="inlineStr">
        <is>
          <t>008779</t>
        </is>
      </c>
      <c r="O5529" t="inlineStr">
        <is>
          <t>R</t>
        </is>
      </c>
      <c r="P5529">
        <f>TRIM(N5529)</f>
        <v/>
      </c>
    </row>
    <row r="5530">
      <c r="A5530" t="inlineStr">
        <is>
          <t>CO-002929</t>
        </is>
      </c>
      <c r="B5530" t="inlineStr">
        <is>
          <t>MAGALY EVANGELISTA</t>
        </is>
      </c>
      <c r="D5530" t="inlineStr">
        <is>
          <t>MERCADO ALBORADA - PSTO. 35 - VENTA DE PRODUCTOS DE LIMPIEZA</t>
        </is>
      </c>
      <c r="E5530" t="inlineStr">
        <is>
          <t>Lima, 31 de Agosto del 2026</t>
        </is>
      </c>
      <c r="F5530" t="inlineStr">
        <is>
          <t>la Recarga y mantenimiento</t>
        </is>
      </c>
      <c r="G5530" t="inlineStr">
        <is>
          <t>01</t>
        </is>
      </c>
      <c r="H5530" t="inlineStr">
        <is>
          <t>04 KG</t>
        </is>
      </c>
      <c r="I5530" t="n">
        <v>2028</v>
      </c>
      <c r="J5530" t="n">
        <v>2023</v>
      </c>
      <c r="K5530" t="inlineStr">
        <is>
          <t>AGOSTO 2026</t>
        </is>
      </c>
      <c r="L5530" t="inlineStr">
        <is>
          <t>AGOSTO 2027</t>
        </is>
      </c>
      <c r="M5530" t="inlineStr">
        <is>
          <t>PQS TIPO ABC AL 75%</t>
        </is>
      </c>
      <c r="N5530" t="inlineStr">
        <is>
          <t>000950</t>
        </is>
      </c>
      <c r="O5530" t="inlineStr">
        <is>
          <t>R</t>
        </is>
      </c>
      <c r="P5530">
        <f>TRIM(N5530)</f>
        <v/>
      </c>
    </row>
    <row r="5531">
      <c r="A5531" t="inlineStr">
        <is>
          <t>CO-002930</t>
        </is>
      </c>
      <c r="B5531" t="inlineStr">
        <is>
          <t>MAGALY EVANGELISTA</t>
        </is>
      </c>
      <c r="D5531" t="inlineStr">
        <is>
          <t>MERCADO ALBORADA - PSTO. 01 - VENTA DE PRODUCTOS PLASTICOS</t>
        </is>
      </c>
      <c r="E5531" t="inlineStr">
        <is>
          <t>Lima, 31 de Agosto del 2026</t>
        </is>
      </c>
      <c r="F5531" t="inlineStr">
        <is>
          <t>la Recarga y mantenimiento</t>
        </is>
      </c>
      <c r="G5531" t="inlineStr">
        <is>
          <t>01</t>
        </is>
      </c>
      <c r="H5531" t="inlineStr">
        <is>
          <t>04 KG</t>
        </is>
      </c>
      <c r="I5531" t="n">
        <v>2028</v>
      </c>
      <c r="J5531" t="n">
        <v>2023</v>
      </c>
      <c r="K5531" t="inlineStr">
        <is>
          <t>AGOSTO 2026</t>
        </is>
      </c>
      <c r="L5531" t="inlineStr">
        <is>
          <t>AGOSTO 2027</t>
        </is>
      </c>
      <c r="M5531" t="inlineStr">
        <is>
          <t>PQS TIPO ABC AL 75%</t>
        </is>
      </c>
      <c r="N5531" t="inlineStr">
        <is>
          <t>000605</t>
        </is>
      </c>
      <c r="O5531" t="inlineStr">
        <is>
          <t>R</t>
        </is>
      </c>
      <c r="P5531">
        <f>TRIM(N5531)</f>
        <v/>
      </c>
    </row>
    <row r="5532">
      <c r="A5532" t="inlineStr">
        <is>
          <t>CO-002931</t>
        </is>
      </c>
      <c r="B5532" t="inlineStr">
        <is>
          <t>NICOLAS SANDOVAL</t>
        </is>
      </c>
      <c r="D5532" t="inlineStr">
        <is>
          <t xml:space="preserve">MERCADO ALBORADA - PSTO. 09 - LOCERIA </t>
        </is>
      </c>
      <c r="E5532" t="inlineStr">
        <is>
          <t>Lima, 31 de Agosto del 2026</t>
        </is>
      </c>
      <c r="F5532" t="inlineStr">
        <is>
          <t>la Recarga y mantenimiento</t>
        </is>
      </c>
      <c r="G5532" t="inlineStr">
        <is>
          <t>01</t>
        </is>
      </c>
      <c r="H5532" t="inlineStr">
        <is>
          <t>04 KG</t>
        </is>
      </c>
      <c r="I5532" t="n">
        <v>2028</v>
      </c>
      <c r="J5532" t="n">
        <v>2023</v>
      </c>
      <c r="K5532" t="inlineStr">
        <is>
          <t>AGOSTO 2026</t>
        </is>
      </c>
      <c r="L5532" t="inlineStr">
        <is>
          <t>AGOSTO 2027</t>
        </is>
      </c>
      <c r="M5532" t="inlineStr">
        <is>
          <t>PQS TIPO ABC AL 75%</t>
        </is>
      </c>
      <c r="N5532" t="inlineStr">
        <is>
          <t>000615</t>
        </is>
      </c>
      <c r="O5532" t="inlineStr">
        <is>
          <t>R</t>
        </is>
      </c>
      <c r="P5532">
        <f>TRIM(N5532)</f>
        <v/>
      </c>
    </row>
    <row r="5533">
      <c r="A5533" t="inlineStr">
        <is>
          <t>CO-002932</t>
        </is>
      </c>
      <c r="B5533" t="inlineStr">
        <is>
          <t>DORIS ARENAS</t>
        </is>
      </c>
      <c r="D5533" t="inlineStr">
        <is>
          <t>MERCADO ALBORADA - PSTO. 04 - PRODUCTOS NATURALES</t>
        </is>
      </c>
      <c r="E5533" t="inlineStr">
        <is>
          <t>Lima, 31 de Agosto del 2026</t>
        </is>
      </c>
      <c r="F5533" t="inlineStr">
        <is>
          <t>la Recarga y mantenimiento</t>
        </is>
      </c>
      <c r="G5533" t="inlineStr">
        <is>
          <t>01</t>
        </is>
      </c>
      <c r="H5533" t="inlineStr">
        <is>
          <t>04 KG</t>
        </is>
      </c>
      <c r="I5533" t="n">
        <v>2028</v>
      </c>
      <c r="J5533" t="n">
        <v>2023</v>
      </c>
      <c r="K5533" t="inlineStr">
        <is>
          <t>AGOSTO 2026</t>
        </is>
      </c>
      <c r="L5533" t="inlineStr">
        <is>
          <t>AGOSTO 2027</t>
        </is>
      </c>
      <c r="M5533" t="inlineStr">
        <is>
          <t>PQS TIPO ABC AL 75%</t>
        </is>
      </c>
      <c r="N5533" t="inlineStr">
        <is>
          <t>000843</t>
        </is>
      </c>
      <c r="O5533" t="inlineStr">
        <is>
          <t>R</t>
        </is>
      </c>
      <c r="P5533">
        <f>TRIM(N5533)</f>
        <v/>
      </c>
    </row>
    <row r="5534">
      <c r="A5534" t="inlineStr">
        <is>
          <t>CO-002933</t>
        </is>
      </c>
      <c r="B5534" t="inlineStr">
        <is>
          <t>HERNAN CARCASI</t>
        </is>
      </c>
      <c r="D5534" t="inlineStr">
        <is>
          <t>MERCADO ALBORADA - PSTO. 05 - ABARROTES</t>
        </is>
      </c>
      <c r="E5534" t="inlineStr">
        <is>
          <t>Lima, 31 de Agosto del 2026</t>
        </is>
      </c>
      <c r="F5534" t="inlineStr">
        <is>
          <t>la Recarga y mantenimiento</t>
        </is>
      </c>
      <c r="G5534" t="inlineStr">
        <is>
          <t>01</t>
        </is>
      </c>
      <c r="H5534" t="inlineStr">
        <is>
          <t>04 KG</t>
        </is>
      </c>
      <c r="I5534" t="n">
        <v>2028</v>
      </c>
      <c r="J5534" t="n">
        <v>2023</v>
      </c>
      <c r="K5534" t="inlineStr">
        <is>
          <t>AGOSTO 2026</t>
        </is>
      </c>
      <c r="L5534" t="inlineStr">
        <is>
          <t>AGOSTO 2027</t>
        </is>
      </c>
      <c r="M5534" t="inlineStr">
        <is>
          <t>PQS TIPO ABC AL 75%</t>
        </is>
      </c>
      <c r="N5534" t="inlineStr">
        <is>
          <t>001046</t>
        </is>
      </c>
      <c r="O5534" t="inlineStr">
        <is>
          <t>R</t>
        </is>
      </c>
      <c r="P5534">
        <f>TRIM(N5534)</f>
        <v/>
      </c>
    </row>
    <row r="5535">
      <c r="A5535" t="inlineStr">
        <is>
          <t>CO-002934</t>
        </is>
      </c>
      <c r="B5535" t="inlineStr">
        <is>
          <t>SILVIA CACERES</t>
        </is>
      </c>
      <c r="D5535" t="inlineStr">
        <is>
          <t xml:space="preserve">MERCADO ALBORADA - PSTO. 33 - ABARROTES </t>
        </is>
      </c>
      <c r="E5535" t="inlineStr">
        <is>
          <t>Lima, 31 de Agosto del 2026</t>
        </is>
      </c>
      <c r="F5535" t="inlineStr">
        <is>
          <t>la Recarga y mantenimiento</t>
        </is>
      </c>
      <c r="G5535" t="inlineStr">
        <is>
          <t>01</t>
        </is>
      </c>
      <c r="H5535" t="inlineStr">
        <is>
          <t>04 KG</t>
        </is>
      </c>
      <c r="I5535" t="n">
        <v>2030</v>
      </c>
      <c r="J5535" t="n">
        <v>2025</v>
      </c>
      <c r="K5535" t="inlineStr">
        <is>
          <t>AGOSTO 2026</t>
        </is>
      </c>
      <c r="L5535" t="inlineStr">
        <is>
          <t>AGOSTO 2027</t>
        </is>
      </c>
      <c r="M5535" t="inlineStr">
        <is>
          <t>PQS TIPO ABC AL 75%</t>
        </is>
      </c>
      <c r="N5535" t="inlineStr">
        <is>
          <t>000350</t>
        </is>
      </c>
      <c r="O5535" t="inlineStr">
        <is>
          <t>R</t>
        </is>
      </c>
      <c r="P5535">
        <f>TRIM(N5535)</f>
        <v/>
      </c>
    </row>
    <row r="5536">
      <c r="A5536" t="inlineStr">
        <is>
          <t>CO-002935</t>
        </is>
      </c>
      <c r="B5536" t="inlineStr">
        <is>
          <t>DORIS ARENAS</t>
        </is>
      </c>
      <c r="D5536" t="inlineStr">
        <is>
          <t>MERCADO ALBORADA - PSTO. 01 - ABARROTES</t>
        </is>
      </c>
      <c r="E5536" t="inlineStr">
        <is>
          <t>Lima, 31 de Agosto del 2026</t>
        </is>
      </c>
      <c r="F5536" t="inlineStr">
        <is>
          <t>la Recarga y mantenimiento</t>
        </is>
      </c>
      <c r="G5536" t="inlineStr">
        <is>
          <t>01</t>
        </is>
      </c>
      <c r="H5536" t="inlineStr">
        <is>
          <t>04 KG</t>
        </is>
      </c>
      <c r="I5536" t="n">
        <v>2028</v>
      </c>
      <c r="J5536" t="n">
        <v>2023</v>
      </c>
      <c r="K5536" t="inlineStr">
        <is>
          <t>AGOSTO 2026</t>
        </is>
      </c>
      <c r="L5536" t="inlineStr">
        <is>
          <t>AGOSTO 2027</t>
        </is>
      </c>
      <c r="M5536" t="inlineStr">
        <is>
          <t>PQS TIPO ABC AL 75%</t>
        </is>
      </c>
      <c r="N5536" t="inlineStr">
        <is>
          <t>000923</t>
        </is>
      </c>
      <c r="O5536" t="inlineStr">
        <is>
          <t>R</t>
        </is>
      </c>
      <c r="P5536">
        <f>TRIM(N5536)</f>
        <v/>
      </c>
    </row>
    <row r="5537">
      <c r="A5537" t="inlineStr">
        <is>
          <t>CO-002936</t>
        </is>
      </c>
      <c r="B5537" t="inlineStr">
        <is>
          <t>TRANSPORTES A&amp;P YANAVILVA EIRL</t>
        </is>
      </c>
      <c r="C5537" t="inlineStr">
        <is>
          <t>20548344116</t>
        </is>
      </c>
      <c r="D5537" t="inlineStr">
        <is>
          <t xml:space="preserve"> PLACA : CMS-913</t>
        </is>
      </c>
      <c r="E5537" t="inlineStr">
        <is>
          <t>Lima, 31 de Agosto del 2026</t>
        </is>
      </c>
      <c r="F5537" t="inlineStr">
        <is>
          <t>la Recarga y mantenimiento</t>
        </is>
      </c>
      <c r="G5537" t="inlineStr">
        <is>
          <t>01</t>
        </is>
      </c>
      <c r="H5537" t="inlineStr">
        <is>
          <t>13.6 KG</t>
        </is>
      </c>
      <c r="I5537" t="n">
        <v>2031</v>
      </c>
      <c r="J5537" t="n">
        <v>2023</v>
      </c>
      <c r="K5537" t="inlineStr">
        <is>
          <t>AGOSTO 2026</t>
        </is>
      </c>
      <c r="L5537" t="inlineStr">
        <is>
          <t>AGOSTO 2027</t>
        </is>
      </c>
      <c r="M5537" t="inlineStr">
        <is>
          <t>PQS TIPO ABC AL 90% PYROCHEM UL RATING 20A:80BC</t>
        </is>
      </c>
      <c r="N5537" t="inlineStr">
        <is>
          <t>000292</t>
        </is>
      </c>
      <c r="O5537" t="inlineStr">
        <is>
          <t>R</t>
        </is>
      </c>
      <c r="P5537">
        <f>TRIM(N5537)</f>
        <v/>
      </c>
    </row>
    <row r="5538">
      <c r="A5538" t="inlineStr">
        <is>
          <t>CO-002937</t>
        </is>
      </c>
      <c r="B5538" t="inlineStr">
        <is>
          <t>TRANSPORTES A&amp;P YANAVILVA EIRL</t>
        </is>
      </c>
      <c r="C5538" t="inlineStr">
        <is>
          <t>20548344116</t>
        </is>
      </c>
      <c r="D5538" t="inlineStr">
        <is>
          <t>PLACA : CMT-846</t>
        </is>
      </c>
      <c r="E5538" t="inlineStr">
        <is>
          <t>Lima, 31 de Agosto del 2026</t>
        </is>
      </c>
      <c r="F5538" t="inlineStr">
        <is>
          <t>la Recarga y mantenimiento</t>
        </is>
      </c>
      <c r="G5538" t="inlineStr">
        <is>
          <t>01</t>
        </is>
      </c>
      <c r="H5538" t="inlineStr">
        <is>
          <t>13.6 KG</t>
        </is>
      </c>
      <c r="I5538" t="n">
        <v>2031</v>
      </c>
      <c r="J5538" t="n">
        <v>2012</v>
      </c>
      <c r="K5538" t="inlineStr">
        <is>
          <t>AGOSTO 2026</t>
        </is>
      </c>
      <c r="L5538" t="inlineStr">
        <is>
          <t>AGOSTO 2027</t>
        </is>
      </c>
      <c r="M5538" t="inlineStr">
        <is>
          <t>PQS TIPO ABC AL 90% PYROCHEM UL RATING 20A:80BC</t>
        </is>
      </c>
      <c r="N5538" t="inlineStr">
        <is>
          <t>000002</t>
        </is>
      </c>
      <c r="O5538" t="inlineStr">
        <is>
          <t>R</t>
        </is>
      </c>
      <c r="P5538">
        <f>TRIM(N5538)</f>
        <v/>
      </c>
    </row>
    <row r="5539">
      <c r="A5539" t="inlineStr">
        <is>
          <t>CO-002938</t>
        </is>
      </c>
      <c r="B5539" t="inlineStr">
        <is>
          <t xml:space="preserve">NELLY SUAZO </t>
        </is>
      </c>
      <c r="D5539" t="inlineStr">
        <is>
          <t>MERCADO ALBORADA - PSTO  02 - Comidas</t>
        </is>
      </c>
      <c r="E5539" t="inlineStr">
        <is>
          <t>Lima, 31 de Agosto del 2026</t>
        </is>
      </c>
      <c r="F5539" t="inlineStr">
        <is>
          <t>la Recarga y mantenimiento</t>
        </is>
      </c>
      <c r="G5539" t="inlineStr">
        <is>
          <t>01</t>
        </is>
      </c>
      <c r="H5539" t="inlineStr">
        <is>
          <t>04 KG</t>
        </is>
      </c>
      <c r="I5539" t="n">
        <v>2028</v>
      </c>
      <c r="J5539" t="n">
        <v>2023</v>
      </c>
      <c r="K5539" t="inlineStr">
        <is>
          <t>AGOSTO 2026</t>
        </is>
      </c>
      <c r="L5539" t="inlineStr">
        <is>
          <t>AGOSTO 2027</t>
        </is>
      </c>
      <c r="M5539" t="inlineStr">
        <is>
          <t>PQS TIPO ABC AL 75%</t>
        </is>
      </c>
      <c r="N5539" t="inlineStr">
        <is>
          <t>001000</t>
        </is>
      </c>
      <c r="O5539" t="inlineStr">
        <is>
          <t>R</t>
        </is>
      </c>
      <c r="P5539">
        <f>TRIM(N5539)</f>
        <v/>
      </c>
    </row>
    <row r="5540">
      <c r="A5540" t="inlineStr">
        <is>
          <t>CO-002939</t>
        </is>
      </c>
      <c r="B5540" t="inlineStr">
        <is>
          <t>DORIS CORREA</t>
        </is>
      </c>
      <c r="D5540" t="inlineStr">
        <is>
          <t>MERCADO ALBORADA - PSTO  32 - Bazar</t>
        </is>
      </c>
      <c r="E5540" t="inlineStr">
        <is>
          <t>Lima, 31 de Agosto del 2026</t>
        </is>
      </c>
      <c r="F5540" t="inlineStr">
        <is>
          <t>la Recarga y mantenimiento</t>
        </is>
      </c>
      <c r="G5540" t="inlineStr">
        <is>
          <t>01</t>
        </is>
      </c>
      <c r="H5540" t="inlineStr">
        <is>
          <t>04 KG</t>
        </is>
      </c>
      <c r="I5540" t="n">
        <v>2028</v>
      </c>
      <c r="J5540" t="n">
        <v>2023</v>
      </c>
      <c r="K5540" t="inlineStr">
        <is>
          <t>AGOSTO 2026</t>
        </is>
      </c>
      <c r="L5540" t="inlineStr">
        <is>
          <t>AGOSTO 2027</t>
        </is>
      </c>
      <c r="M5540" t="inlineStr">
        <is>
          <t>PQS TIPO ABC AL 75%</t>
        </is>
      </c>
      <c r="N5540" t="inlineStr">
        <is>
          <t>000979</t>
        </is>
      </c>
      <c r="O5540" t="inlineStr">
        <is>
          <t>R</t>
        </is>
      </c>
      <c r="P5540">
        <f>TRIM(N5540)</f>
        <v/>
      </c>
    </row>
    <row r="5541">
      <c r="A5541" t="inlineStr">
        <is>
          <t>CO-002940</t>
        </is>
      </c>
      <c r="B5541" t="inlineStr">
        <is>
          <t>ASOCIACION PROPIETARIOS</t>
        </is>
      </c>
      <c r="D5541" t="inlineStr">
        <is>
          <t>MERCADO ALBORADA</t>
        </is>
      </c>
      <c r="E5541" t="inlineStr">
        <is>
          <t>Lima, 31 de Agosto del 2026</t>
        </is>
      </c>
      <c r="F5541" t="inlineStr">
        <is>
          <t>la Recarga y mantenimiento</t>
        </is>
      </c>
      <c r="G5541" t="inlineStr">
        <is>
          <t>01</t>
        </is>
      </c>
      <c r="H5541" t="inlineStr">
        <is>
          <t>04 KG</t>
        </is>
      </c>
      <c r="I5541" t="n">
        <v>2028</v>
      </c>
      <c r="J5541" t="n">
        <v>2023</v>
      </c>
      <c r="K5541" t="inlineStr">
        <is>
          <t>AGOSTO 2026</t>
        </is>
      </c>
      <c r="L5541" t="inlineStr">
        <is>
          <t>AGOSTO 2027</t>
        </is>
      </c>
      <c r="M5541" t="inlineStr">
        <is>
          <t>PQS TIPO ABC AL 75%</t>
        </is>
      </c>
      <c r="N5541" t="inlineStr">
        <is>
          <t>000592</t>
        </is>
      </c>
      <c r="O5541" t="inlineStr">
        <is>
          <t>R</t>
        </is>
      </c>
      <c r="P5541">
        <f>TRIM(N5541)</f>
        <v/>
      </c>
    </row>
    <row r="5542">
      <c r="A5542" t="inlineStr">
        <is>
          <t>CO-002941</t>
        </is>
      </c>
      <c r="B5542" t="inlineStr">
        <is>
          <t>WILMER MENDOZA ÑATO</t>
        </is>
      </c>
      <c r="D5542" t="inlineStr">
        <is>
          <t xml:space="preserve">MERCADO ALBORADA - Puesto 02 - Varios </t>
        </is>
      </c>
      <c r="E5542" t="inlineStr">
        <is>
          <t>Lima, 31 de Agosto del 2026</t>
        </is>
      </c>
      <c r="F5542" t="inlineStr">
        <is>
          <t>la Recarga y mantenimiento</t>
        </is>
      </c>
      <c r="G5542" t="inlineStr">
        <is>
          <t>01</t>
        </is>
      </c>
      <c r="H5542" t="inlineStr">
        <is>
          <t>04 KG</t>
        </is>
      </c>
      <c r="I5542" t="n">
        <v>2012</v>
      </c>
      <c r="J5542" t="n">
        <v>2007</v>
      </c>
      <c r="K5542" t="inlineStr">
        <is>
          <t>AGOSTO 2026</t>
        </is>
      </c>
      <c r="L5542" t="inlineStr">
        <is>
          <t>AGOSTO 2027</t>
        </is>
      </c>
      <c r="M5542" t="inlineStr">
        <is>
          <t>PQS TIPO ABC AL 75%</t>
        </is>
      </c>
      <c r="N5542" t="inlineStr">
        <is>
          <t>003918</t>
        </is>
      </c>
      <c r="O5542" t="inlineStr">
        <is>
          <t>R</t>
        </is>
      </c>
      <c r="P5542">
        <f>TRIM(N5542)</f>
        <v/>
      </c>
    </row>
    <row r="5543">
      <c r="A5543" t="inlineStr">
        <is>
          <t>CO-002942</t>
        </is>
      </c>
      <c r="B5543" t="inlineStr">
        <is>
          <t>JEAN PIERE LOPEZ VILCA</t>
        </is>
      </c>
      <c r="D5543" t="inlineStr">
        <is>
          <t>MERCADO ALBORADA -Psto 7, bazar</t>
        </is>
      </c>
      <c r="E5543" t="inlineStr">
        <is>
          <t>Lima, 31 de Agosto del 2026</t>
        </is>
      </c>
      <c r="F5543" t="inlineStr">
        <is>
          <t>la Recarga y mantenimiento</t>
        </is>
      </c>
      <c r="G5543" t="inlineStr">
        <is>
          <t>01</t>
        </is>
      </c>
      <c r="H5543" t="inlineStr">
        <is>
          <t>04 KG</t>
        </is>
      </c>
      <c r="I5543" t="n">
        <v>2030</v>
      </c>
      <c r="J5543" t="n">
        <v>2025</v>
      </c>
      <c r="K5543" t="inlineStr">
        <is>
          <t>AGOSTO 2026</t>
        </is>
      </c>
      <c r="L5543" t="inlineStr">
        <is>
          <t>AGOSTO 2027</t>
        </is>
      </c>
      <c r="M5543" t="inlineStr">
        <is>
          <t>PQS TIPO ABC AL 75%</t>
        </is>
      </c>
      <c r="N5543" t="inlineStr">
        <is>
          <t>000423</t>
        </is>
      </c>
      <c r="O5543" t="inlineStr">
        <is>
          <t>R</t>
        </is>
      </c>
      <c r="P5543">
        <f>TRIM(N5543)</f>
        <v/>
      </c>
    </row>
    <row r="5544">
      <c r="A5544" t="inlineStr">
        <is>
          <t>CO-002943</t>
        </is>
      </c>
      <c r="B5544" t="inlineStr">
        <is>
          <t>ASOCIACION PROPIETARIOS</t>
        </is>
      </c>
      <c r="D5544" t="inlineStr">
        <is>
          <t>MERCADO ALBORADA - Psto -02 Pescado</t>
        </is>
      </c>
      <c r="E5544" t="inlineStr">
        <is>
          <t>Lima, 31 de Agosto del 2026</t>
        </is>
      </c>
      <c r="F5544" t="inlineStr">
        <is>
          <t>la Recarga y mantenimiento</t>
        </is>
      </c>
      <c r="G5544" t="inlineStr">
        <is>
          <t>01</t>
        </is>
      </c>
      <c r="H5544" t="inlineStr">
        <is>
          <t>04 KG</t>
        </is>
      </c>
      <c r="I5544" t="n">
        <v>2030</v>
      </c>
      <c r="J5544" t="n">
        <v>2025</v>
      </c>
      <c r="K5544" t="inlineStr">
        <is>
          <t>AGOSTO 2026</t>
        </is>
      </c>
      <c r="L5544" t="inlineStr">
        <is>
          <t>AGOSTO 2027</t>
        </is>
      </c>
      <c r="M5544" t="inlineStr">
        <is>
          <t>PQS TIPO ABC AL 75%</t>
        </is>
      </c>
      <c r="N5544" t="inlineStr">
        <is>
          <t>000317</t>
        </is>
      </c>
      <c r="O5544" t="inlineStr">
        <is>
          <t>R</t>
        </is>
      </c>
      <c r="P5544">
        <f>TRIM(N5544)</f>
        <v/>
      </c>
    </row>
    <row r="5545">
      <c r="A5545" t="inlineStr">
        <is>
          <t>CO-002944</t>
        </is>
      </c>
      <c r="B5545" t="inlineStr">
        <is>
          <t xml:space="preserve">MARTHA RAMIREZ </t>
        </is>
      </c>
      <c r="D5545" t="inlineStr">
        <is>
          <t>MERCADO ALBORADA -Psto. 08 - Bazar</t>
        </is>
      </c>
      <c r="E5545" t="inlineStr">
        <is>
          <t>Lima, 31 de Agosto del 2026</t>
        </is>
      </c>
      <c r="F5545" t="inlineStr">
        <is>
          <t>la Recarga y mantenimiento</t>
        </is>
      </c>
      <c r="G5545" t="inlineStr">
        <is>
          <t>01</t>
        </is>
      </c>
      <c r="H5545" t="inlineStr">
        <is>
          <t>04 KG</t>
        </is>
      </c>
      <c r="I5545" t="n">
        <v>2030</v>
      </c>
      <c r="J5545" t="n">
        <v>2025</v>
      </c>
      <c r="K5545" t="inlineStr">
        <is>
          <t>AGOSTO 2026</t>
        </is>
      </c>
      <c r="L5545" t="inlineStr">
        <is>
          <t>AGOSTO 2027</t>
        </is>
      </c>
      <c r="M5545" t="inlineStr">
        <is>
          <t>PQS TIPO ABC AL 75%</t>
        </is>
      </c>
      <c r="N5545" t="inlineStr">
        <is>
          <t>000390</t>
        </is>
      </c>
      <c r="O5545" t="inlineStr">
        <is>
          <t>R</t>
        </is>
      </c>
      <c r="P5545">
        <f>TRIM(N5545)</f>
        <v/>
      </c>
    </row>
    <row r="5546">
      <c r="A5546" t="inlineStr">
        <is>
          <t>CO-002945</t>
        </is>
      </c>
      <c r="B5546" t="inlineStr">
        <is>
          <t>HERCILIA ESTEBAN</t>
        </is>
      </c>
      <c r="D5546" t="inlineStr">
        <is>
          <t>MERCADO ALBORADA - PSTO 13</t>
        </is>
      </c>
      <c r="E5546" t="inlineStr">
        <is>
          <t>Lima, 31 de Agosto del 2026</t>
        </is>
      </c>
      <c r="F5546" t="inlineStr">
        <is>
          <t>la Recarga y mantenimiento</t>
        </is>
      </c>
      <c r="G5546" t="inlineStr">
        <is>
          <t>01</t>
        </is>
      </c>
      <c r="H5546" t="inlineStr">
        <is>
          <t>06 KG</t>
        </is>
      </c>
      <c r="I5546" t="n">
        <v>2027</v>
      </c>
      <c r="J5546" t="n">
        <v>2022</v>
      </c>
      <c r="K5546" t="inlineStr">
        <is>
          <t>AGOSTO 2026</t>
        </is>
      </c>
      <c r="L5546" t="inlineStr">
        <is>
          <t>AGOSTO 2027</t>
        </is>
      </c>
      <c r="M5546" t="inlineStr">
        <is>
          <t>PQS TIPO ABC AL 75%</t>
        </is>
      </c>
      <c r="N5546" t="inlineStr">
        <is>
          <t>016822</t>
        </is>
      </c>
      <c r="O5546" t="inlineStr">
        <is>
          <t>R</t>
        </is>
      </c>
      <c r="P5546">
        <f>TRIM(N5546)</f>
        <v/>
      </c>
    </row>
    <row r="5547">
      <c r="A5547" t="inlineStr">
        <is>
          <t>CO-002946</t>
        </is>
      </c>
      <c r="B5547" t="inlineStr">
        <is>
          <t>SERVICIOS SERVIAL SAC</t>
        </is>
      </c>
      <c r="C5547" t="n">
        <v>20178974620</v>
      </c>
      <c r="D5547" t="inlineStr">
        <is>
          <t>AV. MANUEL OLGUIN 901 SURCO</t>
        </is>
      </c>
      <c r="E5547" t="inlineStr">
        <is>
          <t>Lima, 03 de Setiembre del 2026</t>
        </is>
      </c>
      <c r="F5547" t="inlineStr">
        <is>
          <t>la Recarga y mantenimiento</t>
        </is>
      </c>
      <c r="G5547" t="inlineStr">
        <is>
          <t>01</t>
        </is>
      </c>
      <c r="H5547" t="inlineStr">
        <is>
          <t>06 KG</t>
        </is>
      </c>
      <c r="I5547" t="n">
        <v>2029</v>
      </c>
      <c r="J5547" t="n">
        <v>2024</v>
      </c>
      <c r="K5547" t="inlineStr">
        <is>
          <t>SETIEMBRE 2026</t>
        </is>
      </c>
      <c r="L5547" t="inlineStr">
        <is>
          <t>SETIEMBRE 2027</t>
        </is>
      </c>
      <c r="M5547" t="inlineStr">
        <is>
          <t>PQS TIPO ABC AL 90%</t>
        </is>
      </c>
      <c r="N5547" t="inlineStr">
        <is>
          <t>001859</t>
        </is>
      </c>
      <c r="O5547" t="inlineStr">
        <is>
          <t>R</t>
        </is>
      </c>
      <c r="P5547">
        <f>TRIM(N5547)</f>
        <v/>
      </c>
    </row>
    <row r="5548">
      <c r="A5548" t="inlineStr">
        <is>
          <t>CO-002947</t>
        </is>
      </c>
      <c r="B5548" t="inlineStr">
        <is>
          <t>SERVICIOS SERVIAL SAC</t>
        </is>
      </c>
      <c r="C5548" t="n">
        <v>20178974620</v>
      </c>
      <c r="D5548" t="inlineStr">
        <is>
          <t>AV. MANUEL OLGUIN 901 SURCO</t>
        </is>
      </c>
      <c r="E5548" t="inlineStr">
        <is>
          <t>Lima, 03 de Setiembre del 2026</t>
        </is>
      </c>
      <c r="F5548" t="inlineStr">
        <is>
          <t>la Recarga y mantenimiento</t>
        </is>
      </c>
      <c r="G5548" t="inlineStr">
        <is>
          <t>01</t>
        </is>
      </c>
      <c r="H5548" t="inlineStr">
        <is>
          <t>06 KG</t>
        </is>
      </c>
      <c r="I5548" t="n">
        <v>2027</v>
      </c>
      <c r="J5548" t="n">
        <v>2022</v>
      </c>
      <c r="K5548" t="inlineStr">
        <is>
          <t>SETIEMBRE 2026</t>
        </is>
      </c>
      <c r="L5548" t="inlineStr">
        <is>
          <t>SETIEMBRE 2027</t>
        </is>
      </c>
      <c r="M5548" t="inlineStr">
        <is>
          <t>PQS TIPO ABC AL 90%</t>
        </is>
      </c>
      <c r="N5548" t="inlineStr">
        <is>
          <t>016260</t>
        </is>
      </c>
      <c r="O5548" t="inlineStr">
        <is>
          <t>R</t>
        </is>
      </c>
      <c r="P5548">
        <f>TRIM(N5548)</f>
        <v/>
      </c>
    </row>
    <row r="5549">
      <c r="A5549" t="inlineStr">
        <is>
          <t>CO-002948</t>
        </is>
      </c>
      <c r="B5549" t="inlineStr">
        <is>
          <t>SERVICIOS SERVIAL SAC</t>
        </is>
      </c>
      <c r="C5549" t="n">
        <v>20178974620</v>
      </c>
      <c r="D5549" t="inlineStr">
        <is>
          <t>AV. MANUEL OLGUIN 901 SURCO</t>
        </is>
      </c>
      <c r="E5549" t="inlineStr">
        <is>
          <t>Lima, 03 de Setiembre del 2026</t>
        </is>
      </c>
      <c r="F5549" t="inlineStr">
        <is>
          <t>la Recarga y mantenimiento</t>
        </is>
      </c>
      <c r="G5549" t="inlineStr">
        <is>
          <t>01</t>
        </is>
      </c>
      <c r="H5549" t="inlineStr">
        <is>
          <t>06 KG</t>
        </is>
      </c>
      <c r="I5549" t="n">
        <v>2027</v>
      </c>
      <c r="J5549" t="n">
        <v>2022</v>
      </c>
      <c r="K5549" t="inlineStr">
        <is>
          <t>SETIEMBRE 2026</t>
        </is>
      </c>
      <c r="L5549" t="inlineStr">
        <is>
          <t>SETIEMBRE 2027</t>
        </is>
      </c>
      <c r="M5549" t="inlineStr">
        <is>
          <t>PQS TIPO ABC AL 90%</t>
        </is>
      </c>
      <c r="N5549" t="inlineStr">
        <is>
          <t>162601</t>
        </is>
      </c>
      <c r="O5549" t="inlineStr">
        <is>
          <t>R</t>
        </is>
      </c>
      <c r="P5549">
        <f>TRIM(N5549)</f>
        <v/>
      </c>
    </row>
    <row r="5550">
      <c r="A5550" t="inlineStr">
        <is>
          <t>CO-002949</t>
        </is>
      </c>
      <c r="B5550" t="inlineStr">
        <is>
          <t>SERVICIOS SERVIAL SAC</t>
        </is>
      </c>
      <c r="C5550" t="n">
        <v>20178974620</v>
      </c>
      <c r="D5550" t="inlineStr">
        <is>
          <t>AV. MANUEL OLGUIN 901 SURCO</t>
        </is>
      </c>
      <c r="E5550" t="inlineStr">
        <is>
          <t>Lima, 03 de Setiembre del 2026</t>
        </is>
      </c>
      <c r="F5550" t="inlineStr">
        <is>
          <t>la Recarga y mantenimiento</t>
        </is>
      </c>
      <c r="G5550" t="inlineStr">
        <is>
          <t>01</t>
        </is>
      </c>
      <c r="H5550" t="inlineStr">
        <is>
          <t>06 KG</t>
        </is>
      </c>
      <c r="I5550" t="n">
        <v>2028</v>
      </c>
      <c r="J5550" t="n">
        <v>2023</v>
      </c>
      <c r="K5550" t="inlineStr">
        <is>
          <t>SETIEMBRE 2026</t>
        </is>
      </c>
      <c r="L5550" t="inlineStr">
        <is>
          <t>SETIEMBRE 2027</t>
        </is>
      </c>
      <c r="M5550" t="inlineStr">
        <is>
          <t>PQS TIPO ABC AL 90%</t>
        </is>
      </c>
      <c r="N5550" t="inlineStr">
        <is>
          <t>003507</t>
        </is>
      </c>
      <c r="O5550" t="inlineStr">
        <is>
          <t>R</t>
        </is>
      </c>
      <c r="P5550">
        <f>TRIM(N5550)</f>
        <v/>
      </c>
    </row>
    <row r="5551">
      <c r="A5551" t="inlineStr">
        <is>
          <t>CO-002950</t>
        </is>
      </c>
      <c r="B5551" t="inlineStr">
        <is>
          <t>SERVICIOS SERVIAL SAC</t>
        </is>
      </c>
      <c r="C5551" t="n">
        <v>20178974620</v>
      </c>
      <c r="D5551" t="inlineStr">
        <is>
          <t>AV. MANUEL OLGUIN 901 SURCO</t>
        </is>
      </c>
      <c r="E5551" t="inlineStr">
        <is>
          <t>Lima, 03 de Setiembre del 2026</t>
        </is>
      </c>
      <c r="F5551" t="inlineStr">
        <is>
          <t>la Recarga y mantenimiento</t>
        </is>
      </c>
      <c r="G5551" t="inlineStr">
        <is>
          <t>01</t>
        </is>
      </c>
      <c r="H5551" t="inlineStr">
        <is>
          <t>06 KG</t>
        </is>
      </c>
      <c r="I5551" t="n">
        <v>2031</v>
      </c>
      <c r="J5551" t="n">
        <v>2014</v>
      </c>
      <c r="K5551" t="inlineStr">
        <is>
          <t>SETIEMBRE 2026</t>
        </is>
      </c>
      <c r="L5551" t="inlineStr">
        <is>
          <t>SETIEMBRE 2027</t>
        </is>
      </c>
      <c r="M5551" t="inlineStr">
        <is>
          <t>PQS TIPO ABC AL 90%</t>
        </is>
      </c>
      <c r="N5551" t="inlineStr">
        <is>
          <t>003670</t>
        </is>
      </c>
      <c r="O5551" t="inlineStr">
        <is>
          <t>R</t>
        </is>
      </c>
      <c r="P5551">
        <f>TRIM(N5551)</f>
        <v/>
      </c>
    </row>
    <row r="5552">
      <c r="A5552" t="inlineStr">
        <is>
          <t>CO-002951</t>
        </is>
      </c>
      <c r="B5552" t="inlineStr">
        <is>
          <t>SERVICIOS SERVIAL SAC</t>
        </is>
      </c>
      <c r="C5552" t="n">
        <v>20178974620</v>
      </c>
      <c r="D5552" t="inlineStr">
        <is>
          <t>AV. MANUEL OLGUIN 901 SURCO</t>
        </is>
      </c>
      <c r="E5552" t="inlineStr">
        <is>
          <t>Lima, 03 de Setiembre del 2026</t>
        </is>
      </c>
      <c r="F5552" t="inlineStr">
        <is>
          <t>la Recarga y mantenimiento</t>
        </is>
      </c>
      <c r="G5552" t="inlineStr">
        <is>
          <t>01</t>
        </is>
      </c>
      <c r="H5552" t="inlineStr">
        <is>
          <t>06 KG</t>
        </is>
      </c>
      <c r="I5552" t="n">
        <v>2028</v>
      </c>
      <c r="J5552" t="n">
        <v>2023</v>
      </c>
      <c r="K5552" t="inlineStr">
        <is>
          <t>SETIEMBRE 2026</t>
        </is>
      </c>
      <c r="L5552" t="inlineStr">
        <is>
          <t>SETIEMBRE 2027</t>
        </is>
      </c>
      <c r="M5552" t="inlineStr">
        <is>
          <t>PQS TIPO ABC AL 90%</t>
        </is>
      </c>
      <c r="N5552" t="inlineStr">
        <is>
          <t>001189</t>
        </is>
      </c>
      <c r="O5552" t="inlineStr">
        <is>
          <t>R</t>
        </is>
      </c>
      <c r="P5552">
        <f>TRIM(N5552)</f>
        <v/>
      </c>
    </row>
    <row r="5553">
      <c r="A5553" t="inlineStr">
        <is>
          <t>CO-002952</t>
        </is>
      </c>
      <c r="B5553" t="inlineStr">
        <is>
          <t>SERVICIOS SERVIAL SAC</t>
        </is>
      </c>
      <c r="C5553" t="n">
        <v>20178974620</v>
      </c>
      <c r="D5553" t="inlineStr">
        <is>
          <t>AV. MANUEL OLGUIN 901 SURCO</t>
        </is>
      </c>
      <c r="E5553" t="inlineStr">
        <is>
          <t>Lima, 03 de Setiembre del 2026</t>
        </is>
      </c>
      <c r="F5553" t="inlineStr">
        <is>
          <t>la Recarga y mantenimiento</t>
        </is>
      </c>
      <c r="G5553" t="inlineStr">
        <is>
          <t>01</t>
        </is>
      </c>
      <c r="H5553" t="inlineStr">
        <is>
          <t>06 KG</t>
        </is>
      </c>
      <c r="I5553" t="n">
        <v>2031</v>
      </c>
      <c r="J5553" t="n">
        <v>2020</v>
      </c>
      <c r="K5553" t="inlineStr">
        <is>
          <t>SETIEMBRE 2026</t>
        </is>
      </c>
      <c r="L5553" t="inlineStr">
        <is>
          <t>SETIEMBRE 2027</t>
        </is>
      </c>
      <c r="M5553" t="inlineStr">
        <is>
          <t>PQS TIPO ABC AL 90%</t>
        </is>
      </c>
      <c r="N5553" t="inlineStr">
        <is>
          <t>000662</t>
        </is>
      </c>
      <c r="O5553" t="inlineStr">
        <is>
          <t>R</t>
        </is>
      </c>
      <c r="P5553">
        <f>TRIM(N5553)</f>
        <v/>
      </c>
    </row>
    <row r="5554">
      <c r="A5554" t="inlineStr">
        <is>
          <t>CO-002953</t>
        </is>
      </c>
      <c r="B5554" t="inlineStr">
        <is>
          <t>PERU MASIVO- BUSES</t>
        </is>
      </c>
      <c r="C5554" t="inlineStr">
        <is>
          <t>20492392031</t>
        </is>
      </c>
      <c r="D5554" t="inlineStr">
        <is>
          <t>AV. LOS INCAS CDRA. 4 PATIO NORTE - COMAS</t>
        </is>
      </c>
      <c r="E5554" t="inlineStr">
        <is>
          <t>Lima, 7 de setiembre del 2026</t>
        </is>
      </c>
      <c r="F5554" t="inlineStr">
        <is>
          <t>la Recarga y mantenimiento</t>
        </is>
      </c>
      <c r="G5554" t="inlineStr">
        <is>
          <t>01</t>
        </is>
      </c>
      <c r="H5554" t="inlineStr">
        <is>
          <t>06 kg</t>
        </is>
      </c>
      <c r="I5554" t="n">
        <v>2028</v>
      </c>
      <c r="J5554" t="n">
        <v>2010</v>
      </c>
      <c r="K5554" t="inlineStr">
        <is>
          <t>SETIEMBRE 2026</t>
        </is>
      </c>
      <c r="L5554" t="inlineStr">
        <is>
          <t>SETIEMBRE 2027</t>
        </is>
      </c>
      <c r="M5554" t="inlineStr">
        <is>
          <t>PQS TIPO TIPO ABC AL 90%</t>
        </is>
      </c>
      <c r="N5554" t="inlineStr">
        <is>
          <t>360/001989</t>
        </is>
      </c>
      <c r="O5554" t="inlineStr">
        <is>
          <t>R</t>
        </is>
      </c>
      <c r="P5554">
        <f>TRIM(N5554)</f>
        <v/>
      </c>
    </row>
    <row r="5555">
      <c r="A5555" t="inlineStr">
        <is>
          <t>CO-002953</t>
        </is>
      </c>
      <c r="B5555" t="inlineStr">
        <is>
          <t>PERU MASIVO- BUSES</t>
        </is>
      </c>
      <c r="C5555" t="inlineStr">
        <is>
          <t>20492392031</t>
        </is>
      </c>
      <c r="D5555" t="inlineStr">
        <is>
          <t>AV. LOS INCAS CDRA. 4 PATIO NORTE - COMAS</t>
        </is>
      </c>
      <c r="E5555" t="inlineStr">
        <is>
          <t>Lima, 7 de setiembre del 2026</t>
        </is>
      </c>
      <c r="F5555" t="inlineStr">
        <is>
          <t>la Recarga y mantenimiento</t>
        </is>
      </c>
      <c r="G5555" t="inlineStr">
        <is>
          <t>02</t>
        </is>
      </c>
      <c r="H5555" t="inlineStr">
        <is>
          <t>06 KG</t>
        </is>
      </c>
      <c r="I5555" t="n">
        <v>2029</v>
      </c>
      <c r="J5555" t="n">
        <v>2012</v>
      </c>
      <c r="K5555" t="inlineStr">
        <is>
          <t>SETIEMBRE 2026</t>
        </is>
      </c>
      <c r="L5555" t="inlineStr">
        <is>
          <t>SETIEMBRE 2027</t>
        </is>
      </c>
      <c r="M5555" t="inlineStr">
        <is>
          <t>PQS TIPO ABC AL 90%</t>
        </is>
      </c>
      <c r="N5555" t="inlineStr">
        <is>
          <t>50/003076</t>
        </is>
      </c>
      <c r="O5555" t="inlineStr">
        <is>
          <t>R</t>
        </is>
      </c>
      <c r="P5555">
        <f>TRIM(N5555)</f>
        <v/>
      </c>
    </row>
    <row r="5556">
      <c r="A5556" t="inlineStr">
        <is>
          <t>CO-002953</t>
        </is>
      </c>
      <c r="B5556" t="inlineStr">
        <is>
          <t>PERU MASIVO- BUSES</t>
        </is>
      </c>
      <c r="C5556" t="inlineStr">
        <is>
          <t>20492392031</t>
        </is>
      </c>
      <c r="D5556" t="inlineStr">
        <is>
          <t>AV. LOS INCAS CDRA. 4 PATIO NORTE - COMAS</t>
        </is>
      </c>
      <c r="E5556" t="inlineStr">
        <is>
          <t>Lima, 7 de setiembre del 2026</t>
        </is>
      </c>
      <c r="F5556" t="inlineStr">
        <is>
          <t>la Recarga y mantenimiento</t>
        </is>
      </c>
      <c r="G5556" t="inlineStr">
        <is>
          <t>03</t>
        </is>
      </c>
      <c r="H5556" t="inlineStr">
        <is>
          <t>06 KG</t>
        </is>
      </c>
      <c r="I5556" t="n">
        <v>2028</v>
      </c>
      <c r="J5556" t="n">
        <v>2010</v>
      </c>
      <c r="K5556" t="inlineStr">
        <is>
          <t>SETIEMBRE 2026</t>
        </is>
      </c>
      <c r="L5556" t="inlineStr">
        <is>
          <t>SETIEMBRE 2027</t>
        </is>
      </c>
      <c r="M5556" t="inlineStr">
        <is>
          <t>PQS TIPO ABC AL 90%</t>
        </is>
      </c>
      <c r="N5556" t="inlineStr">
        <is>
          <t>213/006476</t>
        </is>
      </c>
      <c r="O5556" t="inlineStr">
        <is>
          <t>R</t>
        </is>
      </c>
      <c r="P5556">
        <f>TRIM(N5556)</f>
        <v/>
      </c>
    </row>
    <row r="5557">
      <c r="A5557" t="inlineStr">
        <is>
          <t>CO-002953</t>
        </is>
      </c>
      <c r="B5557" t="inlineStr">
        <is>
          <t>PERU MASIVO- BUSES</t>
        </is>
      </c>
      <c r="C5557" t="inlineStr">
        <is>
          <t>20492392031</t>
        </is>
      </c>
      <c r="D5557" t="inlineStr">
        <is>
          <t>AV. LOS INCAS CDRA. 4 PATIO NORTE - COMAS</t>
        </is>
      </c>
      <c r="E5557" t="inlineStr">
        <is>
          <t>Lima, 7 de setiembre del 2026</t>
        </is>
      </c>
      <c r="F5557" t="inlineStr">
        <is>
          <t>la Recarga y mantenimiento</t>
        </is>
      </c>
      <c r="G5557" t="n">
        <v>4</v>
      </c>
      <c r="H5557" t="inlineStr">
        <is>
          <t>06 KG</t>
        </is>
      </c>
      <c r="I5557" t="n">
        <v>2028</v>
      </c>
      <c r="J5557" t="n">
        <v>2009</v>
      </c>
      <c r="K5557" t="inlineStr">
        <is>
          <t>SETIEMBRE 2026</t>
        </is>
      </c>
      <c r="L5557" t="inlineStr">
        <is>
          <t>SETIEMBRE 2027</t>
        </is>
      </c>
      <c r="M5557" t="inlineStr">
        <is>
          <t>PQS TIPO ABC AL 90%</t>
        </is>
      </c>
      <c r="N5557" t="inlineStr">
        <is>
          <t>90/001457</t>
        </is>
      </c>
      <c r="O5557" t="inlineStr">
        <is>
          <t>R</t>
        </is>
      </c>
      <c r="P5557">
        <f>TRIM(N5557)</f>
        <v/>
      </c>
    </row>
    <row r="5558">
      <c r="A5558" t="inlineStr">
        <is>
          <t>CO-002953</t>
        </is>
      </c>
      <c r="B5558" t="inlineStr">
        <is>
          <t>PERU MASIVO- BUSES</t>
        </is>
      </c>
      <c r="C5558" t="inlineStr">
        <is>
          <t>20492392031</t>
        </is>
      </c>
      <c r="D5558" t="inlineStr">
        <is>
          <t>AV. LOS INCAS CDRA. 4 PATIO NORTE - COMAS</t>
        </is>
      </c>
      <c r="E5558" t="inlineStr">
        <is>
          <t>Lima, 7 de setiembre del 2026</t>
        </is>
      </c>
      <c r="F5558" t="inlineStr">
        <is>
          <t>la Recarga y mantenimiento</t>
        </is>
      </c>
      <c r="G5558" t="n">
        <v>5</v>
      </c>
      <c r="H5558" t="inlineStr">
        <is>
          <t>06 KG</t>
        </is>
      </c>
      <c r="I5558" t="n">
        <v>2028</v>
      </c>
      <c r="J5558" t="n">
        <v>2010</v>
      </c>
      <c r="K5558" t="inlineStr">
        <is>
          <t>SETIEMBRE 2026</t>
        </is>
      </c>
      <c r="L5558" t="inlineStr">
        <is>
          <t>SETIEMBRE 2027</t>
        </is>
      </c>
      <c r="M5558" t="inlineStr">
        <is>
          <t>PQS TIPO ABC AL 90%</t>
        </is>
      </c>
      <c r="N5558" t="inlineStr">
        <is>
          <t>169/000005</t>
        </is>
      </c>
      <c r="O5558" t="inlineStr">
        <is>
          <t>R</t>
        </is>
      </c>
      <c r="P5558">
        <f>TRIM(N5558)</f>
        <v/>
      </c>
    </row>
    <row r="5559">
      <c r="A5559" t="inlineStr">
        <is>
          <t>CO-002953</t>
        </is>
      </c>
      <c r="B5559" t="inlineStr">
        <is>
          <t>PERU MASIVO- BUSES</t>
        </is>
      </c>
      <c r="C5559" t="inlineStr">
        <is>
          <t>20492392031</t>
        </is>
      </c>
      <c r="D5559" t="inlineStr">
        <is>
          <t>AV. LOS INCAS CDRA. 4 PATIO NORTE - COMAS</t>
        </is>
      </c>
      <c r="E5559" t="inlineStr">
        <is>
          <t>Lima, 7 de setiembre del 2026</t>
        </is>
      </c>
      <c r="F5559" t="inlineStr">
        <is>
          <t>la Recarga y mantenimiento</t>
        </is>
      </c>
      <c r="G5559" t="inlineStr">
        <is>
          <t>06</t>
        </is>
      </c>
      <c r="H5559" t="inlineStr">
        <is>
          <t>06 KG</t>
        </is>
      </c>
      <c r="I5559" t="n">
        <v>2028</v>
      </c>
      <c r="J5559" t="n">
        <v>2009</v>
      </c>
      <c r="K5559" t="inlineStr">
        <is>
          <t>SETIEMBRE 2026</t>
        </is>
      </c>
      <c r="L5559" t="inlineStr">
        <is>
          <t>SETIEMBRE 2027</t>
        </is>
      </c>
      <c r="M5559" t="inlineStr">
        <is>
          <t>PQS TIPO ABC AL 90%</t>
        </is>
      </c>
      <c r="N5559" t="inlineStr">
        <is>
          <t>14/002158</t>
        </is>
      </c>
      <c r="O5559" t="inlineStr">
        <is>
          <t>R</t>
        </is>
      </c>
      <c r="P5559">
        <f>TRIM(N5559)</f>
        <v/>
      </c>
    </row>
    <row r="5560">
      <c r="A5560" t="inlineStr">
        <is>
          <t>CO-002953</t>
        </is>
      </c>
      <c r="B5560" t="inlineStr">
        <is>
          <t>PERU MASIVO- BUSES</t>
        </is>
      </c>
      <c r="C5560" t="inlineStr">
        <is>
          <t>20492392031</t>
        </is>
      </c>
      <c r="D5560" t="inlineStr">
        <is>
          <t>AV. LOS INCAS CDRA. 4 PATIO NORTE - COMAS</t>
        </is>
      </c>
      <c r="E5560" t="inlineStr">
        <is>
          <t>Lima, 7 de setiembre del 2026</t>
        </is>
      </c>
      <c r="F5560" t="inlineStr">
        <is>
          <t>la Recarga y mantenimiento</t>
        </is>
      </c>
      <c r="G5560" t="inlineStr">
        <is>
          <t>07</t>
        </is>
      </c>
      <c r="H5560" t="inlineStr">
        <is>
          <t>06 KG</t>
        </is>
      </c>
      <c r="I5560" t="n">
        <v>2028</v>
      </c>
      <c r="J5560" t="n">
        <v>2009</v>
      </c>
      <c r="K5560" t="inlineStr">
        <is>
          <t>SETIEMBRE 2026</t>
        </is>
      </c>
      <c r="L5560" t="inlineStr">
        <is>
          <t>SETIEMBRE 2027</t>
        </is>
      </c>
      <c r="M5560" t="inlineStr">
        <is>
          <t>PQS TIPO ABC AL 90%</t>
        </is>
      </c>
      <c r="N5560" t="inlineStr">
        <is>
          <t>16/001941</t>
        </is>
      </c>
      <c r="O5560" t="inlineStr">
        <is>
          <t>R</t>
        </is>
      </c>
      <c r="P5560">
        <f>TRIM(N5560)</f>
        <v/>
      </c>
    </row>
    <row r="5561">
      <c r="A5561" t="inlineStr">
        <is>
          <t>CO-002953</t>
        </is>
      </c>
      <c r="B5561" t="inlineStr">
        <is>
          <t>PERU MASIVO- BUSES</t>
        </is>
      </c>
      <c r="C5561" t="inlineStr">
        <is>
          <t>20492392031</t>
        </is>
      </c>
      <c r="D5561" t="inlineStr">
        <is>
          <t>AV. LOS INCAS CDRA. 4 PATIO NORTE - COMAS</t>
        </is>
      </c>
      <c r="E5561" t="inlineStr">
        <is>
          <t>Lima, 7 de setiembre del 2026</t>
        </is>
      </c>
      <c r="F5561" t="inlineStr">
        <is>
          <t>la Recarga y mantenimiento</t>
        </is>
      </c>
      <c r="G5561" t="n">
        <v>8</v>
      </c>
      <c r="H5561" t="inlineStr">
        <is>
          <t>06 KG</t>
        </is>
      </c>
      <c r="I5561" t="n">
        <v>2028</v>
      </c>
      <c r="J5561" t="n">
        <v>2009</v>
      </c>
      <c r="K5561" t="inlineStr">
        <is>
          <t>SETIEMBRE 2026</t>
        </is>
      </c>
      <c r="L5561" t="inlineStr">
        <is>
          <t>SETIEMBRE 2027</t>
        </is>
      </c>
      <c r="M5561" t="inlineStr">
        <is>
          <t>PQS TIPO ABC AL 90%</t>
        </is>
      </c>
      <c r="N5561" t="inlineStr">
        <is>
          <t>180/000271</t>
        </is>
      </c>
      <c r="O5561" t="inlineStr">
        <is>
          <t>R</t>
        </is>
      </c>
      <c r="P5561">
        <f>TRIM(N5561)</f>
        <v/>
      </c>
    </row>
    <row r="5562">
      <c r="A5562" t="inlineStr">
        <is>
          <t>CO-002954</t>
        </is>
      </c>
      <c r="B5562" t="inlineStr">
        <is>
          <t>TEMPLO SAC</t>
        </is>
      </c>
      <c r="C5562" t="n">
        <v>20521127296</v>
      </c>
      <c r="D5562" t="inlineStr">
        <is>
          <t>AV. MANUEL OLGUÍN - SANTIAGO DE SURCO - LIMA - LIMA</t>
        </is>
      </c>
      <c r="E5562" t="inlineStr">
        <is>
          <t>Lima, 7 de setiembre del 2027</t>
        </is>
      </c>
      <c r="F5562" t="inlineStr">
        <is>
          <t>la Recarga y mantenimiento</t>
        </is>
      </c>
      <c r="G5562" t="inlineStr">
        <is>
          <t>01</t>
        </is>
      </c>
      <c r="H5562" t="inlineStr">
        <is>
          <t>06 kg</t>
        </is>
      </c>
      <c r="I5562" t="n">
        <v>2028</v>
      </c>
      <c r="J5562" t="n">
        <v>2017</v>
      </c>
      <c r="K5562" t="inlineStr">
        <is>
          <t>SETIEMBRE 2026</t>
        </is>
      </c>
      <c r="L5562" t="inlineStr">
        <is>
          <t>SETIEMBRE 2027</t>
        </is>
      </c>
      <c r="M5562" t="inlineStr">
        <is>
          <t>PQS TIPO TIPO ABC AL 90%</t>
        </is>
      </c>
      <c r="N5562" t="inlineStr">
        <is>
          <t>05/004569</t>
        </is>
      </c>
      <c r="O5562" t="inlineStr">
        <is>
          <t>R</t>
        </is>
      </c>
      <c r="P5562">
        <f>TRIM(N5562)</f>
        <v/>
      </c>
    </row>
    <row r="5563">
      <c r="A5563" t="inlineStr">
        <is>
          <t>CO-002954</t>
        </is>
      </c>
      <c r="B5563" t="inlineStr">
        <is>
          <t>TEMPLO SAC</t>
        </is>
      </c>
      <c r="C5563" t="n">
        <v>20521127296</v>
      </c>
      <c r="D5563" t="inlineStr">
        <is>
          <t>AV. MANUEL OLGUÍN - SANTIAGO DE SURCO - LIMA - LIMA</t>
        </is>
      </c>
      <c r="E5563" t="inlineStr">
        <is>
          <t>Lima, 7 de setiembre del 2027</t>
        </is>
      </c>
      <c r="F5563" t="inlineStr">
        <is>
          <t>la Recarga y mantenimiento</t>
        </is>
      </c>
      <c r="G5563" t="n">
        <v>2</v>
      </c>
      <c r="H5563" t="inlineStr">
        <is>
          <t>06 KG</t>
        </is>
      </c>
      <c r="I5563" t="n">
        <v>2028</v>
      </c>
      <c r="J5563" t="n">
        <v>2017</v>
      </c>
      <c r="K5563" t="inlineStr">
        <is>
          <t>SETIEMBRE 2026</t>
        </is>
      </c>
      <c r="L5563" t="inlineStr">
        <is>
          <t>SETIEMBRE 2027</t>
        </is>
      </c>
      <c r="M5563" t="inlineStr">
        <is>
          <t>PQS TIPO ABC AL 90%</t>
        </is>
      </c>
      <c r="N5563" t="inlineStr">
        <is>
          <t>01/006199</t>
        </is>
      </c>
      <c r="O5563" t="inlineStr">
        <is>
          <t>R</t>
        </is>
      </c>
      <c r="P5563">
        <f>TRIM(N5563)</f>
        <v/>
      </c>
    </row>
    <row r="5564">
      <c r="A5564" t="inlineStr">
        <is>
          <t>CO-002954</t>
        </is>
      </c>
      <c r="B5564" t="inlineStr">
        <is>
          <t>TEMPLO SAC</t>
        </is>
      </c>
      <c r="C5564" t="n">
        <v>20521127296</v>
      </c>
      <c r="D5564" t="inlineStr">
        <is>
          <t>AV. MANUEL OLGUÍN - SANTIAGO DE SURCO - LIMA - LIMA</t>
        </is>
      </c>
      <c r="E5564" t="inlineStr">
        <is>
          <t>Lima, 7 de setiembre del 2027</t>
        </is>
      </c>
      <c r="F5564" t="inlineStr">
        <is>
          <t>la Recarga y mantenimiento</t>
        </is>
      </c>
      <c r="G5564" t="n">
        <v>3</v>
      </c>
      <c r="H5564" t="inlineStr">
        <is>
          <t>06 KG</t>
        </is>
      </c>
      <c r="I5564" t="n">
        <v>2028</v>
      </c>
      <c r="J5564" t="n">
        <v>2017</v>
      </c>
      <c r="K5564" t="inlineStr">
        <is>
          <t>SETIEMBRE 2026</t>
        </is>
      </c>
      <c r="L5564" t="inlineStr">
        <is>
          <t>SETIEMBRE 2027</t>
        </is>
      </c>
      <c r="M5564" t="inlineStr">
        <is>
          <t>PQS TIPO ABC AL 90%</t>
        </is>
      </c>
      <c r="N5564" t="inlineStr">
        <is>
          <t>04/006416</t>
        </is>
      </c>
      <c r="O5564" t="inlineStr">
        <is>
          <t>R</t>
        </is>
      </c>
      <c r="P5564">
        <f>TRIM(N5564)</f>
        <v/>
      </c>
    </row>
    <row r="5565">
      <c r="A5565" t="inlineStr">
        <is>
          <t>CO-002954</t>
        </is>
      </c>
      <c r="B5565" t="inlineStr">
        <is>
          <t>TEMPLO SAC</t>
        </is>
      </c>
      <c r="C5565" t="n">
        <v>20521127296</v>
      </c>
      <c r="D5565" t="inlineStr">
        <is>
          <t>AV. MANUEL OLGUÍN - SANTIAGO DE SURCO - LIMA - LIMA</t>
        </is>
      </c>
      <c r="E5565" t="inlineStr">
        <is>
          <t>Lima, 7 de setiembre del 2027</t>
        </is>
      </c>
      <c r="F5565" t="inlineStr">
        <is>
          <t>la Recarga y mantenimiento</t>
        </is>
      </c>
      <c r="G5565" t="n">
        <v>4</v>
      </c>
      <c r="H5565" t="inlineStr">
        <is>
          <t>06 KG</t>
        </is>
      </c>
      <c r="J5565" t="n">
        <v>2019</v>
      </c>
      <c r="K5565" t="inlineStr">
        <is>
          <t>SETIEMBRE 2026</t>
        </is>
      </c>
      <c r="L5565" t="inlineStr">
        <is>
          <t>SETIEMBRE 2027</t>
        </is>
      </c>
      <c r="M5565" t="inlineStr">
        <is>
          <t>PQS TIPO ABC AL 90%</t>
        </is>
      </c>
      <c r="N5565" t="inlineStr">
        <is>
          <t>02/085660</t>
        </is>
      </c>
      <c r="O5565" t="inlineStr">
        <is>
          <t>R</t>
        </is>
      </c>
      <c r="P5565">
        <f>TRIM(N5565)</f>
        <v/>
      </c>
    </row>
    <row r="5566">
      <c r="A5566" t="inlineStr">
        <is>
          <t>CO-002954</t>
        </is>
      </c>
      <c r="B5566" t="inlineStr">
        <is>
          <t>TEMPLO SAC</t>
        </is>
      </c>
      <c r="C5566" t="n">
        <v>20521127296</v>
      </c>
      <c r="D5566" t="inlineStr">
        <is>
          <t>AV. MANUEL OLGUÍN - SANTIAGO DE SURCO - LIMA - LIMA</t>
        </is>
      </c>
      <c r="E5566" t="inlineStr">
        <is>
          <t>Lima, 7 de setiembre del 2027</t>
        </is>
      </c>
      <c r="F5566" t="inlineStr">
        <is>
          <t>la Recarga y mantenimiento</t>
        </is>
      </c>
      <c r="G5566" t="n">
        <v>5</v>
      </c>
      <c r="H5566" t="inlineStr">
        <is>
          <t xml:space="preserve">06 KG </t>
        </is>
      </c>
      <c r="I5566" t="n">
        <v>2028</v>
      </c>
      <c r="J5566" t="n">
        <v>2017</v>
      </c>
      <c r="K5566" t="inlineStr">
        <is>
          <t>SETIEMBRE 2026</t>
        </is>
      </c>
      <c r="L5566" t="inlineStr">
        <is>
          <t>SETIEMBRE 2027</t>
        </is>
      </c>
      <c r="M5566" t="inlineStr">
        <is>
          <t>PQS TIPO ABC AL 90%</t>
        </is>
      </c>
      <c r="N5566" t="inlineStr">
        <is>
          <t>06/006636</t>
        </is>
      </c>
      <c r="O5566" t="inlineStr">
        <is>
          <t>R</t>
        </is>
      </c>
      <c r="P5566">
        <f>TRIM(N5566)</f>
        <v/>
      </c>
    </row>
    <row r="5567">
      <c r="A5567" t="inlineStr">
        <is>
          <t>CO-002954</t>
        </is>
      </c>
      <c r="B5567" t="inlineStr">
        <is>
          <t>TEMPLO SAC</t>
        </is>
      </c>
      <c r="C5567" t="n">
        <v>20521127296</v>
      </c>
      <c r="D5567" t="inlineStr">
        <is>
          <t>AV. MANUEL OLGUÍN - SANTIAGO DE SURCO - LIMA - LIMA</t>
        </is>
      </c>
      <c r="E5567" t="inlineStr">
        <is>
          <t>Lima, 7 de setiembre del 2027</t>
        </is>
      </c>
      <c r="F5567" t="inlineStr">
        <is>
          <t>la Recarga y mantenimiento</t>
        </is>
      </c>
      <c r="G5567" t="inlineStr">
        <is>
          <t>06</t>
        </is>
      </c>
      <c r="H5567" t="inlineStr">
        <is>
          <t>06 KG</t>
        </is>
      </c>
      <c r="I5567" t="n">
        <v>2028</v>
      </c>
      <c r="J5567" t="n">
        <v>2017</v>
      </c>
      <c r="K5567" t="inlineStr">
        <is>
          <t>SETIEMBRE 2026</t>
        </is>
      </c>
      <c r="L5567" t="inlineStr">
        <is>
          <t>SETIEMBRE 2027</t>
        </is>
      </c>
      <c r="M5567" t="inlineStr">
        <is>
          <t>PQS TIPO ABC AL 90%</t>
        </is>
      </c>
      <c r="N5567" t="inlineStr">
        <is>
          <t>03/004337</t>
        </is>
      </c>
      <c r="O5567" t="inlineStr">
        <is>
          <t>R</t>
        </is>
      </c>
      <c r="P5567">
        <f>TRIM(N5567)</f>
        <v/>
      </c>
    </row>
    <row r="5568">
      <c r="A5568" t="inlineStr">
        <is>
          <t>CO-002954</t>
        </is>
      </c>
      <c r="B5568" t="inlineStr">
        <is>
          <t>TEMPLO SAC</t>
        </is>
      </c>
      <c r="C5568" t="n">
        <v>20521127296</v>
      </c>
      <c r="D5568" t="inlineStr">
        <is>
          <t>AV. MANUEL OLGUÍN - SANTIAGO DE SURCO - LIMA - LIMA</t>
        </is>
      </c>
      <c r="E5568" t="inlineStr">
        <is>
          <t>Lima, 7 de setiembre del 2027</t>
        </is>
      </c>
      <c r="F5568" t="inlineStr">
        <is>
          <t>la Recarga y mantenimiento</t>
        </is>
      </c>
      <c r="G5568" t="inlineStr">
        <is>
          <t>07</t>
        </is>
      </c>
      <c r="H5568" t="inlineStr">
        <is>
          <t>10 LBS</t>
        </is>
      </c>
      <c r="J5568" t="n">
        <v>2022</v>
      </c>
      <c r="K5568" t="inlineStr">
        <is>
          <t>SETIEMBRE 2026</t>
        </is>
      </c>
      <c r="L5568" t="inlineStr">
        <is>
          <t>SETIEMBRE 2027</t>
        </is>
      </c>
      <c r="M5568" t="inlineStr">
        <is>
          <t>CO2 TIPO BC</t>
        </is>
      </c>
      <c r="N5568" t="inlineStr">
        <is>
          <t>07/000586</t>
        </is>
      </c>
      <c r="O5568" t="inlineStr">
        <is>
          <t>R</t>
        </is>
      </c>
      <c r="P5568">
        <f>TRIM(N5568)</f>
        <v/>
      </c>
    </row>
  </sheetData>
  <autoFilter ref="A1:O55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CLAVE_SERIE</t>
        </is>
      </c>
      <c r="B1" t="inlineStr">
        <is>
          <t>TARJETA</t>
        </is>
      </c>
      <c r="C1" t="inlineStr">
        <is>
          <t>CLIENTE</t>
        </is>
      </c>
      <c r="D1" t="inlineStr">
        <is>
          <t>DIRECCION</t>
        </is>
      </c>
      <c r="E1" t="inlineStr">
        <is>
          <t>EXTINTOR_N</t>
        </is>
      </c>
      <c r="F1" t="inlineStr">
        <is>
          <t>CAPACIDAD</t>
        </is>
      </c>
      <c r="G1" t="inlineStr">
        <is>
          <t>TIPO</t>
        </is>
      </c>
      <c r="I1" t="inlineStr">
        <is>
          <t>LISTA_SERIES</t>
        </is>
      </c>
    </row>
    <row r="2">
      <c r="A2">
        <f>TRIM(BASE_EQUIPOS!N2)</f>
        <v/>
      </c>
      <c r="B2">
        <f>BASE_EQUIPOS!A2</f>
        <v/>
      </c>
      <c r="C2">
        <f>BASE_EQUIPOS!B2</f>
        <v/>
      </c>
      <c r="D2">
        <f>BASE_EQUIPOS!D2</f>
        <v/>
      </c>
      <c r="E2">
        <f>BASE_EQUIPOS!G2</f>
        <v/>
      </c>
      <c r="F2">
        <f>BASE_EQUIPOS!H2</f>
        <v/>
      </c>
      <c r="G2">
        <f>BASE_EQUIPOS!M2</f>
        <v/>
      </c>
      <c r="I2" t="inlineStr">
        <is>
          <t>11 / 000398</t>
        </is>
      </c>
    </row>
    <row r="3">
      <c r="A3">
        <f>TRIM(BASE_EQUIPOS!N3)</f>
        <v/>
      </c>
      <c r="B3">
        <f>BASE_EQUIPOS!A3</f>
        <v/>
      </c>
      <c r="C3">
        <f>BASE_EQUIPOS!B3</f>
        <v/>
      </c>
      <c r="D3">
        <f>BASE_EQUIPOS!D3</f>
        <v/>
      </c>
      <c r="E3">
        <f>BASE_EQUIPOS!G3</f>
        <v/>
      </c>
      <c r="F3">
        <f>BASE_EQUIPOS!H3</f>
        <v/>
      </c>
      <c r="G3">
        <f>BASE_EQUIPOS!M3</f>
        <v/>
      </c>
      <c r="I3" t="inlineStr">
        <is>
          <t>275 / 000693</t>
        </is>
      </c>
    </row>
    <row r="4">
      <c r="A4">
        <f>TRIM(BASE_EQUIPOS!N4)</f>
        <v/>
      </c>
      <c r="B4">
        <f>BASE_EQUIPOS!A4</f>
        <v/>
      </c>
      <c r="C4">
        <f>BASE_EQUIPOS!B4</f>
        <v/>
      </c>
      <c r="D4">
        <f>BASE_EQUIPOS!D4</f>
        <v/>
      </c>
      <c r="E4">
        <f>BASE_EQUIPOS!G4</f>
        <v/>
      </c>
      <c r="F4">
        <f>BASE_EQUIPOS!H4</f>
        <v/>
      </c>
      <c r="G4">
        <f>BASE_EQUIPOS!M4</f>
        <v/>
      </c>
      <c r="I4" t="inlineStr">
        <is>
          <t>189 / 000999</t>
        </is>
      </c>
    </row>
    <row r="5">
      <c r="A5">
        <f>TRIM(BASE_EQUIPOS!N5)</f>
        <v/>
      </c>
      <c r="B5">
        <f>BASE_EQUIPOS!A5</f>
        <v/>
      </c>
      <c r="C5">
        <f>BASE_EQUIPOS!B5</f>
        <v/>
      </c>
      <c r="D5">
        <f>BASE_EQUIPOS!D5</f>
        <v/>
      </c>
      <c r="E5">
        <f>BASE_EQUIPOS!G5</f>
        <v/>
      </c>
      <c r="F5">
        <f>BASE_EQUIPOS!H5</f>
        <v/>
      </c>
      <c r="G5">
        <f>BASE_EQUIPOS!M5</f>
        <v/>
      </c>
      <c r="I5" t="inlineStr">
        <is>
          <t>260 / 000498</t>
        </is>
      </c>
    </row>
    <row r="6">
      <c r="A6">
        <f>TRIM(BASE_EQUIPOS!N6)</f>
        <v/>
      </c>
      <c r="B6">
        <f>BASE_EQUIPOS!A6</f>
        <v/>
      </c>
      <c r="C6">
        <f>BASE_EQUIPOS!B6</f>
        <v/>
      </c>
      <c r="D6">
        <f>BASE_EQUIPOS!D6</f>
        <v/>
      </c>
      <c r="E6">
        <f>BASE_EQUIPOS!G6</f>
        <v/>
      </c>
      <c r="F6">
        <f>BASE_EQUIPOS!H6</f>
        <v/>
      </c>
      <c r="G6">
        <f>BASE_EQUIPOS!M6</f>
        <v/>
      </c>
      <c r="I6" t="inlineStr">
        <is>
          <t>185 / 000613</t>
        </is>
      </c>
    </row>
    <row r="7">
      <c r="A7">
        <f>TRIM(BASE_EQUIPOS!N7)</f>
        <v/>
      </c>
      <c r="B7">
        <f>BASE_EQUIPOS!A7</f>
        <v/>
      </c>
      <c r="C7">
        <f>BASE_EQUIPOS!B7</f>
        <v/>
      </c>
      <c r="D7">
        <f>BASE_EQUIPOS!D7</f>
        <v/>
      </c>
      <c r="E7">
        <f>BASE_EQUIPOS!G7</f>
        <v/>
      </c>
      <c r="F7">
        <f>BASE_EQUIPOS!H7</f>
        <v/>
      </c>
      <c r="G7">
        <f>BASE_EQUIPOS!M7</f>
        <v/>
      </c>
      <c r="I7" t="inlineStr">
        <is>
          <t>07 / 001500</t>
        </is>
      </c>
    </row>
    <row r="8">
      <c r="A8">
        <f>TRIM(BASE_EQUIPOS!N8)</f>
        <v/>
      </c>
      <c r="B8">
        <f>BASE_EQUIPOS!A8</f>
        <v/>
      </c>
      <c r="C8">
        <f>BASE_EQUIPOS!B8</f>
        <v/>
      </c>
      <c r="D8">
        <f>BASE_EQUIPOS!D8</f>
        <v/>
      </c>
      <c r="E8">
        <f>BASE_EQUIPOS!G8</f>
        <v/>
      </c>
      <c r="F8">
        <f>BASE_EQUIPOS!H8</f>
        <v/>
      </c>
      <c r="G8">
        <f>BASE_EQUIPOS!M8</f>
        <v/>
      </c>
      <c r="I8" t="inlineStr">
        <is>
          <t>140 / 006500</t>
        </is>
      </c>
    </row>
    <row r="9">
      <c r="A9">
        <f>TRIM(BASE_EQUIPOS!N9)</f>
        <v/>
      </c>
      <c r="B9">
        <f>BASE_EQUIPOS!A9</f>
        <v/>
      </c>
      <c r="C9">
        <f>BASE_EQUIPOS!B9</f>
        <v/>
      </c>
      <c r="D9">
        <f>BASE_EQUIPOS!D9</f>
        <v/>
      </c>
      <c r="E9">
        <f>BASE_EQUIPOS!G9</f>
        <v/>
      </c>
      <c r="F9">
        <f>BASE_EQUIPOS!H9</f>
        <v/>
      </c>
      <c r="G9">
        <f>BASE_EQUIPOS!M9</f>
        <v/>
      </c>
      <c r="I9" t="inlineStr">
        <is>
          <t>S/N / 000039</t>
        </is>
      </c>
    </row>
    <row r="10">
      <c r="A10">
        <f>TRIM(BASE_EQUIPOS!N10)</f>
        <v/>
      </c>
      <c r="B10">
        <f>BASE_EQUIPOS!A10</f>
        <v/>
      </c>
      <c r="C10">
        <f>BASE_EQUIPOS!B10</f>
        <v/>
      </c>
      <c r="D10">
        <f>BASE_EQUIPOS!D10</f>
        <v/>
      </c>
      <c r="E10">
        <f>BASE_EQUIPOS!G10</f>
        <v/>
      </c>
      <c r="F10">
        <f>BASE_EQUIPOS!H10</f>
        <v/>
      </c>
      <c r="G10">
        <f>BASE_EQUIPOS!M10</f>
        <v/>
      </c>
      <c r="I10" t="inlineStr">
        <is>
          <t>314 / 002909</t>
        </is>
      </c>
    </row>
    <row r="11">
      <c r="A11">
        <f>TRIM(BASE_EQUIPOS!N11)</f>
        <v/>
      </c>
      <c r="B11">
        <f>BASE_EQUIPOS!A11</f>
        <v/>
      </c>
      <c r="C11">
        <f>BASE_EQUIPOS!B11</f>
        <v/>
      </c>
      <c r="D11">
        <f>BASE_EQUIPOS!D11</f>
        <v/>
      </c>
      <c r="E11">
        <f>BASE_EQUIPOS!G11</f>
        <v/>
      </c>
      <c r="F11">
        <f>BASE_EQUIPOS!H11</f>
        <v/>
      </c>
      <c r="G11">
        <f>BASE_EQUIPOS!M11</f>
        <v/>
      </c>
      <c r="I11" t="inlineStr">
        <is>
          <t>01/000551</t>
        </is>
      </c>
    </row>
    <row r="12">
      <c r="A12">
        <f>TRIM(BASE_EQUIPOS!N12)</f>
        <v/>
      </c>
      <c r="B12">
        <f>BASE_EQUIPOS!A12</f>
        <v/>
      </c>
      <c r="C12">
        <f>BASE_EQUIPOS!B12</f>
        <v/>
      </c>
      <c r="D12">
        <f>BASE_EQUIPOS!D12</f>
        <v/>
      </c>
      <c r="E12">
        <f>BASE_EQUIPOS!G12</f>
        <v/>
      </c>
      <c r="F12">
        <f>BASE_EQUIPOS!H12</f>
        <v/>
      </c>
      <c r="G12">
        <f>BASE_EQUIPOS!M12</f>
        <v/>
      </c>
      <c r="I12" t="inlineStr">
        <is>
          <t>02/000674</t>
        </is>
      </c>
    </row>
    <row r="13">
      <c r="A13">
        <f>TRIM(BASE_EQUIPOS!N13)</f>
        <v/>
      </c>
      <c r="B13">
        <f>BASE_EQUIPOS!A13</f>
        <v/>
      </c>
      <c r="C13">
        <f>BASE_EQUIPOS!B13</f>
        <v/>
      </c>
      <c r="D13">
        <f>BASE_EQUIPOS!D13</f>
        <v/>
      </c>
      <c r="E13">
        <f>BASE_EQUIPOS!G13</f>
        <v/>
      </c>
      <c r="F13">
        <f>BASE_EQUIPOS!H13</f>
        <v/>
      </c>
      <c r="G13">
        <f>BASE_EQUIPOS!M13</f>
        <v/>
      </c>
      <c r="I13" t="inlineStr">
        <is>
          <t>03/015357</t>
        </is>
      </c>
    </row>
    <row r="14">
      <c r="A14">
        <f>TRIM(BASE_EQUIPOS!N14)</f>
        <v/>
      </c>
      <c r="B14">
        <f>BASE_EQUIPOS!A14</f>
        <v/>
      </c>
      <c r="C14">
        <f>BASE_EQUIPOS!B14</f>
        <v/>
      </c>
      <c r="D14">
        <f>BASE_EQUIPOS!D14</f>
        <v/>
      </c>
      <c r="E14">
        <f>BASE_EQUIPOS!G14</f>
        <v/>
      </c>
      <c r="F14">
        <f>BASE_EQUIPOS!H14</f>
        <v/>
      </c>
      <c r="G14">
        <f>BASE_EQUIPOS!M14</f>
        <v/>
      </c>
      <c r="I14" t="inlineStr">
        <is>
          <t>01/002696</t>
        </is>
      </c>
    </row>
    <row r="15">
      <c r="A15">
        <f>TRIM(BASE_EQUIPOS!N15)</f>
        <v/>
      </c>
      <c r="B15">
        <f>BASE_EQUIPOS!A15</f>
        <v/>
      </c>
      <c r="C15">
        <f>BASE_EQUIPOS!B15</f>
        <v/>
      </c>
      <c r="D15">
        <f>BASE_EQUIPOS!D15</f>
        <v/>
      </c>
      <c r="E15">
        <f>BASE_EQUIPOS!G15</f>
        <v/>
      </c>
      <c r="F15">
        <f>BASE_EQUIPOS!H15</f>
        <v/>
      </c>
      <c r="G15">
        <f>BASE_EQUIPOS!M15</f>
        <v/>
      </c>
      <c r="I15" t="inlineStr">
        <is>
          <t>01/617327</t>
        </is>
      </c>
    </row>
    <row r="16">
      <c r="A16">
        <f>TRIM(BASE_EQUIPOS!N16)</f>
        <v/>
      </c>
      <c r="B16">
        <f>BASE_EQUIPOS!A16</f>
        <v/>
      </c>
      <c r="C16">
        <f>BASE_EQUIPOS!B16</f>
        <v/>
      </c>
      <c r="D16">
        <f>BASE_EQUIPOS!D16</f>
        <v/>
      </c>
      <c r="E16">
        <f>BASE_EQUIPOS!G16</f>
        <v/>
      </c>
      <c r="F16">
        <f>BASE_EQUIPOS!H16</f>
        <v/>
      </c>
      <c r="G16">
        <f>BASE_EQUIPOS!M16</f>
        <v/>
      </c>
      <c r="I16" t="inlineStr">
        <is>
          <t>01/617674</t>
        </is>
      </c>
    </row>
    <row r="17">
      <c r="A17">
        <f>TRIM(BASE_EQUIPOS!N17)</f>
        <v/>
      </c>
      <c r="B17">
        <f>BASE_EQUIPOS!A17</f>
        <v/>
      </c>
      <c r="C17">
        <f>BASE_EQUIPOS!B17</f>
        <v/>
      </c>
      <c r="D17">
        <f>BASE_EQUIPOS!D17</f>
        <v/>
      </c>
      <c r="E17">
        <f>BASE_EQUIPOS!G17</f>
        <v/>
      </c>
      <c r="F17">
        <f>BASE_EQUIPOS!H17</f>
        <v/>
      </c>
      <c r="G17">
        <f>BASE_EQUIPOS!M17</f>
        <v/>
      </c>
      <c r="I17" t="inlineStr">
        <is>
          <t>S/N</t>
        </is>
      </c>
    </row>
    <row r="18">
      <c r="A18">
        <f>TRIM(BASE_EQUIPOS!N18)</f>
        <v/>
      </c>
      <c r="B18">
        <f>BASE_EQUIPOS!A18</f>
        <v/>
      </c>
      <c r="C18">
        <f>BASE_EQUIPOS!B18</f>
        <v/>
      </c>
      <c r="D18">
        <f>BASE_EQUIPOS!D18</f>
        <v/>
      </c>
      <c r="E18">
        <f>BASE_EQUIPOS!G18</f>
        <v/>
      </c>
      <c r="F18">
        <f>BASE_EQUIPOS!H18</f>
        <v/>
      </c>
      <c r="G18">
        <f>BASE_EQUIPOS!M18</f>
        <v/>
      </c>
      <c r="I18" t="inlineStr">
        <is>
          <t>01/185</t>
        </is>
      </c>
    </row>
    <row r="19">
      <c r="A19">
        <f>TRIM(BASE_EQUIPOS!N19)</f>
        <v/>
      </c>
      <c r="B19">
        <f>BASE_EQUIPOS!A19</f>
        <v/>
      </c>
      <c r="C19">
        <f>BASE_EQUIPOS!B19</f>
        <v/>
      </c>
      <c r="D19">
        <f>BASE_EQUIPOS!D19</f>
        <v/>
      </c>
      <c r="E19">
        <f>BASE_EQUIPOS!G19</f>
        <v/>
      </c>
      <c r="F19">
        <f>BASE_EQUIPOS!H19</f>
        <v/>
      </c>
      <c r="G19">
        <f>BASE_EQUIPOS!M19</f>
        <v/>
      </c>
      <c r="I19" t="inlineStr">
        <is>
          <t>01/3149</t>
        </is>
      </c>
    </row>
    <row r="20">
      <c r="A20">
        <f>TRIM(BASE_EQUIPOS!N20)</f>
        <v/>
      </c>
      <c r="B20">
        <f>BASE_EQUIPOS!A20</f>
        <v/>
      </c>
      <c r="C20">
        <f>BASE_EQUIPOS!B20</f>
        <v/>
      </c>
      <c r="D20">
        <f>BASE_EQUIPOS!D20</f>
        <v/>
      </c>
      <c r="E20">
        <f>BASE_EQUIPOS!G20</f>
        <v/>
      </c>
      <c r="F20">
        <f>BASE_EQUIPOS!H20</f>
        <v/>
      </c>
      <c r="G20">
        <f>BASE_EQUIPOS!M20</f>
        <v/>
      </c>
      <c r="I20" t="inlineStr">
        <is>
          <t>01/003505</t>
        </is>
      </c>
    </row>
    <row r="21">
      <c r="A21">
        <f>TRIM(BASE_EQUIPOS!N21)</f>
        <v/>
      </c>
      <c r="B21">
        <f>BASE_EQUIPOS!A21</f>
        <v/>
      </c>
      <c r="C21">
        <f>BASE_EQUIPOS!B21</f>
        <v/>
      </c>
      <c r="D21">
        <f>BASE_EQUIPOS!D21</f>
        <v/>
      </c>
      <c r="E21">
        <f>BASE_EQUIPOS!G21</f>
        <v/>
      </c>
      <c r="F21">
        <f>BASE_EQUIPOS!H21</f>
        <v/>
      </c>
      <c r="G21">
        <f>BASE_EQUIPOS!M21</f>
        <v/>
      </c>
      <c r="I21" t="inlineStr">
        <is>
          <t>02/003501</t>
        </is>
      </c>
    </row>
    <row r="22">
      <c r="A22">
        <f>TRIM(BASE_EQUIPOS!N22)</f>
        <v/>
      </c>
      <c r="B22">
        <f>BASE_EQUIPOS!A22</f>
        <v/>
      </c>
      <c r="C22">
        <f>BASE_EQUIPOS!B22</f>
        <v/>
      </c>
      <c r="D22">
        <f>BASE_EQUIPOS!D22</f>
        <v/>
      </c>
      <c r="E22">
        <f>BASE_EQUIPOS!G22</f>
        <v/>
      </c>
      <c r="F22">
        <f>BASE_EQUIPOS!H22</f>
        <v/>
      </c>
      <c r="G22">
        <f>BASE_EQUIPOS!M22</f>
        <v/>
      </c>
      <c r="I22" t="inlineStr">
        <is>
          <t>01/000243</t>
        </is>
      </c>
    </row>
    <row r="23">
      <c r="A23">
        <f>TRIM(BASE_EQUIPOS!N23)</f>
        <v/>
      </c>
      <c r="B23">
        <f>BASE_EQUIPOS!A23</f>
        <v/>
      </c>
      <c r="C23">
        <f>BASE_EQUIPOS!B23</f>
        <v/>
      </c>
      <c r="D23">
        <f>BASE_EQUIPOS!D23</f>
        <v/>
      </c>
      <c r="E23">
        <f>BASE_EQUIPOS!G23</f>
        <v/>
      </c>
      <c r="F23">
        <f>BASE_EQUIPOS!H23</f>
        <v/>
      </c>
      <c r="G23">
        <f>BASE_EQUIPOS!M23</f>
        <v/>
      </c>
      <c r="I23" t="inlineStr">
        <is>
          <t>01/000306</t>
        </is>
      </c>
    </row>
    <row r="24">
      <c r="A24">
        <f>TRIM(BASE_EQUIPOS!N24)</f>
        <v/>
      </c>
      <c r="B24">
        <f>BASE_EQUIPOS!A24</f>
        <v/>
      </c>
      <c r="C24">
        <f>BASE_EQUIPOS!B24</f>
        <v/>
      </c>
      <c r="D24">
        <f>BASE_EQUIPOS!D24</f>
        <v/>
      </c>
      <c r="E24">
        <f>BASE_EQUIPOS!G24</f>
        <v/>
      </c>
      <c r="F24">
        <f>BASE_EQUIPOS!H24</f>
        <v/>
      </c>
      <c r="G24">
        <f>BASE_EQUIPOS!M24</f>
        <v/>
      </c>
      <c r="I24" t="inlineStr">
        <is>
          <t>01/021024</t>
        </is>
      </c>
    </row>
    <row r="25">
      <c r="A25">
        <f>TRIM(BASE_EQUIPOS!N25)</f>
        <v/>
      </c>
      <c r="B25">
        <f>BASE_EQUIPOS!A25</f>
        <v/>
      </c>
      <c r="C25">
        <f>BASE_EQUIPOS!B25</f>
        <v/>
      </c>
      <c r="D25">
        <f>BASE_EQUIPOS!D25</f>
        <v/>
      </c>
      <c r="E25">
        <f>BASE_EQUIPOS!G25</f>
        <v/>
      </c>
      <c r="F25">
        <f>BASE_EQUIPOS!H25</f>
        <v/>
      </c>
      <c r="G25">
        <f>BASE_EQUIPOS!M25</f>
        <v/>
      </c>
      <c r="I25" t="inlineStr">
        <is>
          <t>01/001391</t>
        </is>
      </c>
    </row>
    <row r="26">
      <c r="A26">
        <f>TRIM(BASE_EQUIPOS!N26)</f>
        <v/>
      </c>
      <c r="B26">
        <f>BASE_EQUIPOS!A26</f>
        <v/>
      </c>
      <c r="C26">
        <f>BASE_EQUIPOS!B26</f>
        <v/>
      </c>
      <c r="D26">
        <f>BASE_EQUIPOS!D26</f>
        <v/>
      </c>
      <c r="E26">
        <f>BASE_EQUIPOS!G26</f>
        <v/>
      </c>
      <c r="F26">
        <f>BASE_EQUIPOS!H26</f>
        <v/>
      </c>
      <c r="G26">
        <f>BASE_EQUIPOS!M26</f>
        <v/>
      </c>
      <c r="I26" t="inlineStr">
        <is>
          <t>01/000858</t>
        </is>
      </c>
    </row>
    <row r="27">
      <c r="A27">
        <f>TRIM(BASE_EQUIPOS!N27)</f>
        <v/>
      </c>
      <c r="B27">
        <f>BASE_EQUIPOS!A27</f>
        <v/>
      </c>
      <c r="C27">
        <f>BASE_EQUIPOS!B27</f>
        <v/>
      </c>
      <c r="D27">
        <f>BASE_EQUIPOS!D27</f>
        <v/>
      </c>
      <c r="E27">
        <f>BASE_EQUIPOS!G27</f>
        <v/>
      </c>
      <c r="F27">
        <f>BASE_EQUIPOS!H27</f>
        <v/>
      </c>
      <c r="G27">
        <f>BASE_EQUIPOS!M27</f>
        <v/>
      </c>
      <c r="I27" t="inlineStr">
        <is>
          <t>01/000254</t>
        </is>
      </c>
    </row>
    <row r="28">
      <c r="A28">
        <f>TRIM(BASE_EQUIPOS!N28)</f>
        <v/>
      </c>
      <c r="B28">
        <f>BASE_EQUIPOS!A28</f>
        <v/>
      </c>
      <c r="C28">
        <f>BASE_EQUIPOS!B28</f>
        <v/>
      </c>
      <c r="D28">
        <f>BASE_EQUIPOS!D28</f>
        <v/>
      </c>
      <c r="E28">
        <f>BASE_EQUIPOS!G28</f>
        <v/>
      </c>
      <c r="F28">
        <f>BASE_EQUIPOS!H28</f>
        <v/>
      </c>
      <c r="G28">
        <f>BASE_EQUIPOS!M28</f>
        <v/>
      </c>
      <c r="I28" t="inlineStr">
        <is>
          <t>01/003536</t>
        </is>
      </c>
    </row>
    <row r="29">
      <c r="A29">
        <f>TRIM(BASE_EQUIPOS!N29)</f>
        <v/>
      </c>
      <c r="B29">
        <f>BASE_EQUIPOS!A29</f>
        <v/>
      </c>
      <c r="C29">
        <f>BASE_EQUIPOS!B29</f>
        <v/>
      </c>
      <c r="D29">
        <f>BASE_EQUIPOS!D29</f>
        <v/>
      </c>
      <c r="E29">
        <f>BASE_EQUIPOS!G29</f>
        <v/>
      </c>
      <c r="F29">
        <f>BASE_EQUIPOS!H29</f>
        <v/>
      </c>
      <c r="G29">
        <f>BASE_EQUIPOS!M29</f>
        <v/>
      </c>
      <c r="I29" t="inlineStr">
        <is>
          <t>01/153603</t>
        </is>
      </c>
    </row>
    <row r="30">
      <c r="A30">
        <f>TRIM(BASE_EQUIPOS!N30)</f>
        <v/>
      </c>
      <c r="B30">
        <f>BASE_EQUIPOS!A30</f>
        <v/>
      </c>
      <c r="C30">
        <f>BASE_EQUIPOS!B30</f>
        <v/>
      </c>
      <c r="D30">
        <f>BASE_EQUIPOS!D30</f>
        <v/>
      </c>
      <c r="E30">
        <f>BASE_EQUIPOS!G30</f>
        <v/>
      </c>
      <c r="F30">
        <f>BASE_EQUIPOS!H30</f>
        <v/>
      </c>
      <c r="G30">
        <f>BASE_EQUIPOS!M30</f>
        <v/>
      </c>
      <c r="I30" t="inlineStr">
        <is>
          <t>01/001014</t>
        </is>
      </c>
    </row>
    <row r="31">
      <c r="A31">
        <f>TRIM(BASE_EQUIPOS!N31)</f>
        <v/>
      </c>
      <c r="B31">
        <f>BASE_EQUIPOS!A31</f>
        <v/>
      </c>
      <c r="C31">
        <f>BASE_EQUIPOS!B31</f>
        <v/>
      </c>
      <c r="D31">
        <f>BASE_EQUIPOS!D31</f>
        <v/>
      </c>
      <c r="E31">
        <f>BASE_EQUIPOS!G31</f>
        <v/>
      </c>
      <c r="F31">
        <f>BASE_EQUIPOS!H31</f>
        <v/>
      </c>
      <c r="G31">
        <f>BASE_EQUIPOS!M31</f>
        <v/>
      </c>
      <c r="I31" t="inlineStr">
        <is>
          <t>01/000011</t>
        </is>
      </c>
    </row>
    <row r="32">
      <c r="A32">
        <f>TRIM(BASE_EQUIPOS!N32)</f>
        <v/>
      </c>
      <c r="B32">
        <f>BASE_EQUIPOS!A32</f>
        <v/>
      </c>
      <c r="C32">
        <f>BASE_EQUIPOS!B32</f>
        <v/>
      </c>
      <c r="D32">
        <f>BASE_EQUIPOS!D32</f>
        <v/>
      </c>
      <c r="E32">
        <f>BASE_EQUIPOS!G32</f>
        <v/>
      </c>
      <c r="F32">
        <f>BASE_EQUIPOS!H32</f>
        <v/>
      </c>
      <c r="G32">
        <f>BASE_EQUIPOS!M32</f>
        <v/>
      </c>
      <c r="I32" t="inlineStr">
        <is>
          <t>01/001415</t>
        </is>
      </c>
    </row>
    <row r="33">
      <c r="A33">
        <f>TRIM(BASE_EQUIPOS!N33)</f>
        <v/>
      </c>
      <c r="B33">
        <f>BASE_EQUIPOS!A33</f>
        <v/>
      </c>
      <c r="C33">
        <f>BASE_EQUIPOS!B33</f>
        <v/>
      </c>
      <c r="D33">
        <f>BASE_EQUIPOS!D33</f>
        <v/>
      </c>
      <c r="E33">
        <f>BASE_EQUIPOS!G33</f>
        <v/>
      </c>
      <c r="F33">
        <f>BASE_EQUIPOS!H33</f>
        <v/>
      </c>
      <c r="G33">
        <f>BASE_EQUIPOS!M33</f>
        <v/>
      </c>
      <c r="I33" t="inlineStr">
        <is>
          <t>01/002910</t>
        </is>
      </c>
    </row>
    <row r="34">
      <c r="A34">
        <f>TRIM(BASE_EQUIPOS!N34)</f>
        <v/>
      </c>
      <c r="B34">
        <f>BASE_EQUIPOS!A34</f>
        <v/>
      </c>
      <c r="C34">
        <f>BASE_EQUIPOS!B34</f>
        <v/>
      </c>
      <c r="D34">
        <f>BASE_EQUIPOS!D34</f>
        <v/>
      </c>
      <c r="E34">
        <f>BASE_EQUIPOS!G34</f>
        <v/>
      </c>
      <c r="F34">
        <f>BASE_EQUIPOS!H34</f>
        <v/>
      </c>
      <c r="G34">
        <f>BASE_EQUIPOS!M34</f>
        <v/>
      </c>
      <c r="I34" t="inlineStr">
        <is>
          <t>01/000115</t>
        </is>
      </c>
    </row>
    <row r="35">
      <c r="A35">
        <f>TRIM(BASE_EQUIPOS!N35)</f>
        <v/>
      </c>
      <c r="B35">
        <f>BASE_EQUIPOS!A35</f>
        <v/>
      </c>
      <c r="C35">
        <f>BASE_EQUIPOS!B35</f>
        <v/>
      </c>
      <c r="D35">
        <f>BASE_EQUIPOS!D35</f>
        <v/>
      </c>
      <c r="E35">
        <f>BASE_EQUIPOS!G35</f>
        <v/>
      </c>
      <c r="F35">
        <f>BASE_EQUIPOS!H35</f>
        <v/>
      </c>
      <c r="G35">
        <f>BASE_EQUIPOS!M35</f>
        <v/>
      </c>
      <c r="I35" t="inlineStr">
        <is>
          <t>01/518004</t>
        </is>
      </c>
    </row>
    <row r="36">
      <c r="A36">
        <f>TRIM(BASE_EQUIPOS!N36)</f>
        <v/>
      </c>
      <c r="B36">
        <f>BASE_EQUIPOS!A36</f>
        <v/>
      </c>
      <c r="C36">
        <f>BASE_EQUIPOS!B36</f>
        <v/>
      </c>
      <c r="D36">
        <f>BASE_EQUIPOS!D36</f>
        <v/>
      </c>
      <c r="E36">
        <f>BASE_EQUIPOS!G36</f>
        <v/>
      </c>
      <c r="F36">
        <f>BASE_EQUIPOS!H36</f>
        <v/>
      </c>
      <c r="G36">
        <f>BASE_EQUIPOS!M36</f>
        <v/>
      </c>
      <c r="I36" t="inlineStr">
        <is>
          <t>01/001241</t>
        </is>
      </c>
    </row>
    <row r="37">
      <c r="A37">
        <f>TRIM(BASE_EQUIPOS!N37)</f>
        <v/>
      </c>
      <c r="B37">
        <f>BASE_EQUIPOS!A37</f>
        <v/>
      </c>
      <c r="C37">
        <f>BASE_EQUIPOS!B37</f>
        <v/>
      </c>
      <c r="D37">
        <f>BASE_EQUIPOS!D37</f>
        <v/>
      </c>
      <c r="E37">
        <f>BASE_EQUIPOS!G37</f>
        <v/>
      </c>
      <c r="F37">
        <f>BASE_EQUIPOS!H37</f>
        <v/>
      </c>
      <c r="G37">
        <f>BASE_EQUIPOS!M37</f>
        <v/>
      </c>
      <c r="I37" t="inlineStr">
        <is>
          <t>01/010204</t>
        </is>
      </c>
    </row>
    <row r="38">
      <c r="A38">
        <f>TRIM(BASE_EQUIPOS!N38)</f>
        <v/>
      </c>
      <c r="B38">
        <f>BASE_EQUIPOS!A38</f>
        <v/>
      </c>
      <c r="C38">
        <f>BASE_EQUIPOS!B38</f>
        <v/>
      </c>
      <c r="D38">
        <f>BASE_EQUIPOS!D38</f>
        <v/>
      </c>
      <c r="E38">
        <f>BASE_EQUIPOS!G38</f>
        <v/>
      </c>
      <c r="F38">
        <f>BASE_EQUIPOS!H38</f>
        <v/>
      </c>
      <c r="G38">
        <f>BASE_EQUIPOS!M38</f>
        <v/>
      </c>
      <c r="I38" t="inlineStr">
        <is>
          <t>01/8001287</t>
        </is>
      </c>
    </row>
    <row r="39">
      <c r="A39">
        <f>TRIM(BASE_EQUIPOS!N39)</f>
        <v/>
      </c>
      <c r="B39">
        <f>BASE_EQUIPOS!A39</f>
        <v/>
      </c>
      <c r="C39">
        <f>BASE_EQUIPOS!B39</f>
        <v/>
      </c>
      <c r="D39">
        <f>BASE_EQUIPOS!D39</f>
        <v/>
      </c>
      <c r="E39">
        <f>BASE_EQUIPOS!G39</f>
        <v/>
      </c>
      <c r="F39">
        <f>BASE_EQUIPOS!H39</f>
        <v/>
      </c>
      <c r="G39">
        <f>BASE_EQUIPOS!M39</f>
        <v/>
      </c>
      <c r="I39" t="inlineStr">
        <is>
          <t>01/004026</t>
        </is>
      </c>
    </row>
    <row r="40">
      <c r="A40">
        <f>TRIM(BASE_EQUIPOS!N40)</f>
        <v/>
      </c>
      <c r="B40">
        <f>BASE_EQUIPOS!A40</f>
        <v/>
      </c>
      <c r="C40">
        <f>BASE_EQUIPOS!B40</f>
        <v/>
      </c>
      <c r="D40">
        <f>BASE_EQUIPOS!D40</f>
        <v/>
      </c>
      <c r="E40">
        <f>BASE_EQUIPOS!G40</f>
        <v/>
      </c>
      <c r="F40">
        <f>BASE_EQUIPOS!H40</f>
        <v/>
      </c>
      <c r="G40">
        <f>BASE_EQUIPOS!M40</f>
        <v/>
      </c>
      <c r="I40" t="inlineStr">
        <is>
          <t>01/000314</t>
        </is>
      </c>
    </row>
    <row r="41">
      <c r="A41">
        <f>TRIM(BASE_EQUIPOS!N41)</f>
        <v/>
      </c>
      <c r="B41">
        <f>BASE_EQUIPOS!A41</f>
        <v/>
      </c>
      <c r="C41">
        <f>BASE_EQUIPOS!B41</f>
        <v/>
      </c>
      <c r="D41">
        <f>BASE_EQUIPOS!D41</f>
        <v/>
      </c>
      <c r="E41">
        <f>BASE_EQUIPOS!G41</f>
        <v/>
      </c>
      <c r="F41">
        <f>BASE_EQUIPOS!H41</f>
        <v/>
      </c>
      <c r="G41">
        <f>BASE_EQUIPOS!M41</f>
        <v/>
      </c>
      <c r="I41" t="inlineStr">
        <is>
          <t>01/001328</t>
        </is>
      </c>
    </row>
    <row r="42">
      <c r="A42">
        <f>TRIM(BASE_EQUIPOS!N42)</f>
        <v/>
      </c>
      <c r="B42">
        <f>BASE_EQUIPOS!A42</f>
        <v/>
      </c>
      <c r="C42">
        <f>BASE_EQUIPOS!B42</f>
        <v/>
      </c>
      <c r="D42">
        <f>BASE_EQUIPOS!D42</f>
        <v/>
      </c>
      <c r="E42">
        <f>BASE_EQUIPOS!G42</f>
        <v/>
      </c>
      <c r="F42">
        <f>BASE_EQUIPOS!H42</f>
        <v/>
      </c>
      <c r="G42">
        <f>BASE_EQUIPOS!M42</f>
        <v/>
      </c>
      <c r="I42" t="inlineStr">
        <is>
          <t>01/000148</t>
        </is>
      </c>
    </row>
    <row r="43">
      <c r="A43">
        <f>TRIM(BASE_EQUIPOS!N43)</f>
        <v/>
      </c>
      <c r="B43">
        <f>BASE_EQUIPOS!A43</f>
        <v/>
      </c>
      <c r="C43">
        <f>BASE_EQUIPOS!B43</f>
        <v/>
      </c>
      <c r="D43">
        <f>BASE_EQUIPOS!D43</f>
        <v/>
      </c>
      <c r="E43">
        <f>BASE_EQUIPOS!G43</f>
        <v/>
      </c>
      <c r="F43">
        <f>BASE_EQUIPOS!H43</f>
        <v/>
      </c>
      <c r="G43">
        <f>BASE_EQUIPOS!M43</f>
        <v/>
      </c>
      <c r="I43" t="inlineStr">
        <is>
          <t>01/002939</t>
        </is>
      </c>
    </row>
    <row r="44">
      <c r="A44">
        <f>TRIM(BASE_EQUIPOS!N44)</f>
        <v/>
      </c>
      <c r="B44">
        <f>BASE_EQUIPOS!A44</f>
        <v/>
      </c>
      <c r="C44">
        <f>BASE_EQUIPOS!B44</f>
        <v/>
      </c>
      <c r="D44">
        <f>BASE_EQUIPOS!D44</f>
        <v/>
      </c>
      <c r="E44">
        <f>BASE_EQUIPOS!G44</f>
        <v/>
      </c>
      <c r="F44">
        <f>BASE_EQUIPOS!H44</f>
        <v/>
      </c>
      <c r="G44">
        <f>BASE_EQUIPOS!M44</f>
        <v/>
      </c>
      <c r="I44" t="inlineStr">
        <is>
          <t>01/000150</t>
        </is>
      </c>
    </row>
    <row r="45">
      <c r="A45">
        <f>TRIM(BASE_EQUIPOS!N45)</f>
        <v/>
      </c>
      <c r="B45">
        <f>BASE_EQUIPOS!A45</f>
        <v/>
      </c>
      <c r="C45">
        <f>BASE_EQUIPOS!B45</f>
        <v/>
      </c>
      <c r="D45">
        <f>BASE_EQUIPOS!D45</f>
        <v/>
      </c>
      <c r="E45">
        <f>BASE_EQUIPOS!G45</f>
        <v/>
      </c>
      <c r="F45">
        <f>BASE_EQUIPOS!H45</f>
        <v/>
      </c>
      <c r="G45">
        <f>BASE_EQUIPOS!M45</f>
        <v/>
      </c>
      <c r="I45" t="inlineStr">
        <is>
          <t>01/015843</t>
        </is>
      </c>
    </row>
    <row r="46">
      <c r="A46">
        <f>TRIM(BASE_EQUIPOS!N46)</f>
        <v/>
      </c>
      <c r="B46">
        <f>BASE_EQUIPOS!A46</f>
        <v/>
      </c>
      <c r="C46">
        <f>BASE_EQUIPOS!B46</f>
        <v/>
      </c>
      <c r="D46">
        <f>BASE_EQUIPOS!D46</f>
        <v/>
      </c>
      <c r="E46">
        <f>BASE_EQUIPOS!G46</f>
        <v/>
      </c>
      <c r="F46">
        <f>BASE_EQUIPOS!H46</f>
        <v/>
      </c>
      <c r="G46">
        <f>BASE_EQUIPOS!M46</f>
        <v/>
      </c>
      <c r="I46" t="inlineStr">
        <is>
          <t>01/000698</t>
        </is>
      </c>
    </row>
    <row r="47">
      <c r="A47">
        <f>TRIM(BASE_EQUIPOS!N47)</f>
        <v/>
      </c>
      <c r="B47">
        <f>BASE_EQUIPOS!A47</f>
        <v/>
      </c>
      <c r="C47">
        <f>BASE_EQUIPOS!B47</f>
        <v/>
      </c>
      <c r="D47">
        <f>BASE_EQUIPOS!D47</f>
        <v/>
      </c>
      <c r="E47">
        <f>BASE_EQUIPOS!G47</f>
        <v/>
      </c>
      <c r="F47">
        <f>BASE_EQUIPOS!H47</f>
        <v/>
      </c>
      <c r="G47">
        <f>BASE_EQUIPOS!M47</f>
        <v/>
      </c>
      <c r="I47" t="inlineStr">
        <is>
          <t>01/002775</t>
        </is>
      </c>
    </row>
    <row r="48">
      <c r="A48">
        <f>TRIM(BASE_EQUIPOS!N48)</f>
        <v/>
      </c>
      <c r="B48">
        <f>BASE_EQUIPOS!A48</f>
        <v/>
      </c>
      <c r="C48">
        <f>BASE_EQUIPOS!B48</f>
        <v/>
      </c>
      <c r="D48">
        <f>BASE_EQUIPOS!D48</f>
        <v/>
      </c>
      <c r="E48">
        <f>BASE_EQUIPOS!G48</f>
        <v/>
      </c>
      <c r="F48">
        <f>BASE_EQUIPOS!H48</f>
        <v/>
      </c>
      <c r="G48">
        <f>BASE_EQUIPOS!M48</f>
        <v/>
      </c>
      <c r="I48" t="inlineStr">
        <is>
          <t>01/003589</t>
        </is>
      </c>
    </row>
    <row r="49">
      <c r="A49">
        <f>TRIM(BASE_EQUIPOS!N49)</f>
        <v/>
      </c>
      <c r="B49">
        <f>BASE_EQUIPOS!A49</f>
        <v/>
      </c>
      <c r="C49">
        <f>BASE_EQUIPOS!B49</f>
        <v/>
      </c>
      <c r="D49">
        <f>BASE_EQUIPOS!D49</f>
        <v/>
      </c>
      <c r="E49">
        <f>BASE_EQUIPOS!G49</f>
        <v/>
      </c>
      <c r="F49">
        <f>BASE_EQUIPOS!H49</f>
        <v/>
      </c>
      <c r="G49">
        <f>BASE_EQUIPOS!M49</f>
        <v/>
      </c>
      <c r="I49" t="inlineStr">
        <is>
          <t>01/201106</t>
        </is>
      </c>
    </row>
    <row r="50">
      <c r="A50">
        <f>TRIM(BASE_EQUIPOS!N50)</f>
        <v/>
      </c>
      <c r="B50">
        <f>BASE_EQUIPOS!A50</f>
        <v/>
      </c>
      <c r="C50">
        <f>BASE_EQUIPOS!B50</f>
        <v/>
      </c>
      <c r="D50">
        <f>BASE_EQUIPOS!D50</f>
        <v/>
      </c>
      <c r="E50">
        <f>BASE_EQUIPOS!G50</f>
        <v/>
      </c>
      <c r="F50">
        <f>BASE_EQUIPOS!H50</f>
        <v/>
      </c>
      <c r="G50">
        <f>BASE_EQUIPOS!M50</f>
        <v/>
      </c>
      <c r="I50" t="inlineStr">
        <is>
          <t>01/010617</t>
        </is>
      </c>
    </row>
    <row r="51">
      <c r="A51">
        <f>TRIM(BASE_EQUIPOS!N51)</f>
        <v/>
      </c>
      <c r="B51">
        <f>BASE_EQUIPOS!A51</f>
        <v/>
      </c>
      <c r="C51">
        <f>BASE_EQUIPOS!B51</f>
        <v/>
      </c>
      <c r="D51">
        <f>BASE_EQUIPOS!D51</f>
        <v/>
      </c>
      <c r="E51">
        <f>BASE_EQUIPOS!G51</f>
        <v/>
      </c>
      <c r="F51">
        <f>BASE_EQUIPOS!H51</f>
        <v/>
      </c>
      <c r="G51">
        <f>BASE_EQUIPOS!M51</f>
        <v/>
      </c>
      <c r="I51" t="inlineStr">
        <is>
          <t>01/152567</t>
        </is>
      </c>
    </row>
    <row r="52">
      <c r="A52">
        <f>TRIM(BASE_EQUIPOS!N52)</f>
        <v/>
      </c>
      <c r="B52">
        <f>BASE_EQUIPOS!A52</f>
        <v/>
      </c>
      <c r="C52">
        <f>BASE_EQUIPOS!B52</f>
        <v/>
      </c>
      <c r="D52">
        <f>BASE_EQUIPOS!D52</f>
        <v/>
      </c>
      <c r="E52">
        <f>BASE_EQUIPOS!G52</f>
        <v/>
      </c>
      <c r="F52">
        <f>BASE_EQUIPOS!H52</f>
        <v/>
      </c>
      <c r="G52">
        <f>BASE_EQUIPOS!M52</f>
        <v/>
      </c>
      <c r="I52" t="inlineStr">
        <is>
          <t>01/152571</t>
        </is>
      </c>
    </row>
    <row r="53">
      <c r="A53">
        <f>TRIM(BASE_EQUIPOS!N53)</f>
        <v/>
      </c>
      <c r="B53">
        <f>BASE_EQUIPOS!A53</f>
        <v/>
      </c>
      <c r="C53">
        <f>BASE_EQUIPOS!B53</f>
        <v/>
      </c>
      <c r="D53">
        <f>BASE_EQUIPOS!D53</f>
        <v/>
      </c>
      <c r="E53">
        <f>BASE_EQUIPOS!G53</f>
        <v/>
      </c>
      <c r="F53">
        <f>BASE_EQUIPOS!H53</f>
        <v/>
      </c>
      <c r="G53">
        <f>BASE_EQUIPOS!M53</f>
        <v/>
      </c>
      <c r="I53" t="inlineStr">
        <is>
          <t>01/367758</t>
        </is>
      </c>
    </row>
    <row r="54">
      <c r="A54">
        <f>TRIM(BASE_EQUIPOS!N54)</f>
        <v/>
      </c>
      <c r="B54">
        <f>BASE_EQUIPOS!A54</f>
        <v/>
      </c>
      <c r="C54">
        <f>BASE_EQUIPOS!B54</f>
        <v/>
      </c>
      <c r="D54">
        <f>BASE_EQUIPOS!D54</f>
        <v/>
      </c>
      <c r="E54">
        <f>BASE_EQUIPOS!G54</f>
        <v/>
      </c>
      <c r="F54">
        <f>BASE_EQUIPOS!H54</f>
        <v/>
      </c>
      <c r="G54">
        <f>BASE_EQUIPOS!M54</f>
        <v/>
      </c>
      <c r="I54" t="inlineStr">
        <is>
          <t>01/001164</t>
        </is>
      </c>
    </row>
    <row r="55">
      <c r="A55">
        <f>TRIM(BASE_EQUIPOS!N55)</f>
        <v/>
      </c>
      <c r="B55">
        <f>BASE_EQUIPOS!A55</f>
        <v/>
      </c>
      <c r="C55">
        <f>BASE_EQUIPOS!B55</f>
        <v/>
      </c>
      <c r="D55">
        <f>BASE_EQUIPOS!D55</f>
        <v/>
      </c>
      <c r="E55">
        <f>BASE_EQUIPOS!G55</f>
        <v/>
      </c>
      <c r="F55">
        <f>BASE_EQUIPOS!H55</f>
        <v/>
      </c>
      <c r="G55">
        <f>BASE_EQUIPOS!M55</f>
        <v/>
      </c>
      <c r="I55" t="inlineStr">
        <is>
          <t>01/002292</t>
        </is>
      </c>
    </row>
    <row r="56">
      <c r="A56">
        <f>TRIM(BASE_EQUIPOS!N56)</f>
        <v/>
      </c>
      <c r="B56">
        <f>BASE_EQUIPOS!A56</f>
        <v/>
      </c>
      <c r="C56">
        <f>BASE_EQUIPOS!B56</f>
        <v/>
      </c>
      <c r="D56">
        <f>BASE_EQUIPOS!D56</f>
        <v/>
      </c>
      <c r="E56">
        <f>BASE_EQUIPOS!G56</f>
        <v/>
      </c>
      <c r="F56">
        <f>BASE_EQUIPOS!H56</f>
        <v/>
      </c>
      <c r="G56">
        <f>BASE_EQUIPOS!M56</f>
        <v/>
      </c>
      <c r="I56" t="inlineStr">
        <is>
          <t>01/000866</t>
        </is>
      </c>
    </row>
    <row r="57">
      <c r="A57">
        <f>TRIM(BASE_EQUIPOS!N57)</f>
        <v/>
      </c>
      <c r="B57">
        <f>BASE_EQUIPOS!A57</f>
        <v/>
      </c>
      <c r="C57">
        <f>BASE_EQUIPOS!B57</f>
        <v/>
      </c>
      <c r="D57">
        <f>BASE_EQUIPOS!D57</f>
        <v/>
      </c>
      <c r="E57">
        <f>BASE_EQUIPOS!G57</f>
        <v/>
      </c>
      <c r="F57">
        <f>BASE_EQUIPOS!H57</f>
        <v/>
      </c>
      <c r="G57">
        <f>BASE_EQUIPOS!M57</f>
        <v/>
      </c>
      <c r="I57" t="inlineStr">
        <is>
          <t>01/000176</t>
        </is>
      </c>
    </row>
    <row r="58">
      <c r="A58">
        <f>TRIM(BASE_EQUIPOS!N58)</f>
        <v/>
      </c>
      <c r="B58">
        <f>BASE_EQUIPOS!A58</f>
        <v/>
      </c>
      <c r="C58">
        <f>BASE_EQUIPOS!B58</f>
        <v/>
      </c>
      <c r="D58">
        <f>BASE_EQUIPOS!D58</f>
        <v/>
      </c>
      <c r="E58">
        <f>BASE_EQUIPOS!G58</f>
        <v/>
      </c>
      <c r="F58">
        <f>BASE_EQUIPOS!H58</f>
        <v/>
      </c>
      <c r="G58">
        <f>BASE_EQUIPOS!M58</f>
        <v/>
      </c>
      <c r="I58" t="inlineStr">
        <is>
          <t>01/000286</t>
        </is>
      </c>
    </row>
    <row r="59">
      <c r="A59">
        <f>TRIM(BASE_EQUIPOS!N59)</f>
        <v/>
      </c>
      <c r="B59">
        <f>BASE_EQUIPOS!A59</f>
        <v/>
      </c>
      <c r="C59">
        <f>BASE_EQUIPOS!B59</f>
        <v/>
      </c>
      <c r="D59">
        <f>BASE_EQUIPOS!D59</f>
        <v/>
      </c>
      <c r="E59">
        <f>BASE_EQUIPOS!G59</f>
        <v/>
      </c>
      <c r="F59">
        <f>BASE_EQUIPOS!H59</f>
        <v/>
      </c>
      <c r="G59">
        <f>BASE_EQUIPOS!M59</f>
        <v/>
      </c>
      <c r="I59" t="inlineStr">
        <is>
          <t>01/307193</t>
        </is>
      </c>
    </row>
    <row r="60">
      <c r="A60">
        <f>TRIM(BASE_EQUIPOS!N60)</f>
        <v/>
      </c>
      <c r="B60">
        <f>BASE_EQUIPOS!A60</f>
        <v/>
      </c>
      <c r="C60">
        <f>BASE_EQUIPOS!B60</f>
        <v/>
      </c>
      <c r="D60">
        <f>BASE_EQUIPOS!D60</f>
        <v/>
      </c>
      <c r="E60">
        <f>BASE_EQUIPOS!G60</f>
        <v/>
      </c>
      <c r="F60">
        <f>BASE_EQUIPOS!H60</f>
        <v/>
      </c>
      <c r="G60">
        <f>BASE_EQUIPOS!M60</f>
        <v/>
      </c>
      <c r="I60" t="inlineStr">
        <is>
          <t>01/000992</t>
        </is>
      </c>
    </row>
    <row r="61">
      <c r="A61">
        <f>TRIM(BASE_EQUIPOS!N61)</f>
        <v/>
      </c>
      <c r="B61">
        <f>BASE_EQUIPOS!A61</f>
        <v/>
      </c>
      <c r="C61">
        <f>BASE_EQUIPOS!B61</f>
        <v/>
      </c>
      <c r="D61">
        <f>BASE_EQUIPOS!D61</f>
        <v/>
      </c>
      <c r="E61">
        <f>BASE_EQUIPOS!G61</f>
        <v/>
      </c>
      <c r="F61">
        <f>BASE_EQUIPOS!H61</f>
        <v/>
      </c>
      <c r="G61">
        <f>BASE_EQUIPOS!M61</f>
        <v/>
      </c>
      <c r="I61" t="inlineStr">
        <is>
          <t>01/0000005</t>
        </is>
      </c>
    </row>
    <row r="62">
      <c r="A62">
        <f>TRIM(BASE_EQUIPOS!N62)</f>
        <v/>
      </c>
      <c r="B62">
        <f>BASE_EQUIPOS!A62</f>
        <v/>
      </c>
      <c r="C62">
        <f>BASE_EQUIPOS!B62</f>
        <v/>
      </c>
      <c r="D62">
        <f>BASE_EQUIPOS!D62</f>
        <v/>
      </c>
      <c r="E62">
        <f>BASE_EQUIPOS!G62</f>
        <v/>
      </c>
      <c r="F62">
        <f>BASE_EQUIPOS!H62</f>
        <v/>
      </c>
      <c r="G62">
        <f>BASE_EQUIPOS!M62</f>
        <v/>
      </c>
      <c r="I62" t="inlineStr">
        <is>
          <t>01/002052</t>
        </is>
      </c>
    </row>
    <row r="63">
      <c r="A63">
        <f>TRIM(BASE_EQUIPOS!N63)</f>
        <v/>
      </c>
      <c r="B63">
        <f>BASE_EQUIPOS!A63</f>
        <v/>
      </c>
      <c r="C63">
        <f>BASE_EQUIPOS!B63</f>
        <v/>
      </c>
      <c r="D63">
        <f>BASE_EQUIPOS!D63</f>
        <v/>
      </c>
      <c r="E63">
        <f>BASE_EQUIPOS!G63</f>
        <v/>
      </c>
      <c r="F63">
        <f>BASE_EQUIPOS!H63</f>
        <v/>
      </c>
      <c r="G63">
        <f>BASE_EQUIPOS!M63</f>
        <v/>
      </c>
      <c r="I63" t="inlineStr">
        <is>
          <t>01/007493</t>
        </is>
      </c>
    </row>
    <row r="64">
      <c r="A64">
        <f>TRIM(BASE_EQUIPOS!N64)</f>
        <v/>
      </c>
      <c r="B64">
        <f>BASE_EQUIPOS!A64</f>
        <v/>
      </c>
      <c r="C64">
        <f>BASE_EQUIPOS!B64</f>
        <v/>
      </c>
      <c r="D64">
        <f>BASE_EQUIPOS!D64</f>
        <v/>
      </c>
      <c r="E64">
        <f>BASE_EQUIPOS!G64</f>
        <v/>
      </c>
      <c r="F64">
        <f>BASE_EQUIPOS!H64</f>
        <v/>
      </c>
      <c r="G64">
        <f>BASE_EQUIPOS!M64</f>
        <v/>
      </c>
      <c r="I64" t="inlineStr">
        <is>
          <t>01/000182</t>
        </is>
      </c>
    </row>
    <row r="65">
      <c r="A65">
        <f>TRIM(BASE_EQUIPOS!N65)</f>
        <v/>
      </c>
      <c r="B65">
        <f>BASE_EQUIPOS!A65</f>
        <v/>
      </c>
      <c r="C65">
        <f>BASE_EQUIPOS!B65</f>
        <v/>
      </c>
      <c r="D65">
        <f>BASE_EQUIPOS!D65</f>
        <v/>
      </c>
      <c r="E65">
        <f>BASE_EQUIPOS!G65</f>
        <v/>
      </c>
      <c r="F65">
        <f>BASE_EQUIPOS!H65</f>
        <v/>
      </c>
      <c r="G65">
        <f>BASE_EQUIPOS!M65</f>
        <v/>
      </c>
      <c r="I65" t="inlineStr">
        <is>
          <t>01/000001</t>
        </is>
      </c>
    </row>
    <row r="66">
      <c r="A66">
        <f>TRIM(BASE_EQUIPOS!N66)</f>
        <v/>
      </c>
      <c r="B66">
        <f>BASE_EQUIPOS!A66</f>
        <v/>
      </c>
      <c r="C66">
        <f>BASE_EQUIPOS!B66</f>
        <v/>
      </c>
      <c r="D66">
        <f>BASE_EQUIPOS!D66</f>
        <v/>
      </c>
      <c r="E66">
        <f>BASE_EQUIPOS!G66</f>
        <v/>
      </c>
      <c r="F66">
        <f>BASE_EQUIPOS!H66</f>
        <v/>
      </c>
      <c r="G66">
        <f>BASE_EQUIPOS!M66</f>
        <v/>
      </c>
      <c r="I66" t="inlineStr">
        <is>
          <t>01/002215</t>
        </is>
      </c>
    </row>
    <row r="67">
      <c r="A67">
        <f>TRIM(BASE_EQUIPOS!N67)</f>
        <v/>
      </c>
      <c r="B67">
        <f>BASE_EQUIPOS!A67</f>
        <v/>
      </c>
      <c r="C67">
        <f>BASE_EQUIPOS!B67</f>
        <v/>
      </c>
      <c r="D67">
        <f>BASE_EQUIPOS!D67</f>
        <v/>
      </c>
      <c r="E67">
        <f>BASE_EQUIPOS!G67</f>
        <v/>
      </c>
      <c r="F67">
        <f>BASE_EQUIPOS!H67</f>
        <v/>
      </c>
      <c r="G67">
        <f>BASE_EQUIPOS!M67</f>
        <v/>
      </c>
      <c r="I67" t="inlineStr">
        <is>
          <t>09/000007</t>
        </is>
      </c>
    </row>
    <row r="68">
      <c r="A68">
        <f>TRIM(BASE_EQUIPOS!N68)</f>
        <v/>
      </c>
      <c r="B68">
        <f>BASE_EQUIPOS!A68</f>
        <v/>
      </c>
      <c r="C68">
        <f>BASE_EQUIPOS!B68</f>
        <v/>
      </c>
      <c r="D68">
        <f>BASE_EQUIPOS!D68</f>
        <v/>
      </c>
      <c r="E68">
        <f>BASE_EQUIPOS!G68</f>
        <v/>
      </c>
      <c r="F68">
        <f>BASE_EQUIPOS!H68</f>
        <v/>
      </c>
      <c r="G68">
        <f>BASE_EQUIPOS!M68</f>
        <v/>
      </c>
      <c r="I68" t="inlineStr">
        <is>
          <t>01/000417</t>
        </is>
      </c>
    </row>
    <row r="69">
      <c r="A69">
        <f>TRIM(BASE_EQUIPOS!N69)</f>
        <v/>
      </c>
      <c r="B69">
        <f>BASE_EQUIPOS!A69</f>
        <v/>
      </c>
      <c r="C69">
        <f>BASE_EQUIPOS!B69</f>
        <v/>
      </c>
      <c r="D69">
        <f>BASE_EQUIPOS!D69</f>
        <v/>
      </c>
      <c r="E69">
        <f>BASE_EQUIPOS!G69</f>
        <v/>
      </c>
      <c r="F69">
        <f>BASE_EQUIPOS!H69</f>
        <v/>
      </c>
      <c r="G69">
        <f>BASE_EQUIPOS!M69</f>
        <v/>
      </c>
      <c r="I69" t="inlineStr">
        <is>
          <t>01/001156</t>
        </is>
      </c>
    </row>
    <row r="70">
      <c r="A70">
        <f>TRIM(BASE_EQUIPOS!N70)</f>
        <v/>
      </c>
      <c r="B70">
        <f>BASE_EQUIPOS!A70</f>
        <v/>
      </c>
      <c r="C70">
        <f>BASE_EQUIPOS!B70</f>
        <v/>
      </c>
      <c r="D70">
        <f>BASE_EQUIPOS!D70</f>
        <v/>
      </c>
      <c r="E70">
        <f>BASE_EQUIPOS!G70</f>
        <v/>
      </c>
      <c r="F70">
        <f>BASE_EQUIPOS!H70</f>
        <v/>
      </c>
      <c r="G70">
        <f>BASE_EQUIPOS!M70</f>
        <v/>
      </c>
      <c r="I70" t="inlineStr">
        <is>
          <t>01/002446</t>
        </is>
      </c>
    </row>
    <row r="71">
      <c r="A71">
        <f>TRIM(BASE_EQUIPOS!N71)</f>
        <v/>
      </c>
      <c r="B71">
        <f>BASE_EQUIPOS!A71</f>
        <v/>
      </c>
      <c r="C71">
        <f>BASE_EQUIPOS!B71</f>
        <v/>
      </c>
      <c r="D71">
        <f>BASE_EQUIPOS!D71</f>
        <v/>
      </c>
      <c r="E71">
        <f>BASE_EQUIPOS!G71</f>
        <v/>
      </c>
      <c r="F71">
        <f>BASE_EQUIPOS!H71</f>
        <v/>
      </c>
      <c r="G71">
        <f>BASE_EQUIPOS!M71</f>
        <v/>
      </c>
      <c r="I71" t="inlineStr">
        <is>
          <t>01/000301</t>
        </is>
      </c>
    </row>
    <row r="72">
      <c r="A72">
        <f>TRIM(BASE_EQUIPOS!N72)</f>
        <v/>
      </c>
      <c r="B72">
        <f>BASE_EQUIPOS!A72</f>
        <v/>
      </c>
      <c r="C72">
        <f>BASE_EQUIPOS!B72</f>
        <v/>
      </c>
      <c r="D72">
        <f>BASE_EQUIPOS!D72</f>
        <v/>
      </c>
      <c r="E72">
        <f>BASE_EQUIPOS!G72</f>
        <v/>
      </c>
      <c r="F72">
        <f>BASE_EQUIPOS!H72</f>
        <v/>
      </c>
      <c r="G72">
        <f>BASE_EQUIPOS!M72</f>
        <v/>
      </c>
      <c r="I72" t="inlineStr">
        <is>
          <t>01/000847</t>
        </is>
      </c>
    </row>
    <row r="73">
      <c r="A73">
        <f>TRIM(BASE_EQUIPOS!N73)</f>
        <v/>
      </c>
      <c r="B73">
        <f>BASE_EQUIPOS!A73</f>
        <v/>
      </c>
      <c r="C73">
        <f>BASE_EQUIPOS!B73</f>
        <v/>
      </c>
      <c r="D73">
        <f>BASE_EQUIPOS!D73</f>
        <v/>
      </c>
      <c r="E73">
        <f>BASE_EQUIPOS!G73</f>
        <v/>
      </c>
      <c r="F73">
        <f>BASE_EQUIPOS!H73</f>
        <v/>
      </c>
      <c r="G73">
        <f>BASE_EQUIPOS!M73</f>
        <v/>
      </c>
      <c r="I73" t="inlineStr">
        <is>
          <t>01/000928</t>
        </is>
      </c>
    </row>
    <row r="74">
      <c r="A74">
        <f>TRIM(BASE_EQUIPOS!N74)</f>
        <v/>
      </c>
      <c r="B74">
        <f>BASE_EQUIPOS!A74</f>
        <v/>
      </c>
      <c r="C74">
        <f>BASE_EQUIPOS!B74</f>
        <v/>
      </c>
      <c r="D74">
        <f>BASE_EQUIPOS!D74</f>
        <v/>
      </c>
      <c r="E74">
        <f>BASE_EQUIPOS!G74</f>
        <v/>
      </c>
      <c r="F74">
        <f>BASE_EQUIPOS!H74</f>
        <v/>
      </c>
      <c r="G74">
        <f>BASE_EQUIPOS!M74</f>
        <v/>
      </c>
      <c r="I74" t="inlineStr">
        <is>
          <t>01/000067</t>
        </is>
      </c>
    </row>
    <row r="75">
      <c r="A75">
        <f>TRIM(BASE_EQUIPOS!N75)</f>
        <v/>
      </c>
      <c r="B75">
        <f>BASE_EQUIPOS!A75</f>
        <v/>
      </c>
      <c r="C75">
        <f>BASE_EQUIPOS!B75</f>
        <v/>
      </c>
      <c r="D75">
        <f>BASE_EQUIPOS!D75</f>
        <v/>
      </c>
      <c r="E75">
        <f>BASE_EQUIPOS!G75</f>
        <v/>
      </c>
      <c r="F75">
        <f>BASE_EQUIPOS!H75</f>
        <v/>
      </c>
      <c r="G75">
        <f>BASE_EQUIPOS!M75</f>
        <v/>
      </c>
      <c r="I75" t="inlineStr">
        <is>
          <t>01/003266</t>
        </is>
      </c>
    </row>
    <row r="76">
      <c r="A76">
        <f>TRIM(BASE_EQUIPOS!N76)</f>
        <v/>
      </c>
      <c r="B76">
        <f>BASE_EQUIPOS!A76</f>
        <v/>
      </c>
      <c r="C76">
        <f>BASE_EQUIPOS!B76</f>
        <v/>
      </c>
      <c r="D76">
        <f>BASE_EQUIPOS!D76</f>
        <v/>
      </c>
      <c r="E76">
        <f>BASE_EQUIPOS!G76</f>
        <v/>
      </c>
      <c r="F76">
        <f>BASE_EQUIPOS!H76</f>
        <v/>
      </c>
      <c r="G76">
        <f>BASE_EQUIPOS!M76</f>
        <v/>
      </c>
      <c r="I76" t="inlineStr">
        <is>
          <t>01/002317</t>
        </is>
      </c>
    </row>
    <row r="77">
      <c r="A77">
        <f>TRIM(BASE_EQUIPOS!N77)</f>
        <v/>
      </c>
      <c r="B77">
        <f>BASE_EQUIPOS!A77</f>
        <v/>
      </c>
      <c r="C77">
        <f>BASE_EQUIPOS!B77</f>
        <v/>
      </c>
      <c r="D77">
        <f>BASE_EQUIPOS!D77</f>
        <v/>
      </c>
      <c r="E77">
        <f>BASE_EQUIPOS!G77</f>
        <v/>
      </c>
      <c r="F77">
        <f>BASE_EQUIPOS!H77</f>
        <v/>
      </c>
      <c r="G77">
        <f>BASE_EQUIPOS!M77</f>
        <v/>
      </c>
      <c r="I77" t="inlineStr">
        <is>
          <t>183/3910</t>
        </is>
      </c>
    </row>
    <row r="78">
      <c r="A78">
        <f>TRIM(BASE_EQUIPOS!N78)</f>
        <v/>
      </c>
      <c r="B78">
        <f>BASE_EQUIPOS!A78</f>
        <v/>
      </c>
      <c r="C78">
        <f>BASE_EQUIPOS!B78</f>
        <v/>
      </c>
      <c r="D78">
        <f>BASE_EQUIPOS!D78</f>
        <v/>
      </c>
      <c r="E78">
        <f>BASE_EQUIPOS!G78</f>
        <v/>
      </c>
      <c r="F78">
        <f>BASE_EQUIPOS!H78</f>
        <v/>
      </c>
      <c r="G78">
        <f>BASE_EQUIPOS!M78</f>
        <v/>
      </c>
      <c r="I78" t="inlineStr">
        <is>
          <t>01/000515</t>
        </is>
      </c>
    </row>
    <row r="79">
      <c r="A79">
        <f>TRIM(BASE_EQUIPOS!N79)</f>
        <v/>
      </c>
      <c r="B79">
        <f>BASE_EQUIPOS!A79</f>
        <v/>
      </c>
      <c r="C79">
        <f>BASE_EQUIPOS!B79</f>
        <v/>
      </c>
      <c r="D79">
        <f>BASE_EQUIPOS!D79</f>
        <v/>
      </c>
      <c r="E79">
        <f>BASE_EQUIPOS!G79</f>
        <v/>
      </c>
      <c r="F79">
        <f>BASE_EQUIPOS!H79</f>
        <v/>
      </c>
      <c r="G79">
        <f>BASE_EQUIPOS!M79</f>
        <v/>
      </c>
      <c r="I79" t="inlineStr">
        <is>
          <t>01/0003486</t>
        </is>
      </c>
    </row>
    <row r="80">
      <c r="A80">
        <f>TRIM(BASE_EQUIPOS!N80)</f>
        <v/>
      </c>
      <c r="B80">
        <f>BASE_EQUIPOS!A80</f>
        <v/>
      </c>
      <c r="C80">
        <f>BASE_EQUIPOS!B80</f>
        <v/>
      </c>
      <c r="D80">
        <f>BASE_EQUIPOS!D80</f>
        <v/>
      </c>
      <c r="E80">
        <f>BASE_EQUIPOS!G80</f>
        <v/>
      </c>
      <c r="F80">
        <f>BASE_EQUIPOS!H80</f>
        <v/>
      </c>
      <c r="G80">
        <f>BASE_EQUIPOS!M80</f>
        <v/>
      </c>
      <c r="I80" t="inlineStr">
        <is>
          <t>01/003176</t>
        </is>
      </c>
    </row>
    <row r="81">
      <c r="A81">
        <f>TRIM(BASE_EQUIPOS!N81)</f>
        <v/>
      </c>
      <c r="B81">
        <f>BASE_EQUIPOS!A81</f>
        <v/>
      </c>
      <c r="C81">
        <f>BASE_EQUIPOS!B81</f>
        <v/>
      </c>
      <c r="D81">
        <f>BASE_EQUIPOS!D81</f>
        <v/>
      </c>
      <c r="E81">
        <f>BASE_EQUIPOS!G81</f>
        <v/>
      </c>
      <c r="F81">
        <f>BASE_EQUIPOS!H81</f>
        <v/>
      </c>
      <c r="G81">
        <f>BASE_EQUIPOS!M81</f>
        <v/>
      </c>
      <c r="I81" t="inlineStr">
        <is>
          <t>01/000584</t>
        </is>
      </c>
    </row>
    <row r="82">
      <c r="A82">
        <f>TRIM(BASE_EQUIPOS!N82)</f>
        <v/>
      </c>
      <c r="B82">
        <f>BASE_EQUIPOS!A82</f>
        <v/>
      </c>
      <c r="C82">
        <f>BASE_EQUIPOS!B82</f>
        <v/>
      </c>
      <c r="D82">
        <f>BASE_EQUIPOS!D82</f>
        <v/>
      </c>
      <c r="E82">
        <f>BASE_EQUIPOS!G82</f>
        <v/>
      </c>
      <c r="F82">
        <f>BASE_EQUIPOS!H82</f>
        <v/>
      </c>
      <c r="G82">
        <f>BASE_EQUIPOS!M82</f>
        <v/>
      </c>
      <c r="I82" t="inlineStr">
        <is>
          <t>01/001256</t>
        </is>
      </c>
    </row>
    <row r="83">
      <c r="A83">
        <f>TRIM(BASE_EQUIPOS!N83)</f>
        <v/>
      </c>
      <c r="B83">
        <f>BASE_EQUIPOS!A83</f>
        <v/>
      </c>
      <c r="C83">
        <f>BASE_EQUIPOS!B83</f>
        <v/>
      </c>
      <c r="D83">
        <f>BASE_EQUIPOS!D83</f>
        <v/>
      </c>
      <c r="E83">
        <f>BASE_EQUIPOS!G83</f>
        <v/>
      </c>
      <c r="F83">
        <f>BASE_EQUIPOS!H83</f>
        <v/>
      </c>
      <c r="G83">
        <f>BASE_EQUIPOS!M83</f>
        <v/>
      </c>
      <c r="I83" t="inlineStr">
        <is>
          <t>01/000006</t>
        </is>
      </c>
    </row>
    <row r="84">
      <c r="A84">
        <f>TRIM(BASE_EQUIPOS!N84)</f>
        <v/>
      </c>
      <c r="B84">
        <f>BASE_EQUIPOS!A84</f>
        <v/>
      </c>
      <c r="C84">
        <f>BASE_EQUIPOS!B84</f>
        <v/>
      </c>
      <c r="D84">
        <f>BASE_EQUIPOS!D84</f>
        <v/>
      </c>
      <c r="E84">
        <f>BASE_EQUIPOS!G84</f>
        <v/>
      </c>
      <c r="F84">
        <f>BASE_EQUIPOS!H84</f>
        <v/>
      </c>
      <c r="G84">
        <f>BASE_EQUIPOS!M84</f>
        <v/>
      </c>
      <c r="I84" t="inlineStr">
        <is>
          <t>01/000452</t>
        </is>
      </c>
    </row>
    <row r="85">
      <c r="A85">
        <f>TRIM(BASE_EQUIPOS!N85)</f>
        <v/>
      </c>
      <c r="B85">
        <f>BASE_EQUIPOS!A85</f>
        <v/>
      </c>
      <c r="C85">
        <f>BASE_EQUIPOS!B85</f>
        <v/>
      </c>
      <c r="D85">
        <f>BASE_EQUIPOS!D85</f>
        <v/>
      </c>
      <c r="E85">
        <f>BASE_EQUIPOS!G85</f>
        <v/>
      </c>
      <c r="F85">
        <f>BASE_EQUIPOS!H85</f>
        <v/>
      </c>
      <c r="G85">
        <f>BASE_EQUIPOS!M85</f>
        <v/>
      </c>
      <c r="I85" t="inlineStr">
        <is>
          <t>01/000372</t>
        </is>
      </c>
    </row>
    <row r="86">
      <c r="A86">
        <f>TRIM(BASE_EQUIPOS!N86)</f>
        <v/>
      </c>
      <c r="B86">
        <f>BASE_EQUIPOS!A86</f>
        <v/>
      </c>
      <c r="C86">
        <f>BASE_EQUIPOS!B86</f>
        <v/>
      </c>
      <c r="D86">
        <f>BASE_EQUIPOS!D86</f>
        <v/>
      </c>
      <c r="E86">
        <f>BASE_EQUIPOS!G86</f>
        <v/>
      </c>
      <c r="F86">
        <f>BASE_EQUIPOS!H86</f>
        <v/>
      </c>
      <c r="G86">
        <f>BASE_EQUIPOS!M86</f>
        <v/>
      </c>
      <c r="I86" t="inlineStr">
        <is>
          <t>01/000270</t>
        </is>
      </c>
    </row>
    <row r="87">
      <c r="A87">
        <f>TRIM(BASE_EQUIPOS!N87)</f>
        <v/>
      </c>
      <c r="B87">
        <f>BASE_EQUIPOS!A87</f>
        <v/>
      </c>
      <c r="C87">
        <f>BASE_EQUIPOS!B87</f>
        <v/>
      </c>
      <c r="D87">
        <f>BASE_EQUIPOS!D87</f>
        <v/>
      </c>
      <c r="E87">
        <f>BASE_EQUIPOS!G87</f>
        <v/>
      </c>
      <c r="F87">
        <f>BASE_EQUIPOS!H87</f>
        <v/>
      </c>
      <c r="G87">
        <f>BASE_EQUIPOS!M87</f>
        <v/>
      </c>
      <c r="I87" t="inlineStr">
        <is>
          <t>01/115478</t>
        </is>
      </c>
    </row>
    <row r="88">
      <c r="A88">
        <f>TRIM(BASE_EQUIPOS!N88)</f>
        <v/>
      </c>
      <c r="B88">
        <f>BASE_EQUIPOS!A88</f>
        <v/>
      </c>
      <c r="C88">
        <f>BASE_EQUIPOS!B88</f>
        <v/>
      </c>
      <c r="D88">
        <f>BASE_EQUIPOS!D88</f>
        <v/>
      </c>
      <c r="E88">
        <f>BASE_EQUIPOS!G88</f>
        <v/>
      </c>
      <c r="F88">
        <f>BASE_EQUIPOS!H88</f>
        <v/>
      </c>
      <c r="G88">
        <f>BASE_EQUIPOS!M88</f>
        <v/>
      </c>
      <c r="I88" t="inlineStr">
        <is>
          <t>01/377908</t>
        </is>
      </c>
    </row>
    <row r="89">
      <c r="A89">
        <f>TRIM(BASE_EQUIPOS!N89)</f>
        <v/>
      </c>
      <c r="B89">
        <f>BASE_EQUIPOS!A89</f>
        <v/>
      </c>
      <c r="C89">
        <f>BASE_EQUIPOS!B89</f>
        <v/>
      </c>
      <c r="D89">
        <f>BASE_EQUIPOS!D89</f>
        <v/>
      </c>
      <c r="E89">
        <f>BASE_EQUIPOS!G89</f>
        <v/>
      </c>
      <c r="F89">
        <f>BASE_EQUIPOS!H89</f>
        <v/>
      </c>
      <c r="G89">
        <f>BASE_EQUIPOS!M89</f>
        <v/>
      </c>
      <c r="I89" t="inlineStr">
        <is>
          <t>01/000685</t>
        </is>
      </c>
    </row>
    <row r="90">
      <c r="A90">
        <f>TRIM(BASE_EQUIPOS!N90)</f>
        <v/>
      </c>
      <c r="B90">
        <f>BASE_EQUIPOS!A90</f>
        <v/>
      </c>
      <c r="C90">
        <f>BASE_EQUIPOS!B90</f>
        <v/>
      </c>
      <c r="D90">
        <f>BASE_EQUIPOS!D90</f>
        <v/>
      </c>
      <c r="E90">
        <f>BASE_EQUIPOS!G90</f>
        <v/>
      </c>
      <c r="F90">
        <f>BASE_EQUIPOS!H90</f>
        <v/>
      </c>
      <c r="G90">
        <f>BASE_EQUIPOS!M90</f>
        <v/>
      </c>
      <c r="I90" t="inlineStr">
        <is>
          <t>01/004810</t>
        </is>
      </c>
    </row>
    <row r="91">
      <c r="A91">
        <f>TRIM(BASE_EQUIPOS!N91)</f>
        <v/>
      </c>
      <c r="B91">
        <f>BASE_EQUIPOS!A91</f>
        <v/>
      </c>
      <c r="C91">
        <f>BASE_EQUIPOS!B91</f>
        <v/>
      </c>
      <c r="D91">
        <f>BASE_EQUIPOS!D91</f>
        <v/>
      </c>
      <c r="E91">
        <f>BASE_EQUIPOS!G91</f>
        <v/>
      </c>
      <c r="F91">
        <f>BASE_EQUIPOS!H91</f>
        <v/>
      </c>
      <c r="G91">
        <f>BASE_EQUIPOS!M91</f>
        <v/>
      </c>
      <c r="I91" t="inlineStr">
        <is>
          <t>01/000645</t>
        </is>
      </c>
    </row>
    <row r="92">
      <c r="A92">
        <f>TRIM(BASE_EQUIPOS!N92)</f>
        <v/>
      </c>
      <c r="B92">
        <f>BASE_EQUIPOS!A92</f>
        <v/>
      </c>
      <c r="C92">
        <f>BASE_EQUIPOS!B92</f>
        <v/>
      </c>
      <c r="D92">
        <f>BASE_EQUIPOS!D92</f>
        <v/>
      </c>
      <c r="E92">
        <f>BASE_EQUIPOS!G92</f>
        <v/>
      </c>
      <c r="F92">
        <f>BASE_EQUIPOS!H92</f>
        <v/>
      </c>
      <c r="G92">
        <f>BASE_EQUIPOS!M92</f>
        <v/>
      </c>
      <c r="I92" t="inlineStr">
        <is>
          <t>01/009829</t>
        </is>
      </c>
    </row>
    <row r="93">
      <c r="A93">
        <f>TRIM(BASE_EQUIPOS!N93)</f>
        <v/>
      </c>
      <c r="B93">
        <f>BASE_EQUIPOS!A93</f>
        <v/>
      </c>
      <c r="C93">
        <f>BASE_EQUIPOS!B93</f>
        <v/>
      </c>
      <c r="D93">
        <f>BASE_EQUIPOS!D93</f>
        <v/>
      </c>
      <c r="E93">
        <f>BASE_EQUIPOS!G93</f>
        <v/>
      </c>
      <c r="F93">
        <f>BASE_EQUIPOS!H93</f>
        <v/>
      </c>
      <c r="G93">
        <f>BASE_EQUIPOS!M93</f>
        <v/>
      </c>
      <c r="I93" t="inlineStr">
        <is>
          <t>01/002935</t>
        </is>
      </c>
    </row>
    <row r="94">
      <c r="A94">
        <f>TRIM(BASE_EQUIPOS!N94)</f>
        <v/>
      </c>
      <c r="B94">
        <f>BASE_EQUIPOS!A94</f>
        <v/>
      </c>
      <c r="C94">
        <f>BASE_EQUIPOS!B94</f>
        <v/>
      </c>
      <c r="D94">
        <f>BASE_EQUIPOS!D94</f>
        <v/>
      </c>
      <c r="E94">
        <f>BASE_EQUIPOS!G94</f>
        <v/>
      </c>
      <c r="F94">
        <f>BASE_EQUIPOS!H94</f>
        <v/>
      </c>
      <c r="G94">
        <f>BASE_EQUIPOS!M94</f>
        <v/>
      </c>
      <c r="I94" t="inlineStr">
        <is>
          <t>01/000766</t>
        </is>
      </c>
    </row>
    <row r="95">
      <c r="A95">
        <f>TRIM(BASE_EQUIPOS!N95)</f>
        <v/>
      </c>
      <c r="B95">
        <f>BASE_EQUIPOS!A95</f>
        <v/>
      </c>
      <c r="C95">
        <f>BASE_EQUIPOS!B95</f>
        <v/>
      </c>
      <c r="D95">
        <f>BASE_EQUIPOS!D95</f>
        <v/>
      </c>
      <c r="E95">
        <f>BASE_EQUIPOS!G95</f>
        <v/>
      </c>
      <c r="F95">
        <f>BASE_EQUIPOS!H95</f>
        <v/>
      </c>
      <c r="G95">
        <f>BASE_EQUIPOS!M95</f>
        <v/>
      </c>
      <c r="I95" t="inlineStr">
        <is>
          <t>01/036764</t>
        </is>
      </c>
    </row>
    <row r="96">
      <c r="A96">
        <f>TRIM(BASE_EQUIPOS!N96)</f>
        <v/>
      </c>
      <c r="B96">
        <f>BASE_EQUIPOS!A96</f>
        <v/>
      </c>
      <c r="C96">
        <f>BASE_EQUIPOS!B96</f>
        <v/>
      </c>
      <c r="D96">
        <f>BASE_EQUIPOS!D96</f>
        <v/>
      </c>
      <c r="E96">
        <f>BASE_EQUIPOS!G96</f>
        <v/>
      </c>
      <c r="F96">
        <f>BASE_EQUIPOS!H96</f>
        <v/>
      </c>
      <c r="G96">
        <f>BASE_EQUIPOS!M96</f>
        <v/>
      </c>
      <c r="I96" t="inlineStr">
        <is>
          <t>01/000752</t>
        </is>
      </c>
    </row>
    <row r="97">
      <c r="A97">
        <f>TRIM(BASE_EQUIPOS!N97)</f>
        <v/>
      </c>
      <c r="B97">
        <f>BASE_EQUIPOS!A97</f>
        <v/>
      </c>
      <c r="C97">
        <f>BASE_EQUIPOS!B97</f>
        <v/>
      </c>
      <c r="D97">
        <f>BASE_EQUIPOS!D97</f>
        <v/>
      </c>
      <c r="E97">
        <f>BASE_EQUIPOS!G97</f>
        <v/>
      </c>
      <c r="F97">
        <f>BASE_EQUIPOS!H97</f>
        <v/>
      </c>
      <c r="G97">
        <f>BASE_EQUIPOS!M97</f>
        <v/>
      </c>
      <c r="I97" t="inlineStr">
        <is>
          <t>01/000089</t>
        </is>
      </c>
    </row>
    <row r="98">
      <c r="A98">
        <f>TRIM(BASE_EQUIPOS!N98)</f>
        <v/>
      </c>
      <c r="B98">
        <f>BASE_EQUIPOS!A98</f>
        <v/>
      </c>
      <c r="C98">
        <f>BASE_EQUIPOS!B98</f>
        <v/>
      </c>
      <c r="D98">
        <f>BASE_EQUIPOS!D98</f>
        <v/>
      </c>
      <c r="E98">
        <f>BASE_EQUIPOS!G98</f>
        <v/>
      </c>
      <c r="F98">
        <f>BASE_EQUIPOS!H98</f>
        <v/>
      </c>
      <c r="G98">
        <f>BASE_EQUIPOS!M98</f>
        <v/>
      </c>
      <c r="I98" t="inlineStr">
        <is>
          <t>01/001178</t>
        </is>
      </c>
    </row>
    <row r="99">
      <c r="A99">
        <f>TRIM(BASE_EQUIPOS!N99)</f>
        <v/>
      </c>
      <c r="B99">
        <f>BASE_EQUIPOS!A99</f>
        <v/>
      </c>
      <c r="C99">
        <f>BASE_EQUIPOS!B99</f>
        <v/>
      </c>
      <c r="D99">
        <f>BASE_EQUIPOS!D99</f>
        <v/>
      </c>
      <c r="E99">
        <f>BASE_EQUIPOS!G99</f>
        <v/>
      </c>
      <c r="F99">
        <f>BASE_EQUIPOS!H99</f>
        <v/>
      </c>
      <c r="G99">
        <f>BASE_EQUIPOS!M99</f>
        <v/>
      </c>
      <c r="I99" t="inlineStr">
        <is>
          <t>01/306094</t>
        </is>
      </c>
    </row>
    <row r="100">
      <c r="A100">
        <f>TRIM(BASE_EQUIPOS!N100)</f>
        <v/>
      </c>
      <c r="B100">
        <f>BASE_EQUIPOS!A100</f>
        <v/>
      </c>
      <c r="C100">
        <f>BASE_EQUIPOS!B100</f>
        <v/>
      </c>
      <c r="D100">
        <f>BASE_EQUIPOS!D100</f>
        <v/>
      </c>
      <c r="E100">
        <f>BASE_EQUIPOS!G100</f>
        <v/>
      </c>
      <c r="F100">
        <f>BASE_EQUIPOS!H100</f>
        <v/>
      </c>
      <c r="G100">
        <f>BASE_EQUIPOS!M100</f>
        <v/>
      </c>
      <c r="I100" t="inlineStr">
        <is>
          <t>01/307159</t>
        </is>
      </c>
    </row>
    <row r="101">
      <c r="A101">
        <f>TRIM(BASE_EQUIPOS!N101)</f>
        <v/>
      </c>
      <c r="B101">
        <f>BASE_EQUIPOS!A101</f>
        <v/>
      </c>
      <c r="C101">
        <f>BASE_EQUIPOS!B101</f>
        <v/>
      </c>
      <c r="D101">
        <f>BASE_EQUIPOS!D101</f>
        <v/>
      </c>
      <c r="E101">
        <f>BASE_EQUIPOS!G101</f>
        <v/>
      </c>
      <c r="F101">
        <f>BASE_EQUIPOS!H101</f>
        <v/>
      </c>
      <c r="G101">
        <f>BASE_EQUIPOS!M101</f>
        <v/>
      </c>
      <c r="I101" t="inlineStr">
        <is>
          <t>01/307194</t>
        </is>
      </c>
    </row>
    <row r="102">
      <c r="A102">
        <f>TRIM(BASE_EQUIPOS!N102)</f>
        <v/>
      </c>
      <c r="B102">
        <f>BASE_EQUIPOS!A102</f>
        <v/>
      </c>
      <c r="C102">
        <f>BASE_EQUIPOS!B102</f>
        <v/>
      </c>
      <c r="D102">
        <f>BASE_EQUIPOS!D102</f>
        <v/>
      </c>
      <c r="E102">
        <f>BASE_EQUIPOS!G102</f>
        <v/>
      </c>
      <c r="F102">
        <f>BASE_EQUIPOS!H102</f>
        <v/>
      </c>
      <c r="G102">
        <f>BASE_EQUIPOS!M102</f>
        <v/>
      </c>
      <c r="I102" t="inlineStr">
        <is>
          <t>01/018998</t>
        </is>
      </c>
    </row>
    <row r="103">
      <c r="A103">
        <f>TRIM(BASE_EQUIPOS!N103)</f>
        <v/>
      </c>
      <c r="B103">
        <f>BASE_EQUIPOS!A103</f>
        <v/>
      </c>
      <c r="C103">
        <f>BASE_EQUIPOS!B103</f>
        <v/>
      </c>
      <c r="D103">
        <f>BASE_EQUIPOS!D103</f>
        <v/>
      </c>
      <c r="E103">
        <f>BASE_EQUIPOS!G103</f>
        <v/>
      </c>
      <c r="F103">
        <f>BASE_EQUIPOS!H103</f>
        <v/>
      </c>
      <c r="G103">
        <f>BASE_EQUIPOS!M103</f>
        <v/>
      </c>
      <c r="I103" t="inlineStr">
        <is>
          <t>01/143674</t>
        </is>
      </c>
    </row>
    <row r="104">
      <c r="A104">
        <f>TRIM(BASE_EQUIPOS!N104)</f>
        <v/>
      </c>
      <c r="B104">
        <f>BASE_EQUIPOS!A104</f>
        <v/>
      </c>
      <c r="C104">
        <f>BASE_EQUIPOS!B104</f>
        <v/>
      </c>
      <c r="D104">
        <f>BASE_EQUIPOS!D104</f>
        <v/>
      </c>
      <c r="E104">
        <f>BASE_EQUIPOS!G104</f>
        <v/>
      </c>
      <c r="F104">
        <f>BASE_EQUIPOS!H104</f>
        <v/>
      </c>
      <c r="G104">
        <f>BASE_EQUIPOS!M104</f>
        <v/>
      </c>
      <c r="I104" t="inlineStr">
        <is>
          <t>BF-381439</t>
        </is>
      </c>
    </row>
    <row r="105">
      <c r="A105">
        <f>TRIM(BASE_EQUIPOS!N105)</f>
        <v/>
      </c>
      <c r="B105">
        <f>BASE_EQUIPOS!A105</f>
        <v/>
      </c>
      <c r="C105">
        <f>BASE_EQUIPOS!B105</f>
        <v/>
      </c>
      <c r="D105">
        <f>BASE_EQUIPOS!D105</f>
        <v/>
      </c>
      <c r="E105">
        <f>BASE_EQUIPOS!G105</f>
        <v/>
      </c>
      <c r="F105">
        <f>BASE_EQUIPOS!H105</f>
        <v/>
      </c>
      <c r="G105">
        <f>BASE_EQUIPOS!M105</f>
        <v/>
      </c>
      <c r="I105" t="inlineStr">
        <is>
          <t>01/000080</t>
        </is>
      </c>
    </row>
    <row r="106">
      <c r="A106">
        <f>TRIM(BASE_EQUIPOS!N106)</f>
        <v/>
      </c>
      <c r="B106">
        <f>BASE_EQUIPOS!A106</f>
        <v/>
      </c>
      <c r="C106">
        <f>BASE_EQUIPOS!B106</f>
        <v/>
      </c>
      <c r="D106">
        <f>BASE_EQUIPOS!D106</f>
        <v/>
      </c>
      <c r="E106">
        <f>BASE_EQUIPOS!G106</f>
        <v/>
      </c>
      <c r="F106">
        <f>BASE_EQUIPOS!H106</f>
        <v/>
      </c>
      <c r="G106">
        <f>BASE_EQUIPOS!M106</f>
        <v/>
      </c>
      <c r="I106" t="inlineStr">
        <is>
          <t>01/306031</t>
        </is>
      </c>
    </row>
    <row r="107">
      <c r="A107">
        <f>TRIM(BASE_EQUIPOS!N107)</f>
        <v/>
      </c>
      <c r="B107">
        <f>BASE_EQUIPOS!A107</f>
        <v/>
      </c>
      <c r="C107">
        <f>BASE_EQUIPOS!B107</f>
        <v/>
      </c>
      <c r="D107">
        <f>BASE_EQUIPOS!D107</f>
        <v/>
      </c>
      <c r="E107">
        <f>BASE_EQUIPOS!G107</f>
        <v/>
      </c>
      <c r="F107">
        <f>BASE_EQUIPOS!H107</f>
        <v/>
      </c>
      <c r="G107">
        <f>BASE_EQUIPOS!M107</f>
        <v/>
      </c>
      <c r="I107" t="inlineStr">
        <is>
          <t>01/008036</t>
        </is>
      </c>
    </row>
    <row r="108">
      <c r="A108">
        <f>TRIM(BASE_EQUIPOS!N108)</f>
        <v/>
      </c>
      <c r="B108">
        <f>BASE_EQUIPOS!A108</f>
        <v/>
      </c>
      <c r="C108">
        <f>BASE_EQUIPOS!B108</f>
        <v/>
      </c>
      <c r="D108">
        <f>BASE_EQUIPOS!D108</f>
        <v/>
      </c>
      <c r="E108">
        <f>BASE_EQUIPOS!G108</f>
        <v/>
      </c>
      <c r="F108">
        <f>BASE_EQUIPOS!H108</f>
        <v/>
      </c>
      <c r="G108">
        <f>BASE_EQUIPOS!M108</f>
        <v/>
      </c>
      <c r="I108" t="inlineStr">
        <is>
          <t>01/001584</t>
        </is>
      </c>
    </row>
    <row r="109">
      <c r="A109">
        <f>TRIM(BASE_EQUIPOS!N109)</f>
        <v/>
      </c>
      <c r="B109">
        <f>BASE_EQUIPOS!A109</f>
        <v/>
      </c>
      <c r="C109">
        <f>BASE_EQUIPOS!B109</f>
        <v/>
      </c>
      <c r="D109">
        <f>BASE_EQUIPOS!D109</f>
        <v/>
      </c>
      <c r="E109">
        <f>BASE_EQUIPOS!G109</f>
        <v/>
      </c>
      <c r="F109">
        <f>BASE_EQUIPOS!H109</f>
        <v/>
      </c>
      <c r="G109">
        <f>BASE_EQUIPOS!M109</f>
        <v/>
      </c>
      <c r="I109" t="inlineStr">
        <is>
          <t>01/009146</t>
        </is>
      </c>
    </row>
    <row r="110">
      <c r="A110">
        <f>TRIM(BASE_EQUIPOS!N110)</f>
        <v/>
      </c>
      <c r="B110">
        <f>BASE_EQUIPOS!A110</f>
        <v/>
      </c>
      <c r="C110">
        <f>BASE_EQUIPOS!B110</f>
        <v/>
      </c>
      <c r="D110">
        <f>BASE_EQUIPOS!D110</f>
        <v/>
      </c>
      <c r="E110">
        <f>BASE_EQUIPOS!G110</f>
        <v/>
      </c>
      <c r="F110">
        <f>BASE_EQUIPOS!H110</f>
        <v/>
      </c>
      <c r="G110">
        <f>BASE_EQUIPOS!M110</f>
        <v/>
      </c>
      <c r="I110" t="inlineStr">
        <is>
          <t>01/001232</t>
        </is>
      </c>
    </row>
    <row r="111">
      <c r="A111">
        <f>TRIM(BASE_EQUIPOS!N111)</f>
        <v/>
      </c>
      <c r="B111">
        <f>BASE_EQUIPOS!A111</f>
        <v/>
      </c>
      <c r="C111">
        <f>BASE_EQUIPOS!B111</f>
        <v/>
      </c>
      <c r="D111">
        <f>BASE_EQUIPOS!D111</f>
        <v/>
      </c>
      <c r="E111">
        <f>BASE_EQUIPOS!G111</f>
        <v/>
      </c>
      <c r="F111">
        <f>BASE_EQUIPOS!H111</f>
        <v/>
      </c>
      <c r="G111">
        <f>BASE_EQUIPOS!M111</f>
        <v/>
      </c>
      <c r="I111" t="inlineStr">
        <is>
          <t>01/000005</t>
        </is>
      </c>
    </row>
    <row r="112">
      <c r="A112">
        <f>TRIM(BASE_EQUIPOS!N112)</f>
        <v/>
      </c>
      <c r="B112">
        <f>BASE_EQUIPOS!A112</f>
        <v/>
      </c>
      <c r="C112">
        <f>BASE_EQUIPOS!B112</f>
        <v/>
      </c>
      <c r="D112">
        <f>BASE_EQUIPOS!D112</f>
        <v/>
      </c>
      <c r="E112">
        <f>BASE_EQUIPOS!G112</f>
        <v/>
      </c>
      <c r="F112">
        <f>BASE_EQUIPOS!H112</f>
        <v/>
      </c>
      <c r="G112">
        <f>BASE_EQUIPOS!M112</f>
        <v/>
      </c>
      <c r="I112" t="inlineStr">
        <is>
          <t>01/000976</t>
        </is>
      </c>
    </row>
    <row r="113">
      <c r="A113">
        <f>TRIM(BASE_EQUIPOS!N113)</f>
        <v/>
      </c>
      <c r="B113">
        <f>BASE_EQUIPOS!A113</f>
        <v/>
      </c>
      <c r="C113">
        <f>BASE_EQUIPOS!B113</f>
        <v/>
      </c>
      <c r="D113">
        <f>BASE_EQUIPOS!D113</f>
        <v/>
      </c>
      <c r="E113">
        <f>BASE_EQUIPOS!G113</f>
        <v/>
      </c>
      <c r="F113">
        <f>BASE_EQUIPOS!H113</f>
        <v/>
      </c>
      <c r="G113">
        <f>BASE_EQUIPOS!M113</f>
        <v/>
      </c>
      <c r="I113" t="inlineStr">
        <is>
          <t>01/002015</t>
        </is>
      </c>
    </row>
    <row r="114">
      <c r="A114">
        <f>TRIM(BASE_EQUIPOS!N114)</f>
        <v/>
      </c>
      <c r="B114">
        <f>BASE_EQUIPOS!A114</f>
        <v/>
      </c>
      <c r="C114">
        <f>BASE_EQUIPOS!B114</f>
        <v/>
      </c>
      <c r="D114">
        <f>BASE_EQUIPOS!D114</f>
        <v/>
      </c>
      <c r="E114">
        <f>BASE_EQUIPOS!G114</f>
        <v/>
      </c>
      <c r="F114">
        <f>BASE_EQUIPOS!H114</f>
        <v/>
      </c>
      <c r="G114">
        <f>BASE_EQUIPOS!M114</f>
        <v/>
      </c>
      <c r="I114" t="inlineStr">
        <is>
          <t>01/000812</t>
        </is>
      </c>
    </row>
    <row r="115">
      <c r="A115">
        <f>TRIM(BASE_EQUIPOS!N115)</f>
        <v/>
      </c>
      <c r="B115">
        <f>BASE_EQUIPOS!A115</f>
        <v/>
      </c>
      <c r="C115">
        <f>BASE_EQUIPOS!B115</f>
        <v/>
      </c>
      <c r="D115">
        <f>BASE_EQUIPOS!D115</f>
        <v/>
      </c>
      <c r="E115">
        <f>BASE_EQUIPOS!G115</f>
        <v/>
      </c>
      <c r="F115">
        <f>BASE_EQUIPOS!H115</f>
        <v/>
      </c>
      <c r="G115">
        <f>BASE_EQUIPOS!M115</f>
        <v/>
      </c>
      <c r="I115" t="inlineStr">
        <is>
          <t>01/001208</t>
        </is>
      </c>
    </row>
    <row r="116">
      <c r="A116">
        <f>TRIM(BASE_EQUIPOS!N116)</f>
        <v/>
      </c>
      <c r="B116">
        <f>BASE_EQUIPOS!A116</f>
        <v/>
      </c>
      <c r="C116">
        <f>BASE_EQUIPOS!B116</f>
        <v/>
      </c>
      <c r="D116">
        <f>BASE_EQUIPOS!D116</f>
        <v/>
      </c>
      <c r="E116">
        <f>BASE_EQUIPOS!G116</f>
        <v/>
      </c>
      <c r="F116">
        <f>BASE_EQUIPOS!H116</f>
        <v/>
      </c>
      <c r="G116">
        <f>BASE_EQUIPOS!M116</f>
        <v/>
      </c>
      <c r="I116" t="inlineStr">
        <is>
          <t>01/000183</t>
        </is>
      </c>
    </row>
    <row r="117">
      <c r="A117">
        <f>TRIM(BASE_EQUIPOS!N117)</f>
        <v/>
      </c>
      <c r="B117">
        <f>BASE_EQUIPOS!A117</f>
        <v/>
      </c>
      <c r="C117">
        <f>BASE_EQUIPOS!B117</f>
        <v/>
      </c>
      <c r="D117">
        <f>BASE_EQUIPOS!D117</f>
        <v/>
      </c>
      <c r="E117">
        <f>BASE_EQUIPOS!G117</f>
        <v/>
      </c>
      <c r="F117">
        <f>BASE_EQUIPOS!H117</f>
        <v/>
      </c>
      <c r="G117">
        <f>BASE_EQUIPOS!M117</f>
        <v/>
      </c>
      <c r="I117" t="inlineStr">
        <is>
          <t>01/003061</t>
        </is>
      </c>
    </row>
    <row r="118">
      <c r="A118">
        <f>TRIM(BASE_EQUIPOS!N118)</f>
        <v/>
      </c>
      <c r="B118">
        <f>BASE_EQUIPOS!A118</f>
        <v/>
      </c>
      <c r="C118">
        <f>BASE_EQUIPOS!B118</f>
        <v/>
      </c>
      <c r="D118">
        <f>BASE_EQUIPOS!D118</f>
        <v/>
      </c>
      <c r="E118">
        <f>BASE_EQUIPOS!G118</f>
        <v/>
      </c>
      <c r="F118">
        <f>BASE_EQUIPOS!H118</f>
        <v/>
      </c>
      <c r="G118">
        <f>BASE_EQUIPOS!M118</f>
        <v/>
      </c>
      <c r="I118" t="inlineStr">
        <is>
          <t>01/000319</t>
        </is>
      </c>
    </row>
    <row r="119">
      <c r="A119">
        <f>TRIM(BASE_EQUIPOS!N119)</f>
        <v/>
      </c>
      <c r="B119">
        <f>BASE_EQUIPOS!A119</f>
        <v/>
      </c>
      <c r="C119">
        <f>BASE_EQUIPOS!B119</f>
        <v/>
      </c>
      <c r="D119">
        <f>BASE_EQUIPOS!D119</f>
        <v/>
      </c>
      <c r="E119">
        <f>BASE_EQUIPOS!G119</f>
        <v/>
      </c>
      <c r="F119">
        <f>BASE_EQUIPOS!H119</f>
        <v/>
      </c>
      <c r="G119">
        <f>BASE_EQUIPOS!M119</f>
        <v/>
      </c>
      <c r="I119" t="inlineStr">
        <is>
          <t>01/001359</t>
        </is>
      </c>
    </row>
    <row r="120">
      <c r="A120">
        <f>TRIM(BASE_EQUIPOS!N120)</f>
        <v/>
      </c>
      <c r="B120">
        <f>BASE_EQUIPOS!A120</f>
        <v/>
      </c>
      <c r="C120">
        <f>BASE_EQUIPOS!B120</f>
        <v/>
      </c>
      <c r="D120">
        <f>BASE_EQUIPOS!D120</f>
        <v/>
      </c>
      <c r="E120">
        <f>BASE_EQUIPOS!G120</f>
        <v/>
      </c>
      <c r="F120">
        <f>BASE_EQUIPOS!H120</f>
        <v/>
      </c>
      <c r="G120">
        <f>BASE_EQUIPOS!M120</f>
        <v/>
      </c>
      <c r="I120" t="inlineStr">
        <is>
          <t>01/002011</t>
        </is>
      </c>
    </row>
    <row r="121">
      <c r="A121">
        <f>TRIM(BASE_EQUIPOS!N121)</f>
        <v/>
      </c>
      <c r="B121">
        <f>BASE_EQUIPOS!A121</f>
        <v/>
      </c>
      <c r="C121">
        <f>BASE_EQUIPOS!B121</f>
        <v/>
      </c>
      <c r="D121">
        <f>BASE_EQUIPOS!D121</f>
        <v/>
      </c>
      <c r="E121">
        <f>BASE_EQUIPOS!G121</f>
        <v/>
      </c>
      <c r="F121">
        <f>BASE_EQUIPOS!H121</f>
        <v/>
      </c>
      <c r="G121">
        <f>BASE_EQUIPOS!M121</f>
        <v/>
      </c>
      <c r="I121" t="inlineStr">
        <is>
          <t>01/006637</t>
        </is>
      </c>
    </row>
    <row r="122">
      <c r="A122">
        <f>TRIM(BASE_EQUIPOS!N122)</f>
        <v/>
      </c>
      <c r="B122">
        <f>BASE_EQUIPOS!A122</f>
        <v/>
      </c>
      <c r="C122">
        <f>BASE_EQUIPOS!B122</f>
        <v/>
      </c>
      <c r="D122">
        <f>BASE_EQUIPOS!D122</f>
        <v/>
      </c>
      <c r="E122">
        <f>BASE_EQUIPOS!G122</f>
        <v/>
      </c>
      <c r="F122">
        <f>BASE_EQUIPOS!H122</f>
        <v/>
      </c>
      <c r="G122">
        <f>BASE_EQUIPOS!M122</f>
        <v/>
      </c>
      <c r="I122" t="inlineStr">
        <is>
          <t>01/009367</t>
        </is>
      </c>
    </row>
    <row r="123">
      <c r="A123">
        <f>TRIM(BASE_EQUIPOS!N123)</f>
        <v/>
      </c>
      <c r="B123">
        <f>BASE_EQUIPOS!A123</f>
        <v/>
      </c>
      <c r="C123">
        <f>BASE_EQUIPOS!B123</f>
        <v/>
      </c>
      <c r="D123">
        <f>BASE_EQUIPOS!D123</f>
        <v/>
      </c>
      <c r="E123">
        <f>BASE_EQUIPOS!G123</f>
        <v/>
      </c>
      <c r="F123">
        <f>BASE_EQUIPOS!H123</f>
        <v/>
      </c>
      <c r="G123">
        <f>BASE_EQUIPOS!M123</f>
        <v/>
      </c>
      <c r="I123" t="inlineStr">
        <is>
          <t>01/005795</t>
        </is>
      </c>
    </row>
    <row r="124">
      <c r="A124">
        <f>TRIM(BASE_EQUIPOS!N124)</f>
        <v/>
      </c>
      <c r="B124">
        <f>BASE_EQUIPOS!A124</f>
        <v/>
      </c>
      <c r="C124">
        <f>BASE_EQUIPOS!B124</f>
        <v/>
      </c>
      <c r="D124">
        <f>BASE_EQUIPOS!D124</f>
        <v/>
      </c>
      <c r="E124">
        <f>BASE_EQUIPOS!G124</f>
        <v/>
      </c>
      <c r="F124">
        <f>BASE_EQUIPOS!H124</f>
        <v/>
      </c>
      <c r="G124">
        <f>BASE_EQUIPOS!M124</f>
        <v/>
      </c>
      <c r="I124" t="inlineStr">
        <is>
          <t>01/002585</t>
        </is>
      </c>
    </row>
    <row r="125">
      <c r="A125">
        <f>TRIM(BASE_EQUIPOS!N125)</f>
        <v/>
      </c>
      <c r="B125">
        <f>BASE_EQUIPOS!A125</f>
        <v/>
      </c>
      <c r="C125">
        <f>BASE_EQUIPOS!B125</f>
        <v/>
      </c>
      <c r="D125">
        <f>BASE_EQUIPOS!D125</f>
        <v/>
      </c>
      <c r="E125">
        <f>BASE_EQUIPOS!G125</f>
        <v/>
      </c>
      <c r="F125">
        <f>BASE_EQUIPOS!H125</f>
        <v/>
      </c>
      <c r="G125">
        <f>BASE_EQUIPOS!M125</f>
        <v/>
      </c>
      <c r="I125" t="inlineStr">
        <is>
          <t>010/000165</t>
        </is>
      </c>
    </row>
    <row r="126">
      <c r="A126">
        <f>TRIM(BASE_EQUIPOS!N126)</f>
        <v/>
      </c>
      <c r="B126">
        <f>BASE_EQUIPOS!A126</f>
        <v/>
      </c>
      <c r="C126">
        <f>BASE_EQUIPOS!B126</f>
        <v/>
      </c>
      <c r="D126">
        <f>BASE_EQUIPOS!D126</f>
        <v/>
      </c>
      <c r="E126">
        <f>BASE_EQUIPOS!G126</f>
        <v/>
      </c>
      <c r="F126">
        <f>BASE_EQUIPOS!H126</f>
        <v/>
      </c>
      <c r="G126">
        <f>BASE_EQUIPOS!M126</f>
        <v/>
      </c>
      <c r="I126" t="inlineStr">
        <is>
          <t>01/000753</t>
        </is>
      </c>
    </row>
    <row r="127">
      <c r="A127">
        <f>TRIM(BASE_EQUIPOS!N127)</f>
        <v/>
      </c>
      <c r="B127">
        <f>BASE_EQUIPOS!A127</f>
        <v/>
      </c>
      <c r="C127">
        <f>BASE_EQUIPOS!B127</f>
        <v/>
      </c>
      <c r="D127">
        <f>BASE_EQUIPOS!D127</f>
        <v/>
      </c>
      <c r="E127">
        <f>BASE_EQUIPOS!G127</f>
        <v/>
      </c>
      <c r="F127">
        <f>BASE_EQUIPOS!H127</f>
        <v/>
      </c>
      <c r="G127">
        <f>BASE_EQUIPOS!M127</f>
        <v/>
      </c>
      <c r="I127" t="inlineStr">
        <is>
          <t>01/003820</t>
        </is>
      </c>
    </row>
    <row r="128">
      <c r="A128">
        <f>TRIM(BASE_EQUIPOS!N128)</f>
        <v/>
      </c>
      <c r="B128">
        <f>BASE_EQUIPOS!A128</f>
        <v/>
      </c>
      <c r="C128">
        <f>BASE_EQUIPOS!B128</f>
        <v/>
      </c>
      <c r="D128">
        <f>BASE_EQUIPOS!D128</f>
        <v/>
      </c>
      <c r="E128">
        <f>BASE_EQUIPOS!G128</f>
        <v/>
      </c>
      <c r="F128">
        <f>BASE_EQUIPOS!H128</f>
        <v/>
      </c>
      <c r="G128">
        <f>BASE_EQUIPOS!M128</f>
        <v/>
      </c>
      <c r="I128" t="inlineStr">
        <is>
          <t>01/015258</t>
        </is>
      </c>
    </row>
    <row r="129">
      <c r="A129">
        <f>TRIM(BASE_EQUIPOS!N129)</f>
        <v/>
      </c>
      <c r="B129">
        <f>BASE_EQUIPOS!A129</f>
        <v/>
      </c>
      <c r="C129">
        <f>BASE_EQUIPOS!B129</f>
        <v/>
      </c>
      <c r="D129">
        <f>BASE_EQUIPOS!D129</f>
        <v/>
      </c>
      <c r="E129">
        <f>BASE_EQUIPOS!G129</f>
        <v/>
      </c>
      <c r="F129">
        <f>BASE_EQUIPOS!H129</f>
        <v/>
      </c>
      <c r="G129">
        <f>BASE_EQUIPOS!M129</f>
        <v/>
      </c>
      <c r="I129" t="inlineStr">
        <is>
          <t>01/307190</t>
        </is>
      </c>
    </row>
    <row r="130">
      <c r="A130">
        <f>TRIM(BASE_EQUIPOS!N130)</f>
        <v/>
      </c>
      <c r="B130">
        <f>BASE_EQUIPOS!A130</f>
        <v/>
      </c>
      <c r="C130">
        <f>BASE_EQUIPOS!B130</f>
        <v/>
      </c>
      <c r="D130">
        <f>BASE_EQUIPOS!D130</f>
        <v/>
      </c>
      <c r="E130">
        <f>BASE_EQUIPOS!G130</f>
        <v/>
      </c>
      <c r="F130">
        <f>BASE_EQUIPOS!H130</f>
        <v/>
      </c>
      <c r="G130">
        <f>BASE_EQUIPOS!M130</f>
        <v/>
      </c>
      <c r="I130" t="inlineStr">
        <is>
          <t>01/000731</t>
        </is>
      </c>
    </row>
    <row r="131">
      <c r="A131">
        <f>TRIM(BASE_EQUIPOS!N131)</f>
        <v/>
      </c>
      <c r="B131">
        <f>BASE_EQUIPOS!A131</f>
        <v/>
      </c>
      <c r="C131">
        <f>BASE_EQUIPOS!B131</f>
        <v/>
      </c>
      <c r="D131">
        <f>BASE_EQUIPOS!D131</f>
        <v/>
      </c>
      <c r="E131">
        <f>BASE_EQUIPOS!G131</f>
        <v/>
      </c>
      <c r="F131">
        <f>BASE_EQUIPOS!H131</f>
        <v/>
      </c>
      <c r="G131">
        <f>BASE_EQUIPOS!M131</f>
        <v/>
      </c>
      <c r="I131" t="inlineStr">
        <is>
          <t>01/001991</t>
        </is>
      </c>
    </row>
    <row r="132">
      <c r="A132">
        <f>TRIM(BASE_EQUIPOS!N132)</f>
        <v/>
      </c>
      <c r="B132">
        <f>BASE_EQUIPOS!A132</f>
        <v/>
      </c>
      <c r="C132">
        <f>BASE_EQUIPOS!B132</f>
        <v/>
      </c>
      <c r="D132">
        <f>BASE_EQUIPOS!D132</f>
        <v/>
      </c>
      <c r="E132">
        <f>BASE_EQUIPOS!G132</f>
        <v/>
      </c>
      <c r="F132">
        <f>BASE_EQUIPOS!H132</f>
        <v/>
      </c>
      <c r="G132">
        <f>BASE_EQUIPOS!M132</f>
        <v/>
      </c>
      <c r="I132" t="inlineStr">
        <is>
          <t>01/000184</t>
        </is>
      </c>
    </row>
    <row r="133">
      <c r="A133">
        <f>TRIM(BASE_EQUIPOS!N133)</f>
        <v/>
      </c>
      <c r="B133">
        <f>BASE_EQUIPOS!A133</f>
        <v/>
      </c>
      <c r="C133">
        <f>BASE_EQUIPOS!B133</f>
        <v/>
      </c>
      <c r="D133">
        <f>BASE_EQUIPOS!D133</f>
        <v/>
      </c>
      <c r="E133">
        <f>BASE_EQUIPOS!G133</f>
        <v/>
      </c>
      <c r="F133">
        <f>BASE_EQUIPOS!H133</f>
        <v/>
      </c>
      <c r="G133">
        <f>BASE_EQUIPOS!M133</f>
        <v/>
      </c>
      <c r="I133" t="inlineStr">
        <is>
          <t>01/000939</t>
        </is>
      </c>
    </row>
    <row r="134">
      <c r="A134">
        <f>TRIM(BASE_EQUIPOS!N134)</f>
        <v/>
      </c>
      <c r="B134">
        <f>BASE_EQUIPOS!A134</f>
        <v/>
      </c>
      <c r="C134">
        <f>BASE_EQUIPOS!B134</f>
        <v/>
      </c>
      <c r="D134">
        <f>BASE_EQUIPOS!D134</f>
        <v/>
      </c>
      <c r="E134">
        <f>BASE_EQUIPOS!G134</f>
        <v/>
      </c>
      <c r="F134">
        <f>BASE_EQUIPOS!H134</f>
        <v/>
      </c>
      <c r="G134">
        <f>BASE_EQUIPOS!M134</f>
        <v/>
      </c>
      <c r="I134" t="inlineStr">
        <is>
          <t>01/000267</t>
        </is>
      </c>
    </row>
    <row r="135">
      <c r="A135">
        <f>TRIM(BASE_EQUIPOS!N135)</f>
        <v/>
      </c>
      <c r="B135">
        <f>BASE_EQUIPOS!A135</f>
        <v/>
      </c>
      <c r="C135">
        <f>BASE_EQUIPOS!B135</f>
        <v/>
      </c>
      <c r="D135">
        <f>BASE_EQUIPOS!D135</f>
        <v/>
      </c>
      <c r="E135">
        <f>BASE_EQUIPOS!G135</f>
        <v/>
      </c>
      <c r="F135">
        <f>BASE_EQUIPOS!H135</f>
        <v/>
      </c>
      <c r="G135">
        <f>BASE_EQUIPOS!M135</f>
        <v/>
      </c>
      <c r="I135" t="inlineStr">
        <is>
          <t>01/000280</t>
        </is>
      </c>
    </row>
    <row r="136">
      <c r="A136">
        <f>TRIM(BASE_EQUIPOS!N136)</f>
        <v/>
      </c>
      <c r="B136">
        <f>BASE_EQUIPOS!A136</f>
        <v/>
      </c>
      <c r="C136">
        <f>BASE_EQUIPOS!B136</f>
        <v/>
      </c>
      <c r="D136">
        <f>BASE_EQUIPOS!D136</f>
        <v/>
      </c>
      <c r="E136">
        <f>BASE_EQUIPOS!G136</f>
        <v/>
      </c>
      <c r="F136">
        <f>BASE_EQUIPOS!H136</f>
        <v/>
      </c>
      <c r="G136">
        <f>BASE_EQUIPOS!M136</f>
        <v/>
      </c>
      <c r="I136" t="inlineStr">
        <is>
          <t>01/000987</t>
        </is>
      </c>
    </row>
    <row r="137">
      <c r="A137">
        <f>TRIM(BASE_EQUIPOS!N137)</f>
        <v/>
      </c>
      <c r="B137">
        <f>BASE_EQUIPOS!A137</f>
        <v/>
      </c>
      <c r="C137">
        <f>BASE_EQUIPOS!B137</f>
        <v/>
      </c>
      <c r="D137">
        <f>BASE_EQUIPOS!D137</f>
        <v/>
      </c>
      <c r="E137">
        <f>BASE_EQUIPOS!G137</f>
        <v/>
      </c>
      <c r="F137">
        <f>BASE_EQUIPOS!H137</f>
        <v/>
      </c>
      <c r="G137">
        <f>BASE_EQUIPOS!M137</f>
        <v/>
      </c>
      <c r="I137" t="inlineStr">
        <is>
          <t>01/037532</t>
        </is>
      </c>
    </row>
    <row r="138">
      <c r="A138">
        <f>TRIM(BASE_EQUIPOS!N138)</f>
        <v/>
      </c>
      <c r="B138">
        <f>BASE_EQUIPOS!A138</f>
        <v/>
      </c>
      <c r="C138">
        <f>BASE_EQUIPOS!B138</f>
        <v/>
      </c>
      <c r="D138">
        <f>BASE_EQUIPOS!D138</f>
        <v/>
      </c>
      <c r="E138">
        <f>BASE_EQUIPOS!G138</f>
        <v/>
      </c>
      <c r="F138">
        <f>BASE_EQUIPOS!H138</f>
        <v/>
      </c>
      <c r="G138">
        <f>BASE_EQUIPOS!M138</f>
        <v/>
      </c>
      <c r="I138" t="inlineStr">
        <is>
          <t>01/30200</t>
        </is>
      </c>
    </row>
    <row r="139">
      <c r="A139">
        <f>TRIM(BASE_EQUIPOS!N139)</f>
        <v/>
      </c>
      <c r="B139">
        <f>BASE_EQUIPOS!A139</f>
        <v/>
      </c>
      <c r="C139">
        <f>BASE_EQUIPOS!B139</f>
        <v/>
      </c>
      <c r="D139">
        <f>BASE_EQUIPOS!D139</f>
        <v/>
      </c>
      <c r="E139">
        <f>BASE_EQUIPOS!G139</f>
        <v/>
      </c>
      <c r="F139">
        <f>BASE_EQUIPOS!H139</f>
        <v/>
      </c>
      <c r="G139">
        <f>BASE_EQUIPOS!M139</f>
        <v/>
      </c>
      <c r="I139" t="inlineStr">
        <is>
          <t>01/30600</t>
        </is>
      </c>
    </row>
    <row r="140">
      <c r="A140">
        <f>TRIM(BASE_EQUIPOS!N140)</f>
        <v/>
      </c>
      <c r="B140">
        <f>BASE_EQUIPOS!A140</f>
        <v/>
      </c>
      <c r="C140">
        <f>BASE_EQUIPOS!B140</f>
        <v/>
      </c>
      <c r="D140">
        <f>BASE_EQUIPOS!D140</f>
        <v/>
      </c>
      <c r="E140">
        <f>BASE_EQUIPOS!G140</f>
        <v/>
      </c>
      <c r="F140">
        <f>BASE_EQUIPOS!H140</f>
        <v/>
      </c>
      <c r="G140">
        <f>BASE_EQUIPOS!M140</f>
        <v/>
      </c>
      <c r="I140" t="inlineStr">
        <is>
          <t>01/000039</t>
        </is>
      </c>
    </row>
    <row r="141">
      <c r="A141">
        <f>TRIM(BASE_EQUIPOS!N141)</f>
        <v/>
      </c>
      <c r="B141">
        <f>BASE_EQUIPOS!A141</f>
        <v/>
      </c>
      <c r="C141">
        <f>BASE_EQUIPOS!B141</f>
        <v/>
      </c>
      <c r="D141">
        <f>BASE_EQUIPOS!D141</f>
        <v/>
      </c>
      <c r="E141">
        <f>BASE_EQUIPOS!G141</f>
        <v/>
      </c>
      <c r="F141">
        <f>BASE_EQUIPOS!H141</f>
        <v/>
      </c>
      <c r="G141">
        <f>BASE_EQUIPOS!M141</f>
        <v/>
      </c>
      <c r="I141" t="inlineStr">
        <is>
          <t>02/000299</t>
        </is>
      </c>
    </row>
    <row r="142">
      <c r="A142">
        <f>TRIM(BASE_EQUIPOS!N142)</f>
        <v/>
      </c>
      <c r="B142">
        <f>BASE_EQUIPOS!A142</f>
        <v/>
      </c>
      <c r="C142">
        <f>BASE_EQUIPOS!B142</f>
        <v/>
      </c>
      <c r="D142">
        <f>BASE_EQUIPOS!D142</f>
        <v/>
      </c>
      <c r="E142">
        <f>BASE_EQUIPOS!G142</f>
        <v/>
      </c>
      <c r="F142">
        <f>BASE_EQUIPOS!H142</f>
        <v/>
      </c>
      <c r="G142">
        <f>BASE_EQUIPOS!M142</f>
        <v/>
      </c>
      <c r="I142" t="inlineStr">
        <is>
          <t>03/SN</t>
        </is>
      </c>
    </row>
    <row r="143">
      <c r="A143">
        <f>TRIM(BASE_EQUIPOS!N143)</f>
        <v/>
      </c>
      <c r="B143">
        <f>BASE_EQUIPOS!A143</f>
        <v/>
      </c>
      <c r="C143">
        <f>BASE_EQUIPOS!B143</f>
        <v/>
      </c>
      <c r="D143">
        <f>BASE_EQUIPOS!D143</f>
        <v/>
      </c>
      <c r="E143">
        <f>BASE_EQUIPOS!G143</f>
        <v/>
      </c>
      <c r="F143">
        <f>BASE_EQUIPOS!H143</f>
        <v/>
      </c>
      <c r="G143">
        <f>BASE_EQUIPOS!M143</f>
        <v/>
      </c>
      <c r="I143" t="inlineStr">
        <is>
          <t>04/007908</t>
        </is>
      </c>
    </row>
    <row r="144">
      <c r="A144">
        <f>TRIM(BASE_EQUIPOS!N144)</f>
        <v/>
      </c>
      <c r="B144">
        <f>BASE_EQUIPOS!A144</f>
        <v/>
      </c>
      <c r="C144">
        <f>BASE_EQUIPOS!B144</f>
        <v/>
      </c>
      <c r="D144">
        <f>BASE_EQUIPOS!D144</f>
        <v/>
      </c>
      <c r="E144">
        <f>BASE_EQUIPOS!G144</f>
        <v/>
      </c>
      <c r="F144">
        <f>BASE_EQUIPOS!H144</f>
        <v/>
      </c>
      <c r="G144">
        <f>BASE_EQUIPOS!M144</f>
        <v/>
      </c>
      <c r="I144" t="inlineStr">
        <is>
          <t>05/207774</t>
        </is>
      </c>
    </row>
    <row r="145">
      <c r="A145">
        <f>TRIM(BASE_EQUIPOS!N145)</f>
        <v/>
      </c>
      <c r="B145">
        <f>BASE_EQUIPOS!A145</f>
        <v/>
      </c>
      <c r="C145">
        <f>BASE_EQUIPOS!B145</f>
        <v/>
      </c>
      <c r="D145">
        <f>BASE_EQUIPOS!D145</f>
        <v/>
      </c>
      <c r="E145">
        <f>BASE_EQUIPOS!G145</f>
        <v/>
      </c>
      <c r="F145">
        <f>BASE_EQUIPOS!H145</f>
        <v/>
      </c>
      <c r="G145">
        <f>BASE_EQUIPOS!M145</f>
        <v/>
      </c>
      <c r="I145" t="inlineStr">
        <is>
          <t>01/010060</t>
        </is>
      </c>
    </row>
    <row r="146">
      <c r="A146">
        <f>TRIM(BASE_EQUIPOS!N146)</f>
        <v/>
      </c>
      <c r="B146">
        <f>BASE_EQUIPOS!A146</f>
        <v/>
      </c>
      <c r="C146">
        <f>BASE_EQUIPOS!B146</f>
        <v/>
      </c>
      <c r="D146">
        <f>BASE_EQUIPOS!D146</f>
        <v/>
      </c>
      <c r="E146">
        <f>BASE_EQUIPOS!G146</f>
        <v/>
      </c>
      <c r="F146">
        <f>BASE_EQUIPOS!H146</f>
        <v/>
      </c>
      <c r="G146">
        <f>BASE_EQUIPOS!M146</f>
        <v/>
      </c>
      <c r="I146" t="inlineStr">
        <is>
          <t>03/306085</t>
        </is>
      </c>
    </row>
    <row r="147">
      <c r="A147">
        <f>TRIM(BASE_EQUIPOS!N147)</f>
        <v/>
      </c>
      <c r="B147">
        <f>BASE_EQUIPOS!A147</f>
        <v/>
      </c>
      <c r="C147">
        <f>BASE_EQUIPOS!B147</f>
        <v/>
      </c>
      <c r="D147">
        <f>BASE_EQUIPOS!D147</f>
        <v/>
      </c>
      <c r="E147">
        <f>BASE_EQUIPOS!G147</f>
        <v/>
      </c>
      <c r="F147">
        <f>BASE_EQUIPOS!H147</f>
        <v/>
      </c>
      <c r="G147">
        <f>BASE_EQUIPOS!M147</f>
        <v/>
      </c>
      <c r="I147" t="inlineStr">
        <is>
          <t>01/306154</t>
        </is>
      </c>
    </row>
    <row r="148">
      <c r="A148">
        <f>TRIM(BASE_EQUIPOS!N148)</f>
        <v/>
      </c>
      <c r="B148">
        <f>BASE_EQUIPOS!A148</f>
        <v/>
      </c>
      <c r="C148">
        <f>BASE_EQUIPOS!B148</f>
        <v/>
      </c>
      <c r="D148">
        <f>BASE_EQUIPOS!D148</f>
        <v/>
      </c>
      <c r="E148">
        <f>BASE_EQUIPOS!G148</f>
        <v/>
      </c>
      <c r="F148">
        <f>BASE_EQUIPOS!H148</f>
        <v/>
      </c>
      <c r="G148">
        <f>BASE_EQUIPOS!M148</f>
        <v/>
      </c>
      <c r="I148" t="inlineStr">
        <is>
          <t>02/030610</t>
        </is>
      </c>
    </row>
    <row r="149">
      <c r="A149">
        <f>TRIM(BASE_EQUIPOS!N149)</f>
        <v/>
      </c>
      <c r="B149">
        <f>BASE_EQUIPOS!A149</f>
        <v/>
      </c>
      <c r="C149">
        <f>BASE_EQUIPOS!B149</f>
        <v/>
      </c>
      <c r="D149">
        <f>BASE_EQUIPOS!D149</f>
        <v/>
      </c>
      <c r="E149">
        <f>BASE_EQUIPOS!G149</f>
        <v/>
      </c>
      <c r="F149">
        <f>BASE_EQUIPOS!H149</f>
        <v/>
      </c>
      <c r="G149">
        <f>BASE_EQUIPOS!M149</f>
        <v/>
      </c>
      <c r="I149" t="inlineStr">
        <is>
          <t>03/306156</t>
        </is>
      </c>
    </row>
    <row r="150">
      <c r="A150">
        <f>TRIM(BASE_EQUIPOS!N150)</f>
        <v/>
      </c>
      <c r="B150">
        <f>BASE_EQUIPOS!A150</f>
        <v/>
      </c>
      <c r="C150">
        <f>BASE_EQUIPOS!B150</f>
        <v/>
      </c>
      <c r="D150">
        <f>BASE_EQUIPOS!D150</f>
        <v/>
      </c>
      <c r="E150">
        <f>BASE_EQUIPOS!G150</f>
        <v/>
      </c>
      <c r="F150">
        <f>BASE_EQUIPOS!H150</f>
        <v/>
      </c>
      <c r="G150">
        <f>BASE_EQUIPOS!M150</f>
        <v/>
      </c>
      <c r="I150" t="inlineStr">
        <is>
          <t>01/ S/N</t>
        </is>
      </c>
    </row>
    <row r="151">
      <c r="A151">
        <f>TRIM(BASE_EQUIPOS!N151)</f>
        <v/>
      </c>
      <c r="B151">
        <f>BASE_EQUIPOS!A151</f>
        <v/>
      </c>
      <c r="C151">
        <f>BASE_EQUIPOS!B151</f>
        <v/>
      </c>
      <c r="D151">
        <f>BASE_EQUIPOS!D151</f>
        <v/>
      </c>
      <c r="E151">
        <f>BASE_EQUIPOS!G151</f>
        <v/>
      </c>
      <c r="F151">
        <f>BASE_EQUIPOS!H151</f>
        <v/>
      </c>
      <c r="G151">
        <f>BASE_EQUIPOS!M151</f>
        <v/>
      </c>
      <c r="I151" t="inlineStr">
        <is>
          <t>S/N/384828</t>
        </is>
      </c>
    </row>
    <row r="152">
      <c r="A152">
        <f>TRIM(BASE_EQUIPOS!N152)</f>
        <v/>
      </c>
      <c r="B152">
        <f>BASE_EQUIPOS!A152</f>
        <v/>
      </c>
      <c r="C152">
        <f>BASE_EQUIPOS!B152</f>
        <v/>
      </c>
      <c r="D152">
        <f>BASE_EQUIPOS!D152</f>
        <v/>
      </c>
      <c r="E152">
        <f>BASE_EQUIPOS!G152</f>
        <v/>
      </c>
      <c r="F152">
        <f>BASE_EQUIPOS!H152</f>
        <v/>
      </c>
      <c r="G152">
        <f>BASE_EQUIPOS!M152</f>
        <v/>
      </c>
      <c r="I152" t="inlineStr">
        <is>
          <t>13/002637</t>
        </is>
      </c>
    </row>
    <row r="153">
      <c r="A153">
        <f>TRIM(BASE_EQUIPOS!N153)</f>
        <v/>
      </c>
      <c r="B153">
        <f>BASE_EQUIPOS!A153</f>
        <v/>
      </c>
      <c r="C153">
        <f>BASE_EQUIPOS!B153</f>
        <v/>
      </c>
      <c r="D153">
        <f>BASE_EQUIPOS!D153</f>
        <v/>
      </c>
      <c r="E153">
        <f>BASE_EQUIPOS!G153</f>
        <v/>
      </c>
      <c r="F153">
        <f>BASE_EQUIPOS!H153</f>
        <v/>
      </c>
      <c r="G153">
        <f>BASE_EQUIPOS!M153</f>
        <v/>
      </c>
      <c r="I153" t="inlineStr">
        <is>
          <t>21/004439</t>
        </is>
      </c>
    </row>
    <row r="154">
      <c r="A154">
        <f>TRIM(BASE_EQUIPOS!N154)</f>
        <v/>
      </c>
      <c r="B154">
        <f>BASE_EQUIPOS!A154</f>
        <v/>
      </c>
      <c r="C154">
        <f>BASE_EQUIPOS!B154</f>
        <v/>
      </c>
      <c r="D154">
        <f>BASE_EQUIPOS!D154</f>
        <v/>
      </c>
      <c r="E154">
        <f>BASE_EQUIPOS!G154</f>
        <v/>
      </c>
      <c r="F154">
        <f>BASE_EQUIPOS!H154</f>
        <v/>
      </c>
      <c r="G154">
        <f>BASE_EQUIPOS!M154</f>
        <v/>
      </c>
      <c r="I154" t="inlineStr">
        <is>
          <t>SN/AB-529933</t>
        </is>
      </c>
    </row>
    <row r="155">
      <c r="A155">
        <f>TRIM(BASE_EQUIPOS!N155)</f>
        <v/>
      </c>
      <c r="B155">
        <f>BASE_EQUIPOS!A155</f>
        <v/>
      </c>
      <c r="C155">
        <f>BASE_EQUIPOS!B155</f>
        <v/>
      </c>
      <c r="D155">
        <f>BASE_EQUIPOS!D155</f>
        <v/>
      </c>
      <c r="E155">
        <f>BASE_EQUIPOS!G155</f>
        <v/>
      </c>
      <c r="F155">
        <f>BASE_EQUIPOS!H155</f>
        <v/>
      </c>
      <c r="G155">
        <f>BASE_EQUIPOS!M155</f>
        <v/>
      </c>
      <c r="I155" t="inlineStr">
        <is>
          <t>04/000069</t>
        </is>
      </c>
    </row>
    <row r="156">
      <c r="A156">
        <f>TRIM(BASE_EQUIPOS!N156)</f>
        <v/>
      </c>
      <c r="B156">
        <f>BASE_EQUIPOS!A156</f>
        <v/>
      </c>
      <c r="C156">
        <f>BASE_EQUIPOS!B156</f>
        <v/>
      </c>
      <c r="D156">
        <f>BASE_EQUIPOS!D156</f>
        <v/>
      </c>
      <c r="E156">
        <f>BASE_EQUIPOS!G156</f>
        <v/>
      </c>
      <c r="F156">
        <f>BASE_EQUIPOS!H156</f>
        <v/>
      </c>
      <c r="G156">
        <f>BASE_EQUIPOS!M156</f>
        <v/>
      </c>
      <c r="I156" t="inlineStr">
        <is>
          <t>05/000132</t>
        </is>
      </c>
    </row>
    <row r="157">
      <c r="A157">
        <f>TRIM(BASE_EQUIPOS!N157)</f>
        <v/>
      </c>
      <c r="B157">
        <f>BASE_EQUIPOS!A157</f>
        <v/>
      </c>
      <c r="C157">
        <f>BASE_EQUIPOS!B157</f>
        <v/>
      </c>
      <c r="D157">
        <f>BASE_EQUIPOS!D157</f>
        <v/>
      </c>
      <c r="E157">
        <f>BASE_EQUIPOS!G157</f>
        <v/>
      </c>
      <c r="F157">
        <f>BASE_EQUIPOS!H157</f>
        <v/>
      </c>
      <c r="G157">
        <f>BASE_EQUIPOS!M157</f>
        <v/>
      </c>
      <c r="I157" t="inlineStr">
        <is>
          <t>02/Z-745339</t>
        </is>
      </c>
    </row>
    <row r="158">
      <c r="A158">
        <f>TRIM(BASE_EQUIPOS!N158)</f>
        <v/>
      </c>
      <c r="B158">
        <f>BASE_EQUIPOS!A158</f>
        <v/>
      </c>
      <c r="C158">
        <f>BASE_EQUIPOS!B158</f>
        <v/>
      </c>
      <c r="D158">
        <f>BASE_EQUIPOS!D158</f>
        <v/>
      </c>
      <c r="E158">
        <f>BASE_EQUIPOS!G158</f>
        <v/>
      </c>
      <c r="F158">
        <f>BASE_EQUIPOS!H158</f>
        <v/>
      </c>
      <c r="G158">
        <f>BASE_EQUIPOS!M158</f>
        <v/>
      </c>
      <c r="I158" t="inlineStr">
        <is>
          <t>15/Z-745340</t>
        </is>
      </c>
    </row>
    <row r="159">
      <c r="A159">
        <f>TRIM(BASE_EQUIPOS!N159)</f>
        <v/>
      </c>
      <c r="B159">
        <f>BASE_EQUIPOS!A159</f>
        <v/>
      </c>
      <c r="C159">
        <f>BASE_EQUIPOS!B159</f>
        <v/>
      </c>
      <c r="D159">
        <f>BASE_EQUIPOS!D159</f>
        <v/>
      </c>
      <c r="E159">
        <f>BASE_EQUIPOS!G159</f>
        <v/>
      </c>
      <c r="F159">
        <f>BASE_EQUIPOS!H159</f>
        <v/>
      </c>
      <c r="G159">
        <f>BASE_EQUIPOS!M159</f>
        <v/>
      </c>
      <c r="I159" t="inlineStr">
        <is>
          <t>19/V-862717</t>
        </is>
      </c>
    </row>
    <row r="160">
      <c r="A160">
        <f>TRIM(BASE_EQUIPOS!N160)</f>
        <v/>
      </c>
      <c r="B160">
        <f>BASE_EQUIPOS!A160</f>
        <v/>
      </c>
      <c r="C160">
        <f>BASE_EQUIPOS!B160</f>
        <v/>
      </c>
      <c r="D160">
        <f>BASE_EQUIPOS!D160</f>
        <v/>
      </c>
      <c r="E160">
        <f>BASE_EQUIPOS!G160</f>
        <v/>
      </c>
      <c r="F160">
        <f>BASE_EQUIPOS!H160</f>
        <v/>
      </c>
      <c r="G160">
        <f>BASE_EQUIPOS!M160</f>
        <v/>
      </c>
      <c r="I160" t="inlineStr">
        <is>
          <t>25/Z-745343</t>
        </is>
      </c>
    </row>
    <row r="161">
      <c r="A161">
        <f>TRIM(BASE_EQUIPOS!N161)</f>
        <v/>
      </c>
      <c r="B161">
        <f>BASE_EQUIPOS!A161</f>
        <v/>
      </c>
      <c r="C161">
        <f>BASE_EQUIPOS!B161</f>
        <v/>
      </c>
      <c r="D161">
        <f>BASE_EQUIPOS!D161</f>
        <v/>
      </c>
      <c r="E161">
        <f>BASE_EQUIPOS!G161</f>
        <v/>
      </c>
      <c r="F161">
        <f>BASE_EQUIPOS!H161</f>
        <v/>
      </c>
      <c r="G161">
        <f>BASE_EQUIPOS!M161</f>
        <v/>
      </c>
      <c r="I161" t="inlineStr">
        <is>
          <t>26/AB-961795</t>
        </is>
      </c>
    </row>
    <row r="162">
      <c r="A162">
        <f>TRIM(BASE_EQUIPOS!N162)</f>
        <v/>
      </c>
      <c r="B162">
        <f>BASE_EQUIPOS!A162</f>
        <v/>
      </c>
      <c r="C162">
        <f>BASE_EQUIPOS!B162</f>
        <v/>
      </c>
      <c r="D162">
        <f>BASE_EQUIPOS!D162</f>
        <v/>
      </c>
      <c r="E162">
        <f>BASE_EQUIPOS!G162</f>
        <v/>
      </c>
      <c r="F162">
        <f>BASE_EQUIPOS!H162</f>
        <v/>
      </c>
      <c r="G162">
        <f>BASE_EQUIPOS!M162</f>
        <v/>
      </c>
      <c r="I162" t="inlineStr">
        <is>
          <t>29/AC-224997</t>
        </is>
      </c>
    </row>
    <row r="163">
      <c r="A163">
        <f>TRIM(BASE_EQUIPOS!N163)</f>
        <v/>
      </c>
      <c r="B163">
        <f>BASE_EQUIPOS!A163</f>
        <v/>
      </c>
      <c r="C163">
        <f>BASE_EQUIPOS!B163</f>
        <v/>
      </c>
      <c r="D163">
        <f>BASE_EQUIPOS!D163</f>
        <v/>
      </c>
      <c r="E163">
        <f>BASE_EQUIPOS!G163</f>
        <v/>
      </c>
      <c r="F163">
        <f>BASE_EQUIPOS!H163</f>
        <v/>
      </c>
      <c r="G163">
        <f>BASE_EQUIPOS!M163</f>
        <v/>
      </c>
      <c r="I163" t="inlineStr">
        <is>
          <t>34/AC-538135</t>
        </is>
      </c>
    </row>
    <row r="164">
      <c r="A164">
        <f>TRIM(BASE_EQUIPOS!N164)</f>
        <v/>
      </c>
      <c r="B164">
        <f>BASE_EQUIPOS!A164</f>
        <v/>
      </c>
      <c r="C164">
        <f>BASE_EQUIPOS!B164</f>
        <v/>
      </c>
      <c r="D164">
        <f>BASE_EQUIPOS!D164</f>
        <v/>
      </c>
      <c r="E164">
        <f>BASE_EQUIPOS!G164</f>
        <v/>
      </c>
      <c r="F164">
        <f>BASE_EQUIPOS!H164</f>
        <v/>
      </c>
      <c r="G164">
        <f>BASE_EQUIPOS!M164</f>
        <v/>
      </c>
      <c r="I164" t="inlineStr">
        <is>
          <t>01/ 000025</t>
        </is>
      </c>
    </row>
    <row r="165">
      <c r="A165">
        <f>TRIM(BASE_EQUIPOS!N165)</f>
        <v/>
      </c>
      <c r="B165">
        <f>BASE_EQUIPOS!A165</f>
        <v/>
      </c>
      <c r="C165">
        <f>BASE_EQUIPOS!B165</f>
        <v/>
      </c>
      <c r="D165">
        <f>BASE_EQUIPOS!D165</f>
        <v/>
      </c>
      <c r="E165">
        <f>BASE_EQUIPOS!G165</f>
        <v/>
      </c>
      <c r="F165">
        <f>BASE_EQUIPOS!H165</f>
        <v/>
      </c>
      <c r="G165">
        <f>BASE_EQUIPOS!M165</f>
        <v/>
      </c>
      <c r="I165" t="inlineStr">
        <is>
          <t>07/004908</t>
        </is>
      </c>
    </row>
    <row r="166">
      <c r="A166">
        <f>TRIM(BASE_EQUIPOS!N166)</f>
        <v/>
      </c>
      <c r="B166">
        <f>BASE_EQUIPOS!A166</f>
        <v/>
      </c>
      <c r="C166">
        <f>BASE_EQUIPOS!B166</f>
        <v/>
      </c>
      <c r="D166">
        <f>BASE_EQUIPOS!D166</f>
        <v/>
      </c>
      <c r="E166">
        <f>BASE_EQUIPOS!G166</f>
        <v/>
      </c>
      <c r="F166">
        <f>BASE_EQUIPOS!H166</f>
        <v/>
      </c>
      <c r="G166">
        <f>BASE_EQUIPOS!M166</f>
        <v/>
      </c>
      <c r="I166" t="inlineStr">
        <is>
          <t>08/004291</t>
        </is>
      </c>
    </row>
    <row r="167">
      <c r="A167">
        <f>TRIM(BASE_EQUIPOS!N167)</f>
        <v/>
      </c>
      <c r="B167">
        <f>BASE_EQUIPOS!A167</f>
        <v/>
      </c>
      <c r="C167">
        <f>BASE_EQUIPOS!B167</f>
        <v/>
      </c>
      <c r="D167">
        <f>BASE_EQUIPOS!D167</f>
        <v/>
      </c>
      <c r="E167">
        <f>BASE_EQUIPOS!G167</f>
        <v/>
      </c>
      <c r="F167">
        <f>BASE_EQUIPOS!H167</f>
        <v/>
      </c>
      <c r="G167">
        <f>BASE_EQUIPOS!M167</f>
        <v/>
      </c>
      <c r="I167" t="inlineStr">
        <is>
          <t>09/004817</t>
        </is>
      </c>
    </row>
    <row r="168">
      <c r="A168">
        <f>TRIM(BASE_EQUIPOS!N168)</f>
        <v/>
      </c>
      <c r="B168">
        <f>BASE_EQUIPOS!A168</f>
        <v/>
      </c>
      <c r="C168">
        <f>BASE_EQUIPOS!B168</f>
        <v/>
      </c>
      <c r="D168">
        <f>BASE_EQUIPOS!D168</f>
        <v/>
      </c>
      <c r="E168">
        <f>BASE_EQUIPOS!G168</f>
        <v/>
      </c>
      <c r="F168">
        <f>BASE_EQUIPOS!H168</f>
        <v/>
      </c>
      <c r="G168">
        <f>BASE_EQUIPOS!M168</f>
        <v/>
      </c>
      <c r="I168" t="inlineStr">
        <is>
          <t>10/004685</t>
        </is>
      </c>
    </row>
    <row r="169">
      <c r="A169">
        <f>TRIM(BASE_EQUIPOS!N169)</f>
        <v/>
      </c>
      <c r="B169">
        <f>BASE_EQUIPOS!A169</f>
        <v/>
      </c>
      <c r="C169">
        <f>BASE_EQUIPOS!B169</f>
        <v/>
      </c>
      <c r="D169">
        <f>BASE_EQUIPOS!D169</f>
        <v/>
      </c>
      <c r="E169">
        <f>BASE_EQUIPOS!G169</f>
        <v/>
      </c>
      <c r="F169">
        <f>BASE_EQUIPOS!H169</f>
        <v/>
      </c>
      <c r="G169">
        <f>BASE_EQUIPOS!M169</f>
        <v/>
      </c>
      <c r="I169" t="inlineStr">
        <is>
          <t>11/004760</t>
        </is>
      </c>
    </row>
    <row r="170">
      <c r="A170">
        <f>TRIM(BASE_EQUIPOS!N170)</f>
        <v/>
      </c>
      <c r="B170">
        <f>BASE_EQUIPOS!A170</f>
        <v/>
      </c>
      <c r="C170">
        <f>BASE_EQUIPOS!B170</f>
        <v/>
      </c>
      <c r="D170">
        <f>BASE_EQUIPOS!D170</f>
        <v/>
      </c>
      <c r="E170">
        <f>BASE_EQUIPOS!G170</f>
        <v/>
      </c>
      <c r="F170">
        <f>BASE_EQUIPOS!H170</f>
        <v/>
      </c>
      <c r="G170">
        <f>BASE_EQUIPOS!M170</f>
        <v/>
      </c>
      <c r="I170" t="inlineStr">
        <is>
          <t>12/004674</t>
        </is>
      </c>
    </row>
    <row r="171">
      <c r="A171">
        <f>TRIM(BASE_EQUIPOS!N171)</f>
        <v/>
      </c>
      <c r="B171">
        <f>BASE_EQUIPOS!A171</f>
        <v/>
      </c>
      <c r="C171">
        <f>BASE_EQUIPOS!B171</f>
        <v/>
      </c>
      <c r="D171">
        <f>BASE_EQUIPOS!D171</f>
        <v/>
      </c>
      <c r="E171">
        <f>BASE_EQUIPOS!G171</f>
        <v/>
      </c>
      <c r="F171">
        <f>BASE_EQUIPOS!H171</f>
        <v/>
      </c>
      <c r="G171">
        <f>BASE_EQUIPOS!M171</f>
        <v/>
      </c>
      <c r="I171" t="inlineStr">
        <is>
          <t>14/004909</t>
        </is>
      </c>
    </row>
    <row r="172">
      <c r="A172">
        <f>TRIM(BASE_EQUIPOS!N172)</f>
        <v/>
      </c>
      <c r="B172">
        <f>BASE_EQUIPOS!A172</f>
        <v/>
      </c>
      <c r="C172">
        <f>BASE_EQUIPOS!B172</f>
        <v/>
      </c>
      <c r="D172">
        <f>BASE_EQUIPOS!D172</f>
        <v/>
      </c>
      <c r="E172">
        <f>BASE_EQUIPOS!G172</f>
        <v/>
      </c>
      <c r="F172">
        <f>BASE_EQUIPOS!H172</f>
        <v/>
      </c>
      <c r="G172">
        <f>BASE_EQUIPOS!M172</f>
        <v/>
      </c>
      <c r="I172" t="inlineStr">
        <is>
          <t>16/004972</t>
        </is>
      </c>
    </row>
    <row r="173">
      <c r="A173">
        <f>TRIM(BASE_EQUIPOS!N173)</f>
        <v/>
      </c>
      <c r="B173">
        <f>BASE_EQUIPOS!A173</f>
        <v/>
      </c>
      <c r="C173">
        <f>BASE_EQUIPOS!B173</f>
        <v/>
      </c>
      <c r="D173">
        <f>BASE_EQUIPOS!D173</f>
        <v/>
      </c>
      <c r="E173">
        <f>BASE_EQUIPOS!G173</f>
        <v/>
      </c>
      <c r="F173">
        <f>BASE_EQUIPOS!H173</f>
        <v/>
      </c>
      <c r="G173">
        <f>BASE_EQUIPOS!M173</f>
        <v/>
      </c>
      <c r="I173" t="inlineStr">
        <is>
          <t>17/004372</t>
        </is>
      </c>
    </row>
    <row r="174">
      <c r="A174">
        <f>TRIM(BASE_EQUIPOS!N174)</f>
        <v/>
      </c>
      <c r="B174">
        <f>BASE_EQUIPOS!A174</f>
        <v/>
      </c>
      <c r="C174">
        <f>BASE_EQUIPOS!B174</f>
        <v/>
      </c>
      <c r="D174">
        <f>BASE_EQUIPOS!D174</f>
        <v/>
      </c>
      <c r="E174">
        <f>BASE_EQUIPOS!G174</f>
        <v/>
      </c>
      <c r="F174">
        <f>BASE_EQUIPOS!H174</f>
        <v/>
      </c>
      <c r="G174">
        <f>BASE_EQUIPOS!M174</f>
        <v/>
      </c>
      <c r="I174" t="inlineStr">
        <is>
          <t>18/004973</t>
        </is>
      </c>
    </row>
    <row r="175">
      <c r="A175">
        <f>TRIM(BASE_EQUIPOS!N175)</f>
        <v/>
      </c>
      <c r="B175">
        <f>BASE_EQUIPOS!A175</f>
        <v/>
      </c>
      <c r="C175">
        <f>BASE_EQUIPOS!B175</f>
        <v/>
      </c>
      <c r="D175">
        <f>BASE_EQUIPOS!D175</f>
        <v/>
      </c>
      <c r="E175">
        <f>BASE_EQUIPOS!G175</f>
        <v/>
      </c>
      <c r="F175">
        <f>BASE_EQUIPOS!H175</f>
        <v/>
      </c>
      <c r="G175">
        <f>BASE_EQUIPOS!M175</f>
        <v/>
      </c>
      <c r="I175" t="inlineStr">
        <is>
          <t>20/004767</t>
        </is>
      </c>
    </row>
    <row r="176">
      <c r="A176">
        <f>TRIM(BASE_EQUIPOS!N176)</f>
        <v/>
      </c>
      <c r="B176">
        <f>BASE_EQUIPOS!A176</f>
        <v/>
      </c>
      <c r="C176">
        <f>BASE_EQUIPOS!B176</f>
        <v/>
      </c>
      <c r="D176">
        <f>BASE_EQUIPOS!D176</f>
        <v/>
      </c>
      <c r="E176">
        <f>BASE_EQUIPOS!G176</f>
        <v/>
      </c>
      <c r="F176">
        <f>BASE_EQUIPOS!H176</f>
        <v/>
      </c>
      <c r="G176">
        <f>BASE_EQUIPOS!M176</f>
        <v/>
      </c>
      <c r="I176" t="inlineStr">
        <is>
          <t>22/004309</t>
        </is>
      </c>
    </row>
    <row r="177">
      <c r="A177">
        <f>TRIM(BASE_EQUIPOS!N177)</f>
        <v/>
      </c>
      <c r="B177">
        <f>BASE_EQUIPOS!A177</f>
        <v/>
      </c>
      <c r="C177">
        <f>BASE_EQUIPOS!B177</f>
        <v/>
      </c>
      <c r="D177">
        <f>BASE_EQUIPOS!D177</f>
        <v/>
      </c>
      <c r="E177">
        <f>BASE_EQUIPOS!G177</f>
        <v/>
      </c>
      <c r="F177">
        <f>BASE_EQUIPOS!H177</f>
        <v/>
      </c>
      <c r="G177">
        <f>BASE_EQUIPOS!M177</f>
        <v/>
      </c>
      <c r="I177" t="inlineStr">
        <is>
          <t>27/000133</t>
        </is>
      </c>
    </row>
    <row r="178">
      <c r="A178">
        <f>TRIM(BASE_EQUIPOS!N178)</f>
        <v/>
      </c>
      <c r="B178">
        <f>BASE_EQUIPOS!A178</f>
        <v/>
      </c>
      <c r="C178">
        <f>BASE_EQUIPOS!B178</f>
        <v/>
      </c>
      <c r="D178">
        <f>BASE_EQUIPOS!D178</f>
        <v/>
      </c>
      <c r="E178">
        <f>BASE_EQUIPOS!G178</f>
        <v/>
      </c>
      <c r="F178">
        <f>BASE_EQUIPOS!H178</f>
        <v/>
      </c>
      <c r="G178">
        <f>BASE_EQUIPOS!M178</f>
        <v/>
      </c>
      <c r="I178" t="inlineStr">
        <is>
          <t>28/000116</t>
        </is>
      </c>
    </row>
    <row r="179">
      <c r="A179">
        <f>TRIM(BASE_EQUIPOS!N179)</f>
        <v/>
      </c>
      <c r="B179">
        <f>BASE_EQUIPOS!A179</f>
        <v/>
      </c>
      <c r="C179">
        <f>BASE_EQUIPOS!B179</f>
        <v/>
      </c>
      <c r="D179">
        <f>BASE_EQUIPOS!D179</f>
        <v/>
      </c>
      <c r="E179">
        <f>BASE_EQUIPOS!G179</f>
        <v/>
      </c>
      <c r="F179">
        <f>BASE_EQUIPOS!H179</f>
        <v/>
      </c>
      <c r="G179">
        <f>BASE_EQUIPOS!M179</f>
        <v/>
      </c>
      <c r="I179" t="inlineStr">
        <is>
          <t>30/000143</t>
        </is>
      </c>
    </row>
    <row r="180">
      <c r="A180">
        <f>TRIM(BASE_EQUIPOS!N180)</f>
        <v/>
      </c>
      <c r="B180">
        <f>BASE_EQUIPOS!A180</f>
        <v/>
      </c>
      <c r="C180">
        <f>BASE_EQUIPOS!B180</f>
        <v/>
      </c>
      <c r="D180">
        <f>BASE_EQUIPOS!D180</f>
        <v/>
      </c>
      <c r="E180">
        <f>BASE_EQUIPOS!G180</f>
        <v/>
      </c>
      <c r="F180">
        <f>BASE_EQUIPOS!H180</f>
        <v/>
      </c>
      <c r="G180">
        <f>BASE_EQUIPOS!M180</f>
        <v/>
      </c>
      <c r="I180" t="inlineStr">
        <is>
          <t>31/004518</t>
        </is>
      </c>
    </row>
    <row r="181">
      <c r="A181">
        <f>TRIM(BASE_EQUIPOS!N181)</f>
        <v/>
      </c>
      <c r="B181">
        <f>BASE_EQUIPOS!A181</f>
        <v/>
      </c>
      <c r="C181">
        <f>BASE_EQUIPOS!B181</f>
        <v/>
      </c>
      <c r="D181">
        <f>BASE_EQUIPOS!D181</f>
        <v/>
      </c>
      <c r="E181">
        <f>BASE_EQUIPOS!G181</f>
        <v/>
      </c>
      <c r="F181">
        <f>BASE_EQUIPOS!H181</f>
        <v/>
      </c>
      <c r="G181">
        <f>BASE_EQUIPOS!M181</f>
        <v/>
      </c>
      <c r="I181" t="inlineStr">
        <is>
          <t>32/004864</t>
        </is>
      </c>
    </row>
    <row r="182">
      <c r="A182">
        <f>TRIM(BASE_EQUIPOS!N182)</f>
        <v/>
      </c>
      <c r="B182">
        <f>BASE_EQUIPOS!A182</f>
        <v/>
      </c>
      <c r="C182">
        <f>BASE_EQUIPOS!B182</f>
        <v/>
      </c>
      <c r="D182">
        <f>BASE_EQUIPOS!D182</f>
        <v/>
      </c>
      <c r="E182">
        <f>BASE_EQUIPOS!G182</f>
        <v/>
      </c>
      <c r="F182">
        <f>BASE_EQUIPOS!H182</f>
        <v/>
      </c>
      <c r="G182">
        <f>BASE_EQUIPOS!M182</f>
        <v/>
      </c>
      <c r="I182" t="inlineStr">
        <is>
          <t>33/000426</t>
        </is>
      </c>
    </row>
    <row r="183">
      <c r="A183">
        <f>TRIM(BASE_EQUIPOS!N183)</f>
        <v/>
      </c>
      <c r="B183">
        <f>BASE_EQUIPOS!A183</f>
        <v/>
      </c>
      <c r="C183">
        <f>BASE_EQUIPOS!B183</f>
        <v/>
      </c>
      <c r="D183">
        <f>BASE_EQUIPOS!D183</f>
        <v/>
      </c>
      <c r="E183">
        <f>BASE_EQUIPOS!G183</f>
        <v/>
      </c>
      <c r="F183">
        <f>BASE_EQUIPOS!H183</f>
        <v/>
      </c>
      <c r="G183">
        <f>BASE_EQUIPOS!M183</f>
        <v/>
      </c>
      <c r="I183" t="inlineStr">
        <is>
          <t>06/Y-290891</t>
        </is>
      </c>
    </row>
    <row r="184">
      <c r="A184">
        <f>TRIM(BASE_EQUIPOS!N184)</f>
        <v/>
      </c>
      <c r="B184">
        <f>BASE_EQUIPOS!A184</f>
        <v/>
      </c>
      <c r="C184">
        <f>BASE_EQUIPOS!B184</f>
        <v/>
      </c>
      <c r="D184">
        <f>BASE_EQUIPOS!D184</f>
        <v/>
      </c>
      <c r="E184">
        <f>BASE_EQUIPOS!G184</f>
        <v/>
      </c>
      <c r="F184">
        <f>BASE_EQUIPOS!H184</f>
        <v/>
      </c>
      <c r="G184">
        <f>BASE_EQUIPOS!M184</f>
        <v/>
      </c>
      <c r="I184" t="inlineStr">
        <is>
          <t>01/000906</t>
        </is>
      </c>
    </row>
    <row r="185">
      <c r="A185">
        <f>TRIM(BASE_EQUIPOS!N185)</f>
        <v/>
      </c>
      <c r="B185">
        <f>BASE_EQUIPOS!A185</f>
        <v/>
      </c>
      <c r="C185">
        <f>BASE_EQUIPOS!B185</f>
        <v/>
      </c>
      <c r="D185">
        <f>BASE_EQUIPOS!D185</f>
        <v/>
      </c>
      <c r="E185">
        <f>BASE_EQUIPOS!G185</f>
        <v/>
      </c>
      <c r="F185">
        <f>BASE_EQUIPOS!H185</f>
        <v/>
      </c>
      <c r="G185">
        <f>BASE_EQUIPOS!M185</f>
        <v/>
      </c>
      <c r="I185" t="inlineStr">
        <is>
          <t>24/Y-290775</t>
        </is>
      </c>
    </row>
    <row r="186">
      <c r="A186">
        <f>TRIM(BASE_EQUIPOS!N186)</f>
        <v/>
      </c>
      <c r="B186">
        <f>BASE_EQUIPOS!A186</f>
        <v/>
      </c>
      <c r="C186">
        <f>BASE_EQUIPOS!B186</f>
        <v/>
      </c>
      <c r="D186">
        <f>BASE_EQUIPOS!D186</f>
        <v/>
      </c>
      <c r="E186">
        <f>BASE_EQUIPOS!G186</f>
        <v/>
      </c>
      <c r="F186">
        <f>BASE_EQUIPOS!H186</f>
        <v/>
      </c>
      <c r="G186">
        <f>BASE_EQUIPOS!M186</f>
        <v/>
      </c>
      <c r="I186" t="inlineStr">
        <is>
          <t>03/Y-290776</t>
        </is>
      </c>
    </row>
    <row r="187">
      <c r="A187">
        <f>TRIM(BASE_EQUIPOS!N187)</f>
        <v/>
      </c>
      <c r="B187">
        <f>BASE_EQUIPOS!A187</f>
        <v/>
      </c>
      <c r="C187">
        <f>BASE_EQUIPOS!B187</f>
        <v/>
      </c>
      <c r="D187">
        <f>BASE_EQUIPOS!D187</f>
        <v/>
      </c>
      <c r="E187">
        <f>BASE_EQUIPOS!G187</f>
        <v/>
      </c>
      <c r="F187">
        <f>BASE_EQUIPOS!H187</f>
        <v/>
      </c>
      <c r="G187">
        <f>BASE_EQUIPOS!M187</f>
        <v/>
      </c>
      <c r="I187" t="inlineStr">
        <is>
          <t>23/001581</t>
        </is>
      </c>
    </row>
    <row r="188">
      <c r="A188">
        <f>TRIM(BASE_EQUIPOS!N188)</f>
        <v/>
      </c>
      <c r="B188">
        <f>BASE_EQUIPOS!A188</f>
        <v/>
      </c>
      <c r="C188">
        <f>BASE_EQUIPOS!B188</f>
        <v/>
      </c>
      <c r="D188">
        <f>BASE_EQUIPOS!D188</f>
        <v/>
      </c>
      <c r="E188">
        <f>BASE_EQUIPOS!G188</f>
        <v/>
      </c>
      <c r="F188">
        <f>BASE_EQUIPOS!H188</f>
        <v/>
      </c>
      <c r="G188">
        <f>BASE_EQUIPOS!M188</f>
        <v/>
      </c>
      <c r="I188" t="inlineStr">
        <is>
          <t>01/030205</t>
        </is>
      </c>
    </row>
    <row r="189">
      <c r="A189">
        <f>TRIM(BASE_EQUIPOS!N189)</f>
        <v/>
      </c>
      <c r="B189">
        <f>BASE_EQUIPOS!A189</f>
        <v/>
      </c>
      <c r="C189">
        <f>BASE_EQUIPOS!B189</f>
        <v/>
      </c>
      <c r="D189">
        <f>BASE_EQUIPOS!D189</f>
        <v/>
      </c>
      <c r="E189">
        <f>BASE_EQUIPOS!G189</f>
        <v/>
      </c>
      <c r="F189">
        <f>BASE_EQUIPOS!H189</f>
        <v/>
      </c>
      <c r="G189">
        <f>BASE_EQUIPOS!M189</f>
        <v/>
      </c>
      <c r="I189" t="inlineStr">
        <is>
          <t>01/001067</t>
        </is>
      </c>
    </row>
    <row r="190">
      <c r="A190">
        <f>TRIM(BASE_EQUIPOS!N190)</f>
        <v/>
      </c>
      <c r="B190">
        <f>BASE_EQUIPOS!A190</f>
        <v/>
      </c>
      <c r="C190">
        <f>BASE_EQUIPOS!B190</f>
        <v/>
      </c>
      <c r="D190">
        <f>BASE_EQUIPOS!D190</f>
        <v/>
      </c>
      <c r="E190">
        <f>BASE_EQUIPOS!G190</f>
        <v/>
      </c>
      <c r="F190">
        <f>BASE_EQUIPOS!H190</f>
        <v/>
      </c>
      <c r="G190">
        <f>BASE_EQUIPOS!M190</f>
        <v/>
      </c>
      <c r="I190" t="inlineStr">
        <is>
          <t>01/000389</t>
        </is>
      </c>
    </row>
    <row r="191">
      <c r="A191">
        <f>TRIM(BASE_EQUIPOS!N191)</f>
        <v/>
      </c>
      <c r="B191">
        <f>BASE_EQUIPOS!A191</f>
        <v/>
      </c>
      <c r="C191">
        <f>BASE_EQUIPOS!B191</f>
        <v/>
      </c>
      <c r="D191">
        <f>BASE_EQUIPOS!D191</f>
        <v/>
      </c>
      <c r="E191">
        <f>BASE_EQUIPOS!G191</f>
        <v/>
      </c>
      <c r="F191">
        <f>BASE_EQUIPOS!H191</f>
        <v/>
      </c>
      <c r="G191">
        <f>BASE_EQUIPOS!M191</f>
        <v/>
      </c>
      <c r="I191" t="inlineStr">
        <is>
          <t>01/00009</t>
        </is>
      </c>
    </row>
    <row r="192">
      <c r="A192">
        <f>TRIM(BASE_EQUIPOS!N192)</f>
        <v/>
      </c>
      <c r="B192">
        <f>BASE_EQUIPOS!A192</f>
        <v/>
      </c>
      <c r="C192">
        <f>BASE_EQUIPOS!B192</f>
        <v/>
      </c>
      <c r="D192">
        <f>BASE_EQUIPOS!D192</f>
        <v/>
      </c>
      <c r="E192">
        <f>BASE_EQUIPOS!G192</f>
        <v/>
      </c>
      <c r="F192">
        <f>BASE_EQUIPOS!H192</f>
        <v/>
      </c>
      <c r="G192">
        <f>BASE_EQUIPOS!M192</f>
        <v/>
      </c>
      <c r="I192" t="inlineStr">
        <is>
          <t>01/ 000895</t>
        </is>
      </c>
    </row>
    <row r="193">
      <c r="A193">
        <f>TRIM(BASE_EQUIPOS!N193)</f>
        <v/>
      </c>
      <c r="B193">
        <f>BASE_EQUIPOS!A193</f>
        <v/>
      </c>
      <c r="C193">
        <f>BASE_EQUIPOS!B193</f>
        <v/>
      </c>
      <c r="D193">
        <f>BASE_EQUIPOS!D193</f>
        <v/>
      </c>
      <c r="E193">
        <f>BASE_EQUIPOS!G193</f>
        <v/>
      </c>
      <c r="F193">
        <f>BASE_EQUIPOS!H193</f>
        <v/>
      </c>
      <c r="G193">
        <f>BASE_EQUIPOS!M193</f>
        <v/>
      </c>
      <c r="I193" t="inlineStr">
        <is>
          <t>01/008831</t>
        </is>
      </c>
    </row>
    <row r="194">
      <c r="A194">
        <f>TRIM(BASE_EQUIPOS!N194)</f>
        <v/>
      </c>
      <c r="B194">
        <f>BASE_EQUIPOS!A194</f>
        <v/>
      </c>
      <c r="C194">
        <f>BASE_EQUIPOS!B194</f>
        <v/>
      </c>
      <c r="D194">
        <f>BASE_EQUIPOS!D194</f>
        <v/>
      </c>
      <c r="E194">
        <f>BASE_EQUIPOS!G194</f>
        <v/>
      </c>
      <c r="F194">
        <f>BASE_EQUIPOS!H194</f>
        <v/>
      </c>
      <c r="G194">
        <f>BASE_EQUIPOS!M194</f>
        <v/>
      </c>
      <c r="I194" t="inlineStr">
        <is>
          <t>01/307179</t>
        </is>
      </c>
    </row>
    <row r="195">
      <c r="A195">
        <f>TRIM(BASE_EQUIPOS!N195)</f>
        <v/>
      </c>
      <c r="B195">
        <f>BASE_EQUIPOS!A195</f>
        <v/>
      </c>
      <c r="C195">
        <f>BASE_EQUIPOS!B195</f>
        <v/>
      </c>
      <c r="D195">
        <f>BASE_EQUIPOS!D195</f>
        <v/>
      </c>
      <c r="E195">
        <f>BASE_EQUIPOS!G195</f>
        <v/>
      </c>
      <c r="F195">
        <f>BASE_EQUIPOS!H195</f>
        <v/>
      </c>
      <c r="G195">
        <f>BASE_EQUIPOS!M195</f>
        <v/>
      </c>
      <c r="I195" t="inlineStr">
        <is>
          <t>02/307171</t>
        </is>
      </c>
    </row>
    <row r="196">
      <c r="A196">
        <f>TRIM(BASE_EQUIPOS!N196)</f>
        <v/>
      </c>
      <c r="B196">
        <f>BASE_EQUIPOS!A196</f>
        <v/>
      </c>
      <c r="C196">
        <f>BASE_EQUIPOS!B196</f>
        <v/>
      </c>
      <c r="D196">
        <f>BASE_EQUIPOS!D196</f>
        <v/>
      </c>
      <c r="E196">
        <f>BASE_EQUIPOS!G196</f>
        <v/>
      </c>
      <c r="F196">
        <f>BASE_EQUIPOS!H196</f>
        <v/>
      </c>
      <c r="G196">
        <f>BASE_EQUIPOS!M196</f>
        <v/>
      </c>
      <c r="I196" t="inlineStr">
        <is>
          <t>01/300340</t>
        </is>
      </c>
    </row>
    <row r="197">
      <c r="A197">
        <f>TRIM(BASE_EQUIPOS!N197)</f>
        <v/>
      </c>
      <c r="B197">
        <f>BASE_EQUIPOS!A197</f>
        <v/>
      </c>
      <c r="C197">
        <f>BASE_EQUIPOS!B197</f>
        <v/>
      </c>
      <c r="D197">
        <f>BASE_EQUIPOS!D197</f>
        <v/>
      </c>
      <c r="E197">
        <f>BASE_EQUIPOS!G197</f>
        <v/>
      </c>
      <c r="F197">
        <f>BASE_EQUIPOS!H197</f>
        <v/>
      </c>
      <c r="G197">
        <f>BASE_EQUIPOS!M197</f>
        <v/>
      </c>
      <c r="I197" t="inlineStr">
        <is>
          <t>01/405649</t>
        </is>
      </c>
    </row>
    <row r="198">
      <c r="A198">
        <f>TRIM(BASE_EQUIPOS!N198)</f>
        <v/>
      </c>
      <c r="B198">
        <f>BASE_EQUIPOS!A198</f>
        <v/>
      </c>
      <c r="C198">
        <f>BASE_EQUIPOS!B198</f>
        <v/>
      </c>
      <c r="D198">
        <f>BASE_EQUIPOS!D198</f>
        <v/>
      </c>
      <c r="E198">
        <f>BASE_EQUIPOS!G198</f>
        <v/>
      </c>
      <c r="F198">
        <f>BASE_EQUIPOS!H198</f>
        <v/>
      </c>
      <c r="G198">
        <f>BASE_EQUIPOS!M198</f>
        <v/>
      </c>
      <c r="I198" t="inlineStr">
        <is>
          <t>02/408912</t>
        </is>
      </c>
    </row>
    <row r="199">
      <c r="A199">
        <f>TRIM(BASE_EQUIPOS!N199)</f>
        <v/>
      </c>
      <c r="B199">
        <f>BASE_EQUIPOS!A199</f>
        <v/>
      </c>
      <c r="C199">
        <f>BASE_EQUIPOS!B199</f>
        <v/>
      </c>
      <c r="D199">
        <f>BASE_EQUIPOS!D199</f>
        <v/>
      </c>
      <c r="E199">
        <f>BASE_EQUIPOS!G199</f>
        <v/>
      </c>
      <c r="F199">
        <f>BASE_EQUIPOS!H199</f>
        <v/>
      </c>
      <c r="G199">
        <f>BASE_EQUIPOS!M199</f>
        <v/>
      </c>
      <c r="I199" t="inlineStr">
        <is>
          <t>01/000014</t>
        </is>
      </c>
    </row>
    <row r="200">
      <c r="A200">
        <f>TRIM(BASE_EQUIPOS!N200)</f>
        <v/>
      </c>
      <c r="B200">
        <f>BASE_EQUIPOS!A200</f>
        <v/>
      </c>
      <c r="C200">
        <f>BASE_EQUIPOS!B200</f>
        <v/>
      </c>
      <c r="D200">
        <f>BASE_EQUIPOS!D200</f>
        <v/>
      </c>
      <c r="E200">
        <f>BASE_EQUIPOS!G200</f>
        <v/>
      </c>
      <c r="F200">
        <f>BASE_EQUIPOS!H200</f>
        <v/>
      </c>
      <c r="G200">
        <f>BASE_EQUIPOS!M200</f>
        <v/>
      </c>
      <c r="I200" t="inlineStr">
        <is>
          <t>01/000709</t>
        </is>
      </c>
    </row>
    <row r="201">
      <c r="A201">
        <f>TRIM(BASE_EQUIPOS!N201)</f>
        <v/>
      </c>
      <c r="B201">
        <f>BASE_EQUIPOS!A201</f>
        <v/>
      </c>
      <c r="C201">
        <f>BASE_EQUIPOS!B201</f>
        <v/>
      </c>
      <c r="D201">
        <f>BASE_EQUIPOS!D201</f>
        <v/>
      </c>
      <c r="E201">
        <f>BASE_EQUIPOS!G201</f>
        <v/>
      </c>
      <c r="F201">
        <f>BASE_EQUIPOS!H201</f>
        <v/>
      </c>
      <c r="G201">
        <f>BASE_EQUIPOS!M201</f>
        <v/>
      </c>
      <c r="I201" t="inlineStr">
        <is>
          <t>01/008570</t>
        </is>
      </c>
    </row>
    <row r="202">
      <c r="A202">
        <f>TRIM(BASE_EQUIPOS!N202)</f>
        <v/>
      </c>
      <c r="B202">
        <f>BASE_EQUIPOS!A202</f>
        <v/>
      </c>
      <c r="C202">
        <f>BASE_EQUIPOS!B202</f>
        <v/>
      </c>
      <c r="D202">
        <f>BASE_EQUIPOS!D202</f>
        <v/>
      </c>
      <c r="E202">
        <f>BASE_EQUIPOS!G202</f>
        <v/>
      </c>
      <c r="F202">
        <f>BASE_EQUIPOS!H202</f>
        <v/>
      </c>
      <c r="G202">
        <f>BASE_EQUIPOS!M202</f>
        <v/>
      </c>
      <c r="I202" t="inlineStr">
        <is>
          <t>01/001042</t>
        </is>
      </c>
    </row>
    <row r="203">
      <c r="A203">
        <f>TRIM(BASE_EQUIPOS!N203)</f>
        <v/>
      </c>
      <c r="B203">
        <f>BASE_EQUIPOS!A203</f>
        <v/>
      </c>
      <c r="C203">
        <f>BASE_EQUIPOS!B203</f>
        <v/>
      </c>
      <c r="D203">
        <f>BASE_EQUIPOS!D203</f>
        <v/>
      </c>
      <c r="E203">
        <f>BASE_EQUIPOS!G203</f>
        <v/>
      </c>
      <c r="F203">
        <f>BASE_EQUIPOS!H203</f>
        <v/>
      </c>
      <c r="G203">
        <f>BASE_EQUIPOS!M203</f>
        <v/>
      </c>
      <c r="I203" t="inlineStr">
        <is>
          <t>02/001231</t>
        </is>
      </c>
    </row>
    <row r="204">
      <c r="A204">
        <f>TRIM(BASE_EQUIPOS!N204)</f>
        <v/>
      </c>
      <c r="B204">
        <f>BASE_EQUIPOS!A204</f>
        <v/>
      </c>
      <c r="C204">
        <f>BASE_EQUIPOS!B204</f>
        <v/>
      </c>
      <c r="D204">
        <f>BASE_EQUIPOS!D204</f>
        <v/>
      </c>
      <c r="E204">
        <f>BASE_EQUIPOS!G204</f>
        <v/>
      </c>
      <c r="F204">
        <f>BASE_EQUIPOS!H204</f>
        <v/>
      </c>
      <c r="G204">
        <f>BASE_EQUIPOS!M204</f>
        <v/>
      </c>
      <c r="I204" t="inlineStr">
        <is>
          <t>03/013355</t>
        </is>
      </c>
    </row>
    <row r="205">
      <c r="A205">
        <f>TRIM(BASE_EQUIPOS!N205)</f>
        <v/>
      </c>
      <c r="B205">
        <f>BASE_EQUIPOS!A205</f>
        <v/>
      </c>
      <c r="C205">
        <f>BASE_EQUIPOS!B205</f>
        <v/>
      </c>
      <c r="D205">
        <f>BASE_EQUIPOS!D205</f>
        <v/>
      </c>
      <c r="E205">
        <f>BASE_EQUIPOS!G205</f>
        <v/>
      </c>
      <c r="F205">
        <f>BASE_EQUIPOS!H205</f>
        <v/>
      </c>
      <c r="G205">
        <f>BASE_EQUIPOS!M205</f>
        <v/>
      </c>
      <c r="I205" t="inlineStr">
        <is>
          <t>04/002475</t>
        </is>
      </c>
    </row>
    <row r="206">
      <c r="A206">
        <f>TRIM(BASE_EQUIPOS!N206)</f>
        <v/>
      </c>
      <c r="B206">
        <f>BASE_EQUIPOS!A206</f>
        <v/>
      </c>
      <c r="C206">
        <f>BASE_EQUIPOS!B206</f>
        <v/>
      </c>
      <c r="D206">
        <f>BASE_EQUIPOS!D206</f>
        <v/>
      </c>
      <c r="E206">
        <f>BASE_EQUIPOS!G206</f>
        <v/>
      </c>
      <c r="F206">
        <f>BASE_EQUIPOS!H206</f>
        <v/>
      </c>
      <c r="G206">
        <f>BASE_EQUIPOS!M206</f>
        <v/>
      </c>
      <c r="I206" t="inlineStr">
        <is>
          <t>05/008958</t>
        </is>
      </c>
    </row>
    <row r="207">
      <c r="A207">
        <f>TRIM(BASE_EQUIPOS!N207)</f>
        <v/>
      </c>
      <c r="B207">
        <f>BASE_EQUIPOS!A207</f>
        <v/>
      </c>
      <c r="C207">
        <f>BASE_EQUIPOS!B207</f>
        <v/>
      </c>
      <c r="D207">
        <f>BASE_EQUIPOS!D207</f>
        <v/>
      </c>
      <c r="E207">
        <f>BASE_EQUIPOS!G207</f>
        <v/>
      </c>
      <c r="F207">
        <f>BASE_EQUIPOS!H207</f>
        <v/>
      </c>
      <c r="G207">
        <f>BASE_EQUIPOS!M207</f>
        <v/>
      </c>
      <c r="I207" t="inlineStr">
        <is>
          <t>01/003390</t>
        </is>
      </c>
    </row>
    <row r="208">
      <c r="A208">
        <f>TRIM(BASE_EQUIPOS!N208)</f>
        <v/>
      </c>
      <c r="B208">
        <f>BASE_EQUIPOS!A208</f>
        <v/>
      </c>
      <c r="C208">
        <f>BASE_EQUIPOS!B208</f>
        <v/>
      </c>
      <c r="D208">
        <f>BASE_EQUIPOS!D208</f>
        <v/>
      </c>
      <c r="E208">
        <f>BASE_EQUIPOS!G208</f>
        <v/>
      </c>
      <c r="F208">
        <f>BASE_EQUIPOS!H208</f>
        <v/>
      </c>
      <c r="G208">
        <f>BASE_EQUIPOS!M208</f>
        <v/>
      </c>
      <c r="I208" t="inlineStr">
        <is>
          <t>02/306937</t>
        </is>
      </c>
    </row>
    <row r="209">
      <c r="A209">
        <f>TRIM(BASE_EQUIPOS!N209)</f>
        <v/>
      </c>
      <c r="B209">
        <f>BASE_EQUIPOS!A209</f>
        <v/>
      </c>
      <c r="C209">
        <f>BASE_EQUIPOS!B209</f>
        <v/>
      </c>
      <c r="D209">
        <f>BASE_EQUIPOS!D209</f>
        <v/>
      </c>
      <c r="E209">
        <f>BASE_EQUIPOS!G209</f>
        <v/>
      </c>
      <c r="F209">
        <f>BASE_EQUIPOS!H209</f>
        <v/>
      </c>
      <c r="G209">
        <f>BASE_EQUIPOS!M209</f>
        <v/>
      </c>
      <c r="I209" t="inlineStr">
        <is>
          <t>03/307181</t>
        </is>
      </c>
    </row>
    <row r="210">
      <c r="A210">
        <f>TRIM(BASE_EQUIPOS!N210)</f>
        <v/>
      </c>
      <c r="B210">
        <f>BASE_EQUIPOS!A210</f>
        <v/>
      </c>
      <c r="C210">
        <f>BASE_EQUIPOS!B210</f>
        <v/>
      </c>
      <c r="D210">
        <f>BASE_EQUIPOS!D210</f>
        <v/>
      </c>
      <c r="E210">
        <f>BASE_EQUIPOS!G210</f>
        <v/>
      </c>
      <c r="F210">
        <f>BASE_EQUIPOS!H210</f>
        <v/>
      </c>
      <c r="G210">
        <f>BASE_EQUIPOS!M210</f>
        <v/>
      </c>
      <c r="I210" t="inlineStr">
        <is>
          <t>01/000723</t>
        </is>
      </c>
    </row>
    <row r="211">
      <c r="A211">
        <f>TRIM(BASE_EQUIPOS!N211)</f>
        <v/>
      </c>
      <c r="B211">
        <f>BASE_EQUIPOS!A211</f>
        <v/>
      </c>
      <c r="C211">
        <f>BASE_EQUIPOS!B211</f>
        <v/>
      </c>
      <c r="D211">
        <f>BASE_EQUIPOS!D211</f>
        <v/>
      </c>
      <c r="E211">
        <f>BASE_EQUIPOS!G211</f>
        <v/>
      </c>
      <c r="F211">
        <f>BASE_EQUIPOS!H211</f>
        <v/>
      </c>
      <c r="G211">
        <f>BASE_EQUIPOS!M211</f>
        <v/>
      </c>
      <c r="I211" t="inlineStr">
        <is>
          <t>01/010589</t>
        </is>
      </c>
    </row>
    <row r="212">
      <c r="A212">
        <f>TRIM(BASE_EQUIPOS!N212)</f>
        <v/>
      </c>
      <c r="B212">
        <f>BASE_EQUIPOS!A212</f>
        <v/>
      </c>
      <c r="C212">
        <f>BASE_EQUIPOS!B212</f>
        <v/>
      </c>
      <c r="D212">
        <f>BASE_EQUIPOS!D212</f>
        <v/>
      </c>
      <c r="E212">
        <f>BASE_EQUIPOS!G212</f>
        <v/>
      </c>
      <c r="F212">
        <f>BASE_EQUIPOS!H212</f>
        <v/>
      </c>
      <c r="G212">
        <f>BASE_EQUIPOS!M212</f>
        <v/>
      </c>
      <c r="I212" t="inlineStr">
        <is>
          <t>01/000132</t>
        </is>
      </c>
    </row>
    <row r="213">
      <c r="A213">
        <f>TRIM(BASE_EQUIPOS!N213)</f>
        <v/>
      </c>
      <c r="B213">
        <f>BASE_EQUIPOS!A213</f>
        <v/>
      </c>
      <c r="C213">
        <f>BASE_EQUIPOS!B213</f>
        <v/>
      </c>
      <c r="D213">
        <f>BASE_EQUIPOS!D213</f>
        <v/>
      </c>
      <c r="E213">
        <f>BASE_EQUIPOS!G213</f>
        <v/>
      </c>
      <c r="F213">
        <f>BASE_EQUIPOS!H213</f>
        <v/>
      </c>
      <c r="G213">
        <f>BASE_EQUIPOS!M213</f>
        <v/>
      </c>
      <c r="I213" t="inlineStr">
        <is>
          <t>01/001651</t>
        </is>
      </c>
    </row>
    <row r="214">
      <c r="A214">
        <f>TRIM(BASE_EQUIPOS!N214)</f>
        <v/>
      </c>
      <c r="B214">
        <f>BASE_EQUIPOS!A214</f>
        <v/>
      </c>
      <c r="C214">
        <f>BASE_EQUIPOS!B214</f>
        <v/>
      </c>
      <c r="D214">
        <f>BASE_EQUIPOS!D214</f>
        <v/>
      </c>
      <c r="E214">
        <f>BASE_EQUIPOS!G214</f>
        <v/>
      </c>
      <c r="F214">
        <f>BASE_EQUIPOS!H214</f>
        <v/>
      </c>
      <c r="G214">
        <f>BASE_EQUIPOS!M214</f>
        <v/>
      </c>
      <c r="I214" t="inlineStr">
        <is>
          <t>01/002805</t>
        </is>
      </c>
    </row>
    <row r="215">
      <c r="A215">
        <f>TRIM(BASE_EQUIPOS!N215)</f>
        <v/>
      </c>
      <c r="B215">
        <f>BASE_EQUIPOS!A215</f>
        <v/>
      </c>
      <c r="C215">
        <f>BASE_EQUIPOS!B215</f>
        <v/>
      </c>
      <c r="D215">
        <f>BASE_EQUIPOS!D215</f>
        <v/>
      </c>
      <c r="E215">
        <f>BASE_EQUIPOS!G215</f>
        <v/>
      </c>
      <c r="F215">
        <f>BASE_EQUIPOS!H215</f>
        <v/>
      </c>
      <c r="G215">
        <f>BASE_EQUIPOS!M215</f>
        <v/>
      </c>
      <c r="I215" t="inlineStr">
        <is>
          <t>01/000570</t>
        </is>
      </c>
    </row>
    <row r="216">
      <c r="A216">
        <f>TRIM(BASE_EQUIPOS!N216)</f>
        <v/>
      </c>
      <c r="B216">
        <f>BASE_EQUIPOS!A216</f>
        <v/>
      </c>
      <c r="C216">
        <f>BASE_EQUIPOS!B216</f>
        <v/>
      </c>
      <c r="D216">
        <f>BASE_EQUIPOS!D216</f>
        <v/>
      </c>
      <c r="E216">
        <f>BASE_EQUIPOS!G216</f>
        <v/>
      </c>
      <c r="F216">
        <f>BASE_EQUIPOS!H216</f>
        <v/>
      </c>
      <c r="G216">
        <f>BASE_EQUIPOS!M216</f>
        <v/>
      </c>
      <c r="I216" t="inlineStr">
        <is>
          <t>02/000232</t>
        </is>
      </c>
    </row>
    <row r="217">
      <c r="A217">
        <f>TRIM(BASE_EQUIPOS!N217)</f>
        <v/>
      </c>
      <c r="B217">
        <f>BASE_EQUIPOS!A217</f>
        <v/>
      </c>
      <c r="C217">
        <f>BASE_EQUIPOS!B217</f>
        <v/>
      </c>
      <c r="D217">
        <f>BASE_EQUIPOS!D217</f>
        <v/>
      </c>
      <c r="E217">
        <f>BASE_EQUIPOS!G217</f>
        <v/>
      </c>
      <c r="F217">
        <f>BASE_EQUIPOS!H217</f>
        <v/>
      </c>
      <c r="G217">
        <f>BASE_EQUIPOS!M217</f>
        <v/>
      </c>
      <c r="I217" t="inlineStr">
        <is>
          <t>01/000189</t>
        </is>
      </c>
    </row>
    <row r="218">
      <c r="A218">
        <f>TRIM(BASE_EQUIPOS!N218)</f>
        <v/>
      </c>
      <c r="B218">
        <f>BASE_EQUIPOS!A218</f>
        <v/>
      </c>
      <c r="C218">
        <f>BASE_EQUIPOS!B218</f>
        <v/>
      </c>
      <c r="D218">
        <f>BASE_EQUIPOS!D218</f>
        <v/>
      </c>
      <c r="E218">
        <f>BASE_EQUIPOS!G218</f>
        <v/>
      </c>
      <c r="F218">
        <f>BASE_EQUIPOS!H218</f>
        <v/>
      </c>
      <c r="G218">
        <f>BASE_EQUIPOS!M218</f>
        <v/>
      </c>
      <c r="I218" t="inlineStr">
        <is>
          <t>01/000453</t>
        </is>
      </c>
    </row>
    <row r="219">
      <c r="A219">
        <f>TRIM(BASE_EQUIPOS!N219)</f>
        <v/>
      </c>
      <c r="B219">
        <f>BASE_EQUIPOS!A219</f>
        <v/>
      </c>
      <c r="C219">
        <f>BASE_EQUIPOS!B219</f>
        <v/>
      </c>
      <c r="D219">
        <f>BASE_EQUIPOS!D219</f>
        <v/>
      </c>
      <c r="E219">
        <f>BASE_EQUIPOS!G219</f>
        <v/>
      </c>
      <c r="F219">
        <f>BASE_EQUIPOS!H219</f>
        <v/>
      </c>
      <c r="G219">
        <f>BASE_EQUIPOS!M219</f>
        <v/>
      </c>
      <c r="I219" t="inlineStr">
        <is>
          <t>01/422693</t>
        </is>
      </c>
    </row>
    <row r="220">
      <c r="A220">
        <f>TRIM(BASE_EQUIPOS!N220)</f>
        <v/>
      </c>
      <c r="B220">
        <f>BASE_EQUIPOS!A220</f>
        <v/>
      </c>
      <c r="C220">
        <f>BASE_EQUIPOS!B220</f>
        <v/>
      </c>
      <c r="D220">
        <f>BASE_EQUIPOS!D220</f>
        <v/>
      </c>
      <c r="E220">
        <f>BASE_EQUIPOS!G220</f>
        <v/>
      </c>
      <c r="F220">
        <f>BASE_EQUIPOS!H220</f>
        <v/>
      </c>
      <c r="G220">
        <f>BASE_EQUIPOS!M220</f>
        <v/>
      </c>
      <c r="I220" t="inlineStr">
        <is>
          <t>02/501365</t>
        </is>
      </c>
    </row>
    <row r="221">
      <c r="A221">
        <f>TRIM(BASE_EQUIPOS!N221)</f>
        <v/>
      </c>
      <c r="B221">
        <f>BASE_EQUIPOS!A221</f>
        <v/>
      </c>
      <c r="C221">
        <f>BASE_EQUIPOS!B221</f>
        <v/>
      </c>
      <c r="D221">
        <f>BASE_EQUIPOS!D221</f>
        <v/>
      </c>
      <c r="E221">
        <f>BASE_EQUIPOS!G221</f>
        <v/>
      </c>
      <c r="F221">
        <f>BASE_EQUIPOS!H221</f>
        <v/>
      </c>
      <c r="G221">
        <f>BASE_EQUIPOS!M221</f>
        <v/>
      </c>
      <c r="I221" t="inlineStr">
        <is>
          <t>03/501379</t>
        </is>
      </c>
    </row>
    <row r="222">
      <c r="A222">
        <f>TRIM(BASE_EQUIPOS!N222)</f>
        <v/>
      </c>
      <c r="B222">
        <f>BASE_EQUIPOS!A222</f>
        <v/>
      </c>
      <c r="C222">
        <f>BASE_EQUIPOS!B222</f>
        <v/>
      </c>
      <c r="D222">
        <f>BASE_EQUIPOS!D222</f>
        <v/>
      </c>
      <c r="E222">
        <f>BASE_EQUIPOS!G222</f>
        <v/>
      </c>
      <c r="F222">
        <f>BASE_EQUIPOS!H222</f>
        <v/>
      </c>
      <c r="G222">
        <f>BASE_EQUIPOS!M222</f>
        <v/>
      </c>
      <c r="I222" t="inlineStr">
        <is>
          <t>04/422671</t>
        </is>
      </c>
    </row>
    <row r="223">
      <c r="A223">
        <f>TRIM(BASE_EQUIPOS!N223)</f>
        <v/>
      </c>
      <c r="B223">
        <f>BASE_EQUIPOS!A223</f>
        <v/>
      </c>
      <c r="C223">
        <f>BASE_EQUIPOS!B223</f>
        <v/>
      </c>
      <c r="D223">
        <f>BASE_EQUIPOS!D223</f>
        <v/>
      </c>
      <c r="E223">
        <f>BASE_EQUIPOS!G223</f>
        <v/>
      </c>
      <c r="F223">
        <f>BASE_EQUIPOS!H223</f>
        <v/>
      </c>
      <c r="G223">
        <f>BASE_EQUIPOS!M223</f>
        <v/>
      </c>
      <c r="I223" t="inlineStr">
        <is>
          <t>05/501345</t>
        </is>
      </c>
    </row>
    <row r="224">
      <c r="A224">
        <f>TRIM(BASE_EQUIPOS!N224)</f>
        <v/>
      </c>
      <c r="B224">
        <f>BASE_EQUIPOS!A224</f>
        <v/>
      </c>
      <c r="C224">
        <f>BASE_EQUIPOS!B224</f>
        <v/>
      </c>
      <c r="D224">
        <f>BASE_EQUIPOS!D224</f>
        <v/>
      </c>
      <c r="E224">
        <f>BASE_EQUIPOS!G224</f>
        <v/>
      </c>
      <c r="F224">
        <f>BASE_EQUIPOS!H224</f>
        <v/>
      </c>
      <c r="G224">
        <f>BASE_EQUIPOS!M224</f>
        <v/>
      </c>
      <c r="I224" t="inlineStr">
        <is>
          <t>06/501344</t>
        </is>
      </c>
    </row>
    <row r="225">
      <c r="A225">
        <f>TRIM(BASE_EQUIPOS!N225)</f>
        <v/>
      </c>
      <c r="B225">
        <f>BASE_EQUIPOS!A225</f>
        <v/>
      </c>
      <c r="C225">
        <f>BASE_EQUIPOS!B225</f>
        <v/>
      </c>
      <c r="D225">
        <f>BASE_EQUIPOS!D225</f>
        <v/>
      </c>
      <c r="E225">
        <f>BASE_EQUIPOS!G225</f>
        <v/>
      </c>
      <c r="F225">
        <f>BASE_EQUIPOS!H225</f>
        <v/>
      </c>
      <c r="G225">
        <f>BASE_EQUIPOS!M225</f>
        <v/>
      </c>
      <c r="I225" t="inlineStr">
        <is>
          <t>01/034031</t>
        </is>
      </c>
    </row>
    <row r="226">
      <c r="A226">
        <f>TRIM(BASE_EQUIPOS!N226)</f>
        <v/>
      </c>
      <c r="B226">
        <f>BASE_EQUIPOS!A226</f>
        <v/>
      </c>
      <c r="C226">
        <f>BASE_EQUIPOS!B226</f>
        <v/>
      </c>
      <c r="D226">
        <f>BASE_EQUIPOS!D226</f>
        <v/>
      </c>
      <c r="E226">
        <f>BASE_EQUIPOS!G226</f>
        <v/>
      </c>
      <c r="F226">
        <f>BASE_EQUIPOS!H226</f>
        <v/>
      </c>
      <c r="G226">
        <f>BASE_EQUIPOS!M226</f>
        <v/>
      </c>
      <c r="I226" t="inlineStr">
        <is>
          <t>07/001336</t>
        </is>
      </c>
    </row>
    <row r="227">
      <c r="A227">
        <f>TRIM(BASE_EQUIPOS!N227)</f>
        <v/>
      </c>
      <c r="B227">
        <f>BASE_EQUIPOS!A227</f>
        <v/>
      </c>
      <c r="C227">
        <f>BASE_EQUIPOS!B227</f>
        <v/>
      </c>
      <c r="D227">
        <f>BASE_EQUIPOS!D227</f>
        <v/>
      </c>
      <c r="E227">
        <f>BASE_EQUIPOS!G227</f>
        <v/>
      </c>
      <c r="F227">
        <f>BASE_EQUIPOS!H227</f>
        <v/>
      </c>
      <c r="G227">
        <f>BASE_EQUIPOS!M227</f>
        <v/>
      </c>
      <c r="I227" t="inlineStr">
        <is>
          <t>01/001394</t>
        </is>
      </c>
    </row>
    <row r="228">
      <c r="A228">
        <f>TRIM(BASE_EQUIPOS!N228)</f>
        <v/>
      </c>
      <c r="B228">
        <f>BASE_EQUIPOS!A228</f>
        <v/>
      </c>
      <c r="C228">
        <f>BASE_EQUIPOS!B228</f>
        <v/>
      </c>
      <c r="D228">
        <f>BASE_EQUIPOS!D228</f>
        <v/>
      </c>
      <c r="E228">
        <f>BASE_EQUIPOS!G228</f>
        <v/>
      </c>
      <c r="F228">
        <f>BASE_EQUIPOS!H228</f>
        <v/>
      </c>
      <c r="G228">
        <f>BASE_EQUIPOS!M228</f>
        <v/>
      </c>
      <c r="I228" t="inlineStr">
        <is>
          <t>02/002483</t>
        </is>
      </c>
    </row>
    <row r="229">
      <c r="A229">
        <f>TRIM(BASE_EQUIPOS!N229)</f>
        <v/>
      </c>
      <c r="B229">
        <f>BASE_EQUIPOS!A229</f>
        <v/>
      </c>
      <c r="C229">
        <f>BASE_EQUIPOS!B229</f>
        <v/>
      </c>
      <c r="D229">
        <f>BASE_EQUIPOS!D229</f>
        <v/>
      </c>
      <c r="E229">
        <f>BASE_EQUIPOS!G229</f>
        <v/>
      </c>
      <c r="F229">
        <f>BASE_EQUIPOS!H229</f>
        <v/>
      </c>
      <c r="G229">
        <f>BASE_EQUIPOS!M229</f>
        <v/>
      </c>
      <c r="I229" t="inlineStr">
        <is>
          <t>01/050381</t>
        </is>
      </c>
    </row>
    <row r="230">
      <c r="A230">
        <f>TRIM(BASE_EQUIPOS!N230)</f>
        <v/>
      </c>
      <c r="B230">
        <f>BASE_EQUIPOS!A230</f>
        <v/>
      </c>
      <c r="C230">
        <f>BASE_EQUIPOS!B230</f>
        <v/>
      </c>
      <c r="D230">
        <f>BASE_EQUIPOS!D230</f>
        <v/>
      </c>
      <c r="E230">
        <f>BASE_EQUIPOS!G230</f>
        <v/>
      </c>
      <c r="F230">
        <f>BASE_EQUIPOS!H230</f>
        <v/>
      </c>
      <c r="G230">
        <f>BASE_EQUIPOS!M230</f>
        <v/>
      </c>
      <c r="I230" t="inlineStr">
        <is>
          <t>01/005163</t>
        </is>
      </c>
    </row>
    <row r="231">
      <c r="A231">
        <f>TRIM(BASE_EQUIPOS!N231)</f>
        <v/>
      </c>
      <c r="B231">
        <f>BASE_EQUIPOS!A231</f>
        <v/>
      </c>
      <c r="C231">
        <f>BASE_EQUIPOS!B231</f>
        <v/>
      </c>
      <c r="D231">
        <f>BASE_EQUIPOS!D231</f>
        <v/>
      </c>
      <c r="E231">
        <f>BASE_EQUIPOS!G231</f>
        <v/>
      </c>
      <c r="F231">
        <f>BASE_EQUIPOS!H231</f>
        <v/>
      </c>
      <c r="G231">
        <f>BASE_EQUIPOS!M231</f>
        <v/>
      </c>
      <c r="I231" t="inlineStr">
        <is>
          <t>01/001122</t>
        </is>
      </c>
    </row>
    <row r="232">
      <c r="A232">
        <f>TRIM(BASE_EQUIPOS!N232)</f>
        <v/>
      </c>
      <c r="B232">
        <f>BASE_EQUIPOS!A232</f>
        <v/>
      </c>
      <c r="C232">
        <f>BASE_EQUIPOS!B232</f>
        <v/>
      </c>
      <c r="D232">
        <f>BASE_EQUIPOS!D232</f>
        <v/>
      </c>
      <c r="E232">
        <f>BASE_EQUIPOS!G232</f>
        <v/>
      </c>
      <c r="F232">
        <f>BASE_EQUIPOS!H232</f>
        <v/>
      </c>
      <c r="G232">
        <f>BASE_EQUIPOS!M232</f>
        <v/>
      </c>
      <c r="I232" t="inlineStr">
        <is>
          <t>01/004382</t>
        </is>
      </c>
    </row>
    <row r="233">
      <c r="A233">
        <f>TRIM(BASE_EQUIPOS!N233)</f>
        <v/>
      </c>
      <c r="B233">
        <f>BASE_EQUIPOS!A233</f>
        <v/>
      </c>
      <c r="C233">
        <f>BASE_EQUIPOS!B233</f>
        <v/>
      </c>
      <c r="D233">
        <f>BASE_EQUIPOS!D233</f>
        <v/>
      </c>
      <c r="E233">
        <f>BASE_EQUIPOS!G233</f>
        <v/>
      </c>
      <c r="F233">
        <f>BASE_EQUIPOS!H233</f>
        <v/>
      </c>
      <c r="G233">
        <f>BASE_EQUIPOS!M233</f>
        <v/>
      </c>
      <c r="I233" t="inlineStr">
        <is>
          <t>01/000402</t>
        </is>
      </c>
    </row>
    <row r="234">
      <c r="A234">
        <f>TRIM(BASE_EQUIPOS!N234)</f>
        <v/>
      </c>
      <c r="B234">
        <f>BASE_EQUIPOS!A234</f>
        <v/>
      </c>
      <c r="C234">
        <f>BASE_EQUIPOS!B234</f>
        <v/>
      </c>
      <c r="D234">
        <f>BASE_EQUIPOS!D234</f>
        <v/>
      </c>
      <c r="E234">
        <f>BASE_EQUIPOS!G234</f>
        <v/>
      </c>
      <c r="F234">
        <f>BASE_EQUIPOS!H234</f>
        <v/>
      </c>
      <c r="G234">
        <f>BASE_EQUIPOS!M234</f>
        <v/>
      </c>
      <c r="I234" t="inlineStr">
        <is>
          <t>01/000543</t>
        </is>
      </c>
    </row>
    <row r="235">
      <c r="A235">
        <f>TRIM(BASE_EQUIPOS!N235)</f>
        <v/>
      </c>
      <c r="B235">
        <f>BASE_EQUIPOS!A235</f>
        <v/>
      </c>
      <c r="C235">
        <f>BASE_EQUIPOS!B235</f>
        <v/>
      </c>
      <c r="D235">
        <f>BASE_EQUIPOS!D235</f>
        <v/>
      </c>
      <c r="E235">
        <f>BASE_EQUIPOS!G235</f>
        <v/>
      </c>
      <c r="F235">
        <f>BASE_EQUIPOS!H235</f>
        <v/>
      </c>
      <c r="G235">
        <f>BASE_EQUIPOS!M235</f>
        <v/>
      </c>
      <c r="I235" t="inlineStr">
        <is>
          <t>01/000136</t>
        </is>
      </c>
    </row>
    <row r="236">
      <c r="A236">
        <f>TRIM(BASE_EQUIPOS!N236)</f>
        <v/>
      </c>
      <c r="B236">
        <f>BASE_EQUIPOS!A236</f>
        <v/>
      </c>
      <c r="C236">
        <f>BASE_EQUIPOS!B236</f>
        <v/>
      </c>
      <c r="D236">
        <f>BASE_EQUIPOS!D236</f>
        <v/>
      </c>
      <c r="E236">
        <f>BASE_EQUIPOS!G236</f>
        <v/>
      </c>
      <c r="F236">
        <f>BASE_EQUIPOS!H236</f>
        <v/>
      </c>
      <c r="G236">
        <f>BASE_EQUIPOS!M236</f>
        <v/>
      </c>
      <c r="I236" t="inlineStr">
        <is>
          <t>02/000267</t>
        </is>
      </c>
    </row>
    <row r="237">
      <c r="A237">
        <f>TRIM(BASE_EQUIPOS!N237)</f>
        <v/>
      </c>
      <c r="B237">
        <f>BASE_EQUIPOS!A237</f>
        <v/>
      </c>
      <c r="C237">
        <f>BASE_EQUIPOS!B237</f>
        <v/>
      </c>
      <c r="D237">
        <f>BASE_EQUIPOS!D237</f>
        <v/>
      </c>
      <c r="E237">
        <f>BASE_EQUIPOS!G237</f>
        <v/>
      </c>
      <c r="F237">
        <f>BASE_EQUIPOS!H237</f>
        <v/>
      </c>
      <c r="G237">
        <f>BASE_EQUIPOS!M237</f>
        <v/>
      </c>
      <c r="I237" t="inlineStr">
        <is>
          <t>03/000333</t>
        </is>
      </c>
    </row>
    <row r="238">
      <c r="A238">
        <f>TRIM(BASE_EQUIPOS!N238)</f>
        <v/>
      </c>
      <c r="B238">
        <f>BASE_EQUIPOS!A238</f>
        <v/>
      </c>
      <c r="C238">
        <f>BASE_EQUIPOS!B238</f>
        <v/>
      </c>
      <c r="D238">
        <f>BASE_EQUIPOS!D238</f>
        <v/>
      </c>
      <c r="E238">
        <f>BASE_EQUIPOS!G238</f>
        <v/>
      </c>
      <c r="F238">
        <f>BASE_EQUIPOS!H238</f>
        <v/>
      </c>
      <c r="G238">
        <f>BASE_EQUIPOS!M238</f>
        <v/>
      </c>
      <c r="I238" t="inlineStr">
        <is>
          <t>05/000006</t>
        </is>
      </c>
    </row>
    <row r="239">
      <c r="A239">
        <f>TRIM(BASE_EQUIPOS!N239)</f>
        <v/>
      </c>
      <c r="B239">
        <f>BASE_EQUIPOS!A239</f>
        <v/>
      </c>
      <c r="C239">
        <f>BASE_EQUIPOS!B239</f>
        <v/>
      </c>
      <c r="D239">
        <f>BASE_EQUIPOS!D239</f>
        <v/>
      </c>
      <c r="E239">
        <f>BASE_EQUIPOS!G239</f>
        <v/>
      </c>
      <c r="F239">
        <f>BASE_EQUIPOS!H239</f>
        <v/>
      </c>
      <c r="G239">
        <f>BASE_EQUIPOS!M239</f>
        <v/>
      </c>
      <c r="I239" t="inlineStr">
        <is>
          <t>07/000289</t>
        </is>
      </c>
    </row>
    <row r="240">
      <c r="A240">
        <f>TRIM(BASE_EQUIPOS!N240)</f>
        <v/>
      </c>
      <c r="B240">
        <f>BASE_EQUIPOS!A240</f>
        <v/>
      </c>
      <c r="C240">
        <f>BASE_EQUIPOS!B240</f>
        <v/>
      </c>
      <c r="D240">
        <f>BASE_EQUIPOS!D240</f>
        <v/>
      </c>
      <c r="E240">
        <f>BASE_EQUIPOS!G240</f>
        <v/>
      </c>
      <c r="F240">
        <f>BASE_EQUIPOS!H240</f>
        <v/>
      </c>
      <c r="G240">
        <f>BASE_EQUIPOS!M240</f>
        <v/>
      </c>
      <c r="I240" t="inlineStr">
        <is>
          <t>04/627123</t>
        </is>
      </c>
    </row>
    <row r="241">
      <c r="A241">
        <f>TRIM(BASE_EQUIPOS!N241)</f>
        <v/>
      </c>
      <c r="B241">
        <f>BASE_EQUIPOS!A241</f>
        <v/>
      </c>
      <c r="C241">
        <f>BASE_EQUIPOS!B241</f>
        <v/>
      </c>
      <c r="D241">
        <f>BASE_EQUIPOS!D241</f>
        <v/>
      </c>
      <c r="E241">
        <f>BASE_EQUIPOS!G241</f>
        <v/>
      </c>
      <c r="F241">
        <f>BASE_EQUIPOS!H241</f>
        <v/>
      </c>
      <c r="G241">
        <f>BASE_EQUIPOS!M241</f>
        <v/>
      </c>
      <c r="I241" t="inlineStr">
        <is>
          <t>06/700659</t>
        </is>
      </c>
    </row>
    <row r="242">
      <c r="A242">
        <f>TRIM(BASE_EQUIPOS!N242)</f>
        <v/>
      </c>
      <c r="B242">
        <f>BASE_EQUIPOS!A242</f>
        <v/>
      </c>
      <c r="C242">
        <f>BASE_EQUIPOS!B242</f>
        <v/>
      </c>
      <c r="D242">
        <f>BASE_EQUIPOS!D242</f>
        <v/>
      </c>
      <c r="E242">
        <f>BASE_EQUIPOS!G242</f>
        <v/>
      </c>
      <c r="F242">
        <f>BASE_EQUIPOS!H242</f>
        <v/>
      </c>
      <c r="G242">
        <f>BASE_EQUIPOS!M242</f>
        <v/>
      </c>
      <c r="I242" t="inlineStr">
        <is>
          <t>01/000510</t>
        </is>
      </c>
    </row>
    <row r="243">
      <c r="A243">
        <f>TRIM(BASE_EQUIPOS!N243)</f>
        <v/>
      </c>
      <c r="B243">
        <f>BASE_EQUIPOS!A243</f>
        <v/>
      </c>
      <c r="C243">
        <f>BASE_EQUIPOS!B243</f>
        <v/>
      </c>
      <c r="D243">
        <f>BASE_EQUIPOS!D243</f>
        <v/>
      </c>
      <c r="E243">
        <f>BASE_EQUIPOS!G243</f>
        <v/>
      </c>
      <c r="F243">
        <f>BASE_EQUIPOS!H243</f>
        <v/>
      </c>
      <c r="G243">
        <f>BASE_EQUIPOS!M243</f>
        <v/>
      </c>
      <c r="I243" t="inlineStr">
        <is>
          <t>01/020658</t>
        </is>
      </c>
    </row>
    <row r="244">
      <c r="A244">
        <f>TRIM(BASE_EQUIPOS!N244)</f>
        <v/>
      </c>
      <c r="B244">
        <f>BASE_EQUIPOS!A244</f>
        <v/>
      </c>
      <c r="C244">
        <f>BASE_EQUIPOS!B244</f>
        <v/>
      </c>
      <c r="D244">
        <f>BASE_EQUIPOS!D244</f>
        <v/>
      </c>
      <c r="E244">
        <f>BASE_EQUIPOS!G244</f>
        <v/>
      </c>
      <c r="F244">
        <f>BASE_EQUIPOS!H244</f>
        <v/>
      </c>
      <c r="G244">
        <f>BASE_EQUIPOS!M244</f>
        <v/>
      </c>
      <c r="I244" t="inlineStr">
        <is>
          <t>01/008680</t>
        </is>
      </c>
    </row>
    <row r="245">
      <c r="A245">
        <f>TRIM(BASE_EQUIPOS!N245)</f>
        <v/>
      </c>
      <c r="B245">
        <f>BASE_EQUIPOS!A245</f>
        <v/>
      </c>
      <c r="C245">
        <f>BASE_EQUIPOS!B245</f>
        <v/>
      </c>
      <c r="D245">
        <f>BASE_EQUIPOS!D245</f>
        <v/>
      </c>
      <c r="E245">
        <f>BASE_EQUIPOS!G245</f>
        <v/>
      </c>
      <c r="F245">
        <f>BASE_EQUIPOS!H245</f>
        <v/>
      </c>
      <c r="G245">
        <f>BASE_EQUIPOS!M245</f>
        <v/>
      </c>
      <c r="I245" t="inlineStr">
        <is>
          <t>01/000454</t>
        </is>
      </c>
    </row>
    <row r="246">
      <c r="A246">
        <f>TRIM(BASE_EQUIPOS!N246)</f>
        <v/>
      </c>
      <c r="B246">
        <f>BASE_EQUIPOS!A246</f>
        <v/>
      </c>
      <c r="C246">
        <f>BASE_EQUIPOS!B246</f>
        <v/>
      </c>
      <c r="D246">
        <f>BASE_EQUIPOS!D246</f>
        <v/>
      </c>
      <c r="E246">
        <f>BASE_EQUIPOS!G246</f>
        <v/>
      </c>
      <c r="F246">
        <f>BASE_EQUIPOS!H246</f>
        <v/>
      </c>
      <c r="G246">
        <f>BASE_EQUIPOS!M246</f>
        <v/>
      </c>
      <c r="I246" t="inlineStr">
        <is>
          <t>08 / U-465576</t>
        </is>
      </c>
    </row>
    <row r="247">
      <c r="A247">
        <f>TRIM(BASE_EQUIPOS!N247)</f>
        <v/>
      </c>
      <c r="B247">
        <f>BASE_EQUIPOS!A247</f>
        <v/>
      </c>
      <c r="C247">
        <f>BASE_EQUIPOS!B247</f>
        <v/>
      </c>
      <c r="D247">
        <f>BASE_EQUIPOS!D247</f>
        <v/>
      </c>
      <c r="E247">
        <f>BASE_EQUIPOS!G247</f>
        <v/>
      </c>
      <c r="F247">
        <f>BASE_EQUIPOS!H247</f>
        <v/>
      </c>
      <c r="G247">
        <f>BASE_EQUIPOS!M247</f>
        <v/>
      </c>
      <c r="I247" t="inlineStr">
        <is>
          <t>01/001104</t>
        </is>
      </c>
    </row>
    <row r="248">
      <c r="A248">
        <f>TRIM(BASE_EQUIPOS!N248)</f>
        <v/>
      </c>
      <c r="B248">
        <f>BASE_EQUIPOS!A248</f>
        <v/>
      </c>
      <c r="C248">
        <f>BASE_EQUIPOS!B248</f>
        <v/>
      </c>
      <c r="D248">
        <f>BASE_EQUIPOS!D248</f>
        <v/>
      </c>
      <c r="E248">
        <f>BASE_EQUIPOS!G248</f>
        <v/>
      </c>
      <c r="F248">
        <f>BASE_EQUIPOS!H248</f>
        <v/>
      </c>
      <c r="G248">
        <f>BASE_EQUIPOS!M248</f>
        <v/>
      </c>
      <c r="I248" t="inlineStr">
        <is>
          <t>01/005779</t>
        </is>
      </c>
    </row>
    <row r="249">
      <c r="A249">
        <f>TRIM(BASE_EQUIPOS!N249)</f>
        <v/>
      </c>
      <c r="B249">
        <f>BASE_EQUIPOS!A249</f>
        <v/>
      </c>
      <c r="C249">
        <f>BASE_EQUIPOS!B249</f>
        <v/>
      </c>
      <c r="D249">
        <f>BASE_EQUIPOS!D249</f>
        <v/>
      </c>
      <c r="E249">
        <f>BASE_EQUIPOS!G249</f>
        <v/>
      </c>
      <c r="F249">
        <f>BASE_EQUIPOS!H249</f>
        <v/>
      </c>
      <c r="G249">
        <f>BASE_EQUIPOS!M249</f>
        <v/>
      </c>
      <c r="I249" t="inlineStr">
        <is>
          <t>01/020565</t>
        </is>
      </c>
    </row>
    <row r="250">
      <c r="A250">
        <f>TRIM(BASE_EQUIPOS!N250)</f>
        <v/>
      </c>
      <c r="B250">
        <f>BASE_EQUIPOS!A250</f>
        <v/>
      </c>
      <c r="C250">
        <f>BASE_EQUIPOS!B250</f>
        <v/>
      </c>
      <c r="D250">
        <f>BASE_EQUIPOS!D250</f>
        <v/>
      </c>
      <c r="E250">
        <f>BASE_EQUIPOS!G250</f>
        <v/>
      </c>
      <c r="F250">
        <f>BASE_EQUIPOS!H250</f>
        <v/>
      </c>
      <c r="G250">
        <f>BASE_EQUIPOS!M250</f>
        <v/>
      </c>
      <c r="I250" t="inlineStr">
        <is>
          <t>01/251984</t>
        </is>
      </c>
    </row>
    <row r="251">
      <c r="A251">
        <f>TRIM(BASE_EQUIPOS!N251)</f>
        <v/>
      </c>
      <c r="B251">
        <f>BASE_EQUIPOS!A251</f>
        <v/>
      </c>
      <c r="C251">
        <f>BASE_EQUIPOS!B251</f>
        <v/>
      </c>
      <c r="D251">
        <f>BASE_EQUIPOS!D251</f>
        <v/>
      </c>
      <c r="E251">
        <f>BASE_EQUIPOS!G251</f>
        <v/>
      </c>
      <c r="F251">
        <f>BASE_EQUIPOS!H251</f>
        <v/>
      </c>
      <c r="G251">
        <f>BASE_EQUIPOS!M251</f>
        <v/>
      </c>
      <c r="I251" t="inlineStr">
        <is>
          <t>01/000707</t>
        </is>
      </c>
    </row>
    <row r="252">
      <c r="A252">
        <f>TRIM(BASE_EQUIPOS!N252)</f>
        <v/>
      </c>
      <c r="B252">
        <f>BASE_EQUIPOS!A252</f>
        <v/>
      </c>
      <c r="C252">
        <f>BASE_EQUIPOS!B252</f>
        <v/>
      </c>
      <c r="D252">
        <f>BASE_EQUIPOS!D252</f>
        <v/>
      </c>
      <c r="E252">
        <f>BASE_EQUIPOS!G252</f>
        <v/>
      </c>
      <c r="F252">
        <f>BASE_EQUIPOS!H252</f>
        <v/>
      </c>
      <c r="G252">
        <f>BASE_EQUIPOS!M252</f>
        <v/>
      </c>
      <c r="I252" t="inlineStr">
        <is>
          <t>01/1001005</t>
        </is>
      </c>
    </row>
    <row r="253">
      <c r="A253">
        <f>TRIM(BASE_EQUIPOS!N253)</f>
        <v/>
      </c>
      <c r="B253">
        <f>BASE_EQUIPOS!A253</f>
        <v/>
      </c>
      <c r="C253">
        <f>BASE_EQUIPOS!B253</f>
        <v/>
      </c>
      <c r="D253">
        <f>BASE_EQUIPOS!D253</f>
        <v/>
      </c>
      <c r="E253">
        <f>BASE_EQUIPOS!G253</f>
        <v/>
      </c>
      <c r="F253">
        <f>BASE_EQUIPOS!H253</f>
        <v/>
      </c>
      <c r="G253">
        <f>BASE_EQUIPOS!M253</f>
        <v/>
      </c>
      <c r="I253" t="inlineStr">
        <is>
          <t>1er. PISO / 000670</t>
        </is>
      </c>
    </row>
    <row r="254">
      <c r="A254">
        <f>TRIM(BASE_EQUIPOS!N254)</f>
        <v/>
      </c>
      <c r="B254">
        <f>BASE_EQUIPOS!A254</f>
        <v/>
      </c>
      <c r="C254">
        <f>BASE_EQUIPOS!B254</f>
        <v/>
      </c>
      <c r="D254">
        <f>BASE_EQUIPOS!D254</f>
        <v/>
      </c>
      <c r="E254">
        <f>BASE_EQUIPOS!G254</f>
        <v/>
      </c>
      <c r="F254">
        <f>BASE_EQUIPOS!H254</f>
        <v/>
      </c>
      <c r="G254">
        <f>BASE_EQUIPOS!M254</f>
        <v/>
      </c>
      <c r="I254" t="inlineStr">
        <is>
          <t>1er. PISO / 000719</t>
        </is>
      </c>
    </row>
    <row r="255">
      <c r="A255">
        <f>TRIM(BASE_EQUIPOS!N255)</f>
        <v/>
      </c>
      <c r="B255">
        <f>BASE_EQUIPOS!A255</f>
        <v/>
      </c>
      <c r="C255">
        <f>BASE_EQUIPOS!B255</f>
        <v/>
      </c>
      <c r="D255">
        <f>BASE_EQUIPOS!D255</f>
        <v/>
      </c>
      <c r="E255">
        <f>BASE_EQUIPOS!G255</f>
        <v/>
      </c>
      <c r="F255">
        <f>BASE_EQUIPOS!H255</f>
        <v/>
      </c>
      <c r="G255">
        <f>BASE_EQUIPOS!M255</f>
        <v/>
      </c>
      <c r="I255" t="inlineStr">
        <is>
          <t>1er. PISO / 000801</t>
        </is>
      </c>
    </row>
    <row r="256">
      <c r="A256">
        <f>TRIM(BASE_EQUIPOS!N256)</f>
        <v/>
      </c>
      <c r="B256">
        <f>BASE_EQUIPOS!A256</f>
        <v/>
      </c>
      <c r="C256">
        <f>BASE_EQUIPOS!B256</f>
        <v/>
      </c>
      <c r="D256">
        <f>BASE_EQUIPOS!D256</f>
        <v/>
      </c>
      <c r="E256">
        <f>BASE_EQUIPOS!G256</f>
        <v/>
      </c>
      <c r="F256">
        <f>BASE_EQUIPOS!H256</f>
        <v/>
      </c>
      <c r="G256">
        <f>BASE_EQUIPOS!M256</f>
        <v/>
      </c>
      <c r="I256" t="inlineStr">
        <is>
          <t>1er. PISO / 000388</t>
        </is>
      </c>
    </row>
    <row r="257">
      <c r="A257">
        <f>TRIM(BASE_EQUIPOS!N257)</f>
        <v/>
      </c>
      <c r="B257">
        <f>BASE_EQUIPOS!A257</f>
        <v/>
      </c>
      <c r="C257">
        <f>BASE_EQUIPOS!B257</f>
        <v/>
      </c>
      <c r="D257">
        <f>BASE_EQUIPOS!D257</f>
        <v/>
      </c>
      <c r="E257">
        <f>BASE_EQUIPOS!G257</f>
        <v/>
      </c>
      <c r="F257">
        <f>BASE_EQUIPOS!H257</f>
        <v/>
      </c>
      <c r="G257">
        <f>BASE_EQUIPOS!M257</f>
        <v/>
      </c>
      <c r="I257" t="inlineStr">
        <is>
          <t>2 do. PISO / 000067</t>
        </is>
      </c>
    </row>
    <row r="258">
      <c r="A258">
        <f>TRIM(BASE_EQUIPOS!N258)</f>
        <v/>
      </c>
      <c r="B258">
        <f>BASE_EQUIPOS!A258</f>
        <v/>
      </c>
      <c r="C258">
        <f>BASE_EQUIPOS!B258</f>
        <v/>
      </c>
      <c r="D258">
        <f>BASE_EQUIPOS!D258</f>
        <v/>
      </c>
      <c r="E258">
        <f>BASE_EQUIPOS!G258</f>
        <v/>
      </c>
      <c r="F258">
        <f>BASE_EQUIPOS!H258</f>
        <v/>
      </c>
      <c r="G258">
        <f>BASE_EQUIPOS!M258</f>
        <v/>
      </c>
      <c r="I258" t="inlineStr">
        <is>
          <t>2 do. PISO / 000155</t>
        </is>
      </c>
    </row>
    <row r="259">
      <c r="A259">
        <f>TRIM(BASE_EQUIPOS!N259)</f>
        <v/>
      </c>
      <c r="B259">
        <f>BASE_EQUIPOS!A259</f>
        <v/>
      </c>
      <c r="C259">
        <f>BASE_EQUIPOS!B259</f>
        <v/>
      </c>
      <c r="D259">
        <f>BASE_EQUIPOS!D259</f>
        <v/>
      </c>
      <c r="E259">
        <f>BASE_EQUIPOS!G259</f>
        <v/>
      </c>
      <c r="F259">
        <f>BASE_EQUIPOS!H259</f>
        <v/>
      </c>
      <c r="G259">
        <f>BASE_EQUIPOS!M259</f>
        <v/>
      </c>
      <c r="I259" t="inlineStr">
        <is>
          <t>2 do. PISO / 000286</t>
        </is>
      </c>
    </row>
    <row r="260">
      <c r="A260">
        <f>TRIM(BASE_EQUIPOS!N260)</f>
        <v/>
      </c>
      <c r="B260">
        <f>BASE_EQUIPOS!A260</f>
        <v/>
      </c>
      <c r="C260">
        <f>BASE_EQUIPOS!B260</f>
        <v/>
      </c>
      <c r="D260">
        <f>BASE_EQUIPOS!D260</f>
        <v/>
      </c>
      <c r="E260">
        <f>BASE_EQUIPOS!G260</f>
        <v/>
      </c>
      <c r="F260">
        <f>BASE_EQUIPOS!H260</f>
        <v/>
      </c>
      <c r="G260">
        <f>BASE_EQUIPOS!M260</f>
        <v/>
      </c>
      <c r="I260" t="inlineStr">
        <is>
          <t>2 do. PISO / 001855</t>
        </is>
      </c>
    </row>
    <row r="261">
      <c r="A261">
        <f>TRIM(BASE_EQUIPOS!N261)</f>
        <v/>
      </c>
      <c r="B261">
        <f>BASE_EQUIPOS!A261</f>
        <v/>
      </c>
      <c r="C261">
        <f>BASE_EQUIPOS!B261</f>
        <v/>
      </c>
      <c r="D261">
        <f>BASE_EQUIPOS!D261</f>
        <v/>
      </c>
      <c r="E261">
        <f>BASE_EQUIPOS!G261</f>
        <v/>
      </c>
      <c r="F261">
        <f>BASE_EQUIPOS!H261</f>
        <v/>
      </c>
      <c r="G261">
        <f>BASE_EQUIPOS!M261</f>
        <v/>
      </c>
      <c r="I261" t="inlineStr">
        <is>
          <t>2 do. PISO / 000272</t>
        </is>
      </c>
    </row>
    <row r="262">
      <c r="A262">
        <f>TRIM(BASE_EQUIPOS!N262)</f>
        <v/>
      </c>
      <c r="B262">
        <f>BASE_EQUIPOS!A262</f>
        <v/>
      </c>
      <c r="C262">
        <f>BASE_EQUIPOS!B262</f>
        <v/>
      </c>
      <c r="D262">
        <f>BASE_EQUIPOS!D262</f>
        <v/>
      </c>
      <c r="E262">
        <f>BASE_EQUIPOS!G262</f>
        <v/>
      </c>
      <c r="F262">
        <f>BASE_EQUIPOS!H262</f>
        <v/>
      </c>
      <c r="G262">
        <f>BASE_EQUIPOS!M262</f>
        <v/>
      </c>
      <c r="I262" t="inlineStr">
        <is>
          <t>Sotano/000061</t>
        </is>
      </c>
    </row>
    <row r="263">
      <c r="A263">
        <f>TRIM(BASE_EQUIPOS!N263)</f>
        <v/>
      </c>
      <c r="B263">
        <f>BASE_EQUIPOS!A263</f>
        <v/>
      </c>
      <c r="C263">
        <f>BASE_EQUIPOS!B263</f>
        <v/>
      </c>
      <c r="D263">
        <f>BASE_EQUIPOS!D263</f>
        <v/>
      </c>
      <c r="E263">
        <f>BASE_EQUIPOS!G263</f>
        <v/>
      </c>
      <c r="F263">
        <f>BASE_EQUIPOS!H263</f>
        <v/>
      </c>
      <c r="G263">
        <f>BASE_EQUIPOS!M263</f>
        <v/>
      </c>
      <c r="I263" t="inlineStr">
        <is>
          <t>01/023266</t>
        </is>
      </c>
    </row>
    <row r="264">
      <c r="A264">
        <f>TRIM(BASE_EQUIPOS!N264)</f>
        <v/>
      </c>
      <c r="B264">
        <f>BASE_EQUIPOS!A264</f>
        <v/>
      </c>
      <c r="C264">
        <f>BASE_EQUIPOS!B264</f>
        <v/>
      </c>
      <c r="D264">
        <f>BASE_EQUIPOS!D264</f>
        <v/>
      </c>
      <c r="E264">
        <f>BASE_EQUIPOS!G264</f>
        <v/>
      </c>
      <c r="F264">
        <f>BASE_EQUIPOS!H264</f>
        <v/>
      </c>
      <c r="G264">
        <f>BASE_EQUIPOS!M264</f>
        <v/>
      </c>
      <c r="I264" t="inlineStr">
        <is>
          <t>01/000432</t>
        </is>
      </c>
    </row>
    <row r="265">
      <c r="A265">
        <f>TRIM(BASE_EQUIPOS!N265)</f>
        <v/>
      </c>
      <c r="B265">
        <f>BASE_EQUIPOS!A265</f>
        <v/>
      </c>
      <c r="C265">
        <f>BASE_EQUIPOS!B265</f>
        <v/>
      </c>
      <c r="D265">
        <f>BASE_EQUIPOS!D265</f>
        <v/>
      </c>
      <c r="E265">
        <f>BASE_EQUIPOS!G265</f>
        <v/>
      </c>
      <c r="F265">
        <f>BASE_EQUIPOS!H265</f>
        <v/>
      </c>
      <c r="G265">
        <f>BASE_EQUIPOS!M265</f>
        <v/>
      </c>
      <c r="I265" t="inlineStr">
        <is>
          <t>01/003225</t>
        </is>
      </c>
    </row>
    <row r="266">
      <c r="A266">
        <f>TRIM(BASE_EQUIPOS!N266)</f>
        <v/>
      </c>
      <c r="B266">
        <f>BASE_EQUIPOS!A266</f>
        <v/>
      </c>
      <c r="C266">
        <f>BASE_EQUIPOS!B266</f>
        <v/>
      </c>
      <c r="D266">
        <f>BASE_EQUIPOS!D266</f>
        <v/>
      </c>
      <c r="E266">
        <f>BASE_EQUIPOS!G266</f>
        <v/>
      </c>
      <c r="F266">
        <f>BASE_EQUIPOS!H266</f>
        <v/>
      </c>
      <c r="G266">
        <f>BASE_EQUIPOS!M266</f>
        <v/>
      </c>
      <c r="I266" t="inlineStr">
        <is>
          <t>01/001203</t>
        </is>
      </c>
    </row>
    <row r="267">
      <c r="A267">
        <f>TRIM(BASE_EQUIPOS!N267)</f>
        <v/>
      </c>
      <c r="B267">
        <f>BASE_EQUIPOS!A267</f>
        <v/>
      </c>
      <c r="C267">
        <f>BASE_EQUIPOS!B267</f>
        <v/>
      </c>
      <c r="D267">
        <f>BASE_EQUIPOS!D267</f>
        <v/>
      </c>
      <c r="E267">
        <f>BASE_EQUIPOS!G267</f>
        <v/>
      </c>
      <c r="F267">
        <f>BASE_EQUIPOS!H267</f>
        <v/>
      </c>
      <c r="G267">
        <f>BASE_EQUIPOS!M267</f>
        <v/>
      </c>
      <c r="I267" t="inlineStr">
        <is>
          <t>01/009639</t>
        </is>
      </c>
    </row>
    <row r="268">
      <c r="A268">
        <f>TRIM(BASE_EQUIPOS!N268)</f>
        <v/>
      </c>
      <c r="B268">
        <f>BASE_EQUIPOS!A268</f>
        <v/>
      </c>
      <c r="C268">
        <f>BASE_EQUIPOS!B268</f>
        <v/>
      </c>
      <c r="D268">
        <f>BASE_EQUIPOS!D268</f>
        <v/>
      </c>
      <c r="E268">
        <f>BASE_EQUIPOS!G268</f>
        <v/>
      </c>
      <c r="F268">
        <f>BASE_EQUIPOS!H268</f>
        <v/>
      </c>
      <c r="G268">
        <f>BASE_EQUIPOS!M268</f>
        <v/>
      </c>
      <c r="I268" t="inlineStr">
        <is>
          <t>001155</t>
        </is>
      </c>
    </row>
    <row r="269">
      <c r="A269">
        <f>TRIM(BASE_EQUIPOS!N269)</f>
        <v/>
      </c>
      <c r="B269">
        <f>BASE_EQUIPOS!A269</f>
        <v/>
      </c>
      <c r="C269">
        <f>BASE_EQUIPOS!B269</f>
        <v/>
      </c>
      <c r="D269">
        <f>BASE_EQUIPOS!D269</f>
        <v/>
      </c>
      <c r="E269">
        <f>BASE_EQUIPOS!G269</f>
        <v/>
      </c>
      <c r="F269">
        <f>BASE_EQUIPOS!H269</f>
        <v/>
      </c>
      <c r="G269">
        <f>BASE_EQUIPOS!M269</f>
        <v/>
      </c>
      <c r="I269" t="inlineStr">
        <is>
          <t>002511</t>
        </is>
      </c>
    </row>
    <row r="270">
      <c r="A270">
        <f>TRIM(BASE_EQUIPOS!N270)</f>
        <v/>
      </c>
      <c r="B270">
        <f>BASE_EQUIPOS!A270</f>
        <v/>
      </c>
      <c r="C270">
        <f>BASE_EQUIPOS!B270</f>
        <v/>
      </c>
      <c r="D270">
        <f>BASE_EQUIPOS!D270</f>
        <v/>
      </c>
      <c r="E270">
        <f>BASE_EQUIPOS!G270</f>
        <v/>
      </c>
      <c r="F270">
        <f>BASE_EQUIPOS!H270</f>
        <v/>
      </c>
      <c r="G270">
        <f>BASE_EQUIPOS!M270</f>
        <v/>
      </c>
      <c r="I270" t="inlineStr">
        <is>
          <t>002512</t>
        </is>
      </c>
    </row>
    <row r="271">
      <c r="A271">
        <f>TRIM(BASE_EQUIPOS!N271)</f>
        <v/>
      </c>
      <c r="B271">
        <f>BASE_EQUIPOS!A271</f>
        <v/>
      </c>
      <c r="C271">
        <f>BASE_EQUIPOS!B271</f>
        <v/>
      </c>
      <c r="D271">
        <f>BASE_EQUIPOS!D271</f>
        <v/>
      </c>
      <c r="E271">
        <f>BASE_EQUIPOS!G271</f>
        <v/>
      </c>
      <c r="F271">
        <f>BASE_EQUIPOS!H271</f>
        <v/>
      </c>
      <c r="G271">
        <f>BASE_EQUIPOS!M271</f>
        <v/>
      </c>
      <c r="I271" t="inlineStr">
        <is>
          <t>001017</t>
        </is>
      </c>
    </row>
    <row r="272">
      <c r="A272">
        <f>TRIM(BASE_EQUIPOS!N272)</f>
        <v/>
      </c>
      <c r="B272">
        <f>BASE_EQUIPOS!A272</f>
        <v/>
      </c>
      <c r="C272">
        <f>BASE_EQUIPOS!B272</f>
        <v/>
      </c>
      <c r="D272">
        <f>BASE_EQUIPOS!D272</f>
        <v/>
      </c>
      <c r="E272">
        <f>BASE_EQUIPOS!G272</f>
        <v/>
      </c>
      <c r="F272">
        <f>BASE_EQUIPOS!H272</f>
        <v/>
      </c>
      <c r="G272">
        <f>BASE_EQUIPOS!M272</f>
        <v/>
      </c>
      <c r="I272" t="inlineStr">
        <is>
          <t>115747</t>
        </is>
      </c>
    </row>
    <row r="273">
      <c r="A273">
        <f>TRIM(BASE_EQUIPOS!N273)</f>
        <v/>
      </c>
      <c r="B273">
        <f>BASE_EQUIPOS!A273</f>
        <v/>
      </c>
      <c r="C273">
        <f>BASE_EQUIPOS!B273</f>
        <v/>
      </c>
      <c r="D273">
        <f>BASE_EQUIPOS!D273</f>
        <v/>
      </c>
      <c r="E273">
        <f>BASE_EQUIPOS!G273</f>
        <v/>
      </c>
      <c r="F273">
        <f>BASE_EQUIPOS!H273</f>
        <v/>
      </c>
      <c r="G273">
        <f>BASE_EQUIPOS!M273</f>
        <v/>
      </c>
      <c r="I273" t="inlineStr">
        <is>
          <t>000009</t>
        </is>
      </c>
    </row>
    <row r="274">
      <c r="A274">
        <f>TRIM(BASE_EQUIPOS!N274)</f>
        <v/>
      </c>
      <c r="B274">
        <f>BASE_EQUIPOS!A274</f>
        <v/>
      </c>
      <c r="C274">
        <f>BASE_EQUIPOS!B274</f>
        <v/>
      </c>
      <c r="D274">
        <f>BASE_EQUIPOS!D274</f>
        <v/>
      </c>
      <c r="E274">
        <f>BASE_EQUIPOS!G274</f>
        <v/>
      </c>
      <c r="F274">
        <f>BASE_EQUIPOS!H274</f>
        <v/>
      </c>
      <c r="G274">
        <f>BASE_EQUIPOS!M274</f>
        <v/>
      </c>
      <c r="I274" t="inlineStr">
        <is>
          <t>005695</t>
        </is>
      </c>
    </row>
    <row r="275">
      <c r="A275">
        <f>TRIM(BASE_EQUIPOS!N275)</f>
        <v/>
      </c>
      <c r="B275">
        <f>BASE_EQUIPOS!A275</f>
        <v/>
      </c>
      <c r="C275">
        <f>BASE_EQUIPOS!B275</f>
        <v/>
      </c>
      <c r="D275">
        <f>BASE_EQUIPOS!D275</f>
        <v/>
      </c>
      <c r="E275">
        <f>BASE_EQUIPOS!G275</f>
        <v/>
      </c>
      <c r="F275">
        <f>BASE_EQUIPOS!H275</f>
        <v/>
      </c>
      <c r="G275">
        <f>BASE_EQUIPOS!M275</f>
        <v/>
      </c>
      <c r="I275" t="inlineStr">
        <is>
          <t>020936</t>
        </is>
      </c>
    </row>
    <row r="276">
      <c r="A276">
        <f>TRIM(BASE_EQUIPOS!N276)</f>
        <v/>
      </c>
      <c r="B276">
        <f>BASE_EQUIPOS!A276</f>
        <v/>
      </c>
      <c r="C276">
        <f>BASE_EQUIPOS!B276</f>
        <v/>
      </c>
      <c r="D276">
        <f>BASE_EQUIPOS!D276</f>
        <v/>
      </c>
      <c r="E276">
        <f>BASE_EQUIPOS!G276</f>
        <v/>
      </c>
      <c r="F276">
        <f>BASE_EQUIPOS!H276</f>
        <v/>
      </c>
      <c r="G276">
        <f>BASE_EQUIPOS!M276</f>
        <v/>
      </c>
      <c r="I276" t="inlineStr">
        <is>
          <t>000442</t>
        </is>
      </c>
    </row>
    <row r="277">
      <c r="A277">
        <f>TRIM(BASE_EQUIPOS!N277)</f>
        <v/>
      </c>
      <c r="B277">
        <f>BASE_EQUIPOS!A277</f>
        <v/>
      </c>
      <c r="C277">
        <f>BASE_EQUIPOS!B277</f>
        <v/>
      </c>
      <c r="D277">
        <f>BASE_EQUIPOS!D277</f>
        <v/>
      </c>
      <c r="E277">
        <f>BASE_EQUIPOS!G277</f>
        <v/>
      </c>
      <c r="F277">
        <f>BASE_EQUIPOS!H277</f>
        <v/>
      </c>
      <c r="G277">
        <f>BASE_EQUIPOS!M277</f>
        <v/>
      </c>
      <c r="I277" t="inlineStr">
        <is>
          <t>000643</t>
        </is>
      </c>
    </row>
    <row r="278">
      <c r="A278">
        <f>TRIM(BASE_EQUIPOS!N278)</f>
        <v/>
      </c>
      <c r="B278">
        <f>BASE_EQUIPOS!A278</f>
        <v/>
      </c>
      <c r="C278">
        <f>BASE_EQUIPOS!B278</f>
        <v/>
      </c>
      <c r="D278">
        <f>BASE_EQUIPOS!D278</f>
        <v/>
      </c>
      <c r="E278">
        <f>BASE_EQUIPOS!G278</f>
        <v/>
      </c>
      <c r="F278">
        <f>BASE_EQUIPOS!H278</f>
        <v/>
      </c>
      <c r="G278">
        <f>BASE_EQUIPOS!M278</f>
        <v/>
      </c>
      <c r="I278" t="inlineStr">
        <is>
          <t>01 / 000855</t>
        </is>
      </c>
    </row>
    <row r="279">
      <c r="A279">
        <f>TRIM(BASE_EQUIPOS!N279)</f>
        <v/>
      </c>
      <c r="B279">
        <f>BASE_EQUIPOS!A279</f>
        <v/>
      </c>
      <c r="C279">
        <f>BASE_EQUIPOS!B279</f>
        <v/>
      </c>
      <c r="D279">
        <f>BASE_EQUIPOS!D279</f>
        <v/>
      </c>
      <c r="E279">
        <f>BASE_EQUIPOS!G279</f>
        <v/>
      </c>
      <c r="F279">
        <f>BASE_EQUIPOS!H279</f>
        <v/>
      </c>
      <c r="G279">
        <f>BASE_EQUIPOS!M279</f>
        <v/>
      </c>
      <c r="I279" t="inlineStr">
        <is>
          <t>02 / 143097</t>
        </is>
      </c>
    </row>
    <row r="280">
      <c r="A280">
        <f>TRIM(BASE_EQUIPOS!N280)</f>
        <v/>
      </c>
      <c r="B280">
        <f>BASE_EQUIPOS!A280</f>
        <v/>
      </c>
      <c r="C280">
        <f>BASE_EQUIPOS!B280</f>
        <v/>
      </c>
      <c r="D280">
        <f>BASE_EQUIPOS!D280</f>
        <v/>
      </c>
      <c r="E280">
        <f>BASE_EQUIPOS!G280</f>
        <v/>
      </c>
      <c r="F280">
        <f>BASE_EQUIPOS!H280</f>
        <v/>
      </c>
      <c r="G280">
        <f>BASE_EQUIPOS!M280</f>
        <v/>
      </c>
      <c r="I280" t="inlineStr">
        <is>
          <t>01 / 000582</t>
        </is>
      </c>
    </row>
    <row r="281">
      <c r="A281">
        <f>TRIM(BASE_EQUIPOS!N281)</f>
        <v/>
      </c>
      <c r="B281">
        <f>BASE_EQUIPOS!A281</f>
        <v/>
      </c>
      <c r="C281">
        <f>BASE_EQUIPOS!B281</f>
        <v/>
      </c>
      <c r="D281">
        <f>BASE_EQUIPOS!D281</f>
        <v/>
      </c>
      <c r="E281">
        <f>BASE_EQUIPOS!G281</f>
        <v/>
      </c>
      <c r="F281">
        <f>BASE_EQUIPOS!H281</f>
        <v/>
      </c>
      <c r="G281">
        <f>BASE_EQUIPOS!M281</f>
        <v/>
      </c>
      <c r="I281" t="inlineStr">
        <is>
          <t>000608</t>
        </is>
      </c>
    </row>
    <row r="282">
      <c r="A282">
        <f>TRIM(BASE_EQUIPOS!N282)</f>
        <v/>
      </c>
      <c r="B282">
        <f>BASE_EQUIPOS!A282</f>
        <v/>
      </c>
      <c r="C282">
        <f>BASE_EQUIPOS!B282</f>
        <v/>
      </c>
      <c r="D282">
        <f>BASE_EQUIPOS!D282</f>
        <v/>
      </c>
      <c r="E282">
        <f>BASE_EQUIPOS!G282</f>
        <v/>
      </c>
      <c r="F282">
        <f>BASE_EQUIPOS!H282</f>
        <v/>
      </c>
      <c r="G282">
        <f>BASE_EQUIPOS!M282</f>
        <v/>
      </c>
      <c r="I282" t="inlineStr">
        <is>
          <t>001164</t>
        </is>
      </c>
    </row>
    <row r="283">
      <c r="A283">
        <f>TRIM(BASE_EQUIPOS!N283)</f>
        <v/>
      </c>
      <c r="B283">
        <f>BASE_EQUIPOS!A283</f>
        <v/>
      </c>
      <c r="C283">
        <f>BASE_EQUIPOS!B283</f>
        <v/>
      </c>
      <c r="D283">
        <f>BASE_EQUIPOS!D283</f>
        <v/>
      </c>
      <c r="E283">
        <f>BASE_EQUIPOS!G283</f>
        <v/>
      </c>
      <c r="F283">
        <f>BASE_EQUIPOS!H283</f>
        <v/>
      </c>
      <c r="G283">
        <f>BASE_EQUIPOS!M283</f>
        <v/>
      </c>
      <c r="I283" t="inlineStr">
        <is>
          <t>000152</t>
        </is>
      </c>
    </row>
    <row r="284">
      <c r="A284">
        <f>TRIM(BASE_EQUIPOS!N284)</f>
        <v/>
      </c>
      <c r="B284">
        <f>BASE_EQUIPOS!A284</f>
        <v/>
      </c>
      <c r="C284">
        <f>BASE_EQUIPOS!B284</f>
        <v/>
      </c>
      <c r="D284">
        <f>BASE_EQUIPOS!D284</f>
        <v/>
      </c>
      <c r="E284">
        <f>BASE_EQUIPOS!G284</f>
        <v/>
      </c>
      <c r="F284">
        <f>BASE_EQUIPOS!H284</f>
        <v/>
      </c>
      <c r="G284">
        <f>BASE_EQUIPOS!M284</f>
        <v/>
      </c>
      <c r="I284" t="inlineStr">
        <is>
          <t>006495</t>
        </is>
      </c>
    </row>
    <row r="285">
      <c r="A285">
        <f>TRIM(BASE_EQUIPOS!N285)</f>
        <v/>
      </c>
      <c r="B285">
        <f>BASE_EQUIPOS!A285</f>
        <v/>
      </c>
      <c r="C285">
        <f>BASE_EQUIPOS!B285</f>
        <v/>
      </c>
      <c r="D285">
        <f>BASE_EQUIPOS!D285</f>
        <v/>
      </c>
      <c r="E285">
        <f>BASE_EQUIPOS!G285</f>
        <v/>
      </c>
      <c r="F285">
        <f>BASE_EQUIPOS!H285</f>
        <v/>
      </c>
      <c r="G285">
        <f>BASE_EQUIPOS!M285</f>
        <v/>
      </c>
      <c r="I285" t="inlineStr">
        <is>
          <t>000431</t>
        </is>
      </c>
    </row>
    <row r="286">
      <c r="A286">
        <f>TRIM(BASE_EQUIPOS!N286)</f>
        <v/>
      </c>
      <c r="B286">
        <f>BASE_EQUIPOS!A286</f>
        <v/>
      </c>
      <c r="C286">
        <f>BASE_EQUIPOS!B286</f>
        <v/>
      </c>
      <c r="D286">
        <f>BASE_EQUIPOS!D286</f>
        <v/>
      </c>
      <c r="E286">
        <f>BASE_EQUIPOS!G286</f>
        <v/>
      </c>
      <c r="F286">
        <f>BASE_EQUIPOS!H286</f>
        <v/>
      </c>
      <c r="G286">
        <f>BASE_EQUIPOS!M286</f>
        <v/>
      </c>
      <c r="I286" t="inlineStr">
        <is>
          <t>000262</t>
        </is>
      </c>
    </row>
    <row r="287">
      <c r="A287">
        <f>TRIM(BASE_EQUIPOS!N287)</f>
        <v/>
      </c>
      <c r="B287">
        <f>BASE_EQUIPOS!A287</f>
        <v/>
      </c>
      <c r="C287">
        <f>BASE_EQUIPOS!B287</f>
        <v/>
      </c>
      <c r="D287">
        <f>BASE_EQUIPOS!D287</f>
        <v/>
      </c>
      <c r="E287">
        <f>BASE_EQUIPOS!G287</f>
        <v/>
      </c>
      <c r="F287">
        <f>BASE_EQUIPOS!H287</f>
        <v/>
      </c>
      <c r="G287">
        <f>BASE_EQUIPOS!M287</f>
        <v/>
      </c>
      <c r="I287" t="inlineStr">
        <is>
          <t>003501</t>
        </is>
      </c>
    </row>
    <row r="288">
      <c r="A288">
        <f>TRIM(BASE_EQUIPOS!N288)</f>
        <v/>
      </c>
      <c r="B288">
        <f>BASE_EQUIPOS!A288</f>
        <v/>
      </c>
      <c r="C288">
        <f>BASE_EQUIPOS!B288</f>
        <v/>
      </c>
      <c r="D288">
        <f>BASE_EQUIPOS!D288</f>
        <v/>
      </c>
      <c r="E288">
        <f>BASE_EQUIPOS!G288</f>
        <v/>
      </c>
      <c r="F288">
        <f>BASE_EQUIPOS!H288</f>
        <v/>
      </c>
      <c r="G288">
        <f>BASE_EQUIPOS!M288</f>
        <v/>
      </c>
      <c r="I288" t="inlineStr">
        <is>
          <t>208102</t>
        </is>
      </c>
    </row>
    <row r="289">
      <c r="A289">
        <f>TRIM(BASE_EQUIPOS!N289)</f>
        <v/>
      </c>
      <c r="B289">
        <f>BASE_EQUIPOS!A289</f>
        <v/>
      </c>
      <c r="C289">
        <f>BASE_EQUIPOS!B289</f>
        <v/>
      </c>
      <c r="D289">
        <f>BASE_EQUIPOS!D289</f>
        <v/>
      </c>
      <c r="E289">
        <f>BASE_EQUIPOS!G289</f>
        <v/>
      </c>
      <c r="F289">
        <f>BASE_EQUIPOS!H289</f>
        <v/>
      </c>
      <c r="G289">
        <f>BASE_EQUIPOS!M289</f>
        <v/>
      </c>
      <c r="I289" t="inlineStr">
        <is>
          <t>223051</t>
        </is>
      </c>
    </row>
    <row r="290">
      <c r="A290">
        <f>TRIM(BASE_EQUIPOS!N290)</f>
        <v/>
      </c>
      <c r="B290">
        <f>BASE_EQUIPOS!A290</f>
        <v/>
      </c>
      <c r="C290">
        <f>BASE_EQUIPOS!B290</f>
        <v/>
      </c>
      <c r="D290">
        <f>BASE_EQUIPOS!D290</f>
        <v/>
      </c>
      <c r="E290">
        <f>BASE_EQUIPOS!G290</f>
        <v/>
      </c>
      <c r="F290">
        <f>BASE_EQUIPOS!H290</f>
        <v/>
      </c>
      <c r="G290">
        <f>BASE_EQUIPOS!M290</f>
        <v/>
      </c>
      <c r="I290" t="inlineStr">
        <is>
          <t>001844</t>
        </is>
      </c>
    </row>
    <row r="291">
      <c r="A291">
        <f>TRIM(BASE_EQUIPOS!N291)</f>
        <v/>
      </c>
      <c r="B291">
        <f>BASE_EQUIPOS!A291</f>
        <v/>
      </c>
      <c r="C291">
        <f>BASE_EQUIPOS!B291</f>
        <v/>
      </c>
      <c r="D291">
        <f>BASE_EQUIPOS!D291</f>
        <v/>
      </c>
      <c r="E291">
        <f>BASE_EQUIPOS!G291</f>
        <v/>
      </c>
      <c r="F291">
        <f>BASE_EQUIPOS!H291</f>
        <v/>
      </c>
      <c r="G291">
        <f>BASE_EQUIPOS!M291</f>
        <v/>
      </c>
      <c r="I291" t="inlineStr">
        <is>
          <t>B06338358</t>
        </is>
      </c>
    </row>
    <row r="292">
      <c r="A292">
        <f>TRIM(BASE_EQUIPOS!N292)</f>
        <v/>
      </c>
      <c r="B292">
        <f>BASE_EQUIPOS!A292</f>
        <v/>
      </c>
      <c r="C292">
        <f>BASE_EQUIPOS!B292</f>
        <v/>
      </c>
      <c r="D292">
        <f>BASE_EQUIPOS!D292</f>
        <v/>
      </c>
      <c r="E292">
        <f>BASE_EQUIPOS!G292</f>
        <v/>
      </c>
      <c r="F292">
        <f>BASE_EQUIPOS!H292</f>
        <v/>
      </c>
      <c r="G292">
        <f>BASE_EQUIPOS!M292</f>
        <v/>
      </c>
      <c r="I292" t="inlineStr">
        <is>
          <t>B06338566</t>
        </is>
      </c>
    </row>
    <row r="293">
      <c r="A293">
        <f>TRIM(BASE_EQUIPOS!N293)</f>
        <v/>
      </c>
      <c r="B293">
        <f>BASE_EQUIPOS!A293</f>
        <v/>
      </c>
      <c r="C293">
        <f>BASE_EQUIPOS!B293</f>
        <v/>
      </c>
      <c r="D293">
        <f>BASE_EQUIPOS!D293</f>
        <v/>
      </c>
      <c r="E293">
        <f>BASE_EQUIPOS!G293</f>
        <v/>
      </c>
      <c r="F293">
        <f>BASE_EQUIPOS!H293</f>
        <v/>
      </c>
      <c r="G293">
        <f>BASE_EQUIPOS!M293</f>
        <v/>
      </c>
      <c r="I293" t="inlineStr">
        <is>
          <t>444323</t>
        </is>
      </c>
    </row>
    <row r="294">
      <c r="A294">
        <f>TRIM(BASE_EQUIPOS!N294)</f>
        <v/>
      </c>
      <c r="B294">
        <f>BASE_EQUIPOS!A294</f>
        <v/>
      </c>
      <c r="C294">
        <f>BASE_EQUIPOS!B294</f>
        <v/>
      </c>
      <c r="D294">
        <f>BASE_EQUIPOS!D294</f>
        <v/>
      </c>
      <c r="E294">
        <f>BASE_EQUIPOS!G294</f>
        <v/>
      </c>
      <c r="F294">
        <f>BASE_EQUIPOS!H294</f>
        <v/>
      </c>
      <c r="G294">
        <f>BASE_EQUIPOS!M294</f>
        <v/>
      </c>
      <c r="I294" t="inlineStr">
        <is>
          <t>000434</t>
        </is>
      </c>
    </row>
    <row r="295">
      <c r="A295">
        <f>TRIM(BASE_EQUIPOS!N295)</f>
        <v/>
      </c>
      <c r="B295">
        <f>BASE_EQUIPOS!A295</f>
        <v/>
      </c>
      <c r="C295">
        <f>BASE_EQUIPOS!B295</f>
        <v/>
      </c>
      <c r="D295">
        <f>BASE_EQUIPOS!D295</f>
        <v/>
      </c>
      <c r="E295">
        <f>BASE_EQUIPOS!G295</f>
        <v/>
      </c>
      <c r="F295">
        <f>BASE_EQUIPOS!H295</f>
        <v/>
      </c>
      <c r="G295">
        <f>BASE_EQUIPOS!M295</f>
        <v/>
      </c>
      <c r="I295" t="inlineStr">
        <is>
          <t>402127</t>
        </is>
      </c>
    </row>
    <row r="296">
      <c r="A296">
        <f>TRIM(BASE_EQUIPOS!N296)</f>
        <v/>
      </c>
      <c r="B296">
        <f>BASE_EQUIPOS!A296</f>
        <v/>
      </c>
      <c r="C296">
        <f>BASE_EQUIPOS!B296</f>
        <v/>
      </c>
      <c r="D296">
        <f>BASE_EQUIPOS!D296</f>
        <v/>
      </c>
      <c r="E296">
        <f>BASE_EQUIPOS!G296</f>
        <v/>
      </c>
      <c r="F296">
        <f>BASE_EQUIPOS!H296</f>
        <v/>
      </c>
      <c r="G296">
        <f>BASE_EQUIPOS!M296</f>
        <v/>
      </c>
      <c r="I296" t="inlineStr">
        <is>
          <t>000002</t>
        </is>
      </c>
    </row>
    <row r="297">
      <c r="A297">
        <f>TRIM(BASE_EQUIPOS!N297)</f>
        <v/>
      </c>
      <c r="B297">
        <f>BASE_EQUIPOS!A297</f>
        <v/>
      </c>
      <c r="C297">
        <f>BASE_EQUIPOS!B297</f>
        <v/>
      </c>
      <c r="D297">
        <f>BASE_EQUIPOS!D297</f>
        <v/>
      </c>
      <c r="E297">
        <f>BASE_EQUIPOS!G297</f>
        <v/>
      </c>
      <c r="F297">
        <f>BASE_EQUIPOS!H297</f>
        <v/>
      </c>
      <c r="G297">
        <f>BASE_EQUIPOS!M297</f>
        <v/>
      </c>
      <c r="I297" t="inlineStr">
        <is>
          <t>000456</t>
        </is>
      </c>
    </row>
    <row r="298">
      <c r="A298">
        <f>TRIM(BASE_EQUIPOS!N298)</f>
        <v/>
      </c>
      <c r="B298">
        <f>BASE_EQUIPOS!A298</f>
        <v/>
      </c>
      <c r="C298">
        <f>BASE_EQUIPOS!B298</f>
        <v/>
      </c>
      <c r="D298">
        <f>BASE_EQUIPOS!D298</f>
        <v/>
      </c>
      <c r="E298">
        <f>BASE_EQUIPOS!G298</f>
        <v/>
      </c>
      <c r="F298">
        <f>BASE_EQUIPOS!H298</f>
        <v/>
      </c>
      <c r="G298">
        <f>BASE_EQUIPOS!M298</f>
        <v/>
      </c>
      <c r="I298" t="inlineStr">
        <is>
          <t>001360</t>
        </is>
      </c>
    </row>
    <row r="299">
      <c r="A299">
        <f>TRIM(BASE_EQUIPOS!N299)</f>
        <v/>
      </c>
      <c r="B299">
        <f>BASE_EQUIPOS!A299</f>
        <v/>
      </c>
      <c r="C299">
        <f>BASE_EQUIPOS!B299</f>
        <v/>
      </c>
      <c r="D299">
        <f>BASE_EQUIPOS!D299</f>
        <v/>
      </c>
      <c r="E299">
        <f>BASE_EQUIPOS!G299</f>
        <v/>
      </c>
      <c r="F299">
        <f>BASE_EQUIPOS!H299</f>
        <v/>
      </c>
      <c r="G299">
        <f>BASE_EQUIPOS!M299</f>
        <v/>
      </c>
      <c r="I299" t="inlineStr">
        <is>
          <t>001035</t>
        </is>
      </c>
    </row>
    <row r="300">
      <c r="A300">
        <f>TRIM(BASE_EQUIPOS!N300)</f>
        <v/>
      </c>
      <c r="B300">
        <f>BASE_EQUIPOS!A300</f>
        <v/>
      </c>
      <c r="C300">
        <f>BASE_EQUIPOS!B300</f>
        <v/>
      </c>
      <c r="D300">
        <f>BASE_EQUIPOS!D300</f>
        <v/>
      </c>
      <c r="E300">
        <f>BASE_EQUIPOS!G300</f>
        <v/>
      </c>
      <c r="F300">
        <f>BASE_EQUIPOS!H300</f>
        <v/>
      </c>
      <c r="G300">
        <f>BASE_EQUIPOS!M300</f>
        <v/>
      </c>
      <c r="I300" t="inlineStr">
        <is>
          <t>455135</t>
        </is>
      </c>
    </row>
    <row r="301">
      <c r="A301">
        <f>TRIM(BASE_EQUIPOS!N301)</f>
        <v/>
      </c>
      <c r="B301">
        <f>BASE_EQUIPOS!A301</f>
        <v/>
      </c>
      <c r="C301">
        <f>BASE_EQUIPOS!B301</f>
        <v/>
      </c>
      <c r="D301">
        <f>BASE_EQUIPOS!D301</f>
        <v/>
      </c>
      <c r="E301">
        <f>BASE_EQUIPOS!G301</f>
        <v/>
      </c>
      <c r="F301">
        <f>BASE_EQUIPOS!H301</f>
        <v/>
      </c>
      <c r="G301">
        <f>BASE_EQUIPOS!M301</f>
        <v/>
      </c>
      <c r="I301" t="inlineStr">
        <is>
          <t>008839</t>
        </is>
      </c>
    </row>
    <row r="302">
      <c r="A302">
        <f>TRIM(BASE_EQUIPOS!N302)</f>
        <v/>
      </c>
      <c r="B302">
        <f>BASE_EQUIPOS!A302</f>
        <v/>
      </c>
      <c r="C302">
        <f>BASE_EQUIPOS!B302</f>
        <v/>
      </c>
      <c r="D302">
        <f>BASE_EQUIPOS!D302</f>
        <v/>
      </c>
      <c r="E302">
        <f>BASE_EQUIPOS!G302</f>
        <v/>
      </c>
      <c r="F302">
        <f>BASE_EQUIPOS!H302</f>
        <v/>
      </c>
      <c r="G302">
        <f>BASE_EQUIPOS!M302</f>
        <v/>
      </c>
      <c r="I302" t="inlineStr">
        <is>
          <t>002702</t>
        </is>
      </c>
    </row>
    <row r="303">
      <c r="A303">
        <f>TRIM(BASE_EQUIPOS!N303)</f>
        <v/>
      </c>
      <c r="B303">
        <f>BASE_EQUIPOS!A303</f>
        <v/>
      </c>
      <c r="C303">
        <f>BASE_EQUIPOS!B303</f>
        <v/>
      </c>
      <c r="D303">
        <f>BASE_EQUIPOS!D303</f>
        <v/>
      </c>
      <c r="E303">
        <f>BASE_EQUIPOS!G303</f>
        <v/>
      </c>
      <c r="F303">
        <f>BASE_EQUIPOS!H303</f>
        <v/>
      </c>
      <c r="G303">
        <f>BASE_EQUIPOS!M303</f>
        <v/>
      </c>
      <c r="I303" t="inlineStr">
        <is>
          <t>000207</t>
        </is>
      </c>
    </row>
    <row r="304">
      <c r="A304">
        <f>TRIM(BASE_EQUIPOS!N304)</f>
        <v/>
      </c>
      <c r="B304">
        <f>BASE_EQUIPOS!A304</f>
        <v/>
      </c>
      <c r="C304">
        <f>BASE_EQUIPOS!B304</f>
        <v/>
      </c>
      <c r="D304">
        <f>BASE_EQUIPOS!D304</f>
        <v/>
      </c>
      <c r="E304">
        <f>BASE_EQUIPOS!G304</f>
        <v/>
      </c>
      <c r="F304">
        <f>BASE_EQUIPOS!H304</f>
        <v/>
      </c>
      <c r="G304">
        <f>BASE_EQUIPOS!M304</f>
        <v/>
      </c>
      <c r="I304" t="inlineStr">
        <is>
          <t>000557</t>
        </is>
      </c>
    </row>
    <row r="305">
      <c r="A305">
        <f>TRIM(BASE_EQUIPOS!N305)</f>
        <v/>
      </c>
      <c r="B305">
        <f>BASE_EQUIPOS!A305</f>
        <v/>
      </c>
      <c r="C305">
        <f>BASE_EQUIPOS!B305</f>
        <v/>
      </c>
      <c r="D305">
        <f>BASE_EQUIPOS!D305</f>
        <v/>
      </c>
      <c r="E305">
        <f>BASE_EQUIPOS!G305</f>
        <v/>
      </c>
      <c r="F305">
        <f>BASE_EQUIPOS!H305</f>
        <v/>
      </c>
      <c r="G305">
        <f>BASE_EQUIPOS!M305</f>
        <v/>
      </c>
      <c r="I305" t="inlineStr">
        <is>
          <t>000520</t>
        </is>
      </c>
    </row>
    <row r="306">
      <c r="A306">
        <f>TRIM(BASE_EQUIPOS!N306)</f>
        <v/>
      </c>
      <c r="B306">
        <f>BASE_EQUIPOS!A306</f>
        <v/>
      </c>
      <c r="C306">
        <f>BASE_EQUIPOS!B306</f>
        <v/>
      </c>
      <c r="D306">
        <f>BASE_EQUIPOS!D306</f>
        <v/>
      </c>
      <c r="E306">
        <f>BASE_EQUIPOS!G306</f>
        <v/>
      </c>
      <c r="F306">
        <f>BASE_EQUIPOS!H306</f>
        <v/>
      </c>
      <c r="G306">
        <f>BASE_EQUIPOS!M306</f>
        <v/>
      </c>
      <c r="I306" t="inlineStr">
        <is>
          <t>117669</t>
        </is>
      </c>
    </row>
    <row r="307">
      <c r="A307">
        <f>TRIM(BASE_EQUIPOS!N307)</f>
        <v/>
      </c>
      <c r="B307">
        <f>BASE_EQUIPOS!A307</f>
        <v/>
      </c>
      <c r="C307">
        <f>BASE_EQUIPOS!B307</f>
        <v/>
      </c>
      <c r="D307">
        <f>BASE_EQUIPOS!D307</f>
        <v/>
      </c>
      <c r="E307">
        <f>BASE_EQUIPOS!G307</f>
        <v/>
      </c>
      <c r="F307">
        <f>BASE_EQUIPOS!H307</f>
        <v/>
      </c>
      <c r="G307">
        <f>BASE_EQUIPOS!M307</f>
        <v/>
      </c>
      <c r="I307" t="inlineStr">
        <is>
          <t>000232</t>
        </is>
      </c>
    </row>
    <row r="308">
      <c r="A308">
        <f>TRIM(BASE_EQUIPOS!N308)</f>
        <v/>
      </c>
      <c r="B308">
        <f>BASE_EQUIPOS!A308</f>
        <v/>
      </c>
      <c r="C308">
        <f>BASE_EQUIPOS!B308</f>
        <v/>
      </c>
      <c r="D308">
        <f>BASE_EQUIPOS!D308</f>
        <v/>
      </c>
      <c r="E308">
        <f>BASE_EQUIPOS!G308</f>
        <v/>
      </c>
      <c r="F308">
        <f>BASE_EQUIPOS!H308</f>
        <v/>
      </c>
      <c r="G308">
        <f>BASE_EQUIPOS!M308</f>
        <v/>
      </c>
      <c r="I308" t="inlineStr">
        <is>
          <t>000783</t>
        </is>
      </c>
    </row>
    <row r="309">
      <c r="A309">
        <f>TRIM(BASE_EQUIPOS!N309)</f>
        <v/>
      </c>
      <c r="B309">
        <f>BASE_EQUIPOS!A309</f>
        <v/>
      </c>
      <c r="C309">
        <f>BASE_EQUIPOS!B309</f>
        <v/>
      </c>
      <c r="D309">
        <f>BASE_EQUIPOS!D309</f>
        <v/>
      </c>
      <c r="E309">
        <f>BASE_EQUIPOS!G309</f>
        <v/>
      </c>
      <c r="F309">
        <f>BASE_EQUIPOS!H309</f>
        <v/>
      </c>
      <c r="G309">
        <f>BASE_EQUIPOS!M309</f>
        <v/>
      </c>
      <c r="I309" t="inlineStr">
        <is>
          <t>048861</t>
        </is>
      </c>
    </row>
    <row r="310">
      <c r="A310">
        <f>TRIM(BASE_EQUIPOS!N310)</f>
        <v/>
      </c>
      <c r="B310">
        <f>BASE_EQUIPOS!A310</f>
        <v/>
      </c>
      <c r="C310">
        <f>BASE_EQUIPOS!B310</f>
        <v/>
      </c>
      <c r="D310">
        <f>BASE_EQUIPOS!D310</f>
        <v/>
      </c>
      <c r="E310">
        <f>BASE_EQUIPOS!G310</f>
        <v/>
      </c>
      <c r="F310">
        <f>BASE_EQUIPOS!H310</f>
        <v/>
      </c>
      <c r="G310">
        <f>BASE_EQUIPOS!M310</f>
        <v/>
      </c>
      <c r="I310" t="inlineStr">
        <is>
          <t>002290</t>
        </is>
      </c>
    </row>
    <row r="311">
      <c r="A311">
        <f>TRIM(BASE_EQUIPOS!N311)</f>
        <v/>
      </c>
      <c r="B311">
        <f>BASE_EQUIPOS!A311</f>
        <v/>
      </c>
      <c r="C311">
        <f>BASE_EQUIPOS!B311</f>
        <v/>
      </c>
      <c r="D311">
        <f>BASE_EQUIPOS!D311</f>
        <v/>
      </c>
      <c r="E311">
        <f>BASE_EQUIPOS!G311</f>
        <v/>
      </c>
      <c r="F311">
        <f>BASE_EQUIPOS!H311</f>
        <v/>
      </c>
      <c r="G311">
        <f>BASE_EQUIPOS!M311</f>
        <v/>
      </c>
      <c r="I311" t="inlineStr">
        <is>
          <t>000001</t>
        </is>
      </c>
    </row>
    <row r="312">
      <c r="A312">
        <f>TRIM(BASE_EQUIPOS!N312)</f>
        <v/>
      </c>
      <c r="B312">
        <f>BASE_EQUIPOS!A312</f>
        <v/>
      </c>
      <c r="C312">
        <f>BASE_EQUIPOS!B312</f>
        <v/>
      </c>
      <c r="D312">
        <f>BASE_EQUIPOS!D312</f>
        <v/>
      </c>
      <c r="E312">
        <f>BASE_EQUIPOS!G312</f>
        <v/>
      </c>
      <c r="F312">
        <f>BASE_EQUIPOS!H312</f>
        <v/>
      </c>
      <c r="G312">
        <f>BASE_EQUIPOS!M312</f>
        <v/>
      </c>
      <c r="I312" t="inlineStr">
        <is>
          <t>002439</t>
        </is>
      </c>
    </row>
    <row r="313">
      <c r="A313">
        <f>TRIM(BASE_EQUIPOS!N313)</f>
        <v/>
      </c>
      <c r="B313">
        <f>BASE_EQUIPOS!A313</f>
        <v/>
      </c>
      <c r="C313">
        <f>BASE_EQUIPOS!B313</f>
        <v/>
      </c>
      <c r="D313">
        <f>BASE_EQUIPOS!D313</f>
        <v/>
      </c>
      <c r="E313">
        <f>BASE_EQUIPOS!G313</f>
        <v/>
      </c>
      <c r="F313">
        <f>BASE_EQUIPOS!H313</f>
        <v/>
      </c>
      <c r="G313">
        <f>BASE_EQUIPOS!M313</f>
        <v/>
      </c>
      <c r="I313" t="inlineStr">
        <is>
          <t>000450</t>
        </is>
      </c>
    </row>
    <row r="314">
      <c r="A314">
        <f>TRIM(BASE_EQUIPOS!N314)</f>
        <v/>
      </c>
      <c r="B314">
        <f>BASE_EQUIPOS!A314</f>
        <v/>
      </c>
      <c r="C314">
        <f>BASE_EQUIPOS!B314</f>
        <v/>
      </c>
      <c r="D314">
        <f>BASE_EQUIPOS!D314</f>
        <v/>
      </c>
      <c r="E314">
        <f>BASE_EQUIPOS!G314</f>
        <v/>
      </c>
      <c r="F314">
        <f>BASE_EQUIPOS!H314</f>
        <v/>
      </c>
      <c r="G314">
        <f>BASE_EQUIPOS!M314</f>
        <v/>
      </c>
      <c r="I314" t="inlineStr">
        <is>
          <t>047182</t>
        </is>
      </c>
    </row>
    <row r="315">
      <c r="A315">
        <f>TRIM(BASE_EQUIPOS!N315)</f>
        <v/>
      </c>
      <c r="B315">
        <f>BASE_EQUIPOS!A315</f>
        <v/>
      </c>
      <c r="C315">
        <f>BASE_EQUIPOS!B315</f>
        <v/>
      </c>
      <c r="D315">
        <f>BASE_EQUIPOS!D315</f>
        <v/>
      </c>
      <c r="E315">
        <f>BASE_EQUIPOS!G315</f>
        <v/>
      </c>
      <c r="F315">
        <f>BASE_EQUIPOS!H315</f>
        <v/>
      </c>
      <c r="G315">
        <f>BASE_EQUIPOS!M315</f>
        <v/>
      </c>
      <c r="I315" t="inlineStr">
        <is>
          <t>304389</t>
        </is>
      </c>
    </row>
    <row r="316">
      <c r="A316">
        <f>TRIM(BASE_EQUIPOS!N316)</f>
        <v/>
      </c>
      <c r="B316">
        <f>BASE_EQUIPOS!A316</f>
        <v/>
      </c>
      <c r="C316">
        <f>BASE_EQUIPOS!B316</f>
        <v/>
      </c>
      <c r="D316">
        <f>BASE_EQUIPOS!D316</f>
        <v/>
      </c>
      <c r="E316">
        <f>BASE_EQUIPOS!G316</f>
        <v/>
      </c>
      <c r="F316">
        <f>BASE_EQUIPOS!H316</f>
        <v/>
      </c>
      <c r="G316">
        <f>BASE_EQUIPOS!M316</f>
        <v/>
      </c>
      <c r="I316" t="inlineStr">
        <is>
          <t>701632</t>
        </is>
      </c>
    </row>
    <row r="317">
      <c r="A317">
        <f>TRIM(BASE_EQUIPOS!N317)</f>
        <v/>
      </c>
      <c r="B317">
        <f>BASE_EQUIPOS!A317</f>
        <v/>
      </c>
      <c r="C317">
        <f>BASE_EQUIPOS!B317</f>
        <v/>
      </c>
      <c r="D317">
        <f>BASE_EQUIPOS!D317</f>
        <v/>
      </c>
      <c r="E317">
        <f>BASE_EQUIPOS!G317</f>
        <v/>
      </c>
      <c r="F317">
        <f>BASE_EQUIPOS!H317</f>
        <v/>
      </c>
      <c r="G317">
        <f>BASE_EQUIPOS!M317</f>
        <v/>
      </c>
      <c r="I317" t="inlineStr">
        <is>
          <t>181476</t>
        </is>
      </c>
    </row>
    <row r="318">
      <c r="A318">
        <f>TRIM(BASE_EQUIPOS!N318)</f>
        <v/>
      </c>
      <c r="B318">
        <f>BASE_EQUIPOS!A318</f>
        <v/>
      </c>
      <c r="C318">
        <f>BASE_EQUIPOS!B318</f>
        <v/>
      </c>
      <c r="D318">
        <f>BASE_EQUIPOS!D318</f>
        <v/>
      </c>
      <c r="E318">
        <f>BASE_EQUIPOS!G318</f>
        <v/>
      </c>
      <c r="F318">
        <f>BASE_EQUIPOS!H318</f>
        <v/>
      </c>
      <c r="G318">
        <f>BASE_EQUIPOS!M318</f>
        <v/>
      </c>
      <c r="I318" t="inlineStr">
        <is>
          <t>000274</t>
        </is>
      </c>
    </row>
    <row r="319">
      <c r="A319">
        <f>TRIM(BASE_EQUIPOS!N319)</f>
        <v/>
      </c>
      <c r="B319">
        <f>BASE_EQUIPOS!A319</f>
        <v/>
      </c>
      <c r="C319">
        <f>BASE_EQUIPOS!B319</f>
        <v/>
      </c>
      <c r="D319">
        <f>BASE_EQUIPOS!D319</f>
        <v/>
      </c>
      <c r="E319">
        <f>BASE_EQUIPOS!G319</f>
        <v/>
      </c>
      <c r="F319">
        <f>BASE_EQUIPOS!H319</f>
        <v/>
      </c>
      <c r="G319">
        <f>BASE_EQUIPOS!M319</f>
        <v/>
      </c>
      <c r="I319" t="inlineStr">
        <is>
          <t>001095</t>
        </is>
      </c>
    </row>
    <row r="320">
      <c r="A320">
        <f>TRIM(BASE_EQUIPOS!N320)</f>
        <v/>
      </c>
      <c r="B320">
        <f>BASE_EQUIPOS!A320</f>
        <v/>
      </c>
      <c r="C320">
        <f>BASE_EQUIPOS!B320</f>
        <v/>
      </c>
      <c r="D320">
        <f>BASE_EQUIPOS!D320</f>
        <v/>
      </c>
      <c r="E320">
        <f>BASE_EQUIPOS!G320</f>
        <v/>
      </c>
      <c r="F320">
        <f>BASE_EQUIPOS!H320</f>
        <v/>
      </c>
      <c r="G320">
        <f>BASE_EQUIPOS!M320</f>
        <v/>
      </c>
      <c r="I320" t="inlineStr">
        <is>
          <t>000270</t>
        </is>
      </c>
    </row>
    <row r="321">
      <c r="A321">
        <f>TRIM(BASE_EQUIPOS!N321)</f>
        <v/>
      </c>
      <c r="B321">
        <f>BASE_EQUIPOS!A321</f>
        <v/>
      </c>
      <c r="C321">
        <f>BASE_EQUIPOS!B321</f>
        <v/>
      </c>
      <c r="D321">
        <f>BASE_EQUIPOS!D321</f>
        <v/>
      </c>
      <c r="E321">
        <f>BASE_EQUIPOS!G321</f>
        <v/>
      </c>
      <c r="F321">
        <f>BASE_EQUIPOS!H321</f>
        <v/>
      </c>
      <c r="G321">
        <f>BASE_EQUIPOS!M321</f>
        <v/>
      </c>
      <c r="I321" t="inlineStr">
        <is>
          <t>000972</t>
        </is>
      </c>
    </row>
    <row r="322">
      <c r="A322">
        <f>TRIM(BASE_EQUIPOS!N322)</f>
        <v/>
      </c>
      <c r="B322">
        <f>BASE_EQUIPOS!A322</f>
        <v/>
      </c>
      <c r="C322">
        <f>BASE_EQUIPOS!B322</f>
        <v/>
      </c>
      <c r="D322">
        <f>BASE_EQUIPOS!D322</f>
        <v/>
      </c>
      <c r="E322">
        <f>BASE_EQUIPOS!G322</f>
        <v/>
      </c>
      <c r="F322">
        <f>BASE_EQUIPOS!H322</f>
        <v/>
      </c>
      <c r="G322">
        <f>BASE_EQUIPOS!M322</f>
        <v/>
      </c>
      <c r="I322" t="inlineStr">
        <is>
          <t>001050</t>
        </is>
      </c>
    </row>
    <row r="323">
      <c r="A323">
        <f>TRIM(BASE_EQUIPOS!N323)</f>
        <v/>
      </c>
      <c r="B323">
        <f>BASE_EQUIPOS!A323</f>
        <v/>
      </c>
      <c r="C323">
        <f>BASE_EQUIPOS!B323</f>
        <v/>
      </c>
      <c r="D323">
        <f>BASE_EQUIPOS!D323</f>
        <v/>
      </c>
      <c r="E323">
        <f>BASE_EQUIPOS!G323</f>
        <v/>
      </c>
      <c r="F323">
        <f>BASE_EQUIPOS!H323</f>
        <v/>
      </c>
      <c r="G323">
        <f>BASE_EQUIPOS!M323</f>
        <v/>
      </c>
      <c r="I323" t="inlineStr">
        <is>
          <t>001090</t>
        </is>
      </c>
    </row>
    <row r="324">
      <c r="A324">
        <f>TRIM(BASE_EQUIPOS!N324)</f>
        <v/>
      </c>
      <c r="B324">
        <f>BASE_EQUIPOS!A324</f>
        <v/>
      </c>
      <c r="C324">
        <f>BASE_EQUIPOS!B324</f>
        <v/>
      </c>
      <c r="D324">
        <f>BASE_EQUIPOS!D324</f>
        <v/>
      </c>
      <c r="E324">
        <f>BASE_EQUIPOS!G324</f>
        <v/>
      </c>
      <c r="F324">
        <f>BASE_EQUIPOS!H324</f>
        <v/>
      </c>
      <c r="G324">
        <f>BASE_EQUIPOS!M324</f>
        <v/>
      </c>
      <c r="I324" t="inlineStr">
        <is>
          <t>001015</t>
        </is>
      </c>
    </row>
    <row r="325">
      <c r="A325">
        <f>TRIM(BASE_EQUIPOS!N325)</f>
        <v/>
      </c>
      <c r="B325">
        <f>BASE_EQUIPOS!A325</f>
        <v/>
      </c>
      <c r="C325">
        <f>BASE_EQUIPOS!B325</f>
        <v/>
      </c>
      <c r="D325">
        <f>BASE_EQUIPOS!D325</f>
        <v/>
      </c>
      <c r="E325">
        <f>BASE_EQUIPOS!G325</f>
        <v/>
      </c>
      <c r="F325">
        <f>BASE_EQUIPOS!H325</f>
        <v/>
      </c>
      <c r="G325">
        <f>BASE_EQUIPOS!M325</f>
        <v/>
      </c>
      <c r="I325" t="inlineStr">
        <is>
          <t>000962</t>
        </is>
      </c>
    </row>
    <row r="326">
      <c r="A326">
        <f>TRIM(BASE_EQUIPOS!N326)</f>
        <v/>
      </c>
      <c r="B326">
        <f>BASE_EQUIPOS!A326</f>
        <v/>
      </c>
      <c r="C326">
        <f>BASE_EQUIPOS!B326</f>
        <v/>
      </c>
      <c r="D326">
        <f>BASE_EQUIPOS!D326</f>
        <v/>
      </c>
      <c r="E326">
        <f>BASE_EQUIPOS!G326</f>
        <v/>
      </c>
      <c r="F326">
        <f>BASE_EQUIPOS!H326</f>
        <v/>
      </c>
      <c r="G326">
        <f>BASE_EQUIPOS!M326</f>
        <v/>
      </c>
      <c r="I326" t="inlineStr">
        <is>
          <t>000987</t>
        </is>
      </c>
    </row>
    <row r="327">
      <c r="A327">
        <f>TRIM(BASE_EQUIPOS!N327)</f>
        <v/>
      </c>
      <c r="B327">
        <f>BASE_EQUIPOS!A327</f>
        <v/>
      </c>
      <c r="C327">
        <f>BASE_EQUIPOS!B327</f>
        <v/>
      </c>
      <c r="D327">
        <f>BASE_EQUIPOS!D327</f>
        <v/>
      </c>
      <c r="E327">
        <f>BASE_EQUIPOS!G327</f>
        <v/>
      </c>
      <c r="F327">
        <f>BASE_EQUIPOS!H327</f>
        <v/>
      </c>
      <c r="G327">
        <f>BASE_EQUIPOS!M327</f>
        <v/>
      </c>
      <c r="I327" t="inlineStr">
        <is>
          <t>001055</t>
        </is>
      </c>
    </row>
    <row r="328">
      <c r="A328">
        <f>TRIM(BASE_EQUIPOS!N328)</f>
        <v/>
      </c>
      <c r="B328">
        <f>BASE_EQUIPOS!A328</f>
        <v/>
      </c>
      <c r="C328">
        <f>BASE_EQUIPOS!B328</f>
        <v/>
      </c>
      <c r="D328">
        <f>BASE_EQUIPOS!D328</f>
        <v/>
      </c>
      <c r="E328">
        <f>BASE_EQUIPOS!G328</f>
        <v/>
      </c>
      <c r="F328">
        <f>BASE_EQUIPOS!H328</f>
        <v/>
      </c>
      <c r="G328">
        <f>BASE_EQUIPOS!M328</f>
        <v/>
      </c>
      <c r="I328" t="inlineStr">
        <is>
          <t>000769</t>
        </is>
      </c>
    </row>
    <row r="329">
      <c r="A329">
        <f>TRIM(BASE_EQUIPOS!N329)</f>
        <v/>
      </c>
      <c r="B329">
        <f>BASE_EQUIPOS!A329</f>
        <v/>
      </c>
      <c r="C329">
        <f>BASE_EQUIPOS!B329</f>
        <v/>
      </c>
      <c r="D329">
        <f>BASE_EQUIPOS!D329</f>
        <v/>
      </c>
      <c r="E329">
        <f>BASE_EQUIPOS!G329</f>
        <v/>
      </c>
      <c r="F329">
        <f>BASE_EQUIPOS!H329</f>
        <v/>
      </c>
      <c r="G329">
        <f>BASE_EQUIPOS!M329</f>
        <v/>
      </c>
      <c r="I329" t="inlineStr">
        <is>
          <t>003291</t>
        </is>
      </c>
    </row>
    <row r="330">
      <c r="A330">
        <f>TRIM(BASE_EQUIPOS!N330)</f>
        <v/>
      </c>
      <c r="B330">
        <f>BASE_EQUIPOS!A330</f>
        <v/>
      </c>
      <c r="C330">
        <f>BASE_EQUIPOS!B330</f>
        <v/>
      </c>
      <c r="D330">
        <f>BASE_EQUIPOS!D330</f>
        <v/>
      </c>
      <c r="E330">
        <f>BASE_EQUIPOS!G330</f>
        <v/>
      </c>
      <c r="F330">
        <f>BASE_EQUIPOS!H330</f>
        <v/>
      </c>
      <c r="G330">
        <f>BASE_EQUIPOS!M330</f>
        <v/>
      </c>
      <c r="I330" t="inlineStr">
        <is>
          <t>000150</t>
        </is>
      </c>
    </row>
    <row r="331">
      <c r="A331">
        <f>TRIM(BASE_EQUIPOS!N331)</f>
        <v/>
      </c>
      <c r="B331">
        <f>BASE_EQUIPOS!A331</f>
        <v/>
      </c>
      <c r="C331">
        <f>BASE_EQUIPOS!B331</f>
        <v/>
      </c>
      <c r="D331">
        <f>BASE_EQUIPOS!D331</f>
        <v/>
      </c>
      <c r="E331">
        <f>BASE_EQUIPOS!G331</f>
        <v/>
      </c>
      <c r="F331">
        <f>BASE_EQUIPOS!H331</f>
        <v/>
      </c>
      <c r="G331">
        <f>BASE_EQUIPOS!M331</f>
        <v/>
      </c>
      <c r="I331" t="inlineStr">
        <is>
          <t>000197</t>
        </is>
      </c>
    </row>
    <row r="332">
      <c r="A332">
        <f>TRIM(BASE_EQUIPOS!N332)</f>
        <v/>
      </c>
      <c r="B332">
        <f>BASE_EQUIPOS!A332</f>
        <v/>
      </c>
      <c r="C332">
        <f>BASE_EQUIPOS!B332</f>
        <v/>
      </c>
      <c r="D332">
        <f>BASE_EQUIPOS!D332</f>
        <v/>
      </c>
      <c r="E332">
        <f>BASE_EQUIPOS!G332</f>
        <v/>
      </c>
      <c r="F332">
        <f>BASE_EQUIPOS!H332</f>
        <v/>
      </c>
      <c r="G332">
        <f>BASE_EQUIPOS!M332</f>
        <v/>
      </c>
      <c r="I332" t="inlineStr">
        <is>
          <t>003575</t>
        </is>
      </c>
    </row>
    <row r="333">
      <c r="A333">
        <f>TRIM(BASE_EQUIPOS!N333)</f>
        <v/>
      </c>
      <c r="B333">
        <f>BASE_EQUIPOS!A333</f>
        <v/>
      </c>
      <c r="C333">
        <f>BASE_EQUIPOS!B333</f>
        <v/>
      </c>
      <c r="D333">
        <f>BASE_EQUIPOS!D333</f>
        <v/>
      </c>
      <c r="E333">
        <f>BASE_EQUIPOS!G333</f>
        <v/>
      </c>
      <c r="F333">
        <f>BASE_EQUIPOS!H333</f>
        <v/>
      </c>
      <c r="G333">
        <f>BASE_EQUIPOS!M333</f>
        <v/>
      </c>
      <c r="I333" t="inlineStr">
        <is>
          <t>000266</t>
        </is>
      </c>
    </row>
    <row r="334">
      <c r="A334">
        <f>TRIM(BASE_EQUIPOS!N334)</f>
        <v/>
      </c>
      <c r="B334">
        <f>BASE_EQUIPOS!A334</f>
        <v/>
      </c>
      <c r="C334">
        <f>BASE_EQUIPOS!B334</f>
        <v/>
      </c>
      <c r="D334">
        <f>BASE_EQUIPOS!D334</f>
        <v/>
      </c>
      <c r="E334">
        <f>BASE_EQUIPOS!G334</f>
        <v/>
      </c>
      <c r="F334">
        <f>BASE_EQUIPOS!H334</f>
        <v/>
      </c>
      <c r="G334">
        <f>BASE_EQUIPOS!M334</f>
        <v/>
      </c>
      <c r="I334" t="inlineStr">
        <is>
          <t>000426</t>
        </is>
      </c>
    </row>
    <row r="335">
      <c r="A335">
        <f>TRIM(BASE_EQUIPOS!N335)</f>
        <v/>
      </c>
      <c r="B335">
        <f>BASE_EQUIPOS!A335</f>
        <v/>
      </c>
      <c r="C335">
        <f>BASE_EQUIPOS!B335</f>
        <v/>
      </c>
      <c r="D335">
        <f>BASE_EQUIPOS!D335</f>
        <v/>
      </c>
      <c r="E335">
        <f>BASE_EQUIPOS!G335</f>
        <v/>
      </c>
      <c r="F335">
        <f>BASE_EQUIPOS!H335</f>
        <v/>
      </c>
      <c r="G335">
        <f>BASE_EQUIPOS!M335</f>
        <v/>
      </c>
      <c r="I335" t="inlineStr">
        <is>
          <t>007371</t>
        </is>
      </c>
    </row>
    <row r="336">
      <c r="A336">
        <f>TRIM(BASE_EQUIPOS!N336)</f>
        <v/>
      </c>
      <c r="B336">
        <f>BASE_EQUIPOS!A336</f>
        <v/>
      </c>
      <c r="C336">
        <f>BASE_EQUIPOS!B336</f>
        <v/>
      </c>
      <c r="D336">
        <f>BASE_EQUIPOS!D336</f>
        <v/>
      </c>
      <c r="E336">
        <f>BASE_EQUIPOS!G336</f>
        <v/>
      </c>
      <c r="F336">
        <f>BASE_EQUIPOS!H336</f>
        <v/>
      </c>
      <c r="G336">
        <f>BASE_EQUIPOS!M336</f>
        <v/>
      </c>
      <c r="I336" t="inlineStr">
        <is>
          <t>001188</t>
        </is>
      </c>
    </row>
    <row r="337">
      <c r="A337">
        <f>TRIM(BASE_EQUIPOS!N337)</f>
        <v/>
      </c>
      <c r="B337">
        <f>BASE_EQUIPOS!A337</f>
        <v/>
      </c>
      <c r="C337">
        <f>BASE_EQUIPOS!B337</f>
        <v/>
      </c>
      <c r="D337">
        <f>BASE_EQUIPOS!D337</f>
        <v/>
      </c>
      <c r="E337">
        <f>BASE_EQUIPOS!G337</f>
        <v/>
      </c>
      <c r="F337">
        <f>BASE_EQUIPOS!H337</f>
        <v/>
      </c>
      <c r="G337">
        <f>BASE_EQUIPOS!M337</f>
        <v/>
      </c>
      <c r="I337" t="inlineStr">
        <is>
          <t>000893</t>
        </is>
      </c>
    </row>
    <row r="338">
      <c r="A338">
        <f>TRIM(BASE_EQUIPOS!N338)</f>
        <v/>
      </c>
      <c r="B338">
        <f>BASE_EQUIPOS!A338</f>
        <v/>
      </c>
      <c r="C338">
        <f>BASE_EQUIPOS!B338</f>
        <v/>
      </c>
      <c r="D338">
        <f>BASE_EQUIPOS!D338</f>
        <v/>
      </c>
      <c r="E338">
        <f>BASE_EQUIPOS!G338</f>
        <v/>
      </c>
      <c r="F338">
        <f>BASE_EQUIPOS!H338</f>
        <v/>
      </c>
      <c r="G338">
        <f>BASE_EQUIPOS!M338</f>
        <v/>
      </c>
      <c r="I338" t="inlineStr">
        <is>
          <t>001226</t>
        </is>
      </c>
    </row>
    <row r="339">
      <c r="A339">
        <f>TRIM(BASE_EQUIPOS!N339)</f>
        <v/>
      </c>
      <c r="B339">
        <f>BASE_EQUIPOS!A339</f>
        <v/>
      </c>
      <c r="C339">
        <f>BASE_EQUIPOS!B339</f>
        <v/>
      </c>
      <c r="D339">
        <f>BASE_EQUIPOS!D339</f>
        <v/>
      </c>
      <c r="E339">
        <f>BASE_EQUIPOS!G339</f>
        <v/>
      </c>
      <c r="F339">
        <f>BASE_EQUIPOS!H339</f>
        <v/>
      </c>
      <c r="G339">
        <f>BASE_EQUIPOS!M339</f>
        <v/>
      </c>
      <c r="I339" t="inlineStr">
        <is>
          <t>001663</t>
        </is>
      </c>
    </row>
    <row r="340">
      <c r="A340">
        <f>TRIM(BASE_EQUIPOS!N340)</f>
        <v/>
      </c>
      <c r="B340">
        <f>BASE_EQUIPOS!A340</f>
        <v/>
      </c>
      <c r="C340">
        <f>BASE_EQUIPOS!B340</f>
        <v/>
      </c>
      <c r="D340">
        <f>BASE_EQUIPOS!D340</f>
        <v/>
      </c>
      <c r="E340">
        <f>BASE_EQUIPOS!G340</f>
        <v/>
      </c>
      <c r="F340">
        <f>BASE_EQUIPOS!H340</f>
        <v/>
      </c>
      <c r="G340">
        <f>BASE_EQUIPOS!M340</f>
        <v/>
      </c>
      <c r="I340" t="inlineStr">
        <is>
          <t>000033</t>
        </is>
      </c>
    </row>
    <row r="341">
      <c r="A341">
        <f>TRIM(BASE_EQUIPOS!N341)</f>
        <v/>
      </c>
      <c r="B341">
        <f>BASE_EQUIPOS!A341</f>
        <v/>
      </c>
      <c r="C341">
        <f>BASE_EQUIPOS!B341</f>
        <v/>
      </c>
      <c r="D341">
        <f>BASE_EQUIPOS!D341</f>
        <v/>
      </c>
      <c r="E341">
        <f>BASE_EQUIPOS!G341</f>
        <v/>
      </c>
      <c r="F341">
        <f>BASE_EQUIPOS!H341</f>
        <v/>
      </c>
      <c r="G341">
        <f>BASE_EQUIPOS!M341</f>
        <v/>
      </c>
      <c r="I341" t="inlineStr">
        <is>
          <t>220 / 000882</t>
        </is>
      </c>
    </row>
    <row r="342">
      <c r="A342">
        <f>TRIM(BASE_EQUIPOS!N342)</f>
        <v/>
      </c>
      <c r="B342">
        <f>BASE_EQUIPOS!A342</f>
        <v/>
      </c>
      <c r="C342">
        <f>BASE_EQUIPOS!B342</f>
        <v/>
      </c>
      <c r="D342">
        <f>BASE_EQUIPOS!D342</f>
        <v/>
      </c>
      <c r="E342">
        <f>BASE_EQUIPOS!G342</f>
        <v/>
      </c>
      <c r="F342">
        <f>BASE_EQUIPOS!H342</f>
        <v/>
      </c>
      <c r="G342">
        <f>BASE_EQUIPOS!M342</f>
        <v/>
      </c>
      <c r="I342" t="inlineStr">
        <is>
          <t>207 / 000768</t>
        </is>
      </c>
    </row>
    <row r="343">
      <c r="A343">
        <f>TRIM(BASE_EQUIPOS!N343)</f>
        <v/>
      </c>
      <c r="B343">
        <f>BASE_EQUIPOS!A343</f>
        <v/>
      </c>
      <c r="C343">
        <f>BASE_EQUIPOS!B343</f>
        <v/>
      </c>
      <c r="D343">
        <f>BASE_EQUIPOS!D343</f>
        <v/>
      </c>
      <c r="E343">
        <f>BASE_EQUIPOS!G343</f>
        <v/>
      </c>
      <c r="F343">
        <f>BASE_EQUIPOS!H343</f>
        <v/>
      </c>
      <c r="G343">
        <f>BASE_EQUIPOS!M343</f>
        <v/>
      </c>
      <c r="I343" t="inlineStr">
        <is>
          <t>181 / 001803</t>
        </is>
      </c>
    </row>
    <row r="344">
      <c r="A344">
        <f>TRIM(BASE_EQUIPOS!N344)</f>
        <v/>
      </c>
      <c r="B344">
        <f>BASE_EQUIPOS!A344</f>
        <v/>
      </c>
      <c r="C344">
        <f>BASE_EQUIPOS!B344</f>
        <v/>
      </c>
      <c r="D344">
        <f>BASE_EQUIPOS!D344</f>
        <v/>
      </c>
      <c r="E344">
        <f>BASE_EQUIPOS!G344</f>
        <v/>
      </c>
      <c r="F344">
        <f>BASE_EQUIPOS!H344</f>
        <v/>
      </c>
      <c r="G344">
        <f>BASE_EQUIPOS!M344</f>
        <v/>
      </c>
      <c r="I344" t="inlineStr">
        <is>
          <t>S/N / 000341</t>
        </is>
      </c>
    </row>
    <row r="345">
      <c r="A345">
        <f>TRIM(BASE_EQUIPOS!N345)</f>
        <v/>
      </c>
      <c r="B345">
        <f>BASE_EQUIPOS!A345</f>
        <v/>
      </c>
      <c r="C345">
        <f>BASE_EQUIPOS!B345</f>
        <v/>
      </c>
      <c r="D345">
        <f>BASE_EQUIPOS!D345</f>
        <v/>
      </c>
      <c r="E345">
        <f>BASE_EQUIPOS!G345</f>
        <v/>
      </c>
      <c r="F345">
        <f>BASE_EQUIPOS!H345</f>
        <v/>
      </c>
      <c r="G345">
        <f>BASE_EQUIPOS!M345</f>
        <v/>
      </c>
      <c r="I345" t="inlineStr">
        <is>
          <t>252 / 002751</t>
        </is>
      </c>
    </row>
    <row r="346">
      <c r="A346">
        <f>TRIM(BASE_EQUIPOS!N346)</f>
        <v/>
      </c>
      <c r="B346">
        <f>BASE_EQUIPOS!A346</f>
        <v/>
      </c>
      <c r="C346">
        <f>BASE_EQUIPOS!B346</f>
        <v/>
      </c>
      <c r="D346">
        <f>BASE_EQUIPOS!D346</f>
        <v/>
      </c>
      <c r="E346">
        <f>BASE_EQUIPOS!G346</f>
        <v/>
      </c>
      <c r="F346">
        <f>BASE_EQUIPOS!H346</f>
        <v/>
      </c>
      <c r="G346">
        <f>BASE_EQUIPOS!M346</f>
        <v/>
      </c>
      <c r="I346" t="inlineStr">
        <is>
          <t>182 / 001279</t>
        </is>
      </c>
    </row>
    <row r="347">
      <c r="A347">
        <f>TRIM(BASE_EQUIPOS!N347)</f>
        <v/>
      </c>
      <c r="B347">
        <f>BASE_EQUIPOS!A347</f>
        <v/>
      </c>
      <c r="C347">
        <f>BASE_EQUIPOS!B347</f>
        <v/>
      </c>
      <c r="D347">
        <f>BASE_EQUIPOS!D347</f>
        <v/>
      </c>
      <c r="E347">
        <f>BASE_EQUIPOS!G347</f>
        <v/>
      </c>
      <c r="F347">
        <f>BASE_EQUIPOS!H347</f>
        <v/>
      </c>
      <c r="G347">
        <f>BASE_EQUIPOS!M347</f>
        <v/>
      </c>
      <c r="I347" t="inlineStr">
        <is>
          <t>259 / 000105</t>
        </is>
      </c>
    </row>
    <row r="348">
      <c r="A348">
        <f>TRIM(BASE_EQUIPOS!N348)</f>
        <v/>
      </c>
      <c r="B348">
        <f>BASE_EQUIPOS!A348</f>
        <v/>
      </c>
      <c r="C348">
        <f>BASE_EQUIPOS!B348</f>
        <v/>
      </c>
      <c r="D348">
        <f>BASE_EQUIPOS!D348</f>
        <v/>
      </c>
      <c r="E348">
        <f>BASE_EQUIPOS!G348</f>
        <v/>
      </c>
      <c r="F348">
        <f>BASE_EQUIPOS!H348</f>
        <v/>
      </c>
      <c r="G348">
        <f>BASE_EQUIPOS!M348</f>
        <v/>
      </c>
      <c r="I348" t="inlineStr">
        <is>
          <t>91 / 001375</t>
        </is>
      </c>
    </row>
    <row r="349">
      <c r="A349">
        <f>TRIM(BASE_EQUIPOS!N349)</f>
        <v/>
      </c>
      <c r="B349">
        <f>BASE_EQUIPOS!A349</f>
        <v/>
      </c>
      <c r="C349">
        <f>BASE_EQUIPOS!B349</f>
        <v/>
      </c>
      <c r="D349">
        <f>BASE_EQUIPOS!D349</f>
        <v/>
      </c>
      <c r="E349">
        <f>BASE_EQUIPOS!G349</f>
        <v/>
      </c>
      <c r="F349">
        <f>BASE_EQUIPOS!H349</f>
        <v/>
      </c>
      <c r="G349">
        <f>BASE_EQUIPOS!M349</f>
        <v/>
      </c>
      <c r="I349" t="inlineStr">
        <is>
          <t>000254</t>
        </is>
      </c>
    </row>
    <row r="350">
      <c r="A350">
        <f>TRIM(BASE_EQUIPOS!N350)</f>
        <v/>
      </c>
      <c r="B350">
        <f>BASE_EQUIPOS!A350</f>
        <v/>
      </c>
      <c r="C350">
        <f>BASE_EQUIPOS!B350</f>
        <v/>
      </c>
      <c r="D350">
        <f>BASE_EQUIPOS!D350</f>
        <v/>
      </c>
      <c r="E350">
        <f>BASE_EQUIPOS!G350</f>
        <v/>
      </c>
      <c r="F350">
        <f>BASE_EQUIPOS!H350</f>
        <v/>
      </c>
      <c r="G350">
        <f>BASE_EQUIPOS!M350</f>
        <v/>
      </c>
      <c r="I350" t="inlineStr">
        <is>
          <t>000309</t>
        </is>
      </c>
    </row>
    <row r="351">
      <c r="A351">
        <f>TRIM(BASE_EQUIPOS!N351)</f>
        <v/>
      </c>
      <c r="B351">
        <f>BASE_EQUIPOS!A351</f>
        <v/>
      </c>
      <c r="C351">
        <f>BASE_EQUIPOS!B351</f>
        <v/>
      </c>
      <c r="D351">
        <f>BASE_EQUIPOS!D351</f>
        <v/>
      </c>
      <c r="E351">
        <f>BASE_EQUIPOS!G351</f>
        <v/>
      </c>
      <c r="F351">
        <f>BASE_EQUIPOS!H351</f>
        <v/>
      </c>
      <c r="G351">
        <f>BASE_EQUIPOS!M351</f>
        <v/>
      </c>
      <c r="I351" t="inlineStr">
        <is>
          <t>008958</t>
        </is>
      </c>
    </row>
    <row r="352">
      <c r="A352">
        <f>TRIM(BASE_EQUIPOS!N352)</f>
        <v/>
      </c>
      <c r="B352">
        <f>BASE_EQUIPOS!A352</f>
        <v/>
      </c>
      <c r="C352">
        <f>BASE_EQUIPOS!B352</f>
        <v/>
      </c>
      <c r="D352">
        <f>BASE_EQUIPOS!D352</f>
        <v/>
      </c>
      <c r="E352">
        <f>BASE_EQUIPOS!G352</f>
        <v/>
      </c>
      <c r="F352">
        <f>BASE_EQUIPOS!H352</f>
        <v/>
      </c>
      <c r="G352">
        <f>BASE_EQUIPOS!M352</f>
        <v/>
      </c>
      <c r="I352" t="inlineStr">
        <is>
          <t>000706</t>
        </is>
      </c>
    </row>
    <row r="353">
      <c r="A353">
        <f>TRIM(BASE_EQUIPOS!N353)</f>
        <v/>
      </c>
      <c r="B353">
        <f>BASE_EQUIPOS!A353</f>
        <v/>
      </c>
      <c r="C353">
        <f>BASE_EQUIPOS!B353</f>
        <v/>
      </c>
      <c r="D353">
        <f>BASE_EQUIPOS!D353</f>
        <v/>
      </c>
      <c r="E353">
        <f>BASE_EQUIPOS!G353</f>
        <v/>
      </c>
      <c r="F353">
        <f>BASE_EQUIPOS!H353</f>
        <v/>
      </c>
      <c r="G353">
        <f>BASE_EQUIPOS!M353</f>
        <v/>
      </c>
      <c r="I353" t="inlineStr">
        <is>
          <t>000287</t>
        </is>
      </c>
    </row>
    <row r="354">
      <c r="A354">
        <f>TRIM(BASE_EQUIPOS!N354)</f>
        <v/>
      </c>
      <c r="B354">
        <f>BASE_EQUIPOS!A354</f>
        <v/>
      </c>
      <c r="C354">
        <f>BASE_EQUIPOS!B354</f>
        <v/>
      </c>
      <c r="D354">
        <f>BASE_EQUIPOS!D354</f>
        <v/>
      </c>
      <c r="E354">
        <f>BASE_EQUIPOS!G354</f>
        <v/>
      </c>
      <c r="F354">
        <f>BASE_EQUIPOS!H354</f>
        <v/>
      </c>
      <c r="G354">
        <f>BASE_EQUIPOS!M354</f>
        <v/>
      </c>
      <c r="I354" t="inlineStr">
        <is>
          <t>4455134</t>
        </is>
      </c>
    </row>
    <row r="355">
      <c r="A355">
        <f>TRIM(BASE_EQUIPOS!N355)</f>
        <v/>
      </c>
      <c r="B355">
        <f>BASE_EQUIPOS!A355</f>
        <v/>
      </c>
      <c r="C355">
        <f>BASE_EQUIPOS!B355</f>
        <v/>
      </c>
      <c r="D355">
        <f>BASE_EQUIPOS!D355</f>
        <v/>
      </c>
      <c r="E355">
        <f>BASE_EQUIPOS!G355</f>
        <v/>
      </c>
      <c r="F355">
        <f>BASE_EQUIPOS!H355</f>
        <v/>
      </c>
      <c r="G355">
        <f>BASE_EQUIPOS!M355</f>
        <v/>
      </c>
      <c r="I355" t="inlineStr">
        <is>
          <t>000050</t>
        </is>
      </c>
    </row>
    <row r="356">
      <c r="A356">
        <f>TRIM(BASE_EQUIPOS!N356)</f>
        <v/>
      </c>
      <c r="B356">
        <f>BASE_EQUIPOS!A356</f>
        <v/>
      </c>
      <c r="C356">
        <f>BASE_EQUIPOS!B356</f>
        <v/>
      </c>
      <c r="D356">
        <f>BASE_EQUIPOS!D356</f>
        <v/>
      </c>
      <c r="E356">
        <f>BASE_EQUIPOS!G356</f>
        <v/>
      </c>
      <c r="F356">
        <f>BASE_EQUIPOS!H356</f>
        <v/>
      </c>
      <c r="G356">
        <f>BASE_EQUIPOS!M356</f>
        <v/>
      </c>
      <c r="I356" t="inlineStr">
        <is>
          <t>249 / 002215</t>
        </is>
      </c>
    </row>
    <row r="357">
      <c r="A357">
        <f>TRIM(BASE_EQUIPOS!N357)</f>
        <v/>
      </c>
      <c r="B357">
        <f>BASE_EQUIPOS!A357</f>
        <v/>
      </c>
      <c r="C357">
        <f>BASE_EQUIPOS!B357</f>
        <v/>
      </c>
      <c r="D357">
        <f>BASE_EQUIPOS!D357</f>
        <v/>
      </c>
      <c r="E357">
        <f>BASE_EQUIPOS!G357</f>
        <v/>
      </c>
      <c r="F357">
        <f>BASE_EQUIPOS!H357</f>
        <v/>
      </c>
      <c r="G357">
        <f>BASE_EQUIPOS!M357</f>
        <v/>
      </c>
      <c r="I357" t="inlineStr">
        <is>
          <t>273 / 000593</t>
        </is>
      </c>
    </row>
    <row r="358">
      <c r="A358">
        <f>TRIM(BASE_EQUIPOS!N358)</f>
        <v/>
      </c>
      <c r="B358">
        <f>BASE_EQUIPOS!A358</f>
        <v/>
      </c>
      <c r="C358">
        <f>BASE_EQUIPOS!B358</f>
        <v/>
      </c>
      <c r="D358">
        <f>BASE_EQUIPOS!D358</f>
        <v/>
      </c>
      <c r="E358">
        <f>BASE_EQUIPOS!G358</f>
        <v/>
      </c>
      <c r="F358">
        <f>BASE_EQUIPOS!H358</f>
        <v/>
      </c>
      <c r="G358">
        <f>BASE_EQUIPOS!M358</f>
        <v/>
      </c>
      <c r="I358" t="inlineStr">
        <is>
          <t>298 / 002485</t>
        </is>
      </c>
    </row>
    <row r="359">
      <c r="A359">
        <f>TRIM(BASE_EQUIPOS!N359)</f>
        <v/>
      </c>
      <c r="B359">
        <f>BASE_EQUIPOS!A359</f>
        <v/>
      </c>
      <c r="C359">
        <f>BASE_EQUIPOS!B359</f>
        <v/>
      </c>
      <c r="D359">
        <f>BASE_EQUIPOS!D359</f>
        <v/>
      </c>
      <c r="E359">
        <f>BASE_EQUIPOS!G359</f>
        <v/>
      </c>
      <c r="F359">
        <f>BASE_EQUIPOS!H359</f>
        <v/>
      </c>
      <c r="G359">
        <f>BASE_EQUIPOS!M359</f>
        <v/>
      </c>
      <c r="I359" t="inlineStr">
        <is>
          <t>S/N / 000824</t>
        </is>
      </c>
    </row>
    <row r="360">
      <c r="A360">
        <f>TRIM(BASE_EQUIPOS!N360)</f>
        <v/>
      </c>
      <c r="B360">
        <f>BASE_EQUIPOS!A360</f>
        <v/>
      </c>
      <c r="C360">
        <f>BASE_EQUIPOS!B360</f>
        <v/>
      </c>
      <c r="D360">
        <f>BASE_EQUIPOS!D360</f>
        <v/>
      </c>
      <c r="E360">
        <f>BASE_EQUIPOS!G360</f>
        <v/>
      </c>
      <c r="F360">
        <f>BASE_EQUIPOS!H360</f>
        <v/>
      </c>
      <c r="G360">
        <f>BASE_EQUIPOS!M360</f>
        <v/>
      </c>
      <c r="I360" t="inlineStr">
        <is>
          <t>198 / 000237</t>
        </is>
      </c>
    </row>
    <row r="361">
      <c r="A361">
        <f>TRIM(BASE_EQUIPOS!N361)</f>
        <v/>
      </c>
      <c r="B361">
        <f>BASE_EQUIPOS!A361</f>
        <v/>
      </c>
      <c r="C361">
        <f>BASE_EQUIPOS!B361</f>
        <v/>
      </c>
      <c r="D361">
        <f>BASE_EQUIPOS!D361</f>
        <v/>
      </c>
      <c r="E361">
        <f>BASE_EQUIPOS!G361</f>
        <v/>
      </c>
      <c r="F361">
        <f>BASE_EQUIPOS!H361</f>
        <v/>
      </c>
      <c r="G361">
        <f>BASE_EQUIPOS!M361</f>
        <v/>
      </c>
      <c r="I361" t="inlineStr">
        <is>
          <t>312 / 000713</t>
        </is>
      </c>
    </row>
    <row r="362">
      <c r="A362">
        <f>TRIM(BASE_EQUIPOS!N362)</f>
        <v/>
      </c>
      <c r="B362">
        <f>BASE_EQUIPOS!A362</f>
        <v/>
      </c>
      <c r="C362">
        <f>BASE_EQUIPOS!B362</f>
        <v/>
      </c>
      <c r="D362">
        <f>BASE_EQUIPOS!D362</f>
        <v/>
      </c>
      <c r="E362">
        <f>BASE_EQUIPOS!G362</f>
        <v/>
      </c>
      <c r="F362">
        <f>BASE_EQUIPOS!H362</f>
        <v/>
      </c>
      <c r="G362">
        <f>BASE_EQUIPOS!M362</f>
        <v/>
      </c>
      <c r="I362" t="inlineStr">
        <is>
          <t>S/N /  001537</t>
        </is>
      </c>
    </row>
    <row r="363">
      <c r="A363">
        <f>TRIM(BASE_EQUIPOS!N363)</f>
        <v/>
      </c>
      <c r="B363">
        <f>BASE_EQUIPOS!A363</f>
        <v/>
      </c>
      <c r="C363">
        <f>BASE_EQUIPOS!B363</f>
        <v/>
      </c>
      <c r="D363">
        <f>BASE_EQUIPOS!D363</f>
        <v/>
      </c>
      <c r="E363">
        <f>BASE_EQUIPOS!G363</f>
        <v/>
      </c>
      <c r="F363">
        <f>BASE_EQUIPOS!H363</f>
        <v/>
      </c>
      <c r="G363">
        <f>BASE_EQUIPOS!M363</f>
        <v/>
      </c>
      <c r="I363" t="inlineStr">
        <is>
          <t>236 / 001913</t>
        </is>
      </c>
    </row>
    <row r="364">
      <c r="A364">
        <f>TRIM(BASE_EQUIPOS!N364)</f>
        <v/>
      </c>
      <c r="B364">
        <f>BASE_EQUIPOS!A364</f>
        <v/>
      </c>
      <c r="C364">
        <f>BASE_EQUIPOS!B364</f>
        <v/>
      </c>
      <c r="D364">
        <f>BASE_EQUIPOS!D364</f>
        <v/>
      </c>
      <c r="E364">
        <f>BASE_EQUIPOS!G364</f>
        <v/>
      </c>
      <c r="F364">
        <f>BASE_EQUIPOS!H364</f>
        <v/>
      </c>
      <c r="G364">
        <f>BASE_EQUIPOS!M364</f>
        <v/>
      </c>
      <c r="I364" t="inlineStr">
        <is>
          <t>81 / 001025</t>
        </is>
      </c>
    </row>
    <row r="365">
      <c r="A365">
        <f>TRIM(BASE_EQUIPOS!N365)</f>
        <v/>
      </c>
      <c r="B365">
        <f>BASE_EQUIPOS!A365</f>
        <v/>
      </c>
      <c r="C365">
        <f>BASE_EQUIPOS!B365</f>
        <v/>
      </c>
      <c r="D365">
        <f>BASE_EQUIPOS!D365</f>
        <v/>
      </c>
      <c r="E365">
        <f>BASE_EQUIPOS!G365</f>
        <v/>
      </c>
      <c r="F365">
        <f>BASE_EQUIPOS!H365</f>
        <v/>
      </c>
      <c r="G365">
        <f>BASE_EQUIPOS!M365</f>
        <v/>
      </c>
      <c r="I365" t="inlineStr">
        <is>
          <t>282 / 000201</t>
        </is>
      </c>
    </row>
    <row r="366">
      <c r="A366">
        <f>TRIM(BASE_EQUIPOS!N366)</f>
        <v/>
      </c>
      <c r="B366">
        <f>BASE_EQUIPOS!A366</f>
        <v/>
      </c>
      <c r="C366">
        <f>BASE_EQUIPOS!B366</f>
        <v/>
      </c>
      <c r="D366">
        <f>BASE_EQUIPOS!D366</f>
        <v/>
      </c>
      <c r="E366">
        <f>BASE_EQUIPOS!G366</f>
        <v/>
      </c>
      <c r="F366">
        <f>BASE_EQUIPOS!H366</f>
        <v/>
      </c>
      <c r="G366">
        <f>BASE_EQUIPOS!M366</f>
        <v/>
      </c>
      <c r="I366" t="inlineStr">
        <is>
          <t>25 / 000665</t>
        </is>
      </c>
    </row>
    <row r="367">
      <c r="A367">
        <f>TRIM(BASE_EQUIPOS!N367)</f>
        <v/>
      </c>
      <c r="B367">
        <f>BASE_EQUIPOS!A367</f>
        <v/>
      </c>
      <c r="C367">
        <f>BASE_EQUIPOS!B367</f>
        <v/>
      </c>
      <c r="D367">
        <f>BASE_EQUIPOS!D367</f>
        <v/>
      </c>
      <c r="E367">
        <f>BASE_EQUIPOS!G367</f>
        <v/>
      </c>
      <c r="F367">
        <f>BASE_EQUIPOS!H367</f>
        <v/>
      </c>
      <c r="G367">
        <f>BASE_EQUIPOS!M367</f>
        <v/>
      </c>
      <c r="I367" t="inlineStr">
        <is>
          <t>280 / 000484</t>
        </is>
      </c>
    </row>
    <row r="368">
      <c r="A368">
        <f>TRIM(BASE_EQUIPOS!N368)</f>
        <v/>
      </c>
      <c r="B368">
        <f>BASE_EQUIPOS!A368</f>
        <v/>
      </c>
      <c r="C368">
        <f>BASE_EQUIPOS!B368</f>
        <v/>
      </c>
      <c r="D368">
        <f>BASE_EQUIPOS!D368</f>
        <v/>
      </c>
      <c r="E368">
        <f>BASE_EQUIPOS!G368</f>
        <v/>
      </c>
      <c r="F368">
        <f>BASE_EQUIPOS!H368</f>
        <v/>
      </c>
      <c r="G368">
        <f>BASE_EQUIPOS!M368</f>
        <v/>
      </c>
      <c r="I368" t="inlineStr">
        <is>
          <t>000090</t>
        </is>
      </c>
    </row>
    <row r="369">
      <c r="A369">
        <f>TRIM(BASE_EQUIPOS!N369)</f>
        <v/>
      </c>
      <c r="B369">
        <f>BASE_EQUIPOS!A369</f>
        <v/>
      </c>
      <c r="C369">
        <f>BASE_EQUIPOS!B369</f>
        <v/>
      </c>
      <c r="D369">
        <f>BASE_EQUIPOS!D369</f>
        <v/>
      </c>
      <c r="E369">
        <f>BASE_EQUIPOS!G369</f>
        <v/>
      </c>
      <c r="F369">
        <f>BASE_EQUIPOS!H369</f>
        <v/>
      </c>
      <c r="G369">
        <f>BASE_EQUIPOS!M369</f>
        <v/>
      </c>
      <c r="I369" t="inlineStr">
        <is>
          <t>000364</t>
        </is>
      </c>
    </row>
    <row r="370">
      <c r="A370">
        <f>TRIM(BASE_EQUIPOS!N370)</f>
        <v/>
      </c>
      <c r="B370">
        <f>BASE_EQUIPOS!A370</f>
        <v/>
      </c>
      <c r="C370">
        <f>BASE_EQUIPOS!B370</f>
        <v/>
      </c>
      <c r="D370">
        <f>BASE_EQUIPOS!D370</f>
        <v/>
      </c>
      <c r="E370">
        <f>BASE_EQUIPOS!G370</f>
        <v/>
      </c>
      <c r="F370">
        <f>BASE_EQUIPOS!H370</f>
        <v/>
      </c>
      <c r="G370">
        <f>BASE_EQUIPOS!M370</f>
        <v/>
      </c>
      <c r="I370" t="inlineStr">
        <is>
          <t>000546</t>
        </is>
      </c>
    </row>
    <row r="371">
      <c r="A371">
        <f>TRIM(BASE_EQUIPOS!N371)</f>
        <v/>
      </c>
      <c r="B371">
        <f>BASE_EQUIPOS!A371</f>
        <v/>
      </c>
      <c r="C371">
        <f>BASE_EQUIPOS!B371</f>
        <v/>
      </c>
      <c r="D371">
        <f>BASE_EQUIPOS!D371</f>
        <v/>
      </c>
      <c r="E371">
        <f>BASE_EQUIPOS!G371</f>
        <v/>
      </c>
      <c r="F371">
        <f>BASE_EQUIPOS!H371</f>
        <v/>
      </c>
      <c r="G371">
        <f>BASE_EQUIPOS!M371</f>
        <v/>
      </c>
      <c r="I371" t="inlineStr">
        <is>
          <t>000790</t>
        </is>
      </c>
    </row>
    <row r="372">
      <c r="A372">
        <f>TRIM(BASE_EQUIPOS!N372)</f>
        <v/>
      </c>
      <c r="B372">
        <f>BASE_EQUIPOS!A372</f>
        <v/>
      </c>
      <c r="C372">
        <f>BASE_EQUIPOS!B372</f>
        <v/>
      </c>
      <c r="D372">
        <f>BASE_EQUIPOS!D372</f>
        <v/>
      </c>
      <c r="E372">
        <f>BASE_EQUIPOS!G372</f>
        <v/>
      </c>
      <c r="F372">
        <f>BASE_EQUIPOS!H372</f>
        <v/>
      </c>
      <c r="G372">
        <f>BASE_EQUIPOS!M372</f>
        <v/>
      </c>
      <c r="I372" t="inlineStr">
        <is>
          <t>346/ 006495</t>
        </is>
      </c>
    </row>
    <row r="373">
      <c r="A373">
        <f>TRIM(BASE_EQUIPOS!N373)</f>
        <v/>
      </c>
      <c r="B373">
        <f>BASE_EQUIPOS!A373</f>
        <v/>
      </c>
      <c r="C373">
        <f>BASE_EQUIPOS!B373</f>
        <v/>
      </c>
      <c r="D373">
        <f>BASE_EQUIPOS!D373</f>
        <v/>
      </c>
      <c r="E373">
        <f>BASE_EQUIPOS!G373</f>
        <v/>
      </c>
      <c r="F373">
        <f>BASE_EQUIPOS!H373</f>
        <v/>
      </c>
      <c r="G373">
        <f>BASE_EQUIPOS!M373</f>
        <v/>
      </c>
      <c r="I373" t="inlineStr">
        <is>
          <t>283/ 000215</t>
        </is>
      </c>
    </row>
    <row r="374">
      <c r="A374">
        <f>TRIM(BASE_EQUIPOS!N374)</f>
        <v/>
      </c>
      <c r="B374">
        <f>BASE_EQUIPOS!A374</f>
        <v/>
      </c>
      <c r="C374">
        <f>BASE_EQUIPOS!B374</f>
        <v/>
      </c>
      <c r="D374">
        <f>BASE_EQUIPOS!D374</f>
        <v/>
      </c>
      <c r="E374">
        <f>BASE_EQUIPOS!G374</f>
        <v/>
      </c>
      <c r="F374">
        <f>BASE_EQUIPOS!H374</f>
        <v/>
      </c>
      <c r="G374">
        <f>BASE_EQUIPOS!M374</f>
        <v/>
      </c>
      <c r="I374" t="inlineStr">
        <is>
          <t>302/ 000659</t>
        </is>
      </c>
    </row>
    <row r="375">
      <c r="A375">
        <f>TRIM(BASE_EQUIPOS!N375)</f>
        <v/>
      </c>
      <c r="B375">
        <f>BASE_EQUIPOS!A375</f>
        <v/>
      </c>
      <c r="C375">
        <f>BASE_EQUIPOS!B375</f>
        <v/>
      </c>
      <c r="D375">
        <f>BASE_EQUIPOS!D375</f>
        <v/>
      </c>
      <c r="E375">
        <f>BASE_EQUIPOS!G375</f>
        <v/>
      </c>
      <c r="F375">
        <f>BASE_EQUIPOS!H375</f>
        <v/>
      </c>
      <c r="G375">
        <f>BASE_EQUIPOS!M375</f>
        <v/>
      </c>
      <c r="I375" t="inlineStr">
        <is>
          <t>240/ 002419</t>
        </is>
      </c>
    </row>
    <row r="376">
      <c r="A376">
        <f>TRIM(BASE_EQUIPOS!N376)</f>
        <v/>
      </c>
      <c r="B376">
        <f>BASE_EQUIPOS!A376</f>
        <v/>
      </c>
      <c r="C376">
        <f>BASE_EQUIPOS!B376</f>
        <v/>
      </c>
      <c r="D376">
        <f>BASE_EQUIPOS!D376</f>
        <v/>
      </c>
      <c r="E376">
        <f>BASE_EQUIPOS!G376</f>
        <v/>
      </c>
      <c r="F376">
        <f>BASE_EQUIPOS!H376</f>
        <v/>
      </c>
      <c r="G376">
        <f>BASE_EQUIPOS!M376</f>
        <v/>
      </c>
      <c r="I376" t="inlineStr">
        <is>
          <t>35/ 000689</t>
        </is>
      </c>
    </row>
    <row r="377">
      <c r="A377">
        <f>TRIM(BASE_EQUIPOS!N377)</f>
        <v/>
      </c>
      <c r="B377">
        <f>BASE_EQUIPOS!A377</f>
        <v/>
      </c>
      <c r="C377">
        <f>BASE_EQUIPOS!B377</f>
        <v/>
      </c>
      <c r="D377">
        <f>BASE_EQUIPOS!D377</f>
        <v/>
      </c>
      <c r="E377">
        <f>BASE_EQUIPOS!G377</f>
        <v/>
      </c>
      <c r="F377">
        <f>BASE_EQUIPOS!H377</f>
        <v/>
      </c>
      <c r="G377">
        <f>BASE_EQUIPOS!M377</f>
        <v/>
      </c>
      <c r="I377" t="inlineStr">
        <is>
          <t>32/ 000354</t>
        </is>
      </c>
    </row>
    <row r="378">
      <c r="A378">
        <f>TRIM(BASE_EQUIPOS!N378)</f>
        <v/>
      </c>
      <c r="B378">
        <f>BASE_EQUIPOS!A378</f>
        <v/>
      </c>
      <c r="C378">
        <f>BASE_EQUIPOS!B378</f>
        <v/>
      </c>
      <c r="D378">
        <f>BASE_EQUIPOS!D378</f>
        <v/>
      </c>
      <c r="E378">
        <f>BASE_EQUIPOS!G378</f>
        <v/>
      </c>
      <c r="F378">
        <f>BASE_EQUIPOS!H378</f>
        <v/>
      </c>
      <c r="G378">
        <f>BASE_EQUIPOS!M378</f>
        <v/>
      </c>
      <c r="I378" t="inlineStr">
        <is>
          <t>S/N /003106</t>
        </is>
      </c>
    </row>
    <row r="379">
      <c r="A379">
        <f>TRIM(BASE_EQUIPOS!N379)</f>
        <v/>
      </c>
      <c r="B379">
        <f>BASE_EQUIPOS!A379</f>
        <v/>
      </c>
      <c r="C379">
        <f>BASE_EQUIPOS!B379</f>
        <v/>
      </c>
      <c r="D379">
        <f>BASE_EQUIPOS!D379</f>
        <v/>
      </c>
      <c r="E379">
        <f>BASE_EQUIPOS!G379</f>
        <v/>
      </c>
      <c r="F379">
        <f>BASE_EQUIPOS!H379</f>
        <v/>
      </c>
      <c r="G379">
        <f>BASE_EQUIPOS!M379</f>
        <v/>
      </c>
      <c r="I379" t="inlineStr">
        <is>
          <t>048741</t>
        </is>
      </c>
    </row>
    <row r="380">
      <c r="A380">
        <f>TRIM(BASE_EQUIPOS!N380)</f>
        <v/>
      </c>
      <c r="B380">
        <f>BASE_EQUIPOS!A380</f>
        <v/>
      </c>
      <c r="C380">
        <f>BASE_EQUIPOS!B380</f>
        <v/>
      </c>
      <c r="D380">
        <f>BASE_EQUIPOS!D380</f>
        <v/>
      </c>
      <c r="E380">
        <f>BASE_EQUIPOS!G380</f>
        <v/>
      </c>
      <c r="F380">
        <f>BASE_EQUIPOS!H380</f>
        <v/>
      </c>
      <c r="G380">
        <f>BASE_EQUIPOS!M380</f>
        <v/>
      </c>
      <c r="I380" t="inlineStr">
        <is>
          <t>296/001459</t>
        </is>
      </c>
    </row>
    <row r="381">
      <c r="A381">
        <f>TRIM(BASE_EQUIPOS!N381)</f>
        <v/>
      </c>
      <c r="B381">
        <f>BASE_EQUIPOS!A381</f>
        <v/>
      </c>
      <c r="C381">
        <f>BASE_EQUIPOS!B381</f>
        <v/>
      </c>
      <c r="D381">
        <f>BASE_EQUIPOS!D381</f>
        <v/>
      </c>
      <c r="E381">
        <f>BASE_EQUIPOS!G381</f>
        <v/>
      </c>
      <c r="F381">
        <f>BASE_EQUIPOS!H381</f>
        <v/>
      </c>
      <c r="G381">
        <f>BASE_EQUIPOS!M381</f>
        <v/>
      </c>
      <c r="I381" t="inlineStr">
        <is>
          <t>239/000129</t>
        </is>
      </c>
    </row>
    <row r="382">
      <c r="A382">
        <f>TRIM(BASE_EQUIPOS!N382)</f>
        <v/>
      </c>
      <c r="B382">
        <f>BASE_EQUIPOS!A382</f>
        <v/>
      </c>
      <c r="C382">
        <f>BASE_EQUIPOS!B382</f>
        <v/>
      </c>
      <c r="D382">
        <f>BASE_EQUIPOS!D382</f>
        <v/>
      </c>
      <c r="E382">
        <f>BASE_EQUIPOS!G382</f>
        <v/>
      </c>
      <c r="F382">
        <f>BASE_EQUIPOS!H382</f>
        <v/>
      </c>
      <c r="G382">
        <f>BASE_EQUIPOS!M382</f>
        <v/>
      </c>
      <c r="I382" t="inlineStr">
        <is>
          <t>327/001393</t>
        </is>
      </c>
    </row>
    <row r="383">
      <c r="A383">
        <f>TRIM(BASE_EQUIPOS!N383)</f>
        <v/>
      </c>
      <c r="B383">
        <f>BASE_EQUIPOS!A383</f>
        <v/>
      </c>
      <c r="C383">
        <f>BASE_EQUIPOS!B383</f>
        <v/>
      </c>
      <c r="D383">
        <f>BASE_EQUIPOS!D383</f>
        <v/>
      </c>
      <c r="E383">
        <f>BASE_EQUIPOS!G383</f>
        <v/>
      </c>
      <c r="F383">
        <f>BASE_EQUIPOS!H383</f>
        <v/>
      </c>
      <c r="G383">
        <f>BASE_EQUIPOS!M383</f>
        <v/>
      </c>
      <c r="I383" t="inlineStr">
        <is>
          <t>241/001353</t>
        </is>
      </c>
    </row>
    <row r="384">
      <c r="A384">
        <f>TRIM(BASE_EQUIPOS!N384)</f>
        <v/>
      </c>
      <c r="B384">
        <f>BASE_EQUIPOS!A384</f>
        <v/>
      </c>
      <c r="C384">
        <f>BASE_EQUIPOS!B384</f>
        <v/>
      </c>
      <c r="D384">
        <f>BASE_EQUIPOS!D384</f>
        <v/>
      </c>
      <c r="E384">
        <f>BASE_EQUIPOS!G384</f>
        <v/>
      </c>
      <c r="F384">
        <f>BASE_EQUIPOS!H384</f>
        <v/>
      </c>
      <c r="G384">
        <f>BASE_EQUIPOS!M384</f>
        <v/>
      </c>
      <c r="I384" t="inlineStr">
        <is>
          <t>S/N /000254</t>
        </is>
      </c>
    </row>
    <row r="385">
      <c r="A385">
        <f>TRIM(BASE_EQUIPOS!N385)</f>
        <v/>
      </c>
      <c r="B385">
        <f>BASE_EQUIPOS!A385</f>
        <v/>
      </c>
      <c r="C385">
        <f>BASE_EQUIPOS!B385</f>
        <v/>
      </c>
      <c r="D385">
        <f>BASE_EQUIPOS!D385</f>
        <v/>
      </c>
      <c r="E385">
        <f>BASE_EQUIPOS!G385</f>
        <v/>
      </c>
      <c r="F385">
        <f>BASE_EQUIPOS!H385</f>
        <v/>
      </c>
      <c r="G385">
        <f>BASE_EQUIPOS!M385</f>
        <v/>
      </c>
      <c r="I385" t="inlineStr">
        <is>
          <t>S/N /000054</t>
        </is>
      </c>
    </row>
    <row r="386">
      <c r="A386">
        <f>TRIM(BASE_EQUIPOS!N386)</f>
        <v/>
      </c>
      <c r="B386">
        <f>BASE_EQUIPOS!A386</f>
        <v/>
      </c>
      <c r="C386">
        <f>BASE_EQUIPOS!B386</f>
        <v/>
      </c>
      <c r="D386">
        <f>BASE_EQUIPOS!D386</f>
        <v/>
      </c>
      <c r="E386">
        <f>BASE_EQUIPOS!G386</f>
        <v/>
      </c>
      <c r="F386">
        <f>BASE_EQUIPOS!H386</f>
        <v/>
      </c>
      <c r="G386">
        <f>BASE_EQUIPOS!M386</f>
        <v/>
      </c>
      <c r="I386" t="inlineStr">
        <is>
          <t>234/001842</t>
        </is>
      </c>
    </row>
    <row r="387">
      <c r="A387">
        <f>TRIM(BASE_EQUIPOS!N387)</f>
        <v/>
      </c>
      <c r="B387">
        <f>BASE_EQUIPOS!A387</f>
        <v/>
      </c>
      <c r="C387">
        <f>BASE_EQUIPOS!B387</f>
        <v/>
      </c>
      <c r="D387">
        <f>BASE_EQUIPOS!D387</f>
        <v/>
      </c>
      <c r="E387">
        <f>BASE_EQUIPOS!G387</f>
        <v/>
      </c>
      <c r="F387">
        <f>BASE_EQUIPOS!H387</f>
        <v/>
      </c>
      <c r="G387">
        <f>BASE_EQUIPOS!M387</f>
        <v/>
      </c>
      <c r="I387" t="inlineStr">
        <is>
          <t>292/001002</t>
        </is>
      </c>
    </row>
    <row r="388">
      <c r="A388">
        <f>TRIM(BASE_EQUIPOS!N388)</f>
        <v/>
      </c>
      <c r="B388">
        <f>BASE_EQUIPOS!A388</f>
        <v/>
      </c>
      <c r="C388">
        <f>BASE_EQUIPOS!B388</f>
        <v/>
      </c>
      <c r="D388">
        <f>BASE_EQUIPOS!D388</f>
        <v/>
      </c>
      <c r="E388">
        <f>BASE_EQUIPOS!G388</f>
        <v/>
      </c>
      <c r="F388">
        <f>BASE_EQUIPOS!H388</f>
        <v/>
      </c>
      <c r="G388">
        <f>BASE_EQUIPOS!M388</f>
        <v/>
      </c>
      <c r="I388" t="inlineStr">
        <is>
          <t>S/N /000506</t>
        </is>
      </c>
    </row>
    <row r="389">
      <c r="A389">
        <f>TRIM(BASE_EQUIPOS!N389)</f>
        <v/>
      </c>
      <c r="B389">
        <f>BASE_EQUIPOS!A389</f>
        <v/>
      </c>
      <c r="C389">
        <f>BASE_EQUIPOS!B389</f>
        <v/>
      </c>
      <c r="D389">
        <f>BASE_EQUIPOS!D389</f>
        <v/>
      </c>
      <c r="E389">
        <f>BASE_EQUIPOS!G389</f>
        <v/>
      </c>
      <c r="F389">
        <f>BASE_EQUIPOS!H389</f>
        <v/>
      </c>
      <c r="G389">
        <f>BASE_EQUIPOS!M389</f>
        <v/>
      </c>
      <c r="I389" t="inlineStr">
        <is>
          <t>301/000683</t>
        </is>
      </c>
    </row>
    <row r="390">
      <c r="A390">
        <f>TRIM(BASE_EQUIPOS!N390)</f>
        <v/>
      </c>
      <c r="B390">
        <f>BASE_EQUIPOS!A390</f>
        <v/>
      </c>
      <c r="C390">
        <f>BASE_EQUIPOS!B390</f>
        <v/>
      </c>
      <c r="D390">
        <f>BASE_EQUIPOS!D390</f>
        <v/>
      </c>
      <c r="E390">
        <f>BASE_EQUIPOS!G390</f>
        <v/>
      </c>
      <c r="F390">
        <f>BASE_EQUIPOS!H390</f>
        <v/>
      </c>
      <c r="G390">
        <f>BASE_EQUIPOS!M390</f>
        <v/>
      </c>
      <c r="I390" t="inlineStr">
        <is>
          <t>209/000877</t>
        </is>
      </c>
    </row>
    <row r="391">
      <c r="A391">
        <f>TRIM(BASE_EQUIPOS!N391)</f>
        <v/>
      </c>
      <c r="B391">
        <f>BASE_EQUIPOS!A391</f>
        <v/>
      </c>
      <c r="C391">
        <f>BASE_EQUIPOS!B391</f>
        <v/>
      </c>
      <c r="D391">
        <f>BASE_EQUIPOS!D391</f>
        <v/>
      </c>
      <c r="E391">
        <f>BASE_EQUIPOS!G391</f>
        <v/>
      </c>
      <c r="F391">
        <f>BASE_EQUIPOS!H391</f>
        <v/>
      </c>
      <c r="G391">
        <f>BASE_EQUIPOS!M391</f>
        <v/>
      </c>
      <c r="I391" t="inlineStr">
        <is>
          <t>353/00698</t>
        </is>
      </c>
    </row>
    <row r="392">
      <c r="A392">
        <f>TRIM(BASE_EQUIPOS!N392)</f>
        <v/>
      </c>
      <c r="B392">
        <f>BASE_EQUIPOS!A392</f>
        <v/>
      </c>
      <c r="C392">
        <f>BASE_EQUIPOS!B392</f>
        <v/>
      </c>
      <c r="D392">
        <f>BASE_EQUIPOS!D392</f>
        <v/>
      </c>
      <c r="E392">
        <f>BASE_EQUIPOS!G392</f>
        <v/>
      </c>
      <c r="F392">
        <f>BASE_EQUIPOS!H392</f>
        <v/>
      </c>
      <c r="G392">
        <f>BASE_EQUIPOS!M392</f>
        <v/>
      </c>
      <c r="I392" t="inlineStr">
        <is>
          <t>000284</t>
        </is>
      </c>
    </row>
    <row r="393">
      <c r="A393">
        <f>TRIM(BASE_EQUIPOS!N393)</f>
        <v/>
      </c>
      <c r="B393">
        <f>BASE_EQUIPOS!A393</f>
        <v/>
      </c>
      <c r="C393">
        <f>BASE_EQUIPOS!B393</f>
        <v/>
      </c>
      <c r="D393">
        <f>BASE_EQUIPOS!D393</f>
        <v/>
      </c>
      <c r="E393">
        <f>BASE_EQUIPOS!G393</f>
        <v/>
      </c>
      <c r="F393">
        <f>BASE_EQUIPOS!H393</f>
        <v/>
      </c>
      <c r="G393">
        <f>BASE_EQUIPOS!M393</f>
        <v/>
      </c>
      <c r="I393" t="inlineStr">
        <is>
          <t>001388</t>
        </is>
      </c>
    </row>
    <row r="394">
      <c r="A394">
        <f>TRIM(BASE_EQUIPOS!N394)</f>
        <v/>
      </c>
      <c r="B394">
        <f>BASE_EQUIPOS!A394</f>
        <v/>
      </c>
      <c r="C394">
        <f>BASE_EQUIPOS!B394</f>
        <v/>
      </c>
      <c r="D394">
        <f>BASE_EQUIPOS!D394</f>
        <v/>
      </c>
      <c r="E394">
        <f>BASE_EQUIPOS!G394</f>
        <v/>
      </c>
      <c r="F394">
        <f>BASE_EQUIPOS!H394</f>
        <v/>
      </c>
      <c r="G394">
        <f>BASE_EQUIPOS!M394</f>
        <v/>
      </c>
      <c r="I394" t="inlineStr">
        <is>
          <t>000107</t>
        </is>
      </c>
    </row>
    <row r="395">
      <c r="A395">
        <f>TRIM(BASE_EQUIPOS!N395)</f>
        <v/>
      </c>
      <c r="B395">
        <f>BASE_EQUIPOS!A395</f>
        <v/>
      </c>
      <c r="C395">
        <f>BASE_EQUIPOS!B395</f>
        <v/>
      </c>
      <c r="D395">
        <f>BASE_EQUIPOS!D395</f>
        <v/>
      </c>
      <c r="E395">
        <f>BASE_EQUIPOS!G395</f>
        <v/>
      </c>
      <c r="F395">
        <f>BASE_EQUIPOS!H395</f>
        <v/>
      </c>
      <c r="G395">
        <f>BASE_EQUIPOS!M395</f>
        <v/>
      </c>
      <c r="I395" t="inlineStr">
        <is>
          <t>003938</t>
        </is>
      </c>
    </row>
    <row r="396">
      <c r="A396">
        <f>TRIM(BASE_EQUIPOS!N396)</f>
        <v/>
      </c>
      <c r="B396">
        <f>BASE_EQUIPOS!A396</f>
        <v/>
      </c>
      <c r="C396">
        <f>BASE_EQUIPOS!B396</f>
        <v/>
      </c>
      <c r="D396">
        <f>BASE_EQUIPOS!D396</f>
        <v/>
      </c>
      <c r="E396">
        <f>BASE_EQUIPOS!G396</f>
        <v/>
      </c>
      <c r="F396">
        <f>BASE_EQUIPOS!H396</f>
        <v/>
      </c>
      <c r="G396">
        <f>BASE_EQUIPOS!M396</f>
        <v/>
      </c>
      <c r="I396" t="inlineStr">
        <is>
          <t>165045</t>
        </is>
      </c>
    </row>
    <row r="397">
      <c r="A397">
        <f>TRIM(BASE_EQUIPOS!N397)</f>
        <v/>
      </c>
      <c r="B397">
        <f>BASE_EQUIPOS!A397</f>
        <v/>
      </c>
      <c r="C397">
        <f>BASE_EQUIPOS!B397</f>
        <v/>
      </c>
      <c r="D397">
        <f>BASE_EQUIPOS!D397</f>
        <v/>
      </c>
      <c r="E397">
        <f>BASE_EQUIPOS!G397</f>
        <v/>
      </c>
      <c r="F397">
        <f>BASE_EQUIPOS!H397</f>
        <v/>
      </c>
      <c r="G397">
        <f>BASE_EQUIPOS!M397</f>
        <v/>
      </c>
      <c r="I397" t="inlineStr">
        <is>
          <t>133/000476</t>
        </is>
      </c>
    </row>
    <row r="398">
      <c r="A398">
        <f>TRIM(BASE_EQUIPOS!N398)</f>
        <v/>
      </c>
      <c r="B398">
        <f>BASE_EQUIPOS!A398</f>
        <v/>
      </c>
      <c r="C398">
        <f>BASE_EQUIPOS!B398</f>
        <v/>
      </c>
      <c r="D398">
        <f>BASE_EQUIPOS!D398</f>
        <v/>
      </c>
      <c r="E398">
        <f>BASE_EQUIPOS!G398</f>
        <v/>
      </c>
      <c r="F398">
        <f>BASE_EQUIPOS!H398</f>
        <v/>
      </c>
      <c r="G398">
        <f>BASE_EQUIPOS!M398</f>
        <v/>
      </c>
      <c r="I398" t="inlineStr">
        <is>
          <t>385/002177</t>
        </is>
      </c>
    </row>
    <row r="399">
      <c r="A399">
        <f>TRIM(BASE_EQUIPOS!N399)</f>
        <v/>
      </c>
      <c r="B399">
        <f>BASE_EQUIPOS!A399</f>
        <v/>
      </c>
      <c r="C399">
        <f>BASE_EQUIPOS!B399</f>
        <v/>
      </c>
      <c r="D399">
        <f>BASE_EQUIPOS!D399</f>
        <v/>
      </c>
      <c r="E399">
        <f>BASE_EQUIPOS!G399</f>
        <v/>
      </c>
      <c r="F399">
        <f>BASE_EQUIPOS!H399</f>
        <v/>
      </c>
      <c r="G399">
        <f>BASE_EQUIPOS!M399</f>
        <v/>
      </c>
      <c r="I399" t="inlineStr">
        <is>
          <t>335/001071</t>
        </is>
      </c>
    </row>
    <row r="400">
      <c r="A400">
        <f>TRIM(BASE_EQUIPOS!N400)</f>
        <v/>
      </c>
      <c r="B400">
        <f>BASE_EQUIPOS!A400</f>
        <v/>
      </c>
      <c r="C400">
        <f>BASE_EQUIPOS!B400</f>
        <v/>
      </c>
      <c r="D400">
        <f>BASE_EQUIPOS!D400</f>
        <v/>
      </c>
      <c r="E400">
        <f>BASE_EQUIPOS!G400</f>
        <v/>
      </c>
      <c r="F400">
        <f>BASE_EQUIPOS!H400</f>
        <v/>
      </c>
      <c r="G400">
        <f>BASE_EQUIPOS!M400</f>
        <v/>
      </c>
      <c r="I400" t="inlineStr">
        <is>
          <t>265/000098</t>
        </is>
      </c>
    </row>
    <row r="401">
      <c r="A401">
        <f>TRIM(BASE_EQUIPOS!N401)</f>
        <v/>
      </c>
      <c r="B401">
        <f>BASE_EQUIPOS!A401</f>
        <v/>
      </c>
      <c r="C401">
        <f>BASE_EQUIPOS!B401</f>
        <v/>
      </c>
      <c r="D401">
        <f>BASE_EQUIPOS!D401</f>
        <v/>
      </c>
      <c r="E401">
        <f>BASE_EQUIPOS!G401</f>
        <v/>
      </c>
      <c r="F401">
        <f>BASE_EQUIPOS!H401</f>
        <v/>
      </c>
      <c r="G401">
        <f>BASE_EQUIPOS!M401</f>
        <v/>
      </c>
      <c r="I401" t="inlineStr">
        <is>
          <t>229/000605</t>
        </is>
      </c>
    </row>
    <row r="402">
      <c r="A402">
        <f>TRIM(BASE_EQUIPOS!N402)</f>
        <v/>
      </c>
      <c r="B402">
        <f>BASE_EQUIPOS!A402</f>
        <v/>
      </c>
      <c r="C402">
        <f>BASE_EQUIPOS!B402</f>
        <v/>
      </c>
      <c r="D402">
        <f>BASE_EQUIPOS!D402</f>
        <v/>
      </c>
      <c r="E402">
        <f>BASE_EQUIPOS!G402</f>
        <v/>
      </c>
      <c r="F402">
        <f>BASE_EQUIPOS!H402</f>
        <v/>
      </c>
      <c r="G402">
        <f>BASE_EQUIPOS!M402</f>
        <v/>
      </c>
      <c r="I402" t="inlineStr">
        <is>
          <t>S/N /010584</t>
        </is>
      </c>
    </row>
    <row r="403">
      <c r="A403">
        <f>TRIM(BASE_EQUIPOS!N403)</f>
        <v/>
      </c>
      <c r="B403">
        <f>BASE_EQUIPOS!A403</f>
        <v/>
      </c>
      <c r="C403">
        <f>BASE_EQUIPOS!B403</f>
        <v/>
      </c>
      <c r="D403">
        <f>BASE_EQUIPOS!D403</f>
        <v/>
      </c>
      <c r="E403">
        <f>BASE_EQUIPOS!G403</f>
        <v/>
      </c>
      <c r="F403">
        <f>BASE_EQUIPOS!H403</f>
        <v/>
      </c>
      <c r="G403">
        <f>BASE_EQUIPOS!M403</f>
        <v/>
      </c>
      <c r="I403" t="inlineStr">
        <is>
          <t>S/N /016160</t>
        </is>
      </c>
    </row>
    <row r="404">
      <c r="A404">
        <f>TRIM(BASE_EQUIPOS!N404)</f>
        <v/>
      </c>
      <c r="B404">
        <f>BASE_EQUIPOS!A404</f>
        <v/>
      </c>
      <c r="C404">
        <f>BASE_EQUIPOS!B404</f>
        <v/>
      </c>
      <c r="D404">
        <f>BASE_EQUIPOS!D404</f>
        <v/>
      </c>
      <c r="E404">
        <f>BASE_EQUIPOS!G404</f>
        <v/>
      </c>
      <c r="F404">
        <f>BASE_EQUIPOS!H404</f>
        <v/>
      </c>
      <c r="G404">
        <f>BASE_EQUIPOS!M404</f>
        <v/>
      </c>
      <c r="I404" t="inlineStr">
        <is>
          <t>145/000469</t>
        </is>
      </c>
    </row>
    <row r="405">
      <c r="A405">
        <f>TRIM(BASE_EQUIPOS!N405)</f>
        <v/>
      </c>
      <c r="B405">
        <f>BASE_EQUIPOS!A405</f>
        <v/>
      </c>
      <c r="C405">
        <f>BASE_EQUIPOS!B405</f>
        <v/>
      </c>
      <c r="D405">
        <f>BASE_EQUIPOS!D405</f>
        <v/>
      </c>
      <c r="E405">
        <f>BASE_EQUIPOS!G405</f>
        <v/>
      </c>
      <c r="F405">
        <f>BASE_EQUIPOS!H405</f>
        <v/>
      </c>
      <c r="G405">
        <f>BASE_EQUIPOS!M405</f>
        <v/>
      </c>
      <c r="I405" t="inlineStr">
        <is>
          <t>000390</t>
        </is>
      </c>
    </row>
    <row r="406">
      <c r="A406">
        <f>TRIM(BASE_EQUIPOS!N406)</f>
        <v/>
      </c>
      <c r="B406">
        <f>BASE_EQUIPOS!A406</f>
        <v/>
      </c>
      <c r="C406">
        <f>BASE_EQUIPOS!B406</f>
        <v/>
      </c>
      <c r="D406">
        <f>BASE_EQUIPOS!D406</f>
        <v/>
      </c>
      <c r="E406">
        <f>BASE_EQUIPOS!G406</f>
        <v/>
      </c>
      <c r="F406">
        <f>BASE_EQUIPOS!H406</f>
        <v/>
      </c>
      <c r="G406">
        <f>BASE_EQUIPOS!M406</f>
        <v/>
      </c>
      <c r="I406" t="inlineStr">
        <is>
          <t>024051</t>
        </is>
      </c>
    </row>
    <row r="407">
      <c r="A407">
        <f>TRIM(BASE_EQUIPOS!N407)</f>
        <v/>
      </c>
      <c r="B407">
        <f>BASE_EQUIPOS!A407</f>
        <v/>
      </c>
      <c r="C407">
        <f>BASE_EQUIPOS!B407</f>
        <v/>
      </c>
      <c r="D407">
        <f>BASE_EQUIPOS!D407</f>
        <v/>
      </c>
      <c r="E407">
        <f>BASE_EQUIPOS!G407</f>
        <v/>
      </c>
      <c r="F407">
        <f>BASE_EQUIPOS!H407</f>
        <v/>
      </c>
      <c r="G407">
        <f>BASE_EQUIPOS!M407</f>
        <v/>
      </c>
      <c r="I407" t="inlineStr">
        <is>
          <t>307163</t>
        </is>
      </c>
    </row>
    <row r="408">
      <c r="A408">
        <f>TRIM(BASE_EQUIPOS!N408)</f>
        <v/>
      </c>
      <c r="B408">
        <f>BASE_EQUIPOS!A408</f>
        <v/>
      </c>
      <c r="C408">
        <f>BASE_EQUIPOS!B408</f>
        <v/>
      </c>
      <c r="D408">
        <f>BASE_EQUIPOS!D408</f>
        <v/>
      </c>
      <c r="E408">
        <f>BASE_EQUIPOS!G408</f>
        <v/>
      </c>
      <c r="F408">
        <f>BASE_EQUIPOS!H408</f>
        <v/>
      </c>
      <c r="G408">
        <f>BASE_EQUIPOS!M408</f>
        <v/>
      </c>
      <c r="I408" t="inlineStr">
        <is>
          <t>000698</t>
        </is>
      </c>
    </row>
    <row r="409">
      <c r="A409">
        <f>TRIM(BASE_EQUIPOS!N409)</f>
        <v/>
      </c>
      <c r="B409">
        <f>BASE_EQUIPOS!A409</f>
        <v/>
      </c>
      <c r="C409">
        <f>BASE_EQUIPOS!B409</f>
        <v/>
      </c>
      <c r="D409">
        <f>BASE_EQUIPOS!D409</f>
        <v/>
      </c>
      <c r="E409">
        <f>BASE_EQUIPOS!G409</f>
        <v/>
      </c>
      <c r="F409">
        <f>BASE_EQUIPOS!H409</f>
        <v/>
      </c>
      <c r="G409">
        <f>BASE_EQUIPOS!M409</f>
        <v/>
      </c>
      <c r="I409" t="inlineStr">
        <is>
          <t>294/000054</t>
        </is>
      </c>
    </row>
    <row r="410">
      <c r="A410">
        <f>TRIM(BASE_EQUIPOS!N410)</f>
        <v/>
      </c>
      <c r="B410">
        <f>BASE_EQUIPOS!A410</f>
        <v/>
      </c>
      <c r="C410">
        <f>BASE_EQUIPOS!B410</f>
        <v/>
      </c>
      <c r="D410">
        <f>BASE_EQUIPOS!D410</f>
        <v/>
      </c>
      <c r="E410">
        <f>BASE_EQUIPOS!G410</f>
        <v/>
      </c>
      <c r="F410">
        <f>BASE_EQUIPOS!H410</f>
        <v/>
      </c>
      <c r="G410">
        <f>BASE_EQUIPOS!M410</f>
        <v/>
      </c>
      <c r="I410" t="inlineStr">
        <is>
          <t>337/000572</t>
        </is>
      </c>
    </row>
    <row r="411">
      <c r="A411">
        <f>TRIM(BASE_EQUIPOS!N411)</f>
        <v/>
      </c>
      <c r="B411">
        <f>BASE_EQUIPOS!A411</f>
        <v/>
      </c>
      <c r="C411">
        <f>BASE_EQUIPOS!B411</f>
        <v/>
      </c>
      <c r="D411">
        <f>BASE_EQUIPOS!D411</f>
        <v/>
      </c>
      <c r="E411">
        <f>BASE_EQUIPOS!G411</f>
        <v/>
      </c>
      <c r="F411">
        <f>BASE_EQUIPOS!H411</f>
        <v/>
      </c>
      <c r="G411">
        <f>BASE_EQUIPOS!M411</f>
        <v/>
      </c>
      <c r="I411" t="inlineStr">
        <is>
          <t>293/000978</t>
        </is>
      </c>
    </row>
    <row r="412">
      <c r="A412">
        <f>TRIM(BASE_EQUIPOS!N412)</f>
        <v/>
      </c>
      <c r="B412">
        <f>BASE_EQUIPOS!A412</f>
        <v/>
      </c>
      <c r="C412">
        <f>BASE_EQUIPOS!B412</f>
        <v/>
      </c>
      <c r="D412">
        <f>BASE_EQUIPOS!D412</f>
        <v/>
      </c>
      <c r="E412">
        <f>BASE_EQUIPOS!G412</f>
        <v/>
      </c>
      <c r="F412">
        <f>BASE_EQUIPOS!H412</f>
        <v/>
      </c>
      <c r="G412">
        <f>BASE_EQUIPOS!M412</f>
        <v/>
      </c>
      <c r="I412" t="inlineStr">
        <is>
          <t>334/000845</t>
        </is>
      </c>
    </row>
    <row r="413">
      <c r="A413">
        <f>TRIM(BASE_EQUIPOS!N413)</f>
        <v/>
      </c>
      <c r="B413">
        <f>BASE_EQUIPOS!A413</f>
        <v/>
      </c>
      <c r="C413">
        <f>BASE_EQUIPOS!B413</f>
        <v/>
      </c>
      <c r="D413">
        <f>BASE_EQUIPOS!D413</f>
        <v/>
      </c>
      <c r="E413">
        <f>BASE_EQUIPOS!G413</f>
        <v/>
      </c>
      <c r="F413">
        <f>BASE_EQUIPOS!H413</f>
        <v/>
      </c>
      <c r="G413">
        <f>BASE_EQUIPOS!M413</f>
        <v/>
      </c>
      <c r="I413" t="inlineStr">
        <is>
          <t>261/001700</t>
        </is>
      </c>
    </row>
    <row r="414">
      <c r="A414">
        <f>TRIM(BASE_EQUIPOS!N414)</f>
        <v/>
      </c>
      <c r="B414">
        <f>BASE_EQUIPOS!A414</f>
        <v/>
      </c>
      <c r="C414">
        <f>BASE_EQUIPOS!B414</f>
        <v/>
      </c>
      <c r="D414">
        <f>BASE_EQUIPOS!D414</f>
        <v/>
      </c>
      <c r="E414">
        <f>BASE_EQUIPOS!G414</f>
        <v/>
      </c>
      <c r="F414">
        <f>BASE_EQUIPOS!H414</f>
        <v/>
      </c>
      <c r="G414">
        <f>BASE_EQUIPOS!M414</f>
        <v/>
      </c>
      <c r="I414" t="inlineStr">
        <is>
          <t>219/001767</t>
        </is>
      </c>
    </row>
    <row r="415">
      <c r="A415">
        <f>TRIM(BASE_EQUIPOS!N415)</f>
        <v/>
      </c>
      <c r="B415">
        <f>BASE_EQUIPOS!A415</f>
        <v/>
      </c>
      <c r="C415">
        <f>BASE_EQUIPOS!B415</f>
        <v/>
      </c>
      <c r="D415">
        <f>BASE_EQUIPOS!D415</f>
        <v/>
      </c>
      <c r="E415">
        <f>BASE_EQUIPOS!G415</f>
        <v/>
      </c>
      <c r="F415">
        <f>BASE_EQUIPOS!H415</f>
        <v/>
      </c>
      <c r="G415">
        <f>BASE_EQUIPOS!M415</f>
        <v/>
      </c>
      <c r="I415" t="inlineStr">
        <is>
          <t>60/001029</t>
        </is>
      </c>
    </row>
    <row r="416">
      <c r="A416">
        <f>TRIM(BASE_EQUIPOS!N416)</f>
        <v/>
      </c>
      <c r="B416">
        <f>BASE_EQUIPOS!A416</f>
        <v/>
      </c>
      <c r="C416">
        <f>BASE_EQUIPOS!B416</f>
        <v/>
      </c>
      <c r="D416">
        <f>BASE_EQUIPOS!D416</f>
        <v/>
      </c>
      <c r="E416">
        <f>BASE_EQUIPOS!G416</f>
        <v/>
      </c>
      <c r="F416">
        <f>BASE_EQUIPOS!H416</f>
        <v/>
      </c>
      <c r="G416">
        <f>BASE_EQUIPOS!M416</f>
        <v/>
      </c>
      <c r="I416" t="inlineStr">
        <is>
          <t>S/N / 000005</t>
        </is>
      </c>
    </row>
    <row r="417">
      <c r="A417">
        <f>TRIM(BASE_EQUIPOS!N417)</f>
        <v/>
      </c>
      <c r="B417">
        <f>BASE_EQUIPOS!A417</f>
        <v/>
      </c>
      <c r="C417">
        <f>BASE_EQUIPOS!B417</f>
        <v/>
      </c>
      <c r="D417">
        <f>BASE_EQUIPOS!D417</f>
        <v/>
      </c>
      <c r="E417">
        <f>BASE_EQUIPOS!G417</f>
        <v/>
      </c>
      <c r="F417">
        <f>BASE_EQUIPOS!H417</f>
        <v/>
      </c>
      <c r="G417">
        <f>BASE_EQUIPOS!M417</f>
        <v/>
      </c>
      <c r="I417" t="inlineStr">
        <is>
          <t>S/N 000173</t>
        </is>
      </c>
    </row>
    <row r="418">
      <c r="A418">
        <f>TRIM(BASE_EQUIPOS!N418)</f>
        <v/>
      </c>
      <c r="B418">
        <f>BASE_EQUIPOS!A418</f>
        <v/>
      </c>
      <c r="C418">
        <f>BASE_EQUIPOS!B418</f>
        <v/>
      </c>
      <c r="D418">
        <f>BASE_EQUIPOS!D418</f>
        <v/>
      </c>
      <c r="E418">
        <f>BASE_EQUIPOS!G418</f>
        <v/>
      </c>
      <c r="F418">
        <f>BASE_EQUIPOS!H418</f>
        <v/>
      </c>
      <c r="G418">
        <f>BASE_EQUIPOS!M418</f>
        <v/>
      </c>
      <c r="I418" t="inlineStr">
        <is>
          <t>214/001243</t>
        </is>
      </c>
    </row>
    <row r="419">
      <c r="A419">
        <f>TRIM(BASE_EQUIPOS!N419)</f>
        <v/>
      </c>
      <c r="B419">
        <f>BASE_EQUIPOS!A419</f>
        <v/>
      </c>
      <c r="C419">
        <f>BASE_EQUIPOS!B419</f>
        <v/>
      </c>
      <c r="D419">
        <f>BASE_EQUIPOS!D419</f>
        <v/>
      </c>
      <c r="E419">
        <f>BASE_EQUIPOS!G419</f>
        <v/>
      </c>
      <c r="F419">
        <f>BASE_EQUIPOS!H419</f>
        <v/>
      </c>
      <c r="G419">
        <f>BASE_EQUIPOS!M419</f>
        <v/>
      </c>
      <c r="I419" t="inlineStr">
        <is>
          <t>S/N/ 003125</t>
        </is>
      </c>
    </row>
    <row r="420">
      <c r="A420">
        <f>TRIM(BASE_EQUIPOS!N420)</f>
        <v/>
      </c>
      <c r="B420">
        <f>BASE_EQUIPOS!A420</f>
        <v/>
      </c>
      <c r="C420">
        <f>BASE_EQUIPOS!B420</f>
        <v/>
      </c>
      <c r="D420">
        <f>BASE_EQUIPOS!D420</f>
        <v/>
      </c>
      <c r="E420">
        <f>BASE_EQUIPOS!G420</f>
        <v/>
      </c>
      <c r="F420">
        <f>BASE_EQUIPOS!H420</f>
        <v/>
      </c>
      <c r="G420">
        <f>BASE_EQUIPOS!M420</f>
        <v/>
      </c>
      <c r="I420" t="inlineStr">
        <is>
          <t>101/001632</t>
        </is>
      </c>
    </row>
    <row r="421">
      <c r="A421">
        <f>TRIM(BASE_EQUIPOS!N421)</f>
        <v/>
      </c>
      <c r="B421">
        <f>BASE_EQUIPOS!A421</f>
        <v/>
      </c>
      <c r="C421">
        <f>BASE_EQUIPOS!B421</f>
        <v/>
      </c>
      <c r="D421">
        <f>BASE_EQUIPOS!D421</f>
        <v/>
      </c>
      <c r="E421">
        <f>BASE_EQUIPOS!G421</f>
        <v/>
      </c>
      <c r="F421">
        <f>BASE_EQUIPOS!H421</f>
        <v/>
      </c>
      <c r="G421">
        <f>BASE_EQUIPOS!M421</f>
        <v/>
      </c>
      <c r="I421" t="inlineStr">
        <is>
          <t>277/001108</t>
        </is>
      </c>
    </row>
    <row r="422">
      <c r="A422">
        <f>TRIM(BASE_EQUIPOS!N422)</f>
        <v/>
      </c>
      <c r="B422">
        <f>BASE_EQUIPOS!A422</f>
        <v/>
      </c>
      <c r="C422">
        <f>BASE_EQUIPOS!B422</f>
        <v/>
      </c>
      <c r="D422">
        <f>BASE_EQUIPOS!D422</f>
        <v/>
      </c>
      <c r="E422">
        <f>BASE_EQUIPOS!G422</f>
        <v/>
      </c>
      <c r="F422">
        <f>BASE_EQUIPOS!H422</f>
        <v/>
      </c>
      <c r="G422">
        <f>BASE_EQUIPOS!M422</f>
        <v/>
      </c>
      <c r="I422" t="inlineStr">
        <is>
          <t>040465</t>
        </is>
      </c>
    </row>
    <row r="423">
      <c r="A423">
        <f>TRIM(BASE_EQUIPOS!N423)</f>
        <v/>
      </c>
      <c r="B423">
        <f>BASE_EQUIPOS!A423</f>
        <v/>
      </c>
      <c r="C423">
        <f>BASE_EQUIPOS!B423</f>
        <v/>
      </c>
      <c r="D423">
        <f>BASE_EQUIPOS!D423</f>
        <v/>
      </c>
      <c r="E423">
        <f>BASE_EQUIPOS!G423</f>
        <v/>
      </c>
      <c r="F423">
        <f>BASE_EQUIPOS!H423</f>
        <v/>
      </c>
      <c r="G423">
        <f>BASE_EQUIPOS!M423</f>
        <v/>
      </c>
      <c r="I423" t="inlineStr">
        <is>
          <t>PISO 1/ 000035</t>
        </is>
      </c>
    </row>
    <row r="424">
      <c r="A424">
        <f>TRIM(BASE_EQUIPOS!N424)</f>
        <v/>
      </c>
      <c r="B424">
        <f>BASE_EQUIPOS!A424</f>
        <v/>
      </c>
      <c r="C424">
        <f>BASE_EQUIPOS!B424</f>
        <v/>
      </c>
      <c r="D424">
        <f>BASE_EQUIPOS!D424</f>
        <v/>
      </c>
      <c r="E424">
        <f>BASE_EQUIPOS!G424</f>
        <v/>
      </c>
      <c r="F424">
        <f>BASE_EQUIPOS!H424</f>
        <v/>
      </c>
      <c r="G424">
        <f>BASE_EQUIPOS!M424</f>
        <v/>
      </c>
      <c r="I424" t="inlineStr">
        <is>
          <t>PISO 2/ 000762</t>
        </is>
      </c>
    </row>
    <row r="425">
      <c r="A425">
        <f>TRIM(BASE_EQUIPOS!N425)</f>
        <v/>
      </c>
      <c r="B425">
        <f>BASE_EQUIPOS!A425</f>
        <v/>
      </c>
      <c r="C425">
        <f>BASE_EQUIPOS!B425</f>
        <v/>
      </c>
      <c r="D425">
        <f>BASE_EQUIPOS!D425</f>
        <v/>
      </c>
      <c r="E425">
        <f>BASE_EQUIPOS!G425</f>
        <v/>
      </c>
      <c r="F425">
        <f>BASE_EQUIPOS!H425</f>
        <v/>
      </c>
      <c r="G425">
        <f>BASE_EQUIPOS!M425</f>
        <v/>
      </c>
      <c r="I425" t="inlineStr">
        <is>
          <t>PISO 3/ 000112</t>
        </is>
      </c>
    </row>
    <row r="426">
      <c r="A426">
        <f>TRIM(BASE_EQUIPOS!N426)</f>
        <v/>
      </c>
      <c r="B426">
        <f>BASE_EQUIPOS!A426</f>
        <v/>
      </c>
      <c r="C426">
        <f>BASE_EQUIPOS!B426</f>
        <v/>
      </c>
      <c r="D426">
        <f>BASE_EQUIPOS!D426</f>
        <v/>
      </c>
      <c r="E426">
        <f>BASE_EQUIPOS!G426</f>
        <v/>
      </c>
      <c r="F426">
        <f>BASE_EQUIPOS!H426</f>
        <v/>
      </c>
      <c r="G426">
        <f>BASE_EQUIPOS!M426</f>
        <v/>
      </c>
      <c r="I426" t="inlineStr">
        <is>
          <t>PISO 4/ 000984</t>
        </is>
      </c>
    </row>
    <row r="427">
      <c r="A427">
        <f>TRIM(BASE_EQUIPOS!N427)</f>
        <v/>
      </c>
      <c r="B427">
        <f>BASE_EQUIPOS!A427</f>
        <v/>
      </c>
      <c r="C427">
        <f>BASE_EQUIPOS!B427</f>
        <v/>
      </c>
      <c r="D427">
        <f>BASE_EQUIPOS!D427</f>
        <v/>
      </c>
      <c r="E427">
        <f>BASE_EQUIPOS!G427</f>
        <v/>
      </c>
      <c r="F427">
        <f>BASE_EQUIPOS!H427</f>
        <v/>
      </c>
      <c r="G427">
        <f>BASE_EQUIPOS!M427</f>
        <v/>
      </c>
      <c r="I427" t="inlineStr">
        <is>
          <t>PISO 5/ 001645</t>
        </is>
      </c>
    </row>
    <row r="428">
      <c r="A428">
        <f>TRIM(BASE_EQUIPOS!N428)</f>
        <v/>
      </c>
      <c r="B428">
        <f>BASE_EQUIPOS!A428</f>
        <v/>
      </c>
      <c r="C428">
        <f>BASE_EQUIPOS!B428</f>
        <v/>
      </c>
      <c r="D428">
        <f>BASE_EQUIPOS!D428</f>
        <v/>
      </c>
      <c r="E428">
        <f>BASE_EQUIPOS!G428</f>
        <v/>
      </c>
      <c r="F428">
        <f>BASE_EQUIPOS!H428</f>
        <v/>
      </c>
      <c r="G428">
        <f>BASE_EQUIPOS!M428</f>
        <v/>
      </c>
      <c r="I428" t="inlineStr">
        <is>
          <t>PISO 6/ 000470</t>
        </is>
      </c>
    </row>
    <row r="429">
      <c r="A429">
        <f>TRIM(BASE_EQUIPOS!N429)</f>
        <v/>
      </c>
      <c r="B429">
        <f>BASE_EQUIPOS!A429</f>
        <v/>
      </c>
      <c r="C429">
        <f>BASE_EQUIPOS!B429</f>
        <v/>
      </c>
      <c r="D429">
        <f>BASE_EQUIPOS!D429</f>
        <v/>
      </c>
      <c r="E429">
        <f>BASE_EQUIPOS!G429</f>
        <v/>
      </c>
      <c r="F429">
        <f>BASE_EQUIPOS!H429</f>
        <v/>
      </c>
      <c r="G429">
        <f>BASE_EQUIPOS!M429</f>
        <v/>
      </c>
      <c r="I429" t="inlineStr">
        <is>
          <t>PISO 7/ 000050</t>
        </is>
      </c>
    </row>
    <row r="430">
      <c r="A430">
        <f>TRIM(BASE_EQUIPOS!N430)</f>
        <v/>
      </c>
      <c r="B430">
        <f>BASE_EQUIPOS!A430</f>
        <v/>
      </c>
      <c r="C430">
        <f>BASE_EQUIPOS!B430</f>
        <v/>
      </c>
      <c r="D430">
        <f>BASE_EQUIPOS!D430</f>
        <v/>
      </c>
      <c r="E430">
        <f>BASE_EQUIPOS!G430</f>
        <v/>
      </c>
      <c r="F430">
        <f>BASE_EQUIPOS!H430</f>
        <v/>
      </c>
      <c r="G430">
        <f>BASE_EQUIPOS!M430</f>
        <v/>
      </c>
      <c r="I430" t="inlineStr">
        <is>
          <t>PISO 8/ 000275</t>
        </is>
      </c>
    </row>
    <row r="431">
      <c r="A431">
        <f>TRIM(BASE_EQUIPOS!N431)</f>
        <v/>
      </c>
      <c r="B431">
        <f>BASE_EQUIPOS!A431</f>
        <v/>
      </c>
      <c r="C431">
        <f>BASE_EQUIPOS!B431</f>
        <v/>
      </c>
      <c r="D431">
        <f>BASE_EQUIPOS!D431</f>
        <v/>
      </c>
      <c r="E431">
        <f>BASE_EQUIPOS!G431</f>
        <v/>
      </c>
      <c r="F431">
        <f>BASE_EQUIPOS!H431</f>
        <v/>
      </c>
      <c r="G431">
        <f>BASE_EQUIPOS!M431</f>
        <v/>
      </c>
      <c r="I431" t="inlineStr">
        <is>
          <t>PISO 9/ 000178</t>
        </is>
      </c>
    </row>
    <row r="432">
      <c r="A432">
        <f>TRIM(BASE_EQUIPOS!N432)</f>
        <v/>
      </c>
      <c r="B432">
        <f>BASE_EQUIPOS!A432</f>
        <v/>
      </c>
      <c r="C432">
        <f>BASE_EQUIPOS!B432</f>
        <v/>
      </c>
      <c r="D432">
        <f>BASE_EQUIPOS!D432</f>
        <v/>
      </c>
      <c r="E432">
        <f>BASE_EQUIPOS!G432</f>
        <v/>
      </c>
      <c r="F432">
        <f>BASE_EQUIPOS!H432</f>
        <v/>
      </c>
      <c r="G432">
        <f>BASE_EQUIPOS!M432</f>
        <v/>
      </c>
      <c r="I432" t="inlineStr">
        <is>
          <t>PISO 10/000967</t>
        </is>
      </c>
    </row>
    <row r="433">
      <c r="A433">
        <f>TRIM(BASE_EQUIPOS!N433)</f>
        <v/>
      </c>
      <c r="B433">
        <f>BASE_EQUIPOS!A433</f>
        <v/>
      </c>
      <c r="C433">
        <f>BASE_EQUIPOS!B433</f>
        <v/>
      </c>
      <c r="D433">
        <f>BASE_EQUIPOS!D433</f>
        <v/>
      </c>
      <c r="E433">
        <f>BASE_EQUIPOS!G433</f>
        <v/>
      </c>
      <c r="F433">
        <f>BASE_EQUIPOS!H433</f>
        <v/>
      </c>
      <c r="G433">
        <f>BASE_EQUIPOS!M433</f>
        <v/>
      </c>
      <c r="I433" t="inlineStr">
        <is>
          <t>PISO 1/ 000038</t>
        </is>
      </c>
    </row>
    <row r="434">
      <c r="A434">
        <f>TRIM(BASE_EQUIPOS!N434)</f>
        <v/>
      </c>
      <c r="B434">
        <f>BASE_EQUIPOS!A434</f>
        <v/>
      </c>
      <c r="C434">
        <f>BASE_EQUIPOS!B434</f>
        <v/>
      </c>
      <c r="D434">
        <f>BASE_EQUIPOS!D434</f>
        <v/>
      </c>
      <c r="E434">
        <f>BASE_EQUIPOS!G434</f>
        <v/>
      </c>
      <c r="F434">
        <f>BASE_EQUIPOS!H434</f>
        <v/>
      </c>
      <c r="G434">
        <f>BASE_EQUIPOS!M434</f>
        <v/>
      </c>
      <c r="I434" t="inlineStr">
        <is>
          <t>PISO 2/ 000715</t>
        </is>
      </c>
    </row>
    <row r="435">
      <c r="A435">
        <f>TRIM(BASE_EQUIPOS!N435)</f>
        <v/>
      </c>
      <c r="B435">
        <f>BASE_EQUIPOS!A435</f>
        <v/>
      </c>
      <c r="C435">
        <f>BASE_EQUIPOS!B435</f>
        <v/>
      </c>
      <c r="D435">
        <f>BASE_EQUIPOS!D435</f>
        <v/>
      </c>
      <c r="E435">
        <f>BASE_EQUIPOS!G435</f>
        <v/>
      </c>
      <c r="F435">
        <f>BASE_EQUIPOS!H435</f>
        <v/>
      </c>
      <c r="G435">
        <f>BASE_EQUIPOS!M435</f>
        <v/>
      </c>
      <c r="I435" t="inlineStr">
        <is>
          <t>PISO 3/ 000008</t>
        </is>
      </c>
    </row>
    <row r="436">
      <c r="A436">
        <f>TRIM(BASE_EQUIPOS!N436)</f>
        <v/>
      </c>
      <c r="B436">
        <f>BASE_EQUIPOS!A436</f>
        <v/>
      </c>
      <c r="C436">
        <f>BASE_EQUIPOS!B436</f>
        <v/>
      </c>
      <c r="D436">
        <f>BASE_EQUIPOS!D436</f>
        <v/>
      </c>
      <c r="E436">
        <f>BASE_EQUIPOS!G436</f>
        <v/>
      </c>
      <c r="F436">
        <f>BASE_EQUIPOS!H436</f>
        <v/>
      </c>
      <c r="G436">
        <f>BASE_EQUIPOS!M436</f>
        <v/>
      </c>
      <c r="I436" t="inlineStr">
        <is>
          <t>PISO 4/ 000909</t>
        </is>
      </c>
    </row>
    <row r="437">
      <c r="A437">
        <f>TRIM(BASE_EQUIPOS!N437)</f>
        <v/>
      </c>
      <c r="B437">
        <f>BASE_EQUIPOS!A437</f>
        <v/>
      </c>
      <c r="C437">
        <f>BASE_EQUIPOS!B437</f>
        <v/>
      </c>
      <c r="D437">
        <f>BASE_EQUIPOS!D437</f>
        <v/>
      </c>
      <c r="E437">
        <f>BASE_EQUIPOS!G437</f>
        <v/>
      </c>
      <c r="F437">
        <f>BASE_EQUIPOS!H437</f>
        <v/>
      </c>
      <c r="G437">
        <f>BASE_EQUIPOS!M437</f>
        <v/>
      </c>
      <c r="I437" t="inlineStr">
        <is>
          <t>PISO 5/ 000405</t>
        </is>
      </c>
    </row>
    <row r="438">
      <c r="A438">
        <f>TRIM(BASE_EQUIPOS!N438)</f>
        <v/>
      </c>
      <c r="B438">
        <f>BASE_EQUIPOS!A438</f>
        <v/>
      </c>
      <c r="C438">
        <f>BASE_EQUIPOS!B438</f>
        <v/>
      </c>
      <c r="D438">
        <f>BASE_EQUIPOS!D438</f>
        <v/>
      </c>
      <c r="E438">
        <f>BASE_EQUIPOS!G438</f>
        <v/>
      </c>
      <c r="F438">
        <f>BASE_EQUIPOS!H438</f>
        <v/>
      </c>
      <c r="G438">
        <f>BASE_EQUIPOS!M438</f>
        <v/>
      </c>
      <c r="I438" t="inlineStr">
        <is>
          <t>PISO 6/ 000900</t>
        </is>
      </c>
    </row>
    <row r="439">
      <c r="A439">
        <f>TRIM(BASE_EQUIPOS!N439)</f>
        <v/>
      </c>
      <c r="B439">
        <f>BASE_EQUIPOS!A439</f>
        <v/>
      </c>
      <c r="C439">
        <f>BASE_EQUIPOS!B439</f>
        <v/>
      </c>
      <c r="D439">
        <f>BASE_EQUIPOS!D439</f>
        <v/>
      </c>
      <c r="E439">
        <f>BASE_EQUIPOS!G439</f>
        <v/>
      </c>
      <c r="F439">
        <f>BASE_EQUIPOS!H439</f>
        <v/>
      </c>
      <c r="G439">
        <f>BASE_EQUIPOS!M439</f>
        <v/>
      </c>
      <c r="I439" t="inlineStr">
        <is>
          <t>PISO 7/ 000526</t>
        </is>
      </c>
    </row>
    <row r="440">
      <c r="A440">
        <f>TRIM(BASE_EQUIPOS!N440)</f>
        <v/>
      </c>
      <c r="B440">
        <f>BASE_EQUIPOS!A440</f>
        <v/>
      </c>
      <c r="C440">
        <f>BASE_EQUIPOS!B440</f>
        <v/>
      </c>
      <c r="D440">
        <f>BASE_EQUIPOS!D440</f>
        <v/>
      </c>
      <c r="E440">
        <f>BASE_EQUIPOS!G440</f>
        <v/>
      </c>
      <c r="F440">
        <f>BASE_EQUIPOS!H440</f>
        <v/>
      </c>
      <c r="G440">
        <f>BASE_EQUIPOS!M440</f>
        <v/>
      </c>
      <c r="I440" t="inlineStr">
        <is>
          <t>PISO 8/ 000513</t>
        </is>
      </c>
    </row>
    <row r="441">
      <c r="A441">
        <f>TRIM(BASE_EQUIPOS!N441)</f>
        <v/>
      </c>
      <c r="B441">
        <f>BASE_EQUIPOS!A441</f>
        <v/>
      </c>
      <c r="C441">
        <f>BASE_EQUIPOS!B441</f>
        <v/>
      </c>
      <c r="D441">
        <f>BASE_EQUIPOS!D441</f>
        <v/>
      </c>
      <c r="E441">
        <f>BASE_EQUIPOS!G441</f>
        <v/>
      </c>
      <c r="F441">
        <f>BASE_EQUIPOS!H441</f>
        <v/>
      </c>
      <c r="G441">
        <f>BASE_EQUIPOS!M441</f>
        <v/>
      </c>
      <c r="I441" t="inlineStr">
        <is>
          <t>PISO 9/ 000727</t>
        </is>
      </c>
    </row>
    <row r="442">
      <c r="A442">
        <f>TRIM(BASE_EQUIPOS!N442)</f>
        <v/>
      </c>
      <c r="B442">
        <f>BASE_EQUIPOS!A442</f>
        <v/>
      </c>
      <c r="C442">
        <f>BASE_EQUIPOS!B442</f>
        <v/>
      </c>
      <c r="D442">
        <f>BASE_EQUIPOS!D442</f>
        <v/>
      </c>
      <c r="E442">
        <f>BASE_EQUIPOS!G442</f>
        <v/>
      </c>
      <c r="F442">
        <f>BASE_EQUIPOS!H442</f>
        <v/>
      </c>
      <c r="G442">
        <f>BASE_EQUIPOS!M442</f>
        <v/>
      </c>
      <c r="I442" t="inlineStr">
        <is>
          <t>PISO 10/000971</t>
        </is>
      </c>
    </row>
    <row r="443">
      <c r="A443">
        <f>TRIM(BASE_EQUIPOS!N443)</f>
        <v/>
      </c>
      <c r="B443">
        <f>BASE_EQUIPOS!A443</f>
        <v/>
      </c>
      <c r="C443">
        <f>BASE_EQUIPOS!B443</f>
        <v/>
      </c>
      <c r="D443">
        <f>BASE_EQUIPOS!D443</f>
        <v/>
      </c>
      <c r="E443">
        <f>BASE_EQUIPOS!G443</f>
        <v/>
      </c>
      <c r="F443">
        <f>BASE_EQUIPOS!H443</f>
        <v/>
      </c>
      <c r="G443">
        <f>BASE_EQUIPOS!M443</f>
        <v/>
      </c>
      <c r="I443" t="inlineStr">
        <is>
          <t>PISO 1/ 000207</t>
        </is>
      </c>
    </row>
    <row r="444">
      <c r="A444">
        <f>TRIM(BASE_EQUIPOS!N444)</f>
        <v/>
      </c>
      <c r="B444">
        <f>BASE_EQUIPOS!A444</f>
        <v/>
      </c>
      <c r="C444">
        <f>BASE_EQUIPOS!B444</f>
        <v/>
      </c>
      <c r="D444">
        <f>BASE_EQUIPOS!D444</f>
        <v/>
      </c>
      <c r="E444">
        <f>BASE_EQUIPOS!G444</f>
        <v/>
      </c>
      <c r="F444">
        <f>BASE_EQUIPOS!H444</f>
        <v/>
      </c>
      <c r="G444">
        <f>BASE_EQUIPOS!M444</f>
        <v/>
      </c>
      <c r="I444" t="inlineStr">
        <is>
          <t>PISO 2/ 000054</t>
        </is>
      </c>
    </row>
    <row r="445">
      <c r="A445">
        <f>TRIM(BASE_EQUIPOS!N445)</f>
        <v/>
      </c>
      <c r="B445">
        <f>BASE_EQUIPOS!A445</f>
        <v/>
      </c>
      <c r="C445">
        <f>BASE_EQUIPOS!B445</f>
        <v/>
      </c>
      <c r="D445">
        <f>BASE_EQUIPOS!D445</f>
        <v/>
      </c>
      <c r="E445">
        <f>BASE_EQUIPOS!G445</f>
        <v/>
      </c>
      <c r="F445">
        <f>BASE_EQUIPOS!H445</f>
        <v/>
      </c>
      <c r="G445">
        <f>BASE_EQUIPOS!M445</f>
        <v/>
      </c>
      <c r="I445" t="inlineStr">
        <is>
          <t>PISO 3/ 000907</t>
        </is>
      </c>
    </row>
    <row r="446">
      <c r="A446">
        <f>TRIM(BASE_EQUIPOS!N446)</f>
        <v/>
      </c>
      <c r="B446">
        <f>BASE_EQUIPOS!A446</f>
        <v/>
      </c>
      <c r="C446">
        <f>BASE_EQUIPOS!B446</f>
        <v/>
      </c>
      <c r="D446">
        <f>BASE_EQUIPOS!D446</f>
        <v/>
      </c>
      <c r="E446">
        <f>BASE_EQUIPOS!G446</f>
        <v/>
      </c>
      <c r="F446">
        <f>BASE_EQUIPOS!H446</f>
        <v/>
      </c>
      <c r="G446">
        <f>BASE_EQUIPOS!M446</f>
        <v/>
      </c>
      <c r="I446" t="inlineStr">
        <is>
          <t>PISO 4/ 000849</t>
        </is>
      </c>
    </row>
    <row r="447">
      <c r="A447">
        <f>TRIM(BASE_EQUIPOS!N447)</f>
        <v/>
      </c>
      <c r="B447">
        <f>BASE_EQUIPOS!A447</f>
        <v/>
      </c>
      <c r="C447">
        <f>BASE_EQUIPOS!B447</f>
        <v/>
      </c>
      <c r="D447">
        <f>BASE_EQUIPOS!D447</f>
        <v/>
      </c>
      <c r="E447">
        <f>BASE_EQUIPOS!G447</f>
        <v/>
      </c>
      <c r="F447">
        <f>BASE_EQUIPOS!H447</f>
        <v/>
      </c>
      <c r="G447">
        <f>BASE_EQUIPOS!M447</f>
        <v/>
      </c>
      <c r="I447" t="inlineStr">
        <is>
          <t>PISO 5/ 000840</t>
        </is>
      </c>
    </row>
    <row r="448">
      <c r="A448">
        <f>TRIM(BASE_EQUIPOS!N448)</f>
        <v/>
      </c>
      <c r="B448">
        <f>BASE_EQUIPOS!A448</f>
        <v/>
      </c>
      <c r="C448">
        <f>BASE_EQUIPOS!B448</f>
        <v/>
      </c>
      <c r="D448">
        <f>BASE_EQUIPOS!D448</f>
        <v/>
      </c>
      <c r="E448">
        <f>BASE_EQUIPOS!G448</f>
        <v/>
      </c>
      <c r="F448">
        <f>BASE_EQUIPOS!H448</f>
        <v/>
      </c>
      <c r="G448">
        <f>BASE_EQUIPOS!M448</f>
        <v/>
      </c>
      <c r="I448" t="inlineStr">
        <is>
          <t>PISO 6/ 000544</t>
        </is>
      </c>
    </row>
    <row r="449">
      <c r="A449">
        <f>TRIM(BASE_EQUIPOS!N449)</f>
        <v/>
      </c>
      <c r="B449">
        <f>BASE_EQUIPOS!A449</f>
        <v/>
      </c>
      <c r="C449">
        <f>BASE_EQUIPOS!B449</f>
        <v/>
      </c>
      <c r="D449">
        <f>BASE_EQUIPOS!D449</f>
        <v/>
      </c>
      <c r="E449">
        <f>BASE_EQUIPOS!G449</f>
        <v/>
      </c>
      <c r="F449">
        <f>BASE_EQUIPOS!H449</f>
        <v/>
      </c>
      <c r="G449">
        <f>BASE_EQUIPOS!M449</f>
        <v/>
      </c>
      <c r="I449" t="inlineStr">
        <is>
          <t>PISO 7/ 000930</t>
        </is>
      </c>
    </row>
    <row r="450">
      <c r="A450">
        <f>TRIM(BASE_EQUIPOS!N450)</f>
        <v/>
      </c>
      <c r="B450">
        <f>BASE_EQUIPOS!A450</f>
        <v/>
      </c>
      <c r="C450">
        <f>BASE_EQUIPOS!B450</f>
        <v/>
      </c>
      <c r="D450">
        <f>BASE_EQUIPOS!D450</f>
        <v/>
      </c>
      <c r="E450">
        <f>BASE_EQUIPOS!G450</f>
        <v/>
      </c>
      <c r="F450">
        <f>BASE_EQUIPOS!H450</f>
        <v/>
      </c>
      <c r="G450">
        <f>BASE_EQUIPOS!M450</f>
        <v/>
      </c>
      <c r="I450" t="inlineStr">
        <is>
          <t>PISO 8/ 000676</t>
        </is>
      </c>
    </row>
    <row r="451">
      <c r="A451">
        <f>TRIM(BASE_EQUIPOS!N451)</f>
        <v/>
      </c>
      <c r="B451">
        <f>BASE_EQUIPOS!A451</f>
        <v/>
      </c>
      <c r="C451">
        <f>BASE_EQUIPOS!B451</f>
        <v/>
      </c>
      <c r="D451">
        <f>BASE_EQUIPOS!D451</f>
        <v/>
      </c>
      <c r="E451">
        <f>BASE_EQUIPOS!G451</f>
        <v/>
      </c>
      <c r="F451">
        <f>BASE_EQUIPOS!H451</f>
        <v/>
      </c>
      <c r="G451">
        <f>BASE_EQUIPOS!M451</f>
        <v/>
      </c>
      <c r="I451" t="inlineStr">
        <is>
          <t>PISO 9/ 000330</t>
        </is>
      </c>
    </row>
    <row r="452">
      <c r="A452">
        <f>TRIM(BASE_EQUIPOS!N452)</f>
        <v/>
      </c>
      <c r="B452">
        <f>BASE_EQUIPOS!A452</f>
        <v/>
      </c>
      <c r="C452">
        <f>BASE_EQUIPOS!B452</f>
        <v/>
      </c>
      <c r="D452">
        <f>BASE_EQUIPOS!D452</f>
        <v/>
      </c>
      <c r="E452">
        <f>BASE_EQUIPOS!G452</f>
        <v/>
      </c>
      <c r="F452">
        <f>BASE_EQUIPOS!H452</f>
        <v/>
      </c>
      <c r="G452">
        <f>BASE_EQUIPOS!M452</f>
        <v/>
      </c>
      <c r="I452" t="inlineStr">
        <is>
          <t>PISO 10/000263</t>
        </is>
      </c>
    </row>
    <row r="453">
      <c r="A453">
        <f>TRIM(BASE_EQUIPOS!N453)</f>
        <v/>
      </c>
      <c r="B453">
        <f>BASE_EQUIPOS!A453</f>
        <v/>
      </c>
      <c r="C453">
        <f>BASE_EQUIPOS!B453</f>
        <v/>
      </c>
      <c r="D453">
        <f>BASE_EQUIPOS!D453</f>
        <v/>
      </c>
      <c r="E453">
        <f>BASE_EQUIPOS!G453</f>
        <v/>
      </c>
      <c r="F453">
        <f>BASE_EQUIPOS!H453</f>
        <v/>
      </c>
      <c r="G453">
        <f>BASE_EQUIPOS!M453</f>
        <v/>
      </c>
      <c r="I453" t="inlineStr">
        <is>
          <t>S/N /004001</t>
        </is>
      </c>
    </row>
    <row r="454">
      <c r="A454">
        <f>TRIM(BASE_EQUIPOS!N454)</f>
        <v/>
      </c>
      <c r="B454">
        <f>BASE_EQUIPOS!A454</f>
        <v/>
      </c>
      <c r="C454">
        <f>BASE_EQUIPOS!B454</f>
        <v/>
      </c>
      <c r="D454">
        <f>BASE_EQUIPOS!D454</f>
        <v/>
      </c>
      <c r="E454">
        <f>BASE_EQUIPOS!G454</f>
        <v/>
      </c>
      <c r="F454">
        <f>BASE_EQUIPOS!H454</f>
        <v/>
      </c>
      <c r="G454">
        <f>BASE_EQUIPOS!M454</f>
        <v/>
      </c>
      <c r="I454" t="inlineStr">
        <is>
          <t>S/N /00357</t>
        </is>
      </c>
    </row>
    <row r="455">
      <c r="A455">
        <f>TRIM(BASE_EQUIPOS!N455)</f>
        <v/>
      </c>
      <c r="B455">
        <f>BASE_EQUIPOS!A455</f>
        <v/>
      </c>
      <c r="C455">
        <f>BASE_EQUIPOS!B455</f>
        <v/>
      </c>
      <c r="D455">
        <f>BASE_EQUIPOS!D455</f>
        <v/>
      </c>
      <c r="E455">
        <f>BASE_EQUIPOS!G455</f>
        <v/>
      </c>
      <c r="F455">
        <f>BASE_EQUIPOS!H455</f>
        <v/>
      </c>
      <c r="G455">
        <f>BASE_EQUIPOS!M455</f>
        <v/>
      </c>
      <c r="I455" t="inlineStr">
        <is>
          <t>268/001559</t>
        </is>
      </c>
    </row>
    <row r="456">
      <c r="A456">
        <f>TRIM(BASE_EQUIPOS!N456)</f>
        <v/>
      </c>
      <c r="B456">
        <f>BASE_EQUIPOS!A456</f>
        <v/>
      </c>
      <c r="C456">
        <f>BASE_EQUIPOS!B456</f>
        <v/>
      </c>
      <c r="D456">
        <f>BASE_EQUIPOS!D456</f>
        <v/>
      </c>
      <c r="E456">
        <f>BASE_EQUIPOS!G456</f>
        <v/>
      </c>
      <c r="F456">
        <f>BASE_EQUIPOS!H456</f>
        <v/>
      </c>
      <c r="G456">
        <f>BASE_EQUIPOS!M456</f>
        <v/>
      </c>
      <c r="I456" t="inlineStr">
        <is>
          <t>S/N /000942</t>
        </is>
      </c>
    </row>
    <row r="457">
      <c r="A457">
        <f>TRIM(BASE_EQUIPOS!N457)</f>
        <v/>
      </c>
      <c r="B457">
        <f>BASE_EQUIPOS!A457</f>
        <v/>
      </c>
      <c r="C457">
        <f>BASE_EQUIPOS!B457</f>
        <v/>
      </c>
      <c r="D457">
        <f>BASE_EQUIPOS!D457</f>
        <v/>
      </c>
      <c r="E457">
        <f>BASE_EQUIPOS!G457</f>
        <v/>
      </c>
      <c r="F457">
        <f>BASE_EQUIPOS!H457</f>
        <v/>
      </c>
      <c r="G457">
        <f>BASE_EQUIPOS!M457</f>
        <v/>
      </c>
      <c r="I457" t="inlineStr">
        <is>
          <t>216/00241</t>
        </is>
      </c>
    </row>
    <row r="458">
      <c r="A458">
        <f>TRIM(BASE_EQUIPOS!N458)</f>
        <v/>
      </c>
      <c r="B458">
        <f>BASE_EQUIPOS!A458</f>
        <v/>
      </c>
      <c r="C458">
        <f>BASE_EQUIPOS!B458</f>
        <v/>
      </c>
      <c r="D458">
        <f>BASE_EQUIPOS!D458</f>
        <v/>
      </c>
      <c r="E458">
        <f>BASE_EQUIPOS!G458</f>
        <v/>
      </c>
      <c r="F458">
        <f>BASE_EQUIPOS!H458</f>
        <v/>
      </c>
      <c r="G458">
        <f>BASE_EQUIPOS!M458</f>
        <v/>
      </c>
      <c r="I458" t="inlineStr">
        <is>
          <t>299/001414</t>
        </is>
      </c>
    </row>
    <row r="459">
      <c r="A459">
        <f>TRIM(BASE_EQUIPOS!N459)</f>
        <v/>
      </c>
      <c r="B459">
        <f>BASE_EQUIPOS!A459</f>
        <v/>
      </c>
      <c r="C459">
        <f>BASE_EQUIPOS!B459</f>
        <v/>
      </c>
      <c r="D459">
        <f>BASE_EQUIPOS!D459</f>
        <v/>
      </c>
      <c r="E459">
        <f>BASE_EQUIPOS!G459</f>
        <v/>
      </c>
      <c r="F459">
        <f>BASE_EQUIPOS!H459</f>
        <v/>
      </c>
      <c r="G459">
        <f>BASE_EQUIPOS!M459</f>
        <v/>
      </c>
      <c r="I459" t="inlineStr">
        <is>
          <t>254/000988</t>
        </is>
      </c>
    </row>
    <row r="460">
      <c r="A460">
        <f>TRIM(BASE_EQUIPOS!N460)</f>
        <v/>
      </c>
      <c r="B460">
        <f>BASE_EQUIPOS!A460</f>
        <v/>
      </c>
      <c r="C460">
        <f>BASE_EQUIPOS!B460</f>
        <v/>
      </c>
      <c r="D460">
        <f>BASE_EQUIPOS!D460</f>
        <v/>
      </c>
      <c r="E460">
        <f>BASE_EQUIPOS!G460</f>
        <v/>
      </c>
      <c r="F460">
        <f>BASE_EQUIPOS!H460</f>
        <v/>
      </c>
      <c r="G460">
        <f>BASE_EQUIPOS!M460</f>
        <v/>
      </c>
      <c r="I460" t="inlineStr">
        <is>
          <t>163/000854</t>
        </is>
      </c>
    </row>
    <row r="461">
      <c r="A461">
        <f>TRIM(BASE_EQUIPOS!N461)</f>
        <v/>
      </c>
      <c r="B461">
        <f>BASE_EQUIPOS!A461</f>
        <v/>
      </c>
      <c r="C461">
        <f>BASE_EQUIPOS!B461</f>
        <v/>
      </c>
      <c r="D461">
        <f>BASE_EQUIPOS!D461</f>
        <v/>
      </c>
      <c r="E461">
        <f>BASE_EQUIPOS!G461</f>
        <v/>
      </c>
      <c r="F461">
        <f>BASE_EQUIPOS!H461</f>
        <v/>
      </c>
      <c r="G461">
        <f>BASE_EQUIPOS!M461</f>
        <v/>
      </c>
      <c r="I461" t="inlineStr">
        <is>
          <t>232/000037</t>
        </is>
      </c>
    </row>
    <row r="462">
      <c r="A462">
        <f>TRIM(BASE_EQUIPOS!N462)</f>
        <v/>
      </c>
      <c r="B462">
        <f>BASE_EQUIPOS!A462</f>
        <v/>
      </c>
      <c r="C462">
        <f>BASE_EQUIPOS!B462</f>
        <v/>
      </c>
      <c r="D462">
        <f>BASE_EQUIPOS!D462</f>
        <v/>
      </c>
      <c r="E462">
        <f>BASE_EQUIPOS!G462</f>
        <v/>
      </c>
      <c r="F462">
        <f>BASE_EQUIPOS!H462</f>
        <v/>
      </c>
      <c r="G462">
        <f>BASE_EQUIPOS!M462</f>
        <v/>
      </c>
      <c r="I462" t="inlineStr">
        <is>
          <t>S/N /020160</t>
        </is>
      </c>
    </row>
    <row r="463">
      <c r="A463">
        <f>TRIM(BASE_EQUIPOS!N463)</f>
        <v/>
      </c>
      <c r="B463">
        <f>BASE_EQUIPOS!A463</f>
        <v/>
      </c>
      <c r="C463">
        <f>BASE_EQUIPOS!B463</f>
        <v/>
      </c>
      <c r="D463">
        <f>BASE_EQUIPOS!D463</f>
        <v/>
      </c>
      <c r="E463">
        <f>BASE_EQUIPOS!G463</f>
        <v/>
      </c>
      <c r="F463">
        <f>BASE_EQUIPOS!H463</f>
        <v/>
      </c>
      <c r="G463">
        <f>BASE_EQUIPOS!M463</f>
        <v/>
      </c>
      <c r="I463" t="inlineStr">
        <is>
          <t>002608</t>
        </is>
      </c>
    </row>
    <row r="464">
      <c r="A464">
        <f>TRIM(BASE_EQUIPOS!N464)</f>
        <v/>
      </c>
      <c r="B464">
        <f>BASE_EQUIPOS!A464</f>
        <v/>
      </c>
      <c r="C464">
        <f>BASE_EQUIPOS!B464</f>
        <v/>
      </c>
      <c r="D464">
        <f>BASE_EQUIPOS!D464</f>
        <v/>
      </c>
      <c r="E464">
        <f>BASE_EQUIPOS!G464</f>
        <v/>
      </c>
      <c r="F464">
        <f>BASE_EQUIPOS!H464</f>
        <v/>
      </c>
      <c r="G464">
        <f>BASE_EQUIPOS!M464</f>
        <v/>
      </c>
      <c r="I464" t="inlineStr">
        <is>
          <t>S/N / 000375</t>
        </is>
      </c>
    </row>
    <row r="465">
      <c r="A465">
        <f>TRIM(BASE_EQUIPOS!N465)</f>
        <v/>
      </c>
      <c r="B465">
        <f>BASE_EQUIPOS!A465</f>
        <v/>
      </c>
      <c r="C465">
        <f>BASE_EQUIPOS!B465</f>
        <v/>
      </c>
      <c r="D465">
        <f>BASE_EQUIPOS!D465</f>
        <v/>
      </c>
      <c r="E465">
        <f>BASE_EQUIPOS!G465</f>
        <v/>
      </c>
      <c r="F465">
        <f>BASE_EQUIPOS!H465</f>
        <v/>
      </c>
      <c r="G465">
        <f>BASE_EQUIPOS!M465</f>
        <v/>
      </c>
      <c r="I465" t="inlineStr">
        <is>
          <t>305 / 000697</t>
        </is>
      </c>
    </row>
    <row r="466">
      <c r="A466">
        <f>TRIM(BASE_EQUIPOS!N466)</f>
        <v/>
      </c>
      <c r="B466">
        <f>BASE_EQUIPOS!A466</f>
        <v/>
      </c>
      <c r="C466">
        <f>BASE_EQUIPOS!B466</f>
        <v/>
      </c>
      <c r="D466">
        <f>BASE_EQUIPOS!D466</f>
        <v/>
      </c>
      <c r="E466">
        <f>BASE_EQUIPOS!G466</f>
        <v/>
      </c>
      <c r="F466">
        <f>BASE_EQUIPOS!H466</f>
        <v/>
      </c>
      <c r="G466">
        <f>BASE_EQUIPOS!M466</f>
        <v/>
      </c>
      <c r="I466" t="inlineStr">
        <is>
          <t>266 / 000664</t>
        </is>
      </c>
    </row>
    <row r="467">
      <c r="A467">
        <f>TRIM(BASE_EQUIPOS!N467)</f>
        <v/>
      </c>
      <c r="B467">
        <f>BASE_EQUIPOS!A467</f>
        <v/>
      </c>
      <c r="C467">
        <f>BASE_EQUIPOS!B467</f>
        <v/>
      </c>
      <c r="D467">
        <f>BASE_EQUIPOS!D467</f>
        <v/>
      </c>
      <c r="E467">
        <f>BASE_EQUIPOS!G467</f>
        <v/>
      </c>
      <c r="F467">
        <f>BASE_EQUIPOS!H467</f>
        <v/>
      </c>
      <c r="G467">
        <f>BASE_EQUIPOS!M467</f>
        <v/>
      </c>
      <c r="I467" t="inlineStr">
        <is>
          <t>238 / 000597</t>
        </is>
      </c>
    </row>
    <row r="468">
      <c r="A468">
        <f>TRIM(BASE_EQUIPOS!N468)</f>
        <v/>
      </c>
      <c r="B468">
        <f>BASE_EQUIPOS!A468</f>
        <v/>
      </c>
      <c r="C468">
        <f>BASE_EQUIPOS!B468</f>
        <v/>
      </c>
      <c r="D468">
        <f>BASE_EQUIPOS!D468</f>
        <v/>
      </c>
      <c r="E468">
        <f>BASE_EQUIPOS!G468</f>
        <v/>
      </c>
      <c r="F468">
        <f>BASE_EQUIPOS!H468</f>
        <v/>
      </c>
      <c r="G468">
        <f>BASE_EQUIPOS!M468</f>
        <v/>
      </c>
      <c r="I468" t="inlineStr">
        <is>
          <t>355 / 001330</t>
        </is>
      </c>
    </row>
    <row r="469">
      <c r="A469">
        <f>TRIM(BASE_EQUIPOS!N469)</f>
        <v/>
      </c>
      <c r="B469">
        <f>BASE_EQUIPOS!A469</f>
        <v/>
      </c>
      <c r="C469">
        <f>BASE_EQUIPOS!B469</f>
        <v/>
      </c>
      <c r="D469">
        <f>BASE_EQUIPOS!D469</f>
        <v/>
      </c>
      <c r="E469">
        <f>BASE_EQUIPOS!G469</f>
        <v/>
      </c>
      <c r="F469">
        <f>BASE_EQUIPOS!H469</f>
        <v/>
      </c>
      <c r="G469">
        <f>BASE_EQUIPOS!M469</f>
        <v/>
      </c>
      <c r="I469" t="inlineStr">
        <is>
          <t>S/N / 000338</t>
        </is>
      </c>
    </row>
    <row r="470">
      <c r="A470">
        <f>TRIM(BASE_EQUIPOS!N470)</f>
        <v/>
      </c>
      <c r="B470">
        <f>BASE_EQUIPOS!A470</f>
        <v/>
      </c>
      <c r="C470">
        <f>BASE_EQUIPOS!B470</f>
        <v/>
      </c>
      <c r="D470">
        <f>BASE_EQUIPOS!D470</f>
        <v/>
      </c>
      <c r="E470">
        <f>BASE_EQUIPOS!G470</f>
        <v/>
      </c>
      <c r="F470">
        <f>BASE_EQUIPOS!H470</f>
        <v/>
      </c>
      <c r="G470">
        <f>BASE_EQUIPOS!M470</f>
        <v/>
      </c>
      <c r="I470" t="inlineStr">
        <is>
          <t>291 / 002708</t>
        </is>
      </c>
    </row>
    <row r="471">
      <c r="A471">
        <f>TRIM(BASE_EQUIPOS!N471)</f>
        <v/>
      </c>
      <c r="B471">
        <f>BASE_EQUIPOS!A471</f>
        <v/>
      </c>
      <c r="C471">
        <f>BASE_EQUIPOS!B471</f>
        <v/>
      </c>
      <c r="D471">
        <f>BASE_EQUIPOS!D471</f>
        <v/>
      </c>
      <c r="E471">
        <f>BASE_EQUIPOS!G471</f>
        <v/>
      </c>
      <c r="F471">
        <f>BASE_EQUIPOS!H471</f>
        <v/>
      </c>
      <c r="G471">
        <f>BASE_EQUIPOS!M471</f>
        <v/>
      </c>
      <c r="I471" t="inlineStr">
        <is>
          <t>242 / 001183</t>
        </is>
      </c>
    </row>
    <row r="472">
      <c r="A472">
        <f>TRIM(BASE_EQUIPOS!N472)</f>
        <v/>
      </c>
      <c r="B472">
        <f>BASE_EQUIPOS!A472</f>
        <v/>
      </c>
      <c r="C472">
        <f>BASE_EQUIPOS!B472</f>
        <v/>
      </c>
      <c r="D472">
        <f>BASE_EQUIPOS!D472</f>
        <v/>
      </c>
      <c r="E472">
        <f>BASE_EQUIPOS!G472</f>
        <v/>
      </c>
      <c r="F472">
        <f>BASE_EQUIPOS!H472</f>
        <v/>
      </c>
      <c r="G472">
        <f>BASE_EQUIPOS!M472</f>
        <v/>
      </c>
      <c r="I472" t="inlineStr">
        <is>
          <t>226 / 001739</t>
        </is>
      </c>
    </row>
    <row r="473">
      <c r="A473">
        <f>TRIM(BASE_EQUIPOS!N473)</f>
        <v/>
      </c>
      <c r="B473">
        <f>BASE_EQUIPOS!A473</f>
        <v/>
      </c>
      <c r="C473">
        <f>BASE_EQUIPOS!B473</f>
        <v/>
      </c>
      <c r="D473">
        <f>BASE_EQUIPOS!D473</f>
        <v/>
      </c>
      <c r="E473">
        <f>BASE_EQUIPOS!G473</f>
        <v/>
      </c>
      <c r="F473">
        <f>BASE_EQUIPOS!H473</f>
        <v/>
      </c>
      <c r="G473">
        <f>BASE_EQUIPOS!M473</f>
        <v/>
      </c>
      <c r="I473" t="inlineStr">
        <is>
          <t>172 / 000942</t>
        </is>
      </c>
    </row>
    <row r="474">
      <c r="A474">
        <f>TRIM(BASE_EQUIPOS!N474)</f>
        <v/>
      </c>
      <c r="B474">
        <f>BASE_EQUIPOS!A474</f>
        <v/>
      </c>
      <c r="C474">
        <f>BASE_EQUIPOS!B474</f>
        <v/>
      </c>
      <c r="D474">
        <f>BASE_EQUIPOS!D474</f>
        <v/>
      </c>
      <c r="E474">
        <f>BASE_EQUIPOS!G474</f>
        <v/>
      </c>
      <c r="F474">
        <f>BASE_EQUIPOS!H474</f>
        <v/>
      </c>
      <c r="G474">
        <f>BASE_EQUIPOS!M474</f>
        <v/>
      </c>
      <c r="I474" t="inlineStr">
        <is>
          <t>48 / 000877</t>
        </is>
      </c>
    </row>
    <row r="475">
      <c r="A475">
        <f>TRIM(BASE_EQUIPOS!N475)</f>
        <v/>
      </c>
      <c r="B475">
        <f>BASE_EQUIPOS!A475</f>
        <v/>
      </c>
      <c r="C475">
        <f>BASE_EQUIPOS!B475</f>
        <v/>
      </c>
      <c r="D475">
        <f>BASE_EQUIPOS!D475</f>
        <v/>
      </c>
      <c r="E475">
        <f>BASE_EQUIPOS!G475</f>
        <v/>
      </c>
      <c r="F475">
        <f>BASE_EQUIPOS!H475</f>
        <v/>
      </c>
      <c r="G475">
        <f>BASE_EQUIPOS!M475</f>
        <v/>
      </c>
      <c r="I475" t="inlineStr">
        <is>
          <t>215 / 001118</t>
        </is>
      </c>
    </row>
    <row r="476">
      <c r="A476">
        <f>TRIM(BASE_EQUIPOS!N476)</f>
        <v/>
      </c>
      <c r="B476">
        <f>BASE_EQUIPOS!A476</f>
        <v/>
      </c>
      <c r="C476">
        <f>BASE_EQUIPOS!B476</f>
        <v/>
      </c>
      <c r="D476">
        <f>BASE_EQUIPOS!D476</f>
        <v/>
      </c>
      <c r="E476">
        <f>BASE_EQUIPOS!G476</f>
        <v/>
      </c>
      <c r="F476">
        <f>BASE_EQUIPOS!H476</f>
        <v/>
      </c>
      <c r="G476">
        <f>BASE_EQUIPOS!M476</f>
        <v/>
      </c>
      <c r="I476" t="inlineStr">
        <is>
          <t>000444</t>
        </is>
      </c>
    </row>
    <row r="477">
      <c r="A477">
        <f>TRIM(BASE_EQUIPOS!N477)</f>
        <v/>
      </c>
      <c r="B477">
        <f>BASE_EQUIPOS!A477</f>
        <v/>
      </c>
      <c r="C477">
        <f>BASE_EQUIPOS!B477</f>
        <v/>
      </c>
      <c r="D477">
        <f>BASE_EQUIPOS!D477</f>
        <v/>
      </c>
      <c r="E477">
        <f>BASE_EQUIPOS!G477</f>
        <v/>
      </c>
      <c r="F477">
        <f>BASE_EQUIPOS!H477</f>
        <v/>
      </c>
      <c r="G477">
        <f>BASE_EQUIPOS!M477</f>
        <v/>
      </c>
      <c r="I477" t="inlineStr">
        <is>
          <t>324/002625</t>
        </is>
      </c>
    </row>
    <row r="478">
      <c r="A478">
        <f>TRIM(BASE_EQUIPOS!N478)</f>
        <v/>
      </c>
      <c r="B478">
        <f>BASE_EQUIPOS!A478</f>
        <v/>
      </c>
      <c r="C478">
        <f>BASE_EQUIPOS!B478</f>
        <v/>
      </c>
      <c r="D478">
        <f>BASE_EQUIPOS!D478</f>
        <v/>
      </c>
      <c r="E478">
        <f>BASE_EQUIPOS!G478</f>
        <v/>
      </c>
      <c r="F478">
        <f>BASE_EQUIPOS!H478</f>
        <v/>
      </c>
      <c r="G478">
        <f>BASE_EQUIPOS!M478</f>
        <v/>
      </c>
      <c r="I478" t="inlineStr">
        <is>
          <t>026758</t>
        </is>
      </c>
    </row>
    <row r="479">
      <c r="A479">
        <f>TRIM(BASE_EQUIPOS!N479)</f>
        <v/>
      </c>
      <c r="B479">
        <f>BASE_EQUIPOS!A479</f>
        <v/>
      </c>
      <c r="C479">
        <f>BASE_EQUIPOS!B479</f>
        <v/>
      </c>
      <c r="D479">
        <f>BASE_EQUIPOS!D479</f>
        <v/>
      </c>
      <c r="E479">
        <f>BASE_EQUIPOS!G479</f>
        <v/>
      </c>
      <c r="F479">
        <f>BASE_EQUIPOS!H479</f>
        <v/>
      </c>
      <c r="G479">
        <f>BASE_EQUIPOS!M479</f>
        <v/>
      </c>
      <c r="I479" t="inlineStr">
        <is>
          <t>08/002713</t>
        </is>
      </c>
    </row>
    <row r="480">
      <c r="A480">
        <f>TRIM(BASE_EQUIPOS!N480)</f>
        <v/>
      </c>
      <c r="B480">
        <f>BASE_EQUIPOS!A480</f>
        <v/>
      </c>
      <c r="C480">
        <f>BASE_EQUIPOS!B480</f>
        <v/>
      </c>
      <c r="D480">
        <f>BASE_EQUIPOS!D480</f>
        <v/>
      </c>
      <c r="E480">
        <f>BASE_EQUIPOS!G480</f>
        <v/>
      </c>
      <c r="F480">
        <f>BASE_EQUIPOS!H480</f>
        <v/>
      </c>
      <c r="G480">
        <f>BASE_EQUIPOS!M480</f>
        <v/>
      </c>
      <c r="I480" t="inlineStr">
        <is>
          <t>23/000448</t>
        </is>
      </c>
    </row>
    <row r="481">
      <c r="A481">
        <f>TRIM(BASE_EQUIPOS!N481)</f>
        <v/>
      </c>
      <c r="B481">
        <f>BASE_EQUIPOS!A481</f>
        <v/>
      </c>
      <c r="C481">
        <f>BASE_EQUIPOS!B481</f>
        <v/>
      </c>
      <c r="D481">
        <f>BASE_EQUIPOS!D481</f>
        <v/>
      </c>
      <c r="E481">
        <f>BASE_EQUIPOS!G481</f>
        <v/>
      </c>
      <c r="F481">
        <f>BASE_EQUIPOS!H481</f>
        <v/>
      </c>
      <c r="G481">
        <f>BASE_EQUIPOS!M481</f>
        <v/>
      </c>
      <c r="I481" t="inlineStr">
        <is>
          <t>206/001475</t>
        </is>
      </c>
    </row>
    <row r="482">
      <c r="A482">
        <f>TRIM(BASE_EQUIPOS!N482)</f>
        <v/>
      </c>
      <c r="B482">
        <f>BASE_EQUIPOS!A482</f>
        <v/>
      </c>
      <c r="C482">
        <f>BASE_EQUIPOS!B482</f>
        <v/>
      </c>
      <c r="D482">
        <f>BASE_EQUIPOS!D482</f>
        <v/>
      </c>
      <c r="E482">
        <f>BASE_EQUIPOS!G482</f>
        <v/>
      </c>
      <c r="F482">
        <f>BASE_EQUIPOS!H482</f>
        <v/>
      </c>
      <c r="G482">
        <f>BASE_EQUIPOS!M482</f>
        <v/>
      </c>
      <c r="I482" t="inlineStr">
        <is>
          <t>175/000431</t>
        </is>
      </c>
    </row>
    <row r="483">
      <c r="A483">
        <f>TRIM(BASE_EQUIPOS!N483)</f>
        <v/>
      </c>
      <c r="B483">
        <f>BASE_EQUIPOS!A483</f>
        <v/>
      </c>
      <c r="C483">
        <f>BASE_EQUIPOS!B483</f>
        <v/>
      </c>
      <c r="D483">
        <f>BASE_EQUIPOS!D483</f>
        <v/>
      </c>
      <c r="E483">
        <f>BASE_EQUIPOS!G483</f>
        <v/>
      </c>
      <c r="F483">
        <f>BASE_EQUIPOS!H483</f>
        <v/>
      </c>
      <c r="G483">
        <f>BASE_EQUIPOS!M483</f>
        <v/>
      </c>
      <c r="I483" t="inlineStr">
        <is>
          <t>311/001700</t>
        </is>
      </c>
    </row>
    <row r="484">
      <c r="A484">
        <f>TRIM(BASE_EQUIPOS!N484)</f>
        <v/>
      </c>
      <c r="B484">
        <f>BASE_EQUIPOS!A484</f>
        <v/>
      </c>
      <c r="C484">
        <f>BASE_EQUIPOS!B484</f>
        <v/>
      </c>
      <c r="D484">
        <f>BASE_EQUIPOS!D484</f>
        <v/>
      </c>
      <c r="E484">
        <f>BASE_EQUIPOS!G484</f>
        <v/>
      </c>
      <c r="F484">
        <f>BASE_EQUIPOS!H484</f>
        <v/>
      </c>
      <c r="G484">
        <f>BASE_EQUIPOS!M484</f>
        <v/>
      </c>
      <c r="I484" t="inlineStr">
        <is>
          <t>267/000732</t>
        </is>
      </c>
    </row>
    <row r="485">
      <c r="A485">
        <f>TRIM(BASE_EQUIPOS!N485)</f>
        <v/>
      </c>
      <c r="B485">
        <f>BASE_EQUIPOS!A485</f>
        <v/>
      </c>
      <c r="C485">
        <f>BASE_EQUIPOS!B485</f>
        <v/>
      </c>
      <c r="D485">
        <f>BASE_EQUIPOS!D485</f>
        <v/>
      </c>
      <c r="E485">
        <f>BASE_EQUIPOS!G485</f>
        <v/>
      </c>
      <c r="F485">
        <f>BASE_EQUIPOS!H485</f>
        <v/>
      </c>
      <c r="G485">
        <f>BASE_EQUIPOS!M485</f>
        <v/>
      </c>
      <c r="I485" t="inlineStr">
        <is>
          <t>S/N /000377</t>
        </is>
      </c>
    </row>
    <row r="486">
      <c r="A486">
        <f>TRIM(BASE_EQUIPOS!N486)</f>
        <v/>
      </c>
      <c r="B486">
        <f>BASE_EQUIPOS!A486</f>
        <v/>
      </c>
      <c r="C486">
        <f>BASE_EQUIPOS!B486</f>
        <v/>
      </c>
      <c r="D486">
        <f>BASE_EQUIPOS!D486</f>
        <v/>
      </c>
      <c r="E486">
        <f>BASE_EQUIPOS!G486</f>
        <v/>
      </c>
      <c r="F486">
        <f>BASE_EQUIPOS!H486</f>
        <v/>
      </c>
      <c r="G486">
        <f>BASE_EQUIPOS!M486</f>
        <v/>
      </c>
      <c r="I486" t="inlineStr">
        <is>
          <t>308/000301</t>
        </is>
      </c>
    </row>
    <row r="487">
      <c r="A487">
        <f>TRIM(BASE_EQUIPOS!N487)</f>
        <v/>
      </c>
      <c r="B487">
        <f>BASE_EQUIPOS!A487</f>
        <v/>
      </c>
      <c r="C487">
        <f>BASE_EQUIPOS!B487</f>
        <v/>
      </c>
      <c r="D487">
        <f>BASE_EQUIPOS!D487</f>
        <v/>
      </c>
      <c r="E487">
        <f>BASE_EQUIPOS!G487</f>
        <v/>
      </c>
      <c r="F487">
        <f>BASE_EQUIPOS!H487</f>
        <v/>
      </c>
      <c r="G487">
        <f>BASE_EQUIPOS!M487</f>
        <v/>
      </c>
      <c r="I487" t="inlineStr">
        <is>
          <t>287/000680</t>
        </is>
      </c>
    </row>
    <row r="488">
      <c r="A488">
        <f>TRIM(BASE_EQUIPOS!N488)</f>
        <v/>
      </c>
      <c r="B488">
        <f>BASE_EQUIPOS!A488</f>
        <v/>
      </c>
      <c r="C488">
        <f>BASE_EQUIPOS!B488</f>
        <v/>
      </c>
      <c r="D488">
        <f>BASE_EQUIPOS!D488</f>
        <v/>
      </c>
      <c r="E488">
        <f>BASE_EQUIPOS!G488</f>
        <v/>
      </c>
      <c r="F488">
        <f>BASE_EQUIPOS!H488</f>
        <v/>
      </c>
      <c r="G488">
        <f>BASE_EQUIPOS!M488</f>
        <v/>
      </c>
      <c r="I488" t="inlineStr">
        <is>
          <t>243/000409</t>
        </is>
      </c>
    </row>
    <row r="489">
      <c r="A489">
        <f>TRIM(BASE_EQUIPOS!N489)</f>
        <v/>
      </c>
      <c r="B489">
        <f>BASE_EQUIPOS!A489</f>
        <v/>
      </c>
      <c r="C489">
        <f>BASE_EQUIPOS!B489</f>
        <v/>
      </c>
      <c r="D489">
        <f>BASE_EQUIPOS!D489</f>
        <v/>
      </c>
      <c r="E489">
        <f>BASE_EQUIPOS!G489</f>
        <v/>
      </c>
      <c r="F489">
        <f>BASE_EQUIPOS!H489</f>
        <v/>
      </c>
      <c r="G489">
        <f>BASE_EQUIPOS!M489</f>
        <v/>
      </c>
      <c r="I489" t="inlineStr">
        <is>
          <t>S/N /001150</t>
        </is>
      </c>
    </row>
    <row r="490">
      <c r="A490">
        <f>TRIM(BASE_EQUIPOS!N490)</f>
        <v/>
      </c>
      <c r="B490">
        <f>BASE_EQUIPOS!A490</f>
        <v/>
      </c>
      <c r="C490">
        <f>BASE_EQUIPOS!B490</f>
        <v/>
      </c>
      <c r="D490">
        <f>BASE_EQUIPOS!D490</f>
        <v/>
      </c>
      <c r="E490">
        <f>BASE_EQUIPOS!G490</f>
        <v/>
      </c>
      <c r="F490">
        <f>BASE_EQUIPOS!H490</f>
        <v/>
      </c>
      <c r="G490">
        <f>BASE_EQUIPOS!M490</f>
        <v/>
      </c>
      <c r="I490" t="inlineStr">
        <is>
          <t>003115</t>
        </is>
      </c>
    </row>
    <row r="491">
      <c r="A491">
        <f>TRIM(BASE_EQUIPOS!N491)</f>
        <v/>
      </c>
      <c r="B491">
        <f>BASE_EQUIPOS!A491</f>
        <v/>
      </c>
      <c r="C491">
        <f>BASE_EQUIPOS!B491</f>
        <v/>
      </c>
      <c r="D491">
        <f>BASE_EQUIPOS!D491</f>
        <v/>
      </c>
      <c r="E491">
        <f>BASE_EQUIPOS!G491</f>
        <v/>
      </c>
      <c r="F491">
        <f>BASE_EQUIPOS!H491</f>
        <v/>
      </c>
      <c r="G491">
        <f>BASE_EQUIPOS!M491</f>
        <v/>
      </c>
      <c r="I491" t="inlineStr">
        <is>
          <t>003699</t>
        </is>
      </c>
    </row>
    <row r="492">
      <c r="A492">
        <f>TRIM(BASE_EQUIPOS!N492)</f>
        <v/>
      </c>
      <c r="B492">
        <f>BASE_EQUIPOS!A492</f>
        <v/>
      </c>
      <c r="C492">
        <f>BASE_EQUIPOS!B492</f>
        <v/>
      </c>
      <c r="D492">
        <f>BASE_EQUIPOS!D492</f>
        <v/>
      </c>
      <c r="E492">
        <f>BASE_EQUIPOS!G492</f>
        <v/>
      </c>
      <c r="F492">
        <f>BASE_EQUIPOS!H492</f>
        <v/>
      </c>
      <c r="G492">
        <f>BASE_EQUIPOS!M492</f>
        <v/>
      </c>
      <c r="I492" t="inlineStr">
        <is>
          <t>000086</t>
        </is>
      </c>
    </row>
    <row r="493">
      <c r="A493">
        <f>TRIM(BASE_EQUIPOS!N493)</f>
        <v/>
      </c>
      <c r="B493">
        <f>BASE_EQUIPOS!A493</f>
        <v/>
      </c>
      <c r="C493">
        <f>BASE_EQUIPOS!B493</f>
        <v/>
      </c>
      <c r="D493">
        <f>BASE_EQUIPOS!D493</f>
        <v/>
      </c>
      <c r="E493">
        <f>BASE_EQUIPOS!G493</f>
        <v/>
      </c>
      <c r="F493">
        <f>BASE_EQUIPOS!H493</f>
        <v/>
      </c>
      <c r="G493">
        <f>BASE_EQUIPOS!M493</f>
        <v/>
      </c>
      <c r="I493" t="inlineStr">
        <is>
          <t>001160</t>
        </is>
      </c>
    </row>
    <row r="494">
      <c r="A494">
        <f>TRIM(BASE_EQUIPOS!N494)</f>
        <v/>
      </c>
      <c r="B494">
        <f>BASE_EQUIPOS!A494</f>
        <v/>
      </c>
      <c r="C494">
        <f>BASE_EQUIPOS!B494</f>
        <v/>
      </c>
      <c r="D494">
        <f>BASE_EQUIPOS!D494</f>
        <v/>
      </c>
      <c r="E494">
        <f>BASE_EQUIPOS!G494</f>
        <v/>
      </c>
      <c r="F494">
        <f>BASE_EQUIPOS!H494</f>
        <v/>
      </c>
      <c r="G494">
        <f>BASE_EQUIPOS!M494</f>
        <v/>
      </c>
      <c r="I494" t="inlineStr">
        <is>
          <t>000504</t>
        </is>
      </c>
    </row>
    <row r="495">
      <c r="A495">
        <f>TRIM(BASE_EQUIPOS!N495)</f>
        <v/>
      </c>
      <c r="B495">
        <f>BASE_EQUIPOS!A495</f>
        <v/>
      </c>
      <c r="C495">
        <f>BASE_EQUIPOS!B495</f>
        <v/>
      </c>
      <c r="D495">
        <f>BASE_EQUIPOS!D495</f>
        <v/>
      </c>
      <c r="E495">
        <f>BASE_EQUIPOS!G495</f>
        <v/>
      </c>
      <c r="F495">
        <f>BASE_EQUIPOS!H495</f>
        <v/>
      </c>
      <c r="G495">
        <f>BASE_EQUIPOS!M495</f>
        <v/>
      </c>
      <c r="I495" t="inlineStr">
        <is>
          <t>010372</t>
        </is>
      </c>
    </row>
    <row r="496">
      <c r="A496">
        <f>TRIM(BASE_EQUIPOS!N496)</f>
        <v/>
      </c>
      <c r="B496">
        <f>BASE_EQUIPOS!A496</f>
        <v/>
      </c>
      <c r="C496">
        <f>BASE_EQUIPOS!B496</f>
        <v/>
      </c>
      <c r="D496">
        <f>BASE_EQUIPOS!D496</f>
        <v/>
      </c>
      <c r="E496">
        <f>BASE_EQUIPOS!G496</f>
        <v/>
      </c>
      <c r="F496">
        <f>BASE_EQUIPOS!H496</f>
        <v/>
      </c>
      <c r="G496">
        <f>BASE_EQUIPOS!M496</f>
        <v/>
      </c>
      <c r="I496" t="inlineStr">
        <is>
          <t>139914</t>
        </is>
      </c>
    </row>
    <row r="497">
      <c r="A497">
        <f>TRIM(BASE_EQUIPOS!N497)</f>
        <v/>
      </c>
      <c r="B497">
        <f>BASE_EQUIPOS!A497</f>
        <v/>
      </c>
      <c r="C497">
        <f>BASE_EQUIPOS!B497</f>
        <v/>
      </c>
      <c r="D497">
        <f>BASE_EQUIPOS!D497</f>
        <v/>
      </c>
      <c r="E497">
        <f>BASE_EQUIPOS!G497</f>
        <v/>
      </c>
      <c r="F497">
        <f>BASE_EQUIPOS!H497</f>
        <v/>
      </c>
      <c r="G497">
        <f>BASE_EQUIPOS!M497</f>
        <v/>
      </c>
      <c r="I497" t="inlineStr">
        <is>
          <t>008010</t>
        </is>
      </c>
    </row>
    <row r="498">
      <c r="A498">
        <f>TRIM(BASE_EQUIPOS!N498)</f>
        <v/>
      </c>
      <c r="B498">
        <f>BASE_EQUIPOS!A498</f>
        <v/>
      </c>
      <c r="C498">
        <f>BASE_EQUIPOS!B498</f>
        <v/>
      </c>
      <c r="D498">
        <f>BASE_EQUIPOS!D498</f>
        <v/>
      </c>
      <c r="E498">
        <f>BASE_EQUIPOS!G498</f>
        <v/>
      </c>
      <c r="F498">
        <f>BASE_EQUIPOS!H498</f>
        <v/>
      </c>
      <c r="G498">
        <f>BASE_EQUIPOS!M498</f>
        <v/>
      </c>
      <c r="I498" t="inlineStr">
        <is>
          <t>000258</t>
        </is>
      </c>
    </row>
    <row r="499">
      <c r="A499">
        <f>TRIM(BASE_EQUIPOS!N499)</f>
        <v/>
      </c>
      <c r="B499">
        <f>BASE_EQUIPOS!A499</f>
        <v/>
      </c>
      <c r="C499">
        <f>BASE_EQUIPOS!B499</f>
        <v/>
      </c>
      <c r="D499">
        <f>BASE_EQUIPOS!D499</f>
        <v/>
      </c>
      <c r="E499">
        <f>BASE_EQUIPOS!G499</f>
        <v/>
      </c>
      <c r="F499">
        <f>BASE_EQUIPOS!H499</f>
        <v/>
      </c>
      <c r="G499">
        <f>BASE_EQUIPOS!M499</f>
        <v/>
      </c>
      <c r="I499" t="inlineStr">
        <is>
          <t>001598</t>
        </is>
      </c>
    </row>
    <row r="500">
      <c r="A500">
        <f>TRIM(BASE_EQUIPOS!N500)</f>
        <v/>
      </c>
      <c r="B500">
        <f>BASE_EQUIPOS!A500</f>
        <v/>
      </c>
      <c r="C500">
        <f>BASE_EQUIPOS!B500</f>
        <v/>
      </c>
      <c r="D500">
        <f>BASE_EQUIPOS!D500</f>
        <v/>
      </c>
      <c r="E500">
        <f>BASE_EQUIPOS!G500</f>
        <v/>
      </c>
      <c r="F500">
        <f>BASE_EQUIPOS!H500</f>
        <v/>
      </c>
      <c r="G500">
        <f>BASE_EQUIPOS!M500</f>
        <v/>
      </c>
      <c r="I500" t="inlineStr">
        <is>
          <t>001384</t>
        </is>
      </c>
    </row>
    <row r="501">
      <c r="A501">
        <f>TRIM(BASE_EQUIPOS!N501)</f>
        <v/>
      </c>
      <c r="B501">
        <f>BASE_EQUIPOS!A501</f>
        <v/>
      </c>
      <c r="C501">
        <f>BASE_EQUIPOS!B501</f>
        <v/>
      </c>
      <c r="D501">
        <f>BASE_EQUIPOS!D501</f>
        <v/>
      </c>
      <c r="E501">
        <f>BASE_EQUIPOS!G501</f>
        <v/>
      </c>
      <c r="F501">
        <f>BASE_EQUIPOS!H501</f>
        <v/>
      </c>
      <c r="G501">
        <f>BASE_EQUIPOS!M501</f>
        <v/>
      </c>
      <c r="I501" t="inlineStr">
        <is>
          <t>000048</t>
        </is>
      </c>
    </row>
    <row r="502">
      <c r="A502">
        <f>TRIM(BASE_EQUIPOS!N502)</f>
        <v/>
      </c>
      <c r="B502">
        <f>BASE_EQUIPOS!A502</f>
        <v/>
      </c>
      <c r="C502">
        <f>BASE_EQUIPOS!B502</f>
        <v/>
      </c>
      <c r="D502">
        <f>BASE_EQUIPOS!D502</f>
        <v/>
      </c>
      <c r="E502">
        <f>BASE_EQUIPOS!G502</f>
        <v/>
      </c>
      <c r="F502">
        <f>BASE_EQUIPOS!H502</f>
        <v/>
      </c>
      <c r="G502">
        <f>BASE_EQUIPOS!M502</f>
        <v/>
      </c>
      <c r="I502" t="inlineStr">
        <is>
          <t>001361</t>
        </is>
      </c>
    </row>
    <row r="503">
      <c r="A503">
        <f>TRIM(BASE_EQUIPOS!N503)</f>
        <v/>
      </c>
      <c r="B503">
        <f>BASE_EQUIPOS!A503</f>
        <v/>
      </c>
      <c r="C503">
        <f>BASE_EQUIPOS!B503</f>
        <v/>
      </c>
      <c r="D503">
        <f>BASE_EQUIPOS!D503</f>
        <v/>
      </c>
      <c r="E503">
        <f>BASE_EQUIPOS!G503</f>
        <v/>
      </c>
      <c r="F503">
        <f>BASE_EQUIPOS!H503</f>
        <v/>
      </c>
      <c r="G503">
        <f>BASE_EQUIPOS!M503</f>
        <v/>
      </c>
      <c r="I503" t="inlineStr">
        <is>
          <t>000106</t>
        </is>
      </c>
    </row>
    <row r="504">
      <c r="A504">
        <f>TRIM(BASE_EQUIPOS!N504)</f>
        <v/>
      </c>
      <c r="B504">
        <f>BASE_EQUIPOS!A504</f>
        <v/>
      </c>
      <c r="C504">
        <f>BASE_EQUIPOS!B504</f>
        <v/>
      </c>
      <c r="D504">
        <f>BASE_EQUIPOS!D504</f>
        <v/>
      </c>
      <c r="E504">
        <f>BASE_EQUIPOS!G504</f>
        <v/>
      </c>
      <c r="F504">
        <f>BASE_EQUIPOS!H504</f>
        <v/>
      </c>
      <c r="G504">
        <f>BASE_EQUIPOS!M504</f>
        <v/>
      </c>
      <c r="I504" t="inlineStr">
        <is>
          <t>004303</t>
        </is>
      </c>
    </row>
    <row r="505">
      <c r="A505">
        <f>TRIM(BASE_EQUIPOS!N505)</f>
        <v/>
      </c>
      <c r="B505">
        <f>BASE_EQUIPOS!A505</f>
        <v/>
      </c>
      <c r="C505">
        <f>BASE_EQUIPOS!B505</f>
        <v/>
      </c>
      <c r="D505">
        <f>BASE_EQUIPOS!D505</f>
        <v/>
      </c>
      <c r="E505">
        <f>BASE_EQUIPOS!G505</f>
        <v/>
      </c>
      <c r="F505">
        <f>BASE_EQUIPOS!H505</f>
        <v/>
      </c>
      <c r="G505">
        <f>BASE_EQUIPOS!M505</f>
        <v/>
      </c>
      <c r="I505" t="inlineStr">
        <is>
          <t>000306</t>
        </is>
      </c>
    </row>
    <row r="506">
      <c r="A506">
        <f>TRIM(BASE_EQUIPOS!N506)</f>
        <v/>
      </c>
      <c r="B506">
        <f>BASE_EQUIPOS!A506</f>
        <v/>
      </c>
      <c r="C506">
        <f>BASE_EQUIPOS!B506</f>
        <v/>
      </c>
      <c r="D506">
        <f>BASE_EQUIPOS!D506</f>
        <v/>
      </c>
      <c r="E506">
        <f>BASE_EQUIPOS!G506</f>
        <v/>
      </c>
      <c r="F506">
        <f>BASE_EQUIPOS!H506</f>
        <v/>
      </c>
      <c r="G506">
        <f>BASE_EQUIPOS!M506</f>
        <v/>
      </c>
      <c r="I506" t="inlineStr">
        <is>
          <t>307134</t>
        </is>
      </c>
    </row>
    <row r="507">
      <c r="A507">
        <f>TRIM(BASE_EQUIPOS!N507)</f>
        <v/>
      </c>
      <c r="B507">
        <f>BASE_EQUIPOS!A507</f>
        <v/>
      </c>
      <c r="C507">
        <f>BASE_EQUIPOS!B507</f>
        <v/>
      </c>
      <c r="D507">
        <f>BASE_EQUIPOS!D507</f>
        <v/>
      </c>
      <c r="E507">
        <f>BASE_EQUIPOS!G507</f>
        <v/>
      </c>
      <c r="F507">
        <f>BASE_EQUIPOS!H507</f>
        <v/>
      </c>
      <c r="G507">
        <f>BASE_EQUIPOS!M507</f>
        <v/>
      </c>
      <c r="I507" t="inlineStr">
        <is>
          <t>304255</t>
        </is>
      </c>
    </row>
    <row r="508">
      <c r="A508">
        <f>TRIM(BASE_EQUIPOS!N508)</f>
        <v/>
      </c>
      <c r="B508">
        <f>BASE_EQUIPOS!A508</f>
        <v/>
      </c>
      <c r="C508">
        <f>BASE_EQUIPOS!B508</f>
        <v/>
      </c>
      <c r="D508">
        <f>BASE_EQUIPOS!D508</f>
        <v/>
      </c>
      <c r="E508">
        <f>BASE_EQUIPOS!G508</f>
        <v/>
      </c>
      <c r="F508">
        <f>BASE_EQUIPOS!H508</f>
        <v/>
      </c>
      <c r="G508">
        <f>BASE_EQUIPOS!M508</f>
        <v/>
      </c>
      <c r="I508" t="inlineStr">
        <is>
          <t>000169</t>
        </is>
      </c>
    </row>
    <row r="509">
      <c r="A509">
        <f>TRIM(BASE_EQUIPOS!N509)</f>
        <v/>
      </c>
      <c r="B509">
        <f>BASE_EQUIPOS!A509</f>
        <v/>
      </c>
      <c r="C509">
        <f>BASE_EQUIPOS!B509</f>
        <v/>
      </c>
      <c r="D509">
        <f>BASE_EQUIPOS!D509</f>
        <v/>
      </c>
      <c r="E509">
        <f>BASE_EQUIPOS!G509</f>
        <v/>
      </c>
      <c r="F509">
        <f>BASE_EQUIPOS!H509</f>
        <v/>
      </c>
      <c r="G509">
        <f>BASE_EQUIPOS!M509</f>
        <v/>
      </c>
      <c r="I509" t="inlineStr">
        <is>
          <t>006618</t>
        </is>
      </c>
    </row>
    <row r="510">
      <c r="A510">
        <f>TRIM(BASE_EQUIPOS!N510)</f>
        <v/>
      </c>
      <c r="B510">
        <f>BASE_EQUIPOS!A510</f>
        <v/>
      </c>
      <c r="C510">
        <f>BASE_EQUIPOS!B510</f>
        <v/>
      </c>
      <c r="D510">
        <f>BASE_EQUIPOS!D510</f>
        <v/>
      </c>
      <c r="E510">
        <f>BASE_EQUIPOS!G510</f>
        <v/>
      </c>
      <c r="F510">
        <f>BASE_EQUIPOS!H510</f>
        <v/>
      </c>
      <c r="G510">
        <f>BASE_EQUIPOS!M510</f>
        <v/>
      </c>
      <c r="I510" t="inlineStr">
        <is>
          <t>001857</t>
        </is>
      </c>
    </row>
    <row r="511">
      <c r="A511">
        <f>TRIM(BASE_EQUIPOS!N511)</f>
        <v/>
      </c>
      <c r="B511">
        <f>BASE_EQUIPOS!A511</f>
        <v/>
      </c>
      <c r="C511">
        <f>BASE_EQUIPOS!B511</f>
        <v/>
      </c>
      <c r="D511">
        <f>BASE_EQUIPOS!D511</f>
        <v/>
      </c>
      <c r="E511">
        <f>BASE_EQUIPOS!G511</f>
        <v/>
      </c>
      <c r="F511">
        <f>BASE_EQUIPOS!H511</f>
        <v/>
      </c>
      <c r="G511">
        <f>BASE_EQUIPOS!M511</f>
        <v/>
      </c>
      <c r="I511" t="inlineStr">
        <is>
          <t>253/000611</t>
        </is>
      </c>
    </row>
    <row r="512">
      <c r="A512">
        <f>TRIM(BASE_EQUIPOS!N512)</f>
        <v/>
      </c>
      <c r="B512">
        <f>BASE_EQUIPOS!A512</f>
        <v/>
      </c>
      <c r="C512">
        <f>BASE_EQUIPOS!B512</f>
        <v/>
      </c>
      <c r="D512">
        <f>BASE_EQUIPOS!D512</f>
        <v/>
      </c>
      <c r="E512">
        <f>BASE_EQUIPOS!G512</f>
        <v/>
      </c>
      <c r="F512">
        <f>BASE_EQUIPOS!H512</f>
        <v/>
      </c>
      <c r="G512">
        <f>BASE_EQUIPOS!M512</f>
        <v/>
      </c>
      <c r="I512" t="inlineStr">
        <is>
          <t>S/N /000689</t>
        </is>
      </c>
    </row>
    <row r="513">
      <c r="A513">
        <f>TRIM(BASE_EQUIPOS!N513)</f>
        <v/>
      </c>
      <c r="B513">
        <f>BASE_EQUIPOS!A513</f>
        <v/>
      </c>
      <c r="C513">
        <f>BASE_EQUIPOS!B513</f>
        <v/>
      </c>
      <c r="D513">
        <f>BASE_EQUIPOS!D513</f>
        <v/>
      </c>
      <c r="E513">
        <f>BASE_EQUIPOS!G513</f>
        <v/>
      </c>
      <c r="F513">
        <f>BASE_EQUIPOS!H513</f>
        <v/>
      </c>
      <c r="G513">
        <f>BASE_EQUIPOS!M513</f>
        <v/>
      </c>
      <c r="I513" t="inlineStr">
        <is>
          <t>S/N /000737</t>
        </is>
      </c>
    </row>
    <row r="514">
      <c r="A514">
        <f>TRIM(BASE_EQUIPOS!N514)</f>
        <v/>
      </c>
      <c r="B514">
        <f>BASE_EQUIPOS!A514</f>
        <v/>
      </c>
      <c r="C514">
        <f>BASE_EQUIPOS!B514</f>
        <v/>
      </c>
      <c r="D514">
        <f>BASE_EQUIPOS!D514</f>
        <v/>
      </c>
      <c r="E514">
        <f>BASE_EQUIPOS!G514</f>
        <v/>
      </c>
      <c r="F514">
        <f>BASE_EQUIPOS!H514</f>
        <v/>
      </c>
      <c r="G514">
        <f>BASE_EQUIPOS!M514</f>
        <v/>
      </c>
      <c r="I514" t="inlineStr">
        <is>
          <t>94/000005</t>
        </is>
      </c>
    </row>
    <row r="515">
      <c r="A515">
        <f>TRIM(BASE_EQUIPOS!N515)</f>
        <v/>
      </c>
      <c r="B515">
        <f>BASE_EQUIPOS!A515</f>
        <v/>
      </c>
      <c r="C515">
        <f>BASE_EQUIPOS!B515</f>
        <v/>
      </c>
      <c r="D515">
        <f>BASE_EQUIPOS!D515</f>
        <v/>
      </c>
      <c r="E515">
        <f>BASE_EQUIPOS!G515</f>
        <v/>
      </c>
      <c r="F515">
        <f>BASE_EQUIPOS!H515</f>
        <v/>
      </c>
      <c r="G515">
        <f>BASE_EQUIPOS!M515</f>
        <v/>
      </c>
      <c r="I515" t="inlineStr">
        <is>
          <t>286/001921</t>
        </is>
      </c>
    </row>
    <row r="516">
      <c r="A516">
        <f>TRIM(BASE_EQUIPOS!N516)</f>
        <v/>
      </c>
      <c r="B516">
        <f>BASE_EQUIPOS!A516</f>
        <v/>
      </c>
      <c r="C516">
        <f>BASE_EQUIPOS!B516</f>
        <v/>
      </c>
      <c r="D516">
        <f>BASE_EQUIPOS!D516</f>
        <v/>
      </c>
      <c r="E516">
        <f>BASE_EQUIPOS!G516</f>
        <v/>
      </c>
      <c r="F516">
        <f>BASE_EQUIPOS!H516</f>
        <v/>
      </c>
      <c r="G516">
        <f>BASE_EQUIPOS!M516</f>
        <v/>
      </c>
      <c r="I516" t="inlineStr">
        <is>
          <t>322/001677</t>
        </is>
      </c>
    </row>
    <row r="517">
      <c r="A517">
        <f>TRIM(BASE_EQUIPOS!N517)</f>
        <v/>
      </c>
      <c r="B517">
        <f>BASE_EQUIPOS!A517</f>
        <v/>
      </c>
      <c r="C517">
        <f>BASE_EQUIPOS!B517</f>
        <v/>
      </c>
      <c r="D517">
        <f>BASE_EQUIPOS!D517</f>
        <v/>
      </c>
      <c r="E517">
        <f>BASE_EQUIPOS!G517</f>
        <v/>
      </c>
      <c r="F517">
        <f>BASE_EQUIPOS!H517</f>
        <v/>
      </c>
      <c r="G517">
        <f>BASE_EQUIPOS!M517</f>
        <v/>
      </c>
      <c r="I517" t="inlineStr">
        <is>
          <t>30/000138</t>
        </is>
      </c>
    </row>
    <row r="518">
      <c r="A518">
        <f>TRIM(BASE_EQUIPOS!N518)</f>
        <v/>
      </c>
      <c r="B518">
        <f>BASE_EQUIPOS!A518</f>
        <v/>
      </c>
      <c r="C518">
        <f>BASE_EQUIPOS!B518</f>
        <v/>
      </c>
      <c r="D518">
        <f>BASE_EQUIPOS!D518</f>
        <v/>
      </c>
      <c r="E518">
        <f>BASE_EQUIPOS!G518</f>
        <v/>
      </c>
      <c r="F518">
        <f>BASE_EQUIPOS!H518</f>
        <v/>
      </c>
      <c r="G518">
        <f>BASE_EQUIPOS!M518</f>
        <v/>
      </c>
      <c r="I518" t="inlineStr">
        <is>
          <t>15/002423</t>
        </is>
      </c>
    </row>
    <row r="519">
      <c r="A519">
        <f>TRIM(BASE_EQUIPOS!N519)</f>
        <v/>
      </c>
      <c r="B519">
        <f>BASE_EQUIPOS!A519</f>
        <v/>
      </c>
      <c r="C519">
        <f>BASE_EQUIPOS!B519</f>
        <v/>
      </c>
      <c r="D519">
        <f>BASE_EQUIPOS!D519</f>
        <v/>
      </c>
      <c r="E519">
        <f>BASE_EQUIPOS!G519</f>
        <v/>
      </c>
      <c r="F519">
        <f>BASE_EQUIPOS!H519</f>
        <v/>
      </c>
      <c r="G519">
        <f>BASE_EQUIPOS!M519</f>
        <v/>
      </c>
      <c r="I519" t="inlineStr">
        <is>
          <t>350/001026</t>
        </is>
      </c>
    </row>
    <row r="520">
      <c r="A520">
        <f>TRIM(BASE_EQUIPOS!N520)</f>
        <v/>
      </c>
      <c r="B520">
        <f>BASE_EQUIPOS!A520</f>
        <v/>
      </c>
      <c r="C520">
        <f>BASE_EQUIPOS!B520</f>
        <v/>
      </c>
      <c r="D520">
        <f>BASE_EQUIPOS!D520</f>
        <v/>
      </c>
      <c r="E520">
        <f>BASE_EQUIPOS!G520</f>
        <v/>
      </c>
      <c r="F520">
        <f>BASE_EQUIPOS!H520</f>
        <v/>
      </c>
      <c r="G520">
        <f>BASE_EQUIPOS!M520</f>
        <v/>
      </c>
      <c r="I520" t="inlineStr">
        <is>
          <t>12/001619</t>
        </is>
      </c>
    </row>
    <row r="521">
      <c r="A521">
        <f>TRIM(BASE_EQUIPOS!N521)</f>
        <v/>
      </c>
      <c r="B521">
        <f>BASE_EQUIPOS!A521</f>
        <v/>
      </c>
      <c r="C521">
        <f>BASE_EQUIPOS!B521</f>
        <v/>
      </c>
      <c r="D521">
        <f>BASE_EQUIPOS!D521</f>
        <v/>
      </c>
      <c r="E521">
        <f>BASE_EQUIPOS!G521</f>
        <v/>
      </c>
      <c r="F521">
        <f>BASE_EQUIPOS!H521</f>
        <v/>
      </c>
      <c r="G521">
        <f>BASE_EQUIPOS!M521</f>
        <v/>
      </c>
      <c r="I521" t="inlineStr">
        <is>
          <t>367/001937</t>
        </is>
      </c>
    </row>
    <row r="522">
      <c r="A522">
        <f>TRIM(BASE_EQUIPOS!N522)</f>
        <v/>
      </c>
      <c r="B522">
        <f>BASE_EQUIPOS!A522</f>
        <v/>
      </c>
      <c r="C522">
        <f>BASE_EQUIPOS!B522</f>
        <v/>
      </c>
      <c r="D522">
        <f>BASE_EQUIPOS!D522</f>
        <v/>
      </c>
      <c r="E522">
        <f>BASE_EQUIPOS!G522</f>
        <v/>
      </c>
      <c r="F522">
        <f>BASE_EQUIPOS!H522</f>
        <v/>
      </c>
      <c r="G522">
        <f>BASE_EQUIPOS!M522</f>
        <v/>
      </c>
      <c r="I522" t="inlineStr">
        <is>
          <t>275/000693</t>
        </is>
      </c>
    </row>
    <row r="523">
      <c r="A523">
        <f>TRIM(BASE_EQUIPOS!N523)</f>
        <v/>
      </c>
      <c r="B523">
        <f>BASE_EQUIPOS!A523</f>
        <v/>
      </c>
      <c r="C523">
        <f>BASE_EQUIPOS!B523</f>
        <v/>
      </c>
      <c r="D523">
        <f>BASE_EQUIPOS!D523</f>
        <v/>
      </c>
      <c r="E523">
        <f>BASE_EQUIPOS!G523</f>
        <v/>
      </c>
      <c r="F523">
        <f>BASE_EQUIPOS!H523</f>
        <v/>
      </c>
      <c r="G523">
        <f>BASE_EQUIPOS!M523</f>
        <v/>
      </c>
      <c r="I523" t="inlineStr">
        <is>
          <t>S/N /194056</t>
        </is>
      </c>
    </row>
    <row r="524">
      <c r="A524">
        <f>TRIM(BASE_EQUIPOS!N524)</f>
        <v/>
      </c>
      <c r="B524">
        <f>BASE_EQUIPOS!A524</f>
        <v/>
      </c>
      <c r="C524">
        <f>BASE_EQUIPOS!B524</f>
        <v/>
      </c>
      <c r="D524">
        <f>BASE_EQUIPOS!D524</f>
        <v/>
      </c>
      <c r="E524">
        <f>BASE_EQUIPOS!G524</f>
        <v/>
      </c>
      <c r="F524">
        <f>BASE_EQUIPOS!H524</f>
        <v/>
      </c>
      <c r="G524">
        <f>BASE_EQUIPOS!M524</f>
        <v/>
      </c>
      <c r="I524" t="inlineStr">
        <is>
          <t>007379</t>
        </is>
      </c>
    </row>
    <row r="525">
      <c r="A525">
        <f>TRIM(BASE_EQUIPOS!N525)</f>
        <v/>
      </c>
      <c r="B525">
        <f>BASE_EQUIPOS!A525</f>
        <v/>
      </c>
      <c r="C525">
        <f>BASE_EQUIPOS!B525</f>
        <v/>
      </c>
      <c r="D525">
        <f>BASE_EQUIPOS!D525</f>
        <v/>
      </c>
      <c r="E525">
        <f>BASE_EQUIPOS!G525</f>
        <v/>
      </c>
      <c r="F525">
        <f>BASE_EQUIPOS!H525</f>
        <v/>
      </c>
      <c r="G525">
        <f>BASE_EQUIPOS!M525</f>
        <v/>
      </c>
      <c r="I525" t="inlineStr">
        <is>
          <t>001469</t>
        </is>
      </c>
    </row>
    <row r="526">
      <c r="A526">
        <f>TRIM(BASE_EQUIPOS!N526)</f>
        <v/>
      </c>
      <c r="B526">
        <f>BASE_EQUIPOS!A526</f>
        <v/>
      </c>
      <c r="C526">
        <f>BASE_EQUIPOS!B526</f>
        <v/>
      </c>
      <c r="D526">
        <f>BASE_EQUIPOS!D526</f>
        <v/>
      </c>
      <c r="E526">
        <f>BASE_EQUIPOS!G526</f>
        <v/>
      </c>
      <c r="F526">
        <f>BASE_EQUIPOS!H526</f>
        <v/>
      </c>
      <c r="G526">
        <f>BASE_EQUIPOS!M526</f>
        <v/>
      </c>
      <c r="I526" t="inlineStr">
        <is>
          <t>344/002162</t>
        </is>
      </c>
    </row>
    <row r="527">
      <c r="A527">
        <f>TRIM(BASE_EQUIPOS!N527)</f>
        <v/>
      </c>
      <c r="B527">
        <f>BASE_EQUIPOS!A527</f>
        <v/>
      </c>
      <c r="C527">
        <f>BASE_EQUIPOS!B527</f>
        <v/>
      </c>
      <c r="D527">
        <f>BASE_EQUIPOS!D527</f>
        <v/>
      </c>
      <c r="E527">
        <f>BASE_EQUIPOS!G527</f>
        <v/>
      </c>
      <c r="F527">
        <f>BASE_EQUIPOS!H527</f>
        <v/>
      </c>
      <c r="G527">
        <f>BASE_EQUIPOS!M527</f>
        <v/>
      </c>
      <c r="I527" t="inlineStr">
        <is>
          <t>132/001015</t>
        </is>
      </c>
    </row>
    <row r="528">
      <c r="A528">
        <f>TRIM(BASE_EQUIPOS!N528)</f>
        <v/>
      </c>
      <c r="B528">
        <f>BASE_EQUIPOS!A528</f>
        <v/>
      </c>
      <c r="C528">
        <f>BASE_EQUIPOS!B528</f>
        <v/>
      </c>
      <c r="D528">
        <f>BASE_EQUIPOS!D528</f>
        <v/>
      </c>
      <c r="E528">
        <f>BASE_EQUIPOS!G528</f>
        <v/>
      </c>
      <c r="F528">
        <f>BASE_EQUIPOS!H528</f>
        <v/>
      </c>
      <c r="G528">
        <f>BASE_EQUIPOS!M528</f>
        <v/>
      </c>
      <c r="I528" t="inlineStr">
        <is>
          <t>319/000923</t>
        </is>
      </c>
    </row>
    <row r="529">
      <c r="A529">
        <f>TRIM(BASE_EQUIPOS!N529)</f>
        <v/>
      </c>
      <c r="B529">
        <f>BASE_EQUIPOS!A529</f>
        <v/>
      </c>
      <c r="C529">
        <f>BASE_EQUIPOS!B529</f>
        <v/>
      </c>
      <c r="D529">
        <f>BASE_EQUIPOS!D529</f>
        <v/>
      </c>
      <c r="E529">
        <f>BASE_EQUIPOS!G529</f>
        <v/>
      </c>
      <c r="F529">
        <f>BASE_EQUIPOS!H529</f>
        <v/>
      </c>
      <c r="G529">
        <f>BASE_EQUIPOS!M529</f>
        <v/>
      </c>
      <c r="I529" t="inlineStr">
        <is>
          <t>S/N /000915</t>
        </is>
      </c>
    </row>
    <row r="530">
      <c r="A530">
        <f>TRIM(BASE_EQUIPOS!N530)</f>
        <v/>
      </c>
      <c r="B530">
        <f>BASE_EQUIPOS!A530</f>
        <v/>
      </c>
      <c r="C530">
        <f>BASE_EQUIPOS!B530</f>
        <v/>
      </c>
      <c r="D530">
        <f>BASE_EQUIPOS!D530</f>
        <v/>
      </c>
      <c r="E530">
        <f>BASE_EQUIPOS!G530</f>
        <v/>
      </c>
      <c r="F530">
        <f>BASE_EQUIPOS!H530</f>
        <v/>
      </c>
      <c r="G530">
        <f>BASE_EQUIPOS!M530</f>
        <v/>
      </c>
      <c r="I530" t="inlineStr">
        <is>
          <t>343/000597</t>
        </is>
      </c>
    </row>
    <row r="531">
      <c r="A531">
        <f>TRIM(BASE_EQUIPOS!N531)</f>
        <v/>
      </c>
      <c r="B531">
        <f>BASE_EQUIPOS!A531</f>
        <v/>
      </c>
      <c r="C531">
        <f>BASE_EQUIPOS!B531</f>
        <v/>
      </c>
      <c r="D531">
        <f>BASE_EQUIPOS!D531</f>
        <v/>
      </c>
      <c r="E531">
        <f>BASE_EQUIPOS!G531</f>
        <v/>
      </c>
      <c r="F531">
        <f>BASE_EQUIPOS!H531</f>
        <v/>
      </c>
      <c r="G531">
        <f>BASE_EQUIPOS!M531</f>
        <v/>
      </c>
      <c r="I531" t="inlineStr">
        <is>
          <t>S/N /001584</t>
        </is>
      </c>
    </row>
    <row r="532">
      <c r="A532">
        <f>TRIM(BASE_EQUIPOS!N532)</f>
        <v/>
      </c>
      <c r="B532">
        <f>BASE_EQUIPOS!A532</f>
        <v/>
      </c>
      <c r="C532">
        <f>BASE_EQUIPOS!B532</f>
        <v/>
      </c>
      <c r="D532">
        <f>BASE_EQUIPOS!D532</f>
        <v/>
      </c>
      <c r="E532">
        <f>BASE_EQUIPOS!G532</f>
        <v/>
      </c>
      <c r="F532">
        <f>BASE_EQUIPOS!H532</f>
        <v/>
      </c>
      <c r="G532">
        <f>BASE_EQUIPOS!M532</f>
        <v/>
      </c>
      <c r="I532" t="inlineStr">
        <is>
          <t>285/000853</t>
        </is>
      </c>
    </row>
    <row r="533">
      <c r="A533">
        <f>TRIM(BASE_EQUIPOS!N533)</f>
        <v/>
      </c>
      <c r="B533">
        <f>BASE_EQUIPOS!A533</f>
        <v/>
      </c>
      <c r="C533">
        <f>BASE_EQUIPOS!B533</f>
        <v/>
      </c>
      <c r="D533">
        <f>BASE_EQUIPOS!D533</f>
        <v/>
      </c>
      <c r="E533">
        <f>BASE_EQUIPOS!G533</f>
        <v/>
      </c>
      <c r="F533">
        <f>BASE_EQUIPOS!H533</f>
        <v/>
      </c>
      <c r="G533">
        <f>BASE_EQUIPOS!M533</f>
        <v/>
      </c>
      <c r="I533" t="inlineStr">
        <is>
          <t>S/N / 000802</t>
        </is>
      </c>
    </row>
    <row r="534">
      <c r="A534">
        <f>TRIM(BASE_EQUIPOS!N534)</f>
        <v/>
      </c>
      <c r="B534">
        <f>BASE_EQUIPOS!A534</f>
        <v/>
      </c>
      <c r="C534">
        <f>BASE_EQUIPOS!B534</f>
        <v/>
      </c>
      <c r="D534">
        <f>BASE_EQUIPOS!D534</f>
        <v/>
      </c>
      <c r="E534">
        <f>BASE_EQUIPOS!G534</f>
        <v/>
      </c>
      <c r="F534">
        <f>BASE_EQUIPOS!H534</f>
        <v/>
      </c>
      <c r="G534">
        <f>BASE_EQUIPOS!M534</f>
        <v/>
      </c>
      <c r="I534" t="inlineStr">
        <is>
          <t>S/N 001782</t>
        </is>
      </c>
    </row>
    <row r="535">
      <c r="A535">
        <f>TRIM(BASE_EQUIPOS!N535)</f>
        <v/>
      </c>
      <c r="B535">
        <f>BASE_EQUIPOS!A535</f>
        <v/>
      </c>
      <c r="C535">
        <f>BASE_EQUIPOS!B535</f>
        <v/>
      </c>
      <c r="D535">
        <f>BASE_EQUIPOS!D535</f>
        <v/>
      </c>
      <c r="E535">
        <f>BASE_EQUIPOS!G535</f>
        <v/>
      </c>
      <c r="F535">
        <f>BASE_EQUIPOS!H535</f>
        <v/>
      </c>
      <c r="G535">
        <f>BASE_EQUIPOS!M535</f>
        <v/>
      </c>
      <c r="I535" t="inlineStr">
        <is>
          <t>S/N /001999</t>
        </is>
      </c>
    </row>
    <row r="536">
      <c r="A536">
        <f>TRIM(BASE_EQUIPOS!N536)</f>
        <v/>
      </c>
      <c r="B536">
        <f>BASE_EQUIPOS!A536</f>
        <v/>
      </c>
      <c r="C536">
        <f>BASE_EQUIPOS!B536</f>
        <v/>
      </c>
      <c r="D536">
        <f>BASE_EQUIPOS!D536</f>
        <v/>
      </c>
      <c r="E536">
        <f>BASE_EQUIPOS!G536</f>
        <v/>
      </c>
      <c r="F536">
        <f>BASE_EQUIPOS!H536</f>
        <v/>
      </c>
      <c r="G536">
        <f>BASE_EQUIPOS!M536</f>
        <v/>
      </c>
      <c r="I536" t="inlineStr">
        <is>
          <t>230/001201</t>
        </is>
      </c>
    </row>
    <row r="537">
      <c r="A537">
        <f>TRIM(BASE_EQUIPOS!N537)</f>
        <v/>
      </c>
      <c r="B537">
        <f>BASE_EQUIPOS!A537</f>
        <v/>
      </c>
      <c r="C537">
        <f>BASE_EQUIPOS!B537</f>
        <v/>
      </c>
      <c r="D537">
        <f>BASE_EQUIPOS!D537</f>
        <v/>
      </c>
      <c r="E537">
        <f>BASE_EQUIPOS!G537</f>
        <v/>
      </c>
      <c r="F537">
        <f>BASE_EQUIPOS!H537</f>
        <v/>
      </c>
      <c r="G537">
        <f>BASE_EQUIPOS!M537</f>
        <v/>
      </c>
      <c r="I537" t="inlineStr">
        <is>
          <t>138/000534</t>
        </is>
      </c>
    </row>
    <row r="538">
      <c r="A538">
        <f>TRIM(BASE_EQUIPOS!N538)</f>
        <v/>
      </c>
      <c r="B538">
        <f>BASE_EQUIPOS!A538</f>
        <v/>
      </c>
      <c r="C538">
        <f>BASE_EQUIPOS!B538</f>
        <v/>
      </c>
      <c r="D538">
        <f>BASE_EQUIPOS!D538</f>
        <v/>
      </c>
      <c r="E538">
        <f>BASE_EQUIPOS!G538</f>
        <v/>
      </c>
      <c r="F538">
        <f>BASE_EQUIPOS!H538</f>
        <v/>
      </c>
      <c r="G538">
        <f>BASE_EQUIPOS!M538</f>
        <v/>
      </c>
      <c r="I538" t="inlineStr">
        <is>
          <t>S/N /000257</t>
        </is>
      </c>
    </row>
    <row r="539">
      <c r="A539">
        <f>TRIM(BASE_EQUIPOS!N539)</f>
        <v/>
      </c>
      <c r="B539">
        <f>BASE_EQUIPOS!A539</f>
        <v/>
      </c>
      <c r="C539">
        <f>BASE_EQUIPOS!B539</f>
        <v/>
      </c>
      <c r="D539">
        <f>BASE_EQUIPOS!D539</f>
        <v/>
      </c>
      <c r="E539">
        <f>BASE_EQUIPOS!G539</f>
        <v/>
      </c>
      <c r="F539">
        <f>BASE_EQUIPOS!H539</f>
        <v/>
      </c>
      <c r="G539">
        <f>BASE_EQUIPOS!M539</f>
        <v/>
      </c>
      <c r="I539" t="inlineStr">
        <is>
          <t>S/N /001640</t>
        </is>
      </c>
    </row>
    <row r="540">
      <c r="A540">
        <f>TRIM(BASE_EQUIPOS!N540)</f>
        <v/>
      </c>
      <c r="B540">
        <f>BASE_EQUIPOS!A540</f>
        <v/>
      </c>
      <c r="C540">
        <f>BASE_EQUIPOS!B540</f>
        <v/>
      </c>
      <c r="D540">
        <f>BASE_EQUIPOS!D540</f>
        <v/>
      </c>
      <c r="E540">
        <f>BASE_EQUIPOS!G540</f>
        <v/>
      </c>
      <c r="F540">
        <f>BASE_EQUIPOS!H540</f>
        <v/>
      </c>
      <c r="G540">
        <f>BASE_EQUIPOS!M540</f>
        <v/>
      </c>
      <c r="I540" t="inlineStr">
        <is>
          <t>S/N /000098</t>
        </is>
      </c>
    </row>
    <row r="541">
      <c r="A541">
        <f>TRIM(BASE_EQUIPOS!N541)</f>
        <v/>
      </c>
      <c r="B541">
        <f>BASE_EQUIPOS!A541</f>
        <v/>
      </c>
      <c r="C541">
        <f>BASE_EQUIPOS!B541</f>
        <v/>
      </c>
      <c r="D541">
        <f>BASE_EQUIPOS!D541</f>
        <v/>
      </c>
      <c r="E541">
        <f>BASE_EQUIPOS!G541</f>
        <v/>
      </c>
      <c r="F541">
        <f>BASE_EQUIPOS!H541</f>
        <v/>
      </c>
      <c r="G541">
        <f>BASE_EQUIPOS!M541</f>
        <v/>
      </c>
      <c r="I541" t="inlineStr">
        <is>
          <t>S/N / 001187</t>
        </is>
      </c>
    </row>
    <row r="542">
      <c r="A542">
        <f>TRIM(BASE_EQUIPOS!N542)</f>
        <v/>
      </c>
      <c r="B542">
        <f>BASE_EQUIPOS!A542</f>
        <v/>
      </c>
      <c r="C542">
        <f>BASE_EQUIPOS!B542</f>
        <v/>
      </c>
      <c r="D542">
        <f>BASE_EQUIPOS!D542</f>
        <v/>
      </c>
      <c r="E542">
        <f>BASE_EQUIPOS!G542</f>
        <v/>
      </c>
      <c r="F542">
        <f>BASE_EQUIPOS!H542</f>
        <v/>
      </c>
      <c r="G542">
        <f>BASE_EQUIPOS!M542</f>
        <v/>
      </c>
      <c r="I542" t="inlineStr">
        <is>
          <t>000612</t>
        </is>
      </c>
    </row>
    <row r="543">
      <c r="A543">
        <f>TRIM(BASE_EQUIPOS!N543)</f>
        <v/>
      </c>
      <c r="B543">
        <f>BASE_EQUIPOS!A543</f>
        <v/>
      </c>
      <c r="C543">
        <f>BASE_EQUIPOS!B543</f>
        <v/>
      </c>
      <c r="D543">
        <f>BASE_EQUIPOS!D543</f>
        <v/>
      </c>
      <c r="E543">
        <f>BASE_EQUIPOS!G543</f>
        <v/>
      </c>
      <c r="F543">
        <f>BASE_EQUIPOS!H543</f>
        <v/>
      </c>
      <c r="G543">
        <f>BASE_EQUIPOS!M543</f>
        <v/>
      </c>
      <c r="I543" t="inlineStr">
        <is>
          <t>352/001485</t>
        </is>
      </c>
    </row>
    <row r="544">
      <c r="A544">
        <f>TRIM(BASE_EQUIPOS!N544)</f>
        <v/>
      </c>
      <c r="B544">
        <f>BASE_EQUIPOS!A544</f>
        <v/>
      </c>
      <c r="C544">
        <f>BASE_EQUIPOS!B544</f>
        <v/>
      </c>
      <c r="D544">
        <f>BASE_EQUIPOS!D544</f>
        <v/>
      </c>
      <c r="E544">
        <f>BASE_EQUIPOS!G544</f>
        <v/>
      </c>
      <c r="F544">
        <f>BASE_EQUIPOS!H544</f>
        <v/>
      </c>
      <c r="G544">
        <f>BASE_EQUIPOS!M544</f>
        <v/>
      </c>
      <c r="I544" t="inlineStr">
        <is>
          <t>346/001151</t>
        </is>
      </c>
    </row>
    <row r="545">
      <c r="A545">
        <f>TRIM(BASE_EQUIPOS!N545)</f>
        <v/>
      </c>
      <c r="B545">
        <f>BASE_EQUIPOS!A545</f>
        <v/>
      </c>
      <c r="C545">
        <f>BASE_EQUIPOS!B545</f>
        <v/>
      </c>
      <c r="D545">
        <f>BASE_EQUIPOS!D545</f>
        <v/>
      </c>
      <c r="E545">
        <f>BASE_EQUIPOS!G545</f>
        <v/>
      </c>
      <c r="F545">
        <f>BASE_EQUIPOS!H545</f>
        <v/>
      </c>
      <c r="G545">
        <f>BASE_EQUIPOS!M545</f>
        <v/>
      </c>
      <c r="I545" t="inlineStr">
        <is>
          <t>270/002018</t>
        </is>
      </c>
    </row>
    <row r="546">
      <c r="A546">
        <f>TRIM(BASE_EQUIPOS!N546)</f>
        <v/>
      </c>
      <c r="B546">
        <f>BASE_EQUIPOS!A546</f>
        <v/>
      </c>
      <c r="C546">
        <f>BASE_EQUIPOS!B546</f>
        <v/>
      </c>
      <c r="D546">
        <f>BASE_EQUIPOS!D546</f>
        <v/>
      </c>
      <c r="E546">
        <f>BASE_EQUIPOS!G546</f>
        <v/>
      </c>
      <c r="F546">
        <f>BASE_EQUIPOS!H546</f>
        <v/>
      </c>
      <c r="G546">
        <f>BASE_EQUIPOS!M546</f>
        <v/>
      </c>
      <c r="I546" t="inlineStr">
        <is>
          <t>223/00170</t>
        </is>
      </c>
    </row>
    <row r="547">
      <c r="A547">
        <f>TRIM(BASE_EQUIPOS!N547)</f>
        <v/>
      </c>
      <c r="B547">
        <f>BASE_EQUIPOS!A547</f>
        <v/>
      </c>
      <c r="C547">
        <f>BASE_EQUIPOS!B547</f>
        <v/>
      </c>
      <c r="D547">
        <f>BASE_EQUIPOS!D547</f>
        <v/>
      </c>
      <c r="E547">
        <f>BASE_EQUIPOS!G547</f>
        <v/>
      </c>
      <c r="F547">
        <f>BASE_EQUIPOS!H547</f>
        <v/>
      </c>
      <c r="G547">
        <f>BASE_EQUIPOS!M547</f>
        <v/>
      </c>
      <c r="I547" t="inlineStr">
        <is>
          <t>332/001050</t>
        </is>
      </c>
    </row>
    <row r="548">
      <c r="A548">
        <f>TRIM(BASE_EQUIPOS!N548)</f>
        <v/>
      </c>
      <c r="B548">
        <f>BASE_EQUIPOS!A548</f>
        <v/>
      </c>
      <c r="C548">
        <f>BASE_EQUIPOS!B548</f>
        <v/>
      </c>
      <c r="D548">
        <f>BASE_EQUIPOS!D548</f>
        <v/>
      </c>
      <c r="E548">
        <f>BASE_EQUIPOS!G548</f>
        <v/>
      </c>
      <c r="F548">
        <f>BASE_EQUIPOS!H548</f>
        <v/>
      </c>
      <c r="G548">
        <f>BASE_EQUIPOS!M548</f>
        <v/>
      </c>
      <c r="I548" t="inlineStr">
        <is>
          <t>123/001622</t>
        </is>
      </c>
    </row>
    <row r="549">
      <c r="A549">
        <f>TRIM(BASE_EQUIPOS!N549)</f>
        <v/>
      </c>
      <c r="B549">
        <f>BASE_EQUIPOS!A549</f>
        <v/>
      </c>
      <c r="C549">
        <f>BASE_EQUIPOS!B549</f>
        <v/>
      </c>
      <c r="D549">
        <f>BASE_EQUIPOS!D549</f>
        <v/>
      </c>
      <c r="E549">
        <f>BASE_EQUIPOS!G549</f>
        <v/>
      </c>
      <c r="F549">
        <f>BASE_EQUIPOS!H549</f>
        <v/>
      </c>
      <c r="G549">
        <f>BASE_EQUIPOS!M549</f>
        <v/>
      </c>
      <c r="I549" t="inlineStr">
        <is>
          <t>323/000579</t>
        </is>
      </c>
    </row>
    <row r="550">
      <c r="A550">
        <f>TRIM(BASE_EQUIPOS!N550)</f>
        <v/>
      </c>
      <c r="B550">
        <f>BASE_EQUIPOS!A550</f>
        <v/>
      </c>
      <c r="C550">
        <f>BASE_EQUIPOS!B550</f>
        <v/>
      </c>
      <c r="D550">
        <f>BASE_EQUIPOS!D550</f>
        <v/>
      </c>
      <c r="E550">
        <f>BASE_EQUIPOS!G550</f>
        <v/>
      </c>
      <c r="F550">
        <f>BASE_EQUIPOS!H550</f>
        <v/>
      </c>
      <c r="G550">
        <f>BASE_EQUIPOS!M550</f>
        <v/>
      </c>
      <c r="I550" t="inlineStr">
        <is>
          <t>192/000168</t>
        </is>
      </c>
    </row>
    <row r="551">
      <c r="A551">
        <f>TRIM(BASE_EQUIPOS!N551)</f>
        <v/>
      </c>
      <c r="B551">
        <f>BASE_EQUIPOS!A551</f>
        <v/>
      </c>
      <c r="C551">
        <f>BASE_EQUIPOS!B551</f>
        <v/>
      </c>
      <c r="D551">
        <f>BASE_EQUIPOS!D551</f>
        <v/>
      </c>
      <c r="E551">
        <f>BASE_EQUIPOS!G551</f>
        <v/>
      </c>
      <c r="F551">
        <f>BASE_EQUIPOS!H551</f>
        <v/>
      </c>
      <c r="G551">
        <f>BASE_EQUIPOS!M551</f>
        <v/>
      </c>
      <c r="I551" t="inlineStr">
        <is>
          <t>295/000704</t>
        </is>
      </c>
    </row>
    <row r="552">
      <c r="A552">
        <f>TRIM(BASE_EQUIPOS!N552)</f>
        <v/>
      </c>
      <c r="B552">
        <f>BASE_EQUIPOS!A552</f>
        <v/>
      </c>
      <c r="C552">
        <f>BASE_EQUIPOS!B552</f>
        <v/>
      </c>
      <c r="D552">
        <f>BASE_EQUIPOS!D552</f>
        <v/>
      </c>
      <c r="E552">
        <f>BASE_EQUIPOS!G552</f>
        <v/>
      </c>
      <c r="F552">
        <f>BASE_EQUIPOS!H552</f>
        <v/>
      </c>
      <c r="G552">
        <f>BASE_EQUIPOS!M552</f>
        <v/>
      </c>
      <c r="I552" t="inlineStr">
        <is>
          <t>333/001048</t>
        </is>
      </c>
    </row>
    <row r="553">
      <c r="A553">
        <f>TRIM(BASE_EQUIPOS!N553)</f>
        <v/>
      </c>
      <c r="B553">
        <f>BASE_EQUIPOS!A553</f>
        <v/>
      </c>
      <c r="C553">
        <f>BASE_EQUIPOS!B553</f>
        <v/>
      </c>
      <c r="D553">
        <f>BASE_EQUIPOS!D553</f>
        <v/>
      </c>
      <c r="E553">
        <f>BASE_EQUIPOS!G553</f>
        <v/>
      </c>
      <c r="F553">
        <f>BASE_EQUIPOS!H553</f>
        <v/>
      </c>
      <c r="G553">
        <f>BASE_EQUIPOS!M553</f>
        <v/>
      </c>
      <c r="I553" t="inlineStr">
        <is>
          <t>245/001309</t>
        </is>
      </c>
    </row>
    <row r="554">
      <c r="A554">
        <f>TRIM(BASE_EQUIPOS!N554)</f>
        <v/>
      </c>
      <c r="B554">
        <f>BASE_EQUIPOS!A554</f>
        <v/>
      </c>
      <c r="C554">
        <f>BASE_EQUIPOS!B554</f>
        <v/>
      </c>
      <c r="D554">
        <f>BASE_EQUIPOS!D554</f>
        <v/>
      </c>
      <c r="E554">
        <f>BASE_EQUIPOS!G554</f>
        <v/>
      </c>
      <c r="F554">
        <f>BASE_EQUIPOS!H554</f>
        <v/>
      </c>
      <c r="G554">
        <f>BASE_EQUIPOS!M554</f>
        <v/>
      </c>
      <c r="I554" t="inlineStr">
        <is>
          <t>113/000005</t>
        </is>
      </c>
    </row>
    <row r="555">
      <c r="A555">
        <f>TRIM(BASE_EQUIPOS!N555)</f>
        <v/>
      </c>
      <c r="B555">
        <f>BASE_EQUIPOS!A555</f>
        <v/>
      </c>
      <c r="C555">
        <f>BASE_EQUIPOS!B555</f>
        <v/>
      </c>
      <c r="D555">
        <f>BASE_EQUIPOS!D555</f>
        <v/>
      </c>
      <c r="E555">
        <f>BASE_EQUIPOS!G555</f>
        <v/>
      </c>
      <c r="F555">
        <f>BASE_EQUIPOS!H555</f>
        <v/>
      </c>
      <c r="G555">
        <f>BASE_EQUIPOS!M555</f>
        <v/>
      </c>
      <c r="I555" t="inlineStr">
        <is>
          <t>10/001664</t>
        </is>
      </c>
    </row>
    <row r="556">
      <c r="A556">
        <f>TRIM(BASE_EQUIPOS!N556)</f>
        <v/>
      </c>
      <c r="B556">
        <f>BASE_EQUIPOS!A556</f>
        <v/>
      </c>
      <c r="C556">
        <f>BASE_EQUIPOS!B556</f>
        <v/>
      </c>
      <c r="D556">
        <f>BASE_EQUIPOS!D556</f>
        <v/>
      </c>
      <c r="E556">
        <f>BASE_EQUIPOS!G556</f>
        <v/>
      </c>
      <c r="F556">
        <f>BASE_EQUIPOS!H556</f>
        <v/>
      </c>
      <c r="G556">
        <f>BASE_EQUIPOS!M556</f>
        <v/>
      </c>
      <c r="I556" t="inlineStr">
        <is>
          <t>S/N /001353</t>
        </is>
      </c>
    </row>
    <row r="557">
      <c r="A557">
        <f>TRIM(BASE_EQUIPOS!N557)</f>
        <v/>
      </c>
      <c r="B557">
        <f>BASE_EQUIPOS!A557</f>
        <v/>
      </c>
      <c r="C557">
        <f>BASE_EQUIPOS!B557</f>
        <v/>
      </c>
      <c r="D557">
        <f>BASE_EQUIPOS!D557</f>
        <v/>
      </c>
      <c r="E557">
        <f>BASE_EQUIPOS!G557</f>
        <v/>
      </c>
      <c r="F557">
        <f>BASE_EQUIPOS!H557</f>
        <v/>
      </c>
      <c r="G557">
        <f>BASE_EQUIPOS!M557</f>
        <v/>
      </c>
      <c r="I557" t="inlineStr">
        <is>
          <t>211/000005</t>
        </is>
      </c>
    </row>
    <row r="558">
      <c r="A558">
        <f>TRIM(BASE_EQUIPOS!N558)</f>
        <v/>
      </c>
      <c r="B558">
        <f>BASE_EQUIPOS!A558</f>
        <v/>
      </c>
      <c r="C558">
        <f>BASE_EQUIPOS!B558</f>
        <v/>
      </c>
      <c r="D558">
        <f>BASE_EQUIPOS!D558</f>
        <v/>
      </c>
      <c r="E558">
        <f>BASE_EQUIPOS!G558</f>
        <v/>
      </c>
      <c r="F558">
        <f>BASE_EQUIPOS!H558</f>
        <v/>
      </c>
      <c r="G558">
        <f>BASE_EQUIPOS!M558</f>
        <v/>
      </c>
      <c r="I558" t="inlineStr">
        <is>
          <t>103/000245</t>
        </is>
      </c>
    </row>
    <row r="559">
      <c r="A559">
        <f>TRIM(BASE_EQUIPOS!N559)</f>
        <v/>
      </c>
      <c r="B559">
        <f>BASE_EQUIPOS!A559</f>
        <v/>
      </c>
      <c r="C559">
        <f>BASE_EQUIPOS!B559</f>
        <v/>
      </c>
      <c r="D559">
        <f>BASE_EQUIPOS!D559</f>
        <v/>
      </c>
      <c r="E559">
        <f>BASE_EQUIPOS!G559</f>
        <v/>
      </c>
      <c r="F559">
        <f>BASE_EQUIPOS!H559</f>
        <v/>
      </c>
      <c r="G559">
        <f>BASE_EQUIPOS!M559</f>
        <v/>
      </c>
      <c r="I559" t="inlineStr">
        <is>
          <t>S/N /002142</t>
        </is>
      </c>
    </row>
    <row r="560">
      <c r="A560">
        <f>TRIM(BASE_EQUIPOS!N560)</f>
        <v/>
      </c>
      <c r="B560">
        <f>BASE_EQUIPOS!A560</f>
        <v/>
      </c>
      <c r="C560">
        <f>BASE_EQUIPOS!B560</f>
        <v/>
      </c>
      <c r="D560">
        <f>BASE_EQUIPOS!D560</f>
        <v/>
      </c>
      <c r="E560">
        <f>BASE_EQUIPOS!G560</f>
        <v/>
      </c>
      <c r="F560">
        <f>BASE_EQUIPOS!H560</f>
        <v/>
      </c>
      <c r="G560">
        <f>BASE_EQUIPOS!M560</f>
        <v/>
      </c>
      <c r="I560" t="inlineStr">
        <is>
          <t>290/002769</t>
        </is>
      </c>
    </row>
    <row r="561">
      <c r="A561">
        <f>TRIM(BASE_EQUIPOS!N561)</f>
        <v/>
      </c>
      <c r="B561">
        <f>BASE_EQUIPOS!A561</f>
        <v/>
      </c>
      <c r="C561">
        <f>BASE_EQUIPOS!B561</f>
        <v/>
      </c>
      <c r="D561">
        <f>BASE_EQUIPOS!D561</f>
        <v/>
      </c>
      <c r="E561">
        <f>BASE_EQUIPOS!G561</f>
        <v/>
      </c>
      <c r="F561">
        <f>BASE_EQUIPOS!H561</f>
        <v/>
      </c>
      <c r="G561">
        <f>BASE_EQUIPOS!M561</f>
        <v/>
      </c>
      <c r="I561" t="inlineStr">
        <is>
          <t>007/003056</t>
        </is>
      </c>
    </row>
    <row r="562">
      <c r="A562">
        <f>TRIM(BASE_EQUIPOS!N562)</f>
        <v/>
      </c>
      <c r="B562">
        <f>BASE_EQUIPOS!A562</f>
        <v/>
      </c>
      <c r="C562">
        <f>BASE_EQUIPOS!B562</f>
        <v/>
      </c>
      <c r="D562">
        <f>BASE_EQUIPOS!D562</f>
        <v/>
      </c>
      <c r="E562">
        <f>BASE_EQUIPOS!G562</f>
        <v/>
      </c>
      <c r="F562">
        <f>BASE_EQUIPOS!H562</f>
        <v/>
      </c>
      <c r="G562">
        <f>BASE_EQUIPOS!M562</f>
        <v/>
      </c>
      <c r="I562" t="inlineStr">
        <is>
          <t>011/000154</t>
        </is>
      </c>
    </row>
    <row r="563">
      <c r="A563">
        <f>TRIM(BASE_EQUIPOS!N563)</f>
        <v/>
      </c>
      <c r="B563">
        <f>BASE_EQUIPOS!A563</f>
        <v/>
      </c>
      <c r="C563">
        <f>BASE_EQUIPOS!B563</f>
        <v/>
      </c>
      <c r="D563">
        <f>BASE_EQUIPOS!D563</f>
        <v/>
      </c>
      <c r="E563">
        <f>BASE_EQUIPOS!G563</f>
        <v/>
      </c>
      <c r="F563">
        <f>BASE_EQUIPOS!H563</f>
        <v/>
      </c>
      <c r="G563">
        <f>BASE_EQUIPOS!M563</f>
        <v/>
      </c>
      <c r="I563" t="inlineStr">
        <is>
          <t>03 / 000120</t>
        </is>
      </c>
    </row>
    <row r="564">
      <c r="A564">
        <f>TRIM(BASE_EQUIPOS!N564)</f>
        <v/>
      </c>
      <c r="B564">
        <f>BASE_EQUIPOS!A564</f>
        <v/>
      </c>
      <c r="C564">
        <f>BASE_EQUIPOS!B564</f>
        <v/>
      </c>
      <c r="D564">
        <f>BASE_EQUIPOS!D564</f>
        <v/>
      </c>
      <c r="E564">
        <f>BASE_EQUIPOS!G564</f>
        <v/>
      </c>
      <c r="F564">
        <f>BASE_EQUIPOS!H564</f>
        <v/>
      </c>
      <c r="G564">
        <f>BASE_EQUIPOS!M564</f>
        <v/>
      </c>
      <c r="I564" t="inlineStr">
        <is>
          <t>01/002454</t>
        </is>
      </c>
    </row>
    <row r="565">
      <c r="A565">
        <f>TRIM(BASE_EQUIPOS!N565)</f>
        <v/>
      </c>
      <c r="B565">
        <f>BASE_EQUIPOS!A565</f>
        <v/>
      </c>
      <c r="C565">
        <f>BASE_EQUIPOS!B565</f>
        <v/>
      </c>
      <c r="D565">
        <f>BASE_EQUIPOS!D565</f>
        <v/>
      </c>
      <c r="E565">
        <f>BASE_EQUIPOS!G565</f>
        <v/>
      </c>
      <c r="F565">
        <f>BASE_EQUIPOS!H565</f>
        <v/>
      </c>
      <c r="G565">
        <f>BASE_EQUIPOS!M565</f>
        <v/>
      </c>
      <c r="I565" t="inlineStr">
        <is>
          <t>02/002830</t>
        </is>
      </c>
    </row>
    <row r="566">
      <c r="A566">
        <f>TRIM(BASE_EQUIPOS!N566)</f>
        <v/>
      </c>
      <c r="B566">
        <f>BASE_EQUIPOS!A566</f>
        <v/>
      </c>
      <c r="C566">
        <f>BASE_EQUIPOS!B566</f>
        <v/>
      </c>
      <c r="D566">
        <f>BASE_EQUIPOS!D566</f>
        <v/>
      </c>
      <c r="E566">
        <f>BASE_EQUIPOS!G566</f>
        <v/>
      </c>
      <c r="F566">
        <f>BASE_EQUIPOS!H566</f>
        <v/>
      </c>
      <c r="G566">
        <f>BASE_EQUIPOS!M566</f>
        <v/>
      </c>
      <c r="I566" t="inlineStr">
        <is>
          <t>03/002465</t>
        </is>
      </c>
    </row>
    <row r="567">
      <c r="A567">
        <f>TRIM(BASE_EQUIPOS!N567)</f>
        <v/>
      </c>
      <c r="B567">
        <f>BASE_EQUIPOS!A567</f>
        <v/>
      </c>
      <c r="C567">
        <f>BASE_EQUIPOS!B567</f>
        <v/>
      </c>
      <c r="D567">
        <f>BASE_EQUIPOS!D567</f>
        <v/>
      </c>
      <c r="E567">
        <f>BASE_EQUIPOS!G567</f>
        <v/>
      </c>
      <c r="F567">
        <f>BASE_EQUIPOS!H567</f>
        <v/>
      </c>
      <c r="G567">
        <f>BASE_EQUIPOS!M567</f>
        <v/>
      </c>
      <c r="I567" t="inlineStr">
        <is>
          <t>04/003026</t>
        </is>
      </c>
    </row>
    <row r="568">
      <c r="A568">
        <f>TRIM(BASE_EQUIPOS!N568)</f>
        <v/>
      </c>
      <c r="B568">
        <f>BASE_EQUIPOS!A568</f>
        <v/>
      </c>
      <c r="C568">
        <f>BASE_EQUIPOS!B568</f>
        <v/>
      </c>
      <c r="D568">
        <f>BASE_EQUIPOS!D568</f>
        <v/>
      </c>
      <c r="E568">
        <f>BASE_EQUIPOS!G568</f>
        <v/>
      </c>
      <c r="F568">
        <f>BASE_EQUIPOS!H568</f>
        <v/>
      </c>
      <c r="G568">
        <f>BASE_EQUIPOS!M568</f>
        <v/>
      </c>
      <c r="I568" t="inlineStr">
        <is>
          <t>05/003060</t>
        </is>
      </c>
    </row>
    <row r="569">
      <c r="A569">
        <f>TRIM(BASE_EQUIPOS!N569)</f>
        <v/>
      </c>
      <c r="B569">
        <f>BASE_EQUIPOS!A569</f>
        <v/>
      </c>
      <c r="C569">
        <f>BASE_EQUIPOS!B569</f>
        <v/>
      </c>
      <c r="D569">
        <f>BASE_EQUIPOS!D569</f>
        <v/>
      </c>
      <c r="E569">
        <f>BASE_EQUIPOS!G569</f>
        <v/>
      </c>
      <c r="F569">
        <f>BASE_EQUIPOS!H569</f>
        <v/>
      </c>
      <c r="G569">
        <f>BASE_EQUIPOS!M569</f>
        <v/>
      </c>
      <c r="I569" t="inlineStr">
        <is>
          <t>005674</t>
        </is>
      </c>
    </row>
    <row r="570">
      <c r="A570">
        <f>TRIM(BASE_EQUIPOS!N570)</f>
        <v/>
      </c>
      <c r="B570">
        <f>BASE_EQUIPOS!A570</f>
        <v/>
      </c>
      <c r="C570">
        <f>BASE_EQUIPOS!B570</f>
        <v/>
      </c>
      <c r="D570">
        <f>BASE_EQUIPOS!D570</f>
        <v/>
      </c>
      <c r="E570">
        <f>BASE_EQUIPOS!G570</f>
        <v/>
      </c>
      <c r="F570">
        <f>BASE_EQUIPOS!H570</f>
        <v/>
      </c>
      <c r="G570">
        <f>BASE_EQUIPOS!M570</f>
        <v/>
      </c>
      <c r="I570" t="inlineStr">
        <is>
          <t>15/A39014701</t>
        </is>
      </c>
    </row>
    <row r="571">
      <c r="A571">
        <f>TRIM(BASE_EQUIPOS!N571)</f>
        <v/>
      </c>
      <c r="B571">
        <f>BASE_EQUIPOS!A571</f>
        <v/>
      </c>
      <c r="C571">
        <f>BASE_EQUIPOS!B571</f>
        <v/>
      </c>
      <c r="D571">
        <f>BASE_EQUIPOS!D571</f>
        <v/>
      </c>
      <c r="E571">
        <f>BASE_EQUIPOS!G571</f>
        <v/>
      </c>
      <c r="F571">
        <f>BASE_EQUIPOS!H571</f>
        <v/>
      </c>
      <c r="G571">
        <f>BASE_EQUIPOS!M571</f>
        <v/>
      </c>
      <c r="I571" t="inlineStr">
        <is>
          <t>16/A39013789</t>
        </is>
      </c>
    </row>
    <row r="572">
      <c r="A572">
        <f>TRIM(BASE_EQUIPOS!N572)</f>
        <v/>
      </c>
      <c r="B572">
        <f>BASE_EQUIPOS!A572</f>
        <v/>
      </c>
      <c r="C572">
        <f>BASE_EQUIPOS!B572</f>
        <v/>
      </c>
      <c r="D572">
        <f>BASE_EQUIPOS!D572</f>
        <v/>
      </c>
      <c r="E572">
        <f>BASE_EQUIPOS!G572</f>
        <v/>
      </c>
      <c r="F572">
        <f>BASE_EQUIPOS!H572</f>
        <v/>
      </c>
      <c r="G572">
        <f>BASE_EQUIPOS!M572</f>
        <v/>
      </c>
      <c r="I572" t="inlineStr">
        <is>
          <t>17/E96499222</t>
        </is>
      </c>
    </row>
    <row r="573">
      <c r="A573">
        <f>TRIM(BASE_EQUIPOS!N573)</f>
        <v/>
      </c>
      <c r="B573">
        <f>BASE_EQUIPOS!A573</f>
        <v/>
      </c>
      <c r="C573">
        <f>BASE_EQUIPOS!B573</f>
        <v/>
      </c>
      <c r="D573">
        <f>BASE_EQUIPOS!D573</f>
        <v/>
      </c>
      <c r="E573">
        <f>BASE_EQUIPOS!G573</f>
        <v/>
      </c>
      <c r="F573">
        <f>BASE_EQUIPOS!H573</f>
        <v/>
      </c>
      <c r="G573">
        <f>BASE_EQUIPOS!M573</f>
        <v/>
      </c>
      <c r="I573" t="inlineStr">
        <is>
          <t>18/ ZB643976</t>
        </is>
      </c>
    </row>
    <row r="574">
      <c r="A574">
        <f>TRIM(BASE_EQUIPOS!N574)</f>
        <v/>
      </c>
      <c r="B574">
        <f>BASE_EQUIPOS!A574</f>
        <v/>
      </c>
      <c r="C574">
        <f>BASE_EQUIPOS!B574</f>
        <v/>
      </c>
      <c r="D574">
        <f>BASE_EQUIPOS!D574</f>
        <v/>
      </c>
      <c r="E574">
        <f>BASE_EQUIPOS!G574</f>
        <v/>
      </c>
      <c r="F574">
        <f>BASE_EQUIPOS!H574</f>
        <v/>
      </c>
      <c r="G574">
        <f>BASE_EQUIPOS!M574</f>
        <v/>
      </c>
      <c r="I574" t="inlineStr">
        <is>
          <t>19/YN429127</t>
        </is>
      </c>
    </row>
    <row r="575">
      <c r="A575">
        <f>TRIM(BASE_EQUIPOS!N575)</f>
        <v/>
      </c>
      <c r="B575">
        <f>BASE_EQUIPOS!A575</f>
        <v/>
      </c>
      <c r="C575">
        <f>BASE_EQUIPOS!B575</f>
        <v/>
      </c>
      <c r="D575">
        <f>BASE_EQUIPOS!D575</f>
        <v/>
      </c>
      <c r="E575">
        <f>BASE_EQUIPOS!G575</f>
        <v/>
      </c>
      <c r="F575">
        <f>BASE_EQUIPOS!H575</f>
        <v/>
      </c>
      <c r="G575">
        <f>BASE_EQUIPOS!M575</f>
        <v/>
      </c>
      <c r="I575" t="inlineStr">
        <is>
          <t>20/ ZB643962</t>
        </is>
      </c>
    </row>
    <row r="576">
      <c r="A576">
        <f>TRIM(BASE_EQUIPOS!N576)</f>
        <v/>
      </c>
      <c r="B576">
        <f>BASE_EQUIPOS!A576</f>
        <v/>
      </c>
      <c r="C576">
        <f>BASE_EQUIPOS!B576</f>
        <v/>
      </c>
      <c r="D576">
        <f>BASE_EQUIPOS!D576</f>
        <v/>
      </c>
      <c r="E576">
        <f>BASE_EQUIPOS!G576</f>
        <v/>
      </c>
      <c r="F576">
        <f>BASE_EQUIPOS!H576</f>
        <v/>
      </c>
      <c r="G576">
        <f>BASE_EQUIPOS!M576</f>
        <v/>
      </c>
      <c r="I576" t="inlineStr">
        <is>
          <t>21/ZB643994</t>
        </is>
      </c>
    </row>
    <row r="577">
      <c r="A577">
        <f>TRIM(BASE_EQUIPOS!N577)</f>
        <v/>
      </c>
      <c r="B577">
        <f>BASE_EQUIPOS!A577</f>
        <v/>
      </c>
      <c r="C577">
        <f>BASE_EQUIPOS!B577</f>
        <v/>
      </c>
      <c r="D577">
        <f>BASE_EQUIPOS!D577</f>
        <v/>
      </c>
      <c r="E577">
        <f>BASE_EQUIPOS!G577</f>
        <v/>
      </c>
      <c r="F577">
        <f>BASE_EQUIPOS!H577</f>
        <v/>
      </c>
      <c r="G577">
        <f>BASE_EQUIPOS!M577</f>
        <v/>
      </c>
      <c r="I577" t="inlineStr">
        <is>
          <t>01/YE004059</t>
        </is>
      </c>
    </row>
    <row r="578">
      <c r="A578">
        <f>TRIM(BASE_EQUIPOS!N578)</f>
        <v/>
      </c>
      <c r="B578">
        <f>BASE_EQUIPOS!A578</f>
        <v/>
      </c>
      <c r="C578">
        <f>BASE_EQUIPOS!B578</f>
        <v/>
      </c>
      <c r="D578">
        <f>BASE_EQUIPOS!D578</f>
        <v/>
      </c>
      <c r="E578">
        <f>BASE_EQUIPOS!G578</f>
        <v/>
      </c>
      <c r="F578">
        <f>BASE_EQUIPOS!H578</f>
        <v/>
      </c>
      <c r="G578">
        <f>BASE_EQUIPOS!M578</f>
        <v/>
      </c>
      <c r="I578" t="inlineStr">
        <is>
          <t>02/YE008773</t>
        </is>
      </c>
    </row>
    <row r="579">
      <c r="A579">
        <f>TRIM(BASE_EQUIPOS!N579)</f>
        <v/>
      </c>
      <c r="B579">
        <f>BASE_EQUIPOS!A579</f>
        <v/>
      </c>
      <c r="C579">
        <f>BASE_EQUIPOS!B579</f>
        <v/>
      </c>
      <c r="D579">
        <f>BASE_EQUIPOS!D579</f>
        <v/>
      </c>
      <c r="E579">
        <f>BASE_EQUIPOS!G579</f>
        <v/>
      </c>
      <c r="F579">
        <f>BASE_EQUIPOS!H579</f>
        <v/>
      </c>
      <c r="G579">
        <f>BASE_EQUIPOS!M579</f>
        <v/>
      </c>
      <c r="I579" t="inlineStr">
        <is>
          <t>03/V644983</t>
        </is>
      </c>
    </row>
    <row r="580">
      <c r="A580">
        <f>TRIM(BASE_EQUIPOS!N580)</f>
        <v/>
      </c>
      <c r="B580">
        <f>BASE_EQUIPOS!A580</f>
        <v/>
      </c>
      <c r="C580">
        <f>BASE_EQUIPOS!B580</f>
        <v/>
      </c>
      <c r="D580">
        <f>BASE_EQUIPOS!D580</f>
        <v/>
      </c>
      <c r="E580">
        <f>BASE_EQUIPOS!G580</f>
        <v/>
      </c>
      <c r="F580">
        <f>BASE_EQUIPOS!H580</f>
        <v/>
      </c>
      <c r="G580">
        <f>BASE_EQUIPOS!M580</f>
        <v/>
      </c>
      <c r="I580" t="inlineStr">
        <is>
          <t>04/V921454</t>
        </is>
      </c>
    </row>
    <row r="581">
      <c r="A581">
        <f>TRIM(BASE_EQUIPOS!N581)</f>
        <v/>
      </c>
      <c r="B581">
        <f>BASE_EQUIPOS!A581</f>
        <v/>
      </c>
      <c r="C581">
        <f>BASE_EQUIPOS!B581</f>
        <v/>
      </c>
      <c r="D581">
        <f>BASE_EQUIPOS!D581</f>
        <v/>
      </c>
      <c r="E581">
        <f>BASE_EQUIPOS!G581</f>
        <v/>
      </c>
      <c r="F581">
        <f>BASE_EQUIPOS!H581</f>
        <v/>
      </c>
      <c r="G581">
        <f>BASE_EQUIPOS!M581</f>
        <v/>
      </c>
      <c r="I581" t="inlineStr">
        <is>
          <t>06/YE008772</t>
        </is>
      </c>
    </row>
    <row r="582">
      <c r="A582">
        <f>TRIM(BASE_EQUIPOS!N582)</f>
        <v/>
      </c>
      <c r="B582">
        <f>BASE_EQUIPOS!A582</f>
        <v/>
      </c>
      <c r="C582">
        <f>BASE_EQUIPOS!B582</f>
        <v/>
      </c>
      <c r="D582">
        <f>BASE_EQUIPOS!D582</f>
        <v/>
      </c>
      <c r="E582">
        <f>BASE_EQUIPOS!G582</f>
        <v/>
      </c>
      <c r="F582">
        <f>BASE_EQUIPOS!H582</f>
        <v/>
      </c>
      <c r="G582">
        <f>BASE_EQUIPOS!M582</f>
        <v/>
      </c>
      <c r="I582" t="inlineStr">
        <is>
          <t>07/V678692</t>
        </is>
      </c>
    </row>
    <row r="583">
      <c r="A583">
        <f>TRIM(BASE_EQUIPOS!N583)</f>
        <v/>
      </c>
      <c r="B583">
        <f>BASE_EQUIPOS!A583</f>
        <v/>
      </c>
      <c r="C583">
        <f>BASE_EQUIPOS!B583</f>
        <v/>
      </c>
      <c r="D583">
        <f>BASE_EQUIPOS!D583</f>
        <v/>
      </c>
      <c r="E583">
        <f>BASE_EQUIPOS!G583</f>
        <v/>
      </c>
      <c r="F583">
        <f>BASE_EQUIPOS!H583</f>
        <v/>
      </c>
      <c r="G583">
        <f>BASE_EQUIPOS!M583</f>
        <v/>
      </c>
      <c r="I583" t="inlineStr">
        <is>
          <t>09/V678443</t>
        </is>
      </c>
    </row>
    <row r="584">
      <c r="A584">
        <f>TRIM(BASE_EQUIPOS!N584)</f>
        <v/>
      </c>
      <c r="B584">
        <f>BASE_EQUIPOS!A584</f>
        <v/>
      </c>
      <c r="C584">
        <f>BASE_EQUIPOS!B584</f>
        <v/>
      </c>
      <c r="D584">
        <f>BASE_EQUIPOS!D584</f>
        <v/>
      </c>
      <c r="E584">
        <f>BASE_EQUIPOS!G584</f>
        <v/>
      </c>
      <c r="F584">
        <f>BASE_EQUIPOS!H584</f>
        <v/>
      </c>
      <c r="G584">
        <f>BASE_EQUIPOS!M584</f>
        <v/>
      </c>
      <c r="I584" t="inlineStr">
        <is>
          <t>10/YE005060</t>
        </is>
      </c>
    </row>
    <row r="585">
      <c r="A585">
        <f>TRIM(BASE_EQUIPOS!N585)</f>
        <v/>
      </c>
      <c r="B585">
        <f>BASE_EQUIPOS!A585</f>
        <v/>
      </c>
      <c r="C585">
        <f>BASE_EQUIPOS!B585</f>
        <v/>
      </c>
      <c r="D585">
        <f>BASE_EQUIPOS!D585</f>
        <v/>
      </c>
      <c r="E585">
        <f>BASE_EQUIPOS!G585</f>
        <v/>
      </c>
      <c r="F585">
        <f>BASE_EQUIPOS!H585</f>
        <v/>
      </c>
      <c r="G585">
        <f>BASE_EQUIPOS!M585</f>
        <v/>
      </c>
      <c r="I585" t="inlineStr">
        <is>
          <t>11/V921544</t>
        </is>
      </c>
    </row>
    <row r="586">
      <c r="A586">
        <f>TRIM(BASE_EQUIPOS!N586)</f>
        <v/>
      </c>
      <c r="B586">
        <f>BASE_EQUIPOS!A586</f>
        <v/>
      </c>
      <c r="C586">
        <f>BASE_EQUIPOS!B586</f>
        <v/>
      </c>
      <c r="D586">
        <f>BASE_EQUIPOS!D586</f>
        <v/>
      </c>
      <c r="E586">
        <f>BASE_EQUIPOS!G586</f>
        <v/>
      </c>
      <c r="F586">
        <f>BASE_EQUIPOS!H586</f>
        <v/>
      </c>
      <c r="G586">
        <f>BASE_EQUIPOS!M586</f>
        <v/>
      </c>
      <c r="I586" t="inlineStr">
        <is>
          <t>12/V642666</t>
        </is>
      </c>
    </row>
    <row r="587">
      <c r="A587">
        <f>TRIM(BASE_EQUIPOS!N587)</f>
        <v/>
      </c>
      <c r="B587">
        <f>BASE_EQUIPOS!A587</f>
        <v/>
      </c>
      <c r="C587">
        <f>BASE_EQUIPOS!B587</f>
        <v/>
      </c>
      <c r="D587">
        <f>BASE_EQUIPOS!D587</f>
        <v/>
      </c>
      <c r="E587">
        <f>BASE_EQUIPOS!G587</f>
        <v/>
      </c>
      <c r="F587">
        <f>BASE_EQUIPOS!H587</f>
        <v/>
      </c>
      <c r="G587">
        <f>BASE_EQUIPOS!M587</f>
        <v/>
      </c>
      <c r="I587" t="inlineStr">
        <is>
          <t>13/V677363</t>
        </is>
      </c>
    </row>
    <row r="588">
      <c r="A588">
        <f>TRIM(BASE_EQUIPOS!N588)</f>
        <v/>
      </c>
      <c r="B588">
        <f>BASE_EQUIPOS!A588</f>
        <v/>
      </c>
      <c r="C588">
        <f>BASE_EQUIPOS!B588</f>
        <v/>
      </c>
      <c r="D588">
        <f>BASE_EQUIPOS!D588</f>
        <v/>
      </c>
      <c r="E588">
        <f>BASE_EQUIPOS!G588</f>
        <v/>
      </c>
      <c r="F588">
        <f>BASE_EQUIPOS!H588</f>
        <v/>
      </c>
      <c r="G588">
        <f>BASE_EQUIPOS!M588</f>
        <v/>
      </c>
      <c r="I588" t="inlineStr">
        <is>
          <t>000089</t>
        </is>
      </c>
    </row>
    <row r="589">
      <c r="A589">
        <f>TRIM(BASE_EQUIPOS!N589)</f>
        <v/>
      </c>
      <c r="B589">
        <f>BASE_EQUIPOS!A589</f>
        <v/>
      </c>
      <c r="C589">
        <f>BASE_EQUIPOS!B589</f>
        <v/>
      </c>
      <c r="D589">
        <f>BASE_EQUIPOS!D589</f>
        <v/>
      </c>
      <c r="E589">
        <f>BASE_EQUIPOS!G589</f>
        <v/>
      </c>
      <c r="F589">
        <f>BASE_EQUIPOS!H589</f>
        <v/>
      </c>
      <c r="G589">
        <f>BASE_EQUIPOS!M589</f>
        <v/>
      </c>
      <c r="I589" t="inlineStr">
        <is>
          <t>008299</t>
        </is>
      </c>
    </row>
    <row r="590">
      <c r="A590">
        <f>TRIM(BASE_EQUIPOS!N590)</f>
        <v/>
      </c>
      <c r="B590">
        <f>BASE_EQUIPOS!A590</f>
        <v/>
      </c>
      <c r="C590">
        <f>BASE_EQUIPOS!B590</f>
        <v/>
      </c>
      <c r="D590">
        <f>BASE_EQUIPOS!D590</f>
        <v/>
      </c>
      <c r="E590">
        <f>BASE_EQUIPOS!G590</f>
        <v/>
      </c>
      <c r="F590">
        <f>BASE_EQUIPOS!H590</f>
        <v/>
      </c>
      <c r="G590">
        <f>BASE_EQUIPOS!M590</f>
        <v/>
      </c>
      <c r="I590" t="inlineStr">
        <is>
          <t>002268</t>
        </is>
      </c>
    </row>
    <row r="591">
      <c r="A591">
        <f>TRIM(BASE_EQUIPOS!N591)</f>
        <v/>
      </c>
      <c r="B591">
        <f>BASE_EQUIPOS!A591</f>
        <v/>
      </c>
      <c r="C591">
        <f>BASE_EQUIPOS!B591</f>
        <v/>
      </c>
      <c r="D591">
        <f>BASE_EQUIPOS!D591</f>
        <v/>
      </c>
      <c r="E591">
        <f>BASE_EQUIPOS!G591</f>
        <v/>
      </c>
      <c r="F591">
        <f>BASE_EQUIPOS!H591</f>
        <v/>
      </c>
      <c r="G591">
        <f>BASE_EQUIPOS!M591</f>
        <v/>
      </c>
      <c r="I591" t="inlineStr">
        <is>
          <t>003581</t>
        </is>
      </c>
    </row>
    <row r="592">
      <c r="A592">
        <f>TRIM(BASE_EQUIPOS!N592)</f>
        <v/>
      </c>
      <c r="B592">
        <f>BASE_EQUIPOS!A592</f>
        <v/>
      </c>
      <c r="C592">
        <f>BASE_EQUIPOS!B592</f>
        <v/>
      </c>
      <c r="D592">
        <f>BASE_EQUIPOS!D592</f>
        <v/>
      </c>
      <c r="E592">
        <f>BASE_EQUIPOS!G592</f>
        <v/>
      </c>
      <c r="F592">
        <f>BASE_EQUIPOS!H592</f>
        <v/>
      </c>
      <c r="G592">
        <f>BASE_EQUIPOS!M592</f>
        <v/>
      </c>
      <c r="I592" t="inlineStr">
        <is>
          <t>000471</t>
        </is>
      </c>
    </row>
    <row r="593">
      <c r="A593">
        <f>TRIM(BASE_EQUIPOS!N593)</f>
        <v/>
      </c>
      <c r="B593">
        <f>BASE_EQUIPOS!A593</f>
        <v/>
      </c>
      <c r="C593">
        <f>BASE_EQUIPOS!B593</f>
        <v/>
      </c>
      <c r="D593">
        <f>BASE_EQUIPOS!D593</f>
        <v/>
      </c>
      <c r="E593">
        <f>BASE_EQUIPOS!G593</f>
        <v/>
      </c>
      <c r="F593">
        <f>BASE_EQUIPOS!H593</f>
        <v/>
      </c>
      <c r="G593">
        <f>BASE_EQUIPOS!M593</f>
        <v/>
      </c>
      <c r="I593" t="inlineStr">
        <is>
          <t>159677</t>
        </is>
      </c>
    </row>
    <row r="594">
      <c r="A594">
        <f>TRIM(BASE_EQUIPOS!N594)</f>
        <v/>
      </c>
      <c r="B594">
        <f>BASE_EQUIPOS!A594</f>
        <v/>
      </c>
      <c r="C594">
        <f>BASE_EQUIPOS!B594</f>
        <v/>
      </c>
      <c r="D594">
        <f>BASE_EQUIPOS!D594</f>
        <v/>
      </c>
      <c r="E594">
        <f>BASE_EQUIPOS!G594</f>
        <v/>
      </c>
      <c r="F594">
        <f>BASE_EQUIPOS!H594</f>
        <v/>
      </c>
      <c r="G594">
        <f>BASE_EQUIPOS!M594</f>
        <v/>
      </c>
      <c r="I594" t="inlineStr">
        <is>
          <t>034499</t>
        </is>
      </c>
    </row>
    <row r="595">
      <c r="A595">
        <f>TRIM(BASE_EQUIPOS!N595)</f>
        <v/>
      </c>
      <c r="B595">
        <f>BASE_EQUIPOS!A595</f>
        <v/>
      </c>
      <c r="C595">
        <f>BASE_EQUIPOS!B595</f>
        <v/>
      </c>
      <c r="D595">
        <f>BASE_EQUIPOS!D595</f>
        <v/>
      </c>
      <c r="E595">
        <f>BASE_EQUIPOS!G595</f>
        <v/>
      </c>
      <c r="F595">
        <f>BASE_EQUIPOS!H595</f>
        <v/>
      </c>
      <c r="G595">
        <f>BASE_EQUIPOS!M595</f>
        <v/>
      </c>
      <c r="I595" t="inlineStr">
        <is>
          <t>002721</t>
        </is>
      </c>
    </row>
    <row r="596">
      <c r="A596">
        <f>TRIM(BASE_EQUIPOS!N596)</f>
        <v/>
      </c>
      <c r="B596">
        <f>BASE_EQUIPOS!A596</f>
        <v/>
      </c>
      <c r="C596">
        <f>BASE_EQUIPOS!B596</f>
        <v/>
      </c>
      <c r="D596">
        <f>BASE_EQUIPOS!D596</f>
        <v/>
      </c>
      <c r="E596">
        <f>BASE_EQUIPOS!G596</f>
        <v/>
      </c>
      <c r="F596">
        <f>BASE_EQUIPOS!H596</f>
        <v/>
      </c>
      <c r="G596">
        <f>BASE_EQUIPOS!M596</f>
        <v/>
      </c>
      <c r="I596" t="inlineStr">
        <is>
          <t>030/001644</t>
        </is>
      </c>
    </row>
    <row r="597">
      <c r="A597">
        <f>TRIM(BASE_EQUIPOS!N597)</f>
        <v/>
      </c>
      <c r="B597">
        <f>BASE_EQUIPOS!A597</f>
        <v/>
      </c>
      <c r="C597">
        <f>BASE_EQUIPOS!B597</f>
        <v/>
      </c>
      <c r="D597">
        <f>BASE_EQUIPOS!D597</f>
        <v/>
      </c>
      <c r="E597">
        <f>BASE_EQUIPOS!G597</f>
        <v/>
      </c>
      <c r="F597">
        <f>BASE_EQUIPOS!H597</f>
        <v/>
      </c>
      <c r="G597">
        <f>BASE_EQUIPOS!M597</f>
        <v/>
      </c>
      <c r="I597" t="inlineStr">
        <is>
          <t>031/000395</t>
        </is>
      </c>
    </row>
    <row r="598">
      <c r="A598">
        <f>TRIM(BASE_EQUIPOS!N598)</f>
        <v/>
      </c>
      <c r="B598">
        <f>BASE_EQUIPOS!A598</f>
        <v/>
      </c>
      <c r="C598">
        <f>BASE_EQUIPOS!B598</f>
        <v/>
      </c>
      <c r="D598">
        <f>BASE_EQUIPOS!D598</f>
        <v/>
      </c>
      <c r="E598">
        <f>BASE_EQUIPOS!G598</f>
        <v/>
      </c>
      <c r="F598">
        <f>BASE_EQUIPOS!H598</f>
        <v/>
      </c>
      <c r="G598">
        <f>BASE_EQUIPOS!M598</f>
        <v/>
      </c>
      <c r="I598" t="inlineStr">
        <is>
          <t>02/000770</t>
        </is>
      </c>
    </row>
    <row r="599">
      <c r="A599">
        <f>TRIM(BASE_EQUIPOS!N599)</f>
        <v/>
      </c>
      <c r="B599">
        <f>BASE_EQUIPOS!A599</f>
        <v/>
      </c>
      <c r="C599">
        <f>BASE_EQUIPOS!B599</f>
        <v/>
      </c>
      <c r="D599">
        <f>BASE_EQUIPOS!D599</f>
        <v/>
      </c>
      <c r="E599">
        <f>BASE_EQUIPOS!G599</f>
        <v/>
      </c>
      <c r="F599">
        <f>BASE_EQUIPOS!H599</f>
        <v/>
      </c>
      <c r="G599">
        <f>BASE_EQUIPOS!M599</f>
        <v/>
      </c>
      <c r="I599" t="inlineStr">
        <is>
          <t>317/000005</t>
        </is>
      </c>
    </row>
    <row r="600">
      <c r="A600">
        <f>TRIM(BASE_EQUIPOS!N600)</f>
        <v/>
      </c>
      <c r="B600">
        <f>BASE_EQUIPOS!A600</f>
        <v/>
      </c>
      <c r="C600">
        <f>BASE_EQUIPOS!B600</f>
        <v/>
      </c>
      <c r="D600">
        <f>BASE_EQUIPOS!D600</f>
        <v/>
      </c>
      <c r="E600">
        <f>BASE_EQUIPOS!G600</f>
        <v/>
      </c>
      <c r="F600">
        <f>BASE_EQUIPOS!H600</f>
        <v/>
      </c>
      <c r="G600">
        <f>BASE_EQUIPOS!M600</f>
        <v/>
      </c>
      <c r="I600" t="inlineStr">
        <is>
          <t>000598</t>
        </is>
      </c>
    </row>
    <row r="601">
      <c r="A601">
        <f>TRIM(BASE_EQUIPOS!N601)</f>
        <v/>
      </c>
      <c r="B601">
        <f>BASE_EQUIPOS!A601</f>
        <v/>
      </c>
      <c r="C601">
        <f>BASE_EQUIPOS!B601</f>
        <v/>
      </c>
      <c r="D601">
        <f>BASE_EQUIPOS!D601</f>
        <v/>
      </c>
      <c r="E601">
        <f>BASE_EQUIPOS!G601</f>
        <v/>
      </c>
      <c r="F601">
        <f>BASE_EQUIPOS!H601</f>
        <v/>
      </c>
      <c r="G601">
        <f>BASE_EQUIPOS!M601</f>
        <v/>
      </c>
      <c r="I601" t="inlineStr">
        <is>
          <t>001231</t>
        </is>
      </c>
    </row>
    <row r="602">
      <c r="A602">
        <f>TRIM(BASE_EQUIPOS!N602)</f>
        <v/>
      </c>
      <c r="B602">
        <f>BASE_EQUIPOS!A602</f>
        <v/>
      </c>
      <c r="C602">
        <f>BASE_EQUIPOS!B602</f>
        <v/>
      </c>
      <c r="D602">
        <f>BASE_EQUIPOS!D602</f>
        <v/>
      </c>
      <c r="E602">
        <f>BASE_EQUIPOS!G602</f>
        <v/>
      </c>
      <c r="F602">
        <f>BASE_EQUIPOS!H602</f>
        <v/>
      </c>
      <c r="G602">
        <f>BASE_EQUIPOS!M602</f>
        <v/>
      </c>
      <c r="I602" t="inlineStr">
        <is>
          <t>003642</t>
        </is>
      </c>
    </row>
    <row r="603">
      <c r="A603">
        <f>TRIM(BASE_EQUIPOS!N603)</f>
        <v/>
      </c>
      <c r="B603">
        <f>BASE_EQUIPOS!A603</f>
        <v/>
      </c>
      <c r="C603">
        <f>BASE_EQUIPOS!B603</f>
        <v/>
      </c>
      <c r="D603">
        <f>BASE_EQUIPOS!D603</f>
        <v/>
      </c>
      <c r="E603">
        <f>BASE_EQUIPOS!G603</f>
        <v/>
      </c>
      <c r="F603">
        <f>BASE_EQUIPOS!H603</f>
        <v/>
      </c>
      <c r="G603">
        <f>BASE_EQUIPOS!M603</f>
        <v/>
      </c>
      <c r="I603" t="inlineStr">
        <is>
          <t>014515</t>
        </is>
      </c>
    </row>
    <row r="604">
      <c r="A604">
        <f>TRIM(BASE_EQUIPOS!N604)</f>
        <v/>
      </c>
      <c r="B604">
        <f>BASE_EQUIPOS!A604</f>
        <v/>
      </c>
      <c r="C604">
        <f>BASE_EQUIPOS!B604</f>
        <v/>
      </c>
      <c r="D604">
        <f>BASE_EQUIPOS!D604</f>
        <v/>
      </c>
      <c r="E604">
        <f>BASE_EQUIPOS!G604</f>
        <v/>
      </c>
      <c r="F604">
        <f>BASE_EQUIPOS!H604</f>
        <v/>
      </c>
      <c r="G604">
        <f>BASE_EQUIPOS!M604</f>
        <v/>
      </c>
      <c r="I604" t="inlineStr">
        <is>
          <t>118818</t>
        </is>
      </c>
    </row>
    <row r="605">
      <c r="A605">
        <f>TRIM(BASE_EQUIPOS!N605)</f>
        <v/>
      </c>
      <c r="B605">
        <f>BASE_EQUIPOS!A605</f>
        <v/>
      </c>
      <c r="C605">
        <f>BASE_EQUIPOS!B605</f>
        <v/>
      </c>
      <c r="D605">
        <f>BASE_EQUIPOS!D605</f>
        <v/>
      </c>
      <c r="E605">
        <f>BASE_EQUIPOS!G605</f>
        <v/>
      </c>
      <c r="F605">
        <f>BASE_EQUIPOS!H605</f>
        <v/>
      </c>
      <c r="G605">
        <f>BASE_EQUIPOS!M605</f>
        <v/>
      </c>
      <c r="I605" t="inlineStr">
        <is>
          <t>000745</t>
        </is>
      </c>
    </row>
    <row r="606">
      <c r="A606">
        <f>TRIM(BASE_EQUIPOS!N606)</f>
        <v/>
      </c>
      <c r="B606">
        <f>BASE_EQUIPOS!A606</f>
        <v/>
      </c>
      <c r="C606">
        <f>BASE_EQUIPOS!B606</f>
        <v/>
      </c>
      <c r="D606">
        <f>BASE_EQUIPOS!D606</f>
        <v/>
      </c>
      <c r="E606">
        <f>BASE_EQUIPOS!G606</f>
        <v/>
      </c>
      <c r="F606">
        <f>BASE_EQUIPOS!H606</f>
        <v/>
      </c>
      <c r="G606">
        <f>BASE_EQUIPOS!M606</f>
        <v/>
      </c>
      <c r="I606" t="inlineStr">
        <is>
          <t>000154</t>
        </is>
      </c>
    </row>
    <row r="607">
      <c r="A607">
        <f>TRIM(BASE_EQUIPOS!N607)</f>
        <v/>
      </c>
      <c r="B607">
        <f>BASE_EQUIPOS!A607</f>
        <v/>
      </c>
      <c r="C607">
        <f>BASE_EQUIPOS!B607</f>
        <v/>
      </c>
      <c r="D607">
        <f>BASE_EQUIPOS!D607</f>
        <v/>
      </c>
      <c r="E607">
        <f>BASE_EQUIPOS!G607</f>
        <v/>
      </c>
      <c r="F607">
        <f>BASE_EQUIPOS!H607</f>
        <v/>
      </c>
      <c r="G607">
        <f>BASE_EQUIPOS!M607</f>
        <v/>
      </c>
      <c r="I607" t="inlineStr">
        <is>
          <t>151/000124</t>
        </is>
      </c>
    </row>
    <row r="608">
      <c r="A608">
        <f>TRIM(BASE_EQUIPOS!N608)</f>
        <v/>
      </c>
      <c r="B608">
        <f>BASE_EQUIPOS!A608</f>
        <v/>
      </c>
      <c r="C608">
        <f>BASE_EQUIPOS!B608</f>
        <v/>
      </c>
      <c r="D608">
        <f>BASE_EQUIPOS!D608</f>
        <v/>
      </c>
      <c r="E608">
        <f>BASE_EQUIPOS!G608</f>
        <v/>
      </c>
      <c r="F608">
        <f>BASE_EQUIPOS!H608</f>
        <v/>
      </c>
      <c r="G608">
        <f>BASE_EQUIPOS!M608</f>
        <v/>
      </c>
      <c r="I608" t="inlineStr">
        <is>
          <t>177/000005</t>
        </is>
      </c>
    </row>
    <row r="609">
      <c r="A609">
        <f>TRIM(BASE_EQUIPOS!N609)</f>
        <v/>
      </c>
      <c r="B609">
        <f>BASE_EQUIPOS!A609</f>
        <v/>
      </c>
      <c r="C609">
        <f>BASE_EQUIPOS!B609</f>
        <v/>
      </c>
      <c r="D609">
        <f>BASE_EQUIPOS!D609</f>
        <v/>
      </c>
      <c r="E609">
        <f>BASE_EQUIPOS!G609</f>
        <v/>
      </c>
      <c r="F609">
        <f>BASE_EQUIPOS!H609</f>
        <v/>
      </c>
      <c r="G609">
        <f>BASE_EQUIPOS!M609</f>
        <v/>
      </c>
      <c r="I609" t="inlineStr">
        <is>
          <t>80/000956</t>
        </is>
      </c>
    </row>
    <row r="610">
      <c r="A610">
        <f>TRIM(BASE_EQUIPOS!N610)</f>
        <v/>
      </c>
      <c r="B610">
        <f>BASE_EQUIPOS!A610</f>
        <v/>
      </c>
      <c r="C610">
        <f>BASE_EQUIPOS!B610</f>
        <v/>
      </c>
      <c r="D610">
        <f>BASE_EQUIPOS!D610</f>
        <v/>
      </c>
      <c r="E610">
        <f>BASE_EQUIPOS!G610</f>
        <v/>
      </c>
      <c r="F610">
        <f>BASE_EQUIPOS!H610</f>
        <v/>
      </c>
      <c r="G610">
        <f>BASE_EQUIPOS!M610</f>
        <v/>
      </c>
      <c r="I610" t="inlineStr">
        <is>
          <t>152/000048</t>
        </is>
      </c>
    </row>
    <row r="611">
      <c r="A611">
        <f>TRIM(BASE_EQUIPOS!N611)</f>
        <v/>
      </c>
      <c r="B611">
        <f>BASE_EQUIPOS!A611</f>
        <v/>
      </c>
      <c r="C611">
        <f>BASE_EQUIPOS!B611</f>
        <v/>
      </c>
      <c r="D611">
        <f>BASE_EQUIPOS!D611</f>
        <v/>
      </c>
      <c r="E611">
        <f>BASE_EQUIPOS!G611</f>
        <v/>
      </c>
      <c r="F611">
        <f>BASE_EQUIPOS!H611</f>
        <v/>
      </c>
      <c r="G611">
        <f>BASE_EQUIPOS!M611</f>
        <v/>
      </c>
      <c r="I611" t="inlineStr">
        <is>
          <t>369/001484</t>
        </is>
      </c>
    </row>
    <row r="612">
      <c r="A612">
        <f>TRIM(BASE_EQUIPOS!N612)</f>
        <v/>
      </c>
      <c r="B612">
        <f>BASE_EQUIPOS!A612</f>
        <v/>
      </c>
      <c r="C612">
        <f>BASE_EQUIPOS!B612</f>
        <v/>
      </c>
      <c r="D612">
        <f>BASE_EQUIPOS!D612</f>
        <v/>
      </c>
      <c r="E612">
        <f>BASE_EQUIPOS!G612</f>
        <v/>
      </c>
      <c r="F612">
        <f>BASE_EQUIPOS!H612</f>
        <v/>
      </c>
      <c r="G612">
        <f>BASE_EQUIPOS!M612</f>
        <v/>
      </c>
      <c r="I612" t="inlineStr">
        <is>
          <t>195/001026</t>
        </is>
      </c>
    </row>
    <row r="613">
      <c r="A613">
        <f>TRIM(BASE_EQUIPOS!N613)</f>
        <v/>
      </c>
      <c r="B613">
        <f>BASE_EQUIPOS!A613</f>
        <v/>
      </c>
      <c r="C613">
        <f>BASE_EQUIPOS!B613</f>
        <v/>
      </c>
      <c r="D613">
        <f>BASE_EQUIPOS!D613</f>
        <v/>
      </c>
      <c r="E613">
        <f>BASE_EQUIPOS!G613</f>
        <v/>
      </c>
      <c r="F613">
        <f>BASE_EQUIPOS!H613</f>
        <v/>
      </c>
      <c r="G613">
        <f>BASE_EQUIPOS!M613</f>
        <v/>
      </c>
      <c r="I613" t="inlineStr">
        <is>
          <t>374/001418</t>
        </is>
      </c>
    </row>
    <row r="614">
      <c r="A614">
        <f>TRIM(BASE_EQUIPOS!N614)</f>
        <v/>
      </c>
      <c r="B614">
        <f>BASE_EQUIPOS!A614</f>
        <v/>
      </c>
      <c r="C614">
        <f>BASE_EQUIPOS!B614</f>
        <v/>
      </c>
      <c r="D614">
        <f>BASE_EQUIPOS!D614</f>
        <v/>
      </c>
      <c r="E614">
        <f>BASE_EQUIPOS!G614</f>
        <v/>
      </c>
      <c r="F614">
        <f>BASE_EQUIPOS!H614</f>
        <v/>
      </c>
      <c r="G614">
        <f>BASE_EQUIPOS!M614</f>
        <v/>
      </c>
      <c r="I614" t="inlineStr">
        <is>
          <t>S/N/000966</t>
        </is>
      </c>
    </row>
    <row r="615">
      <c r="A615">
        <f>TRIM(BASE_EQUIPOS!N615)</f>
        <v/>
      </c>
      <c r="B615">
        <f>BASE_EQUIPOS!A615</f>
        <v/>
      </c>
      <c r="C615">
        <f>BASE_EQUIPOS!B615</f>
        <v/>
      </c>
      <c r="D615">
        <f>BASE_EQUIPOS!D615</f>
        <v/>
      </c>
      <c r="E615">
        <f>BASE_EQUIPOS!G615</f>
        <v/>
      </c>
      <c r="F615">
        <f>BASE_EQUIPOS!H615</f>
        <v/>
      </c>
      <c r="G615">
        <f>BASE_EQUIPOS!M615</f>
        <v/>
      </c>
      <c r="I615" t="inlineStr">
        <is>
          <t>354/017130</t>
        </is>
      </c>
    </row>
    <row r="616">
      <c r="A616">
        <f>TRIM(BASE_EQUIPOS!N616)</f>
        <v/>
      </c>
      <c r="B616">
        <f>BASE_EQUIPOS!A616</f>
        <v/>
      </c>
      <c r="C616">
        <f>BASE_EQUIPOS!B616</f>
        <v/>
      </c>
      <c r="D616">
        <f>BASE_EQUIPOS!D616</f>
        <v/>
      </c>
      <c r="E616">
        <f>BASE_EQUIPOS!G616</f>
        <v/>
      </c>
      <c r="F616">
        <f>BASE_EQUIPOS!H616</f>
        <v/>
      </c>
      <c r="G616">
        <f>BASE_EQUIPOS!M616</f>
        <v/>
      </c>
      <c r="I616" t="inlineStr">
        <is>
          <t>281/002480</t>
        </is>
      </c>
    </row>
    <row r="617">
      <c r="A617">
        <f>TRIM(BASE_EQUIPOS!N617)</f>
        <v/>
      </c>
      <c r="B617">
        <f>BASE_EQUIPOS!A617</f>
        <v/>
      </c>
      <c r="C617">
        <f>BASE_EQUIPOS!B617</f>
        <v/>
      </c>
      <c r="D617">
        <f>BASE_EQUIPOS!D617</f>
        <v/>
      </c>
      <c r="E617">
        <f>BASE_EQUIPOS!G617</f>
        <v/>
      </c>
      <c r="F617">
        <f>BASE_EQUIPOS!H617</f>
        <v/>
      </c>
      <c r="G617">
        <f>BASE_EQUIPOS!M617</f>
        <v/>
      </c>
      <c r="I617" t="inlineStr">
        <is>
          <t>213/000476</t>
        </is>
      </c>
    </row>
    <row r="618">
      <c r="A618">
        <f>TRIM(BASE_EQUIPOS!N618)</f>
        <v/>
      </c>
      <c r="B618">
        <f>BASE_EQUIPOS!A618</f>
        <v/>
      </c>
      <c r="C618">
        <f>BASE_EQUIPOS!B618</f>
        <v/>
      </c>
      <c r="D618">
        <f>BASE_EQUIPOS!D618</f>
        <v/>
      </c>
      <c r="E618">
        <f>BASE_EQUIPOS!G618</f>
        <v/>
      </c>
      <c r="F618">
        <f>BASE_EQUIPOS!H618</f>
        <v/>
      </c>
      <c r="G618">
        <f>BASE_EQUIPOS!M618</f>
        <v/>
      </c>
      <c r="I618" t="inlineStr">
        <is>
          <t>90/001457</t>
        </is>
      </c>
    </row>
    <row r="619">
      <c r="A619">
        <f>TRIM(BASE_EQUIPOS!N619)</f>
        <v/>
      </c>
      <c r="B619">
        <f>BASE_EQUIPOS!A619</f>
        <v/>
      </c>
      <c r="C619">
        <f>BASE_EQUIPOS!B619</f>
        <v/>
      </c>
      <c r="D619">
        <f>BASE_EQUIPOS!D619</f>
        <v/>
      </c>
      <c r="E619">
        <f>BASE_EQUIPOS!G619</f>
        <v/>
      </c>
      <c r="F619">
        <f>BASE_EQUIPOS!H619</f>
        <v/>
      </c>
      <c r="G619">
        <f>BASE_EQUIPOS!M619</f>
        <v/>
      </c>
      <c r="I619" t="inlineStr">
        <is>
          <t>202/000148</t>
        </is>
      </c>
    </row>
    <row r="620">
      <c r="A620">
        <f>TRIM(BASE_EQUIPOS!N620)</f>
        <v/>
      </c>
      <c r="B620">
        <f>BASE_EQUIPOS!A620</f>
        <v/>
      </c>
      <c r="C620">
        <f>BASE_EQUIPOS!B620</f>
        <v/>
      </c>
      <c r="D620">
        <f>BASE_EQUIPOS!D620</f>
        <v/>
      </c>
      <c r="E620">
        <f>BASE_EQUIPOS!G620</f>
        <v/>
      </c>
      <c r="F620">
        <f>BASE_EQUIPOS!H620</f>
        <v/>
      </c>
      <c r="G620">
        <f>BASE_EQUIPOS!M620</f>
        <v/>
      </c>
      <c r="I620" t="inlineStr">
        <is>
          <t>S/N/000375</t>
        </is>
      </c>
    </row>
    <row r="621">
      <c r="A621">
        <f>TRIM(BASE_EQUIPOS!N621)</f>
        <v/>
      </c>
      <c r="B621">
        <f>BASE_EQUIPOS!A621</f>
        <v/>
      </c>
      <c r="C621">
        <f>BASE_EQUIPOS!B621</f>
        <v/>
      </c>
      <c r="D621">
        <f>BASE_EQUIPOS!D621</f>
        <v/>
      </c>
      <c r="E621">
        <f>BASE_EQUIPOS!G621</f>
        <v/>
      </c>
      <c r="F621">
        <f>BASE_EQUIPOS!H621</f>
        <v/>
      </c>
      <c r="G621">
        <f>BASE_EQUIPOS!M621</f>
        <v/>
      </c>
      <c r="I621" t="inlineStr">
        <is>
          <t>S/N/000005</t>
        </is>
      </c>
    </row>
    <row r="622">
      <c r="A622">
        <f>TRIM(BASE_EQUIPOS!N622)</f>
        <v/>
      </c>
      <c r="B622">
        <f>BASE_EQUIPOS!A622</f>
        <v/>
      </c>
      <c r="C622">
        <f>BASE_EQUIPOS!B622</f>
        <v/>
      </c>
      <c r="D622">
        <f>BASE_EQUIPOS!D622</f>
        <v/>
      </c>
      <c r="E622">
        <f>BASE_EQUIPOS!G622</f>
        <v/>
      </c>
      <c r="F622">
        <f>BASE_EQUIPOS!H622</f>
        <v/>
      </c>
      <c r="G622">
        <f>BASE_EQUIPOS!M622</f>
        <v/>
      </c>
      <c r="I622" t="inlineStr">
        <is>
          <t>006519</t>
        </is>
      </c>
    </row>
    <row r="623">
      <c r="A623">
        <f>TRIM(BASE_EQUIPOS!N623)</f>
        <v/>
      </c>
      <c r="B623">
        <f>BASE_EQUIPOS!A623</f>
        <v/>
      </c>
      <c r="C623">
        <f>BASE_EQUIPOS!B623</f>
        <v/>
      </c>
      <c r="D623">
        <f>BASE_EQUIPOS!D623</f>
        <v/>
      </c>
      <c r="E623">
        <f>BASE_EQUIPOS!G623</f>
        <v/>
      </c>
      <c r="F623">
        <f>BASE_EQUIPOS!H623</f>
        <v/>
      </c>
      <c r="G623">
        <f>BASE_EQUIPOS!M623</f>
        <v/>
      </c>
      <c r="I623" t="inlineStr">
        <is>
          <t>000133</t>
        </is>
      </c>
    </row>
    <row r="624">
      <c r="A624">
        <f>TRIM(BASE_EQUIPOS!N624)</f>
        <v/>
      </c>
      <c r="B624">
        <f>BASE_EQUIPOS!A624</f>
        <v/>
      </c>
      <c r="C624">
        <f>BASE_EQUIPOS!B624</f>
        <v/>
      </c>
      <c r="D624">
        <f>BASE_EQUIPOS!D624</f>
        <v/>
      </c>
      <c r="E624">
        <f>BASE_EQUIPOS!G624</f>
        <v/>
      </c>
      <c r="F624">
        <f>BASE_EQUIPOS!H624</f>
        <v/>
      </c>
      <c r="G624">
        <f>BASE_EQUIPOS!M624</f>
        <v/>
      </c>
      <c r="I624" t="inlineStr">
        <is>
          <t>009840</t>
        </is>
      </c>
    </row>
    <row r="625">
      <c r="A625">
        <f>TRIM(BASE_EQUIPOS!N625)</f>
        <v/>
      </c>
      <c r="B625">
        <f>BASE_EQUIPOS!A625</f>
        <v/>
      </c>
      <c r="C625">
        <f>BASE_EQUIPOS!B625</f>
        <v/>
      </c>
      <c r="D625">
        <f>BASE_EQUIPOS!D625</f>
        <v/>
      </c>
      <c r="E625">
        <f>BASE_EQUIPOS!G625</f>
        <v/>
      </c>
      <c r="F625">
        <f>BASE_EQUIPOS!H625</f>
        <v/>
      </c>
      <c r="G625">
        <f>BASE_EQUIPOS!M625</f>
        <v/>
      </c>
      <c r="I625" t="inlineStr">
        <is>
          <t>063638</t>
        </is>
      </c>
    </row>
    <row r="626">
      <c r="A626">
        <f>TRIM(BASE_EQUIPOS!N626)</f>
        <v/>
      </c>
      <c r="B626">
        <f>BASE_EQUIPOS!A626</f>
        <v/>
      </c>
      <c r="C626">
        <f>BASE_EQUIPOS!B626</f>
        <v/>
      </c>
      <c r="D626">
        <f>BASE_EQUIPOS!D626</f>
        <v/>
      </c>
      <c r="E626">
        <f>BASE_EQUIPOS!G626</f>
        <v/>
      </c>
      <c r="F626">
        <f>BASE_EQUIPOS!H626</f>
        <v/>
      </c>
      <c r="G626">
        <f>BASE_EQUIPOS!M626</f>
        <v/>
      </c>
      <c r="I626" t="inlineStr">
        <is>
          <t>005463</t>
        </is>
      </c>
    </row>
    <row r="627">
      <c r="A627">
        <f>TRIM(BASE_EQUIPOS!N627)</f>
        <v/>
      </c>
      <c r="B627">
        <f>BASE_EQUIPOS!A627</f>
        <v/>
      </c>
      <c r="C627">
        <f>BASE_EQUIPOS!B627</f>
        <v/>
      </c>
      <c r="D627">
        <f>BASE_EQUIPOS!D627</f>
        <v/>
      </c>
      <c r="E627">
        <f>BASE_EQUIPOS!G627</f>
        <v/>
      </c>
      <c r="F627">
        <f>BASE_EQUIPOS!H627</f>
        <v/>
      </c>
      <c r="G627">
        <f>BASE_EQUIPOS!M627</f>
        <v/>
      </c>
      <c r="I627" t="inlineStr">
        <is>
          <t>013389</t>
        </is>
      </c>
    </row>
    <row r="628">
      <c r="A628">
        <f>TRIM(BASE_EQUIPOS!N628)</f>
        <v/>
      </c>
      <c r="B628">
        <f>BASE_EQUIPOS!A628</f>
        <v/>
      </c>
      <c r="C628">
        <f>BASE_EQUIPOS!B628</f>
        <v/>
      </c>
      <c r="D628">
        <f>BASE_EQUIPOS!D628</f>
        <v/>
      </c>
      <c r="E628">
        <f>BASE_EQUIPOS!G628</f>
        <v/>
      </c>
      <c r="F628">
        <f>BASE_EQUIPOS!H628</f>
        <v/>
      </c>
      <c r="G628">
        <f>BASE_EQUIPOS!M628</f>
        <v/>
      </c>
      <c r="I628" t="inlineStr">
        <is>
          <t>007353</t>
        </is>
      </c>
    </row>
    <row r="629">
      <c r="A629">
        <f>TRIM(BASE_EQUIPOS!N629)</f>
        <v/>
      </c>
      <c r="B629">
        <f>BASE_EQUIPOS!A629</f>
        <v/>
      </c>
      <c r="C629">
        <f>BASE_EQUIPOS!B629</f>
        <v/>
      </c>
      <c r="D629">
        <f>BASE_EQUIPOS!D629</f>
        <v/>
      </c>
      <c r="E629">
        <f>BASE_EQUIPOS!G629</f>
        <v/>
      </c>
      <c r="F629">
        <f>BASE_EQUIPOS!H629</f>
        <v/>
      </c>
      <c r="G629">
        <f>BASE_EQUIPOS!M629</f>
        <v/>
      </c>
      <c r="I629" t="inlineStr">
        <is>
          <t>000008</t>
        </is>
      </c>
    </row>
    <row r="630">
      <c r="A630">
        <f>TRIM(BASE_EQUIPOS!N630)</f>
        <v/>
      </c>
      <c r="B630">
        <f>BASE_EQUIPOS!A630</f>
        <v/>
      </c>
      <c r="C630">
        <f>BASE_EQUIPOS!B630</f>
        <v/>
      </c>
      <c r="D630">
        <f>BASE_EQUIPOS!D630</f>
        <v/>
      </c>
      <c r="E630">
        <f>BASE_EQUIPOS!G630</f>
        <v/>
      </c>
      <c r="F630">
        <f>BASE_EQUIPOS!H630</f>
        <v/>
      </c>
      <c r="G630">
        <f>BASE_EQUIPOS!M630</f>
        <v/>
      </c>
      <c r="I630" t="inlineStr">
        <is>
          <t>001604</t>
        </is>
      </c>
    </row>
    <row r="631">
      <c r="A631">
        <f>TRIM(BASE_EQUIPOS!N631)</f>
        <v/>
      </c>
      <c r="B631">
        <f>BASE_EQUIPOS!A631</f>
        <v/>
      </c>
      <c r="C631">
        <f>BASE_EQUIPOS!B631</f>
        <v/>
      </c>
      <c r="D631">
        <f>BASE_EQUIPOS!D631</f>
        <v/>
      </c>
      <c r="E631">
        <f>BASE_EQUIPOS!G631</f>
        <v/>
      </c>
      <c r="F631">
        <f>BASE_EQUIPOS!H631</f>
        <v/>
      </c>
      <c r="G631">
        <f>BASE_EQUIPOS!M631</f>
        <v/>
      </c>
      <c r="I631" t="inlineStr">
        <is>
          <t>002197</t>
        </is>
      </c>
    </row>
    <row r="632">
      <c r="A632">
        <f>TRIM(BASE_EQUIPOS!N632)</f>
        <v/>
      </c>
      <c r="B632">
        <f>BASE_EQUIPOS!A632</f>
        <v/>
      </c>
      <c r="C632">
        <f>BASE_EQUIPOS!B632</f>
        <v/>
      </c>
      <c r="D632">
        <f>BASE_EQUIPOS!D632</f>
        <v/>
      </c>
      <c r="E632">
        <f>BASE_EQUIPOS!G632</f>
        <v/>
      </c>
      <c r="F632">
        <f>BASE_EQUIPOS!H632</f>
        <v/>
      </c>
      <c r="G632">
        <f>BASE_EQUIPOS!M632</f>
        <v/>
      </c>
      <c r="I632" t="inlineStr">
        <is>
          <t>15/000005</t>
        </is>
      </c>
    </row>
    <row r="633">
      <c r="A633">
        <f>TRIM(BASE_EQUIPOS!N633)</f>
        <v/>
      </c>
      <c r="B633">
        <f>BASE_EQUIPOS!A633</f>
        <v/>
      </c>
      <c r="C633">
        <f>BASE_EQUIPOS!B633</f>
        <v/>
      </c>
      <c r="D633">
        <f>BASE_EQUIPOS!D633</f>
        <v/>
      </c>
      <c r="E633">
        <f>BASE_EQUIPOS!G633</f>
        <v/>
      </c>
      <c r="F633">
        <f>BASE_EQUIPOS!H633</f>
        <v/>
      </c>
      <c r="G633">
        <f>BASE_EQUIPOS!M633</f>
        <v/>
      </c>
      <c r="I633" t="inlineStr">
        <is>
          <t>16/000223</t>
        </is>
      </c>
    </row>
    <row r="634">
      <c r="A634">
        <f>TRIM(BASE_EQUIPOS!N634)</f>
        <v/>
      </c>
      <c r="B634">
        <f>BASE_EQUIPOS!A634</f>
        <v/>
      </c>
      <c r="C634">
        <f>BASE_EQUIPOS!B634</f>
        <v/>
      </c>
      <c r="D634">
        <f>BASE_EQUIPOS!D634</f>
        <v/>
      </c>
      <c r="E634">
        <f>BASE_EQUIPOS!G634</f>
        <v/>
      </c>
      <c r="F634">
        <f>BASE_EQUIPOS!H634</f>
        <v/>
      </c>
      <c r="G634">
        <f>BASE_EQUIPOS!M634</f>
        <v/>
      </c>
      <c r="I634" t="inlineStr">
        <is>
          <t>23/002313</t>
        </is>
      </c>
    </row>
    <row r="635">
      <c r="A635">
        <f>TRIM(BASE_EQUIPOS!N635)</f>
        <v/>
      </c>
      <c r="B635">
        <f>BASE_EQUIPOS!A635</f>
        <v/>
      </c>
      <c r="C635">
        <f>BASE_EQUIPOS!B635</f>
        <v/>
      </c>
      <c r="D635">
        <f>BASE_EQUIPOS!D635</f>
        <v/>
      </c>
      <c r="E635">
        <f>BASE_EQUIPOS!G635</f>
        <v/>
      </c>
      <c r="F635">
        <f>BASE_EQUIPOS!H635</f>
        <v/>
      </c>
      <c r="G635">
        <f>BASE_EQUIPOS!M635</f>
        <v/>
      </c>
      <c r="I635" t="inlineStr">
        <is>
          <t>001991</t>
        </is>
      </c>
    </row>
    <row r="636">
      <c r="A636">
        <f>TRIM(BASE_EQUIPOS!N636)</f>
        <v/>
      </c>
      <c r="B636">
        <f>BASE_EQUIPOS!A636</f>
        <v/>
      </c>
      <c r="C636">
        <f>BASE_EQUIPOS!B636</f>
        <v/>
      </c>
      <c r="D636">
        <f>BASE_EQUIPOS!D636</f>
        <v/>
      </c>
      <c r="E636">
        <f>BASE_EQUIPOS!G636</f>
        <v/>
      </c>
      <c r="F636">
        <f>BASE_EQUIPOS!H636</f>
        <v/>
      </c>
      <c r="G636">
        <f>BASE_EQUIPOS!M636</f>
        <v/>
      </c>
      <c r="I636" t="inlineStr">
        <is>
          <t>008682</t>
        </is>
      </c>
    </row>
    <row r="637">
      <c r="A637">
        <f>TRIM(BASE_EQUIPOS!N637)</f>
        <v/>
      </c>
      <c r="B637">
        <f>BASE_EQUIPOS!A637</f>
        <v/>
      </c>
      <c r="C637">
        <f>BASE_EQUIPOS!B637</f>
        <v/>
      </c>
      <c r="D637">
        <f>BASE_EQUIPOS!D637</f>
        <v/>
      </c>
      <c r="E637">
        <f>BASE_EQUIPOS!G637</f>
        <v/>
      </c>
      <c r="F637">
        <f>BASE_EQUIPOS!H637</f>
        <v/>
      </c>
      <c r="G637">
        <f>BASE_EQUIPOS!M637</f>
        <v/>
      </c>
      <c r="I637" t="inlineStr">
        <is>
          <t>257/001322</t>
        </is>
      </c>
    </row>
    <row r="638">
      <c r="A638">
        <f>TRIM(BASE_EQUIPOS!N638)</f>
        <v/>
      </c>
      <c r="B638">
        <f>BASE_EQUIPOS!A638</f>
        <v/>
      </c>
      <c r="C638">
        <f>BASE_EQUIPOS!B638</f>
        <v/>
      </c>
      <c r="D638">
        <f>BASE_EQUIPOS!D638</f>
        <v/>
      </c>
      <c r="E638">
        <f>BASE_EQUIPOS!G638</f>
        <v/>
      </c>
      <c r="F638">
        <f>BASE_EQUIPOS!H638</f>
        <v/>
      </c>
      <c r="G638">
        <f>BASE_EQUIPOS!M638</f>
        <v/>
      </c>
      <c r="I638" t="inlineStr">
        <is>
          <t>383/001109</t>
        </is>
      </c>
    </row>
    <row r="639">
      <c r="A639">
        <f>TRIM(BASE_EQUIPOS!N639)</f>
        <v/>
      </c>
      <c r="B639">
        <f>BASE_EQUIPOS!A639</f>
        <v/>
      </c>
      <c r="C639">
        <f>BASE_EQUIPOS!B639</f>
        <v/>
      </c>
      <c r="D639">
        <f>BASE_EQUIPOS!D639</f>
        <v/>
      </c>
      <c r="E639">
        <f>BASE_EQUIPOS!G639</f>
        <v/>
      </c>
      <c r="F639">
        <f>BASE_EQUIPOS!H639</f>
        <v/>
      </c>
      <c r="G639">
        <f>BASE_EQUIPOS!M639</f>
        <v/>
      </c>
      <c r="I639" t="inlineStr">
        <is>
          <t>186/000494</t>
        </is>
      </c>
    </row>
    <row r="640">
      <c r="A640">
        <f>TRIM(BASE_EQUIPOS!N640)</f>
        <v/>
      </c>
      <c r="B640">
        <f>BASE_EQUIPOS!A640</f>
        <v/>
      </c>
      <c r="C640">
        <f>BASE_EQUIPOS!B640</f>
        <v/>
      </c>
      <c r="D640">
        <f>BASE_EQUIPOS!D640</f>
        <v/>
      </c>
      <c r="E640">
        <f>BASE_EQUIPOS!G640</f>
        <v/>
      </c>
      <c r="F640">
        <f>BASE_EQUIPOS!H640</f>
        <v/>
      </c>
      <c r="G640">
        <f>BASE_EQUIPOS!M640</f>
        <v/>
      </c>
      <c r="I640" t="inlineStr">
        <is>
          <t>S/N/000555</t>
        </is>
      </c>
    </row>
    <row r="641">
      <c r="A641">
        <f>TRIM(BASE_EQUIPOS!N641)</f>
        <v/>
      </c>
      <c r="B641">
        <f>BASE_EQUIPOS!A641</f>
        <v/>
      </c>
      <c r="C641">
        <f>BASE_EQUIPOS!B641</f>
        <v/>
      </c>
      <c r="D641">
        <f>BASE_EQUIPOS!D641</f>
        <v/>
      </c>
      <c r="E641">
        <f>BASE_EQUIPOS!G641</f>
        <v/>
      </c>
      <c r="F641">
        <f>BASE_EQUIPOS!H641</f>
        <v/>
      </c>
      <c r="G641">
        <f>BASE_EQUIPOS!M641</f>
        <v/>
      </c>
      <c r="I641" t="inlineStr">
        <is>
          <t>169/000005</t>
        </is>
      </c>
    </row>
    <row r="642">
      <c r="A642">
        <f>TRIM(BASE_EQUIPOS!N642)</f>
        <v/>
      </c>
      <c r="B642">
        <f>BASE_EQUIPOS!A642</f>
        <v/>
      </c>
      <c r="C642">
        <f>BASE_EQUIPOS!B642</f>
        <v/>
      </c>
      <c r="D642">
        <f>BASE_EQUIPOS!D642</f>
        <v/>
      </c>
      <c r="E642">
        <f>BASE_EQUIPOS!G642</f>
        <v/>
      </c>
      <c r="F642">
        <f>BASE_EQUIPOS!H642</f>
        <v/>
      </c>
      <c r="G642">
        <f>BASE_EQUIPOS!M642</f>
        <v/>
      </c>
      <c r="I642" t="inlineStr">
        <is>
          <t>358/000586</t>
        </is>
      </c>
    </row>
    <row r="643">
      <c r="A643">
        <f>TRIM(BASE_EQUIPOS!N643)</f>
        <v/>
      </c>
      <c r="B643">
        <f>BASE_EQUIPOS!A643</f>
        <v/>
      </c>
      <c r="C643">
        <f>BASE_EQUIPOS!B643</f>
        <v/>
      </c>
      <c r="D643">
        <f>BASE_EQUIPOS!D643</f>
        <v/>
      </c>
      <c r="E643">
        <f>BASE_EQUIPOS!G643</f>
        <v/>
      </c>
      <c r="F643">
        <f>BASE_EQUIPOS!H643</f>
        <v/>
      </c>
      <c r="G643">
        <f>BASE_EQUIPOS!M643</f>
        <v/>
      </c>
      <c r="I643" t="inlineStr">
        <is>
          <t>357/000005</t>
        </is>
      </c>
    </row>
    <row r="644">
      <c r="A644">
        <f>TRIM(BASE_EQUIPOS!N644)</f>
        <v/>
      </c>
      <c r="B644">
        <f>BASE_EQUIPOS!A644</f>
        <v/>
      </c>
      <c r="C644">
        <f>BASE_EQUIPOS!B644</f>
        <v/>
      </c>
      <c r="D644">
        <f>BASE_EQUIPOS!D644</f>
        <v/>
      </c>
      <c r="E644">
        <f>BASE_EQUIPOS!G644</f>
        <v/>
      </c>
      <c r="F644">
        <f>BASE_EQUIPOS!H644</f>
        <v/>
      </c>
      <c r="G644">
        <f>BASE_EQUIPOS!M644</f>
        <v/>
      </c>
      <c r="I644" t="inlineStr">
        <is>
          <t>137/000705</t>
        </is>
      </c>
    </row>
    <row r="645">
      <c r="A645">
        <f>TRIM(BASE_EQUIPOS!N645)</f>
        <v/>
      </c>
      <c r="B645">
        <f>BASE_EQUIPOS!A645</f>
        <v/>
      </c>
      <c r="C645">
        <f>BASE_EQUIPOS!B645</f>
        <v/>
      </c>
      <c r="D645">
        <f>BASE_EQUIPOS!D645</f>
        <v/>
      </c>
      <c r="E645">
        <f>BASE_EQUIPOS!G645</f>
        <v/>
      </c>
      <c r="F645">
        <f>BASE_EQUIPOS!H645</f>
        <v/>
      </c>
      <c r="G645">
        <f>BASE_EQUIPOS!M645</f>
        <v/>
      </c>
      <c r="I645" t="inlineStr">
        <is>
          <t>S/N/016379</t>
        </is>
      </c>
    </row>
    <row r="646">
      <c r="A646">
        <f>TRIM(BASE_EQUIPOS!N646)</f>
        <v/>
      </c>
      <c r="B646">
        <f>BASE_EQUIPOS!A646</f>
        <v/>
      </c>
      <c r="C646">
        <f>BASE_EQUIPOS!B646</f>
        <v/>
      </c>
      <c r="D646">
        <f>BASE_EQUIPOS!D646</f>
        <v/>
      </c>
      <c r="E646">
        <f>BASE_EQUIPOS!G646</f>
        <v/>
      </c>
      <c r="F646">
        <f>BASE_EQUIPOS!H646</f>
        <v/>
      </c>
      <c r="G646">
        <f>BASE_EQUIPOS!M646</f>
        <v/>
      </c>
      <c r="I646" t="inlineStr">
        <is>
          <t>59/000050</t>
        </is>
      </c>
    </row>
    <row r="647">
      <c r="A647">
        <f>TRIM(BASE_EQUIPOS!N647)</f>
        <v/>
      </c>
      <c r="B647">
        <f>BASE_EQUIPOS!A647</f>
        <v/>
      </c>
      <c r="C647">
        <f>BASE_EQUIPOS!B647</f>
        <v/>
      </c>
      <c r="D647">
        <f>BASE_EQUIPOS!D647</f>
        <v/>
      </c>
      <c r="E647">
        <f>BASE_EQUIPOS!G647</f>
        <v/>
      </c>
      <c r="F647">
        <f>BASE_EQUIPOS!H647</f>
        <v/>
      </c>
      <c r="G647">
        <f>BASE_EQUIPOS!M647</f>
        <v/>
      </c>
      <c r="I647" t="inlineStr">
        <is>
          <t>362/002191</t>
        </is>
      </c>
    </row>
    <row r="648">
      <c r="A648">
        <f>TRIM(BASE_EQUIPOS!N648)</f>
        <v/>
      </c>
      <c r="B648">
        <f>BASE_EQUIPOS!A648</f>
        <v/>
      </c>
      <c r="C648">
        <f>BASE_EQUIPOS!B648</f>
        <v/>
      </c>
      <c r="D648">
        <f>BASE_EQUIPOS!D648</f>
        <v/>
      </c>
      <c r="E648">
        <f>BASE_EQUIPOS!G648</f>
        <v/>
      </c>
      <c r="F648">
        <f>BASE_EQUIPOS!H648</f>
        <v/>
      </c>
      <c r="G648">
        <f>BASE_EQUIPOS!M648</f>
        <v/>
      </c>
      <c r="I648" t="inlineStr">
        <is>
          <t>237/002081</t>
        </is>
      </c>
    </row>
    <row r="649">
      <c r="A649">
        <f>TRIM(BASE_EQUIPOS!N649)</f>
        <v/>
      </c>
      <c r="B649">
        <f>BASE_EQUIPOS!A649</f>
        <v/>
      </c>
      <c r="C649">
        <f>BASE_EQUIPOS!B649</f>
        <v/>
      </c>
      <c r="D649">
        <f>BASE_EQUIPOS!D649</f>
        <v/>
      </c>
      <c r="E649">
        <f>BASE_EQUIPOS!G649</f>
        <v/>
      </c>
      <c r="F649">
        <f>BASE_EQUIPOS!H649</f>
        <v/>
      </c>
      <c r="G649">
        <f>BASE_EQUIPOS!M649</f>
        <v/>
      </c>
      <c r="I649" t="inlineStr">
        <is>
          <t>001083</t>
        </is>
      </c>
    </row>
    <row r="650">
      <c r="A650">
        <f>TRIM(BASE_EQUIPOS!N650)</f>
        <v/>
      </c>
      <c r="B650">
        <f>BASE_EQUIPOS!A650</f>
        <v/>
      </c>
      <c r="C650">
        <f>BASE_EQUIPOS!B650</f>
        <v/>
      </c>
      <c r="D650">
        <f>BASE_EQUIPOS!D650</f>
        <v/>
      </c>
      <c r="E650">
        <f>BASE_EQUIPOS!G650</f>
        <v/>
      </c>
      <c r="F650">
        <f>BASE_EQUIPOS!H650</f>
        <v/>
      </c>
      <c r="G650">
        <f>BASE_EQUIPOS!M650</f>
        <v/>
      </c>
      <c r="I650" t="inlineStr">
        <is>
          <t>008988</t>
        </is>
      </c>
    </row>
    <row r="651">
      <c r="A651">
        <f>TRIM(BASE_EQUIPOS!N651)</f>
        <v/>
      </c>
      <c r="B651">
        <f>BASE_EQUIPOS!A651</f>
        <v/>
      </c>
      <c r="C651">
        <f>BASE_EQUIPOS!B651</f>
        <v/>
      </c>
      <c r="D651">
        <f>BASE_EQUIPOS!D651</f>
        <v/>
      </c>
      <c r="E651">
        <f>BASE_EQUIPOS!G651</f>
        <v/>
      </c>
      <c r="F651">
        <f>BASE_EQUIPOS!H651</f>
        <v/>
      </c>
      <c r="G651">
        <f>BASE_EQUIPOS!M651</f>
        <v/>
      </c>
      <c r="I651" t="inlineStr">
        <is>
          <t>003071</t>
        </is>
      </c>
    </row>
    <row r="652">
      <c r="A652">
        <f>TRIM(BASE_EQUIPOS!N652)</f>
        <v/>
      </c>
      <c r="B652">
        <f>BASE_EQUIPOS!A652</f>
        <v/>
      </c>
      <c r="C652">
        <f>BASE_EQUIPOS!B652</f>
        <v/>
      </c>
      <c r="D652">
        <f>BASE_EQUIPOS!D652</f>
        <v/>
      </c>
      <c r="E652">
        <f>BASE_EQUIPOS!G652</f>
        <v/>
      </c>
      <c r="F652">
        <f>BASE_EQUIPOS!H652</f>
        <v/>
      </c>
      <c r="G652">
        <f>BASE_EQUIPOS!M652</f>
        <v/>
      </c>
      <c r="I652" t="inlineStr">
        <is>
          <t>03/000357</t>
        </is>
      </c>
    </row>
    <row r="653">
      <c r="A653">
        <f>TRIM(BASE_EQUIPOS!N653)</f>
        <v/>
      </c>
      <c r="B653">
        <f>BASE_EQUIPOS!A653</f>
        <v/>
      </c>
      <c r="C653">
        <f>BASE_EQUIPOS!B653</f>
        <v/>
      </c>
      <c r="D653">
        <f>BASE_EQUIPOS!D653</f>
        <v/>
      </c>
      <c r="E653">
        <f>BASE_EQUIPOS!G653</f>
        <v/>
      </c>
      <c r="F653">
        <f>BASE_EQUIPOS!H653</f>
        <v/>
      </c>
      <c r="G653">
        <f>BASE_EQUIPOS!M653</f>
        <v/>
      </c>
      <c r="I653" t="inlineStr">
        <is>
          <t>02/001015</t>
        </is>
      </c>
    </row>
    <row r="654">
      <c r="A654">
        <f>TRIM(BASE_EQUIPOS!N654)</f>
        <v/>
      </c>
      <c r="B654">
        <f>BASE_EQUIPOS!A654</f>
        <v/>
      </c>
      <c r="C654">
        <f>BASE_EQUIPOS!B654</f>
        <v/>
      </c>
      <c r="D654">
        <f>BASE_EQUIPOS!D654</f>
        <v/>
      </c>
      <c r="E654">
        <f>BASE_EQUIPOS!G654</f>
        <v/>
      </c>
      <c r="F654">
        <f>BASE_EQUIPOS!H654</f>
        <v/>
      </c>
      <c r="G654">
        <f>BASE_EQUIPOS!M654</f>
        <v/>
      </c>
      <c r="I654" t="inlineStr">
        <is>
          <t>S/N / 000330</t>
        </is>
      </c>
    </row>
    <row r="655">
      <c r="A655">
        <f>TRIM(BASE_EQUIPOS!N655)</f>
        <v/>
      </c>
      <c r="B655">
        <f>BASE_EQUIPOS!A655</f>
        <v/>
      </c>
      <c r="C655">
        <f>BASE_EQUIPOS!B655</f>
        <v/>
      </c>
      <c r="D655">
        <f>BASE_EQUIPOS!D655</f>
        <v/>
      </c>
      <c r="E655">
        <f>BASE_EQUIPOS!G655</f>
        <v/>
      </c>
      <c r="F655">
        <f>BASE_EQUIPOS!H655</f>
        <v/>
      </c>
      <c r="G655">
        <f>BASE_EQUIPOS!M655</f>
        <v/>
      </c>
      <c r="I655" t="inlineStr">
        <is>
          <t>14/002158</t>
        </is>
      </c>
    </row>
    <row r="656">
      <c r="A656">
        <f>TRIM(BASE_EQUIPOS!N656)</f>
        <v/>
      </c>
      <c r="B656">
        <f>BASE_EQUIPOS!A656</f>
        <v/>
      </c>
      <c r="C656">
        <f>BASE_EQUIPOS!B656</f>
        <v/>
      </c>
      <c r="D656">
        <f>BASE_EQUIPOS!D656</f>
        <v/>
      </c>
      <c r="E656">
        <f>BASE_EQUIPOS!G656</f>
        <v/>
      </c>
      <c r="F656">
        <f>BASE_EQUIPOS!H656</f>
        <v/>
      </c>
      <c r="G656">
        <f>BASE_EQUIPOS!M656</f>
        <v/>
      </c>
      <c r="I656" t="inlineStr">
        <is>
          <t>S/N /001487</t>
        </is>
      </c>
    </row>
    <row r="657">
      <c r="A657">
        <f>TRIM(BASE_EQUIPOS!N657)</f>
        <v/>
      </c>
      <c r="B657">
        <f>BASE_EQUIPOS!A657</f>
        <v/>
      </c>
      <c r="C657">
        <f>BASE_EQUIPOS!B657</f>
        <v/>
      </c>
      <c r="D657">
        <f>BASE_EQUIPOS!D657</f>
        <v/>
      </c>
      <c r="E657">
        <f>BASE_EQUIPOS!G657</f>
        <v/>
      </c>
      <c r="F657">
        <f>BASE_EQUIPOS!H657</f>
        <v/>
      </c>
      <c r="G657">
        <f>BASE_EQUIPOS!M657</f>
        <v/>
      </c>
      <c r="I657" t="inlineStr">
        <is>
          <t>41/001746</t>
        </is>
      </c>
    </row>
    <row r="658">
      <c r="A658">
        <f>TRIM(BASE_EQUIPOS!N658)</f>
        <v/>
      </c>
      <c r="B658">
        <f>BASE_EQUIPOS!A658</f>
        <v/>
      </c>
      <c r="C658">
        <f>BASE_EQUIPOS!B658</f>
        <v/>
      </c>
      <c r="D658">
        <f>BASE_EQUIPOS!D658</f>
        <v/>
      </c>
      <c r="E658">
        <f>BASE_EQUIPOS!G658</f>
        <v/>
      </c>
      <c r="F658">
        <f>BASE_EQUIPOS!H658</f>
        <v/>
      </c>
      <c r="G658">
        <f>BASE_EQUIPOS!M658</f>
        <v/>
      </c>
      <c r="I658" t="inlineStr">
        <is>
          <t>325/000667</t>
        </is>
      </c>
    </row>
    <row r="659">
      <c r="A659">
        <f>TRIM(BASE_EQUIPOS!N659)</f>
        <v/>
      </c>
      <c r="B659">
        <f>BASE_EQUIPOS!A659</f>
        <v/>
      </c>
      <c r="C659">
        <f>BASE_EQUIPOS!B659</f>
        <v/>
      </c>
      <c r="D659">
        <f>BASE_EQUIPOS!D659</f>
        <v/>
      </c>
      <c r="E659">
        <f>BASE_EQUIPOS!G659</f>
        <v/>
      </c>
      <c r="F659">
        <f>BASE_EQUIPOS!H659</f>
        <v/>
      </c>
      <c r="G659">
        <f>BASE_EQUIPOS!M659</f>
        <v/>
      </c>
      <c r="I659" t="inlineStr">
        <is>
          <t>S/N /001745</t>
        </is>
      </c>
    </row>
    <row r="660">
      <c r="A660">
        <f>TRIM(BASE_EQUIPOS!N660)</f>
        <v/>
      </c>
      <c r="B660">
        <f>BASE_EQUIPOS!A660</f>
        <v/>
      </c>
      <c r="C660">
        <f>BASE_EQUIPOS!B660</f>
        <v/>
      </c>
      <c r="D660">
        <f>BASE_EQUIPOS!D660</f>
        <v/>
      </c>
      <c r="E660">
        <f>BASE_EQUIPOS!G660</f>
        <v/>
      </c>
      <c r="F660">
        <f>BASE_EQUIPOS!H660</f>
        <v/>
      </c>
      <c r="G660">
        <f>BASE_EQUIPOS!M660</f>
        <v/>
      </c>
      <c r="I660" t="inlineStr">
        <is>
          <t>331/000811</t>
        </is>
      </c>
    </row>
    <row r="661">
      <c r="A661">
        <f>TRIM(BASE_EQUIPOS!N661)</f>
        <v/>
      </c>
      <c r="B661">
        <f>BASE_EQUIPOS!A661</f>
        <v/>
      </c>
      <c r="C661">
        <f>BASE_EQUIPOS!B661</f>
        <v/>
      </c>
      <c r="D661">
        <f>BASE_EQUIPOS!D661</f>
        <v/>
      </c>
      <c r="E661">
        <f>BASE_EQUIPOS!G661</f>
        <v/>
      </c>
      <c r="F661">
        <f>BASE_EQUIPOS!H661</f>
        <v/>
      </c>
      <c r="G661">
        <f>BASE_EQUIPOS!M661</f>
        <v/>
      </c>
      <c r="I661" t="inlineStr">
        <is>
          <t>110/006511</t>
        </is>
      </c>
    </row>
    <row r="662">
      <c r="A662">
        <f>TRIM(BASE_EQUIPOS!N662)</f>
        <v/>
      </c>
      <c r="B662">
        <f>BASE_EQUIPOS!A662</f>
        <v/>
      </c>
      <c r="C662">
        <f>BASE_EQUIPOS!B662</f>
        <v/>
      </c>
      <c r="D662">
        <f>BASE_EQUIPOS!D662</f>
        <v/>
      </c>
      <c r="E662">
        <f>BASE_EQUIPOS!G662</f>
        <v/>
      </c>
      <c r="F662">
        <f>BASE_EQUIPOS!H662</f>
        <v/>
      </c>
      <c r="G662">
        <f>BASE_EQUIPOS!M662</f>
        <v/>
      </c>
      <c r="I662" t="inlineStr">
        <is>
          <t>187/001121</t>
        </is>
      </c>
    </row>
    <row r="663">
      <c r="A663">
        <f>TRIM(BASE_EQUIPOS!N663)</f>
        <v/>
      </c>
      <c r="B663">
        <f>BASE_EQUIPOS!A663</f>
        <v/>
      </c>
      <c r="C663">
        <f>BASE_EQUIPOS!B663</f>
        <v/>
      </c>
      <c r="D663">
        <f>BASE_EQUIPOS!D663</f>
        <v/>
      </c>
      <c r="E663">
        <f>BASE_EQUIPOS!G663</f>
        <v/>
      </c>
      <c r="F663">
        <f>BASE_EQUIPOS!H663</f>
        <v/>
      </c>
      <c r="G663">
        <f>BASE_EQUIPOS!M663</f>
        <v/>
      </c>
      <c r="I663" t="inlineStr">
        <is>
          <t>S/N / 005496</t>
        </is>
      </c>
    </row>
    <row r="664">
      <c r="A664">
        <f>TRIM(BASE_EQUIPOS!N664)</f>
        <v/>
      </c>
      <c r="B664">
        <f>BASE_EQUIPOS!A664</f>
        <v/>
      </c>
      <c r="C664">
        <f>BASE_EQUIPOS!B664</f>
        <v/>
      </c>
      <c r="D664">
        <f>BASE_EQUIPOS!D664</f>
        <v/>
      </c>
      <c r="E664">
        <f>BASE_EQUIPOS!G664</f>
        <v/>
      </c>
      <c r="F664">
        <f>BASE_EQUIPOS!H664</f>
        <v/>
      </c>
      <c r="G664">
        <f>BASE_EQUIPOS!M664</f>
        <v/>
      </c>
      <c r="I664" t="inlineStr">
        <is>
          <t>01/002440</t>
        </is>
      </c>
    </row>
    <row r="665">
      <c r="A665">
        <f>TRIM(BASE_EQUIPOS!N665)</f>
        <v/>
      </c>
      <c r="B665">
        <f>BASE_EQUIPOS!A665</f>
        <v/>
      </c>
      <c r="C665">
        <f>BASE_EQUIPOS!B665</f>
        <v/>
      </c>
      <c r="D665">
        <f>BASE_EQUIPOS!D665</f>
        <v/>
      </c>
      <c r="E665">
        <f>BASE_EQUIPOS!G665</f>
        <v/>
      </c>
      <c r="F665">
        <f>BASE_EQUIPOS!H665</f>
        <v/>
      </c>
      <c r="G665">
        <f>BASE_EQUIPOS!M665</f>
        <v/>
      </c>
      <c r="I665" t="inlineStr">
        <is>
          <t>01/020549</t>
        </is>
      </c>
    </row>
    <row r="666">
      <c r="A666">
        <f>TRIM(BASE_EQUIPOS!N666)</f>
        <v/>
      </c>
      <c r="B666">
        <f>BASE_EQUIPOS!A666</f>
        <v/>
      </c>
      <c r="C666">
        <f>BASE_EQUIPOS!B666</f>
        <v/>
      </c>
      <c r="D666">
        <f>BASE_EQUIPOS!D666</f>
        <v/>
      </c>
      <c r="E666">
        <f>BASE_EQUIPOS!G666</f>
        <v/>
      </c>
      <c r="F666">
        <f>BASE_EQUIPOS!H666</f>
        <v/>
      </c>
      <c r="G666">
        <f>BASE_EQUIPOS!M666</f>
        <v/>
      </c>
      <c r="I666" t="inlineStr">
        <is>
          <t>02/000149</t>
        </is>
      </c>
    </row>
    <row r="667">
      <c r="A667">
        <f>TRIM(BASE_EQUIPOS!N667)</f>
        <v/>
      </c>
      <c r="B667">
        <f>BASE_EQUIPOS!A667</f>
        <v/>
      </c>
      <c r="C667">
        <f>BASE_EQUIPOS!B667</f>
        <v/>
      </c>
      <c r="D667">
        <f>BASE_EQUIPOS!D667</f>
        <v/>
      </c>
      <c r="E667">
        <f>BASE_EQUIPOS!G667</f>
        <v/>
      </c>
      <c r="F667">
        <f>BASE_EQUIPOS!H667</f>
        <v/>
      </c>
      <c r="G667">
        <f>BASE_EQUIPOS!M667</f>
        <v/>
      </c>
      <c r="I667" t="inlineStr">
        <is>
          <t>01/001143</t>
        </is>
      </c>
    </row>
    <row r="668">
      <c r="A668">
        <f>TRIM(BASE_EQUIPOS!N668)</f>
        <v/>
      </c>
      <c r="B668">
        <f>BASE_EQUIPOS!A668</f>
        <v/>
      </c>
      <c r="C668">
        <f>BASE_EQUIPOS!B668</f>
        <v/>
      </c>
      <c r="D668">
        <f>BASE_EQUIPOS!D668</f>
        <v/>
      </c>
      <c r="E668">
        <f>BASE_EQUIPOS!G668</f>
        <v/>
      </c>
      <c r="F668">
        <f>BASE_EQUIPOS!H668</f>
        <v/>
      </c>
      <c r="G668">
        <f>BASE_EQUIPOS!M668</f>
        <v/>
      </c>
      <c r="I668" t="inlineStr">
        <is>
          <t>02/001460</t>
        </is>
      </c>
    </row>
    <row r="669">
      <c r="A669">
        <f>TRIM(BASE_EQUIPOS!N669)</f>
        <v/>
      </c>
      <c r="B669">
        <f>BASE_EQUIPOS!A669</f>
        <v/>
      </c>
      <c r="C669">
        <f>BASE_EQUIPOS!B669</f>
        <v/>
      </c>
      <c r="D669">
        <f>BASE_EQUIPOS!D669</f>
        <v/>
      </c>
      <c r="E669">
        <f>BASE_EQUIPOS!G669</f>
        <v/>
      </c>
      <c r="F669">
        <f>BASE_EQUIPOS!H669</f>
        <v/>
      </c>
      <c r="G669">
        <f>BASE_EQUIPOS!M669</f>
        <v/>
      </c>
      <c r="I669" t="inlineStr">
        <is>
          <t>03/002591</t>
        </is>
      </c>
    </row>
    <row r="670">
      <c r="A670">
        <f>TRIM(BASE_EQUIPOS!N670)</f>
        <v/>
      </c>
      <c r="B670">
        <f>BASE_EQUIPOS!A670</f>
        <v/>
      </c>
      <c r="C670">
        <f>BASE_EQUIPOS!B670</f>
        <v/>
      </c>
      <c r="D670">
        <f>BASE_EQUIPOS!D670</f>
        <v/>
      </c>
      <c r="E670">
        <f>BASE_EQUIPOS!G670</f>
        <v/>
      </c>
      <c r="F670">
        <f>BASE_EQUIPOS!H670</f>
        <v/>
      </c>
      <c r="G670">
        <f>BASE_EQUIPOS!M670</f>
        <v/>
      </c>
      <c r="I670" t="inlineStr">
        <is>
          <t>04/001377</t>
        </is>
      </c>
    </row>
    <row r="671">
      <c r="A671">
        <f>TRIM(BASE_EQUIPOS!N671)</f>
        <v/>
      </c>
      <c r="B671">
        <f>BASE_EQUIPOS!A671</f>
        <v/>
      </c>
      <c r="C671">
        <f>BASE_EQUIPOS!B671</f>
        <v/>
      </c>
      <c r="D671">
        <f>BASE_EQUIPOS!D671</f>
        <v/>
      </c>
      <c r="E671">
        <f>BASE_EQUIPOS!G671</f>
        <v/>
      </c>
      <c r="F671">
        <f>BASE_EQUIPOS!H671</f>
        <v/>
      </c>
      <c r="G671">
        <f>BASE_EQUIPOS!M671</f>
        <v/>
      </c>
      <c r="I671" t="inlineStr">
        <is>
          <t>05/001095</t>
        </is>
      </c>
    </row>
    <row r="672">
      <c r="A672">
        <f>TRIM(BASE_EQUIPOS!N672)</f>
        <v/>
      </c>
      <c r="B672">
        <f>BASE_EQUIPOS!A672</f>
        <v/>
      </c>
      <c r="C672">
        <f>BASE_EQUIPOS!B672</f>
        <v/>
      </c>
      <c r="D672">
        <f>BASE_EQUIPOS!D672</f>
        <v/>
      </c>
      <c r="E672">
        <f>BASE_EQUIPOS!G672</f>
        <v/>
      </c>
      <c r="F672">
        <f>BASE_EQUIPOS!H672</f>
        <v/>
      </c>
      <c r="G672">
        <f>BASE_EQUIPOS!M672</f>
        <v/>
      </c>
      <c r="I672" t="inlineStr">
        <is>
          <t>03/000326</t>
        </is>
      </c>
    </row>
    <row r="673">
      <c r="A673">
        <f>TRIM(BASE_EQUIPOS!N673)</f>
        <v/>
      </c>
      <c r="B673">
        <f>BASE_EQUIPOS!A673</f>
        <v/>
      </c>
      <c r="C673">
        <f>BASE_EQUIPOS!B673</f>
        <v/>
      </c>
      <c r="D673">
        <f>BASE_EQUIPOS!D673</f>
        <v/>
      </c>
      <c r="E673">
        <f>BASE_EQUIPOS!G673</f>
        <v/>
      </c>
      <c r="F673">
        <f>BASE_EQUIPOS!H673</f>
        <v/>
      </c>
      <c r="G673">
        <f>BASE_EQUIPOS!M673</f>
        <v/>
      </c>
      <c r="I673" t="inlineStr">
        <is>
          <t>03/000738</t>
        </is>
      </c>
    </row>
    <row r="674">
      <c r="A674">
        <f>TRIM(BASE_EQUIPOS!N674)</f>
        <v/>
      </c>
      <c r="B674">
        <f>BASE_EQUIPOS!A674</f>
        <v/>
      </c>
      <c r="C674">
        <f>BASE_EQUIPOS!B674</f>
        <v/>
      </c>
      <c r="D674">
        <f>BASE_EQUIPOS!D674</f>
        <v/>
      </c>
      <c r="E674">
        <f>BASE_EQUIPOS!G674</f>
        <v/>
      </c>
      <c r="F674">
        <f>BASE_EQUIPOS!H674</f>
        <v/>
      </c>
      <c r="G674">
        <f>BASE_EQUIPOS!M674</f>
        <v/>
      </c>
      <c r="I674" t="inlineStr">
        <is>
          <t>01/002405</t>
        </is>
      </c>
    </row>
    <row r="675">
      <c r="A675">
        <f>TRIM(BASE_EQUIPOS!N675)</f>
        <v/>
      </c>
      <c r="B675">
        <f>BASE_EQUIPOS!A675</f>
        <v/>
      </c>
      <c r="C675">
        <f>BASE_EQUIPOS!B675</f>
        <v/>
      </c>
      <c r="D675">
        <f>BASE_EQUIPOS!D675</f>
        <v/>
      </c>
      <c r="E675">
        <f>BASE_EQUIPOS!G675</f>
        <v/>
      </c>
      <c r="F675">
        <f>BASE_EQUIPOS!H675</f>
        <v/>
      </c>
      <c r="G675">
        <f>BASE_EQUIPOS!M675</f>
        <v/>
      </c>
      <c r="I675" t="inlineStr">
        <is>
          <t>0002211</t>
        </is>
      </c>
    </row>
    <row r="676">
      <c r="A676">
        <f>TRIM(BASE_EQUIPOS!N676)</f>
        <v/>
      </c>
      <c r="B676">
        <f>BASE_EQUIPOS!A676</f>
        <v/>
      </c>
      <c r="C676">
        <f>BASE_EQUIPOS!B676</f>
        <v/>
      </c>
      <c r="D676">
        <f>BASE_EQUIPOS!D676</f>
        <v/>
      </c>
      <c r="E676">
        <f>BASE_EQUIPOS!G676</f>
        <v/>
      </c>
      <c r="F676">
        <f>BASE_EQUIPOS!H676</f>
        <v/>
      </c>
      <c r="G676">
        <f>BASE_EQUIPOS!M676</f>
        <v/>
      </c>
      <c r="I676" t="inlineStr">
        <is>
          <t>042515</t>
        </is>
      </c>
    </row>
    <row r="677">
      <c r="A677">
        <f>TRIM(BASE_EQUIPOS!N677)</f>
        <v/>
      </c>
      <c r="B677">
        <f>BASE_EQUIPOS!A677</f>
        <v/>
      </c>
      <c r="C677">
        <f>BASE_EQUIPOS!B677</f>
        <v/>
      </c>
      <c r="D677">
        <f>BASE_EQUIPOS!D677</f>
        <v/>
      </c>
      <c r="E677">
        <f>BASE_EQUIPOS!G677</f>
        <v/>
      </c>
      <c r="F677">
        <f>BASE_EQUIPOS!H677</f>
        <v/>
      </c>
      <c r="G677">
        <f>BASE_EQUIPOS!M677</f>
        <v/>
      </c>
      <c r="I677" t="inlineStr">
        <is>
          <t>000005</t>
        </is>
      </c>
    </row>
    <row r="678">
      <c r="A678">
        <f>TRIM(BASE_EQUIPOS!N678)</f>
        <v/>
      </c>
      <c r="B678">
        <f>BASE_EQUIPOS!A678</f>
        <v/>
      </c>
      <c r="C678">
        <f>BASE_EQUIPOS!B678</f>
        <v/>
      </c>
      <c r="D678">
        <f>BASE_EQUIPOS!D678</f>
        <v/>
      </c>
      <c r="E678">
        <f>BASE_EQUIPOS!G678</f>
        <v/>
      </c>
      <c r="F678">
        <f>BASE_EQUIPOS!H678</f>
        <v/>
      </c>
      <c r="G678">
        <f>BASE_EQUIPOS!M678</f>
        <v/>
      </c>
      <c r="I678" t="inlineStr">
        <is>
          <t>000353</t>
        </is>
      </c>
    </row>
    <row r="679">
      <c r="A679">
        <f>TRIM(BASE_EQUIPOS!N679)</f>
        <v/>
      </c>
      <c r="B679">
        <f>BASE_EQUIPOS!A679</f>
        <v/>
      </c>
      <c r="C679">
        <f>BASE_EQUIPOS!B679</f>
        <v/>
      </c>
      <c r="D679">
        <f>BASE_EQUIPOS!D679</f>
        <v/>
      </c>
      <c r="E679">
        <f>BASE_EQUIPOS!G679</f>
        <v/>
      </c>
      <c r="F679">
        <f>BASE_EQUIPOS!H679</f>
        <v/>
      </c>
      <c r="G679">
        <f>BASE_EQUIPOS!M679</f>
        <v/>
      </c>
      <c r="I679" t="inlineStr">
        <is>
          <t>000004</t>
        </is>
      </c>
    </row>
    <row r="680">
      <c r="A680">
        <f>TRIM(BASE_EQUIPOS!N680)</f>
        <v/>
      </c>
      <c r="B680">
        <f>BASE_EQUIPOS!A680</f>
        <v/>
      </c>
      <c r="C680">
        <f>BASE_EQUIPOS!B680</f>
        <v/>
      </c>
      <c r="D680">
        <f>BASE_EQUIPOS!D680</f>
        <v/>
      </c>
      <c r="E680">
        <f>BASE_EQUIPOS!G680</f>
        <v/>
      </c>
      <c r="F680">
        <f>BASE_EQUIPOS!H680</f>
        <v/>
      </c>
      <c r="G680">
        <f>BASE_EQUIPOS!M680</f>
        <v/>
      </c>
      <c r="I680" t="inlineStr">
        <is>
          <t>000856</t>
        </is>
      </c>
    </row>
    <row r="681">
      <c r="A681">
        <f>TRIM(BASE_EQUIPOS!N681)</f>
        <v/>
      </c>
      <c r="B681">
        <f>BASE_EQUIPOS!A681</f>
        <v/>
      </c>
      <c r="C681">
        <f>BASE_EQUIPOS!B681</f>
        <v/>
      </c>
      <c r="D681">
        <f>BASE_EQUIPOS!D681</f>
        <v/>
      </c>
      <c r="E681">
        <f>BASE_EQUIPOS!G681</f>
        <v/>
      </c>
      <c r="F681">
        <f>BASE_EQUIPOS!H681</f>
        <v/>
      </c>
      <c r="G681">
        <f>BASE_EQUIPOS!M681</f>
        <v/>
      </c>
      <c r="I681" t="inlineStr">
        <is>
          <t>000539</t>
        </is>
      </c>
    </row>
    <row r="682">
      <c r="A682">
        <f>TRIM(BASE_EQUIPOS!N682)</f>
        <v/>
      </c>
      <c r="B682">
        <f>BASE_EQUIPOS!A682</f>
        <v/>
      </c>
      <c r="C682">
        <f>BASE_EQUIPOS!B682</f>
        <v/>
      </c>
      <c r="D682">
        <f>BASE_EQUIPOS!D682</f>
        <v/>
      </c>
      <c r="E682">
        <f>BASE_EQUIPOS!G682</f>
        <v/>
      </c>
      <c r="F682">
        <f>BASE_EQUIPOS!H682</f>
        <v/>
      </c>
      <c r="G682">
        <f>BASE_EQUIPOS!M682</f>
        <v/>
      </c>
      <c r="I682" t="inlineStr">
        <is>
          <t>121350</t>
        </is>
      </c>
    </row>
    <row r="683">
      <c r="A683">
        <f>TRIM(BASE_EQUIPOS!N683)</f>
        <v/>
      </c>
      <c r="B683">
        <f>BASE_EQUIPOS!A683</f>
        <v/>
      </c>
      <c r="C683">
        <f>BASE_EQUIPOS!B683</f>
        <v/>
      </c>
      <c r="D683">
        <f>BASE_EQUIPOS!D683</f>
        <v/>
      </c>
      <c r="E683">
        <f>BASE_EQUIPOS!G683</f>
        <v/>
      </c>
      <c r="F683">
        <f>BASE_EQUIPOS!H683</f>
        <v/>
      </c>
      <c r="G683">
        <f>BASE_EQUIPOS!M683</f>
        <v/>
      </c>
      <c r="I683" t="inlineStr">
        <is>
          <t>000288</t>
        </is>
      </c>
    </row>
    <row r="684">
      <c r="A684">
        <f>TRIM(BASE_EQUIPOS!N684)</f>
        <v/>
      </c>
      <c r="B684">
        <f>BASE_EQUIPOS!A684</f>
        <v/>
      </c>
      <c r="C684">
        <f>BASE_EQUIPOS!B684</f>
        <v/>
      </c>
      <c r="D684">
        <f>BASE_EQUIPOS!D684</f>
        <v/>
      </c>
      <c r="E684">
        <f>BASE_EQUIPOS!G684</f>
        <v/>
      </c>
      <c r="F684">
        <f>BASE_EQUIPOS!H684</f>
        <v/>
      </c>
      <c r="G684">
        <f>BASE_EQUIPOS!M684</f>
        <v/>
      </c>
      <c r="I684" t="inlineStr">
        <is>
          <t>000588</t>
        </is>
      </c>
    </row>
    <row r="685">
      <c r="A685">
        <f>TRIM(BASE_EQUIPOS!N685)</f>
        <v/>
      </c>
      <c r="B685">
        <f>BASE_EQUIPOS!A685</f>
        <v/>
      </c>
      <c r="C685">
        <f>BASE_EQUIPOS!B685</f>
        <v/>
      </c>
      <c r="D685">
        <f>BASE_EQUIPOS!D685</f>
        <v/>
      </c>
      <c r="E685">
        <f>BASE_EQUIPOS!G685</f>
        <v/>
      </c>
      <c r="F685">
        <f>BASE_EQUIPOS!H685</f>
        <v/>
      </c>
      <c r="G685">
        <f>BASE_EQUIPOS!M685</f>
        <v/>
      </c>
      <c r="I685" t="inlineStr">
        <is>
          <t>001063</t>
        </is>
      </c>
    </row>
    <row r="686">
      <c r="A686">
        <f>TRIM(BASE_EQUIPOS!N686)</f>
        <v/>
      </c>
      <c r="B686">
        <f>BASE_EQUIPOS!A686</f>
        <v/>
      </c>
      <c r="C686">
        <f>BASE_EQUIPOS!B686</f>
        <v/>
      </c>
      <c r="D686">
        <f>BASE_EQUIPOS!D686</f>
        <v/>
      </c>
      <c r="E686">
        <f>BASE_EQUIPOS!G686</f>
        <v/>
      </c>
      <c r="F686">
        <f>BASE_EQUIPOS!H686</f>
        <v/>
      </c>
      <c r="G686">
        <f>BASE_EQUIPOS!M686</f>
        <v/>
      </c>
      <c r="I686" t="inlineStr">
        <is>
          <t>000178</t>
        </is>
      </c>
    </row>
    <row r="687">
      <c r="A687">
        <f>TRIM(BASE_EQUIPOS!N687)</f>
        <v/>
      </c>
      <c r="B687">
        <f>BASE_EQUIPOS!A687</f>
        <v/>
      </c>
      <c r="C687">
        <f>BASE_EQUIPOS!B687</f>
        <v/>
      </c>
      <c r="D687">
        <f>BASE_EQUIPOS!D687</f>
        <v/>
      </c>
      <c r="E687">
        <f>BASE_EQUIPOS!G687</f>
        <v/>
      </c>
      <c r="F687">
        <f>BASE_EQUIPOS!H687</f>
        <v/>
      </c>
      <c r="G687">
        <f>BASE_EQUIPOS!M687</f>
        <v/>
      </c>
      <c r="I687" t="inlineStr">
        <is>
          <t>003303</t>
        </is>
      </c>
    </row>
    <row r="688">
      <c r="A688">
        <f>TRIM(BASE_EQUIPOS!N688)</f>
        <v/>
      </c>
      <c r="B688">
        <f>BASE_EQUIPOS!A688</f>
        <v/>
      </c>
      <c r="C688">
        <f>BASE_EQUIPOS!B688</f>
        <v/>
      </c>
      <c r="D688">
        <f>BASE_EQUIPOS!D688</f>
        <v/>
      </c>
      <c r="E688">
        <f>BASE_EQUIPOS!G688</f>
        <v/>
      </c>
      <c r="F688">
        <f>BASE_EQUIPOS!H688</f>
        <v/>
      </c>
      <c r="G688">
        <f>BASE_EQUIPOS!M688</f>
        <v/>
      </c>
      <c r="I688" t="inlineStr">
        <is>
          <t>002236</t>
        </is>
      </c>
    </row>
    <row r="689">
      <c r="A689">
        <f>TRIM(BASE_EQUIPOS!N689)</f>
        <v/>
      </c>
      <c r="B689">
        <f>BASE_EQUIPOS!A689</f>
        <v/>
      </c>
      <c r="C689">
        <f>BASE_EQUIPOS!B689</f>
        <v/>
      </c>
      <c r="D689">
        <f>BASE_EQUIPOS!D689</f>
        <v/>
      </c>
      <c r="E689">
        <f>BASE_EQUIPOS!G689</f>
        <v/>
      </c>
      <c r="F689">
        <f>BASE_EQUIPOS!H689</f>
        <v/>
      </c>
      <c r="G689">
        <f>BASE_EQUIPOS!M689</f>
        <v/>
      </c>
      <c r="I689" t="inlineStr">
        <is>
          <t>011789</t>
        </is>
      </c>
    </row>
    <row r="690">
      <c r="A690">
        <f>TRIM(BASE_EQUIPOS!N690)</f>
        <v/>
      </c>
      <c r="B690">
        <f>BASE_EQUIPOS!A690</f>
        <v/>
      </c>
      <c r="C690">
        <f>BASE_EQUIPOS!B690</f>
        <v/>
      </c>
      <c r="D690">
        <f>BASE_EQUIPOS!D690</f>
        <v/>
      </c>
      <c r="E690">
        <f>BASE_EQUIPOS!G690</f>
        <v/>
      </c>
      <c r="F690">
        <f>BASE_EQUIPOS!H690</f>
        <v/>
      </c>
      <c r="G690">
        <f>BASE_EQUIPOS!M690</f>
        <v/>
      </c>
      <c r="I690" t="inlineStr">
        <is>
          <t>000117</t>
        </is>
      </c>
    </row>
    <row r="691">
      <c r="A691">
        <f>TRIM(BASE_EQUIPOS!N691)</f>
        <v/>
      </c>
      <c r="B691">
        <f>BASE_EQUIPOS!A691</f>
        <v/>
      </c>
      <c r="C691">
        <f>BASE_EQUIPOS!B691</f>
        <v/>
      </c>
      <c r="D691">
        <f>BASE_EQUIPOS!D691</f>
        <v/>
      </c>
      <c r="E691">
        <f>BASE_EQUIPOS!G691</f>
        <v/>
      </c>
      <c r="F691">
        <f>BASE_EQUIPOS!H691</f>
        <v/>
      </c>
      <c r="G691">
        <f>BASE_EQUIPOS!M691</f>
        <v/>
      </c>
      <c r="I691" t="inlineStr">
        <is>
          <t>000303</t>
        </is>
      </c>
    </row>
    <row r="692">
      <c r="A692">
        <f>TRIM(BASE_EQUIPOS!N692)</f>
        <v/>
      </c>
      <c r="B692">
        <f>BASE_EQUIPOS!A692</f>
        <v/>
      </c>
      <c r="C692">
        <f>BASE_EQUIPOS!B692</f>
        <v/>
      </c>
      <c r="D692">
        <f>BASE_EQUIPOS!D692</f>
        <v/>
      </c>
      <c r="E692">
        <f>BASE_EQUIPOS!G692</f>
        <v/>
      </c>
      <c r="F692">
        <f>BASE_EQUIPOS!H692</f>
        <v/>
      </c>
      <c r="G692">
        <f>BASE_EQUIPOS!M692</f>
        <v/>
      </c>
      <c r="I692" t="inlineStr">
        <is>
          <t>002921</t>
        </is>
      </c>
    </row>
    <row r="693">
      <c r="A693">
        <f>TRIM(BASE_EQUIPOS!N693)</f>
        <v/>
      </c>
      <c r="B693">
        <f>BASE_EQUIPOS!A693</f>
        <v/>
      </c>
      <c r="C693">
        <f>BASE_EQUIPOS!B693</f>
        <v/>
      </c>
      <c r="D693">
        <f>BASE_EQUIPOS!D693</f>
        <v/>
      </c>
      <c r="E693">
        <f>BASE_EQUIPOS!G693</f>
        <v/>
      </c>
      <c r="F693">
        <f>BASE_EQUIPOS!H693</f>
        <v/>
      </c>
      <c r="G693">
        <f>BASE_EQUIPOS!M693</f>
        <v/>
      </c>
      <c r="I693" t="inlineStr">
        <is>
          <t>000721</t>
        </is>
      </c>
    </row>
    <row r="694">
      <c r="A694">
        <f>TRIM(BASE_EQUIPOS!N694)</f>
        <v/>
      </c>
      <c r="B694">
        <f>BASE_EQUIPOS!A694</f>
        <v/>
      </c>
      <c r="C694">
        <f>BASE_EQUIPOS!B694</f>
        <v/>
      </c>
      <c r="D694">
        <f>BASE_EQUIPOS!D694</f>
        <v/>
      </c>
      <c r="E694">
        <f>BASE_EQUIPOS!G694</f>
        <v/>
      </c>
      <c r="F694">
        <f>BASE_EQUIPOS!H694</f>
        <v/>
      </c>
      <c r="G694">
        <f>BASE_EQUIPOS!M694</f>
        <v/>
      </c>
      <c r="I694" t="inlineStr">
        <is>
          <t>000203</t>
        </is>
      </c>
    </row>
    <row r="695">
      <c r="A695">
        <f>TRIM(BASE_EQUIPOS!N695)</f>
        <v/>
      </c>
      <c r="B695">
        <f>BASE_EQUIPOS!A695</f>
        <v/>
      </c>
      <c r="C695">
        <f>BASE_EQUIPOS!B695</f>
        <v/>
      </c>
      <c r="D695">
        <f>BASE_EQUIPOS!D695</f>
        <v/>
      </c>
      <c r="E695">
        <f>BASE_EQUIPOS!G695</f>
        <v/>
      </c>
      <c r="F695">
        <f>BASE_EQUIPOS!H695</f>
        <v/>
      </c>
      <c r="G695">
        <f>BASE_EQUIPOS!M695</f>
        <v/>
      </c>
      <c r="I695" t="inlineStr">
        <is>
          <t>000164</t>
        </is>
      </c>
    </row>
    <row r="696">
      <c r="A696">
        <f>TRIM(BASE_EQUIPOS!N696)</f>
        <v/>
      </c>
      <c r="B696">
        <f>BASE_EQUIPOS!A696</f>
        <v/>
      </c>
      <c r="C696">
        <f>BASE_EQUIPOS!B696</f>
        <v/>
      </c>
      <c r="D696">
        <f>BASE_EQUIPOS!D696</f>
        <v/>
      </c>
      <c r="E696">
        <f>BASE_EQUIPOS!G696</f>
        <v/>
      </c>
      <c r="F696">
        <f>BASE_EQUIPOS!H696</f>
        <v/>
      </c>
      <c r="G696">
        <f>BASE_EQUIPOS!M696</f>
        <v/>
      </c>
      <c r="I696" t="inlineStr">
        <is>
          <t>000198</t>
        </is>
      </c>
    </row>
    <row r="697">
      <c r="A697">
        <f>TRIM(BASE_EQUIPOS!N697)</f>
        <v/>
      </c>
      <c r="B697">
        <f>BASE_EQUIPOS!A697</f>
        <v/>
      </c>
      <c r="C697">
        <f>BASE_EQUIPOS!B697</f>
        <v/>
      </c>
      <c r="D697">
        <f>BASE_EQUIPOS!D697</f>
        <v/>
      </c>
      <c r="E697">
        <f>BASE_EQUIPOS!G697</f>
        <v/>
      </c>
      <c r="F697">
        <f>BASE_EQUIPOS!H697</f>
        <v/>
      </c>
      <c r="G697">
        <f>BASE_EQUIPOS!M697</f>
        <v/>
      </c>
      <c r="I697" t="inlineStr">
        <is>
          <t>036298</t>
        </is>
      </c>
    </row>
    <row r="698">
      <c r="A698">
        <f>TRIM(BASE_EQUIPOS!N698)</f>
        <v/>
      </c>
      <c r="B698">
        <f>BASE_EQUIPOS!A698</f>
        <v/>
      </c>
      <c r="C698">
        <f>BASE_EQUIPOS!B698</f>
        <v/>
      </c>
      <c r="D698">
        <f>BASE_EQUIPOS!D698</f>
        <v/>
      </c>
      <c r="E698">
        <f>BASE_EQUIPOS!G698</f>
        <v/>
      </c>
      <c r="F698">
        <f>BASE_EQUIPOS!H698</f>
        <v/>
      </c>
      <c r="G698">
        <f>BASE_EQUIPOS!M698</f>
        <v/>
      </c>
      <c r="I698" t="inlineStr">
        <is>
          <t>001440</t>
        </is>
      </c>
    </row>
    <row r="699">
      <c r="A699">
        <f>TRIM(BASE_EQUIPOS!N699)</f>
        <v/>
      </c>
      <c r="B699">
        <f>BASE_EQUIPOS!A699</f>
        <v/>
      </c>
      <c r="C699">
        <f>BASE_EQUIPOS!B699</f>
        <v/>
      </c>
      <c r="D699">
        <f>BASE_EQUIPOS!D699</f>
        <v/>
      </c>
      <c r="E699">
        <f>BASE_EQUIPOS!G699</f>
        <v/>
      </c>
      <c r="F699">
        <f>BASE_EQUIPOS!H699</f>
        <v/>
      </c>
      <c r="G699">
        <f>BASE_EQUIPOS!M699</f>
        <v/>
      </c>
      <c r="I699" t="inlineStr">
        <is>
          <t>001097</t>
        </is>
      </c>
    </row>
    <row r="700">
      <c r="A700">
        <f>TRIM(BASE_EQUIPOS!N700)</f>
        <v/>
      </c>
      <c r="B700">
        <f>BASE_EQUIPOS!A700</f>
        <v/>
      </c>
      <c r="C700">
        <f>BASE_EQUIPOS!B700</f>
        <v/>
      </c>
      <c r="D700">
        <f>BASE_EQUIPOS!D700</f>
        <v/>
      </c>
      <c r="E700">
        <f>BASE_EQUIPOS!G700</f>
        <v/>
      </c>
      <c r="F700">
        <f>BASE_EQUIPOS!H700</f>
        <v/>
      </c>
      <c r="G700">
        <f>BASE_EQUIPOS!M700</f>
        <v/>
      </c>
      <c r="I700" t="inlineStr">
        <is>
          <t>000875</t>
        </is>
      </c>
    </row>
    <row r="701">
      <c r="A701">
        <f>TRIM(BASE_EQUIPOS!N701)</f>
        <v/>
      </c>
      <c r="B701">
        <f>BASE_EQUIPOS!A701</f>
        <v/>
      </c>
      <c r="C701">
        <f>BASE_EQUIPOS!B701</f>
        <v/>
      </c>
      <c r="D701">
        <f>BASE_EQUIPOS!D701</f>
        <v/>
      </c>
      <c r="E701">
        <f>BASE_EQUIPOS!G701</f>
        <v/>
      </c>
      <c r="F701">
        <f>BASE_EQUIPOS!H701</f>
        <v/>
      </c>
      <c r="G701">
        <f>BASE_EQUIPOS!M701</f>
        <v/>
      </c>
      <c r="I701" t="inlineStr">
        <is>
          <t>000015</t>
        </is>
      </c>
    </row>
    <row r="702">
      <c r="A702">
        <f>TRIM(BASE_EQUIPOS!N702)</f>
        <v/>
      </c>
      <c r="B702">
        <f>BASE_EQUIPOS!A702</f>
        <v/>
      </c>
      <c r="C702">
        <f>BASE_EQUIPOS!B702</f>
        <v/>
      </c>
      <c r="D702">
        <f>BASE_EQUIPOS!D702</f>
        <v/>
      </c>
      <c r="E702">
        <f>BASE_EQUIPOS!G702</f>
        <v/>
      </c>
      <c r="F702">
        <f>BASE_EQUIPOS!H702</f>
        <v/>
      </c>
      <c r="G702">
        <f>BASE_EQUIPOS!M702</f>
        <v/>
      </c>
      <c r="I702" t="inlineStr">
        <is>
          <t>05/ V343259</t>
        </is>
      </c>
    </row>
    <row r="703">
      <c r="A703">
        <f>TRIM(BASE_EQUIPOS!N703)</f>
        <v/>
      </c>
      <c r="B703">
        <f>BASE_EQUIPOS!A703</f>
        <v/>
      </c>
      <c r="C703">
        <f>BASE_EQUIPOS!B703</f>
        <v/>
      </c>
      <c r="D703">
        <f>BASE_EQUIPOS!D703</f>
        <v/>
      </c>
      <c r="E703">
        <f>BASE_EQUIPOS!G703</f>
        <v/>
      </c>
      <c r="F703">
        <f>BASE_EQUIPOS!H703</f>
        <v/>
      </c>
      <c r="G703">
        <f>BASE_EQUIPOS!M703</f>
        <v/>
      </c>
      <c r="I703" t="inlineStr">
        <is>
          <t>08/ V343951</t>
        </is>
      </c>
    </row>
    <row r="704">
      <c r="A704">
        <f>TRIM(BASE_EQUIPOS!N704)</f>
        <v/>
      </c>
      <c r="B704">
        <f>BASE_EQUIPOS!A704</f>
        <v/>
      </c>
      <c r="C704">
        <f>BASE_EQUIPOS!B704</f>
        <v/>
      </c>
      <c r="D704">
        <f>BASE_EQUIPOS!D704</f>
        <v/>
      </c>
      <c r="E704">
        <f>BASE_EQUIPOS!G704</f>
        <v/>
      </c>
      <c r="F704">
        <f>BASE_EQUIPOS!H704</f>
        <v/>
      </c>
      <c r="G704">
        <f>BASE_EQUIPOS!M704</f>
        <v/>
      </c>
      <c r="I704" t="inlineStr">
        <is>
          <t>14/ V343964</t>
        </is>
      </c>
    </row>
    <row r="705">
      <c r="A705">
        <f>TRIM(BASE_EQUIPOS!N705)</f>
        <v/>
      </c>
      <c r="B705">
        <f>BASE_EQUIPOS!A705</f>
        <v/>
      </c>
      <c r="C705">
        <f>BASE_EQUIPOS!B705</f>
        <v/>
      </c>
      <c r="D705">
        <f>BASE_EQUIPOS!D705</f>
        <v/>
      </c>
      <c r="E705">
        <f>BASE_EQUIPOS!G705</f>
        <v/>
      </c>
      <c r="F705">
        <f>BASE_EQUIPOS!H705</f>
        <v/>
      </c>
      <c r="G705">
        <f>BASE_EQUIPOS!M705</f>
        <v/>
      </c>
      <c r="I705" t="inlineStr">
        <is>
          <t>01/004846</t>
        </is>
      </c>
    </row>
    <row r="706">
      <c r="A706">
        <f>TRIM(BASE_EQUIPOS!N706)</f>
        <v/>
      </c>
      <c r="B706">
        <f>BASE_EQUIPOS!A706</f>
        <v/>
      </c>
      <c r="C706">
        <f>BASE_EQUIPOS!B706</f>
        <v/>
      </c>
      <c r="D706">
        <f>BASE_EQUIPOS!D706</f>
        <v/>
      </c>
      <c r="E706">
        <f>BASE_EQUIPOS!G706</f>
        <v/>
      </c>
      <c r="F706">
        <f>BASE_EQUIPOS!H706</f>
        <v/>
      </c>
      <c r="G706">
        <f>BASE_EQUIPOS!M706</f>
        <v/>
      </c>
      <c r="I706" t="inlineStr">
        <is>
          <t>02/001714</t>
        </is>
      </c>
    </row>
    <row r="707">
      <c r="A707">
        <f>TRIM(BASE_EQUIPOS!N707)</f>
        <v/>
      </c>
      <c r="B707">
        <f>BASE_EQUIPOS!A707</f>
        <v/>
      </c>
      <c r="C707">
        <f>BASE_EQUIPOS!B707</f>
        <v/>
      </c>
      <c r="D707">
        <f>BASE_EQUIPOS!D707</f>
        <v/>
      </c>
      <c r="E707">
        <f>BASE_EQUIPOS!G707</f>
        <v/>
      </c>
      <c r="F707">
        <f>BASE_EQUIPOS!H707</f>
        <v/>
      </c>
      <c r="G707">
        <f>BASE_EQUIPOS!M707</f>
        <v/>
      </c>
      <c r="I707" t="inlineStr">
        <is>
          <t>360/001989</t>
        </is>
      </c>
    </row>
    <row r="708">
      <c r="A708">
        <f>TRIM(BASE_EQUIPOS!N708)</f>
        <v/>
      </c>
      <c r="B708">
        <f>BASE_EQUIPOS!A708</f>
        <v/>
      </c>
      <c r="C708">
        <f>BASE_EQUIPOS!B708</f>
        <v/>
      </c>
      <c r="D708">
        <f>BASE_EQUIPOS!D708</f>
        <v/>
      </c>
      <c r="E708">
        <f>BASE_EQUIPOS!G708</f>
        <v/>
      </c>
      <c r="F708">
        <f>BASE_EQUIPOS!H708</f>
        <v/>
      </c>
      <c r="G708">
        <f>BASE_EQUIPOS!M708</f>
        <v/>
      </c>
      <c r="I708" t="inlineStr">
        <is>
          <t>278/000259</t>
        </is>
      </c>
    </row>
    <row r="709">
      <c r="A709">
        <f>TRIM(BASE_EQUIPOS!N709)</f>
        <v/>
      </c>
      <c r="B709">
        <f>BASE_EQUIPOS!A709</f>
        <v/>
      </c>
      <c r="C709">
        <f>BASE_EQUIPOS!B709</f>
        <v/>
      </c>
      <c r="D709">
        <f>BASE_EQUIPOS!D709</f>
        <v/>
      </c>
      <c r="E709">
        <f>BASE_EQUIPOS!G709</f>
        <v/>
      </c>
      <c r="F709">
        <f>BASE_EQUIPOS!H709</f>
        <v/>
      </c>
      <c r="G709">
        <f>BASE_EQUIPOS!M709</f>
        <v/>
      </c>
      <c r="I709" t="inlineStr">
        <is>
          <t>04/001724</t>
        </is>
      </c>
    </row>
    <row r="710">
      <c r="A710">
        <f>TRIM(BASE_EQUIPOS!N710)</f>
        <v/>
      </c>
      <c r="B710">
        <f>BASE_EQUIPOS!A710</f>
        <v/>
      </c>
      <c r="C710">
        <f>BASE_EQUIPOS!B710</f>
        <v/>
      </c>
      <c r="D710">
        <f>BASE_EQUIPOS!D710</f>
        <v/>
      </c>
      <c r="E710">
        <f>BASE_EQUIPOS!G710</f>
        <v/>
      </c>
      <c r="F710">
        <f>BASE_EQUIPOS!H710</f>
        <v/>
      </c>
      <c r="G710">
        <f>BASE_EQUIPOS!M710</f>
        <v/>
      </c>
      <c r="I710" t="inlineStr">
        <is>
          <t>S/N /000970</t>
        </is>
      </c>
    </row>
    <row r="711">
      <c r="A711">
        <f>TRIM(BASE_EQUIPOS!N711)</f>
        <v/>
      </c>
      <c r="B711">
        <f>BASE_EQUIPOS!A711</f>
        <v/>
      </c>
      <c r="C711">
        <f>BASE_EQUIPOS!B711</f>
        <v/>
      </c>
      <c r="D711">
        <f>BASE_EQUIPOS!D711</f>
        <v/>
      </c>
      <c r="E711">
        <f>BASE_EQUIPOS!G711</f>
        <v/>
      </c>
      <c r="F711">
        <f>BASE_EQUIPOS!H711</f>
        <v/>
      </c>
      <c r="G711">
        <f>BASE_EQUIPOS!M711</f>
        <v/>
      </c>
      <c r="I711" t="inlineStr">
        <is>
          <t>87/000451</t>
        </is>
      </c>
    </row>
    <row r="712">
      <c r="A712">
        <f>TRIM(BASE_EQUIPOS!N712)</f>
        <v/>
      </c>
      <c r="B712">
        <f>BASE_EQUIPOS!A712</f>
        <v/>
      </c>
      <c r="C712">
        <f>BASE_EQUIPOS!B712</f>
        <v/>
      </c>
      <c r="D712">
        <f>BASE_EQUIPOS!D712</f>
        <v/>
      </c>
      <c r="E712">
        <f>BASE_EQUIPOS!G712</f>
        <v/>
      </c>
      <c r="F712">
        <f>BASE_EQUIPOS!H712</f>
        <v/>
      </c>
      <c r="G712">
        <f>BASE_EQUIPOS!M712</f>
        <v/>
      </c>
      <c r="I712" t="inlineStr">
        <is>
          <t>40/001546</t>
        </is>
      </c>
    </row>
    <row r="713">
      <c r="A713">
        <f>TRIM(BASE_EQUIPOS!N713)</f>
        <v/>
      </c>
      <c r="B713">
        <f>BASE_EQUIPOS!A713</f>
        <v/>
      </c>
      <c r="C713">
        <f>BASE_EQUIPOS!B713</f>
        <v/>
      </c>
      <c r="D713">
        <f>BASE_EQUIPOS!D713</f>
        <v/>
      </c>
      <c r="E713">
        <f>BASE_EQUIPOS!G713</f>
        <v/>
      </c>
      <c r="F713">
        <f>BASE_EQUIPOS!H713</f>
        <v/>
      </c>
      <c r="G713">
        <f>BASE_EQUIPOS!M713</f>
        <v/>
      </c>
      <c r="I713" t="inlineStr">
        <is>
          <t>205/000691</t>
        </is>
      </c>
    </row>
    <row r="714">
      <c r="A714">
        <f>TRIM(BASE_EQUIPOS!N714)</f>
        <v/>
      </c>
      <c r="B714">
        <f>BASE_EQUIPOS!A714</f>
        <v/>
      </c>
      <c r="C714">
        <f>BASE_EQUIPOS!B714</f>
        <v/>
      </c>
      <c r="D714">
        <f>BASE_EQUIPOS!D714</f>
        <v/>
      </c>
      <c r="E714">
        <f>BASE_EQUIPOS!G714</f>
        <v/>
      </c>
      <c r="F714">
        <f>BASE_EQUIPOS!H714</f>
        <v/>
      </c>
      <c r="G714">
        <f>BASE_EQUIPOS!M714</f>
        <v/>
      </c>
      <c r="I714" t="inlineStr">
        <is>
          <t>284/000101</t>
        </is>
      </c>
    </row>
    <row r="715">
      <c r="A715">
        <f>TRIM(BASE_EQUIPOS!N715)</f>
        <v/>
      </c>
      <c r="B715">
        <f>BASE_EQUIPOS!A715</f>
        <v/>
      </c>
      <c r="C715">
        <f>BASE_EQUIPOS!B715</f>
        <v/>
      </c>
      <c r="D715">
        <f>BASE_EQUIPOS!D715</f>
        <v/>
      </c>
      <c r="E715">
        <f>BASE_EQUIPOS!G715</f>
        <v/>
      </c>
      <c r="F715">
        <f>BASE_EQUIPOS!H715</f>
        <v/>
      </c>
      <c r="G715">
        <f>BASE_EQUIPOS!M715</f>
        <v/>
      </c>
      <c r="I715" t="inlineStr">
        <is>
          <t>11/000005</t>
        </is>
      </c>
    </row>
    <row r="716">
      <c r="A716">
        <f>TRIM(BASE_EQUIPOS!N716)</f>
        <v/>
      </c>
      <c r="B716">
        <f>BASE_EQUIPOS!A716</f>
        <v/>
      </c>
      <c r="C716">
        <f>BASE_EQUIPOS!B716</f>
        <v/>
      </c>
      <c r="D716">
        <f>BASE_EQUIPOS!D716</f>
        <v/>
      </c>
      <c r="E716">
        <f>BASE_EQUIPOS!G716</f>
        <v/>
      </c>
      <c r="F716">
        <f>BASE_EQUIPOS!H716</f>
        <v/>
      </c>
      <c r="G716">
        <f>BASE_EQUIPOS!M716</f>
        <v/>
      </c>
      <c r="I716" t="inlineStr">
        <is>
          <t>380/000380</t>
        </is>
      </c>
    </row>
    <row r="717">
      <c r="A717">
        <f>TRIM(BASE_EQUIPOS!N717)</f>
        <v/>
      </c>
      <c r="B717">
        <f>BASE_EQUIPOS!A717</f>
        <v/>
      </c>
      <c r="C717">
        <f>BASE_EQUIPOS!B717</f>
        <v/>
      </c>
      <c r="D717">
        <f>BASE_EQUIPOS!D717</f>
        <v/>
      </c>
      <c r="E717">
        <f>BASE_EQUIPOS!G717</f>
        <v/>
      </c>
      <c r="F717">
        <f>BASE_EQUIPOS!H717</f>
        <v/>
      </c>
      <c r="G717">
        <f>BASE_EQUIPOS!M717</f>
        <v/>
      </c>
      <c r="I717" t="inlineStr">
        <is>
          <t>000042</t>
        </is>
      </c>
    </row>
    <row r="718">
      <c r="A718">
        <f>TRIM(BASE_EQUIPOS!N718)</f>
        <v/>
      </c>
      <c r="B718">
        <f>BASE_EQUIPOS!A718</f>
        <v/>
      </c>
      <c r="C718">
        <f>BASE_EQUIPOS!B718</f>
        <v/>
      </c>
      <c r="D718">
        <f>BASE_EQUIPOS!D718</f>
        <v/>
      </c>
      <c r="E718">
        <f>BASE_EQUIPOS!G718</f>
        <v/>
      </c>
      <c r="F718">
        <f>BASE_EQUIPOS!H718</f>
        <v/>
      </c>
      <c r="G718">
        <f>BASE_EQUIPOS!M718</f>
        <v/>
      </c>
      <c r="I718" t="inlineStr">
        <is>
          <t>000534</t>
        </is>
      </c>
    </row>
    <row r="719">
      <c r="A719">
        <f>TRIM(BASE_EQUIPOS!N719)</f>
        <v/>
      </c>
      <c r="B719">
        <f>BASE_EQUIPOS!A719</f>
        <v/>
      </c>
      <c r="C719">
        <f>BASE_EQUIPOS!B719</f>
        <v/>
      </c>
      <c r="D719">
        <f>BASE_EQUIPOS!D719</f>
        <v/>
      </c>
      <c r="E719">
        <f>BASE_EQUIPOS!G719</f>
        <v/>
      </c>
      <c r="F719">
        <f>BASE_EQUIPOS!H719</f>
        <v/>
      </c>
      <c r="G719">
        <f>BASE_EQUIPOS!M719</f>
        <v/>
      </c>
      <c r="I719" t="inlineStr">
        <is>
          <t>144323</t>
        </is>
      </c>
    </row>
    <row r="720">
      <c r="A720">
        <f>TRIM(BASE_EQUIPOS!N720)</f>
        <v/>
      </c>
      <c r="B720">
        <f>BASE_EQUIPOS!A720</f>
        <v/>
      </c>
      <c r="C720">
        <f>BASE_EQUIPOS!B720</f>
        <v/>
      </c>
      <c r="D720">
        <f>BASE_EQUIPOS!D720</f>
        <v/>
      </c>
      <c r="E720">
        <f>BASE_EQUIPOS!G720</f>
        <v/>
      </c>
      <c r="F720">
        <f>BASE_EQUIPOS!H720</f>
        <v/>
      </c>
      <c r="G720">
        <f>BASE_EQUIPOS!M720</f>
        <v/>
      </c>
      <c r="I720" t="inlineStr">
        <is>
          <t>01/003501</t>
        </is>
      </c>
    </row>
    <row r="721">
      <c r="A721">
        <f>TRIM(BASE_EQUIPOS!N721)</f>
        <v/>
      </c>
      <c r="B721">
        <f>BASE_EQUIPOS!A721</f>
        <v/>
      </c>
      <c r="C721">
        <f>BASE_EQUIPOS!B721</f>
        <v/>
      </c>
      <c r="D721">
        <f>BASE_EQUIPOS!D721</f>
        <v/>
      </c>
      <c r="E721">
        <f>BASE_EQUIPOS!G721</f>
        <v/>
      </c>
      <c r="F721">
        <f>BASE_EQUIPOS!H721</f>
        <v/>
      </c>
      <c r="G721">
        <f>BASE_EQUIPOS!M721</f>
        <v/>
      </c>
      <c r="I721" t="inlineStr">
        <is>
          <t>02/003505</t>
        </is>
      </c>
    </row>
    <row r="722">
      <c r="A722">
        <f>TRIM(BASE_EQUIPOS!N722)</f>
        <v/>
      </c>
      <c r="B722">
        <f>BASE_EQUIPOS!A722</f>
        <v/>
      </c>
      <c r="C722">
        <f>BASE_EQUIPOS!B722</f>
        <v/>
      </c>
      <c r="D722">
        <f>BASE_EQUIPOS!D722</f>
        <v/>
      </c>
      <c r="E722">
        <f>BASE_EQUIPOS!G722</f>
        <v/>
      </c>
      <c r="F722">
        <f>BASE_EQUIPOS!H722</f>
        <v/>
      </c>
      <c r="G722">
        <f>BASE_EQUIPOS!M722</f>
        <v/>
      </c>
      <c r="I722" t="inlineStr">
        <is>
          <t>153491</t>
        </is>
      </c>
    </row>
    <row r="723">
      <c r="A723">
        <f>TRIM(BASE_EQUIPOS!N723)</f>
        <v/>
      </c>
      <c r="B723">
        <f>BASE_EQUIPOS!A723</f>
        <v/>
      </c>
      <c r="C723">
        <f>BASE_EQUIPOS!B723</f>
        <v/>
      </c>
      <c r="D723">
        <f>BASE_EQUIPOS!D723</f>
        <v/>
      </c>
      <c r="E723">
        <f>BASE_EQUIPOS!G723</f>
        <v/>
      </c>
      <c r="F723">
        <f>BASE_EQUIPOS!H723</f>
        <v/>
      </c>
      <c r="G723">
        <f>BASE_EQUIPOS!M723</f>
        <v/>
      </c>
      <c r="I723" t="inlineStr">
        <is>
          <t>000531</t>
        </is>
      </c>
    </row>
    <row r="724">
      <c r="A724">
        <f>TRIM(BASE_EQUIPOS!N724)</f>
        <v/>
      </c>
      <c r="B724">
        <f>BASE_EQUIPOS!A724</f>
        <v/>
      </c>
      <c r="C724">
        <f>BASE_EQUIPOS!B724</f>
        <v/>
      </c>
      <c r="D724">
        <f>BASE_EQUIPOS!D724</f>
        <v/>
      </c>
      <c r="E724">
        <f>BASE_EQUIPOS!G724</f>
        <v/>
      </c>
      <c r="F724">
        <f>BASE_EQUIPOS!H724</f>
        <v/>
      </c>
      <c r="G724">
        <f>BASE_EQUIPOS!M724</f>
        <v/>
      </c>
      <c r="I724" t="inlineStr">
        <is>
          <t>002926</t>
        </is>
      </c>
    </row>
    <row r="725">
      <c r="A725">
        <f>TRIM(BASE_EQUIPOS!N725)</f>
        <v/>
      </c>
      <c r="B725">
        <f>BASE_EQUIPOS!A725</f>
        <v/>
      </c>
      <c r="C725">
        <f>BASE_EQUIPOS!B725</f>
        <v/>
      </c>
      <c r="D725">
        <f>BASE_EQUIPOS!D725</f>
        <v/>
      </c>
      <c r="E725">
        <f>BASE_EQUIPOS!G725</f>
        <v/>
      </c>
      <c r="F725">
        <f>BASE_EQUIPOS!H725</f>
        <v/>
      </c>
      <c r="G725">
        <f>BASE_EQUIPOS!M725</f>
        <v/>
      </c>
      <c r="I725" t="inlineStr">
        <is>
          <t>153603</t>
        </is>
      </c>
    </row>
    <row r="726">
      <c r="A726">
        <f>TRIM(BASE_EQUIPOS!N726)</f>
        <v/>
      </c>
      <c r="B726">
        <f>BASE_EQUIPOS!A726</f>
        <v/>
      </c>
      <c r="C726">
        <f>BASE_EQUIPOS!B726</f>
        <v/>
      </c>
      <c r="D726">
        <f>BASE_EQUIPOS!D726</f>
        <v/>
      </c>
      <c r="E726">
        <f>BASE_EQUIPOS!G726</f>
        <v/>
      </c>
      <c r="F726">
        <f>BASE_EQUIPOS!H726</f>
        <v/>
      </c>
      <c r="G726">
        <f>BASE_EQUIPOS!M726</f>
        <v/>
      </c>
      <c r="I726" t="inlineStr">
        <is>
          <t>000818</t>
        </is>
      </c>
    </row>
    <row r="727">
      <c r="A727">
        <f>TRIM(BASE_EQUIPOS!N727)</f>
        <v/>
      </c>
      <c r="B727">
        <f>BASE_EQUIPOS!A727</f>
        <v/>
      </c>
      <c r="C727">
        <f>BASE_EQUIPOS!B727</f>
        <v/>
      </c>
      <c r="D727">
        <f>BASE_EQUIPOS!D727</f>
        <v/>
      </c>
      <c r="E727">
        <f>BASE_EQUIPOS!G727</f>
        <v/>
      </c>
      <c r="F727">
        <f>BASE_EQUIPOS!H727</f>
        <v/>
      </c>
      <c r="G727">
        <f>BASE_EQUIPOS!M727</f>
        <v/>
      </c>
      <c r="I727" t="inlineStr">
        <is>
          <t>000006</t>
        </is>
      </c>
    </row>
    <row r="728">
      <c r="A728">
        <f>TRIM(BASE_EQUIPOS!N728)</f>
        <v/>
      </c>
      <c r="B728">
        <f>BASE_EQUIPOS!A728</f>
        <v/>
      </c>
      <c r="C728">
        <f>BASE_EQUIPOS!B728</f>
        <v/>
      </c>
      <c r="D728">
        <f>BASE_EQUIPOS!D728</f>
        <v/>
      </c>
      <c r="E728">
        <f>BASE_EQUIPOS!G728</f>
        <v/>
      </c>
      <c r="F728">
        <f>BASE_EQUIPOS!H728</f>
        <v/>
      </c>
      <c r="G728">
        <f>BASE_EQUIPOS!M728</f>
        <v/>
      </c>
      <c r="I728" t="inlineStr">
        <is>
          <t>89/000407</t>
        </is>
      </c>
    </row>
    <row r="729">
      <c r="A729">
        <f>TRIM(BASE_EQUIPOS!N729)</f>
        <v/>
      </c>
      <c r="B729">
        <f>BASE_EQUIPOS!A729</f>
        <v/>
      </c>
      <c r="C729">
        <f>BASE_EQUIPOS!B729</f>
        <v/>
      </c>
      <c r="D729">
        <f>BASE_EQUIPOS!D729</f>
        <v/>
      </c>
      <c r="E729">
        <f>BASE_EQUIPOS!G729</f>
        <v/>
      </c>
      <c r="F729">
        <f>BASE_EQUIPOS!H729</f>
        <v/>
      </c>
      <c r="G729">
        <f>BASE_EQUIPOS!M729</f>
        <v/>
      </c>
      <c r="I729" t="inlineStr">
        <is>
          <t>S/N/003686</t>
        </is>
      </c>
    </row>
    <row r="730">
      <c r="A730">
        <f>TRIM(BASE_EQUIPOS!N730)</f>
        <v/>
      </c>
      <c r="B730">
        <f>BASE_EQUIPOS!A730</f>
        <v/>
      </c>
      <c r="C730">
        <f>BASE_EQUIPOS!B730</f>
        <v/>
      </c>
      <c r="D730">
        <f>BASE_EQUIPOS!D730</f>
        <v/>
      </c>
      <c r="E730">
        <f>BASE_EQUIPOS!G730</f>
        <v/>
      </c>
      <c r="F730">
        <f>BASE_EQUIPOS!H730</f>
        <v/>
      </c>
      <c r="G730">
        <f>BASE_EQUIPOS!M730</f>
        <v/>
      </c>
      <c r="I730" t="inlineStr">
        <is>
          <t>390/000448</t>
        </is>
      </c>
    </row>
    <row r="731">
      <c r="A731">
        <f>TRIM(BASE_EQUIPOS!N731)</f>
        <v/>
      </c>
      <c r="B731">
        <f>BASE_EQUIPOS!A731</f>
        <v/>
      </c>
      <c r="C731">
        <f>BASE_EQUIPOS!B731</f>
        <v/>
      </c>
      <c r="D731">
        <f>BASE_EQUIPOS!D731</f>
        <v/>
      </c>
      <c r="E731">
        <f>BASE_EQUIPOS!G731</f>
        <v/>
      </c>
      <c r="F731">
        <f>BASE_EQUIPOS!H731</f>
        <v/>
      </c>
      <c r="G731">
        <f>BASE_EQUIPOS!M731</f>
        <v/>
      </c>
      <c r="I731" t="inlineStr">
        <is>
          <t>38/002703</t>
        </is>
      </c>
    </row>
    <row r="732">
      <c r="A732">
        <f>TRIM(BASE_EQUIPOS!N732)</f>
        <v/>
      </c>
      <c r="B732">
        <f>BASE_EQUIPOS!A732</f>
        <v/>
      </c>
      <c r="C732">
        <f>BASE_EQUIPOS!B732</f>
        <v/>
      </c>
      <c r="D732">
        <f>BASE_EQUIPOS!D732</f>
        <v/>
      </c>
      <c r="E732">
        <f>BASE_EQUIPOS!G732</f>
        <v/>
      </c>
      <c r="F732">
        <f>BASE_EQUIPOS!H732</f>
        <v/>
      </c>
      <c r="G732">
        <f>BASE_EQUIPOS!M732</f>
        <v/>
      </c>
      <c r="I732" t="inlineStr">
        <is>
          <t>S/N/000202</t>
        </is>
      </c>
    </row>
    <row r="733">
      <c r="A733">
        <f>TRIM(BASE_EQUIPOS!N733)</f>
        <v/>
      </c>
      <c r="B733">
        <f>BASE_EQUIPOS!A733</f>
        <v/>
      </c>
      <c r="C733">
        <f>BASE_EQUIPOS!B733</f>
        <v/>
      </c>
      <c r="D733">
        <f>BASE_EQUIPOS!D733</f>
        <v/>
      </c>
      <c r="E733">
        <f>BASE_EQUIPOS!G733</f>
        <v/>
      </c>
      <c r="F733">
        <f>BASE_EQUIPOS!H733</f>
        <v/>
      </c>
      <c r="G733">
        <f>BASE_EQUIPOS!M733</f>
        <v/>
      </c>
      <c r="I733" t="inlineStr">
        <is>
          <t>339/001165</t>
        </is>
      </c>
    </row>
    <row r="734">
      <c r="A734">
        <f>TRIM(BASE_EQUIPOS!N734)</f>
        <v/>
      </c>
      <c r="B734">
        <f>BASE_EQUIPOS!A734</f>
        <v/>
      </c>
      <c r="C734">
        <f>BASE_EQUIPOS!B734</f>
        <v/>
      </c>
      <c r="D734">
        <f>BASE_EQUIPOS!D734</f>
        <v/>
      </c>
      <c r="E734">
        <f>BASE_EQUIPOS!G734</f>
        <v/>
      </c>
      <c r="F734">
        <f>BASE_EQUIPOS!H734</f>
        <v/>
      </c>
      <c r="G734">
        <f>BASE_EQUIPOS!M734</f>
        <v/>
      </c>
      <c r="I734" t="inlineStr">
        <is>
          <t>180/000271</t>
        </is>
      </c>
    </row>
    <row r="735">
      <c r="A735">
        <f>TRIM(BASE_EQUIPOS!N735)</f>
        <v/>
      </c>
      <c r="B735">
        <f>BASE_EQUIPOS!A735</f>
        <v/>
      </c>
      <c r="C735">
        <f>BASE_EQUIPOS!B735</f>
        <v/>
      </c>
      <c r="D735">
        <f>BASE_EQUIPOS!D735</f>
        <v/>
      </c>
      <c r="E735">
        <f>BASE_EQUIPOS!G735</f>
        <v/>
      </c>
      <c r="F735">
        <f>BASE_EQUIPOS!H735</f>
        <v/>
      </c>
      <c r="G735">
        <f>BASE_EQUIPOS!M735</f>
        <v/>
      </c>
      <c r="I735" t="inlineStr">
        <is>
          <t>384/000005</t>
        </is>
      </c>
    </row>
    <row r="736">
      <c r="A736">
        <f>TRIM(BASE_EQUIPOS!N736)</f>
        <v/>
      </c>
      <c r="B736">
        <f>BASE_EQUIPOS!A736</f>
        <v/>
      </c>
      <c r="C736">
        <f>BASE_EQUIPOS!B736</f>
        <v/>
      </c>
      <c r="D736">
        <f>BASE_EQUIPOS!D736</f>
        <v/>
      </c>
      <c r="E736">
        <f>BASE_EQUIPOS!G736</f>
        <v/>
      </c>
      <c r="F736">
        <f>BASE_EQUIPOS!H736</f>
        <v/>
      </c>
      <c r="G736">
        <f>BASE_EQUIPOS!M736</f>
        <v/>
      </c>
      <c r="I736" t="inlineStr">
        <is>
          <t>003132</t>
        </is>
      </c>
    </row>
    <row r="737">
      <c r="A737">
        <f>TRIM(BASE_EQUIPOS!N737)</f>
        <v/>
      </c>
      <c r="B737">
        <f>BASE_EQUIPOS!A737</f>
        <v/>
      </c>
      <c r="C737">
        <f>BASE_EQUIPOS!B737</f>
        <v/>
      </c>
      <c r="D737">
        <f>BASE_EQUIPOS!D737</f>
        <v/>
      </c>
      <c r="E737">
        <f>BASE_EQUIPOS!G737</f>
        <v/>
      </c>
      <c r="F737">
        <f>BASE_EQUIPOS!H737</f>
        <v/>
      </c>
      <c r="G737">
        <f>BASE_EQUIPOS!M737</f>
        <v/>
      </c>
      <c r="I737" t="inlineStr">
        <is>
          <t>096661</t>
        </is>
      </c>
    </row>
    <row r="738">
      <c r="A738">
        <f>TRIM(BASE_EQUIPOS!N738)</f>
        <v/>
      </c>
      <c r="B738">
        <f>BASE_EQUIPOS!A738</f>
        <v/>
      </c>
      <c r="C738">
        <f>BASE_EQUIPOS!B738</f>
        <v/>
      </c>
      <c r="D738">
        <f>BASE_EQUIPOS!D738</f>
        <v/>
      </c>
      <c r="E738">
        <f>BASE_EQUIPOS!G738</f>
        <v/>
      </c>
      <c r="F738">
        <f>BASE_EQUIPOS!H738</f>
        <v/>
      </c>
      <c r="G738">
        <f>BASE_EQUIPOS!M738</f>
        <v/>
      </c>
      <c r="I738" t="inlineStr">
        <is>
          <t>071960</t>
        </is>
      </c>
    </row>
    <row r="739">
      <c r="A739">
        <f>TRIM(BASE_EQUIPOS!N739)</f>
        <v/>
      </c>
      <c r="B739">
        <f>BASE_EQUIPOS!A739</f>
        <v/>
      </c>
      <c r="C739">
        <f>BASE_EQUIPOS!B739</f>
        <v/>
      </c>
      <c r="D739">
        <f>BASE_EQUIPOS!D739</f>
        <v/>
      </c>
      <c r="E739">
        <f>BASE_EQUIPOS!G739</f>
        <v/>
      </c>
      <c r="F739">
        <f>BASE_EQUIPOS!H739</f>
        <v/>
      </c>
      <c r="G739">
        <f>BASE_EQUIPOS!M739</f>
        <v/>
      </c>
      <c r="I739" t="inlineStr">
        <is>
          <t>096367</t>
        </is>
      </c>
    </row>
    <row r="740">
      <c r="A740">
        <f>TRIM(BASE_EQUIPOS!N740)</f>
        <v/>
      </c>
      <c r="B740">
        <f>BASE_EQUIPOS!A740</f>
        <v/>
      </c>
      <c r="C740">
        <f>BASE_EQUIPOS!B740</f>
        <v/>
      </c>
      <c r="D740">
        <f>BASE_EQUIPOS!D740</f>
        <v/>
      </c>
      <c r="E740">
        <f>BASE_EQUIPOS!G740</f>
        <v/>
      </c>
      <c r="F740">
        <f>BASE_EQUIPOS!H740</f>
        <v/>
      </c>
      <c r="G740">
        <f>BASE_EQUIPOS!M740</f>
        <v/>
      </c>
      <c r="I740" t="inlineStr">
        <is>
          <t>000233</t>
        </is>
      </c>
    </row>
    <row r="741">
      <c r="A741">
        <f>TRIM(BASE_EQUIPOS!N741)</f>
        <v/>
      </c>
      <c r="B741">
        <f>BASE_EQUIPOS!A741</f>
        <v/>
      </c>
      <c r="C741">
        <f>BASE_EQUIPOS!B741</f>
        <v/>
      </c>
      <c r="D741">
        <f>BASE_EQUIPOS!D741</f>
        <v/>
      </c>
      <c r="E741">
        <f>BASE_EQUIPOS!G741</f>
        <v/>
      </c>
      <c r="F741">
        <f>BASE_EQUIPOS!H741</f>
        <v/>
      </c>
      <c r="G741">
        <f>BASE_EQUIPOS!M741</f>
        <v/>
      </c>
      <c r="I741" t="inlineStr">
        <is>
          <t>152251</t>
        </is>
      </c>
    </row>
    <row r="742">
      <c r="A742">
        <f>TRIM(BASE_EQUIPOS!N742)</f>
        <v/>
      </c>
      <c r="B742">
        <f>BASE_EQUIPOS!A742</f>
        <v/>
      </c>
      <c r="C742">
        <f>BASE_EQUIPOS!B742</f>
        <v/>
      </c>
      <c r="D742">
        <f>BASE_EQUIPOS!D742</f>
        <v/>
      </c>
      <c r="E742">
        <f>BASE_EQUIPOS!G742</f>
        <v/>
      </c>
      <c r="F742">
        <f>BASE_EQUIPOS!H742</f>
        <v/>
      </c>
      <c r="G742">
        <f>BASE_EQUIPOS!M742</f>
        <v/>
      </c>
      <c r="I742" t="inlineStr">
        <is>
          <t>01/008725</t>
        </is>
      </c>
    </row>
    <row r="743">
      <c r="A743">
        <f>TRIM(BASE_EQUIPOS!N743)</f>
        <v/>
      </c>
      <c r="B743">
        <f>BASE_EQUIPOS!A743</f>
        <v/>
      </c>
      <c r="C743">
        <f>BASE_EQUIPOS!B743</f>
        <v/>
      </c>
      <c r="D743">
        <f>BASE_EQUIPOS!D743</f>
        <v/>
      </c>
      <c r="E743">
        <f>BASE_EQUIPOS!G743</f>
        <v/>
      </c>
      <c r="F743">
        <f>BASE_EQUIPOS!H743</f>
        <v/>
      </c>
      <c r="G743">
        <f>BASE_EQUIPOS!M743</f>
        <v/>
      </c>
      <c r="I743" t="inlineStr">
        <is>
          <t>001994</t>
        </is>
      </c>
    </row>
    <row r="744">
      <c r="A744">
        <f>TRIM(BASE_EQUIPOS!N744)</f>
        <v/>
      </c>
      <c r="B744">
        <f>BASE_EQUIPOS!A744</f>
        <v/>
      </c>
      <c r="C744">
        <f>BASE_EQUIPOS!B744</f>
        <v/>
      </c>
      <c r="D744">
        <f>BASE_EQUIPOS!D744</f>
        <v/>
      </c>
      <c r="E744">
        <f>BASE_EQUIPOS!G744</f>
        <v/>
      </c>
      <c r="F744">
        <f>BASE_EQUIPOS!H744</f>
        <v/>
      </c>
      <c r="G744">
        <f>BASE_EQUIPOS!M744</f>
        <v/>
      </c>
      <c r="I744" t="inlineStr">
        <is>
          <t>001391</t>
        </is>
      </c>
    </row>
    <row r="745">
      <c r="A745">
        <f>TRIM(BASE_EQUIPOS!N745)</f>
        <v/>
      </c>
      <c r="B745">
        <f>BASE_EQUIPOS!A745</f>
        <v/>
      </c>
      <c r="C745">
        <f>BASE_EQUIPOS!B745</f>
        <v/>
      </c>
      <c r="D745">
        <f>BASE_EQUIPOS!D745</f>
        <v/>
      </c>
      <c r="E745">
        <f>BASE_EQUIPOS!G745</f>
        <v/>
      </c>
      <c r="F745">
        <f>BASE_EQUIPOS!H745</f>
        <v/>
      </c>
      <c r="G745">
        <f>BASE_EQUIPOS!M745</f>
        <v/>
      </c>
      <c r="I745" t="inlineStr">
        <is>
          <t>010020</t>
        </is>
      </c>
    </row>
    <row r="746">
      <c r="A746">
        <f>TRIM(BASE_EQUIPOS!N746)</f>
        <v/>
      </c>
      <c r="B746">
        <f>BASE_EQUIPOS!A746</f>
        <v/>
      </c>
      <c r="C746">
        <f>BASE_EQUIPOS!B746</f>
        <v/>
      </c>
      <c r="D746">
        <f>BASE_EQUIPOS!D746</f>
        <v/>
      </c>
      <c r="E746">
        <f>BASE_EQUIPOS!G746</f>
        <v/>
      </c>
      <c r="F746">
        <f>BASE_EQUIPOS!H746</f>
        <v/>
      </c>
      <c r="G746">
        <f>BASE_EQUIPOS!M746</f>
        <v/>
      </c>
      <c r="I746" t="inlineStr">
        <is>
          <t>012586</t>
        </is>
      </c>
    </row>
    <row r="747">
      <c r="A747">
        <f>TRIM(BASE_EQUIPOS!N747)</f>
        <v/>
      </c>
      <c r="B747">
        <f>BASE_EQUIPOS!A747</f>
        <v/>
      </c>
      <c r="C747">
        <f>BASE_EQUIPOS!B747</f>
        <v/>
      </c>
      <c r="D747">
        <f>BASE_EQUIPOS!D747</f>
        <v/>
      </c>
      <c r="E747">
        <f>BASE_EQUIPOS!G747</f>
        <v/>
      </c>
      <c r="F747">
        <f>BASE_EQUIPOS!H747</f>
        <v/>
      </c>
      <c r="G747">
        <f>BASE_EQUIPOS!M747</f>
        <v/>
      </c>
      <c r="I747" t="inlineStr">
        <is>
          <t>002660</t>
        </is>
      </c>
    </row>
    <row r="748">
      <c r="A748">
        <f>TRIM(BASE_EQUIPOS!N748)</f>
        <v/>
      </c>
      <c r="B748">
        <f>BASE_EQUIPOS!A748</f>
        <v/>
      </c>
      <c r="C748">
        <f>BASE_EQUIPOS!B748</f>
        <v/>
      </c>
      <c r="D748">
        <f>BASE_EQUIPOS!D748</f>
        <v/>
      </c>
      <c r="E748">
        <f>BASE_EQUIPOS!G748</f>
        <v/>
      </c>
      <c r="F748">
        <f>BASE_EQUIPOS!H748</f>
        <v/>
      </c>
      <c r="G748">
        <f>BASE_EQUIPOS!M748</f>
        <v/>
      </c>
      <c r="I748" t="inlineStr">
        <is>
          <t>000949</t>
        </is>
      </c>
    </row>
    <row r="749">
      <c r="A749">
        <f>TRIM(BASE_EQUIPOS!N749)</f>
        <v/>
      </c>
      <c r="B749">
        <f>BASE_EQUIPOS!A749</f>
        <v/>
      </c>
      <c r="C749">
        <f>BASE_EQUIPOS!B749</f>
        <v/>
      </c>
      <c r="D749">
        <f>BASE_EQUIPOS!D749</f>
        <v/>
      </c>
      <c r="E749">
        <f>BASE_EQUIPOS!G749</f>
        <v/>
      </c>
      <c r="F749">
        <f>BASE_EQUIPOS!H749</f>
        <v/>
      </c>
      <c r="G749">
        <f>BASE_EQUIPOS!M749</f>
        <v/>
      </c>
      <c r="I749" t="inlineStr">
        <is>
          <t>002910</t>
        </is>
      </c>
    </row>
    <row r="750">
      <c r="A750">
        <f>TRIM(BASE_EQUIPOS!N750)</f>
        <v/>
      </c>
      <c r="B750">
        <f>BASE_EQUIPOS!A750</f>
        <v/>
      </c>
      <c r="C750">
        <f>BASE_EQUIPOS!B750</f>
        <v/>
      </c>
      <c r="D750">
        <f>BASE_EQUIPOS!D750</f>
        <v/>
      </c>
      <c r="E750">
        <f>BASE_EQUIPOS!G750</f>
        <v/>
      </c>
      <c r="F750">
        <f>BASE_EQUIPOS!H750</f>
        <v/>
      </c>
      <c r="G750">
        <f>BASE_EQUIPOS!M750</f>
        <v/>
      </c>
      <c r="I750" t="inlineStr">
        <is>
          <t>000115</t>
        </is>
      </c>
    </row>
    <row r="751">
      <c r="A751">
        <f>TRIM(BASE_EQUIPOS!N751)</f>
        <v/>
      </c>
      <c r="B751">
        <f>BASE_EQUIPOS!A751</f>
        <v/>
      </c>
      <c r="C751">
        <f>BASE_EQUIPOS!B751</f>
        <v/>
      </c>
      <c r="D751">
        <f>BASE_EQUIPOS!D751</f>
        <v/>
      </c>
      <c r="E751">
        <f>BASE_EQUIPOS!G751</f>
        <v/>
      </c>
      <c r="F751">
        <f>BASE_EQUIPOS!H751</f>
        <v/>
      </c>
      <c r="G751">
        <f>BASE_EQUIPOS!M751</f>
        <v/>
      </c>
      <c r="I751" t="inlineStr">
        <is>
          <t>001241</t>
        </is>
      </c>
    </row>
    <row r="752">
      <c r="A752">
        <f>TRIM(BASE_EQUIPOS!N752)</f>
        <v/>
      </c>
      <c r="B752">
        <f>BASE_EQUIPOS!A752</f>
        <v/>
      </c>
      <c r="C752">
        <f>BASE_EQUIPOS!B752</f>
        <v/>
      </c>
      <c r="D752">
        <f>BASE_EQUIPOS!D752</f>
        <v/>
      </c>
      <c r="E752">
        <f>BASE_EQUIPOS!G752</f>
        <v/>
      </c>
      <c r="F752">
        <f>BASE_EQUIPOS!H752</f>
        <v/>
      </c>
      <c r="G752">
        <f>BASE_EQUIPOS!M752</f>
        <v/>
      </c>
      <c r="I752" t="inlineStr">
        <is>
          <t>010204</t>
        </is>
      </c>
    </row>
    <row r="753">
      <c r="A753">
        <f>TRIM(BASE_EQUIPOS!N753)</f>
        <v/>
      </c>
      <c r="B753">
        <f>BASE_EQUIPOS!A753</f>
        <v/>
      </c>
      <c r="C753">
        <f>BASE_EQUIPOS!B753</f>
        <v/>
      </c>
      <c r="D753">
        <f>BASE_EQUIPOS!D753</f>
        <v/>
      </c>
      <c r="E753">
        <f>BASE_EQUIPOS!G753</f>
        <v/>
      </c>
      <c r="F753">
        <f>BASE_EQUIPOS!H753</f>
        <v/>
      </c>
      <c r="G753">
        <f>BASE_EQUIPOS!M753</f>
        <v/>
      </c>
      <c r="I753" t="inlineStr">
        <is>
          <t>001287</t>
        </is>
      </c>
    </row>
    <row r="754">
      <c r="A754">
        <f>TRIM(BASE_EQUIPOS!N754)</f>
        <v/>
      </c>
      <c r="B754">
        <f>BASE_EQUIPOS!A754</f>
        <v/>
      </c>
      <c r="C754">
        <f>BASE_EQUIPOS!B754</f>
        <v/>
      </c>
      <c r="D754">
        <f>BASE_EQUIPOS!D754</f>
        <v/>
      </c>
      <c r="E754">
        <f>BASE_EQUIPOS!G754</f>
        <v/>
      </c>
      <c r="F754">
        <f>BASE_EQUIPOS!H754</f>
        <v/>
      </c>
      <c r="G754">
        <f>BASE_EQUIPOS!M754</f>
        <v/>
      </c>
      <c r="I754" t="inlineStr">
        <is>
          <t>004025</t>
        </is>
      </c>
    </row>
    <row r="755">
      <c r="A755">
        <f>TRIM(BASE_EQUIPOS!N755)</f>
        <v/>
      </c>
      <c r="B755">
        <f>BASE_EQUIPOS!A755</f>
        <v/>
      </c>
      <c r="C755">
        <f>BASE_EQUIPOS!B755</f>
        <v/>
      </c>
      <c r="D755">
        <f>BASE_EQUIPOS!D755</f>
        <v/>
      </c>
      <c r="E755">
        <f>BASE_EQUIPOS!G755</f>
        <v/>
      </c>
      <c r="F755">
        <f>BASE_EQUIPOS!H755</f>
        <v/>
      </c>
      <c r="G755">
        <f>BASE_EQUIPOS!M755</f>
        <v/>
      </c>
      <c r="I755" t="inlineStr">
        <is>
          <t>000314</t>
        </is>
      </c>
    </row>
    <row r="756">
      <c r="A756">
        <f>TRIM(BASE_EQUIPOS!N756)</f>
        <v/>
      </c>
      <c r="B756">
        <f>BASE_EQUIPOS!A756</f>
        <v/>
      </c>
      <c r="C756">
        <f>BASE_EQUIPOS!B756</f>
        <v/>
      </c>
      <c r="D756">
        <f>BASE_EQUIPOS!D756</f>
        <v/>
      </c>
      <c r="E756">
        <f>BASE_EQUIPOS!G756</f>
        <v/>
      </c>
      <c r="F756">
        <f>BASE_EQUIPOS!H756</f>
        <v/>
      </c>
      <c r="G756">
        <f>BASE_EQUIPOS!M756</f>
        <v/>
      </c>
      <c r="I756" t="inlineStr">
        <is>
          <t>002939</t>
        </is>
      </c>
    </row>
    <row r="757">
      <c r="A757">
        <f>TRIM(BASE_EQUIPOS!N757)</f>
        <v/>
      </c>
      <c r="B757">
        <f>BASE_EQUIPOS!A757</f>
        <v/>
      </c>
      <c r="C757">
        <f>BASE_EQUIPOS!B757</f>
        <v/>
      </c>
      <c r="D757">
        <f>BASE_EQUIPOS!D757</f>
        <v/>
      </c>
      <c r="E757">
        <f>BASE_EQUIPOS!G757</f>
        <v/>
      </c>
      <c r="F757">
        <f>BASE_EQUIPOS!H757</f>
        <v/>
      </c>
      <c r="G757">
        <f>BASE_EQUIPOS!M757</f>
        <v/>
      </c>
      <c r="I757" t="inlineStr">
        <is>
          <t>015843</t>
        </is>
      </c>
    </row>
    <row r="758">
      <c r="A758">
        <f>TRIM(BASE_EQUIPOS!N758)</f>
        <v/>
      </c>
      <c r="B758">
        <f>BASE_EQUIPOS!A758</f>
        <v/>
      </c>
      <c r="C758">
        <f>BASE_EQUIPOS!B758</f>
        <v/>
      </c>
      <c r="D758">
        <f>BASE_EQUIPOS!D758</f>
        <v/>
      </c>
      <c r="E758">
        <f>BASE_EQUIPOS!G758</f>
        <v/>
      </c>
      <c r="F758">
        <f>BASE_EQUIPOS!H758</f>
        <v/>
      </c>
      <c r="G758">
        <f>BASE_EQUIPOS!M758</f>
        <v/>
      </c>
      <c r="I758" t="inlineStr">
        <is>
          <t>201106</t>
        </is>
      </c>
    </row>
    <row r="759">
      <c r="A759">
        <f>TRIM(BASE_EQUIPOS!N759)</f>
        <v/>
      </c>
      <c r="B759">
        <f>BASE_EQUIPOS!A759</f>
        <v/>
      </c>
      <c r="C759">
        <f>BASE_EQUIPOS!B759</f>
        <v/>
      </c>
      <c r="D759">
        <f>BASE_EQUIPOS!D759</f>
        <v/>
      </c>
      <c r="E759">
        <f>BASE_EQUIPOS!G759</f>
        <v/>
      </c>
      <c r="F759">
        <f>BASE_EQUIPOS!H759</f>
        <v/>
      </c>
      <c r="G759">
        <f>BASE_EQUIPOS!M759</f>
        <v/>
      </c>
      <c r="I759" t="inlineStr">
        <is>
          <t>000866</t>
        </is>
      </c>
    </row>
    <row r="760">
      <c r="A760">
        <f>TRIM(BASE_EQUIPOS!N760)</f>
        <v/>
      </c>
      <c r="B760">
        <f>BASE_EQUIPOS!A760</f>
        <v/>
      </c>
      <c r="C760">
        <f>BASE_EQUIPOS!B760</f>
        <v/>
      </c>
      <c r="D760">
        <f>BASE_EQUIPOS!D760</f>
        <v/>
      </c>
      <c r="E760">
        <f>BASE_EQUIPOS!G760</f>
        <v/>
      </c>
      <c r="F760">
        <f>BASE_EQUIPOS!H760</f>
        <v/>
      </c>
      <c r="G760">
        <f>BASE_EQUIPOS!M760</f>
        <v/>
      </c>
      <c r="I760" t="inlineStr">
        <is>
          <t>000286</t>
        </is>
      </c>
    </row>
    <row r="761">
      <c r="A761">
        <f>TRIM(BASE_EQUIPOS!N761)</f>
        <v/>
      </c>
      <c r="B761">
        <f>BASE_EQUIPOS!A761</f>
        <v/>
      </c>
      <c r="C761">
        <f>BASE_EQUIPOS!B761</f>
        <v/>
      </c>
      <c r="D761">
        <f>BASE_EQUIPOS!D761</f>
        <v/>
      </c>
      <c r="E761">
        <f>BASE_EQUIPOS!G761</f>
        <v/>
      </c>
      <c r="F761">
        <f>BASE_EQUIPOS!H761</f>
        <v/>
      </c>
      <c r="G761">
        <f>BASE_EQUIPOS!M761</f>
        <v/>
      </c>
      <c r="I761" t="inlineStr">
        <is>
          <t>0000005</t>
        </is>
      </c>
    </row>
    <row r="762">
      <c r="A762">
        <f>TRIM(BASE_EQUIPOS!N762)</f>
        <v/>
      </c>
      <c r="B762">
        <f>BASE_EQUIPOS!A762</f>
        <v/>
      </c>
      <c r="C762">
        <f>BASE_EQUIPOS!B762</f>
        <v/>
      </c>
      <c r="D762">
        <f>BASE_EQUIPOS!D762</f>
        <v/>
      </c>
      <c r="E762">
        <f>BASE_EQUIPOS!G762</f>
        <v/>
      </c>
      <c r="F762">
        <f>BASE_EQUIPOS!H762</f>
        <v/>
      </c>
      <c r="G762">
        <f>BASE_EQUIPOS!M762</f>
        <v/>
      </c>
      <c r="I762" t="inlineStr">
        <is>
          <t>000417</t>
        </is>
      </c>
    </row>
    <row r="763">
      <c r="A763">
        <f>TRIM(BASE_EQUIPOS!N763)</f>
        <v/>
      </c>
      <c r="B763">
        <f>BASE_EQUIPOS!A763</f>
        <v/>
      </c>
      <c r="C763">
        <f>BASE_EQUIPOS!B763</f>
        <v/>
      </c>
      <c r="D763">
        <f>BASE_EQUIPOS!D763</f>
        <v/>
      </c>
      <c r="E763">
        <f>BASE_EQUIPOS!G763</f>
        <v/>
      </c>
      <c r="F763">
        <f>BASE_EQUIPOS!H763</f>
        <v/>
      </c>
      <c r="G763">
        <f>BASE_EQUIPOS!M763</f>
        <v/>
      </c>
      <c r="I763" t="inlineStr">
        <is>
          <t>001156</t>
        </is>
      </c>
    </row>
    <row r="764">
      <c r="A764">
        <f>TRIM(BASE_EQUIPOS!N764)</f>
        <v/>
      </c>
      <c r="B764">
        <f>BASE_EQUIPOS!A764</f>
        <v/>
      </c>
      <c r="C764">
        <f>BASE_EQUIPOS!B764</f>
        <v/>
      </c>
      <c r="D764">
        <f>BASE_EQUIPOS!D764</f>
        <v/>
      </c>
      <c r="E764">
        <f>BASE_EQUIPOS!G764</f>
        <v/>
      </c>
      <c r="F764">
        <f>BASE_EQUIPOS!H764</f>
        <v/>
      </c>
      <c r="G764">
        <f>BASE_EQUIPOS!M764</f>
        <v/>
      </c>
      <c r="I764" t="inlineStr">
        <is>
          <t>003176</t>
        </is>
      </c>
    </row>
    <row r="765">
      <c r="A765">
        <f>TRIM(BASE_EQUIPOS!N765)</f>
        <v/>
      </c>
      <c r="B765">
        <f>BASE_EQUIPOS!A765</f>
        <v/>
      </c>
      <c r="C765">
        <f>BASE_EQUIPOS!B765</f>
        <v/>
      </c>
      <c r="D765">
        <f>BASE_EQUIPOS!D765</f>
        <v/>
      </c>
      <c r="E765">
        <f>BASE_EQUIPOS!G765</f>
        <v/>
      </c>
      <c r="F765">
        <f>BASE_EQUIPOS!H765</f>
        <v/>
      </c>
      <c r="G765">
        <f>BASE_EQUIPOS!M765</f>
        <v/>
      </c>
      <c r="I765" t="inlineStr">
        <is>
          <t>000584</t>
        </is>
      </c>
    </row>
    <row r="766">
      <c r="A766">
        <f>TRIM(BASE_EQUIPOS!N766)</f>
        <v/>
      </c>
      <c r="B766">
        <f>BASE_EQUIPOS!A766</f>
        <v/>
      </c>
      <c r="C766">
        <f>BASE_EQUIPOS!B766</f>
        <v/>
      </c>
      <c r="D766">
        <f>BASE_EQUIPOS!D766</f>
        <v/>
      </c>
      <c r="E766">
        <f>BASE_EQUIPOS!G766</f>
        <v/>
      </c>
      <c r="F766">
        <f>BASE_EQUIPOS!H766</f>
        <v/>
      </c>
      <c r="G766">
        <f>BASE_EQUIPOS!M766</f>
        <v/>
      </c>
      <c r="I766" t="inlineStr">
        <is>
          <t>377908</t>
        </is>
      </c>
    </row>
    <row r="767">
      <c r="A767">
        <f>TRIM(BASE_EQUIPOS!N767)</f>
        <v/>
      </c>
      <c r="B767">
        <f>BASE_EQUIPOS!A767</f>
        <v/>
      </c>
      <c r="C767">
        <f>BASE_EQUIPOS!B767</f>
        <v/>
      </c>
      <c r="D767">
        <f>BASE_EQUIPOS!D767</f>
        <v/>
      </c>
      <c r="E767">
        <f>BASE_EQUIPOS!G767</f>
        <v/>
      </c>
      <c r="F767">
        <f>BASE_EQUIPOS!H767</f>
        <v/>
      </c>
      <c r="G767">
        <f>BASE_EQUIPOS!M767</f>
        <v/>
      </c>
      <c r="I767" t="inlineStr">
        <is>
          <t>000645</t>
        </is>
      </c>
    </row>
    <row r="768">
      <c r="A768">
        <f>TRIM(BASE_EQUIPOS!N768)</f>
        <v/>
      </c>
      <c r="B768">
        <f>BASE_EQUIPOS!A768</f>
        <v/>
      </c>
      <c r="C768">
        <f>BASE_EQUIPOS!B768</f>
        <v/>
      </c>
      <c r="D768">
        <f>BASE_EQUIPOS!D768</f>
        <v/>
      </c>
      <c r="E768">
        <f>BASE_EQUIPOS!G768</f>
        <v/>
      </c>
      <c r="F768">
        <f>BASE_EQUIPOS!H768</f>
        <v/>
      </c>
      <c r="G768">
        <f>BASE_EQUIPOS!M768</f>
        <v/>
      </c>
      <c r="I768" t="inlineStr">
        <is>
          <t>002935</t>
        </is>
      </c>
    </row>
    <row r="769">
      <c r="A769">
        <f>TRIM(BASE_EQUIPOS!N769)</f>
        <v/>
      </c>
      <c r="B769">
        <f>BASE_EQUIPOS!A769</f>
        <v/>
      </c>
      <c r="C769">
        <f>BASE_EQUIPOS!B769</f>
        <v/>
      </c>
      <c r="D769">
        <f>BASE_EQUIPOS!D769</f>
        <v/>
      </c>
      <c r="E769">
        <f>BASE_EQUIPOS!G769</f>
        <v/>
      </c>
      <c r="F769">
        <f>BASE_EQUIPOS!H769</f>
        <v/>
      </c>
      <c r="G769">
        <f>BASE_EQUIPOS!M769</f>
        <v/>
      </c>
      <c r="I769" t="inlineStr">
        <is>
          <t>000752</t>
        </is>
      </c>
    </row>
    <row r="770">
      <c r="A770">
        <f>TRIM(BASE_EQUIPOS!N770)</f>
        <v/>
      </c>
      <c r="B770">
        <f>BASE_EQUIPOS!A770</f>
        <v/>
      </c>
      <c r="C770">
        <f>BASE_EQUIPOS!B770</f>
        <v/>
      </c>
      <c r="D770">
        <f>BASE_EQUIPOS!D770</f>
        <v/>
      </c>
      <c r="E770">
        <f>BASE_EQUIPOS!G770</f>
        <v/>
      </c>
      <c r="F770">
        <f>BASE_EQUIPOS!H770</f>
        <v/>
      </c>
      <c r="G770">
        <f>BASE_EQUIPOS!M770</f>
        <v/>
      </c>
      <c r="I770" t="inlineStr">
        <is>
          <t>001178</t>
        </is>
      </c>
    </row>
    <row r="771">
      <c r="A771">
        <f>TRIM(BASE_EQUIPOS!N771)</f>
        <v/>
      </c>
      <c r="B771">
        <f>BASE_EQUIPOS!A771</f>
        <v/>
      </c>
      <c r="C771">
        <f>BASE_EQUIPOS!B771</f>
        <v/>
      </c>
      <c r="D771">
        <f>BASE_EQUIPOS!D771</f>
        <v/>
      </c>
      <c r="E771">
        <f>BASE_EQUIPOS!G771</f>
        <v/>
      </c>
      <c r="F771">
        <f>BASE_EQUIPOS!H771</f>
        <v/>
      </c>
      <c r="G771">
        <f>BASE_EQUIPOS!M771</f>
        <v/>
      </c>
      <c r="I771" t="inlineStr">
        <is>
          <t>008036</t>
        </is>
      </c>
    </row>
    <row r="772">
      <c r="A772">
        <f>TRIM(BASE_EQUIPOS!N772)</f>
        <v/>
      </c>
      <c r="B772">
        <f>BASE_EQUIPOS!A772</f>
        <v/>
      </c>
      <c r="C772">
        <f>BASE_EQUIPOS!B772</f>
        <v/>
      </c>
      <c r="D772">
        <f>BASE_EQUIPOS!D772</f>
        <v/>
      </c>
      <c r="E772">
        <f>BASE_EQUIPOS!G772</f>
        <v/>
      </c>
      <c r="F772">
        <f>BASE_EQUIPOS!H772</f>
        <v/>
      </c>
      <c r="G772">
        <f>BASE_EQUIPOS!M772</f>
        <v/>
      </c>
      <c r="I772" t="inlineStr">
        <is>
          <t>306031</t>
        </is>
      </c>
    </row>
    <row r="773">
      <c r="A773">
        <f>TRIM(BASE_EQUIPOS!N773)</f>
        <v/>
      </c>
      <c r="B773">
        <f>BASE_EQUIPOS!A773</f>
        <v/>
      </c>
      <c r="C773">
        <f>BASE_EQUIPOS!B773</f>
        <v/>
      </c>
      <c r="D773">
        <f>BASE_EQUIPOS!D773</f>
        <v/>
      </c>
      <c r="E773">
        <f>BASE_EQUIPOS!G773</f>
        <v/>
      </c>
      <c r="F773">
        <f>BASE_EQUIPOS!H773</f>
        <v/>
      </c>
      <c r="G773">
        <f>BASE_EQUIPOS!M773</f>
        <v/>
      </c>
      <c r="I773" t="inlineStr">
        <is>
          <t>001584</t>
        </is>
      </c>
    </row>
    <row r="774">
      <c r="A774">
        <f>TRIM(BASE_EQUIPOS!N774)</f>
        <v/>
      </c>
      <c r="B774">
        <f>BASE_EQUIPOS!A774</f>
        <v/>
      </c>
      <c r="C774">
        <f>BASE_EQUIPOS!B774</f>
        <v/>
      </c>
      <c r="D774">
        <f>BASE_EQUIPOS!D774</f>
        <v/>
      </c>
      <c r="E774">
        <f>BASE_EQUIPOS!G774</f>
        <v/>
      </c>
      <c r="F774">
        <f>BASE_EQUIPOS!H774</f>
        <v/>
      </c>
      <c r="G774">
        <f>BASE_EQUIPOS!M774</f>
        <v/>
      </c>
      <c r="I774" t="inlineStr">
        <is>
          <t>009146</t>
        </is>
      </c>
    </row>
    <row r="775">
      <c r="A775">
        <f>TRIM(BASE_EQUIPOS!N775)</f>
        <v/>
      </c>
      <c r="B775">
        <f>BASE_EQUIPOS!A775</f>
        <v/>
      </c>
      <c r="C775">
        <f>BASE_EQUIPOS!B775</f>
        <v/>
      </c>
      <c r="D775">
        <f>BASE_EQUIPOS!D775</f>
        <v/>
      </c>
      <c r="E775">
        <f>BASE_EQUIPOS!G775</f>
        <v/>
      </c>
      <c r="F775">
        <f>BASE_EQUIPOS!H775</f>
        <v/>
      </c>
      <c r="G775">
        <f>BASE_EQUIPOS!M775</f>
        <v/>
      </c>
      <c r="I775" t="inlineStr">
        <is>
          <t>001232</t>
        </is>
      </c>
    </row>
    <row r="776">
      <c r="A776">
        <f>TRIM(BASE_EQUIPOS!N776)</f>
        <v/>
      </c>
      <c r="B776">
        <f>BASE_EQUIPOS!A776</f>
        <v/>
      </c>
      <c r="C776">
        <f>BASE_EQUIPOS!B776</f>
        <v/>
      </c>
      <c r="D776">
        <f>BASE_EQUIPOS!D776</f>
        <v/>
      </c>
      <c r="E776">
        <f>BASE_EQUIPOS!G776</f>
        <v/>
      </c>
      <c r="F776">
        <f>BASE_EQUIPOS!H776</f>
        <v/>
      </c>
      <c r="G776">
        <f>BASE_EQUIPOS!M776</f>
        <v/>
      </c>
      <c r="I776" t="inlineStr">
        <is>
          <t>002015</t>
        </is>
      </c>
    </row>
    <row r="777">
      <c r="A777">
        <f>TRIM(BASE_EQUIPOS!N777)</f>
        <v/>
      </c>
      <c r="B777">
        <f>BASE_EQUIPOS!A777</f>
        <v/>
      </c>
      <c r="C777">
        <f>BASE_EQUIPOS!B777</f>
        <v/>
      </c>
      <c r="D777">
        <f>BASE_EQUIPOS!D777</f>
        <v/>
      </c>
      <c r="E777">
        <f>BASE_EQUIPOS!G777</f>
        <v/>
      </c>
      <c r="F777">
        <f>BASE_EQUIPOS!H777</f>
        <v/>
      </c>
      <c r="G777">
        <f>BASE_EQUIPOS!M777</f>
        <v/>
      </c>
      <c r="I777" t="inlineStr">
        <is>
          <t>000080</t>
        </is>
      </c>
    </row>
    <row r="778">
      <c r="A778">
        <f>TRIM(BASE_EQUIPOS!N778)</f>
        <v/>
      </c>
      <c r="B778">
        <f>BASE_EQUIPOS!A778</f>
        <v/>
      </c>
      <c r="C778">
        <f>BASE_EQUIPOS!B778</f>
        <v/>
      </c>
      <c r="D778">
        <f>BASE_EQUIPOS!D778</f>
        <v/>
      </c>
      <c r="E778">
        <f>BASE_EQUIPOS!G778</f>
        <v/>
      </c>
      <c r="F778">
        <f>BASE_EQUIPOS!H778</f>
        <v/>
      </c>
      <c r="G778">
        <f>BASE_EQUIPOS!M778</f>
        <v/>
      </c>
      <c r="I778" t="inlineStr">
        <is>
          <t>009367</t>
        </is>
      </c>
    </row>
    <row r="779">
      <c r="A779">
        <f>TRIM(BASE_EQUIPOS!N779)</f>
        <v/>
      </c>
      <c r="B779">
        <f>BASE_EQUIPOS!A779</f>
        <v/>
      </c>
      <c r="C779">
        <f>BASE_EQUIPOS!B779</f>
        <v/>
      </c>
      <c r="D779">
        <f>BASE_EQUIPOS!D779</f>
        <v/>
      </c>
      <c r="E779">
        <f>BASE_EQUIPOS!G779</f>
        <v/>
      </c>
      <c r="F779">
        <f>BASE_EQUIPOS!H779</f>
        <v/>
      </c>
      <c r="G779">
        <f>BASE_EQUIPOS!M779</f>
        <v/>
      </c>
      <c r="I779" t="inlineStr">
        <is>
          <t>002585</t>
        </is>
      </c>
    </row>
    <row r="780">
      <c r="A780">
        <f>TRIM(BASE_EQUIPOS!N780)</f>
        <v/>
      </c>
      <c r="B780">
        <f>BASE_EQUIPOS!A780</f>
        <v/>
      </c>
      <c r="C780">
        <f>BASE_EQUIPOS!B780</f>
        <v/>
      </c>
      <c r="D780">
        <f>BASE_EQUIPOS!D780</f>
        <v/>
      </c>
      <c r="E780">
        <f>BASE_EQUIPOS!G780</f>
        <v/>
      </c>
      <c r="F780">
        <f>BASE_EQUIPOS!H780</f>
        <v/>
      </c>
      <c r="G780">
        <f>BASE_EQUIPOS!M780</f>
        <v/>
      </c>
      <c r="I780" t="inlineStr">
        <is>
          <t>000939</t>
        </is>
      </c>
    </row>
    <row r="781">
      <c r="A781">
        <f>TRIM(BASE_EQUIPOS!N781)</f>
        <v/>
      </c>
      <c r="B781">
        <f>BASE_EQUIPOS!A781</f>
        <v/>
      </c>
      <c r="C781">
        <f>BASE_EQUIPOS!B781</f>
        <v/>
      </c>
      <c r="D781">
        <f>BASE_EQUIPOS!D781</f>
        <v/>
      </c>
      <c r="E781">
        <f>BASE_EQUIPOS!G781</f>
        <v/>
      </c>
      <c r="F781">
        <f>BASE_EQUIPOS!H781</f>
        <v/>
      </c>
      <c r="G781">
        <f>BASE_EQUIPOS!M781</f>
        <v/>
      </c>
      <c r="I781" t="inlineStr">
        <is>
          <t>000267</t>
        </is>
      </c>
    </row>
    <row r="782">
      <c r="A782">
        <f>TRIM(BASE_EQUIPOS!N782)</f>
        <v/>
      </c>
      <c r="B782">
        <f>BASE_EQUIPOS!A782</f>
        <v/>
      </c>
      <c r="C782">
        <f>BASE_EQUIPOS!B782</f>
        <v/>
      </c>
      <c r="D782">
        <f>BASE_EQUIPOS!D782</f>
        <v/>
      </c>
      <c r="E782">
        <f>BASE_EQUIPOS!G782</f>
        <v/>
      </c>
      <c r="F782">
        <f>BASE_EQUIPOS!H782</f>
        <v/>
      </c>
      <c r="G782">
        <f>BASE_EQUIPOS!M782</f>
        <v/>
      </c>
      <c r="I782" t="inlineStr">
        <is>
          <t>002001</t>
        </is>
      </c>
    </row>
    <row r="783">
      <c r="A783">
        <f>TRIM(BASE_EQUIPOS!N783)</f>
        <v/>
      </c>
      <c r="B783">
        <f>BASE_EQUIPOS!A783</f>
        <v/>
      </c>
      <c r="C783">
        <f>BASE_EQUIPOS!B783</f>
        <v/>
      </c>
      <c r="D783">
        <f>BASE_EQUIPOS!D783</f>
        <v/>
      </c>
      <c r="E783">
        <f>BASE_EQUIPOS!G783</f>
        <v/>
      </c>
      <c r="F783">
        <f>BASE_EQUIPOS!H783</f>
        <v/>
      </c>
      <c r="G783">
        <f>BASE_EQUIPOS!M783</f>
        <v/>
      </c>
      <c r="I783" t="inlineStr">
        <is>
          <t>000148</t>
        </is>
      </c>
    </row>
    <row r="784">
      <c r="A784">
        <f>TRIM(BASE_EQUIPOS!N784)</f>
        <v/>
      </c>
      <c r="B784">
        <f>BASE_EQUIPOS!A784</f>
        <v/>
      </c>
      <c r="C784">
        <f>BASE_EQUIPOS!B784</f>
        <v/>
      </c>
      <c r="D784">
        <f>BASE_EQUIPOS!D784</f>
        <v/>
      </c>
      <c r="E784">
        <f>BASE_EQUIPOS!G784</f>
        <v/>
      </c>
      <c r="F784">
        <f>BASE_EQUIPOS!H784</f>
        <v/>
      </c>
      <c r="G784">
        <f>BASE_EQUIPOS!M784</f>
        <v/>
      </c>
      <c r="I784" t="inlineStr">
        <is>
          <t>000146</t>
        </is>
      </c>
    </row>
    <row r="785">
      <c r="A785">
        <f>TRIM(BASE_EQUIPOS!N785)</f>
        <v/>
      </c>
      <c r="B785">
        <f>BASE_EQUIPOS!A785</f>
        <v/>
      </c>
      <c r="C785">
        <f>BASE_EQUIPOS!B785</f>
        <v/>
      </c>
      <c r="D785">
        <f>BASE_EQUIPOS!D785</f>
        <v/>
      </c>
      <c r="E785">
        <f>BASE_EQUIPOS!G785</f>
        <v/>
      </c>
      <c r="F785">
        <f>BASE_EQUIPOS!H785</f>
        <v/>
      </c>
      <c r="G785">
        <f>BASE_EQUIPOS!M785</f>
        <v/>
      </c>
      <c r="I785" t="inlineStr">
        <is>
          <t>000067</t>
        </is>
      </c>
    </row>
    <row r="786">
      <c r="A786">
        <f>TRIM(BASE_EQUIPOS!N786)</f>
        <v/>
      </c>
      <c r="B786">
        <f>BASE_EQUIPOS!A786</f>
        <v/>
      </c>
      <c r="C786">
        <f>BASE_EQUIPOS!B786</f>
        <v/>
      </c>
      <c r="D786">
        <f>BASE_EQUIPOS!D786</f>
        <v/>
      </c>
      <c r="E786">
        <f>BASE_EQUIPOS!G786</f>
        <v/>
      </c>
      <c r="F786">
        <f>BASE_EQUIPOS!H786</f>
        <v/>
      </c>
      <c r="G786">
        <f>BASE_EQUIPOS!M786</f>
        <v/>
      </c>
      <c r="I786" t="inlineStr">
        <is>
          <t>005795</t>
        </is>
      </c>
    </row>
    <row r="787">
      <c r="A787">
        <f>TRIM(BASE_EQUIPOS!N787)</f>
        <v/>
      </c>
      <c r="B787">
        <f>BASE_EQUIPOS!A787</f>
        <v/>
      </c>
      <c r="C787">
        <f>BASE_EQUIPOS!B787</f>
        <v/>
      </c>
      <c r="D787">
        <f>BASE_EQUIPOS!D787</f>
        <v/>
      </c>
      <c r="E787">
        <f>BASE_EQUIPOS!G787</f>
        <v/>
      </c>
      <c r="F787">
        <f>BASE_EQUIPOS!H787</f>
        <v/>
      </c>
      <c r="G787">
        <f>BASE_EQUIPOS!M787</f>
        <v/>
      </c>
      <c r="I787" t="inlineStr">
        <is>
          <t>006242</t>
        </is>
      </c>
    </row>
    <row r="788">
      <c r="A788">
        <f>TRIM(BASE_EQUIPOS!N788)</f>
        <v/>
      </c>
      <c r="B788">
        <f>BASE_EQUIPOS!A788</f>
        <v/>
      </c>
      <c r="C788">
        <f>BASE_EQUIPOS!B788</f>
        <v/>
      </c>
      <c r="D788">
        <f>BASE_EQUIPOS!D788</f>
        <v/>
      </c>
      <c r="E788">
        <f>BASE_EQUIPOS!G788</f>
        <v/>
      </c>
      <c r="F788">
        <f>BASE_EQUIPOS!H788</f>
        <v/>
      </c>
      <c r="G788">
        <f>BASE_EQUIPOS!M788</f>
        <v/>
      </c>
      <c r="I788" t="inlineStr">
        <is>
          <t>00249</t>
        </is>
      </c>
    </row>
    <row r="789">
      <c r="A789">
        <f>TRIM(BASE_EQUIPOS!N789)</f>
        <v/>
      </c>
      <c r="B789">
        <f>BASE_EQUIPOS!A789</f>
        <v/>
      </c>
      <c r="C789">
        <f>BASE_EQUIPOS!B789</f>
        <v/>
      </c>
      <c r="D789">
        <f>BASE_EQUIPOS!D789</f>
        <v/>
      </c>
      <c r="E789">
        <f>BASE_EQUIPOS!G789</f>
        <v/>
      </c>
      <c r="F789">
        <f>BASE_EQUIPOS!H789</f>
        <v/>
      </c>
      <c r="G789">
        <f>BASE_EQUIPOS!M789</f>
        <v/>
      </c>
      <c r="I789" t="inlineStr">
        <is>
          <t>001416</t>
        </is>
      </c>
    </row>
    <row r="790">
      <c r="A790">
        <f>TRIM(BASE_EQUIPOS!N790)</f>
        <v/>
      </c>
      <c r="B790">
        <f>BASE_EQUIPOS!A790</f>
        <v/>
      </c>
      <c r="C790">
        <f>BASE_EQUIPOS!B790</f>
        <v/>
      </c>
      <c r="D790">
        <f>BASE_EQUIPOS!D790</f>
        <v/>
      </c>
      <c r="E790">
        <f>BASE_EQUIPOS!G790</f>
        <v/>
      </c>
      <c r="F790">
        <f>BASE_EQUIPOS!H790</f>
        <v/>
      </c>
      <c r="G790">
        <f>BASE_EQUIPOS!M790</f>
        <v/>
      </c>
      <c r="I790" t="inlineStr">
        <is>
          <t>000723</t>
        </is>
      </c>
    </row>
    <row r="791">
      <c r="A791">
        <f>TRIM(BASE_EQUIPOS!N791)</f>
        <v/>
      </c>
      <c r="B791">
        <f>BASE_EQUIPOS!A791</f>
        <v/>
      </c>
      <c r="C791">
        <f>BASE_EQUIPOS!B791</f>
        <v/>
      </c>
      <c r="D791">
        <f>BASE_EQUIPOS!D791</f>
        <v/>
      </c>
      <c r="E791">
        <f>BASE_EQUIPOS!G791</f>
        <v/>
      </c>
      <c r="F791">
        <f>BASE_EQUIPOS!H791</f>
        <v/>
      </c>
      <c r="G791">
        <f>BASE_EQUIPOS!M791</f>
        <v/>
      </c>
      <c r="I791" t="inlineStr">
        <is>
          <t>010915</t>
        </is>
      </c>
    </row>
    <row r="792">
      <c r="A792">
        <f>TRIM(BASE_EQUIPOS!N792)</f>
        <v/>
      </c>
      <c r="B792">
        <f>BASE_EQUIPOS!A792</f>
        <v/>
      </c>
      <c r="C792">
        <f>BASE_EQUIPOS!B792</f>
        <v/>
      </c>
      <c r="D792">
        <f>BASE_EQUIPOS!D792</f>
        <v/>
      </c>
      <c r="E792">
        <f>BASE_EQUIPOS!G792</f>
        <v/>
      </c>
      <c r="F792">
        <f>BASE_EQUIPOS!H792</f>
        <v/>
      </c>
      <c r="G792">
        <f>BASE_EQUIPOS!M792</f>
        <v/>
      </c>
      <c r="I792" t="inlineStr">
        <is>
          <t>00298</t>
        </is>
      </c>
    </row>
    <row r="793">
      <c r="A793">
        <f>TRIM(BASE_EQUIPOS!N793)</f>
        <v/>
      </c>
      <c r="B793">
        <f>BASE_EQUIPOS!A793</f>
        <v/>
      </c>
      <c r="C793">
        <f>BASE_EQUIPOS!B793</f>
        <v/>
      </c>
      <c r="D793">
        <f>BASE_EQUIPOS!D793</f>
        <v/>
      </c>
      <c r="E793">
        <f>BASE_EQUIPOS!G793</f>
        <v/>
      </c>
      <c r="F793">
        <f>BASE_EQUIPOS!H793</f>
        <v/>
      </c>
      <c r="G793">
        <f>BASE_EQUIPOS!M793</f>
        <v/>
      </c>
      <c r="I793" t="inlineStr">
        <is>
          <t>017146</t>
        </is>
      </c>
    </row>
    <row r="794">
      <c r="A794">
        <f>TRIM(BASE_EQUIPOS!N794)</f>
        <v/>
      </c>
      <c r="B794">
        <f>BASE_EQUIPOS!A794</f>
        <v/>
      </c>
      <c r="C794">
        <f>BASE_EQUIPOS!B794</f>
        <v/>
      </c>
      <c r="D794">
        <f>BASE_EQUIPOS!D794</f>
        <v/>
      </c>
      <c r="E794">
        <f>BASE_EQUIPOS!G794</f>
        <v/>
      </c>
      <c r="F794">
        <f>BASE_EQUIPOS!H794</f>
        <v/>
      </c>
      <c r="G794">
        <f>BASE_EQUIPOS!M794</f>
        <v/>
      </c>
      <c r="I794" t="inlineStr">
        <is>
          <t>033723</t>
        </is>
      </c>
    </row>
    <row r="795">
      <c r="A795">
        <f>TRIM(BASE_EQUIPOS!N795)</f>
        <v/>
      </c>
      <c r="B795">
        <f>BASE_EQUIPOS!A795</f>
        <v/>
      </c>
      <c r="C795">
        <f>BASE_EQUIPOS!B795</f>
        <v/>
      </c>
      <c r="D795">
        <f>BASE_EQUIPOS!D795</f>
        <v/>
      </c>
      <c r="E795">
        <f>BASE_EQUIPOS!G795</f>
        <v/>
      </c>
      <c r="F795">
        <f>BASE_EQUIPOS!H795</f>
        <v/>
      </c>
      <c r="G795">
        <f>BASE_EQUIPOS!M795</f>
        <v/>
      </c>
      <c r="I795" t="inlineStr">
        <is>
          <t>000245</t>
        </is>
      </c>
    </row>
    <row r="796">
      <c r="A796">
        <f>TRIM(BASE_EQUIPOS!N796)</f>
        <v/>
      </c>
      <c r="B796">
        <f>BASE_EQUIPOS!A796</f>
        <v/>
      </c>
      <c r="C796">
        <f>BASE_EQUIPOS!B796</f>
        <v/>
      </c>
      <c r="D796">
        <f>BASE_EQUIPOS!D796</f>
        <v/>
      </c>
      <c r="E796">
        <f>BASE_EQUIPOS!G796</f>
        <v/>
      </c>
      <c r="F796">
        <f>BASE_EQUIPOS!H796</f>
        <v/>
      </c>
      <c r="G796">
        <f>BASE_EQUIPOS!M796</f>
        <v/>
      </c>
      <c r="I796" t="inlineStr">
        <is>
          <t>002764</t>
        </is>
      </c>
    </row>
    <row r="797">
      <c r="A797">
        <f>TRIM(BASE_EQUIPOS!N797)</f>
        <v/>
      </c>
      <c r="B797">
        <f>BASE_EQUIPOS!A797</f>
        <v/>
      </c>
      <c r="C797">
        <f>BASE_EQUIPOS!B797</f>
        <v/>
      </c>
      <c r="D797">
        <f>BASE_EQUIPOS!D797</f>
        <v/>
      </c>
      <c r="E797">
        <f>BASE_EQUIPOS!G797</f>
        <v/>
      </c>
      <c r="F797">
        <f>BASE_EQUIPOS!H797</f>
        <v/>
      </c>
      <c r="G797">
        <f>BASE_EQUIPOS!M797</f>
        <v/>
      </c>
      <c r="I797" t="inlineStr">
        <is>
          <t>000010</t>
        </is>
      </c>
    </row>
    <row r="798">
      <c r="A798">
        <f>TRIM(BASE_EQUIPOS!N798)</f>
        <v/>
      </c>
      <c r="B798">
        <f>BASE_EQUIPOS!A798</f>
        <v/>
      </c>
      <c r="C798">
        <f>BASE_EQUIPOS!B798</f>
        <v/>
      </c>
      <c r="D798">
        <f>BASE_EQUIPOS!D798</f>
        <v/>
      </c>
      <c r="E798">
        <f>BASE_EQUIPOS!G798</f>
        <v/>
      </c>
      <c r="F798">
        <f>BASE_EQUIPOS!H798</f>
        <v/>
      </c>
      <c r="G798">
        <f>BASE_EQUIPOS!M798</f>
        <v/>
      </c>
      <c r="I798" t="inlineStr">
        <is>
          <t>000928</t>
        </is>
      </c>
    </row>
    <row r="799">
      <c r="A799">
        <f>TRIM(BASE_EQUIPOS!N799)</f>
        <v/>
      </c>
      <c r="B799">
        <f>BASE_EQUIPOS!A799</f>
        <v/>
      </c>
      <c r="C799">
        <f>BASE_EQUIPOS!B799</f>
        <v/>
      </c>
      <c r="D799">
        <f>BASE_EQUIPOS!D799</f>
        <v/>
      </c>
      <c r="E799">
        <f>BASE_EQUIPOS!G799</f>
        <v/>
      </c>
      <c r="F799">
        <f>BASE_EQUIPOS!H799</f>
        <v/>
      </c>
      <c r="G799">
        <f>BASE_EQUIPOS!M799</f>
        <v/>
      </c>
      <c r="I799" t="inlineStr">
        <is>
          <t>002215</t>
        </is>
      </c>
    </row>
    <row r="800">
      <c r="A800">
        <f>TRIM(BASE_EQUIPOS!N800)</f>
        <v/>
      </c>
      <c r="B800">
        <f>BASE_EQUIPOS!A800</f>
        <v/>
      </c>
      <c r="C800">
        <f>BASE_EQUIPOS!B800</f>
        <v/>
      </c>
      <c r="D800">
        <f>BASE_EQUIPOS!D800</f>
        <v/>
      </c>
      <c r="E800">
        <f>BASE_EQUIPOS!G800</f>
        <v/>
      </c>
      <c r="F800">
        <f>BASE_EQUIPOS!H800</f>
        <v/>
      </c>
      <c r="G800">
        <f>BASE_EQUIPOS!M800</f>
        <v/>
      </c>
      <c r="I800" t="inlineStr">
        <is>
          <t>000007</t>
        </is>
      </c>
    </row>
    <row r="801">
      <c r="A801">
        <f>TRIM(BASE_EQUIPOS!N801)</f>
        <v/>
      </c>
      <c r="B801">
        <f>BASE_EQUIPOS!A801</f>
        <v/>
      </c>
      <c r="C801">
        <f>BASE_EQUIPOS!B801</f>
        <v/>
      </c>
      <c r="D801">
        <f>BASE_EQUIPOS!D801</f>
        <v/>
      </c>
      <c r="E801">
        <f>BASE_EQUIPOS!G801</f>
        <v/>
      </c>
      <c r="F801">
        <f>BASE_EQUIPOS!H801</f>
        <v/>
      </c>
      <c r="G801">
        <f>BASE_EQUIPOS!M801</f>
        <v/>
      </c>
      <c r="I801" t="inlineStr">
        <is>
          <t>000182</t>
        </is>
      </c>
    </row>
    <row r="802">
      <c r="A802">
        <f>TRIM(BASE_EQUIPOS!N802)</f>
        <v/>
      </c>
      <c r="B802">
        <f>BASE_EQUIPOS!A802</f>
        <v/>
      </c>
      <c r="C802">
        <f>BASE_EQUIPOS!B802</f>
        <v/>
      </c>
      <c r="D802">
        <f>BASE_EQUIPOS!D802</f>
        <v/>
      </c>
      <c r="E802">
        <f>BASE_EQUIPOS!G802</f>
        <v/>
      </c>
      <c r="F802">
        <f>BASE_EQUIPOS!H802</f>
        <v/>
      </c>
      <c r="G802">
        <f>BASE_EQUIPOS!M802</f>
        <v/>
      </c>
      <c r="I802" t="inlineStr">
        <is>
          <t>001846</t>
        </is>
      </c>
    </row>
    <row r="803">
      <c r="A803">
        <f>TRIM(BASE_EQUIPOS!N803)</f>
        <v/>
      </c>
      <c r="B803">
        <f>BASE_EQUIPOS!A803</f>
        <v/>
      </c>
      <c r="C803">
        <f>BASE_EQUIPOS!B803</f>
        <v/>
      </c>
      <c r="D803">
        <f>BASE_EQUIPOS!D803</f>
        <v/>
      </c>
      <c r="E803">
        <f>BASE_EQUIPOS!G803</f>
        <v/>
      </c>
      <c r="F803">
        <f>BASE_EQUIPOS!H803</f>
        <v/>
      </c>
      <c r="G803">
        <f>BASE_EQUIPOS!M803</f>
        <v/>
      </c>
      <c r="I803" t="inlineStr">
        <is>
          <t>000241</t>
        </is>
      </c>
    </row>
    <row r="804">
      <c r="A804">
        <f>TRIM(BASE_EQUIPOS!N804)</f>
        <v/>
      </c>
      <c r="B804">
        <f>BASE_EQUIPOS!A804</f>
        <v/>
      </c>
      <c r="C804">
        <f>BASE_EQUIPOS!B804</f>
        <v/>
      </c>
      <c r="D804">
        <f>BASE_EQUIPOS!D804</f>
        <v/>
      </c>
      <c r="E804">
        <f>BASE_EQUIPOS!G804</f>
        <v/>
      </c>
      <c r="F804">
        <f>BASE_EQUIPOS!H804</f>
        <v/>
      </c>
      <c r="G804">
        <f>BASE_EQUIPOS!M804</f>
        <v/>
      </c>
      <c r="I804" t="inlineStr">
        <is>
          <t>001096</t>
        </is>
      </c>
    </row>
    <row r="805">
      <c r="A805">
        <f>TRIM(BASE_EQUIPOS!N805)</f>
        <v/>
      </c>
      <c r="B805">
        <f>BASE_EQUIPOS!A805</f>
        <v/>
      </c>
      <c r="C805">
        <f>BASE_EQUIPOS!B805</f>
        <v/>
      </c>
      <c r="D805">
        <f>BASE_EQUIPOS!D805</f>
        <v/>
      </c>
      <c r="E805">
        <f>BASE_EQUIPOS!G805</f>
        <v/>
      </c>
      <c r="F805">
        <f>BASE_EQUIPOS!H805</f>
        <v/>
      </c>
      <c r="G805">
        <f>BASE_EQUIPOS!M805</f>
        <v/>
      </c>
      <c r="I805" t="inlineStr">
        <is>
          <t>000961</t>
        </is>
      </c>
    </row>
    <row r="806">
      <c r="A806">
        <f>TRIM(BASE_EQUIPOS!N806)</f>
        <v/>
      </c>
      <c r="B806">
        <f>BASE_EQUIPOS!A806</f>
        <v/>
      </c>
      <c r="C806">
        <f>BASE_EQUIPOS!B806</f>
        <v/>
      </c>
      <c r="D806">
        <f>BASE_EQUIPOS!D806</f>
        <v/>
      </c>
      <c r="E806">
        <f>BASE_EQUIPOS!G806</f>
        <v/>
      </c>
      <c r="F806">
        <f>BASE_EQUIPOS!H806</f>
        <v/>
      </c>
      <c r="G806">
        <f>BASE_EQUIPOS!M806</f>
        <v/>
      </c>
      <c r="I806" t="inlineStr">
        <is>
          <t>000003</t>
        </is>
      </c>
    </row>
    <row r="807">
      <c r="A807">
        <f>TRIM(BASE_EQUIPOS!N807)</f>
        <v/>
      </c>
      <c r="B807">
        <f>BASE_EQUIPOS!A807</f>
        <v/>
      </c>
      <c r="C807">
        <f>BASE_EQUIPOS!B807</f>
        <v/>
      </c>
      <c r="D807">
        <f>BASE_EQUIPOS!D807</f>
        <v/>
      </c>
      <c r="E807">
        <f>BASE_EQUIPOS!G807</f>
        <v/>
      </c>
      <c r="F807">
        <f>BASE_EQUIPOS!H807</f>
        <v/>
      </c>
      <c r="G807">
        <f>BASE_EQUIPOS!M807</f>
        <v/>
      </c>
      <c r="I807" t="inlineStr">
        <is>
          <t>002623</t>
        </is>
      </c>
    </row>
    <row r="808">
      <c r="A808">
        <f>TRIM(BASE_EQUIPOS!N808)</f>
        <v/>
      </c>
      <c r="B808">
        <f>BASE_EQUIPOS!A808</f>
        <v/>
      </c>
      <c r="C808">
        <f>BASE_EQUIPOS!B808</f>
        <v/>
      </c>
      <c r="D808">
        <f>BASE_EQUIPOS!D808</f>
        <v/>
      </c>
      <c r="E808">
        <f>BASE_EQUIPOS!G808</f>
        <v/>
      </c>
      <c r="F808">
        <f>BASE_EQUIPOS!H808</f>
        <v/>
      </c>
      <c r="G808">
        <f>BASE_EQUIPOS!M808</f>
        <v/>
      </c>
      <c r="I808" t="inlineStr">
        <is>
          <t>000667</t>
        </is>
      </c>
    </row>
    <row r="809">
      <c r="A809">
        <f>TRIM(BASE_EQUIPOS!N809)</f>
        <v/>
      </c>
      <c r="B809">
        <f>BASE_EQUIPOS!A809</f>
        <v/>
      </c>
      <c r="C809">
        <f>BASE_EQUIPOS!B809</f>
        <v/>
      </c>
      <c r="D809">
        <f>BASE_EQUIPOS!D809</f>
        <v/>
      </c>
      <c r="E809">
        <f>BASE_EQUIPOS!G809</f>
        <v/>
      </c>
      <c r="F809">
        <f>BASE_EQUIPOS!H809</f>
        <v/>
      </c>
      <c r="G809">
        <f>BASE_EQUIPOS!M809</f>
        <v/>
      </c>
      <c r="I809" t="inlineStr">
        <is>
          <t>000847</t>
        </is>
      </c>
    </row>
    <row r="810">
      <c r="A810">
        <f>TRIM(BASE_EQUIPOS!N810)</f>
        <v/>
      </c>
      <c r="B810">
        <f>BASE_EQUIPOS!A810</f>
        <v/>
      </c>
      <c r="C810">
        <f>BASE_EQUIPOS!B810</f>
        <v/>
      </c>
      <c r="D810">
        <f>BASE_EQUIPOS!D810</f>
        <v/>
      </c>
      <c r="E810">
        <f>BASE_EQUIPOS!G810</f>
        <v/>
      </c>
      <c r="F810">
        <f>BASE_EQUIPOS!H810</f>
        <v/>
      </c>
      <c r="G810">
        <f>BASE_EQUIPOS!M810</f>
        <v/>
      </c>
      <c r="I810" t="inlineStr">
        <is>
          <t>020537</t>
        </is>
      </c>
    </row>
    <row r="811">
      <c r="A811">
        <f>TRIM(BASE_EQUIPOS!N811)</f>
        <v/>
      </c>
      <c r="B811">
        <f>BASE_EQUIPOS!A811</f>
        <v/>
      </c>
      <c r="C811">
        <f>BASE_EQUIPOS!B811</f>
        <v/>
      </c>
      <c r="D811">
        <f>BASE_EQUIPOS!D811</f>
        <v/>
      </c>
      <c r="E811">
        <f>BASE_EQUIPOS!G811</f>
        <v/>
      </c>
      <c r="F811">
        <f>BASE_EQUIPOS!H811</f>
        <v/>
      </c>
      <c r="G811">
        <f>BASE_EQUIPOS!M811</f>
        <v/>
      </c>
      <c r="I811" t="inlineStr">
        <is>
          <t>001886</t>
        </is>
      </c>
    </row>
    <row r="812">
      <c r="A812">
        <f>TRIM(BASE_EQUIPOS!N812)</f>
        <v/>
      </c>
      <c r="B812">
        <f>BASE_EQUIPOS!A812</f>
        <v/>
      </c>
      <c r="C812">
        <f>BASE_EQUIPOS!B812</f>
        <v/>
      </c>
      <c r="D812">
        <f>BASE_EQUIPOS!D812</f>
        <v/>
      </c>
      <c r="E812">
        <f>BASE_EQUIPOS!G812</f>
        <v/>
      </c>
      <c r="F812">
        <f>BASE_EQUIPOS!H812</f>
        <v/>
      </c>
      <c r="G812">
        <f>BASE_EQUIPOS!M812</f>
        <v/>
      </c>
      <c r="I812" t="inlineStr">
        <is>
          <t>003064</t>
        </is>
      </c>
    </row>
    <row r="813">
      <c r="A813">
        <f>TRIM(BASE_EQUIPOS!N813)</f>
        <v/>
      </c>
      <c r="B813">
        <f>BASE_EQUIPOS!A813</f>
        <v/>
      </c>
      <c r="C813">
        <f>BASE_EQUIPOS!B813</f>
        <v/>
      </c>
      <c r="D813">
        <f>BASE_EQUIPOS!D813</f>
        <v/>
      </c>
      <c r="E813">
        <f>BASE_EQUIPOS!G813</f>
        <v/>
      </c>
      <c r="F813">
        <f>BASE_EQUIPOS!H813</f>
        <v/>
      </c>
      <c r="G813">
        <f>BASE_EQUIPOS!M813</f>
        <v/>
      </c>
      <c r="I813" t="inlineStr">
        <is>
          <t>000445</t>
        </is>
      </c>
    </row>
    <row r="814">
      <c r="A814">
        <f>TRIM(BASE_EQUIPOS!N814)</f>
        <v/>
      </c>
      <c r="B814">
        <f>BASE_EQUIPOS!A814</f>
        <v/>
      </c>
      <c r="C814">
        <f>BASE_EQUIPOS!B814</f>
        <v/>
      </c>
      <c r="D814">
        <f>BASE_EQUIPOS!D814</f>
        <v/>
      </c>
      <c r="E814">
        <f>BASE_EQUIPOS!G814</f>
        <v/>
      </c>
      <c r="F814">
        <f>BASE_EQUIPOS!H814</f>
        <v/>
      </c>
      <c r="G814">
        <f>BASE_EQUIPOS!M814</f>
        <v/>
      </c>
      <c r="I814" t="inlineStr">
        <is>
          <t>000474</t>
        </is>
      </c>
    </row>
    <row r="815">
      <c r="A815">
        <f>TRIM(BASE_EQUIPOS!N815)</f>
        <v/>
      </c>
      <c r="B815">
        <f>BASE_EQUIPOS!A815</f>
        <v/>
      </c>
      <c r="C815">
        <f>BASE_EQUIPOS!B815</f>
        <v/>
      </c>
      <c r="D815">
        <f>BASE_EQUIPOS!D815</f>
        <v/>
      </c>
      <c r="E815">
        <f>BASE_EQUIPOS!G815</f>
        <v/>
      </c>
      <c r="F815">
        <f>BASE_EQUIPOS!H815</f>
        <v/>
      </c>
      <c r="G815">
        <f>BASE_EQUIPOS!M815</f>
        <v/>
      </c>
      <c r="I815" t="inlineStr">
        <is>
          <t>000971</t>
        </is>
      </c>
    </row>
    <row r="816">
      <c r="A816">
        <f>TRIM(BASE_EQUIPOS!N816)</f>
        <v/>
      </c>
      <c r="B816">
        <f>BASE_EQUIPOS!A816</f>
        <v/>
      </c>
      <c r="C816">
        <f>BASE_EQUIPOS!B816</f>
        <v/>
      </c>
      <c r="D816">
        <f>BASE_EQUIPOS!D816</f>
        <v/>
      </c>
      <c r="E816">
        <f>BASE_EQUIPOS!G816</f>
        <v/>
      </c>
      <c r="F816">
        <f>BASE_EQUIPOS!H816</f>
        <v/>
      </c>
      <c r="G816">
        <f>BASE_EQUIPOS!M816</f>
        <v/>
      </c>
      <c r="I816" t="inlineStr">
        <is>
          <t>001591</t>
        </is>
      </c>
    </row>
    <row r="817">
      <c r="A817">
        <f>TRIM(BASE_EQUIPOS!N817)</f>
        <v/>
      </c>
      <c r="B817">
        <f>BASE_EQUIPOS!A817</f>
        <v/>
      </c>
      <c r="C817">
        <f>BASE_EQUIPOS!B817</f>
        <v/>
      </c>
      <c r="D817">
        <f>BASE_EQUIPOS!D817</f>
        <v/>
      </c>
      <c r="E817">
        <f>BASE_EQUIPOS!G817</f>
        <v/>
      </c>
      <c r="F817">
        <f>BASE_EQUIPOS!H817</f>
        <v/>
      </c>
      <c r="G817">
        <f>BASE_EQUIPOS!M817</f>
        <v/>
      </c>
      <c r="I817" t="inlineStr">
        <is>
          <t>002488</t>
        </is>
      </c>
    </row>
    <row r="818">
      <c r="A818">
        <f>TRIM(BASE_EQUIPOS!N818)</f>
        <v/>
      </c>
      <c r="B818">
        <f>BASE_EQUIPOS!A818</f>
        <v/>
      </c>
      <c r="C818">
        <f>BASE_EQUIPOS!B818</f>
        <v/>
      </c>
      <c r="D818">
        <f>BASE_EQUIPOS!D818</f>
        <v/>
      </c>
      <c r="E818">
        <f>BASE_EQUIPOS!G818</f>
        <v/>
      </c>
      <c r="F818">
        <f>BASE_EQUIPOS!H818</f>
        <v/>
      </c>
      <c r="G818">
        <f>BASE_EQUIPOS!M818</f>
        <v/>
      </c>
      <c r="I818" t="inlineStr">
        <is>
          <t>000049</t>
        </is>
      </c>
    </row>
    <row r="819">
      <c r="A819">
        <f>TRIM(BASE_EQUIPOS!N819)</f>
        <v/>
      </c>
      <c r="B819">
        <f>BASE_EQUIPOS!A819</f>
        <v/>
      </c>
      <c r="C819">
        <f>BASE_EQUIPOS!B819</f>
        <v/>
      </c>
      <c r="D819">
        <f>BASE_EQUIPOS!D819</f>
        <v/>
      </c>
      <c r="E819">
        <f>BASE_EQUIPOS!G819</f>
        <v/>
      </c>
      <c r="F819">
        <f>BASE_EQUIPOS!H819</f>
        <v/>
      </c>
      <c r="G819">
        <f>BASE_EQUIPOS!M819</f>
        <v/>
      </c>
      <c r="I819" t="inlineStr">
        <is>
          <t>009655</t>
        </is>
      </c>
    </row>
    <row r="820">
      <c r="A820">
        <f>TRIM(BASE_EQUIPOS!N820)</f>
        <v/>
      </c>
      <c r="B820">
        <f>BASE_EQUIPOS!A820</f>
        <v/>
      </c>
      <c r="C820">
        <f>BASE_EQUIPOS!B820</f>
        <v/>
      </c>
      <c r="D820">
        <f>BASE_EQUIPOS!D820</f>
        <v/>
      </c>
      <c r="E820">
        <f>BASE_EQUIPOS!G820</f>
        <v/>
      </c>
      <c r="F820">
        <f>BASE_EQUIPOS!H820</f>
        <v/>
      </c>
      <c r="G820">
        <f>BASE_EQUIPOS!M820</f>
        <v/>
      </c>
      <c r="I820" t="inlineStr">
        <is>
          <t>000176</t>
        </is>
      </c>
    </row>
    <row r="821">
      <c r="A821">
        <f>TRIM(BASE_EQUIPOS!N821)</f>
        <v/>
      </c>
      <c r="B821">
        <f>BASE_EQUIPOS!A821</f>
        <v/>
      </c>
      <c r="C821">
        <f>BASE_EQUIPOS!B821</f>
        <v/>
      </c>
      <c r="D821">
        <f>BASE_EQUIPOS!D821</f>
        <v/>
      </c>
      <c r="E821">
        <f>BASE_EQUIPOS!G821</f>
        <v/>
      </c>
      <c r="F821">
        <f>BASE_EQUIPOS!H821</f>
        <v/>
      </c>
      <c r="G821">
        <f>BASE_EQUIPOS!M821</f>
        <v/>
      </c>
      <c r="I821" t="inlineStr">
        <is>
          <t>015258</t>
        </is>
      </c>
    </row>
    <row r="822">
      <c r="A822">
        <f>TRIM(BASE_EQUIPOS!N822)</f>
        <v/>
      </c>
      <c r="B822">
        <f>BASE_EQUIPOS!A822</f>
        <v/>
      </c>
      <c r="C822">
        <f>BASE_EQUIPOS!B822</f>
        <v/>
      </c>
      <c r="D822">
        <f>BASE_EQUIPOS!D822</f>
        <v/>
      </c>
      <c r="E822">
        <f>BASE_EQUIPOS!G822</f>
        <v/>
      </c>
      <c r="F822">
        <f>BASE_EQUIPOS!H822</f>
        <v/>
      </c>
      <c r="G822">
        <f>BASE_EQUIPOS!M822</f>
        <v/>
      </c>
      <c r="I822" t="inlineStr">
        <is>
          <t>002052</t>
        </is>
      </c>
    </row>
    <row r="823">
      <c r="A823">
        <f>TRIM(BASE_EQUIPOS!N823)</f>
        <v/>
      </c>
      <c r="B823">
        <f>BASE_EQUIPOS!A823</f>
        <v/>
      </c>
      <c r="C823">
        <f>BASE_EQUIPOS!B823</f>
        <v/>
      </c>
      <c r="D823">
        <f>BASE_EQUIPOS!D823</f>
        <v/>
      </c>
      <c r="E823">
        <f>BASE_EQUIPOS!G823</f>
        <v/>
      </c>
      <c r="F823">
        <f>BASE_EQUIPOS!H823</f>
        <v/>
      </c>
      <c r="G823">
        <f>BASE_EQUIPOS!M823</f>
        <v/>
      </c>
      <c r="I823" t="inlineStr">
        <is>
          <t>115478</t>
        </is>
      </c>
    </row>
    <row r="824">
      <c r="A824">
        <f>TRIM(BASE_EQUIPOS!N824)</f>
        <v/>
      </c>
      <c r="B824">
        <f>BASE_EQUIPOS!A824</f>
        <v/>
      </c>
      <c r="C824">
        <f>BASE_EQUIPOS!B824</f>
        <v/>
      </c>
      <c r="D824">
        <f>BASE_EQUIPOS!D824</f>
        <v/>
      </c>
      <c r="E824">
        <f>BASE_EQUIPOS!G824</f>
        <v/>
      </c>
      <c r="F824">
        <f>BASE_EQUIPOS!H824</f>
        <v/>
      </c>
      <c r="G824">
        <f>BASE_EQUIPOS!M824</f>
        <v/>
      </c>
      <c r="I824" t="inlineStr">
        <is>
          <t>009829</t>
        </is>
      </c>
    </row>
    <row r="825">
      <c r="A825">
        <f>TRIM(BASE_EQUIPOS!N825)</f>
        <v/>
      </c>
      <c r="B825">
        <f>BASE_EQUIPOS!A825</f>
        <v/>
      </c>
      <c r="C825">
        <f>BASE_EQUIPOS!B825</f>
        <v/>
      </c>
      <c r="D825">
        <f>BASE_EQUIPOS!D825</f>
        <v/>
      </c>
      <c r="E825">
        <f>BASE_EQUIPOS!G825</f>
        <v/>
      </c>
      <c r="F825">
        <f>BASE_EQUIPOS!H825</f>
        <v/>
      </c>
      <c r="G825">
        <f>BASE_EQUIPOS!M825</f>
        <v/>
      </c>
      <c r="I825" t="inlineStr">
        <is>
          <t>000011</t>
        </is>
      </c>
    </row>
    <row r="826">
      <c r="A826">
        <f>TRIM(BASE_EQUIPOS!N826)</f>
        <v/>
      </c>
      <c r="B826">
        <f>BASE_EQUIPOS!A826</f>
        <v/>
      </c>
      <c r="C826">
        <f>BASE_EQUIPOS!B826</f>
        <v/>
      </c>
      <c r="D826">
        <f>BASE_EQUIPOS!D826</f>
        <v/>
      </c>
      <c r="E826">
        <f>BASE_EQUIPOS!G826</f>
        <v/>
      </c>
      <c r="F826">
        <f>BASE_EQUIPOS!H826</f>
        <v/>
      </c>
      <c r="G826">
        <f>BASE_EQUIPOS!M826</f>
        <v/>
      </c>
      <c r="I826" t="inlineStr">
        <is>
          <t>000345</t>
        </is>
      </c>
    </row>
    <row r="827">
      <c r="A827">
        <f>TRIM(BASE_EQUIPOS!N827)</f>
        <v/>
      </c>
      <c r="B827">
        <f>BASE_EQUIPOS!A827</f>
        <v/>
      </c>
      <c r="C827">
        <f>BASE_EQUIPOS!B827</f>
        <v/>
      </c>
      <c r="D827">
        <f>BASE_EQUIPOS!D827</f>
        <v/>
      </c>
      <c r="E827">
        <f>BASE_EQUIPOS!G827</f>
        <v/>
      </c>
      <c r="F827">
        <f>BASE_EQUIPOS!H827</f>
        <v/>
      </c>
      <c r="G827">
        <f>BASE_EQUIPOS!M827</f>
        <v/>
      </c>
      <c r="I827" t="inlineStr">
        <is>
          <t>404085</t>
        </is>
      </c>
    </row>
    <row r="828">
      <c r="A828">
        <f>TRIM(BASE_EQUIPOS!N828)</f>
        <v/>
      </c>
      <c r="B828">
        <f>BASE_EQUIPOS!A828</f>
        <v/>
      </c>
      <c r="C828">
        <f>BASE_EQUIPOS!B828</f>
        <v/>
      </c>
      <c r="D828">
        <f>BASE_EQUIPOS!D828</f>
        <v/>
      </c>
      <c r="E828">
        <f>BASE_EQUIPOS!G828</f>
        <v/>
      </c>
      <c r="F828">
        <f>BASE_EQUIPOS!H828</f>
        <v/>
      </c>
      <c r="G828">
        <f>BASE_EQUIPOS!M828</f>
        <v/>
      </c>
      <c r="I828" t="inlineStr">
        <is>
          <t>000323</t>
        </is>
      </c>
    </row>
    <row r="829">
      <c r="A829">
        <f>TRIM(BASE_EQUIPOS!N829)</f>
        <v/>
      </c>
      <c r="B829">
        <f>BASE_EQUIPOS!A829</f>
        <v/>
      </c>
      <c r="C829">
        <f>BASE_EQUIPOS!B829</f>
        <v/>
      </c>
      <c r="D829">
        <f>BASE_EQUIPOS!D829</f>
        <v/>
      </c>
      <c r="E829">
        <f>BASE_EQUIPOS!G829</f>
        <v/>
      </c>
      <c r="F829">
        <f>BASE_EQUIPOS!H829</f>
        <v/>
      </c>
      <c r="G829">
        <f>BASE_EQUIPOS!M829</f>
        <v/>
      </c>
      <c r="I829" t="inlineStr">
        <is>
          <t>008831</t>
        </is>
      </c>
    </row>
    <row r="830">
      <c r="A830">
        <f>TRIM(BASE_EQUIPOS!N830)</f>
        <v/>
      </c>
      <c r="B830">
        <f>BASE_EQUIPOS!A830</f>
        <v/>
      </c>
      <c r="C830">
        <f>BASE_EQUIPOS!B830</f>
        <v/>
      </c>
      <c r="D830">
        <f>BASE_EQUIPOS!D830</f>
        <v/>
      </c>
      <c r="E830">
        <f>BASE_EQUIPOS!G830</f>
        <v/>
      </c>
      <c r="F830">
        <f>BASE_EQUIPOS!H830</f>
        <v/>
      </c>
      <c r="G830">
        <f>BASE_EQUIPOS!M830</f>
        <v/>
      </c>
      <c r="I830" t="inlineStr">
        <is>
          <t>264/000858</t>
        </is>
      </c>
    </row>
    <row r="831">
      <c r="A831">
        <f>TRIM(BASE_EQUIPOS!N831)</f>
        <v/>
      </c>
      <c r="B831">
        <f>BASE_EQUIPOS!A831</f>
        <v/>
      </c>
      <c r="C831">
        <f>BASE_EQUIPOS!B831</f>
        <v/>
      </c>
      <c r="D831">
        <f>BASE_EQUIPOS!D831</f>
        <v/>
      </c>
      <c r="E831">
        <f>BASE_EQUIPOS!G831</f>
        <v/>
      </c>
      <c r="F831">
        <f>BASE_EQUIPOS!H831</f>
        <v/>
      </c>
      <c r="G831">
        <f>BASE_EQUIPOS!M831</f>
        <v/>
      </c>
      <c r="I831" t="inlineStr">
        <is>
          <t>S/N/003212</t>
        </is>
      </c>
    </row>
    <row r="832">
      <c r="A832">
        <f>TRIM(BASE_EQUIPOS!N832)</f>
        <v/>
      </c>
      <c r="B832">
        <f>BASE_EQUIPOS!A832</f>
        <v/>
      </c>
      <c r="C832">
        <f>BASE_EQUIPOS!B832</f>
        <v/>
      </c>
      <c r="D832">
        <f>BASE_EQUIPOS!D832</f>
        <v/>
      </c>
      <c r="E832">
        <f>BASE_EQUIPOS!G832</f>
        <v/>
      </c>
      <c r="F832">
        <f>BASE_EQUIPOS!H832</f>
        <v/>
      </c>
      <c r="G832">
        <f>BASE_EQUIPOS!M832</f>
        <v/>
      </c>
      <c r="I832" t="inlineStr">
        <is>
          <t>S/N/000242</t>
        </is>
      </c>
    </row>
    <row r="833">
      <c r="A833">
        <f>TRIM(BASE_EQUIPOS!N833)</f>
        <v/>
      </c>
      <c r="B833">
        <f>BASE_EQUIPOS!A833</f>
        <v/>
      </c>
      <c r="C833">
        <f>BASE_EQUIPOS!B833</f>
        <v/>
      </c>
      <c r="D833">
        <f>BASE_EQUIPOS!D833</f>
        <v/>
      </c>
      <c r="E833">
        <f>BASE_EQUIPOS!G833</f>
        <v/>
      </c>
      <c r="F833">
        <f>BASE_EQUIPOS!H833</f>
        <v/>
      </c>
      <c r="G833">
        <f>BASE_EQUIPOS!M833</f>
        <v/>
      </c>
      <c r="I833" t="inlineStr">
        <is>
          <t>320/002699</t>
        </is>
      </c>
    </row>
    <row r="834">
      <c r="A834">
        <f>TRIM(BASE_EQUIPOS!N834)</f>
        <v/>
      </c>
      <c r="B834">
        <f>BASE_EQUIPOS!A834</f>
        <v/>
      </c>
      <c r="C834">
        <f>BASE_EQUIPOS!B834</f>
        <v/>
      </c>
      <c r="D834">
        <f>BASE_EQUIPOS!D834</f>
        <v/>
      </c>
      <c r="E834">
        <f>BASE_EQUIPOS!G834</f>
        <v/>
      </c>
      <c r="F834">
        <f>BASE_EQUIPOS!H834</f>
        <v/>
      </c>
      <c r="G834">
        <f>BASE_EQUIPOS!M834</f>
        <v/>
      </c>
      <c r="I834" t="inlineStr">
        <is>
          <t>225/001938</t>
        </is>
      </c>
    </row>
    <row r="835">
      <c r="A835">
        <f>TRIM(BASE_EQUIPOS!N835)</f>
        <v/>
      </c>
      <c r="B835">
        <f>BASE_EQUIPOS!A835</f>
        <v/>
      </c>
      <c r="C835">
        <f>BASE_EQUIPOS!B835</f>
        <v/>
      </c>
      <c r="D835">
        <f>BASE_EQUIPOS!D835</f>
        <v/>
      </c>
      <c r="E835">
        <f>BASE_EQUIPOS!G835</f>
        <v/>
      </c>
      <c r="F835">
        <f>BASE_EQUIPOS!H835</f>
        <v/>
      </c>
      <c r="G835">
        <f>BASE_EQUIPOS!M835</f>
        <v/>
      </c>
      <c r="I835" t="inlineStr">
        <is>
          <t>73/001523</t>
        </is>
      </c>
    </row>
    <row r="836">
      <c r="A836">
        <f>TRIM(BASE_EQUIPOS!N836)</f>
        <v/>
      </c>
      <c r="B836">
        <f>BASE_EQUIPOS!A836</f>
        <v/>
      </c>
      <c r="C836">
        <f>BASE_EQUIPOS!B836</f>
        <v/>
      </c>
      <c r="D836">
        <f>BASE_EQUIPOS!D836</f>
        <v/>
      </c>
      <c r="E836">
        <f>BASE_EQUIPOS!G836</f>
        <v/>
      </c>
      <c r="F836">
        <f>BASE_EQUIPOS!H836</f>
        <v/>
      </c>
      <c r="G836">
        <f>BASE_EQUIPOS!M836</f>
        <v/>
      </c>
      <c r="I836" t="inlineStr">
        <is>
          <t>370/001130</t>
        </is>
      </c>
    </row>
    <row r="837">
      <c r="A837">
        <f>TRIM(BASE_EQUIPOS!N837)</f>
        <v/>
      </c>
      <c r="B837">
        <f>BASE_EQUIPOS!A837</f>
        <v/>
      </c>
      <c r="C837">
        <f>BASE_EQUIPOS!B837</f>
        <v/>
      </c>
      <c r="D837">
        <f>BASE_EQUIPOS!D837</f>
        <v/>
      </c>
      <c r="E837">
        <f>BASE_EQUIPOS!G837</f>
        <v/>
      </c>
      <c r="F837">
        <f>BASE_EQUIPOS!H837</f>
        <v/>
      </c>
      <c r="G837">
        <f>BASE_EQUIPOS!M837</f>
        <v/>
      </c>
      <c r="I837" t="inlineStr">
        <is>
          <t>82/001024</t>
        </is>
      </c>
    </row>
    <row r="838">
      <c r="A838">
        <f>TRIM(BASE_EQUIPOS!N838)</f>
        <v/>
      </c>
      <c r="B838">
        <f>BASE_EQUIPOS!A838</f>
        <v/>
      </c>
      <c r="C838">
        <f>BASE_EQUIPOS!B838</f>
        <v/>
      </c>
      <c r="D838">
        <f>BASE_EQUIPOS!D838</f>
        <v/>
      </c>
      <c r="E838">
        <f>BASE_EQUIPOS!G838</f>
        <v/>
      </c>
      <c r="F838">
        <f>BASE_EQUIPOS!H838</f>
        <v/>
      </c>
      <c r="G838">
        <f>BASE_EQUIPOS!M838</f>
        <v/>
      </c>
      <c r="I838" t="inlineStr">
        <is>
          <t>100/001093</t>
        </is>
      </c>
    </row>
    <row r="839">
      <c r="A839">
        <f>TRIM(BASE_EQUIPOS!N839)</f>
        <v/>
      </c>
      <c r="B839">
        <f>BASE_EQUIPOS!A839</f>
        <v/>
      </c>
      <c r="C839">
        <f>BASE_EQUIPOS!B839</f>
        <v/>
      </c>
      <c r="D839">
        <f>BASE_EQUIPOS!D839</f>
        <v/>
      </c>
      <c r="E839">
        <f>BASE_EQUIPOS!G839</f>
        <v/>
      </c>
      <c r="F839">
        <f>BASE_EQUIPOS!H839</f>
        <v/>
      </c>
      <c r="G839">
        <f>BASE_EQUIPOS!M839</f>
        <v/>
      </c>
      <c r="I839" t="inlineStr">
        <is>
          <t>272/000558</t>
        </is>
      </c>
    </row>
    <row r="840">
      <c r="A840">
        <f>TRIM(BASE_EQUIPOS!N840)</f>
        <v/>
      </c>
      <c r="B840">
        <f>BASE_EQUIPOS!A840</f>
        <v/>
      </c>
      <c r="C840">
        <f>BASE_EQUIPOS!B840</f>
        <v/>
      </c>
      <c r="D840">
        <f>BASE_EQUIPOS!D840</f>
        <v/>
      </c>
      <c r="E840">
        <f>BASE_EQUIPOS!G840</f>
        <v/>
      </c>
      <c r="F840">
        <f>BASE_EQUIPOS!H840</f>
        <v/>
      </c>
      <c r="G840">
        <f>BASE_EQUIPOS!M840</f>
        <v/>
      </c>
      <c r="I840" t="inlineStr">
        <is>
          <t>S/N/000472</t>
        </is>
      </c>
    </row>
    <row r="841">
      <c r="A841">
        <f>TRIM(BASE_EQUIPOS!N841)</f>
        <v/>
      </c>
      <c r="B841">
        <f>BASE_EQUIPOS!A841</f>
        <v/>
      </c>
      <c r="C841">
        <f>BASE_EQUIPOS!B841</f>
        <v/>
      </c>
      <c r="D841">
        <f>BASE_EQUIPOS!D841</f>
        <v/>
      </c>
      <c r="E841">
        <f>BASE_EQUIPOS!G841</f>
        <v/>
      </c>
      <c r="F841">
        <f>BASE_EQUIPOS!H841</f>
        <v/>
      </c>
      <c r="G841">
        <f>BASE_EQUIPOS!M841</f>
        <v/>
      </c>
      <c r="I841" t="inlineStr">
        <is>
          <t>S/N/000006</t>
        </is>
      </c>
    </row>
    <row r="842">
      <c r="A842">
        <f>TRIM(BASE_EQUIPOS!N842)</f>
        <v/>
      </c>
      <c r="B842">
        <f>BASE_EQUIPOS!A842</f>
        <v/>
      </c>
      <c r="C842">
        <f>BASE_EQUIPOS!B842</f>
        <v/>
      </c>
      <c r="D842">
        <f>BASE_EQUIPOS!D842</f>
        <v/>
      </c>
      <c r="E842">
        <f>BASE_EQUIPOS!G842</f>
        <v/>
      </c>
      <c r="F842">
        <f>BASE_EQUIPOS!H842</f>
        <v/>
      </c>
      <c r="G842">
        <f>BASE_EQUIPOS!M842</f>
        <v/>
      </c>
      <c r="I842" t="inlineStr">
        <is>
          <t>26/000905</t>
        </is>
      </c>
    </row>
    <row r="843">
      <c r="A843">
        <f>TRIM(BASE_EQUIPOS!N843)</f>
        <v/>
      </c>
      <c r="B843">
        <f>BASE_EQUIPOS!A843</f>
        <v/>
      </c>
      <c r="C843">
        <f>BASE_EQUIPOS!B843</f>
        <v/>
      </c>
      <c r="D843">
        <f>BASE_EQUIPOS!D843</f>
        <v/>
      </c>
      <c r="E843">
        <f>BASE_EQUIPOS!G843</f>
        <v/>
      </c>
      <c r="F843">
        <f>BASE_EQUIPOS!H843</f>
        <v/>
      </c>
      <c r="G843">
        <f>BASE_EQUIPOS!M843</f>
        <v/>
      </c>
      <c r="I843" t="inlineStr">
        <is>
          <t>01/000167</t>
        </is>
      </c>
    </row>
    <row r="844">
      <c r="A844">
        <f>TRIM(BASE_EQUIPOS!N844)</f>
        <v/>
      </c>
      <c r="B844">
        <f>BASE_EQUIPOS!A844</f>
        <v/>
      </c>
      <c r="C844">
        <f>BASE_EQUIPOS!B844</f>
        <v/>
      </c>
      <c r="D844">
        <f>BASE_EQUIPOS!D844</f>
        <v/>
      </c>
      <c r="E844">
        <f>BASE_EQUIPOS!G844</f>
        <v/>
      </c>
      <c r="F844">
        <f>BASE_EQUIPOS!H844</f>
        <v/>
      </c>
      <c r="G844">
        <f>BASE_EQUIPOS!M844</f>
        <v/>
      </c>
      <c r="I844" t="inlineStr">
        <is>
          <t>01/000327</t>
        </is>
      </c>
    </row>
    <row r="845">
      <c r="A845">
        <f>TRIM(BASE_EQUIPOS!N845)</f>
        <v/>
      </c>
      <c r="B845">
        <f>BASE_EQUIPOS!A845</f>
        <v/>
      </c>
      <c r="C845">
        <f>BASE_EQUIPOS!B845</f>
        <v/>
      </c>
      <c r="D845">
        <f>BASE_EQUIPOS!D845</f>
        <v/>
      </c>
      <c r="E845">
        <f>BASE_EQUIPOS!G845</f>
        <v/>
      </c>
      <c r="F845">
        <f>BASE_EQUIPOS!H845</f>
        <v/>
      </c>
      <c r="G845">
        <f>BASE_EQUIPOS!M845</f>
        <v/>
      </c>
      <c r="I845" t="inlineStr">
        <is>
          <t>01/000358</t>
        </is>
      </c>
    </row>
    <row r="846">
      <c r="A846">
        <f>TRIM(BASE_EQUIPOS!N846)</f>
        <v/>
      </c>
      <c r="B846">
        <f>BASE_EQUIPOS!A846</f>
        <v/>
      </c>
      <c r="C846">
        <f>BASE_EQUIPOS!B846</f>
        <v/>
      </c>
      <c r="D846">
        <f>BASE_EQUIPOS!D846</f>
        <v/>
      </c>
      <c r="E846">
        <f>BASE_EQUIPOS!G846</f>
        <v/>
      </c>
      <c r="F846">
        <f>BASE_EQUIPOS!H846</f>
        <v/>
      </c>
      <c r="G846">
        <f>BASE_EQUIPOS!M846</f>
        <v/>
      </c>
      <c r="I846" t="inlineStr">
        <is>
          <t>02/000925</t>
        </is>
      </c>
    </row>
    <row r="847">
      <c r="A847">
        <f>TRIM(BASE_EQUIPOS!N847)</f>
        <v/>
      </c>
      <c r="B847">
        <f>BASE_EQUIPOS!A847</f>
        <v/>
      </c>
      <c r="C847">
        <f>BASE_EQUIPOS!B847</f>
        <v/>
      </c>
      <c r="D847">
        <f>BASE_EQUIPOS!D847</f>
        <v/>
      </c>
      <c r="E847">
        <f>BASE_EQUIPOS!G847</f>
        <v/>
      </c>
      <c r="F847">
        <f>BASE_EQUIPOS!H847</f>
        <v/>
      </c>
      <c r="G847">
        <f>BASE_EQUIPOS!M847</f>
        <v/>
      </c>
      <c r="I847" t="inlineStr">
        <is>
          <t>03/000449</t>
        </is>
      </c>
    </row>
    <row r="848">
      <c r="A848">
        <f>TRIM(BASE_EQUIPOS!N848)</f>
        <v/>
      </c>
      <c r="B848">
        <f>BASE_EQUIPOS!A848</f>
        <v/>
      </c>
      <c r="C848">
        <f>BASE_EQUIPOS!B848</f>
        <v/>
      </c>
      <c r="D848">
        <f>BASE_EQUIPOS!D848</f>
        <v/>
      </c>
      <c r="E848">
        <f>BASE_EQUIPOS!G848</f>
        <v/>
      </c>
      <c r="F848">
        <f>BASE_EQUIPOS!H848</f>
        <v/>
      </c>
      <c r="G848">
        <f>BASE_EQUIPOS!M848</f>
        <v/>
      </c>
      <c r="I848" t="inlineStr">
        <is>
          <t>04/000090</t>
        </is>
      </c>
    </row>
    <row r="849">
      <c r="A849">
        <f>TRIM(BASE_EQUIPOS!N849)</f>
        <v/>
      </c>
      <c r="B849">
        <f>BASE_EQUIPOS!A849</f>
        <v/>
      </c>
      <c r="C849">
        <f>BASE_EQUIPOS!B849</f>
        <v/>
      </c>
      <c r="D849">
        <f>BASE_EQUIPOS!D849</f>
        <v/>
      </c>
      <c r="E849">
        <f>BASE_EQUIPOS!G849</f>
        <v/>
      </c>
      <c r="F849">
        <f>BASE_EQUIPOS!H849</f>
        <v/>
      </c>
      <c r="G849">
        <f>BASE_EQUIPOS!M849</f>
        <v/>
      </c>
      <c r="I849" t="inlineStr">
        <is>
          <t>05/000299</t>
        </is>
      </c>
    </row>
    <row r="850">
      <c r="A850">
        <f>TRIM(BASE_EQUIPOS!N850)</f>
        <v/>
      </c>
      <c r="B850">
        <f>BASE_EQUIPOS!A850</f>
        <v/>
      </c>
      <c r="C850">
        <f>BASE_EQUIPOS!B850</f>
        <v/>
      </c>
      <c r="D850">
        <f>BASE_EQUIPOS!D850</f>
        <v/>
      </c>
      <c r="E850">
        <f>BASE_EQUIPOS!G850</f>
        <v/>
      </c>
      <c r="F850">
        <f>BASE_EQUIPOS!H850</f>
        <v/>
      </c>
      <c r="G850">
        <f>BASE_EQUIPOS!M850</f>
        <v/>
      </c>
      <c r="I850" t="inlineStr">
        <is>
          <t>06/000458</t>
        </is>
      </c>
    </row>
    <row r="851">
      <c r="A851">
        <f>TRIM(BASE_EQUIPOS!N851)</f>
        <v/>
      </c>
      <c r="B851">
        <f>BASE_EQUIPOS!A851</f>
        <v/>
      </c>
      <c r="C851">
        <f>BASE_EQUIPOS!B851</f>
        <v/>
      </c>
      <c r="D851">
        <f>BASE_EQUIPOS!D851</f>
        <v/>
      </c>
      <c r="E851">
        <f>BASE_EQUIPOS!G851</f>
        <v/>
      </c>
      <c r="F851">
        <f>BASE_EQUIPOS!H851</f>
        <v/>
      </c>
      <c r="G851">
        <f>BASE_EQUIPOS!M851</f>
        <v/>
      </c>
      <c r="I851" t="inlineStr">
        <is>
          <t>08/000064</t>
        </is>
      </c>
    </row>
    <row r="852">
      <c r="A852">
        <f>TRIM(BASE_EQUIPOS!N852)</f>
        <v/>
      </c>
      <c r="B852">
        <f>BASE_EQUIPOS!A852</f>
        <v/>
      </c>
      <c r="C852">
        <f>BASE_EQUIPOS!B852</f>
        <v/>
      </c>
      <c r="D852">
        <f>BASE_EQUIPOS!D852</f>
        <v/>
      </c>
      <c r="E852">
        <f>BASE_EQUIPOS!G852</f>
        <v/>
      </c>
      <c r="F852">
        <f>BASE_EQUIPOS!H852</f>
        <v/>
      </c>
      <c r="G852">
        <f>BASE_EQUIPOS!M852</f>
        <v/>
      </c>
      <c r="I852" t="inlineStr">
        <is>
          <t>12/000092</t>
        </is>
      </c>
    </row>
    <row r="853">
      <c r="A853">
        <f>TRIM(BASE_EQUIPOS!N853)</f>
        <v/>
      </c>
      <c r="B853">
        <f>BASE_EQUIPOS!A853</f>
        <v/>
      </c>
      <c r="C853">
        <f>BASE_EQUIPOS!B853</f>
        <v/>
      </c>
      <c r="D853">
        <f>BASE_EQUIPOS!D853</f>
        <v/>
      </c>
      <c r="E853">
        <f>BASE_EQUIPOS!G853</f>
        <v/>
      </c>
      <c r="F853">
        <f>BASE_EQUIPOS!H853</f>
        <v/>
      </c>
      <c r="G853">
        <f>BASE_EQUIPOS!M853</f>
        <v/>
      </c>
      <c r="I853" t="inlineStr">
        <is>
          <t>01/007888</t>
        </is>
      </c>
    </row>
    <row r="854">
      <c r="A854">
        <f>TRIM(BASE_EQUIPOS!N854)</f>
        <v/>
      </c>
      <c r="B854">
        <f>BASE_EQUIPOS!A854</f>
        <v/>
      </c>
      <c r="C854">
        <f>BASE_EQUIPOS!B854</f>
        <v/>
      </c>
      <c r="D854">
        <f>BASE_EQUIPOS!D854</f>
        <v/>
      </c>
      <c r="E854">
        <f>BASE_EQUIPOS!G854</f>
        <v/>
      </c>
      <c r="F854">
        <f>BASE_EQUIPOS!H854</f>
        <v/>
      </c>
      <c r="G854">
        <f>BASE_EQUIPOS!M854</f>
        <v/>
      </c>
      <c r="I854" t="inlineStr">
        <is>
          <t>01/000531</t>
        </is>
      </c>
    </row>
    <row r="855">
      <c r="A855">
        <f>TRIM(BASE_EQUIPOS!N855)</f>
        <v/>
      </c>
      <c r="B855">
        <f>BASE_EQUIPOS!A855</f>
        <v/>
      </c>
      <c r="C855">
        <f>BASE_EQUIPOS!B855</f>
        <v/>
      </c>
      <c r="D855">
        <f>BASE_EQUIPOS!D855</f>
        <v/>
      </c>
      <c r="E855">
        <f>BASE_EQUIPOS!G855</f>
        <v/>
      </c>
      <c r="F855">
        <f>BASE_EQUIPOS!H855</f>
        <v/>
      </c>
      <c r="G855">
        <f>BASE_EQUIPOS!M855</f>
        <v/>
      </c>
      <c r="I855" t="inlineStr">
        <is>
          <t>01/000641</t>
        </is>
      </c>
    </row>
    <row r="856">
      <c r="A856">
        <f>TRIM(BASE_EQUIPOS!N856)</f>
        <v/>
      </c>
      <c r="B856">
        <f>BASE_EQUIPOS!A856</f>
        <v/>
      </c>
      <c r="C856">
        <f>BASE_EQUIPOS!B856</f>
        <v/>
      </c>
      <c r="D856">
        <f>BASE_EQUIPOS!D856</f>
        <v/>
      </c>
      <c r="E856">
        <f>BASE_EQUIPOS!G856</f>
        <v/>
      </c>
      <c r="F856">
        <f>BASE_EQUIPOS!H856</f>
        <v/>
      </c>
      <c r="G856">
        <f>BASE_EQUIPOS!M856</f>
        <v/>
      </c>
      <c r="I856" t="inlineStr">
        <is>
          <t>01/006131</t>
        </is>
      </c>
    </row>
    <row r="857">
      <c r="A857">
        <f>TRIM(BASE_EQUIPOS!N857)</f>
        <v/>
      </c>
      <c r="B857">
        <f>BASE_EQUIPOS!A857</f>
        <v/>
      </c>
      <c r="C857">
        <f>BASE_EQUIPOS!B857</f>
        <v/>
      </c>
      <c r="D857">
        <f>BASE_EQUIPOS!D857</f>
        <v/>
      </c>
      <c r="E857">
        <f>BASE_EQUIPOS!G857</f>
        <v/>
      </c>
      <c r="F857">
        <f>BASE_EQUIPOS!H857</f>
        <v/>
      </c>
      <c r="G857">
        <f>BASE_EQUIPOS!M857</f>
        <v/>
      </c>
      <c r="I857" t="inlineStr">
        <is>
          <t>02/001696</t>
        </is>
      </c>
    </row>
    <row r="858">
      <c r="A858">
        <f>TRIM(BASE_EQUIPOS!N858)</f>
        <v/>
      </c>
      <c r="B858">
        <f>BASE_EQUIPOS!A858</f>
        <v/>
      </c>
      <c r="C858">
        <f>BASE_EQUIPOS!B858</f>
        <v/>
      </c>
      <c r="D858">
        <f>BASE_EQUIPOS!D858</f>
        <v/>
      </c>
      <c r="E858">
        <f>BASE_EQUIPOS!G858</f>
        <v/>
      </c>
      <c r="F858">
        <f>BASE_EQUIPOS!H858</f>
        <v/>
      </c>
      <c r="G858">
        <f>BASE_EQUIPOS!M858</f>
        <v/>
      </c>
      <c r="I858" t="inlineStr">
        <is>
          <t>16/001941</t>
        </is>
      </c>
    </row>
    <row r="859">
      <c r="A859">
        <f>TRIM(BASE_EQUIPOS!N859)</f>
        <v/>
      </c>
      <c r="B859">
        <f>BASE_EQUIPOS!A859</f>
        <v/>
      </c>
      <c r="C859">
        <f>BASE_EQUIPOS!B859</f>
        <v/>
      </c>
      <c r="D859">
        <f>BASE_EQUIPOS!D859</f>
        <v/>
      </c>
      <c r="E859">
        <f>BASE_EQUIPOS!G859</f>
        <v/>
      </c>
      <c r="F859">
        <f>BASE_EQUIPOS!H859</f>
        <v/>
      </c>
      <c r="G859">
        <f>BASE_EQUIPOS!M859</f>
        <v/>
      </c>
      <c r="I859" t="inlineStr">
        <is>
          <t>210/000982</t>
        </is>
      </c>
    </row>
    <row r="860">
      <c r="A860">
        <f>TRIM(BASE_EQUIPOS!N860)</f>
        <v/>
      </c>
      <c r="B860">
        <f>BASE_EQUIPOS!A860</f>
        <v/>
      </c>
      <c r="C860">
        <f>BASE_EQUIPOS!B860</f>
        <v/>
      </c>
      <c r="D860">
        <f>BASE_EQUIPOS!D860</f>
        <v/>
      </c>
      <c r="E860">
        <f>BASE_EQUIPOS!G860</f>
        <v/>
      </c>
      <c r="F860">
        <f>BASE_EQUIPOS!H860</f>
        <v/>
      </c>
      <c r="G860">
        <f>BASE_EQUIPOS!M860</f>
        <v/>
      </c>
      <c r="I860" t="inlineStr">
        <is>
          <t>S/N/201106</t>
        </is>
      </c>
    </row>
    <row r="861">
      <c r="A861">
        <f>TRIM(BASE_EQUIPOS!N861)</f>
        <v/>
      </c>
      <c r="B861">
        <f>BASE_EQUIPOS!A861</f>
        <v/>
      </c>
      <c r="C861">
        <f>BASE_EQUIPOS!B861</f>
        <v/>
      </c>
      <c r="D861">
        <f>BASE_EQUIPOS!D861</f>
        <v/>
      </c>
      <c r="E861">
        <f>BASE_EQUIPOS!G861</f>
        <v/>
      </c>
      <c r="F861">
        <f>BASE_EQUIPOS!H861</f>
        <v/>
      </c>
      <c r="G861">
        <f>BASE_EQUIPOS!M861</f>
        <v/>
      </c>
      <c r="I861" t="inlineStr">
        <is>
          <t>S/N/000201</t>
        </is>
      </c>
    </row>
    <row r="862">
      <c r="A862">
        <f>TRIM(BASE_EQUIPOS!N862)</f>
        <v/>
      </c>
      <c r="B862">
        <f>BASE_EQUIPOS!A862</f>
        <v/>
      </c>
      <c r="C862">
        <f>BASE_EQUIPOS!B862</f>
        <v/>
      </c>
      <c r="D862">
        <f>BASE_EQUIPOS!D862</f>
        <v/>
      </c>
      <c r="E862">
        <f>BASE_EQUIPOS!G862</f>
        <v/>
      </c>
      <c r="F862">
        <f>BASE_EQUIPOS!H862</f>
        <v/>
      </c>
      <c r="G862">
        <f>BASE_EQUIPOS!M862</f>
        <v/>
      </c>
      <c r="I862" t="inlineStr">
        <is>
          <t>03/000038</t>
        </is>
      </c>
    </row>
    <row r="863">
      <c r="A863">
        <f>TRIM(BASE_EQUIPOS!N863)</f>
        <v/>
      </c>
      <c r="B863">
        <f>BASE_EQUIPOS!A863</f>
        <v/>
      </c>
      <c r="C863">
        <f>BASE_EQUIPOS!B863</f>
        <v/>
      </c>
      <c r="D863">
        <f>BASE_EQUIPOS!D863</f>
        <v/>
      </c>
      <c r="E863">
        <f>BASE_EQUIPOS!G863</f>
        <v/>
      </c>
      <c r="F863">
        <f>BASE_EQUIPOS!H863</f>
        <v/>
      </c>
      <c r="G863">
        <f>BASE_EQUIPOS!M863</f>
        <v/>
      </c>
      <c r="I863" t="inlineStr">
        <is>
          <t>S/N/003136</t>
        </is>
      </c>
    </row>
    <row r="864">
      <c r="A864">
        <f>TRIM(BASE_EQUIPOS!N864)</f>
        <v/>
      </c>
      <c r="B864">
        <f>BASE_EQUIPOS!A864</f>
        <v/>
      </c>
      <c r="C864">
        <f>BASE_EQUIPOS!B864</f>
        <v/>
      </c>
      <c r="D864">
        <f>BASE_EQUIPOS!D864</f>
        <v/>
      </c>
      <c r="E864">
        <f>BASE_EQUIPOS!G864</f>
        <v/>
      </c>
      <c r="F864">
        <f>BASE_EQUIPOS!H864</f>
        <v/>
      </c>
      <c r="G864">
        <f>BASE_EQUIPOS!M864</f>
        <v/>
      </c>
      <c r="I864" t="inlineStr">
        <is>
          <t>S/N/201005</t>
        </is>
      </c>
    </row>
    <row r="865">
      <c r="A865">
        <f>TRIM(BASE_EQUIPOS!N865)</f>
        <v/>
      </c>
      <c r="B865">
        <f>BASE_EQUIPOS!A865</f>
        <v/>
      </c>
      <c r="C865">
        <f>BASE_EQUIPOS!B865</f>
        <v/>
      </c>
      <c r="D865">
        <f>BASE_EQUIPOS!D865</f>
        <v/>
      </c>
      <c r="E865">
        <f>BASE_EQUIPOS!G865</f>
        <v/>
      </c>
      <c r="F865">
        <f>BASE_EQUIPOS!H865</f>
        <v/>
      </c>
      <c r="G865">
        <f>BASE_EQUIPOS!M865</f>
        <v/>
      </c>
      <c r="I865" t="inlineStr">
        <is>
          <t>S/N/000002</t>
        </is>
      </c>
    </row>
    <row r="866">
      <c r="A866">
        <f>TRIM(BASE_EQUIPOS!N866)</f>
        <v/>
      </c>
      <c r="B866">
        <f>BASE_EQUIPOS!A866</f>
        <v/>
      </c>
      <c r="C866">
        <f>BASE_EQUIPOS!B866</f>
        <v/>
      </c>
      <c r="D866">
        <f>BASE_EQUIPOS!D866</f>
        <v/>
      </c>
      <c r="E866">
        <f>BASE_EQUIPOS!G866</f>
        <v/>
      </c>
      <c r="F866">
        <f>BASE_EQUIPOS!H866</f>
        <v/>
      </c>
      <c r="G866">
        <f>BASE_EQUIPOS!M866</f>
        <v/>
      </c>
      <c r="I866" t="inlineStr">
        <is>
          <t>105/000033</t>
        </is>
      </c>
    </row>
    <row r="867">
      <c r="A867">
        <f>TRIM(BASE_EQUIPOS!N867)</f>
        <v/>
      </c>
      <c r="B867">
        <f>BASE_EQUIPOS!A867</f>
        <v/>
      </c>
      <c r="C867">
        <f>BASE_EQUIPOS!B867</f>
        <v/>
      </c>
      <c r="D867">
        <f>BASE_EQUIPOS!D867</f>
        <v/>
      </c>
      <c r="E867">
        <f>BASE_EQUIPOS!G867</f>
        <v/>
      </c>
      <c r="F867">
        <f>BASE_EQUIPOS!H867</f>
        <v/>
      </c>
      <c r="G867">
        <f>BASE_EQUIPOS!M867</f>
        <v/>
      </c>
      <c r="I867" t="inlineStr">
        <is>
          <t>S/N/000406</t>
        </is>
      </c>
    </row>
    <row r="868">
      <c r="A868">
        <f>TRIM(BASE_EQUIPOS!N868)</f>
        <v/>
      </c>
      <c r="B868">
        <f>BASE_EQUIPOS!A868</f>
        <v/>
      </c>
      <c r="C868">
        <f>BASE_EQUIPOS!B868</f>
        <v/>
      </c>
      <c r="D868">
        <f>BASE_EQUIPOS!D868</f>
        <v/>
      </c>
      <c r="E868">
        <f>BASE_EQUIPOS!G868</f>
        <v/>
      </c>
      <c r="F868">
        <f>BASE_EQUIPOS!H868</f>
        <v/>
      </c>
      <c r="G868">
        <f>BASE_EQUIPOS!M868</f>
        <v/>
      </c>
      <c r="I868" t="inlineStr">
        <is>
          <t>S/N/003347</t>
        </is>
      </c>
    </row>
    <row r="869">
      <c r="A869">
        <f>TRIM(BASE_EQUIPOS!N869)</f>
        <v/>
      </c>
      <c r="B869">
        <f>BASE_EQUIPOS!A869</f>
        <v/>
      </c>
      <c r="C869">
        <f>BASE_EQUIPOS!B869</f>
        <v/>
      </c>
      <c r="D869">
        <f>BASE_EQUIPOS!D869</f>
        <v/>
      </c>
      <c r="E869">
        <f>BASE_EQUIPOS!G869</f>
        <v/>
      </c>
      <c r="F869">
        <f>BASE_EQUIPOS!H869</f>
        <v/>
      </c>
      <c r="G869">
        <f>BASE_EQUIPOS!M869</f>
        <v/>
      </c>
      <c r="I869" t="inlineStr">
        <is>
          <t>79/002579</t>
        </is>
      </c>
    </row>
    <row r="870">
      <c r="A870">
        <f>TRIM(BASE_EQUIPOS!N870)</f>
        <v/>
      </c>
      <c r="B870">
        <f>BASE_EQUIPOS!A870</f>
        <v/>
      </c>
      <c r="C870">
        <f>BASE_EQUIPOS!B870</f>
        <v/>
      </c>
      <c r="D870">
        <f>BASE_EQUIPOS!D870</f>
        <v/>
      </c>
      <c r="E870">
        <f>BASE_EQUIPOS!G870</f>
        <v/>
      </c>
      <c r="F870">
        <f>BASE_EQUIPOS!H870</f>
        <v/>
      </c>
      <c r="G870">
        <f>BASE_EQUIPOS!M870</f>
        <v/>
      </c>
      <c r="I870" t="inlineStr">
        <is>
          <t>54/000008</t>
        </is>
      </c>
    </row>
    <row r="871">
      <c r="A871">
        <f>TRIM(BASE_EQUIPOS!N871)</f>
        <v/>
      </c>
      <c r="B871">
        <f>BASE_EQUIPOS!A871</f>
        <v/>
      </c>
      <c r="C871">
        <f>BASE_EQUIPOS!B871</f>
        <v/>
      </c>
      <c r="D871">
        <f>BASE_EQUIPOS!D871</f>
        <v/>
      </c>
      <c r="E871">
        <f>BASE_EQUIPOS!G871</f>
        <v/>
      </c>
      <c r="F871">
        <f>BASE_EQUIPOS!H871</f>
        <v/>
      </c>
      <c r="G871">
        <f>BASE_EQUIPOS!M871</f>
        <v/>
      </c>
      <c r="I871" t="inlineStr">
        <is>
          <t>171/002270</t>
        </is>
      </c>
    </row>
    <row r="872">
      <c r="A872">
        <f>TRIM(BASE_EQUIPOS!N872)</f>
        <v/>
      </c>
      <c r="B872">
        <f>BASE_EQUIPOS!A872</f>
        <v/>
      </c>
      <c r="C872">
        <f>BASE_EQUIPOS!B872</f>
        <v/>
      </c>
      <c r="D872">
        <f>BASE_EQUIPOS!D872</f>
        <v/>
      </c>
      <c r="E872">
        <f>BASE_EQUIPOS!G872</f>
        <v/>
      </c>
      <c r="F872">
        <f>BASE_EQUIPOS!H872</f>
        <v/>
      </c>
      <c r="G872">
        <f>BASE_EQUIPOS!M872</f>
        <v/>
      </c>
      <c r="I872" t="inlineStr">
        <is>
          <t>S/N/001249</t>
        </is>
      </c>
    </row>
    <row r="873">
      <c r="A873">
        <f>TRIM(BASE_EQUIPOS!N873)</f>
        <v/>
      </c>
      <c r="B873">
        <f>BASE_EQUIPOS!A873</f>
        <v/>
      </c>
      <c r="C873">
        <f>BASE_EQUIPOS!B873</f>
        <v/>
      </c>
      <c r="D873">
        <f>BASE_EQUIPOS!D873</f>
        <v/>
      </c>
      <c r="E873">
        <f>BASE_EQUIPOS!G873</f>
        <v/>
      </c>
      <c r="F873">
        <f>BASE_EQUIPOS!H873</f>
        <v/>
      </c>
      <c r="G873">
        <f>BASE_EQUIPOS!M873</f>
        <v/>
      </c>
      <c r="I873" t="inlineStr">
        <is>
          <t>34/006422</t>
        </is>
      </c>
    </row>
    <row r="874">
      <c r="A874">
        <f>TRIM(BASE_EQUIPOS!N874)</f>
        <v/>
      </c>
      <c r="B874">
        <f>BASE_EQUIPOS!A874</f>
        <v/>
      </c>
      <c r="C874">
        <f>BASE_EQUIPOS!B874</f>
        <v/>
      </c>
      <c r="D874">
        <f>BASE_EQUIPOS!D874</f>
        <v/>
      </c>
      <c r="E874">
        <f>BASE_EQUIPOS!G874</f>
        <v/>
      </c>
      <c r="F874">
        <f>BASE_EQUIPOS!H874</f>
        <v/>
      </c>
      <c r="G874">
        <f>BASE_EQUIPOS!M874</f>
        <v/>
      </c>
      <c r="I874" t="inlineStr">
        <is>
          <t>28/000005</t>
        </is>
      </c>
    </row>
    <row r="875">
      <c r="A875">
        <f>TRIM(BASE_EQUIPOS!N875)</f>
        <v/>
      </c>
      <c r="B875">
        <f>BASE_EQUIPOS!A875</f>
        <v/>
      </c>
      <c r="C875">
        <f>BASE_EQUIPOS!B875</f>
        <v/>
      </c>
      <c r="D875">
        <f>BASE_EQUIPOS!D875</f>
        <v/>
      </c>
      <c r="E875">
        <f>BASE_EQUIPOS!G875</f>
        <v/>
      </c>
      <c r="F875">
        <f>BASE_EQUIPOS!H875</f>
        <v/>
      </c>
      <c r="G875">
        <f>BASE_EQUIPOS!M875</f>
        <v/>
      </c>
      <c r="I875" t="inlineStr">
        <is>
          <t>147/000750</t>
        </is>
      </c>
    </row>
    <row r="876">
      <c r="A876">
        <f>TRIM(BASE_EQUIPOS!N876)</f>
        <v/>
      </c>
      <c r="B876">
        <f>BASE_EQUIPOS!A876</f>
        <v/>
      </c>
      <c r="C876">
        <f>BASE_EQUIPOS!B876</f>
        <v/>
      </c>
      <c r="D876">
        <f>BASE_EQUIPOS!D876</f>
        <v/>
      </c>
      <c r="E876">
        <f>BASE_EQUIPOS!G876</f>
        <v/>
      </c>
      <c r="F876">
        <f>BASE_EQUIPOS!H876</f>
        <v/>
      </c>
      <c r="G876">
        <f>BASE_EQUIPOS!M876</f>
        <v/>
      </c>
      <c r="I876" t="inlineStr">
        <is>
          <t>86/000005</t>
        </is>
      </c>
    </row>
    <row r="877">
      <c r="A877">
        <f>TRIM(BASE_EQUIPOS!N877)</f>
        <v/>
      </c>
      <c r="B877">
        <f>BASE_EQUIPOS!A877</f>
        <v/>
      </c>
      <c r="C877">
        <f>BASE_EQUIPOS!B877</f>
        <v/>
      </c>
      <c r="D877">
        <f>BASE_EQUIPOS!D877</f>
        <v/>
      </c>
      <c r="E877">
        <f>BASE_EQUIPOS!G877</f>
        <v/>
      </c>
      <c r="F877">
        <f>BASE_EQUIPOS!H877</f>
        <v/>
      </c>
      <c r="G877">
        <f>BASE_EQUIPOS!M877</f>
        <v/>
      </c>
      <c r="I877" t="inlineStr">
        <is>
          <t>279/001422</t>
        </is>
      </c>
    </row>
    <row r="878">
      <c r="A878">
        <f>TRIM(BASE_EQUIPOS!N878)</f>
        <v/>
      </c>
      <c r="B878">
        <f>BASE_EQUIPOS!A878</f>
        <v/>
      </c>
      <c r="C878">
        <f>BASE_EQUIPOS!B878</f>
        <v/>
      </c>
      <c r="D878">
        <f>BASE_EQUIPOS!D878</f>
        <v/>
      </c>
      <c r="E878">
        <f>BASE_EQUIPOS!G878</f>
        <v/>
      </c>
      <c r="F878">
        <f>BASE_EQUIPOS!H878</f>
        <v/>
      </c>
      <c r="G878">
        <f>BASE_EQUIPOS!M878</f>
        <v/>
      </c>
      <c r="I878" t="inlineStr">
        <is>
          <t>375/001502</t>
        </is>
      </c>
    </row>
    <row r="879">
      <c r="A879">
        <f>TRIM(BASE_EQUIPOS!N879)</f>
        <v/>
      </c>
      <c r="B879">
        <f>BASE_EQUIPOS!A879</f>
        <v/>
      </c>
      <c r="C879">
        <f>BASE_EQUIPOS!B879</f>
        <v/>
      </c>
      <c r="D879">
        <f>BASE_EQUIPOS!D879</f>
        <v/>
      </c>
      <c r="E879">
        <f>BASE_EQUIPOS!G879</f>
        <v/>
      </c>
      <c r="F879">
        <f>BASE_EQUIPOS!H879</f>
        <v/>
      </c>
      <c r="G879">
        <f>BASE_EQUIPOS!M879</f>
        <v/>
      </c>
      <c r="I879" t="inlineStr">
        <is>
          <t>274/001185</t>
        </is>
      </c>
    </row>
    <row r="880">
      <c r="A880">
        <f>TRIM(BASE_EQUIPOS!N880)</f>
        <v/>
      </c>
      <c r="B880">
        <f>BASE_EQUIPOS!A880</f>
        <v/>
      </c>
      <c r="C880">
        <f>BASE_EQUIPOS!B880</f>
        <v/>
      </c>
      <c r="D880">
        <f>BASE_EQUIPOS!D880</f>
        <v/>
      </c>
      <c r="E880">
        <f>BASE_EQUIPOS!G880</f>
        <v/>
      </c>
      <c r="F880">
        <f>BASE_EQUIPOS!H880</f>
        <v/>
      </c>
      <c r="G880">
        <f>BASE_EQUIPOS!M880</f>
        <v/>
      </c>
      <c r="I880" t="inlineStr">
        <is>
          <t>99/002341</t>
        </is>
      </c>
    </row>
    <row r="881">
      <c r="A881">
        <f>TRIM(BASE_EQUIPOS!N881)</f>
        <v/>
      </c>
      <c r="B881">
        <f>BASE_EQUIPOS!A881</f>
        <v/>
      </c>
      <c r="C881">
        <f>BASE_EQUIPOS!B881</f>
        <v/>
      </c>
      <c r="D881">
        <f>BASE_EQUIPOS!D881</f>
        <v/>
      </c>
      <c r="E881">
        <f>BASE_EQUIPOS!G881</f>
        <v/>
      </c>
      <c r="F881">
        <f>BASE_EQUIPOS!H881</f>
        <v/>
      </c>
      <c r="G881">
        <f>BASE_EQUIPOS!M881</f>
        <v/>
      </c>
      <c r="I881" t="inlineStr">
        <is>
          <t>104/002582</t>
        </is>
      </c>
    </row>
    <row r="882">
      <c r="A882">
        <f>TRIM(BASE_EQUIPOS!N882)</f>
        <v/>
      </c>
      <c r="B882">
        <f>BASE_EQUIPOS!A882</f>
        <v/>
      </c>
      <c r="C882">
        <f>BASE_EQUIPOS!B882</f>
        <v/>
      </c>
      <c r="D882">
        <f>BASE_EQUIPOS!D882</f>
        <v/>
      </c>
      <c r="E882">
        <f>BASE_EQUIPOS!G882</f>
        <v/>
      </c>
      <c r="F882">
        <f>BASE_EQUIPOS!H882</f>
        <v/>
      </c>
      <c r="G882">
        <f>BASE_EQUIPOS!M882</f>
        <v/>
      </c>
      <c r="I882" t="inlineStr">
        <is>
          <t>345/001655</t>
        </is>
      </c>
    </row>
    <row r="883">
      <c r="A883">
        <f>TRIM(BASE_EQUIPOS!N883)</f>
        <v/>
      </c>
      <c r="B883">
        <f>BASE_EQUIPOS!A883</f>
        <v/>
      </c>
      <c r="C883">
        <f>BASE_EQUIPOS!B883</f>
        <v/>
      </c>
      <c r="D883">
        <f>BASE_EQUIPOS!D883</f>
        <v/>
      </c>
      <c r="E883">
        <f>BASE_EQUIPOS!G883</f>
        <v/>
      </c>
      <c r="F883">
        <f>BASE_EQUIPOS!H883</f>
        <v/>
      </c>
      <c r="G883">
        <f>BASE_EQUIPOS!M883</f>
        <v/>
      </c>
      <c r="I883" t="inlineStr">
        <is>
          <t>000702</t>
        </is>
      </c>
    </row>
    <row r="884">
      <c r="A884">
        <f>TRIM(BASE_EQUIPOS!N884)</f>
        <v/>
      </c>
      <c r="B884">
        <f>BASE_EQUIPOS!A884</f>
        <v/>
      </c>
      <c r="C884">
        <f>BASE_EQUIPOS!B884</f>
        <v/>
      </c>
      <c r="D884">
        <f>BASE_EQUIPOS!D884</f>
        <v/>
      </c>
      <c r="E884">
        <f>BASE_EQUIPOS!G884</f>
        <v/>
      </c>
      <c r="F884">
        <f>BASE_EQUIPOS!H884</f>
        <v/>
      </c>
      <c r="G884">
        <f>BASE_EQUIPOS!M884</f>
        <v/>
      </c>
      <c r="I884" t="inlineStr">
        <is>
          <t>000464</t>
        </is>
      </c>
    </row>
    <row r="885">
      <c r="A885">
        <f>TRIM(BASE_EQUIPOS!N885)</f>
        <v/>
      </c>
      <c r="B885">
        <f>BASE_EQUIPOS!A885</f>
        <v/>
      </c>
      <c r="C885">
        <f>BASE_EQUIPOS!B885</f>
        <v/>
      </c>
      <c r="D885">
        <f>BASE_EQUIPOS!D885</f>
        <v/>
      </c>
      <c r="E885">
        <f>BASE_EQUIPOS!G885</f>
        <v/>
      </c>
      <c r="F885">
        <f>BASE_EQUIPOS!H885</f>
        <v/>
      </c>
      <c r="G885">
        <f>BASE_EQUIPOS!M885</f>
        <v/>
      </c>
      <c r="I885" t="inlineStr">
        <is>
          <t>76/001940</t>
        </is>
      </c>
    </row>
    <row r="886">
      <c r="A886">
        <f>TRIM(BASE_EQUIPOS!N886)</f>
        <v/>
      </c>
      <c r="B886">
        <f>BASE_EQUIPOS!A886</f>
        <v/>
      </c>
      <c r="C886">
        <f>BASE_EQUIPOS!B886</f>
        <v/>
      </c>
      <c r="D886">
        <f>BASE_EQUIPOS!D886</f>
        <v/>
      </c>
      <c r="E886">
        <f>BASE_EQUIPOS!G886</f>
        <v/>
      </c>
      <c r="F886">
        <f>BASE_EQUIPOS!H886</f>
        <v/>
      </c>
      <c r="G886">
        <f>BASE_EQUIPOS!M886</f>
        <v/>
      </c>
      <c r="I886" t="inlineStr">
        <is>
          <t>52/000349</t>
        </is>
      </c>
    </row>
    <row r="887">
      <c r="A887">
        <f>TRIM(BASE_EQUIPOS!N887)</f>
        <v/>
      </c>
      <c r="B887">
        <f>BASE_EQUIPOS!A887</f>
        <v/>
      </c>
      <c r="C887">
        <f>BASE_EQUIPOS!B887</f>
        <v/>
      </c>
      <c r="D887">
        <f>BASE_EQUIPOS!D887</f>
        <v/>
      </c>
      <c r="E887">
        <f>BASE_EQUIPOS!G887</f>
        <v/>
      </c>
      <c r="F887">
        <f>BASE_EQUIPOS!H887</f>
        <v/>
      </c>
      <c r="G887">
        <f>BASE_EQUIPOS!M887</f>
        <v/>
      </c>
      <c r="I887" t="inlineStr">
        <is>
          <t>40/000194</t>
        </is>
      </c>
    </row>
    <row r="888">
      <c r="A888">
        <f>TRIM(BASE_EQUIPOS!N888)</f>
        <v/>
      </c>
      <c r="B888">
        <f>BASE_EQUIPOS!A888</f>
        <v/>
      </c>
      <c r="C888">
        <f>BASE_EQUIPOS!B888</f>
        <v/>
      </c>
      <c r="D888">
        <f>BASE_EQUIPOS!D888</f>
        <v/>
      </c>
      <c r="E888">
        <f>BASE_EQUIPOS!G888</f>
        <v/>
      </c>
      <c r="F888">
        <f>BASE_EQUIPOS!H888</f>
        <v/>
      </c>
      <c r="G888">
        <f>BASE_EQUIPOS!M888</f>
        <v/>
      </c>
      <c r="I888" t="inlineStr">
        <is>
          <t>01/001057</t>
        </is>
      </c>
    </row>
    <row r="889">
      <c r="A889">
        <f>TRIM(BASE_EQUIPOS!N889)</f>
        <v/>
      </c>
      <c r="B889">
        <f>BASE_EQUIPOS!A889</f>
        <v/>
      </c>
      <c r="C889">
        <f>BASE_EQUIPOS!B889</f>
        <v/>
      </c>
      <c r="D889">
        <f>BASE_EQUIPOS!D889</f>
        <v/>
      </c>
      <c r="E889">
        <f>BASE_EQUIPOS!G889</f>
        <v/>
      </c>
      <c r="F889">
        <f>BASE_EQUIPOS!H889</f>
        <v/>
      </c>
      <c r="G889">
        <f>BASE_EQUIPOS!M889</f>
        <v/>
      </c>
      <c r="I889" t="inlineStr">
        <is>
          <t>13/001952</t>
        </is>
      </c>
    </row>
    <row r="890">
      <c r="A890">
        <f>TRIM(BASE_EQUIPOS!N890)</f>
        <v/>
      </c>
      <c r="B890">
        <f>BASE_EQUIPOS!A890</f>
        <v/>
      </c>
      <c r="C890">
        <f>BASE_EQUIPOS!B890</f>
        <v/>
      </c>
      <c r="D890">
        <f>BASE_EQUIPOS!D890</f>
        <v/>
      </c>
      <c r="E890">
        <f>BASE_EQUIPOS!G890</f>
        <v/>
      </c>
      <c r="F890">
        <f>BASE_EQUIPOS!H890</f>
        <v/>
      </c>
      <c r="G890">
        <f>BASE_EQUIPOS!M890</f>
        <v/>
      </c>
      <c r="I890" t="inlineStr">
        <is>
          <t>104/005034</t>
        </is>
      </c>
    </row>
    <row r="891">
      <c r="A891">
        <f>TRIM(BASE_EQUIPOS!N891)</f>
        <v/>
      </c>
      <c r="B891">
        <f>BASE_EQUIPOS!A891</f>
        <v/>
      </c>
      <c r="C891">
        <f>BASE_EQUIPOS!B891</f>
        <v/>
      </c>
      <c r="D891">
        <f>BASE_EQUIPOS!D891</f>
        <v/>
      </c>
      <c r="E891">
        <f>BASE_EQUIPOS!G891</f>
        <v/>
      </c>
      <c r="F891">
        <f>BASE_EQUIPOS!H891</f>
        <v/>
      </c>
      <c r="G891">
        <f>BASE_EQUIPOS!M891</f>
        <v/>
      </c>
      <c r="I891" t="inlineStr">
        <is>
          <t>135/001737</t>
        </is>
      </c>
    </row>
    <row r="892">
      <c r="A892">
        <f>TRIM(BASE_EQUIPOS!N892)</f>
        <v/>
      </c>
      <c r="B892">
        <f>BASE_EQUIPOS!A892</f>
        <v/>
      </c>
      <c r="C892">
        <f>BASE_EQUIPOS!B892</f>
        <v/>
      </c>
      <c r="D892">
        <f>BASE_EQUIPOS!D892</f>
        <v/>
      </c>
      <c r="E892">
        <f>BASE_EQUIPOS!G892</f>
        <v/>
      </c>
      <c r="F892">
        <f>BASE_EQUIPOS!H892</f>
        <v/>
      </c>
      <c r="G892">
        <f>BASE_EQUIPOS!M892</f>
        <v/>
      </c>
      <c r="I892" t="inlineStr">
        <is>
          <t>84/001386</t>
        </is>
      </c>
    </row>
    <row r="893">
      <c r="A893">
        <f>TRIM(BASE_EQUIPOS!N893)</f>
        <v/>
      </c>
      <c r="B893">
        <f>BASE_EQUIPOS!A893</f>
        <v/>
      </c>
      <c r="C893">
        <f>BASE_EQUIPOS!B893</f>
        <v/>
      </c>
      <c r="D893">
        <f>BASE_EQUIPOS!D893</f>
        <v/>
      </c>
      <c r="E893">
        <f>BASE_EQUIPOS!G893</f>
        <v/>
      </c>
      <c r="F893">
        <f>BASE_EQUIPOS!H893</f>
        <v/>
      </c>
      <c r="G893">
        <f>BASE_EQUIPOS!M893</f>
        <v/>
      </c>
      <c r="I893" t="inlineStr">
        <is>
          <t>S/N/002831</t>
        </is>
      </c>
    </row>
    <row r="894">
      <c r="A894">
        <f>TRIM(BASE_EQUIPOS!N894)</f>
        <v/>
      </c>
      <c r="B894">
        <f>BASE_EQUIPOS!A894</f>
        <v/>
      </c>
      <c r="C894">
        <f>BASE_EQUIPOS!B894</f>
        <v/>
      </c>
      <c r="D894">
        <f>BASE_EQUIPOS!D894</f>
        <v/>
      </c>
      <c r="E894">
        <f>BASE_EQUIPOS!G894</f>
        <v/>
      </c>
      <c r="F894">
        <f>BASE_EQUIPOS!H894</f>
        <v/>
      </c>
      <c r="G894">
        <f>BASE_EQUIPOS!M894</f>
        <v/>
      </c>
      <c r="I894" t="inlineStr">
        <is>
          <t>69/000005</t>
        </is>
      </c>
    </row>
    <row r="895">
      <c r="A895">
        <f>TRIM(BASE_EQUIPOS!N895)</f>
        <v/>
      </c>
      <c r="B895">
        <f>BASE_EQUIPOS!A895</f>
        <v/>
      </c>
      <c r="C895">
        <f>BASE_EQUIPOS!B895</f>
        <v/>
      </c>
      <c r="D895">
        <f>BASE_EQUIPOS!D895</f>
        <v/>
      </c>
      <c r="E895">
        <f>BASE_EQUIPOS!G895</f>
        <v/>
      </c>
      <c r="F895">
        <f>BASE_EQUIPOS!H895</f>
        <v/>
      </c>
      <c r="G895">
        <f>BASE_EQUIPOS!M895</f>
        <v/>
      </c>
      <c r="I895" t="inlineStr">
        <is>
          <t>46/001272</t>
        </is>
      </c>
    </row>
    <row r="896">
      <c r="A896">
        <f>TRIM(BASE_EQUIPOS!N896)</f>
        <v/>
      </c>
      <c r="B896">
        <f>BASE_EQUIPOS!A896</f>
        <v/>
      </c>
      <c r="C896">
        <f>BASE_EQUIPOS!B896</f>
        <v/>
      </c>
      <c r="D896">
        <f>BASE_EQUIPOS!D896</f>
        <v/>
      </c>
      <c r="E896">
        <f>BASE_EQUIPOS!G896</f>
        <v/>
      </c>
      <c r="F896">
        <f>BASE_EQUIPOS!H896</f>
        <v/>
      </c>
      <c r="G896">
        <f>BASE_EQUIPOS!M896</f>
        <v/>
      </c>
      <c r="I896" t="inlineStr">
        <is>
          <t>313/000416</t>
        </is>
      </c>
    </row>
    <row r="897">
      <c r="A897">
        <f>TRIM(BASE_EQUIPOS!N897)</f>
        <v/>
      </c>
      <c r="B897">
        <f>BASE_EQUIPOS!A897</f>
        <v/>
      </c>
      <c r="C897">
        <f>BASE_EQUIPOS!B897</f>
        <v/>
      </c>
      <c r="D897">
        <f>BASE_EQUIPOS!D897</f>
        <v/>
      </c>
      <c r="E897">
        <f>BASE_EQUIPOS!G897</f>
        <v/>
      </c>
      <c r="F897">
        <f>BASE_EQUIPOS!H897</f>
        <v/>
      </c>
      <c r="G897">
        <f>BASE_EQUIPOS!M897</f>
        <v/>
      </c>
      <c r="I897" t="inlineStr">
        <is>
          <t>302/000070</t>
        </is>
      </c>
    </row>
    <row r="898">
      <c r="A898">
        <f>TRIM(BASE_EQUIPOS!N898)</f>
        <v/>
      </c>
      <c r="B898">
        <f>BASE_EQUIPOS!A898</f>
        <v/>
      </c>
      <c r="C898">
        <f>BASE_EQUIPOS!B898</f>
        <v/>
      </c>
      <c r="D898">
        <f>BASE_EQUIPOS!D898</f>
        <v/>
      </c>
      <c r="E898">
        <f>BASE_EQUIPOS!G898</f>
        <v/>
      </c>
      <c r="F898">
        <f>BASE_EQUIPOS!H898</f>
        <v/>
      </c>
      <c r="G898">
        <f>BASE_EQUIPOS!M898</f>
        <v/>
      </c>
      <c r="I898" t="inlineStr">
        <is>
          <t>01/867910</t>
        </is>
      </c>
    </row>
    <row r="899">
      <c r="A899">
        <f>TRIM(BASE_EQUIPOS!N899)</f>
        <v/>
      </c>
      <c r="B899">
        <f>BASE_EQUIPOS!A899</f>
        <v/>
      </c>
      <c r="C899">
        <f>BASE_EQUIPOS!B899</f>
        <v/>
      </c>
      <c r="D899">
        <f>BASE_EQUIPOS!D899</f>
        <v/>
      </c>
      <c r="E899">
        <f>BASE_EQUIPOS!G899</f>
        <v/>
      </c>
      <c r="F899">
        <f>BASE_EQUIPOS!H899</f>
        <v/>
      </c>
      <c r="G899">
        <f>BASE_EQUIPOS!M899</f>
        <v/>
      </c>
      <c r="I899" t="inlineStr">
        <is>
          <t>01/458952</t>
        </is>
      </c>
    </row>
    <row r="900">
      <c r="A900">
        <f>TRIM(BASE_EQUIPOS!N900)</f>
        <v/>
      </c>
      <c r="B900">
        <f>BASE_EQUIPOS!A900</f>
        <v/>
      </c>
      <c r="C900">
        <f>BASE_EQUIPOS!B900</f>
        <v/>
      </c>
      <c r="D900">
        <f>BASE_EQUIPOS!D900</f>
        <v/>
      </c>
      <c r="E900">
        <f>BASE_EQUIPOS!G900</f>
        <v/>
      </c>
      <c r="F900">
        <f>BASE_EQUIPOS!H900</f>
        <v/>
      </c>
      <c r="G900">
        <f>BASE_EQUIPOS!M900</f>
        <v/>
      </c>
      <c r="I900" t="inlineStr">
        <is>
          <t>01/921119</t>
        </is>
      </c>
    </row>
    <row r="901">
      <c r="A901">
        <f>TRIM(BASE_EQUIPOS!N901)</f>
        <v/>
      </c>
      <c r="B901">
        <f>BASE_EQUIPOS!A901</f>
        <v/>
      </c>
      <c r="C901">
        <f>BASE_EQUIPOS!B901</f>
        <v/>
      </c>
      <c r="D901">
        <f>BASE_EQUIPOS!D901</f>
        <v/>
      </c>
      <c r="E901">
        <f>BASE_EQUIPOS!G901</f>
        <v/>
      </c>
      <c r="F901">
        <f>BASE_EQUIPOS!H901</f>
        <v/>
      </c>
      <c r="G901">
        <f>BASE_EQUIPOS!M901</f>
        <v/>
      </c>
      <c r="I901" t="inlineStr">
        <is>
          <t>01/002617</t>
        </is>
      </c>
    </row>
    <row r="902">
      <c r="A902">
        <f>TRIM(BASE_EQUIPOS!N902)</f>
        <v/>
      </c>
      <c r="B902">
        <f>BASE_EQUIPOS!A902</f>
        <v/>
      </c>
      <c r="C902">
        <f>BASE_EQUIPOS!B902</f>
        <v/>
      </c>
      <c r="D902">
        <f>BASE_EQUIPOS!D902</f>
        <v/>
      </c>
      <c r="E902">
        <f>BASE_EQUIPOS!G902</f>
        <v/>
      </c>
      <c r="F902">
        <f>BASE_EQUIPOS!H902</f>
        <v/>
      </c>
      <c r="G902">
        <f>BASE_EQUIPOS!M902</f>
        <v/>
      </c>
      <c r="I902" t="inlineStr">
        <is>
          <t>01/000023</t>
        </is>
      </c>
    </row>
    <row r="903">
      <c r="A903">
        <f>TRIM(BASE_EQUIPOS!N903)</f>
        <v/>
      </c>
      <c r="B903">
        <f>BASE_EQUIPOS!A903</f>
        <v/>
      </c>
      <c r="C903">
        <f>BASE_EQUIPOS!B903</f>
        <v/>
      </c>
      <c r="D903">
        <f>BASE_EQUIPOS!D903</f>
        <v/>
      </c>
      <c r="E903">
        <f>BASE_EQUIPOS!G903</f>
        <v/>
      </c>
      <c r="F903">
        <f>BASE_EQUIPOS!H903</f>
        <v/>
      </c>
      <c r="G903">
        <f>BASE_EQUIPOS!M903</f>
        <v/>
      </c>
      <c r="I903" t="inlineStr">
        <is>
          <t>01/001006</t>
        </is>
      </c>
    </row>
    <row r="904">
      <c r="A904">
        <f>TRIM(BASE_EQUIPOS!N904)</f>
        <v/>
      </c>
      <c r="B904">
        <f>BASE_EQUIPOS!A904</f>
        <v/>
      </c>
      <c r="C904">
        <f>BASE_EQUIPOS!B904</f>
        <v/>
      </c>
      <c r="D904">
        <f>BASE_EQUIPOS!D904</f>
        <v/>
      </c>
      <c r="E904">
        <f>BASE_EQUIPOS!G904</f>
        <v/>
      </c>
      <c r="F904">
        <f>BASE_EQUIPOS!H904</f>
        <v/>
      </c>
      <c r="G904">
        <f>BASE_EQUIPOS!M904</f>
        <v/>
      </c>
      <c r="I904" t="inlineStr">
        <is>
          <t>01/019919</t>
        </is>
      </c>
    </row>
    <row r="905">
      <c r="A905">
        <f>TRIM(BASE_EQUIPOS!N905)</f>
        <v/>
      </c>
      <c r="B905">
        <f>BASE_EQUIPOS!A905</f>
        <v/>
      </c>
      <c r="C905">
        <f>BASE_EQUIPOS!B905</f>
        <v/>
      </c>
      <c r="D905">
        <f>BASE_EQUIPOS!D905</f>
        <v/>
      </c>
      <c r="E905">
        <f>BASE_EQUIPOS!G905</f>
        <v/>
      </c>
      <c r="F905">
        <f>BASE_EQUIPOS!H905</f>
        <v/>
      </c>
      <c r="G905">
        <f>BASE_EQUIPOS!M905</f>
        <v/>
      </c>
      <c r="I905" t="inlineStr">
        <is>
          <t>01/001077</t>
        </is>
      </c>
    </row>
    <row r="906">
      <c r="A906">
        <f>TRIM(BASE_EQUIPOS!N906)</f>
        <v/>
      </c>
      <c r="B906">
        <f>BASE_EQUIPOS!A906</f>
        <v/>
      </c>
      <c r="C906">
        <f>BASE_EQUIPOS!B906</f>
        <v/>
      </c>
      <c r="D906">
        <f>BASE_EQUIPOS!D906</f>
        <v/>
      </c>
      <c r="E906">
        <f>BASE_EQUIPOS!G906</f>
        <v/>
      </c>
      <c r="F906">
        <f>BASE_EQUIPOS!H906</f>
        <v/>
      </c>
      <c r="G906">
        <f>BASE_EQUIPOS!M906</f>
        <v/>
      </c>
      <c r="I906" t="inlineStr">
        <is>
          <t>01/000491</t>
        </is>
      </c>
    </row>
    <row r="907">
      <c r="A907">
        <f>TRIM(BASE_EQUIPOS!N907)</f>
        <v/>
      </c>
      <c r="B907">
        <f>BASE_EQUIPOS!A907</f>
        <v/>
      </c>
      <c r="C907">
        <f>BASE_EQUIPOS!B907</f>
        <v/>
      </c>
      <c r="D907">
        <f>BASE_EQUIPOS!D907</f>
        <v/>
      </c>
      <c r="E907">
        <f>BASE_EQUIPOS!G907</f>
        <v/>
      </c>
      <c r="F907">
        <f>BASE_EQUIPOS!H907</f>
        <v/>
      </c>
      <c r="G907">
        <f>BASE_EQUIPOS!M907</f>
        <v/>
      </c>
      <c r="I907" t="inlineStr">
        <is>
          <t>02/000342</t>
        </is>
      </c>
    </row>
    <row r="908">
      <c r="A908">
        <f>TRIM(BASE_EQUIPOS!N908)</f>
        <v/>
      </c>
      <c r="B908">
        <f>BASE_EQUIPOS!A908</f>
        <v/>
      </c>
      <c r="C908">
        <f>BASE_EQUIPOS!B908</f>
        <v/>
      </c>
      <c r="D908">
        <f>BASE_EQUIPOS!D908</f>
        <v/>
      </c>
      <c r="E908">
        <f>BASE_EQUIPOS!G908</f>
        <v/>
      </c>
      <c r="F908">
        <f>BASE_EQUIPOS!H908</f>
        <v/>
      </c>
      <c r="G908">
        <f>BASE_EQUIPOS!M908</f>
        <v/>
      </c>
      <c r="I908" t="inlineStr">
        <is>
          <t>03/001944</t>
        </is>
      </c>
    </row>
    <row r="909">
      <c r="A909">
        <f>TRIM(BASE_EQUIPOS!N909)</f>
        <v/>
      </c>
      <c r="B909">
        <f>BASE_EQUIPOS!A909</f>
        <v/>
      </c>
      <c r="C909">
        <f>BASE_EQUIPOS!B909</f>
        <v/>
      </c>
      <c r="D909">
        <f>BASE_EQUIPOS!D909</f>
        <v/>
      </c>
      <c r="E909">
        <f>BASE_EQUIPOS!G909</f>
        <v/>
      </c>
      <c r="F909">
        <f>BASE_EQUIPOS!H909</f>
        <v/>
      </c>
      <c r="G909">
        <f>BASE_EQUIPOS!M909</f>
        <v/>
      </c>
      <c r="I909" t="inlineStr">
        <is>
          <t>04/000617</t>
        </is>
      </c>
    </row>
    <row r="910">
      <c r="A910">
        <f>TRIM(BASE_EQUIPOS!N910)</f>
        <v/>
      </c>
      <c r="B910">
        <f>BASE_EQUIPOS!A910</f>
        <v/>
      </c>
      <c r="C910">
        <f>BASE_EQUIPOS!B910</f>
        <v/>
      </c>
      <c r="D910">
        <f>BASE_EQUIPOS!D910</f>
        <v/>
      </c>
      <c r="E910">
        <f>BASE_EQUIPOS!G910</f>
        <v/>
      </c>
      <c r="F910">
        <f>BASE_EQUIPOS!H910</f>
        <v/>
      </c>
      <c r="G910">
        <f>BASE_EQUIPOS!M910</f>
        <v/>
      </c>
      <c r="I910" t="inlineStr">
        <is>
          <t>01/000078</t>
        </is>
      </c>
    </row>
    <row r="911">
      <c r="A911">
        <f>TRIM(BASE_EQUIPOS!N911)</f>
        <v/>
      </c>
      <c r="B911">
        <f>BASE_EQUIPOS!A911</f>
        <v/>
      </c>
      <c r="C911">
        <f>BASE_EQUIPOS!B911</f>
        <v/>
      </c>
      <c r="D911">
        <f>BASE_EQUIPOS!D911</f>
        <v/>
      </c>
      <c r="E911">
        <f>BASE_EQUIPOS!G911</f>
        <v/>
      </c>
      <c r="F911">
        <f>BASE_EQUIPOS!H911</f>
        <v/>
      </c>
      <c r="G911">
        <f>BASE_EQUIPOS!M911</f>
        <v/>
      </c>
      <c r="I911" t="inlineStr">
        <is>
          <t>01/001543</t>
        </is>
      </c>
    </row>
    <row r="912">
      <c r="A912">
        <f>TRIM(BASE_EQUIPOS!N912)</f>
        <v/>
      </c>
      <c r="B912">
        <f>BASE_EQUIPOS!A912</f>
        <v/>
      </c>
      <c r="C912">
        <f>BASE_EQUIPOS!B912</f>
        <v/>
      </c>
      <c r="D912">
        <f>BASE_EQUIPOS!D912</f>
        <v/>
      </c>
      <c r="E912">
        <f>BASE_EQUIPOS!G912</f>
        <v/>
      </c>
      <c r="F912">
        <f>BASE_EQUIPOS!H912</f>
        <v/>
      </c>
      <c r="G912">
        <f>BASE_EQUIPOS!M912</f>
        <v/>
      </c>
      <c r="I912" t="inlineStr">
        <is>
          <t>31/0004518</t>
        </is>
      </c>
    </row>
    <row r="913">
      <c r="A913">
        <f>TRIM(BASE_EQUIPOS!N913)</f>
        <v/>
      </c>
      <c r="B913">
        <f>BASE_EQUIPOS!A913</f>
        <v/>
      </c>
      <c r="C913">
        <f>BASE_EQUIPOS!B913</f>
        <v/>
      </c>
      <c r="D913">
        <f>BASE_EQUIPOS!D913</f>
        <v/>
      </c>
      <c r="E913">
        <f>BASE_EQUIPOS!G913</f>
        <v/>
      </c>
      <c r="F913">
        <f>BASE_EQUIPOS!H913</f>
        <v/>
      </c>
      <c r="G913">
        <f>BASE_EQUIPOS!M913</f>
        <v/>
      </c>
      <c r="I913" t="inlineStr">
        <is>
          <t>S/N/AB-529933</t>
        </is>
      </c>
    </row>
    <row r="914">
      <c r="A914">
        <f>TRIM(BASE_EQUIPOS!N914)</f>
        <v/>
      </c>
      <c r="B914">
        <f>BASE_EQUIPOS!A914</f>
        <v/>
      </c>
      <c r="C914">
        <f>BASE_EQUIPOS!B914</f>
        <v/>
      </c>
      <c r="D914">
        <f>BASE_EQUIPOS!D914</f>
        <v/>
      </c>
      <c r="E914">
        <f>BASE_EQUIPOS!G914</f>
        <v/>
      </c>
      <c r="F914">
        <f>BASE_EQUIPOS!H914</f>
        <v/>
      </c>
      <c r="G914">
        <f>BASE_EQUIPOS!M914</f>
        <v/>
      </c>
      <c r="I914" t="inlineStr">
        <is>
          <t>01/262951</t>
        </is>
      </c>
    </row>
    <row r="915">
      <c r="A915">
        <f>TRIM(BASE_EQUIPOS!N915)</f>
        <v/>
      </c>
      <c r="B915">
        <f>BASE_EQUIPOS!A915</f>
        <v/>
      </c>
      <c r="C915">
        <f>BASE_EQUIPOS!B915</f>
        <v/>
      </c>
      <c r="D915">
        <f>BASE_EQUIPOS!D915</f>
        <v/>
      </c>
      <c r="E915">
        <f>BASE_EQUIPOS!G915</f>
        <v/>
      </c>
      <c r="F915">
        <f>BASE_EQUIPOS!H915</f>
        <v/>
      </c>
      <c r="G915">
        <f>BASE_EQUIPOS!M915</f>
        <v/>
      </c>
      <c r="I915" t="inlineStr">
        <is>
          <t>01/002023</t>
        </is>
      </c>
    </row>
    <row r="916">
      <c r="A916">
        <f>TRIM(BASE_EQUIPOS!N916)</f>
        <v/>
      </c>
      <c r="B916">
        <f>BASE_EQUIPOS!A916</f>
        <v/>
      </c>
      <c r="C916">
        <f>BASE_EQUIPOS!B916</f>
        <v/>
      </c>
      <c r="D916">
        <f>BASE_EQUIPOS!D916</f>
        <v/>
      </c>
      <c r="E916">
        <f>BASE_EQUIPOS!G916</f>
        <v/>
      </c>
      <c r="F916">
        <f>BASE_EQUIPOS!H916</f>
        <v/>
      </c>
      <c r="G916">
        <f>BASE_EQUIPOS!M916</f>
        <v/>
      </c>
      <c r="I916" t="inlineStr">
        <is>
          <t>02/009882</t>
        </is>
      </c>
    </row>
    <row r="917">
      <c r="A917">
        <f>TRIM(BASE_EQUIPOS!N917)</f>
        <v/>
      </c>
      <c r="B917">
        <f>BASE_EQUIPOS!A917</f>
        <v/>
      </c>
      <c r="C917">
        <f>BASE_EQUIPOS!B917</f>
        <v/>
      </c>
      <c r="D917">
        <f>BASE_EQUIPOS!D917</f>
        <v/>
      </c>
      <c r="E917">
        <f>BASE_EQUIPOS!G917</f>
        <v/>
      </c>
      <c r="F917">
        <f>BASE_EQUIPOS!H917</f>
        <v/>
      </c>
      <c r="G917">
        <f>BASE_EQUIPOS!M917</f>
        <v/>
      </c>
      <c r="I917" t="inlineStr">
        <is>
          <t>03/085218</t>
        </is>
      </c>
    </row>
    <row r="918">
      <c r="A918">
        <f>TRIM(BASE_EQUIPOS!N918)</f>
        <v/>
      </c>
      <c r="B918">
        <f>BASE_EQUIPOS!A918</f>
        <v/>
      </c>
      <c r="C918">
        <f>BASE_EQUIPOS!B918</f>
        <v/>
      </c>
      <c r="D918">
        <f>BASE_EQUIPOS!D918</f>
        <v/>
      </c>
      <c r="E918">
        <f>BASE_EQUIPOS!G918</f>
        <v/>
      </c>
      <c r="F918">
        <f>BASE_EQUIPOS!H918</f>
        <v/>
      </c>
      <c r="G918">
        <f>BASE_EQUIPOS!M918</f>
        <v/>
      </c>
      <c r="I918" t="inlineStr">
        <is>
          <t>02 / S/N</t>
        </is>
      </c>
    </row>
    <row r="919">
      <c r="A919">
        <f>TRIM(BASE_EQUIPOS!N919)</f>
        <v/>
      </c>
      <c r="B919">
        <f>BASE_EQUIPOS!A919</f>
        <v/>
      </c>
      <c r="C919">
        <f>BASE_EQUIPOS!B919</f>
        <v/>
      </c>
      <c r="D919">
        <f>BASE_EQUIPOS!D919</f>
        <v/>
      </c>
      <c r="E919">
        <f>BASE_EQUIPOS!G919</f>
        <v/>
      </c>
      <c r="F919">
        <f>BASE_EQUIPOS!H919</f>
        <v/>
      </c>
      <c r="G919">
        <f>BASE_EQUIPOS!M919</f>
        <v/>
      </c>
      <c r="I919" t="inlineStr">
        <is>
          <t>01/000990</t>
        </is>
      </c>
    </row>
    <row r="920">
      <c r="A920">
        <f>TRIM(BASE_EQUIPOS!N920)</f>
        <v/>
      </c>
      <c r="B920">
        <f>BASE_EQUIPOS!A920</f>
        <v/>
      </c>
      <c r="C920">
        <f>BASE_EQUIPOS!B920</f>
        <v/>
      </c>
      <c r="D920">
        <f>BASE_EQUIPOS!D920</f>
        <v/>
      </c>
      <c r="E920">
        <f>BASE_EQUIPOS!G920</f>
        <v/>
      </c>
      <c r="F920">
        <f>BASE_EQUIPOS!H920</f>
        <v/>
      </c>
      <c r="G920">
        <f>BASE_EQUIPOS!M920</f>
        <v/>
      </c>
      <c r="I920" t="inlineStr">
        <is>
          <t>01/002919</t>
        </is>
      </c>
    </row>
    <row r="921">
      <c r="A921">
        <f>TRIM(BASE_EQUIPOS!N921)</f>
        <v/>
      </c>
      <c r="B921">
        <f>BASE_EQUIPOS!A921</f>
        <v/>
      </c>
      <c r="C921">
        <f>BASE_EQUIPOS!B921</f>
        <v/>
      </c>
      <c r="D921">
        <f>BASE_EQUIPOS!D921</f>
        <v/>
      </c>
      <c r="E921">
        <f>BASE_EQUIPOS!G921</f>
        <v/>
      </c>
      <c r="F921">
        <f>BASE_EQUIPOS!H921</f>
        <v/>
      </c>
      <c r="G921">
        <f>BASE_EQUIPOS!M921</f>
        <v/>
      </c>
      <c r="I921" t="inlineStr">
        <is>
          <t>01/000340</t>
        </is>
      </c>
    </row>
    <row r="922">
      <c r="A922">
        <f>TRIM(BASE_EQUIPOS!N922)</f>
        <v/>
      </c>
      <c r="B922">
        <f>BASE_EQUIPOS!A922</f>
        <v/>
      </c>
      <c r="C922">
        <f>BASE_EQUIPOS!B922</f>
        <v/>
      </c>
      <c r="D922">
        <f>BASE_EQUIPOS!D922</f>
        <v/>
      </c>
      <c r="E922">
        <f>BASE_EQUIPOS!G922</f>
        <v/>
      </c>
      <c r="F922">
        <f>BASE_EQUIPOS!H922</f>
        <v/>
      </c>
      <c r="G922">
        <f>BASE_EQUIPOS!M922</f>
        <v/>
      </c>
      <c r="I922" t="inlineStr">
        <is>
          <t>01/003509</t>
        </is>
      </c>
    </row>
    <row r="923">
      <c r="A923">
        <f>TRIM(BASE_EQUIPOS!N923)</f>
        <v/>
      </c>
      <c r="B923">
        <f>BASE_EQUIPOS!A923</f>
        <v/>
      </c>
      <c r="C923">
        <f>BASE_EQUIPOS!B923</f>
        <v/>
      </c>
      <c r="D923">
        <f>BASE_EQUIPOS!D923</f>
        <v/>
      </c>
      <c r="E923">
        <f>BASE_EQUIPOS!G923</f>
        <v/>
      </c>
      <c r="F923">
        <f>BASE_EQUIPOS!H923</f>
        <v/>
      </c>
      <c r="G923">
        <f>BASE_EQUIPOS!M923</f>
        <v/>
      </c>
      <c r="I923" t="inlineStr">
        <is>
          <t>02/000495</t>
        </is>
      </c>
    </row>
    <row r="924">
      <c r="A924">
        <f>TRIM(BASE_EQUIPOS!N924)</f>
        <v/>
      </c>
      <c r="B924">
        <f>BASE_EQUIPOS!A924</f>
        <v/>
      </c>
      <c r="C924">
        <f>BASE_EQUIPOS!B924</f>
        <v/>
      </c>
      <c r="D924">
        <f>BASE_EQUIPOS!D924</f>
        <v/>
      </c>
      <c r="E924">
        <f>BASE_EQUIPOS!G924</f>
        <v/>
      </c>
      <c r="F924">
        <f>BASE_EQUIPOS!H924</f>
        <v/>
      </c>
      <c r="G924">
        <f>BASE_EQUIPOS!M924</f>
        <v/>
      </c>
      <c r="I924" t="inlineStr">
        <is>
          <t>02/001379</t>
        </is>
      </c>
    </row>
    <row r="925">
      <c r="A925">
        <f>TRIM(BASE_EQUIPOS!N925)</f>
        <v/>
      </c>
      <c r="B925">
        <f>BASE_EQUIPOS!A925</f>
        <v/>
      </c>
      <c r="C925">
        <f>BASE_EQUIPOS!B925</f>
        <v/>
      </c>
      <c r="D925">
        <f>BASE_EQUIPOS!D925</f>
        <v/>
      </c>
      <c r="E925">
        <f>BASE_EQUIPOS!G925</f>
        <v/>
      </c>
      <c r="F925">
        <f>BASE_EQUIPOS!H925</f>
        <v/>
      </c>
      <c r="G925">
        <f>BASE_EQUIPOS!M925</f>
        <v/>
      </c>
      <c r="I925" t="inlineStr">
        <is>
          <t>03/001344</t>
        </is>
      </c>
    </row>
    <row r="926">
      <c r="A926">
        <f>TRIM(BASE_EQUIPOS!N926)</f>
        <v/>
      </c>
      <c r="B926">
        <f>BASE_EQUIPOS!A926</f>
        <v/>
      </c>
      <c r="C926">
        <f>BASE_EQUIPOS!B926</f>
        <v/>
      </c>
      <c r="D926">
        <f>BASE_EQUIPOS!D926</f>
        <v/>
      </c>
      <c r="E926">
        <f>BASE_EQUIPOS!G926</f>
        <v/>
      </c>
      <c r="F926">
        <f>BASE_EQUIPOS!H926</f>
        <v/>
      </c>
      <c r="G926">
        <f>BASE_EQUIPOS!M926</f>
        <v/>
      </c>
      <c r="I926" t="inlineStr">
        <is>
          <t>04/002674</t>
        </is>
      </c>
    </row>
    <row r="927">
      <c r="A927">
        <f>TRIM(BASE_EQUIPOS!N927)</f>
        <v/>
      </c>
      <c r="B927">
        <f>BASE_EQUIPOS!A927</f>
        <v/>
      </c>
      <c r="C927">
        <f>BASE_EQUIPOS!B927</f>
        <v/>
      </c>
      <c r="D927">
        <f>BASE_EQUIPOS!D927</f>
        <v/>
      </c>
      <c r="E927">
        <f>BASE_EQUIPOS!G927</f>
        <v/>
      </c>
      <c r="F927">
        <f>BASE_EQUIPOS!H927</f>
        <v/>
      </c>
      <c r="G927">
        <f>BASE_EQUIPOS!M927</f>
        <v/>
      </c>
      <c r="I927" t="inlineStr">
        <is>
          <t>05/001365</t>
        </is>
      </c>
    </row>
    <row r="928">
      <c r="A928">
        <f>TRIM(BASE_EQUIPOS!N928)</f>
        <v/>
      </c>
      <c r="B928">
        <f>BASE_EQUIPOS!A928</f>
        <v/>
      </c>
      <c r="C928">
        <f>BASE_EQUIPOS!B928</f>
        <v/>
      </c>
      <c r="D928">
        <f>BASE_EQUIPOS!D928</f>
        <v/>
      </c>
      <c r="E928">
        <f>BASE_EQUIPOS!G928</f>
        <v/>
      </c>
      <c r="F928">
        <f>BASE_EQUIPOS!H928</f>
        <v/>
      </c>
      <c r="G928">
        <f>BASE_EQUIPOS!M928</f>
        <v/>
      </c>
      <c r="I928" t="inlineStr">
        <is>
          <t>06/001345</t>
        </is>
      </c>
    </row>
    <row r="929">
      <c r="A929">
        <f>TRIM(BASE_EQUIPOS!N929)</f>
        <v/>
      </c>
      <c r="B929">
        <f>BASE_EQUIPOS!A929</f>
        <v/>
      </c>
      <c r="C929">
        <f>BASE_EQUIPOS!B929</f>
        <v/>
      </c>
      <c r="D929">
        <f>BASE_EQUIPOS!D929</f>
        <v/>
      </c>
      <c r="E929">
        <f>BASE_EQUIPOS!G929</f>
        <v/>
      </c>
      <c r="F929">
        <f>BASE_EQUIPOS!H929</f>
        <v/>
      </c>
      <c r="G929">
        <f>BASE_EQUIPOS!M929</f>
        <v/>
      </c>
      <c r="I929" t="inlineStr">
        <is>
          <t>01/000009</t>
        </is>
      </c>
    </row>
    <row r="930">
      <c r="A930">
        <f>TRIM(BASE_EQUIPOS!N930)</f>
        <v/>
      </c>
      <c r="B930">
        <f>BASE_EQUIPOS!A930</f>
        <v/>
      </c>
      <c r="C930">
        <f>BASE_EQUIPOS!B930</f>
        <v/>
      </c>
      <c r="D930">
        <f>BASE_EQUIPOS!D930</f>
        <v/>
      </c>
      <c r="E930">
        <f>BASE_EQUIPOS!G930</f>
        <v/>
      </c>
      <c r="F930">
        <f>BASE_EQUIPOS!H930</f>
        <v/>
      </c>
      <c r="G930">
        <f>BASE_EQUIPOS!M930</f>
        <v/>
      </c>
      <c r="I930" t="inlineStr">
        <is>
          <t>01/007181</t>
        </is>
      </c>
    </row>
    <row r="931">
      <c r="A931">
        <f>TRIM(BASE_EQUIPOS!N931)</f>
        <v/>
      </c>
      <c r="B931">
        <f>BASE_EQUIPOS!A931</f>
        <v/>
      </c>
      <c r="C931">
        <f>BASE_EQUIPOS!B931</f>
        <v/>
      </c>
      <c r="D931">
        <f>BASE_EQUIPOS!D931</f>
        <v/>
      </c>
      <c r="E931">
        <f>BASE_EQUIPOS!G931</f>
        <v/>
      </c>
      <c r="F931">
        <f>BASE_EQUIPOS!H931</f>
        <v/>
      </c>
      <c r="G931">
        <f>BASE_EQUIPOS!M931</f>
        <v/>
      </c>
      <c r="I931" t="inlineStr">
        <is>
          <t>02/006937</t>
        </is>
      </c>
    </row>
    <row r="932">
      <c r="A932">
        <f>TRIM(BASE_EQUIPOS!N932)</f>
        <v/>
      </c>
      <c r="B932">
        <f>BASE_EQUIPOS!A932</f>
        <v/>
      </c>
      <c r="C932">
        <f>BASE_EQUIPOS!B932</f>
        <v/>
      </c>
      <c r="D932">
        <f>BASE_EQUIPOS!D932</f>
        <v/>
      </c>
      <c r="E932">
        <f>BASE_EQUIPOS!G932</f>
        <v/>
      </c>
      <c r="F932">
        <f>BASE_EQUIPOS!H932</f>
        <v/>
      </c>
      <c r="G932">
        <f>BASE_EQUIPOS!M932</f>
        <v/>
      </c>
      <c r="I932" t="inlineStr">
        <is>
          <t>01/001000</t>
        </is>
      </c>
    </row>
    <row r="933">
      <c r="A933">
        <f>TRIM(BASE_EQUIPOS!N933)</f>
        <v/>
      </c>
      <c r="B933">
        <f>BASE_EQUIPOS!A933</f>
        <v/>
      </c>
      <c r="C933">
        <f>BASE_EQUIPOS!B933</f>
        <v/>
      </c>
      <c r="D933">
        <f>BASE_EQUIPOS!D933</f>
        <v/>
      </c>
      <c r="E933">
        <f>BASE_EQUIPOS!G933</f>
        <v/>
      </c>
      <c r="F933">
        <f>BASE_EQUIPOS!H933</f>
        <v/>
      </c>
      <c r="G933">
        <f>BASE_EQUIPOS!M933</f>
        <v/>
      </c>
      <c r="I933" t="inlineStr">
        <is>
          <t>83/000672</t>
        </is>
      </c>
    </row>
    <row r="934">
      <c r="A934">
        <f>TRIM(BASE_EQUIPOS!N934)</f>
        <v/>
      </c>
      <c r="B934">
        <f>BASE_EQUIPOS!A934</f>
        <v/>
      </c>
      <c r="C934">
        <f>BASE_EQUIPOS!B934</f>
        <v/>
      </c>
      <c r="D934">
        <f>BASE_EQUIPOS!D934</f>
        <v/>
      </c>
      <c r="E934">
        <f>BASE_EQUIPOS!G934</f>
        <v/>
      </c>
      <c r="F934">
        <f>BASE_EQUIPOS!H934</f>
        <v/>
      </c>
      <c r="G934">
        <f>BASE_EQUIPOS!M934</f>
        <v/>
      </c>
      <c r="I934" t="inlineStr">
        <is>
          <t>66/001780</t>
        </is>
      </c>
    </row>
    <row r="935">
      <c r="A935">
        <f>TRIM(BASE_EQUIPOS!N935)</f>
        <v/>
      </c>
      <c r="B935">
        <f>BASE_EQUIPOS!A935</f>
        <v/>
      </c>
      <c r="C935">
        <f>BASE_EQUIPOS!B935</f>
        <v/>
      </c>
      <c r="D935">
        <f>BASE_EQUIPOS!D935</f>
        <v/>
      </c>
      <c r="E935">
        <f>BASE_EQUIPOS!G935</f>
        <v/>
      </c>
      <c r="F935">
        <f>BASE_EQUIPOS!H935</f>
        <v/>
      </c>
      <c r="G935">
        <f>BASE_EQUIPOS!M935</f>
        <v/>
      </c>
      <c r="I935" t="inlineStr">
        <is>
          <t>122/000008</t>
        </is>
      </c>
    </row>
    <row r="936">
      <c r="A936">
        <f>TRIM(BASE_EQUIPOS!N936)</f>
        <v/>
      </c>
      <c r="B936">
        <f>BASE_EQUIPOS!A936</f>
        <v/>
      </c>
      <c r="C936">
        <f>BASE_EQUIPOS!B936</f>
        <v/>
      </c>
      <c r="D936">
        <f>BASE_EQUIPOS!D936</f>
        <v/>
      </c>
      <c r="E936">
        <f>BASE_EQUIPOS!G936</f>
        <v/>
      </c>
      <c r="F936">
        <f>BASE_EQUIPOS!H936</f>
        <v/>
      </c>
      <c r="G936">
        <f>BASE_EQUIPOS!M936</f>
        <v/>
      </c>
      <c r="I936" t="inlineStr">
        <is>
          <t>S/N/001415</t>
        </is>
      </c>
    </row>
    <row r="937">
      <c r="A937">
        <f>TRIM(BASE_EQUIPOS!N937)</f>
        <v/>
      </c>
      <c r="B937">
        <f>BASE_EQUIPOS!A937</f>
        <v/>
      </c>
      <c r="C937">
        <f>BASE_EQUIPOS!B937</f>
        <v/>
      </c>
      <c r="D937">
        <f>BASE_EQUIPOS!D937</f>
        <v/>
      </c>
      <c r="E937">
        <f>BASE_EQUIPOS!G937</f>
        <v/>
      </c>
      <c r="F937">
        <f>BASE_EQUIPOS!H937</f>
        <v/>
      </c>
      <c r="G937">
        <f>BASE_EQUIPOS!M937</f>
        <v/>
      </c>
      <c r="I937" t="inlineStr">
        <is>
          <t>300/000448</t>
        </is>
      </c>
    </row>
    <row r="938">
      <c r="A938">
        <f>TRIM(BASE_EQUIPOS!N938)</f>
        <v/>
      </c>
      <c r="B938">
        <f>BASE_EQUIPOS!A938</f>
        <v/>
      </c>
      <c r="C938">
        <f>BASE_EQUIPOS!B938</f>
        <v/>
      </c>
      <c r="D938">
        <f>BASE_EQUIPOS!D938</f>
        <v/>
      </c>
      <c r="E938">
        <f>BASE_EQUIPOS!G938</f>
        <v/>
      </c>
      <c r="F938">
        <f>BASE_EQUIPOS!H938</f>
        <v/>
      </c>
      <c r="G938">
        <f>BASE_EQUIPOS!M938</f>
        <v/>
      </c>
      <c r="I938" t="inlineStr">
        <is>
          <t>S/N/001425</t>
        </is>
      </c>
    </row>
    <row r="939">
      <c r="A939">
        <f>TRIM(BASE_EQUIPOS!N939)</f>
        <v/>
      </c>
      <c r="B939">
        <f>BASE_EQUIPOS!A939</f>
        <v/>
      </c>
      <c r="C939">
        <f>BASE_EQUIPOS!B939</f>
        <v/>
      </c>
      <c r="D939">
        <f>BASE_EQUIPOS!D939</f>
        <v/>
      </c>
      <c r="E939">
        <f>BASE_EQUIPOS!G939</f>
        <v/>
      </c>
      <c r="F939">
        <f>BASE_EQUIPOS!H939</f>
        <v/>
      </c>
      <c r="G939">
        <f>BASE_EQUIPOS!M939</f>
        <v/>
      </c>
      <c r="I939" t="inlineStr">
        <is>
          <t>154/002014</t>
        </is>
      </c>
    </row>
    <row r="940">
      <c r="A940">
        <f>TRIM(BASE_EQUIPOS!N940)</f>
        <v/>
      </c>
      <c r="B940">
        <f>BASE_EQUIPOS!A940</f>
        <v/>
      </c>
      <c r="C940">
        <f>BASE_EQUIPOS!B940</f>
        <v/>
      </c>
      <c r="D940">
        <f>BASE_EQUIPOS!D940</f>
        <v/>
      </c>
      <c r="E940">
        <f>BASE_EQUIPOS!G940</f>
        <v/>
      </c>
      <c r="F940">
        <f>BASE_EQUIPOS!H940</f>
        <v/>
      </c>
      <c r="G940">
        <f>BASE_EQUIPOS!M940</f>
        <v/>
      </c>
      <c r="I940" t="inlineStr">
        <is>
          <t>S/N/004016</t>
        </is>
      </c>
    </row>
    <row r="941">
      <c r="A941">
        <f>TRIM(BASE_EQUIPOS!N941)</f>
        <v/>
      </c>
      <c r="B941">
        <f>BASE_EQUIPOS!A941</f>
        <v/>
      </c>
      <c r="C941">
        <f>BASE_EQUIPOS!B941</f>
        <v/>
      </c>
      <c r="D941">
        <f>BASE_EQUIPOS!D941</f>
        <v/>
      </c>
      <c r="E941">
        <f>BASE_EQUIPOS!G941</f>
        <v/>
      </c>
      <c r="F941">
        <f>BASE_EQUIPOS!H941</f>
        <v/>
      </c>
      <c r="G941">
        <f>BASE_EQUIPOS!M941</f>
        <v/>
      </c>
      <c r="I941" t="inlineStr">
        <is>
          <t>05/297774</t>
        </is>
      </c>
    </row>
    <row r="942">
      <c r="A942">
        <f>TRIM(BASE_EQUIPOS!N942)</f>
        <v/>
      </c>
      <c r="B942">
        <f>BASE_EQUIPOS!A942</f>
        <v/>
      </c>
      <c r="C942">
        <f>BASE_EQUIPOS!B942</f>
        <v/>
      </c>
      <c r="D942">
        <f>BASE_EQUIPOS!D942</f>
        <v/>
      </c>
      <c r="E942">
        <f>BASE_EQUIPOS!G942</f>
        <v/>
      </c>
      <c r="F942">
        <f>BASE_EQUIPOS!H942</f>
        <v/>
      </c>
      <c r="G942">
        <f>BASE_EQUIPOS!M942</f>
        <v/>
      </c>
      <c r="I942" t="inlineStr">
        <is>
          <t>06/000317</t>
        </is>
      </c>
    </row>
    <row r="943">
      <c r="A943">
        <f>TRIM(BASE_EQUIPOS!N943)</f>
        <v/>
      </c>
      <c r="B943">
        <f>BASE_EQUIPOS!A943</f>
        <v/>
      </c>
      <c r="C943">
        <f>BASE_EQUIPOS!B943</f>
        <v/>
      </c>
      <c r="D943">
        <f>BASE_EQUIPOS!D943</f>
        <v/>
      </c>
      <c r="E943">
        <f>BASE_EQUIPOS!G943</f>
        <v/>
      </c>
      <c r="F943">
        <f>BASE_EQUIPOS!H943</f>
        <v/>
      </c>
      <c r="G943">
        <f>BASE_EQUIPOS!M943</f>
        <v/>
      </c>
      <c r="I943" t="inlineStr">
        <is>
          <t>01/000025</t>
        </is>
      </c>
    </row>
    <row r="944">
      <c r="A944">
        <f>TRIM(BASE_EQUIPOS!N944)</f>
        <v/>
      </c>
      <c r="B944">
        <f>BASE_EQUIPOS!A944</f>
        <v/>
      </c>
      <c r="C944">
        <f>BASE_EQUIPOS!B944</f>
        <v/>
      </c>
      <c r="D944">
        <f>BASE_EQUIPOS!D944</f>
        <v/>
      </c>
      <c r="E944">
        <f>BASE_EQUIPOS!G944</f>
        <v/>
      </c>
      <c r="F944">
        <f>BASE_EQUIPOS!H944</f>
        <v/>
      </c>
      <c r="G944">
        <f>BASE_EQUIPOS!M944</f>
        <v/>
      </c>
      <c r="I944" t="inlineStr">
        <is>
          <t>28/001080</t>
        </is>
      </c>
    </row>
    <row r="945">
      <c r="A945">
        <f>TRIM(BASE_EQUIPOS!N945)</f>
        <v/>
      </c>
      <c r="B945">
        <f>BASE_EQUIPOS!A945</f>
        <v/>
      </c>
      <c r="C945">
        <f>BASE_EQUIPOS!B945</f>
        <v/>
      </c>
      <c r="D945">
        <f>BASE_EQUIPOS!D945</f>
        <v/>
      </c>
      <c r="E945">
        <f>BASE_EQUIPOS!G945</f>
        <v/>
      </c>
      <c r="F945">
        <f>BASE_EQUIPOS!H945</f>
        <v/>
      </c>
      <c r="G945">
        <f>BASE_EQUIPOS!M945</f>
        <v/>
      </c>
      <c r="I945" t="inlineStr">
        <is>
          <t>31/000395</t>
        </is>
      </c>
    </row>
    <row r="946">
      <c r="A946">
        <f>TRIM(BASE_EQUIPOS!N946)</f>
        <v/>
      </c>
      <c r="B946">
        <f>BASE_EQUIPOS!A946</f>
        <v/>
      </c>
      <c r="C946">
        <f>BASE_EQUIPOS!B946</f>
        <v/>
      </c>
      <c r="D946">
        <f>BASE_EQUIPOS!D946</f>
        <v/>
      </c>
      <c r="E946">
        <f>BASE_EQUIPOS!G946</f>
        <v/>
      </c>
      <c r="F946">
        <f>BASE_EQUIPOS!H946</f>
        <v/>
      </c>
      <c r="G946">
        <f>BASE_EQUIPOS!M946</f>
        <v/>
      </c>
      <c r="I946" t="inlineStr">
        <is>
          <t>07/003056</t>
        </is>
      </c>
    </row>
    <row r="947">
      <c r="A947">
        <f>TRIM(BASE_EQUIPOS!N947)</f>
        <v/>
      </c>
      <c r="B947">
        <f>BASE_EQUIPOS!A947</f>
        <v/>
      </c>
      <c r="C947">
        <f>BASE_EQUIPOS!B947</f>
        <v/>
      </c>
      <c r="D947">
        <f>BASE_EQUIPOS!D947</f>
        <v/>
      </c>
      <c r="E947">
        <f>BASE_EQUIPOS!G947</f>
        <v/>
      </c>
      <c r="F947">
        <f>BASE_EQUIPOS!H947</f>
        <v/>
      </c>
      <c r="G947">
        <f>BASE_EQUIPOS!M947</f>
        <v/>
      </c>
      <c r="I947" t="inlineStr">
        <is>
          <t>01/004897</t>
        </is>
      </c>
    </row>
    <row r="948">
      <c r="A948">
        <f>TRIM(BASE_EQUIPOS!N948)</f>
        <v/>
      </c>
      <c r="B948">
        <f>BASE_EQUIPOS!A948</f>
        <v/>
      </c>
      <c r="C948">
        <f>BASE_EQUIPOS!B948</f>
        <v/>
      </c>
      <c r="D948">
        <f>BASE_EQUIPOS!D948</f>
        <v/>
      </c>
      <c r="E948">
        <f>BASE_EQUIPOS!G948</f>
        <v/>
      </c>
      <c r="F948">
        <f>BASE_EQUIPOS!H948</f>
        <v/>
      </c>
      <c r="G948">
        <f>BASE_EQUIPOS!M948</f>
        <v/>
      </c>
      <c r="I948" t="inlineStr">
        <is>
          <t>02/001894</t>
        </is>
      </c>
    </row>
    <row r="949">
      <c r="A949">
        <f>TRIM(BASE_EQUIPOS!N949)</f>
        <v/>
      </c>
      <c r="B949">
        <f>BASE_EQUIPOS!A949</f>
        <v/>
      </c>
      <c r="C949">
        <f>BASE_EQUIPOS!B949</f>
        <v/>
      </c>
      <c r="D949">
        <f>BASE_EQUIPOS!D949</f>
        <v/>
      </c>
      <c r="E949">
        <f>BASE_EQUIPOS!G949</f>
        <v/>
      </c>
      <c r="F949">
        <f>BASE_EQUIPOS!H949</f>
        <v/>
      </c>
      <c r="G949">
        <f>BASE_EQUIPOS!M949</f>
        <v/>
      </c>
      <c r="I949" t="inlineStr">
        <is>
          <t>03/000026</t>
        </is>
      </c>
    </row>
    <row r="950">
      <c r="A950">
        <f>TRIM(BASE_EQUIPOS!N950)</f>
        <v/>
      </c>
      <c r="B950">
        <f>BASE_EQUIPOS!A950</f>
        <v/>
      </c>
      <c r="C950">
        <f>BASE_EQUIPOS!B950</f>
        <v/>
      </c>
      <c r="D950">
        <f>BASE_EQUIPOS!D950</f>
        <v/>
      </c>
      <c r="E950">
        <f>BASE_EQUIPOS!G950</f>
        <v/>
      </c>
      <c r="F950">
        <f>BASE_EQUIPOS!H950</f>
        <v/>
      </c>
      <c r="G950">
        <f>BASE_EQUIPOS!M950</f>
        <v/>
      </c>
      <c r="I950" t="inlineStr">
        <is>
          <t>04/000518</t>
        </is>
      </c>
    </row>
    <row r="951">
      <c r="A951">
        <f>TRIM(BASE_EQUIPOS!N951)</f>
        <v/>
      </c>
      <c r="B951">
        <f>BASE_EQUIPOS!A951</f>
        <v/>
      </c>
      <c r="C951">
        <f>BASE_EQUIPOS!B951</f>
        <v/>
      </c>
      <c r="D951">
        <f>BASE_EQUIPOS!D951</f>
        <v/>
      </c>
      <c r="E951">
        <f>BASE_EQUIPOS!G951</f>
        <v/>
      </c>
      <c r="F951">
        <f>BASE_EQUIPOS!H951</f>
        <v/>
      </c>
      <c r="G951">
        <f>BASE_EQUIPOS!M951</f>
        <v/>
      </c>
      <c r="I951" t="inlineStr">
        <is>
          <t>05/004950</t>
        </is>
      </c>
    </row>
    <row r="952">
      <c r="A952">
        <f>TRIM(BASE_EQUIPOS!N952)</f>
        <v/>
      </c>
      <c r="B952">
        <f>BASE_EQUIPOS!A952</f>
        <v/>
      </c>
      <c r="C952">
        <f>BASE_EQUIPOS!B952</f>
        <v/>
      </c>
      <c r="D952">
        <f>BASE_EQUIPOS!D952</f>
        <v/>
      </c>
      <c r="E952">
        <f>BASE_EQUIPOS!G952</f>
        <v/>
      </c>
      <c r="F952">
        <f>BASE_EQUIPOS!H952</f>
        <v/>
      </c>
      <c r="G952">
        <f>BASE_EQUIPOS!M952</f>
        <v/>
      </c>
      <c r="I952" t="inlineStr">
        <is>
          <t>06/004902</t>
        </is>
      </c>
    </row>
    <row r="953">
      <c r="A953">
        <f>TRIM(BASE_EQUIPOS!N953)</f>
        <v/>
      </c>
      <c r="B953">
        <f>BASE_EQUIPOS!A953</f>
        <v/>
      </c>
      <c r="C953">
        <f>BASE_EQUIPOS!B953</f>
        <v/>
      </c>
      <c r="D953">
        <f>BASE_EQUIPOS!D953</f>
        <v/>
      </c>
      <c r="E953">
        <f>BASE_EQUIPOS!G953</f>
        <v/>
      </c>
      <c r="F953">
        <f>BASE_EQUIPOS!H953</f>
        <v/>
      </c>
      <c r="G953">
        <f>BASE_EQUIPOS!M953</f>
        <v/>
      </c>
      <c r="I953" t="inlineStr">
        <is>
          <t>07/002531</t>
        </is>
      </c>
    </row>
    <row r="954">
      <c r="A954">
        <f>TRIM(BASE_EQUIPOS!N954)</f>
        <v/>
      </c>
      <c r="B954">
        <f>BASE_EQUIPOS!A954</f>
        <v/>
      </c>
      <c r="C954">
        <f>BASE_EQUIPOS!B954</f>
        <v/>
      </c>
      <c r="D954">
        <f>BASE_EQUIPOS!D954</f>
        <v/>
      </c>
      <c r="E954">
        <f>BASE_EQUIPOS!G954</f>
        <v/>
      </c>
      <c r="F954">
        <f>BASE_EQUIPOS!H954</f>
        <v/>
      </c>
      <c r="G954">
        <f>BASE_EQUIPOS!M954</f>
        <v/>
      </c>
      <c r="I954" t="inlineStr">
        <is>
          <t>08/000551</t>
        </is>
      </c>
    </row>
    <row r="955">
      <c r="A955">
        <f>TRIM(BASE_EQUIPOS!N955)</f>
        <v/>
      </c>
      <c r="B955">
        <f>BASE_EQUIPOS!A955</f>
        <v/>
      </c>
      <c r="C955">
        <f>BASE_EQUIPOS!B955</f>
        <v/>
      </c>
      <c r="D955">
        <f>BASE_EQUIPOS!D955</f>
        <v/>
      </c>
      <c r="E955">
        <f>BASE_EQUIPOS!G955</f>
        <v/>
      </c>
      <c r="F955">
        <f>BASE_EQUIPOS!H955</f>
        <v/>
      </c>
      <c r="G955">
        <f>BASE_EQUIPOS!M955</f>
        <v/>
      </c>
      <c r="I955" t="inlineStr">
        <is>
          <t>01/007196</t>
        </is>
      </c>
    </row>
    <row r="956">
      <c r="A956">
        <f>TRIM(BASE_EQUIPOS!N956)</f>
        <v/>
      </c>
      <c r="B956">
        <f>BASE_EQUIPOS!A956</f>
        <v/>
      </c>
      <c r="C956">
        <f>BASE_EQUIPOS!B956</f>
        <v/>
      </c>
      <c r="D956">
        <f>BASE_EQUIPOS!D956</f>
        <v/>
      </c>
      <c r="E956">
        <f>BASE_EQUIPOS!G956</f>
        <v/>
      </c>
      <c r="F956">
        <f>BASE_EQUIPOS!H956</f>
        <v/>
      </c>
      <c r="G956">
        <f>BASE_EQUIPOS!M956</f>
        <v/>
      </c>
      <c r="I956" t="inlineStr">
        <is>
          <t>009905</t>
        </is>
      </c>
    </row>
    <row r="957">
      <c r="A957">
        <f>TRIM(BASE_EQUIPOS!N957)</f>
        <v/>
      </c>
      <c r="B957">
        <f>BASE_EQUIPOS!A957</f>
        <v/>
      </c>
      <c r="C957">
        <f>BASE_EQUIPOS!B957</f>
        <v/>
      </c>
      <c r="D957">
        <f>BASE_EQUIPOS!D957</f>
        <v/>
      </c>
      <c r="E957">
        <f>BASE_EQUIPOS!G957</f>
        <v/>
      </c>
      <c r="F957">
        <f>BASE_EQUIPOS!H957</f>
        <v/>
      </c>
      <c r="G957">
        <f>BASE_EQUIPOS!M957</f>
        <v/>
      </c>
      <c r="I957" t="inlineStr">
        <is>
          <t>09/000491</t>
        </is>
      </c>
    </row>
    <row r="958">
      <c r="A958">
        <f>TRIM(BASE_EQUIPOS!N958)</f>
        <v/>
      </c>
      <c r="B958">
        <f>BASE_EQUIPOS!A958</f>
        <v/>
      </c>
      <c r="C958">
        <f>BASE_EQUIPOS!B958</f>
        <v/>
      </c>
      <c r="D958">
        <f>BASE_EQUIPOS!D958</f>
        <v/>
      </c>
      <c r="E958">
        <f>BASE_EQUIPOS!G958</f>
        <v/>
      </c>
      <c r="F958">
        <f>BASE_EQUIPOS!H958</f>
        <v/>
      </c>
      <c r="G958">
        <f>BASE_EQUIPOS!M958</f>
        <v/>
      </c>
      <c r="I958" t="inlineStr">
        <is>
          <t>10/000183</t>
        </is>
      </c>
    </row>
    <row r="959">
      <c r="A959">
        <f>TRIM(BASE_EQUIPOS!N959)</f>
        <v/>
      </c>
      <c r="B959">
        <f>BASE_EQUIPOS!A959</f>
        <v/>
      </c>
      <c r="C959">
        <f>BASE_EQUIPOS!B959</f>
        <v/>
      </c>
      <c r="D959">
        <f>BASE_EQUIPOS!D959</f>
        <v/>
      </c>
      <c r="E959">
        <f>BASE_EQUIPOS!G959</f>
        <v/>
      </c>
      <c r="F959">
        <f>BASE_EQUIPOS!H959</f>
        <v/>
      </c>
      <c r="G959">
        <f>BASE_EQUIPOS!M959</f>
        <v/>
      </c>
      <c r="I959" t="inlineStr">
        <is>
          <t>01/ 208297</t>
        </is>
      </c>
    </row>
    <row r="960">
      <c r="A960">
        <f>TRIM(BASE_EQUIPOS!N960)</f>
        <v/>
      </c>
      <c r="B960">
        <f>BASE_EQUIPOS!A960</f>
        <v/>
      </c>
      <c r="C960">
        <f>BASE_EQUIPOS!B960</f>
        <v/>
      </c>
      <c r="D960">
        <f>BASE_EQUIPOS!D960</f>
        <v/>
      </c>
      <c r="E960">
        <f>BASE_EQUIPOS!G960</f>
        <v/>
      </c>
      <c r="F960">
        <f>BASE_EQUIPOS!H960</f>
        <v/>
      </c>
      <c r="G960">
        <f>BASE_EQUIPOS!M960</f>
        <v/>
      </c>
      <c r="I960" t="inlineStr">
        <is>
          <t>01/ 053101</t>
        </is>
      </c>
    </row>
    <row r="961">
      <c r="A961">
        <f>TRIM(BASE_EQUIPOS!N961)</f>
        <v/>
      </c>
      <c r="B961">
        <f>BASE_EQUIPOS!A961</f>
        <v/>
      </c>
      <c r="C961">
        <f>BASE_EQUIPOS!B961</f>
        <v/>
      </c>
      <c r="D961">
        <f>BASE_EQUIPOS!D961</f>
        <v/>
      </c>
      <c r="E961">
        <f>BASE_EQUIPOS!G961</f>
        <v/>
      </c>
      <c r="F961">
        <f>BASE_EQUIPOS!H961</f>
        <v/>
      </c>
      <c r="G961">
        <f>BASE_EQUIPOS!M961</f>
        <v/>
      </c>
      <c r="I961" t="inlineStr">
        <is>
          <t>000132</t>
        </is>
      </c>
    </row>
    <row r="962">
      <c r="A962">
        <f>TRIM(BASE_EQUIPOS!N962)</f>
        <v/>
      </c>
      <c r="B962">
        <f>BASE_EQUIPOS!A962</f>
        <v/>
      </c>
      <c r="C962">
        <f>BASE_EQUIPOS!B962</f>
        <v/>
      </c>
      <c r="D962">
        <f>BASE_EQUIPOS!D962</f>
        <v/>
      </c>
      <c r="E962">
        <f>BASE_EQUIPOS!G962</f>
        <v/>
      </c>
      <c r="F962">
        <f>BASE_EQUIPOS!H962</f>
        <v/>
      </c>
      <c r="G962">
        <f>BASE_EQUIPOS!M962</f>
        <v/>
      </c>
      <c r="I962" t="inlineStr">
        <is>
          <t>000025</t>
        </is>
      </c>
    </row>
    <row r="963">
      <c r="A963">
        <f>TRIM(BASE_EQUIPOS!N963)</f>
        <v/>
      </c>
      <c r="B963">
        <f>BASE_EQUIPOS!A963</f>
        <v/>
      </c>
      <c r="C963">
        <f>BASE_EQUIPOS!B963</f>
        <v/>
      </c>
      <c r="D963">
        <f>BASE_EQUIPOS!D963</f>
        <v/>
      </c>
      <c r="E963">
        <f>BASE_EQUIPOS!G963</f>
        <v/>
      </c>
      <c r="F963">
        <f>BASE_EQUIPOS!H963</f>
        <v/>
      </c>
      <c r="G963">
        <f>BASE_EQUIPOS!M963</f>
        <v/>
      </c>
      <c r="I963" t="inlineStr">
        <is>
          <t>001455</t>
        </is>
      </c>
    </row>
    <row r="964">
      <c r="A964">
        <f>TRIM(BASE_EQUIPOS!N964)</f>
        <v/>
      </c>
      <c r="B964">
        <f>BASE_EQUIPOS!A964</f>
        <v/>
      </c>
      <c r="C964">
        <f>BASE_EQUIPOS!B964</f>
        <v/>
      </c>
      <c r="D964">
        <f>BASE_EQUIPOS!D964</f>
        <v/>
      </c>
      <c r="E964">
        <f>BASE_EQUIPOS!G964</f>
        <v/>
      </c>
      <c r="F964">
        <f>BASE_EQUIPOS!H964</f>
        <v/>
      </c>
      <c r="G964">
        <f>BASE_EQUIPOS!M964</f>
        <v/>
      </c>
      <c r="I964" t="inlineStr">
        <is>
          <t>000731</t>
        </is>
      </c>
    </row>
    <row r="965">
      <c r="A965">
        <f>TRIM(BASE_EQUIPOS!N965)</f>
        <v/>
      </c>
      <c r="B965">
        <f>BASE_EQUIPOS!A965</f>
        <v/>
      </c>
      <c r="C965">
        <f>BASE_EQUIPOS!B965</f>
        <v/>
      </c>
      <c r="D965">
        <f>BASE_EQUIPOS!D965</f>
        <v/>
      </c>
      <c r="E965">
        <f>BASE_EQUIPOS!G965</f>
        <v/>
      </c>
      <c r="F965">
        <f>BASE_EQUIPOS!H965</f>
        <v/>
      </c>
      <c r="G965">
        <f>BASE_EQUIPOS!M965</f>
        <v/>
      </c>
      <c r="I965" t="inlineStr">
        <is>
          <t>000950</t>
        </is>
      </c>
    </row>
    <row r="966">
      <c r="A966">
        <f>TRIM(BASE_EQUIPOS!N966)</f>
        <v/>
      </c>
      <c r="B966">
        <f>BASE_EQUIPOS!A966</f>
        <v/>
      </c>
      <c r="C966">
        <f>BASE_EQUIPOS!B966</f>
        <v/>
      </c>
      <c r="D966">
        <f>BASE_EQUIPOS!D966</f>
        <v/>
      </c>
      <c r="E966">
        <f>BASE_EQUIPOS!G966</f>
        <v/>
      </c>
      <c r="F966">
        <f>BASE_EQUIPOS!H966</f>
        <v/>
      </c>
      <c r="G966">
        <f>BASE_EQUIPOS!M966</f>
        <v/>
      </c>
      <c r="I966" t="inlineStr">
        <is>
          <t>02/032127</t>
        </is>
      </c>
    </row>
    <row r="967">
      <c r="A967">
        <f>TRIM(BASE_EQUIPOS!N967)</f>
        <v/>
      </c>
      <c r="B967">
        <f>BASE_EQUIPOS!A967</f>
        <v/>
      </c>
      <c r="C967">
        <f>BASE_EQUIPOS!B967</f>
        <v/>
      </c>
      <c r="D967">
        <f>BASE_EQUIPOS!D967</f>
        <v/>
      </c>
      <c r="E967">
        <f>BASE_EQUIPOS!G967</f>
        <v/>
      </c>
      <c r="F967">
        <f>BASE_EQUIPOS!H967</f>
        <v/>
      </c>
      <c r="G967">
        <f>BASE_EQUIPOS!M967</f>
        <v/>
      </c>
      <c r="I967" t="inlineStr">
        <is>
          <t>01/000193</t>
        </is>
      </c>
    </row>
    <row r="968">
      <c r="A968">
        <f>TRIM(BASE_EQUIPOS!N968)</f>
        <v/>
      </c>
      <c r="B968">
        <f>BASE_EQUIPOS!A968</f>
        <v/>
      </c>
      <c r="C968">
        <f>BASE_EQUIPOS!B968</f>
        <v/>
      </c>
      <c r="D968">
        <f>BASE_EQUIPOS!D968</f>
        <v/>
      </c>
      <c r="E968">
        <f>BASE_EQUIPOS!G968</f>
        <v/>
      </c>
      <c r="F968">
        <f>BASE_EQUIPOS!H968</f>
        <v/>
      </c>
      <c r="G968">
        <f>BASE_EQUIPOS!M968</f>
        <v/>
      </c>
      <c r="I968" t="inlineStr">
        <is>
          <t>001901</t>
        </is>
      </c>
    </row>
    <row r="969">
      <c r="A969">
        <f>TRIM(BASE_EQUIPOS!N969)</f>
        <v/>
      </c>
      <c r="B969">
        <f>BASE_EQUIPOS!A969</f>
        <v/>
      </c>
      <c r="C969">
        <f>BASE_EQUIPOS!B969</f>
        <v/>
      </c>
      <c r="D969">
        <f>BASE_EQUIPOS!D969</f>
        <v/>
      </c>
      <c r="E969">
        <f>BASE_EQUIPOS!G969</f>
        <v/>
      </c>
      <c r="F969">
        <f>BASE_EQUIPOS!H969</f>
        <v/>
      </c>
      <c r="G969">
        <f>BASE_EQUIPOS!M969</f>
        <v/>
      </c>
      <c r="I969" t="inlineStr">
        <is>
          <t>021522</t>
        </is>
      </c>
    </row>
    <row r="970">
      <c r="A970">
        <f>TRIM(BASE_EQUIPOS!N970)</f>
        <v/>
      </c>
      <c r="B970">
        <f>BASE_EQUIPOS!A970</f>
        <v/>
      </c>
      <c r="C970">
        <f>BASE_EQUIPOS!B970</f>
        <v/>
      </c>
      <c r="D970">
        <f>BASE_EQUIPOS!D970</f>
        <v/>
      </c>
      <c r="E970">
        <f>BASE_EQUIPOS!G970</f>
        <v/>
      </c>
      <c r="F970">
        <f>BASE_EQUIPOS!H970</f>
        <v/>
      </c>
      <c r="G970">
        <f>BASE_EQUIPOS!M970</f>
        <v/>
      </c>
      <c r="I970" t="inlineStr">
        <is>
          <t>009368</t>
        </is>
      </c>
    </row>
    <row r="971">
      <c r="A971">
        <f>TRIM(BASE_EQUIPOS!N971)</f>
        <v/>
      </c>
      <c r="B971">
        <f>BASE_EQUIPOS!A971</f>
        <v/>
      </c>
      <c r="C971">
        <f>BASE_EQUIPOS!B971</f>
        <v/>
      </c>
      <c r="D971">
        <f>BASE_EQUIPOS!D971</f>
        <v/>
      </c>
      <c r="E971">
        <f>BASE_EQUIPOS!G971</f>
        <v/>
      </c>
      <c r="F971">
        <f>BASE_EQUIPOS!H971</f>
        <v/>
      </c>
      <c r="G971">
        <f>BASE_EQUIPOS!M971</f>
        <v/>
      </c>
      <c r="I971" t="inlineStr">
        <is>
          <t>S/N /000005</t>
        </is>
      </c>
    </row>
    <row r="972">
      <c r="A972">
        <f>TRIM(BASE_EQUIPOS!N972)</f>
        <v/>
      </c>
      <c r="B972">
        <f>BASE_EQUIPOS!A972</f>
        <v/>
      </c>
      <c r="C972">
        <f>BASE_EQUIPOS!B972</f>
        <v/>
      </c>
      <c r="D972">
        <f>BASE_EQUIPOS!D972</f>
        <v/>
      </c>
      <c r="E972">
        <f>BASE_EQUIPOS!G972</f>
        <v/>
      </c>
      <c r="F972">
        <f>BASE_EQUIPOS!H972</f>
        <v/>
      </c>
      <c r="G972">
        <f>BASE_EQUIPOS!M972</f>
        <v/>
      </c>
      <c r="I972" t="inlineStr">
        <is>
          <t>173/000490</t>
        </is>
      </c>
    </row>
    <row r="973">
      <c r="A973">
        <f>TRIM(BASE_EQUIPOS!N973)</f>
        <v/>
      </c>
      <c r="B973">
        <f>BASE_EQUIPOS!A973</f>
        <v/>
      </c>
      <c r="C973">
        <f>BASE_EQUIPOS!B973</f>
        <v/>
      </c>
      <c r="D973">
        <f>BASE_EQUIPOS!D973</f>
        <v/>
      </c>
      <c r="E973">
        <f>BASE_EQUIPOS!G973</f>
        <v/>
      </c>
      <c r="F973">
        <f>BASE_EQUIPOS!H973</f>
        <v/>
      </c>
      <c r="G973">
        <f>BASE_EQUIPOS!M973</f>
        <v/>
      </c>
      <c r="I973" t="inlineStr">
        <is>
          <t>S/N /003666</t>
        </is>
      </c>
    </row>
    <row r="974">
      <c r="A974">
        <f>TRIM(BASE_EQUIPOS!N974)</f>
        <v/>
      </c>
      <c r="B974">
        <f>BASE_EQUIPOS!A974</f>
        <v/>
      </c>
      <c r="C974">
        <f>BASE_EQUIPOS!B974</f>
        <v/>
      </c>
      <c r="D974">
        <f>BASE_EQUIPOS!D974</f>
        <v/>
      </c>
      <c r="E974">
        <f>BASE_EQUIPOS!G974</f>
        <v/>
      </c>
      <c r="F974">
        <f>BASE_EQUIPOS!H974</f>
        <v/>
      </c>
      <c r="G974">
        <f>BASE_EQUIPOS!M974</f>
        <v/>
      </c>
      <c r="I974" t="inlineStr">
        <is>
          <t>361/001112</t>
        </is>
      </c>
    </row>
    <row r="975">
      <c r="A975">
        <f>TRIM(BASE_EQUIPOS!N975)</f>
        <v/>
      </c>
      <c r="B975">
        <f>BASE_EQUIPOS!A975</f>
        <v/>
      </c>
      <c r="C975">
        <f>BASE_EQUIPOS!B975</f>
        <v/>
      </c>
      <c r="D975">
        <f>BASE_EQUIPOS!D975</f>
        <v/>
      </c>
      <c r="E975">
        <f>BASE_EQUIPOS!G975</f>
        <v/>
      </c>
      <c r="F975">
        <f>BASE_EQUIPOS!H975</f>
        <v/>
      </c>
      <c r="G975">
        <f>BASE_EQUIPOS!M975</f>
        <v/>
      </c>
      <c r="I975" t="inlineStr">
        <is>
          <t>318/000009</t>
        </is>
      </c>
    </row>
    <row r="976">
      <c r="A976">
        <f>TRIM(BASE_EQUIPOS!N976)</f>
        <v/>
      </c>
      <c r="B976">
        <f>BASE_EQUIPOS!A976</f>
        <v/>
      </c>
      <c r="C976">
        <f>BASE_EQUIPOS!B976</f>
        <v/>
      </c>
      <c r="D976">
        <f>BASE_EQUIPOS!D976</f>
        <v/>
      </c>
      <c r="E976">
        <f>BASE_EQUIPOS!G976</f>
        <v/>
      </c>
      <c r="F976">
        <f>BASE_EQUIPOS!H976</f>
        <v/>
      </c>
      <c r="G976">
        <f>BASE_EQUIPOS!M976</f>
        <v/>
      </c>
      <c r="I976" t="inlineStr">
        <is>
          <t>06/000979</t>
        </is>
      </c>
    </row>
    <row r="977">
      <c r="A977">
        <f>TRIM(BASE_EQUIPOS!N977)</f>
        <v/>
      </c>
      <c r="B977">
        <f>BASE_EQUIPOS!A977</f>
        <v/>
      </c>
      <c r="C977">
        <f>BASE_EQUIPOS!B977</f>
        <v/>
      </c>
      <c r="D977">
        <f>BASE_EQUIPOS!D977</f>
        <v/>
      </c>
      <c r="E977">
        <f>BASE_EQUIPOS!G977</f>
        <v/>
      </c>
      <c r="F977">
        <f>BASE_EQUIPOS!H977</f>
        <v/>
      </c>
      <c r="G977">
        <f>BASE_EQUIPOS!M977</f>
        <v/>
      </c>
      <c r="I977" t="inlineStr">
        <is>
          <t>06/014570</t>
        </is>
      </c>
    </row>
    <row r="978">
      <c r="A978">
        <f>TRIM(BASE_EQUIPOS!N978)</f>
        <v/>
      </c>
      <c r="B978">
        <f>BASE_EQUIPOS!A978</f>
        <v/>
      </c>
      <c r="C978">
        <f>BASE_EQUIPOS!B978</f>
        <v/>
      </c>
      <c r="D978">
        <f>BASE_EQUIPOS!D978</f>
        <v/>
      </c>
      <c r="E978">
        <f>BASE_EQUIPOS!G978</f>
        <v/>
      </c>
      <c r="F978">
        <f>BASE_EQUIPOS!H978</f>
        <v/>
      </c>
      <c r="G978">
        <f>BASE_EQUIPOS!M978</f>
        <v/>
      </c>
      <c r="I978" t="inlineStr">
        <is>
          <t>02/0014496</t>
        </is>
      </c>
    </row>
    <row r="979">
      <c r="A979">
        <f>TRIM(BASE_EQUIPOS!N979)</f>
        <v/>
      </c>
      <c r="B979">
        <f>BASE_EQUIPOS!A979</f>
        <v/>
      </c>
      <c r="C979">
        <f>BASE_EQUIPOS!B979</f>
        <v/>
      </c>
      <c r="D979">
        <f>BASE_EQUIPOS!D979</f>
        <v/>
      </c>
      <c r="E979">
        <f>BASE_EQUIPOS!G979</f>
        <v/>
      </c>
      <c r="F979">
        <f>BASE_EQUIPOS!H979</f>
        <v/>
      </c>
      <c r="G979">
        <f>BASE_EQUIPOS!M979</f>
        <v/>
      </c>
      <c r="I979" t="inlineStr">
        <is>
          <t>01/000603</t>
        </is>
      </c>
    </row>
    <row r="980">
      <c r="A980">
        <f>TRIM(BASE_EQUIPOS!N980)</f>
        <v/>
      </c>
      <c r="B980">
        <f>BASE_EQUIPOS!A980</f>
        <v/>
      </c>
      <c r="C980">
        <f>BASE_EQUIPOS!B980</f>
        <v/>
      </c>
      <c r="D980">
        <f>BASE_EQUIPOS!D980</f>
        <v/>
      </c>
      <c r="E980">
        <f>BASE_EQUIPOS!G980</f>
        <v/>
      </c>
      <c r="F980">
        <f>BASE_EQUIPOS!H980</f>
        <v/>
      </c>
      <c r="G980">
        <f>BASE_EQUIPOS!M980</f>
        <v/>
      </c>
      <c r="I980" t="inlineStr">
        <is>
          <t>20/003286</t>
        </is>
      </c>
    </row>
    <row r="981">
      <c r="A981">
        <f>TRIM(BASE_EQUIPOS!N981)</f>
        <v/>
      </c>
      <c r="B981">
        <f>BASE_EQUIPOS!A981</f>
        <v/>
      </c>
      <c r="C981">
        <f>BASE_EQUIPOS!B981</f>
        <v/>
      </c>
      <c r="D981">
        <f>BASE_EQUIPOS!D981</f>
        <v/>
      </c>
      <c r="E981">
        <f>BASE_EQUIPOS!G981</f>
        <v/>
      </c>
      <c r="F981">
        <f>BASE_EQUIPOS!H981</f>
        <v/>
      </c>
      <c r="G981">
        <f>BASE_EQUIPOS!M981</f>
        <v/>
      </c>
      <c r="I981" t="inlineStr">
        <is>
          <t>19/001140</t>
        </is>
      </c>
    </row>
    <row r="982">
      <c r="A982">
        <f>TRIM(BASE_EQUIPOS!N982)</f>
        <v/>
      </c>
      <c r="B982">
        <f>BASE_EQUIPOS!A982</f>
        <v/>
      </c>
      <c r="C982">
        <f>BASE_EQUIPOS!B982</f>
        <v/>
      </c>
      <c r="D982">
        <f>BASE_EQUIPOS!D982</f>
        <v/>
      </c>
      <c r="E982">
        <f>BASE_EQUIPOS!G982</f>
        <v/>
      </c>
      <c r="F982">
        <f>BASE_EQUIPOS!H982</f>
        <v/>
      </c>
      <c r="G982">
        <f>BASE_EQUIPOS!M982</f>
        <v/>
      </c>
      <c r="I982" t="inlineStr">
        <is>
          <t>12/001381</t>
        </is>
      </c>
    </row>
    <row r="983">
      <c r="A983">
        <f>TRIM(BASE_EQUIPOS!N983)</f>
        <v/>
      </c>
      <c r="B983">
        <f>BASE_EQUIPOS!A983</f>
        <v/>
      </c>
      <c r="C983">
        <f>BASE_EQUIPOS!B983</f>
        <v/>
      </c>
      <c r="D983">
        <f>BASE_EQUIPOS!D983</f>
        <v/>
      </c>
      <c r="E983">
        <f>BASE_EQUIPOS!G983</f>
        <v/>
      </c>
      <c r="F983">
        <f>BASE_EQUIPOS!H983</f>
        <v/>
      </c>
      <c r="G983">
        <f>BASE_EQUIPOS!M983</f>
        <v/>
      </c>
      <c r="I983" t="inlineStr">
        <is>
          <t>18/001541</t>
        </is>
      </c>
    </row>
    <row r="984">
      <c r="A984">
        <f>TRIM(BASE_EQUIPOS!N984)</f>
        <v/>
      </c>
      <c r="B984">
        <f>BASE_EQUIPOS!A984</f>
        <v/>
      </c>
      <c r="C984">
        <f>BASE_EQUIPOS!B984</f>
        <v/>
      </c>
      <c r="D984">
        <f>BASE_EQUIPOS!D984</f>
        <v/>
      </c>
      <c r="E984">
        <f>BASE_EQUIPOS!G984</f>
        <v/>
      </c>
      <c r="F984">
        <f>BASE_EQUIPOS!H984</f>
        <v/>
      </c>
      <c r="G984">
        <f>BASE_EQUIPOS!M984</f>
        <v/>
      </c>
      <c r="I984" t="inlineStr">
        <is>
          <t>21/000096</t>
        </is>
      </c>
    </row>
    <row r="985">
      <c r="A985">
        <f>TRIM(BASE_EQUIPOS!N985)</f>
        <v/>
      </c>
      <c r="B985">
        <f>BASE_EQUIPOS!A985</f>
        <v/>
      </c>
      <c r="C985">
        <f>BASE_EQUIPOS!B985</f>
        <v/>
      </c>
      <c r="D985">
        <f>BASE_EQUIPOS!D985</f>
        <v/>
      </c>
      <c r="E985">
        <f>BASE_EQUIPOS!G985</f>
        <v/>
      </c>
      <c r="F985">
        <f>BASE_EQUIPOS!H985</f>
        <v/>
      </c>
      <c r="G985">
        <f>BASE_EQUIPOS!M985</f>
        <v/>
      </c>
      <c r="I985" t="inlineStr">
        <is>
          <t>016827</t>
        </is>
      </c>
    </row>
    <row r="986">
      <c r="A986">
        <f>TRIM(BASE_EQUIPOS!N986)</f>
        <v/>
      </c>
      <c r="B986">
        <f>BASE_EQUIPOS!A986</f>
        <v/>
      </c>
      <c r="C986">
        <f>BASE_EQUIPOS!B986</f>
        <v/>
      </c>
      <c r="D986">
        <f>BASE_EQUIPOS!D986</f>
        <v/>
      </c>
      <c r="E986">
        <f>BASE_EQUIPOS!G986</f>
        <v/>
      </c>
      <c r="F986">
        <f>BASE_EQUIPOS!H986</f>
        <v/>
      </c>
      <c r="G986">
        <f>BASE_EQUIPOS!M986</f>
        <v/>
      </c>
      <c r="I986" t="inlineStr">
        <is>
          <t>029712</t>
        </is>
      </c>
    </row>
    <row r="987">
      <c r="A987">
        <f>TRIM(BASE_EQUIPOS!N987)</f>
        <v/>
      </c>
      <c r="B987">
        <f>BASE_EQUIPOS!A987</f>
        <v/>
      </c>
      <c r="C987">
        <f>BASE_EQUIPOS!B987</f>
        <v/>
      </c>
      <c r="D987">
        <f>BASE_EQUIPOS!D987</f>
        <v/>
      </c>
      <c r="E987">
        <f>BASE_EQUIPOS!G987</f>
        <v/>
      </c>
      <c r="F987">
        <f>BASE_EQUIPOS!H987</f>
        <v/>
      </c>
      <c r="G987">
        <f>BASE_EQUIPOS!M987</f>
        <v/>
      </c>
      <c r="I987" t="inlineStr">
        <is>
          <t>G-39956721</t>
        </is>
      </c>
    </row>
    <row r="988">
      <c r="A988">
        <f>TRIM(BASE_EQUIPOS!N988)</f>
        <v/>
      </c>
      <c r="B988">
        <f>BASE_EQUIPOS!A988</f>
        <v/>
      </c>
      <c r="C988">
        <f>BASE_EQUIPOS!B988</f>
        <v/>
      </c>
      <c r="D988">
        <f>BASE_EQUIPOS!D988</f>
        <v/>
      </c>
      <c r="E988">
        <f>BASE_EQUIPOS!G988</f>
        <v/>
      </c>
      <c r="F988">
        <f>BASE_EQUIPOS!H988</f>
        <v/>
      </c>
      <c r="G988">
        <f>BASE_EQUIPOS!M988</f>
        <v/>
      </c>
      <c r="I988" t="inlineStr">
        <is>
          <t>F-46647653</t>
        </is>
      </c>
    </row>
    <row r="989">
      <c r="A989">
        <f>TRIM(BASE_EQUIPOS!N989)</f>
        <v/>
      </c>
      <c r="B989">
        <f>BASE_EQUIPOS!A989</f>
        <v/>
      </c>
      <c r="C989">
        <f>BASE_EQUIPOS!B989</f>
        <v/>
      </c>
      <c r="D989">
        <f>BASE_EQUIPOS!D989</f>
        <v/>
      </c>
      <c r="E989">
        <f>BASE_EQUIPOS!G989</f>
        <v/>
      </c>
      <c r="F989">
        <f>BASE_EQUIPOS!H989</f>
        <v/>
      </c>
      <c r="G989">
        <f>BASE_EQUIPOS!M989</f>
        <v/>
      </c>
      <c r="I989" t="inlineStr">
        <is>
          <t>E-82857538</t>
        </is>
      </c>
    </row>
    <row r="990">
      <c r="A990">
        <f>TRIM(BASE_EQUIPOS!N990)</f>
        <v/>
      </c>
      <c r="B990">
        <f>BASE_EQUIPOS!A990</f>
        <v/>
      </c>
      <c r="C990">
        <f>BASE_EQUIPOS!B990</f>
        <v/>
      </c>
      <c r="D990">
        <f>BASE_EQUIPOS!D990</f>
        <v/>
      </c>
      <c r="E990">
        <f>BASE_EQUIPOS!G990</f>
        <v/>
      </c>
      <c r="F990">
        <f>BASE_EQUIPOS!H990</f>
        <v/>
      </c>
      <c r="G990">
        <f>BASE_EQUIPOS!M990</f>
        <v/>
      </c>
      <c r="I990" t="inlineStr">
        <is>
          <t>E-82857540</t>
        </is>
      </c>
    </row>
    <row r="991">
      <c r="A991">
        <f>TRIM(BASE_EQUIPOS!N991)</f>
        <v/>
      </c>
      <c r="B991">
        <f>BASE_EQUIPOS!A991</f>
        <v/>
      </c>
      <c r="C991">
        <f>BASE_EQUIPOS!B991</f>
        <v/>
      </c>
      <c r="D991">
        <f>BASE_EQUIPOS!D991</f>
        <v/>
      </c>
      <c r="E991">
        <f>BASE_EQUIPOS!G991</f>
        <v/>
      </c>
      <c r="F991">
        <f>BASE_EQUIPOS!H991</f>
        <v/>
      </c>
      <c r="G991">
        <f>BASE_EQUIPOS!M991</f>
        <v/>
      </c>
      <c r="I991" t="inlineStr">
        <is>
          <t>269 / 000496</t>
        </is>
      </c>
    </row>
    <row r="992">
      <c r="A992">
        <f>TRIM(BASE_EQUIPOS!N992)</f>
        <v/>
      </c>
      <c r="B992">
        <f>BASE_EQUIPOS!A992</f>
        <v/>
      </c>
      <c r="C992">
        <f>BASE_EQUIPOS!B992</f>
        <v/>
      </c>
      <c r="D992">
        <f>BASE_EQUIPOS!D992</f>
        <v/>
      </c>
      <c r="E992">
        <f>BASE_EQUIPOS!G992</f>
        <v/>
      </c>
      <c r="F992">
        <f>BASE_EQUIPOS!H992</f>
        <v/>
      </c>
      <c r="G992">
        <f>BASE_EQUIPOS!M992</f>
        <v/>
      </c>
      <c r="I992" t="inlineStr">
        <is>
          <t>356 / 000212</t>
        </is>
      </c>
    </row>
    <row r="993">
      <c r="A993">
        <f>TRIM(BASE_EQUIPOS!N993)</f>
        <v/>
      </c>
      <c r="B993">
        <f>BASE_EQUIPOS!A993</f>
        <v/>
      </c>
      <c r="C993">
        <f>BASE_EQUIPOS!B993</f>
        <v/>
      </c>
      <c r="D993">
        <f>BASE_EQUIPOS!D993</f>
        <v/>
      </c>
      <c r="E993">
        <f>BASE_EQUIPOS!G993</f>
        <v/>
      </c>
      <c r="F993">
        <f>BASE_EQUIPOS!H993</f>
        <v/>
      </c>
      <c r="G993">
        <f>BASE_EQUIPOS!M993</f>
        <v/>
      </c>
      <c r="I993" t="inlineStr">
        <is>
          <t>S/N / 003884</t>
        </is>
      </c>
    </row>
    <row r="994">
      <c r="A994">
        <f>TRIM(BASE_EQUIPOS!N994)</f>
        <v/>
      </c>
      <c r="B994">
        <f>BASE_EQUIPOS!A994</f>
        <v/>
      </c>
      <c r="C994">
        <f>BASE_EQUIPOS!B994</f>
        <v/>
      </c>
      <c r="D994">
        <f>BASE_EQUIPOS!D994</f>
        <v/>
      </c>
      <c r="E994">
        <f>BASE_EQUIPOS!G994</f>
        <v/>
      </c>
      <c r="F994">
        <f>BASE_EQUIPOS!H994</f>
        <v/>
      </c>
      <c r="G994">
        <f>BASE_EQUIPOS!M994</f>
        <v/>
      </c>
      <c r="I994" t="inlineStr">
        <is>
          <t>51 / 000065</t>
        </is>
      </c>
    </row>
    <row r="995">
      <c r="A995">
        <f>TRIM(BASE_EQUIPOS!N995)</f>
        <v/>
      </c>
      <c r="B995">
        <f>BASE_EQUIPOS!A995</f>
        <v/>
      </c>
      <c r="C995">
        <f>BASE_EQUIPOS!B995</f>
        <v/>
      </c>
      <c r="D995">
        <f>BASE_EQUIPOS!D995</f>
        <v/>
      </c>
      <c r="E995">
        <f>BASE_EQUIPOS!G995</f>
        <v/>
      </c>
      <c r="F995">
        <f>BASE_EQUIPOS!H995</f>
        <v/>
      </c>
      <c r="G995">
        <f>BASE_EQUIPOS!M995</f>
        <v/>
      </c>
      <c r="I995" t="inlineStr">
        <is>
          <t>212 / 003073</t>
        </is>
      </c>
    </row>
    <row r="996">
      <c r="A996">
        <f>TRIM(BASE_EQUIPOS!N996)</f>
        <v/>
      </c>
      <c r="B996">
        <f>BASE_EQUIPOS!A996</f>
        <v/>
      </c>
      <c r="C996">
        <f>BASE_EQUIPOS!B996</f>
        <v/>
      </c>
      <c r="D996">
        <f>BASE_EQUIPOS!D996</f>
        <v/>
      </c>
      <c r="E996">
        <f>BASE_EQUIPOS!G996</f>
        <v/>
      </c>
      <c r="F996">
        <f>BASE_EQUIPOS!H996</f>
        <v/>
      </c>
      <c r="G996">
        <f>BASE_EQUIPOS!M996</f>
        <v/>
      </c>
      <c r="I996" t="inlineStr">
        <is>
          <t>248 / 001793</t>
        </is>
      </c>
    </row>
    <row r="997">
      <c r="A997">
        <f>TRIM(BASE_EQUIPOS!N997)</f>
        <v/>
      </c>
      <c r="B997">
        <f>BASE_EQUIPOS!A997</f>
        <v/>
      </c>
      <c r="C997">
        <f>BASE_EQUIPOS!B997</f>
        <v/>
      </c>
      <c r="D997">
        <f>BASE_EQUIPOS!D997</f>
        <v/>
      </c>
      <c r="E997">
        <f>BASE_EQUIPOS!G997</f>
        <v/>
      </c>
      <c r="F997">
        <f>BASE_EQUIPOS!H997</f>
        <v/>
      </c>
      <c r="G997">
        <f>BASE_EQUIPOS!M997</f>
        <v/>
      </c>
      <c r="I997" t="inlineStr">
        <is>
          <t>S/N / 020140</t>
        </is>
      </c>
    </row>
    <row r="998">
      <c r="A998">
        <f>TRIM(BASE_EQUIPOS!N998)</f>
        <v/>
      </c>
      <c r="B998">
        <f>BASE_EQUIPOS!A998</f>
        <v/>
      </c>
      <c r="C998">
        <f>BASE_EQUIPOS!B998</f>
        <v/>
      </c>
      <c r="D998">
        <f>BASE_EQUIPOS!D998</f>
        <v/>
      </c>
      <c r="E998">
        <f>BASE_EQUIPOS!G998</f>
        <v/>
      </c>
      <c r="F998">
        <f>BASE_EQUIPOS!H998</f>
        <v/>
      </c>
      <c r="G998">
        <f>BASE_EQUIPOS!M998</f>
        <v/>
      </c>
      <c r="I998" t="inlineStr">
        <is>
          <t>112614</t>
        </is>
      </c>
    </row>
    <row r="999">
      <c r="A999">
        <f>TRIM(BASE_EQUIPOS!N999)</f>
        <v/>
      </c>
      <c r="B999">
        <f>BASE_EQUIPOS!A999</f>
        <v/>
      </c>
      <c r="C999">
        <f>BASE_EQUIPOS!B999</f>
        <v/>
      </c>
      <c r="D999">
        <f>BASE_EQUIPOS!D999</f>
        <v/>
      </c>
      <c r="E999">
        <f>BASE_EQUIPOS!G999</f>
        <v/>
      </c>
      <c r="F999">
        <f>BASE_EQUIPOS!H999</f>
        <v/>
      </c>
      <c r="G999">
        <f>BASE_EQUIPOS!M999</f>
        <v/>
      </c>
      <c r="I999" t="inlineStr">
        <is>
          <t>112123</t>
        </is>
      </c>
    </row>
    <row r="1000">
      <c r="A1000">
        <f>TRIM(BASE_EQUIPOS!N1000)</f>
        <v/>
      </c>
      <c r="B1000">
        <f>BASE_EQUIPOS!A1000</f>
        <v/>
      </c>
      <c r="C1000">
        <f>BASE_EQUIPOS!B1000</f>
        <v/>
      </c>
      <c r="D1000">
        <f>BASE_EQUIPOS!D1000</f>
        <v/>
      </c>
      <c r="E1000">
        <f>BASE_EQUIPOS!G1000</f>
        <v/>
      </c>
      <c r="F1000">
        <f>BASE_EQUIPOS!H1000</f>
        <v/>
      </c>
      <c r="G1000">
        <f>BASE_EQUIPOS!M1000</f>
        <v/>
      </c>
      <c r="I1000" t="inlineStr">
        <is>
          <t>287225</t>
        </is>
      </c>
    </row>
    <row r="1001">
      <c r="A1001">
        <f>TRIM(BASE_EQUIPOS!N1001)</f>
        <v/>
      </c>
      <c r="B1001">
        <f>BASE_EQUIPOS!A1001</f>
        <v/>
      </c>
      <c r="C1001">
        <f>BASE_EQUIPOS!B1001</f>
        <v/>
      </c>
      <c r="D1001">
        <f>BASE_EQUIPOS!D1001</f>
        <v/>
      </c>
      <c r="E1001">
        <f>BASE_EQUIPOS!G1001</f>
        <v/>
      </c>
      <c r="F1001">
        <f>BASE_EQUIPOS!H1001</f>
        <v/>
      </c>
      <c r="G1001">
        <f>BASE_EQUIPOS!M1001</f>
        <v/>
      </c>
      <c r="I1001" t="inlineStr">
        <is>
          <t>22 / 000232</t>
        </is>
      </c>
    </row>
    <row r="1002">
      <c r="A1002">
        <f>TRIM(BASE_EQUIPOS!N1002)</f>
        <v/>
      </c>
      <c r="B1002">
        <f>BASE_EQUIPOS!A1002</f>
        <v/>
      </c>
      <c r="C1002">
        <f>BASE_EQUIPOS!B1002</f>
        <v/>
      </c>
      <c r="D1002">
        <f>BASE_EQUIPOS!D1002</f>
        <v/>
      </c>
      <c r="E1002">
        <f>BASE_EQUIPOS!G1002</f>
        <v/>
      </c>
      <c r="F1002">
        <f>BASE_EQUIPOS!H1002</f>
        <v/>
      </c>
      <c r="G1002">
        <f>BASE_EQUIPOS!M1002</f>
        <v/>
      </c>
      <c r="I1002" t="inlineStr">
        <is>
          <t>23 / 002313</t>
        </is>
      </c>
    </row>
    <row r="1003">
      <c r="A1003">
        <f>TRIM(BASE_EQUIPOS!N1003)</f>
        <v/>
      </c>
      <c r="B1003">
        <f>BASE_EQUIPOS!A1003</f>
        <v/>
      </c>
      <c r="C1003">
        <f>BASE_EQUIPOS!B1003</f>
        <v/>
      </c>
      <c r="D1003">
        <f>BASE_EQUIPOS!D1003</f>
        <v/>
      </c>
      <c r="E1003">
        <f>BASE_EQUIPOS!G1003</f>
        <v/>
      </c>
      <c r="F1003">
        <f>BASE_EQUIPOS!H1003</f>
        <v/>
      </c>
      <c r="G1003">
        <f>BASE_EQUIPOS!M1003</f>
        <v/>
      </c>
      <c r="I1003" t="inlineStr">
        <is>
          <t>24 / 000005</t>
        </is>
      </c>
    </row>
    <row r="1004">
      <c r="A1004">
        <f>TRIM(BASE_EQUIPOS!N1004)</f>
        <v/>
      </c>
      <c r="B1004">
        <f>BASE_EQUIPOS!A1004</f>
        <v/>
      </c>
      <c r="C1004">
        <f>BASE_EQUIPOS!B1004</f>
        <v/>
      </c>
      <c r="D1004">
        <f>BASE_EQUIPOS!D1004</f>
        <v/>
      </c>
      <c r="E1004">
        <f>BASE_EQUIPOS!G1004</f>
        <v/>
      </c>
      <c r="F1004">
        <f>BASE_EQUIPOS!H1004</f>
        <v/>
      </c>
      <c r="G1004">
        <f>BASE_EQUIPOS!M1004</f>
        <v/>
      </c>
      <c r="I1004" t="inlineStr">
        <is>
          <t>25 / 000057</t>
        </is>
      </c>
    </row>
    <row r="1005">
      <c r="A1005">
        <f>TRIM(BASE_EQUIPOS!N1005)</f>
        <v/>
      </c>
      <c r="B1005">
        <f>BASE_EQUIPOS!A1005</f>
        <v/>
      </c>
      <c r="C1005">
        <f>BASE_EQUIPOS!B1005</f>
        <v/>
      </c>
      <c r="D1005">
        <f>BASE_EQUIPOS!D1005</f>
        <v/>
      </c>
      <c r="E1005">
        <f>BASE_EQUIPOS!G1005</f>
        <v/>
      </c>
      <c r="F1005">
        <f>BASE_EQUIPOS!H1005</f>
        <v/>
      </c>
      <c r="G1005">
        <f>BASE_EQUIPOS!M1005</f>
        <v/>
      </c>
      <c r="I1005" t="inlineStr">
        <is>
          <t>26 / 000417</t>
        </is>
      </c>
    </row>
    <row r="1006">
      <c r="A1006">
        <f>TRIM(BASE_EQUIPOS!N1006)</f>
        <v/>
      </c>
      <c r="B1006">
        <f>BASE_EQUIPOS!A1006</f>
        <v/>
      </c>
      <c r="C1006">
        <f>BASE_EQUIPOS!B1006</f>
        <v/>
      </c>
      <c r="D1006">
        <f>BASE_EQUIPOS!D1006</f>
        <v/>
      </c>
      <c r="E1006">
        <f>BASE_EQUIPOS!G1006</f>
        <v/>
      </c>
      <c r="F1006">
        <f>BASE_EQUIPOS!H1006</f>
        <v/>
      </c>
      <c r="G1006">
        <f>BASE_EQUIPOS!M1006</f>
        <v/>
      </c>
      <c r="I1006" t="inlineStr">
        <is>
          <t>27 / 001046</t>
        </is>
      </c>
    </row>
    <row r="1007">
      <c r="A1007">
        <f>TRIM(BASE_EQUIPOS!N1007)</f>
        <v/>
      </c>
      <c r="B1007">
        <f>BASE_EQUIPOS!A1007</f>
        <v/>
      </c>
      <c r="C1007">
        <f>BASE_EQUIPOS!B1007</f>
        <v/>
      </c>
      <c r="D1007">
        <f>BASE_EQUIPOS!D1007</f>
        <v/>
      </c>
      <c r="E1007">
        <f>BASE_EQUIPOS!G1007</f>
        <v/>
      </c>
      <c r="F1007">
        <f>BASE_EQUIPOS!H1007</f>
        <v/>
      </c>
      <c r="G1007">
        <f>BASE_EQUIPOS!M1007</f>
        <v/>
      </c>
      <c r="I1007" t="inlineStr">
        <is>
          <t>05 / S / N</t>
        </is>
      </c>
    </row>
    <row r="1008">
      <c r="A1008">
        <f>TRIM(BASE_EQUIPOS!N1008)</f>
        <v/>
      </c>
      <c r="B1008">
        <f>BASE_EQUIPOS!A1008</f>
        <v/>
      </c>
      <c r="C1008">
        <f>BASE_EQUIPOS!B1008</f>
        <v/>
      </c>
      <c r="D1008">
        <f>BASE_EQUIPOS!D1008</f>
        <v/>
      </c>
      <c r="E1008">
        <f>BASE_EQUIPOS!G1008</f>
        <v/>
      </c>
      <c r="F1008">
        <f>BASE_EQUIPOS!H1008</f>
        <v/>
      </c>
      <c r="G1008">
        <f>BASE_EQUIPOS!M1008</f>
        <v/>
      </c>
      <c r="I1008" t="inlineStr">
        <is>
          <t>01 / 005163</t>
        </is>
      </c>
    </row>
    <row r="1009">
      <c r="A1009">
        <f>TRIM(BASE_EQUIPOS!N1009)</f>
        <v/>
      </c>
      <c r="B1009">
        <f>BASE_EQUIPOS!A1009</f>
        <v/>
      </c>
      <c r="C1009">
        <f>BASE_EQUIPOS!B1009</f>
        <v/>
      </c>
      <c r="D1009">
        <f>BASE_EQUIPOS!D1009</f>
        <v/>
      </c>
      <c r="E1009">
        <f>BASE_EQUIPOS!G1009</f>
        <v/>
      </c>
      <c r="F1009">
        <f>BASE_EQUIPOS!H1009</f>
        <v/>
      </c>
      <c r="G1009">
        <f>BASE_EQUIPOS!M1009</f>
        <v/>
      </c>
      <c r="I1009" t="inlineStr">
        <is>
          <t>137832</t>
        </is>
      </c>
    </row>
    <row r="1010">
      <c r="A1010">
        <f>TRIM(BASE_EQUIPOS!N1010)</f>
        <v/>
      </c>
      <c r="B1010">
        <f>BASE_EQUIPOS!A1010</f>
        <v/>
      </c>
      <c r="C1010">
        <f>BASE_EQUIPOS!B1010</f>
        <v/>
      </c>
      <c r="D1010">
        <f>BASE_EQUIPOS!D1010</f>
        <v/>
      </c>
      <c r="E1010">
        <f>BASE_EQUIPOS!G1010</f>
        <v/>
      </c>
      <c r="F1010">
        <f>BASE_EQUIPOS!H1010</f>
        <v/>
      </c>
      <c r="G1010">
        <f>BASE_EQUIPOS!M1010</f>
        <v/>
      </c>
      <c r="I1010" t="inlineStr">
        <is>
          <t>137777</t>
        </is>
      </c>
    </row>
    <row r="1011">
      <c r="A1011">
        <f>TRIM(BASE_EQUIPOS!N1011)</f>
        <v/>
      </c>
      <c r="B1011">
        <f>BASE_EQUIPOS!A1011</f>
        <v/>
      </c>
      <c r="C1011">
        <f>BASE_EQUIPOS!B1011</f>
        <v/>
      </c>
      <c r="D1011">
        <f>BASE_EQUIPOS!D1011</f>
        <v/>
      </c>
      <c r="E1011">
        <f>BASE_EQUIPOS!G1011</f>
        <v/>
      </c>
      <c r="F1011">
        <f>BASE_EQUIPOS!H1011</f>
        <v/>
      </c>
      <c r="G1011">
        <f>BASE_EQUIPOS!M1011</f>
        <v/>
      </c>
      <c r="I1011" t="inlineStr">
        <is>
          <t>000017</t>
        </is>
      </c>
    </row>
    <row r="1012">
      <c r="A1012">
        <f>TRIM(BASE_EQUIPOS!N1012)</f>
        <v/>
      </c>
      <c r="B1012">
        <f>BASE_EQUIPOS!A1012</f>
        <v/>
      </c>
      <c r="C1012">
        <f>BASE_EQUIPOS!B1012</f>
        <v/>
      </c>
      <c r="D1012">
        <f>BASE_EQUIPOS!D1012</f>
        <v/>
      </c>
      <c r="E1012">
        <f>BASE_EQUIPOS!G1012</f>
        <v/>
      </c>
      <c r="F1012">
        <f>BASE_EQUIPOS!H1012</f>
        <v/>
      </c>
      <c r="G1012">
        <f>BASE_EQUIPOS!M1012</f>
        <v/>
      </c>
      <c r="I1012" t="inlineStr">
        <is>
          <t>000369</t>
        </is>
      </c>
    </row>
    <row r="1013">
      <c r="A1013">
        <f>TRIM(BASE_EQUIPOS!N1013)</f>
        <v/>
      </c>
      <c r="B1013">
        <f>BASE_EQUIPOS!A1013</f>
        <v/>
      </c>
      <c r="C1013">
        <f>BASE_EQUIPOS!B1013</f>
        <v/>
      </c>
      <c r="D1013">
        <f>BASE_EQUIPOS!D1013</f>
        <v/>
      </c>
      <c r="E1013">
        <f>BASE_EQUIPOS!G1013</f>
        <v/>
      </c>
      <c r="F1013">
        <f>BASE_EQUIPOS!H1013</f>
        <v/>
      </c>
      <c r="G1013">
        <f>BASE_EQUIPOS!M1013</f>
        <v/>
      </c>
      <c r="I1013" t="inlineStr">
        <is>
          <t>11 / 000005</t>
        </is>
      </c>
    </row>
    <row r="1014">
      <c r="A1014">
        <f>TRIM(BASE_EQUIPOS!N1014)</f>
        <v/>
      </c>
      <c r="B1014">
        <f>BASE_EQUIPOS!A1014</f>
        <v/>
      </c>
      <c r="C1014">
        <f>BASE_EQUIPOS!B1014</f>
        <v/>
      </c>
      <c r="D1014">
        <f>BASE_EQUIPOS!D1014</f>
        <v/>
      </c>
      <c r="E1014">
        <f>BASE_EQUIPOS!G1014</f>
        <v/>
      </c>
      <c r="F1014">
        <f>BASE_EQUIPOS!H1014</f>
        <v/>
      </c>
      <c r="G1014">
        <f>BASE_EQUIPOS!M1014</f>
        <v/>
      </c>
      <c r="I1014" t="inlineStr">
        <is>
          <t>255 / 000108</t>
        </is>
      </c>
    </row>
    <row r="1015">
      <c r="A1015">
        <f>TRIM(BASE_EQUIPOS!N1015)</f>
        <v/>
      </c>
      <c r="B1015">
        <f>BASE_EQUIPOS!A1015</f>
        <v/>
      </c>
      <c r="C1015">
        <f>BASE_EQUIPOS!B1015</f>
        <v/>
      </c>
      <c r="D1015">
        <f>BASE_EQUIPOS!D1015</f>
        <v/>
      </c>
      <c r="E1015">
        <f>BASE_EQUIPOS!G1015</f>
        <v/>
      </c>
      <c r="F1015">
        <f>BASE_EQUIPOS!H1015</f>
        <v/>
      </c>
      <c r="G1015">
        <f>BASE_EQUIPOS!M1015</f>
        <v/>
      </c>
      <c r="I1015" t="inlineStr">
        <is>
          <t>221 / 001544</t>
        </is>
      </c>
    </row>
    <row r="1016">
      <c r="A1016">
        <f>TRIM(BASE_EQUIPOS!N1016)</f>
        <v/>
      </c>
      <c r="B1016">
        <f>BASE_EQUIPOS!A1016</f>
        <v/>
      </c>
      <c r="C1016">
        <f>BASE_EQUIPOS!B1016</f>
        <v/>
      </c>
      <c r="D1016">
        <f>BASE_EQUIPOS!D1016</f>
        <v/>
      </c>
      <c r="E1016">
        <f>BASE_EQUIPOS!G1016</f>
        <v/>
      </c>
      <c r="F1016">
        <f>BASE_EQUIPOS!H1016</f>
        <v/>
      </c>
      <c r="G1016">
        <f>BASE_EQUIPOS!M1016</f>
        <v/>
      </c>
      <c r="I1016" t="inlineStr">
        <is>
          <t>304 / 001244</t>
        </is>
      </c>
    </row>
    <row r="1017">
      <c r="A1017">
        <f>TRIM(BASE_EQUIPOS!N1017)</f>
        <v/>
      </c>
      <c r="B1017">
        <f>BASE_EQUIPOS!A1017</f>
        <v/>
      </c>
      <c r="C1017">
        <f>BASE_EQUIPOS!B1017</f>
        <v/>
      </c>
      <c r="D1017">
        <f>BASE_EQUIPOS!D1017</f>
        <v/>
      </c>
      <c r="E1017">
        <f>BASE_EQUIPOS!G1017</f>
        <v/>
      </c>
      <c r="F1017">
        <f>BASE_EQUIPOS!H1017</f>
        <v/>
      </c>
      <c r="G1017">
        <f>BASE_EQUIPOS!M1017</f>
        <v/>
      </c>
      <c r="I1017" t="inlineStr">
        <is>
          <t>342 / 000934</t>
        </is>
      </c>
    </row>
    <row r="1018">
      <c r="A1018">
        <f>TRIM(BASE_EQUIPOS!N1018)</f>
        <v/>
      </c>
      <c r="B1018">
        <f>BASE_EQUIPOS!A1018</f>
        <v/>
      </c>
      <c r="C1018">
        <f>BASE_EQUIPOS!B1018</f>
        <v/>
      </c>
      <c r="D1018">
        <f>BASE_EQUIPOS!D1018</f>
        <v/>
      </c>
      <c r="E1018">
        <f>BASE_EQUIPOS!G1018</f>
        <v/>
      </c>
      <c r="F1018">
        <f>BASE_EQUIPOS!H1018</f>
        <v/>
      </c>
      <c r="G1018">
        <f>BASE_EQUIPOS!M1018</f>
        <v/>
      </c>
      <c r="I1018" t="inlineStr">
        <is>
          <t>S/N / 000638</t>
        </is>
      </c>
    </row>
    <row r="1019">
      <c r="A1019">
        <f>TRIM(BASE_EQUIPOS!N1019)</f>
        <v/>
      </c>
      <c r="B1019">
        <f>BASE_EQUIPOS!A1019</f>
        <v/>
      </c>
      <c r="C1019">
        <f>BASE_EQUIPOS!B1019</f>
        <v/>
      </c>
      <c r="D1019">
        <f>BASE_EQUIPOS!D1019</f>
        <v/>
      </c>
      <c r="E1019">
        <f>BASE_EQUIPOS!G1019</f>
        <v/>
      </c>
      <c r="F1019">
        <f>BASE_EQUIPOS!H1019</f>
        <v/>
      </c>
      <c r="G1019">
        <f>BASE_EQUIPOS!M1019</f>
        <v/>
      </c>
      <c r="I1019" t="inlineStr">
        <is>
          <t>S/N / 010584</t>
        </is>
      </c>
    </row>
    <row r="1020">
      <c r="A1020">
        <f>TRIM(BASE_EQUIPOS!N1020)</f>
        <v/>
      </c>
      <c r="B1020">
        <f>BASE_EQUIPOS!A1020</f>
        <v/>
      </c>
      <c r="C1020">
        <f>BASE_EQUIPOS!B1020</f>
        <v/>
      </c>
      <c r="D1020">
        <f>BASE_EQUIPOS!D1020</f>
        <v/>
      </c>
      <c r="E1020">
        <f>BASE_EQUIPOS!G1020</f>
        <v/>
      </c>
      <c r="F1020">
        <f>BASE_EQUIPOS!H1020</f>
        <v/>
      </c>
      <c r="G1020">
        <f>BASE_EQUIPOS!M1020</f>
        <v/>
      </c>
      <c r="I1020" t="inlineStr">
        <is>
          <t>S/N 201106</t>
        </is>
      </c>
    </row>
    <row r="1021">
      <c r="A1021">
        <f>TRIM(BASE_EQUIPOS!N1021)</f>
        <v/>
      </c>
      <c r="B1021">
        <f>BASE_EQUIPOS!A1021</f>
        <v/>
      </c>
      <c r="C1021">
        <f>BASE_EQUIPOS!B1021</f>
        <v/>
      </c>
      <c r="D1021">
        <f>BASE_EQUIPOS!D1021</f>
        <v/>
      </c>
      <c r="E1021">
        <f>BASE_EQUIPOS!G1021</f>
        <v/>
      </c>
      <c r="F1021">
        <f>BASE_EQUIPOS!H1021</f>
        <v/>
      </c>
      <c r="G1021">
        <f>BASE_EQUIPOS!M1021</f>
        <v/>
      </c>
      <c r="I1021" t="inlineStr">
        <is>
          <t>32 / 001288</t>
        </is>
      </c>
    </row>
    <row r="1022">
      <c r="A1022">
        <f>TRIM(BASE_EQUIPOS!N1022)</f>
        <v/>
      </c>
      <c r="B1022">
        <f>BASE_EQUIPOS!A1022</f>
        <v/>
      </c>
      <c r="C1022">
        <f>BASE_EQUIPOS!B1022</f>
        <v/>
      </c>
      <c r="D1022">
        <f>BASE_EQUIPOS!D1022</f>
        <v/>
      </c>
      <c r="E1022">
        <f>BASE_EQUIPOS!G1022</f>
        <v/>
      </c>
      <c r="F1022">
        <f>BASE_EQUIPOS!H1022</f>
        <v/>
      </c>
      <c r="G1022">
        <f>BASE_EQUIPOS!M1022</f>
        <v/>
      </c>
      <c r="I1022" t="inlineStr">
        <is>
          <t>399 / 000553</t>
        </is>
      </c>
    </row>
    <row r="1023">
      <c r="A1023">
        <f>TRIM(BASE_EQUIPOS!N1023)</f>
        <v/>
      </c>
      <c r="B1023">
        <f>BASE_EQUIPOS!A1023</f>
        <v/>
      </c>
      <c r="C1023">
        <f>BASE_EQUIPOS!B1023</f>
        <v/>
      </c>
      <c r="D1023">
        <f>BASE_EQUIPOS!D1023</f>
        <v/>
      </c>
      <c r="E1023">
        <f>BASE_EQUIPOS!G1023</f>
        <v/>
      </c>
      <c r="F1023">
        <f>BASE_EQUIPOS!H1023</f>
        <v/>
      </c>
      <c r="G1023">
        <f>BASE_EQUIPOS!M1023</f>
        <v/>
      </c>
      <c r="I1023" t="inlineStr">
        <is>
          <t>31 / 001337</t>
        </is>
      </c>
    </row>
    <row r="1024">
      <c r="A1024">
        <f>TRIM(BASE_EQUIPOS!N1024)</f>
        <v/>
      </c>
      <c r="B1024">
        <f>BASE_EQUIPOS!A1024</f>
        <v/>
      </c>
      <c r="C1024">
        <f>BASE_EQUIPOS!B1024</f>
        <v/>
      </c>
      <c r="D1024">
        <f>BASE_EQUIPOS!D1024</f>
        <v/>
      </c>
      <c r="E1024">
        <f>BASE_EQUIPOS!G1024</f>
        <v/>
      </c>
      <c r="F1024">
        <f>BASE_EQUIPOS!H1024</f>
        <v/>
      </c>
      <c r="G1024">
        <f>BASE_EQUIPOS!M1024</f>
        <v/>
      </c>
      <c r="I1024" t="inlineStr">
        <is>
          <t>42 / 001270</t>
        </is>
      </c>
    </row>
    <row r="1025">
      <c r="A1025">
        <f>TRIM(BASE_EQUIPOS!N1025)</f>
        <v/>
      </c>
      <c r="B1025">
        <f>BASE_EQUIPOS!A1025</f>
        <v/>
      </c>
      <c r="C1025">
        <f>BASE_EQUIPOS!B1025</f>
        <v/>
      </c>
      <c r="D1025">
        <f>BASE_EQUIPOS!D1025</f>
        <v/>
      </c>
      <c r="E1025">
        <f>BASE_EQUIPOS!G1025</f>
        <v/>
      </c>
      <c r="F1025">
        <f>BASE_EQUIPOS!H1025</f>
        <v/>
      </c>
      <c r="G1025">
        <f>BASE_EQUIPOS!M1025</f>
        <v/>
      </c>
      <c r="I1025" t="inlineStr">
        <is>
          <t>402182</t>
        </is>
      </c>
    </row>
    <row r="1026">
      <c r="A1026">
        <f>TRIM(BASE_EQUIPOS!N1026)</f>
        <v/>
      </c>
      <c r="B1026">
        <f>BASE_EQUIPOS!A1026</f>
        <v/>
      </c>
      <c r="C1026">
        <f>BASE_EQUIPOS!B1026</f>
        <v/>
      </c>
      <c r="D1026">
        <f>BASE_EQUIPOS!D1026</f>
        <v/>
      </c>
      <c r="E1026">
        <f>BASE_EQUIPOS!G1026</f>
        <v/>
      </c>
      <c r="F1026">
        <f>BASE_EQUIPOS!H1026</f>
        <v/>
      </c>
      <c r="G1026">
        <f>BASE_EQUIPOS!M1026</f>
        <v/>
      </c>
      <c r="I1026" t="inlineStr">
        <is>
          <t>000712</t>
        </is>
      </c>
    </row>
    <row r="1027">
      <c r="A1027">
        <f>TRIM(BASE_EQUIPOS!N1027)</f>
        <v/>
      </c>
      <c r="B1027">
        <f>BASE_EQUIPOS!A1027</f>
        <v/>
      </c>
      <c r="C1027">
        <f>BASE_EQUIPOS!B1027</f>
        <v/>
      </c>
      <c r="D1027">
        <f>BASE_EQUIPOS!D1027</f>
        <v/>
      </c>
      <c r="E1027">
        <f>BASE_EQUIPOS!G1027</f>
        <v/>
      </c>
      <c r="F1027">
        <f>BASE_EQUIPOS!H1027</f>
        <v/>
      </c>
      <c r="G1027">
        <f>BASE_EQUIPOS!M1027</f>
        <v/>
      </c>
      <c r="I1027" t="inlineStr">
        <is>
          <t>000959</t>
        </is>
      </c>
    </row>
    <row r="1028">
      <c r="A1028">
        <f>TRIM(BASE_EQUIPOS!N1028)</f>
        <v/>
      </c>
      <c r="B1028">
        <f>BASE_EQUIPOS!A1028</f>
        <v/>
      </c>
      <c r="C1028">
        <f>BASE_EQUIPOS!B1028</f>
        <v/>
      </c>
      <c r="D1028">
        <f>BASE_EQUIPOS!D1028</f>
        <v/>
      </c>
      <c r="E1028">
        <f>BASE_EQUIPOS!G1028</f>
        <v/>
      </c>
      <c r="F1028">
        <f>BASE_EQUIPOS!H1028</f>
        <v/>
      </c>
      <c r="G1028">
        <f>BASE_EQUIPOS!M1028</f>
        <v/>
      </c>
      <c r="I1028" t="inlineStr">
        <is>
          <t>002680</t>
        </is>
      </c>
    </row>
    <row r="1029">
      <c r="A1029">
        <f>TRIM(BASE_EQUIPOS!N1029)</f>
        <v/>
      </c>
      <c r="B1029">
        <f>BASE_EQUIPOS!A1029</f>
        <v/>
      </c>
      <c r="C1029">
        <f>BASE_EQUIPOS!B1029</f>
        <v/>
      </c>
      <c r="D1029">
        <f>BASE_EQUIPOS!D1029</f>
        <v/>
      </c>
      <c r="E1029">
        <f>BASE_EQUIPOS!G1029</f>
        <v/>
      </c>
      <c r="F1029">
        <f>BASE_EQUIPOS!H1029</f>
        <v/>
      </c>
      <c r="G1029">
        <f>BASE_EQUIPOS!M1029</f>
        <v/>
      </c>
      <c r="I1029" t="inlineStr">
        <is>
          <t>000454</t>
        </is>
      </c>
    </row>
    <row r="1030">
      <c r="A1030">
        <f>TRIM(BASE_EQUIPOS!N1030)</f>
        <v/>
      </c>
      <c r="B1030">
        <f>BASE_EQUIPOS!A1030</f>
        <v/>
      </c>
      <c r="C1030">
        <f>BASE_EQUIPOS!B1030</f>
        <v/>
      </c>
      <c r="D1030">
        <f>BASE_EQUIPOS!D1030</f>
        <v/>
      </c>
      <c r="E1030">
        <f>BASE_EQUIPOS!G1030</f>
        <v/>
      </c>
      <c r="F1030">
        <f>BASE_EQUIPOS!H1030</f>
        <v/>
      </c>
      <c r="G1030">
        <f>BASE_EQUIPOS!M1030</f>
        <v/>
      </c>
      <c r="I1030" t="inlineStr">
        <is>
          <t>000013</t>
        </is>
      </c>
    </row>
    <row r="1031">
      <c r="A1031">
        <f>TRIM(BASE_EQUIPOS!N1031)</f>
        <v/>
      </c>
      <c r="B1031">
        <f>BASE_EQUIPOS!A1031</f>
        <v/>
      </c>
      <c r="C1031">
        <f>BASE_EQUIPOS!B1031</f>
        <v/>
      </c>
      <c r="D1031">
        <f>BASE_EQUIPOS!D1031</f>
        <v/>
      </c>
      <c r="E1031">
        <f>BASE_EQUIPOS!G1031</f>
        <v/>
      </c>
      <c r="F1031">
        <f>BASE_EQUIPOS!H1031</f>
        <v/>
      </c>
      <c r="G1031">
        <f>BASE_EQUIPOS!M1031</f>
        <v/>
      </c>
      <c r="I1031" t="inlineStr">
        <is>
          <t>003895</t>
        </is>
      </c>
    </row>
    <row r="1032">
      <c r="A1032">
        <f>TRIM(BASE_EQUIPOS!N1032)</f>
        <v/>
      </c>
      <c r="B1032">
        <f>BASE_EQUIPOS!A1032</f>
        <v/>
      </c>
      <c r="C1032">
        <f>BASE_EQUIPOS!B1032</f>
        <v/>
      </c>
      <c r="D1032">
        <f>BASE_EQUIPOS!D1032</f>
        <v/>
      </c>
      <c r="E1032">
        <f>BASE_EQUIPOS!G1032</f>
        <v/>
      </c>
      <c r="F1032">
        <f>BASE_EQUIPOS!H1032</f>
        <v/>
      </c>
      <c r="G1032">
        <f>BASE_EQUIPOS!M1032</f>
        <v/>
      </c>
      <c r="I1032" t="inlineStr">
        <is>
          <t>000104</t>
        </is>
      </c>
    </row>
    <row r="1033">
      <c r="A1033">
        <f>TRIM(BASE_EQUIPOS!N1033)</f>
        <v/>
      </c>
      <c r="B1033">
        <f>BASE_EQUIPOS!A1033</f>
        <v/>
      </c>
      <c r="C1033">
        <f>BASE_EQUIPOS!B1033</f>
        <v/>
      </c>
      <c r="D1033">
        <f>BASE_EQUIPOS!D1033</f>
        <v/>
      </c>
      <c r="E1033">
        <f>BASE_EQUIPOS!G1033</f>
        <v/>
      </c>
      <c r="F1033">
        <f>BASE_EQUIPOS!H1033</f>
        <v/>
      </c>
      <c r="G1033">
        <f>BASE_EQUIPOS!M1033</f>
        <v/>
      </c>
      <c r="I1033" t="inlineStr">
        <is>
          <t>000041</t>
        </is>
      </c>
    </row>
    <row r="1034">
      <c r="A1034">
        <f>TRIM(BASE_EQUIPOS!N1034)</f>
        <v/>
      </c>
      <c r="B1034">
        <f>BASE_EQUIPOS!A1034</f>
        <v/>
      </c>
      <c r="C1034">
        <f>BASE_EQUIPOS!B1034</f>
        <v/>
      </c>
      <c r="D1034">
        <f>BASE_EQUIPOS!D1034</f>
        <v/>
      </c>
      <c r="E1034">
        <f>BASE_EQUIPOS!G1034</f>
        <v/>
      </c>
      <c r="F1034">
        <f>BASE_EQUIPOS!H1034</f>
        <v/>
      </c>
      <c r="G1034">
        <f>BASE_EQUIPOS!M1034</f>
        <v/>
      </c>
      <c r="I1034" t="inlineStr">
        <is>
          <t>137242</t>
        </is>
      </c>
    </row>
    <row r="1035">
      <c r="A1035">
        <f>TRIM(BASE_EQUIPOS!N1035)</f>
        <v/>
      </c>
      <c r="B1035">
        <f>BASE_EQUIPOS!A1035</f>
        <v/>
      </c>
      <c r="C1035">
        <f>BASE_EQUIPOS!B1035</f>
        <v/>
      </c>
      <c r="D1035">
        <f>BASE_EQUIPOS!D1035</f>
        <v/>
      </c>
      <c r="E1035">
        <f>BASE_EQUIPOS!G1035</f>
        <v/>
      </c>
      <c r="F1035">
        <f>BASE_EQUIPOS!H1035</f>
        <v/>
      </c>
      <c r="G1035">
        <f>BASE_EQUIPOS!M1035</f>
        <v/>
      </c>
      <c r="I1035" t="inlineStr">
        <is>
          <t>309 / 000234</t>
        </is>
      </c>
    </row>
    <row r="1036">
      <c r="A1036">
        <f>TRIM(BASE_EQUIPOS!N1036)</f>
        <v/>
      </c>
      <c r="B1036">
        <f>BASE_EQUIPOS!A1036</f>
        <v/>
      </c>
      <c r="C1036">
        <f>BASE_EQUIPOS!B1036</f>
        <v/>
      </c>
      <c r="D1036">
        <f>BASE_EQUIPOS!D1036</f>
        <v/>
      </c>
      <c r="E1036">
        <f>BASE_EQUIPOS!G1036</f>
        <v/>
      </c>
      <c r="F1036">
        <f>BASE_EQUIPOS!H1036</f>
        <v/>
      </c>
      <c r="G1036">
        <f>BASE_EQUIPOS!M1036</f>
        <v/>
      </c>
      <c r="I1036" t="inlineStr">
        <is>
          <t>106 / 000837</t>
        </is>
      </c>
    </row>
    <row r="1037">
      <c r="A1037">
        <f>TRIM(BASE_EQUIPOS!N1037)</f>
        <v/>
      </c>
      <c r="B1037">
        <f>BASE_EQUIPOS!A1037</f>
        <v/>
      </c>
      <c r="C1037">
        <f>BASE_EQUIPOS!B1037</f>
        <v/>
      </c>
      <c r="D1037">
        <f>BASE_EQUIPOS!D1037</f>
        <v/>
      </c>
      <c r="E1037">
        <f>BASE_EQUIPOS!G1037</f>
        <v/>
      </c>
      <c r="F1037">
        <f>BASE_EQUIPOS!H1037</f>
        <v/>
      </c>
      <c r="G1037">
        <f>BASE_EQUIPOS!M1037</f>
        <v/>
      </c>
      <c r="I1037" t="inlineStr">
        <is>
          <t>128 / 006508</t>
        </is>
      </c>
    </row>
    <row r="1038">
      <c r="A1038">
        <f>TRIM(BASE_EQUIPOS!N1038)</f>
        <v/>
      </c>
      <c r="B1038">
        <f>BASE_EQUIPOS!A1038</f>
        <v/>
      </c>
      <c r="C1038">
        <f>BASE_EQUIPOS!B1038</f>
        <v/>
      </c>
      <c r="D1038">
        <f>BASE_EQUIPOS!D1038</f>
        <v/>
      </c>
      <c r="E1038">
        <f>BASE_EQUIPOS!G1038</f>
        <v/>
      </c>
      <c r="F1038">
        <f>BASE_EQUIPOS!H1038</f>
        <v/>
      </c>
      <c r="G1038">
        <f>BASE_EQUIPOS!M1038</f>
        <v/>
      </c>
      <c r="I1038" t="inlineStr">
        <is>
          <t>61 / 001482</t>
        </is>
      </c>
    </row>
    <row r="1039">
      <c r="A1039">
        <f>TRIM(BASE_EQUIPOS!N1039)</f>
        <v/>
      </c>
      <c r="B1039">
        <f>BASE_EQUIPOS!A1039</f>
        <v/>
      </c>
      <c r="C1039">
        <f>BASE_EQUIPOS!B1039</f>
        <v/>
      </c>
      <c r="D1039">
        <f>BASE_EQUIPOS!D1039</f>
        <v/>
      </c>
      <c r="E1039">
        <f>BASE_EQUIPOS!G1039</f>
        <v/>
      </c>
      <c r="F1039">
        <f>BASE_EQUIPOS!H1039</f>
        <v/>
      </c>
      <c r="G1039">
        <f>BASE_EQUIPOS!M1039</f>
        <v/>
      </c>
      <c r="I1039" t="inlineStr">
        <is>
          <t>155 / 001375</t>
        </is>
      </c>
    </row>
    <row r="1040">
      <c r="A1040">
        <f>TRIM(BASE_EQUIPOS!N1040)</f>
        <v/>
      </c>
      <c r="B1040">
        <f>BASE_EQUIPOS!A1040</f>
        <v/>
      </c>
      <c r="C1040">
        <f>BASE_EQUIPOS!B1040</f>
        <v/>
      </c>
      <c r="D1040">
        <f>BASE_EQUIPOS!D1040</f>
        <v/>
      </c>
      <c r="E1040">
        <f>BASE_EQUIPOS!G1040</f>
        <v/>
      </c>
      <c r="F1040">
        <f>BASE_EQUIPOS!H1040</f>
        <v/>
      </c>
      <c r="G1040">
        <f>BASE_EQUIPOS!M1040</f>
        <v/>
      </c>
      <c r="I1040" t="inlineStr">
        <is>
          <t>58 / 000312</t>
        </is>
      </c>
    </row>
    <row r="1041">
      <c r="A1041">
        <f>TRIM(BASE_EQUIPOS!N1041)</f>
        <v/>
      </c>
      <c r="B1041">
        <f>BASE_EQUIPOS!A1041</f>
        <v/>
      </c>
      <c r="C1041">
        <f>BASE_EQUIPOS!B1041</f>
        <v/>
      </c>
      <c r="D1041">
        <f>BASE_EQUIPOS!D1041</f>
        <v/>
      </c>
      <c r="E1041">
        <f>BASE_EQUIPOS!G1041</f>
        <v/>
      </c>
      <c r="F1041">
        <f>BASE_EQUIPOS!H1041</f>
        <v/>
      </c>
      <c r="G1041">
        <f>BASE_EQUIPOS!M1041</f>
        <v/>
      </c>
      <c r="I1041" t="inlineStr">
        <is>
          <t>100 / 000139</t>
        </is>
      </c>
    </row>
    <row r="1042">
      <c r="A1042">
        <f>TRIM(BASE_EQUIPOS!N1042)</f>
        <v/>
      </c>
      <c r="B1042">
        <f>BASE_EQUIPOS!A1042</f>
        <v/>
      </c>
      <c r="C1042">
        <f>BASE_EQUIPOS!B1042</f>
        <v/>
      </c>
      <c r="D1042">
        <f>BASE_EQUIPOS!D1042</f>
        <v/>
      </c>
      <c r="E1042">
        <f>BASE_EQUIPOS!G1042</f>
        <v/>
      </c>
      <c r="F1042">
        <f>BASE_EQUIPOS!H1042</f>
        <v/>
      </c>
      <c r="G1042">
        <f>BASE_EQUIPOS!M1042</f>
        <v/>
      </c>
      <c r="I1042" t="inlineStr">
        <is>
          <t>S/N / 004887</t>
        </is>
      </c>
    </row>
    <row r="1043">
      <c r="A1043">
        <f>TRIM(BASE_EQUIPOS!N1043)</f>
        <v/>
      </c>
      <c r="B1043">
        <f>BASE_EQUIPOS!A1043</f>
        <v/>
      </c>
      <c r="C1043">
        <f>BASE_EQUIPOS!B1043</f>
        <v/>
      </c>
      <c r="D1043">
        <f>BASE_EQUIPOS!D1043</f>
        <v/>
      </c>
      <c r="E1043">
        <f>BASE_EQUIPOS!G1043</f>
        <v/>
      </c>
      <c r="F1043">
        <f>BASE_EQUIPOS!H1043</f>
        <v/>
      </c>
      <c r="G1043">
        <f>BASE_EQUIPOS!M1043</f>
        <v/>
      </c>
      <c r="I1043" t="inlineStr">
        <is>
          <t>S/N / 000066</t>
        </is>
      </c>
    </row>
    <row r="1044">
      <c r="A1044">
        <f>TRIM(BASE_EQUIPOS!N1044)</f>
        <v/>
      </c>
      <c r="B1044">
        <f>BASE_EQUIPOS!A1044</f>
        <v/>
      </c>
      <c r="C1044">
        <f>BASE_EQUIPOS!B1044</f>
        <v/>
      </c>
      <c r="D1044">
        <f>BASE_EQUIPOS!D1044</f>
        <v/>
      </c>
      <c r="E1044">
        <f>BASE_EQUIPOS!G1044</f>
        <v/>
      </c>
      <c r="F1044">
        <f>BASE_EQUIPOS!H1044</f>
        <v/>
      </c>
      <c r="G1044">
        <f>BASE_EQUIPOS!M1044</f>
        <v/>
      </c>
      <c r="I1044" t="inlineStr">
        <is>
          <t>000744</t>
        </is>
      </c>
    </row>
    <row r="1045">
      <c r="A1045">
        <f>TRIM(BASE_EQUIPOS!N1045)</f>
        <v/>
      </c>
      <c r="B1045">
        <f>BASE_EQUIPOS!A1045</f>
        <v/>
      </c>
      <c r="C1045">
        <f>BASE_EQUIPOS!B1045</f>
        <v/>
      </c>
      <c r="D1045">
        <f>BASE_EQUIPOS!D1045</f>
        <v/>
      </c>
      <c r="E1045">
        <f>BASE_EQUIPOS!G1045</f>
        <v/>
      </c>
      <c r="F1045">
        <f>BASE_EQUIPOS!H1045</f>
        <v/>
      </c>
      <c r="G1045">
        <f>BASE_EQUIPOS!M1045</f>
        <v/>
      </c>
      <c r="I1045" t="inlineStr">
        <is>
          <t>017104</t>
        </is>
      </c>
    </row>
    <row r="1046">
      <c r="A1046">
        <f>TRIM(BASE_EQUIPOS!N1046)</f>
        <v/>
      </c>
      <c r="B1046">
        <f>BASE_EQUIPOS!A1046</f>
        <v/>
      </c>
      <c r="C1046">
        <f>BASE_EQUIPOS!B1046</f>
        <v/>
      </c>
      <c r="D1046">
        <f>BASE_EQUIPOS!D1046</f>
        <v/>
      </c>
      <c r="E1046">
        <f>BASE_EQUIPOS!G1046</f>
        <v/>
      </c>
      <c r="F1046">
        <f>BASE_EQUIPOS!H1046</f>
        <v/>
      </c>
      <c r="G1046">
        <f>BASE_EQUIPOS!M1046</f>
        <v/>
      </c>
      <c r="I1046" t="inlineStr">
        <is>
          <t>002476</t>
        </is>
      </c>
    </row>
    <row r="1047">
      <c r="A1047">
        <f>TRIM(BASE_EQUIPOS!N1047)</f>
        <v/>
      </c>
      <c r="B1047">
        <f>BASE_EQUIPOS!A1047</f>
        <v/>
      </c>
      <c r="C1047">
        <f>BASE_EQUIPOS!B1047</f>
        <v/>
      </c>
      <c r="D1047">
        <f>BASE_EQUIPOS!D1047</f>
        <v/>
      </c>
      <c r="E1047">
        <f>BASE_EQUIPOS!G1047</f>
        <v/>
      </c>
      <c r="F1047">
        <f>BASE_EQUIPOS!H1047</f>
        <v/>
      </c>
      <c r="G1047">
        <f>BASE_EQUIPOS!M1047</f>
        <v/>
      </c>
      <c r="I1047" t="inlineStr">
        <is>
          <t>136 / 000008</t>
        </is>
      </c>
    </row>
    <row r="1048">
      <c r="A1048">
        <f>TRIM(BASE_EQUIPOS!N1048)</f>
        <v/>
      </c>
      <c r="B1048">
        <f>BASE_EQUIPOS!A1048</f>
        <v/>
      </c>
      <c r="C1048">
        <f>BASE_EQUIPOS!B1048</f>
        <v/>
      </c>
      <c r="D1048">
        <f>BASE_EQUIPOS!D1048</f>
        <v/>
      </c>
      <c r="E1048">
        <f>BASE_EQUIPOS!G1048</f>
        <v/>
      </c>
      <c r="F1048">
        <f>BASE_EQUIPOS!H1048</f>
        <v/>
      </c>
      <c r="G1048">
        <f>BASE_EQUIPOS!M1048</f>
        <v/>
      </c>
      <c r="I1048" t="inlineStr">
        <is>
          <t>S/N / 004208</t>
        </is>
      </c>
    </row>
    <row r="1049">
      <c r="A1049">
        <f>TRIM(BASE_EQUIPOS!N1049)</f>
        <v/>
      </c>
      <c r="B1049">
        <f>BASE_EQUIPOS!A1049</f>
        <v/>
      </c>
      <c r="C1049">
        <f>BASE_EQUIPOS!B1049</f>
        <v/>
      </c>
      <c r="D1049">
        <f>BASE_EQUIPOS!D1049</f>
        <v/>
      </c>
      <c r="E1049">
        <f>BASE_EQUIPOS!G1049</f>
        <v/>
      </c>
      <c r="F1049">
        <f>BASE_EQUIPOS!H1049</f>
        <v/>
      </c>
      <c r="G1049">
        <f>BASE_EQUIPOS!M1049</f>
        <v/>
      </c>
      <c r="I1049" t="inlineStr">
        <is>
          <t>336 / 000307</t>
        </is>
      </c>
    </row>
    <row r="1050">
      <c r="A1050">
        <f>TRIM(BASE_EQUIPOS!N1050)</f>
        <v/>
      </c>
      <c r="B1050">
        <f>BASE_EQUIPOS!A1050</f>
        <v/>
      </c>
      <c r="C1050">
        <f>BASE_EQUIPOS!B1050</f>
        <v/>
      </c>
      <c r="D1050">
        <f>BASE_EQUIPOS!D1050</f>
        <v/>
      </c>
      <c r="E1050">
        <f>BASE_EQUIPOS!G1050</f>
        <v/>
      </c>
      <c r="F1050">
        <f>BASE_EQUIPOS!H1050</f>
        <v/>
      </c>
      <c r="G1050">
        <f>BASE_EQUIPOS!M1050</f>
        <v/>
      </c>
      <c r="I1050" t="inlineStr">
        <is>
          <t>34 / 001548</t>
        </is>
      </c>
    </row>
    <row r="1051">
      <c r="A1051">
        <f>TRIM(BASE_EQUIPOS!N1051)</f>
        <v/>
      </c>
      <c r="B1051">
        <f>BASE_EQUIPOS!A1051</f>
        <v/>
      </c>
      <c r="C1051">
        <f>BASE_EQUIPOS!B1051</f>
        <v/>
      </c>
      <c r="D1051">
        <f>BASE_EQUIPOS!D1051</f>
        <v/>
      </c>
      <c r="E1051">
        <f>BASE_EQUIPOS!G1051</f>
        <v/>
      </c>
      <c r="F1051">
        <f>BASE_EQUIPOS!H1051</f>
        <v/>
      </c>
      <c r="G1051">
        <f>BASE_EQUIPOS!M1051</f>
        <v/>
      </c>
      <c r="I1051" t="inlineStr">
        <is>
          <t>303 / 001225</t>
        </is>
      </c>
    </row>
    <row r="1052">
      <c r="A1052">
        <f>TRIM(BASE_EQUIPOS!N1052)</f>
        <v/>
      </c>
      <c r="B1052">
        <f>BASE_EQUIPOS!A1052</f>
        <v/>
      </c>
      <c r="C1052">
        <f>BASE_EQUIPOS!B1052</f>
        <v/>
      </c>
      <c r="D1052">
        <f>BASE_EQUIPOS!D1052</f>
        <v/>
      </c>
      <c r="E1052">
        <f>BASE_EQUIPOS!G1052</f>
        <v/>
      </c>
      <c r="F1052">
        <f>BASE_EQUIPOS!H1052</f>
        <v/>
      </c>
      <c r="G1052">
        <f>BASE_EQUIPOS!M1052</f>
        <v/>
      </c>
      <c r="I1052" t="inlineStr">
        <is>
          <t>S/N / 001015</t>
        </is>
      </c>
    </row>
    <row r="1053">
      <c r="A1053">
        <f>TRIM(BASE_EQUIPOS!N1053)</f>
        <v/>
      </c>
      <c r="B1053">
        <f>BASE_EQUIPOS!A1053</f>
        <v/>
      </c>
      <c r="C1053">
        <f>BASE_EQUIPOS!B1053</f>
        <v/>
      </c>
      <c r="D1053">
        <f>BASE_EQUIPOS!D1053</f>
        <v/>
      </c>
      <c r="E1053">
        <f>BASE_EQUIPOS!G1053</f>
        <v/>
      </c>
      <c r="F1053">
        <f>BASE_EQUIPOS!H1053</f>
        <v/>
      </c>
      <c r="G1053">
        <f>BASE_EQUIPOS!M1053</f>
        <v/>
      </c>
      <c r="I1053" t="inlineStr">
        <is>
          <t>142 / 000123</t>
        </is>
      </c>
    </row>
    <row r="1054">
      <c r="A1054">
        <f>TRIM(BASE_EQUIPOS!N1054)</f>
        <v/>
      </c>
      <c r="B1054">
        <f>BASE_EQUIPOS!A1054</f>
        <v/>
      </c>
      <c r="C1054">
        <f>BASE_EQUIPOS!B1054</f>
        <v/>
      </c>
      <c r="D1054">
        <f>BASE_EQUIPOS!D1054</f>
        <v/>
      </c>
      <c r="E1054">
        <f>BASE_EQUIPOS!G1054</f>
        <v/>
      </c>
      <c r="F1054">
        <f>BASE_EQUIPOS!H1054</f>
        <v/>
      </c>
      <c r="G1054">
        <f>BASE_EQUIPOS!M1054</f>
        <v/>
      </c>
      <c r="I1054" t="inlineStr">
        <is>
          <t>S/N / 000313</t>
        </is>
      </c>
    </row>
    <row r="1055">
      <c r="A1055">
        <f>TRIM(BASE_EQUIPOS!N1055)</f>
        <v/>
      </c>
      <c r="B1055">
        <f>BASE_EQUIPOS!A1055</f>
        <v/>
      </c>
      <c r="C1055">
        <f>BASE_EQUIPOS!B1055</f>
        <v/>
      </c>
      <c r="D1055">
        <f>BASE_EQUIPOS!D1055</f>
        <v/>
      </c>
      <c r="E1055">
        <f>BASE_EQUIPOS!G1055</f>
        <v/>
      </c>
      <c r="F1055">
        <f>BASE_EQUIPOS!H1055</f>
        <v/>
      </c>
      <c r="G1055">
        <f>BASE_EQUIPOS!M1055</f>
        <v/>
      </c>
      <c r="I1055" t="inlineStr">
        <is>
          <t>S/N 000483</t>
        </is>
      </c>
    </row>
    <row r="1056">
      <c r="A1056">
        <f>TRIM(BASE_EQUIPOS!N1056)</f>
        <v/>
      </c>
      <c r="B1056">
        <f>BASE_EQUIPOS!A1056</f>
        <v/>
      </c>
      <c r="C1056">
        <f>BASE_EQUIPOS!B1056</f>
        <v/>
      </c>
      <c r="D1056">
        <f>BASE_EQUIPOS!D1056</f>
        <v/>
      </c>
      <c r="E1056">
        <f>BASE_EQUIPOS!G1056</f>
        <v/>
      </c>
      <c r="F1056">
        <f>BASE_EQUIPOS!H1056</f>
        <v/>
      </c>
      <c r="G1056">
        <f>BASE_EQUIPOS!M1056</f>
        <v/>
      </c>
      <c r="I1056" t="inlineStr">
        <is>
          <t>005195</t>
        </is>
      </c>
    </row>
    <row r="1057">
      <c r="A1057">
        <f>TRIM(BASE_EQUIPOS!N1057)</f>
        <v/>
      </c>
      <c r="B1057">
        <f>BASE_EQUIPOS!A1057</f>
        <v/>
      </c>
      <c r="C1057">
        <f>BASE_EQUIPOS!B1057</f>
        <v/>
      </c>
      <c r="D1057">
        <f>BASE_EQUIPOS!D1057</f>
        <v/>
      </c>
      <c r="E1057">
        <f>BASE_EQUIPOS!G1057</f>
        <v/>
      </c>
      <c r="F1057">
        <f>BASE_EQUIPOS!H1057</f>
        <v/>
      </c>
      <c r="G1057">
        <f>BASE_EQUIPOS!M1057</f>
        <v/>
      </c>
      <c r="I1057" t="inlineStr">
        <is>
          <t>005092</t>
        </is>
      </c>
    </row>
    <row r="1058">
      <c r="A1058">
        <f>TRIM(BASE_EQUIPOS!N1058)</f>
        <v/>
      </c>
      <c r="B1058">
        <f>BASE_EQUIPOS!A1058</f>
        <v/>
      </c>
      <c r="C1058">
        <f>BASE_EQUIPOS!B1058</f>
        <v/>
      </c>
      <c r="D1058">
        <f>BASE_EQUIPOS!D1058</f>
        <v/>
      </c>
      <c r="E1058">
        <f>BASE_EQUIPOS!G1058</f>
        <v/>
      </c>
      <c r="F1058">
        <f>BASE_EQUIPOS!H1058</f>
        <v/>
      </c>
      <c r="G1058">
        <f>BASE_EQUIPOS!M1058</f>
        <v/>
      </c>
      <c r="I1058" t="inlineStr">
        <is>
          <t>01 / H89373094</t>
        </is>
      </c>
    </row>
    <row r="1059">
      <c r="A1059">
        <f>TRIM(BASE_EQUIPOS!N1059)</f>
        <v/>
      </c>
      <c r="B1059">
        <f>BASE_EQUIPOS!A1059</f>
        <v/>
      </c>
      <c r="C1059">
        <f>BASE_EQUIPOS!B1059</f>
        <v/>
      </c>
      <c r="D1059">
        <f>BASE_EQUIPOS!D1059</f>
        <v/>
      </c>
      <c r="E1059">
        <f>BASE_EQUIPOS!G1059</f>
        <v/>
      </c>
      <c r="F1059">
        <f>BASE_EQUIPOS!H1059</f>
        <v/>
      </c>
      <c r="G1059">
        <f>BASE_EQUIPOS!M1059</f>
        <v/>
      </c>
      <c r="I1059" t="inlineStr">
        <is>
          <t>02 / H89368374</t>
        </is>
      </c>
    </row>
    <row r="1060">
      <c r="A1060">
        <f>TRIM(BASE_EQUIPOS!N1060)</f>
        <v/>
      </c>
      <c r="B1060">
        <f>BASE_EQUIPOS!A1060</f>
        <v/>
      </c>
      <c r="C1060">
        <f>BASE_EQUIPOS!B1060</f>
        <v/>
      </c>
      <c r="D1060">
        <f>BASE_EQUIPOS!D1060</f>
        <v/>
      </c>
      <c r="E1060">
        <f>BASE_EQUIPOS!G1060</f>
        <v/>
      </c>
      <c r="F1060">
        <f>BASE_EQUIPOS!H1060</f>
        <v/>
      </c>
      <c r="G1060">
        <f>BASE_EQUIPOS!M1060</f>
        <v/>
      </c>
      <c r="I1060" t="inlineStr">
        <is>
          <t>03 / H89373060</t>
        </is>
      </c>
    </row>
    <row r="1061">
      <c r="A1061">
        <f>TRIM(BASE_EQUIPOS!N1061)</f>
        <v/>
      </c>
      <c r="B1061">
        <f>BASE_EQUIPOS!A1061</f>
        <v/>
      </c>
      <c r="C1061">
        <f>BASE_EQUIPOS!B1061</f>
        <v/>
      </c>
      <c r="D1061">
        <f>BASE_EQUIPOS!D1061</f>
        <v/>
      </c>
      <c r="E1061">
        <f>BASE_EQUIPOS!G1061</f>
        <v/>
      </c>
      <c r="F1061">
        <f>BASE_EQUIPOS!H1061</f>
        <v/>
      </c>
      <c r="G1061">
        <f>BASE_EQUIPOS!M1061</f>
        <v/>
      </c>
      <c r="I1061" t="inlineStr">
        <is>
          <t>127 / 000176</t>
        </is>
      </c>
    </row>
    <row r="1062">
      <c r="A1062">
        <f>TRIM(BASE_EQUIPOS!N1062)</f>
        <v/>
      </c>
      <c r="B1062">
        <f>BASE_EQUIPOS!A1062</f>
        <v/>
      </c>
      <c r="C1062">
        <f>BASE_EQUIPOS!B1062</f>
        <v/>
      </c>
      <c r="D1062">
        <f>BASE_EQUIPOS!D1062</f>
        <v/>
      </c>
      <c r="E1062">
        <f>BASE_EQUIPOS!G1062</f>
        <v/>
      </c>
      <c r="F1062">
        <f>BASE_EQUIPOS!H1062</f>
        <v/>
      </c>
      <c r="G1062">
        <f>BASE_EQUIPOS!M1062</f>
        <v/>
      </c>
      <c r="I1062" t="inlineStr">
        <is>
          <t>104 / 001188</t>
        </is>
      </c>
    </row>
    <row r="1063">
      <c r="A1063">
        <f>TRIM(BASE_EQUIPOS!N1063)</f>
        <v/>
      </c>
      <c r="B1063">
        <f>BASE_EQUIPOS!A1063</f>
        <v/>
      </c>
      <c r="C1063">
        <f>BASE_EQUIPOS!B1063</f>
        <v/>
      </c>
      <c r="D1063">
        <f>BASE_EQUIPOS!D1063</f>
        <v/>
      </c>
      <c r="E1063">
        <f>BASE_EQUIPOS!G1063</f>
        <v/>
      </c>
      <c r="F1063">
        <f>BASE_EQUIPOS!H1063</f>
        <v/>
      </c>
      <c r="G1063">
        <f>BASE_EQUIPOS!M1063</f>
        <v/>
      </c>
      <c r="I1063" t="inlineStr">
        <is>
          <t>A2 / 002474</t>
        </is>
      </c>
    </row>
    <row r="1064">
      <c r="A1064">
        <f>TRIM(BASE_EQUIPOS!N1064)</f>
        <v/>
      </c>
      <c r="B1064">
        <f>BASE_EQUIPOS!A1064</f>
        <v/>
      </c>
      <c r="C1064">
        <f>BASE_EQUIPOS!B1064</f>
        <v/>
      </c>
      <c r="D1064">
        <f>BASE_EQUIPOS!D1064</f>
        <v/>
      </c>
      <c r="E1064">
        <f>BASE_EQUIPOS!G1064</f>
        <v/>
      </c>
      <c r="F1064">
        <f>BASE_EQUIPOS!H1064</f>
        <v/>
      </c>
      <c r="G1064">
        <f>BASE_EQUIPOS!M1064</f>
        <v/>
      </c>
      <c r="I1064" t="inlineStr">
        <is>
          <t>108 / 000008</t>
        </is>
      </c>
    </row>
    <row r="1065">
      <c r="A1065">
        <f>TRIM(BASE_EQUIPOS!N1065)</f>
        <v/>
      </c>
      <c r="B1065">
        <f>BASE_EQUIPOS!A1065</f>
        <v/>
      </c>
      <c r="C1065">
        <f>BASE_EQUIPOS!B1065</f>
        <v/>
      </c>
      <c r="D1065">
        <f>BASE_EQUIPOS!D1065</f>
        <v/>
      </c>
      <c r="E1065">
        <f>BASE_EQUIPOS!G1065</f>
        <v/>
      </c>
      <c r="F1065">
        <f>BASE_EQUIPOS!H1065</f>
        <v/>
      </c>
      <c r="G1065">
        <f>BASE_EQUIPOS!M1065</f>
        <v/>
      </c>
      <c r="I1065" t="inlineStr">
        <is>
          <t>S/N / 001548</t>
        </is>
      </c>
    </row>
    <row r="1066">
      <c r="A1066">
        <f>TRIM(BASE_EQUIPOS!N1066)</f>
        <v/>
      </c>
      <c r="B1066">
        <f>BASE_EQUIPOS!A1066</f>
        <v/>
      </c>
      <c r="C1066">
        <f>BASE_EQUIPOS!B1066</f>
        <v/>
      </c>
      <c r="D1066">
        <f>BASE_EQUIPOS!D1066</f>
        <v/>
      </c>
      <c r="E1066">
        <f>BASE_EQUIPOS!G1066</f>
        <v/>
      </c>
      <c r="F1066">
        <f>BASE_EQUIPOS!H1066</f>
        <v/>
      </c>
      <c r="G1066">
        <f>BASE_EQUIPOS!M1066</f>
        <v/>
      </c>
      <c r="I1066" t="inlineStr">
        <is>
          <t>014467</t>
        </is>
      </c>
    </row>
    <row r="1067">
      <c r="A1067">
        <f>TRIM(BASE_EQUIPOS!N1067)</f>
        <v/>
      </c>
      <c r="B1067">
        <f>BASE_EQUIPOS!A1067</f>
        <v/>
      </c>
      <c r="C1067">
        <f>BASE_EQUIPOS!B1067</f>
        <v/>
      </c>
      <c r="D1067">
        <f>BASE_EQUIPOS!D1067</f>
        <v/>
      </c>
      <c r="E1067">
        <f>BASE_EQUIPOS!G1067</f>
        <v/>
      </c>
      <c r="F1067">
        <f>BASE_EQUIPOS!H1067</f>
        <v/>
      </c>
      <c r="G1067">
        <f>BASE_EQUIPOS!M1067</f>
        <v/>
      </c>
      <c r="I1067" t="inlineStr">
        <is>
          <t>00582</t>
        </is>
      </c>
    </row>
    <row r="1068">
      <c r="A1068">
        <f>TRIM(BASE_EQUIPOS!N1068)</f>
        <v/>
      </c>
      <c r="B1068">
        <f>BASE_EQUIPOS!A1068</f>
        <v/>
      </c>
      <c r="C1068">
        <f>BASE_EQUIPOS!B1068</f>
        <v/>
      </c>
      <c r="D1068">
        <f>BASE_EQUIPOS!D1068</f>
        <v/>
      </c>
      <c r="E1068">
        <f>BASE_EQUIPOS!G1068</f>
        <v/>
      </c>
      <c r="F1068">
        <f>BASE_EQUIPOS!H1068</f>
        <v/>
      </c>
      <c r="G1068">
        <f>BASE_EQUIPOS!M1068</f>
        <v/>
      </c>
      <c r="I1068" t="inlineStr">
        <is>
          <t>048322</t>
        </is>
      </c>
    </row>
    <row r="1069">
      <c r="A1069">
        <f>TRIM(BASE_EQUIPOS!N1069)</f>
        <v/>
      </c>
      <c r="B1069">
        <f>BASE_EQUIPOS!A1069</f>
        <v/>
      </c>
      <c r="C1069">
        <f>BASE_EQUIPOS!B1069</f>
        <v/>
      </c>
      <c r="D1069">
        <f>BASE_EQUIPOS!D1069</f>
        <v/>
      </c>
      <c r="E1069">
        <f>BASE_EQUIPOS!G1069</f>
        <v/>
      </c>
      <c r="F1069">
        <f>BASE_EQUIPOS!H1069</f>
        <v/>
      </c>
      <c r="G1069">
        <f>BASE_EQUIPOS!M1069</f>
        <v/>
      </c>
      <c r="I1069" t="inlineStr">
        <is>
          <t>001154</t>
        </is>
      </c>
    </row>
    <row r="1070">
      <c r="A1070">
        <f>TRIM(BASE_EQUIPOS!N1070)</f>
        <v/>
      </c>
      <c r="B1070">
        <f>BASE_EQUIPOS!A1070</f>
        <v/>
      </c>
      <c r="C1070">
        <f>BASE_EQUIPOS!B1070</f>
        <v/>
      </c>
      <c r="D1070">
        <f>BASE_EQUIPOS!D1070</f>
        <v/>
      </c>
      <c r="E1070">
        <f>BASE_EQUIPOS!G1070</f>
        <v/>
      </c>
      <c r="F1070">
        <f>BASE_EQUIPOS!H1070</f>
        <v/>
      </c>
      <c r="G1070">
        <f>BASE_EQUIPOS!M1070</f>
        <v/>
      </c>
      <c r="I1070" t="inlineStr">
        <is>
          <t>000365</t>
        </is>
      </c>
    </row>
    <row r="1071">
      <c r="A1071">
        <f>TRIM(BASE_EQUIPOS!N1071)</f>
        <v/>
      </c>
      <c r="B1071">
        <f>BASE_EQUIPOS!A1071</f>
        <v/>
      </c>
      <c r="C1071">
        <f>BASE_EQUIPOS!B1071</f>
        <v/>
      </c>
      <c r="D1071">
        <f>BASE_EQUIPOS!D1071</f>
        <v/>
      </c>
      <c r="E1071">
        <f>BASE_EQUIPOS!G1071</f>
        <v/>
      </c>
      <c r="F1071">
        <f>BASE_EQUIPOS!H1071</f>
        <v/>
      </c>
      <c r="G1071">
        <f>BASE_EQUIPOS!M1071</f>
        <v/>
      </c>
      <c r="I1071" t="inlineStr">
        <is>
          <t>002515</t>
        </is>
      </c>
    </row>
    <row r="1072">
      <c r="A1072">
        <f>TRIM(BASE_EQUIPOS!N1072)</f>
        <v/>
      </c>
      <c r="B1072">
        <f>BASE_EQUIPOS!A1072</f>
        <v/>
      </c>
      <c r="C1072">
        <f>BASE_EQUIPOS!B1072</f>
        <v/>
      </c>
      <c r="D1072">
        <f>BASE_EQUIPOS!D1072</f>
        <v/>
      </c>
      <c r="E1072">
        <f>BASE_EQUIPOS!G1072</f>
        <v/>
      </c>
      <c r="F1072">
        <f>BASE_EQUIPOS!H1072</f>
        <v/>
      </c>
      <c r="G1072">
        <f>BASE_EQUIPOS!M1072</f>
        <v/>
      </c>
      <c r="I1072" t="inlineStr">
        <is>
          <t>000979</t>
        </is>
      </c>
    </row>
    <row r="1073">
      <c r="A1073">
        <f>TRIM(BASE_EQUIPOS!N1073)</f>
        <v/>
      </c>
      <c r="B1073">
        <f>BASE_EQUIPOS!A1073</f>
        <v/>
      </c>
      <c r="C1073">
        <f>BASE_EQUIPOS!B1073</f>
        <v/>
      </c>
      <c r="D1073">
        <f>BASE_EQUIPOS!D1073</f>
        <v/>
      </c>
      <c r="E1073">
        <f>BASE_EQUIPOS!G1073</f>
        <v/>
      </c>
      <c r="F1073">
        <f>BASE_EQUIPOS!H1073</f>
        <v/>
      </c>
      <c r="G1073">
        <f>BASE_EQUIPOS!M1073</f>
        <v/>
      </c>
      <c r="I1073" t="inlineStr">
        <is>
          <t>153208</t>
        </is>
      </c>
    </row>
    <row r="1074">
      <c r="A1074">
        <f>TRIM(BASE_EQUIPOS!N1074)</f>
        <v/>
      </c>
      <c r="B1074">
        <f>BASE_EQUIPOS!A1074</f>
        <v/>
      </c>
      <c r="C1074">
        <f>BASE_EQUIPOS!B1074</f>
        <v/>
      </c>
      <c r="D1074">
        <f>BASE_EQUIPOS!D1074</f>
        <v/>
      </c>
      <c r="E1074">
        <f>BASE_EQUIPOS!G1074</f>
        <v/>
      </c>
      <c r="F1074">
        <f>BASE_EQUIPOS!H1074</f>
        <v/>
      </c>
      <c r="G1074">
        <f>BASE_EQUIPOS!M1074</f>
        <v/>
      </c>
      <c r="I1074" t="inlineStr">
        <is>
          <t>001010</t>
        </is>
      </c>
    </row>
    <row r="1075">
      <c r="A1075">
        <f>TRIM(BASE_EQUIPOS!N1075)</f>
        <v/>
      </c>
      <c r="B1075">
        <f>BASE_EQUIPOS!A1075</f>
        <v/>
      </c>
      <c r="C1075">
        <f>BASE_EQUIPOS!B1075</f>
        <v/>
      </c>
      <c r="D1075">
        <f>BASE_EQUIPOS!D1075</f>
        <v/>
      </c>
      <c r="E1075">
        <f>BASE_EQUIPOS!G1075</f>
        <v/>
      </c>
      <c r="F1075">
        <f>BASE_EQUIPOS!H1075</f>
        <v/>
      </c>
      <c r="G1075">
        <f>BASE_EQUIPOS!M1075</f>
        <v/>
      </c>
      <c r="I1075" t="inlineStr">
        <is>
          <t>000887</t>
        </is>
      </c>
    </row>
    <row r="1076">
      <c r="A1076">
        <f>TRIM(BASE_EQUIPOS!N1076)</f>
        <v/>
      </c>
      <c r="B1076">
        <f>BASE_EQUIPOS!A1076</f>
        <v/>
      </c>
      <c r="C1076">
        <f>BASE_EQUIPOS!B1076</f>
        <v/>
      </c>
      <c r="D1076">
        <f>BASE_EQUIPOS!D1076</f>
        <v/>
      </c>
      <c r="E1076">
        <f>BASE_EQUIPOS!G1076</f>
        <v/>
      </c>
      <c r="F1076">
        <f>BASE_EQUIPOS!H1076</f>
        <v/>
      </c>
      <c r="G1076">
        <f>BASE_EQUIPOS!M1076</f>
        <v/>
      </c>
      <c r="I1076" t="inlineStr">
        <is>
          <t>000815</t>
        </is>
      </c>
    </row>
    <row r="1077">
      <c r="A1077">
        <f>TRIM(BASE_EQUIPOS!N1077)</f>
        <v/>
      </c>
      <c r="B1077">
        <f>BASE_EQUIPOS!A1077</f>
        <v/>
      </c>
      <c r="C1077">
        <f>BASE_EQUIPOS!B1077</f>
        <v/>
      </c>
      <c r="D1077">
        <f>BASE_EQUIPOS!D1077</f>
        <v/>
      </c>
      <c r="E1077">
        <f>BASE_EQUIPOS!G1077</f>
        <v/>
      </c>
      <c r="F1077">
        <f>BASE_EQUIPOS!H1077</f>
        <v/>
      </c>
      <c r="G1077">
        <f>BASE_EQUIPOS!M1077</f>
        <v/>
      </c>
      <c r="I1077" t="inlineStr">
        <is>
          <t>000805</t>
        </is>
      </c>
    </row>
    <row r="1078">
      <c r="A1078">
        <f>TRIM(BASE_EQUIPOS!N1078)</f>
        <v/>
      </c>
      <c r="B1078">
        <f>BASE_EQUIPOS!A1078</f>
        <v/>
      </c>
      <c r="C1078">
        <f>BASE_EQUIPOS!B1078</f>
        <v/>
      </c>
      <c r="D1078">
        <f>BASE_EQUIPOS!D1078</f>
        <v/>
      </c>
      <c r="E1078">
        <f>BASE_EQUIPOS!G1078</f>
        <v/>
      </c>
      <c r="F1078">
        <f>BASE_EQUIPOS!H1078</f>
        <v/>
      </c>
      <c r="G1078">
        <f>BASE_EQUIPOS!M1078</f>
        <v/>
      </c>
      <c r="I1078" t="inlineStr">
        <is>
          <t>000718</t>
        </is>
      </c>
    </row>
    <row r="1079">
      <c r="A1079">
        <f>TRIM(BASE_EQUIPOS!N1079)</f>
        <v/>
      </c>
      <c r="B1079">
        <f>BASE_EQUIPOS!A1079</f>
        <v/>
      </c>
      <c r="C1079">
        <f>BASE_EQUIPOS!B1079</f>
        <v/>
      </c>
      <c r="D1079">
        <f>BASE_EQUIPOS!D1079</f>
        <v/>
      </c>
      <c r="E1079">
        <f>BASE_EQUIPOS!G1079</f>
        <v/>
      </c>
      <c r="F1079">
        <f>BASE_EQUIPOS!H1079</f>
        <v/>
      </c>
      <c r="G1079">
        <f>BASE_EQUIPOS!M1079</f>
        <v/>
      </c>
      <c r="I1079" t="inlineStr">
        <is>
          <t>000771</t>
        </is>
      </c>
    </row>
    <row r="1080">
      <c r="A1080">
        <f>TRIM(BASE_EQUIPOS!N1080)</f>
        <v/>
      </c>
      <c r="B1080">
        <f>BASE_EQUIPOS!A1080</f>
        <v/>
      </c>
      <c r="C1080">
        <f>BASE_EQUIPOS!B1080</f>
        <v/>
      </c>
      <c r="D1080">
        <f>BASE_EQUIPOS!D1080</f>
        <v/>
      </c>
      <c r="E1080">
        <f>BASE_EQUIPOS!G1080</f>
        <v/>
      </c>
      <c r="F1080">
        <f>BASE_EQUIPOS!H1080</f>
        <v/>
      </c>
      <c r="G1080">
        <f>BASE_EQUIPOS!M1080</f>
        <v/>
      </c>
      <c r="I1080" t="inlineStr">
        <is>
          <t>000817</t>
        </is>
      </c>
    </row>
    <row r="1081">
      <c r="A1081">
        <f>TRIM(BASE_EQUIPOS!N1081)</f>
        <v/>
      </c>
      <c r="B1081">
        <f>BASE_EQUIPOS!A1081</f>
        <v/>
      </c>
      <c r="C1081">
        <f>BASE_EQUIPOS!B1081</f>
        <v/>
      </c>
      <c r="D1081">
        <f>BASE_EQUIPOS!D1081</f>
        <v/>
      </c>
      <c r="E1081">
        <f>BASE_EQUIPOS!G1081</f>
        <v/>
      </c>
      <c r="F1081">
        <f>BASE_EQUIPOS!H1081</f>
        <v/>
      </c>
      <c r="G1081">
        <f>BASE_EQUIPOS!M1081</f>
        <v/>
      </c>
      <c r="I1081" t="inlineStr">
        <is>
          <t>000850</t>
        </is>
      </c>
    </row>
    <row r="1082">
      <c r="A1082">
        <f>TRIM(BASE_EQUIPOS!N1082)</f>
        <v/>
      </c>
      <c r="B1082">
        <f>BASE_EQUIPOS!A1082</f>
        <v/>
      </c>
      <c r="C1082">
        <f>BASE_EQUIPOS!B1082</f>
        <v/>
      </c>
      <c r="D1082">
        <f>BASE_EQUIPOS!D1082</f>
        <v/>
      </c>
      <c r="E1082">
        <f>BASE_EQUIPOS!G1082</f>
        <v/>
      </c>
      <c r="F1082">
        <f>BASE_EQUIPOS!H1082</f>
        <v/>
      </c>
      <c r="G1082">
        <f>BASE_EQUIPOS!M1082</f>
        <v/>
      </c>
      <c r="I1082" t="inlineStr">
        <is>
          <t>000879</t>
        </is>
      </c>
    </row>
    <row r="1083">
      <c r="A1083">
        <f>TRIM(BASE_EQUIPOS!N1083)</f>
        <v/>
      </c>
      <c r="B1083">
        <f>BASE_EQUIPOS!A1083</f>
        <v/>
      </c>
      <c r="C1083">
        <f>BASE_EQUIPOS!B1083</f>
        <v/>
      </c>
      <c r="D1083">
        <f>BASE_EQUIPOS!D1083</f>
        <v/>
      </c>
      <c r="E1083">
        <f>BASE_EQUIPOS!G1083</f>
        <v/>
      </c>
      <c r="F1083">
        <f>BASE_EQUIPOS!H1083</f>
        <v/>
      </c>
      <c r="G1083">
        <f>BASE_EQUIPOS!M1083</f>
        <v/>
      </c>
      <c r="I1083" t="inlineStr">
        <is>
          <t>001007</t>
        </is>
      </c>
    </row>
    <row r="1084">
      <c r="A1084">
        <f>TRIM(BASE_EQUIPOS!N1084)</f>
        <v/>
      </c>
      <c r="B1084">
        <f>BASE_EQUIPOS!A1084</f>
        <v/>
      </c>
      <c r="C1084">
        <f>BASE_EQUIPOS!B1084</f>
        <v/>
      </c>
      <c r="D1084">
        <f>BASE_EQUIPOS!D1084</f>
        <v/>
      </c>
      <c r="E1084">
        <f>BASE_EQUIPOS!G1084</f>
        <v/>
      </c>
      <c r="F1084">
        <f>BASE_EQUIPOS!H1084</f>
        <v/>
      </c>
      <c r="G1084">
        <f>BASE_EQUIPOS!M1084</f>
        <v/>
      </c>
      <c r="I1084" t="inlineStr">
        <is>
          <t>000923</t>
        </is>
      </c>
    </row>
    <row r="1085">
      <c r="A1085">
        <f>TRIM(BASE_EQUIPOS!N1085)</f>
        <v/>
      </c>
      <c r="B1085">
        <f>BASE_EQUIPOS!A1085</f>
        <v/>
      </c>
      <c r="C1085">
        <f>BASE_EQUIPOS!B1085</f>
        <v/>
      </c>
      <c r="D1085">
        <f>BASE_EQUIPOS!D1085</f>
        <v/>
      </c>
      <c r="E1085">
        <f>BASE_EQUIPOS!G1085</f>
        <v/>
      </c>
      <c r="F1085">
        <f>BASE_EQUIPOS!H1085</f>
        <v/>
      </c>
      <c r="G1085">
        <f>BASE_EQUIPOS!M1085</f>
        <v/>
      </c>
      <c r="I1085" t="inlineStr">
        <is>
          <t>000833</t>
        </is>
      </c>
    </row>
    <row r="1086">
      <c r="A1086">
        <f>TRIM(BASE_EQUIPOS!N1086)</f>
        <v/>
      </c>
      <c r="B1086">
        <f>BASE_EQUIPOS!A1086</f>
        <v/>
      </c>
      <c r="C1086">
        <f>BASE_EQUIPOS!B1086</f>
        <v/>
      </c>
      <c r="D1086">
        <f>BASE_EQUIPOS!D1086</f>
        <v/>
      </c>
      <c r="E1086">
        <f>BASE_EQUIPOS!G1086</f>
        <v/>
      </c>
      <c r="F1086">
        <f>BASE_EQUIPOS!H1086</f>
        <v/>
      </c>
      <c r="G1086">
        <f>BASE_EQUIPOS!M1086</f>
        <v/>
      </c>
      <c r="I1086" t="inlineStr">
        <is>
          <t>000781</t>
        </is>
      </c>
    </row>
    <row r="1087">
      <c r="A1087">
        <f>TRIM(BASE_EQUIPOS!N1087)</f>
        <v/>
      </c>
      <c r="B1087">
        <f>BASE_EQUIPOS!A1087</f>
        <v/>
      </c>
      <c r="C1087">
        <f>BASE_EQUIPOS!B1087</f>
        <v/>
      </c>
      <c r="D1087">
        <f>BASE_EQUIPOS!D1087</f>
        <v/>
      </c>
      <c r="E1087">
        <f>BASE_EQUIPOS!G1087</f>
        <v/>
      </c>
      <c r="F1087">
        <f>BASE_EQUIPOS!H1087</f>
        <v/>
      </c>
      <c r="G1087">
        <f>BASE_EQUIPOS!M1087</f>
        <v/>
      </c>
      <c r="I1087" t="inlineStr">
        <is>
          <t>000976</t>
        </is>
      </c>
    </row>
    <row r="1088">
      <c r="A1088">
        <f>TRIM(BASE_EQUIPOS!N1088)</f>
        <v/>
      </c>
      <c r="B1088">
        <f>BASE_EQUIPOS!A1088</f>
        <v/>
      </c>
      <c r="C1088">
        <f>BASE_EQUIPOS!B1088</f>
        <v/>
      </c>
      <c r="D1088">
        <f>BASE_EQUIPOS!D1088</f>
        <v/>
      </c>
      <c r="E1088">
        <f>BASE_EQUIPOS!G1088</f>
        <v/>
      </c>
      <c r="F1088">
        <f>BASE_EQUIPOS!H1088</f>
        <v/>
      </c>
      <c r="G1088">
        <f>BASE_EQUIPOS!M1088</f>
        <v/>
      </c>
      <c r="I1088" t="inlineStr">
        <is>
          <t>001000</t>
        </is>
      </c>
    </row>
    <row r="1089">
      <c r="A1089">
        <f>TRIM(BASE_EQUIPOS!N1089)</f>
        <v/>
      </c>
      <c r="B1089">
        <f>BASE_EQUIPOS!A1089</f>
        <v/>
      </c>
      <c r="C1089">
        <f>BASE_EQUIPOS!B1089</f>
        <v/>
      </c>
      <c r="D1089">
        <f>BASE_EQUIPOS!D1089</f>
        <v/>
      </c>
      <c r="E1089">
        <f>BASE_EQUIPOS!G1089</f>
        <v/>
      </c>
      <c r="F1089">
        <f>BASE_EQUIPOS!H1089</f>
        <v/>
      </c>
      <c r="G1089">
        <f>BASE_EQUIPOS!M1089</f>
        <v/>
      </c>
      <c r="I1089" t="inlineStr">
        <is>
          <t>002261</t>
        </is>
      </c>
    </row>
    <row r="1090">
      <c r="A1090">
        <f>TRIM(BASE_EQUIPOS!N1090)</f>
        <v/>
      </c>
      <c r="B1090">
        <f>BASE_EQUIPOS!A1090</f>
        <v/>
      </c>
      <c r="C1090">
        <f>BASE_EQUIPOS!B1090</f>
        <v/>
      </c>
      <c r="D1090">
        <f>BASE_EQUIPOS!D1090</f>
        <v/>
      </c>
      <c r="E1090">
        <f>BASE_EQUIPOS!G1090</f>
        <v/>
      </c>
      <c r="F1090">
        <f>BASE_EQUIPOS!H1090</f>
        <v/>
      </c>
      <c r="G1090">
        <f>BASE_EQUIPOS!M1090</f>
        <v/>
      </c>
      <c r="I1090" t="inlineStr">
        <is>
          <t>002073</t>
        </is>
      </c>
    </row>
    <row r="1091">
      <c r="A1091">
        <f>TRIM(BASE_EQUIPOS!N1091)</f>
        <v/>
      </c>
      <c r="B1091">
        <f>BASE_EQUIPOS!A1091</f>
        <v/>
      </c>
      <c r="C1091">
        <f>BASE_EQUIPOS!B1091</f>
        <v/>
      </c>
      <c r="D1091">
        <f>BASE_EQUIPOS!D1091</f>
        <v/>
      </c>
      <c r="E1091">
        <f>BASE_EQUIPOS!G1091</f>
        <v/>
      </c>
      <c r="F1091">
        <f>BASE_EQUIPOS!H1091</f>
        <v/>
      </c>
      <c r="G1091">
        <f>BASE_EQUIPOS!M1091</f>
        <v/>
      </c>
      <c r="I1091" t="inlineStr">
        <is>
          <t>002110</t>
        </is>
      </c>
    </row>
    <row r="1092">
      <c r="A1092">
        <f>TRIM(BASE_EQUIPOS!N1092)</f>
        <v/>
      </c>
      <c r="B1092">
        <f>BASE_EQUIPOS!A1092</f>
        <v/>
      </c>
      <c r="C1092">
        <f>BASE_EQUIPOS!B1092</f>
        <v/>
      </c>
      <c r="D1092">
        <f>BASE_EQUIPOS!D1092</f>
        <v/>
      </c>
      <c r="E1092">
        <f>BASE_EQUIPOS!G1092</f>
        <v/>
      </c>
      <c r="F1092">
        <f>BASE_EQUIPOS!H1092</f>
        <v/>
      </c>
      <c r="G1092">
        <f>BASE_EQUIPOS!M1092</f>
        <v/>
      </c>
      <c r="I1092" t="inlineStr">
        <is>
          <t>000427</t>
        </is>
      </c>
    </row>
    <row r="1093">
      <c r="A1093">
        <f>TRIM(BASE_EQUIPOS!N1093)</f>
        <v/>
      </c>
      <c r="B1093">
        <f>BASE_EQUIPOS!A1093</f>
        <v/>
      </c>
      <c r="C1093">
        <f>BASE_EQUIPOS!B1093</f>
        <v/>
      </c>
      <c r="D1093">
        <f>BASE_EQUIPOS!D1093</f>
        <v/>
      </c>
      <c r="E1093">
        <f>BASE_EQUIPOS!G1093</f>
        <v/>
      </c>
      <c r="F1093">
        <f>BASE_EQUIPOS!H1093</f>
        <v/>
      </c>
      <c r="G1093">
        <f>BASE_EQUIPOS!M1093</f>
        <v/>
      </c>
      <c r="I1093" t="inlineStr">
        <is>
          <t>000277</t>
        </is>
      </c>
    </row>
    <row r="1094">
      <c r="A1094">
        <f>TRIM(BASE_EQUIPOS!N1094)</f>
        <v/>
      </c>
      <c r="B1094">
        <f>BASE_EQUIPOS!A1094</f>
        <v/>
      </c>
      <c r="C1094">
        <f>BASE_EQUIPOS!B1094</f>
        <v/>
      </c>
      <c r="D1094">
        <f>BASE_EQUIPOS!D1094</f>
        <v/>
      </c>
      <c r="E1094">
        <f>BASE_EQUIPOS!G1094</f>
        <v/>
      </c>
      <c r="F1094">
        <f>BASE_EQUIPOS!H1094</f>
        <v/>
      </c>
      <c r="G1094">
        <f>BASE_EQUIPOS!M1094</f>
        <v/>
      </c>
      <c r="I1094" t="inlineStr">
        <is>
          <t>000565</t>
        </is>
      </c>
    </row>
    <row r="1095">
      <c r="A1095">
        <f>TRIM(BASE_EQUIPOS!N1095)</f>
        <v/>
      </c>
      <c r="B1095">
        <f>BASE_EQUIPOS!A1095</f>
        <v/>
      </c>
      <c r="C1095">
        <f>BASE_EQUIPOS!B1095</f>
        <v/>
      </c>
      <c r="D1095">
        <f>BASE_EQUIPOS!D1095</f>
        <v/>
      </c>
      <c r="E1095">
        <f>BASE_EQUIPOS!G1095</f>
        <v/>
      </c>
      <c r="F1095">
        <f>BASE_EQUIPOS!H1095</f>
        <v/>
      </c>
      <c r="G1095">
        <f>BASE_EQUIPOS!M1095</f>
        <v/>
      </c>
      <c r="I1095" t="inlineStr">
        <is>
          <t>000592</t>
        </is>
      </c>
    </row>
    <row r="1096">
      <c r="A1096">
        <f>TRIM(BASE_EQUIPOS!N1096)</f>
        <v/>
      </c>
      <c r="B1096">
        <f>BASE_EQUIPOS!A1096</f>
        <v/>
      </c>
      <c r="C1096">
        <f>BASE_EQUIPOS!B1096</f>
        <v/>
      </c>
      <c r="D1096">
        <f>BASE_EQUIPOS!D1096</f>
        <v/>
      </c>
      <c r="E1096">
        <f>BASE_EQUIPOS!G1096</f>
        <v/>
      </c>
      <c r="F1096">
        <f>BASE_EQUIPOS!H1096</f>
        <v/>
      </c>
      <c r="G1096">
        <f>BASE_EQUIPOS!M1096</f>
        <v/>
      </c>
      <c r="I1096" t="inlineStr">
        <is>
          <t>000843</t>
        </is>
      </c>
    </row>
    <row r="1097">
      <c r="A1097">
        <f>TRIM(BASE_EQUIPOS!N1097)</f>
        <v/>
      </c>
      <c r="B1097">
        <f>BASE_EQUIPOS!A1097</f>
        <v/>
      </c>
      <c r="C1097">
        <f>BASE_EQUIPOS!B1097</f>
        <v/>
      </c>
      <c r="D1097">
        <f>BASE_EQUIPOS!D1097</f>
        <v/>
      </c>
      <c r="E1097">
        <f>BASE_EQUIPOS!G1097</f>
        <v/>
      </c>
      <c r="F1097">
        <f>BASE_EQUIPOS!H1097</f>
        <v/>
      </c>
      <c r="G1097">
        <f>BASE_EQUIPOS!M1097</f>
        <v/>
      </c>
      <c r="I1097" t="inlineStr">
        <is>
          <t>001978</t>
        </is>
      </c>
    </row>
    <row r="1098">
      <c r="A1098">
        <f>TRIM(BASE_EQUIPOS!N1098)</f>
        <v/>
      </c>
      <c r="B1098">
        <f>BASE_EQUIPOS!A1098</f>
        <v/>
      </c>
      <c r="C1098">
        <f>BASE_EQUIPOS!B1098</f>
        <v/>
      </c>
      <c r="D1098">
        <f>BASE_EQUIPOS!D1098</f>
        <v/>
      </c>
      <c r="E1098">
        <f>BASE_EQUIPOS!G1098</f>
        <v/>
      </c>
      <c r="F1098">
        <f>BASE_EQUIPOS!H1098</f>
        <v/>
      </c>
      <c r="G1098">
        <f>BASE_EQUIPOS!M1098</f>
        <v/>
      </c>
      <c r="I1098" t="inlineStr">
        <is>
          <t>001917</t>
        </is>
      </c>
    </row>
    <row r="1099">
      <c r="A1099">
        <f>TRIM(BASE_EQUIPOS!N1099)</f>
        <v/>
      </c>
      <c r="B1099">
        <f>BASE_EQUIPOS!A1099</f>
        <v/>
      </c>
      <c r="C1099">
        <f>BASE_EQUIPOS!B1099</f>
        <v/>
      </c>
      <c r="D1099">
        <f>BASE_EQUIPOS!D1099</f>
        <v/>
      </c>
      <c r="E1099">
        <f>BASE_EQUIPOS!G1099</f>
        <v/>
      </c>
      <c r="F1099">
        <f>BASE_EQUIPOS!H1099</f>
        <v/>
      </c>
      <c r="G1099">
        <f>BASE_EQUIPOS!M1099</f>
        <v/>
      </c>
      <c r="I1099" t="inlineStr">
        <is>
          <t>000064</t>
        </is>
      </c>
    </row>
    <row r="1100">
      <c r="A1100">
        <f>TRIM(BASE_EQUIPOS!N1100)</f>
        <v/>
      </c>
      <c r="B1100">
        <f>BASE_EQUIPOS!A1100</f>
        <v/>
      </c>
      <c r="C1100">
        <f>BASE_EQUIPOS!B1100</f>
        <v/>
      </c>
      <c r="D1100">
        <f>BASE_EQUIPOS!D1100</f>
        <v/>
      </c>
      <c r="E1100">
        <f>BASE_EQUIPOS!G1100</f>
        <v/>
      </c>
      <c r="F1100">
        <f>BASE_EQUIPOS!H1100</f>
        <v/>
      </c>
      <c r="G1100">
        <f>BASE_EQUIPOS!M1100</f>
        <v/>
      </c>
      <c r="I1100" t="inlineStr">
        <is>
          <t>201739</t>
        </is>
      </c>
    </row>
    <row r="1101">
      <c r="A1101">
        <f>TRIM(BASE_EQUIPOS!N1101)</f>
        <v/>
      </c>
      <c r="B1101">
        <f>BASE_EQUIPOS!A1101</f>
        <v/>
      </c>
      <c r="C1101">
        <f>BASE_EQUIPOS!B1101</f>
        <v/>
      </c>
      <c r="D1101">
        <f>BASE_EQUIPOS!D1101</f>
        <v/>
      </c>
      <c r="E1101">
        <f>BASE_EQUIPOS!G1101</f>
        <v/>
      </c>
      <c r="F1101">
        <f>BASE_EQUIPOS!H1101</f>
        <v/>
      </c>
      <c r="G1101">
        <f>BASE_EQUIPOS!M1101</f>
        <v/>
      </c>
      <c r="I1101" t="inlineStr">
        <is>
          <t>001610</t>
        </is>
      </c>
    </row>
    <row r="1102">
      <c r="A1102">
        <f>TRIM(BASE_EQUIPOS!N1102)</f>
        <v/>
      </c>
      <c r="B1102">
        <f>BASE_EQUIPOS!A1102</f>
        <v/>
      </c>
      <c r="C1102">
        <f>BASE_EQUIPOS!B1102</f>
        <v/>
      </c>
      <c r="D1102">
        <f>BASE_EQUIPOS!D1102</f>
        <v/>
      </c>
      <c r="E1102">
        <f>BASE_EQUIPOS!G1102</f>
        <v/>
      </c>
      <c r="F1102">
        <f>BASE_EQUIPOS!H1102</f>
        <v/>
      </c>
      <c r="G1102">
        <f>BASE_EQUIPOS!M1102</f>
        <v/>
      </c>
      <c r="I1102" t="inlineStr">
        <is>
          <t>009870</t>
        </is>
      </c>
    </row>
    <row r="1103">
      <c r="A1103">
        <f>TRIM(BASE_EQUIPOS!N1103)</f>
        <v/>
      </c>
      <c r="B1103">
        <f>BASE_EQUIPOS!A1103</f>
        <v/>
      </c>
      <c r="C1103">
        <f>BASE_EQUIPOS!B1103</f>
        <v/>
      </c>
      <c r="D1103">
        <f>BASE_EQUIPOS!D1103</f>
        <v/>
      </c>
      <c r="E1103">
        <f>BASE_EQUIPOS!G1103</f>
        <v/>
      </c>
      <c r="F1103">
        <f>BASE_EQUIPOS!H1103</f>
        <v/>
      </c>
      <c r="G1103">
        <f>BASE_EQUIPOS!M1103</f>
        <v/>
      </c>
      <c r="I1103" t="inlineStr">
        <is>
          <t>000941</t>
        </is>
      </c>
    </row>
    <row r="1104">
      <c r="A1104">
        <f>TRIM(BASE_EQUIPOS!N1104)</f>
        <v/>
      </c>
      <c r="B1104">
        <f>BASE_EQUIPOS!A1104</f>
        <v/>
      </c>
      <c r="C1104">
        <f>BASE_EQUIPOS!B1104</f>
        <v/>
      </c>
      <c r="D1104">
        <f>BASE_EQUIPOS!D1104</f>
        <v/>
      </c>
      <c r="E1104">
        <f>BASE_EQUIPOS!G1104</f>
        <v/>
      </c>
      <c r="F1104">
        <f>BASE_EQUIPOS!H1104</f>
        <v/>
      </c>
      <c r="G1104">
        <f>BASE_EQUIPOS!M1104</f>
        <v/>
      </c>
      <c r="I1104" t="inlineStr">
        <is>
          <t>000493</t>
        </is>
      </c>
    </row>
    <row r="1105">
      <c r="A1105">
        <f>TRIM(BASE_EQUIPOS!N1105)</f>
        <v/>
      </c>
      <c r="B1105">
        <f>BASE_EQUIPOS!A1105</f>
        <v/>
      </c>
      <c r="C1105">
        <f>BASE_EQUIPOS!B1105</f>
        <v/>
      </c>
      <c r="D1105">
        <f>BASE_EQUIPOS!D1105</f>
        <v/>
      </c>
      <c r="E1105">
        <f>BASE_EQUIPOS!G1105</f>
        <v/>
      </c>
      <c r="F1105">
        <f>BASE_EQUIPOS!H1105</f>
        <v/>
      </c>
      <c r="G1105">
        <f>BASE_EQUIPOS!M1105</f>
        <v/>
      </c>
      <c r="I1105" t="inlineStr">
        <is>
          <t>000872</t>
        </is>
      </c>
    </row>
    <row r="1106">
      <c r="A1106">
        <f>TRIM(BASE_EQUIPOS!N1106)</f>
        <v/>
      </c>
      <c r="B1106">
        <f>BASE_EQUIPOS!A1106</f>
        <v/>
      </c>
      <c r="C1106">
        <f>BASE_EQUIPOS!B1106</f>
        <v/>
      </c>
      <c r="D1106">
        <f>BASE_EQUIPOS!D1106</f>
        <v/>
      </c>
      <c r="E1106">
        <f>BASE_EQUIPOS!G1106</f>
        <v/>
      </c>
      <c r="F1106">
        <f>BASE_EQUIPOS!H1106</f>
        <v/>
      </c>
      <c r="G1106">
        <f>BASE_EQUIPOS!M1106</f>
        <v/>
      </c>
      <c r="I1106" t="inlineStr">
        <is>
          <t>096319</t>
        </is>
      </c>
    </row>
    <row r="1107">
      <c r="A1107">
        <f>TRIM(BASE_EQUIPOS!N1107)</f>
        <v/>
      </c>
      <c r="B1107">
        <f>BASE_EQUIPOS!A1107</f>
        <v/>
      </c>
      <c r="C1107">
        <f>BASE_EQUIPOS!B1107</f>
        <v/>
      </c>
      <c r="D1107">
        <f>BASE_EQUIPOS!D1107</f>
        <v/>
      </c>
      <c r="E1107">
        <f>BASE_EQUIPOS!G1107</f>
        <v/>
      </c>
      <c r="F1107">
        <f>BASE_EQUIPOS!H1107</f>
        <v/>
      </c>
      <c r="G1107">
        <f>BASE_EQUIPOS!M1107</f>
        <v/>
      </c>
      <c r="I1107" t="inlineStr">
        <is>
          <t>003759</t>
        </is>
      </c>
    </row>
    <row r="1108">
      <c r="A1108">
        <f>TRIM(BASE_EQUIPOS!N1108)</f>
        <v/>
      </c>
      <c r="B1108">
        <f>BASE_EQUIPOS!A1108</f>
        <v/>
      </c>
      <c r="C1108">
        <f>BASE_EQUIPOS!B1108</f>
        <v/>
      </c>
      <c r="D1108">
        <f>BASE_EQUIPOS!D1108</f>
        <v/>
      </c>
      <c r="E1108">
        <f>BASE_EQUIPOS!G1108</f>
        <v/>
      </c>
      <c r="F1108">
        <f>BASE_EQUIPOS!H1108</f>
        <v/>
      </c>
      <c r="G1108">
        <f>BASE_EQUIPOS!M1108</f>
        <v/>
      </c>
      <c r="I1108" t="inlineStr">
        <is>
          <t>144903</t>
        </is>
      </c>
    </row>
    <row r="1109">
      <c r="A1109">
        <f>TRIM(BASE_EQUIPOS!N1109)</f>
        <v/>
      </c>
      <c r="B1109">
        <f>BASE_EQUIPOS!A1109</f>
        <v/>
      </c>
      <c r="C1109">
        <f>BASE_EQUIPOS!B1109</f>
        <v/>
      </c>
      <c r="D1109">
        <f>BASE_EQUIPOS!D1109</f>
        <v/>
      </c>
      <c r="E1109">
        <f>BASE_EQUIPOS!G1109</f>
        <v/>
      </c>
      <c r="F1109">
        <f>BASE_EQUIPOS!H1109</f>
        <v/>
      </c>
      <c r="G1109">
        <f>BASE_EQUIPOS!M1109</f>
        <v/>
      </c>
      <c r="I1109" t="inlineStr">
        <is>
          <t>000147</t>
        </is>
      </c>
    </row>
    <row r="1110">
      <c r="A1110">
        <f>TRIM(BASE_EQUIPOS!N1110)</f>
        <v/>
      </c>
      <c r="B1110">
        <f>BASE_EQUIPOS!A1110</f>
        <v/>
      </c>
      <c r="C1110">
        <f>BASE_EQUIPOS!B1110</f>
        <v/>
      </c>
      <c r="D1110">
        <f>BASE_EQUIPOS!D1110</f>
        <v/>
      </c>
      <c r="E1110">
        <f>BASE_EQUIPOS!G1110</f>
        <v/>
      </c>
      <c r="F1110">
        <f>BASE_EQUIPOS!H1110</f>
        <v/>
      </c>
      <c r="G1110">
        <f>BASE_EQUIPOS!M1110</f>
        <v/>
      </c>
      <c r="I1110" t="inlineStr">
        <is>
          <t>001170</t>
        </is>
      </c>
    </row>
    <row r="1111">
      <c r="A1111">
        <f>TRIM(BASE_EQUIPOS!N1111)</f>
        <v/>
      </c>
      <c r="B1111">
        <f>BASE_EQUIPOS!A1111</f>
        <v/>
      </c>
      <c r="C1111">
        <f>BASE_EQUIPOS!B1111</f>
        <v/>
      </c>
      <c r="D1111">
        <f>BASE_EQUIPOS!D1111</f>
        <v/>
      </c>
      <c r="E1111">
        <f>BASE_EQUIPOS!G1111</f>
        <v/>
      </c>
      <c r="F1111">
        <f>BASE_EQUIPOS!H1111</f>
        <v/>
      </c>
      <c r="G1111">
        <f>BASE_EQUIPOS!M1111</f>
        <v/>
      </c>
      <c r="I1111" t="inlineStr">
        <is>
          <t>010486</t>
        </is>
      </c>
    </row>
    <row r="1112">
      <c r="A1112">
        <f>TRIM(BASE_EQUIPOS!N1112)</f>
        <v/>
      </c>
      <c r="B1112">
        <f>BASE_EQUIPOS!A1112</f>
        <v/>
      </c>
      <c r="C1112">
        <f>BASE_EQUIPOS!B1112</f>
        <v/>
      </c>
      <c r="D1112">
        <f>BASE_EQUIPOS!D1112</f>
        <v/>
      </c>
      <c r="E1112">
        <f>BASE_EQUIPOS!G1112</f>
        <v/>
      </c>
      <c r="F1112">
        <f>BASE_EQUIPOS!H1112</f>
        <v/>
      </c>
      <c r="G1112">
        <f>BASE_EQUIPOS!M1112</f>
        <v/>
      </c>
      <c r="I1112" t="inlineStr">
        <is>
          <t>000511</t>
        </is>
      </c>
    </row>
    <row r="1113">
      <c r="A1113">
        <f>TRIM(BASE_EQUIPOS!N1113)</f>
        <v/>
      </c>
      <c r="B1113">
        <f>BASE_EQUIPOS!A1113</f>
        <v/>
      </c>
      <c r="C1113">
        <f>BASE_EQUIPOS!B1113</f>
        <v/>
      </c>
      <c r="D1113">
        <f>BASE_EQUIPOS!D1113</f>
        <v/>
      </c>
      <c r="E1113">
        <f>BASE_EQUIPOS!G1113</f>
        <v/>
      </c>
      <c r="F1113">
        <f>BASE_EQUIPOS!H1113</f>
        <v/>
      </c>
      <c r="G1113">
        <f>BASE_EQUIPOS!M1113</f>
        <v/>
      </c>
      <c r="I1113" t="inlineStr">
        <is>
          <t>000600</t>
        </is>
      </c>
    </row>
    <row r="1114">
      <c r="A1114">
        <f>TRIM(BASE_EQUIPOS!N1114)</f>
        <v/>
      </c>
      <c r="B1114">
        <f>BASE_EQUIPOS!A1114</f>
        <v/>
      </c>
      <c r="C1114">
        <f>BASE_EQUIPOS!B1114</f>
        <v/>
      </c>
      <c r="D1114">
        <f>BASE_EQUIPOS!D1114</f>
        <v/>
      </c>
      <c r="E1114">
        <f>BASE_EQUIPOS!G1114</f>
        <v/>
      </c>
      <c r="F1114">
        <f>BASE_EQUIPOS!H1114</f>
        <v/>
      </c>
      <c r="G1114">
        <f>BASE_EQUIPOS!M1114</f>
        <v/>
      </c>
      <c r="I1114" t="inlineStr">
        <is>
          <t>000087</t>
        </is>
      </c>
    </row>
    <row r="1115">
      <c r="A1115">
        <f>TRIM(BASE_EQUIPOS!N1115)</f>
        <v/>
      </c>
      <c r="B1115">
        <f>BASE_EQUIPOS!A1115</f>
        <v/>
      </c>
      <c r="C1115">
        <f>BASE_EQUIPOS!B1115</f>
        <v/>
      </c>
      <c r="D1115">
        <f>BASE_EQUIPOS!D1115</f>
        <v/>
      </c>
      <c r="E1115">
        <f>BASE_EQUIPOS!G1115</f>
        <v/>
      </c>
      <c r="F1115">
        <f>BASE_EQUIPOS!H1115</f>
        <v/>
      </c>
      <c r="G1115">
        <f>BASE_EQUIPOS!M1115</f>
        <v/>
      </c>
      <c r="I1115" t="inlineStr">
        <is>
          <t>000075</t>
        </is>
      </c>
    </row>
    <row r="1116">
      <c r="A1116">
        <f>TRIM(BASE_EQUIPOS!N1116)</f>
        <v/>
      </c>
      <c r="B1116">
        <f>BASE_EQUIPOS!A1116</f>
        <v/>
      </c>
      <c r="C1116">
        <f>BASE_EQUIPOS!B1116</f>
        <v/>
      </c>
      <c r="D1116">
        <f>BASE_EQUIPOS!D1116</f>
        <v/>
      </c>
      <c r="E1116">
        <f>BASE_EQUIPOS!G1116</f>
        <v/>
      </c>
      <c r="F1116">
        <f>BASE_EQUIPOS!H1116</f>
        <v/>
      </c>
      <c r="G1116">
        <f>BASE_EQUIPOS!M1116</f>
        <v/>
      </c>
      <c r="I1116" t="inlineStr">
        <is>
          <t>002267</t>
        </is>
      </c>
    </row>
    <row r="1117">
      <c r="A1117">
        <f>TRIM(BASE_EQUIPOS!N1117)</f>
        <v/>
      </c>
      <c r="B1117">
        <f>BASE_EQUIPOS!A1117</f>
        <v/>
      </c>
      <c r="C1117">
        <f>BASE_EQUIPOS!B1117</f>
        <v/>
      </c>
      <c r="D1117">
        <f>BASE_EQUIPOS!D1117</f>
        <v/>
      </c>
      <c r="E1117">
        <f>BASE_EQUIPOS!G1117</f>
        <v/>
      </c>
      <c r="F1117">
        <f>BASE_EQUIPOS!H1117</f>
        <v/>
      </c>
      <c r="G1117">
        <f>BASE_EQUIPOS!M1117</f>
        <v/>
      </c>
      <c r="I1117" t="inlineStr">
        <is>
          <t>001879</t>
        </is>
      </c>
    </row>
    <row r="1118">
      <c r="A1118">
        <f>TRIM(BASE_EQUIPOS!N1118)</f>
        <v/>
      </c>
      <c r="B1118">
        <f>BASE_EQUIPOS!A1118</f>
        <v/>
      </c>
      <c r="C1118">
        <f>BASE_EQUIPOS!B1118</f>
        <v/>
      </c>
      <c r="D1118">
        <f>BASE_EQUIPOS!D1118</f>
        <v/>
      </c>
      <c r="E1118">
        <f>BASE_EQUIPOS!G1118</f>
        <v/>
      </c>
      <c r="F1118">
        <f>BASE_EQUIPOS!H1118</f>
        <v/>
      </c>
      <c r="G1118">
        <f>BASE_EQUIPOS!M1118</f>
        <v/>
      </c>
      <c r="I1118" t="inlineStr">
        <is>
          <t>01 / 006417</t>
        </is>
      </c>
    </row>
    <row r="1119">
      <c r="A1119">
        <f>TRIM(BASE_EQUIPOS!N1119)</f>
        <v/>
      </c>
      <c r="B1119">
        <f>BASE_EQUIPOS!A1119</f>
        <v/>
      </c>
      <c r="C1119">
        <f>BASE_EQUIPOS!B1119</f>
        <v/>
      </c>
      <c r="D1119">
        <f>BASE_EQUIPOS!D1119</f>
        <v/>
      </c>
      <c r="E1119">
        <f>BASE_EQUIPOS!G1119</f>
        <v/>
      </c>
      <c r="F1119">
        <f>BASE_EQUIPOS!H1119</f>
        <v/>
      </c>
      <c r="G1119">
        <f>BASE_EQUIPOS!M1119</f>
        <v/>
      </c>
      <c r="I1119" t="inlineStr">
        <is>
          <t>02 / 006422</t>
        </is>
      </c>
    </row>
    <row r="1120">
      <c r="A1120">
        <f>TRIM(BASE_EQUIPOS!N1120)</f>
        <v/>
      </c>
      <c r="B1120">
        <f>BASE_EQUIPOS!A1120</f>
        <v/>
      </c>
      <c r="C1120">
        <f>BASE_EQUIPOS!B1120</f>
        <v/>
      </c>
      <c r="D1120">
        <f>BASE_EQUIPOS!D1120</f>
        <v/>
      </c>
      <c r="E1120">
        <f>BASE_EQUIPOS!G1120</f>
        <v/>
      </c>
      <c r="F1120">
        <f>BASE_EQUIPOS!H1120</f>
        <v/>
      </c>
      <c r="G1120">
        <f>BASE_EQUIPOS!M1120</f>
        <v/>
      </c>
      <c r="I1120" t="inlineStr">
        <is>
          <t>03 / 006454</t>
        </is>
      </c>
    </row>
    <row r="1121">
      <c r="A1121">
        <f>TRIM(BASE_EQUIPOS!N1121)</f>
        <v/>
      </c>
      <c r="B1121">
        <f>BASE_EQUIPOS!A1121</f>
        <v/>
      </c>
      <c r="C1121">
        <f>BASE_EQUIPOS!B1121</f>
        <v/>
      </c>
      <c r="D1121">
        <f>BASE_EQUIPOS!D1121</f>
        <v/>
      </c>
      <c r="E1121">
        <f>BASE_EQUIPOS!G1121</f>
        <v/>
      </c>
      <c r="F1121">
        <f>BASE_EQUIPOS!H1121</f>
        <v/>
      </c>
      <c r="G1121">
        <f>BASE_EQUIPOS!M1121</f>
        <v/>
      </c>
      <c r="I1121" t="inlineStr">
        <is>
          <t>04 / 005948</t>
        </is>
      </c>
    </row>
    <row r="1122">
      <c r="A1122">
        <f>TRIM(BASE_EQUIPOS!N1122)</f>
        <v/>
      </c>
      <c r="B1122">
        <f>BASE_EQUIPOS!A1122</f>
        <v/>
      </c>
      <c r="C1122">
        <f>BASE_EQUIPOS!B1122</f>
        <v/>
      </c>
      <c r="D1122">
        <f>BASE_EQUIPOS!D1122</f>
        <v/>
      </c>
      <c r="E1122">
        <f>BASE_EQUIPOS!G1122</f>
        <v/>
      </c>
      <c r="F1122">
        <f>BASE_EQUIPOS!H1122</f>
        <v/>
      </c>
      <c r="G1122">
        <f>BASE_EQUIPOS!M1122</f>
        <v/>
      </c>
      <c r="I1122" t="inlineStr">
        <is>
          <t>000748</t>
        </is>
      </c>
    </row>
    <row r="1123">
      <c r="A1123">
        <f>TRIM(BASE_EQUIPOS!N1123)</f>
        <v/>
      </c>
      <c r="B1123">
        <f>BASE_EQUIPOS!A1123</f>
        <v/>
      </c>
      <c r="C1123">
        <f>BASE_EQUIPOS!B1123</f>
        <v/>
      </c>
      <c r="D1123">
        <f>BASE_EQUIPOS!D1123</f>
        <v/>
      </c>
      <c r="E1123">
        <f>BASE_EQUIPOS!G1123</f>
        <v/>
      </c>
      <c r="F1123">
        <f>BASE_EQUIPOS!H1123</f>
        <v/>
      </c>
      <c r="G1123">
        <f>BASE_EQUIPOS!M1123</f>
        <v/>
      </c>
      <c r="I1123" t="inlineStr">
        <is>
          <t>001284</t>
        </is>
      </c>
    </row>
    <row r="1124">
      <c r="A1124">
        <f>TRIM(BASE_EQUIPOS!N1124)</f>
        <v/>
      </c>
      <c r="B1124">
        <f>BASE_EQUIPOS!A1124</f>
        <v/>
      </c>
      <c r="C1124">
        <f>BASE_EQUIPOS!B1124</f>
        <v/>
      </c>
      <c r="D1124">
        <f>BASE_EQUIPOS!D1124</f>
        <v/>
      </c>
      <c r="E1124">
        <f>BASE_EQUIPOS!G1124</f>
        <v/>
      </c>
      <c r="F1124">
        <f>BASE_EQUIPOS!H1124</f>
        <v/>
      </c>
      <c r="G1124">
        <f>BASE_EQUIPOS!M1124</f>
        <v/>
      </c>
      <c r="I1124" t="inlineStr">
        <is>
          <t>110681</t>
        </is>
      </c>
    </row>
    <row r="1125">
      <c r="A1125">
        <f>TRIM(BASE_EQUIPOS!N1125)</f>
        <v/>
      </c>
      <c r="B1125">
        <f>BASE_EQUIPOS!A1125</f>
        <v/>
      </c>
      <c r="C1125">
        <f>BASE_EQUIPOS!B1125</f>
        <v/>
      </c>
      <c r="D1125">
        <f>BASE_EQUIPOS!D1125</f>
        <v/>
      </c>
      <c r="E1125">
        <f>BASE_EQUIPOS!G1125</f>
        <v/>
      </c>
      <c r="F1125">
        <f>BASE_EQUIPOS!H1125</f>
        <v/>
      </c>
      <c r="G1125">
        <f>BASE_EQUIPOS!M1125</f>
        <v/>
      </c>
      <c r="I1125" t="inlineStr">
        <is>
          <t>000335</t>
        </is>
      </c>
    </row>
    <row r="1126">
      <c r="A1126">
        <f>TRIM(BASE_EQUIPOS!N1126)</f>
        <v/>
      </c>
      <c r="B1126">
        <f>BASE_EQUIPOS!A1126</f>
        <v/>
      </c>
      <c r="C1126">
        <f>BASE_EQUIPOS!B1126</f>
        <v/>
      </c>
      <c r="D1126">
        <f>BASE_EQUIPOS!D1126</f>
        <v/>
      </c>
      <c r="E1126">
        <f>BASE_EQUIPOS!G1126</f>
        <v/>
      </c>
      <c r="F1126">
        <f>BASE_EQUIPOS!H1126</f>
        <v/>
      </c>
      <c r="G1126">
        <f>BASE_EQUIPOS!M1126</f>
        <v/>
      </c>
      <c r="I1126" t="inlineStr">
        <is>
          <t>000786</t>
        </is>
      </c>
    </row>
    <row r="1127">
      <c r="A1127">
        <f>TRIM(BASE_EQUIPOS!N1127)</f>
        <v/>
      </c>
      <c r="B1127">
        <f>BASE_EQUIPOS!A1127</f>
        <v/>
      </c>
      <c r="C1127">
        <f>BASE_EQUIPOS!B1127</f>
        <v/>
      </c>
      <c r="D1127">
        <f>BASE_EQUIPOS!D1127</f>
        <v/>
      </c>
      <c r="E1127">
        <f>BASE_EQUIPOS!G1127</f>
        <v/>
      </c>
      <c r="F1127">
        <f>BASE_EQUIPOS!H1127</f>
        <v/>
      </c>
      <c r="G1127">
        <f>BASE_EQUIPOS!M1127</f>
        <v/>
      </c>
      <c r="I1127" t="inlineStr">
        <is>
          <t>000999</t>
        </is>
      </c>
    </row>
    <row r="1128">
      <c r="A1128">
        <f>TRIM(BASE_EQUIPOS!N1128)</f>
        <v/>
      </c>
      <c r="B1128">
        <f>BASE_EQUIPOS!A1128</f>
        <v/>
      </c>
      <c r="C1128">
        <f>BASE_EQUIPOS!B1128</f>
        <v/>
      </c>
      <c r="D1128">
        <f>BASE_EQUIPOS!D1128</f>
        <v/>
      </c>
      <c r="E1128">
        <f>BASE_EQUIPOS!G1128</f>
        <v/>
      </c>
      <c r="F1128">
        <f>BASE_EQUIPOS!H1128</f>
        <v/>
      </c>
      <c r="G1128">
        <f>BASE_EQUIPOS!M1128</f>
        <v/>
      </c>
      <c r="I1128" t="inlineStr">
        <is>
          <t>000993</t>
        </is>
      </c>
    </row>
    <row r="1129">
      <c r="A1129">
        <f>TRIM(BASE_EQUIPOS!N1129)</f>
        <v/>
      </c>
      <c r="B1129">
        <f>BASE_EQUIPOS!A1129</f>
        <v/>
      </c>
      <c r="C1129">
        <f>BASE_EQUIPOS!B1129</f>
        <v/>
      </c>
      <c r="D1129">
        <f>BASE_EQUIPOS!D1129</f>
        <v/>
      </c>
      <c r="E1129">
        <f>BASE_EQUIPOS!G1129</f>
        <v/>
      </c>
      <c r="F1129">
        <f>BASE_EQUIPOS!H1129</f>
        <v/>
      </c>
      <c r="G1129">
        <f>BASE_EQUIPOS!M1129</f>
        <v/>
      </c>
      <c r="I1129" t="inlineStr">
        <is>
          <t>000634</t>
        </is>
      </c>
    </row>
    <row r="1130">
      <c r="A1130">
        <f>TRIM(BASE_EQUIPOS!N1130)</f>
        <v/>
      </c>
      <c r="B1130">
        <f>BASE_EQUIPOS!A1130</f>
        <v/>
      </c>
      <c r="C1130">
        <f>BASE_EQUIPOS!B1130</f>
        <v/>
      </c>
      <c r="D1130">
        <f>BASE_EQUIPOS!D1130</f>
        <v/>
      </c>
      <c r="E1130">
        <f>BASE_EQUIPOS!G1130</f>
        <v/>
      </c>
      <c r="F1130">
        <f>BASE_EQUIPOS!H1130</f>
        <v/>
      </c>
      <c r="G1130">
        <f>BASE_EQUIPOS!M1130</f>
        <v/>
      </c>
      <c r="I1130" t="inlineStr">
        <is>
          <t>779627</t>
        </is>
      </c>
    </row>
    <row r="1131">
      <c r="A1131">
        <f>TRIM(BASE_EQUIPOS!N1131)</f>
        <v/>
      </c>
      <c r="B1131">
        <f>BASE_EQUIPOS!A1131</f>
        <v/>
      </c>
      <c r="C1131">
        <f>BASE_EQUIPOS!B1131</f>
        <v/>
      </c>
      <c r="D1131">
        <f>BASE_EQUIPOS!D1131</f>
        <v/>
      </c>
      <c r="E1131">
        <f>BASE_EQUIPOS!G1131</f>
        <v/>
      </c>
      <c r="F1131">
        <f>BASE_EQUIPOS!H1131</f>
        <v/>
      </c>
      <c r="G1131">
        <f>BASE_EQUIPOS!M1131</f>
        <v/>
      </c>
      <c r="I1131" t="inlineStr">
        <is>
          <t>779649</t>
        </is>
      </c>
    </row>
    <row r="1132">
      <c r="A1132">
        <f>TRIM(BASE_EQUIPOS!N1132)</f>
        <v/>
      </c>
      <c r="B1132">
        <f>BASE_EQUIPOS!A1132</f>
        <v/>
      </c>
      <c r="C1132">
        <f>BASE_EQUIPOS!B1132</f>
        <v/>
      </c>
      <c r="D1132">
        <f>BASE_EQUIPOS!D1132</f>
        <v/>
      </c>
      <c r="E1132">
        <f>BASE_EQUIPOS!G1132</f>
        <v/>
      </c>
      <c r="F1132">
        <f>BASE_EQUIPOS!H1132</f>
        <v/>
      </c>
      <c r="G1132">
        <f>BASE_EQUIPOS!M1132</f>
        <v/>
      </c>
      <c r="I1132" t="inlineStr">
        <is>
          <t>000829</t>
        </is>
      </c>
    </row>
    <row r="1133">
      <c r="A1133">
        <f>TRIM(BASE_EQUIPOS!N1133)</f>
        <v/>
      </c>
      <c r="B1133">
        <f>BASE_EQUIPOS!A1133</f>
        <v/>
      </c>
      <c r="C1133">
        <f>BASE_EQUIPOS!B1133</f>
        <v/>
      </c>
      <c r="D1133">
        <f>BASE_EQUIPOS!D1133</f>
        <v/>
      </c>
      <c r="E1133">
        <f>BASE_EQUIPOS!G1133</f>
        <v/>
      </c>
      <c r="F1133">
        <f>BASE_EQUIPOS!H1133</f>
        <v/>
      </c>
      <c r="G1133">
        <f>BASE_EQUIPOS!M1133</f>
        <v/>
      </c>
      <c r="I1133" t="inlineStr">
        <is>
          <t>002565</t>
        </is>
      </c>
    </row>
    <row r="1134">
      <c r="A1134">
        <f>TRIM(BASE_EQUIPOS!N1134)</f>
        <v/>
      </c>
      <c r="B1134">
        <f>BASE_EQUIPOS!A1134</f>
        <v/>
      </c>
      <c r="C1134">
        <f>BASE_EQUIPOS!B1134</f>
        <v/>
      </c>
      <c r="D1134">
        <f>BASE_EQUIPOS!D1134</f>
        <v/>
      </c>
      <c r="E1134">
        <f>BASE_EQUIPOS!G1134</f>
        <v/>
      </c>
      <c r="F1134">
        <f>BASE_EQUIPOS!H1134</f>
        <v/>
      </c>
      <c r="G1134">
        <f>BASE_EQUIPOS!M1134</f>
        <v/>
      </c>
      <c r="I1134" t="inlineStr">
        <is>
          <t>000869</t>
        </is>
      </c>
    </row>
    <row r="1135">
      <c r="A1135">
        <f>TRIM(BASE_EQUIPOS!N1135)</f>
        <v/>
      </c>
      <c r="B1135">
        <f>BASE_EQUIPOS!A1135</f>
        <v/>
      </c>
      <c r="C1135">
        <f>BASE_EQUIPOS!B1135</f>
        <v/>
      </c>
      <c r="D1135">
        <f>BASE_EQUIPOS!D1135</f>
        <v/>
      </c>
      <c r="E1135">
        <f>BASE_EQUIPOS!G1135</f>
        <v/>
      </c>
      <c r="F1135">
        <f>BASE_EQUIPOS!H1135</f>
        <v/>
      </c>
      <c r="G1135">
        <f>BASE_EQUIPOS!M1135</f>
        <v/>
      </c>
      <c r="I1135" t="inlineStr">
        <is>
          <t>001079</t>
        </is>
      </c>
    </row>
    <row r="1136">
      <c r="A1136">
        <f>TRIM(BASE_EQUIPOS!N1136)</f>
        <v/>
      </c>
      <c r="B1136">
        <f>BASE_EQUIPOS!A1136</f>
        <v/>
      </c>
      <c r="C1136">
        <f>BASE_EQUIPOS!B1136</f>
        <v/>
      </c>
      <c r="D1136">
        <f>BASE_EQUIPOS!D1136</f>
        <v/>
      </c>
      <c r="E1136">
        <f>BASE_EQUIPOS!G1136</f>
        <v/>
      </c>
      <c r="F1136">
        <f>BASE_EQUIPOS!H1136</f>
        <v/>
      </c>
      <c r="G1136">
        <f>BASE_EQUIPOS!M1136</f>
        <v/>
      </c>
      <c r="I1136" t="inlineStr">
        <is>
          <t>000342</t>
        </is>
      </c>
    </row>
    <row r="1137">
      <c r="A1137">
        <f>TRIM(BASE_EQUIPOS!N1137)</f>
        <v/>
      </c>
      <c r="B1137">
        <f>BASE_EQUIPOS!A1137</f>
        <v/>
      </c>
      <c r="C1137">
        <f>BASE_EQUIPOS!B1137</f>
        <v/>
      </c>
      <c r="D1137">
        <f>BASE_EQUIPOS!D1137</f>
        <v/>
      </c>
      <c r="E1137">
        <f>BASE_EQUIPOS!G1137</f>
        <v/>
      </c>
      <c r="F1137">
        <f>BASE_EQUIPOS!H1137</f>
        <v/>
      </c>
      <c r="G1137">
        <f>BASE_EQUIPOS!M1137</f>
        <v/>
      </c>
      <c r="I1137" t="inlineStr">
        <is>
          <t>026565</t>
        </is>
      </c>
    </row>
    <row r="1138">
      <c r="A1138">
        <f>TRIM(BASE_EQUIPOS!N1138)</f>
        <v/>
      </c>
      <c r="B1138">
        <f>BASE_EQUIPOS!A1138</f>
        <v/>
      </c>
      <c r="C1138">
        <f>BASE_EQUIPOS!B1138</f>
        <v/>
      </c>
      <c r="D1138">
        <f>BASE_EQUIPOS!D1138</f>
        <v/>
      </c>
      <c r="E1138">
        <f>BASE_EQUIPOS!G1138</f>
        <v/>
      </c>
      <c r="F1138">
        <f>BASE_EQUIPOS!H1138</f>
        <v/>
      </c>
      <c r="G1138">
        <f>BASE_EQUIPOS!M1138</f>
        <v/>
      </c>
      <c r="I1138" t="inlineStr">
        <is>
          <t>001042</t>
        </is>
      </c>
    </row>
    <row r="1139">
      <c r="A1139">
        <f>TRIM(BASE_EQUIPOS!N1139)</f>
        <v/>
      </c>
      <c r="B1139">
        <f>BASE_EQUIPOS!A1139</f>
        <v/>
      </c>
      <c r="C1139">
        <f>BASE_EQUIPOS!B1139</f>
        <v/>
      </c>
      <c r="D1139">
        <f>BASE_EQUIPOS!D1139</f>
        <v/>
      </c>
      <c r="E1139">
        <f>BASE_EQUIPOS!G1139</f>
        <v/>
      </c>
      <c r="F1139">
        <f>BASE_EQUIPOS!H1139</f>
        <v/>
      </c>
      <c r="G1139">
        <f>BASE_EQUIPOS!M1139</f>
        <v/>
      </c>
      <c r="I1139" t="inlineStr">
        <is>
          <t>000195</t>
        </is>
      </c>
    </row>
    <row r="1140">
      <c r="A1140">
        <f>TRIM(BASE_EQUIPOS!N1140)</f>
        <v/>
      </c>
      <c r="B1140">
        <f>BASE_EQUIPOS!A1140</f>
        <v/>
      </c>
      <c r="C1140">
        <f>BASE_EQUIPOS!B1140</f>
        <v/>
      </c>
      <c r="D1140">
        <f>BASE_EQUIPOS!D1140</f>
        <v/>
      </c>
      <c r="E1140">
        <f>BASE_EQUIPOS!G1140</f>
        <v/>
      </c>
      <c r="F1140">
        <f>BASE_EQUIPOS!H1140</f>
        <v/>
      </c>
      <c r="G1140">
        <f>BASE_EQUIPOS!M1140</f>
        <v/>
      </c>
      <c r="I1140" t="inlineStr">
        <is>
          <t>000273</t>
        </is>
      </c>
    </row>
    <row r="1141">
      <c r="A1141">
        <f>TRIM(BASE_EQUIPOS!N1141)</f>
        <v/>
      </c>
      <c r="B1141">
        <f>BASE_EQUIPOS!A1141</f>
        <v/>
      </c>
      <c r="C1141">
        <f>BASE_EQUIPOS!B1141</f>
        <v/>
      </c>
      <c r="D1141">
        <f>BASE_EQUIPOS!D1141</f>
        <v/>
      </c>
      <c r="E1141">
        <f>BASE_EQUIPOS!G1141</f>
        <v/>
      </c>
      <c r="F1141">
        <f>BASE_EQUIPOS!H1141</f>
        <v/>
      </c>
      <c r="G1141">
        <f>BASE_EQUIPOS!M1141</f>
        <v/>
      </c>
      <c r="I1141" t="inlineStr">
        <is>
          <t>000978</t>
        </is>
      </c>
    </row>
    <row r="1142">
      <c r="A1142">
        <f>TRIM(BASE_EQUIPOS!N1142)</f>
        <v/>
      </c>
      <c r="B1142">
        <f>BASE_EQUIPOS!A1142</f>
        <v/>
      </c>
      <c r="C1142">
        <f>BASE_EQUIPOS!B1142</f>
        <v/>
      </c>
      <c r="D1142">
        <f>BASE_EQUIPOS!D1142</f>
        <v/>
      </c>
      <c r="E1142">
        <f>BASE_EQUIPOS!G1142</f>
        <v/>
      </c>
      <c r="F1142">
        <f>BASE_EQUIPOS!H1142</f>
        <v/>
      </c>
      <c r="G1142">
        <f>BASE_EQUIPOS!M1142</f>
        <v/>
      </c>
      <c r="I1142" t="inlineStr">
        <is>
          <t>000587</t>
        </is>
      </c>
    </row>
    <row r="1143">
      <c r="A1143">
        <f>TRIM(BASE_EQUIPOS!N1143)</f>
        <v/>
      </c>
      <c r="B1143">
        <f>BASE_EQUIPOS!A1143</f>
        <v/>
      </c>
      <c r="C1143">
        <f>BASE_EQUIPOS!B1143</f>
        <v/>
      </c>
      <c r="D1143">
        <f>BASE_EQUIPOS!D1143</f>
        <v/>
      </c>
      <c r="E1143">
        <f>BASE_EQUIPOS!G1143</f>
        <v/>
      </c>
      <c r="F1143">
        <f>BASE_EQUIPOS!H1143</f>
        <v/>
      </c>
      <c r="G1143">
        <f>BASE_EQUIPOS!M1143</f>
        <v/>
      </c>
      <c r="I1143" t="inlineStr">
        <is>
          <t>000853</t>
        </is>
      </c>
    </row>
    <row r="1144">
      <c r="A1144">
        <f>TRIM(BASE_EQUIPOS!N1144)</f>
        <v/>
      </c>
      <c r="B1144">
        <f>BASE_EQUIPOS!A1144</f>
        <v/>
      </c>
      <c r="C1144">
        <f>BASE_EQUIPOS!B1144</f>
        <v/>
      </c>
      <c r="D1144">
        <f>BASE_EQUIPOS!D1144</f>
        <v/>
      </c>
      <c r="E1144">
        <f>BASE_EQUIPOS!G1144</f>
        <v/>
      </c>
      <c r="F1144">
        <f>BASE_EQUIPOS!H1144</f>
        <v/>
      </c>
      <c r="G1144">
        <f>BASE_EQUIPOS!M1144</f>
        <v/>
      </c>
      <c r="I1144" t="inlineStr">
        <is>
          <t>000318</t>
        </is>
      </c>
    </row>
    <row r="1145">
      <c r="A1145">
        <f>TRIM(BASE_EQUIPOS!N1145)</f>
        <v/>
      </c>
      <c r="B1145">
        <f>BASE_EQUIPOS!A1145</f>
        <v/>
      </c>
      <c r="C1145">
        <f>BASE_EQUIPOS!B1145</f>
        <v/>
      </c>
      <c r="D1145">
        <f>BASE_EQUIPOS!D1145</f>
        <v/>
      </c>
      <c r="E1145">
        <f>BASE_EQUIPOS!G1145</f>
        <v/>
      </c>
      <c r="F1145">
        <f>BASE_EQUIPOS!H1145</f>
        <v/>
      </c>
      <c r="G1145">
        <f>BASE_EQUIPOS!M1145</f>
        <v/>
      </c>
      <c r="I1145" t="inlineStr">
        <is>
          <t>000861</t>
        </is>
      </c>
    </row>
    <row r="1146">
      <c r="A1146">
        <f>TRIM(BASE_EQUIPOS!N1146)</f>
        <v/>
      </c>
      <c r="B1146">
        <f>BASE_EQUIPOS!A1146</f>
        <v/>
      </c>
      <c r="C1146">
        <f>BASE_EQUIPOS!B1146</f>
        <v/>
      </c>
      <c r="D1146">
        <f>BASE_EQUIPOS!D1146</f>
        <v/>
      </c>
      <c r="E1146">
        <f>BASE_EQUIPOS!G1146</f>
        <v/>
      </c>
      <c r="F1146">
        <f>BASE_EQUIPOS!H1146</f>
        <v/>
      </c>
      <c r="G1146">
        <f>BASE_EQUIPOS!M1146</f>
        <v/>
      </c>
      <c r="I1146" t="inlineStr">
        <is>
          <t>126 / 001005</t>
        </is>
      </c>
    </row>
    <row r="1147">
      <c r="A1147">
        <f>TRIM(BASE_EQUIPOS!N1147)</f>
        <v/>
      </c>
      <c r="B1147">
        <f>BASE_EQUIPOS!A1147</f>
        <v/>
      </c>
      <c r="C1147">
        <f>BASE_EQUIPOS!B1147</f>
        <v/>
      </c>
      <c r="D1147">
        <f>BASE_EQUIPOS!D1147</f>
        <v/>
      </c>
      <c r="E1147">
        <f>BASE_EQUIPOS!G1147</f>
        <v/>
      </c>
      <c r="F1147">
        <f>BASE_EQUIPOS!H1147</f>
        <v/>
      </c>
      <c r="G1147">
        <f>BASE_EQUIPOS!M1147</f>
        <v/>
      </c>
      <c r="I1147" t="inlineStr">
        <is>
          <t>S/N / 011039</t>
        </is>
      </c>
    </row>
    <row r="1148">
      <c r="A1148">
        <f>TRIM(BASE_EQUIPOS!N1148)</f>
        <v/>
      </c>
      <c r="B1148">
        <f>BASE_EQUIPOS!A1148</f>
        <v/>
      </c>
      <c r="C1148">
        <f>BASE_EQUIPOS!B1148</f>
        <v/>
      </c>
      <c r="D1148">
        <f>BASE_EQUIPOS!D1148</f>
        <v/>
      </c>
      <c r="E1148">
        <f>BASE_EQUIPOS!G1148</f>
        <v/>
      </c>
      <c r="F1148">
        <f>BASE_EQUIPOS!H1148</f>
        <v/>
      </c>
      <c r="G1148">
        <f>BASE_EQUIPOS!M1148</f>
        <v/>
      </c>
      <c r="I1148" t="inlineStr">
        <is>
          <t>S/N / 006512</t>
        </is>
      </c>
    </row>
    <row r="1149">
      <c r="A1149">
        <f>TRIM(BASE_EQUIPOS!N1149)</f>
        <v/>
      </c>
      <c r="B1149">
        <f>BASE_EQUIPOS!A1149</f>
        <v/>
      </c>
      <c r="C1149">
        <f>BASE_EQUIPOS!B1149</f>
        <v/>
      </c>
      <c r="D1149">
        <f>BASE_EQUIPOS!D1149</f>
        <v/>
      </c>
      <c r="E1149">
        <f>BASE_EQUIPOS!G1149</f>
        <v/>
      </c>
      <c r="F1149">
        <f>BASE_EQUIPOS!H1149</f>
        <v/>
      </c>
      <c r="G1149">
        <f>BASE_EQUIPOS!M1149</f>
        <v/>
      </c>
      <c r="I1149" t="inlineStr">
        <is>
          <t>92 / 000649</t>
        </is>
      </c>
    </row>
    <row r="1150">
      <c r="A1150">
        <f>TRIM(BASE_EQUIPOS!N1150)</f>
        <v/>
      </c>
      <c r="B1150">
        <f>BASE_EQUIPOS!A1150</f>
        <v/>
      </c>
      <c r="C1150">
        <f>BASE_EQUIPOS!B1150</f>
        <v/>
      </c>
      <c r="D1150">
        <f>BASE_EQUIPOS!D1150</f>
        <v/>
      </c>
      <c r="E1150">
        <f>BASE_EQUIPOS!G1150</f>
        <v/>
      </c>
      <c r="F1150">
        <f>BASE_EQUIPOS!H1150</f>
        <v/>
      </c>
      <c r="G1150">
        <f>BASE_EQUIPOS!M1150</f>
        <v/>
      </c>
      <c r="I1150" t="inlineStr">
        <is>
          <t>363 / 001595</t>
        </is>
      </c>
    </row>
    <row r="1151">
      <c r="A1151">
        <f>TRIM(BASE_EQUIPOS!N1151)</f>
        <v/>
      </c>
      <c r="B1151">
        <f>BASE_EQUIPOS!A1151</f>
        <v/>
      </c>
      <c r="C1151">
        <f>BASE_EQUIPOS!B1151</f>
        <v/>
      </c>
      <c r="D1151">
        <f>BASE_EQUIPOS!D1151</f>
        <v/>
      </c>
      <c r="E1151">
        <f>BASE_EQUIPOS!G1151</f>
        <v/>
      </c>
      <c r="F1151">
        <f>BASE_EQUIPOS!H1151</f>
        <v/>
      </c>
      <c r="G1151">
        <f>BASE_EQUIPOS!M1151</f>
        <v/>
      </c>
      <c r="I1151" t="inlineStr">
        <is>
          <t>289 / 000598</t>
        </is>
      </c>
    </row>
    <row r="1152">
      <c r="A1152">
        <f>TRIM(BASE_EQUIPOS!N1152)</f>
        <v/>
      </c>
      <c r="B1152">
        <f>BASE_EQUIPOS!A1152</f>
        <v/>
      </c>
      <c r="C1152">
        <f>BASE_EQUIPOS!B1152</f>
        <v/>
      </c>
      <c r="D1152">
        <f>BASE_EQUIPOS!D1152</f>
        <v/>
      </c>
      <c r="E1152">
        <f>BASE_EQUIPOS!G1152</f>
        <v/>
      </c>
      <c r="F1152">
        <f>BASE_EQUIPOS!H1152</f>
        <v/>
      </c>
      <c r="G1152">
        <f>BASE_EQUIPOS!M1152</f>
        <v/>
      </c>
      <c r="I1152" t="inlineStr">
        <is>
          <t>S/N / 007813</t>
        </is>
      </c>
    </row>
    <row r="1153">
      <c r="A1153">
        <f>TRIM(BASE_EQUIPOS!N1153)</f>
        <v/>
      </c>
      <c r="B1153">
        <f>BASE_EQUIPOS!A1153</f>
        <v/>
      </c>
      <c r="C1153">
        <f>BASE_EQUIPOS!B1153</f>
        <v/>
      </c>
      <c r="D1153">
        <f>BASE_EQUIPOS!D1153</f>
        <v/>
      </c>
      <c r="E1153">
        <f>BASE_EQUIPOS!G1153</f>
        <v/>
      </c>
      <c r="F1153">
        <f>BASE_EQUIPOS!H1153</f>
        <v/>
      </c>
      <c r="G1153">
        <f>BASE_EQUIPOS!M1153</f>
        <v/>
      </c>
      <c r="I1153" t="inlineStr">
        <is>
          <t>297 / 000847</t>
        </is>
      </c>
    </row>
    <row r="1154">
      <c r="A1154">
        <f>TRIM(BASE_EQUIPOS!N1154)</f>
        <v/>
      </c>
      <c r="B1154">
        <f>BASE_EQUIPOS!A1154</f>
        <v/>
      </c>
      <c r="C1154">
        <f>BASE_EQUIPOS!B1154</f>
        <v/>
      </c>
      <c r="D1154">
        <f>BASE_EQUIPOS!D1154</f>
        <v/>
      </c>
      <c r="E1154">
        <f>BASE_EQUIPOS!G1154</f>
        <v/>
      </c>
      <c r="F1154">
        <f>BASE_EQUIPOS!H1154</f>
        <v/>
      </c>
      <c r="G1154">
        <f>BASE_EQUIPOS!M1154</f>
        <v/>
      </c>
      <c r="I1154" t="inlineStr">
        <is>
          <t>02 / 000770</t>
        </is>
      </c>
    </row>
    <row r="1155">
      <c r="A1155">
        <f>TRIM(BASE_EQUIPOS!N1155)</f>
        <v/>
      </c>
      <c r="B1155">
        <f>BASE_EQUIPOS!A1155</f>
        <v/>
      </c>
      <c r="C1155">
        <f>BASE_EQUIPOS!B1155</f>
        <v/>
      </c>
      <c r="D1155">
        <f>BASE_EQUIPOS!D1155</f>
        <v/>
      </c>
      <c r="E1155">
        <f>BASE_EQUIPOS!G1155</f>
        <v/>
      </c>
      <c r="F1155">
        <f>BASE_EQUIPOS!H1155</f>
        <v/>
      </c>
      <c r="G1155">
        <f>BASE_EQUIPOS!M1155</f>
        <v/>
      </c>
      <c r="I1155" t="inlineStr">
        <is>
          <t>59 / 000050</t>
        </is>
      </c>
    </row>
    <row r="1156">
      <c r="A1156">
        <f>TRIM(BASE_EQUIPOS!N1156)</f>
        <v/>
      </c>
      <c r="B1156">
        <f>BASE_EQUIPOS!A1156</f>
        <v/>
      </c>
      <c r="C1156">
        <f>BASE_EQUIPOS!B1156</f>
        <v/>
      </c>
      <c r="D1156">
        <f>BASE_EQUIPOS!D1156</f>
        <v/>
      </c>
      <c r="E1156">
        <f>BASE_EQUIPOS!G1156</f>
        <v/>
      </c>
      <c r="F1156">
        <f>BASE_EQUIPOS!H1156</f>
        <v/>
      </c>
      <c r="G1156">
        <f>BASE_EQUIPOS!M1156</f>
        <v/>
      </c>
      <c r="I1156" t="inlineStr">
        <is>
          <t>01 / 000405</t>
        </is>
      </c>
    </row>
    <row r="1157">
      <c r="A1157">
        <f>TRIM(BASE_EQUIPOS!N1157)</f>
        <v/>
      </c>
      <c r="B1157">
        <f>BASE_EQUIPOS!A1157</f>
        <v/>
      </c>
      <c r="C1157">
        <f>BASE_EQUIPOS!B1157</f>
        <v/>
      </c>
      <c r="D1157">
        <f>BASE_EQUIPOS!D1157</f>
        <v/>
      </c>
      <c r="E1157">
        <f>BASE_EQUIPOS!G1157</f>
        <v/>
      </c>
      <c r="F1157">
        <f>BASE_EQUIPOS!H1157</f>
        <v/>
      </c>
      <c r="G1157">
        <f>BASE_EQUIPOS!M1157</f>
        <v/>
      </c>
      <c r="I1157" t="inlineStr">
        <is>
          <t>02 / 002536</t>
        </is>
      </c>
    </row>
    <row r="1158">
      <c r="A1158">
        <f>TRIM(BASE_EQUIPOS!N1158)</f>
        <v/>
      </c>
      <c r="B1158">
        <f>BASE_EQUIPOS!A1158</f>
        <v/>
      </c>
      <c r="C1158">
        <f>BASE_EQUIPOS!B1158</f>
        <v/>
      </c>
      <c r="D1158">
        <f>BASE_EQUIPOS!D1158</f>
        <v/>
      </c>
      <c r="E1158">
        <f>BASE_EQUIPOS!G1158</f>
        <v/>
      </c>
      <c r="F1158">
        <f>BASE_EQUIPOS!H1158</f>
        <v/>
      </c>
      <c r="G1158">
        <f>BASE_EQUIPOS!M1158</f>
        <v/>
      </c>
      <c r="I1158" t="inlineStr">
        <is>
          <t>03 / 016106</t>
        </is>
      </c>
    </row>
    <row r="1159">
      <c r="A1159">
        <f>TRIM(BASE_EQUIPOS!N1159)</f>
        <v/>
      </c>
      <c r="B1159">
        <f>BASE_EQUIPOS!A1159</f>
        <v/>
      </c>
      <c r="C1159">
        <f>BASE_EQUIPOS!B1159</f>
        <v/>
      </c>
      <c r="D1159">
        <f>BASE_EQUIPOS!D1159</f>
        <v/>
      </c>
      <c r="E1159">
        <f>BASE_EQUIPOS!G1159</f>
        <v/>
      </c>
      <c r="F1159">
        <f>BASE_EQUIPOS!H1159</f>
        <v/>
      </c>
      <c r="G1159">
        <f>BASE_EQUIPOS!M1159</f>
        <v/>
      </c>
      <c r="I1159" t="inlineStr">
        <is>
          <t>04 / 000378</t>
        </is>
      </c>
    </row>
    <row r="1160">
      <c r="A1160">
        <f>TRIM(BASE_EQUIPOS!N1160)</f>
        <v/>
      </c>
      <c r="B1160">
        <f>BASE_EQUIPOS!A1160</f>
        <v/>
      </c>
      <c r="C1160">
        <f>BASE_EQUIPOS!B1160</f>
        <v/>
      </c>
      <c r="D1160">
        <f>BASE_EQUIPOS!D1160</f>
        <v/>
      </c>
      <c r="E1160">
        <f>BASE_EQUIPOS!G1160</f>
        <v/>
      </c>
      <c r="F1160">
        <f>BASE_EQUIPOS!H1160</f>
        <v/>
      </c>
      <c r="G1160">
        <f>BASE_EQUIPOS!M1160</f>
        <v/>
      </c>
      <c r="I1160" t="inlineStr">
        <is>
          <t>05 / 015794</t>
        </is>
      </c>
    </row>
    <row r="1161">
      <c r="A1161">
        <f>TRIM(BASE_EQUIPOS!N1161)</f>
        <v/>
      </c>
      <c r="B1161">
        <f>BASE_EQUIPOS!A1161</f>
        <v/>
      </c>
      <c r="C1161">
        <f>BASE_EQUIPOS!B1161</f>
        <v/>
      </c>
      <c r="D1161">
        <f>BASE_EQUIPOS!D1161</f>
        <v/>
      </c>
      <c r="E1161">
        <f>BASE_EQUIPOS!G1161</f>
        <v/>
      </c>
      <c r="F1161">
        <f>BASE_EQUIPOS!H1161</f>
        <v/>
      </c>
      <c r="G1161">
        <f>BASE_EQUIPOS!M1161</f>
        <v/>
      </c>
      <c r="I1161" t="inlineStr">
        <is>
          <t>06 / 015890</t>
        </is>
      </c>
    </row>
    <row r="1162">
      <c r="A1162">
        <f>TRIM(BASE_EQUIPOS!N1162)</f>
        <v/>
      </c>
      <c r="B1162">
        <f>BASE_EQUIPOS!A1162</f>
        <v/>
      </c>
      <c r="C1162">
        <f>BASE_EQUIPOS!B1162</f>
        <v/>
      </c>
      <c r="D1162">
        <f>BASE_EQUIPOS!D1162</f>
        <v/>
      </c>
      <c r="E1162">
        <f>BASE_EQUIPOS!G1162</f>
        <v/>
      </c>
      <c r="F1162">
        <f>BASE_EQUIPOS!H1162</f>
        <v/>
      </c>
      <c r="G1162">
        <f>BASE_EQUIPOS!M1162</f>
        <v/>
      </c>
      <c r="I1162" t="inlineStr">
        <is>
          <t>000244</t>
        </is>
      </c>
    </row>
    <row r="1163">
      <c r="A1163">
        <f>TRIM(BASE_EQUIPOS!N1163)</f>
        <v/>
      </c>
      <c r="B1163">
        <f>BASE_EQUIPOS!A1163</f>
        <v/>
      </c>
      <c r="C1163">
        <f>BASE_EQUIPOS!B1163</f>
        <v/>
      </c>
      <c r="D1163">
        <f>BASE_EQUIPOS!D1163</f>
        <v/>
      </c>
      <c r="E1163">
        <f>BASE_EQUIPOS!G1163</f>
        <v/>
      </c>
      <c r="F1163">
        <f>BASE_EQUIPOS!H1163</f>
        <v/>
      </c>
      <c r="G1163">
        <f>BASE_EQUIPOS!M1163</f>
        <v/>
      </c>
      <c r="I1163" t="inlineStr">
        <is>
          <t>000145</t>
        </is>
      </c>
    </row>
    <row r="1164">
      <c r="A1164">
        <f>TRIM(BASE_EQUIPOS!N1164)</f>
        <v/>
      </c>
      <c r="B1164">
        <f>BASE_EQUIPOS!A1164</f>
        <v/>
      </c>
      <c r="C1164">
        <f>BASE_EQUIPOS!B1164</f>
        <v/>
      </c>
      <c r="D1164">
        <f>BASE_EQUIPOS!D1164</f>
        <v/>
      </c>
      <c r="E1164">
        <f>BASE_EQUIPOS!G1164</f>
        <v/>
      </c>
      <c r="F1164">
        <f>BASE_EQUIPOS!H1164</f>
        <v/>
      </c>
      <c r="G1164">
        <f>BASE_EQUIPOS!M1164</f>
        <v/>
      </c>
      <c r="I1164" t="inlineStr">
        <is>
          <t>002715</t>
        </is>
      </c>
    </row>
    <row r="1165">
      <c r="A1165">
        <f>TRIM(BASE_EQUIPOS!N1165)</f>
        <v/>
      </c>
      <c r="B1165">
        <f>BASE_EQUIPOS!A1165</f>
        <v/>
      </c>
      <c r="C1165">
        <f>BASE_EQUIPOS!B1165</f>
        <v/>
      </c>
      <c r="D1165">
        <f>BASE_EQUIPOS!D1165</f>
        <v/>
      </c>
      <c r="E1165">
        <f>BASE_EQUIPOS!G1165</f>
        <v/>
      </c>
      <c r="F1165">
        <f>BASE_EQUIPOS!H1165</f>
        <v/>
      </c>
      <c r="G1165">
        <f>BASE_EQUIPOS!M1165</f>
        <v/>
      </c>
      <c r="I1165" t="inlineStr">
        <is>
          <t>000343</t>
        </is>
      </c>
    </row>
    <row r="1166">
      <c r="A1166">
        <f>TRIM(BASE_EQUIPOS!N1166)</f>
        <v/>
      </c>
      <c r="B1166">
        <f>BASE_EQUIPOS!A1166</f>
        <v/>
      </c>
      <c r="C1166">
        <f>BASE_EQUIPOS!B1166</f>
        <v/>
      </c>
      <c r="D1166">
        <f>BASE_EQUIPOS!D1166</f>
        <v/>
      </c>
      <c r="E1166">
        <f>BASE_EQUIPOS!G1166</f>
        <v/>
      </c>
      <c r="F1166">
        <f>BASE_EQUIPOS!H1166</f>
        <v/>
      </c>
      <c r="G1166">
        <f>BASE_EQUIPOS!M1166</f>
        <v/>
      </c>
      <c r="I1166" t="inlineStr">
        <is>
          <t>000272</t>
        </is>
      </c>
    </row>
    <row r="1167">
      <c r="A1167">
        <f>TRIM(BASE_EQUIPOS!N1167)</f>
        <v/>
      </c>
      <c r="B1167">
        <f>BASE_EQUIPOS!A1167</f>
        <v/>
      </c>
      <c r="C1167">
        <f>BASE_EQUIPOS!B1167</f>
        <v/>
      </c>
      <c r="D1167">
        <f>BASE_EQUIPOS!D1167</f>
        <v/>
      </c>
      <c r="E1167">
        <f>BASE_EQUIPOS!G1167</f>
        <v/>
      </c>
      <c r="F1167">
        <f>BASE_EQUIPOS!H1167</f>
        <v/>
      </c>
      <c r="G1167">
        <f>BASE_EQUIPOS!M1167</f>
        <v/>
      </c>
      <c r="I1167" t="inlineStr">
        <is>
          <t>000141</t>
        </is>
      </c>
    </row>
    <row r="1168">
      <c r="A1168">
        <f>TRIM(BASE_EQUIPOS!N1168)</f>
        <v/>
      </c>
      <c r="B1168">
        <f>BASE_EQUIPOS!A1168</f>
        <v/>
      </c>
      <c r="C1168">
        <f>BASE_EQUIPOS!B1168</f>
        <v/>
      </c>
      <c r="D1168">
        <f>BASE_EQUIPOS!D1168</f>
        <v/>
      </c>
      <c r="E1168">
        <f>BASE_EQUIPOS!G1168</f>
        <v/>
      </c>
      <c r="F1168">
        <f>BASE_EQUIPOS!H1168</f>
        <v/>
      </c>
      <c r="G1168">
        <f>BASE_EQUIPOS!M1168</f>
        <v/>
      </c>
      <c r="I1168" t="inlineStr">
        <is>
          <t>348 / 001137</t>
        </is>
      </c>
    </row>
    <row r="1169">
      <c r="A1169">
        <f>TRIM(BASE_EQUIPOS!N1169)</f>
        <v/>
      </c>
      <c r="B1169">
        <f>BASE_EQUIPOS!A1169</f>
        <v/>
      </c>
      <c r="C1169">
        <f>BASE_EQUIPOS!B1169</f>
        <v/>
      </c>
      <c r="D1169">
        <f>BASE_EQUIPOS!D1169</f>
        <v/>
      </c>
      <c r="E1169">
        <f>BASE_EQUIPOS!G1169</f>
        <v/>
      </c>
      <c r="F1169">
        <f>BASE_EQUIPOS!H1169</f>
        <v/>
      </c>
      <c r="G1169">
        <f>BASE_EQUIPOS!M1169</f>
        <v/>
      </c>
      <c r="I1169" t="inlineStr">
        <is>
          <t>368 / 002766</t>
        </is>
      </c>
    </row>
    <row r="1170">
      <c r="A1170">
        <f>TRIM(BASE_EQUIPOS!N1170)</f>
        <v/>
      </c>
      <c r="B1170">
        <f>BASE_EQUIPOS!A1170</f>
        <v/>
      </c>
      <c r="C1170">
        <f>BASE_EQUIPOS!B1170</f>
        <v/>
      </c>
      <c r="D1170">
        <f>BASE_EQUIPOS!D1170</f>
        <v/>
      </c>
      <c r="E1170">
        <f>BASE_EQUIPOS!G1170</f>
        <v/>
      </c>
      <c r="F1170">
        <f>BASE_EQUIPOS!H1170</f>
        <v/>
      </c>
      <c r="G1170">
        <f>BASE_EQUIPOS!M1170</f>
        <v/>
      </c>
      <c r="I1170" t="inlineStr">
        <is>
          <t>98 / 002612</t>
        </is>
      </c>
    </row>
    <row r="1171">
      <c r="A1171">
        <f>TRIM(BASE_EQUIPOS!N1171)</f>
        <v/>
      </c>
      <c r="B1171">
        <f>BASE_EQUIPOS!A1171</f>
        <v/>
      </c>
      <c r="C1171">
        <f>BASE_EQUIPOS!B1171</f>
        <v/>
      </c>
      <c r="D1171">
        <f>BASE_EQUIPOS!D1171</f>
        <v/>
      </c>
      <c r="E1171">
        <f>BASE_EQUIPOS!G1171</f>
        <v/>
      </c>
      <c r="F1171">
        <f>BASE_EQUIPOS!H1171</f>
        <v/>
      </c>
      <c r="G1171">
        <f>BASE_EQUIPOS!M1171</f>
        <v/>
      </c>
      <c r="I1171" t="inlineStr">
        <is>
          <t>106 / 000638</t>
        </is>
      </c>
    </row>
    <row r="1172">
      <c r="A1172">
        <f>TRIM(BASE_EQUIPOS!N1172)</f>
        <v/>
      </c>
      <c r="B1172">
        <f>BASE_EQUIPOS!A1172</f>
        <v/>
      </c>
      <c r="C1172">
        <f>BASE_EQUIPOS!B1172</f>
        <v/>
      </c>
      <c r="D1172">
        <f>BASE_EQUIPOS!D1172</f>
        <v/>
      </c>
      <c r="E1172">
        <f>BASE_EQUIPOS!G1172</f>
        <v/>
      </c>
      <c r="F1172">
        <f>BASE_EQUIPOS!H1172</f>
        <v/>
      </c>
      <c r="G1172">
        <f>BASE_EQUIPOS!M1172</f>
        <v/>
      </c>
      <c r="I1172" t="inlineStr">
        <is>
          <t>S/N 003327</t>
        </is>
      </c>
    </row>
    <row r="1173">
      <c r="A1173">
        <f>TRIM(BASE_EQUIPOS!N1173)</f>
        <v/>
      </c>
      <c r="B1173">
        <f>BASE_EQUIPOS!A1173</f>
        <v/>
      </c>
      <c r="C1173">
        <f>BASE_EQUIPOS!B1173</f>
        <v/>
      </c>
      <c r="D1173">
        <f>BASE_EQUIPOS!D1173</f>
        <v/>
      </c>
      <c r="E1173">
        <f>BASE_EQUIPOS!G1173</f>
        <v/>
      </c>
      <c r="F1173">
        <f>BASE_EQUIPOS!H1173</f>
        <v/>
      </c>
      <c r="G1173">
        <f>BASE_EQUIPOS!M1173</f>
        <v/>
      </c>
      <c r="I1173" t="inlineStr">
        <is>
          <t>62 / 000351</t>
        </is>
      </c>
    </row>
    <row r="1174">
      <c r="A1174">
        <f>TRIM(BASE_EQUIPOS!N1174)</f>
        <v/>
      </c>
      <c r="B1174">
        <f>BASE_EQUIPOS!A1174</f>
        <v/>
      </c>
      <c r="C1174">
        <f>BASE_EQUIPOS!B1174</f>
        <v/>
      </c>
      <c r="D1174">
        <f>BASE_EQUIPOS!D1174</f>
        <v/>
      </c>
      <c r="E1174">
        <f>BASE_EQUIPOS!G1174</f>
        <v/>
      </c>
      <c r="F1174">
        <f>BASE_EQUIPOS!H1174</f>
        <v/>
      </c>
      <c r="G1174">
        <f>BASE_EQUIPOS!M1174</f>
        <v/>
      </c>
      <c r="I1174" t="inlineStr">
        <is>
          <t>S/N / 000357</t>
        </is>
      </c>
    </row>
    <row r="1175">
      <c r="A1175">
        <f>TRIM(BASE_EQUIPOS!N1175)</f>
        <v/>
      </c>
      <c r="B1175">
        <f>BASE_EQUIPOS!A1175</f>
        <v/>
      </c>
      <c r="C1175">
        <f>BASE_EQUIPOS!B1175</f>
        <v/>
      </c>
      <c r="D1175">
        <f>BASE_EQUIPOS!D1175</f>
        <v/>
      </c>
      <c r="E1175">
        <f>BASE_EQUIPOS!G1175</f>
        <v/>
      </c>
      <c r="F1175">
        <f>BASE_EQUIPOS!H1175</f>
        <v/>
      </c>
      <c r="G1175">
        <f>BASE_EQUIPOS!M1175</f>
        <v/>
      </c>
      <c r="I1175" t="inlineStr">
        <is>
          <t>18 / 001163</t>
        </is>
      </c>
    </row>
    <row r="1176">
      <c r="A1176">
        <f>TRIM(BASE_EQUIPOS!N1176)</f>
        <v/>
      </c>
      <c r="B1176">
        <f>BASE_EQUIPOS!A1176</f>
        <v/>
      </c>
      <c r="C1176">
        <f>BASE_EQUIPOS!B1176</f>
        <v/>
      </c>
      <c r="D1176">
        <f>BASE_EQUIPOS!D1176</f>
        <v/>
      </c>
      <c r="E1176">
        <f>BASE_EQUIPOS!G1176</f>
        <v/>
      </c>
      <c r="F1176">
        <f>BASE_EQUIPOS!H1176</f>
        <v/>
      </c>
      <c r="G1176">
        <f>BASE_EQUIPOS!M1176</f>
        <v/>
      </c>
      <c r="I1176" t="inlineStr">
        <is>
          <t>S/N / 005946</t>
        </is>
      </c>
    </row>
    <row r="1177">
      <c r="A1177">
        <f>TRIM(BASE_EQUIPOS!N1177)</f>
        <v/>
      </c>
      <c r="B1177">
        <f>BASE_EQUIPOS!A1177</f>
        <v/>
      </c>
      <c r="C1177">
        <f>BASE_EQUIPOS!B1177</f>
        <v/>
      </c>
      <c r="D1177">
        <f>BASE_EQUIPOS!D1177</f>
        <v/>
      </c>
      <c r="E1177">
        <f>BASE_EQUIPOS!G1177</f>
        <v/>
      </c>
      <c r="F1177">
        <f>BASE_EQUIPOS!H1177</f>
        <v/>
      </c>
      <c r="G1177">
        <f>BASE_EQUIPOS!M1177</f>
        <v/>
      </c>
      <c r="I1177" t="inlineStr">
        <is>
          <t>S/N 000728</t>
        </is>
      </c>
    </row>
    <row r="1178">
      <c r="A1178">
        <f>TRIM(BASE_EQUIPOS!N1178)</f>
        <v/>
      </c>
      <c r="B1178">
        <f>BASE_EQUIPOS!A1178</f>
        <v/>
      </c>
      <c r="C1178">
        <f>BASE_EQUIPOS!B1178</f>
        <v/>
      </c>
      <c r="D1178">
        <f>BASE_EQUIPOS!D1178</f>
        <v/>
      </c>
      <c r="E1178">
        <f>BASE_EQUIPOS!G1178</f>
        <v/>
      </c>
      <c r="F1178">
        <f>BASE_EQUIPOS!H1178</f>
        <v/>
      </c>
      <c r="G1178">
        <f>BASE_EQUIPOS!M1178</f>
        <v/>
      </c>
      <c r="I1178" t="inlineStr">
        <is>
          <t>381 / 001019</t>
        </is>
      </c>
    </row>
    <row r="1179">
      <c r="A1179">
        <f>TRIM(BASE_EQUIPOS!N1179)</f>
        <v/>
      </c>
      <c r="B1179">
        <f>BASE_EQUIPOS!A1179</f>
        <v/>
      </c>
      <c r="C1179">
        <f>BASE_EQUIPOS!B1179</f>
        <v/>
      </c>
      <c r="D1179">
        <f>BASE_EQUIPOS!D1179</f>
        <v/>
      </c>
      <c r="E1179">
        <f>BASE_EQUIPOS!G1179</f>
        <v/>
      </c>
      <c r="F1179">
        <f>BASE_EQUIPOS!H1179</f>
        <v/>
      </c>
      <c r="G1179">
        <f>BASE_EQUIPOS!M1179</f>
        <v/>
      </c>
      <c r="I1179" t="inlineStr">
        <is>
          <t>65 / 000125</t>
        </is>
      </c>
    </row>
    <row r="1180">
      <c r="A1180">
        <f>TRIM(BASE_EQUIPOS!N1180)</f>
        <v/>
      </c>
      <c r="B1180">
        <f>BASE_EQUIPOS!A1180</f>
        <v/>
      </c>
      <c r="C1180">
        <f>BASE_EQUIPOS!B1180</f>
        <v/>
      </c>
      <c r="D1180">
        <f>BASE_EQUIPOS!D1180</f>
        <v/>
      </c>
      <c r="E1180">
        <f>BASE_EQUIPOS!G1180</f>
        <v/>
      </c>
      <c r="F1180">
        <f>BASE_EQUIPOS!H1180</f>
        <v/>
      </c>
      <c r="G1180">
        <f>BASE_EQUIPOS!M1180</f>
        <v/>
      </c>
      <c r="I1180" t="inlineStr">
        <is>
          <t>Sotano / 000061</t>
        </is>
      </c>
    </row>
    <row r="1181">
      <c r="A1181">
        <f>TRIM(BASE_EQUIPOS!N1181)</f>
        <v/>
      </c>
      <c r="B1181">
        <f>BASE_EQUIPOS!A1181</f>
        <v/>
      </c>
      <c r="C1181">
        <f>BASE_EQUIPOS!B1181</f>
        <v/>
      </c>
      <c r="D1181">
        <f>BASE_EQUIPOS!D1181</f>
        <v/>
      </c>
      <c r="E1181">
        <f>BASE_EQUIPOS!G1181</f>
        <v/>
      </c>
      <c r="F1181">
        <f>BASE_EQUIPOS!H1181</f>
        <v/>
      </c>
      <c r="G1181">
        <f>BASE_EQUIPOS!M1181</f>
        <v/>
      </c>
      <c r="I1181" t="inlineStr">
        <is>
          <t>000685</t>
        </is>
      </c>
    </row>
    <row r="1182">
      <c r="A1182">
        <f>TRIM(BASE_EQUIPOS!N1182)</f>
        <v/>
      </c>
      <c r="B1182">
        <f>BASE_EQUIPOS!A1182</f>
        <v/>
      </c>
      <c r="C1182">
        <f>BASE_EQUIPOS!B1182</f>
        <v/>
      </c>
      <c r="D1182">
        <f>BASE_EQUIPOS!D1182</f>
        <v/>
      </c>
      <c r="E1182">
        <f>BASE_EQUIPOS!G1182</f>
        <v/>
      </c>
      <c r="F1182">
        <f>BASE_EQUIPOS!H1182</f>
        <v/>
      </c>
      <c r="G1182">
        <f>BASE_EQUIPOS!M1182</f>
        <v/>
      </c>
      <c r="I1182" t="inlineStr">
        <is>
          <t>032593</t>
        </is>
      </c>
    </row>
    <row r="1183">
      <c r="A1183">
        <f>TRIM(BASE_EQUIPOS!N1183)</f>
        <v/>
      </c>
      <c r="B1183">
        <f>BASE_EQUIPOS!A1183</f>
        <v/>
      </c>
      <c r="C1183">
        <f>BASE_EQUIPOS!B1183</f>
        <v/>
      </c>
      <c r="D1183">
        <f>BASE_EQUIPOS!D1183</f>
        <v/>
      </c>
      <c r="E1183">
        <f>BASE_EQUIPOS!G1183</f>
        <v/>
      </c>
      <c r="F1183">
        <f>BASE_EQUIPOS!H1183</f>
        <v/>
      </c>
      <c r="G1183">
        <f>BASE_EQUIPOS!M1183</f>
        <v/>
      </c>
      <c r="I1183" t="inlineStr">
        <is>
          <t>01 / 002797</t>
        </is>
      </c>
    </row>
    <row r="1184">
      <c r="A1184">
        <f>TRIM(BASE_EQUIPOS!N1184)</f>
        <v/>
      </c>
      <c r="B1184">
        <f>BASE_EQUIPOS!A1184</f>
        <v/>
      </c>
      <c r="C1184">
        <f>BASE_EQUIPOS!B1184</f>
        <v/>
      </c>
      <c r="D1184">
        <f>BASE_EQUIPOS!D1184</f>
        <v/>
      </c>
      <c r="E1184">
        <f>BASE_EQUIPOS!G1184</f>
        <v/>
      </c>
      <c r="F1184">
        <f>BASE_EQUIPOS!H1184</f>
        <v/>
      </c>
      <c r="G1184">
        <f>BASE_EQUIPOS!M1184</f>
        <v/>
      </c>
      <c r="I1184" t="inlineStr">
        <is>
          <t>02 / 002574</t>
        </is>
      </c>
    </row>
    <row r="1185">
      <c r="A1185">
        <f>TRIM(BASE_EQUIPOS!N1185)</f>
        <v/>
      </c>
      <c r="B1185">
        <f>BASE_EQUIPOS!A1185</f>
        <v/>
      </c>
      <c r="C1185">
        <f>BASE_EQUIPOS!B1185</f>
        <v/>
      </c>
      <c r="D1185">
        <f>BASE_EQUIPOS!D1185</f>
        <v/>
      </c>
      <c r="E1185">
        <f>BASE_EQUIPOS!G1185</f>
        <v/>
      </c>
      <c r="F1185">
        <f>BASE_EQUIPOS!H1185</f>
        <v/>
      </c>
      <c r="G1185">
        <f>BASE_EQUIPOS!M1185</f>
        <v/>
      </c>
      <c r="I1185" t="inlineStr">
        <is>
          <t>000934</t>
        </is>
      </c>
    </row>
    <row r="1186">
      <c r="A1186">
        <f>TRIM(BASE_EQUIPOS!N1186)</f>
        <v/>
      </c>
      <c r="B1186">
        <f>BASE_EQUIPOS!A1186</f>
        <v/>
      </c>
      <c r="C1186">
        <f>BASE_EQUIPOS!B1186</f>
        <v/>
      </c>
      <c r="D1186">
        <f>BASE_EQUIPOS!D1186</f>
        <v/>
      </c>
      <c r="E1186">
        <f>BASE_EQUIPOS!G1186</f>
        <v/>
      </c>
      <c r="F1186">
        <f>BASE_EQUIPOS!H1186</f>
        <v/>
      </c>
      <c r="G1186">
        <f>BASE_EQUIPOS!M1186</f>
        <v/>
      </c>
      <c r="I1186" t="inlineStr">
        <is>
          <t>000223</t>
        </is>
      </c>
    </row>
    <row r="1187">
      <c r="A1187">
        <f>TRIM(BASE_EQUIPOS!N1187)</f>
        <v/>
      </c>
      <c r="B1187">
        <f>BASE_EQUIPOS!A1187</f>
        <v/>
      </c>
      <c r="C1187">
        <f>BASE_EQUIPOS!B1187</f>
        <v/>
      </c>
      <c r="D1187">
        <f>BASE_EQUIPOS!D1187</f>
        <v/>
      </c>
      <c r="E1187">
        <f>BASE_EQUIPOS!G1187</f>
        <v/>
      </c>
      <c r="F1187">
        <f>BASE_EQUIPOS!H1187</f>
        <v/>
      </c>
      <c r="G1187">
        <f>BASE_EQUIPOS!M1187</f>
        <v/>
      </c>
      <c r="I1187" t="inlineStr">
        <is>
          <t>01 / 002594</t>
        </is>
      </c>
    </row>
    <row r="1188">
      <c r="A1188">
        <f>TRIM(BASE_EQUIPOS!N1188)</f>
        <v/>
      </c>
      <c r="B1188">
        <f>BASE_EQUIPOS!A1188</f>
        <v/>
      </c>
      <c r="C1188">
        <f>BASE_EQUIPOS!B1188</f>
        <v/>
      </c>
      <c r="D1188">
        <f>BASE_EQUIPOS!D1188</f>
        <v/>
      </c>
      <c r="E1188">
        <f>BASE_EQUIPOS!G1188</f>
        <v/>
      </c>
      <c r="F1188">
        <f>BASE_EQUIPOS!H1188</f>
        <v/>
      </c>
      <c r="G1188">
        <f>BASE_EQUIPOS!M1188</f>
        <v/>
      </c>
      <c r="I1188" t="inlineStr">
        <is>
          <t>02 / 001458</t>
        </is>
      </c>
    </row>
    <row r="1189">
      <c r="A1189">
        <f>TRIM(BASE_EQUIPOS!N1189)</f>
        <v/>
      </c>
      <c r="B1189">
        <f>BASE_EQUIPOS!A1189</f>
        <v/>
      </c>
      <c r="C1189">
        <f>BASE_EQUIPOS!B1189</f>
        <v/>
      </c>
      <c r="D1189">
        <f>BASE_EQUIPOS!D1189</f>
        <v/>
      </c>
      <c r="E1189">
        <f>BASE_EQUIPOS!G1189</f>
        <v/>
      </c>
      <c r="F1189">
        <f>BASE_EQUIPOS!H1189</f>
        <v/>
      </c>
      <c r="G1189">
        <f>BASE_EQUIPOS!M1189</f>
        <v/>
      </c>
      <c r="I1189" t="inlineStr">
        <is>
          <t>004445</t>
        </is>
      </c>
    </row>
    <row r="1190">
      <c r="A1190">
        <f>TRIM(BASE_EQUIPOS!N1190)</f>
        <v/>
      </c>
      <c r="B1190">
        <f>BASE_EQUIPOS!A1190</f>
        <v/>
      </c>
      <c r="C1190">
        <f>BASE_EQUIPOS!B1190</f>
        <v/>
      </c>
      <c r="D1190">
        <f>BASE_EQUIPOS!D1190</f>
        <v/>
      </c>
      <c r="E1190">
        <f>BASE_EQUIPOS!G1190</f>
        <v/>
      </c>
      <c r="F1190">
        <f>BASE_EQUIPOS!H1190</f>
        <v/>
      </c>
      <c r="G1190">
        <f>BASE_EQUIPOS!M1190</f>
        <v/>
      </c>
      <c r="I1190" t="inlineStr">
        <is>
          <t>001888</t>
        </is>
      </c>
    </row>
    <row r="1191">
      <c r="A1191">
        <f>TRIM(BASE_EQUIPOS!N1191)</f>
        <v/>
      </c>
      <c r="B1191">
        <f>BASE_EQUIPOS!A1191</f>
        <v/>
      </c>
      <c r="C1191">
        <f>BASE_EQUIPOS!B1191</f>
        <v/>
      </c>
      <c r="D1191">
        <f>BASE_EQUIPOS!D1191</f>
        <v/>
      </c>
      <c r="E1191">
        <f>BASE_EQUIPOS!G1191</f>
        <v/>
      </c>
      <c r="F1191">
        <f>BASE_EQUIPOS!H1191</f>
        <v/>
      </c>
      <c r="G1191">
        <f>BASE_EQUIPOS!M1191</f>
        <v/>
      </c>
      <c r="I1191" t="inlineStr">
        <is>
          <t>009903</t>
        </is>
      </c>
    </row>
    <row r="1192">
      <c r="A1192">
        <f>TRIM(BASE_EQUIPOS!N1192)</f>
        <v/>
      </c>
      <c r="B1192">
        <f>BASE_EQUIPOS!A1192</f>
        <v/>
      </c>
      <c r="C1192">
        <f>BASE_EQUIPOS!B1192</f>
        <v/>
      </c>
      <c r="D1192">
        <f>BASE_EQUIPOS!D1192</f>
        <v/>
      </c>
      <c r="E1192">
        <f>BASE_EQUIPOS!G1192</f>
        <v/>
      </c>
      <c r="F1192">
        <f>BASE_EQUIPOS!H1192</f>
        <v/>
      </c>
      <c r="G1192">
        <f>BASE_EQUIPOS!M1192</f>
        <v/>
      </c>
      <c r="I1192" t="inlineStr">
        <is>
          <t>001535</t>
        </is>
      </c>
    </row>
    <row r="1193">
      <c r="A1193">
        <f>TRIM(BASE_EQUIPOS!N1193)</f>
        <v/>
      </c>
      <c r="B1193">
        <f>BASE_EQUIPOS!A1193</f>
        <v/>
      </c>
      <c r="C1193">
        <f>BASE_EQUIPOS!B1193</f>
        <v/>
      </c>
      <c r="D1193">
        <f>BASE_EQUIPOS!D1193</f>
        <v/>
      </c>
      <c r="E1193">
        <f>BASE_EQUIPOS!G1193</f>
        <v/>
      </c>
      <c r="F1193">
        <f>BASE_EQUIPOS!H1193</f>
        <v/>
      </c>
      <c r="G1193">
        <f>BASE_EQUIPOS!M1193</f>
        <v/>
      </c>
      <c r="I1193" t="inlineStr">
        <is>
          <t>24 / 000590</t>
        </is>
      </c>
    </row>
    <row r="1194">
      <c r="A1194">
        <f>TRIM(BASE_EQUIPOS!N1194)</f>
        <v/>
      </c>
      <c r="B1194">
        <f>BASE_EQUIPOS!A1194</f>
        <v/>
      </c>
      <c r="C1194">
        <f>BASE_EQUIPOS!B1194</f>
        <v/>
      </c>
      <c r="D1194">
        <f>BASE_EQUIPOS!D1194</f>
        <v/>
      </c>
      <c r="E1194">
        <f>BASE_EQUIPOS!G1194</f>
        <v/>
      </c>
      <c r="F1194">
        <f>BASE_EQUIPOS!H1194</f>
        <v/>
      </c>
      <c r="G1194">
        <f>BASE_EQUIPOS!M1194</f>
        <v/>
      </c>
      <c r="I1194" t="inlineStr">
        <is>
          <t>93 / 000299</t>
        </is>
      </c>
    </row>
    <row r="1195">
      <c r="A1195">
        <f>TRIM(BASE_EQUIPOS!N1195)</f>
        <v/>
      </c>
      <c r="B1195">
        <f>BASE_EQUIPOS!A1195</f>
        <v/>
      </c>
      <c r="C1195">
        <f>BASE_EQUIPOS!B1195</f>
        <v/>
      </c>
      <c r="D1195">
        <f>BASE_EQUIPOS!D1195</f>
        <v/>
      </c>
      <c r="E1195">
        <f>BASE_EQUIPOS!G1195</f>
        <v/>
      </c>
      <c r="F1195">
        <f>BASE_EQUIPOS!H1195</f>
        <v/>
      </c>
      <c r="G1195">
        <f>BASE_EQUIPOS!M1195</f>
        <v/>
      </c>
      <c r="I1195" t="inlineStr">
        <is>
          <t>354 / 000816</t>
        </is>
      </c>
    </row>
    <row r="1196">
      <c r="A1196">
        <f>TRIM(BASE_EQUIPOS!N1196)</f>
        <v/>
      </c>
      <c r="B1196">
        <f>BASE_EQUIPOS!A1196</f>
        <v/>
      </c>
      <c r="C1196">
        <f>BASE_EQUIPOS!B1196</f>
        <v/>
      </c>
      <c r="D1196">
        <f>BASE_EQUIPOS!D1196</f>
        <v/>
      </c>
      <c r="E1196">
        <f>BASE_EQUIPOS!G1196</f>
        <v/>
      </c>
      <c r="F1196">
        <f>BASE_EQUIPOS!H1196</f>
        <v/>
      </c>
      <c r="G1196">
        <f>BASE_EQUIPOS!M1196</f>
        <v/>
      </c>
      <c r="I1196" t="inlineStr">
        <is>
          <t>S/N / 000308</t>
        </is>
      </c>
    </row>
    <row r="1197">
      <c r="A1197">
        <f>TRIM(BASE_EQUIPOS!N1197)</f>
        <v/>
      </c>
      <c r="B1197">
        <f>BASE_EQUIPOS!A1197</f>
        <v/>
      </c>
      <c r="C1197">
        <f>BASE_EQUIPOS!B1197</f>
        <v/>
      </c>
      <c r="D1197">
        <f>BASE_EQUIPOS!D1197</f>
        <v/>
      </c>
      <c r="E1197">
        <f>BASE_EQUIPOS!G1197</f>
        <v/>
      </c>
      <c r="F1197">
        <f>BASE_EQUIPOS!H1197</f>
        <v/>
      </c>
      <c r="G1197">
        <f>BASE_EQUIPOS!M1197</f>
        <v/>
      </c>
      <c r="I1197" t="inlineStr">
        <is>
          <t>S/N / 000178</t>
        </is>
      </c>
    </row>
    <row r="1198">
      <c r="A1198">
        <f>TRIM(BASE_EQUIPOS!N1198)</f>
        <v/>
      </c>
      <c r="B1198">
        <f>BASE_EQUIPOS!A1198</f>
        <v/>
      </c>
      <c r="C1198">
        <f>BASE_EQUIPOS!B1198</f>
        <v/>
      </c>
      <c r="D1198">
        <f>BASE_EQUIPOS!D1198</f>
        <v/>
      </c>
      <c r="E1198">
        <f>BASE_EQUIPOS!G1198</f>
        <v/>
      </c>
      <c r="F1198">
        <f>BASE_EQUIPOS!H1198</f>
        <v/>
      </c>
      <c r="G1198">
        <f>BASE_EQUIPOS!M1198</f>
        <v/>
      </c>
      <c r="I1198" t="inlineStr">
        <is>
          <t>159 / 000597</t>
        </is>
      </c>
    </row>
    <row r="1199">
      <c r="A1199">
        <f>TRIM(BASE_EQUIPOS!N1199)</f>
        <v/>
      </c>
      <c r="B1199">
        <f>BASE_EQUIPOS!A1199</f>
        <v/>
      </c>
      <c r="C1199">
        <f>BASE_EQUIPOS!B1199</f>
        <v/>
      </c>
      <c r="D1199">
        <f>BASE_EQUIPOS!D1199</f>
        <v/>
      </c>
      <c r="E1199">
        <f>BASE_EQUIPOS!G1199</f>
        <v/>
      </c>
      <c r="F1199">
        <f>BASE_EQUIPOS!H1199</f>
        <v/>
      </c>
      <c r="G1199">
        <f>BASE_EQUIPOS!M1199</f>
        <v/>
      </c>
      <c r="I1199" t="inlineStr">
        <is>
          <t>S/N / 001170</t>
        </is>
      </c>
    </row>
    <row r="1200">
      <c r="A1200">
        <f>TRIM(BASE_EQUIPOS!N1200)</f>
        <v/>
      </c>
      <c r="B1200">
        <f>BASE_EQUIPOS!A1200</f>
        <v/>
      </c>
      <c r="C1200">
        <f>BASE_EQUIPOS!B1200</f>
        <v/>
      </c>
      <c r="D1200">
        <f>BASE_EQUIPOS!D1200</f>
        <v/>
      </c>
      <c r="E1200">
        <f>BASE_EQUIPOS!G1200</f>
        <v/>
      </c>
      <c r="F1200">
        <f>BASE_EQUIPOS!H1200</f>
        <v/>
      </c>
      <c r="G1200">
        <f>BASE_EQUIPOS!M1200</f>
        <v/>
      </c>
      <c r="I1200" t="inlineStr">
        <is>
          <t>129 / 001994</t>
        </is>
      </c>
    </row>
    <row r="1201">
      <c r="A1201">
        <f>TRIM(BASE_EQUIPOS!N1201)</f>
        <v/>
      </c>
      <c r="B1201">
        <f>BASE_EQUIPOS!A1201</f>
        <v/>
      </c>
      <c r="C1201">
        <f>BASE_EQUIPOS!B1201</f>
        <v/>
      </c>
      <c r="D1201">
        <f>BASE_EQUIPOS!D1201</f>
        <v/>
      </c>
      <c r="E1201">
        <f>BASE_EQUIPOS!G1201</f>
        <v/>
      </c>
      <c r="F1201">
        <f>BASE_EQUIPOS!H1201</f>
        <v/>
      </c>
      <c r="G1201">
        <f>BASE_EQUIPOS!M1201</f>
        <v/>
      </c>
      <c r="I1201" t="inlineStr">
        <is>
          <t>S/N / 000190</t>
        </is>
      </c>
    </row>
    <row r="1202">
      <c r="A1202">
        <f>TRIM(BASE_EQUIPOS!N1202)</f>
        <v/>
      </c>
      <c r="B1202">
        <f>BASE_EQUIPOS!A1202</f>
        <v/>
      </c>
      <c r="C1202">
        <f>BASE_EQUIPOS!B1202</f>
        <v/>
      </c>
      <c r="D1202">
        <f>BASE_EQUIPOS!D1202</f>
        <v/>
      </c>
      <c r="E1202">
        <f>BASE_EQUIPOS!G1202</f>
        <v/>
      </c>
      <c r="F1202">
        <f>BASE_EQUIPOS!H1202</f>
        <v/>
      </c>
      <c r="G1202">
        <f>BASE_EQUIPOS!M1202</f>
        <v/>
      </c>
      <c r="I1202" t="inlineStr">
        <is>
          <t>218 / 000980</t>
        </is>
      </c>
    </row>
    <row r="1203">
      <c r="A1203">
        <f>TRIM(BASE_EQUIPOS!N1203)</f>
        <v/>
      </c>
      <c r="B1203">
        <f>BASE_EQUIPOS!A1203</f>
        <v/>
      </c>
      <c r="C1203">
        <f>BASE_EQUIPOS!B1203</f>
        <v/>
      </c>
      <c r="D1203">
        <f>BASE_EQUIPOS!D1203</f>
        <v/>
      </c>
      <c r="E1203">
        <f>BASE_EQUIPOS!G1203</f>
        <v/>
      </c>
      <c r="F1203">
        <f>BASE_EQUIPOS!H1203</f>
        <v/>
      </c>
      <c r="G1203">
        <f>BASE_EQUIPOS!M1203</f>
        <v/>
      </c>
      <c r="I1203" t="inlineStr">
        <is>
          <t>000320</t>
        </is>
      </c>
    </row>
    <row r="1204">
      <c r="A1204">
        <f>TRIM(BASE_EQUIPOS!N1204)</f>
        <v/>
      </c>
      <c r="B1204">
        <f>BASE_EQUIPOS!A1204</f>
        <v/>
      </c>
      <c r="C1204">
        <f>BASE_EQUIPOS!B1204</f>
        <v/>
      </c>
      <c r="D1204">
        <f>BASE_EQUIPOS!D1204</f>
        <v/>
      </c>
      <c r="E1204">
        <f>BASE_EQUIPOS!G1204</f>
        <v/>
      </c>
      <c r="F1204">
        <f>BASE_EQUIPOS!H1204</f>
        <v/>
      </c>
      <c r="G1204">
        <f>BASE_EQUIPOS!M1204</f>
        <v/>
      </c>
      <c r="I1204" t="inlineStr">
        <is>
          <t>000860</t>
        </is>
      </c>
    </row>
    <row r="1205">
      <c r="A1205">
        <f>TRIM(BASE_EQUIPOS!N1205)</f>
        <v/>
      </c>
      <c r="B1205">
        <f>BASE_EQUIPOS!A1205</f>
        <v/>
      </c>
      <c r="C1205">
        <f>BASE_EQUIPOS!B1205</f>
        <v/>
      </c>
      <c r="D1205">
        <f>BASE_EQUIPOS!D1205</f>
        <v/>
      </c>
      <c r="E1205">
        <f>BASE_EQUIPOS!G1205</f>
        <v/>
      </c>
      <c r="F1205">
        <f>BASE_EQUIPOS!H1205</f>
        <v/>
      </c>
      <c r="G1205">
        <f>BASE_EQUIPOS!M1205</f>
        <v/>
      </c>
      <c r="I1205" t="inlineStr">
        <is>
          <t>006999</t>
        </is>
      </c>
    </row>
    <row r="1206">
      <c r="A1206">
        <f>TRIM(BASE_EQUIPOS!N1206)</f>
        <v/>
      </c>
      <c r="B1206">
        <f>BASE_EQUIPOS!A1206</f>
        <v/>
      </c>
      <c r="C1206">
        <f>BASE_EQUIPOS!B1206</f>
        <v/>
      </c>
      <c r="D1206">
        <f>BASE_EQUIPOS!D1206</f>
        <v/>
      </c>
      <c r="E1206">
        <f>BASE_EQUIPOS!G1206</f>
        <v/>
      </c>
      <c r="F1206">
        <f>BASE_EQUIPOS!H1206</f>
        <v/>
      </c>
      <c r="G1206">
        <f>BASE_EQUIPOS!M1206</f>
        <v/>
      </c>
      <c r="I1206" t="inlineStr">
        <is>
          <t>000787</t>
        </is>
      </c>
    </row>
    <row r="1207">
      <c r="A1207">
        <f>TRIM(BASE_EQUIPOS!N1207)</f>
        <v/>
      </c>
      <c r="B1207">
        <f>BASE_EQUIPOS!A1207</f>
        <v/>
      </c>
      <c r="C1207">
        <f>BASE_EQUIPOS!B1207</f>
        <v/>
      </c>
      <c r="D1207">
        <f>BASE_EQUIPOS!D1207</f>
        <v/>
      </c>
      <c r="E1207">
        <f>BASE_EQUIPOS!G1207</f>
        <v/>
      </c>
      <c r="F1207">
        <f>BASE_EQUIPOS!H1207</f>
        <v/>
      </c>
      <c r="G1207">
        <f>BASE_EQUIPOS!M1207</f>
        <v/>
      </c>
      <c r="I1207" t="inlineStr">
        <is>
          <t>7 / 003056</t>
        </is>
      </c>
    </row>
    <row r="1208">
      <c r="A1208">
        <f>TRIM(BASE_EQUIPOS!N1208)</f>
        <v/>
      </c>
      <c r="B1208">
        <f>BASE_EQUIPOS!A1208</f>
        <v/>
      </c>
      <c r="C1208">
        <f>BASE_EQUIPOS!B1208</f>
        <v/>
      </c>
      <c r="D1208">
        <f>BASE_EQUIPOS!D1208</f>
        <v/>
      </c>
      <c r="E1208">
        <f>BASE_EQUIPOS!G1208</f>
        <v/>
      </c>
      <c r="F1208">
        <f>BASE_EQUIPOS!H1208</f>
        <v/>
      </c>
      <c r="G1208">
        <f>BASE_EQUIPOS!M1208</f>
        <v/>
      </c>
      <c r="I1208" t="inlineStr">
        <is>
          <t>8 / 002569</t>
        </is>
      </c>
    </row>
    <row r="1209">
      <c r="A1209">
        <f>TRIM(BASE_EQUIPOS!N1209)</f>
        <v/>
      </c>
      <c r="B1209">
        <f>BASE_EQUIPOS!A1209</f>
        <v/>
      </c>
      <c r="C1209">
        <f>BASE_EQUIPOS!B1209</f>
        <v/>
      </c>
      <c r="D1209">
        <f>BASE_EQUIPOS!D1209</f>
        <v/>
      </c>
      <c r="E1209">
        <f>BASE_EQUIPOS!G1209</f>
        <v/>
      </c>
      <c r="F1209">
        <f>BASE_EQUIPOS!H1209</f>
        <v/>
      </c>
      <c r="G1209">
        <f>BASE_EQUIPOS!M1209</f>
        <v/>
      </c>
      <c r="I1209" t="inlineStr">
        <is>
          <t>9 / 010909</t>
        </is>
      </c>
    </row>
    <row r="1210">
      <c r="A1210">
        <f>TRIM(BASE_EQUIPOS!N1210)</f>
        <v/>
      </c>
      <c r="B1210">
        <f>BASE_EQUIPOS!A1210</f>
        <v/>
      </c>
      <c r="C1210">
        <f>BASE_EQUIPOS!B1210</f>
        <v/>
      </c>
      <c r="D1210">
        <f>BASE_EQUIPOS!D1210</f>
        <v/>
      </c>
      <c r="E1210">
        <f>BASE_EQUIPOS!G1210</f>
        <v/>
      </c>
      <c r="F1210">
        <f>BASE_EQUIPOS!H1210</f>
        <v/>
      </c>
      <c r="G1210">
        <f>BASE_EQUIPOS!M1210</f>
        <v/>
      </c>
      <c r="I1210" t="inlineStr">
        <is>
          <t>10 / 000744</t>
        </is>
      </c>
    </row>
    <row r="1211">
      <c r="A1211">
        <f>TRIM(BASE_EQUIPOS!N1211)</f>
        <v/>
      </c>
      <c r="B1211">
        <f>BASE_EQUIPOS!A1211</f>
        <v/>
      </c>
      <c r="C1211">
        <f>BASE_EQUIPOS!B1211</f>
        <v/>
      </c>
      <c r="D1211">
        <f>BASE_EQUIPOS!D1211</f>
        <v/>
      </c>
      <c r="E1211">
        <f>BASE_EQUIPOS!G1211</f>
        <v/>
      </c>
      <c r="F1211">
        <f>BASE_EQUIPOS!H1211</f>
        <v/>
      </c>
      <c r="G1211">
        <f>BASE_EQUIPOS!M1211</f>
        <v/>
      </c>
      <c r="I1211" t="inlineStr">
        <is>
          <t>11 / 000154</t>
        </is>
      </c>
    </row>
    <row r="1212">
      <c r="A1212">
        <f>TRIM(BASE_EQUIPOS!N1212)</f>
        <v/>
      </c>
      <c r="B1212">
        <f>BASE_EQUIPOS!A1212</f>
        <v/>
      </c>
      <c r="C1212">
        <f>BASE_EQUIPOS!B1212</f>
        <v/>
      </c>
      <c r="D1212">
        <f>BASE_EQUIPOS!D1212</f>
        <v/>
      </c>
      <c r="E1212">
        <f>BASE_EQUIPOS!G1212</f>
        <v/>
      </c>
      <c r="F1212">
        <f>BASE_EQUIPOS!H1212</f>
        <v/>
      </c>
      <c r="G1212">
        <f>BASE_EQUIPOS!M1212</f>
        <v/>
      </c>
      <c r="I1212" t="inlineStr">
        <is>
          <t>13 / 082151</t>
        </is>
      </c>
    </row>
    <row r="1213">
      <c r="A1213">
        <f>TRIM(BASE_EQUIPOS!N1213)</f>
        <v/>
      </c>
      <c r="B1213">
        <f>BASE_EQUIPOS!A1213</f>
        <v/>
      </c>
      <c r="C1213">
        <f>BASE_EQUIPOS!B1213</f>
        <v/>
      </c>
      <c r="D1213">
        <f>BASE_EQUIPOS!D1213</f>
        <v/>
      </c>
      <c r="E1213">
        <f>BASE_EQUIPOS!G1213</f>
        <v/>
      </c>
      <c r="F1213">
        <f>BASE_EQUIPOS!H1213</f>
        <v/>
      </c>
      <c r="G1213">
        <f>BASE_EQUIPOS!M1213</f>
        <v/>
      </c>
      <c r="I1213" t="inlineStr">
        <is>
          <t>14 / 000903</t>
        </is>
      </c>
    </row>
    <row r="1214">
      <c r="A1214">
        <f>TRIM(BASE_EQUIPOS!N1214)</f>
        <v/>
      </c>
      <c r="B1214">
        <f>BASE_EQUIPOS!A1214</f>
        <v/>
      </c>
      <c r="C1214">
        <f>BASE_EQUIPOS!B1214</f>
        <v/>
      </c>
      <c r="D1214">
        <f>BASE_EQUIPOS!D1214</f>
        <v/>
      </c>
      <c r="E1214">
        <f>BASE_EQUIPOS!G1214</f>
        <v/>
      </c>
      <c r="F1214">
        <f>BASE_EQUIPOS!H1214</f>
        <v/>
      </c>
      <c r="G1214">
        <f>BASE_EQUIPOS!M1214</f>
        <v/>
      </c>
      <c r="I1214" t="inlineStr">
        <is>
          <t>17 / 000062</t>
        </is>
      </c>
    </row>
    <row r="1215">
      <c r="A1215">
        <f>TRIM(BASE_EQUIPOS!N1215)</f>
        <v/>
      </c>
      <c r="B1215">
        <f>BASE_EQUIPOS!A1215</f>
        <v/>
      </c>
      <c r="C1215">
        <f>BASE_EQUIPOS!B1215</f>
        <v/>
      </c>
      <c r="D1215">
        <f>BASE_EQUIPOS!D1215</f>
        <v/>
      </c>
      <c r="E1215">
        <f>BASE_EQUIPOS!G1215</f>
        <v/>
      </c>
      <c r="F1215">
        <f>BASE_EQUIPOS!H1215</f>
        <v/>
      </c>
      <c r="G1215">
        <f>BASE_EQUIPOS!M1215</f>
        <v/>
      </c>
      <c r="I1215" t="inlineStr">
        <is>
          <t>4 / 001619</t>
        </is>
      </c>
    </row>
    <row r="1216">
      <c r="A1216">
        <f>TRIM(BASE_EQUIPOS!N1216)</f>
        <v/>
      </c>
      <c r="B1216">
        <f>BASE_EQUIPOS!A1216</f>
        <v/>
      </c>
      <c r="C1216">
        <f>BASE_EQUIPOS!B1216</f>
        <v/>
      </c>
      <c r="D1216">
        <f>BASE_EQUIPOS!D1216</f>
        <v/>
      </c>
      <c r="E1216">
        <f>BASE_EQUIPOS!G1216</f>
        <v/>
      </c>
      <c r="F1216">
        <f>BASE_EQUIPOS!H1216</f>
        <v/>
      </c>
      <c r="G1216">
        <f>BASE_EQUIPOS!M1216</f>
        <v/>
      </c>
      <c r="I1216" t="inlineStr">
        <is>
          <t>30 / 001644</t>
        </is>
      </c>
    </row>
    <row r="1217">
      <c r="A1217">
        <f>TRIM(BASE_EQUIPOS!N1217)</f>
        <v/>
      </c>
      <c r="B1217">
        <f>BASE_EQUIPOS!A1217</f>
        <v/>
      </c>
      <c r="C1217">
        <f>BASE_EQUIPOS!B1217</f>
        <v/>
      </c>
      <c r="D1217">
        <f>BASE_EQUIPOS!D1217</f>
        <v/>
      </c>
      <c r="E1217">
        <f>BASE_EQUIPOS!G1217</f>
        <v/>
      </c>
      <c r="F1217">
        <f>BASE_EQUIPOS!H1217</f>
        <v/>
      </c>
      <c r="G1217">
        <f>BASE_EQUIPOS!M1217</f>
        <v/>
      </c>
      <c r="I1217" t="inlineStr">
        <is>
          <t>32 / 000012</t>
        </is>
      </c>
    </row>
    <row r="1218">
      <c r="A1218">
        <f>TRIM(BASE_EQUIPOS!N1218)</f>
        <v/>
      </c>
      <c r="B1218">
        <f>BASE_EQUIPOS!A1218</f>
        <v/>
      </c>
      <c r="C1218">
        <f>BASE_EQUIPOS!B1218</f>
        <v/>
      </c>
      <c r="D1218">
        <f>BASE_EQUIPOS!D1218</f>
        <v/>
      </c>
      <c r="E1218">
        <f>BASE_EQUIPOS!G1218</f>
        <v/>
      </c>
      <c r="F1218">
        <f>BASE_EQUIPOS!H1218</f>
        <v/>
      </c>
      <c r="G1218">
        <f>BASE_EQUIPOS!M1218</f>
        <v/>
      </c>
      <c r="I1218" t="inlineStr">
        <is>
          <t>1 / 000398</t>
        </is>
      </c>
    </row>
    <row r="1219">
      <c r="A1219">
        <f>TRIM(BASE_EQUIPOS!N1219)</f>
        <v/>
      </c>
      <c r="B1219">
        <f>BASE_EQUIPOS!A1219</f>
        <v/>
      </c>
      <c r="C1219">
        <f>BASE_EQUIPOS!B1219</f>
        <v/>
      </c>
      <c r="D1219">
        <f>BASE_EQUIPOS!D1219</f>
        <v/>
      </c>
      <c r="E1219">
        <f>BASE_EQUIPOS!G1219</f>
        <v/>
      </c>
      <c r="F1219">
        <f>BASE_EQUIPOS!H1219</f>
        <v/>
      </c>
      <c r="G1219">
        <f>BASE_EQUIPOS!M1219</f>
        <v/>
      </c>
      <c r="I1219" t="inlineStr">
        <is>
          <t>02 / 129351</t>
        </is>
      </c>
    </row>
    <row r="1220">
      <c r="A1220">
        <f>TRIM(BASE_EQUIPOS!N1220)</f>
        <v/>
      </c>
      <c r="B1220">
        <f>BASE_EQUIPOS!A1220</f>
        <v/>
      </c>
      <c r="C1220">
        <f>BASE_EQUIPOS!B1220</f>
        <v/>
      </c>
      <c r="D1220">
        <f>BASE_EQUIPOS!D1220</f>
        <v/>
      </c>
      <c r="E1220">
        <f>BASE_EQUIPOS!G1220</f>
        <v/>
      </c>
      <c r="F1220">
        <f>BASE_EQUIPOS!H1220</f>
        <v/>
      </c>
      <c r="G1220">
        <f>BASE_EQUIPOS!M1220</f>
        <v/>
      </c>
      <c r="I1220" t="inlineStr">
        <is>
          <t>03 / S/N</t>
        </is>
      </c>
    </row>
    <row r="1221">
      <c r="A1221">
        <f>TRIM(BASE_EQUIPOS!N1221)</f>
        <v/>
      </c>
      <c r="B1221">
        <f>BASE_EQUIPOS!A1221</f>
        <v/>
      </c>
      <c r="C1221">
        <f>BASE_EQUIPOS!B1221</f>
        <v/>
      </c>
      <c r="D1221">
        <f>BASE_EQUIPOS!D1221</f>
        <v/>
      </c>
      <c r="E1221">
        <f>BASE_EQUIPOS!G1221</f>
        <v/>
      </c>
      <c r="F1221">
        <f>BASE_EQUIPOS!H1221</f>
        <v/>
      </c>
      <c r="G1221">
        <f>BASE_EQUIPOS!M1221</f>
        <v/>
      </c>
      <c r="I1221" t="inlineStr">
        <is>
          <t>04 / 048722</t>
        </is>
      </c>
    </row>
    <row r="1222">
      <c r="A1222">
        <f>TRIM(BASE_EQUIPOS!N1222)</f>
        <v/>
      </c>
      <c r="B1222">
        <f>BASE_EQUIPOS!A1222</f>
        <v/>
      </c>
      <c r="C1222">
        <f>BASE_EQUIPOS!B1222</f>
        <v/>
      </c>
      <c r="D1222">
        <f>BASE_EQUIPOS!D1222</f>
        <v/>
      </c>
      <c r="E1222">
        <f>BASE_EQUIPOS!G1222</f>
        <v/>
      </c>
      <c r="F1222">
        <f>BASE_EQUIPOS!H1222</f>
        <v/>
      </c>
      <c r="G1222">
        <f>BASE_EQUIPOS!M1222</f>
        <v/>
      </c>
      <c r="I1222" t="inlineStr">
        <is>
          <t>05 / 018601</t>
        </is>
      </c>
    </row>
    <row r="1223">
      <c r="A1223">
        <f>TRIM(BASE_EQUIPOS!N1223)</f>
        <v/>
      </c>
      <c r="B1223">
        <f>BASE_EQUIPOS!A1223</f>
        <v/>
      </c>
      <c r="C1223">
        <f>BASE_EQUIPOS!B1223</f>
        <v/>
      </c>
      <c r="D1223">
        <f>BASE_EQUIPOS!D1223</f>
        <v/>
      </c>
      <c r="E1223">
        <f>BASE_EQUIPOS!G1223</f>
        <v/>
      </c>
      <c r="F1223">
        <f>BASE_EQUIPOS!H1223</f>
        <v/>
      </c>
      <c r="G1223">
        <f>BASE_EQUIPOS!M1223</f>
        <v/>
      </c>
      <c r="I1223" t="inlineStr">
        <is>
          <t>06 / 048861</t>
        </is>
      </c>
    </row>
    <row r="1224">
      <c r="A1224">
        <f>TRIM(BASE_EQUIPOS!N1224)</f>
        <v/>
      </c>
      <c r="B1224">
        <f>BASE_EQUIPOS!A1224</f>
        <v/>
      </c>
      <c r="C1224">
        <f>BASE_EQUIPOS!B1224</f>
        <v/>
      </c>
      <c r="D1224">
        <f>BASE_EQUIPOS!D1224</f>
        <v/>
      </c>
      <c r="E1224">
        <f>BASE_EQUIPOS!G1224</f>
        <v/>
      </c>
      <c r="F1224">
        <f>BASE_EQUIPOS!H1224</f>
        <v/>
      </c>
      <c r="G1224">
        <f>BASE_EQUIPOS!M1224</f>
        <v/>
      </c>
      <c r="I1224" t="inlineStr">
        <is>
          <t>000059</t>
        </is>
      </c>
    </row>
    <row r="1225">
      <c r="A1225">
        <f>TRIM(BASE_EQUIPOS!N1225)</f>
        <v/>
      </c>
      <c r="B1225">
        <f>BASE_EQUIPOS!A1225</f>
        <v/>
      </c>
      <c r="C1225">
        <f>BASE_EQUIPOS!B1225</f>
        <v/>
      </c>
      <c r="D1225">
        <f>BASE_EQUIPOS!D1225</f>
        <v/>
      </c>
      <c r="E1225">
        <f>BASE_EQUIPOS!G1225</f>
        <v/>
      </c>
      <c r="F1225">
        <f>BASE_EQUIPOS!H1225</f>
        <v/>
      </c>
      <c r="G1225">
        <f>BASE_EQUIPOS!M1225</f>
        <v/>
      </c>
      <c r="I1225" t="inlineStr">
        <is>
          <t>01 / 031863</t>
        </is>
      </c>
    </row>
    <row r="1226">
      <c r="A1226">
        <f>TRIM(BASE_EQUIPOS!N1226)</f>
        <v/>
      </c>
      <c r="B1226">
        <f>BASE_EQUIPOS!A1226</f>
        <v/>
      </c>
      <c r="C1226">
        <f>BASE_EQUIPOS!B1226</f>
        <v/>
      </c>
      <c r="D1226">
        <f>BASE_EQUIPOS!D1226</f>
        <v/>
      </c>
      <c r="E1226">
        <f>BASE_EQUIPOS!G1226</f>
        <v/>
      </c>
      <c r="F1226">
        <f>BASE_EQUIPOS!H1226</f>
        <v/>
      </c>
      <c r="G1226">
        <f>BASE_EQUIPOS!M1226</f>
        <v/>
      </c>
      <c r="I1226" t="inlineStr">
        <is>
          <t>02 / 026947</t>
        </is>
      </c>
    </row>
    <row r="1227">
      <c r="A1227">
        <f>TRIM(BASE_EQUIPOS!N1227)</f>
        <v/>
      </c>
      <c r="B1227">
        <f>BASE_EQUIPOS!A1227</f>
        <v/>
      </c>
      <c r="C1227">
        <f>BASE_EQUIPOS!B1227</f>
        <v/>
      </c>
      <c r="D1227">
        <f>BASE_EQUIPOS!D1227</f>
        <v/>
      </c>
      <c r="E1227">
        <f>BASE_EQUIPOS!G1227</f>
        <v/>
      </c>
      <c r="F1227">
        <f>BASE_EQUIPOS!H1227</f>
        <v/>
      </c>
      <c r="G1227">
        <f>BASE_EQUIPOS!M1227</f>
        <v/>
      </c>
      <c r="I1227" t="inlineStr">
        <is>
          <t>000105</t>
        </is>
      </c>
    </row>
    <row r="1228">
      <c r="A1228">
        <f>TRIM(BASE_EQUIPOS!N1228)</f>
        <v/>
      </c>
      <c r="B1228">
        <f>BASE_EQUIPOS!A1228</f>
        <v/>
      </c>
      <c r="C1228">
        <f>BASE_EQUIPOS!B1228</f>
        <v/>
      </c>
      <c r="D1228">
        <f>BASE_EQUIPOS!D1228</f>
        <v/>
      </c>
      <c r="E1228">
        <f>BASE_EQUIPOS!G1228</f>
        <v/>
      </c>
      <c r="F1228">
        <f>BASE_EQUIPOS!H1228</f>
        <v/>
      </c>
      <c r="G1228">
        <f>BASE_EQUIPOS!M1228</f>
        <v/>
      </c>
      <c r="I1228" t="inlineStr">
        <is>
          <t>000028</t>
        </is>
      </c>
    </row>
    <row r="1229">
      <c r="A1229">
        <f>TRIM(BASE_EQUIPOS!N1229)</f>
        <v/>
      </c>
      <c r="B1229">
        <f>BASE_EQUIPOS!A1229</f>
        <v/>
      </c>
      <c r="C1229">
        <f>BASE_EQUIPOS!B1229</f>
        <v/>
      </c>
      <c r="D1229">
        <f>BASE_EQUIPOS!D1229</f>
        <v/>
      </c>
      <c r="E1229">
        <f>BASE_EQUIPOS!G1229</f>
        <v/>
      </c>
      <c r="F1229">
        <f>BASE_EQUIPOS!H1229</f>
        <v/>
      </c>
      <c r="G1229">
        <f>BASE_EQUIPOS!M1229</f>
        <v/>
      </c>
      <c r="I1229" t="inlineStr">
        <is>
          <t>021378</t>
        </is>
      </c>
    </row>
    <row r="1230">
      <c r="A1230">
        <f>TRIM(BASE_EQUIPOS!N1230)</f>
        <v/>
      </c>
      <c r="B1230">
        <f>BASE_EQUIPOS!A1230</f>
        <v/>
      </c>
      <c r="C1230">
        <f>BASE_EQUIPOS!B1230</f>
        <v/>
      </c>
      <c r="D1230">
        <f>BASE_EQUIPOS!D1230</f>
        <v/>
      </c>
      <c r="E1230">
        <f>BASE_EQUIPOS!G1230</f>
        <v/>
      </c>
      <c r="F1230">
        <f>BASE_EQUIPOS!H1230</f>
        <v/>
      </c>
      <c r="G1230">
        <f>BASE_EQUIPOS!M1230</f>
        <v/>
      </c>
      <c r="I1230" t="inlineStr">
        <is>
          <t>000437</t>
        </is>
      </c>
    </row>
    <row r="1231">
      <c r="A1231">
        <f>TRIM(BASE_EQUIPOS!N1231)</f>
        <v/>
      </c>
      <c r="B1231">
        <f>BASE_EQUIPOS!A1231</f>
        <v/>
      </c>
      <c r="C1231">
        <f>BASE_EQUIPOS!B1231</f>
        <v/>
      </c>
      <c r="D1231">
        <f>BASE_EQUIPOS!D1231</f>
        <v/>
      </c>
      <c r="E1231">
        <f>BASE_EQUIPOS!G1231</f>
        <v/>
      </c>
      <c r="F1231">
        <f>BASE_EQUIPOS!H1231</f>
        <v/>
      </c>
      <c r="G1231">
        <f>BASE_EQUIPOS!M1231</f>
        <v/>
      </c>
      <c r="I1231" t="inlineStr">
        <is>
          <t>01 / 020520</t>
        </is>
      </c>
    </row>
    <row r="1232">
      <c r="A1232">
        <f>TRIM(BASE_EQUIPOS!N1232)</f>
        <v/>
      </c>
      <c r="B1232">
        <f>BASE_EQUIPOS!A1232</f>
        <v/>
      </c>
      <c r="C1232">
        <f>BASE_EQUIPOS!B1232</f>
        <v/>
      </c>
      <c r="D1232">
        <f>BASE_EQUIPOS!D1232</f>
        <v/>
      </c>
      <c r="E1232">
        <f>BASE_EQUIPOS!G1232</f>
        <v/>
      </c>
      <c r="F1232">
        <f>BASE_EQUIPOS!H1232</f>
        <v/>
      </c>
      <c r="G1232">
        <f>BASE_EQUIPOS!M1232</f>
        <v/>
      </c>
      <c r="I1232" t="inlineStr">
        <is>
          <t>03 / 152931</t>
        </is>
      </c>
    </row>
    <row r="1233">
      <c r="A1233">
        <f>TRIM(BASE_EQUIPOS!N1233)</f>
        <v/>
      </c>
      <c r="B1233">
        <f>BASE_EQUIPOS!A1233</f>
        <v/>
      </c>
      <c r="C1233">
        <f>BASE_EQUIPOS!B1233</f>
        <v/>
      </c>
      <c r="D1233">
        <f>BASE_EQUIPOS!D1233</f>
        <v/>
      </c>
      <c r="E1233">
        <f>BASE_EQUIPOS!G1233</f>
        <v/>
      </c>
      <c r="F1233">
        <f>BASE_EQUIPOS!H1233</f>
        <v/>
      </c>
      <c r="G1233">
        <f>BASE_EQUIPOS!M1233</f>
        <v/>
      </c>
      <c r="I1233" t="inlineStr">
        <is>
          <t>000500</t>
        </is>
      </c>
    </row>
    <row r="1234">
      <c r="A1234">
        <f>TRIM(BASE_EQUIPOS!N1234)</f>
        <v/>
      </c>
      <c r="B1234">
        <f>BASE_EQUIPOS!A1234</f>
        <v/>
      </c>
      <c r="C1234">
        <f>BASE_EQUIPOS!B1234</f>
        <v/>
      </c>
      <c r="D1234">
        <f>BASE_EQUIPOS!D1234</f>
        <v/>
      </c>
      <c r="E1234">
        <f>BASE_EQUIPOS!G1234</f>
        <v/>
      </c>
      <c r="F1234">
        <f>BASE_EQUIPOS!H1234</f>
        <v/>
      </c>
      <c r="G1234">
        <f>BASE_EQUIPOS!M1234</f>
        <v/>
      </c>
      <c r="I1234" t="inlineStr">
        <is>
          <t>01 / 002600</t>
        </is>
      </c>
    </row>
    <row r="1235">
      <c r="A1235">
        <f>TRIM(BASE_EQUIPOS!N1235)</f>
        <v/>
      </c>
      <c r="B1235">
        <f>BASE_EQUIPOS!A1235</f>
        <v/>
      </c>
      <c r="C1235">
        <f>BASE_EQUIPOS!B1235</f>
        <v/>
      </c>
      <c r="D1235">
        <f>BASE_EQUIPOS!D1235</f>
        <v/>
      </c>
      <c r="E1235">
        <f>BASE_EQUIPOS!G1235</f>
        <v/>
      </c>
      <c r="F1235">
        <f>BASE_EQUIPOS!H1235</f>
        <v/>
      </c>
      <c r="G1235">
        <f>BASE_EQUIPOS!M1235</f>
        <v/>
      </c>
      <c r="I1235" t="inlineStr">
        <is>
          <t>02 / 000152</t>
        </is>
      </c>
    </row>
    <row r="1236">
      <c r="A1236">
        <f>TRIM(BASE_EQUIPOS!N1236)</f>
        <v/>
      </c>
      <c r="B1236">
        <f>BASE_EQUIPOS!A1236</f>
        <v/>
      </c>
      <c r="C1236">
        <f>BASE_EQUIPOS!B1236</f>
        <v/>
      </c>
      <c r="D1236">
        <f>BASE_EQUIPOS!D1236</f>
        <v/>
      </c>
      <c r="E1236">
        <f>BASE_EQUIPOS!G1236</f>
        <v/>
      </c>
      <c r="F1236">
        <f>BASE_EQUIPOS!H1236</f>
        <v/>
      </c>
      <c r="G1236">
        <f>BASE_EQUIPOS!M1236</f>
        <v/>
      </c>
      <c r="I1236" t="inlineStr">
        <is>
          <t>S/N 002831</t>
        </is>
      </c>
    </row>
    <row r="1237">
      <c r="A1237">
        <f>TRIM(BASE_EQUIPOS!N1237)</f>
        <v/>
      </c>
      <c r="B1237">
        <f>BASE_EQUIPOS!A1237</f>
        <v/>
      </c>
      <c r="C1237">
        <f>BASE_EQUIPOS!B1237</f>
        <v/>
      </c>
      <c r="D1237">
        <f>BASE_EQUIPOS!D1237</f>
        <v/>
      </c>
      <c r="E1237">
        <f>BASE_EQUIPOS!G1237</f>
        <v/>
      </c>
      <c r="F1237">
        <f>BASE_EQUIPOS!H1237</f>
        <v/>
      </c>
      <c r="G1237">
        <f>BASE_EQUIPOS!M1237</f>
        <v/>
      </c>
      <c r="I1237" t="inlineStr">
        <is>
          <t>95 / 000125</t>
        </is>
      </c>
    </row>
    <row r="1238">
      <c r="A1238">
        <f>TRIM(BASE_EQUIPOS!N1238)</f>
        <v/>
      </c>
      <c r="B1238">
        <f>BASE_EQUIPOS!A1238</f>
        <v/>
      </c>
      <c r="C1238">
        <f>BASE_EQUIPOS!B1238</f>
        <v/>
      </c>
      <c r="D1238">
        <f>BASE_EQUIPOS!D1238</f>
        <v/>
      </c>
      <c r="E1238">
        <f>BASE_EQUIPOS!G1238</f>
        <v/>
      </c>
      <c r="F1238">
        <f>BASE_EQUIPOS!H1238</f>
        <v/>
      </c>
      <c r="G1238">
        <f>BASE_EQUIPOS!M1238</f>
        <v/>
      </c>
      <c r="I1238" t="inlineStr">
        <is>
          <t>144 / 000333</t>
        </is>
      </c>
    </row>
    <row r="1239">
      <c r="A1239">
        <f>TRIM(BASE_EQUIPOS!N1239)</f>
        <v/>
      </c>
      <c r="B1239">
        <f>BASE_EQUIPOS!A1239</f>
        <v/>
      </c>
      <c r="C1239">
        <f>BASE_EQUIPOS!B1239</f>
        <v/>
      </c>
      <c r="D1239">
        <f>BASE_EQUIPOS!D1239</f>
        <v/>
      </c>
      <c r="E1239">
        <f>BASE_EQUIPOS!G1239</f>
        <v/>
      </c>
      <c r="F1239">
        <f>BASE_EQUIPOS!H1239</f>
        <v/>
      </c>
      <c r="G1239">
        <f>BASE_EQUIPOS!M1239</f>
        <v/>
      </c>
      <c r="I1239" t="inlineStr">
        <is>
          <t>17 / 002530</t>
        </is>
      </c>
    </row>
    <row r="1240">
      <c r="A1240">
        <f>TRIM(BASE_EQUIPOS!N1240)</f>
        <v/>
      </c>
      <c r="B1240">
        <f>BASE_EQUIPOS!A1240</f>
        <v/>
      </c>
      <c r="C1240">
        <f>BASE_EQUIPOS!B1240</f>
        <v/>
      </c>
      <c r="D1240">
        <f>BASE_EQUIPOS!D1240</f>
        <v/>
      </c>
      <c r="E1240">
        <f>BASE_EQUIPOS!G1240</f>
        <v/>
      </c>
      <c r="F1240">
        <f>BASE_EQUIPOS!H1240</f>
        <v/>
      </c>
      <c r="G1240">
        <f>BASE_EQUIPOS!M1240</f>
        <v/>
      </c>
      <c r="I1240" t="inlineStr">
        <is>
          <t>161 / 000569</t>
        </is>
      </c>
    </row>
    <row r="1241">
      <c r="A1241">
        <f>TRIM(BASE_EQUIPOS!N1241)</f>
        <v/>
      </c>
      <c r="B1241">
        <f>BASE_EQUIPOS!A1241</f>
        <v/>
      </c>
      <c r="C1241">
        <f>BASE_EQUIPOS!B1241</f>
        <v/>
      </c>
      <c r="D1241">
        <f>BASE_EQUIPOS!D1241</f>
        <v/>
      </c>
      <c r="E1241">
        <f>BASE_EQUIPOS!G1241</f>
        <v/>
      </c>
      <c r="F1241">
        <f>BASE_EQUIPOS!H1241</f>
        <v/>
      </c>
      <c r="G1241">
        <f>BASE_EQUIPOS!M1241</f>
        <v/>
      </c>
      <c r="I1241" t="inlineStr">
        <is>
          <t>366 / 001128</t>
        </is>
      </c>
    </row>
    <row r="1242">
      <c r="A1242">
        <f>TRIM(BASE_EQUIPOS!N1242)</f>
        <v/>
      </c>
      <c r="B1242">
        <f>BASE_EQUIPOS!A1242</f>
        <v/>
      </c>
      <c r="C1242">
        <f>BASE_EQUIPOS!B1242</f>
        <v/>
      </c>
      <c r="D1242">
        <f>BASE_EQUIPOS!D1242</f>
        <v/>
      </c>
      <c r="E1242">
        <f>BASE_EQUIPOS!G1242</f>
        <v/>
      </c>
      <c r="F1242">
        <f>BASE_EQUIPOS!H1242</f>
        <v/>
      </c>
      <c r="G1242">
        <f>BASE_EQUIPOS!M1242</f>
        <v/>
      </c>
      <c r="I1242" t="inlineStr">
        <is>
          <t>141 / 000275</t>
        </is>
      </c>
    </row>
    <row r="1243">
      <c r="A1243">
        <f>TRIM(BASE_EQUIPOS!N1243)</f>
        <v/>
      </c>
      <c r="B1243">
        <f>BASE_EQUIPOS!A1243</f>
        <v/>
      </c>
      <c r="C1243">
        <f>BASE_EQUIPOS!B1243</f>
        <v/>
      </c>
      <c r="D1243">
        <f>BASE_EQUIPOS!D1243</f>
        <v/>
      </c>
      <c r="E1243">
        <f>BASE_EQUIPOS!G1243</f>
        <v/>
      </c>
      <c r="F1243">
        <f>BASE_EQUIPOS!H1243</f>
        <v/>
      </c>
      <c r="G1243">
        <f>BASE_EQUIPOS!M1243</f>
        <v/>
      </c>
      <c r="I1243" t="inlineStr">
        <is>
          <t>341 / 001534</t>
        </is>
      </c>
    </row>
    <row r="1244">
      <c r="A1244">
        <f>TRIM(BASE_EQUIPOS!N1244)</f>
        <v/>
      </c>
      <c r="B1244">
        <f>BASE_EQUIPOS!A1244</f>
        <v/>
      </c>
      <c r="C1244">
        <f>BASE_EQUIPOS!B1244</f>
        <v/>
      </c>
      <c r="D1244">
        <f>BASE_EQUIPOS!D1244</f>
        <v/>
      </c>
      <c r="E1244">
        <f>BASE_EQUIPOS!G1244</f>
        <v/>
      </c>
      <c r="F1244">
        <f>BASE_EQUIPOS!H1244</f>
        <v/>
      </c>
      <c r="G1244">
        <f>BASE_EQUIPOS!M1244</f>
        <v/>
      </c>
      <c r="I1244" t="inlineStr">
        <is>
          <t>S/N / 000287</t>
        </is>
      </c>
    </row>
    <row r="1245">
      <c r="A1245">
        <f>TRIM(BASE_EQUIPOS!N1245)</f>
        <v/>
      </c>
      <c r="B1245">
        <f>BASE_EQUIPOS!A1245</f>
        <v/>
      </c>
      <c r="C1245">
        <f>BASE_EQUIPOS!B1245</f>
        <v/>
      </c>
      <c r="D1245">
        <f>BASE_EQUIPOS!D1245</f>
        <v/>
      </c>
      <c r="E1245">
        <f>BASE_EQUIPOS!G1245</f>
        <v/>
      </c>
      <c r="F1245">
        <f>BASE_EQUIPOS!H1245</f>
        <v/>
      </c>
      <c r="G1245">
        <f>BASE_EQUIPOS!M1245</f>
        <v/>
      </c>
      <c r="I1245" t="inlineStr">
        <is>
          <t>16 / 000444</t>
        </is>
      </c>
    </row>
    <row r="1246">
      <c r="A1246">
        <f>TRIM(BASE_EQUIPOS!N1246)</f>
        <v/>
      </c>
      <c r="B1246">
        <f>BASE_EQUIPOS!A1246</f>
        <v/>
      </c>
      <c r="C1246">
        <f>BASE_EQUIPOS!B1246</f>
        <v/>
      </c>
      <c r="D1246">
        <f>BASE_EQUIPOS!D1246</f>
        <v/>
      </c>
      <c r="E1246">
        <f>BASE_EQUIPOS!G1246</f>
        <v/>
      </c>
      <c r="F1246">
        <f>BASE_EQUIPOS!H1246</f>
        <v/>
      </c>
      <c r="G1246">
        <f>BASE_EQUIPOS!M1246</f>
        <v/>
      </c>
      <c r="I1246" t="inlineStr">
        <is>
          <t>002697</t>
        </is>
      </c>
    </row>
    <row r="1247">
      <c r="A1247">
        <f>TRIM(BASE_EQUIPOS!N1247)</f>
        <v/>
      </c>
      <c r="B1247">
        <f>BASE_EQUIPOS!A1247</f>
        <v/>
      </c>
      <c r="C1247">
        <f>BASE_EQUIPOS!B1247</f>
        <v/>
      </c>
      <c r="D1247">
        <f>BASE_EQUIPOS!D1247</f>
        <v/>
      </c>
      <c r="E1247">
        <f>BASE_EQUIPOS!G1247</f>
        <v/>
      </c>
      <c r="F1247">
        <f>BASE_EQUIPOS!H1247</f>
        <v/>
      </c>
      <c r="G1247">
        <f>BASE_EQUIPOS!M1247</f>
        <v/>
      </c>
      <c r="I1247" t="inlineStr">
        <is>
          <t>306139</t>
        </is>
      </c>
    </row>
    <row r="1248">
      <c r="A1248">
        <f>TRIM(BASE_EQUIPOS!N1248)</f>
        <v/>
      </c>
      <c r="B1248">
        <f>BASE_EQUIPOS!A1248</f>
        <v/>
      </c>
      <c r="C1248">
        <f>BASE_EQUIPOS!B1248</f>
        <v/>
      </c>
      <c r="D1248">
        <f>BASE_EQUIPOS!D1248</f>
        <v/>
      </c>
      <c r="E1248">
        <f>BASE_EQUIPOS!G1248</f>
        <v/>
      </c>
      <c r="F1248">
        <f>BASE_EQUIPOS!H1248</f>
        <v/>
      </c>
      <c r="G1248">
        <f>BASE_EQUIPOS!M1248</f>
        <v/>
      </c>
      <c r="I1248" t="inlineStr">
        <is>
          <t>000405</t>
        </is>
      </c>
    </row>
    <row r="1249">
      <c r="A1249">
        <f>TRIM(BASE_EQUIPOS!N1249)</f>
        <v/>
      </c>
      <c r="B1249">
        <f>BASE_EQUIPOS!A1249</f>
        <v/>
      </c>
      <c r="C1249">
        <f>BASE_EQUIPOS!B1249</f>
        <v/>
      </c>
      <c r="D1249">
        <f>BASE_EQUIPOS!D1249</f>
        <v/>
      </c>
      <c r="E1249">
        <f>BASE_EQUIPOS!G1249</f>
        <v/>
      </c>
      <c r="F1249">
        <f>BASE_EQUIPOS!H1249</f>
        <v/>
      </c>
      <c r="G1249">
        <f>BASE_EQUIPOS!M1249</f>
        <v/>
      </c>
      <c r="I1249" t="inlineStr">
        <is>
          <t>01 / 001394</t>
        </is>
      </c>
    </row>
    <row r="1250">
      <c r="A1250">
        <f>TRIM(BASE_EQUIPOS!N1250)</f>
        <v/>
      </c>
      <c r="B1250">
        <f>BASE_EQUIPOS!A1250</f>
        <v/>
      </c>
      <c r="C1250">
        <f>BASE_EQUIPOS!B1250</f>
        <v/>
      </c>
      <c r="D1250">
        <f>BASE_EQUIPOS!D1250</f>
        <v/>
      </c>
      <c r="E1250">
        <f>BASE_EQUIPOS!G1250</f>
        <v/>
      </c>
      <c r="F1250">
        <f>BASE_EQUIPOS!H1250</f>
        <v/>
      </c>
      <c r="G1250">
        <f>BASE_EQUIPOS!M1250</f>
        <v/>
      </c>
      <c r="I1250" t="inlineStr">
        <is>
          <t>02 / 002483</t>
        </is>
      </c>
    </row>
    <row r="1251">
      <c r="A1251">
        <f>TRIM(BASE_EQUIPOS!N1251)</f>
        <v/>
      </c>
      <c r="B1251">
        <f>BASE_EQUIPOS!A1251</f>
        <v/>
      </c>
      <c r="C1251">
        <f>BASE_EQUIPOS!B1251</f>
        <v/>
      </c>
      <c r="D1251">
        <f>BASE_EQUIPOS!D1251</f>
        <v/>
      </c>
      <c r="E1251">
        <f>BASE_EQUIPOS!G1251</f>
        <v/>
      </c>
      <c r="F1251">
        <f>BASE_EQUIPOS!H1251</f>
        <v/>
      </c>
      <c r="G1251">
        <f>BASE_EQUIPOS!M1251</f>
        <v/>
      </c>
      <c r="I1251" t="inlineStr">
        <is>
          <t>000414</t>
        </is>
      </c>
    </row>
    <row r="1252">
      <c r="A1252">
        <f>TRIM(BASE_EQUIPOS!N1252)</f>
        <v/>
      </c>
      <c r="B1252">
        <f>BASE_EQUIPOS!A1252</f>
        <v/>
      </c>
      <c r="C1252">
        <f>BASE_EQUIPOS!B1252</f>
        <v/>
      </c>
      <c r="D1252">
        <f>BASE_EQUIPOS!D1252</f>
        <v/>
      </c>
      <c r="E1252">
        <f>BASE_EQUIPOS!G1252</f>
        <v/>
      </c>
      <c r="F1252">
        <f>BASE_EQUIPOS!H1252</f>
        <v/>
      </c>
      <c r="G1252">
        <f>BASE_EQUIPOS!M1252</f>
        <v/>
      </c>
      <c r="I1252" t="inlineStr">
        <is>
          <t>251 / 001843</t>
        </is>
      </c>
    </row>
    <row r="1253">
      <c r="A1253">
        <f>TRIM(BASE_EQUIPOS!N1253)</f>
        <v/>
      </c>
      <c r="B1253">
        <f>BASE_EQUIPOS!A1253</f>
        <v/>
      </c>
      <c r="C1253">
        <f>BASE_EQUIPOS!B1253</f>
        <v/>
      </c>
      <c r="D1253">
        <f>BASE_EQUIPOS!D1253</f>
        <v/>
      </c>
      <c r="E1253">
        <f>BASE_EQUIPOS!G1253</f>
        <v/>
      </c>
      <c r="F1253">
        <f>BASE_EQUIPOS!H1253</f>
        <v/>
      </c>
      <c r="G1253">
        <f>BASE_EQUIPOS!M1253</f>
        <v/>
      </c>
      <c r="I1253" t="inlineStr">
        <is>
          <t>387 / 000451</t>
        </is>
      </c>
    </row>
    <row r="1254">
      <c r="A1254">
        <f>TRIM(BASE_EQUIPOS!N1254)</f>
        <v/>
      </c>
      <c r="B1254">
        <f>BASE_EQUIPOS!A1254</f>
        <v/>
      </c>
      <c r="C1254">
        <f>BASE_EQUIPOS!B1254</f>
        <v/>
      </c>
      <c r="D1254">
        <f>BASE_EQUIPOS!D1254</f>
        <v/>
      </c>
      <c r="E1254">
        <f>BASE_EQUIPOS!G1254</f>
        <v/>
      </c>
      <c r="F1254">
        <f>BASE_EQUIPOS!H1254</f>
        <v/>
      </c>
      <c r="G1254">
        <f>BASE_EQUIPOS!M1254</f>
        <v/>
      </c>
      <c r="I1254" t="inlineStr">
        <is>
          <t>312 / 000002</t>
        </is>
      </c>
    </row>
    <row r="1255">
      <c r="A1255">
        <f>TRIM(BASE_EQUIPOS!N1255)</f>
        <v/>
      </c>
      <c r="B1255">
        <f>BASE_EQUIPOS!A1255</f>
        <v/>
      </c>
      <c r="C1255">
        <f>BASE_EQUIPOS!B1255</f>
        <v/>
      </c>
      <c r="D1255">
        <f>BASE_EQUIPOS!D1255</f>
        <v/>
      </c>
      <c r="E1255">
        <f>BASE_EQUIPOS!G1255</f>
        <v/>
      </c>
      <c r="F1255">
        <f>BASE_EQUIPOS!H1255</f>
        <v/>
      </c>
      <c r="G1255">
        <f>BASE_EQUIPOS!M1255</f>
        <v/>
      </c>
      <c r="I1255" t="inlineStr">
        <is>
          <t>148 / 000544</t>
        </is>
      </c>
    </row>
    <row r="1256">
      <c r="A1256">
        <f>TRIM(BASE_EQUIPOS!N1256)</f>
        <v/>
      </c>
      <c r="B1256">
        <f>BASE_EQUIPOS!A1256</f>
        <v/>
      </c>
      <c r="C1256">
        <f>BASE_EQUIPOS!B1256</f>
        <v/>
      </c>
      <c r="D1256">
        <f>BASE_EQUIPOS!D1256</f>
        <v/>
      </c>
      <c r="E1256">
        <f>BASE_EQUIPOS!G1256</f>
        <v/>
      </c>
      <c r="F1256">
        <f>BASE_EQUIPOS!H1256</f>
        <v/>
      </c>
      <c r="G1256">
        <f>BASE_EQUIPOS!M1256</f>
        <v/>
      </c>
      <c r="I1256" t="inlineStr">
        <is>
          <t>140 / 003215</t>
        </is>
      </c>
    </row>
    <row r="1257">
      <c r="A1257">
        <f>TRIM(BASE_EQUIPOS!N1257)</f>
        <v/>
      </c>
      <c r="B1257">
        <f>BASE_EQUIPOS!A1257</f>
        <v/>
      </c>
      <c r="C1257">
        <f>BASE_EQUIPOS!B1257</f>
        <v/>
      </c>
      <c r="D1257">
        <f>BASE_EQUIPOS!D1257</f>
        <v/>
      </c>
      <c r="E1257">
        <f>BASE_EQUIPOS!G1257</f>
        <v/>
      </c>
      <c r="F1257">
        <f>BASE_EQUIPOS!H1257</f>
        <v/>
      </c>
      <c r="G1257">
        <f>BASE_EQUIPOS!M1257</f>
        <v/>
      </c>
      <c r="I1257" t="inlineStr">
        <is>
          <t>174 / 001932</t>
        </is>
      </c>
    </row>
    <row r="1258">
      <c r="A1258">
        <f>TRIM(BASE_EQUIPOS!N1258)</f>
        <v/>
      </c>
      <c r="B1258">
        <f>BASE_EQUIPOS!A1258</f>
        <v/>
      </c>
      <c r="C1258">
        <f>BASE_EQUIPOS!B1258</f>
        <v/>
      </c>
      <c r="D1258">
        <f>BASE_EQUIPOS!D1258</f>
        <v/>
      </c>
      <c r="E1258">
        <f>BASE_EQUIPOS!G1258</f>
        <v/>
      </c>
      <c r="F1258">
        <f>BASE_EQUIPOS!H1258</f>
        <v/>
      </c>
      <c r="G1258">
        <f>BASE_EQUIPOS!M1258</f>
        <v/>
      </c>
      <c r="I1258" t="inlineStr">
        <is>
          <t>S/N / 000420</t>
        </is>
      </c>
    </row>
    <row r="1259">
      <c r="A1259">
        <f>TRIM(BASE_EQUIPOS!N1259)</f>
        <v/>
      </c>
      <c r="B1259">
        <f>BASE_EQUIPOS!A1259</f>
        <v/>
      </c>
      <c r="C1259">
        <f>BASE_EQUIPOS!B1259</f>
        <v/>
      </c>
      <c r="D1259">
        <f>BASE_EQUIPOS!D1259</f>
        <v/>
      </c>
      <c r="E1259">
        <f>BASE_EQUIPOS!G1259</f>
        <v/>
      </c>
      <c r="F1259">
        <f>BASE_EQUIPOS!H1259</f>
        <v/>
      </c>
      <c r="G1259">
        <f>BASE_EQUIPOS!M1259</f>
        <v/>
      </c>
      <c r="I1259" t="inlineStr">
        <is>
          <t>179 / 000005</t>
        </is>
      </c>
    </row>
    <row r="1260">
      <c r="A1260">
        <f>TRIM(BASE_EQUIPOS!N1260)</f>
        <v/>
      </c>
      <c r="B1260">
        <f>BASE_EQUIPOS!A1260</f>
        <v/>
      </c>
      <c r="C1260">
        <f>BASE_EQUIPOS!B1260</f>
        <v/>
      </c>
      <c r="D1260">
        <f>BASE_EQUIPOS!D1260</f>
        <v/>
      </c>
      <c r="E1260">
        <f>BASE_EQUIPOS!G1260</f>
        <v/>
      </c>
      <c r="F1260">
        <f>BASE_EQUIPOS!H1260</f>
        <v/>
      </c>
      <c r="G1260">
        <f>BASE_EQUIPOS!M1260</f>
        <v/>
      </c>
      <c r="I1260" t="inlineStr">
        <is>
          <t>386 / 001467</t>
        </is>
      </c>
    </row>
    <row r="1261">
      <c r="A1261">
        <f>TRIM(BASE_EQUIPOS!N1261)</f>
        <v/>
      </c>
      <c r="B1261">
        <f>BASE_EQUIPOS!A1261</f>
        <v/>
      </c>
      <c r="C1261">
        <f>BASE_EQUIPOS!B1261</f>
        <v/>
      </c>
      <c r="D1261">
        <f>BASE_EQUIPOS!D1261</f>
        <v/>
      </c>
      <c r="E1261">
        <f>BASE_EQUIPOS!G1261</f>
        <v/>
      </c>
      <c r="F1261">
        <f>BASE_EQUIPOS!H1261</f>
        <v/>
      </c>
      <c r="G1261">
        <f>BASE_EQUIPOS!M1261</f>
        <v/>
      </c>
      <c r="I1261" t="inlineStr">
        <is>
          <t>321 / 000581</t>
        </is>
      </c>
    </row>
    <row r="1262">
      <c r="A1262">
        <f>TRIM(BASE_EQUIPOS!N1262)</f>
        <v/>
      </c>
      <c r="B1262">
        <f>BASE_EQUIPOS!A1262</f>
        <v/>
      </c>
      <c r="C1262">
        <f>BASE_EQUIPOS!B1262</f>
        <v/>
      </c>
      <c r="D1262">
        <f>BASE_EQUIPOS!D1262</f>
        <v/>
      </c>
      <c r="E1262">
        <f>BASE_EQUIPOS!G1262</f>
        <v/>
      </c>
      <c r="F1262">
        <f>BASE_EQUIPOS!H1262</f>
        <v/>
      </c>
      <c r="G1262">
        <f>BASE_EQUIPOS!M1262</f>
        <v/>
      </c>
      <c r="I1262" t="inlineStr">
        <is>
          <t>203 / 001605</t>
        </is>
      </c>
    </row>
    <row r="1263">
      <c r="A1263">
        <f>TRIM(BASE_EQUIPOS!N1263)</f>
        <v/>
      </c>
      <c r="B1263">
        <f>BASE_EQUIPOS!A1263</f>
        <v/>
      </c>
      <c r="C1263">
        <f>BASE_EQUIPOS!B1263</f>
        <v/>
      </c>
      <c r="D1263">
        <f>BASE_EQUIPOS!D1263</f>
        <v/>
      </c>
      <c r="E1263">
        <f>BASE_EQUIPOS!G1263</f>
        <v/>
      </c>
      <c r="F1263">
        <f>BASE_EQUIPOS!H1263</f>
        <v/>
      </c>
      <c r="G1263">
        <f>BASE_EQUIPOS!M1263</f>
        <v/>
      </c>
      <c r="I1263" t="inlineStr">
        <is>
          <t>49 / 000944</t>
        </is>
      </c>
    </row>
    <row r="1264">
      <c r="A1264">
        <f>TRIM(BASE_EQUIPOS!N1264)</f>
        <v/>
      </c>
      <c r="B1264">
        <f>BASE_EQUIPOS!A1264</f>
        <v/>
      </c>
      <c r="C1264">
        <f>BASE_EQUIPOS!B1264</f>
        <v/>
      </c>
      <c r="D1264">
        <f>BASE_EQUIPOS!D1264</f>
        <v/>
      </c>
      <c r="E1264">
        <f>BASE_EQUIPOS!G1264</f>
        <v/>
      </c>
      <c r="F1264">
        <f>BASE_EQUIPOS!H1264</f>
        <v/>
      </c>
      <c r="G1264">
        <f>BASE_EQUIPOS!M1264</f>
        <v/>
      </c>
      <c r="I1264" t="inlineStr">
        <is>
          <t>224 / 000265</t>
        </is>
      </c>
    </row>
    <row r="1265">
      <c r="A1265">
        <f>TRIM(BASE_EQUIPOS!N1265)</f>
        <v/>
      </c>
      <c r="B1265">
        <f>BASE_EQUIPOS!A1265</f>
        <v/>
      </c>
      <c r="C1265">
        <f>BASE_EQUIPOS!B1265</f>
        <v/>
      </c>
      <c r="D1265">
        <f>BASE_EQUIPOS!D1265</f>
        <v/>
      </c>
      <c r="E1265">
        <f>BASE_EQUIPOS!G1265</f>
        <v/>
      </c>
      <c r="F1265">
        <f>BASE_EQUIPOS!H1265</f>
        <v/>
      </c>
      <c r="G1265">
        <f>BASE_EQUIPOS!M1265</f>
        <v/>
      </c>
      <c r="I1265" t="inlineStr">
        <is>
          <t>005779</t>
        </is>
      </c>
    </row>
    <row r="1266">
      <c r="A1266">
        <f>TRIM(BASE_EQUIPOS!N1266)</f>
        <v/>
      </c>
      <c r="B1266">
        <f>BASE_EQUIPOS!A1266</f>
        <v/>
      </c>
      <c r="C1266">
        <f>BASE_EQUIPOS!B1266</f>
        <v/>
      </c>
      <c r="D1266">
        <f>BASE_EQUIPOS!D1266</f>
        <v/>
      </c>
      <c r="E1266">
        <f>BASE_EQUIPOS!G1266</f>
        <v/>
      </c>
      <c r="F1266">
        <f>BASE_EQUIPOS!H1266</f>
        <v/>
      </c>
      <c r="G1266">
        <f>BASE_EQUIPOS!M1266</f>
        <v/>
      </c>
      <c r="I1266" t="inlineStr">
        <is>
          <t>358911</t>
        </is>
      </c>
    </row>
    <row r="1267">
      <c r="A1267">
        <f>TRIM(BASE_EQUIPOS!N1267)</f>
        <v/>
      </c>
      <c r="B1267">
        <f>BASE_EQUIPOS!A1267</f>
        <v/>
      </c>
      <c r="C1267">
        <f>BASE_EQUIPOS!B1267</f>
        <v/>
      </c>
      <c r="D1267">
        <f>BASE_EQUIPOS!D1267</f>
        <v/>
      </c>
      <c r="E1267">
        <f>BASE_EQUIPOS!G1267</f>
        <v/>
      </c>
      <c r="F1267">
        <f>BASE_EQUIPOS!H1267</f>
        <v/>
      </c>
      <c r="G1267">
        <f>BASE_EQUIPOS!M1267</f>
        <v/>
      </c>
      <c r="I1267" t="inlineStr">
        <is>
          <t>001089</t>
        </is>
      </c>
    </row>
    <row r="1268">
      <c r="A1268">
        <f>TRIM(BASE_EQUIPOS!N1268)</f>
        <v/>
      </c>
      <c r="B1268">
        <f>BASE_EQUIPOS!A1268</f>
        <v/>
      </c>
      <c r="C1268">
        <f>BASE_EQUIPOS!B1268</f>
        <v/>
      </c>
      <c r="D1268">
        <f>BASE_EQUIPOS!D1268</f>
        <v/>
      </c>
      <c r="E1268">
        <f>BASE_EQUIPOS!G1268</f>
        <v/>
      </c>
      <c r="F1268">
        <f>BASE_EQUIPOS!H1268</f>
        <v/>
      </c>
      <c r="G1268">
        <f>BASE_EQUIPOS!M1268</f>
        <v/>
      </c>
      <c r="I1268" t="inlineStr">
        <is>
          <t>S/N / 009608</t>
        </is>
      </c>
    </row>
    <row r="1269">
      <c r="A1269">
        <f>TRIM(BASE_EQUIPOS!N1269)</f>
        <v/>
      </c>
      <c r="B1269">
        <f>BASE_EQUIPOS!A1269</f>
        <v/>
      </c>
      <c r="C1269">
        <f>BASE_EQUIPOS!B1269</f>
        <v/>
      </c>
      <c r="D1269">
        <f>BASE_EQUIPOS!D1269</f>
        <v/>
      </c>
      <c r="E1269">
        <f>BASE_EQUIPOS!G1269</f>
        <v/>
      </c>
      <c r="F1269">
        <f>BASE_EQUIPOS!H1269</f>
        <v/>
      </c>
      <c r="G1269">
        <f>BASE_EQUIPOS!M1269</f>
        <v/>
      </c>
      <c r="I1269" t="inlineStr">
        <is>
          <t>150 / 006500</t>
        </is>
      </c>
    </row>
    <row r="1270">
      <c r="A1270">
        <f>TRIM(BASE_EQUIPOS!N1270)</f>
        <v/>
      </c>
      <c r="B1270">
        <f>BASE_EQUIPOS!A1270</f>
        <v/>
      </c>
      <c r="C1270">
        <f>BASE_EQUIPOS!B1270</f>
        <v/>
      </c>
      <c r="D1270">
        <f>BASE_EQUIPOS!D1270</f>
        <v/>
      </c>
      <c r="E1270">
        <f>BASE_EQUIPOS!G1270</f>
        <v/>
      </c>
      <c r="F1270">
        <f>BASE_EQUIPOS!H1270</f>
        <v/>
      </c>
      <c r="G1270">
        <f>BASE_EQUIPOS!M1270</f>
        <v/>
      </c>
      <c r="I1270" t="inlineStr">
        <is>
          <t>347 / 000592</t>
        </is>
      </c>
    </row>
    <row r="1271">
      <c r="A1271">
        <f>TRIM(BASE_EQUIPOS!N1271)</f>
        <v/>
      </c>
      <c r="B1271">
        <f>BASE_EQUIPOS!A1271</f>
        <v/>
      </c>
      <c r="C1271">
        <f>BASE_EQUIPOS!B1271</f>
        <v/>
      </c>
      <c r="D1271">
        <f>BASE_EQUIPOS!D1271</f>
        <v/>
      </c>
      <c r="E1271">
        <f>BASE_EQUIPOS!G1271</f>
        <v/>
      </c>
      <c r="F1271">
        <f>BASE_EQUIPOS!H1271</f>
        <v/>
      </c>
      <c r="G1271">
        <f>BASE_EQUIPOS!M1271</f>
        <v/>
      </c>
      <c r="I1271" t="inlineStr">
        <is>
          <t>246 / 002593</t>
        </is>
      </c>
    </row>
    <row r="1272">
      <c r="A1272">
        <f>TRIM(BASE_EQUIPOS!N1272)</f>
        <v/>
      </c>
      <c r="B1272">
        <f>BASE_EQUIPOS!A1272</f>
        <v/>
      </c>
      <c r="C1272">
        <f>BASE_EQUIPOS!B1272</f>
        <v/>
      </c>
      <c r="D1272">
        <f>BASE_EQUIPOS!D1272</f>
        <v/>
      </c>
      <c r="E1272">
        <f>BASE_EQUIPOS!G1272</f>
        <v/>
      </c>
      <c r="F1272">
        <f>BASE_EQUIPOS!H1272</f>
        <v/>
      </c>
      <c r="G1272">
        <f>BASE_EQUIPOS!M1272</f>
        <v/>
      </c>
      <c r="I1272" t="inlineStr">
        <is>
          <t>S/N / 008129</t>
        </is>
      </c>
    </row>
    <row r="1273">
      <c r="A1273">
        <f>TRIM(BASE_EQUIPOS!N1273)</f>
        <v/>
      </c>
      <c r="B1273">
        <f>BASE_EQUIPOS!A1273</f>
        <v/>
      </c>
      <c r="C1273">
        <f>BASE_EQUIPOS!B1273</f>
        <v/>
      </c>
      <c r="D1273">
        <f>BASE_EQUIPOS!D1273</f>
        <v/>
      </c>
      <c r="E1273">
        <f>BASE_EQUIPOS!G1273</f>
        <v/>
      </c>
      <c r="F1273">
        <f>BASE_EQUIPOS!H1273</f>
        <v/>
      </c>
      <c r="G1273">
        <f>BASE_EQUIPOS!M1273</f>
        <v/>
      </c>
      <c r="I1273" t="inlineStr">
        <is>
          <t>193 / 002197</t>
        </is>
      </c>
    </row>
    <row r="1274">
      <c r="A1274">
        <f>TRIM(BASE_EQUIPOS!N1274)</f>
        <v/>
      </c>
      <c r="B1274">
        <f>BASE_EQUIPOS!A1274</f>
        <v/>
      </c>
      <c r="C1274">
        <f>BASE_EQUIPOS!B1274</f>
        <v/>
      </c>
      <c r="D1274">
        <f>BASE_EQUIPOS!D1274</f>
        <v/>
      </c>
      <c r="E1274">
        <f>BASE_EQUIPOS!G1274</f>
        <v/>
      </c>
      <c r="F1274">
        <f>BASE_EQUIPOS!H1274</f>
        <v/>
      </c>
      <c r="G1274">
        <f>BASE_EQUIPOS!M1274</f>
        <v/>
      </c>
      <c r="I1274" t="inlineStr">
        <is>
          <t>167 / 002616</t>
        </is>
      </c>
    </row>
    <row r="1275">
      <c r="A1275">
        <f>TRIM(BASE_EQUIPOS!N1275)</f>
        <v/>
      </c>
      <c r="B1275">
        <f>BASE_EQUIPOS!A1275</f>
        <v/>
      </c>
      <c r="C1275">
        <f>BASE_EQUIPOS!B1275</f>
        <v/>
      </c>
      <c r="D1275">
        <f>BASE_EQUIPOS!D1275</f>
        <v/>
      </c>
      <c r="E1275">
        <f>BASE_EQUIPOS!G1275</f>
        <v/>
      </c>
      <c r="F1275">
        <f>BASE_EQUIPOS!H1275</f>
        <v/>
      </c>
      <c r="G1275">
        <f>BASE_EQUIPOS!M1275</f>
        <v/>
      </c>
      <c r="I1275" t="inlineStr">
        <is>
          <t>S/N / 009766</t>
        </is>
      </c>
    </row>
    <row r="1276">
      <c r="A1276">
        <f>TRIM(BASE_EQUIPOS!N1276)</f>
        <v/>
      </c>
      <c r="B1276">
        <f>BASE_EQUIPOS!A1276</f>
        <v/>
      </c>
      <c r="C1276">
        <f>BASE_EQUIPOS!B1276</f>
        <v/>
      </c>
      <c r="D1276">
        <f>BASE_EQUIPOS!D1276</f>
        <v/>
      </c>
      <c r="E1276">
        <f>BASE_EQUIPOS!G1276</f>
        <v/>
      </c>
      <c r="F1276">
        <f>BASE_EQUIPOS!H1276</f>
        <v/>
      </c>
      <c r="G1276">
        <f>BASE_EQUIPOS!M1276</f>
        <v/>
      </c>
      <c r="I1276" t="inlineStr">
        <is>
          <t>176 / 000884</t>
        </is>
      </c>
    </row>
    <row r="1277">
      <c r="A1277">
        <f>TRIM(BASE_EQUIPOS!N1277)</f>
        <v/>
      </c>
      <c r="B1277">
        <f>BASE_EQUIPOS!A1277</f>
        <v/>
      </c>
      <c r="C1277">
        <f>BASE_EQUIPOS!B1277</f>
        <v/>
      </c>
      <c r="D1277">
        <f>BASE_EQUIPOS!D1277</f>
        <v/>
      </c>
      <c r="E1277">
        <f>BASE_EQUIPOS!G1277</f>
        <v/>
      </c>
      <c r="F1277">
        <f>BASE_EQUIPOS!H1277</f>
        <v/>
      </c>
      <c r="G1277">
        <f>BASE_EQUIPOS!M1277</f>
        <v/>
      </c>
      <c r="I1277" t="inlineStr">
        <is>
          <t>S/N / 009075</t>
        </is>
      </c>
    </row>
    <row r="1278">
      <c r="A1278">
        <f>TRIM(BASE_EQUIPOS!N1278)</f>
        <v/>
      </c>
      <c r="B1278">
        <f>BASE_EQUIPOS!A1278</f>
        <v/>
      </c>
      <c r="C1278">
        <f>BASE_EQUIPOS!B1278</f>
        <v/>
      </c>
      <c r="D1278">
        <f>BASE_EQUIPOS!D1278</f>
        <v/>
      </c>
      <c r="E1278">
        <f>BASE_EQUIPOS!G1278</f>
        <v/>
      </c>
      <c r="F1278">
        <f>BASE_EQUIPOS!H1278</f>
        <v/>
      </c>
      <c r="G1278">
        <f>BASE_EQUIPOS!M1278</f>
        <v/>
      </c>
      <c r="I1278" t="inlineStr">
        <is>
          <t>S/N / 001460</t>
        </is>
      </c>
    </row>
    <row r="1279">
      <c r="A1279">
        <f>TRIM(BASE_EQUIPOS!N1279)</f>
        <v/>
      </c>
      <c r="B1279">
        <f>BASE_EQUIPOS!A1279</f>
        <v/>
      </c>
      <c r="C1279">
        <f>BASE_EQUIPOS!B1279</f>
        <v/>
      </c>
      <c r="D1279">
        <f>BASE_EQUIPOS!D1279</f>
        <v/>
      </c>
      <c r="E1279">
        <f>BASE_EQUIPOS!G1279</f>
        <v/>
      </c>
      <c r="F1279">
        <f>BASE_EQUIPOS!H1279</f>
        <v/>
      </c>
      <c r="G1279">
        <f>BASE_EQUIPOS!M1279</f>
        <v/>
      </c>
      <c r="I1279" t="inlineStr">
        <is>
          <t>328 / 002884</t>
        </is>
      </c>
    </row>
    <row r="1280">
      <c r="A1280">
        <f>TRIM(BASE_EQUIPOS!N1280)</f>
        <v/>
      </c>
      <c r="B1280">
        <f>BASE_EQUIPOS!A1280</f>
        <v/>
      </c>
      <c r="C1280">
        <f>BASE_EQUIPOS!B1280</f>
        <v/>
      </c>
      <c r="D1280">
        <f>BASE_EQUIPOS!D1280</f>
        <v/>
      </c>
      <c r="E1280">
        <f>BASE_EQUIPOS!G1280</f>
        <v/>
      </c>
      <c r="F1280">
        <f>BASE_EQUIPOS!H1280</f>
        <v/>
      </c>
      <c r="G1280">
        <f>BASE_EQUIPOS!M1280</f>
        <v/>
      </c>
      <c r="I1280" t="inlineStr">
        <is>
          <t>S/N / 007848</t>
        </is>
      </c>
    </row>
    <row r="1281">
      <c r="A1281">
        <f>TRIM(BASE_EQUIPOS!N1281)</f>
        <v/>
      </c>
      <c r="B1281">
        <f>BASE_EQUIPOS!A1281</f>
        <v/>
      </c>
      <c r="C1281">
        <f>BASE_EQUIPOS!B1281</f>
        <v/>
      </c>
      <c r="D1281">
        <f>BASE_EQUIPOS!D1281</f>
        <v/>
      </c>
      <c r="E1281">
        <f>BASE_EQUIPOS!G1281</f>
        <v/>
      </c>
      <c r="F1281">
        <f>BASE_EQUIPOS!H1281</f>
        <v/>
      </c>
      <c r="G1281">
        <f>BASE_EQUIPOS!M1281</f>
        <v/>
      </c>
      <c r="I1281" t="inlineStr">
        <is>
          <t>29 / 000204</t>
        </is>
      </c>
    </row>
    <row r="1282">
      <c r="A1282">
        <f>TRIM(BASE_EQUIPOS!N1282)</f>
        <v/>
      </c>
      <c r="B1282">
        <f>BASE_EQUIPOS!A1282</f>
        <v/>
      </c>
      <c r="C1282">
        <f>BASE_EQUIPOS!B1282</f>
        <v/>
      </c>
      <c r="D1282">
        <f>BASE_EQUIPOS!D1282</f>
        <v/>
      </c>
      <c r="E1282">
        <f>BASE_EQUIPOS!G1282</f>
        <v/>
      </c>
      <c r="F1282">
        <f>BASE_EQUIPOS!H1282</f>
        <v/>
      </c>
      <c r="G1282">
        <f>BASE_EQUIPOS!M1282</f>
        <v/>
      </c>
      <c r="I1282" t="inlineStr">
        <is>
          <t>501127</t>
        </is>
      </c>
    </row>
    <row r="1283">
      <c r="A1283">
        <f>TRIM(BASE_EQUIPOS!N1283)</f>
        <v/>
      </c>
      <c r="B1283">
        <f>BASE_EQUIPOS!A1283</f>
        <v/>
      </c>
      <c r="C1283">
        <f>BASE_EQUIPOS!B1283</f>
        <v/>
      </c>
      <c r="D1283">
        <f>BASE_EQUIPOS!D1283</f>
        <v/>
      </c>
      <c r="E1283">
        <f>BASE_EQUIPOS!G1283</f>
        <v/>
      </c>
      <c r="F1283">
        <f>BASE_EQUIPOS!H1283</f>
        <v/>
      </c>
      <c r="G1283">
        <f>BASE_EQUIPOS!M1283</f>
        <v/>
      </c>
      <c r="I1283" t="inlineStr">
        <is>
          <t>001722</t>
        </is>
      </c>
    </row>
    <row r="1284">
      <c r="A1284">
        <f>TRIM(BASE_EQUIPOS!N1284)</f>
        <v/>
      </c>
      <c r="B1284">
        <f>BASE_EQUIPOS!A1284</f>
        <v/>
      </c>
      <c r="C1284">
        <f>BASE_EQUIPOS!B1284</f>
        <v/>
      </c>
      <c r="D1284">
        <f>BASE_EQUIPOS!D1284</f>
        <v/>
      </c>
      <c r="E1284">
        <f>BASE_EQUIPOS!G1284</f>
        <v/>
      </c>
      <c r="F1284">
        <f>BASE_EQUIPOS!H1284</f>
        <v/>
      </c>
      <c r="G1284">
        <f>BASE_EQUIPOS!M1284</f>
        <v/>
      </c>
      <c r="I1284" t="inlineStr">
        <is>
          <t>492684</t>
        </is>
      </c>
    </row>
    <row r="1285">
      <c r="A1285">
        <f>TRIM(BASE_EQUIPOS!N1285)</f>
        <v/>
      </c>
      <c r="B1285">
        <f>BASE_EQUIPOS!A1285</f>
        <v/>
      </c>
      <c r="C1285">
        <f>BASE_EQUIPOS!B1285</f>
        <v/>
      </c>
      <c r="D1285">
        <f>BASE_EQUIPOS!D1285</f>
        <v/>
      </c>
      <c r="E1285">
        <f>BASE_EQUIPOS!G1285</f>
        <v/>
      </c>
      <c r="F1285">
        <f>BASE_EQUIPOS!H1285</f>
        <v/>
      </c>
      <c r="G1285">
        <f>BASE_EQUIPOS!M1285</f>
        <v/>
      </c>
      <c r="I1285" t="inlineStr">
        <is>
          <t>000016</t>
        </is>
      </c>
    </row>
    <row r="1286">
      <c r="A1286">
        <f>TRIM(BASE_EQUIPOS!N1286)</f>
        <v/>
      </c>
      <c r="B1286">
        <f>BASE_EQUIPOS!A1286</f>
        <v/>
      </c>
      <c r="C1286">
        <f>BASE_EQUIPOS!B1286</f>
        <v/>
      </c>
      <c r="D1286">
        <f>BASE_EQUIPOS!D1286</f>
        <v/>
      </c>
      <c r="E1286">
        <f>BASE_EQUIPOS!G1286</f>
        <v/>
      </c>
      <c r="F1286">
        <f>BASE_EQUIPOS!H1286</f>
        <v/>
      </c>
      <c r="G1286">
        <f>BASE_EQUIPOS!M1286</f>
        <v/>
      </c>
      <c r="I1286" t="inlineStr">
        <is>
          <t>001222</t>
        </is>
      </c>
    </row>
    <row r="1287">
      <c r="A1287">
        <f>TRIM(BASE_EQUIPOS!N1287)</f>
        <v/>
      </c>
      <c r="B1287">
        <f>BASE_EQUIPOS!A1287</f>
        <v/>
      </c>
      <c r="C1287">
        <f>BASE_EQUIPOS!B1287</f>
        <v/>
      </c>
      <c r="D1287">
        <f>BASE_EQUIPOS!D1287</f>
        <v/>
      </c>
      <c r="E1287">
        <f>BASE_EQUIPOS!G1287</f>
        <v/>
      </c>
      <c r="F1287">
        <f>BASE_EQUIPOS!H1287</f>
        <v/>
      </c>
      <c r="G1287">
        <f>BASE_EQUIPOS!M1287</f>
        <v/>
      </c>
      <c r="I1287" t="inlineStr">
        <is>
          <t>177013</t>
        </is>
      </c>
    </row>
    <row r="1288">
      <c r="A1288">
        <f>TRIM(BASE_EQUIPOS!N1288)</f>
        <v/>
      </c>
      <c r="B1288">
        <f>BASE_EQUIPOS!A1288</f>
        <v/>
      </c>
      <c r="C1288">
        <f>BASE_EQUIPOS!B1288</f>
        <v/>
      </c>
      <c r="D1288">
        <f>BASE_EQUIPOS!D1288</f>
        <v/>
      </c>
      <c r="E1288">
        <f>BASE_EQUIPOS!G1288</f>
        <v/>
      </c>
      <c r="F1288">
        <f>BASE_EQUIPOS!H1288</f>
        <v/>
      </c>
      <c r="G1288">
        <f>BASE_EQUIPOS!M1288</f>
        <v/>
      </c>
      <c r="I1288" t="inlineStr">
        <is>
          <t>000490</t>
        </is>
      </c>
    </row>
    <row r="1289">
      <c r="A1289">
        <f>TRIM(BASE_EQUIPOS!N1289)</f>
        <v/>
      </c>
      <c r="B1289">
        <f>BASE_EQUIPOS!A1289</f>
        <v/>
      </c>
      <c r="C1289">
        <f>BASE_EQUIPOS!B1289</f>
        <v/>
      </c>
      <c r="D1289">
        <f>BASE_EQUIPOS!D1289</f>
        <v/>
      </c>
      <c r="E1289">
        <f>BASE_EQUIPOS!G1289</f>
        <v/>
      </c>
      <c r="F1289">
        <f>BASE_EQUIPOS!H1289</f>
        <v/>
      </c>
      <c r="G1289">
        <f>BASE_EQUIPOS!M1289</f>
        <v/>
      </c>
      <c r="I1289" t="inlineStr">
        <is>
          <t>458967</t>
        </is>
      </c>
    </row>
    <row r="1290">
      <c r="A1290">
        <f>TRIM(BASE_EQUIPOS!N1290)</f>
        <v/>
      </c>
      <c r="B1290">
        <f>BASE_EQUIPOS!A1290</f>
        <v/>
      </c>
      <c r="C1290">
        <f>BASE_EQUIPOS!B1290</f>
        <v/>
      </c>
      <c r="D1290">
        <f>BASE_EQUIPOS!D1290</f>
        <v/>
      </c>
      <c r="E1290">
        <f>BASE_EQUIPOS!G1290</f>
        <v/>
      </c>
      <c r="F1290">
        <f>BASE_EQUIPOS!H1290</f>
        <v/>
      </c>
      <c r="G1290">
        <f>BASE_EQUIPOS!M1290</f>
        <v/>
      </c>
      <c r="I1290" t="inlineStr">
        <is>
          <t>071794</t>
        </is>
      </c>
    </row>
    <row r="1291">
      <c r="A1291">
        <f>TRIM(BASE_EQUIPOS!N1291)</f>
        <v/>
      </c>
      <c r="B1291">
        <f>BASE_EQUIPOS!A1291</f>
        <v/>
      </c>
      <c r="C1291">
        <f>BASE_EQUIPOS!B1291</f>
        <v/>
      </c>
      <c r="D1291">
        <f>BASE_EQUIPOS!D1291</f>
        <v/>
      </c>
      <c r="E1291">
        <f>BASE_EQUIPOS!G1291</f>
        <v/>
      </c>
      <c r="F1291">
        <f>BASE_EQUIPOS!H1291</f>
        <v/>
      </c>
      <c r="G1291">
        <f>BASE_EQUIPOS!M1291</f>
        <v/>
      </c>
      <c r="I1291" t="inlineStr">
        <is>
          <t>003275</t>
        </is>
      </c>
    </row>
    <row r="1292">
      <c r="A1292">
        <f>TRIM(BASE_EQUIPOS!N1292)</f>
        <v/>
      </c>
      <c r="B1292">
        <f>BASE_EQUIPOS!A1292</f>
        <v/>
      </c>
      <c r="C1292">
        <f>BASE_EQUIPOS!B1292</f>
        <v/>
      </c>
      <c r="D1292">
        <f>BASE_EQUIPOS!D1292</f>
        <v/>
      </c>
      <c r="E1292">
        <f>BASE_EQUIPOS!G1292</f>
        <v/>
      </c>
      <c r="F1292">
        <f>BASE_EQUIPOS!H1292</f>
        <v/>
      </c>
      <c r="G1292">
        <f>BASE_EQUIPOS!M1292</f>
        <v/>
      </c>
      <c r="I1292" t="inlineStr">
        <is>
          <t>G09014474</t>
        </is>
      </c>
    </row>
    <row r="1293">
      <c r="A1293">
        <f>TRIM(BASE_EQUIPOS!N1293)</f>
        <v/>
      </c>
      <c r="B1293">
        <f>BASE_EQUIPOS!A1293</f>
        <v/>
      </c>
      <c r="C1293">
        <f>BASE_EQUIPOS!B1293</f>
        <v/>
      </c>
      <c r="D1293">
        <f>BASE_EQUIPOS!D1293</f>
        <v/>
      </c>
      <c r="E1293">
        <f>BASE_EQUIPOS!G1293</f>
        <v/>
      </c>
      <c r="F1293">
        <f>BASE_EQUIPOS!H1293</f>
        <v/>
      </c>
      <c r="G1293">
        <f>BASE_EQUIPOS!M1293</f>
        <v/>
      </c>
      <c r="I1293" t="inlineStr">
        <is>
          <t>G09014365</t>
        </is>
      </c>
    </row>
    <row r="1294">
      <c r="A1294">
        <f>TRIM(BASE_EQUIPOS!N1294)</f>
        <v/>
      </c>
      <c r="B1294">
        <f>BASE_EQUIPOS!A1294</f>
        <v/>
      </c>
      <c r="C1294">
        <f>BASE_EQUIPOS!B1294</f>
        <v/>
      </c>
      <c r="D1294">
        <f>BASE_EQUIPOS!D1294</f>
        <v/>
      </c>
      <c r="E1294">
        <f>BASE_EQUIPOS!G1294</f>
        <v/>
      </c>
      <c r="F1294">
        <f>BASE_EQUIPOS!H1294</f>
        <v/>
      </c>
      <c r="G1294">
        <f>BASE_EQUIPOS!M1294</f>
        <v/>
      </c>
      <c r="I1294" t="inlineStr">
        <is>
          <t>695600</t>
        </is>
      </c>
    </row>
    <row r="1295">
      <c r="A1295">
        <f>TRIM(BASE_EQUIPOS!N1295)</f>
        <v/>
      </c>
      <c r="B1295">
        <f>BASE_EQUIPOS!A1295</f>
        <v/>
      </c>
      <c r="C1295">
        <f>BASE_EQUIPOS!B1295</f>
        <v/>
      </c>
      <c r="D1295">
        <f>BASE_EQUIPOS!D1295</f>
        <v/>
      </c>
      <c r="E1295">
        <f>BASE_EQUIPOS!G1295</f>
        <v/>
      </c>
      <c r="F1295">
        <f>BASE_EQUIPOS!H1295</f>
        <v/>
      </c>
      <c r="G1295">
        <f>BASE_EQUIPOS!M1295</f>
        <v/>
      </c>
      <c r="I1295" t="inlineStr">
        <is>
          <t>743028</t>
        </is>
      </c>
    </row>
    <row r="1296">
      <c r="A1296">
        <f>TRIM(BASE_EQUIPOS!N1296)</f>
        <v/>
      </c>
      <c r="B1296">
        <f>BASE_EQUIPOS!A1296</f>
        <v/>
      </c>
      <c r="C1296">
        <f>BASE_EQUIPOS!B1296</f>
        <v/>
      </c>
      <c r="D1296">
        <f>BASE_EQUIPOS!D1296</f>
        <v/>
      </c>
      <c r="E1296">
        <f>BASE_EQUIPOS!G1296</f>
        <v/>
      </c>
      <c r="F1296">
        <f>BASE_EQUIPOS!H1296</f>
        <v/>
      </c>
      <c r="G1296">
        <f>BASE_EQUIPOS!M1296</f>
        <v/>
      </c>
      <c r="I1296" t="inlineStr">
        <is>
          <t>000074</t>
        </is>
      </c>
    </row>
    <row r="1297">
      <c r="A1297">
        <f>TRIM(BASE_EQUIPOS!N1297)</f>
        <v/>
      </c>
      <c r="B1297">
        <f>BASE_EQUIPOS!A1297</f>
        <v/>
      </c>
      <c r="C1297">
        <f>BASE_EQUIPOS!B1297</f>
        <v/>
      </c>
      <c r="D1297">
        <f>BASE_EQUIPOS!D1297</f>
        <v/>
      </c>
      <c r="E1297">
        <f>BASE_EQUIPOS!G1297</f>
        <v/>
      </c>
      <c r="F1297">
        <f>BASE_EQUIPOS!H1297</f>
        <v/>
      </c>
      <c r="G1297">
        <f>BASE_EQUIPOS!M1297</f>
        <v/>
      </c>
      <c r="I1297" t="inlineStr">
        <is>
          <t>002974</t>
        </is>
      </c>
    </row>
    <row r="1298">
      <c r="A1298">
        <f>TRIM(BASE_EQUIPOS!N1298)</f>
        <v/>
      </c>
      <c r="B1298">
        <f>BASE_EQUIPOS!A1298</f>
        <v/>
      </c>
      <c r="C1298">
        <f>BASE_EQUIPOS!B1298</f>
        <v/>
      </c>
      <c r="D1298">
        <f>BASE_EQUIPOS!D1298</f>
        <v/>
      </c>
      <c r="E1298">
        <f>BASE_EQUIPOS!G1298</f>
        <v/>
      </c>
      <c r="F1298">
        <f>BASE_EQUIPOS!H1298</f>
        <v/>
      </c>
      <c r="G1298">
        <f>BASE_EQUIPOS!M1298</f>
        <v/>
      </c>
      <c r="I1298" t="inlineStr">
        <is>
          <t>000201</t>
        </is>
      </c>
    </row>
    <row r="1299">
      <c r="A1299">
        <f>TRIM(BASE_EQUIPOS!N1299)</f>
        <v/>
      </c>
      <c r="B1299">
        <f>BASE_EQUIPOS!A1299</f>
        <v/>
      </c>
      <c r="C1299">
        <f>BASE_EQUIPOS!B1299</f>
        <v/>
      </c>
      <c r="D1299">
        <f>BASE_EQUIPOS!D1299</f>
        <v/>
      </c>
      <c r="E1299">
        <f>BASE_EQUIPOS!G1299</f>
        <v/>
      </c>
      <c r="F1299">
        <f>BASE_EQUIPOS!H1299</f>
        <v/>
      </c>
      <c r="G1299">
        <f>BASE_EQUIPOS!M1299</f>
        <v/>
      </c>
      <c r="I1299" t="inlineStr">
        <is>
          <t>21 / 022251</t>
        </is>
      </c>
    </row>
    <row r="1300">
      <c r="A1300">
        <f>TRIM(BASE_EQUIPOS!N1300)</f>
        <v/>
      </c>
      <c r="B1300">
        <f>BASE_EQUIPOS!A1300</f>
        <v/>
      </c>
      <c r="C1300">
        <f>BASE_EQUIPOS!B1300</f>
        <v/>
      </c>
      <c r="D1300">
        <f>BASE_EQUIPOS!D1300</f>
        <v/>
      </c>
      <c r="E1300">
        <f>BASE_EQUIPOS!G1300</f>
        <v/>
      </c>
      <c r="F1300">
        <f>BASE_EQUIPOS!H1300</f>
        <v/>
      </c>
      <c r="G1300">
        <f>BASE_EQUIPOS!M1300</f>
        <v/>
      </c>
      <c r="I1300" t="inlineStr">
        <is>
          <t>22 / 007042</t>
        </is>
      </c>
    </row>
    <row r="1301">
      <c r="A1301">
        <f>TRIM(BASE_EQUIPOS!N1301)</f>
        <v/>
      </c>
      <c r="B1301">
        <f>BASE_EQUIPOS!A1301</f>
        <v/>
      </c>
      <c r="C1301">
        <f>BASE_EQUIPOS!B1301</f>
        <v/>
      </c>
      <c r="D1301">
        <f>BASE_EQUIPOS!D1301</f>
        <v/>
      </c>
      <c r="E1301">
        <f>BASE_EQUIPOS!G1301</f>
        <v/>
      </c>
      <c r="F1301">
        <f>BASE_EQUIPOS!H1301</f>
        <v/>
      </c>
      <c r="G1301">
        <f>BASE_EQUIPOS!M1301</f>
        <v/>
      </c>
      <c r="I1301" t="inlineStr">
        <is>
          <t>048736</t>
        </is>
      </c>
    </row>
    <row r="1302">
      <c r="A1302">
        <f>TRIM(BASE_EQUIPOS!N1302)</f>
        <v/>
      </c>
      <c r="B1302">
        <f>BASE_EQUIPOS!A1302</f>
        <v/>
      </c>
      <c r="C1302">
        <f>BASE_EQUIPOS!B1302</f>
        <v/>
      </c>
      <c r="D1302">
        <f>BASE_EQUIPOS!D1302</f>
        <v/>
      </c>
      <c r="E1302">
        <f>BASE_EQUIPOS!G1302</f>
        <v/>
      </c>
      <c r="F1302">
        <f>BASE_EQUIPOS!H1302</f>
        <v/>
      </c>
      <c r="G1302">
        <f>BASE_EQUIPOS!M1302</f>
        <v/>
      </c>
      <c r="I1302" t="inlineStr">
        <is>
          <t>001149</t>
        </is>
      </c>
    </row>
    <row r="1303">
      <c r="A1303">
        <f>TRIM(BASE_EQUIPOS!N1303)</f>
        <v/>
      </c>
      <c r="B1303">
        <f>BASE_EQUIPOS!A1303</f>
        <v/>
      </c>
      <c r="C1303">
        <f>BASE_EQUIPOS!B1303</f>
        <v/>
      </c>
      <c r="D1303">
        <f>BASE_EQUIPOS!D1303</f>
        <v/>
      </c>
      <c r="E1303">
        <f>BASE_EQUIPOS!G1303</f>
        <v/>
      </c>
      <c r="F1303">
        <f>BASE_EQUIPOS!H1303</f>
        <v/>
      </c>
      <c r="G1303">
        <f>BASE_EQUIPOS!M1303</f>
        <v/>
      </c>
      <c r="I1303" t="inlineStr">
        <is>
          <t>004844</t>
        </is>
      </c>
    </row>
    <row r="1304">
      <c r="A1304">
        <f>TRIM(BASE_EQUIPOS!N1304)</f>
        <v/>
      </c>
      <c r="B1304">
        <f>BASE_EQUIPOS!A1304</f>
        <v/>
      </c>
      <c r="C1304">
        <f>BASE_EQUIPOS!B1304</f>
        <v/>
      </c>
      <c r="D1304">
        <f>BASE_EQUIPOS!D1304</f>
        <v/>
      </c>
      <c r="E1304">
        <f>BASE_EQUIPOS!G1304</f>
        <v/>
      </c>
      <c r="F1304">
        <f>BASE_EQUIPOS!H1304</f>
        <v/>
      </c>
      <c r="G1304">
        <f>BASE_EQUIPOS!M1304</f>
        <v/>
      </c>
      <c r="I1304" t="inlineStr">
        <is>
          <t>002499</t>
        </is>
      </c>
    </row>
    <row r="1305">
      <c r="A1305">
        <f>TRIM(BASE_EQUIPOS!N1305)</f>
        <v/>
      </c>
      <c r="B1305">
        <f>BASE_EQUIPOS!A1305</f>
        <v/>
      </c>
      <c r="C1305">
        <f>BASE_EQUIPOS!B1305</f>
        <v/>
      </c>
      <c r="D1305">
        <f>BASE_EQUIPOS!D1305</f>
        <v/>
      </c>
      <c r="E1305">
        <f>BASE_EQUIPOS!G1305</f>
        <v/>
      </c>
      <c r="F1305">
        <f>BASE_EQUIPOS!H1305</f>
        <v/>
      </c>
      <c r="G1305">
        <f>BASE_EQUIPOS!M1305</f>
        <v/>
      </c>
      <c r="I1305" t="inlineStr">
        <is>
          <t>131 / 000326</t>
        </is>
      </c>
    </row>
    <row r="1306">
      <c r="A1306">
        <f>TRIM(BASE_EQUIPOS!N1306)</f>
        <v/>
      </c>
      <c r="B1306">
        <f>BASE_EQUIPOS!A1306</f>
        <v/>
      </c>
      <c r="C1306">
        <f>BASE_EQUIPOS!B1306</f>
        <v/>
      </c>
      <c r="D1306">
        <f>BASE_EQUIPOS!D1306</f>
        <v/>
      </c>
      <c r="E1306">
        <f>BASE_EQUIPOS!G1306</f>
        <v/>
      </c>
      <c r="F1306">
        <f>BASE_EQUIPOS!H1306</f>
        <v/>
      </c>
      <c r="G1306">
        <f>BASE_EQUIPOS!M1306</f>
        <v/>
      </c>
      <c r="I1306" t="inlineStr">
        <is>
          <t>164 / 002173</t>
        </is>
      </c>
    </row>
    <row r="1307">
      <c r="A1307">
        <f>TRIM(BASE_EQUIPOS!N1307)</f>
        <v/>
      </c>
      <c r="B1307">
        <f>BASE_EQUIPOS!A1307</f>
        <v/>
      </c>
      <c r="C1307">
        <f>BASE_EQUIPOS!B1307</f>
        <v/>
      </c>
      <c r="D1307">
        <f>BASE_EQUIPOS!D1307</f>
        <v/>
      </c>
      <c r="E1307">
        <f>BASE_EQUIPOS!G1307</f>
        <v/>
      </c>
      <c r="F1307">
        <f>BASE_EQUIPOS!H1307</f>
        <v/>
      </c>
      <c r="G1307">
        <f>BASE_EQUIPOS!M1307</f>
        <v/>
      </c>
      <c r="I1307" t="inlineStr">
        <is>
          <t>153 / 000005</t>
        </is>
      </c>
    </row>
    <row r="1308">
      <c r="A1308">
        <f>TRIM(BASE_EQUIPOS!N1308)</f>
        <v/>
      </c>
      <c r="B1308">
        <f>BASE_EQUIPOS!A1308</f>
        <v/>
      </c>
      <c r="C1308">
        <f>BASE_EQUIPOS!B1308</f>
        <v/>
      </c>
      <c r="D1308">
        <f>BASE_EQUIPOS!D1308</f>
        <v/>
      </c>
      <c r="E1308">
        <f>BASE_EQUIPOS!G1308</f>
        <v/>
      </c>
      <c r="F1308">
        <f>BASE_EQUIPOS!H1308</f>
        <v/>
      </c>
      <c r="G1308">
        <f>BASE_EQUIPOS!M1308</f>
        <v/>
      </c>
      <c r="I1308" t="inlineStr">
        <is>
          <t>191 / 001416</t>
        </is>
      </c>
    </row>
    <row r="1309">
      <c r="A1309">
        <f>TRIM(BASE_EQUIPOS!N1309)</f>
        <v/>
      </c>
      <c r="B1309">
        <f>BASE_EQUIPOS!A1309</f>
        <v/>
      </c>
      <c r="C1309">
        <f>BASE_EQUIPOS!B1309</f>
        <v/>
      </c>
      <c r="D1309">
        <f>BASE_EQUIPOS!D1309</f>
        <v/>
      </c>
      <c r="E1309">
        <f>BASE_EQUIPOS!G1309</f>
        <v/>
      </c>
      <c r="F1309">
        <f>BASE_EQUIPOS!H1309</f>
        <v/>
      </c>
      <c r="G1309">
        <f>BASE_EQUIPOS!M1309</f>
        <v/>
      </c>
      <c r="I1309" t="inlineStr">
        <is>
          <t>314 / 2909</t>
        </is>
      </c>
    </row>
    <row r="1310">
      <c r="A1310">
        <f>TRIM(BASE_EQUIPOS!N1310)</f>
        <v/>
      </c>
      <c r="B1310">
        <f>BASE_EQUIPOS!A1310</f>
        <v/>
      </c>
      <c r="C1310">
        <f>BASE_EQUIPOS!B1310</f>
        <v/>
      </c>
      <c r="D1310">
        <f>BASE_EQUIPOS!D1310</f>
        <v/>
      </c>
      <c r="E1310">
        <f>BASE_EQUIPOS!G1310</f>
        <v/>
      </c>
      <c r="F1310">
        <f>BASE_EQUIPOS!H1310</f>
        <v/>
      </c>
      <c r="G1310">
        <f>BASE_EQUIPOS!M1310</f>
        <v/>
      </c>
      <c r="I1310" t="inlineStr">
        <is>
          <t>S/N / 021354</t>
        </is>
      </c>
    </row>
    <row r="1311">
      <c r="A1311">
        <f>TRIM(BASE_EQUIPOS!N1311)</f>
        <v/>
      </c>
      <c r="B1311">
        <f>BASE_EQUIPOS!A1311</f>
        <v/>
      </c>
      <c r="C1311">
        <f>BASE_EQUIPOS!B1311</f>
        <v/>
      </c>
      <c r="D1311">
        <f>BASE_EQUIPOS!D1311</f>
        <v/>
      </c>
      <c r="E1311">
        <f>BASE_EQUIPOS!G1311</f>
        <v/>
      </c>
      <c r="F1311">
        <f>BASE_EQUIPOS!H1311</f>
        <v/>
      </c>
      <c r="G1311">
        <f>BASE_EQUIPOS!M1311</f>
        <v/>
      </c>
      <c r="I1311" t="inlineStr">
        <is>
          <t>104 / 000188</t>
        </is>
      </c>
    </row>
    <row r="1312">
      <c r="A1312">
        <f>TRIM(BASE_EQUIPOS!N1312)</f>
        <v/>
      </c>
      <c r="B1312">
        <f>BASE_EQUIPOS!A1312</f>
        <v/>
      </c>
      <c r="C1312">
        <f>BASE_EQUIPOS!B1312</f>
        <v/>
      </c>
      <c r="D1312">
        <f>BASE_EQUIPOS!D1312</f>
        <v/>
      </c>
      <c r="E1312">
        <f>BASE_EQUIPOS!G1312</f>
        <v/>
      </c>
      <c r="F1312">
        <f>BASE_EQUIPOS!H1312</f>
        <v/>
      </c>
      <c r="G1312">
        <f>BASE_EQUIPOS!M1312</f>
        <v/>
      </c>
      <c r="I1312" t="inlineStr">
        <is>
          <t>401798</t>
        </is>
      </c>
    </row>
    <row r="1313">
      <c r="A1313">
        <f>TRIM(BASE_EQUIPOS!N1313)</f>
        <v/>
      </c>
      <c r="B1313">
        <f>BASE_EQUIPOS!A1313</f>
        <v/>
      </c>
      <c r="C1313">
        <f>BASE_EQUIPOS!B1313</f>
        <v/>
      </c>
      <c r="D1313">
        <f>BASE_EQUIPOS!D1313</f>
        <v/>
      </c>
      <c r="E1313">
        <f>BASE_EQUIPOS!G1313</f>
        <v/>
      </c>
      <c r="F1313">
        <f>BASE_EQUIPOS!H1313</f>
        <v/>
      </c>
      <c r="G1313">
        <f>BASE_EQUIPOS!M1313</f>
        <v/>
      </c>
      <c r="I1313" t="inlineStr">
        <is>
          <t>000344</t>
        </is>
      </c>
    </row>
    <row r="1314">
      <c r="A1314">
        <f>TRIM(BASE_EQUIPOS!N1314)</f>
        <v/>
      </c>
      <c r="B1314">
        <f>BASE_EQUIPOS!A1314</f>
        <v/>
      </c>
      <c r="C1314">
        <f>BASE_EQUIPOS!B1314</f>
        <v/>
      </c>
      <c r="D1314">
        <f>BASE_EQUIPOS!D1314</f>
        <v/>
      </c>
      <c r="E1314">
        <f>BASE_EQUIPOS!G1314</f>
        <v/>
      </c>
      <c r="F1314">
        <f>BASE_EQUIPOS!H1314</f>
        <v/>
      </c>
      <c r="G1314">
        <f>BASE_EQUIPOS!M1314</f>
        <v/>
      </c>
      <c r="I1314" t="inlineStr">
        <is>
          <t>002949</t>
        </is>
      </c>
    </row>
    <row r="1315">
      <c r="A1315">
        <f>TRIM(BASE_EQUIPOS!N1315)</f>
        <v/>
      </c>
      <c r="B1315">
        <f>BASE_EQUIPOS!A1315</f>
        <v/>
      </c>
      <c r="C1315">
        <f>BASE_EQUIPOS!B1315</f>
        <v/>
      </c>
      <c r="D1315">
        <f>BASE_EQUIPOS!D1315</f>
        <v/>
      </c>
      <c r="E1315">
        <f>BASE_EQUIPOS!G1315</f>
        <v/>
      </c>
      <c r="F1315">
        <f>BASE_EQUIPOS!H1315</f>
        <v/>
      </c>
      <c r="G1315">
        <f>BASE_EQUIPOS!M1315</f>
        <v/>
      </c>
      <c r="I1315" t="inlineStr">
        <is>
          <t>00R987</t>
        </is>
      </c>
    </row>
    <row r="1316">
      <c r="A1316">
        <f>TRIM(BASE_EQUIPOS!N1316)</f>
        <v/>
      </c>
      <c r="B1316">
        <f>BASE_EQUIPOS!A1316</f>
        <v/>
      </c>
      <c r="C1316">
        <f>BASE_EQUIPOS!B1316</f>
        <v/>
      </c>
      <c r="D1316">
        <f>BASE_EQUIPOS!D1316</f>
        <v/>
      </c>
      <c r="E1316">
        <f>BASE_EQUIPOS!G1316</f>
        <v/>
      </c>
      <c r="F1316">
        <f>BASE_EQUIPOS!H1316</f>
        <v/>
      </c>
      <c r="G1316">
        <f>BASE_EQUIPOS!M1316</f>
        <v/>
      </c>
      <c r="I1316" t="inlineStr">
        <is>
          <t>006803</t>
        </is>
      </c>
    </row>
    <row r="1317">
      <c r="A1317">
        <f>TRIM(BASE_EQUIPOS!N1317)</f>
        <v/>
      </c>
      <c r="B1317">
        <f>BASE_EQUIPOS!A1317</f>
        <v/>
      </c>
      <c r="C1317">
        <f>BASE_EQUIPOS!B1317</f>
        <v/>
      </c>
      <c r="D1317">
        <f>BASE_EQUIPOS!D1317</f>
        <v/>
      </c>
      <c r="E1317">
        <f>BASE_EQUIPOS!G1317</f>
        <v/>
      </c>
      <c r="F1317">
        <f>BASE_EQUIPOS!H1317</f>
        <v/>
      </c>
      <c r="G1317">
        <f>BASE_EQUIPOS!M1317</f>
        <v/>
      </c>
      <c r="I1317" t="inlineStr">
        <is>
          <t>S/N / 008539</t>
        </is>
      </c>
    </row>
    <row r="1318">
      <c r="A1318">
        <f>TRIM(BASE_EQUIPOS!N1318)</f>
        <v/>
      </c>
      <c r="B1318">
        <f>BASE_EQUIPOS!A1318</f>
        <v/>
      </c>
      <c r="C1318">
        <f>BASE_EQUIPOS!B1318</f>
        <v/>
      </c>
      <c r="D1318">
        <f>BASE_EQUIPOS!D1318</f>
        <v/>
      </c>
      <c r="E1318">
        <f>BASE_EQUIPOS!G1318</f>
        <v/>
      </c>
      <c r="F1318">
        <f>BASE_EQUIPOS!H1318</f>
        <v/>
      </c>
      <c r="G1318">
        <f>BASE_EQUIPOS!M1318</f>
        <v/>
      </c>
      <c r="I1318" t="inlineStr">
        <is>
          <t>S/N / 003890</t>
        </is>
      </c>
    </row>
    <row r="1319">
      <c r="A1319">
        <f>TRIM(BASE_EQUIPOS!N1319)</f>
        <v/>
      </c>
      <c r="B1319">
        <f>BASE_EQUIPOS!A1319</f>
        <v/>
      </c>
      <c r="C1319">
        <f>BASE_EQUIPOS!B1319</f>
        <v/>
      </c>
      <c r="D1319">
        <f>BASE_EQUIPOS!D1319</f>
        <v/>
      </c>
      <c r="E1319">
        <f>BASE_EQUIPOS!G1319</f>
        <v/>
      </c>
      <c r="F1319">
        <f>BASE_EQUIPOS!H1319</f>
        <v/>
      </c>
      <c r="G1319">
        <f>BASE_EQUIPOS!M1319</f>
        <v/>
      </c>
      <c r="I1319" t="inlineStr">
        <is>
          <t>163 / 000854</t>
        </is>
      </c>
    </row>
    <row r="1320">
      <c r="A1320">
        <f>TRIM(BASE_EQUIPOS!N1320)</f>
        <v/>
      </c>
      <c r="B1320">
        <f>BASE_EQUIPOS!A1320</f>
        <v/>
      </c>
      <c r="C1320">
        <f>BASE_EQUIPOS!B1320</f>
        <v/>
      </c>
      <c r="D1320">
        <f>BASE_EQUIPOS!D1320</f>
        <v/>
      </c>
      <c r="E1320">
        <f>BASE_EQUIPOS!G1320</f>
        <v/>
      </c>
      <c r="F1320">
        <f>BASE_EQUIPOS!H1320</f>
        <v/>
      </c>
      <c r="G1320">
        <f>BASE_EQUIPOS!M1320</f>
        <v/>
      </c>
      <c r="I1320" t="inlineStr">
        <is>
          <t>250 / 000089</t>
        </is>
      </c>
    </row>
    <row r="1321">
      <c r="A1321">
        <f>TRIM(BASE_EQUIPOS!N1321)</f>
        <v/>
      </c>
      <c r="B1321">
        <f>BASE_EQUIPOS!A1321</f>
        <v/>
      </c>
      <c r="C1321">
        <f>BASE_EQUIPOS!B1321</f>
        <v/>
      </c>
      <c r="D1321">
        <f>BASE_EQUIPOS!D1321</f>
        <v/>
      </c>
      <c r="E1321">
        <f>BASE_EQUIPOS!G1321</f>
        <v/>
      </c>
      <c r="F1321">
        <f>BASE_EQUIPOS!H1321</f>
        <v/>
      </c>
      <c r="G1321">
        <f>BASE_EQUIPOS!M1321</f>
        <v/>
      </c>
      <c r="I1321" t="inlineStr">
        <is>
          <t>166 / 002216</t>
        </is>
      </c>
    </row>
    <row r="1322">
      <c r="A1322">
        <f>TRIM(BASE_EQUIPOS!N1322)</f>
        <v/>
      </c>
      <c r="B1322">
        <f>BASE_EQUIPOS!A1322</f>
        <v/>
      </c>
      <c r="C1322">
        <f>BASE_EQUIPOS!B1322</f>
        <v/>
      </c>
      <c r="D1322">
        <f>BASE_EQUIPOS!D1322</f>
        <v/>
      </c>
      <c r="E1322">
        <f>BASE_EQUIPOS!G1322</f>
        <v/>
      </c>
      <c r="F1322">
        <f>BASE_EQUIPOS!H1322</f>
        <v/>
      </c>
      <c r="G1322">
        <f>BASE_EQUIPOS!M1322</f>
        <v/>
      </c>
      <c r="I1322" t="inlineStr">
        <is>
          <t>458960</t>
        </is>
      </c>
    </row>
    <row r="1323">
      <c r="A1323">
        <f>TRIM(BASE_EQUIPOS!N1323)</f>
        <v/>
      </c>
      <c r="B1323">
        <f>BASE_EQUIPOS!A1323</f>
        <v/>
      </c>
      <c r="C1323">
        <f>BASE_EQUIPOS!B1323</f>
        <v/>
      </c>
      <c r="D1323">
        <f>BASE_EQUIPOS!D1323</f>
        <v/>
      </c>
      <c r="E1323">
        <f>BASE_EQUIPOS!G1323</f>
        <v/>
      </c>
      <c r="F1323">
        <f>BASE_EQUIPOS!H1323</f>
        <v/>
      </c>
      <c r="G1323">
        <f>BASE_EQUIPOS!M1323</f>
        <v/>
      </c>
      <c r="I1323" t="inlineStr">
        <is>
          <t>01 / 000136</t>
        </is>
      </c>
    </row>
    <row r="1324">
      <c r="A1324">
        <f>TRIM(BASE_EQUIPOS!N1324)</f>
        <v/>
      </c>
      <c r="B1324">
        <f>BASE_EQUIPOS!A1324</f>
        <v/>
      </c>
      <c r="C1324">
        <f>BASE_EQUIPOS!B1324</f>
        <v/>
      </c>
      <c r="D1324">
        <f>BASE_EQUIPOS!D1324</f>
        <v/>
      </c>
      <c r="E1324">
        <f>BASE_EQUIPOS!G1324</f>
        <v/>
      </c>
      <c r="F1324">
        <f>BASE_EQUIPOS!H1324</f>
        <v/>
      </c>
      <c r="G1324">
        <f>BASE_EQUIPOS!M1324</f>
        <v/>
      </c>
      <c r="I1324" t="inlineStr">
        <is>
          <t>02 / 000267</t>
        </is>
      </c>
    </row>
    <row r="1325">
      <c r="A1325">
        <f>TRIM(BASE_EQUIPOS!N1325)</f>
        <v/>
      </c>
      <c r="B1325">
        <f>BASE_EQUIPOS!A1325</f>
        <v/>
      </c>
      <c r="C1325">
        <f>BASE_EQUIPOS!B1325</f>
        <v/>
      </c>
      <c r="D1325">
        <f>BASE_EQUIPOS!D1325</f>
        <v/>
      </c>
      <c r="E1325">
        <f>BASE_EQUIPOS!G1325</f>
        <v/>
      </c>
      <c r="F1325">
        <f>BASE_EQUIPOS!H1325</f>
        <v/>
      </c>
      <c r="G1325">
        <f>BASE_EQUIPOS!M1325</f>
        <v/>
      </c>
      <c r="I1325" t="inlineStr">
        <is>
          <t>03 / 000333</t>
        </is>
      </c>
    </row>
    <row r="1326">
      <c r="A1326">
        <f>TRIM(BASE_EQUIPOS!N1326)</f>
        <v/>
      </c>
      <c r="B1326">
        <f>BASE_EQUIPOS!A1326</f>
        <v/>
      </c>
      <c r="C1326">
        <f>BASE_EQUIPOS!B1326</f>
        <v/>
      </c>
      <c r="D1326">
        <f>BASE_EQUIPOS!D1326</f>
        <v/>
      </c>
      <c r="E1326">
        <f>BASE_EQUIPOS!G1326</f>
        <v/>
      </c>
      <c r="F1326">
        <f>BASE_EQUIPOS!H1326</f>
        <v/>
      </c>
      <c r="G1326">
        <f>BASE_EQUIPOS!M1326</f>
        <v/>
      </c>
      <c r="I1326" t="inlineStr">
        <is>
          <t>04 / 627123</t>
        </is>
      </c>
    </row>
    <row r="1327">
      <c r="A1327">
        <f>TRIM(BASE_EQUIPOS!N1327)</f>
        <v/>
      </c>
      <c r="B1327">
        <f>BASE_EQUIPOS!A1327</f>
        <v/>
      </c>
      <c r="C1327">
        <f>BASE_EQUIPOS!B1327</f>
        <v/>
      </c>
      <c r="D1327">
        <f>BASE_EQUIPOS!D1327</f>
        <v/>
      </c>
      <c r="E1327">
        <f>BASE_EQUIPOS!G1327</f>
        <v/>
      </c>
      <c r="F1327">
        <f>BASE_EQUIPOS!H1327</f>
        <v/>
      </c>
      <c r="G1327">
        <f>BASE_EQUIPOS!M1327</f>
        <v/>
      </c>
      <c r="I1327" t="inlineStr">
        <is>
          <t>05 / 000006</t>
        </is>
      </c>
    </row>
    <row r="1328">
      <c r="A1328">
        <f>TRIM(BASE_EQUIPOS!N1328)</f>
        <v/>
      </c>
      <c r="B1328">
        <f>BASE_EQUIPOS!A1328</f>
        <v/>
      </c>
      <c r="C1328">
        <f>BASE_EQUIPOS!B1328</f>
        <v/>
      </c>
      <c r="D1328">
        <f>BASE_EQUIPOS!D1328</f>
        <v/>
      </c>
      <c r="E1328">
        <f>BASE_EQUIPOS!G1328</f>
        <v/>
      </c>
      <c r="F1328">
        <f>BASE_EQUIPOS!H1328</f>
        <v/>
      </c>
      <c r="G1328">
        <f>BASE_EQUIPOS!M1328</f>
        <v/>
      </c>
      <c r="I1328" t="inlineStr">
        <is>
          <t>06 / 7000659</t>
        </is>
      </c>
    </row>
    <row r="1329">
      <c r="A1329">
        <f>TRIM(BASE_EQUIPOS!N1329)</f>
        <v/>
      </c>
      <c r="B1329">
        <f>BASE_EQUIPOS!A1329</f>
        <v/>
      </c>
      <c r="C1329">
        <f>BASE_EQUIPOS!B1329</f>
        <v/>
      </c>
      <c r="D1329">
        <f>BASE_EQUIPOS!D1329</f>
        <v/>
      </c>
      <c r="E1329">
        <f>BASE_EQUIPOS!G1329</f>
        <v/>
      </c>
      <c r="F1329">
        <f>BASE_EQUIPOS!H1329</f>
        <v/>
      </c>
      <c r="G1329">
        <f>BASE_EQUIPOS!M1329</f>
        <v/>
      </c>
      <c r="I1329" t="inlineStr">
        <is>
          <t>07 / 000289</t>
        </is>
      </c>
    </row>
    <row r="1330">
      <c r="A1330">
        <f>TRIM(BASE_EQUIPOS!N1330)</f>
        <v/>
      </c>
      <c r="B1330">
        <f>BASE_EQUIPOS!A1330</f>
        <v/>
      </c>
      <c r="C1330">
        <f>BASE_EQUIPOS!B1330</f>
        <v/>
      </c>
      <c r="D1330">
        <f>BASE_EQUIPOS!D1330</f>
        <v/>
      </c>
      <c r="E1330">
        <f>BASE_EQUIPOS!G1330</f>
        <v/>
      </c>
      <c r="F1330">
        <f>BASE_EQUIPOS!H1330</f>
        <v/>
      </c>
      <c r="G1330">
        <f>BASE_EQUIPOS!M1330</f>
        <v/>
      </c>
      <c r="I1330" t="inlineStr">
        <is>
          <t>02 / 000715</t>
        </is>
      </c>
    </row>
    <row r="1331">
      <c r="A1331">
        <f>TRIM(BASE_EQUIPOS!N1331)</f>
        <v/>
      </c>
      <c r="B1331">
        <f>BASE_EQUIPOS!A1331</f>
        <v/>
      </c>
      <c r="C1331">
        <f>BASE_EQUIPOS!B1331</f>
        <v/>
      </c>
      <c r="D1331">
        <f>BASE_EQUIPOS!D1331</f>
        <v/>
      </c>
      <c r="E1331">
        <f>BASE_EQUIPOS!G1331</f>
        <v/>
      </c>
      <c r="F1331">
        <f>BASE_EQUIPOS!H1331</f>
        <v/>
      </c>
      <c r="G1331">
        <f>BASE_EQUIPOS!M1331</f>
        <v/>
      </c>
      <c r="I1331" t="inlineStr">
        <is>
          <t>11 / 000338</t>
        </is>
      </c>
    </row>
    <row r="1332">
      <c r="A1332">
        <f>TRIM(BASE_EQUIPOS!N1332)</f>
        <v/>
      </c>
      <c r="B1332">
        <f>BASE_EQUIPOS!A1332</f>
        <v/>
      </c>
      <c r="C1332">
        <f>BASE_EQUIPOS!B1332</f>
        <v/>
      </c>
      <c r="D1332">
        <f>BASE_EQUIPOS!D1332</f>
        <v/>
      </c>
      <c r="E1332">
        <f>BASE_EQUIPOS!G1332</f>
        <v/>
      </c>
      <c r="F1332">
        <f>BASE_EQUIPOS!H1332</f>
        <v/>
      </c>
      <c r="G1332">
        <f>BASE_EQUIPOS!M1332</f>
        <v/>
      </c>
      <c r="I1332" t="inlineStr">
        <is>
          <t>12 / S/N</t>
        </is>
      </c>
    </row>
    <row r="1333">
      <c r="A1333">
        <f>TRIM(BASE_EQUIPOS!N1333)</f>
        <v/>
      </c>
      <c r="B1333">
        <f>BASE_EQUIPOS!A1333</f>
        <v/>
      </c>
      <c r="C1333">
        <f>BASE_EQUIPOS!B1333</f>
        <v/>
      </c>
      <c r="D1333">
        <f>BASE_EQUIPOS!D1333</f>
        <v/>
      </c>
      <c r="E1333">
        <f>BASE_EQUIPOS!G1333</f>
        <v/>
      </c>
      <c r="F1333">
        <f>BASE_EQUIPOS!H1333</f>
        <v/>
      </c>
      <c r="G1333">
        <f>BASE_EQUIPOS!M1333</f>
        <v/>
      </c>
      <c r="I1333" t="inlineStr">
        <is>
          <t>14 / 000077</t>
        </is>
      </c>
    </row>
    <row r="1334">
      <c r="A1334">
        <f>TRIM(BASE_EQUIPOS!N1334)</f>
        <v/>
      </c>
      <c r="B1334">
        <f>BASE_EQUIPOS!A1334</f>
        <v/>
      </c>
      <c r="C1334">
        <f>BASE_EQUIPOS!B1334</f>
        <v/>
      </c>
      <c r="D1334">
        <f>BASE_EQUIPOS!D1334</f>
        <v/>
      </c>
      <c r="E1334">
        <f>BASE_EQUIPOS!G1334</f>
        <v/>
      </c>
      <c r="F1334">
        <f>BASE_EQUIPOS!H1334</f>
        <v/>
      </c>
      <c r="G1334">
        <f>BASE_EQUIPOS!M1334</f>
        <v/>
      </c>
      <c r="I1334" t="inlineStr">
        <is>
          <t>18 / S/N</t>
        </is>
      </c>
    </row>
    <row r="1335">
      <c r="A1335">
        <f>TRIM(BASE_EQUIPOS!N1335)</f>
        <v/>
      </c>
      <c r="B1335">
        <f>BASE_EQUIPOS!A1335</f>
        <v/>
      </c>
      <c r="C1335">
        <f>BASE_EQUIPOS!B1335</f>
        <v/>
      </c>
      <c r="D1335">
        <f>BASE_EQUIPOS!D1335</f>
        <v/>
      </c>
      <c r="E1335">
        <f>BASE_EQUIPOS!G1335</f>
        <v/>
      </c>
      <c r="F1335">
        <f>BASE_EQUIPOS!H1335</f>
        <v/>
      </c>
      <c r="G1335">
        <f>BASE_EQUIPOS!M1335</f>
        <v/>
      </c>
      <c r="I1335" t="inlineStr">
        <is>
          <t>001350</t>
        </is>
      </c>
    </row>
    <row r="1336">
      <c r="A1336">
        <f>TRIM(BASE_EQUIPOS!N1336)</f>
        <v/>
      </c>
      <c r="B1336">
        <f>BASE_EQUIPOS!A1336</f>
        <v/>
      </c>
      <c r="C1336">
        <f>BASE_EQUIPOS!B1336</f>
        <v/>
      </c>
      <c r="D1336">
        <f>BASE_EQUIPOS!D1336</f>
        <v/>
      </c>
      <c r="E1336">
        <f>BASE_EQUIPOS!G1336</f>
        <v/>
      </c>
      <c r="F1336">
        <f>BASE_EQUIPOS!H1336</f>
        <v/>
      </c>
      <c r="G1336">
        <f>BASE_EQUIPOS!M1336</f>
        <v/>
      </c>
      <c r="I1336" t="inlineStr">
        <is>
          <t>01 / 001055</t>
        </is>
      </c>
    </row>
    <row r="1337">
      <c r="A1337">
        <f>TRIM(BASE_EQUIPOS!N1337)</f>
        <v/>
      </c>
      <c r="B1337">
        <f>BASE_EQUIPOS!A1337</f>
        <v/>
      </c>
      <c r="C1337">
        <f>BASE_EQUIPOS!B1337</f>
        <v/>
      </c>
      <c r="D1337">
        <f>BASE_EQUIPOS!D1337</f>
        <v/>
      </c>
      <c r="E1337">
        <f>BASE_EQUIPOS!G1337</f>
        <v/>
      </c>
      <c r="F1337">
        <f>BASE_EQUIPOS!H1337</f>
        <v/>
      </c>
      <c r="G1337">
        <f>BASE_EQUIPOS!M1337</f>
        <v/>
      </c>
      <c r="I1337" t="inlineStr">
        <is>
          <t>02 / 001015</t>
        </is>
      </c>
    </row>
    <row r="1338">
      <c r="A1338">
        <f>TRIM(BASE_EQUIPOS!N1338)</f>
        <v/>
      </c>
      <c r="B1338">
        <f>BASE_EQUIPOS!A1338</f>
        <v/>
      </c>
      <c r="C1338">
        <f>BASE_EQUIPOS!B1338</f>
        <v/>
      </c>
      <c r="D1338">
        <f>BASE_EQUIPOS!D1338</f>
        <v/>
      </c>
      <c r="E1338">
        <f>BASE_EQUIPOS!G1338</f>
        <v/>
      </c>
      <c r="F1338">
        <f>BASE_EQUIPOS!H1338</f>
        <v/>
      </c>
      <c r="G1338">
        <f>BASE_EQUIPOS!M1338</f>
        <v/>
      </c>
      <c r="I1338" t="inlineStr">
        <is>
          <t>03 / 000270</t>
        </is>
      </c>
    </row>
    <row r="1339">
      <c r="A1339">
        <f>TRIM(BASE_EQUIPOS!N1339)</f>
        <v/>
      </c>
      <c r="B1339">
        <f>BASE_EQUIPOS!A1339</f>
        <v/>
      </c>
      <c r="C1339">
        <f>BASE_EQUIPOS!B1339</f>
        <v/>
      </c>
      <c r="D1339">
        <f>BASE_EQUIPOS!D1339</f>
        <v/>
      </c>
      <c r="E1339">
        <f>BASE_EQUIPOS!G1339</f>
        <v/>
      </c>
      <c r="F1339">
        <f>BASE_EQUIPOS!H1339</f>
        <v/>
      </c>
      <c r="G1339">
        <f>BASE_EQUIPOS!M1339</f>
        <v/>
      </c>
      <c r="I1339" t="inlineStr">
        <is>
          <t>04 / 000962</t>
        </is>
      </c>
    </row>
    <row r="1340">
      <c r="A1340">
        <f>TRIM(BASE_EQUIPOS!N1340)</f>
        <v/>
      </c>
      <c r="B1340">
        <f>BASE_EQUIPOS!A1340</f>
        <v/>
      </c>
      <c r="C1340">
        <f>BASE_EQUIPOS!B1340</f>
        <v/>
      </c>
      <c r="D1340">
        <f>BASE_EQUIPOS!D1340</f>
        <v/>
      </c>
      <c r="E1340">
        <f>BASE_EQUIPOS!G1340</f>
        <v/>
      </c>
      <c r="F1340">
        <f>BASE_EQUIPOS!H1340</f>
        <v/>
      </c>
      <c r="G1340">
        <f>BASE_EQUIPOS!M1340</f>
        <v/>
      </c>
      <c r="I1340" t="inlineStr">
        <is>
          <t>05 / 001050</t>
        </is>
      </c>
    </row>
    <row r="1341">
      <c r="A1341">
        <f>TRIM(BASE_EQUIPOS!N1341)</f>
        <v/>
      </c>
      <c r="B1341">
        <f>BASE_EQUIPOS!A1341</f>
        <v/>
      </c>
      <c r="C1341">
        <f>BASE_EQUIPOS!B1341</f>
        <v/>
      </c>
      <c r="D1341">
        <f>BASE_EQUIPOS!D1341</f>
        <v/>
      </c>
      <c r="E1341">
        <f>BASE_EQUIPOS!G1341</f>
        <v/>
      </c>
      <c r="F1341">
        <f>BASE_EQUIPOS!H1341</f>
        <v/>
      </c>
      <c r="G1341">
        <f>BASE_EQUIPOS!M1341</f>
        <v/>
      </c>
      <c r="I1341" t="inlineStr">
        <is>
          <t>06 / 000987</t>
        </is>
      </c>
    </row>
    <row r="1342">
      <c r="A1342">
        <f>TRIM(BASE_EQUIPOS!N1342)</f>
        <v/>
      </c>
      <c r="B1342">
        <f>BASE_EQUIPOS!A1342</f>
        <v/>
      </c>
      <c r="C1342">
        <f>BASE_EQUIPOS!B1342</f>
        <v/>
      </c>
      <c r="D1342">
        <f>BASE_EQUIPOS!D1342</f>
        <v/>
      </c>
      <c r="E1342">
        <f>BASE_EQUIPOS!G1342</f>
        <v/>
      </c>
      <c r="F1342">
        <f>BASE_EQUIPOS!H1342</f>
        <v/>
      </c>
      <c r="G1342">
        <f>BASE_EQUIPOS!M1342</f>
        <v/>
      </c>
      <c r="I1342" t="inlineStr">
        <is>
          <t>07 / 000135</t>
        </is>
      </c>
    </row>
    <row r="1343">
      <c r="A1343">
        <f>TRIM(BASE_EQUIPOS!N1343)</f>
        <v/>
      </c>
      <c r="B1343">
        <f>BASE_EQUIPOS!A1343</f>
        <v/>
      </c>
      <c r="C1343">
        <f>BASE_EQUIPOS!B1343</f>
        <v/>
      </c>
      <c r="D1343">
        <f>BASE_EQUIPOS!D1343</f>
        <v/>
      </c>
      <c r="E1343">
        <f>BASE_EQUIPOS!G1343</f>
        <v/>
      </c>
      <c r="F1343">
        <f>BASE_EQUIPOS!H1343</f>
        <v/>
      </c>
      <c r="G1343">
        <f>BASE_EQUIPOS!M1343</f>
        <v/>
      </c>
      <c r="I1343" t="inlineStr">
        <is>
          <t>08 / 000972</t>
        </is>
      </c>
    </row>
    <row r="1344">
      <c r="A1344">
        <f>TRIM(BASE_EQUIPOS!N1344)</f>
        <v/>
      </c>
      <c r="B1344">
        <f>BASE_EQUIPOS!A1344</f>
        <v/>
      </c>
      <c r="C1344">
        <f>BASE_EQUIPOS!B1344</f>
        <v/>
      </c>
      <c r="D1344">
        <f>BASE_EQUIPOS!D1344</f>
        <v/>
      </c>
      <c r="E1344">
        <f>BASE_EQUIPOS!G1344</f>
        <v/>
      </c>
      <c r="F1344">
        <f>BASE_EQUIPOS!H1344</f>
        <v/>
      </c>
      <c r="G1344">
        <f>BASE_EQUIPOS!M1344</f>
        <v/>
      </c>
      <c r="I1344" t="inlineStr">
        <is>
          <t>09 / 001090</t>
        </is>
      </c>
    </row>
    <row r="1345">
      <c r="A1345">
        <f>TRIM(BASE_EQUIPOS!N1345)</f>
        <v/>
      </c>
      <c r="B1345">
        <f>BASE_EQUIPOS!A1345</f>
        <v/>
      </c>
      <c r="C1345">
        <f>BASE_EQUIPOS!B1345</f>
        <v/>
      </c>
      <c r="D1345">
        <f>BASE_EQUIPOS!D1345</f>
        <v/>
      </c>
      <c r="E1345">
        <f>BASE_EQUIPOS!G1345</f>
        <v/>
      </c>
      <c r="F1345">
        <f>BASE_EQUIPOS!H1345</f>
        <v/>
      </c>
      <c r="G1345">
        <f>BASE_EQUIPOS!M1345</f>
        <v/>
      </c>
      <c r="I1345" t="inlineStr">
        <is>
          <t>50 / 003076</t>
        </is>
      </c>
    </row>
    <row r="1346">
      <c r="A1346">
        <f>TRIM(BASE_EQUIPOS!N1346)</f>
        <v/>
      </c>
      <c r="B1346">
        <f>BASE_EQUIPOS!A1346</f>
        <v/>
      </c>
      <c r="C1346">
        <f>BASE_EQUIPOS!B1346</f>
        <v/>
      </c>
      <c r="D1346">
        <f>BASE_EQUIPOS!D1346</f>
        <v/>
      </c>
      <c r="E1346">
        <f>BASE_EQUIPOS!G1346</f>
        <v/>
      </c>
      <c r="F1346">
        <f>BASE_EQUIPOS!H1346</f>
        <v/>
      </c>
      <c r="G1346">
        <f>BASE_EQUIPOS!M1346</f>
        <v/>
      </c>
      <c r="I1346" t="inlineStr">
        <is>
          <t>197 / 000132</t>
        </is>
      </c>
    </row>
    <row r="1347">
      <c r="A1347">
        <f>TRIM(BASE_EQUIPOS!N1347)</f>
        <v/>
      </c>
      <c r="B1347">
        <f>BASE_EQUIPOS!A1347</f>
        <v/>
      </c>
      <c r="C1347">
        <f>BASE_EQUIPOS!B1347</f>
        <v/>
      </c>
      <c r="D1347">
        <f>BASE_EQUIPOS!D1347</f>
        <v/>
      </c>
      <c r="E1347">
        <f>BASE_EQUIPOS!G1347</f>
        <v/>
      </c>
      <c r="F1347">
        <f>BASE_EQUIPOS!H1347</f>
        <v/>
      </c>
      <c r="G1347">
        <f>BASE_EQUIPOS!M1347</f>
        <v/>
      </c>
      <c r="I1347" t="inlineStr">
        <is>
          <t>158 / 002165</t>
        </is>
      </c>
    </row>
    <row r="1348">
      <c r="A1348">
        <f>TRIM(BASE_EQUIPOS!N1348)</f>
        <v/>
      </c>
      <c r="B1348">
        <f>BASE_EQUIPOS!A1348</f>
        <v/>
      </c>
      <c r="C1348">
        <f>BASE_EQUIPOS!B1348</f>
        <v/>
      </c>
      <c r="D1348">
        <f>BASE_EQUIPOS!D1348</f>
        <v/>
      </c>
      <c r="E1348">
        <f>BASE_EQUIPOS!G1348</f>
        <v/>
      </c>
      <c r="F1348">
        <f>BASE_EQUIPOS!H1348</f>
        <v/>
      </c>
      <c r="G1348">
        <f>BASE_EQUIPOS!M1348</f>
        <v/>
      </c>
      <c r="I1348" t="inlineStr">
        <is>
          <t>53 / 004208</t>
        </is>
      </c>
    </row>
    <row r="1349">
      <c r="A1349">
        <f>TRIM(BASE_EQUIPOS!N1349)</f>
        <v/>
      </c>
      <c r="B1349">
        <f>BASE_EQUIPOS!A1349</f>
        <v/>
      </c>
      <c r="C1349">
        <f>BASE_EQUIPOS!B1349</f>
        <v/>
      </c>
      <c r="D1349">
        <f>BASE_EQUIPOS!D1349</f>
        <v/>
      </c>
      <c r="E1349">
        <f>BASE_EQUIPOS!G1349</f>
        <v/>
      </c>
      <c r="F1349">
        <f>BASE_EQUIPOS!H1349</f>
        <v/>
      </c>
      <c r="G1349">
        <f>BASE_EQUIPOS!M1349</f>
        <v/>
      </c>
      <c r="I1349" t="inlineStr">
        <is>
          <t>244 / 001534</t>
        </is>
      </c>
    </row>
    <row r="1350">
      <c r="A1350">
        <f>TRIM(BASE_EQUIPOS!N1350)</f>
        <v/>
      </c>
      <c r="B1350">
        <f>BASE_EQUIPOS!A1350</f>
        <v/>
      </c>
      <c r="C1350">
        <f>BASE_EQUIPOS!B1350</f>
        <v/>
      </c>
      <c r="D1350">
        <f>BASE_EQUIPOS!D1350</f>
        <v/>
      </c>
      <c r="E1350">
        <f>BASE_EQUIPOS!G1350</f>
        <v/>
      </c>
      <c r="F1350">
        <f>BASE_EQUIPOS!H1350</f>
        <v/>
      </c>
      <c r="G1350">
        <f>BASE_EQUIPOS!M1350</f>
        <v/>
      </c>
      <c r="I1350" t="inlineStr">
        <is>
          <t>361 / 001112</t>
        </is>
      </c>
    </row>
    <row r="1351">
      <c r="A1351">
        <f>TRIM(BASE_EQUIPOS!N1351)</f>
        <v/>
      </c>
      <c r="B1351">
        <f>BASE_EQUIPOS!A1351</f>
        <v/>
      </c>
      <c r="C1351">
        <f>BASE_EQUIPOS!B1351</f>
        <v/>
      </c>
      <c r="D1351">
        <f>BASE_EQUIPOS!D1351</f>
        <v/>
      </c>
      <c r="E1351">
        <f>BASE_EQUIPOS!G1351</f>
        <v/>
      </c>
      <c r="F1351">
        <f>BASE_EQUIPOS!H1351</f>
        <v/>
      </c>
      <c r="G1351">
        <f>BASE_EQUIPOS!M1351</f>
        <v/>
      </c>
      <c r="I1351" t="inlineStr">
        <is>
          <t>173 / 000490</t>
        </is>
      </c>
    </row>
    <row r="1352">
      <c r="A1352">
        <f>TRIM(BASE_EQUIPOS!N1352)</f>
        <v/>
      </c>
      <c r="B1352">
        <f>BASE_EQUIPOS!A1352</f>
        <v/>
      </c>
      <c r="C1352">
        <f>BASE_EQUIPOS!B1352</f>
        <v/>
      </c>
      <c r="D1352">
        <f>BASE_EQUIPOS!D1352</f>
        <v/>
      </c>
      <c r="E1352">
        <f>BASE_EQUIPOS!G1352</f>
        <v/>
      </c>
      <c r="F1352">
        <f>BASE_EQUIPOS!H1352</f>
        <v/>
      </c>
      <c r="G1352">
        <f>BASE_EQUIPOS!M1352</f>
        <v/>
      </c>
      <c r="I1352" t="inlineStr">
        <is>
          <t>330 / 002300</t>
        </is>
      </c>
    </row>
    <row r="1353">
      <c r="A1353">
        <f>TRIM(BASE_EQUIPOS!N1353)</f>
        <v/>
      </c>
      <c r="B1353">
        <f>BASE_EQUIPOS!A1353</f>
        <v/>
      </c>
      <c r="C1353">
        <f>BASE_EQUIPOS!B1353</f>
        <v/>
      </c>
      <c r="D1353">
        <f>BASE_EQUIPOS!D1353</f>
        <v/>
      </c>
      <c r="E1353">
        <f>BASE_EQUIPOS!G1353</f>
        <v/>
      </c>
      <c r="F1353">
        <f>BASE_EQUIPOS!H1353</f>
        <v/>
      </c>
      <c r="G1353">
        <f>BASE_EQUIPOS!M1353</f>
        <v/>
      </c>
      <c r="I1353" t="inlineStr">
        <is>
          <t>55 / 006497</t>
        </is>
      </c>
    </row>
    <row r="1354">
      <c r="A1354">
        <f>TRIM(BASE_EQUIPOS!N1354)</f>
        <v/>
      </c>
      <c r="B1354">
        <f>BASE_EQUIPOS!A1354</f>
        <v/>
      </c>
      <c r="C1354">
        <f>BASE_EQUIPOS!B1354</f>
        <v/>
      </c>
      <c r="D1354">
        <f>BASE_EQUIPOS!D1354</f>
        <v/>
      </c>
      <c r="E1354">
        <f>BASE_EQUIPOS!G1354</f>
        <v/>
      </c>
      <c r="F1354">
        <f>BASE_EQUIPOS!H1354</f>
        <v/>
      </c>
      <c r="G1354">
        <f>BASE_EQUIPOS!M1354</f>
        <v/>
      </c>
      <c r="I1354" t="inlineStr">
        <is>
          <t>SERIE</t>
        </is>
      </c>
    </row>
    <row r="1355">
      <c r="A1355">
        <f>TRIM(BASE_EQUIPOS!N1355)</f>
        <v/>
      </c>
      <c r="B1355">
        <f>BASE_EQUIPOS!A1355</f>
        <v/>
      </c>
      <c r="C1355">
        <f>BASE_EQUIPOS!B1355</f>
        <v/>
      </c>
      <c r="D1355">
        <f>BASE_EQUIPOS!D1355</f>
        <v/>
      </c>
      <c r="E1355">
        <f>BASE_EQUIPOS!G1355</f>
        <v/>
      </c>
      <c r="F1355">
        <f>BASE_EQUIPOS!H1355</f>
        <v/>
      </c>
      <c r="G1355">
        <f>BASE_EQUIPOS!M1355</f>
        <v/>
      </c>
      <c r="I1355" t="inlineStr">
        <is>
          <t>085362</t>
        </is>
      </c>
    </row>
    <row r="1356">
      <c r="A1356">
        <f>TRIM(BASE_EQUIPOS!N1356)</f>
        <v/>
      </c>
      <c r="B1356">
        <f>BASE_EQUIPOS!A1356</f>
        <v/>
      </c>
      <c r="C1356">
        <f>BASE_EQUIPOS!B1356</f>
        <v/>
      </c>
      <c r="D1356">
        <f>BASE_EQUIPOS!D1356</f>
        <v/>
      </c>
      <c r="E1356">
        <f>BASE_EQUIPOS!G1356</f>
        <v/>
      </c>
      <c r="F1356">
        <f>BASE_EQUIPOS!H1356</f>
        <v/>
      </c>
      <c r="G1356">
        <f>BASE_EQUIPOS!M1356</f>
        <v/>
      </c>
      <c r="I1356" t="inlineStr">
        <is>
          <t>002668</t>
        </is>
      </c>
    </row>
    <row r="1357">
      <c r="A1357">
        <f>TRIM(BASE_EQUIPOS!N1357)</f>
        <v/>
      </c>
      <c r="B1357">
        <f>BASE_EQUIPOS!A1357</f>
        <v/>
      </c>
      <c r="C1357">
        <f>BASE_EQUIPOS!B1357</f>
        <v/>
      </c>
      <c r="D1357">
        <f>BASE_EQUIPOS!D1357</f>
        <v/>
      </c>
      <c r="E1357">
        <f>BASE_EQUIPOS!G1357</f>
        <v/>
      </c>
      <c r="F1357">
        <f>BASE_EQUIPOS!H1357</f>
        <v/>
      </c>
      <c r="G1357">
        <f>BASE_EQUIPOS!M1357</f>
        <v/>
      </c>
      <c r="I1357" t="inlineStr">
        <is>
          <t>000229</t>
        </is>
      </c>
    </row>
    <row r="1358">
      <c r="A1358">
        <f>TRIM(BASE_EQUIPOS!N1358)</f>
        <v/>
      </c>
      <c r="B1358">
        <f>BASE_EQUIPOS!A1358</f>
        <v/>
      </c>
      <c r="C1358">
        <f>BASE_EQUIPOS!B1358</f>
        <v/>
      </c>
      <c r="D1358">
        <f>BASE_EQUIPOS!D1358</f>
        <v/>
      </c>
      <c r="E1358">
        <f>BASE_EQUIPOS!G1358</f>
        <v/>
      </c>
      <c r="F1358">
        <f>BASE_EQUIPOS!H1358</f>
        <v/>
      </c>
      <c r="G1358">
        <f>BASE_EQUIPOS!M1358</f>
        <v/>
      </c>
      <c r="I1358" t="inlineStr">
        <is>
          <t>164939</t>
        </is>
      </c>
    </row>
    <row r="1359">
      <c r="A1359">
        <f>TRIM(BASE_EQUIPOS!N1359)</f>
        <v/>
      </c>
      <c r="B1359">
        <f>BASE_EQUIPOS!A1359</f>
        <v/>
      </c>
      <c r="C1359">
        <f>BASE_EQUIPOS!B1359</f>
        <v/>
      </c>
      <c r="D1359">
        <f>BASE_EQUIPOS!D1359</f>
        <v/>
      </c>
      <c r="E1359">
        <f>BASE_EQUIPOS!G1359</f>
        <v/>
      </c>
      <c r="F1359">
        <f>BASE_EQUIPOS!H1359</f>
        <v/>
      </c>
      <c r="G1359">
        <f>BASE_EQUIPOS!M1359</f>
        <v/>
      </c>
      <c r="I1359" t="inlineStr">
        <is>
          <t>140 / 006506</t>
        </is>
      </c>
    </row>
    <row r="1360">
      <c r="A1360">
        <f>TRIM(BASE_EQUIPOS!N1360)</f>
        <v/>
      </c>
      <c r="B1360">
        <f>BASE_EQUIPOS!A1360</f>
        <v/>
      </c>
      <c r="C1360">
        <f>BASE_EQUIPOS!B1360</f>
        <v/>
      </c>
      <c r="D1360">
        <f>BASE_EQUIPOS!D1360</f>
        <v/>
      </c>
      <c r="E1360">
        <f>BASE_EQUIPOS!G1360</f>
        <v/>
      </c>
      <c r="F1360">
        <f>BASE_EQUIPOS!H1360</f>
        <v/>
      </c>
      <c r="G1360">
        <f>BASE_EQUIPOS!M1360</f>
        <v/>
      </c>
      <c r="I1360" t="inlineStr">
        <is>
          <t>198 / 000287</t>
        </is>
      </c>
    </row>
    <row r="1361">
      <c r="A1361">
        <f>TRIM(BASE_EQUIPOS!N1361)</f>
        <v/>
      </c>
      <c r="B1361">
        <f>BASE_EQUIPOS!A1361</f>
        <v/>
      </c>
      <c r="C1361">
        <f>BASE_EQUIPOS!B1361</f>
        <v/>
      </c>
      <c r="D1361">
        <f>BASE_EQUIPOS!D1361</f>
        <v/>
      </c>
      <c r="E1361">
        <f>BASE_EQUIPOS!G1361</f>
        <v/>
      </c>
      <c r="F1361">
        <f>BASE_EQUIPOS!H1361</f>
        <v/>
      </c>
      <c r="G1361">
        <f>BASE_EQUIPOS!M1361</f>
        <v/>
      </c>
      <c r="I1361" t="inlineStr">
        <is>
          <t>56 / 000824</t>
        </is>
      </c>
    </row>
    <row r="1362">
      <c r="A1362">
        <f>TRIM(BASE_EQUIPOS!N1362)</f>
        <v/>
      </c>
      <c r="B1362">
        <f>BASE_EQUIPOS!A1362</f>
        <v/>
      </c>
      <c r="C1362">
        <f>BASE_EQUIPOS!B1362</f>
        <v/>
      </c>
      <c r="D1362">
        <f>BASE_EQUIPOS!D1362</f>
        <v/>
      </c>
      <c r="E1362">
        <f>BASE_EQUIPOS!G1362</f>
        <v/>
      </c>
      <c r="F1362">
        <f>BASE_EQUIPOS!H1362</f>
        <v/>
      </c>
      <c r="G1362">
        <f>BASE_EQUIPOS!M1362</f>
        <v/>
      </c>
      <c r="I1362" t="inlineStr">
        <is>
          <t>57 / 001537</t>
        </is>
      </c>
    </row>
    <row r="1363">
      <c r="A1363">
        <f>TRIM(BASE_EQUIPOS!N1363)</f>
        <v/>
      </c>
      <c r="B1363">
        <f>BASE_EQUIPOS!A1363</f>
        <v/>
      </c>
      <c r="C1363">
        <f>BASE_EQUIPOS!B1363</f>
        <v/>
      </c>
      <c r="D1363">
        <f>BASE_EQUIPOS!D1363</f>
        <v/>
      </c>
      <c r="E1363">
        <f>BASE_EQUIPOS!G1363</f>
        <v/>
      </c>
      <c r="F1363">
        <f>BASE_EQUIPOS!H1363</f>
        <v/>
      </c>
      <c r="G1363">
        <f>BASE_EQUIPOS!M1363</f>
        <v/>
      </c>
      <c r="I1363" t="inlineStr">
        <is>
          <t>273 / 000598</t>
        </is>
      </c>
    </row>
    <row r="1364">
      <c r="A1364">
        <f>TRIM(BASE_EQUIPOS!N1364)</f>
        <v/>
      </c>
      <c r="B1364">
        <f>BASE_EQUIPOS!A1364</f>
        <v/>
      </c>
      <c r="C1364">
        <f>BASE_EQUIPOS!B1364</f>
        <v/>
      </c>
      <c r="D1364">
        <f>BASE_EQUIPOS!D1364</f>
        <v/>
      </c>
      <c r="E1364">
        <f>BASE_EQUIPOS!G1364</f>
        <v/>
      </c>
      <c r="F1364">
        <f>BASE_EQUIPOS!H1364</f>
        <v/>
      </c>
      <c r="G1364">
        <f>BASE_EQUIPOS!M1364</f>
        <v/>
      </c>
      <c r="I1364" t="inlineStr">
        <is>
          <t>03 / 000938</t>
        </is>
      </c>
    </row>
    <row r="1365">
      <c r="A1365">
        <f>TRIM(BASE_EQUIPOS!N1365)</f>
        <v/>
      </c>
      <c r="B1365">
        <f>BASE_EQUIPOS!A1365</f>
        <v/>
      </c>
      <c r="C1365">
        <f>BASE_EQUIPOS!B1365</f>
        <v/>
      </c>
      <c r="D1365">
        <f>BASE_EQUIPOS!D1365</f>
        <v/>
      </c>
      <c r="E1365">
        <f>BASE_EQUIPOS!G1365</f>
        <v/>
      </c>
      <c r="F1365">
        <f>BASE_EQUIPOS!H1365</f>
        <v/>
      </c>
      <c r="G1365">
        <f>BASE_EQUIPOS!M1365</f>
        <v/>
      </c>
      <c r="I1365" t="inlineStr">
        <is>
          <t>338 / 000727</t>
        </is>
      </c>
    </row>
    <row r="1366">
      <c r="A1366">
        <f>TRIM(BASE_EQUIPOS!N1366)</f>
        <v/>
      </c>
      <c r="B1366">
        <f>BASE_EQUIPOS!A1366</f>
        <v/>
      </c>
      <c r="C1366">
        <f>BASE_EQUIPOS!B1366</f>
        <v/>
      </c>
      <c r="D1366">
        <f>BASE_EQUIPOS!D1366</f>
        <v/>
      </c>
      <c r="E1366">
        <f>BASE_EQUIPOS!G1366</f>
        <v/>
      </c>
      <c r="F1366">
        <f>BASE_EQUIPOS!H1366</f>
        <v/>
      </c>
      <c r="G1366">
        <f>BASE_EQUIPOS!M1366</f>
        <v/>
      </c>
      <c r="I1366" t="inlineStr">
        <is>
          <t>63 / 002071</t>
        </is>
      </c>
    </row>
    <row r="1367">
      <c r="A1367">
        <f>TRIM(BASE_EQUIPOS!N1367)</f>
        <v/>
      </c>
      <c r="B1367">
        <f>BASE_EQUIPOS!A1367</f>
        <v/>
      </c>
      <c r="C1367">
        <f>BASE_EQUIPOS!B1367</f>
        <v/>
      </c>
      <c r="D1367">
        <f>BASE_EQUIPOS!D1367</f>
        <v/>
      </c>
      <c r="E1367">
        <f>BASE_EQUIPOS!G1367</f>
        <v/>
      </c>
      <c r="F1367">
        <f>BASE_EQUIPOS!H1367</f>
        <v/>
      </c>
      <c r="G1367">
        <f>BASE_EQUIPOS!M1367</f>
        <v/>
      </c>
      <c r="I1367" t="inlineStr">
        <is>
          <t>101 / 000383</t>
        </is>
      </c>
    </row>
    <row r="1368">
      <c r="A1368">
        <f>TRIM(BASE_EQUIPOS!N1368)</f>
        <v/>
      </c>
      <c r="B1368">
        <f>BASE_EQUIPOS!A1368</f>
        <v/>
      </c>
      <c r="C1368">
        <f>BASE_EQUIPOS!B1368</f>
        <v/>
      </c>
      <c r="D1368">
        <f>BASE_EQUIPOS!D1368</f>
        <v/>
      </c>
      <c r="E1368">
        <f>BASE_EQUIPOS!G1368</f>
        <v/>
      </c>
      <c r="F1368">
        <f>BASE_EQUIPOS!H1368</f>
        <v/>
      </c>
      <c r="G1368">
        <f>BASE_EQUIPOS!M1368</f>
        <v/>
      </c>
      <c r="I1368" t="inlineStr">
        <is>
          <t>001662</t>
        </is>
      </c>
    </row>
    <row r="1369">
      <c r="A1369">
        <f>TRIM(BASE_EQUIPOS!N1369)</f>
        <v/>
      </c>
      <c r="B1369">
        <f>BASE_EQUIPOS!A1369</f>
        <v/>
      </c>
      <c r="C1369">
        <f>BASE_EQUIPOS!B1369</f>
        <v/>
      </c>
      <c r="D1369">
        <f>BASE_EQUIPOS!D1369</f>
        <v/>
      </c>
      <c r="E1369">
        <f>BASE_EQUIPOS!G1369</f>
        <v/>
      </c>
      <c r="F1369">
        <f>BASE_EQUIPOS!H1369</f>
        <v/>
      </c>
      <c r="G1369">
        <f>BASE_EQUIPOS!M1369</f>
        <v/>
      </c>
      <c r="I1369" t="inlineStr">
        <is>
          <t>01 / 010620</t>
        </is>
      </c>
    </row>
    <row r="1370">
      <c r="A1370">
        <f>TRIM(BASE_EQUIPOS!N1370)</f>
        <v/>
      </c>
      <c r="B1370">
        <f>BASE_EQUIPOS!A1370</f>
        <v/>
      </c>
      <c r="C1370">
        <f>BASE_EQUIPOS!B1370</f>
        <v/>
      </c>
      <c r="D1370">
        <f>BASE_EQUIPOS!D1370</f>
        <v/>
      </c>
      <c r="E1370">
        <f>BASE_EQUIPOS!G1370</f>
        <v/>
      </c>
      <c r="F1370">
        <f>BASE_EQUIPOS!H1370</f>
        <v/>
      </c>
      <c r="G1370">
        <f>BASE_EQUIPOS!M1370</f>
        <v/>
      </c>
      <c r="I1370" t="inlineStr">
        <is>
          <t>02 / 010762</t>
        </is>
      </c>
    </row>
    <row r="1371">
      <c r="A1371">
        <f>TRIM(BASE_EQUIPOS!N1371)</f>
        <v/>
      </c>
      <c r="B1371">
        <f>BASE_EQUIPOS!A1371</f>
        <v/>
      </c>
      <c r="C1371">
        <f>BASE_EQUIPOS!B1371</f>
        <v/>
      </c>
      <c r="D1371">
        <f>BASE_EQUIPOS!D1371</f>
        <v/>
      </c>
      <c r="E1371">
        <f>BASE_EQUIPOS!G1371</f>
        <v/>
      </c>
      <c r="F1371">
        <f>BASE_EQUIPOS!H1371</f>
        <v/>
      </c>
      <c r="G1371">
        <f>BASE_EQUIPOS!M1371</f>
        <v/>
      </c>
      <c r="I1371" t="inlineStr">
        <is>
          <t>03 / 010734</t>
        </is>
      </c>
    </row>
    <row r="1372">
      <c r="A1372">
        <f>TRIM(BASE_EQUIPOS!N1372)</f>
        <v/>
      </c>
      <c r="B1372">
        <f>BASE_EQUIPOS!A1372</f>
        <v/>
      </c>
      <c r="C1372">
        <f>BASE_EQUIPOS!B1372</f>
        <v/>
      </c>
      <c r="D1372">
        <f>BASE_EQUIPOS!D1372</f>
        <v/>
      </c>
      <c r="E1372">
        <f>BASE_EQUIPOS!G1372</f>
        <v/>
      </c>
      <c r="F1372">
        <f>BASE_EQUIPOS!H1372</f>
        <v/>
      </c>
      <c r="G1372">
        <f>BASE_EQUIPOS!M1372</f>
        <v/>
      </c>
      <c r="I1372" t="inlineStr">
        <is>
          <t>04 / 010624</t>
        </is>
      </c>
    </row>
    <row r="1373">
      <c r="A1373">
        <f>TRIM(BASE_EQUIPOS!N1373)</f>
        <v/>
      </c>
      <c r="B1373">
        <f>BASE_EQUIPOS!A1373</f>
        <v/>
      </c>
      <c r="C1373">
        <f>BASE_EQUIPOS!B1373</f>
        <v/>
      </c>
      <c r="D1373">
        <f>BASE_EQUIPOS!D1373</f>
        <v/>
      </c>
      <c r="E1373">
        <f>BASE_EQUIPOS!G1373</f>
        <v/>
      </c>
      <c r="F1373">
        <f>BASE_EQUIPOS!H1373</f>
        <v/>
      </c>
      <c r="G1373">
        <f>BASE_EQUIPOS!M1373</f>
        <v/>
      </c>
      <c r="I1373" t="inlineStr">
        <is>
          <t>64 / 000054</t>
        </is>
      </c>
    </row>
    <row r="1374">
      <c r="A1374">
        <f>TRIM(BASE_EQUIPOS!N1374)</f>
        <v/>
      </c>
      <c r="B1374">
        <f>BASE_EQUIPOS!A1374</f>
        <v/>
      </c>
      <c r="C1374">
        <f>BASE_EQUIPOS!B1374</f>
        <v/>
      </c>
      <c r="D1374">
        <f>BASE_EQUIPOS!D1374</f>
        <v/>
      </c>
      <c r="E1374">
        <f>BASE_EQUIPOS!G1374</f>
        <v/>
      </c>
      <c r="F1374">
        <f>BASE_EQUIPOS!H1374</f>
        <v/>
      </c>
      <c r="G1374">
        <f>BASE_EQUIPOS!M1374</f>
        <v/>
      </c>
      <c r="I1374" t="inlineStr">
        <is>
          <t>67 / 001573</t>
        </is>
      </c>
    </row>
    <row r="1375">
      <c r="A1375">
        <f>TRIM(BASE_EQUIPOS!N1375)</f>
        <v/>
      </c>
      <c r="B1375">
        <f>BASE_EQUIPOS!A1375</f>
        <v/>
      </c>
      <c r="C1375">
        <f>BASE_EQUIPOS!B1375</f>
        <v/>
      </c>
      <c r="D1375">
        <f>BASE_EQUIPOS!D1375</f>
        <v/>
      </c>
      <c r="E1375">
        <f>BASE_EQUIPOS!G1375</f>
        <v/>
      </c>
      <c r="F1375">
        <f>BASE_EQUIPOS!H1375</f>
        <v/>
      </c>
      <c r="G1375">
        <f>BASE_EQUIPOS!M1375</f>
        <v/>
      </c>
      <c r="I1375" t="inlineStr">
        <is>
          <t>209 / 000877</t>
        </is>
      </c>
    </row>
    <row r="1376">
      <c r="A1376">
        <f>TRIM(BASE_EQUIPOS!N1376)</f>
        <v/>
      </c>
      <c r="B1376">
        <f>BASE_EQUIPOS!A1376</f>
        <v/>
      </c>
      <c r="C1376">
        <f>BASE_EQUIPOS!B1376</f>
        <v/>
      </c>
      <c r="D1376">
        <f>BASE_EQUIPOS!D1376</f>
        <v/>
      </c>
      <c r="E1376">
        <f>BASE_EQUIPOS!G1376</f>
        <v/>
      </c>
      <c r="F1376">
        <f>BASE_EQUIPOS!H1376</f>
        <v/>
      </c>
      <c r="G1376">
        <f>BASE_EQUIPOS!M1376</f>
        <v/>
      </c>
      <c r="I1376" t="inlineStr">
        <is>
          <t>68 / 000506</t>
        </is>
      </c>
    </row>
    <row r="1377">
      <c r="A1377">
        <f>TRIM(BASE_EQUIPOS!N1377)</f>
        <v/>
      </c>
      <c r="B1377">
        <f>BASE_EQUIPOS!A1377</f>
        <v/>
      </c>
      <c r="C1377">
        <f>BASE_EQUIPOS!B1377</f>
        <v/>
      </c>
      <c r="D1377">
        <f>BASE_EQUIPOS!D1377</f>
        <v/>
      </c>
      <c r="E1377">
        <f>BASE_EQUIPOS!G1377</f>
        <v/>
      </c>
      <c r="F1377">
        <f>BASE_EQUIPOS!H1377</f>
        <v/>
      </c>
      <c r="G1377">
        <f>BASE_EQUIPOS!M1377</f>
        <v/>
      </c>
      <c r="I1377" t="inlineStr">
        <is>
          <t>204 / 000054</t>
        </is>
      </c>
    </row>
    <row r="1378">
      <c r="A1378">
        <f>TRIM(BASE_EQUIPOS!N1378)</f>
        <v/>
      </c>
      <c r="B1378">
        <f>BASE_EQUIPOS!A1378</f>
        <v/>
      </c>
      <c r="C1378">
        <f>BASE_EQUIPOS!B1378</f>
        <v/>
      </c>
      <c r="D1378">
        <f>BASE_EQUIPOS!D1378</f>
        <v/>
      </c>
      <c r="E1378">
        <f>BASE_EQUIPOS!G1378</f>
        <v/>
      </c>
      <c r="F1378">
        <f>BASE_EQUIPOS!H1378</f>
        <v/>
      </c>
      <c r="G1378">
        <f>BASE_EQUIPOS!M1378</f>
        <v/>
      </c>
      <c r="I1378" t="inlineStr">
        <is>
          <t>70 / 000005</t>
        </is>
      </c>
    </row>
    <row r="1379">
      <c r="A1379">
        <f>TRIM(BASE_EQUIPOS!N1379)</f>
        <v/>
      </c>
      <c r="B1379">
        <f>BASE_EQUIPOS!A1379</f>
        <v/>
      </c>
      <c r="C1379">
        <f>BASE_EQUIPOS!B1379</f>
        <v/>
      </c>
      <c r="D1379">
        <f>BASE_EQUIPOS!D1379</f>
        <v/>
      </c>
      <c r="E1379">
        <f>BASE_EQUIPOS!G1379</f>
        <v/>
      </c>
      <c r="F1379">
        <f>BASE_EQUIPOS!H1379</f>
        <v/>
      </c>
      <c r="G1379">
        <f>BASE_EQUIPOS!M1379</f>
        <v/>
      </c>
      <c r="I1379" t="inlineStr">
        <is>
          <t>71 / 000039</t>
        </is>
      </c>
    </row>
    <row r="1380">
      <c r="A1380">
        <f>TRIM(BASE_EQUIPOS!N1380)</f>
        <v/>
      </c>
      <c r="B1380">
        <f>BASE_EQUIPOS!A1380</f>
        <v/>
      </c>
      <c r="C1380">
        <f>BASE_EQUIPOS!B1380</f>
        <v/>
      </c>
      <c r="D1380">
        <f>BASE_EQUIPOS!D1380</f>
        <v/>
      </c>
      <c r="E1380">
        <f>BASE_EQUIPOS!G1380</f>
        <v/>
      </c>
      <c r="F1380">
        <f>BASE_EQUIPOS!H1380</f>
        <v/>
      </c>
      <c r="G1380">
        <f>BASE_EQUIPOS!M1380</f>
        <v/>
      </c>
      <c r="I1380" t="inlineStr">
        <is>
          <t>277 / 001108</t>
        </is>
      </c>
    </row>
    <row r="1381">
      <c r="A1381">
        <f>TRIM(BASE_EQUIPOS!N1381)</f>
        <v/>
      </c>
      <c r="B1381">
        <f>BASE_EQUIPOS!A1381</f>
        <v/>
      </c>
      <c r="C1381">
        <f>BASE_EQUIPOS!B1381</f>
        <v/>
      </c>
      <c r="D1381">
        <f>BASE_EQUIPOS!D1381</f>
        <v/>
      </c>
      <c r="E1381">
        <f>BASE_EQUIPOS!G1381</f>
        <v/>
      </c>
      <c r="F1381">
        <f>BASE_EQUIPOS!H1381</f>
        <v/>
      </c>
      <c r="G1381">
        <f>BASE_EQUIPOS!M1381</f>
        <v/>
      </c>
      <c r="I1381" t="inlineStr">
        <is>
          <t>72 / 000966</t>
        </is>
      </c>
    </row>
    <row r="1382">
      <c r="A1382">
        <f>TRIM(BASE_EQUIPOS!N1382)</f>
        <v/>
      </c>
      <c r="B1382">
        <f>BASE_EQUIPOS!A1382</f>
        <v/>
      </c>
      <c r="C1382">
        <f>BASE_EQUIPOS!B1382</f>
        <v/>
      </c>
      <c r="D1382">
        <f>BASE_EQUIPOS!D1382</f>
        <v/>
      </c>
      <c r="E1382">
        <f>BASE_EQUIPOS!G1382</f>
        <v/>
      </c>
      <c r="F1382">
        <f>BASE_EQUIPOS!H1382</f>
        <v/>
      </c>
      <c r="G1382">
        <f>BASE_EQUIPOS!M1382</f>
        <v/>
      </c>
      <c r="I1382" t="inlineStr">
        <is>
          <t>000664</t>
        </is>
      </c>
    </row>
    <row r="1383">
      <c r="A1383">
        <f>TRIM(BASE_EQUIPOS!N1383)</f>
        <v/>
      </c>
      <c r="B1383">
        <f>BASE_EQUIPOS!A1383</f>
        <v/>
      </c>
      <c r="C1383">
        <f>BASE_EQUIPOS!B1383</f>
        <v/>
      </c>
      <c r="D1383">
        <f>BASE_EQUIPOS!D1383</f>
        <v/>
      </c>
      <c r="E1383">
        <f>BASE_EQUIPOS!G1383</f>
        <v/>
      </c>
      <c r="F1383">
        <f>BASE_EQUIPOS!H1383</f>
        <v/>
      </c>
      <c r="G1383">
        <f>BASE_EQUIPOS!M1383</f>
        <v/>
      </c>
      <c r="I1383" t="inlineStr">
        <is>
          <t>19 / 002492</t>
        </is>
      </c>
    </row>
    <row r="1384">
      <c r="A1384">
        <f>TRIM(BASE_EQUIPOS!N1384)</f>
        <v/>
      </c>
      <c r="B1384">
        <f>BASE_EQUIPOS!A1384</f>
        <v/>
      </c>
      <c r="C1384">
        <f>BASE_EQUIPOS!B1384</f>
        <v/>
      </c>
      <c r="D1384">
        <f>BASE_EQUIPOS!D1384</f>
        <v/>
      </c>
      <c r="E1384">
        <f>BASE_EQUIPOS!G1384</f>
        <v/>
      </c>
      <c r="F1384">
        <f>BASE_EQUIPOS!H1384</f>
        <v/>
      </c>
      <c r="G1384">
        <f>BASE_EQUIPOS!M1384</f>
        <v/>
      </c>
      <c r="I1384" t="inlineStr">
        <is>
          <t>21 / 002016</t>
        </is>
      </c>
    </row>
    <row r="1385">
      <c r="A1385">
        <f>TRIM(BASE_EQUIPOS!N1385)</f>
        <v/>
      </c>
      <c r="B1385">
        <f>BASE_EQUIPOS!A1385</f>
        <v/>
      </c>
      <c r="C1385">
        <f>BASE_EQUIPOS!B1385</f>
        <v/>
      </c>
      <c r="D1385">
        <f>BASE_EQUIPOS!D1385</f>
        <v/>
      </c>
      <c r="E1385">
        <f>BASE_EQUIPOS!G1385</f>
        <v/>
      </c>
      <c r="F1385">
        <f>BASE_EQUIPOS!H1385</f>
        <v/>
      </c>
      <c r="G1385">
        <f>BASE_EQUIPOS!M1385</f>
        <v/>
      </c>
      <c r="I1385" t="inlineStr">
        <is>
          <t>S/N / 005887</t>
        </is>
      </c>
    </row>
    <row r="1386">
      <c r="A1386">
        <f>TRIM(BASE_EQUIPOS!N1386)</f>
        <v/>
      </c>
      <c r="B1386">
        <f>BASE_EQUIPOS!A1386</f>
        <v/>
      </c>
      <c r="C1386">
        <f>BASE_EQUIPOS!B1386</f>
        <v/>
      </c>
      <c r="D1386">
        <f>BASE_EQUIPOS!D1386</f>
        <v/>
      </c>
      <c r="E1386">
        <f>BASE_EQUIPOS!G1386</f>
        <v/>
      </c>
      <c r="F1386">
        <f>BASE_EQUIPOS!H1386</f>
        <v/>
      </c>
      <c r="G1386">
        <f>BASE_EQUIPOS!M1386</f>
        <v/>
      </c>
      <c r="I1386" t="inlineStr">
        <is>
          <t>10 / 002455</t>
        </is>
      </c>
    </row>
    <row r="1387">
      <c r="A1387">
        <f>TRIM(BASE_EQUIPOS!N1387)</f>
        <v/>
      </c>
      <c r="B1387">
        <f>BASE_EQUIPOS!A1387</f>
        <v/>
      </c>
      <c r="C1387">
        <f>BASE_EQUIPOS!B1387</f>
        <v/>
      </c>
      <c r="D1387">
        <f>BASE_EQUIPOS!D1387</f>
        <v/>
      </c>
      <c r="E1387">
        <f>BASE_EQUIPOS!G1387</f>
        <v/>
      </c>
      <c r="F1387">
        <f>BASE_EQUIPOS!H1387</f>
        <v/>
      </c>
      <c r="G1387">
        <f>BASE_EQUIPOS!M1387</f>
        <v/>
      </c>
      <c r="I1387" t="inlineStr">
        <is>
          <t>S/N / 000645</t>
        </is>
      </c>
    </row>
    <row r="1388">
      <c r="A1388">
        <f>TRIM(BASE_EQUIPOS!N1388)</f>
        <v/>
      </c>
      <c r="B1388">
        <f>BASE_EQUIPOS!A1388</f>
        <v/>
      </c>
      <c r="C1388">
        <f>BASE_EQUIPOS!B1388</f>
        <v/>
      </c>
      <c r="D1388">
        <f>BASE_EQUIPOS!D1388</f>
        <v/>
      </c>
      <c r="E1388">
        <f>BASE_EQUIPOS!G1388</f>
        <v/>
      </c>
      <c r="F1388">
        <f>BASE_EQUIPOS!H1388</f>
        <v/>
      </c>
      <c r="G1388">
        <f>BASE_EQUIPOS!M1388</f>
        <v/>
      </c>
      <c r="I1388" t="inlineStr">
        <is>
          <t>S/N / 000008</t>
        </is>
      </c>
    </row>
    <row r="1389">
      <c r="A1389">
        <f>TRIM(BASE_EQUIPOS!N1389)</f>
        <v/>
      </c>
      <c r="B1389">
        <f>BASE_EQUIPOS!A1389</f>
        <v/>
      </c>
      <c r="C1389">
        <f>BASE_EQUIPOS!B1389</f>
        <v/>
      </c>
      <c r="D1389">
        <f>BASE_EQUIPOS!D1389</f>
        <v/>
      </c>
      <c r="E1389">
        <f>BASE_EQUIPOS!G1389</f>
        <v/>
      </c>
      <c r="F1389">
        <f>BASE_EQUIPOS!H1389</f>
        <v/>
      </c>
      <c r="G1389">
        <f>BASE_EQUIPOS!M1389</f>
        <v/>
      </c>
      <c r="I1389" t="inlineStr">
        <is>
          <t>216 / 000241</t>
        </is>
      </c>
    </row>
    <row r="1390">
      <c r="A1390">
        <f>TRIM(BASE_EQUIPOS!N1390)</f>
        <v/>
      </c>
      <c r="B1390">
        <f>BASE_EQUIPOS!A1390</f>
        <v/>
      </c>
      <c r="C1390">
        <f>BASE_EQUIPOS!B1390</f>
        <v/>
      </c>
      <c r="D1390">
        <f>BASE_EQUIPOS!D1390</f>
        <v/>
      </c>
      <c r="E1390">
        <f>BASE_EQUIPOS!G1390</f>
        <v/>
      </c>
      <c r="F1390">
        <f>BASE_EQUIPOS!H1390</f>
        <v/>
      </c>
      <c r="G1390">
        <f>BASE_EQUIPOS!M1390</f>
        <v/>
      </c>
      <c r="I1390" t="inlineStr">
        <is>
          <t>001041</t>
        </is>
      </c>
    </row>
    <row r="1391">
      <c r="A1391">
        <f>TRIM(BASE_EQUIPOS!N1391)</f>
        <v/>
      </c>
      <c r="B1391">
        <f>BASE_EQUIPOS!A1391</f>
        <v/>
      </c>
      <c r="C1391">
        <f>BASE_EQUIPOS!B1391</f>
        <v/>
      </c>
      <c r="D1391">
        <f>BASE_EQUIPOS!D1391</f>
        <v/>
      </c>
      <c r="E1391">
        <f>BASE_EQUIPOS!G1391</f>
        <v/>
      </c>
      <c r="F1391">
        <f>BASE_EQUIPOS!H1391</f>
        <v/>
      </c>
      <c r="G1391">
        <f>BASE_EQUIPOS!M1391</f>
        <v/>
      </c>
      <c r="I1391" t="inlineStr">
        <is>
          <t>296 / 001459</t>
        </is>
      </c>
    </row>
    <row r="1392">
      <c r="A1392">
        <f>TRIM(BASE_EQUIPOS!N1392)</f>
        <v/>
      </c>
      <c r="B1392">
        <f>BASE_EQUIPOS!A1392</f>
        <v/>
      </c>
      <c r="C1392">
        <f>BASE_EQUIPOS!B1392</f>
        <v/>
      </c>
      <c r="D1392">
        <f>BASE_EQUIPOS!D1392</f>
        <v/>
      </c>
      <c r="E1392">
        <f>BASE_EQUIPOS!G1392</f>
        <v/>
      </c>
      <c r="F1392">
        <f>BASE_EQUIPOS!H1392</f>
        <v/>
      </c>
      <c r="G1392">
        <f>BASE_EQUIPOS!M1392</f>
        <v/>
      </c>
      <c r="I1392" t="inlineStr">
        <is>
          <t>214 / 001243</t>
        </is>
      </c>
    </row>
    <row r="1393">
      <c r="A1393">
        <f>TRIM(BASE_EQUIPOS!N1393)</f>
        <v/>
      </c>
      <c r="B1393">
        <f>BASE_EQUIPOS!A1393</f>
        <v/>
      </c>
      <c r="C1393">
        <f>BASE_EQUIPOS!B1393</f>
        <v/>
      </c>
      <c r="D1393">
        <f>BASE_EQUIPOS!D1393</f>
        <v/>
      </c>
      <c r="E1393">
        <f>BASE_EQUIPOS!G1393</f>
        <v/>
      </c>
      <c r="F1393">
        <f>BASE_EQUIPOS!H1393</f>
        <v/>
      </c>
      <c r="G1393">
        <f>BASE_EQUIPOS!M1393</f>
        <v/>
      </c>
      <c r="I1393" t="inlineStr">
        <is>
          <t>211 / 000005</t>
        </is>
      </c>
    </row>
    <row r="1394">
      <c r="A1394">
        <f>TRIM(BASE_EQUIPOS!N1394)</f>
        <v/>
      </c>
      <c r="B1394">
        <f>BASE_EQUIPOS!A1394</f>
        <v/>
      </c>
      <c r="C1394">
        <f>BASE_EQUIPOS!B1394</f>
        <v/>
      </c>
      <c r="D1394">
        <f>BASE_EQUIPOS!D1394</f>
        <v/>
      </c>
      <c r="E1394">
        <f>BASE_EQUIPOS!G1394</f>
        <v/>
      </c>
      <c r="F1394">
        <f>BASE_EQUIPOS!H1394</f>
        <v/>
      </c>
      <c r="G1394">
        <f>BASE_EQUIPOS!M1394</f>
        <v/>
      </c>
      <c r="I1394" t="inlineStr">
        <is>
          <t>102 / 000005</t>
        </is>
      </c>
    </row>
    <row r="1395">
      <c r="A1395">
        <f>TRIM(BASE_EQUIPOS!N1395)</f>
        <v/>
      </c>
      <c r="B1395">
        <f>BASE_EQUIPOS!A1395</f>
        <v/>
      </c>
      <c r="C1395">
        <f>BASE_EQUIPOS!B1395</f>
        <v/>
      </c>
      <c r="D1395">
        <f>BASE_EQUIPOS!D1395</f>
        <v/>
      </c>
      <c r="E1395">
        <f>BASE_EQUIPOS!G1395</f>
        <v/>
      </c>
      <c r="F1395">
        <f>BASE_EQUIPOS!H1395</f>
        <v/>
      </c>
      <c r="G1395">
        <f>BASE_EQUIPOS!M1395</f>
        <v/>
      </c>
      <c r="I1395" t="inlineStr">
        <is>
          <t>107 / 000942</t>
        </is>
      </c>
    </row>
    <row r="1396">
      <c r="A1396">
        <f>TRIM(BASE_EQUIPOS!N1396)</f>
        <v/>
      </c>
      <c r="B1396">
        <f>BASE_EQUIPOS!A1396</f>
        <v/>
      </c>
      <c r="C1396">
        <f>BASE_EQUIPOS!B1396</f>
        <v/>
      </c>
      <c r="D1396">
        <f>BASE_EQUIPOS!D1396</f>
        <v/>
      </c>
      <c r="E1396">
        <f>BASE_EQUIPOS!G1396</f>
        <v/>
      </c>
      <c r="F1396">
        <f>BASE_EQUIPOS!H1396</f>
        <v/>
      </c>
      <c r="G1396">
        <f>BASE_EQUIPOS!M1396</f>
        <v/>
      </c>
      <c r="I1396" t="inlineStr">
        <is>
          <t>254 / 000988</t>
        </is>
      </c>
    </row>
    <row r="1397">
      <c r="A1397">
        <f>TRIM(BASE_EQUIPOS!N1397)</f>
        <v/>
      </c>
      <c r="B1397">
        <f>BASE_EQUIPOS!A1397</f>
        <v/>
      </c>
      <c r="C1397">
        <f>BASE_EQUIPOS!B1397</f>
        <v/>
      </c>
      <c r="D1397">
        <f>BASE_EQUIPOS!D1397</f>
        <v/>
      </c>
      <c r="E1397">
        <f>BASE_EQUIPOS!G1397</f>
        <v/>
      </c>
      <c r="F1397">
        <f>BASE_EQUIPOS!H1397</f>
        <v/>
      </c>
      <c r="G1397">
        <f>BASE_EQUIPOS!M1397</f>
        <v/>
      </c>
      <c r="I1397" t="inlineStr">
        <is>
          <t>109 / 000254</t>
        </is>
      </c>
    </row>
    <row r="1398">
      <c r="A1398">
        <f>TRIM(BASE_EQUIPOS!N1398)</f>
        <v/>
      </c>
      <c r="B1398">
        <f>BASE_EQUIPOS!A1398</f>
        <v/>
      </c>
      <c r="C1398">
        <f>BASE_EQUIPOS!B1398</f>
        <v/>
      </c>
      <c r="D1398">
        <f>BASE_EQUIPOS!D1398</f>
        <v/>
      </c>
      <c r="E1398">
        <f>BASE_EQUIPOS!G1398</f>
        <v/>
      </c>
      <c r="F1398">
        <f>BASE_EQUIPOS!H1398</f>
        <v/>
      </c>
      <c r="G1398">
        <f>BASE_EQUIPOS!M1398</f>
        <v/>
      </c>
      <c r="I1398" t="inlineStr">
        <is>
          <t>002987</t>
        </is>
      </c>
    </row>
    <row r="1399">
      <c r="A1399">
        <f>TRIM(BASE_EQUIPOS!N1399)</f>
        <v/>
      </c>
      <c r="B1399">
        <f>BASE_EQUIPOS!A1399</f>
        <v/>
      </c>
      <c r="C1399">
        <f>BASE_EQUIPOS!B1399</f>
        <v/>
      </c>
      <c r="D1399">
        <f>BASE_EQUIPOS!D1399</f>
        <v/>
      </c>
      <c r="E1399">
        <f>BASE_EQUIPOS!G1399</f>
        <v/>
      </c>
      <c r="F1399">
        <f>BASE_EQUIPOS!H1399</f>
        <v/>
      </c>
      <c r="G1399">
        <f>BASE_EQUIPOS!M1399</f>
        <v/>
      </c>
      <c r="I1399" t="inlineStr">
        <is>
          <t>003851</t>
        </is>
      </c>
    </row>
    <row r="1400">
      <c r="A1400">
        <f>TRIM(BASE_EQUIPOS!N1400)</f>
        <v/>
      </c>
      <c r="B1400">
        <f>BASE_EQUIPOS!A1400</f>
        <v/>
      </c>
      <c r="C1400">
        <f>BASE_EQUIPOS!B1400</f>
        <v/>
      </c>
      <c r="D1400">
        <f>BASE_EQUIPOS!D1400</f>
        <v/>
      </c>
      <c r="E1400">
        <f>BASE_EQUIPOS!G1400</f>
        <v/>
      </c>
      <c r="F1400">
        <f>BASE_EQUIPOS!H1400</f>
        <v/>
      </c>
      <c r="G1400">
        <f>BASE_EQUIPOS!M1400</f>
        <v/>
      </c>
      <c r="I1400" t="inlineStr">
        <is>
          <t>003097</t>
        </is>
      </c>
    </row>
    <row r="1401">
      <c r="A1401">
        <f>TRIM(BASE_EQUIPOS!N1401)</f>
        <v/>
      </c>
      <c r="B1401">
        <f>BASE_EQUIPOS!A1401</f>
        <v/>
      </c>
      <c r="C1401">
        <f>BASE_EQUIPOS!B1401</f>
        <v/>
      </c>
      <c r="D1401">
        <f>BASE_EQUIPOS!D1401</f>
        <v/>
      </c>
      <c r="E1401">
        <f>BASE_EQUIPOS!G1401</f>
        <v/>
      </c>
      <c r="F1401">
        <f>BASE_EQUIPOS!H1401</f>
        <v/>
      </c>
      <c r="G1401">
        <f>BASE_EQUIPOS!M1401</f>
        <v/>
      </c>
      <c r="I1401" t="inlineStr">
        <is>
          <t>02 / 014496</t>
        </is>
      </c>
    </row>
    <row r="1402">
      <c r="A1402">
        <f>TRIM(BASE_EQUIPOS!N1402)</f>
        <v/>
      </c>
      <c r="B1402">
        <f>BASE_EQUIPOS!A1402</f>
        <v/>
      </c>
      <c r="C1402">
        <f>BASE_EQUIPOS!B1402</f>
        <v/>
      </c>
      <c r="D1402">
        <f>BASE_EQUIPOS!D1402</f>
        <v/>
      </c>
      <c r="E1402">
        <f>BASE_EQUIPOS!G1402</f>
        <v/>
      </c>
      <c r="F1402">
        <f>BASE_EQUIPOS!H1402</f>
        <v/>
      </c>
      <c r="G1402">
        <f>BASE_EQUIPOS!M1402</f>
        <v/>
      </c>
      <c r="I1402" t="inlineStr">
        <is>
          <t>219 / 001767</t>
        </is>
      </c>
    </row>
    <row r="1403">
      <c r="A1403">
        <f>TRIM(BASE_EQUIPOS!N1403)</f>
        <v/>
      </c>
      <c r="B1403">
        <f>BASE_EQUIPOS!A1403</f>
        <v/>
      </c>
      <c r="C1403">
        <f>BASE_EQUIPOS!B1403</f>
        <v/>
      </c>
      <c r="D1403">
        <f>BASE_EQUIPOS!D1403</f>
        <v/>
      </c>
      <c r="E1403">
        <f>BASE_EQUIPOS!G1403</f>
        <v/>
      </c>
      <c r="F1403">
        <f>BASE_EQUIPOS!H1403</f>
        <v/>
      </c>
      <c r="G1403">
        <f>BASE_EQUIPOS!M1403</f>
        <v/>
      </c>
      <c r="I1403" t="inlineStr">
        <is>
          <t>200 / 000173</t>
        </is>
      </c>
    </row>
    <row r="1404">
      <c r="A1404">
        <f>TRIM(BASE_EQUIPOS!N1404)</f>
        <v/>
      </c>
      <c r="B1404">
        <f>BASE_EQUIPOS!A1404</f>
        <v/>
      </c>
      <c r="C1404">
        <f>BASE_EQUIPOS!B1404</f>
        <v/>
      </c>
      <c r="D1404">
        <f>BASE_EQUIPOS!D1404</f>
        <v/>
      </c>
      <c r="E1404">
        <f>BASE_EQUIPOS!G1404</f>
        <v/>
      </c>
      <c r="F1404">
        <f>BASE_EQUIPOS!H1404</f>
        <v/>
      </c>
      <c r="G1404">
        <f>BASE_EQUIPOS!M1404</f>
        <v/>
      </c>
      <c r="I1404" t="inlineStr">
        <is>
          <t>355 / 001880</t>
        </is>
      </c>
    </row>
    <row r="1405">
      <c r="A1405">
        <f>TRIM(BASE_EQUIPOS!N1405)</f>
        <v/>
      </c>
      <c r="B1405">
        <f>BASE_EQUIPOS!A1405</f>
        <v/>
      </c>
      <c r="C1405">
        <f>BASE_EQUIPOS!B1405</f>
        <v/>
      </c>
      <c r="D1405">
        <f>BASE_EQUIPOS!D1405</f>
        <v/>
      </c>
      <c r="E1405">
        <f>BASE_EQUIPOS!G1405</f>
        <v/>
      </c>
      <c r="F1405">
        <f>BASE_EQUIPOS!H1405</f>
        <v/>
      </c>
      <c r="G1405">
        <f>BASE_EQUIPOS!M1405</f>
        <v/>
      </c>
      <c r="I1405" t="inlineStr">
        <is>
          <t>337 / 000572</t>
        </is>
      </c>
    </row>
    <row r="1406">
      <c r="A1406">
        <f>TRIM(BASE_EQUIPOS!N1406)</f>
        <v/>
      </c>
      <c r="B1406">
        <f>BASE_EQUIPOS!A1406</f>
        <v/>
      </c>
      <c r="C1406">
        <f>BASE_EQUIPOS!B1406</f>
        <v/>
      </c>
      <c r="D1406">
        <f>BASE_EQUIPOS!D1406</f>
        <v/>
      </c>
      <c r="E1406">
        <f>BASE_EQUIPOS!G1406</f>
        <v/>
      </c>
      <c r="F1406">
        <f>BASE_EQUIPOS!H1406</f>
        <v/>
      </c>
      <c r="G1406">
        <f>BASE_EQUIPOS!M1406</f>
        <v/>
      </c>
      <c r="I1406" t="inlineStr">
        <is>
          <t>234 / 001842</t>
        </is>
      </c>
    </row>
    <row r="1407">
      <c r="A1407">
        <f>TRIM(BASE_EQUIPOS!N1407)</f>
        <v/>
      </c>
      <c r="B1407">
        <f>BASE_EQUIPOS!A1407</f>
        <v/>
      </c>
      <c r="C1407">
        <f>BASE_EQUIPOS!B1407</f>
        <v/>
      </c>
      <c r="D1407">
        <f>BASE_EQUIPOS!D1407</f>
        <v/>
      </c>
      <c r="E1407">
        <f>BASE_EQUIPOS!G1407</f>
        <v/>
      </c>
      <c r="F1407">
        <f>BASE_EQUIPOS!H1407</f>
        <v/>
      </c>
      <c r="G1407">
        <f>BASE_EQUIPOS!M1407</f>
        <v/>
      </c>
      <c r="I1407" t="inlineStr">
        <is>
          <t>302 / 000659</t>
        </is>
      </c>
    </row>
    <row r="1408">
      <c r="A1408">
        <f>TRIM(BASE_EQUIPOS!N1408)</f>
        <v/>
      </c>
      <c r="B1408">
        <f>BASE_EQUIPOS!A1408</f>
        <v/>
      </c>
      <c r="C1408">
        <f>BASE_EQUIPOS!B1408</f>
        <v/>
      </c>
      <c r="D1408">
        <f>BASE_EQUIPOS!D1408</f>
        <v/>
      </c>
      <c r="E1408">
        <f>BASE_EQUIPOS!G1408</f>
        <v/>
      </c>
      <c r="F1408">
        <f>BASE_EQUIPOS!H1408</f>
        <v/>
      </c>
      <c r="G1408">
        <f>BASE_EQUIPOS!M1408</f>
        <v/>
      </c>
      <c r="I1408" t="inlineStr">
        <is>
          <t>268 / 001559</t>
        </is>
      </c>
    </row>
    <row r="1409">
      <c r="A1409">
        <f>TRIM(BASE_EQUIPOS!N1409)</f>
        <v/>
      </c>
      <c r="B1409">
        <f>BASE_EQUIPOS!A1409</f>
        <v/>
      </c>
      <c r="C1409">
        <f>BASE_EQUIPOS!B1409</f>
        <v/>
      </c>
      <c r="D1409">
        <f>BASE_EQUIPOS!D1409</f>
        <v/>
      </c>
      <c r="E1409">
        <f>BASE_EQUIPOS!G1409</f>
        <v/>
      </c>
      <c r="F1409">
        <f>BASE_EQUIPOS!H1409</f>
        <v/>
      </c>
      <c r="G1409">
        <f>BASE_EQUIPOS!M1409</f>
        <v/>
      </c>
      <c r="I1409" t="inlineStr">
        <is>
          <t>201 / 000609</t>
        </is>
      </c>
    </row>
    <row r="1410">
      <c r="A1410">
        <f>TRIM(BASE_EQUIPOS!N1410)</f>
        <v/>
      </c>
      <c r="B1410">
        <f>BASE_EQUIPOS!A1410</f>
        <v/>
      </c>
      <c r="C1410">
        <f>BASE_EQUIPOS!B1410</f>
        <v/>
      </c>
      <c r="D1410">
        <f>BASE_EQUIPOS!D1410</f>
        <v/>
      </c>
      <c r="E1410">
        <f>BASE_EQUIPOS!G1410</f>
        <v/>
      </c>
      <c r="F1410">
        <f>BASE_EQUIPOS!H1410</f>
        <v/>
      </c>
      <c r="G1410">
        <f>BASE_EQUIPOS!M1410</f>
        <v/>
      </c>
      <c r="I1410" t="inlineStr">
        <is>
          <t>327 / 001393</t>
        </is>
      </c>
    </row>
    <row r="1411">
      <c r="A1411">
        <f>TRIM(BASE_EQUIPOS!N1411)</f>
        <v/>
      </c>
      <c r="B1411">
        <f>BASE_EQUIPOS!A1411</f>
        <v/>
      </c>
      <c r="C1411">
        <f>BASE_EQUIPOS!B1411</f>
        <v/>
      </c>
      <c r="D1411">
        <f>BASE_EQUIPOS!D1411</f>
        <v/>
      </c>
      <c r="E1411">
        <f>BASE_EQUIPOS!G1411</f>
        <v/>
      </c>
      <c r="F1411">
        <f>BASE_EQUIPOS!H1411</f>
        <v/>
      </c>
      <c r="G1411">
        <f>BASE_EQUIPOS!M1411</f>
        <v/>
      </c>
      <c r="I1411" t="inlineStr">
        <is>
          <t>232 / 000037</t>
        </is>
      </c>
    </row>
    <row r="1412">
      <c r="A1412">
        <f>TRIM(BASE_EQUIPOS!N1412)</f>
        <v/>
      </c>
      <c r="B1412">
        <f>BASE_EQUIPOS!A1412</f>
        <v/>
      </c>
      <c r="C1412">
        <f>BASE_EQUIPOS!B1412</f>
        <v/>
      </c>
      <c r="D1412">
        <f>BASE_EQUIPOS!D1412</f>
        <v/>
      </c>
      <c r="E1412">
        <f>BASE_EQUIPOS!G1412</f>
        <v/>
      </c>
      <c r="F1412">
        <f>BASE_EQUIPOS!H1412</f>
        <v/>
      </c>
      <c r="G1412">
        <f>BASE_EQUIPOS!M1412</f>
        <v/>
      </c>
      <c r="I1412" t="inlineStr">
        <is>
          <t>283 / 000215</t>
        </is>
      </c>
    </row>
    <row r="1413">
      <c r="A1413">
        <f>TRIM(BASE_EQUIPOS!N1413)</f>
        <v/>
      </c>
      <c r="B1413">
        <f>BASE_EQUIPOS!A1413</f>
        <v/>
      </c>
      <c r="C1413">
        <f>BASE_EQUIPOS!B1413</f>
        <v/>
      </c>
      <c r="D1413">
        <f>BASE_EQUIPOS!D1413</f>
        <v/>
      </c>
      <c r="E1413">
        <f>BASE_EQUIPOS!G1413</f>
        <v/>
      </c>
      <c r="F1413">
        <f>BASE_EQUIPOS!H1413</f>
        <v/>
      </c>
      <c r="G1413">
        <f>BASE_EQUIPOS!M1413</f>
        <v/>
      </c>
      <c r="I1413" t="inlineStr">
        <is>
          <t>229 / 000605</t>
        </is>
      </c>
    </row>
    <row r="1414">
      <c r="A1414">
        <f>TRIM(BASE_EQUIPOS!N1414)</f>
        <v/>
      </c>
      <c r="B1414">
        <f>BASE_EQUIPOS!A1414</f>
        <v/>
      </c>
      <c r="C1414">
        <f>BASE_EQUIPOS!B1414</f>
        <v/>
      </c>
      <c r="D1414">
        <f>BASE_EQUIPOS!D1414</f>
        <v/>
      </c>
      <c r="E1414">
        <f>BASE_EQUIPOS!G1414</f>
        <v/>
      </c>
      <c r="F1414">
        <f>BASE_EQUIPOS!H1414</f>
        <v/>
      </c>
      <c r="G1414">
        <f>BASE_EQUIPOS!M1414</f>
        <v/>
      </c>
      <c r="I1414" t="inlineStr">
        <is>
          <t>299 / 001414</t>
        </is>
      </c>
    </row>
    <row r="1415">
      <c r="A1415">
        <f>TRIM(BASE_EQUIPOS!N1415)</f>
        <v/>
      </c>
      <c r="B1415">
        <f>BASE_EQUIPOS!A1415</f>
        <v/>
      </c>
      <c r="C1415">
        <f>BASE_EQUIPOS!B1415</f>
        <v/>
      </c>
      <c r="D1415">
        <f>BASE_EQUIPOS!D1415</f>
        <v/>
      </c>
      <c r="E1415">
        <f>BASE_EQUIPOS!G1415</f>
        <v/>
      </c>
      <c r="F1415">
        <f>BASE_EQUIPOS!H1415</f>
        <v/>
      </c>
      <c r="G1415">
        <f>BASE_EQUIPOS!M1415</f>
        <v/>
      </c>
      <c r="I1415" t="inlineStr">
        <is>
          <t>204 / 003106</t>
        </is>
      </c>
    </row>
    <row r="1416">
      <c r="A1416">
        <f>TRIM(BASE_EQUIPOS!N1416)</f>
        <v/>
      </c>
      <c r="B1416">
        <f>BASE_EQUIPOS!A1416</f>
        <v/>
      </c>
      <c r="C1416">
        <f>BASE_EQUIPOS!B1416</f>
        <v/>
      </c>
      <c r="D1416">
        <f>BASE_EQUIPOS!D1416</f>
        <v/>
      </c>
      <c r="E1416">
        <f>BASE_EQUIPOS!G1416</f>
        <v/>
      </c>
      <c r="F1416">
        <f>BASE_EQUIPOS!H1416</f>
        <v/>
      </c>
      <c r="G1416">
        <f>BASE_EQUIPOS!M1416</f>
        <v/>
      </c>
      <c r="I1416" t="inlineStr">
        <is>
          <t>239 / 000129</t>
        </is>
      </c>
    </row>
    <row r="1417">
      <c r="A1417">
        <f>TRIM(BASE_EQUIPOS!N1417)</f>
        <v/>
      </c>
      <c r="B1417">
        <f>BASE_EQUIPOS!A1417</f>
        <v/>
      </c>
      <c r="C1417">
        <f>BASE_EQUIPOS!B1417</f>
        <v/>
      </c>
      <c r="D1417">
        <f>BASE_EQUIPOS!D1417</f>
        <v/>
      </c>
      <c r="E1417">
        <f>BASE_EQUIPOS!G1417</f>
        <v/>
      </c>
      <c r="F1417">
        <f>BASE_EQUIPOS!H1417</f>
        <v/>
      </c>
      <c r="G1417">
        <f>BASE_EQUIPOS!M1417</f>
        <v/>
      </c>
      <c r="I1417" t="inlineStr">
        <is>
          <t>001473</t>
        </is>
      </c>
    </row>
    <row r="1418">
      <c r="A1418">
        <f>TRIM(BASE_EQUIPOS!N1418)</f>
        <v/>
      </c>
      <c r="B1418">
        <f>BASE_EQUIPOS!A1418</f>
        <v/>
      </c>
      <c r="C1418">
        <f>BASE_EQUIPOS!B1418</f>
        <v/>
      </c>
      <c r="D1418">
        <f>BASE_EQUIPOS!D1418</f>
        <v/>
      </c>
      <c r="E1418">
        <f>BASE_EQUIPOS!G1418</f>
        <v/>
      </c>
      <c r="F1418">
        <f>BASE_EQUIPOS!H1418</f>
        <v/>
      </c>
      <c r="G1418">
        <f>BASE_EQUIPOS!M1418</f>
        <v/>
      </c>
      <c r="I1418" t="inlineStr">
        <is>
          <t>001443</t>
        </is>
      </c>
    </row>
    <row r="1419">
      <c r="A1419">
        <f>TRIM(BASE_EQUIPOS!N1419)</f>
        <v/>
      </c>
      <c r="B1419">
        <f>BASE_EQUIPOS!A1419</f>
        <v/>
      </c>
      <c r="C1419">
        <f>BASE_EQUIPOS!B1419</f>
        <v/>
      </c>
      <c r="D1419">
        <f>BASE_EQUIPOS!D1419</f>
        <v/>
      </c>
      <c r="E1419">
        <f>BASE_EQUIPOS!G1419</f>
        <v/>
      </c>
      <c r="F1419">
        <f>BASE_EQUIPOS!H1419</f>
        <v/>
      </c>
      <c r="G1419">
        <f>BASE_EQUIPOS!M1419</f>
        <v/>
      </c>
      <c r="I1419" t="inlineStr">
        <is>
          <t>001488</t>
        </is>
      </c>
    </row>
    <row r="1420">
      <c r="A1420">
        <f>TRIM(BASE_EQUIPOS!N1420)</f>
        <v/>
      </c>
      <c r="B1420">
        <f>BASE_EQUIPOS!A1420</f>
        <v/>
      </c>
      <c r="C1420">
        <f>BASE_EQUIPOS!B1420</f>
        <v/>
      </c>
      <c r="D1420">
        <f>BASE_EQUIPOS!D1420</f>
        <v/>
      </c>
      <c r="E1420">
        <f>BASE_EQUIPOS!G1420</f>
        <v/>
      </c>
      <c r="F1420">
        <f>BASE_EQUIPOS!H1420</f>
        <v/>
      </c>
      <c r="G1420">
        <f>BASE_EQUIPOS!M1420</f>
        <v/>
      </c>
      <c r="I1420" t="inlineStr">
        <is>
          <t>001484</t>
        </is>
      </c>
    </row>
    <row r="1421">
      <c r="A1421">
        <f>TRIM(BASE_EQUIPOS!N1421)</f>
        <v/>
      </c>
      <c r="B1421">
        <f>BASE_EQUIPOS!A1421</f>
        <v/>
      </c>
      <c r="C1421">
        <f>BASE_EQUIPOS!B1421</f>
        <v/>
      </c>
      <c r="D1421">
        <f>BASE_EQUIPOS!D1421</f>
        <v/>
      </c>
      <c r="E1421">
        <f>BASE_EQUIPOS!G1421</f>
        <v/>
      </c>
      <c r="F1421">
        <f>BASE_EQUIPOS!H1421</f>
        <v/>
      </c>
      <c r="G1421">
        <f>BASE_EQUIPOS!M1421</f>
        <v/>
      </c>
      <c r="I1421" t="inlineStr">
        <is>
          <t>001470</t>
        </is>
      </c>
    </row>
    <row r="1422">
      <c r="A1422">
        <f>TRIM(BASE_EQUIPOS!N1422)</f>
        <v/>
      </c>
      <c r="B1422">
        <f>BASE_EQUIPOS!A1422</f>
        <v/>
      </c>
      <c r="C1422">
        <f>BASE_EQUIPOS!B1422</f>
        <v/>
      </c>
      <c r="D1422">
        <f>BASE_EQUIPOS!D1422</f>
        <v/>
      </c>
      <c r="E1422">
        <f>BASE_EQUIPOS!G1422</f>
        <v/>
      </c>
      <c r="F1422">
        <f>BASE_EQUIPOS!H1422</f>
        <v/>
      </c>
      <c r="G1422">
        <f>BASE_EQUIPOS!M1422</f>
        <v/>
      </c>
      <c r="I1422" t="inlineStr">
        <is>
          <t>001462</t>
        </is>
      </c>
    </row>
    <row r="1423">
      <c r="A1423">
        <f>TRIM(BASE_EQUIPOS!N1423)</f>
        <v/>
      </c>
      <c r="B1423">
        <f>BASE_EQUIPOS!A1423</f>
        <v/>
      </c>
      <c r="C1423">
        <f>BASE_EQUIPOS!B1423</f>
        <v/>
      </c>
      <c r="D1423">
        <f>BASE_EQUIPOS!D1423</f>
        <v/>
      </c>
      <c r="E1423">
        <f>BASE_EQUIPOS!G1423</f>
        <v/>
      </c>
      <c r="F1423">
        <f>BASE_EQUIPOS!H1423</f>
        <v/>
      </c>
      <c r="G1423">
        <f>BASE_EQUIPOS!M1423</f>
        <v/>
      </c>
      <c r="I1423" t="inlineStr">
        <is>
          <t>001461</t>
        </is>
      </c>
    </row>
    <row r="1424">
      <c r="A1424">
        <f>TRIM(BASE_EQUIPOS!N1424)</f>
        <v/>
      </c>
      <c r="B1424">
        <f>BASE_EQUIPOS!A1424</f>
        <v/>
      </c>
      <c r="C1424">
        <f>BASE_EQUIPOS!B1424</f>
        <v/>
      </c>
      <c r="D1424">
        <f>BASE_EQUIPOS!D1424</f>
        <v/>
      </c>
      <c r="E1424">
        <f>BASE_EQUIPOS!G1424</f>
        <v/>
      </c>
      <c r="F1424">
        <f>BASE_EQUIPOS!H1424</f>
        <v/>
      </c>
      <c r="G1424">
        <f>BASE_EQUIPOS!M1424</f>
        <v/>
      </c>
      <c r="I1424" t="inlineStr">
        <is>
          <t>000259</t>
        </is>
      </c>
    </row>
    <row r="1425">
      <c r="A1425">
        <f>TRIM(BASE_EQUIPOS!N1425)</f>
        <v/>
      </c>
      <c r="B1425">
        <f>BASE_EQUIPOS!A1425</f>
        <v/>
      </c>
      <c r="C1425">
        <f>BASE_EQUIPOS!B1425</f>
        <v/>
      </c>
      <c r="D1425">
        <f>BASE_EQUIPOS!D1425</f>
        <v/>
      </c>
      <c r="E1425">
        <f>BASE_EQUIPOS!G1425</f>
        <v/>
      </c>
      <c r="F1425">
        <f>BASE_EQUIPOS!H1425</f>
        <v/>
      </c>
      <c r="G1425">
        <f>BASE_EQUIPOS!M1425</f>
        <v/>
      </c>
      <c r="I1425" t="inlineStr">
        <is>
          <t>004832</t>
        </is>
      </c>
    </row>
    <row r="1426">
      <c r="A1426">
        <f>TRIM(BASE_EQUIPOS!N1426)</f>
        <v/>
      </c>
      <c r="B1426">
        <f>BASE_EQUIPOS!A1426</f>
        <v/>
      </c>
      <c r="C1426">
        <f>BASE_EQUIPOS!B1426</f>
        <v/>
      </c>
      <c r="D1426">
        <f>BASE_EQUIPOS!D1426</f>
        <v/>
      </c>
      <c r="E1426">
        <f>BASE_EQUIPOS!G1426</f>
        <v/>
      </c>
      <c r="F1426">
        <f>BASE_EQUIPOS!H1426</f>
        <v/>
      </c>
      <c r="G1426">
        <f>BASE_EQUIPOS!M1426</f>
        <v/>
      </c>
      <c r="I1426" t="inlineStr">
        <is>
          <t>001344</t>
        </is>
      </c>
    </row>
    <row r="1427">
      <c r="A1427">
        <f>TRIM(BASE_EQUIPOS!N1427)</f>
        <v/>
      </c>
      <c r="B1427">
        <f>BASE_EQUIPOS!A1427</f>
        <v/>
      </c>
      <c r="C1427">
        <f>BASE_EQUIPOS!B1427</f>
        <v/>
      </c>
      <c r="D1427">
        <f>BASE_EQUIPOS!D1427</f>
        <v/>
      </c>
      <c r="E1427">
        <f>BASE_EQUIPOS!G1427</f>
        <v/>
      </c>
      <c r="F1427">
        <f>BASE_EQUIPOS!H1427</f>
        <v/>
      </c>
      <c r="G1427">
        <f>BASE_EQUIPOS!M1427</f>
        <v/>
      </c>
      <c r="I1427" t="inlineStr">
        <is>
          <t>002093</t>
        </is>
      </c>
    </row>
    <row r="1428">
      <c r="A1428">
        <f>TRIM(BASE_EQUIPOS!N1428)</f>
        <v/>
      </c>
      <c r="B1428">
        <f>BASE_EQUIPOS!A1428</f>
        <v/>
      </c>
      <c r="C1428">
        <f>BASE_EQUIPOS!B1428</f>
        <v/>
      </c>
      <c r="D1428">
        <f>BASE_EQUIPOS!D1428</f>
        <v/>
      </c>
      <c r="E1428">
        <f>BASE_EQUIPOS!G1428</f>
        <v/>
      </c>
      <c r="F1428">
        <f>BASE_EQUIPOS!H1428</f>
        <v/>
      </c>
      <c r="G1428">
        <f>BASE_EQUIPOS!M1428</f>
        <v/>
      </c>
      <c r="I1428" t="inlineStr">
        <is>
          <t>009102</t>
        </is>
      </c>
    </row>
    <row r="1429">
      <c r="A1429">
        <f>TRIM(BASE_EQUIPOS!N1429)</f>
        <v/>
      </c>
      <c r="B1429">
        <f>BASE_EQUIPOS!A1429</f>
        <v/>
      </c>
      <c r="C1429">
        <f>BASE_EQUIPOS!B1429</f>
        <v/>
      </c>
      <c r="D1429">
        <f>BASE_EQUIPOS!D1429</f>
        <v/>
      </c>
      <c r="E1429">
        <f>BASE_EQUIPOS!G1429</f>
        <v/>
      </c>
      <c r="F1429">
        <f>BASE_EQUIPOS!H1429</f>
        <v/>
      </c>
      <c r="G1429">
        <f>BASE_EQUIPOS!M1429</f>
        <v/>
      </c>
      <c r="I1429" t="inlineStr">
        <is>
          <t>023051</t>
        </is>
      </c>
    </row>
    <row r="1430">
      <c r="A1430">
        <f>TRIM(BASE_EQUIPOS!N1430)</f>
        <v/>
      </c>
      <c r="B1430">
        <f>BASE_EQUIPOS!A1430</f>
        <v/>
      </c>
      <c r="C1430">
        <f>BASE_EQUIPOS!B1430</f>
        <v/>
      </c>
      <c r="D1430">
        <f>BASE_EQUIPOS!D1430</f>
        <v/>
      </c>
      <c r="E1430">
        <f>BASE_EQUIPOS!G1430</f>
        <v/>
      </c>
      <c r="F1430">
        <f>BASE_EQUIPOS!H1430</f>
        <v/>
      </c>
      <c r="G1430">
        <f>BASE_EQUIPOS!M1430</f>
        <v/>
      </c>
      <c r="I1430" t="inlineStr">
        <is>
          <t>000441</t>
        </is>
      </c>
    </row>
    <row r="1431">
      <c r="A1431">
        <f>TRIM(BASE_EQUIPOS!N1431)</f>
        <v/>
      </c>
      <c r="B1431">
        <f>BASE_EQUIPOS!A1431</f>
        <v/>
      </c>
      <c r="C1431">
        <f>BASE_EQUIPOS!B1431</f>
        <v/>
      </c>
      <c r="D1431">
        <f>BASE_EQUIPOS!D1431</f>
        <v/>
      </c>
      <c r="E1431">
        <f>BASE_EQUIPOS!G1431</f>
        <v/>
      </c>
      <c r="F1431">
        <f>BASE_EQUIPOS!H1431</f>
        <v/>
      </c>
      <c r="G1431">
        <f>BASE_EQUIPOS!M1431</f>
        <v/>
      </c>
      <c r="I1431" t="inlineStr">
        <is>
          <t>343 / 001584</t>
        </is>
      </c>
    </row>
    <row r="1432">
      <c r="A1432">
        <f>TRIM(BASE_EQUIPOS!N1432)</f>
        <v/>
      </c>
      <c r="B1432">
        <f>BASE_EQUIPOS!A1432</f>
        <v/>
      </c>
      <c r="C1432">
        <f>BASE_EQUIPOS!B1432</f>
        <v/>
      </c>
      <c r="D1432">
        <f>BASE_EQUIPOS!D1432</f>
        <v/>
      </c>
      <c r="E1432">
        <f>BASE_EQUIPOS!G1432</f>
        <v/>
      </c>
      <c r="F1432">
        <f>BASE_EQUIPOS!H1432</f>
        <v/>
      </c>
      <c r="G1432">
        <f>BASE_EQUIPOS!M1432</f>
        <v/>
      </c>
      <c r="I1432" t="inlineStr">
        <is>
          <t>240 / 002499</t>
        </is>
      </c>
    </row>
    <row r="1433">
      <c r="A1433">
        <f>TRIM(BASE_EQUIPOS!N1433)</f>
        <v/>
      </c>
      <c r="B1433">
        <f>BASE_EQUIPOS!A1433</f>
        <v/>
      </c>
      <c r="C1433">
        <f>BASE_EQUIPOS!B1433</f>
        <v/>
      </c>
      <c r="D1433">
        <f>BASE_EQUIPOS!D1433</f>
        <v/>
      </c>
      <c r="E1433">
        <f>BASE_EQUIPOS!G1433</f>
        <v/>
      </c>
      <c r="F1433">
        <f>BASE_EQUIPOS!H1433</f>
        <v/>
      </c>
      <c r="G1433">
        <f>BASE_EQUIPOS!M1433</f>
        <v/>
      </c>
      <c r="I1433" t="inlineStr">
        <is>
          <t>301 / 000683</t>
        </is>
      </c>
    </row>
    <row r="1434">
      <c r="A1434">
        <f>TRIM(BASE_EQUIPOS!N1434)</f>
        <v/>
      </c>
      <c r="B1434">
        <f>BASE_EQUIPOS!A1434</f>
        <v/>
      </c>
      <c r="C1434">
        <f>BASE_EQUIPOS!B1434</f>
        <v/>
      </c>
      <c r="D1434">
        <f>BASE_EQUIPOS!D1434</f>
        <v/>
      </c>
      <c r="E1434">
        <f>BASE_EQUIPOS!G1434</f>
        <v/>
      </c>
      <c r="F1434">
        <f>BASE_EQUIPOS!H1434</f>
        <v/>
      </c>
      <c r="G1434">
        <f>BASE_EQUIPOS!M1434</f>
        <v/>
      </c>
      <c r="I1434" t="inlineStr">
        <is>
          <t>353 / 000698</t>
        </is>
      </c>
    </row>
    <row r="1435">
      <c r="A1435">
        <f>TRIM(BASE_EQUIPOS!N1435)</f>
        <v/>
      </c>
      <c r="B1435">
        <f>BASE_EQUIPOS!A1435</f>
        <v/>
      </c>
      <c r="C1435">
        <f>BASE_EQUIPOS!B1435</f>
        <v/>
      </c>
      <c r="D1435">
        <f>BASE_EQUIPOS!D1435</f>
        <v/>
      </c>
      <c r="E1435">
        <f>BASE_EQUIPOS!G1435</f>
        <v/>
      </c>
      <c r="F1435">
        <f>BASE_EQUIPOS!H1435</f>
        <v/>
      </c>
      <c r="G1435">
        <f>BASE_EQUIPOS!M1435</f>
        <v/>
      </c>
      <c r="I1435" t="inlineStr">
        <is>
          <t>192 / 000168</t>
        </is>
      </c>
    </row>
    <row r="1436">
      <c r="A1436">
        <f>TRIM(BASE_EQUIPOS!N1436)</f>
        <v/>
      </c>
      <c r="B1436">
        <f>BASE_EQUIPOS!A1436</f>
        <v/>
      </c>
      <c r="C1436">
        <f>BASE_EQUIPOS!B1436</f>
        <v/>
      </c>
      <c r="D1436">
        <f>BASE_EQUIPOS!D1436</f>
        <v/>
      </c>
      <c r="E1436">
        <f>BASE_EQUIPOS!G1436</f>
        <v/>
      </c>
      <c r="F1436">
        <f>BASE_EQUIPOS!H1436</f>
        <v/>
      </c>
      <c r="G1436">
        <f>BASE_EQUIPOS!M1436</f>
        <v/>
      </c>
      <c r="I1436" t="inlineStr">
        <is>
          <t>32 / 000354</t>
        </is>
      </c>
    </row>
    <row r="1437">
      <c r="A1437">
        <f>TRIM(BASE_EQUIPOS!N1437)</f>
        <v/>
      </c>
      <c r="B1437">
        <f>BASE_EQUIPOS!A1437</f>
        <v/>
      </c>
      <c r="C1437">
        <f>BASE_EQUIPOS!B1437</f>
        <v/>
      </c>
      <c r="D1437">
        <f>BASE_EQUIPOS!D1437</f>
        <v/>
      </c>
      <c r="E1437">
        <f>BASE_EQUIPOS!G1437</f>
        <v/>
      </c>
      <c r="F1437">
        <f>BASE_EQUIPOS!H1437</f>
        <v/>
      </c>
      <c r="G1437">
        <f>BASE_EQUIPOS!M1437</f>
        <v/>
      </c>
      <c r="I1437" t="inlineStr">
        <is>
          <t>111 / 004001</t>
        </is>
      </c>
    </row>
    <row r="1438">
      <c r="A1438">
        <f>TRIM(BASE_EQUIPOS!N1438)</f>
        <v/>
      </c>
      <c r="B1438">
        <f>BASE_EQUIPOS!A1438</f>
        <v/>
      </c>
      <c r="C1438">
        <f>BASE_EQUIPOS!B1438</f>
        <v/>
      </c>
      <c r="D1438">
        <f>BASE_EQUIPOS!D1438</f>
        <v/>
      </c>
      <c r="E1438">
        <f>BASE_EQUIPOS!G1438</f>
        <v/>
      </c>
      <c r="F1438">
        <f>BASE_EQUIPOS!H1438</f>
        <v/>
      </c>
      <c r="G1438">
        <f>BASE_EQUIPOS!M1438</f>
        <v/>
      </c>
      <c r="I1438" t="inlineStr">
        <is>
          <t>346 / 006495</t>
        </is>
      </c>
    </row>
    <row r="1439">
      <c r="A1439">
        <f>TRIM(BASE_EQUIPOS!N1439)</f>
        <v/>
      </c>
      <c r="B1439">
        <f>BASE_EQUIPOS!A1439</f>
        <v/>
      </c>
      <c r="C1439">
        <f>BASE_EQUIPOS!B1439</f>
        <v/>
      </c>
      <c r="D1439">
        <f>BASE_EQUIPOS!D1439</f>
        <v/>
      </c>
      <c r="E1439">
        <f>BASE_EQUIPOS!G1439</f>
        <v/>
      </c>
      <c r="F1439">
        <f>BASE_EQUIPOS!H1439</f>
        <v/>
      </c>
      <c r="G1439">
        <f>BASE_EQUIPOS!M1439</f>
        <v/>
      </c>
      <c r="I1439" t="inlineStr">
        <is>
          <t>112 / 003125</t>
        </is>
      </c>
    </row>
    <row r="1440">
      <c r="A1440">
        <f>TRIM(BASE_EQUIPOS!N1440)</f>
        <v/>
      </c>
      <c r="B1440">
        <f>BASE_EQUIPOS!A1440</f>
        <v/>
      </c>
      <c r="C1440">
        <f>BASE_EQUIPOS!B1440</f>
        <v/>
      </c>
      <c r="D1440">
        <f>BASE_EQUIPOS!D1440</f>
        <v/>
      </c>
      <c r="E1440">
        <f>BASE_EQUIPOS!G1440</f>
        <v/>
      </c>
      <c r="F1440">
        <f>BASE_EQUIPOS!H1440</f>
        <v/>
      </c>
      <c r="G1440">
        <f>BASE_EQUIPOS!M1440</f>
        <v/>
      </c>
      <c r="I1440" t="inlineStr">
        <is>
          <t>385 / 002177</t>
        </is>
      </c>
    </row>
    <row r="1441">
      <c r="A1441">
        <f>TRIM(BASE_EQUIPOS!N1441)</f>
        <v/>
      </c>
      <c r="B1441">
        <f>BASE_EQUIPOS!A1441</f>
        <v/>
      </c>
      <c r="C1441">
        <f>BASE_EQUIPOS!B1441</f>
        <v/>
      </c>
      <c r="D1441">
        <f>BASE_EQUIPOS!D1441</f>
        <v/>
      </c>
      <c r="E1441">
        <f>BASE_EQUIPOS!G1441</f>
        <v/>
      </c>
      <c r="F1441">
        <f>BASE_EQUIPOS!H1441</f>
        <v/>
      </c>
      <c r="G1441">
        <f>BASE_EQUIPOS!M1441</f>
        <v/>
      </c>
      <c r="I1441" t="inlineStr">
        <is>
          <t>265 / 000098</t>
        </is>
      </c>
    </row>
    <row r="1442">
      <c r="A1442">
        <f>TRIM(BASE_EQUIPOS!N1442)</f>
        <v/>
      </c>
      <c r="B1442">
        <f>BASE_EQUIPOS!A1442</f>
        <v/>
      </c>
      <c r="C1442">
        <f>BASE_EQUIPOS!B1442</f>
        <v/>
      </c>
      <c r="D1442">
        <f>BASE_EQUIPOS!D1442</f>
        <v/>
      </c>
      <c r="E1442">
        <f>BASE_EQUIPOS!G1442</f>
        <v/>
      </c>
      <c r="F1442">
        <f>BASE_EQUIPOS!H1442</f>
        <v/>
      </c>
      <c r="G1442">
        <f>BASE_EQUIPOS!M1442</f>
        <v/>
      </c>
      <c r="I1442" t="inlineStr">
        <is>
          <t>114 / 016190</t>
        </is>
      </c>
    </row>
    <row r="1443">
      <c r="A1443">
        <f>TRIM(BASE_EQUIPOS!N1443)</f>
        <v/>
      </c>
      <c r="B1443">
        <f>BASE_EQUIPOS!A1443</f>
        <v/>
      </c>
      <c r="C1443">
        <f>BASE_EQUIPOS!B1443</f>
        <v/>
      </c>
      <c r="D1443">
        <f>BASE_EQUIPOS!D1443</f>
        <v/>
      </c>
      <c r="E1443">
        <f>BASE_EQUIPOS!G1443</f>
        <v/>
      </c>
      <c r="F1443">
        <f>BASE_EQUIPOS!H1443</f>
        <v/>
      </c>
      <c r="G1443">
        <f>BASE_EQUIPOS!M1443</f>
        <v/>
      </c>
      <c r="I1443" t="inlineStr">
        <is>
          <t>60 / 001029</t>
        </is>
      </c>
    </row>
    <row r="1444">
      <c r="A1444">
        <f>TRIM(BASE_EQUIPOS!N1444)</f>
        <v/>
      </c>
      <c r="B1444">
        <f>BASE_EQUIPOS!A1444</f>
        <v/>
      </c>
      <c r="C1444">
        <f>BASE_EQUIPOS!B1444</f>
        <v/>
      </c>
      <c r="D1444">
        <f>BASE_EQUIPOS!D1444</f>
        <v/>
      </c>
      <c r="E1444">
        <f>BASE_EQUIPOS!G1444</f>
        <v/>
      </c>
      <c r="F1444">
        <f>BASE_EQUIPOS!H1444</f>
        <v/>
      </c>
      <c r="G1444">
        <f>BASE_EQUIPOS!M1444</f>
        <v/>
      </c>
      <c r="I1444" t="inlineStr">
        <is>
          <t>261 / 001700</t>
        </is>
      </c>
    </row>
    <row r="1445">
      <c r="A1445">
        <f>TRIM(BASE_EQUIPOS!N1445)</f>
        <v/>
      </c>
      <c r="B1445">
        <f>BASE_EQUIPOS!A1445</f>
        <v/>
      </c>
      <c r="C1445">
        <f>BASE_EQUIPOS!B1445</f>
        <v/>
      </c>
      <c r="D1445">
        <f>BASE_EQUIPOS!D1445</f>
        <v/>
      </c>
      <c r="E1445">
        <f>BASE_EQUIPOS!G1445</f>
        <v/>
      </c>
      <c r="F1445">
        <f>BASE_EQUIPOS!H1445</f>
        <v/>
      </c>
      <c r="G1445">
        <f>BASE_EQUIPOS!M1445</f>
        <v/>
      </c>
      <c r="I1445" t="inlineStr">
        <is>
          <t>000469</t>
        </is>
      </c>
    </row>
    <row r="1446">
      <c r="A1446">
        <f>TRIM(BASE_EQUIPOS!N1446)</f>
        <v/>
      </c>
      <c r="B1446">
        <f>BASE_EQUIPOS!A1446</f>
        <v/>
      </c>
      <c r="C1446">
        <f>BASE_EQUIPOS!B1446</f>
        <v/>
      </c>
      <c r="D1446">
        <f>BASE_EQUIPOS!D1446</f>
        <v/>
      </c>
      <c r="E1446">
        <f>BASE_EQUIPOS!G1446</f>
        <v/>
      </c>
      <c r="F1446">
        <f>BASE_EQUIPOS!H1446</f>
        <v/>
      </c>
      <c r="G1446">
        <f>BASE_EQUIPOS!M1446</f>
        <v/>
      </c>
      <c r="I1446" t="inlineStr">
        <is>
          <t>241 / 001353</t>
        </is>
      </c>
    </row>
    <row r="1447">
      <c r="A1447">
        <f>TRIM(BASE_EQUIPOS!N1447)</f>
        <v/>
      </c>
      <c r="B1447">
        <f>BASE_EQUIPOS!A1447</f>
        <v/>
      </c>
      <c r="C1447">
        <f>BASE_EQUIPOS!B1447</f>
        <v/>
      </c>
      <c r="D1447">
        <f>BASE_EQUIPOS!D1447</f>
        <v/>
      </c>
      <c r="E1447">
        <f>BASE_EQUIPOS!G1447</f>
        <v/>
      </c>
      <c r="F1447">
        <f>BASE_EQUIPOS!H1447</f>
        <v/>
      </c>
      <c r="G1447">
        <f>BASE_EQUIPOS!M1447</f>
        <v/>
      </c>
      <c r="I1447" t="inlineStr">
        <is>
          <t>292 / 001002</t>
        </is>
      </c>
    </row>
    <row r="1448">
      <c r="A1448">
        <f>TRIM(BASE_EQUIPOS!N1448)</f>
        <v/>
      </c>
      <c r="B1448">
        <f>BASE_EQUIPOS!A1448</f>
        <v/>
      </c>
      <c r="C1448">
        <f>BASE_EQUIPOS!B1448</f>
        <v/>
      </c>
      <c r="D1448">
        <f>BASE_EQUIPOS!D1448</f>
        <v/>
      </c>
      <c r="E1448">
        <f>BASE_EQUIPOS!G1448</f>
        <v/>
      </c>
      <c r="F1448">
        <f>BASE_EQUIPOS!H1448</f>
        <v/>
      </c>
      <c r="G1448">
        <f>BASE_EQUIPOS!M1448</f>
        <v/>
      </c>
      <c r="I1448" t="inlineStr">
        <is>
          <t>43 / 002142</t>
        </is>
      </c>
    </row>
    <row r="1449">
      <c r="A1449">
        <f>TRIM(BASE_EQUIPOS!N1449)</f>
        <v/>
      </c>
      <c r="B1449">
        <f>BASE_EQUIPOS!A1449</f>
        <v/>
      </c>
      <c r="C1449">
        <f>BASE_EQUIPOS!B1449</f>
        <v/>
      </c>
      <c r="D1449">
        <f>BASE_EQUIPOS!D1449</f>
        <v/>
      </c>
      <c r="E1449">
        <f>BASE_EQUIPOS!G1449</f>
        <v/>
      </c>
      <c r="F1449">
        <f>BASE_EQUIPOS!H1449</f>
        <v/>
      </c>
      <c r="G1449">
        <f>BASE_EQUIPOS!M1449</f>
        <v/>
      </c>
      <c r="I1449" t="inlineStr">
        <is>
          <t>10 / 001664</t>
        </is>
      </c>
    </row>
    <row r="1450">
      <c r="A1450">
        <f>TRIM(BASE_EQUIPOS!N1450)</f>
        <v/>
      </c>
      <c r="B1450">
        <f>BASE_EQUIPOS!A1450</f>
        <v/>
      </c>
      <c r="C1450">
        <f>BASE_EQUIPOS!B1450</f>
        <v/>
      </c>
      <c r="D1450">
        <f>BASE_EQUIPOS!D1450</f>
        <v/>
      </c>
      <c r="E1450">
        <f>BASE_EQUIPOS!G1450</f>
        <v/>
      </c>
      <c r="F1450">
        <f>BASE_EQUIPOS!H1450</f>
        <v/>
      </c>
      <c r="G1450">
        <f>BASE_EQUIPOS!M1450</f>
        <v/>
      </c>
      <c r="I1450" t="inlineStr">
        <is>
          <t>323 / 000579</t>
        </is>
      </c>
    </row>
    <row r="1451">
      <c r="A1451">
        <f>TRIM(BASE_EQUIPOS!N1451)</f>
        <v/>
      </c>
      <c r="B1451">
        <f>BASE_EQUIPOS!A1451</f>
        <v/>
      </c>
      <c r="C1451">
        <f>BASE_EQUIPOS!B1451</f>
        <v/>
      </c>
      <c r="D1451">
        <f>BASE_EQUIPOS!D1451</f>
        <v/>
      </c>
      <c r="E1451">
        <f>BASE_EQUIPOS!G1451</f>
        <v/>
      </c>
      <c r="F1451">
        <f>BASE_EQUIPOS!H1451</f>
        <v/>
      </c>
      <c r="G1451">
        <f>BASE_EQUIPOS!M1451</f>
        <v/>
      </c>
      <c r="I1451" t="inlineStr">
        <is>
          <t>332 / 001050</t>
        </is>
      </c>
    </row>
    <row r="1452">
      <c r="A1452">
        <f>TRIM(BASE_EQUIPOS!N1452)</f>
        <v/>
      </c>
      <c r="B1452">
        <f>BASE_EQUIPOS!A1452</f>
        <v/>
      </c>
      <c r="C1452">
        <f>BASE_EQUIPOS!B1452</f>
        <v/>
      </c>
      <c r="D1452">
        <f>BASE_EQUIPOS!D1452</f>
        <v/>
      </c>
      <c r="E1452">
        <f>BASE_EQUIPOS!G1452</f>
        <v/>
      </c>
      <c r="F1452">
        <f>BASE_EQUIPOS!H1452</f>
        <v/>
      </c>
      <c r="G1452">
        <f>BASE_EQUIPOS!M1452</f>
        <v/>
      </c>
      <c r="I1452" t="inlineStr">
        <is>
          <t>335 / 001071</t>
        </is>
      </c>
    </row>
    <row r="1453">
      <c r="A1453">
        <f>TRIM(BASE_EQUIPOS!N1453)</f>
        <v/>
      </c>
      <c r="B1453">
        <f>BASE_EQUIPOS!A1453</f>
        <v/>
      </c>
      <c r="C1453">
        <f>BASE_EQUIPOS!B1453</f>
        <v/>
      </c>
      <c r="D1453">
        <f>BASE_EQUIPOS!D1453</f>
        <v/>
      </c>
      <c r="E1453">
        <f>BASE_EQUIPOS!G1453</f>
        <v/>
      </c>
      <c r="F1453">
        <f>BASE_EQUIPOS!H1453</f>
        <v/>
      </c>
      <c r="G1453">
        <f>BASE_EQUIPOS!M1453</f>
        <v/>
      </c>
      <c r="I1453" t="inlineStr">
        <is>
          <t>322 / 001677</t>
        </is>
      </c>
    </row>
    <row r="1454">
      <c r="A1454">
        <f>TRIM(BASE_EQUIPOS!N1454)</f>
        <v/>
      </c>
      <c r="B1454">
        <f>BASE_EQUIPOS!A1454</f>
        <v/>
      </c>
      <c r="C1454">
        <f>BASE_EQUIPOS!B1454</f>
        <v/>
      </c>
      <c r="D1454">
        <f>BASE_EQUIPOS!D1454</f>
        <v/>
      </c>
      <c r="E1454">
        <f>BASE_EQUIPOS!G1454</f>
        <v/>
      </c>
      <c r="F1454">
        <f>BASE_EQUIPOS!H1454</f>
        <v/>
      </c>
      <c r="G1454">
        <f>BASE_EQUIPOS!M1454</f>
        <v/>
      </c>
      <c r="I1454" t="inlineStr">
        <is>
          <t>245 / 001309</t>
        </is>
      </c>
    </row>
    <row r="1455">
      <c r="A1455">
        <f>TRIM(BASE_EQUIPOS!N1455)</f>
        <v/>
      </c>
      <c r="B1455">
        <f>BASE_EQUIPOS!A1455</f>
        <v/>
      </c>
      <c r="C1455">
        <f>BASE_EQUIPOS!B1455</f>
        <v/>
      </c>
      <c r="D1455">
        <f>BASE_EQUIPOS!D1455</f>
        <v/>
      </c>
      <c r="E1455">
        <f>BASE_EQUIPOS!G1455</f>
        <v/>
      </c>
      <c r="F1455">
        <f>BASE_EQUIPOS!H1455</f>
        <v/>
      </c>
      <c r="G1455">
        <f>BASE_EQUIPOS!M1455</f>
        <v/>
      </c>
      <c r="I1455" t="inlineStr">
        <is>
          <t>44 / 001353</t>
        </is>
      </c>
    </row>
    <row r="1456">
      <c r="A1456">
        <f>TRIM(BASE_EQUIPOS!N1456)</f>
        <v/>
      </c>
      <c r="B1456">
        <f>BASE_EQUIPOS!A1456</f>
        <v/>
      </c>
      <c r="C1456">
        <f>BASE_EQUIPOS!B1456</f>
        <v/>
      </c>
      <c r="D1456">
        <f>BASE_EQUIPOS!D1456</f>
        <v/>
      </c>
      <c r="E1456">
        <f>BASE_EQUIPOS!G1456</f>
        <v/>
      </c>
      <c r="F1456">
        <f>BASE_EQUIPOS!H1456</f>
        <v/>
      </c>
      <c r="G1456">
        <f>BASE_EQUIPOS!M1456</f>
        <v/>
      </c>
      <c r="I1456" t="inlineStr">
        <is>
          <t>94 / 000005</t>
        </is>
      </c>
    </row>
    <row r="1457">
      <c r="A1457">
        <f>TRIM(BASE_EQUIPOS!N1457)</f>
        <v/>
      </c>
      <c r="B1457">
        <f>BASE_EQUIPOS!A1457</f>
        <v/>
      </c>
      <c r="C1457">
        <f>BASE_EQUIPOS!B1457</f>
        <v/>
      </c>
      <c r="D1457">
        <f>BASE_EQUIPOS!D1457</f>
        <v/>
      </c>
      <c r="E1457">
        <f>BASE_EQUIPOS!G1457</f>
        <v/>
      </c>
      <c r="F1457">
        <f>BASE_EQUIPOS!H1457</f>
        <v/>
      </c>
      <c r="G1457">
        <f>BASE_EQUIPOS!M1457</f>
        <v/>
      </c>
      <c r="I1457" t="inlineStr">
        <is>
          <t>293 / 000978</t>
        </is>
      </c>
    </row>
    <row r="1458">
      <c r="A1458">
        <f>TRIM(BASE_EQUIPOS!N1458)</f>
        <v/>
      </c>
      <c r="B1458">
        <f>BASE_EQUIPOS!A1458</f>
        <v/>
      </c>
      <c r="C1458">
        <f>BASE_EQUIPOS!B1458</f>
        <v/>
      </c>
      <c r="D1458">
        <f>BASE_EQUIPOS!D1458</f>
        <v/>
      </c>
      <c r="E1458">
        <f>BASE_EQUIPOS!G1458</f>
        <v/>
      </c>
      <c r="F1458">
        <f>BASE_EQUIPOS!H1458</f>
        <v/>
      </c>
      <c r="G1458">
        <f>BASE_EQUIPOS!M1458</f>
        <v/>
      </c>
      <c r="I1458" t="inlineStr">
        <is>
          <t>367 / 001937</t>
        </is>
      </c>
    </row>
    <row r="1459">
      <c r="A1459">
        <f>TRIM(BASE_EQUIPOS!N1459)</f>
        <v/>
      </c>
      <c r="B1459">
        <f>BASE_EQUIPOS!A1459</f>
        <v/>
      </c>
      <c r="C1459">
        <f>BASE_EQUIPOS!B1459</f>
        <v/>
      </c>
      <c r="D1459">
        <f>BASE_EQUIPOS!D1459</f>
        <v/>
      </c>
      <c r="E1459">
        <f>BASE_EQUIPOS!G1459</f>
        <v/>
      </c>
      <c r="F1459">
        <f>BASE_EQUIPOS!H1459</f>
        <v/>
      </c>
      <c r="G1459">
        <f>BASE_EQUIPOS!M1459</f>
        <v/>
      </c>
      <c r="I1459" t="inlineStr">
        <is>
          <t>45 / 016379</t>
        </is>
      </c>
    </row>
    <row r="1460">
      <c r="A1460">
        <f>TRIM(BASE_EQUIPOS!N1460)</f>
        <v/>
      </c>
      <c r="B1460">
        <f>BASE_EQUIPOS!A1460</f>
        <v/>
      </c>
      <c r="C1460">
        <f>BASE_EQUIPOS!B1460</f>
        <v/>
      </c>
      <c r="D1460">
        <f>BASE_EQUIPOS!D1460</f>
        <v/>
      </c>
      <c r="E1460">
        <f>BASE_EQUIPOS!G1460</f>
        <v/>
      </c>
      <c r="F1460">
        <f>BASE_EQUIPOS!H1460</f>
        <v/>
      </c>
      <c r="G1460">
        <f>BASE_EQUIPOS!M1460</f>
        <v/>
      </c>
      <c r="I1460" t="inlineStr">
        <is>
          <t>267 / 000732</t>
        </is>
      </c>
    </row>
    <row r="1461">
      <c r="A1461">
        <f>TRIM(BASE_EQUIPOS!N1461)</f>
        <v/>
      </c>
      <c r="B1461">
        <f>BASE_EQUIPOS!A1461</f>
        <v/>
      </c>
      <c r="C1461">
        <f>BASE_EQUIPOS!B1461</f>
        <v/>
      </c>
      <c r="D1461">
        <f>BASE_EQUIPOS!D1461</f>
        <v/>
      </c>
      <c r="E1461">
        <f>BASE_EQUIPOS!G1461</f>
        <v/>
      </c>
      <c r="F1461">
        <f>BASE_EQUIPOS!H1461</f>
        <v/>
      </c>
      <c r="G1461">
        <f>BASE_EQUIPOS!M1461</f>
        <v/>
      </c>
      <c r="I1461" t="inlineStr">
        <is>
          <t>12 / 001619</t>
        </is>
      </c>
    </row>
    <row r="1462">
      <c r="A1462">
        <f>TRIM(BASE_EQUIPOS!N1462)</f>
        <v/>
      </c>
      <c r="B1462">
        <f>BASE_EQUIPOS!A1462</f>
        <v/>
      </c>
      <c r="C1462">
        <f>BASE_EQUIPOS!B1462</f>
        <v/>
      </c>
      <c r="D1462">
        <f>BASE_EQUIPOS!D1462</f>
        <v/>
      </c>
      <c r="E1462">
        <f>BASE_EQUIPOS!G1462</f>
        <v/>
      </c>
      <c r="F1462">
        <f>BASE_EQUIPOS!H1462</f>
        <v/>
      </c>
      <c r="G1462">
        <f>BASE_EQUIPOS!M1462</f>
        <v/>
      </c>
      <c r="I1462" t="inlineStr">
        <is>
          <t>15 / 002423</t>
        </is>
      </c>
    </row>
    <row r="1463">
      <c r="A1463">
        <f>TRIM(BASE_EQUIPOS!N1463)</f>
        <v/>
      </c>
      <c r="B1463">
        <f>BASE_EQUIPOS!A1463</f>
        <v/>
      </c>
      <c r="C1463">
        <f>BASE_EQUIPOS!B1463</f>
        <v/>
      </c>
      <c r="D1463">
        <f>BASE_EQUIPOS!D1463</f>
        <v/>
      </c>
      <c r="E1463">
        <f>BASE_EQUIPOS!G1463</f>
        <v/>
      </c>
      <c r="F1463">
        <f>BASE_EQUIPOS!H1463</f>
        <v/>
      </c>
      <c r="G1463">
        <f>BASE_EQUIPOS!M1463</f>
        <v/>
      </c>
      <c r="I1463" t="inlineStr">
        <is>
          <t>115 / 194056</t>
        </is>
      </c>
    </row>
    <row r="1464">
      <c r="A1464">
        <f>TRIM(BASE_EQUIPOS!N1464)</f>
        <v/>
      </c>
      <c r="B1464">
        <f>BASE_EQUIPOS!A1464</f>
        <v/>
      </c>
      <c r="C1464">
        <f>BASE_EQUIPOS!B1464</f>
        <v/>
      </c>
      <c r="D1464">
        <f>BASE_EQUIPOS!D1464</f>
        <v/>
      </c>
      <c r="E1464">
        <f>BASE_EQUIPOS!G1464</f>
        <v/>
      </c>
      <c r="F1464">
        <f>BASE_EQUIPOS!H1464</f>
        <v/>
      </c>
      <c r="G1464">
        <f>BASE_EQUIPOS!M1464</f>
        <v/>
      </c>
      <c r="I1464" t="inlineStr">
        <is>
          <t>116 / 001150</t>
        </is>
      </c>
    </row>
    <row r="1465">
      <c r="A1465">
        <f>TRIM(BASE_EQUIPOS!N1465)</f>
        <v/>
      </c>
      <c r="B1465">
        <f>BASE_EQUIPOS!A1465</f>
        <v/>
      </c>
      <c r="C1465">
        <f>BASE_EQUIPOS!B1465</f>
        <v/>
      </c>
      <c r="D1465">
        <f>BASE_EQUIPOS!D1465</f>
        <v/>
      </c>
      <c r="E1465">
        <f>BASE_EQUIPOS!G1465</f>
        <v/>
      </c>
      <c r="F1465">
        <f>BASE_EQUIPOS!H1465</f>
        <v/>
      </c>
      <c r="G1465">
        <f>BASE_EQUIPOS!M1465</f>
        <v/>
      </c>
      <c r="I1465" t="inlineStr">
        <is>
          <t>117 / 001782</t>
        </is>
      </c>
    </row>
    <row r="1466">
      <c r="A1466">
        <f>TRIM(BASE_EQUIPOS!N1466)</f>
        <v/>
      </c>
      <c r="B1466">
        <f>BASE_EQUIPOS!A1466</f>
        <v/>
      </c>
      <c r="C1466">
        <f>BASE_EQUIPOS!B1466</f>
        <v/>
      </c>
      <c r="D1466">
        <f>BASE_EQUIPOS!D1466</f>
        <v/>
      </c>
      <c r="E1466">
        <f>BASE_EQUIPOS!G1466</f>
        <v/>
      </c>
      <c r="F1466">
        <f>BASE_EQUIPOS!H1466</f>
        <v/>
      </c>
      <c r="G1466">
        <f>BASE_EQUIPOS!M1466</f>
        <v/>
      </c>
      <c r="I1466" t="inlineStr">
        <is>
          <t>333 / 001048</t>
        </is>
      </c>
    </row>
    <row r="1467">
      <c r="A1467">
        <f>TRIM(BASE_EQUIPOS!N1467)</f>
        <v/>
      </c>
      <c r="B1467">
        <f>BASE_EQUIPOS!A1467</f>
        <v/>
      </c>
      <c r="C1467">
        <f>BASE_EQUIPOS!B1467</f>
        <v/>
      </c>
      <c r="D1467">
        <f>BASE_EQUIPOS!D1467</f>
        <v/>
      </c>
      <c r="E1467">
        <f>BASE_EQUIPOS!G1467</f>
        <v/>
      </c>
      <c r="F1467">
        <f>BASE_EQUIPOS!H1467</f>
        <v/>
      </c>
      <c r="G1467">
        <f>BASE_EQUIPOS!M1467</f>
        <v/>
      </c>
      <c r="I1467" t="inlineStr">
        <is>
          <t>118 / 001187</t>
        </is>
      </c>
    </row>
    <row r="1468">
      <c r="A1468">
        <f>TRIM(BASE_EQUIPOS!N1468)</f>
        <v/>
      </c>
      <c r="B1468">
        <f>BASE_EQUIPOS!A1468</f>
        <v/>
      </c>
      <c r="C1468">
        <f>BASE_EQUIPOS!B1468</f>
        <v/>
      </c>
      <c r="D1468">
        <f>BASE_EQUIPOS!D1468</f>
        <v/>
      </c>
      <c r="E1468">
        <f>BASE_EQUIPOS!G1468</f>
        <v/>
      </c>
      <c r="F1468">
        <f>BASE_EQUIPOS!H1468</f>
        <v/>
      </c>
      <c r="G1468">
        <f>BASE_EQUIPOS!M1468</f>
        <v/>
      </c>
      <c r="I1468" t="inlineStr">
        <is>
          <t>119 / 001151</t>
        </is>
      </c>
    </row>
    <row r="1469">
      <c r="A1469">
        <f>TRIM(BASE_EQUIPOS!N1469)</f>
        <v/>
      </c>
      <c r="B1469">
        <f>BASE_EQUIPOS!A1469</f>
        <v/>
      </c>
      <c r="C1469">
        <f>BASE_EQUIPOS!B1469</f>
        <v/>
      </c>
      <c r="D1469">
        <f>BASE_EQUIPOS!D1469</f>
        <v/>
      </c>
      <c r="E1469">
        <f>BASE_EQUIPOS!G1469</f>
        <v/>
      </c>
      <c r="F1469">
        <f>BASE_EQUIPOS!H1469</f>
        <v/>
      </c>
      <c r="G1469">
        <f>BASE_EQUIPOS!M1469</f>
        <v/>
      </c>
      <c r="I1469" t="inlineStr">
        <is>
          <t>344 / 002162</t>
        </is>
      </c>
    </row>
    <row r="1470">
      <c r="A1470">
        <f>TRIM(BASE_EQUIPOS!N1470)</f>
        <v/>
      </c>
      <c r="B1470">
        <f>BASE_EQUIPOS!A1470</f>
        <v/>
      </c>
      <c r="C1470">
        <f>BASE_EQUIPOS!B1470</f>
        <v/>
      </c>
      <c r="D1470">
        <f>BASE_EQUIPOS!D1470</f>
        <v/>
      </c>
      <c r="E1470">
        <f>BASE_EQUIPOS!G1470</f>
        <v/>
      </c>
      <c r="F1470">
        <f>BASE_EQUIPOS!H1470</f>
        <v/>
      </c>
      <c r="G1470">
        <f>BASE_EQUIPOS!M1470</f>
        <v/>
      </c>
      <c r="I1470" t="inlineStr">
        <is>
          <t>015846</t>
        </is>
      </c>
    </row>
    <row r="1471">
      <c r="A1471">
        <f>TRIM(BASE_EQUIPOS!N1471)</f>
        <v/>
      </c>
      <c r="B1471">
        <f>BASE_EQUIPOS!A1471</f>
        <v/>
      </c>
      <c r="C1471">
        <f>BASE_EQUIPOS!B1471</f>
        <v/>
      </c>
      <c r="D1471">
        <f>BASE_EQUIPOS!D1471</f>
        <v/>
      </c>
      <c r="E1471">
        <f>BASE_EQUIPOS!G1471</f>
        <v/>
      </c>
      <c r="F1471">
        <f>BASE_EQUIPOS!H1471</f>
        <v/>
      </c>
      <c r="G1471">
        <f>BASE_EQUIPOS!M1471</f>
        <v/>
      </c>
      <c r="I1471" t="inlineStr">
        <is>
          <t>08 / 000049</t>
        </is>
      </c>
    </row>
    <row r="1472">
      <c r="A1472">
        <f>TRIM(BASE_EQUIPOS!N1472)</f>
        <v/>
      </c>
      <c r="B1472">
        <f>BASE_EQUIPOS!A1472</f>
        <v/>
      </c>
      <c r="C1472">
        <f>BASE_EQUIPOS!B1472</f>
        <v/>
      </c>
      <c r="D1472">
        <f>BASE_EQUIPOS!D1472</f>
        <v/>
      </c>
      <c r="E1472">
        <f>BASE_EQUIPOS!G1472</f>
        <v/>
      </c>
      <c r="F1472">
        <f>BASE_EQUIPOS!H1472</f>
        <v/>
      </c>
      <c r="G1472">
        <f>BASE_EQUIPOS!M1472</f>
        <v/>
      </c>
      <c r="I1472" t="inlineStr">
        <is>
          <t>308 / 000301</t>
        </is>
      </c>
    </row>
    <row r="1473">
      <c r="A1473">
        <f>TRIM(BASE_EQUIPOS!N1473)</f>
        <v/>
      </c>
      <c r="B1473">
        <f>BASE_EQUIPOS!A1473</f>
        <v/>
      </c>
      <c r="C1473">
        <f>BASE_EQUIPOS!B1473</f>
        <v/>
      </c>
      <c r="D1473">
        <f>BASE_EQUIPOS!D1473</f>
        <v/>
      </c>
      <c r="E1473">
        <f>BASE_EQUIPOS!G1473</f>
        <v/>
      </c>
      <c r="F1473">
        <f>BASE_EQUIPOS!H1473</f>
        <v/>
      </c>
      <c r="G1473">
        <f>BASE_EQUIPOS!M1473</f>
        <v/>
      </c>
      <c r="I1473" t="inlineStr">
        <is>
          <t>388 / 000098</t>
        </is>
      </c>
    </row>
    <row r="1474">
      <c r="A1474">
        <f>TRIM(BASE_EQUIPOS!N1474)</f>
        <v/>
      </c>
      <c r="B1474">
        <f>BASE_EQUIPOS!A1474</f>
        <v/>
      </c>
      <c r="C1474">
        <f>BASE_EQUIPOS!B1474</f>
        <v/>
      </c>
      <c r="D1474">
        <f>BASE_EQUIPOS!D1474</f>
        <v/>
      </c>
      <c r="E1474">
        <f>BASE_EQUIPOS!G1474</f>
        <v/>
      </c>
      <c r="F1474">
        <f>BASE_EQUIPOS!H1474</f>
        <v/>
      </c>
      <c r="G1474">
        <f>BASE_EQUIPOS!M1474</f>
        <v/>
      </c>
      <c r="I1474" t="inlineStr">
        <is>
          <t>290 / 002769</t>
        </is>
      </c>
    </row>
    <row r="1475">
      <c r="A1475">
        <f>TRIM(BASE_EQUIPOS!N1475)</f>
        <v/>
      </c>
      <c r="B1475">
        <f>BASE_EQUIPOS!A1475</f>
        <v/>
      </c>
      <c r="C1475">
        <f>BASE_EQUIPOS!B1475</f>
        <v/>
      </c>
      <c r="D1475">
        <f>BASE_EQUIPOS!D1475</f>
        <v/>
      </c>
      <c r="E1475">
        <f>BASE_EQUIPOS!G1475</f>
        <v/>
      </c>
      <c r="F1475">
        <f>BASE_EQUIPOS!H1475</f>
        <v/>
      </c>
      <c r="G1475">
        <f>BASE_EQUIPOS!M1475</f>
        <v/>
      </c>
      <c r="I1475" t="inlineStr">
        <is>
          <t>175 / 000431</t>
        </is>
      </c>
    </row>
    <row r="1476">
      <c r="A1476">
        <f>TRIM(BASE_EQUIPOS!N1476)</f>
        <v/>
      </c>
      <c r="B1476">
        <f>BASE_EQUIPOS!A1476</f>
        <v/>
      </c>
      <c r="C1476">
        <f>BASE_EQUIPOS!B1476</f>
        <v/>
      </c>
      <c r="D1476">
        <f>BASE_EQUIPOS!D1476</f>
        <v/>
      </c>
      <c r="E1476">
        <f>BASE_EQUIPOS!G1476</f>
        <v/>
      </c>
      <c r="F1476">
        <f>BASE_EQUIPOS!H1476</f>
        <v/>
      </c>
      <c r="G1476">
        <f>BASE_EQUIPOS!M1476</f>
        <v/>
      </c>
      <c r="I1476" t="inlineStr">
        <is>
          <t>286 / 001921</t>
        </is>
      </c>
    </row>
    <row r="1477">
      <c r="A1477">
        <f>TRIM(BASE_EQUIPOS!N1477)</f>
        <v/>
      </c>
      <c r="B1477">
        <f>BASE_EQUIPOS!A1477</f>
        <v/>
      </c>
      <c r="C1477">
        <f>BASE_EQUIPOS!B1477</f>
        <v/>
      </c>
      <c r="D1477">
        <f>BASE_EQUIPOS!D1477</f>
        <v/>
      </c>
      <c r="E1477">
        <f>BASE_EQUIPOS!G1477</f>
        <v/>
      </c>
      <c r="F1477">
        <f>BASE_EQUIPOS!H1477</f>
        <v/>
      </c>
      <c r="G1477">
        <f>BASE_EQUIPOS!M1477</f>
        <v/>
      </c>
      <c r="I1477" t="inlineStr">
        <is>
          <t>243 / 000409</t>
        </is>
      </c>
    </row>
    <row r="1478">
      <c r="A1478">
        <f>TRIM(BASE_EQUIPOS!N1478)</f>
        <v/>
      </c>
      <c r="B1478">
        <f>BASE_EQUIPOS!A1478</f>
        <v/>
      </c>
      <c r="C1478">
        <f>BASE_EQUIPOS!B1478</f>
        <v/>
      </c>
      <c r="D1478">
        <f>BASE_EQUIPOS!D1478</f>
        <v/>
      </c>
      <c r="E1478">
        <f>BASE_EQUIPOS!G1478</f>
        <v/>
      </c>
      <c r="F1478">
        <f>BASE_EQUIPOS!H1478</f>
        <v/>
      </c>
      <c r="G1478">
        <f>BASE_EQUIPOS!M1478</f>
        <v/>
      </c>
      <c r="I1478" t="inlineStr">
        <is>
          <t>398 / 000737</t>
        </is>
      </c>
    </row>
    <row r="1479">
      <c r="A1479">
        <f>TRIM(BASE_EQUIPOS!N1479)</f>
        <v/>
      </c>
      <c r="B1479">
        <f>BASE_EQUIPOS!A1479</f>
        <v/>
      </c>
      <c r="C1479">
        <f>BASE_EQUIPOS!B1479</f>
        <v/>
      </c>
      <c r="D1479">
        <f>BASE_EQUIPOS!D1479</f>
        <v/>
      </c>
      <c r="E1479">
        <f>BASE_EQUIPOS!G1479</f>
        <v/>
      </c>
      <c r="F1479">
        <f>BASE_EQUIPOS!H1479</f>
        <v/>
      </c>
      <c r="G1479">
        <f>BASE_EQUIPOS!M1479</f>
        <v/>
      </c>
      <c r="I1479" t="inlineStr">
        <is>
          <t>400 / 000377</t>
        </is>
      </c>
    </row>
    <row r="1480">
      <c r="A1480">
        <f>TRIM(BASE_EQUIPOS!N1480)</f>
        <v/>
      </c>
      <c r="B1480">
        <f>BASE_EQUIPOS!A1480</f>
        <v/>
      </c>
      <c r="C1480">
        <f>BASE_EQUIPOS!B1480</f>
        <v/>
      </c>
      <c r="D1480">
        <f>BASE_EQUIPOS!D1480</f>
        <v/>
      </c>
      <c r="E1480">
        <f>BASE_EQUIPOS!G1480</f>
        <v/>
      </c>
      <c r="F1480">
        <f>BASE_EQUIPOS!H1480</f>
        <v/>
      </c>
      <c r="G1480">
        <f>BASE_EQUIPOS!M1480</f>
        <v/>
      </c>
      <c r="I1480" t="inlineStr">
        <is>
          <t>285 / 000853</t>
        </is>
      </c>
    </row>
    <row r="1481">
      <c r="A1481">
        <f>TRIM(BASE_EQUIPOS!N1481)</f>
        <v/>
      </c>
      <c r="B1481">
        <f>BASE_EQUIPOS!A1481</f>
        <v/>
      </c>
      <c r="C1481">
        <f>BASE_EQUIPOS!B1481</f>
        <v/>
      </c>
      <c r="D1481">
        <f>BASE_EQUIPOS!D1481</f>
        <v/>
      </c>
      <c r="E1481">
        <f>BASE_EQUIPOS!G1481</f>
        <v/>
      </c>
      <c r="F1481">
        <f>BASE_EQUIPOS!H1481</f>
        <v/>
      </c>
      <c r="G1481">
        <f>BASE_EQUIPOS!M1481</f>
        <v/>
      </c>
      <c r="I1481" t="inlineStr">
        <is>
          <t>405649</t>
        </is>
      </c>
    </row>
    <row r="1482">
      <c r="A1482">
        <f>TRIM(BASE_EQUIPOS!N1482)</f>
        <v/>
      </c>
      <c r="B1482">
        <f>BASE_EQUIPOS!A1482</f>
        <v/>
      </c>
      <c r="C1482">
        <f>BASE_EQUIPOS!B1482</f>
        <v/>
      </c>
      <c r="D1482">
        <f>BASE_EQUIPOS!D1482</f>
        <v/>
      </c>
      <c r="E1482">
        <f>BASE_EQUIPOS!G1482</f>
        <v/>
      </c>
      <c r="F1482">
        <f>BASE_EQUIPOS!H1482</f>
        <v/>
      </c>
      <c r="G1482">
        <f>BASE_EQUIPOS!M1482</f>
        <v/>
      </c>
      <c r="I1482" t="inlineStr">
        <is>
          <t>223 / 001170</t>
        </is>
      </c>
    </row>
    <row r="1483">
      <c r="A1483">
        <f>TRIM(BASE_EQUIPOS!N1483)</f>
        <v/>
      </c>
      <c r="B1483">
        <f>BASE_EQUIPOS!A1483</f>
        <v/>
      </c>
      <c r="C1483">
        <f>BASE_EQUIPOS!B1483</f>
        <v/>
      </c>
      <c r="D1483">
        <f>BASE_EQUIPOS!D1483</f>
        <v/>
      </c>
      <c r="E1483">
        <f>BASE_EQUIPOS!G1483</f>
        <v/>
      </c>
      <c r="F1483">
        <f>BASE_EQUIPOS!H1483</f>
        <v/>
      </c>
      <c r="G1483">
        <f>BASE_EQUIPOS!M1483</f>
        <v/>
      </c>
      <c r="I1483" t="inlineStr">
        <is>
          <t>343 / 000597</t>
        </is>
      </c>
    </row>
    <row r="1484">
      <c r="A1484">
        <f>TRIM(BASE_EQUIPOS!N1484)</f>
        <v/>
      </c>
      <c r="B1484">
        <f>BASE_EQUIPOS!A1484</f>
        <v/>
      </c>
      <c r="C1484">
        <f>BASE_EQUIPOS!B1484</f>
        <v/>
      </c>
      <c r="D1484">
        <f>BASE_EQUIPOS!D1484</f>
        <v/>
      </c>
      <c r="E1484">
        <f>BASE_EQUIPOS!G1484</f>
        <v/>
      </c>
      <c r="F1484">
        <f>BASE_EQUIPOS!H1484</f>
        <v/>
      </c>
      <c r="G1484">
        <f>BASE_EQUIPOS!M1484</f>
        <v/>
      </c>
      <c r="I1484" t="inlineStr">
        <is>
          <t>311 / 001700</t>
        </is>
      </c>
    </row>
    <row r="1485">
      <c r="A1485">
        <f>TRIM(BASE_EQUIPOS!N1485)</f>
        <v/>
      </c>
      <c r="B1485">
        <f>BASE_EQUIPOS!A1485</f>
        <v/>
      </c>
      <c r="C1485">
        <f>BASE_EQUIPOS!B1485</f>
        <v/>
      </c>
      <c r="D1485">
        <f>BASE_EQUIPOS!D1485</f>
        <v/>
      </c>
      <c r="E1485">
        <f>BASE_EQUIPOS!G1485</f>
        <v/>
      </c>
      <c r="F1485">
        <f>BASE_EQUIPOS!H1485</f>
        <v/>
      </c>
      <c r="G1485">
        <f>BASE_EQUIPOS!M1485</f>
        <v/>
      </c>
      <c r="I1485" t="inlineStr">
        <is>
          <t>352 / 001485</t>
        </is>
      </c>
    </row>
    <row r="1486">
      <c r="A1486">
        <f>TRIM(BASE_EQUIPOS!N1486)</f>
        <v/>
      </c>
      <c r="B1486">
        <f>BASE_EQUIPOS!A1486</f>
        <v/>
      </c>
      <c r="C1486">
        <f>BASE_EQUIPOS!B1486</f>
        <v/>
      </c>
      <c r="D1486">
        <f>BASE_EQUIPOS!D1486</f>
        <v/>
      </c>
      <c r="E1486">
        <f>BASE_EQUIPOS!G1486</f>
        <v/>
      </c>
      <c r="F1486">
        <f>BASE_EQUIPOS!H1486</f>
        <v/>
      </c>
      <c r="G1486">
        <f>BASE_EQUIPOS!M1486</f>
        <v/>
      </c>
      <c r="I1486" t="inlineStr">
        <is>
          <t>08 / 002715</t>
        </is>
      </c>
    </row>
    <row r="1487">
      <c r="A1487">
        <f>TRIM(BASE_EQUIPOS!N1487)</f>
        <v/>
      </c>
      <c r="B1487">
        <f>BASE_EQUIPOS!A1487</f>
        <v/>
      </c>
      <c r="C1487">
        <f>BASE_EQUIPOS!B1487</f>
        <v/>
      </c>
      <c r="D1487">
        <f>BASE_EQUIPOS!D1487</f>
        <v/>
      </c>
      <c r="E1487">
        <f>BASE_EQUIPOS!G1487</f>
        <v/>
      </c>
      <c r="F1487">
        <f>BASE_EQUIPOS!H1487</f>
        <v/>
      </c>
      <c r="G1487">
        <f>BASE_EQUIPOS!M1487</f>
        <v/>
      </c>
      <c r="I1487" t="inlineStr">
        <is>
          <t>206 / 001475</t>
        </is>
      </c>
    </row>
    <row r="1488">
      <c r="A1488">
        <f>TRIM(BASE_EQUIPOS!N1488)</f>
        <v/>
      </c>
      <c r="B1488">
        <f>BASE_EQUIPOS!A1488</f>
        <v/>
      </c>
      <c r="C1488">
        <f>BASE_EQUIPOS!B1488</f>
        <v/>
      </c>
      <c r="D1488">
        <f>BASE_EQUIPOS!D1488</f>
        <v/>
      </c>
      <c r="E1488">
        <f>BASE_EQUIPOS!G1488</f>
        <v/>
      </c>
      <c r="F1488">
        <f>BASE_EQUIPOS!H1488</f>
        <v/>
      </c>
      <c r="G1488">
        <f>BASE_EQUIPOS!M1488</f>
        <v/>
      </c>
      <c r="I1488" t="inlineStr">
        <is>
          <t>287 / 000680</t>
        </is>
      </c>
    </row>
    <row r="1489">
      <c r="A1489">
        <f>TRIM(BASE_EQUIPOS!N1489)</f>
        <v/>
      </c>
      <c r="B1489">
        <f>BASE_EQUIPOS!A1489</f>
        <v/>
      </c>
      <c r="C1489">
        <f>BASE_EQUIPOS!B1489</f>
        <v/>
      </c>
      <c r="D1489">
        <f>BASE_EQUIPOS!D1489</f>
        <v/>
      </c>
      <c r="E1489">
        <f>BASE_EQUIPOS!G1489</f>
        <v/>
      </c>
      <c r="F1489">
        <f>BASE_EQUIPOS!H1489</f>
        <v/>
      </c>
      <c r="G1489">
        <f>BASE_EQUIPOS!M1489</f>
        <v/>
      </c>
      <c r="I1489" t="inlineStr">
        <is>
          <t>183 / 001640</t>
        </is>
      </c>
    </row>
    <row r="1490">
      <c r="A1490">
        <f>TRIM(BASE_EQUIPOS!N1490)</f>
        <v/>
      </c>
      <c r="B1490">
        <f>BASE_EQUIPOS!A1490</f>
        <v/>
      </c>
      <c r="C1490">
        <f>BASE_EQUIPOS!B1490</f>
        <v/>
      </c>
      <c r="D1490">
        <f>BASE_EQUIPOS!D1490</f>
        <v/>
      </c>
      <c r="E1490">
        <f>BASE_EQUIPOS!G1490</f>
        <v/>
      </c>
      <c r="F1490">
        <f>BASE_EQUIPOS!H1490</f>
        <v/>
      </c>
      <c r="G1490">
        <f>BASE_EQUIPOS!M1490</f>
        <v/>
      </c>
      <c r="I1490" t="inlineStr">
        <is>
          <t>324 / 002625</t>
        </is>
      </c>
    </row>
    <row r="1491">
      <c r="A1491">
        <f>TRIM(BASE_EQUIPOS!N1491)</f>
        <v/>
      </c>
      <c r="B1491">
        <f>BASE_EQUIPOS!A1491</f>
        <v/>
      </c>
      <c r="C1491">
        <f>BASE_EQUIPOS!B1491</f>
        <v/>
      </c>
      <c r="D1491">
        <f>BASE_EQUIPOS!D1491</f>
        <v/>
      </c>
      <c r="E1491">
        <f>BASE_EQUIPOS!G1491</f>
        <v/>
      </c>
      <c r="F1491">
        <f>BASE_EQUIPOS!H1491</f>
        <v/>
      </c>
      <c r="G1491">
        <f>BASE_EQUIPOS!M1491</f>
        <v/>
      </c>
      <c r="I1491" t="inlineStr">
        <is>
          <t>307 / 000138</t>
        </is>
      </c>
    </row>
    <row r="1492">
      <c r="A1492">
        <f>TRIM(BASE_EQUIPOS!N1492)</f>
        <v/>
      </c>
      <c r="B1492">
        <f>BASE_EQUIPOS!A1492</f>
        <v/>
      </c>
      <c r="C1492">
        <f>BASE_EQUIPOS!B1492</f>
        <v/>
      </c>
      <c r="D1492">
        <f>BASE_EQUIPOS!D1492</f>
        <v/>
      </c>
      <c r="E1492">
        <f>BASE_EQUIPOS!G1492</f>
        <v/>
      </c>
      <c r="F1492">
        <f>BASE_EQUIPOS!H1492</f>
        <v/>
      </c>
      <c r="G1492">
        <f>BASE_EQUIPOS!M1492</f>
        <v/>
      </c>
      <c r="I1492" t="inlineStr">
        <is>
          <t>253 / 000611</t>
        </is>
      </c>
    </row>
    <row r="1493">
      <c r="A1493">
        <f>TRIM(BASE_EQUIPOS!N1493)</f>
        <v/>
      </c>
      <c r="B1493">
        <f>BASE_EQUIPOS!A1493</f>
        <v/>
      </c>
      <c r="C1493">
        <f>BASE_EQUIPOS!B1493</f>
        <v/>
      </c>
      <c r="D1493">
        <f>BASE_EQUIPOS!D1493</f>
        <v/>
      </c>
      <c r="E1493">
        <f>BASE_EQUIPOS!G1493</f>
        <v/>
      </c>
      <c r="F1493">
        <f>BASE_EQUIPOS!H1493</f>
        <v/>
      </c>
      <c r="G1493">
        <f>BASE_EQUIPOS!M1493</f>
        <v/>
      </c>
      <c r="I1493" t="inlineStr">
        <is>
          <t>103 / 000245</t>
        </is>
      </c>
    </row>
    <row r="1494">
      <c r="A1494">
        <f>TRIM(BASE_EQUIPOS!N1494)</f>
        <v/>
      </c>
      <c r="B1494">
        <f>BASE_EQUIPOS!A1494</f>
        <v/>
      </c>
      <c r="C1494">
        <f>BASE_EQUIPOS!B1494</f>
        <v/>
      </c>
      <c r="D1494">
        <f>BASE_EQUIPOS!D1494</f>
        <v/>
      </c>
      <c r="E1494">
        <f>BASE_EQUIPOS!G1494</f>
        <v/>
      </c>
      <c r="F1494">
        <f>BASE_EQUIPOS!H1494</f>
        <v/>
      </c>
      <c r="G1494">
        <f>BASE_EQUIPOS!M1494</f>
        <v/>
      </c>
      <c r="I1494" t="inlineStr">
        <is>
          <t>184 / 000689</t>
        </is>
      </c>
    </row>
    <row r="1495">
      <c r="A1495">
        <f>TRIM(BASE_EQUIPOS!N1495)</f>
        <v/>
      </c>
      <c r="B1495">
        <f>BASE_EQUIPOS!A1495</f>
        <v/>
      </c>
      <c r="C1495">
        <f>BASE_EQUIPOS!B1495</f>
        <v/>
      </c>
      <c r="D1495">
        <f>BASE_EQUIPOS!D1495</f>
        <v/>
      </c>
      <c r="E1495">
        <f>BASE_EQUIPOS!G1495</f>
        <v/>
      </c>
      <c r="F1495">
        <f>BASE_EQUIPOS!H1495</f>
        <v/>
      </c>
      <c r="G1495">
        <f>BASE_EQUIPOS!M1495</f>
        <v/>
      </c>
      <c r="I1495" t="inlineStr">
        <is>
          <t>350 / 001026</t>
        </is>
      </c>
    </row>
    <row r="1496">
      <c r="A1496">
        <f>TRIM(BASE_EQUIPOS!N1496)</f>
        <v/>
      </c>
      <c r="B1496">
        <f>BASE_EQUIPOS!A1496</f>
        <v/>
      </c>
      <c r="C1496">
        <f>BASE_EQUIPOS!B1496</f>
        <v/>
      </c>
      <c r="D1496">
        <f>BASE_EQUIPOS!D1496</f>
        <v/>
      </c>
      <c r="E1496">
        <f>BASE_EQUIPOS!G1496</f>
        <v/>
      </c>
      <c r="F1496">
        <f>BASE_EQUIPOS!H1496</f>
        <v/>
      </c>
      <c r="G1496">
        <f>BASE_EQUIPOS!M1496</f>
        <v/>
      </c>
      <c r="I1496" t="inlineStr">
        <is>
          <t>230 / 001201</t>
        </is>
      </c>
    </row>
    <row r="1497">
      <c r="A1497">
        <f>TRIM(BASE_EQUIPOS!N1497)</f>
        <v/>
      </c>
      <c r="B1497">
        <f>BASE_EQUIPOS!A1497</f>
        <v/>
      </c>
      <c r="C1497">
        <f>BASE_EQUIPOS!B1497</f>
        <v/>
      </c>
      <c r="D1497">
        <f>BASE_EQUIPOS!D1497</f>
        <v/>
      </c>
      <c r="E1497">
        <f>BASE_EQUIPOS!G1497</f>
        <v/>
      </c>
      <c r="F1497">
        <f>BASE_EQUIPOS!H1497</f>
        <v/>
      </c>
      <c r="G1497">
        <f>BASE_EQUIPOS!M1497</f>
        <v/>
      </c>
      <c r="I1497" t="inlineStr">
        <is>
          <t>295 / 000704</t>
        </is>
      </c>
    </row>
    <row r="1498">
      <c r="A1498">
        <f>TRIM(BASE_EQUIPOS!N1498)</f>
        <v/>
      </c>
      <c r="B1498">
        <f>BASE_EQUIPOS!A1498</f>
        <v/>
      </c>
      <c r="C1498">
        <f>BASE_EQUIPOS!B1498</f>
        <v/>
      </c>
      <c r="D1498">
        <f>BASE_EQUIPOS!D1498</f>
        <v/>
      </c>
      <c r="E1498">
        <f>BASE_EQUIPOS!G1498</f>
        <v/>
      </c>
      <c r="F1498">
        <f>BASE_EQUIPOS!H1498</f>
        <v/>
      </c>
      <c r="G1498">
        <f>BASE_EQUIPOS!M1498</f>
        <v/>
      </c>
      <c r="I1498" t="inlineStr">
        <is>
          <t>05 / 000257</t>
        </is>
      </c>
    </row>
    <row r="1499">
      <c r="A1499">
        <f>TRIM(BASE_EQUIPOS!N1499)</f>
        <v/>
      </c>
      <c r="B1499">
        <f>BASE_EQUIPOS!A1499</f>
        <v/>
      </c>
      <c r="C1499">
        <f>BASE_EQUIPOS!B1499</f>
        <v/>
      </c>
      <c r="D1499">
        <f>BASE_EQUIPOS!D1499</f>
        <v/>
      </c>
      <c r="E1499">
        <f>BASE_EQUIPOS!G1499</f>
        <v/>
      </c>
      <c r="F1499">
        <f>BASE_EQUIPOS!H1499</f>
        <v/>
      </c>
      <c r="G1499">
        <f>BASE_EQUIPOS!M1499</f>
        <v/>
      </c>
      <c r="I1499" t="inlineStr">
        <is>
          <t>09 / 001999</t>
        </is>
      </c>
    </row>
    <row r="1500">
      <c r="A1500">
        <f>TRIM(BASE_EQUIPOS!N1500)</f>
        <v/>
      </c>
      <c r="B1500">
        <f>BASE_EQUIPOS!A1500</f>
        <v/>
      </c>
      <c r="C1500">
        <f>BASE_EQUIPOS!B1500</f>
        <v/>
      </c>
      <c r="D1500">
        <f>BASE_EQUIPOS!D1500</f>
        <v/>
      </c>
      <c r="E1500">
        <f>BASE_EQUIPOS!G1500</f>
        <v/>
      </c>
      <c r="F1500">
        <f>BASE_EQUIPOS!H1500</f>
        <v/>
      </c>
      <c r="G1500">
        <f>BASE_EQUIPOS!M1500</f>
        <v/>
      </c>
      <c r="I1500" t="inlineStr">
        <is>
          <t>123 / 001622</t>
        </is>
      </c>
    </row>
    <row r="1501">
      <c r="A1501">
        <f>TRIM(BASE_EQUIPOS!N1501)</f>
        <v/>
      </c>
      <c r="B1501">
        <f>BASE_EQUIPOS!A1501</f>
        <v/>
      </c>
      <c r="C1501">
        <f>BASE_EQUIPOS!B1501</f>
        <v/>
      </c>
      <c r="D1501">
        <f>BASE_EQUIPOS!D1501</f>
        <v/>
      </c>
      <c r="E1501">
        <f>BASE_EQUIPOS!G1501</f>
        <v/>
      </c>
      <c r="F1501">
        <f>BASE_EQUIPOS!H1501</f>
        <v/>
      </c>
      <c r="G1501">
        <f>BASE_EQUIPOS!M1501</f>
        <v/>
      </c>
      <c r="I1501" t="inlineStr">
        <is>
          <t>19 / 000915</t>
        </is>
      </c>
    </row>
    <row r="1502">
      <c r="A1502">
        <f>TRIM(BASE_EQUIPOS!N1502)</f>
        <v/>
      </c>
      <c r="B1502">
        <f>BASE_EQUIPOS!A1502</f>
        <v/>
      </c>
      <c r="C1502">
        <f>BASE_EQUIPOS!B1502</f>
        <v/>
      </c>
      <c r="D1502">
        <f>BASE_EQUIPOS!D1502</f>
        <v/>
      </c>
      <c r="E1502">
        <f>BASE_EQUIPOS!G1502</f>
        <v/>
      </c>
      <c r="F1502">
        <f>BASE_EQUIPOS!H1502</f>
        <v/>
      </c>
      <c r="G1502">
        <f>BASE_EQUIPOS!M1502</f>
        <v/>
      </c>
      <c r="I1502" t="inlineStr">
        <is>
          <t>132 / 001015</t>
        </is>
      </c>
    </row>
    <row r="1503">
      <c r="A1503">
        <f>TRIM(BASE_EQUIPOS!N1503)</f>
        <v/>
      </c>
      <c r="B1503">
        <f>BASE_EQUIPOS!A1503</f>
        <v/>
      </c>
      <c r="C1503">
        <f>BASE_EQUIPOS!B1503</f>
        <v/>
      </c>
      <c r="D1503">
        <f>BASE_EQUIPOS!D1503</f>
        <v/>
      </c>
      <c r="E1503">
        <f>BASE_EQUIPOS!G1503</f>
        <v/>
      </c>
      <c r="F1503">
        <f>BASE_EQUIPOS!H1503</f>
        <v/>
      </c>
      <c r="G1503">
        <f>BASE_EQUIPOS!M1503</f>
        <v/>
      </c>
      <c r="I1503" t="inlineStr">
        <is>
          <t>319 / 000923</t>
        </is>
      </c>
    </row>
    <row r="1504">
      <c r="A1504">
        <f>TRIM(BASE_EQUIPOS!N1504)</f>
        <v/>
      </c>
      <c r="B1504">
        <f>BASE_EQUIPOS!A1504</f>
        <v/>
      </c>
      <c r="C1504">
        <f>BASE_EQUIPOS!B1504</f>
        <v/>
      </c>
      <c r="D1504">
        <f>BASE_EQUIPOS!D1504</f>
        <v/>
      </c>
      <c r="E1504">
        <f>BASE_EQUIPOS!G1504</f>
        <v/>
      </c>
      <c r="F1504">
        <f>BASE_EQUIPOS!H1504</f>
        <v/>
      </c>
      <c r="G1504">
        <f>BASE_EQUIPOS!M1504</f>
        <v/>
      </c>
      <c r="I1504" t="inlineStr">
        <is>
          <t>113 / 000005</t>
        </is>
      </c>
    </row>
    <row r="1505">
      <c r="A1505">
        <f>TRIM(BASE_EQUIPOS!N1505)</f>
        <v/>
      </c>
      <c r="B1505">
        <f>BASE_EQUIPOS!A1505</f>
        <v/>
      </c>
      <c r="C1505">
        <f>BASE_EQUIPOS!B1505</f>
        <v/>
      </c>
      <c r="D1505">
        <f>BASE_EQUIPOS!D1505</f>
        <v/>
      </c>
      <c r="E1505">
        <f>BASE_EQUIPOS!G1505</f>
        <v/>
      </c>
      <c r="F1505">
        <f>BASE_EQUIPOS!H1505</f>
        <v/>
      </c>
      <c r="G1505">
        <f>BASE_EQUIPOS!M1505</f>
        <v/>
      </c>
      <c r="I1505" t="inlineStr">
        <is>
          <t>238 / 000534</t>
        </is>
      </c>
    </row>
    <row r="1506">
      <c r="A1506">
        <f>TRIM(BASE_EQUIPOS!N1506)</f>
        <v/>
      </c>
      <c r="B1506">
        <f>BASE_EQUIPOS!A1506</f>
        <v/>
      </c>
      <c r="C1506">
        <f>BASE_EQUIPOS!B1506</f>
        <v/>
      </c>
      <c r="D1506">
        <f>BASE_EQUIPOS!D1506</f>
        <v/>
      </c>
      <c r="E1506">
        <f>BASE_EQUIPOS!G1506</f>
        <v/>
      </c>
      <c r="F1506">
        <f>BASE_EQUIPOS!H1506</f>
        <v/>
      </c>
      <c r="G1506">
        <f>BASE_EQUIPOS!M1506</f>
        <v/>
      </c>
      <c r="I1506" t="inlineStr">
        <is>
          <t>285 / 000802</t>
        </is>
      </c>
    </row>
    <row r="1507">
      <c r="A1507">
        <f>TRIM(BASE_EQUIPOS!N1507)</f>
        <v/>
      </c>
      <c r="B1507">
        <f>BASE_EQUIPOS!A1507</f>
        <v/>
      </c>
      <c r="C1507">
        <f>BASE_EQUIPOS!B1507</f>
        <v/>
      </c>
      <c r="D1507">
        <f>BASE_EQUIPOS!D1507</f>
        <v/>
      </c>
      <c r="E1507">
        <f>BASE_EQUIPOS!G1507</f>
        <v/>
      </c>
      <c r="F1507">
        <f>BASE_EQUIPOS!H1507</f>
        <v/>
      </c>
      <c r="G1507">
        <f>BASE_EQUIPOS!M1507</f>
        <v/>
      </c>
      <c r="I1507" t="inlineStr">
        <is>
          <t>002473</t>
        </is>
      </c>
    </row>
    <row r="1508">
      <c r="A1508">
        <f>TRIM(BASE_EQUIPOS!N1508)</f>
        <v/>
      </c>
      <c r="B1508">
        <f>BASE_EQUIPOS!A1508</f>
        <v/>
      </c>
      <c r="C1508">
        <f>BASE_EQUIPOS!B1508</f>
        <v/>
      </c>
      <c r="D1508">
        <f>BASE_EQUIPOS!D1508</f>
        <v/>
      </c>
      <c r="E1508">
        <f>BASE_EQUIPOS!G1508</f>
        <v/>
      </c>
      <c r="F1508">
        <f>BASE_EQUIPOS!H1508</f>
        <v/>
      </c>
      <c r="G1508">
        <f>BASE_EQUIPOS!M1508</f>
        <v/>
      </c>
      <c r="I1508" t="inlineStr">
        <is>
          <t>PISO 1 / 000697</t>
        </is>
      </c>
    </row>
    <row r="1509">
      <c r="A1509">
        <f>TRIM(BASE_EQUIPOS!N1509)</f>
        <v/>
      </c>
      <c r="B1509">
        <f>BASE_EQUIPOS!A1509</f>
        <v/>
      </c>
      <c r="C1509">
        <f>BASE_EQUIPOS!B1509</f>
        <v/>
      </c>
      <c r="D1509">
        <f>BASE_EQUIPOS!D1509</f>
        <v/>
      </c>
      <c r="E1509">
        <f>BASE_EQUIPOS!G1509</f>
        <v/>
      </c>
      <c r="F1509">
        <f>BASE_EQUIPOS!H1509</f>
        <v/>
      </c>
      <c r="G1509">
        <f>BASE_EQUIPOS!M1509</f>
        <v/>
      </c>
      <c r="I1509" t="inlineStr">
        <is>
          <t>PISO 2 / 000715</t>
        </is>
      </c>
    </row>
    <row r="1510">
      <c r="A1510">
        <f>TRIM(BASE_EQUIPOS!N1510)</f>
        <v/>
      </c>
      <c r="B1510">
        <f>BASE_EQUIPOS!A1510</f>
        <v/>
      </c>
      <c r="C1510">
        <f>BASE_EQUIPOS!B1510</f>
        <v/>
      </c>
      <c r="D1510">
        <f>BASE_EQUIPOS!D1510</f>
        <v/>
      </c>
      <c r="E1510">
        <f>BASE_EQUIPOS!G1510</f>
        <v/>
      </c>
      <c r="F1510">
        <f>BASE_EQUIPOS!H1510</f>
        <v/>
      </c>
      <c r="G1510">
        <f>BASE_EQUIPOS!M1510</f>
        <v/>
      </c>
      <c r="I1510" t="inlineStr">
        <is>
          <t>PISO 3 / 000113</t>
        </is>
      </c>
    </row>
    <row r="1511">
      <c r="A1511">
        <f>TRIM(BASE_EQUIPOS!N1511)</f>
        <v/>
      </c>
      <c r="B1511">
        <f>BASE_EQUIPOS!A1511</f>
        <v/>
      </c>
      <c r="C1511">
        <f>BASE_EQUIPOS!B1511</f>
        <v/>
      </c>
      <c r="D1511">
        <f>BASE_EQUIPOS!D1511</f>
        <v/>
      </c>
      <c r="E1511">
        <f>BASE_EQUIPOS!G1511</f>
        <v/>
      </c>
      <c r="F1511">
        <f>BASE_EQUIPOS!H1511</f>
        <v/>
      </c>
      <c r="G1511">
        <f>BASE_EQUIPOS!M1511</f>
        <v/>
      </c>
      <c r="I1511" t="inlineStr">
        <is>
          <t>PISO 4 / 000984</t>
        </is>
      </c>
    </row>
    <row r="1512">
      <c r="A1512">
        <f>TRIM(BASE_EQUIPOS!N1512)</f>
        <v/>
      </c>
      <c r="B1512">
        <f>BASE_EQUIPOS!A1512</f>
        <v/>
      </c>
      <c r="C1512">
        <f>BASE_EQUIPOS!B1512</f>
        <v/>
      </c>
      <c r="D1512">
        <f>BASE_EQUIPOS!D1512</f>
        <v/>
      </c>
      <c r="E1512">
        <f>BASE_EQUIPOS!G1512</f>
        <v/>
      </c>
      <c r="F1512">
        <f>BASE_EQUIPOS!H1512</f>
        <v/>
      </c>
      <c r="G1512">
        <f>BASE_EQUIPOS!M1512</f>
        <v/>
      </c>
      <c r="I1512" t="inlineStr">
        <is>
          <t>PISO 5 / 001645</t>
        </is>
      </c>
    </row>
    <row r="1513">
      <c r="A1513">
        <f>TRIM(BASE_EQUIPOS!N1513)</f>
        <v/>
      </c>
      <c r="B1513">
        <f>BASE_EQUIPOS!A1513</f>
        <v/>
      </c>
      <c r="C1513">
        <f>BASE_EQUIPOS!B1513</f>
        <v/>
      </c>
      <c r="D1513">
        <f>BASE_EQUIPOS!D1513</f>
        <v/>
      </c>
      <c r="E1513">
        <f>BASE_EQUIPOS!G1513</f>
        <v/>
      </c>
      <c r="F1513">
        <f>BASE_EQUIPOS!H1513</f>
        <v/>
      </c>
      <c r="G1513">
        <f>BASE_EQUIPOS!M1513</f>
        <v/>
      </c>
      <c r="I1513" t="inlineStr">
        <is>
          <t>PISO 6 / 000470</t>
        </is>
      </c>
    </row>
    <row r="1514">
      <c r="A1514">
        <f>TRIM(BASE_EQUIPOS!N1514)</f>
        <v/>
      </c>
      <c r="B1514">
        <f>BASE_EQUIPOS!A1514</f>
        <v/>
      </c>
      <c r="C1514">
        <f>BASE_EQUIPOS!B1514</f>
        <v/>
      </c>
      <c r="D1514">
        <f>BASE_EQUIPOS!D1514</f>
        <v/>
      </c>
      <c r="E1514">
        <f>BASE_EQUIPOS!G1514</f>
        <v/>
      </c>
      <c r="F1514">
        <f>BASE_EQUIPOS!H1514</f>
        <v/>
      </c>
      <c r="G1514">
        <f>BASE_EQUIPOS!M1514</f>
        <v/>
      </c>
      <c r="I1514" t="inlineStr">
        <is>
          <t>PISO 7 / 000762</t>
        </is>
      </c>
    </row>
    <row r="1515">
      <c r="A1515">
        <f>TRIM(BASE_EQUIPOS!N1515)</f>
        <v/>
      </c>
      <c r="B1515">
        <f>BASE_EQUIPOS!A1515</f>
        <v/>
      </c>
      <c r="C1515">
        <f>BASE_EQUIPOS!B1515</f>
        <v/>
      </c>
      <c r="D1515">
        <f>BASE_EQUIPOS!D1515</f>
        <v/>
      </c>
      <c r="E1515">
        <f>BASE_EQUIPOS!G1515</f>
        <v/>
      </c>
      <c r="F1515">
        <f>BASE_EQUIPOS!H1515</f>
        <v/>
      </c>
      <c r="G1515">
        <f>BASE_EQUIPOS!M1515</f>
        <v/>
      </c>
      <c r="I1515" t="inlineStr">
        <is>
          <t>PISO 8 / 000035</t>
        </is>
      </c>
    </row>
    <row r="1516">
      <c r="A1516">
        <f>TRIM(BASE_EQUIPOS!N1516)</f>
        <v/>
      </c>
      <c r="B1516">
        <f>BASE_EQUIPOS!A1516</f>
        <v/>
      </c>
      <c r="C1516">
        <f>BASE_EQUIPOS!B1516</f>
        <v/>
      </c>
      <c r="D1516">
        <f>BASE_EQUIPOS!D1516</f>
        <v/>
      </c>
      <c r="E1516">
        <f>BASE_EQUIPOS!G1516</f>
        <v/>
      </c>
      <c r="F1516">
        <f>BASE_EQUIPOS!H1516</f>
        <v/>
      </c>
      <c r="G1516">
        <f>BASE_EQUIPOS!M1516</f>
        <v/>
      </c>
      <c r="I1516" t="inlineStr">
        <is>
          <t>PISO 9 / 000178</t>
        </is>
      </c>
    </row>
    <row r="1517">
      <c r="A1517">
        <f>TRIM(BASE_EQUIPOS!N1517)</f>
        <v/>
      </c>
      <c r="B1517">
        <f>BASE_EQUIPOS!A1517</f>
        <v/>
      </c>
      <c r="C1517">
        <f>BASE_EQUIPOS!B1517</f>
        <v/>
      </c>
      <c r="D1517">
        <f>BASE_EQUIPOS!D1517</f>
        <v/>
      </c>
      <c r="E1517">
        <f>BASE_EQUIPOS!G1517</f>
        <v/>
      </c>
      <c r="F1517">
        <f>BASE_EQUIPOS!H1517</f>
        <v/>
      </c>
      <c r="G1517">
        <f>BASE_EQUIPOS!M1517</f>
        <v/>
      </c>
      <c r="I1517" t="inlineStr">
        <is>
          <t>PISO 10 / 000977</t>
        </is>
      </c>
    </row>
    <row r="1518">
      <c r="A1518">
        <f>TRIM(BASE_EQUIPOS!N1518)</f>
        <v/>
      </c>
      <c r="B1518">
        <f>BASE_EQUIPOS!A1518</f>
        <v/>
      </c>
      <c r="C1518">
        <f>BASE_EQUIPOS!B1518</f>
        <v/>
      </c>
      <c r="D1518">
        <f>BASE_EQUIPOS!D1518</f>
        <v/>
      </c>
      <c r="E1518">
        <f>BASE_EQUIPOS!G1518</f>
        <v/>
      </c>
      <c r="F1518">
        <f>BASE_EQUIPOS!H1518</f>
        <v/>
      </c>
      <c r="G1518">
        <f>BASE_EQUIPOS!M1518</f>
        <v/>
      </c>
      <c r="I1518" t="inlineStr">
        <is>
          <t>002955</t>
        </is>
      </c>
    </row>
    <row r="1519">
      <c r="A1519">
        <f>TRIM(BASE_EQUIPOS!N1519)</f>
        <v/>
      </c>
      <c r="B1519">
        <f>BASE_EQUIPOS!A1519</f>
        <v/>
      </c>
      <c r="C1519">
        <f>BASE_EQUIPOS!B1519</f>
        <v/>
      </c>
      <c r="D1519">
        <f>BASE_EQUIPOS!D1519</f>
        <v/>
      </c>
      <c r="E1519">
        <f>BASE_EQUIPOS!G1519</f>
        <v/>
      </c>
      <c r="F1519">
        <f>BASE_EQUIPOS!H1519</f>
        <v/>
      </c>
      <c r="G1519">
        <f>BASE_EQUIPOS!M1519</f>
        <v/>
      </c>
      <c r="I1519" t="inlineStr">
        <is>
          <t>23 / 000448</t>
        </is>
      </c>
    </row>
    <row r="1520">
      <c r="A1520">
        <f>TRIM(BASE_EQUIPOS!N1520)</f>
        <v/>
      </c>
      <c r="B1520">
        <f>BASE_EQUIPOS!A1520</f>
        <v/>
      </c>
      <c r="C1520">
        <f>BASE_EQUIPOS!B1520</f>
        <v/>
      </c>
      <c r="D1520">
        <f>BASE_EQUIPOS!D1520</f>
        <v/>
      </c>
      <c r="E1520">
        <f>BASE_EQUIPOS!G1520</f>
        <v/>
      </c>
      <c r="F1520">
        <f>BASE_EQUIPOS!H1520</f>
        <v/>
      </c>
      <c r="G1520">
        <f>BASE_EQUIPOS!M1520</f>
        <v/>
      </c>
      <c r="I1520" t="inlineStr">
        <is>
          <t>270 / 002018</t>
        </is>
      </c>
    </row>
    <row r="1521">
      <c r="A1521">
        <f>TRIM(BASE_EQUIPOS!N1521)</f>
        <v/>
      </c>
      <c r="B1521">
        <f>BASE_EQUIPOS!A1521</f>
        <v/>
      </c>
      <c r="C1521">
        <f>BASE_EQUIPOS!B1521</f>
        <v/>
      </c>
      <c r="D1521">
        <f>BASE_EQUIPOS!D1521</f>
        <v/>
      </c>
      <c r="E1521">
        <f>BASE_EQUIPOS!G1521</f>
        <v/>
      </c>
      <c r="F1521">
        <f>BASE_EQUIPOS!H1521</f>
        <v/>
      </c>
      <c r="G1521">
        <f>BASE_EQUIPOS!M1521</f>
        <v/>
      </c>
      <c r="I1521" t="inlineStr">
        <is>
          <t>05 / 000338</t>
        </is>
      </c>
    </row>
    <row r="1522">
      <c r="A1522">
        <f>TRIM(BASE_EQUIPOS!N1522)</f>
        <v/>
      </c>
      <c r="B1522">
        <f>BASE_EQUIPOS!A1522</f>
        <v/>
      </c>
      <c r="C1522">
        <f>BASE_EQUIPOS!B1522</f>
        <v/>
      </c>
      <c r="D1522">
        <f>BASE_EQUIPOS!D1522</f>
        <v/>
      </c>
      <c r="E1522">
        <f>BASE_EQUIPOS!G1522</f>
        <v/>
      </c>
      <c r="F1522">
        <f>BASE_EQUIPOS!H1522</f>
        <v/>
      </c>
      <c r="G1522">
        <f>BASE_EQUIPOS!M1522</f>
        <v/>
      </c>
      <c r="I1522" t="inlineStr">
        <is>
          <t>317 / 000005</t>
        </is>
      </c>
    </row>
    <row r="1523">
      <c r="A1523">
        <f>TRIM(BASE_EQUIPOS!N1523)</f>
        <v/>
      </c>
      <c r="B1523">
        <f>BASE_EQUIPOS!A1523</f>
        <v/>
      </c>
      <c r="C1523">
        <f>BASE_EQUIPOS!B1523</f>
        <v/>
      </c>
      <c r="D1523">
        <f>BASE_EQUIPOS!D1523</f>
        <v/>
      </c>
      <c r="E1523">
        <f>BASE_EQUIPOS!G1523</f>
        <v/>
      </c>
      <c r="F1523">
        <f>BASE_EQUIPOS!H1523</f>
        <v/>
      </c>
      <c r="G1523">
        <f>BASE_EQUIPOS!M1523</f>
        <v/>
      </c>
      <c r="I1523" t="inlineStr">
        <is>
          <t>000036</t>
        </is>
      </c>
    </row>
    <row r="1524">
      <c r="A1524">
        <f>TRIM(BASE_EQUIPOS!N1524)</f>
        <v/>
      </c>
      <c r="B1524">
        <f>BASE_EQUIPOS!A1524</f>
        <v/>
      </c>
      <c r="C1524">
        <f>BASE_EQUIPOS!B1524</f>
        <v/>
      </c>
      <c r="D1524">
        <f>BASE_EQUIPOS!D1524</f>
        <v/>
      </c>
      <c r="E1524">
        <f>BASE_EQUIPOS!G1524</f>
        <v/>
      </c>
      <c r="F1524">
        <f>BASE_EQUIPOS!H1524</f>
        <v/>
      </c>
      <c r="G1524">
        <f>BASE_EQUIPOS!M1524</f>
        <v/>
      </c>
      <c r="I1524" t="inlineStr">
        <is>
          <t>000808</t>
        </is>
      </c>
    </row>
    <row r="1525">
      <c r="A1525">
        <f>TRIM(BASE_EQUIPOS!N1525)</f>
        <v/>
      </c>
      <c r="B1525">
        <f>BASE_EQUIPOS!A1525</f>
        <v/>
      </c>
      <c r="C1525">
        <f>BASE_EQUIPOS!B1525</f>
        <v/>
      </c>
      <c r="D1525">
        <f>BASE_EQUIPOS!D1525</f>
        <v/>
      </c>
      <c r="E1525">
        <f>BASE_EQUIPOS!G1525</f>
        <v/>
      </c>
      <c r="F1525">
        <f>BASE_EQUIPOS!H1525</f>
        <v/>
      </c>
      <c r="G1525">
        <f>BASE_EQUIPOS!M1525</f>
        <v/>
      </c>
      <c r="I1525" t="inlineStr">
        <is>
          <t>000156</t>
        </is>
      </c>
    </row>
    <row r="1526">
      <c r="A1526">
        <f>TRIM(BASE_EQUIPOS!N1526)</f>
        <v/>
      </c>
      <c r="B1526">
        <f>BASE_EQUIPOS!A1526</f>
        <v/>
      </c>
      <c r="C1526">
        <f>BASE_EQUIPOS!B1526</f>
        <v/>
      </c>
      <c r="D1526">
        <f>BASE_EQUIPOS!D1526</f>
        <v/>
      </c>
      <c r="E1526">
        <f>BASE_EQUIPOS!G1526</f>
        <v/>
      </c>
      <c r="F1526">
        <f>BASE_EQUIPOS!H1526</f>
        <v/>
      </c>
      <c r="G1526">
        <f>BASE_EQUIPOS!M1526</f>
        <v/>
      </c>
      <c r="I1526" t="inlineStr">
        <is>
          <t>001900</t>
        </is>
      </c>
    </row>
    <row r="1527">
      <c r="A1527">
        <f>TRIM(BASE_EQUIPOS!N1527)</f>
        <v/>
      </c>
      <c r="B1527">
        <f>BASE_EQUIPOS!A1527</f>
        <v/>
      </c>
      <c r="C1527">
        <f>BASE_EQUIPOS!B1527</f>
        <v/>
      </c>
      <c r="D1527">
        <f>BASE_EQUIPOS!D1527</f>
        <v/>
      </c>
      <c r="E1527">
        <f>BASE_EQUIPOS!G1527</f>
        <v/>
      </c>
      <c r="F1527">
        <f>BASE_EQUIPOS!H1527</f>
        <v/>
      </c>
      <c r="G1527">
        <f>BASE_EQUIPOS!M1527</f>
        <v/>
      </c>
      <c r="I1527" t="inlineStr">
        <is>
          <t>030510</t>
        </is>
      </c>
    </row>
    <row r="1528">
      <c r="A1528">
        <f>TRIM(BASE_EQUIPOS!N1528)</f>
        <v/>
      </c>
      <c r="B1528">
        <f>BASE_EQUIPOS!A1528</f>
        <v/>
      </c>
      <c r="C1528">
        <f>BASE_EQUIPOS!B1528</f>
        <v/>
      </c>
      <c r="D1528">
        <f>BASE_EQUIPOS!D1528</f>
        <v/>
      </c>
      <c r="E1528">
        <f>BASE_EQUIPOS!G1528</f>
        <v/>
      </c>
      <c r="F1528">
        <f>BASE_EQUIPOS!H1528</f>
        <v/>
      </c>
      <c r="G1528">
        <f>BASE_EQUIPOS!M1528</f>
        <v/>
      </c>
      <c r="I1528" t="inlineStr">
        <is>
          <t>007843</t>
        </is>
      </c>
    </row>
    <row r="1529">
      <c r="A1529">
        <f>TRIM(BASE_EQUIPOS!N1529)</f>
        <v/>
      </c>
      <c r="B1529">
        <f>BASE_EQUIPOS!A1529</f>
        <v/>
      </c>
      <c r="C1529">
        <f>BASE_EQUIPOS!B1529</f>
        <v/>
      </c>
      <c r="D1529">
        <f>BASE_EQUIPOS!D1529</f>
        <v/>
      </c>
      <c r="E1529">
        <f>BASE_EQUIPOS!G1529</f>
        <v/>
      </c>
      <c r="F1529">
        <f>BASE_EQUIPOS!H1529</f>
        <v/>
      </c>
      <c r="G1529">
        <f>BASE_EQUIPOS!M1529</f>
        <v/>
      </c>
      <c r="I1529" t="inlineStr">
        <is>
          <t>053775</t>
        </is>
      </c>
    </row>
    <row r="1530">
      <c r="A1530">
        <f>TRIM(BASE_EQUIPOS!N1530)</f>
        <v/>
      </c>
      <c r="B1530">
        <f>BASE_EQUIPOS!A1530</f>
        <v/>
      </c>
      <c r="C1530">
        <f>BASE_EQUIPOS!B1530</f>
        <v/>
      </c>
      <c r="D1530">
        <f>BASE_EQUIPOS!D1530</f>
        <v/>
      </c>
      <c r="E1530">
        <f>BASE_EQUIPOS!G1530</f>
        <v/>
      </c>
      <c r="F1530">
        <f>BASE_EQUIPOS!H1530</f>
        <v/>
      </c>
      <c r="G1530">
        <f>BASE_EQUIPOS!M1530</f>
        <v/>
      </c>
      <c r="I1530" t="inlineStr">
        <is>
          <t>012755</t>
        </is>
      </c>
    </row>
    <row r="1531">
      <c r="A1531">
        <f>TRIM(BASE_EQUIPOS!N1531)</f>
        <v/>
      </c>
      <c r="B1531">
        <f>BASE_EQUIPOS!A1531</f>
        <v/>
      </c>
      <c r="C1531">
        <f>BASE_EQUIPOS!B1531</f>
        <v/>
      </c>
      <c r="D1531">
        <f>BASE_EQUIPOS!D1531</f>
        <v/>
      </c>
      <c r="E1531">
        <f>BASE_EQUIPOS!G1531</f>
        <v/>
      </c>
      <c r="F1531">
        <f>BASE_EQUIPOS!H1531</f>
        <v/>
      </c>
      <c r="G1531">
        <f>BASE_EQUIPOS!M1531</f>
        <v/>
      </c>
      <c r="I1531" t="inlineStr">
        <is>
          <t>000462</t>
        </is>
      </c>
    </row>
    <row r="1532">
      <c r="A1532">
        <f>TRIM(BASE_EQUIPOS!N1532)</f>
        <v/>
      </c>
      <c r="B1532">
        <f>BASE_EQUIPOS!A1532</f>
        <v/>
      </c>
      <c r="C1532">
        <f>BASE_EQUIPOS!B1532</f>
        <v/>
      </c>
      <c r="D1532">
        <f>BASE_EQUIPOS!D1532</f>
        <v/>
      </c>
      <c r="E1532">
        <f>BASE_EQUIPOS!G1532</f>
        <v/>
      </c>
      <c r="F1532">
        <f>BASE_EQUIPOS!H1532</f>
        <v/>
      </c>
      <c r="G1532">
        <f>BASE_EQUIPOS!M1532</f>
        <v/>
      </c>
      <c r="I1532" t="inlineStr">
        <is>
          <t>008791</t>
        </is>
      </c>
    </row>
    <row r="1533">
      <c r="A1533">
        <f>TRIM(BASE_EQUIPOS!N1533)</f>
        <v/>
      </c>
      <c r="B1533">
        <f>BASE_EQUIPOS!A1533</f>
        <v/>
      </c>
      <c r="C1533">
        <f>BASE_EQUIPOS!B1533</f>
        <v/>
      </c>
      <c r="D1533">
        <f>BASE_EQUIPOS!D1533</f>
        <v/>
      </c>
      <c r="E1533">
        <f>BASE_EQUIPOS!G1533</f>
        <v/>
      </c>
      <c r="F1533">
        <f>BASE_EQUIPOS!H1533</f>
        <v/>
      </c>
      <c r="G1533">
        <f>BASE_EQUIPOS!M1533</f>
        <v/>
      </c>
      <c r="I1533" t="inlineStr">
        <is>
          <t>I17562297</t>
        </is>
      </c>
    </row>
    <row r="1534">
      <c r="A1534">
        <f>TRIM(BASE_EQUIPOS!N1534)</f>
        <v/>
      </c>
      <c r="B1534">
        <f>BASE_EQUIPOS!A1534</f>
        <v/>
      </c>
      <c r="C1534">
        <f>BASE_EQUIPOS!B1534</f>
        <v/>
      </c>
      <c r="D1534">
        <f>BASE_EQUIPOS!D1534</f>
        <v/>
      </c>
      <c r="E1534">
        <f>BASE_EQUIPOS!G1534</f>
        <v/>
      </c>
      <c r="F1534">
        <f>BASE_EQUIPOS!H1534</f>
        <v/>
      </c>
      <c r="G1534">
        <f>BASE_EQUIPOS!M1534</f>
        <v/>
      </c>
      <c r="I1534" t="inlineStr">
        <is>
          <t>I17562302</t>
        </is>
      </c>
    </row>
    <row r="1535">
      <c r="A1535">
        <f>TRIM(BASE_EQUIPOS!N1535)</f>
        <v/>
      </c>
      <c r="B1535">
        <f>BASE_EQUIPOS!A1535</f>
        <v/>
      </c>
      <c r="C1535">
        <f>BASE_EQUIPOS!B1535</f>
        <v/>
      </c>
      <c r="D1535">
        <f>BASE_EQUIPOS!D1535</f>
        <v/>
      </c>
      <c r="E1535">
        <f>BASE_EQUIPOS!G1535</f>
        <v/>
      </c>
      <c r="F1535">
        <f>BASE_EQUIPOS!H1535</f>
        <v/>
      </c>
      <c r="G1535">
        <f>BASE_EQUIPOS!M1535</f>
        <v/>
      </c>
      <c r="I1535" t="inlineStr">
        <is>
          <t>I17562304</t>
        </is>
      </c>
    </row>
    <row r="1536">
      <c r="A1536">
        <f>TRIM(BASE_EQUIPOS!N1536)</f>
        <v/>
      </c>
      <c r="B1536">
        <f>BASE_EQUIPOS!A1536</f>
        <v/>
      </c>
      <c r="C1536">
        <f>BASE_EQUIPOS!B1536</f>
        <v/>
      </c>
      <c r="D1536">
        <f>BASE_EQUIPOS!D1536</f>
        <v/>
      </c>
      <c r="E1536">
        <f>BASE_EQUIPOS!G1536</f>
        <v/>
      </c>
      <c r="F1536">
        <f>BASE_EQUIPOS!H1536</f>
        <v/>
      </c>
      <c r="G1536">
        <f>BASE_EQUIPOS!M1536</f>
        <v/>
      </c>
      <c r="I1536" t="inlineStr">
        <is>
          <t>I17562305</t>
        </is>
      </c>
    </row>
    <row r="1537">
      <c r="A1537">
        <f>TRIM(BASE_EQUIPOS!N1537)</f>
        <v/>
      </c>
      <c r="B1537">
        <f>BASE_EQUIPOS!A1537</f>
        <v/>
      </c>
      <c r="C1537">
        <f>BASE_EQUIPOS!B1537</f>
        <v/>
      </c>
      <c r="D1537">
        <f>BASE_EQUIPOS!D1537</f>
        <v/>
      </c>
      <c r="E1537">
        <f>BASE_EQUIPOS!G1537</f>
        <v/>
      </c>
      <c r="F1537">
        <f>BASE_EQUIPOS!H1537</f>
        <v/>
      </c>
      <c r="G1537">
        <f>BASE_EQUIPOS!M1537</f>
        <v/>
      </c>
      <c r="I1537" t="inlineStr">
        <is>
          <t>H20646379</t>
        </is>
      </c>
    </row>
    <row r="1538">
      <c r="A1538">
        <f>TRIM(BASE_EQUIPOS!N1538)</f>
        <v/>
      </c>
      <c r="B1538">
        <f>BASE_EQUIPOS!A1538</f>
        <v/>
      </c>
      <c r="C1538">
        <f>BASE_EQUIPOS!B1538</f>
        <v/>
      </c>
      <c r="D1538">
        <f>BASE_EQUIPOS!D1538</f>
        <v/>
      </c>
      <c r="E1538">
        <f>BASE_EQUIPOS!G1538</f>
        <v/>
      </c>
      <c r="F1538">
        <f>BASE_EQUIPOS!H1538</f>
        <v/>
      </c>
      <c r="G1538">
        <f>BASE_EQUIPOS!M1538</f>
        <v/>
      </c>
      <c r="I1538" t="inlineStr">
        <is>
          <t>H20646420</t>
        </is>
      </c>
    </row>
    <row r="1539">
      <c r="A1539">
        <f>TRIM(BASE_EQUIPOS!N1539)</f>
        <v/>
      </c>
      <c r="B1539">
        <f>BASE_EQUIPOS!A1539</f>
        <v/>
      </c>
      <c r="C1539">
        <f>BASE_EQUIPOS!B1539</f>
        <v/>
      </c>
      <c r="D1539">
        <f>BASE_EQUIPOS!D1539</f>
        <v/>
      </c>
      <c r="E1539">
        <f>BASE_EQUIPOS!G1539</f>
        <v/>
      </c>
      <c r="F1539">
        <f>BASE_EQUIPOS!H1539</f>
        <v/>
      </c>
      <c r="G1539">
        <f>BASE_EQUIPOS!M1539</f>
        <v/>
      </c>
      <c r="I1539" t="inlineStr">
        <is>
          <t>001058</t>
        </is>
      </c>
    </row>
    <row r="1540">
      <c r="A1540">
        <f>TRIM(BASE_EQUIPOS!N1540)</f>
        <v/>
      </c>
      <c r="B1540">
        <f>BASE_EQUIPOS!A1540</f>
        <v/>
      </c>
      <c r="C1540">
        <f>BASE_EQUIPOS!B1540</f>
        <v/>
      </c>
      <c r="D1540">
        <f>BASE_EQUIPOS!D1540</f>
        <v/>
      </c>
      <c r="E1540">
        <f>BASE_EQUIPOS!G1540</f>
        <v/>
      </c>
      <c r="F1540">
        <f>BASE_EQUIPOS!H1540</f>
        <v/>
      </c>
      <c r="G1540">
        <f>BASE_EQUIPOS!M1540</f>
        <v/>
      </c>
      <c r="I1540" t="inlineStr">
        <is>
          <t>000247</t>
        </is>
      </c>
    </row>
    <row r="1541">
      <c r="A1541">
        <f>TRIM(BASE_EQUIPOS!N1541)</f>
        <v/>
      </c>
      <c r="B1541">
        <f>BASE_EQUIPOS!A1541</f>
        <v/>
      </c>
      <c r="C1541">
        <f>BASE_EQUIPOS!B1541</f>
        <v/>
      </c>
      <c r="D1541">
        <f>BASE_EQUIPOS!D1541</f>
        <v/>
      </c>
      <c r="E1541">
        <f>BASE_EQUIPOS!G1541</f>
        <v/>
      </c>
      <c r="F1541">
        <f>BASE_EQUIPOS!H1541</f>
        <v/>
      </c>
      <c r="G1541">
        <f>BASE_EQUIPOS!M1541</f>
        <v/>
      </c>
      <c r="I1541" t="inlineStr">
        <is>
          <t>011899</t>
        </is>
      </c>
    </row>
    <row r="1542">
      <c r="A1542">
        <f>TRIM(BASE_EQUIPOS!N1542)</f>
        <v/>
      </c>
      <c r="B1542">
        <f>BASE_EQUIPOS!A1542</f>
        <v/>
      </c>
      <c r="C1542">
        <f>BASE_EQUIPOS!B1542</f>
        <v/>
      </c>
      <c r="D1542">
        <f>BASE_EQUIPOS!D1542</f>
        <v/>
      </c>
      <c r="E1542">
        <f>BASE_EQUIPOS!G1542</f>
        <v/>
      </c>
      <c r="F1542">
        <f>BASE_EQUIPOS!H1542</f>
        <v/>
      </c>
      <c r="G1542">
        <f>BASE_EQUIPOS!M1542</f>
        <v/>
      </c>
      <c r="I1542" t="inlineStr">
        <is>
          <t>01/000124</t>
        </is>
      </c>
    </row>
    <row r="1543">
      <c r="A1543">
        <f>TRIM(BASE_EQUIPOS!N1543)</f>
        <v/>
      </c>
      <c r="B1543">
        <f>BASE_EQUIPOS!A1543</f>
        <v/>
      </c>
      <c r="C1543">
        <f>BASE_EQUIPOS!B1543</f>
        <v/>
      </c>
      <c r="D1543">
        <f>BASE_EQUIPOS!D1543</f>
        <v/>
      </c>
      <c r="E1543">
        <f>BASE_EQUIPOS!G1543</f>
        <v/>
      </c>
      <c r="F1543">
        <f>BASE_EQUIPOS!H1543</f>
        <v/>
      </c>
      <c r="G1543">
        <f>BASE_EQUIPOS!M1543</f>
        <v/>
      </c>
      <c r="I1543" t="inlineStr">
        <is>
          <t>02/000177</t>
        </is>
      </c>
    </row>
    <row r="1544">
      <c r="A1544">
        <f>TRIM(BASE_EQUIPOS!N1544)</f>
        <v/>
      </c>
      <c r="B1544">
        <f>BASE_EQUIPOS!A1544</f>
        <v/>
      </c>
      <c r="C1544">
        <f>BASE_EQUIPOS!B1544</f>
        <v/>
      </c>
      <c r="D1544">
        <f>BASE_EQUIPOS!D1544</f>
        <v/>
      </c>
      <c r="E1544">
        <f>BASE_EQUIPOS!G1544</f>
        <v/>
      </c>
      <c r="F1544">
        <f>BASE_EQUIPOS!H1544</f>
        <v/>
      </c>
      <c r="G1544">
        <f>BASE_EQUIPOS!M1544</f>
        <v/>
      </c>
      <c r="I1544" t="inlineStr">
        <is>
          <t>03/000149</t>
        </is>
      </c>
    </row>
    <row r="1545">
      <c r="A1545">
        <f>TRIM(BASE_EQUIPOS!N1545)</f>
        <v/>
      </c>
      <c r="B1545">
        <f>BASE_EQUIPOS!A1545</f>
        <v/>
      </c>
      <c r="C1545">
        <f>BASE_EQUIPOS!B1545</f>
        <v/>
      </c>
      <c r="D1545">
        <f>BASE_EQUIPOS!D1545</f>
        <v/>
      </c>
      <c r="E1545">
        <f>BASE_EQUIPOS!G1545</f>
        <v/>
      </c>
      <c r="F1545">
        <f>BASE_EQUIPOS!H1545</f>
        <v/>
      </c>
      <c r="G1545">
        <f>BASE_EQUIPOS!M1545</f>
        <v/>
      </c>
      <c r="I1545" t="inlineStr">
        <is>
          <t>04/000196</t>
        </is>
      </c>
    </row>
    <row r="1546">
      <c r="A1546">
        <f>TRIM(BASE_EQUIPOS!N1546)</f>
        <v/>
      </c>
      <c r="B1546">
        <f>BASE_EQUIPOS!A1546</f>
        <v/>
      </c>
      <c r="C1546">
        <f>BASE_EQUIPOS!B1546</f>
        <v/>
      </c>
      <c r="D1546">
        <f>BASE_EQUIPOS!D1546</f>
        <v/>
      </c>
      <c r="E1546">
        <f>BASE_EQUIPOS!G1546</f>
        <v/>
      </c>
      <c r="F1546">
        <f>BASE_EQUIPOS!H1546</f>
        <v/>
      </c>
      <c r="G1546">
        <f>BASE_EQUIPOS!M1546</f>
        <v/>
      </c>
      <c r="I1546" t="inlineStr">
        <is>
          <t>05/000179</t>
        </is>
      </c>
    </row>
    <row r="1547">
      <c r="A1547">
        <f>TRIM(BASE_EQUIPOS!N1547)</f>
        <v/>
      </c>
      <c r="B1547">
        <f>BASE_EQUIPOS!A1547</f>
        <v/>
      </c>
      <c r="C1547">
        <f>BASE_EQUIPOS!B1547</f>
        <v/>
      </c>
      <c r="D1547">
        <f>BASE_EQUIPOS!D1547</f>
        <v/>
      </c>
      <c r="E1547">
        <f>BASE_EQUIPOS!G1547</f>
        <v/>
      </c>
      <c r="F1547">
        <f>BASE_EQUIPOS!H1547</f>
        <v/>
      </c>
      <c r="G1547">
        <f>BASE_EQUIPOS!M1547</f>
        <v/>
      </c>
      <c r="I1547" t="inlineStr">
        <is>
          <t>06/000001</t>
        </is>
      </c>
    </row>
    <row r="1548">
      <c r="A1548">
        <f>TRIM(BASE_EQUIPOS!N1548)</f>
        <v/>
      </c>
      <c r="B1548">
        <f>BASE_EQUIPOS!A1548</f>
        <v/>
      </c>
      <c r="C1548">
        <f>BASE_EQUIPOS!B1548</f>
        <v/>
      </c>
      <c r="D1548">
        <f>BASE_EQUIPOS!D1548</f>
        <v/>
      </c>
      <c r="E1548">
        <f>BASE_EQUIPOS!G1548</f>
        <v/>
      </c>
      <c r="F1548">
        <f>BASE_EQUIPOS!H1548</f>
        <v/>
      </c>
      <c r="G1548">
        <f>BASE_EQUIPOS!M1548</f>
        <v/>
      </c>
      <c r="I1548" t="inlineStr">
        <is>
          <t>07/000187</t>
        </is>
      </c>
    </row>
    <row r="1549">
      <c r="A1549">
        <f>TRIM(BASE_EQUIPOS!N1549)</f>
        <v/>
      </c>
      <c r="B1549">
        <f>BASE_EQUIPOS!A1549</f>
        <v/>
      </c>
      <c r="C1549">
        <f>BASE_EQUIPOS!B1549</f>
        <v/>
      </c>
      <c r="D1549">
        <f>BASE_EQUIPOS!D1549</f>
        <v/>
      </c>
      <c r="E1549">
        <f>BASE_EQUIPOS!G1549</f>
        <v/>
      </c>
      <c r="F1549">
        <f>BASE_EQUIPOS!H1549</f>
        <v/>
      </c>
      <c r="G1549">
        <f>BASE_EQUIPOS!M1549</f>
        <v/>
      </c>
      <c r="I1549" t="inlineStr">
        <is>
          <t>08/000244</t>
        </is>
      </c>
    </row>
    <row r="1550">
      <c r="A1550">
        <f>TRIM(BASE_EQUIPOS!N1550)</f>
        <v/>
      </c>
      <c r="B1550">
        <f>BASE_EQUIPOS!A1550</f>
        <v/>
      </c>
      <c r="C1550">
        <f>BASE_EQUIPOS!B1550</f>
        <v/>
      </c>
      <c r="D1550">
        <f>BASE_EQUIPOS!D1550</f>
        <v/>
      </c>
      <c r="E1550">
        <f>BASE_EQUIPOS!G1550</f>
        <v/>
      </c>
      <c r="F1550">
        <f>BASE_EQUIPOS!H1550</f>
        <v/>
      </c>
      <c r="G1550">
        <f>BASE_EQUIPOS!M1550</f>
        <v/>
      </c>
      <c r="I1550" t="inlineStr">
        <is>
          <t>09/000239</t>
        </is>
      </c>
    </row>
    <row r="1551">
      <c r="A1551">
        <f>TRIM(BASE_EQUIPOS!N1551)</f>
        <v/>
      </c>
      <c r="B1551">
        <f>BASE_EQUIPOS!A1551</f>
        <v/>
      </c>
      <c r="C1551">
        <f>BASE_EQUIPOS!B1551</f>
        <v/>
      </c>
      <c r="D1551">
        <f>BASE_EQUIPOS!D1551</f>
        <v/>
      </c>
      <c r="E1551">
        <f>BASE_EQUIPOS!G1551</f>
        <v/>
      </c>
      <c r="F1551">
        <f>BASE_EQUIPOS!H1551</f>
        <v/>
      </c>
      <c r="G1551">
        <f>BASE_EQUIPOS!M1551</f>
        <v/>
      </c>
      <c r="I1551" t="inlineStr">
        <is>
          <t>10/000207</t>
        </is>
      </c>
    </row>
    <row r="1552">
      <c r="A1552">
        <f>TRIM(BASE_EQUIPOS!N1552)</f>
        <v/>
      </c>
      <c r="B1552">
        <f>BASE_EQUIPOS!A1552</f>
        <v/>
      </c>
      <c r="C1552">
        <f>BASE_EQUIPOS!B1552</f>
        <v/>
      </c>
      <c r="D1552">
        <f>BASE_EQUIPOS!D1552</f>
        <v/>
      </c>
      <c r="E1552">
        <f>BASE_EQUIPOS!G1552</f>
        <v/>
      </c>
      <c r="F1552">
        <f>BASE_EQUIPOS!H1552</f>
        <v/>
      </c>
      <c r="G1552">
        <f>BASE_EQUIPOS!M1552</f>
        <v/>
      </c>
      <c r="I1552" t="inlineStr">
        <is>
          <t>11/000197</t>
        </is>
      </c>
    </row>
    <row r="1553">
      <c r="A1553">
        <f>TRIM(BASE_EQUIPOS!N1553)</f>
        <v/>
      </c>
      <c r="B1553">
        <f>BASE_EQUIPOS!A1553</f>
        <v/>
      </c>
      <c r="C1553">
        <f>BASE_EQUIPOS!B1553</f>
        <v/>
      </c>
      <c r="D1553">
        <f>BASE_EQUIPOS!D1553</f>
        <v/>
      </c>
      <c r="E1553">
        <f>BASE_EQUIPOS!G1553</f>
        <v/>
      </c>
      <c r="F1553">
        <f>BASE_EQUIPOS!H1553</f>
        <v/>
      </c>
      <c r="G1553">
        <f>BASE_EQUIPOS!M1553</f>
        <v/>
      </c>
      <c r="I1553" t="inlineStr">
        <is>
          <t>12/000150</t>
        </is>
      </c>
    </row>
    <row r="1554">
      <c r="A1554">
        <f>TRIM(BASE_EQUIPOS!N1554)</f>
        <v/>
      </c>
      <c r="B1554">
        <f>BASE_EQUIPOS!A1554</f>
        <v/>
      </c>
      <c r="C1554">
        <f>BASE_EQUIPOS!B1554</f>
        <v/>
      </c>
      <c r="D1554">
        <f>BASE_EQUIPOS!D1554</f>
        <v/>
      </c>
      <c r="E1554">
        <f>BASE_EQUIPOS!G1554</f>
        <v/>
      </c>
      <c r="F1554">
        <f>BASE_EQUIPOS!H1554</f>
        <v/>
      </c>
      <c r="G1554">
        <f>BASE_EQUIPOS!M1554</f>
        <v/>
      </c>
      <c r="I1554" t="inlineStr">
        <is>
          <t>13/005398</t>
        </is>
      </c>
    </row>
    <row r="1555">
      <c r="A1555">
        <f>TRIM(BASE_EQUIPOS!N1555)</f>
        <v/>
      </c>
      <c r="B1555">
        <f>BASE_EQUIPOS!A1555</f>
        <v/>
      </c>
      <c r="C1555">
        <f>BASE_EQUIPOS!B1555</f>
        <v/>
      </c>
      <c r="D1555">
        <f>BASE_EQUIPOS!D1555</f>
        <v/>
      </c>
      <c r="E1555">
        <f>BASE_EQUIPOS!G1555</f>
        <v/>
      </c>
      <c r="F1555">
        <f>BASE_EQUIPOS!H1555</f>
        <v/>
      </c>
      <c r="G1555">
        <f>BASE_EQUIPOS!M1555</f>
        <v/>
      </c>
      <c r="I1555" t="inlineStr">
        <is>
          <t>14/013044</t>
        </is>
      </c>
    </row>
    <row r="1556">
      <c r="A1556">
        <f>TRIM(BASE_EQUIPOS!N1556)</f>
        <v/>
      </c>
      <c r="B1556">
        <f>BASE_EQUIPOS!A1556</f>
        <v/>
      </c>
      <c r="C1556">
        <f>BASE_EQUIPOS!B1556</f>
        <v/>
      </c>
      <c r="D1556">
        <f>BASE_EQUIPOS!D1556</f>
        <v/>
      </c>
      <c r="E1556">
        <f>BASE_EQUIPOS!G1556</f>
        <v/>
      </c>
      <c r="F1556">
        <f>BASE_EQUIPOS!H1556</f>
        <v/>
      </c>
      <c r="G1556">
        <f>BASE_EQUIPOS!M1556</f>
        <v/>
      </c>
      <c r="I1556" t="inlineStr">
        <is>
          <t>15/000342</t>
        </is>
      </c>
    </row>
    <row r="1557">
      <c r="A1557">
        <f>TRIM(BASE_EQUIPOS!N1557)</f>
        <v/>
      </c>
      <c r="B1557">
        <f>BASE_EQUIPOS!A1557</f>
        <v/>
      </c>
      <c r="C1557">
        <f>BASE_EQUIPOS!B1557</f>
        <v/>
      </c>
      <c r="D1557">
        <f>BASE_EQUIPOS!D1557</f>
        <v/>
      </c>
      <c r="E1557">
        <f>BASE_EQUIPOS!G1557</f>
        <v/>
      </c>
      <c r="F1557">
        <f>BASE_EQUIPOS!H1557</f>
        <v/>
      </c>
      <c r="G1557">
        <f>BASE_EQUIPOS!M1557</f>
        <v/>
      </c>
      <c r="I1557" t="inlineStr">
        <is>
          <t>01/000276</t>
        </is>
      </c>
    </row>
    <row r="1558">
      <c r="A1558">
        <f>TRIM(BASE_EQUIPOS!N1558)</f>
        <v/>
      </c>
      <c r="B1558">
        <f>BASE_EQUIPOS!A1558</f>
        <v/>
      </c>
      <c r="C1558">
        <f>BASE_EQUIPOS!B1558</f>
        <v/>
      </c>
      <c r="D1558">
        <f>BASE_EQUIPOS!D1558</f>
        <v/>
      </c>
      <c r="E1558">
        <f>BASE_EQUIPOS!G1558</f>
        <v/>
      </c>
      <c r="F1558">
        <f>BASE_EQUIPOS!H1558</f>
        <v/>
      </c>
      <c r="G1558">
        <f>BASE_EQUIPOS!M1558</f>
        <v/>
      </c>
      <c r="I1558" t="inlineStr">
        <is>
          <t>02/002354</t>
        </is>
      </c>
    </row>
    <row r="1559">
      <c r="A1559">
        <f>TRIM(BASE_EQUIPOS!N1559)</f>
        <v/>
      </c>
      <c r="B1559">
        <f>BASE_EQUIPOS!A1559</f>
        <v/>
      </c>
      <c r="C1559">
        <f>BASE_EQUIPOS!B1559</f>
        <v/>
      </c>
      <c r="D1559">
        <f>BASE_EQUIPOS!D1559</f>
        <v/>
      </c>
      <c r="E1559">
        <f>BASE_EQUIPOS!G1559</f>
        <v/>
      </c>
      <c r="F1559">
        <f>BASE_EQUIPOS!H1559</f>
        <v/>
      </c>
      <c r="G1559">
        <f>BASE_EQUIPOS!M1559</f>
        <v/>
      </c>
      <c r="I1559" t="inlineStr">
        <is>
          <t>018180</t>
        </is>
      </c>
    </row>
    <row r="1560">
      <c r="A1560">
        <f>TRIM(BASE_EQUIPOS!N1560)</f>
        <v/>
      </c>
      <c r="B1560">
        <f>BASE_EQUIPOS!A1560</f>
        <v/>
      </c>
      <c r="C1560">
        <f>BASE_EQUIPOS!B1560</f>
        <v/>
      </c>
      <c r="D1560">
        <f>BASE_EQUIPOS!D1560</f>
        <v/>
      </c>
      <c r="E1560">
        <f>BASE_EQUIPOS!G1560</f>
        <v/>
      </c>
      <c r="F1560">
        <f>BASE_EQUIPOS!H1560</f>
        <v/>
      </c>
      <c r="G1560">
        <f>BASE_EQUIPOS!M1560</f>
        <v/>
      </c>
      <c r="I1560" t="inlineStr">
        <is>
          <t>003364</t>
        </is>
      </c>
    </row>
    <row r="1561">
      <c r="A1561">
        <f>TRIM(BASE_EQUIPOS!N1561)</f>
        <v/>
      </c>
      <c r="B1561">
        <f>BASE_EQUIPOS!A1561</f>
        <v/>
      </c>
      <c r="C1561">
        <f>BASE_EQUIPOS!B1561</f>
        <v/>
      </c>
      <c r="D1561">
        <f>BASE_EQUIPOS!D1561</f>
        <v/>
      </c>
      <c r="E1561">
        <f>BASE_EQUIPOS!G1561</f>
        <v/>
      </c>
      <c r="F1561">
        <f>BASE_EQUIPOS!H1561</f>
        <v/>
      </c>
      <c r="G1561">
        <f>BASE_EQUIPOS!M1561</f>
        <v/>
      </c>
      <c r="I1561" t="inlineStr">
        <is>
          <t>080583</t>
        </is>
      </c>
    </row>
    <row r="1562">
      <c r="A1562">
        <f>TRIM(BASE_EQUIPOS!N1562)</f>
        <v/>
      </c>
      <c r="B1562">
        <f>BASE_EQUIPOS!A1562</f>
        <v/>
      </c>
      <c r="C1562">
        <f>BASE_EQUIPOS!B1562</f>
        <v/>
      </c>
      <c r="D1562">
        <f>BASE_EQUIPOS!D1562</f>
        <v/>
      </c>
      <c r="E1562">
        <f>BASE_EQUIPOS!G1562</f>
        <v/>
      </c>
      <c r="F1562">
        <f>BASE_EQUIPOS!H1562</f>
        <v/>
      </c>
      <c r="G1562">
        <f>BASE_EQUIPOS!M1562</f>
        <v/>
      </c>
      <c r="I1562" t="inlineStr">
        <is>
          <t>004407</t>
        </is>
      </c>
    </row>
    <row r="1563">
      <c r="A1563">
        <f>TRIM(BASE_EQUIPOS!N1563)</f>
        <v/>
      </c>
      <c r="B1563">
        <f>BASE_EQUIPOS!A1563</f>
        <v/>
      </c>
      <c r="C1563">
        <f>BASE_EQUIPOS!B1563</f>
        <v/>
      </c>
      <c r="D1563">
        <f>BASE_EQUIPOS!D1563</f>
        <v/>
      </c>
      <c r="E1563">
        <f>BASE_EQUIPOS!G1563</f>
        <v/>
      </c>
      <c r="F1563">
        <f>BASE_EQUIPOS!H1563</f>
        <v/>
      </c>
      <c r="G1563">
        <f>BASE_EQUIPOS!M1563</f>
        <v/>
      </c>
      <c r="I1563" t="inlineStr">
        <is>
          <t>000263</t>
        </is>
      </c>
    </row>
    <row r="1564">
      <c r="A1564">
        <f>TRIM(BASE_EQUIPOS!N1564)</f>
        <v/>
      </c>
      <c r="B1564">
        <f>BASE_EQUIPOS!A1564</f>
        <v/>
      </c>
      <c r="C1564">
        <f>BASE_EQUIPOS!B1564</f>
        <v/>
      </c>
      <c r="D1564">
        <f>BASE_EQUIPOS!D1564</f>
        <v/>
      </c>
      <c r="E1564">
        <f>BASE_EQUIPOS!G1564</f>
        <v/>
      </c>
      <c r="F1564">
        <f>BASE_EQUIPOS!H1564</f>
        <v/>
      </c>
      <c r="G1564">
        <f>BASE_EQUIPOS!M1564</f>
        <v/>
      </c>
      <c r="I1564" t="inlineStr">
        <is>
          <t>000416</t>
        </is>
      </c>
    </row>
    <row r="1565">
      <c r="A1565">
        <f>TRIM(BASE_EQUIPOS!N1565)</f>
        <v/>
      </c>
      <c r="B1565">
        <f>BASE_EQUIPOS!A1565</f>
        <v/>
      </c>
      <c r="C1565">
        <f>BASE_EQUIPOS!B1565</f>
        <v/>
      </c>
      <c r="D1565">
        <f>BASE_EQUIPOS!D1565</f>
        <v/>
      </c>
      <c r="E1565">
        <f>BASE_EQUIPOS!G1565</f>
        <v/>
      </c>
      <c r="F1565">
        <f>BASE_EQUIPOS!H1565</f>
        <v/>
      </c>
      <c r="G1565">
        <f>BASE_EQUIPOS!M1565</f>
        <v/>
      </c>
      <c r="I1565" t="inlineStr">
        <is>
          <t>000763</t>
        </is>
      </c>
    </row>
    <row r="1566">
      <c r="A1566">
        <f>TRIM(BASE_EQUIPOS!N1566)</f>
        <v/>
      </c>
      <c r="B1566">
        <f>BASE_EQUIPOS!A1566</f>
        <v/>
      </c>
      <c r="C1566">
        <f>BASE_EQUIPOS!B1566</f>
        <v/>
      </c>
      <c r="D1566">
        <f>BASE_EQUIPOS!D1566</f>
        <v/>
      </c>
      <c r="E1566">
        <f>BASE_EQUIPOS!G1566</f>
        <v/>
      </c>
      <c r="F1566">
        <f>BASE_EQUIPOS!H1566</f>
        <v/>
      </c>
      <c r="G1566">
        <f>BASE_EQUIPOS!M1566</f>
        <v/>
      </c>
      <c r="I1566" t="inlineStr">
        <is>
          <t>000175</t>
        </is>
      </c>
    </row>
    <row r="1567">
      <c r="A1567">
        <f>TRIM(BASE_EQUIPOS!N1567)</f>
        <v/>
      </c>
      <c r="B1567">
        <f>BASE_EQUIPOS!A1567</f>
        <v/>
      </c>
      <c r="C1567">
        <f>BASE_EQUIPOS!B1567</f>
        <v/>
      </c>
      <c r="D1567">
        <f>BASE_EQUIPOS!D1567</f>
        <v/>
      </c>
      <c r="E1567">
        <f>BASE_EQUIPOS!G1567</f>
        <v/>
      </c>
      <c r="F1567">
        <f>BASE_EQUIPOS!H1567</f>
        <v/>
      </c>
      <c r="G1567">
        <f>BASE_EQUIPOS!M1567</f>
        <v/>
      </c>
      <c r="I1567" t="inlineStr">
        <is>
          <t>012632</t>
        </is>
      </c>
    </row>
    <row r="1568">
      <c r="A1568">
        <f>TRIM(BASE_EQUIPOS!N1568)</f>
        <v/>
      </c>
      <c r="B1568">
        <f>BASE_EQUIPOS!A1568</f>
        <v/>
      </c>
      <c r="C1568">
        <f>BASE_EQUIPOS!B1568</f>
        <v/>
      </c>
      <c r="D1568">
        <f>BASE_EQUIPOS!D1568</f>
        <v/>
      </c>
      <c r="E1568">
        <f>BASE_EQUIPOS!G1568</f>
        <v/>
      </c>
      <c r="F1568">
        <f>BASE_EQUIPOS!H1568</f>
        <v/>
      </c>
      <c r="G1568">
        <f>BASE_EQUIPOS!M1568</f>
        <v/>
      </c>
      <c r="I1568" t="inlineStr">
        <is>
          <t>031030</t>
        </is>
      </c>
    </row>
    <row r="1569">
      <c r="A1569">
        <f>TRIM(BASE_EQUIPOS!N1569)</f>
        <v/>
      </c>
      <c r="B1569">
        <f>BASE_EQUIPOS!A1569</f>
        <v/>
      </c>
      <c r="C1569">
        <f>BASE_EQUIPOS!B1569</f>
        <v/>
      </c>
      <c r="D1569">
        <f>BASE_EQUIPOS!D1569</f>
        <v/>
      </c>
      <c r="E1569">
        <f>BASE_EQUIPOS!G1569</f>
        <v/>
      </c>
      <c r="F1569">
        <f>BASE_EQUIPOS!H1569</f>
        <v/>
      </c>
      <c r="G1569">
        <f>BASE_EQUIPOS!M1569</f>
        <v/>
      </c>
      <c r="I1569" t="inlineStr">
        <is>
          <t>008289</t>
        </is>
      </c>
    </row>
    <row r="1570">
      <c r="A1570">
        <f>TRIM(BASE_EQUIPOS!N1570)</f>
        <v/>
      </c>
      <c r="B1570">
        <f>BASE_EQUIPOS!A1570</f>
        <v/>
      </c>
      <c r="C1570">
        <f>BASE_EQUIPOS!B1570</f>
        <v/>
      </c>
      <c r="D1570">
        <f>BASE_EQUIPOS!D1570</f>
        <v/>
      </c>
      <c r="E1570">
        <f>BASE_EQUIPOS!G1570</f>
        <v/>
      </c>
      <c r="F1570">
        <f>BASE_EQUIPOS!H1570</f>
        <v/>
      </c>
      <c r="G1570">
        <f>BASE_EQUIPOS!M1570</f>
        <v/>
      </c>
      <c r="I1570" t="inlineStr">
        <is>
          <t>006989</t>
        </is>
      </c>
    </row>
    <row r="1571">
      <c r="A1571">
        <f>TRIM(BASE_EQUIPOS!N1571)</f>
        <v/>
      </c>
      <c r="B1571">
        <f>BASE_EQUIPOS!A1571</f>
        <v/>
      </c>
      <c r="C1571">
        <f>BASE_EQUIPOS!B1571</f>
        <v/>
      </c>
      <c r="D1571">
        <f>BASE_EQUIPOS!D1571</f>
        <v/>
      </c>
      <c r="E1571">
        <f>BASE_EQUIPOS!G1571</f>
        <v/>
      </c>
      <c r="F1571">
        <f>BASE_EQUIPOS!H1571</f>
        <v/>
      </c>
      <c r="G1571">
        <f>BASE_EQUIPOS!M1571</f>
        <v/>
      </c>
      <c r="I1571" t="inlineStr">
        <is>
          <t>05/V343259</t>
        </is>
      </c>
    </row>
    <row r="1572">
      <c r="A1572">
        <f>TRIM(BASE_EQUIPOS!N1572)</f>
        <v/>
      </c>
      <c r="B1572">
        <f>BASE_EQUIPOS!A1572</f>
        <v/>
      </c>
      <c r="C1572">
        <f>BASE_EQUIPOS!B1572</f>
        <v/>
      </c>
      <c r="D1572">
        <f>BASE_EQUIPOS!D1572</f>
        <v/>
      </c>
      <c r="E1572">
        <f>BASE_EQUIPOS!G1572</f>
        <v/>
      </c>
      <c r="F1572">
        <f>BASE_EQUIPOS!H1572</f>
        <v/>
      </c>
      <c r="G1572">
        <f>BASE_EQUIPOS!M1572</f>
        <v/>
      </c>
      <c r="I1572" t="inlineStr">
        <is>
          <t>08/V343951</t>
        </is>
      </c>
    </row>
    <row r="1573">
      <c r="A1573">
        <f>TRIM(BASE_EQUIPOS!N1573)</f>
        <v/>
      </c>
      <c r="B1573">
        <f>BASE_EQUIPOS!A1573</f>
        <v/>
      </c>
      <c r="C1573">
        <f>BASE_EQUIPOS!B1573</f>
        <v/>
      </c>
      <c r="D1573">
        <f>BASE_EQUIPOS!D1573</f>
        <v/>
      </c>
      <c r="E1573">
        <f>BASE_EQUIPOS!G1573</f>
        <v/>
      </c>
      <c r="F1573">
        <f>BASE_EQUIPOS!H1573</f>
        <v/>
      </c>
      <c r="G1573">
        <f>BASE_EQUIPOS!M1573</f>
        <v/>
      </c>
      <c r="I1573" t="inlineStr">
        <is>
          <t>14/V343964</t>
        </is>
      </c>
    </row>
    <row r="1574">
      <c r="A1574">
        <f>TRIM(BASE_EQUIPOS!N1574)</f>
        <v/>
      </c>
      <c r="B1574">
        <f>BASE_EQUIPOS!A1574</f>
        <v/>
      </c>
      <c r="C1574">
        <f>BASE_EQUIPOS!B1574</f>
        <v/>
      </c>
      <c r="D1574">
        <f>BASE_EQUIPOS!D1574</f>
        <v/>
      </c>
      <c r="E1574">
        <f>BASE_EQUIPOS!G1574</f>
        <v/>
      </c>
      <c r="F1574">
        <f>BASE_EQUIPOS!H1574</f>
        <v/>
      </c>
      <c r="G1574">
        <f>BASE_EQUIPOS!M1574</f>
        <v/>
      </c>
      <c r="I1574" t="inlineStr">
        <is>
          <t>02/000784</t>
        </is>
      </c>
    </row>
    <row r="1575">
      <c r="A1575">
        <f>TRIM(BASE_EQUIPOS!N1575)</f>
        <v/>
      </c>
      <c r="B1575">
        <f>BASE_EQUIPOS!A1575</f>
        <v/>
      </c>
      <c r="C1575">
        <f>BASE_EQUIPOS!B1575</f>
        <v/>
      </c>
      <c r="D1575">
        <f>BASE_EQUIPOS!D1575</f>
        <v/>
      </c>
      <c r="E1575">
        <f>BASE_EQUIPOS!G1575</f>
        <v/>
      </c>
      <c r="F1575">
        <f>BASE_EQUIPOS!H1575</f>
        <v/>
      </c>
      <c r="G1575">
        <f>BASE_EQUIPOS!M1575</f>
        <v/>
      </c>
      <c r="I1575" t="inlineStr">
        <is>
          <t>06/001457</t>
        </is>
      </c>
    </row>
    <row r="1576">
      <c r="A1576">
        <f>TRIM(BASE_EQUIPOS!N1576)</f>
        <v/>
      </c>
      <c r="B1576">
        <f>BASE_EQUIPOS!A1576</f>
        <v/>
      </c>
      <c r="C1576">
        <f>BASE_EQUIPOS!B1576</f>
        <v/>
      </c>
      <c r="D1576">
        <f>BASE_EQUIPOS!D1576</f>
        <v/>
      </c>
      <c r="E1576">
        <f>BASE_EQUIPOS!G1576</f>
        <v/>
      </c>
      <c r="F1576">
        <f>BASE_EQUIPOS!H1576</f>
        <v/>
      </c>
      <c r="G1576">
        <f>BASE_EQUIPOS!M1576</f>
        <v/>
      </c>
      <c r="I1576" t="inlineStr">
        <is>
          <t>08/000952</t>
        </is>
      </c>
    </row>
    <row r="1577">
      <c r="A1577">
        <f>TRIM(BASE_EQUIPOS!N1577)</f>
        <v/>
      </c>
      <c r="B1577">
        <f>BASE_EQUIPOS!A1577</f>
        <v/>
      </c>
      <c r="C1577">
        <f>BASE_EQUIPOS!B1577</f>
        <v/>
      </c>
      <c r="D1577">
        <f>BASE_EQUIPOS!D1577</f>
        <v/>
      </c>
      <c r="E1577">
        <f>BASE_EQUIPOS!G1577</f>
        <v/>
      </c>
      <c r="F1577">
        <f>BASE_EQUIPOS!H1577</f>
        <v/>
      </c>
      <c r="G1577">
        <f>BASE_EQUIPOS!M1577</f>
        <v/>
      </c>
      <c r="I1577" t="inlineStr">
        <is>
          <t>338/000727</t>
        </is>
      </c>
    </row>
    <row r="1578">
      <c r="A1578">
        <f>TRIM(BASE_EQUIPOS!N1578)</f>
        <v/>
      </c>
      <c r="B1578">
        <f>BASE_EQUIPOS!A1578</f>
        <v/>
      </c>
      <c r="C1578">
        <f>BASE_EQUIPOS!B1578</f>
        <v/>
      </c>
      <c r="D1578">
        <f>BASE_EQUIPOS!D1578</f>
        <v/>
      </c>
      <c r="E1578">
        <f>BASE_EQUIPOS!G1578</f>
        <v/>
      </c>
      <c r="F1578">
        <f>BASE_EQUIPOS!H1578</f>
        <v/>
      </c>
      <c r="G1578">
        <f>BASE_EQUIPOS!M1578</f>
        <v/>
      </c>
      <c r="I1578" t="inlineStr">
        <is>
          <t>158/002165</t>
        </is>
      </c>
    </row>
    <row r="1579">
      <c r="A1579">
        <f>TRIM(BASE_EQUIPOS!N1579)</f>
        <v/>
      </c>
      <c r="B1579">
        <f>BASE_EQUIPOS!A1579</f>
        <v/>
      </c>
      <c r="C1579">
        <f>BASE_EQUIPOS!B1579</f>
        <v/>
      </c>
      <c r="D1579">
        <f>BASE_EQUIPOS!D1579</f>
        <v/>
      </c>
      <c r="E1579">
        <f>BASE_EQUIPOS!G1579</f>
        <v/>
      </c>
      <c r="F1579">
        <f>BASE_EQUIPOS!H1579</f>
        <v/>
      </c>
      <c r="G1579">
        <f>BASE_EQUIPOS!M1579</f>
        <v/>
      </c>
      <c r="I1579" t="inlineStr">
        <is>
          <t>003186</t>
        </is>
      </c>
    </row>
    <row r="1580">
      <c r="A1580">
        <f>TRIM(BASE_EQUIPOS!N1580)</f>
        <v/>
      </c>
      <c r="B1580">
        <f>BASE_EQUIPOS!A1580</f>
        <v/>
      </c>
      <c r="C1580">
        <f>BASE_EQUIPOS!B1580</f>
        <v/>
      </c>
      <c r="D1580">
        <f>BASE_EQUIPOS!D1580</f>
        <v/>
      </c>
      <c r="E1580">
        <f>BASE_EQUIPOS!G1580</f>
        <v/>
      </c>
      <c r="F1580">
        <f>BASE_EQUIPOS!H1580</f>
        <v/>
      </c>
      <c r="G1580">
        <f>BASE_EQUIPOS!M1580</f>
        <v/>
      </c>
      <c r="I1580" t="inlineStr">
        <is>
          <t>006982</t>
        </is>
      </c>
    </row>
    <row r="1581">
      <c r="A1581">
        <f>TRIM(BASE_EQUIPOS!N1581)</f>
        <v/>
      </c>
      <c r="B1581">
        <f>BASE_EQUIPOS!A1581</f>
        <v/>
      </c>
      <c r="C1581">
        <f>BASE_EQUIPOS!B1581</f>
        <v/>
      </c>
      <c r="D1581">
        <f>BASE_EQUIPOS!D1581</f>
        <v/>
      </c>
      <c r="E1581">
        <f>BASE_EQUIPOS!G1581</f>
        <v/>
      </c>
      <c r="F1581">
        <f>BASE_EQUIPOS!H1581</f>
        <v/>
      </c>
      <c r="G1581">
        <f>BASE_EQUIPOS!M1581</f>
        <v/>
      </c>
      <c r="I1581" t="inlineStr">
        <is>
          <t>007440</t>
        </is>
      </c>
    </row>
    <row r="1582">
      <c r="A1582">
        <f>TRIM(BASE_EQUIPOS!N1582)</f>
        <v/>
      </c>
      <c r="B1582">
        <f>BASE_EQUIPOS!A1582</f>
        <v/>
      </c>
      <c r="C1582">
        <f>BASE_EQUIPOS!B1582</f>
        <v/>
      </c>
      <c r="D1582">
        <f>BASE_EQUIPOS!D1582</f>
        <v/>
      </c>
      <c r="E1582">
        <f>BASE_EQUIPOS!G1582</f>
        <v/>
      </c>
      <c r="F1582">
        <f>BASE_EQUIPOS!H1582</f>
        <v/>
      </c>
      <c r="G1582">
        <f>BASE_EQUIPOS!M1582</f>
        <v/>
      </c>
      <c r="I1582" t="inlineStr">
        <is>
          <t>148240</t>
        </is>
      </c>
    </row>
    <row r="1583">
      <c r="A1583">
        <f>TRIM(BASE_EQUIPOS!N1583)</f>
        <v/>
      </c>
      <c r="B1583">
        <f>BASE_EQUIPOS!A1583</f>
        <v/>
      </c>
      <c r="C1583">
        <f>BASE_EQUIPOS!B1583</f>
        <v/>
      </c>
      <c r="D1583">
        <f>BASE_EQUIPOS!D1583</f>
        <v/>
      </c>
      <c r="E1583">
        <f>BASE_EQUIPOS!G1583</f>
        <v/>
      </c>
      <c r="F1583">
        <f>BASE_EQUIPOS!H1583</f>
        <v/>
      </c>
      <c r="G1583">
        <f>BASE_EQUIPOS!M1583</f>
        <v/>
      </c>
      <c r="I1583" t="inlineStr">
        <is>
          <t>000636</t>
        </is>
      </c>
    </row>
    <row r="1584">
      <c r="A1584">
        <f>TRIM(BASE_EQUIPOS!N1584)</f>
        <v/>
      </c>
      <c r="B1584">
        <f>BASE_EQUIPOS!A1584</f>
        <v/>
      </c>
      <c r="C1584">
        <f>BASE_EQUIPOS!B1584</f>
        <v/>
      </c>
      <c r="D1584">
        <f>BASE_EQUIPOS!D1584</f>
        <v/>
      </c>
      <c r="E1584">
        <f>BASE_EQUIPOS!G1584</f>
        <v/>
      </c>
      <c r="F1584">
        <f>BASE_EQUIPOS!H1584</f>
        <v/>
      </c>
      <c r="G1584">
        <f>BASE_EQUIPOS!M1584</f>
        <v/>
      </c>
      <c r="I1584" t="inlineStr">
        <is>
          <t>003463</t>
        </is>
      </c>
    </row>
    <row r="1585">
      <c r="A1585">
        <f>TRIM(BASE_EQUIPOS!N1585)</f>
        <v/>
      </c>
      <c r="B1585">
        <f>BASE_EQUIPOS!A1585</f>
        <v/>
      </c>
      <c r="C1585">
        <f>BASE_EQUIPOS!B1585</f>
        <v/>
      </c>
      <c r="D1585">
        <f>BASE_EQUIPOS!D1585</f>
        <v/>
      </c>
      <c r="E1585">
        <f>BASE_EQUIPOS!G1585</f>
        <v/>
      </c>
      <c r="F1585">
        <f>BASE_EQUIPOS!H1585</f>
        <v/>
      </c>
      <c r="G1585">
        <f>BASE_EQUIPOS!M1585</f>
        <v/>
      </c>
      <c r="I1585" t="inlineStr">
        <is>
          <t>002361</t>
        </is>
      </c>
    </row>
    <row r="1586">
      <c r="A1586">
        <f>TRIM(BASE_EQUIPOS!N1586)</f>
        <v/>
      </c>
      <c r="B1586">
        <f>BASE_EQUIPOS!A1586</f>
        <v/>
      </c>
      <c r="C1586">
        <f>BASE_EQUIPOS!B1586</f>
        <v/>
      </c>
      <c r="D1586">
        <f>BASE_EQUIPOS!D1586</f>
        <v/>
      </c>
      <c r="E1586">
        <f>BASE_EQUIPOS!G1586</f>
        <v/>
      </c>
      <c r="F1586">
        <f>BASE_EQUIPOS!H1586</f>
        <v/>
      </c>
      <c r="G1586">
        <f>BASE_EQUIPOS!M1586</f>
        <v/>
      </c>
      <c r="I1586" t="inlineStr">
        <is>
          <t>001186</t>
        </is>
      </c>
    </row>
    <row r="1587">
      <c r="A1587">
        <f>TRIM(BASE_EQUIPOS!N1587)</f>
        <v/>
      </c>
      <c r="B1587">
        <f>BASE_EQUIPOS!A1587</f>
        <v/>
      </c>
      <c r="C1587">
        <f>BASE_EQUIPOS!B1587</f>
        <v/>
      </c>
      <c r="D1587">
        <f>BASE_EQUIPOS!D1587</f>
        <v/>
      </c>
      <c r="E1587">
        <f>BASE_EQUIPOS!G1587</f>
        <v/>
      </c>
      <c r="F1587">
        <f>BASE_EQUIPOS!H1587</f>
        <v/>
      </c>
      <c r="G1587">
        <f>BASE_EQUIPOS!M1587</f>
        <v/>
      </c>
      <c r="I1587" t="inlineStr">
        <is>
          <t>000448</t>
        </is>
      </c>
    </row>
    <row r="1588">
      <c r="A1588">
        <f>TRIM(BASE_EQUIPOS!N1588)</f>
        <v/>
      </c>
      <c r="B1588">
        <f>BASE_EQUIPOS!A1588</f>
        <v/>
      </c>
      <c r="C1588">
        <f>BASE_EQUIPOS!B1588</f>
        <v/>
      </c>
      <c r="D1588">
        <f>BASE_EQUIPOS!D1588</f>
        <v/>
      </c>
      <c r="E1588">
        <f>BASE_EQUIPOS!G1588</f>
        <v/>
      </c>
      <c r="F1588">
        <f>BASE_EQUIPOS!H1588</f>
        <v/>
      </c>
      <c r="G1588">
        <f>BASE_EQUIPOS!M1588</f>
        <v/>
      </c>
      <c r="I1588" t="inlineStr">
        <is>
          <t>001171</t>
        </is>
      </c>
    </row>
    <row r="1589">
      <c r="A1589">
        <f>TRIM(BASE_EQUIPOS!N1589)</f>
        <v/>
      </c>
      <c r="B1589">
        <f>BASE_EQUIPOS!A1589</f>
        <v/>
      </c>
      <c r="C1589">
        <f>BASE_EQUIPOS!B1589</f>
        <v/>
      </c>
      <c r="D1589">
        <f>BASE_EQUIPOS!D1589</f>
        <v/>
      </c>
      <c r="E1589">
        <f>BASE_EQUIPOS!G1589</f>
        <v/>
      </c>
      <c r="F1589">
        <f>BASE_EQUIPOS!H1589</f>
        <v/>
      </c>
      <c r="G1589">
        <f>BASE_EQUIPOS!M1589</f>
        <v/>
      </c>
      <c r="I1589" t="inlineStr">
        <is>
          <t>000560</t>
        </is>
      </c>
    </row>
    <row r="1590">
      <c r="A1590">
        <f>TRIM(BASE_EQUIPOS!N1590)</f>
        <v/>
      </c>
      <c r="B1590">
        <f>BASE_EQUIPOS!A1590</f>
        <v/>
      </c>
      <c r="C1590">
        <f>BASE_EQUIPOS!B1590</f>
        <v/>
      </c>
      <c r="D1590">
        <f>BASE_EQUIPOS!D1590</f>
        <v/>
      </c>
      <c r="E1590">
        <f>BASE_EQUIPOS!G1590</f>
        <v/>
      </c>
      <c r="F1590">
        <f>BASE_EQUIPOS!H1590</f>
        <v/>
      </c>
      <c r="G1590">
        <f>BASE_EQUIPOS!M1590</f>
        <v/>
      </c>
      <c r="I1590" t="inlineStr">
        <is>
          <t>001146</t>
        </is>
      </c>
    </row>
    <row r="1591">
      <c r="A1591">
        <f>TRIM(BASE_EQUIPOS!N1591)</f>
        <v/>
      </c>
      <c r="B1591">
        <f>BASE_EQUIPOS!A1591</f>
        <v/>
      </c>
      <c r="C1591">
        <f>BASE_EQUIPOS!B1591</f>
        <v/>
      </c>
      <c r="D1591">
        <f>BASE_EQUIPOS!D1591</f>
        <v/>
      </c>
      <c r="E1591">
        <f>BASE_EQUIPOS!G1591</f>
        <v/>
      </c>
      <c r="F1591">
        <f>BASE_EQUIPOS!H1591</f>
        <v/>
      </c>
      <c r="G1591">
        <f>BASE_EQUIPOS!M1591</f>
        <v/>
      </c>
      <c r="I1591" t="inlineStr">
        <is>
          <t>000673</t>
        </is>
      </c>
    </row>
    <row r="1592">
      <c r="A1592">
        <f>TRIM(BASE_EQUIPOS!N1592)</f>
        <v/>
      </c>
      <c r="B1592">
        <f>BASE_EQUIPOS!A1592</f>
        <v/>
      </c>
      <c r="C1592">
        <f>BASE_EQUIPOS!B1592</f>
        <v/>
      </c>
      <c r="D1592">
        <f>BASE_EQUIPOS!D1592</f>
        <v/>
      </c>
      <c r="E1592">
        <f>BASE_EQUIPOS!G1592</f>
        <v/>
      </c>
      <c r="F1592">
        <f>BASE_EQUIPOS!H1592</f>
        <v/>
      </c>
      <c r="G1592">
        <f>BASE_EQUIPOS!M1592</f>
        <v/>
      </c>
      <c r="I1592" t="inlineStr">
        <is>
          <t>001001</t>
        </is>
      </c>
    </row>
    <row r="1593">
      <c r="A1593">
        <f>TRIM(BASE_EQUIPOS!N1593)</f>
        <v/>
      </c>
      <c r="B1593">
        <f>BASE_EQUIPOS!A1593</f>
        <v/>
      </c>
      <c r="C1593">
        <f>BASE_EQUIPOS!B1593</f>
        <v/>
      </c>
      <c r="D1593">
        <f>BASE_EQUIPOS!D1593</f>
        <v/>
      </c>
      <c r="E1593">
        <f>BASE_EQUIPOS!G1593</f>
        <v/>
      </c>
      <c r="F1593">
        <f>BASE_EQUIPOS!H1593</f>
        <v/>
      </c>
      <c r="G1593">
        <f>BASE_EQUIPOS!M1593</f>
        <v/>
      </c>
      <c r="I1593" t="inlineStr">
        <is>
          <t>000183</t>
        </is>
      </c>
    </row>
    <row r="1594">
      <c r="A1594">
        <f>TRIM(BASE_EQUIPOS!N1594)</f>
        <v/>
      </c>
      <c r="B1594">
        <f>BASE_EQUIPOS!A1594</f>
        <v/>
      </c>
      <c r="C1594">
        <f>BASE_EQUIPOS!B1594</f>
        <v/>
      </c>
      <c r="D1594">
        <f>BASE_EQUIPOS!D1594</f>
        <v/>
      </c>
      <c r="E1594">
        <f>BASE_EQUIPOS!G1594</f>
        <v/>
      </c>
      <c r="F1594">
        <f>BASE_EQUIPOS!H1594</f>
        <v/>
      </c>
      <c r="G1594">
        <f>BASE_EQUIPOS!M1594</f>
        <v/>
      </c>
      <c r="I1594" t="inlineStr">
        <is>
          <t>000253</t>
        </is>
      </c>
    </row>
    <row r="1595">
      <c r="A1595">
        <f>TRIM(BASE_EQUIPOS!N1595)</f>
        <v/>
      </c>
      <c r="B1595">
        <f>BASE_EQUIPOS!A1595</f>
        <v/>
      </c>
      <c r="C1595">
        <f>BASE_EQUIPOS!B1595</f>
        <v/>
      </c>
      <c r="D1595">
        <f>BASE_EQUIPOS!D1595</f>
        <v/>
      </c>
      <c r="E1595">
        <f>BASE_EQUIPOS!G1595</f>
        <v/>
      </c>
      <c r="F1595">
        <f>BASE_EQUIPOS!H1595</f>
        <v/>
      </c>
      <c r="G1595">
        <f>BASE_EQUIPOS!M1595</f>
        <v/>
      </c>
      <c r="I1595" t="inlineStr">
        <is>
          <t>000582</t>
        </is>
      </c>
    </row>
    <row r="1596">
      <c r="A1596">
        <f>TRIM(BASE_EQUIPOS!N1596)</f>
        <v/>
      </c>
      <c r="B1596">
        <f>BASE_EQUIPOS!A1596</f>
        <v/>
      </c>
      <c r="C1596">
        <f>BASE_EQUIPOS!B1596</f>
        <v/>
      </c>
      <c r="D1596">
        <f>BASE_EQUIPOS!D1596</f>
        <v/>
      </c>
      <c r="E1596">
        <f>BASE_EQUIPOS!G1596</f>
        <v/>
      </c>
      <c r="F1596">
        <f>BASE_EQUIPOS!H1596</f>
        <v/>
      </c>
      <c r="G1596">
        <f>BASE_EQUIPOS!M1596</f>
        <v/>
      </c>
      <c r="I1596" t="inlineStr">
        <is>
          <t>262/000148</t>
        </is>
      </c>
    </row>
    <row r="1597">
      <c r="A1597">
        <f>TRIM(BASE_EQUIPOS!N1597)</f>
        <v/>
      </c>
      <c r="B1597">
        <f>BASE_EQUIPOS!A1597</f>
        <v/>
      </c>
      <c r="C1597">
        <f>BASE_EQUIPOS!B1597</f>
        <v/>
      </c>
      <c r="D1597">
        <f>BASE_EQUIPOS!D1597</f>
        <v/>
      </c>
      <c r="E1597">
        <f>BASE_EQUIPOS!G1597</f>
        <v/>
      </c>
      <c r="F1597">
        <f>BASE_EQUIPOS!H1597</f>
        <v/>
      </c>
      <c r="G1597">
        <f>BASE_EQUIPOS!M1597</f>
        <v/>
      </c>
      <c r="I1597" t="inlineStr">
        <is>
          <t>S/N /000375</t>
        </is>
      </c>
    </row>
    <row r="1598">
      <c r="A1598">
        <f>TRIM(BASE_EQUIPOS!N1598)</f>
        <v/>
      </c>
      <c r="B1598">
        <f>BASE_EQUIPOS!A1598</f>
        <v/>
      </c>
      <c r="C1598">
        <f>BASE_EQUIPOS!B1598</f>
        <v/>
      </c>
      <c r="D1598">
        <f>BASE_EQUIPOS!D1598</f>
        <v/>
      </c>
      <c r="E1598">
        <f>BASE_EQUIPOS!G1598</f>
        <v/>
      </c>
      <c r="F1598">
        <f>BASE_EQUIPOS!H1598</f>
        <v/>
      </c>
      <c r="G1598">
        <f>BASE_EQUIPOS!M1598</f>
        <v/>
      </c>
      <c r="I1598" t="inlineStr">
        <is>
          <t>230/000534</t>
        </is>
      </c>
    </row>
    <row r="1599">
      <c r="A1599">
        <f>TRIM(BASE_EQUIPOS!N1599)</f>
        <v/>
      </c>
      <c r="B1599">
        <f>BASE_EQUIPOS!A1599</f>
        <v/>
      </c>
      <c r="C1599">
        <f>BASE_EQUIPOS!B1599</f>
        <v/>
      </c>
      <c r="D1599">
        <f>BASE_EQUIPOS!D1599</f>
        <v/>
      </c>
      <c r="E1599">
        <f>BASE_EQUIPOS!G1599</f>
        <v/>
      </c>
      <c r="F1599">
        <f>BASE_EQUIPOS!H1599</f>
        <v/>
      </c>
      <c r="G1599">
        <f>BASE_EQUIPOS!M1599</f>
        <v/>
      </c>
      <c r="I1599" t="inlineStr">
        <is>
          <t>000657</t>
        </is>
      </c>
    </row>
    <row r="1600">
      <c r="A1600">
        <f>TRIM(BASE_EQUIPOS!N1600)</f>
        <v/>
      </c>
      <c r="B1600">
        <f>BASE_EQUIPOS!A1600</f>
        <v/>
      </c>
      <c r="C1600">
        <f>BASE_EQUIPOS!B1600</f>
        <v/>
      </c>
      <c r="D1600">
        <f>BASE_EQUIPOS!D1600</f>
        <v/>
      </c>
      <c r="E1600">
        <f>BASE_EQUIPOS!G1600</f>
        <v/>
      </c>
      <c r="F1600">
        <f>BASE_EQUIPOS!H1600</f>
        <v/>
      </c>
      <c r="G1600">
        <f>BASE_EQUIPOS!M1600</f>
        <v/>
      </c>
      <c r="I1600" t="inlineStr">
        <is>
          <t>002262</t>
        </is>
      </c>
    </row>
    <row r="1601">
      <c r="A1601">
        <f>TRIM(BASE_EQUIPOS!N1601)</f>
        <v/>
      </c>
      <c r="B1601">
        <f>BASE_EQUIPOS!A1601</f>
        <v/>
      </c>
      <c r="C1601">
        <f>BASE_EQUIPOS!B1601</f>
        <v/>
      </c>
      <c r="D1601">
        <f>BASE_EQUIPOS!D1601</f>
        <v/>
      </c>
      <c r="E1601">
        <f>BASE_EQUIPOS!G1601</f>
        <v/>
      </c>
      <c r="F1601">
        <f>BASE_EQUIPOS!H1601</f>
        <v/>
      </c>
      <c r="G1601">
        <f>BASE_EQUIPOS!M1601</f>
        <v/>
      </c>
      <c r="I1601" t="inlineStr">
        <is>
          <t>000012</t>
        </is>
      </c>
    </row>
    <row r="1602">
      <c r="A1602">
        <f>TRIM(BASE_EQUIPOS!N1602)</f>
        <v/>
      </c>
      <c r="B1602">
        <f>BASE_EQUIPOS!A1602</f>
        <v/>
      </c>
      <c r="C1602">
        <f>BASE_EQUIPOS!B1602</f>
        <v/>
      </c>
      <c r="D1602">
        <f>BASE_EQUIPOS!D1602</f>
        <v/>
      </c>
      <c r="E1602">
        <f>BASE_EQUIPOS!G1602</f>
        <v/>
      </c>
      <c r="F1602">
        <f>BASE_EQUIPOS!H1602</f>
        <v/>
      </c>
      <c r="G1602">
        <f>BASE_EQUIPOS!M1602</f>
        <v/>
      </c>
      <c r="I1602" t="inlineStr">
        <is>
          <t>001847</t>
        </is>
      </c>
    </row>
    <row r="1603">
      <c r="A1603">
        <f>TRIM(BASE_EQUIPOS!N1603)</f>
        <v/>
      </c>
      <c r="B1603">
        <f>BASE_EQUIPOS!A1603</f>
        <v/>
      </c>
      <c r="C1603">
        <f>BASE_EQUIPOS!B1603</f>
        <v/>
      </c>
      <c r="D1603">
        <f>BASE_EQUIPOS!D1603</f>
        <v/>
      </c>
      <c r="E1603">
        <f>BASE_EQUIPOS!G1603</f>
        <v/>
      </c>
      <c r="F1603">
        <f>BASE_EQUIPOS!H1603</f>
        <v/>
      </c>
      <c r="G1603">
        <f>BASE_EQUIPOS!M1603</f>
        <v/>
      </c>
      <c r="I1603" t="inlineStr">
        <is>
          <t>186/000449</t>
        </is>
      </c>
    </row>
    <row r="1604">
      <c r="A1604">
        <f>TRIM(BASE_EQUIPOS!N1604)</f>
        <v/>
      </c>
      <c r="B1604">
        <f>BASE_EQUIPOS!A1604</f>
        <v/>
      </c>
      <c r="C1604">
        <f>BASE_EQUIPOS!B1604</f>
        <v/>
      </c>
      <c r="D1604">
        <f>BASE_EQUIPOS!D1604</f>
        <v/>
      </c>
      <c r="E1604">
        <f>BASE_EQUIPOS!G1604</f>
        <v/>
      </c>
      <c r="F1604">
        <f>BASE_EQUIPOS!H1604</f>
        <v/>
      </c>
      <c r="G1604">
        <f>BASE_EQUIPOS!M1604</f>
        <v/>
      </c>
      <c r="I1604" t="inlineStr">
        <is>
          <t>S/N /005496</t>
        </is>
      </c>
    </row>
    <row r="1605">
      <c r="A1605">
        <f>TRIM(BASE_EQUIPOS!N1605)</f>
        <v/>
      </c>
      <c r="B1605">
        <f>BASE_EQUIPOS!A1605</f>
        <v/>
      </c>
      <c r="C1605">
        <f>BASE_EQUIPOS!B1605</f>
        <v/>
      </c>
      <c r="D1605">
        <f>BASE_EQUIPOS!D1605</f>
        <v/>
      </c>
      <c r="E1605">
        <f>BASE_EQUIPOS!G1605</f>
        <v/>
      </c>
      <c r="F1605">
        <f>BASE_EQUIPOS!H1605</f>
        <v/>
      </c>
      <c r="G1605">
        <f>BASE_EQUIPOS!M1605</f>
        <v/>
      </c>
      <c r="I1605" t="inlineStr">
        <is>
          <t>174/001418</t>
        </is>
      </c>
    </row>
    <row r="1606">
      <c r="A1606">
        <f>TRIM(BASE_EQUIPOS!N1606)</f>
        <v/>
      </c>
      <c r="B1606">
        <f>BASE_EQUIPOS!A1606</f>
        <v/>
      </c>
      <c r="C1606">
        <f>BASE_EQUIPOS!B1606</f>
        <v/>
      </c>
      <c r="D1606">
        <f>BASE_EQUIPOS!D1606</f>
        <v/>
      </c>
      <c r="E1606">
        <f>BASE_EQUIPOS!G1606</f>
        <v/>
      </c>
      <c r="F1606">
        <f>BASE_EQUIPOS!H1606</f>
        <v/>
      </c>
      <c r="G1606">
        <f>BASE_EQUIPOS!M1606</f>
        <v/>
      </c>
      <c r="I1606" t="inlineStr">
        <is>
          <t>369/014184</t>
        </is>
      </c>
    </row>
    <row r="1607">
      <c r="A1607">
        <f>TRIM(BASE_EQUIPOS!N1607)</f>
        <v/>
      </c>
      <c r="B1607">
        <f>BASE_EQUIPOS!A1607</f>
        <v/>
      </c>
      <c r="C1607">
        <f>BASE_EQUIPOS!B1607</f>
        <v/>
      </c>
      <c r="D1607">
        <f>BASE_EQUIPOS!D1607</f>
        <v/>
      </c>
      <c r="E1607">
        <f>BASE_EQUIPOS!G1607</f>
        <v/>
      </c>
      <c r="F1607">
        <f>BASE_EQUIPOS!H1607</f>
        <v/>
      </c>
      <c r="G1607">
        <f>BASE_EQUIPOS!M1607</f>
        <v/>
      </c>
      <c r="I1607" t="inlineStr">
        <is>
          <t>001094</t>
        </is>
      </c>
    </row>
    <row r="1608">
      <c r="A1608">
        <f>TRIM(BASE_EQUIPOS!N1608)</f>
        <v/>
      </c>
      <c r="B1608">
        <f>BASE_EQUIPOS!A1608</f>
        <v/>
      </c>
      <c r="C1608">
        <f>BASE_EQUIPOS!B1608</f>
        <v/>
      </c>
      <c r="D1608">
        <f>BASE_EQUIPOS!D1608</f>
        <v/>
      </c>
      <c r="E1608">
        <f>BASE_EQUIPOS!G1608</f>
        <v/>
      </c>
      <c r="F1608">
        <f>BASE_EQUIPOS!H1608</f>
        <v/>
      </c>
      <c r="G1608">
        <f>BASE_EQUIPOS!M1608</f>
        <v/>
      </c>
      <c r="I1608" t="inlineStr">
        <is>
          <t>002399</t>
        </is>
      </c>
    </row>
    <row r="1609">
      <c r="A1609">
        <f>TRIM(BASE_EQUIPOS!N1609)</f>
        <v/>
      </c>
      <c r="B1609">
        <f>BASE_EQUIPOS!A1609</f>
        <v/>
      </c>
      <c r="C1609">
        <f>BASE_EQUIPOS!B1609</f>
        <v/>
      </c>
      <c r="D1609">
        <f>BASE_EQUIPOS!D1609</f>
        <v/>
      </c>
      <c r="E1609">
        <f>BASE_EQUIPOS!G1609</f>
        <v/>
      </c>
      <c r="F1609">
        <f>BASE_EQUIPOS!H1609</f>
        <v/>
      </c>
      <c r="G1609">
        <f>BASE_EQUIPOS!M1609</f>
        <v/>
      </c>
      <c r="I1609" t="inlineStr">
        <is>
          <t>048722</t>
        </is>
      </c>
    </row>
    <row r="1610">
      <c r="A1610">
        <f>TRIM(BASE_EQUIPOS!N1610)</f>
        <v/>
      </c>
      <c r="B1610">
        <f>BASE_EQUIPOS!A1610</f>
        <v/>
      </c>
      <c r="C1610">
        <f>BASE_EQUIPOS!B1610</f>
        <v/>
      </c>
      <c r="D1610">
        <f>BASE_EQUIPOS!D1610</f>
        <v/>
      </c>
      <c r="E1610">
        <f>BASE_EQUIPOS!G1610</f>
        <v/>
      </c>
      <c r="F1610">
        <f>BASE_EQUIPOS!H1610</f>
        <v/>
      </c>
      <c r="G1610">
        <f>BASE_EQUIPOS!M1610</f>
        <v/>
      </c>
      <c r="I1610" t="inlineStr">
        <is>
          <t>155747</t>
        </is>
      </c>
    </row>
    <row r="1611">
      <c r="A1611">
        <f>TRIM(BASE_EQUIPOS!N1611)</f>
        <v/>
      </c>
      <c r="B1611">
        <f>BASE_EQUIPOS!A1611</f>
        <v/>
      </c>
      <c r="C1611">
        <f>BASE_EQUIPOS!B1611</f>
        <v/>
      </c>
      <c r="D1611">
        <f>BASE_EQUIPOS!D1611</f>
        <v/>
      </c>
      <c r="E1611">
        <f>BASE_EQUIPOS!G1611</f>
        <v/>
      </c>
      <c r="F1611">
        <f>BASE_EQUIPOS!H1611</f>
        <v/>
      </c>
      <c r="G1611">
        <f>BASE_EQUIPOS!M1611</f>
        <v/>
      </c>
      <c r="I1611" t="inlineStr">
        <is>
          <t>01/000326</t>
        </is>
      </c>
    </row>
    <row r="1612">
      <c r="A1612">
        <f>TRIM(BASE_EQUIPOS!N1612)</f>
        <v/>
      </c>
      <c r="B1612">
        <f>BASE_EQUIPOS!A1612</f>
        <v/>
      </c>
      <c r="C1612">
        <f>BASE_EQUIPOS!B1612</f>
        <v/>
      </c>
      <c r="D1612">
        <f>BASE_EQUIPOS!D1612</f>
        <v/>
      </c>
      <c r="E1612">
        <f>BASE_EQUIPOS!G1612</f>
        <v/>
      </c>
      <c r="F1612">
        <f>BASE_EQUIPOS!H1612</f>
        <v/>
      </c>
      <c r="G1612">
        <f>BASE_EQUIPOS!M1612</f>
        <v/>
      </c>
      <c r="I1612" t="inlineStr">
        <is>
          <t>126135</t>
        </is>
      </c>
    </row>
    <row r="1613">
      <c r="A1613">
        <f>TRIM(BASE_EQUIPOS!N1613)</f>
        <v/>
      </c>
      <c r="B1613">
        <f>BASE_EQUIPOS!A1613</f>
        <v/>
      </c>
      <c r="C1613">
        <f>BASE_EQUIPOS!B1613</f>
        <v/>
      </c>
      <c r="D1613">
        <f>BASE_EQUIPOS!D1613</f>
        <v/>
      </c>
      <c r="E1613">
        <f>BASE_EQUIPOS!G1613</f>
        <v/>
      </c>
      <c r="F1613">
        <f>BASE_EQUIPOS!H1613</f>
        <v/>
      </c>
      <c r="G1613">
        <f>BASE_EQUIPOS!M1613</f>
        <v/>
      </c>
      <c r="I1613" t="inlineStr">
        <is>
          <t>020549</t>
        </is>
      </c>
    </row>
    <row r="1614">
      <c r="A1614">
        <f>TRIM(BASE_EQUIPOS!N1614)</f>
        <v/>
      </c>
      <c r="B1614">
        <f>BASE_EQUIPOS!A1614</f>
        <v/>
      </c>
      <c r="C1614">
        <f>BASE_EQUIPOS!B1614</f>
        <v/>
      </c>
      <c r="D1614">
        <f>BASE_EQUIPOS!D1614</f>
        <v/>
      </c>
      <c r="E1614">
        <f>BASE_EQUIPOS!G1614</f>
        <v/>
      </c>
      <c r="F1614">
        <f>BASE_EQUIPOS!H1614</f>
        <v/>
      </c>
      <c r="G1614">
        <f>BASE_EQUIPOS!M1614</f>
        <v/>
      </c>
      <c r="I1614" t="inlineStr">
        <is>
          <t>000149</t>
        </is>
      </c>
    </row>
    <row r="1615">
      <c r="A1615">
        <f>TRIM(BASE_EQUIPOS!N1615)</f>
        <v/>
      </c>
      <c r="B1615">
        <f>BASE_EQUIPOS!A1615</f>
        <v/>
      </c>
      <c r="C1615">
        <f>BASE_EQUIPOS!B1615</f>
        <v/>
      </c>
      <c r="D1615">
        <f>BASE_EQUIPOS!D1615</f>
        <v/>
      </c>
      <c r="E1615">
        <f>BASE_EQUIPOS!G1615</f>
        <v/>
      </c>
      <c r="F1615">
        <f>BASE_EQUIPOS!H1615</f>
        <v/>
      </c>
      <c r="G1615">
        <f>BASE_EQUIPOS!M1615</f>
        <v/>
      </c>
      <c r="I1615" t="inlineStr">
        <is>
          <t>002440</t>
        </is>
      </c>
    </row>
    <row r="1616">
      <c r="A1616">
        <f>TRIM(BASE_EQUIPOS!N1616)</f>
        <v/>
      </c>
      <c r="B1616">
        <f>BASE_EQUIPOS!A1616</f>
        <v/>
      </c>
      <c r="C1616">
        <f>BASE_EQUIPOS!B1616</f>
        <v/>
      </c>
      <c r="D1616">
        <f>BASE_EQUIPOS!D1616</f>
        <v/>
      </c>
      <c r="E1616">
        <f>BASE_EQUIPOS!G1616</f>
        <v/>
      </c>
      <c r="F1616">
        <f>BASE_EQUIPOS!H1616</f>
        <v/>
      </c>
      <c r="G1616">
        <f>BASE_EQUIPOS!M1616</f>
        <v/>
      </c>
      <c r="I1616" t="inlineStr">
        <is>
          <t>244/001534</t>
        </is>
      </c>
    </row>
    <row r="1617">
      <c r="A1617">
        <f>TRIM(BASE_EQUIPOS!N1617)</f>
        <v/>
      </c>
      <c r="B1617">
        <f>BASE_EQUIPOS!A1617</f>
        <v/>
      </c>
      <c r="C1617">
        <f>BASE_EQUIPOS!B1617</f>
        <v/>
      </c>
      <c r="D1617">
        <f>BASE_EQUIPOS!D1617</f>
        <v/>
      </c>
      <c r="E1617">
        <f>BASE_EQUIPOS!G1617</f>
        <v/>
      </c>
      <c r="F1617">
        <f>BASE_EQUIPOS!H1617</f>
        <v/>
      </c>
      <c r="G1617">
        <f>BASE_EQUIPOS!M1617</f>
        <v/>
      </c>
      <c r="I1617" t="inlineStr">
        <is>
          <t>151/00124</t>
        </is>
      </c>
    </row>
    <row r="1618">
      <c r="A1618">
        <f>TRIM(BASE_EQUIPOS!N1618)</f>
        <v/>
      </c>
      <c r="B1618">
        <f>BASE_EQUIPOS!A1618</f>
        <v/>
      </c>
      <c r="C1618">
        <f>BASE_EQUIPOS!B1618</f>
        <v/>
      </c>
      <c r="D1618">
        <f>BASE_EQUIPOS!D1618</f>
        <v/>
      </c>
      <c r="E1618">
        <f>BASE_EQUIPOS!G1618</f>
        <v/>
      </c>
      <c r="F1618">
        <f>BASE_EQUIPOS!H1618</f>
        <v/>
      </c>
      <c r="G1618">
        <f>BASE_EQUIPOS!M1618</f>
        <v/>
      </c>
      <c r="I1618" t="inlineStr">
        <is>
          <t>S/N / 001487</t>
        </is>
      </c>
    </row>
    <row r="1619">
      <c r="A1619">
        <f>TRIM(BASE_EQUIPOS!N1619)</f>
        <v/>
      </c>
      <c r="B1619">
        <f>BASE_EQUIPOS!A1619</f>
        <v/>
      </c>
      <c r="C1619">
        <f>BASE_EQUIPOS!B1619</f>
        <v/>
      </c>
      <c r="D1619">
        <f>BASE_EQUIPOS!D1619</f>
        <v/>
      </c>
      <c r="E1619">
        <f>BASE_EQUIPOS!G1619</f>
        <v/>
      </c>
      <c r="F1619">
        <f>BASE_EQUIPOS!H1619</f>
        <v/>
      </c>
      <c r="G1619">
        <f>BASE_EQUIPOS!M1619</f>
        <v/>
      </c>
      <c r="I1619" t="inlineStr">
        <is>
          <t>374/ 001418</t>
        </is>
      </c>
    </row>
    <row r="1620">
      <c r="A1620">
        <f>TRIM(BASE_EQUIPOS!N1620)</f>
        <v/>
      </c>
      <c r="B1620">
        <f>BASE_EQUIPOS!A1620</f>
        <v/>
      </c>
      <c r="C1620">
        <f>BASE_EQUIPOS!B1620</f>
        <v/>
      </c>
      <c r="D1620">
        <f>BASE_EQUIPOS!D1620</f>
        <v/>
      </c>
      <c r="E1620">
        <f>BASE_EQUIPOS!G1620</f>
        <v/>
      </c>
      <c r="F1620">
        <f>BASE_EQUIPOS!H1620</f>
        <v/>
      </c>
      <c r="G1620">
        <f>BASE_EQUIPOS!M1620</f>
        <v/>
      </c>
      <c r="I1620" t="inlineStr">
        <is>
          <t>213/ 000476</t>
        </is>
      </c>
    </row>
    <row r="1621">
      <c r="A1621">
        <f>TRIM(BASE_EQUIPOS!N1621)</f>
        <v/>
      </c>
      <c r="B1621">
        <f>BASE_EQUIPOS!A1621</f>
        <v/>
      </c>
      <c r="C1621">
        <f>BASE_EQUIPOS!B1621</f>
        <v/>
      </c>
      <c r="D1621">
        <f>BASE_EQUIPOS!D1621</f>
        <v/>
      </c>
      <c r="E1621">
        <f>BASE_EQUIPOS!G1621</f>
        <v/>
      </c>
      <c r="F1621">
        <f>BASE_EQUIPOS!H1621</f>
        <v/>
      </c>
      <c r="G1621">
        <f>BASE_EQUIPOS!M1621</f>
        <v/>
      </c>
      <c r="I1621" t="inlineStr">
        <is>
          <t>152/ 000048</t>
        </is>
      </c>
    </row>
    <row r="1622">
      <c r="A1622">
        <f>TRIM(BASE_EQUIPOS!N1622)</f>
        <v/>
      </c>
      <c r="B1622">
        <f>BASE_EQUIPOS!A1622</f>
        <v/>
      </c>
      <c r="C1622">
        <f>BASE_EQUIPOS!B1622</f>
        <v/>
      </c>
      <c r="D1622">
        <f>BASE_EQUIPOS!D1622</f>
        <v/>
      </c>
      <c r="E1622">
        <f>BASE_EQUIPOS!G1622</f>
        <v/>
      </c>
      <c r="F1622">
        <f>BASE_EQUIPOS!H1622</f>
        <v/>
      </c>
      <c r="G1622">
        <f>BASE_EQUIPOS!M1622</f>
        <v/>
      </c>
      <c r="I1622" t="inlineStr">
        <is>
          <t>SN/ 001745</t>
        </is>
      </c>
    </row>
    <row r="1623">
      <c r="A1623">
        <f>TRIM(BASE_EQUIPOS!N1623)</f>
        <v/>
      </c>
      <c r="B1623">
        <f>BASE_EQUIPOS!A1623</f>
        <v/>
      </c>
      <c r="C1623">
        <f>BASE_EQUIPOS!B1623</f>
        <v/>
      </c>
      <c r="D1623">
        <f>BASE_EQUIPOS!D1623</f>
        <v/>
      </c>
      <c r="E1623">
        <f>BASE_EQUIPOS!G1623</f>
        <v/>
      </c>
      <c r="F1623">
        <f>BASE_EQUIPOS!H1623</f>
        <v/>
      </c>
      <c r="G1623">
        <f>BASE_EQUIPOS!M1623</f>
        <v/>
      </c>
      <c r="I1623" t="inlineStr">
        <is>
          <t>358/00586</t>
        </is>
      </c>
    </row>
    <row r="1624">
      <c r="A1624">
        <f>TRIM(BASE_EQUIPOS!N1624)</f>
        <v/>
      </c>
      <c r="B1624">
        <f>BASE_EQUIPOS!A1624</f>
        <v/>
      </c>
      <c r="C1624">
        <f>BASE_EQUIPOS!B1624</f>
        <v/>
      </c>
      <c r="D1624">
        <f>BASE_EQUIPOS!D1624</f>
        <v/>
      </c>
      <c r="E1624">
        <f>BASE_EQUIPOS!G1624</f>
        <v/>
      </c>
      <c r="F1624">
        <f>BASE_EQUIPOS!H1624</f>
        <v/>
      </c>
      <c r="G1624">
        <f>BASE_EQUIPOS!M1624</f>
        <v/>
      </c>
      <c r="I1624" t="inlineStr">
        <is>
          <t>312/ 000002</t>
        </is>
      </c>
    </row>
    <row r="1625">
      <c r="A1625">
        <f>TRIM(BASE_EQUIPOS!N1625)</f>
        <v/>
      </c>
      <c r="B1625">
        <f>BASE_EQUIPOS!A1625</f>
        <v/>
      </c>
      <c r="C1625">
        <f>BASE_EQUIPOS!B1625</f>
        <v/>
      </c>
      <c r="D1625">
        <f>BASE_EQUIPOS!D1625</f>
        <v/>
      </c>
      <c r="E1625">
        <f>BASE_EQUIPOS!G1625</f>
        <v/>
      </c>
      <c r="F1625">
        <f>BASE_EQUIPOS!H1625</f>
        <v/>
      </c>
      <c r="G1625">
        <f>BASE_EQUIPOS!M1625</f>
        <v/>
      </c>
      <c r="I1625" t="inlineStr">
        <is>
          <t>334/ 000845</t>
        </is>
      </c>
    </row>
    <row r="1626">
      <c r="A1626">
        <f>TRIM(BASE_EQUIPOS!N1626)</f>
        <v/>
      </c>
      <c r="B1626">
        <f>BASE_EQUIPOS!A1626</f>
        <v/>
      </c>
      <c r="C1626">
        <f>BASE_EQUIPOS!B1626</f>
        <v/>
      </c>
      <c r="D1626">
        <f>BASE_EQUIPOS!D1626</f>
        <v/>
      </c>
      <c r="E1626">
        <f>BASE_EQUIPOS!G1626</f>
        <v/>
      </c>
      <c r="F1626">
        <f>BASE_EQUIPOS!H1626</f>
        <v/>
      </c>
      <c r="G1626">
        <f>BASE_EQUIPOS!M1626</f>
        <v/>
      </c>
      <c r="I1626" t="inlineStr">
        <is>
          <t>412693</t>
        </is>
      </c>
    </row>
    <row r="1627">
      <c r="A1627">
        <f>TRIM(BASE_EQUIPOS!N1627)</f>
        <v/>
      </c>
      <c r="B1627">
        <f>BASE_EQUIPOS!A1627</f>
        <v/>
      </c>
      <c r="C1627">
        <f>BASE_EQUIPOS!B1627</f>
        <v/>
      </c>
      <c r="D1627">
        <f>BASE_EQUIPOS!D1627</f>
        <v/>
      </c>
      <c r="E1627">
        <f>BASE_EQUIPOS!G1627</f>
        <v/>
      </c>
      <c r="F1627">
        <f>BASE_EQUIPOS!H1627</f>
        <v/>
      </c>
      <c r="G1627">
        <f>BASE_EQUIPOS!M1627</f>
        <v/>
      </c>
      <c r="I1627" t="inlineStr">
        <is>
          <t>001336</t>
        </is>
      </c>
    </row>
    <row r="1628">
      <c r="A1628">
        <f>TRIM(BASE_EQUIPOS!N1628)</f>
        <v/>
      </c>
      <c r="B1628">
        <f>BASE_EQUIPOS!A1628</f>
        <v/>
      </c>
      <c r="C1628">
        <f>BASE_EQUIPOS!B1628</f>
        <v/>
      </c>
      <c r="D1628">
        <f>BASE_EQUIPOS!D1628</f>
        <v/>
      </c>
      <c r="E1628">
        <f>BASE_EQUIPOS!G1628</f>
        <v/>
      </c>
      <c r="F1628">
        <f>BASE_EQUIPOS!H1628</f>
        <v/>
      </c>
      <c r="G1628">
        <f>BASE_EQUIPOS!M1628</f>
        <v/>
      </c>
      <c r="I1628" t="inlineStr">
        <is>
          <t>008387</t>
        </is>
      </c>
    </row>
    <row r="1629">
      <c r="A1629">
        <f>TRIM(BASE_EQUIPOS!N1629)</f>
        <v/>
      </c>
      <c r="B1629">
        <f>BASE_EQUIPOS!A1629</f>
        <v/>
      </c>
      <c r="C1629">
        <f>BASE_EQUIPOS!B1629</f>
        <v/>
      </c>
      <c r="D1629">
        <f>BASE_EQUIPOS!D1629</f>
        <v/>
      </c>
      <c r="E1629">
        <f>BASE_EQUIPOS!G1629</f>
        <v/>
      </c>
      <c r="F1629">
        <f>BASE_EQUIPOS!H1629</f>
        <v/>
      </c>
      <c r="G1629">
        <f>BASE_EQUIPOS!M1629</f>
        <v/>
      </c>
      <c r="I1629" t="inlineStr">
        <is>
          <t>205/000091</t>
        </is>
      </c>
    </row>
    <row r="1630">
      <c r="A1630">
        <f>TRIM(BASE_EQUIPOS!N1630)</f>
        <v/>
      </c>
      <c r="B1630">
        <f>BASE_EQUIPOS!A1630</f>
        <v/>
      </c>
      <c r="C1630">
        <f>BASE_EQUIPOS!B1630</f>
        <v/>
      </c>
      <c r="D1630">
        <f>BASE_EQUIPOS!D1630</f>
        <v/>
      </c>
      <c r="E1630">
        <f>BASE_EQUIPOS!G1630</f>
        <v/>
      </c>
      <c r="F1630">
        <f>BASE_EQUIPOS!H1630</f>
        <v/>
      </c>
      <c r="G1630">
        <f>BASE_EQUIPOS!M1630</f>
        <v/>
      </c>
      <c r="I1630" t="inlineStr">
        <is>
          <t>50/003076</t>
        </is>
      </c>
    </row>
    <row r="1631">
      <c r="A1631">
        <f>TRIM(BASE_EQUIPOS!N1631)</f>
        <v/>
      </c>
      <c r="B1631">
        <f>BASE_EQUIPOS!A1631</f>
        <v/>
      </c>
      <c r="C1631">
        <f>BASE_EQUIPOS!B1631</f>
        <v/>
      </c>
      <c r="D1631">
        <f>BASE_EQUIPOS!D1631</f>
        <v/>
      </c>
      <c r="E1631">
        <f>BASE_EQUIPOS!G1631</f>
        <v/>
      </c>
      <c r="F1631">
        <f>BASE_EQUIPOS!H1631</f>
        <v/>
      </c>
      <c r="G1631">
        <f>BASE_EQUIPOS!M1631</f>
        <v/>
      </c>
      <c r="I1631" t="inlineStr">
        <is>
          <t>40/000254</t>
        </is>
      </c>
    </row>
    <row r="1632">
      <c r="A1632">
        <f>TRIM(BASE_EQUIPOS!N1632)</f>
        <v/>
      </c>
      <c r="B1632">
        <f>BASE_EQUIPOS!A1632</f>
        <v/>
      </c>
      <c r="C1632">
        <f>BASE_EQUIPOS!B1632</f>
        <v/>
      </c>
      <c r="D1632">
        <f>BASE_EQUIPOS!D1632</f>
        <v/>
      </c>
      <c r="E1632">
        <f>BASE_EQUIPOS!G1632</f>
        <v/>
      </c>
      <c r="F1632">
        <f>BASE_EQUIPOS!H1632</f>
        <v/>
      </c>
      <c r="G1632">
        <f>BASE_EQUIPOS!M1632</f>
        <v/>
      </c>
      <c r="I1632" t="inlineStr">
        <is>
          <t>40/001545</t>
        </is>
      </c>
    </row>
    <row r="1633">
      <c r="A1633">
        <f>TRIM(BASE_EQUIPOS!N1633)</f>
        <v/>
      </c>
      <c r="B1633">
        <f>BASE_EQUIPOS!A1633</f>
        <v/>
      </c>
      <c r="C1633">
        <f>BASE_EQUIPOS!B1633</f>
        <v/>
      </c>
      <c r="D1633">
        <f>BASE_EQUIPOS!D1633</f>
        <v/>
      </c>
      <c r="E1633">
        <f>BASE_EQUIPOS!G1633</f>
        <v/>
      </c>
      <c r="F1633">
        <f>BASE_EQUIPOS!H1633</f>
        <v/>
      </c>
      <c r="G1633">
        <f>BASE_EQUIPOS!M1633</f>
        <v/>
      </c>
      <c r="I1633" t="inlineStr">
        <is>
          <t>169/000970</t>
        </is>
      </c>
    </row>
    <row r="1634">
      <c r="A1634">
        <f>TRIM(BASE_EQUIPOS!N1634)</f>
        <v/>
      </c>
      <c r="B1634">
        <f>BASE_EQUIPOS!A1634</f>
        <v/>
      </c>
      <c r="C1634">
        <f>BASE_EQUIPOS!B1634</f>
        <v/>
      </c>
      <c r="D1634">
        <f>BASE_EQUIPOS!D1634</f>
        <v/>
      </c>
      <c r="E1634">
        <f>BASE_EQUIPOS!G1634</f>
        <v/>
      </c>
      <c r="F1634">
        <f>BASE_EQUIPOS!H1634</f>
        <v/>
      </c>
      <c r="G1634">
        <f>BASE_EQUIPOS!M1634</f>
        <v/>
      </c>
      <c r="I1634" t="inlineStr">
        <is>
          <t>006008</t>
        </is>
      </c>
    </row>
    <row r="1635">
      <c r="A1635">
        <f>TRIM(BASE_EQUIPOS!N1635)</f>
        <v/>
      </c>
      <c r="B1635">
        <f>BASE_EQUIPOS!A1635</f>
        <v/>
      </c>
      <c r="C1635">
        <f>BASE_EQUIPOS!B1635</f>
        <v/>
      </c>
      <c r="D1635">
        <f>BASE_EQUIPOS!D1635</f>
        <v/>
      </c>
      <c r="E1635">
        <f>BASE_EQUIPOS!G1635</f>
        <v/>
      </c>
      <c r="F1635">
        <f>BASE_EQUIPOS!H1635</f>
        <v/>
      </c>
      <c r="G1635">
        <f>BASE_EQUIPOS!M1635</f>
        <v/>
      </c>
      <c r="I1635" t="inlineStr">
        <is>
          <t>08/306154</t>
        </is>
      </c>
    </row>
    <row r="1636">
      <c r="A1636">
        <f>TRIM(BASE_EQUIPOS!N1636)</f>
        <v/>
      </c>
      <c r="B1636">
        <f>BASE_EQUIPOS!A1636</f>
        <v/>
      </c>
      <c r="C1636">
        <f>BASE_EQUIPOS!B1636</f>
        <v/>
      </c>
      <c r="D1636">
        <f>BASE_EQUIPOS!D1636</f>
        <v/>
      </c>
      <c r="E1636">
        <f>BASE_EQUIPOS!G1636</f>
        <v/>
      </c>
      <c r="F1636">
        <f>BASE_EQUIPOS!H1636</f>
        <v/>
      </c>
      <c r="G1636">
        <f>BASE_EQUIPOS!M1636</f>
        <v/>
      </c>
      <c r="I1636" t="inlineStr">
        <is>
          <t>09/030610</t>
        </is>
      </c>
    </row>
    <row r="1637">
      <c r="A1637">
        <f>TRIM(BASE_EQUIPOS!N1637)</f>
        <v/>
      </c>
      <c r="B1637">
        <f>BASE_EQUIPOS!A1637</f>
        <v/>
      </c>
      <c r="C1637">
        <f>BASE_EQUIPOS!B1637</f>
        <v/>
      </c>
      <c r="D1637">
        <f>BASE_EQUIPOS!D1637</f>
        <v/>
      </c>
      <c r="E1637">
        <f>BASE_EQUIPOS!G1637</f>
        <v/>
      </c>
      <c r="F1637">
        <f>BASE_EQUIPOS!H1637</f>
        <v/>
      </c>
      <c r="G1637">
        <f>BASE_EQUIPOS!M1637</f>
        <v/>
      </c>
      <c r="I1637" t="inlineStr">
        <is>
          <t>10/306156</t>
        </is>
      </c>
    </row>
    <row r="1638">
      <c r="A1638">
        <f>TRIM(BASE_EQUIPOS!N1638)</f>
        <v/>
      </c>
      <c r="B1638">
        <f>BASE_EQUIPOS!A1638</f>
        <v/>
      </c>
      <c r="C1638">
        <f>BASE_EQUIPOS!B1638</f>
        <v/>
      </c>
      <c r="D1638">
        <f>BASE_EQUIPOS!D1638</f>
        <v/>
      </c>
      <c r="E1638">
        <f>BASE_EQUIPOS!G1638</f>
        <v/>
      </c>
      <c r="F1638">
        <f>BASE_EQUIPOS!H1638</f>
        <v/>
      </c>
      <c r="G1638">
        <f>BASE_EQUIPOS!M1638</f>
        <v/>
      </c>
      <c r="I1638" t="inlineStr">
        <is>
          <t>380//0003080</t>
        </is>
      </c>
    </row>
    <row r="1639">
      <c r="A1639">
        <f>TRIM(BASE_EQUIPOS!N1639)</f>
        <v/>
      </c>
      <c r="B1639">
        <f>BASE_EQUIPOS!A1639</f>
        <v/>
      </c>
      <c r="C1639">
        <f>BASE_EQUIPOS!B1639</f>
        <v/>
      </c>
      <c r="D1639">
        <f>BASE_EQUIPOS!D1639</f>
        <v/>
      </c>
      <c r="E1639">
        <f>BASE_EQUIPOS!G1639</f>
        <v/>
      </c>
      <c r="F1639">
        <f>BASE_EQUIPOS!H1639</f>
        <v/>
      </c>
      <c r="G1639">
        <f>BASE_EQUIPOS!M1639</f>
        <v/>
      </c>
      <c r="I1639" t="inlineStr">
        <is>
          <t>SN / 001096</t>
        </is>
      </c>
    </row>
    <row r="1640">
      <c r="A1640">
        <f>TRIM(BASE_EQUIPOS!N1640)</f>
        <v/>
      </c>
      <c r="B1640">
        <f>BASE_EQUIPOS!A1640</f>
        <v/>
      </c>
      <c r="C1640">
        <f>BASE_EQUIPOS!B1640</f>
        <v/>
      </c>
      <c r="D1640">
        <f>BASE_EQUIPOS!D1640</f>
        <v/>
      </c>
      <c r="E1640">
        <f>BASE_EQUIPOS!G1640</f>
        <v/>
      </c>
      <c r="F1640">
        <f>BASE_EQUIPOS!H1640</f>
        <v/>
      </c>
      <c r="G1640">
        <f>BASE_EQUIPOS!M1640</f>
        <v/>
      </c>
      <c r="I1640" t="inlineStr">
        <is>
          <t>272/ 000558</t>
        </is>
      </c>
    </row>
    <row r="1641">
      <c r="A1641">
        <f>TRIM(BASE_EQUIPOS!N1641)</f>
        <v/>
      </c>
      <c r="B1641">
        <f>BASE_EQUIPOS!A1641</f>
        <v/>
      </c>
      <c r="C1641">
        <f>BASE_EQUIPOS!B1641</f>
        <v/>
      </c>
      <c r="D1641">
        <f>BASE_EQUIPOS!D1641</f>
        <v/>
      </c>
      <c r="E1641">
        <f>BASE_EQUIPOS!G1641</f>
        <v/>
      </c>
      <c r="F1641">
        <f>BASE_EQUIPOS!H1641</f>
        <v/>
      </c>
      <c r="G1641">
        <f>BASE_EQUIPOS!M1641</f>
        <v/>
      </c>
      <c r="I1641" t="inlineStr">
        <is>
          <t>SN / 000472</t>
        </is>
      </c>
    </row>
    <row r="1642">
      <c r="A1642">
        <f>TRIM(BASE_EQUIPOS!N1642)</f>
        <v/>
      </c>
      <c r="B1642">
        <f>BASE_EQUIPOS!A1642</f>
        <v/>
      </c>
      <c r="C1642">
        <f>BASE_EQUIPOS!B1642</f>
        <v/>
      </c>
      <c r="D1642">
        <f>BASE_EQUIPOS!D1642</f>
        <v/>
      </c>
      <c r="E1642">
        <f>BASE_EQUIPOS!G1642</f>
        <v/>
      </c>
      <c r="F1642">
        <f>BASE_EQUIPOS!H1642</f>
        <v/>
      </c>
      <c r="G1642">
        <f>BASE_EQUIPOS!M1642</f>
        <v/>
      </c>
      <c r="I1642" t="inlineStr">
        <is>
          <t>180/ 000271</t>
        </is>
      </c>
    </row>
    <row r="1643">
      <c r="A1643">
        <f>TRIM(BASE_EQUIPOS!N1643)</f>
        <v/>
      </c>
      <c r="B1643">
        <f>BASE_EQUIPOS!A1643</f>
        <v/>
      </c>
      <c r="C1643">
        <f>BASE_EQUIPOS!B1643</f>
        <v/>
      </c>
      <c r="D1643">
        <f>BASE_EQUIPOS!D1643</f>
        <v/>
      </c>
      <c r="E1643">
        <f>BASE_EQUIPOS!G1643</f>
        <v/>
      </c>
      <c r="F1643">
        <f>BASE_EQUIPOS!H1643</f>
        <v/>
      </c>
      <c r="G1643">
        <f>BASE_EQUIPOS!M1643</f>
        <v/>
      </c>
      <c r="I1643" t="inlineStr">
        <is>
          <t>SN/ 000005</t>
        </is>
      </c>
    </row>
    <row r="1644">
      <c r="A1644">
        <f>TRIM(BASE_EQUIPOS!N1644)</f>
        <v/>
      </c>
      <c r="B1644">
        <f>BASE_EQUIPOS!A1644</f>
        <v/>
      </c>
      <c r="C1644">
        <f>BASE_EQUIPOS!B1644</f>
        <v/>
      </c>
      <c r="D1644">
        <f>BASE_EQUIPOS!D1644</f>
        <v/>
      </c>
      <c r="E1644">
        <f>BASE_EQUIPOS!G1644</f>
        <v/>
      </c>
      <c r="F1644">
        <f>BASE_EQUIPOS!H1644</f>
        <v/>
      </c>
      <c r="G1644">
        <f>BASE_EQUIPOS!M1644</f>
        <v/>
      </c>
      <c r="I1644" t="inlineStr">
        <is>
          <t>65/ 002623</t>
        </is>
      </c>
    </row>
    <row r="1645">
      <c r="A1645">
        <f>TRIM(BASE_EQUIPOS!N1645)</f>
        <v/>
      </c>
      <c r="B1645">
        <f>BASE_EQUIPOS!A1645</f>
        <v/>
      </c>
      <c r="C1645">
        <f>BASE_EQUIPOS!B1645</f>
        <v/>
      </c>
      <c r="D1645">
        <f>BASE_EQUIPOS!D1645</f>
        <v/>
      </c>
      <c r="E1645">
        <f>BASE_EQUIPOS!G1645</f>
        <v/>
      </c>
      <c r="F1645">
        <f>BASE_EQUIPOS!H1645</f>
        <v/>
      </c>
      <c r="G1645">
        <f>BASE_EQUIPOS!M1645</f>
        <v/>
      </c>
      <c r="I1645" t="inlineStr">
        <is>
          <t>339 / 001165</t>
        </is>
      </c>
    </row>
    <row r="1646">
      <c r="A1646">
        <f>TRIM(BASE_EQUIPOS!N1646)</f>
        <v/>
      </c>
      <c r="B1646">
        <f>BASE_EQUIPOS!A1646</f>
        <v/>
      </c>
      <c r="C1646">
        <f>BASE_EQUIPOS!B1646</f>
        <v/>
      </c>
      <c r="D1646">
        <f>BASE_EQUIPOS!D1646</f>
        <v/>
      </c>
      <c r="E1646">
        <f>BASE_EQUIPOS!G1646</f>
        <v/>
      </c>
      <c r="F1646">
        <f>BASE_EQUIPOS!H1646</f>
        <v/>
      </c>
      <c r="G1646">
        <f>BASE_EQUIPOS!M1646</f>
        <v/>
      </c>
      <c r="I1646" t="inlineStr">
        <is>
          <t>000389</t>
        </is>
      </c>
    </row>
    <row r="1647">
      <c r="A1647">
        <f>TRIM(BASE_EQUIPOS!N1647)</f>
        <v/>
      </c>
      <c r="B1647">
        <f>BASE_EQUIPOS!A1647</f>
        <v/>
      </c>
      <c r="C1647">
        <f>BASE_EQUIPOS!B1647</f>
        <v/>
      </c>
      <c r="D1647">
        <f>BASE_EQUIPOS!D1647</f>
        <v/>
      </c>
      <c r="E1647">
        <f>BASE_EQUIPOS!G1647</f>
        <v/>
      </c>
      <c r="F1647">
        <f>BASE_EQUIPOS!H1647</f>
        <v/>
      </c>
      <c r="G1647">
        <f>BASE_EQUIPOS!M1647</f>
        <v/>
      </c>
      <c r="I1647" t="inlineStr">
        <is>
          <t>004875</t>
        </is>
      </c>
    </row>
    <row r="1648">
      <c r="A1648">
        <f>TRIM(BASE_EQUIPOS!N1648)</f>
        <v/>
      </c>
      <c r="B1648">
        <f>BASE_EQUIPOS!A1648</f>
        <v/>
      </c>
      <c r="C1648">
        <f>BASE_EQUIPOS!B1648</f>
        <v/>
      </c>
      <c r="D1648">
        <f>BASE_EQUIPOS!D1648</f>
        <v/>
      </c>
      <c r="E1648">
        <f>BASE_EQUIPOS!G1648</f>
        <v/>
      </c>
      <c r="F1648">
        <f>BASE_EQUIPOS!H1648</f>
        <v/>
      </c>
      <c r="G1648">
        <f>BASE_EQUIPOS!M1648</f>
        <v/>
      </c>
      <c r="I1648" t="inlineStr">
        <is>
          <t>007860</t>
        </is>
      </c>
    </row>
    <row r="1649">
      <c r="A1649">
        <f>TRIM(BASE_EQUIPOS!N1649)</f>
        <v/>
      </c>
      <c r="B1649">
        <f>BASE_EQUIPOS!A1649</f>
        <v/>
      </c>
      <c r="C1649">
        <f>BASE_EQUIPOS!B1649</f>
        <v/>
      </c>
      <c r="D1649">
        <f>BASE_EQUIPOS!D1649</f>
        <v/>
      </c>
      <c r="E1649">
        <f>BASE_EQUIPOS!G1649</f>
        <v/>
      </c>
      <c r="F1649">
        <f>BASE_EQUIPOS!H1649</f>
        <v/>
      </c>
      <c r="G1649">
        <f>BASE_EQUIPOS!M1649</f>
        <v/>
      </c>
      <c r="I1649" t="inlineStr">
        <is>
          <t>001099</t>
        </is>
      </c>
    </row>
    <row r="1650">
      <c r="A1650">
        <f>TRIM(BASE_EQUIPOS!N1650)</f>
        <v/>
      </c>
      <c r="B1650">
        <f>BASE_EQUIPOS!A1650</f>
        <v/>
      </c>
      <c r="C1650">
        <f>BASE_EQUIPOS!B1650</f>
        <v/>
      </c>
      <c r="D1650">
        <f>BASE_EQUIPOS!D1650</f>
        <v/>
      </c>
      <c r="E1650">
        <f>BASE_EQUIPOS!G1650</f>
        <v/>
      </c>
      <c r="F1650">
        <f>BASE_EQUIPOS!H1650</f>
        <v/>
      </c>
      <c r="G1650">
        <f>BASE_EQUIPOS!M1650</f>
        <v/>
      </c>
      <c r="I1650" t="inlineStr">
        <is>
          <t>000077</t>
        </is>
      </c>
    </row>
    <row r="1651">
      <c r="A1651">
        <f>TRIM(BASE_EQUIPOS!N1651)</f>
        <v/>
      </c>
      <c r="B1651">
        <f>BASE_EQUIPOS!A1651</f>
        <v/>
      </c>
      <c r="C1651">
        <f>BASE_EQUIPOS!B1651</f>
        <v/>
      </c>
      <c r="D1651">
        <f>BASE_EQUIPOS!D1651</f>
        <v/>
      </c>
      <c r="E1651">
        <f>BASE_EQUIPOS!G1651</f>
        <v/>
      </c>
      <c r="F1651">
        <f>BASE_EQUIPOS!H1651</f>
        <v/>
      </c>
      <c r="G1651">
        <f>BASE_EQUIPOS!M1651</f>
        <v/>
      </c>
      <c r="I1651" t="inlineStr">
        <is>
          <t>000472</t>
        </is>
      </c>
    </row>
    <row r="1652">
      <c r="A1652">
        <f>TRIM(BASE_EQUIPOS!N1652)</f>
        <v/>
      </c>
      <c r="B1652">
        <f>BASE_EQUIPOS!A1652</f>
        <v/>
      </c>
      <c r="C1652">
        <f>BASE_EQUIPOS!B1652</f>
        <v/>
      </c>
      <c r="D1652">
        <f>BASE_EQUIPOS!D1652</f>
        <v/>
      </c>
      <c r="E1652">
        <f>BASE_EQUIPOS!G1652</f>
        <v/>
      </c>
      <c r="F1652">
        <f>BASE_EQUIPOS!H1652</f>
        <v/>
      </c>
      <c r="G1652">
        <f>BASE_EQUIPOS!M1652</f>
        <v/>
      </c>
      <c r="I1652" t="inlineStr">
        <is>
          <t>006265</t>
        </is>
      </c>
    </row>
    <row r="1653">
      <c r="A1653">
        <f>TRIM(BASE_EQUIPOS!N1653)</f>
        <v/>
      </c>
      <c r="B1653">
        <f>BASE_EQUIPOS!A1653</f>
        <v/>
      </c>
      <c r="C1653">
        <f>BASE_EQUIPOS!B1653</f>
        <v/>
      </c>
      <c r="D1653">
        <f>BASE_EQUIPOS!D1653</f>
        <v/>
      </c>
      <c r="E1653">
        <f>BASE_EQUIPOS!G1653</f>
        <v/>
      </c>
      <c r="F1653">
        <f>BASE_EQUIPOS!H1653</f>
        <v/>
      </c>
      <c r="G1653">
        <f>BASE_EQUIPOS!M1653</f>
        <v/>
      </c>
      <c r="I1653" t="inlineStr">
        <is>
          <t>000242</t>
        </is>
      </c>
    </row>
    <row r="1654">
      <c r="A1654">
        <f>TRIM(BASE_EQUIPOS!N1654)</f>
        <v/>
      </c>
      <c r="B1654">
        <f>BASE_EQUIPOS!A1654</f>
        <v/>
      </c>
      <c r="C1654">
        <f>BASE_EQUIPOS!B1654</f>
        <v/>
      </c>
      <c r="D1654">
        <f>BASE_EQUIPOS!D1654</f>
        <v/>
      </c>
      <c r="E1654">
        <f>BASE_EQUIPOS!G1654</f>
        <v/>
      </c>
      <c r="F1654">
        <f>BASE_EQUIPOS!H1654</f>
        <v/>
      </c>
      <c r="G1654">
        <f>BASE_EQUIPOS!M1654</f>
        <v/>
      </c>
      <c r="I1654" t="inlineStr">
        <is>
          <t>000376</t>
        </is>
      </c>
    </row>
    <row r="1655">
      <c r="A1655">
        <f>TRIM(BASE_EQUIPOS!N1655)</f>
        <v/>
      </c>
      <c r="B1655">
        <f>BASE_EQUIPOS!A1655</f>
        <v/>
      </c>
      <c r="C1655">
        <f>BASE_EQUIPOS!B1655</f>
        <v/>
      </c>
      <c r="D1655">
        <f>BASE_EQUIPOS!D1655</f>
        <v/>
      </c>
      <c r="E1655">
        <f>BASE_EQUIPOS!G1655</f>
        <v/>
      </c>
      <c r="F1655">
        <f>BASE_EQUIPOS!H1655</f>
        <v/>
      </c>
      <c r="G1655">
        <f>BASE_EQUIPOS!M1655</f>
        <v/>
      </c>
      <c r="I1655" t="inlineStr">
        <is>
          <t>000625</t>
        </is>
      </c>
    </row>
    <row r="1656">
      <c r="A1656">
        <f>TRIM(BASE_EQUIPOS!N1656)</f>
        <v/>
      </c>
      <c r="B1656">
        <f>BASE_EQUIPOS!A1656</f>
        <v/>
      </c>
      <c r="C1656">
        <f>BASE_EQUIPOS!B1656</f>
        <v/>
      </c>
      <c r="D1656">
        <f>BASE_EQUIPOS!D1656</f>
        <v/>
      </c>
      <c r="E1656">
        <f>BASE_EQUIPOS!G1656</f>
        <v/>
      </c>
      <c r="F1656">
        <f>BASE_EQUIPOS!H1656</f>
        <v/>
      </c>
      <c r="G1656">
        <f>BASE_EQUIPOS!M1656</f>
        <v/>
      </c>
      <c r="I1656" t="inlineStr">
        <is>
          <t>11 /SN</t>
        </is>
      </c>
    </row>
    <row r="1657">
      <c r="A1657">
        <f>TRIM(BASE_EQUIPOS!N1657)</f>
        <v/>
      </c>
      <c r="B1657">
        <f>BASE_EQUIPOS!A1657</f>
        <v/>
      </c>
      <c r="C1657">
        <f>BASE_EQUIPOS!B1657</f>
        <v/>
      </c>
      <c r="D1657">
        <f>BASE_EQUIPOS!D1657</f>
        <v/>
      </c>
      <c r="E1657">
        <f>BASE_EQUIPOS!G1657</f>
        <v/>
      </c>
      <c r="F1657">
        <f>BASE_EQUIPOS!H1657</f>
        <v/>
      </c>
      <c r="G1657">
        <f>BASE_EQUIPOS!M1657</f>
        <v/>
      </c>
      <c r="I1657" t="inlineStr">
        <is>
          <t>10 /SN</t>
        </is>
      </c>
    </row>
    <row r="1658">
      <c r="A1658">
        <f>TRIM(BASE_EQUIPOS!N1658)</f>
        <v/>
      </c>
      <c r="B1658">
        <f>BASE_EQUIPOS!A1658</f>
        <v/>
      </c>
      <c r="C1658">
        <f>BASE_EQUIPOS!B1658</f>
        <v/>
      </c>
      <c r="D1658">
        <f>BASE_EQUIPOS!D1658</f>
        <v/>
      </c>
      <c r="E1658">
        <f>BASE_EQUIPOS!G1658</f>
        <v/>
      </c>
      <c r="F1658">
        <f>BASE_EQUIPOS!H1658</f>
        <v/>
      </c>
      <c r="G1658">
        <f>BASE_EQUIPOS!M1658</f>
        <v/>
      </c>
      <c r="I1658" t="inlineStr">
        <is>
          <t>09 /SN</t>
        </is>
      </c>
    </row>
    <row r="1659">
      <c r="A1659">
        <f>TRIM(BASE_EQUIPOS!N1659)</f>
        <v/>
      </c>
      <c r="B1659">
        <f>BASE_EQUIPOS!A1659</f>
        <v/>
      </c>
      <c r="C1659">
        <f>BASE_EQUIPOS!B1659</f>
        <v/>
      </c>
      <c r="D1659">
        <f>BASE_EQUIPOS!D1659</f>
        <v/>
      </c>
      <c r="E1659">
        <f>BASE_EQUIPOS!G1659</f>
        <v/>
      </c>
      <c r="F1659">
        <f>BASE_EQUIPOS!H1659</f>
        <v/>
      </c>
      <c r="G1659">
        <f>BASE_EQUIPOS!M1659</f>
        <v/>
      </c>
      <c r="I1659" t="inlineStr">
        <is>
          <t>000248</t>
        </is>
      </c>
    </row>
    <row r="1660">
      <c r="A1660">
        <f>TRIM(BASE_EQUIPOS!N1660)</f>
        <v/>
      </c>
      <c r="B1660">
        <f>BASE_EQUIPOS!A1660</f>
        <v/>
      </c>
      <c r="C1660">
        <f>BASE_EQUIPOS!B1660</f>
        <v/>
      </c>
      <c r="D1660">
        <f>BASE_EQUIPOS!D1660</f>
        <v/>
      </c>
      <c r="E1660">
        <f>BASE_EQUIPOS!G1660</f>
        <v/>
      </c>
      <c r="F1660">
        <f>BASE_EQUIPOS!H1660</f>
        <v/>
      </c>
      <c r="G1660">
        <f>BASE_EQUIPOS!M1660</f>
        <v/>
      </c>
      <c r="I1660" t="inlineStr">
        <is>
          <t>320/ 002699</t>
        </is>
      </c>
    </row>
    <row r="1661">
      <c r="A1661">
        <f>TRIM(BASE_EQUIPOS!N1661)</f>
        <v/>
      </c>
      <c r="B1661">
        <f>BASE_EQUIPOS!A1661</f>
        <v/>
      </c>
      <c r="C1661">
        <f>BASE_EQUIPOS!B1661</f>
        <v/>
      </c>
      <c r="D1661">
        <f>BASE_EQUIPOS!D1661</f>
        <v/>
      </c>
      <c r="E1661">
        <f>BASE_EQUIPOS!G1661</f>
        <v/>
      </c>
      <c r="F1661">
        <f>BASE_EQUIPOS!H1661</f>
        <v/>
      </c>
      <c r="G1661">
        <f>BASE_EQUIPOS!M1661</f>
        <v/>
      </c>
      <c r="I1661" t="inlineStr">
        <is>
          <t>160/ 001093</t>
        </is>
      </c>
    </row>
    <row r="1662">
      <c r="A1662">
        <f>TRIM(BASE_EQUIPOS!N1662)</f>
        <v/>
      </c>
      <c r="B1662">
        <f>BASE_EQUIPOS!A1662</f>
        <v/>
      </c>
      <c r="C1662">
        <f>BASE_EQUIPOS!B1662</f>
        <v/>
      </c>
      <c r="D1662">
        <f>BASE_EQUIPOS!D1662</f>
        <v/>
      </c>
      <c r="E1662">
        <f>BASE_EQUIPOS!G1662</f>
        <v/>
      </c>
      <c r="F1662">
        <f>BASE_EQUIPOS!H1662</f>
        <v/>
      </c>
      <c r="G1662">
        <f>BASE_EQUIPOS!M1662</f>
        <v/>
      </c>
      <c r="I1662" t="inlineStr">
        <is>
          <t>380/ 000005</t>
        </is>
      </c>
    </row>
    <row r="1663">
      <c r="A1663">
        <f>TRIM(BASE_EQUIPOS!N1663)</f>
        <v/>
      </c>
      <c r="B1663">
        <f>BASE_EQUIPOS!A1663</f>
        <v/>
      </c>
      <c r="C1663">
        <f>BASE_EQUIPOS!B1663</f>
        <v/>
      </c>
      <c r="D1663">
        <f>BASE_EQUIPOS!D1663</f>
        <v/>
      </c>
      <c r="E1663">
        <f>BASE_EQUIPOS!G1663</f>
        <v/>
      </c>
      <c r="F1663">
        <f>BASE_EQUIPOS!H1663</f>
        <v/>
      </c>
      <c r="G1663">
        <f>BASE_EQUIPOS!M1663</f>
        <v/>
      </c>
      <c r="I1663" t="inlineStr">
        <is>
          <t>SN/ 003064</t>
        </is>
      </c>
    </row>
    <row r="1664">
      <c r="A1664">
        <f>TRIM(BASE_EQUIPOS!N1664)</f>
        <v/>
      </c>
      <c r="B1664">
        <f>BASE_EQUIPOS!A1664</f>
        <v/>
      </c>
      <c r="C1664">
        <f>BASE_EQUIPOS!B1664</f>
        <v/>
      </c>
      <c r="D1664">
        <f>BASE_EQUIPOS!D1664</f>
        <v/>
      </c>
      <c r="E1664">
        <f>BASE_EQUIPOS!G1664</f>
        <v/>
      </c>
      <c r="F1664">
        <f>BASE_EQUIPOS!H1664</f>
        <v/>
      </c>
      <c r="G1664">
        <f>BASE_EQUIPOS!M1664</f>
        <v/>
      </c>
      <c r="I1664" t="inlineStr">
        <is>
          <t>SN/ 020537</t>
        </is>
      </c>
    </row>
    <row r="1665">
      <c r="A1665">
        <f>TRIM(BASE_EQUIPOS!N1665)</f>
        <v/>
      </c>
      <c r="B1665">
        <f>BASE_EQUIPOS!A1665</f>
        <v/>
      </c>
      <c r="C1665">
        <f>BASE_EQUIPOS!B1665</f>
        <v/>
      </c>
      <c r="D1665">
        <f>BASE_EQUIPOS!D1665</f>
        <v/>
      </c>
      <c r="E1665">
        <f>BASE_EQUIPOS!G1665</f>
        <v/>
      </c>
      <c r="F1665">
        <f>BASE_EQUIPOS!H1665</f>
        <v/>
      </c>
      <c r="G1665">
        <f>BASE_EQUIPOS!M1665</f>
        <v/>
      </c>
      <c r="I1665" t="inlineStr">
        <is>
          <t>27 / 000474</t>
        </is>
      </c>
    </row>
    <row r="1666">
      <c r="A1666">
        <f>TRIM(BASE_EQUIPOS!N1666)</f>
        <v/>
      </c>
      <c r="B1666">
        <f>BASE_EQUIPOS!A1666</f>
        <v/>
      </c>
      <c r="C1666">
        <f>BASE_EQUIPOS!B1666</f>
        <v/>
      </c>
      <c r="D1666">
        <f>BASE_EQUIPOS!D1666</f>
        <v/>
      </c>
      <c r="E1666">
        <f>BASE_EQUIPOS!G1666</f>
        <v/>
      </c>
      <c r="F1666">
        <f>BASE_EQUIPOS!H1666</f>
        <v/>
      </c>
      <c r="G1666">
        <f>BASE_EQUIPOS!M1666</f>
        <v/>
      </c>
      <c r="I1666" t="inlineStr">
        <is>
          <t>82 / 001024</t>
        </is>
      </c>
    </row>
    <row r="1667">
      <c r="A1667">
        <f>TRIM(BASE_EQUIPOS!N1667)</f>
        <v/>
      </c>
      <c r="B1667">
        <f>BASE_EQUIPOS!A1667</f>
        <v/>
      </c>
      <c r="C1667">
        <f>BASE_EQUIPOS!B1667</f>
        <v/>
      </c>
      <c r="D1667">
        <f>BASE_EQUIPOS!D1667</f>
        <v/>
      </c>
      <c r="E1667">
        <f>BASE_EQUIPOS!G1667</f>
        <v/>
      </c>
      <c r="F1667">
        <f>BASE_EQUIPOS!H1667</f>
        <v/>
      </c>
      <c r="G1667">
        <f>BASE_EQUIPOS!M1667</f>
        <v/>
      </c>
      <c r="I1667" t="inlineStr">
        <is>
          <t>204 / 000101</t>
        </is>
      </c>
    </row>
    <row r="1668">
      <c r="A1668">
        <f>TRIM(BASE_EQUIPOS!N1668)</f>
        <v/>
      </c>
      <c r="B1668">
        <f>BASE_EQUIPOS!A1668</f>
        <v/>
      </c>
      <c r="C1668">
        <f>BASE_EQUIPOS!B1668</f>
        <v/>
      </c>
      <c r="D1668">
        <f>BASE_EQUIPOS!D1668</f>
        <v/>
      </c>
      <c r="E1668">
        <f>BASE_EQUIPOS!G1668</f>
        <v/>
      </c>
      <c r="F1668">
        <f>BASE_EQUIPOS!H1668</f>
        <v/>
      </c>
      <c r="G1668">
        <f>BASE_EQUIPOS!M1668</f>
        <v/>
      </c>
      <c r="I1668" t="inlineStr">
        <is>
          <t>SN / 000242</t>
        </is>
      </c>
    </row>
    <row r="1669">
      <c r="A1669">
        <f>TRIM(BASE_EQUIPOS!N1669)</f>
        <v/>
      </c>
      <c r="B1669">
        <f>BASE_EQUIPOS!A1669</f>
        <v/>
      </c>
      <c r="C1669">
        <f>BASE_EQUIPOS!B1669</f>
        <v/>
      </c>
      <c r="D1669">
        <f>BASE_EQUIPOS!D1669</f>
        <v/>
      </c>
      <c r="E1669">
        <f>BASE_EQUIPOS!G1669</f>
        <v/>
      </c>
      <c r="F1669">
        <f>BASE_EQUIPOS!H1669</f>
        <v/>
      </c>
      <c r="G1669">
        <f>BASE_EQUIPOS!M1669</f>
        <v/>
      </c>
      <c r="I1669" t="inlineStr">
        <is>
          <t>000181</t>
        </is>
      </c>
    </row>
    <row r="1670">
      <c r="A1670">
        <f>TRIM(BASE_EQUIPOS!N1670)</f>
        <v/>
      </c>
      <c r="B1670">
        <f>BASE_EQUIPOS!A1670</f>
        <v/>
      </c>
      <c r="C1670">
        <f>BASE_EQUIPOS!B1670</f>
        <v/>
      </c>
      <c r="D1670">
        <f>BASE_EQUIPOS!D1670</f>
        <v/>
      </c>
      <c r="E1670">
        <f>BASE_EQUIPOS!G1670</f>
        <v/>
      </c>
      <c r="F1670">
        <f>BASE_EQUIPOS!H1670</f>
        <v/>
      </c>
      <c r="G1670">
        <f>BASE_EQUIPOS!M1670</f>
        <v/>
      </c>
      <c r="I1670" t="inlineStr">
        <is>
          <t>889 / 017752</t>
        </is>
      </c>
    </row>
    <row r="1671">
      <c r="A1671">
        <f>TRIM(BASE_EQUIPOS!N1671)</f>
        <v/>
      </c>
      <c r="B1671">
        <f>BASE_EQUIPOS!A1671</f>
        <v/>
      </c>
      <c r="C1671">
        <f>BASE_EQUIPOS!B1671</f>
        <v/>
      </c>
      <c r="D1671">
        <f>BASE_EQUIPOS!D1671</f>
        <v/>
      </c>
      <c r="E1671">
        <f>BASE_EQUIPOS!G1671</f>
        <v/>
      </c>
      <c r="F1671">
        <f>BASE_EQUIPOS!H1671</f>
        <v/>
      </c>
      <c r="G1671">
        <f>BASE_EQUIPOS!M1671</f>
        <v/>
      </c>
      <c r="I1671" t="inlineStr">
        <is>
          <t>921 / 017777</t>
        </is>
      </c>
    </row>
    <row r="1672">
      <c r="A1672">
        <f>TRIM(BASE_EQUIPOS!N1672)</f>
        <v/>
      </c>
      <c r="B1672">
        <f>BASE_EQUIPOS!A1672</f>
        <v/>
      </c>
      <c r="C1672">
        <f>BASE_EQUIPOS!B1672</f>
        <v/>
      </c>
      <c r="D1672">
        <f>BASE_EQUIPOS!D1672</f>
        <v/>
      </c>
      <c r="E1672">
        <f>BASE_EQUIPOS!G1672</f>
        <v/>
      </c>
      <c r="F1672">
        <f>BASE_EQUIPOS!H1672</f>
        <v/>
      </c>
      <c r="G1672">
        <f>BASE_EQUIPOS!M1672</f>
        <v/>
      </c>
      <c r="I1672" t="inlineStr">
        <is>
          <t>371 / 000722</t>
        </is>
      </c>
    </row>
    <row r="1673">
      <c r="A1673">
        <f>TRIM(BASE_EQUIPOS!N1673)</f>
        <v/>
      </c>
      <c r="B1673">
        <f>BASE_EQUIPOS!A1673</f>
        <v/>
      </c>
      <c r="C1673">
        <f>BASE_EQUIPOS!B1673</f>
        <v/>
      </c>
      <c r="D1673">
        <f>BASE_EQUIPOS!D1673</f>
        <v/>
      </c>
      <c r="E1673">
        <f>BASE_EQUIPOS!G1673</f>
        <v/>
      </c>
      <c r="F1673">
        <f>BASE_EQUIPOS!H1673</f>
        <v/>
      </c>
      <c r="G1673">
        <f>BASE_EQUIPOS!M1673</f>
        <v/>
      </c>
      <c r="I1673" t="inlineStr">
        <is>
          <t>369 / 000733</t>
        </is>
      </c>
    </row>
    <row r="1674">
      <c r="A1674">
        <f>TRIM(BASE_EQUIPOS!N1674)</f>
        <v/>
      </c>
      <c r="B1674">
        <f>BASE_EQUIPOS!A1674</f>
        <v/>
      </c>
      <c r="C1674">
        <f>BASE_EQUIPOS!B1674</f>
        <v/>
      </c>
      <c r="D1674">
        <f>BASE_EQUIPOS!D1674</f>
        <v/>
      </c>
      <c r="E1674">
        <f>BASE_EQUIPOS!G1674</f>
        <v/>
      </c>
      <c r="F1674">
        <f>BASE_EQUIPOS!H1674</f>
        <v/>
      </c>
      <c r="G1674">
        <f>BASE_EQUIPOS!M1674</f>
        <v/>
      </c>
      <c r="I1674" t="inlineStr">
        <is>
          <t>987 / 017787</t>
        </is>
      </c>
    </row>
    <row r="1675">
      <c r="A1675">
        <f>TRIM(BASE_EQUIPOS!N1675)</f>
        <v/>
      </c>
      <c r="B1675">
        <f>BASE_EQUIPOS!A1675</f>
        <v/>
      </c>
      <c r="C1675">
        <f>BASE_EQUIPOS!B1675</f>
        <v/>
      </c>
      <c r="D1675">
        <f>BASE_EQUIPOS!D1675</f>
        <v/>
      </c>
      <c r="E1675">
        <f>BASE_EQUIPOS!G1675</f>
        <v/>
      </c>
      <c r="F1675">
        <f>BASE_EQUIPOS!H1675</f>
        <v/>
      </c>
      <c r="G1675">
        <f>BASE_EQUIPOS!M1675</f>
        <v/>
      </c>
      <c r="I1675" t="inlineStr">
        <is>
          <t>2876 / 000193</t>
        </is>
      </c>
    </row>
    <row r="1676">
      <c r="A1676">
        <f>TRIM(BASE_EQUIPOS!N1676)</f>
        <v/>
      </c>
      <c r="B1676">
        <f>BASE_EQUIPOS!A1676</f>
        <v/>
      </c>
      <c r="C1676">
        <f>BASE_EQUIPOS!B1676</f>
        <v/>
      </c>
      <c r="D1676">
        <f>BASE_EQUIPOS!D1676</f>
        <v/>
      </c>
      <c r="E1676">
        <f>BASE_EQUIPOS!G1676</f>
        <v/>
      </c>
      <c r="F1676">
        <f>BASE_EQUIPOS!H1676</f>
        <v/>
      </c>
      <c r="G1676">
        <f>BASE_EQUIPOS!M1676</f>
        <v/>
      </c>
      <c r="I1676" t="inlineStr">
        <is>
          <t>337 / 000987</t>
        </is>
      </c>
    </row>
    <row r="1677">
      <c r="A1677">
        <f>TRIM(BASE_EQUIPOS!N1677)</f>
        <v/>
      </c>
      <c r="B1677">
        <f>BASE_EQUIPOS!A1677</f>
        <v/>
      </c>
      <c r="C1677">
        <f>BASE_EQUIPOS!B1677</f>
        <v/>
      </c>
      <c r="D1677">
        <f>BASE_EQUIPOS!D1677</f>
        <v/>
      </c>
      <c r="E1677">
        <f>BASE_EQUIPOS!G1677</f>
        <v/>
      </c>
      <c r="F1677">
        <f>BASE_EQUIPOS!H1677</f>
        <v/>
      </c>
      <c r="G1677">
        <f>BASE_EQUIPOS!M1677</f>
        <v/>
      </c>
      <c r="I1677" t="inlineStr">
        <is>
          <t>S/N / 001043</t>
        </is>
      </c>
    </row>
    <row r="1678">
      <c r="A1678">
        <f>TRIM(BASE_EQUIPOS!N1678)</f>
        <v/>
      </c>
      <c r="B1678">
        <f>BASE_EQUIPOS!A1678</f>
        <v/>
      </c>
      <c r="C1678">
        <f>BASE_EQUIPOS!B1678</f>
        <v/>
      </c>
      <c r="D1678">
        <f>BASE_EQUIPOS!D1678</f>
        <v/>
      </c>
      <c r="E1678">
        <f>BASE_EQUIPOS!G1678</f>
        <v/>
      </c>
      <c r="F1678">
        <f>BASE_EQUIPOS!H1678</f>
        <v/>
      </c>
      <c r="G1678">
        <f>BASE_EQUIPOS!M1678</f>
        <v/>
      </c>
      <c r="I1678" t="inlineStr">
        <is>
          <t>004336</t>
        </is>
      </c>
    </row>
    <row r="1679">
      <c r="A1679">
        <f>TRIM(BASE_EQUIPOS!N1679)</f>
        <v/>
      </c>
      <c r="B1679">
        <f>BASE_EQUIPOS!A1679</f>
        <v/>
      </c>
      <c r="C1679">
        <f>BASE_EQUIPOS!B1679</f>
        <v/>
      </c>
      <c r="D1679">
        <f>BASE_EQUIPOS!D1679</f>
        <v/>
      </c>
      <c r="E1679">
        <f>BASE_EQUIPOS!G1679</f>
        <v/>
      </c>
      <c r="F1679">
        <f>BASE_EQUIPOS!H1679</f>
        <v/>
      </c>
      <c r="G1679">
        <f>BASE_EQUIPOS!M1679</f>
        <v/>
      </c>
      <c r="I1679" t="inlineStr">
        <is>
          <t>S/N / 001886</t>
        </is>
      </c>
    </row>
    <row r="1680">
      <c r="A1680">
        <f>TRIM(BASE_EQUIPOS!N1680)</f>
        <v/>
      </c>
      <c r="B1680">
        <f>BASE_EQUIPOS!A1680</f>
        <v/>
      </c>
      <c r="C1680">
        <f>BASE_EQUIPOS!B1680</f>
        <v/>
      </c>
      <c r="D1680">
        <f>BASE_EQUIPOS!D1680</f>
        <v/>
      </c>
      <c r="E1680">
        <f>BASE_EQUIPOS!G1680</f>
        <v/>
      </c>
      <c r="F1680">
        <f>BASE_EQUIPOS!H1680</f>
        <v/>
      </c>
      <c r="G1680">
        <f>BASE_EQUIPOS!M1680</f>
        <v/>
      </c>
      <c r="I1680" t="inlineStr">
        <is>
          <t>S/N / 003212</t>
        </is>
      </c>
    </row>
    <row r="1681">
      <c r="A1681">
        <f>TRIM(BASE_EQUIPOS!N1681)</f>
        <v/>
      </c>
      <c r="B1681">
        <f>BASE_EQUIPOS!A1681</f>
        <v/>
      </c>
      <c r="C1681">
        <f>BASE_EQUIPOS!B1681</f>
        <v/>
      </c>
      <c r="D1681">
        <f>BASE_EQUIPOS!D1681</f>
        <v/>
      </c>
      <c r="E1681">
        <f>BASE_EQUIPOS!G1681</f>
        <v/>
      </c>
      <c r="F1681">
        <f>BASE_EQUIPOS!H1681</f>
        <v/>
      </c>
      <c r="G1681">
        <f>BASE_EQUIPOS!M1681</f>
        <v/>
      </c>
      <c r="I1681" t="inlineStr">
        <is>
          <t>310 / 000003</t>
        </is>
      </c>
    </row>
    <row r="1682">
      <c r="A1682">
        <f>TRIM(BASE_EQUIPOS!N1682)</f>
        <v/>
      </c>
      <c r="B1682">
        <f>BASE_EQUIPOS!A1682</f>
        <v/>
      </c>
      <c r="C1682">
        <f>BASE_EQUIPOS!B1682</f>
        <v/>
      </c>
      <c r="D1682">
        <f>BASE_EQUIPOS!D1682</f>
        <v/>
      </c>
      <c r="E1682">
        <f>BASE_EQUIPOS!G1682</f>
        <v/>
      </c>
      <c r="F1682">
        <f>BASE_EQUIPOS!H1682</f>
        <v/>
      </c>
      <c r="G1682">
        <f>BASE_EQUIPOS!M1682</f>
        <v/>
      </c>
      <c r="I1682" t="inlineStr">
        <is>
          <t>225 / 001938</t>
        </is>
      </c>
    </row>
    <row r="1683">
      <c r="A1683">
        <f>TRIM(BASE_EQUIPOS!N1683)</f>
        <v/>
      </c>
      <c r="B1683">
        <f>BASE_EQUIPOS!A1683</f>
        <v/>
      </c>
      <c r="C1683">
        <f>BASE_EQUIPOS!B1683</f>
        <v/>
      </c>
      <c r="D1683">
        <f>BASE_EQUIPOS!D1683</f>
        <v/>
      </c>
      <c r="E1683">
        <f>BASE_EQUIPOS!G1683</f>
        <v/>
      </c>
      <c r="F1683">
        <f>BASE_EQUIPOS!H1683</f>
        <v/>
      </c>
      <c r="G1683">
        <f>BASE_EQUIPOS!M1683</f>
        <v/>
      </c>
      <c r="I1683" t="inlineStr">
        <is>
          <t>370 / 001130</t>
        </is>
      </c>
    </row>
    <row r="1684">
      <c r="A1684">
        <f>TRIM(BASE_EQUIPOS!N1684)</f>
        <v/>
      </c>
      <c r="B1684">
        <f>BASE_EQUIPOS!A1684</f>
        <v/>
      </c>
      <c r="C1684">
        <f>BASE_EQUIPOS!B1684</f>
        <v/>
      </c>
      <c r="D1684">
        <f>BASE_EQUIPOS!D1684</f>
        <v/>
      </c>
      <c r="E1684">
        <f>BASE_EQUIPOS!G1684</f>
        <v/>
      </c>
      <c r="F1684">
        <f>BASE_EQUIPOS!H1684</f>
        <v/>
      </c>
      <c r="G1684">
        <f>BASE_EQUIPOS!M1684</f>
        <v/>
      </c>
      <c r="I1684" t="inlineStr">
        <is>
          <t>96 / 000961</t>
        </is>
      </c>
    </row>
    <row r="1685">
      <c r="A1685">
        <f>TRIM(BASE_EQUIPOS!N1685)</f>
        <v/>
      </c>
      <c r="B1685">
        <f>BASE_EQUIPOS!A1685</f>
        <v/>
      </c>
      <c r="C1685">
        <f>BASE_EQUIPOS!B1685</f>
        <v/>
      </c>
      <c r="D1685">
        <f>BASE_EQUIPOS!D1685</f>
        <v/>
      </c>
      <c r="E1685">
        <f>BASE_EQUIPOS!G1685</f>
        <v/>
      </c>
      <c r="F1685">
        <f>BASE_EQUIPOS!H1685</f>
        <v/>
      </c>
      <c r="G1685">
        <f>BASE_EQUIPOS!M1685</f>
        <v/>
      </c>
      <c r="I1685" t="inlineStr">
        <is>
          <t>264 / 000853</t>
        </is>
      </c>
    </row>
    <row r="1686">
      <c r="A1686">
        <f>TRIM(BASE_EQUIPOS!N1686)</f>
        <v/>
      </c>
      <c r="B1686">
        <f>BASE_EQUIPOS!A1686</f>
        <v/>
      </c>
      <c r="C1686">
        <f>BASE_EQUIPOS!B1686</f>
        <v/>
      </c>
      <c r="D1686">
        <f>BASE_EQUIPOS!D1686</f>
        <v/>
      </c>
      <c r="E1686">
        <f>BASE_EQUIPOS!G1686</f>
        <v/>
      </c>
      <c r="F1686">
        <f>BASE_EQUIPOS!H1686</f>
        <v/>
      </c>
      <c r="G1686">
        <f>BASE_EQUIPOS!M1686</f>
        <v/>
      </c>
      <c r="I1686" t="inlineStr">
        <is>
          <t>26 / 000905</t>
        </is>
      </c>
    </row>
    <row r="1687">
      <c r="A1687">
        <f>TRIM(BASE_EQUIPOS!N1687)</f>
        <v/>
      </c>
      <c r="B1687">
        <f>BASE_EQUIPOS!A1687</f>
        <v/>
      </c>
      <c r="C1687">
        <f>BASE_EQUIPOS!B1687</f>
        <v/>
      </c>
      <c r="D1687">
        <f>BASE_EQUIPOS!D1687</f>
        <v/>
      </c>
      <c r="E1687">
        <f>BASE_EQUIPOS!G1687</f>
        <v/>
      </c>
      <c r="F1687">
        <f>BASE_EQUIPOS!H1687</f>
        <v/>
      </c>
      <c r="G1687">
        <f>BASE_EQUIPOS!M1687</f>
        <v/>
      </c>
      <c r="I1687" t="inlineStr">
        <is>
          <t>1 / 003920</t>
        </is>
      </c>
    </row>
    <row r="1688">
      <c r="A1688">
        <f>TRIM(BASE_EQUIPOS!N1688)</f>
        <v/>
      </c>
      <c r="B1688">
        <f>BASE_EQUIPOS!A1688</f>
        <v/>
      </c>
      <c r="C1688">
        <f>BASE_EQUIPOS!B1688</f>
        <v/>
      </c>
      <c r="D1688">
        <f>BASE_EQUIPOS!D1688</f>
        <v/>
      </c>
      <c r="E1688">
        <f>BASE_EQUIPOS!G1688</f>
        <v/>
      </c>
      <c r="F1688">
        <f>BASE_EQUIPOS!H1688</f>
        <v/>
      </c>
      <c r="G1688">
        <f>BASE_EQUIPOS!M1688</f>
        <v/>
      </c>
      <c r="I1688" t="inlineStr">
        <is>
          <t>SN / 000411</t>
        </is>
      </c>
    </row>
    <row r="1689">
      <c r="A1689">
        <f>TRIM(BASE_EQUIPOS!N1689)</f>
        <v/>
      </c>
      <c r="B1689">
        <f>BASE_EQUIPOS!A1689</f>
        <v/>
      </c>
      <c r="C1689">
        <f>BASE_EQUIPOS!B1689</f>
        <v/>
      </c>
      <c r="D1689">
        <f>BASE_EQUIPOS!D1689</f>
        <v/>
      </c>
      <c r="E1689">
        <f>BASE_EQUIPOS!G1689</f>
        <v/>
      </c>
      <c r="F1689">
        <f>BASE_EQUIPOS!H1689</f>
        <v/>
      </c>
      <c r="G1689">
        <f>BASE_EQUIPOS!M1689</f>
        <v/>
      </c>
      <c r="I1689" t="inlineStr">
        <is>
          <t>73 / 001523</t>
        </is>
      </c>
    </row>
    <row r="1690">
      <c r="A1690">
        <f>TRIM(BASE_EQUIPOS!N1690)</f>
        <v/>
      </c>
      <c r="B1690">
        <f>BASE_EQUIPOS!A1690</f>
        <v/>
      </c>
      <c r="C1690">
        <f>BASE_EQUIPOS!B1690</f>
        <v/>
      </c>
      <c r="D1690">
        <f>BASE_EQUIPOS!D1690</f>
        <v/>
      </c>
      <c r="E1690">
        <f>BASE_EQUIPOS!G1690</f>
        <v/>
      </c>
      <c r="F1690">
        <f>BASE_EQUIPOS!H1690</f>
        <v/>
      </c>
      <c r="G1690">
        <f>BASE_EQUIPOS!M1690</f>
        <v/>
      </c>
      <c r="I1690" t="inlineStr">
        <is>
          <t>68 / 000407</t>
        </is>
      </c>
    </row>
    <row r="1691">
      <c r="A1691">
        <f>TRIM(BASE_EQUIPOS!N1691)</f>
        <v/>
      </c>
      <c r="B1691">
        <f>BASE_EQUIPOS!A1691</f>
        <v/>
      </c>
      <c r="C1691">
        <f>BASE_EQUIPOS!B1691</f>
        <v/>
      </c>
      <c r="D1691">
        <f>BASE_EQUIPOS!D1691</f>
        <v/>
      </c>
      <c r="E1691">
        <f>BASE_EQUIPOS!G1691</f>
        <v/>
      </c>
      <c r="F1691">
        <f>BASE_EQUIPOS!H1691</f>
        <v/>
      </c>
      <c r="G1691">
        <f>BASE_EQUIPOS!M1691</f>
        <v/>
      </c>
      <c r="I1691" t="inlineStr">
        <is>
          <t>SN / 000202</t>
        </is>
      </c>
    </row>
    <row r="1692">
      <c r="A1692">
        <f>TRIM(BASE_EQUIPOS!N1692)</f>
        <v/>
      </c>
      <c r="B1692">
        <f>BASE_EQUIPOS!A1692</f>
        <v/>
      </c>
      <c r="C1692">
        <f>BASE_EQUIPOS!B1692</f>
        <v/>
      </c>
      <c r="D1692">
        <f>BASE_EQUIPOS!D1692</f>
        <v/>
      </c>
      <c r="E1692">
        <f>BASE_EQUIPOS!G1692</f>
        <v/>
      </c>
      <c r="F1692">
        <f>BASE_EQUIPOS!H1692</f>
        <v/>
      </c>
      <c r="G1692">
        <f>BASE_EQUIPOS!M1692</f>
        <v/>
      </c>
      <c r="I1692" t="inlineStr">
        <is>
          <t>38 / 002703</t>
        </is>
      </c>
    </row>
    <row r="1693">
      <c r="A1693">
        <f>TRIM(BASE_EQUIPOS!N1693)</f>
        <v/>
      </c>
      <c r="B1693">
        <f>BASE_EQUIPOS!A1693</f>
        <v/>
      </c>
      <c r="C1693">
        <f>BASE_EQUIPOS!B1693</f>
        <v/>
      </c>
      <c r="D1693">
        <f>BASE_EQUIPOS!D1693</f>
        <v/>
      </c>
      <c r="E1693">
        <f>BASE_EQUIPOS!G1693</f>
        <v/>
      </c>
      <c r="F1693">
        <f>BASE_EQUIPOS!H1693</f>
        <v/>
      </c>
      <c r="G1693">
        <f>BASE_EQUIPOS!M1693</f>
        <v/>
      </c>
      <c r="I1693" t="inlineStr">
        <is>
          <t>SN / 003686</t>
        </is>
      </c>
    </row>
    <row r="1694">
      <c r="A1694">
        <f>TRIM(BASE_EQUIPOS!N1694)</f>
        <v/>
      </c>
      <c r="B1694">
        <f>BASE_EQUIPOS!A1694</f>
        <v/>
      </c>
      <c r="C1694">
        <f>BASE_EQUIPOS!B1694</f>
        <v/>
      </c>
      <c r="D1694">
        <f>BASE_EQUIPOS!D1694</f>
        <v/>
      </c>
      <c r="E1694">
        <f>BASE_EQUIPOS!G1694</f>
        <v/>
      </c>
      <c r="F1694">
        <f>BASE_EQUIPOS!H1694</f>
        <v/>
      </c>
      <c r="G1694">
        <f>BASE_EQUIPOS!M1694</f>
        <v/>
      </c>
      <c r="I1694" t="inlineStr">
        <is>
          <t>SN / 000006</t>
        </is>
      </c>
    </row>
    <row r="1695">
      <c r="A1695">
        <f>TRIM(BASE_EQUIPOS!N1695)</f>
        <v/>
      </c>
      <c r="B1695">
        <f>BASE_EQUIPOS!A1695</f>
        <v/>
      </c>
      <c r="C1695">
        <f>BASE_EQUIPOS!B1695</f>
        <v/>
      </c>
      <c r="D1695">
        <f>BASE_EQUIPOS!D1695</f>
        <v/>
      </c>
      <c r="E1695">
        <f>BASE_EQUIPOS!G1695</f>
        <v/>
      </c>
      <c r="F1695">
        <f>BASE_EQUIPOS!H1695</f>
        <v/>
      </c>
      <c r="G1695">
        <f>BASE_EQUIPOS!M1695</f>
        <v/>
      </c>
      <c r="I1695" t="inlineStr">
        <is>
          <t>365 / 000471</t>
        </is>
      </c>
    </row>
    <row r="1696">
      <c r="A1696">
        <f>TRIM(BASE_EQUIPOS!N1696)</f>
        <v/>
      </c>
      <c r="B1696">
        <f>BASE_EQUIPOS!A1696</f>
        <v/>
      </c>
      <c r="C1696">
        <f>BASE_EQUIPOS!B1696</f>
        <v/>
      </c>
      <c r="D1696">
        <f>BASE_EQUIPOS!D1696</f>
        <v/>
      </c>
      <c r="E1696">
        <f>BASE_EQUIPOS!G1696</f>
        <v/>
      </c>
      <c r="F1696">
        <f>BASE_EQUIPOS!H1696</f>
        <v/>
      </c>
      <c r="G1696">
        <f>BASE_EQUIPOS!M1696</f>
        <v/>
      </c>
      <c r="I1696" t="inlineStr">
        <is>
          <t>01/772170</t>
        </is>
      </c>
    </row>
    <row r="1697">
      <c r="A1697">
        <f>TRIM(BASE_EQUIPOS!N1697)</f>
        <v/>
      </c>
      <c r="B1697">
        <f>BASE_EQUIPOS!A1697</f>
        <v/>
      </c>
      <c r="C1697">
        <f>BASE_EQUIPOS!B1697</f>
        <v/>
      </c>
      <c r="D1697">
        <f>BASE_EQUIPOS!D1697</f>
        <v/>
      </c>
      <c r="E1697">
        <f>BASE_EQUIPOS!G1697</f>
        <v/>
      </c>
      <c r="F1697">
        <f>BASE_EQUIPOS!H1697</f>
        <v/>
      </c>
      <c r="G1697">
        <f>BASE_EQUIPOS!M1697</f>
        <v/>
      </c>
      <c r="I1697" t="inlineStr">
        <is>
          <t>02/772225</t>
        </is>
      </c>
    </row>
    <row r="1698">
      <c r="A1698">
        <f>TRIM(BASE_EQUIPOS!N1698)</f>
        <v/>
      </c>
      <c r="B1698">
        <f>BASE_EQUIPOS!A1698</f>
        <v/>
      </c>
      <c r="C1698">
        <f>BASE_EQUIPOS!B1698</f>
        <v/>
      </c>
      <c r="D1698">
        <f>BASE_EQUIPOS!D1698</f>
        <v/>
      </c>
      <c r="E1698">
        <f>BASE_EQUIPOS!G1698</f>
        <v/>
      </c>
      <c r="F1698">
        <f>BASE_EQUIPOS!H1698</f>
        <v/>
      </c>
      <c r="G1698">
        <f>BASE_EQUIPOS!M1698</f>
        <v/>
      </c>
      <c r="I1698" t="inlineStr">
        <is>
          <t>03/771808</t>
        </is>
      </c>
    </row>
    <row r="1699">
      <c r="A1699">
        <f>TRIM(BASE_EQUIPOS!N1699)</f>
        <v/>
      </c>
      <c r="B1699">
        <f>BASE_EQUIPOS!A1699</f>
        <v/>
      </c>
      <c r="C1699">
        <f>BASE_EQUIPOS!B1699</f>
        <v/>
      </c>
      <c r="D1699">
        <f>BASE_EQUIPOS!D1699</f>
        <v/>
      </c>
      <c r="E1699">
        <f>BASE_EQUIPOS!G1699</f>
        <v/>
      </c>
      <c r="F1699">
        <f>BASE_EQUIPOS!H1699</f>
        <v/>
      </c>
      <c r="G1699">
        <f>BASE_EQUIPOS!M1699</f>
        <v/>
      </c>
      <c r="I1699" t="inlineStr">
        <is>
          <t>04/772204</t>
        </is>
      </c>
    </row>
    <row r="1700">
      <c r="A1700">
        <f>TRIM(BASE_EQUIPOS!N1700)</f>
        <v/>
      </c>
      <c r="B1700">
        <f>BASE_EQUIPOS!A1700</f>
        <v/>
      </c>
      <c r="C1700">
        <f>BASE_EQUIPOS!B1700</f>
        <v/>
      </c>
      <c r="D1700">
        <f>BASE_EQUIPOS!D1700</f>
        <v/>
      </c>
      <c r="E1700">
        <f>BASE_EQUIPOS!G1700</f>
        <v/>
      </c>
      <c r="F1700">
        <f>BASE_EQUIPOS!H1700</f>
        <v/>
      </c>
      <c r="G1700">
        <f>BASE_EQUIPOS!M1700</f>
        <v/>
      </c>
      <c r="I1700" t="inlineStr">
        <is>
          <t>05/772222</t>
        </is>
      </c>
    </row>
    <row r="1701">
      <c r="A1701">
        <f>TRIM(BASE_EQUIPOS!N1701)</f>
        <v/>
      </c>
      <c r="B1701">
        <f>BASE_EQUIPOS!A1701</f>
        <v/>
      </c>
      <c r="C1701">
        <f>BASE_EQUIPOS!B1701</f>
        <v/>
      </c>
      <c r="D1701">
        <f>BASE_EQUIPOS!D1701</f>
        <v/>
      </c>
      <c r="E1701">
        <f>BASE_EQUIPOS!G1701</f>
        <v/>
      </c>
      <c r="F1701">
        <f>BASE_EQUIPOS!H1701</f>
        <v/>
      </c>
      <c r="G1701">
        <f>BASE_EQUIPOS!M1701</f>
        <v/>
      </c>
      <c r="I1701" t="inlineStr">
        <is>
          <t>01/000931</t>
        </is>
      </c>
    </row>
    <row r="1702">
      <c r="A1702">
        <f>TRIM(BASE_EQUIPOS!N1702)</f>
        <v/>
      </c>
      <c r="B1702">
        <f>BASE_EQUIPOS!A1702</f>
        <v/>
      </c>
      <c r="C1702">
        <f>BASE_EQUIPOS!B1702</f>
        <v/>
      </c>
      <c r="D1702">
        <f>BASE_EQUIPOS!D1702</f>
        <v/>
      </c>
      <c r="E1702">
        <f>BASE_EQUIPOS!G1702</f>
        <v/>
      </c>
      <c r="F1702">
        <f>BASE_EQUIPOS!H1702</f>
        <v/>
      </c>
      <c r="G1702">
        <f>BASE_EQUIPOS!M1702</f>
        <v/>
      </c>
      <c r="I1702" t="inlineStr">
        <is>
          <t>SN / 000406</t>
        </is>
      </c>
    </row>
    <row r="1703">
      <c r="A1703">
        <f>TRIM(BASE_EQUIPOS!N1703)</f>
        <v/>
      </c>
      <c r="B1703">
        <f>BASE_EQUIPOS!A1703</f>
        <v/>
      </c>
      <c r="C1703">
        <f>BASE_EQUIPOS!B1703</f>
        <v/>
      </c>
      <c r="D1703">
        <f>BASE_EQUIPOS!D1703</f>
        <v/>
      </c>
      <c r="E1703">
        <f>BASE_EQUIPOS!G1703</f>
        <v/>
      </c>
      <c r="F1703">
        <f>BASE_EQUIPOS!H1703</f>
        <v/>
      </c>
      <c r="G1703">
        <f>BASE_EQUIPOS!M1703</f>
        <v/>
      </c>
      <c r="I1703" t="inlineStr">
        <is>
          <t>99 / 002341</t>
        </is>
      </c>
    </row>
    <row r="1704">
      <c r="A1704">
        <f>TRIM(BASE_EQUIPOS!N1704)</f>
        <v/>
      </c>
      <c r="B1704">
        <f>BASE_EQUIPOS!A1704</f>
        <v/>
      </c>
      <c r="C1704">
        <f>BASE_EQUIPOS!B1704</f>
        <v/>
      </c>
      <c r="D1704">
        <f>BASE_EQUIPOS!D1704</f>
        <v/>
      </c>
      <c r="E1704">
        <f>BASE_EQUIPOS!G1704</f>
        <v/>
      </c>
      <c r="F1704">
        <f>BASE_EQUIPOS!H1704</f>
        <v/>
      </c>
      <c r="G1704">
        <f>BASE_EQUIPOS!M1704</f>
        <v/>
      </c>
      <c r="I1704" t="inlineStr">
        <is>
          <t>SN / 003347</t>
        </is>
      </c>
    </row>
    <row r="1705">
      <c r="A1705">
        <f>TRIM(BASE_EQUIPOS!N1705)</f>
        <v/>
      </c>
      <c r="B1705">
        <f>BASE_EQUIPOS!A1705</f>
        <v/>
      </c>
      <c r="C1705">
        <f>BASE_EQUIPOS!B1705</f>
        <v/>
      </c>
      <c r="D1705">
        <f>BASE_EQUIPOS!D1705</f>
        <v/>
      </c>
      <c r="E1705">
        <f>BASE_EQUIPOS!G1705</f>
        <v/>
      </c>
      <c r="F1705">
        <f>BASE_EQUIPOS!H1705</f>
        <v/>
      </c>
      <c r="G1705">
        <f>BASE_EQUIPOS!M1705</f>
        <v/>
      </c>
      <c r="I1705" t="inlineStr">
        <is>
          <t>313 / 000416</t>
        </is>
      </c>
    </row>
    <row r="1706">
      <c r="A1706">
        <f>TRIM(BASE_EQUIPOS!N1706)</f>
        <v/>
      </c>
      <c r="B1706">
        <f>BASE_EQUIPOS!A1706</f>
        <v/>
      </c>
      <c r="C1706">
        <f>BASE_EQUIPOS!B1706</f>
        <v/>
      </c>
      <c r="D1706">
        <f>BASE_EQUIPOS!D1706</f>
        <v/>
      </c>
      <c r="E1706">
        <f>BASE_EQUIPOS!G1706</f>
        <v/>
      </c>
      <c r="F1706">
        <f>BASE_EQUIPOS!H1706</f>
        <v/>
      </c>
      <c r="G1706">
        <f>BASE_EQUIPOS!M1706</f>
        <v/>
      </c>
      <c r="I1706" t="inlineStr">
        <is>
          <t>345 / 001655</t>
        </is>
      </c>
    </row>
    <row r="1707">
      <c r="A1707">
        <f>TRIM(BASE_EQUIPOS!N1707)</f>
        <v/>
      </c>
      <c r="B1707">
        <f>BASE_EQUIPOS!A1707</f>
        <v/>
      </c>
      <c r="C1707">
        <f>BASE_EQUIPOS!B1707</f>
        <v/>
      </c>
      <c r="D1707">
        <f>BASE_EQUIPOS!D1707</f>
        <v/>
      </c>
      <c r="E1707">
        <f>BASE_EQUIPOS!G1707</f>
        <v/>
      </c>
      <c r="F1707">
        <f>BASE_EQUIPOS!H1707</f>
        <v/>
      </c>
      <c r="G1707">
        <f>BASE_EQUIPOS!M1707</f>
        <v/>
      </c>
      <c r="I1707" t="inlineStr">
        <is>
          <t>104 / 002582</t>
        </is>
      </c>
    </row>
    <row r="1708">
      <c r="A1708">
        <f>TRIM(BASE_EQUIPOS!N1708)</f>
        <v/>
      </c>
      <c r="B1708">
        <f>BASE_EQUIPOS!A1708</f>
        <v/>
      </c>
      <c r="C1708">
        <f>BASE_EQUIPOS!B1708</f>
        <v/>
      </c>
      <c r="D1708">
        <f>BASE_EQUIPOS!D1708</f>
        <v/>
      </c>
      <c r="E1708">
        <f>BASE_EQUIPOS!G1708</f>
        <v/>
      </c>
      <c r="F1708">
        <f>BASE_EQUIPOS!H1708</f>
        <v/>
      </c>
      <c r="G1708">
        <f>BASE_EQUIPOS!M1708</f>
        <v/>
      </c>
      <c r="I1708" t="inlineStr">
        <is>
          <t>302 / 000070</t>
        </is>
      </c>
    </row>
    <row r="1709">
      <c r="A1709">
        <f>TRIM(BASE_EQUIPOS!N1709)</f>
        <v/>
      </c>
      <c r="B1709">
        <f>BASE_EQUIPOS!A1709</f>
        <v/>
      </c>
      <c r="C1709">
        <f>BASE_EQUIPOS!B1709</f>
        <v/>
      </c>
      <c r="D1709">
        <f>BASE_EQUIPOS!D1709</f>
        <v/>
      </c>
      <c r="E1709">
        <f>BASE_EQUIPOS!G1709</f>
        <v/>
      </c>
      <c r="F1709">
        <f>BASE_EQUIPOS!H1709</f>
        <v/>
      </c>
      <c r="G1709">
        <f>BASE_EQUIPOS!M1709</f>
        <v/>
      </c>
      <c r="I1709" t="inlineStr">
        <is>
          <t>34 / 006422</t>
        </is>
      </c>
    </row>
    <row r="1710">
      <c r="A1710">
        <f>TRIM(BASE_EQUIPOS!N1710)</f>
        <v/>
      </c>
      <c r="B1710">
        <f>BASE_EQUIPOS!A1710</f>
        <v/>
      </c>
      <c r="C1710">
        <f>BASE_EQUIPOS!B1710</f>
        <v/>
      </c>
      <c r="D1710">
        <f>BASE_EQUIPOS!D1710</f>
        <v/>
      </c>
      <c r="E1710">
        <f>BASE_EQUIPOS!G1710</f>
        <v/>
      </c>
      <c r="F1710">
        <f>BASE_EQUIPOS!H1710</f>
        <v/>
      </c>
      <c r="G1710">
        <f>BASE_EQUIPOS!M1710</f>
        <v/>
      </c>
      <c r="I1710" t="inlineStr">
        <is>
          <t>006065</t>
        </is>
      </c>
    </row>
    <row r="1711">
      <c r="A1711">
        <f>TRIM(BASE_EQUIPOS!N1711)</f>
        <v/>
      </c>
      <c r="B1711">
        <f>BASE_EQUIPOS!A1711</f>
        <v/>
      </c>
      <c r="C1711">
        <f>BASE_EQUIPOS!B1711</f>
        <v/>
      </c>
      <c r="D1711">
        <f>BASE_EQUIPOS!D1711</f>
        <v/>
      </c>
      <c r="E1711">
        <f>BASE_EQUIPOS!G1711</f>
        <v/>
      </c>
      <c r="F1711">
        <f>BASE_EQUIPOS!H1711</f>
        <v/>
      </c>
      <c r="G1711">
        <f>BASE_EQUIPOS!M1711</f>
        <v/>
      </c>
      <c r="I1711" t="inlineStr">
        <is>
          <t>003084</t>
        </is>
      </c>
    </row>
    <row r="1712">
      <c r="A1712">
        <f>TRIM(BASE_EQUIPOS!N1712)</f>
        <v/>
      </c>
      <c r="B1712">
        <f>BASE_EQUIPOS!A1712</f>
        <v/>
      </c>
      <c r="C1712">
        <f>BASE_EQUIPOS!B1712</f>
        <v/>
      </c>
      <c r="D1712">
        <f>BASE_EQUIPOS!D1712</f>
        <v/>
      </c>
      <c r="E1712">
        <f>BASE_EQUIPOS!G1712</f>
        <v/>
      </c>
      <c r="F1712">
        <f>BASE_EQUIPOS!H1712</f>
        <v/>
      </c>
      <c r="G1712">
        <f>BASE_EQUIPOS!M1712</f>
        <v/>
      </c>
      <c r="I1712" t="inlineStr">
        <is>
          <t>006166</t>
        </is>
      </c>
    </row>
    <row r="1713">
      <c r="A1713">
        <f>TRIM(BASE_EQUIPOS!N1713)</f>
        <v/>
      </c>
      <c r="B1713">
        <f>BASE_EQUIPOS!A1713</f>
        <v/>
      </c>
      <c r="C1713">
        <f>BASE_EQUIPOS!B1713</f>
        <v/>
      </c>
      <c r="D1713">
        <f>BASE_EQUIPOS!D1713</f>
        <v/>
      </c>
      <c r="E1713">
        <f>BASE_EQUIPOS!G1713</f>
        <v/>
      </c>
      <c r="F1713">
        <f>BASE_EQUIPOS!H1713</f>
        <v/>
      </c>
      <c r="G1713">
        <f>BASE_EQUIPOS!M1713</f>
        <v/>
      </c>
      <c r="I1713" t="inlineStr">
        <is>
          <t>006200</t>
        </is>
      </c>
    </row>
    <row r="1714">
      <c r="A1714">
        <f>TRIM(BASE_EQUIPOS!N1714)</f>
        <v/>
      </c>
      <c r="B1714">
        <f>BASE_EQUIPOS!A1714</f>
        <v/>
      </c>
      <c r="C1714">
        <f>BASE_EQUIPOS!B1714</f>
        <v/>
      </c>
      <c r="D1714">
        <f>BASE_EQUIPOS!D1714</f>
        <v/>
      </c>
      <c r="E1714">
        <f>BASE_EQUIPOS!G1714</f>
        <v/>
      </c>
      <c r="F1714">
        <f>BASE_EQUIPOS!H1714</f>
        <v/>
      </c>
      <c r="G1714">
        <f>BASE_EQUIPOS!M1714</f>
        <v/>
      </c>
      <c r="I1714" t="inlineStr">
        <is>
          <t>007864</t>
        </is>
      </c>
    </row>
    <row r="1715">
      <c r="A1715">
        <f>TRIM(BASE_EQUIPOS!N1715)</f>
        <v/>
      </c>
      <c r="B1715">
        <f>BASE_EQUIPOS!A1715</f>
        <v/>
      </c>
      <c r="C1715">
        <f>BASE_EQUIPOS!B1715</f>
        <v/>
      </c>
      <c r="D1715">
        <f>BASE_EQUIPOS!D1715</f>
        <v/>
      </c>
      <c r="E1715">
        <f>BASE_EQUIPOS!G1715</f>
        <v/>
      </c>
      <c r="F1715">
        <f>BASE_EQUIPOS!H1715</f>
        <v/>
      </c>
      <c r="G1715">
        <f>BASE_EQUIPOS!M1715</f>
        <v/>
      </c>
      <c r="I1715" t="inlineStr">
        <is>
          <t>008698</t>
        </is>
      </c>
    </row>
    <row r="1716">
      <c r="A1716">
        <f>TRIM(BASE_EQUIPOS!N1716)</f>
        <v/>
      </c>
      <c r="B1716">
        <f>BASE_EQUIPOS!A1716</f>
        <v/>
      </c>
      <c r="C1716">
        <f>BASE_EQUIPOS!B1716</f>
        <v/>
      </c>
      <c r="D1716">
        <f>BASE_EQUIPOS!D1716</f>
        <v/>
      </c>
      <c r="E1716">
        <f>BASE_EQUIPOS!G1716</f>
        <v/>
      </c>
      <c r="F1716">
        <f>BASE_EQUIPOS!H1716</f>
        <v/>
      </c>
      <c r="G1716">
        <f>BASE_EQUIPOS!M1716</f>
        <v/>
      </c>
      <c r="I1716" t="inlineStr">
        <is>
          <t>0001005</t>
        </is>
      </c>
    </row>
    <row r="1717">
      <c r="A1717">
        <f>TRIM(BASE_EQUIPOS!N1717)</f>
        <v/>
      </c>
      <c r="B1717">
        <f>BASE_EQUIPOS!A1717</f>
        <v/>
      </c>
      <c r="C1717">
        <f>BASE_EQUIPOS!B1717</f>
        <v/>
      </c>
      <c r="D1717">
        <f>BASE_EQUIPOS!D1717</f>
        <v/>
      </c>
      <c r="E1717">
        <f>BASE_EQUIPOS!G1717</f>
        <v/>
      </c>
      <c r="F1717">
        <f>BASE_EQUIPOS!H1717</f>
        <v/>
      </c>
      <c r="G1717">
        <f>BASE_EQUIPOS!M1717</f>
        <v/>
      </c>
      <c r="I1717" t="inlineStr">
        <is>
          <t>000994</t>
        </is>
      </c>
    </row>
    <row r="1718">
      <c r="A1718">
        <f>TRIM(BASE_EQUIPOS!N1718)</f>
        <v/>
      </c>
      <c r="B1718">
        <f>BASE_EQUIPOS!A1718</f>
        <v/>
      </c>
      <c r="C1718">
        <f>BASE_EQUIPOS!B1718</f>
        <v/>
      </c>
      <c r="D1718">
        <f>BASE_EQUIPOS!D1718</f>
        <v/>
      </c>
      <c r="E1718">
        <f>BASE_EQUIPOS!G1718</f>
        <v/>
      </c>
      <c r="F1718">
        <f>BASE_EQUIPOS!H1718</f>
        <v/>
      </c>
      <c r="G1718">
        <f>BASE_EQUIPOS!M1718</f>
        <v/>
      </c>
      <c r="I1718" t="inlineStr">
        <is>
          <t>000397</t>
        </is>
      </c>
    </row>
    <row r="1719">
      <c r="A1719">
        <f>TRIM(BASE_EQUIPOS!N1719)</f>
        <v/>
      </c>
      <c r="B1719">
        <f>BASE_EQUIPOS!A1719</f>
        <v/>
      </c>
      <c r="C1719">
        <f>BASE_EQUIPOS!B1719</f>
        <v/>
      </c>
      <c r="D1719">
        <f>BASE_EQUIPOS!D1719</f>
        <v/>
      </c>
      <c r="E1719">
        <f>BASE_EQUIPOS!G1719</f>
        <v/>
      </c>
      <c r="F1719">
        <f>BASE_EQUIPOS!H1719</f>
        <v/>
      </c>
      <c r="G1719">
        <f>BASE_EQUIPOS!M1719</f>
        <v/>
      </c>
      <c r="I1719" t="inlineStr">
        <is>
          <t>000688</t>
        </is>
      </c>
    </row>
    <row r="1720">
      <c r="A1720">
        <f>TRIM(BASE_EQUIPOS!N1720)</f>
        <v/>
      </c>
      <c r="B1720">
        <f>BASE_EQUIPOS!A1720</f>
        <v/>
      </c>
      <c r="C1720">
        <f>BASE_EQUIPOS!B1720</f>
        <v/>
      </c>
      <c r="D1720">
        <f>BASE_EQUIPOS!D1720</f>
        <v/>
      </c>
      <c r="E1720">
        <f>BASE_EQUIPOS!G1720</f>
        <v/>
      </c>
      <c r="F1720">
        <f>BASE_EQUIPOS!H1720</f>
        <v/>
      </c>
      <c r="G1720">
        <f>BASE_EQUIPOS!M1720</f>
        <v/>
      </c>
      <c r="I1720" t="inlineStr">
        <is>
          <t>SN / 000002</t>
        </is>
      </c>
    </row>
    <row r="1721">
      <c r="A1721">
        <f>TRIM(BASE_EQUIPOS!N1721)</f>
        <v/>
      </c>
      <c r="B1721">
        <f>BASE_EQUIPOS!A1721</f>
        <v/>
      </c>
      <c r="C1721">
        <f>BASE_EQUIPOS!B1721</f>
        <v/>
      </c>
      <c r="D1721">
        <f>BASE_EQUIPOS!D1721</f>
        <v/>
      </c>
      <c r="E1721">
        <f>BASE_EQUIPOS!G1721</f>
        <v/>
      </c>
      <c r="F1721">
        <f>BASE_EQUIPOS!H1721</f>
        <v/>
      </c>
      <c r="G1721">
        <f>BASE_EQUIPOS!M1721</f>
        <v/>
      </c>
      <c r="I1721" t="inlineStr">
        <is>
          <t>46 / 001272</t>
        </is>
      </c>
    </row>
    <row r="1722">
      <c r="A1722">
        <f>TRIM(BASE_EQUIPOS!N1722)</f>
        <v/>
      </c>
      <c r="B1722">
        <f>BASE_EQUIPOS!A1722</f>
        <v/>
      </c>
      <c r="C1722">
        <f>BASE_EQUIPOS!B1722</f>
        <v/>
      </c>
      <c r="D1722">
        <f>BASE_EQUIPOS!D1722</f>
        <v/>
      </c>
      <c r="E1722">
        <f>BASE_EQUIPOS!G1722</f>
        <v/>
      </c>
      <c r="F1722">
        <f>BASE_EQUIPOS!H1722</f>
        <v/>
      </c>
      <c r="G1722">
        <f>BASE_EQUIPOS!M1722</f>
        <v/>
      </c>
      <c r="I1722" t="inlineStr">
        <is>
          <t>13 / 001952</t>
        </is>
      </c>
    </row>
    <row r="1723">
      <c r="A1723">
        <f>TRIM(BASE_EQUIPOS!N1723)</f>
        <v/>
      </c>
      <c r="B1723">
        <f>BASE_EQUIPOS!A1723</f>
        <v/>
      </c>
      <c r="C1723">
        <f>BASE_EQUIPOS!B1723</f>
        <v/>
      </c>
      <c r="D1723">
        <f>BASE_EQUIPOS!D1723</f>
        <v/>
      </c>
      <c r="E1723">
        <f>BASE_EQUIPOS!G1723</f>
        <v/>
      </c>
      <c r="F1723">
        <f>BASE_EQUIPOS!H1723</f>
        <v/>
      </c>
      <c r="G1723">
        <f>BASE_EQUIPOS!M1723</f>
        <v/>
      </c>
      <c r="I1723" t="inlineStr">
        <is>
          <t>171 / 002270</t>
        </is>
      </c>
    </row>
    <row r="1724">
      <c r="A1724">
        <f>TRIM(BASE_EQUIPOS!N1724)</f>
        <v/>
      </c>
      <c r="B1724">
        <f>BASE_EQUIPOS!A1724</f>
        <v/>
      </c>
      <c r="C1724">
        <f>BASE_EQUIPOS!B1724</f>
        <v/>
      </c>
      <c r="D1724">
        <f>BASE_EQUIPOS!D1724</f>
        <v/>
      </c>
      <c r="E1724">
        <f>BASE_EQUIPOS!G1724</f>
        <v/>
      </c>
      <c r="F1724">
        <f>BASE_EQUIPOS!H1724</f>
        <v/>
      </c>
      <c r="G1724">
        <f>BASE_EQUIPOS!M1724</f>
        <v/>
      </c>
      <c r="I1724" t="inlineStr">
        <is>
          <t>79 / 002579</t>
        </is>
      </c>
    </row>
    <row r="1725">
      <c r="A1725">
        <f>TRIM(BASE_EQUIPOS!N1725)</f>
        <v/>
      </c>
      <c r="B1725">
        <f>BASE_EQUIPOS!A1725</f>
        <v/>
      </c>
      <c r="C1725">
        <f>BASE_EQUIPOS!B1725</f>
        <v/>
      </c>
      <c r="D1725">
        <f>BASE_EQUIPOS!D1725</f>
        <v/>
      </c>
      <c r="E1725">
        <f>BASE_EQUIPOS!G1725</f>
        <v/>
      </c>
      <c r="F1725">
        <f>BASE_EQUIPOS!H1725</f>
        <v/>
      </c>
      <c r="G1725">
        <f>BASE_EQUIPOS!M1725</f>
        <v/>
      </c>
      <c r="I1725" t="inlineStr">
        <is>
          <t>104 / 005039</t>
        </is>
      </c>
    </row>
    <row r="1726">
      <c r="A1726">
        <f>TRIM(BASE_EQUIPOS!N1726)</f>
        <v/>
      </c>
      <c r="B1726">
        <f>BASE_EQUIPOS!A1726</f>
        <v/>
      </c>
      <c r="C1726">
        <f>BASE_EQUIPOS!B1726</f>
        <v/>
      </c>
      <c r="D1726">
        <f>BASE_EQUIPOS!D1726</f>
        <v/>
      </c>
      <c r="E1726">
        <f>BASE_EQUIPOS!G1726</f>
        <v/>
      </c>
      <c r="F1726">
        <f>BASE_EQUIPOS!H1726</f>
        <v/>
      </c>
      <c r="G1726">
        <f>BASE_EQUIPOS!M1726</f>
        <v/>
      </c>
      <c r="I1726" t="inlineStr">
        <is>
          <t>SN / 201106</t>
        </is>
      </c>
    </row>
    <row r="1727">
      <c r="A1727">
        <f>TRIM(BASE_EQUIPOS!N1727)</f>
        <v/>
      </c>
      <c r="B1727">
        <f>BASE_EQUIPOS!A1727</f>
        <v/>
      </c>
      <c r="C1727">
        <f>BASE_EQUIPOS!B1727</f>
        <v/>
      </c>
      <c r="D1727">
        <f>BASE_EQUIPOS!D1727</f>
        <v/>
      </c>
      <c r="E1727">
        <f>BASE_EQUIPOS!G1727</f>
        <v/>
      </c>
      <c r="F1727">
        <f>BASE_EQUIPOS!H1727</f>
        <v/>
      </c>
      <c r="G1727">
        <f>BASE_EQUIPOS!M1727</f>
        <v/>
      </c>
      <c r="I1727" t="inlineStr">
        <is>
          <t>274 / 001185</t>
        </is>
      </c>
    </row>
    <row r="1728">
      <c r="A1728">
        <f>TRIM(BASE_EQUIPOS!N1728)</f>
        <v/>
      </c>
      <c r="B1728">
        <f>BASE_EQUIPOS!A1728</f>
        <v/>
      </c>
      <c r="C1728">
        <f>BASE_EQUIPOS!B1728</f>
        <v/>
      </c>
      <c r="D1728">
        <f>BASE_EQUIPOS!D1728</f>
        <v/>
      </c>
      <c r="E1728">
        <f>BASE_EQUIPOS!G1728</f>
        <v/>
      </c>
      <c r="F1728">
        <f>BASE_EQUIPOS!H1728</f>
        <v/>
      </c>
      <c r="G1728">
        <f>BASE_EQUIPOS!M1728</f>
        <v/>
      </c>
      <c r="I1728" t="inlineStr">
        <is>
          <t>135 / 001737</t>
        </is>
      </c>
    </row>
    <row r="1729">
      <c r="A1729">
        <f>TRIM(BASE_EQUIPOS!N1729)</f>
        <v/>
      </c>
      <c r="B1729">
        <f>BASE_EQUIPOS!A1729</f>
        <v/>
      </c>
      <c r="C1729">
        <f>BASE_EQUIPOS!B1729</f>
        <v/>
      </c>
      <c r="D1729">
        <f>BASE_EQUIPOS!D1729</f>
        <v/>
      </c>
      <c r="E1729">
        <f>BASE_EQUIPOS!G1729</f>
        <v/>
      </c>
      <c r="F1729">
        <f>BASE_EQUIPOS!H1729</f>
        <v/>
      </c>
      <c r="G1729">
        <f>BASE_EQUIPOS!M1729</f>
        <v/>
      </c>
      <c r="I1729" t="inlineStr">
        <is>
          <t>353 / 000005</t>
        </is>
      </c>
    </row>
    <row r="1730">
      <c r="A1730">
        <f>TRIM(BASE_EQUIPOS!N1730)</f>
        <v/>
      </c>
      <c r="B1730">
        <f>BASE_EQUIPOS!A1730</f>
        <v/>
      </c>
      <c r="C1730">
        <f>BASE_EQUIPOS!B1730</f>
        <v/>
      </c>
      <c r="D1730">
        <f>BASE_EQUIPOS!D1730</f>
        <v/>
      </c>
      <c r="E1730">
        <f>BASE_EQUIPOS!G1730</f>
        <v/>
      </c>
      <c r="F1730">
        <f>BASE_EQUIPOS!H1730</f>
        <v/>
      </c>
      <c r="G1730">
        <f>BASE_EQUIPOS!M1730</f>
        <v/>
      </c>
      <c r="I1730" t="inlineStr">
        <is>
          <t>S/N / 000970</t>
        </is>
      </c>
    </row>
    <row r="1731">
      <c r="A1731">
        <f>TRIM(BASE_EQUIPOS!N1731)</f>
        <v/>
      </c>
      <c r="B1731">
        <f>BASE_EQUIPOS!A1731</f>
        <v/>
      </c>
      <c r="C1731">
        <f>BASE_EQUIPOS!B1731</f>
        <v/>
      </c>
      <c r="D1731">
        <f>BASE_EQUIPOS!D1731</f>
        <v/>
      </c>
      <c r="E1731">
        <f>BASE_EQUIPOS!G1731</f>
        <v/>
      </c>
      <c r="F1731">
        <f>BASE_EQUIPOS!H1731</f>
        <v/>
      </c>
      <c r="G1731">
        <f>BASE_EQUIPOS!M1731</f>
        <v/>
      </c>
      <c r="I1731" t="inlineStr">
        <is>
          <t>005912</t>
        </is>
      </c>
    </row>
    <row r="1732">
      <c r="A1732">
        <f>TRIM(BASE_EQUIPOS!N1732)</f>
        <v/>
      </c>
      <c r="B1732">
        <f>BASE_EQUIPOS!A1732</f>
        <v/>
      </c>
      <c r="C1732">
        <f>BASE_EQUIPOS!B1732</f>
        <v/>
      </c>
      <c r="D1732">
        <f>BASE_EQUIPOS!D1732</f>
        <v/>
      </c>
      <c r="E1732">
        <f>BASE_EQUIPOS!G1732</f>
        <v/>
      </c>
      <c r="F1732">
        <f>BASE_EQUIPOS!H1732</f>
        <v/>
      </c>
      <c r="G1732">
        <f>BASE_EQUIPOS!M1732</f>
        <v/>
      </c>
      <c r="I1732" t="inlineStr">
        <is>
          <t>S/N / 000201</t>
        </is>
      </c>
    </row>
    <row r="1733">
      <c r="A1733">
        <f>TRIM(BASE_EQUIPOS!N1733)</f>
        <v/>
      </c>
      <c r="B1733">
        <f>BASE_EQUIPOS!A1733</f>
        <v/>
      </c>
      <c r="C1733">
        <f>BASE_EQUIPOS!B1733</f>
        <v/>
      </c>
      <c r="D1733">
        <f>BASE_EQUIPOS!D1733</f>
        <v/>
      </c>
      <c r="E1733">
        <f>BASE_EQUIPOS!G1733</f>
        <v/>
      </c>
      <c r="F1733">
        <f>BASE_EQUIPOS!H1733</f>
        <v/>
      </c>
      <c r="G1733">
        <f>BASE_EQUIPOS!M1733</f>
        <v/>
      </c>
      <c r="I1733" t="inlineStr">
        <is>
          <t>S/N /000242</t>
        </is>
      </c>
    </row>
    <row r="1734">
      <c r="A1734">
        <f>TRIM(BASE_EQUIPOS!N1734)</f>
        <v/>
      </c>
      <c r="B1734">
        <f>BASE_EQUIPOS!A1734</f>
        <v/>
      </c>
      <c r="C1734">
        <f>BASE_EQUIPOS!B1734</f>
        <v/>
      </c>
      <c r="D1734">
        <f>BASE_EQUIPOS!D1734</f>
        <v/>
      </c>
      <c r="E1734">
        <f>BASE_EQUIPOS!G1734</f>
        <v/>
      </c>
      <c r="F1734">
        <f>BASE_EQUIPOS!H1734</f>
        <v/>
      </c>
      <c r="G1734">
        <f>BASE_EQUIPOS!M1734</f>
        <v/>
      </c>
      <c r="I1734" t="inlineStr">
        <is>
          <t>01/003360</t>
        </is>
      </c>
    </row>
    <row r="1735">
      <c r="A1735">
        <f>TRIM(BASE_EQUIPOS!N1735)</f>
        <v/>
      </c>
      <c r="B1735">
        <f>BASE_EQUIPOS!A1735</f>
        <v/>
      </c>
      <c r="C1735">
        <f>BASE_EQUIPOS!B1735</f>
        <v/>
      </c>
      <c r="D1735">
        <f>BASE_EQUIPOS!D1735</f>
        <v/>
      </c>
      <c r="E1735">
        <f>BASE_EQUIPOS!G1735</f>
        <v/>
      </c>
      <c r="F1735">
        <f>BASE_EQUIPOS!H1735</f>
        <v/>
      </c>
      <c r="G1735">
        <f>BASE_EQUIPOS!M1735</f>
        <v/>
      </c>
      <c r="I1735" t="inlineStr">
        <is>
          <t>02/100738</t>
        </is>
      </c>
    </row>
    <row r="1736">
      <c r="A1736">
        <f>TRIM(BASE_EQUIPOS!N1736)</f>
        <v/>
      </c>
      <c r="B1736">
        <f>BASE_EQUIPOS!A1736</f>
        <v/>
      </c>
      <c r="C1736">
        <f>BASE_EQUIPOS!B1736</f>
        <v/>
      </c>
      <c r="D1736">
        <f>BASE_EQUIPOS!D1736</f>
        <v/>
      </c>
      <c r="E1736">
        <f>BASE_EQUIPOS!G1736</f>
        <v/>
      </c>
      <c r="F1736">
        <f>BASE_EQUIPOS!H1736</f>
        <v/>
      </c>
      <c r="G1736">
        <f>BASE_EQUIPOS!M1736</f>
        <v/>
      </c>
      <c r="I1736" t="inlineStr">
        <is>
          <t>05/501365</t>
        </is>
      </c>
    </row>
    <row r="1737">
      <c r="A1737">
        <f>TRIM(BASE_EQUIPOS!N1737)</f>
        <v/>
      </c>
      <c r="B1737">
        <f>BASE_EQUIPOS!A1737</f>
        <v/>
      </c>
      <c r="C1737">
        <f>BASE_EQUIPOS!B1737</f>
        <v/>
      </c>
      <c r="D1737">
        <f>BASE_EQUIPOS!D1737</f>
        <v/>
      </c>
      <c r="E1737">
        <f>BASE_EQUIPOS!G1737</f>
        <v/>
      </c>
      <c r="F1737">
        <f>BASE_EQUIPOS!H1737</f>
        <v/>
      </c>
      <c r="G1737">
        <f>BASE_EQUIPOS!M1737</f>
        <v/>
      </c>
      <c r="I1737" t="inlineStr">
        <is>
          <t>06/501345</t>
        </is>
      </c>
    </row>
    <row r="1738">
      <c r="A1738">
        <f>TRIM(BASE_EQUIPOS!N1738)</f>
        <v/>
      </c>
      <c r="B1738">
        <f>BASE_EQUIPOS!A1738</f>
        <v/>
      </c>
      <c r="C1738">
        <f>BASE_EQUIPOS!B1738</f>
        <v/>
      </c>
      <c r="D1738">
        <f>BASE_EQUIPOS!D1738</f>
        <v/>
      </c>
      <c r="E1738">
        <f>BASE_EQUIPOS!G1738</f>
        <v/>
      </c>
      <c r="F1738">
        <f>BASE_EQUIPOS!H1738</f>
        <v/>
      </c>
      <c r="G1738">
        <f>BASE_EQUIPOS!M1738</f>
        <v/>
      </c>
      <c r="I1738" t="inlineStr">
        <is>
          <t>279/ 001422</t>
        </is>
      </c>
    </row>
    <row r="1739">
      <c r="A1739">
        <f>TRIM(BASE_EQUIPOS!N1739)</f>
        <v/>
      </c>
      <c r="B1739">
        <f>BASE_EQUIPOS!A1739</f>
        <v/>
      </c>
      <c r="C1739">
        <f>BASE_EQUIPOS!B1739</f>
        <v/>
      </c>
      <c r="D1739">
        <f>BASE_EQUIPOS!D1739</f>
        <v/>
      </c>
      <c r="E1739">
        <f>BASE_EQUIPOS!G1739</f>
        <v/>
      </c>
      <c r="F1739">
        <f>BASE_EQUIPOS!H1739</f>
        <v/>
      </c>
      <c r="G1739">
        <f>BASE_EQUIPOS!M1739</f>
        <v/>
      </c>
      <c r="I1739" t="inlineStr">
        <is>
          <t>S/N / 001249</t>
        </is>
      </c>
    </row>
    <row r="1740">
      <c r="A1740">
        <f>TRIM(BASE_EQUIPOS!N1740)</f>
        <v/>
      </c>
      <c r="B1740">
        <f>BASE_EQUIPOS!A1740</f>
        <v/>
      </c>
      <c r="C1740">
        <f>BASE_EQUIPOS!B1740</f>
        <v/>
      </c>
      <c r="D1740">
        <f>BASE_EQUIPOS!D1740</f>
        <v/>
      </c>
      <c r="E1740">
        <f>BASE_EQUIPOS!G1740</f>
        <v/>
      </c>
      <c r="F1740">
        <f>BASE_EQUIPOS!H1740</f>
        <v/>
      </c>
      <c r="G1740">
        <f>BASE_EQUIPOS!M1740</f>
        <v/>
      </c>
      <c r="I1740" t="inlineStr">
        <is>
          <t>S/N / 003136</t>
        </is>
      </c>
    </row>
    <row r="1741">
      <c r="A1741">
        <f>TRIM(BASE_EQUIPOS!N1741)</f>
        <v/>
      </c>
      <c r="B1741">
        <f>BASE_EQUIPOS!A1741</f>
        <v/>
      </c>
      <c r="C1741">
        <f>BASE_EQUIPOS!B1741</f>
        <v/>
      </c>
      <c r="D1741">
        <f>BASE_EQUIPOS!D1741</f>
        <v/>
      </c>
      <c r="E1741">
        <f>BASE_EQUIPOS!G1741</f>
        <v/>
      </c>
      <c r="F1741">
        <f>BASE_EQUIPOS!H1741</f>
        <v/>
      </c>
      <c r="G1741">
        <f>BASE_EQUIPOS!M1741</f>
        <v/>
      </c>
      <c r="I1741" t="inlineStr">
        <is>
          <t>S/N / 001415</t>
        </is>
      </c>
    </row>
    <row r="1742">
      <c r="A1742">
        <f>TRIM(BASE_EQUIPOS!N1742)</f>
        <v/>
      </c>
      <c r="B1742">
        <f>BASE_EQUIPOS!A1742</f>
        <v/>
      </c>
      <c r="C1742">
        <f>BASE_EQUIPOS!B1742</f>
        <v/>
      </c>
      <c r="D1742">
        <f>BASE_EQUIPOS!D1742</f>
        <v/>
      </c>
      <c r="E1742">
        <f>BASE_EQUIPOS!G1742</f>
        <v/>
      </c>
      <c r="F1742">
        <f>BASE_EQUIPOS!H1742</f>
        <v/>
      </c>
      <c r="G1742">
        <f>BASE_EQUIPOS!M1742</f>
        <v/>
      </c>
      <c r="I1742" t="inlineStr">
        <is>
          <t>52/ 000349</t>
        </is>
      </c>
    </row>
    <row r="1743">
      <c r="A1743">
        <f>TRIM(BASE_EQUIPOS!N1743)</f>
        <v/>
      </c>
      <c r="B1743">
        <f>BASE_EQUIPOS!A1743</f>
        <v/>
      </c>
      <c r="C1743">
        <f>BASE_EQUIPOS!B1743</f>
        <v/>
      </c>
      <c r="D1743">
        <f>BASE_EQUIPOS!D1743</f>
        <v/>
      </c>
      <c r="E1743">
        <f>BASE_EQUIPOS!G1743</f>
        <v/>
      </c>
      <c r="F1743">
        <f>BASE_EQUIPOS!H1743</f>
        <v/>
      </c>
      <c r="G1743">
        <f>BASE_EQUIPOS!M1743</f>
        <v/>
      </c>
      <c r="I1743" t="inlineStr">
        <is>
          <t>28/ 000005</t>
        </is>
      </c>
    </row>
    <row r="1744">
      <c r="A1744">
        <f>TRIM(BASE_EQUIPOS!N1744)</f>
        <v/>
      </c>
      <c r="B1744">
        <f>BASE_EQUIPOS!A1744</f>
        <v/>
      </c>
      <c r="C1744">
        <f>BASE_EQUIPOS!B1744</f>
        <v/>
      </c>
      <c r="D1744">
        <f>BASE_EQUIPOS!D1744</f>
        <v/>
      </c>
      <c r="E1744">
        <f>BASE_EQUIPOS!G1744</f>
        <v/>
      </c>
      <c r="F1744">
        <f>BASE_EQUIPOS!H1744</f>
        <v/>
      </c>
      <c r="G1744">
        <f>BASE_EQUIPOS!M1744</f>
        <v/>
      </c>
      <c r="I1744" t="inlineStr">
        <is>
          <t>S/N / 003666</t>
        </is>
      </c>
    </row>
    <row r="1745">
      <c r="A1745">
        <f>TRIM(BASE_EQUIPOS!N1745)</f>
        <v/>
      </c>
      <c r="B1745">
        <f>BASE_EQUIPOS!A1745</f>
        <v/>
      </c>
      <c r="C1745">
        <f>BASE_EQUIPOS!B1745</f>
        <v/>
      </c>
      <c r="D1745">
        <f>BASE_EQUIPOS!D1745</f>
        <v/>
      </c>
      <c r="E1745">
        <f>BASE_EQUIPOS!G1745</f>
        <v/>
      </c>
      <c r="F1745">
        <f>BASE_EQUIPOS!H1745</f>
        <v/>
      </c>
      <c r="G1745">
        <f>BASE_EQUIPOS!M1745</f>
        <v/>
      </c>
      <c r="I1745" t="inlineStr">
        <is>
          <t>06/ 000979</t>
        </is>
      </c>
    </row>
    <row r="1746">
      <c r="A1746">
        <f>TRIM(BASE_EQUIPOS!N1746)</f>
        <v/>
      </c>
      <c r="B1746">
        <f>BASE_EQUIPOS!A1746</f>
        <v/>
      </c>
      <c r="C1746">
        <f>BASE_EQUIPOS!B1746</f>
        <v/>
      </c>
      <c r="D1746">
        <f>BASE_EQUIPOS!D1746</f>
        <v/>
      </c>
      <c r="E1746">
        <f>BASE_EQUIPOS!G1746</f>
        <v/>
      </c>
      <c r="F1746">
        <f>BASE_EQUIPOS!H1746</f>
        <v/>
      </c>
      <c r="G1746">
        <f>BASE_EQUIPOS!M1746</f>
        <v/>
      </c>
      <c r="I1746" t="inlineStr">
        <is>
          <t>76/ 001940</t>
        </is>
      </c>
    </row>
    <row r="1747">
      <c r="A1747">
        <f>TRIM(BASE_EQUIPOS!N1747)</f>
        <v/>
      </c>
      <c r="B1747">
        <f>BASE_EQUIPOS!A1747</f>
        <v/>
      </c>
      <c r="C1747">
        <f>BASE_EQUIPOS!B1747</f>
        <v/>
      </c>
      <c r="D1747">
        <f>BASE_EQUIPOS!D1747</f>
        <v/>
      </c>
      <c r="E1747">
        <f>BASE_EQUIPOS!G1747</f>
        <v/>
      </c>
      <c r="F1747">
        <f>BASE_EQUIPOS!H1747</f>
        <v/>
      </c>
      <c r="G1747">
        <f>BASE_EQUIPOS!M1747</f>
        <v/>
      </c>
      <c r="I1747" t="inlineStr">
        <is>
          <t>01/008334</t>
        </is>
      </c>
    </row>
    <row r="1748">
      <c r="A1748">
        <f>TRIM(BASE_EQUIPOS!N1748)</f>
        <v/>
      </c>
      <c r="B1748">
        <f>BASE_EQUIPOS!A1748</f>
        <v/>
      </c>
      <c r="C1748">
        <f>BASE_EQUIPOS!B1748</f>
        <v/>
      </c>
      <c r="D1748">
        <f>BASE_EQUIPOS!D1748</f>
        <v/>
      </c>
      <c r="E1748">
        <f>BASE_EQUIPOS!G1748</f>
        <v/>
      </c>
      <c r="F1748">
        <f>BASE_EQUIPOS!H1748</f>
        <v/>
      </c>
      <c r="G1748">
        <f>BASE_EQUIPOS!M1748</f>
        <v/>
      </c>
      <c r="I1748" t="inlineStr">
        <is>
          <t>02/005848</t>
        </is>
      </c>
    </row>
    <row r="1749">
      <c r="A1749">
        <f>TRIM(BASE_EQUIPOS!N1749)</f>
        <v/>
      </c>
      <c r="B1749">
        <f>BASE_EQUIPOS!A1749</f>
        <v/>
      </c>
      <c r="C1749">
        <f>BASE_EQUIPOS!B1749</f>
        <v/>
      </c>
      <c r="D1749">
        <f>BASE_EQUIPOS!D1749</f>
        <v/>
      </c>
      <c r="E1749">
        <f>BASE_EQUIPOS!G1749</f>
        <v/>
      </c>
      <c r="F1749">
        <f>BASE_EQUIPOS!H1749</f>
        <v/>
      </c>
      <c r="G1749">
        <f>BASE_EQUIPOS!M1749</f>
        <v/>
      </c>
      <c r="I1749" t="inlineStr">
        <is>
          <t>01/000950</t>
        </is>
      </c>
    </row>
    <row r="1750">
      <c r="A1750">
        <f>TRIM(BASE_EQUIPOS!N1750)</f>
        <v/>
      </c>
      <c r="B1750">
        <f>BASE_EQUIPOS!A1750</f>
        <v/>
      </c>
      <c r="C1750">
        <f>BASE_EQUIPOS!B1750</f>
        <v/>
      </c>
      <c r="D1750">
        <f>BASE_EQUIPOS!D1750</f>
        <v/>
      </c>
      <c r="E1750">
        <f>BASE_EQUIPOS!G1750</f>
        <v/>
      </c>
      <c r="F1750">
        <f>BASE_EQUIPOS!H1750</f>
        <v/>
      </c>
      <c r="G1750">
        <f>BASE_EQUIPOS!M1750</f>
        <v/>
      </c>
      <c r="I1750" t="inlineStr">
        <is>
          <t>0 000003</t>
        </is>
      </c>
    </row>
    <row r="1751">
      <c r="A1751">
        <f>TRIM(BASE_EQUIPOS!N1751)</f>
        <v/>
      </c>
      <c r="B1751">
        <f>BASE_EQUIPOS!A1751</f>
        <v/>
      </c>
      <c r="C1751">
        <f>BASE_EQUIPOS!B1751</f>
        <v/>
      </c>
      <c r="D1751">
        <f>BASE_EQUIPOS!D1751</f>
        <v/>
      </c>
      <c r="E1751">
        <f>BASE_EQUIPOS!G1751</f>
        <v/>
      </c>
      <c r="F1751">
        <f>BASE_EQUIPOS!H1751</f>
        <v/>
      </c>
      <c r="G1751">
        <f>BASE_EQUIPOS!M1751</f>
        <v/>
      </c>
      <c r="I1751" t="inlineStr">
        <is>
          <t>0003863</t>
        </is>
      </c>
    </row>
    <row r="1752">
      <c r="A1752">
        <f>TRIM(BASE_EQUIPOS!N1752)</f>
        <v/>
      </c>
      <c r="B1752">
        <f>BASE_EQUIPOS!A1752</f>
        <v/>
      </c>
      <c r="C1752">
        <f>BASE_EQUIPOS!B1752</f>
        <v/>
      </c>
      <c r="D1752">
        <f>BASE_EQUIPOS!D1752</f>
        <v/>
      </c>
      <c r="E1752">
        <f>BASE_EQUIPOS!G1752</f>
        <v/>
      </c>
      <c r="F1752">
        <f>BASE_EQUIPOS!H1752</f>
        <v/>
      </c>
      <c r="G1752">
        <f>BASE_EQUIPOS!M1752</f>
        <v/>
      </c>
      <c r="I1752" t="inlineStr">
        <is>
          <t>0002771</t>
        </is>
      </c>
    </row>
    <row r="1753">
      <c r="A1753">
        <f>TRIM(BASE_EQUIPOS!N1753)</f>
        <v/>
      </c>
      <c r="B1753">
        <f>BASE_EQUIPOS!A1753</f>
        <v/>
      </c>
      <c r="C1753">
        <f>BASE_EQUIPOS!B1753</f>
        <v/>
      </c>
      <c r="D1753">
        <f>BASE_EQUIPOS!D1753</f>
        <v/>
      </c>
      <c r="E1753">
        <f>BASE_EQUIPOS!G1753</f>
        <v/>
      </c>
      <c r="F1753">
        <f>BASE_EQUIPOS!H1753</f>
        <v/>
      </c>
      <c r="G1753">
        <f>BASE_EQUIPOS!M1753</f>
        <v/>
      </c>
      <c r="I1753" t="inlineStr">
        <is>
          <t>0010233</t>
        </is>
      </c>
    </row>
    <row r="1754">
      <c r="A1754">
        <f>TRIM(BASE_EQUIPOS!N1754)</f>
        <v/>
      </c>
      <c r="B1754">
        <f>BASE_EQUIPOS!A1754</f>
        <v/>
      </c>
      <c r="C1754">
        <f>BASE_EQUIPOS!B1754</f>
        <v/>
      </c>
      <c r="D1754">
        <f>BASE_EQUIPOS!D1754</f>
        <v/>
      </c>
      <c r="E1754">
        <f>BASE_EQUIPOS!G1754</f>
        <v/>
      </c>
      <c r="F1754">
        <f>BASE_EQUIPOS!H1754</f>
        <v/>
      </c>
      <c r="G1754">
        <f>BASE_EQUIPOS!M1754</f>
        <v/>
      </c>
      <c r="I1754" t="inlineStr">
        <is>
          <t>0010217</t>
        </is>
      </c>
    </row>
    <row r="1755">
      <c r="A1755">
        <f>TRIM(BASE_EQUIPOS!N1755)</f>
        <v/>
      </c>
      <c r="B1755">
        <f>BASE_EQUIPOS!A1755</f>
        <v/>
      </c>
      <c r="C1755">
        <f>BASE_EQUIPOS!B1755</f>
        <v/>
      </c>
      <c r="D1755">
        <f>BASE_EQUIPOS!D1755</f>
        <v/>
      </c>
      <c r="E1755">
        <f>BASE_EQUIPOS!G1755</f>
        <v/>
      </c>
      <c r="F1755">
        <f>BASE_EQUIPOS!H1755</f>
        <v/>
      </c>
      <c r="G1755">
        <f>BASE_EQUIPOS!M1755</f>
        <v/>
      </c>
      <c r="I1755" t="inlineStr">
        <is>
          <t>00273019</t>
        </is>
      </c>
    </row>
    <row r="1756">
      <c r="A1756">
        <f>TRIM(BASE_EQUIPOS!N1756)</f>
        <v/>
      </c>
      <c r="B1756">
        <f>BASE_EQUIPOS!A1756</f>
        <v/>
      </c>
      <c r="C1756">
        <f>BASE_EQUIPOS!B1756</f>
        <v/>
      </c>
      <c r="D1756">
        <f>BASE_EQUIPOS!D1756</f>
        <v/>
      </c>
      <c r="E1756">
        <f>BASE_EQUIPOS!G1756</f>
        <v/>
      </c>
      <c r="F1756">
        <f>BASE_EQUIPOS!H1756</f>
        <v/>
      </c>
      <c r="G1756">
        <f>BASE_EQUIPOS!M1756</f>
        <v/>
      </c>
      <c r="I1756" t="inlineStr">
        <is>
          <t>000496</t>
        </is>
      </c>
    </row>
    <row r="1757">
      <c r="A1757">
        <f>TRIM(BASE_EQUIPOS!N1757)</f>
        <v/>
      </c>
      <c r="B1757">
        <f>BASE_EQUIPOS!A1757</f>
        <v/>
      </c>
      <c r="C1757">
        <f>BASE_EQUIPOS!B1757</f>
        <v/>
      </c>
      <c r="D1757">
        <f>BASE_EQUIPOS!D1757</f>
        <v/>
      </c>
      <c r="E1757">
        <f>BASE_EQUIPOS!G1757</f>
        <v/>
      </c>
      <c r="F1757">
        <f>BASE_EQUIPOS!H1757</f>
        <v/>
      </c>
      <c r="G1757">
        <f>BASE_EQUIPOS!M1757</f>
        <v/>
      </c>
      <c r="I1757" t="inlineStr">
        <is>
          <t>000212</t>
        </is>
      </c>
    </row>
    <row r="1758">
      <c r="A1758">
        <f>TRIM(BASE_EQUIPOS!N1758)</f>
        <v/>
      </c>
      <c r="B1758">
        <f>BASE_EQUIPOS!A1758</f>
        <v/>
      </c>
      <c r="C1758">
        <f>BASE_EQUIPOS!B1758</f>
        <v/>
      </c>
      <c r="D1758">
        <f>BASE_EQUIPOS!D1758</f>
        <v/>
      </c>
      <c r="E1758">
        <f>BASE_EQUIPOS!G1758</f>
        <v/>
      </c>
      <c r="F1758">
        <f>BASE_EQUIPOS!H1758</f>
        <v/>
      </c>
      <c r="G1758">
        <f>BASE_EQUIPOS!M1758</f>
        <v/>
      </c>
      <c r="I1758" t="inlineStr">
        <is>
          <t>0 00065</t>
        </is>
      </c>
    </row>
    <row r="1759">
      <c r="A1759">
        <f>TRIM(BASE_EQUIPOS!N1759)</f>
        <v/>
      </c>
      <c r="B1759">
        <f>BASE_EQUIPOS!A1759</f>
        <v/>
      </c>
      <c r="C1759">
        <f>BASE_EQUIPOS!B1759</f>
        <v/>
      </c>
      <c r="D1759">
        <f>BASE_EQUIPOS!D1759</f>
        <v/>
      </c>
      <c r="E1759">
        <f>BASE_EQUIPOS!G1759</f>
        <v/>
      </c>
      <c r="F1759">
        <f>BASE_EQUIPOS!H1759</f>
        <v/>
      </c>
      <c r="G1759">
        <f>BASE_EQUIPOS!M1759</f>
        <v/>
      </c>
      <c r="I1759" t="inlineStr">
        <is>
          <t>001425</t>
        </is>
      </c>
    </row>
    <row r="1760">
      <c r="A1760">
        <f>TRIM(BASE_EQUIPOS!N1760)</f>
        <v/>
      </c>
      <c r="B1760">
        <f>BASE_EQUIPOS!A1760</f>
        <v/>
      </c>
      <c r="C1760">
        <f>BASE_EQUIPOS!B1760</f>
        <v/>
      </c>
      <c r="D1760">
        <f>BASE_EQUIPOS!D1760</f>
        <v/>
      </c>
      <c r="E1760">
        <f>BASE_EQUIPOS!G1760</f>
        <v/>
      </c>
      <c r="F1760">
        <f>BASE_EQUIPOS!H1760</f>
        <v/>
      </c>
      <c r="G1760">
        <f>BASE_EQUIPOS!M1760</f>
        <v/>
      </c>
      <c r="I1760" t="inlineStr">
        <is>
          <t>001780</t>
        </is>
      </c>
    </row>
    <row r="1761">
      <c r="A1761">
        <f>TRIM(BASE_EQUIPOS!N1761)</f>
        <v/>
      </c>
      <c r="B1761">
        <f>BASE_EQUIPOS!A1761</f>
        <v/>
      </c>
      <c r="C1761">
        <f>BASE_EQUIPOS!B1761</f>
        <v/>
      </c>
      <c r="D1761">
        <f>BASE_EQUIPOS!D1761</f>
        <v/>
      </c>
      <c r="E1761">
        <f>BASE_EQUIPOS!G1761</f>
        <v/>
      </c>
      <c r="F1761">
        <f>BASE_EQUIPOS!H1761</f>
        <v/>
      </c>
      <c r="G1761">
        <f>BASE_EQUIPOS!M1761</f>
        <v/>
      </c>
      <c r="I1761" t="inlineStr">
        <is>
          <t>18/001341</t>
        </is>
      </c>
    </row>
    <row r="1762">
      <c r="A1762">
        <f>TRIM(BASE_EQUIPOS!N1762)</f>
        <v/>
      </c>
      <c r="B1762">
        <f>BASE_EQUIPOS!A1762</f>
        <v/>
      </c>
      <c r="C1762">
        <f>BASE_EQUIPOS!B1762</f>
        <v/>
      </c>
      <c r="D1762">
        <f>BASE_EQUIPOS!D1762</f>
        <v/>
      </c>
      <c r="E1762">
        <f>BASE_EQUIPOS!G1762</f>
        <v/>
      </c>
      <c r="F1762">
        <f>BASE_EQUIPOS!H1762</f>
        <v/>
      </c>
      <c r="G1762">
        <f>BASE_EQUIPOS!M1762</f>
        <v/>
      </c>
      <c r="I1762" t="inlineStr">
        <is>
          <t>0614570</t>
        </is>
      </c>
    </row>
    <row r="1763">
      <c r="A1763">
        <f>TRIM(BASE_EQUIPOS!N1763)</f>
        <v/>
      </c>
      <c r="B1763">
        <f>BASE_EQUIPOS!A1763</f>
        <v/>
      </c>
      <c r="C1763">
        <f>BASE_EQUIPOS!B1763</f>
        <v/>
      </c>
      <c r="D1763">
        <f>BASE_EQUIPOS!D1763</f>
        <v/>
      </c>
      <c r="E1763">
        <f>BASE_EQUIPOS!G1763</f>
        <v/>
      </c>
      <c r="F1763">
        <f>BASE_EQUIPOS!H1763</f>
        <v/>
      </c>
      <c r="G1763">
        <f>BASE_EQUIPOS!M1763</f>
        <v/>
      </c>
      <c r="I1763" t="inlineStr">
        <is>
          <t>01/ZB239367</t>
        </is>
      </c>
    </row>
    <row r="1764">
      <c r="A1764">
        <f>TRIM(BASE_EQUIPOS!N1764)</f>
        <v/>
      </c>
      <c r="B1764">
        <f>BASE_EQUIPOS!A1764</f>
        <v/>
      </c>
      <c r="C1764">
        <f>BASE_EQUIPOS!B1764</f>
        <v/>
      </c>
      <c r="D1764">
        <f>BASE_EQUIPOS!D1764</f>
        <v/>
      </c>
      <c r="E1764">
        <f>BASE_EQUIPOS!G1764</f>
        <v/>
      </c>
      <c r="F1764">
        <f>BASE_EQUIPOS!H1764</f>
        <v/>
      </c>
      <c r="G1764">
        <f>BASE_EQUIPOS!M1764</f>
        <v/>
      </c>
      <c r="I1764" t="inlineStr">
        <is>
          <t>02/790470</t>
        </is>
      </c>
    </row>
    <row r="1765">
      <c r="A1765">
        <f>TRIM(BASE_EQUIPOS!N1765)</f>
        <v/>
      </c>
      <c r="B1765">
        <f>BASE_EQUIPOS!A1765</f>
        <v/>
      </c>
      <c r="C1765">
        <f>BASE_EQUIPOS!B1765</f>
        <v/>
      </c>
      <c r="D1765">
        <f>BASE_EQUIPOS!D1765</f>
        <v/>
      </c>
      <c r="E1765">
        <f>BASE_EQUIPOS!G1765</f>
        <v/>
      </c>
      <c r="F1765">
        <f>BASE_EQUIPOS!H1765</f>
        <v/>
      </c>
      <c r="G1765">
        <f>BASE_EQUIPOS!M1765</f>
        <v/>
      </c>
      <c r="I1765" t="inlineStr">
        <is>
          <t>03/BK574215</t>
        </is>
      </c>
    </row>
    <row r="1766">
      <c r="A1766">
        <f>TRIM(BASE_EQUIPOS!N1766)</f>
        <v/>
      </c>
      <c r="B1766">
        <f>BASE_EQUIPOS!A1766</f>
        <v/>
      </c>
      <c r="C1766">
        <f>BASE_EQUIPOS!B1766</f>
        <v/>
      </c>
      <c r="D1766">
        <f>BASE_EQUIPOS!D1766</f>
        <v/>
      </c>
      <c r="E1766">
        <f>BASE_EQUIPOS!G1766</f>
        <v/>
      </c>
      <c r="F1766">
        <f>BASE_EQUIPOS!H1766</f>
        <v/>
      </c>
      <c r="G1766">
        <f>BASE_EQUIPOS!M1766</f>
        <v/>
      </c>
      <c r="I1766" t="inlineStr">
        <is>
          <t>04/BR572440</t>
        </is>
      </c>
    </row>
    <row r="1767">
      <c r="A1767">
        <f>TRIM(BASE_EQUIPOS!N1767)</f>
        <v/>
      </c>
      <c r="B1767">
        <f>BASE_EQUIPOS!A1767</f>
        <v/>
      </c>
      <c r="C1767">
        <f>BASE_EQUIPOS!B1767</f>
        <v/>
      </c>
      <c r="D1767">
        <f>BASE_EQUIPOS!D1767</f>
        <v/>
      </c>
      <c r="E1767">
        <f>BASE_EQUIPOS!G1767</f>
        <v/>
      </c>
      <c r="F1767">
        <f>BASE_EQUIPOS!H1767</f>
        <v/>
      </c>
      <c r="G1767">
        <f>BASE_EQUIPOS!M1767</f>
        <v/>
      </c>
      <c r="I1767" t="inlineStr">
        <is>
          <t>05/BR574034</t>
        </is>
      </c>
    </row>
    <row r="1768">
      <c r="A1768">
        <f>TRIM(BASE_EQUIPOS!N1768)</f>
        <v/>
      </c>
      <c r="B1768">
        <f>BASE_EQUIPOS!A1768</f>
        <v/>
      </c>
      <c r="C1768">
        <f>BASE_EQUIPOS!B1768</f>
        <v/>
      </c>
      <c r="D1768">
        <f>BASE_EQUIPOS!D1768</f>
        <v/>
      </c>
      <c r="E1768">
        <f>BASE_EQUIPOS!G1768</f>
        <v/>
      </c>
      <c r="F1768">
        <f>BASE_EQUIPOS!H1768</f>
        <v/>
      </c>
      <c r="G1768">
        <f>BASE_EQUIPOS!M1768</f>
        <v/>
      </c>
      <c r="I1768" t="inlineStr">
        <is>
          <t>06/BR572438</t>
        </is>
      </c>
    </row>
    <row r="1769">
      <c r="A1769">
        <f>TRIM(BASE_EQUIPOS!N1769)</f>
        <v/>
      </c>
      <c r="B1769">
        <f>BASE_EQUIPOS!A1769</f>
        <v/>
      </c>
      <c r="C1769">
        <f>BASE_EQUIPOS!B1769</f>
        <v/>
      </c>
      <c r="D1769">
        <f>BASE_EQUIPOS!D1769</f>
        <v/>
      </c>
      <c r="E1769">
        <f>BASE_EQUIPOS!G1769</f>
        <v/>
      </c>
      <c r="F1769">
        <f>BASE_EQUIPOS!H1769</f>
        <v/>
      </c>
      <c r="G1769">
        <f>BASE_EQUIPOS!M1769</f>
        <v/>
      </c>
      <c r="I1769" t="inlineStr">
        <is>
          <t>07/W794048</t>
        </is>
      </c>
    </row>
    <row r="1770">
      <c r="A1770">
        <f>TRIM(BASE_EQUIPOS!N1770)</f>
        <v/>
      </c>
      <c r="B1770">
        <f>BASE_EQUIPOS!A1770</f>
        <v/>
      </c>
      <c r="C1770">
        <f>BASE_EQUIPOS!B1770</f>
        <v/>
      </c>
      <c r="D1770">
        <f>BASE_EQUIPOS!D1770</f>
        <v/>
      </c>
      <c r="E1770">
        <f>BASE_EQUIPOS!G1770</f>
        <v/>
      </c>
      <c r="F1770">
        <f>BASE_EQUIPOS!H1770</f>
        <v/>
      </c>
      <c r="G1770">
        <f>BASE_EQUIPOS!M1770</f>
        <v/>
      </c>
      <c r="I1770" t="inlineStr">
        <is>
          <t>08/794336</t>
        </is>
      </c>
    </row>
    <row r="1771">
      <c r="A1771">
        <f>TRIM(BASE_EQUIPOS!N1771)</f>
        <v/>
      </c>
      <c r="B1771">
        <f>BASE_EQUIPOS!A1771</f>
        <v/>
      </c>
      <c r="C1771">
        <f>BASE_EQUIPOS!B1771</f>
        <v/>
      </c>
      <c r="D1771">
        <f>BASE_EQUIPOS!D1771</f>
        <v/>
      </c>
      <c r="E1771">
        <f>BASE_EQUIPOS!G1771</f>
        <v/>
      </c>
      <c r="F1771">
        <f>BASE_EQUIPOS!H1771</f>
        <v/>
      </c>
      <c r="G1771">
        <f>BASE_EQUIPOS!M1771</f>
        <v/>
      </c>
      <c r="I1771" t="inlineStr">
        <is>
          <t>09/794212</t>
        </is>
      </c>
    </row>
    <row r="1772">
      <c r="A1772">
        <f>TRIM(BASE_EQUIPOS!N1772)</f>
        <v/>
      </c>
      <c r="B1772">
        <f>BASE_EQUIPOS!A1772</f>
        <v/>
      </c>
      <c r="C1772">
        <f>BASE_EQUIPOS!B1772</f>
        <v/>
      </c>
      <c r="D1772">
        <f>BASE_EQUIPOS!D1772</f>
        <v/>
      </c>
      <c r="E1772">
        <f>BASE_EQUIPOS!G1772</f>
        <v/>
      </c>
      <c r="F1772">
        <f>BASE_EQUIPOS!H1772</f>
        <v/>
      </c>
      <c r="G1772">
        <f>BASE_EQUIPOS!M1772</f>
        <v/>
      </c>
      <c r="I1772" t="inlineStr">
        <is>
          <t>10/795618</t>
        </is>
      </c>
    </row>
    <row r="1773">
      <c r="A1773">
        <f>TRIM(BASE_EQUIPOS!N1773)</f>
        <v/>
      </c>
      <c r="B1773">
        <f>BASE_EQUIPOS!A1773</f>
        <v/>
      </c>
      <c r="C1773">
        <f>BASE_EQUIPOS!B1773</f>
        <v/>
      </c>
      <c r="D1773">
        <f>BASE_EQUIPOS!D1773</f>
        <v/>
      </c>
      <c r="E1773">
        <f>BASE_EQUIPOS!G1773</f>
        <v/>
      </c>
      <c r="F1773">
        <f>BASE_EQUIPOS!H1773</f>
        <v/>
      </c>
      <c r="G1773">
        <f>BASE_EQUIPOS!M1773</f>
        <v/>
      </c>
      <c r="I1773" t="inlineStr">
        <is>
          <t>12/M179924</t>
        </is>
      </c>
    </row>
    <row r="1774">
      <c r="A1774">
        <f>TRIM(BASE_EQUIPOS!N1774)</f>
        <v/>
      </c>
      <c r="B1774">
        <f>BASE_EQUIPOS!A1774</f>
        <v/>
      </c>
      <c r="C1774">
        <f>BASE_EQUIPOS!B1774</f>
        <v/>
      </c>
      <c r="D1774">
        <f>BASE_EQUIPOS!D1774</f>
        <v/>
      </c>
      <c r="E1774">
        <f>BASE_EQUIPOS!G1774</f>
        <v/>
      </c>
      <c r="F1774">
        <f>BASE_EQUIPOS!H1774</f>
        <v/>
      </c>
      <c r="G1774">
        <f>BASE_EQUIPOS!M1774</f>
        <v/>
      </c>
      <c r="I1774" t="inlineStr">
        <is>
          <t>13/BK574028</t>
        </is>
      </c>
    </row>
    <row r="1775">
      <c r="A1775">
        <f>TRIM(BASE_EQUIPOS!N1775)</f>
        <v/>
      </c>
      <c r="B1775">
        <f>BASE_EQUIPOS!A1775</f>
        <v/>
      </c>
      <c r="C1775">
        <f>BASE_EQUIPOS!B1775</f>
        <v/>
      </c>
      <c r="D1775">
        <f>BASE_EQUIPOS!D1775</f>
        <v/>
      </c>
      <c r="E1775">
        <f>BASE_EQUIPOS!G1775</f>
        <v/>
      </c>
      <c r="F1775">
        <f>BASE_EQUIPOS!H1775</f>
        <v/>
      </c>
      <c r="G1775">
        <f>BASE_EQUIPOS!M1775</f>
        <v/>
      </c>
      <c r="I1775" t="inlineStr">
        <is>
          <t>14/BR572448</t>
        </is>
      </c>
    </row>
    <row r="1776">
      <c r="A1776">
        <f>TRIM(BASE_EQUIPOS!N1776)</f>
        <v/>
      </c>
      <c r="B1776">
        <f>BASE_EQUIPOS!A1776</f>
        <v/>
      </c>
      <c r="C1776">
        <f>BASE_EQUIPOS!B1776</f>
        <v/>
      </c>
      <c r="D1776">
        <f>BASE_EQUIPOS!D1776</f>
        <v/>
      </c>
      <c r="E1776">
        <f>BASE_EQUIPOS!G1776</f>
        <v/>
      </c>
      <c r="F1776">
        <f>BASE_EQUIPOS!H1776</f>
        <v/>
      </c>
      <c r="G1776">
        <f>BASE_EQUIPOS!M1776</f>
        <v/>
      </c>
      <c r="I1776" t="inlineStr">
        <is>
          <t>15/M179932</t>
        </is>
      </c>
    </row>
    <row r="1777">
      <c r="A1777">
        <f>TRIM(BASE_EQUIPOS!N1777)</f>
        <v/>
      </c>
      <c r="B1777">
        <f>BASE_EQUIPOS!A1777</f>
        <v/>
      </c>
      <c r="C1777">
        <f>BASE_EQUIPOS!B1777</f>
        <v/>
      </c>
      <c r="D1777">
        <f>BASE_EQUIPOS!D1777</f>
        <v/>
      </c>
      <c r="E1777">
        <f>BASE_EQUIPOS!G1777</f>
        <v/>
      </c>
      <c r="F1777">
        <f>BASE_EQUIPOS!H1777</f>
        <v/>
      </c>
      <c r="G1777">
        <f>BASE_EQUIPOS!M1777</f>
        <v/>
      </c>
      <c r="I1777" t="inlineStr">
        <is>
          <t>16/ZB239273</t>
        </is>
      </c>
    </row>
    <row r="1778">
      <c r="A1778">
        <f>TRIM(BASE_EQUIPOS!N1778)</f>
        <v/>
      </c>
      <c r="B1778">
        <f>BASE_EQUIPOS!A1778</f>
        <v/>
      </c>
      <c r="C1778">
        <f>BASE_EQUIPOS!B1778</f>
        <v/>
      </c>
      <c r="D1778">
        <f>BASE_EQUIPOS!D1778</f>
        <v/>
      </c>
      <c r="E1778">
        <f>BASE_EQUIPOS!G1778</f>
        <v/>
      </c>
      <c r="F1778">
        <f>BASE_EQUIPOS!H1778</f>
        <v/>
      </c>
      <c r="G1778">
        <f>BASE_EQUIPOS!M1778</f>
        <v/>
      </c>
      <c r="I1778" t="inlineStr">
        <is>
          <t>17/AA316340</t>
        </is>
      </c>
    </row>
    <row r="1779">
      <c r="A1779">
        <f>TRIM(BASE_EQUIPOS!N1779)</f>
        <v/>
      </c>
      <c r="B1779">
        <f>BASE_EQUIPOS!A1779</f>
        <v/>
      </c>
      <c r="C1779">
        <f>BASE_EQUIPOS!B1779</f>
        <v/>
      </c>
      <c r="D1779">
        <f>BASE_EQUIPOS!D1779</f>
        <v/>
      </c>
      <c r="E1779">
        <f>BASE_EQUIPOS!G1779</f>
        <v/>
      </c>
      <c r="F1779">
        <f>BASE_EQUIPOS!H1779</f>
        <v/>
      </c>
      <c r="G1779">
        <f>BASE_EQUIPOS!M1779</f>
        <v/>
      </c>
      <c r="I1779" t="inlineStr">
        <is>
          <t>18/AA316247</t>
        </is>
      </c>
    </row>
    <row r="1780">
      <c r="A1780">
        <f>TRIM(BASE_EQUIPOS!N1780)</f>
        <v/>
      </c>
      <c r="B1780">
        <f>BASE_EQUIPOS!A1780</f>
        <v/>
      </c>
      <c r="C1780">
        <f>BASE_EQUIPOS!B1780</f>
        <v/>
      </c>
      <c r="D1780">
        <f>BASE_EQUIPOS!D1780</f>
        <v/>
      </c>
      <c r="E1780">
        <f>BASE_EQUIPOS!G1780</f>
        <v/>
      </c>
      <c r="F1780">
        <f>BASE_EQUIPOS!H1780</f>
        <v/>
      </c>
      <c r="G1780">
        <f>BASE_EQUIPOS!M1780</f>
        <v/>
      </c>
      <c r="I1780" t="inlineStr">
        <is>
          <t>19/BH86021</t>
        </is>
      </c>
    </row>
    <row r="1781">
      <c r="A1781">
        <f>TRIM(BASE_EQUIPOS!N1781)</f>
        <v/>
      </c>
      <c r="B1781">
        <f>BASE_EQUIPOS!A1781</f>
        <v/>
      </c>
      <c r="C1781">
        <f>BASE_EQUIPOS!B1781</f>
        <v/>
      </c>
      <c r="D1781">
        <f>BASE_EQUIPOS!D1781</f>
        <v/>
      </c>
      <c r="E1781">
        <f>BASE_EQUIPOS!G1781</f>
        <v/>
      </c>
      <c r="F1781">
        <f>BASE_EQUIPOS!H1781</f>
        <v/>
      </c>
      <c r="G1781">
        <f>BASE_EQUIPOS!M1781</f>
        <v/>
      </c>
      <c r="I1781" t="inlineStr">
        <is>
          <t>20/BR572449</t>
        </is>
      </c>
    </row>
    <row r="1782">
      <c r="A1782">
        <f>TRIM(BASE_EQUIPOS!N1782)</f>
        <v/>
      </c>
      <c r="B1782">
        <f>BASE_EQUIPOS!A1782</f>
        <v/>
      </c>
      <c r="C1782">
        <f>BASE_EQUIPOS!B1782</f>
        <v/>
      </c>
      <c r="D1782">
        <f>BASE_EQUIPOS!D1782</f>
        <v/>
      </c>
      <c r="E1782">
        <f>BASE_EQUIPOS!G1782</f>
        <v/>
      </c>
      <c r="F1782">
        <f>BASE_EQUIPOS!H1782</f>
        <v/>
      </c>
      <c r="G1782">
        <f>BASE_EQUIPOS!M1782</f>
        <v/>
      </c>
      <c r="I1782" t="inlineStr">
        <is>
          <t>21/795602</t>
        </is>
      </c>
    </row>
    <row r="1783">
      <c r="A1783">
        <f>TRIM(BASE_EQUIPOS!N1783)</f>
        <v/>
      </c>
      <c r="B1783">
        <f>BASE_EQUIPOS!A1783</f>
        <v/>
      </c>
      <c r="C1783">
        <f>BASE_EQUIPOS!B1783</f>
        <v/>
      </c>
      <c r="D1783">
        <f>BASE_EQUIPOS!D1783</f>
        <v/>
      </c>
      <c r="E1783">
        <f>BASE_EQUIPOS!G1783</f>
        <v/>
      </c>
      <c r="F1783">
        <f>BASE_EQUIPOS!H1783</f>
        <v/>
      </c>
      <c r="G1783">
        <f>BASE_EQUIPOS!M1783</f>
        <v/>
      </c>
      <c r="I1783" t="inlineStr">
        <is>
          <t>22/W716550</t>
        </is>
      </c>
    </row>
    <row r="1784">
      <c r="A1784">
        <f>TRIM(BASE_EQUIPOS!N1784)</f>
        <v/>
      </c>
      <c r="B1784">
        <f>BASE_EQUIPOS!A1784</f>
        <v/>
      </c>
      <c r="C1784">
        <f>BASE_EQUIPOS!B1784</f>
        <v/>
      </c>
      <c r="D1784">
        <f>BASE_EQUIPOS!D1784</f>
        <v/>
      </c>
      <c r="E1784">
        <f>BASE_EQUIPOS!G1784</f>
        <v/>
      </c>
      <c r="F1784">
        <f>BASE_EQUIPOS!H1784</f>
        <v/>
      </c>
      <c r="G1784">
        <f>BASE_EQUIPOS!M1784</f>
        <v/>
      </c>
      <c r="I1784" t="inlineStr">
        <is>
          <t>23/794351</t>
        </is>
      </c>
    </row>
    <row r="1785">
      <c r="A1785">
        <f>TRIM(BASE_EQUIPOS!N1785)</f>
        <v/>
      </c>
      <c r="B1785">
        <f>BASE_EQUIPOS!A1785</f>
        <v/>
      </c>
      <c r="C1785">
        <f>BASE_EQUIPOS!B1785</f>
        <v/>
      </c>
      <c r="D1785">
        <f>BASE_EQUIPOS!D1785</f>
        <v/>
      </c>
      <c r="E1785">
        <f>BASE_EQUIPOS!G1785</f>
        <v/>
      </c>
      <c r="F1785">
        <f>BASE_EQUIPOS!H1785</f>
        <v/>
      </c>
      <c r="G1785">
        <f>BASE_EQUIPOS!M1785</f>
        <v/>
      </c>
      <c r="I1785" t="inlineStr">
        <is>
          <t>24/M179728</t>
        </is>
      </c>
    </row>
    <row r="1786">
      <c r="A1786">
        <f>TRIM(BASE_EQUIPOS!N1786)</f>
        <v/>
      </c>
      <c r="B1786">
        <f>BASE_EQUIPOS!A1786</f>
        <v/>
      </c>
      <c r="C1786">
        <f>BASE_EQUIPOS!B1786</f>
        <v/>
      </c>
      <c r="D1786">
        <f>BASE_EQUIPOS!D1786</f>
        <v/>
      </c>
      <c r="E1786">
        <f>BASE_EQUIPOS!G1786</f>
        <v/>
      </c>
      <c r="F1786">
        <f>BASE_EQUIPOS!H1786</f>
        <v/>
      </c>
      <c r="G1786">
        <f>BASE_EQUIPOS!M1786</f>
        <v/>
      </c>
      <c r="I1786" t="inlineStr">
        <is>
          <t>25/794641</t>
        </is>
      </c>
    </row>
    <row r="1787">
      <c r="A1787">
        <f>TRIM(BASE_EQUIPOS!N1787)</f>
        <v/>
      </c>
      <c r="B1787">
        <f>BASE_EQUIPOS!A1787</f>
        <v/>
      </c>
      <c r="C1787">
        <f>BASE_EQUIPOS!B1787</f>
        <v/>
      </c>
      <c r="D1787">
        <f>BASE_EQUIPOS!D1787</f>
        <v/>
      </c>
      <c r="E1787">
        <f>BASE_EQUIPOS!G1787</f>
        <v/>
      </c>
      <c r="F1787">
        <f>BASE_EQUIPOS!H1787</f>
        <v/>
      </c>
      <c r="G1787">
        <f>BASE_EQUIPOS!M1787</f>
        <v/>
      </c>
      <c r="I1787" t="inlineStr">
        <is>
          <t>26/794233</t>
        </is>
      </c>
    </row>
    <row r="1788">
      <c r="A1788">
        <f>TRIM(BASE_EQUIPOS!N1788)</f>
        <v/>
      </c>
      <c r="B1788">
        <f>BASE_EQUIPOS!A1788</f>
        <v/>
      </c>
      <c r="C1788">
        <f>BASE_EQUIPOS!B1788</f>
        <v/>
      </c>
      <c r="D1788">
        <f>BASE_EQUIPOS!D1788</f>
        <v/>
      </c>
      <c r="E1788">
        <f>BASE_EQUIPOS!G1788</f>
        <v/>
      </c>
      <c r="F1788">
        <f>BASE_EQUIPOS!H1788</f>
        <v/>
      </c>
      <c r="G1788">
        <f>BASE_EQUIPOS!M1788</f>
        <v/>
      </c>
      <c r="I1788" t="inlineStr">
        <is>
          <t>27/M179929</t>
        </is>
      </c>
    </row>
    <row r="1789">
      <c r="A1789">
        <f>TRIM(BASE_EQUIPOS!N1789)</f>
        <v/>
      </c>
      <c r="B1789">
        <f>BASE_EQUIPOS!A1789</f>
        <v/>
      </c>
      <c r="C1789">
        <f>BASE_EQUIPOS!B1789</f>
        <v/>
      </c>
      <c r="D1789">
        <f>BASE_EQUIPOS!D1789</f>
        <v/>
      </c>
      <c r="E1789">
        <f>BASE_EQUIPOS!G1789</f>
        <v/>
      </c>
      <c r="F1789">
        <f>BASE_EQUIPOS!H1789</f>
        <v/>
      </c>
      <c r="G1789">
        <f>BASE_EQUIPOS!M1789</f>
        <v/>
      </c>
      <c r="I1789" t="inlineStr">
        <is>
          <t>28/N/R</t>
        </is>
      </c>
    </row>
    <row r="1790">
      <c r="A1790">
        <f>TRIM(BASE_EQUIPOS!N1790)</f>
        <v/>
      </c>
      <c r="B1790">
        <f>BASE_EQUIPOS!A1790</f>
        <v/>
      </c>
      <c r="C1790">
        <f>BASE_EQUIPOS!B1790</f>
        <v/>
      </c>
      <c r="D1790">
        <f>BASE_EQUIPOS!D1790</f>
        <v/>
      </c>
      <c r="E1790">
        <f>BASE_EQUIPOS!G1790</f>
        <v/>
      </c>
      <c r="F1790">
        <f>BASE_EQUIPOS!H1790</f>
        <v/>
      </c>
      <c r="G1790">
        <f>BASE_EQUIPOS!M1790</f>
        <v/>
      </c>
      <c r="I1790" t="inlineStr">
        <is>
          <t>29/794354</t>
        </is>
      </c>
    </row>
    <row r="1791">
      <c r="A1791">
        <f>TRIM(BASE_EQUIPOS!N1791)</f>
        <v/>
      </c>
      <c r="B1791">
        <f>BASE_EQUIPOS!A1791</f>
        <v/>
      </c>
      <c r="C1791">
        <f>BASE_EQUIPOS!B1791</f>
        <v/>
      </c>
      <c r="D1791">
        <f>BASE_EQUIPOS!D1791</f>
        <v/>
      </c>
      <c r="E1791">
        <f>BASE_EQUIPOS!G1791</f>
        <v/>
      </c>
      <c r="F1791">
        <f>BASE_EQUIPOS!H1791</f>
        <v/>
      </c>
      <c r="G1791">
        <f>BASE_EQUIPOS!M1791</f>
        <v/>
      </c>
      <c r="I1791" t="inlineStr">
        <is>
          <t>30/M179922</t>
        </is>
      </c>
    </row>
    <row r="1792">
      <c r="A1792">
        <f>TRIM(BASE_EQUIPOS!N1792)</f>
        <v/>
      </c>
      <c r="B1792">
        <f>BASE_EQUIPOS!A1792</f>
        <v/>
      </c>
      <c r="C1792">
        <f>BASE_EQUIPOS!B1792</f>
        <v/>
      </c>
      <c r="D1792">
        <f>BASE_EQUIPOS!D1792</f>
        <v/>
      </c>
      <c r="E1792">
        <f>BASE_EQUIPOS!G1792</f>
        <v/>
      </c>
      <c r="F1792">
        <f>BASE_EQUIPOS!H1792</f>
        <v/>
      </c>
      <c r="G1792">
        <f>BASE_EQUIPOS!M1792</f>
        <v/>
      </c>
      <c r="I1792" t="inlineStr">
        <is>
          <t>31/652923</t>
        </is>
      </c>
    </row>
    <row r="1793">
      <c r="A1793">
        <f>TRIM(BASE_EQUIPOS!N1793)</f>
        <v/>
      </c>
      <c r="B1793">
        <f>BASE_EQUIPOS!A1793</f>
        <v/>
      </c>
      <c r="C1793">
        <f>BASE_EQUIPOS!B1793</f>
        <v/>
      </c>
      <c r="D1793">
        <f>BASE_EQUIPOS!D1793</f>
        <v/>
      </c>
      <c r="E1793">
        <f>BASE_EQUIPOS!G1793</f>
        <v/>
      </c>
      <c r="F1793">
        <f>BASE_EQUIPOS!H1793</f>
        <v/>
      </c>
      <c r="G1793">
        <f>BASE_EQUIPOS!M1793</f>
        <v/>
      </c>
      <c r="I1793" t="inlineStr">
        <is>
          <t>32/794387</t>
        </is>
      </c>
    </row>
    <row r="1794">
      <c r="A1794">
        <f>TRIM(BASE_EQUIPOS!N1794)</f>
        <v/>
      </c>
      <c r="B1794">
        <f>BASE_EQUIPOS!A1794</f>
        <v/>
      </c>
      <c r="C1794">
        <f>BASE_EQUIPOS!B1794</f>
        <v/>
      </c>
      <c r="D1794">
        <f>BASE_EQUIPOS!D1794</f>
        <v/>
      </c>
      <c r="E1794">
        <f>BASE_EQUIPOS!G1794</f>
        <v/>
      </c>
      <c r="F1794">
        <f>BASE_EQUIPOS!H1794</f>
        <v/>
      </c>
      <c r="G1794">
        <f>BASE_EQUIPOS!M1794</f>
        <v/>
      </c>
      <c r="I1794" t="inlineStr">
        <is>
          <t>33/652879</t>
        </is>
      </c>
    </row>
    <row r="1795">
      <c r="A1795">
        <f>TRIM(BASE_EQUIPOS!N1795)</f>
        <v/>
      </c>
      <c r="B1795">
        <f>BASE_EQUIPOS!A1795</f>
        <v/>
      </c>
      <c r="C1795">
        <f>BASE_EQUIPOS!B1795</f>
        <v/>
      </c>
      <c r="D1795">
        <f>BASE_EQUIPOS!D1795</f>
        <v/>
      </c>
      <c r="E1795">
        <f>BASE_EQUIPOS!G1795</f>
        <v/>
      </c>
      <c r="F1795">
        <f>BASE_EQUIPOS!H1795</f>
        <v/>
      </c>
      <c r="G1795">
        <f>BASE_EQUIPOS!M1795</f>
        <v/>
      </c>
      <c r="I1795" t="inlineStr">
        <is>
          <t>34/M179797</t>
        </is>
      </c>
    </row>
    <row r="1796">
      <c r="A1796">
        <f>TRIM(BASE_EQUIPOS!N1796)</f>
        <v/>
      </c>
      <c r="B1796">
        <f>BASE_EQUIPOS!A1796</f>
        <v/>
      </c>
      <c r="C1796">
        <f>BASE_EQUIPOS!B1796</f>
        <v/>
      </c>
      <c r="D1796">
        <f>BASE_EQUIPOS!D1796</f>
        <v/>
      </c>
      <c r="E1796">
        <f>BASE_EQUIPOS!G1796</f>
        <v/>
      </c>
      <c r="F1796">
        <f>BASE_EQUIPOS!H1796</f>
        <v/>
      </c>
      <c r="G1796">
        <f>BASE_EQUIPOS!M1796</f>
        <v/>
      </c>
      <c r="I1796" t="inlineStr">
        <is>
          <t>35/M179919</t>
        </is>
      </c>
    </row>
    <row r="1797">
      <c r="A1797">
        <f>TRIM(BASE_EQUIPOS!N1797)</f>
        <v/>
      </c>
      <c r="B1797">
        <f>BASE_EQUIPOS!A1797</f>
        <v/>
      </c>
      <c r="C1797">
        <f>BASE_EQUIPOS!B1797</f>
        <v/>
      </c>
      <c r="D1797">
        <f>BASE_EQUIPOS!D1797</f>
        <v/>
      </c>
      <c r="E1797">
        <f>BASE_EQUIPOS!G1797</f>
        <v/>
      </c>
      <c r="F1797">
        <f>BASE_EQUIPOS!H1797</f>
        <v/>
      </c>
      <c r="G1797">
        <f>BASE_EQUIPOS!M1797</f>
        <v/>
      </c>
      <c r="I1797" t="inlineStr">
        <is>
          <t>36/BR574031</t>
        </is>
      </c>
    </row>
    <row r="1798">
      <c r="A1798">
        <f>TRIM(BASE_EQUIPOS!N1798)</f>
        <v/>
      </c>
      <c r="B1798">
        <f>BASE_EQUIPOS!A1798</f>
        <v/>
      </c>
      <c r="C1798">
        <f>BASE_EQUIPOS!B1798</f>
        <v/>
      </c>
      <c r="D1798">
        <f>BASE_EQUIPOS!D1798</f>
        <v/>
      </c>
      <c r="E1798">
        <f>BASE_EQUIPOS!G1798</f>
        <v/>
      </c>
      <c r="F1798">
        <f>BASE_EQUIPOS!H1798</f>
        <v/>
      </c>
      <c r="G1798">
        <f>BASE_EQUIPOS!M1798</f>
        <v/>
      </c>
      <c r="I1798" t="inlineStr">
        <is>
          <t>37/BH86037</t>
        </is>
      </c>
    </row>
    <row r="1799">
      <c r="A1799">
        <f>TRIM(BASE_EQUIPOS!N1799)</f>
        <v/>
      </c>
      <c r="B1799">
        <f>BASE_EQUIPOS!A1799</f>
        <v/>
      </c>
      <c r="C1799">
        <f>BASE_EQUIPOS!B1799</f>
        <v/>
      </c>
      <c r="D1799">
        <f>BASE_EQUIPOS!D1799</f>
        <v/>
      </c>
      <c r="E1799">
        <f>BASE_EQUIPOS!G1799</f>
        <v/>
      </c>
      <c r="F1799">
        <f>BASE_EQUIPOS!H1799</f>
        <v/>
      </c>
      <c r="G1799">
        <f>BASE_EQUIPOS!M1799</f>
        <v/>
      </c>
      <c r="I1799" t="inlineStr">
        <is>
          <t>38/BR574126</t>
        </is>
      </c>
    </row>
    <row r="1800">
      <c r="A1800">
        <f>TRIM(BASE_EQUIPOS!N1800)</f>
        <v/>
      </c>
      <c r="B1800">
        <f>BASE_EQUIPOS!A1800</f>
        <v/>
      </c>
      <c r="C1800">
        <f>BASE_EQUIPOS!B1800</f>
        <v/>
      </c>
      <c r="D1800">
        <f>BASE_EQUIPOS!D1800</f>
        <v/>
      </c>
      <c r="E1800">
        <f>BASE_EQUIPOS!G1800</f>
        <v/>
      </c>
      <c r="F1800">
        <f>BASE_EQUIPOS!H1800</f>
        <v/>
      </c>
      <c r="G1800">
        <f>BASE_EQUIPOS!M1800</f>
        <v/>
      </c>
      <c r="I1800" t="inlineStr">
        <is>
          <t>39/BR574105</t>
        </is>
      </c>
    </row>
    <row r="1801">
      <c r="A1801">
        <f>TRIM(BASE_EQUIPOS!N1801)</f>
        <v/>
      </c>
      <c r="B1801">
        <f>BASE_EQUIPOS!A1801</f>
        <v/>
      </c>
      <c r="C1801">
        <f>BASE_EQUIPOS!B1801</f>
        <v/>
      </c>
      <c r="D1801">
        <f>BASE_EQUIPOS!D1801</f>
        <v/>
      </c>
      <c r="E1801">
        <f>BASE_EQUIPOS!G1801</f>
        <v/>
      </c>
      <c r="F1801">
        <f>BASE_EQUIPOS!H1801</f>
        <v/>
      </c>
      <c r="G1801">
        <f>BASE_EQUIPOS!M1801</f>
        <v/>
      </c>
      <c r="I1801" t="inlineStr">
        <is>
          <t>40/BZ574123</t>
        </is>
      </c>
    </row>
    <row r="1802">
      <c r="A1802">
        <f>TRIM(BASE_EQUIPOS!N1802)</f>
        <v/>
      </c>
      <c r="B1802">
        <f>BASE_EQUIPOS!A1802</f>
        <v/>
      </c>
      <c r="C1802">
        <f>BASE_EQUIPOS!B1802</f>
        <v/>
      </c>
      <c r="D1802">
        <f>BASE_EQUIPOS!D1802</f>
        <v/>
      </c>
      <c r="E1802">
        <f>BASE_EQUIPOS!G1802</f>
        <v/>
      </c>
      <c r="F1802">
        <f>BASE_EQUIPOS!H1802</f>
        <v/>
      </c>
      <c r="G1802">
        <f>BASE_EQUIPOS!M1802</f>
        <v/>
      </c>
      <c r="I1802" t="inlineStr">
        <is>
          <t>41/BR574023</t>
        </is>
      </c>
    </row>
    <row r="1803">
      <c r="A1803">
        <f>TRIM(BASE_EQUIPOS!N1803)</f>
        <v/>
      </c>
      <c r="B1803">
        <f>BASE_EQUIPOS!A1803</f>
        <v/>
      </c>
      <c r="C1803">
        <f>BASE_EQUIPOS!B1803</f>
        <v/>
      </c>
      <c r="D1803">
        <f>BASE_EQUIPOS!D1803</f>
        <v/>
      </c>
      <c r="E1803">
        <f>BASE_EQUIPOS!G1803</f>
        <v/>
      </c>
      <c r="F1803">
        <f>BASE_EQUIPOS!H1803</f>
        <v/>
      </c>
      <c r="G1803">
        <f>BASE_EQUIPOS!M1803</f>
        <v/>
      </c>
      <c r="I1803" t="inlineStr">
        <is>
          <t>42/BR574109</t>
        </is>
      </c>
    </row>
    <row r="1804">
      <c r="A1804">
        <f>TRIM(BASE_EQUIPOS!N1804)</f>
        <v/>
      </c>
      <c r="B1804">
        <f>BASE_EQUIPOS!A1804</f>
        <v/>
      </c>
      <c r="C1804">
        <f>BASE_EQUIPOS!B1804</f>
        <v/>
      </c>
      <c r="D1804">
        <f>BASE_EQUIPOS!D1804</f>
        <v/>
      </c>
      <c r="E1804">
        <f>BASE_EQUIPOS!G1804</f>
        <v/>
      </c>
      <c r="F1804">
        <f>BASE_EQUIPOS!H1804</f>
        <v/>
      </c>
      <c r="G1804">
        <f>BASE_EQUIPOS!M1804</f>
        <v/>
      </c>
      <c r="I1804" t="inlineStr">
        <is>
          <t>43/BR574121</t>
        </is>
      </c>
    </row>
    <row r="1805">
      <c r="A1805">
        <f>TRIM(BASE_EQUIPOS!N1805)</f>
        <v/>
      </c>
      <c r="B1805">
        <f>BASE_EQUIPOS!A1805</f>
        <v/>
      </c>
      <c r="C1805">
        <f>BASE_EQUIPOS!B1805</f>
        <v/>
      </c>
      <c r="D1805">
        <f>BASE_EQUIPOS!D1805</f>
        <v/>
      </c>
      <c r="E1805">
        <f>BASE_EQUIPOS!G1805</f>
        <v/>
      </c>
      <c r="F1805">
        <f>BASE_EQUIPOS!H1805</f>
        <v/>
      </c>
      <c r="G1805">
        <f>BASE_EQUIPOS!M1805</f>
        <v/>
      </c>
      <c r="I1805" t="inlineStr">
        <is>
          <t>45/BK572451</t>
        </is>
      </c>
    </row>
    <row r="1806">
      <c r="A1806">
        <f>TRIM(BASE_EQUIPOS!N1806)</f>
        <v/>
      </c>
      <c r="B1806">
        <f>BASE_EQUIPOS!A1806</f>
        <v/>
      </c>
      <c r="C1806">
        <f>BASE_EQUIPOS!B1806</f>
        <v/>
      </c>
      <c r="D1806">
        <f>BASE_EQUIPOS!D1806</f>
        <v/>
      </c>
      <c r="E1806">
        <f>BASE_EQUIPOS!G1806</f>
        <v/>
      </c>
      <c r="F1806">
        <f>BASE_EQUIPOS!H1806</f>
        <v/>
      </c>
      <c r="G1806">
        <f>BASE_EQUIPOS!M1806</f>
        <v/>
      </c>
      <c r="I1806" t="inlineStr">
        <is>
          <t>46/BR574449</t>
        </is>
      </c>
    </row>
    <row r="1807">
      <c r="A1807">
        <f>TRIM(BASE_EQUIPOS!N1807)</f>
        <v/>
      </c>
      <c r="B1807">
        <f>BASE_EQUIPOS!A1807</f>
        <v/>
      </c>
      <c r="C1807">
        <f>BASE_EQUIPOS!B1807</f>
        <v/>
      </c>
      <c r="D1807">
        <f>BASE_EQUIPOS!D1807</f>
        <v/>
      </c>
      <c r="E1807">
        <f>BASE_EQUIPOS!G1807</f>
        <v/>
      </c>
      <c r="F1807">
        <f>BASE_EQUIPOS!H1807</f>
        <v/>
      </c>
      <c r="G1807">
        <f>BASE_EQUIPOS!M1807</f>
        <v/>
      </c>
      <c r="I1807" t="inlineStr">
        <is>
          <t>47/M179915</t>
        </is>
      </c>
    </row>
    <row r="1808">
      <c r="A1808">
        <f>TRIM(BASE_EQUIPOS!N1808)</f>
        <v/>
      </c>
      <c r="B1808">
        <f>BASE_EQUIPOS!A1808</f>
        <v/>
      </c>
      <c r="C1808">
        <f>BASE_EQUIPOS!B1808</f>
        <v/>
      </c>
      <c r="D1808">
        <f>BASE_EQUIPOS!D1808</f>
        <v/>
      </c>
      <c r="E1808">
        <f>BASE_EQUIPOS!G1808</f>
        <v/>
      </c>
      <c r="F1808">
        <f>BASE_EQUIPOS!H1808</f>
        <v/>
      </c>
      <c r="G1808">
        <f>BASE_EQUIPOS!M1808</f>
        <v/>
      </c>
      <c r="I1808" t="inlineStr">
        <is>
          <t>48/BR574136</t>
        </is>
      </c>
    </row>
    <row r="1809">
      <c r="A1809">
        <f>TRIM(BASE_EQUIPOS!N1809)</f>
        <v/>
      </c>
      <c r="B1809">
        <f>BASE_EQUIPOS!A1809</f>
        <v/>
      </c>
      <c r="C1809">
        <f>BASE_EQUIPOS!B1809</f>
        <v/>
      </c>
      <c r="D1809">
        <f>BASE_EQUIPOS!D1809</f>
        <v/>
      </c>
      <c r="E1809">
        <f>BASE_EQUIPOS!G1809</f>
        <v/>
      </c>
      <c r="F1809">
        <f>BASE_EQUIPOS!H1809</f>
        <v/>
      </c>
      <c r="G1809">
        <f>BASE_EQUIPOS!M1809</f>
        <v/>
      </c>
      <c r="I1809" t="inlineStr">
        <is>
          <t>49/M179914</t>
        </is>
      </c>
    </row>
    <row r="1810">
      <c r="A1810">
        <f>TRIM(BASE_EQUIPOS!N1810)</f>
        <v/>
      </c>
      <c r="B1810">
        <f>BASE_EQUIPOS!A1810</f>
        <v/>
      </c>
      <c r="C1810">
        <f>BASE_EQUIPOS!B1810</f>
        <v/>
      </c>
      <c r="D1810">
        <f>BASE_EQUIPOS!D1810</f>
        <v/>
      </c>
      <c r="E1810">
        <f>BASE_EQUIPOS!G1810</f>
        <v/>
      </c>
      <c r="F1810">
        <f>BASE_EQUIPOS!H1810</f>
        <v/>
      </c>
      <c r="G1810">
        <f>BASE_EQUIPOS!M1810</f>
        <v/>
      </c>
      <c r="I1810" t="inlineStr">
        <is>
          <t>S/N/ZB-239281</t>
        </is>
      </c>
    </row>
    <row r="1811">
      <c r="A1811">
        <f>TRIM(BASE_EQUIPOS!N1811)</f>
        <v/>
      </c>
      <c r="B1811">
        <f>BASE_EQUIPOS!A1811</f>
        <v/>
      </c>
      <c r="C1811">
        <f>BASE_EQUIPOS!B1811</f>
        <v/>
      </c>
      <c r="D1811">
        <f>BASE_EQUIPOS!D1811</f>
        <v/>
      </c>
      <c r="E1811">
        <f>BASE_EQUIPOS!G1811</f>
        <v/>
      </c>
      <c r="F1811">
        <f>BASE_EQUIPOS!H1811</f>
        <v/>
      </c>
      <c r="G1811">
        <f>BASE_EQUIPOS!M1811</f>
        <v/>
      </c>
      <c r="I1811" t="inlineStr">
        <is>
          <t>S/N/ZB-239298</t>
        </is>
      </c>
    </row>
    <row r="1812">
      <c r="A1812">
        <f>TRIM(BASE_EQUIPOS!N1812)</f>
        <v/>
      </c>
      <c r="B1812">
        <f>BASE_EQUIPOS!A1812</f>
        <v/>
      </c>
      <c r="C1812">
        <f>BASE_EQUIPOS!B1812</f>
        <v/>
      </c>
      <c r="D1812">
        <f>BASE_EQUIPOS!D1812</f>
        <v/>
      </c>
      <c r="E1812">
        <f>BASE_EQUIPOS!G1812</f>
        <v/>
      </c>
      <c r="F1812">
        <f>BASE_EQUIPOS!H1812</f>
        <v/>
      </c>
      <c r="G1812">
        <f>BASE_EQUIPOS!M1812</f>
        <v/>
      </c>
      <c r="I1812" t="inlineStr">
        <is>
          <t>2326</t>
        </is>
      </c>
    </row>
    <row r="1813">
      <c r="A1813">
        <f>TRIM(BASE_EQUIPOS!N1813)</f>
        <v/>
      </c>
      <c r="B1813">
        <f>BASE_EQUIPOS!A1813</f>
        <v/>
      </c>
      <c r="C1813">
        <f>BASE_EQUIPOS!B1813</f>
        <v/>
      </c>
      <c r="D1813">
        <f>BASE_EQUIPOS!D1813</f>
        <v/>
      </c>
      <c r="E1813">
        <f>BASE_EQUIPOS!G1813</f>
        <v/>
      </c>
      <c r="F1813">
        <f>BASE_EQUIPOS!H1813</f>
        <v/>
      </c>
      <c r="G1813">
        <f>BASE_EQUIPOS!M1813</f>
        <v/>
      </c>
      <c r="I1813" t="inlineStr">
        <is>
          <t>1/000872</t>
        </is>
      </c>
    </row>
    <row r="1814">
      <c r="A1814">
        <f>TRIM(BASE_EQUIPOS!N1814)</f>
        <v/>
      </c>
      <c r="B1814">
        <f>BASE_EQUIPOS!A1814</f>
        <v/>
      </c>
      <c r="C1814">
        <f>BASE_EQUIPOS!B1814</f>
        <v/>
      </c>
      <c r="D1814">
        <f>BASE_EQUIPOS!D1814</f>
        <v/>
      </c>
      <c r="E1814">
        <f>BASE_EQUIPOS!G1814</f>
        <v/>
      </c>
      <c r="F1814">
        <f>BASE_EQUIPOS!H1814</f>
        <v/>
      </c>
      <c r="G1814">
        <f>BASE_EQUIPOS!M1814</f>
        <v/>
      </c>
      <c r="I1814" t="inlineStr">
        <is>
          <t>2/001249</t>
        </is>
      </c>
    </row>
    <row r="1815">
      <c r="A1815">
        <f>TRIM(BASE_EQUIPOS!N1815)</f>
        <v/>
      </c>
      <c r="B1815">
        <f>BASE_EQUIPOS!A1815</f>
        <v/>
      </c>
      <c r="C1815">
        <f>BASE_EQUIPOS!B1815</f>
        <v/>
      </c>
      <c r="D1815">
        <f>BASE_EQUIPOS!D1815</f>
        <v/>
      </c>
      <c r="E1815">
        <f>BASE_EQUIPOS!G1815</f>
        <v/>
      </c>
      <c r="F1815">
        <f>BASE_EQUIPOS!H1815</f>
        <v/>
      </c>
      <c r="G1815">
        <f>BASE_EQUIPOS!M1815</f>
        <v/>
      </c>
      <c r="I1815" t="inlineStr">
        <is>
          <t>3/001883</t>
        </is>
      </c>
    </row>
    <row r="1816">
      <c r="A1816">
        <f>TRIM(BASE_EQUIPOS!N1816)</f>
        <v/>
      </c>
      <c r="B1816">
        <f>BASE_EQUIPOS!A1816</f>
        <v/>
      </c>
      <c r="C1816">
        <f>BASE_EQUIPOS!B1816</f>
        <v/>
      </c>
      <c r="D1816">
        <f>BASE_EQUIPOS!D1816</f>
        <v/>
      </c>
      <c r="E1816">
        <f>BASE_EQUIPOS!G1816</f>
        <v/>
      </c>
      <c r="F1816">
        <f>BASE_EQUIPOS!H1816</f>
        <v/>
      </c>
      <c r="G1816">
        <f>BASE_EQUIPOS!M1816</f>
        <v/>
      </c>
      <c r="I1816" t="inlineStr">
        <is>
          <t>5/000953</t>
        </is>
      </c>
    </row>
    <row r="1817">
      <c r="A1817">
        <f>TRIM(BASE_EQUIPOS!N1817)</f>
        <v/>
      </c>
      <c r="B1817">
        <f>BASE_EQUIPOS!A1817</f>
        <v/>
      </c>
      <c r="C1817">
        <f>BASE_EQUIPOS!B1817</f>
        <v/>
      </c>
      <c r="D1817">
        <f>BASE_EQUIPOS!D1817</f>
        <v/>
      </c>
      <c r="E1817">
        <f>BASE_EQUIPOS!G1817</f>
        <v/>
      </c>
      <c r="F1817">
        <f>BASE_EQUIPOS!H1817</f>
        <v/>
      </c>
      <c r="G1817">
        <f>BASE_EQUIPOS!M1817</f>
        <v/>
      </c>
      <c r="I1817" t="inlineStr">
        <is>
          <t>6/000792</t>
        </is>
      </c>
    </row>
    <row r="1818">
      <c r="A1818">
        <f>TRIM(BASE_EQUIPOS!N1818)</f>
        <v/>
      </c>
      <c r="B1818">
        <f>BASE_EQUIPOS!A1818</f>
        <v/>
      </c>
      <c r="C1818">
        <f>BASE_EQUIPOS!B1818</f>
        <v/>
      </c>
      <c r="D1818">
        <f>BASE_EQUIPOS!D1818</f>
        <v/>
      </c>
      <c r="E1818">
        <f>BASE_EQUIPOS!G1818</f>
        <v/>
      </c>
      <c r="F1818">
        <f>BASE_EQUIPOS!H1818</f>
        <v/>
      </c>
      <c r="G1818">
        <f>BASE_EQUIPOS!M1818</f>
        <v/>
      </c>
      <c r="I1818" t="inlineStr">
        <is>
          <t>7/000283</t>
        </is>
      </c>
    </row>
    <row r="1819">
      <c r="A1819">
        <f>TRIM(BASE_EQUIPOS!N1819)</f>
        <v/>
      </c>
      <c r="B1819">
        <f>BASE_EQUIPOS!A1819</f>
        <v/>
      </c>
      <c r="C1819">
        <f>BASE_EQUIPOS!B1819</f>
        <v/>
      </c>
      <c r="D1819">
        <f>BASE_EQUIPOS!D1819</f>
        <v/>
      </c>
      <c r="E1819">
        <f>BASE_EQUIPOS!G1819</f>
        <v/>
      </c>
      <c r="F1819">
        <f>BASE_EQUIPOS!H1819</f>
        <v/>
      </c>
      <c r="G1819">
        <f>BASE_EQUIPOS!M1819</f>
        <v/>
      </c>
      <c r="I1819" t="inlineStr">
        <is>
          <t>8/000359</t>
        </is>
      </c>
    </row>
    <row r="1820">
      <c r="A1820">
        <f>TRIM(BASE_EQUIPOS!N1820)</f>
        <v/>
      </c>
      <c r="B1820">
        <f>BASE_EQUIPOS!A1820</f>
        <v/>
      </c>
      <c r="C1820">
        <f>BASE_EQUIPOS!B1820</f>
        <v/>
      </c>
      <c r="D1820">
        <f>BASE_EQUIPOS!D1820</f>
        <v/>
      </c>
      <c r="E1820">
        <f>BASE_EQUIPOS!G1820</f>
        <v/>
      </c>
      <c r="F1820">
        <f>BASE_EQUIPOS!H1820</f>
        <v/>
      </c>
      <c r="G1820">
        <f>BASE_EQUIPOS!M1820</f>
        <v/>
      </c>
      <c r="I1820" t="inlineStr">
        <is>
          <t>9/000107</t>
        </is>
      </c>
    </row>
    <row r="1821">
      <c r="A1821">
        <f>TRIM(BASE_EQUIPOS!N1821)</f>
        <v/>
      </c>
      <c r="B1821">
        <f>BASE_EQUIPOS!A1821</f>
        <v/>
      </c>
      <c r="C1821">
        <f>BASE_EQUIPOS!B1821</f>
        <v/>
      </c>
      <c r="D1821">
        <f>BASE_EQUIPOS!D1821</f>
        <v/>
      </c>
      <c r="E1821">
        <f>BASE_EQUIPOS!G1821</f>
        <v/>
      </c>
      <c r="F1821">
        <f>BASE_EQUIPOS!H1821</f>
        <v/>
      </c>
      <c r="G1821">
        <f>BASE_EQUIPOS!M1821</f>
        <v/>
      </c>
      <c r="I1821" t="inlineStr">
        <is>
          <t>10/001299</t>
        </is>
      </c>
    </row>
    <row r="1822">
      <c r="A1822">
        <f>TRIM(BASE_EQUIPOS!N1822)</f>
        <v/>
      </c>
      <c r="B1822">
        <f>BASE_EQUIPOS!A1822</f>
        <v/>
      </c>
      <c r="C1822">
        <f>BASE_EQUIPOS!B1822</f>
        <v/>
      </c>
      <c r="D1822">
        <f>BASE_EQUIPOS!D1822</f>
        <v/>
      </c>
      <c r="E1822">
        <f>BASE_EQUIPOS!G1822</f>
        <v/>
      </c>
      <c r="F1822">
        <f>BASE_EQUIPOS!H1822</f>
        <v/>
      </c>
      <c r="G1822">
        <f>BASE_EQUIPOS!M1822</f>
        <v/>
      </c>
      <c r="I1822" t="inlineStr">
        <is>
          <t>11/001165</t>
        </is>
      </c>
    </row>
    <row r="1823">
      <c r="A1823">
        <f>TRIM(BASE_EQUIPOS!N1823)</f>
        <v/>
      </c>
      <c r="B1823">
        <f>BASE_EQUIPOS!A1823</f>
        <v/>
      </c>
      <c r="C1823">
        <f>BASE_EQUIPOS!B1823</f>
        <v/>
      </c>
      <c r="D1823">
        <f>BASE_EQUIPOS!D1823</f>
        <v/>
      </c>
      <c r="E1823">
        <f>BASE_EQUIPOS!G1823</f>
        <v/>
      </c>
      <c r="F1823">
        <f>BASE_EQUIPOS!H1823</f>
        <v/>
      </c>
      <c r="G1823">
        <f>BASE_EQUIPOS!M1823</f>
        <v/>
      </c>
      <c r="I1823" t="inlineStr">
        <is>
          <t>12/000102</t>
        </is>
      </c>
    </row>
    <row r="1824">
      <c r="A1824">
        <f>TRIM(BASE_EQUIPOS!N1824)</f>
        <v/>
      </c>
      <c r="B1824">
        <f>BASE_EQUIPOS!A1824</f>
        <v/>
      </c>
      <c r="C1824">
        <f>BASE_EQUIPOS!B1824</f>
        <v/>
      </c>
      <c r="D1824">
        <f>BASE_EQUIPOS!D1824</f>
        <v/>
      </c>
      <c r="E1824">
        <f>BASE_EQUIPOS!G1824</f>
        <v/>
      </c>
      <c r="F1824">
        <f>BASE_EQUIPOS!H1824</f>
        <v/>
      </c>
      <c r="G1824">
        <f>BASE_EQUIPOS!M1824</f>
        <v/>
      </c>
      <c r="I1824" t="inlineStr">
        <is>
          <t>13/000088</t>
        </is>
      </c>
    </row>
    <row r="1825">
      <c r="A1825">
        <f>TRIM(BASE_EQUIPOS!N1825)</f>
        <v/>
      </c>
      <c r="B1825">
        <f>BASE_EQUIPOS!A1825</f>
        <v/>
      </c>
      <c r="C1825">
        <f>BASE_EQUIPOS!B1825</f>
        <v/>
      </c>
      <c r="D1825">
        <f>BASE_EQUIPOS!D1825</f>
        <v/>
      </c>
      <c r="E1825">
        <f>BASE_EQUIPOS!G1825</f>
        <v/>
      </c>
      <c r="F1825">
        <f>BASE_EQUIPOS!H1825</f>
        <v/>
      </c>
      <c r="G1825">
        <f>BASE_EQUIPOS!M1825</f>
        <v/>
      </c>
      <c r="I1825" t="inlineStr">
        <is>
          <t>14/W-219936</t>
        </is>
      </c>
    </row>
    <row r="1826">
      <c r="A1826">
        <f>TRIM(BASE_EQUIPOS!N1826)</f>
        <v/>
      </c>
      <c r="B1826">
        <f>BASE_EQUIPOS!A1826</f>
        <v/>
      </c>
      <c r="C1826">
        <f>BASE_EQUIPOS!B1826</f>
        <v/>
      </c>
      <c r="D1826">
        <f>BASE_EQUIPOS!D1826</f>
        <v/>
      </c>
      <c r="E1826">
        <f>BASE_EQUIPOS!G1826</f>
        <v/>
      </c>
      <c r="F1826">
        <f>BASE_EQUIPOS!H1826</f>
        <v/>
      </c>
      <c r="G1826">
        <f>BASE_EQUIPOS!M1826</f>
        <v/>
      </c>
      <c r="I1826" t="inlineStr">
        <is>
          <t>15/W-220238</t>
        </is>
      </c>
    </row>
    <row r="1827">
      <c r="A1827">
        <f>TRIM(BASE_EQUIPOS!N1827)</f>
        <v/>
      </c>
      <c r="B1827">
        <f>BASE_EQUIPOS!A1827</f>
        <v/>
      </c>
      <c r="C1827">
        <f>BASE_EQUIPOS!B1827</f>
        <v/>
      </c>
      <c r="D1827">
        <f>BASE_EQUIPOS!D1827</f>
        <v/>
      </c>
      <c r="E1827">
        <f>BASE_EQUIPOS!G1827</f>
        <v/>
      </c>
      <c r="F1827">
        <f>BASE_EQUIPOS!H1827</f>
        <v/>
      </c>
      <c r="G1827">
        <f>BASE_EQUIPOS!M1827</f>
        <v/>
      </c>
      <c r="I1827" t="inlineStr">
        <is>
          <t>4/W-313141</t>
        </is>
      </c>
    </row>
    <row r="1828">
      <c r="A1828">
        <f>TRIM(BASE_EQUIPOS!N1828)</f>
        <v/>
      </c>
      <c r="B1828">
        <f>BASE_EQUIPOS!A1828</f>
        <v/>
      </c>
      <c r="C1828">
        <f>BASE_EQUIPOS!B1828</f>
        <v/>
      </c>
      <c r="D1828">
        <f>BASE_EQUIPOS!D1828</f>
        <v/>
      </c>
      <c r="E1828">
        <f>BASE_EQUIPOS!G1828</f>
        <v/>
      </c>
      <c r="F1828">
        <f>BASE_EQUIPOS!H1828</f>
        <v/>
      </c>
      <c r="G1828">
        <f>BASE_EQUIPOS!M1828</f>
        <v/>
      </c>
      <c r="I1828" t="inlineStr">
        <is>
          <t>6/Y-378690</t>
        </is>
      </c>
    </row>
    <row r="1829">
      <c r="A1829">
        <f>TRIM(BASE_EQUIPOS!N1829)</f>
        <v/>
      </c>
      <c r="B1829">
        <f>BASE_EQUIPOS!A1829</f>
        <v/>
      </c>
      <c r="C1829">
        <f>BASE_EQUIPOS!B1829</f>
        <v/>
      </c>
      <c r="D1829">
        <f>BASE_EQUIPOS!D1829</f>
        <v/>
      </c>
      <c r="E1829">
        <f>BASE_EQUIPOS!G1829</f>
        <v/>
      </c>
      <c r="F1829">
        <f>BASE_EQUIPOS!H1829</f>
        <v/>
      </c>
      <c r="G1829">
        <f>BASE_EQUIPOS!M1829</f>
        <v/>
      </c>
      <c r="I1829" t="inlineStr">
        <is>
          <t>30/S/N</t>
        </is>
      </c>
    </row>
    <row r="1830">
      <c r="A1830">
        <f>TRIM(BASE_EQUIPOS!N1830)</f>
        <v/>
      </c>
      <c r="B1830">
        <f>BASE_EQUIPOS!A1830</f>
        <v/>
      </c>
      <c r="C1830">
        <f>BASE_EQUIPOS!B1830</f>
        <v/>
      </c>
      <c r="D1830">
        <f>BASE_EQUIPOS!D1830</f>
        <v/>
      </c>
      <c r="E1830">
        <f>BASE_EQUIPOS!G1830</f>
        <v/>
      </c>
      <c r="F1830">
        <f>BASE_EQUIPOS!H1830</f>
        <v/>
      </c>
      <c r="G1830">
        <f>BASE_EQUIPOS!M1830</f>
        <v/>
      </c>
      <c r="I1830" t="inlineStr">
        <is>
          <t>31/S/N</t>
        </is>
      </c>
    </row>
    <row r="1831">
      <c r="A1831">
        <f>TRIM(BASE_EQUIPOS!N1831)</f>
        <v/>
      </c>
      <c r="B1831">
        <f>BASE_EQUIPOS!A1831</f>
        <v/>
      </c>
      <c r="C1831">
        <f>BASE_EQUIPOS!B1831</f>
        <v/>
      </c>
      <c r="D1831">
        <f>BASE_EQUIPOS!D1831</f>
        <v/>
      </c>
      <c r="E1831">
        <f>BASE_EQUIPOS!G1831</f>
        <v/>
      </c>
      <c r="F1831">
        <f>BASE_EQUIPOS!H1831</f>
        <v/>
      </c>
      <c r="G1831">
        <f>BASE_EQUIPOS!M1831</f>
        <v/>
      </c>
      <c r="I1831" t="inlineStr">
        <is>
          <t>1/M179677</t>
        </is>
      </c>
    </row>
    <row r="1832">
      <c r="A1832">
        <f>TRIM(BASE_EQUIPOS!N1832)</f>
        <v/>
      </c>
      <c r="B1832">
        <f>BASE_EQUIPOS!A1832</f>
        <v/>
      </c>
      <c r="C1832">
        <f>BASE_EQUIPOS!B1832</f>
        <v/>
      </c>
      <c r="D1832">
        <f>BASE_EQUIPOS!D1832</f>
        <v/>
      </c>
      <c r="E1832">
        <f>BASE_EQUIPOS!G1832</f>
        <v/>
      </c>
      <c r="F1832">
        <f>BASE_EQUIPOS!H1832</f>
        <v/>
      </c>
      <c r="G1832">
        <f>BASE_EQUIPOS!M1832</f>
        <v/>
      </c>
      <c r="I1832" t="inlineStr">
        <is>
          <t>2/M-179928</t>
        </is>
      </c>
    </row>
    <row r="1833">
      <c r="A1833">
        <f>TRIM(BASE_EQUIPOS!N1833)</f>
        <v/>
      </c>
      <c r="B1833">
        <f>BASE_EQUIPOS!A1833</f>
        <v/>
      </c>
      <c r="C1833">
        <f>BASE_EQUIPOS!B1833</f>
        <v/>
      </c>
      <c r="D1833">
        <f>BASE_EQUIPOS!D1833</f>
        <v/>
      </c>
      <c r="E1833">
        <f>BASE_EQUIPOS!G1833</f>
        <v/>
      </c>
      <c r="F1833">
        <f>BASE_EQUIPOS!H1833</f>
        <v/>
      </c>
      <c r="G1833">
        <f>BASE_EQUIPOS!M1833</f>
        <v/>
      </c>
      <c r="I1833" t="inlineStr">
        <is>
          <t>3/M179810</t>
        </is>
      </c>
    </row>
    <row r="1834">
      <c r="A1834">
        <f>TRIM(BASE_EQUIPOS!N1834)</f>
        <v/>
      </c>
      <c r="B1834">
        <f>BASE_EQUIPOS!A1834</f>
        <v/>
      </c>
      <c r="C1834">
        <f>BASE_EQUIPOS!B1834</f>
        <v/>
      </c>
      <c r="D1834">
        <f>BASE_EQUIPOS!D1834</f>
        <v/>
      </c>
      <c r="E1834">
        <f>BASE_EQUIPOS!G1834</f>
        <v/>
      </c>
      <c r="F1834">
        <f>BASE_EQUIPOS!H1834</f>
        <v/>
      </c>
      <c r="G1834">
        <f>BASE_EQUIPOS!M1834</f>
        <v/>
      </c>
      <c r="I1834" t="inlineStr">
        <is>
          <t>5/M179620</t>
        </is>
      </c>
    </row>
    <row r="1835">
      <c r="A1835">
        <f>TRIM(BASE_EQUIPOS!N1835)</f>
        <v/>
      </c>
      <c r="B1835">
        <f>BASE_EQUIPOS!A1835</f>
        <v/>
      </c>
      <c r="C1835">
        <f>BASE_EQUIPOS!B1835</f>
        <v/>
      </c>
      <c r="D1835">
        <f>BASE_EQUIPOS!D1835</f>
        <v/>
      </c>
      <c r="E1835">
        <f>BASE_EQUIPOS!G1835</f>
        <v/>
      </c>
      <c r="F1835">
        <f>BASE_EQUIPOS!H1835</f>
        <v/>
      </c>
      <c r="G1835">
        <f>BASE_EQUIPOS!M1835</f>
        <v/>
      </c>
      <c r="I1835" t="inlineStr">
        <is>
          <t>6/000570</t>
        </is>
      </c>
    </row>
    <row r="1836">
      <c r="A1836">
        <f>TRIM(BASE_EQUIPOS!N1836)</f>
        <v/>
      </c>
      <c r="B1836">
        <f>BASE_EQUIPOS!A1836</f>
        <v/>
      </c>
      <c r="C1836">
        <f>BASE_EQUIPOS!B1836</f>
        <v/>
      </c>
      <c r="D1836">
        <f>BASE_EQUIPOS!D1836</f>
        <v/>
      </c>
      <c r="E1836">
        <f>BASE_EQUIPOS!G1836</f>
        <v/>
      </c>
      <c r="F1836">
        <f>BASE_EQUIPOS!H1836</f>
        <v/>
      </c>
      <c r="G1836">
        <f>BASE_EQUIPOS!M1836</f>
        <v/>
      </c>
      <c r="I1836" t="inlineStr">
        <is>
          <t>7/000403</t>
        </is>
      </c>
    </row>
    <row r="1837">
      <c r="A1837">
        <f>TRIM(BASE_EQUIPOS!N1837)</f>
        <v/>
      </c>
      <c r="B1837">
        <f>BASE_EQUIPOS!A1837</f>
        <v/>
      </c>
      <c r="C1837">
        <f>BASE_EQUIPOS!B1837</f>
        <v/>
      </c>
      <c r="D1837">
        <f>BASE_EQUIPOS!D1837</f>
        <v/>
      </c>
      <c r="E1837">
        <f>BASE_EQUIPOS!G1837</f>
        <v/>
      </c>
      <c r="F1837">
        <f>BASE_EQUIPOS!H1837</f>
        <v/>
      </c>
      <c r="G1837">
        <f>BASE_EQUIPOS!M1837</f>
        <v/>
      </c>
      <c r="I1837" t="inlineStr">
        <is>
          <t>8/000530</t>
        </is>
      </c>
    </row>
    <row r="1838">
      <c r="A1838">
        <f>TRIM(BASE_EQUIPOS!N1838)</f>
        <v/>
      </c>
      <c r="B1838">
        <f>BASE_EQUIPOS!A1838</f>
        <v/>
      </c>
      <c r="C1838">
        <f>BASE_EQUIPOS!B1838</f>
        <v/>
      </c>
      <c r="D1838">
        <f>BASE_EQUIPOS!D1838</f>
        <v/>
      </c>
      <c r="E1838">
        <f>BASE_EQUIPOS!G1838</f>
        <v/>
      </c>
      <c r="F1838">
        <f>BASE_EQUIPOS!H1838</f>
        <v/>
      </c>
      <c r="G1838">
        <f>BASE_EQUIPOS!M1838</f>
        <v/>
      </c>
      <c r="I1838" t="inlineStr">
        <is>
          <t>9/000575</t>
        </is>
      </c>
    </row>
    <row r="1839">
      <c r="A1839">
        <f>TRIM(BASE_EQUIPOS!N1839)</f>
        <v/>
      </c>
      <c r="B1839">
        <f>BASE_EQUIPOS!A1839</f>
        <v/>
      </c>
      <c r="C1839">
        <f>BASE_EQUIPOS!B1839</f>
        <v/>
      </c>
      <c r="D1839">
        <f>BASE_EQUIPOS!D1839</f>
        <v/>
      </c>
      <c r="E1839">
        <f>BASE_EQUIPOS!G1839</f>
        <v/>
      </c>
      <c r="F1839">
        <f>BASE_EQUIPOS!H1839</f>
        <v/>
      </c>
      <c r="G1839">
        <f>BASE_EQUIPOS!M1839</f>
        <v/>
      </c>
      <c r="I1839" t="inlineStr">
        <is>
          <t>11/BH86010</t>
        </is>
      </c>
    </row>
    <row r="1840">
      <c r="A1840">
        <f>TRIM(BASE_EQUIPOS!N1840)</f>
        <v/>
      </c>
      <c r="B1840">
        <f>BASE_EQUIPOS!A1840</f>
        <v/>
      </c>
      <c r="C1840">
        <f>BASE_EQUIPOS!B1840</f>
        <v/>
      </c>
      <c r="D1840">
        <f>BASE_EQUIPOS!D1840</f>
        <v/>
      </c>
      <c r="E1840">
        <f>BASE_EQUIPOS!G1840</f>
        <v/>
      </c>
      <c r="F1840">
        <f>BASE_EQUIPOS!H1840</f>
        <v/>
      </c>
      <c r="G1840">
        <f>BASE_EQUIPOS!M1840</f>
        <v/>
      </c>
      <c r="I1840" t="inlineStr">
        <is>
          <t>12/000302</t>
        </is>
      </c>
    </row>
    <row r="1841">
      <c r="A1841">
        <f>TRIM(BASE_EQUIPOS!N1841)</f>
        <v/>
      </c>
      <c r="B1841">
        <f>BASE_EQUIPOS!A1841</f>
        <v/>
      </c>
      <c r="C1841">
        <f>BASE_EQUIPOS!B1841</f>
        <v/>
      </c>
      <c r="D1841">
        <f>BASE_EQUIPOS!D1841</f>
        <v/>
      </c>
      <c r="E1841">
        <f>BASE_EQUIPOS!G1841</f>
        <v/>
      </c>
      <c r="F1841">
        <f>BASE_EQUIPOS!H1841</f>
        <v/>
      </c>
      <c r="G1841">
        <f>BASE_EQUIPOS!M1841</f>
        <v/>
      </c>
      <c r="I1841" t="inlineStr">
        <is>
          <t>13/000673</t>
        </is>
      </c>
    </row>
    <row r="1842">
      <c r="A1842">
        <f>TRIM(BASE_EQUIPOS!N1842)</f>
        <v/>
      </c>
      <c r="B1842">
        <f>BASE_EQUIPOS!A1842</f>
        <v/>
      </c>
      <c r="C1842">
        <f>BASE_EQUIPOS!B1842</f>
        <v/>
      </c>
      <c r="D1842">
        <f>BASE_EQUIPOS!D1842</f>
        <v/>
      </c>
      <c r="E1842">
        <f>BASE_EQUIPOS!G1842</f>
        <v/>
      </c>
      <c r="F1842">
        <f>BASE_EQUIPOS!H1842</f>
        <v/>
      </c>
      <c r="G1842">
        <f>BASE_EQUIPOS!M1842</f>
        <v/>
      </c>
      <c r="I1842" t="inlineStr">
        <is>
          <t>14/M179925</t>
        </is>
      </c>
    </row>
    <row r="1843">
      <c r="A1843">
        <f>TRIM(BASE_EQUIPOS!N1843)</f>
        <v/>
      </c>
      <c r="B1843">
        <f>BASE_EQUIPOS!A1843</f>
        <v/>
      </c>
      <c r="C1843">
        <f>BASE_EQUIPOS!B1843</f>
        <v/>
      </c>
      <c r="D1843">
        <f>BASE_EQUIPOS!D1843</f>
        <v/>
      </c>
      <c r="E1843">
        <f>BASE_EQUIPOS!G1843</f>
        <v/>
      </c>
      <c r="F1843">
        <f>BASE_EQUIPOS!H1843</f>
        <v/>
      </c>
      <c r="G1843">
        <f>BASE_EQUIPOS!M1843</f>
        <v/>
      </c>
      <c r="I1843" t="inlineStr">
        <is>
          <t>15/000600</t>
        </is>
      </c>
    </row>
    <row r="1844">
      <c r="A1844">
        <f>TRIM(BASE_EQUIPOS!N1844)</f>
        <v/>
      </c>
      <c r="B1844">
        <f>BASE_EQUIPOS!A1844</f>
        <v/>
      </c>
      <c r="C1844">
        <f>BASE_EQUIPOS!B1844</f>
        <v/>
      </c>
      <c r="D1844">
        <f>BASE_EQUIPOS!D1844</f>
        <v/>
      </c>
      <c r="E1844">
        <f>BASE_EQUIPOS!G1844</f>
        <v/>
      </c>
      <c r="F1844">
        <f>BASE_EQUIPOS!H1844</f>
        <v/>
      </c>
      <c r="G1844">
        <f>BASE_EQUIPOS!M1844</f>
        <v/>
      </c>
      <c r="I1844" t="inlineStr">
        <is>
          <t>19/BR574196</t>
        </is>
      </c>
    </row>
    <row r="1845">
      <c r="A1845">
        <f>TRIM(BASE_EQUIPOS!N1845)</f>
        <v/>
      </c>
      <c r="B1845">
        <f>BASE_EQUIPOS!A1845</f>
        <v/>
      </c>
      <c r="C1845">
        <f>BASE_EQUIPOS!B1845</f>
        <v/>
      </c>
      <c r="D1845">
        <f>BASE_EQUIPOS!D1845</f>
        <v/>
      </c>
      <c r="E1845">
        <f>BASE_EQUIPOS!G1845</f>
        <v/>
      </c>
      <c r="F1845">
        <f>BASE_EQUIPOS!H1845</f>
        <v/>
      </c>
      <c r="G1845">
        <f>BASE_EQUIPOS!M1845</f>
        <v/>
      </c>
      <c r="I1845" t="inlineStr">
        <is>
          <t>20/BR574448</t>
        </is>
      </c>
    </row>
    <row r="1846">
      <c r="A1846">
        <f>TRIM(BASE_EQUIPOS!N1846)</f>
        <v/>
      </c>
      <c r="B1846">
        <f>BASE_EQUIPOS!A1846</f>
        <v/>
      </c>
      <c r="C1846">
        <f>BASE_EQUIPOS!B1846</f>
        <v/>
      </c>
      <c r="D1846">
        <f>BASE_EQUIPOS!D1846</f>
        <v/>
      </c>
      <c r="E1846">
        <f>BASE_EQUIPOS!G1846</f>
        <v/>
      </c>
      <c r="F1846">
        <f>BASE_EQUIPOS!H1846</f>
        <v/>
      </c>
      <c r="G1846">
        <f>BASE_EQUIPOS!M1846</f>
        <v/>
      </c>
      <c r="I1846" t="inlineStr">
        <is>
          <t>22/M179796</t>
        </is>
      </c>
    </row>
    <row r="1847">
      <c r="A1847">
        <f>TRIM(BASE_EQUIPOS!N1847)</f>
        <v/>
      </c>
      <c r="B1847">
        <f>BASE_EQUIPOS!A1847</f>
        <v/>
      </c>
      <c r="C1847">
        <f>BASE_EQUIPOS!B1847</f>
        <v/>
      </c>
      <c r="D1847">
        <f>BASE_EQUIPOS!D1847</f>
        <v/>
      </c>
      <c r="E1847">
        <f>BASE_EQUIPOS!G1847</f>
        <v/>
      </c>
      <c r="F1847">
        <f>BASE_EQUIPOS!H1847</f>
        <v/>
      </c>
      <c r="G1847">
        <f>BASE_EQUIPOS!M1847</f>
        <v/>
      </c>
      <c r="I1847" t="inlineStr">
        <is>
          <t>23/ZB239268</t>
        </is>
      </c>
    </row>
    <row r="1848">
      <c r="A1848">
        <f>TRIM(BASE_EQUIPOS!N1848)</f>
        <v/>
      </c>
      <c r="B1848">
        <f>BASE_EQUIPOS!A1848</f>
        <v/>
      </c>
      <c r="C1848">
        <f>BASE_EQUIPOS!B1848</f>
        <v/>
      </c>
      <c r="D1848">
        <f>BASE_EQUIPOS!D1848</f>
        <v/>
      </c>
      <c r="E1848">
        <f>BASE_EQUIPOS!G1848</f>
        <v/>
      </c>
      <c r="F1848">
        <f>BASE_EQUIPOS!H1848</f>
        <v/>
      </c>
      <c r="G1848">
        <f>BASE_EQUIPOS!M1848</f>
        <v/>
      </c>
      <c r="I1848" t="inlineStr">
        <is>
          <t>24/M179802</t>
        </is>
      </c>
    </row>
    <row r="1849">
      <c r="A1849">
        <f>TRIM(BASE_EQUIPOS!N1849)</f>
        <v/>
      </c>
      <c r="B1849">
        <f>BASE_EQUIPOS!A1849</f>
        <v/>
      </c>
      <c r="C1849">
        <f>BASE_EQUIPOS!B1849</f>
        <v/>
      </c>
      <c r="D1849">
        <f>BASE_EQUIPOS!D1849</f>
        <v/>
      </c>
      <c r="E1849">
        <f>BASE_EQUIPOS!G1849</f>
        <v/>
      </c>
      <c r="F1849">
        <f>BASE_EQUIPOS!H1849</f>
        <v/>
      </c>
      <c r="G1849">
        <f>BASE_EQUIPOS!M1849</f>
        <v/>
      </c>
      <c r="I1849" t="inlineStr">
        <is>
          <t>25/BR574141</t>
        </is>
      </c>
    </row>
    <row r="1850">
      <c r="A1850">
        <f>TRIM(BASE_EQUIPOS!N1850)</f>
        <v/>
      </c>
      <c r="B1850">
        <f>BASE_EQUIPOS!A1850</f>
        <v/>
      </c>
      <c r="C1850">
        <f>BASE_EQUIPOS!B1850</f>
        <v/>
      </c>
      <c r="D1850">
        <f>BASE_EQUIPOS!D1850</f>
        <v/>
      </c>
      <c r="E1850">
        <f>BASE_EQUIPOS!G1850</f>
        <v/>
      </c>
      <c r="F1850">
        <f>BASE_EQUIPOS!H1850</f>
        <v/>
      </c>
      <c r="G1850">
        <f>BASE_EQUIPOS!M1850</f>
        <v/>
      </c>
      <c r="I1850" t="inlineStr">
        <is>
          <t>01/264705</t>
        </is>
      </c>
    </row>
    <row r="1851">
      <c r="A1851">
        <f>TRIM(BASE_EQUIPOS!N1851)</f>
        <v/>
      </c>
      <c r="B1851">
        <f>BASE_EQUIPOS!A1851</f>
        <v/>
      </c>
      <c r="C1851">
        <f>BASE_EQUIPOS!B1851</f>
        <v/>
      </c>
      <c r="D1851">
        <f>BASE_EQUIPOS!D1851</f>
        <v/>
      </c>
      <c r="E1851">
        <f>BASE_EQUIPOS!G1851</f>
        <v/>
      </c>
      <c r="F1851">
        <f>BASE_EQUIPOS!H1851</f>
        <v/>
      </c>
      <c r="G1851">
        <f>BASE_EQUIPOS!M1851</f>
        <v/>
      </c>
      <c r="I1851" t="inlineStr">
        <is>
          <t>02/264713</t>
        </is>
      </c>
    </row>
    <row r="1852">
      <c r="A1852">
        <f>TRIM(BASE_EQUIPOS!N1852)</f>
        <v/>
      </c>
      <c r="B1852">
        <f>BASE_EQUIPOS!A1852</f>
        <v/>
      </c>
      <c r="C1852">
        <f>BASE_EQUIPOS!B1852</f>
        <v/>
      </c>
      <c r="D1852">
        <f>BASE_EQUIPOS!D1852</f>
        <v/>
      </c>
      <c r="E1852">
        <f>BASE_EQUIPOS!G1852</f>
        <v/>
      </c>
      <c r="F1852">
        <f>BASE_EQUIPOS!H1852</f>
        <v/>
      </c>
      <c r="G1852">
        <f>BASE_EQUIPOS!M1852</f>
        <v/>
      </c>
      <c r="I1852" t="inlineStr">
        <is>
          <t>03/264709</t>
        </is>
      </c>
    </row>
    <row r="1853">
      <c r="A1853">
        <f>TRIM(BASE_EQUIPOS!N1853)</f>
        <v/>
      </c>
      <c r="B1853">
        <f>BASE_EQUIPOS!A1853</f>
        <v/>
      </c>
      <c r="C1853">
        <f>BASE_EQUIPOS!B1853</f>
        <v/>
      </c>
      <c r="D1853">
        <f>BASE_EQUIPOS!D1853</f>
        <v/>
      </c>
      <c r="E1853">
        <f>BASE_EQUIPOS!G1853</f>
        <v/>
      </c>
      <c r="F1853">
        <f>BASE_EQUIPOS!H1853</f>
        <v/>
      </c>
      <c r="G1853">
        <f>BASE_EQUIPOS!M1853</f>
        <v/>
      </c>
      <c r="I1853" t="inlineStr">
        <is>
          <t>04/264704</t>
        </is>
      </c>
    </row>
    <row r="1854">
      <c r="A1854">
        <f>TRIM(BASE_EQUIPOS!N1854)</f>
        <v/>
      </c>
      <c r="B1854">
        <f>BASE_EQUIPOS!A1854</f>
        <v/>
      </c>
      <c r="C1854">
        <f>BASE_EQUIPOS!B1854</f>
        <v/>
      </c>
      <c r="D1854">
        <f>BASE_EQUIPOS!D1854</f>
        <v/>
      </c>
      <c r="E1854">
        <f>BASE_EQUIPOS!G1854</f>
        <v/>
      </c>
      <c r="F1854">
        <f>BASE_EQUIPOS!H1854</f>
        <v/>
      </c>
      <c r="G1854">
        <f>BASE_EQUIPOS!M1854</f>
        <v/>
      </c>
      <c r="I1854" t="inlineStr">
        <is>
          <t>05/264707</t>
        </is>
      </c>
    </row>
    <row r="1855">
      <c r="A1855">
        <f>TRIM(BASE_EQUIPOS!N1855)</f>
        <v/>
      </c>
      <c r="B1855">
        <f>BASE_EQUIPOS!A1855</f>
        <v/>
      </c>
      <c r="C1855">
        <f>BASE_EQUIPOS!B1855</f>
        <v/>
      </c>
      <c r="D1855">
        <f>BASE_EQUIPOS!D1855</f>
        <v/>
      </c>
      <c r="E1855">
        <f>BASE_EQUIPOS!G1855</f>
        <v/>
      </c>
      <c r="F1855">
        <f>BASE_EQUIPOS!H1855</f>
        <v/>
      </c>
      <c r="G1855">
        <f>BASE_EQUIPOS!M1855</f>
        <v/>
      </c>
      <c r="I1855" t="inlineStr">
        <is>
          <t>06/I33850969</t>
        </is>
      </c>
    </row>
    <row r="1856">
      <c r="A1856">
        <f>TRIM(BASE_EQUIPOS!N1856)</f>
        <v/>
      </c>
      <c r="B1856">
        <f>BASE_EQUIPOS!A1856</f>
        <v/>
      </c>
      <c r="C1856">
        <f>BASE_EQUIPOS!B1856</f>
        <v/>
      </c>
      <c r="D1856">
        <f>BASE_EQUIPOS!D1856</f>
        <v/>
      </c>
      <c r="E1856">
        <f>BASE_EQUIPOS!G1856</f>
        <v/>
      </c>
      <c r="F1856">
        <f>BASE_EQUIPOS!H1856</f>
        <v/>
      </c>
      <c r="G1856">
        <f>BASE_EQUIPOS!M1856</f>
        <v/>
      </c>
      <c r="I1856" t="inlineStr">
        <is>
          <t>07/I35051451</t>
        </is>
      </c>
    </row>
    <row r="1857">
      <c r="A1857">
        <f>TRIM(BASE_EQUIPOS!N1857)</f>
        <v/>
      </c>
      <c r="B1857">
        <f>BASE_EQUIPOS!A1857</f>
        <v/>
      </c>
      <c r="C1857">
        <f>BASE_EQUIPOS!B1857</f>
        <v/>
      </c>
      <c r="D1857">
        <f>BASE_EQUIPOS!D1857</f>
        <v/>
      </c>
      <c r="E1857">
        <f>BASE_EQUIPOS!G1857</f>
        <v/>
      </c>
      <c r="F1857">
        <f>BASE_EQUIPOS!H1857</f>
        <v/>
      </c>
      <c r="G1857">
        <f>BASE_EQUIPOS!M1857</f>
        <v/>
      </c>
      <c r="I1857" t="inlineStr">
        <is>
          <t>08/I31051460</t>
        </is>
      </c>
    </row>
    <row r="1858">
      <c r="A1858">
        <f>TRIM(BASE_EQUIPOS!N1858)</f>
        <v/>
      </c>
      <c r="B1858">
        <f>BASE_EQUIPOS!A1858</f>
        <v/>
      </c>
      <c r="C1858">
        <f>BASE_EQUIPOS!B1858</f>
        <v/>
      </c>
      <c r="D1858">
        <f>BASE_EQUIPOS!D1858</f>
        <v/>
      </c>
      <c r="E1858">
        <f>BASE_EQUIPOS!G1858</f>
        <v/>
      </c>
      <c r="F1858">
        <f>BASE_EQUIPOS!H1858</f>
        <v/>
      </c>
      <c r="G1858">
        <f>BASE_EQUIPOS!M1858</f>
        <v/>
      </c>
      <c r="I1858" t="inlineStr">
        <is>
          <t>09/I33850962</t>
        </is>
      </c>
    </row>
    <row r="1859">
      <c r="A1859">
        <f>TRIM(BASE_EQUIPOS!N1859)</f>
        <v/>
      </c>
      <c r="B1859">
        <f>BASE_EQUIPOS!A1859</f>
        <v/>
      </c>
      <c r="C1859">
        <f>BASE_EQUIPOS!B1859</f>
        <v/>
      </c>
      <c r="D1859">
        <f>BASE_EQUIPOS!D1859</f>
        <v/>
      </c>
      <c r="E1859">
        <f>BASE_EQUIPOS!G1859</f>
        <v/>
      </c>
      <c r="F1859">
        <f>BASE_EQUIPOS!H1859</f>
        <v/>
      </c>
      <c r="G1859">
        <f>BASE_EQUIPOS!M1859</f>
        <v/>
      </c>
      <c r="I1859" t="inlineStr">
        <is>
          <t>10/I33850975</t>
        </is>
      </c>
    </row>
    <row r="1860">
      <c r="A1860">
        <f>TRIM(BASE_EQUIPOS!N1860)</f>
        <v/>
      </c>
      <c r="B1860">
        <f>BASE_EQUIPOS!A1860</f>
        <v/>
      </c>
      <c r="C1860">
        <f>BASE_EQUIPOS!B1860</f>
        <v/>
      </c>
      <c r="D1860">
        <f>BASE_EQUIPOS!D1860</f>
        <v/>
      </c>
      <c r="E1860">
        <f>BASE_EQUIPOS!G1860</f>
        <v/>
      </c>
      <c r="F1860">
        <f>BASE_EQUIPOS!H1860</f>
        <v/>
      </c>
      <c r="G1860">
        <f>BASE_EQUIPOS!M1860</f>
        <v/>
      </c>
      <c r="I1860" t="inlineStr">
        <is>
          <t>11/I33850979</t>
        </is>
      </c>
    </row>
    <row r="1861">
      <c r="A1861">
        <f>TRIM(BASE_EQUIPOS!N1861)</f>
        <v/>
      </c>
      <c r="B1861">
        <f>BASE_EQUIPOS!A1861</f>
        <v/>
      </c>
      <c r="C1861">
        <f>BASE_EQUIPOS!B1861</f>
        <v/>
      </c>
      <c r="D1861">
        <f>BASE_EQUIPOS!D1861</f>
        <v/>
      </c>
      <c r="E1861">
        <f>BASE_EQUIPOS!G1861</f>
        <v/>
      </c>
      <c r="F1861">
        <f>BASE_EQUIPOS!H1861</f>
        <v/>
      </c>
      <c r="G1861">
        <f>BASE_EQUIPOS!M1861</f>
        <v/>
      </c>
      <c r="I1861" t="inlineStr">
        <is>
          <t>12/I31051455</t>
        </is>
      </c>
    </row>
    <row r="1862">
      <c r="A1862">
        <f>TRIM(BASE_EQUIPOS!N1862)</f>
        <v/>
      </c>
      <c r="B1862">
        <f>BASE_EQUIPOS!A1862</f>
        <v/>
      </c>
      <c r="C1862">
        <f>BASE_EQUIPOS!B1862</f>
        <v/>
      </c>
      <c r="D1862">
        <f>BASE_EQUIPOS!D1862</f>
        <v/>
      </c>
      <c r="E1862">
        <f>BASE_EQUIPOS!G1862</f>
        <v/>
      </c>
      <c r="F1862">
        <f>BASE_EQUIPOS!H1862</f>
        <v/>
      </c>
      <c r="G1862">
        <f>BASE_EQUIPOS!M1862</f>
        <v/>
      </c>
      <c r="I1862" t="inlineStr">
        <is>
          <t>1/001360</t>
        </is>
      </c>
    </row>
    <row r="1863">
      <c r="A1863">
        <f>TRIM(BASE_EQUIPOS!N1863)</f>
        <v/>
      </c>
      <c r="B1863">
        <f>BASE_EQUIPOS!A1863</f>
        <v/>
      </c>
      <c r="C1863">
        <f>BASE_EQUIPOS!B1863</f>
        <v/>
      </c>
      <c r="D1863">
        <f>BASE_EQUIPOS!D1863</f>
        <v/>
      </c>
      <c r="E1863">
        <f>BASE_EQUIPOS!G1863</f>
        <v/>
      </c>
      <c r="F1863">
        <f>BASE_EQUIPOS!H1863</f>
        <v/>
      </c>
      <c r="G1863">
        <f>BASE_EQUIPOS!M1863</f>
        <v/>
      </c>
      <c r="I1863" t="inlineStr">
        <is>
          <t>307181</t>
        </is>
      </c>
    </row>
    <row r="1864">
      <c r="A1864">
        <f>TRIM(BASE_EQUIPOS!N1864)</f>
        <v/>
      </c>
      <c r="B1864">
        <f>BASE_EQUIPOS!A1864</f>
        <v/>
      </c>
      <c r="C1864">
        <f>BASE_EQUIPOS!B1864</f>
        <v/>
      </c>
      <c r="D1864">
        <f>BASE_EQUIPOS!D1864</f>
        <v/>
      </c>
      <c r="E1864">
        <f>BASE_EQUIPOS!G1864</f>
        <v/>
      </c>
      <c r="F1864">
        <f>BASE_EQUIPOS!H1864</f>
        <v/>
      </c>
      <c r="G1864">
        <f>BASE_EQUIPOS!M1864</f>
        <v/>
      </c>
      <c r="I1864" t="inlineStr">
        <is>
          <t>206973</t>
        </is>
      </c>
    </row>
    <row r="1865">
      <c r="A1865">
        <f>TRIM(BASE_EQUIPOS!N1865)</f>
        <v/>
      </c>
      <c r="B1865">
        <f>BASE_EQUIPOS!A1865</f>
        <v/>
      </c>
      <c r="C1865">
        <f>BASE_EQUIPOS!B1865</f>
        <v/>
      </c>
      <c r="D1865">
        <f>BASE_EQUIPOS!D1865</f>
        <v/>
      </c>
      <c r="E1865">
        <f>BASE_EQUIPOS!G1865</f>
        <v/>
      </c>
      <c r="F1865">
        <f>BASE_EQUIPOS!H1865</f>
        <v/>
      </c>
      <c r="G1865">
        <f>BASE_EQUIPOS!M1865</f>
        <v/>
      </c>
      <c r="I1865" t="inlineStr">
        <is>
          <t>003390</t>
        </is>
      </c>
    </row>
    <row r="1866">
      <c r="A1866">
        <f>TRIM(BASE_EQUIPOS!N1866)</f>
        <v/>
      </c>
      <c r="B1866">
        <f>BASE_EQUIPOS!A1866</f>
        <v/>
      </c>
      <c r="C1866">
        <f>BASE_EQUIPOS!B1866</f>
        <v/>
      </c>
      <c r="D1866">
        <f>BASE_EQUIPOS!D1866</f>
        <v/>
      </c>
      <c r="E1866">
        <f>BASE_EQUIPOS!G1866</f>
        <v/>
      </c>
      <c r="F1866">
        <f>BASE_EQUIPOS!H1866</f>
        <v/>
      </c>
      <c r="G1866">
        <f>BASE_EQUIPOS!M1866</f>
        <v/>
      </c>
      <c r="I1866" t="inlineStr">
        <is>
          <t>000628</t>
        </is>
      </c>
    </row>
    <row r="1867">
      <c r="A1867">
        <f>TRIM(BASE_EQUIPOS!N1867)</f>
        <v/>
      </c>
      <c r="B1867">
        <f>BASE_EQUIPOS!A1867</f>
        <v/>
      </c>
      <c r="C1867">
        <f>BASE_EQUIPOS!B1867</f>
        <v/>
      </c>
      <c r="D1867">
        <f>BASE_EQUIPOS!D1867</f>
        <v/>
      </c>
      <c r="E1867">
        <f>BASE_EQUIPOS!G1867</f>
        <v/>
      </c>
      <c r="F1867">
        <f>BASE_EQUIPOS!H1867</f>
        <v/>
      </c>
      <c r="G1867">
        <f>BASE_EQUIPOS!M1867</f>
        <v/>
      </c>
      <c r="I1867" t="inlineStr">
        <is>
          <t>01/W810176</t>
        </is>
      </c>
    </row>
    <row r="1868">
      <c r="A1868">
        <f>TRIM(BASE_EQUIPOS!N1868)</f>
        <v/>
      </c>
      <c r="B1868">
        <f>BASE_EQUIPOS!A1868</f>
        <v/>
      </c>
      <c r="C1868">
        <f>BASE_EQUIPOS!B1868</f>
        <v/>
      </c>
      <c r="D1868">
        <f>BASE_EQUIPOS!D1868</f>
        <v/>
      </c>
      <c r="E1868">
        <f>BASE_EQUIPOS!G1868</f>
        <v/>
      </c>
      <c r="F1868">
        <f>BASE_EQUIPOS!H1868</f>
        <v/>
      </c>
      <c r="G1868">
        <f>BASE_EQUIPOS!M1868</f>
        <v/>
      </c>
      <c r="I1868" t="inlineStr">
        <is>
          <t>02/AT334752</t>
        </is>
      </c>
    </row>
    <row r="1869">
      <c r="A1869">
        <f>TRIM(BASE_EQUIPOS!N1869)</f>
        <v/>
      </c>
      <c r="B1869">
        <f>BASE_EQUIPOS!A1869</f>
        <v/>
      </c>
      <c r="C1869">
        <f>BASE_EQUIPOS!B1869</f>
        <v/>
      </c>
      <c r="D1869">
        <f>BASE_EQUIPOS!D1869</f>
        <v/>
      </c>
      <c r="E1869">
        <f>BASE_EQUIPOS!G1869</f>
        <v/>
      </c>
      <c r="F1869">
        <f>BASE_EQUIPOS!H1869</f>
        <v/>
      </c>
      <c r="G1869">
        <f>BASE_EQUIPOS!M1869</f>
        <v/>
      </c>
      <c r="I1869" t="inlineStr">
        <is>
          <t>03/S/N</t>
        </is>
      </c>
    </row>
    <row r="1870">
      <c r="A1870">
        <f>TRIM(BASE_EQUIPOS!N1870)</f>
        <v/>
      </c>
      <c r="B1870">
        <f>BASE_EQUIPOS!A1870</f>
        <v/>
      </c>
      <c r="C1870">
        <f>BASE_EQUIPOS!B1870</f>
        <v/>
      </c>
      <c r="D1870">
        <f>BASE_EQUIPOS!D1870</f>
        <v/>
      </c>
      <c r="E1870">
        <f>BASE_EQUIPOS!G1870</f>
        <v/>
      </c>
      <c r="F1870">
        <f>BASE_EQUIPOS!H1870</f>
        <v/>
      </c>
      <c r="G1870">
        <f>BASE_EQUIPOS!M1870</f>
        <v/>
      </c>
      <c r="I1870" t="inlineStr">
        <is>
          <t>04/000569</t>
        </is>
      </c>
    </row>
    <row r="1871">
      <c r="A1871">
        <f>TRIM(BASE_EQUIPOS!N1871)</f>
        <v/>
      </c>
      <c r="B1871">
        <f>BASE_EQUIPOS!A1871</f>
        <v/>
      </c>
      <c r="C1871">
        <f>BASE_EQUIPOS!B1871</f>
        <v/>
      </c>
      <c r="D1871">
        <f>BASE_EQUIPOS!D1871</f>
        <v/>
      </c>
      <c r="E1871">
        <f>BASE_EQUIPOS!G1871</f>
        <v/>
      </c>
      <c r="F1871">
        <f>BASE_EQUIPOS!H1871</f>
        <v/>
      </c>
      <c r="G1871">
        <f>BASE_EQUIPOS!M1871</f>
        <v/>
      </c>
      <c r="I1871" t="inlineStr">
        <is>
          <t>05/000359</t>
        </is>
      </c>
    </row>
    <row r="1872">
      <c r="A1872">
        <f>TRIM(BASE_EQUIPOS!N1872)</f>
        <v/>
      </c>
      <c r="B1872">
        <f>BASE_EQUIPOS!A1872</f>
        <v/>
      </c>
      <c r="C1872">
        <f>BASE_EQUIPOS!B1872</f>
        <v/>
      </c>
      <c r="D1872">
        <f>BASE_EQUIPOS!D1872</f>
        <v/>
      </c>
      <c r="E1872">
        <f>BASE_EQUIPOS!G1872</f>
        <v/>
      </c>
      <c r="F1872">
        <f>BASE_EQUIPOS!H1872</f>
        <v/>
      </c>
      <c r="G1872">
        <f>BASE_EQUIPOS!M1872</f>
        <v/>
      </c>
      <c r="I1872" t="inlineStr">
        <is>
          <t>S/N/A34185533</t>
        </is>
      </c>
    </row>
    <row r="1873">
      <c r="A1873">
        <f>TRIM(BASE_EQUIPOS!N1873)</f>
        <v/>
      </c>
      <c r="B1873">
        <f>BASE_EQUIPOS!A1873</f>
        <v/>
      </c>
      <c r="C1873">
        <f>BASE_EQUIPOS!B1873</f>
        <v/>
      </c>
      <c r="D1873">
        <f>BASE_EQUIPOS!D1873</f>
        <v/>
      </c>
      <c r="E1873">
        <f>BASE_EQUIPOS!G1873</f>
        <v/>
      </c>
      <c r="F1873">
        <f>BASE_EQUIPOS!H1873</f>
        <v/>
      </c>
      <c r="G1873">
        <f>BASE_EQUIPOS!M1873</f>
        <v/>
      </c>
      <c r="I1873" t="inlineStr">
        <is>
          <t>S/N/A34185548</t>
        </is>
      </c>
    </row>
    <row r="1874">
      <c r="A1874">
        <f>TRIM(BASE_EQUIPOS!N1874)</f>
        <v/>
      </c>
      <c r="B1874">
        <f>BASE_EQUIPOS!A1874</f>
        <v/>
      </c>
      <c r="C1874">
        <f>BASE_EQUIPOS!B1874</f>
        <v/>
      </c>
      <c r="D1874">
        <f>BASE_EQUIPOS!D1874</f>
        <v/>
      </c>
      <c r="E1874">
        <f>BASE_EQUIPOS!G1874</f>
        <v/>
      </c>
      <c r="F1874">
        <f>BASE_EQUIPOS!H1874</f>
        <v/>
      </c>
      <c r="G1874">
        <f>BASE_EQUIPOS!M1874</f>
        <v/>
      </c>
      <c r="I1874" t="inlineStr">
        <is>
          <t>26/ S/N</t>
        </is>
      </c>
    </row>
    <row r="1875">
      <c r="A1875">
        <f>TRIM(BASE_EQUIPOS!N1875)</f>
        <v/>
      </c>
      <c r="B1875">
        <f>BASE_EQUIPOS!A1875</f>
        <v/>
      </c>
      <c r="C1875">
        <f>BASE_EQUIPOS!B1875</f>
        <v/>
      </c>
      <c r="D1875">
        <f>BASE_EQUIPOS!D1875</f>
        <v/>
      </c>
      <c r="E1875">
        <f>BASE_EQUIPOS!G1875</f>
        <v/>
      </c>
      <c r="F1875">
        <f>BASE_EQUIPOS!H1875</f>
        <v/>
      </c>
      <c r="G1875">
        <f>BASE_EQUIPOS!M1875</f>
        <v/>
      </c>
      <c r="I1875" t="inlineStr">
        <is>
          <t>01/A34185530</t>
        </is>
      </c>
    </row>
    <row r="1876">
      <c r="A1876">
        <f>TRIM(BASE_EQUIPOS!N1876)</f>
        <v/>
      </c>
      <c r="B1876">
        <f>BASE_EQUIPOS!A1876</f>
        <v/>
      </c>
      <c r="C1876">
        <f>BASE_EQUIPOS!B1876</f>
        <v/>
      </c>
      <c r="D1876">
        <f>BASE_EQUIPOS!D1876</f>
        <v/>
      </c>
      <c r="E1876">
        <f>BASE_EQUIPOS!G1876</f>
        <v/>
      </c>
      <c r="F1876">
        <f>BASE_EQUIPOS!H1876</f>
        <v/>
      </c>
      <c r="G1876">
        <f>BASE_EQUIPOS!M1876</f>
        <v/>
      </c>
      <c r="I1876" t="inlineStr">
        <is>
          <t>01/XK 338113</t>
        </is>
      </c>
    </row>
    <row r="1877">
      <c r="A1877">
        <f>TRIM(BASE_EQUIPOS!N1877)</f>
        <v/>
      </c>
      <c r="B1877">
        <f>BASE_EQUIPOS!A1877</f>
        <v/>
      </c>
      <c r="C1877">
        <f>BASE_EQUIPOS!B1877</f>
        <v/>
      </c>
      <c r="D1877">
        <f>BASE_EQUIPOS!D1877</f>
        <v/>
      </c>
      <c r="E1877">
        <f>BASE_EQUIPOS!G1877</f>
        <v/>
      </c>
      <c r="F1877">
        <f>BASE_EQUIPOS!H1877</f>
        <v/>
      </c>
      <c r="G1877">
        <f>BASE_EQUIPOS!M1877</f>
        <v/>
      </c>
      <c r="I1877" t="inlineStr">
        <is>
          <t>01/AT-334724</t>
        </is>
      </c>
    </row>
    <row r="1878">
      <c r="A1878">
        <f>TRIM(BASE_EQUIPOS!N1878)</f>
        <v/>
      </c>
      <c r="B1878">
        <f>BASE_EQUIPOS!A1878</f>
        <v/>
      </c>
      <c r="C1878">
        <f>BASE_EQUIPOS!B1878</f>
        <v/>
      </c>
      <c r="D1878">
        <f>BASE_EQUIPOS!D1878</f>
        <v/>
      </c>
      <c r="E1878">
        <f>BASE_EQUIPOS!G1878</f>
        <v/>
      </c>
      <c r="F1878">
        <f>BASE_EQUIPOS!H1878</f>
        <v/>
      </c>
      <c r="G1878">
        <f>BASE_EQUIPOS!M1878</f>
        <v/>
      </c>
      <c r="I1878" t="inlineStr">
        <is>
          <t>02/W-807078</t>
        </is>
      </c>
    </row>
    <row r="1879">
      <c r="A1879">
        <f>TRIM(BASE_EQUIPOS!N1879)</f>
        <v/>
      </c>
      <c r="B1879">
        <f>BASE_EQUIPOS!A1879</f>
        <v/>
      </c>
      <c r="C1879">
        <f>BASE_EQUIPOS!B1879</f>
        <v/>
      </c>
      <c r="D1879">
        <f>BASE_EQUIPOS!D1879</f>
        <v/>
      </c>
      <c r="E1879">
        <f>BASE_EQUIPOS!G1879</f>
        <v/>
      </c>
      <c r="F1879">
        <f>BASE_EQUIPOS!H1879</f>
        <v/>
      </c>
      <c r="G1879">
        <f>BASE_EQUIPOS!M1879</f>
        <v/>
      </c>
      <c r="I1879" t="inlineStr">
        <is>
          <t>03/AT-338410</t>
        </is>
      </c>
    </row>
    <row r="1880">
      <c r="A1880">
        <f>TRIM(BASE_EQUIPOS!N1880)</f>
        <v/>
      </c>
      <c r="B1880">
        <f>BASE_EQUIPOS!A1880</f>
        <v/>
      </c>
      <c r="C1880">
        <f>BASE_EQUIPOS!B1880</f>
        <v/>
      </c>
      <c r="D1880">
        <f>BASE_EQUIPOS!D1880</f>
        <v/>
      </c>
      <c r="E1880">
        <f>BASE_EQUIPOS!G1880</f>
        <v/>
      </c>
      <c r="F1880">
        <f>BASE_EQUIPOS!H1880</f>
        <v/>
      </c>
      <c r="G1880">
        <f>BASE_EQUIPOS!M1880</f>
        <v/>
      </c>
      <c r="I1880" t="inlineStr">
        <is>
          <t>04/W-642318</t>
        </is>
      </c>
    </row>
    <row r="1881">
      <c r="A1881">
        <f>TRIM(BASE_EQUIPOS!N1881)</f>
        <v/>
      </c>
      <c r="B1881">
        <f>BASE_EQUIPOS!A1881</f>
        <v/>
      </c>
      <c r="C1881">
        <f>BASE_EQUIPOS!B1881</f>
        <v/>
      </c>
      <c r="D1881">
        <f>BASE_EQUIPOS!D1881</f>
        <v/>
      </c>
      <c r="E1881">
        <f>BASE_EQUIPOS!G1881</f>
        <v/>
      </c>
      <c r="F1881">
        <f>BASE_EQUIPOS!H1881</f>
        <v/>
      </c>
      <c r="G1881">
        <f>BASE_EQUIPOS!M1881</f>
        <v/>
      </c>
      <c r="I1881" t="inlineStr">
        <is>
          <t>5/Y-377928</t>
        </is>
      </c>
    </row>
    <row r="1882">
      <c r="A1882">
        <f>TRIM(BASE_EQUIPOS!N1882)</f>
        <v/>
      </c>
      <c r="B1882">
        <f>BASE_EQUIPOS!A1882</f>
        <v/>
      </c>
      <c r="C1882">
        <f>BASE_EQUIPOS!B1882</f>
        <v/>
      </c>
      <c r="D1882">
        <f>BASE_EQUIPOS!D1882</f>
        <v/>
      </c>
      <c r="E1882">
        <f>BASE_EQUIPOS!G1882</f>
        <v/>
      </c>
      <c r="F1882">
        <f>BASE_EQUIPOS!H1882</f>
        <v/>
      </c>
      <c r="G1882">
        <f>BASE_EQUIPOS!M1882</f>
        <v/>
      </c>
      <c r="I1882" t="inlineStr">
        <is>
          <t>7/Y-378691</t>
        </is>
      </c>
    </row>
    <row r="1883">
      <c r="A1883">
        <f>TRIM(BASE_EQUIPOS!N1883)</f>
        <v/>
      </c>
      <c r="B1883">
        <f>BASE_EQUIPOS!A1883</f>
        <v/>
      </c>
      <c r="C1883">
        <f>BASE_EQUIPOS!B1883</f>
        <v/>
      </c>
      <c r="D1883">
        <f>BASE_EQUIPOS!D1883</f>
        <v/>
      </c>
      <c r="E1883">
        <f>BASE_EQUIPOS!G1883</f>
        <v/>
      </c>
      <c r="F1883">
        <f>BASE_EQUIPOS!H1883</f>
        <v/>
      </c>
      <c r="G1883">
        <f>BASE_EQUIPOS!M1883</f>
        <v/>
      </c>
      <c r="I1883" t="inlineStr">
        <is>
          <t>8/Y-377903</t>
        </is>
      </c>
    </row>
    <row r="1884">
      <c r="A1884">
        <f>TRIM(BASE_EQUIPOS!N1884)</f>
        <v/>
      </c>
      <c r="B1884">
        <f>BASE_EQUIPOS!A1884</f>
        <v/>
      </c>
      <c r="C1884">
        <f>BASE_EQUIPOS!B1884</f>
        <v/>
      </c>
      <c r="D1884">
        <f>BASE_EQUIPOS!D1884</f>
        <v/>
      </c>
      <c r="E1884">
        <f>BASE_EQUIPOS!G1884</f>
        <v/>
      </c>
      <c r="F1884">
        <f>BASE_EQUIPOS!H1884</f>
        <v/>
      </c>
      <c r="G1884">
        <f>BASE_EQUIPOS!M1884</f>
        <v/>
      </c>
      <c r="I1884" t="inlineStr">
        <is>
          <t>01/V794221</t>
        </is>
      </c>
    </row>
    <row r="1885">
      <c r="A1885">
        <f>TRIM(BASE_EQUIPOS!N1885)</f>
        <v/>
      </c>
      <c r="B1885">
        <f>BASE_EQUIPOS!A1885</f>
        <v/>
      </c>
      <c r="C1885">
        <f>BASE_EQUIPOS!B1885</f>
        <v/>
      </c>
      <c r="D1885">
        <f>BASE_EQUIPOS!D1885</f>
        <v/>
      </c>
      <c r="E1885">
        <f>BASE_EQUIPOS!G1885</f>
        <v/>
      </c>
      <c r="F1885">
        <f>BASE_EQUIPOS!H1885</f>
        <v/>
      </c>
      <c r="G1885">
        <f>BASE_EQUIPOS!M1885</f>
        <v/>
      </c>
      <c r="I1885" t="inlineStr">
        <is>
          <t>02/AA719114</t>
        </is>
      </c>
    </row>
    <row r="1886">
      <c r="A1886">
        <f>TRIM(BASE_EQUIPOS!N1886)</f>
        <v/>
      </c>
      <c r="B1886">
        <f>BASE_EQUIPOS!A1886</f>
        <v/>
      </c>
      <c r="C1886">
        <f>BASE_EQUIPOS!B1886</f>
        <v/>
      </c>
      <c r="D1886">
        <f>BASE_EQUIPOS!D1886</f>
        <v/>
      </c>
      <c r="E1886">
        <f>BASE_EQUIPOS!G1886</f>
        <v/>
      </c>
      <c r="F1886">
        <f>BASE_EQUIPOS!H1886</f>
        <v/>
      </c>
      <c r="G1886">
        <f>BASE_EQUIPOS!M1886</f>
        <v/>
      </c>
      <c r="I1886" t="inlineStr">
        <is>
          <t>04/AA795681</t>
        </is>
      </c>
    </row>
    <row r="1887">
      <c r="A1887">
        <f>TRIM(BASE_EQUIPOS!N1887)</f>
        <v/>
      </c>
      <c r="B1887">
        <f>BASE_EQUIPOS!A1887</f>
        <v/>
      </c>
      <c r="C1887">
        <f>BASE_EQUIPOS!B1887</f>
        <v/>
      </c>
      <c r="D1887">
        <f>BASE_EQUIPOS!D1887</f>
        <v/>
      </c>
      <c r="E1887">
        <f>BASE_EQUIPOS!G1887</f>
        <v/>
      </c>
      <c r="F1887">
        <f>BASE_EQUIPOS!H1887</f>
        <v/>
      </c>
      <c r="G1887">
        <f>BASE_EQUIPOS!M1887</f>
        <v/>
      </c>
      <c r="I1887" t="inlineStr">
        <is>
          <t>05/AA719103</t>
        </is>
      </c>
    </row>
    <row r="1888">
      <c r="A1888">
        <f>TRIM(BASE_EQUIPOS!N1888)</f>
        <v/>
      </c>
      <c r="B1888">
        <f>BASE_EQUIPOS!A1888</f>
        <v/>
      </c>
      <c r="C1888">
        <f>BASE_EQUIPOS!B1888</f>
        <v/>
      </c>
      <c r="D1888">
        <f>BASE_EQUIPOS!D1888</f>
        <v/>
      </c>
      <c r="E1888">
        <f>BASE_EQUIPOS!G1888</f>
        <v/>
      </c>
      <c r="F1888">
        <f>BASE_EQUIPOS!H1888</f>
        <v/>
      </c>
      <c r="G1888">
        <f>BASE_EQUIPOS!M1888</f>
        <v/>
      </c>
      <c r="I1888" t="inlineStr">
        <is>
          <t>07/BR572303</t>
        </is>
      </c>
    </row>
    <row r="1889">
      <c r="A1889">
        <f>TRIM(BASE_EQUIPOS!N1889)</f>
        <v/>
      </c>
      <c r="B1889">
        <f>BASE_EQUIPOS!A1889</f>
        <v/>
      </c>
      <c r="C1889">
        <f>BASE_EQUIPOS!B1889</f>
        <v/>
      </c>
      <c r="D1889">
        <f>BASE_EQUIPOS!D1889</f>
        <v/>
      </c>
      <c r="E1889">
        <f>BASE_EQUIPOS!G1889</f>
        <v/>
      </c>
      <c r="F1889">
        <f>BASE_EQUIPOS!H1889</f>
        <v/>
      </c>
      <c r="G1889">
        <f>BASE_EQUIPOS!M1889</f>
        <v/>
      </c>
      <c r="I1889" t="inlineStr">
        <is>
          <t>08/XC264292</t>
        </is>
      </c>
    </row>
    <row r="1890">
      <c r="A1890">
        <f>TRIM(BASE_EQUIPOS!N1890)</f>
        <v/>
      </c>
      <c r="B1890">
        <f>BASE_EQUIPOS!A1890</f>
        <v/>
      </c>
      <c r="C1890">
        <f>BASE_EQUIPOS!B1890</f>
        <v/>
      </c>
      <c r="D1890">
        <f>BASE_EQUIPOS!D1890</f>
        <v/>
      </c>
      <c r="E1890">
        <f>BASE_EQUIPOS!G1890</f>
        <v/>
      </c>
      <c r="F1890">
        <f>BASE_EQUIPOS!H1890</f>
        <v/>
      </c>
      <c r="G1890">
        <f>BASE_EQUIPOS!M1890</f>
        <v/>
      </c>
      <c r="I1890" t="inlineStr">
        <is>
          <t>09/XC264363</t>
        </is>
      </c>
    </row>
    <row r="1891">
      <c r="A1891">
        <f>TRIM(BASE_EQUIPOS!N1891)</f>
        <v/>
      </c>
      <c r="B1891">
        <f>BASE_EQUIPOS!A1891</f>
        <v/>
      </c>
      <c r="C1891">
        <f>BASE_EQUIPOS!B1891</f>
        <v/>
      </c>
      <c r="D1891">
        <f>BASE_EQUIPOS!D1891</f>
        <v/>
      </c>
      <c r="E1891">
        <f>BASE_EQUIPOS!G1891</f>
        <v/>
      </c>
      <c r="F1891">
        <f>BASE_EQUIPOS!H1891</f>
        <v/>
      </c>
      <c r="G1891">
        <f>BASE_EQUIPOS!M1891</f>
        <v/>
      </c>
      <c r="I1891" t="inlineStr">
        <is>
          <t>10/AA718368</t>
        </is>
      </c>
    </row>
    <row r="1892">
      <c r="A1892">
        <f>TRIM(BASE_EQUIPOS!N1892)</f>
        <v/>
      </c>
      <c r="B1892">
        <f>BASE_EQUIPOS!A1892</f>
        <v/>
      </c>
      <c r="C1892">
        <f>BASE_EQUIPOS!B1892</f>
        <v/>
      </c>
      <c r="D1892">
        <f>BASE_EQUIPOS!D1892</f>
        <v/>
      </c>
      <c r="E1892">
        <f>BASE_EQUIPOS!G1892</f>
        <v/>
      </c>
      <c r="F1892">
        <f>BASE_EQUIPOS!H1892</f>
        <v/>
      </c>
      <c r="G1892">
        <f>BASE_EQUIPOS!M1892</f>
        <v/>
      </c>
      <c r="I1892" t="inlineStr">
        <is>
          <t>11/AA718342</t>
        </is>
      </c>
    </row>
    <row r="1893">
      <c r="A1893">
        <f>TRIM(BASE_EQUIPOS!N1893)</f>
        <v/>
      </c>
      <c r="B1893">
        <f>BASE_EQUIPOS!A1893</f>
        <v/>
      </c>
      <c r="C1893">
        <f>BASE_EQUIPOS!B1893</f>
        <v/>
      </c>
      <c r="D1893">
        <f>BASE_EQUIPOS!D1893</f>
        <v/>
      </c>
      <c r="E1893">
        <f>BASE_EQUIPOS!G1893</f>
        <v/>
      </c>
      <c r="F1893">
        <f>BASE_EQUIPOS!H1893</f>
        <v/>
      </c>
      <c r="G1893">
        <f>BASE_EQUIPOS!M1893</f>
        <v/>
      </c>
      <c r="I1893" t="inlineStr">
        <is>
          <t>13/AA719127</t>
        </is>
      </c>
    </row>
    <row r="1894">
      <c r="A1894">
        <f>TRIM(BASE_EQUIPOS!N1894)</f>
        <v/>
      </c>
      <c r="B1894">
        <f>BASE_EQUIPOS!A1894</f>
        <v/>
      </c>
      <c r="C1894">
        <f>BASE_EQUIPOS!B1894</f>
        <v/>
      </c>
      <c r="D1894">
        <f>BASE_EQUIPOS!D1894</f>
        <v/>
      </c>
      <c r="E1894">
        <f>BASE_EQUIPOS!G1894</f>
        <v/>
      </c>
      <c r="F1894">
        <f>BASE_EQUIPOS!H1894</f>
        <v/>
      </c>
      <c r="G1894">
        <f>BASE_EQUIPOS!M1894</f>
        <v/>
      </c>
      <c r="I1894" t="inlineStr">
        <is>
          <t>14/BR572129</t>
        </is>
      </c>
    </row>
    <row r="1895">
      <c r="A1895">
        <f>TRIM(BASE_EQUIPOS!N1895)</f>
        <v/>
      </c>
      <c r="B1895">
        <f>BASE_EQUIPOS!A1895</f>
        <v/>
      </c>
      <c r="C1895">
        <f>BASE_EQUIPOS!B1895</f>
        <v/>
      </c>
      <c r="D1895">
        <f>BASE_EQUIPOS!D1895</f>
        <v/>
      </c>
      <c r="E1895">
        <f>BASE_EQUIPOS!G1895</f>
        <v/>
      </c>
      <c r="F1895">
        <f>BASE_EQUIPOS!H1895</f>
        <v/>
      </c>
      <c r="G1895">
        <f>BASE_EQUIPOS!M1895</f>
        <v/>
      </c>
      <c r="I1895" t="inlineStr">
        <is>
          <t>24/AA795694</t>
        </is>
      </c>
    </row>
    <row r="1896">
      <c r="A1896">
        <f>TRIM(BASE_EQUIPOS!N1896)</f>
        <v/>
      </c>
      <c r="B1896">
        <f>BASE_EQUIPOS!A1896</f>
        <v/>
      </c>
      <c r="C1896">
        <f>BASE_EQUIPOS!B1896</f>
        <v/>
      </c>
      <c r="D1896">
        <f>BASE_EQUIPOS!D1896</f>
        <v/>
      </c>
      <c r="E1896">
        <f>BASE_EQUIPOS!G1896</f>
        <v/>
      </c>
      <c r="F1896">
        <f>BASE_EQUIPOS!H1896</f>
        <v/>
      </c>
      <c r="G1896">
        <f>BASE_EQUIPOS!M1896</f>
        <v/>
      </c>
      <c r="I1896" t="inlineStr">
        <is>
          <t>54/BR574203</t>
        </is>
      </c>
    </row>
    <row r="1897">
      <c r="A1897">
        <f>TRIM(BASE_EQUIPOS!N1897)</f>
        <v/>
      </c>
      <c r="B1897">
        <f>BASE_EQUIPOS!A1897</f>
        <v/>
      </c>
      <c r="C1897">
        <f>BASE_EQUIPOS!B1897</f>
        <v/>
      </c>
      <c r="D1897">
        <f>BASE_EQUIPOS!D1897</f>
        <v/>
      </c>
      <c r="E1897">
        <f>BASE_EQUIPOS!G1897</f>
        <v/>
      </c>
      <c r="F1897">
        <f>BASE_EQUIPOS!H1897</f>
        <v/>
      </c>
      <c r="G1897">
        <f>BASE_EQUIPOS!M1897</f>
        <v/>
      </c>
      <c r="I1897" t="inlineStr">
        <is>
          <t>55/bh86043</t>
        </is>
      </c>
    </row>
    <row r="1898">
      <c r="A1898">
        <f>TRIM(BASE_EQUIPOS!N1898)</f>
        <v/>
      </c>
      <c r="B1898">
        <f>BASE_EQUIPOS!A1898</f>
        <v/>
      </c>
      <c r="C1898">
        <f>BASE_EQUIPOS!B1898</f>
        <v/>
      </c>
      <c r="D1898">
        <f>BASE_EQUIPOS!D1898</f>
        <v/>
      </c>
      <c r="E1898">
        <f>BASE_EQUIPOS!G1898</f>
        <v/>
      </c>
      <c r="F1898">
        <f>BASE_EQUIPOS!H1898</f>
        <v/>
      </c>
      <c r="G1898">
        <f>BASE_EQUIPOS!M1898</f>
        <v/>
      </c>
      <c r="I1898" t="inlineStr">
        <is>
          <t>58/XK338105</t>
        </is>
      </c>
    </row>
    <row r="1899">
      <c r="A1899">
        <f>TRIM(BASE_EQUIPOS!N1899)</f>
        <v/>
      </c>
      <c r="B1899">
        <f>BASE_EQUIPOS!A1899</f>
        <v/>
      </c>
      <c r="C1899">
        <f>BASE_EQUIPOS!B1899</f>
        <v/>
      </c>
      <c r="D1899">
        <f>BASE_EQUIPOS!D1899</f>
        <v/>
      </c>
      <c r="E1899">
        <f>BASE_EQUIPOS!G1899</f>
        <v/>
      </c>
      <c r="F1899">
        <f>BASE_EQUIPOS!H1899</f>
        <v/>
      </c>
      <c r="G1899">
        <f>BASE_EQUIPOS!M1899</f>
        <v/>
      </c>
      <c r="I1899" t="inlineStr">
        <is>
          <t>60/BR574232</t>
        </is>
      </c>
    </row>
    <row r="1900">
      <c r="A1900">
        <f>TRIM(BASE_EQUIPOS!N1900)</f>
        <v/>
      </c>
      <c r="B1900">
        <f>BASE_EQUIPOS!A1900</f>
        <v/>
      </c>
      <c r="C1900">
        <f>BASE_EQUIPOS!B1900</f>
        <v/>
      </c>
      <c r="D1900">
        <f>BASE_EQUIPOS!D1900</f>
        <v/>
      </c>
      <c r="E1900">
        <f>BASE_EQUIPOS!G1900</f>
        <v/>
      </c>
      <c r="F1900">
        <f>BASE_EQUIPOS!H1900</f>
        <v/>
      </c>
      <c r="G1900">
        <f>BASE_EQUIPOS!M1900</f>
        <v/>
      </c>
      <c r="I1900" t="inlineStr">
        <is>
          <t>61/XK338021</t>
        </is>
      </c>
    </row>
    <row r="1901">
      <c r="A1901">
        <f>TRIM(BASE_EQUIPOS!N1901)</f>
        <v/>
      </c>
      <c r="B1901">
        <f>BASE_EQUIPOS!A1901</f>
        <v/>
      </c>
      <c r="C1901">
        <f>BASE_EQUIPOS!B1901</f>
        <v/>
      </c>
      <c r="D1901">
        <f>BASE_EQUIPOS!D1901</f>
        <v/>
      </c>
      <c r="E1901">
        <f>BASE_EQUIPOS!G1901</f>
        <v/>
      </c>
      <c r="F1901">
        <f>BASE_EQUIPOS!H1901</f>
        <v/>
      </c>
      <c r="G1901">
        <f>BASE_EQUIPOS!M1901</f>
        <v/>
      </c>
      <c r="I1901" t="inlineStr">
        <is>
          <t>62/794219</t>
        </is>
      </c>
    </row>
    <row r="1902">
      <c r="A1902">
        <f>TRIM(BASE_EQUIPOS!N1902)</f>
        <v/>
      </c>
      <c r="B1902">
        <f>BASE_EQUIPOS!A1902</f>
        <v/>
      </c>
      <c r="C1902">
        <f>BASE_EQUIPOS!B1902</f>
        <v/>
      </c>
      <c r="D1902">
        <f>BASE_EQUIPOS!D1902</f>
        <v/>
      </c>
      <c r="E1902">
        <f>BASE_EQUIPOS!G1902</f>
        <v/>
      </c>
      <c r="F1902">
        <f>BASE_EQUIPOS!H1902</f>
        <v/>
      </c>
      <c r="G1902">
        <f>BASE_EQUIPOS!M1902</f>
        <v/>
      </c>
      <c r="I1902" t="inlineStr">
        <is>
          <t>63/BR574417</t>
        </is>
      </c>
    </row>
    <row r="1903">
      <c r="A1903">
        <f>TRIM(BASE_EQUIPOS!N1903)</f>
        <v/>
      </c>
      <c r="B1903">
        <f>BASE_EQUIPOS!A1903</f>
        <v/>
      </c>
      <c r="C1903">
        <f>BASE_EQUIPOS!B1903</f>
        <v/>
      </c>
      <c r="D1903">
        <f>BASE_EQUIPOS!D1903</f>
        <v/>
      </c>
      <c r="E1903">
        <f>BASE_EQUIPOS!G1903</f>
        <v/>
      </c>
      <c r="F1903">
        <f>BASE_EQUIPOS!H1903</f>
        <v/>
      </c>
      <c r="G1903">
        <f>BASE_EQUIPOS!M1903</f>
        <v/>
      </c>
      <c r="I1903" t="inlineStr">
        <is>
          <t>64/V794658</t>
        </is>
      </c>
    </row>
    <row r="1904">
      <c r="A1904">
        <f>TRIM(BASE_EQUIPOS!N1904)</f>
        <v/>
      </c>
      <c r="B1904">
        <f>BASE_EQUIPOS!A1904</f>
        <v/>
      </c>
      <c r="C1904">
        <f>BASE_EQUIPOS!B1904</f>
        <v/>
      </c>
      <c r="D1904">
        <f>BASE_EQUIPOS!D1904</f>
        <v/>
      </c>
      <c r="E1904">
        <f>BASE_EQUIPOS!G1904</f>
        <v/>
      </c>
      <c r="F1904">
        <f>BASE_EQUIPOS!H1904</f>
        <v/>
      </c>
      <c r="G1904">
        <f>BASE_EQUIPOS!M1904</f>
        <v/>
      </c>
      <c r="I1904" t="inlineStr">
        <is>
          <t>65/793623</t>
        </is>
      </c>
    </row>
    <row r="1905">
      <c r="A1905">
        <f>TRIM(BASE_EQUIPOS!N1905)</f>
        <v/>
      </c>
      <c r="B1905">
        <f>BASE_EQUIPOS!A1905</f>
        <v/>
      </c>
      <c r="C1905">
        <f>BASE_EQUIPOS!B1905</f>
        <v/>
      </c>
      <c r="D1905">
        <f>BASE_EQUIPOS!D1905</f>
        <v/>
      </c>
      <c r="E1905">
        <f>BASE_EQUIPOS!G1905</f>
        <v/>
      </c>
      <c r="F1905">
        <f>BASE_EQUIPOS!H1905</f>
        <v/>
      </c>
      <c r="G1905">
        <f>BASE_EQUIPOS!M1905</f>
        <v/>
      </c>
      <c r="I1905" t="inlineStr">
        <is>
          <t>66/BR574137</t>
        </is>
      </c>
    </row>
    <row r="1906">
      <c r="A1906">
        <f>TRIM(BASE_EQUIPOS!N1906)</f>
        <v/>
      </c>
      <c r="B1906">
        <f>BASE_EQUIPOS!A1906</f>
        <v/>
      </c>
      <c r="C1906">
        <f>BASE_EQUIPOS!B1906</f>
        <v/>
      </c>
      <c r="D1906">
        <f>BASE_EQUIPOS!D1906</f>
        <v/>
      </c>
      <c r="E1906">
        <f>BASE_EQUIPOS!G1906</f>
        <v/>
      </c>
      <c r="F1906">
        <f>BASE_EQUIPOS!H1906</f>
        <v/>
      </c>
      <c r="G1906">
        <f>BASE_EQUIPOS!M1906</f>
        <v/>
      </c>
      <c r="I1906" t="inlineStr">
        <is>
          <t>67/BR574135</t>
        </is>
      </c>
    </row>
    <row r="1907">
      <c r="A1907">
        <f>TRIM(BASE_EQUIPOS!N1907)</f>
        <v/>
      </c>
      <c r="B1907">
        <f>BASE_EQUIPOS!A1907</f>
        <v/>
      </c>
      <c r="C1907">
        <f>BASE_EQUIPOS!B1907</f>
        <v/>
      </c>
      <c r="D1907">
        <f>BASE_EQUIPOS!D1907</f>
        <v/>
      </c>
      <c r="E1907">
        <f>BASE_EQUIPOS!G1907</f>
        <v/>
      </c>
      <c r="F1907">
        <f>BASE_EQUIPOS!H1907</f>
        <v/>
      </c>
      <c r="G1907">
        <f>BASE_EQUIPOS!M1907</f>
        <v/>
      </c>
      <c r="I1907" t="inlineStr">
        <is>
          <t>68/BR574422</t>
        </is>
      </c>
    </row>
    <row r="1908">
      <c r="A1908">
        <f>TRIM(BASE_EQUIPOS!N1908)</f>
        <v/>
      </c>
      <c r="B1908">
        <f>BASE_EQUIPOS!A1908</f>
        <v/>
      </c>
      <c r="C1908">
        <f>BASE_EQUIPOS!B1908</f>
        <v/>
      </c>
      <c r="D1908">
        <f>BASE_EQUIPOS!D1908</f>
        <v/>
      </c>
      <c r="E1908">
        <f>BASE_EQUIPOS!G1908</f>
        <v/>
      </c>
      <c r="F1908">
        <f>BASE_EQUIPOS!H1908</f>
        <v/>
      </c>
      <c r="G1908">
        <f>BASE_EQUIPOS!M1908</f>
        <v/>
      </c>
      <c r="I1908" t="inlineStr">
        <is>
          <t>25/AA719126</t>
        </is>
      </c>
    </row>
    <row r="1909">
      <c r="A1909">
        <f>TRIM(BASE_EQUIPOS!N1909)</f>
        <v/>
      </c>
      <c r="B1909">
        <f>BASE_EQUIPOS!A1909</f>
        <v/>
      </c>
      <c r="C1909">
        <f>BASE_EQUIPOS!B1909</f>
        <v/>
      </c>
      <c r="D1909">
        <f>BASE_EQUIPOS!D1909</f>
        <v/>
      </c>
      <c r="E1909">
        <f>BASE_EQUIPOS!G1909</f>
        <v/>
      </c>
      <c r="F1909">
        <f>BASE_EQUIPOS!H1909</f>
        <v/>
      </c>
      <c r="G1909">
        <f>BASE_EQUIPOS!M1909</f>
        <v/>
      </c>
      <c r="I1909" t="inlineStr">
        <is>
          <t>26/BR574215</t>
        </is>
      </c>
    </row>
    <row r="1910">
      <c r="A1910">
        <f>TRIM(BASE_EQUIPOS!N1910)</f>
        <v/>
      </c>
      <c r="B1910">
        <f>BASE_EQUIPOS!A1910</f>
        <v/>
      </c>
      <c r="C1910">
        <f>BASE_EQUIPOS!B1910</f>
        <v/>
      </c>
      <c r="D1910">
        <f>BASE_EQUIPOS!D1910</f>
        <v/>
      </c>
      <c r="E1910">
        <f>BASE_EQUIPOS!G1910</f>
        <v/>
      </c>
      <c r="F1910">
        <f>BASE_EQUIPOS!H1910</f>
        <v/>
      </c>
      <c r="G1910">
        <f>BASE_EQUIPOS!M1910</f>
        <v/>
      </c>
      <c r="I1910" t="inlineStr">
        <is>
          <t>37/BR574416</t>
        </is>
      </c>
    </row>
    <row r="1911">
      <c r="A1911">
        <f>TRIM(BASE_EQUIPOS!N1911)</f>
        <v/>
      </c>
      <c r="B1911">
        <f>BASE_EQUIPOS!A1911</f>
        <v/>
      </c>
      <c r="C1911">
        <f>BASE_EQUIPOS!B1911</f>
        <v/>
      </c>
      <c r="D1911">
        <f>BASE_EQUIPOS!D1911</f>
        <v/>
      </c>
      <c r="E1911">
        <f>BASE_EQUIPOS!G1911</f>
        <v/>
      </c>
      <c r="F1911">
        <f>BASE_EQUIPOS!H1911</f>
        <v/>
      </c>
      <c r="G1911">
        <f>BASE_EQUIPOS!M1911</f>
        <v/>
      </c>
      <c r="I1911" t="inlineStr">
        <is>
          <t>72/BR574148</t>
        </is>
      </c>
    </row>
    <row r="1912">
      <c r="A1912">
        <f>TRIM(BASE_EQUIPOS!N1912)</f>
        <v/>
      </c>
      <c r="B1912">
        <f>BASE_EQUIPOS!A1912</f>
        <v/>
      </c>
      <c r="C1912">
        <f>BASE_EQUIPOS!B1912</f>
        <v/>
      </c>
      <c r="D1912">
        <f>BASE_EQUIPOS!D1912</f>
        <v/>
      </c>
      <c r="E1912">
        <f>BASE_EQUIPOS!G1912</f>
        <v/>
      </c>
      <c r="F1912">
        <f>BASE_EQUIPOS!H1912</f>
        <v/>
      </c>
      <c r="G1912">
        <f>BASE_EQUIPOS!M1912</f>
        <v/>
      </c>
      <c r="I1912" t="inlineStr">
        <is>
          <t>73/BH86049</t>
        </is>
      </c>
    </row>
    <row r="1913">
      <c r="A1913">
        <f>TRIM(BASE_EQUIPOS!N1913)</f>
        <v/>
      </c>
      <c r="B1913">
        <f>BASE_EQUIPOS!A1913</f>
        <v/>
      </c>
      <c r="C1913">
        <f>BASE_EQUIPOS!B1913</f>
        <v/>
      </c>
      <c r="D1913">
        <f>BASE_EQUIPOS!D1913</f>
        <v/>
      </c>
      <c r="E1913">
        <f>BASE_EQUIPOS!G1913</f>
        <v/>
      </c>
      <c r="F1913">
        <f>BASE_EQUIPOS!H1913</f>
        <v/>
      </c>
      <c r="G1913">
        <f>BASE_EQUIPOS!M1913</f>
        <v/>
      </c>
      <c r="I1913" t="inlineStr">
        <is>
          <t>74/BR574138</t>
        </is>
      </c>
    </row>
    <row r="1914">
      <c r="A1914">
        <f>TRIM(BASE_EQUIPOS!N1914)</f>
        <v/>
      </c>
      <c r="B1914">
        <f>BASE_EQUIPOS!A1914</f>
        <v/>
      </c>
      <c r="C1914">
        <f>BASE_EQUIPOS!B1914</f>
        <v/>
      </c>
      <c r="D1914">
        <f>BASE_EQUIPOS!D1914</f>
        <v/>
      </c>
      <c r="E1914">
        <f>BASE_EQUIPOS!G1914</f>
        <v/>
      </c>
      <c r="F1914">
        <f>BASE_EQUIPOS!H1914</f>
        <v/>
      </c>
      <c r="G1914">
        <f>BASE_EQUIPOS!M1914</f>
        <v/>
      </c>
      <c r="I1914" t="inlineStr">
        <is>
          <t>75/BR574147</t>
        </is>
      </c>
    </row>
    <row r="1915">
      <c r="A1915">
        <f>TRIM(BASE_EQUIPOS!N1915)</f>
        <v/>
      </c>
      <c r="B1915">
        <f>BASE_EQUIPOS!A1915</f>
        <v/>
      </c>
      <c r="C1915">
        <f>BASE_EQUIPOS!B1915</f>
        <v/>
      </c>
      <c r="D1915">
        <f>BASE_EQUIPOS!D1915</f>
        <v/>
      </c>
      <c r="E1915">
        <f>BASE_EQUIPOS!G1915</f>
        <v/>
      </c>
      <c r="F1915">
        <f>BASE_EQUIPOS!H1915</f>
        <v/>
      </c>
      <c r="G1915">
        <f>BASE_EQUIPOS!M1915</f>
        <v/>
      </c>
      <c r="I1915" t="inlineStr">
        <is>
          <t>76/BR574133</t>
        </is>
      </c>
    </row>
    <row r="1916">
      <c r="A1916">
        <f>TRIM(BASE_EQUIPOS!N1916)</f>
        <v/>
      </c>
      <c r="B1916">
        <f>BASE_EQUIPOS!A1916</f>
        <v/>
      </c>
      <c r="C1916">
        <f>BASE_EQUIPOS!B1916</f>
        <v/>
      </c>
      <c r="D1916">
        <f>BASE_EQUIPOS!D1916</f>
        <v/>
      </c>
      <c r="E1916">
        <f>BASE_EQUIPOS!G1916</f>
        <v/>
      </c>
      <c r="F1916">
        <f>BASE_EQUIPOS!H1916</f>
        <v/>
      </c>
      <c r="G1916">
        <f>BASE_EQUIPOS!M1916</f>
        <v/>
      </c>
      <c r="I1916" t="inlineStr">
        <is>
          <t>77/BH86057</t>
        </is>
      </c>
    </row>
    <row r="1917">
      <c r="A1917">
        <f>TRIM(BASE_EQUIPOS!N1917)</f>
        <v/>
      </c>
      <c r="B1917">
        <f>BASE_EQUIPOS!A1917</f>
        <v/>
      </c>
      <c r="C1917">
        <f>BASE_EQUIPOS!B1917</f>
        <v/>
      </c>
      <c r="D1917">
        <f>BASE_EQUIPOS!D1917</f>
        <v/>
      </c>
      <c r="E1917">
        <f>BASE_EQUIPOS!G1917</f>
        <v/>
      </c>
      <c r="F1917">
        <f>BASE_EQUIPOS!H1917</f>
        <v/>
      </c>
      <c r="G1917">
        <f>BASE_EQUIPOS!M1917</f>
        <v/>
      </c>
      <c r="I1917" t="inlineStr">
        <is>
          <t>79/BR574177</t>
        </is>
      </c>
    </row>
    <row r="1918">
      <c r="A1918">
        <f>TRIM(BASE_EQUIPOS!N1918)</f>
        <v/>
      </c>
      <c r="B1918">
        <f>BASE_EQUIPOS!A1918</f>
        <v/>
      </c>
      <c r="C1918">
        <f>BASE_EQUIPOS!B1918</f>
        <v/>
      </c>
      <c r="D1918">
        <f>BASE_EQUIPOS!D1918</f>
        <v/>
      </c>
      <c r="E1918">
        <f>BASE_EQUIPOS!G1918</f>
        <v/>
      </c>
      <c r="F1918">
        <f>BASE_EQUIPOS!H1918</f>
        <v/>
      </c>
      <c r="G1918">
        <f>BASE_EQUIPOS!M1918</f>
        <v/>
      </c>
      <c r="I1918" t="inlineStr">
        <is>
          <t>80/BK574451</t>
        </is>
      </c>
    </row>
    <row r="1919">
      <c r="A1919">
        <f>TRIM(BASE_EQUIPOS!N1919)</f>
        <v/>
      </c>
      <c r="B1919">
        <f>BASE_EQUIPOS!A1919</f>
        <v/>
      </c>
      <c r="C1919">
        <f>BASE_EQUIPOS!B1919</f>
        <v/>
      </c>
      <c r="D1919">
        <f>BASE_EQUIPOS!D1919</f>
        <v/>
      </c>
      <c r="E1919">
        <f>BASE_EQUIPOS!G1919</f>
        <v/>
      </c>
      <c r="F1919">
        <f>BASE_EQUIPOS!H1919</f>
        <v/>
      </c>
      <c r="G1919">
        <f>BASE_EQUIPOS!M1919</f>
        <v/>
      </c>
      <c r="I1919" t="inlineStr">
        <is>
          <t>81/793661</t>
        </is>
      </c>
    </row>
    <row r="1920">
      <c r="A1920">
        <f>TRIM(BASE_EQUIPOS!N1920)</f>
        <v/>
      </c>
      <c r="B1920">
        <f>BASE_EQUIPOS!A1920</f>
        <v/>
      </c>
      <c r="C1920">
        <f>BASE_EQUIPOS!B1920</f>
        <v/>
      </c>
      <c r="D1920">
        <f>BASE_EQUIPOS!D1920</f>
        <v/>
      </c>
      <c r="E1920">
        <f>BASE_EQUIPOS!G1920</f>
        <v/>
      </c>
      <c r="F1920">
        <f>BASE_EQUIPOS!H1920</f>
        <v/>
      </c>
      <c r="G1920">
        <f>BASE_EQUIPOS!M1920</f>
        <v/>
      </c>
      <c r="I1920" t="inlineStr">
        <is>
          <t>82/794350</t>
        </is>
      </c>
    </row>
    <row r="1921">
      <c r="A1921">
        <f>TRIM(BASE_EQUIPOS!N1921)</f>
        <v/>
      </c>
      <c r="B1921">
        <f>BASE_EQUIPOS!A1921</f>
        <v/>
      </c>
      <c r="C1921">
        <f>BASE_EQUIPOS!B1921</f>
        <v/>
      </c>
      <c r="D1921">
        <f>BASE_EQUIPOS!D1921</f>
        <v/>
      </c>
      <c r="E1921">
        <f>BASE_EQUIPOS!G1921</f>
        <v/>
      </c>
      <c r="F1921">
        <f>BASE_EQUIPOS!H1921</f>
        <v/>
      </c>
      <c r="G1921">
        <f>BASE_EQUIPOS!M1921</f>
        <v/>
      </c>
      <c r="I1921" t="inlineStr">
        <is>
          <t>83/652023</t>
        </is>
      </c>
    </row>
    <row r="1922">
      <c r="A1922">
        <f>TRIM(BASE_EQUIPOS!N1922)</f>
        <v/>
      </c>
      <c r="B1922">
        <f>BASE_EQUIPOS!A1922</f>
        <v/>
      </c>
      <c r="C1922">
        <f>BASE_EQUIPOS!B1922</f>
        <v/>
      </c>
      <c r="D1922">
        <f>BASE_EQUIPOS!D1922</f>
        <v/>
      </c>
      <c r="E1922">
        <f>BASE_EQUIPOS!G1922</f>
        <v/>
      </c>
      <c r="F1922">
        <f>BASE_EQUIPOS!H1922</f>
        <v/>
      </c>
      <c r="G1922">
        <f>BASE_EQUIPOS!M1922</f>
        <v/>
      </c>
      <c r="I1922" t="inlineStr">
        <is>
          <t>84/BR574142</t>
        </is>
      </c>
    </row>
    <row r="1923">
      <c r="A1923">
        <f>TRIM(BASE_EQUIPOS!N1923)</f>
        <v/>
      </c>
      <c r="B1923">
        <f>BASE_EQUIPOS!A1923</f>
        <v/>
      </c>
      <c r="C1923">
        <f>BASE_EQUIPOS!B1923</f>
        <v/>
      </c>
      <c r="D1923">
        <f>BASE_EQUIPOS!D1923</f>
        <v/>
      </c>
      <c r="E1923">
        <f>BASE_EQUIPOS!G1923</f>
        <v/>
      </c>
      <c r="F1923">
        <f>BASE_EQUIPOS!H1923</f>
        <v/>
      </c>
      <c r="G1923">
        <f>BASE_EQUIPOS!M1923</f>
        <v/>
      </c>
      <c r="I1923" t="inlineStr">
        <is>
          <t>69/BR574152</t>
        </is>
      </c>
    </row>
    <row r="1924">
      <c r="A1924">
        <f>TRIM(BASE_EQUIPOS!N1924)</f>
        <v/>
      </c>
      <c r="B1924">
        <f>BASE_EQUIPOS!A1924</f>
        <v/>
      </c>
      <c r="C1924">
        <f>BASE_EQUIPOS!B1924</f>
        <v/>
      </c>
      <c r="D1924">
        <f>BASE_EQUIPOS!D1924</f>
        <v/>
      </c>
      <c r="E1924">
        <f>BASE_EQUIPOS!G1924</f>
        <v/>
      </c>
      <c r="F1924">
        <f>BASE_EQUIPOS!H1924</f>
        <v/>
      </c>
      <c r="G1924">
        <f>BASE_EQUIPOS!M1924</f>
        <v/>
      </c>
      <c r="I1924" t="inlineStr">
        <is>
          <t>70/BR574447</t>
        </is>
      </c>
    </row>
    <row r="1925">
      <c r="A1925">
        <f>TRIM(BASE_EQUIPOS!N1925)</f>
        <v/>
      </c>
      <c r="B1925">
        <f>BASE_EQUIPOS!A1925</f>
        <v/>
      </c>
      <c r="C1925">
        <f>BASE_EQUIPOS!B1925</f>
        <v/>
      </c>
      <c r="D1925">
        <f>BASE_EQUIPOS!D1925</f>
        <v/>
      </c>
      <c r="E1925">
        <f>BASE_EQUIPOS!G1925</f>
        <v/>
      </c>
      <c r="F1925">
        <f>BASE_EQUIPOS!H1925</f>
        <v/>
      </c>
      <c r="G1925">
        <f>BASE_EQUIPOS!M1925</f>
        <v/>
      </c>
      <c r="I1925" t="inlineStr">
        <is>
          <t>71/BR572139</t>
        </is>
      </c>
    </row>
    <row r="1926">
      <c r="A1926">
        <f>TRIM(BASE_EQUIPOS!N1926)</f>
        <v/>
      </c>
      <c r="B1926">
        <f>BASE_EQUIPOS!A1926</f>
        <v/>
      </c>
      <c r="C1926">
        <f>BASE_EQUIPOS!B1926</f>
        <v/>
      </c>
      <c r="D1926">
        <f>BASE_EQUIPOS!D1926</f>
        <v/>
      </c>
      <c r="E1926">
        <f>BASE_EQUIPOS!G1926</f>
        <v/>
      </c>
      <c r="F1926">
        <f>BASE_EQUIPOS!H1926</f>
        <v/>
      </c>
      <c r="G1926">
        <f>BASE_EQUIPOS!M1926</f>
        <v/>
      </c>
      <c r="I1926" t="inlineStr">
        <is>
          <t>91/M179776</t>
        </is>
      </c>
    </row>
    <row r="1927">
      <c r="A1927">
        <f>TRIM(BASE_EQUIPOS!N1927)</f>
        <v/>
      </c>
      <c r="B1927">
        <f>BASE_EQUIPOS!A1927</f>
        <v/>
      </c>
      <c r="C1927">
        <f>BASE_EQUIPOS!B1927</f>
        <v/>
      </c>
      <c r="D1927">
        <f>BASE_EQUIPOS!D1927</f>
        <v/>
      </c>
      <c r="E1927">
        <f>BASE_EQUIPOS!G1927</f>
        <v/>
      </c>
      <c r="F1927">
        <f>BASE_EQUIPOS!H1927</f>
        <v/>
      </c>
      <c r="G1927">
        <f>BASE_EQUIPOS!M1927</f>
        <v/>
      </c>
      <c r="I1927" t="inlineStr">
        <is>
          <t>92/BR574149</t>
        </is>
      </c>
    </row>
    <row r="1928">
      <c r="A1928">
        <f>TRIM(BASE_EQUIPOS!N1928)</f>
        <v/>
      </c>
      <c r="B1928">
        <f>BASE_EQUIPOS!A1928</f>
        <v/>
      </c>
      <c r="C1928">
        <f>BASE_EQUIPOS!B1928</f>
        <v/>
      </c>
      <c r="D1928">
        <f>BASE_EQUIPOS!D1928</f>
        <v/>
      </c>
      <c r="E1928">
        <f>BASE_EQUIPOS!G1928</f>
        <v/>
      </c>
      <c r="F1928">
        <f>BASE_EQUIPOS!H1928</f>
        <v/>
      </c>
      <c r="G1928">
        <f>BASE_EQUIPOS!M1928</f>
        <v/>
      </c>
      <c r="I1928" t="inlineStr">
        <is>
          <t>93/652002</t>
        </is>
      </c>
    </row>
    <row r="1929">
      <c r="A1929">
        <f>TRIM(BASE_EQUIPOS!N1929)</f>
        <v/>
      </c>
      <c r="B1929">
        <f>BASE_EQUIPOS!A1929</f>
        <v/>
      </c>
      <c r="C1929">
        <f>BASE_EQUIPOS!B1929</f>
        <v/>
      </c>
      <c r="D1929">
        <f>BASE_EQUIPOS!D1929</f>
        <v/>
      </c>
      <c r="E1929">
        <f>BASE_EQUIPOS!G1929</f>
        <v/>
      </c>
      <c r="F1929">
        <f>BASE_EQUIPOS!H1929</f>
        <v/>
      </c>
      <c r="G1929">
        <f>BASE_EQUIPOS!M1929</f>
        <v/>
      </c>
      <c r="I1929" t="inlineStr">
        <is>
          <t>94/794327</t>
        </is>
      </c>
    </row>
    <row r="1930">
      <c r="A1930">
        <f>TRIM(BASE_EQUIPOS!N1930)</f>
        <v/>
      </c>
      <c r="B1930">
        <f>BASE_EQUIPOS!A1930</f>
        <v/>
      </c>
      <c r="C1930">
        <f>BASE_EQUIPOS!B1930</f>
        <v/>
      </c>
      <c r="D1930">
        <f>BASE_EQUIPOS!D1930</f>
        <v/>
      </c>
      <c r="E1930">
        <f>BASE_EQUIPOS!G1930</f>
        <v/>
      </c>
      <c r="F1930">
        <f>BASE_EQUIPOS!H1930</f>
        <v/>
      </c>
      <c r="G1930">
        <f>BASE_EQUIPOS!M1930</f>
        <v/>
      </c>
      <c r="I1930" t="inlineStr">
        <is>
          <t>86/BR574151</t>
        </is>
      </c>
    </row>
    <row r="1931">
      <c r="A1931">
        <f>TRIM(BASE_EQUIPOS!N1931)</f>
        <v/>
      </c>
      <c r="B1931">
        <f>BASE_EQUIPOS!A1931</f>
        <v/>
      </c>
      <c r="C1931">
        <f>BASE_EQUIPOS!B1931</f>
        <v/>
      </c>
      <c r="D1931">
        <f>BASE_EQUIPOS!D1931</f>
        <v/>
      </c>
      <c r="E1931">
        <f>BASE_EQUIPOS!G1931</f>
        <v/>
      </c>
      <c r="F1931">
        <f>BASE_EQUIPOS!H1931</f>
        <v/>
      </c>
      <c r="G1931">
        <f>BASE_EQUIPOS!M1931</f>
        <v/>
      </c>
      <c r="I1931" t="inlineStr">
        <is>
          <t>101/652254</t>
        </is>
      </c>
    </row>
    <row r="1932">
      <c r="A1932">
        <f>TRIM(BASE_EQUIPOS!N1932)</f>
        <v/>
      </c>
      <c r="B1932">
        <f>BASE_EQUIPOS!A1932</f>
        <v/>
      </c>
      <c r="C1932">
        <f>BASE_EQUIPOS!B1932</f>
        <v/>
      </c>
      <c r="D1932">
        <f>BASE_EQUIPOS!D1932</f>
        <v/>
      </c>
      <c r="E1932">
        <f>BASE_EQUIPOS!G1932</f>
        <v/>
      </c>
      <c r="F1932">
        <f>BASE_EQUIPOS!H1932</f>
        <v/>
      </c>
      <c r="G1932">
        <f>BASE_EQUIPOS!M1932</f>
        <v/>
      </c>
      <c r="I1932" t="inlineStr">
        <is>
          <t>102/BR574160</t>
        </is>
      </c>
    </row>
    <row r="1933">
      <c r="A1933">
        <f>TRIM(BASE_EQUIPOS!N1933)</f>
        <v/>
      </c>
      <c r="B1933">
        <f>BASE_EQUIPOS!A1933</f>
        <v/>
      </c>
      <c r="C1933">
        <f>BASE_EQUIPOS!B1933</f>
        <v/>
      </c>
      <c r="D1933">
        <f>BASE_EQUIPOS!D1933</f>
        <v/>
      </c>
      <c r="E1933">
        <f>BASE_EQUIPOS!G1933</f>
        <v/>
      </c>
      <c r="F1933">
        <f>BASE_EQUIPOS!H1933</f>
        <v/>
      </c>
      <c r="G1933">
        <f>BASE_EQUIPOS!M1933</f>
        <v/>
      </c>
      <c r="I1933" t="inlineStr">
        <is>
          <t>103/BR574419</t>
        </is>
      </c>
    </row>
    <row r="1934">
      <c r="A1934">
        <f>TRIM(BASE_EQUIPOS!N1934)</f>
        <v/>
      </c>
      <c r="B1934">
        <f>BASE_EQUIPOS!A1934</f>
        <v/>
      </c>
      <c r="C1934">
        <f>BASE_EQUIPOS!B1934</f>
        <v/>
      </c>
      <c r="D1934">
        <f>BASE_EQUIPOS!D1934</f>
        <v/>
      </c>
      <c r="E1934">
        <f>BASE_EQUIPOS!G1934</f>
        <v/>
      </c>
      <c r="F1934">
        <f>BASE_EQUIPOS!H1934</f>
        <v/>
      </c>
      <c r="G1934">
        <f>BASE_EQUIPOS!M1934</f>
        <v/>
      </c>
      <c r="I1934" t="inlineStr">
        <is>
          <t>104/807074</t>
        </is>
      </c>
    </row>
    <row r="1935">
      <c r="A1935">
        <f>TRIM(BASE_EQUIPOS!N1935)</f>
        <v/>
      </c>
      <c r="B1935">
        <f>BASE_EQUIPOS!A1935</f>
        <v/>
      </c>
      <c r="C1935">
        <f>BASE_EQUIPOS!B1935</f>
        <v/>
      </c>
      <c r="D1935">
        <f>BASE_EQUIPOS!D1935</f>
        <v/>
      </c>
      <c r="E1935">
        <f>BASE_EQUIPOS!G1935</f>
        <v/>
      </c>
      <c r="F1935">
        <f>BASE_EQUIPOS!H1935</f>
        <v/>
      </c>
      <c r="G1935">
        <f>BASE_EQUIPOS!M1935</f>
        <v/>
      </c>
      <c r="I1935" t="inlineStr">
        <is>
          <t>105/BG318028</t>
        </is>
      </c>
    </row>
    <row r="1936">
      <c r="A1936">
        <f>TRIM(BASE_EQUIPOS!N1936)</f>
        <v/>
      </c>
      <c r="B1936">
        <f>BASE_EQUIPOS!A1936</f>
        <v/>
      </c>
      <c r="C1936">
        <f>BASE_EQUIPOS!B1936</f>
        <v/>
      </c>
      <c r="D1936">
        <f>BASE_EQUIPOS!D1936</f>
        <v/>
      </c>
      <c r="E1936">
        <f>BASE_EQUIPOS!G1936</f>
        <v/>
      </c>
      <c r="F1936">
        <f>BASE_EQUIPOS!H1936</f>
        <v/>
      </c>
      <c r="G1936">
        <f>BASE_EQUIPOS!M1936</f>
        <v/>
      </c>
      <c r="I1936" t="inlineStr">
        <is>
          <t>106/794050</t>
        </is>
      </c>
    </row>
    <row r="1937">
      <c r="A1937">
        <f>TRIM(BASE_EQUIPOS!N1937)</f>
        <v/>
      </c>
      <c r="B1937">
        <f>BASE_EQUIPOS!A1937</f>
        <v/>
      </c>
      <c r="C1937">
        <f>BASE_EQUIPOS!B1937</f>
        <v/>
      </c>
      <c r="D1937">
        <f>BASE_EQUIPOS!D1937</f>
        <v/>
      </c>
      <c r="E1937">
        <f>BASE_EQUIPOS!G1937</f>
        <v/>
      </c>
      <c r="F1937">
        <f>BASE_EQUIPOS!H1937</f>
        <v/>
      </c>
      <c r="G1937">
        <f>BASE_EQUIPOS!M1937</f>
        <v/>
      </c>
      <c r="I1937" t="inlineStr">
        <is>
          <t>107/BR574154</t>
        </is>
      </c>
    </row>
    <row r="1938">
      <c r="A1938">
        <f>TRIM(BASE_EQUIPOS!N1938)</f>
        <v/>
      </c>
      <c r="B1938">
        <f>BASE_EQUIPOS!A1938</f>
        <v/>
      </c>
      <c r="C1938">
        <f>BASE_EQUIPOS!B1938</f>
        <v/>
      </c>
      <c r="D1938">
        <f>BASE_EQUIPOS!D1938</f>
        <v/>
      </c>
      <c r="E1938">
        <f>BASE_EQUIPOS!G1938</f>
        <v/>
      </c>
      <c r="F1938">
        <f>BASE_EQUIPOS!H1938</f>
        <v/>
      </c>
      <c r="G1938">
        <f>BASE_EQUIPOS!M1938</f>
        <v/>
      </c>
      <c r="I1938" t="inlineStr">
        <is>
          <t>85/BR574432</t>
        </is>
      </c>
    </row>
    <row r="1939">
      <c r="A1939">
        <f>TRIM(BASE_EQUIPOS!N1939)</f>
        <v/>
      </c>
      <c r="B1939">
        <f>BASE_EQUIPOS!A1939</f>
        <v/>
      </c>
      <c r="C1939">
        <f>BASE_EQUIPOS!B1939</f>
        <v/>
      </c>
      <c r="D1939">
        <f>BASE_EQUIPOS!D1939</f>
        <v/>
      </c>
      <c r="E1939">
        <f>BASE_EQUIPOS!G1939</f>
        <v/>
      </c>
      <c r="F1939">
        <f>BASE_EQUIPOS!H1939</f>
        <v/>
      </c>
      <c r="G1939">
        <f>BASE_EQUIPOS!M1939</f>
        <v/>
      </c>
      <c r="I1939" t="inlineStr">
        <is>
          <t>86/652158</t>
        </is>
      </c>
    </row>
    <row r="1940">
      <c r="A1940">
        <f>TRIM(BASE_EQUIPOS!N1940)</f>
        <v/>
      </c>
      <c r="B1940">
        <f>BASE_EQUIPOS!A1940</f>
        <v/>
      </c>
      <c r="C1940">
        <f>BASE_EQUIPOS!B1940</f>
        <v/>
      </c>
      <c r="D1940">
        <f>BASE_EQUIPOS!D1940</f>
        <v/>
      </c>
      <c r="E1940">
        <f>BASE_EQUIPOS!G1940</f>
        <v/>
      </c>
      <c r="F1940">
        <f>BASE_EQUIPOS!H1940</f>
        <v/>
      </c>
      <c r="G1940">
        <f>BASE_EQUIPOS!M1940</f>
        <v/>
      </c>
      <c r="I1940" t="inlineStr">
        <is>
          <t>87/794312</t>
        </is>
      </c>
    </row>
    <row r="1941">
      <c r="A1941">
        <f>TRIM(BASE_EQUIPOS!N1941)</f>
        <v/>
      </c>
      <c r="B1941">
        <f>BASE_EQUIPOS!A1941</f>
        <v/>
      </c>
      <c r="C1941">
        <f>BASE_EQUIPOS!B1941</f>
        <v/>
      </c>
      <c r="D1941">
        <f>BASE_EQUIPOS!D1941</f>
        <v/>
      </c>
      <c r="E1941">
        <f>BASE_EQUIPOS!G1941</f>
        <v/>
      </c>
      <c r="F1941">
        <f>BASE_EQUIPOS!H1941</f>
        <v/>
      </c>
      <c r="G1941">
        <f>BASE_EQUIPOS!M1941</f>
        <v/>
      </c>
      <c r="I1941" t="inlineStr">
        <is>
          <t>S/N/ Y-377922</t>
        </is>
      </c>
    </row>
    <row r="1942">
      <c r="A1942">
        <f>TRIM(BASE_EQUIPOS!N1942)</f>
        <v/>
      </c>
      <c r="B1942">
        <f>BASE_EQUIPOS!A1942</f>
        <v/>
      </c>
      <c r="C1942">
        <f>BASE_EQUIPOS!B1942</f>
        <v/>
      </c>
      <c r="D1942">
        <f>BASE_EQUIPOS!D1942</f>
        <v/>
      </c>
      <c r="E1942">
        <f>BASE_EQUIPOS!G1942</f>
        <v/>
      </c>
      <c r="F1942">
        <f>BASE_EQUIPOS!H1942</f>
        <v/>
      </c>
      <c r="G1942">
        <f>BASE_EQUIPOS!M1942</f>
        <v/>
      </c>
      <c r="I1942" t="inlineStr">
        <is>
          <t>59/102052</t>
        </is>
      </c>
    </row>
    <row r="1943">
      <c r="A1943">
        <f>TRIM(BASE_EQUIPOS!N1943)</f>
        <v/>
      </c>
      <c r="B1943">
        <f>BASE_EQUIPOS!A1943</f>
        <v/>
      </c>
      <c r="C1943">
        <f>BASE_EQUIPOS!B1943</f>
        <v/>
      </c>
      <c r="D1943">
        <f>BASE_EQUIPOS!D1943</f>
        <v/>
      </c>
      <c r="E1943">
        <f>BASE_EQUIPOS!G1943</f>
        <v/>
      </c>
      <c r="F1943">
        <f>BASE_EQUIPOS!H1943</f>
        <v/>
      </c>
      <c r="G1943">
        <f>BASE_EQUIPOS!M1943</f>
        <v/>
      </c>
      <c r="I1943" t="inlineStr">
        <is>
          <t>108/BR574146</t>
        </is>
      </c>
    </row>
    <row r="1944">
      <c r="A1944">
        <f>TRIM(BASE_EQUIPOS!N1944)</f>
        <v/>
      </c>
      <c r="B1944">
        <f>BASE_EQUIPOS!A1944</f>
        <v/>
      </c>
      <c r="C1944">
        <f>BASE_EQUIPOS!B1944</f>
        <v/>
      </c>
      <c r="D1944">
        <f>BASE_EQUIPOS!D1944</f>
        <v/>
      </c>
      <c r="E1944">
        <f>BASE_EQUIPOS!G1944</f>
        <v/>
      </c>
      <c r="F1944">
        <f>BASE_EQUIPOS!H1944</f>
        <v/>
      </c>
      <c r="G1944">
        <f>BASE_EQUIPOS!M1944</f>
        <v/>
      </c>
      <c r="I1944" t="inlineStr">
        <is>
          <t>S/N/01827</t>
        </is>
      </c>
    </row>
    <row r="1945">
      <c r="A1945">
        <f>TRIM(BASE_EQUIPOS!N1945)</f>
        <v/>
      </c>
      <c r="B1945">
        <f>BASE_EQUIPOS!A1945</f>
        <v/>
      </c>
      <c r="C1945">
        <f>BASE_EQUIPOS!B1945</f>
        <v/>
      </c>
      <c r="D1945">
        <f>BASE_EQUIPOS!D1945</f>
        <v/>
      </c>
      <c r="E1945">
        <f>BASE_EQUIPOS!G1945</f>
        <v/>
      </c>
      <c r="F1945">
        <f>BASE_EQUIPOS!H1945</f>
        <v/>
      </c>
      <c r="G1945">
        <f>BASE_EQUIPOS!M1945</f>
        <v/>
      </c>
      <c r="I1945" t="inlineStr">
        <is>
          <t>S/N/S/R</t>
        </is>
      </c>
    </row>
    <row r="1946">
      <c r="A1946">
        <f>TRIM(BASE_EQUIPOS!N1946)</f>
        <v/>
      </c>
      <c r="B1946">
        <f>BASE_EQUIPOS!A1946</f>
        <v/>
      </c>
      <c r="C1946">
        <f>BASE_EQUIPOS!B1946</f>
        <v/>
      </c>
      <c r="D1946">
        <f>BASE_EQUIPOS!D1946</f>
        <v/>
      </c>
      <c r="E1946">
        <f>BASE_EQUIPOS!G1946</f>
        <v/>
      </c>
      <c r="F1946">
        <f>BASE_EQUIPOS!H1946</f>
        <v/>
      </c>
      <c r="G1946">
        <f>BASE_EQUIPOS!M1946</f>
        <v/>
      </c>
      <c r="I1946" t="inlineStr">
        <is>
          <t>S/N/AC 422840</t>
        </is>
      </c>
    </row>
    <row r="1947">
      <c r="A1947">
        <f>TRIM(BASE_EQUIPOS!N1947)</f>
        <v/>
      </c>
      <c r="B1947">
        <f>BASE_EQUIPOS!A1947</f>
        <v/>
      </c>
      <c r="C1947">
        <f>BASE_EQUIPOS!B1947</f>
        <v/>
      </c>
      <c r="D1947">
        <f>BASE_EQUIPOS!D1947</f>
        <v/>
      </c>
      <c r="E1947">
        <f>BASE_EQUIPOS!G1947</f>
        <v/>
      </c>
      <c r="F1947">
        <f>BASE_EQUIPOS!H1947</f>
        <v/>
      </c>
      <c r="G1947">
        <f>BASE_EQUIPOS!M1947</f>
        <v/>
      </c>
      <c r="I1947" t="inlineStr">
        <is>
          <t>S/N/AC 422924</t>
        </is>
      </c>
    </row>
    <row r="1948">
      <c r="A1948">
        <f>TRIM(BASE_EQUIPOS!N1948)</f>
        <v/>
      </c>
      <c r="B1948">
        <f>BASE_EQUIPOS!A1948</f>
        <v/>
      </c>
      <c r="C1948">
        <f>BASE_EQUIPOS!B1948</f>
        <v/>
      </c>
      <c r="D1948">
        <f>BASE_EQUIPOS!D1948</f>
        <v/>
      </c>
      <c r="E1948">
        <f>BASE_EQUIPOS!G1948</f>
        <v/>
      </c>
      <c r="F1948">
        <f>BASE_EQUIPOS!H1948</f>
        <v/>
      </c>
      <c r="G1948">
        <f>BASE_EQUIPOS!M1948</f>
        <v/>
      </c>
      <c r="I1948" t="inlineStr">
        <is>
          <t>S/N/AC 422652</t>
        </is>
      </c>
    </row>
    <row r="1949">
      <c r="A1949">
        <f>TRIM(BASE_EQUIPOS!N1949)</f>
        <v/>
      </c>
      <c r="B1949">
        <f>BASE_EQUIPOS!A1949</f>
        <v/>
      </c>
      <c r="C1949">
        <f>BASE_EQUIPOS!B1949</f>
        <v/>
      </c>
      <c r="D1949">
        <f>BASE_EQUIPOS!D1949</f>
        <v/>
      </c>
      <c r="E1949">
        <f>BASE_EQUIPOS!G1949</f>
        <v/>
      </c>
      <c r="F1949">
        <f>BASE_EQUIPOS!H1949</f>
        <v/>
      </c>
      <c r="G1949">
        <f>BASE_EQUIPOS!M1949</f>
        <v/>
      </c>
      <c r="I1949" t="inlineStr">
        <is>
          <t>S/N/AC 422650</t>
        </is>
      </c>
    </row>
    <row r="1950">
      <c r="A1950">
        <f>TRIM(BASE_EQUIPOS!N1950)</f>
        <v/>
      </c>
      <c r="B1950">
        <f>BASE_EQUIPOS!A1950</f>
        <v/>
      </c>
      <c r="C1950">
        <f>BASE_EQUIPOS!B1950</f>
        <v/>
      </c>
      <c r="D1950">
        <f>BASE_EQUIPOS!D1950</f>
        <v/>
      </c>
      <c r="E1950">
        <f>BASE_EQUIPOS!G1950</f>
        <v/>
      </c>
      <c r="F1950">
        <f>BASE_EQUIPOS!H1950</f>
        <v/>
      </c>
      <c r="G1950">
        <f>BASE_EQUIPOS!M1950</f>
        <v/>
      </c>
      <c r="I1950" t="inlineStr">
        <is>
          <t>S/N/AC 422733</t>
        </is>
      </c>
    </row>
    <row r="1951">
      <c r="A1951">
        <f>TRIM(BASE_EQUIPOS!N1951)</f>
        <v/>
      </c>
      <c r="B1951">
        <f>BASE_EQUIPOS!A1951</f>
        <v/>
      </c>
      <c r="C1951">
        <f>BASE_EQUIPOS!B1951</f>
        <v/>
      </c>
      <c r="D1951">
        <f>BASE_EQUIPOS!D1951</f>
        <v/>
      </c>
      <c r="E1951">
        <f>BASE_EQUIPOS!G1951</f>
        <v/>
      </c>
      <c r="F1951">
        <f>BASE_EQUIPOS!H1951</f>
        <v/>
      </c>
      <c r="G1951">
        <f>BASE_EQUIPOS!M1951</f>
        <v/>
      </c>
      <c r="I1951" t="inlineStr">
        <is>
          <t>S/N/AC 422929</t>
        </is>
      </c>
    </row>
    <row r="1952">
      <c r="A1952">
        <f>TRIM(BASE_EQUIPOS!N1952)</f>
        <v/>
      </c>
      <c r="B1952">
        <f>BASE_EQUIPOS!A1952</f>
        <v/>
      </c>
      <c r="C1952">
        <f>BASE_EQUIPOS!B1952</f>
        <v/>
      </c>
      <c r="D1952">
        <f>BASE_EQUIPOS!D1952</f>
        <v/>
      </c>
      <c r="E1952">
        <f>BASE_EQUIPOS!G1952</f>
        <v/>
      </c>
      <c r="F1952">
        <f>BASE_EQUIPOS!H1952</f>
        <v/>
      </c>
      <c r="G1952">
        <f>BASE_EQUIPOS!M1952</f>
        <v/>
      </c>
      <c r="I1952" t="inlineStr">
        <is>
          <t>S/N/AC 422890</t>
        </is>
      </c>
    </row>
    <row r="1953">
      <c r="A1953">
        <f>TRIM(BASE_EQUIPOS!N1953)</f>
        <v/>
      </c>
      <c r="B1953">
        <f>BASE_EQUIPOS!A1953</f>
        <v/>
      </c>
      <c r="C1953">
        <f>BASE_EQUIPOS!B1953</f>
        <v/>
      </c>
      <c r="D1953">
        <f>BASE_EQUIPOS!D1953</f>
        <v/>
      </c>
      <c r="E1953">
        <f>BASE_EQUIPOS!G1953</f>
        <v/>
      </c>
      <c r="F1953">
        <f>BASE_EQUIPOS!H1953</f>
        <v/>
      </c>
      <c r="G1953">
        <f>BASE_EQUIPOS!M1953</f>
        <v/>
      </c>
      <c r="I1953" t="inlineStr">
        <is>
          <t>S/N/A010228327</t>
        </is>
      </c>
    </row>
    <row r="1954">
      <c r="A1954">
        <f>TRIM(BASE_EQUIPOS!N1954)</f>
        <v/>
      </c>
      <c r="B1954">
        <f>BASE_EQUIPOS!A1954</f>
        <v/>
      </c>
      <c r="C1954">
        <f>BASE_EQUIPOS!B1954</f>
        <v/>
      </c>
      <c r="D1954">
        <f>BASE_EQUIPOS!D1954</f>
        <v/>
      </c>
      <c r="E1954">
        <f>BASE_EQUIPOS!G1954</f>
        <v/>
      </c>
      <c r="F1954">
        <f>BASE_EQUIPOS!H1954</f>
        <v/>
      </c>
      <c r="G1954">
        <f>BASE_EQUIPOS!M1954</f>
        <v/>
      </c>
      <c r="I1954" t="inlineStr">
        <is>
          <t>s/n/Z-950369</t>
        </is>
      </c>
    </row>
    <row r="1955">
      <c r="A1955">
        <f>TRIM(BASE_EQUIPOS!N1955)</f>
        <v/>
      </c>
      <c r="B1955">
        <f>BASE_EQUIPOS!A1955</f>
        <v/>
      </c>
      <c r="C1955">
        <f>BASE_EQUIPOS!B1955</f>
        <v/>
      </c>
      <c r="D1955">
        <f>BASE_EQUIPOS!D1955</f>
        <v/>
      </c>
      <c r="E1955">
        <f>BASE_EQUIPOS!G1955</f>
        <v/>
      </c>
      <c r="F1955">
        <f>BASE_EQUIPOS!H1955</f>
        <v/>
      </c>
      <c r="G1955">
        <f>BASE_EQUIPOS!M1955</f>
        <v/>
      </c>
      <c r="I1955" t="inlineStr">
        <is>
          <t>S/N/000352</t>
        </is>
      </c>
    </row>
    <row r="1956">
      <c r="A1956">
        <f>TRIM(BASE_EQUIPOS!N1956)</f>
        <v/>
      </c>
      <c r="B1956">
        <f>BASE_EQUIPOS!A1956</f>
        <v/>
      </c>
      <c r="C1956">
        <f>BASE_EQUIPOS!B1956</f>
        <v/>
      </c>
      <c r="D1956">
        <f>BASE_EQUIPOS!D1956</f>
        <v/>
      </c>
      <c r="E1956">
        <f>BASE_EQUIPOS!G1956</f>
        <v/>
      </c>
      <c r="F1956">
        <f>BASE_EQUIPOS!H1956</f>
        <v/>
      </c>
      <c r="G1956">
        <f>BASE_EQUIPOS!M1956</f>
        <v/>
      </c>
      <c r="I1956" t="inlineStr">
        <is>
          <t>S/N/ 004016</t>
        </is>
      </c>
    </row>
    <row r="1957">
      <c r="A1957">
        <f>TRIM(BASE_EQUIPOS!N1957)</f>
        <v/>
      </c>
      <c r="B1957">
        <f>BASE_EQUIPOS!A1957</f>
        <v/>
      </c>
      <c r="C1957">
        <f>BASE_EQUIPOS!B1957</f>
        <v/>
      </c>
      <c r="D1957">
        <f>BASE_EQUIPOS!D1957</f>
        <v/>
      </c>
      <c r="E1957">
        <f>BASE_EQUIPOS!G1957</f>
        <v/>
      </c>
      <c r="F1957">
        <f>BASE_EQUIPOS!H1957</f>
        <v/>
      </c>
      <c r="G1957">
        <f>BASE_EQUIPOS!M1957</f>
        <v/>
      </c>
      <c r="I1957" t="inlineStr">
        <is>
          <t>S/N/003884</t>
        </is>
      </c>
    </row>
    <row r="1958">
      <c r="A1958">
        <f>TRIM(BASE_EQUIPOS!N1958)</f>
        <v/>
      </c>
      <c r="B1958">
        <f>BASE_EQUIPOS!A1958</f>
        <v/>
      </c>
      <c r="C1958">
        <f>BASE_EQUIPOS!B1958</f>
        <v/>
      </c>
      <c r="D1958">
        <f>BASE_EQUIPOS!D1958</f>
        <v/>
      </c>
      <c r="E1958">
        <f>BASE_EQUIPOS!G1958</f>
        <v/>
      </c>
      <c r="F1958">
        <f>BASE_EQUIPOS!H1958</f>
        <v/>
      </c>
      <c r="G1958">
        <f>BASE_EQUIPOS!M1958</f>
        <v/>
      </c>
      <c r="I1958" t="inlineStr">
        <is>
          <t>S/N/003073</t>
        </is>
      </c>
    </row>
    <row r="1959">
      <c r="A1959">
        <f>TRIM(BASE_EQUIPOS!N1959)</f>
        <v/>
      </c>
      <c r="B1959">
        <f>BASE_EQUIPOS!A1959</f>
        <v/>
      </c>
      <c r="C1959">
        <f>BASE_EQUIPOS!B1959</f>
        <v/>
      </c>
      <c r="D1959">
        <f>BASE_EQUIPOS!D1959</f>
        <v/>
      </c>
      <c r="E1959">
        <f>BASE_EQUIPOS!G1959</f>
        <v/>
      </c>
      <c r="F1959">
        <f>BASE_EQUIPOS!H1959</f>
        <v/>
      </c>
      <c r="G1959">
        <f>BASE_EQUIPOS!M1959</f>
        <v/>
      </c>
      <c r="I1959" t="inlineStr">
        <is>
          <t>22/000232</t>
        </is>
      </c>
    </row>
    <row r="1960">
      <c r="A1960">
        <f>TRIM(BASE_EQUIPOS!N1960)</f>
        <v/>
      </c>
      <c r="B1960">
        <f>BASE_EQUIPOS!A1960</f>
        <v/>
      </c>
      <c r="C1960">
        <f>BASE_EQUIPOS!B1960</f>
        <v/>
      </c>
      <c r="D1960">
        <f>BASE_EQUIPOS!D1960</f>
        <v/>
      </c>
      <c r="E1960">
        <f>BASE_EQUIPOS!G1960</f>
        <v/>
      </c>
      <c r="F1960">
        <f>BASE_EQUIPOS!H1960</f>
        <v/>
      </c>
      <c r="G1960">
        <f>BASE_EQUIPOS!M1960</f>
        <v/>
      </c>
      <c r="I1960" t="inlineStr">
        <is>
          <t>27/001046</t>
        </is>
      </c>
    </row>
    <row r="1961">
      <c r="A1961">
        <f>TRIM(BASE_EQUIPOS!N1961)</f>
        <v/>
      </c>
      <c r="B1961">
        <f>BASE_EQUIPOS!A1961</f>
        <v/>
      </c>
      <c r="C1961">
        <f>BASE_EQUIPOS!B1961</f>
        <v/>
      </c>
      <c r="D1961">
        <f>BASE_EQUIPOS!D1961</f>
        <v/>
      </c>
      <c r="E1961">
        <f>BASE_EQUIPOS!G1961</f>
        <v/>
      </c>
      <c r="F1961">
        <f>BASE_EQUIPOS!H1961</f>
        <v/>
      </c>
      <c r="G1961">
        <f>BASE_EQUIPOS!M1961</f>
        <v/>
      </c>
      <c r="I1961" t="inlineStr">
        <is>
          <t>24/000003</t>
        </is>
      </c>
    </row>
    <row r="1962">
      <c r="A1962">
        <f>TRIM(BASE_EQUIPOS!N1962)</f>
        <v/>
      </c>
      <c r="B1962">
        <f>BASE_EQUIPOS!A1962</f>
        <v/>
      </c>
      <c r="C1962">
        <f>BASE_EQUIPOS!B1962</f>
        <v/>
      </c>
      <c r="D1962">
        <f>BASE_EQUIPOS!D1962</f>
        <v/>
      </c>
      <c r="E1962">
        <f>BASE_EQUIPOS!G1962</f>
        <v/>
      </c>
      <c r="F1962">
        <f>BASE_EQUIPOS!H1962</f>
        <v/>
      </c>
      <c r="G1962">
        <f>BASE_EQUIPOS!M1962</f>
        <v/>
      </c>
      <c r="I1962" t="inlineStr">
        <is>
          <t>25/000057</t>
        </is>
      </c>
    </row>
    <row r="1963">
      <c r="A1963">
        <f>TRIM(BASE_EQUIPOS!N1963)</f>
        <v/>
      </c>
      <c r="B1963">
        <f>BASE_EQUIPOS!A1963</f>
        <v/>
      </c>
      <c r="C1963">
        <f>BASE_EQUIPOS!B1963</f>
        <v/>
      </c>
      <c r="D1963">
        <f>BASE_EQUIPOS!D1963</f>
        <v/>
      </c>
      <c r="E1963">
        <f>BASE_EQUIPOS!G1963</f>
        <v/>
      </c>
      <c r="F1963">
        <f>BASE_EQUIPOS!H1963</f>
        <v/>
      </c>
      <c r="G1963">
        <f>BASE_EQUIPOS!M1963</f>
        <v/>
      </c>
      <c r="I1963" t="inlineStr">
        <is>
          <t>05/N/R</t>
        </is>
      </c>
    </row>
    <row r="1964">
      <c r="A1964">
        <f>TRIM(BASE_EQUIPOS!N1964)</f>
        <v/>
      </c>
      <c r="B1964">
        <f>BASE_EQUIPOS!A1964</f>
        <v/>
      </c>
      <c r="C1964">
        <f>BASE_EQUIPOS!B1964</f>
        <v/>
      </c>
      <c r="D1964">
        <f>BASE_EQUIPOS!D1964</f>
        <v/>
      </c>
      <c r="E1964">
        <f>BASE_EQUIPOS!G1964</f>
        <v/>
      </c>
      <c r="F1964">
        <f>BASE_EQUIPOS!H1964</f>
        <v/>
      </c>
      <c r="G1964">
        <f>BASE_EQUIPOS!M1964</f>
        <v/>
      </c>
      <c r="I1964" t="inlineStr">
        <is>
          <t>26/000417</t>
        </is>
      </c>
    </row>
    <row r="1965">
      <c r="A1965">
        <f>TRIM(BASE_EQUIPOS!N1965)</f>
        <v/>
      </c>
      <c r="B1965">
        <f>BASE_EQUIPOS!A1965</f>
        <v/>
      </c>
      <c r="C1965">
        <f>BASE_EQUIPOS!B1965</f>
        <v/>
      </c>
      <c r="D1965">
        <f>BASE_EQUIPOS!D1965</f>
        <v/>
      </c>
      <c r="E1965">
        <f>BASE_EQUIPOS!G1965</f>
        <v/>
      </c>
      <c r="F1965">
        <f>BASE_EQUIPOS!H1965</f>
        <v/>
      </c>
      <c r="G1965">
        <f>BASE_EQUIPOS!M1965</f>
        <v/>
      </c>
      <c r="I1965" t="inlineStr">
        <is>
          <t>001544</t>
        </is>
      </c>
    </row>
    <row r="1966">
      <c r="A1966">
        <f>TRIM(BASE_EQUIPOS!N1966)</f>
        <v/>
      </c>
      <c r="B1966">
        <f>BASE_EQUIPOS!A1966</f>
        <v/>
      </c>
      <c r="C1966">
        <f>BASE_EQUIPOS!B1966</f>
        <v/>
      </c>
      <c r="D1966">
        <f>BASE_EQUIPOS!D1966</f>
        <v/>
      </c>
      <c r="E1966">
        <f>BASE_EQUIPOS!G1966</f>
        <v/>
      </c>
      <c r="F1966">
        <f>BASE_EQUIPOS!H1966</f>
        <v/>
      </c>
      <c r="G1966">
        <f>BASE_EQUIPOS!M1966</f>
        <v/>
      </c>
      <c r="I1966" t="inlineStr">
        <is>
          <t>001638</t>
        </is>
      </c>
    </row>
    <row r="1967">
      <c r="A1967">
        <f>TRIM(BASE_EQUIPOS!N1967)</f>
        <v/>
      </c>
      <c r="B1967">
        <f>BASE_EQUIPOS!A1967</f>
        <v/>
      </c>
      <c r="C1967">
        <f>BASE_EQUIPOS!B1967</f>
        <v/>
      </c>
      <c r="D1967">
        <f>BASE_EQUIPOS!D1967</f>
        <v/>
      </c>
      <c r="E1967">
        <f>BASE_EQUIPOS!G1967</f>
        <v/>
      </c>
      <c r="F1967">
        <f>BASE_EQUIPOS!H1967</f>
        <v/>
      </c>
      <c r="G1967">
        <f>BASE_EQUIPOS!M1967</f>
        <v/>
      </c>
      <c r="I1967" t="inlineStr">
        <is>
          <t>0 00005</t>
        </is>
      </c>
    </row>
    <row r="1968">
      <c r="A1968">
        <f>TRIM(BASE_EQUIPOS!N1968)</f>
        <v/>
      </c>
      <c r="B1968">
        <f>BASE_EQUIPOS!A1968</f>
        <v/>
      </c>
      <c r="C1968">
        <f>BASE_EQUIPOS!B1968</f>
        <v/>
      </c>
      <c r="D1968">
        <f>BASE_EQUIPOS!D1968</f>
        <v/>
      </c>
      <c r="E1968">
        <f>BASE_EQUIPOS!G1968</f>
        <v/>
      </c>
      <c r="F1968">
        <f>BASE_EQUIPOS!H1968</f>
        <v/>
      </c>
      <c r="G1968">
        <f>BASE_EQUIPOS!M1968</f>
        <v/>
      </c>
      <c r="I1968" t="inlineStr">
        <is>
          <t>1337</t>
        </is>
      </c>
    </row>
    <row r="1969">
      <c r="A1969">
        <f>TRIM(BASE_EQUIPOS!N1969)</f>
        <v/>
      </c>
      <c r="B1969">
        <f>BASE_EQUIPOS!A1969</f>
        <v/>
      </c>
      <c r="C1969">
        <f>BASE_EQUIPOS!B1969</f>
        <v/>
      </c>
      <c r="D1969">
        <f>BASE_EQUIPOS!D1969</f>
        <v/>
      </c>
      <c r="E1969">
        <f>BASE_EQUIPOS!G1969</f>
        <v/>
      </c>
      <c r="F1969">
        <f>BASE_EQUIPOS!H1969</f>
        <v/>
      </c>
      <c r="G1969">
        <f>BASE_EQUIPOS!M1969</f>
        <v/>
      </c>
      <c r="I1969" t="inlineStr">
        <is>
          <t>001288</t>
        </is>
      </c>
    </row>
    <row r="1970">
      <c r="A1970">
        <f>TRIM(BASE_EQUIPOS!N1970)</f>
        <v/>
      </c>
      <c r="B1970">
        <f>BASE_EQUIPOS!A1970</f>
        <v/>
      </c>
      <c r="C1970">
        <f>BASE_EQUIPOS!B1970</f>
        <v/>
      </c>
      <c r="D1970">
        <f>BASE_EQUIPOS!D1970</f>
        <v/>
      </c>
      <c r="E1970">
        <f>BASE_EQUIPOS!G1970</f>
        <v/>
      </c>
      <c r="F1970">
        <f>BASE_EQUIPOS!H1970</f>
        <v/>
      </c>
      <c r="G1970">
        <f>BASE_EQUIPOS!M1970</f>
        <v/>
      </c>
      <c r="I1970" t="inlineStr">
        <is>
          <t>000553</t>
        </is>
      </c>
    </row>
    <row r="1971">
      <c r="A1971">
        <f>TRIM(BASE_EQUIPOS!N1971)</f>
        <v/>
      </c>
      <c r="B1971">
        <f>BASE_EQUIPOS!A1971</f>
        <v/>
      </c>
      <c r="C1971">
        <f>BASE_EQUIPOS!B1971</f>
        <v/>
      </c>
      <c r="D1971">
        <f>BASE_EQUIPOS!D1971</f>
        <v/>
      </c>
      <c r="E1971">
        <f>BASE_EQUIPOS!G1971</f>
        <v/>
      </c>
      <c r="F1971">
        <f>BASE_EQUIPOS!H1971</f>
        <v/>
      </c>
      <c r="G1971">
        <f>BASE_EQUIPOS!M1971</f>
        <v/>
      </c>
      <c r="I1971" t="inlineStr">
        <is>
          <t>PISO 10 / 000073</t>
        </is>
      </c>
    </row>
    <row r="1972">
      <c r="A1972">
        <f>TRIM(BASE_EQUIPOS!N1972)</f>
        <v/>
      </c>
      <c r="B1972">
        <f>BASE_EQUIPOS!A1972</f>
        <v/>
      </c>
      <c r="C1972">
        <f>BASE_EQUIPOS!B1972</f>
        <v/>
      </c>
      <c r="D1972">
        <f>BASE_EQUIPOS!D1972</f>
        <v/>
      </c>
      <c r="E1972">
        <f>BASE_EQUIPOS!G1972</f>
        <v/>
      </c>
      <c r="F1972">
        <f>BASE_EQUIPOS!H1972</f>
        <v/>
      </c>
      <c r="G1972">
        <f>BASE_EQUIPOS!M1972</f>
        <v/>
      </c>
      <c r="I1972" t="inlineStr">
        <is>
          <t>142/000123</t>
        </is>
      </c>
    </row>
    <row r="1973">
      <c r="A1973">
        <f>TRIM(BASE_EQUIPOS!N1973)</f>
        <v/>
      </c>
      <c r="B1973">
        <f>BASE_EQUIPOS!A1973</f>
        <v/>
      </c>
      <c r="C1973">
        <f>BASE_EQUIPOS!B1973</f>
        <v/>
      </c>
      <c r="D1973">
        <f>BASE_EQUIPOS!D1973</f>
        <v/>
      </c>
      <c r="E1973">
        <f>BASE_EQUIPOS!G1973</f>
        <v/>
      </c>
      <c r="F1973">
        <f>BASE_EQUIPOS!H1973</f>
        <v/>
      </c>
      <c r="G1973">
        <f>BASE_EQUIPOS!M1973</f>
        <v/>
      </c>
      <c r="I1973" t="inlineStr">
        <is>
          <t>58/000312</t>
        </is>
      </c>
    </row>
    <row r="1974">
      <c r="A1974">
        <f>TRIM(BASE_EQUIPOS!N1974)</f>
        <v/>
      </c>
      <c r="B1974">
        <f>BASE_EQUIPOS!A1974</f>
        <v/>
      </c>
      <c r="C1974">
        <f>BASE_EQUIPOS!B1974</f>
        <v/>
      </c>
      <c r="D1974">
        <f>BASE_EQUIPOS!D1974</f>
        <v/>
      </c>
      <c r="E1974">
        <f>BASE_EQUIPOS!G1974</f>
        <v/>
      </c>
      <c r="F1974">
        <f>BASE_EQUIPOS!H1974</f>
        <v/>
      </c>
      <c r="G1974">
        <f>BASE_EQUIPOS!M1974</f>
        <v/>
      </c>
      <c r="I1974" t="inlineStr">
        <is>
          <t>S/N/000003</t>
        </is>
      </c>
    </row>
    <row r="1975">
      <c r="A1975">
        <f>TRIM(BASE_EQUIPOS!N1975)</f>
        <v/>
      </c>
      <c r="B1975">
        <f>BASE_EQUIPOS!A1975</f>
        <v/>
      </c>
      <c r="C1975">
        <f>BASE_EQUIPOS!B1975</f>
        <v/>
      </c>
      <c r="D1975">
        <f>BASE_EQUIPOS!D1975</f>
        <v/>
      </c>
      <c r="E1975">
        <f>BASE_EQUIPOS!G1975</f>
        <v/>
      </c>
      <c r="F1975">
        <f>BASE_EQUIPOS!H1975</f>
        <v/>
      </c>
      <c r="G1975">
        <f>BASE_EQUIPOS!M1975</f>
        <v/>
      </c>
      <c r="I1975" t="inlineStr">
        <is>
          <t>255/000108</t>
        </is>
      </c>
    </row>
    <row r="1976">
      <c r="A1976">
        <f>TRIM(BASE_EQUIPOS!N1976)</f>
        <v/>
      </c>
      <c r="B1976">
        <f>BASE_EQUIPOS!A1976</f>
        <v/>
      </c>
      <c r="C1976">
        <f>BASE_EQUIPOS!B1976</f>
        <v/>
      </c>
      <c r="D1976">
        <f>BASE_EQUIPOS!D1976</f>
        <v/>
      </c>
      <c r="E1976">
        <f>BASE_EQUIPOS!G1976</f>
        <v/>
      </c>
      <c r="F1976">
        <f>BASE_EQUIPOS!H1976</f>
        <v/>
      </c>
      <c r="G1976">
        <f>BASE_EQUIPOS!M1976</f>
        <v/>
      </c>
      <c r="I1976" t="inlineStr">
        <is>
          <t>336/000307</t>
        </is>
      </c>
    </row>
    <row r="1977">
      <c r="A1977">
        <f>TRIM(BASE_EQUIPOS!N1977)</f>
        <v/>
      </c>
      <c r="B1977">
        <f>BASE_EQUIPOS!A1977</f>
        <v/>
      </c>
      <c r="C1977">
        <f>BASE_EQUIPOS!B1977</f>
        <v/>
      </c>
      <c r="D1977">
        <f>BASE_EQUIPOS!D1977</f>
        <v/>
      </c>
      <c r="E1977">
        <f>BASE_EQUIPOS!G1977</f>
        <v/>
      </c>
      <c r="F1977">
        <f>BASE_EQUIPOS!H1977</f>
        <v/>
      </c>
      <c r="G1977">
        <f>BASE_EQUIPOS!M1977</f>
        <v/>
      </c>
      <c r="I1977" t="inlineStr">
        <is>
          <t>S/N/000483</t>
        </is>
      </c>
    </row>
    <row r="1978">
      <c r="A1978">
        <f>TRIM(BASE_EQUIPOS!N1978)</f>
        <v/>
      </c>
      <c r="B1978">
        <f>BASE_EQUIPOS!A1978</f>
        <v/>
      </c>
      <c r="C1978">
        <f>BASE_EQUIPOS!B1978</f>
        <v/>
      </c>
      <c r="D1978">
        <f>BASE_EQUIPOS!D1978</f>
        <v/>
      </c>
      <c r="E1978">
        <f>BASE_EQUIPOS!G1978</f>
        <v/>
      </c>
      <c r="F1978">
        <f>BASE_EQUIPOS!H1978</f>
        <v/>
      </c>
      <c r="G1978">
        <f>BASE_EQUIPOS!M1978</f>
        <v/>
      </c>
      <c r="I1978" t="inlineStr">
        <is>
          <t>42/001270</t>
        </is>
      </c>
    </row>
    <row r="1979">
      <c r="A1979">
        <f>TRIM(BASE_EQUIPOS!N1979)</f>
        <v/>
      </c>
      <c r="B1979">
        <f>BASE_EQUIPOS!A1979</f>
        <v/>
      </c>
      <c r="C1979">
        <f>BASE_EQUIPOS!B1979</f>
        <v/>
      </c>
      <c r="D1979">
        <f>BASE_EQUIPOS!D1979</f>
        <v/>
      </c>
      <c r="E1979">
        <f>BASE_EQUIPOS!G1979</f>
        <v/>
      </c>
      <c r="F1979">
        <f>BASE_EQUIPOS!H1979</f>
        <v/>
      </c>
      <c r="G1979">
        <f>BASE_EQUIPOS!M1979</f>
        <v/>
      </c>
      <c r="I1979" t="inlineStr">
        <is>
          <t>303/001225</t>
        </is>
      </c>
    </row>
    <row r="1980">
      <c r="A1980">
        <f>TRIM(BASE_EQUIPOS!N1980)</f>
        <v/>
      </c>
      <c r="B1980">
        <f>BASE_EQUIPOS!A1980</f>
        <v/>
      </c>
      <c r="C1980">
        <f>BASE_EQUIPOS!B1980</f>
        <v/>
      </c>
      <c r="D1980">
        <f>BASE_EQUIPOS!D1980</f>
        <v/>
      </c>
      <c r="E1980">
        <f>BASE_EQUIPOS!G1980</f>
        <v/>
      </c>
      <c r="F1980">
        <f>BASE_EQUIPOS!H1980</f>
        <v/>
      </c>
      <c r="G1980">
        <f>BASE_EQUIPOS!M1980</f>
        <v/>
      </c>
      <c r="I1980" t="inlineStr">
        <is>
          <t>136/000008</t>
        </is>
      </c>
    </row>
    <row r="1981">
      <c r="A1981">
        <f>TRIM(BASE_EQUIPOS!N1981)</f>
        <v/>
      </c>
      <c r="B1981">
        <f>BASE_EQUIPOS!A1981</f>
        <v/>
      </c>
      <c r="C1981">
        <f>BASE_EQUIPOS!B1981</f>
        <v/>
      </c>
      <c r="D1981">
        <f>BASE_EQUIPOS!D1981</f>
        <v/>
      </c>
      <c r="E1981">
        <f>BASE_EQUIPOS!G1981</f>
        <v/>
      </c>
      <c r="F1981">
        <f>BASE_EQUIPOS!H1981</f>
        <v/>
      </c>
      <c r="G1981">
        <f>BASE_EQUIPOS!M1981</f>
        <v/>
      </c>
      <c r="I1981" t="inlineStr">
        <is>
          <t>S/N004887</t>
        </is>
      </c>
    </row>
    <row r="1982">
      <c r="A1982">
        <f>TRIM(BASE_EQUIPOS!N1982)</f>
        <v/>
      </c>
      <c r="B1982">
        <f>BASE_EQUIPOS!A1982</f>
        <v/>
      </c>
      <c r="C1982">
        <f>BASE_EQUIPOS!B1982</f>
        <v/>
      </c>
      <c r="D1982">
        <f>BASE_EQUIPOS!D1982</f>
        <v/>
      </c>
      <c r="E1982">
        <f>BASE_EQUIPOS!G1982</f>
        <v/>
      </c>
      <c r="F1982">
        <f>BASE_EQUIPOS!H1982</f>
        <v/>
      </c>
      <c r="G1982">
        <f>BASE_EQUIPOS!M1982</f>
        <v/>
      </c>
      <c r="I1982" t="inlineStr">
        <is>
          <t>106/000837</t>
        </is>
      </c>
    </row>
    <row r="1983">
      <c r="A1983">
        <f>TRIM(BASE_EQUIPOS!N1983)</f>
        <v/>
      </c>
      <c r="B1983">
        <f>BASE_EQUIPOS!A1983</f>
        <v/>
      </c>
      <c r="C1983">
        <f>BASE_EQUIPOS!B1983</f>
        <v/>
      </c>
      <c r="D1983">
        <f>BASE_EQUIPOS!D1983</f>
        <v/>
      </c>
      <c r="E1983">
        <f>BASE_EQUIPOS!G1983</f>
        <v/>
      </c>
      <c r="F1983">
        <f>BASE_EQUIPOS!H1983</f>
        <v/>
      </c>
      <c r="G1983">
        <f>BASE_EQUIPOS!M1983</f>
        <v/>
      </c>
      <c r="I1983" t="inlineStr">
        <is>
          <t>309/000234</t>
        </is>
      </c>
    </row>
    <row r="1984">
      <c r="A1984">
        <f>TRIM(BASE_EQUIPOS!N1984)</f>
        <v/>
      </c>
      <c r="B1984">
        <f>BASE_EQUIPOS!A1984</f>
        <v/>
      </c>
      <c r="C1984">
        <f>BASE_EQUIPOS!B1984</f>
        <v/>
      </c>
      <c r="D1984">
        <f>BASE_EQUIPOS!D1984</f>
        <v/>
      </c>
      <c r="E1984">
        <f>BASE_EQUIPOS!G1984</f>
        <v/>
      </c>
      <c r="F1984">
        <f>BASE_EQUIPOS!H1984</f>
        <v/>
      </c>
      <c r="G1984">
        <f>BASE_EQUIPOS!M1984</f>
        <v/>
      </c>
      <c r="I1984" t="inlineStr">
        <is>
          <t>S/N/000313</t>
        </is>
      </c>
    </row>
    <row r="1985">
      <c r="A1985">
        <f>TRIM(BASE_EQUIPOS!N1985)</f>
        <v/>
      </c>
      <c r="B1985">
        <f>BASE_EQUIPOS!A1985</f>
        <v/>
      </c>
      <c r="C1985">
        <f>BASE_EQUIPOS!B1985</f>
        <v/>
      </c>
      <c r="D1985">
        <f>BASE_EQUIPOS!D1985</f>
        <v/>
      </c>
      <c r="E1985">
        <f>BASE_EQUIPOS!G1985</f>
        <v/>
      </c>
      <c r="F1985">
        <f>BASE_EQUIPOS!H1985</f>
        <v/>
      </c>
      <c r="G1985">
        <f>BASE_EQUIPOS!M1985</f>
        <v/>
      </c>
      <c r="I1985" t="inlineStr">
        <is>
          <t>34/001548</t>
        </is>
      </c>
    </row>
    <row r="1986">
      <c r="A1986">
        <f>TRIM(BASE_EQUIPOS!N1986)</f>
        <v/>
      </c>
      <c r="B1986">
        <f>BASE_EQUIPOS!A1986</f>
        <v/>
      </c>
      <c r="C1986">
        <f>BASE_EQUIPOS!B1986</f>
        <v/>
      </c>
      <c r="D1986">
        <f>BASE_EQUIPOS!D1986</f>
        <v/>
      </c>
      <c r="E1986">
        <f>BASE_EQUIPOS!G1986</f>
        <v/>
      </c>
      <c r="F1986">
        <f>BASE_EQUIPOS!H1986</f>
        <v/>
      </c>
      <c r="G1986">
        <f>BASE_EQUIPOS!M1986</f>
        <v/>
      </c>
      <c r="I1986" t="inlineStr">
        <is>
          <t>100/000139</t>
        </is>
      </c>
    </row>
    <row r="1987">
      <c r="A1987">
        <f>TRIM(BASE_EQUIPOS!N1987)</f>
        <v/>
      </c>
      <c r="B1987">
        <f>BASE_EQUIPOS!A1987</f>
        <v/>
      </c>
      <c r="C1987">
        <f>BASE_EQUIPOS!B1987</f>
        <v/>
      </c>
      <c r="D1987">
        <f>BASE_EQUIPOS!D1987</f>
        <v/>
      </c>
      <c r="E1987">
        <f>BASE_EQUIPOS!G1987</f>
        <v/>
      </c>
      <c r="F1987">
        <f>BASE_EQUIPOS!H1987</f>
        <v/>
      </c>
      <c r="G1987">
        <f>BASE_EQUIPOS!M1987</f>
        <v/>
      </c>
      <c r="I1987" t="inlineStr">
        <is>
          <t>S/N/153208</t>
        </is>
      </c>
    </row>
    <row r="1988">
      <c r="A1988">
        <f>TRIM(BASE_EQUIPOS!N1988)</f>
        <v/>
      </c>
      <c r="B1988">
        <f>BASE_EQUIPOS!A1988</f>
        <v/>
      </c>
      <c r="C1988">
        <f>BASE_EQUIPOS!B1988</f>
        <v/>
      </c>
      <c r="D1988">
        <f>BASE_EQUIPOS!D1988</f>
        <v/>
      </c>
      <c r="E1988">
        <f>BASE_EQUIPOS!G1988</f>
        <v/>
      </c>
      <c r="F1988">
        <f>BASE_EQUIPOS!H1988</f>
        <v/>
      </c>
      <c r="G1988">
        <f>BASE_EQUIPOS!M1988</f>
        <v/>
      </c>
      <c r="I1988" t="inlineStr">
        <is>
          <t>S/N/001010</t>
        </is>
      </c>
    </row>
    <row r="1989">
      <c r="A1989">
        <f>TRIM(BASE_EQUIPOS!N1989)</f>
        <v/>
      </c>
      <c r="B1989">
        <f>BASE_EQUIPOS!A1989</f>
        <v/>
      </c>
      <c r="C1989">
        <f>BASE_EQUIPOS!B1989</f>
        <v/>
      </c>
      <c r="D1989">
        <f>BASE_EQUIPOS!D1989</f>
        <v/>
      </c>
      <c r="E1989">
        <f>BASE_EQUIPOS!G1989</f>
        <v/>
      </c>
      <c r="F1989">
        <f>BASE_EQUIPOS!H1989</f>
        <v/>
      </c>
      <c r="G1989">
        <f>BASE_EQUIPOS!M1989</f>
        <v/>
      </c>
      <c r="I1989" t="inlineStr">
        <is>
          <t>S/N/010936</t>
        </is>
      </c>
    </row>
    <row r="1990">
      <c r="A1990">
        <f>TRIM(BASE_EQUIPOS!N1990)</f>
        <v/>
      </c>
      <c r="B1990">
        <f>BASE_EQUIPOS!A1990</f>
        <v/>
      </c>
      <c r="C1990">
        <f>BASE_EQUIPOS!B1990</f>
        <v/>
      </c>
      <c r="D1990">
        <f>BASE_EQUIPOS!D1990</f>
        <v/>
      </c>
      <c r="E1990">
        <f>BASE_EQUIPOS!G1990</f>
        <v/>
      </c>
      <c r="F1990">
        <f>BASE_EQUIPOS!H1990</f>
        <v/>
      </c>
      <c r="G1990">
        <f>BASE_EQUIPOS!M1990</f>
        <v/>
      </c>
      <c r="I1990" t="inlineStr">
        <is>
          <t>155/001375</t>
        </is>
      </c>
    </row>
    <row r="1991">
      <c r="A1991">
        <f>TRIM(BASE_EQUIPOS!N1991)</f>
        <v/>
      </c>
      <c r="B1991">
        <f>BASE_EQUIPOS!A1991</f>
        <v/>
      </c>
      <c r="C1991">
        <f>BASE_EQUIPOS!B1991</f>
        <v/>
      </c>
      <c r="D1991">
        <f>BASE_EQUIPOS!D1991</f>
        <v/>
      </c>
      <c r="E1991">
        <f>BASE_EQUIPOS!G1991</f>
        <v/>
      </c>
      <c r="F1991">
        <f>BASE_EQUIPOS!H1991</f>
        <v/>
      </c>
      <c r="G1991">
        <f>BASE_EQUIPOS!M1991</f>
        <v/>
      </c>
      <c r="I1991" t="inlineStr">
        <is>
          <t>304/001244</t>
        </is>
      </c>
    </row>
    <row r="1992">
      <c r="A1992">
        <f>TRIM(BASE_EQUIPOS!N1992)</f>
        <v/>
      </c>
      <c r="B1992">
        <f>BASE_EQUIPOS!A1992</f>
        <v/>
      </c>
      <c r="C1992">
        <f>BASE_EQUIPOS!B1992</f>
        <v/>
      </c>
      <c r="D1992">
        <f>BASE_EQUIPOS!D1992</f>
        <v/>
      </c>
      <c r="E1992">
        <f>BASE_EQUIPOS!G1992</f>
        <v/>
      </c>
      <c r="F1992">
        <f>BASE_EQUIPOS!H1992</f>
        <v/>
      </c>
      <c r="G1992">
        <f>BASE_EQUIPOS!M1992</f>
        <v/>
      </c>
      <c r="I1992" t="inlineStr">
        <is>
          <t>342/000934</t>
        </is>
      </c>
    </row>
    <row r="1993">
      <c r="A1993">
        <f>TRIM(BASE_EQUIPOS!N1993)</f>
        <v/>
      </c>
      <c r="B1993">
        <f>BASE_EQUIPOS!A1993</f>
        <v/>
      </c>
      <c r="C1993">
        <f>BASE_EQUIPOS!B1993</f>
        <v/>
      </c>
      <c r="D1993">
        <f>BASE_EQUIPOS!D1993</f>
        <v/>
      </c>
      <c r="E1993">
        <f>BASE_EQUIPOS!G1993</f>
        <v/>
      </c>
      <c r="F1993">
        <f>BASE_EQUIPOS!H1993</f>
        <v/>
      </c>
      <c r="G1993">
        <f>BASE_EQUIPOS!M1993</f>
        <v/>
      </c>
      <c r="I1993" t="inlineStr">
        <is>
          <t>S/N/000066</t>
        </is>
      </c>
    </row>
    <row r="1994">
      <c r="A1994">
        <f>TRIM(BASE_EQUIPOS!N1994)</f>
        <v/>
      </c>
      <c r="B1994">
        <f>BASE_EQUIPOS!A1994</f>
        <v/>
      </c>
      <c r="C1994">
        <f>BASE_EQUIPOS!B1994</f>
        <v/>
      </c>
      <c r="D1994">
        <f>BASE_EQUIPOS!D1994</f>
        <v/>
      </c>
      <c r="E1994">
        <f>BASE_EQUIPOS!G1994</f>
        <v/>
      </c>
      <c r="F1994">
        <f>BASE_EQUIPOS!H1994</f>
        <v/>
      </c>
      <c r="G1994">
        <f>BASE_EQUIPOS!M1994</f>
        <v/>
      </c>
      <c r="I1994" t="inlineStr">
        <is>
          <t>61/006508</t>
        </is>
      </c>
    </row>
    <row r="1995">
      <c r="A1995">
        <f>TRIM(BASE_EQUIPOS!N1995)</f>
        <v/>
      </c>
      <c r="B1995">
        <f>BASE_EQUIPOS!A1995</f>
        <v/>
      </c>
      <c r="C1995">
        <f>BASE_EQUIPOS!B1995</f>
        <v/>
      </c>
      <c r="D1995">
        <f>BASE_EQUIPOS!D1995</f>
        <v/>
      </c>
      <c r="E1995">
        <f>BASE_EQUIPOS!G1995</f>
        <v/>
      </c>
      <c r="F1995">
        <f>BASE_EQUIPOS!H1995</f>
        <v/>
      </c>
      <c r="G1995">
        <f>BASE_EQUIPOS!M1995</f>
        <v/>
      </c>
      <c r="I1995" t="inlineStr">
        <is>
          <t>128/006508</t>
        </is>
      </c>
    </row>
    <row r="1996">
      <c r="A1996">
        <f>TRIM(BASE_EQUIPOS!N1996)</f>
        <v/>
      </c>
      <c r="B1996">
        <f>BASE_EQUIPOS!A1996</f>
        <v/>
      </c>
      <c r="C1996">
        <f>BASE_EQUIPOS!B1996</f>
        <v/>
      </c>
      <c r="D1996">
        <f>BASE_EQUIPOS!D1996</f>
        <v/>
      </c>
      <c r="E1996">
        <f>BASE_EQUIPOS!G1996</f>
        <v/>
      </c>
      <c r="F1996">
        <f>BASE_EQUIPOS!H1996</f>
        <v/>
      </c>
      <c r="G1996">
        <f>BASE_EQUIPOS!M1996</f>
        <v/>
      </c>
      <c r="I1996" t="inlineStr">
        <is>
          <t>01/000561</t>
        </is>
      </c>
    </row>
    <row r="1997">
      <c r="A1997">
        <f>TRIM(BASE_EQUIPOS!N1997)</f>
        <v/>
      </c>
      <c r="B1997">
        <f>BASE_EQUIPOS!A1997</f>
        <v/>
      </c>
      <c r="C1997">
        <f>BASE_EQUIPOS!B1997</f>
        <v/>
      </c>
      <c r="D1997">
        <f>BASE_EQUIPOS!D1997</f>
        <v/>
      </c>
      <c r="E1997">
        <f>BASE_EQUIPOS!G1997</f>
        <v/>
      </c>
      <c r="F1997">
        <f>BASE_EQUIPOS!H1997</f>
        <v/>
      </c>
      <c r="G1997">
        <f>BASE_EQUIPOS!M1997</f>
        <v/>
      </c>
      <c r="I1997" t="inlineStr">
        <is>
          <t>S/N/000213</t>
        </is>
      </c>
    </row>
    <row r="1998">
      <c r="A1998">
        <f>TRIM(BASE_EQUIPOS!N1998)</f>
        <v/>
      </c>
      <c r="B1998">
        <f>BASE_EQUIPOS!A1998</f>
        <v/>
      </c>
      <c r="C1998">
        <f>BASE_EQUIPOS!B1998</f>
        <v/>
      </c>
      <c r="D1998">
        <f>BASE_EQUIPOS!D1998</f>
        <v/>
      </c>
      <c r="E1998">
        <f>BASE_EQUIPOS!G1998</f>
        <v/>
      </c>
      <c r="F1998">
        <f>BASE_EQUIPOS!H1998</f>
        <v/>
      </c>
      <c r="G1998">
        <f>BASE_EQUIPOS!M1998</f>
        <v/>
      </c>
      <c r="I1998" t="inlineStr">
        <is>
          <t>01/000017</t>
        </is>
      </c>
    </row>
    <row r="1999">
      <c r="A1999">
        <f>TRIM(BASE_EQUIPOS!N1999)</f>
        <v/>
      </c>
      <c r="B1999">
        <f>BASE_EQUIPOS!A1999</f>
        <v/>
      </c>
      <c r="C1999">
        <f>BASE_EQUIPOS!B1999</f>
        <v/>
      </c>
      <c r="D1999">
        <f>BASE_EQUIPOS!D1999</f>
        <v/>
      </c>
      <c r="E1999">
        <f>BASE_EQUIPOS!G1999</f>
        <v/>
      </c>
      <c r="F1999">
        <f>BASE_EQUIPOS!H1999</f>
        <v/>
      </c>
      <c r="G1999">
        <f>BASE_EQUIPOS!M1999</f>
        <v/>
      </c>
      <c r="I1999" t="inlineStr">
        <is>
          <t>01/000582</t>
        </is>
      </c>
    </row>
    <row r="2000">
      <c r="A2000">
        <f>TRIM(BASE_EQUIPOS!N2000)</f>
        <v/>
      </c>
      <c r="B2000">
        <f>BASE_EQUIPOS!A2000</f>
        <v/>
      </c>
      <c r="C2000">
        <f>BASE_EQUIPOS!B2000</f>
        <v/>
      </c>
      <c r="D2000">
        <f>BASE_EQUIPOS!D2000</f>
        <v/>
      </c>
      <c r="E2000">
        <f>BASE_EQUIPOS!G2000</f>
        <v/>
      </c>
      <c r="F2000">
        <f>BASE_EQUIPOS!H2000</f>
        <v/>
      </c>
      <c r="G2000">
        <f>BASE_EQUIPOS!M2000</f>
        <v/>
      </c>
      <c r="I2000" t="inlineStr">
        <is>
          <t>02/000608</t>
        </is>
      </c>
    </row>
    <row r="2001">
      <c r="A2001">
        <f>TRIM(BASE_EQUIPOS!N2001)</f>
        <v/>
      </c>
      <c r="B2001">
        <f>BASE_EQUIPOS!A2001</f>
        <v/>
      </c>
      <c r="C2001">
        <f>BASE_EQUIPOS!B2001</f>
        <v/>
      </c>
      <c r="D2001">
        <f>BASE_EQUIPOS!D2001</f>
        <v/>
      </c>
      <c r="E2001">
        <f>BASE_EQUIPOS!G2001</f>
        <v/>
      </c>
      <c r="F2001">
        <f>BASE_EQUIPOS!H2001</f>
        <v/>
      </c>
      <c r="G2001">
        <f>BASE_EQUIPOS!M2001</f>
        <v/>
      </c>
      <c r="I2001" t="inlineStr">
        <is>
          <t>01/048322</t>
        </is>
      </c>
    </row>
    <row r="2002">
      <c r="A2002">
        <f>TRIM(BASE_EQUIPOS!N2002)</f>
        <v/>
      </c>
      <c r="B2002">
        <f>BASE_EQUIPOS!A2002</f>
        <v/>
      </c>
      <c r="C2002">
        <f>BASE_EQUIPOS!B2002</f>
        <v/>
      </c>
      <c r="D2002">
        <f>BASE_EQUIPOS!D2002</f>
        <v/>
      </c>
      <c r="E2002">
        <f>BASE_EQUIPOS!G2002</f>
        <v/>
      </c>
      <c r="F2002">
        <f>BASE_EQUIPOS!H2002</f>
        <v/>
      </c>
      <c r="G2002">
        <f>BASE_EQUIPOS!M2002</f>
        <v/>
      </c>
      <c r="I2002" t="inlineStr">
        <is>
          <t>01/206081</t>
        </is>
      </c>
    </row>
    <row r="2003">
      <c r="A2003">
        <f>TRIM(BASE_EQUIPOS!N2003)</f>
        <v/>
      </c>
      <c r="B2003">
        <f>BASE_EQUIPOS!A2003</f>
        <v/>
      </c>
      <c r="C2003">
        <f>BASE_EQUIPOS!B2003</f>
        <v/>
      </c>
      <c r="D2003">
        <f>BASE_EQUIPOS!D2003</f>
        <v/>
      </c>
      <c r="E2003">
        <f>BASE_EQUIPOS!G2003</f>
        <v/>
      </c>
      <c r="F2003">
        <f>BASE_EQUIPOS!H2003</f>
        <v/>
      </c>
      <c r="G2003">
        <f>BASE_EQUIPOS!M2003</f>
        <v/>
      </c>
      <c r="I2003" t="inlineStr">
        <is>
          <t>02/008036</t>
        </is>
      </c>
    </row>
    <row r="2004">
      <c r="A2004">
        <f>TRIM(BASE_EQUIPOS!N2004)</f>
        <v/>
      </c>
      <c r="B2004">
        <f>BASE_EQUIPOS!A2004</f>
        <v/>
      </c>
      <c r="C2004">
        <f>BASE_EQUIPOS!B2004</f>
        <v/>
      </c>
      <c r="D2004">
        <f>BASE_EQUIPOS!D2004</f>
        <v/>
      </c>
      <c r="E2004">
        <f>BASE_EQUIPOS!G2004</f>
        <v/>
      </c>
      <c r="F2004">
        <f>BASE_EQUIPOS!H2004</f>
        <v/>
      </c>
      <c r="G2004">
        <f>BASE_EQUIPOS!M2004</f>
        <v/>
      </c>
      <c r="I2004" t="inlineStr">
        <is>
          <t>01/001323</t>
        </is>
      </c>
    </row>
    <row r="2005">
      <c r="A2005">
        <f>TRIM(BASE_EQUIPOS!N2005)</f>
        <v/>
      </c>
      <c r="B2005">
        <f>BASE_EQUIPOS!A2005</f>
        <v/>
      </c>
      <c r="C2005">
        <f>BASE_EQUIPOS!B2005</f>
        <v/>
      </c>
      <c r="D2005">
        <f>BASE_EQUIPOS!D2005</f>
        <v/>
      </c>
      <c r="E2005">
        <f>BASE_EQUIPOS!G2005</f>
        <v/>
      </c>
      <c r="F2005">
        <f>BASE_EQUIPOS!H2005</f>
        <v/>
      </c>
      <c r="G2005">
        <f>BASE_EQUIPOS!M2005</f>
        <v/>
      </c>
      <c r="I2005" t="inlineStr">
        <is>
          <t>01/006419</t>
        </is>
      </c>
    </row>
    <row r="2006">
      <c r="A2006">
        <f>TRIM(BASE_EQUIPOS!N2006)</f>
        <v/>
      </c>
      <c r="B2006">
        <f>BASE_EQUIPOS!A2006</f>
        <v/>
      </c>
      <c r="C2006">
        <f>BASE_EQUIPOS!B2006</f>
        <v/>
      </c>
      <c r="D2006">
        <f>BASE_EQUIPOS!D2006</f>
        <v/>
      </c>
      <c r="E2006">
        <f>BASE_EQUIPOS!G2006</f>
        <v/>
      </c>
      <c r="F2006">
        <f>BASE_EQUIPOS!H2006</f>
        <v/>
      </c>
      <c r="G2006">
        <f>BASE_EQUIPOS!M2006</f>
        <v/>
      </c>
      <c r="I2006" t="inlineStr">
        <is>
          <t>02/000120</t>
        </is>
      </c>
    </row>
    <row r="2007">
      <c r="A2007">
        <f>TRIM(BASE_EQUIPOS!N2007)</f>
        <v/>
      </c>
      <c r="B2007">
        <f>BASE_EQUIPOS!A2007</f>
        <v/>
      </c>
      <c r="C2007">
        <f>BASE_EQUIPOS!B2007</f>
        <v/>
      </c>
      <c r="D2007">
        <f>BASE_EQUIPOS!D2007</f>
        <v/>
      </c>
      <c r="E2007">
        <f>BASE_EQUIPOS!G2007</f>
        <v/>
      </c>
      <c r="F2007">
        <f>BASE_EQUIPOS!H2007</f>
        <v/>
      </c>
      <c r="G2007">
        <f>BASE_EQUIPOS!M2007</f>
        <v/>
      </c>
      <c r="I2007" t="inlineStr">
        <is>
          <t>01/006425</t>
        </is>
      </c>
    </row>
    <row r="2008">
      <c r="A2008">
        <f>TRIM(BASE_EQUIPOS!N2008)</f>
        <v/>
      </c>
      <c r="B2008">
        <f>BASE_EQUIPOS!A2008</f>
        <v/>
      </c>
      <c r="C2008">
        <f>BASE_EQUIPOS!B2008</f>
        <v/>
      </c>
      <c r="D2008">
        <f>BASE_EQUIPOS!D2008</f>
        <v/>
      </c>
      <c r="E2008">
        <f>BASE_EQUIPOS!G2008</f>
        <v/>
      </c>
      <c r="F2008">
        <f>BASE_EQUIPOS!H2008</f>
        <v/>
      </c>
      <c r="G2008">
        <f>BASE_EQUIPOS!M2008</f>
        <v/>
      </c>
      <c r="I2008" t="inlineStr">
        <is>
          <t>02/000195</t>
        </is>
      </c>
    </row>
    <row r="2009">
      <c r="A2009">
        <f>TRIM(BASE_EQUIPOS!N2009)</f>
        <v/>
      </c>
      <c r="B2009">
        <f>BASE_EQUIPOS!A2009</f>
        <v/>
      </c>
      <c r="C2009">
        <f>BASE_EQUIPOS!B2009</f>
        <v/>
      </c>
      <c r="D2009">
        <f>BASE_EQUIPOS!D2009</f>
        <v/>
      </c>
      <c r="E2009">
        <f>BASE_EQUIPOS!G2009</f>
        <v/>
      </c>
      <c r="F2009">
        <f>BASE_EQUIPOS!H2009</f>
        <v/>
      </c>
      <c r="G2009">
        <f>BASE_EQUIPOS!M2009</f>
        <v/>
      </c>
      <c r="I2009" t="inlineStr">
        <is>
          <t>09/001548</t>
        </is>
      </c>
    </row>
    <row r="2010">
      <c r="A2010">
        <f>TRIM(BASE_EQUIPOS!N2010)</f>
        <v/>
      </c>
      <c r="B2010">
        <f>BASE_EQUIPOS!A2010</f>
        <v/>
      </c>
      <c r="C2010">
        <f>BASE_EQUIPOS!B2010</f>
        <v/>
      </c>
      <c r="D2010">
        <f>BASE_EQUIPOS!D2010</f>
        <v/>
      </c>
      <c r="E2010">
        <f>BASE_EQUIPOS!G2010</f>
        <v/>
      </c>
      <c r="F2010">
        <f>BASE_EQUIPOS!H2010</f>
        <v/>
      </c>
      <c r="G2010">
        <f>BASE_EQUIPOS!M2010</f>
        <v/>
      </c>
      <c r="I2010" t="inlineStr">
        <is>
          <t>19/007813</t>
        </is>
      </c>
    </row>
    <row r="2011">
      <c r="A2011">
        <f>TRIM(BASE_EQUIPOS!N2011)</f>
        <v/>
      </c>
      <c r="B2011">
        <f>BASE_EQUIPOS!A2011</f>
        <v/>
      </c>
      <c r="C2011">
        <f>BASE_EQUIPOS!B2011</f>
        <v/>
      </c>
      <c r="D2011">
        <f>BASE_EQUIPOS!D2011</f>
        <v/>
      </c>
      <c r="E2011">
        <f>BASE_EQUIPOS!G2011</f>
        <v/>
      </c>
      <c r="F2011">
        <f>BASE_EQUIPOS!H2011</f>
        <v/>
      </c>
      <c r="G2011">
        <f>BASE_EQUIPOS!M2011</f>
        <v/>
      </c>
      <c r="I2011" t="inlineStr">
        <is>
          <t>363/001595</t>
        </is>
      </c>
    </row>
    <row r="2012">
      <c r="A2012">
        <f>TRIM(BASE_EQUIPOS!N2012)</f>
        <v/>
      </c>
      <c r="B2012">
        <f>BASE_EQUIPOS!A2012</f>
        <v/>
      </c>
      <c r="C2012">
        <f>BASE_EQUIPOS!B2012</f>
        <v/>
      </c>
      <c r="D2012">
        <f>BASE_EQUIPOS!D2012</f>
        <v/>
      </c>
      <c r="E2012">
        <f>BASE_EQUIPOS!G2012</f>
        <v/>
      </c>
      <c r="F2012">
        <f>BASE_EQUIPOS!H2012</f>
        <v/>
      </c>
      <c r="G2012">
        <f>BASE_EQUIPOS!M2012</f>
        <v/>
      </c>
      <c r="I2012" t="inlineStr">
        <is>
          <t>20/002474</t>
        </is>
      </c>
    </row>
    <row r="2013">
      <c r="A2013">
        <f>TRIM(BASE_EQUIPOS!N2013)</f>
        <v/>
      </c>
      <c r="B2013">
        <f>BASE_EQUIPOS!A2013</f>
        <v/>
      </c>
      <c r="C2013">
        <f>BASE_EQUIPOS!B2013</f>
        <v/>
      </c>
      <c r="D2013">
        <f>BASE_EQUIPOS!D2013</f>
        <v/>
      </c>
      <c r="E2013">
        <f>BASE_EQUIPOS!G2013</f>
        <v/>
      </c>
      <c r="F2013">
        <f>BASE_EQUIPOS!H2013</f>
        <v/>
      </c>
      <c r="G2013">
        <f>BASE_EQUIPOS!M2013</f>
        <v/>
      </c>
      <c r="I2013" t="inlineStr">
        <is>
          <t>289/000598</t>
        </is>
      </c>
    </row>
    <row r="2014">
      <c r="A2014">
        <f>TRIM(BASE_EQUIPOS!N2014)</f>
        <v/>
      </c>
      <c r="B2014">
        <f>BASE_EQUIPOS!A2014</f>
        <v/>
      </c>
      <c r="C2014">
        <f>BASE_EQUIPOS!B2014</f>
        <v/>
      </c>
      <c r="D2014">
        <f>BASE_EQUIPOS!D2014</f>
        <v/>
      </c>
      <c r="E2014">
        <f>BASE_EQUIPOS!G2014</f>
        <v/>
      </c>
      <c r="F2014">
        <f>BASE_EQUIPOS!H2014</f>
        <v/>
      </c>
      <c r="G2014">
        <f>BASE_EQUIPOS!M2014</f>
        <v/>
      </c>
      <c r="I2014" t="inlineStr">
        <is>
          <t>181/001803</t>
        </is>
      </c>
    </row>
    <row r="2015">
      <c r="A2015">
        <f>TRIM(BASE_EQUIPOS!N2015)</f>
        <v/>
      </c>
      <c r="B2015">
        <f>BASE_EQUIPOS!A2015</f>
        <v/>
      </c>
      <c r="C2015">
        <f>BASE_EQUIPOS!B2015</f>
        <v/>
      </c>
      <c r="D2015">
        <f>BASE_EQUIPOS!D2015</f>
        <v/>
      </c>
      <c r="E2015">
        <f>BASE_EQUIPOS!G2015</f>
        <v/>
      </c>
      <c r="F2015">
        <f>BASE_EQUIPOS!H2015</f>
        <v/>
      </c>
      <c r="G2015">
        <f>BASE_EQUIPOS!M2015</f>
        <v/>
      </c>
      <c r="I2015" t="inlineStr">
        <is>
          <t>194/001188</t>
        </is>
      </c>
    </row>
    <row r="2016">
      <c r="A2016">
        <f>TRIM(BASE_EQUIPOS!N2016)</f>
        <v/>
      </c>
      <c r="B2016">
        <f>BASE_EQUIPOS!A2016</f>
        <v/>
      </c>
      <c r="C2016">
        <f>BASE_EQUIPOS!B2016</f>
        <v/>
      </c>
      <c r="D2016">
        <f>BASE_EQUIPOS!D2016</f>
        <v/>
      </c>
      <c r="E2016">
        <f>BASE_EQUIPOS!G2016</f>
        <v/>
      </c>
      <c r="F2016">
        <f>BASE_EQUIPOS!H2016</f>
        <v/>
      </c>
      <c r="G2016">
        <f>BASE_EQUIPOS!M2016</f>
        <v/>
      </c>
      <c r="I2016" t="inlineStr">
        <is>
          <t>01/007646</t>
        </is>
      </c>
    </row>
    <row r="2017">
      <c r="A2017">
        <f>TRIM(BASE_EQUIPOS!N2017)</f>
        <v/>
      </c>
      <c r="B2017">
        <f>BASE_EQUIPOS!A2017</f>
        <v/>
      </c>
      <c r="C2017">
        <f>BASE_EQUIPOS!B2017</f>
        <v/>
      </c>
      <c r="D2017">
        <f>BASE_EQUIPOS!D2017</f>
        <v/>
      </c>
      <c r="E2017">
        <f>BASE_EQUIPOS!G2017</f>
        <v/>
      </c>
      <c r="F2017">
        <f>BASE_EQUIPOS!H2017</f>
        <v/>
      </c>
      <c r="G2017">
        <f>BASE_EQUIPOS!M2017</f>
        <v/>
      </c>
      <c r="I2017" t="inlineStr">
        <is>
          <t>03/016106</t>
        </is>
      </c>
    </row>
    <row r="2018">
      <c r="A2018">
        <f>TRIM(BASE_EQUIPOS!N2018)</f>
        <v/>
      </c>
      <c r="B2018">
        <f>BASE_EQUIPOS!A2018</f>
        <v/>
      </c>
      <c r="C2018">
        <f>BASE_EQUIPOS!B2018</f>
        <v/>
      </c>
      <c r="D2018">
        <f>BASE_EQUIPOS!D2018</f>
        <v/>
      </c>
      <c r="E2018">
        <f>BASE_EQUIPOS!G2018</f>
        <v/>
      </c>
      <c r="F2018">
        <f>BASE_EQUIPOS!H2018</f>
        <v/>
      </c>
      <c r="G2018">
        <f>BASE_EQUIPOS!M2018</f>
        <v/>
      </c>
      <c r="I2018" t="inlineStr">
        <is>
          <t>05/015794</t>
        </is>
      </c>
    </row>
    <row r="2019">
      <c r="A2019">
        <f>TRIM(BASE_EQUIPOS!N2019)</f>
        <v/>
      </c>
      <c r="B2019">
        <f>BASE_EQUIPOS!A2019</f>
        <v/>
      </c>
      <c r="C2019">
        <f>BASE_EQUIPOS!B2019</f>
        <v/>
      </c>
      <c r="D2019">
        <f>BASE_EQUIPOS!D2019</f>
        <v/>
      </c>
      <c r="E2019">
        <f>BASE_EQUIPOS!G2019</f>
        <v/>
      </c>
      <c r="F2019">
        <f>BASE_EQUIPOS!H2019</f>
        <v/>
      </c>
      <c r="G2019">
        <f>BASE_EQUIPOS!M2019</f>
        <v/>
      </c>
      <c r="I2019" t="inlineStr">
        <is>
          <t>06/015890</t>
        </is>
      </c>
    </row>
    <row r="2020">
      <c r="A2020">
        <f>TRIM(BASE_EQUIPOS!N2020)</f>
        <v/>
      </c>
      <c r="B2020">
        <f>BASE_EQUIPOS!A2020</f>
        <v/>
      </c>
      <c r="C2020">
        <f>BASE_EQUIPOS!B2020</f>
        <v/>
      </c>
      <c r="D2020">
        <f>BASE_EQUIPOS!D2020</f>
        <v/>
      </c>
      <c r="E2020">
        <f>BASE_EQUIPOS!G2020</f>
        <v/>
      </c>
      <c r="F2020">
        <f>BASE_EQUIPOS!H2020</f>
        <v/>
      </c>
      <c r="G2020">
        <f>BASE_EQUIPOS!M2020</f>
        <v/>
      </c>
      <c r="I2020" t="inlineStr">
        <is>
          <t>02/002536</t>
        </is>
      </c>
    </row>
    <row r="2021">
      <c r="A2021">
        <f>TRIM(BASE_EQUIPOS!N2021)</f>
        <v/>
      </c>
      <c r="B2021">
        <f>BASE_EQUIPOS!A2021</f>
        <v/>
      </c>
      <c r="C2021">
        <f>BASE_EQUIPOS!B2021</f>
        <v/>
      </c>
      <c r="D2021">
        <f>BASE_EQUIPOS!D2021</f>
        <v/>
      </c>
      <c r="E2021">
        <f>BASE_EQUIPOS!G2021</f>
        <v/>
      </c>
      <c r="F2021">
        <f>BASE_EQUIPOS!H2021</f>
        <v/>
      </c>
      <c r="G2021">
        <f>BASE_EQUIPOS!M2021</f>
        <v/>
      </c>
      <c r="I2021" t="inlineStr">
        <is>
          <t>01/000405</t>
        </is>
      </c>
    </row>
    <row r="2022">
      <c r="A2022">
        <f>TRIM(BASE_EQUIPOS!N2022)</f>
        <v/>
      </c>
      <c r="B2022">
        <f>BASE_EQUIPOS!A2022</f>
        <v/>
      </c>
      <c r="C2022">
        <f>BASE_EQUIPOS!B2022</f>
        <v/>
      </c>
      <c r="D2022">
        <f>BASE_EQUIPOS!D2022</f>
        <v/>
      </c>
      <c r="E2022">
        <f>BASE_EQUIPOS!G2022</f>
        <v/>
      </c>
      <c r="F2022">
        <f>BASE_EQUIPOS!H2022</f>
        <v/>
      </c>
      <c r="G2022">
        <f>BASE_EQUIPOS!M2022</f>
        <v/>
      </c>
      <c r="I2022" t="inlineStr">
        <is>
          <t>04/000378</t>
        </is>
      </c>
    </row>
    <row r="2023">
      <c r="A2023">
        <f>TRIM(BASE_EQUIPOS!N2023)</f>
        <v/>
      </c>
      <c r="B2023">
        <f>BASE_EQUIPOS!A2023</f>
        <v/>
      </c>
      <c r="C2023">
        <f>BASE_EQUIPOS!B2023</f>
        <v/>
      </c>
      <c r="D2023">
        <f>BASE_EQUIPOS!D2023</f>
        <v/>
      </c>
      <c r="E2023">
        <f>BASE_EQUIPOS!G2023</f>
        <v/>
      </c>
      <c r="F2023">
        <f>BASE_EQUIPOS!H2023</f>
        <v/>
      </c>
      <c r="G2023">
        <f>BASE_EQUIPOS!M2023</f>
        <v/>
      </c>
      <c r="I2023" t="inlineStr">
        <is>
          <t>01/001168</t>
        </is>
      </c>
    </row>
    <row r="2024">
      <c r="A2024">
        <f>TRIM(BASE_EQUIPOS!N2024)</f>
        <v/>
      </c>
      <c r="B2024">
        <f>BASE_EQUIPOS!A2024</f>
        <v/>
      </c>
      <c r="C2024">
        <f>BASE_EQUIPOS!B2024</f>
        <v/>
      </c>
      <c r="D2024">
        <f>BASE_EQUIPOS!D2024</f>
        <v/>
      </c>
      <c r="E2024">
        <f>BASE_EQUIPOS!G2024</f>
        <v/>
      </c>
      <c r="F2024">
        <f>BASE_EQUIPOS!H2024</f>
        <v/>
      </c>
      <c r="G2024">
        <f>BASE_EQUIPOS!M2024</f>
        <v/>
      </c>
      <c r="I2024" t="inlineStr">
        <is>
          <t>02/000475</t>
        </is>
      </c>
    </row>
    <row r="2025">
      <c r="A2025">
        <f>TRIM(BASE_EQUIPOS!N2025)</f>
        <v/>
      </c>
      <c r="B2025">
        <f>BASE_EQUIPOS!A2025</f>
        <v/>
      </c>
      <c r="C2025">
        <f>BASE_EQUIPOS!B2025</f>
        <v/>
      </c>
      <c r="D2025">
        <f>BASE_EQUIPOS!D2025</f>
        <v/>
      </c>
      <c r="E2025">
        <f>BASE_EQUIPOS!G2025</f>
        <v/>
      </c>
      <c r="F2025">
        <f>BASE_EQUIPOS!H2025</f>
        <v/>
      </c>
      <c r="G2025">
        <f>BASE_EQUIPOS!M2025</f>
        <v/>
      </c>
      <c r="I2025" t="inlineStr">
        <is>
          <t>29/011039</t>
        </is>
      </c>
    </row>
    <row r="2026">
      <c r="A2026">
        <f>TRIM(BASE_EQUIPOS!N2026)</f>
        <v/>
      </c>
      <c r="B2026">
        <f>BASE_EQUIPOS!A2026</f>
        <v/>
      </c>
      <c r="C2026">
        <f>BASE_EQUIPOS!B2026</f>
        <v/>
      </c>
      <c r="D2026">
        <f>BASE_EQUIPOS!D2026</f>
        <v/>
      </c>
      <c r="E2026">
        <f>BASE_EQUIPOS!G2026</f>
        <v/>
      </c>
      <c r="F2026">
        <f>BASE_EQUIPOS!H2026</f>
        <v/>
      </c>
      <c r="G2026">
        <f>BASE_EQUIPOS!M2026</f>
        <v/>
      </c>
      <c r="I2026" t="inlineStr">
        <is>
          <t>33/005946</t>
        </is>
      </c>
    </row>
    <row r="2027">
      <c r="A2027">
        <f>TRIM(BASE_EQUIPOS!N2027)</f>
        <v/>
      </c>
      <c r="B2027">
        <f>BASE_EQUIPOS!A2027</f>
        <v/>
      </c>
      <c r="C2027">
        <f>BASE_EQUIPOS!B2027</f>
        <v/>
      </c>
      <c r="D2027">
        <f>BASE_EQUIPOS!D2027</f>
        <v/>
      </c>
      <c r="E2027">
        <f>BASE_EQUIPOS!G2027</f>
        <v/>
      </c>
      <c r="F2027">
        <f>BASE_EQUIPOS!H2027</f>
        <v/>
      </c>
      <c r="G2027">
        <f>BASE_EQUIPOS!M2027</f>
        <v/>
      </c>
      <c r="I2027" t="inlineStr">
        <is>
          <t>36/000357</t>
        </is>
      </c>
    </row>
    <row r="2028">
      <c r="A2028">
        <f>TRIM(BASE_EQUIPOS!N2028)</f>
        <v/>
      </c>
      <c r="B2028">
        <f>BASE_EQUIPOS!A2028</f>
        <v/>
      </c>
      <c r="C2028">
        <f>BASE_EQUIPOS!B2028</f>
        <v/>
      </c>
      <c r="D2028">
        <f>BASE_EQUIPOS!D2028</f>
        <v/>
      </c>
      <c r="E2028">
        <f>BASE_EQUIPOS!G2028</f>
        <v/>
      </c>
      <c r="F2028">
        <f>BASE_EQUIPOS!H2028</f>
        <v/>
      </c>
      <c r="G2028">
        <f>BASE_EQUIPOS!M2028</f>
        <v/>
      </c>
      <c r="I2028" t="inlineStr">
        <is>
          <t>92/000649</t>
        </is>
      </c>
    </row>
    <row r="2029">
      <c r="A2029">
        <f>TRIM(BASE_EQUIPOS!N2029)</f>
        <v/>
      </c>
      <c r="B2029">
        <f>BASE_EQUIPOS!A2029</f>
        <v/>
      </c>
      <c r="C2029">
        <f>BASE_EQUIPOS!B2029</f>
        <v/>
      </c>
      <c r="D2029">
        <f>BASE_EQUIPOS!D2029</f>
        <v/>
      </c>
      <c r="E2029">
        <f>BASE_EQUIPOS!G2029</f>
        <v/>
      </c>
      <c r="F2029">
        <f>BASE_EQUIPOS!H2029</f>
        <v/>
      </c>
      <c r="G2029">
        <f>BASE_EQUIPOS!M2029</f>
        <v/>
      </c>
      <c r="I2029" t="inlineStr">
        <is>
          <t>98/0026712</t>
        </is>
      </c>
    </row>
    <row r="2030">
      <c r="A2030">
        <f>TRIM(BASE_EQUIPOS!N2030)</f>
        <v/>
      </c>
      <c r="B2030">
        <f>BASE_EQUIPOS!A2030</f>
        <v/>
      </c>
      <c r="C2030">
        <f>BASE_EQUIPOS!B2030</f>
        <v/>
      </c>
      <c r="D2030">
        <f>BASE_EQUIPOS!D2030</f>
        <v/>
      </c>
      <c r="E2030">
        <f>BASE_EQUIPOS!G2030</f>
        <v/>
      </c>
      <c r="F2030">
        <f>BASE_EQUIPOS!H2030</f>
        <v/>
      </c>
      <c r="G2030">
        <f>BASE_EQUIPOS!M2030</f>
        <v/>
      </c>
      <c r="I2030" t="inlineStr">
        <is>
          <t>106/000638</t>
        </is>
      </c>
    </row>
    <row r="2031">
      <c r="A2031">
        <f>TRIM(BASE_EQUIPOS!N2031)</f>
        <v/>
      </c>
      <c r="B2031">
        <f>BASE_EQUIPOS!A2031</f>
        <v/>
      </c>
      <c r="C2031">
        <f>BASE_EQUIPOS!B2031</f>
        <v/>
      </c>
      <c r="D2031">
        <f>BASE_EQUIPOS!D2031</f>
        <v/>
      </c>
      <c r="E2031">
        <f>BASE_EQUIPOS!G2031</f>
        <v/>
      </c>
      <c r="F2031">
        <f>BASE_EQUIPOS!H2031</f>
        <v/>
      </c>
      <c r="G2031">
        <f>BASE_EQUIPOS!M2031</f>
        <v/>
      </c>
      <c r="I2031" t="inlineStr">
        <is>
          <t>108/000108</t>
        </is>
      </c>
    </row>
    <row r="2032">
      <c r="A2032">
        <f>TRIM(BASE_EQUIPOS!N2032)</f>
        <v/>
      </c>
      <c r="B2032">
        <f>BASE_EQUIPOS!A2032</f>
        <v/>
      </c>
      <c r="C2032">
        <f>BASE_EQUIPOS!B2032</f>
        <v/>
      </c>
      <c r="D2032">
        <f>BASE_EQUIPOS!D2032</f>
        <v/>
      </c>
      <c r="E2032">
        <f>BASE_EQUIPOS!G2032</f>
        <v/>
      </c>
      <c r="F2032">
        <f>BASE_EQUIPOS!H2032</f>
        <v/>
      </c>
      <c r="G2032">
        <f>BASE_EQUIPOS!M2032</f>
        <v/>
      </c>
      <c r="I2032" t="inlineStr">
        <is>
          <t>248/001793</t>
        </is>
      </c>
    </row>
    <row r="2033">
      <c r="A2033">
        <f>TRIM(BASE_EQUIPOS!N2033)</f>
        <v/>
      </c>
      <c r="B2033">
        <f>BASE_EQUIPOS!A2033</f>
        <v/>
      </c>
      <c r="C2033">
        <f>BASE_EQUIPOS!B2033</f>
        <v/>
      </c>
      <c r="D2033">
        <f>BASE_EQUIPOS!D2033</f>
        <v/>
      </c>
      <c r="E2033">
        <f>BASE_EQUIPOS!G2033</f>
        <v/>
      </c>
      <c r="F2033">
        <f>BASE_EQUIPOS!H2033</f>
        <v/>
      </c>
      <c r="G2033">
        <f>BASE_EQUIPOS!M2033</f>
        <v/>
      </c>
      <c r="I2033" t="inlineStr">
        <is>
          <t>345/000070</t>
        </is>
      </c>
    </row>
    <row r="2034">
      <c r="A2034">
        <f>TRIM(BASE_EQUIPOS!N2034)</f>
        <v/>
      </c>
      <c r="B2034">
        <f>BASE_EQUIPOS!A2034</f>
        <v/>
      </c>
      <c r="C2034">
        <f>BASE_EQUIPOS!B2034</f>
        <v/>
      </c>
      <c r="D2034">
        <f>BASE_EQUIPOS!D2034</f>
        <v/>
      </c>
      <c r="E2034">
        <f>BASE_EQUIPOS!G2034</f>
        <v/>
      </c>
      <c r="F2034">
        <f>BASE_EQUIPOS!H2034</f>
        <v/>
      </c>
      <c r="G2034">
        <f>BASE_EQUIPOS!M2034</f>
        <v/>
      </c>
      <c r="I2034" t="inlineStr">
        <is>
          <t>01/SN</t>
        </is>
      </c>
    </row>
    <row r="2035">
      <c r="A2035">
        <f>TRIM(BASE_EQUIPOS!N2035)</f>
        <v/>
      </c>
      <c r="B2035">
        <f>BASE_EQUIPOS!A2035</f>
        <v/>
      </c>
      <c r="C2035">
        <f>BASE_EQUIPOS!B2035</f>
        <v/>
      </c>
      <c r="D2035">
        <f>BASE_EQUIPOS!D2035</f>
        <v/>
      </c>
      <c r="E2035">
        <f>BASE_EQUIPOS!G2035</f>
        <v/>
      </c>
      <c r="F2035">
        <f>BASE_EQUIPOS!H2035</f>
        <v/>
      </c>
      <c r="G2035">
        <f>BASE_EQUIPOS!M2035</f>
        <v/>
      </c>
      <c r="I2035" t="inlineStr">
        <is>
          <t>01/000375</t>
        </is>
      </c>
    </row>
    <row r="2036">
      <c r="A2036">
        <f>TRIM(BASE_EQUIPOS!N2036)</f>
        <v/>
      </c>
      <c r="B2036">
        <f>BASE_EQUIPOS!A2036</f>
        <v/>
      </c>
      <c r="C2036">
        <f>BASE_EQUIPOS!B2036</f>
        <v/>
      </c>
      <c r="D2036">
        <f>BASE_EQUIPOS!D2036</f>
        <v/>
      </c>
      <c r="E2036">
        <f>BASE_EQUIPOS!G2036</f>
        <v/>
      </c>
      <c r="F2036">
        <f>BASE_EQUIPOS!H2036</f>
        <v/>
      </c>
      <c r="G2036">
        <f>BASE_EQUIPOS!M2036</f>
        <v/>
      </c>
      <c r="I2036" t="inlineStr">
        <is>
          <t>02/001364</t>
        </is>
      </c>
    </row>
    <row r="2037">
      <c r="A2037">
        <f>TRIM(BASE_EQUIPOS!N2037)</f>
        <v/>
      </c>
      <c r="B2037">
        <f>BASE_EQUIPOS!A2037</f>
        <v/>
      </c>
      <c r="C2037">
        <f>BASE_EQUIPOS!B2037</f>
        <v/>
      </c>
      <c r="D2037">
        <f>BASE_EQUIPOS!D2037</f>
        <v/>
      </c>
      <c r="E2037">
        <f>BASE_EQUIPOS!G2037</f>
        <v/>
      </c>
      <c r="F2037">
        <f>BASE_EQUIPOS!H2037</f>
        <v/>
      </c>
      <c r="G2037">
        <f>BASE_EQUIPOS!M2037</f>
        <v/>
      </c>
      <c r="I2037" t="inlineStr">
        <is>
          <t>03/000010</t>
        </is>
      </c>
    </row>
    <row r="2038">
      <c r="A2038">
        <f>TRIM(BASE_EQUIPOS!N2038)</f>
        <v/>
      </c>
      <c r="B2038">
        <f>BASE_EQUIPOS!A2038</f>
        <v/>
      </c>
      <c r="C2038">
        <f>BASE_EQUIPOS!B2038</f>
        <v/>
      </c>
      <c r="D2038">
        <f>BASE_EQUIPOS!D2038</f>
        <v/>
      </c>
      <c r="E2038">
        <f>BASE_EQUIPOS!G2038</f>
        <v/>
      </c>
      <c r="F2038">
        <f>BASE_EQUIPOS!H2038</f>
        <v/>
      </c>
      <c r="G2038">
        <f>BASE_EQUIPOS!M2038</f>
        <v/>
      </c>
      <c r="I2038" t="inlineStr">
        <is>
          <t>01/001424</t>
        </is>
      </c>
    </row>
    <row r="2039">
      <c r="A2039">
        <f>TRIM(BASE_EQUIPOS!N2039)</f>
        <v/>
      </c>
      <c r="B2039">
        <f>BASE_EQUIPOS!A2039</f>
        <v/>
      </c>
      <c r="C2039">
        <f>BASE_EQUIPOS!B2039</f>
        <v/>
      </c>
      <c r="D2039">
        <f>BASE_EQUIPOS!D2039</f>
        <v/>
      </c>
      <c r="E2039">
        <f>BASE_EQUIPOS!G2039</f>
        <v/>
      </c>
      <c r="F2039">
        <f>BASE_EQUIPOS!H2039</f>
        <v/>
      </c>
      <c r="G2039">
        <f>BASE_EQUIPOS!M2039</f>
        <v/>
      </c>
      <c r="I2039" t="inlineStr">
        <is>
          <t>01/007534</t>
        </is>
      </c>
    </row>
    <row r="2040">
      <c r="A2040">
        <f>TRIM(BASE_EQUIPOS!N2040)</f>
        <v/>
      </c>
      <c r="B2040">
        <f>BASE_EQUIPOS!A2040</f>
        <v/>
      </c>
      <c r="C2040">
        <f>BASE_EQUIPOS!B2040</f>
        <v/>
      </c>
      <c r="D2040">
        <f>BASE_EQUIPOS!D2040</f>
        <v/>
      </c>
      <c r="E2040">
        <f>BASE_EQUIPOS!G2040</f>
        <v/>
      </c>
      <c r="F2040">
        <f>BASE_EQUIPOS!H2040</f>
        <v/>
      </c>
      <c r="G2040">
        <f>BASE_EQUIPOS!M2040</f>
        <v/>
      </c>
      <c r="I2040" t="inlineStr">
        <is>
          <t>09/010909</t>
        </is>
      </c>
    </row>
    <row r="2041">
      <c r="A2041">
        <f>TRIM(BASE_EQUIPOS!N2041)</f>
        <v/>
      </c>
      <c r="B2041">
        <f>BASE_EQUIPOS!A2041</f>
        <v/>
      </c>
      <c r="C2041">
        <f>BASE_EQUIPOS!B2041</f>
        <v/>
      </c>
      <c r="D2041">
        <f>BASE_EQUIPOS!D2041</f>
        <v/>
      </c>
      <c r="E2041">
        <f>BASE_EQUIPOS!G2041</f>
        <v/>
      </c>
      <c r="F2041">
        <f>BASE_EQUIPOS!H2041</f>
        <v/>
      </c>
      <c r="G2041">
        <f>BASE_EQUIPOS!M2041</f>
        <v/>
      </c>
      <c r="I2041" t="inlineStr">
        <is>
          <t>13/008215</t>
        </is>
      </c>
    </row>
    <row r="2042">
      <c r="A2042">
        <f>TRIM(BASE_EQUIPOS!N2042)</f>
        <v/>
      </c>
      <c r="B2042">
        <f>BASE_EQUIPOS!A2042</f>
        <v/>
      </c>
      <c r="C2042">
        <f>BASE_EQUIPOS!B2042</f>
        <v/>
      </c>
      <c r="D2042">
        <f>BASE_EQUIPOS!D2042</f>
        <v/>
      </c>
      <c r="E2042">
        <f>BASE_EQUIPOS!G2042</f>
        <v/>
      </c>
      <c r="F2042">
        <f>BASE_EQUIPOS!H2042</f>
        <v/>
      </c>
      <c r="G2042">
        <f>BASE_EQUIPOS!M2042</f>
        <v/>
      </c>
      <c r="I2042" t="inlineStr">
        <is>
          <t>11/000154</t>
        </is>
      </c>
    </row>
    <row r="2043">
      <c r="A2043">
        <f>TRIM(BASE_EQUIPOS!N2043)</f>
        <v/>
      </c>
      <c r="B2043">
        <f>BASE_EQUIPOS!A2043</f>
        <v/>
      </c>
      <c r="C2043">
        <f>BASE_EQUIPOS!B2043</f>
        <v/>
      </c>
      <c r="D2043">
        <f>BASE_EQUIPOS!D2043</f>
        <v/>
      </c>
      <c r="E2043">
        <f>BASE_EQUIPOS!G2043</f>
        <v/>
      </c>
      <c r="F2043">
        <f>BASE_EQUIPOS!H2043</f>
        <v/>
      </c>
      <c r="G2043">
        <f>BASE_EQUIPOS!M2043</f>
        <v/>
      </c>
      <c r="I2043" t="inlineStr">
        <is>
          <t>7/003056</t>
        </is>
      </c>
    </row>
    <row r="2044">
      <c r="A2044">
        <f>TRIM(BASE_EQUIPOS!N2044)</f>
        <v/>
      </c>
      <c r="B2044">
        <f>BASE_EQUIPOS!A2044</f>
        <v/>
      </c>
      <c r="C2044">
        <f>BASE_EQUIPOS!B2044</f>
        <v/>
      </c>
      <c r="D2044">
        <f>BASE_EQUIPOS!D2044</f>
        <v/>
      </c>
      <c r="E2044">
        <f>BASE_EQUIPOS!G2044</f>
        <v/>
      </c>
      <c r="F2044">
        <f>BASE_EQUIPOS!H2044</f>
        <v/>
      </c>
      <c r="G2044">
        <f>BASE_EQUIPOS!M2044</f>
        <v/>
      </c>
      <c r="I2044" t="inlineStr">
        <is>
          <t>17/000062</t>
        </is>
      </c>
    </row>
    <row r="2045">
      <c r="A2045">
        <f>TRIM(BASE_EQUIPOS!N2045)</f>
        <v/>
      </c>
      <c r="B2045">
        <f>BASE_EQUIPOS!A2045</f>
        <v/>
      </c>
      <c r="C2045">
        <f>BASE_EQUIPOS!B2045</f>
        <v/>
      </c>
      <c r="D2045">
        <f>BASE_EQUIPOS!D2045</f>
        <v/>
      </c>
      <c r="E2045">
        <f>BASE_EQUIPOS!G2045</f>
        <v/>
      </c>
      <c r="F2045">
        <f>BASE_EQUIPOS!H2045</f>
        <v/>
      </c>
      <c r="G2045">
        <f>BASE_EQUIPOS!M2045</f>
        <v/>
      </c>
      <c r="I2045" t="inlineStr">
        <is>
          <t>121/002509</t>
        </is>
      </c>
    </row>
    <row r="2046">
      <c r="A2046">
        <f>TRIM(BASE_EQUIPOS!N2046)</f>
        <v/>
      </c>
      <c r="B2046">
        <f>BASE_EQUIPOS!A2046</f>
        <v/>
      </c>
      <c r="C2046">
        <f>BASE_EQUIPOS!B2046</f>
        <v/>
      </c>
      <c r="D2046">
        <f>BASE_EQUIPOS!D2046</f>
        <v/>
      </c>
      <c r="E2046">
        <f>BASE_EQUIPOS!G2046</f>
        <v/>
      </c>
      <c r="F2046">
        <f>BASE_EQUIPOS!H2046</f>
        <v/>
      </c>
      <c r="G2046">
        <f>BASE_EQUIPOS!M2046</f>
        <v/>
      </c>
      <c r="I2046" t="inlineStr">
        <is>
          <t>18/001163</t>
        </is>
      </c>
    </row>
    <row r="2047">
      <c r="A2047">
        <f>TRIM(BASE_EQUIPOS!N2047)</f>
        <v/>
      </c>
      <c r="B2047">
        <f>BASE_EQUIPOS!A2047</f>
        <v/>
      </c>
      <c r="C2047">
        <f>BASE_EQUIPOS!B2047</f>
        <v/>
      </c>
      <c r="D2047">
        <f>BASE_EQUIPOS!D2047</f>
        <v/>
      </c>
      <c r="E2047">
        <f>BASE_EQUIPOS!G2047</f>
        <v/>
      </c>
      <c r="F2047">
        <f>BASE_EQUIPOS!H2047</f>
        <v/>
      </c>
      <c r="G2047">
        <f>BASE_EQUIPOS!M2047</f>
        <v/>
      </c>
      <c r="I2047" t="inlineStr">
        <is>
          <t>348/001137</t>
        </is>
      </c>
    </row>
    <row r="2048">
      <c r="A2048">
        <f>TRIM(BASE_EQUIPOS!N2048)</f>
        <v/>
      </c>
      <c r="B2048">
        <f>BASE_EQUIPOS!A2048</f>
        <v/>
      </c>
      <c r="C2048">
        <f>BASE_EQUIPOS!B2048</f>
        <v/>
      </c>
      <c r="D2048">
        <f>BASE_EQUIPOS!D2048</f>
        <v/>
      </c>
      <c r="E2048">
        <f>BASE_EQUIPOS!G2048</f>
        <v/>
      </c>
      <c r="F2048">
        <f>BASE_EQUIPOS!H2048</f>
        <v/>
      </c>
      <c r="G2048">
        <f>BASE_EQUIPOS!M2048</f>
        <v/>
      </c>
      <c r="I2048" t="inlineStr">
        <is>
          <t>368/002766</t>
        </is>
      </c>
    </row>
    <row r="2049">
      <c r="A2049">
        <f>TRIM(BASE_EQUIPOS!N2049)</f>
        <v/>
      </c>
      <c r="B2049">
        <f>BASE_EQUIPOS!A2049</f>
        <v/>
      </c>
      <c r="C2049">
        <f>BASE_EQUIPOS!B2049</f>
        <v/>
      </c>
      <c r="D2049">
        <f>BASE_EQUIPOS!D2049</f>
        <v/>
      </c>
      <c r="E2049">
        <f>BASE_EQUIPOS!G2049</f>
        <v/>
      </c>
      <c r="F2049">
        <f>BASE_EQUIPOS!H2049</f>
        <v/>
      </c>
      <c r="G2049">
        <f>BASE_EQUIPOS!M2049</f>
        <v/>
      </c>
      <c r="I2049" t="inlineStr">
        <is>
          <t>203/001605</t>
        </is>
      </c>
    </row>
    <row r="2050">
      <c r="A2050">
        <f>TRIM(BASE_EQUIPOS!N2050)</f>
        <v/>
      </c>
      <c r="B2050">
        <f>BASE_EQUIPOS!A2050</f>
        <v/>
      </c>
      <c r="C2050">
        <f>BASE_EQUIPOS!B2050</f>
        <v/>
      </c>
      <c r="D2050">
        <f>BASE_EQUIPOS!D2050</f>
        <v/>
      </c>
      <c r="E2050">
        <f>BASE_EQUIPOS!G2050</f>
        <v/>
      </c>
      <c r="F2050">
        <f>BASE_EQUIPOS!H2050</f>
        <v/>
      </c>
      <c r="G2050">
        <f>BASE_EQUIPOS!M2050</f>
        <v/>
      </c>
      <c r="I2050" t="inlineStr">
        <is>
          <t>381/001019</t>
        </is>
      </c>
    </row>
    <row r="2051">
      <c r="A2051">
        <f>TRIM(BASE_EQUIPOS!N2051)</f>
        <v/>
      </c>
      <c r="B2051">
        <f>BASE_EQUIPOS!A2051</f>
        <v/>
      </c>
      <c r="C2051">
        <f>BASE_EQUIPOS!B2051</f>
        <v/>
      </c>
      <c r="D2051">
        <f>BASE_EQUIPOS!D2051</f>
        <v/>
      </c>
      <c r="E2051">
        <f>BASE_EQUIPOS!G2051</f>
        <v/>
      </c>
      <c r="F2051">
        <f>BASE_EQUIPOS!H2051</f>
        <v/>
      </c>
      <c r="G2051">
        <f>BASE_EQUIPOS!M2051</f>
        <v/>
      </c>
      <c r="I2051" t="inlineStr">
        <is>
          <t>S/N/003327</t>
        </is>
      </c>
    </row>
    <row r="2052">
      <c r="A2052">
        <f>TRIM(BASE_EQUIPOS!N2052)</f>
        <v/>
      </c>
      <c r="B2052">
        <f>BASE_EQUIPOS!A2052</f>
        <v/>
      </c>
      <c r="C2052">
        <f>BASE_EQUIPOS!B2052</f>
        <v/>
      </c>
      <c r="D2052">
        <f>BASE_EQUIPOS!D2052</f>
        <v/>
      </c>
      <c r="E2052">
        <f>BASE_EQUIPOS!G2052</f>
        <v/>
      </c>
      <c r="F2052">
        <f>BASE_EQUIPOS!H2052</f>
        <v/>
      </c>
      <c r="G2052">
        <f>BASE_EQUIPOS!M2052</f>
        <v/>
      </c>
      <c r="I2052" t="inlineStr">
        <is>
          <t>S/N/000723</t>
        </is>
      </c>
    </row>
    <row r="2053">
      <c r="A2053">
        <f>TRIM(BASE_EQUIPOS!N2053)</f>
        <v/>
      </c>
      <c r="B2053">
        <f>BASE_EQUIPOS!A2053</f>
        <v/>
      </c>
      <c r="C2053">
        <f>BASE_EQUIPOS!B2053</f>
        <v/>
      </c>
      <c r="D2053">
        <f>BASE_EQUIPOS!D2053</f>
        <v/>
      </c>
      <c r="E2053">
        <f>BASE_EQUIPOS!G2053</f>
        <v/>
      </c>
      <c r="F2053">
        <f>BASE_EQUIPOS!H2053</f>
        <v/>
      </c>
      <c r="G2053">
        <f>BASE_EQUIPOS!M2053</f>
        <v/>
      </c>
      <c r="I2053" t="inlineStr">
        <is>
          <t>126/001005</t>
        </is>
      </c>
    </row>
    <row r="2054">
      <c r="A2054">
        <f>TRIM(BASE_EQUIPOS!N2054)</f>
        <v/>
      </c>
      <c r="B2054">
        <f>BASE_EQUIPOS!A2054</f>
        <v/>
      </c>
      <c r="C2054">
        <f>BASE_EQUIPOS!B2054</f>
        <v/>
      </c>
      <c r="D2054">
        <f>BASE_EQUIPOS!D2054</f>
        <v/>
      </c>
      <c r="E2054">
        <f>BASE_EQUIPOS!G2054</f>
        <v/>
      </c>
      <c r="F2054">
        <f>BASE_EQUIPOS!H2054</f>
        <v/>
      </c>
      <c r="G2054">
        <f>BASE_EQUIPOS!M2054</f>
        <v/>
      </c>
      <c r="I2054" t="inlineStr">
        <is>
          <t>148/000544</t>
        </is>
      </c>
    </row>
    <row r="2055">
      <c r="A2055">
        <f>TRIM(BASE_EQUIPOS!N2055)</f>
        <v/>
      </c>
      <c r="B2055">
        <f>BASE_EQUIPOS!A2055</f>
        <v/>
      </c>
      <c r="C2055">
        <f>BASE_EQUIPOS!B2055</f>
        <v/>
      </c>
      <c r="D2055">
        <f>BASE_EQUIPOS!D2055</f>
        <v/>
      </c>
      <c r="E2055">
        <f>BASE_EQUIPOS!G2055</f>
        <v/>
      </c>
      <c r="F2055">
        <f>BASE_EQUIPOS!H2055</f>
        <v/>
      </c>
      <c r="G2055">
        <f>BASE_EQUIPOS!M2055</f>
        <v/>
      </c>
      <c r="I2055" t="inlineStr">
        <is>
          <t>03/000011</t>
        </is>
      </c>
    </row>
    <row r="2056">
      <c r="A2056">
        <f>TRIM(BASE_EQUIPOS!N2056)</f>
        <v/>
      </c>
      <c r="B2056">
        <f>BASE_EQUIPOS!A2056</f>
        <v/>
      </c>
      <c r="C2056">
        <f>BASE_EQUIPOS!B2056</f>
        <v/>
      </c>
      <c r="D2056">
        <f>BASE_EQUIPOS!D2056</f>
        <v/>
      </c>
      <c r="E2056">
        <f>BASE_EQUIPOS!G2056</f>
        <v/>
      </c>
      <c r="F2056">
        <f>BASE_EQUIPOS!H2056</f>
        <v/>
      </c>
      <c r="G2056">
        <f>BASE_EQUIPOS!M2056</f>
        <v/>
      </c>
      <c r="I2056" t="inlineStr">
        <is>
          <t>20/000017</t>
        </is>
      </c>
    </row>
    <row r="2057">
      <c r="A2057">
        <f>TRIM(BASE_EQUIPOS!N2057)</f>
        <v/>
      </c>
      <c r="B2057">
        <f>BASE_EQUIPOS!A2057</f>
        <v/>
      </c>
      <c r="C2057">
        <f>BASE_EQUIPOS!B2057</f>
        <v/>
      </c>
      <c r="D2057">
        <f>BASE_EQUIPOS!D2057</f>
        <v/>
      </c>
      <c r="E2057">
        <f>BASE_EQUIPOS!G2057</f>
        <v/>
      </c>
      <c r="F2057">
        <f>BASE_EQUIPOS!H2057</f>
        <v/>
      </c>
      <c r="G2057">
        <f>BASE_EQUIPOS!M2057</f>
        <v/>
      </c>
      <c r="I2057" t="inlineStr">
        <is>
          <t>04/000249</t>
        </is>
      </c>
    </row>
    <row r="2058">
      <c r="A2058">
        <f>TRIM(BASE_EQUIPOS!N2058)</f>
        <v/>
      </c>
      <c r="B2058">
        <f>BASE_EQUIPOS!A2058</f>
        <v/>
      </c>
      <c r="C2058">
        <f>BASE_EQUIPOS!B2058</f>
        <v/>
      </c>
      <c r="D2058">
        <f>BASE_EQUIPOS!D2058</f>
        <v/>
      </c>
      <c r="E2058">
        <f>BASE_EQUIPOS!G2058</f>
        <v/>
      </c>
      <c r="F2058">
        <f>BASE_EQUIPOS!H2058</f>
        <v/>
      </c>
      <c r="G2058">
        <f>BASE_EQUIPOS!M2058</f>
        <v/>
      </c>
      <c r="I2058" t="inlineStr">
        <is>
          <t>01/000151</t>
        </is>
      </c>
    </row>
    <row r="2059">
      <c r="A2059">
        <f>TRIM(BASE_EQUIPOS!N2059)</f>
        <v/>
      </c>
      <c r="B2059">
        <f>BASE_EQUIPOS!A2059</f>
        <v/>
      </c>
      <c r="C2059">
        <f>BASE_EQUIPOS!B2059</f>
        <v/>
      </c>
      <c r="D2059">
        <f>BASE_EQUIPOS!D2059</f>
        <v/>
      </c>
      <c r="E2059">
        <f>BASE_EQUIPOS!G2059</f>
        <v/>
      </c>
      <c r="F2059">
        <f>BASE_EQUIPOS!H2059</f>
        <v/>
      </c>
      <c r="G2059">
        <f>BASE_EQUIPOS!M2059</f>
        <v/>
      </c>
      <c r="I2059" t="inlineStr">
        <is>
          <t>02/000702</t>
        </is>
      </c>
    </row>
    <row r="2060">
      <c r="A2060">
        <f>TRIM(BASE_EQUIPOS!N2060)</f>
        <v/>
      </c>
      <c r="B2060">
        <f>BASE_EQUIPOS!A2060</f>
        <v/>
      </c>
      <c r="C2060">
        <f>BASE_EQUIPOS!B2060</f>
        <v/>
      </c>
      <c r="D2060">
        <f>BASE_EQUIPOS!D2060</f>
        <v/>
      </c>
      <c r="E2060">
        <f>BASE_EQUIPOS!G2060</f>
        <v/>
      </c>
      <c r="F2060">
        <f>BASE_EQUIPOS!H2060</f>
        <v/>
      </c>
      <c r="G2060">
        <f>BASE_EQUIPOS!M2060</f>
        <v/>
      </c>
      <c r="I2060" t="inlineStr">
        <is>
          <t>03/000478</t>
        </is>
      </c>
    </row>
    <row r="2061">
      <c r="A2061">
        <f>TRIM(BASE_EQUIPOS!N2061)</f>
        <v/>
      </c>
      <c r="B2061">
        <f>BASE_EQUIPOS!A2061</f>
        <v/>
      </c>
      <c r="C2061">
        <f>BASE_EQUIPOS!B2061</f>
        <v/>
      </c>
      <c r="D2061">
        <f>BASE_EQUIPOS!D2061</f>
        <v/>
      </c>
      <c r="E2061">
        <f>BASE_EQUIPOS!G2061</f>
        <v/>
      </c>
      <c r="F2061">
        <f>BASE_EQUIPOS!H2061</f>
        <v/>
      </c>
      <c r="G2061">
        <f>BASE_EQUIPOS!M2061</f>
        <v/>
      </c>
      <c r="I2061" t="inlineStr">
        <is>
          <t>01/002697</t>
        </is>
      </c>
    </row>
    <row r="2062">
      <c r="A2062">
        <f>TRIM(BASE_EQUIPOS!N2062)</f>
        <v/>
      </c>
      <c r="B2062">
        <f>BASE_EQUIPOS!A2062</f>
        <v/>
      </c>
      <c r="C2062">
        <f>BASE_EQUIPOS!B2062</f>
        <v/>
      </c>
      <c r="D2062">
        <f>BASE_EQUIPOS!D2062</f>
        <v/>
      </c>
      <c r="E2062">
        <f>BASE_EQUIPOS!G2062</f>
        <v/>
      </c>
      <c r="F2062">
        <f>BASE_EQUIPOS!H2062</f>
        <v/>
      </c>
      <c r="G2062">
        <f>BASE_EQUIPOS!M2062</f>
        <v/>
      </c>
      <c r="I2062" t="inlineStr">
        <is>
          <t>02/306139</t>
        </is>
      </c>
    </row>
    <row r="2063">
      <c r="A2063">
        <f>TRIM(BASE_EQUIPOS!N2063)</f>
        <v/>
      </c>
      <c r="B2063">
        <f>BASE_EQUIPOS!A2063</f>
        <v/>
      </c>
      <c r="C2063">
        <f>BASE_EQUIPOS!B2063</f>
        <v/>
      </c>
      <c r="D2063">
        <f>BASE_EQUIPOS!D2063</f>
        <v/>
      </c>
      <c r="E2063">
        <f>BASE_EQUIPOS!G2063</f>
        <v/>
      </c>
      <c r="F2063">
        <f>BASE_EQUIPOS!H2063</f>
        <v/>
      </c>
      <c r="G2063">
        <f>BASE_EQUIPOS!M2063</f>
        <v/>
      </c>
      <c r="I2063" t="inlineStr">
        <is>
          <t>02/000369</t>
        </is>
      </c>
    </row>
    <row r="2064">
      <c r="A2064">
        <f>TRIM(BASE_EQUIPOS!N2064)</f>
        <v/>
      </c>
      <c r="B2064">
        <f>BASE_EQUIPOS!A2064</f>
        <v/>
      </c>
      <c r="C2064">
        <f>BASE_EQUIPOS!B2064</f>
        <v/>
      </c>
      <c r="D2064">
        <f>BASE_EQUIPOS!D2064</f>
        <v/>
      </c>
      <c r="E2064">
        <f>BASE_EQUIPOS!G2064</f>
        <v/>
      </c>
      <c r="F2064">
        <f>BASE_EQUIPOS!H2064</f>
        <v/>
      </c>
      <c r="G2064">
        <f>BASE_EQUIPOS!M2064</f>
        <v/>
      </c>
      <c r="I2064" t="inlineStr">
        <is>
          <t>S/N/000389</t>
        </is>
      </c>
    </row>
    <row r="2065">
      <c r="A2065">
        <f>TRIM(BASE_EQUIPOS!N2065)</f>
        <v/>
      </c>
      <c r="B2065">
        <f>BASE_EQUIPOS!A2065</f>
        <v/>
      </c>
      <c r="C2065">
        <f>BASE_EQUIPOS!B2065</f>
        <v/>
      </c>
      <c r="D2065">
        <f>BASE_EQUIPOS!D2065</f>
        <v/>
      </c>
      <c r="E2065">
        <f>BASE_EQUIPOS!G2065</f>
        <v/>
      </c>
      <c r="F2065">
        <f>BASE_EQUIPOS!H2065</f>
        <v/>
      </c>
      <c r="G2065">
        <f>BASE_EQUIPOS!M2065</f>
        <v/>
      </c>
      <c r="I2065" t="inlineStr">
        <is>
          <t>S/N/001978</t>
        </is>
      </c>
    </row>
    <row r="2066">
      <c r="A2066">
        <f>TRIM(BASE_EQUIPOS!N2066)</f>
        <v/>
      </c>
      <c r="B2066">
        <f>BASE_EQUIPOS!A2066</f>
        <v/>
      </c>
      <c r="C2066">
        <f>BASE_EQUIPOS!B2066</f>
        <v/>
      </c>
      <c r="D2066">
        <f>BASE_EQUIPOS!D2066</f>
        <v/>
      </c>
      <c r="E2066">
        <f>BASE_EQUIPOS!G2066</f>
        <v/>
      </c>
      <c r="F2066">
        <f>BASE_EQUIPOS!H2066</f>
        <v/>
      </c>
      <c r="G2066">
        <f>BASE_EQUIPOS!M2066</f>
        <v/>
      </c>
      <c r="I2066" t="inlineStr">
        <is>
          <t>S/N/358911</t>
        </is>
      </c>
    </row>
    <row r="2067">
      <c r="A2067">
        <f>TRIM(BASE_EQUIPOS!N2067)</f>
        <v/>
      </c>
      <c r="B2067">
        <f>BASE_EQUIPOS!A2067</f>
        <v/>
      </c>
      <c r="C2067">
        <f>BASE_EQUIPOS!B2067</f>
        <v/>
      </c>
      <c r="D2067">
        <f>BASE_EQUIPOS!D2067</f>
        <v/>
      </c>
      <c r="E2067">
        <f>BASE_EQUIPOS!G2067</f>
        <v/>
      </c>
      <c r="F2067">
        <f>BASE_EQUIPOS!H2067</f>
        <v/>
      </c>
      <c r="G2067">
        <f>BASE_EQUIPOS!M2067</f>
        <v/>
      </c>
      <c r="I2067" t="inlineStr">
        <is>
          <t>S/N/00974</t>
        </is>
      </c>
    </row>
    <row r="2068">
      <c r="A2068">
        <f>TRIM(BASE_EQUIPOS!N2068)</f>
        <v/>
      </c>
      <c r="B2068">
        <f>BASE_EQUIPOS!A2068</f>
        <v/>
      </c>
      <c r="C2068">
        <f>BASE_EQUIPOS!B2068</f>
        <v/>
      </c>
      <c r="D2068">
        <f>BASE_EQUIPOS!D2068</f>
        <v/>
      </c>
      <c r="E2068">
        <f>BASE_EQUIPOS!G2068</f>
        <v/>
      </c>
      <c r="F2068">
        <f>BASE_EQUIPOS!H2068</f>
        <v/>
      </c>
      <c r="G2068">
        <f>BASE_EQUIPOS!M2068</f>
        <v/>
      </c>
      <c r="I2068" t="inlineStr">
        <is>
          <t>S/N/000702</t>
        </is>
      </c>
    </row>
    <row r="2069">
      <c r="A2069">
        <f>TRIM(BASE_EQUIPOS!N2069)</f>
        <v/>
      </c>
      <c r="B2069">
        <f>BASE_EQUIPOS!A2069</f>
        <v/>
      </c>
      <c r="C2069">
        <f>BASE_EQUIPOS!B2069</f>
        <v/>
      </c>
      <c r="D2069">
        <f>BASE_EQUIPOS!D2069</f>
        <v/>
      </c>
      <c r="E2069">
        <f>BASE_EQUIPOS!G2069</f>
        <v/>
      </c>
      <c r="F2069">
        <f>BASE_EQUIPOS!H2069</f>
        <v/>
      </c>
      <c r="G2069">
        <f>BASE_EQUIPOS!M2069</f>
        <v/>
      </c>
      <c r="I2069" t="inlineStr">
        <is>
          <t>S/N/000587</t>
        </is>
      </c>
    </row>
    <row r="2070">
      <c r="A2070">
        <f>TRIM(BASE_EQUIPOS!N2070)</f>
        <v/>
      </c>
      <c r="B2070">
        <f>BASE_EQUIPOS!A2070</f>
        <v/>
      </c>
      <c r="C2070">
        <f>BASE_EQUIPOS!B2070</f>
        <v/>
      </c>
      <c r="D2070">
        <f>BASE_EQUIPOS!D2070</f>
        <v/>
      </c>
      <c r="E2070">
        <f>BASE_EQUIPOS!G2070</f>
        <v/>
      </c>
      <c r="F2070">
        <f>BASE_EQUIPOS!H2070</f>
        <v/>
      </c>
      <c r="G2070">
        <f>BASE_EQUIPOS!M2070</f>
        <v/>
      </c>
      <c r="I2070" t="inlineStr">
        <is>
          <t>S/N/0010000</t>
        </is>
      </c>
    </row>
    <row r="2071">
      <c r="A2071">
        <f>TRIM(BASE_EQUIPOS!N2071)</f>
        <v/>
      </c>
      <c r="B2071">
        <f>BASE_EQUIPOS!A2071</f>
        <v/>
      </c>
      <c r="C2071">
        <f>BASE_EQUIPOS!B2071</f>
        <v/>
      </c>
      <c r="D2071">
        <f>BASE_EQUIPOS!D2071</f>
        <v/>
      </c>
      <c r="E2071">
        <f>BASE_EQUIPOS!G2071</f>
        <v/>
      </c>
      <c r="F2071">
        <f>BASE_EQUIPOS!H2071</f>
        <v/>
      </c>
      <c r="G2071">
        <f>BASE_EQUIPOS!M2071</f>
        <v/>
      </c>
      <c r="I2071" t="inlineStr">
        <is>
          <t>S/N/000833</t>
        </is>
      </c>
    </row>
    <row r="2072">
      <c r="A2072">
        <f>TRIM(BASE_EQUIPOS!N2072)</f>
        <v/>
      </c>
      <c r="B2072">
        <f>BASE_EQUIPOS!A2072</f>
        <v/>
      </c>
      <c r="C2072">
        <f>BASE_EQUIPOS!B2072</f>
        <v/>
      </c>
      <c r="D2072">
        <f>BASE_EQUIPOS!D2072</f>
        <v/>
      </c>
      <c r="E2072">
        <f>BASE_EQUIPOS!G2072</f>
        <v/>
      </c>
      <c r="F2072">
        <f>BASE_EQUIPOS!H2072</f>
        <v/>
      </c>
      <c r="G2072">
        <f>BASE_EQUIPOS!M2072</f>
        <v/>
      </c>
      <c r="I2072" t="inlineStr">
        <is>
          <t>S/N/001917</t>
        </is>
      </c>
    </row>
    <row r="2073">
      <c r="A2073">
        <f>TRIM(BASE_EQUIPOS!N2073)</f>
        <v/>
      </c>
      <c r="B2073">
        <f>BASE_EQUIPOS!A2073</f>
        <v/>
      </c>
      <c r="C2073">
        <f>BASE_EQUIPOS!B2073</f>
        <v/>
      </c>
      <c r="D2073">
        <f>BASE_EQUIPOS!D2073</f>
        <v/>
      </c>
      <c r="E2073">
        <f>BASE_EQUIPOS!G2073</f>
        <v/>
      </c>
      <c r="F2073">
        <f>BASE_EQUIPOS!H2073</f>
        <v/>
      </c>
      <c r="G2073">
        <f>BASE_EQUIPOS!M2073</f>
        <v/>
      </c>
      <c r="I2073" t="inlineStr">
        <is>
          <t>S/N/000887</t>
        </is>
      </c>
    </row>
    <row r="2074">
      <c r="A2074">
        <f>TRIM(BASE_EQUIPOS!N2074)</f>
        <v/>
      </c>
      <c r="B2074">
        <f>BASE_EQUIPOS!A2074</f>
        <v/>
      </c>
      <c r="C2074">
        <f>BASE_EQUIPOS!B2074</f>
        <v/>
      </c>
      <c r="D2074">
        <f>BASE_EQUIPOS!D2074</f>
        <v/>
      </c>
      <c r="E2074">
        <f>BASE_EQUIPOS!G2074</f>
        <v/>
      </c>
      <c r="F2074">
        <f>BASE_EQUIPOS!H2074</f>
        <v/>
      </c>
      <c r="G2074">
        <f>BASE_EQUIPOS!M2074</f>
        <v/>
      </c>
      <c r="I2074" t="inlineStr">
        <is>
          <t>S/N/001000</t>
        </is>
      </c>
    </row>
    <row r="2075">
      <c r="A2075">
        <f>TRIM(BASE_EQUIPOS!N2075)</f>
        <v/>
      </c>
      <c r="B2075">
        <f>BASE_EQUIPOS!A2075</f>
        <v/>
      </c>
      <c r="C2075">
        <f>BASE_EQUIPOS!B2075</f>
        <v/>
      </c>
      <c r="D2075">
        <f>BASE_EQUIPOS!D2075</f>
        <v/>
      </c>
      <c r="E2075">
        <f>BASE_EQUIPOS!G2075</f>
        <v/>
      </c>
      <c r="F2075">
        <f>BASE_EQUIPOS!H2075</f>
        <v/>
      </c>
      <c r="G2075">
        <f>BASE_EQUIPOS!M2075</f>
        <v/>
      </c>
      <c r="I2075" t="inlineStr">
        <is>
          <t>S/N/000817</t>
        </is>
      </c>
    </row>
    <row r="2076">
      <c r="A2076">
        <f>TRIM(BASE_EQUIPOS!N2076)</f>
        <v/>
      </c>
      <c r="B2076">
        <f>BASE_EQUIPOS!A2076</f>
        <v/>
      </c>
      <c r="C2076">
        <f>BASE_EQUIPOS!B2076</f>
        <v/>
      </c>
      <c r="D2076">
        <f>BASE_EQUIPOS!D2076</f>
        <v/>
      </c>
      <c r="E2076">
        <f>BASE_EQUIPOS!G2076</f>
        <v/>
      </c>
      <c r="F2076">
        <f>BASE_EQUIPOS!H2076</f>
        <v/>
      </c>
      <c r="G2076">
        <f>BASE_EQUIPOS!M2076</f>
        <v/>
      </c>
      <c r="I2076" t="inlineStr">
        <is>
          <t>S/N/000273</t>
        </is>
      </c>
    </row>
    <row r="2077">
      <c r="A2077">
        <f>TRIM(BASE_EQUIPOS!N2077)</f>
        <v/>
      </c>
      <c r="B2077">
        <f>BASE_EQUIPOS!A2077</f>
        <v/>
      </c>
      <c r="C2077">
        <f>BASE_EQUIPOS!B2077</f>
        <v/>
      </c>
      <c r="D2077">
        <f>BASE_EQUIPOS!D2077</f>
        <v/>
      </c>
      <c r="E2077">
        <f>BASE_EQUIPOS!G2077</f>
        <v/>
      </c>
      <c r="F2077">
        <f>BASE_EQUIPOS!H2077</f>
        <v/>
      </c>
      <c r="G2077">
        <f>BASE_EQUIPOS!M2077</f>
        <v/>
      </c>
      <c r="I2077" t="inlineStr">
        <is>
          <t>S/N/001007</t>
        </is>
      </c>
    </row>
    <row r="2078">
      <c r="A2078">
        <f>TRIM(BASE_EQUIPOS!N2078)</f>
        <v/>
      </c>
      <c r="B2078">
        <f>BASE_EQUIPOS!A2078</f>
        <v/>
      </c>
      <c r="C2078">
        <f>BASE_EQUIPOS!B2078</f>
        <v/>
      </c>
      <c r="D2078">
        <f>BASE_EQUIPOS!D2078</f>
        <v/>
      </c>
      <c r="E2078">
        <f>BASE_EQUIPOS!G2078</f>
        <v/>
      </c>
      <c r="F2078">
        <f>BASE_EQUIPOS!H2078</f>
        <v/>
      </c>
      <c r="G2078">
        <f>BASE_EQUIPOS!M2078</f>
        <v/>
      </c>
      <c r="I2078" t="inlineStr">
        <is>
          <t>10/000693</t>
        </is>
      </c>
    </row>
    <row r="2079">
      <c r="A2079">
        <f>TRIM(BASE_EQUIPOS!N2079)</f>
        <v/>
      </c>
      <c r="B2079">
        <f>BASE_EQUIPOS!A2079</f>
        <v/>
      </c>
      <c r="C2079">
        <f>BASE_EQUIPOS!B2079</f>
        <v/>
      </c>
      <c r="D2079">
        <f>BASE_EQUIPOS!D2079</f>
        <v/>
      </c>
      <c r="E2079">
        <f>BASE_EQUIPOS!G2079</f>
        <v/>
      </c>
      <c r="F2079">
        <f>BASE_EQUIPOS!H2079</f>
        <v/>
      </c>
      <c r="G2079">
        <f>BASE_EQUIPOS!M2079</f>
        <v/>
      </c>
      <c r="I2079" t="inlineStr">
        <is>
          <t>10/000850</t>
        </is>
      </c>
    </row>
    <row r="2080">
      <c r="A2080">
        <f>TRIM(BASE_EQUIPOS!N2080)</f>
        <v/>
      </c>
      <c r="B2080">
        <f>BASE_EQUIPOS!A2080</f>
        <v/>
      </c>
      <c r="C2080">
        <f>BASE_EQUIPOS!B2080</f>
        <v/>
      </c>
      <c r="D2080">
        <f>BASE_EQUIPOS!D2080</f>
        <v/>
      </c>
      <c r="E2080">
        <f>BASE_EQUIPOS!G2080</f>
        <v/>
      </c>
      <c r="F2080">
        <f>BASE_EQUIPOS!H2080</f>
        <v/>
      </c>
      <c r="G2080">
        <f>BASE_EQUIPOS!M2080</f>
        <v/>
      </c>
      <c r="I2080" t="inlineStr">
        <is>
          <t>10/000085</t>
        </is>
      </c>
    </row>
    <row r="2081">
      <c r="A2081">
        <f>TRIM(BASE_EQUIPOS!N2081)</f>
        <v/>
      </c>
      <c r="B2081">
        <f>BASE_EQUIPOS!A2081</f>
        <v/>
      </c>
      <c r="C2081">
        <f>BASE_EQUIPOS!B2081</f>
        <v/>
      </c>
      <c r="D2081">
        <f>BASE_EQUIPOS!D2081</f>
        <v/>
      </c>
      <c r="E2081">
        <f>BASE_EQUIPOS!G2081</f>
        <v/>
      </c>
      <c r="F2081">
        <f>BASE_EQUIPOS!H2081</f>
        <v/>
      </c>
      <c r="G2081">
        <f>BASE_EQUIPOS!M2081</f>
        <v/>
      </c>
      <c r="I2081" t="inlineStr">
        <is>
          <t>10/000653</t>
        </is>
      </c>
    </row>
    <row r="2082">
      <c r="A2082">
        <f>TRIM(BASE_EQUIPOS!N2082)</f>
        <v/>
      </c>
      <c r="B2082">
        <f>BASE_EQUIPOS!A2082</f>
        <v/>
      </c>
      <c r="C2082">
        <f>BASE_EQUIPOS!B2082</f>
        <v/>
      </c>
      <c r="D2082">
        <f>BASE_EQUIPOS!D2082</f>
        <v/>
      </c>
      <c r="E2082">
        <f>BASE_EQUIPOS!G2082</f>
        <v/>
      </c>
      <c r="F2082">
        <f>BASE_EQUIPOS!H2082</f>
        <v/>
      </c>
      <c r="G2082">
        <f>BASE_EQUIPOS!M2082</f>
        <v/>
      </c>
      <c r="I2082" t="inlineStr">
        <is>
          <t>10/000318</t>
        </is>
      </c>
    </row>
    <row r="2083">
      <c r="A2083">
        <f>TRIM(BASE_EQUIPOS!N2083)</f>
        <v/>
      </c>
      <c r="B2083">
        <f>BASE_EQUIPOS!A2083</f>
        <v/>
      </c>
      <c r="C2083">
        <f>BASE_EQUIPOS!B2083</f>
        <v/>
      </c>
      <c r="D2083">
        <f>BASE_EQUIPOS!D2083</f>
        <v/>
      </c>
      <c r="E2083">
        <f>BASE_EQUIPOS!G2083</f>
        <v/>
      </c>
      <c r="F2083">
        <f>BASE_EQUIPOS!H2083</f>
        <v/>
      </c>
      <c r="G2083">
        <f>BASE_EQUIPOS!M2083</f>
        <v/>
      </c>
      <c r="I2083" t="inlineStr">
        <is>
          <t>09/000565</t>
        </is>
      </c>
    </row>
    <row r="2084">
      <c r="A2084">
        <f>TRIM(BASE_EQUIPOS!N2084)</f>
        <v/>
      </c>
      <c r="B2084">
        <f>BASE_EQUIPOS!A2084</f>
        <v/>
      </c>
      <c r="C2084">
        <f>BASE_EQUIPOS!B2084</f>
        <v/>
      </c>
      <c r="D2084">
        <f>BASE_EQUIPOS!D2084</f>
        <v/>
      </c>
      <c r="E2084">
        <f>BASE_EQUIPOS!G2084</f>
        <v/>
      </c>
      <c r="F2084">
        <f>BASE_EQUIPOS!H2084</f>
        <v/>
      </c>
      <c r="G2084">
        <f>BASE_EQUIPOS!M2084</f>
        <v/>
      </c>
      <c r="I2084" t="inlineStr">
        <is>
          <t>10/000592</t>
        </is>
      </c>
    </row>
    <row r="2085">
      <c r="A2085">
        <f>TRIM(BASE_EQUIPOS!N2085)</f>
        <v/>
      </c>
      <c r="B2085">
        <f>BASE_EQUIPOS!A2085</f>
        <v/>
      </c>
      <c r="C2085">
        <f>BASE_EQUIPOS!B2085</f>
        <v/>
      </c>
      <c r="D2085">
        <f>BASE_EQUIPOS!D2085</f>
        <v/>
      </c>
      <c r="E2085">
        <f>BASE_EQUIPOS!G2085</f>
        <v/>
      </c>
      <c r="F2085">
        <f>BASE_EQUIPOS!H2085</f>
        <v/>
      </c>
      <c r="G2085">
        <f>BASE_EQUIPOS!M2085</f>
        <v/>
      </c>
      <c r="I2085" t="inlineStr">
        <is>
          <t>S/N/000320</t>
        </is>
      </c>
    </row>
    <row r="2086">
      <c r="A2086">
        <f>TRIM(BASE_EQUIPOS!N2086)</f>
        <v/>
      </c>
      <c r="B2086">
        <f>BASE_EQUIPOS!A2086</f>
        <v/>
      </c>
      <c r="C2086">
        <f>BASE_EQUIPOS!B2086</f>
        <v/>
      </c>
      <c r="D2086">
        <f>BASE_EQUIPOS!D2086</f>
        <v/>
      </c>
      <c r="E2086">
        <f>BASE_EQUIPOS!G2086</f>
        <v/>
      </c>
      <c r="F2086">
        <f>BASE_EQUIPOS!H2086</f>
        <v/>
      </c>
      <c r="G2086">
        <f>BASE_EQUIPOS!M2086</f>
        <v/>
      </c>
      <c r="I2086" t="inlineStr">
        <is>
          <t>S/N/000245</t>
        </is>
      </c>
    </row>
    <row r="2087">
      <c r="A2087">
        <f>TRIM(BASE_EQUIPOS!N2087)</f>
        <v/>
      </c>
      <c r="B2087">
        <f>BASE_EQUIPOS!A2087</f>
        <v/>
      </c>
      <c r="C2087">
        <f>BASE_EQUIPOS!B2087</f>
        <v/>
      </c>
      <c r="D2087">
        <f>BASE_EQUIPOS!D2087</f>
        <v/>
      </c>
      <c r="E2087">
        <f>BASE_EQUIPOS!G2087</f>
        <v/>
      </c>
      <c r="F2087">
        <f>BASE_EQUIPOS!H2087</f>
        <v/>
      </c>
      <c r="G2087">
        <f>BASE_EQUIPOS!M2087</f>
        <v/>
      </c>
      <c r="I2087" t="inlineStr">
        <is>
          <t>S/N/000276</t>
        </is>
      </c>
    </row>
    <row r="2088">
      <c r="A2088">
        <f>TRIM(BASE_EQUIPOS!N2088)</f>
        <v/>
      </c>
      <c r="B2088">
        <f>BASE_EQUIPOS!A2088</f>
        <v/>
      </c>
      <c r="C2088">
        <f>BASE_EQUIPOS!B2088</f>
        <v/>
      </c>
      <c r="D2088">
        <f>BASE_EQUIPOS!D2088</f>
        <v/>
      </c>
      <c r="E2088">
        <f>BASE_EQUIPOS!G2088</f>
        <v/>
      </c>
      <c r="F2088">
        <f>BASE_EQUIPOS!H2088</f>
        <v/>
      </c>
      <c r="G2088">
        <f>BASE_EQUIPOS!M2088</f>
        <v/>
      </c>
      <c r="I2088" t="inlineStr">
        <is>
          <t>01/000423</t>
        </is>
      </c>
    </row>
    <row r="2089">
      <c r="A2089">
        <f>TRIM(BASE_EQUIPOS!N2089)</f>
        <v/>
      </c>
      <c r="B2089">
        <f>BASE_EQUIPOS!A2089</f>
        <v/>
      </c>
      <c r="C2089">
        <f>BASE_EQUIPOS!B2089</f>
        <v/>
      </c>
      <c r="D2089">
        <f>BASE_EQUIPOS!D2089</f>
        <v/>
      </c>
      <c r="E2089">
        <f>BASE_EQUIPOS!G2089</f>
        <v/>
      </c>
      <c r="F2089">
        <f>BASE_EQUIPOS!H2089</f>
        <v/>
      </c>
      <c r="G2089">
        <f>BASE_EQUIPOS!M2089</f>
        <v/>
      </c>
      <c r="I2089" t="inlineStr">
        <is>
          <t>01/000390</t>
        </is>
      </c>
    </row>
    <row r="2090">
      <c r="A2090">
        <f>TRIM(BASE_EQUIPOS!N2090)</f>
        <v/>
      </c>
      <c r="B2090">
        <f>BASE_EQUIPOS!A2090</f>
        <v/>
      </c>
      <c r="C2090">
        <f>BASE_EQUIPOS!B2090</f>
        <v/>
      </c>
      <c r="D2090">
        <f>BASE_EQUIPOS!D2090</f>
        <v/>
      </c>
      <c r="E2090">
        <f>BASE_EQUIPOS!G2090</f>
        <v/>
      </c>
      <c r="F2090">
        <f>BASE_EQUIPOS!H2090</f>
        <v/>
      </c>
      <c r="G2090">
        <f>BASE_EQUIPOS!M2090</f>
        <v/>
      </c>
      <c r="I2090" t="inlineStr">
        <is>
          <t>01/000177</t>
        </is>
      </c>
    </row>
    <row r="2091">
      <c r="A2091">
        <f>TRIM(BASE_EQUIPOS!N2091)</f>
        <v/>
      </c>
      <c r="B2091">
        <f>BASE_EQUIPOS!A2091</f>
        <v/>
      </c>
      <c r="C2091">
        <f>BASE_EQUIPOS!B2091</f>
        <v/>
      </c>
      <c r="D2091">
        <f>BASE_EQUIPOS!D2091</f>
        <v/>
      </c>
      <c r="E2091">
        <f>BASE_EQUIPOS!G2091</f>
        <v/>
      </c>
      <c r="F2091">
        <f>BASE_EQUIPOS!H2091</f>
        <v/>
      </c>
      <c r="G2091">
        <f>BASE_EQUIPOS!M2091</f>
        <v/>
      </c>
      <c r="I2091" t="inlineStr">
        <is>
          <t>01/000350</t>
        </is>
      </c>
    </row>
    <row r="2092">
      <c r="A2092">
        <f>TRIM(BASE_EQUIPOS!N2092)</f>
        <v/>
      </c>
      <c r="B2092">
        <f>BASE_EQUIPOS!A2092</f>
        <v/>
      </c>
      <c r="C2092">
        <f>BASE_EQUIPOS!B2092</f>
        <v/>
      </c>
      <c r="D2092">
        <f>BASE_EQUIPOS!D2092</f>
        <v/>
      </c>
      <c r="E2092">
        <f>BASE_EQUIPOS!G2092</f>
        <v/>
      </c>
      <c r="F2092">
        <f>BASE_EQUIPOS!H2092</f>
        <v/>
      </c>
      <c r="G2092">
        <f>BASE_EQUIPOS!M2092</f>
        <v/>
      </c>
      <c r="I2092" t="inlineStr">
        <is>
          <t>01/000272</t>
        </is>
      </c>
    </row>
    <row r="2093">
      <c r="A2093">
        <f>TRIM(BASE_EQUIPOS!N2093)</f>
        <v/>
      </c>
      <c r="B2093">
        <f>BASE_EQUIPOS!A2093</f>
        <v/>
      </c>
      <c r="C2093">
        <f>BASE_EQUIPOS!B2093</f>
        <v/>
      </c>
      <c r="D2093">
        <f>BASE_EQUIPOS!D2093</f>
        <v/>
      </c>
      <c r="E2093">
        <f>BASE_EQUIPOS!G2093</f>
        <v/>
      </c>
      <c r="F2093">
        <f>BASE_EQUIPOS!H2093</f>
        <v/>
      </c>
      <c r="G2093">
        <f>BASE_EQUIPOS!M2093</f>
        <v/>
      </c>
      <c r="I2093" t="inlineStr">
        <is>
          <t>01/000266</t>
        </is>
      </c>
    </row>
    <row r="2094">
      <c r="A2094">
        <f>TRIM(BASE_EQUIPOS!N2094)</f>
        <v/>
      </c>
      <c r="B2094">
        <f>BASE_EQUIPOS!A2094</f>
        <v/>
      </c>
      <c r="C2094">
        <f>BASE_EQUIPOS!B2094</f>
        <v/>
      </c>
      <c r="D2094">
        <f>BASE_EQUIPOS!D2094</f>
        <v/>
      </c>
      <c r="E2094">
        <f>BASE_EQUIPOS!G2094</f>
        <v/>
      </c>
      <c r="F2094">
        <f>BASE_EQUIPOS!H2094</f>
        <v/>
      </c>
      <c r="G2094">
        <f>BASE_EQUIPOS!M2094</f>
        <v/>
      </c>
      <c r="I2094" t="inlineStr">
        <is>
          <t>01/000342</t>
        </is>
      </c>
    </row>
    <row r="2095">
      <c r="A2095">
        <f>TRIM(BASE_EQUIPOS!N2095)</f>
        <v/>
      </c>
      <c r="B2095">
        <f>BASE_EQUIPOS!A2095</f>
        <v/>
      </c>
      <c r="C2095">
        <f>BASE_EQUIPOS!B2095</f>
        <v/>
      </c>
      <c r="D2095">
        <f>BASE_EQUIPOS!D2095</f>
        <v/>
      </c>
      <c r="E2095">
        <f>BASE_EQUIPOS!G2095</f>
        <v/>
      </c>
      <c r="F2095">
        <f>BASE_EQUIPOS!H2095</f>
        <v/>
      </c>
      <c r="G2095">
        <f>BASE_EQUIPOS!M2095</f>
        <v/>
      </c>
      <c r="I2095" t="inlineStr">
        <is>
          <t>01/021378</t>
        </is>
      </c>
    </row>
    <row r="2096">
      <c r="A2096">
        <f>TRIM(BASE_EQUIPOS!N2096)</f>
        <v/>
      </c>
      <c r="B2096">
        <f>BASE_EQUIPOS!A2096</f>
        <v/>
      </c>
      <c r="C2096">
        <f>BASE_EQUIPOS!B2096</f>
        <v/>
      </c>
      <c r="D2096">
        <f>BASE_EQUIPOS!D2096</f>
        <v/>
      </c>
      <c r="E2096">
        <f>BASE_EQUIPOS!G2096</f>
        <v/>
      </c>
      <c r="F2096">
        <f>BASE_EQUIPOS!H2096</f>
        <v/>
      </c>
      <c r="G2096">
        <f>BASE_EQUIPOS!M2096</f>
        <v/>
      </c>
      <c r="I2096" t="inlineStr">
        <is>
          <t>02/000028</t>
        </is>
      </c>
    </row>
    <row r="2097">
      <c r="A2097">
        <f>TRIM(BASE_EQUIPOS!N2097)</f>
        <v/>
      </c>
      <c r="B2097">
        <f>BASE_EQUIPOS!A2097</f>
        <v/>
      </c>
      <c r="C2097">
        <f>BASE_EQUIPOS!B2097</f>
        <v/>
      </c>
      <c r="D2097">
        <f>BASE_EQUIPOS!D2097</f>
        <v/>
      </c>
      <c r="E2097">
        <f>BASE_EQUIPOS!G2097</f>
        <v/>
      </c>
      <c r="F2097">
        <f>BASE_EQUIPOS!H2097</f>
        <v/>
      </c>
      <c r="G2097">
        <f>BASE_EQUIPOS!M2097</f>
        <v/>
      </c>
      <c r="I2097" t="inlineStr">
        <is>
          <t>01/000893</t>
        </is>
      </c>
    </row>
    <row r="2098">
      <c r="A2098">
        <f>TRIM(BASE_EQUIPOS!N2098)</f>
        <v/>
      </c>
      <c r="B2098">
        <f>BASE_EQUIPOS!A2098</f>
        <v/>
      </c>
      <c r="C2098">
        <f>BASE_EQUIPOS!B2098</f>
        <v/>
      </c>
      <c r="D2098">
        <f>BASE_EQUIPOS!D2098</f>
        <v/>
      </c>
      <c r="E2098">
        <f>BASE_EQUIPOS!G2098</f>
        <v/>
      </c>
      <c r="F2098">
        <f>BASE_EQUIPOS!H2098</f>
        <v/>
      </c>
      <c r="G2098">
        <f>BASE_EQUIPOS!M2098</f>
        <v/>
      </c>
      <c r="I2098" t="inlineStr">
        <is>
          <t>01/001111</t>
        </is>
      </c>
    </row>
    <row r="2099">
      <c r="A2099">
        <f>TRIM(BASE_EQUIPOS!N2099)</f>
        <v/>
      </c>
      <c r="B2099">
        <f>BASE_EQUIPOS!A2099</f>
        <v/>
      </c>
      <c r="C2099">
        <f>BASE_EQUIPOS!B2099</f>
        <v/>
      </c>
      <c r="D2099">
        <f>BASE_EQUIPOS!D2099</f>
        <v/>
      </c>
      <c r="E2099">
        <f>BASE_EQUIPOS!G2099</f>
        <v/>
      </c>
      <c r="F2099">
        <f>BASE_EQUIPOS!H2099</f>
        <v/>
      </c>
      <c r="G2099">
        <f>BASE_EQUIPOS!M2099</f>
        <v/>
      </c>
      <c r="I2099" t="inlineStr">
        <is>
          <t>01/000957</t>
        </is>
      </c>
    </row>
    <row r="2100">
      <c r="A2100">
        <f>TRIM(BASE_EQUIPOS!N2100)</f>
        <v/>
      </c>
      <c r="B2100">
        <f>BASE_EQUIPOS!A2100</f>
        <v/>
      </c>
      <c r="C2100">
        <f>BASE_EQUIPOS!B2100</f>
        <v/>
      </c>
      <c r="D2100">
        <f>BASE_EQUIPOS!D2100</f>
        <v/>
      </c>
      <c r="E2100">
        <f>BASE_EQUIPOS!G2100</f>
        <v/>
      </c>
      <c r="F2100">
        <f>BASE_EQUIPOS!H2100</f>
        <v/>
      </c>
      <c r="G2100">
        <f>BASE_EQUIPOS!M2100</f>
        <v/>
      </c>
      <c r="I2100" t="inlineStr">
        <is>
          <t>01/000872</t>
        </is>
      </c>
    </row>
    <row r="2101">
      <c r="A2101">
        <f>TRIM(BASE_EQUIPOS!N2101)</f>
        <v/>
      </c>
      <c r="B2101">
        <f>BASE_EQUIPOS!A2101</f>
        <v/>
      </c>
      <c r="C2101">
        <f>BASE_EQUIPOS!B2101</f>
        <v/>
      </c>
      <c r="D2101">
        <f>BASE_EQUIPOS!D2101</f>
        <v/>
      </c>
      <c r="E2101">
        <f>BASE_EQUIPOS!G2101</f>
        <v/>
      </c>
      <c r="F2101">
        <f>BASE_EQUIPOS!H2101</f>
        <v/>
      </c>
      <c r="G2101">
        <f>BASE_EQUIPOS!M2101</f>
        <v/>
      </c>
      <c r="I2101" t="inlineStr">
        <is>
          <t>01/458960</t>
        </is>
      </c>
    </row>
    <row r="2102">
      <c r="A2102">
        <f>TRIM(BASE_EQUIPOS!N2102)</f>
        <v/>
      </c>
      <c r="B2102">
        <f>BASE_EQUIPOS!A2102</f>
        <v/>
      </c>
      <c r="C2102">
        <f>BASE_EQUIPOS!B2102</f>
        <v/>
      </c>
      <c r="D2102">
        <f>BASE_EQUIPOS!D2102</f>
        <v/>
      </c>
      <c r="E2102">
        <f>BASE_EQUIPOS!G2102</f>
        <v/>
      </c>
      <c r="F2102">
        <f>BASE_EQUIPOS!H2102</f>
        <v/>
      </c>
      <c r="G2102">
        <f>BASE_EQUIPOS!M2102</f>
        <v/>
      </c>
      <c r="I2102" t="inlineStr">
        <is>
          <t>01/000860</t>
        </is>
      </c>
    </row>
    <row r="2103">
      <c r="A2103">
        <f>TRIM(BASE_EQUIPOS!N2103)</f>
        <v/>
      </c>
      <c r="B2103">
        <f>BASE_EQUIPOS!A2103</f>
        <v/>
      </c>
      <c r="C2103">
        <f>BASE_EQUIPOS!B2103</f>
        <v/>
      </c>
      <c r="D2103">
        <f>BASE_EQUIPOS!D2103</f>
        <v/>
      </c>
      <c r="E2103">
        <f>BASE_EQUIPOS!G2103</f>
        <v/>
      </c>
      <c r="F2103">
        <f>BASE_EQUIPOS!H2103</f>
        <v/>
      </c>
      <c r="G2103">
        <f>BASE_EQUIPOS!M2103</f>
        <v/>
      </c>
      <c r="I2103" t="inlineStr">
        <is>
          <t>01/000757</t>
        </is>
      </c>
    </row>
    <row r="2104">
      <c r="A2104">
        <f>TRIM(BASE_EQUIPOS!N2104)</f>
        <v/>
      </c>
      <c r="B2104">
        <f>BASE_EQUIPOS!A2104</f>
        <v/>
      </c>
      <c r="C2104">
        <f>BASE_EQUIPOS!B2104</f>
        <v/>
      </c>
      <c r="D2104">
        <f>BASE_EQUIPOS!D2104</f>
        <v/>
      </c>
      <c r="E2104">
        <f>BASE_EQUIPOS!G2104</f>
        <v/>
      </c>
      <c r="F2104">
        <f>BASE_EQUIPOS!H2104</f>
        <v/>
      </c>
      <c r="G2104">
        <f>BASE_EQUIPOS!M2104</f>
        <v/>
      </c>
      <c r="I2104" t="inlineStr">
        <is>
          <t>02 / 026941</t>
        </is>
      </c>
    </row>
    <row r="2105">
      <c r="A2105">
        <f>TRIM(BASE_EQUIPOS!N2105)</f>
        <v/>
      </c>
      <c r="B2105">
        <f>BASE_EQUIPOS!A2105</f>
        <v/>
      </c>
      <c r="C2105">
        <f>BASE_EQUIPOS!B2105</f>
        <v/>
      </c>
      <c r="D2105">
        <f>BASE_EQUIPOS!D2105</f>
        <v/>
      </c>
      <c r="E2105">
        <f>BASE_EQUIPOS!G2105</f>
        <v/>
      </c>
      <c r="F2105">
        <f>BASE_EQUIPOS!H2105</f>
        <v/>
      </c>
      <c r="G2105">
        <f>BASE_EQUIPOS!M2105</f>
        <v/>
      </c>
      <c r="I2105" t="inlineStr">
        <is>
          <t>01/006495</t>
        </is>
      </c>
    </row>
    <row r="2106">
      <c r="A2106">
        <f>TRIM(BASE_EQUIPOS!N2106)</f>
        <v/>
      </c>
      <c r="B2106">
        <f>BASE_EQUIPOS!A2106</f>
        <v/>
      </c>
      <c r="C2106">
        <f>BASE_EQUIPOS!B2106</f>
        <v/>
      </c>
      <c r="D2106">
        <f>BASE_EQUIPOS!D2106</f>
        <v/>
      </c>
      <c r="E2106">
        <f>BASE_EQUIPOS!G2106</f>
        <v/>
      </c>
      <c r="F2106">
        <f>BASE_EQUIPOS!H2106</f>
        <v/>
      </c>
      <c r="G2106">
        <f>BASE_EQUIPOS!M2106</f>
        <v/>
      </c>
      <c r="I2106" t="inlineStr">
        <is>
          <t>02/000431</t>
        </is>
      </c>
    </row>
    <row r="2107">
      <c r="A2107">
        <f>TRIM(BASE_EQUIPOS!N2107)</f>
        <v/>
      </c>
      <c r="B2107">
        <f>BASE_EQUIPOS!A2107</f>
        <v/>
      </c>
      <c r="C2107">
        <f>BASE_EQUIPOS!B2107</f>
        <v/>
      </c>
      <c r="D2107">
        <f>BASE_EQUIPOS!D2107</f>
        <v/>
      </c>
      <c r="E2107">
        <f>BASE_EQUIPOS!G2107</f>
        <v/>
      </c>
      <c r="F2107">
        <f>BASE_EQUIPOS!H2107</f>
        <v/>
      </c>
      <c r="G2107">
        <f>BASE_EQUIPOS!M2107</f>
        <v/>
      </c>
      <c r="I2107" t="inlineStr">
        <is>
          <t>01/000016</t>
        </is>
      </c>
    </row>
    <row r="2108">
      <c r="A2108">
        <f>TRIM(BASE_EQUIPOS!N2108)</f>
        <v/>
      </c>
      <c r="B2108">
        <f>BASE_EQUIPOS!A2108</f>
        <v/>
      </c>
      <c r="C2108">
        <f>BASE_EQUIPOS!B2108</f>
        <v/>
      </c>
      <c r="D2108">
        <f>BASE_EQUIPOS!D2108</f>
        <v/>
      </c>
      <c r="E2108">
        <f>BASE_EQUIPOS!G2108</f>
        <v/>
      </c>
      <c r="F2108">
        <f>BASE_EQUIPOS!H2108</f>
        <v/>
      </c>
      <c r="G2108">
        <f>BASE_EQUIPOS!M2108</f>
        <v/>
      </c>
      <c r="I2108" t="inlineStr">
        <is>
          <t>01/000427</t>
        </is>
      </c>
    </row>
    <row r="2109">
      <c r="A2109">
        <f>TRIM(BASE_EQUIPOS!N2109)</f>
        <v/>
      </c>
      <c r="B2109">
        <f>BASE_EQUIPOS!A2109</f>
        <v/>
      </c>
      <c r="C2109">
        <f>BASE_EQUIPOS!B2109</f>
        <v/>
      </c>
      <c r="D2109">
        <f>BASE_EQUIPOS!D2109</f>
        <v/>
      </c>
      <c r="E2109">
        <f>BASE_EQUIPOS!G2109</f>
        <v/>
      </c>
      <c r="F2109">
        <f>BASE_EQUIPOS!H2109</f>
        <v/>
      </c>
      <c r="G2109">
        <f>BASE_EQUIPOS!M2109</f>
        <v/>
      </c>
      <c r="I2109" t="inlineStr">
        <is>
          <t>01/000317</t>
        </is>
      </c>
    </row>
    <row r="2110">
      <c r="A2110">
        <f>TRIM(BASE_EQUIPOS!N2110)</f>
        <v/>
      </c>
      <c r="B2110">
        <f>BASE_EQUIPOS!A2110</f>
        <v/>
      </c>
      <c r="C2110">
        <f>BASE_EQUIPOS!B2110</f>
        <v/>
      </c>
      <c r="D2110">
        <f>BASE_EQUIPOS!D2110</f>
        <v/>
      </c>
      <c r="E2110">
        <f>BASE_EQUIPOS!G2110</f>
        <v/>
      </c>
      <c r="F2110">
        <f>BASE_EQUIPOS!H2110</f>
        <v/>
      </c>
      <c r="G2110">
        <f>BASE_EQUIPOS!M2110</f>
        <v/>
      </c>
      <c r="I2110" t="inlineStr">
        <is>
          <t>01/000253</t>
        </is>
      </c>
    </row>
    <row r="2111">
      <c r="A2111">
        <f>TRIM(BASE_EQUIPOS!N2111)</f>
        <v/>
      </c>
      <c r="B2111">
        <f>BASE_EQUIPOS!A2111</f>
        <v/>
      </c>
      <c r="C2111">
        <f>BASE_EQUIPOS!B2111</f>
        <v/>
      </c>
      <c r="D2111">
        <f>BASE_EQUIPOS!D2111</f>
        <v/>
      </c>
      <c r="E2111">
        <f>BASE_EQUIPOS!G2111</f>
        <v/>
      </c>
      <c r="F2111">
        <f>BASE_EQUIPOS!H2111</f>
        <v/>
      </c>
      <c r="G2111">
        <f>BASE_EQUIPOS!M2111</f>
        <v/>
      </c>
      <c r="I2111" t="inlineStr">
        <is>
          <t>01/000245</t>
        </is>
      </c>
    </row>
    <row r="2112">
      <c r="A2112">
        <f>TRIM(BASE_EQUIPOS!N2112)</f>
        <v/>
      </c>
      <c r="B2112">
        <f>BASE_EQUIPOS!A2112</f>
        <v/>
      </c>
      <c r="C2112">
        <f>BASE_EQUIPOS!B2112</f>
        <v/>
      </c>
      <c r="D2112">
        <f>BASE_EQUIPOS!D2112</f>
        <v/>
      </c>
      <c r="E2112">
        <f>BASE_EQUIPOS!G2112</f>
        <v/>
      </c>
      <c r="F2112">
        <f>BASE_EQUIPOS!H2112</f>
        <v/>
      </c>
      <c r="G2112">
        <f>BASE_EQUIPOS!M2112</f>
        <v/>
      </c>
      <c r="I2112" t="inlineStr">
        <is>
          <t>321/000581</t>
        </is>
      </c>
    </row>
    <row r="2113">
      <c r="A2113">
        <f>TRIM(BASE_EQUIPOS!N2113)</f>
        <v/>
      </c>
      <c r="B2113">
        <f>BASE_EQUIPOS!A2113</f>
        <v/>
      </c>
      <c r="C2113">
        <f>BASE_EQUIPOS!B2113</f>
        <v/>
      </c>
      <c r="D2113">
        <f>BASE_EQUIPOS!D2113</f>
        <v/>
      </c>
      <c r="E2113">
        <f>BASE_EQUIPOS!G2113</f>
        <v/>
      </c>
      <c r="F2113">
        <f>BASE_EQUIPOS!H2113</f>
        <v/>
      </c>
      <c r="G2113">
        <f>BASE_EQUIPOS!M2113</f>
        <v/>
      </c>
      <c r="I2113" t="inlineStr">
        <is>
          <t>127/000176</t>
        </is>
      </c>
    </row>
    <row r="2114">
      <c r="A2114">
        <f>TRIM(BASE_EQUIPOS!N2114)</f>
        <v/>
      </c>
      <c r="B2114">
        <f>BASE_EQUIPOS!A2114</f>
        <v/>
      </c>
      <c r="C2114">
        <f>BASE_EQUIPOS!B2114</f>
        <v/>
      </c>
      <c r="D2114">
        <f>BASE_EQUIPOS!D2114</f>
        <v/>
      </c>
      <c r="E2114">
        <f>BASE_EQUIPOS!G2114</f>
        <v/>
      </c>
      <c r="F2114">
        <f>BASE_EQUIPOS!H2114</f>
        <v/>
      </c>
      <c r="G2114">
        <f>BASE_EQUIPOS!M2114</f>
        <v/>
      </c>
      <c r="I2114" t="inlineStr">
        <is>
          <t>37/000420</t>
        </is>
      </c>
    </row>
    <row r="2115">
      <c r="A2115">
        <f>TRIM(BASE_EQUIPOS!N2115)</f>
        <v/>
      </c>
      <c r="B2115">
        <f>BASE_EQUIPOS!A2115</f>
        <v/>
      </c>
      <c r="C2115">
        <f>BASE_EQUIPOS!B2115</f>
        <v/>
      </c>
      <c r="D2115">
        <f>BASE_EQUIPOS!D2115</f>
        <v/>
      </c>
      <c r="E2115">
        <f>BASE_EQUIPOS!G2115</f>
        <v/>
      </c>
      <c r="F2115">
        <f>BASE_EQUIPOS!H2115</f>
        <v/>
      </c>
      <c r="G2115">
        <f>BASE_EQUIPOS!M2115</f>
        <v/>
      </c>
      <c r="I2115" t="inlineStr">
        <is>
          <t>174/001932</t>
        </is>
      </c>
    </row>
    <row r="2116">
      <c r="A2116">
        <f>TRIM(BASE_EQUIPOS!N2116)</f>
        <v/>
      </c>
      <c r="B2116">
        <f>BASE_EQUIPOS!A2116</f>
        <v/>
      </c>
      <c r="C2116">
        <f>BASE_EQUIPOS!B2116</f>
        <v/>
      </c>
      <c r="D2116">
        <f>BASE_EQUIPOS!D2116</f>
        <v/>
      </c>
      <c r="E2116">
        <f>BASE_EQUIPOS!G2116</f>
        <v/>
      </c>
      <c r="F2116">
        <f>BASE_EQUIPOS!H2116</f>
        <v/>
      </c>
      <c r="G2116">
        <f>BASE_EQUIPOS!M2116</f>
        <v/>
      </c>
      <c r="I2116" t="inlineStr">
        <is>
          <t>49/000944</t>
        </is>
      </c>
    </row>
    <row r="2117">
      <c r="A2117">
        <f>TRIM(BASE_EQUIPOS!N2117)</f>
        <v/>
      </c>
      <c r="B2117">
        <f>BASE_EQUIPOS!A2117</f>
        <v/>
      </c>
      <c r="C2117">
        <f>BASE_EQUIPOS!B2117</f>
        <v/>
      </c>
      <c r="D2117">
        <f>BASE_EQUIPOS!D2117</f>
        <v/>
      </c>
      <c r="E2117">
        <f>BASE_EQUIPOS!G2117</f>
        <v/>
      </c>
      <c r="F2117">
        <f>BASE_EQUIPOS!H2117</f>
        <v/>
      </c>
      <c r="G2117">
        <f>BASE_EQUIPOS!M2117</f>
        <v/>
      </c>
      <c r="I2117" t="inlineStr">
        <is>
          <t>179/000005</t>
        </is>
      </c>
    </row>
    <row r="2118">
      <c r="A2118">
        <f>TRIM(BASE_EQUIPOS!N2118)</f>
        <v/>
      </c>
      <c r="B2118">
        <f>BASE_EQUIPOS!A2118</f>
        <v/>
      </c>
      <c r="C2118">
        <f>BASE_EQUIPOS!B2118</f>
        <v/>
      </c>
      <c r="D2118">
        <f>BASE_EQUIPOS!D2118</f>
        <v/>
      </c>
      <c r="E2118">
        <f>BASE_EQUIPOS!G2118</f>
        <v/>
      </c>
      <c r="F2118">
        <f>BASE_EQUIPOS!H2118</f>
        <v/>
      </c>
      <c r="G2118">
        <f>BASE_EQUIPOS!M2118</f>
        <v/>
      </c>
      <c r="I2118" t="inlineStr">
        <is>
          <t>140/003215</t>
        </is>
      </c>
    </row>
    <row r="2119">
      <c r="A2119">
        <f>TRIM(BASE_EQUIPOS!N2119)</f>
        <v/>
      </c>
      <c r="B2119">
        <f>BASE_EQUIPOS!A2119</f>
        <v/>
      </c>
      <c r="C2119">
        <f>BASE_EQUIPOS!B2119</f>
        <v/>
      </c>
      <c r="D2119">
        <f>BASE_EQUIPOS!D2119</f>
        <v/>
      </c>
      <c r="E2119">
        <f>BASE_EQUIPOS!G2119</f>
        <v/>
      </c>
      <c r="F2119">
        <f>BASE_EQUIPOS!H2119</f>
        <v/>
      </c>
      <c r="G2119">
        <f>BASE_EQUIPOS!M2119</f>
        <v/>
      </c>
      <c r="I2119" t="inlineStr">
        <is>
          <t>365/000571</t>
        </is>
      </c>
    </row>
    <row r="2120">
      <c r="A2120">
        <f>TRIM(BASE_EQUIPOS!N2120)</f>
        <v/>
      </c>
      <c r="B2120">
        <f>BASE_EQUIPOS!A2120</f>
        <v/>
      </c>
      <c r="C2120">
        <f>BASE_EQUIPOS!B2120</f>
        <v/>
      </c>
      <c r="D2120">
        <f>BASE_EQUIPOS!D2120</f>
        <v/>
      </c>
      <c r="E2120">
        <f>BASE_EQUIPOS!G2120</f>
        <v/>
      </c>
      <c r="F2120">
        <f>BASE_EQUIPOS!H2120</f>
        <v/>
      </c>
      <c r="G2120">
        <f>BASE_EQUIPOS!M2120</f>
        <v/>
      </c>
      <c r="I2120" t="inlineStr">
        <is>
          <t>86/001467</t>
        </is>
      </c>
    </row>
    <row r="2121">
      <c r="A2121">
        <f>TRIM(BASE_EQUIPOS!N2121)</f>
        <v/>
      </c>
      <c r="B2121">
        <f>BASE_EQUIPOS!A2121</f>
        <v/>
      </c>
      <c r="C2121">
        <f>BASE_EQUIPOS!B2121</f>
        <v/>
      </c>
      <c r="D2121">
        <f>BASE_EQUIPOS!D2121</f>
        <v/>
      </c>
      <c r="E2121">
        <f>BASE_EQUIPOS!G2121</f>
        <v/>
      </c>
      <c r="F2121">
        <f>BASE_EQUIPOS!H2121</f>
        <v/>
      </c>
      <c r="G2121">
        <f>BASE_EQUIPOS!M2121</f>
        <v/>
      </c>
      <c r="I2121" t="inlineStr">
        <is>
          <t>224/000265</t>
        </is>
      </c>
    </row>
    <row r="2122">
      <c r="A2122">
        <f>TRIM(BASE_EQUIPOS!N2122)</f>
        <v/>
      </c>
      <c r="B2122">
        <f>BASE_EQUIPOS!A2122</f>
        <v/>
      </c>
      <c r="C2122">
        <f>BASE_EQUIPOS!B2122</f>
        <v/>
      </c>
      <c r="D2122">
        <f>BASE_EQUIPOS!D2122</f>
        <v/>
      </c>
      <c r="E2122">
        <f>BASE_EQUIPOS!G2122</f>
        <v/>
      </c>
      <c r="F2122">
        <f>BASE_EQUIPOS!H2122</f>
        <v/>
      </c>
      <c r="G2122">
        <f>BASE_EQUIPOS!M2122</f>
        <v/>
      </c>
      <c r="I2122" t="inlineStr">
        <is>
          <t>01/003185</t>
        </is>
      </c>
    </row>
    <row r="2123">
      <c r="A2123">
        <f>TRIM(BASE_EQUIPOS!N2123)</f>
        <v/>
      </c>
      <c r="B2123">
        <f>BASE_EQUIPOS!A2123</f>
        <v/>
      </c>
      <c r="C2123">
        <f>BASE_EQUIPOS!B2123</f>
        <v/>
      </c>
      <c r="D2123">
        <f>BASE_EQUIPOS!D2123</f>
        <v/>
      </c>
      <c r="E2123">
        <f>BASE_EQUIPOS!G2123</f>
        <v/>
      </c>
      <c r="F2123">
        <f>BASE_EQUIPOS!H2123</f>
        <v/>
      </c>
      <c r="G2123">
        <f>BASE_EQUIPOS!M2123</f>
        <v/>
      </c>
      <c r="I2123" t="inlineStr">
        <is>
          <t>16/000444</t>
        </is>
      </c>
    </row>
    <row r="2124">
      <c r="A2124">
        <f>TRIM(BASE_EQUIPOS!N2124)</f>
        <v/>
      </c>
      <c r="B2124">
        <f>BASE_EQUIPOS!A2124</f>
        <v/>
      </c>
      <c r="C2124">
        <f>BASE_EQUIPOS!B2124</f>
        <v/>
      </c>
      <c r="D2124">
        <f>BASE_EQUIPOS!D2124</f>
        <v/>
      </c>
      <c r="E2124">
        <f>BASE_EQUIPOS!G2124</f>
        <v/>
      </c>
      <c r="F2124">
        <f>BASE_EQUIPOS!H2124</f>
        <v/>
      </c>
      <c r="G2124">
        <f>BASE_EQUIPOS!M2124</f>
        <v/>
      </c>
      <c r="I2124" t="inlineStr">
        <is>
          <t>17/002530</t>
        </is>
      </c>
    </row>
    <row r="2125">
      <c r="A2125">
        <f>TRIM(BASE_EQUIPOS!N2125)</f>
        <v/>
      </c>
      <c r="B2125">
        <f>BASE_EQUIPOS!A2125</f>
        <v/>
      </c>
      <c r="C2125">
        <f>BASE_EQUIPOS!B2125</f>
        <v/>
      </c>
      <c r="D2125">
        <f>BASE_EQUIPOS!D2125</f>
        <v/>
      </c>
      <c r="E2125">
        <f>BASE_EQUIPOS!G2125</f>
        <v/>
      </c>
      <c r="F2125">
        <f>BASE_EQUIPOS!H2125</f>
        <v/>
      </c>
      <c r="G2125">
        <f>BASE_EQUIPOS!M2125</f>
        <v/>
      </c>
      <c r="I2125" t="inlineStr">
        <is>
          <t>62/000351</t>
        </is>
      </c>
    </row>
    <row r="2126">
      <c r="A2126">
        <f>TRIM(BASE_EQUIPOS!N2126)</f>
        <v/>
      </c>
      <c r="B2126">
        <f>BASE_EQUIPOS!A2126</f>
        <v/>
      </c>
      <c r="C2126">
        <f>BASE_EQUIPOS!B2126</f>
        <v/>
      </c>
      <c r="D2126">
        <f>BASE_EQUIPOS!D2126</f>
        <v/>
      </c>
      <c r="E2126">
        <f>BASE_EQUIPOS!G2126</f>
        <v/>
      </c>
      <c r="F2126">
        <f>BASE_EQUIPOS!H2126</f>
        <v/>
      </c>
      <c r="G2126">
        <f>BASE_EQUIPOS!M2126</f>
        <v/>
      </c>
      <c r="I2126" t="inlineStr">
        <is>
          <t>95/000125</t>
        </is>
      </c>
    </row>
    <row r="2127">
      <c r="A2127">
        <f>TRIM(BASE_EQUIPOS!N2127)</f>
        <v/>
      </c>
      <c r="B2127">
        <f>BASE_EQUIPOS!A2127</f>
        <v/>
      </c>
      <c r="C2127">
        <f>BASE_EQUIPOS!B2127</f>
        <v/>
      </c>
      <c r="D2127">
        <f>BASE_EQUIPOS!D2127</f>
        <v/>
      </c>
      <c r="E2127">
        <f>BASE_EQUIPOS!G2127</f>
        <v/>
      </c>
      <c r="F2127">
        <f>BASE_EQUIPOS!H2127</f>
        <v/>
      </c>
      <c r="G2127">
        <f>BASE_EQUIPOS!M2127</f>
        <v/>
      </c>
      <c r="I2127" t="inlineStr">
        <is>
          <t>297/000847</t>
        </is>
      </c>
    </row>
    <row r="2128">
      <c r="A2128">
        <f>TRIM(BASE_EQUIPOS!N2128)</f>
        <v/>
      </c>
      <c r="B2128">
        <f>BASE_EQUIPOS!A2128</f>
        <v/>
      </c>
      <c r="C2128">
        <f>BASE_EQUIPOS!B2128</f>
        <v/>
      </c>
      <c r="D2128">
        <f>BASE_EQUIPOS!D2128</f>
        <v/>
      </c>
      <c r="E2128">
        <f>BASE_EQUIPOS!G2128</f>
        <v/>
      </c>
      <c r="F2128">
        <f>BASE_EQUIPOS!H2128</f>
        <v/>
      </c>
      <c r="G2128">
        <f>BASE_EQUIPOS!M2128</f>
        <v/>
      </c>
      <c r="I2128" t="inlineStr">
        <is>
          <t>341/001634</t>
        </is>
      </c>
    </row>
    <row r="2129">
      <c r="A2129">
        <f>TRIM(BASE_EQUIPOS!N2129)</f>
        <v/>
      </c>
      <c r="B2129">
        <f>BASE_EQUIPOS!A2129</f>
        <v/>
      </c>
      <c r="C2129">
        <f>BASE_EQUIPOS!B2129</f>
        <v/>
      </c>
      <c r="D2129">
        <f>BASE_EQUIPOS!D2129</f>
        <v/>
      </c>
      <c r="E2129">
        <f>BASE_EQUIPOS!G2129</f>
        <v/>
      </c>
      <c r="F2129">
        <f>BASE_EQUIPOS!H2129</f>
        <v/>
      </c>
      <c r="G2129">
        <f>BASE_EQUIPOS!M2129</f>
        <v/>
      </c>
      <c r="I2129" t="inlineStr">
        <is>
          <t>366/001128</t>
        </is>
      </c>
    </row>
    <row r="2130">
      <c r="A2130">
        <f>TRIM(BASE_EQUIPOS!N2130)</f>
        <v/>
      </c>
      <c r="B2130">
        <f>BASE_EQUIPOS!A2130</f>
        <v/>
      </c>
      <c r="C2130">
        <f>BASE_EQUIPOS!B2130</f>
        <v/>
      </c>
      <c r="D2130">
        <f>BASE_EQUIPOS!D2130</f>
        <v/>
      </c>
      <c r="E2130">
        <f>BASE_EQUIPOS!G2130</f>
        <v/>
      </c>
      <c r="F2130">
        <f>BASE_EQUIPOS!H2130</f>
        <v/>
      </c>
      <c r="G2130">
        <f>BASE_EQUIPOS!M2130</f>
        <v/>
      </c>
      <c r="I2130" t="inlineStr">
        <is>
          <t>387/000451</t>
        </is>
      </c>
    </row>
    <row r="2131">
      <c r="A2131">
        <f>TRIM(BASE_EQUIPOS!N2131)</f>
        <v/>
      </c>
      <c r="B2131">
        <f>BASE_EQUIPOS!A2131</f>
        <v/>
      </c>
      <c r="C2131">
        <f>BASE_EQUIPOS!B2131</f>
        <v/>
      </c>
      <c r="D2131">
        <f>BASE_EQUIPOS!D2131</f>
        <v/>
      </c>
      <c r="E2131">
        <f>BASE_EQUIPOS!G2131</f>
        <v/>
      </c>
      <c r="F2131">
        <f>BASE_EQUIPOS!H2131</f>
        <v/>
      </c>
      <c r="G2131">
        <f>BASE_EQUIPOS!M2131</f>
        <v/>
      </c>
      <c r="I2131" t="inlineStr">
        <is>
          <t>08/BF 412002</t>
        </is>
      </c>
    </row>
    <row r="2132">
      <c r="A2132">
        <f>TRIM(BASE_EQUIPOS!N2132)</f>
        <v/>
      </c>
      <c r="B2132">
        <f>BASE_EQUIPOS!A2132</f>
        <v/>
      </c>
      <c r="C2132">
        <f>BASE_EQUIPOS!B2132</f>
        <v/>
      </c>
      <c r="D2132">
        <f>BASE_EQUIPOS!D2132</f>
        <v/>
      </c>
      <c r="E2132">
        <f>BASE_EQUIPOS!G2132</f>
        <v/>
      </c>
      <c r="F2132">
        <f>BASE_EQUIPOS!H2132</f>
        <v/>
      </c>
      <c r="G2132">
        <f>BASE_EQUIPOS!M2132</f>
        <v/>
      </c>
      <c r="I2132" t="inlineStr">
        <is>
          <t>9/BH743015</t>
        </is>
      </c>
    </row>
    <row r="2133">
      <c r="A2133">
        <f>TRIM(BASE_EQUIPOS!N2133)</f>
        <v/>
      </c>
      <c r="B2133">
        <f>BASE_EQUIPOS!A2133</f>
        <v/>
      </c>
      <c r="C2133">
        <f>BASE_EQUIPOS!B2133</f>
        <v/>
      </c>
      <c r="D2133">
        <f>BASE_EQUIPOS!D2133</f>
        <v/>
      </c>
      <c r="E2133">
        <f>BASE_EQUIPOS!G2133</f>
        <v/>
      </c>
      <c r="F2133">
        <f>BASE_EQUIPOS!H2133</f>
        <v/>
      </c>
      <c r="G2133">
        <f>BASE_EQUIPOS!M2133</f>
        <v/>
      </c>
      <c r="I2133" t="inlineStr">
        <is>
          <t>1/964899</t>
        </is>
      </c>
    </row>
    <row r="2134">
      <c r="A2134">
        <f>TRIM(BASE_EQUIPOS!N2134)</f>
        <v/>
      </c>
      <c r="B2134">
        <f>BASE_EQUIPOS!A2134</f>
        <v/>
      </c>
      <c r="C2134">
        <f>BASE_EQUIPOS!B2134</f>
        <v/>
      </c>
      <c r="D2134">
        <f>BASE_EQUIPOS!D2134</f>
        <v/>
      </c>
      <c r="E2134">
        <f>BASE_EQUIPOS!G2134</f>
        <v/>
      </c>
      <c r="F2134">
        <f>BASE_EQUIPOS!H2134</f>
        <v/>
      </c>
      <c r="G2134">
        <f>BASE_EQUIPOS!M2134</f>
        <v/>
      </c>
      <c r="I2134" t="inlineStr">
        <is>
          <t>2/AC670179</t>
        </is>
      </c>
    </row>
    <row r="2135">
      <c r="A2135">
        <f>TRIM(BASE_EQUIPOS!N2135)</f>
        <v/>
      </c>
      <c r="B2135">
        <f>BASE_EQUIPOS!A2135</f>
        <v/>
      </c>
      <c r="C2135">
        <f>BASE_EQUIPOS!B2135</f>
        <v/>
      </c>
      <c r="D2135">
        <f>BASE_EQUIPOS!D2135</f>
        <v/>
      </c>
      <c r="E2135">
        <f>BASE_EQUIPOS!G2135</f>
        <v/>
      </c>
      <c r="F2135">
        <f>BASE_EQUIPOS!H2135</f>
        <v/>
      </c>
      <c r="G2135">
        <f>BASE_EQUIPOS!M2135</f>
        <v/>
      </c>
      <c r="I2135" t="inlineStr">
        <is>
          <t>6/BH743036</t>
        </is>
      </c>
    </row>
    <row r="2136">
      <c r="A2136">
        <f>TRIM(BASE_EQUIPOS!N2136)</f>
        <v/>
      </c>
      <c r="B2136">
        <f>BASE_EQUIPOS!A2136</f>
        <v/>
      </c>
      <c r="C2136">
        <f>BASE_EQUIPOS!B2136</f>
        <v/>
      </c>
      <c r="D2136">
        <f>BASE_EQUIPOS!D2136</f>
        <v/>
      </c>
      <c r="E2136">
        <f>BASE_EQUIPOS!G2136</f>
        <v/>
      </c>
      <c r="F2136">
        <f>BASE_EQUIPOS!H2136</f>
        <v/>
      </c>
      <c r="G2136">
        <f>BASE_EQUIPOS!M2136</f>
        <v/>
      </c>
      <c r="I2136" t="inlineStr">
        <is>
          <t>5/BH743043</t>
        </is>
      </c>
    </row>
    <row r="2137">
      <c r="A2137">
        <f>TRIM(BASE_EQUIPOS!N2137)</f>
        <v/>
      </c>
      <c r="B2137">
        <f>BASE_EQUIPOS!A2137</f>
        <v/>
      </c>
      <c r="C2137">
        <f>BASE_EQUIPOS!B2137</f>
        <v/>
      </c>
      <c r="D2137">
        <f>BASE_EQUIPOS!D2137</f>
        <v/>
      </c>
      <c r="E2137">
        <f>BASE_EQUIPOS!G2137</f>
        <v/>
      </c>
      <c r="F2137">
        <f>BASE_EQUIPOS!H2137</f>
        <v/>
      </c>
      <c r="G2137">
        <f>BASE_EQUIPOS!M2137</f>
        <v/>
      </c>
      <c r="I2137" t="inlineStr">
        <is>
          <t>04/S/N</t>
        </is>
      </c>
    </row>
    <row r="2138">
      <c r="A2138">
        <f>TRIM(BASE_EQUIPOS!N2138)</f>
        <v/>
      </c>
      <c r="B2138">
        <f>BASE_EQUIPOS!A2138</f>
        <v/>
      </c>
      <c r="C2138">
        <f>BASE_EQUIPOS!B2138</f>
        <v/>
      </c>
      <c r="D2138">
        <f>BASE_EQUIPOS!D2138</f>
        <v/>
      </c>
      <c r="E2138">
        <f>BASE_EQUIPOS!G2138</f>
        <v/>
      </c>
      <c r="F2138">
        <f>BASE_EQUIPOS!H2138</f>
        <v/>
      </c>
      <c r="G2138">
        <f>BASE_EQUIPOS!M2138</f>
        <v/>
      </c>
      <c r="I2138" t="inlineStr">
        <is>
          <t>7/BH743021</t>
        </is>
      </c>
    </row>
    <row r="2139">
      <c r="A2139">
        <f>TRIM(BASE_EQUIPOS!N2139)</f>
        <v/>
      </c>
      <c r="B2139">
        <f>BASE_EQUIPOS!A2139</f>
        <v/>
      </c>
      <c r="C2139">
        <f>BASE_EQUIPOS!B2139</f>
        <v/>
      </c>
      <c r="D2139">
        <f>BASE_EQUIPOS!D2139</f>
        <v/>
      </c>
      <c r="E2139">
        <f>BASE_EQUIPOS!G2139</f>
        <v/>
      </c>
      <c r="F2139">
        <f>BASE_EQUIPOS!H2139</f>
        <v/>
      </c>
      <c r="G2139">
        <f>BASE_EQUIPOS!M2139</f>
        <v/>
      </c>
      <c r="I2139" t="inlineStr">
        <is>
          <t>3/000240</t>
        </is>
      </c>
    </row>
    <row r="2140">
      <c r="A2140">
        <f>TRIM(BASE_EQUIPOS!N2140)</f>
        <v/>
      </c>
      <c r="B2140">
        <f>BASE_EQUIPOS!A2140</f>
        <v/>
      </c>
      <c r="C2140">
        <f>BASE_EQUIPOS!B2140</f>
        <v/>
      </c>
      <c r="D2140">
        <f>BASE_EQUIPOS!D2140</f>
        <v/>
      </c>
      <c r="E2140">
        <f>BASE_EQUIPOS!G2140</f>
        <v/>
      </c>
      <c r="F2140">
        <f>BASE_EQUIPOS!H2140</f>
        <v/>
      </c>
      <c r="G2140">
        <f>BASE_EQUIPOS!M2140</f>
        <v/>
      </c>
      <c r="I2140" t="inlineStr">
        <is>
          <t>S/N/000387</t>
        </is>
      </c>
    </row>
    <row r="2141">
      <c r="A2141">
        <f>TRIM(BASE_EQUIPOS!N2141)</f>
        <v/>
      </c>
      <c r="B2141">
        <f>BASE_EQUIPOS!A2141</f>
        <v/>
      </c>
      <c r="C2141">
        <f>BASE_EQUIPOS!B2141</f>
        <v/>
      </c>
      <c r="D2141">
        <f>BASE_EQUIPOS!D2141</f>
        <v/>
      </c>
      <c r="E2141">
        <f>BASE_EQUIPOS!G2141</f>
        <v/>
      </c>
      <c r="F2141">
        <f>BASE_EQUIPOS!H2141</f>
        <v/>
      </c>
      <c r="G2141">
        <f>BASE_EQUIPOS!M2141</f>
        <v/>
      </c>
      <c r="I2141" t="inlineStr">
        <is>
          <t>S/N/000270</t>
        </is>
      </c>
    </row>
    <row r="2142">
      <c r="A2142">
        <f>TRIM(BASE_EQUIPOS!N2142)</f>
        <v/>
      </c>
      <c r="B2142">
        <f>BASE_EQUIPOS!A2142</f>
        <v/>
      </c>
      <c r="C2142">
        <f>BASE_EQUIPOS!B2142</f>
        <v/>
      </c>
      <c r="D2142">
        <f>BASE_EQUIPOS!D2142</f>
        <v/>
      </c>
      <c r="E2142">
        <f>BASE_EQUIPOS!G2142</f>
        <v/>
      </c>
      <c r="F2142">
        <f>BASE_EQUIPOS!H2142</f>
        <v/>
      </c>
      <c r="G2142">
        <f>BASE_EQUIPOS!M2142</f>
        <v/>
      </c>
      <c r="I2142" t="inlineStr">
        <is>
          <t>01/002375</t>
        </is>
      </c>
    </row>
    <row r="2143">
      <c r="A2143">
        <f>TRIM(BASE_EQUIPOS!N2143)</f>
        <v/>
      </c>
      <c r="B2143">
        <f>BASE_EQUIPOS!A2143</f>
        <v/>
      </c>
      <c r="C2143">
        <f>BASE_EQUIPOS!B2143</f>
        <v/>
      </c>
      <c r="D2143">
        <f>BASE_EQUIPOS!D2143</f>
        <v/>
      </c>
      <c r="E2143">
        <f>BASE_EQUIPOS!G2143</f>
        <v/>
      </c>
      <c r="F2143">
        <f>BASE_EQUIPOS!H2143</f>
        <v/>
      </c>
      <c r="G2143">
        <f>BASE_EQUIPOS!M2143</f>
        <v/>
      </c>
      <c r="I2143" t="inlineStr">
        <is>
          <t>02/003431</t>
        </is>
      </c>
    </row>
    <row r="2144">
      <c r="A2144">
        <f>TRIM(BASE_EQUIPOS!N2144)</f>
        <v/>
      </c>
      <c r="B2144">
        <f>BASE_EQUIPOS!A2144</f>
        <v/>
      </c>
      <c r="C2144">
        <f>BASE_EQUIPOS!B2144</f>
        <v/>
      </c>
      <c r="D2144">
        <f>BASE_EQUIPOS!D2144</f>
        <v/>
      </c>
      <c r="E2144">
        <f>BASE_EQUIPOS!G2144</f>
        <v/>
      </c>
      <c r="F2144">
        <f>BASE_EQUIPOS!H2144</f>
        <v/>
      </c>
      <c r="G2144">
        <f>BASE_EQUIPOS!M2144</f>
        <v/>
      </c>
      <c r="I2144" t="inlineStr">
        <is>
          <t>05/001287</t>
        </is>
      </c>
    </row>
    <row r="2145">
      <c r="A2145">
        <f>TRIM(BASE_EQUIPOS!N2145)</f>
        <v/>
      </c>
      <c r="B2145">
        <f>BASE_EQUIPOS!A2145</f>
        <v/>
      </c>
      <c r="C2145">
        <f>BASE_EQUIPOS!B2145</f>
        <v/>
      </c>
      <c r="D2145">
        <f>BASE_EQUIPOS!D2145</f>
        <v/>
      </c>
      <c r="E2145">
        <f>BASE_EQUIPOS!G2145</f>
        <v/>
      </c>
      <c r="F2145">
        <f>BASE_EQUIPOS!H2145</f>
        <v/>
      </c>
      <c r="G2145">
        <f>BASE_EQUIPOS!M2145</f>
        <v/>
      </c>
      <c r="I2145" t="inlineStr">
        <is>
          <t>06/006160</t>
        </is>
      </c>
    </row>
    <row r="2146">
      <c r="A2146">
        <f>TRIM(BASE_EQUIPOS!N2146)</f>
        <v/>
      </c>
      <c r="B2146">
        <f>BASE_EQUIPOS!A2146</f>
        <v/>
      </c>
      <c r="C2146">
        <f>BASE_EQUIPOS!B2146</f>
        <v/>
      </c>
      <c r="D2146">
        <f>BASE_EQUIPOS!D2146</f>
        <v/>
      </c>
      <c r="E2146">
        <f>BASE_EQUIPOS!G2146</f>
        <v/>
      </c>
      <c r="F2146">
        <f>BASE_EQUIPOS!H2146</f>
        <v/>
      </c>
      <c r="G2146">
        <f>BASE_EQUIPOS!M2146</f>
        <v/>
      </c>
      <c r="I2146" t="inlineStr">
        <is>
          <t>03/005498</t>
        </is>
      </c>
    </row>
    <row r="2147">
      <c r="A2147">
        <f>TRIM(BASE_EQUIPOS!N2147)</f>
        <v/>
      </c>
      <c r="B2147">
        <f>BASE_EQUIPOS!A2147</f>
        <v/>
      </c>
      <c r="C2147">
        <f>BASE_EQUIPOS!B2147</f>
        <v/>
      </c>
      <c r="D2147">
        <f>BASE_EQUIPOS!D2147</f>
        <v/>
      </c>
      <c r="E2147">
        <f>BASE_EQUIPOS!G2147</f>
        <v/>
      </c>
      <c r="F2147">
        <f>BASE_EQUIPOS!H2147</f>
        <v/>
      </c>
      <c r="G2147">
        <f>BASE_EQUIPOS!M2147</f>
        <v/>
      </c>
      <c r="I2147" t="inlineStr">
        <is>
          <t>07/6391</t>
        </is>
      </c>
    </row>
    <row r="2148">
      <c r="A2148">
        <f>TRIM(BASE_EQUIPOS!N2148)</f>
        <v/>
      </c>
      <c r="B2148">
        <f>BASE_EQUIPOS!A2148</f>
        <v/>
      </c>
      <c r="C2148">
        <f>BASE_EQUIPOS!B2148</f>
        <v/>
      </c>
      <c r="D2148">
        <f>BASE_EQUIPOS!D2148</f>
        <v/>
      </c>
      <c r="E2148">
        <f>BASE_EQUIPOS!G2148</f>
        <v/>
      </c>
      <c r="F2148">
        <f>BASE_EQUIPOS!H2148</f>
        <v/>
      </c>
      <c r="G2148">
        <f>BASE_EQUIPOS!M2148</f>
        <v/>
      </c>
      <c r="I2148" t="inlineStr">
        <is>
          <t>04/000572</t>
        </is>
      </c>
    </row>
    <row r="2149">
      <c r="A2149">
        <f>TRIM(BASE_EQUIPOS!N2149)</f>
        <v/>
      </c>
      <c r="B2149">
        <f>BASE_EQUIPOS!A2149</f>
        <v/>
      </c>
      <c r="C2149">
        <f>BASE_EQUIPOS!B2149</f>
        <v/>
      </c>
      <c r="D2149">
        <f>BASE_EQUIPOS!D2149</f>
        <v/>
      </c>
      <c r="E2149">
        <f>BASE_EQUIPOS!G2149</f>
        <v/>
      </c>
      <c r="F2149">
        <f>BASE_EQUIPOS!H2149</f>
        <v/>
      </c>
      <c r="G2149">
        <f>BASE_EQUIPOS!M2149</f>
        <v/>
      </c>
      <c r="I2149" t="inlineStr">
        <is>
          <t>08/000667</t>
        </is>
      </c>
    </row>
    <row r="2150">
      <c r="A2150">
        <f>TRIM(BASE_EQUIPOS!N2150)</f>
        <v/>
      </c>
      <c r="B2150">
        <f>BASE_EQUIPOS!A2150</f>
        <v/>
      </c>
      <c r="C2150">
        <f>BASE_EQUIPOS!B2150</f>
        <v/>
      </c>
      <c r="D2150">
        <f>BASE_EQUIPOS!D2150</f>
        <v/>
      </c>
      <c r="E2150">
        <f>BASE_EQUIPOS!G2150</f>
        <v/>
      </c>
      <c r="F2150">
        <f>BASE_EQUIPOS!H2150</f>
        <v/>
      </c>
      <c r="G2150">
        <f>BASE_EQUIPOS!M2150</f>
        <v/>
      </c>
      <c r="I2150" t="inlineStr">
        <is>
          <t>01/025599</t>
        </is>
      </c>
    </row>
    <row r="2151">
      <c r="A2151">
        <f>TRIM(BASE_EQUIPOS!N2151)</f>
        <v/>
      </c>
      <c r="B2151">
        <f>BASE_EQUIPOS!A2151</f>
        <v/>
      </c>
      <c r="C2151">
        <f>BASE_EQUIPOS!B2151</f>
        <v/>
      </c>
      <c r="D2151">
        <f>BASE_EQUIPOS!D2151</f>
        <v/>
      </c>
      <c r="E2151">
        <f>BASE_EQUIPOS!G2151</f>
        <v/>
      </c>
      <c r="F2151">
        <f>BASE_EQUIPOS!H2151</f>
        <v/>
      </c>
      <c r="G2151">
        <f>BASE_EQUIPOS!M2151</f>
        <v/>
      </c>
      <c r="I2151" t="inlineStr">
        <is>
          <t>02/022519</t>
        </is>
      </c>
    </row>
    <row r="2152">
      <c r="A2152">
        <f>TRIM(BASE_EQUIPOS!N2152)</f>
        <v/>
      </c>
      <c r="B2152">
        <f>BASE_EQUIPOS!A2152</f>
        <v/>
      </c>
      <c r="C2152">
        <f>BASE_EQUIPOS!B2152</f>
        <v/>
      </c>
      <c r="D2152">
        <f>BASE_EQUIPOS!D2152</f>
        <v/>
      </c>
      <c r="E2152">
        <f>BASE_EQUIPOS!G2152</f>
        <v/>
      </c>
      <c r="F2152">
        <f>BASE_EQUIPOS!H2152</f>
        <v/>
      </c>
      <c r="G2152">
        <f>BASE_EQUIPOS!M2152</f>
        <v/>
      </c>
      <c r="I2152" t="inlineStr">
        <is>
          <t>03/000232</t>
        </is>
      </c>
    </row>
    <row r="2153">
      <c r="A2153">
        <f>TRIM(BASE_EQUIPOS!N2153)</f>
        <v/>
      </c>
      <c r="B2153">
        <f>BASE_EQUIPOS!A2153</f>
        <v/>
      </c>
      <c r="C2153">
        <f>BASE_EQUIPOS!B2153</f>
        <v/>
      </c>
      <c r="D2153">
        <f>BASE_EQUIPOS!D2153</f>
        <v/>
      </c>
      <c r="E2153">
        <f>BASE_EQUIPOS!G2153</f>
        <v/>
      </c>
      <c r="F2153">
        <f>BASE_EQUIPOS!H2153</f>
        <v/>
      </c>
      <c r="G2153">
        <f>BASE_EQUIPOS!M2153</f>
        <v/>
      </c>
      <c r="I2153" t="inlineStr">
        <is>
          <t>04/022547</t>
        </is>
      </c>
    </row>
    <row r="2154">
      <c r="A2154">
        <f>TRIM(BASE_EQUIPOS!N2154)</f>
        <v/>
      </c>
      <c r="B2154">
        <f>BASE_EQUIPOS!A2154</f>
        <v/>
      </c>
      <c r="C2154">
        <f>BASE_EQUIPOS!B2154</f>
        <v/>
      </c>
      <c r="D2154">
        <f>BASE_EQUIPOS!D2154</f>
        <v/>
      </c>
      <c r="E2154">
        <f>BASE_EQUIPOS!G2154</f>
        <v/>
      </c>
      <c r="F2154">
        <f>BASE_EQUIPOS!H2154</f>
        <v/>
      </c>
      <c r="G2154">
        <f>BASE_EQUIPOS!M2154</f>
        <v/>
      </c>
      <c r="I2154" t="inlineStr">
        <is>
          <t>05/002065</t>
        </is>
      </c>
    </row>
    <row r="2155">
      <c r="A2155">
        <f>TRIM(BASE_EQUIPOS!N2155)</f>
        <v/>
      </c>
      <c r="B2155">
        <f>BASE_EQUIPOS!A2155</f>
        <v/>
      </c>
      <c r="C2155">
        <f>BASE_EQUIPOS!B2155</f>
        <v/>
      </c>
      <c r="D2155">
        <f>BASE_EQUIPOS!D2155</f>
        <v/>
      </c>
      <c r="E2155">
        <f>BASE_EQUIPOS!G2155</f>
        <v/>
      </c>
      <c r="F2155">
        <f>BASE_EQUIPOS!H2155</f>
        <v/>
      </c>
      <c r="G2155">
        <f>BASE_EQUIPOS!M2155</f>
        <v/>
      </c>
      <c r="I2155" t="inlineStr">
        <is>
          <t>06/025686</t>
        </is>
      </c>
    </row>
    <row r="2156">
      <c r="A2156">
        <f>TRIM(BASE_EQUIPOS!N2156)</f>
        <v/>
      </c>
      <c r="B2156">
        <f>BASE_EQUIPOS!A2156</f>
        <v/>
      </c>
      <c r="C2156">
        <f>BASE_EQUIPOS!B2156</f>
        <v/>
      </c>
      <c r="D2156">
        <f>BASE_EQUIPOS!D2156</f>
        <v/>
      </c>
      <c r="E2156">
        <f>BASE_EQUIPOS!G2156</f>
        <v/>
      </c>
      <c r="F2156">
        <f>BASE_EQUIPOS!H2156</f>
        <v/>
      </c>
      <c r="G2156">
        <f>BASE_EQUIPOS!M2156</f>
        <v/>
      </c>
      <c r="I2156" t="inlineStr">
        <is>
          <t>07/000081</t>
        </is>
      </c>
    </row>
    <row r="2157">
      <c r="A2157">
        <f>TRIM(BASE_EQUIPOS!N2157)</f>
        <v/>
      </c>
      <c r="B2157">
        <f>BASE_EQUIPOS!A2157</f>
        <v/>
      </c>
      <c r="C2157">
        <f>BASE_EQUIPOS!B2157</f>
        <v/>
      </c>
      <c r="D2157">
        <f>BASE_EQUIPOS!D2157</f>
        <v/>
      </c>
      <c r="E2157">
        <f>BASE_EQUIPOS!G2157</f>
        <v/>
      </c>
      <c r="F2157">
        <f>BASE_EQUIPOS!H2157</f>
        <v/>
      </c>
      <c r="G2157">
        <f>BASE_EQUIPOS!M2157</f>
        <v/>
      </c>
      <c r="I2157" t="inlineStr">
        <is>
          <t>08/001410</t>
        </is>
      </c>
    </row>
    <row r="2158">
      <c r="A2158">
        <f>TRIM(BASE_EQUIPOS!N2158)</f>
        <v/>
      </c>
      <c r="B2158">
        <f>BASE_EQUIPOS!A2158</f>
        <v/>
      </c>
      <c r="C2158">
        <f>BASE_EQUIPOS!B2158</f>
        <v/>
      </c>
      <c r="D2158">
        <f>BASE_EQUIPOS!D2158</f>
        <v/>
      </c>
      <c r="E2158">
        <f>BASE_EQUIPOS!G2158</f>
        <v/>
      </c>
      <c r="F2158">
        <f>BASE_EQUIPOS!H2158</f>
        <v/>
      </c>
      <c r="G2158">
        <f>BASE_EQUIPOS!M2158</f>
        <v/>
      </c>
      <c r="I2158" t="inlineStr">
        <is>
          <t>01/000667</t>
        </is>
      </c>
    </row>
    <row r="2159">
      <c r="A2159">
        <f>TRIM(BASE_EQUIPOS!N2159)</f>
        <v/>
      </c>
      <c r="B2159">
        <f>BASE_EQUIPOS!A2159</f>
        <v/>
      </c>
      <c r="C2159">
        <f>BASE_EQUIPOS!B2159</f>
        <v/>
      </c>
      <c r="D2159">
        <f>BASE_EQUIPOS!D2159</f>
        <v/>
      </c>
      <c r="E2159">
        <f>BASE_EQUIPOS!G2159</f>
        <v/>
      </c>
      <c r="F2159">
        <f>BASE_EQUIPOS!H2159</f>
        <v/>
      </c>
      <c r="G2159">
        <f>BASE_EQUIPOS!M2159</f>
        <v/>
      </c>
      <c r="I2159" t="inlineStr">
        <is>
          <t>01/000968</t>
        </is>
      </c>
    </row>
    <row r="2160">
      <c r="A2160">
        <f>TRIM(BASE_EQUIPOS!N2160)</f>
        <v/>
      </c>
      <c r="B2160">
        <f>BASE_EQUIPOS!A2160</f>
        <v/>
      </c>
      <c r="C2160">
        <f>BASE_EQUIPOS!B2160</f>
        <v/>
      </c>
      <c r="D2160">
        <f>BASE_EQUIPOS!D2160</f>
        <v/>
      </c>
      <c r="E2160">
        <f>BASE_EQUIPOS!G2160</f>
        <v/>
      </c>
      <c r="F2160">
        <f>BASE_EQUIPOS!H2160</f>
        <v/>
      </c>
      <c r="G2160">
        <f>BASE_EQUIPOS!M2160</f>
        <v/>
      </c>
      <c r="I2160" t="inlineStr">
        <is>
          <t>02/000403</t>
        </is>
      </c>
    </row>
    <row r="2161">
      <c r="A2161">
        <f>TRIM(BASE_EQUIPOS!N2161)</f>
        <v/>
      </c>
      <c r="B2161">
        <f>BASE_EQUIPOS!A2161</f>
        <v/>
      </c>
      <c r="C2161">
        <f>BASE_EQUIPOS!B2161</f>
        <v/>
      </c>
      <c r="D2161">
        <f>BASE_EQUIPOS!D2161</f>
        <v/>
      </c>
      <c r="E2161">
        <f>BASE_EQUIPOS!G2161</f>
        <v/>
      </c>
      <c r="F2161">
        <f>BASE_EQUIPOS!H2161</f>
        <v/>
      </c>
      <c r="G2161">
        <f>BASE_EQUIPOS!M2161</f>
        <v/>
      </c>
      <c r="I2161" t="inlineStr">
        <is>
          <t>01/D374924</t>
        </is>
      </c>
    </row>
    <row r="2162">
      <c r="A2162">
        <f>TRIM(BASE_EQUIPOS!N2162)</f>
        <v/>
      </c>
      <c r="B2162">
        <f>BASE_EQUIPOS!A2162</f>
        <v/>
      </c>
      <c r="C2162">
        <f>BASE_EQUIPOS!B2162</f>
        <v/>
      </c>
      <c r="D2162">
        <f>BASE_EQUIPOS!D2162</f>
        <v/>
      </c>
      <c r="E2162">
        <f>BASE_EQUIPOS!G2162</f>
        <v/>
      </c>
      <c r="F2162">
        <f>BASE_EQUIPOS!H2162</f>
        <v/>
      </c>
      <c r="G2162">
        <f>BASE_EQUIPOS!M2162</f>
        <v/>
      </c>
      <c r="I2162" t="inlineStr">
        <is>
          <t>09/B06422293</t>
        </is>
      </c>
    </row>
    <row r="2163">
      <c r="A2163">
        <f>TRIM(BASE_EQUIPOS!N2163)</f>
        <v/>
      </c>
      <c r="B2163">
        <f>BASE_EQUIPOS!A2163</f>
        <v/>
      </c>
      <c r="C2163">
        <f>BASE_EQUIPOS!B2163</f>
        <v/>
      </c>
      <c r="D2163">
        <f>BASE_EQUIPOS!D2163</f>
        <v/>
      </c>
      <c r="E2163">
        <f>BASE_EQUIPOS!G2163</f>
        <v/>
      </c>
      <c r="F2163">
        <f>BASE_EQUIPOS!H2163</f>
        <v/>
      </c>
      <c r="G2163">
        <f>BASE_EQUIPOS!M2163</f>
        <v/>
      </c>
      <c r="I2163" t="inlineStr">
        <is>
          <t>04/A39014572</t>
        </is>
      </c>
    </row>
    <row r="2164">
      <c r="A2164">
        <f>TRIM(BASE_EQUIPOS!N2164)</f>
        <v/>
      </c>
      <c r="B2164">
        <f>BASE_EQUIPOS!A2164</f>
        <v/>
      </c>
      <c r="C2164">
        <f>BASE_EQUIPOS!B2164</f>
        <v/>
      </c>
      <c r="D2164">
        <f>BASE_EQUIPOS!D2164</f>
        <v/>
      </c>
      <c r="E2164">
        <f>BASE_EQUIPOS!G2164</f>
        <v/>
      </c>
      <c r="F2164">
        <f>BASE_EQUIPOS!H2164</f>
        <v/>
      </c>
      <c r="G2164">
        <f>BASE_EQUIPOS!M2164</f>
        <v/>
      </c>
      <c r="I2164" t="inlineStr">
        <is>
          <t>07/001318</t>
        </is>
      </c>
    </row>
    <row r="2165">
      <c r="A2165">
        <f>TRIM(BASE_EQUIPOS!N2165)</f>
        <v/>
      </c>
      <c r="B2165">
        <f>BASE_EQUIPOS!A2165</f>
        <v/>
      </c>
      <c r="C2165">
        <f>BASE_EQUIPOS!B2165</f>
        <v/>
      </c>
      <c r="D2165">
        <f>BASE_EQUIPOS!D2165</f>
        <v/>
      </c>
      <c r="E2165">
        <f>BASE_EQUIPOS!G2165</f>
        <v/>
      </c>
      <c r="F2165">
        <f>BASE_EQUIPOS!H2165</f>
        <v/>
      </c>
      <c r="G2165">
        <f>BASE_EQUIPOS!M2165</f>
        <v/>
      </c>
      <c r="I2165" t="inlineStr">
        <is>
          <t>05/000877</t>
        </is>
      </c>
    </row>
    <row r="2166">
      <c r="A2166">
        <f>TRIM(BASE_EQUIPOS!N2166)</f>
        <v/>
      </c>
      <c r="B2166">
        <f>BASE_EQUIPOS!A2166</f>
        <v/>
      </c>
      <c r="C2166">
        <f>BASE_EQUIPOS!B2166</f>
        <v/>
      </c>
      <c r="D2166">
        <f>BASE_EQUIPOS!D2166</f>
        <v/>
      </c>
      <c r="E2166">
        <f>BASE_EQUIPOS!G2166</f>
        <v/>
      </c>
      <c r="F2166">
        <f>BASE_EQUIPOS!H2166</f>
        <v/>
      </c>
      <c r="G2166">
        <f>BASE_EQUIPOS!M2166</f>
        <v/>
      </c>
      <c r="I2166" t="inlineStr">
        <is>
          <t>08/002213</t>
        </is>
      </c>
    </row>
    <row r="2167">
      <c r="A2167">
        <f>TRIM(BASE_EQUIPOS!N2167)</f>
        <v/>
      </c>
      <c r="B2167">
        <f>BASE_EQUIPOS!A2167</f>
        <v/>
      </c>
      <c r="C2167">
        <f>BASE_EQUIPOS!B2167</f>
        <v/>
      </c>
      <c r="D2167">
        <f>BASE_EQUIPOS!D2167</f>
        <v/>
      </c>
      <c r="E2167">
        <f>BASE_EQUIPOS!G2167</f>
        <v/>
      </c>
      <c r="F2167">
        <f>BASE_EQUIPOS!H2167</f>
        <v/>
      </c>
      <c r="G2167">
        <f>BASE_EQUIPOS!M2167</f>
        <v/>
      </c>
      <c r="I2167" t="inlineStr">
        <is>
          <t>02/004771</t>
        </is>
      </c>
    </row>
    <row r="2168">
      <c r="A2168">
        <f>TRIM(BASE_EQUIPOS!N2168)</f>
        <v/>
      </c>
      <c r="B2168">
        <f>BASE_EQUIPOS!A2168</f>
        <v/>
      </c>
      <c r="C2168">
        <f>BASE_EQUIPOS!B2168</f>
        <v/>
      </c>
      <c r="D2168">
        <f>BASE_EQUIPOS!D2168</f>
        <v/>
      </c>
      <c r="E2168">
        <f>BASE_EQUIPOS!G2168</f>
        <v/>
      </c>
      <c r="F2168">
        <f>BASE_EQUIPOS!H2168</f>
        <v/>
      </c>
      <c r="G2168">
        <f>BASE_EQUIPOS!M2168</f>
        <v/>
      </c>
      <c r="I2168" t="inlineStr">
        <is>
          <t>06/004204</t>
        </is>
      </c>
    </row>
    <row r="2169">
      <c r="A2169">
        <f>TRIM(BASE_EQUIPOS!N2169)</f>
        <v/>
      </c>
      <c r="B2169">
        <f>BASE_EQUIPOS!A2169</f>
        <v/>
      </c>
      <c r="C2169">
        <f>BASE_EQUIPOS!B2169</f>
        <v/>
      </c>
      <c r="D2169">
        <f>BASE_EQUIPOS!D2169</f>
        <v/>
      </c>
      <c r="E2169">
        <f>BASE_EQUIPOS!G2169</f>
        <v/>
      </c>
      <c r="F2169">
        <f>BASE_EQUIPOS!H2169</f>
        <v/>
      </c>
      <c r="G2169">
        <f>BASE_EQUIPOS!M2169</f>
        <v/>
      </c>
      <c r="I2169" t="inlineStr">
        <is>
          <t>32/000012</t>
        </is>
      </c>
    </row>
    <row r="2170">
      <c r="A2170">
        <f>TRIM(BASE_EQUIPOS!N2170)</f>
        <v/>
      </c>
      <c r="B2170">
        <f>BASE_EQUIPOS!A2170</f>
        <v/>
      </c>
      <c r="C2170">
        <f>BASE_EQUIPOS!B2170</f>
        <v/>
      </c>
      <c r="D2170">
        <f>BASE_EQUIPOS!D2170</f>
        <v/>
      </c>
      <c r="E2170">
        <f>BASE_EQUIPOS!G2170</f>
        <v/>
      </c>
      <c r="F2170">
        <f>BASE_EQUIPOS!H2170</f>
        <v/>
      </c>
      <c r="G2170">
        <f>BASE_EQUIPOS!M2170</f>
        <v/>
      </c>
      <c r="I2170" t="inlineStr">
        <is>
          <t>134/000744</t>
        </is>
      </c>
    </row>
    <row r="2171">
      <c r="A2171">
        <f>TRIM(BASE_EQUIPOS!N2171)</f>
        <v/>
      </c>
      <c r="B2171">
        <f>BASE_EQUIPOS!A2171</f>
        <v/>
      </c>
      <c r="C2171">
        <f>BASE_EQUIPOS!B2171</f>
        <v/>
      </c>
      <c r="D2171">
        <f>BASE_EQUIPOS!D2171</f>
        <v/>
      </c>
      <c r="E2171">
        <f>BASE_EQUIPOS!G2171</f>
        <v/>
      </c>
      <c r="F2171">
        <f>BASE_EQUIPOS!H2171</f>
        <v/>
      </c>
      <c r="G2171">
        <f>BASE_EQUIPOS!M2171</f>
        <v/>
      </c>
      <c r="I2171" t="inlineStr">
        <is>
          <t>250/000903</t>
        </is>
      </c>
    </row>
    <row r="2172">
      <c r="A2172">
        <f>TRIM(BASE_EQUIPOS!N2172)</f>
        <v/>
      </c>
      <c r="B2172">
        <f>BASE_EQUIPOS!A2172</f>
        <v/>
      </c>
      <c r="C2172">
        <f>BASE_EQUIPOS!B2172</f>
        <v/>
      </c>
      <c r="D2172">
        <f>BASE_EQUIPOS!D2172</f>
        <v/>
      </c>
      <c r="E2172">
        <f>BASE_EQUIPOS!G2172</f>
        <v/>
      </c>
      <c r="F2172">
        <f>BASE_EQUIPOS!H2172</f>
        <v/>
      </c>
      <c r="G2172">
        <f>BASE_EQUIPOS!M2172</f>
        <v/>
      </c>
      <c r="I2172" t="inlineStr">
        <is>
          <t>125/001644</t>
        </is>
      </c>
    </row>
    <row r="2173">
      <c r="A2173">
        <f>TRIM(BASE_EQUIPOS!N2173)</f>
        <v/>
      </c>
      <c r="B2173">
        <f>BASE_EQUIPOS!A2173</f>
        <v/>
      </c>
      <c r="C2173">
        <f>BASE_EQUIPOS!B2173</f>
        <v/>
      </c>
      <c r="D2173">
        <f>BASE_EQUIPOS!D2173</f>
        <v/>
      </c>
      <c r="E2173">
        <f>BASE_EQUIPOS!G2173</f>
        <v/>
      </c>
      <c r="F2173">
        <f>BASE_EQUIPOS!H2173</f>
        <v/>
      </c>
      <c r="G2173">
        <f>BASE_EQUIPOS!M2173</f>
        <v/>
      </c>
      <c r="I2173" t="inlineStr">
        <is>
          <t>04/001619</t>
        </is>
      </c>
    </row>
    <row r="2174">
      <c r="A2174">
        <f>TRIM(BASE_EQUIPOS!N2174)</f>
        <v/>
      </c>
      <c r="B2174">
        <f>BASE_EQUIPOS!A2174</f>
        <v/>
      </c>
      <c r="C2174">
        <f>BASE_EQUIPOS!B2174</f>
        <v/>
      </c>
      <c r="D2174">
        <f>BASE_EQUIPOS!D2174</f>
        <v/>
      </c>
      <c r="E2174">
        <f>BASE_EQUIPOS!G2174</f>
        <v/>
      </c>
      <c r="F2174">
        <f>BASE_EQUIPOS!H2174</f>
        <v/>
      </c>
      <c r="G2174">
        <f>BASE_EQUIPOS!M2174</f>
        <v/>
      </c>
      <c r="I2174" t="inlineStr">
        <is>
          <t>159/000597</t>
        </is>
      </c>
    </row>
    <row r="2175">
      <c r="A2175">
        <f>TRIM(BASE_EQUIPOS!N2175)</f>
        <v/>
      </c>
      <c r="B2175">
        <f>BASE_EQUIPOS!A2175</f>
        <v/>
      </c>
      <c r="C2175">
        <f>BASE_EQUIPOS!B2175</f>
        <v/>
      </c>
      <c r="D2175">
        <f>BASE_EQUIPOS!D2175</f>
        <v/>
      </c>
      <c r="E2175">
        <f>BASE_EQUIPOS!G2175</f>
        <v/>
      </c>
      <c r="F2175">
        <f>BASE_EQUIPOS!H2175</f>
        <v/>
      </c>
      <c r="G2175">
        <f>BASE_EQUIPOS!M2175</f>
        <v/>
      </c>
      <c r="I2175" t="inlineStr">
        <is>
          <t>161/000569</t>
        </is>
      </c>
    </row>
    <row r="2176">
      <c r="A2176">
        <f>TRIM(BASE_EQUIPOS!N2176)</f>
        <v/>
      </c>
      <c r="B2176">
        <f>BASE_EQUIPOS!A2176</f>
        <v/>
      </c>
      <c r="C2176">
        <f>BASE_EQUIPOS!B2176</f>
        <v/>
      </c>
      <c r="D2176">
        <f>BASE_EQUIPOS!D2176</f>
        <v/>
      </c>
      <c r="E2176">
        <f>BASE_EQUIPOS!G2176</f>
        <v/>
      </c>
      <c r="F2176">
        <f>BASE_EQUIPOS!H2176</f>
        <v/>
      </c>
      <c r="G2176">
        <f>BASE_EQUIPOS!M2176</f>
        <v/>
      </c>
      <c r="I2176" t="inlineStr">
        <is>
          <t>39/000287</t>
        </is>
      </c>
    </row>
    <row r="2177">
      <c r="A2177">
        <f>TRIM(BASE_EQUIPOS!N2177)</f>
        <v/>
      </c>
      <c r="B2177">
        <f>BASE_EQUIPOS!A2177</f>
        <v/>
      </c>
      <c r="C2177">
        <f>BASE_EQUIPOS!B2177</f>
        <v/>
      </c>
      <c r="D2177">
        <f>BASE_EQUIPOS!D2177</f>
        <v/>
      </c>
      <c r="E2177">
        <f>BASE_EQUIPOS!G2177</f>
        <v/>
      </c>
      <c r="F2177">
        <f>BASE_EQUIPOS!H2177</f>
        <v/>
      </c>
      <c r="G2177">
        <f>BASE_EQUIPOS!M2177</f>
        <v/>
      </c>
      <c r="I2177" t="inlineStr">
        <is>
          <t>354/000816</t>
        </is>
      </c>
    </row>
    <row r="2178">
      <c r="A2178">
        <f>TRIM(BASE_EQUIPOS!N2178)</f>
        <v/>
      </c>
      <c r="B2178">
        <f>BASE_EQUIPOS!A2178</f>
        <v/>
      </c>
      <c r="C2178">
        <f>BASE_EQUIPOS!B2178</f>
        <v/>
      </c>
      <c r="D2178">
        <f>BASE_EQUIPOS!D2178</f>
        <v/>
      </c>
      <c r="E2178">
        <f>BASE_EQUIPOS!G2178</f>
        <v/>
      </c>
      <c r="F2178">
        <f>BASE_EQUIPOS!H2178</f>
        <v/>
      </c>
      <c r="G2178">
        <f>BASE_EQUIPOS!M2178</f>
        <v/>
      </c>
      <c r="I2178" t="inlineStr">
        <is>
          <t>43/002831</t>
        </is>
      </c>
    </row>
    <row r="2179">
      <c r="A2179">
        <f>TRIM(BASE_EQUIPOS!N2179)</f>
        <v/>
      </c>
      <c r="B2179">
        <f>BASE_EQUIPOS!A2179</f>
        <v/>
      </c>
      <c r="C2179">
        <f>BASE_EQUIPOS!B2179</f>
        <v/>
      </c>
      <c r="D2179">
        <f>BASE_EQUIPOS!D2179</f>
        <v/>
      </c>
      <c r="E2179">
        <f>BASE_EQUIPOS!G2179</f>
        <v/>
      </c>
      <c r="F2179">
        <f>BASE_EQUIPOS!H2179</f>
        <v/>
      </c>
      <c r="G2179">
        <f>BASE_EQUIPOS!M2179</f>
        <v/>
      </c>
      <c r="I2179" t="inlineStr">
        <is>
          <t>44/006312</t>
        </is>
      </c>
    </row>
    <row r="2180">
      <c r="A2180">
        <f>TRIM(BASE_EQUIPOS!N2180)</f>
        <v/>
      </c>
      <c r="B2180">
        <f>BASE_EQUIPOS!A2180</f>
        <v/>
      </c>
      <c r="C2180">
        <f>BASE_EQUIPOS!B2180</f>
        <v/>
      </c>
      <c r="D2180">
        <f>BASE_EQUIPOS!D2180</f>
        <v/>
      </c>
      <c r="E2180">
        <f>BASE_EQUIPOS!G2180</f>
        <v/>
      </c>
      <c r="F2180">
        <f>BASE_EQUIPOS!H2180</f>
        <v/>
      </c>
      <c r="G2180">
        <f>BASE_EQUIPOS!M2180</f>
        <v/>
      </c>
      <c r="I2180" t="inlineStr">
        <is>
          <t>24/000590</t>
        </is>
      </c>
    </row>
    <row r="2181">
      <c r="A2181">
        <f>TRIM(BASE_EQUIPOS!N2181)</f>
        <v/>
      </c>
      <c r="B2181">
        <f>BASE_EQUIPOS!A2181</f>
        <v/>
      </c>
      <c r="C2181">
        <f>BASE_EQUIPOS!B2181</f>
        <v/>
      </c>
      <c r="D2181">
        <f>BASE_EQUIPOS!D2181</f>
        <v/>
      </c>
      <c r="E2181">
        <f>BASE_EQUIPOS!G2181</f>
        <v/>
      </c>
      <c r="F2181">
        <f>BASE_EQUIPOS!H2181</f>
        <v/>
      </c>
      <c r="G2181">
        <f>BASE_EQUIPOS!M2181</f>
        <v/>
      </c>
      <c r="I2181" t="inlineStr">
        <is>
          <t>144/000333</t>
        </is>
      </c>
    </row>
    <row r="2182">
      <c r="A2182">
        <f>TRIM(BASE_EQUIPOS!N2182)</f>
        <v/>
      </c>
      <c r="B2182">
        <f>BASE_EQUIPOS!A2182</f>
        <v/>
      </c>
      <c r="C2182">
        <f>BASE_EQUIPOS!B2182</f>
        <v/>
      </c>
      <c r="D2182">
        <f>BASE_EQUIPOS!D2182</f>
        <v/>
      </c>
      <c r="E2182">
        <f>BASE_EQUIPOS!G2182</f>
        <v/>
      </c>
      <c r="F2182">
        <f>BASE_EQUIPOS!H2182</f>
        <v/>
      </c>
      <c r="G2182">
        <f>BASE_EQUIPOS!M2182</f>
        <v/>
      </c>
      <c r="I2182" t="inlineStr">
        <is>
          <t>45/000178</t>
        </is>
      </c>
    </row>
    <row r="2183">
      <c r="A2183">
        <f>TRIM(BASE_EQUIPOS!N2183)</f>
        <v/>
      </c>
      <c r="B2183">
        <f>BASE_EQUIPOS!A2183</f>
        <v/>
      </c>
      <c r="C2183">
        <f>BASE_EQUIPOS!B2183</f>
        <v/>
      </c>
      <c r="D2183">
        <f>BASE_EQUIPOS!D2183</f>
        <v/>
      </c>
      <c r="E2183">
        <f>BASE_EQUIPOS!G2183</f>
        <v/>
      </c>
      <c r="F2183">
        <f>BASE_EQUIPOS!H2183</f>
        <v/>
      </c>
      <c r="G2183">
        <f>BASE_EQUIPOS!M2183</f>
        <v/>
      </c>
      <c r="I2183" t="inlineStr">
        <is>
          <t>129/001994</t>
        </is>
      </c>
    </row>
    <row r="2184">
      <c r="A2184">
        <f>TRIM(BASE_EQUIPOS!N2184)</f>
        <v/>
      </c>
      <c r="B2184">
        <f>BASE_EQUIPOS!A2184</f>
        <v/>
      </c>
      <c r="C2184">
        <f>BASE_EQUIPOS!B2184</f>
        <v/>
      </c>
      <c r="D2184">
        <f>BASE_EQUIPOS!D2184</f>
        <v/>
      </c>
      <c r="E2184">
        <f>BASE_EQUIPOS!G2184</f>
        <v/>
      </c>
      <c r="F2184">
        <f>BASE_EQUIPOS!H2184</f>
        <v/>
      </c>
      <c r="G2184">
        <f>BASE_EQUIPOS!M2184</f>
        <v/>
      </c>
      <c r="I2184" t="inlineStr">
        <is>
          <t>01/G09014474</t>
        </is>
      </c>
    </row>
    <row r="2185">
      <c r="A2185">
        <f>TRIM(BASE_EQUIPOS!N2185)</f>
        <v/>
      </c>
      <c r="B2185">
        <f>BASE_EQUIPOS!A2185</f>
        <v/>
      </c>
      <c r="C2185">
        <f>BASE_EQUIPOS!B2185</f>
        <v/>
      </c>
      <c r="D2185">
        <f>BASE_EQUIPOS!D2185</f>
        <v/>
      </c>
      <c r="E2185">
        <f>BASE_EQUIPOS!G2185</f>
        <v/>
      </c>
      <c r="F2185">
        <f>BASE_EQUIPOS!H2185</f>
        <v/>
      </c>
      <c r="G2185">
        <f>BASE_EQUIPOS!M2185</f>
        <v/>
      </c>
      <c r="I2185" t="inlineStr">
        <is>
          <t>02/G09014365</t>
        </is>
      </c>
    </row>
    <row r="2186">
      <c r="A2186">
        <f>TRIM(BASE_EQUIPOS!N2186)</f>
        <v/>
      </c>
      <c r="B2186">
        <f>BASE_EQUIPOS!A2186</f>
        <v/>
      </c>
      <c r="C2186">
        <f>BASE_EQUIPOS!B2186</f>
        <v/>
      </c>
      <c r="D2186">
        <f>BASE_EQUIPOS!D2186</f>
        <v/>
      </c>
      <c r="E2186">
        <f>BASE_EQUIPOS!G2186</f>
        <v/>
      </c>
      <c r="F2186">
        <f>BASE_EQUIPOS!H2186</f>
        <v/>
      </c>
      <c r="G2186">
        <f>BASE_EQUIPOS!M2186</f>
        <v/>
      </c>
      <c r="I2186" t="inlineStr">
        <is>
          <t>03/695600</t>
        </is>
      </c>
    </row>
    <row r="2187">
      <c r="A2187">
        <f>TRIM(BASE_EQUIPOS!N2187)</f>
        <v/>
      </c>
      <c r="B2187">
        <f>BASE_EQUIPOS!A2187</f>
        <v/>
      </c>
      <c r="C2187">
        <f>BASE_EQUIPOS!B2187</f>
        <v/>
      </c>
      <c r="D2187">
        <f>BASE_EQUIPOS!D2187</f>
        <v/>
      </c>
      <c r="E2187">
        <f>BASE_EQUIPOS!G2187</f>
        <v/>
      </c>
      <c r="F2187">
        <f>BASE_EQUIPOS!H2187</f>
        <v/>
      </c>
      <c r="G2187">
        <f>BASE_EQUIPOS!M2187</f>
        <v/>
      </c>
      <c r="I2187" t="inlineStr">
        <is>
          <t>04/743028</t>
        </is>
      </c>
    </row>
    <row r="2188">
      <c r="A2188">
        <f>TRIM(BASE_EQUIPOS!N2188)</f>
        <v/>
      </c>
      <c r="B2188">
        <f>BASE_EQUIPOS!A2188</f>
        <v/>
      </c>
      <c r="C2188">
        <f>BASE_EQUIPOS!B2188</f>
        <v/>
      </c>
      <c r="D2188">
        <f>BASE_EQUIPOS!D2188</f>
        <v/>
      </c>
      <c r="E2188">
        <f>BASE_EQUIPOS!G2188</f>
        <v/>
      </c>
      <c r="F2188">
        <f>BASE_EQUIPOS!H2188</f>
        <v/>
      </c>
      <c r="G2188">
        <f>BASE_EQUIPOS!M2188</f>
        <v/>
      </c>
      <c r="I2188" t="inlineStr">
        <is>
          <t>05/000074</t>
        </is>
      </c>
    </row>
    <row r="2189">
      <c r="A2189">
        <f>TRIM(BASE_EQUIPOS!N2189)</f>
        <v/>
      </c>
      <c r="B2189">
        <f>BASE_EQUIPOS!A2189</f>
        <v/>
      </c>
      <c r="C2189">
        <f>BASE_EQUIPOS!B2189</f>
        <v/>
      </c>
      <c r="D2189">
        <f>BASE_EQUIPOS!D2189</f>
        <v/>
      </c>
      <c r="E2189">
        <f>BASE_EQUIPOS!G2189</f>
        <v/>
      </c>
      <c r="F2189">
        <f>BASE_EQUIPOS!H2189</f>
        <v/>
      </c>
      <c r="G2189">
        <f>BASE_EQUIPOS!M2189</f>
        <v/>
      </c>
      <c r="I2189" t="inlineStr">
        <is>
          <t>01/001145</t>
        </is>
      </c>
    </row>
    <row r="2190">
      <c r="A2190">
        <f>TRIM(BASE_EQUIPOS!N2190)</f>
        <v/>
      </c>
      <c r="B2190">
        <f>BASE_EQUIPOS!A2190</f>
        <v/>
      </c>
      <c r="C2190">
        <f>BASE_EQUIPOS!B2190</f>
        <v/>
      </c>
      <c r="D2190">
        <f>BASE_EQUIPOS!D2190</f>
        <v/>
      </c>
      <c r="E2190">
        <f>BASE_EQUIPOS!G2190</f>
        <v/>
      </c>
      <c r="F2190">
        <f>BASE_EQUIPOS!H2190</f>
        <v/>
      </c>
      <c r="G2190">
        <f>BASE_EQUIPOS!M2190</f>
        <v/>
      </c>
      <c r="I2190" t="inlineStr">
        <is>
          <t>02/000291</t>
        </is>
      </c>
    </row>
    <row r="2191">
      <c r="A2191">
        <f>TRIM(BASE_EQUIPOS!N2191)</f>
        <v/>
      </c>
      <c r="B2191">
        <f>BASE_EQUIPOS!A2191</f>
        <v/>
      </c>
      <c r="C2191">
        <f>BASE_EQUIPOS!B2191</f>
        <v/>
      </c>
      <c r="D2191">
        <f>BASE_EQUIPOS!D2191</f>
        <v/>
      </c>
      <c r="E2191">
        <f>BASE_EQUIPOS!G2191</f>
        <v/>
      </c>
      <c r="F2191">
        <f>BASE_EQUIPOS!H2191</f>
        <v/>
      </c>
      <c r="G2191">
        <f>BASE_EQUIPOS!M2191</f>
        <v/>
      </c>
      <c r="I2191" t="inlineStr">
        <is>
          <t>03/000826</t>
        </is>
      </c>
    </row>
    <row r="2192">
      <c r="A2192">
        <f>TRIM(BASE_EQUIPOS!N2192)</f>
        <v/>
      </c>
      <c r="B2192">
        <f>BASE_EQUIPOS!A2192</f>
        <v/>
      </c>
      <c r="C2192">
        <f>BASE_EQUIPOS!B2192</f>
        <v/>
      </c>
      <c r="D2192">
        <f>BASE_EQUIPOS!D2192</f>
        <v/>
      </c>
      <c r="E2192">
        <f>BASE_EQUIPOS!G2192</f>
        <v/>
      </c>
      <c r="F2192">
        <f>BASE_EQUIPOS!H2192</f>
        <v/>
      </c>
      <c r="G2192">
        <f>BASE_EQUIPOS!M2192</f>
        <v/>
      </c>
      <c r="I2192" t="inlineStr">
        <is>
          <t>04/000174</t>
        </is>
      </c>
    </row>
    <row r="2193">
      <c r="A2193">
        <f>TRIM(BASE_EQUIPOS!N2193)</f>
        <v/>
      </c>
      <c r="B2193">
        <f>BASE_EQUIPOS!A2193</f>
        <v/>
      </c>
      <c r="C2193">
        <f>BASE_EQUIPOS!B2193</f>
        <v/>
      </c>
      <c r="D2193">
        <f>BASE_EQUIPOS!D2193</f>
        <v/>
      </c>
      <c r="E2193">
        <f>BASE_EQUIPOS!G2193</f>
        <v/>
      </c>
      <c r="F2193">
        <f>BASE_EQUIPOS!H2193</f>
        <v/>
      </c>
      <c r="G2193">
        <f>BASE_EQUIPOS!M2193</f>
        <v/>
      </c>
      <c r="I2193" t="inlineStr">
        <is>
          <t>05/000151</t>
        </is>
      </c>
    </row>
    <row r="2194">
      <c r="A2194">
        <f>TRIM(BASE_EQUIPOS!N2194)</f>
        <v/>
      </c>
      <c r="B2194">
        <f>BASE_EQUIPOS!A2194</f>
        <v/>
      </c>
      <c r="C2194">
        <f>BASE_EQUIPOS!B2194</f>
        <v/>
      </c>
      <c r="D2194">
        <f>BASE_EQUIPOS!D2194</f>
        <v/>
      </c>
      <c r="E2194">
        <f>BASE_EQUIPOS!G2194</f>
        <v/>
      </c>
      <c r="F2194">
        <f>BASE_EQUIPOS!H2194</f>
        <v/>
      </c>
      <c r="G2194">
        <f>BASE_EQUIPOS!M2194</f>
        <v/>
      </c>
      <c r="I2194" t="inlineStr">
        <is>
          <t>01/071794</t>
        </is>
      </c>
    </row>
    <row r="2195">
      <c r="A2195">
        <f>TRIM(BASE_EQUIPOS!N2195)</f>
        <v/>
      </c>
      <c r="B2195">
        <f>BASE_EQUIPOS!A2195</f>
        <v/>
      </c>
      <c r="C2195">
        <f>BASE_EQUIPOS!B2195</f>
        <v/>
      </c>
      <c r="D2195">
        <f>BASE_EQUIPOS!D2195</f>
        <v/>
      </c>
      <c r="E2195">
        <f>BASE_EQUIPOS!G2195</f>
        <v/>
      </c>
      <c r="F2195">
        <f>BASE_EQUIPOS!H2195</f>
        <v/>
      </c>
      <c r="G2195">
        <f>BASE_EQUIPOS!M2195</f>
        <v/>
      </c>
      <c r="I2195" t="inlineStr">
        <is>
          <t>01/28286</t>
        </is>
      </c>
    </row>
    <row r="2196">
      <c r="A2196">
        <f>TRIM(BASE_EQUIPOS!N2196)</f>
        <v/>
      </c>
      <c r="B2196">
        <f>BASE_EQUIPOS!A2196</f>
        <v/>
      </c>
      <c r="C2196">
        <f>BASE_EQUIPOS!B2196</f>
        <v/>
      </c>
      <c r="D2196">
        <f>BASE_EQUIPOS!D2196</f>
        <v/>
      </c>
      <c r="E2196">
        <f>BASE_EQUIPOS!G2196</f>
        <v/>
      </c>
      <c r="F2196">
        <f>BASE_EQUIPOS!H2196</f>
        <v/>
      </c>
      <c r="G2196">
        <f>BASE_EQUIPOS!M2196</f>
        <v/>
      </c>
      <c r="I2196" t="inlineStr">
        <is>
          <t>93/000299</t>
        </is>
      </c>
    </row>
    <row r="2197">
      <c r="A2197">
        <f>TRIM(BASE_EQUIPOS!N2197)</f>
        <v/>
      </c>
      <c r="B2197">
        <f>BASE_EQUIPOS!A2197</f>
        <v/>
      </c>
      <c r="C2197">
        <f>BASE_EQUIPOS!B2197</f>
        <v/>
      </c>
      <c r="D2197">
        <f>BASE_EQUIPOS!D2197</f>
        <v/>
      </c>
      <c r="E2197">
        <f>BASE_EQUIPOS!G2197</f>
        <v/>
      </c>
      <c r="F2197">
        <f>BASE_EQUIPOS!H2197</f>
        <v/>
      </c>
      <c r="G2197">
        <f>BASE_EQUIPOS!M2197</f>
        <v/>
      </c>
      <c r="I2197" t="inlineStr">
        <is>
          <t>218/000980</t>
        </is>
      </c>
    </row>
    <row r="2198">
      <c r="A2198">
        <f>TRIM(BASE_EQUIPOS!N2198)</f>
        <v/>
      </c>
      <c r="B2198">
        <f>BASE_EQUIPOS!A2198</f>
        <v/>
      </c>
      <c r="C2198">
        <f>BASE_EQUIPOS!B2198</f>
        <v/>
      </c>
      <c r="D2198">
        <f>BASE_EQUIPOS!D2198</f>
        <v/>
      </c>
      <c r="E2198">
        <f>BASE_EQUIPOS!G2198</f>
        <v/>
      </c>
      <c r="F2198">
        <f>BASE_EQUIPOS!H2198</f>
        <v/>
      </c>
      <c r="G2198">
        <f>BASE_EQUIPOS!M2198</f>
        <v/>
      </c>
      <c r="I2198" t="inlineStr">
        <is>
          <t>47/000190</t>
        </is>
      </c>
    </row>
    <row r="2199">
      <c r="A2199">
        <f>TRIM(BASE_EQUIPOS!N2199)</f>
        <v/>
      </c>
      <c r="B2199">
        <f>BASE_EQUIPOS!A2199</f>
        <v/>
      </c>
      <c r="C2199">
        <f>BASE_EQUIPOS!B2199</f>
        <v/>
      </c>
      <c r="D2199">
        <f>BASE_EQUIPOS!D2199</f>
        <v/>
      </c>
      <c r="E2199">
        <f>BASE_EQUIPOS!G2199</f>
        <v/>
      </c>
      <c r="F2199">
        <f>BASE_EQUIPOS!H2199</f>
        <v/>
      </c>
      <c r="G2199">
        <f>BASE_EQUIPOS!M2199</f>
        <v/>
      </c>
      <c r="I2199" t="inlineStr">
        <is>
          <t>74/000308</t>
        </is>
      </c>
    </row>
    <row r="2200">
      <c r="A2200">
        <f>TRIM(BASE_EQUIPOS!N2200)</f>
        <v/>
      </c>
      <c r="B2200">
        <f>BASE_EQUIPOS!A2200</f>
        <v/>
      </c>
      <c r="C2200">
        <f>BASE_EQUIPOS!B2200</f>
        <v/>
      </c>
      <c r="D2200">
        <f>BASE_EQUIPOS!D2200</f>
        <v/>
      </c>
      <c r="E2200">
        <f>BASE_EQUIPOS!G2200</f>
        <v/>
      </c>
      <c r="F2200">
        <f>BASE_EQUIPOS!H2200</f>
        <v/>
      </c>
      <c r="G2200">
        <f>BASE_EQUIPOS!M2200</f>
        <v/>
      </c>
      <c r="I2200" t="inlineStr">
        <is>
          <t>75/014400</t>
        </is>
      </c>
    </row>
    <row r="2201">
      <c r="A2201">
        <f>TRIM(BASE_EQUIPOS!N2201)</f>
        <v/>
      </c>
      <c r="B2201">
        <f>BASE_EQUIPOS!A2201</f>
        <v/>
      </c>
      <c r="C2201">
        <f>BASE_EQUIPOS!B2201</f>
        <v/>
      </c>
      <c r="D2201">
        <f>BASE_EQUIPOS!D2201</f>
        <v/>
      </c>
      <c r="E2201">
        <f>BASE_EQUIPOS!G2201</f>
        <v/>
      </c>
      <c r="F2201">
        <f>BASE_EQUIPOS!H2201</f>
        <v/>
      </c>
      <c r="G2201">
        <f>BASE_EQUIPOS!M2201</f>
        <v/>
      </c>
      <c r="I2201" t="inlineStr">
        <is>
          <t>150/006500</t>
        </is>
      </c>
    </row>
    <row r="2202">
      <c r="A2202">
        <f>TRIM(BASE_EQUIPOS!N2202)</f>
        <v/>
      </c>
      <c r="B2202">
        <f>BASE_EQUIPOS!A2202</f>
        <v/>
      </c>
      <c r="C2202">
        <f>BASE_EQUIPOS!B2202</f>
        <v/>
      </c>
      <c r="D2202">
        <f>BASE_EQUIPOS!D2202</f>
        <v/>
      </c>
      <c r="E2202">
        <f>BASE_EQUIPOS!G2202</f>
        <v/>
      </c>
      <c r="F2202">
        <f>BASE_EQUIPOS!H2202</f>
        <v/>
      </c>
      <c r="G2202">
        <f>BASE_EQUIPOS!M2202</f>
        <v/>
      </c>
      <c r="I2202" t="inlineStr">
        <is>
          <t>167/002616</t>
        </is>
      </c>
    </row>
    <row r="2203">
      <c r="A2203">
        <f>TRIM(BASE_EQUIPOS!N2203)</f>
        <v/>
      </c>
      <c r="B2203">
        <f>BASE_EQUIPOS!A2203</f>
        <v/>
      </c>
      <c r="C2203">
        <f>BASE_EQUIPOS!B2203</f>
        <v/>
      </c>
      <c r="D2203">
        <f>BASE_EQUIPOS!D2203</f>
        <v/>
      </c>
      <c r="E2203">
        <f>BASE_EQUIPOS!G2203</f>
        <v/>
      </c>
      <c r="F2203">
        <f>BASE_EQUIPOS!H2203</f>
        <v/>
      </c>
      <c r="G2203">
        <f>BASE_EQUIPOS!M2203</f>
        <v/>
      </c>
      <c r="I2203" t="inlineStr">
        <is>
          <t>193/002197</t>
        </is>
      </c>
    </row>
    <row r="2204">
      <c r="A2204">
        <f>TRIM(BASE_EQUIPOS!N2204)</f>
        <v/>
      </c>
      <c r="B2204">
        <f>BASE_EQUIPOS!A2204</f>
        <v/>
      </c>
      <c r="C2204">
        <f>BASE_EQUIPOS!B2204</f>
        <v/>
      </c>
      <c r="D2204">
        <f>BASE_EQUIPOS!D2204</f>
        <v/>
      </c>
      <c r="E2204">
        <f>BASE_EQUIPOS!G2204</f>
        <v/>
      </c>
      <c r="F2204">
        <f>BASE_EQUIPOS!H2204</f>
        <v/>
      </c>
      <c r="G2204">
        <f>BASE_EQUIPOS!M2204</f>
        <v/>
      </c>
      <c r="I2204" t="inlineStr">
        <is>
          <t>246/002693</t>
        </is>
      </c>
    </row>
    <row r="2205">
      <c r="A2205">
        <f>TRIM(BASE_EQUIPOS!N2205)</f>
        <v/>
      </c>
      <c r="B2205">
        <f>BASE_EQUIPOS!A2205</f>
        <v/>
      </c>
      <c r="C2205">
        <f>BASE_EQUIPOS!B2205</f>
        <v/>
      </c>
      <c r="D2205">
        <f>BASE_EQUIPOS!D2205</f>
        <v/>
      </c>
      <c r="E2205">
        <f>BASE_EQUIPOS!G2205</f>
        <v/>
      </c>
      <c r="F2205">
        <f>BASE_EQUIPOS!H2205</f>
        <v/>
      </c>
      <c r="G2205">
        <f>BASE_EQUIPOS!M2205</f>
        <v/>
      </c>
      <c r="I2205" t="inlineStr">
        <is>
          <t>347/000592</t>
        </is>
      </c>
    </row>
    <row r="2206">
      <c r="A2206">
        <f>TRIM(BASE_EQUIPOS!N2206)</f>
        <v/>
      </c>
      <c r="B2206">
        <f>BASE_EQUIPOS!A2206</f>
        <v/>
      </c>
      <c r="C2206">
        <f>BASE_EQUIPOS!B2206</f>
        <v/>
      </c>
      <c r="D2206">
        <f>BASE_EQUIPOS!D2206</f>
        <v/>
      </c>
      <c r="E2206">
        <f>BASE_EQUIPOS!G2206</f>
        <v/>
      </c>
      <c r="F2206">
        <f>BASE_EQUIPOS!H2206</f>
        <v/>
      </c>
      <c r="G2206">
        <f>BASE_EQUIPOS!M2206</f>
        <v/>
      </c>
      <c r="I2206" t="inlineStr">
        <is>
          <t>77/009075</t>
        </is>
      </c>
    </row>
    <row r="2207">
      <c r="A2207">
        <f>TRIM(BASE_EQUIPOS!N2207)</f>
        <v/>
      </c>
      <c r="B2207">
        <f>BASE_EQUIPOS!A2207</f>
        <v/>
      </c>
      <c r="C2207">
        <f>BASE_EQUIPOS!B2207</f>
        <v/>
      </c>
      <c r="D2207">
        <f>BASE_EQUIPOS!D2207</f>
        <v/>
      </c>
      <c r="E2207">
        <f>BASE_EQUIPOS!G2207</f>
        <v/>
      </c>
      <c r="F2207">
        <f>BASE_EQUIPOS!H2207</f>
        <v/>
      </c>
      <c r="G2207">
        <f>BASE_EQUIPOS!M2207</f>
        <v/>
      </c>
      <c r="I2207" t="inlineStr">
        <is>
          <t>78/009766</t>
        </is>
      </c>
    </row>
    <row r="2208">
      <c r="A2208">
        <f>TRIM(BASE_EQUIPOS!N2208)</f>
        <v/>
      </c>
      <c r="B2208">
        <f>BASE_EQUIPOS!A2208</f>
        <v/>
      </c>
      <c r="C2208">
        <f>BASE_EQUIPOS!B2208</f>
        <v/>
      </c>
      <c r="D2208">
        <f>BASE_EQUIPOS!D2208</f>
        <v/>
      </c>
      <c r="E2208">
        <f>BASE_EQUIPOS!G2208</f>
        <v/>
      </c>
      <c r="F2208">
        <f>BASE_EQUIPOS!H2208</f>
        <v/>
      </c>
      <c r="G2208">
        <f>BASE_EQUIPOS!M2208</f>
        <v/>
      </c>
      <c r="I2208" t="inlineStr">
        <is>
          <t>80/006094</t>
        </is>
      </c>
    </row>
    <row r="2209">
      <c r="A2209">
        <f>TRIM(BASE_EQUIPOS!N2209)</f>
        <v/>
      </c>
      <c r="B2209">
        <f>BASE_EQUIPOS!A2209</f>
        <v/>
      </c>
      <c r="C2209">
        <f>BASE_EQUIPOS!B2209</f>
        <v/>
      </c>
      <c r="D2209">
        <f>BASE_EQUIPOS!D2209</f>
        <v/>
      </c>
      <c r="E2209">
        <f>BASE_EQUIPOS!G2209</f>
        <v/>
      </c>
      <c r="F2209">
        <f>BASE_EQUIPOS!H2209</f>
        <v/>
      </c>
      <c r="G2209">
        <f>BASE_EQUIPOS!M2209</f>
        <v/>
      </c>
      <c r="I2209" t="inlineStr">
        <is>
          <t>01/501127</t>
        </is>
      </c>
    </row>
    <row r="2210">
      <c r="A2210">
        <f>TRIM(BASE_EQUIPOS!N2210)</f>
        <v/>
      </c>
      <c r="B2210">
        <f>BASE_EQUIPOS!A2210</f>
        <v/>
      </c>
      <c r="C2210">
        <f>BASE_EQUIPOS!B2210</f>
        <v/>
      </c>
      <c r="D2210">
        <f>BASE_EQUIPOS!D2210</f>
        <v/>
      </c>
      <c r="E2210">
        <f>BASE_EQUIPOS!G2210</f>
        <v/>
      </c>
      <c r="F2210">
        <f>BASE_EQUIPOS!H2210</f>
        <v/>
      </c>
      <c r="G2210">
        <f>BASE_EQUIPOS!M2210</f>
        <v/>
      </c>
      <c r="I2210" t="inlineStr">
        <is>
          <t>02/000244</t>
        </is>
      </c>
    </row>
    <row r="2211">
      <c r="A2211">
        <f>TRIM(BASE_EQUIPOS!N2211)</f>
        <v/>
      </c>
      <c r="B2211">
        <f>BASE_EQUIPOS!A2211</f>
        <v/>
      </c>
      <c r="C2211">
        <f>BASE_EQUIPOS!B2211</f>
        <v/>
      </c>
      <c r="D2211">
        <f>BASE_EQUIPOS!D2211</f>
        <v/>
      </c>
      <c r="E2211">
        <f>BASE_EQUIPOS!G2211</f>
        <v/>
      </c>
      <c r="F2211">
        <f>BASE_EQUIPOS!H2211</f>
        <v/>
      </c>
      <c r="G2211">
        <f>BASE_EQUIPOS!M2211</f>
        <v/>
      </c>
      <c r="I2211" t="inlineStr">
        <is>
          <t>03/001722</t>
        </is>
      </c>
    </row>
    <row r="2212">
      <c r="A2212">
        <f>TRIM(BASE_EQUIPOS!N2212)</f>
        <v/>
      </c>
      <c r="B2212">
        <f>BASE_EQUIPOS!A2212</f>
        <v/>
      </c>
      <c r="C2212">
        <f>BASE_EQUIPOS!B2212</f>
        <v/>
      </c>
      <c r="D2212">
        <f>BASE_EQUIPOS!D2212</f>
        <v/>
      </c>
      <c r="E2212">
        <f>BASE_EQUIPOS!G2212</f>
        <v/>
      </c>
      <c r="F2212">
        <f>BASE_EQUIPOS!H2212</f>
        <v/>
      </c>
      <c r="G2212">
        <f>BASE_EQUIPOS!M2212</f>
        <v/>
      </c>
      <c r="I2212" t="inlineStr">
        <is>
          <t>04/492684</t>
        </is>
      </c>
    </row>
    <row r="2213">
      <c r="A2213">
        <f>TRIM(BASE_EQUIPOS!N2213)</f>
        <v/>
      </c>
      <c r="B2213">
        <f>BASE_EQUIPOS!A2213</f>
        <v/>
      </c>
      <c r="C2213">
        <f>BASE_EQUIPOS!B2213</f>
        <v/>
      </c>
      <c r="D2213">
        <f>BASE_EQUIPOS!D2213</f>
        <v/>
      </c>
      <c r="E2213">
        <f>BASE_EQUIPOS!G2213</f>
        <v/>
      </c>
      <c r="F2213">
        <f>BASE_EQUIPOS!H2213</f>
        <v/>
      </c>
      <c r="G2213">
        <f>BASE_EQUIPOS!M2213</f>
        <v/>
      </c>
      <c r="I2213" t="inlineStr">
        <is>
          <t>05/000016</t>
        </is>
      </c>
    </row>
    <row r="2214">
      <c r="A2214">
        <f>TRIM(BASE_EQUIPOS!N2214)</f>
        <v/>
      </c>
      <c r="B2214">
        <f>BASE_EQUIPOS!A2214</f>
        <v/>
      </c>
      <c r="C2214">
        <f>BASE_EQUIPOS!B2214</f>
        <v/>
      </c>
      <c r="D2214">
        <f>BASE_EQUIPOS!D2214</f>
        <v/>
      </c>
      <c r="E2214">
        <f>BASE_EQUIPOS!G2214</f>
        <v/>
      </c>
      <c r="F2214">
        <f>BASE_EQUIPOS!H2214</f>
        <v/>
      </c>
      <c r="G2214">
        <f>BASE_EQUIPOS!M2214</f>
        <v/>
      </c>
      <c r="I2214" t="inlineStr">
        <is>
          <t>01/002668</t>
        </is>
      </c>
    </row>
    <row r="2215">
      <c r="A2215">
        <f>TRIM(BASE_EQUIPOS!N2215)</f>
        <v/>
      </c>
      <c r="B2215">
        <f>BASE_EQUIPOS!A2215</f>
        <v/>
      </c>
      <c r="C2215">
        <f>BASE_EQUIPOS!B2215</f>
        <v/>
      </c>
      <c r="D2215">
        <f>BASE_EQUIPOS!D2215</f>
        <v/>
      </c>
      <c r="E2215">
        <f>BASE_EQUIPOS!G2215</f>
        <v/>
      </c>
      <c r="F2215">
        <f>BASE_EQUIPOS!H2215</f>
        <v/>
      </c>
      <c r="G2215">
        <f>BASE_EQUIPOS!M2215</f>
        <v/>
      </c>
      <c r="I2215" t="inlineStr">
        <is>
          <t>02/000229</t>
        </is>
      </c>
    </row>
    <row r="2216">
      <c r="A2216">
        <f>TRIM(BASE_EQUIPOS!N2216)</f>
        <v/>
      </c>
      <c r="B2216">
        <f>BASE_EQUIPOS!A2216</f>
        <v/>
      </c>
      <c r="C2216">
        <f>BASE_EQUIPOS!B2216</f>
        <v/>
      </c>
      <c r="D2216">
        <f>BASE_EQUIPOS!D2216</f>
        <v/>
      </c>
      <c r="E2216">
        <f>BASE_EQUIPOS!G2216</f>
        <v/>
      </c>
      <c r="F2216">
        <f>BASE_EQUIPOS!H2216</f>
        <v/>
      </c>
      <c r="G2216">
        <f>BASE_EQUIPOS!M2216</f>
        <v/>
      </c>
      <c r="I2216" t="inlineStr">
        <is>
          <t>01/117660</t>
        </is>
      </c>
    </row>
    <row r="2217">
      <c r="A2217">
        <f>TRIM(BASE_EQUIPOS!N2217)</f>
        <v/>
      </c>
      <c r="B2217">
        <f>BASE_EQUIPOS!A2217</f>
        <v/>
      </c>
      <c r="C2217">
        <f>BASE_EQUIPOS!B2217</f>
        <v/>
      </c>
      <c r="D2217">
        <f>BASE_EQUIPOS!D2217</f>
        <v/>
      </c>
      <c r="E2217">
        <f>BASE_EQUIPOS!G2217</f>
        <v/>
      </c>
      <c r="F2217">
        <f>BASE_EQUIPOS!H2217</f>
        <v/>
      </c>
      <c r="G2217">
        <f>BASE_EQUIPOS!M2217</f>
        <v/>
      </c>
      <c r="I2217" t="inlineStr">
        <is>
          <t>02/000009</t>
        </is>
      </c>
    </row>
    <row r="2218">
      <c r="A2218">
        <f>TRIM(BASE_EQUIPOS!N2218)</f>
        <v/>
      </c>
      <c r="B2218">
        <f>BASE_EQUIPOS!A2218</f>
        <v/>
      </c>
      <c r="C2218">
        <f>BASE_EQUIPOS!B2218</f>
        <v/>
      </c>
      <c r="D2218">
        <f>BASE_EQUIPOS!D2218</f>
        <v/>
      </c>
      <c r="E2218">
        <f>BASE_EQUIPOS!G2218</f>
        <v/>
      </c>
      <c r="F2218">
        <f>BASE_EQUIPOS!H2218</f>
        <v/>
      </c>
      <c r="G2218">
        <f>BASE_EQUIPOS!M2218</f>
        <v/>
      </c>
      <c r="I2218" t="inlineStr">
        <is>
          <t>03/003595</t>
        </is>
      </c>
    </row>
    <row r="2219">
      <c r="A2219">
        <f>TRIM(BASE_EQUIPOS!N2219)</f>
        <v/>
      </c>
      <c r="B2219">
        <f>BASE_EQUIPOS!A2219</f>
        <v/>
      </c>
      <c r="C2219">
        <f>BASE_EQUIPOS!B2219</f>
        <v/>
      </c>
      <c r="D2219">
        <f>BASE_EQUIPOS!D2219</f>
        <v/>
      </c>
      <c r="E2219">
        <f>BASE_EQUIPOS!G2219</f>
        <v/>
      </c>
      <c r="F2219">
        <f>BASE_EQUIPOS!H2219</f>
        <v/>
      </c>
      <c r="G2219">
        <f>BASE_EQUIPOS!M2219</f>
        <v/>
      </c>
      <c r="I2219" t="inlineStr">
        <is>
          <t>04/000557</t>
        </is>
      </c>
    </row>
    <row r="2220">
      <c r="A2220">
        <f>TRIM(BASE_EQUIPOS!N2220)</f>
        <v/>
      </c>
      <c r="B2220">
        <f>BASE_EQUIPOS!A2220</f>
        <v/>
      </c>
      <c r="C2220">
        <f>BASE_EQUIPOS!B2220</f>
        <v/>
      </c>
      <c r="D2220">
        <f>BASE_EQUIPOS!D2220</f>
        <v/>
      </c>
      <c r="E2220">
        <f>BASE_EQUIPOS!G2220</f>
        <v/>
      </c>
      <c r="F2220">
        <f>BASE_EQUIPOS!H2220</f>
        <v/>
      </c>
      <c r="G2220">
        <f>BASE_EQUIPOS!M2220</f>
        <v/>
      </c>
      <c r="I2220" t="inlineStr">
        <is>
          <t>01/000024</t>
        </is>
      </c>
    </row>
    <row r="2221">
      <c r="A2221">
        <f>TRIM(BASE_EQUIPOS!N2221)</f>
        <v/>
      </c>
      <c r="B2221">
        <f>BASE_EQUIPOS!A2221</f>
        <v/>
      </c>
      <c r="C2221">
        <f>BASE_EQUIPOS!B2221</f>
        <v/>
      </c>
      <c r="D2221">
        <f>BASE_EQUIPOS!D2221</f>
        <v/>
      </c>
      <c r="E2221">
        <f>BASE_EQUIPOS!G2221</f>
        <v/>
      </c>
      <c r="F2221">
        <f>BASE_EQUIPOS!H2221</f>
        <v/>
      </c>
      <c r="G2221">
        <f>BASE_EQUIPOS!M2221</f>
        <v/>
      </c>
      <c r="I2221" t="inlineStr">
        <is>
          <t>01/139327</t>
        </is>
      </c>
    </row>
    <row r="2222">
      <c r="A2222">
        <f>TRIM(BASE_EQUIPOS!N2222)</f>
        <v/>
      </c>
      <c r="B2222">
        <f>BASE_EQUIPOS!A2222</f>
        <v/>
      </c>
      <c r="C2222">
        <f>BASE_EQUIPOS!B2222</f>
        <v/>
      </c>
      <c r="D2222">
        <f>BASE_EQUIPOS!D2222</f>
        <v/>
      </c>
      <c r="E2222">
        <f>BASE_EQUIPOS!G2222</f>
        <v/>
      </c>
      <c r="F2222">
        <f>BASE_EQUIPOS!H2222</f>
        <v/>
      </c>
      <c r="G2222">
        <f>BASE_EQUIPOS!M2222</f>
        <v/>
      </c>
      <c r="I2222" t="inlineStr">
        <is>
          <t>201/001533</t>
        </is>
      </c>
    </row>
    <row r="2223">
      <c r="A2223">
        <f>TRIM(BASE_EQUIPOS!N2223)</f>
        <v/>
      </c>
      <c r="B2223">
        <f>BASE_EQUIPOS!A2223</f>
        <v/>
      </c>
      <c r="C2223">
        <f>BASE_EQUIPOS!B2223</f>
        <v/>
      </c>
      <c r="D2223">
        <f>BASE_EQUIPOS!D2223</f>
        <v/>
      </c>
      <c r="E2223">
        <f>BASE_EQUIPOS!G2223</f>
        <v/>
      </c>
      <c r="F2223">
        <f>BASE_EQUIPOS!H2223</f>
        <v/>
      </c>
      <c r="G2223">
        <f>BASE_EQUIPOS!M2223</f>
        <v/>
      </c>
      <c r="I2223" t="inlineStr">
        <is>
          <t>180/000005</t>
        </is>
      </c>
    </row>
    <row r="2224">
      <c r="A2224">
        <f>TRIM(BASE_EQUIPOS!N2224)</f>
        <v/>
      </c>
      <c r="B2224">
        <f>BASE_EQUIPOS!A2224</f>
        <v/>
      </c>
      <c r="C2224">
        <f>BASE_EQUIPOS!B2224</f>
        <v/>
      </c>
      <c r="D2224">
        <f>BASE_EQUIPOS!D2224</f>
        <v/>
      </c>
      <c r="E2224">
        <f>BASE_EQUIPOS!G2224</f>
        <v/>
      </c>
      <c r="F2224">
        <f>BASE_EQUIPOS!H2224</f>
        <v/>
      </c>
      <c r="G2224">
        <f>BASE_EQUIPOS!M2224</f>
        <v/>
      </c>
      <c r="I2224" t="inlineStr">
        <is>
          <t>269/000005</t>
        </is>
      </c>
    </row>
    <row r="2225">
      <c r="A2225">
        <f>TRIM(BASE_EQUIPOS!N2225)</f>
        <v/>
      </c>
      <c r="B2225">
        <f>BASE_EQUIPOS!A2225</f>
        <v/>
      </c>
      <c r="C2225">
        <f>BASE_EQUIPOS!B2225</f>
        <v/>
      </c>
      <c r="D2225">
        <f>BASE_EQUIPOS!D2225</f>
        <v/>
      </c>
      <c r="E2225">
        <f>BASE_EQUIPOS!G2225</f>
        <v/>
      </c>
      <c r="F2225">
        <f>BASE_EQUIPOS!H2225</f>
        <v/>
      </c>
      <c r="G2225">
        <f>BASE_EQUIPOS!M2225</f>
        <v/>
      </c>
      <c r="I2225" t="inlineStr">
        <is>
          <t>328/002884</t>
        </is>
      </c>
    </row>
    <row r="2226">
      <c r="A2226">
        <f>TRIM(BASE_EQUIPOS!N2226)</f>
        <v/>
      </c>
      <c r="B2226">
        <f>BASE_EQUIPOS!A2226</f>
        <v/>
      </c>
      <c r="C2226">
        <f>BASE_EQUIPOS!B2226</f>
        <v/>
      </c>
      <c r="D2226">
        <f>BASE_EQUIPOS!D2226</f>
        <v/>
      </c>
      <c r="E2226">
        <f>BASE_EQUIPOS!G2226</f>
        <v/>
      </c>
      <c r="F2226">
        <f>BASE_EQUIPOS!H2226</f>
        <v/>
      </c>
      <c r="G2226">
        <f>BASE_EQUIPOS!M2226</f>
        <v/>
      </c>
      <c r="I2226" t="inlineStr">
        <is>
          <t>104/000188</t>
        </is>
      </c>
    </row>
    <row r="2227">
      <c r="A2227">
        <f>TRIM(BASE_EQUIPOS!N2227)</f>
        <v/>
      </c>
      <c r="B2227">
        <f>BASE_EQUIPOS!A2227</f>
        <v/>
      </c>
      <c r="C2227">
        <f>BASE_EQUIPOS!B2227</f>
        <v/>
      </c>
      <c r="D2227">
        <f>BASE_EQUIPOS!D2227</f>
        <v/>
      </c>
      <c r="E2227">
        <f>BASE_EQUIPOS!G2227</f>
        <v/>
      </c>
      <c r="F2227">
        <f>BASE_EQUIPOS!H2227</f>
        <v/>
      </c>
      <c r="G2227">
        <f>BASE_EQUIPOS!M2227</f>
        <v/>
      </c>
      <c r="I2227" t="inlineStr">
        <is>
          <t>131/000395</t>
        </is>
      </c>
    </row>
    <row r="2228">
      <c r="A2228">
        <f>TRIM(BASE_EQUIPOS!N2228)</f>
        <v/>
      </c>
      <c r="B2228">
        <f>BASE_EQUIPOS!A2228</f>
        <v/>
      </c>
      <c r="C2228">
        <f>BASE_EQUIPOS!B2228</f>
        <v/>
      </c>
      <c r="D2228">
        <f>BASE_EQUIPOS!D2228</f>
        <v/>
      </c>
      <c r="E2228">
        <f>BASE_EQUIPOS!G2228</f>
        <v/>
      </c>
      <c r="F2228">
        <f>BASE_EQUIPOS!H2228</f>
        <v/>
      </c>
      <c r="G2228">
        <f>BASE_EQUIPOS!M2228</f>
        <v/>
      </c>
      <c r="I2228" t="inlineStr">
        <is>
          <t>77/006415</t>
        </is>
      </c>
    </row>
    <row r="2229">
      <c r="A2229">
        <f>TRIM(BASE_EQUIPOS!N2229)</f>
        <v/>
      </c>
      <c r="B2229">
        <f>BASE_EQUIPOS!A2229</f>
        <v/>
      </c>
      <c r="C2229">
        <f>BASE_EQUIPOS!B2229</f>
        <v/>
      </c>
      <c r="D2229">
        <f>BASE_EQUIPOS!D2229</f>
        <v/>
      </c>
      <c r="E2229">
        <f>BASE_EQUIPOS!G2229</f>
        <v/>
      </c>
      <c r="F2229">
        <f>BASE_EQUIPOS!H2229</f>
        <v/>
      </c>
      <c r="G2229">
        <f>BASE_EQUIPOS!M2229</f>
        <v/>
      </c>
      <c r="I2229" t="inlineStr">
        <is>
          <t>204/002339</t>
        </is>
      </c>
    </row>
    <row r="2230">
      <c r="A2230">
        <f>TRIM(BASE_EQUIPOS!N2230)</f>
        <v/>
      </c>
      <c r="B2230">
        <f>BASE_EQUIPOS!A2230</f>
        <v/>
      </c>
      <c r="C2230">
        <f>BASE_EQUIPOS!B2230</f>
        <v/>
      </c>
      <c r="D2230">
        <f>BASE_EQUIPOS!D2230</f>
        <v/>
      </c>
      <c r="E2230">
        <f>BASE_EQUIPOS!G2230</f>
        <v/>
      </c>
      <c r="F2230">
        <f>BASE_EQUIPOS!H2230</f>
        <v/>
      </c>
      <c r="G2230">
        <f>BASE_EQUIPOS!M2230</f>
        <v/>
      </c>
      <c r="I2230" t="inlineStr">
        <is>
          <t>247/000608</t>
        </is>
      </c>
    </row>
    <row r="2231">
      <c r="A2231">
        <f>TRIM(BASE_EQUIPOS!N2231)</f>
        <v/>
      </c>
      <c r="B2231">
        <f>BASE_EQUIPOS!A2231</f>
        <v/>
      </c>
      <c r="C2231">
        <f>BASE_EQUIPOS!B2231</f>
        <v/>
      </c>
      <c r="D2231">
        <f>BASE_EQUIPOS!D2231</f>
        <v/>
      </c>
      <c r="E2231">
        <f>BASE_EQUIPOS!G2231</f>
        <v/>
      </c>
      <c r="F2231">
        <f>BASE_EQUIPOS!H2231</f>
        <v/>
      </c>
      <c r="G2231">
        <f>BASE_EQUIPOS!M2231</f>
        <v/>
      </c>
      <c r="I2231" t="inlineStr">
        <is>
          <t>01/001055</t>
        </is>
      </c>
    </row>
    <row r="2232">
      <c r="A2232">
        <f>TRIM(BASE_EQUIPOS!N2232)</f>
        <v/>
      </c>
      <c r="B2232">
        <f>BASE_EQUIPOS!A2232</f>
        <v/>
      </c>
      <c r="C2232">
        <f>BASE_EQUIPOS!B2232</f>
        <v/>
      </c>
      <c r="D2232">
        <f>BASE_EQUIPOS!D2232</f>
        <v/>
      </c>
      <c r="E2232">
        <f>BASE_EQUIPOS!G2232</f>
        <v/>
      </c>
      <c r="F2232">
        <f>BASE_EQUIPOS!H2232</f>
        <v/>
      </c>
      <c r="G2232">
        <f>BASE_EQUIPOS!M2232</f>
        <v/>
      </c>
      <c r="I2232" t="inlineStr">
        <is>
          <t>03/000270</t>
        </is>
      </c>
    </row>
    <row r="2233">
      <c r="A2233">
        <f>TRIM(BASE_EQUIPOS!N2233)</f>
        <v/>
      </c>
      <c r="B2233">
        <f>BASE_EQUIPOS!A2233</f>
        <v/>
      </c>
      <c r="C2233">
        <f>BASE_EQUIPOS!B2233</f>
        <v/>
      </c>
      <c r="D2233">
        <f>BASE_EQUIPOS!D2233</f>
        <v/>
      </c>
      <c r="E2233">
        <f>BASE_EQUIPOS!G2233</f>
        <v/>
      </c>
      <c r="F2233">
        <f>BASE_EQUIPOS!H2233</f>
        <v/>
      </c>
      <c r="G2233">
        <f>BASE_EQUIPOS!M2233</f>
        <v/>
      </c>
      <c r="I2233" t="inlineStr">
        <is>
          <t>04/000962</t>
        </is>
      </c>
    </row>
    <row r="2234">
      <c r="A2234">
        <f>TRIM(BASE_EQUIPOS!N2234)</f>
        <v/>
      </c>
      <c r="B2234">
        <f>BASE_EQUIPOS!A2234</f>
        <v/>
      </c>
      <c r="C2234">
        <f>BASE_EQUIPOS!B2234</f>
        <v/>
      </c>
      <c r="D2234">
        <f>BASE_EQUIPOS!D2234</f>
        <v/>
      </c>
      <c r="E2234">
        <f>BASE_EQUIPOS!G2234</f>
        <v/>
      </c>
      <c r="F2234">
        <f>BASE_EQUIPOS!H2234</f>
        <v/>
      </c>
      <c r="G2234">
        <f>BASE_EQUIPOS!M2234</f>
        <v/>
      </c>
      <c r="I2234" t="inlineStr">
        <is>
          <t>05/001650</t>
        </is>
      </c>
    </row>
    <row r="2235">
      <c r="A2235">
        <f>TRIM(BASE_EQUIPOS!N2235)</f>
        <v/>
      </c>
      <c r="B2235">
        <f>BASE_EQUIPOS!A2235</f>
        <v/>
      </c>
      <c r="C2235">
        <f>BASE_EQUIPOS!B2235</f>
        <v/>
      </c>
      <c r="D2235">
        <f>BASE_EQUIPOS!D2235</f>
        <v/>
      </c>
      <c r="E2235">
        <f>BASE_EQUIPOS!G2235</f>
        <v/>
      </c>
      <c r="F2235">
        <f>BASE_EQUIPOS!H2235</f>
        <v/>
      </c>
      <c r="G2235">
        <f>BASE_EQUIPOS!M2235</f>
        <v/>
      </c>
      <c r="I2235" t="inlineStr">
        <is>
          <t>06/000987</t>
        </is>
      </c>
    </row>
    <row r="2236">
      <c r="A2236">
        <f>TRIM(BASE_EQUIPOS!N2236)</f>
        <v/>
      </c>
      <c r="B2236">
        <f>BASE_EQUIPOS!A2236</f>
        <v/>
      </c>
      <c r="C2236">
        <f>BASE_EQUIPOS!B2236</f>
        <v/>
      </c>
      <c r="D2236">
        <f>BASE_EQUIPOS!D2236</f>
        <v/>
      </c>
      <c r="E2236">
        <f>BASE_EQUIPOS!G2236</f>
        <v/>
      </c>
      <c r="F2236">
        <f>BASE_EQUIPOS!H2236</f>
        <v/>
      </c>
      <c r="G2236">
        <f>BASE_EQUIPOS!M2236</f>
        <v/>
      </c>
      <c r="I2236" t="inlineStr">
        <is>
          <t>07/001035</t>
        </is>
      </c>
    </row>
    <row r="2237">
      <c r="A2237">
        <f>TRIM(BASE_EQUIPOS!N2237)</f>
        <v/>
      </c>
      <c r="B2237">
        <f>BASE_EQUIPOS!A2237</f>
        <v/>
      </c>
      <c r="C2237">
        <f>BASE_EQUIPOS!B2237</f>
        <v/>
      </c>
      <c r="D2237">
        <f>BASE_EQUIPOS!D2237</f>
        <v/>
      </c>
      <c r="E2237">
        <f>BASE_EQUIPOS!G2237</f>
        <v/>
      </c>
      <c r="F2237">
        <f>BASE_EQUIPOS!H2237</f>
        <v/>
      </c>
      <c r="G2237">
        <f>BASE_EQUIPOS!M2237</f>
        <v/>
      </c>
      <c r="I2237" t="inlineStr">
        <is>
          <t>08/000972</t>
        </is>
      </c>
    </row>
    <row r="2238">
      <c r="A2238">
        <f>TRIM(BASE_EQUIPOS!N2238)</f>
        <v/>
      </c>
      <c r="B2238">
        <f>BASE_EQUIPOS!A2238</f>
        <v/>
      </c>
      <c r="C2238">
        <f>BASE_EQUIPOS!B2238</f>
        <v/>
      </c>
      <c r="D2238">
        <f>BASE_EQUIPOS!D2238</f>
        <v/>
      </c>
      <c r="E2238">
        <f>BASE_EQUIPOS!G2238</f>
        <v/>
      </c>
      <c r="F2238">
        <f>BASE_EQUIPOS!H2238</f>
        <v/>
      </c>
      <c r="G2238">
        <f>BASE_EQUIPOS!M2238</f>
        <v/>
      </c>
      <c r="I2238" t="inlineStr">
        <is>
          <t>09/001090</t>
        </is>
      </c>
    </row>
    <row r="2239">
      <c r="A2239">
        <f>TRIM(BASE_EQUIPOS!N2239)</f>
        <v/>
      </c>
      <c r="B2239">
        <f>BASE_EQUIPOS!A2239</f>
        <v/>
      </c>
      <c r="C2239">
        <f>BASE_EQUIPOS!B2239</f>
        <v/>
      </c>
      <c r="D2239">
        <f>BASE_EQUIPOS!D2239</f>
        <v/>
      </c>
      <c r="E2239">
        <f>BASE_EQUIPOS!G2239</f>
        <v/>
      </c>
      <c r="F2239">
        <f>BASE_EQUIPOS!H2239</f>
        <v/>
      </c>
      <c r="G2239">
        <f>BASE_EQUIPOS!M2239</f>
        <v/>
      </c>
      <c r="I2239" t="inlineStr">
        <is>
          <t>149/000619</t>
        </is>
      </c>
    </row>
    <row r="2240">
      <c r="A2240">
        <f>TRIM(BASE_EQUIPOS!N2240)</f>
        <v/>
      </c>
      <c r="B2240">
        <f>BASE_EQUIPOS!A2240</f>
        <v/>
      </c>
      <c r="C2240">
        <f>BASE_EQUIPOS!B2240</f>
        <v/>
      </c>
      <c r="D2240">
        <f>BASE_EQUIPOS!D2240</f>
        <v/>
      </c>
      <c r="E2240">
        <f>BASE_EQUIPOS!G2240</f>
        <v/>
      </c>
      <c r="F2240">
        <f>BASE_EQUIPOS!H2240</f>
        <v/>
      </c>
      <c r="G2240">
        <f>BASE_EQUIPOS!M2240</f>
        <v/>
      </c>
      <c r="I2240" t="inlineStr">
        <is>
          <t>185/000613</t>
        </is>
      </c>
    </row>
    <row r="2241">
      <c r="A2241">
        <f>TRIM(BASE_EQUIPOS!N2241)</f>
        <v/>
      </c>
      <c r="B2241">
        <f>BASE_EQUIPOS!A2241</f>
        <v/>
      </c>
      <c r="C2241">
        <f>BASE_EQUIPOS!B2241</f>
        <v/>
      </c>
      <c r="D2241">
        <f>BASE_EQUIPOS!D2241</f>
        <v/>
      </c>
      <c r="E2241">
        <f>BASE_EQUIPOS!G2241</f>
        <v/>
      </c>
      <c r="F2241">
        <f>BASE_EQUIPOS!H2241</f>
        <v/>
      </c>
      <c r="G2241">
        <f>BASE_EQUIPOS!M2241</f>
        <v/>
      </c>
      <c r="I2241" t="inlineStr">
        <is>
          <t>191/001416</t>
        </is>
      </c>
    </row>
    <row r="2242">
      <c r="A2242">
        <f>TRIM(BASE_EQUIPOS!N2242)</f>
        <v/>
      </c>
      <c r="B2242">
        <f>BASE_EQUIPOS!A2242</f>
        <v/>
      </c>
      <c r="C2242">
        <f>BASE_EQUIPOS!B2242</f>
        <v/>
      </c>
      <c r="D2242">
        <f>BASE_EQUIPOS!D2242</f>
        <v/>
      </c>
      <c r="E2242">
        <f>BASE_EQUIPOS!G2242</f>
        <v/>
      </c>
      <c r="F2242">
        <f>BASE_EQUIPOS!H2242</f>
        <v/>
      </c>
      <c r="G2242">
        <f>BASE_EQUIPOS!M2242</f>
        <v/>
      </c>
      <c r="I2242" t="inlineStr">
        <is>
          <t>217/001645</t>
        </is>
      </c>
    </row>
    <row r="2243">
      <c r="A2243">
        <f>TRIM(BASE_EQUIPOS!N2243)</f>
        <v/>
      </c>
      <c r="B2243">
        <f>BASE_EQUIPOS!A2243</f>
        <v/>
      </c>
      <c r="C2243">
        <f>BASE_EQUIPOS!B2243</f>
        <v/>
      </c>
      <c r="D2243">
        <f>BASE_EQUIPOS!D2243</f>
        <v/>
      </c>
      <c r="E2243">
        <f>BASE_EQUIPOS!G2243</f>
        <v/>
      </c>
      <c r="F2243">
        <f>BASE_EQUIPOS!H2243</f>
        <v/>
      </c>
      <c r="G2243">
        <f>BASE_EQUIPOS!M2243</f>
        <v/>
      </c>
      <c r="I2243" t="inlineStr">
        <is>
          <t>252/002751</t>
        </is>
      </c>
    </row>
    <row r="2244">
      <c r="A2244">
        <f>TRIM(BASE_EQUIPOS!N2244)</f>
        <v/>
      </c>
      <c r="B2244">
        <f>BASE_EQUIPOS!A2244</f>
        <v/>
      </c>
      <c r="C2244">
        <f>BASE_EQUIPOS!B2244</f>
        <v/>
      </c>
      <c r="D2244">
        <f>BASE_EQUIPOS!D2244</f>
        <v/>
      </c>
      <c r="E2244">
        <f>BASE_EQUIPOS!G2244</f>
        <v/>
      </c>
      <c r="F2244">
        <f>BASE_EQUIPOS!H2244</f>
        <v/>
      </c>
      <c r="G2244">
        <f>BASE_EQUIPOS!M2244</f>
        <v/>
      </c>
      <c r="I2244" t="inlineStr">
        <is>
          <t>314/002909</t>
        </is>
      </c>
    </row>
    <row r="2245">
      <c r="A2245">
        <f>TRIM(BASE_EQUIPOS!N2245)</f>
        <v/>
      </c>
      <c r="B2245">
        <f>BASE_EQUIPOS!A2245</f>
        <v/>
      </c>
      <c r="C2245">
        <f>BASE_EQUIPOS!B2245</f>
        <v/>
      </c>
      <c r="D2245">
        <f>BASE_EQUIPOS!D2245</f>
        <v/>
      </c>
      <c r="E2245">
        <f>BASE_EQUIPOS!G2245</f>
        <v/>
      </c>
      <c r="F2245">
        <f>BASE_EQUIPOS!H2245</f>
        <v/>
      </c>
      <c r="G2245">
        <f>BASE_EQUIPOS!M2245</f>
        <v/>
      </c>
      <c r="I2245" t="inlineStr">
        <is>
          <t>85/021354</t>
        </is>
      </c>
    </row>
    <row r="2246">
      <c r="A2246">
        <f>TRIM(BASE_EQUIPOS!N2246)</f>
        <v/>
      </c>
      <c r="B2246">
        <f>BASE_EQUIPOS!A2246</f>
        <v/>
      </c>
      <c r="C2246">
        <f>BASE_EQUIPOS!B2246</f>
        <v/>
      </c>
      <c r="D2246">
        <f>BASE_EQUIPOS!D2246</f>
        <v/>
      </c>
      <c r="E2246">
        <f>BASE_EQUIPOS!G2246</f>
        <v/>
      </c>
      <c r="F2246">
        <f>BASE_EQUIPOS!H2246</f>
        <v/>
      </c>
      <c r="G2246">
        <f>BASE_EQUIPOS!M2246</f>
        <v/>
      </c>
      <c r="I2246" t="inlineStr">
        <is>
          <t>01/002797</t>
        </is>
      </c>
    </row>
    <row r="2247">
      <c r="A2247">
        <f>TRIM(BASE_EQUIPOS!N2247)</f>
        <v/>
      </c>
      <c r="B2247">
        <f>BASE_EQUIPOS!A2247</f>
        <v/>
      </c>
      <c r="C2247">
        <f>BASE_EQUIPOS!B2247</f>
        <v/>
      </c>
      <c r="D2247">
        <f>BASE_EQUIPOS!D2247</f>
        <v/>
      </c>
      <c r="E2247">
        <f>BASE_EQUIPOS!G2247</f>
        <v/>
      </c>
      <c r="F2247">
        <f>BASE_EQUIPOS!H2247</f>
        <v/>
      </c>
      <c r="G2247">
        <f>BASE_EQUIPOS!M2247</f>
        <v/>
      </c>
      <c r="I2247" t="inlineStr">
        <is>
          <t>02/002574</t>
        </is>
      </c>
    </row>
    <row r="2248">
      <c r="A2248">
        <f>TRIM(BASE_EQUIPOS!N2248)</f>
        <v/>
      </c>
      <c r="B2248">
        <f>BASE_EQUIPOS!A2248</f>
        <v/>
      </c>
      <c r="C2248">
        <f>BASE_EQUIPOS!B2248</f>
        <v/>
      </c>
      <c r="D2248">
        <f>BASE_EQUIPOS!D2248</f>
        <v/>
      </c>
      <c r="E2248">
        <f>BASE_EQUIPOS!G2248</f>
        <v/>
      </c>
      <c r="F2248">
        <f>BASE_EQUIPOS!H2248</f>
        <v/>
      </c>
      <c r="G2248">
        <f>BASE_EQUIPOS!M2248</f>
        <v/>
      </c>
      <c r="I2248" t="inlineStr">
        <is>
          <t>03/000321</t>
        </is>
      </c>
    </row>
    <row r="2249">
      <c r="A2249">
        <f>TRIM(BASE_EQUIPOS!N2249)</f>
        <v/>
      </c>
      <c r="B2249">
        <f>BASE_EQUIPOS!A2249</f>
        <v/>
      </c>
      <c r="C2249">
        <f>BASE_EQUIPOS!B2249</f>
        <v/>
      </c>
      <c r="D2249">
        <f>BASE_EQUIPOS!D2249</f>
        <v/>
      </c>
      <c r="E2249">
        <f>BASE_EQUIPOS!G2249</f>
        <v/>
      </c>
      <c r="F2249">
        <f>BASE_EQUIPOS!H2249</f>
        <v/>
      </c>
      <c r="G2249">
        <f>BASE_EQUIPOS!M2249</f>
        <v/>
      </c>
      <c r="I2249" t="inlineStr">
        <is>
          <t>02/000715</t>
        </is>
      </c>
    </row>
    <row r="2250">
      <c r="A2250">
        <f>TRIM(BASE_EQUIPOS!N2250)</f>
        <v/>
      </c>
      <c r="B2250">
        <f>BASE_EQUIPOS!A2250</f>
        <v/>
      </c>
      <c r="C2250">
        <f>BASE_EQUIPOS!B2250</f>
        <v/>
      </c>
      <c r="D2250">
        <f>BASE_EQUIPOS!D2250</f>
        <v/>
      </c>
      <c r="E2250">
        <f>BASE_EQUIPOS!G2250</f>
        <v/>
      </c>
      <c r="F2250">
        <f>BASE_EQUIPOS!H2250</f>
        <v/>
      </c>
      <c r="G2250">
        <f>BASE_EQUIPOS!M2250</f>
        <v/>
      </c>
      <c r="I2250" t="inlineStr">
        <is>
          <t>11/000338</t>
        </is>
      </c>
    </row>
    <row r="2251">
      <c r="A2251">
        <f>TRIM(BASE_EQUIPOS!N2251)</f>
        <v/>
      </c>
      <c r="B2251">
        <f>BASE_EQUIPOS!A2251</f>
        <v/>
      </c>
      <c r="C2251">
        <f>BASE_EQUIPOS!B2251</f>
        <v/>
      </c>
      <c r="D2251">
        <f>BASE_EQUIPOS!D2251</f>
        <v/>
      </c>
      <c r="E2251">
        <f>BASE_EQUIPOS!G2251</f>
        <v/>
      </c>
      <c r="F2251">
        <f>BASE_EQUIPOS!H2251</f>
        <v/>
      </c>
      <c r="G2251">
        <f>BASE_EQUIPOS!M2251</f>
        <v/>
      </c>
      <c r="I2251" t="inlineStr">
        <is>
          <t>12/000047</t>
        </is>
      </c>
    </row>
    <row r="2252">
      <c r="A2252">
        <f>TRIM(BASE_EQUIPOS!N2252)</f>
        <v/>
      </c>
      <c r="B2252">
        <f>BASE_EQUIPOS!A2252</f>
        <v/>
      </c>
      <c r="C2252">
        <f>BASE_EQUIPOS!B2252</f>
        <v/>
      </c>
      <c r="D2252">
        <f>BASE_EQUIPOS!D2252</f>
        <v/>
      </c>
      <c r="E2252">
        <f>BASE_EQUIPOS!G2252</f>
        <v/>
      </c>
      <c r="F2252">
        <f>BASE_EQUIPOS!H2252</f>
        <v/>
      </c>
      <c r="G2252">
        <f>BASE_EQUIPOS!M2252</f>
        <v/>
      </c>
      <c r="I2252" t="inlineStr">
        <is>
          <t>14/000135</t>
        </is>
      </c>
    </row>
    <row r="2253">
      <c r="A2253">
        <f>TRIM(BASE_EQUIPOS!N2253)</f>
        <v/>
      </c>
      <c r="B2253">
        <f>BASE_EQUIPOS!A2253</f>
        <v/>
      </c>
      <c r="C2253">
        <f>BASE_EQUIPOS!B2253</f>
        <v/>
      </c>
      <c r="D2253">
        <f>BASE_EQUIPOS!D2253</f>
        <v/>
      </c>
      <c r="E2253">
        <f>BASE_EQUIPOS!G2253</f>
        <v/>
      </c>
      <c r="F2253">
        <f>BASE_EQUIPOS!H2253</f>
        <v/>
      </c>
      <c r="G2253">
        <f>BASE_EQUIPOS!M2253</f>
        <v/>
      </c>
      <c r="I2253" t="inlineStr">
        <is>
          <t>18/000015</t>
        </is>
      </c>
    </row>
    <row r="2254">
      <c r="A2254">
        <f>TRIM(BASE_EQUIPOS!N2254)</f>
        <v/>
      </c>
      <c r="B2254">
        <f>BASE_EQUIPOS!A2254</f>
        <v/>
      </c>
      <c r="C2254">
        <f>BASE_EQUIPOS!B2254</f>
        <v/>
      </c>
      <c r="D2254">
        <f>BASE_EQUIPOS!D2254</f>
        <v/>
      </c>
      <c r="E2254">
        <f>BASE_EQUIPOS!G2254</f>
        <v/>
      </c>
      <c r="F2254">
        <f>BASE_EQUIPOS!H2254</f>
        <v/>
      </c>
      <c r="G2254">
        <f>BASE_EQUIPOS!M2254</f>
        <v/>
      </c>
      <c r="I2254" t="inlineStr">
        <is>
          <t>01/002553</t>
        </is>
      </c>
    </row>
    <row r="2255">
      <c r="A2255">
        <f>TRIM(BASE_EQUIPOS!N2255)</f>
        <v/>
      </c>
      <c r="B2255">
        <f>BASE_EQUIPOS!A2255</f>
        <v/>
      </c>
      <c r="C2255">
        <f>BASE_EQUIPOS!B2255</f>
        <v/>
      </c>
      <c r="D2255">
        <f>BASE_EQUIPOS!D2255</f>
        <v/>
      </c>
      <c r="E2255">
        <f>BASE_EQUIPOS!G2255</f>
        <v/>
      </c>
      <c r="F2255">
        <f>BASE_EQUIPOS!H2255</f>
        <v/>
      </c>
      <c r="G2255">
        <f>BASE_EQUIPOS!M2255</f>
        <v/>
      </c>
      <c r="I2255" t="inlineStr">
        <is>
          <t>55/006497</t>
        </is>
      </c>
    </row>
    <row r="2256">
      <c r="A2256">
        <f>TRIM(BASE_EQUIPOS!N2256)</f>
        <v/>
      </c>
      <c r="B2256">
        <f>BASE_EQUIPOS!A2256</f>
        <v/>
      </c>
      <c r="C2256">
        <f>BASE_EQUIPOS!B2256</f>
        <v/>
      </c>
      <c r="D2256">
        <f>BASE_EQUIPOS!D2256</f>
        <v/>
      </c>
      <c r="E2256">
        <f>BASE_EQUIPOS!G2256</f>
        <v/>
      </c>
      <c r="F2256">
        <f>BASE_EQUIPOS!H2256</f>
        <v/>
      </c>
      <c r="G2256">
        <f>BASE_EQUIPOS!M2256</f>
        <v/>
      </c>
      <c r="I2256" t="inlineStr">
        <is>
          <t>207/000768</t>
        </is>
      </c>
    </row>
    <row r="2257">
      <c r="A2257">
        <f>TRIM(BASE_EQUIPOS!N2257)</f>
        <v/>
      </c>
      <c r="B2257">
        <f>BASE_EQUIPOS!A2257</f>
        <v/>
      </c>
      <c r="C2257">
        <f>BASE_EQUIPOS!B2257</f>
        <v/>
      </c>
      <c r="D2257">
        <f>BASE_EQUIPOS!D2257</f>
        <v/>
      </c>
      <c r="E2257">
        <f>BASE_EQUIPOS!G2257</f>
        <v/>
      </c>
      <c r="F2257">
        <f>BASE_EQUIPOS!H2257</f>
        <v/>
      </c>
      <c r="G2257">
        <f>BASE_EQUIPOS!M2257</f>
        <v/>
      </c>
      <c r="I2257" t="inlineStr">
        <is>
          <t>11/000398</t>
        </is>
      </c>
    </row>
    <row r="2258">
      <c r="A2258">
        <f>TRIM(BASE_EQUIPOS!N2258)</f>
        <v/>
      </c>
      <c r="B2258">
        <f>BASE_EQUIPOS!A2258</f>
        <v/>
      </c>
      <c r="C2258">
        <f>BASE_EQUIPOS!B2258</f>
        <v/>
      </c>
      <c r="D2258">
        <f>BASE_EQUIPOS!D2258</f>
        <v/>
      </c>
      <c r="E2258">
        <f>BASE_EQUIPOS!G2258</f>
        <v/>
      </c>
      <c r="F2258">
        <f>BASE_EQUIPOS!H2258</f>
        <v/>
      </c>
      <c r="G2258">
        <f>BASE_EQUIPOS!M2258</f>
        <v/>
      </c>
      <c r="I2258" t="inlineStr">
        <is>
          <t>53/004208</t>
        </is>
      </c>
    </row>
    <row r="2259">
      <c r="A2259">
        <f>TRIM(BASE_EQUIPOS!N2259)</f>
        <v/>
      </c>
      <c r="B2259">
        <f>BASE_EQUIPOS!A2259</f>
        <v/>
      </c>
      <c r="C2259">
        <f>BASE_EQUIPOS!B2259</f>
        <v/>
      </c>
      <c r="D2259">
        <f>BASE_EQUIPOS!D2259</f>
        <v/>
      </c>
      <c r="E2259">
        <f>BASE_EQUIPOS!G2259</f>
        <v/>
      </c>
      <c r="F2259">
        <f>BASE_EQUIPOS!H2259</f>
        <v/>
      </c>
      <c r="G2259">
        <f>BASE_EQUIPOS!M2259</f>
        <v/>
      </c>
      <c r="I2259" t="inlineStr">
        <is>
          <t>166/002216</t>
        </is>
      </c>
    </row>
    <row r="2260">
      <c r="A2260">
        <f>TRIM(BASE_EQUIPOS!N2260)</f>
        <v/>
      </c>
      <c r="B2260">
        <f>BASE_EQUIPOS!A2260</f>
        <v/>
      </c>
      <c r="C2260">
        <f>BASE_EQUIPOS!B2260</f>
        <v/>
      </c>
      <c r="D2260">
        <f>BASE_EQUIPOS!D2260</f>
        <v/>
      </c>
      <c r="E2260">
        <f>BASE_EQUIPOS!G2260</f>
        <v/>
      </c>
      <c r="F2260">
        <f>BASE_EQUIPOS!H2260</f>
        <v/>
      </c>
      <c r="G2260">
        <f>BASE_EQUIPOS!M2260</f>
        <v/>
      </c>
      <c r="I2260" t="inlineStr">
        <is>
          <t>25/000665</t>
        </is>
      </c>
    </row>
    <row r="2261">
      <c r="A2261">
        <f>TRIM(BASE_EQUIPOS!N2261)</f>
        <v/>
      </c>
      <c r="B2261">
        <f>BASE_EQUIPOS!A2261</f>
        <v/>
      </c>
      <c r="C2261">
        <f>BASE_EQUIPOS!B2261</f>
        <v/>
      </c>
      <c r="D2261">
        <f>BASE_EQUIPOS!D2261</f>
        <v/>
      </c>
      <c r="E2261">
        <f>BASE_EQUIPOS!G2261</f>
        <v/>
      </c>
      <c r="F2261">
        <f>BASE_EQUIPOS!H2261</f>
        <v/>
      </c>
      <c r="G2261">
        <f>BASE_EQUIPOS!M2261</f>
        <v/>
      </c>
      <c r="I2261" t="inlineStr">
        <is>
          <t>88/008539</t>
        </is>
      </c>
    </row>
    <row r="2262">
      <c r="A2262">
        <f>TRIM(BASE_EQUIPOS!N2262)</f>
        <v/>
      </c>
      <c r="B2262">
        <f>BASE_EQUIPOS!A2262</f>
        <v/>
      </c>
      <c r="C2262">
        <f>BASE_EQUIPOS!B2262</f>
        <v/>
      </c>
      <c r="D2262">
        <f>BASE_EQUIPOS!D2262</f>
        <v/>
      </c>
      <c r="E2262">
        <f>BASE_EQUIPOS!G2262</f>
        <v/>
      </c>
      <c r="F2262">
        <f>BASE_EQUIPOS!H2262</f>
        <v/>
      </c>
      <c r="G2262">
        <f>BASE_EQUIPOS!M2262</f>
        <v/>
      </c>
      <c r="I2262" t="inlineStr">
        <is>
          <t>251/001843</t>
        </is>
      </c>
    </row>
    <row r="2263">
      <c r="A2263">
        <f>TRIM(BASE_EQUIPOS!N2263)</f>
        <v/>
      </c>
      <c r="B2263">
        <f>BASE_EQUIPOS!A2263</f>
        <v/>
      </c>
      <c r="C2263">
        <f>BASE_EQUIPOS!B2263</f>
        <v/>
      </c>
      <c r="D2263">
        <f>BASE_EQUIPOS!D2263</f>
        <v/>
      </c>
      <c r="E2263">
        <f>BASE_EQUIPOS!G2263</f>
        <v/>
      </c>
      <c r="F2263">
        <f>BASE_EQUIPOS!H2263</f>
        <v/>
      </c>
      <c r="G2263">
        <f>BASE_EQUIPOS!M2263</f>
        <v/>
      </c>
      <c r="I2263" t="inlineStr">
        <is>
          <t>250/000089</t>
        </is>
      </c>
    </row>
    <row r="2264">
      <c r="A2264">
        <f>TRIM(BASE_EQUIPOS!N2264)</f>
        <v/>
      </c>
      <c r="B2264">
        <f>BASE_EQUIPOS!A2264</f>
        <v/>
      </c>
      <c r="C2264">
        <f>BASE_EQUIPOS!B2264</f>
        <v/>
      </c>
      <c r="D2264">
        <f>BASE_EQUIPOS!D2264</f>
        <v/>
      </c>
      <c r="E2264">
        <f>BASE_EQUIPOS!G2264</f>
        <v/>
      </c>
      <c r="F2264">
        <f>BASE_EQUIPOS!H2264</f>
        <v/>
      </c>
      <c r="G2264">
        <f>BASE_EQUIPOS!M2264</f>
        <v/>
      </c>
      <c r="I2264" t="inlineStr">
        <is>
          <t>120/008129</t>
        </is>
      </c>
    </row>
    <row r="2265">
      <c r="A2265">
        <f>TRIM(BASE_EQUIPOS!N2265)</f>
        <v/>
      </c>
      <c r="B2265">
        <f>BASE_EQUIPOS!A2265</f>
        <v/>
      </c>
      <c r="C2265">
        <f>BASE_EQUIPOS!B2265</f>
        <v/>
      </c>
      <c r="D2265">
        <f>BASE_EQUIPOS!D2265</f>
        <v/>
      </c>
      <c r="E2265">
        <f>BASE_EQUIPOS!G2265</f>
        <v/>
      </c>
      <c r="F2265">
        <f>BASE_EQUIPOS!H2265</f>
        <v/>
      </c>
      <c r="G2265">
        <f>BASE_EQUIPOS!M2265</f>
        <v/>
      </c>
      <c r="I2265" t="inlineStr">
        <is>
          <t>97/000341</t>
        </is>
      </c>
    </row>
    <row r="2266">
      <c r="A2266">
        <f>TRIM(BASE_EQUIPOS!N2266)</f>
        <v/>
      </c>
      <c r="B2266">
        <f>BASE_EQUIPOS!A2266</f>
        <v/>
      </c>
      <c r="C2266">
        <f>BASE_EQUIPOS!B2266</f>
        <v/>
      </c>
      <c r="D2266">
        <f>BASE_EQUIPOS!D2266</f>
        <v/>
      </c>
      <c r="E2266">
        <f>BASE_EQUIPOS!G2266</f>
        <v/>
      </c>
      <c r="F2266">
        <f>BASE_EQUIPOS!H2266</f>
        <v/>
      </c>
      <c r="G2266">
        <f>BASE_EQUIPOS!M2266</f>
        <v/>
      </c>
      <c r="I2266" t="inlineStr">
        <is>
          <t>330/002300</t>
        </is>
      </c>
    </row>
    <row r="2267">
      <c r="A2267">
        <f>TRIM(BASE_EQUIPOS!N2267)</f>
        <v/>
      </c>
      <c r="B2267">
        <f>BASE_EQUIPOS!A2267</f>
        <v/>
      </c>
      <c r="C2267">
        <f>BASE_EQUIPOS!B2267</f>
        <v/>
      </c>
      <c r="D2267">
        <f>BASE_EQUIPOS!D2267</f>
        <v/>
      </c>
      <c r="E2267">
        <f>BASE_EQUIPOS!G2267</f>
        <v/>
      </c>
      <c r="F2267">
        <f>BASE_EQUIPOS!H2267</f>
        <v/>
      </c>
      <c r="G2267">
        <f>BASE_EQUIPOS!M2267</f>
        <v/>
      </c>
      <c r="I2267" t="inlineStr">
        <is>
          <t>248/002215</t>
        </is>
      </c>
    </row>
    <row r="2268">
      <c r="A2268">
        <f>TRIM(BASE_EQUIPOS!N2268)</f>
        <v/>
      </c>
      <c r="B2268">
        <f>BASE_EQUIPOS!A2268</f>
        <v/>
      </c>
      <c r="C2268">
        <f>BASE_EQUIPOS!B2268</f>
        <v/>
      </c>
      <c r="D2268">
        <f>BASE_EQUIPOS!D2268</f>
        <v/>
      </c>
      <c r="E2268">
        <f>BASE_EQUIPOS!G2268</f>
        <v/>
      </c>
      <c r="F2268">
        <f>BASE_EQUIPOS!H2268</f>
        <v/>
      </c>
      <c r="G2268">
        <f>BASE_EQUIPOS!M2268</f>
        <v/>
      </c>
      <c r="I2268" t="inlineStr">
        <is>
          <t>01/001375</t>
        </is>
      </c>
    </row>
    <row r="2269">
      <c r="A2269">
        <f>TRIM(BASE_EQUIPOS!N2269)</f>
        <v/>
      </c>
      <c r="B2269">
        <f>BASE_EQUIPOS!A2269</f>
        <v/>
      </c>
      <c r="C2269">
        <f>BASE_EQUIPOS!B2269</f>
        <v/>
      </c>
      <c r="D2269">
        <f>BASE_EQUIPOS!D2269</f>
        <v/>
      </c>
      <c r="E2269">
        <f>BASE_EQUIPOS!G2269</f>
        <v/>
      </c>
      <c r="F2269">
        <f>BASE_EQUIPOS!H2269</f>
        <v/>
      </c>
      <c r="G2269">
        <f>BASE_EQUIPOS!M2269</f>
        <v/>
      </c>
      <c r="I2269" t="inlineStr">
        <is>
          <t>01/005841</t>
        </is>
      </c>
    </row>
    <row r="2270">
      <c r="A2270">
        <f>TRIM(BASE_EQUIPOS!N2270)</f>
        <v/>
      </c>
      <c r="B2270">
        <f>BASE_EQUIPOS!A2270</f>
        <v/>
      </c>
      <c r="C2270">
        <f>BASE_EQUIPOS!B2270</f>
        <v/>
      </c>
      <c r="D2270">
        <f>BASE_EQUIPOS!D2270</f>
        <v/>
      </c>
      <c r="E2270">
        <f>BASE_EQUIPOS!G2270</f>
        <v/>
      </c>
      <c r="F2270">
        <f>BASE_EQUIPOS!H2270</f>
        <v/>
      </c>
      <c r="G2270">
        <f>BASE_EQUIPOS!M2270</f>
        <v/>
      </c>
      <c r="I2270" t="inlineStr">
        <is>
          <t>02/007585</t>
        </is>
      </c>
    </row>
    <row r="2271">
      <c r="A2271">
        <f>TRIM(BASE_EQUIPOS!N2271)</f>
        <v/>
      </c>
      <c r="B2271">
        <f>BASE_EQUIPOS!A2271</f>
        <v/>
      </c>
      <c r="C2271">
        <f>BASE_EQUIPOS!B2271</f>
        <v/>
      </c>
      <c r="D2271">
        <f>BASE_EQUIPOS!D2271</f>
        <v/>
      </c>
      <c r="E2271">
        <f>BASE_EQUIPOS!G2271</f>
        <v/>
      </c>
      <c r="F2271">
        <f>BASE_EQUIPOS!H2271</f>
        <v/>
      </c>
      <c r="G2271">
        <f>BASE_EQUIPOS!M2271</f>
        <v/>
      </c>
      <c r="I2271" t="inlineStr">
        <is>
          <t>121/001460</t>
        </is>
      </c>
    </row>
    <row r="2272">
      <c r="A2272">
        <f>TRIM(BASE_EQUIPOS!N2272)</f>
        <v/>
      </c>
      <c r="B2272">
        <f>BASE_EQUIPOS!A2272</f>
        <v/>
      </c>
      <c r="C2272">
        <f>BASE_EQUIPOS!B2272</f>
        <v/>
      </c>
      <c r="D2272">
        <f>BASE_EQUIPOS!D2272</f>
        <v/>
      </c>
      <c r="E2272">
        <f>BASE_EQUIPOS!G2272</f>
        <v/>
      </c>
      <c r="F2272">
        <f>BASE_EQUIPOS!H2272</f>
        <v/>
      </c>
      <c r="G2272">
        <f>BASE_EQUIPOS!M2272</f>
        <v/>
      </c>
      <c r="I2272" t="inlineStr">
        <is>
          <t>124/000970</t>
        </is>
      </c>
    </row>
    <row r="2273">
      <c r="A2273">
        <f>TRIM(BASE_EQUIPOS!N2273)</f>
        <v/>
      </c>
      <c r="B2273">
        <f>BASE_EQUIPOS!A2273</f>
        <v/>
      </c>
      <c r="C2273">
        <f>BASE_EQUIPOS!B2273</f>
        <v/>
      </c>
      <c r="D2273">
        <f>BASE_EQUIPOS!D2273</f>
        <v/>
      </c>
      <c r="E2273">
        <f>BASE_EQUIPOS!G2273</f>
        <v/>
      </c>
      <c r="F2273">
        <f>BASE_EQUIPOS!H2273</f>
        <v/>
      </c>
      <c r="G2273">
        <f>BASE_EQUIPOS!M2273</f>
        <v/>
      </c>
      <c r="I2273" t="inlineStr">
        <is>
          <t>125/003890</t>
        </is>
      </c>
    </row>
    <row r="2274">
      <c r="A2274">
        <f>TRIM(BASE_EQUIPOS!N2274)</f>
        <v/>
      </c>
      <c r="B2274">
        <f>BASE_EQUIPOS!A2274</f>
        <v/>
      </c>
      <c r="C2274">
        <f>BASE_EQUIPOS!B2274</f>
        <v/>
      </c>
      <c r="D2274">
        <f>BASE_EQUIPOS!D2274</f>
        <v/>
      </c>
      <c r="E2274">
        <f>BASE_EQUIPOS!G2274</f>
        <v/>
      </c>
      <c r="F2274">
        <f>BASE_EQUIPOS!H2274</f>
        <v/>
      </c>
      <c r="G2274">
        <f>BASE_EQUIPOS!M2274</f>
        <v/>
      </c>
      <c r="I2274" t="inlineStr">
        <is>
          <t>182/001279</t>
        </is>
      </c>
    </row>
    <row r="2275">
      <c r="A2275">
        <f>TRIM(BASE_EQUIPOS!N2275)</f>
        <v/>
      </c>
      <c r="B2275">
        <f>BASE_EQUIPOS!A2275</f>
        <v/>
      </c>
      <c r="C2275">
        <f>BASE_EQUIPOS!B2275</f>
        <v/>
      </c>
      <c r="D2275">
        <f>BASE_EQUIPOS!D2275</f>
        <v/>
      </c>
      <c r="E2275">
        <f>BASE_EQUIPOS!G2275</f>
        <v/>
      </c>
      <c r="F2275">
        <f>BASE_EQUIPOS!H2275</f>
        <v/>
      </c>
      <c r="G2275">
        <f>BASE_EQUIPOS!M2275</f>
        <v/>
      </c>
      <c r="I2275" t="inlineStr">
        <is>
          <t>130/007848</t>
        </is>
      </c>
    </row>
    <row r="2276">
      <c r="A2276">
        <f>TRIM(BASE_EQUIPOS!N2276)</f>
        <v/>
      </c>
      <c r="B2276">
        <f>BASE_EQUIPOS!A2276</f>
        <v/>
      </c>
      <c r="C2276">
        <f>BASE_EQUIPOS!B2276</f>
        <v/>
      </c>
      <c r="D2276">
        <f>BASE_EQUIPOS!D2276</f>
        <v/>
      </c>
      <c r="E2276">
        <f>BASE_EQUIPOS!G2276</f>
        <v/>
      </c>
      <c r="F2276">
        <f>BASE_EQUIPOS!H2276</f>
        <v/>
      </c>
      <c r="G2276">
        <f>BASE_EQUIPOS!M2276</f>
        <v/>
      </c>
      <c r="I2276" t="inlineStr">
        <is>
          <t>157/000132</t>
        </is>
      </c>
    </row>
    <row r="2277">
      <c r="A2277">
        <f>TRIM(BASE_EQUIPOS!N2277)</f>
        <v/>
      </c>
      <c r="B2277">
        <f>BASE_EQUIPOS!A2277</f>
        <v/>
      </c>
      <c r="C2277">
        <f>BASE_EQUIPOS!B2277</f>
        <v/>
      </c>
      <c r="D2277">
        <f>BASE_EQUIPOS!D2277</f>
        <v/>
      </c>
      <c r="E2277">
        <f>BASE_EQUIPOS!G2277</f>
        <v/>
      </c>
      <c r="F2277">
        <f>BASE_EQUIPOS!H2277</f>
        <v/>
      </c>
      <c r="G2277">
        <f>BASE_EQUIPOS!M2277</f>
        <v/>
      </c>
      <c r="I2277" t="inlineStr">
        <is>
          <t>153/000005</t>
        </is>
      </c>
    </row>
    <row r="2278">
      <c r="A2278">
        <f>TRIM(BASE_EQUIPOS!N2278)</f>
        <v/>
      </c>
      <c r="B2278">
        <f>BASE_EQUIPOS!A2278</f>
        <v/>
      </c>
      <c r="C2278">
        <f>BASE_EQUIPOS!B2278</f>
        <v/>
      </c>
      <c r="D2278">
        <f>BASE_EQUIPOS!D2278</f>
        <v/>
      </c>
      <c r="E2278">
        <f>BASE_EQUIPOS!G2278</f>
        <v/>
      </c>
      <c r="F2278">
        <f>BASE_EQUIPOS!H2278</f>
        <v/>
      </c>
      <c r="G2278">
        <f>BASE_EQUIPOS!M2278</f>
        <v/>
      </c>
      <c r="I2278" t="inlineStr">
        <is>
          <t>282/000201</t>
        </is>
      </c>
    </row>
    <row r="2279">
      <c r="A2279">
        <f>TRIM(BASE_EQUIPOS!N2279)</f>
        <v/>
      </c>
      <c r="B2279">
        <f>BASE_EQUIPOS!A2279</f>
        <v/>
      </c>
      <c r="C2279">
        <f>BASE_EQUIPOS!B2279</f>
        <v/>
      </c>
      <c r="D2279">
        <f>BASE_EQUIPOS!D2279</f>
        <v/>
      </c>
      <c r="E2279">
        <f>BASE_EQUIPOS!G2279</f>
        <v/>
      </c>
      <c r="F2279">
        <f>BASE_EQUIPOS!H2279</f>
        <v/>
      </c>
      <c r="G2279">
        <f>BASE_EQUIPOS!M2279</f>
        <v/>
      </c>
      <c r="I2279" t="inlineStr">
        <is>
          <t>259/000105</t>
        </is>
      </c>
    </row>
    <row r="2280">
      <c r="A2280">
        <f>TRIM(BASE_EQUIPOS!N2280)</f>
        <v/>
      </c>
      <c r="B2280">
        <f>BASE_EQUIPOS!A2280</f>
        <v/>
      </c>
      <c r="C2280">
        <f>BASE_EQUIPOS!B2280</f>
        <v/>
      </c>
      <c r="D2280">
        <f>BASE_EQUIPOS!D2280</f>
        <v/>
      </c>
      <c r="E2280">
        <f>BASE_EQUIPOS!G2280</f>
        <v/>
      </c>
      <c r="F2280">
        <f>BASE_EQUIPOS!H2280</f>
        <v/>
      </c>
      <c r="G2280">
        <f>BASE_EQUIPOS!M2280</f>
        <v/>
      </c>
      <c r="I2280" t="inlineStr">
        <is>
          <t>29/000204</t>
        </is>
      </c>
    </row>
    <row r="2281">
      <c r="A2281">
        <f>TRIM(BASE_EQUIPOS!N2281)</f>
        <v/>
      </c>
      <c r="B2281">
        <f>BASE_EQUIPOS!A2281</f>
        <v/>
      </c>
      <c r="C2281">
        <f>BASE_EQUIPOS!B2281</f>
        <v/>
      </c>
      <c r="D2281">
        <f>BASE_EQUIPOS!D2281</f>
        <v/>
      </c>
      <c r="E2281">
        <f>BASE_EQUIPOS!G2281</f>
        <v/>
      </c>
      <c r="F2281">
        <f>BASE_EQUIPOS!H2281</f>
        <v/>
      </c>
      <c r="G2281">
        <f>BASE_EQUIPOS!M2281</f>
        <v/>
      </c>
      <c r="I2281" t="inlineStr">
        <is>
          <t>01/000782</t>
        </is>
      </c>
    </row>
    <row r="2282">
      <c r="A2282">
        <f>TRIM(BASE_EQUIPOS!N2282)</f>
        <v/>
      </c>
      <c r="B2282">
        <f>BASE_EQUIPOS!A2282</f>
        <v/>
      </c>
      <c r="C2282">
        <f>BASE_EQUIPOS!B2282</f>
        <v/>
      </c>
      <c r="D2282">
        <f>BASE_EQUIPOS!D2282</f>
        <v/>
      </c>
      <c r="E2282">
        <f>BASE_EQUIPOS!G2282</f>
        <v/>
      </c>
      <c r="F2282">
        <f>BASE_EQUIPOS!H2282</f>
        <v/>
      </c>
      <c r="G2282">
        <f>BASE_EQUIPOS!M2282</f>
        <v/>
      </c>
      <c r="I2282" t="inlineStr">
        <is>
          <t>02/000467</t>
        </is>
      </c>
    </row>
    <row r="2283">
      <c r="A2283">
        <f>TRIM(BASE_EQUIPOS!N2283)</f>
        <v/>
      </c>
      <c r="B2283">
        <f>BASE_EQUIPOS!A2283</f>
        <v/>
      </c>
      <c r="C2283">
        <f>BASE_EQUIPOS!B2283</f>
        <v/>
      </c>
      <c r="D2283">
        <f>BASE_EQUIPOS!D2283</f>
        <v/>
      </c>
      <c r="E2283">
        <f>BASE_EQUIPOS!G2283</f>
        <v/>
      </c>
      <c r="F2283">
        <f>BASE_EQUIPOS!H2283</f>
        <v/>
      </c>
      <c r="G2283">
        <f>BASE_EQUIPOS!M2283</f>
        <v/>
      </c>
      <c r="I2283" t="inlineStr">
        <is>
          <t>S/N/Z950369</t>
        </is>
      </c>
    </row>
    <row r="2284">
      <c r="A2284">
        <f>TRIM(BASE_EQUIPOS!N2284)</f>
        <v/>
      </c>
      <c r="B2284">
        <f>BASE_EQUIPOS!A2284</f>
        <v/>
      </c>
      <c r="C2284">
        <f>BASE_EQUIPOS!B2284</f>
        <v/>
      </c>
      <c r="D2284">
        <f>BASE_EQUIPOS!D2284</f>
        <v/>
      </c>
      <c r="E2284">
        <f>BASE_EQUIPOS!G2284</f>
        <v/>
      </c>
      <c r="F2284">
        <f>BASE_EQUIPOS!H2284</f>
        <v/>
      </c>
      <c r="G2284">
        <f>BASE_EQUIPOS!M2284</f>
        <v/>
      </c>
      <c r="I2284" t="inlineStr">
        <is>
          <t>06/A34185531</t>
        </is>
      </c>
    </row>
    <row r="2285">
      <c r="A2285">
        <f>TRIM(BASE_EQUIPOS!N2285)</f>
        <v/>
      </c>
      <c r="B2285">
        <f>BASE_EQUIPOS!A2285</f>
        <v/>
      </c>
      <c r="C2285">
        <f>BASE_EQUIPOS!B2285</f>
        <v/>
      </c>
      <c r="D2285">
        <f>BASE_EQUIPOS!D2285</f>
        <v/>
      </c>
      <c r="E2285">
        <f>BASE_EQUIPOS!G2285</f>
        <v/>
      </c>
      <c r="F2285">
        <f>BASE_EQUIPOS!H2285</f>
        <v/>
      </c>
      <c r="G2285">
        <f>BASE_EQUIPOS!M2285</f>
        <v/>
      </c>
      <c r="I2285" t="inlineStr">
        <is>
          <t>02/A884125</t>
        </is>
      </c>
    </row>
    <row r="2286">
      <c r="A2286">
        <f>TRIM(BASE_EQUIPOS!N2286)</f>
        <v/>
      </c>
      <c r="B2286">
        <f>BASE_EQUIPOS!A2286</f>
        <v/>
      </c>
      <c r="C2286">
        <f>BASE_EQUIPOS!B2286</f>
        <v/>
      </c>
      <c r="D2286">
        <f>BASE_EQUIPOS!D2286</f>
        <v/>
      </c>
      <c r="E2286">
        <f>BASE_EQUIPOS!G2286</f>
        <v/>
      </c>
      <c r="F2286">
        <f>BASE_EQUIPOS!H2286</f>
        <v/>
      </c>
      <c r="G2286">
        <f>BASE_EQUIPOS!M2286</f>
        <v/>
      </c>
      <c r="I2286" t="inlineStr">
        <is>
          <t>03/000938</t>
        </is>
      </c>
    </row>
    <row r="2287">
      <c r="A2287">
        <f>TRIM(BASE_EQUIPOS!N2287)</f>
        <v/>
      </c>
      <c r="B2287">
        <f>BASE_EQUIPOS!A2287</f>
        <v/>
      </c>
      <c r="C2287">
        <f>BASE_EQUIPOS!B2287</f>
        <v/>
      </c>
      <c r="D2287">
        <f>BASE_EQUIPOS!D2287</f>
        <v/>
      </c>
      <c r="E2287">
        <f>BASE_EQUIPOS!G2287</f>
        <v/>
      </c>
      <c r="F2287">
        <f>BASE_EQUIPOS!H2287</f>
        <v/>
      </c>
      <c r="G2287">
        <f>BASE_EQUIPOS!M2287</f>
        <v/>
      </c>
      <c r="I2287" t="inlineStr">
        <is>
          <t>56/00824</t>
        </is>
      </c>
    </row>
    <row r="2288">
      <c r="A2288">
        <f>TRIM(BASE_EQUIPOS!N2288)</f>
        <v/>
      </c>
      <c r="B2288">
        <f>BASE_EQUIPOS!A2288</f>
        <v/>
      </c>
      <c r="C2288">
        <f>BASE_EQUIPOS!B2288</f>
        <v/>
      </c>
      <c r="D2288">
        <f>BASE_EQUIPOS!D2288</f>
        <v/>
      </c>
      <c r="E2288">
        <f>BASE_EQUIPOS!G2288</f>
        <v/>
      </c>
      <c r="F2288">
        <f>BASE_EQUIPOS!H2288</f>
        <v/>
      </c>
      <c r="G2288">
        <f>BASE_EQUIPOS!M2288</f>
        <v/>
      </c>
      <c r="I2288" t="inlineStr">
        <is>
          <t>67/001573</t>
        </is>
      </c>
    </row>
    <row r="2289">
      <c r="A2289">
        <f>TRIM(BASE_EQUIPOS!N2289)</f>
        <v/>
      </c>
      <c r="B2289">
        <f>BASE_EQUIPOS!A2289</f>
        <v/>
      </c>
      <c r="C2289">
        <f>BASE_EQUIPOS!B2289</f>
        <v/>
      </c>
      <c r="D2289">
        <f>BASE_EQUIPOS!D2289</f>
        <v/>
      </c>
      <c r="E2289">
        <f>BASE_EQUIPOS!G2289</f>
        <v/>
      </c>
      <c r="F2289">
        <f>BASE_EQUIPOS!H2289</f>
        <v/>
      </c>
      <c r="G2289">
        <f>BASE_EQUIPOS!M2289</f>
        <v/>
      </c>
      <c r="I2289" t="inlineStr">
        <is>
          <t>68/000506</t>
        </is>
      </c>
    </row>
    <row r="2290">
      <c r="A2290">
        <f>TRIM(BASE_EQUIPOS!N2290)</f>
        <v/>
      </c>
      <c r="B2290">
        <f>BASE_EQUIPOS!A2290</f>
        <v/>
      </c>
      <c r="C2290">
        <f>BASE_EQUIPOS!B2290</f>
        <v/>
      </c>
      <c r="D2290">
        <f>BASE_EQUIPOS!D2290</f>
        <v/>
      </c>
      <c r="E2290">
        <f>BASE_EQUIPOS!G2290</f>
        <v/>
      </c>
      <c r="F2290">
        <f>BASE_EQUIPOS!H2290</f>
        <v/>
      </c>
      <c r="G2290">
        <f>BASE_EQUIPOS!M2290</f>
        <v/>
      </c>
      <c r="I2290" t="inlineStr">
        <is>
          <t>71/000039</t>
        </is>
      </c>
    </row>
    <row r="2291">
      <c r="A2291">
        <f>TRIM(BASE_EQUIPOS!N2291)</f>
        <v/>
      </c>
      <c r="B2291">
        <f>BASE_EQUIPOS!A2291</f>
        <v/>
      </c>
      <c r="C2291">
        <f>BASE_EQUIPOS!B2291</f>
        <v/>
      </c>
      <c r="D2291">
        <f>BASE_EQUIPOS!D2291</f>
        <v/>
      </c>
      <c r="E2291">
        <f>BASE_EQUIPOS!G2291</f>
        <v/>
      </c>
      <c r="F2291">
        <f>BASE_EQUIPOS!H2291</f>
        <v/>
      </c>
      <c r="G2291">
        <f>BASE_EQUIPOS!M2291</f>
        <v/>
      </c>
      <c r="I2291" t="inlineStr">
        <is>
          <t>198/000287</t>
        </is>
      </c>
    </row>
    <row r="2292">
      <c r="A2292">
        <f>TRIM(BASE_EQUIPOS!N2292)</f>
        <v/>
      </c>
      <c r="B2292">
        <f>BASE_EQUIPOS!A2292</f>
        <v/>
      </c>
      <c r="C2292">
        <f>BASE_EQUIPOS!B2292</f>
        <v/>
      </c>
      <c r="D2292">
        <f>BASE_EQUIPOS!D2292</f>
        <v/>
      </c>
      <c r="E2292">
        <f>BASE_EQUIPOS!G2292</f>
        <v/>
      </c>
      <c r="F2292">
        <f>BASE_EQUIPOS!H2292</f>
        <v/>
      </c>
      <c r="G2292">
        <f>BASE_EQUIPOS!M2292</f>
        <v/>
      </c>
      <c r="I2292" t="inlineStr">
        <is>
          <t>280/000484</t>
        </is>
      </c>
    </row>
    <row r="2293">
      <c r="A2293">
        <f>TRIM(BASE_EQUIPOS!N2293)</f>
        <v/>
      </c>
      <c r="B2293">
        <f>BASE_EQUIPOS!A2293</f>
        <v/>
      </c>
      <c r="C2293">
        <f>BASE_EQUIPOS!B2293</f>
        <v/>
      </c>
      <c r="D2293">
        <f>BASE_EQUIPOS!D2293</f>
        <v/>
      </c>
      <c r="E2293">
        <f>BASE_EQUIPOS!G2293</f>
        <v/>
      </c>
      <c r="F2293">
        <f>BASE_EQUIPOS!H2293</f>
        <v/>
      </c>
      <c r="G2293">
        <f>BASE_EQUIPOS!M2293</f>
        <v/>
      </c>
      <c r="I2293" t="inlineStr">
        <is>
          <t>01/006221</t>
        </is>
      </c>
    </row>
    <row r="2294">
      <c r="A2294">
        <f>TRIM(BASE_EQUIPOS!N2294)</f>
        <v/>
      </c>
      <c r="B2294">
        <f>BASE_EQUIPOS!A2294</f>
        <v/>
      </c>
      <c r="C2294">
        <f>BASE_EQUIPOS!B2294</f>
        <v/>
      </c>
      <c r="D2294">
        <f>BASE_EQUIPOS!D2294</f>
        <v/>
      </c>
      <c r="E2294">
        <f>BASE_EQUIPOS!G2294</f>
        <v/>
      </c>
      <c r="F2294">
        <f>BASE_EQUIPOS!H2294</f>
        <v/>
      </c>
      <c r="G2294">
        <f>BASE_EQUIPOS!M2294</f>
        <v/>
      </c>
      <c r="I2294" t="inlineStr">
        <is>
          <t>S/N/369054</t>
        </is>
      </c>
    </row>
    <row r="2295">
      <c r="A2295">
        <f>TRIM(BASE_EQUIPOS!N2295)</f>
        <v/>
      </c>
      <c r="B2295">
        <f>BASE_EQUIPOS!A2295</f>
        <v/>
      </c>
      <c r="C2295">
        <f>BASE_EQUIPOS!B2295</f>
        <v/>
      </c>
      <c r="D2295">
        <f>BASE_EQUIPOS!D2295</f>
        <v/>
      </c>
      <c r="E2295">
        <f>BASE_EQUIPOS!G2295</f>
        <v/>
      </c>
      <c r="F2295">
        <f>BASE_EQUIPOS!H2295</f>
        <v/>
      </c>
      <c r="G2295">
        <f>BASE_EQUIPOS!M2295</f>
        <v/>
      </c>
      <c r="I2295" t="inlineStr">
        <is>
          <t>01/000456</t>
        </is>
      </c>
    </row>
    <row r="2296">
      <c r="A2296">
        <f>TRIM(BASE_EQUIPOS!N2296)</f>
        <v/>
      </c>
      <c r="B2296">
        <f>BASE_EQUIPOS!A2296</f>
        <v/>
      </c>
      <c r="C2296">
        <f>BASE_EQUIPOS!B2296</f>
        <v/>
      </c>
      <c r="D2296">
        <f>BASE_EQUIPOS!D2296</f>
        <v/>
      </c>
      <c r="E2296">
        <f>BASE_EQUIPOS!G2296</f>
        <v/>
      </c>
      <c r="F2296">
        <f>BASE_EQUIPOS!H2296</f>
        <v/>
      </c>
      <c r="G2296">
        <f>BASE_EQUIPOS!M2296</f>
        <v/>
      </c>
      <c r="I2296" t="inlineStr">
        <is>
          <t>02/F76170213</t>
        </is>
      </c>
    </row>
    <row r="2297">
      <c r="A2297">
        <f>TRIM(BASE_EQUIPOS!N2297)</f>
        <v/>
      </c>
      <c r="B2297">
        <f>BASE_EQUIPOS!A2297</f>
        <v/>
      </c>
      <c r="C2297">
        <f>BASE_EQUIPOS!B2297</f>
        <v/>
      </c>
      <c r="D2297">
        <f>BASE_EQUIPOS!D2297</f>
        <v/>
      </c>
      <c r="E2297">
        <f>BASE_EQUIPOS!G2297</f>
        <v/>
      </c>
      <c r="F2297">
        <f>BASE_EQUIPOS!H2297</f>
        <v/>
      </c>
      <c r="G2297">
        <f>BASE_EQUIPOS!M2297</f>
        <v/>
      </c>
      <c r="I2297" t="inlineStr">
        <is>
          <t>01/000046</t>
        </is>
      </c>
    </row>
    <row r="2298">
      <c r="A2298">
        <f>TRIM(BASE_EQUIPOS!N2298)</f>
        <v/>
      </c>
      <c r="B2298">
        <f>BASE_EQUIPOS!A2298</f>
        <v/>
      </c>
      <c r="C2298">
        <f>BASE_EQUIPOS!B2298</f>
        <v/>
      </c>
      <c r="D2298">
        <f>BASE_EQUIPOS!D2298</f>
        <v/>
      </c>
      <c r="E2298">
        <f>BASE_EQUIPOS!G2298</f>
        <v/>
      </c>
      <c r="F2298">
        <f>BASE_EQUIPOS!H2298</f>
        <v/>
      </c>
      <c r="G2298">
        <f>BASE_EQUIPOS!M2298</f>
        <v/>
      </c>
      <c r="I2298" t="inlineStr">
        <is>
          <t>02/000092</t>
        </is>
      </c>
    </row>
    <row r="2299">
      <c r="A2299">
        <f>TRIM(BASE_EQUIPOS!N2299)</f>
        <v/>
      </c>
      <c r="B2299">
        <f>BASE_EQUIPOS!A2299</f>
        <v/>
      </c>
      <c r="C2299">
        <f>BASE_EQUIPOS!B2299</f>
        <v/>
      </c>
      <c r="D2299">
        <f>BASE_EQUIPOS!D2299</f>
        <v/>
      </c>
      <c r="E2299">
        <f>BASE_EQUIPOS!G2299</f>
        <v/>
      </c>
      <c r="F2299">
        <f>BASE_EQUIPOS!H2299</f>
        <v/>
      </c>
      <c r="G2299">
        <f>BASE_EQUIPOS!M2299</f>
        <v/>
      </c>
      <c r="I2299" t="inlineStr">
        <is>
          <t>03/000160</t>
        </is>
      </c>
    </row>
    <row r="2300">
      <c r="A2300">
        <f>TRIM(BASE_EQUIPOS!N2300)</f>
        <v/>
      </c>
      <c r="B2300">
        <f>BASE_EQUIPOS!A2300</f>
        <v/>
      </c>
      <c r="C2300">
        <f>BASE_EQUIPOS!B2300</f>
        <v/>
      </c>
      <c r="D2300">
        <f>BASE_EQUIPOS!D2300</f>
        <v/>
      </c>
      <c r="E2300">
        <f>BASE_EQUIPOS!G2300</f>
        <v/>
      </c>
      <c r="F2300">
        <f>BASE_EQUIPOS!H2300</f>
        <v/>
      </c>
      <c r="G2300">
        <f>BASE_EQUIPOS!M2300</f>
        <v/>
      </c>
      <c r="I2300" t="inlineStr">
        <is>
          <t>04/006221</t>
        </is>
      </c>
    </row>
    <row r="2301">
      <c r="A2301">
        <f>TRIM(BASE_EQUIPOS!N2301)</f>
        <v/>
      </c>
      <c r="B2301">
        <f>BASE_EQUIPOS!A2301</f>
        <v/>
      </c>
      <c r="C2301">
        <f>BASE_EQUIPOS!B2301</f>
        <v/>
      </c>
      <c r="D2301">
        <f>BASE_EQUIPOS!D2301</f>
        <v/>
      </c>
      <c r="E2301">
        <f>BASE_EQUIPOS!G2301</f>
        <v/>
      </c>
      <c r="F2301">
        <f>BASE_EQUIPOS!H2301</f>
        <v/>
      </c>
      <c r="G2301">
        <f>BASE_EQUIPOS!M2301</f>
        <v/>
      </c>
      <c r="I2301" t="inlineStr">
        <is>
          <t>05/006378</t>
        </is>
      </c>
    </row>
    <row r="2302">
      <c r="A2302">
        <f>TRIM(BASE_EQUIPOS!N2302)</f>
        <v/>
      </c>
      <c r="B2302">
        <f>BASE_EQUIPOS!A2302</f>
        <v/>
      </c>
      <c r="C2302">
        <f>BASE_EQUIPOS!B2302</f>
        <v/>
      </c>
      <c r="D2302">
        <f>BASE_EQUIPOS!D2302</f>
        <v/>
      </c>
      <c r="E2302">
        <f>BASE_EQUIPOS!G2302</f>
        <v/>
      </c>
      <c r="F2302">
        <f>BASE_EQUIPOS!H2302</f>
        <v/>
      </c>
      <c r="G2302">
        <f>BASE_EQUIPOS!M2302</f>
        <v/>
      </c>
      <c r="I2302" t="inlineStr">
        <is>
          <t>14/000718</t>
        </is>
      </c>
    </row>
    <row r="2303">
      <c r="A2303">
        <f>TRIM(BASE_EQUIPOS!N2303)</f>
        <v/>
      </c>
      <c r="B2303">
        <f>BASE_EQUIPOS!A2303</f>
        <v/>
      </c>
      <c r="C2303">
        <f>BASE_EQUIPOS!B2303</f>
        <v/>
      </c>
      <c r="D2303">
        <f>BASE_EQUIPOS!D2303</f>
        <v/>
      </c>
      <c r="E2303">
        <f>BASE_EQUIPOS!G2303</f>
        <v/>
      </c>
      <c r="F2303">
        <f>BASE_EQUIPOS!H2303</f>
        <v/>
      </c>
      <c r="G2303">
        <f>BASE_EQUIPOS!M2303</f>
        <v/>
      </c>
      <c r="I2303" t="inlineStr">
        <is>
          <t>87/000597</t>
        </is>
      </c>
    </row>
    <row r="2304">
      <c r="A2304">
        <f>TRIM(BASE_EQUIPOS!N2304)</f>
        <v/>
      </c>
      <c r="B2304">
        <f>BASE_EQUIPOS!A2304</f>
        <v/>
      </c>
      <c r="C2304">
        <f>BASE_EQUIPOS!B2304</f>
        <v/>
      </c>
      <c r="D2304">
        <f>BASE_EQUIPOS!D2304</f>
        <v/>
      </c>
      <c r="E2304">
        <f>BASE_EQUIPOS!G2304</f>
        <v/>
      </c>
      <c r="F2304">
        <f>BASE_EQUIPOS!H2304</f>
        <v/>
      </c>
      <c r="G2304">
        <f>BASE_EQUIPOS!M2304</f>
        <v/>
      </c>
      <c r="I2304" t="inlineStr">
        <is>
          <t>106/000241</t>
        </is>
      </c>
    </row>
    <row r="2305">
      <c r="A2305">
        <f>TRIM(BASE_EQUIPOS!N2305)</f>
        <v/>
      </c>
      <c r="B2305">
        <f>BASE_EQUIPOS!A2305</f>
        <v/>
      </c>
      <c r="C2305">
        <f>BASE_EQUIPOS!B2305</f>
        <v/>
      </c>
      <c r="D2305">
        <f>BASE_EQUIPOS!D2305</f>
        <v/>
      </c>
      <c r="E2305">
        <f>BASE_EQUIPOS!G2305</f>
        <v/>
      </c>
      <c r="F2305">
        <f>BASE_EQUIPOS!H2305</f>
        <v/>
      </c>
      <c r="G2305">
        <f>BASE_EQUIPOS!M2305</f>
        <v/>
      </c>
      <c r="I2305" t="inlineStr">
        <is>
          <t>109/001243</t>
        </is>
      </c>
    </row>
    <row r="2306">
      <c r="A2306">
        <f>TRIM(BASE_EQUIPOS!N2306)</f>
        <v/>
      </c>
      <c r="B2306">
        <f>BASE_EQUIPOS!A2306</f>
        <v/>
      </c>
      <c r="C2306">
        <f>BASE_EQUIPOS!B2306</f>
        <v/>
      </c>
      <c r="D2306">
        <f>BASE_EQUIPOS!D2306</f>
        <v/>
      </c>
      <c r="E2306">
        <f>BASE_EQUIPOS!G2306</f>
        <v/>
      </c>
      <c r="F2306">
        <f>BASE_EQUIPOS!H2306</f>
        <v/>
      </c>
      <c r="G2306">
        <f>BASE_EQUIPOS!M2306</f>
        <v/>
      </c>
      <c r="I2306" t="inlineStr">
        <is>
          <t>214/000254</t>
        </is>
      </c>
    </row>
    <row r="2307">
      <c r="A2307">
        <f>TRIM(BASE_EQUIPOS!N2307)</f>
        <v/>
      </c>
      <c r="B2307">
        <f>BASE_EQUIPOS!A2307</f>
        <v/>
      </c>
      <c r="C2307">
        <f>BASE_EQUIPOS!B2307</f>
        <v/>
      </c>
      <c r="D2307">
        <f>BASE_EQUIPOS!D2307</f>
        <v/>
      </c>
      <c r="E2307">
        <f>BASE_EQUIPOS!G2307</f>
        <v/>
      </c>
      <c r="F2307">
        <f>BASE_EQUIPOS!H2307</f>
        <v/>
      </c>
      <c r="G2307">
        <f>BASE_EQUIPOS!M2307</f>
        <v/>
      </c>
      <c r="I2307" t="inlineStr">
        <is>
          <t>216/000884</t>
        </is>
      </c>
    </row>
    <row r="2308">
      <c r="A2308">
        <f>TRIM(BASE_EQUIPOS!N2308)</f>
        <v/>
      </c>
      <c r="B2308">
        <f>BASE_EQUIPOS!A2308</f>
        <v/>
      </c>
      <c r="C2308">
        <f>BASE_EQUIPOS!B2308</f>
        <v/>
      </c>
      <c r="D2308">
        <f>BASE_EQUIPOS!D2308</f>
        <v/>
      </c>
      <c r="E2308">
        <f>BASE_EQUIPOS!G2308</f>
        <v/>
      </c>
      <c r="F2308">
        <f>BASE_EQUIPOS!H2308</f>
        <v/>
      </c>
      <c r="G2308">
        <f>BASE_EQUIPOS!M2308</f>
        <v/>
      </c>
      <c r="I2308" t="inlineStr">
        <is>
          <t>230/000451</t>
        </is>
      </c>
    </row>
    <row r="2309">
      <c r="A2309">
        <f>TRIM(BASE_EQUIPOS!N2309)</f>
        <v/>
      </c>
      <c r="B2309">
        <f>BASE_EQUIPOS!A2309</f>
        <v/>
      </c>
      <c r="C2309">
        <f>BASE_EQUIPOS!B2309</f>
        <v/>
      </c>
      <c r="D2309">
        <f>BASE_EQUIPOS!D2309</f>
        <v/>
      </c>
      <c r="E2309">
        <f>BASE_EQUIPOS!G2309</f>
        <v/>
      </c>
      <c r="F2309">
        <f>BASE_EQUIPOS!H2309</f>
        <v/>
      </c>
      <c r="G2309">
        <f>BASE_EQUIPOS!M2309</f>
        <v/>
      </c>
      <c r="I2309" t="inlineStr">
        <is>
          <t>01/010734</t>
        </is>
      </c>
    </row>
    <row r="2310">
      <c r="A2310">
        <f>TRIM(BASE_EQUIPOS!N2310)</f>
        <v/>
      </c>
      <c r="B2310">
        <f>BASE_EQUIPOS!A2310</f>
        <v/>
      </c>
      <c r="C2310">
        <f>BASE_EQUIPOS!B2310</f>
        <v/>
      </c>
      <c r="D2310">
        <f>BASE_EQUIPOS!D2310</f>
        <v/>
      </c>
      <c r="E2310">
        <f>BASE_EQUIPOS!G2310</f>
        <v/>
      </c>
      <c r="F2310">
        <f>BASE_EQUIPOS!H2310</f>
        <v/>
      </c>
      <c r="G2310">
        <f>BASE_EQUIPOS!M2310</f>
        <v/>
      </c>
      <c r="I2310" t="inlineStr">
        <is>
          <t>02/010624</t>
        </is>
      </c>
    </row>
    <row r="2311">
      <c r="A2311">
        <f>TRIM(BASE_EQUIPOS!N2311)</f>
        <v/>
      </c>
      <c r="B2311">
        <f>BASE_EQUIPOS!A2311</f>
        <v/>
      </c>
      <c r="C2311">
        <f>BASE_EQUIPOS!B2311</f>
        <v/>
      </c>
      <c r="D2311">
        <f>BASE_EQUIPOS!D2311</f>
        <v/>
      </c>
      <c r="E2311">
        <f>BASE_EQUIPOS!G2311</f>
        <v/>
      </c>
      <c r="F2311">
        <f>BASE_EQUIPOS!H2311</f>
        <v/>
      </c>
      <c r="G2311">
        <f>BASE_EQUIPOS!M2311</f>
        <v/>
      </c>
      <c r="I2311" t="inlineStr">
        <is>
          <t>03/010670</t>
        </is>
      </c>
    </row>
    <row r="2312">
      <c r="A2312">
        <f>TRIM(BASE_EQUIPOS!N2312)</f>
        <v/>
      </c>
      <c r="B2312">
        <f>BASE_EQUIPOS!A2312</f>
        <v/>
      </c>
      <c r="C2312">
        <f>BASE_EQUIPOS!B2312</f>
        <v/>
      </c>
      <c r="D2312">
        <f>BASE_EQUIPOS!D2312</f>
        <v/>
      </c>
      <c r="E2312">
        <f>BASE_EQUIPOS!G2312</f>
        <v/>
      </c>
      <c r="F2312">
        <f>BASE_EQUIPOS!H2312</f>
        <v/>
      </c>
      <c r="G2312">
        <f>BASE_EQUIPOS!M2312</f>
        <v/>
      </c>
      <c r="I2312" t="inlineStr">
        <is>
          <t>04/010762</t>
        </is>
      </c>
    </row>
    <row r="2313">
      <c r="A2313">
        <f>TRIM(BASE_EQUIPOS!N2313)</f>
        <v/>
      </c>
      <c r="B2313">
        <f>BASE_EQUIPOS!A2313</f>
        <v/>
      </c>
      <c r="C2313">
        <f>BASE_EQUIPOS!B2313</f>
        <v/>
      </c>
      <c r="D2313">
        <f>BASE_EQUIPOS!D2313</f>
        <v/>
      </c>
      <c r="E2313">
        <f>BASE_EQUIPOS!G2313</f>
        <v/>
      </c>
      <c r="F2313">
        <f>BASE_EQUIPOS!H2313</f>
        <v/>
      </c>
      <c r="G2313">
        <f>BASE_EQUIPOS!M2313</f>
        <v/>
      </c>
      <c r="I2313" t="inlineStr">
        <is>
          <t>291/002708</t>
        </is>
      </c>
    </row>
    <row r="2314">
      <c r="A2314">
        <f>TRIM(BASE_EQUIPOS!N2314)</f>
        <v/>
      </c>
      <c r="B2314">
        <f>BASE_EQUIPOS!A2314</f>
        <v/>
      </c>
      <c r="C2314">
        <f>BASE_EQUIPOS!B2314</f>
        <v/>
      </c>
      <c r="D2314">
        <f>BASE_EQUIPOS!D2314</f>
        <v/>
      </c>
      <c r="E2314">
        <f>BASE_EQUIPOS!G2314</f>
        <v/>
      </c>
      <c r="F2314">
        <f>BASE_EQUIPOS!H2314</f>
        <v/>
      </c>
      <c r="G2314">
        <f>BASE_EQUIPOS!M2314</f>
        <v/>
      </c>
      <c r="I2314" t="inlineStr">
        <is>
          <t>70/000005</t>
        </is>
      </c>
    </row>
    <row r="2315">
      <c r="A2315">
        <f>TRIM(BASE_EQUIPOS!N2315)</f>
        <v/>
      </c>
      <c r="B2315">
        <f>BASE_EQUIPOS!A2315</f>
        <v/>
      </c>
      <c r="C2315">
        <f>BASE_EQUIPOS!B2315</f>
        <v/>
      </c>
      <c r="D2315">
        <f>BASE_EQUIPOS!D2315</f>
        <v/>
      </c>
      <c r="E2315">
        <f>BASE_EQUIPOS!G2315</f>
        <v/>
      </c>
      <c r="F2315">
        <f>BASE_EQUIPOS!H2315</f>
        <v/>
      </c>
      <c r="G2315">
        <f>BASE_EQUIPOS!M2315</f>
        <v/>
      </c>
      <c r="I2315" t="inlineStr">
        <is>
          <t>236/001913</t>
        </is>
      </c>
    </row>
    <row r="2316">
      <c r="A2316">
        <f>TRIM(BASE_EQUIPOS!N2316)</f>
        <v/>
      </c>
      <c r="B2316">
        <f>BASE_EQUIPOS!A2316</f>
        <v/>
      </c>
      <c r="C2316">
        <f>BASE_EQUIPOS!B2316</f>
        <v/>
      </c>
      <c r="D2316">
        <f>BASE_EQUIPOS!D2316</f>
        <v/>
      </c>
      <c r="E2316">
        <f>BASE_EQUIPOS!G2316</f>
        <v/>
      </c>
      <c r="F2316">
        <f>BASE_EQUIPOS!H2316</f>
        <v/>
      </c>
      <c r="G2316">
        <f>BASE_EQUIPOS!M2316</f>
        <v/>
      </c>
      <c r="I2316" t="inlineStr">
        <is>
          <t>305/000697</t>
        </is>
      </c>
    </row>
    <row r="2317">
      <c r="A2317">
        <f>TRIM(BASE_EQUIPOS!N2317)</f>
        <v/>
      </c>
      <c r="B2317">
        <f>BASE_EQUIPOS!A2317</f>
        <v/>
      </c>
      <c r="C2317">
        <f>BASE_EQUIPOS!B2317</f>
        <v/>
      </c>
      <c r="D2317">
        <f>BASE_EQUIPOS!D2317</f>
        <v/>
      </c>
      <c r="E2317">
        <f>BASE_EQUIPOS!G2317</f>
        <v/>
      </c>
      <c r="F2317">
        <f>BASE_EQUIPOS!H2317</f>
        <v/>
      </c>
      <c r="G2317">
        <f>BASE_EQUIPOS!M2317</f>
        <v/>
      </c>
      <c r="I2317" t="inlineStr">
        <is>
          <t>81/001025</t>
        </is>
      </c>
    </row>
    <row r="2318">
      <c r="A2318">
        <f>TRIM(BASE_EQUIPOS!N2318)</f>
        <v/>
      </c>
      <c r="B2318">
        <f>BASE_EQUIPOS!A2318</f>
        <v/>
      </c>
      <c r="C2318">
        <f>BASE_EQUIPOS!B2318</f>
        <v/>
      </c>
      <c r="D2318">
        <f>BASE_EQUIPOS!D2318</f>
        <v/>
      </c>
      <c r="E2318">
        <f>BASE_EQUIPOS!G2318</f>
        <v/>
      </c>
      <c r="F2318">
        <f>BASE_EQUIPOS!H2318</f>
        <v/>
      </c>
      <c r="G2318">
        <f>BASE_EQUIPOS!M2318</f>
        <v/>
      </c>
      <c r="I2318" t="inlineStr">
        <is>
          <t>01/001070</t>
        </is>
      </c>
    </row>
    <row r="2319">
      <c r="A2319">
        <f>TRIM(BASE_EQUIPOS!N2319)</f>
        <v/>
      </c>
      <c r="B2319">
        <f>BASE_EQUIPOS!A2319</f>
        <v/>
      </c>
      <c r="C2319">
        <f>BASE_EQUIPOS!B2319</f>
        <v/>
      </c>
      <c r="D2319">
        <f>BASE_EQUIPOS!D2319</f>
        <v/>
      </c>
      <c r="E2319">
        <f>BASE_EQUIPOS!G2319</f>
        <v/>
      </c>
      <c r="F2319">
        <f>BASE_EQUIPOS!H2319</f>
        <v/>
      </c>
      <c r="G2319">
        <f>BASE_EQUIPOS!M2319</f>
        <v/>
      </c>
      <c r="I2319" t="inlineStr">
        <is>
          <t>01/010347</t>
        </is>
      </c>
    </row>
    <row r="2320">
      <c r="A2320">
        <f>TRIM(BASE_EQUIPOS!N2320)</f>
        <v/>
      </c>
      <c r="B2320">
        <f>BASE_EQUIPOS!A2320</f>
        <v/>
      </c>
      <c r="C2320">
        <f>BASE_EQUIPOS!B2320</f>
        <v/>
      </c>
      <c r="D2320">
        <f>BASE_EQUIPOS!D2320</f>
        <v/>
      </c>
      <c r="E2320">
        <f>BASE_EQUIPOS!G2320</f>
        <v/>
      </c>
      <c r="F2320">
        <f>BASE_EQUIPOS!H2320</f>
        <v/>
      </c>
      <c r="G2320">
        <f>BASE_EQUIPOS!M2320</f>
        <v/>
      </c>
      <c r="I2320" t="inlineStr">
        <is>
          <t>01/015375</t>
        </is>
      </c>
    </row>
    <row r="2321">
      <c r="A2321">
        <f>TRIM(BASE_EQUIPOS!N2321)</f>
        <v/>
      </c>
      <c r="B2321">
        <f>BASE_EQUIPOS!A2321</f>
        <v/>
      </c>
      <c r="C2321">
        <f>BASE_EQUIPOS!B2321</f>
        <v/>
      </c>
      <c r="D2321">
        <f>BASE_EQUIPOS!D2321</f>
        <v/>
      </c>
      <c r="E2321">
        <f>BASE_EQUIPOS!G2321</f>
        <v/>
      </c>
      <c r="F2321">
        <f>BASE_EQUIPOS!H2321</f>
        <v/>
      </c>
      <c r="G2321">
        <f>BASE_EQUIPOS!M2321</f>
        <v/>
      </c>
      <c r="I2321" t="inlineStr">
        <is>
          <t>02/00008</t>
        </is>
      </c>
    </row>
    <row r="2322">
      <c r="A2322">
        <f>TRIM(BASE_EQUIPOS!N2322)</f>
        <v/>
      </c>
      <c r="B2322">
        <f>BASE_EQUIPOS!A2322</f>
        <v/>
      </c>
      <c r="C2322">
        <f>BASE_EQUIPOS!B2322</f>
        <v/>
      </c>
      <c r="D2322">
        <f>BASE_EQUIPOS!D2322</f>
        <v/>
      </c>
      <c r="E2322">
        <f>BASE_EQUIPOS!G2322</f>
        <v/>
      </c>
      <c r="F2322">
        <f>BASE_EQUIPOS!H2322</f>
        <v/>
      </c>
      <c r="G2322">
        <f>BASE_EQUIPOS!M2322</f>
        <v/>
      </c>
      <c r="I2322" t="inlineStr">
        <is>
          <t>01/000007</t>
        </is>
      </c>
    </row>
    <row r="2323">
      <c r="A2323">
        <f>TRIM(BASE_EQUIPOS!N2323)</f>
        <v/>
      </c>
      <c r="B2323">
        <f>BASE_EQUIPOS!A2323</f>
        <v/>
      </c>
      <c r="C2323">
        <f>BASE_EQUIPOS!B2323</f>
        <v/>
      </c>
      <c r="D2323">
        <f>BASE_EQUIPOS!D2323</f>
        <v/>
      </c>
      <c r="E2323">
        <f>BASE_EQUIPOS!G2323</f>
        <v/>
      </c>
      <c r="F2323">
        <f>BASE_EQUIPOS!H2323</f>
        <v/>
      </c>
      <c r="G2323">
        <f>BASE_EQUIPOS!M2323</f>
        <v/>
      </c>
      <c r="I2323" t="inlineStr">
        <is>
          <t>01/000979</t>
        </is>
      </c>
    </row>
    <row r="2324">
      <c r="A2324">
        <f>TRIM(BASE_EQUIPOS!N2324)</f>
        <v/>
      </c>
      <c r="B2324">
        <f>BASE_EQUIPOS!A2324</f>
        <v/>
      </c>
      <c r="C2324">
        <f>BASE_EQUIPOS!B2324</f>
        <v/>
      </c>
      <c r="D2324">
        <f>BASE_EQUIPOS!D2324</f>
        <v/>
      </c>
      <c r="E2324">
        <f>BASE_EQUIPOS!G2324</f>
        <v/>
      </c>
      <c r="F2324">
        <f>BASE_EQUIPOS!H2324</f>
        <v/>
      </c>
      <c r="G2324">
        <f>BASE_EQUIPOS!M2324</f>
        <v/>
      </c>
      <c r="I2324" t="inlineStr">
        <is>
          <t>02/001041</t>
        </is>
      </c>
    </row>
    <row r="2325">
      <c r="A2325">
        <f>TRIM(BASE_EQUIPOS!N2325)</f>
        <v/>
      </c>
      <c r="B2325">
        <f>BASE_EQUIPOS!A2325</f>
        <v/>
      </c>
      <c r="C2325">
        <f>BASE_EQUIPOS!B2325</f>
        <v/>
      </c>
      <c r="D2325">
        <f>BASE_EQUIPOS!D2325</f>
        <v/>
      </c>
      <c r="E2325">
        <f>BASE_EQUIPOS!G2325</f>
        <v/>
      </c>
      <c r="F2325">
        <f>BASE_EQUIPOS!H2325</f>
        <v/>
      </c>
      <c r="G2325">
        <f>BASE_EQUIPOS!M2325</f>
        <v/>
      </c>
      <c r="I2325" t="inlineStr">
        <is>
          <t>21/0002016</t>
        </is>
      </c>
    </row>
    <row r="2326">
      <c r="A2326">
        <f>TRIM(BASE_EQUIPOS!N2326)</f>
        <v/>
      </c>
      <c r="B2326">
        <f>BASE_EQUIPOS!A2326</f>
        <v/>
      </c>
      <c r="C2326">
        <f>BASE_EQUIPOS!B2326</f>
        <v/>
      </c>
      <c r="D2326">
        <f>BASE_EQUIPOS!D2326</f>
        <v/>
      </c>
      <c r="E2326">
        <f>BASE_EQUIPOS!G2326</f>
        <v/>
      </c>
      <c r="F2326">
        <f>BASE_EQUIPOS!H2326</f>
        <v/>
      </c>
      <c r="G2326">
        <f>BASE_EQUIPOS!M2326</f>
        <v/>
      </c>
      <c r="I2326" t="inlineStr">
        <is>
          <t>S/N/005887</t>
        </is>
      </c>
    </row>
    <row r="2327">
      <c r="A2327">
        <f>TRIM(BASE_EQUIPOS!N2327)</f>
        <v/>
      </c>
      <c r="B2327">
        <f>BASE_EQUIPOS!A2327</f>
        <v/>
      </c>
      <c r="C2327">
        <f>BASE_EQUIPOS!B2327</f>
        <v/>
      </c>
      <c r="D2327">
        <f>BASE_EQUIPOS!D2327</f>
        <v/>
      </c>
      <c r="E2327">
        <f>BASE_EQUIPOS!G2327</f>
        <v/>
      </c>
      <c r="F2327">
        <f>BASE_EQUIPOS!H2327</f>
        <v/>
      </c>
      <c r="G2327">
        <f>BASE_EQUIPOS!M2327</f>
        <v/>
      </c>
      <c r="I2327" t="inlineStr">
        <is>
          <t>S/N/000645</t>
        </is>
      </c>
    </row>
    <row r="2328">
      <c r="A2328">
        <f>TRIM(BASE_EQUIPOS!N2328)</f>
        <v/>
      </c>
      <c r="B2328">
        <f>BASE_EQUIPOS!A2328</f>
        <v/>
      </c>
      <c r="C2328">
        <f>BASE_EQUIPOS!B2328</f>
        <v/>
      </c>
      <c r="D2328">
        <f>BASE_EQUIPOS!D2328</f>
        <v/>
      </c>
      <c r="E2328">
        <f>BASE_EQUIPOS!G2328</f>
        <v/>
      </c>
      <c r="F2328">
        <f>BASE_EQUIPOS!H2328</f>
        <v/>
      </c>
      <c r="G2328">
        <f>BASE_EQUIPOS!M2328</f>
        <v/>
      </c>
      <c r="I2328" t="inlineStr">
        <is>
          <t>S/N/006242</t>
        </is>
      </c>
    </row>
    <row r="2329">
      <c r="A2329">
        <f>TRIM(BASE_EQUIPOS!N2329)</f>
        <v/>
      </c>
      <c r="B2329">
        <f>BASE_EQUIPOS!A2329</f>
        <v/>
      </c>
      <c r="C2329">
        <f>BASE_EQUIPOS!B2329</f>
        <v/>
      </c>
      <c r="D2329">
        <f>BASE_EQUIPOS!D2329</f>
        <v/>
      </c>
      <c r="E2329">
        <f>BASE_EQUIPOS!G2329</f>
        <v/>
      </c>
      <c r="F2329">
        <f>BASE_EQUIPOS!H2329</f>
        <v/>
      </c>
      <c r="G2329">
        <f>BASE_EQUIPOS!M2329</f>
        <v/>
      </c>
      <c r="I2329" t="inlineStr">
        <is>
          <t>19/0002492</t>
        </is>
      </c>
    </row>
    <row r="2330">
      <c r="A2330">
        <f>TRIM(BASE_EQUIPOS!N2330)</f>
        <v/>
      </c>
      <c r="B2330">
        <f>BASE_EQUIPOS!A2330</f>
        <v/>
      </c>
      <c r="C2330">
        <f>BASE_EQUIPOS!B2330</f>
        <v/>
      </c>
      <c r="D2330">
        <f>BASE_EQUIPOS!D2330</f>
        <v/>
      </c>
      <c r="E2330">
        <f>BASE_EQUIPOS!G2330</f>
        <v/>
      </c>
      <c r="F2330">
        <f>BASE_EQUIPOS!H2330</f>
        <v/>
      </c>
      <c r="G2330">
        <f>BASE_EQUIPOS!M2330</f>
        <v/>
      </c>
      <c r="I2330" t="inlineStr">
        <is>
          <t>10/002455</t>
        </is>
      </c>
    </row>
    <row r="2331">
      <c r="A2331">
        <f>TRIM(BASE_EQUIPOS!N2331)</f>
        <v/>
      </c>
      <c r="B2331">
        <f>BASE_EQUIPOS!A2331</f>
        <v/>
      </c>
      <c r="C2331">
        <f>BASE_EQUIPOS!B2331</f>
        <v/>
      </c>
      <c r="D2331">
        <f>BASE_EQUIPOS!D2331</f>
        <v/>
      </c>
      <c r="E2331">
        <f>BASE_EQUIPOS!G2331</f>
        <v/>
      </c>
      <c r="F2331">
        <f>BASE_EQUIPOS!H2331</f>
        <v/>
      </c>
      <c r="G2331">
        <f>BASE_EQUIPOS!M2331</f>
        <v/>
      </c>
      <c r="I2331" t="inlineStr">
        <is>
          <t>07/001500</t>
        </is>
      </c>
    </row>
    <row r="2332">
      <c r="A2332">
        <f>TRIM(BASE_EQUIPOS!N2332)</f>
        <v/>
      </c>
      <c r="B2332">
        <f>BASE_EQUIPOS!A2332</f>
        <v/>
      </c>
      <c r="C2332">
        <f>BASE_EQUIPOS!B2332</f>
        <v/>
      </c>
      <c r="D2332">
        <f>BASE_EQUIPOS!D2332</f>
        <v/>
      </c>
      <c r="E2332">
        <f>BASE_EQUIPOS!G2332</f>
        <v/>
      </c>
      <c r="F2332">
        <f>BASE_EQUIPOS!H2332</f>
        <v/>
      </c>
      <c r="G2332">
        <f>BASE_EQUIPOS!M2332</f>
        <v/>
      </c>
      <c r="I2332" t="inlineStr">
        <is>
          <t>72/000966</t>
        </is>
      </c>
    </row>
    <row r="2333">
      <c r="A2333">
        <f>TRIM(BASE_EQUIPOS!N2333)</f>
        <v/>
      </c>
      <c r="B2333">
        <f>BASE_EQUIPOS!A2333</f>
        <v/>
      </c>
      <c r="C2333">
        <f>BASE_EQUIPOS!B2333</f>
        <v/>
      </c>
      <c r="D2333">
        <f>BASE_EQUIPOS!D2333</f>
        <v/>
      </c>
      <c r="E2333">
        <f>BASE_EQUIPOS!G2333</f>
        <v/>
      </c>
      <c r="F2333">
        <f>BASE_EQUIPOS!H2333</f>
        <v/>
      </c>
      <c r="G2333">
        <f>BASE_EQUIPOS!M2333</f>
        <v/>
      </c>
      <c r="I2333" t="inlineStr">
        <is>
          <t>102/000383</t>
        </is>
      </c>
    </row>
    <row r="2334">
      <c r="A2334">
        <f>TRIM(BASE_EQUIPOS!N2334)</f>
        <v/>
      </c>
      <c r="B2334">
        <f>BASE_EQUIPOS!A2334</f>
        <v/>
      </c>
      <c r="C2334">
        <f>BASE_EQUIPOS!B2334</f>
        <v/>
      </c>
      <c r="D2334">
        <f>BASE_EQUIPOS!D2334</f>
        <v/>
      </c>
      <c r="E2334">
        <f>BASE_EQUIPOS!G2334</f>
        <v/>
      </c>
      <c r="F2334">
        <f>BASE_EQUIPOS!H2334</f>
        <v/>
      </c>
      <c r="G2334">
        <f>BASE_EQUIPOS!M2334</f>
        <v/>
      </c>
      <c r="I2334" t="inlineStr">
        <is>
          <t>140/006506</t>
        </is>
      </c>
    </row>
    <row r="2335">
      <c r="A2335">
        <f>TRIM(BASE_EQUIPOS!N2335)</f>
        <v/>
      </c>
      <c r="B2335">
        <f>BASE_EQUIPOS!A2335</f>
        <v/>
      </c>
      <c r="C2335">
        <f>BASE_EQUIPOS!B2335</f>
        <v/>
      </c>
      <c r="D2335">
        <f>BASE_EQUIPOS!D2335</f>
        <v/>
      </c>
      <c r="E2335">
        <f>BASE_EQUIPOS!G2335</f>
        <v/>
      </c>
      <c r="F2335">
        <f>BASE_EQUIPOS!H2335</f>
        <v/>
      </c>
      <c r="G2335">
        <f>BASE_EQUIPOS!M2335</f>
        <v/>
      </c>
      <c r="I2335" t="inlineStr">
        <is>
          <t>189/000999</t>
        </is>
      </c>
    </row>
    <row r="2336">
      <c r="A2336">
        <f>TRIM(BASE_EQUIPOS!N2336)</f>
        <v/>
      </c>
      <c r="B2336">
        <f>BASE_EQUIPOS!A2336</f>
        <v/>
      </c>
      <c r="C2336">
        <f>BASE_EQUIPOS!B2336</f>
        <v/>
      </c>
      <c r="D2336">
        <f>BASE_EQUIPOS!D2336</f>
        <v/>
      </c>
      <c r="E2336">
        <f>BASE_EQUIPOS!G2336</f>
        <v/>
      </c>
      <c r="F2336">
        <f>BASE_EQUIPOS!H2336</f>
        <v/>
      </c>
      <c r="G2336">
        <f>BASE_EQUIPOS!M2336</f>
        <v/>
      </c>
      <c r="I2336" t="inlineStr">
        <is>
          <t>220/000882</t>
        </is>
      </c>
    </row>
    <row r="2337">
      <c r="A2337">
        <f>TRIM(BASE_EQUIPOS!N2337)</f>
        <v/>
      </c>
      <c r="B2337">
        <f>BASE_EQUIPOS!A2337</f>
        <v/>
      </c>
      <c r="C2337">
        <f>BASE_EQUIPOS!B2337</f>
        <v/>
      </c>
      <c r="D2337">
        <f>BASE_EQUIPOS!D2337</f>
        <v/>
      </c>
      <c r="E2337">
        <f>BASE_EQUIPOS!G2337</f>
        <v/>
      </c>
      <c r="F2337">
        <f>BASE_EQUIPOS!H2337</f>
        <v/>
      </c>
      <c r="G2337">
        <f>BASE_EQUIPOS!M2337</f>
        <v/>
      </c>
      <c r="I2337" t="inlineStr">
        <is>
          <t>298/002485</t>
        </is>
      </c>
    </row>
    <row r="2338">
      <c r="A2338">
        <f>TRIM(BASE_EQUIPOS!N2338)</f>
        <v/>
      </c>
      <c r="B2338">
        <f>BASE_EQUIPOS!A2338</f>
        <v/>
      </c>
      <c r="C2338">
        <f>BASE_EQUIPOS!B2338</f>
        <v/>
      </c>
      <c r="D2338">
        <f>BASE_EQUIPOS!D2338</f>
        <v/>
      </c>
      <c r="E2338">
        <f>BASE_EQUIPOS!G2338</f>
        <v/>
      </c>
      <c r="F2338">
        <f>BASE_EQUIPOS!H2338</f>
        <v/>
      </c>
      <c r="G2338">
        <f>BASE_EQUIPOS!M2338</f>
        <v/>
      </c>
      <c r="I2338" t="inlineStr">
        <is>
          <t>134/003097</t>
        </is>
      </c>
    </row>
    <row r="2339">
      <c r="A2339">
        <f>TRIM(BASE_EQUIPOS!N2339)</f>
        <v/>
      </c>
      <c r="B2339">
        <f>BASE_EQUIPOS!A2339</f>
        <v/>
      </c>
      <c r="C2339">
        <f>BASE_EQUIPOS!B2339</f>
        <v/>
      </c>
      <c r="D2339">
        <f>BASE_EQUIPOS!D2339</f>
        <v/>
      </c>
      <c r="E2339">
        <f>BASE_EQUIPOS!G2339</f>
        <v/>
      </c>
      <c r="F2339">
        <f>BASE_EQUIPOS!H2339</f>
        <v/>
      </c>
      <c r="G2339">
        <f>BASE_EQUIPOS!M2339</f>
        <v/>
      </c>
      <c r="I2339" t="inlineStr">
        <is>
          <t>23/000121</t>
        </is>
      </c>
    </row>
    <row r="2340">
      <c r="A2340">
        <f>TRIM(BASE_EQUIPOS!N2340)</f>
        <v/>
      </c>
      <c r="B2340">
        <f>BASE_EQUIPOS!A2340</f>
        <v/>
      </c>
      <c r="C2340">
        <f>BASE_EQUIPOS!B2340</f>
        <v/>
      </c>
      <c r="D2340">
        <f>BASE_EQUIPOS!D2340</f>
        <v/>
      </c>
      <c r="E2340">
        <f>BASE_EQUIPOS!G2340</f>
        <v/>
      </c>
      <c r="F2340">
        <f>BASE_EQUIPOS!H2340</f>
        <v/>
      </c>
      <c r="G2340">
        <f>BASE_EQUIPOS!M2340</f>
        <v/>
      </c>
      <c r="I2340" t="inlineStr">
        <is>
          <t>20/000086</t>
        </is>
      </c>
    </row>
    <row r="2341">
      <c r="A2341">
        <f>TRIM(BASE_EQUIPOS!N2341)</f>
        <v/>
      </c>
      <c r="B2341">
        <f>BASE_EQUIPOS!A2341</f>
        <v/>
      </c>
      <c r="C2341">
        <f>BASE_EQUIPOS!B2341</f>
        <v/>
      </c>
      <c r="D2341">
        <f>BASE_EQUIPOS!D2341</f>
        <v/>
      </c>
      <c r="E2341">
        <f>BASE_EQUIPOS!G2341</f>
        <v/>
      </c>
      <c r="F2341">
        <f>BASE_EQUIPOS!H2341</f>
        <v/>
      </c>
      <c r="G2341">
        <f>BASE_EQUIPOS!M2341</f>
        <v/>
      </c>
      <c r="I2341" t="inlineStr">
        <is>
          <t>06/000180</t>
        </is>
      </c>
    </row>
    <row r="2342">
      <c r="A2342">
        <f>TRIM(BASE_EQUIPOS!N2342)</f>
        <v/>
      </c>
      <c r="B2342">
        <f>BASE_EQUIPOS!A2342</f>
        <v/>
      </c>
      <c r="C2342">
        <f>BASE_EQUIPOS!B2342</f>
        <v/>
      </c>
      <c r="D2342">
        <f>BASE_EQUIPOS!D2342</f>
        <v/>
      </c>
      <c r="E2342">
        <f>BASE_EQUIPOS!G2342</f>
        <v/>
      </c>
      <c r="F2342">
        <f>BASE_EQUIPOS!H2342</f>
        <v/>
      </c>
      <c r="G2342">
        <f>BASE_EQUIPOS!M2342</f>
        <v/>
      </c>
      <c r="I2342" t="inlineStr">
        <is>
          <t>16/000111</t>
        </is>
      </c>
    </row>
    <row r="2343">
      <c r="A2343">
        <f>TRIM(BASE_EQUIPOS!N2343)</f>
        <v/>
      </c>
      <c r="B2343">
        <f>BASE_EQUIPOS!A2343</f>
        <v/>
      </c>
      <c r="C2343">
        <f>BASE_EQUIPOS!B2343</f>
        <v/>
      </c>
      <c r="D2343">
        <f>BASE_EQUIPOS!D2343</f>
        <v/>
      </c>
      <c r="E2343">
        <f>BASE_EQUIPOS!G2343</f>
        <v/>
      </c>
      <c r="F2343">
        <f>BASE_EQUIPOS!H2343</f>
        <v/>
      </c>
      <c r="G2343">
        <f>BASE_EQUIPOS!M2343</f>
        <v/>
      </c>
      <c r="I2343" t="inlineStr">
        <is>
          <t>13/001174</t>
        </is>
      </c>
    </row>
    <row r="2344">
      <c r="A2344">
        <f>TRIM(BASE_EQUIPOS!N2344)</f>
        <v/>
      </c>
      <c r="B2344">
        <f>BASE_EQUIPOS!A2344</f>
        <v/>
      </c>
      <c r="C2344">
        <f>BASE_EQUIPOS!B2344</f>
        <v/>
      </c>
      <c r="D2344">
        <f>BASE_EQUIPOS!D2344</f>
        <v/>
      </c>
      <c r="E2344">
        <f>BASE_EQUIPOS!G2344</f>
        <v/>
      </c>
      <c r="F2344">
        <f>BASE_EQUIPOS!H2344</f>
        <v/>
      </c>
      <c r="G2344">
        <f>BASE_EQUIPOS!M2344</f>
        <v/>
      </c>
      <c r="I2344" t="inlineStr">
        <is>
          <t>01/000114</t>
        </is>
      </c>
    </row>
    <row r="2345">
      <c r="A2345">
        <f>TRIM(BASE_EQUIPOS!N2345)</f>
        <v/>
      </c>
      <c r="B2345">
        <f>BASE_EQUIPOS!A2345</f>
        <v/>
      </c>
      <c r="C2345">
        <f>BASE_EQUIPOS!B2345</f>
        <v/>
      </c>
      <c r="D2345">
        <f>BASE_EQUIPOS!D2345</f>
        <v/>
      </c>
      <c r="E2345">
        <f>BASE_EQUIPOS!G2345</f>
        <v/>
      </c>
      <c r="F2345">
        <f>BASE_EQUIPOS!H2345</f>
        <v/>
      </c>
      <c r="G2345">
        <f>BASE_EQUIPOS!M2345</f>
        <v/>
      </c>
      <c r="I2345" t="inlineStr">
        <is>
          <t>01/000274</t>
        </is>
      </c>
    </row>
    <row r="2346">
      <c r="A2346">
        <f>TRIM(BASE_EQUIPOS!N2346)</f>
        <v/>
      </c>
      <c r="B2346">
        <f>BASE_EQUIPOS!A2346</f>
        <v/>
      </c>
      <c r="C2346">
        <f>BASE_EQUIPOS!B2346</f>
        <v/>
      </c>
      <c r="D2346">
        <f>BASE_EQUIPOS!D2346</f>
        <v/>
      </c>
      <c r="E2346">
        <f>BASE_EQUIPOS!G2346</f>
        <v/>
      </c>
      <c r="F2346">
        <f>BASE_EQUIPOS!H2346</f>
        <v/>
      </c>
      <c r="G2346">
        <f>BASE_EQUIPOS!M2346</f>
        <v/>
      </c>
      <c r="I2346" t="inlineStr">
        <is>
          <t>64/000054</t>
        </is>
      </c>
    </row>
    <row r="2347">
      <c r="A2347">
        <f>TRIM(BASE_EQUIPOS!N2347)</f>
        <v/>
      </c>
      <c r="B2347">
        <f>BASE_EQUIPOS!A2347</f>
        <v/>
      </c>
      <c r="C2347">
        <f>BASE_EQUIPOS!B2347</f>
        <v/>
      </c>
      <c r="D2347">
        <f>BASE_EQUIPOS!D2347</f>
        <v/>
      </c>
      <c r="E2347">
        <f>BASE_EQUIPOS!G2347</f>
        <v/>
      </c>
      <c r="F2347">
        <f>BASE_EQUIPOS!H2347</f>
        <v/>
      </c>
      <c r="G2347">
        <f>BASE_EQUIPOS!M2347</f>
        <v/>
      </c>
      <c r="I2347" t="inlineStr">
        <is>
          <t>102/000005</t>
        </is>
      </c>
    </row>
    <row r="2348">
      <c r="A2348">
        <f>TRIM(BASE_EQUIPOS!N2348)</f>
        <v/>
      </c>
      <c r="B2348">
        <f>BASE_EQUIPOS!A2348</f>
        <v/>
      </c>
      <c r="C2348">
        <f>BASE_EQUIPOS!B2348</f>
        <v/>
      </c>
      <c r="D2348">
        <f>BASE_EQUIPOS!D2348</f>
        <v/>
      </c>
      <c r="E2348">
        <f>BASE_EQUIPOS!G2348</f>
        <v/>
      </c>
      <c r="F2348">
        <f>BASE_EQUIPOS!H2348</f>
        <v/>
      </c>
      <c r="G2348">
        <f>BASE_EQUIPOS!M2348</f>
        <v/>
      </c>
      <c r="I2348" t="inlineStr">
        <is>
          <t>45/016379</t>
        </is>
      </c>
    </row>
    <row r="2349">
      <c r="A2349">
        <f>TRIM(BASE_EQUIPOS!N2349)</f>
        <v/>
      </c>
      <c r="B2349">
        <f>BASE_EQUIPOS!A2349</f>
        <v/>
      </c>
      <c r="C2349">
        <f>BASE_EQUIPOS!B2349</f>
        <v/>
      </c>
      <c r="D2349">
        <f>BASE_EQUIPOS!D2349</f>
        <v/>
      </c>
      <c r="E2349">
        <f>BASE_EQUIPOS!G2349</f>
        <v/>
      </c>
      <c r="F2349">
        <f>BASE_EQUIPOS!H2349</f>
        <v/>
      </c>
      <c r="G2349">
        <f>BASE_EQUIPOS!M2349</f>
        <v/>
      </c>
      <c r="I2349" t="inlineStr">
        <is>
          <t>139/000257</t>
        </is>
      </c>
    </row>
    <row r="2350">
      <c r="A2350">
        <f>TRIM(BASE_EQUIPOS!N2350)</f>
        <v/>
      </c>
      <c r="B2350">
        <f>BASE_EQUIPOS!A2350</f>
        <v/>
      </c>
      <c r="C2350">
        <f>BASE_EQUIPOS!B2350</f>
        <v/>
      </c>
      <c r="D2350">
        <f>BASE_EQUIPOS!D2350</f>
        <v/>
      </c>
      <c r="E2350">
        <f>BASE_EQUIPOS!G2350</f>
        <v/>
      </c>
      <c r="F2350">
        <f>BASE_EQUIPOS!H2350</f>
        <v/>
      </c>
      <c r="G2350">
        <f>BASE_EQUIPOS!M2350</f>
        <v/>
      </c>
      <c r="I2350" t="inlineStr">
        <is>
          <t>107/000942</t>
        </is>
      </c>
    </row>
    <row r="2351">
      <c r="A2351">
        <f>TRIM(BASE_EQUIPOS!N2351)</f>
        <v/>
      </c>
      <c r="B2351">
        <f>BASE_EQUIPOS!A2351</f>
        <v/>
      </c>
      <c r="C2351">
        <f>BASE_EQUIPOS!B2351</f>
        <v/>
      </c>
      <c r="D2351">
        <f>BASE_EQUIPOS!D2351</f>
        <v/>
      </c>
      <c r="E2351">
        <f>BASE_EQUIPOS!G2351</f>
        <v/>
      </c>
      <c r="F2351">
        <f>BASE_EQUIPOS!H2351</f>
        <v/>
      </c>
      <c r="G2351">
        <f>BASE_EQUIPOS!M2351</f>
        <v/>
      </c>
      <c r="I2351" t="inlineStr">
        <is>
          <t>01/000108</t>
        </is>
      </c>
    </row>
    <row r="2352">
      <c r="A2352">
        <f>TRIM(BASE_EQUIPOS!N2352)</f>
        <v/>
      </c>
      <c r="B2352">
        <f>BASE_EQUIPOS!A2352</f>
        <v/>
      </c>
      <c r="C2352">
        <f>BASE_EQUIPOS!B2352</f>
        <v/>
      </c>
      <c r="D2352">
        <f>BASE_EQUIPOS!D2352</f>
        <v/>
      </c>
      <c r="E2352">
        <f>BASE_EQUIPOS!G2352</f>
        <v/>
      </c>
      <c r="F2352">
        <f>BASE_EQUIPOS!H2352</f>
        <v/>
      </c>
      <c r="G2352">
        <f>BASE_EQUIPOS!M2352</f>
        <v/>
      </c>
      <c r="I2352" t="inlineStr">
        <is>
          <t>01/085362</t>
        </is>
      </c>
    </row>
    <row r="2353">
      <c r="A2353">
        <f>TRIM(BASE_EQUIPOS!N2353)</f>
        <v/>
      </c>
      <c r="B2353">
        <f>BASE_EQUIPOS!A2353</f>
        <v/>
      </c>
      <c r="C2353">
        <f>BASE_EQUIPOS!B2353</f>
        <v/>
      </c>
      <c r="D2353">
        <f>BASE_EQUIPOS!D2353</f>
        <v/>
      </c>
      <c r="E2353">
        <f>BASE_EQUIPOS!G2353</f>
        <v/>
      </c>
      <c r="F2353">
        <f>BASE_EQUIPOS!H2353</f>
        <v/>
      </c>
      <c r="G2353">
        <f>BASE_EQUIPOS!M2353</f>
        <v/>
      </c>
      <c r="I2353" t="inlineStr">
        <is>
          <t>01/000190</t>
        </is>
      </c>
    </row>
    <row r="2354">
      <c r="A2354">
        <f>TRIM(BASE_EQUIPOS!N2354)</f>
        <v/>
      </c>
      <c r="B2354">
        <f>BASE_EQUIPOS!A2354</f>
        <v/>
      </c>
      <c r="C2354">
        <f>BASE_EQUIPOS!B2354</f>
        <v/>
      </c>
      <c r="D2354">
        <f>BASE_EQUIPOS!D2354</f>
        <v/>
      </c>
      <c r="E2354">
        <f>BASE_EQUIPOS!G2354</f>
        <v/>
      </c>
      <c r="F2354">
        <f>BASE_EQUIPOS!H2354</f>
        <v/>
      </c>
      <c r="G2354">
        <f>BASE_EQUIPOS!M2354</f>
        <v/>
      </c>
      <c r="I2354" t="inlineStr">
        <is>
          <t>02/000165</t>
        </is>
      </c>
    </row>
    <row r="2355">
      <c r="A2355">
        <f>TRIM(BASE_EQUIPOS!N2355)</f>
        <v/>
      </c>
      <c r="B2355">
        <f>BASE_EQUIPOS!A2355</f>
        <v/>
      </c>
      <c r="C2355">
        <f>BASE_EQUIPOS!B2355</f>
        <v/>
      </c>
      <c r="D2355">
        <f>BASE_EQUIPOS!D2355</f>
        <v/>
      </c>
      <c r="E2355">
        <f>BASE_EQUIPOS!G2355</f>
        <v/>
      </c>
      <c r="F2355">
        <f>BASE_EQUIPOS!H2355</f>
        <v/>
      </c>
      <c r="G2355">
        <f>BASE_EQUIPOS!M2355</f>
        <v/>
      </c>
      <c r="I2355" t="inlineStr">
        <is>
          <t>114/016190</t>
        </is>
      </c>
    </row>
    <row r="2356">
      <c r="A2356">
        <f>TRIM(BASE_EQUIPOS!N2356)</f>
        <v/>
      </c>
      <c r="B2356">
        <f>BASE_EQUIPOS!A2356</f>
        <v/>
      </c>
      <c r="C2356">
        <f>BASE_EQUIPOS!B2356</f>
        <v/>
      </c>
      <c r="D2356">
        <f>BASE_EQUIPOS!D2356</f>
        <v/>
      </c>
      <c r="E2356">
        <f>BASE_EQUIPOS!G2356</f>
        <v/>
      </c>
      <c r="F2356">
        <f>BASE_EQUIPOS!H2356</f>
        <v/>
      </c>
      <c r="G2356">
        <f>BASE_EQUIPOS!M2356</f>
        <v/>
      </c>
      <c r="I2356" t="inlineStr">
        <is>
          <t>116/001150</t>
        </is>
      </c>
    </row>
    <row r="2357">
      <c r="A2357">
        <f>TRIM(BASE_EQUIPOS!N2357)</f>
        <v/>
      </c>
      <c r="B2357">
        <f>BASE_EQUIPOS!A2357</f>
        <v/>
      </c>
      <c r="C2357">
        <f>BASE_EQUIPOS!B2357</f>
        <v/>
      </c>
      <c r="D2357">
        <f>BASE_EQUIPOS!D2357</f>
        <v/>
      </c>
      <c r="E2357">
        <f>BASE_EQUIPOS!G2357</f>
        <v/>
      </c>
      <c r="F2357">
        <f>BASE_EQUIPOS!H2357</f>
        <v/>
      </c>
      <c r="G2357">
        <f>BASE_EQUIPOS!M2357</f>
        <v/>
      </c>
      <c r="I2357" t="inlineStr">
        <is>
          <t>108/000008</t>
        </is>
      </c>
    </row>
    <row r="2358">
      <c r="A2358">
        <f>TRIM(BASE_EQUIPOS!N2358)</f>
        <v/>
      </c>
      <c r="B2358">
        <f>BASE_EQUIPOS!A2358</f>
        <v/>
      </c>
      <c r="C2358">
        <f>BASE_EQUIPOS!B2358</f>
        <v/>
      </c>
      <c r="D2358">
        <f>BASE_EQUIPOS!D2358</f>
        <v/>
      </c>
      <c r="E2358">
        <f>BASE_EQUIPOS!G2358</f>
        <v/>
      </c>
      <c r="F2358">
        <f>BASE_EQUIPOS!H2358</f>
        <v/>
      </c>
      <c r="G2358">
        <f>BASE_EQUIPOS!M2358</f>
        <v/>
      </c>
      <c r="I2358" t="inlineStr">
        <is>
          <t>02/014496</t>
        </is>
      </c>
    </row>
    <row r="2359">
      <c r="A2359">
        <f>TRIM(BASE_EQUIPOS!N2359)</f>
        <v/>
      </c>
      <c r="B2359">
        <f>BASE_EQUIPOS!A2359</f>
        <v/>
      </c>
      <c r="C2359">
        <f>BASE_EQUIPOS!B2359</f>
        <v/>
      </c>
      <c r="D2359">
        <f>BASE_EQUIPOS!D2359</f>
        <v/>
      </c>
      <c r="E2359">
        <f>BASE_EQUIPOS!G2359</f>
        <v/>
      </c>
      <c r="F2359">
        <f>BASE_EQUIPOS!H2359</f>
        <v/>
      </c>
      <c r="G2359">
        <f>BASE_EQUIPOS!M2359</f>
        <v/>
      </c>
      <c r="I2359" t="inlineStr">
        <is>
          <t>20/ Y-377991</t>
        </is>
      </c>
    </row>
    <row r="2360">
      <c r="A2360">
        <f>TRIM(BASE_EQUIPOS!N2360)</f>
        <v/>
      </c>
      <c r="B2360">
        <f>BASE_EQUIPOS!A2360</f>
        <v/>
      </c>
      <c r="C2360">
        <f>BASE_EQUIPOS!B2360</f>
        <v/>
      </c>
      <c r="D2360">
        <f>BASE_EQUIPOS!D2360</f>
        <v/>
      </c>
      <c r="E2360">
        <f>BASE_EQUIPOS!G2360</f>
        <v/>
      </c>
      <c r="F2360">
        <f>BASE_EQUIPOS!H2360</f>
        <v/>
      </c>
      <c r="G2360">
        <f>BASE_EQUIPOS!M2360</f>
        <v/>
      </c>
      <c r="I2360" t="inlineStr">
        <is>
          <t>I33850266</t>
        </is>
      </c>
    </row>
    <row r="2361">
      <c r="A2361">
        <f>TRIM(BASE_EQUIPOS!N2361)</f>
        <v/>
      </c>
      <c r="B2361">
        <f>BASE_EQUIPOS!A2361</f>
        <v/>
      </c>
      <c r="C2361">
        <f>BASE_EQUIPOS!B2361</f>
        <v/>
      </c>
      <c r="D2361">
        <f>BASE_EQUIPOS!D2361</f>
        <v/>
      </c>
      <c r="E2361">
        <f>BASE_EQUIPOS!G2361</f>
        <v/>
      </c>
      <c r="F2361">
        <f>BASE_EQUIPOS!H2361</f>
        <v/>
      </c>
      <c r="G2361">
        <f>BASE_EQUIPOS!M2361</f>
        <v/>
      </c>
      <c r="I2361" t="inlineStr">
        <is>
          <t>01/006508</t>
        </is>
      </c>
    </row>
    <row r="2362">
      <c r="A2362">
        <f>TRIM(BASE_EQUIPOS!N2362)</f>
        <v/>
      </c>
      <c r="B2362">
        <f>BASE_EQUIPOS!A2362</f>
        <v/>
      </c>
      <c r="C2362">
        <f>BASE_EQUIPOS!B2362</f>
        <v/>
      </c>
      <c r="D2362">
        <f>BASE_EQUIPOS!D2362</f>
        <v/>
      </c>
      <c r="E2362">
        <f>BASE_EQUIPOS!G2362</f>
        <v/>
      </c>
      <c r="F2362">
        <f>BASE_EQUIPOS!H2362</f>
        <v/>
      </c>
      <c r="G2362">
        <f>BASE_EQUIPOS!M2362</f>
        <v/>
      </c>
      <c r="I2362" t="inlineStr">
        <is>
          <t>02/006316</t>
        </is>
      </c>
    </row>
    <row r="2363">
      <c r="A2363">
        <f>TRIM(BASE_EQUIPOS!N2363)</f>
        <v/>
      </c>
      <c r="B2363">
        <f>BASE_EQUIPOS!A2363</f>
        <v/>
      </c>
      <c r="C2363">
        <f>BASE_EQUIPOS!B2363</f>
        <v/>
      </c>
      <c r="D2363">
        <f>BASE_EQUIPOS!D2363</f>
        <v/>
      </c>
      <c r="E2363">
        <f>BASE_EQUIPOS!G2363</f>
        <v/>
      </c>
      <c r="F2363">
        <f>BASE_EQUIPOS!H2363</f>
        <v/>
      </c>
      <c r="G2363">
        <f>BASE_EQUIPOS!M2363</f>
        <v/>
      </c>
      <c r="I2363" t="inlineStr">
        <is>
          <t>03/006383</t>
        </is>
      </c>
    </row>
    <row r="2364">
      <c r="A2364">
        <f>TRIM(BASE_EQUIPOS!N2364)</f>
        <v/>
      </c>
      <c r="B2364">
        <f>BASE_EQUIPOS!A2364</f>
        <v/>
      </c>
      <c r="C2364">
        <f>BASE_EQUIPOS!B2364</f>
        <v/>
      </c>
      <c r="D2364">
        <f>BASE_EQUIPOS!D2364</f>
        <v/>
      </c>
      <c r="E2364">
        <f>BASE_EQUIPOS!G2364</f>
        <v/>
      </c>
      <c r="F2364">
        <f>BASE_EQUIPOS!H2364</f>
        <v/>
      </c>
      <c r="G2364">
        <f>BASE_EQUIPOS!M2364</f>
        <v/>
      </c>
      <c r="I2364" t="inlineStr">
        <is>
          <t>04/006857</t>
        </is>
      </c>
    </row>
    <row r="2365">
      <c r="A2365">
        <f>TRIM(BASE_EQUIPOS!N2365)</f>
        <v/>
      </c>
      <c r="B2365">
        <f>BASE_EQUIPOS!A2365</f>
        <v/>
      </c>
      <c r="C2365">
        <f>BASE_EQUIPOS!B2365</f>
        <v/>
      </c>
      <c r="D2365">
        <f>BASE_EQUIPOS!D2365</f>
        <v/>
      </c>
      <c r="E2365">
        <f>BASE_EQUIPOS!G2365</f>
        <v/>
      </c>
      <c r="F2365">
        <f>BASE_EQUIPOS!H2365</f>
        <v/>
      </c>
      <c r="G2365">
        <f>BASE_EQUIPOS!M2365</f>
        <v/>
      </c>
      <c r="I2365" t="inlineStr">
        <is>
          <t>63/002071</t>
        </is>
      </c>
    </row>
    <row r="2366">
      <c r="A2366">
        <f>TRIM(BASE_EQUIPOS!N2366)</f>
        <v/>
      </c>
      <c r="B2366">
        <f>BASE_EQUIPOS!A2366</f>
        <v/>
      </c>
      <c r="C2366">
        <f>BASE_EQUIPOS!B2366</f>
        <v/>
      </c>
      <c r="D2366">
        <f>BASE_EQUIPOS!D2366</f>
        <v/>
      </c>
      <c r="E2366">
        <f>BASE_EQUIPOS!G2366</f>
        <v/>
      </c>
      <c r="F2366">
        <f>BASE_EQUIPOS!H2366</f>
        <v/>
      </c>
      <c r="G2366">
        <f>BASE_EQUIPOS!M2366</f>
        <v/>
      </c>
      <c r="I2366" t="inlineStr">
        <is>
          <t>272/000598</t>
        </is>
      </c>
    </row>
    <row r="2367">
      <c r="A2367">
        <f>TRIM(BASE_EQUIPOS!N2367)</f>
        <v/>
      </c>
      <c r="B2367">
        <f>BASE_EQUIPOS!A2367</f>
        <v/>
      </c>
      <c r="C2367">
        <f>BASE_EQUIPOS!B2367</f>
        <v/>
      </c>
      <c r="D2367">
        <f>BASE_EQUIPOS!D2367</f>
        <v/>
      </c>
      <c r="E2367">
        <f>BASE_EQUIPOS!G2367</f>
        <v/>
      </c>
      <c r="F2367">
        <f>BASE_EQUIPOS!H2367</f>
        <v/>
      </c>
      <c r="G2367">
        <f>BASE_EQUIPOS!M2367</f>
        <v/>
      </c>
      <c r="I2367" t="inlineStr">
        <is>
          <t>21/000005</t>
        </is>
      </c>
    </row>
    <row r="2368">
      <c r="A2368">
        <f>TRIM(BASE_EQUIPOS!N2368)</f>
        <v/>
      </c>
      <c r="B2368">
        <f>BASE_EQUIPOS!A2368</f>
        <v/>
      </c>
      <c r="C2368">
        <f>BASE_EQUIPOS!B2368</f>
        <v/>
      </c>
      <c r="D2368">
        <f>BASE_EQUIPOS!D2368</f>
        <v/>
      </c>
      <c r="E2368">
        <f>BASE_EQUIPOS!G2368</f>
        <v/>
      </c>
      <c r="F2368">
        <f>BASE_EQUIPOS!H2368</f>
        <v/>
      </c>
      <c r="G2368">
        <f>BASE_EQUIPOS!M2368</f>
        <v/>
      </c>
      <c r="I2368" t="inlineStr">
        <is>
          <t>164/002173</t>
        </is>
      </c>
    </row>
    <row r="2369">
      <c r="A2369">
        <f>TRIM(BASE_EQUIPOS!N2369)</f>
        <v/>
      </c>
      <c r="B2369">
        <f>BASE_EQUIPOS!A2369</f>
        <v/>
      </c>
      <c r="C2369">
        <f>BASE_EQUIPOS!B2369</f>
        <v/>
      </c>
      <c r="D2369">
        <f>BASE_EQUIPOS!D2369</f>
        <v/>
      </c>
      <c r="E2369">
        <f>BASE_EQUIPOS!G2369</f>
        <v/>
      </c>
      <c r="F2369">
        <f>BASE_EQUIPOS!H2369</f>
        <v/>
      </c>
      <c r="G2369">
        <f>BASE_EQUIPOS!M2369</f>
        <v/>
      </c>
      <c r="I2369" t="inlineStr">
        <is>
          <t>269/000496</t>
        </is>
      </c>
    </row>
    <row r="2370">
      <c r="A2370">
        <f>TRIM(BASE_EQUIPOS!N2370)</f>
        <v/>
      </c>
      <c r="B2370">
        <f>BASE_EQUIPOS!A2370</f>
        <v/>
      </c>
      <c r="C2370">
        <f>BASE_EQUIPOS!B2370</f>
        <v/>
      </c>
      <c r="D2370">
        <f>BASE_EQUIPOS!D2370</f>
        <v/>
      </c>
      <c r="E2370">
        <f>BASE_EQUIPOS!G2370</f>
        <v/>
      </c>
      <c r="F2370">
        <f>BASE_EQUIPOS!H2370</f>
        <v/>
      </c>
      <c r="G2370">
        <f>BASE_EQUIPOS!M2370</f>
        <v/>
      </c>
      <c r="I2370" t="inlineStr">
        <is>
          <t>113/201005</t>
        </is>
      </c>
    </row>
    <row r="2371">
      <c r="A2371">
        <f>TRIM(BASE_EQUIPOS!N2371)</f>
        <v/>
      </c>
      <c r="B2371">
        <f>BASE_EQUIPOS!A2371</f>
        <v/>
      </c>
      <c r="C2371">
        <f>BASE_EQUIPOS!B2371</f>
        <v/>
      </c>
      <c r="D2371">
        <f>BASE_EQUIPOS!D2371</f>
        <v/>
      </c>
      <c r="E2371">
        <f>BASE_EQUIPOS!G2371</f>
        <v/>
      </c>
      <c r="F2371">
        <f>BASE_EQUIPOS!H2371</f>
        <v/>
      </c>
      <c r="G2371">
        <f>BASE_EQUIPOS!M2371</f>
        <v/>
      </c>
      <c r="I2371" t="inlineStr">
        <is>
          <t>355/001330</t>
        </is>
      </c>
    </row>
    <row r="2372">
      <c r="A2372">
        <f>TRIM(BASE_EQUIPOS!N2372)</f>
        <v/>
      </c>
      <c r="B2372">
        <f>BASE_EQUIPOS!A2372</f>
        <v/>
      </c>
      <c r="C2372">
        <f>BASE_EQUIPOS!B2372</f>
        <v/>
      </c>
      <c r="D2372">
        <f>BASE_EQUIPOS!D2372</f>
        <v/>
      </c>
      <c r="E2372">
        <f>BASE_EQUIPOS!G2372</f>
        <v/>
      </c>
      <c r="F2372">
        <f>BASE_EQUIPOS!H2372</f>
        <v/>
      </c>
      <c r="G2372">
        <f>BASE_EQUIPOS!M2372</f>
        <v/>
      </c>
      <c r="I2372" t="inlineStr">
        <is>
          <t>44/001353</t>
        </is>
      </c>
    </row>
    <row r="2373">
      <c r="A2373">
        <f>TRIM(BASE_EQUIPOS!N2373)</f>
        <v/>
      </c>
      <c r="B2373">
        <f>BASE_EQUIPOS!A2373</f>
        <v/>
      </c>
      <c r="C2373">
        <f>BASE_EQUIPOS!B2373</f>
        <v/>
      </c>
      <c r="D2373">
        <f>BASE_EQUIPOS!D2373</f>
        <v/>
      </c>
      <c r="E2373">
        <f>BASE_EQUIPOS!G2373</f>
        <v/>
      </c>
      <c r="F2373">
        <f>BASE_EQUIPOS!H2373</f>
        <v/>
      </c>
      <c r="G2373">
        <f>BASE_EQUIPOS!M2373</f>
        <v/>
      </c>
      <c r="I2373" t="inlineStr">
        <is>
          <t>200/000173</t>
        </is>
      </c>
    </row>
    <row r="2374">
      <c r="A2374">
        <f>TRIM(BASE_EQUIPOS!N2374)</f>
        <v/>
      </c>
      <c r="B2374">
        <f>BASE_EQUIPOS!A2374</f>
        <v/>
      </c>
      <c r="C2374">
        <f>BASE_EQUIPOS!B2374</f>
        <v/>
      </c>
      <c r="D2374">
        <f>BASE_EQUIPOS!D2374</f>
        <v/>
      </c>
      <c r="E2374">
        <f>BASE_EQUIPOS!G2374</f>
        <v/>
      </c>
      <c r="F2374">
        <f>BASE_EQUIPOS!H2374</f>
        <v/>
      </c>
      <c r="G2374">
        <f>BASE_EQUIPOS!M2374</f>
        <v/>
      </c>
      <c r="I2374" t="inlineStr">
        <is>
          <t>31/000345</t>
        </is>
      </c>
    </row>
    <row r="2375">
      <c r="A2375">
        <f>TRIM(BASE_EQUIPOS!N2375)</f>
        <v/>
      </c>
      <c r="B2375">
        <f>BASE_EQUIPOS!A2375</f>
        <v/>
      </c>
      <c r="C2375">
        <f>BASE_EQUIPOS!B2375</f>
        <v/>
      </c>
      <c r="D2375">
        <f>BASE_EQUIPOS!D2375</f>
        <v/>
      </c>
      <c r="E2375">
        <f>BASE_EQUIPOS!G2375</f>
        <v/>
      </c>
      <c r="F2375">
        <f>BASE_EQUIPOS!H2375</f>
        <v/>
      </c>
      <c r="G2375">
        <f>BASE_EQUIPOS!M2375</f>
        <v/>
      </c>
      <c r="I2375" t="inlineStr">
        <is>
          <t>01/001462</t>
        </is>
      </c>
    </row>
    <row r="2376">
      <c r="A2376">
        <f>TRIM(BASE_EQUIPOS!N2376)</f>
        <v/>
      </c>
      <c r="B2376">
        <f>BASE_EQUIPOS!A2376</f>
        <v/>
      </c>
      <c r="C2376">
        <f>BASE_EQUIPOS!B2376</f>
        <v/>
      </c>
      <c r="D2376">
        <f>BASE_EQUIPOS!D2376</f>
        <v/>
      </c>
      <c r="E2376">
        <f>BASE_EQUIPOS!G2376</f>
        <v/>
      </c>
      <c r="F2376">
        <f>BASE_EQUIPOS!H2376</f>
        <v/>
      </c>
      <c r="G2376">
        <f>BASE_EQUIPOS!M2376</f>
        <v/>
      </c>
      <c r="I2376" t="inlineStr">
        <is>
          <t>02/001443</t>
        </is>
      </c>
    </row>
    <row r="2377">
      <c r="A2377">
        <f>TRIM(BASE_EQUIPOS!N2377)</f>
        <v/>
      </c>
      <c r="B2377">
        <f>BASE_EQUIPOS!A2377</f>
        <v/>
      </c>
      <c r="C2377">
        <f>BASE_EQUIPOS!B2377</f>
        <v/>
      </c>
      <c r="D2377">
        <f>BASE_EQUIPOS!D2377</f>
        <v/>
      </c>
      <c r="E2377">
        <f>BASE_EQUIPOS!G2377</f>
        <v/>
      </c>
      <c r="F2377">
        <f>BASE_EQUIPOS!H2377</f>
        <v/>
      </c>
      <c r="G2377">
        <f>BASE_EQUIPOS!M2377</f>
        <v/>
      </c>
      <c r="I2377" t="inlineStr">
        <is>
          <t>03/001470</t>
        </is>
      </c>
    </row>
    <row r="2378">
      <c r="A2378">
        <f>TRIM(BASE_EQUIPOS!N2378)</f>
        <v/>
      </c>
      <c r="B2378">
        <f>BASE_EQUIPOS!A2378</f>
        <v/>
      </c>
      <c r="C2378">
        <f>BASE_EQUIPOS!B2378</f>
        <v/>
      </c>
      <c r="D2378">
        <f>BASE_EQUIPOS!D2378</f>
        <v/>
      </c>
      <c r="E2378">
        <f>BASE_EQUIPOS!G2378</f>
        <v/>
      </c>
      <c r="F2378">
        <f>BASE_EQUIPOS!H2378</f>
        <v/>
      </c>
      <c r="G2378">
        <f>BASE_EQUIPOS!M2378</f>
        <v/>
      </c>
      <c r="I2378" t="inlineStr">
        <is>
          <t>04/001484</t>
        </is>
      </c>
    </row>
    <row r="2379">
      <c r="A2379">
        <f>TRIM(BASE_EQUIPOS!N2379)</f>
        <v/>
      </c>
      <c r="B2379">
        <f>BASE_EQUIPOS!A2379</f>
        <v/>
      </c>
      <c r="C2379">
        <f>BASE_EQUIPOS!B2379</f>
        <v/>
      </c>
      <c r="D2379">
        <f>BASE_EQUIPOS!D2379</f>
        <v/>
      </c>
      <c r="E2379">
        <f>BASE_EQUIPOS!G2379</f>
        <v/>
      </c>
      <c r="F2379">
        <f>BASE_EQUIPOS!H2379</f>
        <v/>
      </c>
      <c r="G2379">
        <f>BASE_EQUIPOS!M2379</f>
        <v/>
      </c>
      <c r="I2379" t="inlineStr">
        <is>
          <t>05/001461</t>
        </is>
      </c>
    </row>
    <row r="2380">
      <c r="A2380">
        <f>TRIM(BASE_EQUIPOS!N2380)</f>
        <v/>
      </c>
      <c r="B2380">
        <f>BASE_EQUIPOS!A2380</f>
        <v/>
      </c>
      <c r="C2380">
        <f>BASE_EQUIPOS!B2380</f>
        <v/>
      </c>
      <c r="D2380">
        <f>BASE_EQUIPOS!D2380</f>
        <v/>
      </c>
      <c r="E2380">
        <f>BASE_EQUIPOS!G2380</f>
        <v/>
      </c>
      <c r="F2380">
        <f>BASE_EQUIPOS!H2380</f>
        <v/>
      </c>
      <c r="G2380">
        <f>BASE_EQUIPOS!M2380</f>
        <v/>
      </c>
      <c r="I2380" t="inlineStr">
        <is>
          <t>06/001481</t>
        </is>
      </c>
    </row>
    <row r="2381">
      <c r="A2381">
        <f>TRIM(BASE_EQUIPOS!N2381)</f>
        <v/>
      </c>
      <c r="B2381">
        <f>BASE_EQUIPOS!A2381</f>
        <v/>
      </c>
      <c r="C2381">
        <f>BASE_EQUIPOS!B2381</f>
        <v/>
      </c>
      <c r="D2381">
        <f>BASE_EQUIPOS!D2381</f>
        <v/>
      </c>
      <c r="E2381">
        <f>BASE_EQUIPOS!G2381</f>
        <v/>
      </c>
      <c r="F2381">
        <f>BASE_EQUIPOS!H2381</f>
        <v/>
      </c>
      <c r="G2381">
        <f>BASE_EQUIPOS!M2381</f>
        <v/>
      </c>
      <c r="I2381" t="inlineStr">
        <is>
          <t>07/001473</t>
        </is>
      </c>
    </row>
    <row r="2382">
      <c r="A2382">
        <f>TRIM(BASE_EQUIPOS!N2382)</f>
        <v/>
      </c>
      <c r="B2382">
        <f>BASE_EQUIPOS!A2382</f>
        <v/>
      </c>
      <c r="C2382">
        <f>BASE_EQUIPOS!B2382</f>
        <v/>
      </c>
      <c r="D2382">
        <f>BASE_EQUIPOS!D2382</f>
        <v/>
      </c>
      <c r="E2382">
        <f>BASE_EQUIPOS!G2382</f>
        <v/>
      </c>
      <c r="F2382">
        <f>BASE_EQUIPOS!H2382</f>
        <v/>
      </c>
      <c r="G2382">
        <f>BASE_EQUIPOS!M2382</f>
        <v/>
      </c>
      <c r="I2382" t="inlineStr">
        <is>
          <t>08/000259</t>
        </is>
      </c>
    </row>
    <row r="2383">
      <c r="A2383">
        <f>TRIM(BASE_EQUIPOS!N2383)</f>
        <v/>
      </c>
      <c r="B2383">
        <f>BASE_EQUIPOS!A2383</f>
        <v/>
      </c>
      <c r="C2383">
        <f>BASE_EQUIPOS!B2383</f>
        <v/>
      </c>
      <c r="D2383">
        <f>BASE_EQUIPOS!D2383</f>
        <v/>
      </c>
      <c r="E2383">
        <f>BASE_EQUIPOS!G2383</f>
        <v/>
      </c>
      <c r="F2383">
        <f>BASE_EQUIPOS!H2383</f>
        <v/>
      </c>
      <c r="G2383">
        <f>BASE_EQUIPOS!M2383</f>
        <v/>
      </c>
      <c r="I2383" t="inlineStr">
        <is>
          <t>01/049099</t>
        </is>
      </c>
    </row>
    <row r="2384">
      <c r="A2384">
        <f>TRIM(BASE_EQUIPOS!N2384)</f>
        <v/>
      </c>
      <c r="B2384">
        <f>BASE_EQUIPOS!A2384</f>
        <v/>
      </c>
      <c r="C2384">
        <f>BASE_EQUIPOS!B2384</f>
        <v/>
      </c>
      <c r="D2384">
        <f>BASE_EQUIPOS!D2384</f>
        <v/>
      </c>
      <c r="E2384">
        <f>BASE_EQUIPOS!G2384</f>
        <v/>
      </c>
      <c r="F2384">
        <f>BASE_EQUIPOS!H2384</f>
        <v/>
      </c>
      <c r="G2384">
        <f>BASE_EQUIPOS!M2384</f>
        <v/>
      </c>
      <c r="I2384" t="inlineStr">
        <is>
          <t>02/002594</t>
        </is>
      </c>
    </row>
    <row r="2385">
      <c r="A2385">
        <f>TRIM(BASE_EQUIPOS!N2385)</f>
        <v/>
      </c>
      <c r="B2385">
        <f>BASE_EQUIPOS!A2385</f>
        <v/>
      </c>
      <c r="C2385">
        <f>BASE_EQUIPOS!B2385</f>
        <v/>
      </c>
      <c r="D2385">
        <f>BASE_EQUIPOS!D2385</f>
        <v/>
      </c>
      <c r="E2385">
        <f>BASE_EQUIPOS!G2385</f>
        <v/>
      </c>
      <c r="F2385">
        <f>BASE_EQUIPOS!H2385</f>
        <v/>
      </c>
      <c r="G2385">
        <f>BASE_EQUIPOS!M2385</f>
        <v/>
      </c>
      <c r="I2385" t="inlineStr">
        <is>
          <t>03/049377</t>
        </is>
      </c>
    </row>
    <row r="2386">
      <c r="A2386">
        <f>TRIM(BASE_EQUIPOS!N2386)</f>
        <v/>
      </c>
      <c r="B2386">
        <f>BASE_EQUIPOS!A2386</f>
        <v/>
      </c>
      <c r="C2386">
        <f>BASE_EQUIPOS!B2386</f>
        <v/>
      </c>
      <c r="D2386">
        <f>BASE_EQUIPOS!D2386</f>
        <v/>
      </c>
      <c r="E2386">
        <f>BASE_EQUIPOS!G2386</f>
        <v/>
      </c>
      <c r="F2386">
        <f>BASE_EQUIPOS!H2386</f>
        <v/>
      </c>
      <c r="G2386">
        <f>BASE_EQUIPOS!M2386</f>
        <v/>
      </c>
      <c r="I2386" t="inlineStr">
        <is>
          <t>04/001458</t>
        </is>
      </c>
    </row>
    <row r="2387">
      <c r="A2387">
        <f>TRIM(BASE_EQUIPOS!N2387)</f>
        <v/>
      </c>
      <c r="B2387">
        <f>BASE_EQUIPOS!A2387</f>
        <v/>
      </c>
      <c r="C2387">
        <f>BASE_EQUIPOS!B2387</f>
        <v/>
      </c>
      <c r="D2387">
        <f>BASE_EQUIPOS!D2387</f>
        <v/>
      </c>
      <c r="E2387">
        <f>BASE_EQUIPOS!G2387</f>
        <v/>
      </c>
      <c r="F2387">
        <f>BASE_EQUIPOS!H2387</f>
        <v/>
      </c>
      <c r="G2387">
        <f>BASE_EQUIPOS!M2387</f>
        <v/>
      </c>
      <c r="I2387" t="inlineStr">
        <is>
          <t>223/001170</t>
        </is>
      </c>
    </row>
    <row r="2388">
      <c r="A2388">
        <f>TRIM(BASE_EQUIPOS!N2388)</f>
        <v/>
      </c>
      <c r="B2388">
        <f>BASE_EQUIPOS!A2388</f>
        <v/>
      </c>
      <c r="C2388">
        <f>BASE_EQUIPOS!B2388</f>
        <v/>
      </c>
      <c r="D2388">
        <f>BASE_EQUIPOS!D2388</f>
        <v/>
      </c>
      <c r="E2388">
        <f>BASE_EQUIPOS!G2388</f>
        <v/>
      </c>
      <c r="F2388">
        <f>BASE_EQUIPOS!H2388</f>
        <v/>
      </c>
      <c r="G2388">
        <f>BASE_EQUIPOS!M2388</f>
        <v/>
      </c>
      <c r="I2388" t="inlineStr">
        <is>
          <t>389/000783</t>
        </is>
      </c>
    </row>
    <row r="2389">
      <c r="A2389">
        <f>TRIM(BASE_EQUIPOS!N2389)</f>
        <v/>
      </c>
      <c r="B2389">
        <f>BASE_EQUIPOS!A2389</f>
        <v/>
      </c>
      <c r="C2389">
        <f>BASE_EQUIPOS!B2389</f>
        <v/>
      </c>
      <c r="D2389">
        <f>BASE_EQUIPOS!D2389</f>
        <v/>
      </c>
      <c r="E2389">
        <f>BASE_EQUIPOS!G2389</f>
        <v/>
      </c>
      <c r="F2389">
        <f>BASE_EQUIPOS!H2389</f>
        <v/>
      </c>
      <c r="G2389">
        <f>BASE_EQUIPOS!M2389</f>
        <v/>
      </c>
      <c r="I2389" t="inlineStr">
        <is>
          <t>143/003851</t>
        </is>
      </c>
    </row>
    <row r="2390">
      <c r="A2390">
        <f>TRIM(BASE_EQUIPOS!N2390)</f>
        <v/>
      </c>
      <c r="B2390">
        <f>BASE_EQUIPOS!A2390</f>
        <v/>
      </c>
      <c r="C2390">
        <f>BASE_EQUIPOS!B2390</f>
        <v/>
      </c>
      <c r="D2390">
        <f>BASE_EQUIPOS!D2390</f>
        <v/>
      </c>
      <c r="E2390">
        <f>BASE_EQUIPOS!G2390</f>
        <v/>
      </c>
      <c r="F2390">
        <f>BASE_EQUIPOS!H2390</f>
        <v/>
      </c>
      <c r="G2390">
        <f>BASE_EQUIPOS!M2390</f>
        <v/>
      </c>
      <c r="I2390" t="inlineStr">
        <is>
          <t>346/006495</t>
        </is>
      </c>
    </row>
    <row r="2391">
      <c r="A2391">
        <f>TRIM(BASE_EQUIPOS!N2391)</f>
        <v/>
      </c>
      <c r="B2391">
        <f>BASE_EQUIPOS!A2391</f>
        <v/>
      </c>
      <c r="C2391">
        <f>BASE_EQUIPOS!B2391</f>
        <v/>
      </c>
      <c r="D2391">
        <f>BASE_EQUIPOS!D2391</f>
        <v/>
      </c>
      <c r="E2391">
        <f>BASE_EQUIPOS!G2391</f>
        <v/>
      </c>
      <c r="F2391">
        <f>BASE_EQUIPOS!H2391</f>
        <v/>
      </c>
      <c r="G2391">
        <f>BASE_EQUIPOS!M2391</f>
        <v/>
      </c>
      <c r="I2391" t="inlineStr">
        <is>
          <t>146/002978</t>
        </is>
      </c>
    </row>
    <row r="2392">
      <c r="A2392">
        <f>TRIM(BASE_EQUIPOS!N2392)</f>
        <v/>
      </c>
      <c r="B2392">
        <f>BASE_EQUIPOS!A2392</f>
        <v/>
      </c>
      <c r="C2392">
        <f>BASE_EQUIPOS!B2392</f>
        <v/>
      </c>
      <c r="D2392">
        <f>BASE_EQUIPOS!D2392</f>
        <v/>
      </c>
      <c r="E2392">
        <f>BASE_EQUIPOS!G2392</f>
        <v/>
      </c>
      <c r="F2392">
        <f>BASE_EQUIPOS!H2392</f>
        <v/>
      </c>
      <c r="G2392">
        <f>BASE_EQUIPOS!M2392</f>
        <v/>
      </c>
      <c r="I2392" t="inlineStr">
        <is>
          <t>01/006750</t>
        </is>
      </c>
    </row>
    <row r="2393">
      <c r="A2393">
        <f>TRIM(BASE_EQUIPOS!N2393)</f>
        <v/>
      </c>
      <c r="B2393">
        <f>BASE_EQUIPOS!A2393</f>
        <v/>
      </c>
      <c r="C2393">
        <f>BASE_EQUIPOS!B2393</f>
        <v/>
      </c>
      <c r="D2393">
        <f>BASE_EQUIPOS!D2393</f>
        <v/>
      </c>
      <c r="E2393">
        <f>BASE_EQUIPOS!G2393</f>
        <v/>
      </c>
      <c r="F2393">
        <f>BASE_EQUIPOS!H2393</f>
        <v/>
      </c>
      <c r="G2393">
        <f>BASE_EQUIPOS!M2393</f>
        <v/>
      </c>
      <c r="I2393" t="inlineStr">
        <is>
          <t>02/007303</t>
        </is>
      </c>
    </row>
    <row r="2394">
      <c r="A2394">
        <f>TRIM(BASE_EQUIPOS!N2394)</f>
        <v/>
      </c>
      <c r="B2394">
        <f>BASE_EQUIPOS!A2394</f>
        <v/>
      </c>
      <c r="C2394">
        <f>BASE_EQUIPOS!B2394</f>
        <v/>
      </c>
      <c r="D2394">
        <f>BASE_EQUIPOS!D2394</f>
        <v/>
      </c>
      <c r="E2394">
        <f>BASE_EQUIPOS!G2394</f>
        <v/>
      </c>
      <c r="F2394">
        <f>BASE_EQUIPOS!H2394</f>
        <v/>
      </c>
      <c r="G2394">
        <f>BASE_EQUIPOS!M2394</f>
        <v/>
      </c>
      <c r="I2394" t="inlineStr">
        <is>
          <t>03/000442</t>
        </is>
      </c>
    </row>
    <row r="2395">
      <c r="A2395">
        <f>TRIM(BASE_EQUIPOS!N2395)</f>
        <v/>
      </c>
      <c r="B2395">
        <f>BASE_EQUIPOS!A2395</f>
        <v/>
      </c>
      <c r="C2395">
        <f>BASE_EQUIPOS!B2395</f>
        <v/>
      </c>
      <c r="D2395">
        <f>BASE_EQUIPOS!D2395</f>
        <v/>
      </c>
      <c r="E2395">
        <f>BASE_EQUIPOS!G2395</f>
        <v/>
      </c>
      <c r="F2395">
        <f>BASE_EQUIPOS!H2395</f>
        <v/>
      </c>
      <c r="G2395">
        <f>BASE_EQUIPOS!M2395</f>
        <v/>
      </c>
      <c r="I2395" t="inlineStr">
        <is>
          <t>04/003299</t>
        </is>
      </c>
    </row>
    <row r="2396">
      <c r="A2396">
        <f>TRIM(BASE_EQUIPOS!N2396)</f>
        <v/>
      </c>
      <c r="B2396">
        <f>BASE_EQUIPOS!A2396</f>
        <v/>
      </c>
      <c r="C2396">
        <f>BASE_EQUIPOS!B2396</f>
        <v/>
      </c>
      <c r="D2396">
        <f>BASE_EQUIPOS!D2396</f>
        <v/>
      </c>
      <c r="E2396">
        <f>BASE_EQUIPOS!G2396</f>
        <v/>
      </c>
      <c r="F2396">
        <f>BASE_EQUIPOS!H2396</f>
        <v/>
      </c>
      <c r="G2396">
        <f>BASE_EQUIPOS!M2396</f>
        <v/>
      </c>
      <c r="I2396" t="inlineStr">
        <is>
          <t>05/076088</t>
        </is>
      </c>
    </row>
    <row r="2397">
      <c r="A2397">
        <f>TRIM(BASE_EQUIPOS!N2397)</f>
        <v/>
      </c>
      <c r="B2397">
        <f>BASE_EQUIPOS!A2397</f>
        <v/>
      </c>
      <c r="C2397">
        <f>BASE_EQUIPOS!B2397</f>
        <v/>
      </c>
      <c r="D2397">
        <f>BASE_EQUIPOS!D2397</f>
        <v/>
      </c>
      <c r="E2397">
        <f>BASE_EQUIPOS!G2397</f>
        <v/>
      </c>
      <c r="F2397">
        <f>BASE_EQUIPOS!H2397</f>
        <v/>
      </c>
      <c r="G2397">
        <f>BASE_EQUIPOS!M2397</f>
        <v/>
      </c>
      <c r="I2397" t="inlineStr">
        <is>
          <t>149/009608</t>
        </is>
      </c>
    </row>
    <row r="2398">
      <c r="A2398">
        <f>TRIM(BASE_EQUIPOS!N2398)</f>
        <v/>
      </c>
      <c r="B2398">
        <f>BASE_EQUIPOS!A2398</f>
        <v/>
      </c>
      <c r="C2398">
        <f>BASE_EQUIPOS!B2398</f>
        <v/>
      </c>
      <c r="D2398">
        <f>BASE_EQUIPOS!D2398</f>
        <v/>
      </c>
      <c r="E2398">
        <f>BASE_EQUIPOS!G2398</f>
        <v/>
      </c>
      <c r="F2398">
        <f>BASE_EQUIPOS!H2398</f>
        <v/>
      </c>
      <c r="G2398">
        <f>BASE_EQUIPOS!M2398</f>
        <v/>
      </c>
      <c r="I2398" t="inlineStr">
        <is>
          <t>183/001640</t>
        </is>
      </c>
    </row>
    <row r="2399">
      <c r="A2399">
        <f>TRIM(BASE_EQUIPOS!N2399)</f>
        <v/>
      </c>
      <c r="B2399">
        <f>BASE_EQUIPOS!A2399</f>
        <v/>
      </c>
      <c r="C2399">
        <f>BASE_EQUIPOS!B2399</f>
        <v/>
      </c>
      <c r="D2399">
        <f>BASE_EQUIPOS!D2399</f>
        <v/>
      </c>
      <c r="E2399">
        <f>BASE_EQUIPOS!G2399</f>
        <v/>
      </c>
      <c r="F2399">
        <f>BASE_EQUIPOS!H2399</f>
        <v/>
      </c>
      <c r="G2399">
        <f>BASE_EQUIPOS!M2399</f>
        <v/>
      </c>
      <c r="I2399" t="inlineStr">
        <is>
          <t>184/006689</t>
        </is>
      </c>
    </row>
    <row r="2400">
      <c r="A2400">
        <f>TRIM(BASE_EQUIPOS!N2400)</f>
        <v/>
      </c>
      <c r="B2400">
        <f>BASE_EQUIPOS!A2400</f>
        <v/>
      </c>
      <c r="C2400">
        <f>BASE_EQUIPOS!B2400</f>
        <v/>
      </c>
      <c r="D2400">
        <f>BASE_EQUIPOS!D2400</f>
        <v/>
      </c>
      <c r="E2400">
        <f>BASE_EQUIPOS!G2400</f>
        <v/>
      </c>
      <c r="F2400">
        <f>BASE_EQUIPOS!H2400</f>
        <v/>
      </c>
      <c r="G2400">
        <f>BASE_EQUIPOS!M2400</f>
        <v/>
      </c>
      <c r="I2400" t="inlineStr">
        <is>
          <t>226/001739</t>
        </is>
      </c>
    </row>
    <row r="2401">
      <c r="A2401">
        <f>TRIM(BASE_EQUIPOS!N2401)</f>
        <v/>
      </c>
      <c r="B2401">
        <f>BASE_EQUIPOS!A2401</f>
        <v/>
      </c>
      <c r="C2401">
        <f>BASE_EQUIPOS!B2401</f>
        <v/>
      </c>
      <c r="D2401">
        <f>BASE_EQUIPOS!D2401</f>
        <v/>
      </c>
      <c r="E2401">
        <f>BASE_EQUIPOS!G2401</f>
        <v/>
      </c>
      <c r="F2401">
        <f>BASE_EQUIPOS!H2401</f>
        <v/>
      </c>
      <c r="G2401">
        <f>BASE_EQUIPOS!M2401</f>
        <v/>
      </c>
      <c r="I2401" t="inlineStr">
        <is>
          <t>286/001421</t>
        </is>
      </c>
    </row>
    <row r="2402">
      <c r="A2402">
        <f>TRIM(BASE_EQUIPOS!N2402)</f>
        <v/>
      </c>
      <c r="B2402">
        <f>BASE_EQUIPOS!A2402</f>
        <v/>
      </c>
      <c r="C2402">
        <f>BASE_EQUIPOS!B2402</f>
        <v/>
      </c>
      <c r="D2402">
        <f>BASE_EQUIPOS!D2402</f>
        <v/>
      </c>
      <c r="E2402">
        <f>BASE_EQUIPOS!G2402</f>
        <v/>
      </c>
      <c r="F2402">
        <f>BASE_EQUIPOS!H2402</f>
        <v/>
      </c>
      <c r="G2402">
        <f>BASE_EQUIPOS!M2402</f>
        <v/>
      </c>
      <c r="I2402" t="inlineStr">
        <is>
          <t>287/000690</t>
        </is>
      </c>
    </row>
    <row r="2403">
      <c r="A2403">
        <f>TRIM(BASE_EQUIPOS!N2403)</f>
        <v/>
      </c>
      <c r="B2403">
        <f>BASE_EQUIPOS!A2403</f>
        <v/>
      </c>
      <c r="C2403">
        <f>BASE_EQUIPOS!B2403</f>
        <v/>
      </c>
      <c r="D2403">
        <f>BASE_EQUIPOS!D2403</f>
        <v/>
      </c>
      <c r="E2403">
        <f>BASE_EQUIPOS!G2403</f>
        <v/>
      </c>
      <c r="F2403">
        <f>BASE_EQUIPOS!H2403</f>
        <v/>
      </c>
      <c r="G2403">
        <f>BASE_EQUIPOS!M2403</f>
        <v/>
      </c>
      <c r="I2403" t="inlineStr">
        <is>
          <t>115/194056</t>
        </is>
      </c>
    </row>
    <row r="2404">
      <c r="A2404">
        <f>TRIM(BASE_EQUIPOS!N2404)</f>
        <v/>
      </c>
      <c r="B2404">
        <f>BASE_EQUIPOS!A2404</f>
        <v/>
      </c>
      <c r="C2404">
        <f>BASE_EQUIPOS!B2404</f>
        <v/>
      </c>
      <c r="D2404">
        <f>BASE_EQUIPOS!D2404</f>
        <v/>
      </c>
      <c r="E2404">
        <f>BASE_EQUIPOS!G2404</f>
        <v/>
      </c>
      <c r="F2404">
        <f>BASE_EQUIPOS!H2404</f>
        <v/>
      </c>
      <c r="G2404">
        <f>BASE_EQUIPOS!M2404</f>
        <v/>
      </c>
      <c r="I2404" t="inlineStr">
        <is>
          <t>213/000978</t>
        </is>
      </c>
    </row>
    <row r="2405">
      <c r="A2405">
        <f>TRIM(BASE_EQUIPOS!N2405)</f>
        <v/>
      </c>
      <c r="B2405">
        <f>BASE_EQUIPOS!A2405</f>
        <v/>
      </c>
      <c r="C2405">
        <f>BASE_EQUIPOS!B2405</f>
        <v/>
      </c>
      <c r="D2405">
        <f>BASE_EQUIPOS!D2405</f>
        <v/>
      </c>
      <c r="E2405">
        <f>BASE_EQUIPOS!G2405</f>
        <v/>
      </c>
      <c r="F2405">
        <f>BASE_EQUIPOS!H2405</f>
        <v/>
      </c>
      <c r="G2405">
        <f>BASE_EQUIPOS!M2405</f>
        <v/>
      </c>
      <c r="I2405" t="inlineStr">
        <is>
          <t>48/000077</t>
        </is>
      </c>
    </row>
    <row r="2406">
      <c r="A2406">
        <f>TRIM(BASE_EQUIPOS!N2406)</f>
        <v/>
      </c>
      <c r="B2406">
        <f>BASE_EQUIPOS!A2406</f>
        <v/>
      </c>
      <c r="C2406">
        <f>BASE_EQUIPOS!B2406</f>
        <v/>
      </c>
      <c r="D2406">
        <f>BASE_EQUIPOS!D2406</f>
        <v/>
      </c>
      <c r="E2406">
        <f>BASE_EQUIPOS!G2406</f>
        <v/>
      </c>
      <c r="F2406">
        <f>BASE_EQUIPOS!H2406</f>
        <v/>
      </c>
      <c r="G2406">
        <f>BASE_EQUIPOS!M2406</f>
        <v/>
      </c>
      <c r="I2406" t="inlineStr">
        <is>
          <t>118/001487</t>
        </is>
      </c>
    </row>
    <row r="2407">
      <c r="A2407">
        <f>TRIM(BASE_EQUIPOS!N2407)</f>
        <v/>
      </c>
      <c r="B2407">
        <f>BASE_EQUIPOS!A2407</f>
        <v/>
      </c>
      <c r="C2407">
        <f>BASE_EQUIPOS!B2407</f>
        <v/>
      </c>
      <c r="D2407">
        <f>BASE_EQUIPOS!D2407</f>
        <v/>
      </c>
      <c r="E2407">
        <f>BASE_EQUIPOS!G2407</f>
        <v/>
      </c>
      <c r="F2407">
        <f>BASE_EQUIPOS!H2407</f>
        <v/>
      </c>
      <c r="G2407">
        <f>BASE_EQUIPOS!M2407</f>
        <v/>
      </c>
      <c r="I2407" t="inlineStr">
        <is>
          <t>8110/000140</t>
        </is>
      </c>
    </row>
    <row r="2408">
      <c r="A2408">
        <f>TRIM(BASE_EQUIPOS!N2408)</f>
        <v/>
      </c>
      <c r="B2408">
        <f>BASE_EQUIPOS!A2408</f>
        <v/>
      </c>
      <c r="C2408">
        <f>BASE_EQUIPOS!B2408</f>
        <v/>
      </c>
      <c r="D2408">
        <f>BASE_EQUIPOS!D2408</f>
        <v/>
      </c>
      <c r="E2408">
        <f>BASE_EQUIPOS!G2408</f>
        <v/>
      </c>
      <c r="F2408">
        <f>BASE_EQUIPOS!H2408</f>
        <v/>
      </c>
      <c r="G2408">
        <f>BASE_EQUIPOS!M2408</f>
        <v/>
      </c>
      <c r="I2408" t="inlineStr">
        <is>
          <t>204/003106</t>
        </is>
      </c>
    </row>
    <row r="2409">
      <c r="A2409">
        <f>TRIM(BASE_EQUIPOS!N2409)</f>
        <v/>
      </c>
      <c r="B2409">
        <f>BASE_EQUIPOS!A2409</f>
        <v/>
      </c>
      <c r="C2409">
        <f>BASE_EQUIPOS!B2409</f>
        <v/>
      </c>
      <c r="D2409">
        <f>BASE_EQUIPOS!D2409</f>
        <v/>
      </c>
      <c r="E2409">
        <f>BASE_EQUIPOS!G2409</f>
        <v/>
      </c>
      <c r="F2409">
        <f>BASE_EQUIPOS!H2409</f>
        <v/>
      </c>
      <c r="G2409">
        <f>BASE_EQUIPOS!M2409</f>
        <v/>
      </c>
      <c r="I2409" t="inlineStr">
        <is>
          <t>201/000609</t>
        </is>
      </c>
    </row>
    <row r="2410">
      <c r="A2410">
        <f>TRIM(BASE_EQUIPOS!N2410)</f>
        <v/>
      </c>
      <c r="B2410">
        <f>BASE_EQUIPOS!A2410</f>
        <v/>
      </c>
      <c r="C2410">
        <f>BASE_EQUIPOS!B2410</f>
        <v/>
      </c>
      <c r="D2410">
        <f>BASE_EQUIPOS!D2410</f>
        <v/>
      </c>
      <c r="E2410">
        <f>BASE_EQUIPOS!G2410</f>
        <v/>
      </c>
      <c r="F2410">
        <f>BASE_EQUIPOS!H2410</f>
        <v/>
      </c>
      <c r="G2410">
        <f>BASE_EQUIPOS!M2410</f>
        <v/>
      </c>
      <c r="I2410" t="inlineStr">
        <is>
          <t>242/001183</t>
        </is>
      </c>
    </row>
    <row r="2411">
      <c r="A2411">
        <f>TRIM(BASE_EQUIPOS!N2411)</f>
        <v/>
      </c>
      <c r="B2411">
        <f>BASE_EQUIPOS!A2411</f>
        <v/>
      </c>
      <c r="C2411">
        <f>BASE_EQUIPOS!B2411</f>
        <v/>
      </c>
      <c r="D2411">
        <f>BASE_EQUIPOS!D2411</f>
        <v/>
      </c>
      <c r="E2411">
        <f>BASE_EQUIPOS!G2411</f>
        <v/>
      </c>
      <c r="F2411">
        <f>BASE_EQUIPOS!H2411</f>
        <v/>
      </c>
      <c r="G2411">
        <f>BASE_EQUIPOS!M2411</f>
        <v/>
      </c>
      <c r="I2411" t="inlineStr">
        <is>
          <t>19/000915</t>
        </is>
      </c>
    </row>
    <row r="2412">
      <c r="A2412">
        <f>TRIM(BASE_EQUIPOS!N2412)</f>
        <v/>
      </c>
      <c r="B2412">
        <f>BASE_EQUIPOS!A2412</f>
        <v/>
      </c>
      <c r="C2412">
        <f>BASE_EQUIPOS!B2412</f>
        <v/>
      </c>
      <c r="D2412">
        <f>BASE_EQUIPOS!D2412</f>
        <v/>
      </c>
      <c r="E2412">
        <f>BASE_EQUIPOS!G2412</f>
        <v/>
      </c>
      <c r="F2412">
        <f>BASE_EQUIPOS!H2412</f>
        <v/>
      </c>
      <c r="G2412">
        <f>BASE_EQUIPOS!M2412</f>
        <v/>
      </c>
      <c r="I2412" t="inlineStr">
        <is>
          <t>145/000459</t>
        </is>
      </c>
    </row>
    <row r="2413">
      <c r="A2413">
        <f>TRIM(BASE_EQUIPOS!N2413)</f>
        <v/>
      </c>
      <c r="B2413">
        <f>BASE_EQUIPOS!A2413</f>
        <v/>
      </c>
      <c r="C2413">
        <f>BASE_EQUIPOS!B2413</f>
        <v/>
      </c>
      <c r="D2413">
        <f>BASE_EQUIPOS!D2413</f>
        <v/>
      </c>
      <c r="E2413">
        <f>BASE_EQUIPOS!G2413</f>
        <v/>
      </c>
      <c r="F2413">
        <f>BASE_EQUIPOS!H2413</f>
        <v/>
      </c>
      <c r="G2413">
        <f>BASE_EQUIPOS!M2413</f>
        <v/>
      </c>
      <c r="I2413" t="inlineStr">
        <is>
          <t>338/000098</t>
        </is>
      </c>
    </row>
    <row r="2414">
      <c r="A2414">
        <f>TRIM(BASE_EQUIPOS!N2414)</f>
        <v/>
      </c>
      <c r="B2414">
        <f>BASE_EQUIPOS!A2414</f>
        <v/>
      </c>
      <c r="C2414">
        <f>BASE_EQUIPOS!B2414</f>
        <v/>
      </c>
      <c r="D2414">
        <f>BASE_EQUIPOS!D2414</f>
        <v/>
      </c>
      <c r="E2414">
        <f>BASE_EQUIPOS!G2414</f>
        <v/>
      </c>
      <c r="F2414">
        <f>BASE_EQUIPOS!H2414</f>
        <v/>
      </c>
      <c r="G2414">
        <f>BASE_EQUIPOS!M2414</f>
        <v/>
      </c>
      <c r="I2414" t="inlineStr">
        <is>
          <t>240/002499</t>
        </is>
      </c>
    </row>
    <row r="2415">
      <c r="A2415">
        <f>TRIM(BASE_EQUIPOS!N2415)</f>
        <v/>
      </c>
      <c r="B2415">
        <f>BASE_EQUIPOS!A2415</f>
        <v/>
      </c>
      <c r="C2415">
        <f>BASE_EQUIPOS!B2415</f>
        <v/>
      </c>
      <c r="D2415">
        <f>BASE_EQUIPOS!D2415</f>
        <v/>
      </c>
      <c r="E2415">
        <f>BASE_EQUIPOS!G2415</f>
        <v/>
      </c>
      <c r="F2415">
        <f>BASE_EQUIPOS!H2415</f>
        <v/>
      </c>
      <c r="G2415">
        <f>BASE_EQUIPOS!M2415</f>
        <v/>
      </c>
      <c r="I2415" t="inlineStr">
        <is>
          <t>78/000854</t>
        </is>
      </c>
    </row>
    <row r="2416">
      <c r="A2416">
        <f>TRIM(BASE_EQUIPOS!N2416)</f>
        <v/>
      </c>
      <c r="B2416">
        <f>BASE_EQUIPOS!A2416</f>
        <v/>
      </c>
      <c r="C2416">
        <f>BASE_EQUIPOS!B2416</f>
        <v/>
      </c>
      <c r="D2416">
        <f>BASE_EQUIPOS!D2416</f>
        <v/>
      </c>
      <c r="E2416">
        <f>BASE_EQUIPOS!G2416</f>
        <v/>
      </c>
      <c r="F2416">
        <f>BASE_EQUIPOS!H2416</f>
        <v/>
      </c>
      <c r="G2416">
        <f>BASE_EQUIPOS!M2416</f>
        <v/>
      </c>
      <c r="I2416" t="inlineStr">
        <is>
          <t>01/000121</t>
        </is>
      </c>
    </row>
    <row r="2417">
      <c r="A2417">
        <f>TRIM(BASE_EQUIPOS!N2417)</f>
        <v/>
      </c>
      <c r="B2417">
        <f>BASE_EQUIPOS!A2417</f>
        <v/>
      </c>
      <c r="C2417">
        <f>BASE_EQUIPOS!B2417</f>
        <v/>
      </c>
      <c r="D2417">
        <f>BASE_EQUIPOS!D2417</f>
        <v/>
      </c>
      <c r="E2417">
        <f>BASE_EQUIPOS!G2417</f>
        <v/>
      </c>
      <c r="F2417">
        <f>BASE_EQUIPOS!H2417</f>
        <v/>
      </c>
      <c r="G2417">
        <f>BASE_EQUIPOS!M2417</f>
        <v/>
      </c>
      <c r="I2417" t="inlineStr">
        <is>
          <t>302/000659</t>
        </is>
      </c>
    </row>
    <row r="2418">
      <c r="A2418">
        <f>TRIM(BASE_EQUIPOS!N2418)</f>
        <v/>
      </c>
      <c r="B2418">
        <f>BASE_EQUIPOS!A2418</f>
        <v/>
      </c>
      <c r="C2418">
        <f>BASE_EQUIPOS!B2418</f>
        <v/>
      </c>
      <c r="D2418">
        <f>BASE_EQUIPOS!D2418</f>
        <v/>
      </c>
      <c r="E2418">
        <f>BASE_EQUIPOS!G2418</f>
        <v/>
      </c>
      <c r="F2418">
        <f>BASE_EQUIPOS!H2418</f>
        <v/>
      </c>
      <c r="G2418">
        <f>BASE_EQUIPOS!M2418</f>
        <v/>
      </c>
      <c r="I2418" t="inlineStr">
        <is>
          <t>400/000377</t>
        </is>
      </c>
    </row>
    <row r="2419">
      <c r="A2419">
        <f>TRIM(BASE_EQUIPOS!N2419)</f>
        <v/>
      </c>
      <c r="B2419">
        <f>BASE_EQUIPOS!A2419</f>
        <v/>
      </c>
      <c r="C2419">
        <f>BASE_EQUIPOS!B2419</f>
        <v/>
      </c>
      <c r="D2419">
        <f>BASE_EQUIPOS!D2419</f>
        <v/>
      </c>
      <c r="E2419">
        <f>BASE_EQUIPOS!G2419</f>
        <v/>
      </c>
      <c r="F2419">
        <f>BASE_EQUIPOS!H2419</f>
        <v/>
      </c>
      <c r="G2419">
        <f>BASE_EQUIPOS!M2419</f>
        <v/>
      </c>
      <c r="I2419" t="inlineStr">
        <is>
          <t>215/001118</t>
        </is>
      </c>
    </row>
    <row r="2420">
      <c r="A2420">
        <f>TRIM(BASE_EQUIPOS!N2420)</f>
        <v/>
      </c>
      <c r="B2420">
        <f>BASE_EQUIPOS!A2420</f>
        <v/>
      </c>
      <c r="C2420">
        <f>BASE_EQUIPOS!B2420</f>
        <v/>
      </c>
      <c r="D2420">
        <f>BASE_EQUIPOS!D2420</f>
        <v/>
      </c>
      <c r="E2420">
        <f>BASE_EQUIPOS!G2420</f>
        <v/>
      </c>
      <c r="F2420">
        <f>BASE_EQUIPOS!H2420</f>
        <v/>
      </c>
      <c r="G2420">
        <f>BASE_EQUIPOS!M2420</f>
        <v/>
      </c>
      <c r="I2420" t="inlineStr">
        <is>
          <t>340/000597</t>
        </is>
      </c>
    </row>
    <row r="2421">
      <c r="A2421">
        <f>TRIM(BASE_EQUIPOS!N2421)</f>
        <v/>
      </c>
      <c r="B2421">
        <f>BASE_EQUIPOS!A2421</f>
        <v/>
      </c>
      <c r="C2421">
        <f>BASE_EQUIPOS!B2421</f>
        <v/>
      </c>
      <c r="D2421">
        <f>BASE_EQUIPOS!D2421</f>
        <v/>
      </c>
      <c r="E2421">
        <f>BASE_EQUIPOS!G2421</f>
        <v/>
      </c>
      <c r="F2421">
        <f>BASE_EQUIPOS!H2421</f>
        <v/>
      </c>
      <c r="G2421">
        <f>BASE_EQUIPOS!M2421</f>
        <v/>
      </c>
      <c r="I2421" t="inlineStr">
        <is>
          <t>343/001584</t>
        </is>
      </c>
    </row>
    <row r="2422">
      <c r="A2422">
        <f>TRIM(BASE_EQUIPOS!N2422)</f>
        <v/>
      </c>
      <c r="B2422">
        <f>BASE_EQUIPOS!A2422</f>
        <v/>
      </c>
      <c r="C2422">
        <f>BASE_EQUIPOS!B2422</f>
        <v/>
      </c>
      <c r="D2422">
        <f>BASE_EQUIPOS!D2422</f>
        <v/>
      </c>
      <c r="E2422">
        <f>BASE_EQUIPOS!G2422</f>
        <v/>
      </c>
      <c r="F2422">
        <f>BASE_EQUIPOS!H2422</f>
        <v/>
      </c>
      <c r="G2422">
        <f>BASE_EQUIPOS!M2422</f>
        <v/>
      </c>
      <c r="I2422" t="inlineStr">
        <is>
          <t>03/000120</t>
        </is>
      </c>
    </row>
    <row r="2423">
      <c r="A2423">
        <f>TRIM(BASE_EQUIPOS!N2423)</f>
        <v/>
      </c>
      <c r="B2423">
        <f>BASE_EQUIPOS!A2423</f>
        <v/>
      </c>
      <c r="C2423">
        <f>BASE_EQUIPOS!B2423</f>
        <v/>
      </c>
      <c r="D2423">
        <f>BASE_EQUIPOS!D2423</f>
        <v/>
      </c>
      <c r="E2423">
        <f>BASE_EQUIPOS!G2423</f>
        <v/>
      </c>
      <c r="F2423">
        <f>BASE_EQUIPOS!H2423</f>
        <v/>
      </c>
      <c r="G2423">
        <f>BASE_EQUIPOS!M2423</f>
        <v/>
      </c>
      <c r="I2423" t="inlineStr">
        <is>
          <t>285/000802</t>
        </is>
      </c>
    </row>
    <row r="2424">
      <c r="A2424">
        <f>TRIM(BASE_EQUIPOS!N2424)</f>
        <v/>
      </c>
      <c r="B2424">
        <f>BASE_EQUIPOS!A2424</f>
        <v/>
      </c>
      <c r="C2424">
        <f>BASE_EQUIPOS!B2424</f>
        <v/>
      </c>
      <c r="D2424">
        <f>BASE_EQUIPOS!D2424</f>
        <v/>
      </c>
      <c r="E2424">
        <f>BASE_EQUIPOS!G2424</f>
        <v/>
      </c>
      <c r="F2424">
        <f>BASE_EQUIPOS!H2424</f>
        <v/>
      </c>
      <c r="G2424">
        <f>BASE_EQUIPOS!M2424</f>
        <v/>
      </c>
      <c r="I2424" t="inlineStr">
        <is>
          <t>43/002142</t>
        </is>
      </c>
    </row>
    <row r="2425">
      <c r="A2425">
        <f>TRIM(BASE_EQUIPOS!N2425)</f>
        <v/>
      </c>
      <c r="B2425">
        <f>BASE_EQUIPOS!A2425</f>
        <v/>
      </c>
      <c r="C2425">
        <f>BASE_EQUIPOS!B2425</f>
        <v/>
      </c>
      <c r="D2425">
        <f>BASE_EQUIPOS!D2425</f>
        <v/>
      </c>
      <c r="E2425">
        <f>BASE_EQUIPOS!G2425</f>
        <v/>
      </c>
      <c r="F2425">
        <f>BASE_EQUIPOS!H2425</f>
        <v/>
      </c>
      <c r="G2425">
        <f>BASE_EQUIPOS!M2425</f>
        <v/>
      </c>
      <c r="I2425" t="inlineStr">
        <is>
          <t>208/020160</t>
        </is>
      </c>
    </row>
    <row r="2426">
      <c r="A2426">
        <f>TRIM(BASE_EQUIPOS!N2426)</f>
        <v/>
      </c>
      <c r="B2426">
        <f>BASE_EQUIPOS!A2426</f>
        <v/>
      </c>
      <c r="C2426">
        <f>BASE_EQUIPOS!B2426</f>
        <v/>
      </c>
      <c r="D2426">
        <f>BASE_EQUIPOS!D2426</f>
        <v/>
      </c>
      <c r="E2426">
        <f>BASE_EQUIPOS!G2426</f>
        <v/>
      </c>
      <c r="F2426">
        <f>BASE_EQUIPOS!H2426</f>
        <v/>
      </c>
      <c r="G2426">
        <f>BASE_EQUIPOS!M2426</f>
        <v/>
      </c>
      <c r="I2426" t="inlineStr">
        <is>
          <t>09/001999</t>
        </is>
      </c>
    </row>
    <row r="2427">
      <c r="A2427">
        <f>TRIM(BASE_EQUIPOS!N2427)</f>
        <v/>
      </c>
      <c r="B2427">
        <f>BASE_EQUIPOS!A2427</f>
        <v/>
      </c>
      <c r="C2427">
        <f>BASE_EQUIPOS!B2427</f>
        <v/>
      </c>
      <c r="D2427">
        <f>BASE_EQUIPOS!D2427</f>
        <v/>
      </c>
      <c r="E2427">
        <f>BASE_EQUIPOS!G2427</f>
        <v/>
      </c>
      <c r="F2427">
        <f>BASE_EQUIPOS!H2427</f>
        <v/>
      </c>
      <c r="G2427">
        <f>BASE_EQUIPOS!M2427</f>
        <v/>
      </c>
      <c r="I2427" t="inlineStr">
        <is>
          <t>172/000942</t>
        </is>
      </c>
    </row>
    <row r="2428">
      <c r="A2428">
        <f>TRIM(BASE_EQUIPOS!N2428)</f>
        <v/>
      </c>
      <c r="B2428">
        <f>BASE_EQUIPOS!A2428</f>
        <v/>
      </c>
      <c r="C2428">
        <f>BASE_EQUIPOS!B2428</f>
        <v/>
      </c>
      <c r="D2428">
        <f>BASE_EQUIPOS!D2428</f>
        <v/>
      </c>
      <c r="E2428">
        <f>BASE_EQUIPOS!G2428</f>
        <v/>
      </c>
      <c r="F2428">
        <f>BASE_EQUIPOS!H2428</f>
        <v/>
      </c>
      <c r="G2428">
        <f>BASE_EQUIPOS!M2428</f>
        <v/>
      </c>
      <c r="I2428" t="inlineStr">
        <is>
          <t>307/000138</t>
        </is>
      </c>
    </row>
    <row r="2429">
      <c r="A2429">
        <f>TRIM(BASE_EQUIPOS!N2429)</f>
        <v/>
      </c>
      <c r="B2429">
        <f>BASE_EQUIPOS!A2429</f>
        <v/>
      </c>
      <c r="C2429">
        <f>BASE_EQUIPOS!B2429</f>
        <v/>
      </c>
      <c r="D2429">
        <f>BASE_EQUIPOS!D2429</f>
        <v/>
      </c>
      <c r="E2429">
        <f>BASE_EQUIPOS!G2429</f>
        <v/>
      </c>
      <c r="F2429">
        <f>BASE_EQUIPOS!H2429</f>
        <v/>
      </c>
      <c r="G2429">
        <f>BASE_EQUIPOS!M2429</f>
        <v/>
      </c>
      <c r="I2429" t="inlineStr">
        <is>
          <t>141/000275</t>
        </is>
      </c>
    </row>
    <row r="2430">
      <c r="A2430">
        <f>TRIM(BASE_EQUIPOS!N2430)</f>
        <v/>
      </c>
      <c r="B2430">
        <f>BASE_EQUIPOS!A2430</f>
        <v/>
      </c>
      <c r="C2430">
        <f>BASE_EQUIPOS!B2430</f>
        <v/>
      </c>
      <c r="D2430">
        <f>BASE_EQUIPOS!D2430</f>
        <v/>
      </c>
      <c r="E2430">
        <f>BASE_EQUIPOS!G2430</f>
        <v/>
      </c>
      <c r="F2430">
        <f>BASE_EQUIPOS!H2430</f>
        <v/>
      </c>
      <c r="G2430">
        <f>BASE_EQUIPOS!M2430</f>
        <v/>
      </c>
      <c r="I2430" t="inlineStr">
        <is>
          <t>01/002515</t>
        </is>
      </c>
    </row>
    <row r="2431">
      <c r="A2431">
        <f>TRIM(BASE_EQUIPOS!N2431)</f>
        <v/>
      </c>
      <c r="B2431">
        <f>BASE_EQUIPOS!A2431</f>
        <v/>
      </c>
      <c r="C2431">
        <f>BASE_EQUIPOS!B2431</f>
        <v/>
      </c>
      <c r="D2431">
        <f>BASE_EQUIPOS!D2431</f>
        <v/>
      </c>
      <c r="E2431">
        <f>BASE_EQUIPOS!G2431</f>
        <v/>
      </c>
      <c r="F2431">
        <f>BASE_EQUIPOS!H2431</f>
        <v/>
      </c>
      <c r="G2431">
        <f>BASE_EQUIPOS!M2431</f>
        <v/>
      </c>
      <c r="I2431" t="inlineStr">
        <is>
          <t>01/001010</t>
        </is>
      </c>
    </row>
    <row r="2432">
      <c r="A2432">
        <f>TRIM(BASE_EQUIPOS!N2432)</f>
        <v/>
      </c>
      <c r="B2432">
        <f>BASE_EQUIPOS!A2432</f>
        <v/>
      </c>
      <c r="C2432">
        <f>BASE_EQUIPOS!B2432</f>
        <v/>
      </c>
      <c r="D2432">
        <f>BASE_EQUIPOS!D2432</f>
        <v/>
      </c>
      <c r="E2432">
        <f>BASE_EQUIPOS!G2432</f>
        <v/>
      </c>
      <c r="F2432">
        <f>BASE_EQUIPOS!H2432</f>
        <v/>
      </c>
      <c r="G2432">
        <f>BASE_EQUIPOS!M2432</f>
        <v/>
      </c>
      <c r="I2432" t="inlineStr">
        <is>
          <t>02/010936</t>
        </is>
      </c>
    </row>
    <row r="2433">
      <c r="A2433">
        <f>TRIM(BASE_EQUIPOS!N2433)</f>
        <v/>
      </c>
      <c r="B2433">
        <f>BASE_EQUIPOS!A2433</f>
        <v/>
      </c>
      <c r="C2433">
        <f>BASE_EQUIPOS!B2433</f>
        <v/>
      </c>
      <c r="D2433">
        <f>BASE_EQUIPOS!D2433</f>
        <v/>
      </c>
      <c r="E2433">
        <f>BASE_EQUIPOS!G2433</f>
        <v/>
      </c>
      <c r="F2433">
        <f>BASE_EQUIPOS!H2433</f>
        <v/>
      </c>
      <c r="G2433">
        <f>BASE_EQUIPOS!M2433</f>
        <v/>
      </c>
      <c r="I2433" t="inlineStr">
        <is>
          <t>45/BR572451</t>
        </is>
      </c>
    </row>
    <row r="2434">
      <c r="A2434">
        <f>TRIM(BASE_EQUIPOS!N2434)</f>
        <v/>
      </c>
      <c r="B2434">
        <f>BASE_EQUIPOS!A2434</f>
        <v/>
      </c>
      <c r="C2434">
        <f>BASE_EQUIPOS!B2434</f>
        <v/>
      </c>
      <c r="D2434">
        <f>BASE_EQUIPOS!D2434</f>
        <v/>
      </c>
      <c r="E2434">
        <f>BASE_EQUIPOS!G2434</f>
        <v/>
      </c>
      <c r="F2434">
        <f>BASE_EQUIPOS!H2434</f>
        <v/>
      </c>
      <c r="G2434">
        <f>BASE_EQUIPOS!M2434</f>
        <v/>
      </c>
      <c r="I2434" t="inlineStr">
        <is>
          <t>13/BR574028</t>
        </is>
      </c>
    </row>
    <row r="2435">
      <c r="A2435">
        <f>TRIM(BASE_EQUIPOS!N2435)</f>
        <v/>
      </c>
      <c r="B2435">
        <f>BASE_EQUIPOS!A2435</f>
        <v/>
      </c>
      <c r="C2435">
        <f>BASE_EQUIPOS!B2435</f>
        <v/>
      </c>
      <c r="D2435">
        <f>BASE_EQUIPOS!D2435</f>
        <v/>
      </c>
      <c r="E2435">
        <f>BASE_EQUIPOS!G2435</f>
        <v/>
      </c>
      <c r="F2435">
        <f>BASE_EQUIPOS!H2435</f>
        <v/>
      </c>
      <c r="G2435">
        <f>BASE_EQUIPOS!M2435</f>
        <v/>
      </c>
      <c r="I2435" t="inlineStr">
        <is>
          <t>49/M-179914</t>
        </is>
      </c>
    </row>
    <row r="2436">
      <c r="A2436">
        <f>TRIM(BASE_EQUIPOS!N2436)</f>
        <v/>
      </c>
      <c r="B2436">
        <f>BASE_EQUIPOS!A2436</f>
        <v/>
      </c>
      <c r="C2436">
        <f>BASE_EQUIPOS!B2436</f>
        <v/>
      </c>
      <c r="D2436">
        <f>BASE_EQUIPOS!D2436</f>
        <v/>
      </c>
      <c r="E2436">
        <f>BASE_EQUIPOS!G2436</f>
        <v/>
      </c>
      <c r="F2436">
        <f>BASE_EQUIPOS!H2436</f>
        <v/>
      </c>
      <c r="G2436">
        <f>BASE_EQUIPOS!M2436</f>
        <v/>
      </c>
      <c r="I2436" t="inlineStr">
        <is>
          <t>S/N/ 000398</t>
        </is>
      </c>
    </row>
    <row r="2437">
      <c r="A2437">
        <f>TRIM(BASE_EQUIPOS!N2437)</f>
        <v/>
      </c>
      <c r="B2437">
        <f>BASE_EQUIPOS!A2437</f>
        <v/>
      </c>
      <c r="C2437">
        <f>BASE_EQUIPOS!B2437</f>
        <v/>
      </c>
      <c r="D2437">
        <f>BASE_EQUIPOS!D2437</f>
        <v/>
      </c>
      <c r="E2437">
        <f>BASE_EQUIPOS!G2437</f>
        <v/>
      </c>
      <c r="F2437">
        <f>BASE_EQUIPOS!H2437</f>
        <v/>
      </c>
      <c r="G2437">
        <f>BASE_EQUIPOS!M2437</f>
        <v/>
      </c>
      <c r="I2437" t="inlineStr">
        <is>
          <t>39/S/N</t>
        </is>
      </c>
    </row>
    <row r="2438">
      <c r="A2438">
        <f>TRIM(BASE_EQUIPOS!N2438)</f>
        <v/>
      </c>
      <c r="B2438">
        <f>BASE_EQUIPOS!A2438</f>
        <v/>
      </c>
      <c r="C2438">
        <f>BASE_EQUIPOS!B2438</f>
        <v/>
      </c>
      <c r="D2438">
        <f>BASE_EQUIPOS!D2438</f>
        <v/>
      </c>
      <c r="E2438">
        <f>BASE_EQUIPOS!G2438</f>
        <v/>
      </c>
      <c r="F2438">
        <f>BASE_EQUIPOS!H2438</f>
        <v/>
      </c>
      <c r="G2438">
        <f>BASE_EQUIPOS!M2438</f>
        <v/>
      </c>
      <c r="I2438" t="inlineStr">
        <is>
          <t>12/S/N</t>
        </is>
      </c>
    </row>
    <row r="2439">
      <c r="A2439">
        <f>TRIM(BASE_EQUIPOS!N2439)</f>
        <v/>
      </c>
      <c r="B2439">
        <f>BASE_EQUIPOS!A2439</f>
        <v/>
      </c>
      <c r="C2439">
        <f>BASE_EQUIPOS!B2439</f>
        <v/>
      </c>
      <c r="D2439">
        <f>BASE_EQUIPOS!D2439</f>
        <v/>
      </c>
      <c r="E2439">
        <f>BASE_EQUIPOS!G2439</f>
        <v/>
      </c>
      <c r="F2439">
        <f>BASE_EQUIPOS!H2439</f>
        <v/>
      </c>
      <c r="G2439">
        <f>BASE_EQUIPOS!M2439</f>
        <v/>
      </c>
      <c r="I2439" t="inlineStr">
        <is>
          <t>16/BR574129</t>
        </is>
      </c>
    </row>
    <row r="2440">
      <c r="A2440">
        <f>TRIM(BASE_EQUIPOS!N2440)</f>
        <v/>
      </c>
      <c r="B2440">
        <f>BASE_EQUIPOS!A2440</f>
        <v/>
      </c>
      <c r="C2440">
        <f>BASE_EQUIPOS!B2440</f>
        <v/>
      </c>
      <c r="D2440">
        <f>BASE_EQUIPOS!D2440</f>
        <v/>
      </c>
      <c r="E2440">
        <f>BASE_EQUIPOS!G2440</f>
        <v/>
      </c>
      <c r="F2440">
        <f>BASE_EQUIPOS!H2440</f>
        <v/>
      </c>
      <c r="G2440">
        <f>BASE_EQUIPOS!M2440</f>
        <v/>
      </c>
      <c r="I2440" t="inlineStr">
        <is>
          <t>95/W894027</t>
        </is>
      </c>
    </row>
    <row r="2441">
      <c r="A2441">
        <f>TRIM(BASE_EQUIPOS!N2441)</f>
        <v/>
      </c>
      <c r="B2441">
        <f>BASE_EQUIPOS!A2441</f>
        <v/>
      </c>
      <c r="C2441">
        <f>BASE_EQUIPOS!B2441</f>
        <v/>
      </c>
      <c r="D2441">
        <f>BASE_EQUIPOS!D2441</f>
        <v/>
      </c>
      <c r="E2441">
        <f>BASE_EQUIPOS!G2441</f>
        <v/>
      </c>
      <c r="F2441">
        <f>BASE_EQUIPOS!H2441</f>
        <v/>
      </c>
      <c r="G2441">
        <f>BASE_EQUIPOS!M2441</f>
        <v/>
      </c>
      <c r="I2441" t="inlineStr">
        <is>
          <t>97/W219903</t>
        </is>
      </c>
    </row>
    <row r="2442">
      <c r="A2442">
        <f>TRIM(BASE_EQUIPOS!N2442)</f>
        <v/>
      </c>
      <c r="B2442">
        <f>BASE_EQUIPOS!A2442</f>
        <v/>
      </c>
      <c r="C2442">
        <f>BASE_EQUIPOS!B2442</f>
        <v/>
      </c>
      <c r="D2442">
        <f>BASE_EQUIPOS!D2442</f>
        <v/>
      </c>
      <c r="E2442">
        <f>BASE_EQUIPOS!G2442</f>
        <v/>
      </c>
      <c r="F2442">
        <f>BASE_EQUIPOS!H2442</f>
        <v/>
      </c>
      <c r="G2442">
        <f>BASE_EQUIPOS!M2442</f>
        <v/>
      </c>
      <c r="I2442" t="inlineStr">
        <is>
          <t>98/W219977</t>
        </is>
      </c>
    </row>
    <row r="2443">
      <c r="A2443">
        <f>TRIM(BASE_EQUIPOS!N2443)</f>
        <v/>
      </c>
      <c r="B2443">
        <f>BASE_EQUIPOS!A2443</f>
        <v/>
      </c>
      <c r="C2443">
        <f>BASE_EQUIPOS!B2443</f>
        <v/>
      </c>
      <c r="D2443">
        <f>BASE_EQUIPOS!D2443</f>
        <v/>
      </c>
      <c r="E2443">
        <f>BASE_EQUIPOS!G2443</f>
        <v/>
      </c>
      <c r="F2443">
        <f>BASE_EQUIPOS!H2443</f>
        <v/>
      </c>
      <c r="G2443">
        <f>BASE_EQUIPOS!M2443</f>
        <v/>
      </c>
      <c r="I2443" t="inlineStr">
        <is>
          <t>03/002333</t>
        </is>
      </c>
    </row>
    <row r="2444">
      <c r="A2444">
        <f>TRIM(BASE_EQUIPOS!N2444)</f>
        <v/>
      </c>
      <c r="B2444">
        <f>BASE_EQUIPOS!A2444</f>
        <v/>
      </c>
      <c r="C2444">
        <f>BASE_EQUIPOS!B2444</f>
        <v/>
      </c>
      <c r="D2444">
        <f>BASE_EQUIPOS!D2444</f>
        <v/>
      </c>
      <c r="E2444">
        <f>BASE_EQUIPOS!G2444</f>
        <v/>
      </c>
      <c r="F2444">
        <f>BASE_EQUIPOS!H2444</f>
        <v/>
      </c>
      <c r="G2444">
        <f>BASE_EQUIPOS!M2444</f>
        <v/>
      </c>
      <c r="I2444" t="inlineStr">
        <is>
          <t>01/001575</t>
        </is>
      </c>
    </row>
    <row r="2445">
      <c r="A2445">
        <f>TRIM(BASE_EQUIPOS!N2445)</f>
        <v/>
      </c>
      <c r="B2445">
        <f>BASE_EQUIPOS!A2445</f>
        <v/>
      </c>
      <c r="C2445">
        <f>BASE_EQUIPOS!B2445</f>
        <v/>
      </c>
      <c r="D2445">
        <f>BASE_EQUIPOS!D2445</f>
        <v/>
      </c>
      <c r="E2445">
        <f>BASE_EQUIPOS!G2445</f>
        <v/>
      </c>
      <c r="F2445">
        <f>BASE_EQUIPOS!H2445</f>
        <v/>
      </c>
      <c r="G2445">
        <f>BASE_EQUIPOS!M2445</f>
        <v/>
      </c>
      <c r="I2445" t="inlineStr">
        <is>
          <t>S/N/624</t>
        </is>
      </c>
    </row>
    <row r="2446">
      <c r="A2446">
        <f>TRIM(BASE_EQUIPOS!N2446)</f>
        <v/>
      </c>
      <c r="B2446">
        <f>BASE_EQUIPOS!A2446</f>
        <v/>
      </c>
      <c r="C2446">
        <f>BASE_EQUIPOS!B2446</f>
        <v/>
      </c>
      <c r="D2446">
        <f>BASE_EQUIPOS!D2446</f>
        <v/>
      </c>
      <c r="E2446">
        <f>BASE_EQUIPOS!G2446</f>
        <v/>
      </c>
      <c r="F2446">
        <f>BASE_EQUIPOS!H2446</f>
        <v/>
      </c>
      <c r="G2446">
        <f>BASE_EQUIPOS!M2446</f>
        <v/>
      </c>
      <c r="I2446" t="inlineStr">
        <is>
          <t>115/ZV-225203</t>
        </is>
      </c>
    </row>
    <row r="2447">
      <c r="A2447">
        <f>TRIM(BASE_EQUIPOS!N2447)</f>
        <v/>
      </c>
      <c r="B2447">
        <f>BASE_EQUIPOS!A2447</f>
        <v/>
      </c>
      <c r="C2447">
        <f>BASE_EQUIPOS!B2447</f>
        <v/>
      </c>
      <c r="D2447">
        <f>BASE_EQUIPOS!D2447</f>
        <v/>
      </c>
      <c r="E2447">
        <f>BASE_EQUIPOS!G2447</f>
        <v/>
      </c>
      <c r="F2447">
        <f>BASE_EQUIPOS!H2447</f>
        <v/>
      </c>
      <c r="G2447">
        <f>BASE_EQUIPOS!M2447</f>
        <v/>
      </c>
      <c r="I2447" t="inlineStr">
        <is>
          <t>S/N/001235</t>
        </is>
      </c>
    </row>
    <row r="2448">
      <c r="A2448">
        <f>TRIM(BASE_EQUIPOS!N2448)</f>
        <v/>
      </c>
      <c r="B2448">
        <f>BASE_EQUIPOS!A2448</f>
        <v/>
      </c>
      <c r="C2448">
        <f>BASE_EQUIPOS!B2448</f>
        <v/>
      </c>
      <c r="D2448">
        <f>BASE_EQUIPOS!D2448</f>
        <v/>
      </c>
      <c r="E2448">
        <f>BASE_EQUIPOS!G2448</f>
        <v/>
      </c>
      <c r="F2448">
        <f>BASE_EQUIPOS!H2448</f>
        <v/>
      </c>
      <c r="G2448">
        <f>BASE_EQUIPOS!M2448</f>
        <v/>
      </c>
      <c r="I2448" t="inlineStr">
        <is>
          <t>32/S/N</t>
        </is>
      </c>
    </row>
    <row r="2449">
      <c r="A2449">
        <f>TRIM(BASE_EQUIPOS!N2449)</f>
        <v/>
      </c>
      <c r="B2449">
        <f>BASE_EQUIPOS!A2449</f>
        <v/>
      </c>
      <c r="C2449">
        <f>BASE_EQUIPOS!B2449</f>
        <v/>
      </c>
      <c r="D2449">
        <f>BASE_EQUIPOS!D2449</f>
        <v/>
      </c>
      <c r="E2449">
        <f>BASE_EQUIPOS!G2449</f>
        <v/>
      </c>
      <c r="F2449">
        <f>BASE_EQUIPOS!H2449</f>
        <v/>
      </c>
      <c r="G2449">
        <f>BASE_EQUIPOS!M2449</f>
        <v/>
      </c>
      <c r="I2449" t="inlineStr">
        <is>
          <t>31/000675</t>
        </is>
      </c>
    </row>
    <row r="2450">
      <c r="A2450">
        <f>TRIM(BASE_EQUIPOS!N2450)</f>
        <v/>
      </c>
      <c r="B2450">
        <f>BASE_EQUIPOS!A2450</f>
        <v/>
      </c>
      <c r="C2450">
        <f>BASE_EQUIPOS!B2450</f>
        <v/>
      </c>
      <c r="D2450">
        <f>BASE_EQUIPOS!D2450</f>
        <v/>
      </c>
      <c r="E2450">
        <f>BASE_EQUIPOS!G2450</f>
        <v/>
      </c>
      <c r="F2450">
        <f>BASE_EQUIPOS!H2450</f>
        <v/>
      </c>
      <c r="G2450">
        <f>BASE_EQUIPOS!M2450</f>
        <v/>
      </c>
      <c r="I2450" t="inlineStr">
        <is>
          <t>30/000549</t>
        </is>
      </c>
    </row>
    <row r="2451">
      <c r="A2451">
        <f>TRIM(BASE_EQUIPOS!N2451)</f>
        <v/>
      </c>
      <c r="B2451">
        <f>BASE_EQUIPOS!A2451</f>
        <v/>
      </c>
      <c r="C2451">
        <f>BASE_EQUIPOS!B2451</f>
        <v/>
      </c>
      <c r="D2451">
        <f>BASE_EQUIPOS!D2451</f>
        <v/>
      </c>
      <c r="E2451">
        <f>BASE_EQUIPOS!G2451</f>
        <v/>
      </c>
      <c r="F2451">
        <f>BASE_EQUIPOS!H2451</f>
        <v/>
      </c>
      <c r="G2451">
        <f>BASE_EQUIPOS!M2451</f>
        <v/>
      </c>
      <c r="I2451" t="inlineStr">
        <is>
          <t>S/N/00811</t>
        </is>
      </c>
    </row>
    <row r="2452">
      <c r="A2452">
        <f>TRIM(BASE_EQUIPOS!N2452)</f>
        <v/>
      </c>
      <c r="B2452">
        <f>BASE_EQUIPOS!A2452</f>
        <v/>
      </c>
      <c r="C2452">
        <f>BASE_EQUIPOS!B2452</f>
        <v/>
      </c>
      <c r="D2452">
        <f>BASE_EQUIPOS!D2452</f>
        <v/>
      </c>
      <c r="E2452">
        <f>BASE_EQUIPOS!G2452</f>
        <v/>
      </c>
      <c r="F2452">
        <f>BASE_EQUIPOS!H2452</f>
        <v/>
      </c>
      <c r="G2452">
        <f>BASE_EQUIPOS!M2452</f>
        <v/>
      </c>
      <c r="I2452" t="inlineStr">
        <is>
          <t>29/000579</t>
        </is>
      </c>
    </row>
    <row r="2453">
      <c r="A2453">
        <f>TRIM(BASE_EQUIPOS!N2453)</f>
        <v/>
      </c>
      <c r="B2453">
        <f>BASE_EQUIPOS!A2453</f>
        <v/>
      </c>
      <c r="C2453">
        <f>BASE_EQUIPOS!B2453</f>
        <v/>
      </c>
      <c r="D2453">
        <f>BASE_EQUIPOS!D2453</f>
        <v/>
      </c>
      <c r="E2453">
        <f>BASE_EQUIPOS!G2453</f>
        <v/>
      </c>
      <c r="F2453">
        <f>BASE_EQUIPOS!H2453</f>
        <v/>
      </c>
      <c r="G2453">
        <f>BASE_EQUIPOS!M2453</f>
        <v/>
      </c>
      <c r="I2453" t="inlineStr">
        <is>
          <t>28/A-34185232</t>
        </is>
      </c>
    </row>
    <row r="2454">
      <c r="A2454">
        <f>TRIM(BASE_EQUIPOS!N2454)</f>
        <v/>
      </c>
      <c r="B2454">
        <f>BASE_EQUIPOS!A2454</f>
        <v/>
      </c>
      <c r="C2454">
        <f>BASE_EQUIPOS!B2454</f>
        <v/>
      </c>
      <c r="D2454">
        <f>BASE_EQUIPOS!D2454</f>
        <v/>
      </c>
      <c r="E2454">
        <f>BASE_EQUIPOS!G2454</f>
        <v/>
      </c>
      <c r="F2454">
        <f>BASE_EQUIPOS!H2454</f>
        <v/>
      </c>
      <c r="G2454">
        <f>BASE_EQUIPOS!M2454</f>
        <v/>
      </c>
      <c r="I2454" t="inlineStr">
        <is>
          <t>27/000213</t>
        </is>
      </c>
    </row>
    <row r="2455">
      <c r="A2455">
        <f>TRIM(BASE_EQUIPOS!N2455)</f>
        <v/>
      </c>
      <c r="B2455">
        <f>BASE_EQUIPOS!A2455</f>
        <v/>
      </c>
      <c r="C2455">
        <f>BASE_EQUIPOS!B2455</f>
        <v/>
      </c>
      <c r="D2455">
        <f>BASE_EQUIPOS!D2455</f>
        <v/>
      </c>
      <c r="E2455">
        <f>BASE_EQUIPOS!G2455</f>
        <v/>
      </c>
      <c r="F2455">
        <f>BASE_EQUIPOS!H2455</f>
        <v/>
      </c>
      <c r="G2455">
        <f>BASE_EQUIPOS!M2455</f>
        <v/>
      </c>
      <c r="I2455" t="inlineStr">
        <is>
          <t>26/000279</t>
        </is>
      </c>
    </row>
    <row r="2456">
      <c r="A2456">
        <f>TRIM(BASE_EQUIPOS!N2456)</f>
        <v/>
      </c>
      <c r="B2456">
        <f>BASE_EQUIPOS!A2456</f>
        <v/>
      </c>
      <c r="C2456">
        <f>BASE_EQUIPOS!B2456</f>
        <v/>
      </c>
      <c r="D2456">
        <f>BASE_EQUIPOS!D2456</f>
        <v/>
      </c>
      <c r="E2456">
        <f>BASE_EQUIPOS!G2456</f>
        <v/>
      </c>
      <c r="F2456">
        <f>BASE_EQUIPOS!H2456</f>
        <v/>
      </c>
      <c r="G2456">
        <f>BASE_EQUIPOS!M2456</f>
        <v/>
      </c>
      <c r="I2456" t="inlineStr">
        <is>
          <t>25/000326</t>
        </is>
      </c>
    </row>
    <row r="2457">
      <c r="A2457">
        <f>TRIM(BASE_EQUIPOS!N2457)</f>
        <v/>
      </c>
      <c r="B2457">
        <f>BASE_EQUIPOS!A2457</f>
        <v/>
      </c>
      <c r="C2457">
        <f>BASE_EQUIPOS!B2457</f>
        <v/>
      </c>
      <c r="D2457">
        <f>BASE_EQUIPOS!D2457</f>
        <v/>
      </c>
      <c r="E2457">
        <f>BASE_EQUIPOS!G2457</f>
        <v/>
      </c>
      <c r="F2457">
        <f>BASE_EQUIPOS!H2457</f>
        <v/>
      </c>
      <c r="G2457">
        <f>BASE_EQUIPOS!M2457</f>
        <v/>
      </c>
      <c r="I2457" t="inlineStr">
        <is>
          <t>24/000232</t>
        </is>
      </c>
    </row>
    <row r="2458">
      <c r="A2458">
        <f>TRIM(BASE_EQUIPOS!N2458)</f>
        <v/>
      </c>
      <c r="B2458">
        <f>BASE_EQUIPOS!A2458</f>
        <v/>
      </c>
      <c r="C2458">
        <f>BASE_EQUIPOS!B2458</f>
        <v/>
      </c>
      <c r="D2458">
        <f>BASE_EQUIPOS!D2458</f>
        <v/>
      </c>
      <c r="E2458">
        <f>BASE_EQUIPOS!G2458</f>
        <v/>
      </c>
      <c r="F2458">
        <f>BASE_EQUIPOS!H2458</f>
        <v/>
      </c>
      <c r="G2458">
        <f>BASE_EQUIPOS!M2458</f>
        <v/>
      </c>
      <c r="I2458" t="inlineStr">
        <is>
          <t>19/000622</t>
        </is>
      </c>
    </row>
    <row r="2459">
      <c r="A2459">
        <f>TRIM(BASE_EQUIPOS!N2459)</f>
        <v/>
      </c>
      <c r="B2459">
        <f>BASE_EQUIPOS!A2459</f>
        <v/>
      </c>
      <c r="C2459">
        <f>BASE_EQUIPOS!B2459</f>
        <v/>
      </c>
      <c r="D2459">
        <f>BASE_EQUIPOS!D2459</f>
        <v/>
      </c>
      <c r="E2459">
        <f>BASE_EQUIPOS!G2459</f>
        <v/>
      </c>
      <c r="F2459">
        <f>BASE_EQUIPOS!H2459</f>
        <v/>
      </c>
      <c r="G2459">
        <f>BASE_EQUIPOS!M2459</f>
        <v/>
      </c>
      <c r="I2459" t="inlineStr">
        <is>
          <t>22/000283</t>
        </is>
      </c>
    </row>
    <row r="2460">
      <c r="A2460">
        <f>TRIM(BASE_EQUIPOS!N2460)</f>
        <v/>
      </c>
      <c r="B2460">
        <f>BASE_EQUIPOS!A2460</f>
        <v/>
      </c>
      <c r="C2460">
        <f>BASE_EQUIPOS!B2460</f>
        <v/>
      </c>
      <c r="D2460">
        <f>BASE_EQUIPOS!D2460</f>
        <v/>
      </c>
      <c r="E2460">
        <f>BASE_EQUIPOS!G2460</f>
        <v/>
      </c>
      <c r="F2460">
        <f>BASE_EQUIPOS!H2460</f>
        <v/>
      </c>
      <c r="G2460">
        <f>BASE_EQUIPOS!M2460</f>
        <v/>
      </c>
      <c r="I2460" t="inlineStr">
        <is>
          <t>01/000509</t>
        </is>
      </c>
    </row>
    <row r="2461">
      <c r="A2461">
        <f>TRIM(BASE_EQUIPOS!N2461)</f>
        <v/>
      </c>
      <c r="B2461">
        <f>BASE_EQUIPOS!A2461</f>
        <v/>
      </c>
      <c r="C2461">
        <f>BASE_EQUIPOS!B2461</f>
        <v/>
      </c>
      <c r="D2461">
        <f>BASE_EQUIPOS!D2461</f>
        <v/>
      </c>
      <c r="E2461">
        <f>BASE_EQUIPOS!G2461</f>
        <v/>
      </c>
      <c r="F2461">
        <f>BASE_EQUIPOS!H2461</f>
        <v/>
      </c>
      <c r="G2461">
        <f>BASE_EQUIPOS!M2461</f>
        <v/>
      </c>
      <c r="I2461" t="inlineStr">
        <is>
          <t>02/A34185235</t>
        </is>
      </c>
    </row>
    <row r="2462">
      <c r="A2462">
        <f>TRIM(BASE_EQUIPOS!N2462)</f>
        <v/>
      </c>
      <c r="B2462">
        <f>BASE_EQUIPOS!A2462</f>
        <v/>
      </c>
      <c r="C2462">
        <f>BASE_EQUIPOS!B2462</f>
        <v/>
      </c>
      <c r="D2462">
        <f>BASE_EQUIPOS!D2462</f>
        <v/>
      </c>
      <c r="E2462">
        <f>BASE_EQUIPOS!G2462</f>
        <v/>
      </c>
      <c r="F2462">
        <f>BASE_EQUIPOS!H2462</f>
        <v/>
      </c>
      <c r="G2462">
        <f>BASE_EQUIPOS!M2462</f>
        <v/>
      </c>
      <c r="I2462" t="inlineStr">
        <is>
          <t>03/A34185536</t>
        </is>
      </c>
    </row>
    <row r="2463">
      <c r="A2463">
        <f>TRIM(BASE_EQUIPOS!N2463)</f>
        <v/>
      </c>
      <c r="B2463">
        <f>BASE_EQUIPOS!A2463</f>
        <v/>
      </c>
      <c r="C2463">
        <f>BASE_EQUIPOS!B2463</f>
        <v/>
      </c>
      <c r="D2463">
        <f>BASE_EQUIPOS!D2463</f>
        <v/>
      </c>
      <c r="E2463">
        <f>BASE_EQUIPOS!G2463</f>
        <v/>
      </c>
      <c r="F2463">
        <f>BASE_EQUIPOS!H2463</f>
        <v/>
      </c>
      <c r="G2463">
        <f>BASE_EQUIPOS!M2463</f>
        <v/>
      </c>
      <c r="I2463" t="inlineStr">
        <is>
          <t>05/000280</t>
        </is>
      </c>
    </row>
    <row r="2464">
      <c r="A2464">
        <f>TRIM(BASE_EQUIPOS!N2464)</f>
        <v/>
      </c>
      <c r="B2464">
        <f>BASE_EQUIPOS!A2464</f>
        <v/>
      </c>
      <c r="C2464">
        <f>BASE_EQUIPOS!B2464</f>
        <v/>
      </c>
      <c r="D2464">
        <f>BASE_EQUIPOS!D2464</f>
        <v/>
      </c>
      <c r="E2464">
        <f>BASE_EQUIPOS!G2464</f>
        <v/>
      </c>
      <c r="F2464">
        <f>BASE_EQUIPOS!H2464</f>
        <v/>
      </c>
      <c r="G2464">
        <f>BASE_EQUIPOS!M2464</f>
        <v/>
      </c>
      <c r="I2464" t="inlineStr">
        <is>
          <t>07/000286</t>
        </is>
      </c>
    </row>
    <row r="2465">
      <c r="A2465">
        <f>TRIM(BASE_EQUIPOS!N2465)</f>
        <v/>
      </c>
      <c r="B2465">
        <f>BASE_EQUIPOS!A2465</f>
        <v/>
      </c>
      <c r="C2465">
        <f>BASE_EQUIPOS!B2465</f>
        <v/>
      </c>
      <c r="D2465">
        <f>BASE_EQUIPOS!D2465</f>
        <v/>
      </c>
      <c r="E2465">
        <f>BASE_EQUIPOS!G2465</f>
        <v/>
      </c>
      <c r="F2465">
        <f>BASE_EQUIPOS!H2465</f>
        <v/>
      </c>
      <c r="G2465">
        <f>BASE_EQUIPOS!M2465</f>
        <v/>
      </c>
      <c r="I2465" t="inlineStr">
        <is>
          <t>08/000312</t>
        </is>
      </c>
    </row>
    <row r="2466">
      <c r="A2466">
        <f>TRIM(BASE_EQUIPOS!N2466)</f>
        <v/>
      </c>
      <c r="B2466">
        <f>BASE_EQUIPOS!A2466</f>
        <v/>
      </c>
      <c r="C2466">
        <f>BASE_EQUIPOS!B2466</f>
        <v/>
      </c>
      <c r="D2466">
        <f>BASE_EQUIPOS!D2466</f>
        <v/>
      </c>
      <c r="E2466">
        <f>BASE_EQUIPOS!G2466</f>
        <v/>
      </c>
      <c r="F2466">
        <f>BASE_EQUIPOS!H2466</f>
        <v/>
      </c>
      <c r="G2466">
        <f>BASE_EQUIPOS!M2466</f>
        <v/>
      </c>
      <c r="I2466" t="inlineStr">
        <is>
          <t>09/000266</t>
        </is>
      </c>
    </row>
    <row r="2467">
      <c r="A2467">
        <f>TRIM(BASE_EQUIPOS!N2467)</f>
        <v/>
      </c>
      <c r="B2467">
        <f>BASE_EQUIPOS!A2467</f>
        <v/>
      </c>
      <c r="C2467">
        <f>BASE_EQUIPOS!B2467</f>
        <v/>
      </c>
      <c r="D2467">
        <f>BASE_EQUIPOS!D2467</f>
        <v/>
      </c>
      <c r="E2467">
        <f>BASE_EQUIPOS!G2467</f>
        <v/>
      </c>
      <c r="F2467">
        <f>BASE_EQUIPOS!H2467</f>
        <v/>
      </c>
      <c r="G2467">
        <f>BASE_EQUIPOS!M2467</f>
        <v/>
      </c>
      <c r="I2467" t="inlineStr">
        <is>
          <t>10/000295</t>
        </is>
      </c>
    </row>
    <row r="2468">
      <c r="A2468">
        <f>TRIM(BASE_EQUIPOS!N2468)</f>
        <v/>
      </c>
      <c r="B2468">
        <f>BASE_EQUIPOS!A2468</f>
        <v/>
      </c>
      <c r="C2468">
        <f>BASE_EQUIPOS!B2468</f>
        <v/>
      </c>
      <c r="D2468">
        <f>BASE_EQUIPOS!D2468</f>
        <v/>
      </c>
      <c r="E2468">
        <f>BASE_EQUIPOS!G2468</f>
        <v/>
      </c>
      <c r="F2468">
        <f>BASE_EQUIPOS!H2468</f>
        <v/>
      </c>
      <c r="G2468">
        <f>BASE_EQUIPOS!M2468</f>
        <v/>
      </c>
      <c r="I2468" t="inlineStr">
        <is>
          <t>11/000330</t>
        </is>
      </c>
    </row>
    <row r="2469">
      <c r="A2469">
        <f>TRIM(BASE_EQUIPOS!N2469)</f>
        <v/>
      </c>
      <c r="B2469">
        <f>BASE_EQUIPOS!A2469</f>
        <v/>
      </c>
      <c r="C2469">
        <f>BASE_EQUIPOS!B2469</f>
        <v/>
      </c>
      <c r="D2469">
        <f>BASE_EQUIPOS!D2469</f>
        <v/>
      </c>
      <c r="E2469">
        <f>BASE_EQUIPOS!G2469</f>
        <v/>
      </c>
      <c r="F2469">
        <f>BASE_EQUIPOS!H2469</f>
        <v/>
      </c>
      <c r="G2469">
        <f>BASE_EQUIPOS!M2469</f>
        <v/>
      </c>
      <c r="I2469" t="inlineStr">
        <is>
          <t>12/AC-336655</t>
        </is>
      </c>
    </row>
    <row r="2470">
      <c r="A2470">
        <f>TRIM(BASE_EQUIPOS!N2470)</f>
        <v/>
      </c>
      <c r="B2470">
        <f>BASE_EQUIPOS!A2470</f>
        <v/>
      </c>
      <c r="C2470">
        <f>BASE_EQUIPOS!B2470</f>
        <v/>
      </c>
      <c r="D2470">
        <f>BASE_EQUIPOS!D2470</f>
        <v/>
      </c>
      <c r="E2470">
        <f>BASE_EQUIPOS!G2470</f>
        <v/>
      </c>
      <c r="F2470">
        <f>BASE_EQUIPOS!H2470</f>
        <v/>
      </c>
      <c r="G2470">
        <f>BASE_EQUIPOS!M2470</f>
        <v/>
      </c>
      <c r="I2470" t="inlineStr">
        <is>
          <t>13/000350</t>
        </is>
      </c>
    </row>
    <row r="2471">
      <c r="A2471">
        <f>TRIM(BASE_EQUIPOS!N2471)</f>
        <v/>
      </c>
      <c r="B2471">
        <f>BASE_EQUIPOS!A2471</f>
        <v/>
      </c>
      <c r="C2471">
        <f>BASE_EQUIPOS!B2471</f>
        <v/>
      </c>
      <c r="D2471">
        <f>BASE_EQUIPOS!D2471</f>
        <v/>
      </c>
      <c r="E2471">
        <f>BASE_EQUIPOS!G2471</f>
        <v/>
      </c>
      <c r="F2471">
        <f>BASE_EQUIPOS!H2471</f>
        <v/>
      </c>
      <c r="G2471">
        <f>BASE_EQUIPOS!M2471</f>
        <v/>
      </c>
      <c r="I2471" t="inlineStr">
        <is>
          <t>14/000259</t>
        </is>
      </c>
    </row>
    <row r="2472">
      <c r="A2472">
        <f>TRIM(BASE_EQUIPOS!N2472)</f>
        <v/>
      </c>
      <c r="B2472">
        <f>BASE_EQUIPOS!A2472</f>
        <v/>
      </c>
      <c r="C2472">
        <f>BASE_EQUIPOS!B2472</f>
        <v/>
      </c>
      <c r="D2472">
        <f>BASE_EQUIPOS!D2472</f>
        <v/>
      </c>
      <c r="E2472">
        <f>BASE_EQUIPOS!G2472</f>
        <v/>
      </c>
      <c r="F2472">
        <f>BASE_EQUIPOS!H2472</f>
        <v/>
      </c>
      <c r="G2472">
        <f>BASE_EQUIPOS!M2472</f>
        <v/>
      </c>
      <c r="I2472" t="inlineStr">
        <is>
          <t>15/000223</t>
        </is>
      </c>
    </row>
    <row r="2473">
      <c r="A2473">
        <f>TRIM(BASE_EQUIPOS!N2473)</f>
        <v/>
      </c>
      <c r="B2473">
        <f>BASE_EQUIPOS!A2473</f>
        <v/>
      </c>
      <c r="C2473">
        <f>BASE_EQUIPOS!B2473</f>
        <v/>
      </c>
      <c r="D2473">
        <f>BASE_EQUIPOS!D2473</f>
        <v/>
      </c>
      <c r="E2473">
        <f>BASE_EQUIPOS!G2473</f>
        <v/>
      </c>
      <c r="F2473">
        <f>BASE_EQUIPOS!H2473</f>
        <v/>
      </c>
      <c r="G2473">
        <f>BASE_EQUIPOS!M2473</f>
        <v/>
      </c>
      <c r="I2473" t="inlineStr">
        <is>
          <t>16/000346</t>
        </is>
      </c>
    </row>
    <row r="2474">
      <c r="A2474">
        <f>TRIM(BASE_EQUIPOS!N2474)</f>
        <v/>
      </c>
      <c r="B2474">
        <f>BASE_EQUIPOS!A2474</f>
        <v/>
      </c>
      <c r="C2474">
        <f>BASE_EQUIPOS!B2474</f>
        <v/>
      </c>
      <c r="D2474">
        <f>BASE_EQUIPOS!D2474</f>
        <v/>
      </c>
      <c r="E2474">
        <f>BASE_EQUIPOS!G2474</f>
        <v/>
      </c>
      <c r="F2474">
        <f>BASE_EQUIPOS!H2474</f>
        <v/>
      </c>
      <c r="G2474">
        <f>BASE_EQUIPOS!M2474</f>
        <v/>
      </c>
      <c r="I2474" t="inlineStr">
        <is>
          <t>17/000212</t>
        </is>
      </c>
    </row>
    <row r="2475">
      <c r="A2475">
        <f>TRIM(BASE_EQUIPOS!N2475)</f>
        <v/>
      </c>
      <c r="B2475">
        <f>BASE_EQUIPOS!A2475</f>
        <v/>
      </c>
      <c r="C2475">
        <f>BASE_EQUIPOS!B2475</f>
        <v/>
      </c>
      <c r="D2475">
        <f>BASE_EQUIPOS!D2475</f>
        <v/>
      </c>
      <c r="E2475">
        <f>BASE_EQUIPOS!G2475</f>
        <v/>
      </c>
      <c r="F2475">
        <f>BASE_EQUIPOS!H2475</f>
        <v/>
      </c>
      <c r="G2475">
        <f>BASE_EQUIPOS!M2475</f>
        <v/>
      </c>
      <c r="I2475" t="inlineStr">
        <is>
          <t>18/000275</t>
        </is>
      </c>
    </row>
    <row r="2476">
      <c r="A2476">
        <f>TRIM(BASE_EQUIPOS!N2476)</f>
        <v/>
      </c>
      <c r="B2476">
        <f>BASE_EQUIPOS!A2476</f>
        <v/>
      </c>
      <c r="C2476">
        <f>BASE_EQUIPOS!B2476</f>
        <v/>
      </c>
      <c r="D2476">
        <f>BASE_EQUIPOS!D2476</f>
        <v/>
      </c>
      <c r="E2476">
        <f>BASE_EQUIPOS!G2476</f>
        <v/>
      </c>
      <c r="F2476">
        <f>BASE_EQUIPOS!H2476</f>
        <v/>
      </c>
      <c r="G2476">
        <f>BASE_EQUIPOS!M2476</f>
        <v/>
      </c>
      <c r="I2476" t="inlineStr">
        <is>
          <t>23/AC-336632</t>
        </is>
      </c>
    </row>
    <row r="2477">
      <c r="A2477">
        <f>TRIM(BASE_EQUIPOS!N2477)</f>
        <v/>
      </c>
      <c r="B2477">
        <f>BASE_EQUIPOS!A2477</f>
        <v/>
      </c>
      <c r="C2477">
        <f>BASE_EQUIPOS!B2477</f>
        <v/>
      </c>
      <c r="D2477">
        <f>BASE_EQUIPOS!D2477</f>
        <v/>
      </c>
      <c r="E2477">
        <f>BASE_EQUIPOS!G2477</f>
        <v/>
      </c>
      <c r="F2477">
        <f>BASE_EQUIPOS!H2477</f>
        <v/>
      </c>
      <c r="G2477">
        <f>BASE_EQUIPOS!M2477</f>
        <v/>
      </c>
      <c r="I2477" t="inlineStr">
        <is>
          <t>20/000238</t>
        </is>
      </c>
    </row>
    <row r="2478">
      <c r="A2478">
        <f>TRIM(BASE_EQUIPOS!N2478)</f>
        <v/>
      </c>
      <c r="B2478">
        <f>BASE_EQUIPOS!A2478</f>
        <v/>
      </c>
      <c r="C2478">
        <f>BASE_EQUIPOS!B2478</f>
        <v/>
      </c>
      <c r="D2478">
        <f>BASE_EQUIPOS!D2478</f>
        <v/>
      </c>
      <c r="E2478">
        <f>BASE_EQUIPOS!G2478</f>
        <v/>
      </c>
      <c r="F2478">
        <f>BASE_EQUIPOS!H2478</f>
        <v/>
      </c>
      <c r="G2478">
        <f>BASE_EQUIPOS!M2478</f>
        <v/>
      </c>
      <c r="I2478" t="inlineStr">
        <is>
          <t>21/000359</t>
        </is>
      </c>
    </row>
    <row r="2479">
      <c r="A2479">
        <f>TRIM(BASE_EQUIPOS!N2479)</f>
        <v/>
      </c>
      <c r="B2479">
        <f>BASE_EQUIPOS!A2479</f>
        <v/>
      </c>
      <c r="C2479">
        <f>BASE_EQUIPOS!B2479</f>
        <v/>
      </c>
      <c r="D2479">
        <f>BASE_EQUIPOS!D2479</f>
        <v/>
      </c>
      <c r="E2479">
        <f>BASE_EQUIPOS!G2479</f>
        <v/>
      </c>
      <c r="F2479">
        <f>BASE_EQUIPOS!H2479</f>
        <v/>
      </c>
      <c r="G2479">
        <f>BASE_EQUIPOS!M2479</f>
        <v/>
      </c>
      <c r="I2479" t="inlineStr">
        <is>
          <t>04/001328</t>
        </is>
      </c>
    </row>
    <row r="2480">
      <c r="A2480">
        <f>TRIM(BASE_EQUIPOS!N2480)</f>
        <v/>
      </c>
      <c r="B2480">
        <f>BASE_EQUIPOS!A2480</f>
        <v/>
      </c>
      <c r="C2480">
        <f>BASE_EQUIPOS!B2480</f>
        <v/>
      </c>
      <c r="D2480">
        <f>BASE_EQUIPOS!D2480</f>
        <v/>
      </c>
      <c r="E2480">
        <f>BASE_EQUIPOS!G2480</f>
        <v/>
      </c>
      <c r="F2480">
        <f>BASE_EQUIPOS!H2480</f>
        <v/>
      </c>
      <c r="G2480">
        <f>BASE_EQUIPOS!M2480</f>
        <v/>
      </c>
      <c r="I2480" t="inlineStr">
        <is>
          <t>01/001592</t>
        </is>
      </c>
    </row>
    <row r="2481">
      <c r="A2481">
        <f>TRIM(BASE_EQUIPOS!N2481)</f>
        <v/>
      </c>
      <c r="B2481">
        <f>BASE_EQUIPOS!A2481</f>
        <v/>
      </c>
      <c r="C2481">
        <f>BASE_EQUIPOS!B2481</f>
        <v/>
      </c>
      <c r="D2481">
        <f>BASE_EQUIPOS!D2481</f>
        <v/>
      </c>
      <c r="E2481">
        <f>BASE_EQUIPOS!G2481</f>
        <v/>
      </c>
      <c r="F2481">
        <f>BASE_EQUIPOS!H2481</f>
        <v/>
      </c>
      <c r="G2481">
        <f>BASE_EQUIPOS!M2481</f>
        <v/>
      </c>
      <c r="I2481" t="inlineStr">
        <is>
          <t>02/001061</t>
        </is>
      </c>
    </row>
    <row r="2482">
      <c r="A2482">
        <f>TRIM(BASE_EQUIPOS!N2482)</f>
        <v/>
      </c>
      <c r="B2482">
        <f>BASE_EQUIPOS!A2482</f>
        <v/>
      </c>
      <c r="C2482">
        <f>BASE_EQUIPOS!B2482</f>
        <v/>
      </c>
      <c r="D2482">
        <f>BASE_EQUIPOS!D2482</f>
        <v/>
      </c>
      <c r="E2482">
        <f>BASE_EQUIPOS!G2482</f>
        <v/>
      </c>
      <c r="F2482">
        <f>BASE_EQUIPOS!H2482</f>
        <v/>
      </c>
      <c r="G2482">
        <f>BASE_EQUIPOS!M2482</f>
        <v/>
      </c>
      <c r="I2482" t="inlineStr">
        <is>
          <t>01/003920</t>
        </is>
      </c>
    </row>
    <row r="2483">
      <c r="A2483">
        <f>TRIM(BASE_EQUIPOS!N2483)</f>
        <v/>
      </c>
      <c r="B2483">
        <f>BASE_EQUIPOS!A2483</f>
        <v/>
      </c>
      <c r="C2483">
        <f>BASE_EQUIPOS!B2483</f>
        <v/>
      </c>
      <c r="D2483">
        <f>BASE_EQUIPOS!D2483</f>
        <v/>
      </c>
      <c r="E2483">
        <f>BASE_EQUIPOS!G2483</f>
        <v/>
      </c>
      <c r="F2483">
        <f>BASE_EQUIPOS!H2483</f>
        <v/>
      </c>
      <c r="G2483">
        <f>BASE_EQUIPOS!M2483</f>
        <v/>
      </c>
      <c r="I2483" t="inlineStr">
        <is>
          <t>S/N/000411</t>
        </is>
      </c>
    </row>
    <row r="2484">
      <c r="A2484">
        <f>TRIM(BASE_EQUIPOS!N2484)</f>
        <v/>
      </c>
      <c r="B2484">
        <f>BASE_EQUIPOS!A2484</f>
        <v/>
      </c>
      <c r="C2484">
        <f>BASE_EQUIPOS!B2484</f>
        <v/>
      </c>
      <c r="D2484">
        <f>BASE_EQUIPOS!D2484</f>
        <v/>
      </c>
      <c r="E2484">
        <f>BASE_EQUIPOS!G2484</f>
        <v/>
      </c>
      <c r="F2484">
        <f>BASE_EQUIPOS!H2484</f>
        <v/>
      </c>
      <c r="G2484">
        <f>BASE_EQUIPOS!M2484</f>
        <v/>
      </c>
      <c r="I2484" t="inlineStr">
        <is>
          <t>02/208102</t>
        </is>
      </c>
    </row>
    <row r="2485">
      <c r="A2485">
        <f>TRIM(BASE_EQUIPOS!N2485)</f>
        <v/>
      </c>
      <c r="B2485">
        <f>BASE_EQUIPOS!A2485</f>
        <v/>
      </c>
      <c r="C2485">
        <f>BASE_EQUIPOS!B2485</f>
        <v/>
      </c>
      <c r="D2485">
        <f>BASE_EQUIPOS!D2485</f>
        <v/>
      </c>
      <c r="E2485">
        <f>BASE_EQUIPOS!G2485</f>
        <v/>
      </c>
      <c r="F2485">
        <f>BASE_EQUIPOS!H2485</f>
        <v/>
      </c>
      <c r="G2485">
        <f>BASE_EQUIPOS!M2485</f>
        <v/>
      </c>
      <c r="I2485" t="inlineStr">
        <is>
          <t>01/002093</t>
        </is>
      </c>
    </row>
    <row r="2486">
      <c r="A2486">
        <f>TRIM(BASE_EQUIPOS!N2486)</f>
        <v/>
      </c>
      <c r="B2486">
        <f>BASE_EQUIPOS!A2486</f>
        <v/>
      </c>
      <c r="C2486">
        <f>BASE_EQUIPOS!B2486</f>
        <v/>
      </c>
      <c r="D2486">
        <f>BASE_EQUIPOS!D2486</f>
        <v/>
      </c>
      <c r="E2486">
        <f>BASE_EQUIPOS!G2486</f>
        <v/>
      </c>
      <c r="F2486">
        <f>BASE_EQUIPOS!H2486</f>
        <v/>
      </c>
      <c r="G2486">
        <f>BASE_EQUIPOS!M2486</f>
        <v/>
      </c>
      <c r="I2486" t="inlineStr">
        <is>
          <t>03/000643</t>
        </is>
      </c>
    </row>
    <row r="2487">
      <c r="A2487">
        <f>TRIM(BASE_EQUIPOS!N2487)</f>
        <v/>
      </c>
      <c r="B2487">
        <f>BASE_EQUIPOS!A2487</f>
        <v/>
      </c>
      <c r="C2487">
        <f>BASE_EQUIPOS!B2487</f>
        <v/>
      </c>
      <c r="D2487">
        <f>BASE_EQUIPOS!D2487</f>
        <v/>
      </c>
      <c r="E2487">
        <f>BASE_EQUIPOS!G2487</f>
        <v/>
      </c>
      <c r="F2487">
        <f>BASE_EQUIPOS!H2487</f>
        <v/>
      </c>
      <c r="G2487">
        <f>BASE_EQUIPOS!M2487</f>
        <v/>
      </c>
      <c r="I2487" t="inlineStr">
        <is>
          <t>SN/000441</t>
        </is>
      </c>
    </row>
    <row r="2488">
      <c r="A2488">
        <f>TRIM(BASE_EQUIPOS!N2488)</f>
        <v/>
      </c>
      <c r="B2488">
        <f>BASE_EQUIPOS!A2488</f>
        <v/>
      </c>
      <c r="C2488">
        <f>BASE_EQUIPOS!B2488</f>
        <v/>
      </c>
      <c r="D2488">
        <f>BASE_EQUIPOS!D2488</f>
        <v/>
      </c>
      <c r="E2488">
        <f>BASE_EQUIPOS!G2488</f>
        <v/>
      </c>
      <c r="F2488">
        <f>BASE_EQUIPOS!H2488</f>
        <v/>
      </c>
      <c r="G2488">
        <f>BASE_EQUIPOS!M2488</f>
        <v/>
      </c>
      <c r="I2488" t="inlineStr">
        <is>
          <t>03/223051</t>
        </is>
      </c>
    </row>
    <row r="2489">
      <c r="A2489">
        <f>TRIM(BASE_EQUIPOS!N2489)</f>
        <v/>
      </c>
      <c r="B2489">
        <f>BASE_EQUIPOS!A2489</f>
        <v/>
      </c>
      <c r="C2489">
        <f>BASE_EQUIPOS!B2489</f>
        <v/>
      </c>
      <c r="D2489">
        <f>BASE_EQUIPOS!D2489</f>
        <v/>
      </c>
      <c r="E2489">
        <f>BASE_EQUIPOS!G2489</f>
        <v/>
      </c>
      <c r="F2489">
        <f>BASE_EQUIPOS!H2489</f>
        <v/>
      </c>
      <c r="G2489">
        <f>BASE_EQUIPOS!M2489</f>
        <v/>
      </c>
      <c r="I2489" t="inlineStr">
        <is>
          <t>SN/001344</t>
        </is>
      </c>
    </row>
    <row r="2490">
      <c r="A2490">
        <f>TRIM(BASE_EQUIPOS!N2490)</f>
        <v/>
      </c>
      <c r="B2490">
        <f>BASE_EQUIPOS!A2490</f>
        <v/>
      </c>
      <c r="C2490">
        <f>BASE_EQUIPOS!B2490</f>
        <v/>
      </c>
      <c r="D2490">
        <f>BASE_EQUIPOS!D2490</f>
        <v/>
      </c>
      <c r="E2490">
        <f>BASE_EQUIPOS!G2490</f>
        <v/>
      </c>
      <c r="F2490">
        <f>BASE_EQUIPOS!H2490</f>
        <v/>
      </c>
      <c r="G2490">
        <f>BASE_EQUIPOS!M2490</f>
        <v/>
      </c>
      <c r="I2490" t="inlineStr">
        <is>
          <t>000648</t>
        </is>
      </c>
    </row>
    <row r="2491">
      <c r="A2491">
        <f>TRIM(BASE_EQUIPOS!N2491)</f>
        <v/>
      </c>
      <c r="B2491">
        <f>BASE_EQUIPOS!A2491</f>
        <v/>
      </c>
      <c r="C2491">
        <f>BASE_EQUIPOS!B2491</f>
        <v/>
      </c>
      <c r="D2491">
        <f>BASE_EQUIPOS!D2491</f>
        <v/>
      </c>
      <c r="E2491">
        <f>BASE_EQUIPOS!G2491</f>
        <v/>
      </c>
      <c r="F2491">
        <f>BASE_EQUIPOS!H2491</f>
        <v/>
      </c>
      <c r="G2491">
        <f>BASE_EQUIPOS!M2491</f>
        <v/>
      </c>
      <c r="I2491" t="inlineStr">
        <is>
          <t>011025</t>
        </is>
      </c>
    </row>
    <row r="2492">
      <c r="A2492">
        <f>TRIM(BASE_EQUIPOS!N2492)</f>
        <v/>
      </c>
      <c r="B2492">
        <f>BASE_EQUIPOS!A2492</f>
        <v/>
      </c>
      <c r="C2492">
        <f>BASE_EQUIPOS!B2492</f>
        <v/>
      </c>
      <c r="D2492">
        <f>BASE_EQUIPOS!D2492</f>
        <v/>
      </c>
      <c r="E2492">
        <f>BASE_EQUIPOS!G2492</f>
        <v/>
      </c>
      <c r="F2492">
        <f>BASE_EQUIPOS!H2492</f>
        <v/>
      </c>
      <c r="G2492">
        <f>BASE_EQUIPOS!M2492</f>
        <v/>
      </c>
      <c r="I2492" t="inlineStr">
        <is>
          <t>000705</t>
        </is>
      </c>
    </row>
    <row r="2493">
      <c r="A2493">
        <f>TRIM(BASE_EQUIPOS!N2493)</f>
        <v/>
      </c>
      <c r="B2493">
        <f>BASE_EQUIPOS!A2493</f>
        <v/>
      </c>
      <c r="C2493">
        <f>BASE_EQUIPOS!B2493</f>
        <v/>
      </c>
      <c r="D2493">
        <f>BASE_EQUIPOS!D2493</f>
        <v/>
      </c>
      <c r="E2493">
        <f>BASE_EQUIPOS!G2493</f>
        <v/>
      </c>
      <c r="F2493">
        <f>BASE_EQUIPOS!H2493</f>
        <v/>
      </c>
      <c r="G2493">
        <f>BASE_EQUIPOS!M2493</f>
        <v/>
      </c>
      <c r="I2493" t="inlineStr">
        <is>
          <t>0000030</t>
        </is>
      </c>
    </row>
    <row r="2494">
      <c r="A2494">
        <f>TRIM(BASE_EQUIPOS!N2494)</f>
        <v/>
      </c>
      <c r="B2494">
        <f>BASE_EQUIPOS!A2494</f>
        <v/>
      </c>
      <c r="C2494">
        <f>BASE_EQUIPOS!B2494</f>
        <v/>
      </c>
      <c r="D2494">
        <f>BASE_EQUIPOS!D2494</f>
        <v/>
      </c>
      <c r="E2494">
        <f>BASE_EQUIPOS!G2494</f>
        <v/>
      </c>
      <c r="F2494">
        <f>BASE_EQUIPOS!H2494</f>
        <v/>
      </c>
      <c r="G2494">
        <f>BASE_EQUIPOS!M2494</f>
        <v/>
      </c>
      <c r="I2494" t="inlineStr">
        <is>
          <t>005121</t>
        </is>
      </c>
    </row>
    <row r="2495">
      <c r="A2495">
        <f>TRIM(BASE_EQUIPOS!N2495)</f>
        <v/>
      </c>
      <c r="B2495">
        <f>BASE_EQUIPOS!A2495</f>
        <v/>
      </c>
      <c r="C2495">
        <f>BASE_EQUIPOS!B2495</f>
        <v/>
      </c>
      <c r="D2495">
        <f>BASE_EQUIPOS!D2495</f>
        <v/>
      </c>
      <c r="E2495">
        <f>BASE_EQUIPOS!G2495</f>
        <v/>
      </c>
      <c r="F2495">
        <f>BASE_EQUIPOS!H2495</f>
        <v/>
      </c>
      <c r="G2495">
        <f>BASE_EQUIPOS!M2495</f>
        <v/>
      </c>
      <c r="I2495" t="inlineStr">
        <is>
          <t>031144</t>
        </is>
      </c>
    </row>
    <row r="2496">
      <c r="A2496">
        <f>TRIM(BASE_EQUIPOS!N2496)</f>
        <v/>
      </c>
      <c r="B2496">
        <f>BASE_EQUIPOS!A2496</f>
        <v/>
      </c>
      <c r="C2496">
        <f>BASE_EQUIPOS!B2496</f>
        <v/>
      </c>
      <c r="D2496">
        <f>BASE_EQUIPOS!D2496</f>
        <v/>
      </c>
      <c r="E2496">
        <f>BASE_EQUIPOS!G2496</f>
        <v/>
      </c>
      <c r="F2496">
        <f>BASE_EQUIPOS!H2496</f>
        <v/>
      </c>
      <c r="G2496">
        <f>BASE_EQUIPOS!M2496</f>
        <v/>
      </c>
      <c r="I2496" t="inlineStr">
        <is>
          <t>000099</t>
        </is>
      </c>
    </row>
    <row r="2497">
      <c r="A2497">
        <f>TRIM(BASE_EQUIPOS!N2497)</f>
        <v/>
      </c>
      <c r="B2497">
        <f>BASE_EQUIPOS!A2497</f>
        <v/>
      </c>
      <c r="C2497">
        <f>BASE_EQUIPOS!B2497</f>
        <v/>
      </c>
      <c r="D2497">
        <f>BASE_EQUIPOS!D2497</f>
        <v/>
      </c>
      <c r="E2497">
        <f>BASE_EQUIPOS!G2497</f>
        <v/>
      </c>
      <c r="F2497">
        <f>BASE_EQUIPOS!H2497</f>
        <v/>
      </c>
      <c r="G2497">
        <f>BASE_EQUIPOS!M2497</f>
        <v/>
      </c>
      <c r="I2497" t="inlineStr">
        <is>
          <t>12/001612</t>
        </is>
      </c>
    </row>
    <row r="2498">
      <c r="A2498">
        <f>TRIM(BASE_EQUIPOS!N2498)</f>
        <v/>
      </c>
      <c r="B2498">
        <f>BASE_EQUIPOS!A2498</f>
        <v/>
      </c>
      <c r="C2498">
        <f>BASE_EQUIPOS!B2498</f>
        <v/>
      </c>
      <c r="D2498">
        <f>BASE_EQUIPOS!D2498</f>
        <v/>
      </c>
      <c r="E2498">
        <f>BASE_EQUIPOS!G2498</f>
        <v/>
      </c>
      <c r="F2498">
        <f>BASE_EQUIPOS!H2498</f>
        <v/>
      </c>
      <c r="G2498">
        <f>BASE_EQUIPOS!M2498</f>
        <v/>
      </c>
      <c r="I2498" t="inlineStr">
        <is>
          <t>117/001782</t>
        </is>
      </c>
    </row>
    <row r="2499">
      <c r="A2499">
        <f>TRIM(BASE_EQUIPOS!N2499)</f>
        <v/>
      </c>
      <c r="B2499">
        <f>BASE_EQUIPOS!A2499</f>
        <v/>
      </c>
      <c r="C2499">
        <f>BASE_EQUIPOS!B2499</f>
        <v/>
      </c>
      <c r="D2499">
        <f>BASE_EQUIPOS!D2499</f>
        <v/>
      </c>
      <c r="E2499">
        <f>BASE_EQUIPOS!G2499</f>
        <v/>
      </c>
      <c r="F2499">
        <f>BASE_EQUIPOS!H2499</f>
        <v/>
      </c>
      <c r="G2499">
        <f>BASE_EQUIPOS!M2499</f>
        <v/>
      </c>
      <c r="I2499" t="inlineStr">
        <is>
          <t>282/000215</t>
        </is>
      </c>
    </row>
    <row r="2500">
      <c r="A2500">
        <f>TRIM(BASE_EQUIPOS!N2500)</f>
        <v/>
      </c>
      <c r="B2500">
        <f>BASE_EQUIPOS!A2500</f>
        <v/>
      </c>
      <c r="C2500">
        <f>BASE_EQUIPOS!B2500</f>
        <v/>
      </c>
      <c r="D2500">
        <f>BASE_EQUIPOS!D2500</f>
        <v/>
      </c>
      <c r="E2500">
        <f>BASE_EQUIPOS!G2500</f>
        <v/>
      </c>
      <c r="F2500">
        <f>BASE_EQUIPOS!H2500</f>
        <v/>
      </c>
      <c r="G2500">
        <f>BASE_EQUIPOS!M2500</f>
        <v/>
      </c>
      <c r="I2500" t="inlineStr">
        <is>
          <t>05/000338</t>
        </is>
      </c>
    </row>
    <row r="2501">
      <c r="A2501">
        <f>TRIM(BASE_EQUIPOS!N2501)</f>
        <v/>
      </c>
      <c r="B2501">
        <f>BASE_EQUIPOS!A2501</f>
        <v/>
      </c>
      <c r="C2501">
        <f>BASE_EQUIPOS!B2501</f>
        <v/>
      </c>
      <c r="D2501">
        <f>BASE_EQUIPOS!D2501</f>
        <v/>
      </c>
      <c r="E2501">
        <f>BASE_EQUIPOS!G2501</f>
        <v/>
      </c>
      <c r="F2501">
        <f>BASE_EQUIPOS!H2501</f>
        <v/>
      </c>
      <c r="G2501">
        <f>BASE_EQUIPOS!M2501</f>
        <v/>
      </c>
      <c r="I2501" t="inlineStr">
        <is>
          <t>S/N/000012</t>
        </is>
      </c>
    </row>
    <row r="2502">
      <c r="A2502">
        <f>TRIM(BASE_EQUIPOS!N2502)</f>
        <v/>
      </c>
      <c r="B2502">
        <f>BASE_EQUIPOS!A2502</f>
        <v/>
      </c>
      <c r="C2502">
        <f>BASE_EQUIPOS!B2502</f>
        <v/>
      </c>
      <c r="D2502">
        <f>BASE_EQUIPOS!D2502</f>
        <v/>
      </c>
      <c r="E2502">
        <f>BASE_EQUIPOS!G2502</f>
        <v/>
      </c>
      <c r="F2502">
        <f>BASE_EQUIPOS!H2502</f>
        <v/>
      </c>
      <c r="G2502">
        <f>BASE_EQUIPOS!M2502</f>
        <v/>
      </c>
      <c r="I2502" t="inlineStr">
        <is>
          <t>S/N/002262</t>
        </is>
      </c>
    </row>
    <row r="2503">
      <c r="A2503">
        <f>TRIM(BASE_EQUIPOS!N2503)</f>
        <v/>
      </c>
      <c r="B2503">
        <f>BASE_EQUIPOS!A2503</f>
        <v/>
      </c>
      <c r="C2503">
        <f>BASE_EQUIPOS!B2503</f>
        <v/>
      </c>
      <c r="D2503">
        <f>BASE_EQUIPOS!D2503</f>
        <v/>
      </c>
      <c r="E2503">
        <f>BASE_EQUIPOS!G2503</f>
        <v/>
      </c>
      <c r="F2503">
        <f>BASE_EQUIPOS!H2503</f>
        <v/>
      </c>
      <c r="G2503">
        <f>BASE_EQUIPOS!M2503</f>
        <v/>
      </c>
      <c r="I2503" t="inlineStr">
        <is>
          <t>S/N/000135</t>
        </is>
      </c>
    </row>
    <row r="2504">
      <c r="A2504">
        <f>TRIM(BASE_EQUIPOS!N2504)</f>
        <v/>
      </c>
      <c r="B2504">
        <f>BASE_EQUIPOS!A2504</f>
        <v/>
      </c>
      <c r="C2504">
        <f>BASE_EQUIPOS!B2504</f>
        <v/>
      </c>
      <c r="D2504">
        <f>BASE_EQUIPOS!D2504</f>
        <v/>
      </c>
      <c r="E2504">
        <f>BASE_EQUIPOS!G2504</f>
        <v/>
      </c>
      <c r="F2504">
        <f>BASE_EQUIPOS!H2504</f>
        <v/>
      </c>
      <c r="G2504">
        <f>BASE_EQUIPOS!M2504</f>
        <v/>
      </c>
      <c r="I2504" t="inlineStr">
        <is>
          <t>016105</t>
        </is>
      </c>
    </row>
    <row r="2505">
      <c r="A2505">
        <f>TRIM(BASE_EQUIPOS!N2505)</f>
        <v/>
      </c>
      <c r="B2505">
        <f>BASE_EQUIPOS!A2505</f>
        <v/>
      </c>
      <c r="C2505">
        <f>BASE_EQUIPOS!B2505</f>
        <v/>
      </c>
      <c r="D2505">
        <f>BASE_EQUIPOS!D2505</f>
        <v/>
      </c>
      <c r="E2505">
        <f>BASE_EQUIPOS!G2505</f>
        <v/>
      </c>
      <c r="F2505">
        <f>BASE_EQUIPOS!H2505</f>
        <v/>
      </c>
      <c r="G2505">
        <f>BASE_EQUIPOS!M2505</f>
        <v/>
      </c>
      <c r="I2505" t="inlineStr">
        <is>
          <t>006396</t>
        </is>
      </c>
    </row>
    <row r="2506">
      <c r="A2506">
        <f>TRIM(BASE_EQUIPOS!N2506)</f>
        <v/>
      </c>
      <c r="B2506">
        <f>BASE_EQUIPOS!A2506</f>
        <v/>
      </c>
      <c r="C2506">
        <f>BASE_EQUIPOS!B2506</f>
        <v/>
      </c>
      <c r="D2506">
        <f>BASE_EQUIPOS!D2506</f>
        <v/>
      </c>
      <c r="E2506">
        <f>BASE_EQUIPOS!G2506</f>
        <v/>
      </c>
      <c r="F2506">
        <f>BASE_EQUIPOS!H2506</f>
        <v/>
      </c>
      <c r="G2506">
        <f>BASE_EQUIPOS!M2506</f>
        <v/>
      </c>
      <c r="I2506" t="inlineStr">
        <is>
          <t>000419</t>
        </is>
      </c>
    </row>
    <row r="2507">
      <c r="A2507">
        <f>TRIM(BASE_EQUIPOS!N2507)</f>
        <v/>
      </c>
      <c r="B2507">
        <f>BASE_EQUIPOS!A2507</f>
        <v/>
      </c>
      <c r="C2507">
        <f>BASE_EQUIPOS!B2507</f>
        <v/>
      </c>
      <c r="D2507">
        <f>BASE_EQUIPOS!D2507</f>
        <v/>
      </c>
      <c r="E2507">
        <f>BASE_EQUIPOS!G2507</f>
        <v/>
      </c>
      <c r="F2507">
        <f>BASE_EQUIPOS!H2507</f>
        <v/>
      </c>
      <c r="G2507">
        <f>BASE_EQUIPOS!M2507</f>
        <v/>
      </c>
      <c r="I2507" t="inlineStr">
        <is>
          <t>000043</t>
        </is>
      </c>
    </row>
    <row r="2508">
      <c r="A2508">
        <f>TRIM(BASE_EQUIPOS!N2508)</f>
        <v/>
      </c>
      <c r="B2508">
        <f>BASE_EQUIPOS!A2508</f>
        <v/>
      </c>
      <c r="C2508">
        <f>BASE_EQUIPOS!B2508</f>
        <v/>
      </c>
      <c r="D2508">
        <f>BASE_EQUIPOS!D2508</f>
        <v/>
      </c>
      <c r="E2508">
        <f>BASE_EQUIPOS!G2508</f>
        <v/>
      </c>
      <c r="F2508">
        <f>BASE_EQUIPOS!H2508</f>
        <v/>
      </c>
      <c r="G2508">
        <f>BASE_EQUIPOS!M2508</f>
        <v/>
      </c>
      <c r="I2508" t="inlineStr">
        <is>
          <t>001143</t>
        </is>
      </c>
    </row>
    <row r="2509">
      <c r="A2509">
        <f>TRIM(BASE_EQUIPOS!N2509)</f>
        <v/>
      </c>
      <c r="B2509">
        <f>BASE_EQUIPOS!A2509</f>
        <v/>
      </c>
      <c r="C2509">
        <f>BASE_EQUIPOS!B2509</f>
        <v/>
      </c>
      <c r="D2509">
        <f>BASE_EQUIPOS!D2509</f>
        <v/>
      </c>
      <c r="E2509">
        <f>BASE_EQUIPOS!G2509</f>
        <v/>
      </c>
      <c r="F2509">
        <f>BASE_EQUIPOS!H2509</f>
        <v/>
      </c>
      <c r="G2509">
        <f>BASE_EQUIPOS!M2509</f>
        <v/>
      </c>
      <c r="I2509" t="inlineStr">
        <is>
          <t>007319</t>
        </is>
      </c>
    </row>
    <row r="2510">
      <c r="A2510">
        <f>TRIM(BASE_EQUIPOS!N2510)</f>
        <v/>
      </c>
      <c r="B2510">
        <f>BASE_EQUIPOS!A2510</f>
        <v/>
      </c>
      <c r="C2510">
        <f>BASE_EQUIPOS!B2510</f>
        <v/>
      </c>
      <c r="D2510">
        <f>BASE_EQUIPOS!D2510</f>
        <v/>
      </c>
      <c r="E2510">
        <f>BASE_EQUIPOS!G2510</f>
        <v/>
      </c>
      <c r="F2510">
        <f>BASE_EQUIPOS!H2510</f>
        <v/>
      </c>
      <c r="G2510">
        <f>BASE_EQUIPOS!M2510</f>
        <v/>
      </c>
      <c r="I2510" t="inlineStr">
        <is>
          <t>010233</t>
        </is>
      </c>
    </row>
    <row r="2511">
      <c r="A2511">
        <f>TRIM(BASE_EQUIPOS!N2511)</f>
        <v/>
      </c>
      <c r="B2511">
        <f>BASE_EQUIPOS!A2511</f>
        <v/>
      </c>
      <c r="C2511">
        <f>BASE_EQUIPOS!B2511</f>
        <v/>
      </c>
      <c r="D2511">
        <f>BASE_EQUIPOS!D2511</f>
        <v/>
      </c>
      <c r="E2511">
        <f>BASE_EQUIPOS!G2511</f>
        <v/>
      </c>
      <c r="F2511">
        <f>BASE_EQUIPOS!H2511</f>
        <v/>
      </c>
      <c r="G2511">
        <f>BASE_EQUIPOS!M2511</f>
        <v/>
      </c>
      <c r="I2511" t="inlineStr">
        <is>
          <t>01/I41241502</t>
        </is>
      </c>
    </row>
    <row r="2512">
      <c r="A2512">
        <f>TRIM(BASE_EQUIPOS!N2512)</f>
        <v/>
      </c>
      <c r="B2512">
        <f>BASE_EQUIPOS!A2512</f>
        <v/>
      </c>
      <c r="C2512">
        <f>BASE_EQUIPOS!B2512</f>
        <v/>
      </c>
      <c r="D2512">
        <f>BASE_EQUIPOS!D2512</f>
        <v/>
      </c>
      <c r="E2512">
        <f>BASE_EQUIPOS!G2512</f>
        <v/>
      </c>
      <c r="F2512">
        <f>BASE_EQUIPOS!H2512</f>
        <v/>
      </c>
      <c r="G2512">
        <f>BASE_EQUIPOS!M2512</f>
        <v/>
      </c>
      <c r="I2512" t="inlineStr">
        <is>
          <t>02/I41244222</t>
        </is>
      </c>
    </row>
    <row r="2513">
      <c r="A2513">
        <f>TRIM(BASE_EQUIPOS!N2513)</f>
        <v/>
      </c>
      <c r="B2513">
        <f>BASE_EQUIPOS!A2513</f>
        <v/>
      </c>
      <c r="C2513">
        <f>BASE_EQUIPOS!B2513</f>
        <v/>
      </c>
      <c r="D2513">
        <f>BASE_EQUIPOS!D2513</f>
        <v/>
      </c>
      <c r="E2513">
        <f>BASE_EQUIPOS!G2513</f>
        <v/>
      </c>
      <c r="F2513">
        <f>BASE_EQUIPOS!H2513</f>
        <v/>
      </c>
      <c r="G2513">
        <f>BASE_EQUIPOS!M2513</f>
        <v/>
      </c>
      <c r="I2513" t="inlineStr">
        <is>
          <t>03/I41241470</t>
        </is>
      </c>
    </row>
    <row r="2514">
      <c r="A2514">
        <f>TRIM(BASE_EQUIPOS!N2514)</f>
        <v/>
      </c>
      <c r="B2514">
        <f>BASE_EQUIPOS!A2514</f>
        <v/>
      </c>
      <c r="C2514">
        <f>BASE_EQUIPOS!B2514</f>
        <v/>
      </c>
      <c r="D2514">
        <f>BASE_EQUIPOS!D2514</f>
        <v/>
      </c>
      <c r="E2514">
        <f>BASE_EQUIPOS!G2514</f>
        <v/>
      </c>
      <c r="F2514">
        <f>BASE_EQUIPOS!H2514</f>
        <v/>
      </c>
      <c r="G2514">
        <f>BASE_EQUIPOS!M2514</f>
        <v/>
      </c>
      <c r="I2514" t="inlineStr">
        <is>
          <t>04/H41356922</t>
        </is>
      </c>
    </row>
    <row r="2515">
      <c r="A2515">
        <f>TRIM(BASE_EQUIPOS!N2515)</f>
        <v/>
      </c>
      <c r="B2515">
        <f>BASE_EQUIPOS!A2515</f>
        <v/>
      </c>
      <c r="C2515">
        <f>BASE_EQUIPOS!B2515</f>
        <v/>
      </c>
      <c r="D2515">
        <f>BASE_EQUIPOS!D2515</f>
        <v/>
      </c>
      <c r="E2515">
        <f>BASE_EQUIPOS!G2515</f>
        <v/>
      </c>
      <c r="F2515">
        <f>BASE_EQUIPOS!H2515</f>
        <v/>
      </c>
      <c r="G2515">
        <f>BASE_EQUIPOS!M2515</f>
        <v/>
      </c>
      <c r="I2515" t="inlineStr">
        <is>
          <t>05/H41356921</t>
        </is>
      </c>
    </row>
    <row r="2516">
      <c r="A2516">
        <f>TRIM(BASE_EQUIPOS!N2516)</f>
        <v/>
      </c>
      <c r="B2516">
        <f>BASE_EQUIPOS!A2516</f>
        <v/>
      </c>
      <c r="C2516">
        <f>BASE_EQUIPOS!B2516</f>
        <v/>
      </c>
      <c r="D2516">
        <f>BASE_EQUIPOS!D2516</f>
        <v/>
      </c>
      <c r="E2516">
        <f>BASE_EQUIPOS!G2516</f>
        <v/>
      </c>
      <c r="F2516">
        <f>BASE_EQUIPOS!H2516</f>
        <v/>
      </c>
      <c r="G2516">
        <f>BASE_EQUIPOS!M2516</f>
        <v/>
      </c>
      <c r="I2516" t="inlineStr">
        <is>
          <t>01/544865</t>
        </is>
      </c>
    </row>
    <row r="2517">
      <c r="A2517">
        <f>TRIM(BASE_EQUIPOS!N2517)</f>
        <v/>
      </c>
      <c r="B2517">
        <f>BASE_EQUIPOS!A2517</f>
        <v/>
      </c>
      <c r="C2517">
        <f>BASE_EQUIPOS!B2517</f>
        <v/>
      </c>
      <c r="D2517">
        <f>BASE_EQUIPOS!D2517</f>
        <v/>
      </c>
      <c r="E2517">
        <f>BASE_EQUIPOS!G2517</f>
        <v/>
      </c>
      <c r="F2517">
        <f>BASE_EQUIPOS!H2517</f>
        <v/>
      </c>
      <c r="G2517">
        <f>BASE_EQUIPOS!M2517</f>
        <v/>
      </c>
      <c r="I2517" t="inlineStr">
        <is>
          <t>04/000277</t>
        </is>
      </c>
    </row>
    <row r="2518">
      <c r="A2518">
        <f>TRIM(BASE_EQUIPOS!N2518)</f>
        <v/>
      </c>
      <c r="B2518">
        <f>BASE_EQUIPOS!A2518</f>
        <v/>
      </c>
      <c r="C2518">
        <f>BASE_EQUIPOS!B2518</f>
        <v/>
      </c>
      <c r="D2518">
        <f>BASE_EQUIPOS!D2518</f>
        <v/>
      </c>
      <c r="E2518">
        <f>BASE_EQUIPOS!G2518</f>
        <v/>
      </c>
      <c r="F2518">
        <f>BASE_EQUIPOS!H2518</f>
        <v/>
      </c>
      <c r="G2518">
        <f>BASE_EQUIPOS!M2518</f>
        <v/>
      </c>
      <c r="I2518" t="inlineStr">
        <is>
          <t>05/000001</t>
        </is>
      </c>
    </row>
    <row r="2519">
      <c r="A2519">
        <f>TRIM(BASE_EQUIPOS!N2519)</f>
        <v/>
      </c>
      <c r="B2519">
        <f>BASE_EQUIPOS!A2519</f>
        <v/>
      </c>
      <c r="C2519">
        <f>BASE_EQUIPOS!B2519</f>
        <v/>
      </c>
      <c r="D2519">
        <f>BASE_EQUIPOS!D2519</f>
        <v/>
      </c>
      <c r="E2519">
        <f>BASE_EQUIPOS!G2519</f>
        <v/>
      </c>
      <c r="F2519">
        <f>BASE_EQUIPOS!H2519</f>
        <v/>
      </c>
      <c r="G2519">
        <f>BASE_EQUIPOS!M2519</f>
        <v/>
      </c>
      <c r="I2519" t="inlineStr">
        <is>
          <t>08/000197</t>
        </is>
      </c>
    </row>
    <row r="2520">
      <c r="A2520">
        <f>TRIM(BASE_EQUIPOS!N2520)</f>
        <v/>
      </c>
      <c r="B2520">
        <f>BASE_EQUIPOS!A2520</f>
        <v/>
      </c>
      <c r="C2520">
        <f>BASE_EQUIPOS!B2520</f>
        <v/>
      </c>
      <c r="D2520">
        <f>BASE_EQUIPOS!D2520</f>
        <v/>
      </c>
      <c r="E2520">
        <f>BASE_EQUIPOS!G2520</f>
        <v/>
      </c>
      <c r="F2520">
        <f>BASE_EQUIPOS!H2520</f>
        <v/>
      </c>
      <c r="G2520">
        <f>BASE_EQUIPOS!M2520</f>
        <v/>
      </c>
      <c r="I2520" t="inlineStr">
        <is>
          <t>10/000195</t>
        </is>
      </c>
    </row>
    <row r="2521">
      <c r="A2521">
        <f>TRIM(BASE_EQUIPOS!N2521)</f>
        <v/>
      </c>
      <c r="B2521">
        <f>BASE_EQUIPOS!A2521</f>
        <v/>
      </c>
      <c r="C2521">
        <f>BASE_EQUIPOS!B2521</f>
        <v/>
      </c>
      <c r="D2521">
        <f>BASE_EQUIPOS!D2521</f>
        <v/>
      </c>
      <c r="E2521">
        <f>BASE_EQUIPOS!G2521</f>
        <v/>
      </c>
      <c r="F2521">
        <f>BASE_EQUIPOS!H2521</f>
        <v/>
      </c>
      <c r="G2521">
        <f>BASE_EQUIPOS!M2521</f>
        <v/>
      </c>
      <c r="I2521" t="inlineStr">
        <is>
          <t>15/001170</t>
        </is>
      </c>
    </row>
    <row r="2522">
      <c r="A2522">
        <f>TRIM(BASE_EQUIPOS!N2522)</f>
        <v/>
      </c>
      <c r="B2522">
        <f>BASE_EQUIPOS!A2522</f>
        <v/>
      </c>
      <c r="C2522">
        <f>BASE_EQUIPOS!B2522</f>
        <v/>
      </c>
      <c r="D2522">
        <f>BASE_EQUIPOS!D2522</f>
        <v/>
      </c>
      <c r="E2522">
        <f>BASE_EQUIPOS!G2522</f>
        <v/>
      </c>
      <c r="F2522">
        <f>BASE_EQUIPOS!H2522</f>
        <v/>
      </c>
      <c r="G2522">
        <f>BASE_EQUIPOS!M2522</f>
        <v/>
      </c>
      <c r="I2522" t="inlineStr">
        <is>
          <t>19/000494</t>
        </is>
      </c>
    </row>
    <row r="2523">
      <c r="A2523">
        <f>TRIM(BASE_EQUIPOS!N2523)</f>
        <v/>
      </c>
      <c r="B2523">
        <f>BASE_EQUIPOS!A2523</f>
        <v/>
      </c>
      <c r="C2523">
        <f>BASE_EQUIPOS!B2523</f>
        <v/>
      </c>
      <c r="D2523">
        <f>BASE_EQUIPOS!D2523</f>
        <v/>
      </c>
      <c r="E2523">
        <f>BASE_EQUIPOS!G2523</f>
        <v/>
      </c>
      <c r="F2523">
        <f>BASE_EQUIPOS!H2523</f>
        <v/>
      </c>
      <c r="G2523">
        <f>BASE_EQUIPOS!M2523</f>
        <v/>
      </c>
      <c r="I2523" t="inlineStr">
        <is>
          <t>21/S/N</t>
        </is>
      </c>
    </row>
    <row r="2524">
      <c r="A2524">
        <f>TRIM(BASE_EQUIPOS!N2524)</f>
        <v/>
      </c>
      <c r="B2524">
        <f>BASE_EQUIPOS!A2524</f>
        <v/>
      </c>
      <c r="C2524">
        <f>BASE_EQUIPOS!B2524</f>
        <v/>
      </c>
      <c r="D2524">
        <f>BASE_EQUIPOS!D2524</f>
        <v/>
      </c>
      <c r="E2524">
        <f>BASE_EQUIPOS!G2524</f>
        <v/>
      </c>
      <c r="F2524">
        <f>BASE_EQUIPOS!H2524</f>
        <v/>
      </c>
      <c r="G2524">
        <f>BASE_EQUIPOS!M2524</f>
        <v/>
      </c>
      <c r="I2524" t="inlineStr">
        <is>
          <t>22/000004</t>
        </is>
      </c>
    </row>
    <row r="2525">
      <c r="A2525">
        <f>TRIM(BASE_EQUIPOS!N2525)</f>
        <v/>
      </c>
      <c r="B2525">
        <f>BASE_EQUIPOS!A2525</f>
        <v/>
      </c>
      <c r="C2525">
        <f>BASE_EQUIPOS!B2525</f>
        <v/>
      </c>
      <c r="D2525">
        <f>BASE_EQUIPOS!D2525</f>
        <v/>
      </c>
      <c r="E2525">
        <f>BASE_EQUIPOS!G2525</f>
        <v/>
      </c>
      <c r="F2525">
        <f>BASE_EQUIPOS!H2525</f>
        <v/>
      </c>
      <c r="G2525">
        <f>BASE_EQUIPOS!M2525</f>
        <v/>
      </c>
      <c r="I2525" t="inlineStr">
        <is>
          <t>24/000665</t>
        </is>
      </c>
    </row>
    <row r="2526">
      <c r="A2526">
        <f>TRIM(BASE_EQUIPOS!N2526)</f>
        <v/>
      </c>
      <c r="B2526">
        <f>BASE_EQUIPOS!A2526</f>
        <v/>
      </c>
      <c r="C2526">
        <f>BASE_EQUIPOS!B2526</f>
        <v/>
      </c>
      <c r="D2526">
        <f>BASE_EQUIPOS!D2526</f>
        <v/>
      </c>
      <c r="E2526">
        <f>BASE_EQUIPOS!G2526</f>
        <v/>
      </c>
      <c r="F2526">
        <f>BASE_EQUIPOS!H2526</f>
        <v/>
      </c>
      <c r="G2526">
        <f>BASE_EQUIPOS!M2526</f>
        <v/>
      </c>
      <c r="I2526" t="inlineStr">
        <is>
          <t>26/000127</t>
        </is>
      </c>
    </row>
    <row r="2527">
      <c r="A2527">
        <f>TRIM(BASE_EQUIPOS!N2527)</f>
        <v/>
      </c>
      <c r="B2527">
        <f>BASE_EQUIPOS!A2527</f>
        <v/>
      </c>
      <c r="C2527">
        <f>BASE_EQUIPOS!B2527</f>
        <v/>
      </c>
      <c r="D2527">
        <f>BASE_EQUIPOS!D2527</f>
        <v/>
      </c>
      <c r="E2527">
        <f>BASE_EQUIPOS!G2527</f>
        <v/>
      </c>
      <c r="F2527">
        <f>BASE_EQUIPOS!H2527</f>
        <v/>
      </c>
      <c r="G2527">
        <f>BASE_EQUIPOS!M2527</f>
        <v/>
      </c>
      <c r="I2527" t="inlineStr">
        <is>
          <t>27/544829</t>
        </is>
      </c>
    </row>
    <row r="2528">
      <c r="A2528">
        <f>TRIM(BASE_EQUIPOS!N2528)</f>
        <v/>
      </c>
      <c r="B2528">
        <f>BASE_EQUIPOS!A2528</f>
        <v/>
      </c>
      <c r="C2528">
        <f>BASE_EQUIPOS!B2528</f>
        <v/>
      </c>
      <c r="D2528">
        <f>BASE_EQUIPOS!D2528</f>
        <v/>
      </c>
      <c r="E2528">
        <f>BASE_EQUIPOS!G2528</f>
        <v/>
      </c>
      <c r="F2528">
        <f>BASE_EQUIPOS!H2528</f>
        <v/>
      </c>
      <c r="G2528">
        <f>BASE_EQUIPOS!M2528</f>
        <v/>
      </c>
      <c r="I2528" t="inlineStr">
        <is>
          <t>28/544853</t>
        </is>
      </c>
    </row>
    <row r="2529">
      <c r="A2529">
        <f>TRIM(BASE_EQUIPOS!N2529)</f>
        <v/>
      </c>
      <c r="B2529">
        <f>BASE_EQUIPOS!A2529</f>
        <v/>
      </c>
      <c r="C2529">
        <f>BASE_EQUIPOS!B2529</f>
        <v/>
      </c>
      <c r="D2529">
        <f>BASE_EQUIPOS!D2529</f>
        <v/>
      </c>
      <c r="E2529">
        <f>BASE_EQUIPOS!G2529</f>
        <v/>
      </c>
      <c r="F2529">
        <f>BASE_EQUIPOS!H2529</f>
        <v/>
      </c>
      <c r="G2529">
        <f>BASE_EQUIPOS!M2529</f>
        <v/>
      </c>
      <c r="I2529" t="inlineStr">
        <is>
          <t>03/310347</t>
        </is>
      </c>
    </row>
    <row r="2530">
      <c r="A2530">
        <f>TRIM(BASE_EQUIPOS!N2530)</f>
        <v/>
      </c>
      <c r="B2530">
        <f>BASE_EQUIPOS!A2530</f>
        <v/>
      </c>
      <c r="C2530">
        <f>BASE_EQUIPOS!B2530</f>
        <v/>
      </c>
      <c r="D2530">
        <f>BASE_EQUIPOS!D2530</f>
        <v/>
      </c>
      <c r="E2530">
        <f>BASE_EQUIPOS!G2530</f>
        <v/>
      </c>
      <c r="F2530">
        <f>BASE_EQUIPOS!H2530</f>
        <v/>
      </c>
      <c r="G2530">
        <f>BASE_EQUIPOS!M2530</f>
        <v/>
      </c>
      <c r="I2530" t="inlineStr">
        <is>
          <t>25/310134</t>
        </is>
      </c>
    </row>
    <row r="2531">
      <c r="A2531">
        <f>TRIM(BASE_EQUIPOS!N2531)</f>
        <v/>
      </c>
      <c r="B2531">
        <f>BASE_EQUIPOS!A2531</f>
        <v/>
      </c>
      <c r="C2531">
        <f>BASE_EQUIPOS!B2531</f>
        <v/>
      </c>
      <c r="D2531">
        <f>BASE_EQUIPOS!D2531</f>
        <v/>
      </c>
      <c r="E2531">
        <f>BASE_EQUIPOS!G2531</f>
        <v/>
      </c>
      <c r="F2531">
        <f>BASE_EQUIPOS!H2531</f>
        <v/>
      </c>
      <c r="G2531">
        <f>BASE_EQUIPOS!M2531</f>
        <v/>
      </c>
      <c r="I2531" t="inlineStr">
        <is>
          <t>156/000375</t>
        </is>
      </c>
    </row>
    <row r="2532">
      <c r="A2532">
        <f>TRIM(BASE_EQUIPOS!N2532)</f>
        <v/>
      </c>
      <c r="B2532">
        <f>BASE_EQUIPOS!A2532</f>
        <v/>
      </c>
      <c r="C2532">
        <f>BASE_EQUIPOS!B2532</f>
        <v/>
      </c>
      <c r="D2532">
        <f>BASE_EQUIPOS!D2532</f>
        <v/>
      </c>
      <c r="E2532">
        <f>BASE_EQUIPOS!G2532</f>
        <v/>
      </c>
      <c r="F2532">
        <f>BASE_EQUIPOS!H2532</f>
        <v/>
      </c>
      <c r="G2532">
        <f>BASE_EQUIPOS!M2532</f>
        <v/>
      </c>
      <c r="I2532" t="inlineStr">
        <is>
          <t>170/006511</t>
        </is>
      </c>
    </row>
    <row r="2533">
      <c r="A2533">
        <f>TRIM(BASE_EQUIPOS!N2533)</f>
        <v/>
      </c>
      <c r="B2533">
        <f>BASE_EQUIPOS!A2533</f>
        <v/>
      </c>
      <c r="C2533">
        <f>BASE_EQUIPOS!B2533</f>
        <v/>
      </c>
      <c r="D2533">
        <f>BASE_EQUIPOS!D2533</f>
        <v/>
      </c>
      <c r="E2533">
        <f>BASE_EQUIPOS!G2533</f>
        <v/>
      </c>
      <c r="F2533">
        <f>BASE_EQUIPOS!H2533</f>
        <v/>
      </c>
      <c r="G2533">
        <f>BASE_EQUIPOS!M2533</f>
        <v/>
      </c>
      <c r="I2533" t="inlineStr">
        <is>
          <t>0001458</t>
        </is>
      </c>
    </row>
    <row r="2534">
      <c r="A2534">
        <f>TRIM(BASE_EQUIPOS!N2534)</f>
        <v/>
      </c>
      <c r="B2534">
        <f>BASE_EQUIPOS!A2534</f>
        <v/>
      </c>
      <c r="C2534">
        <f>BASE_EQUIPOS!B2534</f>
        <v/>
      </c>
      <c r="D2534">
        <f>BASE_EQUIPOS!D2534</f>
        <v/>
      </c>
      <c r="E2534">
        <f>BASE_EQUIPOS!G2534</f>
        <v/>
      </c>
      <c r="F2534">
        <f>BASE_EQUIPOS!H2534</f>
        <v/>
      </c>
      <c r="G2534">
        <f>BASE_EQUIPOS!M2534</f>
        <v/>
      </c>
      <c r="I2534" t="inlineStr">
        <is>
          <t>000476</t>
        </is>
      </c>
    </row>
    <row r="2535">
      <c r="A2535">
        <f>TRIM(BASE_EQUIPOS!N2535)</f>
        <v/>
      </c>
      <c r="B2535">
        <f>BASE_EQUIPOS!A2535</f>
        <v/>
      </c>
      <c r="C2535">
        <f>BASE_EQUIPOS!B2535</f>
        <v/>
      </c>
      <c r="D2535">
        <f>BASE_EQUIPOS!D2535</f>
        <v/>
      </c>
      <c r="E2535">
        <f>BASE_EQUIPOS!G2535</f>
        <v/>
      </c>
      <c r="F2535">
        <f>BASE_EQUIPOS!H2535</f>
        <v/>
      </c>
      <c r="G2535">
        <f>BASE_EQUIPOS!M2535</f>
        <v/>
      </c>
      <c r="I2535" t="inlineStr">
        <is>
          <t>A01/000667</t>
        </is>
      </c>
    </row>
    <row r="2536">
      <c r="A2536">
        <f>TRIM(BASE_EQUIPOS!N2536)</f>
        <v/>
      </c>
      <c r="B2536">
        <f>BASE_EQUIPOS!A2536</f>
        <v/>
      </c>
      <c r="C2536">
        <f>BASE_EQUIPOS!B2536</f>
        <v/>
      </c>
      <c r="D2536">
        <f>BASE_EQUIPOS!D2536</f>
        <v/>
      </c>
      <c r="E2536">
        <f>BASE_EQUIPOS!G2536</f>
        <v/>
      </c>
      <c r="F2536">
        <f>BASE_EQUIPOS!H2536</f>
        <v/>
      </c>
      <c r="G2536">
        <f>BASE_EQUIPOS!M2536</f>
        <v/>
      </c>
      <c r="I2536" t="inlineStr">
        <is>
          <t>157/000445</t>
        </is>
      </c>
    </row>
    <row r="2537">
      <c r="A2537">
        <f>TRIM(BASE_EQUIPOS!N2537)</f>
        <v/>
      </c>
      <c r="B2537">
        <f>BASE_EQUIPOS!A2537</f>
        <v/>
      </c>
      <c r="C2537">
        <f>BASE_EQUIPOS!B2537</f>
        <v/>
      </c>
      <c r="D2537">
        <f>BASE_EQUIPOS!D2537</f>
        <v/>
      </c>
      <c r="E2537">
        <f>BASE_EQUIPOS!G2537</f>
        <v/>
      </c>
      <c r="F2537">
        <f>BASE_EQUIPOS!H2537</f>
        <v/>
      </c>
      <c r="G2537">
        <f>BASE_EQUIPOS!M2537</f>
        <v/>
      </c>
      <c r="I2537" t="inlineStr">
        <is>
          <t>108/00008</t>
        </is>
      </c>
    </row>
    <row r="2538">
      <c r="A2538">
        <f>TRIM(BASE_EQUIPOS!N2538)</f>
        <v/>
      </c>
      <c r="B2538">
        <f>BASE_EQUIPOS!A2538</f>
        <v/>
      </c>
      <c r="C2538">
        <f>BASE_EQUIPOS!B2538</f>
        <v/>
      </c>
      <c r="D2538">
        <f>BASE_EQUIPOS!D2538</f>
        <v/>
      </c>
      <c r="E2538">
        <f>BASE_EQUIPOS!G2538</f>
        <v/>
      </c>
      <c r="F2538">
        <f>BASE_EQUIPOS!H2538</f>
        <v/>
      </c>
      <c r="G2538">
        <f>BASE_EQUIPOS!M2538</f>
        <v/>
      </c>
      <c r="I2538" t="inlineStr">
        <is>
          <t>30/N/R</t>
        </is>
      </c>
    </row>
    <row r="2539">
      <c r="A2539">
        <f>TRIM(BASE_EQUIPOS!N2539)</f>
        <v/>
      </c>
      <c r="B2539">
        <f>BASE_EQUIPOS!A2539</f>
        <v/>
      </c>
      <c r="C2539">
        <f>BASE_EQUIPOS!B2539</f>
        <v/>
      </c>
      <c r="D2539">
        <f>BASE_EQUIPOS!D2539</f>
        <v/>
      </c>
      <c r="E2539">
        <f>BASE_EQUIPOS!G2539</f>
        <v/>
      </c>
      <c r="F2539">
        <f>BASE_EQUIPOS!H2539</f>
        <v/>
      </c>
      <c r="G2539">
        <f>BASE_EQUIPOS!M2539</f>
        <v/>
      </c>
      <c r="I2539" t="inlineStr">
        <is>
          <t>05/000163</t>
        </is>
      </c>
    </row>
    <row r="2540">
      <c r="A2540">
        <f>TRIM(BASE_EQUIPOS!N2540)</f>
        <v/>
      </c>
      <c r="B2540">
        <f>BASE_EQUIPOS!A2540</f>
        <v/>
      </c>
      <c r="C2540">
        <f>BASE_EQUIPOS!B2540</f>
        <v/>
      </c>
      <c r="D2540">
        <f>BASE_EQUIPOS!D2540</f>
        <v/>
      </c>
      <c r="E2540">
        <f>BASE_EQUIPOS!G2540</f>
        <v/>
      </c>
      <c r="F2540">
        <f>BASE_EQUIPOS!H2540</f>
        <v/>
      </c>
      <c r="G2540">
        <f>BASE_EQUIPOS!M2540</f>
        <v/>
      </c>
      <c r="I2540" t="inlineStr">
        <is>
          <t>25/N/R</t>
        </is>
      </c>
    </row>
    <row r="2541">
      <c r="A2541">
        <f>TRIM(BASE_EQUIPOS!N2541)</f>
        <v/>
      </c>
      <c r="B2541">
        <f>BASE_EQUIPOS!A2541</f>
        <v/>
      </c>
      <c r="C2541">
        <f>BASE_EQUIPOS!B2541</f>
        <v/>
      </c>
      <c r="D2541">
        <f>BASE_EQUIPOS!D2541</f>
        <v/>
      </c>
      <c r="E2541">
        <f>BASE_EQUIPOS!G2541</f>
        <v/>
      </c>
      <c r="F2541">
        <f>BASE_EQUIPOS!H2541</f>
        <v/>
      </c>
      <c r="G2541">
        <f>BASE_EQUIPOS!M2541</f>
        <v/>
      </c>
      <c r="I2541" t="inlineStr">
        <is>
          <t>26/000397</t>
        </is>
      </c>
    </row>
    <row r="2542">
      <c r="A2542">
        <f>TRIM(BASE_EQUIPOS!N2542)</f>
        <v/>
      </c>
      <c r="B2542">
        <f>BASE_EQUIPOS!A2542</f>
        <v/>
      </c>
      <c r="C2542">
        <f>BASE_EQUIPOS!B2542</f>
        <v/>
      </c>
      <c r="D2542">
        <f>BASE_EQUIPOS!D2542</f>
        <v/>
      </c>
      <c r="E2542">
        <f>BASE_EQUIPOS!G2542</f>
        <v/>
      </c>
      <c r="F2542">
        <f>BASE_EQUIPOS!H2542</f>
        <v/>
      </c>
      <c r="G2542">
        <f>BASE_EQUIPOS!M2542</f>
        <v/>
      </c>
      <c r="I2542" t="inlineStr">
        <is>
          <t>01/000387</t>
        </is>
      </c>
    </row>
    <row r="2543">
      <c r="A2543">
        <f>TRIM(BASE_EQUIPOS!N2543)</f>
        <v/>
      </c>
      <c r="B2543">
        <f>BASE_EQUIPOS!A2543</f>
        <v/>
      </c>
      <c r="C2543">
        <f>BASE_EQUIPOS!B2543</f>
        <v/>
      </c>
      <c r="D2543">
        <f>BASE_EQUIPOS!D2543</f>
        <v/>
      </c>
      <c r="E2543">
        <f>BASE_EQUIPOS!G2543</f>
        <v/>
      </c>
      <c r="F2543">
        <f>BASE_EQUIPOS!H2543</f>
        <v/>
      </c>
      <c r="G2543">
        <f>BASE_EQUIPOS!M2543</f>
        <v/>
      </c>
      <c r="I2543" t="inlineStr">
        <is>
          <t>05/000887</t>
        </is>
      </c>
    </row>
    <row r="2544">
      <c r="A2544">
        <f>TRIM(BASE_EQUIPOS!N2544)</f>
        <v/>
      </c>
      <c r="B2544">
        <f>BASE_EQUIPOS!A2544</f>
        <v/>
      </c>
      <c r="C2544">
        <f>BASE_EQUIPOS!B2544</f>
        <v/>
      </c>
      <c r="D2544">
        <f>BASE_EQUIPOS!D2544</f>
        <v/>
      </c>
      <c r="E2544">
        <f>BASE_EQUIPOS!G2544</f>
        <v/>
      </c>
      <c r="F2544">
        <f>BASE_EQUIPOS!H2544</f>
        <v/>
      </c>
      <c r="G2544">
        <f>BASE_EQUIPOS!M2544</f>
        <v/>
      </c>
      <c r="I2544" t="inlineStr">
        <is>
          <t>01/000494</t>
        </is>
      </c>
    </row>
    <row r="2545">
      <c r="A2545">
        <f>TRIM(BASE_EQUIPOS!N2545)</f>
        <v/>
      </c>
      <c r="B2545">
        <f>BASE_EQUIPOS!A2545</f>
        <v/>
      </c>
      <c r="C2545">
        <f>BASE_EQUIPOS!B2545</f>
        <v/>
      </c>
      <c r="D2545">
        <f>BASE_EQUIPOS!D2545</f>
        <v/>
      </c>
      <c r="E2545">
        <f>BASE_EQUIPOS!G2545</f>
        <v/>
      </c>
      <c r="F2545">
        <f>BASE_EQUIPOS!H2545</f>
        <v/>
      </c>
      <c r="G2545">
        <f>BASE_EQUIPOS!M2545</f>
        <v/>
      </c>
      <c r="I2545" t="inlineStr">
        <is>
          <t>03/001273</t>
        </is>
      </c>
    </row>
    <row r="2546">
      <c r="A2546">
        <f>TRIM(BASE_EQUIPOS!N2546)</f>
        <v/>
      </c>
      <c r="B2546">
        <f>BASE_EQUIPOS!A2546</f>
        <v/>
      </c>
      <c r="C2546">
        <f>BASE_EQUIPOS!B2546</f>
        <v/>
      </c>
      <c r="D2546">
        <f>BASE_EQUIPOS!D2546</f>
        <v/>
      </c>
      <c r="E2546">
        <f>BASE_EQUIPOS!G2546</f>
        <v/>
      </c>
      <c r="F2546">
        <f>BASE_EQUIPOS!H2546</f>
        <v/>
      </c>
      <c r="G2546">
        <f>BASE_EQUIPOS!M2546</f>
        <v/>
      </c>
      <c r="I2546" t="inlineStr">
        <is>
          <t>04/003098</t>
        </is>
      </c>
    </row>
    <row r="2547">
      <c r="A2547">
        <f>TRIM(BASE_EQUIPOS!N2547)</f>
        <v/>
      </c>
      <c r="B2547">
        <f>BASE_EQUIPOS!A2547</f>
        <v/>
      </c>
      <c r="C2547">
        <f>BASE_EQUIPOS!B2547</f>
        <v/>
      </c>
      <c r="D2547">
        <f>BASE_EQUIPOS!D2547</f>
        <v/>
      </c>
      <c r="E2547">
        <f>BASE_EQUIPOS!G2547</f>
        <v/>
      </c>
      <c r="F2547">
        <f>BASE_EQUIPOS!H2547</f>
        <v/>
      </c>
      <c r="G2547">
        <f>BASE_EQUIPOS!M2547</f>
        <v/>
      </c>
      <c r="I2547" t="inlineStr">
        <is>
          <t>06/000318</t>
        </is>
      </c>
    </row>
    <row r="2548">
      <c r="A2548">
        <f>TRIM(BASE_EQUIPOS!N2548)</f>
        <v/>
      </c>
      <c r="B2548">
        <f>BASE_EQUIPOS!A2548</f>
        <v/>
      </c>
      <c r="C2548">
        <f>BASE_EQUIPOS!B2548</f>
        <v/>
      </c>
      <c r="D2548">
        <f>BASE_EQUIPOS!D2548</f>
        <v/>
      </c>
      <c r="E2548">
        <f>BASE_EQUIPOS!G2548</f>
        <v/>
      </c>
      <c r="F2548">
        <f>BASE_EQUIPOS!H2548</f>
        <v/>
      </c>
      <c r="G2548">
        <f>BASE_EQUIPOS!M2548</f>
        <v/>
      </c>
      <c r="I2548" t="inlineStr">
        <is>
          <t>07/000140</t>
        </is>
      </c>
    </row>
    <row r="2549">
      <c r="A2549">
        <f>TRIM(BASE_EQUIPOS!N2549)</f>
        <v/>
      </c>
      <c r="B2549">
        <f>BASE_EQUIPOS!A2549</f>
        <v/>
      </c>
      <c r="C2549">
        <f>BASE_EQUIPOS!B2549</f>
        <v/>
      </c>
      <c r="D2549">
        <f>BASE_EQUIPOS!D2549</f>
        <v/>
      </c>
      <c r="E2549">
        <f>BASE_EQUIPOS!G2549</f>
        <v/>
      </c>
      <c r="F2549">
        <f>BASE_EQUIPOS!H2549</f>
        <v/>
      </c>
      <c r="G2549">
        <f>BASE_EQUIPOS!M2549</f>
        <v/>
      </c>
      <c r="I2549" t="inlineStr">
        <is>
          <t>03/000342</t>
        </is>
      </c>
    </row>
    <row r="2550">
      <c r="A2550">
        <f>TRIM(BASE_EQUIPOS!N2550)</f>
        <v/>
      </c>
      <c r="B2550">
        <f>BASE_EQUIPOS!A2550</f>
        <v/>
      </c>
      <c r="C2550">
        <f>BASE_EQUIPOS!B2550</f>
        <v/>
      </c>
      <c r="D2550">
        <f>BASE_EQUIPOS!D2550</f>
        <v/>
      </c>
      <c r="E2550">
        <f>BASE_EQUIPOS!G2550</f>
        <v/>
      </c>
      <c r="F2550">
        <f>BASE_EQUIPOS!H2550</f>
        <v/>
      </c>
      <c r="G2550">
        <f>BASE_EQUIPOS!M2550</f>
        <v/>
      </c>
      <c r="I2550" t="inlineStr">
        <is>
          <t>18/011194</t>
        </is>
      </c>
    </row>
    <row r="2551">
      <c r="A2551">
        <f>TRIM(BASE_EQUIPOS!N2551)</f>
        <v/>
      </c>
      <c r="B2551">
        <f>BASE_EQUIPOS!A2551</f>
        <v/>
      </c>
      <c r="C2551">
        <f>BASE_EQUIPOS!B2551</f>
        <v/>
      </c>
      <c r="D2551">
        <f>BASE_EQUIPOS!D2551</f>
        <v/>
      </c>
      <c r="E2551">
        <f>BASE_EQUIPOS!G2551</f>
        <v/>
      </c>
      <c r="F2551">
        <f>BASE_EQUIPOS!H2551</f>
        <v/>
      </c>
      <c r="G2551">
        <f>BASE_EQUIPOS!M2551</f>
        <v/>
      </c>
      <c r="I2551" t="inlineStr">
        <is>
          <t>19/011088</t>
        </is>
      </c>
    </row>
    <row r="2552">
      <c r="A2552">
        <f>TRIM(BASE_EQUIPOS!N2552)</f>
        <v/>
      </c>
      <c r="B2552">
        <f>BASE_EQUIPOS!A2552</f>
        <v/>
      </c>
      <c r="C2552">
        <f>BASE_EQUIPOS!B2552</f>
        <v/>
      </c>
      <c r="D2552">
        <f>BASE_EQUIPOS!D2552</f>
        <v/>
      </c>
      <c r="E2552">
        <f>BASE_EQUIPOS!G2552</f>
        <v/>
      </c>
      <c r="F2552">
        <f>BASE_EQUIPOS!H2552</f>
        <v/>
      </c>
      <c r="G2552">
        <f>BASE_EQUIPOS!M2552</f>
        <v/>
      </c>
      <c r="I2552" t="inlineStr">
        <is>
          <t>20/011886</t>
        </is>
      </c>
    </row>
    <row r="2553">
      <c r="A2553">
        <f>TRIM(BASE_EQUIPOS!N2553)</f>
        <v/>
      </c>
      <c r="B2553">
        <f>BASE_EQUIPOS!A2553</f>
        <v/>
      </c>
      <c r="C2553">
        <f>BASE_EQUIPOS!B2553</f>
        <v/>
      </c>
      <c r="D2553">
        <f>BASE_EQUIPOS!D2553</f>
        <v/>
      </c>
      <c r="E2553">
        <f>BASE_EQUIPOS!G2553</f>
        <v/>
      </c>
      <c r="F2553">
        <f>BASE_EQUIPOS!H2553</f>
        <v/>
      </c>
      <c r="G2553">
        <f>BASE_EQUIPOS!M2553</f>
        <v/>
      </c>
      <c r="I2553" t="inlineStr">
        <is>
          <t>21/011071</t>
        </is>
      </c>
    </row>
    <row r="2554">
      <c r="A2554">
        <f>TRIM(BASE_EQUIPOS!N2554)</f>
        <v/>
      </c>
      <c r="B2554">
        <f>BASE_EQUIPOS!A2554</f>
        <v/>
      </c>
      <c r="C2554">
        <f>BASE_EQUIPOS!B2554</f>
        <v/>
      </c>
      <c r="D2554">
        <f>BASE_EQUIPOS!D2554</f>
        <v/>
      </c>
      <c r="E2554">
        <f>BASE_EQUIPOS!G2554</f>
        <v/>
      </c>
      <c r="F2554">
        <f>BASE_EQUIPOS!H2554</f>
        <v/>
      </c>
      <c r="G2554">
        <f>BASE_EQUIPOS!M2554</f>
        <v/>
      </c>
      <c r="I2554" t="inlineStr">
        <is>
          <t>22/011552</t>
        </is>
      </c>
    </row>
    <row r="2555">
      <c r="A2555">
        <f>TRIM(BASE_EQUIPOS!N2555)</f>
        <v/>
      </c>
      <c r="B2555">
        <f>BASE_EQUIPOS!A2555</f>
        <v/>
      </c>
      <c r="C2555">
        <f>BASE_EQUIPOS!B2555</f>
        <v/>
      </c>
      <c r="D2555">
        <f>BASE_EQUIPOS!D2555</f>
        <v/>
      </c>
      <c r="E2555">
        <f>BASE_EQUIPOS!G2555</f>
        <v/>
      </c>
      <c r="F2555">
        <f>BASE_EQUIPOS!H2555</f>
        <v/>
      </c>
      <c r="G2555">
        <f>BASE_EQUIPOS!M2555</f>
        <v/>
      </c>
      <c r="I2555" t="inlineStr">
        <is>
          <t>24/000240</t>
        </is>
      </c>
    </row>
    <row r="2556">
      <c r="A2556">
        <f>TRIM(BASE_EQUIPOS!N2556)</f>
        <v/>
      </c>
      <c r="B2556">
        <f>BASE_EQUIPOS!A2556</f>
        <v/>
      </c>
      <c r="C2556">
        <f>BASE_EQUIPOS!B2556</f>
        <v/>
      </c>
      <c r="D2556">
        <f>BASE_EQUIPOS!D2556</f>
        <v/>
      </c>
      <c r="E2556">
        <f>BASE_EQUIPOS!G2556</f>
        <v/>
      </c>
      <c r="F2556">
        <f>BASE_EQUIPOS!H2556</f>
        <v/>
      </c>
      <c r="G2556">
        <f>BASE_EQUIPOS!M2556</f>
        <v/>
      </c>
      <c r="I2556" t="inlineStr">
        <is>
          <t>32/000471</t>
        </is>
      </c>
    </row>
    <row r="2557">
      <c r="A2557">
        <f>TRIM(BASE_EQUIPOS!N2557)</f>
        <v/>
      </c>
      <c r="B2557">
        <f>BASE_EQUIPOS!A2557</f>
        <v/>
      </c>
      <c r="C2557">
        <f>BASE_EQUIPOS!B2557</f>
        <v/>
      </c>
      <c r="D2557">
        <f>BASE_EQUIPOS!D2557</f>
        <v/>
      </c>
      <c r="E2557">
        <f>BASE_EQUIPOS!G2557</f>
        <v/>
      </c>
      <c r="F2557">
        <f>BASE_EQUIPOS!H2557</f>
        <v/>
      </c>
      <c r="G2557">
        <f>BASE_EQUIPOS!M2557</f>
        <v/>
      </c>
      <c r="I2557" t="inlineStr">
        <is>
          <t>01/000697</t>
        </is>
      </c>
    </row>
    <row r="2558">
      <c r="A2558">
        <f>TRIM(BASE_EQUIPOS!N2558)</f>
        <v/>
      </c>
      <c r="B2558">
        <f>BASE_EQUIPOS!A2558</f>
        <v/>
      </c>
      <c r="C2558">
        <f>BASE_EQUIPOS!B2558</f>
        <v/>
      </c>
      <c r="D2558">
        <f>BASE_EQUIPOS!D2558</f>
        <v/>
      </c>
      <c r="E2558">
        <f>BASE_EQUIPOS!G2558</f>
        <v/>
      </c>
      <c r="F2558">
        <f>BASE_EQUIPOS!H2558</f>
        <v/>
      </c>
      <c r="G2558">
        <f>BASE_EQUIPOS!M2558</f>
        <v/>
      </c>
      <c r="I2558" t="inlineStr">
        <is>
          <t>03/000113</t>
        </is>
      </c>
    </row>
    <row r="2559">
      <c r="A2559">
        <f>TRIM(BASE_EQUIPOS!N2559)</f>
        <v/>
      </c>
      <c r="B2559">
        <f>BASE_EQUIPOS!A2559</f>
        <v/>
      </c>
      <c r="C2559">
        <f>BASE_EQUIPOS!B2559</f>
        <v/>
      </c>
      <c r="D2559">
        <f>BASE_EQUIPOS!D2559</f>
        <v/>
      </c>
      <c r="E2559">
        <f>BASE_EQUIPOS!G2559</f>
        <v/>
      </c>
      <c r="F2559">
        <f>BASE_EQUIPOS!H2559</f>
        <v/>
      </c>
      <c r="G2559">
        <f>BASE_EQUIPOS!M2559</f>
        <v/>
      </c>
      <c r="I2559" t="inlineStr">
        <is>
          <t>04/000984</t>
        </is>
      </c>
    </row>
    <row r="2560">
      <c r="A2560">
        <f>TRIM(BASE_EQUIPOS!N2560)</f>
        <v/>
      </c>
      <c r="B2560">
        <f>BASE_EQUIPOS!A2560</f>
        <v/>
      </c>
      <c r="C2560">
        <f>BASE_EQUIPOS!B2560</f>
        <v/>
      </c>
      <c r="D2560">
        <f>BASE_EQUIPOS!D2560</f>
        <v/>
      </c>
      <c r="E2560">
        <f>BASE_EQUIPOS!G2560</f>
        <v/>
      </c>
      <c r="F2560">
        <f>BASE_EQUIPOS!H2560</f>
        <v/>
      </c>
      <c r="G2560">
        <f>BASE_EQUIPOS!M2560</f>
        <v/>
      </c>
      <c r="I2560" t="inlineStr">
        <is>
          <t>05/001645</t>
        </is>
      </c>
    </row>
    <row r="2561">
      <c r="A2561">
        <f>TRIM(BASE_EQUIPOS!N2561)</f>
        <v/>
      </c>
      <c r="B2561">
        <f>BASE_EQUIPOS!A2561</f>
        <v/>
      </c>
      <c r="C2561">
        <f>BASE_EQUIPOS!B2561</f>
        <v/>
      </c>
      <c r="D2561">
        <f>BASE_EQUIPOS!D2561</f>
        <v/>
      </c>
      <c r="E2561">
        <f>BASE_EQUIPOS!G2561</f>
        <v/>
      </c>
      <c r="F2561">
        <f>BASE_EQUIPOS!H2561</f>
        <v/>
      </c>
      <c r="G2561">
        <f>BASE_EQUIPOS!M2561</f>
        <v/>
      </c>
      <c r="I2561" t="inlineStr">
        <is>
          <t>06/000470</t>
        </is>
      </c>
    </row>
    <row r="2562">
      <c r="A2562">
        <f>TRIM(BASE_EQUIPOS!N2562)</f>
        <v/>
      </c>
      <c r="B2562">
        <f>BASE_EQUIPOS!A2562</f>
        <v/>
      </c>
      <c r="C2562">
        <f>BASE_EQUIPOS!B2562</f>
        <v/>
      </c>
      <c r="D2562">
        <f>BASE_EQUIPOS!D2562</f>
        <v/>
      </c>
      <c r="E2562">
        <f>BASE_EQUIPOS!G2562</f>
        <v/>
      </c>
      <c r="F2562">
        <f>BASE_EQUIPOS!H2562</f>
        <v/>
      </c>
      <c r="G2562">
        <f>BASE_EQUIPOS!M2562</f>
        <v/>
      </c>
      <c r="I2562" t="inlineStr">
        <is>
          <t>07/000762</t>
        </is>
      </c>
    </row>
    <row r="2563">
      <c r="A2563">
        <f>TRIM(BASE_EQUIPOS!N2563)</f>
        <v/>
      </c>
      <c r="B2563">
        <f>BASE_EQUIPOS!A2563</f>
        <v/>
      </c>
      <c r="C2563">
        <f>BASE_EQUIPOS!B2563</f>
        <v/>
      </c>
      <c r="D2563">
        <f>BASE_EQUIPOS!D2563</f>
        <v/>
      </c>
      <c r="E2563">
        <f>BASE_EQUIPOS!G2563</f>
        <v/>
      </c>
      <c r="F2563">
        <f>BASE_EQUIPOS!H2563</f>
        <v/>
      </c>
      <c r="G2563">
        <f>BASE_EQUIPOS!M2563</f>
        <v/>
      </c>
      <c r="I2563" t="inlineStr">
        <is>
          <t>08/000035</t>
        </is>
      </c>
    </row>
    <row r="2564">
      <c r="A2564">
        <f>TRIM(BASE_EQUIPOS!N2564)</f>
        <v/>
      </c>
      <c r="B2564">
        <f>BASE_EQUIPOS!A2564</f>
        <v/>
      </c>
      <c r="C2564">
        <f>BASE_EQUIPOS!B2564</f>
        <v/>
      </c>
      <c r="D2564">
        <f>BASE_EQUIPOS!D2564</f>
        <v/>
      </c>
      <c r="E2564">
        <f>BASE_EQUIPOS!G2564</f>
        <v/>
      </c>
      <c r="F2564">
        <f>BASE_EQUIPOS!H2564</f>
        <v/>
      </c>
      <c r="G2564">
        <f>BASE_EQUIPOS!M2564</f>
        <v/>
      </c>
      <c r="I2564" t="inlineStr">
        <is>
          <t>09/000178</t>
        </is>
      </c>
    </row>
    <row r="2565">
      <c r="A2565">
        <f>TRIM(BASE_EQUIPOS!N2565)</f>
        <v/>
      </c>
      <c r="B2565">
        <f>BASE_EQUIPOS!A2565</f>
        <v/>
      </c>
      <c r="C2565">
        <f>BASE_EQUIPOS!B2565</f>
        <v/>
      </c>
      <c r="D2565">
        <f>BASE_EQUIPOS!D2565</f>
        <v/>
      </c>
      <c r="E2565">
        <f>BASE_EQUIPOS!G2565</f>
        <v/>
      </c>
      <c r="F2565">
        <f>BASE_EQUIPOS!H2565</f>
        <v/>
      </c>
      <c r="G2565">
        <f>BASE_EQUIPOS!M2565</f>
        <v/>
      </c>
      <c r="I2565" t="inlineStr">
        <is>
          <t>01/000232</t>
        </is>
      </c>
    </row>
    <row r="2566">
      <c r="A2566">
        <f>TRIM(BASE_EQUIPOS!N2566)</f>
        <v/>
      </c>
      <c r="B2566">
        <f>BASE_EQUIPOS!A2566</f>
        <v/>
      </c>
      <c r="C2566">
        <f>BASE_EQUIPOS!B2566</f>
        <v/>
      </c>
      <c r="D2566">
        <f>BASE_EQUIPOS!D2566</f>
        <v/>
      </c>
      <c r="E2566">
        <f>BASE_EQUIPOS!G2566</f>
        <v/>
      </c>
      <c r="F2566">
        <f>BASE_EQUIPOS!H2566</f>
        <v/>
      </c>
      <c r="G2566">
        <f>BASE_EQUIPOS!M2566</f>
        <v/>
      </c>
      <c r="I2566" t="inlineStr">
        <is>
          <t>02/405699</t>
        </is>
      </c>
    </row>
    <row r="2567">
      <c r="A2567">
        <f>TRIM(BASE_EQUIPOS!N2567)</f>
        <v/>
      </c>
      <c r="B2567">
        <f>BASE_EQUIPOS!A2567</f>
        <v/>
      </c>
      <c r="C2567">
        <f>BASE_EQUIPOS!B2567</f>
        <v/>
      </c>
      <c r="D2567">
        <f>BASE_EQUIPOS!D2567</f>
        <v/>
      </c>
      <c r="E2567">
        <f>BASE_EQUIPOS!G2567</f>
        <v/>
      </c>
      <c r="F2567">
        <f>BASE_EQUIPOS!H2567</f>
        <v/>
      </c>
      <c r="G2567">
        <f>BASE_EQUIPOS!M2567</f>
        <v/>
      </c>
      <c r="I2567" t="inlineStr">
        <is>
          <t>14/002292</t>
        </is>
      </c>
    </row>
    <row r="2568">
      <c r="A2568">
        <f>TRIM(BASE_EQUIPOS!N2568)</f>
        <v/>
      </c>
      <c r="B2568">
        <f>BASE_EQUIPOS!A2568</f>
        <v/>
      </c>
      <c r="C2568">
        <f>BASE_EQUIPOS!B2568</f>
        <v/>
      </c>
      <c r="D2568">
        <f>BASE_EQUIPOS!D2568</f>
        <v/>
      </c>
      <c r="E2568">
        <f>BASE_EQUIPOS!G2568</f>
        <v/>
      </c>
      <c r="F2568">
        <f>BASE_EQUIPOS!H2568</f>
        <v/>
      </c>
      <c r="G2568">
        <f>BASE_EQUIPOS!M2568</f>
        <v/>
      </c>
      <c r="I2568" t="inlineStr">
        <is>
          <t>15/002481</t>
        </is>
      </c>
    </row>
    <row r="2569">
      <c r="A2569">
        <f>TRIM(BASE_EQUIPOS!N2569)</f>
        <v/>
      </c>
      <c r="B2569">
        <f>BASE_EQUIPOS!A2569</f>
        <v/>
      </c>
      <c r="C2569">
        <f>BASE_EQUIPOS!B2569</f>
        <v/>
      </c>
      <c r="D2569">
        <f>BASE_EQUIPOS!D2569</f>
        <v/>
      </c>
      <c r="E2569">
        <f>BASE_EQUIPOS!G2569</f>
        <v/>
      </c>
      <c r="F2569">
        <f>BASE_EQUIPOS!H2569</f>
        <v/>
      </c>
      <c r="G2569">
        <f>BASE_EQUIPOS!M2569</f>
        <v/>
      </c>
      <c r="I2569" t="inlineStr">
        <is>
          <t>16/001155</t>
        </is>
      </c>
    </row>
    <row r="2570">
      <c r="A2570">
        <f>TRIM(BASE_EQUIPOS!N2570)</f>
        <v/>
      </c>
      <c r="B2570">
        <f>BASE_EQUIPOS!A2570</f>
        <v/>
      </c>
      <c r="C2570">
        <f>BASE_EQUIPOS!B2570</f>
        <v/>
      </c>
      <c r="D2570">
        <f>BASE_EQUIPOS!D2570</f>
        <v/>
      </c>
      <c r="E2570">
        <f>BASE_EQUIPOS!G2570</f>
        <v/>
      </c>
      <c r="F2570">
        <f>BASE_EQUIPOS!H2570</f>
        <v/>
      </c>
      <c r="G2570">
        <f>BASE_EQUIPOS!M2570</f>
        <v/>
      </c>
      <c r="I2570" t="inlineStr">
        <is>
          <t>18/000156</t>
        </is>
      </c>
    </row>
    <row r="2571">
      <c r="A2571">
        <f>TRIM(BASE_EQUIPOS!N2571)</f>
        <v/>
      </c>
      <c r="B2571">
        <f>BASE_EQUIPOS!A2571</f>
        <v/>
      </c>
      <c r="C2571">
        <f>BASE_EQUIPOS!B2571</f>
        <v/>
      </c>
      <c r="D2571">
        <f>BASE_EQUIPOS!D2571</f>
        <v/>
      </c>
      <c r="E2571">
        <f>BASE_EQUIPOS!G2571</f>
        <v/>
      </c>
      <c r="F2571">
        <f>BASE_EQUIPOS!H2571</f>
        <v/>
      </c>
      <c r="G2571">
        <f>BASE_EQUIPOS!M2571</f>
        <v/>
      </c>
      <c r="I2571" t="inlineStr">
        <is>
          <t>19/000150</t>
        </is>
      </c>
    </row>
    <row r="2572">
      <c r="A2572">
        <f>TRIM(BASE_EQUIPOS!N2572)</f>
        <v/>
      </c>
      <c r="B2572">
        <f>BASE_EQUIPOS!A2572</f>
        <v/>
      </c>
      <c r="C2572">
        <f>BASE_EQUIPOS!B2572</f>
        <v/>
      </c>
      <c r="D2572">
        <f>BASE_EQUIPOS!D2572</f>
        <v/>
      </c>
      <c r="E2572">
        <f>BASE_EQUIPOS!G2572</f>
        <v/>
      </c>
      <c r="F2572">
        <f>BASE_EQUIPOS!H2572</f>
        <v/>
      </c>
      <c r="G2572">
        <f>BASE_EQUIPOS!M2572</f>
        <v/>
      </c>
      <c r="I2572" t="inlineStr">
        <is>
          <t>23/000083</t>
        </is>
      </c>
    </row>
    <row r="2573">
      <c r="A2573">
        <f>TRIM(BASE_EQUIPOS!N2573)</f>
        <v/>
      </c>
      <c r="B2573">
        <f>BASE_EQUIPOS!A2573</f>
        <v/>
      </c>
      <c r="C2573">
        <f>BASE_EQUIPOS!B2573</f>
        <v/>
      </c>
      <c r="D2573">
        <f>BASE_EQUIPOS!D2573</f>
        <v/>
      </c>
      <c r="E2573">
        <f>BASE_EQUIPOS!G2573</f>
        <v/>
      </c>
      <c r="F2573">
        <f>BASE_EQUIPOS!H2573</f>
        <v/>
      </c>
      <c r="G2573">
        <f>BASE_EQUIPOS!M2573</f>
        <v/>
      </c>
      <c r="I2573" t="inlineStr">
        <is>
          <t>24/000041</t>
        </is>
      </c>
    </row>
    <row r="2574">
      <c r="A2574">
        <f>TRIM(BASE_EQUIPOS!N2574)</f>
        <v/>
      </c>
      <c r="B2574">
        <f>BASE_EQUIPOS!A2574</f>
        <v/>
      </c>
      <c r="C2574">
        <f>BASE_EQUIPOS!B2574</f>
        <v/>
      </c>
      <c r="D2574">
        <f>BASE_EQUIPOS!D2574</f>
        <v/>
      </c>
      <c r="E2574">
        <f>BASE_EQUIPOS!G2574</f>
        <v/>
      </c>
      <c r="F2574">
        <f>BASE_EQUIPOS!H2574</f>
        <v/>
      </c>
      <c r="G2574">
        <f>BASE_EQUIPOS!M2574</f>
        <v/>
      </c>
      <c r="I2574" t="inlineStr">
        <is>
          <t>25/000105</t>
        </is>
      </c>
    </row>
    <row r="2575">
      <c r="A2575">
        <f>TRIM(BASE_EQUIPOS!N2575)</f>
        <v/>
      </c>
      <c r="B2575">
        <f>BASE_EQUIPOS!A2575</f>
        <v/>
      </c>
      <c r="C2575">
        <f>BASE_EQUIPOS!B2575</f>
        <v/>
      </c>
      <c r="D2575">
        <f>BASE_EQUIPOS!D2575</f>
        <v/>
      </c>
      <c r="E2575">
        <f>BASE_EQUIPOS!G2575</f>
        <v/>
      </c>
      <c r="F2575">
        <f>BASE_EQUIPOS!H2575</f>
        <v/>
      </c>
      <c r="G2575">
        <f>BASE_EQUIPOS!M2575</f>
        <v/>
      </c>
      <c r="I2575" t="inlineStr">
        <is>
          <t>36/000159</t>
        </is>
      </c>
    </row>
    <row r="2576">
      <c r="A2576">
        <f>TRIM(BASE_EQUIPOS!N2576)</f>
        <v/>
      </c>
      <c r="B2576">
        <f>BASE_EQUIPOS!A2576</f>
        <v/>
      </c>
      <c r="C2576">
        <f>BASE_EQUIPOS!B2576</f>
        <v/>
      </c>
      <c r="D2576">
        <f>BASE_EQUIPOS!D2576</f>
        <v/>
      </c>
      <c r="E2576">
        <f>BASE_EQUIPOS!G2576</f>
        <v/>
      </c>
      <c r="F2576">
        <f>BASE_EQUIPOS!H2576</f>
        <v/>
      </c>
      <c r="G2576">
        <f>BASE_EQUIPOS!M2576</f>
        <v/>
      </c>
      <c r="I2576" t="inlineStr">
        <is>
          <t>20/000029</t>
        </is>
      </c>
    </row>
    <row r="2577">
      <c r="A2577">
        <f>TRIM(BASE_EQUIPOS!N2577)</f>
        <v/>
      </c>
      <c r="B2577">
        <f>BASE_EQUIPOS!A2577</f>
        <v/>
      </c>
      <c r="C2577">
        <f>BASE_EQUIPOS!B2577</f>
        <v/>
      </c>
      <c r="D2577">
        <f>BASE_EQUIPOS!D2577</f>
        <v/>
      </c>
      <c r="E2577">
        <f>BASE_EQUIPOS!G2577</f>
        <v/>
      </c>
      <c r="F2577">
        <f>BASE_EQUIPOS!H2577</f>
        <v/>
      </c>
      <c r="G2577">
        <f>BASE_EQUIPOS!M2577</f>
        <v/>
      </c>
      <c r="I2577" t="inlineStr">
        <is>
          <t>21/001421</t>
        </is>
      </c>
    </row>
    <row r="2578">
      <c r="A2578">
        <f>TRIM(BASE_EQUIPOS!N2578)</f>
        <v/>
      </c>
      <c r="B2578">
        <f>BASE_EQUIPOS!A2578</f>
        <v/>
      </c>
      <c r="C2578">
        <f>BASE_EQUIPOS!B2578</f>
        <v/>
      </c>
      <c r="D2578">
        <f>BASE_EQUIPOS!D2578</f>
        <v/>
      </c>
      <c r="E2578">
        <f>BASE_EQUIPOS!G2578</f>
        <v/>
      </c>
      <c r="F2578">
        <f>BASE_EQUIPOS!H2578</f>
        <v/>
      </c>
      <c r="G2578">
        <f>BASE_EQUIPOS!M2578</f>
        <v/>
      </c>
      <c r="I2578" t="inlineStr">
        <is>
          <t>29/000007</t>
        </is>
      </c>
    </row>
    <row r="2579">
      <c r="A2579">
        <f>TRIM(BASE_EQUIPOS!N2579)</f>
        <v/>
      </c>
      <c r="B2579">
        <f>BASE_EQUIPOS!A2579</f>
        <v/>
      </c>
      <c r="C2579">
        <f>BASE_EQUIPOS!B2579</f>
        <v/>
      </c>
      <c r="D2579">
        <f>BASE_EQUIPOS!D2579</f>
        <v/>
      </c>
      <c r="E2579">
        <f>BASE_EQUIPOS!G2579</f>
        <v/>
      </c>
      <c r="F2579">
        <f>BASE_EQUIPOS!H2579</f>
        <v/>
      </c>
      <c r="G2579">
        <f>BASE_EQUIPOS!M2579</f>
        <v/>
      </c>
      <c r="I2579" t="inlineStr">
        <is>
          <t>31/000822</t>
        </is>
      </c>
    </row>
    <row r="2580">
      <c r="A2580">
        <f>TRIM(BASE_EQUIPOS!N2580)</f>
        <v/>
      </c>
      <c r="B2580">
        <f>BASE_EQUIPOS!A2580</f>
        <v/>
      </c>
      <c r="C2580">
        <f>BASE_EQUIPOS!B2580</f>
        <v/>
      </c>
      <c r="D2580">
        <f>BASE_EQUIPOS!D2580</f>
        <v/>
      </c>
      <c r="E2580">
        <f>BASE_EQUIPOS!G2580</f>
        <v/>
      </c>
      <c r="F2580">
        <f>BASE_EQUIPOS!H2580</f>
        <v/>
      </c>
      <c r="G2580">
        <f>BASE_EQUIPOS!M2580</f>
        <v/>
      </c>
      <c r="I2580" t="inlineStr">
        <is>
          <t>32/000127</t>
        </is>
      </c>
    </row>
    <row r="2581">
      <c r="A2581">
        <f>TRIM(BASE_EQUIPOS!N2581)</f>
        <v/>
      </c>
      <c r="B2581">
        <f>BASE_EQUIPOS!A2581</f>
        <v/>
      </c>
      <c r="C2581">
        <f>BASE_EQUIPOS!B2581</f>
        <v/>
      </c>
      <c r="D2581">
        <f>BASE_EQUIPOS!D2581</f>
        <v/>
      </c>
      <c r="E2581">
        <f>BASE_EQUIPOS!G2581</f>
        <v/>
      </c>
      <c r="F2581">
        <f>BASE_EQUIPOS!H2581</f>
        <v/>
      </c>
      <c r="G2581">
        <f>BASE_EQUIPOS!M2581</f>
        <v/>
      </c>
      <c r="I2581" t="inlineStr">
        <is>
          <t>000497</t>
        </is>
      </c>
    </row>
    <row r="2582">
      <c r="A2582">
        <f>TRIM(BASE_EQUIPOS!N2582)</f>
        <v/>
      </c>
      <c r="B2582">
        <f>BASE_EQUIPOS!A2582</f>
        <v/>
      </c>
      <c r="C2582">
        <f>BASE_EQUIPOS!B2582</f>
        <v/>
      </c>
      <c r="D2582">
        <f>BASE_EQUIPOS!D2582</f>
        <v/>
      </c>
      <c r="E2582">
        <f>BASE_EQUIPOS!G2582</f>
        <v/>
      </c>
      <c r="F2582">
        <f>BASE_EQUIPOS!H2582</f>
        <v/>
      </c>
      <c r="G2582">
        <f>BASE_EQUIPOS!M2582</f>
        <v/>
      </c>
      <c r="I2582" t="inlineStr">
        <is>
          <t>186/000484</t>
        </is>
      </c>
    </row>
    <row r="2583">
      <c r="A2583">
        <f>TRIM(BASE_EQUIPOS!N2583)</f>
        <v/>
      </c>
      <c r="B2583">
        <f>BASE_EQUIPOS!A2583</f>
        <v/>
      </c>
      <c r="C2583">
        <f>BASE_EQUIPOS!B2583</f>
        <v/>
      </c>
      <c r="D2583">
        <f>BASE_EQUIPOS!D2583</f>
        <v/>
      </c>
      <c r="E2583">
        <f>BASE_EQUIPOS!G2583</f>
        <v/>
      </c>
      <c r="F2583">
        <f>BASE_EQUIPOS!H2583</f>
        <v/>
      </c>
      <c r="G2583">
        <f>BASE_EQUIPOS!M2583</f>
        <v/>
      </c>
      <c r="I2583" t="inlineStr">
        <is>
          <t>S/N/011818</t>
        </is>
      </c>
    </row>
    <row r="2584">
      <c r="A2584">
        <f>TRIM(BASE_EQUIPOS!N2584)</f>
        <v/>
      </c>
      <c r="B2584">
        <f>BASE_EQUIPOS!A2584</f>
        <v/>
      </c>
      <c r="C2584">
        <f>BASE_EQUIPOS!B2584</f>
        <v/>
      </c>
      <c r="D2584">
        <f>BASE_EQUIPOS!D2584</f>
        <v/>
      </c>
      <c r="E2584">
        <f>BASE_EQUIPOS!G2584</f>
        <v/>
      </c>
      <c r="F2584">
        <f>BASE_EQUIPOS!H2584</f>
        <v/>
      </c>
      <c r="G2584">
        <f>BASE_EQUIPOS!M2584</f>
        <v/>
      </c>
      <c r="I2584" t="inlineStr">
        <is>
          <t>S/N/000462</t>
        </is>
      </c>
    </row>
    <row r="2585">
      <c r="A2585">
        <f>TRIM(BASE_EQUIPOS!N2585)</f>
        <v/>
      </c>
      <c r="B2585">
        <f>BASE_EQUIPOS!A2585</f>
        <v/>
      </c>
      <c r="C2585">
        <f>BASE_EQUIPOS!B2585</f>
        <v/>
      </c>
      <c r="D2585">
        <f>BASE_EQUIPOS!D2585</f>
        <v/>
      </c>
      <c r="E2585">
        <f>BASE_EQUIPOS!G2585</f>
        <v/>
      </c>
      <c r="F2585">
        <f>BASE_EQUIPOS!H2585</f>
        <v/>
      </c>
      <c r="G2585">
        <f>BASE_EQUIPOS!M2585</f>
        <v/>
      </c>
      <c r="I2585" t="inlineStr">
        <is>
          <t>S/N/000401</t>
        </is>
      </c>
    </row>
    <row r="2586">
      <c r="A2586">
        <f>TRIM(BASE_EQUIPOS!N2586)</f>
        <v/>
      </c>
      <c r="B2586">
        <f>BASE_EQUIPOS!A2586</f>
        <v/>
      </c>
      <c r="C2586">
        <f>BASE_EQUIPOS!B2586</f>
        <v/>
      </c>
      <c r="D2586">
        <f>BASE_EQUIPOS!D2586</f>
        <v/>
      </c>
      <c r="E2586">
        <f>BASE_EQUIPOS!G2586</f>
        <v/>
      </c>
      <c r="F2586">
        <f>BASE_EQUIPOS!H2586</f>
        <v/>
      </c>
      <c r="G2586">
        <f>BASE_EQUIPOS!M2586</f>
        <v/>
      </c>
      <c r="I2586" t="inlineStr">
        <is>
          <t>238/000727</t>
        </is>
      </c>
    </row>
    <row r="2587">
      <c r="A2587">
        <f>TRIM(BASE_EQUIPOS!N2587)</f>
        <v/>
      </c>
      <c r="B2587">
        <f>BASE_EQUIPOS!A2587</f>
        <v/>
      </c>
      <c r="C2587">
        <f>BASE_EQUIPOS!B2587</f>
        <v/>
      </c>
      <c r="D2587">
        <f>BASE_EQUIPOS!D2587</f>
        <v/>
      </c>
      <c r="E2587">
        <f>BASE_EQUIPOS!G2587</f>
        <v/>
      </c>
      <c r="F2587">
        <f>BASE_EQUIPOS!H2587</f>
        <v/>
      </c>
      <c r="G2587">
        <f>BASE_EQUIPOS!M2587</f>
        <v/>
      </c>
      <c r="I2587" t="inlineStr">
        <is>
          <t>198/000237</t>
        </is>
      </c>
    </row>
    <row r="2588">
      <c r="A2588">
        <f>TRIM(BASE_EQUIPOS!N2588)</f>
        <v/>
      </c>
      <c r="B2588">
        <f>BASE_EQUIPOS!A2588</f>
        <v/>
      </c>
      <c r="C2588">
        <f>BASE_EQUIPOS!B2588</f>
        <v/>
      </c>
      <c r="D2588">
        <f>BASE_EQUIPOS!D2588</f>
        <v/>
      </c>
      <c r="E2588">
        <f>BASE_EQUIPOS!G2588</f>
        <v/>
      </c>
      <c r="F2588">
        <f>BASE_EQUIPOS!H2588</f>
        <v/>
      </c>
      <c r="G2588">
        <f>BASE_EQUIPOS!M2588</f>
        <v/>
      </c>
      <c r="I2588" t="inlineStr">
        <is>
          <t>160/000330</t>
        </is>
      </c>
    </row>
    <row r="2589">
      <c r="A2589">
        <f>TRIM(BASE_EQUIPOS!N2589)</f>
        <v/>
      </c>
      <c r="B2589">
        <f>BASE_EQUIPOS!A2589</f>
        <v/>
      </c>
      <c r="C2589">
        <f>BASE_EQUIPOS!B2589</f>
        <v/>
      </c>
      <c r="D2589">
        <f>BASE_EQUIPOS!D2589</f>
        <v/>
      </c>
      <c r="E2589">
        <f>BASE_EQUIPOS!G2589</f>
        <v/>
      </c>
      <c r="F2589">
        <f>BASE_EQUIPOS!H2589</f>
        <v/>
      </c>
      <c r="G2589">
        <f>BASE_EQUIPOS!M2589</f>
        <v/>
      </c>
      <c r="I2589" t="inlineStr">
        <is>
          <t>Y-615312</t>
        </is>
      </c>
    </row>
    <row r="2590">
      <c r="A2590">
        <f>TRIM(BASE_EQUIPOS!N2590)</f>
        <v/>
      </c>
      <c r="B2590">
        <f>BASE_EQUIPOS!A2590</f>
        <v/>
      </c>
      <c r="C2590">
        <f>BASE_EQUIPOS!B2590</f>
        <v/>
      </c>
      <c r="D2590">
        <f>BASE_EQUIPOS!D2590</f>
        <v/>
      </c>
      <c r="E2590">
        <f>BASE_EQUIPOS!G2590</f>
        <v/>
      </c>
      <c r="F2590">
        <f>BASE_EQUIPOS!H2590</f>
        <v/>
      </c>
      <c r="G2590">
        <f>BASE_EQUIPOS!M2590</f>
        <v/>
      </c>
      <c r="I2590" t="inlineStr">
        <is>
          <t>I-42250744</t>
        </is>
      </c>
    </row>
    <row r="2591">
      <c r="A2591">
        <f>TRIM(BASE_EQUIPOS!N2591)</f>
        <v/>
      </c>
      <c r="B2591">
        <f>BASE_EQUIPOS!A2591</f>
        <v/>
      </c>
      <c r="C2591">
        <f>BASE_EQUIPOS!B2591</f>
        <v/>
      </c>
      <c r="D2591">
        <f>BASE_EQUIPOS!D2591</f>
        <v/>
      </c>
      <c r="E2591">
        <f>BASE_EQUIPOS!G2591</f>
        <v/>
      </c>
      <c r="F2591">
        <f>BASE_EQUIPOS!H2591</f>
        <v/>
      </c>
      <c r="G2591">
        <f>BASE_EQUIPOS!M2591</f>
        <v/>
      </c>
      <c r="I2591" t="inlineStr">
        <is>
          <t>W-379030</t>
        </is>
      </c>
    </row>
    <row r="2592">
      <c r="A2592">
        <f>TRIM(BASE_EQUIPOS!N2592)</f>
        <v/>
      </c>
      <c r="B2592">
        <f>BASE_EQUIPOS!A2592</f>
        <v/>
      </c>
      <c r="C2592">
        <f>BASE_EQUIPOS!B2592</f>
        <v/>
      </c>
      <c r="D2592">
        <f>BASE_EQUIPOS!D2592</f>
        <v/>
      </c>
      <c r="E2592">
        <f>BASE_EQUIPOS!G2592</f>
        <v/>
      </c>
      <c r="F2592">
        <f>BASE_EQUIPOS!H2592</f>
        <v/>
      </c>
      <c r="G2592">
        <f>BASE_EQUIPOS!M2592</f>
        <v/>
      </c>
      <c r="I2592" t="inlineStr">
        <is>
          <t>20/000257</t>
        </is>
      </c>
    </row>
    <row r="2593">
      <c r="A2593">
        <f>TRIM(BASE_EQUIPOS!N2593)</f>
        <v/>
      </c>
      <c r="B2593">
        <f>BASE_EQUIPOS!A2593</f>
        <v/>
      </c>
      <c r="C2593">
        <f>BASE_EQUIPOS!B2593</f>
        <v/>
      </c>
      <c r="D2593">
        <f>BASE_EQUIPOS!D2593</f>
        <v/>
      </c>
      <c r="E2593">
        <f>BASE_EQUIPOS!G2593</f>
        <v/>
      </c>
      <c r="F2593">
        <f>BASE_EQUIPOS!H2593</f>
        <v/>
      </c>
      <c r="G2593">
        <f>BASE_EQUIPOS!M2593</f>
        <v/>
      </c>
      <c r="I2593" t="inlineStr">
        <is>
          <t>03/000063</t>
        </is>
      </c>
    </row>
    <row r="2594">
      <c r="A2594">
        <f>TRIM(BASE_EQUIPOS!N2594)</f>
        <v/>
      </c>
      <c r="B2594">
        <f>BASE_EQUIPOS!A2594</f>
        <v/>
      </c>
      <c r="C2594">
        <f>BASE_EQUIPOS!B2594</f>
        <v/>
      </c>
      <c r="D2594">
        <f>BASE_EQUIPOS!D2594</f>
        <v/>
      </c>
      <c r="E2594">
        <f>BASE_EQUIPOS!G2594</f>
        <v/>
      </c>
      <c r="F2594">
        <f>BASE_EQUIPOS!H2594</f>
        <v/>
      </c>
      <c r="G2594">
        <f>BASE_EQUIPOS!M2594</f>
        <v/>
      </c>
      <c r="I2594" t="inlineStr">
        <is>
          <t>001415</t>
        </is>
      </c>
    </row>
    <row r="2595">
      <c r="A2595">
        <f>TRIM(BASE_EQUIPOS!N2595)</f>
        <v/>
      </c>
      <c r="B2595">
        <f>BASE_EQUIPOS!A2595</f>
        <v/>
      </c>
      <c r="C2595">
        <f>BASE_EQUIPOS!B2595</f>
        <v/>
      </c>
      <c r="D2595">
        <f>BASE_EQUIPOS!D2595</f>
        <v/>
      </c>
      <c r="E2595">
        <f>BASE_EQUIPOS!G2595</f>
        <v/>
      </c>
      <c r="F2595">
        <f>BASE_EQUIPOS!H2595</f>
        <v/>
      </c>
      <c r="G2595">
        <f>BASE_EQUIPOS!M2595</f>
        <v/>
      </c>
      <c r="I2595" t="inlineStr">
        <is>
          <t>S/N/000182</t>
        </is>
      </c>
    </row>
    <row r="2596">
      <c r="A2596">
        <f>TRIM(BASE_EQUIPOS!N2596)</f>
        <v/>
      </c>
      <c r="B2596">
        <f>BASE_EQUIPOS!A2596</f>
        <v/>
      </c>
      <c r="C2596">
        <f>BASE_EQUIPOS!B2596</f>
        <v/>
      </c>
      <c r="D2596">
        <f>BASE_EQUIPOS!D2596</f>
        <v/>
      </c>
      <c r="E2596">
        <f>BASE_EQUIPOS!G2596</f>
        <v/>
      </c>
      <c r="F2596">
        <f>BASE_EQUIPOS!H2596</f>
        <v/>
      </c>
      <c r="G2596">
        <f>BASE_EQUIPOS!M2596</f>
        <v/>
      </c>
      <c r="I2596" t="inlineStr">
        <is>
          <t>S/N/000210</t>
        </is>
      </c>
    </row>
    <row r="2597">
      <c r="A2597">
        <f>TRIM(BASE_EQUIPOS!N2597)</f>
        <v/>
      </c>
      <c r="B2597">
        <f>BASE_EQUIPOS!A2597</f>
        <v/>
      </c>
      <c r="C2597">
        <f>BASE_EQUIPOS!B2597</f>
        <v/>
      </c>
      <c r="D2597">
        <f>BASE_EQUIPOS!D2597</f>
        <v/>
      </c>
      <c r="E2597">
        <f>BASE_EQUIPOS!G2597</f>
        <v/>
      </c>
      <c r="F2597">
        <f>BASE_EQUIPOS!H2597</f>
        <v/>
      </c>
      <c r="G2597">
        <f>BASE_EQUIPOS!M2597</f>
        <v/>
      </c>
      <c r="I2597" t="inlineStr">
        <is>
          <t>S/N/000018</t>
        </is>
      </c>
    </row>
    <row r="2598">
      <c r="A2598">
        <f>TRIM(BASE_EQUIPOS!N2598)</f>
        <v/>
      </c>
      <c r="B2598">
        <f>BASE_EQUIPOS!A2598</f>
        <v/>
      </c>
      <c r="C2598">
        <f>BASE_EQUIPOS!B2598</f>
        <v/>
      </c>
      <c r="D2598">
        <f>BASE_EQUIPOS!D2598</f>
        <v/>
      </c>
      <c r="E2598">
        <f>BASE_EQUIPOS!G2598</f>
        <v/>
      </c>
      <c r="F2598">
        <f>BASE_EQUIPOS!H2598</f>
        <v/>
      </c>
      <c r="G2598">
        <f>BASE_EQUIPOS!M2598</f>
        <v/>
      </c>
      <c r="I2598" t="inlineStr">
        <is>
          <t>S/N/065876</t>
        </is>
      </c>
    </row>
    <row r="2599">
      <c r="A2599">
        <f>TRIM(BASE_EQUIPOS!N2599)</f>
        <v/>
      </c>
      <c r="B2599">
        <f>BASE_EQUIPOS!A2599</f>
        <v/>
      </c>
      <c r="C2599">
        <f>BASE_EQUIPOS!B2599</f>
        <v/>
      </c>
      <c r="D2599">
        <f>BASE_EQUIPOS!D2599</f>
        <v/>
      </c>
      <c r="E2599">
        <f>BASE_EQUIPOS!G2599</f>
        <v/>
      </c>
      <c r="F2599">
        <f>BASE_EQUIPOS!H2599</f>
        <v/>
      </c>
      <c r="G2599">
        <f>BASE_EQUIPOS!M2599</f>
        <v/>
      </c>
      <c r="I2599" t="inlineStr">
        <is>
          <t>S/N/000657</t>
        </is>
      </c>
    </row>
    <row r="2600">
      <c r="A2600">
        <f>TRIM(BASE_EQUIPOS!N2600)</f>
        <v/>
      </c>
      <c r="B2600">
        <f>BASE_EQUIPOS!A2600</f>
        <v/>
      </c>
      <c r="C2600">
        <f>BASE_EQUIPOS!B2600</f>
        <v/>
      </c>
      <c r="D2600">
        <f>BASE_EQUIPOS!D2600</f>
        <v/>
      </c>
      <c r="E2600">
        <f>BASE_EQUIPOS!G2600</f>
        <v/>
      </c>
      <c r="F2600">
        <f>BASE_EQUIPOS!H2600</f>
        <v/>
      </c>
      <c r="G2600">
        <f>BASE_EQUIPOS!M2600</f>
        <v/>
      </c>
      <c r="I2600" t="inlineStr">
        <is>
          <t>E-080/000044</t>
        </is>
      </c>
    </row>
    <row r="2601">
      <c r="A2601">
        <f>TRIM(BASE_EQUIPOS!N2601)</f>
        <v/>
      </c>
      <c r="B2601">
        <f>BASE_EQUIPOS!A2601</f>
        <v/>
      </c>
      <c r="C2601">
        <f>BASE_EQUIPOS!B2601</f>
        <v/>
      </c>
      <c r="D2601">
        <f>BASE_EQUIPOS!D2601</f>
        <v/>
      </c>
      <c r="E2601">
        <f>BASE_EQUIPOS!G2601</f>
        <v/>
      </c>
      <c r="F2601">
        <f>BASE_EQUIPOS!H2601</f>
        <v/>
      </c>
      <c r="G2601">
        <f>BASE_EQUIPOS!M2601</f>
        <v/>
      </c>
      <c r="I2601" t="inlineStr">
        <is>
          <t>E-060/006172</t>
        </is>
      </c>
    </row>
    <row r="2602">
      <c r="A2602">
        <f>TRIM(BASE_EQUIPOS!N2602)</f>
        <v/>
      </c>
      <c r="B2602">
        <f>BASE_EQUIPOS!A2602</f>
        <v/>
      </c>
      <c r="C2602">
        <f>BASE_EQUIPOS!B2602</f>
        <v/>
      </c>
      <c r="D2602">
        <f>BASE_EQUIPOS!D2602</f>
        <v/>
      </c>
      <c r="E2602">
        <f>BASE_EQUIPOS!G2602</f>
        <v/>
      </c>
      <c r="F2602">
        <f>BASE_EQUIPOS!H2602</f>
        <v/>
      </c>
      <c r="G2602">
        <f>BASE_EQUIPOS!M2602</f>
        <v/>
      </c>
      <c r="I2602" t="inlineStr">
        <is>
          <t>270/000259</t>
        </is>
      </c>
    </row>
    <row r="2603">
      <c r="A2603">
        <f>TRIM(BASE_EQUIPOS!N2603)</f>
        <v/>
      </c>
      <c r="B2603">
        <f>BASE_EQUIPOS!A2603</f>
        <v/>
      </c>
      <c r="C2603">
        <f>BASE_EQUIPOS!B2603</f>
        <v/>
      </c>
      <c r="D2603">
        <f>BASE_EQUIPOS!D2603</f>
        <v/>
      </c>
      <c r="E2603">
        <f>BASE_EQUIPOS!G2603</f>
        <v/>
      </c>
      <c r="F2603">
        <f>BASE_EQUIPOS!H2603</f>
        <v/>
      </c>
      <c r="G2603">
        <f>BASE_EQUIPOS!M2603</f>
        <v/>
      </c>
      <c r="I2603" t="inlineStr">
        <is>
          <t>165/001487</t>
        </is>
      </c>
    </row>
    <row r="2604">
      <c r="A2604">
        <f>TRIM(BASE_EQUIPOS!N2604)</f>
        <v/>
      </c>
      <c r="B2604">
        <f>BASE_EQUIPOS!A2604</f>
        <v/>
      </c>
      <c r="C2604">
        <f>BASE_EQUIPOS!B2604</f>
        <v/>
      </c>
      <c r="D2604">
        <f>BASE_EQUIPOS!D2604</f>
        <v/>
      </c>
      <c r="E2604">
        <f>BASE_EQUIPOS!G2604</f>
        <v/>
      </c>
      <c r="F2604">
        <f>BASE_EQUIPOS!H2604</f>
        <v/>
      </c>
      <c r="G2604">
        <f>BASE_EQUIPOS!M2604</f>
        <v/>
      </c>
      <c r="I2604" t="inlineStr">
        <is>
          <t>168/000005</t>
        </is>
      </c>
    </row>
    <row r="2605">
      <c r="A2605">
        <f>TRIM(BASE_EQUIPOS!N2605)</f>
        <v/>
      </c>
      <c r="B2605">
        <f>BASE_EQUIPOS!A2605</f>
        <v/>
      </c>
      <c r="C2605">
        <f>BASE_EQUIPOS!B2605</f>
        <v/>
      </c>
      <c r="D2605">
        <f>BASE_EQUIPOS!D2605</f>
        <v/>
      </c>
      <c r="E2605">
        <f>BASE_EQUIPOS!G2605</f>
        <v/>
      </c>
      <c r="F2605">
        <f>BASE_EQUIPOS!H2605</f>
        <v/>
      </c>
      <c r="G2605">
        <f>BASE_EQUIPOS!M2605</f>
        <v/>
      </c>
      <c r="I2605" t="inlineStr">
        <is>
          <t>351/017130</t>
        </is>
      </c>
    </row>
    <row r="2606">
      <c r="A2606">
        <f>TRIM(BASE_EQUIPOS!N2606)</f>
        <v/>
      </c>
      <c r="B2606">
        <f>BASE_EQUIPOS!A2606</f>
        <v/>
      </c>
      <c r="C2606">
        <f>BASE_EQUIPOS!B2606</f>
        <v/>
      </c>
      <c r="D2606">
        <f>BASE_EQUIPOS!D2606</f>
        <v/>
      </c>
      <c r="E2606">
        <f>BASE_EQUIPOS!G2606</f>
        <v/>
      </c>
      <c r="F2606">
        <f>BASE_EQUIPOS!H2606</f>
        <v/>
      </c>
      <c r="G2606">
        <f>BASE_EQUIPOS!M2606</f>
        <v/>
      </c>
      <c r="I2606" t="inlineStr">
        <is>
          <t>170/001745</t>
        </is>
      </c>
    </row>
    <row r="2607">
      <c r="A2607">
        <f>TRIM(BASE_EQUIPOS!N2607)</f>
        <v/>
      </c>
      <c r="B2607">
        <f>BASE_EQUIPOS!A2607</f>
        <v/>
      </c>
      <c r="C2607">
        <f>BASE_EQUIPOS!B2607</f>
        <v/>
      </c>
      <c r="D2607">
        <f>BASE_EQUIPOS!D2607</f>
        <v/>
      </c>
      <c r="E2607">
        <f>BASE_EQUIPOS!G2607</f>
        <v/>
      </c>
      <c r="F2607">
        <f>BASE_EQUIPOS!H2607</f>
        <v/>
      </c>
      <c r="G2607">
        <f>BASE_EQUIPOS!M2607</f>
        <v/>
      </c>
      <c r="I2607" t="inlineStr">
        <is>
          <t>350/000586</t>
        </is>
      </c>
    </row>
    <row r="2608">
      <c r="A2608">
        <f>TRIM(BASE_EQUIPOS!N2608)</f>
        <v/>
      </c>
      <c r="B2608">
        <f>BASE_EQUIPOS!A2608</f>
        <v/>
      </c>
      <c r="C2608">
        <f>BASE_EQUIPOS!B2608</f>
        <v/>
      </c>
      <c r="D2608">
        <f>BASE_EQUIPOS!D2608</f>
        <v/>
      </c>
      <c r="E2608">
        <f>BASE_EQUIPOS!G2608</f>
        <v/>
      </c>
      <c r="F2608">
        <f>BASE_EQUIPOS!H2608</f>
        <v/>
      </c>
      <c r="G2608">
        <f>BASE_EQUIPOS!M2608</f>
        <v/>
      </c>
      <c r="I2608" t="inlineStr">
        <is>
          <t>65/002623</t>
        </is>
      </c>
    </row>
    <row r="2609">
      <c r="A2609">
        <f>TRIM(BASE_EQUIPOS!N2609)</f>
        <v/>
      </c>
      <c r="B2609">
        <f>BASE_EQUIPOS!A2609</f>
        <v/>
      </c>
      <c r="C2609">
        <f>BASE_EQUIPOS!B2609</f>
        <v/>
      </c>
      <c r="D2609">
        <f>BASE_EQUIPOS!D2609</f>
        <v/>
      </c>
      <c r="E2609">
        <f>BASE_EQUIPOS!G2609</f>
        <v/>
      </c>
      <c r="F2609">
        <f>BASE_EQUIPOS!H2609</f>
        <v/>
      </c>
      <c r="G2609">
        <f>BASE_EQUIPOS!M2609</f>
        <v/>
      </c>
      <c r="I2609" t="inlineStr">
        <is>
          <t>178/001096</t>
        </is>
      </c>
    </row>
    <row r="2610">
      <c r="A2610">
        <f>TRIM(BASE_EQUIPOS!N2610)</f>
        <v/>
      </c>
      <c r="B2610">
        <f>BASE_EQUIPOS!A2610</f>
        <v/>
      </c>
      <c r="C2610">
        <f>BASE_EQUIPOS!B2610</f>
        <v/>
      </c>
      <c r="D2610">
        <f>BASE_EQUIPOS!D2610</f>
        <v/>
      </c>
      <c r="E2610">
        <f>BASE_EQUIPOS!G2610</f>
        <v/>
      </c>
      <c r="F2610">
        <f>BASE_EQUIPOS!H2610</f>
        <v/>
      </c>
      <c r="G2610">
        <f>BASE_EQUIPOS!M2610</f>
        <v/>
      </c>
      <c r="I2610" t="inlineStr">
        <is>
          <t>188/005496</t>
        </is>
      </c>
    </row>
    <row r="2611">
      <c r="A2611">
        <f>TRIM(BASE_EQUIPOS!N2611)</f>
        <v/>
      </c>
      <c r="B2611">
        <f>BASE_EQUIPOS!A2611</f>
        <v/>
      </c>
      <c r="C2611">
        <f>BASE_EQUIPOS!B2611</f>
        <v/>
      </c>
      <c r="D2611">
        <f>BASE_EQUIPOS!D2611</f>
        <v/>
      </c>
      <c r="E2611">
        <f>BASE_EQUIPOS!G2611</f>
        <v/>
      </c>
      <c r="F2611">
        <f>BASE_EQUIPOS!H2611</f>
        <v/>
      </c>
      <c r="G2611">
        <f>BASE_EQUIPOS!M2611</f>
        <v/>
      </c>
      <c r="I2611" t="inlineStr">
        <is>
          <t>374/001413</t>
        </is>
      </c>
    </row>
    <row r="2612">
      <c r="A2612">
        <f>TRIM(BASE_EQUIPOS!N2612)</f>
        <v/>
      </c>
      <c r="B2612">
        <f>BASE_EQUIPOS!A2612</f>
        <v/>
      </c>
      <c r="C2612">
        <f>BASE_EQUIPOS!B2612</f>
        <v/>
      </c>
      <c r="D2612">
        <f>BASE_EQUIPOS!D2612</f>
        <v/>
      </c>
      <c r="E2612">
        <f>BASE_EQUIPOS!G2612</f>
        <v/>
      </c>
      <c r="F2612">
        <f>BASE_EQUIPOS!H2612</f>
        <v/>
      </c>
      <c r="G2612">
        <f>BASE_EQUIPOS!M2612</f>
        <v/>
      </c>
      <c r="I2612" t="inlineStr">
        <is>
          <t>312/000002</t>
        </is>
      </c>
    </row>
    <row r="2613">
      <c r="A2613">
        <f>TRIM(BASE_EQUIPOS!N2613)</f>
        <v/>
      </c>
      <c r="B2613">
        <f>BASE_EQUIPOS!A2613</f>
        <v/>
      </c>
      <c r="C2613">
        <f>BASE_EQUIPOS!B2613</f>
        <v/>
      </c>
      <c r="D2613">
        <f>BASE_EQUIPOS!D2613</f>
        <v/>
      </c>
      <c r="E2613">
        <f>BASE_EQUIPOS!G2613</f>
        <v/>
      </c>
      <c r="F2613">
        <f>BASE_EQUIPOS!H2613</f>
        <v/>
      </c>
      <c r="G2613">
        <f>BASE_EQUIPOS!M2613</f>
        <v/>
      </c>
      <c r="I2613" t="inlineStr">
        <is>
          <t>190/000472</t>
        </is>
      </c>
    </row>
    <row r="2614">
      <c r="A2614">
        <f>TRIM(BASE_EQUIPOS!N2614)</f>
        <v/>
      </c>
      <c r="B2614">
        <f>BASE_EQUIPOS!A2614</f>
        <v/>
      </c>
      <c r="C2614">
        <f>BASE_EQUIPOS!B2614</f>
        <v/>
      </c>
      <c r="D2614">
        <f>BASE_EQUIPOS!D2614</f>
        <v/>
      </c>
      <c r="E2614">
        <f>BASE_EQUIPOS!G2614</f>
        <v/>
      </c>
      <c r="F2614">
        <f>BASE_EQUIPOS!H2614</f>
        <v/>
      </c>
      <c r="G2614">
        <f>BASE_EQUIPOS!M2614</f>
        <v/>
      </c>
      <c r="I2614" t="inlineStr">
        <is>
          <t>S/N/S/N</t>
        </is>
      </c>
    </row>
    <row r="2615">
      <c r="A2615">
        <f>TRIM(BASE_EQUIPOS!N2615)</f>
        <v/>
      </c>
      <c r="B2615">
        <f>BASE_EQUIPOS!A2615</f>
        <v/>
      </c>
      <c r="C2615">
        <f>BASE_EQUIPOS!B2615</f>
        <v/>
      </c>
      <c r="D2615">
        <f>BASE_EQUIPOS!D2615</f>
        <v/>
      </c>
      <c r="E2615">
        <f>BASE_EQUIPOS!G2615</f>
        <v/>
      </c>
      <c r="F2615">
        <f>BASE_EQUIPOS!H2615</f>
        <v/>
      </c>
      <c r="G2615">
        <f>BASE_EQUIPOS!M2615</f>
        <v/>
      </c>
      <c r="I2615" t="inlineStr">
        <is>
          <t>S/N/001759</t>
        </is>
      </c>
    </row>
    <row r="2616">
      <c r="A2616">
        <f>TRIM(BASE_EQUIPOS!N2616)</f>
        <v/>
      </c>
      <c r="B2616">
        <f>BASE_EQUIPOS!A2616</f>
        <v/>
      </c>
      <c r="C2616">
        <f>BASE_EQUIPOS!B2616</f>
        <v/>
      </c>
      <c r="D2616">
        <f>BASE_EQUIPOS!D2616</f>
        <v/>
      </c>
      <c r="E2616">
        <f>BASE_EQUIPOS!G2616</f>
        <v/>
      </c>
      <c r="F2616">
        <f>BASE_EQUIPOS!H2616</f>
        <v/>
      </c>
      <c r="G2616">
        <f>BASE_EQUIPOS!M2616</f>
        <v/>
      </c>
      <c r="I2616" t="inlineStr">
        <is>
          <t>S/N/000184</t>
        </is>
      </c>
    </row>
    <row r="2617">
      <c r="A2617">
        <f>TRIM(BASE_EQUIPOS!N2617)</f>
        <v/>
      </c>
      <c r="B2617">
        <f>BASE_EQUIPOS!A2617</f>
        <v/>
      </c>
      <c r="C2617">
        <f>BASE_EQUIPOS!B2617</f>
        <v/>
      </c>
      <c r="D2617">
        <f>BASE_EQUIPOS!D2617</f>
        <v/>
      </c>
      <c r="E2617">
        <f>BASE_EQUIPOS!G2617</f>
        <v/>
      </c>
      <c r="F2617">
        <f>BASE_EQUIPOS!H2617</f>
        <v/>
      </c>
      <c r="G2617">
        <f>BASE_EQUIPOS!M2617</f>
        <v/>
      </c>
      <c r="I2617" t="inlineStr">
        <is>
          <t>S/N/239384</t>
        </is>
      </c>
    </row>
    <row r="2618">
      <c r="A2618">
        <f>TRIM(BASE_EQUIPOS!N2618)</f>
        <v/>
      </c>
      <c r="B2618">
        <f>BASE_EQUIPOS!A2618</f>
        <v/>
      </c>
      <c r="C2618">
        <f>BASE_EQUIPOS!B2618</f>
        <v/>
      </c>
      <c r="D2618">
        <f>BASE_EQUIPOS!D2618</f>
        <v/>
      </c>
      <c r="E2618">
        <f>BASE_EQUIPOS!G2618</f>
        <v/>
      </c>
      <c r="F2618">
        <f>BASE_EQUIPOS!H2618</f>
        <v/>
      </c>
      <c r="G2618">
        <f>BASE_EQUIPOS!M2618</f>
        <v/>
      </c>
      <c r="I2618" t="inlineStr">
        <is>
          <t>S/N/422652</t>
        </is>
      </c>
    </row>
    <row r="2619">
      <c r="A2619">
        <f>TRIM(BASE_EQUIPOS!N2619)</f>
        <v/>
      </c>
      <c r="B2619">
        <f>BASE_EQUIPOS!A2619</f>
        <v/>
      </c>
      <c r="C2619">
        <f>BASE_EQUIPOS!B2619</f>
        <v/>
      </c>
      <c r="D2619">
        <f>BASE_EQUIPOS!D2619</f>
        <v/>
      </c>
      <c r="E2619">
        <f>BASE_EQUIPOS!G2619</f>
        <v/>
      </c>
      <c r="F2619">
        <f>BASE_EQUIPOS!H2619</f>
        <v/>
      </c>
      <c r="G2619">
        <f>BASE_EQUIPOS!M2619</f>
        <v/>
      </c>
      <c r="I2619" t="inlineStr">
        <is>
          <t>S/N/574423</t>
        </is>
      </c>
    </row>
    <row r="2620">
      <c r="A2620">
        <f>TRIM(BASE_EQUIPOS!N2620)</f>
        <v/>
      </c>
      <c r="B2620">
        <f>BASE_EQUIPOS!A2620</f>
        <v/>
      </c>
      <c r="C2620">
        <f>BASE_EQUIPOS!B2620</f>
        <v/>
      </c>
      <c r="D2620">
        <f>BASE_EQUIPOS!D2620</f>
        <v/>
      </c>
      <c r="E2620">
        <f>BASE_EQUIPOS!G2620</f>
        <v/>
      </c>
      <c r="F2620">
        <f>BASE_EQUIPOS!H2620</f>
        <v/>
      </c>
      <c r="G2620">
        <f>BASE_EQUIPOS!M2620</f>
        <v/>
      </c>
      <c r="I2620" t="inlineStr">
        <is>
          <t>S/N/574158</t>
        </is>
      </c>
    </row>
    <row r="2621">
      <c r="A2621">
        <f>TRIM(BASE_EQUIPOS!N2621)</f>
        <v/>
      </c>
      <c r="B2621">
        <f>BASE_EQUIPOS!A2621</f>
        <v/>
      </c>
      <c r="C2621">
        <f>BASE_EQUIPOS!B2621</f>
        <v/>
      </c>
      <c r="D2621">
        <f>BASE_EQUIPOS!D2621</f>
        <v/>
      </c>
      <c r="E2621">
        <f>BASE_EQUIPOS!G2621</f>
        <v/>
      </c>
      <c r="F2621">
        <f>BASE_EQUIPOS!H2621</f>
        <v/>
      </c>
      <c r="G2621">
        <f>BASE_EQUIPOS!M2621</f>
        <v/>
      </c>
      <c r="I2621" t="inlineStr">
        <is>
          <t>S/N/574452</t>
        </is>
      </c>
    </row>
    <row r="2622">
      <c r="A2622">
        <f>TRIM(BASE_EQUIPOS!N2622)</f>
        <v/>
      </c>
      <c r="B2622">
        <f>BASE_EQUIPOS!A2622</f>
        <v/>
      </c>
      <c r="C2622">
        <f>BASE_EQUIPOS!B2622</f>
        <v/>
      </c>
      <c r="D2622">
        <f>BASE_EQUIPOS!D2622</f>
        <v/>
      </c>
      <c r="E2622">
        <f>BASE_EQUIPOS!G2622</f>
        <v/>
      </c>
      <c r="F2622">
        <f>BASE_EQUIPOS!H2622</f>
        <v/>
      </c>
      <c r="G2622">
        <f>BASE_EQUIPOS!M2622</f>
        <v/>
      </c>
      <c r="I2622" t="inlineStr">
        <is>
          <t>S/N/000738</t>
        </is>
      </c>
    </row>
    <row r="2623">
      <c r="A2623">
        <f>TRIM(BASE_EQUIPOS!N2623)</f>
        <v/>
      </c>
      <c r="B2623">
        <f>BASE_EQUIPOS!A2623</f>
        <v/>
      </c>
      <c r="C2623">
        <f>BASE_EQUIPOS!B2623</f>
        <v/>
      </c>
      <c r="D2623">
        <f>BASE_EQUIPOS!D2623</f>
        <v/>
      </c>
      <c r="E2623">
        <f>BASE_EQUIPOS!G2623</f>
        <v/>
      </c>
      <c r="F2623">
        <f>BASE_EQUIPOS!H2623</f>
        <v/>
      </c>
      <c r="G2623">
        <f>BASE_EQUIPOS!M2623</f>
        <v/>
      </c>
      <c r="I2623" t="inlineStr">
        <is>
          <t>S/N/000326</t>
        </is>
      </c>
    </row>
    <row r="2624">
      <c r="A2624">
        <f>TRIM(BASE_EQUIPOS!N2624)</f>
        <v/>
      </c>
      <c r="B2624">
        <f>BASE_EQUIPOS!A2624</f>
        <v/>
      </c>
      <c r="C2624">
        <f>BASE_EQUIPOS!B2624</f>
        <v/>
      </c>
      <c r="D2624">
        <f>BASE_EQUIPOS!D2624</f>
        <v/>
      </c>
      <c r="E2624">
        <f>BASE_EQUIPOS!G2624</f>
        <v/>
      </c>
      <c r="F2624">
        <f>BASE_EQUIPOS!H2624</f>
        <v/>
      </c>
      <c r="G2624">
        <f>BASE_EQUIPOS!M2624</f>
        <v/>
      </c>
      <c r="I2624" t="inlineStr">
        <is>
          <t>03/001584</t>
        </is>
      </c>
    </row>
    <row r="2625">
      <c r="A2625">
        <f>TRIM(BASE_EQUIPOS!N2625)</f>
        <v/>
      </c>
      <c r="B2625">
        <f>BASE_EQUIPOS!A2625</f>
        <v/>
      </c>
      <c r="C2625">
        <f>BASE_EQUIPOS!B2625</f>
        <v/>
      </c>
      <c r="D2625">
        <f>BASE_EQUIPOS!D2625</f>
        <v/>
      </c>
      <c r="E2625">
        <f>BASE_EQUIPOS!G2625</f>
        <v/>
      </c>
      <c r="F2625">
        <f>BASE_EQUIPOS!H2625</f>
        <v/>
      </c>
      <c r="G2625">
        <f>BASE_EQUIPOS!M2625</f>
        <v/>
      </c>
      <c r="I2625" t="inlineStr">
        <is>
          <t>01/201739</t>
        </is>
      </c>
    </row>
    <row r="2626">
      <c r="A2626">
        <f>TRIM(BASE_EQUIPOS!N2626)</f>
        <v/>
      </c>
      <c r="B2626">
        <f>BASE_EQUIPOS!A2626</f>
        <v/>
      </c>
      <c r="C2626">
        <f>BASE_EQUIPOS!B2626</f>
        <v/>
      </c>
      <c r="D2626">
        <f>BASE_EQUIPOS!D2626</f>
        <v/>
      </c>
      <c r="E2626">
        <f>BASE_EQUIPOS!G2626</f>
        <v/>
      </c>
      <c r="F2626">
        <f>BASE_EQUIPOS!H2626</f>
        <v/>
      </c>
      <c r="G2626">
        <f>BASE_EQUIPOS!M2626</f>
        <v/>
      </c>
      <c r="I2626" t="inlineStr">
        <is>
          <t>02/001610</t>
        </is>
      </c>
    </row>
    <row r="2627">
      <c r="A2627">
        <f>TRIM(BASE_EQUIPOS!N2627)</f>
        <v/>
      </c>
      <c r="B2627">
        <f>BASE_EQUIPOS!A2627</f>
        <v/>
      </c>
      <c r="C2627">
        <f>BASE_EQUIPOS!B2627</f>
        <v/>
      </c>
      <c r="D2627">
        <f>BASE_EQUIPOS!D2627</f>
        <v/>
      </c>
      <c r="E2627">
        <f>BASE_EQUIPOS!G2627</f>
        <v/>
      </c>
      <c r="F2627">
        <f>BASE_EQUIPOS!H2627</f>
        <v/>
      </c>
      <c r="G2627">
        <f>BASE_EQUIPOS!M2627</f>
        <v/>
      </c>
      <c r="I2627" t="inlineStr">
        <is>
          <t>05/000941</t>
        </is>
      </c>
    </row>
    <row r="2628">
      <c r="A2628">
        <f>TRIM(BASE_EQUIPOS!N2628)</f>
        <v/>
      </c>
      <c r="B2628">
        <f>BASE_EQUIPOS!A2628</f>
        <v/>
      </c>
      <c r="C2628">
        <f>BASE_EQUIPOS!B2628</f>
        <v/>
      </c>
      <c r="D2628">
        <f>BASE_EQUIPOS!D2628</f>
        <v/>
      </c>
      <c r="E2628">
        <f>BASE_EQUIPOS!G2628</f>
        <v/>
      </c>
      <c r="F2628">
        <f>BASE_EQUIPOS!H2628</f>
        <v/>
      </c>
      <c r="G2628">
        <f>BASE_EQUIPOS!M2628</f>
        <v/>
      </c>
      <c r="I2628" t="inlineStr">
        <is>
          <t>04/009870</t>
        </is>
      </c>
    </row>
    <row r="2629">
      <c r="A2629">
        <f>TRIM(BASE_EQUIPOS!N2629)</f>
        <v/>
      </c>
      <c r="B2629">
        <f>BASE_EQUIPOS!A2629</f>
        <v/>
      </c>
      <c r="C2629">
        <f>BASE_EQUIPOS!B2629</f>
        <v/>
      </c>
      <c r="D2629">
        <f>BASE_EQUIPOS!D2629</f>
        <v/>
      </c>
      <c r="E2629">
        <f>BASE_EQUIPOS!G2629</f>
        <v/>
      </c>
      <c r="F2629">
        <f>BASE_EQUIPOS!H2629</f>
        <v/>
      </c>
      <c r="G2629">
        <f>BASE_EQUIPOS!M2629</f>
        <v/>
      </c>
      <c r="I2629" t="inlineStr">
        <is>
          <t>S/N/010020</t>
        </is>
      </c>
    </row>
    <row r="2630">
      <c r="A2630">
        <f>TRIM(BASE_EQUIPOS!N2630)</f>
        <v/>
      </c>
      <c r="B2630">
        <f>BASE_EQUIPOS!A2630</f>
        <v/>
      </c>
      <c r="C2630">
        <f>BASE_EQUIPOS!B2630</f>
        <v/>
      </c>
      <c r="D2630">
        <f>BASE_EQUIPOS!D2630</f>
        <v/>
      </c>
      <c r="E2630">
        <f>BASE_EQUIPOS!G2630</f>
        <v/>
      </c>
      <c r="F2630">
        <f>BASE_EQUIPOS!H2630</f>
        <v/>
      </c>
      <c r="G2630">
        <f>BASE_EQUIPOS!M2630</f>
        <v/>
      </c>
      <c r="I2630" t="inlineStr">
        <is>
          <t>302/000718</t>
        </is>
      </c>
    </row>
    <row r="2631">
      <c r="A2631">
        <f>TRIM(BASE_EQUIPOS!N2631)</f>
        <v/>
      </c>
      <c r="B2631">
        <f>BASE_EQUIPOS!A2631</f>
        <v/>
      </c>
      <c r="C2631">
        <f>BASE_EQUIPOS!B2631</f>
        <v/>
      </c>
      <c r="D2631">
        <f>BASE_EQUIPOS!D2631</f>
        <v/>
      </c>
      <c r="E2631">
        <f>BASE_EQUIPOS!G2631</f>
        <v/>
      </c>
      <c r="F2631">
        <f>BASE_EQUIPOS!H2631</f>
        <v/>
      </c>
      <c r="G2631">
        <f>BASE_EQUIPOS!M2631</f>
        <v/>
      </c>
      <c r="I2631" t="inlineStr">
        <is>
          <t>194/000005</t>
        </is>
      </c>
    </row>
    <row r="2632">
      <c r="A2632">
        <f>TRIM(BASE_EQUIPOS!N2632)</f>
        <v/>
      </c>
      <c r="B2632">
        <f>BASE_EQUIPOS!A2632</f>
        <v/>
      </c>
      <c r="C2632">
        <f>BASE_EQUIPOS!B2632</f>
        <v/>
      </c>
      <c r="D2632">
        <f>BASE_EQUIPOS!D2632</f>
        <v/>
      </c>
      <c r="E2632">
        <f>BASE_EQUIPOS!G2632</f>
        <v/>
      </c>
      <c r="F2632">
        <f>BASE_EQUIPOS!H2632</f>
        <v/>
      </c>
      <c r="G2632">
        <f>BASE_EQUIPOS!M2632</f>
        <v/>
      </c>
      <c r="I2632" t="inlineStr">
        <is>
          <t>38/000005</t>
        </is>
      </c>
    </row>
    <row r="2633">
      <c r="A2633">
        <f>TRIM(BASE_EQUIPOS!N2633)</f>
        <v/>
      </c>
      <c r="B2633">
        <f>BASE_EQUIPOS!A2633</f>
        <v/>
      </c>
      <c r="C2633">
        <f>BASE_EQUIPOS!B2633</f>
        <v/>
      </c>
      <c r="D2633">
        <f>BASE_EQUIPOS!D2633</f>
        <v/>
      </c>
      <c r="E2633">
        <f>BASE_EQUIPOS!G2633</f>
        <v/>
      </c>
      <c r="F2633">
        <f>BASE_EQUIPOS!H2633</f>
        <v/>
      </c>
      <c r="G2633">
        <f>BASE_EQUIPOS!M2633</f>
        <v/>
      </c>
      <c r="I2633" t="inlineStr">
        <is>
          <t>196/003064</t>
        </is>
      </c>
    </row>
    <row r="2634">
      <c r="A2634">
        <f>TRIM(BASE_EQUIPOS!N2634)</f>
        <v/>
      </c>
      <c r="B2634">
        <f>BASE_EQUIPOS!A2634</f>
        <v/>
      </c>
      <c r="C2634">
        <f>BASE_EQUIPOS!B2634</f>
        <v/>
      </c>
      <c r="D2634">
        <f>BASE_EQUIPOS!D2634</f>
        <v/>
      </c>
      <c r="E2634">
        <f>BASE_EQUIPOS!G2634</f>
        <v/>
      </c>
      <c r="F2634">
        <f>BASE_EQUIPOS!H2634</f>
        <v/>
      </c>
      <c r="G2634">
        <f>BASE_EQUIPOS!M2634</f>
        <v/>
      </c>
      <c r="I2634" t="inlineStr">
        <is>
          <t>217/020537</t>
        </is>
      </c>
    </row>
    <row r="2635">
      <c r="A2635">
        <f>TRIM(BASE_EQUIPOS!N2635)</f>
        <v/>
      </c>
      <c r="B2635">
        <f>BASE_EQUIPOS!A2635</f>
        <v/>
      </c>
      <c r="C2635">
        <f>BASE_EQUIPOS!B2635</f>
        <v/>
      </c>
      <c r="D2635">
        <f>BASE_EQUIPOS!D2635</f>
        <v/>
      </c>
      <c r="E2635">
        <f>BASE_EQUIPOS!G2635</f>
        <v/>
      </c>
      <c r="F2635">
        <f>BASE_EQUIPOS!H2635</f>
        <v/>
      </c>
      <c r="G2635">
        <f>BASE_EQUIPOS!M2635</f>
        <v/>
      </c>
      <c r="I2635" t="inlineStr">
        <is>
          <t>160/001093</t>
        </is>
      </c>
    </row>
    <row r="2636">
      <c r="A2636">
        <f>TRIM(BASE_EQUIPOS!N2636)</f>
        <v/>
      </c>
      <c r="B2636">
        <f>BASE_EQUIPOS!A2636</f>
        <v/>
      </c>
      <c r="C2636">
        <f>BASE_EQUIPOS!B2636</f>
        <v/>
      </c>
      <c r="D2636">
        <f>BASE_EQUIPOS!D2636</f>
        <v/>
      </c>
      <c r="E2636">
        <f>BASE_EQUIPOS!G2636</f>
        <v/>
      </c>
      <c r="F2636">
        <f>BASE_EQUIPOS!H2636</f>
        <v/>
      </c>
      <c r="G2636">
        <f>BASE_EQUIPOS!M2636</f>
        <v/>
      </c>
      <c r="I2636" t="inlineStr">
        <is>
          <t>96/000961</t>
        </is>
      </c>
    </row>
    <row r="2637">
      <c r="A2637">
        <f>TRIM(BASE_EQUIPOS!N2637)</f>
        <v/>
      </c>
      <c r="B2637">
        <f>BASE_EQUIPOS!A2637</f>
        <v/>
      </c>
      <c r="C2637">
        <f>BASE_EQUIPOS!B2637</f>
        <v/>
      </c>
      <c r="D2637">
        <f>BASE_EQUIPOS!D2637</f>
        <v/>
      </c>
      <c r="E2637">
        <f>BASE_EQUIPOS!G2637</f>
        <v/>
      </c>
      <c r="F2637">
        <f>BASE_EQUIPOS!H2637</f>
        <v/>
      </c>
      <c r="G2637">
        <f>BASE_EQUIPOS!M2637</f>
        <v/>
      </c>
      <c r="I2637" t="inlineStr">
        <is>
          <t>27/000474</t>
        </is>
      </c>
    </row>
    <row r="2638">
      <c r="A2638">
        <f>TRIM(BASE_EQUIPOS!N2638)</f>
        <v/>
      </c>
      <c r="B2638">
        <f>BASE_EQUIPOS!A2638</f>
        <v/>
      </c>
      <c r="C2638">
        <f>BASE_EQUIPOS!B2638</f>
        <v/>
      </c>
      <c r="D2638">
        <f>BASE_EQUIPOS!D2638</f>
        <v/>
      </c>
      <c r="E2638">
        <f>BASE_EQUIPOS!G2638</f>
        <v/>
      </c>
      <c r="F2638">
        <f>BASE_EQUIPOS!H2638</f>
        <v/>
      </c>
      <c r="G2638">
        <f>BASE_EQUIPOS!M2638</f>
        <v/>
      </c>
      <c r="I2638" t="inlineStr">
        <is>
          <t>204/000242</t>
        </is>
      </c>
    </row>
    <row r="2639">
      <c r="A2639">
        <f>TRIM(BASE_EQUIPOS!N2639)</f>
        <v/>
      </c>
      <c r="B2639">
        <f>BASE_EQUIPOS!A2639</f>
        <v/>
      </c>
      <c r="C2639">
        <f>BASE_EQUIPOS!B2639</f>
        <v/>
      </c>
      <c r="D2639">
        <f>BASE_EQUIPOS!D2639</f>
        <v/>
      </c>
      <c r="E2639">
        <f>BASE_EQUIPOS!G2639</f>
        <v/>
      </c>
      <c r="F2639">
        <f>BASE_EQUIPOS!H2639</f>
        <v/>
      </c>
      <c r="G2639">
        <f>BASE_EQUIPOS!M2639</f>
        <v/>
      </c>
      <c r="I2639" t="inlineStr">
        <is>
          <t>227/003686</t>
        </is>
      </c>
    </row>
    <row r="2640">
      <c r="A2640">
        <f>TRIM(BASE_EQUIPOS!N2640)</f>
        <v/>
      </c>
      <c r="B2640">
        <f>BASE_EQUIPOS!A2640</f>
        <v/>
      </c>
      <c r="C2640">
        <f>BASE_EQUIPOS!B2640</f>
        <v/>
      </c>
      <c r="D2640">
        <f>BASE_EQUIPOS!D2640</f>
        <v/>
      </c>
      <c r="E2640">
        <f>BASE_EQUIPOS!G2640</f>
        <v/>
      </c>
      <c r="F2640">
        <f>BASE_EQUIPOS!H2640</f>
        <v/>
      </c>
      <c r="G2640">
        <f>BASE_EQUIPOS!M2640</f>
        <v/>
      </c>
      <c r="I2640" t="inlineStr">
        <is>
          <t>29/544857</t>
        </is>
      </c>
    </row>
    <row r="2641">
      <c r="A2641">
        <f>TRIM(BASE_EQUIPOS!N2641)</f>
        <v/>
      </c>
      <c r="B2641">
        <f>BASE_EQUIPOS!A2641</f>
        <v/>
      </c>
      <c r="C2641">
        <f>BASE_EQUIPOS!B2641</f>
        <v/>
      </c>
      <c r="D2641">
        <f>BASE_EQUIPOS!D2641</f>
        <v/>
      </c>
      <c r="E2641">
        <f>BASE_EQUIPOS!G2641</f>
        <v/>
      </c>
      <c r="F2641">
        <f>BASE_EQUIPOS!H2641</f>
        <v/>
      </c>
      <c r="G2641">
        <f>BASE_EQUIPOS!M2641</f>
        <v/>
      </c>
      <c r="I2641" t="inlineStr">
        <is>
          <t>01/000656</t>
        </is>
      </c>
    </row>
    <row r="2642">
      <c r="A2642">
        <f>TRIM(BASE_EQUIPOS!N2642)</f>
        <v/>
      </c>
      <c r="B2642">
        <f>BASE_EQUIPOS!A2642</f>
        <v/>
      </c>
      <c r="C2642">
        <f>BASE_EQUIPOS!B2642</f>
        <v/>
      </c>
      <c r="D2642">
        <f>BASE_EQUIPOS!D2642</f>
        <v/>
      </c>
      <c r="E2642">
        <f>BASE_EQUIPOS!G2642</f>
        <v/>
      </c>
      <c r="F2642">
        <f>BASE_EQUIPOS!H2642</f>
        <v/>
      </c>
      <c r="G2642">
        <f>BASE_EQUIPOS!M2642</f>
        <v/>
      </c>
      <c r="I2642" t="inlineStr">
        <is>
          <t>18/000276</t>
        </is>
      </c>
    </row>
    <row r="2643">
      <c r="A2643">
        <f>TRIM(BASE_EQUIPOS!N2643)</f>
        <v/>
      </c>
      <c r="B2643">
        <f>BASE_EQUIPOS!A2643</f>
        <v/>
      </c>
      <c r="C2643">
        <f>BASE_EQUIPOS!B2643</f>
        <v/>
      </c>
      <c r="D2643">
        <f>BASE_EQUIPOS!D2643</f>
        <v/>
      </c>
      <c r="E2643">
        <f>BASE_EQUIPOS!G2643</f>
        <v/>
      </c>
      <c r="F2643">
        <f>BASE_EQUIPOS!H2643</f>
        <v/>
      </c>
      <c r="G2643">
        <f>BASE_EQUIPOS!M2643</f>
        <v/>
      </c>
      <c r="I2643" t="inlineStr">
        <is>
          <t>S/N/000195</t>
        </is>
      </c>
    </row>
    <row r="2644">
      <c r="A2644">
        <f>TRIM(BASE_EQUIPOS!N2644)</f>
        <v/>
      </c>
      <c r="B2644">
        <f>BASE_EQUIPOS!A2644</f>
        <v/>
      </c>
      <c r="C2644">
        <f>BASE_EQUIPOS!B2644</f>
        <v/>
      </c>
      <c r="D2644">
        <f>BASE_EQUIPOS!D2644</f>
        <v/>
      </c>
      <c r="E2644">
        <f>BASE_EQUIPOS!G2644</f>
        <v/>
      </c>
      <c r="F2644">
        <f>BASE_EQUIPOS!H2644</f>
        <v/>
      </c>
      <c r="G2644">
        <f>BASE_EQUIPOS!M2644</f>
        <v/>
      </c>
      <c r="I2644" t="inlineStr">
        <is>
          <t>S/N/003920</t>
        </is>
      </c>
    </row>
    <row r="2645">
      <c r="A2645">
        <f>TRIM(BASE_EQUIPOS!N2645)</f>
        <v/>
      </c>
      <c r="B2645">
        <f>BASE_EQUIPOS!A2645</f>
        <v/>
      </c>
      <c r="C2645">
        <f>BASE_EQUIPOS!B2645</f>
        <v/>
      </c>
      <c r="D2645">
        <f>BASE_EQUIPOS!D2645</f>
        <v/>
      </c>
      <c r="E2645">
        <f>BASE_EQUIPOS!G2645</f>
        <v/>
      </c>
      <c r="F2645">
        <f>BASE_EQUIPOS!H2645</f>
        <v/>
      </c>
      <c r="G2645">
        <f>BASE_EQUIPOS!M2645</f>
        <v/>
      </c>
      <c r="I2645" t="inlineStr">
        <is>
          <t>310/000003</t>
        </is>
      </c>
    </row>
    <row r="2646">
      <c r="A2646">
        <f>TRIM(BASE_EQUIPOS!N2646)</f>
        <v/>
      </c>
      <c r="B2646">
        <f>BASE_EQUIPOS!A2646</f>
        <v/>
      </c>
      <c r="C2646">
        <f>BASE_EQUIPOS!B2646</f>
        <v/>
      </c>
      <c r="D2646">
        <f>BASE_EQUIPOS!D2646</f>
        <v/>
      </c>
      <c r="E2646">
        <f>BASE_EQUIPOS!G2646</f>
        <v/>
      </c>
      <c r="F2646">
        <f>BASE_EQUIPOS!H2646</f>
        <v/>
      </c>
      <c r="G2646">
        <f>BASE_EQUIPOS!M2646</f>
        <v/>
      </c>
      <c r="I2646" t="inlineStr">
        <is>
          <t>228/001886</t>
        </is>
      </c>
    </row>
    <row r="2647">
      <c r="A2647">
        <f>TRIM(BASE_EQUIPOS!N2647)</f>
        <v/>
      </c>
      <c r="B2647">
        <f>BASE_EQUIPOS!A2647</f>
        <v/>
      </c>
      <c r="C2647">
        <f>BASE_EQUIPOS!B2647</f>
        <v/>
      </c>
      <c r="D2647">
        <f>BASE_EQUIPOS!D2647</f>
        <v/>
      </c>
      <c r="E2647">
        <f>BASE_EQUIPOS!G2647</f>
        <v/>
      </c>
      <c r="F2647">
        <f>BASE_EQUIPOS!H2647</f>
        <v/>
      </c>
      <c r="G2647">
        <f>BASE_EQUIPOS!M2647</f>
        <v/>
      </c>
      <c r="I2647" t="inlineStr">
        <is>
          <t>264/000853</t>
        </is>
      </c>
    </row>
    <row r="2648">
      <c r="A2648">
        <f>TRIM(BASE_EQUIPOS!N2648)</f>
        <v/>
      </c>
      <c r="B2648">
        <f>BASE_EQUIPOS!A2648</f>
        <v/>
      </c>
      <c r="C2648">
        <f>BASE_EQUIPOS!B2648</f>
        <v/>
      </c>
      <c r="D2648">
        <f>BASE_EQUIPOS!D2648</f>
        <v/>
      </c>
      <c r="E2648">
        <f>BASE_EQUIPOS!G2648</f>
        <v/>
      </c>
      <c r="F2648">
        <f>BASE_EQUIPOS!H2648</f>
        <v/>
      </c>
      <c r="G2648">
        <f>BASE_EQUIPOS!M2648</f>
        <v/>
      </c>
      <c r="I2648" t="inlineStr">
        <is>
          <t>231/S/N</t>
        </is>
      </c>
    </row>
    <row r="2649">
      <c r="A2649">
        <f>TRIM(BASE_EQUIPOS!N2649)</f>
        <v/>
      </c>
      <c r="B2649">
        <f>BASE_EQUIPOS!A2649</f>
        <v/>
      </c>
      <c r="C2649">
        <f>BASE_EQUIPOS!B2649</f>
        <v/>
      </c>
      <c r="D2649">
        <f>BASE_EQUIPOS!D2649</f>
        <v/>
      </c>
      <c r="E2649">
        <f>BASE_EQUIPOS!G2649</f>
        <v/>
      </c>
      <c r="F2649">
        <f>BASE_EQUIPOS!H2649</f>
        <v/>
      </c>
      <c r="G2649">
        <f>BASE_EQUIPOS!M2649</f>
        <v/>
      </c>
      <c r="I2649" t="inlineStr">
        <is>
          <t>233/003212</t>
        </is>
      </c>
    </row>
    <row r="2650">
      <c r="A2650">
        <f>TRIM(BASE_EQUIPOS!N2650)</f>
        <v/>
      </c>
      <c r="B2650">
        <f>BASE_EQUIPOS!A2650</f>
        <v/>
      </c>
      <c r="C2650">
        <f>BASE_EQUIPOS!B2650</f>
        <v/>
      </c>
      <c r="D2650">
        <f>BASE_EQUIPOS!D2650</f>
        <v/>
      </c>
      <c r="E2650">
        <f>BASE_EQUIPOS!G2650</f>
        <v/>
      </c>
      <c r="F2650">
        <f>BASE_EQUIPOS!H2650</f>
        <v/>
      </c>
      <c r="G2650">
        <f>BASE_EQUIPOS!M2650</f>
        <v/>
      </c>
      <c r="I2650" t="inlineStr">
        <is>
          <t>000113</t>
        </is>
      </c>
    </row>
    <row r="2651">
      <c r="A2651">
        <f>TRIM(BASE_EQUIPOS!N2651)</f>
        <v/>
      </c>
      <c r="B2651">
        <f>BASE_EQUIPOS!A2651</f>
        <v/>
      </c>
      <c r="C2651">
        <f>BASE_EQUIPOS!B2651</f>
        <v/>
      </c>
      <c r="D2651">
        <f>BASE_EQUIPOS!D2651</f>
        <v/>
      </c>
      <c r="E2651">
        <f>BASE_EQUIPOS!G2651</f>
        <v/>
      </c>
      <c r="F2651">
        <f>BASE_EQUIPOS!H2651</f>
        <v/>
      </c>
      <c r="G2651">
        <f>BASE_EQUIPOS!M2651</f>
        <v/>
      </c>
      <c r="I2651" t="inlineStr">
        <is>
          <t>01/000264</t>
        </is>
      </c>
    </row>
    <row r="2652">
      <c r="A2652">
        <f>TRIM(BASE_EQUIPOS!N2652)</f>
        <v/>
      </c>
      <c r="B2652">
        <f>BASE_EQUIPOS!A2652</f>
        <v/>
      </c>
      <c r="C2652">
        <f>BASE_EQUIPOS!B2652</f>
        <v/>
      </c>
      <c r="D2652">
        <f>BASE_EQUIPOS!D2652</f>
        <v/>
      </c>
      <c r="E2652">
        <f>BASE_EQUIPOS!G2652</f>
        <v/>
      </c>
      <c r="F2652">
        <f>BASE_EQUIPOS!H2652</f>
        <v/>
      </c>
      <c r="G2652">
        <f>BASE_EQUIPOS!M2652</f>
        <v/>
      </c>
      <c r="I2652" t="inlineStr">
        <is>
          <t>02/659152</t>
        </is>
      </c>
    </row>
    <row r="2653">
      <c r="A2653">
        <f>TRIM(BASE_EQUIPOS!N2653)</f>
        <v/>
      </c>
      <c r="B2653">
        <f>BASE_EQUIPOS!A2653</f>
        <v/>
      </c>
      <c r="C2653">
        <f>BASE_EQUIPOS!B2653</f>
        <v/>
      </c>
      <c r="D2653">
        <f>BASE_EQUIPOS!D2653</f>
        <v/>
      </c>
      <c r="E2653">
        <f>BASE_EQUIPOS!G2653</f>
        <v/>
      </c>
      <c r="F2653">
        <f>BASE_EQUIPOS!H2653</f>
        <v/>
      </c>
      <c r="G2653">
        <f>BASE_EQUIPOS!M2653</f>
        <v/>
      </c>
      <c r="I2653" t="inlineStr">
        <is>
          <t>03/000381</t>
        </is>
      </c>
    </row>
    <row r="2654">
      <c r="A2654">
        <f>TRIM(BASE_EQUIPOS!N2654)</f>
        <v/>
      </c>
      <c r="B2654">
        <f>BASE_EQUIPOS!A2654</f>
        <v/>
      </c>
      <c r="C2654">
        <f>BASE_EQUIPOS!B2654</f>
        <v/>
      </c>
      <c r="D2654">
        <f>BASE_EQUIPOS!D2654</f>
        <v/>
      </c>
      <c r="E2654">
        <f>BASE_EQUIPOS!G2654</f>
        <v/>
      </c>
      <c r="F2654">
        <f>BASE_EQUIPOS!H2654</f>
        <v/>
      </c>
      <c r="G2654">
        <f>BASE_EQUIPOS!M2654</f>
        <v/>
      </c>
      <c r="I2654" t="inlineStr">
        <is>
          <t>04/000333</t>
        </is>
      </c>
    </row>
    <row r="2655">
      <c r="A2655">
        <f>TRIM(BASE_EQUIPOS!N2655)</f>
        <v/>
      </c>
      <c r="B2655">
        <f>BASE_EQUIPOS!A2655</f>
        <v/>
      </c>
      <c r="C2655">
        <f>BASE_EQUIPOS!B2655</f>
        <v/>
      </c>
      <c r="D2655">
        <f>BASE_EQUIPOS!D2655</f>
        <v/>
      </c>
      <c r="E2655">
        <f>BASE_EQUIPOS!G2655</f>
        <v/>
      </c>
      <c r="F2655">
        <f>BASE_EQUIPOS!H2655</f>
        <v/>
      </c>
      <c r="G2655">
        <f>BASE_EQUIPOS!M2655</f>
        <v/>
      </c>
      <c r="I2655" t="inlineStr">
        <is>
          <t>05/000756</t>
        </is>
      </c>
    </row>
    <row r="2656">
      <c r="A2656">
        <f>TRIM(BASE_EQUIPOS!N2656)</f>
        <v/>
      </c>
      <c r="B2656">
        <f>BASE_EQUIPOS!A2656</f>
        <v/>
      </c>
      <c r="C2656">
        <f>BASE_EQUIPOS!B2656</f>
        <v/>
      </c>
      <c r="D2656">
        <f>BASE_EQUIPOS!D2656</f>
        <v/>
      </c>
      <c r="E2656">
        <f>BASE_EQUIPOS!G2656</f>
        <v/>
      </c>
      <c r="F2656">
        <f>BASE_EQUIPOS!H2656</f>
        <v/>
      </c>
      <c r="G2656">
        <f>BASE_EQUIPOS!M2656</f>
        <v/>
      </c>
      <c r="I2656" t="inlineStr">
        <is>
          <t>06/000085</t>
        </is>
      </c>
    </row>
    <row r="2657">
      <c r="A2657">
        <f>TRIM(BASE_EQUIPOS!N2657)</f>
        <v/>
      </c>
      <c r="B2657">
        <f>BASE_EQUIPOS!A2657</f>
        <v/>
      </c>
      <c r="C2657">
        <f>BASE_EQUIPOS!B2657</f>
        <v/>
      </c>
      <c r="D2657">
        <f>BASE_EQUIPOS!D2657</f>
        <v/>
      </c>
      <c r="E2657">
        <f>BASE_EQUIPOS!G2657</f>
        <v/>
      </c>
      <c r="F2657">
        <f>BASE_EQUIPOS!H2657</f>
        <v/>
      </c>
      <c r="G2657">
        <f>BASE_EQUIPOS!M2657</f>
        <v/>
      </c>
      <c r="I2657" t="inlineStr">
        <is>
          <t>E-074/S/N</t>
        </is>
      </c>
    </row>
    <row r="2658">
      <c r="A2658">
        <f>TRIM(BASE_EQUIPOS!N2658)</f>
        <v/>
      </c>
      <c r="B2658">
        <f>BASE_EQUIPOS!A2658</f>
        <v/>
      </c>
      <c r="C2658">
        <f>BASE_EQUIPOS!B2658</f>
        <v/>
      </c>
      <c r="D2658">
        <f>BASE_EQUIPOS!D2658</f>
        <v/>
      </c>
      <c r="E2658">
        <f>BASE_EQUIPOS!G2658</f>
        <v/>
      </c>
      <c r="F2658">
        <f>BASE_EQUIPOS!H2658</f>
        <v/>
      </c>
      <c r="G2658">
        <f>BASE_EQUIPOS!M2658</f>
        <v/>
      </c>
      <c r="I2658" t="inlineStr">
        <is>
          <t>E-075/006692</t>
        </is>
      </c>
    </row>
    <row r="2659">
      <c r="A2659">
        <f>TRIM(BASE_EQUIPOS!N2659)</f>
        <v/>
      </c>
      <c r="B2659">
        <f>BASE_EQUIPOS!A2659</f>
        <v/>
      </c>
      <c r="C2659">
        <f>BASE_EQUIPOS!B2659</f>
        <v/>
      </c>
      <c r="D2659">
        <f>BASE_EQUIPOS!D2659</f>
        <v/>
      </c>
      <c r="E2659">
        <f>BASE_EQUIPOS!G2659</f>
        <v/>
      </c>
      <c r="F2659">
        <f>BASE_EQUIPOS!H2659</f>
        <v/>
      </c>
      <c r="G2659">
        <f>BASE_EQUIPOS!M2659</f>
        <v/>
      </c>
      <c r="I2659" t="inlineStr">
        <is>
          <t>E-077/000202</t>
        </is>
      </c>
    </row>
    <row r="2660">
      <c r="A2660">
        <f>TRIM(BASE_EQUIPOS!N2660)</f>
        <v/>
      </c>
      <c r="B2660">
        <f>BASE_EQUIPOS!A2660</f>
        <v/>
      </c>
      <c r="C2660">
        <f>BASE_EQUIPOS!B2660</f>
        <v/>
      </c>
      <c r="D2660">
        <f>BASE_EQUIPOS!D2660</f>
        <v/>
      </c>
      <c r="E2660">
        <f>BASE_EQUIPOS!G2660</f>
        <v/>
      </c>
      <c r="F2660">
        <f>BASE_EQUIPOS!H2660</f>
        <v/>
      </c>
      <c r="G2660">
        <f>BASE_EQUIPOS!M2660</f>
        <v/>
      </c>
      <c r="I2660" t="inlineStr">
        <is>
          <t>E-092/000012</t>
        </is>
      </c>
    </row>
    <row r="2661">
      <c r="A2661">
        <f>TRIM(BASE_EQUIPOS!N2661)</f>
        <v/>
      </c>
      <c r="B2661">
        <f>BASE_EQUIPOS!A2661</f>
        <v/>
      </c>
      <c r="C2661">
        <f>BASE_EQUIPOS!B2661</f>
        <v/>
      </c>
      <c r="D2661">
        <f>BASE_EQUIPOS!D2661</f>
        <v/>
      </c>
      <c r="E2661">
        <f>BASE_EQUIPOS!G2661</f>
        <v/>
      </c>
      <c r="F2661">
        <f>BASE_EQUIPOS!H2661</f>
        <v/>
      </c>
      <c r="G2661">
        <f>BASE_EQUIPOS!M2661</f>
        <v/>
      </c>
      <c r="I2661" t="inlineStr">
        <is>
          <t>E-102-000014</t>
        </is>
      </c>
    </row>
    <row r="2662">
      <c r="A2662">
        <f>TRIM(BASE_EQUIPOS!N2662)</f>
        <v/>
      </c>
      <c r="B2662">
        <f>BASE_EQUIPOS!A2662</f>
        <v/>
      </c>
      <c r="C2662">
        <f>BASE_EQUIPOS!B2662</f>
        <v/>
      </c>
      <c r="D2662">
        <f>BASE_EQUIPOS!D2662</f>
        <v/>
      </c>
      <c r="E2662">
        <f>BASE_EQUIPOS!G2662</f>
        <v/>
      </c>
      <c r="F2662">
        <f>BASE_EQUIPOS!H2662</f>
        <v/>
      </c>
      <c r="G2662">
        <f>BASE_EQUIPOS!M2662</f>
        <v/>
      </c>
      <c r="I2662" t="inlineStr">
        <is>
          <t>E-104/001852</t>
        </is>
      </c>
    </row>
    <row r="2663">
      <c r="A2663">
        <f>TRIM(BASE_EQUIPOS!N2663)</f>
        <v/>
      </c>
      <c r="B2663">
        <f>BASE_EQUIPOS!A2663</f>
        <v/>
      </c>
      <c r="C2663">
        <f>BASE_EQUIPOS!B2663</f>
        <v/>
      </c>
      <c r="D2663">
        <f>BASE_EQUIPOS!D2663</f>
        <v/>
      </c>
      <c r="E2663">
        <f>BASE_EQUIPOS!G2663</f>
        <v/>
      </c>
      <c r="F2663">
        <f>BASE_EQUIPOS!H2663</f>
        <v/>
      </c>
      <c r="G2663">
        <f>BASE_EQUIPOS!M2663</f>
        <v/>
      </c>
      <c r="I2663" t="inlineStr">
        <is>
          <t>E-106/000250</t>
        </is>
      </c>
    </row>
    <row r="2664">
      <c r="A2664">
        <f>TRIM(BASE_EQUIPOS!N2664)</f>
        <v/>
      </c>
      <c r="B2664">
        <f>BASE_EQUIPOS!A2664</f>
        <v/>
      </c>
      <c r="C2664">
        <f>BASE_EQUIPOS!B2664</f>
        <v/>
      </c>
      <c r="D2664">
        <f>BASE_EQUIPOS!D2664</f>
        <v/>
      </c>
      <c r="E2664">
        <f>BASE_EQUIPOS!G2664</f>
        <v/>
      </c>
      <c r="F2664">
        <f>BASE_EQUIPOS!H2664</f>
        <v/>
      </c>
      <c r="G2664">
        <f>BASE_EQUIPOS!M2664</f>
        <v/>
      </c>
      <c r="I2664" t="inlineStr">
        <is>
          <t>E-112/CR569964</t>
        </is>
      </c>
    </row>
    <row r="2665">
      <c r="A2665">
        <f>TRIM(BASE_EQUIPOS!N2665)</f>
        <v/>
      </c>
      <c r="B2665">
        <f>BASE_EQUIPOS!A2665</f>
        <v/>
      </c>
      <c r="C2665">
        <f>BASE_EQUIPOS!B2665</f>
        <v/>
      </c>
      <c r="D2665">
        <f>BASE_EQUIPOS!D2665</f>
        <v/>
      </c>
      <c r="E2665">
        <f>BASE_EQUIPOS!G2665</f>
        <v/>
      </c>
      <c r="F2665">
        <f>BASE_EQUIPOS!H2665</f>
        <v/>
      </c>
      <c r="G2665">
        <f>BASE_EQUIPOS!M2665</f>
        <v/>
      </c>
      <c r="I2665" t="inlineStr">
        <is>
          <t>E-120/000096</t>
        </is>
      </c>
    </row>
    <row r="2666">
      <c r="A2666">
        <f>TRIM(BASE_EQUIPOS!N2666)</f>
        <v/>
      </c>
      <c r="B2666">
        <f>BASE_EQUIPOS!A2666</f>
        <v/>
      </c>
      <c r="C2666">
        <f>BASE_EQUIPOS!B2666</f>
        <v/>
      </c>
      <c r="D2666">
        <f>BASE_EQUIPOS!D2666</f>
        <v/>
      </c>
      <c r="E2666">
        <f>BASE_EQUIPOS!G2666</f>
        <v/>
      </c>
      <c r="F2666">
        <f>BASE_EQUIPOS!H2666</f>
        <v/>
      </c>
      <c r="G2666">
        <f>BASE_EQUIPOS!M2666</f>
        <v/>
      </c>
      <c r="I2666" t="inlineStr">
        <is>
          <t>E-124/000796</t>
        </is>
      </c>
    </row>
    <row r="2667">
      <c r="A2667">
        <f>TRIM(BASE_EQUIPOS!N2667)</f>
        <v/>
      </c>
      <c r="B2667">
        <f>BASE_EQUIPOS!A2667</f>
        <v/>
      </c>
      <c r="C2667">
        <f>BASE_EQUIPOS!B2667</f>
        <v/>
      </c>
      <c r="D2667">
        <f>BASE_EQUIPOS!D2667</f>
        <v/>
      </c>
      <c r="E2667">
        <f>BASE_EQUIPOS!G2667</f>
        <v/>
      </c>
      <c r="F2667">
        <f>BASE_EQUIPOS!H2667</f>
        <v/>
      </c>
      <c r="G2667">
        <f>BASE_EQUIPOS!M2667</f>
        <v/>
      </c>
      <c r="I2667" t="inlineStr">
        <is>
          <t>E-125/000895</t>
        </is>
      </c>
    </row>
    <row r="2668">
      <c r="A2668">
        <f>TRIM(BASE_EQUIPOS!N2668)</f>
        <v/>
      </c>
      <c r="B2668">
        <f>BASE_EQUIPOS!A2668</f>
        <v/>
      </c>
      <c r="C2668">
        <f>BASE_EQUIPOS!B2668</f>
        <v/>
      </c>
      <c r="D2668">
        <f>BASE_EQUIPOS!D2668</f>
        <v/>
      </c>
      <c r="E2668">
        <f>BASE_EQUIPOS!G2668</f>
        <v/>
      </c>
      <c r="F2668">
        <f>BASE_EQUIPOS!H2668</f>
        <v/>
      </c>
      <c r="G2668">
        <f>BASE_EQUIPOS!M2668</f>
        <v/>
      </c>
      <c r="I2668" t="inlineStr">
        <is>
          <t>E128-000059</t>
        </is>
      </c>
    </row>
    <row r="2669">
      <c r="A2669">
        <f>TRIM(BASE_EQUIPOS!N2669)</f>
        <v/>
      </c>
      <c r="B2669">
        <f>BASE_EQUIPOS!A2669</f>
        <v/>
      </c>
      <c r="C2669">
        <f>BASE_EQUIPOS!B2669</f>
        <v/>
      </c>
      <c r="D2669">
        <f>BASE_EQUIPOS!D2669</f>
        <v/>
      </c>
      <c r="E2669">
        <f>BASE_EQUIPOS!G2669</f>
        <v/>
      </c>
      <c r="F2669">
        <f>BASE_EQUIPOS!H2669</f>
        <v/>
      </c>
      <c r="G2669">
        <f>BASE_EQUIPOS!M2669</f>
        <v/>
      </c>
      <c r="I2669" t="inlineStr">
        <is>
          <t>E141-000086</t>
        </is>
      </c>
    </row>
    <row r="2670">
      <c r="A2670">
        <f>TRIM(BASE_EQUIPOS!N2670)</f>
        <v/>
      </c>
      <c r="B2670">
        <f>BASE_EQUIPOS!A2670</f>
        <v/>
      </c>
      <c r="C2670">
        <f>BASE_EQUIPOS!B2670</f>
        <v/>
      </c>
      <c r="D2670">
        <f>BASE_EQUIPOS!D2670</f>
        <v/>
      </c>
      <c r="E2670">
        <f>BASE_EQUIPOS!G2670</f>
        <v/>
      </c>
      <c r="F2670">
        <f>BASE_EQUIPOS!H2670</f>
        <v/>
      </c>
      <c r="G2670">
        <f>BASE_EQUIPOS!M2670</f>
        <v/>
      </c>
      <c r="I2670" t="inlineStr">
        <is>
          <t>E167/ZR283665</t>
        </is>
      </c>
    </row>
    <row r="2671">
      <c r="A2671">
        <f>TRIM(BASE_EQUIPOS!N2671)</f>
        <v/>
      </c>
      <c r="B2671">
        <f>BASE_EQUIPOS!A2671</f>
        <v/>
      </c>
      <c r="C2671">
        <f>BASE_EQUIPOS!B2671</f>
        <v/>
      </c>
      <c r="D2671">
        <f>BASE_EQUIPOS!D2671</f>
        <v/>
      </c>
      <c r="E2671">
        <f>BASE_EQUIPOS!G2671</f>
        <v/>
      </c>
      <c r="F2671">
        <f>BASE_EQUIPOS!H2671</f>
        <v/>
      </c>
      <c r="G2671">
        <f>BASE_EQUIPOS!M2671</f>
        <v/>
      </c>
      <c r="I2671" t="inlineStr">
        <is>
          <t>E169/000013</t>
        </is>
      </c>
    </row>
    <row r="2672">
      <c r="A2672">
        <f>TRIM(BASE_EQUIPOS!N2672)</f>
        <v/>
      </c>
      <c r="B2672">
        <f>BASE_EQUIPOS!A2672</f>
        <v/>
      </c>
      <c r="C2672">
        <f>BASE_EQUIPOS!B2672</f>
        <v/>
      </c>
      <c r="D2672">
        <f>BASE_EQUIPOS!D2672</f>
        <v/>
      </c>
      <c r="E2672">
        <f>BASE_EQUIPOS!G2672</f>
        <v/>
      </c>
      <c r="F2672">
        <f>BASE_EQUIPOS!H2672</f>
        <v/>
      </c>
      <c r="G2672">
        <f>BASE_EQUIPOS!M2672</f>
        <v/>
      </c>
      <c r="I2672" t="inlineStr">
        <is>
          <t>307190</t>
        </is>
      </c>
    </row>
    <row r="2673">
      <c r="A2673">
        <f>TRIM(BASE_EQUIPOS!N2673)</f>
        <v/>
      </c>
      <c r="B2673">
        <f>BASE_EQUIPOS!A2673</f>
        <v/>
      </c>
      <c r="C2673">
        <f>BASE_EQUIPOS!B2673</f>
        <v/>
      </c>
      <c r="D2673">
        <f>BASE_EQUIPOS!D2673</f>
        <v/>
      </c>
      <c r="E2673">
        <f>BASE_EQUIPOS!G2673</f>
        <v/>
      </c>
      <c r="F2673">
        <f>BASE_EQUIPOS!H2673</f>
        <v/>
      </c>
      <c r="G2673">
        <f>BASE_EQUIPOS!M2673</f>
        <v/>
      </c>
      <c r="I2673" t="inlineStr">
        <is>
          <t>002618</t>
        </is>
      </c>
    </row>
    <row r="2674">
      <c r="A2674">
        <f>TRIM(BASE_EQUIPOS!N2674)</f>
        <v/>
      </c>
      <c r="B2674">
        <f>BASE_EQUIPOS!A2674</f>
        <v/>
      </c>
      <c r="C2674">
        <f>BASE_EQUIPOS!B2674</f>
        <v/>
      </c>
      <c r="D2674">
        <f>BASE_EQUIPOS!D2674</f>
        <v/>
      </c>
      <c r="E2674">
        <f>BASE_EQUIPOS!G2674</f>
        <v/>
      </c>
      <c r="F2674">
        <f>BASE_EQUIPOS!H2674</f>
        <v/>
      </c>
      <c r="G2674">
        <f>BASE_EQUIPOS!M2674</f>
        <v/>
      </c>
      <c r="I2674" t="inlineStr">
        <is>
          <t>583566</t>
        </is>
      </c>
    </row>
    <row r="2675">
      <c r="A2675">
        <f>TRIM(BASE_EQUIPOS!N2675)</f>
        <v/>
      </c>
      <c r="B2675">
        <f>BASE_EQUIPOS!A2675</f>
        <v/>
      </c>
      <c r="C2675">
        <f>BASE_EQUIPOS!B2675</f>
        <v/>
      </c>
      <c r="D2675">
        <f>BASE_EQUIPOS!D2675</f>
        <v/>
      </c>
      <c r="E2675">
        <f>BASE_EQUIPOS!G2675</f>
        <v/>
      </c>
      <c r="F2675">
        <f>BASE_EQUIPOS!H2675</f>
        <v/>
      </c>
      <c r="G2675">
        <f>BASE_EQUIPOS!M2675</f>
        <v/>
      </c>
      <c r="I2675" t="inlineStr">
        <is>
          <t>583615</t>
        </is>
      </c>
    </row>
    <row r="2676">
      <c r="A2676">
        <f>TRIM(BASE_EQUIPOS!N2676)</f>
        <v/>
      </c>
      <c r="B2676">
        <f>BASE_EQUIPOS!A2676</f>
        <v/>
      </c>
      <c r="C2676">
        <f>BASE_EQUIPOS!B2676</f>
        <v/>
      </c>
      <c r="D2676">
        <f>BASE_EQUIPOS!D2676</f>
        <v/>
      </c>
      <c r="E2676">
        <f>BASE_EQUIPOS!G2676</f>
        <v/>
      </c>
      <c r="F2676">
        <f>BASE_EQUIPOS!H2676</f>
        <v/>
      </c>
      <c r="G2676">
        <f>BASE_EQUIPOS!M2676</f>
        <v/>
      </c>
      <c r="I2676" t="inlineStr">
        <is>
          <t>583603</t>
        </is>
      </c>
    </row>
    <row r="2677">
      <c r="A2677">
        <f>TRIM(BASE_EQUIPOS!N2677)</f>
        <v/>
      </c>
      <c r="B2677">
        <f>BASE_EQUIPOS!A2677</f>
        <v/>
      </c>
      <c r="C2677">
        <f>BASE_EQUIPOS!B2677</f>
        <v/>
      </c>
      <c r="D2677">
        <f>BASE_EQUIPOS!D2677</f>
        <v/>
      </c>
      <c r="E2677">
        <f>BASE_EQUIPOS!G2677</f>
        <v/>
      </c>
      <c r="F2677">
        <f>BASE_EQUIPOS!H2677</f>
        <v/>
      </c>
      <c r="G2677">
        <f>BASE_EQUIPOS!M2677</f>
        <v/>
      </c>
      <c r="I2677" t="inlineStr">
        <is>
          <t>04/V921452</t>
        </is>
      </c>
    </row>
    <row r="2678">
      <c r="A2678">
        <f>TRIM(BASE_EQUIPOS!N2678)</f>
        <v/>
      </c>
      <c r="B2678">
        <f>BASE_EQUIPOS!A2678</f>
        <v/>
      </c>
      <c r="C2678">
        <f>BASE_EQUIPOS!B2678</f>
        <v/>
      </c>
      <c r="D2678">
        <f>BASE_EQUIPOS!D2678</f>
        <v/>
      </c>
      <c r="E2678">
        <f>BASE_EQUIPOS!G2678</f>
        <v/>
      </c>
      <c r="F2678">
        <f>BASE_EQUIPOS!H2678</f>
        <v/>
      </c>
      <c r="G2678">
        <f>BASE_EQUIPOS!M2678</f>
        <v/>
      </c>
      <c r="I2678" t="inlineStr">
        <is>
          <t>06/Y008772</t>
        </is>
      </c>
    </row>
    <row r="2679">
      <c r="A2679">
        <f>TRIM(BASE_EQUIPOS!N2679)</f>
        <v/>
      </c>
      <c r="B2679">
        <f>BASE_EQUIPOS!A2679</f>
        <v/>
      </c>
      <c r="C2679">
        <f>BASE_EQUIPOS!B2679</f>
        <v/>
      </c>
      <c r="D2679">
        <f>BASE_EQUIPOS!D2679</f>
        <v/>
      </c>
      <c r="E2679">
        <f>BASE_EQUIPOS!G2679</f>
        <v/>
      </c>
      <c r="F2679">
        <f>BASE_EQUIPOS!H2679</f>
        <v/>
      </c>
      <c r="G2679">
        <f>BASE_EQUIPOS!M2679</f>
        <v/>
      </c>
      <c r="I2679" t="inlineStr">
        <is>
          <t>10/Y005060</t>
        </is>
      </c>
    </row>
    <row r="2680">
      <c r="A2680">
        <f>TRIM(BASE_EQUIPOS!N2680)</f>
        <v/>
      </c>
      <c r="B2680">
        <f>BASE_EQUIPOS!A2680</f>
        <v/>
      </c>
      <c r="C2680">
        <f>BASE_EQUIPOS!B2680</f>
        <v/>
      </c>
      <c r="D2680">
        <f>BASE_EQUIPOS!D2680</f>
        <v/>
      </c>
      <c r="E2680">
        <f>BASE_EQUIPOS!G2680</f>
        <v/>
      </c>
      <c r="F2680">
        <f>BASE_EQUIPOS!H2680</f>
        <v/>
      </c>
      <c r="G2680">
        <f>BASE_EQUIPOS!M2680</f>
        <v/>
      </c>
      <c r="I2680" t="inlineStr">
        <is>
          <t>2/YE8773</t>
        </is>
      </c>
    </row>
    <row r="2681">
      <c r="A2681">
        <f>TRIM(BASE_EQUIPOS!N2681)</f>
        <v/>
      </c>
      <c r="B2681">
        <f>BASE_EQUIPOS!A2681</f>
        <v/>
      </c>
      <c r="C2681">
        <f>BASE_EQUIPOS!B2681</f>
        <v/>
      </c>
      <c r="D2681">
        <f>BASE_EQUIPOS!D2681</f>
        <v/>
      </c>
      <c r="E2681">
        <f>BASE_EQUIPOS!G2681</f>
        <v/>
      </c>
      <c r="F2681">
        <f>BASE_EQUIPOS!H2681</f>
        <v/>
      </c>
      <c r="G2681">
        <f>BASE_EQUIPOS!M2681</f>
        <v/>
      </c>
      <c r="I2681" t="inlineStr">
        <is>
          <t>09/30610</t>
        </is>
      </c>
    </row>
    <row r="2682">
      <c r="A2682">
        <f>TRIM(BASE_EQUIPOS!N2682)</f>
        <v/>
      </c>
      <c r="B2682">
        <f>BASE_EQUIPOS!A2682</f>
        <v/>
      </c>
      <c r="C2682">
        <f>BASE_EQUIPOS!B2682</f>
        <v/>
      </c>
      <c r="D2682">
        <f>BASE_EQUIPOS!D2682</f>
        <v/>
      </c>
      <c r="E2682">
        <f>BASE_EQUIPOS!G2682</f>
        <v/>
      </c>
      <c r="F2682">
        <f>BASE_EQUIPOS!H2682</f>
        <v/>
      </c>
      <c r="G2682">
        <f>BASE_EQUIPOS!M2682</f>
        <v/>
      </c>
      <c r="I2682" t="inlineStr">
        <is>
          <t>20/ZB-643962</t>
        </is>
      </c>
    </row>
    <row r="2683">
      <c r="A2683">
        <f>TRIM(BASE_EQUIPOS!N2683)</f>
        <v/>
      </c>
      <c r="B2683">
        <f>BASE_EQUIPOS!A2683</f>
        <v/>
      </c>
      <c r="C2683">
        <f>BASE_EQUIPOS!B2683</f>
        <v/>
      </c>
      <c r="D2683">
        <f>BASE_EQUIPOS!D2683</f>
        <v/>
      </c>
      <c r="E2683">
        <f>BASE_EQUIPOS!G2683</f>
        <v/>
      </c>
      <c r="F2683">
        <f>BASE_EQUIPOS!H2683</f>
        <v/>
      </c>
      <c r="G2683">
        <f>BASE_EQUIPOS!M2683</f>
        <v/>
      </c>
      <c r="I2683" t="inlineStr">
        <is>
          <t>18/ZB-643976</t>
        </is>
      </c>
    </row>
    <row r="2684">
      <c r="A2684">
        <f>TRIM(BASE_EQUIPOS!N2684)</f>
        <v/>
      </c>
      <c r="B2684">
        <f>BASE_EQUIPOS!A2684</f>
        <v/>
      </c>
      <c r="C2684">
        <f>BASE_EQUIPOS!B2684</f>
        <v/>
      </c>
      <c r="D2684">
        <f>BASE_EQUIPOS!D2684</f>
        <v/>
      </c>
      <c r="E2684">
        <f>BASE_EQUIPOS!G2684</f>
        <v/>
      </c>
      <c r="F2684">
        <f>BASE_EQUIPOS!H2684</f>
        <v/>
      </c>
      <c r="G2684">
        <f>BASE_EQUIPOS!M2684</f>
        <v/>
      </c>
      <c r="I2684" t="inlineStr">
        <is>
          <t>21/ZB-643994</t>
        </is>
      </c>
    </row>
    <row r="2685">
      <c r="A2685">
        <f>TRIM(BASE_EQUIPOS!N2685)</f>
        <v/>
      </c>
      <c r="B2685">
        <f>BASE_EQUIPOS!A2685</f>
        <v/>
      </c>
      <c r="C2685">
        <f>BASE_EQUIPOS!B2685</f>
        <v/>
      </c>
      <c r="D2685">
        <f>BASE_EQUIPOS!D2685</f>
        <v/>
      </c>
      <c r="E2685">
        <f>BASE_EQUIPOS!G2685</f>
        <v/>
      </c>
      <c r="F2685">
        <f>BASE_EQUIPOS!H2685</f>
        <v/>
      </c>
      <c r="G2685">
        <f>BASE_EQUIPOS!M2685</f>
        <v/>
      </c>
      <c r="I2685" t="inlineStr">
        <is>
          <t>19/YN-429127</t>
        </is>
      </c>
    </row>
    <row r="2686">
      <c r="A2686">
        <f>TRIM(BASE_EQUIPOS!N2686)</f>
        <v/>
      </c>
      <c r="B2686">
        <f>BASE_EQUIPOS!A2686</f>
        <v/>
      </c>
      <c r="C2686">
        <f>BASE_EQUIPOS!B2686</f>
        <v/>
      </c>
      <c r="D2686">
        <f>BASE_EQUIPOS!D2686</f>
        <v/>
      </c>
      <c r="E2686">
        <f>BASE_EQUIPOS!G2686</f>
        <v/>
      </c>
      <c r="F2686">
        <f>BASE_EQUIPOS!H2686</f>
        <v/>
      </c>
      <c r="G2686">
        <f>BASE_EQUIPOS!M2686</f>
        <v/>
      </c>
      <c r="I2686" t="inlineStr">
        <is>
          <t>S/N/000159</t>
        </is>
      </c>
    </row>
    <row r="2687">
      <c r="A2687">
        <f>TRIM(BASE_EQUIPOS!N2687)</f>
        <v/>
      </c>
      <c r="B2687">
        <f>BASE_EQUIPOS!A2687</f>
        <v/>
      </c>
      <c r="C2687">
        <f>BASE_EQUIPOS!B2687</f>
        <v/>
      </c>
      <c r="D2687">
        <f>BASE_EQUIPOS!D2687</f>
        <v/>
      </c>
      <c r="E2687">
        <f>BASE_EQUIPOS!G2687</f>
        <v/>
      </c>
      <c r="F2687">
        <f>BASE_EQUIPOS!H2687</f>
        <v/>
      </c>
      <c r="G2687">
        <f>BASE_EQUIPOS!M2687</f>
        <v/>
      </c>
      <c r="I2687" t="inlineStr">
        <is>
          <t>17/000003</t>
        </is>
      </c>
    </row>
    <row r="2688">
      <c r="A2688">
        <f>TRIM(BASE_EQUIPOS!N2688)</f>
        <v/>
      </c>
      <c r="B2688">
        <f>BASE_EQUIPOS!A2688</f>
        <v/>
      </c>
      <c r="C2688">
        <f>BASE_EQUIPOS!B2688</f>
        <v/>
      </c>
      <c r="D2688">
        <f>BASE_EQUIPOS!D2688</f>
        <v/>
      </c>
      <c r="E2688">
        <f>BASE_EQUIPOS!G2688</f>
        <v/>
      </c>
      <c r="F2688">
        <f>BASE_EQUIPOS!H2688</f>
        <v/>
      </c>
      <c r="G2688">
        <f>BASE_EQUIPOS!M2688</f>
        <v/>
      </c>
      <c r="I2688" t="inlineStr">
        <is>
          <t>585002</t>
        </is>
      </c>
    </row>
    <row r="2689">
      <c r="A2689">
        <f>TRIM(BASE_EQUIPOS!N2689)</f>
        <v/>
      </c>
      <c r="B2689">
        <f>BASE_EQUIPOS!A2689</f>
        <v/>
      </c>
      <c r="C2689">
        <f>BASE_EQUIPOS!B2689</f>
        <v/>
      </c>
      <c r="D2689">
        <f>BASE_EQUIPOS!D2689</f>
        <v/>
      </c>
      <c r="E2689">
        <f>BASE_EQUIPOS!G2689</f>
        <v/>
      </c>
      <c r="F2689">
        <f>BASE_EQUIPOS!H2689</f>
        <v/>
      </c>
      <c r="G2689">
        <f>BASE_EQUIPOS!M2689</f>
        <v/>
      </c>
      <c r="I2689" t="inlineStr">
        <is>
          <t>235/000002</t>
        </is>
      </c>
    </row>
    <row r="2690">
      <c r="A2690">
        <f>TRIM(BASE_EQUIPOS!N2690)</f>
        <v/>
      </c>
      <c r="B2690">
        <f>BASE_EQUIPOS!A2690</f>
        <v/>
      </c>
      <c r="C2690">
        <f>BASE_EQUIPOS!B2690</f>
        <v/>
      </c>
      <c r="D2690">
        <f>BASE_EQUIPOS!D2690</f>
        <v/>
      </c>
      <c r="E2690">
        <f>BASE_EQUIPOS!G2690</f>
        <v/>
      </c>
      <c r="F2690">
        <f>BASE_EQUIPOS!H2690</f>
        <v/>
      </c>
      <c r="G2690">
        <f>BASE_EQUIPOS!M2690</f>
        <v/>
      </c>
      <c r="I2690" t="inlineStr">
        <is>
          <t>247/000410</t>
        </is>
      </c>
    </row>
    <row r="2691">
      <c r="A2691">
        <f>TRIM(BASE_EQUIPOS!N2691)</f>
        <v/>
      </c>
      <c r="B2691">
        <f>BASE_EQUIPOS!A2691</f>
        <v/>
      </c>
      <c r="C2691">
        <f>BASE_EQUIPOS!B2691</f>
        <v/>
      </c>
      <c r="D2691">
        <f>BASE_EQUIPOS!D2691</f>
        <v/>
      </c>
      <c r="E2691">
        <f>BASE_EQUIPOS!G2691</f>
        <v/>
      </c>
      <c r="F2691">
        <f>BASE_EQUIPOS!H2691</f>
        <v/>
      </c>
      <c r="G2691">
        <f>BASE_EQUIPOS!M2691</f>
        <v/>
      </c>
      <c r="I2691" t="inlineStr">
        <is>
          <t>05/001333</t>
        </is>
      </c>
    </row>
    <row r="2692">
      <c r="A2692">
        <f>TRIM(BASE_EQUIPOS!N2692)</f>
        <v/>
      </c>
      <c r="B2692">
        <f>BASE_EQUIPOS!A2692</f>
        <v/>
      </c>
      <c r="C2692">
        <f>BASE_EQUIPOS!B2692</f>
        <v/>
      </c>
      <c r="D2692">
        <f>BASE_EQUIPOS!D2692</f>
        <v/>
      </c>
      <c r="E2692">
        <f>BASE_EQUIPOS!G2692</f>
        <v/>
      </c>
      <c r="F2692">
        <f>BASE_EQUIPOS!H2692</f>
        <v/>
      </c>
      <c r="G2692">
        <f>BASE_EQUIPOS!M2692</f>
        <v/>
      </c>
      <c r="I2692" t="inlineStr">
        <is>
          <t>05/006370</t>
        </is>
      </c>
    </row>
    <row r="2693">
      <c r="A2693">
        <f>TRIM(BASE_EQUIPOS!N2693)</f>
        <v/>
      </c>
      <c r="B2693">
        <f>BASE_EQUIPOS!A2693</f>
        <v/>
      </c>
      <c r="C2693">
        <f>BASE_EQUIPOS!B2693</f>
        <v/>
      </c>
      <c r="D2693">
        <f>BASE_EQUIPOS!D2693</f>
        <v/>
      </c>
      <c r="E2693">
        <f>BASE_EQUIPOS!G2693</f>
        <v/>
      </c>
      <c r="F2693">
        <f>BASE_EQUIPOS!H2693</f>
        <v/>
      </c>
      <c r="G2693">
        <f>BASE_EQUIPOS!M2693</f>
        <v/>
      </c>
      <c r="I2693" t="inlineStr">
        <is>
          <t>4/000025</t>
        </is>
      </c>
    </row>
    <row r="2694">
      <c r="A2694">
        <f>TRIM(BASE_EQUIPOS!N2694)</f>
        <v/>
      </c>
      <c r="B2694">
        <f>BASE_EQUIPOS!A2694</f>
        <v/>
      </c>
      <c r="C2694">
        <f>BASE_EQUIPOS!B2694</f>
        <v/>
      </c>
      <c r="D2694">
        <f>BASE_EQUIPOS!D2694</f>
        <v/>
      </c>
      <c r="E2694">
        <f>BASE_EQUIPOS!G2694</f>
        <v/>
      </c>
      <c r="F2694">
        <f>BASE_EQUIPOS!H2694</f>
        <v/>
      </c>
      <c r="G2694">
        <f>BASE_EQUIPOS!M2694</f>
        <v/>
      </c>
      <c r="I2694" t="inlineStr">
        <is>
          <t>5/000038</t>
        </is>
      </c>
    </row>
    <row r="2695">
      <c r="A2695">
        <f>TRIM(BASE_EQUIPOS!N2695)</f>
        <v/>
      </c>
      <c r="B2695">
        <f>BASE_EQUIPOS!A2695</f>
        <v/>
      </c>
      <c r="C2695">
        <f>BASE_EQUIPOS!B2695</f>
        <v/>
      </c>
      <c r="D2695">
        <f>BASE_EQUIPOS!D2695</f>
        <v/>
      </c>
      <c r="E2695">
        <f>BASE_EQUIPOS!G2695</f>
        <v/>
      </c>
      <c r="F2695">
        <f>BASE_EQUIPOS!H2695</f>
        <v/>
      </c>
      <c r="G2695">
        <f>BASE_EQUIPOS!M2695</f>
        <v/>
      </c>
      <c r="I2695" t="inlineStr">
        <is>
          <t>6/000689</t>
        </is>
      </c>
    </row>
    <row r="2696">
      <c r="A2696">
        <f>TRIM(BASE_EQUIPOS!N2696)</f>
        <v/>
      </c>
      <c r="B2696">
        <f>BASE_EQUIPOS!A2696</f>
        <v/>
      </c>
      <c r="C2696">
        <f>BASE_EQUIPOS!B2696</f>
        <v/>
      </c>
      <c r="D2696">
        <f>BASE_EQUIPOS!D2696</f>
        <v/>
      </c>
      <c r="E2696">
        <f>BASE_EQUIPOS!G2696</f>
        <v/>
      </c>
      <c r="F2696">
        <f>BASE_EQUIPOS!H2696</f>
        <v/>
      </c>
      <c r="G2696">
        <f>BASE_EQUIPOS!M2696</f>
        <v/>
      </c>
      <c r="I2696" t="inlineStr">
        <is>
          <t>7/000765</t>
        </is>
      </c>
    </row>
    <row r="2697">
      <c r="A2697">
        <f>TRIM(BASE_EQUIPOS!N2697)</f>
        <v/>
      </c>
      <c r="B2697">
        <f>BASE_EQUIPOS!A2697</f>
        <v/>
      </c>
      <c r="C2697">
        <f>BASE_EQUIPOS!B2697</f>
        <v/>
      </c>
      <c r="D2697">
        <f>BASE_EQUIPOS!D2697</f>
        <v/>
      </c>
      <c r="E2697">
        <f>BASE_EQUIPOS!G2697</f>
        <v/>
      </c>
      <c r="F2697">
        <f>BASE_EQUIPOS!H2697</f>
        <v/>
      </c>
      <c r="G2697">
        <f>BASE_EQUIPOS!M2697</f>
        <v/>
      </c>
      <c r="I2697" t="inlineStr">
        <is>
          <t>8/000145</t>
        </is>
      </c>
    </row>
    <row r="2698">
      <c r="A2698">
        <f>TRIM(BASE_EQUIPOS!N2698)</f>
        <v/>
      </c>
      <c r="B2698">
        <f>BASE_EQUIPOS!A2698</f>
        <v/>
      </c>
      <c r="C2698">
        <f>BASE_EQUIPOS!B2698</f>
        <v/>
      </c>
      <c r="D2698">
        <f>BASE_EQUIPOS!D2698</f>
        <v/>
      </c>
      <c r="E2698">
        <f>BASE_EQUIPOS!G2698</f>
        <v/>
      </c>
      <c r="F2698">
        <f>BASE_EQUIPOS!H2698</f>
        <v/>
      </c>
      <c r="G2698">
        <f>BASE_EQUIPOS!M2698</f>
        <v/>
      </c>
      <c r="I2698" t="inlineStr">
        <is>
          <t>12/000046</t>
        </is>
      </c>
    </row>
    <row r="2699">
      <c r="A2699">
        <f>TRIM(BASE_EQUIPOS!N2699)</f>
        <v/>
      </c>
      <c r="B2699">
        <f>BASE_EQUIPOS!A2699</f>
        <v/>
      </c>
      <c r="C2699">
        <f>BASE_EQUIPOS!B2699</f>
        <v/>
      </c>
      <c r="D2699">
        <f>BASE_EQUIPOS!D2699</f>
        <v/>
      </c>
      <c r="E2699">
        <f>BASE_EQUIPOS!G2699</f>
        <v/>
      </c>
      <c r="F2699">
        <f>BASE_EQUIPOS!H2699</f>
        <v/>
      </c>
      <c r="G2699">
        <f>BASE_EQUIPOS!M2699</f>
        <v/>
      </c>
      <c r="I2699" t="inlineStr">
        <is>
          <t>27/000061</t>
        </is>
      </c>
    </row>
    <row r="2700">
      <c r="A2700">
        <f>TRIM(BASE_EQUIPOS!N2700)</f>
        <v/>
      </c>
      <c r="B2700">
        <f>BASE_EQUIPOS!A2700</f>
        <v/>
      </c>
      <c r="C2700">
        <f>BASE_EQUIPOS!B2700</f>
        <v/>
      </c>
      <c r="D2700">
        <f>BASE_EQUIPOS!D2700</f>
        <v/>
      </c>
      <c r="E2700">
        <f>BASE_EQUIPOS!G2700</f>
        <v/>
      </c>
      <c r="F2700">
        <f>BASE_EQUIPOS!H2700</f>
        <v/>
      </c>
      <c r="G2700">
        <f>BASE_EQUIPOS!M2700</f>
        <v/>
      </c>
      <c r="I2700" t="inlineStr">
        <is>
          <t>01/000376</t>
        </is>
      </c>
    </row>
    <row r="2701">
      <c r="A2701">
        <f>TRIM(BASE_EQUIPOS!N2701)</f>
        <v/>
      </c>
      <c r="B2701">
        <f>BASE_EQUIPOS!A2701</f>
        <v/>
      </c>
      <c r="C2701">
        <f>BASE_EQUIPOS!B2701</f>
        <v/>
      </c>
      <c r="D2701">
        <f>BASE_EQUIPOS!D2701</f>
        <v/>
      </c>
      <c r="E2701">
        <f>BASE_EQUIPOS!G2701</f>
        <v/>
      </c>
      <c r="F2701">
        <f>BASE_EQUIPOS!H2701</f>
        <v/>
      </c>
      <c r="G2701">
        <f>BASE_EQUIPOS!M2701</f>
        <v/>
      </c>
      <c r="I2701" t="inlineStr">
        <is>
          <t>02/000919</t>
        </is>
      </c>
    </row>
    <row r="2702">
      <c r="A2702">
        <f>TRIM(BASE_EQUIPOS!N2702)</f>
        <v/>
      </c>
      <c r="B2702">
        <f>BASE_EQUIPOS!A2702</f>
        <v/>
      </c>
      <c r="C2702">
        <f>BASE_EQUIPOS!B2702</f>
        <v/>
      </c>
      <c r="D2702">
        <f>BASE_EQUIPOS!D2702</f>
        <v/>
      </c>
      <c r="E2702">
        <f>BASE_EQUIPOS!G2702</f>
        <v/>
      </c>
      <c r="F2702">
        <f>BASE_EQUIPOS!H2702</f>
        <v/>
      </c>
      <c r="G2702">
        <f>BASE_EQUIPOS!M2702</f>
        <v/>
      </c>
      <c r="I2702" t="inlineStr">
        <is>
          <t>43/S/N</t>
        </is>
      </c>
    </row>
    <row r="2703">
      <c r="A2703">
        <f>TRIM(BASE_EQUIPOS!N2703)</f>
        <v/>
      </c>
      <c r="B2703">
        <f>BASE_EQUIPOS!A2703</f>
        <v/>
      </c>
      <c r="C2703">
        <f>BASE_EQUIPOS!B2703</f>
        <v/>
      </c>
      <c r="D2703">
        <f>BASE_EQUIPOS!D2703</f>
        <v/>
      </c>
      <c r="E2703">
        <f>BASE_EQUIPOS!G2703</f>
        <v/>
      </c>
      <c r="F2703">
        <f>BASE_EQUIPOS!H2703</f>
        <v/>
      </c>
      <c r="G2703">
        <f>BASE_EQUIPOS!M2703</f>
        <v/>
      </c>
      <c r="I2703" t="inlineStr">
        <is>
          <t>17/S/N</t>
        </is>
      </c>
    </row>
    <row r="2704">
      <c r="A2704">
        <f>TRIM(BASE_EQUIPOS!N2704)</f>
        <v/>
      </c>
      <c r="B2704">
        <f>BASE_EQUIPOS!A2704</f>
        <v/>
      </c>
      <c r="C2704">
        <f>BASE_EQUIPOS!B2704</f>
        <v/>
      </c>
      <c r="D2704">
        <f>BASE_EQUIPOS!D2704</f>
        <v/>
      </c>
      <c r="E2704">
        <f>BASE_EQUIPOS!G2704</f>
        <v/>
      </c>
      <c r="F2704">
        <f>BASE_EQUIPOS!H2704</f>
        <v/>
      </c>
      <c r="G2704">
        <f>BASE_EQUIPOS!M2704</f>
        <v/>
      </c>
      <c r="I2704" t="inlineStr">
        <is>
          <t>29/S/N</t>
        </is>
      </c>
    </row>
    <row r="2705">
      <c r="A2705">
        <f>TRIM(BASE_EQUIPOS!N2705)</f>
        <v/>
      </c>
      <c r="B2705">
        <f>BASE_EQUIPOS!A2705</f>
        <v/>
      </c>
      <c r="C2705">
        <f>BASE_EQUIPOS!B2705</f>
        <v/>
      </c>
      <c r="D2705">
        <f>BASE_EQUIPOS!D2705</f>
        <v/>
      </c>
      <c r="E2705">
        <f>BASE_EQUIPOS!G2705</f>
        <v/>
      </c>
      <c r="F2705">
        <f>BASE_EQUIPOS!H2705</f>
        <v/>
      </c>
      <c r="G2705">
        <f>BASE_EQUIPOS!M2705</f>
        <v/>
      </c>
      <c r="I2705" t="inlineStr">
        <is>
          <t>45/318020</t>
        </is>
      </c>
    </row>
    <row r="2706">
      <c r="A2706">
        <f>TRIM(BASE_EQUIPOS!N2706)</f>
        <v/>
      </c>
      <c r="B2706">
        <f>BASE_EQUIPOS!A2706</f>
        <v/>
      </c>
      <c r="C2706">
        <f>BASE_EQUIPOS!B2706</f>
        <v/>
      </c>
      <c r="D2706">
        <f>BASE_EQUIPOS!D2706</f>
        <v/>
      </c>
      <c r="E2706">
        <f>BASE_EQUIPOS!G2706</f>
        <v/>
      </c>
      <c r="F2706">
        <f>BASE_EQUIPOS!H2706</f>
        <v/>
      </c>
      <c r="G2706">
        <f>BASE_EQUIPOS!M2706</f>
        <v/>
      </c>
      <c r="I2706" t="inlineStr">
        <is>
          <t>34/264305</t>
        </is>
      </c>
    </row>
    <row r="2707">
      <c r="A2707">
        <f>TRIM(BASE_EQUIPOS!N2707)</f>
        <v/>
      </c>
      <c r="B2707">
        <f>BASE_EQUIPOS!A2707</f>
        <v/>
      </c>
      <c r="C2707">
        <f>BASE_EQUIPOS!B2707</f>
        <v/>
      </c>
      <c r="D2707">
        <f>BASE_EQUIPOS!D2707</f>
        <v/>
      </c>
      <c r="E2707">
        <f>BASE_EQUIPOS!G2707</f>
        <v/>
      </c>
      <c r="F2707">
        <f>BASE_EQUIPOS!H2707</f>
        <v/>
      </c>
      <c r="G2707">
        <f>BASE_EQUIPOS!M2707</f>
        <v/>
      </c>
      <c r="I2707" t="inlineStr">
        <is>
          <t>40/264290</t>
        </is>
      </c>
    </row>
    <row r="2708">
      <c r="A2708">
        <f>TRIM(BASE_EQUIPOS!N2708)</f>
        <v/>
      </c>
      <c r="B2708">
        <f>BASE_EQUIPOS!A2708</f>
        <v/>
      </c>
      <c r="C2708">
        <f>BASE_EQUIPOS!B2708</f>
        <v/>
      </c>
      <c r="D2708">
        <f>BASE_EQUIPOS!D2708</f>
        <v/>
      </c>
      <c r="E2708">
        <f>BASE_EQUIPOS!G2708</f>
        <v/>
      </c>
      <c r="F2708">
        <f>BASE_EQUIPOS!H2708</f>
        <v/>
      </c>
      <c r="G2708">
        <f>BASE_EQUIPOS!M2708</f>
        <v/>
      </c>
      <c r="I2708" t="inlineStr">
        <is>
          <t>51/938173</t>
        </is>
      </c>
    </row>
    <row r="2709">
      <c r="A2709">
        <f>TRIM(BASE_EQUIPOS!N2709)</f>
        <v/>
      </c>
      <c r="B2709">
        <f>BASE_EQUIPOS!A2709</f>
        <v/>
      </c>
      <c r="C2709">
        <f>BASE_EQUIPOS!B2709</f>
        <v/>
      </c>
      <c r="D2709">
        <f>BASE_EQUIPOS!D2709</f>
        <v/>
      </c>
      <c r="E2709">
        <f>BASE_EQUIPOS!G2709</f>
        <v/>
      </c>
      <c r="F2709">
        <f>BASE_EQUIPOS!H2709</f>
        <v/>
      </c>
      <c r="G2709">
        <f>BASE_EQUIPOS!M2709</f>
        <v/>
      </c>
      <c r="I2709" t="inlineStr">
        <is>
          <t>33/938188</t>
        </is>
      </c>
    </row>
    <row r="2710">
      <c r="A2710">
        <f>TRIM(BASE_EQUIPOS!N2710)</f>
        <v/>
      </c>
      <c r="B2710">
        <f>BASE_EQUIPOS!A2710</f>
        <v/>
      </c>
      <c r="C2710">
        <f>BASE_EQUIPOS!B2710</f>
        <v/>
      </c>
      <c r="D2710">
        <f>BASE_EQUIPOS!D2710</f>
        <v/>
      </c>
      <c r="E2710">
        <f>BASE_EQUIPOS!G2710</f>
        <v/>
      </c>
      <c r="F2710">
        <f>BASE_EQUIPOS!H2710</f>
        <v/>
      </c>
      <c r="G2710">
        <f>BASE_EQUIPOS!M2710</f>
        <v/>
      </c>
      <c r="I2710" t="inlineStr">
        <is>
          <t>50/430181</t>
        </is>
      </c>
    </row>
    <row r="2711">
      <c r="A2711">
        <f>TRIM(BASE_EQUIPOS!N2711)</f>
        <v/>
      </c>
      <c r="B2711">
        <f>BASE_EQUIPOS!A2711</f>
        <v/>
      </c>
      <c r="C2711">
        <f>BASE_EQUIPOS!B2711</f>
        <v/>
      </c>
      <c r="D2711">
        <f>BASE_EQUIPOS!D2711</f>
        <v/>
      </c>
      <c r="E2711">
        <f>BASE_EQUIPOS!G2711</f>
        <v/>
      </c>
      <c r="F2711">
        <f>BASE_EQUIPOS!H2711</f>
        <v/>
      </c>
      <c r="G2711">
        <f>BASE_EQUIPOS!M2711</f>
        <v/>
      </c>
      <c r="I2711" t="inlineStr">
        <is>
          <t>46/938200</t>
        </is>
      </c>
    </row>
    <row r="2712">
      <c r="A2712">
        <f>TRIM(BASE_EQUIPOS!N2712)</f>
        <v/>
      </c>
      <c r="B2712">
        <f>BASE_EQUIPOS!A2712</f>
        <v/>
      </c>
      <c r="C2712">
        <f>BASE_EQUIPOS!B2712</f>
        <v/>
      </c>
      <c r="D2712">
        <f>BASE_EQUIPOS!D2712</f>
        <v/>
      </c>
      <c r="E2712">
        <f>BASE_EQUIPOS!G2712</f>
        <v/>
      </c>
      <c r="F2712">
        <f>BASE_EQUIPOS!H2712</f>
        <v/>
      </c>
      <c r="G2712">
        <f>BASE_EQUIPOS!M2712</f>
        <v/>
      </c>
      <c r="I2712" t="inlineStr">
        <is>
          <t>47/000515</t>
        </is>
      </c>
    </row>
    <row r="2713">
      <c r="A2713">
        <f>TRIM(BASE_EQUIPOS!N2713)</f>
        <v/>
      </c>
      <c r="B2713">
        <f>BASE_EQUIPOS!A2713</f>
        <v/>
      </c>
      <c r="C2713">
        <f>BASE_EQUIPOS!B2713</f>
        <v/>
      </c>
      <c r="D2713">
        <f>BASE_EQUIPOS!D2713</f>
        <v/>
      </c>
      <c r="E2713">
        <f>BASE_EQUIPOS!G2713</f>
        <v/>
      </c>
      <c r="F2713">
        <f>BASE_EQUIPOS!H2713</f>
        <v/>
      </c>
      <c r="G2713">
        <f>BASE_EQUIPOS!M2713</f>
        <v/>
      </c>
      <c r="I2713" t="inlineStr">
        <is>
          <t>52/264130</t>
        </is>
      </c>
    </row>
    <row r="2714">
      <c r="A2714">
        <f>TRIM(BASE_EQUIPOS!N2714)</f>
        <v/>
      </c>
      <c r="B2714">
        <f>BASE_EQUIPOS!A2714</f>
        <v/>
      </c>
      <c r="C2714">
        <f>BASE_EQUIPOS!B2714</f>
        <v/>
      </c>
      <c r="D2714">
        <f>BASE_EQUIPOS!D2714</f>
        <v/>
      </c>
      <c r="E2714">
        <f>BASE_EQUIPOS!G2714</f>
        <v/>
      </c>
      <c r="F2714">
        <f>BASE_EQUIPOS!H2714</f>
        <v/>
      </c>
      <c r="G2714">
        <f>BASE_EQUIPOS!M2714</f>
        <v/>
      </c>
      <c r="I2714" t="inlineStr">
        <is>
          <t>14/572129</t>
        </is>
      </c>
    </row>
    <row r="2715">
      <c r="A2715">
        <f>TRIM(BASE_EQUIPOS!N2715)</f>
        <v/>
      </c>
      <c r="B2715">
        <f>BASE_EQUIPOS!A2715</f>
        <v/>
      </c>
      <c r="C2715">
        <f>BASE_EQUIPOS!B2715</f>
        <v/>
      </c>
      <c r="D2715">
        <f>BASE_EQUIPOS!D2715</f>
        <v/>
      </c>
      <c r="E2715">
        <f>BASE_EQUIPOS!G2715</f>
        <v/>
      </c>
      <c r="F2715">
        <f>BASE_EQUIPOS!H2715</f>
        <v/>
      </c>
      <c r="G2715">
        <f>BASE_EQUIPOS!M2715</f>
        <v/>
      </c>
      <c r="I2715" t="inlineStr">
        <is>
          <t>38/572469</t>
        </is>
      </c>
    </row>
    <row r="2716">
      <c r="A2716">
        <f>TRIM(BASE_EQUIPOS!N2716)</f>
        <v/>
      </c>
      <c r="B2716">
        <f>BASE_EQUIPOS!A2716</f>
        <v/>
      </c>
      <c r="C2716">
        <f>BASE_EQUIPOS!B2716</f>
        <v/>
      </c>
      <c r="D2716">
        <f>BASE_EQUIPOS!D2716</f>
        <v/>
      </c>
      <c r="E2716">
        <f>BASE_EQUIPOS!G2716</f>
        <v/>
      </c>
      <c r="F2716">
        <f>BASE_EQUIPOS!H2716</f>
        <v/>
      </c>
      <c r="G2716">
        <f>BASE_EQUIPOS!M2716</f>
        <v/>
      </c>
      <c r="I2716" t="inlineStr">
        <is>
          <t>53/574134</t>
        </is>
      </c>
    </row>
    <row r="2717">
      <c r="A2717">
        <f>TRIM(BASE_EQUIPOS!N2717)</f>
        <v/>
      </c>
      <c r="B2717">
        <f>BASE_EQUIPOS!A2717</f>
        <v/>
      </c>
      <c r="C2717">
        <f>BASE_EQUIPOS!B2717</f>
        <v/>
      </c>
      <c r="D2717">
        <f>BASE_EQUIPOS!D2717</f>
        <v/>
      </c>
      <c r="E2717">
        <f>BASE_EQUIPOS!G2717</f>
        <v/>
      </c>
      <c r="F2717">
        <f>BASE_EQUIPOS!H2717</f>
        <v/>
      </c>
      <c r="G2717">
        <f>BASE_EQUIPOS!M2717</f>
        <v/>
      </c>
      <c r="I2717" t="inlineStr">
        <is>
          <t>28/574157</t>
        </is>
      </c>
    </row>
    <row r="2718">
      <c r="A2718">
        <f>TRIM(BASE_EQUIPOS!N2718)</f>
        <v/>
      </c>
      <c r="B2718">
        <f>BASE_EQUIPOS!A2718</f>
        <v/>
      </c>
      <c r="C2718">
        <f>BASE_EQUIPOS!B2718</f>
        <v/>
      </c>
      <c r="D2718">
        <f>BASE_EQUIPOS!D2718</f>
        <v/>
      </c>
      <c r="E2718">
        <f>BASE_EQUIPOS!G2718</f>
        <v/>
      </c>
      <c r="F2718">
        <f>BASE_EQUIPOS!H2718</f>
        <v/>
      </c>
      <c r="G2718">
        <f>BASE_EQUIPOS!M2718</f>
        <v/>
      </c>
      <c r="I2718" t="inlineStr">
        <is>
          <t>48/574144</t>
        </is>
      </c>
    </row>
    <row r="2719">
      <c r="A2719">
        <f>TRIM(BASE_EQUIPOS!N2719)</f>
        <v/>
      </c>
      <c r="B2719">
        <f>BASE_EQUIPOS!A2719</f>
        <v/>
      </c>
      <c r="C2719">
        <f>BASE_EQUIPOS!B2719</f>
        <v/>
      </c>
      <c r="D2719">
        <f>BASE_EQUIPOS!D2719</f>
        <v/>
      </c>
      <c r="E2719">
        <f>BASE_EQUIPOS!G2719</f>
        <v/>
      </c>
      <c r="F2719">
        <f>BASE_EQUIPOS!H2719</f>
        <v/>
      </c>
      <c r="G2719">
        <f>BASE_EQUIPOS!M2719</f>
        <v/>
      </c>
      <c r="I2719" t="inlineStr">
        <is>
          <t>41/574199</t>
        </is>
      </c>
    </row>
    <row r="2720">
      <c r="A2720">
        <f>TRIM(BASE_EQUIPOS!N2720)</f>
        <v/>
      </c>
      <c r="B2720">
        <f>BASE_EQUIPOS!A2720</f>
        <v/>
      </c>
      <c r="C2720">
        <f>BASE_EQUIPOS!B2720</f>
        <v/>
      </c>
      <c r="D2720">
        <f>BASE_EQUIPOS!D2720</f>
        <v/>
      </c>
      <c r="E2720">
        <f>BASE_EQUIPOS!G2720</f>
        <v/>
      </c>
      <c r="F2720">
        <f>BASE_EQUIPOS!H2720</f>
        <v/>
      </c>
      <c r="G2720">
        <f>BASE_EQUIPOS!M2720</f>
        <v/>
      </c>
      <c r="I2720" t="inlineStr">
        <is>
          <t>35/574454</t>
        </is>
      </c>
    </row>
    <row r="2721">
      <c r="A2721">
        <f>TRIM(BASE_EQUIPOS!N2721)</f>
        <v/>
      </c>
      <c r="B2721">
        <f>BASE_EQUIPOS!A2721</f>
        <v/>
      </c>
      <c r="C2721">
        <f>BASE_EQUIPOS!B2721</f>
        <v/>
      </c>
      <c r="D2721">
        <f>BASE_EQUIPOS!D2721</f>
        <v/>
      </c>
      <c r="E2721">
        <f>BASE_EQUIPOS!G2721</f>
        <v/>
      </c>
      <c r="F2721">
        <f>BASE_EQUIPOS!H2721</f>
        <v/>
      </c>
      <c r="G2721">
        <f>BASE_EQUIPOS!M2721</f>
        <v/>
      </c>
      <c r="I2721" t="inlineStr">
        <is>
          <t>31/719121</t>
        </is>
      </c>
    </row>
    <row r="2722">
      <c r="A2722">
        <f>TRIM(BASE_EQUIPOS!N2722)</f>
        <v/>
      </c>
      <c r="B2722">
        <f>BASE_EQUIPOS!A2722</f>
        <v/>
      </c>
      <c r="C2722">
        <f>BASE_EQUIPOS!B2722</f>
        <v/>
      </c>
      <c r="D2722">
        <f>BASE_EQUIPOS!D2722</f>
        <v/>
      </c>
      <c r="E2722">
        <f>BASE_EQUIPOS!G2722</f>
        <v/>
      </c>
      <c r="F2722">
        <f>BASE_EQUIPOS!H2722</f>
        <v/>
      </c>
      <c r="G2722">
        <f>BASE_EQUIPOS!M2722</f>
        <v/>
      </c>
      <c r="I2722" t="inlineStr">
        <is>
          <t>21/795631</t>
        </is>
      </c>
    </row>
    <row r="2723">
      <c r="A2723">
        <f>TRIM(BASE_EQUIPOS!N2723)</f>
        <v/>
      </c>
      <c r="B2723">
        <f>BASE_EQUIPOS!A2723</f>
        <v/>
      </c>
      <c r="C2723">
        <f>BASE_EQUIPOS!B2723</f>
        <v/>
      </c>
      <c r="D2723">
        <f>BASE_EQUIPOS!D2723</f>
        <v/>
      </c>
      <c r="E2723">
        <f>BASE_EQUIPOS!G2723</f>
        <v/>
      </c>
      <c r="F2723">
        <f>BASE_EQUIPOS!H2723</f>
        <v/>
      </c>
      <c r="G2723">
        <f>BASE_EQUIPOS!M2723</f>
        <v/>
      </c>
      <c r="I2723" t="inlineStr">
        <is>
          <t>23/795674</t>
        </is>
      </c>
    </row>
    <row r="2724">
      <c r="A2724">
        <f>TRIM(BASE_EQUIPOS!N2724)</f>
        <v/>
      </c>
      <c r="B2724">
        <f>BASE_EQUIPOS!A2724</f>
        <v/>
      </c>
      <c r="C2724">
        <f>BASE_EQUIPOS!B2724</f>
        <v/>
      </c>
      <c r="D2724">
        <f>BASE_EQUIPOS!D2724</f>
        <v/>
      </c>
      <c r="E2724">
        <f>BASE_EQUIPOS!G2724</f>
        <v/>
      </c>
      <c r="F2724">
        <f>BASE_EQUIPOS!H2724</f>
        <v/>
      </c>
      <c r="G2724">
        <f>BASE_EQUIPOS!M2724</f>
        <v/>
      </c>
      <c r="I2724" t="inlineStr">
        <is>
          <t>42/718349</t>
        </is>
      </c>
    </row>
    <row r="2725">
      <c r="A2725">
        <f>TRIM(BASE_EQUIPOS!N2725)</f>
        <v/>
      </c>
      <c r="B2725">
        <f>BASE_EQUIPOS!A2725</f>
        <v/>
      </c>
      <c r="C2725">
        <f>BASE_EQUIPOS!B2725</f>
        <v/>
      </c>
      <c r="D2725">
        <f>BASE_EQUIPOS!D2725</f>
        <v/>
      </c>
      <c r="E2725">
        <f>BASE_EQUIPOS!G2725</f>
        <v/>
      </c>
      <c r="F2725">
        <f>BASE_EQUIPOS!H2725</f>
        <v/>
      </c>
      <c r="G2725">
        <f>BASE_EQUIPOS!M2725</f>
        <v/>
      </c>
      <c r="I2725" t="inlineStr">
        <is>
          <t>30/316245</t>
        </is>
      </c>
    </row>
    <row r="2726">
      <c r="A2726">
        <f>TRIM(BASE_EQUIPOS!N2726)</f>
        <v/>
      </c>
      <c r="B2726">
        <f>BASE_EQUIPOS!A2726</f>
        <v/>
      </c>
      <c r="C2726">
        <f>BASE_EQUIPOS!B2726</f>
        <v/>
      </c>
      <c r="D2726">
        <f>BASE_EQUIPOS!D2726</f>
        <v/>
      </c>
      <c r="E2726">
        <f>BASE_EQUIPOS!G2726</f>
        <v/>
      </c>
      <c r="F2726">
        <f>BASE_EQUIPOS!H2726</f>
        <v/>
      </c>
      <c r="G2726">
        <f>BASE_EQUIPOS!M2726</f>
        <v/>
      </c>
      <c r="I2726" t="inlineStr">
        <is>
          <t>49/316320</t>
        </is>
      </c>
    </row>
    <row r="2727">
      <c r="A2727">
        <f>TRIM(BASE_EQUIPOS!N2727)</f>
        <v/>
      </c>
      <c r="B2727">
        <f>BASE_EQUIPOS!A2727</f>
        <v/>
      </c>
      <c r="C2727">
        <f>BASE_EQUIPOS!B2727</f>
        <v/>
      </c>
      <c r="D2727">
        <f>BASE_EQUIPOS!D2727</f>
        <v/>
      </c>
      <c r="E2727">
        <f>BASE_EQUIPOS!G2727</f>
        <v/>
      </c>
      <c r="F2727">
        <f>BASE_EQUIPOS!H2727</f>
        <v/>
      </c>
      <c r="G2727">
        <f>BASE_EQUIPOS!M2727</f>
        <v/>
      </c>
      <c r="I2727" t="inlineStr">
        <is>
          <t>22/079568</t>
        </is>
      </c>
    </row>
    <row r="2728">
      <c r="A2728">
        <f>TRIM(BASE_EQUIPOS!N2728)</f>
        <v/>
      </c>
      <c r="B2728">
        <f>BASE_EQUIPOS!A2728</f>
        <v/>
      </c>
      <c r="C2728">
        <f>BASE_EQUIPOS!B2728</f>
        <v/>
      </c>
      <c r="D2728">
        <f>BASE_EQUIPOS!D2728</f>
        <v/>
      </c>
      <c r="E2728">
        <f>BASE_EQUIPOS!G2728</f>
        <v/>
      </c>
      <c r="F2728">
        <f>BASE_EQUIPOS!H2728</f>
        <v/>
      </c>
      <c r="G2728">
        <f>BASE_EQUIPOS!M2728</f>
        <v/>
      </c>
      <c r="I2728" t="inlineStr">
        <is>
          <t>36/086025</t>
        </is>
      </c>
    </row>
    <row r="2729">
      <c r="A2729">
        <f>TRIM(BASE_EQUIPOS!N2729)</f>
        <v/>
      </c>
      <c r="B2729">
        <f>BASE_EQUIPOS!A2729</f>
        <v/>
      </c>
      <c r="C2729">
        <f>BASE_EQUIPOS!B2729</f>
        <v/>
      </c>
      <c r="D2729">
        <f>BASE_EQUIPOS!D2729</f>
        <v/>
      </c>
      <c r="E2729">
        <f>BASE_EQUIPOS!G2729</f>
        <v/>
      </c>
      <c r="F2729">
        <f>BASE_EQUIPOS!H2729</f>
        <v/>
      </c>
      <c r="G2729">
        <f>BASE_EQUIPOS!M2729</f>
        <v/>
      </c>
      <c r="I2729" t="inlineStr">
        <is>
          <t>44/S/N</t>
        </is>
      </c>
    </row>
    <row r="2730">
      <c r="A2730">
        <f>TRIM(BASE_EQUIPOS!N2730)</f>
        <v/>
      </c>
      <c r="B2730">
        <f>BASE_EQUIPOS!A2730</f>
        <v/>
      </c>
      <c r="C2730">
        <f>BASE_EQUIPOS!B2730</f>
        <v/>
      </c>
      <c r="D2730">
        <f>BASE_EQUIPOS!D2730</f>
        <v/>
      </c>
      <c r="E2730">
        <f>BASE_EQUIPOS!G2730</f>
        <v/>
      </c>
      <c r="F2730">
        <f>BASE_EQUIPOS!H2730</f>
        <v/>
      </c>
      <c r="G2730">
        <f>BASE_EQUIPOS!M2730</f>
        <v/>
      </c>
      <c r="I2730" t="inlineStr">
        <is>
          <t>01/004894</t>
        </is>
      </c>
    </row>
    <row r="2731">
      <c r="A2731">
        <f>TRIM(BASE_EQUIPOS!N2731)</f>
        <v/>
      </c>
      <c r="B2731">
        <f>BASE_EQUIPOS!A2731</f>
        <v/>
      </c>
      <c r="C2731">
        <f>BASE_EQUIPOS!B2731</f>
        <v/>
      </c>
      <c r="D2731">
        <f>BASE_EQUIPOS!D2731</f>
        <v/>
      </c>
      <c r="E2731">
        <f>BASE_EQUIPOS!G2731</f>
        <v/>
      </c>
      <c r="F2731">
        <f>BASE_EQUIPOS!H2731</f>
        <v/>
      </c>
      <c r="G2731">
        <f>BASE_EQUIPOS!M2731</f>
        <v/>
      </c>
      <c r="I2731" t="inlineStr">
        <is>
          <t>02/000047</t>
        </is>
      </c>
    </row>
    <row r="2732">
      <c r="A2732">
        <f>TRIM(BASE_EQUIPOS!N2732)</f>
        <v/>
      </c>
      <c r="B2732">
        <f>BASE_EQUIPOS!A2732</f>
        <v/>
      </c>
      <c r="C2732">
        <f>BASE_EQUIPOS!B2732</f>
        <v/>
      </c>
      <c r="D2732">
        <f>BASE_EQUIPOS!D2732</f>
        <v/>
      </c>
      <c r="E2732">
        <f>BASE_EQUIPOS!G2732</f>
        <v/>
      </c>
      <c r="F2732">
        <f>BASE_EQUIPOS!H2732</f>
        <v/>
      </c>
      <c r="G2732">
        <f>BASE_EQUIPOS!M2732</f>
        <v/>
      </c>
      <c r="I2732" t="inlineStr">
        <is>
          <t>03/003363</t>
        </is>
      </c>
    </row>
    <row r="2733">
      <c r="A2733">
        <f>TRIM(BASE_EQUIPOS!N2733)</f>
        <v/>
      </c>
      <c r="B2733">
        <f>BASE_EQUIPOS!A2733</f>
        <v/>
      </c>
      <c r="C2733">
        <f>BASE_EQUIPOS!B2733</f>
        <v/>
      </c>
      <c r="D2733">
        <f>BASE_EQUIPOS!D2733</f>
        <v/>
      </c>
      <c r="E2733">
        <f>BASE_EQUIPOS!G2733</f>
        <v/>
      </c>
      <c r="F2733">
        <f>BASE_EQUIPOS!H2733</f>
        <v/>
      </c>
      <c r="G2733">
        <f>BASE_EQUIPOS!M2733</f>
        <v/>
      </c>
      <c r="I2733" t="inlineStr">
        <is>
          <t>04/000355</t>
        </is>
      </c>
    </row>
    <row r="2734">
      <c r="A2734">
        <f>TRIM(BASE_EQUIPOS!N2734)</f>
        <v/>
      </c>
      <c r="B2734">
        <f>BASE_EQUIPOS!A2734</f>
        <v/>
      </c>
      <c r="C2734">
        <f>BASE_EQUIPOS!B2734</f>
        <v/>
      </c>
      <c r="D2734">
        <f>BASE_EQUIPOS!D2734</f>
        <v/>
      </c>
      <c r="E2734">
        <f>BASE_EQUIPOS!G2734</f>
        <v/>
      </c>
      <c r="F2734">
        <f>BASE_EQUIPOS!H2734</f>
        <v/>
      </c>
      <c r="G2734">
        <f>BASE_EQUIPOS!M2734</f>
        <v/>
      </c>
      <c r="I2734" t="inlineStr">
        <is>
          <t>05/005040</t>
        </is>
      </c>
    </row>
    <row r="2735">
      <c r="A2735">
        <f>TRIM(BASE_EQUIPOS!N2735)</f>
        <v/>
      </c>
      <c r="B2735">
        <f>BASE_EQUIPOS!A2735</f>
        <v/>
      </c>
      <c r="C2735">
        <f>BASE_EQUIPOS!B2735</f>
        <v/>
      </c>
      <c r="D2735">
        <f>BASE_EQUIPOS!D2735</f>
        <v/>
      </c>
      <c r="E2735">
        <f>BASE_EQUIPOS!G2735</f>
        <v/>
      </c>
      <c r="F2735">
        <f>BASE_EQUIPOS!H2735</f>
        <v/>
      </c>
      <c r="G2735">
        <f>BASE_EQUIPOS!M2735</f>
        <v/>
      </c>
      <c r="I2735" t="inlineStr">
        <is>
          <t>06/056400</t>
        </is>
      </c>
    </row>
    <row r="2736">
      <c r="A2736">
        <f>TRIM(BASE_EQUIPOS!N2736)</f>
        <v/>
      </c>
      <c r="B2736">
        <f>BASE_EQUIPOS!A2736</f>
        <v/>
      </c>
      <c r="C2736">
        <f>BASE_EQUIPOS!B2736</f>
        <v/>
      </c>
      <c r="D2736">
        <f>BASE_EQUIPOS!D2736</f>
        <v/>
      </c>
      <c r="E2736">
        <f>BASE_EQUIPOS!G2736</f>
        <v/>
      </c>
      <c r="F2736">
        <f>BASE_EQUIPOS!H2736</f>
        <v/>
      </c>
      <c r="G2736">
        <f>BASE_EQUIPOS!M2736</f>
        <v/>
      </c>
      <c r="I2736" t="inlineStr">
        <is>
          <t>07/S/N</t>
        </is>
      </c>
    </row>
    <row r="2737">
      <c r="A2737">
        <f>TRIM(BASE_EQUIPOS!N2737)</f>
        <v/>
      </c>
      <c r="B2737">
        <f>BASE_EQUIPOS!A2737</f>
        <v/>
      </c>
      <c r="C2737">
        <f>BASE_EQUIPOS!B2737</f>
        <v/>
      </c>
      <c r="D2737">
        <f>BASE_EQUIPOS!D2737</f>
        <v/>
      </c>
      <c r="E2737">
        <f>BASE_EQUIPOS!G2737</f>
        <v/>
      </c>
      <c r="F2737">
        <f>BASE_EQUIPOS!H2737</f>
        <v/>
      </c>
      <c r="G2737">
        <f>BASE_EQUIPOS!M2737</f>
        <v/>
      </c>
      <c r="I2737" t="inlineStr">
        <is>
          <t>247/000406</t>
        </is>
      </c>
    </row>
    <row r="2738">
      <c r="A2738">
        <f>TRIM(BASE_EQUIPOS!N2738)</f>
        <v/>
      </c>
      <c r="B2738">
        <f>BASE_EQUIPOS!A2738</f>
        <v/>
      </c>
      <c r="C2738">
        <f>BASE_EQUIPOS!B2738</f>
        <v/>
      </c>
      <c r="D2738">
        <f>BASE_EQUIPOS!D2738</f>
        <v/>
      </c>
      <c r="E2738">
        <f>BASE_EQUIPOS!G2738</f>
        <v/>
      </c>
      <c r="F2738">
        <f>BASE_EQUIPOS!H2738</f>
        <v/>
      </c>
      <c r="G2738">
        <f>BASE_EQUIPOS!M2738</f>
        <v/>
      </c>
      <c r="I2738" t="inlineStr">
        <is>
          <t>256/000201</t>
        </is>
      </c>
    </row>
    <row r="2739">
      <c r="A2739">
        <f>TRIM(BASE_EQUIPOS!N2739)</f>
        <v/>
      </c>
      <c r="B2739">
        <f>BASE_EQUIPOS!A2739</f>
        <v/>
      </c>
      <c r="C2739">
        <f>BASE_EQUIPOS!B2739</f>
        <v/>
      </c>
      <c r="D2739">
        <f>BASE_EQUIPOS!D2739</f>
        <v/>
      </c>
      <c r="E2739">
        <f>BASE_EQUIPOS!G2739</f>
        <v/>
      </c>
      <c r="F2739">
        <f>BASE_EQUIPOS!H2739</f>
        <v/>
      </c>
      <c r="G2739">
        <f>BASE_EQUIPOS!M2739</f>
        <v/>
      </c>
      <c r="I2739" t="inlineStr">
        <is>
          <t>104/005039</t>
        </is>
      </c>
    </row>
    <row r="2740">
      <c r="A2740">
        <f>TRIM(BASE_EQUIPOS!N2740)</f>
        <v/>
      </c>
      <c r="B2740">
        <f>BASE_EQUIPOS!A2740</f>
        <v/>
      </c>
      <c r="C2740">
        <f>BASE_EQUIPOS!B2740</f>
        <v/>
      </c>
      <c r="D2740">
        <f>BASE_EQUIPOS!D2740</f>
        <v/>
      </c>
      <c r="E2740">
        <f>BASE_EQUIPOS!G2740</f>
        <v/>
      </c>
      <c r="F2740">
        <f>BASE_EQUIPOS!H2740</f>
        <v/>
      </c>
      <c r="G2740">
        <f>BASE_EQUIPOS!M2740</f>
        <v/>
      </c>
      <c r="I2740" t="inlineStr">
        <is>
          <t>258/201106</t>
        </is>
      </c>
    </row>
    <row r="2741">
      <c r="A2741">
        <f>TRIM(BASE_EQUIPOS!N2741)</f>
        <v/>
      </c>
      <c r="B2741">
        <f>BASE_EQUIPOS!A2741</f>
        <v/>
      </c>
      <c r="C2741">
        <f>BASE_EQUIPOS!B2741</f>
        <v/>
      </c>
      <c r="D2741">
        <f>BASE_EQUIPOS!D2741</f>
        <v/>
      </c>
      <c r="E2741">
        <f>BASE_EQUIPOS!G2741</f>
        <v/>
      </c>
      <c r="F2741">
        <f>BASE_EQUIPOS!H2741</f>
        <v/>
      </c>
      <c r="G2741">
        <f>BASE_EQUIPOS!M2741</f>
        <v/>
      </c>
      <c r="I2741" t="inlineStr">
        <is>
          <t>353/000005</t>
        </is>
      </c>
    </row>
    <row r="2742">
      <c r="A2742">
        <f>TRIM(BASE_EQUIPOS!N2742)</f>
        <v/>
      </c>
      <c r="B2742">
        <f>BASE_EQUIPOS!A2742</f>
        <v/>
      </c>
      <c r="C2742">
        <f>BASE_EQUIPOS!B2742</f>
        <v/>
      </c>
      <c r="D2742">
        <f>BASE_EQUIPOS!D2742</f>
        <v/>
      </c>
      <c r="E2742">
        <f>BASE_EQUIPOS!G2742</f>
        <v/>
      </c>
      <c r="F2742">
        <f>BASE_EQUIPOS!H2742</f>
        <v/>
      </c>
      <c r="G2742">
        <f>BASE_EQUIPOS!M2742</f>
        <v/>
      </c>
      <c r="I2742" t="inlineStr">
        <is>
          <t>11/006065</t>
        </is>
      </c>
    </row>
    <row r="2743">
      <c r="A2743">
        <f>TRIM(BASE_EQUIPOS!N2743)</f>
        <v/>
      </c>
      <c r="B2743">
        <f>BASE_EQUIPOS!A2743</f>
        <v/>
      </c>
      <c r="C2743">
        <f>BASE_EQUIPOS!B2743</f>
        <v/>
      </c>
      <c r="D2743">
        <f>BASE_EQUIPOS!D2743</f>
        <v/>
      </c>
      <c r="E2743">
        <f>BASE_EQUIPOS!G2743</f>
        <v/>
      </c>
      <c r="F2743">
        <f>BASE_EQUIPOS!H2743</f>
        <v/>
      </c>
      <c r="G2743">
        <f>BASE_EQUIPOS!M2743</f>
        <v/>
      </c>
      <c r="I2743" t="inlineStr">
        <is>
          <t>07/4908</t>
        </is>
      </c>
    </row>
    <row r="2744">
      <c r="A2744">
        <f>TRIM(BASE_EQUIPOS!N2744)</f>
        <v/>
      </c>
      <c r="B2744">
        <f>BASE_EQUIPOS!A2744</f>
        <v/>
      </c>
      <c r="C2744">
        <f>BASE_EQUIPOS!B2744</f>
        <v/>
      </c>
      <c r="D2744">
        <f>BASE_EQUIPOS!D2744</f>
        <v/>
      </c>
      <c r="E2744">
        <f>BASE_EQUIPOS!G2744</f>
        <v/>
      </c>
      <c r="F2744">
        <f>BASE_EQUIPOS!H2744</f>
        <v/>
      </c>
      <c r="G2744">
        <f>BASE_EQUIPOS!M2744</f>
        <v/>
      </c>
      <c r="I2744" t="inlineStr">
        <is>
          <t>01/384828</t>
        </is>
      </c>
    </row>
    <row r="2745">
      <c r="A2745">
        <f>TRIM(BASE_EQUIPOS!N2745)</f>
        <v/>
      </c>
      <c r="B2745">
        <f>BASE_EQUIPOS!A2745</f>
        <v/>
      </c>
      <c r="C2745">
        <f>BASE_EQUIPOS!B2745</f>
        <v/>
      </c>
      <c r="D2745">
        <f>BASE_EQUIPOS!D2745</f>
        <v/>
      </c>
      <c r="E2745">
        <f>BASE_EQUIPOS!G2745</f>
        <v/>
      </c>
      <c r="F2745">
        <f>BASE_EQUIPOS!H2745</f>
        <v/>
      </c>
      <c r="G2745">
        <f>BASE_EQUIPOS!M2745</f>
        <v/>
      </c>
      <c r="I2745" t="inlineStr">
        <is>
          <t>26/AB-961745</t>
        </is>
      </c>
    </row>
    <row r="2746">
      <c r="A2746">
        <f>TRIM(BASE_EQUIPOS!N2746)</f>
        <v/>
      </c>
      <c r="B2746">
        <f>BASE_EQUIPOS!A2746</f>
        <v/>
      </c>
      <c r="C2746">
        <f>BASE_EQUIPOS!B2746</f>
        <v/>
      </c>
      <c r="D2746">
        <f>BASE_EQUIPOS!D2746</f>
        <v/>
      </c>
      <c r="E2746">
        <f>BASE_EQUIPOS!G2746</f>
        <v/>
      </c>
      <c r="F2746">
        <f>BASE_EQUIPOS!H2746</f>
        <v/>
      </c>
      <c r="G2746">
        <f>BASE_EQUIPOS!M2746</f>
        <v/>
      </c>
      <c r="I2746" t="inlineStr">
        <is>
          <t>35/AB-529933</t>
        </is>
      </c>
    </row>
    <row r="2747">
      <c r="A2747">
        <f>TRIM(BASE_EQUIPOS!N2747)</f>
        <v/>
      </c>
      <c r="B2747">
        <f>BASE_EQUIPOS!A2747</f>
        <v/>
      </c>
      <c r="C2747">
        <f>BASE_EQUIPOS!B2747</f>
        <v/>
      </c>
      <c r="D2747">
        <f>BASE_EQUIPOS!D2747</f>
        <v/>
      </c>
      <c r="E2747">
        <f>BASE_EQUIPOS!G2747</f>
        <v/>
      </c>
      <c r="F2747">
        <f>BASE_EQUIPOS!H2747</f>
        <v/>
      </c>
      <c r="G2747">
        <f>BASE_EQUIPOS!M2747</f>
        <v/>
      </c>
      <c r="I2747" t="inlineStr">
        <is>
          <t>001012</t>
        </is>
      </c>
    </row>
    <row r="2748">
      <c r="A2748">
        <f>TRIM(BASE_EQUIPOS!N2748)</f>
        <v/>
      </c>
      <c r="B2748">
        <f>BASE_EQUIPOS!A2748</f>
        <v/>
      </c>
      <c r="C2748">
        <f>BASE_EQUIPOS!B2748</f>
        <v/>
      </c>
      <c r="D2748">
        <f>BASE_EQUIPOS!D2748</f>
        <v/>
      </c>
      <c r="E2748">
        <f>BASE_EQUIPOS!G2748</f>
        <v/>
      </c>
      <c r="F2748">
        <f>BASE_EQUIPOS!H2748</f>
        <v/>
      </c>
      <c r="G2748">
        <f>BASE_EQUIPOS!M2748</f>
        <v/>
      </c>
      <c r="I2748" t="inlineStr">
        <is>
          <t>3/000295</t>
        </is>
      </c>
    </row>
    <row r="2749">
      <c r="A2749">
        <f>TRIM(BASE_EQUIPOS!N2749)</f>
        <v/>
      </c>
      <c r="B2749">
        <f>BASE_EQUIPOS!A2749</f>
        <v/>
      </c>
      <c r="C2749">
        <f>BASE_EQUIPOS!B2749</f>
        <v/>
      </c>
      <c r="D2749">
        <f>BASE_EQUIPOS!D2749</f>
        <v/>
      </c>
      <c r="E2749">
        <f>BASE_EQUIPOS!G2749</f>
        <v/>
      </c>
      <c r="F2749">
        <f>BASE_EQUIPOS!H2749</f>
        <v/>
      </c>
      <c r="G2749">
        <f>BASE_EQUIPOS!M2749</f>
        <v/>
      </c>
      <c r="I2749" t="inlineStr">
        <is>
          <t>9/000105</t>
        </is>
      </c>
    </row>
    <row r="2750">
      <c r="A2750">
        <f>TRIM(BASE_EQUIPOS!N2750)</f>
        <v/>
      </c>
      <c r="B2750">
        <f>BASE_EQUIPOS!A2750</f>
        <v/>
      </c>
      <c r="C2750">
        <f>BASE_EQUIPOS!B2750</f>
        <v/>
      </c>
      <c r="D2750">
        <f>BASE_EQUIPOS!D2750</f>
        <v/>
      </c>
      <c r="E2750">
        <f>BASE_EQUIPOS!G2750</f>
        <v/>
      </c>
      <c r="F2750">
        <f>BASE_EQUIPOS!H2750</f>
        <v/>
      </c>
      <c r="G2750">
        <f>BASE_EQUIPOS!M2750</f>
        <v/>
      </c>
      <c r="I2750" t="inlineStr">
        <is>
          <t>33/000042</t>
        </is>
      </c>
    </row>
    <row r="2751">
      <c r="A2751">
        <f>TRIM(BASE_EQUIPOS!N2751)</f>
        <v/>
      </c>
      <c r="B2751">
        <f>BASE_EQUIPOS!A2751</f>
        <v/>
      </c>
      <c r="C2751">
        <f>BASE_EQUIPOS!B2751</f>
        <v/>
      </c>
      <c r="D2751">
        <f>BASE_EQUIPOS!D2751</f>
        <v/>
      </c>
      <c r="E2751">
        <f>BASE_EQUIPOS!G2751</f>
        <v/>
      </c>
      <c r="F2751">
        <f>BASE_EQUIPOS!H2751</f>
        <v/>
      </c>
      <c r="G2751">
        <f>BASE_EQUIPOS!M2751</f>
        <v/>
      </c>
      <c r="I2751" t="inlineStr">
        <is>
          <t>E-068/S/N</t>
        </is>
      </c>
    </row>
    <row r="2752">
      <c r="A2752">
        <f>TRIM(BASE_EQUIPOS!N2752)</f>
        <v/>
      </c>
      <c r="B2752">
        <f>BASE_EQUIPOS!A2752</f>
        <v/>
      </c>
      <c r="C2752">
        <f>BASE_EQUIPOS!B2752</f>
        <v/>
      </c>
      <c r="D2752">
        <f>BASE_EQUIPOS!D2752</f>
        <v/>
      </c>
      <c r="E2752">
        <f>BASE_EQUIPOS!G2752</f>
        <v/>
      </c>
      <c r="F2752">
        <f>BASE_EQUIPOS!H2752</f>
        <v/>
      </c>
      <c r="G2752">
        <f>BASE_EQUIPOS!M2752</f>
        <v/>
      </c>
      <c r="I2752" t="inlineStr">
        <is>
          <t>E-001/000010</t>
        </is>
      </c>
    </row>
    <row r="2753">
      <c r="A2753">
        <f>TRIM(BASE_EQUIPOS!N2753)</f>
        <v/>
      </c>
      <c r="B2753">
        <f>BASE_EQUIPOS!A2753</f>
        <v/>
      </c>
      <c r="C2753">
        <f>BASE_EQUIPOS!B2753</f>
        <v/>
      </c>
      <c r="D2753">
        <f>BASE_EQUIPOS!D2753</f>
        <v/>
      </c>
      <c r="E2753">
        <f>BASE_EQUIPOS!G2753</f>
        <v/>
      </c>
      <c r="F2753">
        <f>BASE_EQUIPOS!H2753</f>
        <v/>
      </c>
      <c r="G2753">
        <f>BASE_EQUIPOS!M2753</f>
        <v/>
      </c>
      <c r="I2753" t="inlineStr">
        <is>
          <t>E-001/000081</t>
        </is>
      </c>
    </row>
    <row r="2754">
      <c r="A2754">
        <f>TRIM(BASE_EQUIPOS!N2754)</f>
        <v/>
      </c>
      <c r="B2754">
        <f>BASE_EQUIPOS!A2754</f>
        <v/>
      </c>
      <c r="C2754">
        <f>BASE_EQUIPOS!B2754</f>
        <v/>
      </c>
      <c r="D2754">
        <f>BASE_EQUIPOS!D2754</f>
        <v/>
      </c>
      <c r="E2754">
        <f>BASE_EQUIPOS!G2754</f>
        <v/>
      </c>
      <c r="F2754">
        <f>BASE_EQUIPOS!H2754</f>
        <v/>
      </c>
      <c r="G2754">
        <f>BASE_EQUIPOS!M2754</f>
        <v/>
      </c>
      <c r="I2754" t="inlineStr">
        <is>
          <t>E-144/001802</t>
        </is>
      </c>
    </row>
    <row r="2755">
      <c r="A2755">
        <f>TRIM(BASE_EQUIPOS!N2755)</f>
        <v/>
      </c>
      <c r="B2755">
        <f>BASE_EQUIPOS!A2755</f>
        <v/>
      </c>
      <c r="C2755">
        <f>BASE_EQUIPOS!B2755</f>
        <v/>
      </c>
      <c r="D2755">
        <f>BASE_EQUIPOS!D2755</f>
        <v/>
      </c>
      <c r="E2755">
        <f>BASE_EQUIPOS!G2755</f>
        <v/>
      </c>
      <c r="F2755">
        <f>BASE_EQUIPOS!H2755</f>
        <v/>
      </c>
      <c r="G2755">
        <f>BASE_EQUIPOS!M2755</f>
        <v/>
      </c>
      <c r="I2755" t="inlineStr">
        <is>
          <t>E-150/000959</t>
        </is>
      </c>
    </row>
    <row r="2756">
      <c r="A2756">
        <f>TRIM(BASE_EQUIPOS!N2756)</f>
        <v/>
      </c>
      <c r="B2756">
        <f>BASE_EQUIPOS!A2756</f>
        <v/>
      </c>
      <c r="C2756">
        <f>BASE_EQUIPOS!B2756</f>
        <v/>
      </c>
      <c r="D2756">
        <f>BASE_EQUIPOS!D2756</f>
        <v/>
      </c>
      <c r="E2756">
        <f>BASE_EQUIPOS!G2756</f>
        <v/>
      </c>
      <c r="F2756">
        <f>BASE_EQUIPOS!H2756</f>
        <v/>
      </c>
      <c r="G2756">
        <f>BASE_EQUIPOS!M2756</f>
        <v/>
      </c>
      <c r="I2756" t="inlineStr">
        <is>
          <t>E-146/000632</t>
        </is>
      </c>
    </row>
    <row r="2757">
      <c r="A2757">
        <f>TRIM(BASE_EQUIPOS!N2757)</f>
        <v/>
      </c>
      <c r="B2757">
        <f>BASE_EQUIPOS!A2757</f>
        <v/>
      </c>
      <c r="C2757">
        <f>BASE_EQUIPOS!B2757</f>
        <v/>
      </c>
      <c r="D2757">
        <f>BASE_EQUIPOS!D2757</f>
        <v/>
      </c>
      <c r="E2757">
        <f>BASE_EQUIPOS!G2757</f>
        <v/>
      </c>
      <c r="F2757">
        <f>BASE_EQUIPOS!H2757</f>
        <v/>
      </c>
      <c r="G2757">
        <f>BASE_EQUIPOS!M2757</f>
        <v/>
      </c>
      <c r="I2757" t="inlineStr">
        <is>
          <t>E-006/005962</t>
        </is>
      </c>
    </row>
    <row r="2758">
      <c r="A2758">
        <f>TRIM(BASE_EQUIPOS!N2758)</f>
        <v/>
      </c>
      <c r="B2758">
        <f>BASE_EQUIPOS!A2758</f>
        <v/>
      </c>
      <c r="C2758">
        <f>BASE_EQUIPOS!B2758</f>
        <v/>
      </c>
      <c r="D2758">
        <f>BASE_EQUIPOS!D2758</f>
        <v/>
      </c>
      <c r="E2758">
        <f>BASE_EQUIPOS!G2758</f>
        <v/>
      </c>
      <c r="F2758">
        <f>BASE_EQUIPOS!H2758</f>
        <v/>
      </c>
      <c r="G2758">
        <f>BASE_EQUIPOS!M2758</f>
        <v/>
      </c>
      <c r="I2758" t="inlineStr">
        <is>
          <t>E-001/000255</t>
        </is>
      </c>
    </row>
    <row r="2759">
      <c r="A2759">
        <f>TRIM(BASE_EQUIPOS!N2759)</f>
        <v/>
      </c>
      <c r="B2759">
        <f>BASE_EQUIPOS!A2759</f>
        <v/>
      </c>
      <c r="C2759">
        <f>BASE_EQUIPOS!B2759</f>
        <v/>
      </c>
      <c r="D2759">
        <f>BASE_EQUIPOS!D2759</f>
        <v/>
      </c>
      <c r="E2759">
        <f>BASE_EQUIPOS!G2759</f>
        <v/>
      </c>
      <c r="F2759">
        <f>BASE_EQUIPOS!H2759</f>
        <v/>
      </c>
      <c r="G2759">
        <f>BASE_EQUIPOS!M2759</f>
        <v/>
      </c>
      <c r="I2759" t="inlineStr">
        <is>
          <t>E-020/000249</t>
        </is>
      </c>
    </row>
    <row r="2760">
      <c r="A2760">
        <f>TRIM(BASE_EQUIPOS!N2760)</f>
        <v/>
      </c>
      <c r="B2760">
        <f>BASE_EQUIPOS!A2760</f>
        <v/>
      </c>
      <c r="C2760">
        <f>BASE_EQUIPOS!B2760</f>
        <v/>
      </c>
      <c r="D2760">
        <f>BASE_EQUIPOS!D2760</f>
        <v/>
      </c>
      <c r="E2760">
        <f>BASE_EQUIPOS!G2760</f>
        <v/>
      </c>
      <c r="F2760">
        <f>BASE_EQUIPOS!H2760</f>
        <v/>
      </c>
      <c r="G2760">
        <f>BASE_EQUIPOS!M2760</f>
        <v/>
      </c>
      <c r="I2760" t="inlineStr">
        <is>
          <t>E-003/ZR-543477</t>
        </is>
      </c>
    </row>
    <row r="2761">
      <c r="A2761">
        <f>TRIM(BASE_EQUIPOS!N2761)</f>
        <v/>
      </c>
      <c r="B2761">
        <f>BASE_EQUIPOS!A2761</f>
        <v/>
      </c>
      <c r="C2761">
        <f>BASE_EQUIPOS!B2761</f>
        <v/>
      </c>
      <c r="D2761">
        <f>BASE_EQUIPOS!D2761</f>
        <v/>
      </c>
      <c r="E2761">
        <f>BASE_EQUIPOS!G2761</f>
        <v/>
      </c>
      <c r="F2761">
        <f>BASE_EQUIPOS!H2761</f>
        <v/>
      </c>
      <c r="G2761">
        <f>BASE_EQUIPOS!M2761</f>
        <v/>
      </c>
      <c r="I2761" t="inlineStr">
        <is>
          <t>E-145/ZR-283665</t>
        </is>
      </c>
    </row>
    <row r="2762">
      <c r="A2762">
        <f>TRIM(BASE_EQUIPOS!N2762)</f>
        <v/>
      </c>
      <c r="B2762">
        <f>BASE_EQUIPOS!A2762</f>
        <v/>
      </c>
      <c r="C2762">
        <f>BASE_EQUIPOS!B2762</f>
        <v/>
      </c>
      <c r="D2762">
        <f>BASE_EQUIPOS!D2762</f>
        <v/>
      </c>
      <c r="E2762">
        <f>BASE_EQUIPOS!G2762</f>
        <v/>
      </c>
      <c r="F2762">
        <f>BASE_EQUIPOS!H2762</f>
        <v/>
      </c>
      <c r="G2762">
        <f>BASE_EQUIPOS!M2762</f>
        <v/>
      </c>
      <c r="I2762" t="inlineStr">
        <is>
          <t>E-173/000001</t>
        </is>
      </c>
    </row>
    <row r="2763">
      <c r="A2763">
        <f>TRIM(BASE_EQUIPOS!N2763)</f>
        <v/>
      </c>
      <c r="B2763">
        <f>BASE_EQUIPOS!A2763</f>
        <v/>
      </c>
      <c r="C2763">
        <f>BASE_EQUIPOS!B2763</f>
        <v/>
      </c>
      <c r="D2763">
        <f>BASE_EQUIPOS!D2763</f>
        <v/>
      </c>
      <c r="E2763">
        <f>BASE_EQUIPOS!G2763</f>
        <v/>
      </c>
      <c r="F2763">
        <f>BASE_EQUIPOS!H2763</f>
        <v/>
      </c>
      <c r="G2763">
        <f>BASE_EQUIPOS!M2763</f>
        <v/>
      </c>
      <c r="I2763" t="inlineStr">
        <is>
          <t>E-113/000013</t>
        </is>
      </c>
    </row>
    <row r="2764">
      <c r="A2764">
        <f>TRIM(BASE_EQUIPOS!N2764)</f>
        <v/>
      </c>
      <c r="B2764">
        <f>BASE_EQUIPOS!A2764</f>
        <v/>
      </c>
      <c r="C2764">
        <f>BASE_EQUIPOS!B2764</f>
        <v/>
      </c>
      <c r="D2764">
        <f>BASE_EQUIPOS!D2764</f>
        <v/>
      </c>
      <c r="E2764">
        <f>BASE_EQUIPOS!G2764</f>
        <v/>
      </c>
      <c r="F2764">
        <f>BASE_EQUIPOS!H2764</f>
        <v/>
      </c>
      <c r="G2764">
        <f>BASE_EQUIPOS!M2764</f>
        <v/>
      </c>
      <c r="I2764" t="inlineStr">
        <is>
          <t>E-308/003501</t>
        </is>
      </c>
    </row>
    <row r="2765">
      <c r="A2765">
        <f>TRIM(BASE_EQUIPOS!N2765)</f>
        <v/>
      </c>
      <c r="B2765">
        <f>BASE_EQUIPOS!A2765</f>
        <v/>
      </c>
      <c r="C2765">
        <f>BASE_EQUIPOS!B2765</f>
        <v/>
      </c>
      <c r="D2765">
        <f>BASE_EQUIPOS!D2765</f>
        <v/>
      </c>
      <c r="E2765">
        <f>BASE_EQUIPOS!G2765</f>
        <v/>
      </c>
      <c r="F2765">
        <f>BASE_EQUIPOS!H2765</f>
        <v/>
      </c>
      <c r="G2765">
        <f>BASE_EQUIPOS!M2765</f>
        <v/>
      </c>
      <c r="I2765" t="inlineStr">
        <is>
          <t>E-005/00009</t>
        </is>
      </c>
    </row>
    <row r="2766">
      <c r="A2766">
        <f>TRIM(BASE_EQUIPOS!N2766)</f>
        <v/>
      </c>
      <c r="B2766">
        <f>BASE_EQUIPOS!A2766</f>
        <v/>
      </c>
      <c r="C2766">
        <f>BASE_EQUIPOS!B2766</f>
        <v/>
      </c>
      <c r="D2766">
        <f>BASE_EQUIPOS!D2766</f>
        <v/>
      </c>
      <c r="E2766">
        <f>BASE_EQUIPOS!G2766</f>
        <v/>
      </c>
      <c r="F2766">
        <f>BASE_EQUIPOS!H2766</f>
        <v/>
      </c>
      <c r="G2766">
        <f>BASE_EQUIPOS!M2766</f>
        <v/>
      </c>
      <c r="I2766" t="inlineStr">
        <is>
          <t>E-067/000038</t>
        </is>
      </c>
    </row>
    <row r="2767">
      <c r="A2767">
        <f>TRIM(BASE_EQUIPOS!N2767)</f>
        <v/>
      </c>
      <c r="B2767">
        <f>BASE_EQUIPOS!A2767</f>
        <v/>
      </c>
      <c r="C2767">
        <f>BASE_EQUIPOS!B2767</f>
        <v/>
      </c>
      <c r="D2767">
        <f>BASE_EQUIPOS!D2767</f>
        <v/>
      </c>
      <c r="E2767">
        <f>BASE_EQUIPOS!G2767</f>
        <v/>
      </c>
      <c r="F2767">
        <f>BASE_EQUIPOS!H2767</f>
        <v/>
      </c>
      <c r="G2767">
        <f>BASE_EQUIPOS!M2767</f>
        <v/>
      </c>
      <c r="I2767" t="inlineStr">
        <is>
          <t>E-066/000047</t>
        </is>
      </c>
    </row>
    <row r="2768">
      <c r="A2768">
        <f>TRIM(BASE_EQUIPOS!N2768)</f>
        <v/>
      </c>
      <c r="B2768">
        <f>BASE_EQUIPOS!A2768</f>
        <v/>
      </c>
      <c r="C2768">
        <f>BASE_EQUIPOS!B2768</f>
        <v/>
      </c>
      <c r="D2768">
        <f>BASE_EQUIPOS!D2768</f>
        <v/>
      </c>
      <c r="E2768">
        <f>BASE_EQUIPOS!G2768</f>
        <v/>
      </c>
      <c r="F2768">
        <f>BASE_EQUIPOS!H2768</f>
        <v/>
      </c>
      <c r="G2768">
        <f>BASE_EQUIPOS!M2768</f>
        <v/>
      </c>
      <c r="I2768" t="inlineStr">
        <is>
          <t>E-031/000497</t>
        </is>
      </c>
    </row>
    <row r="2769">
      <c r="A2769">
        <f>TRIM(BASE_EQUIPOS!N2769)</f>
        <v/>
      </c>
      <c r="B2769">
        <f>BASE_EQUIPOS!A2769</f>
        <v/>
      </c>
      <c r="C2769">
        <f>BASE_EQUIPOS!B2769</f>
        <v/>
      </c>
      <c r="D2769">
        <f>BASE_EQUIPOS!D2769</f>
        <v/>
      </c>
      <c r="E2769">
        <f>BASE_EQUIPOS!G2769</f>
        <v/>
      </c>
      <c r="F2769">
        <f>BASE_EQUIPOS!H2769</f>
        <v/>
      </c>
      <c r="G2769">
        <f>BASE_EQUIPOS!M2769</f>
        <v/>
      </c>
      <c r="I2769" t="inlineStr">
        <is>
          <t>E-079/000824</t>
        </is>
      </c>
    </row>
    <row r="2770">
      <c r="A2770">
        <f>TRIM(BASE_EQUIPOS!N2770)</f>
        <v/>
      </c>
      <c r="B2770">
        <f>BASE_EQUIPOS!A2770</f>
        <v/>
      </c>
      <c r="C2770">
        <f>BASE_EQUIPOS!B2770</f>
        <v/>
      </c>
      <c r="D2770">
        <f>BASE_EQUIPOS!D2770</f>
        <v/>
      </c>
      <c r="E2770">
        <f>BASE_EQUIPOS!G2770</f>
        <v/>
      </c>
      <c r="F2770">
        <f>BASE_EQUIPOS!H2770</f>
        <v/>
      </c>
      <c r="G2770">
        <f>BASE_EQUIPOS!M2770</f>
        <v/>
      </c>
      <c r="I2770" t="inlineStr">
        <is>
          <t>E-310/000253</t>
        </is>
      </c>
    </row>
    <row r="2771">
      <c r="A2771">
        <f>TRIM(BASE_EQUIPOS!N2771)</f>
        <v/>
      </c>
      <c r="B2771">
        <f>BASE_EQUIPOS!A2771</f>
        <v/>
      </c>
      <c r="C2771">
        <f>BASE_EQUIPOS!B2771</f>
        <v/>
      </c>
      <c r="D2771">
        <f>BASE_EQUIPOS!D2771</f>
        <v/>
      </c>
      <c r="E2771">
        <f>BASE_EQUIPOS!G2771</f>
        <v/>
      </c>
      <c r="F2771">
        <f>BASE_EQUIPOS!H2771</f>
        <v/>
      </c>
      <c r="G2771">
        <f>BASE_EQUIPOS!M2771</f>
        <v/>
      </c>
      <c r="I2771" t="inlineStr">
        <is>
          <t>E-311/000039</t>
        </is>
      </c>
    </row>
    <row r="2772">
      <c r="A2772">
        <f>TRIM(BASE_EQUIPOS!N2772)</f>
        <v/>
      </c>
      <c r="B2772">
        <f>BASE_EQUIPOS!A2772</f>
        <v/>
      </c>
      <c r="C2772">
        <f>BASE_EQUIPOS!B2772</f>
        <v/>
      </c>
      <c r="D2772">
        <f>BASE_EQUIPOS!D2772</f>
        <v/>
      </c>
      <c r="E2772">
        <f>BASE_EQUIPOS!G2772</f>
        <v/>
      </c>
      <c r="F2772">
        <f>BASE_EQUIPOS!H2772</f>
        <v/>
      </c>
      <c r="G2772">
        <f>BASE_EQUIPOS!M2772</f>
        <v/>
      </c>
      <c r="I2772" t="inlineStr">
        <is>
          <t>262/003347</t>
        </is>
      </c>
    </row>
    <row r="2773">
      <c r="A2773">
        <f>TRIM(BASE_EQUIPOS!N2773)</f>
        <v/>
      </c>
      <c r="B2773">
        <f>BASE_EQUIPOS!A2773</f>
        <v/>
      </c>
      <c r="C2773">
        <f>BASE_EQUIPOS!B2773</f>
        <v/>
      </c>
      <c r="D2773">
        <f>BASE_EQUIPOS!D2773</f>
        <v/>
      </c>
      <c r="E2773">
        <f>BASE_EQUIPOS!G2773</f>
        <v/>
      </c>
      <c r="F2773">
        <f>BASE_EQUIPOS!H2773</f>
        <v/>
      </c>
      <c r="G2773">
        <f>BASE_EQUIPOS!M2773</f>
        <v/>
      </c>
      <c r="I2773" t="inlineStr">
        <is>
          <t>08/000956</t>
        </is>
      </c>
    </row>
    <row r="2774">
      <c r="A2774">
        <f>TRIM(BASE_EQUIPOS!N2774)</f>
        <v/>
      </c>
      <c r="B2774">
        <f>BASE_EQUIPOS!A2774</f>
        <v/>
      </c>
      <c r="C2774">
        <f>BASE_EQUIPOS!B2774</f>
        <v/>
      </c>
      <c r="D2774">
        <f>BASE_EQUIPOS!D2774</f>
        <v/>
      </c>
      <c r="E2774">
        <f>BASE_EQUIPOS!G2774</f>
        <v/>
      </c>
      <c r="F2774">
        <f>BASE_EQUIPOS!H2774</f>
        <v/>
      </c>
      <c r="G2774">
        <f>BASE_EQUIPOS!M2774</f>
        <v/>
      </c>
      <c r="I2774" t="inlineStr">
        <is>
          <t>E-007/584575</t>
        </is>
      </c>
    </row>
    <row r="2775">
      <c r="A2775">
        <f>TRIM(BASE_EQUIPOS!N2775)</f>
        <v/>
      </c>
      <c r="B2775">
        <f>BASE_EQUIPOS!A2775</f>
        <v/>
      </c>
      <c r="C2775">
        <f>BASE_EQUIPOS!B2775</f>
        <v/>
      </c>
      <c r="D2775">
        <f>BASE_EQUIPOS!D2775</f>
        <v/>
      </c>
      <c r="E2775">
        <f>BASE_EQUIPOS!G2775</f>
        <v/>
      </c>
      <c r="F2775">
        <f>BASE_EQUIPOS!H2775</f>
        <v/>
      </c>
      <c r="G2775">
        <f>BASE_EQUIPOS!M2775</f>
        <v/>
      </c>
      <c r="I2775" t="inlineStr">
        <is>
          <t>E-008/584944</t>
        </is>
      </c>
    </row>
    <row r="2776">
      <c r="A2776">
        <f>TRIM(BASE_EQUIPOS!N2776)</f>
        <v/>
      </c>
      <c r="B2776">
        <f>BASE_EQUIPOS!A2776</f>
        <v/>
      </c>
      <c r="C2776">
        <f>BASE_EQUIPOS!B2776</f>
        <v/>
      </c>
      <c r="D2776">
        <f>BASE_EQUIPOS!D2776</f>
        <v/>
      </c>
      <c r="E2776">
        <f>BASE_EQUIPOS!G2776</f>
        <v/>
      </c>
      <c r="F2776">
        <f>BASE_EQUIPOS!H2776</f>
        <v/>
      </c>
      <c r="G2776">
        <f>BASE_EQUIPOS!M2776</f>
        <v/>
      </c>
      <c r="I2776" t="inlineStr">
        <is>
          <t>E-015/584811</t>
        </is>
      </c>
    </row>
    <row r="2777">
      <c r="A2777">
        <f>TRIM(BASE_EQUIPOS!N2777)</f>
        <v/>
      </c>
      <c r="B2777">
        <f>BASE_EQUIPOS!A2777</f>
        <v/>
      </c>
      <c r="C2777">
        <f>BASE_EQUIPOS!B2777</f>
        <v/>
      </c>
      <c r="D2777">
        <f>BASE_EQUIPOS!D2777</f>
        <v/>
      </c>
      <c r="E2777">
        <f>BASE_EQUIPOS!G2777</f>
        <v/>
      </c>
      <c r="F2777">
        <f>BASE_EQUIPOS!H2777</f>
        <v/>
      </c>
      <c r="G2777">
        <f>BASE_EQUIPOS!M2777</f>
        <v/>
      </c>
      <c r="I2777" t="inlineStr">
        <is>
          <t>E-019/584499</t>
        </is>
      </c>
    </row>
    <row r="2778">
      <c r="A2778">
        <f>TRIM(BASE_EQUIPOS!N2778)</f>
        <v/>
      </c>
      <c r="B2778">
        <f>BASE_EQUIPOS!A2778</f>
        <v/>
      </c>
      <c r="C2778">
        <f>BASE_EQUIPOS!B2778</f>
        <v/>
      </c>
      <c r="D2778">
        <f>BASE_EQUIPOS!D2778</f>
        <v/>
      </c>
      <c r="E2778">
        <f>BASE_EQUIPOS!G2778</f>
        <v/>
      </c>
      <c r="F2778">
        <f>BASE_EQUIPOS!H2778</f>
        <v/>
      </c>
      <c r="G2778">
        <f>BASE_EQUIPOS!M2778</f>
        <v/>
      </c>
      <c r="I2778" t="inlineStr">
        <is>
          <t>E-002/584951</t>
        </is>
      </c>
    </row>
    <row r="2779">
      <c r="A2779">
        <f>TRIM(BASE_EQUIPOS!N2779)</f>
        <v/>
      </c>
      <c r="B2779">
        <f>BASE_EQUIPOS!A2779</f>
        <v/>
      </c>
      <c r="C2779">
        <f>BASE_EQUIPOS!B2779</f>
        <v/>
      </c>
      <c r="D2779">
        <f>BASE_EQUIPOS!D2779</f>
        <v/>
      </c>
      <c r="E2779">
        <f>BASE_EQUIPOS!G2779</f>
        <v/>
      </c>
      <c r="F2779">
        <f>BASE_EQUIPOS!H2779</f>
        <v/>
      </c>
      <c r="G2779">
        <f>BASE_EQUIPOS!M2779</f>
        <v/>
      </c>
      <c r="I2779" t="inlineStr">
        <is>
          <t>E-073/584690</t>
        </is>
      </c>
    </row>
    <row r="2780">
      <c r="A2780">
        <f>TRIM(BASE_EQUIPOS!N2780)</f>
        <v/>
      </c>
      <c r="B2780">
        <f>BASE_EQUIPOS!A2780</f>
        <v/>
      </c>
      <c r="C2780">
        <f>BASE_EQUIPOS!B2780</f>
        <v/>
      </c>
      <c r="D2780">
        <f>BASE_EQUIPOS!D2780</f>
        <v/>
      </c>
      <c r="E2780">
        <f>BASE_EQUIPOS!G2780</f>
        <v/>
      </c>
      <c r="F2780">
        <f>BASE_EQUIPOS!H2780</f>
        <v/>
      </c>
      <c r="G2780">
        <f>BASE_EQUIPOS!M2780</f>
        <v/>
      </c>
      <c r="I2780" t="inlineStr">
        <is>
          <t>E-306/001012</t>
        </is>
      </c>
    </row>
    <row r="2781">
      <c r="A2781">
        <f>TRIM(BASE_EQUIPOS!N2781)</f>
        <v/>
      </c>
      <c r="B2781">
        <f>BASE_EQUIPOS!A2781</f>
        <v/>
      </c>
      <c r="C2781">
        <f>BASE_EQUIPOS!B2781</f>
        <v/>
      </c>
      <c r="D2781">
        <f>BASE_EQUIPOS!D2781</f>
        <v/>
      </c>
      <c r="E2781">
        <f>BASE_EQUIPOS!G2781</f>
        <v/>
      </c>
      <c r="F2781">
        <f>BASE_EQUIPOS!H2781</f>
        <v/>
      </c>
      <c r="G2781">
        <f>BASE_EQUIPOS!M2781</f>
        <v/>
      </c>
      <c r="I2781" t="inlineStr">
        <is>
          <t>16/584911</t>
        </is>
      </c>
    </row>
    <row r="2782">
      <c r="A2782">
        <f>TRIM(BASE_EQUIPOS!N2782)</f>
        <v/>
      </c>
      <c r="B2782">
        <f>BASE_EQUIPOS!A2782</f>
        <v/>
      </c>
      <c r="C2782">
        <f>BASE_EQUIPOS!B2782</f>
        <v/>
      </c>
      <c r="D2782">
        <f>BASE_EQUIPOS!D2782</f>
        <v/>
      </c>
      <c r="E2782">
        <f>BASE_EQUIPOS!G2782</f>
        <v/>
      </c>
      <c r="F2782">
        <f>BASE_EQUIPOS!H2782</f>
        <v/>
      </c>
      <c r="G2782">
        <f>BASE_EQUIPOS!M2782</f>
        <v/>
      </c>
      <c r="I2782" t="inlineStr">
        <is>
          <t>02/000241</t>
        </is>
      </c>
    </row>
    <row r="2783">
      <c r="A2783">
        <f>TRIM(BASE_EQUIPOS!N2783)</f>
        <v/>
      </c>
      <c r="B2783">
        <f>BASE_EQUIPOS!A2783</f>
        <v/>
      </c>
      <c r="C2783">
        <f>BASE_EQUIPOS!B2783</f>
        <v/>
      </c>
      <c r="D2783">
        <f>BASE_EQUIPOS!D2783</f>
        <v/>
      </c>
      <c r="E2783">
        <f>BASE_EQUIPOS!G2783</f>
        <v/>
      </c>
      <c r="F2783">
        <f>BASE_EQUIPOS!H2783</f>
        <v/>
      </c>
      <c r="G2783">
        <f>BASE_EQUIPOS!M2783</f>
        <v/>
      </c>
      <c r="I2783" t="inlineStr">
        <is>
          <t>03/000415</t>
        </is>
      </c>
    </row>
    <row r="2784">
      <c r="A2784">
        <f>TRIM(BASE_EQUIPOS!N2784)</f>
        <v/>
      </c>
      <c r="B2784">
        <f>BASE_EQUIPOS!A2784</f>
        <v/>
      </c>
      <c r="C2784">
        <f>BASE_EQUIPOS!B2784</f>
        <v/>
      </c>
      <c r="D2784">
        <f>BASE_EQUIPOS!D2784</f>
        <v/>
      </c>
      <c r="E2784">
        <f>BASE_EQUIPOS!G2784</f>
        <v/>
      </c>
      <c r="F2784">
        <f>BASE_EQUIPOS!H2784</f>
        <v/>
      </c>
      <c r="G2784">
        <f>BASE_EQUIPOS!M2784</f>
        <v/>
      </c>
      <c r="I2784" t="inlineStr">
        <is>
          <t>04/001985</t>
        </is>
      </c>
    </row>
    <row r="2785">
      <c r="A2785">
        <f>TRIM(BASE_EQUIPOS!N2785)</f>
        <v/>
      </c>
      <c r="B2785">
        <f>BASE_EQUIPOS!A2785</f>
        <v/>
      </c>
      <c r="C2785">
        <f>BASE_EQUIPOS!B2785</f>
        <v/>
      </c>
      <c r="D2785">
        <f>BASE_EQUIPOS!D2785</f>
        <v/>
      </c>
      <c r="E2785">
        <f>BASE_EQUIPOS!G2785</f>
        <v/>
      </c>
      <c r="F2785">
        <f>BASE_EQUIPOS!H2785</f>
        <v/>
      </c>
      <c r="G2785">
        <f>BASE_EQUIPOS!M2785</f>
        <v/>
      </c>
      <c r="I2785" t="inlineStr">
        <is>
          <t>05/00004</t>
        </is>
      </c>
    </row>
    <row r="2786">
      <c r="A2786">
        <f>TRIM(BASE_EQUIPOS!N2786)</f>
        <v/>
      </c>
      <c r="B2786">
        <f>BASE_EQUIPOS!A2786</f>
        <v/>
      </c>
      <c r="C2786">
        <f>BASE_EQUIPOS!B2786</f>
        <v/>
      </c>
      <c r="D2786">
        <f>BASE_EQUIPOS!D2786</f>
        <v/>
      </c>
      <c r="E2786">
        <f>BASE_EQUIPOS!G2786</f>
        <v/>
      </c>
      <c r="F2786">
        <f>BASE_EQUIPOS!H2786</f>
        <v/>
      </c>
      <c r="G2786">
        <f>BASE_EQUIPOS!M2786</f>
        <v/>
      </c>
      <c r="I2786" t="inlineStr">
        <is>
          <t>06/010868</t>
        </is>
      </c>
    </row>
    <row r="2787">
      <c r="A2787">
        <f>TRIM(BASE_EQUIPOS!N2787)</f>
        <v/>
      </c>
      <c r="B2787">
        <f>BASE_EQUIPOS!A2787</f>
        <v/>
      </c>
      <c r="C2787">
        <f>BASE_EQUIPOS!B2787</f>
        <v/>
      </c>
      <c r="D2787">
        <f>BASE_EQUIPOS!D2787</f>
        <v/>
      </c>
      <c r="E2787">
        <f>BASE_EQUIPOS!G2787</f>
        <v/>
      </c>
      <c r="F2787">
        <f>BASE_EQUIPOS!H2787</f>
        <v/>
      </c>
      <c r="G2787">
        <f>BASE_EQUIPOS!M2787</f>
        <v/>
      </c>
      <c r="I2787" t="inlineStr">
        <is>
          <t>09/000018</t>
        </is>
      </c>
    </row>
    <row r="2788">
      <c r="A2788">
        <f>TRIM(BASE_EQUIPOS!N2788)</f>
        <v/>
      </c>
      <c r="B2788">
        <f>BASE_EQUIPOS!A2788</f>
        <v/>
      </c>
      <c r="C2788">
        <f>BASE_EQUIPOS!B2788</f>
        <v/>
      </c>
      <c r="D2788">
        <f>BASE_EQUIPOS!D2788</f>
        <v/>
      </c>
      <c r="E2788">
        <f>BASE_EQUIPOS!G2788</f>
        <v/>
      </c>
      <c r="F2788">
        <f>BASE_EQUIPOS!H2788</f>
        <v/>
      </c>
      <c r="G2788">
        <f>BASE_EQUIPOS!M2788</f>
        <v/>
      </c>
      <c r="I2788" t="inlineStr">
        <is>
          <t>10/000320</t>
        </is>
      </c>
    </row>
    <row r="2789">
      <c r="A2789">
        <f>TRIM(BASE_EQUIPOS!N2789)</f>
        <v/>
      </c>
      <c r="B2789">
        <f>BASE_EQUIPOS!A2789</f>
        <v/>
      </c>
      <c r="C2789">
        <f>BASE_EQUIPOS!B2789</f>
        <v/>
      </c>
      <c r="D2789">
        <f>BASE_EQUIPOS!D2789</f>
        <v/>
      </c>
      <c r="E2789">
        <f>BASE_EQUIPOS!G2789</f>
        <v/>
      </c>
      <c r="F2789">
        <f>BASE_EQUIPOS!H2789</f>
        <v/>
      </c>
      <c r="G2789">
        <f>BASE_EQUIPOS!M2789</f>
        <v/>
      </c>
      <c r="I2789" t="inlineStr">
        <is>
          <t>11/000050</t>
        </is>
      </c>
    </row>
    <row r="2790">
      <c r="A2790">
        <f>TRIM(BASE_EQUIPOS!N2790)</f>
        <v/>
      </c>
      <c r="B2790">
        <f>BASE_EQUIPOS!A2790</f>
        <v/>
      </c>
      <c r="C2790">
        <f>BASE_EQUIPOS!B2790</f>
        <v/>
      </c>
      <c r="D2790">
        <f>BASE_EQUIPOS!D2790</f>
        <v/>
      </c>
      <c r="E2790">
        <f>BASE_EQUIPOS!G2790</f>
        <v/>
      </c>
      <c r="F2790">
        <f>BASE_EQUIPOS!H2790</f>
        <v/>
      </c>
      <c r="G2790">
        <f>BASE_EQUIPOS!M2790</f>
        <v/>
      </c>
      <c r="I2790" t="inlineStr">
        <is>
          <t>12/000123</t>
        </is>
      </c>
    </row>
    <row r="2791">
      <c r="A2791">
        <f>TRIM(BASE_EQUIPOS!N2791)</f>
        <v/>
      </c>
      <c r="B2791">
        <f>BASE_EQUIPOS!A2791</f>
        <v/>
      </c>
      <c r="C2791">
        <f>BASE_EQUIPOS!B2791</f>
        <v/>
      </c>
      <c r="D2791">
        <f>BASE_EQUIPOS!D2791</f>
        <v/>
      </c>
      <c r="E2791">
        <f>BASE_EQUIPOS!G2791</f>
        <v/>
      </c>
      <c r="F2791">
        <f>BASE_EQUIPOS!H2791</f>
        <v/>
      </c>
      <c r="G2791">
        <f>BASE_EQUIPOS!M2791</f>
        <v/>
      </c>
      <c r="I2791" t="inlineStr">
        <is>
          <t>14/000501</t>
        </is>
      </c>
    </row>
    <row r="2792">
      <c r="A2792">
        <f>TRIM(BASE_EQUIPOS!N2792)</f>
        <v/>
      </c>
      <c r="B2792">
        <f>BASE_EQUIPOS!A2792</f>
        <v/>
      </c>
      <c r="C2792">
        <f>BASE_EQUIPOS!B2792</f>
        <v/>
      </c>
      <c r="D2792">
        <f>BASE_EQUIPOS!D2792</f>
        <v/>
      </c>
      <c r="E2792">
        <f>BASE_EQUIPOS!G2792</f>
        <v/>
      </c>
      <c r="F2792">
        <f>BASE_EQUIPOS!H2792</f>
        <v/>
      </c>
      <c r="G2792">
        <f>BASE_EQUIPOS!M2792</f>
        <v/>
      </c>
      <c r="I2792" t="inlineStr">
        <is>
          <t>15/003474</t>
        </is>
      </c>
    </row>
    <row r="2793">
      <c r="A2793">
        <f>TRIM(BASE_EQUIPOS!N2793)</f>
        <v/>
      </c>
      <c r="B2793">
        <f>BASE_EQUIPOS!A2793</f>
        <v/>
      </c>
      <c r="C2793">
        <f>BASE_EQUIPOS!B2793</f>
        <v/>
      </c>
      <c r="D2793">
        <f>BASE_EQUIPOS!D2793</f>
        <v/>
      </c>
      <c r="E2793">
        <f>BASE_EQUIPOS!G2793</f>
        <v/>
      </c>
      <c r="F2793">
        <f>BASE_EQUIPOS!H2793</f>
        <v/>
      </c>
      <c r="G2793">
        <f>BASE_EQUIPOS!M2793</f>
        <v/>
      </c>
      <c r="I2793" t="inlineStr">
        <is>
          <t>17/000801</t>
        </is>
      </c>
    </row>
    <row r="2794">
      <c r="A2794">
        <f>TRIM(BASE_EQUIPOS!N2794)</f>
        <v/>
      </c>
      <c r="B2794">
        <f>BASE_EQUIPOS!A2794</f>
        <v/>
      </c>
      <c r="C2794">
        <f>BASE_EQUIPOS!B2794</f>
        <v/>
      </c>
      <c r="D2794">
        <f>BASE_EQUIPOS!D2794</f>
        <v/>
      </c>
      <c r="E2794">
        <f>BASE_EQUIPOS!G2794</f>
        <v/>
      </c>
      <c r="F2794">
        <f>BASE_EQUIPOS!H2794</f>
        <v/>
      </c>
      <c r="G2794">
        <f>BASE_EQUIPOS!M2794</f>
        <v/>
      </c>
      <c r="I2794" t="inlineStr">
        <is>
          <t>19/000512</t>
        </is>
      </c>
    </row>
    <row r="2795">
      <c r="A2795">
        <f>TRIM(BASE_EQUIPOS!N2795)</f>
        <v/>
      </c>
      <c r="B2795">
        <f>BASE_EQUIPOS!A2795</f>
        <v/>
      </c>
      <c r="C2795">
        <f>BASE_EQUIPOS!B2795</f>
        <v/>
      </c>
      <c r="D2795">
        <f>BASE_EQUIPOS!D2795</f>
        <v/>
      </c>
      <c r="E2795">
        <f>BASE_EQUIPOS!G2795</f>
        <v/>
      </c>
      <c r="F2795">
        <f>BASE_EQUIPOS!H2795</f>
        <v/>
      </c>
      <c r="G2795">
        <f>BASE_EQUIPOS!M2795</f>
        <v/>
      </c>
      <c r="I2795" t="inlineStr">
        <is>
          <t>08/000265</t>
        </is>
      </c>
    </row>
    <row r="2796">
      <c r="A2796">
        <f>TRIM(BASE_EQUIPOS!N2796)</f>
        <v/>
      </c>
      <c r="B2796">
        <f>BASE_EQUIPOS!A2796</f>
        <v/>
      </c>
      <c r="C2796">
        <f>BASE_EQUIPOS!B2796</f>
        <v/>
      </c>
      <c r="D2796">
        <f>BASE_EQUIPOS!D2796</f>
        <v/>
      </c>
      <c r="E2796">
        <f>BASE_EQUIPOS!G2796</f>
        <v/>
      </c>
      <c r="F2796">
        <f>BASE_EQUIPOS!H2796</f>
        <v/>
      </c>
      <c r="G2796">
        <f>BASE_EQUIPOS!M2796</f>
        <v/>
      </c>
      <c r="I2796" t="inlineStr">
        <is>
          <t>29/000148</t>
        </is>
      </c>
    </row>
    <row r="2797">
      <c r="A2797">
        <f>TRIM(BASE_EQUIPOS!N2797)</f>
        <v/>
      </c>
      <c r="B2797">
        <f>BASE_EQUIPOS!A2797</f>
        <v/>
      </c>
      <c r="C2797">
        <f>BASE_EQUIPOS!B2797</f>
        <v/>
      </c>
      <c r="D2797">
        <f>BASE_EQUIPOS!D2797</f>
        <v/>
      </c>
      <c r="E2797">
        <f>BASE_EQUIPOS!G2797</f>
        <v/>
      </c>
      <c r="F2797">
        <f>BASE_EQUIPOS!H2797</f>
        <v/>
      </c>
      <c r="G2797">
        <f>BASE_EQUIPOS!M2797</f>
        <v/>
      </c>
      <c r="I2797" t="inlineStr">
        <is>
          <t>30/000124</t>
        </is>
      </c>
    </row>
    <row r="2798">
      <c r="A2798">
        <f>TRIM(BASE_EQUIPOS!N2798)</f>
        <v/>
      </c>
      <c r="B2798">
        <f>BASE_EQUIPOS!A2798</f>
        <v/>
      </c>
      <c r="C2798">
        <f>BASE_EQUIPOS!B2798</f>
        <v/>
      </c>
      <c r="D2798">
        <f>BASE_EQUIPOS!D2798</f>
        <v/>
      </c>
      <c r="E2798">
        <f>BASE_EQUIPOS!G2798</f>
        <v/>
      </c>
      <c r="F2798">
        <f>BASE_EQUIPOS!H2798</f>
        <v/>
      </c>
      <c r="G2798">
        <f>BASE_EQUIPOS!M2798</f>
        <v/>
      </c>
      <c r="I2798" t="inlineStr">
        <is>
          <t>S/N/000556</t>
        </is>
      </c>
    </row>
    <row r="2799">
      <c r="A2799">
        <f>TRIM(BASE_EQUIPOS!N2799)</f>
        <v/>
      </c>
      <c r="B2799">
        <f>BASE_EQUIPOS!A2799</f>
        <v/>
      </c>
      <c r="C2799">
        <f>BASE_EQUIPOS!B2799</f>
        <v/>
      </c>
      <c r="D2799">
        <f>BASE_EQUIPOS!D2799</f>
        <v/>
      </c>
      <c r="E2799">
        <f>BASE_EQUIPOS!G2799</f>
        <v/>
      </c>
      <c r="F2799">
        <f>BASE_EQUIPOS!H2799</f>
        <v/>
      </c>
      <c r="G2799">
        <f>BASE_EQUIPOS!M2799</f>
        <v/>
      </c>
      <c r="I2799" t="inlineStr">
        <is>
          <t>S/N/770159</t>
        </is>
      </c>
    </row>
    <row r="2800">
      <c r="A2800">
        <f>TRIM(BASE_EQUIPOS!N2800)</f>
        <v/>
      </c>
      <c r="B2800">
        <f>BASE_EQUIPOS!A2800</f>
        <v/>
      </c>
      <c r="C2800">
        <f>BASE_EQUIPOS!B2800</f>
        <v/>
      </c>
      <c r="D2800">
        <f>BASE_EQUIPOS!D2800</f>
        <v/>
      </c>
      <c r="E2800">
        <f>BASE_EQUIPOS!G2800</f>
        <v/>
      </c>
      <c r="F2800">
        <f>BASE_EQUIPOS!H2800</f>
        <v/>
      </c>
      <c r="G2800">
        <f>BASE_EQUIPOS!M2800</f>
        <v/>
      </c>
      <c r="I2800" t="inlineStr">
        <is>
          <t>000030</t>
        </is>
      </c>
    </row>
    <row r="2801">
      <c r="A2801">
        <f>TRIM(BASE_EQUIPOS!N2801)</f>
        <v/>
      </c>
      <c r="B2801">
        <f>BASE_EQUIPOS!A2801</f>
        <v/>
      </c>
      <c r="C2801">
        <f>BASE_EQUIPOS!B2801</f>
        <v/>
      </c>
      <c r="D2801">
        <f>BASE_EQUIPOS!D2801</f>
        <v/>
      </c>
      <c r="E2801">
        <f>BASE_EQUIPOS!G2801</f>
        <v/>
      </c>
      <c r="F2801">
        <f>BASE_EQUIPOS!H2801</f>
        <v/>
      </c>
      <c r="G2801">
        <f>BASE_EQUIPOS!M2801</f>
        <v/>
      </c>
      <c r="I2801" t="inlineStr">
        <is>
          <t>208297</t>
        </is>
      </c>
    </row>
    <row r="2802">
      <c r="A2802">
        <f>TRIM(BASE_EQUIPOS!N2802)</f>
        <v/>
      </c>
      <c r="B2802">
        <f>BASE_EQUIPOS!A2802</f>
        <v/>
      </c>
      <c r="C2802">
        <f>BASE_EQUIPOS!B2802</f>
        <v/>
      </c>
      <c r="D2802">
        <f>BASE_EQUIPOS!D2802</f>
        <v/>
      </c>
      <c r="E2802">
        <f>BASE_EQUIPOS!G2802</f>
        <v/>
      </c>
      <c r="F2802">
        <f>BASE_EQUIPOS!H2802</f>
        <v/>
      </c>
      <c r="G2802">
        <f>BASE_EQUIPOS!M2802</f>
        <v/>
      </c>
      <c r="I2802" t="inlineStr">
        <is>
          <t>02/501379</t>
        </is>
      </c>
    </row>
    <row r="2803">
      <c r="A2803">
        <f>TRIM(BASE_EQUIPOS!N2803)</f>
        <v/>
      </c>
      <c r="B2803">
        <f>BASE_EQUIPOS!A2803</f>
        <v/>
      </c>
      <c r="C2803">
        <f>BASE_EQUIPOS!B2803</f>
        <v/>
      </c>
      <c r="D2803">
        <f>BASE_EQUIPOS!D2803</f>
        <v/>
      </c>
      <c r="E2803">
        <f>BASE_EQUIPOS!G2803</f>
        <v/>
      </c>
      <c r="F2803">
        <f>BASE_EQUIPOS!H2803</f>
        <v/>
      </c>
      <c r="G2803">
        <f>BASE_EQUIPOS!M2803</f>
        <v/>
      </c>
      <c r="I2803" t="inlineStr">
        <is>
          <t>03/501314</t>
        </is>
      </c>
    </row>
    <row r="2804">
      <c r="A2804">
        <f>TRIM(BASE_EQUIPOS!N2804)</f>
        <v/>
      </c>
      <c r="B2804">
        <f>BASE_EQUIPOS!A2804</f>
        <v/>
      </c>
      <c r="C2804">
        <f>BASE_EQUIPOS!B2804</f>
        <v/>
      </c>
      <c r="D2804">
        <f>BASE_EQUIPOS!D2804</f>
        <v/>
      </c>
      <c r="E2804">
        <f>BASE_EQUIPOS!G2804</f>
        <v/>
      </c>
      <c r="F2804">
        <f>BASE_EQUIPOS!H2804</f>
        <v/>
      </c>
      <c r="G2804">
        <f>BASE_EQUIPOS!M2804</f>
        <v/>
      </c>
      <c r="I2804" t="inlineStr">
        <is>
          <t>22/000007</t>
        </is>
      </c>
    </row>
    <row r="2805">
      <c r="A2805">
        <f>TRIM(BASE_EQUIPOS!N2805)</f>
        <v/>
      </c>
      <c r="B2805">
        <f>BASE_EQUIPOS!A2805</f>
        <v/>
      </c>
      <c r="C2805">
        <f>BASE_EQUIPOS!B2805</f>
        <v/>
      </c>
      <c r="D2805">
        <f>BASE_EQUIPOS!D2805</f>
        <v/>
      </c>
      <c r="E2805">
        <f>BASE_EQUIPOS!G2805</f>
        <v/>
      </c>
      <c r="F2805">
        <f>BASE_EQUIPOS!H2805</f>
        <v/>
      </c>
      <c r="G2805">
        <f>BASE_EQUIPOS!M2805</f>
        <v/>
      </c>
      <c r="I2805" t="inlineStr">
        <is>
          <t>306/001249</t>
        </is>
      </c>
    </row>
    <row r="2806">
      <c r="A2806">
        <f>TRIM(BASE_EQUIPOS!N2806)</f>
        <v/>
      </c>
      <c r="B2806">
        <f>BASE_EQUIPOS!A2806</f>
        <v/>
      </c>
      <c r="C2806">
        <f>BASE_EQUIPOS!B2806</f>
        <v/>
      </c>
      <c r="D2806">
        <f>BASE_EQUIPOS!D2806</f>
        <v/>
      </c>
      <c r="E2806">
        <f>BASE_EQUIPOS!G2806</f>
        <v/>
      </c>
      <c r="F2806">
        <f>BASE_EQUIPOS!H2806</f>
        <v/>
      </c>
      <c r="G2806">
        <f>BASE_EQUIPOS!M2806</f>
        <v/>
      </c>
      <c r="I2806" t="inlineStr">
        <is>
          <t>263/001415</t>
        </is>
      </c>
    </row>
    <row r="2807">
      <c r="A2807">
        <f>TRIM(BASE_EQUIPOS!N2807)</f>
        <v/>
      </c>
      <c r="B2807">
        <f>BASE_EQUIPOS!A2807</f>
        <v/>
      </c>
      <c r="C2807">
        <f>BASE_EQUIPOS!B2807</f>
        <v/>
      </c>
      <c r="D2807">
        <f>BASE_EQUIPOS!D2807</f>
        <v/>
      </c>
      <c r="E2807">
        <f>BASE_EQUIPOS!G2807</f>
        <v/>
      </c>
      <c r="F2807">
        <f>BASE_EQUIPOS!H2807</f>
        <v/>
      </c>
      <c r="G2807">
        <f>BASE_EQUIPOS!M2807</f>
        <v/>
      </c>
      <c r="I2807" t="inlineStr">
        <is>
          <t>271/003666</t>
        </is>
      </c>
    </row>
    <row r="2808">
      <c r="A2808">
        <f>TRIM(BASE_EQUIPOS!N2808)</f>
        <v/>
      </c>
      <c r="B2808">
        <f>BASE_EQUIPOS!A2808</f>
        <v/>
      </c>
      <c r="C2808">
        <f>BASE_EQUIPOS!B2808</f>
        <v/>
      </c>
      <c r="D2808">
        <f>BASE_EQUIPOS!D2808</f>
        <v/>
      </c>
      <c r="E2808">
        <f>BASE_EQUIPOS!G2808</f>
        <v/>
      </c>
      <c r="F2808">
        <f>BASE_EQUIPOS!H2808</f>
        <v/>
      </c>
      <c r="G2808">
        <f>BASE_EQUIPOS!M2808</f>
        <v/>
      </c>
      <c r="I2808" t="inlineStr">
        <is>
          <t>276/003136</t>
        </is>
      </c>
    </row>
    <row r="2809">
      <c r="A2809">
        <f>TRIM(BASE_EQUIPOS!N2809)</f>
        <v/>
      </c>
      <c r="B2809">
        <f>BASE_EQUIPOS!A2809</f>
        <v/>
      </c>
      <c r="C2809">
        <f>BASE_EQUIPOS!B2809</f>
        <v/>
      </c>
      <c r="D2809">
        <f>BASE_EQUIPOS!D2809</f>
        <v/>
      </c>
      <c r="E2809">
        <f>BASE_EQUIPOS!G2809</f>
        <v/>
      </c>
      <c r="F2809">
        <f>BASE_EQUIPOS!H2809</f>
        <v/>
      </c>
      <c r="G2809">
        <f>BASE_EQUIPOS!M2809</f>
        <v/>
      </c>
      <c r="I2809" t="inlineStr">
        <is>
          <t>90/000979</t>
        </is>
      </c>
    </row>
    <row r="2810">
      <c r="A2810">
        <f>TRIM(BASE_EQUIPOS!N2810)</f>
        <v/>
      </c>
      <c r="B2810">
        <f>BASE_EQUIPOS!A2810</f>
        <v/>
      </c>
      <c r="C2810">
        <f>BASE_EQUIPOS!B2810</f>
        <v/>
      </c>
      <c r="D2810">
        <f>BASE_EQUIPOS!D2810</f>
        <v/>
      </c>
      <c r="E2810">
        <f>BASE_EQUIPOS!G2810</f>
        <v/>
      </c>
      <c r="F2810">
        <f>BASE_EQUIPOS!H2810</f>
        <v/>
      </c>
      <c r="G2810">
        <f>BASE_EQUIPOS!M2810</f>
        <v/>
      </c>
      <c r="I2810" t="inlineStr">
        <is>
          <t>356/000212</t>
        </is>
      </c>
    </row>
    <row r="2811">
      <c r="A2811">
        <f>TRIM(BASE_EQUIPOS!N2811)</f>
        <v/>
      </c>
      <c r="B2811">
        <f>BASE_EQUIPOS!A2811</f>
        <v/>
      </c>
      <c r="C2811">
        <f>BASE_EQUIPOS!B2811</f>
        <v/>
      </c>
      <c r="D2811">
        <f>BASE_EQUIPOS!D2811</f>
        <v/>
      </c>
      <c r="E2811">
        <f>BASE_EQUIPOS!G2811</f>
        <v/>
      </c>
      <c r="F2811">
        <f>BASE_EQUIPOS!H2811</f>
        <v/>
      </c>
      <c r="G2811">
        <f>BASE_EQUIPOS!M2811</f>
        <v/>
      </c>
      <c r="I2811" t="inlineStr">
        <is>
          <t>288/000005</t>
        </is>
      </c>
    </row>
    <row r="2812">
      <c r="A2812">
        <f>TRIM(BASE_EQUIPOS!N2812)</f>
        <v/>
      </c>
      <c r="B2812">
        <f>BASE_EQUIPOS!A2812</f>
        <v/>
      </c>
      <c r="C2812">
        <f>BASE_EQUIPOS!B2812</f>
        <v/>
      </c>
      <c r="D2812">
        <f>BASE_EQUIPOS!D2812</f>
        <v/>
      </c>
      <c r="E2812">
        <f>BASE_EQUIPOS!G2812</f>
        <v/>
      </c>
      <c r="F2812">
        <f>BASE_EQUIPOS!H2812</f>
        <v/>
      </c>
      <c r="G2812">
        <f>BASE_EQUIPOS!M2812</f>
        <v/>
      </c>
      <c r="I2812" t="inlineStr">
        <is>
          <t>17/004927</t>
        </is>
      </c>
    </row>
    <row r="2813">
      <c r="A2813">
        <f>TRIM(BASE_EQUIPOS!N2813)</f>
        <v/>
      </c>
      <c r="B2813">
        <f>BASE_EQUIPOS!A2813</f>
        <v/>
      </c>
      <c r="C2813">
        <f>BASE_EQUIPOS!B2813</f>
        <v/>
      </c>
      <c r="D2813">
        <f>BASE_EQUIPOS!D2813</f>
        <v/>
      </c>
      <c r="E2813">
        <f>BASE_EQUIPOS!G2813</f>
        <v/>
      </c>
      <c r="F2813">
        <f>BASE_EQUIPOS!H2813</f>
        <v/>
      </c>
      <c r="G2813">
        <f>BASE_EQUIPOS!M2813</f>
        <v/>
      </c>
      <c r="I2813" t="inlineStr">
        <is>
          <t>01/000579</t>
        </is>
      </c>
    </row>
    <row r="2814">
      <c r="A2814">
        <f>TRIM(BASE_EQUIPOS!N2814)</f>
        <v/>
      </c>
      <c r="B2814">
        <f>BASE_EQUIPOS!A2814</f>
        <v/>
      </c>
      <c r="C2814">
        <f>BASE_EQUIPOS!B2814</f>
        <v/>
      </c>
      <c r="D2814">
        <f>BASE_EQUIPOS!D2814</f>
        <v/>
      </c>
      <c r="E2814">
        <f>BASE_EQUIPOS!G2814</f>
        <v/>
      </c>
      <c r="F2814">
        <f>BASE_EQUIPOS!H2814</f>
        <v/>
      </c>
      <c r="G2814">
        <f>BASE_EQUIPOS!M2814</f>
        <v/>
      </c>
      <c r="I2814" t="inlineStr">
        <is>
          <t>6/005823</t>
        </is>
      </c>
    </row>
    <row r="2815">
      <c r="A2815">
        <f>TRIM(BASE_EQUIPOS!N2815)</f>
        <v/>
      </c>
      <c r="B2815">
        <f>BASE_EQUIPOS!A2815</f>
        <v/>
      </c>
      <c r="C2815">
        <f>BASE_EQUIPOS!B2815</f>
        <v/>
      </c>
      <c r="D2815">
        <f>BASE_EQUIPOS!D2815</f>
        <v/>
      </c>
      <c r="E2815">
        <f>BASE_EQUIPOS!G2815</f>
        <v/>
      </c>
      <c r="F2815">
        <f>BASE_EQUIPOS!H2815</f>
        <v/>
      </c>
      <c r="G2815">
        <f>BASE_EQUIPOS!M2815</f>
        <v/>
      </c>
      <c r="I2815" t="inlineStr">
        <is>
          <t>4/004769</t>
        </is>
      </c>
    </row>
    <row r="2816">
      <c r="A2816">
        <f>TRIM(BASE_EQUIPOS!N2816)</f>
        <v/>
      </c>
      <c r="B2816">
        <f>BASE_EQUIPOS!A2816</f>
        <v/>
      </c>
      <c r="C2816">
        <f>BASE_EQUIPOS!B2816</f>
        <v/>
      </c>
      <c r="D2816">
        <f>BASE_EQUIPOS!D2816</f>
        <v/>
      </c>
      <c r="E2816">
        <f>BASE_EQUIPOS!G2816</f>
        <v/>
      </c>
      <c r="F2816">
        <f>BASE_EQUIPOS!H2816</f>
        <v/>
      </c>
      <c r="G2816">
        <f>BASE_EQUIPOS!M2816</f>
        <v/>
      </c>
      <c r="I2816" t="inlineStr">
        <is>
          <t>22/000006</t>
        </is>
      </c>
    </row>
    <row r="2817">
      <c r="A2817">
        <f>TRIM(BASE_EQUIPOS!N2817)</f>
        <v/>
      </c>
      <c r="B2817">
        <f>BASE_EQUIPOS!A2817</f>
        <v/>
      </c>
      <c r="C2817">
        <f>BASE_EQUIPOS!B2817</f>
        <v/>
      </c>
      <c r="D2817">
        <f>BASE_EQUIPOS!D2817</f>
        <v/>
      </c>
      <c r="E2817">
        <f>BASE_EQUIPOS!G2817</f>
        <v/>
      </c>
      <c r="F2817">
        <f>BASE_EQUIPOS!H2817</f>
        <v/>
      </c>
      <c r="G2817">
        <f>BASE_EQUIPOS!M2817</f>
        <v/>
      </c>
      <c r="I2817" t="inlineStr">
        <is>
          <t>26/000334</t>
        </is>
      </c>
    </row>
    <row r="2818">
      <c r="A2818">
        <f>TRIM(BASE_EQUIPOS!N2818)</f>
        <v/>
      </c>
      <c r="B2818">
        <f>BASE_EQUIPOS!A2818</f>
        <v/>
      </c>
      <c r="C2818">
        <f>BASE_EQUIPOS!B2818</f>
        <v/>
      </c>
      <c r="D2818">
        <f>BASE_EQUIPOS!D2818</f>
        <v/>
      </c>
      <c r="E2818">
        <f>BASE_EQUIPOS!G2818</f>
        <v/>
      </c>
      <c r="F2818">
        <f>BASE_EQUIPOS!H2818</f>
        <v/>
      </c>
      <c r="G2818">
        <f>BASE_EQUIPOS!M2818</f>
        <v/>
      </c>
      <c r="I2818" t="inlineStr">
        <is>
          <t>3/002604</t>
        </is>
      </c>
    </row>
    <row r="2819">
      <c r="A2819">
        <f>TRIM(BASE_EQUIPOS!N2819)</f>
        <v/>
      </c>
      <c r="B2819">
        <f>BASE_EQUIPOS!A2819</f>
        <v/>
      </c>
      <c r="C2819">
        <f>BASE_EQUIPOS!B2819</f>
        <v/>
      </c>
      <c r="D2819">
        <f>BASE_EQUIPOS!D2819</f>
        <v/>
      </c>
      <c r="E2819">
        <f>BASE_EQUIPOS!G2819</f>
        <v/>
      </c>
      <c r="F2819">
        <f>BASE_EQUIPOS!H2819</f>
        <v/>
      </c>
      <c r="G2819">
        <f>BASE_EQUIPOS!M2819</f>
        <v/>
      </c>
      <c r="I2819" t="inlineStr">
        <is>
          <t>11/001307</t>
        </is>
      </c>
    </row>
    <row r="2820">
      <c r="A2820">
        <f>TRIM(BASE_EQUIPOS!N2820)</f>
        <v/>
      </c>
      <c r="B2820">
        <f>BASE_EQUIPOS!A2820</f>
        <v/>
      </c>
      <c r="C2820">
        <f>BASE_EQUIPOS!B2820</f>
        <v/>
      </c>
      <c r="D2820">
        <f>BASE_EQUIPOS!D2820</f>
        <v/>
      </c>
      <c r="E2820">
        <f>BASE_EQUIPOS!G2820</f>
        <v/>
      </c>
      <c r="F2820">
        <f>BASE_EQUIPOS!H2820</f>
        <v/>
      </c>
      <c r="G2820">
        <f>BASE_EQUIPOS!M2820</f>
        <v/>
      </c>
      <c r="I2820" t="inlineStr">
        <is>
          <t>8/N/R</t>
        </is>
      </c>
    </row>
    <row r="2821">
      <c r="A2821">
        <f>TRIM(BASE_EQUIPOS!N2821)</f>
        <v/>
      </c>
      <c r="B2821">
        <f>BASE_EQUIPOS!A2821</f>
        <v/>
      </c>
      <c r="C2821">
        <f>BASE_EQUIPOS!B2821</f>
        <v/>
      </c>
      <c r="D2821">
        <f>BASE_EQUIPOS!D2821</f>
        <v/>
      </c>
      <c r="E2821">
        <f>BASE_EQUIPOS!G2821</f>
        <v/>
      </c>
      <c r="F2821">
        <f>BASE_EQUIPOS!H2821</f>
        <v/>
      </c>
      <c r="G2821">
        <f>BASE_EQUIPOS!M2821</f>
        <v/>
      </c>
      <c r="I2821" t="inlineStr">
        <is>
          <t>14/000114</t>
        </is>
      </c>
    </row>
    <row r="2822">
      <c r="A2822">
        <f>TRIM(BASE_EQUIPOS!N2822)</f>
        <v/>
      </c>
      <c r="B2822">
        <f>BASE_EQUIPOS!A2822</f>
        <v/>
      </c>
      <c r="C2822">
        <f>BASE_EQUIPOS!B2822</f>
        <v/>
      </c>
      <c r="D2822">
        <f>BASE_EQUIPOS!D2822</f>
        <v/>
      </c>
      <c r="E2822">
        <f>BASE_EQUIPOS!G2822</f>
        <v/>
      </c>
      <c r="F2822">
        <f>BASE_EQUIPOS!H2822</f>
        <v/>
      </c>
      <c r="G2822">
        <f>BASE_EQUIPOS!M2822</f>
        <v/>
      </c>
      <c r="I2822" t="inlineStr">
        <is>
          <t>12/000355</t>
        </is>
      </c>
    </row>
    <row r="2823">
      <c r="A2823">
        <f>TRIM(BASE_EQUIPOS!N2823)</f>
        <v/>
      </c>
      <c r="B2823">
        <f>BASE_EQUIPOS!A2823</f>
        <v/>
      </c>
      <c r="C2823">
        <f>BASE_EQUIPOS!B2823</f>
        <v/>
      </c>
      <c r="D2823">
        <f>BASE_EQUIPOS!D2823</f>
        <v/>
      </c>
      <c r="E2823">
        <f>BASE_EQUIPOS!G2823</f>
        <v/>
      </c>
      <c r="F2823">
        <f>BASE_EQUIPOS!H2823</f>
        <v/>
      </c>
      <c r="G2823">
        <f>BASE_EQUIPOS!M2823</f>
        <v/>
      </c>
      <c r="I2823" t="inlineStr">
        <is>
          <t>4/001333</t>
        </is>
      </c>
    </row>
    <row r="2824">
      <c r="A2824">
        <f>TRIM(BASE_EQUIPOS!N2824)</f>
        <v/>
      </c>
      <c r="B2824">
        <f>BASE_EQUIPOS!A2824</f>
        <v/>
      </c>
      <c r="C2824">
        <f>BASE_EQUIPOS!B2824</f>
        <v/>
      </c>
      <c r="D2824">
        <f>BASE_EQUIPOS!D2824</f>
        <v/>
      </c>
      <c r="E2824">
        <f>BASE_EQUIPOS!G2824</f>
        <v/>
      </c>
      <c r="F2824">
        <f>BASE_EQUIPOS!H2824</f>
        <v/>
      </c>
      <c r="G2824">
        <f>BASE_EQUIPOS!M2824</f>
        <v/>
      </c>
      <c r="I2824" t="inlineStr">
        <is>
          <t>25/000138</t>
        </is>
      </c>
    </row>
    <row r="2825">
      <c r="A2825">
        <f>TRIM(BASE_EQUIPOS!N2825)</f>
        <v/>
      </c>
      <c r="B2825">
        <f>BASE_EQUIPOS!A2825</f>
        <v/>
      </c>
      <c r="C2825">
        <f>BASE_EQUIPOS!B2825</f>
        <v/>
      </c>
      <c r="D2825">
        <f>BASE_EQUIPOS!D2825</f>
        <v/>
      </c>
      <c r="E2825">
        <f>BASE_EQUIPOS!G2825</f>
        <v/>
      </c>
      <c r="F2825">
        <f>BASE_EQUIPOS!H2825</f>
        <v/>
      </c>
      <c r="G2825">
        <f>BASE_EQUIPOS!M2825</f>
        <v/>
      </c>
      <c r="I2825" t="inlineStr">
        <is>
          <t>23/A29052894</t>
        </is>
      </c>
    </row>
    <row r="2826">
      <c r="A2826">
        <f>TRIM(BASE_EQUIPOS!N2826)</f>
        <v/>
      </c>
      <c r="B2826">
        <f>BASE_EQUIPOS!A2826</f>
        <v/>
      </c>
      <c r="C2826">
        <f>BASE_EQUIPOS!B2826</f>
        <v/>
      </c>
      <c r="D2826">
        <f>BASE_EQUIPOS!D2826</f>
        <v/>
      </c>
      <c r="E2826">
        <f>BASE_EQUIPOS!G2826</f>
        <v/>
      </c>
      <c r="F2826">
        <f>BASE_EQUIPOS!H2826</f>
        <v/>
      </c>
      <c r="G2826">
        <f>BASE_EQUIPOS!M2826</f>
        <v/>
      </c>
      <c r="I2826" t="inlineStr">
        <is>
          <t>21/000030</t>
        </is>
      </c>
    </row>
    <row r="2827">
      <c r="A2827">
        <f>TRIM(BASE_EQUIPOS!N2827)</f>
        <v/>
      </c>
      <c r="B2827">
        <f>BASE_EQUIPOS!A2827</f>
        <v/>
      </c>
      <c r="C2827">
        <f>BASE_EQUIPOS!B2827</f>
        <v/>
      </c>
      <c r="D2827">
        <f>BASE_EQUIPOS!D2827</f>
        <v/>
      </c>
      <c r="E2827">
        <f>BASE_EQUIPOS!G2827</f>
        <v/>
      </c>
      <c r="F2827">
        <f>BASE_EQUIPOS!H2827</f>
        <v/>
      </c>
      <c r="G2827">
        <f>BASE_EQUIPOS!M2827</f>
        <v/>
      </c>
      <c r="I2827" t="inlineStr">
        <is>
          <t>02/000022</t>
        </is>
      </c>
    </row>
    <row r="2828">
      <c r="A2828">
        <f>TRIM(BASE_EQUIPOS!N2828)</f>
        <v/>
      </c>
      <c r="B2828">
        <f>BASE_EQUIPOS!A2828</f>
        <v/>
      </c>
      <c r="C2828">
        <f>BASE_EQUIPOS!B2828</f>
        <v/>
      </c>
      <c r="D2828">
        <f>BASE_EQUIPOS!D2828</f>
        <v/>
      </c>
      <c r="E2828">
        <f>BASE_EQUIPOS!G2828</f>
        <v/>
      </c>
      <c r="F2828">
        <f>BASE_EQUIPOS!H2828</f>
        <v/>
      </c>
      <c r="G2828">
        <f>BASE_EQUIPOS!M2828</f>
        <v/>
      </c>
      <c r="I2828" t="inlineStr">
        <is>
          <t>06/000121</t>
        </is>
      </c>
    </row>
    <row r="2829">
      <c r="A2829">
        <f>TRIM(BASE_EQUIPOS!N2829)</f>
        <v/>
      </c>
      <c r="B2829">
        <f>BASE_EQUIPOS!A2829</f>
        <v/>
      </c>
      <c r="C2829">
        <f>BASE_EQUIPOS!B2829</f>
        <v/>
      </c>
      <c r="D2829">
        <f>BASE_EQUIPOS!D2829</f>
        <v/>
      </c>
      <c r="E2829">
        <f>BASE_EQUIPOS!G2829</f>
        <v/>
      </c>
      <c r="F2829">
        <f>BASE_EQUIPOS!H2829</f>
        <v/>
      </c>
      <c r="G2829">
        <f>BASE_EQUIPOS!M2829</f>
        <v/>
      </c>
      <c r="I2829" t="inlineStr">
        <is>
          <t>23/000288</t>
        </is>
      </c>
    </row>
    <row r="2830">
      <c r="A2830">
        <f>TRIM(BASE_EQUIPOS!N2830)</f>
        <v/>
      </c>
      <c r="B2830">
        <f>BASE_EQUIPOS!A2830</f>
        <v/>
      </c>
      <c r="C2830">
        <f>BASE_EQUIPOS!B2830</f>
        <v/>
      </c>
      <c r="D2830">
        <f>BASE_EQUIPOS!D2830</f>
        <v/>
      </c>
      <c r="E2830">
        <f>BASE_EQUIPOS!G2830</f>
        <v/>
      </c>
      <c r="F2830">
        <f>BASE_EQUIPOS!H2830</f>
        <v/>
      </c>
      <c r="G2830">
        <f>BASE_EQUIPOS!M2830</f>
        <v/>
      </c>
      <c r="I2830" t="inlineStr">
        <is>
          <t>01/001953</t>
        </is>
      </c>
    </row>
    <row r="2831">
      <c r="A2831">
        <f>TRIM(BASE_EQUIPOS!N2831)</f>
        <v/>
      </c>
      <c r="B2831">
        <f>BASE_EQUIPOS!A2831</f>
        <v/>
      </c>
      <c r="C2831">
        <f>BASE_EQUIPOS!B2831</f>
        <v/>
      </c>
      <c r="D2831">
        <f>BASE_EQUIPOS!D2831</f>
        <v/>
      </c>
      <c r="E2831">
        <f>BASE_EQUIPOS!G2831</f>
        <v/>
      </c>
      <c r="F2831">
        <f>BASE_EQUIPOS!H2831</f>
        <v/>
      </c>
      <c r="G2831">
        <f>BASE_EQUIPOS!M2831</f>
        <v/>
      </c>
      <c r="I2831" t="inlineStr">
        <is>
          <t>02/000667</t>
        </is>
      </c>
    </row>
    <row r="2832">
      <c r="A2832">
        <f>TRIM(BASE_EQUIPOS!N2832)</f>
        <v/>
      </c>
      <c r="B2832">
        <f>BASE_EQUIPOS!A2832</f>
        <v/>
      </c>
      <c r="C2832">
        <f>BASE_EQUIPOS!B2832</f>
        <v/>
      </c>
      <c r="D2832">
        <f>BASE_EQUIPOS!D2832</f>
        <v/>
      </c>
      <c r="E2832">
        <f>BASE_EQUIPOS!G2832</f>
        <v/>
      </c>
      <c r="F2832">
        <f>BASE_EQUIPOS!H2832</f>
        <v/>
      </c>
      <c r="G2832">
        <f>BASE_EQUIPOS!M2832</f>
        <v/>
      </c>
      <c r="I2832" t="inlineStr">
        <is>
          <t>03/156397</t>
        </is>
      </c>
    </row>
    <row r="2833">
      <c r="A2833">
        <f>TRIM(BASE_EQUIPOS!N2833)</f>
        <v/>
      </c>
      <c r="B2833">
        <f>BASE_EQUIPOS!A2833</f>
        <v/>
      </c>
      <c r="C2833">
        <f>BASE_EQUIPOS!B2833</f>
        <v/>
      </c>
      <c r="D2833">
        <f>BASE_EQUIPOS!D2833</f>
        <v/>
      </c>
      <c r="E2833">
        <f>BASE_EQUIPOS!G2833</f>
        <v/>
      </c>
      <c r="F2833">
        <f>BASE_EQUIPOS!H2833</f>
        <v/>
      </c>
      <c r="G2833">
        <f>BASE_EQUIPOS!M2833</f>
        <v/>
      </c>
      <c r="I2833" t="inlineStr">
        <is>
          <t>04/000067</t>
        </is>
      </c>
    </row>
    <row r="2834">
      <c r="A2834">
        <f>TRIM(BASE_EQUIPOS!N2834)</f>
        <v/>
      </c>
      <c r="B2834">
        <f>BASE_EQUIPOS!A2834</f>
        <v/>
      </c>
      <c r="C2834">
        <f>BASE_EQUIPOS!B2834</f>
        <v/>
      </c>
      <c r="D2834">
        <f>BASE_EQUIPOS!D2834</f>
        <v/>
      </c>
      <c r="E2834">
        <f>BASE_EQUIPOS!G2834</f>
        <v/>
      </c>
      <c r="F2834">
        <f>BASE_EQUIPOS!H2834</f>
        <v/>
      </c>
      <c r="G2834">
        <f>BASE_EQUIPOS!M2834</f>
        <v/>
      </c>
      <c r="I2834" t="inlineStr">
        <is>
          <t>05/000193</t>
        </is>
      </c>
    </row>
    <row r="2835">
      <c r="A2835">
        <f>TRIM(BASE_EQUIPOS!N2835)</f>
        <v/>
      </c>
      <c r="B2835">
        <f>BASE_EQUIPOS!A2835</f>
        <v/>
      </c>
      <c r="C2835">
        <f>BASE_EQUIPOS!B2835</f>
        <v/>
      </c>
      <c r="D2835">
        <f>BASE_EQUIPOS!D2835</f>
        <v/>
      </c>
      <c r="E2835">
        <f>BASE_EQUIPOS!G2835</f>
        <v/>
      </c>
      <c r="F2835">
        <f>BASE_EQUIPOS!H2835</f>
        <v/>
      </c>
      <c r="G2835">
        <f>BASE_EQUIPOS!M2835</f>
        <v/>
      </c>
      <c r="I2835" t="inlineStr">
        <is>
          <t>06/000224</t>
        </is>
      </c>
    </row>
    <row r="2836">
      <c r="A2836">
        <f>TRIM(BASE_EQUIPOS!N2836)</f>
        <v/>
      </c>
      <c r="B2836">
        <f>BASE_EQUIPOS!A2836</f>
        <v/>
      </c>
      <c r="C2836">
        <f>BASE_EQUIPOS!B2836</f>
        <v/>
      </c>
      <c r="D2836">
        <f>BASE_EQUIPOS!D2836</f>
        <v/>
      </c>
      <c r="E2836">
        <f>BASE_EQUIPOS!G2836</f>
        <v/>
      </c>
      <c r="F2836">
        <f>BASE_EQUIPOS!H2836</f>
        <v/>
      </c>
      <c r="G2836">
        <f>BASE_EQUIPOS!M2836</f>
        <v/>
      </c>
      <c r="I2836" t="inlineStr">
        <is>
          <t>07/002618</t>
        </is>
      </c>
    </row>
    <row r="2837">
      <c r="A2837">
        <f>TRIM(BASE_EQUIPOS!N2837)</f>
        <v/>
      </c>
      <c r="B2837">
        <f>BASE_EQUIPOS!A2837</f>
        <v/>
      </c>
      <c r="C2837">
        <f>BASE_EQUIPOS!B2837</f>
        <v/>
      </c>
      <c r="D2837">
        <f>BASE_EQUIPOS!D2837</f>
        <v/>
      </c>
      <c r="E2837">
        <f>BASE_EQUIPOS!G2837</f>
        <v/>
      </c>
      <c r="F2837">
        <f>BASE_EQUIPOS!H2837</f>
        <v/>
      </c>
      <c r="G2837">
        <f>BASE_EQUIPOS!M2837</f>
        <v/>
      </c>
      <c r="I2837" t="inlineStr">
        <is>
          <t>08/000109</t>
        </is>
      </c>
    </row>
    <row r="2838">
      <c r="A2838">
        <f>TRIM(BASE_EQUIPOS!N2838)</f>
        <v/>
      </c>
      <c r="B2838">
        <f>BASE_EQUIPOS!A2838</f>
        <v/>
      </c>
      <c r="C2838">
        <f>BASE_EQUIPOS!B2838</f>
        <v/>
      </c>
      <c r="D2838">
        <f>BASE_EQUIPOS!D2838</f>
        <v/>
      </c>
      <c r="E2838">
        <f>BASE_EQUIPOS!G2838</f>
        <v/>
      </c>
      <c r="F2838">
        <f>BASE_EQUIPOS!H2838</f>
        <v/>
      </c>
      <c r="G2838">
        <f>BASE_EQUIPOS!M2838</f>
        <v/>
      </c>
      <c r="I2838" t="inlineStr">
        <is>
          <t>09/000108</t>
        </is>
      </c>
    </row>
    <row r="2839">
      <c r="A2839">
        <f>TRIM(BASE_EQUIPOS!N2839)</f>
        <v/>
      </c>
      <c r="B2839">
        <f>BASE_EQUIPOS!A2839</f>
        <v/>
      </c>
      <c r="C2839">
        <f>BASE_EQUIPOS!B2839</f>
        <v/>
      </c>
      <c r="D2839">
        <f>BASE_EQUIPOS!D2839</f>
        <v/>
      </c>
      <c r="E2839">
        <f>BASE_EQUIPOS!G2839</f>
        <v/>
      </c>
      <c r="F2839">
        <f>BASE_EQUIPOS!H2839</f>
        <v/>
      </c>
      <c r="G2839">
        <f>BASE_EQUIPOS!M2839</f>
        <v/>
      </c>
      <c r="I2839" t="inlineStr">
        <is>
          <t>10/00500</t>
        </is>
      </c>
    </row>
    <row r="2840">
      <c r="A2840">
        <f>TRIM(BASE_EQUIPOS!N2840)</f>
        <v/>
      </c>
      <c r="B2840">
        <f>BASE_EQUIPOS!A2840</f>
        <v/>
      </c>
      <c r="C2840">
        <f>BASE_EQUIPOS!B2840</f>
        <v/>
      </c>
      <c r="D2840">
        <f>BASE_EQUIPOS!D2840</f>
        <v/>
      </c>
      <c r="E2840">
        <f>BASE_EQUIPOS!G2840</f>
        <v/>
      </c>
      <c r="F2840">
        <f>BASE_EQUIPOS!H2840</f>
        <v/>
      </c>
      <c r="G2840">
        <f>BASE_EQUIPOS!M2840</f>
        <v/>
      </c>
      <c r="I2840" t="inlineStr">
        <is>
          <t>11/000018</t>
        </is>
      </c>
    </row>
    <row r="2841">
      <c r="A2841">
        <f>TRIM(BASE_EQUIPOS!N2841)</f>
        <v/>
      </c>
      <c r="B2841">
        <f>BASE_EQUIPOS!A2841</f>
        <v/>
      </c>
      <c r="C2841">
        <f>BASE_EQUIPOS!B2841</f>
        <v/>
      </c>
      <c r="D2841">
        <f>BASE_EQUIPOS!D2841</f>
        <v/>
      </c>
      <c r="E2841">
        <f>BASE_EQUIPOS!G2841</f>
        <v/>
      </c>
      <c r="F2841">
        <f>BASE_EQUIPOS!H2841</f>
        <v/>
      </c>
      <c r="G2841">
        <f>BASE_EQUIPOS!M2841</f>
        <v/>
      </c>
      <c r="I2841" t="inlineStr">
        <is>
          <t>12/000438</t>
        </is>
      </c>
    </row>
    <row r="2842">
      <c r="A2842">
        <f>TRIM(BASE_EQUIPOS!N2842)</f>
        <v/>
      </c>
      <c r="B2842">
        <f>BASE_EQUIPOS!A2842</f>
        <v/>
      </c>
      <c r="C2842">
        <f>BASE_EQUIPOS!B2842</f>
        <v/>
      </c>
      <c r="D2842">
        <f>BASE_EQUIPOS!D2842</f>
        <v/>
      </c>
      <c r="E2842">
        <f>BASE_EQUIPOS!G2842</f>
        <v/>
      </c>
      <c r="F2842">
        <f>BASE_EQUIPOS!H2842</f>
        <v/>
      </c>
      <c r="G2842">
        <f>BASE_EQUIPOS!M2842</f>
        <v/>
      </c>
      <c r="I2842" t="inlineStr">
        <is>
          <t>13/001008</t>
        </is>
      </c>
    </row>
    <row r="2843">
      <c r="A2843">
        <f>TRIM(BASE_EQUIPOS!N2843)</f>
        <v/>
      </c>
      <c r="B2843">
        <f>BASE_EQUIPOS!A2843</f>
        <v/>
      </c>
      <c r="C2843">
        <f>BASE_EQUIPOS!B2843</f>
        <v/>
      </c>
      <c r="D2843">
        <f>BASE_EQUIPOS!D2843</f>
        <v/>
      </c>
      <c r="E2843">
        <f>BASE_EQUIPOS!G2843</f>
        <v/>
      </c>
      <c r="F2843">
        <f>BASE_EQUIPOS!H2843</f>
        <v/>
      </c>
      <c r="G2843">
        <f>BASE_EQUIPOS!M2843</f>
        <v/>
      </c>
      <c r="I2843" t="inlineStr">
        <is>
          <t>14/000027</t>
        </is>
      </c>
    </row>
    <row r="2844">
      <c r="A2844">
        <f>TRIM(BASE_EQUIPOS!N2844)</f>
        <v/>
      </c>
      <c r="B2844">
        <f>BASE_EQUIPOS!A2844</f>
        <v/>
      </c>
      <c r="C2844">
        <f>BASE_EQUIPOS!B2844</f>
        <v/>
      </c>
      <c r="D2844">
        <f>BASE_EQUIPOS!D2844</f>
        <v/>
      </c>
      <c r="E2844">
        <f>BASE_EQUIPOS!G2844</f>
        <v/>
      </c>
      <c r="F2844">
        <f>BASE_EQUIPOS!H2844</f>
        <v/>
      </c>
      <c r="G2844">
        <f>BASE_EQUIPOS!M2844</f>
        <v/>
      </c>
      <c r="I2844" t="inlineStr">
        <is>
          <t>15/001531</t>
        </is>
      </c>
    </row>
    <row r="2845">
      <c r="A2845">
        <f>TRIM(BASE_EQUIPOS!N2845)</f>
        <v/>
      </c>
      <c r="B2845">
        <f>BASE_EQUIPOS!A2845</f>
        <v/>
      </c>
      <c r="C2845">
        <f>BASE_EQUIPOS!B2845</f>
        <v/>
      </c>
      <c r="D2845">
        <f>BASE_EQUIPOS!D2845</f>
        <v/>
      </c>
      <c r="E2845">
        <f>BASE_EQUIPOS!G2845</f>
        <v/>
      </c>
      <c r="F2845">
        <f>BASE_EQUIPOS!H2845</f>
        <v/>
      </c>
      <c r="G2845">
        <f>BASE_EQUIPOS!M2845</f>
        <v/>
      </c>
      <c r="I2845" t="inlineStr">
        <is>
          <t>01/000203</t>
        </is>
      </c>
    </row>
    <row r="2846">
      <c r="A2846">
        <f>TRIM(BASE_EQUIPOS!N2846)</f>
        <v/>
      </c>
      <c r="B2846">
        <f>BASE_EQUIPOS!A2846</f>
        <v/>
      </c>
      <c r="C2846">
        <f>BASE_EQUIPOS!B2846</f>
        <v/>
      </c>
      <c r="D2846">
        <f>BASE_EQUIPOS!D2846</f>
        <v/>
      </c>
      <c r="E2846">
        <f>BASE_EQUIPOS!G2846</f>
        <v/>
      </c>
      <c r="F2846">
        <f>BASE_EQUIPOS!H2846</f>
        <v/>
      </c>
      <c r="G2846">
        <f>BASE_EQUIPOS!M2846</f>
        <v/>
      </c>
      <c r="I2846" t="inlineStr">
        <is>
          <t>02/001926</t>
        </is>
      </c>
    </row>
    <row r="2847">
      <c r="A2847">
        <f>TRIM(BASE_EQUIPOS!N2847)</f>
        <v/>
      </c>
      <c r="B2847">
        <f>BASE_EQUIPOS!A2847</f>
        <v/>
      </c>
      <c r="C2847">
        <f>BASE_EQUIPOS!B2847</f>
        <v/>
      </c>
      <c r="D2847">
        <f>BASE_EQUIPOS!D2847</f>
        <v/>
      </c>
      <c r="E2847">
        <f>BASE_EQUIPOS!G2847</f>
        <v/>
      </c>
      <c r="F2847">
        <f>BASE_EQUIPOS!H2847</f>
        <v/>
      </c>
      <c r="G2847">
        <f>BASE_EQUIPOS!M2847</f>
        <v/>
      </c>
      <c r="I2847" t="inlineStr">
        <is>
          <t>03/004915</t>
        </is>
      </c>
    </row>
    <row r="2848">
      <c r="A2848">
        <f>TRIM(BASE_EQUIPOS!N2848)</f>
        <v/>
      </c>
      <c r="B2848">
        <f>BASE_EQUIPOS!A2848</f>
        <v/>
      </c>
      <c r="C2848">
        <f>BASE_EQUIPOS!B2848</f>
        <v/>
      </c>
      <c r="D2848">
        <f>BASE_EQUIPOS!D2848</f>
        <v/>
      </c>
      <c r="E2848">
        <f>BASE_EQUIPOS!G2848</f>
        <v/>
      </c>
      <c r="F2848">
        <f>BASE_EQUIPOS!H2848</f>
        <v/>
      </c>
      <c r="G2848">
        <f>BASE_EQUIPOS!M2848</f>
        <v/>
      </c>
      <c r="I2848" t="inlineStr">
        <is>
          <t>04/000236</t>
        </is>
      </c>
    </row>
    <row r="2849">
      <c r="A2849">
        <f>TRIM(BASE_EQUIPOS!N2849)</f>
        <v/>
      </c>
      <c r="B2849">
        <f>BASE_EQUIPOS!A2849</f>
        <v/>
      </c>
      <c r="C2849">
        <f>BASE_EQUIPOS!B2849</f>
        <v/>
      </c>
      <c r="D2849">
        <f>BASE_EQUIPOS!D2849</f>
        <v/>
      </c>
      <c r="E2849">
        <f>BASE_EQUIPOS!G2849</f>
        <v/>
      </c>
      <c r="F2849">
        <f>BASE_EQUIPOS!H2849</f>
        <v/>
      </c>
      <c r="G2849">
        <f>BASE_EQUIPOS!M2849</f>
        <v/>
      </c>
      <c r="I2849" t="inlineStr">
        <is>
          <t>05/001484</t>
        </is>
      </c>
    </row>
    <row r="2850">
      <c r="A2850">
        <f>TRIM(BASE_EQUIPOS!N2850)</f>
        <v/>
      </c>
      <c r="B2850">
        <f>BASE_EQUIPOS!A2850</f>
        <v/>
      </c>
      <c r="C2850">
        <f>BASE_EQUIPOS!B2850</f>
        <v/>
      </c>
      <c r="D2850">
        <f>BASE_EQUIPOS!D2850</f>
        <v/>
      </c>
      <c r="E2850">
        <f>BASE_EQUIPOS!G2850</f>
        <v/>
      </c>
      <c r="F2850">
        <f>BASE_EQUIPOS!H2850</f>
        <v/>
      </c>
      <c r="G2850">
        <f>BASE_EQUIPOS!M2850</f>
        <v/>
      </c>
      <c r="I2850" t="inlineStr">
        <is>
          <t>06/001926</t>
        </is>
      </c>
    </row>
    <row r="2851">
      <c r="A2851">
        <f>TRIM(BASE_EQUIPOS!N2851)</f>
        <v/>
      </c>
      <c r="B2851">
        <f>BASE_EQUIPOS!A2851</f>
        <v/>
      </c>
      <c r="C2851">
        <f>BASE_EQUIPOS!B2851</f>
        <v/>
      </c>
      <c r="D2851">
        <f>BASE_EQUIPOS!D2851</f>
        <v/>
      </c>
      <c r="E2851">
        <f>BASE_EQUIPOS!G2851</f>
        <v/>
      </c>
      <c r="F2851">
        <f>BASE_EQUIPOS!H2851</f>
        <v/>
      </c>
      <c r="G2851">
        <f>BASE_EQUIPOS!M2851</f>
        <v/>
      </c>
      <c r="I2851" t="inlineStr">
        <is>
          <t>07/LE-020338</t>
        </is>
      </c>
    </row>
    <row r="2852">
      <c r="A2852">
        <f>TRIM(BASE_EQUIPOS!N2852)</f>
        <v/>
      </c>
      <c r="B2852">
        <f>BASE_EQUIPOS!A2852</f>
        <v/>
      </c>
      <c r="C2852">
        <f>BASE_EQUIPOS!B2852</f>
        <v/>
      </c>
      <c r="D2852">
        <f>BASE_EQUIPOS!D2852</f>
        <v/>
      </c>
      <c r="E2852">
        <f>BASE_EQUIPOS!G2852</f>
        <v/>
      </c>
      <c r="F2852">
        <f>BASE_EQUIPOS!H2852</f>
        <v/>
      </c>
      <c r="G2852">
        <f>BASE_EQUIPOS!M2852</f>
        <v/>
      </c>
      <c r="I2852" t="inlineStr">
        <is>
          <t>06/000305</t>
        </is>
      </c>
    </row>
    <row r="2853">
      <c r="A2853">
        <f>TRIM(BASE_EQUIPOS!N2853)</f>
        <v/>
      </c>
      <c r="B2853">
        <f>BASE_EQUIPOS!A2853</f>
        <v/>
      </c>
      <c r="C2853">
        <f>BASE_EQUIPOS!B2853</f>
        <v/>
      </c>
      <c r="D2853">
        <f>BASE_EQUIPOS!D2853</f>
        <v/>
      </c>
      <c r="E2853">
        <f>BASE_EQUIPOS!G2853</f>
        <v/>
      </c>
      <c r="F2853">
        <f>BASE_EQUIPOS!H2853</f>
        <v/>
      </c>
      <c r="G2853">
        <f>BASE_EQUIPOS!M2853</f>
        <v/>
      </c>
      <c r="I2853" t="inlineStr">
        <is>
          <t>371/001541</t>
        </is>
      </c>
    </row>
    <row r="2854">
      <c r="A2854">
        <f>TRIM(BASE_EQUIPOS!N2854)</f>
        <v/>
      </c>
      <c r="B2854">
        <f>BASE_EQUIPOS!A2854</f>
        <v/>
      </c>
      <c r="C2854">
        <f>BASE_EQUIPOS!B2854</f>
        <v/>
      </c>
      <c r="D2854">
        <f>BASE_EQUIPOS!D2854</f>
        <v/>
      </c>
      <c r="E2854">
        <f>BASE_EQUIPOS!G2854</f>
        <v/>
      </c>
      <c r="F2854">
        <f>BASE_EQUIPOS!H2854</f>
        <v/>
      </c>
      <c r="G2854">
        <f>BASE_EQUIPOS!M2854</f>
        <v/>
      </c>
      <c r="I2854" t="inlineStr">
        <is>
          <t>39/001140</t>
        </is>
      </c>
    </row>
    <row r="2855">
      <c r="A2855">
        <f>TRIM(BASE_EQUIPOS!N2855)</f>
        <v/>
      </c>
      <c r="B2855">
        <f>BASE_EQUIPOS!A2855</f>
        <v/>
      </c>
      <c r="C2855">
        <f>BASE_EQUIPOS!B2855</f>
        <v/>
      </c>
      <c r="D2855">
        <f>BASE_EQUIPOS!D2855</f>
        <v/>
      </c>
      <c r="E2855">
        <f>BASE_EQUIPOS!G2855</f>
        <v/>
      </c>
      <c r="F2855">
        <f>BASE_EQUIPOS!H2855</f>
        <v/>
      </c>
      <c r="G2855">
        <f>BASE_EQUIPOS!M2855</f>
        <v/>
      </c>
      <c r="I2855" t="inlineStr">
        <is>
          <t>26/004370</t>
        </is>
      </c>
    </row>
    <row r="2856">
      <c r="A2856">
        <f>TRIM(BASE_EQUIPOS!N2856)</f>
        <v/>
      </c>
      <c r="B2856">
        <f>BASE_EQUIPOS!A2856</f>
        <v/>
      </c>
      <c r="C2856">
        <f>BASE_EQUIPOS!B2856</f>
        <v/>
      </c>
      <c r="D2856">
        <f>BASE_EQUIPOS!D2856</f>
        <v/>
      </c>
      <c r="E2856">
        <f>BASE_EQUIPOS!G2856</f>
        <v/>
      </c>
      <c r="F2856">
        <f>BASE_EQUIPOS!H2856</f>
        <v/>
      </c>
      <c r="G2856">
        <f>BASE_EQUIPOS!M2856</f>
        <v/>
      </c>
      <c r="I2856" t="inlineStr">
        <is>
          <t>22/003312</t>
        </is>
      </c>
    </row>
    <row r="2857">
      <c r="A2857">
        <f>TRIM(BASE_EQUIPOS!N2857)</f>
        <v/>
      </c>
      <c r="B2857">
        <f>BASE_EQUIPOS!A2857</f>
        <v/>
      </c>
      <c r="C2857">
        <f>BASE_EQUIPOS!B2857</f>
        <v/>
      </c>
      <c r="D2857">
        <f>BASE_EQUIPOS!D2857</f>
        <v/>
      </c>
      <c r="E2857">
        <f>BASE_EQUIPOS!G2857</f>
        <v/>
      </c>
      <c r="F2857">
        <f>BASE_EQUIPOS!H2857</f>
        <v/>
      </c>
      <c r="G2857">
        <f>BASE_EQUIPOS!M2857</f>
        <v/>
      </c>
      <c r="I2857" t="inlineStr">
        <is>
          <t>07/003411</t>
        </is>
      </c>
    </row>
    <row r="2858">
      <c r="A2858">
        <f>TRIM(BASE_EQUIPOS!N2858)</f>
        <v/>
      </c>
      <c r="B2858">
        <f>BASE_EQUIPOS!A2858</f>
        <v/>
      </c>
      <c r="C2858">
        <f>BASE_EQUIPOS!B2858</f>
        <v/>
      </c>
      <c r="D2858">
        <f>BASE_EQUIPOS!D2858</f>
        <v/>
      </c>
      <c r="E2858">
        <f>BASE_EQUIPOS!G2858</f>
        <v/>
      </c>
      <c r="F2858">
        <f>BASE_EQUIPOS!H2858</f>
        <v/>
      </c>
      <c r="G2858">
        <f>BASE_EQUIPOS!M2858</f>
        <v/>
      </c>
      <c r="I2858" t="inlineStr">
        <is>
          <t>S/N/000608</t>
        </is>
      </c>
    </row>
    <row r="2859">
      <c r="A2859">
        <f>TRIM(BASE_EQUIPOS!N2859)</f>
        <v/>
      </c>
      <c r="B2859">
        <f>BASE_EQUIPOS!A2859</f>
        <v/>
      </c>
      <c r="C2859">
        <f>BASE_EQUIPOS!B2859</f>
        <v/>
      </c>
      <c r="D2859">
        <f>BASE_EQUIPOS!D2859</f>
        <v/>
      </c>
      <c r="E2859">
        <f>BASE_EQUIPOS!G2859</f>
        <v/>
      </c>
      <c r="F2859">
        <f>BASE_EQUIPOS!H2859</f>
        <v/>
      </c>
      <c r="G2859">
        <f>BASE_EQUIPOS!M2859</f>
        <v/>
      </c>
      <c r="I2859" t="inlineStr">
        <is>
          <t>S/N/060125</t>
        </is>
      </c>
    </row>
    <row r="2860">
      <c r="A2860">
        <f>TRIM(BASE_EQUIPOS!N2860)</f>
        <v/>
      </c>
      <c r="B2860">
        <f>BASE_EQUIPOS!A2860</f>
        <v/>
      </c>
      <c r="C2860">
        <f>BASE_EQUIPOS!B2860</f>
        <v/>
      </c>
      <c r="D2860">
        <f>BASE_EQUIPOS!D2860</f>
        <v/>
      </c>
      <c r="E2860">
        <f>BASE_EQUIPOS!G2860</f>
        <v/>
      </c>
      <c r="F2860">
        <f>BASE_EQUIPOS!H2860</f>
        <v/>
      </c>
      <c r="G2860">
        <f>BASE_EQUIPOS!M2860</f>
        <v/>
      </c>
      <c r="I2860" t="inlineStr">
        <is>
          <t>S/N/000052</t>
        </is>
      </c>
    </row>
    <row r="2861">
      <c r="A2861">
        <f>TRIM(BASE_EQUIPOS!N2861)</f>
        <v/>
      </c>
      <c r="B2861">
        <f>BASE_EQUIPOS!A2861</f>
        <v/>
      </c>
      <c r="C2861">
        <f>BASE_EQUIPOS!B2861</f>
        <v/>
      </c>
      <c r="D2861">
        <f>BASE_EQUIPOS!D2861</f>
        <v/>
      </c>
      <c r="E2861">
        <f>BASE_EQUIPOS!G2861</f>
        <v/>
      </c>
      <c r="F2861">
        <f>BASE_EQUIPOS!H2861</f>
        <v/>
      </c>
      <c r="G2861">
        <f>BASE_EQUIPOS!M2861</f>
        <v/>
      </c>
      <c r="I2861" t="inlineStr">
        <is>
          <t>93/652254</t>
        </is>
      </c>
    </row>
    <row r="2862">
      <c r="A2862">
        <f>TRIM(BASE_EQUIPOS!N2862)</f>
        <v/>
      </c>
      <c r="B2862">
        <f>BASE_EQUIPOS!A2862</f>
        <v/>
      </c>
      <c r="C2862">
        <f>BASE_EQUIPOS!B2862</f>
        <v/>
      </c>
      <c r="D2862">
        <f>BASE_EQUIPOS!D2862</f>
        <v/>
      </c>
      <c r="E2862">
        <f>BASE_EQUIPOS!G2862</f>
        <v/>
      </c>
      <c r="F2862">
        <f>BASE_EQUIPOS!H2862</f>
        <v/>
      </c>
      <c r="G2862">
        <f>BASE_EQUIPOS!M2862</f>
        <v/>
      </c>
      <c r="I2862" t="inlineStr">
        <is>
          <t>83/652158</t>
        </is>
      </c>
    </row>
    <row r="2863">
      <c r="A2863">
        <f>TRIM(BASE_EQUIPOS!N2863)</f>
        <v/>
      </c>
      <c r="B2863">
        <f>BASE_EQUIPOS!A2863</f>
        <v/>
      </c>
      <c r="C2863">
        <f>BASE_EQUIPOS!B2863</f>
        <v/>
      </c>
      <c r="D2863">
        <f>BASE_EQUIPOS!D2863</f>
        <v/>
      </c>
      <c r="E2863">
        <f>BASE_EQUIPOS!G2863</f>
        <v/>
      </c>
      <c r="F2863">
        <f>BASE_EQUIPOS!H2863</f>
        <v/>
      </c>
      <c r="G2863">
        <f>BASE_EQUIPOS!M2863</f>
        <v/>
      </c>
      <c r="I2863" t="inlineStr">
        <is>
          <t>1/V794221</t>
        </is>
      </c>
    </row>
    <row r="2864">
      <c r="A2864">
        <f>TRIM(BASE_EQUIPOS!N2864)</f>
        <v/>
      </c>
      <c r="B2864">
        <f>BASE_EQUIPOS!A2864</f>
        <v/>
      </c>
      <c r="C2864">
        <f>BASE_EQUIPOS!B2864</f>
        <v/>
      </c>
      <c r="D2864">
        <f>BASE_EQUIPOS!D2864</f>
        <v/>
      </c>
      <c r="E2864">
        <f>BASE_EQUIPOS!G2864</f>
        <v/>
      </c>
      <c r="F2864">
        <f>BASE_EQUIPOS!H2864</f>
        <v/>
      </c>
      <c r="G2864">
        <f>BASE_EQUIPOS!M2864</f>
        <v/>
      </c>
      <c r="I2864" t="inlineStr">
        <is>
          <t>5/AA719103</t>
        </is>
      </c>
    </row>
    <row r="2865">
      <c r="A2865">
        <f>TRIM(BASE_EQUIPOS!N2865)</f>
        <v/>
      </c>
      <c r="B2865">
        <f>BASE_EQUIPOS!A2865</f>
        <v/>
      </c>
      <c r="C2865">
        <f>BASE_EQUIPOS!B2865</f>
        <v/>
      </c>
      <c r="D2865">
        <f>BASE_EQUIPOS!D2865</f>
        <v/>
      </c>
      <c r="E2865">
        <f>BASE_EQUIPOS!G2865</f>
        <v/>
      </c>
      <c r="F2865">
        <f>BASE_EQUIPOS!H2865</f>
        <v/>
      </c>
      <c r="G2865">
        <f>BASE_EQUIPOS!M2865</f>
        <v/>
      </c>
      <c r="I2865" t="inlineStr">
        <is>
          <t>2/AA719114</t>
        </is>
      </c>
    </row>
    <row r="2866">
      <c r="A2866">
        <f>TRIM(BASE_EQUIPOS!N2866)</f>
        <v/>
      </c>
      <c r="B2866">
        <f>BASE_EQUIPOS!A2866</f>
        <v/>
      </c>
      <c r="C2866">
        <f>BASE_EQUIPOS!B2866</f>
        <v/>
      </c>
      <c r="D2866">
        <f>BASE_EQUIPOS!D2866</f>
        <v/>
      </c>
      <c r="E2866">
        <f>BASE_EQUIPOS!G2866</f>
        <v/>
      </c>
      <c r="F2866">
        <f>BASE_EQUIPOS!H2866</f>
        <v/>
      </c>
      <c r="G2866">
        <f>BASE_EQUIPOS!M2866</f>
        <v/>
      </c>
      <c r="I2866" t="inlineStr">
        <is>
          <t>4/AA795694</t>
        </is>
      </c>
    </row>
    <row r="2867">
      <c r="A2867">
        <f>TRIM(BASE_EQUIPOS!N2867)</f>
        <v/>
      </c>
      <c r="B2867">
        <f>BASE_EQUIPOS!A2867</f>
        <v/>
      </c>
      <c r="C2867">
        <f>BASE_EQUIPOS!B2867</f>
        <v/>
      </c>
      <c r="D2867">
        <f>BASE_EQUIPOS!D2867</f>
        <v/>
      </c>
      <c r="E2867">
        <f>BASE_EQUIPOS!G2867</f>
        <v/>
      </c>
      <c r="F2867">
        <f>BASE_EQUIPOS!H2867</f>
        <v/>
      </c>
      <c r="G2867">
        <f>BASE_EQUIPOS!M2867</f>
        <v/>
      </c>
      <c r="I2867" t="inlineStr">
        <is>
          <t>9/XC264363</t>
        </is>
      </c>
    </row>
    <row r="2868">
      <c r="A2868">
        <f>TRIM(BASE_EQUIPOS!N2868)</f>
        <v/>
      </c>
      <c r="B2868">
        <f>BASE_EQUIPOS!A2868</f>
        <v/>
      </c>
      <c r="C2868">
        <f>BASE_EQUIPOS!B2868</f>
        <v/>
      </c>
      <c r="D2868">
        <f>BASE_EQUIPOS!D2868</f>
        <v/>
      </c>
      <c r="E2868">
        <f>BASE_EQUIPOS!G2868</f>
        <v/>
      </c>
      <c r="F2868">
        <f>BASE_EQUIPOS!H2868</f>
        <v/>
      </c>
      <c r="G2868">
        <f>BASE_EQUIPOS!M2868</f>
        <v/>
      </c>
      <c r="I2868" t="inlineStr">
        <is>
          <t>8/XC264292</t>
        </is>
      </c>
    </row>
    <row r="2869">
      <c r="A2869">
        <f>TRIM(BASE_EQUIPOS!N2869)</f>
        <v/>
      </c>
      <c r="B2869">
        <f>BASE_EQUIPOS!A2869</f>
        <v/>
      </c>
      <c r="C2869">
        <f>BASE_EQUIPOS!B2869</f>
        <v/>
      </c>
      <c r="D2869">
        <f>BASE_EQUIPOS!D2869</f>
        <v/>
      </c>
      <c r="E2869">
        <f>BASE_EQUIPOS!G2869</f>
        <v/>
      </c>
      <c r="F2869">
        <f>BASE_EQUIPOS!H2869</f>
        <v/>
      </c>
      <c r="G2869">
        <f>BASE_EQUIPOS!M2869</f>
        <v/>
      </c>
      <c r="I2869" t="inlineStr">
        <is>
          <t>96/BR574151</t>
        </is>
      </c>
    </row>
    <row r="2870">
      <c r="A2870">
        <f>TRIM(BASE_EQUIPOS!N2870)</f>
        <v/>
      </c>
      <c r="B2870">
        <f>BASE_EQUIPOS!A2870</f>
        <v/>
      </c>
      <c r="C2870">
        <f>BASE_EQUIPOS!B2870</f>
        <v/>
      </c>
      <c r="D2870">
        <f>BASE_EQUIPOS!D2870</f>
        <v/>
      </c>
      <c r="E2870">
        <f>BASE_EQUIPOS!G2870</f>
        <v/>
      </c>
      <c r="F2870">
        <f>BASE_EQUIPOS!H2870</f>
        <v/>
      </c>
      <c r="G2870">
        <f>BASE_EQUIPOS!M2870</f>
        <v/>
      </c>
      <c r="I2870" t="inlineStr">
        <is>
          <t>7/BR572303</t>
        </is>
      </c>
    </row>
    <row r="2871">
      <c r="A2871">
        <f>TRIM(BASE_EQUIPOS!N2871)</f>
        <v/>
      </c>
      <c r="B2871">
        <f>BASE_EQUIPOS!A2871</f>
        <v/>
      </c>
      <c r="C2871">
        <f>BASE_EQUIPOS!B2871</f>
        <v/>
      </c>
      <c r="D2871">
        <f>BASE_EQUIPOS!D2871</f>
        <v/>
      </c>
      <c r="E2871">
        <f>BASE_EQUIPOS!G2871</f>
        <v/>
      </c>
      <c r="F2871">
        <f>BASE_EQUIPOS!H2871</f>
        <v/>
      </c>
      <c r="G2871">
        <f>BASE_EQUIPOS!M2871</f>
        <v/>
      </c>
      <c r="I2871" t="inlineStr">
        <is>
          <t>55/BH86043</t>
        </is>
      </c>
    </row>
    <row r="2872">
      <c r="A2872">
        <f>TRIM(BASE_EQUIPOS!N2872)</f>
        <v/>
      </c>
      <c r="B2872">
        <f>BASE_EQUIPOS!A2872</f>
        <v/>
      </c>
      <c r="C2872">
        <f>BASE_EQUIPOS!B2872</f>
        <v/>
      </c>
      <c r="D2872">
        <f>BASE_EQUIPOS!D2872</f>
        <v/>
      </c>
      <c r="E2872">
        <f>BASE_EQUIPOS!G2872</f>
        <v/>
      </c>
      <c r="F2872">
        <f>BASE_EQUIPOS!H2872</f>
        <v/>
      </c>
      <c r="G2872">
        <f>BASE_EQUIPOS!M2872</f>
        <v/>
      </c>
      <c r="I2872" t="inlineStr">
        <is>
          <t>02/V825378</t>
        </is>
      </c>
    </row>
    <row r="2873">
      <c r="A2873">
        <f>TRIM(BASE_EQUIPOS!N2873)</f>
        <v/>
      </c>
      <c r="B2873">
        <f>BASE_EQUIPOS!A2873</f>
        <v/>
      </c>
      <c r="C2873">
        <f>BASE_EQUIPOS!B2873</f>
        <v/>
      </c>
      <c r="D2873">
        <f>BASE_EQUIPOS!D2873</f>
        <v/>
      </c>
      <c r="E2873">
        <f>BASE_EQUIPOS!G2873</f>
        <v/>
      </c>
      <c r="F2873">
        <f>BASE_EQUIPOS!H2873</f>
        <v/>
      </c>
      <c r="G2873">
        <f>BASE_EQUIPOS!M2873</f>
        <v/>
      </c>
      <c r="I2873" t="inlineStr">
        <is>
          <t>04/BR574035</t>
        </is>
      </c>
    </row>
    <row r="2874">
      <c r="A2874">
        <f>TRIM(BASE_EQUIPOS!N2874)</f>
        <v/>
      </c>
      <c r="B2874">
        <f>BASE_EQUIPOS!A2874</f>
        <v/>
      </c>
      <c r="C2874">
        <f>BASE_EQUIPOS!B2874</f>
        <v/>
      </c>
      <c r="D2874">
        <f>BASE_EQUIPOS!D2874</f>
        <v/>
      </c>
      <c r="E2874">
        <f>BASE_EQUIPOS!G2874</f>
        <v/>
      </c>
      <c r="F2874">
        <f>BASE_EQUIPOS!H2874</f>
        <v/>
      </c>
      <c r="G2874">
        <f>BASE_EQUIPOS!M2874</f>
        <v/>
      </c>
      <c r="I2874" t="inlineStr">
        <is>
          <t>06/000359</t>
        </is>
      </c>
    </row>
    <row r="2875">
      <c r="A2875">
        <f>TRIM(BASE_EQUIPOS!N2875)</f>
        <v/>
      </c>
      <c r="B2875">
        <f>BASE_EQUIPOS!A2875</f>
        <v/>
      </c>
      <c r="C2875">
        <f>BASE_EQUIPOS!B2875</f>
        <v/>
      </c>
      <c r="D2875">
        <f>BASE_EQUIPOS!D2875</f>
        <v/>
      </c>
      <c r="E2875">
        <f>BASE_EQUIPOS!G2875</f>
        <v/>
      </c>
      <c r="F2875">
        <f>BASE_EQUIPOS!H2875</f>
        <v/>
      </c>
      <c r="G2875">
        <f>BASE_EQUIPOS!M2875</f>
        <v/>
      </c>
      <c r="I2875" t="inlineStr">
        <is>
          <t>S/N/AC-422733</t>
        </is>
      </c>
    </row>
    <row r="2876">
      <c r="A2876">
        <f>TRIM(BASE_EQUIPOS!N2876)</f>
        <v/>
      </c>
      <c r="B2876">
        <f>BASE_EQUIPOS!A2876</f>
        <v/>
      </c>
      <c r="C2876">
        <f>BASE_EQUIPOS!B2876</f>
        <v/>
      </c>
      <c r="D2876">
        <f>BASE_EQUIPOS!D2876</f>
        <v/>
      </c>
      <c r="E2876">
        <f>BASE_EQUIPOS!G2876</f>
        <v/>
      </c>
      <c r="F2876">
        <f>BASE_EQUIPOS!H2876</f>
        <v/>
      </c>
      <c r="G2876">
        <f>BASE_EQUIPOS!M2876</f>
        <v/>
      </c>
      <c r="I2876" t="inlineStr">
        <is>
          <t>S/N/000113</t>
        </is>
      </c>
    </row>
    <row r="2877">
      <c r="A2877">
        <f>TRIM(BASE_EQUIPOS!N2877)</f>
        <v/>
      </c>
      <c r="B2877">
        <f>BASE_EQUIPOS!A2877</f>
        <v/>
      </c>
      <c r="C2877">
        <f>BASE_EQUIPOS!B2877</f>
        <v/>
      </c>
      <c r="D2877">
        <f>BASE_EQUIPOS!D2877</f>
        <v/>
      </c>
      <c r="E2877">
        <f>BASE_EQUIPOS!G2877</f>
        <v/>
      </c>
      <c r="F2877">
        <f>BASE_EQUIPOS!H2877</f>
        <v/>
      </c>
      <c r="G2877">
        <f>BASE_EQUIPOS!M2877</f>
        <v/>
      </c>
      <c r="I2877" t="inlineStr">
        <is>
          <t>S/N/AC-422890</t>
        </is>
      </c>
    </row>
    <row r="2878">
      <c r="A2878">
        <f>TRIM(BASE_EQUIPOS!N2878)</f>
        <v/>
      </c>
      <c r="B2878">
        <f>BASE_EQUIPOS!A2878</f>
        <v/>
      </c>
      <c r="C2878">
        <f>BASE_EQUIPOS!B2878</f>
        <v/>
      </c>
      <c r="D2878">
        <f>BASE_EQUIPOS!D2878</f>
        <v/>
      </c>
      <c r="E2878">
        <f>BASE_EQUIPOS!G2878</f>
        <v/>
      </c>
      <c r="F2878">
        <f>BASE_EQUIPOS!H2878</f>
        <v/>
      </c>
      <c r="G2878">
        <f>BASE_EQUIPOS!M2878</f>
        <v/>
      </c>
      <c r="I2878" t="inlineStr">
        <is>
          <t>S/N/AC-422929</t>
        </is>
      </c>
    </row>
    <row r="2879">
      <c r="A2879">
        <f>TRIM(BASE_EQUIPOS!N2879)</f>
        <v/>
      </c>
      <c r="B2879">
        <f>BASE_EQUIPOS!A2879</f>
        <v/>
      </c>
      <c r="C2879">
        <f>BASE_EQUIPOS!B2879</f>
        <v/>
      </c>
      <c r="D2879">
        <f>BASE_EQUIPOS!D2879</f>
        <v/>
      </c>
      <c r="E2879">
        <f>BASE_EQUIPOS!G2879</f>
        <v/>
      </c>
      <c r="F2879">
        <f>BASE_EQUIPOS!H2879</f>
        <v/>
      </c>
      <c r="G2879">
        <f>BASE_EQUIPOS!M2879</f>
        <v/>
      </c>
      <c r="I2879" t="inlineStr">
        <is>
          <t>S/N/AC-422650</t>
        </is>
      </c>
    </row>
    <row r="2880">
      <c r="A2880">
        <f>TRIM(BASE_EQUIPOS!N2880)</f>
        <v/>
      </c>
      <c r="B2880">
        <f>BASE_EQUIPOS!A2880</f>
        <v/>
      </c>
      <c r="C2880">
        <f>BASE_EQUIPOS!B2880</f>
        <v/>
      </c>
      <c r="D2880">
        <f>BASE_EQUIPOS!D2880</f>
        <v/>
      </c>
      <c r="E2880">
        <f>BASE_EQUIPOS!G2880</f>
        <v/>
      </c>
      <c r="F2880">
        <f>BASE_EQUIPOS!H2880</f>
        <v/>
      </c>
      <c r="G2880">
        <f>BASE_EQUIPOS!M2880</f>
        <v/>
      </c>
      <c r="I2880" t="inlineStr">
        <is>
          <t>S/N/AC-422924</t>
        </is>
      </c>
    </row>
    <row r="2881">
      <c r="A2881">
        <f>TRIM(BASE_EQUIPOS!N2881)</f>
        <v/>
      </c>
      <c r="B2881">
        <f>BASE_EQUIPOS!A2881</f>
        <v/>
      </c>
      <c r="C2881">
        <f>BASE_EQUIPOS!B2881</f>
        <v/>
      </c>
      <c r="D2881">
        <f>BASE_EQUIPOS!D2881</f>
        <v/>
      </c>
      <c r="E2881">
        <f>BASE_EQUIPOS!G2881</f>
        <v/>
      </c>
      <c r="F2881">
        <f>BASE_EQUIPOS!H2881</f>
        <v/>
      </c>
      <c r="G2881">
        <f>BASE_EQUIPOS!M2881</f>
        <v/>
      </c>
      <c r="I2881" t="inlineStr">
        <is>
          <t>S/N/2960369</t>
        </is>
      </c>
    </row>
    <row r="2882">
      <c r="A2882">
        <f>TRIM(BASE_EQUIPOS!N2882)</f>
        <v/>
      </c>
      <c r="B2882">
        <f>BASE_EQUIPOS!A2882</f>
        <v/>
      </c>
      <c r="C2882">
        <f>BASE_EQUIPOS!B2882</f>
        <v/>
      </c>
      <c r="D2882">
        <f>BASE_EQUIPOS!D2882</f>
        <v/>
      </c>
      <c r="E2882">
        <f>BASE_EQUIPOS!G2882</f>
        <v/>
      </c>
      <c r="F2882">
        <f>BASE_EQUIPOS!H2882</f>
        <v/>
      </c>
      <c r="G2882">
        <f>BASE_EQUIPOS!M2882</f>
        <v/>
      </c>
      <c r="I2882" t="inlineStr">
        <is>
          <t>5/S/N</t>
        </is>
      </c>
    </row>
    <row r="2883">
      <c r="A2883">
        <f>TRIM(BASE_EQUIPOS!N2883)</f>
        <v/>
      </c>
      <c r="B2883">
        <f>BASE_EQUIPOS!A2883</f>
        <v/>
      </c>
      <c r="C2883">
        <f>BASE_EQUIPOS!B2883</f>
        <v/>
      </c>
      <c r="D2883">
        <f>BASE_EQUIPOS!D2883</f>
        <v/>
      </c>
      <c r="E2883">
        <f>BASE_EQUIPOS!G2883</f>
        <v/>
      </c>
      <c r="F2883">
        <f>BASE_EQUIPOS!H2883</f>
        <v/>
      </c>
      <c r="G2883">
        <f>BASE_EQUIPOS!M2883</f>
        <v/>
      </c>
      <c r="I2883" t="inlineStr">
        <is>
          <t>24/000005</t>
        </is>
      </c>
    </row>
    <row r="2884">
      <c r="A2884">
        <f>TRIM(BASE_EQUIPOS!N2884)</f>
        <v/>
      </c>
      <c r="B2884">
        <f>BASE_EQUIPOS!A2884</f>
        <v/>
      </c>
      <c r="C2884">
        <f>BASE_EQUIPOS!B2884</f>
        <v/>
      </c>
      <c r="D2884">
        <f>BASE_EQUIPOS!D2884</f>
        <v/>
      </c>
      <c r="E2884">
        <f>BASE_EQUIPOS!G2884</f>
        <v/>
      </c>
      <c r="F2884">
        <f>BASE_EQUIPOS!H2884</f>
        <v/>
      </c>
      <c r="G2884">
        <f>BASE_EQUIPOS!M2884</f>
        <v/>
      </c>
      <c r="I2884" t="inlineStr">
        <is>
          <t>I36720917</t>
        </is>
      </c>
    </row>
    <row r="2885">
      <c r="A2885">
        <f>TRIM(BASE_EQUIPOS!N2885)</f>
        <v/>
      </c>
      <c r="B2885">
        <f>BASE_EQUIPOS!A2885</f>
        <v/>
      </c>
      <c r="C2885">
        <f>BASE_EQUIPOS!B2885</f>
        <v/>
      </c>
      <c r="D2885">
        <f>BASE_EQUIPOS!D2885</f>
        <v/>
      </c>
      <c r="E2885">
        <f>BASE_EQUIPOS!G2885</f>
        <v/>
      </c>
      <c r="F2885">
        <f>BASE_EQUIPOS!H2885</f>
        <v/>
      </c>
      <c r="G2885">
        <f>BASE_EQUIPOS!M2885</f>
        <v/>
      </c>
      <c r="I2885" t="inlineStr">
        <is>
          <t>I36720901</t>
        </is>
      </c>
    </row>
    <row r="2886">
      <c r="A2886">
        <f>TRIM(BASE_EQUIPOS!N2886)</f>
        <v/>
      </c>
      <c r="B2886">
        <f>BASE_EQUIPOS!A2886</f>
        <v/>
      </c>
      <c r="C2886">
        <f>BASE_EQUIPOS!B2886</f>
        <v/>
      </c>
      <c r="D2886">
        <f>BASE_EQUIPOS!D2886</f>
        <v/>
      </c>
      <c r="E2886">
        <f>BASE_EQUIPOS!G2886</f>
        <v/>
      </c>
      <c r="F2886">
        <f>BASE_EQUIPOS!H2886</f>
        <v/>
      </c>
      <c r="G2886">
        <f>BASE_EQUIPOS!M2886</f>
        <v/>
      </c>
      <c r="I2886" t="inlineStr">
        <is>
          <t>I36720886</t>
        </is>
      </c>
    </row>
    <row r="2887">
      <c r="A2887">
        <f>TRIM(BASE_EQUIPOS!N2887)</f>
        <v/>
      </c>
      <c r="B2887">
        <f>BASE_EQUIPOS!A2887</f>
        <v/>
      </c>
      <c r="C2887">
        <f>BASE_EQUIPOS!B2887</f>
        <v/>
      </c>
      <c r="D2887">
        <f>BASE_EQUIPOS!D2887</f>
        <v/>
      </c>
      <c r="E2887">
        <f>BASE_EQUIPOS!G2887</f>
        <v/>
      </c>
      <c r="F2887">
        <f>BASE_EQUIPOS!H2887</f>
        <v/>
      </c>
      <c r="G2887">
        <f>BASE_EQUIPOS!M2887</f>
        <v/>
      </c>
      <c r="I2887" t="inlineStr">
        <is>
          <t>I36720902</t>
        </is>
      </c>
    </row>
    <row r="2888">
      <c r="A2888">
        <f>TRIM(BASE_EQUIPOS!N2888)</f>
        <v/>
      </c>
      <c r="B2888">
        <f>BASE_EQUIPOS!A2888</f>
        <v/>
      </c>
      <c r="C2888">
        <f>BASE_EQUIPOS!B2888</f>
        <v/>
      </c>
      <c r="D2888">
        <f>BASE_EQUIPOS!D2888</f>
        <v/>
      </c>
      <c r="E2888">
        <f>BASE_EQUIPOS!G2888</f>
        <v/>
      </c>
      <c r="F2888">
        <f>BASE_EQUIPOS!H2888</f>
        <v/>
      </c>
      <c r="G2888">
        <f>BASE_EQUIPOS!M2888</f>
        <v/>
      </c>
      <c r="I2888" t="inlineStr">
        <is>
          <t>I36720920</t>
        </is>
      </c>
    </row>
    <row r="2889">
      <c r="A2889">
        <f>TRIM(BASE_EQUIPOS!N2889)</f>
        <v/>
      </c>
      <c r="B2889">
        <f>BASE_EQUIPOS!A2889</f>
        <v/>
      </c>
      <c r="C2889">
        <f>BASE_EQUIPOS!B2889</f>
        <v/>
      </c>
      <c r="D2889">
        <f>BASE_EQUIPOS!D2889</f>
        <v/>
      </c>
      <c r="E2889">
        <f>BASE_EQUIPOS!G2889</f>
        <v/>
      </c>
      <c r="F2889">
        <f>BASE_EQUIPOS!H2889</f>
        <v/>
      </c>
      <c r="G2889">
        <f>BASE_EQUIPOS!M2889</f>
        <v/>
      </c>
      <c r="I2889" t="inlineStr">
        <is>
          <t>I36720912</t>
        </is>
      </c>
    </row>
    <row r="2890">
      <c r="A2890">
        <f>TRIM(BASE_EQUIPOS!N2890)</f>
        <v/>
      </c>
      <c r="B2890">
        <f>BASE_EQUIPOS!A2890</f>
        <v/>
      </c>
      <c r="C2890">
        <f>BASE_EQUIPOS!B2890</f>
        <v/>
      </c>
      <c r="D2890">
        <f>BASE_EQUIPOS!D2890</f>
        <v/>
      </c>
      <c r="E2890">
        <f>BASE_EQUIPOS!G2890</f>
        <v/>
      </c>
      <c r="F2890">
        <f>BASE_EQUIPOS!H2890</f>
        <v/>
      </c>
      <c r="G2890">
        <f>BASE_EQUIPOS!M2890</f>
        <v/>
      </c>
      <c r="I2890" t="inlineStr">
        <is>
          <t>I36720862</t>
        </is>
      </c>
    </row>
    <row r="2891">
      <c r="A2891">
        <f>TRIM(BASE_EQUIPOS!N2891)</f>
        <v/>
      </c>
      <c r="B2891">
        <f>BASE_EQUIPOS!A2891</f>
        <v/>
      </c>
      <c r="C2891">
        <f>BASE_EQUIPOS!B2891</f>
        <v/>
      </c>
      <c r="D2891">
        <f>BASE_EQUIPOS!D2891</f>
        <v/>
      </c>
      <c r="E2891">
        <f>BASE_EQUIPOS!G2891</f>
        <v/>
      </c>
      <c r="F2891">
        <f>BASE_EQUIPOS!H2891</f>
        <v/>
      </c>
      <c r="G2891">
        <f>BASE_EQUIPOS!M2891</f>
        <v/>
      </c>
      <c r="I2891" t="inlineStr">
        <is>
          <t>I36720908</t>
        </is>
      </c>
    </row>
    <row r="2892">
      <c r="A2892">
        <f>TRIM(BASE_EQUIPOS!N2892)</f>
        <v/>
      </c>
      <c r="B2892">
        <f>BASE_EQUIPOS!A2892</f>
        <v/>
      </c>
      <c r="C2892">
        <f>BASE_EQUIPOS!B2892</f>
        <v/>
      </c>
      <c r="D2892">
        <f>BASE_EQUIPOS!D2892</f>
        <v/>
      </c>
      <c r="E2892">
        <f>BASE_EQUIPOS!G2892</f>
        <v/>
      </c>
      <c r="F2892">
        <f>BASE_EQUIPOS!H2892</f>
        <v/>
      </c>
      <c r="G2892">
        <f>BASE_EQUIPOS!M2892</f>
        <v/>
      </c>
      <c r="I2892" t="inlineStr">
        <is>
          <t>I36720926</t>
        </is>
      </c>
    </row>
    <row r="2893">
      <c r="A2893">
        <f>TRIM(BASE_EQUIPOS!N2893)</f>
        <v/>
      </c>
      <c r="B2893">
        <f>BASE_EQUIPOS!A2893</f>
        <v/>
      </c>
      <c r="C2893">
        <f>BASE_EQUIPOS!B2893</f>
        <v/>
      </c>
      <c r="D2893">
        <f>BASE_EQUIPOS!D2893</f>
        <v/>
      </c>
      <c r="E2893">
        <f>BASE_EQUIPOS!G2893</f>
        <v/>
      </c>
      <c r="F2893">
        <f>BASE_EQUIPOS!H2893</f>
        <v/>
      </c>
      <c r="G2893">
        <f>BASE_EQUIPOS!M2893</f>
        <v/>
      </c>
      <c r="I2893" t="inlineStr">
        <is>
          <t>I36720929</t>
        </is>
      </c>
    </row>
    <row r="2894">
      <c r="A2894">
        <f>TRIM(BASE_EQUIPOS!N2894)</f>
        <v/>
      </c>
      <c r="B2894">
        <f>BASE_EQUIPOS!A2894</f>
        <v/>
      </c>
      <c r="C2894">
        <f>BASE_EQUIPOS!B2894</f>
        <v/>
      </c>
      <c r="D2894">
        <f>BASE_EQUIPOS!D2894</f>
        <v/>
      </c>
      <c r="E2894">
        <f>BASE_EQUIPOS!G2894</f>
        <v/>
      </c>
      <c r="F2894">
        <f>BASE_EQUIPOS!H2894</f>
        <v/>
      </c>
      <c r="G2894">
        <f>BASE_EQUIPOS!M2894</f>
        <v/>
      </c>
      <c r="I2894" t="inlineStr">
        <is>
          <t>I36720910</t>
        </is>
      </c>
    </row>
    <row r="2895">
      <c r="A2895">
        <f>TRIM(BASE_EQUIPOS!N2895)</f>
        <v/>
      </c>
      <c r="B2895">
        <f>BASE_EQUIPOS!A2895</f>
        <v/>
      </c>
      <c r="C2895">
        <f>BASE_EQUIPOS!B2895</f>
        <v/>
      </c>
      <c r="D2895">
        <f>BASE_EQUIPOS!D2895</f>
        <v/>
      </c>
      <c r="E2895">
        <f>BASE_EQUIPOS!G2895</f>
        <v/>
      </c>
      <c r="F2895">
        <f>BASE_EQUIPOS!H2895</f>
        <v/>
      </c>
      <c r="G2895">
        <f>BASE_EQUIPOS!M2895</f>
        <v/>
      </c>
      <c r="I2895" t="inlineStr">
        <is>
          <t>I36720896</t>
        </is>
      </c>
    </row>
    <row r="2896">
      <c r="A2896">
        <f>TRIM(BASE_EQUIPOS!N2896)</f>
        <v/>
      </c>
      <c r="B2896">
        <f>BASE_EQUIPOS!A2896</f>
        <v/>
      </c>
      <c r="C2896">
        <f>BASE_EQUIPOS!B2896</f>
        <v/>
      </c>
      <c r="D2896">
        <f>BASE_EQUIPOS!D2896</f>
        <v/>
      </c>
      <c r="E2896">
        <f>BASE_EQUIPOS!G2896</f>
        <v/>
      </c>
      <c r="F2896">
        <f>BASE_EQUIPOS!H2896</f>
        <v/>
      </c>
      <c r="G2896">
        <f>BASE_EQUIPOS!M2896</f>
        <v/>
      </c>
      <c r="I2896" t="inlineStr">
        <is>
          <t>I36720927</t>
        </is>
      </c>
    </row>
    <row r="2897">
      <c r="A2897">
        <f>TRIM(BASE_EQUIPOS!N2897)</f>
        <v/>
      </c>
      <c r="B2897">
        <f>BASE_EQUIPOS!A2897</f>
        <v/>
      </c>
      <c r="C2897">
        <f>BASE_EQUIPOS!B2897</f>
        <v/>
      </c>
      <c r="D2897">
        <f>BASE_EQUIPOS!D2897</f>
        <v/>
      </c>
      <c r="E2897">
        <f>BASE_EQUIPOS!G2897</f>
        <v/>
      </c>
      <c r="F2897">
        <f>BASE_EQUIPOS!H2897</f>
        <v/>
      </c>
      <c r="G2897">
        <f>BASE_EQUIPOS!M2897</f>
        <v/>
      </c>
      <c r="I2897" t="inlineStr">
        <is>
          <t>E-042/000376</t>
        </is>
      </c>
    </row>
    <row r="2898">
      <c r="A2898">
        <f>TRIM(BASE_EQUIPOS!N2898)</f>
        <v/>
      </c>
      <c r="B2898">
        <f>BASE_EQUIPOS!A2898</f>
        <v/>
      </c>
      <c r="C2898">
        <f>BASE_EQUIPOS!B2898</f>
        <v/>
      </c>
      <c r="D2898">
        <f>BASE_EQUIPOS!D2898</f>
        <v/>
      </c>
      <c r="E2898">
        <f>BASE_EQUIPOS!G2898</f>
        <v/>
      </c>
      <c r="F2898">
        <f>BASE_EQUIPOS!H2898</f>
        <v/>
      </c>
      <c r="G2898">
        <f>BASE_EQUIPOS!M2898</f>
        <v/>
      </c>
      <c r="I2898" t="inlineStr">
        <is>
          <t>E-022/000008</t>
        </is>
      </c>
    </row>
    <row r="2899">
      <c r="A2899">
        <f>TRIM(BASE_EQUIPOS!N2899)</f>
        <v/>
      </c>
      <c r="B2899">
        <f>BASE_EQUIPOS!A2899</f>
        <v/>
      </c>
      <c r="C2899">
        <f>BASE_EQUIPOS!B2899</f>
        <v/>
      </c>
      <c r="D2899">
        <f>BASE_EQUIPOS!D2899</f>
        <v/>
      </c>
      <c r="E2899">
        <f>BASE_EQUIPOS!G2899</f>
        <v/>
      </c>
      <c r="F2899">
        <f>BASE_EQUIPOS!H2899</f>
        <v/>
      </c>
      <c r="G2899">
        <f>BASE_EQUIPOS!M2899</f>
        <v/>
      </c>
      <c r="I2899" t="inlineStr">
        <is>
          <t>E-012/003007</t>
        </is>
      </c>
    </row>
    <row r="2900">
      <c r="A2900">
        <f>TRIM(BASE_EQUIPOS!N2900)</f>
        <v/>
      </c>
      <c r="B2900">
        <f>BASE_EQUIPOS!A2900</f>
        <v/>
      </c>
      <c r="C2900">
        <f>BASE_EQUIPOS!B2900</f>
        <v/>
      </c>
      <c r="D2900">
        <f>BASE_EQUIPOS!D2900</f>
        <v/>
      </c>
      <c r="E2900">
        <f>BASE_EQUIPOS!G2900</f>
        <v/>
      </c>
      <c r="F2900">
        <f>BASE_EQUIPOS!H2900</f>
        <v/>
      </c>
      <c r="G2900">
        <f>BASE_EQUIPOS!M2900</f>
        <v/>
      </c>
      <c r="I2900" t="inlineStr">
        <is>
          <t>E-011/000862</t>
        </is>
      </c>
    </row>
    <row r="2901">
      <c r="A2901">
        <f>TRIM(BASE_EQUIPOS!N2901)</f>
        <v/>
      </c>
      <c r="B2901">
        <f>BASE_EQUIPOS!A2901</f>
        <v/>
      </c>
      <c r="C2901">
        <f>BASE_EQUIPOS!B2901</f>
        <v/>
      </c>
      <c r="D2901">
        <f>BASE_EQUIPOS!D2901</f>
        <v/>
      </c>
      <c r="E2901">
        <f>BASE_EQUIPOS!G2901</f>
        <v/>
      </c>
      <c r="F2901">
        <f>BASE_EQUIPOS!H2901</f>
        <v/>
      </c>
      <c r="G2901">
        <f>BASE_EQUIPOS!M2901</f>
        <v/>
      </c>
      <c r="I2901" t="inlineStr">
        <is>
          <t>E-028/000226</t>
        </is>
      </c>
    </row>
    <row r="2902">
      <c r="A2902">
        <f>TRIM(BASE_EQUIPOS!N2902)</f>
        <v/>
      </c>
      <c r="B2902">
        <f>BASE_EQUIPOS!A2902</f>
        <v/>
      </c>
      <c r="C2902">
        <f>BASE_EQUIPOS!B2902</f>
        <v/>
      </c>
      <c r="D2902">
        <f>BASE_EQUIPOS!D2902</f>
        <v/>
      </c>
      <c r="E2902">
        <f>BASE_EQUIPOS!G2902</f>
        <v/>
      </c>
      <c r="F2902">
        <f>BASE_EQUIPOS!H2902</f>
        <v/>
      </c>
      <c r="G2902">
        <f>BASE_EQUIPOS!M2902</f>
        <v/>
      </c>
      <c r="I2902" t="inlineStr">
        <is>
          <t>E-021/000245</t>
        </is>
      </c>
    </row>
    <row r="2903">
      <c r="A2903">
        <f>TRIM(BASE_EQUIPOS!N2903)</f>
        <v/>
      </c>
      <c r="B2903">
        <f>BASE_EQUIPOS!A2903</f>
        <v/>
      </c>
      <c r="C2903">
        <f>BASE_EQUIPOS!B2903</f>
        <v/>
      </c>
      <c r="D2903">
        <f>BASE_EQUIPOS!D2903</f>
        <v/>
      </c>
      <c r="E2903">
        <f>BASE_EQUIPOS!G2903</f>
        <v/>
      </c>
      <c r="F2903">
        <f>BASE_EQUIPOS!H2903</f>
        <v/>
      </c>
      <c r="G2903">
        <f>BASE_EQUIPOS!M2903</f>
        <v/>
      </c>
      <c r="I2903" t="inlineStr">
        <is>
          <t>E-030/S/N</t>
        </is>
      </c>
    </row>
    <row r="2904">
      <c r="A2904">
        <f>TRIM(BASE_EQUIPOS!N2904)</f>
        <v/>
      </c>
      <c r="B2904">
        <f>BASE_EQUIPOS!A2904</f>
        <v/>
      </c>
      <c r="C2904">
        <f>BASE_EQUIPOS!B2904</f>
        <v/>
      </c>
      <c r="D2904">
        <f>BASE_EQUIPOS!D2904</f>
        <v/>
      </c>
      <c r="E2904">
        <f>BASE_EQUIPOS!G2904</f>
        <v/>
      </c>
      <c r="F2904">
        <f>BASE_EQUIPOS!H2904</f>
        <v/>
      </c>
      <c r="G2904">
        <f>BASE_EQUIPOS!M2904</f>
        <v/>
      </c>
      <c r="I2904" t="inlineStr">
        <is>
          <t>E-165/000430</t>
        </is>
      </c>
    </row>
    <row r="2905">
      <c r="A2905">
        <f>TRIM(BASE_EQUIPOS!N2905)</f>
        <v/>
      </c>
      <c r="B2905">
        <f>BASE_EQUIPOS!A2905</f>
        <v/>
      </c>
      <c r="C2905">
        <f>BASE_EQUIPOS!B2905</f>
        <v/>
      </c>
      <c r="D2905">
        <f>BASE_EQUIPOS!D2905</f>
        <v/>
      </c>
      <c r="E2905">
        <f>BASE_EQUIPOS!G2905</f>
        <v/>
      </c>
      <c r="F2905">
        <f>BASE_EQUIPOS!H2905</f>
        <v/>
      </c>
      <c r="G2905">
        <f>BASE_EQUIPOS!M2905</f>
        <v/>
      </c>
      <c r="I2905" t="inlineStr">
        <is>
          <t>E-009/000649</t>
        </is>
      </c>
    </row>
    <row r="2906">
      <c r="A2906">
        <f>TRIM(BASE_EQUIPOS!N2906)</f>
        <v/>
      </c>
      <c r="B2906">
        <f>BASE_EQUIPOS!A2906</f>
        <v/>
      </c>
      <c r="C2906">
        <f>BASE_EQUIPOS!B2906</f>
        <v/>
      </c>
      <c r="D2906">
        <f>BASE_EQUIPOS!D2906</f>
        <v/>
      </c>
      <c r="E2906">
        <f>BASE_EQUIPOS!G2906</f>
        <v/>
      </c>
      <c r="F2906">
        <f>BASE_EQUIPOS!H2906</f>
        <v/>
      </c>
      <c r="G2906">
        <f>BASE_EQUIPOS!M2906</f>
        <v/>
      </c>
      <c r="I2906" t="inlineStr">
        <is>
          <t>E-136/000457</t>
        </is>
      </c>
    </row>
    <row r="2907">
      <c r="A2907">
        <f>TRIM(BASE_EQUIPOS!N2907)</f>
        <v/>
      </c>
      <c r="B2907">
        <f>BASE_EQUIPOS!A2907</f>
        <v/>
      </c>
      <c r="C2907">
        <f>BASE_EQUIPOS!B2907</f>
        <v/>
      </c>
      <c r="D2907">
        <f>BASE_EQUIPOS!D2907</f>
        <v/>
      </c>
      <c r="E2907">
        <f>BASE_EQUIPOS!G2907</f>
        <v/>
      </c>
      <c r="F2907">
        <f>BASE_EQUIPOS!H2907</f>
        <v/>
      </c>
      <c r="G2907">
        <f>BASE_EQUIPOS!M2907</f>
        <v/>
      </c>
      <c r="I2907" t="inlineStr">
        <is>
          <t>E-108/000054</t>
        </is>
      </c>
    </row>
    <row r="2908">
      <c r="A2908">
        <f>TRIM(BASE_EQUIPOS!N2908)</f>
        <v/>
      </c>
      <c r="B2908">
        <f>BASE_EQUIPOS!A2908</f>
        <v/>
      </c>
      <c r="C2908">
        <f>BASE_EQUIPOS!B2908</f>
        <v/>
      </c>
      <c r="D2908">
        <f>BASE_EQUIPOS!D2908</f>
        <v/>
      </c>
      <c r="E2908">
        <f>BASE_EQUIPOS!G2908</f>
        <v/>
      </c>
      <c r="F2908">
        <f>BASE_EQUIPOS!H2908</f>
        <v/>
      </c>
      <c r="G2908">
        <f>BASE_EQUIPOS!M2908</f>
        <v/>
      </c>
      <c r="I2908" t="inlineStr">
        <is>
          <t>E-098/330245</t>
        </is>
      </c>
    </row>
    <row r="2909">
      <c r="A2909">
        <f>TRIM(BASE_EQUIPOS!N2909)</f>
        <v/>
      </c>
      <c r="B2909">
        <f>BASE_EQUIPOS!A2909</f>
        <v/>
      </c>
      <c r="C2909">
        <f>BASE_EQUIPOS!B2909</f>
        <v/>
      </c>
      <c r="D2909">
        <f>BASE_EQUIPOS!D2909</f>
        <v/>
      </c>
      <c r="E2909">
        <f>BASE_EQUIPOS!G2909</f>
        <v/>
      </c>
      <c r="F2909">
        <f>BASE_EQUIPOS!H2909</f>
        <v/>
      </c>
      <c r="G2909">
        <f>BASE_EQUIPOS!M2909</f>
        <v/>
      </c>
      <c r="I2909" t="inlineStr">
        <is>
          <t>E-027/000004</t>
        </is>
      </c>
    </row>
    <row r="2910">
      <c r="A2910">
        <f>TRIM(BASE_EQUIPOS!N2910)</f>
        <v/>
      </c>
      <c r="B2910">
        <f>BASE_EQUIPOS!A2910</f>
        <v/>
      </c>
      <c r="C2910">
        <f>BASE_EQUIPOS!B2910</f>
        <v/>
      </c>
      <c r="D2910">
        <f>BASE_EQUIPOS!D2910</f>
        <v/>
      </c>
      <c r="E2910">
        <f>BASE_EQUIPOS!G2910</f>
        <v/>
      </c>
      <c r="F2910">
        <f>BASE_EQUIPOS!H2910</f>
        <v/>
      </c>
      <c r="G2910">
        <f>BASE_EQUIPOS!M2910</f>
        <v/>
      </c>
      <c r="I2910" t="inlineStr">
        <is>
          <t>E-164/000890</t>
        </is>
      </c>
    </row>
    <row r="2911">
      <c r="A2911">
        <f>TRIM(BASE_EQUIPOS!N2911)</f>
        <v/>
      </c>
      <c r="B2911">
        <f>BASE_EQUIPOS!A2911</f>
        <v/>
      </c>
      <c r="C2911">
        <f>BASE_EQUIPOS!B2911</f>
        <v/>
      </c>
      <c r="D2911">
        <f>BASE_EQUIPOS!D2911</f>
        <v/>
      </c>
      <c r="E2911">
        <f>BASE_EQUIPOS!G2911</f>
        <v/>
      </c>
      <c r="F2911">
        <f>BASE_EQUIPOS!H2911</f>
        <v/>
      </c>
      <c r="G2911">
        <f>BASE_EQUIPOS!M2911</f>
        <v/>
      </c>
      <c r="I2911" t="inlineStr">
        <is>
          <t>E-013/000008</t>
        </is>
      </c>
    </row>
    <row r="2912">
      <c r="A2912">
        <f>TRIM(BASE_EQUIPOS!N2912)</f>
        <v/>
      </c>
      <c r="B2912">
        <f>BASE_EQUIPOS!A2912</f>
        <v/>
      </c>
      <c r="C2912">
        <f>BASE_EQUIPOS!B2912</f>
        <v/>
      </c>
      <c r="D2912">
        <f>BASE_EQUIPOS!D2912</f>
        <v/>
      </c>
      <c r="E2912">
        <f>BASE_EQUIPOS!G2912</f>
        <v/>
      </c>
      <c r="F2912">
        <f>BASE_EQUIPOS!H2912</f>
        <v/>
      </c>
      <c r="G2912">
        <f>BASE_EQUIPOS!M2912</f>
        <v/>
      </c>
      <c r="I2912" t="inlineStr">
        <is>
          <t>E-045/000226</t>
        </is>
      </c>
    </row>
    <row r="2913">
      <c r="A2913">
        <f>TRIM(BASE_EQUIPOS!N2913)</f>
        <v/>
      </c>
      <c r="B2913">
        <f>BASE_EQUIPOS!A2913</f>
        <v/>
      </c>
      <c r="C2913">
        <f>BASE_EQUIPOS!B2913</f>
        <v/>
      </c>
      <c r="D2913">
        <f>BASE_EQUIPOS!D2913</f>
        <v/>
      </c>
      <c r="E2913">
        <f>BASE_EQUIPOS!G2913</f>
        <v/>
      </c>
      <c r="F2913">
        <f>BASE_EQUIPOS!H2913</f>
        <v/>
      </c>
      <c r="G2913">
        <f>BASE_EQUIPOS!M2913</f>
        <v/>
      </c>
      <c r="I2913" t="inlineStr">
        <is>
          <t>E-037/000103</t>
        </is>
      </c>
    </row>
    <row r="2914">
      <c r="A2914">
        <f>TRIM(BASE_EQUIPOS!N2914)</f>
        <v/>
      </c>
      <c r="B2914">
        <f>BASE_EQUIPOS!A2914</f>
        <v/>
      </c>
      <c r="C2914">
        <f>BASE_EQUIPOS!B2914</f>
        <v/>
      </c>
      <c r="D2914">
        <f>BASE_EQUIPOS!D2914</f>
        <v/>
      </c>
      <c r="E2914">
        <f>BASE_EQUIPOS!G2914</f>
        <v/>
      </c>
      <c r="F2914">
        <f>BASE_EQUIPOS!H2914</f>
        <v/>
      </c>
      <c r="G2914">
        <f>BASE_EQUIPOS!M2914</f>
        <v/>
      </c>
      <c r="I2914" t="inlineStr">
        <is>
          <t>E-041/000008</t>
        </is>
      </c>
    </row>
    <row r="2915">
      <c r="A2915">
        <f>TRIM(BASE_EQUIPOS!N2915)</f>
        <v/>
      </c>
      <c r="B2915">
        <f>BASE_EQUIPOS!A2915</f>
        <v/>
      </c>
      <c r="C2915">
        <f>BASE_EQUIPOS!B2915</f>
        <v/>
      </c>
      <c r="D2915">
        <f>BASE_EQUIPOS!D2915</f>
        <v/>
      </c>
      <c r="E2915">
        <f>BASE_EQUIPOS!G2915</f>
        <v/>
      </c>
      <c r="F2915">
        <f>BASE_EQUIPOS!H2915</f>
        <v/>
      </c>
      <c r="G2915">
        <f>BASE_EQUIPOS!M2915</f>
        <v/>
      </c>
      <c r="I2915" t="inlineStr">
        <is>
          <t>E-115/000009</t>
        </is>
      </c>
    </row>
    <row r="2916">
      <c r="A2916">
        <f>TRIM(BASE_EQUIPOS!N2916)</f>
        <v/>
      </c>
      <c r="B2916">
        <f>BASE_EQUIPOS!A2916</f>
        <v/>
      </c>
      <c r="C2916">
        <f>BASE_EQUIPOS!B2916</f>
        <v/>
      </c>
      <c r="D2916">
        <f>BASE_EQUIPOS!D2916</f>
        <v/>
      </c>
      <c r="E2916">
        <f>BASE_EQUIPOS!G2916</f>
        <v/>
      </c>
      <c r="F2916">
        <f>BASE_EQUIPOS!H2916</f>
        <v/>
      </c>
      <c r="G2916">
        <f>BASE_EQUIPOS!M2916</f>
        <v/>
      </c>
      <c r="I2916" t="inlineStr">
        <is>
          <t>E-162/4193751</t>
        </is>
      </c>
    </row>
    <row r="2917">
      <c r="A2917">
        <f>TRIM(BASE_EQUIPOS!N2917)</f>
        <v/>
      </c>
      <c r="B2917">
        <f>BASE_EQUIPOS!A2917</f>
        <v/>
      </c>
      <c r="C2917">
        <f>BASE_EQUIPOS!B2917</f>
        <v/>
      </c>
      <c r="D2917">
        <f>BASE_EQUIPOS!D2917</f>
        <v/>
      </c>
      <c r="E2917">
        <f>BASE_EQUIPOS!G2917</f>
        <v/>
      </c>
      <c r="F2917">
        <f>BASE_EQUIPOS!H2917</f>
        <v/>
      </c>
      <c r="G2917">
        <f>BASE_EQUIPOS!M2917</f>
        <v/>
      </c>
      <c r="I2917" t="inlineStr">
        <is>
          <t>E-152/5614548</t>
        </is>
      </c>
    </row>
    <row r="2918">
      <c r="A2918">
        <f>TRIM(BASE_EQUIPOS!N2918)</f>
        <v/>
      </c>
      <c r="B2918">
        <f>BASE_EQUIPOS!A2918</f>
        <v/>
      </c>
      <c r="C2918">
        <f>BASE_EQUIPOS!B2918</f>
        <v/>
      </c>
      <c r="D2918">
        <f>BASE_EQUIPOS!D2918</f>
        <v/>
      </c>
      <c r="E2918">
        <f>BASE_EQUIPOS!G2918</f>
        <v/>
      </c>
      <c r="F2918">
        <f>BASE_EQUIPOS!H2918</f>
        <v/>
      </c>
      <c r="G2918">
        <f>BASE_EQUIPOS!M2918</f>
        <v/>
      </c>
      <c r="I2918" t="inlineStr">
        <is>
          <t>E-163/193760</t>
        </is>
      </c>
    </row>
    <row r="2919">
      <c r="A2919">
        <f>TRIM(BASE_EQUIPOS!N2919)</f>
        <v/>
      </c>
      <c r="B2919">
        <f>BASE_EQUIPOS!A2919</f>
        <v/>
      </c>
      <c r="C2919">
        <f>BASE_EQUIPOS!B2919</f>
        <v/>
      </c>
      <c r="D2919">
        <f>BASE_EQUIPOS!D2919</f>
        <v/>
      </c>
      <c r="E2919">
        <f>BASE_EQUIPOS!G2919</f>
        <v/>
      </c>
      <c r="F2919">
        <f>BASE_EQUIPOS!H2919</f>
        <v/>
      </c>
      <c r="G2919">
        <f>BASE_EQUIPOS!M2919</f>
        <v/>
      </c>
      <c r="I2919" t="inlineStr">
        <is>
          <t>E-158/5615055</t>
        </is>
      </c>
    </row>
    <row r="2920">
      <c r="A2920">
        <f>TRIM(BASE_EQUIPOS!N2920)</f>
        <v/>
      </c>
      <c r="B2920">
        <f>BASE_EQUIPOS!A2920</f>
        <v/>
      </c>
      <c r="C2920">
        <f>BASE_EQUIPOS!B2920</f>
        <v/>
      </c>
      <c r="D2920">
        <f>BASE_EQUIPOS!D2920</f>
        <v/>
      </c>
      <c r="E2920">
        <f>BASE_EQUIPOS!G2920</f>
        <v/>
      </c>
      <c r="F2920">
        <f>BASE_EQUIPOS!H2920</f>
        <v/>
      </c>
      <c r="G2920">
        <f>BASE_EQUIPOS!M2920</f>
        <v/>
      </c>
      <c r="I2920" t="inlineStr">
        <is>
          <t>E-156/5615469</t>
        </is>
      </c>
    </row>
    <row r="2921">
      <c r="A2921">
        <f>TRIM(BASE_EQUIPOS!N2921)</f>
        <v/>
      </c>
      <c r="B2921">
        <f>BASE_EQUIPOS!A2921</f>
        <v/>
      </c>
      <c r="C2921">
        <f>BASE_EQUIPOS!B2921</f>
        <v/>
      </c>
      <c r="D2921">
        <f>BASE_EQUIPOS!D2921</f>
        <v/>
      </c>
      <c r="E2921">
        <f>BASE_EQUIPOS!G2921</f>
        <v/>
      </c>
      <c r="F2921">
        <f>BASE_EQUIPOS!H2921</f>
        <v/>
      </c>
      <c r="G2921">
        <f>BASE_EQUIPOS!M2921</f>
        <v/>
      </c>
      <c r="I2921" t="inlineStr">
        <is>
          <t>E-153/5616091</t>
        </is>
      </c>
    </row>
    <row r="2922">
      <c r="A2922">
        <f>TRIM(BASE_EQUIPOS!N2922)</f>
        <v/>
      </c>
      <c r="B2922">
        <f>BASE_EQUIPOS!A2922</f>
        <v/>
      </c>
      <c r="C2922">
        <f>BASE_EQUIPOS!B2922</f>
        <v/>
      </c>
      <c r="D2922">
        <f>BASE_EQUIPOS!D2922</f>
        <v/>
      </c>
      <c r="E2922">
        <f>BASE_EQUIPOS!G2922</f>
        <v/>
      </c>
      <c r="F2922">
        <f>BASE_EQUIPOS!H2922</f>
        <v/>
      </c>
      <c r="G2922">
        <f>BASE_EQUIPOS!M2922</f>
        <v/>
      </c>
      <c r="I2922" t="inlineStr">
        <is>
          <t>E-154/5614998</t>
        </is>
      </c>
    </row>
    <row r="2923">
      <c r="A2923">
        <f>TRIM(BASE_EQUIPOS!N2923)</f>
        <v/>
      </c>
      <c r="B2923">
        <f>BASE_EQUIPOS!A2923</f>
        <v/>
      </c>
      <c r="C2923">
        <f>BASE_EQUIPOS!B2923</f>
        <v/>
      </c>
      <c r="D2923">
        <f>BASE_EQUIPOS!D2923</f>
        <v/>
      </c>
      <c r="E2923">
        <f>BASE_EQUIPOS!G2923</f>
        <v/>
      </c>
      <c r="F2923">
        <f>BASE_EQUIPOS!H2923</f>
        <v/>
      </c>
      <c r="G2923">
        <f>BASE_EQUIPOS!M2923</f>
        <v/>
      </c>
      <c r="I2923" t="inlineStr">
        <is>
          <t>E-161/5615457</t>
        </is>
      </c>
    </row>
    <row r="2924">
      <c r="A2924">
        <f>TRIM(BASE_EQUIPOS!N2924)</f>
        <v/>
      </c>
      <c r="B2924">
        <f>BASE_EQUIPOS!A2924</f>
        <v/>
      </c>
      <c r="C2924">
        <f>BASE_EQUIPOS!B2924</f>
        <v/>
      </c>
      <c r="D2924">
        <f>BASE_EQUIPOS!D2924</f>
        <v/>
      </c>
      <c r="E2924">
        <f>BASE_EQUIPOS!G2924</f>
        <v/>
      </c>
      <c r="F2924">
        <f>BASE_EQUIPOS!H2924</f>
        <v/>
      </c>
      <c r="G2924">
        <f>BASE_EQUIPOS!M2924</f>
        <v/>
      </c>
      <c r="I2924" t="inlineStr">
        <is>
          <t>E-159/5615409</t>
        </is>
      </c>
    </row>
    <row r="2925">
      <c r="A2925">
        <f>TRIM(BASE_EQUIPOS!N2925)</f>
        <v/>
      </c>
      <c r="B2925">
        <f>BASE_EQUIPOS!A2925</f>
        <v/>
      </c>
      <c r="C2925">
        <f>BASE_EQUIPOS!B2925</f>
        <v/>
      </c>
      <c r="D2925">
        <f>BASE_EQUIPOS!D2925</f>
        <v/>
      </c>
      <c r="E2925">
        <f>BASE_EQUIPOS!G2925</f>
        <v/>
      </c>
      <c r="F2925">
        <f>BASE_EQUIPOS!H2925</f>
        <v/>
      </c>
      <c r="G2925">
        <f>BASE_EQUIPOS!M2925</f>
        <v/>
      </c>
      <c r="I2925" t="inlineStr">
        <is>
          <t>E-155/5614488</t>
        </is>
      </c>
    </row>
    <row r="2926">
      <c r="A2926">
        <f>TRIM(BASE_EQUIPOS!N2926)</f>
        <v/>
      </c>
      <c r="B2926">
        <f>BASE_EQUIPOS!A2926</f>
        <v/>
      </c>
      <c r="C2926">
        <f>BASE_EQUIPOS!B2926</f>
        <v/>
      </c>
      <c r="D2926">
        <f>BASE_EQUIPOS!D2926</f>
        <v/>
      </c>
      <c r="E2926">
        <f>BASE_EQUIPOS!G2926</f>
        <v/>
      </c>
      <c r="F2926">
        <f>BASE_EQUIPOS!H2926</f>
        <v/>
      </c>
      <c r="G2926">
        <f>BASE_EQUIPOS!M2926</f>
        <v/>
      </c>
      <c r="I2926" t="inlineStr">
        <is>
          <t>E-160/5615407</t>
        </is>
      </c>
    </row>
    <row r="2927">
      <c r="A2927">
        <f>TRIM(BASE_EQUIPOS!N2927)</f>
        <v/>
      </c>
      <c r="B2927">
        <f>BASE_EQUIPOS!A2927</f>
        <v/>
      </c>
      <c r="C2927">
        <f>BASE_EQUIPOS!B2927</f>
        <v/>
      </c>
      <c r="D2927">
        <f>BASE_EQUIPOS!D2927</f>
        <v/>
      </c>
      <c r="E2927">
        <f>BASE_EQUIPOS!G2927</f>
        <v/>
      </c>
      <c r="F2927">
        <f>BASE_EQUIPOS!H2927</f>
        <v/>
      </c>
      <c r="G2927">
        <f>BASE_EQUIPOS!M2927</f>
        <v/>
      </c>
      <c r="I2927" t="inlineStr">
        <is>
          <t>H-5/419314</t>
        </is>
      </c>
    </row>
    <row r="2928">
      <c r="A2928">
        <f>TRIM(BASE_EQUIPOS!N2928)</f>
        <v/>
      </c>
      <c r="B2928">
        <f>BASE_EQUIPOS!A2928</f>
        <v/>
      </c>
      <c r="C2928">
        <f>BASE_EQUIPOS!B2928</f>
        <v/>
      </c>
      <c r="D2928">
        <f>BASE_EQUIPOS!D2928</f>
        <v/>
      </c>
      <c r="E2928">
        <f>BASE_EQUIPOS!G2928</f>
        <v/>
      </c>
      <c r="F2928">
        <f>BASE_EQUIPOS!H2928</f>
        <v/>
      </c>
      <c r="G2928">
        <f>BASE_EQUIPOS!M2928</f>
        <v/>
      </c>
      <c r="I2928" t="inlineStr">
        <is>
          <t>E-157/5615415</t>
        </is>
      </c>
    </row>
    <row r="2929">
      <c r="A2929">
        <f>TRIM(BASE_EQUIPOS!N2929)</f>
        <v/>
      </c>
      <c r="B2929">
        <f>BASE_EQUIPOS!A2929</f>
        <v/>
      </c>
      <c r="C2929">
        <f>BASE_EQUIPOS!B2929</f>
        <v/>
      </c>
      <c r="D2929">
        <f>BASE_EQUIPOS!D2929</f>
        <v/>
      </c>
      <c r="E2929">
        <f>BASE_EQUIPOS!G2929</f>
        <v/>
      </c>
      <c r="F2929">
        <f>BASE_EQUIPOS!H2929</f>
        <v/>
      </c>
      <c r="G2929">
        <f>BASE_EQUIPOS!M2929</f>
        <v/>
      </c>
      <c r="I2929" t="inlineStr">
        <is>
          <t>297774</t>
        </is>
      </c>
    </row>
    <row r="2930">
      <c r="A2930">
        <f>TRIM(BASE_EQUIPOS!N2930)</f>
        <v/>
      </c>
      <c r="B2930">
        <f>BASE_EQUIPOS!A2930</f>
        <v/>
      </c>
      <c r="C2930">
        <f>BASE_EQUIPOS!B2930</f>
        <v/>
      </c>
      <c r="D2930">
        <f>BASE_EQUIPOS!D2930</f>
        <v/>
      </c>
      <c r="E2930">
        <f>BASE_EQUIPOS!G2930</f>
        <v/>
      </c>
      <c r="F2930">
        <f>BASE_EQUIPOS!H2930</f>
        <v/>
      </c>
      <c r="G2930">
        <f>BASE_EQUIPOS!M2930</f>
        <v/>
      </c>
      <c r="I2930" t="inlineStr">
        <is>
          <t>000039</t>
        </is>
      </c>
    </row>
    <row r="2931">
      <c r="A2931">
        <f>TRIM(BASE_EQUIPOS!N2931)</f>
        <v/>
      </c>
      <c r="B2931">
        <f>BASE_EQUIPOS!A2931</f>
        <v/>
      </c>
      <c r="C2931">
        <f>BASE_EQUIPOS!B2931</f>
        <v/>
      </c>
      <c r="D2931">
        <f>BASE_EQUIPOS!D2931</f>
        <v/>
      </c>
      <c r="E2931">
        <f>BASE_EQUIPOS!G2931</f>
        <v/>
      </c>
      <c r="F2931">
        <f>BASE_EQUIPOS!H2931</f>
        <v/>
      </c>
      <c r="G2931">
        <f>BASE_EQUIPOS!M2931</f>
        <v/>
      </c>
      <c r="I2931" t="inlineStr">
        <is>
          <t>000299</t>
        </is>
      </c>
    </row>
    <row r="2932">
      <c r="A2932">
        <f>TRIM(BASE_EQUIPOS!N2932)</f>
        <v/>
      </c>
      <c r="B2932">
        <f>BASE_EQUIPOS!A2932</f>
        <v/>
      </c>
      <c r="C2932">
        <f>BASE_EQUIPOS!B2932</f>
        <v/>
      </c>
      <c r="D2932">
        <f>BASE_EQUIPOS!D2932</f>
        <v/>
      </c>
      <c r="E2932">
        <f>BASE_EQUIPOS!G2932</f>
        <v/>
      </c>
      <c r="F2932">
        <f>BASE_EQUIPOS!H2932</f>
        <v/>
      </c>
      <c r="G2932">
        <f>BASE_EQUIPOS!M2932</f>
        <v/>
      </c>
      <c r="I2932" t="inlineStr">
        <is>
          <t>01/153208</t>
        </is>
      </c>
    </row>
    <row r="2933">
      <c r="A2933">
        <f>TRIM(BASE_EQUIPOS!N2933)</f>
        <v/>
      </c>
      <c r="B2933">
        <f>BASE_EQUIPOS!A2933</f>
        <v/>
      </c>
      <c r="C2933">
        <f>BASE_EQUIPOS!B2933</f>
        <v/>
      </c>
      <c r="D2933">
        <f>BASE_EQUIPOS!D2933</f>
        <v/>
      </c>
      <c r="E2933">
        <f>BASE_EQUIPOS!G2933</f>
        <v/>
      </c>
      <c r="F2933">
        <f>BASE_EQUIPOS!H2933</f>
        <v/>
      </c>
      <c r="G2933">
        <f>BASE_EQUIPOS!M2933</f>
        <v/>
      </c>
      <c r="I2933" t="inlineStr">
        <is>
          <t>02/S/N</t>
        </is>
      </c>
    </row>
    <row r="2934">
      <c r="A2934">
        <f>TRIM(BASE_EQUIPOS!N2934)</f>
        <v/>
      </c>
      <c r="B2934">
        <f>BASE_EQUIPOS!A2934</f>
        <v/>
      </c>
      <c r="C2934">
        <f>BASE_EQUIPOS!B2934</f>
        <v/>
      </c>
      <c r="D2934">
        <f>BASE_EQUIPOS!D2934</f>
        <v/>
      </c>
      <c r="E2934">
        <f>BASE_EQUIPOS!G2934</f>
        <v/>
      </c>
      <c r="F2934">
        <f>BASE_EQUIPOS!H2934</f>
        <v/>
      </c>
      <c r="G2934">
        <f>BASE_EQUIPOS!M2934</f>
        <v/>
      </c>
      <c r="I2934" t="inlineStr">
        <is>
          <t>01/010936</t>
        </is>
      </c>
    </row>
    <row r="2935">
      <c r="A2935">
        <f>TRIM(BASE_EQUIPOS!N2935)</f>
        <v/>
      </c>
      <c r="B2935">
        <f>BASE_EQUIPOS!A2935</f>
        <v/>
      </c>
      <c r="C2935">
        <f>BASE_EQUIPOS!B2935</f>
        <v/>
      </c>
      <c r="D2935">
        <f>BASE_EQUIPOS!D2935</f>
        <v/>
      </c>
      <c r="E2935">
        <f>BASE_EQUIPOS!G2935</f>
        <v/>
      </c>
      <c r="F2935">
        <f>BASE_EQUIPOS!H2935</f>
        <v/>
      </c>
      <c r="G2935">
        <f>BASE_EQUIPOS!M2935</f>
        <v/>
      </c>
      <c r="I2935" t="inlineStr">
        <is>
          <t>02/001010</t>
        </is>
      </c>
    </row>
    <row r="2936">
      <c r="A2936">
        <f>TRIM(BASE_EQUIPOS!N2936)</f>
        <v/>
      </c>
      <c r="B2936">
        <f>BASE_EQUIPOS!A2936</f>
        <v/>
      </c>
      <c r="C2936">
        <f>BASE_EQUIPOS!B2936</f>
        <v/>
      </c>
      <c r="D2936">
        <f>BASE_EQUIPOS!D2936</f>
        <v/>
      </c>
      <c r="E2936">
        <f>BASE_EQUIPOS!G2936</f>
        <v/>
      </c>
      <c r="F2936">
        <f>BASE_EQUIPOS!H2936</f>
        <v/>
      </c>
      <c r="G2936">
        <f>BASE_EQUIPOS!M2936</f>
        <v/>
      </c>
      <c r="I2936" t="inlineStr">
        <is>
          <t>E-039/000008</t>
        </is>
      </c>
    </row>
    <row r="2937">
      <c r="A2937">
        <f>TRIM(BASE_EQUIPOS!N2937)</f>
        <v/>
      </c>
      <c r="B2937">
        <f>BASE_EQUIPOS!A2937</f>
        <v/>
      </c>
      <c r="C2937">
        <f>BASE_EQUIPOS!B2937</f>
        <v/>
      </c>
      <c r="D2937">
        <f>BASE_EQUIPOS!D2937</f>
        <v/>
      </c>
      <c r="E2937">
        <f>BASE_EQUIPOS!G2937</f>
        <v/>
      </c>
      <c r="F2937">
        <f>BASE_EQUIPOS!H2937</f>
        <v/>
      </c>
      <c r="G2937">
        <f>BASE_EQUIPOS!M2937</f>
        <v/>
      </c>
      <c r="I2937" t="inlineStr">
        <is>
          <t>E-147/000008</t>
        </is>
      </c>
    </row>
    <row r="2938">
      <c r="A2938">
        <f>TRIM(BASE_EQUIPOS!N2938)</f>
        <v/>
      </c>
      <c r="B2938">
        <f>BASE_EQUIPOS!A2938</f>
        <v/>
      </c>
      <c r="C2938">
        <f>BASE_EQUIPOS!B2938</f>
        <v/>
      </c>
      <c r="D2938">
        <f>BASE_EQUIPOS!D2938</f>
        <v/>
      </c>
      <c r="E2938">
        <f>BASE_EQUIPOS!G2938</f>
        <v/>
      </c>
      <c r="F2938">
        <f>BASE_EQUIPOS!H2938</f>
        <v/>
      </c>
      <c r="G2938">
        <f>BASE_EQUIPOS!M2938</f>
        <v/>
      </c>
      <c r="I2938" t="inlineStr">
        <is>
          <t>E-080/000694</t>
        </is>
      </c>
    </row>
    <row r="2939">
      <c r="A2939">
        <f>TRIM(BASE_EQUIPOS!N2939)</f>
        <v/>
      </c>
      <c r="B2939">
        <f>BASE_EQUIPOS!A2939</f>
        <v/>
      </c>
      <c r="C2939">
        <f>BASE_EQUIPOS!B2939</f>
        <v/>
      </c>
      <c r="D2939">
        <f>BASE_EQUIPOS!D2939</f>
        <v/>
      </c>
      <c r="E2939">
        <f>BASE_EQUIPOS!G2939</f>
        <v/>
      </c>
      <c r="F2939">
        <f>BASE_EQUIPOS!H2939</f>
        <v/>
      </c>
      <c r="G2939">
        <f>BASE_EQUIPOS!M2939</f>
        <v/>
      </c>
      <c r="I2939" t="inlineStr">
        <is>
          <t>E-083/S/N</t>
        </is>
      </c>
    </row>
    <row r="2940">
      <c r="A2940">
        <f>TRIM(BASE_EQUIPOS!N2940)</f>
        <v/>
      </c>
      <c r="B2940">
        <f>BASE_EQUIPOS!A2940</f>
        <v/>
      </c>
      <c r="C2940">
        <f>BASE_EQUIPOS!B2940</f>
        <v/>
      </c>
      <c r="D2940">
        <f>BASE_EQUIPOS!D2940</f>
        <v/>
      </c>
      <c r="E2940">
        <f>BASE_EQUIPOS!G2940</f>
        <v/>
      </c>
      <c r="F2940">
        <f>BASE_EQUIPOS!H2940</f>
        <v/>
      </c>
      <c r="G2940">
        <f>BASE_EQUIPOS!M2940</f>
        <v/>
      </c>
      <c r="I2940" t="inlineStr">
        <is>
          <t>E-050/AA-387245</t>
        </is>
      </c>
    </row>
    <row r="2941">
      <c r="A2941">
        <f>TRIM(BASE_EQUIPOS!N2941)</f>
        <v/>
      </c>
      <c r="B2941">
        <f>BASE_EQUIPOS!A2941</f>
        <v/>
      </c>
      <c r="C2941">
        <f>BASE_EQUIPOS!B2941</f>
        <v/>
      </c>
      <c r="D2941">
        <f>BASE_EQUIPOS!D2941</f>
        <v/>
      </c>
      <c r="E2941">
        <f>BASE_EQUIPOS!G2941</f>
        <v/>
      </c>
      <c r="F2941">
        <f>BASE_EQUIPOS!H2941</f>
        <v/>
      </c>
      <c r="G2941">
        <f>BASE_EQUIPOS!M2941</f>
        <v/>
      </c>
      <c r="I2941" t="inlineStr">
        <is>
          <t>E-044/003501</t>
        </is>
      </c>
    </row>
    <row r="2942">
      <c r="A2942">
        <f>TRIM(BASE_EQUIPOS!N2942)</f>
        <v/>
      </c>
      <c r="B2942">
        <f>BASE_EQUIPOS!A2942</f>
        <v/>
      </c>
      <c r="C2942">
        <f>BASE_EQUIPOS!B2942</f>
        <v/>
      </c>
      <c r="D2942">
        <f>BASE_EQUIPOS!D2942</f>
        <v/>
      </c>
      <c r="E2942">
        <f>BASE_EQUIPOS!G2942</f>
        <v/>
      </c>
      <c r="F2942">
        <f>BASE_EQUIPOS!H2942</f>
        <v/>
      </c>
      <c r="G2942">
        <f>BASE_EQUIPOS!M2942</f>
        <v/>
      </c>
      <c r="I2942" t="inlineStr">
        <is>
          <t>001070</t>
        </is>
      </c>
    </row>
    <row r="2943">
      <c r="A2943">
        <f>TRIM(BASE_EQUIPOS!N2943)</f>
        <v/>
      </c>
      <c r="B2943">
        <f>BASE_EQUIPOS!A2943</f>
        <v/>
      </c>
      <c r="C2943">
        <f>BASE_EQUIPOS!B2943</f>
        <v/>
      </c>
      <c r="D2943">
        <f>BASE_EQUIPOS!D2943</f>
        <v/>
      </c>
      <c r="E2943">
        <f>BASE_EQUIPOS!G2943</f>
        <v/>
      </c>
      <c r="F2943">
        <f>BASE_EQUIPOS!H2943</f>
        <v/>
      </c>
      <c r="G2943">
        <f>BASE_EQUIPOS!M2943</f>
        <v/>
      </c>
      <c r="I2943" t="inlineStr">
        <is>
          <t>01/33080979</t>
        </is>
      </c>
    </row>
    <row r="2944">
      <c r="A2944">
        <f>TRIM(BASE_EQUIPOS!N2944)</f>
        <v/>
      </c>
      <c r="B2944">
        <f>BASE_EQUIPOS!A2944</f>
        <v/>
      </c>
      <c r="C2944">
        <f>BASE_EQUIPOS!B2944</f>
        <v/>
      </c>
      <c r="D2944">
        <f>BASE_EQUIPOS!D2944</f>
        <v/>
      </c>
      <c r="E2944">
        <f>BASE_EQUIPOS!G2944</f>
        <v/>
      </c>
      <c r="F2944">
        <f>BASE_EQUIPOS!H2944</f>
        <v/>
      </c>
      <c r="G2944">
        <f>BASE_EQUIPOS!M2944</f>
        <v/>
      </c>
      <c r="I2944" t="inlineStr">
        <is>
          <t>02/33850975</t>
        </is>
      </c>
    </row>
    <row r="2945">
      <c r="A2945">
        <f>TRIM(BASE_EQUIPOS!N2945)</f>
        <v/>
      </c>
      <c r="B2945">
        <f>BASE_EQUIPOS!A2945</f>
        <v/>
      </c>
      <c r="C2945">
        <f>BASE_EQUIPOS!B2945</f>
        <v/>
      </c>
      <c r="D2945">
        <f>BASE_EQUIPOS!D2945</f>
        <v/>
      </c>
      <c r="E2945">
        <f>BASE_EQUIPOS!G2945</f>
        <v/>
      </c>
      <c r="F2945">
        <f>BASE_EQUIPOS!H2945</f>
        <v/>
      </c>
      <c r="G2945">
        <f>BASE_EQUIPOS!M2945</f>
        <v/>
      </c>
      <c r="I2945" t="inlineStr">
        <is>
          <t>03/31051460</t>
        </is>
      </c>
    </row>
    <row r="2946">
      <c r="A2946">
        <f>TRIM(BASE_EQUIPOS!N2946)</f>
        <v/>
      </c>
      <c r="B2946">
        <f>BASE_EQUIPOS!A2946</f>
        <v/>
      </c>
      <c r="C2946">
        <f>BASE_EQUIPOS!B2946</f>
        <v/>
      </c>
      <c r="D2946">
        <f>BASE_EQUIPOS!D2946</f>
        <v/>
      </c>
      <c r="E2946">
        <f>BASE_EQUIPOS!G2946</f>
        <v/>
      </c>
      <c r="F2946">
        <f>BASE_EQUIPOS!H2946</f>
        <v/>
      </c>
      <c r="G2946">
        <f>BASE_EQUIPOS!M2946</f>
        <v/>
      </c>
      <c r="I2946" t="inlineStr">
        <is>
          <t>04/31051451</t>
        </is>
      </c>
    </row>
    <row r="2947">
      <c r="A2947">
        <f>TRIM(BASE_EQUIPOS!N2947)</f>
        <v/>
      </c>
      <c r="B2947">
        <f>BASE_EQUIPOS!A2947</f>
        <v/>
      </c>
      <c r="C2947">
        <f>BASE_EQUIPOS!B2947</f>
        <v/>
      </c>
      <c r="D2947">
        <f>BASE_EQUIPOS!D2947</f>
        <v/>
      </c>
      <c r="E2947">
        <f>BASE_EQUIPOS!G2947</f>
        <v/>
      </c>
      <c r="F2947">
        <f>BASE_EQUIPOS!H2947</f>
        <v/>
      </c>
      <c r="G2947">
        <f>BASE_EQUIPOS!M2947</f>
        <v/>
      </c>
      <c r="I2947" t="inlineStr">
        <is>
          <t>05/33850962</t>
        </is>
      </c>
    </row>
    <row r="2948">
      <c r="A2948">
        <f>TRIM(BASE_EQUIPOS!N2948)</f>
        <v/>
      </c>
      <c r="B2948">
        <f>BASE_EQUIPOS!A2948</f>
        <v/>
      </c>
      <c r="C2948">
        <f>BASE_EQUIPOS!B2948</f>
        <v/>
      </c>
      <c r="D2948">
        <f>BASE_EQUIPOS!D2948</f>
        <v/>
      </c>
      <c r="E2948">
        <f>BASE_EQUIPOS!G2948</f>
        <v/>
      </c>
      <c r="F2948">
        <f>BASE_EQUIPOS!H2948</f>
        <v/>
      </c>
      <c r="G2948">
        <f>BASE_EQUIPOS!M2948</f>
        <v/>
      </c>
      <c r="I2948" t="inlineStr">
        <is>
          <t>06/31051455</t>
        </is>
      </c>
    </row>
    <row r="2949">
      <c r="A2949">
        <f>TRIM(BASE_EQUIPOS!N2949)</f>
        <v/>
      </c>
      <c r="B2949">
        <f>BASE_EQUIPOS!A2949</f>
        <v/>
      </c>
      <c r="C2949">
        <f>BASE_EQUIPOS!B2949</f>
        <v/>
      </c>
      <c r="D2949">
        <f>BASE_EQUIPOS!D2949</f>
        <v/>
      </c>
      <c r="E2949">
        <f>BASE_EQUIPOS!G2949</f>
        <v/>
      </c>
      <c r="F2949">
        <f>BASE_EQUIPOS!H2949</f>
        <v/>
      </c>
      <c r="G2949">
        <f>BASE_EQUIPOS!M2949</f>
        <v/>
      </c>
      <c r="I2949" t="inlineStr">
        <is>
          <t>32/001288</t>
        </is>
      </c>
    </row>
    <row r="2950">
      <c r="A2950">
        <f>TRIM(BASE_EQUIPOS!N2950)</f>
        <v/>
      </c>
      <c r="B2950">
        <f>BASE_EQUIPOS!A2950</f>
        <v/>
      </c>
      <c r="C2950">
        <f>BASE_EQUIPOS!B2950</f>
        <v/>
      </c>
      <c r="D2950">
        <f>BASE_EQUIPOS!D2950</f>
        <v/>
      </c>
      <c r="E2950">
        <f>BASE_EQUIPOS!G2950</f>
        <v/>
      </c>
      <c r="F2950">
        <f>BASE_EQUIPOS!H2950</f>
        <v/>
      </c>
      <c r="G2950">
        <f>BASE_EQUIPOS!M2950</f>
        <v/>
      </c>
      <c r="I2950" t="inlineStr">
        <is>
          <t>306/001425</t>
        </is>
      </c>
    </row>
    <row r="2951">
      <c r="A2951">
        <f>TRIM(BASE_EQUIPOS!N2951)</f>
        <v/>
      </c>
      <c r="B2951">
        <f>BASE_EQUIPOS!A2951</f>
        <v/>
      </c>
      <c r="C2951">
        <f>BASE_EQUIPOS!B2951</f>
        <v/>
      </c>
      <c r="D2951">
        <f>BASE_EQUIPOS!D2951</f>
        <v/>
      </c>
      <c r="E2951">
        <f>BASE_EQUIPOS!G2951</f>
        <v/>
      </c>
      <c r="F2951">
        <f>BASE_EQUIPOS!H2951</f>
        <v/>
      </c>
      <c r="G2951">
        <f>BASE_EQUIPOS!M2951</f>
        <v/>
      </c>
      <c r="I2951" t="inlineStr">
        <is>
          <t>31/001337</t>
        </is>
      </c>
    </row>
    <row r="2952">
      <c r="A2952">
        <f>TRIM(BASE_EQUIPOS!N2952)</f>
        <v/>
      </c>
      <c r="B2952">
        <f>BASE_EQUIPOS!A2952</f>
        <v/>
      </c>
      <c r="C2952">
        <f>BASE_EQUIPOS!B2952</f>
        <v/>
      </c>
      <c r="D2952">
        <f>BASE_EQUIPOS!D2952</f>
        <v/>
      </c>
      <c r="E2952">
        <f>BASE_EQUIPOS!G2952</f>
        <v/>
      </c>
      <c r="F2952">
        <f>BASE_EQUIPOS!H2952</f>
        <v/>
      </c>
      <c r="G2952">
        <f>BASE_EQUIPOS!M2952</f>
        <v/>
      </c>
      <c r="I2952" t="inlineStr">
        <is>
          <t>315/004016</t>
        </is>
      </c>
    </row>
    <row r="2953">
      <c r="A2953">
        <f>TRIM(BASE_EQUIPOS!N2953)</f>
        <v/>
      </c>
      <c r="B2953">
        <f>BASE_EQUIPOS!A2953</f>
        <v/>
      </c>
      <c r="C2953">
        <f>BASE_EQUIPOS!B2953</f>
        <v/>
      </c>
      <c r="D2953">
        <f>BASE_EQUIPOS!D2953</f>
        <v/>
      </c>
      <c r="E2953">
        <f>BASE_EQUIPOS!G2953</f>
        <v/>
      </c>
      <c r="F2953">
        <f>BASE_EQUIPOS!H2953</f>
        <v/>
      </c>
      <c r="G2953">
        <f>BASE_EQUIPOS!M2953</f>
        <v/>
      </c>
      <c r="I2953" t="inlineStr">
        <is>
          <t>316/001015</t>
        </is>
      </c>
    </row>
    <row r="2954">
      <c r="A2954">
        <f>TRIM(BASE_EQUIPOS!N2954)</f>
        <v/>
      </c>
      <c r="B2954">
        <f>BASE_EQUIPOS!A2954</f>
        <v/>
      </c>
      <c r="C2954">
        <f>BASE_EQUIPOS!B2954</f>
        <v/>
      </c>
      <c r="D2954">
        <f>BASE_EQUIPOS!D2954</f>
        <v/>
      </c>
      <c r="E2954">
        <f>BASE_EQUIPOS!G2954</f>
        <v/>
      </c>
      <c r="F2954">
        <f>BASE_EQUIPOS!H2954</f>
        <v/>
      </c>
      <c r="G2954">
        <f>BASE_EQUIPOS!M2954</f>
        <v/>
      </c>
      <c r="I2954" t="inlineStr">
        <is>
          <t>51/000065</t>
        </is>
      </c>
    </row>
    <row r="2955">
      <c r="A2955">
        <f>TRIM(BASE_EQUIPOS!N2955)</f>
        <v/>
      </c>
      <c r="B2955">
        <f>BASE_EQUIPOS!A2955</f>
        <v/>
      </c>
      <c r="C2955">
        <f>BASE_EQUIPOS!B2955</f>
        <v/>
      </c>
      <c r="D2955">
        <f>BASE_EQUIPOS!D2955</f>
        <v/>
      </c>
      <c r="E2955">
        <f>BASE_EQUIPOS!G2955</f>
        <v/>
      </c>
      <c r="F2955">
        <f>BASE_EQUIPOS!H2955</f>
        <v/>
      </c>
      <c r="G2955">
        <f>BASE_EQUIPOS!M2955</f>
        <v/>
      </c>
      <c r="I2955" t="inlineStr">
        <is>
          <t>326/000584</t>
        </is>
      </c>
    </row>
    <row r="2956">
      <c r="A2956">
        <f>TRIM(BASE_EQUIPOS!N2956)</f>
        <v/>
      </c>
      <c r="B2956">
        <f>BASE_EQUIPOS!A2956</f>
        <v/>
      </c>
      <c r="C2956">
        <f>BASE_EQUIPOS!B2956</f>
        <v/>
      </c>
      <c r="D2956">
        <f>BASE_EQUIPOS!D2956</f>
        <v/>
      </c>
      <c r="E2956">
        <f>BASE_EQUIPOS!G2956</f>
        <v/>
      </c>
      <c r="F2956">
        <f>BASE_EQUIPOS!H2956</f>
        <v/>
      </c>
      <c r="G2956">
        <f>BASE_EQUIPOS!M2956</f>
        <v/>
      </c>
      <c r="I2956" t="inlineStr">
        <is>
          <t>07/264704</t>
        </is>
      </c>
    </row>
    <row r="2957">
      <c r="A2957">
        <f>TRIM(BASE_EQUIPOS!N2957)</f>
        <v/>
      </c>
      <c r="B2957">
        <f>BASE_EQUIPOS!A2957</f>
        <v/>
      </c>
      <c r="C2957">
        <f>BASE_EQUIPOS!B2957</f>
        <v/>
      </c>
      <c r="D2957">
        <f>BASE_EQUIPOS!D2957</f>
        <v/>
      </c>
      <c r="E2957">
        <f>BASE_EQUIPOS!G2957</f>
        <v/>
      </c>
      <c r="F2957">
        <f>BASE_EQUIPOS!H2957</f>
        <v/>
      </c>
      <c r="G2957">
        <f>BASE_EQUIPOS!M2957</f>
        <v/>
      </c>
      <c r="I2957" t="inlineStr">
        <is>
          <t>08/264713</t>
        </is>
      </c>
    </row>
    <row r="2958">
      <c r="A2958">
        <f>TRIM(BASE_EQUIPOS!N2958)</f>
        <v/>
      </c>
      <c r="B2958">
        <f>BASE_EQUIPOS!A2958</f>
        <v/>
      </c>
      <c r="C2958">
        <f>BASE_EQUIPOS!B2958</f>
        <v/>
      </c>
      <c r="D2958">
        <f>BASE_EQUIPOS!D2958</f>
        <v/>
      </c>
      <c r="E2958">
        <f>BASE_EQUIPOS!G2958</f>
        <v/>
      </c>
      <c r="F2958">
        <f>BASE_EQUIPOS!H2958</f>
        <v/>
      </c>
      <c r="G2958">
        <f>BASE_EQUIPOS!M2958</f>
        <v/>
      </c>
      <c r="I2958" t="inlineStr">
        <is>
          <t>09/264705</t>
        </is>
      </c>
    </row>
    <row r="2959">
      <c r="A2959">
        <f>TRIM(BASE_EQUIPOS!N2959)</f>
        <v/>
      </c>
      <c r="B2959">
        <f>BASE_EQUIPOS!A2959</f>
        <v/>
      </c>
      <c r="C2959">
        <f>BASE_EQUIPOS!B2959</f>
        <v/>
      </c>
      <c r="D2959">
        <f>BASE_EQUIPOS!D2959</f>
        <v/>
      </c>
      <c r="E2959">
        <f>BASE_EQUIPOS!G2959</f>
        <v/>
      </c>
      <c r="F2959">
        <f>BASE_EQUIPOS!H2959</f>
        <v/>
      </c>
      <c r="G2959">
        <f>BASE_EQUIPOS!M2959</f>
        <v/>
      </c>
      <c r="I2959" t="inlineStr">
        <is>
          <t>10/264709</t>
        </is>
      </c>
    </row>
    <row r="2960">
      <c r="A2960">
        <f>TRIM(BASE_EQUIPOS!N2960)</f>
        <v/>
      </c>
      <c r="B2960">
        <f>BASE_EQUIPOS!A2960</f>
        <v/>
      </c>
      <c r="C2960">
        <f>BASE_EQUIPOS!B2960</f>
        <v/>
      </c>
      <c r="D2960">
        <f>BASE_EQUIPOS!D2960</f>
        <v/>
      </c>
      <c r="E2960">
        <f>BASE_EQUIPOS!G2960</f>
        <v/>
      </c>
      <c r="F2960">
        <f>BASE_EQUIPOS!H2960</f>
        <v/>
      </c>
      <c r="G2960">
        <f>BASE_EQUIPOS!M2960</f>
        <v/>
      </c>
      <c r="I2960" t="inlineStr">
        <is>
          <t>11/264707</t>
        </is>
      </c>
    </row>
    <row r="2961">
      <c r="A2961">
        <f>TRIM(BASE_EQUIPOS!N2961)</f>
        <v/>
      </c>
      <c r="B2961">
        <f>BASE_EQUIPOS!A2961</f>
        <v/>
      </c>
      <c r="C2961">
        <f>BASE_EQUIPOS!B2961</f>
        <v/>
      </c>
      <c r="D2961">
        <f>BASE_EQUIPOS!D2961</f>
        <v/>
      </c>
      <c r="E2961">
        <f>BASE_EQUIPOS!G2961</f>
        <v/>
      </c>
      <c r="F2961">
        <f>BASE_EQUIPOS!H2961</f>
        <v/>
      </c>
      <c r="G2961">
        <f>BASE_EQUIPOS!M2961</f>
        <v/>
      </c>
      <c r="I2961" t="inlineStr">
        <is>
          <t>S/N/000474</t>
        </is>
      </c>
    </row>
    <row r="2962">
      <c r="A2962">
        <f>TRIM(BASE_EQUIPOS!N2962)</f>
        <v/>
      </c>
      <c r="B2962">
        <f>BASE_EQUIPOS!A2962</f>
        <v/>
      </c>
      <c r="C2962">
        <f>BASE_EQUIPOS!B2962</f>
        <v/>
      </c>
      <c r="D2962">
        <f>BASE_EQUIPOS!D2962</f>
        <v/>
      </c>
      <c r="E2962">
        <f>BASE_EQUIPOS!G2962</f>
        <v/>
      </c>
      <c r="F2962">
        <f>BASE_EQUIPOS!H2962</f>
        <v/>
      </c>
      <c r="G2962">
        <f>BASE_EQUIPOS!M2962</f>
        <v/>
      </c>
      <c r="I2962" t="inlineStr">
        <is>
          <t>002128</t>
        </is>
      </c>
    </row>
    <row r="2963">
      <c r="A2963">
        <f>TRIM(BASE_EQUIPOS!N2963)</f>
        <v/>
      </c>
      <c r="B2963">
        <f>BASE_EQUIPOS!A2963</f>
        <v/>
      </c>
      <c r="C2963">
        <f>BASE_EQUIPOS!B2963</f>
        <v/>
      </c>
      <c r="D2963">
        <f>BASE_EQUIPOS!D2963</f>
        <v/>
      </c>
      <c r="E2963">
        <f>BASE_EQUIPOS!G2963</f>
        <v/>
      </c>
      <c r="F2963">
        <f>BASE_EQUIPOS!H2963</f>
        <v/>
      </c>
      <c r="G2963">
        <f>BASE_EQUIPOS!M2963</f>
        <v/>
      </c>
      <c r="I2963" t="inlineStr">
        <is>
          <t>001417</t>
        </is>
      </c>
    </row>
    <row r="2964">
      <c r="A2964">
        <f>TRIM(BASE_EQUIPOS!N2964)</f>
        <v/>
      </c>
      <c r="B2964">
        <f>BASE_EQUIPOS!A2964</f>
        <v/>
      </c>
      <c r="C2964">
        <f>BASE_EQUIPOS!B2964</f>
        <v/>
      </c>
      <c r="D2964">
        <f>BASE_EQUIPOS!D2964</f>
        <v/>
      </c>
      <c r="E2964">
        <f>BASE_EQUIPOS!G2964</f>
        <v/>
      </c>
      <c r="F2964">
        <f>BASE_EQUIPOS!H2964</f>
        <v/>
      </c>
      <c r="G2964">
        <f>BASE_EQUIPOS!M2964</f>
        <v/>
      </c>
      <c r="I2964" t="inlineStr">
        <is>
          <t>26/000015</t>
        </is>
      </c>
    </row>
    <row r="2965">
      <c r="A2965">
        <f>TRIM(BASE_EQUIPOS!N2965)</f>
        <v/>
      </c>
      <c r="B2965">
        <f>BASE_EQUIPOS!A2965</f>
        <v/>
      </c>
      <c r="C2965">
        <f>BASE_EQUIPOS!B2965</f>
        <v/>
      </c>
      <c r="D2965">
        <f>BASE_EQUIPOS!D2965</f>
        <v/>
      </c>
      <c r="E2965">
        <f>BASE_EQUIPOS!G2965</f>
        <v/>
      </c>
      <c r="F2965">
        <f>BASE_EQUIPOS!H2965</f>
        <v/>
      </c>
      <c r="G2965">
        <f>BASE_EQUIPOS!M2965</f>
        <v/>
      </c>
      <c r="I2965" t="inlineStr">
        <is>
          <t>27/004875</t>
        </is>
      </c>
    </row>
    <row r="2966">
      <c r="A2966">
        <f>TRIM(BASE_EQUIPOS!N2966)</f>
        <v/>
      </c>
      <c r="B2966">
        <f>BASE_EQUIPOS!A2966</f>
        <v/>
      </c>
      <c r="C2966">
        <f>BASE_EQUIPOS!B2966</f>
        <v/>
      </c>
      <c r="D2966">
        <f>BASE_EQUIPOS!D2966</f>
        <v/>
      </c>
      <c r="E2966">
        <f>BASE_EQUIPOS!G2966</f>
        <v/>
      </c>
      <c r="F2966">
        <f>BASE_EQUIPOS!H2966</f>
        <v/>
      </c>
      <c r="G2966">
        <f>BASE_EQUIPOS!M2966</f>
        <v/>
      </c>
      <c r="I2966" t="inlineStr">
        <is>
          <t>28/000220</t>
        </is>
      </c>
    </row>
    <row r="2967">
      <c r="A2967">
        <f>TRIM(BASE_EQUIPOS!N2967)</f>
        <v/>
      </c>
      <c r="B2967">
        <f>BASE_EQUIPOS!A2967</f>
        <v/>
      </c>
      <c r="C2967">
        <f>BASE_EQUIPOS!B2967</f>
        <v/>
      </c>
      <c r="D2967">
        <f>BASE_EQUIPOS!D2967</f>
        <v/>
      </c>
      <c r="E2967">
        <f>BASE_EQUIPOS!G2967</f>
        <v/>
      </c>
      <c r="F2967">
        <f>BASE_EQUIPOS!H2967</f>
        <v/>
      </c>
      <c r="G2967">
        <f>BASE_EQUIPOS!M2967</f>
        <v/>
      </c>
      <c r="I2967" t="inlineStr">
        <is>
          <t>29/000147</t>
        </is>
      </c>
    </row>
    <row r="2968">
      <c r="A2968">
        <f>TRIM(BASE_EQUIPOS!N2968)</f>
        <v/>
      </c>
      <c r="B2968">
        <f>BASE_EQUIPOS!A2968</f>
        <v/>
      </c>
      <c r="C2968">
        <f>BASE_EQUIPOS!B2968</f>
        <v/>
      </c>
      <c r="D2968">
        <f>BASE_EQUIPOS!D2968</f>
        <v/>
      </c>
      <c r="E2968">
        <f>BASE_EQUIPOS!G2968</f>
        <v/>
      </c>
      <c r="F2968">
        <f>BASE_EQUIPOS!H2968</f>
        <v/>
      </c>
      <c r="G2968">
        <f>BASE_EQUIPOS!M2968</f>
        <v/>
      </c>
      <c r="I2968" t="inlineStr">
        <is>
          <t>07/009923</t>
        </is>
      </c>
    </row>
    <row r="2969">
      <c r="A2969">
        <f>TRIM(BASE_EQUIPOS!N2969)</f>
        <v/>
      </c>
      <c r="B2969">
        <f>BASE_EQUIPOS!A2969</f>
        <v/>
      </c>
      <c r="C2969">
        <f>BASE_EQUIPOS!B2969</f>
        <v/>
      </c>
      <c r="D2969">
        <f>BASE_EQUIPOS!D2969</f>
        <v/>
      </c>
      <c r="E2969">
        <f>BASE_EQUIPOS!G2969</f>
        <v/>
      </c>
      <c r="F2969">
        <f>BASE_EQUIPOS!H2969</f>
        <v/>
      </c>
      <c r="G2969">
        <f>BASE_EQUIPOS!M2969</f>
        <v/>
      </c>
      <c r="I2969" t="inlineStr">
        <is>
          <t>221/001544</t>
        </is>
      </c>
    </row>
    <row r="2970">
      <c r="A2970">
        <f>TRIM(BASE_EQUIPOS!N2970)</f>
        <v/>
      </c>
      <c r="B2970">
        <f>BASE_EQUIPOS!A2970</f>
        <v/>
      </c>
      <c r="C2970">
        <f>BASE_EQUIPOS!B2970</f>
        <v/>
      </c>
      <c r="D2970">
        <f>BASE_EQUIPOS!D2970</f>
        <v/>
      </c>
      <c r="E2970">
        <f>BASE_EQUIPOS!G2970</f>
        <v/>
      </c>
      <c r="F2970">
        <f>BASE_EQUIPOS!H2970</f>
        <v/>
      </c>
      <c r="G2970">
        <f>BASE_EQUIPOS!M2970</f>
        <v/>
      </c>
      <c r="I2970" t="inlineStr">
        <is>
          <t>326/000483</t>
        </is>
      </c>
    </row>
    <row r="2971">
      <c r="A2971">
        <f>TRIM(BASE_EQUIPOS!N2971)</f>
        <v/>
      </c>
      <c r="B2971">
        <f>BASE_EQUIPOS!A2971</f>
        <v/>
      </c>
      <c r="C2971">
        <f>BASE_EQUIPOS!B2971</f>
        <v/>
      </c>
      <c r="D2971">
        <f>BASE_EQUIPOS!D2971</f>
        <v/>
      </c>
      <c r="E2971">
        <f>BASE_EQUIPOS!G2971</f>
        <v/>
      </c>
      <c r="F2971">
        <f>BASE_EQUIPOS!H2971</f>
        <v/>
      </c>
      <c r="G2971">
        <f>BASE_EQUIPOS!M2971</f>
        <v/>
      </c>
      <c r="I2971" t="inlineStr">
        <is>
          <t>212/ 003073</t>
        </is>
      </c>
    </row>
    <row r="2972">
      <c r="A2972">
        <f>TRIM(BASE_EQUIPOS!N2972)</f>
        <v/>
      </c>
      <c r="B2972">
        <f>BASE_EQUIPOS!A2972</f>
        <v/>
      </c>
      <c r="C2972">
        <f>BASE_EQUIPOS!B2972</f>
        <v/>
      </c>
      <c r="D2972">
        <f>BASE_EQUIPOS!D2972</f>
        <v/>
      </c>
      <c r="E2972">
        <f>BASE_EQUIPOS!G2972</f>
        <v/>
      </c>
      <c r="F2972">
        <f>BASE_EQUIPOS!H2972</f>
        <v/>
      </c>
      <c r="G2972">
        <f>BASE_EQUIPOS!M2972</f>
        <v/>
      </c>
      <c r="I2972" t="inlineStr">
        <is>
          <t>329/003884</t>
        </is>
      </c>
    </row>
    <row r="2973">
      <c r="A2973">
        <f>TRIM(BASE_EQUIPOS!N2973)</f>
        <v/>
      </c>
      <c r="B2973">
        <f>BASE_EQUIPOS!A2973</f>
        <v/>
      </c>
      <c r="C2973">
        <f>BASE_EQUIPOS!B2973</f>
        <v/>
      </c>
      <c r="D2973">
        <f>BASE_EQUIPOS!D2973</f>
        <v/>
      </c>
      <c r="E2973">
        <f>BASE_EQUIPOS!G2973</f>
        <v/>
      </c>
      <c r="F2973">
        <f>BASE_EQUIPOS!H2973</f>
        <v/>
      </c>
      <c r="G2973">
        <f>BASE_EQUIPOS!M2973</f>
        <v/>
      </c>
      <c r="I2973" t="inlineStr">
        <is>
          <t>340/000005</t>
        </is>
      </c>
    </row>
    <row r="2974">
      <c r="A2974">
        <f>TRIM(BASE_EQUIPOS!N2974)</f>
        <v/>
      </c>
      <c r="B2974">
        <f>BASE_EQUIPOS!A2974</f>
        <v/>
      </c>
      <c r="C2974">
        <f>BASE_EQUIPOS!B2974</f>
        <v/>
      </c>
      <c r="D2974">
        <f>BASE_EQUIPOS!D2974</f>
        <v/>
      </c>
      <c r="E2974">
        <f>BASE_EQUIPOS!G2974</f>
        <v/>
      </c>
      <c r="F2974">
        <f>BASE_EQUIPOS!H2974</f>
        <v/>
      </c>
      <c r="G2974">
        <f>BASE_EQUIPOS!M2974</f>
        <v/>
      </c>
      <c r="I2974" t="inlineStr">
        <is>
          <t>349/000006</t>
        </is>
      </c>
    </row>
    <row r="2975">
      <c r="A2975">
        <f>TRIM(BASE_EQUIPOS!N2975)</f>
        <v/>
      </c>
      <c r="B2975">
        <f>BASE_EQUIPOS!A2975</f>
        <v/>
      </c>
      <c r="C2975">
        <f>BASE_EQUIPOS!B2975</f>
        <v/>
      </c>
      <c r="D2975">
        <f>BASE_EQUIPOS!D2975</f>
        <v/>
      </c>
      <c r="E2975">
        <f>BASE_EQUIPOS!G2975</f>
        <v/>
      </c>
      <c r="F2975">
        <f>BASE_EQUIPOS!H2975</f>
        <v/>
      </c>
      <c r="G2975">
        <f>BASE_EQUIPOS!M2975</f>
        <v/>
      </c>
      <c r="I2975" t="inlineStr">
        <is>
          <t>399/000553</t>
        </is>
      </c>
    </row>
    <row r="2976">
      <c r="A2976">
        <f>TRIM(BASE_EQUIPOS!N2976)</f>
        <v/>
      </c>
      <c r="B2976">
        <f>BASE_EQUIPOS!A2976</f>
        <v/>
      </c>
      <c r="C2976">
        <f>BASE_EQUIPOS!B2976</f>
        <v/>
      </c>
      <c r="D2976">
        <f>BASE_EQUIPOS!D2976</f>
        <v/>
      </c>
      <c r="E2976">
        <f>BASE_EQUIPOS!G2976</f>
        <v/>
      </c>
      <c r="F2976">
        <f>BASE_EQUIPOS!H2976</f>
        <v/>
      </c>
      <c r="G2976">
        <f>BASE_EQUIPOS!M2976</f>
        <v/>
      </c>
      <c r="I2976" t="inlineStr">
        <is>
          <t>146/002987</t>
        </is>
      </c>
    </row>
    <row r="2977">
      <c r="A2977">
        <f>TRIM(BASE_EQUIPOS!N2977)</f>
        <v/>
      </c>
      <c r="B2977">
        <f>BASE_EQUIPOS!A2977</f>
        <v/>
      </c>
      <c r="C2977">
        <f>BASE_EQUIPOS!B2977</f>
        <v/>
      </c>
      <c r="D2977">
        <f>BASE_EQUIPOS!D2977</f>
        <v/>
      </c>
      <c r="E2977">
        <f>BASE_EQUIPOS!G2977</f>
        <v/>
      </c>
      <c r="F2977">
        <f>BASE_EQUIPOS!H2977</f>
        <v/>
      </c>
      <c r="G2977">
        <f>BASE_EQUIPOS!M2977</f>
        <v/>
      </c>
      <c r="I2977" t="inlineStr">
        <is>
          <t>351/001638</t>
        </is>
      </c>
    </row>
    <row r="2978">
      <c r="A2978">
        <f>TRIM(BASE_EQUIPOS!N2978)</f>
        <v/>
      </c>
      <c r="B2978">
        <f>BASE_EQUIPOS!A2978</f>
        <v/>
      </c>
      <c r="C2978">
        <f>BASE_EQUIPOS!B2978</f>
        <v/>
      </c>
      <c r="D2978">
        <f>BASE_EQUIPOS!D2978</f>
        <v/>
      </c>
      <c r="E2978">
        <f>BASE_EQUIPOS!G2978</f>
        <v/>
      </c>
      <c r="F2978">
        <f>BASE_EQUIPOS!H2978</f>
        <v/>
      </c>
      <c r="G2978">
        <f>BASE_EQUIPOS!M2978</f>
        <v/>
      </c>
      <c r="I2978" t="inlineStr">
        <is>
          <t>E-033/000519</t>
        </is>
      </c>
    </row>
    <row r="2979">
      <c r="A2979">
        <f>TRIM(BASE_EQUIPOS!N2979)</f>
        <v/>
      </c>
      <c r="B2979">
        <f>BASE_EQUIPOS!A2979</f>
        <v/>
      </c>
      <c r="C2979">
        <f>BASE_EQUIPOS!B2979</f>
        <v/>
      </c>
      <c r="D2979">
        <f>BASE_EQUIPOS!D2979</f>
        <v/>
      </c>
      <c r="E2979">
        <f>BASE_EQUIPOS!G2979</f>
        <v/>
      </c>
      <c r="F2979">
        <f>BASE_EQUIPOS!H2979</f>
        <v/>
      </c>
      <c r="G2979">
        <f>BASE_EQUIPOS!M2979</f>
        <v/>
      </c>
      <c r="I2979" t="inlineStr">
        <is>
          <t>E-082/005808</t>
        </is>
      </c>
    </row>
    <row r="2980">
      <c r="A2980">
        <f>TRIM(BASE_EQUIPOS!N2980)</f>
        <v/>
      </c>
      <c r="B2980">
        <f>BASE_EQUIPOS!A2980</f>
        <v/>
      </c>
      <c r="C2980">
        <f>BASE_EQUIPOS!B2980</f>
        <v/>
      </c>
      <c r="D2980">
        <f>BASE_EQUIPOS!D2980</f>
        <v/>
      </c>
      <c r="E2980">
        <f>BASE_EQUIPOS!G2980</f>
        <v/>
      </c>
      <c r="F2980">
        <f>BASE_EQUIPOS!H2980</f>
        <v/>
      </c>
      <c r="G2980">
        <f>BASE_EQUIPOS!M2980</f>
        <v/>
      </c>
      <c r="I2980" t="inlineStr">
        <is>
          <t>E-038/003787</t>
        </is>
      </c>
    </row>
    <row r="2981">
      <c r="A2981">
        <f>TRIM(BASE_EQUIPOS!N2981)</f>
        <v/>
      </c>
      <c r="B2981">
        <f>BASE_EQUIPOS!A2981</f>
        <v/>
      </c>
      <c r="C2981">
        <f>BASE_EQUIPOS!B2981</f>
        <v/>
      </c>
      <c r="D2981">
        <f>BASE_EQUIPOS!D2981</f>
        <v/>
      </c>
      <c r="E2981">
        <f>BASE_EQUIPOS!G2981</f>
        <v/>
      </c>
      <c r="F2981">
        <f>BASE_EQUIPOS!H2981</f>
        <v/>
      </c>
      <c r="G2981">
        <f>BASE_EQUIPOS!M2981</f>
        <v/>
      </c>
      <c r="I2981" t="inlineStr">
        <is>
          <t>E-401/000467</t>
        </is>
      </c>
    </row>
    <row r="2982">
      <c r="A2982">
        <f>TRIM(BASE_EQUIPOS!N2982)</f>
        <v/>
      </c>
      <c r="B2982">
        <f>BASE_EQUIPOS!A2982</f>
        <v/>
      </c>
      <c r="C2982">
        <f>BASE_EQUIPOS!B2982</f>
        <v/>
      </c>
      <c r="D2982">
        <f>BASE_EQUIPOS!D2982</f>
        <v/>
      </c>
      <c r="E2982">
        <f>BASE_EQUIPOS!G2982</f>
        <v/>
      </c>
      <c r="F2982">
        <f>BASE_EQUIPOS!H2982</f>
        <v/>
      </c>
      <c r="G2982">
        <f>BASE_EQUIPOS!M2982</f>
        <v/>
      </c>
      <c r="I2982" t="inlineStr">
        <is>
          <t>E-103/587469</t>
        </is>
      </c>
    </row>
    <row r="2983">
      <c r="A2983">
        <f>TRIM(BASE_EQUIPOS!N2983)</f>
        <v/>
      </c>
      <c r="B2983">
        <f>BASE_EQUIPOS!A2983</f>
        <v/>
      </c>
      <c r="C2983">
        <f>BASE_EQUIPOS!B2983</f>
        <v/>
      </c>
      <c r="D2983">
        <f>BASE_EQUIPOS!D2983</f>
        <v/>
      </c>
      <c r="E2983">
        <f>BASE_EQUIPOS!G2983</f>
        <v/>
      </c>
      <c r="F2983">
        <f>BASE_EQUIPOS!H2983</f>
        <v/>
      </c>
      <c r="G2983">
        <f>BASE_EQUIPOS!M2983</f>
        <v/>
      </c>
      <c r="I2983" t="inlineStr">
        <is>
          <t>E-168/000252</t>
        </is>
      </c>
    </row>
    <row r="2984">
      <c r="A2984">
        <f>TRIM(BASE_EQUIPOS!N2984)</f>
        <v/>
      </c>
      <c r="B2984">
        <f>BASE_EQUIPOS!A2984</f>
        <v/>
      </c>
      <c r="C2984">
        <f>BASE_EQUIPOS!B2984</f>
        <v/>
      </c>
      <c r="D2984">
        <f>BASE_EQUIPOS!D2984</f>
        <v/>
      </c>
      <c r="E2984">
        <f>BASE_EQUIPOS!G2984</f>
        <v/>
      </c>
      <c r="F2984">
        <f>BASE_EQUIPOS!H2984</f>
        <v/>
      </c>
      <c r="G2984">
        <f>BASE_EQUIPOS!M2984</f>
        <v/>
      </c>
      <c r="I2984" t="inlineStr">
        <is>
          <t>E-087/H91207364</t>
        </is>
      </c>
    </row>
    <row r="2985">
      <c r="A2985">
        <f>TRIM(BASE_EQUIPOS!N2985)</f>
        <v/>
      </c>
      <c r="B2985">
        <f>BASE_EQUIPOS!A2985</f>
        <v/>
      </c>
      <c r="C2985">
        <f>BASE_EQUIPOS!B2985</f>
        <v/>
      </c>
      <c r="D2985">
        <f>BASE_EQUIPOS!D2985</f>
        <v/>
      </c>
      <c r="E2985">
        <f>BASE_EQUIPOS!G2985</f>
        <v/>
      </c>
      <c r="F2985">
        <f>BASE_EQUIPOS!H2985</f>
        <v/>
      </c>
      <c r="G2985">
        <f>BASE_EQUIPOS!M2985</f>
        <v/>
      </c>
      <c r="I2985" t="inlineStr">
        <is>
          <t>E-084/I-67036992</t>
        </is>
      </c>
    </row>
    <row r="2986">
      <c r="A2986">
        <f>TRIM(BASE_EQUIPOS!N2986)</f>
        <v/>
      </c>
      <c r="B2986">
        <f>BASE_EQUIPOS!A2986</f>
        <v/>
      </c>
      <c r="C2986">
        <f>BASE_EQUIPOS!B2986</f>
        <v/>
      </c>
      <c r="D2986">
        <f>BASE_EQUIPOS!D2986</f>
        <v/>
      </c>
      <c r="E2986">
        <f>BASE_EQUIPOS!G2986</f>
        <v/>
      </c>
      <c r="F2986">
        <f>BASE_EQUIPOS!H2986</f>
        <v/>
      </c>
      <c r="G2986">
        <f>BASE_EQUIPOS!M2986</f>
        <v/>
      </c>
      <c r="I2986" t="inlineStr">
        <is>
          <t>01/003130</t>
        </is>
      </c>
    </row>
    <row r="2987">
      <c r="A2987">
        <f>TRIM(BASE_EQUIPOS!N2987)</f>
        <v/>
      </c>
      <c r="B2987">
        <f>BASE_EQUIPOS!A2987</f>
        <v/>
      </c>
      <c r="C2987">
        <f>BASE_EQUIPOS!B2987</f>
        <v/>
      </c>
      <c r="D2987">
        <f>BASE_EQUIPOS!D2987</f>
        <v/>
      </c>
      <c r="E2987">
        <f>BASE_EQUIPOS!G2987</f>
        <v/>
      </c>
      <c r="F2987">
        <f>BASE_EQUIPOS!H2987</f>
        <v/>
      </c>
      <c r="G2987">
        <f>BASE_EQUIPOS!M2987</f>
        <v/>
      </c>
      <c r="I2987" t="inlineStr">
        <is>
          <t>02/000696</t>
        </is>
      </c>
    </row>
    <row r="2988">
      <c r="A2988">
        <f>TRIM(BASE_EQUIPOS!N2988)</f>
        <v/>
      </c>
      <c r="B2988">
        <f>BASE_EQUIPOS!A2988</f>
        <v/>
      </c>
      <c r="C2988">
        <f>BASE_EQUIPOS!B2988</f>
        <v/>
      </c>
      <c r="D2988">
        <f>BASE_EQUIPOS!D2988</f>
        <v/>
      </c>
      <c r="E2988">
        <f>BASE_EQUIPOS!G2988</f>
        <v/>
      </c>
      <c r="F2988">
        <f>BASE_EQUIPOS!H2988</f>
        <v/>
      </c>
      <c r="G2988">
        <f>BASE_EQUIPOS!M2988</f>
        <v/>
      </c>
      <c r="I2988" t="inlineStr">
        <is>
          <t>04/000121</t>
        </is>
      </c>
    </row>
    <row r="2989">
      <c r="A2989">
        <f>TRIM(BASE_EQUIPOS!N2989)</f>
        <v/>
      </c>
      <c r="B2989">
        <f>BASE_EQUIPOS!A2989</f>
        <v/>
      </c>
      <c r="C2989">
        <f>BASE_EQUIPOS!B2989</f>
        <v/>
      </c>
      <c r="D2989">
        <f>BASE_EQUIPOS!D2989</f>
        <v/>
      </c>
      <c r="E2989">
        <f>BASE_EQUIPOS!G2989</f>
        <v/>
      </c>
      <c r="F2989">
        <f>BASE_EQUIPOS!H2989</f>
        <v/>
      </c>
      <c r="G2989">
        <f>BASE_EQUIPOS!M2989</f>
        <v/>
      </c>
      <c r="I2989" t="inlineStr">
        <is>
          <t>05/003376</t>
        </is>
      </c>
    </row>
    <row r="2990">
      <c r="A2990">
        <f>TRIM(BASE_EQUIPOS!N2990)</f>
        <v/>
      </c>
      <c r="B2990">
        <f>BASE_EQUIPOS!A2990</f>
        <v/>
      </c>
      <c r="C2990">
        <f>BASE_EQUIPOS!B2990</f>
        <v/>
      </c>
      <c r="D2990">
        <f>BASE_EQUIPOS!D2990</f>
        <v/>
      </c>
      <c r="E2990">
        <f>BASE_EQUIPOS!G2990</f>
        <v/>
      </c>
      <c r="F2990">
        <f>BASE_EQUIPOS!H2990</f>
        <v/>
      </c>
      <c r="G2990">
        <f>BASE_EQUIPOS!M2990</f>
        <v/>
      </c>
      <c r="I2990" t="inlineStr">
        <is>
          <t>06/006972</t>
        </is>
      </c>
    </row>
    <row r="2991">
      <c r="A2991">
        <f>TRIM(BASE_EQUIPOS!N2991)</f>
        <v/>
      </c>
      <c r="B2991">
        <f>BASE_EQUIPOS!A2991</f>
        <v/>
      </c>
      <c r="C2991">
        <f>BASE_EQUIPOS!B2991</f>
        <v/>
      </c>
      <c r="D2991">
        <f>BASE_EQUIPOS!D2991</f>
        <v/>
      </c>
      <c r="E2991">
        <f>BASE_EQUIPOS!G2991</f>
        <v/>
      </c>
      <c r="F2991">
        <f>BASE_EQUIPOS!H2991</f>
        <v/>
      </c>
      <c r="G2991">
        <f>BASE_EQUIPOS!M2991</f>
        <v/>
      </c>
      <c r="I2991" t="inlineStr">
        <is>
          <t>07/000817</t>
        </is>
      </c>
    </row>
    <row r="2992">
      <c r="A2992">
        <f>TRIM(BASE_EQUIPOS!N2992)</f>
        <v/>
      </c>
      <c r="B2992">
        <f>BASE_EQUIPOS!A2992</f>
        <v/>
      </c>
      <c r="C2992">
        <f>BASE_EQUIPOS!B2992</f>
        <v/>
      </c>
      <c r="D2992">
        <f>BASE_EQUIPOS!D2992</f>
        <v/>
      </c>
      <c r="E2992">
        <f>BASE_EQUIPOS!G2992</f>
        <v/>
      </c>
      <c r="F2992">
        <f>BASE_EQUIPOS!H2992</f>
        <v/>
      </c>
      <c r="G2992">
        <f>BASE_EQUIPOS!M2992</f>
        <v/>
      </c>
      <c r="I2992" t="inlineStr">
        <is>
          <t>08/001466</t>
        </is>
      </c>
    </row>
    <row r="2993">
      <c r="A2993">
        <f>TRIM(BASE_EQUIPOS!N2993)</f>
        <v/>
      </c>
      <c r="B2993">
        <f>BASE_EQUIPOS!A2993</f>
        <v/>
      </c>
      <c r="C2993">
        <f>BASE_EQUIPOS!B2993</f>
        <v/>
      </c>
      <c r="D2993">
        <f>BASE_EQUIPOS!D2993</f>
        <v/>
      </c>
      <c r="E2993">
        <f>BASE_EQUIPOS!G2993</f>
        <v/>
      </c>
      <c r="F2993">
        <f>BASE_EQUIPOS!H2993</f>
        <v/>
      </c>
      <c r="G2993">
        <f>BASE_EQUIPOS!M2993</f>
        <v/>
      </c>
      <c r="I2993" t="inlineStr">
        <is>
          <t>09/002708</t>
        </is>
      </c>
    </row>
    <row r="2994">
      <c r="A2994">
        <f>TRIM(BASE_EQUIPOS!N2994)</f>
        <v/>
      </c>
      <c r="B2994">
        <f>BASE_EQUIPOS!A2994</f>
        <v/>
      </c>
      <c r="C2994">
        <f>BASE_EQUIPOS!B2994</f>
        <v/>
      </c>
      <c r="D2994">
        <f>BASE_EQUIPOS!D2994</f>
        <v/>
      </c>
      <c r="E2994">
        <f>BASE_EQUIPOS!G2994</f>
        <v/>
      </c>
      <c r="F2994">
        <f>BASE_EQUIPOS!H2994</f>
        <v/>
      </c>
      <c r="G2994">
        <f>BASE_EQUIPOS!M2994</f>
        <v/>
      </c>
      <c r="I2994" t="inlineStr">
        <is>
          <t>10/000101</t>
        </is>
      </c>
    </row>
    <row r="2995">
      <c r="A2995">
        <f>TRIM(BASE_EQUIPOS!N2995)</f>
        <v/>
      </c>
      <c r="B2995">
        <f>BASE_EQUIPOS!A2995</f>
        <v/>
      </c>
      <c r="C2995">
        <f>BASE_EQUIPOS!B2995</f>
        <v/>
      </c>
      <c r="D2995">
        <f>BASE_EQUIPOS!D2995</f>
        <v/>
      </c>
      <c r="E2995">
        <f>BASE_EQUIPOS!G2995</f>
        <v/>
      </c>
      <c r="F2995">
        <f>BASE_EQUIPOS!H2995</f>
        <v/>
      </c>
      <c r="G2995">
        <f>BASE_EQUIPOS!M2995</f>
        <v/>
      </c>
      <c r="I2995" t="inlineStr">
        <is>
          <t>11/034980</t>
        </is>
      </c>
    </row>
    <row r="2996">
      <c r="A2996">
        <f>TRIM(BASE_EQUIPOS!N2996)</f>
        <v/>
      </c>
      <c r="B2996">
        <f>BASE_EQUIPOS!A2996</f>
        <v/>
      </c>
      <c r="C2996">
        <f>BASE_EQUIPOS!B2996</f>
        <v/>
      </c>
      <c r="D2996">
        <f>BASE_EQUIPOS!D2996</f>
        <v/>
      </c>
      <c r="E2996">
        <f>BASE_EQUIPOS!G2996</f>
        <v/>
      </c>
      <c r="F2996">
        <f>BASE_EQUIPOS!H2996</f>
        <v/>
      </c>
      <c r="G2996">
        <f>BASE_EQUIPOS!M2996</f>
        <v/>
      </c>
      <c r="I2996" t="inlineStr">
        <is>
          <t>12/000830</t>
        </is>
      </c>
    </row>
    <row r="2997">
      <c r="A2997">
        <f>TRIM(BASE_EQUIPOS!N2997)</f>
        <v/>
      </c>
      <c r="B2997">
        <f>BASE_EQUIPOS!A2997</f>
        <v/>
      </c>
      <c r="C2997">
        <f>BASE_EQUIPOS!B2997</f>
        <v/>
      </c>
      <c r="D2997">
        <f>BASE_EQUIPOS!D2997</f>
        <v/>
      </c>
      <c r="E2997">
        <f>BASE_EQUIPOS!G2997</f>
        <v/>
      </c>
      <c r="F2997">
        <f>BASE_EQUIPOS!H2997</f>
        <v/>
      </c>
      <c r="G2997">
        <f>BASE_EQUIPOS!M2997</f>
        <v/>
      </c>
      <c r="I2997" t="inlineStr">
        <is>
          <t>13/000370</t>
        </is>
      </c>
    </row>
    <row r="2998">
      <c r="A2998">
        <f>TRIM(BASE_EQUIPOS!N2998)</f>
        <v/>
      </c>
      <c r="B2998">
        <f>BASE_EQUIPOS!A2998</f>
        <v/>
      </c>
      <c r="C2998">
        <f>BASE_EQUIPOS!B2998</f>
        <v/>
      </c>
      <c r="D2998">
        <f>BASE_EQUIPOS!D2998</f>
        <v/>
      </c>
      <c r="E2998">
        <f>BASE_EQUIPOS!G2998</f>
        <v/>
      </c>
      <c r="F2998">
        <f>BASE_EQUIPOS!H2998</f>
        <v/>
      </c>
      <c r="G2998">
        <f>BASE_EQUIPOS!M2998</f>
        <v/>
      </c>
      <c r="I2998" t="inlineStr">
        <is>
          <t>14/000132</t>
        </is>
      </c>
    </row>
    <row r="2999">
      <c r="A2999">
        <f>TRIM(BASE_EQUIPOS!N2999)</f>
        <v/>
      </c>
      <c r="B2999">
        <f>BASE_EQUIPOS!A2999</f>
        <v/>
      </c>
      <c r="C2999">
        <f>BASE_EQUIPOS!B2999</f>
        <v/>
      </c>
      <c r="D2999">
        <f>BASE_EQUIPOS!D2999</f>
        <v/>
      </c>
      <c r="E2999">
        <f>BASE_EQUIPOS!G2999</f>
        <v/>
      </c>
      <c r="F2999">
        <f>BASE_EQUIPOS!H2999</f>
        <v/>
      </c>
      <c r="G2999">
        <f>BASE_EQUIPOS!M2999</f>
        <v/>
      </c>
      <c r="I2999" t="inlineStr">
        <is>
          <t>15/002164</t>
        </is>
      </c>
    </row>
    <row r="3000">
      <c r="A3000">
        <f>TRIM(BASE_EQUIPOS!N3000)</f>
        <v/>
      </c>
      <c r="B3000">
        <f>BASE_EQUIPOS!A3000</f>
        <v/>
      </c>
      <c r="C3000">
        <f>BASE_EQUIPOS!B3000</f>
        <v/>
      </c>
      <c r="D3000">
        <f>BASE_EQUIPOS!D3000</f>
        <v/>
      </c>
      <c r="E3000">
        <f>BASE_EQUIPOS!G3000</f>
        <v/>
      </c>
      <c r="F3000">
        <f>BASE_EQUIPOS!H3000</f>
        <v/>
      </c>
      <c r="G3000">
        <f>BASE_EQUIPOS!M3000</f>
        <v/>
      </c>
      <c r="I3000" t="inlineStr">
        <is>
          <t>16/000173</t>
        </is>
      </c>
    </row>
    <row r="3001">
      <c r="A3001">
        <f>TRIM(BASE_EQUIPOS!N3001)</f>
        <v/>
      </c>
      <c r="B3001">
        <f>BASE_EQUIPOS!A3001</f>
        <v/>
      </c>
      <c r="C3001">
        <f>BASE_EQUIPOS!B3001</f>
        <v/>
      </c>
      <c r="D3001">
        <f>BASE_EQUIPOS!D3001</f>
        <v/>
      </c>
      <c r="E3001">
        <f>BASE_EQUIPOS!G3001</f>
        <v/>
      </c>
      <c r="F3001">
        <f>BASE_EQUIPOS!H3001</f>
        <v/>
      </c>
      <c r="G3001">
        <f>BASE_EQUIPOS!M3001</f>
        <v/>
      </c>
      <c r="I3001" t="inlineStr">
        <is>
          <t>17/355166</t>
        </is>
      </c>
    </row>
    <row r="3002">
      <c r="A3002">
        <f>TRIM(BASE_EQUIPOS!N3002)</f>
        <v/>
      </c>
      <c r="B3002">
        <f>BASE_EQUIPOS!A3002</f>
        <v/>
      </c>
      <c r="C3002">
        <f>BASE_EQUIPOS!B3002</f>
        <v/>
      </c>
      <c r="D3002">
        <f>BASE_EQUIPOS!D3002</f>
        <v/>
      </c>
      <c r="E3002">
        <f>BASE_EQUIPOS!G3002</f>
        <v/>
      </c>
      <c r="F3002">
        <f>BASE_EQUIPOS!H3002</f>
        <v/>
      </c>
      <c r="G3002">
        <f>BASE_EQUIPOS!M3002</f>
        <v/>
      </c>
      <c r="I3002" t="inlineStr">
        <is>
          <t>18/000102</t>
        </is>
      </c>
    </row>
    <row r="3003">
      <c r="A3003">
        <f>TRIM(BASE_EQUIPOS!N3003)</f>
        <v/>
      </c>
      <c r="B3003">
        <f>BASE_EQUIPOS!A3003</f>
        <v/>
      </c>
      <c r="C3003">
        <f>BASE_EQUIPOS!B3003</f>
        <v/>
      </c>
      <c r="D3003">
        <f>BASE_EQUIPOS!D3003</f>
        <v/>
      </c>
      <c r="E3003">
        <f>BASE_EQUIPOS!G3003</f>
        <v/>
      </c>
      <c r="F3003">
        <f>BASE_EQUIPOS!H3003</f>
        <v/>
      </c>
      <c r="G3003">
        <f>BASE_EQUIPOS!M3003</f>
        <v/>
      </c>
      <c r="I3003" t="inlineStr">
        <is>
          <t>03/000169</t>
        </is>
      </c>
    </row>
    <row r="3004">
      <c r="A3004">
        <f>TRIM(BASE_EQUIPOS!N3004)</f>
        <v/>
      </c>
      <c r="B3004">
        <f>BASE_EQUIPOS!A3004</f>
        <v/>
      </c>
      <c r="C3004">
        <f>BASE_EQUIPOS!B3004</f>
        <v/>
      </c>
      <c r="D3004">
        <f>BASE_EQUIPOS!D3004</f>
        <v/>
      </c>
      <c r="E3004">
        <f>BASE_EQUIPOS!G3004</f>
        <v/>
      </c>
      <c r="F3004">
        <f>BASE_EQUIPOS!H3004</f>
        <v/>
      </c>
      <c r="G3004">
        <f>BASE_EQUIPOS!M3004</f>
        <v/>
      </c>
      <c r="I3004" t="inlineStr">
        <is>
          <t>04/000350</t>
        </is>
      </c>
    </row>
    <row r="3005">
      <c r="A3005">
        <f>TRIM(BASE_EQUIPOS!N3005)</f>
        <v/>
      </c>
      <c r="B3005">
        <f>BASE_EQUIPOS!A3005</f>
        <v/>
      </c>
      <c r="C3005">
        <f>BASE_EQUIPOS!B3005</f>
        <v/>
      </c>
      <c r="D3005">
        <f>BASE_EQUIPOS!D3005</f>
        <v/>
      </c>
      <c r="E3005">
        <f>BASE_EQUIPOS!G3005</f>
        <v/>
      </c>
      <c r="F3005">
        <f>BASE_EQUIPOS!H3005</f>
        <v/>
      </c>
      <c r="G3005">
        <f>BASE_EQUIPOS!M3005</f>
        <v/>
      </c>
      <c r="I3005" t="inlineStr">
        <is>
          <t>05/000008</t>
        </is>
      </c>
    </row>
    <row r="3006">
      <c r="A3006">
        <f>TRIM(BASE_EQUIPOS!N3006)</f>
        <v/>
      </c>
      <c r="B3006">
        <f>BASE_EQUIPOS!A3006</f>
        <v/>
      </c>
      <c r="C3006">
        <f>BASE_EQUIPOS!B3006</f>
        <v/>
      </c>
      <c r="D3006">
        <f>BASE_EQUIPOS!D3006</f>
        <v/>
      </c>
      <c r="E3006">
        <f>BASE_EQUIPOS!G3006</f>
        <v/>
      </c>
      <c r="F3006">
        <f>BASE_EQUIPOS!H3006</f>
        <v/>
      </c>
      <c r="G3006">
        <f>BASE_EQUIPOS!M3006</f>
        <v/>
      </c>
      <c r="I3006" t="inlineStr">
        <is>
          <t>07/000074</t>
        </is>
      </c>
    </row>
    <row r="3007">
      <c r="A3007">
        <f>TRIM(BASE_EQUIPOS!N3007)</f>
        <v/>
      </c>
      <c r="B3007">
        <f>BASE_EQUIPOS!A3007</f>
        <v/>
      </c>
      <c r="C3007">
        <f>BASE_EQUIPOS!B3007</f>
        <v/>
      </c>
      <c r="D3007">
        <f>BASE_EQUIPOS!D3007</f>
        <v/>
      </c>
      <c r="E3007">
        <f>BASE_EQUIPOS!G3007</f>
        <v/>
      </c>
      <c r="F3007">
        <f>BASE_EQUIPOS!H3007</f>
        <v/>
      </c>
      <c r="G3007">
        <f>BASE_EQUIPOS!M3007</f>
        <v/>
      </c>
      <c r="I3007" t="inlineStr">
        <is>
          <t>08/000100</t>
        </is>
      </c>
    </row>
    <row r="3008">
      <c r="A3008">
        <f>TRIM(BASE_EQUIPOS!N3008)</f>
        <v/>
      </c>
      <c r="B3008">
        <f>BASE_EQUIPOS!A3008</f>
        <v/>
      </c>
      <c r="C3008">
        <f>BASE_EQUIPOS!B3008</f>
        <v/>
      </c>
      <c r="D3008">
        <f>BASE_EQUIPOS!D3008</f>
        <v/>
      </c>
      <c r="E3008">
        <f>BASE_EQUIPOS!G3008</f>
        <v/>
      </c>
      <c r="F3008">
        <f>BASE_EQUIPOS!H3008</f>
        <v/>
      </c>
      <c r="G3008">
        <f>BASE_EQUIPOS!M3008</f>
        <v/>
      </c>
      <c r="I3008" t="inlineStr">
        <is>
          <t>09/000065</t>
        </is>
      </c>
    </row>
    <row r="3009">
      <c r="A3009">
        <f>TRIM(BASE_EQUIPOS!N3009)</f>
        <v/>
      </c>
      <c r="B3009">
        <f>BASE_EQUIPOS!A3009</f>
        <v/>
      </c>
      <c r="C3009">
        <f>BASE_EQUIPOS!B3009</f>
        <v/>
      </c>
      <c r="D3009">
        <f>BASE_EQUIPOS!D3009</f>
        <v/>
      </c>
      <c r="E3009">
        <f>BASE_EQUIPOS!G3009</f>
        <v/>
      </c>
      <c r="F3009">
        <f>BASE_EQUIPOS!H3009</f>
        <v/>
      </c>
      <c r="G3009">
        <f>BASE_EQUIPOS!M3009</f>
        <v/>
      </c>
      <c r="I3009" t="inlineStr">
        <is>
          <t>10/000510</t>
        </is>
      </c>
    </row>
    <row r="3010">
      <c r="A3010">
        <f>TRIM(BASE_EQUIPOS!N3010)</f>
        <v/>
      </c>
      <c r="B3010">
        <f>BASE_EQUIPOS!A3010</f>
        <v/>
      </c>
      <c r="C3010">
        <f>BASE_EQUIPOS!B3010</f>
        <v/>
      </c>
      <c r="D3010">
        <f>BASE_EQUIPOS!D3010</f>
        <v/>
      </c>
      <c r="E3010">
        <f>BASE_EQUIPOS!G3010</f>
        <v/>
      </c>
      <c r="F3010">
        <f>BASE_EQUIPOS!H3010</f>
        <v/>
      </c>
      <c r="G3010">
        <f>BASE_EQUIPOS!M3010</f>
        <v/>
      </c>
      <c r="I3010" t="inlineStr">
        <is>
          <t>11/000180</t>
        </is>
      </c>
    </row>
    <row r="3011">
      <c r="A3011">
        <f>TRIM(BASE_EQUIPOS!N3011)</f>
        <v/>
      </c>
      <c r="B3011">
        <f>BASE_EQUIPOS!A3011</f>
        <v/>
      </c>
      <c r="C3011">
        <f>BASE_EQUIPOS!B3011</f>
        <v/>
      </c>
      <c r="D3011">
        <f>BASE_EQUIPOS!D3011</f>
        <v/>
      </c>
      <c r="E3011">
        <f>BASE_EQUIPOS!G3011</f>
        <v/>
      </c>
      <c r="F3011">
        <f>BASE_EQUIPOS!H3011</f>
        <v/>
      </c>
      <c r="G3011">
        <f>BASE_EQUIPOS!M3011</f>
        <v/>
      </c>
      <c r="I3011" t="inlineStr">
        <is>
          <t>12/000090</t>
        </is>
      </c>
    </row>
    <row r="3012">
      <c r="A3012">
        <f>TRIM(BASE_EQUIPOS!N3012)</f>
        <v/>
      </c>
      <c r="B3012">
        <f>BASE_EQUIPOS!A3012</f>
        <v/>
      </c>
      <c r="C3012">
        <f>BASE_EQUIPOS!B3012</f>
        <v/>
      </c>
      <c r="D3012">
        <f>BASE_EQUIPOS!D3012</f>
        <v/>
      </c>
      <c r="E3012">
        <f>BASE_EQUIPOS!G3012</f>
        <v/>
      </c>
      <c r="F3012">
        <f>BASE_EQUIPOS!H3012</f>
        <v/>
      </c>
      <c r="G3012">
        <f>BASE_EQUIPOS!M3012</f>
        <v/>
      </c>
      <c r="I3012" t="inlineStr">
        <is>
          <t>13/000160</t>
        </is>
      </c>
    </row>
    <row r="3013">
      <c r="A3013">
        <f>TRIM(BASE_EQUIPOS!N3013)</f>
        <v/>
      </c>
      <c r="B3013">
        <f>BASE_EQUIPOS!A3013</f>
        <v/>
      </c>
      <c r="C3013">
        <f>BASE_EQUIPOS!B3013</f>
        <v/>
      </c>
      <c r="D3013">
        <f>BASE_EQUIPOS!D3013</f>
        <v/>
      </c>
      <c r="E3013">
        <f>BASE_EQUIPOS!G3013</f>
        <v/>
      </c>
      <c r="F3013">
        <f>BASE_EQUIPOS!H3013</f>
        <v/>
      </c>
      <c r="G3013">
        <f>BASE_EQUIPOS!M3013</f>
        <v/>
      </c>
      <c r="I3013" t="inlineStr">
        <is>
          <t>14/000246</t>
        </is>
      </c>
    </row>
    <row r="3014">
      <c r="A3014">
        <f>TRIM(BASE_EQUIPOS!N3014)</f>
        <v/>
      </c>
      <c r="B3014">
        <f>BASE_EQUIPOS!A3014</f>
        <v/>
      </c>
      <c r="C3014">
        <f>BASE_EQUIPOS!B3014</f>
        <v/>
      </c>
      <c r="D3014">
        <f>BASE_EQUIPOS!D3014</f>
        <v/>
      </c>
      <c r="E3014">
        <f>BASE_EQUIPOS!G3014</f>
        <v/>
      </c>
      <c r="F3014">
        <f>BASE_EQUIPOS!H3014</f>
        <v/>
      </c>
      <c r="G3014">
        <f>BASE_EQUIPOS!M3014</f>
        <v/>
      </c>
      <c r="I3014" t="inlineStr">
        <is>
          <t>01/002604</t>
        </is>
      </c>
    </row>
    <row r="3015">
      <c r="A3015">
        <f>TRIM(BASE_EQUIPOS!N3015)</f>
        <v/>
      </c>
      <c r="B3015">
        <f>BASE_EQUIPOS!A3015</f>
        <v/>
      </c>
      <c r="C3015">
        <f>BASE_EQUIPOS!B3015</f>
        <v/>
      </c>
      <c r="D3015">
        <f>BASE_EQUIPOS!D3015</f>
        <v/>
      </c>
      <c r="E3015">
        <f>BASE_EQUIPOS!G3015</f>
        <v/>
      </c>
      <c r="F3015">
        <f>BASE_EQUIPOS!H3015</f>
        <v/>
      </c>
      <c r="G3015">
        <f>BASE_EQUIPOS!M3015</f>
        <v/>
      </c>
      <c r="I3015" t="inlineStr">
        <is>
          <t>02/004760</t>
        </is>
      </c>
    </row>
    <row r="3016">
      <c r="A3016">
        <f>TRIM(BASE_EQUIPOS!N3016)</f>
        <v/>
      </c>
      <c r="B3016">
        <f>BASE_EQUIPOS!A3016</f>
        <v/>
      </c>
      <c r="C3016">
        <f>BASE_EQUIPOS!B3016</f>
        <v/>
      </c>
      <c r="D3016">
        <f>BASE_EQUIPOS!D3016</f>
        <v/>
      </c>
      <c r="E3016">
        <f>BASE_EQUIPOS!G3016</f>
        <v/>
      </c>
      <c r="F3016">
        <f>BASE_EQUIPOS!H3016</f>
        <v/>
      </c>
      <c r="G3016">
        <f>BASE_EQUIPOS!M3016</f>
        <v/>
      </c>
      <c r="I3016" t="inlineStr">
        <is>
          <t>03/006797</t>
        </is>
      </c>
    </row>
    <row r="3017">
      <c r="A3017">
        <f>TRIM(BASE_EQUIPOS!N3017)</f>
        <v/>
      </c>
      <c r="B3017">
        <f>BASE_EQUIPOS!A3017</f>
        <v/>
      </c>
      <c r="C3017">
        <f>BASE_EQUIPOS!B3017</f>
        <v/>
      </c>
      <c r="D3017">
        <f>BASE_EQUIPOS!D3017</f>
        <v/>
      </c>
      <c r="E3017">
        <f>BASE_EQUIPOS!G3017</f>
        <v/>
      </c>
      <c r="F3017">
        <f>BASE_EQUIPOS!H3017</f>
        <v/>
      </c>
      <c r="G3017">
        <f>BASE_EQUIPOS!M3017</f>
        <v/>
      </c>
      <c r="I3017" t="inlineStr">
        <is>
          <t>04/005823</t>
        </is>
      </c>
    </row>
    <row r="3018">
      <c r="A3018">
        <f>TRIM(BASE_EQUIPOS!N3018)</f>
        <v/>
      </c>
      <c r="B3018">
        <f>BASE_EQUIPOS!A3018</f>
        <v/>
      </c>
      <c r="C3018">
        <f>BASE_EQUIPOS!B3018</f>
        <v/>
      </c>
      <c r="D3018">
        <f>BASE_EQUIPOS!D3018</f>
        <v/>
      </c>
      <c r="E3018">
        <f>BASE_EQUIPOS!G3018</f>
        <v/>
      </c>
      <c r="F3018">
        <f>BASE_EQUIPOS!H3018</f>
        <v/>
      </c>
      <c r="G3018">
        <f>BASE_EQUIPOS!M3018</f>
        <v/>
      </c>
      <c r="I3018" t="inlineStr">
        <is>
          <t>05/000579</t>
        </is>
      </c>
    </row>
    <row r="3019">
      <c r="A3019">
        <f>TRIM(BASE_EQUIPOS!N3019)</f>
        <v/>
      </c>
      <c r="B3019">
        <f>BASE_EQUIPOS!A3019</f>
        <v/>
      </c>
      <c r="C3019">
        <f>BASE_EQUIPOS!B3019</f>
        <v/>
      </c>
      <c r="D3019">
        <f>BASE_EQUIPOS!D3019</f>
        <v/>
      </c>
      <c r="E3019">
        <f>BASE_EQUIPOS!G3019</f>
        <v/>
      </c>
      <c r="F3019">
        <f>BASE_EQUIPOS!H3019</f>
        <v/>
      </c>
      <c r="G3019">
        <f>BASE_EQUIPOS!M3019</f>
        <v/>
      </c>
      <c r="I3019" t="inlineStr">
        <is>
          <t>06/000050</t>
        </is>
      </c>
    </row>
    <row r="3020">
      <c r="A3020">
        <f>TRIM(BASE_EQUIPOS!N3020)</f>
        <v/>
      </c>
      <c r="B3020">
        <f>BASE_EQUIPOS!A3020</f>
        <v/>
      </c>
      <c r="C3020">
        <f>BASE_EQUIPOS!B3020</f>
        <v/>
      </c>
      <c r="D3020">
        <f>BASE_EQUIPOS!D3020</f>
        <v/>
      </c>
      <c r="E3020">
        <f>BASE_EQUIPOS!G3020</f>
        <v/>
      </c>
      <c r="F3020">
        <f>BASE_EQUIPOS!H3020</f>
        <v/>
      </c>
      <c r="G3020">
        <f>BASE_EQUIPOS!M3020</f>
        <v/>
      </c>
      <c r="I3020" t="inlineStr">
        <is>
          <t>07/000080</t>
        </is>
      </c>
    </row>
    <row r="3021">
      <c r="A3021">
        <f>TRIM(BASE_EQUIPOS!N3021)</f>
        <v/>
      </c>
      <c r="B3021">
        <f>BASE_EQUIPOS!A3021</f>
        <v/>
      </c>
      <c r="C3021">
        <f>BASE_EQUIPOS!B3021</f>
        <v/>
      </c>
      <c r="D3021">
        <f>BASE_EQUIPOS!D3021</f>
        <v/>
      </c>
      <c r="E3021">
        <f>BASE_EQUIPOS!G3021</f>
        <v/>
      </c>
      <c r="F3021">
        <f>BASE_EQUIPOS!H3021</f>
        <v/>
      </c>
      <c r="G3021">
        <f>BASE_EQUIPOS!M3021</f>
        <v/>
      </c>
      <c r="I3021" t="inlineStr">
        <is>
          <t>08/N/R</t>
        </is>
      </c>
    </row>
    <row r="3022">
      <c r="A3022">
        <f>TRIM(BASE_EQUIPOS!N3022)</f>
        <v/>
      </c>
      <c r="B3022">
        <f>BASE_EQUIPOS!A3022</f>
        <v/>
      </c>
      <c r="C3022">
        <f>BASE_EQUIPOS!B3022</f>
        <v/>
      </c>
      <c r="D3022">
        <f>BASE_EQUIPOS!D3022</f>
        <v/>
      </c>
      <c r="E3022">
        <f>BASE_EQUIPOS!G3022</f>
        <v/>
      </c>
      <c r="F3022">
        <f>BASE_EQUIPOS!H3022</f>
        <v/>
      </c>
      <c r="G3022">
        <f>BASE_EQUIPOS!M3022</f>
        <v/>
      </c>
      <c r="I3022" t="inlineStr">
        <is>
          <t>09/000596</t>
        </is>
      </c>
    </row>
    <row r="3023">
      <c r="A3023">
        <f>TRIM(BASE_EQUIPOS!N3023)</f>
        <v/>
      </c>
      <c r="B3023">
        <f>BASE_EQUIPOS!A3023</f>
        <v/>
      </c>
      <c r="C3023">
        <f>BASE_EQUIPOS!B3023</f>
        <v/>
      </c>
      <c r="D3023">
        <f>BASE_EQUIPOS!D3023</f>
        <v/>
      </c>
      <c r="E3023">
        <f>BASE_EQUIPOS!G3023</f>
        <v/>
      </c>
      <c r="F3023">
        <f>BASE_EQUIPOS!H3023</f>
        <v/>
      </c>
      <c r="G3023">
        <f>BASE_EQUIPOS!M3023</f>
        <v/>
      </c>
      <c r="I3023" t="inlineStr">
        <is>
          <t>10/A29052894</t>
        </is>
      </c>
    </row>
    <row r="3024">
      <c r="A3024">
        <f>TRIM(BASE_EQUIPOS!N3024)</f>
        <v/>
      </c>
      <c r="B3024">
        <f>BASE_EQUIPOS!A3024</f>
        <v/>
      </c>
      <c r="C3024">
        <f>BASE_EQUIPOS!B3024</f>
        <v/>
      </c>
      <c r="D3024">
        <f>BASE_EQUIPOS!D3024</f>
        <v/>
      </c>
      <c r="E3024">
        <f>BASE_EQUIPOS!G3024</f>
        <v/>
      </c>
      <c r="F3024">
        <f>BASE_EQUIPOS!H3024</f>
        <v/>
      </c>
      <c r="G3024">
        <f>BASE_EQUIPOS!M3024</f>
        <v/>
      </c>
      <c r="I3024" t="inlineStr">
        <is>
          <t>11/000334</t>
        </is>
      </c>
    </row>
    <row r="3025">
      <c r="A3025">
        <f>TRIM(BASE_EQUIPOS!N3025)</f>
        <v/>
      </c>
      <c r="B3025">
        <f>BASE_EQUIPOS!A3025</f>
        <v/>
      </c>
      <c r="C3025">
        <f>BASE_EQUIPOS!B3025</f>
        <v/>
      </c>
      <c r="D3025">
        <f>BASE_EQUIPOS!D3025</f>
        <v/>
      </c>
      <c r="E3025">
        <f>BASE_EQUIPOS!G3025</f>
        <v/>
      </c>
      <c r="F3025">
        <f>BASE_EQUIPOS!H3025</f>
        <v/>
      </c>
      <c r="G3025">
        <f>BASE_EQUIPOS!M3025</f>
        <v/>
      </c>
      <c r="I3025" t="inlineStr">
        <is>
          <t>12/000138</t>
        </is>
      </c>
    </row>
    <row r="3026">
      <c r="A3026">
        <f>TRIM(BASE_EQUIPOS!N3026)</f>
        <v/>
      </c>
      <c r="B3026">
        <f>BASE_EQUIPOS!A3026</f>
        <v/>
      </c>
      <c r="C3026">
        <f>BASE_EQUIPOS!B3026</f>
        <v/>
      </c>
      <c r="D3026">
        <f>BASE_EQUIPOS!D3026</f>
        <v/>
      </c>
      <c r="E3026">
        <f>BASE_EQUIPOS!G3026</f>
        <v/>
      </c>
      <c r="F3026">
        <f>BASE_EQUIPOS!H3026</f>
        <v/>
      </c>
      <c r="G3026">
        <f>BASE_EQUIPOS!M3026</f>
        <v/>
      </c>
      <c r="I3026" t="inlineStr">
        <is>
          <t>13/000006</t>
        </is>
      </c>
    </row>
    <row r="3027">
      <c r="A3027">
        <f>TRIM(BASE_EQUIPOS!N3027)</f>
        <v/>
      </c>
      <c r="B3027">
        <f>BASE_EQUIPOS!A3027</f>
        <v/>
      </c>
      <c r="C3027">
        <f>BASE_EQUIPOS!B3027</f>
        <v/>
      </c>
      <c r="D3027">
        <f>BASE_EQUIPOS!D3027</f>
        <v/>
      </c>
      <c r="E3027">
        <f>BASE_EQUIPOS!G3027</f>
        <v/>
      </c>
      <c r="F3027">
        <f>BASE_EQUIPOS!H3027</f>
        <v/>
      </c>
      <c r="G3027">
        <f>BASE_EQUIPOS!M3027</f>
        <v/>
      </c>
      <c r="I3027" t="inlineStr">
        <is>
          <t>14/000030</t>
        </is>
      </c>
    </row>
    <row r="3028">
      <c r="A3028">
        <f>TRIM(BASE_EQUIPOS!N3028)</f>
        <v/>
      </c>
      <c r="B3028">
        <f>BASE_EQUIPOS!A3028</f>
        <v/>
      </c>
      <c r="C3028">
        <f>BASE_EQUIPOS!B3028</f>
        <v/>
      </c>
      <c r="D3028">
        <f>BASE_EQUIPOS!D3028</f>
        <v/>
      </c>
      <c r="E3028">
        <f>BASE_EQUIPOS!G3028</f>
        <v/>
      </c>
      <c r="F3028">
        <f>BASE_EQUIPOS!H3028</f>
        <v/>
      </c>
      <c r="G3028">
        <f>BASE_EQUIPOS!M3028</f>
        <v/>
      </c>
      <c r="I3028" t="inlineStr">
        <is>
          <t>15/000325</t>
        </is>
      </c>
    </row>
    <row r="3029">
      <c r="A3029">
        <f>TRIM(BASE_EQUIPOS!N3029)</f>
        <v/>
      </c>
      <c r="B3029">
        <f>BASE_EQUIPOS!A3029</f>
        <v/>
      </c>
      <c r="C3029">
        <f>BASE_EQUIPOS!B3029</f>
        <v/>
      </c>
      <c r="D3029">
        <f>BASE_EQUIPOS!D3029</f>
        <v/>
      </c>
      <c r="E3029">
        <f>BASE_EQUIPOS!G3029</f>
        <v/>
      </c>
      <c r="F3029">
        <f>BASE_EQUIPOS!H3029</f>
        <v/>
      </c>
      <c r="G3029">
        <f>BASE_EQUIPOS!M3029</f>
        <v/>
      </c>
      <c r="I3029" t="inlineStr">
        <is>
          <t>16/000358</t>
        </is>
      </c>
    </row>
    <row r="3030">
      <c r="A3030">
        <f>TRIM(BASE_EQUIPOS!N3030)</f>
        <v/>
      </c>
      <c r="B3030">
        <f>BASE_EQUIPOS!A3030</f>
        <v/>
      </c>
      <c r="C3030">
        <f>BASE_EQUIPOS!B3030</f>
        <v/>
      </c>
      <c r="D3030">
        <f>BASE_EQUIPOS!D3030</f>
        <v/>
      </c>
      <c r="E3030">
        <f>BASE_EQUIPOS!G3030</f>
        <v/>
      </c>
      <c r="F3030">
        <f>BASE_EQUIPOS!H3030</f>
        <v/>
      </c>
      <c r="G3030">
        <f>BASE_EQUIPOS!M3030</f>
        <v/>
      </c>
      <c r="I3030" t="inlineStr">
        <is>
          <t>17/000017</t>
        </is>
      </c>
    </row>
    <row r="3031">
      <c r="A3031">
        <f>TRIM(BASE_EQUIPOS!N3031)</f>
        <v/>
      </c>
      <c r="B3031">
        <f>BASE_EQUIPOS!A3031</f>
        <v/>
      </c>
      <c r="C3031">
        <f>BASE_EQUIPOS!B3031</f>
        <v/>
      </c>
      <c r="D3031">
        <f>BASE_EQUIPOS!D3031</f>
        <v/>
      </c>
      <c r="E3031">
        <f>BASE_EQUIPOS!G3031</f>
        <v/>
      </c>
      <c r="F3031">
        <f>BASE_EQUIPOS!H3031</f>
        <v/>
      </c>
      <c r="G3031">
        <f>BASE_EQUIPOS!M3031</f>
        <v/>
      </c>
      <c r="I3031" t="inlineStr">
        <is>
          <t>18/002601</t>
        </is>
      </c>
    </row>
    <row r="3032">
      <c r="A3032">
        <f>TRIM(BASE_EQUIPOS!N3032)</f>
        <v/>
      </c>
      <c r="B3032">
        <f>BASE_EQUIPOS!A3032</f>
        <v/>
      </c>
      <c r="C3032">
        <f>BASE_EQUIPOS!B3032</f>
        <v/>
      </c>
      <c r="D3032">
        <f>BASE_EQUIPOS!D3032</f>
        <v/>
      </c>
      <c r="E3032">
        <f>BASE_EQUIPOS!G3032</f>
        <v/>
      </c>
      <c r="F3032">
        <f>BASE_EQUIPOS!H3032</f>
        <v/>
      </c>
      <c r="G3032">
        <f>BASE_EQUIPOS!M3032</f>
        <v/>
      </c>
      <c r="I3032" t="inlineStr">
        <is>
          <t>19/002087</t>
        </is>
      </c>
    </row>
    <row r="3033">
      <c r="A3033">
        <f>TRIM(BASE_EQUIPOS!N3033)</f>
        <v/>
      </c>
      <c r="B3033">
        <f>BASE_EQUIPOS!A3033</f>
        <v/>
      </c>
      <c r="C3033">
        <f>BASE_EQUIPOS!B3033</f>
        <v/>
      </c>
      <c r="D3033">
        <f>BASE_EQUIPOS!D3033</f>
        <v/>
      </c>
      <c r="E3033">
        <f>BASE_EQUIPOS!G3033</f>
        <v/>
      </c>
      <c r="F3033">
        <f>BASE_EQUIPOS!H3033</f>
        <v/>
      </c>
      <c r="G3033">
        <f>BASE_EQUIPOS!M3033</f>
        <v/>
      </c>
      <c r="I3033" t="inlineStr">
        <is>
          <t>20/000114</t>
        </is>
      </c>
    </row>
    <row r="3034">
      <c r="A3034">
        <f>TRIM(BASE_EQUIPOS!N3034)</f>
        <v/>
      </c>
      <c r="B3034">
        <f>BASE_EQUIPOS!A3034</f>
        <v/>
      </c>
      <c r="C3034">
        <f>BASE_EQUIPOS!B3034</f>
        <v/>
      </c>
      <c r="D3034">
        <f>BASE_EQUIPOS!D3034</f>
        <v/>
      </c>
      <c r="E3034">
        <f>BASE_EQUIPOS!G3034</f>
        <v/>
      </c>
      <c r="F3034">
        <f>BASE_EQUIPOS!H3034</f>
        <v/>
      </c>
      <c r="G3034">
        <f>BASE_EQUIPOS!M3034</f>
        <v/>
      </c>
      <c r="I3034" t="inlineStr">
        <is>
          <t>21/000710</t>
        </is>
      </c>
    </row>
    <row r="3035">
      <c r="A3035">
        <f>TRIM(BASE_EQUIPOS!N3035)</f>
        <v/>
      </c>
      <c r="B3035">
        <f>BASE_EQUIPOS!A3035</f>
        <v/>
      </c>
      <c r="C3035">
        <f>BASE_EQUIPOS!B3035</f>
        <v/>
      </c>
      <c r="D3035">
        <f>BASE_EQUIPOS!D3035</f>
        <v/>
      </c>
      <c r="E3035">
        <f>BASE_EQUIPOS!G3035</f>
        <v/>
      </c>
      <c r="F3035">
        <f>BASE_EQUIPOS!H3035</f>
        <v/>
      </c>
      <c r="G3035">
        <f>BASE_EQUIPOS!M3035</f>
        <v/>
      </c>
      <c r="I3035" t="inlineStr">
        <is>
          <t>22/000543</t>
        </is>
      </c>
    </row>
    <row r="3036">
      <c r="A3036">
        <f>TRIM(BASE_EQUIPOS!N3036)</f>
        <v/>
      </c>
      <c r="B3036">
        <f>BASE_EQUIPOS!A3036</f>
        <v/>
      </c>
      <c r="C3036">
        <f>BASE_EQUIPOS!B3036</f>
        <v/>
      </c>
      <c r="D3036">
        <f>BASE_EQUIPOS!D3036</f>
        <v/>
      </c>
      <c r="E3036">
        <f>BASE_EQUIPOS!G3036</f>
        <v/>
      </c>
      <c r="F3036">
        <f>BASE_EQUIPOS!H3036</f>
        <v/>
      </c>
      <c r="G3036">
        <f>BASE_EQUIPOS!M3036</f>
        <v/>
      </c>
      <c r="I3036" t="inlineStr">
        <is>
          <t>23/000517</t>
        </is>
      </c>
    </row>
    <row r="3037">
      <c r="A3037">
        <f>TRIM(BASE_EQUIPOS!N3037)</f>
        <v/>
      </c>
      <c r="B3037">
        <f>BASE_EQUIPOS!A3037</f>
        <v/>
      </c>
      <c r="C3037">
        <f>BASE_EQUIPOS!B3037</f>
        <v/>
      </c>
      <c r="D3037">
        <f>BASE_EQUIPOS!D3037</f>
        <v/>
      </c>
      <c r="E3037">
        <f>BASE_EQUIPOS!G3037</f>
        <v/>
      </c>
      <c r="F3037">
        <f>BASE_EQUIPOS!H3037</f>
        <v/>
      </c>
      <c r="G3037">
        <f>BASE_EQUIPOS!M3037</f>
        <v/>
      </c>
      <c r="I3037" t="inlineStr">
        <is>
          <t>24/000515</t>
        </is>
      </c>
    </row>
    <row r="3038">
      <c r="A3038">
        <f>TRIM(BASE_EQUIPOS!N3038)</f>
        <v/>
      </c>
      <c r="B3038">
        <f>BASE_EQUIPOS!A3038</f>
        <v/>
      </c>
      <c r="C3038">
        <f>BASE_EQUIPOS!B3038</f>
        <v/>
      </c>
      <c r="D3038">
        <f>BASE_EQUIPOS!D3038</f>
        <v/>
      </c>
      <c r="E3038">
        <f>BASE_EQUIPOS!G3038</f>
        <v/>
      </c>
      <c r="F3038">
        <f>BASE_EQUIPOS!H3038</f>
        <v/>
      </c>
      <c r="G3038">
        <f>BASE_EQUIPOS!M3038</f>
        <v/>
      </c>
      <c r="I3038" t="inlineStr">
        <is>
          <t>25/001333</t>
        </is>
      </c>
    </row>
    <row r="3039">
      <c r="A3039">
        <f>TRIM(BASE_EQUIPOS!N3039)</f>
        <v/>
      </c>
      <c r="B3039">
        <f>BASE_EQUIPOS!A3039</f>
        <v/>
      </c>
      <c r="C3039">
        <f>BASE_EQUIPOS!B3039</f>
        <v/>
      </c>
      <c r="D3039">
        <f>BASE_EQUIPOS!D3039</f>
        <v/>
      </c>
      <c r="E3039">
        <f>BASE_EQUIPOS!G3039</f>
        <v/>
      </c>
      <c r="F3039">
        <f>BASE_EQUIPOS!H3039</f>
        <v/>
      </c>
      <c r="G3039">
        <f>BASE_EQUIPOS!M3039</f>
        <v/>
      </c>
      <c r="I3039" t="inlineStr">
        <is>
          <t>30/004927</t>
        </is>
      </c>
    </row>
    <row r="3040">
      <c r="A3040">
        <f>TRIM(BASE_EQUIPOS!N3040)</f>
        <v/>
      </c>
      <c r="B3040">
        <f>BASE_EQUIPOS!A3040</f>
        <v/>
      </c>
      <c r="C3040">
        <f>BASE_EQUIPOS!B3040</f>
        <v/>
      </c>
      <c r="D3040">
        <f>BASE_EQUIPOS!D3040</f>
        <v/>
      </c>
      <c r="E3040">
        <f>BASE_EQUIPOS!G3040</f>
        <v/>
      </c>
      <c r="F3040">
        <f>BASE_EQUIPOS!H3040</f>
        <v/>
      </c>
      <c r="G3040">
        <f>BASE_EQUIPOS!M3040</f>
        <v/>
      </c>
      <c r="I3040" t="inlineStr">
        <is>
          <t>000579</t>
        </is>
      </c>
    </row>
    <row r="3041">
      <c r="A3041">
        <f>TRIM(BASE_EQUIPOS!N3041)</f>
        <v/>
      </c>
      <c r="B3041">
        <f>BASE_EQUIPOS!A3041</f>
        <v/>
      </c>
      <c r="C3041">
        <f>BASE_EQUIPOS!B3041</f>
        <v/>
      </c>
      <c r="D3041">
        <f>BASE_EQUIPOS!D3041</f>
        <v/>
      </c>
      <c r="E3041">
        <f>BASE_EQUIPOS!G3041</f>
        <v/>
      </c>
      <c r="F3041">
        <f>BASE_EQUIPOS!H3041</f>
        <v/>
      </c>
      <c r="G3041">
        <f>BASE_EQUIPOS!M3041</f>
        <v/>
      </c>
      <c r="I3041" t="inlineStr">
        <is>
          <t>000455</t>
        </is>
      </c>
    </row>
    <row r="3042">
      <c r="A3042">
        <f>TRIM(BASE_EQUIPOS!N3042)</f>
        <v/>
      </c>
      <c r="B3042">
        <f>BASE_EQUIPOS!A3042</f>
        <v/>
      </c>
      <c r="C3042">
        <f>BASE_EQUIPOS!B3042</f>
        <v/>
      </c>
      <c r="D3042">
        <f>BASE_EQUIPOS!D3042</f>
        <v/>
      </c>
      <c r="E3042">
        <f>BASE_EQUIPOS!G3042</f>
        <v/>
      </c>
      <c r="F3042">
        <f>BASE_EQUIPOS!H3042</f>
        <v/>
      </c>
      <c r="G3042">
        <f>BASE_EQUIPOS!M3042</f>
        <v/>
      </c>
      <c r="I3042" t="inlineStr">
        <is>
          <t>000835</t>
        </is>
      </c>
    </row>
    <row r="3043">
      <c r="A3043">
        <f>TRIM(BASE_EQUIPOS!N3043)</f>
        <v/>
      </c>
      <c r="B3043">
        <f>BASE_EQUIPOS!A3043</f>
        <v/>
      </c>
      <c r="C3043">
        <f>BASE_EQUIPOS!B3043</f>
        <v/>
      </c>
      <c r="D3043">
        <f>BASE_EQUIPOS!D3043</f>
        <v/>
      </c>
      <c r="E3043">
        <f>BASE_EQUIPOS!G3043</f>
        <v/>
      </c>
      <c r="F3043">
        <f>BASE_EQUIPOS!H3043</f>
        <v/>
      </c>
      <c r="G3043">
        <f>BASE_EQUIPOS!M3043</f>
        <v/>
      </c>
      <c r="I3043" t="inlineStr">
        <is>
          <t>000554</t>
        </is>
      </c>
    </row>
    <row r="3044">
      <c r="A3044">
        <f>TRIM(BASE_EQUIPOS!N3044)</f>
        <v/>
      </c>
      <c r="B3044">
        <f>BASE_EQUIPOS!A3044</f>
        <v/>
      </c>
      <c r="C3044">
        <f>BASE_EQUIPOS!B3044</f>
        <v/>
      </c>
      <c r="D3044">
        <f>BASE_EQUIPOS!D3044</f>
        <v/>
      </c>
      <c r="E3044">
        <f>BASE_EQUIPOS!G3044</f>
        <v/>
      </c>
      <c r="F3044">
        <f>BASE_EQUIPOS!H3044</f>
        <v/>
      </c>
      <c r="G3044">
        <f>BASE_EQUIPOS!M3044</f>
        <v/>
      </c>
      <c r="I3044" t="inlineStr">
        <is>
          <t>000672</t>
        </is>
      </c>
    </row>
    <row r="3045">
      <c r="A3045">
        <f>TRIM(BASE_EQUIPOS!N3045)</f>
        <v/>
      </c>
      <c r="B3045">
        <f>BASE_EQUIPOS!A3045</f>
        <v/>
      </c>
      <c r="C3045">
        <f>BASE_EQUIPOS!B3045</f>
        <v/>
      </c>
      <c r="D3045">
        <f>BASE_EQUIPOS!D3045</f>
        <v/>
      </c>
      <c r="E3045">
        <f>BASE_EQUIPOS!G3045</f>
        <v/>
      </c>
      <c r="F3045">
        <f>BASE_EQUIPOS!H3045</f>
        <v/>
      </c>
      <c r="G3045">
        <f>BASE_EQUIPOS!M3045</f>
        <v/>
      </c>
      <c r="I3045" t="inlineStr">
        <is>
          <t>000381</t>
        </is>
      </c>
    </row>
    <row r="3046">
      <c r="A3046">
        <f>TRIM(BASE_EQUIPOS!N3046)</f>
        <v/>
      </c>
      <c r="B3046">
        <f>BASE_EQUIPOS!A3046</f>
        <v/>
      </c>
      <c r="C3046">
        <f>BASE_EQUIPOS!B3046</f>
        <v/>
      </c>
      <c r="D3046">
        <f>BASE_EQUIPOS!D3046</f>
        <v/>
      </c>
      <c r="E3046">
        <f>BASE_EQUIPOS!G3046</f>
        <v/>
      </c>
      <c r="F3046">
        <f>BASE_EQUIPOS!H3046</f>
        <v/>
      </c>
      <c r="G3046">
        <f>BASE_EQUIPOS!M3046</f>
        <v/>
      </c>
      <c r="I3046" t="inlineStr">
        <is>
          <t>001166</t>
        </is>
      </c>
    </row>
    <row r="3047">
      <c r="A3047">
        <f>TRIM(BASE_EQUIPOS!N3047)</f>
        <v/>
      </c>
      <c r="B3047">
        <f>BASE_EQUIPOS!A3047</f>
        <v/>
      </c>
      <c r="C3047">
        <f>BASE_EQUIPOS!B3047</f>
        <v/>
      </c>
      <c r="D3047">
        <f>BASE_EQUIPOS!D3047</f>
        <v/>
      </c>
      <c r="E3047">
        <f>BASE_EQUIPOS!G3047</f>
        <v/>
      </c>
      <c r="F3047">
        <f>BASE_EQUIPOS!H3047</f>
        <v/>
      </c>
      <c r="G3047">
        <f>BASE_EQUIPOS!M3047</f>
        <v/>
      </c>
      <c r="I3047" t="inlineStr">
        <is>
          <t>000772</t>
        </is>
      </c>
    </row>
    <row r="3048">
      <c r="A3048">
        <f>TRIM(BASE_EQUIPOS!N3048)</f>
        <v/>
      </c>
      <c r="B3048">
        <f>BASE_EQUIPOS!A3048</f>
        <v/>
      </c>
      <c r="C3048">
        <f>BASE_EQUIPOS!B3048</f>
        <v/>
      </c>
      <c r="D3048">
        <f>BASE_EQUIPOS!D3048</f>
        <v/>
      </c>
      <c r="E3048">
        <f>BASE_EQUIPOS!G3048</f>
        <v/>
      </c>
      <c r="F3048">
        <f>BASE_EQUIPOS!H3048</f>
        <v/>
      </c>
      <c r="G3048">
        <f>BASE_EQUIPOS!M3048</f>
        <v/>
      </c>
      <c r="I3048" t="inlineStr">
        <is>
          <t>000404</t>
        </is>
      </c>
    </row>
    <row r="3049">
      <c r="A3049">
        <f>TRIM(BASE_EQUIPOS!N3049)</f>
        <v/>
      </c>
      <c r="B3049">
        <f>BASE_EQUIPOS!A3049</f>
        <v/>
      </c>
      <c r="C3049">
        <f>BASE_EQUIPOS!B3049</f>
        <v/>
      </c>
      <c r="D3049">
        <f>BASE_EQUIPOS!D3049</f>
        <v/>
      </c>
      <c r="E3049">
        <f>BASE_EQUIPOS!G3049</f>
        <v/>
      </c>
      <c r="F3049">
        <f>BASE_EQUIPOS!H3049</f>
        <v/>
      </c>
      <c r="G3049">
        <f>BASE_EQUIPOS!M3049</f>
        <v/>
      </c>
      <c r="I3049" t="inlineStr">
        <is>
          <t>000857</t>
        </is>
      </c>
    </row>
    <row r="3050">
      <c r="A3050">
        <f>TRIM(BASE_EQUIPOS!N3050)</f>
        <v/>
      </c>
      <c r="B3050">
        <f>BASE_EQUIPOS!A3050</f>
        <v/>
      </c>
      <c r="C3050">
        <f>BASE_EQUIPOS!B3050</f>
        <v/>
      </c>
      <c r="D3050">
        <f>BASE_EQUIPOS!D3050</f>
        <v/>
      </c>
      <c r="E3050">
        <f>BASE_EQUIPOS!G3050</f>
        <v/>
      </c>
      <c r="F3050">
        <f>BASE_EQUIPOS!H3050</f>
        <v/>
      </c>
      <c r="G3050">
        <f>BASE_EQUIPOS!M3050</f>
        <v/>
      </c>
      <c r="I3050" t="inlineStr">
        <is>
          <t>000428</t>
        </is>
      </c>
    </row>
    <row r="3051">
      <c r="A3051">
        <f>TRIM(BASE_EQUIPOS!N3051)</f>
        <v/>
      </c>
      <c r="B3051">
        <f>BASE_EQUIPOS!A3051</f>
        <v/>
      </c>
      <c r="C3051">
        <f>BASE_EQUIPOS!B3051</f>
        <v/>
      </c>
      <c r="D3051">
        <f>BASE_EQUIPOS!D3051</f>
        <v/>
      </c>
      <c r="E3051">
        <f>BASE_EQUIPOS!G3051</f>
        <v/>
      </c>
      <c r="F3051">
        <f>BASE_EQUIPOS!H3051</f>
        <v/>
      </c>
      <c r="G3051">
        <f>BASE_EQUIPOS!M3051</f>
        <v/>
      </c>
      <c r="I3051" t="inlineStr">
        <is>
          <t>001158</t>
        </is>
      </c>
    </row>
    <row r="3052">
      <c r="A3052">
        <f>TRIM(BASE_EQUIPOS!N3052)</f>
        <v/>
      </c>
      <c r="B3052">
        <f>BASE_EQUIPOS!A3052</f>
        <v/>
      </c>
      <c r="C3052">
        <f>BASE_EQUIPOS!B3052</f>
        <v/>
      </c>
      <c r="D3052">
        <f>BASE_EQUIPOS!D3052</f>
        <v/>
      </c>
      <c r="E3052">
        <f>BASE_EQUIPOS!G3052</f>
        <v/>
      </c>
      <c r="F3052">
        <f>BASE_EQUIPOS!H3052</f>
        <v/>
      </c>
      <c r="G3052">
        <f>BASE_EQUIPOS!M3052</f>
        <v/>
      </c>
      <c r="I3052" t="inlineStr">
        <is>
          <t>000940</t>
        </is>
      </c>
    </row>
    <row r="3053">
      <c r="A3053">
        <f>TRIM(BASE_EQUIPOS!N3053)</f>
        <v/>
      </c>
      <c r="B3053">
        <f>BASE_EQUIPOS!A3053</f>
        <v/>
      </c>
      <c r="C3053">
        <f>BASE_EQUIPOS!B3053</f>
        <v/>
      </c>
      <c r="D3053">
        <f>BASE_EQUIPOS!D3053</f>
        <v/>
      </c>
      <c r="E3053">
        <f>BASE_EQUIPOS!G3053</f>
        <v/>
      </c>
      <c r="F3053">
        <f>BASE_EQUIPOS!H3053</f>
        <v/>
      </c>
      <c r="G3053">
        <f>BASE_EQUIPOS!M3053</f>
        <v/>
      </c>
      <c r="I3053" t="inlineStr">
        <is>
          <t>000910</t>
        </is>
      </c>
    </row>
    <row r="3054">
      <c r="A3054">
        <f>TRIM(BASE_EQUIPOS!N3054)</f>
        <v/>
      </c>
      <c r="B3054">
        <f>BASE_EQUIPOS!A3054</f>
        <v/>
      </c>
      <c r="C3054">
        <f>BASE_EQUIPOS!B3054</f>
        <v/>
      </c>
      <c r="D3054">
        <f>BASE_EQUIPOS!D3054</f>
        <v/>
      </c>
      <c r="E3054">
        <f>BASE_EQUIPOS!G3054</f>
        <v/>
      </c>
      <c r="F3054">
        <f>BASE_EQUIPOS!H3054</f>
        <v/>
      </c>
      <c r="G3054">
        <f>BASE_EQUIPOS!M3054</f>
        <v/>
      </c>
      <c r="I3054" t="inlineStr">
        <is>
          <t>001073</t>
        </is>
      </c>
    </row>
    <row r="3055">
      <c r="A3055">
        <f>TRIM(BASE_EQUIPOS!N3055)</f>
        <v/>
      </c>
      <c r="B3055">
        <f>BASE_EQUIPOS!A3055</f>
        <v/>
      </c>
      <c r="C3055">
        <f>BASE_EQUIPOS!B3055</f>
        <v/>
      </c>
      <c r="D3055">
        <f>BASE_EQUIPOS!D3055</f>
        <v/>
      </c>
      <c r="E3055">
        <f>BASE_EQUIPOS!G3055</f>
        <v/>
      </c>
      <c r="F3055">
        <f>BASE_EQUIPOS!H3055</f>
        <v/>
      </c>
      <c r="G3055">
        <f>BASE_EQUIPOS!M3055</f>
        <v/>
      </c>
      <c r="I3055" t="inlineStr">
        <is>
          <t>003452</t>
        </is>
      </c>
    </row>
    <row r="3056">
      <c r="A3056">
        <f>TRIM(BASE_EQUIPOS!N3056)</f>
        <v/>
      </c>
      <c r="B3056">
        <f>BASE_EQUIPOS!A3056</f>
        <v/>
      </c>
      <c r="C3056">
        <f>BASE_EQUIPOS!B3056</f>
        <v/>
      </c>
      <c r="D3056">
        <f>BASE_EQUIPOS!D3056</f>
        <v/>
      </c>
      <c r="E3056">
        <f>BASE_EQUIPOS!G3056</f>
        <v/>
      </c>
      <c r="F3056">
        <f>BASE_EQUIPOS!H3056</f>
        <v/>
      </c>
      <c r="G3056">
        <f>BASE_EQUIPOS!M3056</f>
        <v/>
      </c>
      <c r="I3056" t="inlineStr">
        <is>
          <t>001081</t>
        </is>
      </c>
    </row>
    <row r="3057">
      <c r="A3057">
        <f>TRIM(BASE_EQUIPOS!N3057)</f>
        <v/>
      </c>
      <c r="B3057">
        <f>BASE_EQUIPOS!A3057</f>
        <v/>
      </c>
      <c r="C3057">
        <f>BASE_EQUIPOS!B3057</f>
        <v/>
      </c>
      <c r="D3057">
        <f>BASE_EQUIPOS!D3057</f>
        <v/>
      </c>
      <c r="E3057">
        <f>BASE_EQUIPOS!G3057</f>
        <v/>
      </c>
      <c r="F3057">
        <f>BASE_EQUIPOS!H3057</f>
        <v/>
      </c>
      <c r="G3057">
        <f>BASE_EQUIPOS!M3057</f>
        <v/>
      </c>
      <c r="I3057" t="inlineStr">
        <is>
          <t>000782</t>
        </is>
      </c>
    </row>
    <row r="3058">
      <c r="A3058">
        <f>TRIM(BASE_EQUIPOS!N3058)</f>
        <v/>
      </c>
      <c r="B3058">
        <f>BASE_EQUIPOS!A3058</f>
        <v/>
      </c>
      <c r="C3058">
        <f>BASE_EQUIPOS!B3058</f>
        <v/>
      </c>
      <c r="D3058">
        <f>BASE_EQUIPOS!D3058</f>
        <v/>
      </c>
      <c r="E3058">
        <f>BASE_EQUIPOS!G3058</f>
        <v/>
      </c>
      <c r="F3058">
        <f>BASE_EQUIPOS!H3058</f>
        <v/>
      </c>
      <c r="G3058">
        <f>BASE_EQUIPOS!M3058</f>
        <v/>
      </c>
      <c r="I3058" t="inlineStr">
        <is>
          <t>000652</t>
        </is>
      </c>
    </row>
    <row r="3059">
      <c r="A3059">
        <f>TRIM(BASE_EQUIPOS!N3059)</f>
        <v/>
      </c>
      <c r="B3059">
        <f>BASE_EQUIPOS!A3059</f>
        <v/>
      </c>
      <c r="C3059">
        <f>BASE_EQUIPOS!B3059</f>
        <v/>
      </c>
      <c r="D3059">
        <f>BASE_EQUIPOS!D3059</f>
        <v/>
      </c>
      <c r="E3059">
        <f>BASE_EQUIPOS!G3059</f>
        <v/>
      </c>
      <c r="F3059">
        <f>BASE_EQUIPOS!H3059</f>
        <v/>
      </c>
      <c r="G3059">
        <f>BASE_EQUIPOS!M3059</f>
        <v/>
      </c>
      <c r="I3059" t="inlineStr">
        <is>
          <t>002096</t>
        </is>
      </c>
    </row>
    <row r="3060">
      <c r="A3060">
        <f>TRIM(BASE_EQUIPOS!N3060)</f>
        <v/>
      </c>
      <c r="B3060">
        <f>BASE_EQUIPOS!A3060</f>
        <v/>
      </c>
      <c r="C3060">
        <f>BASE_EQUIPOS!B3060</f>
        <v/>
      </c>
      <c r="D3060">
        <f>BASE_EQUIPOS!D3060</f>
        <v/>
      </c>
      <c r="E3060">
        <f>BASE_EQUIPOS!G3060</f>
        <v/>
      </c>
      <c r="F3060">
        <f>BASE_EQUIPOS!H3060</f>
        <v/>
      </c>
      <c r="G3060">
        <f>BASE_EQUIPOS!M3060</f>
        <v/>
      </c>
      <c r="I3060" t="inlineStr">
        <is>
          <t>000081</t>
        </is>
      </c>
    </row>
    <row r="3061">
      <c r="A3061">
        <f>TRIM(BASE_EQUIPOS!N3061)</f>
        <v/>
      </c>
      <c r="B3061">
        <f>BASE_EQUIPOS!A3061</f>
        <v/>
      </c>
      <c r="C3061">
        <f>BASE_EQUIPOS!B3061</f>
        <v/>
      </c>
      <c r="D3061">
        <f>BASE_EQUIPOS!D3061</f>
        <v/>
      </c>
      <c r="E3061">
        <f>BASE_EQUIPOS!G3061</f>
        <v/>
      </c>
      <c r="F3061">
        <f>BASE_EQUIPOS!H3061</f>
        <v/>
      </c>
      <c r="G3061">
        <f>BASE_EQUIPOS!M3061</f>
        <v/>
      </c>
      <c r="I3061" t="inlineStr">
        <is>
          <t>001025</t>
        </is>
      </c>
    </row>
    <row r="3062">
      <c r="A3062">
        <f>TRIM(BASE_EQUIPOS!N3062)</f>
        <v/>
      </c>
      <c r="B3062">
        <f>BASE_EQUIPOS!A3062</f>
        <v/>
      </c>
      <c r="C3062">
        <f>BASE_EQUIPOS!B3062</f>
        <v/>
      </c>
      <c r="D3062">
        <f>BASE_EQUIPOS!D3062</f>
        <v/>
      </c>
      <c r="E3062">
        <f>BASE_EQUIPOS!G3062</f>
        <v/>
      </c>
      <c r="F3062">
        <f>BASE_EQUIPOS!H3062</f>
        <v/>
      </c>
      <c r="G3062">
        <f>BASE_EQUIPOS!M3062</f>
        <v/>
      </c>
      <c r="I3062" t="inlineStr">
        <is>
          <t>000119</t>
        </is>
      </c>
    </row>
    <row r="3063">
      <c r="A3063">
        <f>TRIM(BASE_EQUIPOS!N3063)</f>
        <v/>
      </c>
      <c r="B3063">
        <f>BASE_EQUIPOS!A3063</f>
        <v/>
      </c>
      <c r="C3063">
        <f>BASE_EQUIPOS!B3063</f>
        <v/>
      </c>
      <c r="D3063">
        <f>BASE_EQUIPOS!D3063</f>
        <v/>
      </c>
      <c r="E3063">
        <f>BASE_EQUIPOS!G3063</f>
        <v/>
      </c>
      <c r="F3063">
        <f>BASE_EQUIPOS!H3063</f>
        <v/>
      </c>
      <c r="G3063">
        <f>BASE_EQUIPOS!M3063</f>
        <v/>
      </c>
      <c r="I3063" t="inlineStr">
        <is>
          <t>005190</t>
        </is>
      </c>
    </row>
    <row r="3064">
      <c r="A3064">
        <f>TRIM(BASE_EQUIPOS!N3064)</f>
        <v/>
      </c>
      <c r="B3064">
        <f>BASE_EQUIPOS!A3064</f>
        <v/>
      </c>
      <c r="C3064">
        <f>BASE_EQUIPOS!B3064</f>
        <v/>
      </c>
      <c r="D3064">
        <f>BASE_EQUIPOS!D3064</f>
        <v/>
      </c>
      <c r="E3064">
        <f>BASE_EQUIPOS!G3064</f>
        <v/>
      </c>
      <c r="F3064">
        <f>BASE_EQUIPOS!H3064</f>
        <v/>
      </c>
      <c r="G3064">
        <f>BASE_EQUIPOS!M3064</f>
        <v/>
      </c>
      <c r="I3064" t="inlineStr">
        <is>
          <t>005179</t>
        </is>
      </c>
    </row>
    <row r="3065">
      <c r="A3065">
        <f>TRIM(BASE_EQUIPOS!N3065)</f>
        <v/>
      </c>
      <c r="B3065">
        <f>BASE_EQUIPOS!A3065</f>
        <v/>
      </c>
      <c r="C3065">
        <f>BASE_EQUIPOS!B3065</f>
        <v/>
      </c>
      <c r="D3065">
        <f>BASE_EQUIPOS!D3065</f>
        <v/>
      </c>
      <c r="E3065">
        <f>BASE_EQUIPOS!G3065</f>
        <v/>
      </c>
      <c r="F3065">
        <f>BASE_EQUIPOS!H3065</f>
        <v/>
      </c>
      <c r="G3065">
        <f>BASE_EQUIPOS!M3065</f>
        <v/>
      </c>
      <c r="I3065" t="inlineStr">
        <is>
          <t>005200</t>
        </is>
      </c>
    </row>
    <row r="3066">
      <c r="A3066">
        <f>TRIM(BASE_EQUIPOS!N3066)</f>
        <v/>
      </c>
      <c r="B3066">
        <f>BASE_EQUIPOS!A3066</f>
        <v/>
      </c>
      <c r="C3066">
        <f>BASE_EQUIPOS!B3066</f>
        <v/>
      </c>
      <c r="D3066">
        <f>BASE_EQUIPOS!D3066</f>
        <v/>
      </c>
      <c r="E3066">
        <f>BASE_EQUIPOS!G3066</f>
        <v/>
      </c>
      <c r="F3066">
        <f>BASE_EQUIPOS!H3066</f>
        <v/>
      </c>
      <c r="G3066">
        <f>BASE_EQUIPOS!M3066</f>
        <v/>
      </c>
      <c r="I3066" t="inlineStr">
        <is>
          <t>005067</t>
        </is>
      </c>
    </row>
    <row r="3067">
      <c r="A3067">
        <f>TRIM(BASE_EQUIPOS!N3067)</f>
        <v/>
      </c>
      <c r="B3067">
        <f>BASE_EQUIPOS!A3067</f>
        <v/>
      </c>
      <c r="C3067">
        <f>BASE_EQUIPOS!B3067</f>
        <v/>
      </c>
      <c r="D3067">
        <f>BASE_EQUIPOS!D3067</f>
        <v/>
      </c>
      <c r="E3067">
        <f>BASE_EQUIPOS!G3067</f>
        <v/>
      </c>
      <c r="F3067">
        <f>BASE_EQUIPOS!H3067</f>
        <v/>
      </c>
      <c r="G3067">
        <f>BASE_EQUIPOS!M3067</f>
        <v/>
      </c>
      <c r="I3067" t="inlineStr">
        <is>
          <t>005207</t>
        </is>
      </c>
    </row>
    <row r="3068">
      <c r="A3068">
        <f>TRIM(BASE_EQUIPOS!N3068)</f>
        <v/>
      </c>
      <c r="B3068">
        <f>BASE_EQUIPOS!A3068</f>
        <v/>
      </c>
      <c r="C3068">
        <f>BASE_EQUIPOS!B3068</f>
        <v/>
      </c>
      <c r="D3068">
        <f>BASE_EQUIPOS!D3068</f>
        <v/>
      </c>
      <c r="E3068">
        <f>BASE_EQUIPOS!G3068</f>
        <v/>
      </c>
      <c r="F3068">
        <f>BASE_EQUIPOS!H3068</f>
        <v/>
      </c>
      <c r="G3068">
        <f>BASE_EQUIPOS!M3068</f>
        <v/>
      </c>
      <c r="I3068" t="inlineStr">
        <is>
          <t>000157</t>
        </is>
      </c>
    </row>
    <row r="3069">
      <c r="A3069">
        <f>TRIM(BASE_EQUIPOS!N3069)</f>
        <v/>
      </c>
      <c r="B3069">
        <f>BASE_EQUIPOS!A3069</f>
        <v/>
      </c>
      <c r="C3069">
        <f>BASE_EQUIPOS!B3069</f>
        <v/>
      </c>
      <c r="D3069">
        <f>BASE_EQUIPOS!D3069</f>
        <v/>
      </c>
      <c r="E3069">
        <f>BASE_EQUIPOS!G3069</f>
        <v/>
      </c>
      <c r="F3069">
        <f>BASE_EQUIPOS!H3069</f>
        <v/>
      </c>
      <c r="G3069">
        <f>BASE_EQUIPOS!M3069</f>
        <v/>
      </c>
      <c r="I3069" t="inlineStr">
        <is>
          <t>005110</t>
        </is>
      </c>
    </row>
    <row r="3070">
      <c r="A3070">
        <f>TRIM(BASE_EQUIPOS!N3070)</f>
        <v/>
      </c>
      <c r="B3070">
        <f>BASE_EQUIPOS!A3070</f>
        <v/>
      </c>
      <c r="C3070">
        <f>BASE_EQUIPOS!B3070</f>
        <v/>
      </c>
      <c r="D3070">
        <f>BASE_EQUIPOS!D3070</f>
        <v/>
      </c>
      <c r="E3070">
        <f>BASE_EQUIPOS!G3070</f>
        <v/>
      </c>
      <c r="F3070">
        <f>BASE_EQUIPOS!H3070</f>
        <v/>
      </c>
      <c r="G3070">
        <f>BASE_EQUIPOS!M3070</f>
        <v/>
      </c>
      <c r="I3070" t="inlineStr">
        <is>
          <t>000162</t>
        </is>
      </c>
    </row>
    <row r="3071">
      <c r="A3071">
        <f>TRIM(BASE_EQUIPOS!N3071)</f>
        <v/>
      </c>
      <c r="B3071">
        <f>BASE_EQUIPOS!A3071</f>
        <v/>
      </c>
      <c r="C3071">
        <f>BASE_EQUIPOS!B3071</f>
        <v/>
      </c>
      <c r="D3071">
        <f>BASE_EQUIPOS!D3071</f>
        <v/>
      </c>
      <c r="E3071">
        <f>BASE_EQUIPOS!G3071</f>
        <v/>
      </c>
      <c r="F3071">
        <f>BASE_EQUIPOS!H3071</f>
        <v/>
      </c>
      <c r="G3071">
        <f>BASE_EQUIPOS!M3071</f>
        <v/>
      </c>
      <c r="I3071" t="inlineStr">
        <is>
          <t>000231</t>
        </is>
      </c>
    </row>
    <row r="3072">
      <c r="A3072">
        <f>TRIM(BASE_EQUIPOS!N3072)</f>
        <v/>
      </c>
      <c r="B3072">
        <f>BASE_EQUIPOS!A3072</f>
        <v/>
      </c>
      <c r="C3072">
        <f>BASE_EQUIPOS!B3072</f>
        <v/>
      </c>
      <c r="D3072">
        <f>BASE_EQUIPOS!D3072</f>
        <v/>
      </c>
      <c r="E3072">
        <f>BASE_EQUIPOS!G3072</f>
        <v/>
      </c>
      <c r="F3072">
        <f>BASE_EQUIPOS!H3072</f>
        <v/>
      </c>
      <c r="G3072">
        <f>BASE_EQUIPOS!M3072</f>
        <v/>
      </c>
      <c r="I3072" t="inlineStr">
        <is>
          <t>000350</t>
        </is>
      </c>
    </row>
    <row r="3073">
      <c r="A3073">
        <f>TRIM(BASE_EQUIPOS!N3073)</f>
        <v/>
      </c>
      <c r="B3073">
        <f>BASE_EQUIPOS!A3073</f>
        <v/>
      </c>
      <c r="C3073">
        <f>BASE_EQUIPOS!B3073</f>
        <v/>
      </c>
      <c r="D3073">
        <f>BASE_EQUIPOS!D3073</f>
        <v/>
      </c>
      <c r="E3073">
        <f>BASE_EQUIPOS!G3073</f>
        <v/>
      </c>
      <c r="F3073">
        <f>BASE_EQUIPOS!H3073</f>
        <v/>
      </c>
      <c r="G3073">
        <f>BASE_EQUIPOS!M3073</f>
        <v/>
      </c>
      <c r="I3073" t="inlineStr">
        <is>
          <t>000031</t>
        </is>
      </c>
    </row>
    <row r="3074">
      <c r="A3074">
        <f>TRIM(BASE_EQUIPOS!N3074)</f>
        <v/>
      </c>
      <c r="B3074">
        <f>BASE_EQUIPOS!A3074</f>
        <v/>
      </c>
      <c r="C3074">
        <f>BASE_EQUIPOS!B3074</f>
        <v/>
      </c>
      <c r="D3074">
        <f>BASE_EQUIPOS!D3074</f>
        <v/>
      </c>
      <c r="E3074">
        <f>BASE_EQUIPOS!G3074</f>
        <v/>
      </c>
      <c r="F3074">
        <f>BASE_EQUIPOS!H3074</f>
        <v/>
      </c>
      <c r="G3074">
        <f>BASE_EQUIPOS!M3074</f>
        <v/>
      </c>
      <c r="I3074" t="inlineStr">
        <is>
          <t>000321</t>
        </is>
      </c>
    </row>
    <row r="3075">
      <c r="A3075">
        <f>TRIM(BASE_EQUIPOS!N3075)</f>
        <v/>
      </c>
      <c r="B3075">
        <f>BASE_EQUIPOS!A3075</f>
        <v/>
      </c>
      <c r="C3075">
        <f>BASE_EQUIPOS!B3075</f>
        <v/>
      </c>
      <c r="D3075">
        <f>BASE_EQUIPOS!D3075</f>
        <v/>
      </c>
      <c r="E3075">
        <f>BASE_EQUIPOS!G3075</f>
        <v/>
      </c>
      <c r="F3075">
        <f>BASE_EQUIPOS!H3075</f>
        <v/>
      </c>
      <c r="G3075">
        <f>BASE_EQUIPOS!M3075</f>
        <v/>
      </c>
      <c r="I3075" t="inlineStr">
        <is>
          <t>1027337</t>
        </is>
      </c>
    </row>
    <row r="3076">
      <c r="A3076">
        <f>TRIM(BASE_EQUIPOS!N3076)</f>
        <v/>
      </c>
      <c r="B3076">
        <f>BASE_EQUIPOS!A3076</f>
        <v/>
      </c>
      <c r="C3076">
        <f>BASE_EQUIPOS!B3076</f>
        <v/>
      </c>
      <c r="D3076">
        <f>BASE_EQUIPOS!D3076</f>
        <v/>
      </c>
      <c r="E3076">
        <f>BASE_EQUIPOS!G3076</f>
        <v/>
      </c>
      <c r="F3076">
        <f>BASE_EQUIPOS!H3076</f>
        <v/>
      </c>
      <c r="G3076">
        <f>BASE_EQUIPOS!M3076</f>
        <v/>
      </c>
      <c r="I3076" t="inlineStr">
        <is>
          <t>004498</t>
        </is>
      </c>
    </row>
    <row r="3077">
      <c r="A3077">
        <f>TRIM(BASE_EQUIPOS!N3077)</f>
        <v/>
      </c>
      <c r="B3077">
        <f>BASE_EQUIPOS!A3077</f>
        <v/>
      </c>
      <c r="C3077">
        <f>BASE_EQUIPOS!B3077</f>
        <v/>
      </c>
      <c r="D3077">
        <f>BASE_EQUIPOS!D3077</f>
        <v/>
      </c>
      <c r="E3077">
        <f>BASE_EQUIPOS!G3077</f>
        <v/>
      </c>
      <c r="F3077">
        <f>BASE_EQUIPOS!H3077</f>
        <v/>
      </c>
      <c r="G3077">
        <f>BASE_EQUIPOS!M3077</f>
        <v/>
      </c>
      <c r="I3077" t="inlineStr">
        <is>
          <t>07/000305</t>
        </is>
      </c>
    </row>
    <row r="3078">
      <c r="A3078">
        <f>TRIM(BASE_EQUIPOS!N3078)</f>
        <v/>
      </c>
      <c r="B3078">
        <f>BASE_EQUIPOS!A3078</f>
        <v/>
      </c>
      <c r="C3078">
        <f>BASE_EQUIPOS!B3078</f>
        <v/>
      </c>
      <c r="D3078">
        <f>BASE_EQUIPOS!D3078</f>
        <v/>
      </c>
      <c r="E3078">
        <f>BASE_EQUIPOS!G3078</f>
        <v/>
      </c>
      <c r="F3078">
        <f>BASE_EQUIPOS!H3078</f>
        <v/>
      </c>
      <c r="G3078">
        <f>BASE_EQUIPOS!M3078</f>
        <v/>
      </c>
      <c r="I3078" t="inlineStr">
        <is>
          <t>08/000134</t>
        </is>
      </c>
    </row>
    <row r="3079">
      <c r="A3079">
        <f>TRIM(BASE_EQUIPOS!N3079)</f>
        <v/>
      </c>
      <c r="B3079">
        <f>BASE_EQUIPOS!A3079</f>
        <v/>
      </c>
      <c r="C3079">
        <f>BASE_EQUIPOS!B3079</f>
        <v/>
      </c>
      <c r="D3079">
        <f>BASE_EQUIPOS!D3079</f>
        <v/>
      </c>
      <c r="E3079">
        <f>BASE_EQUIPOS!G3079</f>
        <v/>
      </c>
      <c r="F3079">
        <f>BASE_EQUIPOS!H3079</f>
        <v/>
      </c>
      <c r="G3079">
        <f>BASE_EQUIPOS!M3079</f>
        <v/>
      </c>
      <c r="I3079" t="inlineStr">
        <is>
          <t>09/000137</t>
        </is>
      </c>
    </row>
    <row r="3080">
      <c r="A3080">
        <f>TRIM(BASE_EQUIPOS!N3080)</f>
        <v/>
      </c>
      <c r="B3080">
        <f>BASE_EQUIPOS!A3080</f>
        <v/>
      </c>
      <c r="C3080">
        <f>BASE_EQUIPOS!B3080</f>
        <v/>
      </c>
      <c r="D3080">
        <f>BASE_EQUIPOS!D3080</f>
        <v/>
      </c>
      <c r="E3080">
        <f>BASE_EQUIPOS!G3080</f>
        <v/>
      </c>
      <c r="F3080">
        <f>BASE_EQUIPOS!H3080</f>
        <v/>
      </c>
      <c r="G3080">
        <f>BASE_EQUIPOS!M3080</f>
        <v/>
      </c>
      <c r="I3080" t="inlineStr">
        <is>
          <t>01/000528</t>
        </is>
      </c>
    </row>
    <row r="3081">
      <c r="A3081">
        <f>TRIM(BASE_EQUIPOS!N3081)</f>
        <v/>
      </c>
      <c r="B3081">
        <f>BASE_EQUIPOS!A3081</f>
        <v/>
      </c>
      <c r="C3081">
        <f>BASE_EQUIPOS!B3081</f>
        <v/>
      </c>
      <c r="D3081">
        <f>BASE_EQUIPOS!D3081</f>
        <v/>
      </c>
      <c r="E3081">
        <f>BASE_EQUIPOS!G3081</f>
        <v/>
      </c>
      <c r="F3081">
        <f>BASE_EQUIPOS!H3081</f>
        <v/>
      </c>
      <c r="G3081">
        <f>BASE_EQUIPOS!M3081</f>
        <v/>
      </c>
      <c r="I3081" t="inlineStr">
        <is>
          <t>02/005045</t>
        </is>
      </c>
    </row>
    <row r="3082">
      <c r="A3082">
        <f>TRIM(BASE_EQUIPOS!N3082)</f>
        <v/>
      </c>
      <c r="B3082">
        <f>BASE_EQUIPOS!A3082</f>
        <v/>
      </c>
      <c r="C3082">
        <f>BASE_EQUIPOS!B3082</f>
        <v/>
      </c>
      <c r="D3082">
        <f>BASE_EQUIPOS!D3082</f>
        <v/>
      </c>
      <c r="E3082">
        <f>BASE_EQUIPOS!G3082</f>
        <v/>
      </c>
      <c r="F3082">
        <f>BASE_EQUIPOS!H3082</f>
        <v/>
      </c>
      <c r="G3082">
        <f>BASE_EQUIPOS!M3082</f>
        <v/>
      </c>
      <c r="I3082" t="inlineStr">
        <is>
          <t>03/000280</t>
        </is>
      </c>
    </row>
    <row r="3083">
      <c r="A3083">
        <f>TRIM(BASE_EQUIPOS!N3083)</f>
        <v/>
      </c>
      <c r="B3083">
        <f>BASE_EQUIPOS!A3083</f>
        <v/>
      </c>
      <c r="C3083">
        <f>BASE_EQUIPOS!B3083</f>
        <v/>
      </c>
      <c r="D3083">
        <f>BASE_EQUIPOS!D3083</f>
        <v/>
      </c>
      <c r="E3083">
        <f>BASE_EQUIPOS!G3083</f>
        <v/>
      </c>
      <c r="F3083">
        <f>BASE_EQUIPOS!H3083</f>
        <v/>
      </c>
      <c r="G3083">
        <f>BASE_EQUIPOS!M3083</f>
        <v/>
      </c>
      <c r="I3083" t="inlineStr">
        <is>
          <t>04/001891</t>
        </is>
      </c>
    </row>
    <row r="3084">
      <c r="A3084">
        <f>TRIM(BASE_EQUIPOS!N3084)</f>
        <v/>
      </c>
      <c r="B3084">
        <f>BASE_EQUIPOS!A3084</f>
        <v/>
      </c>
      <c r="C3084">
        <f>BASE_EQUIPOS!B3084</f>
        <v/>
      </c>
      <c r="D3084">
        <f>BASE_EQUIPOS!D3084</f>
        <v/>
      </c>
      <c r="E3084">
        <f>BASE_EQUIPOS!G3084</f>
        <v/>
      </c>
      <c r="F3084">
        <f>BASE_EQUIPOS!H3084</f>
        <v/>
      </c>
      <c r="G3084">
        <f>BASE_EQUIPOS!M3084</f>
        <v/>
      </c>
      <c r="I3084" t="inlineStr">
        <is>
          <t>05/000896</t>
        </is>
      </c>
    </row>
    <row r="3085">
      <c r="A3085">
        <f>TRIM(BASE_EQUIPOS!N3085)</f>
        <v/>
      </c>
      <c r="B3085">
        <f>BASE_EQUIPOS!A3085</f>
        <v/>
      </c>
      <c r="C3085">
        <f>BASE_EQUIPOS!B3085</f>
        <v/>
      </c>
      <c r="D3085">
        <f>BASE_EQUIPOS!D3085</f>
        <v/>
      </c>
      <c r="E3085">
        <f>BASE_EQUIPOS!G3085</f>
        <v/>
      </c>
      <c r="F3085">
        <f>BASE_EQUIPOS!H3085</f>
        <v/>
      </c>
      <c r="G3085">
        <f>BASE_EQUIPOS!M3085</f>
        <v/>
      </c>
      <c r="I3085" t="inlineStr">
        <is>
          <t>06/000848</t>
        </is>
      </c>
    </row>
    <row r="3086">
      <c r="A3086">
        <f>TRIM(BASE_EQUIPOS!N3086)</f>
        <v/>
      </c>
      <c r="B3086">
        <f>BASE_EQUIPOS!A3086</f>
        <v/>
      </c>
      <c r="C3086">
        <f>BASE_EQUIPOS!B3086</f>
        <v/>
      </c>
      <c r="D3086">
        <f>BASE_EQUIPOS!D3086</f>
        <v/>
      </c>
      <c r="E3086">
        <f>BASE_EQUIPOS!G3086</f>
        <v/>
      </c>
      <c r="F3086">
        <f>BASE_EQUIPOS!H3086</f>
        <v/>
      </c>
      <c r="G3086">
        <f>BASE_EQUIPOS!M3086</f>
        <v/>
      </c>
      <c r="I3086" t="inlineStr">
        <is>
          <t>07/000451</t>
        </is>
      </c>
    </row>
    <row r="3087">
      <c r="A3087">
        <f>TRIM(BASE_EQUIPOS!N3087)</f>
        <v/>
      </c>
      <c r="B3087">
        <f>BASE_EQUIPOS!A3087</f>
        <v/>
      </c>
      <c r="C3087">
        <f>BASE_EQUIPOS!B3087</f>
        <v/>
      </c>
      <c r="D3087">
        <f>BASE_EQUIPOS!D3087</f>
        <v/>
      </c>
      <c r="E3087">
        <f>BASE_EQUIPOS!G3087</f>
        <v/>
      </c>
      <c r="F3087">
        <f>BASE_EQUIPOS!H3087</f>
        <v/>
      </c>
      <c r="G3087">
        <f>BASE_EQUIPOS!M3087</f>
        <v/>
      </c>
      <c r="I3087" t="inlineStr">
        <is>
          <t>08/000719</t>
        </is>
      </c>
    </row>
    <row r="3088">
      <c r="A3088">
        <f>TRIM(BASE_EQUIPOS!N3088)</f>
        <v/>
      </c>
      <c r="B3088">
        <f>BASE_EQUIPOS!A3088</f>
        <v/>
      </c>
      <c r="C3088">
        <f>BASE_EQUIPOS!B3088</f>
        <v/>
      </c>
      <c r="D3088">
        <f>BASE_EQUIPOS!D3088</f>
        <v/>
      </c>
      <c r="E3088">
        <f>BASE_EQUIPOS!G3088</f>
        <v/>
      </c>
      <c r="F3088">
        <f>BASE_EQUIPOS!H3088</f>
        <v/>
      </c>
      <c r="G3088">
        <f>BASE_EQUIPOS!M3088</f>
        <v/>
      </c>
      <c r="I3088" t="inlineStr">
        <is>
          <t>05/006797</t>
        </is>
      </c>
    </row>
    <row r="3089">
      <c r="A3089">
        <f>TRIM(BASE_EQUIPOS!N3089)</f>
        <v/>
      </c>
      <c r="B3089">
        <f>BASE_EQUIPOS!A3089</f>
        <v/>
      </c>
      <c r="C3089">
        <f>BASE_EQUIPOS!B3089</f>
        <v/>
      </c>
      <c r="D3089">
        <f>BASE_EQUIPOS!D3089</f>
        <v/>
      </c>
      <c r="E3089">
        <f>BASE_EQUIPOS!G3089</f>
        <v/>
      </c>
      <c r="F3089">
        <f>BASE_EQUIPOS!H3089</f>
        <v/>
      </c>
      <c r="G3089">
        <f>BASE_EQUIPOS!M3089</f>
        <v/>
      </c>
      <c r="I3089" t="inlineStr">
        <is>
          <t>100/000837</t>
        </is>
      </c>
    </row>
    <row r="3090">
      <c r="A3090">
        <f>TRIM(BASE_EQUIPOS!N3090)</f>
        <v/>
      </c>
      <c r="B3090">
        <f>BASE_EQUIPOS!A3090</f>
        <v/>
      </c>
      <c r="C3090">
        <f>BASE_EQUIPOS!B3090</f>
        <v/>
      </c>
      <c r="D3090">
        <f>BASE_EQUIPOS!D3090</f>
        <v/>
      </c>
      <c r="E3090">
        <f>BASE_EQUIPOS!G3090</f>
        <v/>
      </c>
      <c r="F3090">
        <f>BASE_EQUIPOS!H3090</f>
        <v/>
      </c>
      <c r="G3090">
        <f>BASE_EQUIPOS!M3090</f>
        <v/>
      </c>
      <c r="I3090" t="inlineStr">
        <is>
          <t>356/000313</t>
        </is>
      </c>
    </row>
    <row r="3091">
      <c r="A3091">
        <f>TRIM(BASE_EQUIPOS!N3091)</f>
        <v/>
      </c>
      <c r="B3091">
        <f>BASE_EQUIPOS!A3091</f>
        <v/>
      </c>
      <c r="C3091">
        <f>BASE_EQUIPOS!B3091</f>
        <v/>
      </c>
      <c r="D3091">
        <f>BASE_EQUIPOS!D3091</f>
        <v/>
      </c>
      <c r="E3091">
        <f>BASE_EQUIPOS!G3091</f>
        <v/>
      </c>
      <c r="F3091">
        <f>BASE_EQUIPOS!H3091</f>
        <v/>
      </c>
      <c r="G3091">
        <f>BASE_EQUIPOS!M3091</f>
        <v/>
      </c>
      <c r="I3091" t="inlineStr">
        <is>
          <t>359/004887</t>
        </is>
      </c>
    </row>
    <row r="3092">
      <c r="A3092">
        <f>TRIM(BASE_EQUIPOS!N3092)</f>
        <v/>
      </c>
      <c r="B3092">
        <f>BASE_EQUIPOS!A3092</f>
        <v/>
      </c>
      <c r="C3092">
        <f>BASE_EQUIPOS!B3092</f>
        <v/>
      </c>
      <c r="D3092">
        <f>BASE_EQUIPOS!D3092</f>
        <v/>
      </c>
      <c r="E3092">
        <f>BASE_EQUIPOS!G3092</f>
        <v/>
      </c>
      <c r="F3092">
        <f>BASE_EQUIPOS!H3092</f>
        <v/>
      </c>
      <c r="G3092">
        <f>BASE_EQUIPOS!M3092</f>
        <v/>
      </c>
      <c r="I3092" t="inlineStr">
        <is>
          <t>364/000005</t>
        </is>
      </c>
    </row>
    <row r="3093">
      <c r="A3093">
        <f>TRIM(BASE_EQUIPOS!N3093)</f>
        <v/>
      </c>
      <c r="B3093">
        <f>BASE_EQUIPOS!A3093</f>
        <v/>
      </c>
      <c r="C3093">
        <f>BASE_EQUIPOS!B3093</f>
        <v/>
      </c>
      <c r="D3093">
        <f>BASE_EQUIPOS!D3093</f>
        <v/>
      </c>
      <c r="E3093">
        <f>BASE_EQUIPOS!G3093</f>
        <v/>
      </c>
      <c r="F3093">
        <f>BASE_EQUIPOS!H3093</f>
        <v/>
      </c>
      <c r="G3093">
        <f>BASE_EQUIPOS!M3093</f>
        <v/>
      </c>
      <c r="I3093" t="inlineStr">
        <is>
          <t>01/000581</t>
        </is>
      </c>
    </row>
    <row r="3094">
      <c r="A3094">
        <f>TRIM(BASE_EQUIPOS!N3094)</f>
        <v/>
      </c>
      <c r="B3094">
        <f>BASE_EQUIPOS!A3094</f>
        <v/>
      </c>
      <c r="C3094">
        <f>BASE_EQUIPOS!B3094</f>
        <v/>
      </c>
      <c r="D3094">
        <f>BASE_EQUIPOS!D3094</f>
        <v/>
      </c>
      <c r="E3094">
        <f>BASE_EQUIPOS!G3094</f>
        <v/>
      </c>
      <c r="F3094">
        <f>BASE_EQUIPOS!H3094</f>
        <v/>
      </c>
      <c r="G3094">
        <f>BASE_EQUIPOS!M3094</f>
        <v/>
      </c>
      <c r="I3094" t="inlineStr">
        <is>
          <t>02/000499</t>
        </is>
      </c>
    </row>
    <row r="3095">
      <c r="A3095">
        <f>TRIM(BASE_EQUIPOS!N3095)</f>
        <v/>
      </c>
      <c r="B3095">
        <f>BASE_EQUIPOS!A3095</f>
        <v/>
      </c>
      <c r="C3095">
        <f>BASE_EQUIPOS!B3095</f>
        <v/>
      </c>
      <c r="D3095">
        <f>BASE_EQUIPOS!D3095</f>
        <v/>
      </c>
      <c r="E3095">
        <f>BASE_EQUIPOS!G3095</f>
        <v/>
      </c>
      <c r="F3095">
        <f>BASE_EQUIPOS!H3095</f>
        <v/>
      </c>
      <c r="G3095">
        <f>BASE_EQUIPOS!M3095</f>
        <v/>
      </c>
      <c r="I3095" t="inlineStr">
        <is>
          <t>03/003247</t>
        </is>
      </c>
    </row>
    <row r="3096">
      <c r="A3096">
        <f>TRIM(BASE_EQUIPOS!N3096)</f>
        <v/>
      </c>
      <c r="B3096">
        <f>BASE_EQUIPOS!A3096</f>
        <v/>
      </c>
      <c r="C3096">
        <f>BASE_EQUIPOS!B3096</f>
        <v/>
      </c>
      <c r="D3096">
        <f>BASE_EQUIPOS!D3096</f>
        <v/>
      </c>
      <c r="E3096">
        <f>BASE_EQUIPOS!G3096</f>
        <v/>
      </c>
      <c r="F3096">
        <f>BASE_EQUIPOS!H3096</f>
        <v/>
      </c>
      <c r="G3096">
        <f>BASE_EQUIPOS!M3096</f>
        <v/>
      </c>
      <c r="I3096" t="inlineStr">
        <is>
          <t>04/002981</t>
        </is>
      </c>
    </row>
    <row r="3097">
      <c r="A3097">
        <f>TRIM(BASE_EQUIPOS!N3097)</f>
        <v/>
      </c>
      <c r="B3097">
        <f>BASE_EQUIPOS!A3097</f>
        <v/>
      </c>
      <c r="C3097">
        <f>BASE_EQUIPOS!B3097</f>
        <v/>
      </c>
      <c r="D3097">
        <f>BASE_EQUIPOS!D3097</f>
        <v/>
      </c>
      <c r="E3097">
        <f>BASE_EQUIPOS!G3097</f>
        <v/>
      </c>
      <c r="F3097">
        <f>BASE_EQUIPOS!H3097</f>
        <v/>
      </c>
      <c r="G3097">
        <f>BASE_EQUIPOS!M3097</f>
        <v/>
      </c>
      <c r="I3097" t="inlineStr">
        <is>
          <t>05/002466</t>
        </is>
      </c>
    </row>
    <row r="3098">
      <c r="A3098">
        <f>TRIM(BASE_EQUIPOS!N3098)</f>
        <v/>
      </c>
      <c r="B3098">
        <f>BASE_EQUIPOS!A3098</f>
        <v/>
      </c>
      <c r="C3098">
        <f>BASE_EQUIPOS!B3098</f>
        <v/>
      </c>
      <c r="D3098">
        <f>BASE_EQUIPOS!D3098</f>
        <v/>
      </c>
      <c r="E3098">
        <f>BASE_EQUIPOS!G3098</f>
        <v/>
      </c>
      <c r="F3098">
        <f>BASE_EQUIPOS!H3098</f>
        <v/>
      </c>
      <c r="G3098">
        <f>BASE_EQUIPOS!M3098</f>
        <v/>
      </c>
      <c r="I3098" t="inlineStr">
        <is>
          <t>06/000499</t>
        </is>
      </c>
    </row>
    <row r="3099">
      <c r="A3099">
        <f>TRIM(BASE_EQUIPOS!N3099)</f>
        <v/>
      </c>
      <c r="B3099">
        <f>BASE_EQUIPOS!A3099</f>
        <v/>
      </c>
      <c r="C3099">
        <f>BASE_EQUIPOS!B3099</f>
        <v/>
      </c>
      <c r="D3099">
        <f>BASE_EQUIPOS!D3099</f>
        <v/>
      </c>
      <c r="E3099">
        <f>BASE_EQUIPOS!G3099</f>
        <v/>
      </c>
      <c r="F3099">
        <f>BASE_EQUIPOS!H3099</f>
        <v/>
      </c>
      <c r="G3099">
        <f>BASE_EQUIPOS!M3099</f>
        <v/>
      </c>
      <c r="I3099" t="inlineStr">
        <is>
          <t>01/002229</t>
        </is>
      </c>
    </row>
    <row r="3100">
      <c r="A3100">
        <f>TRIM(BASE_EQUIPOS!N3100)</f>
        <v/>
      </c>
      <c r="B3100">
        <f>BASE_EQUIPOS!A3100</f>
        <v/>
      </c>
      <c r="C3100">
        <f>BASE_EQUIPOS!B3100</f>
        <v/>
      </c>
      <c r="D3100">
        <f>BASE_EQUIPOS!D3100</f>
        <v/>
      </c>
      <c r="E3100">
        <f>BASE_EQUIPOS!G3100</f>
        <v/>
      </c>
      <c r="F3100">
        <f>BASE_EQUIPOS!H3100</f>
        <v/>
      </c>
      <c r="G3100">
        <f>BASE_EQUIPOS!M3100</f>
        <v/>
      </c>
      <c r="I3100" t="inlineStr">
        <is>
          <t>02/002169</t>
        </is>
      </c>
    </row>
    <row r="3101">
      <c r="A3101">
        <f>TRIM(BASE_EQUIPOS!N3101)</f>
        <v/>
      </c>
      <c r="B3101">
        <f>BASE_EQUIPOS!A3101</f>
        <v/>
      </c>
      <c r="C3101">
        <f>BASE_EQUIPOS!B3101</f>
        <v/>
      </c>
      <c r="D3101">
        <f>BASE_EQUIPOS!D3101</f>
        <v/>
      </c>
      <c r="E3101">
        <f>BASE_EQUIPOS!G3101</f>
        <v/>
      </c>
      <c r="F3101">
        <f>BASE_EQUIPOS!H3101</f>
        <v/>
      </c>
      <c r="G3101">
        <f>BASE_EQUIPOS!M3101</f>
        <v/>
      </c>
      <c r="I3101" t="inlineStr">
        <is>
          <t>03/001860</t>
        </is>
      </c>
    </row>
    <row r="3102">
      <c r="A3102">
        <f>TRIM(BASE_EQUIPOS!N3102)</f>
        <v/>
      </c>
      <c r="B3102">
        <f>BASE_EQUIPOS!A3102</f>
        <v/>
      </c>
      <c r="C3102">
        <f>BASE_EQUIPOS!B3102</f>
        <v/>
      </c>
      <c r="D3102">
        <f>BASE_EQUIPOS!D3102</f>
        <v/>
      </c>
      <c r="E3102">
        <f>BASE_EQUIPOS!G3102</f>
        <v/>
      </c>
      <c r="F3102">
        <f>BASE_EQUIPOS!H3102</f>
        <v/>
      </c>
      <c r="G3102">
        <f>BASE_EQUIPOS!M3102</f>
        <v/>
      </c>
      <c r="I3102" t="inlineStr">
        <is>
          <t>04/001864</t>
        </is>
      </c>
    </row>
    <row r="3103">
      <c r="A3103">
        <f>TRIM(BASE_EQUIPOS!N3103)</f>
        <v/>
      </c>
      <c r="B3103">
        <f>BASE_EQUIPOS!A3103</f>
        <v/>
      </c>
      <c r="C3103">
        <f>BASE_EQUIPOS!B3103</f>
        <v/>
      </c>
      <c r="D3103">
        <f>BASE_EQUIPOS!D3103</f>
        <v/>
      </c>
      <c r="E3103">
        <f>BASE_EQUIPOS!G3103</f>
        <v/>
      </c>
      <c r="F3103">
        <f>BASE_EQUIPOS!H3103</f>
        <v/>
      </c>
      <c r="G3103">
        <f>BASE_EQUIPOS!M3103</f>
        <v/>
      </c>
      <c r="I3103" t="inlineStr">
        <is>
          <t>05/001371</t>
        </is>
      </c>
    </row>
    <row r="3104">
      <c r="A3104">
        <f>TRIM(BASE_EQUIPOS!N3104)</f>
        <v/>
      </c>
      <c r="B3104">
        <f>BASE_EQUIPOS!A3104</f>
        <v/>
      </c>
      <c r="C3104">
        <f>BASE_EQUIPOS!B3104</f>
        <v/>
      </c>
      <c r="D3104">
        <f>BASE_EQUIPOS!D3104</f>
        <v/>
      </c>
      <c r="E3104">
        <f>BASE_EQUIPOS!G3104</f>
        <v/>
      </c>
      <c r="F3104">
        <f>BASE_EQUIPOS!H3104</f>
        <v/>
      </c>
      <c r="G3104">
        <f>BASE_EQUIPOS!M3104</f>
        <v/>
      </c>
      <c r="I3104" t="inlineStr">
        <is>
          <t>06/003246</t>
        </is>
      </c>
    </row>
    <row r="3105">
      <c r="A3105">
        <f>TRIM(BASE_EQUIPOS!N3105)</f>
        <v/>
      </c>
      <c r="B3105">
        <f>BASE_EQUIPOS!A3105</f>
        <v/>
      </c>
      <c r="C3105">
        <f>BASE_EQUIPOS!B3105</f>
        <v/>
      </c>
      <c r="D3105">
        <f>BASE_EQUIPOS!D3105</f>
        <v/>
      </c>
      <c r="E3105">
        <f>BASE_EQUIPOS!G3105</f>
        <v/>
      </c>
      <c r="F3105">
        <f>BASE_EQUIPOS!H3105</f>
        <v/>
      </c>
      <c r="G3105">
        <f>BASE_EQUIPOS!M3105</f>
        <v/>
      </c>
      <c r="I3105" t="inlineStr">
        <is>
          <t>07/000995</t>
        </is>
      </c>
    </row>
    <row r="3106">
      <c r="A3106">
        <f>TRIM(BASE_EQUIPOS!N3106)</f>
        <v/>
      </c>
      <c r="B3106">
        <f>BASE_EQUIPOS!A3106</f>
        <v/>
      </c>
      <c r="C3106">
        <f>BASE_EQUIPOS!B3106</f>
        <v/>
      </c>
      <c r="D3106">
        <f>BASE_EQUIPOS!D3106</f>
        <v/>
      </c>
      <c r="E3106">
        <f>BASE_EQUIPOS!G3106</f>
        <v/>
      </c>
      <c r="F3106">
        <f>BASE_EQUIPOS!H3106</f>
        <v/>
      </c>
      <c r="G3106">
        <f>BASE_EQUIPOS!M3106</f>
        <v/>
      </c>
      <c r="I3106" t="inlineStr">
        <is>
          <t>08/002766</t>
        </is>
      </c>
    </row>
    <row r="3107">
      <c r="A3107">
        <f>TRIM(BASE_EQUIPOS!N3107)</f>
        <v/>
      </c>
      <c r="B3107">
        <f>BASE_EQUIPOS!A3107</f>
        <v/>
      </c>
      <c r="C3107">
        <f>BASE_EQUIPOS!B3107</f>
        <v/>
      </c>
      <c r="D3107">
        <f>BASE_EQUIPOS!D3107</f>
        <v/>
      </c>
      <c r="E3107">
        <f>BASE_EQUIPOS!G3107</f>
        <v/>
      </c>
      <c r="F3107">
        <f>BASE_EQUIPOS!H3107</f>
        <v/>
      </c>
      <c r="G3107">
        <f>BASE_EQUIPOS!M3107</f>
        <v/>
      </c>
      <c r="I3107" t="inlineStr">
        <is>
          <t>09/002092</t>
        </is>
      </c>
    </row>
    <row r="3108">
      <c r="A3108">
        <f>TRIM(BASE_EQUIPOS!N3108)</f>
        <v/>
      </c>
      <c r="B3108">
        <f>BASE_EQUIPOS!A3108</f>
        <v/>
      </c>
      <c r="C3108">
        <f>BASE_EQUIPOS!B3108</f>
        <v/>
      </c>
      <c r="D3108">
        <f>BASE_EQUIPOS!D3108</f>
        <v/>
      </c>
      <c r="E3108">
        <f>BASE_EQUIPOS!G3108</f>
        <v/>
      </c>
      <c r="F3108">
        <f>BASE_EQUIPOS!H3108</f>
        <v/>
      </c>
      <c r="G3108">
        <f>BASE_EQUIPOS!M3108</f>
        <v/>
      </c>
      <c r="I3108" t="inlineStr">
        <is>
          <t>10/S/N</t>
        </is>
      </c>
    </row>
    <row r="3109">
      <c r="A3109">
        <f>TRIM(BASE_EQUIPOS!N3109)</f>
        <v/>
      </c>
      <c r="B3109">
        <f>BASE_EQUIPOS!A3109</f>
        <v/>
      </c>
      <c r="C3109">
        <f>BASE_EQUIPOS!B3109</f>
        <v/>
      </c>
      <c r="D3109">
        <f>BASE_EQUIPOS!D3109</f>
        <v/>
      </c>
      <c r="E3109">
        <f>BASE_EQUIPOS!G3109</f>
        <v/>
      </c>
      <c r="F3109">
        <f>BASE_EQUIPOS!H3109</f>
        <v/>
      </c>
      <c r="G3109">
        <f>BASE_EQUIPOS!M3109</f>
        <v/>
      </c>
      <c r="I3109" t="inlineStr">
        <is>
          <t>11/003091</t>
        </is>
      </c>
    </row>
    <row r="3110">
      <c r="A3110">
        <f>TRIM(BASE_EQUIPOS!N3110)</f>
        <v/>
      </c>
      <c r="B3110">
        <f>BASE_EQUIPOS!A3110</f>
        <v/>
      </c>
      <c r="C3110">
        <f>BASE_EQUIPOS!B3110</f>
        <v/>
      </c>
      <c r="D3110">
        <f>BASE_EQUIPOS!D3110</f>
        <v/>
      </c>
      <c r="E3110">
        <f>BASE_EQUIPOS!G3110</f>
        <v/>
      </c>
      <c r="F3110">
        <f>BASE_EQUIPOS!H3110</f>
        <v/>
      </c>
      <c r="G3110">
        <f>BASE_EQUIPOS!M3110</f>
        <v/>
      </c>
      <c r="I3110" t="inlineStr">
        <is>
          <t>12/002480</t>
        </is>
      </c>
    </row>
    <row r="3111">
      <c r="A3111">
        <f>TRIM(BASE_EQUIPOS!N3111)</f>
        <v/>
      </c>
      <c r="B3111">
        <f>BASE_EQUIPOS!A3111</f>
        <v/>
      </c>
      <c r="C3111">
        <f>BASE_EQUIPOS!B3111</f>
        <v/>
      </c>
      <c r="D3111">
        <f>BASE_EQUIPOS!D3111</f>
        <v/>
      </c>
      <c r="E3111">
        <f>BASE_EQUIPOS!G3111</f>
        <v/>
      </c>
      <c r="F3111">
        <f>BASE_EQUIPOS!H3111</f>
        <v/>
      </c>
      <c r="G3111">
        <f>BASE_EQUIPOS!M3111</f>
        <v/>
      </c>
      <c r="I3111" t="inlineStr">
        <is>
          <t>13/000485</t>
        </is>
      </c>
    </row>
    <row r="3112">
      <c r="A3112">
        <f>TRIM(BASE_EQUIPOS!N3112)</f>
        <v/>
      </c>
      <c r="B3112">
        <f>BASE_EQUIPOS!A3112</f>
        <v/>
      </c>
      <c r="C3112">
        <f>BASE_EQUIPOS!B3112</f>
        <v/>
      </c>
      <c r="D3112">
        <f>BASE_EQUIPOS!D3112</f>
        <v/>
      </c>
      <c r="E3112">
        <f>BASE_EQUIPOS!G3112</f>
        <v/>
      </c>
      <c r="F3112">
        <f>BASE_EQUIPOS!H3112</f>
        <v/>
      </c>
      <c r="G3112">
        <f>BASE_EQUIPOS!M3112</f>
        <v/>
      </c>
      <c r="I3112" t="inlineStr">
        <is>
          <t>02/000069</t>
        </is>
      </c>
    </row>
    <row r="3113">
      <c r="A3113">
        <f>TRIM(BASE_EQUIPOS!N3113)</f>
        <v/>
      </c>
      <c r="B3113">
        <f>BASE_EQUIPOS!A3113</f>
        <v/>
      </c>
      <c r="C3113">
        <f>BASE_EQUIPOS!B3113</f>
        <v/>
      </c>
      <c r="D3113">
        <f>BASE_EQUIPOS!D3113</f>
        <v/>
      </c>
      <c r="E3113">
        <f>BASE_EQUIPOS!G3113</f>
        <v/>
      </c>
      <c r="F3113">
        <f>BASE_EQUIPOS!H3113</f>
        <v/>
      </c>
      <c r="G3113">
        <f>BASE_EQUIPOS!M3113</f>
        <v/>
      </c>
      <c r="I3113" t="inlineStr">
        <is>
          <t>03/000044</t>
        </is>
      </c>
    </row>
    <row r="3114">
      <c r="A3114">
        <f>TRIM(BASE_EQUIPOS!N3114)</f>
        <v/>
      </c>
      <c r="B3114">
        <f>BASE_EQUIPOS!A3114</f>
        <v/>
      </c>
      <c r="C3114">
        <f>BASE_EQUIPOS!B3114</f>
        <v/>
      </c>
      <c r="D3114">
        <f>BASE_EQUIPOS!D3114</f>
        <v/>
      </c>
      <c r="E3114">
        <f>BASE_EQUIPOS!G3114</f>
        <v/>
      </c>
      <c r="F3114">
        <f>BASE_EQUIPOS!H3114</f>
        <v/>
      </c>
      <c r="G3114">
        <f>BASE_EQUIPOS!M3114</f>
        <v/>
      </c>
      <c r="I3114" t="inlineStr">
        <is>
          <t>05/000026</t>
        </is>
      </c>
    </row>
    <row r="3115">
      <c r="A3115">
        <f>TRIM(BASE_EQUIPOS!N3115)</f>
        <v/>
      </c>
      <c r="B3115">
        <f>BASE_EQUIPOS!A3115</f>
        <v/>
      </c>
      <c r="C3115">
        <f>BASE_EQUIPOS!B3115</f>
        <v/>
      </c>
      <c r="D3115">
        <f>BASE_EQUIPOS!D3115</f>
        <v/>
      </c>
      <c r="E3115">
        <f>BASE_EQUIPOS!G3115</f>
        <v/>
      </c>
      <c r="F3115">
        <f>BASE_EQUIPOS!H3115</f>
        <v/>
      </c>
      <c r="G3115">
        <f>BASE_EQUIPOS!M3115</f>
        <v/>
      </c>
      <c r="I3115" t="inlineStr">
        <is>
          <t>06/000325</t>
        </is>
      </c>
    </row>
    <row r="3116">
      <c r="A3116">
        <f>TRIM(BASE_EQUIPOS!N3116)</f>
        <v/>
      </c>
      <c r="B3116">
        <f>BASE_EQUIPOS!A3116</f>
        <v/>
      </c>
      <c r="C3116">
        <f>BASE_EQUIPOS!B3116</f>
        <v/>
      </c>
      <c r="D3116">
        <f>BASE_EQUIPOS!D3116</f>
        <v/>
      </c>
      <c r="E3116">
        <f>BASE_EQUIPOS!G3116</f>
        <v/>
      </c>
      <c r="F3116">
        <f>BASE_EQUIPOS!H3116</f>
        <v/>
      </c>
      <c r="G3116">
        <f>BASE_EQUIPOS!M3116</f>
        <v/>
      </c>
      <c r="I3116" t="inlineStr">
        <is>
          <t>08/000034</t>
        </is>
      </c>
    </row>
    <row r="3117">
      <c r="A3117">
        <f>TRIM(BASE_EQUIPOS!N3117)</f>
        <v/>
      </c>
      <c r="B3117">
        <f>BASE_EQUIPOS!A3117</f>
        <v/>
      </c>
      <c r="C3117">
        <f>BASE_EQUIPOS!B3117</f>
        <v/>
      </c>
      <c r="D3117">
        <f>BASE_EQUIPOS!D3117</f>
        <v/>
      </c>
      <c r="E3117">
        <f>BASE_EQUIPOS!G3117</f>
        <v/>
      </c>
      <c r="F3117">
        <f>BASE_EQUIPOS!H3117</f>
        <v/>
      </c>
      <c r="G3117">
        <f>BASE_EQUIPOS!M3117</f>
        <v/>
      </c>
      <c r="I3117" t="inlineStr">
        <is>
          <t>09/004664</t>
        </is>
      </c>
    </row>
    <row r="3118">
      <c r="A3118">
        <f>TRIM(BASE_EQUIPOS!N3118)</f>
        <v/>
      </c>
      <c r="B3118">
        <f>BASE_EQUIPOS!A3118</f>
        <v/>
      </c>
      <c r="C3118">
        <f>BASE_EQUIPOS!B3118</f>
        <v/>
      </c>
      <c r="D3118">
        <f>BASE_EQUIPOS!D3118</f>
        <v/>
      </c>
      <c r="E3118">
        <f>BASE_EQUIPOS!G3118</f>
        <v/>
      </c>
      <c r="F3118">
        <f>BASE_EQUIPOS!H3118</f>
        <v/>
      </c>
      <c r="G3118">
        <f>BASE_EQUIPOS!M3118</f>
        <v/>
      </c>
      <c r="I3118" t="inlineStr">
        <is>
          <t>10/000958</t>
        </is>
      </c>
    </row>
    <row r="3119">
      <c r="A3119">
        <f>TRIM(BASE_EQUIPOS!N3119)</f>
        <v/>
      </c>
      <c r="B3119">
        <f>BASE_EQUIPOS!A3119</f>
        <v/>
      </c>
      <c r="C3119">
        <f>BASE_EQUIPOS!B3119</f>
        <v/>
      </c>
      <c r="D3119">
        <f>BASE_EQUIPOS!D3119</f>
        <v/>
      </c>
      <c r="E3119">
        <f>BASE_EQUIPOS!G3119</f>
        <v/>
      </c>
      <c r="F3119">
        <f>BASE_EQUIPOS!H3119</f>
        <v/>
      </c>
      <c r="G3119">
        <f>BASE_EQUIPOS!M3119</f>
        <v/>
      </c>
      <c r="I3119" t="inlineStr">
        <is>
          <t>11/000115</t>
        </is>
      </c>
    </row>
    <row r="3120">
      <c r="A3120">
        <f>TRIM(BASE_EQUIPOS!N3120)</f>
        <v/>
      </c>
      <c r="B3120">
        <f>BASE_EQUIPOS!A3120</f>
        <v/>
      </c>
      <c r="C3120">
        <f>BASE_EQUIPOS!B3120</f>
        <v/>
      </c>
      <c r="D3120">
        <f>BASE_EQUIPOS!D3120</f>
        <v/>
      </c>
      <c r="E3120">
        <f>BASE_EQUIPOS!G3120</f>
        <v/>
      </c>
      <c r="F3120">
        <f>BASE_EQUIPOS!H3120</f>
        <v/>
      </c>
      <c r="G3120">
        <f>BASE_EQUIPOS!M3120</f>
        <v/>
      </c>
      <c r="I3120" t="inlineStr">
        <is>
          <t>12/003077</t>
        </is>
      </c>
    </row>
    <row r="3121">
      <c r="A3121">
        <f>TRIM(BASE_EQUIPOS!N3121)</f>
        <v/>
      </c>
      <c r="B3121">
        <f>BASE_EQUIPOS!A3121</f>
        <v/>
      </c>
      <c r="C3121">
        <f>BASE_EQUIPOS!B3121</f>
        <v/>
      </c>
      <c r="D3121">
        <f>BASE_EQUIPOS!D3121</f>
        <v/>
      </c>
      <c r="E3121">
        <f>BASE_EQUIPOS!G3121</f>
        <v/>
      </c>
      <c r="F3121">
        <f>BASE_EQUIPOS!H3121</f>
        <v/>
      </c>
      <c r="G3121">
        <f>BASE_EQUIPOS!M3121</f>
        <v/>
      </c>
      <c r="I3121" t="inlineStr">
        <is>
          <t>13/004124</t>
        </is>
      </c>
    </row>
    <row r="3122">
      <c r="A3122">
        <f>TRIM(BASE_EQUIPOS!N3122)</f>
        <v/>
      </c>
      <c r="B3122">
        <f>BASE_EQUIPOS!A3122</f>
        <v/>
      </c>
      <c r="C3122">
        <f>BASE_EQUIPOS!B3122</f>
        <v/>
      </c>
      <c r="D3122">
        <f>BASE_EQUIPOS!D3122</f>
        <v/>
      </c>
      <c r="E3122">
        <f>BASE_EQUIPOS!G3122</f>
        <v/>
      </c>
      <c r="F3122">
        <f>BASE_EQUIPOS!H3122</f>
        <v/>
      </c>
      <c r="G3122">
        <f>BASE_EQUIPOS!M3122</f>
        <v/>
      </c>
      <c r="I3122" t="inlineStr">
        <is>
          <t>14/000308</t>
        </is>
      </c>
    </row>
    <row r="3123">
      <c r="A3123">
        <f>TRIM(BASE_EQUIPOS!N3123)</f>
        <v/>
      </c>
      <c r="B3123">
        <f>BASE_EQUIPOS!A3123</f>
        <v/>
      </c>
      <c r="C3123">
        <f>BASE_EQUIPOS!B3123</f>
        <v/>
      </c>
      <c r="D3123">
        <f>BASE_EQUIPOS!D3123</f>
        <v/>
      </c>
      <c r="E3123">
        <f>BASE_EQUIPOS!G3123</f>
        <v/>
      </c>
      <c r="F3123">
        <f>BASE_EQUIPOS!H3123</f>
        <v/>
      </c>
      <c r="G3123">
        <f>BASE_EQUIPOS!M3123</f>
        <v/>
      </c>
      <c r="I3123" t="inlineStr">
        <is>
          <t>15/004738</t>
        </is>
      </c>
    </row>
    <row r="3124">
      <c r="A3124">
        <f>TRIM(BASE_EQUIPOS!N3124)</f>
        <v/>
      </c>
      <c r="B3124">
        <f>BASE_EQUIPOS!A3124</f>
        <v/>
      </c>
      <c r="C3124">
        <f>BASE_EQUIPOS!B3124</f>
        <v/>
      </c>
      <c r="D3124">
        <f>BASE_EQUIPOS!D3124</f>
        <v/>
      </c>
      <c r="E3124">
        <f>BASE_EQUIPOS!G3124</f>
        <v/>
      </c>
      <c r="F3124">
        <f>BASE_EQUIPOS!H3124</f>
        <v/>
      </c>
      <c r="G3124">
        <f>BASE_EQUIPOS!M3124</f>
        <v/>
      </c>
      <c r="I3124" t="inlineStr">
        <is>
          <t>16/001339</t>
        </is>
      </c>
    </row>
    <row r="3125">
      <c r="A3125">
        <f>TRIM(BASE_EQUIPOS!N3125)</f>
        <v/>
      </c>
      <c r="B3125">
        <f>BASE_EQUIPOS!A3125</f>
        <v/>
      </c>
      <c r="C3125">
        <f>BASE_EQUIPOS!B3125</f>
        <v/>
      </c>
      <c r="D3125">
        <f>BASE_EQUIPOS!D3125</f>
        <v/>
      </c>
      <c r="E3125">
        <f>BASE_EQUIPOS!G3125</f>
        <v/>
      </c>
      <c r="F3125">
        <f>BASE_EQUIPOS!H3125</f>
        <v/>
      </c>
      <c r="G3125">
        <f>BASE_EQUIPOS!M3125</f>
        <v/>
      </c>
      <c r="I3125" t="inlineStr">
        <is>
          <t>17/000034</t>
        </is>
      </c>
    </row>
    <row r="3126">
      <c r="A3126">
        <f>TRIM(BASE_EQUIPOS!N3126)</f>
        <v/>
      </c>
      <c r="B3126">
        <f>BASE_EQUIPOS!A3126</f>
        <v/>
      </c>
      <c r="C3126">
        <f>BASE_EQUIPOS!B3126</f>
        <v/>
      </c>
      <c r="D3126">
        <f>BASE_EQUIPOS!D3126</f>
        <v/>
      </c>
      <c r="E3126">
        <f>BASE_EQUIPOS!G3126</f>
        <v/>
      </c>
      <c r="F3126">
        <f>BASE_EQUIPOS!H3126</f>
        <v/>
      </c>
      <c r="G3126">
        <f>BASE_EQUIPOS!M3126</f>
        <v/>
      </c>
      <c r="I3126" t="inlineStr">
        <is>
          <t>18/004916</t>
        </is>
      </c>
    </row>
    <row r="3127">
      <c r="A3127">
        <f>TRIM(BASE_EQUIPOS!N3127)</f>
        <v/>
      </c>
      <c r="B3127">
        <f>BASE_EQUIPOS!A3127</f>
        <v/>
      </c>
      <c r="C3127">
        <f>BASE_EQUIPOS!B3127</f>
        <v/>
      </c>
      <c r="D3127">
        <f>BASE_EQUIPOS!D3127</f>
        <v/>
      </c>
      <c r="E3127">
        <f>BASE_EQUIPOS!G3127</f>
        <v/>
      </c>
      <c r="F3127">
        <f>BASE_EQUIPOS!H3127</f>
        <v/>
      </c>
      <c r="G3127">
        <f>BASE_EQUIPOS!M3127</f>
        <v/>
      </c>
      <c r="I3127" t="inlineStr">
        <is>
          <t>01/004903</t>
        </is>
      </c>
    </row>
    <row r="3128">
      <c r="A3128">
        <f>TRIM(BASE_EQUIPOS!N3128)</f>
        <v/>
      </c>
      <c r="B3128">
        <f>BASE_EQUIPOS!A3128</f>
        <v/>
      </c>
      <c r="C3128">
        <f>BASE_EQUIPOS!B3128</f>
        <v/>
      </c>
      <c r="D3128">
        <f>BASE_EQUIPOS!D3128</f>
        <v/>
      </c>
      <c r="E3128">
        <f>BASE_EQUIPOS!G3128</f>
        <v/>
      </c>
      <c r="F3128">
        <f>BASE_EQUIPOS!H3128</f>
        <v/>
      </c>
      <c r="G3128">
        <f>BASE_EQUIPOS!M3128</f>
        <v/>
      </c>
      <c r="I3128" t="inlineStr">
        <is>
          <t>07/000590</t>
        </is>
      </c>
    </row>
    <row r="3129">
      <c r="A3129">
        <f>TRIM(BASE_EQUIPOS!N3129)</f>
        <v/>
      </c>
      <c r="B3129">
        <f>BASE_EQUIPOS!A3129</f>
        <v/>
      </c>
      <c r="C3129">
        <f>BASE_EQUIPOS!B3129</f>
        <v/>
      </c>
      <c r="D3129">
        <f>BASE_EQUIPOS!D3129</f>
        <v/>
      </c>
      <c r="E3129">
        <f>BASE_EQUIPOS!G3129</f>
        <v/>
      </c>
      <c r="F3129">
        <f>BASE_EQUIPOS!H3129</f>
        <v/>
      </c>
      <c r="G3129">
        <f>BASE_EQUIPOS!M3129</f>
        <v/>
      </c>
      <c r="I3129" t="inlineStr">
        <is>
          <t>21/000345</t>
        </is>
      </c>
    </row>
    <row r="3130">
      <c r="A3130">
        <f>TRIM(BASE_EQUIPOS!N3130)</f>
        <v/>
      </c>
      <c r="B3130">
        <f>BASE_EQUIPOS!A3130</f>
        <v/>
      </c>
      <c r="C3130">
        <f>BASE_EQUIPOS!B3130</f>
        <v/>
      </c>
      <c r="D3130">
        <f>BASE_EQUIPOS!D3130</f>
        <v/>
      </c>
      <c r="E3130">
        <f>BASE_EQUIPOS!G3130</f>
        <v/>
      </c>
      <c r="F3130">
        <f>BASE_EQUIPOS!H3130</f>
        <v/>
      </c>
      <c r="G3130">
        <f>BASE_EQUIPOS!M3130</f>
        <v/>
      </c>
      <c r="I3130" t="inlineStr">
        <is>
          <t>22/004912</t>
        </is>
      </c>
    </row>
    <row r="3131">
      <c r="A3131">
        <f>TRIM(BASE_EQUIPOS!N3131)</f>
        <v/>
      </c>
      <c r="B3131">
        <f>BASE_EQUIPOS!A3131</f>
        <v/>
      </c>
      <c r="C3131">
        <f>BASE_EQUIPOS!B3131</f>
        <v/>
      </c>
      <c r="D3131">
        <f>BASE_EQUIPOS!D3131</f>
        <v/>
      </c>
      <c r="E3131">
        <f>BASE_EQUIPOS!G3131</f>
        <v/>
      </c>
      <c r="F3131">
        <f>BASE_EQUIPOS!H3131</f>
        <v/>
      </c>
      <c r="G3131">
        <f>BASE_EQUIPOS!M3131</f>
        <v/>
      </c>
      <c r="I3131" t="inlineStr">
        <is>
          <t>24/003299</t>
        </is>
      </c>
    </row>
    <row r="3132">
      <c r="A3132">
        <f>TRIM(BASE_EQUIPOS!N3132)</f>
        <v/>
      </c>
      <c r="B3132">
        <f>BASE_EQUIPOS!A3132</f>
        <v/>
      </c>
      <c r="C3132">
        <f>BASE_EQUIPOS!B3132</f>
        <v/>
      </c>
      <c r="D3132">
        <f>BASE_EQUIPOS!D3132</f>
        <v/>
      </c>
      <c r="E3132">
        <f>BASE_EQUIPOS!G3132</f>
        <v/>
      </c>
      <c r="F3132">
        <f>BASE_EQUIPOS!H3132</f>
        <v/>
      </c>
      <c r="G3132">
        <f>BASE_EQUIPOS!M3132</f>
        <v/>
      </c>
      <c r="I3132" t="inlineStr">
        <is>
          <t>28/000073</t>
        </is>
      </c>
    </row>
    <row r="3133">
      <c r="A3133">
        <f>TRIM(BASE_EQUIPOS!N3133)</f>
        <v/>
      </c>
      <c r="B3133">
        <f>BASE_EQUIPOS!A3133</f>
        <v/>
      </c>
      <c r="C3133">
        <f>BASE_EQUIPOS!B3133</f>
        <v/>
      </c>
      <c r="D3133">
        <f>BASE_EQUIPOS!D3133</f>
        <v/>
      </c>
      <c r="E3133">
        <f>BASE_EQUIPOS!G3133</f>
        <v/>
      </c>
      <c r="F3133">
        <f>BASE_EQUIPOS!H3133</f>
        <v/>
      </c>
      <c r="G3133">
        <f>BASE_EQUIPOS!M3133</f>
        <v/>
      </c>
      <c r="I3133" t="inlineStr">
        <is>
          <t>44/000092</t>
        </is>
      </c>
    </row>
    <row r="3134">
      <c r="A3134">
        <f>TRIM(BASE_EQUIPOS!N3134)</f>
        <v/>
      </c>
      <c r="B3134">
        <f>BASE_EQUIPOS!A3134</f>
        <v/>
      </c>
      <c r="C3134">
        <f>BASE_EQUIPOS!B3134</f>
        <v/>
      </c>
      <c r="D3134">
        <f>BASE_EQUIPOS!D3134</f>
        <v/>
      </c>
      <c r="E3134">
        <f>BASE_EQUIPOS!G3134</f>
        <v/>
      </c>
      <c r="F3134">
        <f>BASE_EQUIPOS!H3134</f>
        <v/>
      </c>
      <c r="G3134">
        <f>BASE_EQUIPOS!M3134</f>
        <v/>
      </c>
      <c r="I3134" t="inlineStr">
        <is>
          <t>50/A34222906</t>
        </is>
      </c>
    </row>
    <row r="3135">
      <c r="A3135">
        <f>TRIM(BASE_EQUIPOS!N3135)</f>
        <v/>
      </c>
      <c r="B3135">
        <f>BASE_EQUIPOS!A3135</f>
        <v/>
      </c>
      <c r="C3135">
        <f>BASE_EQUIPOS!B3135</f>
        <v/>
      </c>
      <c r="D3135">
        <f>BASE_EQUIPOS!D3135</f>
        <v/>
      </c>
      <c r="E3135">
        <f>BASE_EQUIPOS!G3135</f>
        <v/>
      </c>
      <c r="F3135">
        <f>BASE_EQUIPOS!H3135</f>
        <v/>
      </c>
      <c r="G3135">
        <f>BASE_EQUIPOS!M3135</f>
        <v/>
      </c>
      <c r="I3135" t="inlineStr">
        <is>
          <t>52/003295</t>
        </is>
      </c>
    </row>
    <row r="3136">
      <c r="A3136">
        <f>TRIM(BASE_EQUIPOS!N3136)</f>
        <v/>
      </c>
      <c r="B3136">
        <f>BASE_EQUIPOS!A3136</f>
        <v/>
      </c>
      <c r="C3136">
        <f>BASE_EQUIPOS!B3136</f>
        <v/>
      </c>
      <c r="D3136">
        <f>BASE_EQUIPOS!D3136</f>
        <v/>
      </c>
      <c r="E3136">
        <f>BASE_EQUIPOS!G3136</f>
        <v/>
      </c>
      <c r="F3136">
        <f>BASE_EQUIPOS!H3136</f>
        <v/>
      </c>
      <c r="G3136">
        <f>BASE_EQUIPOS!M3136</f>
        <v/>
      </c>
      <c r="I3136" t="inlineStr">
        <is>
          <t>60/004905</t>
        </is>
      </c>
    </row>
    <row r="3137">
      <c r="A3137">
        <f>TRIM(BASE_EQUIPOS!N3137)</f>
        <v/>
      </c>
      <c r="B3137">
        <f>BASE_EQUIPOS!A3137</f>
        <v/>
      </c>
      <c r="C3137">
        <f>BASE_EQUIPOS!B3137</f>
        <v/>
      </c>
      <c r="D3137">
        <f>BASE_EQUIPOS!D3137</f>
        <v/>
      </c>
      <c r="E3137">
        <f>BASE_EQUIPOS!G3137</f>
        <v/>
      </c>
      <c r="F3137">
        <f>BASE_EQUIPOS!H3137</f>
        <v/>
      </c>
      <c r="G3137">
        <f>BASE_EQUIPOS!M3137</f>
        <v/>
      </c>
      <c r="I3137" t="inlineStr">
        <is>
          <t>61/004889</t>
        </is>
      </c>
    </row>
    <row r="3138">
      <c r="A3138">
        <f>TRIM(BASE_EQUIPOS!N3138)</f>
        <v/>
      </c>
      <c r="B3138">
        <f>BASE_EQUIPOS!A3138</f>
        <v/>
      </c>
      <c r="C3138">
        <f>BASE_EQUIPOS!B3138</f>
        <v/>
      </c>
      <c r="D3138">
        <f>BASE_EQUIPOS!D3138</f>
        <v/>
      </c>
      <c r="E3138">
        <f>BASE_EQUIPOS!G3138</f>
        <v/>
      </c>
      <c r="F3138">
        <f>BASE_EQUIPOS!H3138</f>
        <v/>
      </c>
      <c r="G3138">
        <f>BASE_EQUIPOS!M3138</f>
        <v/>
      </c>
      <c r="I3138" t="inlineStr">
        <is>
          <t>19/020965</t>
        </is>
      </c>
    </row>
    <row r="3139">
      <c r="A3139">
        <f>TRIM(BASE_EQUIPOS!N3139)</f>
        <v/>
      </c>
      <c r="B3139">
        <f>BASE_EQUIPOS!A3139</f>
        <v/>
      </c>
      <c r="C3139">
        <f>BASE_EQUIPOS!B3139</f>
        <v/>
      </c>
      <c r="D3139">
        <f>BASE_EQUIPOS!D3139</f>
        <v/>
      </c>
      <c r="E3139">
        <f>BASE_EQUIPOS!G3139</f>
        <v/>
      </c>
      <c r="F3139">
        <f>BASE_EQUIPOS!H3139</f>
        <v/>
      </c>
      <c r="G3139">
        <f>BASE_EQUIPOS!M3139</f>
        <v/>
      </c>
      <c r="I3139" t="inlineStr">
        <is>
          <t>20/004405</t>
        </is>
      </c>
    </row>
    <row r="3140">
      <c r="A3140">
        <f>TRIM(BASE_EQUIPOS!N3140)</f>
        <v/>
      </c>
      <c r="B3140">
        <f>BASE_EQUIPOS!A3140</f>
        <v/>
      </c>
      <c r="C3140">
        <f>BASE_EQUIPOS!B3140</f>
        <v/>
      </c>
      <c r="D3140">
        <f>BASE_EQUIPOS!D3140</f>
        <v/>
      </c>
      <c r="E3140">
        <f>BASE_EQUIPOS!G3140</f>
        <v/>
      </c>
      <c r="F3140">
        <f>BASE_EQUIPOS!H3140</f>
        <v/>
      </c>
      <c r="G3140">
        <f>BASE_EQUIPOS!M3140</f>
        <v/>
      </c>
      <c r="I3140" t="inlineStr">
        <is>
          <t>23/000625</t>
        </is>
      </c>
    </row>
    <row r="3141">
      <c r="A3141">
        <f>TRIM(BASE_EQUIPOS!N3141)</f>
        <v/>
      </c>
      <c r="B3141">
        <f>BASE_EQUIPOS!A3141</f>
        <v/>
      </c>
      <c r="C3141">
        <f>BASE_EQUIPOS!B3141</f>
        <v/>
      </c>
      <c r="D3141">
        <f>BASE_EQUIPOS!D3141</f>
        <v/>
      </c>
      <c r="E3141">
        <f>BASE_EQUIPOS!G3141</f>
        <v/>
      </c>
      <c r="F3141">
        <f>BASE_EQUIPOS!H3141</f>
        <v/>
      </c>
      <c r="G3141">
        <f>BASE_EQUIPOS!M3141</f>
        <v/>
      </c>
      <c r="I3141" t="inlineStr">
        <is>
          <t>25/001172</t>
        </is>
      </c>
    </row>
    <row r="3142">
      <c r="A3142">
        <f>TRIM(BASE_EQUIPOS!N3142)</f>
        <v/>
      </c>
      <c r="B3142">
        <f>BASE_EQUIPOS!A3142</f>
        <v/>
      </c>
      <c r="C3142">
        <f>BASE_EQUIPOS!B3142</f>
        <v/>
      </c>
      <c r="D3142">
        <f>BASE_EQUIPOS!D3142</f>
        <v/>
      </c>
      <c r="E3142">
        <f>BASE_EQUIPOS!G3142</f>
        <v/>
      </c>
      <c r="F3142">
        <f>BASE_EQUIPOS!H3142</f>
        <v/>
      </c>
      <c r="G3142">
        <f>BASE_EQUIPOS!M3142</f>
        <v/>
      </c>
      <c r="I3142" t="inlineStr">
        <is>
          <t>26/004655</t>
        </is>
      </c>
    </row>
    <row r="3143">
      <c r="A3143">
        <f>TRIM(BASE_EQUIPOS!N3143)</f>
        <v/>
      </c>
      <c r="B3143">
        <f>BASE_EQUIPOS!A3143</f>
        <v/>
      </c>
      <c r="C3143">
        <f>BASE_EQUIPOS!B3143</f>
        <v/>
      </c>
      <c r="D3143">
        <f>BASE_EQUIPOS!D3143</f>
        <v/>
      </c>
      <c r="E3143">
        <f>BASE_EQUIPOS!G3143</f>
        <v/>
      </c>
      <c r="F3143">
        <f>BASE_EQUIPOS!H3143</f>
        <v/>
      </c>
      <c r="G3143">
        <f>BASE_EQUIPOS!M3143</f>
        <v/>
      </c>
      <c r="I3143" t="inlineStr">
        <is>
          <t>27/004754</t>
        </is>
      </c>
    </row>
    <row r="3144">
      <c r="A3144">
        <f>TRIM(BASE_EQUIPOS!N3144)</f>
        <v/>
      </c>
      <c r="B3144">
        <f>BASE_EQUIPOS!A3144</f>
        <v/>
      </c>
      <c r="C3144">
        <f>BASE_EQUIPOS!B3144</f>
        <v/>
      </c>
      <c r="D3144">
        <f>BASE_EQUIPOS!D3144</f>
        <v/>
      </c>
      <c r="E3144">
        <f>BASE_EQUIPOS!G3144</f>
        <v/>
      </c>
      <c r="F3144">
        <f>BASE_EQUIPOS!H3144</f>
        <v/>
      </c>
      <c r="G3144">
        <f>BASE_EQUIPOS!M3144</f>
        <v/>
      </c>
      <c r="I3144" t="inlineStr">
        <is>
          <t>29/000889</t>
        </is>
      </c>
    </row>
    <row r="3145">
      <c r="A3145">
        <f>TRIM(BASE_EQUIPOS!N3145)</f>
        <v/>
      </c>
      <c r="B3145">
        <f>BASE_EQUIPOS!A3145</f>
        <v/>
      </c>
      <c r="C3145">
        <f>BASE_EQUIPOS!B3145</f>
        <v/>
      </c>
      <c r="D3145">
        <f>BASE_EQUIPOS!D3145</f>
        <v/>
      </c>
      <c r="E3145">
        <f>BASE_EQUIPOS!G3145</f>
        <v/>
      </c>
      <c r="F3145">
        <f>BASE_EQUIPOS!H3145</f>
        <v/>
      </c>
      <c r="G3145">
        <f>BASE_EQUIPOS!M3145</f>
        <v/>
      </c>
      <c r="I3145" t="inlineStr">
        <is>
          <t>30/003158</t>
        </is>
      </c>
    </row>
    <row r="3146">
      <c r="A3146">
        <f>TRIM(BASE_EQUIPOS!N3146)</f>
        <v/>
      </c>
      <c r="B3146">
        <f>BASE_EQUIPOS!A3146</f>
        <v/>
      </c>
      <c r="C3146">
        <f>BASE_EQUIPOS!B3146</f>
        <v/>
      </c>
      <c r="D3146">
        <f>BASE_EQUIPOS!D3146</f>
        <v/>
      </c>
      <c r="E3146">
        <f>BASE_EQUIPOS!G3146</f>
        <v/>
      </c>
      <c r="F3146">
        <f>BASE_EQUIPOS!H3146</f>
        <v/>
      </c>
      <c r="G3146">
        <f>BASE_EQUIPOS!M3146</f>
        <v/>
      </c>
      <c r="I3146" t="inlineStr">
        <is>
          <t>31/004853</t>
        </is>
      </c>
    </row>
    <row r="3147">
      <c r="A3147">
        <f>TRIM(BASE_EQUIPOS!N3147)</f>
        <v/>
      </c>
      <c r="B3147">
        <f>BASE_EQUIPOS!A3147</f>
        <v/>
      </c>
      <c r="C3147">
        <f>BASE_EQUIPOS!B3147</f>
        <v/>
      </c>
      <c r="D3147">
        <f>BASE_EQUIPOS!D3147</f>
        <v/>
      </c>
      <c r="E3147">
        <f>BASE_EQUIPOS!G3147</f>
        <v/>
      </c>
      <c r="F3147">
        <f>BASE_EQUIPOS!H3147</f>
        <v/>
      </c>
      <c r="G3147">
        <f>BASE_EQUIPOS!M3147</f>
        <v/>
      </c>
      <c r="I3147" t="inlineStr">
        <is>
          <t>32/000343</t>
        </is>
      </c>
    </row>
    <row r="3148">
      <c r="A3148">
        <f>TRIM(BASE_EQUIPOS!N3148)</f>
        <v/>
      </c>
      <c r="B3148">
        <f>BASE_EQUIPOS!A3148</f>
        <v/>
      </c>
      <c r="C3148">
        <f>BASE_EQUIPOS!B3148</f>
        <v/>
      </c>
      <c r="D3148">
        <f>BASE_EQUIPOS!D3148</f>
        <v/>
      </c>
      <c r="E3148">
        <f>BASE_EQUIPOS!G3148</f>
        <v/>
      </c>
      <c r="F3148">
        <f>BASE_EQUIPOS!H3148</f>
        <v/>
      </c>
      <c r="G3148">
        <f>BASE_EQUIPOS!M3148</f>
        <v/>
      </c>
      <c r="I3148" t="inlineStr">
        <is>
          <t>33/000052</t>
        </is>
      </c>
    </row>
    <row r="3149">
      <c r="A3149">
        <f>TRIM(BASE_EQUIPOS!N3149)</f>
        <v/>
      </c>
      <c r="B3149">
        <f>BASE_EQUIPOS!A3149</f>
        <v/>
      </c>
      <c r="C3149">
        <f>BASE_EQUIPOS!B3149</f>
        <v/>
      </c>
      <c r="D3149">
        <f>BASE_EQUIPOS!D3149</f>
        <v/>
      </c>
      <c r="E3149">
        <f>BASE_EQUIPOS!G3149</f>
        <v/>
      </c>
      <c r="F3149">
        <f>BASE_EQUIPOS!H3149</f>
        <v/>
      </c>
      <c r="G3149">
        <f>BASE_EQUIPOS!M3149</f>
        <v/>
      </c>
      <c r="I3149" t="inlineStr">
        <is>
          <t>34/000658</t>
        </is>
      </c>
    </row>
    <row r="3150">
      <c r="A3150">
        <f>TRIM(BASE_EQUIPOS!N3150)</f>
        <v/>
      </c>
      <c r="B3150">
        <f>BASE_EQUIPOS!A3150</f>
        <v/>
      </c>
      <c r="C3150">
        <f>BASE_EQUIPOS!B3150</f>
        <v/>
      </c>
      <c r="D3150">
        <f>BASE_EQUIPOS!D3150</f>
        <v/>
      </c>
      <c r="E3150">
        <f>BASE_EQUIPOS!G3150</f>
        <v/>
      </c>
      <c r="F3150">
        <f>BASE_EQUIPOS!H3150</f>
        <v/>
      </c>
      <c r="G3150">
        <f>BASE_EQUIPOS!M3150</f>
        <v/>
      </c>
      <c r="I3150" t="inlineStr">
        <is>
          <t>35/003522</t>
        </is>
      </c>
    </row>
    <row r="3151">
      <c r="A3151">
        <f>TRIM(BASE_EQUIPOS!N3151)</f>
        <v/>
      </c>
      <c r="B3151">
        <f>BASE_EQUIPOS!A3151</f>
        <v/>
      </c>
      <c r="C3151">
        <f>BASE_EQUIPOS!B3151</f>
        <v/>
      </c>
      <c r="D3151">
        <f>BASE_EQUIPOS!D3151</f>
        <v/>
      </c>
      <c r="E3151">
        <f>BASE_EQUIPOS!G3151</f>
        <v/>
      </c>
      <c r="F3151">
        <f>BASE_EQUIPOS!H3151</f>
        <v/>
      </c>
      <c r="G3151">
        <f>BASE_EQUIPOS!M3151</f>
        <v/>
      </c>
      <c r="I3151" t="inlineStr">
        <is>
          <t>36/002049</t>
        </is>
      </c>
    </row>
    <row r="3152">
      <c r="A3152">
        <f>TRIM(BASE_EQUIPOS!N3152)</f>
        <v/>
      </c>
      <c r="B3152">
        <f>BASE_EQUIPOS!A3152</f>
        <v/>
      </c>
      <c r="C3152">
        <f>BASE_EQUIPOS!B3152</f>
        <v/>
      </c>
      <c r="D3152">
        <f>BASE_EQUIPOS!D3152</f>
        <v/>
      </c>
      <c r="E3152">
        <f>BASE_EQUIPOS!G3152</f>
        <v/>
      </c>
      <c r="F3152">
        <f>BASE_EQUIPOS!H3152</f>
        <v/>
      </c>
      <c r="G3152">
        <f>BASE_EQUIPOS!M3152</f>
        <v/>
      </c>
      <c r="I3152" t="inlineStr">
        <is>
          <t>37/000221</t>
        </is>
      </c>
    </row>
    <row r="3153">
      <c r="A3153">
        <f>TRIM(BASE_EQUIPOS!N3153)</f>
        <v/>
      </c>
      <c r="B3153">
        <f>BASE_EQUIPOS!A3153</f>
        <v/>
      </c>
      <c r="C3153">
        <f>BASE_EQUIPOS!B3153</f>
        <v/>
      </c>
      <c r="D3153">
        <f>BASE_EQUIPOS!D3153</f>
        <v/>
      </c>
      <c r="E3153">
        <f>BASE_EQUIPOS!G3153</f>
        <v/>
      </c>
      <c r="F3153">
        <f>BASE_EQUIPOS!H3153</f>
        <v/>
      </c>
      <c r="G3153">
        <f>BASE_EQUIPOS!M3153</f>
        <v/>
      </c>
      <c r="I3153" t="inlineStr">
        <is>
          <t>38/001748</t>
        </is>
      </c>
    </row>
    <row r="3154">
      <c r="A3154">
        <f>TRIM(BASE_EQUIPOS!N3154)</f>
        <v/>
      </c>
      <c r="B3154">
        <f>BASE_EQUIPOS!A3154</f>
        <v/>
      </c>
      <c r="C3154">
        <f>BASE_EQUIPOS!B3154</f>
        <v/>
      </c>
      <c r="D3154">
        <f>BASE_EQUIPOS!D3154</f>
        <v/>
      </c>
      <c r="E3154">
        <f>BASE_EQUIPOS!G3154</f>
        <v/>
      </c>
      <c r="F3154">
        <f>BASE_EQUIPOS!H3154</f>
        <v/>
      </c>
      <c r="G3154">
        <f>BASE_EQUIPOS!M3154</f>
        <v/>
      </c>
      <c r="I3154" t="inlineStr">
        <is>
          <t>39/003259</t>
        </is>
      </c>
    </row>
    <row r="3155">
      <c r="A3155">
        <f>TRIM(BASE_EQUIPOS!N3155)</f>
        <v/>
      </c>
      <c r="B3155">
        <f>BASE_EQUIPOS!A3155</f>
        <v/>
      </c>
      <c r="C3155">
        <f>BASE_EQUIPOS!B3155</f>
        <v/>
      </c>
      <c r="D3155">
        <f>BASE_EQUIPOS!D3155</f>
        <v/>
      </c>
      <c r="E3155">
        <f>BASE_EQUIPOS!G3155</f>
        <v/>
      </c>
      <c r="F3155">
        <f>BASE_EQUIPOS!H3155</f>
        <v/>
      </c>
      <c r="G3155">
        <f>BASE_EQUIPOS!M3155</f>
        <v/>
      </c>
      <c r="I3155" t="inlineStr">
        <is>
          <t>40/000213</t>
        </is>
      </c>
    </row>
    <row r="3156">
      <c r="A3156">
        <f>TRIM(BASE_EQUIPOS!N3156)</f>
        <v/>
      </c>
      <c r="B3156">
        <f>BASE_EQUIPOS!A3156</f>
        <v/>
      </c>
      <c r="C3156">
        <f>BASE_EQUIPOS!B3156</f>
        <v/>
      </c>
      <c r="D3156">
        <f>BASE_EQUIPOS!D3156</f>
        <v/>
      </c>
      <c r="E3156">
        <f>BASE_EQUIPOS!G3156</f>
        <v/>
      </c>
      <c r="F3156">
        <f>BASE_EQUIPOS!H3156</f>
        <v/>
      </c>
      <c r="G3156">
        <f>BASE_EQUIPOS!M3156</f>
        <v/>
      </c>
      <c r="I3156" t="inlineStr">
        <is>
          <t>41/000964</t>
        </is>
      </c>
    </row>
    <row r="3157">
      <c r="A3157">
        <f>TRIM(BASE_EQUIPOS!N3157)</f>
        <v/>
      </c>
      <c r="B3157">
        <f>BASE_EQUIPOS!A3157</f>
        <v/>
      </c>
      <c r="C3157">
        <f>BASE_EQUIPOS!B3157</f>
        <v/>
      </c>
      <c r="D3157">
        <f>BASE_EQUIPOS!D3157</f>
        <v/>
      </c>
      <c r="E3157">
        <f>BASE_EQUIPOS!G3157</f>
        <v/>
      </c>
      <c r="F3157">
        <f>BASE_EQUIPOS!H3157</f>
        <v/>
      </c>
      <c r="G3157">
        <f>BASE_EQUIPOS!M3157</f>
        <v/>
      </c>
      <c r="I3157" t="inlineStr">
        <is>
          <t>42/003744</t>
        </is>
      </c>
    </row>
    <row r="3158">
      <c r="A3158">
        <f>TRIM(BASE_EQUIPOS!N3158)</f>
        <v/>
      </c>
      <c r="B3158">
        <f>BASE_EQUIPOS!A3158</f>
        <v/>
      </c>
      <c r="C3158">
        <f>BASE_EQUIPOS!B3158</f>
        <v/>
      </c>
      <c r="D3158">
        <f>BASE_EQUIPOS!D3158</f>
        <v/>
      </c>
      <c r="E3158">
        <f>BASE_EQUIPOS!G3158</f>
        <v/>
      </c>
      <c r="F3158">
        <f>BASE_EQUIPOS!H3158</f>
        <v/>
      </c>
      <c r="G3158">
        <f>BASE_EQUIPOS!M3158</f>
        <v/>
      </c>
      <c r="I3158" t="inlineStr">
        <is>
          <t>43/004141</t>
        </is>
      </c>
    </row>
    <row r="3159">
      <c r="A3159">
        <f>TRIM(BASE_EQUIPOS!N3159)</f>
        <v/>
      </c>
      <c r="B3159">
        <f>BASE_EQUIPOS!A3159</f>
        <v/>
      </c>
      <c r="C3159">
        <f>BASE_EQUIPOS!B3159</f>
        <v/>
      </c>
      <c r="D3159">
        <f>BASE_EQUIPOS!D3159</f>
        <v/>
      </c>
      <c r="E3159">
        <f>BASE_EQUIPOS!G3159</f>
        <v/>
      </c>
      <c r="F3159">
        <f>BASE_EQUIPOS!H3159</f>
        <v/>
      </c>
      <c r="G3159">
        <f>BASE_EQUIPOS!M3159</f>
        <v/>
      </c>
      <c r="I3159" t="inlineStr">
        <is>
          <t>45/003824</t>
        </is>
      </c>
    </row>
    <row r="3160">
      <c r="A3160">
        <f>TRIM(BASE_EQUIPOS!N3160)</f>
        <v/>
      </c>
      <c r="B3160">
        <f>BASE_EQUIPOS!A3160</f>
        <v/>
      </c>
      <c r="C3160">
        <f>BASE_EQUIPOS!B3160</f>
        <v/>
      </c>
      <c r="D3160">
        <f>BASE_EQUIPOS!D3160</f>
        <v/>
      </c>
      <c r="E3160">
        <f>BASE_EQUIPOS!G3160</f>
        <v/>
      </c>
      <c r="F3160">
        <f>BASE_EQUIPOS!H3160</f>
        <v/>
      </c>
      <c r="G3160">
        <f>BASE_EQUIPOS!M3160</f>
        <v/>
      </c>
      <c r="I3160" t="inlineStr">
        <is>
          <t>46/001079</t>
        </is>
      </c>
    </row>
    <row r="3161">
      <c r="A3161">
        <f>TRIM(BASE_EQUIPOS!N3161)</f>
        <v/>
      </c>
      <c r="B3161">
        <f>BASE_EQUIPOS!A3161</f>
        <v/>
      </c>
      <c r="C3161">
        <f>BASE_EQUIPOS!B3161</f>
        <v/>
      </c>
      <c r="D3161">
        <f>BASE_EQUIPOS!D3161</f>
        <v/>
      </c>
      <c r="E3161">
        <f>BASE_EQUIPOS!G3161</f>
        <v/>
      </c>
      <c r="F3161">
        <f>BASE_EQUIPOS!H3161</f>
        <v/>
      </c>
      <c r="G3161">
        <f>BASE_EQUIPOS!M3161</f>
        <v/>
      </c>
      <c r="I3161" t="inlineStr">
        <is>
          <t>47/000703</t>
        </is>
      </c>
    </row>
    <row r="3162">
      <c r="A3162">
        <f>TRIM(BASE_EQUIPOS!N3162)</f>
        <v/>
      </c>
      <c r="B3162">
        <f>BASE_EQUIPOS!A3162</f>
        <v/>
      </c>
      <c r="C3162">
        <f>BASE_EQUIPOS!B3162</f>
        <v/>
      </c>
      <c r="D3162">
        <f>BASE_EQUIPOS!D3162</f>
        <v/>
      </c>
      <c r="E3162">
        <f>BASE_EQUIPOS!G3162</f>
        <v/>
      </c>
      <c r="F3162">
        <f>BASE_EQUIPOS!H3162</f>
        <v/>
      </c>
      <c r="G3162">
        <f>BASE_EQUIPOS!M3162</f>
        <v/>
      </c>
      <c r="I3162" t="inlineStr">
        <is>
          <t>48/001437</t>
        </is>
      </c>
    </row>
    <row r="3163">
      <c r="A3163">
        <f>TRIM(BASE_EQUIPOS!N3163)</f>
        <v/>
      </c>
      <c r="B3163">
        <f>BASE_EQUIPOS!A3163</f>
        <v/>
      </c>
      <c r="C3163">
        <f>BASE_EQUIPOS!B3163</f>
        <v/>
      </c>
      <c r="D3163">
        <f>BASE_EQUIPOS!D3163</f>
        <v/>
      </c>
      <c r="E3163">
        <f>BASE_EQUIPOS!G3163</f>
        <v/>
      </c>
      <c r="F3163">
        <f>BASE_EQUIPOS!H3163</f>
        <v/>
      </c>
      <c r="G3163">
        <f>BASE_EQUIPOS!M3163</f>
        <v/>
      </c>
      <c r="I3163" t="inlineStr">
        <is>
          <t>49/001205</t>
        </is>
      </c>
    </row>
    <row r="3164">
      <c r="A3164">
        <f>TRIM(BASE_EQUIPOS!N3164)</f>
        <v/>
      </c>
      <c r="B3164">
        <f>BASE_EQUIPOS!A3164</f>
        <v/>
      </c>
      <c r="C3164">
        <f>BASE_EQUIPOS!B3164</f>
        <v/>
      </c>
      <c r="D3164">
        <f>BASE_EQUIPOS!D3164</f>
        <v/>
      </c>
      <c r="E3164">
        <f>BASE_EQUIPOS!G3164</f>
        <v/>
      </c>
      <c r="F3164">
        <f>BASE_EQUIPOS!H3164</f>
        <v/>
      </c>
      <c r="G3164">
        <f>BASE_EQUIPOS!M3164</f>
        <v/>
      </c>
      <c r="I3164" t="inlineStr">
        <is>
          <t>52/000123</t>
        </is>
      </c>
    </row>
    <row r="3165">
      <c r="A3165">
        <f>TRIM(BASE_EQUIPOS!N3165)</f>
        <v/>
      </c>
      <c r="B3165">
        <f>BASE_EQUIPOS!A3165</f>
        <v/>
      </c>
      <c r="C3165">
        <f>BASE_EQUIPOS!B3165</f>
        <v/>
      </c>
      <c r="D3165">
        <f>BASE_EQUIPOS!D3165</f>
        <v/>
      </c>
      <c r="E3165">
        <f>BASE_EQUIPOS!G3165</f>
        <v/>
      </c>
      <c r="F3165">
        <f>BASE_EQUIPOS!H3165</f>
        <v/>
      </c>
      <c r="G3165">
        <f>BASE_EQUIPOS!M3165</f>
        <v/>
      </c>
      <c r="I3165" t="inlineStr">
        <is>
          <t>53/003434</t>
        </is>
      </c>
    </row>
    <row r="3166">
      <c r="A3166">
        <f>TRIM(BASE_EQUIPOS!N3166)</f>
        <v/>
      </c>
      <c r="B3166">
        <f>BASE_EQUIPOS!A3166</f>
        <v/>
      </c>
      <c r="C3166">
        <f>BASE_EQUIPOS!B3166</f>
        <v/>
      </c>
      <c r="D3166">
        <f>BASE_EQUIPOS!D3166</f>
        <v/>
      </c>
      <c r="E3166">
        <f>BASE_EQUIPOS!G3166</f>
        <v/>
      </c>
      <c r="F3166">
        <f>BASE_EQUIPOS!H3166</f>
        <v/>
      </c>
      <c r="G3166">
        <f>BASE_EQUIPOS!M3166</f>
        <v/>
      </c>
      <c r="I3166" t="inlineStr">
        <is>
          <t>54/000850</t>
        </is>
      </c>
    </row>
    <row r="3167">
      <c r="A3167">
        <f>TRIM(BASE_EQUIPOS!N3167)</f>
        <v/>
      </c>
      <c r="B3167">
        <f>BASE_EQUIPOS!A3167</f>
        <v/>
      </c>
      <c r="C3167">
        <f>BASE_EQUIPOS!B3167</f>
        <v/>
      </c>
      <c r="D3167">
        <f>BASE_EQUIPOS!D3167</f>
        <v/>
      </c>
      <c r="E3167">
        <f>BASE_EQUIPOS!G3167</f>
        <v/>
      </c>
      <c r="F3167">
        <f>BASE_EQUIPOS!H3167</f>
        <v/>
      </c>
      <c r="G3167">
        <f>BASE_EQUIPOS!M3167</f>
        <v/>
      </c>
      <c r="I3167" t="inlineStr">
        <is>
          <t>55/009932</t>
        </is>
      </c>
    </row>
    <row r="3168">
      <c r="A3168">
        <f>TRIM(BASE_EQUIPOS!N3168)</f>
        <v/>
      </c>
      <c r="B3168">
        <f>BASE_EQUIPOS!A3168</f>
        <v/>
      </c>
      <c r="C3168">
        <f>BASE_EQUIPOS!B3168</f>
        <v/>
      </c>
      <c r="D3168">
        <f>BASE_EQUIPOS!D3168</f>
        <v/>
      </c>
      <c r="E3168">
        <f>BASE_EQUIPOS!G3168</f>
        <v/>
      </c>
      <c r="F3168">
        <f>BASE_EQUIPOS!H3168</f>
        <v/>
      </c>
      <c r="G3168">
        <f>BASE_EQUIPOS!M3168</f>
        <v/>
      </c>
      <c r="I3168" t="inlineStr">
        <is>
          <t>56/000375</t>
        </is>
      </c>
    </row>
    <row r="3169">
      <c r="A3169">
        <f>TRIM(BASE_EQUIPOS!N3169)</f>
        <v/>
      </c>
      <c r="B3169">
        <f>BASE_EQUIPOS!A3169</f>
        <v/>
      </c>
      <c r="C3169">
        <f>BASE_EQUIPOS!B3169</f>
        <v/>
      </c>
      <c r="D3169">
        <f>BASE_EQUIPOS!D3169</f>
        <v/>
      </c>
      <c r="E3169">
        <f>BASE_EQUIPOS!G3169</f>
        <v/>
      </c>
      <c r="F3169">
        <f>BASE_EQUIPOS!H3169</f>
        <v/>
      </c>
      <c r="G3169">
        <f>BASE_EQUIPOS!M3169</f>
        <v/>
      </c>
      <c r="I3169" t="inlineStr">
        <is>
          <t>57/000379</t>
        </is>
      </c>
    </row>
    <row r="3170">
      <c r="A3170">
        <f>TRIM(BASE_EQUIPOS!N3170)</f>
        <v/>
      </c>
      <c r="B3170">
        <f>BASE_EQUIPOS!A3170</f>
        <v/>
      </c>
      <c r="C3170">
        <f>BASE_EQUIPOS!B3170</f>
        <v/>
      </c>
      <c r="D3170">
        <f>BASE_EQUIPOS!D3170</f>
        <v/>
      </c>
      <c r="E3170">
        <f>BASE_EQUIPOS!G3170</f>
        <v/>
      </c>
      <c r="F3170">
        <f>BASE_EQUIPOS!H3170</f>
        <v/>
      </c>
      <c r="G3170">
        <f>BASE_EQUIPOS!M3170</f>
        <v/>
      </c>
      <c r="I3170" t="inlineStr">
        <is>
          <t>58/000079</t>
        </is>
      </c>
    </row>
    <row r="3171">
      <c r="A3171">
        <f>TRIM(BASE_EQUIPOS!N3171)</f>
        <v/>
      </c>
      <c r="B3171">
        <f>BASE_EQUIPOS!A3171</f>
        <v/>
      </c>
      <c r="C3171">
        <f>BASE_EQUIPOS!B3171</f>
        <v/>
      </c>
      <c r="D3171">
        <f>BASE_EQUIPOS!D3171</f>
        <v/>
      </c>
      <c r="E3171">
        <f>BASE_EQUIPOS!G3171</f>
        <v/>
      </c>
      <c r="F3171">
        <f>BASE_EQUIPOS!H3171</f>
        <v/>
      </c>
      <c r="G3171">
        <f>BASE_EQUIPOS!M3171</f>
        <v/>
      </c>
      <c r="I3171" t="inlineStr">
        <is>
          <t>59/000509</t>
        </is>
      </c>
    </row>
    <row r="3172">
      <c r="A3172">
        <f>TRIM(BASE_EQUIPOS!N3172)</f>
        <v/>
      </c>
      <c r="B3172">
        <f>BASE_EQUIPOS!A3172</f>
        <v/>
      </c>
      <c r="C3172">
        <f>BASE_EQUIPOS!B3172</f>
        <v/>
      </c>
      <c r="D3172">
        <f>BASE_EQUIPOS!D3172</f>
        <v/>
      </c>
      <c r="E3172">
        <f>BASE_EQUIPOS!G3172</f>
        <v/>
      </c>
      <c r="F3172">
        <f>BASE_EQUIPOS!H3172</f>
        <v/>
      </c>
      <c r="G3172">
        <f>BASE_EQUIPOS!M3172</f>
        <v/>
      </c>
      <c r="I3172" t="inlineStr">
        <is>
          <t>04/000015</t>
        </is>
      </c>
    </row>
    <row r="3173">
      <c r="A3173">
        <f>TRIM(BASE_EQUIPOS!N3173)</f>
        <v/>
      </c>
      <c r="B3173">
        <f>BASE_EQUIPOS!A3173</f>
        <v/>
      </c>
      <c r="C3173">
        <f>BASE_EQUIPOS!B3173</f>
        <v/>
      </c>
      <c r="D3173">
        <f>BASE_EQUIPOS!D3173</f>
        <v/>
      </c>
      <c r="E3173">
        <f>BASE_EQUIPOS!G3173</f>
        <v/>
      </c>
      <c r="F3173">
        <f>BASE_EQUIPOS!H3173</f>
        <v/>
      </c>
      <c r="G3173">
        <f>BASE_EQUIPOS!M3173</f>
        <v/>
      </c>
      <c r="I3173" t="inlineStr">
        <is>
          <t>61/001492</t>
        </is>
      </c>
    </row>
    <row r="3174">
      <c r="A3174">
        <f>TRIM(BASE_EQUIPOS!N3174)</f>
        <v/>
      </c>
      <c r="B3174">
        <f>BASE_EQUIPOS!A3174</f>
        <v/>
      </c>
      <c r="C3174">
        <f>BASE_EQUIPOS!B3174</f>
        <v/>
      </c>
      <c r="D3174">
        <f>BASE_EQUIPOS!D3174</f>
        <v/>
      </c>
      <c r="E3174">
        <f>BASE_EQUIPOS!G3174</f>
        <v/>
      </c>
      <c r="F3174">
        <f>BASE_EQUIPOS!H3174</f>
        <v/>
      </c>
      <c r="G3174">
        <f>BASE_EQUIPOS!M3174</f>
        <v/>
      </c>
      <c r="I3174" t="inlineStr">
        <is>
          <t>371/000202</t>
        </is>
      </c>
    </row>
    <row r="3175">
      <c r="A3175">
        <f>TRIM(BASE_EQUIPOS!N3175)</f>
        <v/>
      </c>
      <c r="B3175">
        <f>BASE_EQUIPOS!A3175</f>
        <v/>
      </c>
      <c r="C3175">
        <f>BASE_EQUIPOS!B3175</f>
        <v/>
      </c>
      <c r="D3175">
        <f>BASE_EQUIPOS!D3175</f>
        <v/>
      </c>
      <c r="E3175">
        <f>BASE_EQUIPOS!G3175</f>
        <v/>
      </c>
      <c r="F3175">
        <f>BASE_EQUIPOS!H3175</f>
        <v/>
      </c>
      <c r="G3175">
        <f>BASE_EQUIPOS!M3175</f>
        <v/>
      </c>
      <c r="I3175" t="inlineStr">
        <is>
          <t>372/000066</t>
        </is>
      </c>
    </row>
    <row r="3176">
      <c r="A3176">
        <f>TRIM(BASE_EQUIPOS!N3176)</f>
        <v/>
      </c>
      <c r="B3176">
        <f>BASE_EQUIPOS!A3176</f>
        <v/>
      </c>
      <c r="C3176">
        <f>BASE_EQUIPOS!B3176</f>
        <v/>
      </c>
      <c r="D3176">
        <f>BASE_EQUIPOS!D3176</f>
        <v/>
      </c>
      <c r="E3176">
        <f>BASE_EQUIPOS!G3176</f>
        <v/>
      </c>
      <c r="F3176">
        <f>BASE_EQUIPOS!H3176</f>
        <v/>
      </c>
      <c r="G3176">
        <f>BASE_EQUIPOS!M3176</f>
        <v/>
      </c>
      <c r="I3176" t="inlineStr">
        <is>
          <t>106/000688</t>
        </is>
      </c>
    </row>
    <row r="3177">
      <c r="A3177">
        <f>TRIM(BASE_EQUIPOS!N3177)</f>
        <v/>
      </c>
      <c r="B3177">
        <f>BASE_EQUIPOS!A3177</f>
        <v/>
      </c>
      <c r="C3177">
        <f>BASE_EQUIPOS!B3177</f>
        <v/>
      </c>
      <c r="D3177">
        <f>BASE_EQUIPOS!D3177</f>
        <v/>
      </c>
      <c r="E3177">
        <f>BASE_EQUIPOS!G3177</f>
        <v/>
      </c>
      <c r="F3177">
        <f>BASE_EQUIPOS!H3177</f>
        <v/>
      </c>
      <c r="G3177">
        <f>BASE_EQUIPOS!M3177</f>
        <v/>
      </c>
      <c r="I3177" t="inlineStr">
        <is>
          <t>06/006790</t>
        </is>
      </c>
    </row>
    <row r="3178">
      <c r="A3178">
        <f>TRIM(BASE_EQUIPOS!N3178)</f>
        <v/>
      </c>
      <c r="B3178">
        <f>BASE_EQUIPOS!A3178</f>
        <v/>
      </c>
      <c r="C3178">
        <f>BASE_EQUIPOS!B3178</f>
        <v/>
      </c>
      <c r="D3178">
        <f>BASE_EQUIPOS!D3178</f>
        <v/>
      </c>
      <c r="E3178">
        <f>BASE_EQUIPOS!G3178</f>
        <v/>
      </c>
      <c r="F3178">
        <f>BASE_EQUIPOS!H3178</f>
        <v/>
      </c>
      <c r="G3178">
        <f>BASE_EQUIPOS!M3178</f>
        <v/>
      </c>
      <c r="I3178" t="inlineStr">
        <is>
          <t>07/004806</t>
        </is>
      </c>
    </row>
    <row r="3179">
      <c r="A3179">
        <f>TRIM(BASE_EQUIPOS!N3179)</f>
        <v/>
      </c>
      <c r="B3179">
        <f>BASE_EQUIPOS!A3179</f>
        <v/>
      </c>
      <c r="C3179">
        <f>BASE_EQUIPOS!B3179</f>
        <v/>
      </c>
      <c r="D3179">
        <f>BASE_EQUIPOS!D3179</f>
        <v/>
      </c>
      <c r="E3179">
        <f>BASE_EQUIPOS!G3179</f>
        <v/>
      </c>
      <c r="F3179">
        <f>BASE_EQUIPOS!H3179</f>
        <v/>
      </c>
      <c r="G3179">
        <f>BASE_EQUIPOS!M3179</f>
        <v/>
      </c>
      <c r="I3179" t="inlineStr">
        <is>
          <t>01/004122</t>
        </is>
      </c>
    </row>
    <row r="3180">
      <c r="A3180">
        <f>TRIM(BASE_EQUIPOS!N3180)</f>
        <v/>
      </c>
      <c r="B3180">
        <f>BASE_EQUIPOS!A3180</f>
        <v/>
      </c>
      <c r="C3180">
        <f>BASE_EQUIPOS!B3180</f>
        <v/>
      </c>
      <c r="D3180">
        <f>BASE_EQUIPOS!D3180</f>
        <v/>
      </c>
      <c r="E3180">
        <f>BASE_EQUIPOS!G3180</f>
        <v/>
      </c>
      <c r="F3180">
        <f>BASE_EQUIPOS!H3180</f>
        <v/>
      </c>
      <c r="G3180">
        <f>BASE_EQUIPOS!M3180</f>
        <v/>
      </c>
      <c r="I3180" t="inlineStr">
        <is>
          <t>02/000100</t>
        </is>
      </c>
    </row>
    <row r="3181">
      <c r="A3181">
        <f>TRIM(BASE_EQUIPOS!N3181)</f>
        <v/>
      </c>
      <c r="B3181">
        <f>BASE_EQUIPOS!A3181</f>
        <v/>
      </c>
      <c r="C3181">
        <f>BASE_EQUIPOS!B3181</f>
        <v/>
      </c>
      <c r="D3181">
        <f>BASE_EQUIPOS!D3181</f>
        <v/>
      </c>
      <c r="E3181">
        <f>BASE_EQUIPOS!G3181</f>
        <v/>
      </c>
      <c r="F3181">
        <f>BASE_EQUIPOS!H3181</f>
        <v/>
      </c>
      <c r="G3181">
        <f>BASE_EQUIPOS!M3181</f>
        <v/>
      </c>
      <c r="I3181" t="inlineStr">
        <is>
          <t>03/003744</t>
        </is>
      </c>
    </row>
    <row r="3182">
      <c r="A3182">
        <f>TRIM(BASE_EQUIPOS!N3182)</f>
        <v/>
      </c>
      <c r="B3182">
        <f>BASE_EQUIPOS!A3182</f>
        <v/>
      </c>
      <c r="C3182">
        <f>BASE_EQUIPOS!B3182</f>
        <v/>
      </c>
      <c r="D3182">
        <f>BASE_EQUIPOS!D3182</f>
        <v/>
      </c>
      <c r="E3182">
        <f>BASE_EQUIPOS!G3182</f>
        <v/>
      </c>
      <c r="F3182">
        <f>BASE_EQUIPOS!H3182</f>
        <v/>
      </c>
      <c r="G3182">
        <f>BASE_EQUIPOS!M3182</f>
        <v/>
      </c>
      <c r="I3182" t="inlineStr">
        <is>
          <t>04/003702</t>
        </is>
      </c>
    </row>
    <row r="3183">
      <c r="A3183">
        <f>TRIM(BASE_EQUIPOS!N3183)</f>
        <v/>
      </c>
      <c r="B3183">
        <f>BASE_EQUIPOS!A3183</f>
        <v/>
      </c>
      <c r="C3183">
        <f>BASE_EQUIPOS!B3183</f>
        <v/>
      </c>
      <c r="D3183">
        <f>BASE_EQUIPOS!D3183</f>
        <v/>
      </c>
      <c r="E3183">
        <f>BASE_EQUIPOS!G3183</f>
        <v/>
      </c>
      <c r="F3183">
        <f>BASE_EQUIPOS!H3183</f>
        <v/>
      </c>
      <c r="G3183">
        <f>BASE_EQUIPOS!M3183</f>
        <v/>
      </c>
      <c r="I3183" t="inlineStr">
        <is>
          <t>05/000520</t>
        </is>
      </c>
    </row>
    <row r="3184">
      <c r="A3184">
        <f>TRIM(BASE_EQUIPOS!N3184)</f>
        <v/>
      </c>
      <c r="B3184">
        <f>BASE_EQUIPOS!A3184</f>
        <v/>
      </c>
      <c r="C3184">
        <f>BASE_EQUIPOS!B3184</f>
        <v/>
      </c>
      <c r="D3184">
        <f>BASE_EQUIPOS!D3184</f>
        <v/>
      </c>
      <c r="E3184">
        <f>BASE_EQUIPOS!G3184</f>
        <v/>
      </c>
      <c r="F3184">
        <f>BASE_EQUIPOS!H3184</f>
        <v/>
      </c>
      <c r="G3184">
        <f>BASE_EQUIPOS!M3184</f>
        <v/>
      </c>
      <c r="I3184" t="inlineStr">
        <is>
          <t>02/035572</t>
        </is>
      </c>
    </row>
    <row r="3185">
      <c r="A3185">
        <f>TRIM(BASE_EQUIPOS!N3185)</f>
        <v/>
      </c>
      <c r="B3185">
        <f>BASE_EQUIPOS!A3185</f>
        <v/>
      </c>
      <c r="C3185">
        <f>BASE_EQUIPOS!B3185</f>
        <v/>
      </c>
      <c r="D3185">
        <f>BASE_EQUIPOS!D3185</f>
        <v/>
      </c>
      <c r="E3185">
        <f>BASE_EQUIPOS!G3185</f>
        <v/>
      </c>
      <c r="F3185">
        <f>BASE_EQUIPOS!H3185</f>
        <v/>
      </c>
      <c r="G3185">
        <f>BASE_EQUIPOS!M3185</f>
        <v/>
      </c>
      <c r="I3185" t="inlineStr">
        <is>
          <t>03/034870</t>
        </is>
      </c>
    </row>
    <row r="3186">
      <c r="A3186">
        <f>TRIM(BASE_EQUIPOS!N3186)</f>
        <v/>
      </c>
      <c r="B3186">
        <f>BASE_EQUIPOS!A3186</f>
        <v/>
      </c>
      <c r="C3186">
        <f>BASE_EQUIPOS!B3186</f>
        <v/>
      </c>
      <c r="D3186">
        <f>BASE_EQUIPOS!D3186</f>
        <v/>
      </c>
      <c r="E3186">
        <f>BASE_EQUIPOS!G3186</f>
        <v/>
      </c>
      <c r="F3186">
        <f>BASE_EQUIPOS!H3186</f>
        <v/>
      </c>
      <c r="G3186">
        <f>BASE_EQUIPOS!M3186</f>
        <v/>
      </c>
      <c r="I3186" t="inlineStr">
        <is>
          <t>04/171411</t>
        </is>
      </c>
    </row>
    <row r="3187">
      <c r="A3187">
        <f>TRIM(BASE_EQUIPOS!N3187)</f>
        <v/>
      </c>
      <c r="B3187">
        <f>BASE_EQUIPOS!A3187</f>
        <v/>
      </c>
      <c r="C3187">
        <f>BASE_EQUIPOS!B3187</f>
        <v/>
      </c>
      <c r="D3187">
        <f>BASE_EQUIPOS!D3187</f>
        <v/>
      </c>
      <c r="E3187">
        <f>BASE_EQUIPOS!G3187</f>
        <v/>
      </c>
      <c r="F3187">
        <f>BASE_EQUIPOS!H3187</f>
        <v/>
      </c>
      <c r="G3187">
        <f>BASE_EQUIPOS!M3187</f>
        <v/>
      </c>
      <c r="I3187" t="inlineStr">
        <is>
          <t>05/034834</t>
        </is>
      </c>
    </row>
    <row r="3188">
      <c r="A3188">
        <f>TRIM(BASE_EQUIPOS!N3188)</f>
        <v/>
      </c>
      <c r="B3188">
        <f>BASE_EQUIPOS!A3188</f>
        <v/>
      </c>
      <c r="C3188">
        <f>BASE_EQUIPOS!B3188</f>
        <v/>
      </c>
      <c r="D3188">
        <f>BASE_EQUIPOS!D3188</f>
        <v/>
      </c>
      <c r="E3188">
        <f>BASE_EQUIPOS!G3188</f>
        <v/>
      </c>
      <c r="F3188">
        <f>BASE_EQUIPOS!H3188</f>
        <v/>
      </c>
      <c r="G3188">
        <f>BASE_EQUIPOS!M3188</f>
        <v/>
      </c>
      <c r="I3188" t="inlineStr">
        <is>
          <t>08/035555</t>
        </is>
      </c>
    </row>
    <row r="3189">
      <c r="A3189">
        <f>TRIM(BASE_EQUIPOS!N3189)</f>
        <v/>
      </c>
      <c r="B3189">
        <f>BASE_EQUIPOS!A3189</f>
        <v/>
      </c>
      <c r="C3189">
        <f>BASE_EQUIPOS!B3189</f>
        <v/>
      </c>
      <c r="D3189">
        <f>BASE_EQUIPOS!D3189</f>
        <v/>
      </c>
      <c r="E3189">
        <f>BASE_EQUIPOS!G3189</f>
        <v/>
      </c>
      <c r="F3189">
        <f>BASE_EQUIPOS!H3189</f>
        <v/>
      </c>
      <c r="G3189">
        <f>BASE_EQUIPOS!M3189</f>
        <v/>
      </c>
      <c r="I3189" t="inlineStr">
        <is>
          <t>009844</t>
        </is>
      </c>
    </row>
    <row r="3190">
      <c r="A3190">
        <f>TRIM(BASE_EQUIPOS!N3190)</f>
        <v/>
      </c>
      <c r="B3190">
        <f>BASE_EQUIPOS!A3190</f>
        <v/>
      </c>
      <c r="C3190">
        <f>BASE_EQUIPOS!B3190</f>
        <v/>
      </c>
      <c r="D3190">
        <f>BASE_EQUIPOS!D3190</f>
        <v/>
      </c>
      <c r="E3190">
        <f>BASE_EQUIPOS!G3190</f>
        <v/>
      </c>
      <c r="F3190">
        <f>BASE_EQUIPOS!H3190</f>
        <v/>
      </c>
      <c r="G3190">
        <f>BASE_EQUIPOS!M3190</f>
        <v/>
      </c>
      <c r="I3190" t="inlineStr">
        <is>
          <t>002176</t>
        </is>
      </c>
    </row>
    <row r="3191">
      <c r="A3191">
        <f>TRIM(BASE_EQUIPOS!N3191)</f>
        <v/>
      </c>
      <c r="B3191">
        <f>BASE_EQUIPOS!A3191</f>
        <v/>
      </c>
      <c r="C3191">
        <f>BASE_EQUIPOS!B3191</f>
        <v/>
      </c>
      <c r="D3191">
        <f>BASE_EQUIPOS!D3191</f>
        <v/>
      </c>
      <c r="E3191">
        <f>BASE_EQUIPOS!G3191</f>
        <v/>
      </c>
      <c r="F3191">
        <f>BASE_EQUIPOS!H3191</f>
        <v/>
      </c>
      <c r="G3191">
        <f>BASE_EQUIPOS!M3191</f>
        <v/>
      </c>
      <c r="I3191" t="inlineStr">
        <is>
          <t>14/000903</t>
        </is>
      </c>
    </row>
    <row r="3192">
      <c r="A3192">
        <f>TRIM(BASE_EQUIPOS!N3192)</f>
        <v/>
      </c>
      <c r="B3192">
        <f>BASE_EQUIPOS!A3192</f>
        <v/>
      </c>
      <c r="C3192">
        <f>BASE_EQUIPOS!B3192</f>
        <v/>
      </c>
      <c r="D3192">
        <f>BASE_EQUIPOS!D3192</f>
        <v/>
      </c>
      <c r="E3192">
        <f>BASE_EQUIPOS!G3192</f>
        <v/>
      </c>
      <c r="F3192">
        <f>BASE_EQUIPOS!H3192</f>
        <v/>
      </c>
      <c r="G3192">
        <f>BASE_EQUIPOS!M3192</f>
        <v/>
      </c>
      <c r="I3192" t="inlineStr">
        <is>
          <t>08/002569</t>
        </is>
      </c>
    </row>
    <row r="3193">
      <c r="A3193">
        <f>TRIM(BASE_EQUIPOS!N3193)</f>
        <v/>
      </c>
      <c r="B3193">
        <f>BASE_EQUIPOS!A3193</f>
        <v/>
      </c>
      <c r="C3193">
        <f>BASE_EQUIPOS!B3193</f>
        <v/>
      </c>
      <c r="D3193">
        <f>BASE_EQUIPOS!D3193</f>
        <v/>
      </c>
      <c r="E3193">
        <f>BASE_EQUIPOS!G3193</f>
        <v/>
      </c>
      <c r="F3193">
        <f>BASE_EQUIPOS!H3193</f>
        <v/>
      </c>
      <c r="G3193">
        <f>BASE_EQUIPOS!M3193</f>
        <v/>
      </c>
      <c r="I3193" t="inlineStr">
        <is>
          <t>10/000744</t>
        </is>
      </c>
    </row>
    <row r="3194">
      <c r="A3194">
        <f>TRIM(BASE_EQUIPOS!N3194)</f>
        <v/>
      </c>
      <c r="B3194">
        <f>BASE_EQUIPOS!A3194</f>
        <v/>
      </c>
      <c r="C3194">
        <f>BASE_EQUIPOS!B3194</f>
        <v/>
      </c>
      <c r="D3194">
        <f>BASE_EQUIPOS!D3194</f>
        <v/>
      </c>
      <c r="E3194">
        <f>BASE_EQUIPOS!G3194</f>
        <v/>
      </c>
      <c r="F3194">
        <f>BASE_EQUIPOS!H3194</f>
        <v/>
      </c>
      <c r="G3194">
        <f>BASE_EQUIPOS!M3194</f>
        <v/>
      </c>
      <c r="I3194" t="inlineStr">
        <is>
          <t>30/001644</t>
        </is>
      </c>
    </row>
    <row r="3195">
      <c r="A3195">
        <f>TRIM(BASE_EQUIPOS!N3195)</f>
        <v/>
      </c>
      <c r="B3195">
        <f>BASE_EQUIPOS!A3195</f>
        <v/>
      </c>
      <c r="C3195">
        <f>BASE_EQUIPOS!B3195</f>
        <v/>
      </c>
      <c r="D3195">
        <f>BASE_EQUIPOS!D3195</f>
        <v/>
      </c>
      <c r="E3195">
        <f>BASE_EQUIPOS!G3195</f>
        <v/>
      </c>
      <c r="F3195">
        <f>BASE_EQUIPOS!H3195</f>
        <v/>
      </c>
      <c r="G3195">
        <f>BASE_EQUIPOS!M3195</f>
        <v/>
      </c>
      <c r="I3195" t="inlineStr">
        <is>
          <t>9/000190</t>
        </is>
      </c>
    </row>
    <row r="3196">
      <c r="A3196">
        <f>TRIM(BASE_EQUIPOS!N3196)</f>
        <v/>
      </c>
      <c r="B3196">
        <f>BASE_EQUIPOS!A3196</f>
        <v/>
      </c>
      <c r="C3196">
        <f>BASE_EQUIPOS!B3196</f>
        <v/>
      </c>
      <c r="D3196">
        <f>BASE_EQUIPOS!D3196</f>
        <v/>
      </c>
      <c r="E3196">
        <f>BASE_EQUIPOS!G3196</f>
        <v/>
      </c>
      <c r="F3196">
        <f>BASE_EQUIPOS!H3196</f>
        <v/>
      </c>
      <c r="G3196">
        <f>BASE_EQUIPOS!M3196</f>
        <v/>
      </c>
      <c r="I3196" t="inlineStr">
        <is>
          <t>12/000204</t>
        </is>
      </c>
    </row>
    <row r="3197">
      <c r="A3197">
        <f>TRIM(BASE_EQUIPOS!N3197)</f>
        <v/>
      </c>
      <c r="B3197">
        <f>BASE_EQUIPOS!A3197</f>
        <v/>
      </c>
      <c r="C3197">
        <f>BASE_EQUIPOS!B3197</f>
        <v/>
      </c>
      <c r="D3197">
        <f>BASE_EQUIPOS!D3197</f>
        <v/>
      </c>
      <c r="E3197">
        <f>BASE_EQUIPOS!G3197</f>
        <v/>
      </c>
      <c r="F3197">
        <f>BASE_EQUIPOS!H3197</f>
        <v/>
      </c>
      <c r="G3197">
        <f>BASE_EQUIPOS!M3197</f>
        <v/>
      </c>
      <c r="I3197" t="inlineStr">
        <is>
          <t>14/310322</t>
        </is>
      </c>
    </row>
    <row r="3198">
      <c r="A3198">
        <f>TRIM(BASE_EQUIPOS!N3198)</f>
        <v/>
      </c>
      <c r="B3198">
        <f>BASE_EQUIPOS!A3198</f>
        <v/>
      </c>
      <c r="C3198">
        <f>BASE_EQUIPOS!B3198</f>
        <v/>
      </c>
      <c r="D3198">
        <f>BASE_EQUIPOS!D3198</f>
        <v/>
      </c>
      <c r="E3198">
        <f>BASE_EQUIPOS!G3198</f>
        <v/>
      </c>
      <c r="F3198">
        <f>BASE_EQUIPOS!H3198</f>
        <v/>
      </c>
      <c r="G3198">
        <f>BASE_EQUIPOS!M3198</f>
        <v/>
      </c>
      <c r="I3198" t="inlineStr">
        <is>
          <t>01/000143</t>
        </is>
      </c>
    </row>
    <row r="3199">
      <c r="A3199">
        <f>TRIM(BASE_EQUIPOS!N3199)</f>
        <v/>
      </c>
      <c r="B3199">
        <f>BASE_EQUIPOS!A3199</f>
        <v/>
      </c>
      <c r="C3199">
        <f>BASE_EQUIPOS!B3199</f>
        <v/>
      </c>
      <c r="D3199">
        <f>BASE_EQUIPOS!D3199</f>
        <v/>
      </c>
      <c r="E3199">
        <f>BASE_EQUIPOS!G3199</f>
        <v/>
      </c>
      <c r="F3199">
        <f>BASE_EQUIPOS!H3199</f>
        <v/>
      </c>
      <c r="G3199">
        <f>BASE_EQUIPOS!M3199</f>
        <v/>
      </c>
      <c r="I3199" t="inlineStr">
        <is>
          <t>02/000036</t>
        </is>
      </c>
    </row>
    <row r="3200">
      <c r="A3200">
        <f>TRIM(BASE_EQUIPOS!N3200)</f>
        <v/>
      </c>
      <c r="B3200">
        <f>BASE_EQUIPOS!A3200</f>
        <v/>
      </c>
      <c r="C3200">
        <f>BASE_EQUIPOS!B3200</f>
        <v/>
      </c>
      <c r="D3200">
        <f>BASE_EQUIPOS!D3200</f>
        <v/>
      </c>
      <c r="E3200">
        <f>BASE_EQUIPOS!G3200</f>
        <v/>
      </c>
      <c r="F3200">
        <f>BASE_EQUIPOS!H3200</f>
        <v/>
      </c>
      <c r="G3200">
        <f>BASE_EQUIPOS!M3200</f>
        <v/>
      </c>
      <c r="I3200" t="inlineStr">
        <is>
          <t>03/000309</t>
        </is>
      </c>
    </row>
    <row r="3201">
      <c r="A3201">
        <f>TRIM(BASE_EQUIPOS!N3201)</f>
        <v/>
      </c>
      <c r="B3201">
        <f>BASE_EQUIPOS!A3201</f>
        <v/>
      </c>
      <c r="C3201">
        <f>BASE_EQUIPOS!B3201</f>
        <v/>
      </c>
      <c r="D3201">
        <f>BASE_EQUIPOS!D3201</f>
        <v/>
      </c>
      <c r="E3201">
        <f>BASE_EQUIPOS!G3201</f>
        <v/>
      </c>
      <c r="F3201">
        <f>BASE_EQUIPOS!H3201</f>
        <v/>
      </c>
      <c r="G3201">
        <f>BASE_EQUIPOS!M3201</f>
        <v/>
      </c>
      <c r="I3201" t="inlineStr">
        <is>
          <t>04/000805</t>
        </is>
      </c>
    </row>
    <row r="3202">
      <c r="A3202">
        <f>TRIM(BASE_EQUIPOS!N3202)</f>
        <v/>
      </c>
      <c r="B3202">
        <f>BASE_EQUIPOS!A3202</f>
        <v/>
      </c>
      <c r="C3202">
        <f>BASE_EQUIPOS!B3202</f>
        <v/>
      </c>
      <c r="D3202">
        <f>BASE_EQUIPOS!D3202</f>
        <v/>
      </c>
      <c r="E3202">
        <f>BASE_EQUIPOS!G3202</f>
        <v/>
      </c>
      <c r="F3202">
        <f>BASE_EQUIPOS!H3202</f>
        <v/>
      </c>
      <c r="G3202">
        <f>BASE_EQUIPOS!M3202</f>
        <v/>
      </c>
      <c r="I3202" t="inlineStr">
        <is>
          <t>05/000208</t>
        </is>
      </c>
    </row>
    <row r="3203">
      <c r="A3203">
        <f>TRIM(BASE_EQUIPOS!N3203)</f>
        <v/>
      </c>
      <c r="B3203">
        <f>BASE_EQUIPOS!A3203</f>
        <v/>
      </c>
      <c r="C3203">
        <f>BASE_EQUIPOS!B3203</f>
        <v/>
      </c>
      <c r="D3203">
        <f>BASE_EQUIPOS!D3203</f>
        <v/>
      </c>
      <c r="E3203">
        <f>BASE_EQUIPOS!G3203</f>
        <v/>
      </c>
      <c r="F3203">
        <f>BASE_EQUIPOS!H3203</f>
        <v/>
      </c>
      <c r="G3203">
        <f>BASE_EQUIPOS!M3203</f>
        <v/>
      </c>
      <c r="I3203" t="inlineStr">
        <is>
          <t>01/000066</t>
        </is>
      </c>
    </row>
    <row r="3204">
      <c r="A3204">
        <f>TRIM(BASE_EQUIPOS!N3204)</f>
        <v/>
      </c>
      <c r="B3204">
        <f>BASE_EQUIPOS!A3204</f>
        <v/>
      </c>
      <c r="C3204">
        <f>BASE_EQUIPOS!B3204</f>
        <v/>
      </c>
      <c r="D3204">
        <f>BASE_EQUIPOS!D3204</f>
        <v/>
      </c>
      <c r="E3204">
        <f>BASE_EQUIPOS!G3204</f>
        <v/>
      </c>
      <c r="F3204">
        <f>BASE_EQUIPOS!H3204</f>
        <v/>
      </c>
      <c r="G3204">
        <f>BASE_EQUIPOS!M3204</f>
        <v/>
      </c>
      <c r="I3204" t="inlineStr">
        <is>
          <t>02/002653</t>
        </is>
      </c>
    </row>
    <row r="3205">
      <c r="A3205">
        <f>TRIM(BASE_EQUIPOS!N3205)</f>
        <v/>
      </c>
      <c r="B3205">
        <f>BASE_EQUIPOS!A3205</f>
        <v/>
      </c>
      <c r="C3205">
        <f>BASE_EQUIPOS!B3205</f>
        <v/>
      </c>
      <c r="D3205">
        <f>BASE_EQUIPOS!D3205</f>
        <v/>
      </c>
      <c r="E3205">
        <f>BASE_EQUIPOS!G3205</f>
        <v/>
      </c>
      <c r="F3205">
        <f>BASE_EQUIPOS!H3205</f>
        <v/>
      </c>
      <c r="G3205">
        <f>BASE_EQUIPOS!M3205</f>
        <v/>
      </c>
      <c r="I3205" t="inlineStr">
        <is>
          <t>03/003612</t>
        </is>
      </c>
    </row>
    <row r="3206">
      <c r="A3206">
        <f>TRIM(BASE_EQUIPOS!N3206)</f>
        <v/>
      </c>
      <c r="B3206">
        <f>BASE_EQUIPOS!A3206</f>
        <v/>
      </c>
      <c r="C3206">
        <f>BASE_EQUIPOS!B3206</f>
        <v/>
      </c>
      <c r="D3206">
        <f>BASE_EQUIPOS!D3206</f>
        <v/>
      </c>
      <c r="E3206">
        <f>BASE_EQUIPOS!G3206</f>
        <v/>
      </c>
      <c r="F3206">
        <f>BASE_EQUIPOS!H3206</f>
        <v/>
      </c>
      <c r="G3206">
        <f>BASE_EQUIPOS!M3206</f>
        <v/>
      </c>
      <c r="I3206" t="inlineStr">
        <is>
          <t>04/000014</t>
        </is>
      </c>
    </row>
    <row r="3207">
      <c r="A3207">
        <f>TRIM(BASE_EQUIPOS!N3207)</f>
        <v/>
      </c>
      <c r="B3207">
        <f>BASE_EQUIPOS!A3207</f>
        <v/>
      </c>
      <c r="C3207">
        <f>BASE_EQUIPOS!B3207</f>
        <v/>
      </c>
      <c r="D3207">
        <f>BASE_EQUIPOS!D3207</f>
        <v/>
      </c>
      <c r="E3207">
        <f>BASE_EQUIPOS!G3207</f>
        <v/>
      </c>
      <c r="F3207">
        <f>BASE_EQUIPOS!H3207</f>
        <v/>
      </c>
      <c r="G3207">
        <f>BASE_EQUIPOS!M3207</f>
        <v/>
      </c>
      <c r="I3207" t="inlineStr">
        <is>
          <t>01/003222</t>
        </is>
      </c>
    </row>
    <row r="3208">
      <c r="A3208">
        <f>TRIM(BASE_EQUIPOS!N3208)</f>
        <v/>
      </c>
      <c r="B3208">
        <f>BASE_EQUIPOS!A3208</f>
        <v/>
      </c>
      <c r="C3208">
        <f>BASE_EQUIPOS!B3208</f>
        <v/>
      </c>
      <c r="D3208">
        <f>BASE_EQUIPOS!D3208</f>
        <v/>
      </c>
      <c r="E3208">
        <f>BASE_EQUIPOS!G3208</f>
        <v/>
      </c>
      <c r="F3208">
        <f>BASE_EQUIPOS!H3208</f>
        <v/>
      </c>
      <c r="G3208">
        <f>BASE_EQUIPOS!M3208</f>
        <v/>
      </c>
      <c r="I3208" t="inlineStr">
        <is>
          <t>02/004229</t>
        </is>
      </c>
    </row>
    <row r="3209">
      <c r="A3209">
        <f>TRIM(BASE_EQUIPOS!N3209)</f>
        <v/>
      </c>
      <c r="B3209">
        <f>BASE_EQUIPOS!A3209</f>
        <v/>
      </c>
      <c r="C3209">
        <f>BASE_EQUIPOS!B3209</f>
        <v/>
      </c>
      <c r="D3209">
        <f>BASE_EQUIPOS!D3209</f>
        <v/>
      </c>
      <c r="E3209">
        <f>BASE_EQUIPOS!G3209</f>
        <v/>
      </c>
      <c r="F3209">
        <f>BASE_EQUIPOS!H3209</f>
        <v/>
      </c>
      <c r="G3209">
        <f>BASE_EQUIPOS!M3209</f>
        <v/>
      </c>
      <c r="I3209" t="inlineStr">
        <is>
          <t>03/001798</t>
        </is>
      </c>
    </row>
    <row r="3210">
      <c r="A3210">
        <f>TRIM(BASE_EQUIPOS!N3210)</f>
        <v/>
      </c>
      <c r="B3210">
        <f>BASE_EQUIPOS!A3210</f>
        <v/>
      </c>
      <c r="C3210">
        <f>BASE_EQUIPOS!B3210</f>
        <v/>
      </c>
      <c r="D3210">
        <f>BASE_EQUIPOS!D3210</f>
        <v/>
      </c>
      <c r="E3210">
        <f>BASE_EQUIPOS!G3210</f>
        <v/>
      </c>
      <c r="F3210">
        <f>BASE_EQUIPOS!H3210</f>
        <v/>
      </c>
      <c r="G3210">
        <f>BASE_EQUIPOS!M3210</f>
        <v/>
      </c>
      <c r="I3210" t="inlineStr">
        <is>
          <t>04/001938</t>
        </is>
      </c>
    </row>
    <row r="3211">
      <c r="A3211">
        <f>TRIM(BASE_EQUIPOS!N3211)</f>
        <v/>
      </c>
      <c r="B3211">
        <f>BASE_EQUIPOS!A3211</f>
        <v/>
      </c>
      <c r="C3211">
        <f>BASE_EQUIPOS!B3211</f>
        <v/>
      </c>
      <c r="D3211">
        <f>BASE_EQUIPOS!D3211</f>
        <v/>
      </c>
      <c r="E3211">
        <f>BASE_EQUIPOS!G3211</f>
        <v/>
      </c>
      <c r="F3211">
        <f>BASE_EQUIPOS!H3211</f>
        <v/>
      </c>
      <c r="G3211">
        <f>BASE_EQUIPOS!M3211</f>
        <v/>
      </c>
      <c r="I3211" t="inlineStr">
        <is>
          <t>01/000636</t>
        </is>
      </c>
    </row>
    <row r="3212">
      <c r="A3212">
        <f>TRIM(BASE_EQUIPOS!N3212)</f>
        <v/>
      </c>
      <c r="B3212">
        <f>BASE_EQUIPOS!A3212</f>
        <v/>
      </c>
      <c r="C3212">
        <f>BASE_EQUIPOS!B3212</f>
        <v/>
      </c>
      <c r="D3212">
        <f>BASE_EQUIPOS!D3212</f>
        <v/>
      </c>
      <c r="E3212">
        <f>BASE_EQUIPOS!G3212</f>
        <v/>
      </c>
      <c r="F3212">
        <f>BASE_EQUIPOS!H3212</f>
        <v/>
      </c>
      <c r="G3212">
        <f>BASE_EQUIPOS!M3212</f>
        <v/>
      </c>
      <c r="I3212" t="inlineStr">
        <is>
          <t>02/000849</t>
        </is>
      </c>
    </row>
    <row r="3213">
      <c r="A3213">
        <f>TRIM(BASE_EQUIPOS!N3213)</f>
        <v/>
      </c>
      <c r="B3213">
        <f>BASE_EQUIPOS!A3213</f>
        <v/>
      </c>
      <c r="C3213">
        <f>BASE_EQUIPOS!B3213</f>
        <v/>
      </c>
      <c r="D3213">
        <f>BASE_EQUIPOS!D3213</f>
        <v/>
      </c>
      <c r="E3213">
        <f>BASE_EQUIPOS!G3213</f>
        <v/>
      </c>
      <c r="F3213">
        <f>BASE_EQUIPOS!H3213</f>
        <v/>
      </c>
      <c r="G3213">
        <f>BASE_EQUIPOS!M3213</f>
        <v/>
      </c>
      <c r="I3213" t="inlineStr">
        <is>
          <t>03/000651</t>
        </is>
      </c>
    </row>
    <row r="3214">
      <c r="A3214">
        <f>TRIM(BASE_EQUIPOS!N3214)</f>
        <v/>
      </c>
      <c r="B3214">
        <f>BASE_EQUIPOS!A3214</f>
        <v/>
      </c>
      <c r="C3214">
        <f>BASE_EQUIPOS!B3214</f>
        <v/>
      </c>
      <c r="D3214">
        <f>BASE_EQUIPOS!D3214</f>
        <v/>
      </c>
      <c r="E3214">
        <f>BASE_EQUIPOS!G3214</f>
        <v/>
      </c>
      <c r="F3214">
        <f>BASE_EQUIPOS!H3214</f>
        <v/>
      </c>
      <c r="G3214">
        <f>BASE_EQUIPOS!M3214</f>
        <v/>
      </c>
      <c r="I3214" t="inlineStr">
        <is>
          <t>04/000260</t>
        </is>
      </c>
    </row>
    <row r="3215">
      <c r="A3215">
        <f>TRIM(BASE_EQUIPOS!N3215)</f>
        <v/>
      </c>
      <c r="B3215">
        <f>BASE_EQUIPOS!A3215</f>
        <v/>
      </c>
      <c r="C3215">
        <f>BASE_EQUIPOS!B3215</f>
        <v/>
      </c>
      <c r="D3215">
        <f>BASE_EQUIPOS!D3215</f>
        <v/>
      </c>
      <c r="E3215">
        <f>BASE_EQUIPOS!G3215</f>
        <v/>
      </c>
      <c r="F3215">
        <f>BASE_EQUIPOS!H3215</f>
        <v/>
      </c>
      <c r="G3215">
        <f>BASE_EQUIPOS!M3215</f>
        <v/>
      </c>
      <c r="I3215" t="inlineStr">
        <is>
          <t>05/003749</t>
        </is>
      </c>
    </row>
    <row r="3216">
      <c r="A3216">
        <f>TRIM(BASE_EQUIPOS!N3216)</f>
        <v/>
      </c>
      <c r="B3216">
        <f>BASE_EQUIPOS!A3216</f>
        <v/>
      </c>
      <c r="C3216">
        <f>BASE_EQUIPOS!B3216</f>
        <v/>
      </c>
      <c r="D3216">
        <f>BASE_EQUIPOS!D3216</f>
        <v/>
      </c>
      <c r="E3216">
        <f>BASE_EQUIPOS!G3216</f>
        <v/>
      </c>
      <c r="F3216">
        <f>BASE_EQUIPOS!H3216</f>
        <v/>
      </c>
      <c r="G3216">
        <f>BASE_EQUIPOS!M3216</f>
        <v/>
      </c>
      <c r="I3216" t="inlineStr">
        <is>
          <t>06/000502</t>
        </is>
      </c>
    </row>
    <row r="3217">
      <c r="A3217">
        <f>TRIM(BASE_EQUIPOS!N3217)</f>
        <v/>
      </c>
      <c r="B3217">
        <f>BASE_EQUIPOS!A3217</f>
        <v/>
      </c>
      <c r="C3217">
        <f>BASE_EQUIPOS!B3217</f>
        <v/>
      </c>
      <c r="D3217">
        <f>BASE_EQUIPOS!D3217</f>
        <v/>
      </c>
      <c r="E3217">
        <f>BASE_EQUIPOS!G3217</f>
        <v/>
      </c>
      <c r="F3217">
        <f>BASE_EQUIPOS!H3217</f>
        <v/>
      </c>
      <c r="G3217">
        <f>BASE_EQUIPOS!M3217</f>
        <v/>
      </c>
      <c r="I3217" t="inlineStr">
        <is>
          <t>07/000748</t>
        </is>
      </c>
    </row>
    <row r="3218">
      <c r="A3218">
        <f>TRIM(BASE_EQUIPOS!N3218)</f>
        <v/>
      </c>
      <c r="B3218">
        <f>BASE_EQUIPOS!A3218</f>
        <v/>
      </c>
      <c r="C3218">
        <f>BASE_EQUIPOS!B3218</f>
        <v/>
      </c>
      <c r="D3218">
        <f>BASE_EQUIPOS!D3218</f>
        <v/>
      </c>
      <c r="E3218">
        <f>BASE_EQUIPOS!G3218</f>
        <v/>
      </c>
      <c r="F3218">
        <f>BASE_EQUIPOS!H3218</f>
        <v/>
      </c>
      <c r="G3218">
        <f>BASE_EQUIPOS!M3218</f>
        <v/>
      </c>
      <c r="I3218" t="inlineStr">
        <is>
          <t>01/003259</t>
        </is>
      </c>
    </row>
    <row r="3219">
      <c r="A3219">
        <f>TRIM(BASE_EQUIPOS!N3219)</f>
        <v/>
      </c>
      <c r="B3219">
        <f>BASE_EQUIPOS!A3219</f>
        <v/>
      </c>
      <c r="C3219">
        <f>BASE_EQUIPOS!B3219</f>
        <v/>
      </c>
      <c r="D3219">
        <f>BASE_EQUIPOS!D3219</f>
        <v/>
      </c>
      <c r="E3219">
        <f>BASE_EQUIPOS!G3219</f>
        <v/>
      </c>
      <c r="F3219">
        <f>BASE_EQUIPOS!H3219</f>
        <v/>
      </c>
      <c r="G3219">
        <f>BASE_EQUIPOS!M3219</f>
        <v/>
      </c>
      <c r="I3219" t="inlineStr">
        <is>
          <t>02/000523</t>
        </is>
      </c>
    </row>
    <row r="3220">
      <c r="A3220">
        <f>TRIM(BASE_EQUIPOS!N3220)</f>
        <v/>
      </c>
      <c r="B3220">
        <f>BASE_EQUIPOS!A3220</f>
        <v/>
      </c>
      <c r="C3220">
        <f>BASE_EQUIPOS!B3220</f>
        <v/>
      </c>
      <c r="D3220">
        <f>BASE_EQUIPOS!D3220</f>
        <v/>
      </c>
      <c r="E3220">
        <f>BASE_EQUIPOS!G3220</f>
        <v/>
      </c>
      <c r="F3220">
        <f>BASE_EQUIPOS!H3220</f>
        <v/>
      </c>
      <c r="G3220">
        <f>BASE_EQUIPOS!M3220</f>
        <v/>
      </c>
      <c r="I3220" t="inlineStr">
        <is>
          <t>01/00047</t>
        </is>
      </c>
    </row>
    <row r="3221">
      <c r="A3221">
        <f>TRIM(BASE_EQUIPOS!N3221)</f>
        <v/>
      </c>
      <c r="B3221">
        <f>BASE_EQUIPOS!A3221</f>
        <v/>
      </c>
      <c r="C3221">
        <f>BASE_EQUIPOS!B3221</f>
        <v/>
      </c>
      <c r="D3221">
        <f>BASE_EQUIPOS!D3221</f>
        <v/>
      </c>
      <c r="E3221">
        <f>BASE_EQUIPOS!G3221</f>
        <v/>
      </c>
      <c r="F3221">
        <f>BASE_EQUIPOS!H3221</f>
        <v/>
      </c>
      <c r="G3221">
        <f>BASE_EQUIPOS!M3221</f>
        <v/>
      </c>
      <c r="I3221" t="inlineStr">
        <is>
          <t>02/512901</t>
        </is>
      </c>
    </row>
    <row r="3222">
      <c r="A3222">
        <f>TRIM(BASE_EQUIPOS!N3222)</f>
        <v/>
      </c>
      <c r="B3222">
        <f>BASE_EQUIPOS!A3222</f>
        <v/>
      </c>
      <c r="C3222">
        <f>BASE_EQUIPOS!B3222</f>
        <v/>
      </c>
      <c r="D3222">
        <f>BASE_EQUIPOS!D3222</f>
        <v/>
      </c>
      <c r="E3222">
        <f>BASE_EQUIPOS!G3222</f>
        <v/>
      </c>
      <c r="F3222">
        <f>BASE_EQUIPOS!H3222</f>
        <v/>
      </c>
      <c r="G3222">
        <f>BASE_EQUIPOS!M3222</f>
        <v/>
      </c>
      <c r="I3222" t="inlineStr">
        <is>
          <t>03/000018</t>
        </is>
      </c>
    </row>
    <row r="3223">
      <c r="A3223">
        <f>TRIM(BASE_EQUIPOS!N3223)</f>
        <v/>
      </c>
      <c r="B3223">
        <f>BASE_EQUIPOS!A3223</f>
        <v/>
      </c>
      <c r="C3223">
        <f>BASE_EQUIPOS!B3223</f>
        <v/>
      </c>
      <c r="D3223">
        <f>BASE_EQUIPOS!D3223</f>
        <v/>
      </c>
      <c r="E3223">
        <f>BASE_EQUIPOS!G3223</f>
        <v/>
      </c>
      <c r="F3223">
        <f>BASE_EQUIPOS!H3223</f>
        <v/>
      </c>
      <c r="G3223">
        <f>BASE_EQUIPOS!M3223</f>
        <v/>
      </c>
      <c r="I3223" t="inlineStr">
        <is>
          <t>04/002509</t>
        </is>
      </c>
    </row>
    <row r="3224">
      <c r="A3224">
        <f>TRIM(BASE_EQUIPOS!N3224)</f>
        <v/>
      </c>
      <c r="B3224">
        <f>BASE_EQUIPOS!A3224</f>
        <v/>
      </c>
      <c r="C3224">
        <f>BASE_EQUIPOS!B3224</f>
        <v/>
      </c>
      <c r="D3224">
        <f>BASE_EQUIPOS!D3224</f>
        <v/>
      </c>
      <c r="E3224">
        <f>BASE_EQUIPOS!G3224</f>
        <v/>
      </c>
      <c r="F3224">
        <f>BASE_EQUIPOS!H3224</f>
        <v/>
      </c>
      <c r="G3224">
        <f>BASE_EQUIPOS!M3224</f>
        <v/>
      </c>
      <c r="I3224" t="inlineStr">
        <is>
          <t>05/000254</t>
        </is>
      </c>
    </row>
    <row r="3225">
      <c r="A3225">
        <f>TRIM(BASE_EQUIPOS!N3225)</f>
        <v/>
      </c>
      <c r="B3225">
        <f>BASE_EQUIPOS!A3225</f>
        <v/>
      </c>
      <c r="C3225">
        <f>BASE_EQUIPOS!B3225</f>
        <v/>
      </c>
      <c r="D3225">
        <f>BASE_EQUIPOS!D3225</f>
        <v/>
      </c>
      <c r="E3225">
        <f>BASE_EQUIPOS!G3225</f>
        <v/>
      </c>
      <c r="F3225">
        <f>BASE_EQUIPOS!H3225</f>
        <v/>
      </c>
      <c r="G3225">
        <f>BASE_EQUIPOS!M3225</f>
        <v/>
      </c>
      <c r="I3225" t="inlineStr">
        <is>
          <t>06/001138</t>
        </is>
      </c>
    </row>
    <row r="3226">
      <c r="A3226">
        <f>TRIM(BASE_EQUIPOS!N3226)</f>
        <v/>
      </c>
      <c r="B3226">
        <f>BASE_EQUIPOS!A3226</f>
        <v/>
      </c>
      <c r="C3226">
        <f>BASE_EQUIPOS!B3226</f>
        <v/>
      </c>
      <c r="D3226">
        <f>BASE_EQUIPOS!D3226</f>
        <v/>
      </c>
      <c r="E3226">
        <f>BASE_EQUIPOS!G3226</f>
        <v/>
      </c>
      <c r="F3226">
        <f>BASE_EQUIPOS!H3226</f>
        <v/>
      </c>
      <c r="G3226">
        <f>BASE_EQUIPOS!M3226</f>
        <v/>
      </c>
      <c r="I3226" t="inlineStr">
        <is>
          <t>01/009730</t>
        </is>
      </c>
    </row>
    <row r="3227">
      <c r="A3227">
        <f>TRIM(BASE_EQUIPOS!N3227)</f>
        <v/>
      </c>
      <c r="B3227">
        <f>BASE_EQUIPOS!A3227</f>
        <v/>
      </c>
      <c r="C3227">
        <f>BASE_EQUIPOS!B3227</f>
        <v/>
      </c>
      <c r="D3227">
        <f>BASE_EQUIPOS!D3227</f>
        <v/>
      </c>
      <c r="E3227">
        <f>BASE_EQUIPOS!G3227</f>
        <v/>
      </c>
      <c r="F3227">
        <f>BASE_EQUIPOS!H3227</f>
        <v/>
      </c>
      <c r="G3227">
        <f>BASE_EQUIPOS!M3227</f>
        <v/>
      </c>
      <c r="I3227" t="inlineStr">
        <is>
          <t>02/009733</t>
        </is>
      </c>
    </row>
    <row r="3228">
      <c r="A3228">
        <f>TRIM(BASE_EQUIPOS!N3228)</f>
        <v/>
      </c>
      <c r="B3228">
        <f>BASE_EQUIPOS!A3228</f>
        <v/>
      </c>
      <c r="C3228">
        <f>BASE_EQUIPOS!B3228</f>
        <v/>
      </c>
      <c r="D3228">
        <f>BASE_EQUIPOS!D3228</f>
        <v/>
      </c>
      <c r="E3228">
        <f>BASE_EQUIPOS!G3228</f>
        <v/>
      </c>
      <c r="F3228">
        <f>BASE_EQUIPOS!H3228</f>
        <v/>
      </c>
      <c r="G3228">
        <f>BASE_EQUIPOS!M3228</f>
        <v/>
      </c>
      <c r="I3228" t="inlineStr">
        <is>
          <t>03/000522</t>
        </is>
      </c>
    </row>
    <row r="3229">
      <c r="A3229">
        <f>TRIM(BASE_EQUIPOS!N3229)</f>
        <v/>
      </c>
      <c r="B3229">
        <f>BASE_EQUIPOS!A3229</f>
        <v/>
      </c>
      <c r="C3229">
        <f>BASE_EQUIPOS!B3229</f>
        <v/>
      </c>
      <c r="D3229">
        <f>BASE_EQUIPOS!D3229</f>
        <v/>
      </c>
      <c r="E3229">
        <f>BASE_EQUIPOS!G3229</f>
        <v/>
      </c>
      <c r="F3229">
        <f>BASE_EQUIPOS!H3229</f>
        <v/>
      </c>
      <c r="G3229">
        <f>BASE_EQUIPOS!M3229</f>
        <v/>
      </c>
      <c r="I3229" t="inlineStr">
        <is>
          <t>04/000511</t>
        </is>
      </c>
    </row>
    <row r="3230">
      <c r="A3230">
        <f>TRIM(BASE_EQUIPOS!N3230)</f>
        <v/>
      </c>
      <c r="B3230">
        <f>BASE_EQUIPOS!A3230</f>
        <v/>
      </c>
      <c r="C3230">
        <f>BASE_EQUIPOS!B3230</f>
        <v/>
      </c>
      <c r="D3230">
        <f>BASE_EQUIPOS!D3230</f>
        <v/>
      </c>
      <c r="E3230">
        <f>BASE_EQUIPOS!G3230</f>
        <v/>
      </c>
      <c r="F3230">
        <f>BASE_EQUIPOS!H3230</f>
        <v/>
      </c>
      <c r="G3230">
        <f>BASE_EQUIPOS!M3230</f>
        <v/>
      </c>
      <c r="I3230" t="inlineStr">
        <is>
          <t>07/000105</t>
        </is>
      </c>
    </row>
    <row r="3231">
      <c r="A3231">
        <f>TRIM(BASE_EQUIPOS!N3231)</f>
        <v/>
      </c>
      <c r="B3231">
        <f>BASE_EQUIPOS!A3231</f>
        <v/>
      </c>
      <c r="C3231">
        <f>BASE_EQUIPOS!B3231</f>
        <v/>
      </c>
      <c r="D3231">
        <f>BASE_EQUIPOS!D3231</f>
        <v/>
      </c>
      <c r="E3231">
        <f>BASE_EQUIPOS!G3231</f>
        <v/>
      </c>
      <c r="F3231">
        <f>BASE_EQUIPOS!H3231</f>
        <v/>
      </c>
      <c r="G3231">
        <f>BASE_EQUIPOS!M3231</f>
        <v/>
      </c>
      <c r="I3231" t="inlineStr">
        <is>
          <t>11/000129</t>
        </is>
      </c>
    </row>
    <row r="3232">
      <c r="A3232">
        <f>TRIM(BASE_EQUIPOS!N3232)</f>
        <v/>
      </c>
      <c r="B3232">
        <f>BASE_EQUIPOS!A3232</f>
        <v/>
      </c>
      <c r="C3232">
        <f>BASE_EQUIPOS!B3232</f>
        <v/>
      </c>
      <c r="D3232">
        <f>BASE_EQUIPOS!D3232</f>
        <v/>
      </c>
      <c r="E3232">
        <f>BASE_EQUIPOS!G3232</f>
        <v/>
      </c>
      <c r="F3232">
        <f>BASE_EQUIPOS!H3232</f>
        <v/>
      </c>
      <c r="G3232">
        <f>BASE_EQUIPOS!M3232</f>
        <v/>
      </c>
      <c r="I3232" t="inlineStr">
        <is>
          <t>9/007813</t>
        </is>
      </c>
    </row>
    <row r="3233">
      <c r="A3233">
        <f>TRIM(BASE_EQUIPOS!N3233)</f>
        <v/>
      </c>
      <c r="B3233">
        <f>BASE_EQUIPOS!A3233</f>
        <v/>
      </c>
      <c r="C3233">
        <f>BASE_EQUIPOS!B3233</f>
        <v/>
      </c>
      <c r="D3233">
        <f>BASE_EQUIPOS!D3233</f>
        <v/>
      </c>
      <c r="E3233">
        <f>BASE_EQUIPOS!G3233</f>
        <v/>
      </c>
      <c r="F3233">
        <f>BASE_EQUIPOS!H3233</f>
        <v/>
      </c>
      <c r="G3233">
        <f>BASE_EQUIPOS!M3233</f>
        <v/>
      </c>
      <c r="I3233" t="inlineStr">
        <is>
          <t>000757</t>
        </is>
      </c>
    </row>
    <row r="3234">
      <c r="A3234">
        <f>TRIM(BASE_EQUIPOS!N3234)</f>
        <v/>
      </c>
      <c r="B3234">
        <f>BASE_EQUIPOS!A3234</f>
        <v/>
      </c>
      <c r="C3234">
        <f>BASE_EQUIPOS!B3234</f>
        <v/>
      </c>
      <c r="D3234">
        <f>BASE_EQUIPOS!D3234</f>
        <v/>
      </c>
      <c r="E3234">
        <f>BASE_EQUIPOS!G3234</f>
        <v/>
      </c>
      <c r="F3234">
        <f>BASE_EQUIPOS!H3234</f>
        <v/>
      </c>
      <c r="G3234">
        <f>BASE_EQUIPOS!M3234</f>
        <v/>
      </c>
      <c r="I3234" t="inlineStr">
        <is>
          <t>000023</t>
        </is>
      </c>
    </row>
    <row r="3235">
      <c r="A3235">
        <f>TRIM(BASE_EQUIPOS!N3235)</f>
        <v/>
      </c>
      <c r="B3235">
        <f>BASE_EQUIPOS!A3235</f>
        <v/>
      </c>
      <c r="C3235">
        <f>BASE_EQUIPOS!B3235</f>
        <v/>
      </c>
      <c r="D3235">
        <f>BASE_EQUIPOS!D3235</f>
        <v/>
      </c>
      <c r="E3235">
        <f>BASE_EQUIPOS!G3235</f>
        <v/>
      </c>
      <c r="F3235">
        <f>BASE_EQUIPOS!H3235</f>
        <v/>
      </c>
      <c r="G3235">
        <f>BASE_EQUIPOS!M3235</f>
        <v/>
      </c>
      <c r="I3235" t="inlineStr">
        <is>
          <t>009161</t>
        </is>
      </c>
    </row>
    <row r="3236">
      <c r="A3236">
        <f>TRIM(BASE_EQUIPOS!N3236)</f>
        <v/>
      </c>
      <c r="B3236">
        <f>BASE_EQUIPOS!A3236</f>
        <v/>
      </c>
      <c r="C3236">
        <f>BASE_EQUIPOS!B3236</f>
        <v/>
      </c>
      <c r="D3236">
        <f>BASE_EQUIPOS!D3236</f>
        <v/>
      </c>
      <c r="E3236">
        <f>BASE_EQUIPOS!G3236</f>
        <v/>
      </c>
      <c r="F3236">
        <f>BASE_EQUIPOS!H3236</f>
        <v/>
      </c>
      <c r="G3236">
        <f>BASE_EQUIPOS!M3236</f>
        <v/>
      </c>
      <c r="I3236" t="inlineStr">
        <is>
          <t>001076</t>
        </is>
      </c>
    </row>
    <row r="3237">
      <c r="A3237">
        <f>TRIM(BASE_EQUIPOS!N3237)</f>
        <v/>
      </c>
      <c r="B3237">
        <f>BASE_EQUIPOS!A3237</f>
        <v/>
      </c>
      <c r="C3237">
        <f>BASE_EQUIPOS!B3237</f>
        <v/>
      </c>
      <c r="D3237">
        <f>BASE_EQUIPOS!D3237</f>
        <v/>
      </c>
      <c r="E3237">
        <f>BASE_EQUIPOS!G3237</f>
        <v/>
      </c>
      <c r="F3237">
        <f>BASE_EQUIPOS!H3237</f>
        <v/>
      </c>
      <c r="G3237">
        <f>BASE_EQUIPOS!M3237</f>
        <v/>
      </c>
      <c r="I3237" t="inlineStr">
        <is>
          <t>17002530</t>
        </is>
      </c>
    </row>
    <row r="3238">
      <c r="A3238">
        <f>TRIM(BASE_EQUIPOS!N3238)</f>
        <v/>
      </c>
      <c r="B3238">
        <f>BASE_EQUIPOS!A3238</f>
        <v/>
      </c>
      <c r="C3238">
        <f>BASE_EQUIPOS!B3238</f>
        <v/>
      </c>
      <c r="D3238">
        <f>BASE_EQUIPOS!D3238</f>
        <v/>
      </c>
      <c r="E3238">
        <f>BASE_EQUIPOS!G3238</f>
        <v/>
      </c>
      <c r="F3238">
        <f>BASE_EQUIPOS!H3238</f>
        <v/>
      </c>
      <c r="G3238">
        <f>BASE_EQUIPOS!M3238</f>
        <v/>
      </c>
      <c r="I3238" t="inlineStr">
        <is>
          <t>98/002612</t>
        </is>
      </c>
    </row>
    <row r="3239">
      <c r="A3239">
        <f>TRIM(BASE_EQUIPOS!N3239)</f>
        <v/>
      </c>
      <c r="B3239">
        <f>BASE_EQUIPOS!A3239</f>
        <v/>
      </c>
      <c r="C3239">
        <f>BASE_EQUIPOS!B3239</f>
        <v/>
      </c>
      <c r="D3239">
        <f>BASE_EQUIPOS!D3239</f>
        <v/>
      </c>
      <c r="E3239">
        <f>BASE_EQUIPOS!G3239</f>
        <v/>
      </c>
      <c r="F3239">
        <f>BASE_EQUIPOS!H3239</f>
        <v/>
      </c>
      <c r="G3239">
        <f>BASE_EQUIPOS!M3239</f>
        <v/>
      </c>
      <c r="I3239" t="inlineStr">
        <is>
          <t>373/002831</t>
        </is>
      </c>
    </row>
    <row r="3240">
      <c r="A3240">
        <f>TRIM(BASE_EQUIPOS!N3240)</f>
        <v/>
      </c>
      <c r="B3240">
        <f>BASE_EQUIPOS!A3240</f>
        <v/>
      </c>
      <c r="C3240">
        <f>BASE_EQUIPOS!B3240</f>
        <v/>
      </c>
      <c r="D3240">
        <f>BASE_EQUIPOS!D3240</f>
        <v/>
      </c>
      <c r="E3240">
        <f>BASE_EQUIPOS!G3240</f>
        <v/>
      </c>
      <c r="F3240">
        <f>BASE_EQUIPOS!H3240</f>
        <v/>
      </c>
      <c r="G3240">
        <f>BASE_EQUIPOS!M3240</f>
        <v/>
      </c>
      <c r="I3240" t="inlineStr">
        <is>
          <t>A34185530/ W-643816</t>
        </is>
      </c>
    </row>
    <row r="3241">
      <c r="A3241">
        <f>TRIM(BASE_EQUIPOS!N3241)</f>
        <v/>
      </c>
      <c r="B3241">
        <f>BASE_EQUIPOS!A3241</f>
        <v/>
      </c>
      <c r="C3241">
        <f>BASE_EQUIPOS!B3241</f>
        <v/>
      </c>
      <c r="D3241">
        <f>BASE_EQUIPOS!D3241</f>
        <v/>
      </c>
      <c r="E3241">
        <f>BASE_EQUIPOS!G3241</f>
        <v/>
      </c>
      <c r="F3241">
        <f>BASE_EQUIPOS!H3241</f>
        <v/>
      </c>
      <c r="G3241">
        <f>BASE_EQUIPOS!M3241</f>
        <v/>
      </c>
      <c r="I3241" t="inlineStr">
        <is>
          <t>386/001467</t>
        </is>
      </c>
    </row>
    <row r="3242">
      <c r="A3242">
        <f>TRIM(BASE_EQUIPOS!N3242)</f>
        <v/>
      </c>
      <c r="B3242">
        <f>BASE_EQUIPOS!A3242</f>
        <v/>
      </c>
      <c r="C3242">
        <f>BASE_EQUIPOS!B3242</f>
        <v/>
      </c>
      <c r="D3242">
        <f>BASE_EQUIPOS!D3242</f>
        <v/>
      </c>
      <c r="E3242">
        <f>BASE_EQUIPOS!G3242</f>
        <v/>
      </c>
      <c r="F3242">
        <f>BASE_EQUIPOS!H3242</f>
        <v/>
      </c>
      <c r="G3242">
        <f>BASE_EQUIPOS!M3242</f>
        <v/>
      </c>
      <c r="I3242" t="inlineStr">
        <is>
          <t>20/000748</t>
        </is>
      </c>
    </row>
    <row r="3243">
      <c r="A3243">
        <f>TRIM(BASE_EQUIPOS!N3243)</f>
        <v/>
      </c>
      <c r="B3243">
        <f>BASE_EQUIPOS!A3243</f>
        <v/>
      </c>
      <c r="C3243">
        <f>BASE_EQUIPOS!B3243</f>
        <v/>
      </c>
      <c r="D3243">
        <f>BASE_EQUIPOS!D3243</f>
        <v/>
      </c>
      <c r="E3243">
        <f>BASE_EQUIPOS!G3243</f>
        <v/>
      </c>
      <c r="F3243">
        <f>BASE_EQUIPOS!H3243</f>
        <v/>
      </c>
      <c r="G3243">
        <f>BASE_EQUIPOS!M3243</f>
        <v/>
      </c>
      <c r="I3243" t="inlineStr">
        <is>
          <t>03/002040</t>
        </is>
      </c>
    </row>
    <row r="3244">
      <c r="A3244">
        <f>TRIM(BASE_EQUIPOS!N3244)</f>
        <v/>
      </c>
      <c r="B3244">
        <f>BASE_EQUIPOS!A3244</f>
        <v/>
      </c>
      <c r="C3244">
        <f>BASE_EQUIPOS!B3244</f>
        <v/>
      </c>
      <c r="D3244">
        <f>BASE_EQUIPOS!D3244</f>
        <v/>
      </c>
      <c r="E3244">
        <f>BASE_EQUIPOS!G3244</f>
        <v/>
      </c>
      <c r="F3244">
        <f>BASE_EQUIPOS!H3244</f>
        <v/>
      </c>
      <c r="G3244">
        <f>BASE_EQUIPOS!M3244</f>
        <v/>
      </c>
      <c r="I3244" t="inlineStr">
        <is>
          <t>S/N/001350</t>
        </is>
      </c>
    </row>
    <row r="3245">
      <c r="A3245">
        <f>TRIM(BASE_EQUIPOS!N3245)</f>
        <v/>
      </c>
      <c r="B3245">
        <f>BASE_EQUIPOS!A3245</f>
        <v/>
      </c>
      <c r="C3245">
        <f>BASE_EQUIPOS!B3245</f>
        <v/>
      </c>
      <c r="D3245">
        <f>BASE_EQUIPOS!D3245</f>
        <v/>
      </c>
      <c r="E3245">
        <f>BASE_EQUIPOS!G3245</f>
        <v/>
      </c>
      <c r="F3245">
        <f>BASE_EQUIPOS!H3245</f>
        <v/>
      </c>
      <c r="G3245">
        <f>BASE_EQUIPOS!M3245</f>
        <v/>
      </c>
      <c r="I3245" t="inlineStr">
        <is>
          <t>S/N/002747</t>
        </is>
      </c>
    </row>
    <row r="3246">
      <c r="A3246">
        <f>TRIM(BASE_EQUIPOS!N3246)</f>
        <v/>
      </c>
      <c r="B3246">
        <f>BASE_EQUIPOS!A3246</f>
        <v/>
      </c>
      <c r="C3246">
        <f>BASE_EQUIPOS!B3246</f>
        <v/>
      </c>
      <c r="D3246">
        <f>BASE_EQUIPOS!D3246</f>
        <v/>
      </c>
      <c r="E3246">
        <f>BASE_EQUIPOS!G3246</f>
        <v/>
      </c>
      <c r="F3246">
        <f>BASE_EQUIPOS!H3246</f>
        <v/>
      </c>
      <c r="G3246">
        <f>BASE_EQUIPOS!M3246</f>
        <v/>
      </c>
      <c r="I3246" t="inlineStr">
        <is>
          <t>07/000249</t>
        </is>
      </c>
    </row>
    <row r="3247">
      <c r="A3247">
        <f>TRIM(BASE_EQUIPOS!N3247)</f>
        <v/>
      </c>
      <c r="B3247">
        <f>BASE_EQUIPOS!A3247</f>
        <v/>
      </c>
      <c r="C3247">
        <f>BASE_EQUIPOS!B3247</f>
        <v/>
      </c>
      <c r="D3247">
        <f>BASE_EQUIPOS!D3247</f>
        <v/>
      </c>
      <c r="E3247">
        <f>BASE_EQUIPOS!G3247</f>
        <v/>
      </c>
      <c r="F3247">
        <f>BASE_EQUIPOS!H3247</f>
        <v/>
      </c>
      <c r="G3247">
        <f>BASE_EQUIPOS!M3247</f>
        <v/>
      </c>
      <c r="I3247" t="inlineStr">
        <is>
          <t>127/000017</t>
        </is>
      </c>
    </row>
    <row r="3248">
      <c r="A3248">
        <f>TRIM(BASE_EQUIPOS!N3248)</f>
        <v/>
      </c>
      <c r="B3248">
        <f>BASE_EQUIPOS!A3248</f>
        <v/>
      </c>
      <c r="C3248">
        <f>BASE_EQUIPOS!B3248</f>
        <v/>
      </c>
      <c r="D3248">
        <f>BASE_EQUIPOS!D3248</f>
        <v/>
      </c>
      <c r="E3248">
        <f>BASE_EQUIPOS!G3248</f>
        <v/>
      </c>
      <c r="F3248">
        <f>BASE_EQUIPOS!H3248</f>
        <v/>
      </c>
      <c r="G3248">
        <f>BASE_EQUIPOS!M3248</f>
        <v/>
      </c>
      <c r="I3248" t="inlineStr">
        <is>
          <t>S/N/11886</t>
        </is>
      </c>
    </row>
    <row r="3249">
      <c r="A3249">
        <f>TRIM(BASE_EQUIPOS!N3249)</f>
        <v/>
      </c>
      <c r="B3249">
        <f>BASE_EQUIPOS!A3249</f>
        <v/>
      </c>
      <c r="C3249">
        <f>BASE_EQUIPOS!B3249</f>
        <v/>
      </c>
      <c r="D3249">
        <f>BASE_EQUIPOS!D3249</f>
        <v/>
      </c>
      <c r="E3249">
        <f>BASE_EQUIPOS!G3249</f>
        <v/>
      </c>
      <c r="F3249">
        <f>BASE_EQUIPOS!H3249</f>
        <v/>
      </c>
      <c r="G3249">
        <f>BASE_EQUIPOS!M3249</f>
        <v/>
      </c>
      <c r="I3249" t="inlineStr">
        <is>
          <t>E-094/000207</t>
        </is>
      </c>
    </row>
    <row r="3250">
      <c r="A3250">
        <f>TRIM(BASE_EQUIPOS!N3250)</f>
        <v/>
      </c>
      <c r="B3250">
        <f>BASE_EQUIPOS!A3250</f>
        <v/>
      </c>
      <c r="C3250">
        <f>BASE_EQUIPOS!B3250</f>
        <v/>
      </c>
      <c r="D3250">
        <f>BASE_EQUIPOS!D3250</f>
        <v/>
      </c>
      <c r="E3250">
        <f>BASE_EQUIPOS!G3250</f>
        <v/>
      </c>
      <c r="F3250">
        <f>BASE_EQUIPOS!H3250</f>
        <v/>
      </c>
      <c r="G3250">
        <f>BASE_EQUIPOS!M3250</f>
        <v/>
      </c>
      <c r="I3250" t="inlineStr">
        <is>
          <t>E-097/000531</t>
        </is>
      </c>
    </row>
    <row r="3251">
      <c r="A3251">
        <f>TRIM(BASE_EQUIPOS!N3251)</f>
        <v/>
      </c>
      <c r="B3251">
        <f>BASE_EQUIPOS!A3251</f>
        <v/>
      </c>
      <c r="C3251">
        <f>BASE_EQUIPOS!B3251</f>
        <v/>
      </c>
      <c r="D3251">
        <f>BASE_EQUIPOS!D3251</f>
        <v/>
      </c>
      <c r="E3251">
        <f>BASE_EQUIPOS!G3251</f>
        <v/>
      </c>
      <c r="F3251">
        <f>BASE_EQUIPOS!H3251</f>
        <v/>
      </c>
      <c r="G3251">
        <f>BASE_EQUIPOS!M3251</f>
        <v/>
      </c>
      <c r="I3251" t="inlineStr">
        <is>
          <t>E-091/000160|</t>
        </is>
      </c>
    </row>
    <row r="3252">
      <c r="A3252">
        <f>TRIM(BASE_EQUIPOS!N3252)</f>
        <v/>
      </c>
      <c r="B3252">
        <f>BASE_EQUIPOS!A3252</f>
        <v/>
      </c>
      <c r="C3252">
        <f>BASE_EQUIPOS!B3252</f>
        <v/>
      </c>
      <c r="D3252">
        <f>BASE_EQUIPOS!D3252</f>
        <v/>
      </c>
      <c r="E3252">
        <f>BASE_EQUIPOS!G3252</f>
        <v/>
      </c>
      <c r="F3252">
        <f>BASE_EQUIPOS!H3252</f>
        <v/>
      </c>
      <c r="G3252">
        <f>BASE_EQUIPOS!M3252</f>
        <v/>
      </c>
      <c r="I3252" t="inlineStr">
        <is>
          <t>E-025/001855</t>
        </is>
      </c>
    </row>
    <row r="3253">
      <c r="A3253">
        <f>TRIM(BASE_EQUIPOS!N3253)</f>
        <v/>
      </c>
      <c r="B3253">
        <f>BASE_EQUIPOS!A3253</f>
        <v/>
      </c>
      <c r="C3253">
        <f>BASE_EQUIPOS!B3253</f>
        <v/>
      </c>
      <c r="D3253">
        <f>BASE_EQUIPOS!D3253</f>
        <v/>
      </c>
      <c r="E3253">
        <f>BASE_EQUIPOS!G3253</f>
        <v/>
      </c>
      <c r="F3253">
        <f>BASE_EQUIPOS!H3253</f>
        <v/>
      </c>
      <c r="G3253">
        <f>BASE_EQUIPOS!M3253</f>
        <v/>
      </c>
      <c r="I3253" t="inlineStr">
        <is>
          <t>E-060/000864</t>
        </is>
      </c>
    </row>
    <row r="3254">
      <c r="A3254">
        <f>TRIM(BASE_EQUIPOS!N3254)</f>
        <v/>
      </c>
      <c r="B3254">
        <f>BASE_EQUIPOS!A3254</f>
        <v/>
      </c>
      <c r="C3254">
        <f>BASE_EQUIPOS!B3254</f>
        <v/>
      </c>
      <c r="D3254">
        <f>BASE_EQUIPOS!D3254</f>
        <v/>
      </c>
      <c r="E3254">
        <f>BASE_EQUIPOS!G3254</f>
        <v/>
      </c>
      <c r="F3254">
        <f>BASE_EQUIPOS!H3254</f>
        <v/>
      </c>
      <c r="G3254">
        <f>BASE_EQUIPOS!M3254</f>
        <v/>
      </c>
      <c r="I3254" t="inlineStr">
        <is>
          <t>E-010/005955</t>
        </is>
      </c>
    </row>
    <row r="3255">
      <c r="A3255">
        <f>TRIM(BASE_EQUIPOS!N3255)</f>
        <v/>
      </c>
      <c r="B3255">
        <f>BASE_EQUIPOS!A3255</f>
        <v/>
      </c>
      <c r="C3255">
        <f>BASE_EQUIPOS!B3255</f>
        <v/>
      </c>
      <c r="D3255">
        <f>BASE_EQUIPOS!D3255</f>
        <v/>
      </c>
      <c r="E3255">
        <f>BASE_EQUIPOS!G3255</f>
        <v/>
      </c>
      <c r="F3255">
        <f>BASE_EQUIPOS!H3255</f>
        <v/>
      </c>
      <c r="G3255">
        <f>BASE_EQUIPOS!M3255</f>
        <v/>
      </c>
      <c r="I3255" t="inlineStr">
        <is>
          <t>E-054/000534</t>
        </is>
      </c>
    </row>
    <row r="3256">
      <c r="A3256">
        <f>TRIM(BASE_EQUIPOS!N3256)</f>
        <v/>
      </c>
      <c r="B3256">
        <f>BASE_EQUIPOS!A3256</f>
        <v/>
      </c>
      <c r="C3256">
        <f>BASE_EQUIPOS!B3256</f>
        <v/>
      </c>
      <c r="D3256">
        <f>BASE_EQUIPOS!D3256</f>
        <v/>
      </c>
      <c r="E3256">
        <f>BASE_EQUIPOS!G3256</f>
        <v/>
      </c>
      <c r="F3256">
        <f>BASE_EQUIPOS!H3256</f>
        <v/>
      </c>
      <c r="G3256">
        <f>BASE_EQUIPOS!M3256</f>
        <v/>
      </c>
      <c r="I3256" t="inlineStr">
        <is>
          <t>E-090/000579</t>
        </is>
      </c>
    </row>
    <row r="3257">
      <c r="A3257">
        <f>TRIM(BASE_EQUIPOS!N3257)</f>
        <v/>
      </c>
      <c r="B3257">
        <f>BASE_EQUIPOS!A3257</f>
        <v/>
      </c>
      <c r="C3257">
        <f>BASE_EQUIPOS!B3257</f>
        <v/>
      </c>
      <c r="D3257">
        <f>BASE_EQUIPOS!D3257</f>
        <v/>
      </c>
      <c r="E3257">
        <f>BASE_EQUIPOS!G3257</f>
        <v/>
      </c>
      <c r="F3257">
        <f>BASE_EQUIPOS!H3257</f>
        <v/>
      </c>
      <c r="G3257">
        <f>BASE_EQUIPOS!M3257</f>
        <v/>
      </c>
      <c r="I3257" t="inlineStr">
        <is>
          <t>E-055/000064</t>
        </is>
      </c>
    </row>
    <row r="3258">
      <c r="A3258">
        <f>TRIM(BASE_EQUIPOS!N3258)</f>
        <v/>
      </c>
      <c r="B3258">
        <f>BASE_EQUIPOS!A3258</f>
        <v/>
      </c>
      <c r="C3258">
        <f>BASE_EQUIPOS!B3258</f>
        <v/>
      </c>
      <c r="D3258">
        <f>BASE_EQUIPOS!D3258</f>
        <v/>
      </c>
      <c r="E3258">
        <f>BASE_EQUIPOS!G3258</f>
        <v/>
      </c>
      <c r="F3258">
        <f>BASE_EQUIPOS!H3258</f>
        <v/>
      </c>
      <c r="G3258">
        <f>BASE_EQUIPOS!M3258</f>
        <v/>
      </c>
      <c r="I3258" t="inlineStr">
        <is>
          <t>E-139/000128</t>
        </is>
      </c>
    </row>
    <row r="3259">
      <c r="A3259">
        <f>TRIM(BASE_EQUIPOS!N3259)</f>
        <v/>
      </c>
      <c r="B3259">
        <f>BASE_EQUIPOS!A3259</f>
        <v/>
      </c>
      <c r="C3259">
        <f>BASE_EQUIPOS!B3259</f>
        <v/>
      </c>
      <c r="D3259">
        <f>BASE_EQUIPOS!D3259</f>
        <v/>
      </c>
      <c r="E3259">
        <f>BASE_EQUIPOS!G3259</f>
        <v/>
      </c>
      <c r="F3259">
        <f>BASE_EQUIPOS!H3259</f>
        <v/>
      </c>
      <c r="G3259">
        <f>BASE_EQUIPOS!M3259</f>
        <v/>
      </c>
      <c r="I3259" t="inlineStr">
        <is>
          <t>E-134/000105</t>
        </is>
      </c>
    </row>
    <row r="3260">
      <c r="A3260">
        <f>TRIM(BASE_EQUIPOS!N3260)</f>
        <v/>
      </c>
      <c r="B3260">
        <f>BASE_EQUIPOS!A3260</f>
        <v/>
      </c>
      <c r="C3260">
        <f>BASE_EQUIPOS!B3260</f>
        <v/>
      </c>
      <c r="D3260">
        <f>BASE_EQUIPOS!D3260</f>
        <v/>
      </c>
      <c r="E3260">
        <f>BASE_EQUIPOS!G3260</f>
        <v/>
      </c>
      <c r="F3260">
        <f>BASE_EQUIPOS!H3260</f>
        <v/>
      </c>
      <c r="G3260">
        <f>BASE_EQUIPOS!M3260</f>
        <v/>
      </c>
      <c r="I3260" t="inlineStr">
        <is>
          <t>E-135/000085</t>
        </is>
      </c>
    </row>
    <row r="3261">
      <c r="A3261">
        <f>TRIM(BASE_EQUIPOS!N3261)</f>
        <v/>
      </c>
      <c r="B3261">
        <f>BASE_EQUIPOS!A3261</f>
        <v/>
      </c>
      <c r="C3261">
        <f>BASE_EQUIPOS!B3261</f>
        <v/>
      </c>
      <c r="D3261">
        <f>BASE_EQUIPOS!D3261</f>
        <v/>
      </c>
      <c r="E3261">
        <f>BASE_EQUIPOS!G3261</f>
        <v/>
      </c>
      <c r="F3261">
        <f>BASE_EQUIPOS!H3261</f>
        <v/>
      </c>
      <c r="G3261">
        <f>BASE_EQUIPOS!M3261</f>
        <v/>
      </c>
      <c r="I3261" t="inlineStr">
        <is>
          <t>E-137/000424</t>
        </is>
      </c>
    </row>
    <row r="3262">
      <c r="A3262">
        <f>TRIM(BASE_EQUIPOS!N3262)</f>
        <v/>
      </c>
      <c r="B3262">
        <f>BASE_EQUIPOS!A3262</f>
        <v/>
      </c>
      <c r="C3262">
        <f>BASE_EQUIPOS!B3262</f>
        <v/>
      </c>
      <c r="D3262">
        <f>BASE_EQUIPOS!D3262</f>
        <v/>
      </c>
      <c r="E3262">
        <f>BASE_EQUIPOS!G3262</f>
        <v/>
      </c>
      <c r="F3262">
        <f>BASE_EQUIPOS!H3262</f>
        <v/>
      </c>
      <c r="G3262">
        <f>BASE_EQUIPOS!M3262</f>
        <v/>
      </c>
      <c r="I3262" t="inlineStr">
        <is>
          <t>E-001/330245</t>
        </is>
      </c>
    </row>
    <row r="3263">
      <c r="A3263">
        <f>TRIM(BASE_EQUIPOS!N3263)</f>
        <v/>
      </c>
      <c r="B3263">
        <f>BASE_EQUIPOS!A3263</f>
        <v/>
      </c>
      <c r="C3263">
        <f>BASE_EQUIPOS!B3263</f>
        <v/>
      </c>
      <c r="D3263">
        <f>BASE_EQUIPOS!D3263</f>
        <v/>
      </c>
      <c r="E3263">
        <f>BASE_EQUIPOS!G3263</f>
        <v/>
      </c>
      <c r="F3263">
        <f>BASE_EQUIPOS!H3263</f>
        <v/>
      </c>
      <c r="G3263">
        <f>BASE_EQUIPOS!M3263</f>
        <v/>
      </c>
      <c r="I3263" t="inlineStr">
        <is>
          <t>E-174/000158</t>
        </is>
      </c>
    </row>
    <row r="3264">
      <c r="A3264">
        <f>TRIM(BASE_EQUIPOS!N3264)</f>
        <v/>
      </c>
      <c r="B3264">
        <f>BASE_EQUIPOS!A3264</f>
        <v/>
      </c>
      <c r="C3264">
        <f>BASE_EQUIPOS!B3264</f>
        <v/>
      </c>
      <c r="D3264">
        <f>BASE_EQUIPOS!D3264</f>
        <v/>
      </c>
      <c r="E3264">
        <f>BASE_EQUIPOS!G3264</f>
        <v/>
      </c>
      <c r="F3264">
        <f>BASE_EQUIPOS!H3264</f>
        <v/>
      </c>
      <c r="G3264">
        <f>BASE_EQUIPOS!M3264</f>
        <v/>
      </c>
      <c r="I3264" t="inlineStr">
        <is>
          <t>H-1/00009</t>
        </is>
      </c>
    </row>
    <row r="3265">
      <c r="A3265">
        <f>TRIM(BASE_EQUIPOS!N3265)</f>
        <v/>
      </c>
      <c r="B3265">
        <f>BASE_EQUIPOS!A3265</f>
        <v/>
      </c>
      <c r="C3265">
        <f>BASE_EQUIPOS!B3265</f>
        <v/>
      </c>
      <c r="D3265">
        <f>BASE_EQUIPOS!D3265</f>
        <v/>
      </c>
      <c r="E3265">
        <f>BASE_EQUIPOS!G3265</f>
        <v/>
      </c>
      <c r="F3265">
        <f>BASE_EQUIPOS!H3265</f>
        <v/>
      </c>
      <c r="G3265">
        <f>BASE_EQUIPOS!M3265</f>
        <v/>
      </c>
      <c r="I3265" t="inlineStr">
        <is>
          <t>H-2/000092</t>
        </is>
      </c>
    </row>
    <row r="3266">
      <c r="A3266">
        <f>TRIM(BASE_EQUIPOS!N3266)</f>
        <v/>
      </c>
      <c r="B3266">
        <f>BASE_EQUIPOS!A3266</f>
        <v/>
      </c>
      <c r="C3266">
        <f>BASE_EQUIPOS!B3266</f>
        <v/>
      </c>
      <c r="D3266">
        <f>BASE_EQUIPOS!D3266</f>
        <v/>
      </c>
      <c r="E3266">
        <f>BASE_EQUIPOS!G3266</f>
        <v/>
      </c>
      <c r="F3266">
        <f>BASE_EQUIPOS!H3266</f>
        <v/>
      </c>
      <c r="G3266">
        <f>BASE_EQUIPOS!M3266</f>
        <v/>
      </c>
      <c r="I3266" t="inlineStr">
        <is>
          <t>H-3/000093</t>
        </is>
      </c>
    </row>
    <row r="3267">
      <c r="A3267">
        <f>TRIM(BASE_EQUIPOS!N3267)</f>
        <v/>
      </c>
      <c r="B3267">
        <f>BASE_EQUIPOS!A3267</f>
        <v/>
      </c>
      <c r="C3267">
        <f>BASE_EQUIPOS!B3267</f>
        <v/>
      </c>
      <c r="D3267">
        <f>BASE_EQUIPOS!D3267</f>
        <v/>
      </c>
      <c r="E3267">
        <f>BASE_EQUIPOS!G3267</f>
        <v/>
      </c>
      <c r="F3267">
        <f>BASE_EQUIPOS!H3267</f>
        <v/>
      </c>
      <c r="G3267">
        <f>BASE_EQUIPOS!M3267</f>
        <v/>
      </c>
      <c r="I3267" t="inlineStr">
        <is>
          <t>E-024/034891</t>
        </is>
      </c>
    </row>
    <row r="3268">
      <c r="A3268">
        <f>TRIM(BASE_EQUIPOS!N3268)</f>
        <v/>
      </c>
      <c r="B3268">
        <f>BASE_EQUIPOS!A3268</f>
        <v/>
      </c>
      <c r="C3268">
        <f>BASE_EQUIPOS!B3268</f>
        <v/>
      </c>
      <c r="D3268">
        <f>BASE_EQUIPOS!D3268</f>
        <v/>
      </c>
      <c r="E3268">
        <f>BASE_EQUIPOS!G3268</f>
        <v/>
      </c>
      <c r="F3268">
        <f>BASE_EQUIPOS!H3268</f>
        <v/>
      </c>
      <c r="G3268">
        <f>BASE_EQUIPOS!M3268</f>
        <v/>
      </c>
      <c r="I3268" t="inlineStr">
        <is>
          <t>E-048/002852</t>
        </is>
      </c>
    </row>
    <row r="3269">
      <c r="A3269">
        <f>TRIM(BASE_EQUIPOS!N3269)</f>
        <v/>
      </c>
      <c r="B3269">
        <f>BASE_EQUIPOS!A3269</f>
        <v/>
      </c>
      <c r="C3269">
        <f>BASE_EQUIPOS!B3269</f>
        <v/>
      </c>
      <c r="D3269">
        <f>BASE_EQUIPOS!D3269</f>
        <v/>
      </c>
      <c r="E3269">
        <f>BASE_EQUIPOS!G3269</f>
        <v/>
      </c>
      <c r="F3269">
        <f>BASE_EQUIPOS!H3269</f>
        <v/>
      </c>
      <c r="G3269">
        <f>BASE_EQUIPOS!M3269</f>
        <v/>
      </c>
      <c r="I3269" t="inlineStr">
        <is>
          <t>E-138/035234</t>
        </is>
      </c>
    </row>
    <row r="3270">
      <c r="A3270">
        <f>TRIM(BASE_EQUIPOS!N3270)</f>
        <v/>
      </c>
      <c r="B3270">
        <f>BASE_EQUIPOS!A3270</f>
        <v/>
      </c>
      <c r="C3270">
        <f>BASE_EQUIPOS!B3270</f>
        <v/>
      </c>
      <c r="D3270">
        <f>BASE_EQUIPOS!D3270</f>
        <v/>
      </c>
      <c r="E3270">
        <f>BASE_EQUIPOS!G3270</f>
        <v/>
      </c>
      <c r="F3270">
        <f>BASE_EQUIPOS!H3270</f>
        <v/>
      </c>
      <c r="G3270">
        <f>BASE_EQUIPOS!M3270</f>
        <v/>
      </c>
      <c r="I3270" t="inlineStr">
        <is>
          <t>E-002/000038</t>
        </is>
      </c>
    </row>
    <row r="3271">
      <c r="A3271">
        <f>TRIM(BASE_EQUIPOS!N3271)</f>
        <v/>
      </c>
      <c r="B3271">
        <f>BASE_EQUIPOS!A3271</f>
        <v/>
      </c>
      <c r="C3271">
        <f>BASE_EQUIPOS!B3271</f>
        <v/>
      </c>
      <c r="D3271">
        <f>BASE_EQUIPOS!D3271</f>
        <v/>
      </c>
      <c r="E3271">
        <f>BASE_EQUIPOS!G3271</f>
        <v/>
      </c>
      <c r="F3271">
        <f>BASE_EQUIPOS!H3271</f>
        <v/>
      </c>
      <c r="G3271">
        <f>BASE_EQUIPOS!M3271</f>
        <v/>
      </c>
      <c r="I3271" t="inlineStr">
        <is>
          <t>E-096/000253</t>
        </is>
      </c>
    </row>
    <row r="3272">
      <c r="A3272">
        <f>TRIM(BASE_EQUIPOS!N3272)</f>
        <v/>
      </c>
      <c r="B3272">
        <f>BASE_EQUIPOS!A3272</f>
        <v/>
      </c>
      <c r="C3272">
        <f>BASE_EQUIPOS!B3272</f>
        <v/>
      </c>
      <c r="D3272">
        <f>BASE_EQUIPOS!D3272</f>
        <v/>
      </c>
      <c r="E3272">
        <f>BASE_EQUIPOS!G3272</f>
        <v/>
      </c>
      <c r="F3272">
        <f>BASE_EQUIPOS!H3272</f>
        <v/>
      </c>
      <c r="G3272">
        <f>BASE_EQUIPOS!M3272</f>
        <v/>
      </c>
      <c r="I3272" t="inlineStr">
        <is>
          <t>E-109/000618</t>
        </is>
      </c>
    </row>
    <row r="3273">
      <c r="A3273">
        <f>TRIM(BASE_EQUIPOS!N3273)</f>
        <v/>
      </c>
      <c r="B3273">
        <f>BASE_EQUIPOS!A3273</f>
        <v/>
      </c>
      <c r="C3273">
        <f>BASE_EQUIPOS!B3273</f>
        <v/>
      </c>
      <c r="D3273">
        <f>BASE_EQUIPOS!D3273</f>
        <v/>
      </c>
      <c r="E3273">
        <f>BASE_EQUIPOS!G3273</f>
        <v/>
      </c>
      <c r="F3273">
        <f>BASE_EQUIPOS!H3273</f>
        <v/>
      </c>
      <c r="G3273">
        <f>BASE_EQUIPOS!M3273</f>
        <v/>
      </c>
      <c r="I3273" t="inlineStr">
        <is>
          <t>E-013/035525</t>
        </is>
      </c>
    </row>
    <row r="3274">
      <c r="A3274">
        <f>TRIM(BASE_EQUIPOS!N3274)</f>
        <v/>
      </c>
      <c r="B3274">
        <f>BASE_EQUIPOS!A3274</f>
        <v/>
      </c>
      <c r="C3274">
        <f>BASE_EQUIPOS!B3274</f>
        <v/>
      </c>
      <c r="D3274">
        <f>BASE_EQUIPOS!D3274</f>
        <v/>
      </c>
      <c r="E3274">
        <f>BASE_EQUIPOS!G3274</f>
        <v/>
      </c>
      <c r="F3274">
        <f>BASE_EQUIPOS!H3274</f>
        <v/>
      </c>
      <c r="G3274">
        <f>BASE_EQUIPOS!M3274</f>
        <v/>
      </c>
      <c r="I3274" t="inlineStr">
        <is>
          <t>E-131/000086</t>
        </is>
      </c>
    </row>
    <row r="3275">
      <c r="A3275">
        <f>TRIM(BASE_EQUIPOS!N3275)</f>
        <v/>
      </c>
      <c r="B3275">
        <f>BASE_EQUIPOS!A3275</f>
        <v/>
      </c>
      <c r="C3275">
        <f>BASE_EQUIPOS!B3275</f>
        <v/>
      </c>
      <c r="D3275">
        <f>BASE_EQUIPOS!D3275</f>
        <v/>
      </c>
      <c r="E3275">
        <f>BASE_EQUIPOS!G3275</f>
        <v/>
      </c>
      <c r="F3275">
        <f>BASE_EQUIPOS!H3275</f>
        <v/>
      </c>
      <c r="G3275">
        <f>BASE_EQUIPOS!M3275</f>
        <v/>
      </c>
      <c r="I3275" t="inlineStr">
        <is>
          <t>E-127/000045</t>
        </is>
      </c>
    </row>
    <row r="3276">
      <c r="A3276">
        <f>TRIM(BASE_EQUIPOS!N3276)</f>
        <v/>
      </c>
      <c r="B3276">
        <f>BASE_EQUIPOS!A3276</f>
        <v/>
      </c>
      <c r="C3276">
        <f>BASE_EQUIPOS!B3276</f>
        <v/>
      </c>
      <c r="D3276">
        <f>BASE_EQUIPOS!D3276</f>
        <v/>
      </c>
      <c r="E3276">
        <f>BASE_EQUIPOS!G3276</f>
        <v/>
      </c>
      <c r="F3276">
        <f>BASE_EQUIPOS!H3276</f>
        <v/>
      </c>
      <c r="G3276">
        <f>BASE_EQUIPOS!M3276</f>
        <v/>
      </c>
      <c r="I3276" t="inlineStr">
        <is>
          <t>E-133/003873</t>
        </is>
      </c>
    </row>
    <row r="3277">
      <c r="A3277">
        <f>TRIM(BASE_EQUIPOS!N3277)</f>
        <v/>
      </c>
      <c r="B3277">
        <f>BASE_EQUIPOS!A3277</f>
        <v/>
      </c>
      <c r="C3277">
        <f>BASE_EQUIPOS!B3277</f>
        <v/>
      </c>
      <c r="D3277">
        <f>BASE_EQUIPOS!D3277</f>
        <v/>
      </c>
      <c r="E3277">
        <f>BASE_EQUIPOS!G3277</f>
        <v/>
      </c>
      <c r="F3277">
        <f>BASE_EQUIPOS!H3277</f>
        <v/>
      </c>
      <c r="G3277">
        <f>BASE_EQUIPOS!M3277</f>
        <v/>
      </c>
      <c r="I3277" t="inlineStr">
        <is>
          <t>33/AB-340476</t>
        </is>
      </c>
    </row>
    <row r="3278">
      <c r="A3278">
        <f>TRIM(BASE_EQUIPOS!N3278)</f>
        <v/>
      </c>
      <c r="B3278">
        <f>BASE_EQUIPOS!A3278</f>
        <v/>
      </c>
      <c r="C3278">
        <f>BASE_EQUIPOS!B3278</f>
        <v/>
      </c>
      <c r="D3278">
        <f>BASE_EQUIPOS!D3278</f>
        <v/>
      </c>
      <c r="E3278">
        <f>BASE_EQUIPOS!G3278</f>
        <v/>
      </c>
      <c r="F3278">
        <f>BASE_EQUIPOS!H3278</f>
        <v/>
      </c>
      <c r="G3278">
        <f>BASE_EQUIPOS!M3278</f>
        <v/>
      </c>
      <c r="I3278" t="inlineStr">
        <is>
          <t>01/000242</t>
        </is>
      </c>
    </row>
    <row r="3279">
      <c r="A3279">
        <f>TRIM(BASE_EQUIPOS!N3279)</f>
        <v/>
      </c>
      <c r="B3279">
        <f>BASE_EQUIPOS!A3279</f>
        <v/>
      </c>
      <c r="C3279">
        <f>BASE_EQUIPOS!B3279</f>
        <v/>
      </c>
      <c r="D3279">
        <f>BASE_EQUIPOS!D3279</f>
        <v/>
      </c>
      <c r="E3279">
        <f>BASE_EQUIPOS!G3279</f>
        <v/>
      </c>
      <c r="F3279">
        <f>BASE_EQUIPOS!H3279</f>
        <v/>
      </c>
      <c r="G3279">
        <f>BASE_EQUIPOS!M3279</f>
        <v/>
      </c>
      <c r="I3279" t="inlineStr">
        <is>
          <t>34/002618</t>
        </is>
      </c>
    </row>
    <row r="3280">
      <c r="A3280">
        <f>TRIM(BASE_EQUIPOS!N3280)</f>
        <v/>
      </c>
      <c r="B3280">
        <f>BASE_EQUIPOS!A3280</f>
        <v/>
      </c>
      <c r="C3280">
        <f>BASE_EQUIPOS!B3280</f>
        <v/>
      </c>
      <c r="D3280">
        <f>BASE_EQUIPOS!D3280</f>
        <v/>
      </c>
      <c r="E3280">
        <f>BASE_EQUIPOS!G3280</f>
        <v/>
      </c>
      <c r="F3280">
        <f>BASE_EQUIPOS!H3280</f>
        <v/>
      </c>
      <c r="G3280">
        <f>BASE_EQUIPOS!M3280</f>
        <v/>
      </c>
      <c r="I3280" t="inlineStr">
        <is>
          <t>35/031472</t>
        </is>
      </c>
    </row>
    <row r="3281">
      <c r="A3281">
        <f>TRIM(BASE_EQUIPOS!N3281)</f>
        <v/>
      </c>
      <c r="B3281">
        <f>BASE_EQUIPOS!A3281</f>
        <v/>
      </c>
      <c r="C3281">
        <f>BASE_EQUIPOS!B3281</f>
        <v/>
      </c>
      <c r="D3281">
        <f>BASE_EQUIPOS!D3281</f>
        <v/>
      </c>
      <c r="E3281">
        <f>BASE_EQUIPOS!G3281</f>
        <v/>
      </c>
      <c r="F3281">
        <f>BASE_EQUIPOS!H3281</f>
        <v/>
      </c>
      <c r="G3281">
        <f>BASE_EQUIPOS!M3281</f>
        <v/>
      </c>
      <c r="I3281" t="inlineStr">
        <is>
          <t>31/000031</t>
        </is>
      </c>
    </row>
    <row r="3282">
      <c r="A3282">
        <f>TRIM(BASE_EQUIPOS!N3282)</f>
        <v/>
      </c>
      <c r="B3282">
        <f>BASE_EQUIPOS!A3282</f>
        <v/>
      </c>
      <c r="C3282">
        <f>BASE_EQUIPOS!B3282</f>
        <v/>
      </c>
      <c r="D3282">
        <f>BASE_EQUIPOS!D3282</f>
        <v/>
      </c>
      <c r="E3282">
        <f>BASE_EQUIPOS!G3282</f>
        <v/>
      </c>
      <c r="F3282">
        <f>BASE_EQUIPOS!H3282</f>
        <v/>
      </c>
      <c r="G3282">
        <f>BASE_EQUIPOS!M3282</f>
        <v/>
      </c>
      <c r="I3282" t="inlineStr">
        <is>
          <t>32/000217</t>
        </is>
      </c>
    </row>
    <row r="3283">
      <c r="A3283">
        <f>TRIM(BASE_EQUIPOS!N3283)</f>
        <v/>
      </c>
      <c r="B3283">
        <f>BASE_EQUIPOS!A3283</f>
        <v/>
      </c>
      <c r="C3283">
        <f>BASE_EQUIPOS!B3283</f>
        <v/>
      </c>
      <c r="D3283">
        <f>BASE_EQUIPOS!D3283</f>
        <v/>
      </c>
      <c r="E3283">
        <f>BASE_EQUIPOS!G3283</f>
        <v/>
      </c>
      <c r="F3283">
        <f>BASE_EQUIPOS!H3283</f>
        <v/>
      </c>
      <c r="G3283">
        <f>BASE_EQUIPOS!M3283</f>
        <v/>
      </c>
      <c r="I3283" t="inlineStr">
        <is>
          <t>33/000306</t>
        </is>
      </c>
    </row>
    <row r="3284">
      <c r="A3284">
        <f>TRIM(BASE_EQUIPOS!N3284)</f>
        <v/>
      </c>
      <c r="B3284">
        <f>BASE_EQUIPOS!A3284</f>
        <v/>
      </c>
      <c r="C3284">
        <f>BASE_EQUIPOS!B3284</f>
        <v/>
      </c>
      <c r="D3284">
        <f>BASE_EQUIPOS!D3284</f>
        <v/>
      </c>
      <c r="E3284">
        <f>BASE_EQUIPOS!G3284</f>
        <v/>
      </c>
      <c r="F3284">
        <f>BASE_EQUIPOS!H3284</f>
        <v/>
      </c>
      <c r="G3284">
        <f>BASE_EQUIPOS!M3284</f>
        <v/>
      </c>
      <c r="I3284" t="inlineStr">
        <is>
          <t>34/000470</t>
        </is>
      </c>
    </row>
    <row r="3285">
      <c r="A3285">
        <f>TRIM(BASE_EQUIPOS!N3285)</f>
        <v/>
      </c>
      <c r="B3285">
        <f>BASE_EQUIPOS!A3285</f>
        <v/>
      </c>
      <c r="C3285">
        <f>BASE_EQUIPOS!B3285</f>
        <v/>
      </c>
      <c r="D3285">
        <f>BASE_EQUIPOS!D3285</f>
        <v/>
      </c>
      <c r="E3285">
        <f>BASE_EQUIPOS!G3285</f>
        <v/>
      </c>
      <c r="F3285">
        <f>BASE_EQUIPOS!H3285</f>
        <v/>
      </c>
      <c r="G3285">
        <f>BASE_EQUIPOS!M3285</f>
        <v/>
      </c>
      <c r="I3285" t="inlineStr">
        <is>
          <t>E-032/000722</t>
        </is>
      </c>
    </row>
    <row r="3286">
      <c r="A3286">
        <f>TRIM(BASE_EQUIPOS!N3286)</f>
        <v/>
      </c>
      <c r="B3286">
        <f>BASE_EQUIPOS!A3286</f>
        <v/>
      </c>
      <c r="C3286">
        <f>BASE_EQUIPOS!B3286</f>
        <v/>
      </c>
      <c r="D3286">
        <f>BASE_EQUIPOS!D3286</f>
        <v/>
      </c>
      <c r="E3286">
        <f>BASE_EQUIPOS!G3286</f>
        <v/>
      </c>
      <c r="F3286">
        <f>BASE_EQUIPOS!H3286</f>
        <v/>
      </c>
      <c r="G3286">
        <f>BASE_EQUIPOS!M3286</f>
        <v/>
      </c>
      <c r="I3286" t="inlineStr">
        <is>
          <t>E-033/000286</t>
        </is>
      </c>
    </row>
    <row r="3287">
      <c r="A3287">
        <f>TRIM(BASE_EQUIPOS!N3287)</f>
        <v/>
      </c>
      <c r="B3287">
        <f>BASE_EQUIPOS!A3287</f>
        <v/>
      </c>
      <c r="C3287">
        <f>BASE_EQUIPOS!B3287</f>
        <v/>
      </c>
      <c r="D3287">
        <f>BASE_EQUIPOS!D3287</f>
        <v/>
      </c>
      <c r="E3287">
        <f>BASE_EQUIPOS!G3287</f>
        <v/>
      </c>
      <c r="F3287">
        <f>BASE_EQUIPOS!H3287</f>
        <v/>
      </c>
      <c r="G3287">
        <f>BASE_EQUIPOS!M3287</f>
        <v/>
      </c>
      <c r="I3287" t="inlineStr">
        <is>
          <t>E-034/002977</t>
        </is>
      </c>
    </row>
    <row r="3288">
      <c r="A3288">
        <f>TRIM(BASE_EQUIPOS!N3288)</f>
        <v/>
      </c>
      <c r="B3288">
        <f>BASE_EQUIPOS!A3288</f>
        <v/>
      </c>
      <c r="C3288">
        <f>BASE_EQUIPOS!B3288</f>
        <v/>
      </c>
      <c r="D3288">
        <f>BASE_EQUIPOS!D3288</f>
        <v/>
      </c>
      <c r="E3288">
        <f>BASE_EQUIPOS!G3288</f>
        <v/>
      </c>
      <c r="F3288">
        <f>BASE_EQUIPOS!H3288</f>
        <v/>
      </c>
      <c r="G3288">
        <f>BASE_EQUIPOS!M3288</f>
        <v/>
      </c>
      <c r="I3288" t="inlineStr">
        <is>
          <t>E-035/005586</t>
        </is>
      </c>
    </row>
    <row r="3289">
      <c r="A3289">
        <f>TRIM(BASE_EQUIPOS!N3289)</f>
        <v/>
      </c>
      <c r="B3289">
        <f>BASE_EQUIPOS!A3289</f>
        <v/>
      </c>
      <c r="C3289">
        <f>BASE_EQUIPOS!B3289</f>
        <v/>
      </c>
      <c r="D3289">
        <f>BASE_EQUIPOS!D3289</f>
        <v/>
      </c>
      <c r="E3289">
        <f>BASE_EQUIPOS!G3289</f>
        <v/>
      </c>
      <c r="F3289">
        <f>BASE_EQUIPOS!H3289</f>
        <v/>
      </c>
      <c r="G3289">
        <f>BASE_EQUIPOS!M3289</f>
        <v/>
      </c>
      <c r="I3289" t="inlineStr">
        <is>
          <t>E-036/002830</t>
        </is>
      </c>
    </row>
    <row r="3290">
      <c r="A3290">
        <f>TRIM(BASE_EQUIPOS!N3290)</f>
        <v/>
      </c>
      <c r="B3290">
        <f>BASE_EQUIPOS!A3290</f>
        <v/>
      </c>
      <c r="C3290">
        <f>BASE_EQUIPOS!B3290</f>
        <v/>
      </c>
      <c r="D3290">
        <f>BASE_EQUIPOS!D3290</f>
        <v/>
      </c>
      <c r="E3290">
        <f>BASE_EQUIPOS!G3290</f>
        <v/>
      </c>
      <c r="F3290">
        <f>BASE_EQUIPOS!H3290</f>
        <v/>
      </c>
      <c r="G3290">
        <f>BASE_EQUIPOS!M3290</f>
        <v/>
      </c>
      <c r="I3290" t="inlineStr">
        <is>
          <t>E-037/004880</t>
        </is>
      </c>
    </row>
    <row r="3291">
      <c r="A3291">
        <f>TRIM(BASE_EQUIPOS!N3291)</f>
        <v/>
      </c>
      <c r="B3291">
        <f>BASE_EQUIPOS!A3291</f>
        <v/>
      </c>
      <c r="C3291">
        <f>BASE_EQUIPOS!B3291</f>
        <v/>
      </c>
      <c r="D3291">
        <f>BASE_EQUIPOS!D3291</f>
        <v/>
      </c>
      <c r="E3291">
        <f>BASE_EQUIPOS!G3291</f>
        <v/>
      </c>
      <c r="F3291">
        <f>BASE_EQUIPOS!H3291</f>
        <v/>
      </c>
      <c r="G3291">
        <f>BASE_EQUIPOS!M3291</f>
        <v/>
      </c>
      <c r="I3291" t="inlineStr">
        <is>
          <t>03/001734</t>
        </is>
      </c>
    </row>
    <row r="3292">
      <c r="A3292">
        <f>TRIM(BASE_EQUIPOS!N3292)</f>
        <v/>
      </c>
      <c r="B3292">
        <f>BASE_EQUIPOS!A3292</f>
        <v/>
      </c>
      <c r="C3292">
        <f>BASE_EQUIPOS!B3292</f>
        <v/>
      </c>
      <c r="D3292">
        <f>BASE_EQUIPOS!D3292</f>
        <v/>
      </c>
      <c r="E3292">
        <f>BASE_EQUIPOS!G3292</f>
        <v/>
      </c>
      <c r="F3292">
        <f>BASE_EQUIPOS!H3292</f>
        <v/>
      </c>
      <c r="G3292">
        <f>BASE_EQUIPOS!M3292</f>
        <v/>
      </c>
      <c r="I3292" t="inlineStr">
        <is>
          <t>06/000026</t>
        </is>
      </c>
    </row>
    <row r="3293">
      <c r="A3293">
        <f>TRIM(BASE_EQUIPOS!N3293)</f>
        <v/>
      </c>
      <c r="B3293">
        <f>BASE_EQUIPOS!A3293</f>
        <v/>
      </c>
      <c r="C3293">
        <f>BASE_EQUIPOS!B3293</f>
        <v/>
      </c>
      <c r="D3293">
        <f>BASE_EQUIPOS!D3293</f>
        <v/>
      </c>
      <c r="E3293">
        <f>BASE_EQUIPOS!G3293</f>
        <v/>
      </c>
      <c r="F3293">
        <f>BASE_EQUIPOS!H3293</f>
        <v/>
      </c>
      <c r="G3293">
        <f>BASE_EQUIPOS!M3293</f>
        <v/>
      </c>
      <c r="I3293" t="inlineStr">
        <is>
          <t>10/000163</t>
        </is>
      </c>
    </row>
    <row r="3294">
      <c r="A3294">
        <f>TRIM(BASE_EQUIPOS!N3294)</f>
        <v/>
      </c>
      <c r="B3294">
        <f>BASE_EQUIPOS!A3294</f>
        <v/>
      </c>
      <c r="C3294">
        <f>BASE_EQUIPOS!B3294</f>
        <v/>
      </c>
      <c r="D3294">
        <f>BASE_EQUIPOS!D3294</f>
        <v/>
      </c>
      <c r="E3294">
        <f>BASE_EQUIPOS!G3294</f>
        <v/>
      </c>
      <c r="F3294">
        <f>BASE_EQUIPOS!H3294</f>
        <v/>
      </c>
      <c r="G3294">
        <f>BASE_EQUIPOS!M3294</f>
        <v/>
      </c>
      <c r="I3294" t="inlineStr">
        <is>
          <t>14/000164</t>
        </is>
      </c>
    </row>
    <row r="3295">
      <c r="A3295">
        <f>TRIM(BASE_EQUIPOS!N3295)</f>
        <v/>
      </c>
      <c r="B3295">
        <f>BASE_EQUIPOS!A3295</f>
        <v/>
      </c>
      <c r="C3295">
        <f>BASE_EQUIPOS!B3295</f>
        <v/>
      </c>
      <c r="D3295">
        <f>BASE_EQUIPOS!D3295</f>
        <v/>
      </c>
      <c r="E3295">
        <f>BASE_EQUIPOS!G3295</f>
        <v/>
      </c>
      <c r="F3295">
        <f>BASE_EQUIPOS!H3295</f>
        <v/>
      </c>
      <c r="G3295">
        <f>BASE_EQUIPOS!M3295</f>
        <v/>
      </c>
      <c r="I3295" t="inlineStr">
        <is>
          <t>19/000025</t>
        </is>
      </c>
    </row>
    <row r="3296">
      <c r="A3296">
        <f>TRIM(BASE_EQUIPOS!N3296)</f>
        <v/>
      </c>
      <c r="B3296">
        <f>BASE_EQUIPOS!A3296</f>
        <v/>
      </c>
      <c r="C3296">
        <f>BASE_EQUIPOS!B3296</f>
        <v/>
      </c>
      <c r="D3296">
        <f>BASE_EQUIPOS!D3296</f>
        <v/>
      </c>
      <c r="E3296">
        <f>BASE_EQUIPOS!G3296</f>
        <v/>
      </c>
      <c r="F3296">
        <f>BASE_EQUIPOS!H3296</f>
        <v/>
      </c>
      <c r="G3296">
        <f>BASE_EQUIPOS!M3296</f>
        <v/>
      </c>
      <c r="I3296" t="inlineStr">
        <is>
          <t>28/000340</t>
        </is>
      </c>
    </row>
    <row r="3297">
      <c r="A3297">
        <f>TRIM(BASE_EQUIPOS!N3297)</f>
        <v/>
      </c>
      <c r="B3297">
        <f>BASE_EQUIPOS!A3297</f>
        <v/>
      </c>
      <c r="C3297">
        <f>BASE_EQUIPOS!B3297</f>
        <v/>
      </c>
      <c r="D3297">
        <f>BASE_EQUIPOS!D3297</f>
        <v/>
      </c>
      <c r="E3297">
        <f>BASE_EQUIPOS!G3297</f>
        <v/>
      </c>
      <c r="F3297">
        <f>BASE_EQUIPOS!H3297</f>
        <v/>
      </c>
      <c r="G3297">
        <f>BASE_EQUIPOS!M3297</f>
        <v/>
      </c>
      <c r="I3297" t="inlineStr">
        <is>
          <t>31/000319</t>
        </is>
      </c>
    </row>
    <row r="3298">
      <c r="A3298">
        <f>TRIM(BASE_EQUIPOS!N3298)</f>
        <v/>
      </c>
      <c r="B3298">
        <f>BASE_EQUIPOS!A3298</f>
        <v/>
      </c>
      <c r="C3298">
        <f>BASE_EQUIPOS!B3298</f>
        <v/>
      </c>
      <c r="D3298">
        <f>BASE_EQUIPOS!D3298</f>
        <v/>
      </c>
      <c r="E3298">
        <f>BASE_EQUIPOS!G3298</f>
        <v/>
      </c>
      <c r="F3298">
        <f>BASE_EQUIPOS!H3298</f>
        <v/>
      </c>
      <c r="G3298">
        <f>BASE_EQUIPOS!M3298</f>
        <v/>
      </c>
      <c r="I3298" t="inlineStr">
        <is>
          <t>33/001458</t>
        </is>
      </c>
    </row>
    <row r="3299">
      <c r="A3299">
        <f>TRIM(BASE_EQUIPOS!N3299)</f>
        <v/>
      </c>
      <c r="B3299">
        <f>BASE_EQUIPOS!A3299</f>
        <v/>
      </c>
      <c r="C3299">
        <f>BASE_EQUIPOS!B3299</f>
        <v/>
      </c>
      <c r="D3299">
        <f>BASE_EQUIPOS!D3299</f>
        <v/>
      </c>
      <c r="E3299">
        <f>BASE_EQUIPOS!G3299</f>
        <v/>
      </c>
      <c r="F3299">
        <f>BASE_EQUIPOS!H3299</f>
        <v/>
      </c>
      <c r="G3299">
        <f>BASE_EQUIPOS!M3299</f>
        <v/>
      </c>
      <c r="I3299" t="inlineStr">
        <is>
          <t>34/002573</t>
        </is>
      </c>
    </row>
    <row r="3300">
      <c r="A3300">
        <f>TRIM(BASE_EQUIPOS!N3300)</f>
        <v/>
      </c>
      <c r="B3300">
        <f>BASE_EQUIPOS!A3300</f>
        <v/>
      </c>
      <c r="C3300">
        <f>BASE_EQUIPOS!B3300</f>
        <v/>
      </c>
      <c r="D3300">
        <f>BASE_EQUIPOS!D3300</f>
        <v/>
      </c>
      <c r="E3300">
        <f>BASE_EQUIPOS!G3300</f>
        <v/>
      </c>
      <c r="F3300">
        <f>BASE_EQUIPOS!H3300</f>
        <v/>
      </c>
      <c r="G3300">
        <f>BASE_EQUIPOS!M3300</f>
        <v/>
      </c>
      <c r="I3300" t="inlineStr">
        <is>
          <t>35/001314</t>
        </is>
      </c>
    </row>
    <row r="3301">
      <c r="A3301">
        <f>TRIM(BASE_EQUIPOS!N3301)</f>
        <v/>
      </c>
      <c r="B3301">
        <f>BASE_EQUIPOS!A3301</f>
        <v/>
      </c>
      <c r="C3301">
        <f>BASE_EQUIPOS!B3301</f>
        <v/>
      </c>
      <c r="D3301">
        <f>BASE_EQUIPOS!D3301</f>
        <v/>
      </c>
      <c r="E3301">
        <f>BASE_EQUIPOS!G3301</f>
        <v/>
      </c>
      <c r="F3301">
        <f>BASE_EQUIPOS!H3301</f>
        <v/>
      </c>
      <c r="G3301">
        <f>BASE_EQUIPOS!M3301</f>
        <v/>
      </c>
      <c r="I3301" t="inlineStr">
        <is>
          <t>01/001322</t>
        </is>
      </c>
    </row>
    <row r="3302">
      <c r="A3302">
        <f>TRIM(BASE_EQUIPOS!N3302)</f>
        <v/>
      </c>
      <c r="B3302">
        <f>BASE_EQUIPOS!A3302</f>
        <v/>
      </c>
      <c r="C3302">
        <f>BASE_EQUIPOS!B3302</f>
        <v/>
      </c>
      <c r="D3302">
        <f>BASE_EQUIPOS!D3302</f>
        <v/>
      </c>
      <c r="E3302">
        <f>BASE_EQUIPOS!G3302</f>
        <v/>
      </c>
      <c r="F3302">
        <f>BASE_EQUIPOS!H3302</f>
        <v/>
      </c>
      <c r="G3302">
        <f>BASE_EQUIPOS!M3302</f>
        <v/>
      </c>
      <c r="I3302" t="inlineStr">
        <is>
          <t>02/000005</t>
        </is>
      </c>
    </row>
    <row r="3303">
      <c r="A3303">
        <f>TRIM(BASE_EQUIPOS!N3303)</f>
        <v/>
      </c>
      <c r="B3303">
        <f>BASE_EQUIPOS!A3303</f>
        <v/>
      </c>
      <c r="C3303">
        <f>BASE_EQUIPOS!B3303</f>
        <v/>
      </c>
      <c r="D3303">
        <f>BASE_EQUIPOS!D3303</f>
        <v/>
      </c>
      <c r="E3303">
        <f>BASE_EQUIPOS!G3303</f>
        <v/>
      </c>
      <c r="F3303">
        <f>BASE_EQUIPOS!H3303</f>
        <v/>
      </c>
      <c r="G3303">
        <f>BASE_EQUIPOS!M3303</f>
        <v/>
      </c>
      <c r="I3303" t="inlineStr">
        <is>
          <t>03/001325</t>
        </is>
      </c>
    </row>
    <row r="3304">
      <c r="A3304">
        <f>TRIM(BASE_EQUIPOS!N3304)</f>
        <v/>
      </c>
      <c r="B3304">
        <f>BASE_EQUIPOS!A3304</f>
        <v/>
      </c>
      <c r="C3304">
        <f>BASE_EQUIPOS!B3304</f>
        <v/>
      </c>
      <c r="D3304">
        <f>BASE_EQUIPOS!D3304</f>
        <v/>
      </c>
      <c r="E3304">
        <f>BASE_EQUIPOS!G3304</f>
        <v/>
      </c>
      <c r="F3304">
        <f>BASE_EQUIPOS!H3304</f>
        <v/>
      </c>
      <c r="G3304">
        <f>BASE_EQUIPOS!M3304</f>
        <v/>
      </c>
      <c r="I3304" t="inlineStr">
        <is>
          <t>04/002243</t>
        </is>
      </c>
    </row>
    <row r="3305">
      <c r="A3305">
        <f>TRIM(BASE_EQUIPOS!N3305)</f>
        <v/>
      </c>
      <c r="B3305">
        <f>BASE_EQUIPOS!A3305</f>
        <v/>
      </c>
      <c r="C3305">
        <f>BASE_EQUIPOS!B3305</f>
        <v/>
      </c>
      <c r="D3305">
        <f>BASE_EQUIPOS!D3305</f>
        <v/>
      </c>
      <c r="E3305">
        <f>BASE_EQUIPOS!G3305</f>
        <v/>
      </c>
      <c r="F3305">
        <f>BASE_EQUIPOS!H3305</f>
        <v/>
      </c>
      <c r="G3305">
        <f>BASE_EQUIPOS!M3305</f>
        <v/>
      </c>
      <c r="I3305" t="inlineStr">
        <is>
          <t>05/001840</t>
        </is>
      </c>
    </row>
    <row r="3306">
      <c r="A3306">
        <f>TRIM(BASE_EQUIPOS!N3306)</f>
        <v/>
      </c>
      <c r="B3306">
        <f>BASE_EQUIPOS!A3306</f>
        <v/>
      </c>
      <c r="C3306">
        <f>BASE_EQUIPOS!B3306</f>
        <v/>
      </c>
      <c r="D3306">
        <f>BASE_EQUIPOS!D3306</f>
        <v/>
      </c>
      <c r="E3306">
        <f>BASE_EQUIPOS!G3306</f>
        <v/>
      </c>
      <c r="F3306">
        <f>BASE_EQUIPOS!H3306</f>
        <v/>
      </c>
      <c r="G3306">
        <f>BASE_EQUIPOS!M3306</f>
        <v/>
      </c>
      <c r="I3306" t="inlineStr">
        <is>
          <t>06/001400</t>
        </is>
      </c>
    </row>
    <row r="3307">
      <c r="A3307">
        <f>TRIM(BASE_EQUIPOS!N3307)</f>
        <v/>
      </c>
      <c r="B3307">
        <f>BASE_EQUIPOS!A3307</f>
        <v/>
      </c>
      <c r="C3307">
        <f>BASE_EQUIPOS!B3307</f>
        <v/>
      </c>
      <c r="D3307">
        <f>BASE_EQUIPOS!D3307</f>
        <v/>
      </c>
      <c r="E3307">
        <f>BASE_EQUIPOS!G3307</f>
        <v/>
      </c>
      <c r="F3307">
        <f>BASE_EQUIPOS!H3307</f>
        <v/>
      </c>
      <c r="G3307">
        <f>BASE_EQUIPOS!M3307</f>
        <v/>
      </c>
      <c r="I3307" t="inlineStr">
        <is>
          <t>07/002256</t>
        </is>
      </c>
    </row>
    <row r="3308">
      <c r="A3308">
        <f>TRIM(BASE_EQUIPOS!N3308)</f>
        <v/>
      </c>
      <c r="B3308">
        <f>BASE_EQUIPOS!A3308</f>
        <v/>
      </c>
      <c r="C3308">
        <f>BASE_EQUIPOS!B3308</f>
        <v/>
      </c>
      <c r="D3308">
        <f>BASE_EQUIPOS!D3308</f>
        <v/>
      </c>
      <c r="E3308">
        <f>BASE_EQUIPOS!G3308</f>
        <v/>
      </c>
      <c r="F3308">
        <f>BASE_EQUIPOS!H3308</f>
        <v/>
      </c>
      <c r="G3308">
        <f>BASE_EQUIPOS!M3308</f>
        <v/>
      </c>
      <c r="I3308" t="inlineStr">
        <is>
          <t>08/002501</t>
        </is>
      </c>
    </row>
    <row r="3309">
      <c r="A3309">
        <f>TRIM(BASE_EQUIPOS!N3309)</f>
        <v/>
      </c>
      <c r="B3309">
        <f>BASE_EQUIPOS!A3309</f>
        <v/>
      </c>
      <c r="C3309">
        <f>BASE_EQUIPOS!B3309</f>
        <v/>
      </c>
      <c r="D3309">
        <f>BASE_EQUIPOS!D3309</f>
        <v/>
      </c>
      <c r="E3309">
        <f>BASE_EQUIPOS!G3309</f>
        <v/>
      </c>
      <c r="F3309">
        <f>BASE_EQUIPOS!H3309</f>
        <v/>
      </c>
      <c r="G3309">
        <f>BASE_EQUIPOS!M3309</f>
        <v/>
      </c>
      <c r="I3309" t="inlineStr">
        <is>
          <t>382/003327</t>
        </is>
      </c>
    </row>
    <row r="3310">
      <c r="A3310">
        <f>TRIM(BASE_EQUIPOS!N3310)</f>
        <v/>
      </c>
      <c r="B3310">
        <f>BASE_EQUIPOS!A3310</f>
        <v/>
      </c>
      <c r="C3310">
        <f>BASE_EQUIPOS!B3310</f>
        <v/>
      </c>
      <c r="D3310">
        <f>BASE_EQUIPOS!D3310</f>
        <v/>
      </c>
      <c r="E3310">
        <f>BASE_EQUIPOS!G3310</f>
        <v/>
      </c>
      <c r="F3310">
        <f>BASE_EQUIPOS!H3310</f>
        <v/>
      </c>
      <c r="G3310">
        <f>BASE_EQUIPOS!M3310</f>
        <v/>
      </c>
      <c r="I3310" t="inlineStr">
        <is>
          <t>47/000178</t>
        </is>
      </c>
    </row>
    <row r="3311">
      <c r="A3311">
        <f>TRIM(BASE_EQUIPOS!N3311)</f>
        <v/>
      </c>
      <c r="B3311">
        <f>BASE_EQUIPOS!A3311</f>
        <v/>
      </c>
      <c r="C3311">
        <f>BASE_EQUIPOS!B3311</f>
        <v/>
      </c>
      <c r="D3311">
        <f>BASE_EQUIPOS!D3311</f>
        <v/>
      </c>
      <c r="E3311">
        <f>BASE_EQUIPOS!G3311</f>
        <v/>
      </c>
      <c r="F3311">
        <f>BASE_EQUIPOS!H3311</f>
        <v/>
      </c>
      <c r="G3311">
        <f>BASE_EQUIPOS!M3311</f>
        <v/>
      </c>
      <c r="I3311" t="inlineStr">
        <is>
          <t>44/006512</t>
        </is>
      </c>
    </row>
    <row r="3312">
      <c r="A3312">
        <f>TRIM(BASE_EQUIPOS!N3312)</f>
        <v/>
      </c>
      <c r="B3312">
        <f>BASE_EQUIPOS!A3312</f>
        <v/>
      </c>
      <c r="C3312">
        <f>BASE_EQUIPOS!B3312</f>
        <v/>
      </c>
      <c r="D3312">
        <f>BASE_EQUIPOS!D3312</f>
        <v/>
      </c>
      <c r="E3312">
        <f>BASE_EQUIPOS!G3312</f>
        <v/>
      </c>
      <c r="F3312">
        <f>BASE_EQUIPOS!H3312</f>
        <v/>
      </c>
      <c r="G3312">
        <f>BASE_EQUIPOS!M3312</f>
        <v/>
      </c>
      <c r="I3312" t="inlineStr">
        <is>
          <t>001114</t>
        </is>
      </c>
    </row>
    <row r="3313">
      <c r="A3313">
        <f>TRIM(BASE_EQUIPOS!N3313)</f>
        <v/>
      </c>
      <c r="B3313">
        <f>BASE_EQUIPOS!A3313</f>
        <v/>
      </c>
      <c r="C3313">
        <f>BASE_EQUIPOS!B3313</f>
        <v/>
      </c>
      <c r="D3313">
        <f>BASE_EQUIPOS!D3313</f>
        <v/>
      </c>
      <c r="E3313">
        <f>BASE_EQUIPOS!G3313</f>
        <v/>
      </c>
      <c r="F3313">
        <f>BASE_EQUIPOS!H3313</f>
        <v/>
      </c>
      <c r="G3313">
        <f>BASE_EQUIPOS!M3313</f>
        <v/>
      </c>
      <c r="I3313" t="inlineStr">
        <is>
          <t>008252</t>
        </is>
      </c>
    </row>
    <row r="3314">
      <c r="A3314">
        <f>TRIM(BASE_EQUIPOS!N3314)</f>
        <v/>
      </c>
      <c r="B3314">
        <f>BASE_EQUIPOS!A3314</f>
        <v/>
      </c>
      <c r="C3314">
        <f>BASE_EQUIPOS!B3314</f>
        <v/>
      </c>
      <c r="D3314">
        <f>BASE_EQUIPOS!D3314</f>
        <v/>
      </c>
      <c r="E3314">
        <f>BASE_EQUIPOS!G3314</f>
        <v/>
      </c>
      <c r="F3314">
        <f>BASE_EQUIPOS!H3314</f>
        <v/>
      </c>
      <c r="G3314">
        <f>BASE_EQUIPOS!M3314</f>
        <v/>
      </c>
      <c r="I3314" t="inlineStr">
        <is>
          <t>013950</t>
        </is>
      </c>
    </row>
    <row r="3315">
      <c r="A3315">
        <f>TRIM(BASE_EQUIPOS!N3315)</f>
        <v/>
      </c>
      <c r="B3315">
        <f>BASE_EQUIPOS!A3315</f>
        <v/>
      </c>
      <c r="C3315">
        <f>BASE_EQUIPOS!B3315</f>
        <v/>
      </c>
      <c r="D3315">
        <f>BASE_EQUIPOS!D3315</f>
        <v/>
      </c>
      <c r="E3315">
        <f>BASE_EQUIPOS!G3315</f>
        <v/>
      </c>
      <c r="F3315">
        <f>BASE_EQUIPOS!H3315</f>
        <v/>
      </c>
      <c r="G3315">
        <f>BASE_EQUIPOS!M3315</f>
        <v/>
      </c>
      <c r="I3315" t="inlineStr">
        <is>
          <t>002570</t>
        </is>
      </c>
    </row>
    <row r="3316">
      <c r="A3316">
        <f>TRIM(BASE_EQUIPOS!N3316)</f>
        <v/>
      </c>
      <c r="B3316">
        <f>BASE_EQUIPOS!A3316</f>
        <v/>
      </c>
      <c r="C3316">
        <f>BASE_EQUIPOS!B3316</f>
        <v/>
      </c>
      <c r="D3316">
        <f>BASE_EQUIPOS!D3316</f>
        <v/>
      </c>
      <c r="E3316">
        <f>BASE_EQUIPOS!G3316</f>
        <v/>
      </c>
      <c r="F3316">
        <f>BASE_EQUIPOS!H3316</f>
        <v/>
      </c>
      <c r="G3316">
        <f>BASE_EQUIPOS!M3316</f>
        <v/>
      </c>
      <c r="I3316" t="inlineStr">
        <is>
          <t>003407</t>
        </is>
      </c>
    </row>
    <row r="3317">
      <c r="A3317">
        <f>TRIM(BASE_EQUIPOS!N3317)</f>
        <v/>
      </c>
      <c r="B3317">
        <f>BASE_EQUIPOS!A3317</f>
        <v/>
      </c>
      <c r="C3317">
        <f>BASE_EQUIPOS!B3317</f>
        <v/>
      </c>
      <c r="D3317">
        <f>BASE_EQUIPOS!D3317</f>
        <v/>
      </c>
      <c r="E3317">
        <f>BASE_EQUIPOS!G3317</f>
        <v/>
      </c>
      <c r="F3317">
        <f>BASE_EQUIPOS!H3317</f>
        <v/>
      </c>
      <c r="G3317">
        <f>BASE_EQUIPOS!M3317</f>
        <v/>
      </c>
      <c r="I3317" t="inlineStr">
        <is>
          <t>02/003004</t>
        </is>
      </c>
    </row>
    <row r="3318">
      <c r="A3318">
        <f>TRIM(BASE_EQUIPOS!N3318)</f>
        <v/>
      </c>
      <c r="B3318">
        <f>BASE_EQUIPOS!A3318</f>
        <v/>
      </c>
      <c r="C3318">
        <f>BASE_EQUIPOS!B3318</f>
        <v/>
      </c>
      <c r="D3318">
        <f>BASE_EQUIPOS!D3318</f>
        <v/>
      </c>
      <c r="E3318">
        <f>BASE_EQUIPOS!G3318</f>
        <v/>
      </c>
      <c r="F3318">
        <f>BASE_EQUIPOS!H3318</f>
        <v/>
      </c>
      <c r="G3318">
        <f>BASE_EQUIPOS!M3318</f>
        <v/>
      </c>
      <c r="I3318" t="inlineStr">
        <is>
          <t>025659</t>
        </is>
      </c>
    </row>
    <row r="3319">
      <c r="A3319">
        <f>TRIM(BASE_EQUIPOS!N3319)</f>
        <v/>
      </c>
      <c r="B3319">
        <f>BASE_EQUIPOS!A3319</f>
        <v/>
      </c>
      <c r="C3319">
        <f>BASE_EQUIPOS!B3319</f>
        <v/>
      </c>
      <c r="D3319">
        <f>BASE_EQUIPOS!D3319</f>
        <v/>
      </c>
      <c r="E3319">
        <f>BASE_EQUIPOS!G3319</f>
        <v/>
      </c>
      <c r="F3319">
        <f>BASE_EQUIPOS!H3319</f>
        <v/>
      </c>
      <c r="G3319">
        <f>BASE_EQUIPOS!M3319</f>
        <v/>
      </c>
      <c r="I3319" t="inlineStr">
        <is>
          <t>025325</t>
        </is>
      </c>
    </row>
    <row r="3320">
      <c r="A3320">
        <f>TRIM(BASE_EQUIPOS!N3320)</f>
        <v/>
      </c>
      <c r="B3320">
        <f>BASE_EQUIPOS!A3320</f>
        <v/>
      </c>
      <c r="C3320">
        <f>BASE_EQUIPOS!B3320</f>
        <v/>
      </c>
      <c r="D3320">
        <f>BASE_EQUIPOS!D3320</f>
        <v/>
      </c>
      <c r="E3320">
        <f>BASE_EQUIPOS!G3320</f>
        <v/>
      </c>
      <c r="F3320">
        <f>BASE_EQUIPOS!H3320</f>
        <v/>
      </c>
      <c r="G3320">
        <f>BASE_EQUIPOS!M3320</f>
        <v/>
      </c>
      <c r="I3320" t="inlineStr">
        <is>
          <t>003506</t>
        </is>
      </c>
    </row>
    <row r="3321">
      <c r="A3321">
        <f>TRIM(BASE_EQUIPOS!N3321)</f>
        <v/>
      </c>
      <c r="B3321">
        <f>BASE_EQUIPOS!A3321</f>
        <v/>
      </c>
      <c r="C3321">
        <f>BASE_EQUIPOS!B3321</f>
        <v/>
      </c>
      <c r="D3321">
        <f>BASE_EQUIPOS!D3321</f>
        <v/>
      </c>
      <c r="E3321">
        <f>BASE_EQUIPOS!G3321</f>
        <v/>
      </c>
      <c r="F3321">
        <f>BASE_EQUIPOS!H3321</f>
        <v/>
      </c>
      <c r="G3321">
        <f>BASE_EQUIPOS!M3321</f>
        <v/>
      </c>
      <c r="I3321" t="inlineStr">
        <is>
          <t>203/000768</t>
        </is>
      </c>
    </row>
    <row r="3322">
      <c r="A3322">
        <f>TRIM(BASE_EQUIPOS!N3322)</f>
        <v/>
      </c>
      <c r="B3322">
        <f>BASE_EQUIPOS!A3322</f>
        <v/>
      </c>
      <c r="C3322">
        <f>BASE_EQUIPOS!B3322</f>
        <v/>
      </c>
      <c r="D3322">
        <f>BASE_EQUIPOS!D3322</f>
        <v/>
      </c>
      <c r="E3322">
        <f>BASE_EQUIPOS!G3322</f>
        <v/>
      </c>
      <c r="F3322">
        <f>BASE_EQUIPOS!H3322</f>
        <v/>
      </c>
      <c r="G3322">
        <f>BASE_EQUIPOS!M3322</f>
        <v/>
      </c>
      <c r="I3322" t="inlineStr">
        <is>
          <t>02/001543</t>
        </is>
      </c>
    </row>
    <row r="3323">
      <c r="A3323">
        <f>TRIM(BASE_EQUIPOS!N3323)</f>
        <v/>
      </c>
      <c r="B3323">
        <f>BASE_EQUIPOS!A3323</f>
        <v/>
      </c>
      <c r="C3323">
        <f>BASE_EQUIPOS!B3323</f>
        <v/>
      </c>
      <c r="D3323">
        <f>BASE_EQUIPOS!D3323</f>
        <v/>
      </c>
      <c r="E3323">
        <f>BASE_EQUIPOS!G3323</f>
        <v/>
      </c>
      <c r="F3323">
        <f>BASE_EQUIPOS!H3323</f>
        <v/>
      </c>
      <c r="G3323">
        <f>BASE_EQUIPOS!M3323</f>
        <v/>
      </c>
      <c r="I3323" t="inlineStr">
        <is>
          <t>03/006107</t>
        </is>
      </c>
    </row>
    <row r="3324">
      <c r="A3324">
        <f>TRIM(BASE_EQUIPOS!N3324)</f>
        <v/>
      </c>
      <c r="B3324">
        <f>BASE_EQUIPOS!A3324</f>
        <v/>
      </c>
      <c r="C3324">
        <f>BASE_EQUIPOS!B3324</f>
        <v/>
      </c>
      <c r="D3324">
        <f>BASE_EQUIPOS!D3324</f>
        <v/>
      </c>
      <c r="E3324">
        <f>BASE_EQUIPOS!G3324</f>
        <v/>
      </c>
      <c r="F3324">
        <f>BASE_EQUIPOS!H3324</f>
        <v/>
      </c>
      <c r="G3324">
        <f>BASE_EQUIPOS!M3324</f>
        <v/>
      </c>
      <c r="I3324" t="inlineStr">
        <is>
          <t>04/000006</t>
        </is>
      </c>
    </row>
    <row r="3325">
      <c r="A3325">
        <f>TRIM(BASE_EQUIPOS!N3325)</f>
        <v/>
      </c>
      <c r="B3325">
        <f>BASE_EQUIPOS!A3325</f>
        <v/>
      </c>
      <c r="C3325">
        <f>BASE_EQUIPOS!B3325</f>
        <v/>
      </c>
      <c r="D3325">
        <f>BASE_EQUIPOS!D3325</f>
        <v/>
      </c>
      <c r="E3325">
        <f>BASE_EQUIPOS!G3325</f>
        <v/>
      </c>
      <c r="F3325">
        <f>BASE_EQUIPOS!H3325</f>
        <v/>
      </c>
      <c r="G3325">
        <f>BASE_EQUIPOS!M3325</f>
        <v/>
      </c>
      <c r="I3325" t="inlineStr">
        <is>
          <t>06/000134</t>
        </is>
      </c>
    </row>
    <row r="3326">
      <c r="A3326">
        <f>TRIM(BASE_EQUIPOS!N3326)</f>
        <v/>
      </c>
      <c r="B3326">
        <f>BASE_EQUIPOS!A3326</f>
        <v/>
      </c>
      <c r="C3326">
        <f>BASE_EQUIPOS!B3326</f>
        <v/>
      </c>
      <c r="D3326">
        <f>BASE_EQUIPOS!D3326</f>
        <v/>
      </c>
      <c r="E3326">
        <f>BASE_EQUIPOS!G3326</f>
        <v/>
      </c>
      <c r="F3326">
        <f>BASE_EQUIPOS!H3326</f>
        <v/>
      </c>
      <c r="G3326">
        <f>BASE_EQUIPOS!M3326</f>
        <v/>
      </c>
      <c r="I3326" t="inlineStr">
        <is>
          <t>07/ 003164</t>
        </is>
      </c>
    </row>
    <row r="3327">
      <c r="A3327">
        <f>TRIM(BASE_EQUIPOS!N3327)</f>
        <v/>
      </c>
      <c r="B3327">
        <f>BASE_EQUIPOS!A3327</f>
        <v/>
      </c>
      <c r="C3327">
        <f>BASE_EQUIPOS!B3327</f>
        <v/>
      </c>
      <c r="D3327">
        <f>BASE_EQUIPOS!D3327</f>
        <v/>
      </c>
      <c r="E3327">
        <f>BASE_EQUIPOS!G3327</f>
        <v/>
      </c>
      <c r="F3327">
        <f>BASE_EQUIPOS!H3327</f>
        <v/>
      </c>
      <c r="G3327">
        <f>BASE_EQUIPOS!M3327</f>
        <v/>
      </c>
      <c r="I3327" t="inlineStr">
        <is>
          <t>08/000076</t>
        </is>
      </c>
    </row>
    <row r="3328">
      <c r="A3328">
        <f>TRIM(BASE_EQUIPOS!N3328)</f>
        <v/>
      </c>
      <c r="B3328">
        <f>BASE_EQUIPOS!A3328</f>
        <v/>
      </c>
      <c r="C3328">
        <f>BASE_EQUIPOS!B3328</f>
        <v/>
      </c>
      <c r="D3328">
        <f>BASE_EQUIPOS!D3328</f>
        <v/>
      </c>
      <c r="E3328">
        <f>BASE_EQUIPOS!G3328</f>
        <v/>
      </c>
      <c r="F3328">
        <f>BASE_EQUIPOS!H3328</f>
        <v/>
      </c>
      <c r="G3328">
        <f>BASE_EQUIPOS!M3328</f>
        <v/>
      </c>
      <c r="I3328" t="inlineStr">
        <is>
          <t>09/000329</t>
        </is>
      </c>
    </row>
    <row r="3329">
      <c r="A3329">
        <f>TRIM(BASE_EQUIPOS!N3329)</f>
        <v/>
      </c>
      <c r="B3329">
        <f>BASE_EQUIPOS!A3329</f>
        <v/>
      </c>
      <c r="C3329">
        <f>BASE_EQUIPOS!B3329</f>
        <v/>
      </c>
      <c r="D3329">
        <f>BASE_EQUIPOS!D3329</f>
        <v/>
      </c>
      <c r="E3329">
        <f>BASE_EQUIPOS!G3329</f>
        <v/>
      </c>
      <c r="F3329">
        <f>BASE_EQUIPOS!H3329</f>
        <v/>
      </c>
      <c r="G3329">
        <f>BASE_EQUIPOS!M3329</f>
        <v/>
      </c>
      <c r="I3329" t="inlineStr">
        <is>
          <t>10/000029</t>
        </is>
      </c>
    </row>
    <row r="3330">
      <c r="A3330">
        <f>TRIM(BASE_EQUIPOS!N3330)</f>
        <v/>
      </c>
      <c r="B3330">
        <f>BASE_EQUIPOS!A3330</f>
        <v/>
      </c>
      <c r="C3330">
        <f>BASE_EQUIPOS!B3330</f>
        <v/>
      </c>
      <c r="D3330">
        <f>BASE_EQUIPOS!D3330</f>
        <v/>
      </c>
      <c r="E3330">
        <f>BASE_EQUIPOS!G3330</f>
        <v/>
      </c>
      <c r="F3330">
        <f>BASE_EQUIPOS!H3330</f>
        <v/>
      </c>
      <c r="G3330">
        <f>BASE_EQUIPOS!M3330</f>
        <v/>
      </c>
      <c r="I3330" t="inlineStr">
        <is>
          <t>11/026476</t>
        </is>
      </c>
    </row>
    <row r="3331">
      <c r="A3331">
        <f>TRIM(BASE_EQUIPOS!N3331)</f>
        <v/>
      </c>
      <c r="B3331">
        <f>BASE_EQUIPOS!A3331</f>
        <v/>
      </c>
      <c r="C3331">
        <f>BASE_EQUIPOS!B3331</f>
        <v/>
      </c>
      <c r="D3331">
        <f>BASE_EQUIPOS!D3331</f>
        <v/>
      </c>
      <c r="E3331">
        <f>BASE_EQUIPOS!G3331</f>
        <v/>
      </c>
      <c r="F3331">
        <f>BASE_EQUIPOS!H3331</f>
        <v/>
      </c>
      <c r="G3331">
        <f>BASE_EQUIPOS!M3331</f>
        <v/>
      </c>
      <c r="I3331" t="inlineStr">
        <is>
          <t>12/000145</t>
        </is>
      </c>
    </row>
    <row r="3332">
      <c r="A3332">
        <f>TRIM(BASE_EQUIPOS!N3332)</f>
        <v/>
      </c>
      <c r="B3332">
        <f>BASE_EQUIPOS!A3332</f>
        <v/>
      </c>
      <c r="C3332">
        <f>BASE_EQUIPOS!B3332</f>
        <v/>
      </c>
      <c r="D3332">
        <f>BASE_EQUIPOS!D3332</f>
        <v/>
      </c>
      <c r="E3332">
        <f>BASE_EQUIPOS!G3332</f>
        <v/>
      </c>
      <c r="F3332">
        <f>BASE_EQUIPOS!H3332</f>
        <v/>
      </c>
      <c r="G3332">
        <f>BASE_EQUIPOS!M3332</f>
        <v/>
      </c>
      <c r="I3332" t="inlineStr">
        <is>
          <t>13/000063</t>
        </is>
      </c>
    </row>
    <row r="3333">
      <c r="A3333">
        <f>TRIM(BASE_EQUIPOS!N3333)</f>
        <v/>
      </c>
      <c r="B3333">
        <f>BASE_EQUIPOS!A3333</f>
        <v/>
      </c>
      <c r="C3333">
        <f>BASE_EQUIPOS!B3333</f>
        <v/>
      </c>
      <c r="D3333">
        <f>BASE_EQUIPOS!D3333</f>
        <v/>
      </c>
      <c r="E3333">
        <f>BASE_EQUIPOS!G3333</f>
        <v/>
      </c>
      <c r="F3333">
        <f>BASE_EQUIPOS!H3333</f>
        <v/>
      </c>
      <c r="G3333">
        <f>BASE_EQUIPOS!M3333</f>
        <v/>
      </c>
      <c r="I3333" t="inlineStr">
        <is>
          <t>14/000057</t>
        </is>
      </c>
    </row>
    <row r="3334">
      <c r="A3334">
        <f>TRIM(BASE_EQUIPOS!N3334)</f>
        <v/>
      </c>
      <c r="B3334">
        <f>BASE_EQUIPOS!A3334</f>
        <v/>
      </c>
      <c r="C3334">
        <f>BASE_EQUIPOS!B3334</f>
        <v/>
      </c>
      <c r="D3334">
        <f>BASE_EQUIPOS!D3334</f>
        <v/>
      </c>
      <c r="E3334">
        <f>BASE_EQUIPOS!G3334</f>
        <v/>
      </c>
      <c r="F3334">
        <f>BASE_EQUIPOS!H3334</f>
        <v/>
      </c>
      <c r="G3334">
        <f>BASE_EQUIPOS!M3334</f>
        <v/>
      </c>
      <c r="I3334" t="inlineStr">
        <is>
          <t>15/000702</t>
        </is>
      </c>
    </row>
    <row r="3335">
      <c r="A3335">
        <f>TRIM(BASE_EQUIPOS!N3335)</f>
        <v/>
      </c>
      <c r="B3335">
        <f>BASE_EQUIPOS!A3335</f>
        <v/>
      </c>
      <c r="C3335">
        <f>BASE_EQUIPOS!B3335</f>
        <v/>
      </c>
      <c r="D3335">
        <f>BASE_EQUIPOS!D3335</f>
        <v/>
      </c>
      <c r="E3335">
        <f>BASE_EQUIPOS!G3335</f>
        <v/>
      </c>
      <c r="F3335">
        <f>BASE_EQUIPOS!H3335</f>
        <v/>
      </c>
      <c r="G3335">
        <f>BASE_EQUIPOS!M3335</f>
        <v/>
      </c>
      <c r="I3335" t="inlineStr">
        <is>
          <t>16/000099</t>
        </is>
      </c>
    </row>
    <row r="3336">
      <c r="A3336">
        <f>TRIM(BASE_EQUIPOS!N3336)</f>
        <v/>
      </c>
      <c r="B3336">
        <f>BASE_EQUIPOS!A3336</f>
        <v/>
      </c>
      <c r="C3336">
        <f>BASE_EQUIPOS!B3336</f>
        <v/>
      </c>
      <c r="D3336">
        <f>BASE_EQUIPOS!D3336</f>
        <v/>
      </c>
      <c r="E3336">
        <f>BASE_EQUIPOS!G3336</f>
        <v/>
      </c>
      <c r="F3336">
        <f>BASE_EQUIPOS!H3336</f>
        <v/>
      </c>
      <c r="G3336">
        <f>BASE_EQUIPOS!M3336</f>
        <v/>
      </c>
      <c r="I3336" t="inlineStr">
        <is>
          <t>17/000070</t>
        </is>
      </c>
    </row>
    <row r="3337">
      <c r="A3337">
        <f>TRIM(BASE_EQUIPOS!N3337)</f>
        <v/>
      </c>
      <c r="B3337">
        <f>BASE_EQUIPOS!A3337</f>
        <v/>
      </c>
      <c r="C3337">
        <f>BASE_EQUIPOS!B3337</f>
        <v/>
      </c>
      <c r="D3337">
        <f>BASE_EQUIPOS!D3337</f>
        <v/>
      </c>
      <c r="E3337">
        <f>BASE_EQUIPOS!G3337</f>
        <v/>
      </c>
      <c r="F3337">
        <f>BASE_EQUIPOS!H3337</f>
        <v/>
      </c>
      <c r="G3337">
        <f>BASE_EQUIPOS!M3337</f>
        <v/>
      </c>
      <c r="I3337" t="inlineStr">
        <is>
          <t>18/000043</t>
        </is>
      </c>
    </row>
    <row r="3338">
      <c r="A3338">
        <f>TRIM(BASE_EQUIPOS!N3338)</f>
        <v/>
      </c>
      <c r="B3338">
        <f>BASE_EQUIPOS!A3338</f>
        <v/>
      </c>
      <c r="C3338">
        <f>BASE_EQUIPOS!B3338</f>
        <v/>
      </c>
      <c r="D3338">
        <f>BASE_EQUIPOS!D3338</f>
        <v/>
      </c>
      <c r="E3338">
        <f>BASE_EQUIPOS!G3338</f>
        <v/>
      </c>
      <c r="F3338">
        <f>BASE_EQUIPOS!H3338</f>
        <v/>
      </c>
      <c r="G3338">
        <f>BASE_EQUIPOS!M3338</f>
        <v/>
      </c>
      <c r="I3338" t="inlineStr">
        <is>
          <t>106/000334</t>
        </is>
      </c>
    </row>
    <row r="3339">
      <c r="A3339">
        <f>TRIM(BASE_EQUIPOS!N3339)</f>
        <v/>
      </c>
      <c r="B3339">
        <f>BASE_EQUIPOS!A3339</f>
        <v/>
      </c>
      <c r="C3339">
        <f>BASE_EQUIPOS!B3339</f>
        <v/>
      </c>
      <c r="D3339">
        <f>BASE_EQUIPOS!D3339</f>
        <v/>
      </c>
      <c r="E3339">
        <f>BASE_EQUIPOS!G3339</f>
        <v/>
      </c>
      <c r="F3339">
        <f>BASE_EQUIPOS!H3339</f>
        <v/>
      </c>
      <c r="G3339">
        <f>BASE_EQUIPOS!M3339</f>
        <v/>
      </c>
      <c r="I3339" t="inlineStr">
        <is>
          <t>91/001375</t>
        </is>
      </c>
    </row>
    <row r="3340">
      <c r="A3340">
        <f>TRIM(BASE_EQUIPOS!N3340)</f>
        <v/>
      </c>
      <c r="B3340">
        <f>BASE_EQUIPOS!A3340</f>
        <v/>
      </c>
      <c r="C3340">
        <f>BASE_EQUIPOS!B3340</f>
        <v/>
      </c>
      <c r="D3340">
        <f>BASE_EQUIPOS!D3340</f>
        <v/>
      </c>
      <c r="E3340">
        <f>BASE_EQUIPOS!G3340</f>
        <v/>
      </c>
      <c r="F3340">
        <f>BASE_EQUIPOS!H3340</f>
        <v/>
      </c>
      <c r="G3340">
        <f>BASE_EQUIPOS!M3340</f>
        <v/>
      </c>
      <c r="I3340" t="inlineStr">
        <is>
          <t>01/011050</t>
        </is>
      </c>
    </row>
    <row r="3341">
      <c r="A3341">
        <f>TRIM(BASE_EQUIPOS!N3341)</f>
        <v/>
      </c>
      <c r="B3341">
        <f>BASE_EQUIPOS!A3341</f>
        <v/>
      </c>
      <c r="C3341">
        <f>BASE_EQUIPOS!B3341</f>
        <v/>
      </c>
      <c r="D3341">
        <f>BASE_EQUIPOS!D3341</f>
        <v/>
      </c>
      <c r="E3341">
        <f>BASE_EQUIPOS!G3341</f>
        <v/>
      </c>
      <c r="F3341">
        <f>BASE_EQUIPOS!H3341</f>
        <v/>
      </c>
      <c r="G3341">
        <f>BASE_EQUIPOS!M3341</f>
        <v/>
      </c>
      <c r="I3341" t="inlineStr">
        <is>
          <t>03/005841</t>
        </is>
      </c>
    </row>
    <row r="3342">
      <c r="A3342">
        <f>TRIM(BASE_EQUIPOS!N3342)</f>
        <v/>
      </c>
      <c r="B3342">
        <f>BASE_EQUIPOS!A3342</f>
        <v/>
      </c>
      <c r="C3342">
        <f>BASE_EQUIPOS!B3342</f>
        <v/>
      </c>
      <c r="D3342">
        <f>BASE_EQUIPOS!D3342</f>
        <v/>
      </c>
      <c r="E3342">
        <f>BASE_EQUIPOS!G3342</f>
        <v/>
      </c>
      <c r="F3342">
        <f>BASE_EQUIPOS!H3342</f>
        <v/>
      </c>
      <c r="G3342">
        <f>BASE_EQUIPOS!M3342</f>
        <v/>
      </c>
      <c r="I3342" t="inlineStr">
        <is>
          <t>04/000117</t>
        </is>
      </c>
    </row>
    <row r="3343">
      <c r="A3343">
        <f>TRIM(BASE_EQUIPOS!N3343)</f>
        <v/>
      </c>
      <c r="B3343">
        <f>BASE_EQUIPOS!A3343</f>
        <v/>
      </c>
      <c r="C3343">
        <f>BASE_EQUIPOS!B3343</f>
        <v/>
      </c>
      <c r="D3343">
        <f>BASE_EQUIPOS!D3343</f>
        <v/>
      </c>
      <c r="E3343">
        <f>BASE_EQUIPOS!G3343</f>
        <v/>
      </c>
      <c r="F3343">
        <f>BASE_EQUIPOS!H3343</f>
        <v/>
      </c>
      <c r="G3343">
        <f>BASE_EQUIPOS!M3343</f>
        <v/>
      </c>
      <c r="I3343" t="inlineStr">
        <is>
          <t>05/001206</t>
        </is>
      </c>
    </row>
    <row r="3344">
      <c r="A3344">
        <f>TRIM(BASE_EQUIPOS!N3344)</f>
        <v/>
      </c>
      <c r="B3344">
        <f>BASE_EQUIPOS!A3344</f>
        <v/>
      </c>
      <c r="C3344">
        <f>BASE_EQUIPOS!B3344</f>
        <v/>
      </c>
      <c r="D3344">
        <f>BASE_EQUIPOS!D3344</f>
        <v/>
      </c>
      <c r="E3344">
        <f>BASE_EQUIPOS!G3344</f>
        <v/>
      </c>
      <c r="F3344">
        <f>BASE_EQUIPOS!H3344</f>
        <v/>
      </c>
      <c r="G3344">
        <f>BASE_EQUIPOS!M3344</f>
        <v/>
      </c>
      <c r="I3344" t="inlineStr">
        <is>
          <t>07/000058</t>
        </is>
      </c>
    </row>
    <row r="3345">
      <c r="A3345">
        <f>TRIM(BASE_EQUIPOS!N3345)</f>
        <v/>
      </c>
      <c r="B3345">
        <f>BASE_EQUIPOS!A3345</f>
        <v/>
      </c>
      <c r="C3345">
        <f>BASE_EQUIPOS!B3345</f>
        <v/>
      </c>
      <c r="D3345">
        <f>BASE_EQUIPOS!D3345</f>
        <v/>
      </c>
      <c r="E3345">
        <f>BASE_EQUIPOS!G3345</f>
        <v/>
      </c>
      <c r="F3345">
        <f>BASE_EQUIPOS!H3345</f>
        <v/>
      </c>
      <c r="G3345">
        <f>BASE_EQUIPOS!M3345</f>
        <v/>
      </c>
      <c r="I3345" t="inlineStr">
        <is>
          <t>08/000029</t>
        </is>
      </c>
    </row>
    <row r="3346">
      <c r="A3346">
        <f>TRIM(BASE_EQUIPOS!N3346)</f>
        <v/>
      </c>
      <c r="B3346">
        <f>BASE_EQUIPOS!A3346</f>
        <v/>
      </c>
      <c r="C3346">
        <f>BASE_EQUIPOS!B3346</f>
        <v/>
      </c>
      <c r="D3346">
        <f>BASE_EQUIPOS!D3346</f>
        <v/>
      </c>
      <c r="E3346">
        <f>BASE_EQUIPOS!G3346</f>
        <v/>
      </c>
      <c r="F3346">
        <f>BASE_EQUIPOS!H3346</f>
        <v/>
      </c>
      <c r="G3346">
        <f>BASE_EQUIPOS!M3346</f>
        <v/>
      </c>
      <c r="I3346" t="inlineStr">
        <is>
          <t>09/000002</t>
        </is>
      </c>
    </row>
    <row r="3347">
      <c r="A3347">
        <f>TRIM(BASE_EQUIPOS!N3347)</f>
        <v/>
      </c>
      <c r="B3347">
        <f>BASE_EQUIPOS!A3347</f>
        <v/>
      </c>
      <c r="C3347">
        <f>BASE_EQUIPOS!B3347</f>
        <v/>
      </c>
      <c r="D3347">
        <f>BASE_EQUIPOS!D3347</f>
        <v/>
      </c>
      <c r="E3347">
        <f>BASE_EQUIPOS!G3347</f>
        <v/>
      </c>
      <c r="F3347">
        <f>BASE_EQUIPOS!H3347</f>
        <v/>
      </c>
      <c r="G3347">
        <f>BASE_EQUIPOS!M3347</f>
        <v/>
      </c>
      <c r="I3347" t="inlineStr">
        <is>
          <t>10/000494</t>
        </is>
      </c>
    </row>
    <row r="3348">
      <c r="A3348">
        <f>TRIM(BASE_EQUIPOS!N3348)</f>
        <v/>
      </c>
      <c r="B3348">
        <f>BASE_EQUIPOS!A3348</f>
        <v/>
      </c>
      <c r="C3348">
        <f>BASE_EQUIPOS!B3348</f>
        <v/>
      </c>
      <c r="D3348">
        <f>BASE_EQUIPOS!D3348</f>
        <v/>
      </c>
      <c r="E3348">
        <f>BASE_EQUIPOS!G3348</f>
        <v/>
      </c>
      <c r="F3348">
        <f>BASE_EQUIPOS!H3348</f>
        <v/>
      </c>
      <c r="G3348">
        <f>BASE_EQUIPOS!M3348</f>
        <v/>
      </c>
      <c r="I3348" t="inlineStr">
        <is>
          <t>11/006477</t>
        </is>
      </c>
    </row>
    <row r="3349">
      <c r="A3349">
        <f>TRIM(BASE_EQUIPOS!N3349)</f>
        <v/>
      </c>
      <c r="B3349">
        <f>BASE_EQUIPOS!A3349</f>
        <v/>
      </c>
      <c r="C3349">
        <f>BASE_EQUIPOS!B3349</f>
        <v/>
      </c>
      <c r="D3349">
        <f>BASE_EQUIPOS!D3349</f>
        <v/>
      </c>
      <c r="E3349">
        <f>BASE_EQUIPOS!G3349</f>
        <v/>
      </c>
      <c r="F3349">
        <f>BASE_EQUIPOS!H3349</f>
        <v/>
      </c>
      <c r="G3349">
        <f>BASE_EQUIPOS!M3349</f>
        <v/>
      </c>
      <c r="I3349" t="inlineStr">
        <is>
          <t>12/000720</t>
        </is>
      </c>
    </row>
    <row r="3350">
      <c r="A3350">
        <f>TRIM(BASE_EQUIPOS!N3350)</f>
        <v/>
      </c>
      <c r="B3350">
        <f>BASE_EQUIPOS!A3350</f>
        <v/>
      </c>
      <c r="C3350">
        <f>BASE_EQUIPOS!B3350</f>
        <v/>
      </c>
      <c r="D3350">
        <f>BASE_EQUIPOS!D3350</f>
        <v/>
      </c>
      <c r="E3350">
        <f>BASE_EQUIPOS!G3350</f>
        <v/>
      </c>
      <c r="F3350">
        <f>BASE_EQUIPOS!H3350</f>
        <v/>
      </c>
      <c r="G3350">
        <f>BASE_EQUIPOS!M3350</f>
        <v/>
      </c>
      <c r="I3350" t="inlineStr">
        <is>
          <t>13/000005</t>
        </is>
      </c>
    </row>
    <row r="3351">
      <c r="A3351">
        <f>TRIM(BASE_EQUIPOS!N3351)</f>
        <v/>
      </c>
      <c r="B3351">
        <f>BASE_EQUIPOS!A3351</f>
        <v/>
      </c>
      <c r="C3351">
        <f>BASE_EQUIPOS!B3351</f>
        <v/>
      </c>
      <c r="D3351">
        <f>BASE_EQUIPOS!D3351</f>
        <v/>
      </c>
      <c r="E3351">
        <f>BASE_EQUIPOS!G3351</f>
        <v/>
      </c>
      <c r="F3351">
        <f>BASE_EQUIPOS!H3351</f>
        <v/>
      </c>
      <c r="G3351">
        <f>BASE_EQUIPOS!M3351</f>
        <v/>
      </c>
      <c r="I3351" t="inlineStr">
        <is>
          <t>14/000319</t>
        </is>
      </c>
    </row>
    <row r="3352">
      <c r="A3352">
        <f>TRIM(BASE_EQUIPOS!N3352)</f>
        <v/>
      </c>
      <c r="B3352">
        <f>BASE_EQUIPOS!A3352</f>
        <v/>
      </c>
      <c r="C3352">
        <f>BASE_EQUIPOS!B3352</f>
        <v/>
      </c>
      <c r="D3352">
        <f>BASE_EQUIPOS!D3352</f>
        <v/>
      </c>
      <c r="E3352">
        <f>BASE_EQUIPOS!G3352</f>
        <v/>
      </c>
      <c r="F3352">
        <f>BASE_EQUIPOS!H3352</f>
        <v/>
      </c>
      <c r="G3352">
        <f>BASE_EQUIPOS!M3352</f>
        <v/>
      </c>
      <c r="I3352" t="inlineStr">
        <is>
          <t>15/001900</t>
        </is>
      </c>
    </row>
    <row r="3353">
      <c r="A3353">
        <f>TRIM(BASE_EQUIPOS!N3353)</f>
        <v/>
      </c>
      <c r="B3353">
        <f>BASE_EQUIPOS!A3353</f>
        <v/>
      </c>
      <c r="C3353">
        <f>BASE_EQUIPOS!B3353</f>
        <v/>
      </c>
      <c r="D3353">
        <f>BASE_EQUIPOS!D3353</f>
        <v/>
      </c>
      <c r="E3353">
        <f>BASE_EQUIPOS!G3353</f>
        <v/>
      </c>
      <c r="F3353">
        <f>BASE_EQUIPOS!H3353</f>
        <v/>
      </c>
      <c r="G3353">
        <f>BASE_EQUIPOS!M3353</f>
        <v/>
      </c>
      <c r="I3353" t="inlineStr">
        <is>
          <t>16/012401</t>
        </is>
      </c>
    </row>
    <row r="3354">
      <c r="A3354">
        <f>TRIM(BASE_EQUIPOS!N3354)</f>
        <v/>
      </c>
      <c r="B3354">
        <f>BASE_EQUIPOS!A3354</f>
        <v/>
      </c>
      <c r="C3354">
        <f>BASE_EQUIPOS!B3354</f>
        <v/>
      </c>
      <c r="D3354">
        <f>BASE_EQUIPOS!D3354</f>
        <v/>
      </c>
      <c r="E3354">
        <f>BASE_EQUIPOS!G3354</f>
        <v/>
      </c>
      <c r="F3354">
        <f>BASE_EQUIPOS!H3354</f>
        <v/>
      </c>
      <c r="G3354">
        <f>BASE_EQUIPOS!M3354</f>
        <v/>
      </c>
      <c r="I3354" t="inlineStr">
        <is>
          <t>17/000288</t>
        </is>
      </c>
    </row>
    <row r="3355">
      <c r="A3355">
        <f>TRIM(BASE_EQUIPOS!N3355)</f>
        <v/>
      </c>
      <c r="B3355">
        <f>BASE_EQUIPOS!A3355</f>
        <v/>
      </c>
      <c r="C3355">
        <f>BASE_EQUIPOS!B3355</f>
        <v/>
      </c>
      <c r="D3355">
        <f>BASE_EQUIPOS!D3355</f>
        <v/>
      </c>
      <c r="E3355">
        <f>BASE_EQUIPOS!G3355</f>
        <v/>
      </c>
      <c r="F3355">
        <f>BASE_EQUIPOS!H3355</f>
        <v/>
      </c>
      <c r="G3355">
        <f>BASE_EQUIPOS!M3355</f>
        <v/>
      </c>
      <c r="I3355" t="inlineStr">
        <is>
          <t>18/003210</t>
        </is>
      </c>
    </row>
    <row r="3356">
      <c r="A3356">
        <f>TRIM(BASE_EQUIPOS!N3356)</f>
        <v/>
      </c>
      <c r="B3356">
        <f>BASE_EQUIPOS!A3356</f>
        <v/>
      </c>
      <c r="C3356">
        <f>BASE_EQUIPOS!B3356</f>
        <v/>
      </c>
      <c r="D3356">
        <f>BASE_EQUIPOS!D3356</f>
        <v/>
      </c>
      <c r="E3356">
        <f>BASE_EQUIPOS!G3356</f>
        <v/>
      </c>
      <c r="F3356">
        <f>BASE_EQUIPOS!H3356</f>
        <v/>
      </c>
      <c r="G3356">
        <f>BASE_EQUIPOS!M3356</f>
        <v/>
      </c>
      <c r="I3356" t="inlineStr">
        <is>
          <t>19/002850</t>
        </is>
      </c>
    </row>
    <row r="3357">
      <c r="A3357">
        <f>TRIM(BASE_EQUIPOS!N3357)</f>
        <v/>
      </c>
      <c r="B3357">
        <f>BASE_EQUIPOS!A3357</f>
        <v/>
      </c>
      <c r="C3357">
        <f>BASE_EQUIPOS!B3357</f>
        <v/>
      </c>
      <c r="D3357">
        <f>BASE_EQUIPOS!D3357</f>
        <v/>
      </c>
      <c r="E3357">
        <f>BASE_EQUIPOS!G3357</f>
        <v/>
      </c>
      <c r="F3357">
        <f>BASE_EQUIPOS!H3357</f>
        <v/>
      </c>
      <c r="G3357">
        <f>BASE_EQUIPOS!M3357</f>
        <v/>
      </c>
      <c r="I3357" t="inlineStr">
        <is>
          <t>01/000257</t>
        </is>
      </c>
    </row>
    <row r="3358">
      <c r="A3358">
        <f>TRIM(BASE_EQUIPOS!N3358)</f>
        <v/>
      </c>
      <c r="B3358">
        <f>BASE_EQUIPOS!A3358</f>
        <v/>
      </c>
      <c r="C3358">
        <f>BASE_EQUIPOS!B3358</f>
        <v/>
      </c>
      <c r="D3358">
        <f>BASE_EQUIPOS!D3358</f>
        <v/>
      </c>
      <c r="E3358">
        <f>BASE_EQUIPOS!G3358</f>
        <v/>
      </c>
      <c r="F3358">
        <f>BASE_EQUIPOS!H3358</f>
        <v/>
      </c>
      <c r="G3358">
        <f>BASE_EQUIPOS!M3358</f>
        <v/>
      </c>
      <c r="I3358" t="inlineStr">
        <is>
          <t>02/000156</t>
        </is>
      </c>
    </row>
    <row r="3359">
      <c r="A3359">
        <f>TRIM(BASE_EQUIPOS!N3359)</f>
        <v/>
      </c>
      <c r="B3359">
        <f>BASE_EQUIPOS!A3359</f>
        <v/>
      </c>
      <c r="C3359">
        <f>BASE_EQUIPOS!B3359</f>
        <v/>
      </c>
      <c r="D3359">
        <f>BASE_EQUIPOS!D3359</f>
        <v/>
      </c>
      <c r="E3359">
        <f>BASE_EQUIPOS!G3359</f>
        <v/>
      </c>
      <c r="F3359">
        <f>BASE_EQUIPOS!H3359</f>
        <v/>
      </c>
      <c r="G3359">
        <f>BASE_EQUIPOS!M3359</f>
        <v/>
      </c>
      <c r="I3359" t="inlineStr">
        <is>
          <t>03/000699</t>
        </is>
      </c>
    </row>
    <row r="3360">
      <c r="A3360">
        <f>TRIM(BASE_EQUIPOS!N3360)</f>
        <v/>
      </c>
      <c r="B3360">
        <f>BASE_EQUIPOS!A3360</f>
        <v/>
      </c>
      <c r="C3360">
        <f>BASE_EQUIPOS!B3360</f>
        <v/>
      </c>
      <c r="D3360">
        <f>BASE_EQUIPOS!D3360</f>
        <v/>
      </c>
      <c r="E3360">
        <f>BASE_EQUIPOS!G3360</f>
        <v/>
      </c>
      <c r="F3360">
        <f>BASE_EQUIPOS!H3360</f>
        <v/>
      </c>
      <c r="G3360">
        <f>BASE_EQUIPOS!M3360</f>
        <v/>
      </c>
      <c r="I3360" t="inlineStr">
        <is>
          <t>04/000208</t>
        </is>
      </c>
    </row>
    <row r="3361">
      <c r="A3361">
        <f>TRIM(BASE_EQUIPOS!N3361)</f>
        <v/>
      </c>
      <c r="B3361">
        <f>BASE_EQUIPOS!A3361</f>
        <v/>
      </c>
      <c r="C3361">
        <f>BASE_EQUIPOS!B3361</f>
        <v/>
      </c>
      <c r="D3361">
        <f>BASE_EQUIPOS!D3361</f>
        <v/>
      </c>
      <c r="E3361">
        <f>BASE_EQUIPOS!G3361</f>
        <v/>
      </c>
      <c r="F3361">
        <f>BASE_EQUIPOS!H3361</f>
        <v/>
      </c>
      <c r="G3361">
        <f>BASE_EQUIPOS!M3361</f>
        <v/>
      </c>
      <c r="I3361" t="inlineStr">
        <is>
          <t>05/000630</t>
        </is>
      </c>
    </row>
    <row r="3362">
      <c r="A3362">
        <f>TRIM(BASE_EQUIPOS!N3362)</f>
        <v/>
      </c>
      <c r="B3362">
        <f>BASE_EQUIPOS!A3362</f>
        <v/>
      </c>
      <c r="C3362">
        <f>BASE_EQUIPOS!B3362</f>
        <v/>
      </c>
      <c r="D3362">
        <f>BASE_EQUIPOS!D3362</f>
        <v/>
      </c>
      <c r="E3362">
        <f>BASE_EQUIPOS!G3362</f>
        <v/>
      </c>
      <c r="F3362">
        <f>BASE_EQUIPOS!H3362</f>
        <v/>
      </c>
      <c r="G3362">
        <f>BASE_EQUIPOS!M3362</f>
        <v/>
      </c>
      <c r="I3362" t="inlineStr">
        <is>
          <t>06/000236</t>
        </is>
      </c>
    </row>
    <row r="3363">
      <c r="A3363">
        <f>TRIM(BASE_EQUIPOS!N3363)</f>
        <v/>
      </c>
      <c r="B3363">
        <f>BASE_EQUIPOS!A3363</f>
        <v/>
      </c>
      <c r="C3363">
        <f>BASE_EQUIPOS!B3363</f>
        <v/>
      </c>
      <c r="D3363">
        <f>BASE_EQUIPOS!D3363</f>
        <v/>
      </c>
      <c r="E3363">
        <f>BASE_EQUIPOS!G3363</f>
        <v/>
      </c>
      <c r="F3363">
        <f>BASE_EQUIPOS!H3363</f>
        <v/>
      </c>
      <c r="G3363">
        <f>BASE_EQUIPOS!M3363</f>
        <v/>
      </c>
      <c r="I3363" t="inlineStr">
        <is>
          <t>07/000001</t>
        </is>
      </c>
    </row>
    <row r="3364">
      <c r="A3364">
        <f>TRIM(BASE_EQUIPOS!N3364)</f>
        <v/>
      </c>
      <c r="B3364">
        <f>BASE_EQUIPOS!A3364</f>
        <v/>
      </c>
      <c r="C3364">
        <f>BASE_EQUIPOS!B3364</f>
        <v/>
      </c>
      <c r="D3364">
        <f>BASE_EQUIPOS!D3364</f>
        <v/>
      </c>
      <c r="E3364">
        <f>BASE_EQUIPOS!G3364</f>
        <v/>
      </c>
      <c r="F3364">
        <f>BASE_EQUIPOS!H3364</f>
        <v/>
      </c>
      <c r="G3364">
        <f>BASE_EQUIPOS!M3364</f>
        <v/>
      </c>
      <c r="I3364" t="inlineStr">
        <is>
          <t>08/000052</t>
        </is>
      </c>
    </row>
    <row r="3365">
      <c r="A3365">
        <f>TRIM(BASE_EQUIPOS!N3365)</f>
        <v/>
      </c>
      <c r="B3365">
        <f>BASE_EQUIPOS!A3365</f>
        <v/>
      </c>
      <c r="C3365">
        <f>BASE_EQUIPOS!B3365</f>
        <v/>
      </c>
      <c r="D3365">
        <f>BASE_EQUIPOS!D3365</f>
        <v/>
      </c>
      <c r="E3365">
        <f>BASE_EQUIPOS!G3365</f>
        <v/>
      </c>
      <c r="F3365">
        <f>BASE_EQUIPOS!H3365</f>
        <v/>
      </c>
      <c r="G3365">
        <f>BASE_EQUIPOS!M3365</f>
        <v/>
      </c>
      <c r="I3365" t="inlineStr">
        <is>
          <t>09/001138</t>
        </is>
      </c>
    </row>
    <row r="3366">
      <c r="A3366">
        <f>TRIM(BASE_EQUIPOS!N3366)</f>
        <v/>
      </c>
      <c r="B3366">
        <f>BASE_EQUIPOS!A3366</f>
        <v/>
      </c>
      <c r="C3366">
        <f>BASE_EQUIPOS!B3366</f>
        <v/>
      </c>
      <c r="D3366">
        <f>BASE_EQUIPOS!D3366</f>
        <v/>
      </c>
      <c r="E3366">
        <f>BASE_EQUIPOS!G3366</f>
        <v/>
      </c>
      <c r="F3366">
        <f>BASE_EQUIPOS!H3366</f>
        <v/>
      </c>
      <c r="G3366">
        <f>BASE_EQUIPOS!M3366</f>
        <v/>
      </c>
      <c r="I3366" t="inlineStr">
        <is>
          <t>10/00002</t>
        </is>
      </c>
    </row>
    <row r="3367">
      <c r="A3367">
        <f>TRIM(BASE_EQUIPOS!N3367)</f>
        <v/>
      </c>
      <c r="B3367">
        <f>BASE_EQUIPOS!A3367</f>
        <v/>
      </c>
      <c r="C3367">
        <f>BASE_EQUIPOS!B3367</f>
        <v/>
      </c>
      <c r="D3367">
        <f>BASE_EQUIPOS!D3367</f>
        <v/>
      </c>
      <c r="E3367">
        <f>BASE_EQUIPOS!G3367</f>
        <v/>
      </c>
      <c r="F3367">
        <f>BASE_EQUIPOS!H3367</f>
        <v/>
      </c>
      <c r="G3367">
        <f>BASE_EQUIPOS!M3367</f>
        <v/>
      </c>
      <c r="I3367" t="inlineStr">
        <is>
          <t>11/000203</t>
        </is>
      </c>
    </row>
    <row r="3368">
      <c r="A3368">
        <f>TRIM(BASE_EQUIPOS!N3368)</f>
        <v/>
      </c>
      <c r="B3368">
        <f>BASE_EQUIPOS!A3368</f>
        <v/>
      </c>
      <c r="C3368">
        <f>BASE_EQUIPOS!B3368</f>
        <v/>
      </c>
      <c r="D3368">
        <f>BASE_EQUIPOS!D3368</f>
        <v/>
      </c>
      <c r="E3368">
        <f>BASE_EQUIPOS!G3368</f>
        <v/>
      </c>
      <c r="F3368">
        <f>BASE_EQUIPOS!H3368</f>
        <v/>
      </c>
      <c r="G3368">
        <f>BASE_EQUIPOS!M3368</f>
        <v/>
      </c>
      <c r="I3368" t="inlineStr">
        <is>
          <t>12/000003</t>
        </is>
      </c>
    </row>
    <row r="3369">
      <c r="A3369">
        <f>TRIM(BASE_EQUIPOS!N3369)</f>
        <v/>
      </c>
      <c r="B3369">
        <f>BASE_EQUIPOS!A3369</f>
        <v/>
      </c>
      <c r="C3369">
        <f>BASE_EQUIPOS!B3369</f>
        <v/>
      </c>
      <c r="D3369">
        <f>BASE_EQUIPOS!D3369</f>
        <v/>
      </c>
      <c r="E3369">
        <f>BASE_EQUIPOS!G3369</f>
        <v/>
      </c>
      <c r="F3369">
        <f>BASE_EQUIPOS!H3369</f>
        <v/>
      </c>
      <c r="G3369">
        <f>BASE_EQUIPOS!M3369</f>
        <v/>
      </c>
      <c r="I3369" t="inlineStr">
        <is>
          <t>13/001994</t>
        </is>
      </c>
    </row>
    <row r="3370">
      <c r="A3370">
        <f>TRIM(BASE_EQUIPOS!N3370)</f>
        <v/>
      </c>
      <c r="B3370">
        <f>BASE_EQUIPOS!A3370</f>
        <v/>
      </c>
      <c r="C3370">
        <f>BASE_EQUIPOS!B3370</f>
        <v/>
      </c>
      <c r="D3370">
        <f>BASE_EQUIPOS!D3370</f>
        <v/>
      </c>
      <c r="E3370">
        <f>BASE_EQUIPOS!G3370</f>
        <v/>
      </c>
      <c r="F3370">
        <f>BASE_EQUIPOS!H3370</f>
        <v/>
      </c>
      <c r="G3370">
        <f>BASE_EQUIPOS!M3370</f>
        <v/>
      </c>
      <c r="I3370" t="inlineStr">
        <is>
          <t>01/000175</t>
        </is>
      </c>
    </row>
    <row r="3371">
      <c r="A3371">
        <f>TRIM(BASE_EQUIPOS!N3371)</f>
        <v/>
      </c>
      <c r="B3371">
        <f>BASE_EQUIPOS!A3371</f>
        <v/>
      </c>
      <c r="C3371">
        <f>BASE_EQUIPOS!B3371</f>
        <v/>
      </c>
      <c r="D3371">
        <f>BASE_EQUIPOS!D3371</f>
        <v/>
      </c>
      <c r="E3371">
        <f>BASE_EQUIPOS!G3371</f>
        <v/>
      </c>
      <c r="F3371">
        <f>BASE_EQUIPOS!H3371</f>
        <v/>
      </c>
      <c r="G3371">
        <f>BASE_EQUIPOS!M3371</f>
        <v/>
      </c>
      <c r="I3371" t="inlineStr">
        <is>
          <t>02/000206</t>
        </is>
      </c>
    </row>
    <row r="3372">
      <c r="A3372">
        <f>TRIM(BASE_EQUIPOS!N3372)</f>
        <v/>
      </c>
      <c r="B3372">
        <f>BASE_EQUIPOS!A3372</f>
        <v/>
      </c>
      <c r="C3372">
        <f>BASE_EQUIPOS!B3372</f>
        <v/>
      </c>
      <c r="D3372">
        <f>BASE_EQUIPOS!D3372</f>
        <v/>
      </c>
      <c r="E3372">
        <f>BASE_EQUIPOS!G3372</f>
        <v/>
      </c>
      <c r="F3372">
        <f>BASE_EQUIPOS!H3372</f>
        <v/>
      </c>
      <c r="G3372">
        <f>BASE_EQUIPOS!M3372</f>
        <v/>
      </c>
      <c r="I3372" t="inlineStr">
        <is>
          <t>03/000178</t>
        </is>
      </c>
    </row>
    <row r="3373">
      <c r="A3373">
        <f>TRIM(BASE_EQUIPOS!N3373)</f>
        <v/>
      </c>
      <c r="B3373">
        <f>BASE_EQUIPOS!A3373</f>
        <v/>
      </c>
      <c r="C3373">
        <f>BASE_EQUIPOS!B3373</f>
        <v/>
      </c>
      <c r="D3373">
        <f>BASE_EQUIPOS!D3373</f>
        <v/>
      </c>
      <c r="E3373">
        <f>BASE_EQUIPOS!G3373</f>
        <v/>
      </c>
      <c r="F3373">
        <f>BASE_EQUIPOS!H3373</f>
        <v/>
      </c>
      <c r="G3373">
        <f>BASE_EQUIPOS!M3373</f>
        <v/>
      </c>
      <c r="I3373" t="inlineStr">
        <is>
          <t>04/000103</t>
        </is>
      </c>
    </row>
    <row r="3374">
      <c r="A3374">
        <f>TRIM(BASE_EQUIPOS!N3374)</f>
        <v/>
      </c>
      <c r="B3374">
        <f>BASE_EQUIPOS!A3374</f>
        <v/>
      </c>
      <c r="C3374">
        <f>BASE_EQUIPOS!B3374</f>
        <v/>
      </c>
      <c r="D3374">
        <f>BASE_EQUIPOS!D3374</f>
        <v/>
      </c>
      <c r="E3374">
        <f>BASE_EQUIPOS!G3374</f>
        <v/>
      </c>
      <c r="F3374">
        <f>BASE_EQUIPOS!H3374</f>
        <v/>
      </c>
      <c r="G3374">
        <f>BASE_EQUIPOS!M3374</f>
        <v/>
      </c>
      <c r="I3374" t="inlineStr">
        <is>
          <t>025331</t>
        </is>
      </c>
    </row>
    <row r="3375">
      <c r="A3375">
        <f>TRIM(BASE_EQUIPOS!N3375)</f>
        <v/>
      </c>
      <c r="B3375">
        <f>BASE_EQUIPOS!A3375</f>
        <v/>
      </c>
      <c r="C3375">
        <f>BASE_EQUIPOS!B3375</f>
        <v/>
      </c>
      <c r="D3375">
        <f>BASE_EQUIPOS!D3375</f>
        <v/>
      </c>
      <c r="E3375">
        <f>BASE_EQUIPOS!G3375</f>
        <v/>
      </c>
      <c r="F3375">
        <f>BASE_EQUIPOS!H3375</f>
        <v/>
      </c>
      <c r="G3375">
        <f>BASE_EQUIPOS!M3375</f>
        <v/>
      </c>
      <c r="I3375" t="inlineStr">
        <is>
          <t>000100</t>
        </is>
      </c>
    </row>
    <row r="3376">
      <c r="A3376">
        <f>TRIM(BASE_EQUIPOS!N3376)</f>
        <v/>
      </c>
      <c r="B3376">
        <f>BASE_EQUIPOS!A3376</f>
        <v/>
      </c>
      <c r="C3376">
        <f>BASE_EQUIPOS!B3376</f>
        <v/>
      </c>
      <c r="D3376">
        <f>BASE_EQUIPOS!D3376</f>
        <v/>
      </c>
      <c r="E3376">
        <f>BASE_EQUIPOS!G3376</f>
        <v/>
      </c>
      <c r="F3376">
        <f>BASE_EQUIPOS!H3376</f>
        <v/>
      </c>
      <c r="G3376">
        <f>BASE_EQUIPOS!M3376</f>
        <v/>
      </c>
      <c r="I3376" t="inlineStr">
        <is>
          <t>029397</t>
        </is>
      </c>
    </row>
    <row r="3377">
      <c r="A3377">
        <f>TRIM(BASE_EQUIPOS!N3377)</f>
        <v/>
      </c>
      <c r="B3377">
        <f>BASE_EQUIPOS!A3377</f>
        <v/>
      </c>
      <c r="C3377">
        <f>BASE_EQUIPOS!B3377</f>
        <v/>
      </c>
      <c r="D3377">
        <f>BASE_EQUIPOS!D3377</f>
        <v/>
      </c>
      <c r="E3377">
        <f>BASE_EQUIPOS!G3377</f>
        <v/>
      </c>
      <c r="F3377">
        <f>BASE_EQUIPOS!H3377</f>
        <v/>
      </c>
      <c r="G3377">
        <f>BASE_EQUIPOS!M3377</f>
        <v/>
      </c>
      <c r="I3377" t="inlineStr">
        <is>
          <t>002288</t>
        </is>
      </c>
    </row>
    <row r="3378">
      <c r="A3378">
        <f>TRIM(BASE_EQUIPOS!N3378)</f>
        <v/>
      </c>
      <c r="B3378">
        <f>BASE_EQUIPOS!A3378</f>
        <v/>
      </c>
      <c r="C3378">
        <f>BASE_EQUIPOS!B3378</f>
        <v/>
      </c>
      <c r="D3378">
        <f>BASE_EQUIPOS!D3378</f>
        <v/>
      </c>
      <c r="E3378">
        <f>BASE_EQUIPOS!G3378</f>
        <v/>
      </c>
      <c r="F3378">
        <f>BASE_EQUIPOS!H3378</f>
        <v/>
      </c>
      <c r="G3378">
        <f>BASE_EQUIPOS!M3378</f>
        <v/>
      </c>
      <c r="I3378" t="inlineStr">
        <is>
          <t>005253</t>
        </is>
      </c>
    </row>
    <row r="3379">
      <c r="A3379">
        <f>TRIM(BASE_EQUIPOS!N3379)</f>
        <v/>
      </c>
      <c r="B3379">
        <f>BASE_EQUIPOS!A3379</f>
        <v/>
      </c>
      <c r="C3379">
        <f>BASE_EQUIPOS!B3379</f>
        <v/>
      </c>
      <c r="D3379">
        <f>BASE_EQUIPOS!D3379</f>
        <v/>
      </c>
      <c r="E3379">
        <f>BASE_EQUIPOS!G3379</f>
        <v/>
      </c>
      <c r="F3379">
        <f>BASE_EQUIPOS!H3379</f>
        <v/>
      </c>
      <c r="G3379">
        <f>BASE_EQUIPOS!M3379</f>
        <v/>
      </c>
      <c r="I3379" t="inlineStr">
        <is>
          <t>103322</t>
        </is>
      </c>
    </row>
    <row r="3380">
      <c r="A3380">
        <f>TRIM(BASE_EQUIPOS!N3380)</f>
        <v/>
      </c>
      <c r="B3380">
        <f>BASE_EQUIPOS!A3380</f>
        <v/>
      </c>
      <c r="C3380">
        <f>BASE_EQUIPOS!B3380</f>
        <v/>
      </c>
      <c r="D3380">
        <f>BASE_EQUIPOS!D3380</f>
        <v/>
      </c>
      <c r="E3380">
        <f>BASE_EQUIPOS!G3380</f>
        <v/>
      </c>
      <c r="F3380">
        <f>BASE_EQUIPOS!H3380</f>
        <v/>
      </c>
      <c r="G3380">
        <f>BASE_EQUIPOS!M3380</f>
        <v/>
      </c>
      <c r="I3380" t="inlineStr">
        <is>
          <t>006598</t>
        </is>
      </c>
    </row>
    <row r="3381">
      <c r="A3381">
        <f>TRIM(BASE_EQUIPOS!N3381)</f>
        <v/>
      </c>
      <c r="B3381">
        <f>BASE_EQUIPOS!A3381</f>
        <v/>
      </c>
      <c r="C3381">
        <f>BASE_EQUIPOS!B3381</f>
        <v/>
      </c>
      <c r="D3381">
        <f>BASE_EQUIPOS!D3381</f>
        <v/>
      </c>
      <c r="E3381">
        <f>BASE_EQUIPOS!G3381</f>
        <v/>
      </c>
      <c r="F3381">
        <f>BASE_EQUIPOS!H3381</f>
        <v/>
      </c>
      <c r="G3381">
        <f>BASE_EQUIPOS!M3381</f>
        <v/>
      </c>
      <c r="I3381" t="inlineStr">
        <is>
          <t>025671</t>
        </is>
      </c>
    </row>
    <row r="3382">
      <c r="A3382">
        <f>TRIM(BASE_EQUIPOS!N3382)</f>
        <v/>
      </c>
      <c r="B3382">
        <f>BASE_EQUIPOS!A3382</f>
        <v/>
      </c>
      <c r="C3382">
        <f>BASE_EQUIPOS!B3382</f>
        <v/>
      </c>
      <c r="D3382">
        <f>BASE_EQUIPOS!D3382</f>
        <v/>
      </c>
      <c r="E3382">
        <f>BASE_EQUIPOS!G3382</f>
        <v/>
      </c>
      <c r="F3382">
        <f>BASE_EQUIPOS!H3382</f>
        <v/>
      </c>
      <c r="G3382">
        <f>BASE_EQUIPOS!M3382</f>
        <v/>
      </c>
      <c r="I3382" t="inlineStr">
        <is>
          <t>025338</t>
        </is>
      </c>
    </row>
    <row r="3383">
      <c r="A3383">
        <f>TRIM(BASE_EQUIPOS!N3383)</f>
        <v/>
      </c>
      <c r="B3383">
        <f>BASE_EQUIPOS!A3383</f>
        <v/>
      </c>
      <c r="C3383">
        <f>BASE_EQUIPOS!B3383</f>
        <v/>
      </c>
      <c r="D3383">
        <f>BASE_EQUIPOS!D3383</f>
        <v/>
      </c>
      <c r="E3383">
        <f>BASE_EQUIPOS!G3383</f>
        <v/>
      </c>
      <c r="F3383">
        <f>BASE_EQUIPOS!H3383</f>
        <v/>
      </c>
      <c r="G3383">
        <f>BASE_EQUIPOS!M3383</f>
        <v/>
      </c>
      <c r="I3383" t="inlineStr">
        <is>
          <t>000845</t>
        </is>
      </c>
    </row>
    <row r="3384">
      <c r="A3384">
        <f>TRIM(BASE_EQUIPOS!N3384)</f>
        <v/>
      </c>
      <c r="B3384">
        <f>BASE_EQUIPOS!A3384</f>
        <v/>
      </c>
      <c r="C3384">
        <f>BASE_EQUIPOS!B3384</f>
        <v/>
      </c>
      <c r="D3384">
        <f>BASE_EQUIPOS!D3384</f>
        <v/>
      </c>
      <c r="E3384">
        <f>BASE_EQUIPOS!G3384</f>
        <v/>
      </c>
      <c r="F3384">
        <f>BASE_EQUIPOS!H3384</f>
        <v/>
      </c>
      <c r="G3384">
        <f>BASE_EQUIPOS!M3384</f>
        <v/>
      </c>
      <c r="I3384" t="inlineStr">
        <is>
          <t>104676</t>
        </is>
      </c>
    </row>
    <row r="3385">
      <c r="A3385">
        <f>TRIM(BASE_EQUIPOS!N3385)</f>
        <v/>
      </c>
      <c r="B3385">
        <f>BASE_EQUIPOS!A3385</f>
        <v/>
      </c>
      <c r="C3385">
        <f>BASE_EQUIPOS!B3385</f>
        <v/>
      </c>
      <c r="D3385">
        <f>BASE_EQUIPOS!D3385</f>
        <v/>
      </c>
      <c r="E3385">
        <f>BASE_EQUIPOS!G3385</f>
        <v/>
      </c>
      <c r="F3385">
        <f>BASE_EQUIPOS!H3385</f>
        <v/>
      </c>
      <c r="G3385">
        <f>BASE_EQUIPOS!M3385</f>
        <v/>
      </c>
      <c r="I3385" t="inlineStr">
        <is>
          <t>AC 422840</t>
        </is>
      </c>
    </row>
    <row r="3386">
      <c r="A3386">
        <f>TRIM(BASE_EQUIPOS!N3386)</f>
        <v/>
      </c>
      <c r="B3386">
        <f>BASE_EQUIPOS!A3386</f>
        <v/>
      </c>
      <c r="C3386">
        <f>BASE_EQUIPOS!B3386</f>
        <v/>
      </c>
      <c r="D3386">
        <f>BASE_EQUIPOS!D3386</f>
        <v/>
      </c>
      <c r="E3386">
        <f>BASE_EQUIPOS!G3386</f>
        <v/>
      </c>
      <c r="F3386">
        <f>BASE_EQUIPOS!H3386</f>
        <v/>
      </c>
      <c r="G3386">
        <f>BASE_EQUIPOS!M3386</f>
        <v/>
      </c>
      <c r="I3386" t="inlineStr">
        <is>
          <t>000498</t>
        </is>
      </c>
    </row>
    <row r="3387">
      <c r="A3387">
        <f>TRIM(BASE_EQUIPOS!N3387)</f>
        <v/>
      </c>
      <c r="B3387">
        <f>BASE_EQUIPOS!A3387</f>
        <v/>
      </c>
      <c r="C3387">
        <f>BASE_EQUIPOS!B3387</f>
        <v/>
      </c>
      <c r="D3387">
        <f>BASE_EQUIPOS!D3387</f>
        <v/>
      </c>
      <c r="E3387">
        <f>BASE_EQUIPOS!G3387</f>
        <v/>
      </c>
      <c r="F3387">
        <f>BASE_EQUIPOS!H3387</f>
        <v/>
      </c>
      <c r="G3387">
        <f>BASE_EQUIPOS!M3387</f>
        <v/>
      </c>
      <c r="I3387" t="inlineStr">
        <is>
          <t>01/152324</t>
        </is>
      </c>
    </row>
    <row r="3388">
      <c r="A3388">
        <f>TRIM(BASE_EQUIPOS!N3388)</f>
        <v/>
      </c>
      <c r="B3388">
        <f>BASE_EQUIPOS!A3388</f>
        <v/>
      </c>
      <c r="C3388">
        <f>BASE_EQUIPOS!B3388</f>
        <v/>
      </c>
      <c r="D3388">
        <f>BASE_EQUIPOS!D3388</f>
        <v/>
      </c>
      <c r="E3388">
        <f>BASE_EQUIPOS!G3388</f>
        <v/>
      </c>
      <c r="F3388">
        <f>BASE_EQUIPOS!H3388</f>
        <v/>
      </c>
      <c r="G3388">
        <f>BASE_EQUIPOS!M3388</f>
        <v/>
      </c>
      <c r="I3388" t="inlineStr">
        <is>
          <t>02/181264</t>
        </is>
      </c>
    </row>
    <row r="3389">
      <c r="A3389">
        <f>TRIM(BASE_EQUIPOS!N3389)</f>
        <v/>
      </c>
      <c r="B3389">
        <f>BASE_EQUIPOS!A3389</f>
        <v/>
      </c>
      <c r="C3389">
        <f>BASE_EQUIPOS!B3389</f>
        <v/>
      </c>
      <c r="D3389">
        <f>BASE_EQUIPOS!D3389</f>
        <v/>
      </c>
      <c r="E3389">
        <f>BASE_EQUIPOS!G3389</f>
        <v/>
      </c>
      <c r="F3389">
        <f>BASE_EQUIPOS!H3389</f>
        <v/>
      </c>
      <c r="G3389">
        <f>BASE_EQUIPOS!M3389</f>
        <v/>
      </c>
      <c r="I3389" t="inlineStr">
        <is>
          <t>03/141198</t>
        </is>
      </c>
    </row>
    <row r="3390">
      <c r="A3390">
        <f>TRIM(BASE_EQUIPOS!N3390)</f>
        <v/>
      </c>
      <c r="B3390">
        <f>BASE_EQUIPOS!A3390</f>
        <v/>
      </c>
      <c r="C3390">
        <f>BASE_EQUIPOS!B3390</f>
        <v/>
      </c>
      <c r="D3390">
        <f>BASE_EQUIPOS!D3390</f>
        <v/>
      </c>
      <c r="E3390">
        <f>BASE_EQUIPOS!G3390</f>
        <v/>
      </c>
      <c r="F3390">
        <f>BASE_EQUIPOS!H3390</f>
        <v/>
      </c>
      <c r="G3390">
        <f>BASE_EQUIPOS!M3390</f>
        <v/>
      </c>
      <c r="I3390" t="inlineStr">
        <is>
          <t>04/190967</t>
        </is>
      </c>
    </row>
    <row r="3391">
      <c r="A3391">
        <f>TRIM(BASE_EQUIPOS!N3391)</f>
        <v/>
      </c>
      <c r="B3391">
        <f>BASE_EQUIPOS!A3391</f>
        <v/>
      </c>
      <c r="C3391">
        <f>BASE_EQUIPOS!B3391</f>
        <v/>
      </c>
      <c r="D3391">
        <f>BASE_EQUIPOS!D3391</f>
        <v/>
      </c>
      <c r="E3391">
        <f>BASE_EQUIPOS!G3391</f>
        <v/>
      </c>
      <c r="F3391">
        <f>BASE_EQUIPOS!H3391</f>
        <v/>
      </c>
      <c r="G3391">
        <f>BASE_EQUIPOS!M3391</f>
        <v/>
      </c>
      <c r="I3391" t="inlineStr">
        <is>
          <t>05/141933</t>
        </is>
      </c>
    </row>
    <row r="3392">
      <c r="A3392">
        <f>TRIM(BASE_EQUIPOS!N3392)</f>
        <v/>
      </c>
      <c r="B3392">
        <f>BASE_EQUIPOS!A3392</f>
        <v/>
      </c>
      <c r="C3392">
        <f>BASE_EQUIPOS!B3392</f>
        <v/>
      </c>
      <c r="D3392">
        <f>BASE_EQUIPOS!D3392</f>
        <v/>
      </c>
      <c r="E3392">
        <f>BASE_EQUIPOS!G3392</f>
        <v/>
      </c>
      <c r="F3392">
        <f>BASE_EQUIPOS!H3392</f>
        <v/>
      </c>
      <c r="G3392">
        <f>BASE_EQUIPOS!M3392</f>
        <v/>
      </c>
      <c r="I3392" t="inlineStr">
        <is>
          <t>06/190718</t>
        </is>
      </c>
    </row>
    <row r="3393">
      <c r="A3393">
        <f>TRIM(BASE_EQUIPOS!N3393)</f>
        <v/>
      </c>
      <c r="B3393">
        <f>BASE_EQUIPOS!A3393</f>
        <v/>
      </c>
      <c r="C3393">
        <f>BASE_EQUIPOS!B3393</f>
        <v/>
      </c>
      <c r="D3393">
        <f>BASE_EQUIPOS!D3393</f>
        <v/>
      </c>
      <c r="E3393">
        <f>BASE_EQUIPOS!G3393</f>
        <v/>
      </c>
      <c r="F3393">
        <f>BASE_EQUIPOS!H3393</f>
        <v/>
      </c>
      <c r="G3393">
        <f>BASE_EQUIPOS!M3393</f>
        <v/>
      </c>
      <c r="I3393" t="inlineStr">
        <is>
          <t>07/190686</t>
        </is>
      </c>
    </row>
    <row r="3394">
      <c r="A3394">
        <f>TRIM(BASE_EQUIPOS!N3394)</f>
        <v/>
      </c>
      <c r="B3394">
        <f>BASE_EQUIPOS!A3394</f>
        <v/>
      </c>
      <c r="C3394">
        <f>BASE_EQUIPOS!B3394</f>
        <v/>
      </c>
      <c r="D3394">
        <f>BASE_EQUIPOS!D3394</f>
        <v/>
      </c>
      <c r="E3394">
        <f>BASE_EQUIPOS!G3394</f>
        <v/>
      </c>
      <c r="F3394">
        <f>BASE_EQUIPOS!H3394</f>
        <v/>
      </c>
      <c r="G3394">
        <f>BASE_EQUIPOS!M3394</f>
        <v/>
      </c>
      <c r="I3394" t="inlineStr">
        <is>
          <t>08/181266</t>
        </is>
      </c>
    </row>
    <row r="3395">
      <c r="A3395">
        <f>TRIM(BASE_EQUIPOS!N3395)</f>
        <v/>
      </c>
      <c r="B3395">
        <f>BASE_EQUIPOS!A3395</f>
        <v/>
      </c>
      <c r="C3395">
        <f>BASE_EQUIPOS!B3395</f>
        <v/>
      </c>
      <c r="D3395">
        <f>BASE_EQUIPOS!D3395</f>
        <v/>
      </c>
      <c r="E3395">
        <f>BASE_EQUIPOS!G3395</f>
        <v/>
      </c>
      <c r="F3395">
        <f>BASE_EQUIPOS!H3395</f>
        <v/>
      </c>
      <c r="G3395">
        <f>BASE_EQUIPOS!M3395</f>
        <v/>
      </c>
      <c r="I3395" t="inlineStr">
        <is>
          <t>09/152468</t>
        </is>
      </c>
    </row>
    <row r="3396">
      <c r="A3396">
        <f>TRIM(BASE_EQUIPOS!N3396)</f>
        <v/>
      </c>
      <c r="B3396">
        <f>BASE_EQUIPOS!A3396</f>
        <v/>
      </c>
      <c r="C3396">
        <f>BASE_EQUIPOS!B3396</f>
        <v/>
      </c>
      <c r="D3396">
        <f>BASE_EQUIPOS!D3396</f>
        <v/>
      </c>
      <c r="E3396">
        <f>BASE_EQUIPOS!G3396</f>
        <v/>
      </c>
      <c r="F3396">
        <f>BASE_EQUIPOS!H3396</f>
        <v/>
      </c>
      <c r="G3396">
        <f>BASE_EQUIPOS!M3396</f>
        <v/>
      </c>
      <c r="I3396" t="inlineStr">
        <is>
          <t>10/191199</t>
        </is>
      </c>
    </row>
    <row r="3397">
      <c r="A3397">
        <f>TRIM(BASE_EQUIPOS!N3397)</f>
        <v/>
      </c>
      <c r="B3397">
        <f>BASE_EQUIPOS!A3397</f>
        <v/>
      </c>
      <c r="C3397">
        <f>BASE_EQUIPOS!B3397</f>
        <v/>
      </c>
      <c r="D3397">
        <f>BASE_EQUIPOS!D3397</f>
        <v/>
      </c>
      <c r="E3397">
        <f>BASE_EQUIPOS!G3397</f>
        <v/>
      </c>
      <c r="F3397">
        <f>BASE_EQUIPOS!H3397</f>
        <v/>
      </c>
      <c r="G3397">
        <f>BASE_EQUIPOS!M3397</f>
        <v/>
      </c>
      <c r="I3397" t="inlineStr">
        <is>
          <t>11/190708</t>
        </is>
      </c>
    </row>
    <row r="3398">
      <c r="A3398">
        <f>TRIM(BASE_EQUIPOS!N3398)</f>
        <v/>
      </c>
      <c r="B3398">
        <f>BASE_EQUIPOS!A3398</f>
        <v/>
      </c>
      <c r="C3398">
        <f>BASE_EQUIPOS!B3398</f>
        <v/>
      </c>
      <c r="D3398">
        <f>BASE_EQUIPOS!D3398</f>
        <v/>
      </c>
      <c r="E3398">
        <f>BASE_EQUIPOS!G3398</f>
        <v/>
      </c>
      <c r="F3398">
        <f>BASE_EQUIPOS!H3398</f>
        <v/>
      </c>
      <c r="G3398">
        <f>BASE_EQUIPOS!M3398</f>
        <v/>
      </c>
      <c r="I3398" t="inlineStr">
        <is>
          <t>12/191188</t>
        </is>
      </c>
    </row>
    <row r="3399">
      <c r="A3399">
        <f>TRIM(BASE_EQUIPOS!N3399)</f>
        <v/>
      </c>
      <c r="B3399">
        <f>BASE_EQUIPOS!A3399</f>
        <v/>
      </c>
      <c r="C3399">
        <f>BASE_EQUIPOS!B3399</f>
        <v/>
      </c>
      <c r="D3399">
        <f>BASE_EQUIPOS!D3399</f>
        <v/>
      </c>
      <c r="E3399">
        <f>BASE_EQUIPOS!G3399</f>
        <v/>
      </c>
      <c r="F3399">
        <f>BASE_EQUIPOS!H3399</f>
        <v/>
      </c>
      <c r="G3399">
        <f>BASE_EQUIPOS!M3399</f>
        <v/>
      </c>
      <c r="I3399" t="inlineStr">
        <is>
          <t>13/191030</t>
        </is>
      </c>
    </row>
    <row r="3400">
      <c r="A3400">
        <f>TRIM(BASE_EQUIPOS!N3400)</f>
        <v/>
      </c>
      <c r="B3400">
        <f>BASE_EQUIPOS!A3400</f>
        <v/>
      </c>
      <c r="C3400">
        <f>BASE_EQUIPOS!B3400</f>
        <v/>
      </c>
      <c r="D3400">
        <f>BASE_EQUIPOS!D3400</f>
        <v/>
      </c>
      <c r="E3400">
        <f>BASE_EQUIPOS!G3400</f>
        <v/>
      </c>
      <c r="F3400">
        <f>BASE_EQUIPOS!H3400</f>
        <v/>
      </c>
      <c r="G3400">
        <f>BASE_EQUIPOS!M3400</f>
        <v/>
      </c>
      <c r="I3400" t="inlineStr">
        <is>
          <t>14/190681</t>
        </is>
      </c>
    </row>
    <row r="3401">
      <c r="A3401">
        <f>TRIM(BASE_EQUIPOS!N3401)</f>
        <v/>
      </c>
      <c r="B3401">
        <f>BASE_EQUIPOS!A3401</f>
        <v/>
      </c>
      <c r="C3401">
        <f>BASE_EQUIPOS!B3401</f>
        <v/>
      </c>
      <c r="D3401">
        <f>BASE_EQUIPOS!D3401</f>
        <v/>
      </c>
      <c r="E3401">
        <f>BASE_EQUIPOS!G3401</f>
        <v/>
      </c>
      <c r="F3401">
        <f>BASE_EQUIPOS!H3401</f>
        <v/>
      </c>
      <c r="G3401">
        <f>BASE_EQUIPOS!M3401</f>
        <v/>
      </c>
      <c r="I3401" t="inlineStr">
        <is>
          <t>15/218145</t>
        </is>
      </c>
    </row>
    <row r="3402">
      <c r="A3402">
        <f>TRIM(BASE_EQUIPOS!N3402)</f>
        <v/>
      </c>
      <c r="B3402">
        <f>BASE_EQUIPOS!A3402</f>
        <v/>
      </c>
      <c r="C3402">
        <f>BASE_EQUIPOS!B3402</f>
        <v/>
      </c>
      <c r="D3402">
        <f>BASE_EQUIPOS!D3402</f>
        <v/>
      </c>
      <c r="E3402">
        <f>BASE_EQUIPOS!G3402</f>
        <v/>
      </c>
      <c r="F3402">
        <f>BASE_EQUIPOS!H3402</f>
        <v/>
      </c>
      <c r="G3402">
        <f>BASE_EQUIPOS!M3402</f>
        <v/>
      </c>
      <c r="I3402" t="inlineStr">
        <is>
          <t>16/152398</t>
        </is>
      </c>
    </row>
    <row r="3403">
      <c r="A3403">
        <f>TRIM(BASE_EQUIPOS!N3403)</f>
        <v/>
      </c>
      <c r="B3403">
        <f>BASE_EQUIPOS!A3403</f>
        <v/>
      </c>
      <c r="C3403">
        <f>BASE_EQUIPOS!B3403</f>
        <v/>
      </c>
      <c r="D3403">
        <f>BASE_EQUIPOS!D3403</f>
        <v/>
      </c>
      <c r="E3403">
        <f>BASE_EQUIPOS!G3403</f>
        <v/>
      </c>
      <c r="F3403">
        <f>BASE_EQUIPOS!H3403</f>
        <v/>
      </c>
      <c r="G3403">
        <f>BASE_EQUIPOS!M3403</f>
        <v/>
      </c>
      <c r="I3403" t="inlineStr">
        <is>
          <t>17/180856</t>
        </is>
      </c>
    </row>
    <row r="3404">
      <c r="A3404">
        <f>TRIM(BASE_EQUIPOS!N3404)</f>
        <v/>
      </c>
      <c r="B3404">
        <f>BASE_EQUIPOS!A3404</f>
        <v/>
      </c>
      <c r="C3404">
        <f>BASE_EQUIPOS!B3404</f>
        <v/>
      </c>
      <c r="D3404">
        <f>BASE_EQUIPOS!D3404</f>
        <v/>
      </c>
      <c r="E3404">
        <f>BASE_EQUIPOS!G3404</f>
        <v/>
      </c>
      <c r="F3404">
        <f>BASE_EQUIPOS!H3404</f>
        <v/>
      </c>
      <c r="G3404">
        <f>BASE_EQUIPOS!M3404</f>
        <v/>
      </c>
      <c r="I3404" t="inlineStr">
        <is>
          <t>18/190868</t>
        </is>
      </c>
    </row>
    <row r="3405">
      <c r="A3405">
        <f>TRIM(BASE_EQUIPOS!N3405)</f>
        <v/>
      </c>
      <c r="B3405">
        <f>BASE_EQUIPOS!A3405</f>
        <v/>
      </c>
      <c r="C3405">
        <f>BASE_EQUIPOS!B3405</f>
        <v/>
      </c>
      <c r="D3405">
        <f>BASE_EQUIPOS!D3405</f>
        <v/>
      </c>
      <c r="E3405">
        <f>BASE_EQUIPOS!G3405</f>
        <v/>
      </c>
      <c r="F3405">
        <f>BASE_EQUIPOS!H3405</f>
        <v/>
      </c>
      <c r="G3405">
        <f>BASE_EQUIPOS!M3405</f>
        <v/>
      </c>
      <c r="I3405" t="inlineStr">
        <is>
          <t>19/152304</t>
        </is>
      </c>
    </row>
    <row r="3406">
      <c r="A3406">
        <f>TRIM(BASE_EQUIPOS!N3406)</f>
        <v/>
      </c>
      <c r="B3406">
        <f>BASE_EQUIPOS!A3406</f>
        <v/>
      </c>
      <c r="C3406">
        <f>BASE_EQUIPOS!B3406</f>
        <v/>
      </c>
      <c r="D3406">
        <f>BASE_EQUIPOS!D3406</f>
        <v/>
      </c>
      <c r="E3406">
        <f>BASE_EQUIPOS!G3406</f>
        <v/>
      </c>
      <c r="F3406">
        <f>BASE_EQUIPOS!H3406</f>
        <v/>
      </c>
      <c r="G3406">
        <f>BASE_EQUIPOS!M3406</f>
        <v/>
      </c>
      <c r="I3406" t="inlineStr">
        <is>
          <t>20/190940</t>
        </is>
      </c>
    </row>
    <row r="3407">
      <c r="A3407">
        <f>TRIM(BASE_EQUIPOS!N3407)</f>
        <v/>
      </c>
      <c r="B3407">
        <f>BASE_EQUIPOS!A3407</f>
        <v/>
      </c>
      <c r="C3407">
        <f>BASE_EQUIPOS!B3407</f>
        <v/>
      </c>
      <c r="D3407">
        <f>BASE_EQUIPOS!D3407</f>
        <v/>
      </c>
      <c r="E3407">
        <f>BASE_EQUIPOS!G3407</f>
        <v/>
      </c>
      <c r="F3407">
        <f>BASE_EQUIPOS!H3407</f>
        <v/>
      </c>
      <c r="G3407">
        <f>BASE_EQUIPOS!M3407</f>
        <v/>
      </c>
      <c r="I3407" t="inlineStr">
        <is>
          <t>21/178854</t>
        </is>
      </c>
    </row>
    <row r="3408">
      <c r="A3408">
        <f>TRIM(BASE_EQUIPOS!N3408)</f>
        <v/>
      </c>
      <c r="B3408">
        <f>BASE_EQUIPOS!A3408</f>
        <v/>
      </c>
      <c r="C3408">
        <f>BASE_EQUIPOS!B3408</f>
        <v/>
      </c>
      <c r="D3408">
        <f>BASE_EQUIPOS!D3408</f>
        <v/>
      </c>
      <c r="E3408">
        <f>BASE_EQUIPOS!G3408</f>
        <v/>
      </c>
      <c r="F3408">
        <f>BASE_EQUIPOS!H3408</f>
        <v/>
      </c>
      <c r="G3408">
        <f>BASE_EQUIPOS!M3408</f>
        <v/>
      </c>
      <c r="I3408" t="inlineStr">
        <is>
          <t>22/191133</t>
        </is>
      </c>
    </row>
    <row r="3409">
      <c r="A3409">
        <f>TRIM(BASE_EQUIPOS!N3409)</f>
        <v/>
      </c>
      <c r="B3409">
        <f>BASE_EQUIPOS!A3409</f>
        <v/>
      </c>
      <c r="C3409">
        <f>BASE_EQUIPOS!B3409</f>
        <v/>
      </c>
      <c r="D3409">
        <f>BASE_EQUIPOS!D3409</f>
        <v/>
      </c>
      <c r="E3409">
        <f>BASE_EQUIPOS!G3409</f>
        <v/>
      </c>
      <c r="F3409">
        <f>BASE_EQUIPOS!H3409</f>
        <v/>
      </c>
      <c r="G3409">
        <f>BASE_EQUIPOS!M3409</f>
        <v/>
      </c>
      <c r="I3409" t="inlineStr">
        <is>
          <t>23/191141</t>
        </is>
      </c>
    </row>
    <row r="3410">
      <c r="A3410">
        <f>TRIM(BASE_EQUIPOS!N3410)</f>
        <v/>
      </c>
      <c r="B3410">
        <f>BASE_EQUIPOS!A3410</f>
        <v/>
      </c>
      <c r="C3410">
        <f>BASE_EQUIPOS!B3410</f>
        <v/>
      </c>
      <c r="D3410">
        <f>BASE_EQUIPOS!D3410</f>
        <v/>
      </c>
      <c r="E3410">
        <f>BASE_EQUIPOS!G3410</f>
        <v/>
      </c>
      <c r="F3410">
        <f>BASE_EQUIPOS!H3410</f>
        <v/>
      </c>
      <c r="G3410">
        <f>BASE_EQUIPOS!M3410</f>
        <v/>
      </c>
      <c r="I3410" t="inlineStr">
        <is>
          <t>24/178571</t>
        </is>
      </c>
    </row>
    <row r="3411">
      <c r="A3411">
        <f>TRIM(BASE_EQUIPOS!N3411)</f>
        <v/>
      </c>
      <c r="B3411">
        <f>BASE_EQUIPOS!A3411</f>
        <v/>
      </c>
      <c r="C3411">
        <f>BASE_EQUIPOS!B3411</f>
        <v/>
      </c>
      <c r="D3411">
        <f>BASE_EQUIPOS!D3411</f>
        <v/>
      </c>
      <c r="E3411">
        <f>BASE_EQUIPOS!G3411</f>
        <v/>
      </c>
      <c r="F3411">
        <f>BASE_EQUIPOS!H3411</f>
        <v/>
      </c>
      <c r="G3411">
        <f>BASE_EQUIPOS!M3411</f>
        <v/>
      </c>
      <c r="I3411" t="inlineStr">
        <is>
          <t>25/146043</t>
        </is>
      </c>
    </row>
    <row r="3412">
      <c r="A3412">
        <f>TRIM(BASE_EQUIPOS!N3412)</f>
        <v/>
      </c>
      <c r="B3412">
        <f>BASE_EQUIPOS!A3412</f>
        <v/>
      </c>
      <c r="C3412">
        <f>BASE_EQUIPOS!B3412</f>
        <v/>
      </c>
      <c r="D3412">
        <f>BASE_EQUIPOS!D3412</f>
        <v/>
      </c>
      <c r="E3412">
        <f>BASE_EQUIPOS!G3412</f>
        <v/>
      </c>
      <c r="F3412">
        <f>BASE_EQUIPOS!H3412</f>
        <v/>
      </c>
      <c r="G3412">
        <f>BASE_EQUIPOS!M3412</f>
        <v/>
      </c>
      <c r="I3412" t="inlineStr">
        <is>
          <t>26/191126</t>
        </is>
      </c>
    </row>
    <row r="3413">
      <c r="A3413">
        <f>TRIM(BASE_EQUIPOS!N3413)</f>
        <v/>
      </c>
      <c r="B3413">
        <f>BASE_EQUIPOS!A3413</f>
        <v/>
      </c>
      <c r="C3413">
        <f>BASE_EQUIPOS!B3413</f>
        <v/>
      </c>
      <c r="D3413">
        <f>BASE_EQUIPOS!D3413</f>
        <v/>
      </c>
      <c r="E3413">
        <f>BASE_EQUIPOS!G3413</f>
        <v/>
      </c>
      <c r="F3413">
        <f>BASE_EQUIPOS!H3413</f>
        <v/>
      </c>
      <c r="G3413">
        <f>BASE_EQUIPOS!M3413</f>
        <v/>
      </c>
      <c r="I3413" t="inlineStr">
        <is>
          <t>27/181271</t>
        </is>
      </c>
    </row>
    <row r="3414">
      <c r="A3414">
        <f>TRIM(BASE_EQUIPOS!N3414)</f>
        <v/>
      </c>
      <c r="B3414">
        <f>BASE_EQUIPOS!A3414</f>
        <v/>
      </c>
      <c r="C3414">
        <f>BASE_EQUIPOS!B3414</f>
        <v/>
      </c>
      <c r="D3414">
        <f>BASE_EQUIPOS!D3414</f>
        <v/>
      </c>
      <c r="E3414">
        <f>BASE_EQUIPOS!G3414</f>
        <v/>
      </c>
      <c r="F3414">
        <f>BASE_EQUIPOS!H3414</f>
        <v/>
      </c>
      <c r="G3414">
        <f>BASE_EQUIPOS!M3414</f>
        <v/>
      </c>
      <c r="I3414" t="inlineStr">
        <is>
          <t>28/191101</t>
        </is>
      </c>
    </row>
    <row r="3415">
      <c r="A3415">
        <f>TRIM(BASE_EQUIPOS!N3415)</f>
        <v/>
      </c>
      <c r="B3415">
        <f>BASE_EQUIPOS!A3415</f>
        <v/>
      </c>
      <c r="C3415">
        <f>BASE_EQUIPOS!B3415</f>
        <v/>
      </c>
      <c r="D3415">
        <f>BASE_EQUIPOS!D3415</f>
        <v/>
      </c>
      <c r="E3415">
        <f>BASE_EQUIPOS!G3415</f>
        <v/>
      </c>
      <c r="F3415">
        <f>BASE_EQUIPOS!H3415</f>
        <v/>
      </c>
      <c r="G3415">
        <f>BASE_EQUIPOS!M3415</f>
        <v/>
      </c>
      <c r="I3415" t="inlineStr">
        <is>
          <t>29/152347</t>
        </is>
      </c>
    </row>
    <row r="3416">
      <c r="A3416">
        <f>TRIM(BASE_EQUIPOS!N3416)</f>
        <v/>
      </c>
      <c r="B3416">
        <f>BASE_EQUIPOS!A3416</f>
        <v/>
      </c>
      <c r="C3416">
        <f>BASE_EQUIPOS!B3416</f>
        <v/>
      </c>
      <c r="D3416">
        <f>BASE_EQUIPOS!D3416</f>
        <v/>
      </c>
      <c r="E3416">
        <f>BASE_EQUIPOS!G3416</f>
        <v/>
      </c>
      <c r="F3416">
        <f>BASE_EQUIPOS!H3416</f>
        <v/>
      </c>
      <c r="G3416">
        <f>BASE_EQUIPOS!M3416</f>
        <v/>
      </c>
      <c r="I3416" t="inlineStr">
        <is>
          <t>31/190282</t>
        </is>
      </c>
    </row>
    <row r="3417">
      <c r="A3417">
        <f>TRIM(BASE_EQUIPOS!N3417)</f>
        <v/>
      </c>
      <c r="B3417">
        <f>BASE_EQUIPOS!A3417</f>
        <v/>
      </c>
      <c r="C3417">
        <f>BASE_EQUIPOS!B3417</f>
        <v/>
      </c>
      <c r="D3417">
        <f>BASE_EQUIPOS!D3417</f>
        <v/>
      </c>
      <c r="E3417">
        <f>BASE_EQUIPOS!G3417</f>
        <v/>
      </c>
      <c r="F3417">
        <f>BASE_EQUIPOS!H3417</f>
        <v/>
      </c>
      <c r="G3417">
        <f>BASE_EQUIPOS!M3417</f>
        <v/>
      </c>
      <c r="I3417" t="inlineStr">
        <is>
          <t>32/178979</t>
        </is>
      </c>
    </row>
    <row r="3418">
      <c r="A3418">
        <f>TRIM(BASE_EQUIPOS!N3418)</f>
        <v/>
      </c>
      <c r="B3418">
        <f>BASE_EQUIPOS!A3418</f>
        <v/>
      </c>
      <c r="C3418">
        <f>BASE_EQUIPOS!B3418</f>
        <v/>
      </c>
      <c r="D3418">
        <f>BASE_EQUIPOS!D3418</f>
        <v/>
      </c>
      <c r="E3418">
        <f>BASE_EQUIPOS!G3418</f>
        <v/>
      </c>
      <c r="F3418">
        <f>BASE_EQUIPOS!H3418</f>
        <v/>
      </c>
      <c r="G3418">
        <f>BASE_EQUIPOS!M3418</f>
        <v/>
      </c>
      <c r="I3418" t="inlineStr">
        <is>
          <t>33/148873</t>
        </is>
      </c>
    </row>
    <row r="3419">
      <c r="A3419">
        <f>TRIM(BASE_EQUIPOS!N3419)</f>
        <v/>
      </c>
      <c r="B3419">
        <f>BASE_EQUIPOS!A3419</f>
        <v/>
      </c>
      <c r="C3419">
        <f>BASE_EQUIPOS!B3419</f>
        <v/>
      </c>
      <c r="D3419">
        <f>BASE_EQUIPOS!D3419</f>
        <v/>
      </c>
      <c r="E3419">
        <f>BASE_EQUIPOS!G3419</f>
        <v/>
      </c>
      <c r="F3419">
        <f>BASE_EQUIPOS!H3419</f>
        <v/>
      </c>
      <c r="G3419">
        <f>BASE_EQUIPOS!M3419</f>
        <v/>
      </c>
      <c r="I3419" t="inlineStr">
        <is>
          <t>34/190876</t>
        </is>
      </c>
    </row>
    <row r="3420">
      <c r="A3420">
        <f>TRIM(BASE_EQUIPOS!N3420)</f>
        <v/>
      </c>
      <c r="B3420">
        <f>BASE_EQUIPOS!A3420</f>
        <v/>
      </c>
      <c r="C3420">
        <f>BASE_EQUIPOS!B3420</f>
        <v/>
      </c>
      <c r="D3420">
        <f>BASE_EQUIPOS!D3420</f>
        <v/>
      </c>
      <c r="E3420">
        <f>BASE_EQUIPOS!G3420</f>
        <v/>
      </c>
      <c r="F3420">
        <f>BASE_EQUIPOS!H3420</f>
        <v/>
      </c>
      <c r="G3420">
        <f>BASE_EQUIPOS!M3420</f>
        <v/>
      </c>
      <c r="I3420" t="inlineStr">
        <is>
          <t>35/152476</t>
        </is>
      </c>
    </row>
    <row r="3421">
      <c r="A3421">
        <f>TRIM(BASE_EQUIPOS!N3421)</f>
        <v/>
      </c>
      <c r="B3421">
        <f>BASE_EQUIPOS!A3421</f>
        <v/>
      </c>
      <c r="C3421">
        <f>BASE_EQUIPOS!B3421</f>
        <v/>
      </c>
      <c r="D3421">
        <f>BASE_EQUIPOS!D3421</f>
        <v/>
      </c>
      <c r="E3421">
        <f>BASE_EQUIPOS!G3421</f>
        <v/>
      </c>
      <c r="F3421">
        <f>BASE_EQUIPOS!H3421</f>
        <v/>
      </c>
      <c r="G3421">
        <f>BASE_EQUIPOS!M3421</f>
        <v/>
      </c>
      <c r="I3421" t="inlineStr">
        <is>
          <t>36/141949</t>
        </is>
      </c>
    </row>
    <row r="3422">
      <c r="A3422">
        <f>TRIM(BASE_EQUIPOS!N3422)</f>
        <v/>
      </c>
      <c r="B3422">
        <f>BASE_EQUIPOS!A3422</f>
        <v/>
      </c>
      <c r="C3422">
        <f>BASE_EQUIPOS!B3422</f>
        <v/>
      </c>
      <c r="D3422">
        <f>BASE_EQUIPOS!D3422</f>
        <v/>
      </c>
      <c r="E3422">
        <f>BASE_EQUIPOS!G3422</f>
        <v/>
      </c>
      <c r="F3422">
        <f>BASE_EQUIPOS!H3422</f>
        <v/>
      </c>
      <c r="G3422">
        <f>BASE_EQUIPOS!M3422</f>
        <v/>
      </c>
      <c r="I3422" t="inlineStr">
        <is>
          <t>37/190968</t>
        </is>
      </c>
    </row>
    <row r="3423">
      <c r="A3423">
        <f>TRIM(BASE_EQUIPOS!N3423)</f>
        <v/>
      </c>
      <c r="B3423">
        <f>BASE_EQUIPOS!A3423</f>
        <v/>
      </c>
      <c r="C3423">
        <f>BASE_EQUIPOS!B3423</f>
        <v/>
      </c>
      <c r="D3423">
        <f>BASE_EQUIPOS!D3423</f>
        <v/>
      </c>
      <c r="E3423">
        <f>BASE_EQUIPOS!G3423</f>
        <v/>
      </c>
      <c r="F3423">
        <f>BASE_EQUIPOS!H3423</f>
        <v/>
      </c>
      <c r="G3423">
        <f>BASE_EQUIPOS!M3423</f>
        <v/>
      </c>
      <c r="I3423" t="inlineStr">
        <is>
          <t>38/190636</t>
        </is>
      </c>
    </row>
    <row r="3424">
      <c r="A3424">
        <f>TRIM(BASE_EQUIPOS!N3424)</f>
        <v/>
      </c>
      <c r="B3424">
        <f>BASE_EQUIPOS!A3424</f>
        <v/>
      </c>
      <c r="C3424">
        <f>BASE_EQUIPOS!B3424</f>
        <v/>
      </c>
      <c r="D3424">
        <f>BASE_EQUIPOS!D3424</f>
        <v/>
      </c>
      <c r="E3424">
        <f>BASE_EQUIPOS!G3424</f>
        <v/>
      </c>
      <c r="F3424">
        <f>BASE_EQUIPOS!H3424</f>
        <v/>
      </c>
      <c r="G3424">
        <f>BASE_EQUIPOS!M3424</f>
        <v/>
      </c>
      <c r="I3424" t="inlineStr">
        <is>
          <t>39/190864</t>
        </is>
      </c>
    </row>
    <row r="3425">
      <c r="A3425">
        <f>TRIM(BASE_EQUIPOS!N3425)</f>
        <v/>
      </c>
      <c r="B3425">
        <f>BASE_EQUIPOS!A3425</f>
        <v/>
      </c>
      <c r="C3425">
        <f>BASE_EQUIPOS!B3425</f>
        <v/>
      </c>
      <c r="D3425">
        <f>BASE_EQUIPOS!D3425</f>
        <v/>
      </c>
      <c r="E3425">
        <f>BASE_EQUIPOS!G3425</f>
        <v/>
      </c>
      <c r="F3425">
        <f>BASE_EQUIPOS!H3425</f>
        <v/>
      </c>
      <c r="G3425">
        <f>BASE_EQUIPOS!M3425</f>
        <v/>
      </c>
      <c r="I3425" t="inlineStr">
        <is>
          <t>40/152480</t>
        </is>
      </c>
    </row>
    <row r="3426">
      <c r="A3426">
        <f>TRIM(BASE_EQUIPOS!N3426)</f>
        <v/>
      </c>
      <c r="B3426">
        <f>BASE_EQUIPOS!A3426</f>
        <v/>
      </c>
      <c r="C3426">
        <f>BASE_EQUIPOS!B3426</f>
        <v/>
      </c>
      <c r="D3426">
        <f>BASE_EQUIPOS!D3426</f>
        <v/>
      </c>
      <c r="E3426">
        <f>BASE_EQUIPOS!G3426</f>
        <v/>
      </c>
      <c r="F3426">
        <f>BASE_EQUIPOS!H3426</f>
        <v/>
      </c>
      <c r="G3426">
        <f>BASE_EQUIPOS!M3426</f>
        <v/>
      </c>
      <c r="I3426" t="inlineStr">
        <is>
          <t>41/181273</t>
        </is>
      </c>
    </row>
    <row r="3427">
      <c r="A3427">
        <f>TRIM(BASE_EQUIPOS!N3427)</f>
        <v/>
      </c>
      <c r="B3427">
        <f>BASE_EQUIPOS!A3427</f>
        <v/>
      </c>
      <c r="C3427">
        <f>BASE_EQUIPOS!B3427</f>
        <v/>
      </c>
      <c r="D3427">
        <f>BASE_EQUIPOS!D3427</f>
        <v/>
      </c>
      <c r="E3427">
        <f>BASE_EQUIPOS!G3427</f>
        <v/>
      </c>
      <c r="F3427">
        <f>BASE_EQUIPOS!H3427</f>
        <v/>
      </c>
      <c r="G3427">
        <f>BASE_EQUIPOS!M3427</f>
        <v/>
      </c>
      <c r="I3427" t="inlineStr">
        <is>
          <t>42/190906</t>
        </is>
      </c>
    </row>
    <row r="3428">
      <c r="A3428">
        <f>TRIM(BASE_EQUIPOS!N3428)</f>
        <v/>
      </c>
      <c r="B3428">
        <f>BASE_EQUIPOS!A3428</f>
        <v/>
      </c>
      <c r="C3428">
        <f>BASE_EQUIPOS!B3428</f>
        <v/>
      </c>
      <c r="D3428">
        <f>BASE_EQUIPOS!D3428</f>
        <v/>
      </c>
      <c r="E3428">
        <f>BASE_EQUIPOS!G3428</f>
        <v/>
      </c>
      <c r="F3428">
        <f>BASE_EQUIPOS!H3428</f>
        <v/>
      </c>
      <c r="G3428">
        <f>BASE_EQUIPOS!M3428</f>
        <v/>
      </c>
      <c r="I3428" t="inlineStr">
        <is>
          <t>43/190701</t>
        </is>
      </c>
    </row>
    <row r="3429">
      <c r="A3429">
        <f>TRIM(BASE_EQUIPOS!N3429)</f>
        <v/>
      </c>
      <c r="B3429">
        <f>BASE_EQUIPOS!A3429</f>
        <v/>
      </c>
      <c r="C3429">
        <f>BASE_EQUIPOS!B3429</f>
        <v/>
      </c>
      <c r="D3429">
        <f>BASE_EQUIPOS!D3429</f>
        <v/>
      </c>
      <c r="E3429">
        <f>BASE_EQUIPOS!G3429</f>
        <v/>
      </c>
      <c r="F3429">
        <f>BASE_EQUIPOS!H3429</f>
        <v/>
      </c>
      <c r="G3429">
        <f>BASE_EQUIPOS!M3429</f>
        <v/>
      </c>
      <c r="I3429" t="inlineStr">
        <is>
          <t>44/190857</t>
        </is>
      </c>
    </row>
    <row r="3430">
      <c r="A3430">
        <f>TRIM(BASE_EQUIPOS!N3430)</f>
        <v/>
      </c>
      <c r="B3430">
        <f>BASE_EQUIPOS!A3430</f>
        <v/>
      </c>
      <c r="C3430">
        <f>BASE_EQUIPOS!B3430</f>
        <v/>
      </c>
      <c r="D3430">
        <f>BASE_EQUIPOS!D3430</f>
        <v/>
      </c>
      <c r="E3430">
        <f>BASE_EQUIPOS!G3430</f>
        <v/>
      </c>
      <c r="F3430">
        <f>BASE_EQUIPOS!H3430</f>
        <v/>
      </c>
      <c r="G3430">
        <f>BASE_EQUIPOS!M3430</f>
        <v/>
      </c>
      <c r="I3430" t="inlineStr">
        <is>
          <t>45/190970</t>
        </is>
      </c>
    </row>
    <row r="3431">
      <c r="A3431">
        <f>TRIM(BASE_EQUIPOS!N3431)</f>
        <v/>
      </c>
      <c r="B3431">
        <f>BASE_EQUIPOS!A3431</f>
        <v/>
      </c>
      <c r="C3431">
        <f>BASE_EQUIPOS!B3431</f>
        <v/>
      </c>
      <c r="D3431">
        <f>BASE_EQUIPOS!D3431</f>
        <v/>
      </c>
      <c r="E3431">
        <f>BASE_EQUIPOS!G3431</f>
        <v/>
      </c>
      <c r="F3431">
        <f>BASE_EQUIPOS!H3431</f>
        <v/>
      </c>
      <c r="G3431">
        <f>BASE_EQUIPOS!M3431</f>
        <v/>
      </c>
      <c r="I3431" t="inlineStr">
        <is>
          <t>46/145973</t>
        </is>
      </c>
    </row>
    <row r="3432">
      <c r="A3432">
        <f>TRIM(BASE_EQUIPOS!N3432)</f>
        <v/>
      </c>
      <c r="B3432">
        <f>BASE_EQUIPOS!A3432</f>
        <v/>
      </c>
      <c r="C3432">
        <f>BASE_EQUIPOS!B3432</f>
        <v/>
      </c>
      <c r="D3432">
        <f>BASE_EQUIPOS!D3432</f>
        <v/>
      </c>
      <c r="E3432">
        <f>BASE_EQUIPOS!G3432</f>
        <v/>
      </c>
      <c r="F3432">
        <f>BASE_EQUIPOS!H3432</f>
        <v/>
      </c>
      <c r="G3432">
        <f>BASE_EQUIPOS!M3432</f>
        <v/>
      </c>
      <c r="I3432" t="inlineStr">
        <is>
          <t>47/191186</t>
        </is>
      </c>
    </row>
    <row r="3433">
      <c r="A3433">
        <f>TRIM(BASE_EQUIPOS!N3433)</f>
        <v/>
      </c>
      <c r="B3433">
        <f>BASE_EQUIPOS!A3433</f>
        <v/>
      </c>
      <c r="C3433">
        <f>BASE_EQUIPOS!B3433</f>
        <v/>
      </c>
      <c r="D3433">
        <f>BASE_EQUIPOS!D3433</f>
        <v/>
      </c>
      <c r="E3433">
        <f>BASE_EQUIPOS!G3433</f>
        <v/>
      </c>
      <c r="F3433">
        <f>BASE_EQUIPOS!H3433</f>
        <v/>
      </c>
      <c r="G3433">
        <f>BASE_EQUIPOS!M3433</f>
        <v/>
      </c>
      <c r="I3433" t="inlineStr">
        <is>
          <t>48/178773</t>
        </is>
      </c>
    </row>
    <row r="3434">
      <c r="A3434">
        <f>TRIM(BASE_EQUIPOS!N3434)</f>
        <v/>
      </c>
      <c r="B3434">
        <f>BASE_EQUIPOS!A3434</f>
        <v/>
      </c>
      <c r="C3434">
        <f>BASE_EQUIPOS!B3434</f>
        <v/>
      </c>
      <c r="D3434">
        <f>BASE_EQUIPOS!D3434</f>
        <v/>
      </c>
      <c r="E3434">
        <f>BASE_EQUIPOS!G3434</f>
        <v/>
      </c>
      <c r="F3434">
        <f>BASE_EQUIPOS!H3434</f>
        <v/>
      </c>
      <c r="G3434">
        <f>BASE_EQUIPOS!M3434</f>
        <v/>
      </c>
      <c r="I3434" t="inlineStr">
        <is>
          <t>49/148795</t>
        </is>
      </c>
    </row>
    <row r="3435">
      <c r="A3435">
        <f>TRIM(BASE_EQUIPOS!N3435)</f>
        <v/>
      </c>
      <c r="B3435">
        <f>BASE_EQUIPOS!A3435</f>
        <v/>
      </c>
      <c r="C3435">
        <f>BASE_EQUIPOS!B3435</f>
        <v/>
      </c>
      <c r="D3435">
        <f>BASE_EQUIPOS!D3435</f>
        <v/>
      </c>
      <c r="E3435">
        <f>BASE_EQUIPOS!G3435</f>
        <v/>
      </c>
      <c r="F3435">
        <f>BASE_EQUIPOS!H3435</f>
        <v/>
      </c>
      <c r="G3435">
        <f>BASE_EQUIPOS!M3435</f>
        <v/>
      </c>
      <c r="I3435" t="inlineStr">
        <is>
          <t>51/191197</t>
        </is>
      </c>
    </row>
    <row r="3436">
      <c r="A3436">
        <f>TRIM(BASE_EQUIPOS!N3436)</f>
        <v/>
      </c>
      <c r="B3436">
        <f>BASE_EQUIPOS!A3436</f>
        <v/>
      </c>
      <c r="C3436">
        <f>BASE_EQUIPOS!B3436</f>
        <v/>
      </c>
      <c r="D3436">
        <f>BASE_EQUIPOS!D3436</f>
        <v/>
      </c>
      <c r="E3436">
        <f>BASE_EQUIPOS!G3436</f>
        <v/>
      </c>
      <c r="F3436">
        <f>BASE_EQUIPOS!H3436</f>
        <v/>
      </c>
      <c r="G3436">
        <f>BASE_EQUIPOS!M3436</f>
        <v/>
      </c>
      <c r="I3436" t="inlineStr">
        <is>
          <t>52/181297</t>
        </is>
      </c>
    </row>
    <row r="3437">
      <c r="A3437">
        <f>TRIM(BASE_EQUIPOS!N3437)</f>
        <v/>
      </c>
      <c r="B3437">
        <f>BASE_EQUIPOS!A3437</f>
        <v/>
      </c>
      <c r="C3437">
        <f>BASE_EQUIPOS!B3437</f>
        <v/>
      </c>
      <c r="D3437">
        <f>BASE_EQUIPOS!D3437</f>
        <v/>
      </c>
      <c r="E3437">
        <f>BASE_EQUIPOS!G3437</f>
        <v/>
      </c>
      <c r="F3437">
        <f>BASE_EQUIPOS!H3437</f>
        <v/>
      </c>
      <c r="G3437">
        <f>BASE_EQUIPOS!M3437</f>
        <v/>
      </c>
      <c r="I3437" t="inlineStr">
        <is>
          <t>53/218324</t>
        </is>
      </c>
    </row>
    <row r="3438">
      <c r="A3438">
        <f>TRIM(BASE_EQUIPOS!N3438)</f>
        <v/>
      </c>
      <c r="B3438">
        <f>BASE_EQUIPOS!A3438</f>
        <v/>
      </c>
      <c r="C3438">
        <f>BASE_EQUIPOS!B3438</f>
        <v/>
      </c>
      <c r="D3438">
        <f>BASE_EQUIPOS!D3438</f>
        <v/>
      </c>
      <c r="E3438">
        <f>BASE_EQUIPOS!G3438</f>
        <v/>
      </c>
      <c r="F3438">
        <f>BASE_EQUIPOS!H3438</f>
        <v/>
      </c>
      <c r="G3438">
        <f>BASE_EQUIPOS!M3438</f>
        <v/>
      </c>
      <c r="I3438" t="inlineStr">
        <is>
          <t>54/178842</t>
        </is>
      </c>
    </row>
    <row r="3439">
      <c r="A3439">
        <f>TRIM(BASE_EQUIPOS!N3439)</f>
        <v/>
      </c>
      <c r="B3439">
        <f>BASE_EQUIPOS!A3439</f>
        <v/>
      </c>
      <c r="C3439">
        <f>BASE_EQUIPOS!B3439</f>
        <v/>
      </c>
      <c r="D3439">
        <f>BASE_EQUIPOS!D3439</f>
        <v/>
      </c>
      <c r="E3439">
        <f>BASE_EQUIPOS!G3439</f>
        <v/>
      </c>
      <c r="F3439">
        <f>BASE_EQUIPOS!H3439</f>
        <v/>
      </c>
      <c r="G3439">
        <f>BASE_EQUIPOS!M3439</f>
        <v/>
      </c>
      <c r="I3439" t="inlineStr">
        <is>
          <t>55/152478</t>
        </is>
      </c>
    </row>
    <row r="3440">
      <c r="A3440">
        <f>TRIM(BASE_EQUIPOS!N3440)</f>
        <v/>
      </c>
      <c r="B3440">
        <f>BASE_EQUIPOS!A3440</f>
        <v/>
      </c>
      <c r="C3440">
        <f>BASE_EQUIPOS!B3440</f>
        <v/>
      </c>
      <c r="D3440">
        <f>BASE_EQUIPOS!D3440</f>
        <v/>
      </c>
      <c r="E3440">
        <f>BASE_EQUIPOS!G3440</f>
        <v/>
      </c>
      <c r="F3440">
        <f>BASE_EQUIPOS!H3440</f>
        <v/>
      </c>
      <c r="G3440">
        <f>BASE_EQUIPOS!M3440</f>
        <v/>
      </c>
      <c r="I3440" t="inlineStr">
        <is>
          <t>56/191303</t>
        </is>
      </c>
    </row>
    <row r="3441">
      <c r="A3441">
        <f>TRIM(BASE_EQUIPOS!N3441)</f>
        <v/>
      </c>
      <c r="B3441">
        <f>BASE_EQUIPOS!A3441</f>
        <v/>
      </c>
      <c r="C3441">
        <f>BASE_EQUIPOS!B3441</f>
        <v/>
      </c>
      <c r="D3441">
        <f>BASE_EQUIPOS!D3441</f>
        <v/>
      </c>
      <c r="E3441">
        <f>BASE_EQUIPOS!G3441</f>
        <v/>
      </c>
      <c r="F3441">
        <f>BASE_EQUIPOS!H3441</f>
        <v/>
      </c>
      <c r="G3441">
        <f>BASE_EQUIPOS!M3441</f>
        <v/>
      </c>
      <c r="I3441" t="inlineStr">
        <is>
          <t>57/191226</t>
        </is>
      </c>
    </row>
    <row r="3442">
      <c r="A3442">
        <f>TRIM(BASE_EQUIPOS!N3442)</f>
        <v/>
      </c>
      <c r="B3442">
        <f>BASE_EQUIPOS!A3442</f>
        <v/>
      </c>
      <c r="C3442">
        <f>BASE_EQUIPOS!B3442</f>
        <v/>
      </c>
      <c r="D3442">
        <f>BASE_EQUIPOS!D3442</f>
        <v/>
      </c>
      <c r="E3442">
        <f>BASE_EQUIPOS!G3442</f>
        <v/>
      </c>
      <c r="F3442">
        <f>BASE_EQUIPOS!H3442</f>
        <v/>
      </c>
      <c r="G3442">
        <f>BASE_EQUIPOS!M3442</f>
        <v/>
      </c>
      <c r="I3442" t="inlineStr">
        <is>
          <t>58/152407</t>
        </is>
      </c>
    </row>
    <row r="3443">
      <c r="A3443">
        <f>TRIM(BASE_EQUIPOS!N3443)</f>
        <v/>
      </c>
      <c r="B3443">
        <f>BASE_EQUIPOS!A3443</f>
        <v/>
      </c>
      <c r="C3443">
        <f>BASE_EQUIPOS!B3443</f>
        <v/>
      </c>
      <c r="D3443">
        <f>BASE_EQUIPOS!D3443</f>
        <v/>
      </c>
      <c r="E3443">
        <f>BASE_EQUIPOS!G3443</f>
        <v/>
      </c>
      <c r="F3443">
        <f>BASE_EQUIPOS!H3443</f>
        <v/>
      </c>
      <c r="G3443">
        <f>BASE_EQUIPOS!M3443</f>
        <v/>
      </c>
      <c r="I3443" t="inlineStr">
        <is>
          <t>59/178685</t>
        </is>
      </c>
    </row>
    <row r="3444">
      <c r="A3444">
        <f>TRIM(BASE_EQUIPOS!N3444)</f>
        <v/>
      </c>
      <c r="B3444">
        <f>BASE_EQUIPOS!A3444</f>
        <v/>
      </c>
      <c r="C3444">
        <f>BASE_EQUIPOS!B3444</f>
        <v/>
      </c>
      <c r="D3444">
        <f>BASE_EQUIPOS!D3444</f>
        <v/>
      </c>
      <c r="E3444">
        <f>BASE_EQUIPOS!G3444</f>
        <v/>
      </c>
      <c r="F3444">
        <f>BASE_EQUIPOS!H3444</f>
        <v/>
      </c>
      <c r="G3444">
        <f>BASE_EQUIPOS!M3444</f>
        <v/>
      </c>
      <c r="I3444" t="inlineStr">
        <is>
          <t>60/190964</t>
        </is>
      </c>
    </row>
    <row r="3445">
      <c r="A3445">
        <f>TRIM(BASE_EQUIPOS!N3445)</f>
        <v/>
      </c>
      <c r="B3445">
        <f>BASE_EQUIPOS!A3445</f>
        <v/>
      </c>
      <c r="C3445">
        <f>BASE_EQUIPOS!B3445</f>
        <v/>
      </c>
      <c r="D3445">
        <f>BASE_EQUIPOS!D3445</f>
        <v/>
      </c>
      <c r="E3445">
        <f>BASE_EQUIPOS!G3445</f>
        <v/>
      </c>
      <c r="F3445">
        <f>BASE_EQUIPOS!H3445</f>
        <v/>
      </c>
      <c r="G3445">
        <f>BASE_EQUIPOS!M3445</f>
        <v/>
      </c>
      <c r="I3445" t="inlineStr">
        <is>
          <t>61/181377</t>
        </is>
      </c>
    </row>
    <row r="3446">
      <c r="A3446">
        <f>TRIM(BASE_EQUIPOS!N3446)</f>
        <v/>
      </c>
      <c r="B3446">
        <f>BASE_EQUIPOS!A3446</f>
        <v/>
      </c>
      <c r="C3446">
        <f>BASE_EQUIPOS!B3446</f>
        <v/>
      </c>
      <c r="D3446">
        <f>BASE_EQUIPOS!D3446</f>
        <v/>
      </c>
      <c r="E3446">
        <f>BASE_EQUIPOS!G3446</f>
        <v/>
      </c>
      <c r="F3446">
        <f>BASE_EQUIPOS!H3446</f>
        <v/>
      </c>
      <c r="G3446">
        <f>BASE_EQUIPOS!M3446</f>
        <v/>
      </c>
      <c r="I3446" t="inlineStr">
        <is>
          <t>62/178979</t>
        </is>
      </c>
    </row>
    <row r="3447">
      <c r="A3447">
        <f>TRIM(BASE_EQUIPOS!N3447)</f>
        <v/>
      </c>
      <c r="B3447">
        <f>BASE_EQUIPOS!A3447</f>
        <v/>
      </c>
      <c r="C3447">
        <f>BASE_EQUIPOS!B3447</f>
        <v/>
      </c>
      <c r="D3447">
        <f>BASE_EQUIPOS!D3447</f>
        <v/>
      </c>
      <c r="E3447">
        <f>BASE_EQUIPOS!G3447</f>
        <v/>
      </c>
      <c r="F3447">
        <f>BASE_EQUIPOS!H3447</f>
        <v/>
      </c>
      <c r="G3447">
        <f>BASE_EQUIPOS!M3447</f>
        <v/>
      </c>
      <c r="I3447" t="inlineStr">
        <is>
          <t>63/181395</t>
        </is>
      </c>
    </row>
    <row r="3448">
      <c r="A3448">
        <f>TRIM(BASE_EQUIPOS!N3448)</f>
        <v/>
      </c>
      <c r="B3448">
        <f>BASE_EQUIPOS!A3448</f>
        <v/>
      </c>
      <c r="C3448">
        <f>BASE_EQUIPOS!B3448</f>
        <v/>
      </c>
      <c r="D3448">
        <f>BASE_EQUIPOS!D3448</f>
        <v/>
      </c>
      <c r="E3448">
        <f>BASE_EQUIPOS!G3448</f>
        <v/>
      </c>
      <c r="F3448">
        <f>BASE_EQUIPOS!H3448</f>
        <v/>
      </c>
      <c r="G3448">
        <f>BASE_EQUIPOS!M3448</f>
        <v/>
      </c>
      <c r="I3448" t="inlineStr">
        <is>
          <t>64/192256</t>
        </is>
      </c>
    </row>
    <row r="3449">
      <c r="A3449">
        <f>TRIM(BASE_EQUIPOS!N3449)</f>
        <v/>
      </c>
      <c r="B3449">
        <f>BASE_EQUIPOS!A3449</f>
        <v/>
      </c>
      <c r="C3449">
        <f>BASE_EQUIPOS!B3449</f>
        <v/>
      </c>
      <c r="D3449">
        <f>BASE_EQUIPOS!D3449</f>
        <v/>
      </c>
      <c r="E3449">
        <f>BASE_EQUIPOS!G3449</f>
        <v/>
      </c>
      <c r="F3449">
        <f>BASE_EQUIPOS!H3449</f>
        <v/>
      </c>
      <c r="G3449">
        <f>BASE_EQUIPOS!M3449</f>
        <v/>
      </c>
      <c r="I3449" t="inlineStr">
        <is>
          <t>65/152481</t>
        </is>
      </c>
    </row>
    <row r="3450">
      <c r="A3450">
        <f>TRIM(BASE_EQUIPOS!N3450)</f>
        <v/>
      </c>
      <c r="B3450">
        <f>BASE_EQUIPOS!A3450</f>
        <v/>
      </c>
      <c r="C3450">
        <f>BASE_EQUIPOS!B3450</f>
        <v/>
      </c>
      <c r="D3450">
        <f>BASE_EQUIPOS!D3450</f>
        <v/>
      </c>
      <c r="E3450">
        <f>BASE_EQUIPOS!G3450</f>
        <v/>
      </c>
      <c r="F3450">
        <f>BASE_EQUIPOS!H3450</f>
        <v/>
      </c>
      <c r="G3450">
        <f>BASE_EQUIPOS!M3450</f>
        <v/>
      </c>
      <c r="I3450" t="inlineStr">
        <is>
          <t>66/181410</t>
        </is>
      </c>
    </row>
    <row r="3451">
      <c r="A3451">
        <f>TRIM(BASE_EQUIPOS!N3451)</f>
        <v/>
      </c>
      <c r="B3451">
        <f>BASE_EQUIPOS!A3451</f>
        <v/>
      </c>
      <c r="C3451">
        <f>BASE_EQUIPOS!B3451</f>
        <v/>
      </c>
      <c r="D3451">
        <f>BASE_EQUIPOS!D3451</f>
        <v/>
      </c>
      <c r="E3451">
        <f>BASE_EQUIPOS!G3451</f>
        <v/>
      </c>
      <c r="F3451">
        <f>BASE_EQUIPOS!H3451</f>
        <v/>
      </c>
      <c r="G3451">
        <f>BASE_EQUIPOS!M3451</f>
        <v/>
      </c>
      <c r="I3451" t="inlineStr">
        <is>
          <t>67/141182</t>
        </is>
      </c>
    </row>
    <row r="3452">
      <c r="A3452">
        <f>TRIM(BASE_EQUIPOS!N3452)</f>
        <v/>
      </c>
      <c r="B3452">
        <f>BASE_EQUIPOS!A3452</f>
        <v/>
      </c>
      <c r="C3452">
        <f>BASE_EQUIPOS!B3452</f>
        <v/>
      </c>
      <c r="D3452">
        <f>BASE_EQUIPOS!D3452</f>
        <v/>
      </c>
      <c r="E3452">
        <f>BASE_EQUIPOS!G3452</f>
        <v/>
      </c>
      <c r="F3452">
        <f>BASE_EQUIPOS!H3452</f>
        <v/>
      </c>
      <c r="G3452">
        <f>BASE_EQUIPOS!M3452</f>
        <v/>
      </c>
      <c r="I3452" t="inlineStr">
        <is>
          <t>68/190918</t>
        </is>
      </c>
    </row>
    <row r="3453">
      <c r="A3453">
        <f>TRIM(BASE_EQUIPOS!N3453)</f>
        <v/>
      </c>
      <c r="B3453">
        <f>BASE_EQUIPOS!A3453</f>
        <v/>
      </c>
      <c r="C3453">
        <f>BASE_EQUIPOS!B3453</f>
        <v/>
      </c>
      <c r="D3453">
        <f>BASE_EQUIPOS!D3453</f>
        <v/>
      </c>
      <c r="E3453">
        <f>BASE_EQUIPOS!G3453</f>
        <v/>
      </c>
      <c r="F3453">
        <f>BASE_EQUIPOS!H3453</f>
        <v/>
      </c>
      <c r="G3453">
        <f>BASE_EQUIPOS!M3453</f>
        <v/>
      </c>
      <c r="I3453" t="inlineStr">
        <is>
          <t>69/190897</t>
        </is>
      </c>
    </row>
    <row r="3454">
      <c r="A3454">
        <f>TRIM(BASE_EQUIPOS!N3454)</f>
        <v/>
      </c>
      <c r="B3454">
        <f>BASE_EQUIPOS!A3454</f>
        <v/>
      </c>
      <c r="C3454">
        <f>BASE_EQUIPOS!B3454</f>
        <v/>
      </c>
      <c r="D3454">
        <f>BASE_EQUIPOS!D3454</f>
        <v/>
      </c>
      <c r="E3454">
        <f>BASE_EQUIPOS!G3454</f>
        <v/>
      </c>
      <c r="F3454">
        <f>BASE_EQUIPOS!H3454</f>
        <v/>
      </c>
      <c r="G3454">
        <f>BASE_EQUIPOS!M3454</f>
        <v/>
      </c>
      <c r="I3454" t="inlineStr">
        <is>
          <t>70/146042</t>
        </is>
      </c>
    </row>
    <row r="3455">
      <c r="A3455">
        <f>TRIM(BASE_EQUIPOS!N3455)</f>
        <v/>
      </c>
      <c r="B3455">
        <f>BASE_EQUIPOS!A3455</f>
        <v/>
      </c>
      <c r="C3455">
        <f>BASE_EQUIPOS!B3455</f>
        <v/>
      </c>
      <c r="D3455">
        <f>BASE_EQUIPOS!D3455</f>
        <v/>
      </c>
      <c r="E3455">
        <f>BASE_EQUIPOS!G3455</f>
        <v/>
      </c>
      <c r="F3455">
        <f>BASE_EQUIPOS!H3455</f>
        <v/>
      </c>
      <c r="G3455">
        <f>BASE_EQUIPOS!M3455</f>
        <v/>
      </c>
      <c r="I3455" t="inlineStr">
        <is>
          <t>71/190971</t>
        </is>
      </c>
    </row>
    <row r="3456">
      <c r="A3456">
        <f>TRIM(BASE_EQUIPOS!N3456)</f>
        <v/>
      </c>
      <c r="B3456">
        <f>BASE_EQUIPOS!A3456</f>
        <v/>
      </c>
      <c r="C3456">
        <f>BASE_EQUIPOS!B3456</f>
        <v/>
      </c>
      <c r="D3456">
        <f>BASE_EQUIPOS!D3456</f>
        <v/>
      </c>
      <c r="E3456">
        <f>BASE_EQUIPOS!G3456</f>
        <v/>
      </c>
      <c r="F3456">
        <f>BASE_EQUIPOS!H3456</f>
        <v/>
      </c>
      <c r="G3456">
        <f>BASE_EQUIPOS!M3456</f>
        <v/>
      </c>
      <c r="I3456" t="inlineStr">
        <is>
          <t>72/152333</t>
        </is>
      </c>
    </row>
    <row r="3457">
      <c r="A3457">
        <f>TRIM(BASE_EQUIPOS!N3457)</f>
        <v/>
      </c>
      <c r="B3457">
        <f>BASE_EQUIPOS!A3457</f>
        <v/>
      </c>
      <c r="C3457">
        <f>BASE_EQUIPOS!B3457</f>
        <v/>
      </c>
      <c r="D3457">
        <f>BASE_EQUIPOS!D3457</f>
        <v/>
      </c>
      <c r="E3457">
        <f>BASE_EQUIPOS!G3457</f>
        <v/>
      </c>
      <c r="F3457">
        <f>BASE_EQUIPOS!H3457</f>
        <v/>
      </c>
      <c r="G3457">
        <f>BASE_EQUIPOS!M3457</f>
        <v/>
      </c>
      <c r="I3457" t="inlineStr">
        <is>
          <t>73/178764</t>
        </is>
      </c>
    </row>
    <row r="3458">
      <c r="A3458">
        <f>TRIM(BASE_EQUIPOS!N3458)</f>
        <v/>
      </c>
      <c r="B3458">
        <f>BASE_EQUIPOS!A3458</f>
        <v/>
      </c>
      <c r="C3458">
        <f>BASE_EQUIPOS!B3458</f>
        <v/>
      </c>
      <c r="D3458">
        <f>BASE_EQUIPOS!D3458</f>
        <v/>
      </c>
      <c r="E3458">
        <f>BASE_EQUIPOS!G3458</f>
        <v/>
      </c>
      <c r="F3458">
        <f>BASE_EQUIPOS!H3458</f>
        <v/>
      </c>
      <c r="G3458">
        <f>BASE_EQUIPOS!M3458</f>
        <v/>
      </c>
      <c r="I3458" t="inlineStr">
        <is>
          <t>74/191251</t>
        </is>
      </c>
    </row>
    <row r="3459">
      <c r="A3459">
        <f>TRIM(BASE_EQUIPOS!N3459)</f>
        <v/>
      </c>
      <c r="B3459">
        <f>BASE_EQUIPOS!A3459</f>
        <v/>
      </c>
      <c r="C3459">
        <f>BASE_EQUIPOS!B3459</f>
        <v/>
      </c>
      <c r="D3459">
        <f>BASE_EQUIPOS!D3459</f>
        <v/>
      </c>
      <c r="E3459">
        <f>BASE_EQUIPOS!G3459</f>
        <v/>
      </c>
      <c r="F3459">
        <f>BASE_EQUIPOS!H3459</f>
        <v/>
      </c>
      <c r="G3459">
        <f>BASE_EQUIPOS!M3459</f>
        <v/>
      </c>
      <c r="I3459" t="inlineStr">
        <is>
          <t>75/152346</t>
        </is>
      </c>
    </row>
    <row r="3460">
      <c r="A3460">
        <f>TRIM(BASE_EQUIPOS!N3460)</f>
        <v/>
      </c>
      <c r="B3460">
        <f>BASE_EQUIPOS!A3460</f>
        <v/>
      </c>
      <c r="C3460">
        <f>BASE_EQUIPOS!B3460</f>
        <v/>
      </c>
      <c r="D3460">
        <f>BASE_EQUIPOS!D3460</f>
        <v/>
      </c>
      <c r="E3460">
        <f>BASE_EQUIPOS!G3460</f>
        <v/>
      </c>
      <c r="F3460">
        <f>BASE_EQUIPOS!H3460</f>
        <v/>
      </c>
      <c r="G3460">
        <f>BASE_EQUIPOS!M3460</f>
        <v/>
      </c>
      <c r="I3460" t="inlineStr">
        <is>
          <t>76/191221</t>
        </is>
      </c>
    </row>
    <row r="3461">
      <c r="A3461">
        <f>TRIM(BASE_EQUIPOS!N3461)</f>
        <v/>
      </c>
      <c r="B3461">
        <f>BASE_EQUIPOS!A3461</f>
        <v/>
      </c>
      <c r="C3461">
        <f>BASE_EQUIPOS!B3461</f>
        <v/>
      </c>
      <c r="D3461">
        <f>BASE_EQUIPOS!D3461</f>
        <v/>
      </c>
      <c r="E3461">
        <f>BASE_EQUIPOS!G3461</f>
        <v/>
      </c>
      <c r="F3461">
        <f>BASE_EQUIPOS!H3461</f>
        <v/>
      </c>
      <c r="G3461">
        <f>BASE_EQUIPOS!M3461</f>
        <v/>
      </c>
      <c r="I3461" t="inlineStr">
        <is>
          <t>77/178846</t>
        </is>
      </c>
    </row>
    <row r="3462">
      <c r="A3462">
        <f>TRIM(BASE_EQUIPOS!N3462)</f>
        <v/>
      </c>
      <c r="B3462">
        <f>BASE_EQUIPOS!A3462</f>
        <v/>
      </c>
      <c r="C3462">
        <f>BASE_EQUIPOS!B3462</f>
        <v/>
      </c>
      <c r="D3462">
        <f>BASE_EQUIPOS!D3462</f>
        <v/>
      </c>
      <c r="E3462">
        <f>BASE_EQUIPOS!G3462</f>
        <v/>
      </c>
      <c r="F3462">
        <f>BASE_EQUIPOS!H3462</f>
        <v/>
      </c>
      <c r="G3462">
        <f>BASE_EQUIPOS!M3462</f>
        <v/>
      </c>
      <c r="I3462" t="inlineStr">
        <is>
          <t>78/190703</t>
        </is>
      </c>
    </row>
    <row r="3463">
      <c r="A3463">
        <f>TRIM(BASE_EQUIPOS!N3463)</f>
        <v/>
      </c>
      <c r="B3463">
        <f>BASE_EQUIPOS!A3463</f>
        <v/>
      </c>
      <c r="C3463">
        <f>BASE_EQUIPOS!B3463</f>
        <v/>
      </c>
      <c r="D3463">
        <f>BASE_EQUIPOS!D3463</f>
        <v/>
      </c>
      <c r="E3463">
        <f>BASE_EQUIPOS!G3463</f>
        <v/>
      </c>
      <c r="F3463">
        <f>BASE_EQUIPOS!H3463</f>
        <v/>
      </c>
      <c r="G3463">
        <f>BASE_EQUIPOS!M3463</f>
        <v/>
      </c>
      <c r="I3463" t="inlineStr">
        <is>
          <t>79/152414</t>
        </is>
      </c>
    </row>
    <row r="3464">
      <c r="A3464">
        <f>TRIM(BASE_EQUIPOS!N3464)</f>
        <v/>
      </c>
      <c r="B3464">
        <f>BASE_EQUIPOS!A3464</f>
        <v/>
      </c>
      <c r="C3464">
        <f>BASE_EQUIPOS!B3464</f>
        <v/>
      </c>
      <c r="D3464">
        <f>BASE_EQUIPOS!D3464</f>
        <v/>
      </c>
      <c r="E3464">
        <f>BASE_EQUIPOS!G3464</f>
        <v/>
      </c>
      <c r="F3464">
        <f>BASE_EQUIPOS!H3464</f>
        <v/>
      </c>
      <c r="G3464">
        <f>BASE_EQUIPOS!M3464</f>
        <v/>
      </c>
      <c r="I3464" t="inlineStr">
        <is>
          <t>80/152514</t>
        </is>
      </c>
    </row>
    <row r="3465">
      <c r="A3465">
        <f>TRIM(BASE_EQUIPOS!N3465)</f>
        <v/>
      </c>
      <c r="B3465">
        <f>BASE_EQUIPOS!A3465</f>
        <v/>
      </c>
      <c r="C3465">
        <f>BASE_EQUIPOS!B3465</f>
        <v/>
      </c>
      <c r="D3465">
        <f>BASE_EQUIPOS!D3465</f>
        <v/>
      </c>
      <c r="E3465">
        <f>BASE_EQUIPOS!G3465</f>
        <v/>
      </c>
      <c r="F3465">
        <f>BASE_EQUIPOS!H3465</f>
        <v/>
      </c>
      <c r="G3465">
        <f>BASE_EQUIPOS!M3465</f>
        <v/>
      </c>
      <c r="I3465" t="inlineStr">
        <is>
          <t>81/181301</t>
        </is>
      </c>
    </row>
    <row r="3466">
      <c r="A3466">
        <f>TRIM(BASE_EQUIPOS!N3466)</f>
        <v/>
      </c>
      <c r="B3466">
        <f>BASE_EQUIPOS!A3466</f>
        <v/>
      </c>
      <c r="C3466">
        <f>BASE_EQUIPOS!B3466</f>
        <v/>
      </c>
      <c r="D3466">
        <f>BASE_EQUIPOS!D3466</f>
        <v/>
      </c>
      <c r="E3466">
        <f>BASE_EQUIPOS!G3466</f>
        <v/>
      </c>
      <c r="F3466">
        <f>BASE_EQUIPOS!H3466</f>
        <v/>
      </c>
      <c r="G3466">
        <f>BASE_EQUIPOS!M3466</f>
        <v/>
      </c>
      <c r="I3466" t="inlineStr">
        <is>
          <t>82/179234</t>
        </is>
      </c>
    </row>
    <row r="3467">
      <c r="A3467">
        <f>TRIM(BASE_EQUIPOS!N3467)</f>
        <v/>
      </c>
      <c r="B3467">
        <f>BASE_EQUIPOS!A3467</f>
        <v/>
      </c>
      <c r="C3467">
        <f>BASE_EQUIPOS!B3467</f>
        <v/>
      </c>
      <c r="D3467">
        <f>BASE_EQUIPOS!D3467</f>
        <v/>
      </c>
      <c r="E3467">
        <f>BASE_EQUIPOS!G3467</f>
        <v/>
      </c>
      <c r="F3467">
        <f>BASE_EQUIPOS!H3467</f>
        <v/>
      </c>
      <c r="G3467">
        <f>BASE_EQUIPOS!M3467</f>
        <v/>
      </c>
      <c r="I3467" t="inlineStr">
        <is>
          <t>84/178970</t>
        </is>
      </c>
    </row>
    <row r="3468">
      <c r="A3468">
        <f>TRIM(BASE_EQUIPOS!N3468)</f>
        <v/>
      </c>
      <c r="B3468">
        <f>BASE_EQUIPOS!A3468</f>
        <v/>
      </c>
      <c r="C3468">
        <f>BASE_EQUIPOS!B3468</f>
        <v/>
      </c>
      <c r="D3468">
        <f>BASE_EQUIPOS!D3468</f>
        <v/>
      </c>
      <c r="E3468">
        <f>BASE_EQUIPOS!G3468</f>
        <v/>
      </c>
      <c r="F3468">
        <f>BASE_EQUIPOS!H3468</f>
        <v/>
      </c>
      <c r="G3468">
        <f>BASE_EQUIPOS!M3468</f>
        <v/>
      </c>
      <c r="I3468" t="inlineStr">
        <is>
          <t>85/179247</t>
        </is>
      </c>
    </row>
    <row r="3469">
      <c r="A3469">
        <f>TRIM(BASE_EQUIPOS!N3469)</f>
        <v/>
      </c>
      <c r="B3469">
        <f>BASE_EQUIPOS!A3469</f>
        <v/>
      </c>
      <c r="C3469">
        <f>BASE_EQUIPOS!B3469</f>
        <v/>
      </c>
      <c r="D3469">
        <f>BASE_EQUIPOS!D3469</f>
        <v/>
      </c>
      <c r="E3469">
        <f>BASE_EQUIPOS!G3469</f>
        <v/>
      </c>
      <c r="F3469">
        <f>BASE_EQUIPOS!H3469</f>
        <v/>
      </c>
      <c r="G3469">
        <f>BASE_EQUIPOS!M3469</f>
        <v/>
      </c>
      <c r="I3469" t="inlineStr">
        <is>
          <t>86/152344</t>
        </is>
      </c>
    </row>
    <row r="3470">
      <c r="A3470">
        <f>TRIM(BASE_EQUIPOS!N3470)</f>
        <v/>
      </c>
      <c r="B3470">
        <f>BASE_EQUIPOS!A3470</f>
        <v/>
      </c>
      <c r="C3470">
        <f>BASE_EQUIPOS!B3470</f>
        <v/>
      </c>
      <c r="D3470">
        <f>BASE_EQUIPOS!D3470</f>
        <v/>
      </c>
      <c r="E3470">
        <f>BASE_EQUIPOS!G3470</f>
        <v/>
      </c>
      <c r="F3470">
        <f>BASE_EQUIPOS!H3470</f>
        <v/>
      </c>
      <c r="G3470">
        <f>BASE_EQUIPOS!M3470</f>
        <v/>
      </c>
      <c r="I3470" t="inlineStr">
        <is>
          <t>87/190877</t>
        </is>
      </c>
    </row>
    <row r="3471">
      <c r="A3471">
        <f>TRIM(BASE_EQUIPOS!N3471)</f>
        <v/>
      </c>
      <c r="B3471">
        <f>BASE_EQUIPOS!A3471</f>
        <v/>
      </c>
      <c r="C3471">
        <f>BASE_EQUIPOS!B3471</f>
        <v/>
      </c>
      <c r="D3471">
        <f>BASE_EQUIPOS!D3471</f>
        <v/>
      </c>
      <c r="E3471">
        <f>BASE_EQUIPOS!G3471</f>
        <v/>
      </c>
      <c r="F3471">
        <f>BASE_EQUIPOS!H3471</f>
        <v/>
      </c>
      <c r="G3471">
        <f>BASE_EQUIPOS!M3471</f>
        <v/>
      </c>
      <c r="I3471" t="inlineStr">
        <is>
          <t>88/178879</t>
        </is>
      </c>
    </row>
    <row r="3472">
      <c r="A3472">
        <f>TRIM(BASE_EQUIPOS!N3472)</f>
        <v/>
      </c>
      <c r="B3472">
        <f>BASE_EQUIPOS!A3472</f>
        <v/>
      </c>
      <c r="C3472">
        <f>BASE_EQUIPOS!B3472</f>
        <v/>
      </c>
      <c r="D3472">
        <f>BASE_EQUIPOS!D3472</f>
        <v/>
      </c>
      <c r="E3472">
        <f>BASE_EQUIPOS!G3472</f>
        <v/>
      </c>
      <c r="F3472">
        <f>BASE_EQUIPOS!H3472</f>
        <v/>
      </c>
      <c r="G3472">
        <f>BASE_EQUIPOS!M3472</f>
        <v/>
      </c>
      <c r="I3472" t="inlineStr">
        <is>
          <t>89/178747</t>
        </is>
      </c>
    </row>
    <row r="3473">
      <c r="A3473">
        <f>TRIM(BASE_EQUIPOS!N3473)</f>
        <v/>
      </c>
      <c r="B3473">
        <f>BASE_EQUIPOS!A3473</f>
        <v/>
      </c>
      <c r="C3473">
        <f>BASE_EQUIPOS!B3473</f>
        <v/>
      </c>
      <c r="D3473">
        <f>BASE_EQUIPOS!D3473</f>
        <v/>
      </c>
      <c r="E3473">
        <f>BASE_EQUIPOS!G3473</f>
        <v/>
      </c>
      <c r="F3473">
        <f>BASE_EQUIPOS!H3473</f>
        <v/>
      </c>
      <c r="G3473">
        <f>BASE_EQUIPOS!M3473</f>
        <v/>
      </c>
      <c r="I3473" t="inlineStr">
        <is>
          <t>90/178743</t>
        </is>
      </c>
    </row>
    <row r="3474">
      <c r="A3474">
        <f>TRIM(BASE_EQUIPOS!N3474)</f>
        <v/>
      </c>
      <c r="B3474">
        <f>BASE_EQUIPOS!A3474</f>
        <v/>
      </c>
      <c r="C3474">
        <f>BASE_EQUIPOS!B3474</f>
        <v/>
      </c>
      <c r="D3474">
        <f>BASE_EQUIPOS!D3474</f>
        <v/>
      </c>
      <c r="E3474">
        <f>BASE_EQUIPOS!G3474</f>
        <v/>
      </c>
      <c r="F3474">
        <f>BASE_EQUIPOS!H3474</f>
        <v/>
      </c>
      <c r="G3474">
        <f>BASE_EQUIPOS!M3474</f>
        <v/>
      </c>
      <c r="I3474" t="inlineStr">
        <is>
          <t>91/178831</t>
        </is>
      </c>
    </row>
    <row r="3475">
      <c r="A3475">
        <f>TRIM(BASE_EQUIPOS!N3475)</f>
        <v/>
      </c>
      <c r="B3475">
        <f>BASE_EQUIPOS!A3475</f>
        <v/>
      </c>
      <c r="C3475">
        <f>BASE_EQUIPOS!B3475</f>
        <v/>
      </c>
      <c r="D3475">
        <f>BASE_EQUIPOS!D3475</f>
        <v/>
      </c>
      <c r="E3475">
        <f>BASE_EQUIPOS!G3475</f>
        <v/>
      </c>
      <c r="F3475">
        <f>BASE_EQUIPOS!H3475</f>
        <v/>
      </c>
      <c r="G3475">
        <f>BASE_EQUIPOS!M3475</f>
        <v/>
      </c>
      <c r="I3475" t="inlineStr">
        <is>
          <t>92/191195</t>
        </is>
      </c>
    </row>
    <row r="3476">
      <c r="A3476">
        <f>TRIM(BASE_EQUIPOS!N3476)</f>
        <v/>
      </c>
      <c r="B3476">
        <f>BASE_EQUIPOS!A3476</f>
        <v/>
      </c>
      <c r="C3476">
        <f>BASE_EQUIPOS!B3476</f>
        <v/>
      </c>
      <c r="D3476">
        <f>BASE_EQUIPOS!D3476</f>
        <v/>
      </c>
      <c r="E3476">
        <f>BASE_EQUIPOS!G3476</f>
        <v/>
      </c>
      <c r="F3476">
        <f>BASE_EQUIPOS!H3476</f>
        <v/>
      </c>
      <c r="G3476">
        <f>BASE_EQUIPOS!M3476</f>
        <v/>
      </c>
      <c r="I3476" t="inlineStr">
        <is>
          <t>93/190874</t>
        </is>
      </c>
    </row>
    <row r="3477">
      <c r="A3477">
        <f>TRIM(BASE_EQUIPOS!N3477)</f>
        <v/>
      </c>
      <c r="B3477">
        <f>BASE_EQUIPOS!A3477</f>
        <v/>
      </c>
      <c r="C3477">
        <f>BASE_EQUIPOS!B3477</f>
        <v/>
      </c>
      <c r="D3477">
        <f>BASE_EQUIPOS!D3477</f>
        <v/>
      </c>
      <c r="E3477">
        <f>BASE_EQUIPOS!G3477</f>
        <v/>
      </c>
      <c r="F3477">
        <f>BASE_EQUIPOS!H3477</f>
        <v/>
      </c>
      <c r="G3477">
        <f>BASE_EQUIPOS!M3477</f>
        <v/>
      </c>
      <c r="I3477" t="inlineStr">
        <is>
          <t>94/191061</t>
        </is>
      </c>
    </row>
    <row r="3478">
      <c r="A3478">
        <f>TRIM(BASE_EQUIPOS!N3478)</f>
        <v/>
      </c>
      <c r="B3478">
        <f>BASE_EQUIPOS!A3478</f>
        <v/>
      </c>
      <c r="C3478">
        <f>BASE_EQUIPOS!B3478</f>
        <v/>
      </c>
      <c r="D3478">
        <f>BASE_EQUIPOS!D3478</f>
        <v/>
      </c>
      <c r="E3478">
        <f>BASE_EQUIPOS!G3478</f>
        <v/>
      </c>
      <c r="F3478">
        <f>BASE_EQUIPOS!H3478</f>
        <v/>
      </c>
      <c r="G3478">
        <f>BASE_EQUIPOS!M3478</f>
        <v/>
      </c>
      <c r="I3478" t="inlineStr">
        <is>
          <t>95/148772</t>
        </is>
      </c>
    </row>
    <row r="3479">
      <c r="A3479">
        <f>TRIM(BASE_EQUIPOS!N3479)</f>
        <v/>
      </c>
      <c r="B3479">
        <f>BASE_EQUIPOS!A3479</f>
        <v/>
      </c>
      <c r="C3479">
        <f>BASE_EQUIPOS!B3479</f>
        <v/>
      </c>
      <c r="D3479">
        <f>BASE_EQUIPOS!D3479</f>
        <v/>
      </c>
      <c r="E3479">
        <f>BASE_EQUIPOS!G3479</f>
        <v/>
      </c>
      <c r="F3479">
        <f>BASE_EQUIPOS!H3479</f>
        <v/>
      </c>
      <c r="G3479">
        <f>BASE_EQUIPOS!M3479</f>
        <v/>
      </c>
      <c r="I3479" t="inlineStr">
        <is>
          <t>96/191091</t>
        </is>
      </c>
    </row>
    <row r="3480">
      <c r="A3480">
        <f>TRIM(BASE_EQUIPOS!N3480)</f>
        <v/>
      </c>
      <c r="B3480">
        <f>BASE_EQUIPOS!A3480</f>
        <v/>
      </c>
      <c r="C3480">
        <f>BASE_EQUIPOS!B3480</f>
        <v/>
      </c>
      <c r="D3480">
        <f>BASE_EQUIPOS!D3480</f>
        <v/>
      </c>
      <c r="E3480">
        <f>BASE_EQUIPOS!G3480</f>
        <v/>
      </c>
      <c r="F3480">
        <f>BASE_EQUIPOS!H3480</f>
        <v/>
      </c>
      <c r="G3480">
        <f>BASE_EQUIPOS!M3480</f>
        <v/>
      </c>
      <c r="I3480" t="inlineStr">
        <is>
          <t>97/190903</t>
        </is>
      </c>
    </row>
    <row r="3481">
      <c r="A3481">
        <f>TRIM(BASE_EQUIPOS!N3481)</f>
        <v/>
      </c>
      <c r="B3481">
        <f>BASE_EQUIPOS!A3481</f>
        <v/>
      </c>
      <c r="C3481">
        <f>BASE_EQUIPOS!B3481</f>
        <v/>
      </c>
      <c r="D3481">
        <f>BASE_EQUIPOS!D3481</f>
        <v/>
      </c>
      <c r="E3481">
        <f>BASE_EQUIPOS!G3481</f>
        <v/>
      </c>
      <c r="F3481">
        <f>BASE_EQUIPOS!H3481</f>
        <v/>
      </c>
      <c r="G3481">
        <f>BASE_EQUIPOS!M3481</f>
        <v/>
      </c>
      <c r="I3481" t="inlineStr">
        <is>
          <t>98/191250</t>
        </is>
      </c>
    </row>
    <row r="3482">
      <c r="A3482">
        <f>TRIM(BASE_EQUIPOS!N3482)</f>
        <v/>
      </c>
      <c r="B3482">
        <f>BASE_EQUIPOS!A3482</f>
        <v/>
      </c>
      <c r="C3482">
        <f>BASE_EQUIPOS!B3482</f>
        <v/>
      </c>
      <c r="D3482">
        <f>BASE_EQUIPOS!D3482</f>
        <v/>
      </c>
      <c r="E3482">
        <f>BASE_EQUIPOS!G3482</f>
        <v/>
      </c>
      <c r="F3482">
        <f>BASE_EQUIPOS!H3482</f>
        <v/>
      </c>
      <c r="G3482">
        <f>BASE_EQUIPOS!M3482</f>
        <v/>
      </c>
      <c r="I3482" t="inlineStr">
        <is>
          <t>99/148781</t>
        </is>
      </c>
    </row>
    <row r="3483">
      <c r="A3483">
        <f>TRIM(BASE_EQUIPOS!N3483)</f>
        <v/>
      </c>
      <c r="B3483">
        <f>BASE_EQUIPOS!A3483</f>
        <v/>
      </c>
      <c r="C3483">
        <f>BASE_EQUIPOS!B3483</f>
        <v/>
      </c>
      <c r="D3483">
        <f>BASE_EQUIPOS!D3483</f>
        <v/>
      </c>
      <c r="E3483">
        <f>BASE_EQUIPOS!G3483</f>
        <v/>
      </c>
      <c r="F3483">
        <f>BASE_EQUIPOS!H3483</f>
        <v/>
      </c>
      <c r="G3483">
        <f>BASE_EQUIPOS!M3483</f>
        <v/>
      </c>
      <c r="I3483" t="inlineStr">
        <is>
          <t>100/190894</t>
        </is>
      </c>
    </row>
    <row r="3484">
      <c r="A3484">
        <f>TRIM(BASE_EQUIPOS!N3484)</f>
        <v/>
      </c>
      <c r="B3484">
        <f>BASE_EQUIPOS!A3484</f>
        <v/>
      </c>
      <c r="C3484">
        <f>BASE_EQUIPOS!B3484</f>
        <v/>
      </c>
      <c r="D3484">
        <f>BASE_EQUIPOS!D3484</f>
        <v/>
      </c>
      <c r="E3484">
        <f>BASE_EQUIPOS!G3484</f>
        <v/>
      </c>
      <c r="F3484">
        <f>BASE_EQUIPOS!H3484</f>
        <v/>
      </c>
      <c r="G3484">
        <f>BASE_EQUIPOS!M3484</f>
        <v/>
      </c>
      <c r="I3484" t="inlineStr">
        <is>
          <t>101/181267</t>
        </is>
      </c>
    </row>
    <row r="3485">
      <c r="A3485">
        <f>TRIM(BASE_EQUIPOS!N3485)</f>
        <v/>
      </c>
      <c r="B3485">
        <f>BASE_EQUIPOS!A3485</f>
        <v/>
      </c>
      <c r="C3485">
        <f>BASE_EQUIPOS!B3485</f>
        <v/>
      </c>
      <c r="D3485">
        <f>BASE_EQUIPOS!D3485</f>
        <v/>
      </c>
      <c r="E3485">
        <f>BASE_EQUIPOS!G3485</f>
        <v/>
      </c>
      <c r="F3485">
        <f>BASE_EQUIPOS!H3485</f>
        <v/>
      </c>
      <c r="G3485">
        <f>BASE_EQUIPOS!M3485</f>
        <v/>
      </c>
      <c r="I3485" t="inlineStr">
        <is>
          <t>102/152345</t>
        </is>
      </c>
    </row>
    <row r="3486">
      <c r="A3486">
        <f>TRIM(BASE_EQUIPOS!N3486)</f>
        <v/>
      </c>
      <c r="B3486">
        <f>BASE_EQUIPOS!A3486</f>
        <v/>
      </c>
      <c r="C3486">
        <f>BASE_EQUIPOS!B3486</f>
        <v/>
      </c>
      <c r="D3486">
        <f>BASE_EQUIPOS!D3486</f>
        <v/>
      </c>
      <c r="E3486">
        <f>BASE_EQUIPOS!G3486</f>
        <v/>
      </c>
      <c r="F3486">
        <f>BASE_EQUIPOS!H3486</f>
        <v/>
      </c>
      <c r="G3486">
        <f>BASE_EQUIPOS!M3486</f>
        <v/>
      </c>
      <c r="I3486" t="inlineStr">
        <is>
          <t>103/191251</t>
        </is>
      </c>
    </row>
    <row r="3487">
      <c r="A3487">
        <f>TRIM(BASE_EQUIPOS!N3487)</f>
        <v/>
      </c>
      <c r="B3487">
        <f>BASE_EQUIPOS!A3487</f>
        <v/>
      </c>
      <c r="C3487">
        <f>BASE_EQUIPOS!B3487</f>
        <v/>
      </c>
      <c r="D3487">
        <f>BASE_EQUIPOS!D3487</f>
        <v/>
      </c>
      <c r="E3487">
        <f>BASE_EQUIPOS!G3487</f>
        <v/>
      </c>
      <c r="F3487">
        <f>BASE_EQUIPOS!H3487</f>
        <v/>
      </c>
      <c r="G3487">
        <f>BASE_EQUIPOS!M3487</f>
        <v/>
      </c>
      <c r="I3487" t="inlineStr">
        <is>
          <t>104/181288</t>
        </is>
      </c>
    </row>
    <row r="3488">
      <c r="A3488">
        <f>TRIM(BASE_EQUIPOS!N3488)</f>
        <v/>
      </c>
      <c r="B3488">
        <f>BASE_EQUIPOS!A3488</f>
        <v/>
      </c>
      <c r="C3488">
        <f>BASE_EQUIPOS!B3488</f>
        <v/>
      </c>
      <c r="D3488">
        <f>BASE_EQUIPOS!D3488</f>
        <v/>
      </c>
      <c r="E3488">
        <f>BASE_EQUIPOS!G3488</f>
        <v/>
      </c>
      <c r="F3488">
        <f>BASE_EQUIPOS!H3488</f>
        <v/>
      </c>
      <c r="G3488">
        <f>BASE_EQUIPOS!M3488</f>
        <v/>
      </c>
      <c r="I3488" t="inlineStr">
        <is>
          <t>105/190922</t>
        </is>
      </c>
    </row>
    <row r="3489">
      <c r="A3489">
        <f>TRIM(BASE_EQUIPOS!N3489)</f>
        <v/>
      </c>
      <c r="B3489">
        <f>BASE_EQUIPOS!A3489</f>
        <v/>
      </c>
      <c r="C3489">
        <f>BASE_EQUIPOS!B3489</f>
        <v/>
      </c>
      <c r="D3489">
        <f>BASE_EQUIPOS!D3489</f>
        <v/>
      </c>
      <c r="E3489">
        <f>BASE_EQUIPOS!G3489</f>
        <v/>
      </c>
      <c r="F3489">
        <f>BASE_EQUIPOS!H3489</f>
        <v/>
      </c>
      <c r="G3489">
        <f>BASE_EQUIPOS!M3489</f>
        <v/>
      </c>
      <c r="I3489" t="inlineStr">
        <is>
          <t>106/485897</t>
        </is>
      </c>
    </row>
    <row r="3490">
      <c r="A3490">
        <f>TRIM(BASE_EQUIPOS!N3490)</f>
        <v/>
      </c>
      <c r="B3490">
        <f>BASE_EQUIPOS!A3490</f>
        <v/>
      </c>
      <c r="C3490">
        <f>BASE_EQUIPOS!B3490</f>
        <v/>
      </c>
      <c r="D3490">
        <f>BASE_EQUIPOS!D3490</f>
        <v/>
      </c>
      <c r="E3490">
        <f>BASE_EQUIPOS!G3490</f>
        <v/>
      </c>
      <c r="F3490">
        <f>BASE_EQUIPOS!H3490</f>
        <v/>
      </c>
      <c r="G3490">
        <f>BASE_EQUIPOS!M3490</f>
        <v/>
      </c>
      <c r="I3490" t="inlineStr">
        <is>
          <t>03/006598</t>
        </is>
      </c>
    </row>
    <row r="3491">
      <c r="A3491">
        <f>TRIM(BASE_EQUIPOS!N3491)</f>
        <v/>
      </c>
      <c r="B3491">
        <f>BASE_EQUIPOS!A3491</f>
        <v/>
      </c>
      <c r="C3491">
        <f>BASE_EQUIPOS!B3491</f>
        <v/>
      </c>
      <c r="D3491">
        <f>BASE_EQUIPOS!D3491</f>
        <v/>
      </c>
      <c r="E3491">
        <f>BASE_EQUIPOS!G3491</f>
        <v/>
      </c>
      <c r="F3491">
        <f>BASE_EQUIPOS!H3491</f>
        <v/>
      </c>
      <c r="G3491">
        <f>BASE_EQUIPOS!M3491</f>
        <v/>
      </c>
      <c r="I3491" t="inlineStr">
        <is>
          <t>05/000162</t>
        </is>
      </c>
    </row>
    <row r="3492">
      <c r="A3492">
        <f>TRIM(BASE_EQUIPOS!N3492)</f>
        <v/>
      </c>
      <c r="B3492">
        <f>BASE_EQUIPOS!A3492</f>
        <v/>
      </c>
      <c r="C3492">
        <f>BASE_EQUIPOS!B3492</f>
        <v/>
      </c>
      <c r="D3492">
        <f>BASE_EQUIPOS!D3492</f>
        <v/>
      </c>
      <c r="E3492">
        <f>BASE_EQUIPOS!G3492</f>
        <v/>
      </c>
      <c r="F3492">
        <f>BASE_EQUIPOS!H3492</f>
        <v/>
      </c>
      <c r="G3492">
        <f>BASE_EQUIPOS!M3492</f>
        <v/>
      </c>
      <c r="I3492" t="inlineStr">
        <is>
          <t>07/005253</t>
        </is>
      </c>
    </row>
    <row r="3493">
      <c r="A3493">
        <f>TRIM(BASE_EQUIPOS!N3493)</f>
        <v/>
      </c>
      <c r="B3493">
        <f>BASE_EQUIPOS!A3493</f>
        <v/>
      </c>
      <c r="C3493">
        <f>BASE_EQUIPOS!B3493</f>
        <v/>
      </c>
      <c r="D3493">
        <f>BASE_EQUIPOS!D3493</f>
        <v/>
      </c>
      <c r="E3493">
        <f>BASE_EQUIPOS!G3493</f>
        <v/>
      </c>
      <c r="F3493">
        <f>BASE_EQUIPOS!H3493</f>
        <v/>
      </c>
      <c r="G3493">
        <f>BASE_EQUIPOS!M3493</f>
        <v/>
      </c>
      <c r="I3493" t="inlineStr">
        <is>
          <t>08/103322</t>
        </is>
      </c>
    </row>
    <row r="3494">
      <c r="A3494">
        <f>TRIM(BASE_EQUIPOS!N3494)</f>
        <v/>
      </c>
      <c r="B3494">
        <f>BASE_EQUIPOS!A3494</f>
        <v/>
      </c>
      <c r="C3494">
        <f>BASE_EQUIPOS!B3494</f>
        <v/>
      </c>
      <c r="D3494">
        <f>BASE_EQUIPOS!D3494</f>
        <v/>
      </c>
      <c r="E3494">
        <f>BASE_EQUIPOS!G3494</f>
        <v/>
      </c>
      <c r="F3494">
        <f>BASE_EQUIPOS!H3494</f>
        <v/>
      </c>
      <c r="G3494">
        <f>BASE_EQUIPOS!M3494</f>
        <v/>
      </c>
      <c r="I3494" t="inlineStr">
        <is>
          <t>09/000272</t>
        </is>
      </c>
    </row>
    <row r="3495">
      <c r="A3495">
        <f>TRIM(BASE_EQUIPOS!N3495)</f>
        <v/>
      </c>
      <c r="B3495">
        <f>BASE_EQUIPOS!A3495</f>
        <v/>
      </c>
      <c r="C3495">
        <f>BASE_EQUIPOS!B3495</f>
        <v/>
      </c>
      <c r="D3495">
        <f>BASE_EQUIPOS!D3495</f>
        <v/>
      </c>
      <c r="E3495">
        <f>BASE_EQUIPOS!G3495</f>
        <v/>
      </c>
      <c r="F3495">
        <f>BASE_EQUIPOS!H3495</f>
        <v/>
      </c>
      <c r="G3495">
        <f>BASE_EQUIPOS!M3495</f>
        <v/>
      </c>
      <c r="I3495" t="inlineStr">
        <is>
          <t>10/002288</t>
        </is>
      </c>
    </row>
    <row r="3496">
      <c r="A3496">
        <f>TRIM(BASE_EQUIPOS!N3496)</f>
        <v/>
      </c>
      <c r="B3496">
        <f>BASE_EQUIPOS!A3496</f>
        <v/>
      </c>
      <c r="C3496">
        <f>BASE_EQUIPOS!B3496</f>
        <v/>
      </c>
      <c r="D3496">
        <f>BASE_EQUIPOS!D3496</f>
        <v/>
      </c>
      <c r="E3496">
        <f>BASE_EQUIPOS!G3496</f>
        <v/>
      </c>
      <c r="F3496">
        <f>BASE_EQUIPOS!H3496</f>
        <v/>
      </c>
      <c r="G3496">
        <f>BASE_EQUIPOS!M3496</f>
        <v/>
      </c>
      <c r="I3496" t="inlineStr">
        <is>
          <t>11/000100</t>
        </is>
      </c>
    </row>
    <row r="3497">
      <c r="A3497">
        <f>TRIM(BASE_EQUIPOS!N3497)</f>
        <v/>
      </c>
      <c r="B3497">
        <f>BASE_EQUIPOS!A3497</f>
        <v/>
      </c>
      <c r="C3497">
        <f>BASE_EQUIPOS!B3497</f>
        <v/>
      </c>
      <c r="D3497">
        <f>BASE_EQUIPOS!D3497</f>
        <v/>
      </c>
      <c r="E3497">
        <f>BASE_EQUIPOS!G3497</f>
        <v/>
      </c>
      <c r="F3497">
        <f>BASE_EQUIPOS!H3497</f>
        <v/>
      </c>
      <c r="G3497">
        <f>BASE_EQUIPOS!M3497</f>
        <v/>
      </c>
      <c r="I3497" t="inlineStr">
        <is>
          <t>12/029397</t>
        </is>
      </c>
    </row>
    <row r="3498">
      <c r="A3498">
        <f>TRIM(BASE_EQUIPOS!N3498)</f>
        <v/>
      </c>
      <c r="B3498">
        <f>BASE_EQUIPOS!A3498</f>
        <v/>
      </c>
      <c r="C3498">
        <f>BASE_EQUIPOS!B3498</f>
        <v/>
      </c>
      <c r="D3498">
        <f>BASE_EQUIPOS!D3498</f>
        <v/>
      </c>
      <c r="E3498">
        <f>BASE_EQUIPOS!G3498</f>
        <v/>
      </c>
      <c r="F3498">
        <f>BASE_EQUIPOS!H3498</f>
        <v/>
      </c>
      <c r="G3498">
        <f>BASE_EQUIPOS!M3498</f>
        <v/>
      </c>
      <c r="I3498" t="inlineStr">
        <is>
          <t>13/000030</t>
        </is>
      </c>
    </row>
    <row r="3499">
      <c r="A3499">
        <f>TRIM(BASE_EQUIPOS!N3499)</f>
        <v/>
      </c>
      <c r="B3499">
        <f>BASE_EQUIPOS!A3499</f>
        <v/>
      </c>
      <c r="C3499">
        <f>BASE_EQUIPOS!B3499</f>
        <v/>
      </c>
      <c r="D3499">
        <f>BASE_EQUIPOS!D3499</f>
        <v/>
      </c>
      <c r="E3499">
        <f>BASE_EQUIPOS!G3499</f>
        <v/>
      </c>
      <c r="F3499">
        <f>BASE_EQUIPOS!H3499</f>
        <v/>
      </c>
      <c r="G3499">
        <f>BASE_EQUIPOS!M3499</f>
        <v/>
      </c>
      <c r="I3499" t="inlineStr">
        <is>
          <t>02/025331</t>
        </is>
      </c>
    </row>
    <row r="3500">
      <c r="A3500">
        <f>TRIM(BASE_EQUIPOS!N3500)</f>
        <v/>
      </c>
      <c r="B3500">
        <f>BASE_EQUIPOS!A3500</f>
        <v/>
      </c>
      <c r="C3500">
        <f>BASE_EQUIPOS!B3500</f>
        <v/>
      </c>
      <c r="D3500">
        <f>BASE_EQUIPOS!D3500</f>
        <v/>
      </c>
      <c r="E3500">
        <f>BASE_EQUIPOS!G3500</f>
        <v/>
      </c>
      <c r="F3500">
        <f>BASE_EQUIPOS!H3500</f>
        <v/>
      </c>
      <c r="G3500">
        <f>BASE_EQUIPOS!M3500</f>
        <v/>
      </c>
      <c r="I3500" t="inlineStr">
        <is>
          <t>002133</t>
        </is>
      </c>
    </row>
    <row r="3501">
      <c r="A3501">
        <f>TRIM(BASE_EQUIPOS!N3501)</f>
        <v/>
      </c>
      <c r="B3501">
        <f>BASE_EQUIPOS!A3501</f>
        <v/>
      </c>
      <c r="C3501">
        <f>BASE_EQUIPOS!B3501</f>
        <v/>
      </c>
      <c r="D3501">
        <f>BASE_EQUIPOS!D3501</f>
        <v/>
      </c>
      <c r="E3501">
        <f>BASE_EQUIPOS!G3501</f>
        <v/>
      </c>
      <c r="F3501">
        <f>BASE_EQUIPOS!H3501</f>
        <v/>
      </c>
      <c r="G3501">
        <f>BASE_EQUIPOS!M3501</f>
        <v/>
      </c>
      <c r="I3501" t="inlineStr">
        <is>
          <t>876</t>
        </is>
      </c>
    </row>
    <row r="3502">
      <c r="A3502">
        <f>TRIM(BASE_EQUIPOS!N3502)</f>
        <v/>
      </c>
      <c r="B3502">
        <f>BASE_EQUIPOS!A3502</f>
        <v/>
      </c>
      <c r="C3502">
        <f>BASE_EQUIPOS!B3502</f>
        <v/>
      </c>
      <c r="D3502">
        <f>BASE_EQUIPOS!D3502</f>
        <v/>
      </c>
      <c r="E3502">
        <f>BASE_EQUIPOS!G3502</f>
        <v/>
      </c>
      <c r="F3502">
        <f>BASE_EQUIPOS!H3502</f>
        <v/>
      </c>
      <c r="G3502">
        <f>BASE_EQUIPOS!M3502</f>
        <v/>
      </c>
      <c r="I3502" t="inlineStr">
        <is>
          <t>000138</t>
        </is>
      </c>
    </row>
    <row r="3503">
      <c r="A3503">
        <f>TRIM(BASE_EQUIPOS!N3503)</f>
        <v/>
      </c>
      <c r="B3503">
        <f>BASE_EQUIPOS!A3503</f>
        <v/>
      </c>
      <c r="C3503">
        <f>BASE_EQUIPOS!B3503</f>
        <v/>
      </c>
      <c r="D3503">
        <f>BASE_EQUIPOS!D3503</f>
        <v/>
      </c>
      <c r="E3503">
        <f>BASE_EQUIPOS!G3503</f>
        <v/>
      </c>
      <c r="F3503">
        <f>BASE_EQUIPOS!H3503</f>
        <v/>
      </c>
      <c r="G3503">
        <f>BASE_EQUIPOS!M3503</f>
        <v/>
      </c>
      <c r="I3503" t="inlineStr">
        <is>
          <t>001082</t>
        </is>
      </c>
    </row>
    <row r="3504">
      <c r="A3504">
        <f>TRIM(BASE_EQUIPOS!N3504)</f>
        <v/>
      </c>
      <c r="B3504">
        <f>BASE_EQUIPOS!A3504</f>
        <v/>
      </c>
      <c r="C3504">
        <f>BASE_EQUIPOS!B3504</f>
        <v/>
      </c>
      <c r="D3504">
        <f>BASE_EQUIPOS!D3504</f>
        <v/>
      </c>
      <c r="E3504">
        <f>BASE_EQUIPOS!G3504</f>
        <v/>
      </c>
      <c r="F3504">
        <f>BASE_EQUIPOS!H3504</f>
        <v/>
      </c>
      <c r="G3504">
        <f>BASE_EQUIPOS!M3504</f>
        <v/>
      </c>
      <c r="I3504" t="inlineStr">
        <is>
          <t>230/000089</t>
        </is>
      </c>
    </row>
    <row r="3505">
      <c r="A3505">
        <f>TRIM(BASE_EQUIPOS!N3505)</f>
        <v/>
      </c>
      <c r="B3505">
        <f>BASE_EQUIPOS!A3505</f>
        <v/>
      </c>
      <c r="C3505">
        <f>BASE_EQUIPOS!B3505</f>
        <v/>
      </c>
      <c r="D3505">
        <f>BASE_EQUIPOS!D3505</f>
        <v/>
      </c>
      <c r="E3505">
        <f>BASE_EQUIPOS!G3505</f>
        <v/>
      </c>
      <c r="F3505">
        <f>BASE_EQUIPOS!H3505</f>
        <v/>
      </c>
      <c r="G3505">
        <f>BASE_EQUIPOS!M3505</f>
        <v/>
      </c>
      <c r="I3505" t="inlineStr">
        <is>
          <t>02/000557</t>
        </is>
      </c>
    </row>
    <row r="3506">
      <c r="A3506">
        <f>TRIM(BASE_EQUIPOS!N3506)</f>
        <v/>
      </c>
      <c r="B3506">
        <f>BASE_EQUIPOS!A3506</f>
        <v/>
      </c>
      <c r="C3506">
        <f>BASE_EQUIPOS!B3506</f>
        <v/>
      </c>
      <c r="D3506">
        <f>BASE_EQUIPOS!D3506</f>
        <v/>
      </c>
      <c r="E3506">
        <f>BASE_EQUIPOS!G3506</f>
        <v/>
      </c>
      <c r="F3506">
        <f>BASE_EQUIPOS!H3506</f>
        <v/>
      </c>
      <c r="G3506">
        <f>BASE_EQUIPOS!M3506</f>
        <v/>
      </c>
      <c r="I3506" t="inlineStr">
        <is>
          <t>03/000009</t>
        </is>
      </c>
    </row>
    <row r="3507">
      <c r="A3507">
        <f>TRIM(BASE_EQUIPOS!N3507)</f>
        <v/>
      </c>
      <c r="B3507">
        <f>BASE_EQUIPOS!A3507</f>
        <v/>
      </c>
      <c r="C3507">
        <f>BASE_EQUIPOS!B3507</f>
        <v/>
      </c>
      <c r="D3507">
        <f>BASE_EQUIPOS!D3507</f>
        <v/>
      </c>
      <c r="E3507">
        <f>BASE_EQUIPOS!G3507</f>
        <v/>
      </c>
      <c r="F3507">
        <f>BASE_EQUIPOS!H3507</f>
        <v/>
      </c>
      <c r="G3507">
        <f>BASE_EQUIPOS!M3507</f>
        <v/>
      </c>
      <c r="I3507" t="inlineStr">
        <is>
          <t>04/117669</t>
        </is>
      </c>
    </row>
    <row r="3508">
      <c r="A3508">
        <f>TRIM(BASE_EQUIPOS!N3508)</f>
        <v/>
      </c>
      <c r="B3508">
        <f>BASE_EQUIPOS!A3508</f>
        <v/>
      </c>
      <c r="C3508">
        <f>BASE_EQUIPOS!B3508</f>
        <v/>
      </c>
      <c r="D3508">
        <f>BASE_EQUIPOS!D3508</f>
        <v/>
      </c>
      <c r="E3508">
        <f>BASE_EQUIPOS!G3508</f>
        <v/>
      </c>
      <c r="F3508">
        <f>BASE_EQUIPOS!H3508</f>
        <v/>
      </c>
      <c r="G3508">
        <f>BASE_EQUIPOS!M3508</f>
        <v/>
      </c>
      <c r="I3508" t="inlineStr">
        <is>
          <t>05/000120</t>
        </is>
      </c>
    </row>
    <row r="3509">
      <c r="A3509">
        <f>TRIM(BASE_EQUIPOS!N3509)</f>
        <v/>
      </c>
      <c r="B3509">
        <f>BASE_EQUIPOS!A3509</f>
        <v/>
      </c>
      <c r="C3509">
        <f>BASE_EQUIPOS!B3509</f>
        <v/>
      </c>
      <c r="D3509">
        <f>BASE_EQUIPOS!D3509</f>
        <v/>
      </c>
      <c r="E3509">
        <f>BASE_EQUIPOS!G3509</f>
        <v/>
      </c>
      <c r="F3509">
        <f>BASE_EQUIPOS!H3509</f>
        <v/>
      </c>
      <c r="G3509">
        <f>BASE_EQUIPOS!M3509</f>
        <v/>
      </c>
      <c r="I3509" t="inlineStr">
        <is>
          <t>005061</t>
        </is>
      </c>
    </row>
    <row r="3510">
      <c r="A3510">
        <f>TRIM(BASE_EQUIPOS!N3510)</f>
        <v/>
      </c>
      <c r="B3510">
        <f>BASE_EQUIPOS!A3510</f>
        <v/>
      </c>
      <c r="C3510">
        <f>BASE_EQUIPOS!B3510</f>
        <v/>
      </c>
      <c r="D3510">
        <f>BASE_EQUIPOS!D3510</f>
        <v/>
      </c>
      <c r="E3510">
        <f>BASE_EQUIPOS!G3510</f>
        <v/>
      </c>
      <c r="F3510">
        <f>BASE_EQUIPOS!H3510</f>
        <v/>
      </c>
      <c r="G3510">
        <f>BASE_EQUIPOS!M3510</f>
        <v/>
      </c>
      <c r="I3510" t="inlineStr">
        <is>
          <t>123/152473</t>
        </is>
      </c>
    </row>
    <row r="3511">
      <c r="A3511">
        <f>TRIM(BASE_EQUIPOS!N3511)</f>
        <v/>
      </c>
      <c r="B3511">
        <f>BASE_EQUIPOS!A3511</f>
        <v/>
      </c>
      <c r="C3511">
        <f>BASE_EQUIPOS!B3511</f>
        <v/>
      </c>
      <c r="D3511">
        <f>BASE_EQUIPOS!D3511</f>
        <v/>
      </c>
      <c r="E3511">
        <f>BASE_EQUIPOS!G3511</f>
        <v/>
      </c>
      <c r="F3511">
        <f>BASE_EQUIPOS!H3511</f>
        <v/>
      </c>
      <c r="G3511">
        <f>BASE_EQUIPOS!M3511</f>
        <v/>
      </c>
      <c r="I3511" t="inlineStr">
        <is>
          <t>124/178752</t>
        </is>
      </c>
    </row>
    <row r="3512">
      <c r="A3512">
        <f>TRIM(BASE_EQUIPOS!N3512)</f>
        <v/>
      </c>
      <c r="B3512">
        <f>BASE_EQUIPOS!A3512</f>
        <v/>
      </c>
      <c r="C3512">
        <f>BASE_EQUIPOS!B3512</f>
        <v/>
      </c>
      <c r="D3512">
        <f>BASE_EQUIPOS!D3512</f>
        <v/>
      </c>
      <c r="E3512">
        <f>BASE_EQUIPOS!G3512</f>
        <v/>
      </c>
      <c r="F3512">
        <f>BASE_EQUIPOS!H3512</f>
        <v/>
      </c>
      <c r="G3512">
        <f>BASE_EQUIPOS!M3512</f>
        <v/>
      </c>
      <c r="I3512" t="inlineStr">
        <is>
          <t>125/191124</t>
        </is>
      </c>
    </row>
    <row r="3513">
      <c r="A3513">
        <f>TRIM(BASE_EQUIPOS!N3513)</f>
        <v/>
      </c>
      <c r="B3513">
        <f>BASE_EQUIPOS!A3513</f>
        <v/>
      </c>
      <c r="C3513">
        <f>BASE_EQUIPOS!B3513</f>
        <v/>
      </c>
      <c r="D3513">
        <f>BASE_EQUIPOS!D3513</f>
        <v/>
      </c>
      <c r="E3513">
        <f>BASE_EQUIPOS!G3513</f>
        <v/>
      </c>
      <c r="F3513">
        <f>BASE_EQUIPOS!H3513</f>
        <v/>
      </c>
      <c r="G3513">
        <f>BASE_EQUIPOS!M3513</f>
        <v/>
      </c>
      <c r="I3513" t="inlineStr">
        <is>
          <t>126/141183</t>
        </is>
      </c>
    </row>
    <row r="3514">
      <c r="A3514">
        <f>TRIM(BASE_EQUIPOS!N3514)</f>
        <v/>
      </c>
      <c r="B3514">
        <f>BASE_EQUIPOS!A3514</f>
        <v/>
      </c>
      <c r="C3514">
        <f>BASE_EQUIPOS!B3514</f>
        <v/>
      </c>
      <c r="D3514">
        <f>BASE_EQUIPOS!D3514</f>
        <v/>
      </c>
      <c r="E3514">
        <f>BASE_EQUIPOS!G3514</f>
        <v/>
      </c>
      <c r="F3514">
        <f>BASE_EQUIPOS!H3514</f>
        <v/>
      </c>
      <c r="G3514">
        <f>BASE_EQUIPOS!M3514</f>
        <v/>
      </c>
      <c r="I3514" t="inlineStr">
        <is>
          <t>127/190723</t>
        </is>
      </c>
    </row>
    <row r="3515">
      <c r="A3515">
        <f>TRIM(BASE_EQUIPOS!N3515)</f>
        <v/>
      </c>
      <c r="B3515">
        <f>BASE_EQUIPOS!A3515</f>
        <v/>
      </c>
      <c r="C3515">
        <f>BASE_EQUIPOS!B3515</f>
        <v/>
      </c>
      <c r="D3515">
        <f>BASE_EQUIPOS!D3515</f>
        <v/>
      </c>
      <c r="E3515">
        <f>BASE_EQUIPOS!G3515</f>
        <v/>
      </c>
      <c r="F3515">
        <f>BASE_EQUIPOS!H3515</f>
        <v/>
      </c>
      <c r="G3515">
        <f>BASE_EQUIPOS!M3515</f>
        <v/>
      </c>
      <c r="I3515" t="inlineStr">
        <is>
          <t>128/178749</t>
        </is>
      </c>
    </row>
    <row r="3516">
      <c r="A3516">
        <f>TRIM(BASE_EQUIPOS!N3516)</f>
        <v/>
      </c>
      <c r="B3516">
        <f>BASE_EQUIPOS!A3516</f>
        <v/>
      </c>
      <c r="C3516">
        <f>BASE_EQUIPOS!B3516</f>
        <v/>
      </c>
      <c r="D3516">
        <f>BASE_EQUIPOS!D3516</f>
        <v/>
      </c>
      <c r="E3516">
        <f>BASE_EQUIPOS!G3516</f>
        <v/>
      </c>
      <c r="F3516">
        <f>BASE_EQUIPOS!H3516</f>
        <v/>
      </c>
      <c r="G3516">
        <f>BASE_EQUIPOS!M3516</f>
        <v/>
      </c>
      <c r="I3516" t="inlineStr">
        <is>
          <t>129/181246</t>
        </is>
      </c>
    </row>
    <row r="3517">
      <c r="A3517">
        <f>TRIM(BASE_EQUIPOS!N3517)</f>
        <v/>
      </c>
      <c r="B3517">
        <f>BASE_EQUIPOS!A3517</f>
        <v/>
      </c>
      <c r="C3517">
        <f>BASE_EQUIPOS!B3517</f>
        <v/>
      </c>
      <c r="D3517">
        <f>BASE_EQUIPOS!D3517</f>
        <v/>
      </c>
      <c r="E3517">
        <f>BASE_EQUIPOS!G3517</f>
        <v/>
      </c>
      <c r="F3517">
        <f>BASE_EQUIPOS!H3517</f>
        <v/>
      </c>
      <c r="G3517">
        <f>BASE_EQUIPOS!M3517</f>
        <v/>
      </c>
      <c r="I3517" t="inlineStr">
        <is>
          <t>130/191181</t>
        </is>
      </c>
    </row>
    <row r="3518">
      <c r="A3518">
        <f>TRIM(BASE_EQUIPOS!N3518)</f>
        <v/>
      </c>
      <c r="B3518">
        <f>BASE_EQUIPOS!A3518</f>
        <v/>
      </c>
      <c r="C3518">
        <f>BASE_EQUIPOS!B3518</f>
        <v/>
      </c>
      <c r="D3518">
        <f>BASE_EQUIPOS!D3518</f>
        <v/>
      </c>
      <c r="E3518">
        <f>BASE_EQUIPOS!G3518</f>
        <v/>
      </c>
      <c r="F3518">
        <f>BASE_EQUIPOS!H3518</f>
        <v/>
      </c>
      <c r="G3518">
        <f>BASE_EQUIPOS!M3518</f>
        <v/>
      </c>
      <c r="I3518" t="inlineStr">
        <is>
          <t>131/179555</t>
        </is>
      </c>
    </row>
    <row r="3519">
      <c r="A3519">
        <f>TRIM(BASE_EQUIPOS!N3519)</f>
        <v/>
      </c>
      <c r="B3519">
        <f>BASE_EQUIPOS!A3519</f>
        <v/>
      </c>
      <c r="C3519">
        <f>BASE_EQUIPOS!B3519</f>
        <v/>
      </c>
      <c r="D3519">
        <f>BASE_EQUIPOS!D3519</f>
        <v/>
      </c>
      <c r="E3519">
        <f>BASE_EQUIPOS!G3519</f>
        <v/>
      </c>
      <c r="F3519">
        <f>BASE_EQUIPOS!H3519</f>
        <v/>
      </c>
      <c r="G3519">
        <f>BASE_EQUIPOS!M3519</f>
        <v/>
      </c>
      <c r="I3519" t="inlineStr">
        <is>
          <t>133/181248</t>
        </is>
      </c>
    </row>
    <row r="3520">
      <c r="A3520">
        <f>TRIM(BASE_EQUIPOS!N3520)</f>
        <v/>
      </c>
      <c r="B3520">
        <f>BASE_EQUIPOS!A3520</f>
        <v/>
      </c>
      <c r="C3520">
        <f>BASE_EQUIPOS!B3520</f>
        <v/>
      </c>
      <c r="D3520">
        <f>BASE_EQUIPOS!D3520</f>
        <v/>
      </c>
      <c r="E3520">
        <f>BASE_EQUIPOS!G3520</f>
        <v/>
      </c>
      <c r="F3520">
        <f>BASE_EQUIPOS!H3520</f>
        <v/>
      </c>
      <c r="G3520">
        <f>BASE_EQUIPOS!M3520</f>
        <v/>
      </c>
      <c r="I3520" t="inlineStr">
        <is>
          <t>134/190885</t>
        </is>
      </c>
    </row>
    <row r="3521">
      <c r="A3521">
        <f>TRIM(BASE_EQUIPOS!N3521)</f>
        <v/>
      </c>
      <c r="B3521">
        <f>BASE_EQUIPOS!A3521</f>
        <v/>
      </c>
      <c r="C3521">
        <f>BASE_EQUIPOS!B3521</f>
        <v/>
      </c>
      <c r="D3521">
        <f>BASE_EQUIPOS!D3521</f>
        <v/>
      </c>
      <c r="E3521">
        <f>BASE_EQUIPOS!G3521</f>
        <v/>
      </c>
      <c r="F3521">
        <f>BASE_EQUIPOS!H3521</f>
        <v/>
      </c>
      <c r="G3521">
        <f>BASE_EQUIPOS!M3521</f>
        <v/>
      </c>
      <c r="I3521" t="inlineStr">
        <is>
          <t>135/148794</t>
        </is>
      </c>
    </row>
    <row r="3522">
      <c r="A3522">
        <f>TRIM(BASE_EQUIPOS!N3522)</f>
        <v/>
      </c>
      <c r="B3522">
        <f>BASE_EQUIPOS!A3522</f>
        <v/>
      </c>
      <c r="C3522">
        <f>BASE_EQUIPOS!B3522</f>
        <v/>
      </c>
      <c r="D3522">
        <f>BASE_EQUIPOS!D3522</f>
        <v/>
      </c>
      <c r="E3522">
        <f>BASE_EQUIPOS!G3522</f>
        <v/>
      </c>
      <c r="F3522">
        <f>BASE_EQUIPOS!H3522</f>
        <v/>
      </c>
      <c r="G3522">
        <f>BASE_EQUIPOS!M3522</f>
        <v/>
      </c>
      <c r="I3522" t="inlineStr">
        <is>
          <t>136/178826</t>
        </is>
      </c>
    </row>
    <row r="3523">
      <c r="A3523">
        <f>TRIM(BASE_EQUIPOS!N3523)</f>
        <v/>
      </c>
      <c r="B3523">
        <f>BASE_EQUIPOS!A3523</f>
        <v/>
      </c>
      <c r="C3523">
        <f>BASE_EQUIPOS!B3523</f>
        <v/>
      </c>
      <c r="D3523">
        <f>BASE_EQUIPOS!D3523</f>
        <v/>
      </c>
      <c r="E3523">
        <f>BASE_EQUIPOS!G3523</f>
        <v/>
      </c>
      <c r="F3523">
        <f>BASE_EQUIPOS!H3523</f>
        <v/>
      </c>
      <c r="G3523">
        <f>BASE_EQUIPOS!M3523</f>
        <v/>
      </c>
      <c r="I3523" t="inlineStr">
        <is>
          <t>137/218141</t>
        </is>
      </c>
    </row>
    <row r="3524">
      <c r="A3524">
        <f>TRIM(BASE_EQUIPOS!N3524)</f>
        <v/>
      </c>
      <c r="B3524">
        <f>BASE_EQUIPOS!A3524</f>
        <v/>
      </c>
      <c r="C3524">
        <f>BASE_EQUIPOS!B3524</f>
        <v/>
      </c>
      <c r="D3524">
        <f>BASE_EQUIPOS!D3524</f>
        <v/>
      </c>
      <c r="E3524">
        <f>BASE_EQUIPOS!G3524</f>
        <v/>
      </c>
      <c r="F3524">
        <f>BASE_EQUIPOS!H3524</f>
        <v/>
      </c>
      <c r="G3524">
        <f>BASE_EQUIPOS!M3524</f>
        <v/>
      </c>
      <c r="I3524" t="inlineStr">
        <is>
          <t>138/190706</t>
        </is>
      </c>
    </row>
    <row r="3525">
      <c r="A3525">
        <f>TRIM(BASE_EQUIPOS!N3525)</f>
        <v/>
      </c>
      <c r="B3525">
        <f>BASE_EQUIPOS!A3525</f>
        <v/>
      </c>
      <c r="C3525">
        <f>BASE_EQUIPOS!B3525</f>
        <v/>
      </c>
      <c r="D3525">
        <f>BASE_EQUIPOS!D3525</f>
        <v/>
      </c>
      <c r="E3525">
        <f>BASE_EQUIPOS!G3525</f>
        <v/>
      </c>
      <c r="F3525">
        <f>BASE_EQUIPOS!H3525</f>
        <v/>
      </c>
      <c r="G3525">
        <f>BASE_EQUIPOS!M3525</f>
        <v/>
      </c>
      <c r="I3525" t="inlineStr">
        <is>
          <t>139/178836</t>
        </is>
      </c>
    </row>
    <row r="3526">
      <c r="A3526">
        <f>TRIM(BASE_EQUIPOS!N3526)</f>
        <v/>
      </c>
      <c r="B3526">
        <f>BASE_EQUIPOS!A3526</f>
        <v/>
      </c>
      <c r="C3526">
        <f>BASE_EQUIPOS!B3526</f>
        <v/>
      </c>
      <c r="D3526">
        <f>BASE_EQUIPOS!D3526</f>
        <v/>
      </c>
      <c r="E3526">
        <f>BASE_EQUIPOS!G3526</f>
        <v/>
      </c>
      <c r="F3526">
        <f>BASE_EQUIPOS!H3526</f>
        <v/>
      </c>
      <c r="G3526">
        <f>BASE_EQUIPOS!M3526</f>
        <v/>
      </c>
      <c r="I3526" t="inlineStr">
        <is>
          <t>140/178864</t>
        </is>
      </c>
    </row>
    <row r="3527">
      <c r="A3527">
        <f>TRIM(BASE_EQUIPOS!N3527)</f>
        <v/>
      </c>
      <c r="B3527">
        <f>BASE_EQUIPOS!A3527</f>
        <v/>
      </c>
      <c r="C3527">
        <f>BASE_EQUIPOS!B3527</f>
        <v/>
      </c>
      <c r="D3527">
        <f>BASE_EQUIPOS!D3527</f>
        <v/>
      </c>
      <c r="E3527">
        <f>BASE_EQUIPOS!G3527</f>
        <v/>
      </c>
      <c r="F3527">
        <f>BASE_EQUIPOS!H3527</f>
        <v/>
      </c>
      <c r="G3527">
        <f>BASE_EQUIPOS!M3527</f>
        <v/>
      </c>
      <c r="I3527" t="inlineStr">
        <is>
          <t>141/190969</t>
        </is>
      </c>
    </row>
    <row r="3528">
      <c r="A3528">
        <f>TRIM(BASE_EQUIPOS!N3528)</f>
        <v/>
      </c>
      <c r="B3528">
        <f>BASE_EQUIPOS!A3528</f>
        <v/>
      </c>
      <c r="C3528">
        <f>BASE_EQUIPOS!B3528</f>
        <v/>
      </c>
      <c r="D3528">
        <f>BASE_EQUIPOS!D3528</f>
        <v/>
      </c>
      <c r="E3528">
        <f>BASE_EQUIPOS!G3528</f>
        <v/>
      </c>
      <c r="F3528">
        <f>BASE_EQUIPOS!H3528</f>
        <v/>
      </c>
      <c r="G3528">
        <f>BASE_EQUIPOS!M3528</f>
        <v/>
      </c>
      <c r="I3528" t="inlineStr">
        <is>
          <t>142/191214</t>
        </is>
      </c>
    </row>
    <row r="3529">
      <c r="A3529">
        <f>TRIM(BASE_EQUIPOS!N3529)</f>
        <v/>
      </c>
      <c r="B3529">
        <f>BASE_EQUIPOS!A3529</f>
        <v/>
      </c>
      <c r="C3529">
        <f>BASE_EQUIPOS!B3529</f>
        <v/>
      </c>
      <c r="D3529">
        <f>BASE_EQUIPOS!D3529</f>
        <v/>
      </c>
      <c r="E3529">
        <f>BASE_EQUIPOS!G3529</f>
        <v/>
      </c>
      <c r="F3529">
        <f>BASE_EQUIPOS!H3529</f>
        <v/>
      </c>
      <c r="G3529">
        <f>BASE_EQUIPOS!M3529</f>
        <v/>
      </c>
      <c r="I3529" t="inlineStr">
        <is>
          <t>143/148784</t>
        </is>
      </c>
    </row>
    <row r="3530">
      <c r="A3530">
        <f>TRIM(BASE_EQUIPOS!N3530)</f>
        <v/>
      </c>
      <c r="B3530">
        <f>BASE_EQUIPOS!A3530</f>
        <v/>
      </c>
      <c r="C3530">
        <f>BASE_EQUIPOS!B3530</f>
        <v/>
      </c>
      <c r="D3530">
        <f>BASE_EQUIPOS!D3530</f>
        <v/>
      </c>
      <c r="E3530">
        <f>BASE_EQUIPOS!G3530</f>
        <v/>
      </c>
      <c r="F3530">
        <f>BASE_EQUIPOS!H3530</f>
        <v/>
      </c>
      <c r="G3530">
        <f>BASE_EQUIPOS!M3530</f>
        <v/>
      </c>
      <c r="I3530" t="inlineStr">
        <is>
          <t>144/191140</t>
        </is>
      </c>
    </row>
    <row r="3531">
      <c r="A3531">
        <f>TRIM(BASE_EQUIPOS!N3531)</f>
        <v/>
      </c>
      <c r="B3531">
        <f>BASE_EQUIPOS!A3531</f>
        <v/>
      </c>
      <c r="C3531">
        <f>BASE_EQUIPOS!B3531</f>
        <v/>
      </c>
      <c r="D3531">
        <f>BASE_EQUIPOS!D3531</f>
        <v/>
      </c>
      <c r="E3531">
        <f>BASE_EQUIPOS!G3531</f>
        <v/>
      </c>
      <c r="F3531">
        <f>BASE_EQUIPOS!H3531</f>
        <v/>
      </c>
      <c r="G3531">
        <f>BASE_EQUIPOS!M3531</f>
        <v/>
      </c>
      <c r="I3531" t="inlineStr">
        <is>
          <t>145/191604</t>
        </is>
      </c>
    </row>
    <row r="3532">
      <c r="A3532">
        <f>TRIM(BASE_EQUIPOS!N3532)</f>
        <v/>
      </c>
      <c r="B3532">
        <f>BASE_EQUIPOS!A3532</f>
        <v/>
      </c>
      <c r="C3532">
        <f>BASE_EQUIPOS!B3532</f>
        <v/>
      </c>
      <c r="D3532">
        <f>BASE_EQUIPOS!D3532</f>
        <v/>
      </c>
      <c r="E3532">
        <f>BASE_EQUIPOS!G3532</f>
        <v/>
      </c>
      <c r="F3532">
        <f>BASE_EQUIPOS!H3532</f>
        <v/>
      </c>
      <c r="G3532">
        <f>BASE_EQUIPOS!M3532</f>
        <v/>
      </c>
      <c r="I3532" t="inlineStr">
        <is>
          <t>146/190957</t>
        </is>
      </c>
    </row>
    <row r="3533">
      <c r="A3533">
        <f>TRIM(BASE_EQUIPOS!N3533)</f>
        <v/>
      </c>
      <c r="B3533">
        <f>BASE_EQUIPOS!A3533</f>
        <v/>
      </c>
      <c r="C3533">
        <f>BASE_EQUIPOS!B3533</f>
        <v/>
      </c>
      <c r="D3533">
        <f>BASE_EQUIPOS!D3533</f>
        <v/>
      </c>
      <c r="E3533">
        <f>BASE_EQUIPOS!G3533</f>
        <v/>
      </c>
      <c r="F3533">
        <f>BASE_EQUIPOS!H3533</f>
        <v/>
      </c>
      <c r="G3533">
        <f>BASE_EQUIPOS!M3533</f>
        <v/>
      </c>
      <c r="I3533" t="inlineStr">
        <is>
          <t>147/148779</t>
        </is>
      </c>
    </row>
    <row r="3534">
      <c r="A3534">
        <f>TRIM(BASE_EQUIPOS!N3534)</f>
        <v/>
      </c>
      <c r="B3534">
        <f>BASE_EQUIPOS!A3534</f>
        <v/>
      </c>
      <c r="C3534">
        <f>BASE_EQUIPOS!B3534</f>
        <v/>
      </c>
      <c r="D3534">
        <f>BASE_EQUIPOS!D3534</f>
        <v/>
      </c>
      <c r="E3534">
        <f>BASE_EQUIPOS!G3534</f>
        <v/>
      </c>
      <c r="F3534">
        <f>BASE_EQUIPOS!H3534</f>
        <v/>
      </c>
      <c r="G3534">
        <f>BASE_EQUIPOS!M3534</f>
        <v/>
      </c>
      <c r="I3534" t="inlineStr">
        <is>
          <t>148/191095</t>
        </is>
      </c>
    </row>
    <row r="3535">
      <c r="A3535">
        <f>TRIM(BASE_EQUIPOS!N3535)</f>
        <v/>
      </c>
      <c r="B3535">
        <f>BASE_EQUIPOS!A3535</f>
        <v/>
      </c>
      <c r="C3535">
        <f>BASE_EQUIPOS!B3535</f>
        <v/>
      </c>
      <c r="D3535">
        <f>BASE_EQUIPOS!D3535</f>
        <v/>
      </c>
      <c r="E3535">
        <f>BASE_EQUIPOS!G3535</f>
        <v/>
      </c>
      <c r="F3535">
        <f>BASE_EQUIPOS!H3535</f>
        <v/>
      </c>
      <c r="G3535">
        <f>BASE_EQUIPOS!M3535</f>
        <v/>
      </c>
      <c r="I3535" t="inlineStr">
        <is>
          <t>149/178750</t>
        </is>
      </c>
    </row>
    <row r="3536">
      <c r="A3536">
        <f>TRIM(BASE_EQUIPOS!N3536)</f>
        <v/>
      </c>
      <c r="B3536">
        <f>BASE_EQUIPOS!A3536</f>
        <v/>
      </c>
      <c r="C3536">
        <f>BASE_EQUIPOS!B3536</f>
        <v/>
      </c>
      <c r="D3536">
        <f>BASE_EQUIPOS!D3536</f>
        <v/>
      </c>
      <c r="E3536">
        <f>BASE_EQUIPOS!G3536</f>
        <v/>
      </c>
      <c r="F3536">
        <f>BASE_EQUIPOS!H3536</f>
        <v/>
      </c>
      <c r="G3536">
        <f>BASE_EQUIPOS!M3536</f>
        <v/>
      </c>
      <c r="I3536" t="inlineStr">
        <is>
          <t>150/141185</t>
        </is>
      </c>
    </row>
    <row r="3537">
      <c r="A3537">
        <f>TRIM(BASE_EQUIPOS!N3537)</f>
        <v/>
      </c>
      <c r="B3537">
        <f>BASE_EQUIPOS!A3537</f>
        <v/>
      </c>
      <c r="C3537">
        <f>BASE_EQUIPOS!B3537</f>
        <v/>
      </c>
      <c r="D3537">
        <f>BASE_EQUIPOS!D3537</f>
        <v/>
      </c>
      <c r="E3537">
        <f>BASE_EQUIPOS!G3537</f>
        <v/>
      </c>
      <c r="F3537">
        <f>BASE_EQUIPOS!H3537</f>
        <v/>
      </c>
      <c r="G3537">
        <f>BASE_EQUIPOS!M3537</f>
        <v/>
      </c>
      <c r="I3537" t="inlineStr">
        <is>
          <t>152/181303</t>
        </is>
      </c>
    </row>
    <row r="3538">
      <c r="A3538">
        <f>TRIM(BASE_EQUIPOS!N3538)</f>
        <v/>
      </c>
      <c r="B3538">
        <f>BASE_EQUIPOS!A3538</f>
        <v/>
      </c>
      <c r="C3538">
        <f>BASE_EQUIPOS!B3538</f>
        <v/>
      </c>
      <c r="D3538">
        <f>BASE_EQUIPOS!D3538</f>
        <v/>
      </c>
      <c r="E3538">
        <f>BASE_EQUIPOS!G3538</f>
        <v/>
      </c>
      <c r="F3538">
        <f>BASE_EQUIPOS!H3538</f>
        <v/>
      </c>
      <c r="G3538">
        <f>BASE_EQUIPOS!M3538</f>
        <v/>
      </c>
      <c r="I3538" t="inlineStr">
        <is>
          <t>153/191207</t>
        </is>
      </c>
    </row>
    <row r="3539">
      <c r="A3539">
        <f>TRIM(BASE_EQUIPOS!N3539)</f>
        <v/>
      </c>
      <c r="B3539">
        <f>BASE_EQUIPOS!A3539</f>
        <v/>
      </c>
      <c r="C3539">
        <f>BASE_EQUIPOS!B3539</f>
        <v/>
      </c>
      <c r="D3539">
        <f>BASE_EQUIPOS!D3539</f>
        <v/>
      </c>
      <c r="E3539">
        <f>BASE_EQUIPOS!G3539</f>
        <v/>
      </c>
      <c r="F3539">
        <f>BASE_EQUIPOS!H3539</f>
        <v/>
      </c>
      <c r="G3539">
        <f>BASE_EQUIPOS!M3539</f>
        <v/>
      </c>
      <c r="I3539" t="inlineStr">
        <is>
          <t>174/178862</t>
        </is>
      </c>
    </row>
    <row r="3540">
      <c r="A3540">
        <f>TRIM(BASE_EQUIPOS!N3540)</f>
        <v/>
      </c>
      <c r="B3540">
        <f>BASE_EQUIPOS!A3540</f>
        <v/>
      </c>
      <c r="C3540">
        <f>BASE_EQUIPOS!B3540</f>
        <v/>
      </c>
      <c r="D3540">
        <f>BASE_EQUIPOS!D3540</f>
        <v/>
      </c>
      <c r="E3540">
        <f>BASE_EQUIPOS!G3540</f>
        <v/>
      </c>
      <c r="F3540">
        <f>BASE_EQUIPOS!H3540</f>
        <v/>
      </c>
      <c r="G3540">
        <f>BASE_EQUIPOS!M3540</f>
        <v/>
      </c>
      <c r="I3540" t="inlineStr">
        <is>
          <t>175/190884</t>
        </is>
      </c>
    </row>
    <row r="3541">
      <c r="A3541">
        <f>TRIM(BASE_EQUIPOS!N3541)</f>
        <v/>
      </c>
      <c r="B3541">
        <f>BASE_EQUIPOS!A3541</f>
        <v/>
      </c>
      <c r="C3541">
        <f>BASE_EQUIPOS!B3541</f>
        <v/>
      </c>
      <c r="D3541">
        <f>BASE_EQUIPOS!D3541</f>
        <v/>
      </c>
      <c r="E3541">
        <f>BASE_EQUIPOS!G3541</f>
        <v/>
      </c>
      <c r="F3541">
        <f>BASE_EQUIPOS!H3541</f>
        <v/>
      </c>
      <c r="G3541">
        <f>BASE_EQUIPOS!M3541</f>
        <v/>
      </c>
      <c r="I3541" t="inlineStr">
        <is>
          <t>176/191253</t>
        </is>
      </c>
    </row>
    <row r="3542">
      <c r="A3542">
        <f>TRIM(BASE_EQUIPOS!N3542)</f>
        <v/>
      </c>
      <c r="B3542">
        <f>BASE_EQUIPOS!A3542</f>
        <v/>
      </c>
      <c r="C3542">
        <f>BASE_EQUIPOS!B3542</f>
        <v/>
      </c>
      <c r="D3542">
        <f>BASE_EQUIPOS!D3542</f>
        <v/>
      </c>
      <c r="E3542">
        <f>BASE_EQUIPOS!G3542</f>
        <v/>
      </c>
      <c r="F3542">
        <f>BASE_EQUIPOS!H3542</f>
        <v/>
      </c>
      <c r="G3542">
        <f>BASE_EQUIPOS!M3542</f>
        <v/>
      </c>
      <c r="I3542" t="inlineStr">
        <is>
          <t>177/152402</t>
        </is>
      </c>
    </row>
    <row r="3543">
      <c r="A3543">
        <f>TRIM(BASE_EQUIPOS!N3543)</f>
        <v/>
      </c>
      <c r="B3543">
        <f>BASE_EQUIPOS!A3543</f>
        <v/>
      </c>
      <c r="C3543">
        <f>BASE_EQUIPOS!B3543</f>
        <v/>
      </c>
      <c r="D3543">
        <f>BASE_EQUIPOS!D3543</f>
        <v/>
      </c>
      <c r="E3543">
        <f>BASE_EQUIPOS!G3543</f>
        <v/>
      </c>
      <c r="F3543">
        <f>BASE_EQUIPOS!H3543</f>
        <v/>
      </c>
      <c r="G3543">
        <f>BASE_EQUIPOS!M3543</f>
        <v/>
      </c>
      <c r="I3543" t="inlineStr">
        <is>
          <t>178/191242</t>
        </is>
      </c>
    </row>
    <row r="3544">
      <c r="A3544">
        <f>TRIM(BASE_EQUIPOS!N3544)</f>
        <v/>
      </c>
      <c r="B3544">
        <f>BASE_EQUIPOS!A3544</f>
        <v/>
      </c>
      <c r="C3544">
        <f>BASE_EQUIPOS!B3544</f>
        <v/>
      </c>
      <c r="D3544">
        <f>BASE_EQUIPOS!D3544</f>
        <v/>
      </c>
      <c r="E3544">
        <f>BASE_EQUIPOS!G3544</f>
        <v/>
      </c>
      <c r="F3544">
        <f>BASE_EQUIPOS!H3544</f>
        <v/>
      </c>
      <c r="G3544">
        <f>BASE_EQUIPOS!M3544</f>
        <v/>
      </c>
      <c r="I3544" t="inlineStr">
        <is>
          <t>179/148871</t>
        </is>
      </c>
    </row>
    <row r="3545">
      <c r="A3545">
        <f>TRIM(BASE_EQUIPOS!N3545)</f>
        <v/>
      </c>
      <c r="B3545">
        <f>BASE_EQUIPOS!A3545</f>
        <v/>
      </c>
      <c r="C3545">
        <f>BASE_EQUIPOS!B3545</f>
        <v/>
      </c>
      <c r="D3545">
        <f>BASE_EQUIPOS!D3545</f>
        <v/>
      </c>
      <c r="E3545">
        <f>BASE_EQUIPOS!G3545</f>
        <v/>
      </c>
      <c r="F3545">
        <f>BASE_EQUIPOS!H3545</f>
        <v/>
      </c>
      <c r="G3545">
        <f>BASE_EQUIPOS!M3545</f>
        <v/>
      </c>
      <c r="I3545" t="inlineStr">
        <is>
          <t>180/191182</t>
        </is>
      </c>
    </row>
    <row r="3546">
      <c r="A3546">
        <f>TRIM(BASE_EQUIPOS!N3546)</f>
        <v/>
      </c>
      <c r="B3546">
        <f>BASE_EQUIPOS!A3546</f>
        <v/>
      </c>
      <c r="C3546">
        <f>BASE_EQUIPOS!B3546</f>
        <v/>
      </c>
      <c r="D3546">
        <f>BASE_EQUIPOS!D3546</f>
        <v/>
      </c>
      <c r="E3546">
        <f>BASE_EQUIPOS!G3546</f>
        <v/>
      </c>
      <c r="F3546">
        <f>BASE_EQUIPOS!H3546</f>
        <v/>
      </c>
      <c r="G3546">
        <f>BASE_EQUIPOS!M3546</f>
        <v/>
      </c>
      <c r="I3546" t="inlineStr">
        <is>
          <t>181/181400</t>
        </is>
      </c>
    </row>
    <row r="3547">
      <c r="A3547">
        <f>TRIM(BASE_EQUIPOS!N3547)</f>
        <v/>
      </c>
      <c r="B3547">
        <f>BASE_EQUIPOS!A3547</f>
        <v/>
      </c>
      <c r="C3547">
        <f>BASE_EQUIPOS!B3547</f>
        <v/>
      </c>
      <c r="D3547">
        <f>BASE_EQUIPOS!D3547</f>
        <v/>
      </c>
      <c r="E3547">
        <f>BASE_EQUIPOS!G3547</f>
        <v/>
      </c>
      <c r="F3547">
        <f>BASE_EQUIPOS!H3547</f>
        <v/>
      </c>
      <c r="G3547">
        <f>BASE_EQUIPOS!M3547</f>
        <v/>
      </c>
      <c r="I3547" t="inlineStr">
        <is>
          <t>182/178887</t>
        </is>
      </c>
    </row>
    <row r="3548">
      <c r="A3548">
        <f>TRIM(BASE_EQUIPOS!N3548)</f>
        <v/>
      </c>
      <c r="B3548">
        <f>BASE_EQUIPOS!A3548</f>
        <v/>
      </c>
      <c r="C3548">
        <f>BASE_EQUIPOS!B3548</f>
        <v/>
      </c>
      <c r="D3548">
        <f>BASE_EQUIPOS!D3548</f>
        <v/>
      </c>
      <c r="E3548">
        <f>BASE_EQUIPOS!G3548</f>
        <v/>
      </c>
      <c r="F3548">
        <f>BASE_EQUIPOS!H3548</f>
        <v/>
      </c>
      <c r="G3548">
        <f>BASE_EQUIPOS!M3548</f>
        <v/>
      </c>
      <c r="I3548" t="inlineStr">
        <is>
          <t>183/191240</t>
        </is>
      </c>
    </row>
    <row r="3549">
      <c r="A3549">
        <f>TRIM(BASE_EQUIPOS!N3549)</f>
        <v/>
      </c>
      <c r="B3549">
        <f>BASE_EQUIPOS!A3549</f>
        <v/>
      </c>
      <c r="C3549">
        <f>BASE_EQUIPOS!B3549</f>
        <v/>
      </c>
      <c r="D3549">
        <f>BASE_EQUIPOS!D3549</f>
        <v/>
      </c>
      <c r="E3549">
        <f>BASE_EQUIPOS!G3549</f>
        <v/>
      </c>
      <c r="F3549">
        <f>BASE_EQUIPOS!H3549</f>
        <v/>
      </c>
      <c r="G3549">
        <f>BASE_EQUIPOS!M3549</f>
        <v/>
      </c>
      <c r="I3549" t="inlineStr">
        <is>
          <t>184/152420</t>
        </is>
      </c>
    </row>
    <row r="3550">
      <c r="A3550">
        <f>TRIM(BASE_EQUIPOS!N3550)</f>
        <v/>
      </c>
      <c r="B3550">
        <f>BASE_EQUIPOS!A3550</f>
        <v/>
      </c>
      <c r="C3550">
        <f>BASE_EQUIPOS!B3550</f>
        <v/>
      </c>
      <c r="D3550">
        <f>BASE_EQUIPOS!D3550</f>
        <v/>
      </c>
      <c r="E3550">
        <f>BASE_EQUIPOS!G3550</f>
        <v/>
      </c>
      <c r="F3550">
        <f>BASE_EQUIPOS!H3550</f>
        <v/>
      </c>
      <c r="G3550">
        <f>BASE_EQUIPOS!M3550</f>
        <v/>
      </c>
      <c r="I3550" t="inlineStr">
        <is>
          <t>185/191132</t>
        </is>
      </c>
    </row>
    <row r="3551">
      <c r="A3551">
        <f>TRIM(BASE_EQUIPOS!N3551)</f>
        <v/>
      </c>
      <c r="B3551">
        <f>BASE_EQUIPOS!A3551</f>
        <v/>
      </c>
      <c r="C3551">
        <f>BASE_EQUIPOS!B3551</f>
        <v/>
      </c>
      <c r="D3551">
        <f>BASE_EQUIPOS!D3551</f>
        <v/>
      </c>
      <c r="E3551">
        <f>BASE_EQUIPOS!G3551</f>
        <v/>
      </c>
      <c r="F3551">
        <f>BASE_EQUIPOS!H3551</f>
        <v/>
      </c>
      <c r="G3551">
        <f>BASE_EQUIPOS!M3551</f>
        <v/>
      </c>
      <c r="I3551" t="inlineStr">
        <is>
          <t>186/190910</t>
        </is>
      </c>
    </row>
    <row r="3552">
      <c r="A3552">
        <f>TRIM(BASE_EQUIPOS!N3552)</f>
        <v/>
      </c>
      <c r="B3552">
        <f>BASE_EQUIPOS!A3552</f>
        <v/>
      </c>
      <c r="C3552">
        <f>BASE_EQUIPOS!B3552</f>
        <v/>
      </c>
      <c r="D3552">
        <f>BASE_EQUIPOS!D3552</f>
        <v/>
      </c>
      <c r="E3552">
        <f>BASE_EQUIPOS!G3552</f>
        <v/>
      </c>
      <c r="F3552">
        <f>BASE_EQUIPOS!H3552</f>
        <v/>
      </c>
      <c r="G3552">
        <f>BASE_EQUIPOS!M3552</f>
        <v/>
      </c>
      <c r="I3552" t="inlineStr">
        <is>
          <t>1/003235</t>
        </is>
      </c>
    </row>
    <row r="3553">
      <c r="A3553">
        <f>TRIM(BASE_EQUIPOS!N3553)</f>
        <v/>
      </c>
      <c r="B3553">
        <f>BASE_EQUIPOS!A3553</f>
        <v/>
      </c>
      <c r="C3553">
        <f>BASE_EQUIPOS!B3553</f>
        <v/>
      </c>
      <c r="D3553">
        <f>BASE_EQUIPOS!D3553</f>
        <v/>
      </c>
      <c r="E3553">
        <f>BASE_EQUIPOS!G3553</f>
        <v/>
      </c>
      <c r="F3553">
        <f>BASE_EQUIPOS!H3553</f>
        <v/>
      </c>
      <c r="G3553">
        <f>BASE_EQUIPOS!M3553</f>
        <v/>
      </c>
      <c r="I3553" t="inlineStr">
        <is>
          <t>2/005092</t>
        </is>
      </c>
    </row>
    <row r="3554">
      <c r="A3554">
        <f>TRIM(BASE_EQUIPOS!N3554)</f>
        <v/>
      </c>
      <c r="B3554">
        <f>BASE_EQUIPOS!A3554</f>
        <v/>
      </c>
      <c r="C3554">
        <f>BASE_EQUIPOS!B3554</f>
        <v/>
      </c>
      <c r="D3554">
        <f>BASE_EQUIPOS!D3554</f>
        <v/>
      </c>
      <c r="E3554">
        <f>BASE_EQUIPOS!G3554</f>
        <v/>
      </c>
      <c r="F3554">
        <f>BASE_EQUIPOS!H3554</f>
        <v/>
      </c>
      <c r="G3554">
        <f>BASE_EQUIPOS!M3554</f>
        <v/>
      </c>
      <c r="I3554" t="inlineStr">
        <is>
          <t>209/152348</t>
        </is>
      </c>
    </row>
    <row r="3555">
      <c r="A3555">
        <f>TRIM(BASE_EQUIPOS!N3555)</f>
        <v/>
      </c>
      <c r="B3555">
        <f>BASE_EQUIPOS!A3555</f>
        <v/>
      </c>
      <c r="C3555">
        <f>BASE_EQUIPOS!B3555</f>
        <v/>
      </c>
      <c r="D3555">
        <f>BASE_EQUIPOS!D3555</f>
        <v/>
      </c>
      <c r="E3555">
        <f>BASE_EQUIPOS!G3555</f>
        <v/>
      </c>
      <c r="F3555">
        <f>BASE_EQUIPOS!H3555</f>
        <v/>
      </c>
      <c r="G3555">
        <f>BASE_EQUIPOS!M3555</f>
        <v/>
      </c>
      <c r="I3555" t="inlineStr">
        <is>
          <t>210/152403</t>
        </is>
      </c>
    </row>
    <row r="3556">
      <c r="A3556">
        <f>TRIM(BASE_EQUIPOS!N3556)</f>
        <v/>
      </c>
      <c r="B3556">
        <f>BASE_EQUIPOS!A3556</f>
        <v/>
      </c>
      <c r="C3556">
        <f>BASE_EQUIPOS!B3556</f>
        <v/>
      </c>
      <c r="D3556">
        <f>BASE_EQUIPOS!D3556</f>
        <v/>
      </c>
      <c r="E3556">
        <f>BASE_EQUIPOS!G3556</f>
        <v/>
      </c>
      <c r="F3556">
        <f>BASE_EQUIPOS!H3556</f>
        <v/>
      </c>
      <c r="G3556">
        <f>BASE_EQUIPOS!M3556</f>
        <v/>
      </c>
      <c r="I3556" t="inlineStr">
        <is>
          <t>211/148774</t>
        </is>
      </c>
    </row>
    <row r="3557">
      <c r="A3557">
        <f>TRIM(BASE_EQUIPOS!N3557)</f>
        <v/>
      </c>
      <c r="B3557">
        <f>BASE_EQUIPOS!A3557</f>
        <v/>
      </c>
      <c r="C3557">
        <f>BASE_EQUIPOS!B3557</f>
        <v/>
      </c>
      <c r="D3557">
        <f>BASE_EQUIPOS!D3557</f>
        <v/>
      </c>
      <c r="E3557">
        <f>BASE_EQUIPOS!G3557</f>
        <v/>
      </c>
      <c r="F3557">
        <f>BASE_EQUIPOS!H3557</f>
        <v/>
      </c>
      <c r="G3557">
        <f>BASE_EQUIPOS!M3557</f>
        <v/>
      </c>
      <c r="I3557" t="inlineStr">
        <is>
          <t>212/178833</t>
        </is>
      </c>
    </row>
    <row r="3558">
      <c r="A3558">
        <f>TRIM(BASE_EQUIPOS!N3558)</f>
        <v/>
      </c>
      <c r="B3558">
        <f>BASE_EQUIPOS!A3558</f>
        <v/>
      </c>
      <c r="C3558">
        <f>BASE_EQUIPOS!B3558</f>
        <v/>
      </c>
      <c r="D3558">
        <f>BASE_EQUIPOS!D3558</f>
        <v/>
      </c>
      <c r="E3558">
        <f>BASE_EQUIPOS!G3558</f>
        <v/>
      </c>
      <c r="F3558">
        <f>BASE_EQUIPOS!H3558</f>
        <v/>
      </c>
      <c r="G3558">
        <f>BASE_EQUIPOS!M3558</f>
        <v/>
      </c>
      <c r="I3558" t="inlineStr">
        <is>
          <t>213/178766</t>
        </is>
      </c>
    </row>
    <row r="3559">
      <c r="A3559">
        <f>TRIM(BASE_EQUIPOS!N3559)</f>
        <v/>
      </c>
      <c r="B3559">
        <f>BASE_EQUIPOS!A3559</f>
        <v/>
      </c>
      <c r="C3559">
        <f>BASE_EQUIPOS!B3559</f>
        <v/>
      </c>
      <c r="D3559">
        <f>BASE_EQUIPOS!D3559</f>
        <v/>
      </c>
      <c r="E3559">
        <f>BASE_EQUIPOS!G3559</f>
        <v/>
      </c>
      <c r="F3559">
        <f>BASE_EQUIPOS!H3559</f>
        <v/>
      </c>
      <c r="G3559">
        <f>BASE_EQUIPOS!M3559</f>
        <v/>
      </c>
      <c r="I3559" t="inlineStr">
        <is>
          <t>SN/000645</t>
        </is>
      </c>
    </row>
    <row r="3560">
      <c r="A3560">
        <f>TRIM(BASE_EQUIPOS!N3560)</f>
        <v/>
      </c>
      <c r="B3560">
        <f>BASE_EQUIPOS!A3560</f>
        <v/>
      </c>
      <c r="C3560">
        <f>BASE_EQUIPOS!B3560</f>
        <v/>
      </c>
      <c r="D3560">
        <f>BASE_EQUIPOS!D3560</f>
        <v/>
      </c>
      <c r="E3560">
        <f>BASE_EQUIPOS!G3560</f>
        <v/>
      </c>
      <c r="F3560">
        <f>BASE_EQUIPOS!H3560</f>
        <v/>
      </c>
      <c r="G3560">
        <f>BASE_EQUIPOS!M3560</f>
        <v/>
      </c>
      <c r="I3560" t="inlineStr">
        <is>
          <t>SN/006242</t>
        </is>
      </c>
    </row>
    <row r="3561">
      <c r="A3561">
        <f>TRIM(BASE_EQUIPOS!N3561)</f>
        <v/>
      </c>
      <c r="B3561">
        <f>BASE_EQUIPOS!A3561</f>
        <v/>
      </c>
      <c r="C3561">
        <f>BASE_EQUIPOS!B3561</f>
        <v/>
      </c>
      <c r="D3561">
        <f>BASE_EQUIPOS!D3561</f>
        <v/>
      </c>
      <c r="E3561">
        <f>BASE_EQUIPOS!G3561</f>
        <v/>
      </c>
      <c r="F3561">
        <f>BASE_EQUIPOS!H3561</f>
        <v/>
      </c>
      <c r="G3561">
        <f>BASE_EQUIPOS!M3561</f>
        <v/>
      </c>
      <c r="I3561" t="inlineStr">
        <is>
          <t>19/002492</t>
        </is>
      </c>
    </row>
    <row r="3562">
      <c r="A3562">
        <f>TRIM(BASE_EQUIPOS!N3562)</f>
        <v/>
      </c>
      <c r="B3562">
        <f>BASE_EQUIPOS!A3562</f>
        <v/>
      </c>
      <c r="C3562">
        <f>BASE_EQUIPOS!B3562</f>
        <v/>
      </c>
      <c r="D3562">
        <f>BASE_EQUIPOS!D3562</f>
        <v/>
      </c>
      <c r="E3562">
        <f>BASE_EQUIPOS!G3562</f>
        <v/>
      </c>
      <c r="F3562">
        <f>BASE_EQUIPOS!H3562</f>
        <v/>
      </c>
      <c r="G3562">
        <f>BASE_EQUIPOS!M3562</f>
        <v/>
      </c>
      <c r="I3562" t="inlineStr">
        <is>
          <t>192/002197</t>
        </is>
      </c>
    </row>
    <row r="3563">
      <c r="A3563">
        <f>TRIM(BASE_EQUIPOS!N3563)</f>
        <v/>
      </c>
      <c r="B3563">
        <f>BASE_EQUIPOS!A3563</f>
        <v/>
      </c>
      <c r="C3563">
        <f>BASE_EQUIPOS!B3563</f>
        <v/>
      </c>
      <c r="D3563">
        <f>BASE_EQUIPOS!D3563</f>
        <v/>
      </c>
      <c r="E3563">
        <f>BASE_EQUIPOS!G3563</f>
        <v/>
      </c>
      <c r="F3563">
        <f>BASE_EQUIPOS!H3563</f>
        <v/>
      </c>
      <c r="G3563">
        <f>BASE_EQUIPOS!M3563</f>
        <v/>
      </c>
      <c r="I3563" t="inlineStr">
        <is>
          <t>114/016160</t>
        </is>
      </c>
    </row>
    <row r="3564">
      <c r="A3564">
        <f>TRIM(BASE_EQUIPOS!N3564)</f>
        <v/>
      </c>
      <c r="B3564">
        <f>BASE_EQUIPOS!A3564</f>
        <v/>
      </c>
      <c r="C3564">
        <f>BASE_EQUIPOS!B3564</f>
        <v/>
      </c>
      <c r="D3564">
        <f>BASE_EQUIPOS!D3564</f>
        <v/>
      </c>
      <c r="E3564">
        <f>BASE_EQUIPOS!G3564</f>
        <v/>
      </c>
      <c r="F3564">
        <f>BASE_EQUIPOS!H3564</f>
        <v/>
      </c>
      <c r="G3564">
        <f>BASE_EQUIPOS!M3564</f>
        <v/>
      </c>
      <c r="I3564" t="inlineStr">
        <is>
          <t>391/000723</t>
        </is>
      </c>
    </row>
    <row r="3565">
      <c r="A3565">
        <f>TRIM(BASE_EQUIPOS!N3565)</f>
        <v/>
      </c>
      <c r="B3565">
        <f>BASE_EQUIPOS!A3565</f>
        <v/>
      </c>
      <c r="C3565">
        <f>BASE_EQUIPOS!B3565</f>
        <v/>
      </c>
      <c r="D3565">
        <f>BASE_EQUIPOS!D3565</f>
        <v/>
      </c>
      <c r="E3565">
        <f>BASE_EQUIPOS!G3565</f>
        <v/>
      </c>
      <c r="F3565">
        <f>BASE_EQUIPOS!H3565</f>
        <v/>
      </c>
      <c r="G3565">
        <f>BASE_EQUIPOS!M3565</f>
        <v/>
      </c>
      <c r="I3565" t="inlineStr">
        <is>
          <t>75/001440</t>
        </is>
      </c>
    </row>
    <row r="3566">
      <c r="A3566">
        <f>TRIM(BASE_EQUIPOS!N3566)</f>
        <v/>
      </c>
      <c r="B3566">
        <f>BASE_EQUIPOS!A3566</f>
        <v/>
      </c>
      <c r="C3566">
        <f>BASE_EQUIPOS!B3566</f>
        <v/>
      </c>
      <c r="D3566">
        <f>BASE_EQUIPOS!D3566</f>
        <v/>
      </c>
      <c r="E3566">
        <f>BASE_EQUIPOS!G3566</f>
        <v/>
      </c>
      <c r="F3566">
        <f>BASE_EQUIPOS!H3566</f>
        <v/>
      </c>
      <c r="G3566">
        <f>BASE_EQUIPOS!M3566</f>
        <v/>
      </c>
      <c r="I3566" t="inlineStr">
        <is>
          <t>E-018/003040</t>
        </is>
      </c>
    </row>
    <row r="3567">
      <c r="A3567">
        <f>TRIM(BASE_EQUIPOS!N3567)</f>
        <v/>
      </c>
      <c r="B3567">
        <f>BASE_EQUIPOS!A3567</f>
        <v/>
      </c>
      <c r="C3567">
        <f>BASE_EQUIPOS!B3567</f>
        <v/>
      </c>
      <c r="D3567">
        <f>BASE_EQUIPOS!D3567</f>
        <v/>
      </c>
      <c r="E3567">
        <f>BASE_EQUIPOS!G3567</f>
        <v/>
      </c>
      <c r="F3567">
        <f>BASE_EQUIPOS!H3567</f>
        <v/>
      </c>
      <c r="G3567">
        <f>BASE_EQUIPOS!M3567</f>
        <v/>
      </c>
      <c r="I3567" t="inlineStr">
        <is>
          <t>01/163722</t>
        </is>
      </c>
    </row>
    <row r="3568">
      <c r="A3568">
        <f>TRIM(BASE_EQUIPOS!N3568)</f>
        <v/>
      </c>
      <c r="B3568">
        <f>BASE_EQUIPOS!A3568</f>
        <v/>
      </c>
      <c r="C3568">
        <f>BASE_EQUIPOS!B3568</f>
        <v/>
      </c>
      <c r="D3568">
        <f>BASE_EQUIPOS!D3568</f>
        <v/>
      </c>
      <c r="E3568">
        <f>BASE_EQUIPOS!G3568</f>
        <v/>
      </c>
      <c r="F3568">
        <f>BASE_EQUIPOS!H3568</f>
        <v/>
      </c>
      <c r="G3568">
        <f>BASE_EQUIPOS!M3568</f>
        <v/>
      </c>
      <c r="I3568" t="inlineStr">
        <is>
          <t>02/156198</t>
        </is>
      </c>
    </row>
    <row r="3569">
      <c r="A3569">
        <f>TRIM(BASE_EQUIPOS!N3569)</f>
        <v/>
      </c>
      <c r="B3569">
        <f>BASE_EQUIPOS!A3569</f>
        <v/>
      </c>
      <c r="C3569">
        <f>BASE_EQUIPOS!B3569</f>
        <v/>
      </c>
      <c r="D3569">
        <f>BASE_EQUIPOS!D3569</f>
        <v/>
      </c>
      <c r="E3569">
        <f>BASE_EQUIPOS!G3569</f>
        <v/>
      </c>
      <c r="F3569">
        <f>BASE_EQUIPOS!H3569</f>
        <v/>
      </c>
      <c r="G3569">
        <f>BASE_EQUIPOS!M3569</f>
        <v/>
      </c>
      <c r="I3569" t="inlineStr">
        <is>
          <t>03/000525</t>
        </is>
      </c>
    </row>
    <row r="3570">
      <c r="A3570">
        <f>TRIM(BASE_EQUIPOS!N3570)</f>
        <v/>
      </c>
      <c r="B3570">
        <f>BASE_EQUIPOS!A3570</f>
        <v/>
      </c>
      <c r="C3570">
        <f>BASE_EQUIPOS!B3570</f>
        <v/>
      </c>
      <c r="D3570">
        <f>BASE_EQUIPOS!D3570</f>
        <v/>
      </c>
      <c r="E3570">
        <f>BASE_EQUIPOS!G3570</f>
        <v/>
      </c>
      <c r="F3570">
        <f>BASE_EQUIPOS!H3570</f>
        <v/>
      </c>
      <c r="G3570">
        <f>BASE_EQUIPOS!M3570</f>
        <v/>
      </c>
      <c r="I3570" t="inlineStr">
        <is>
          <t>01/000120</t>
        </is>
      </c>
    </row>
    <row r="3571">
      <c r="A3571">
        <f>TRIM(BASE_EQUIPOS!N3571)</f>
        <v/>
      </c>
      <c r="B3571">
        <f>BASE_EQUIPOS!A3571</f>
        <v/>
      </c>
      <c r="C3571">
        <f>BASE_EQUIPOS!B3571</f>
        <v/>
      </c>
      <c r="D3571">
        <f>BASE_EQUIPOS!D3571</f>
        <v/>
      </c>
      <c r="E3571">
        <f>BASE_EQUIPOS!G3571</f>
        <v/>
      </c>
      <c r="F3571">
        <f>BASE_EQUIPOS!H3571</f>
        <v/>
      </c>
      <c r="G3571">
        <f>BASE_EQUIPOS!M3571</f>
        <v/>
      </c>
      <c r="I3571" t="inlineStr">
        <is>
          <t>02/000278</t>
        </is>
      </c>
    </row>
    <row r="3572">
      <c r="A3572">
        <f>TRIM(BASE_EQUIPOS!N3572)</f>
        <v/>
      </c>
      <c r="B3572">
        <f>BASE_EQUIPOS!A3572</f>
        <v/>
      </c>
      <c r="C3572">
        <f>BASE_EQUIPOS!B3572</f>
        <v/>
      </c>
      <c r="D3572">
        <f>BASE_EQUIPOS!D3572</f>
        <v/>
      </c>
      <c r="E3572">
        <f>BASE_EQUIPOS!G3572</f>
        <v/>
      </c>
      <c r="F3572">
        <f>BASE_EQUIPOS!H3572</f>
        <v/>
      </c>
      <c r="G3572">
        <f>BASE_EQUIPOS!M3572</f>
        <v/>
      </c>
      <c r="I3572" t="inlineStr">
        <is>
          <t>03/000195</t>
        </is>
      </c>
    </row>
    <row r="3573">
      <c r="A3573">
        <f>TRIM(BASE_EQUIPOS!N3573)</f>
        <v/>
      </c>
      <c r="B3573">
        <f>BASE_EQUIPOS!A3573</f>
        <v/>
      </c>
      <c r="C3573">
        <f>BASE_EQUIPOS!B3573</f>
        <v/>
      </c>
      <c r="D3573">
        <f>BASE_EQUIPOS!D3573</f>
        <v/>
      </c>
      <c r="E3573">
        <f>BASE_EQUIPOS!G3573</f>
        <v/>
      </c>
      <c r="F3573">
        <f>BASE_EQUIPOS!H3573</f>
        <v/>
      </c>
      <c r="G3573">
        <f>BASE_EQUIPOS!M3573</f>
        <v/>
      </c>
      <c r="I3573" t="inlineStr">
        <is>
          <t>04/001948</t>
        </is>
      </c>
    </row>
    <row r="3574">
      <c r="A3574">
        <f>TRIM(BASE_EQUIPOS!N3574)</f>
        <v/>
      </c>
      <c r="B3574">
        <f>BASE_EQUIPOS!A3574</f>
        <v/>
      </c>
      <c r="C3574">
        <f>BASE_EQUIPOS!B3574</f>
        <v/>
      </c>
      <c r="D3574">
        <f>BASE_EQUIPOS!D3574</f>
        <v/>
      </c>
      <c r="E3574">
        <f>BASE_EQUIPOS!G3574</f>
        <v/>
      </c>
      <c r="F3574">
        <f>BASE_EQUIPOS!H3574</f>
        <v/>
      </c>
      <c r="G3574">
        <f>BASE_EQUIPOS!M3574</f>
        <v/>
      </c>
      <c r="I3574" t="inlineStr">
        <is>
          <t>05/002566</t>
        </is>
      </c>
    </row>
    <row r="3575">
      <c r="A3575">
        <f>TRIM(BASE_EQUIPOS!N3575)</f>
        <v/>
      </c>
      <c r="B3575">
        <f>BASE_EQUIPOS!A3575</f>
        <v/>
      </c>
      <c r="C3575">
        <f>BASE_EQUIPOS!B3575</f>
        <v/>
      </c>
      <c r="D3575">
        <f>BASE_EQUIPOS!D3575</f>
        <v/>
      </c>
      <c r="E3575">
        <f>BASE_EQUIPOS!G3575</f>
        <v/>
      </c>
      <c r="F3575">
        <f>BASE_EQUIPOS!H3575</f>
        <v/>
      </c>
      <c r="G3575">
        <f>BASE_EQUIPOS!M3575</f>
        <v/>
      </c>
      <c r="I3575" t="inlineStr">
        <is>
          <t>07/010271</t>
        </is>
      </c>
    </row>
    <row r="3576">
      <c r="A3576">
        <f>TRIM(BASE_EQUIPOS!N3576)</f>
        <v/>
      </c>
      <c r="B3576">
        <f>BASE_EQUIPOS!A3576</f>
        <v/>
      </c>
      <c r="C3576">
        <f>BASE_EQUIPOS!B3576</f>
        <v/>
      </c>
      <c r="D3576">
        <f>BASE_EQUIPOS!D3576</f>
        <v/>
      </c>
      <c r="E3576">
        <f>BASE_EQUIPOS!G3576</f>
        <v/>
      </c>
      <c r="F3576">
        <f>BASE_EQUIPOS!H3576</f>
        <v/>
      </c>
      <c r="G3576">
        <f>BASE_EQUIPOS!M3576</f>
        <v/>
      </c>
      <c r="I3576" t="inlineStr">
        <is>
          <t>08/000375</t>
        </is>
      </c>
    </row>
    <row r="3577">
      <c r="A3577">
        <f>TRIM(BASE_EQUIPOS!N3577)</f>
        <v/>
      </c>
      <c r="B3577">
        <f>BASE_EQUIPOS!A3577</f>
        <v/>
      </c>
      <c r="C3577">
        <f>BASE_EQUIPOS!B3577</f>
        <v/>
      </c>
      <c r="D3577">
        <f>BASE_EQUIPOS!D3577</f>
        <v/>
      </c>
      <c r="E3577">
        <f>BASE_EQUIPOS!G3577</f>
        <v/>
      </c>
      <c r="F3577">
        <f>BASE_EQUIPOS!H3577</f>
        <v/>
      </c>
      <c r="G3577">
        <f>BASE_EQUIPOS!M3577</f>
        <v/>
      </c>
      <c r="I3577" t="inlineStr">
        <is>
          <t>09/000196</t>
        </is>
      </c>
    </row>
    <row r="3578">
      <c r="A3578">
        <f>TRIM(BASE_EQUIPOS!N3578)</f>
        <v/>
      </c>
      <c r="B3578">
        <f>BASE_EQUIPOS!A3578</f>
        <v/>
      </c>
      <c r="C3578">
        <f>BASE_EQUIPOS!B3578</f>
        <v/>
      </c>
      <c r="D3578">
        <f>BASE_EQUIPOS!D3578</f>
        <v/>
      </c>
      <c r="E3578">
        <f>BASE_EQUIPOS!G3578</f>
        <v/>
      </c>
      <c r="F3578">
        <f>BASE_EQUIPOS!H3578</f>
        <v/>
      </c>
      <c r="G3578">
        <f>BASE_EQUIPOS!M3578</f>
        <v/>
      </c>
      <c r="I3578" t="inlineStr">
        <is>
          <t>10/156307</t>
        </is>
      </c>
    </row>
    <row r="3579">
      <c r="A3579">
        <f>TRIM(BASE_EQUIPOS!N3579)</f>
        <v/>
      </c>
      <c r="B3579">
        <f>BASE_EQUIPOS!A3579</f>
        <v/>
      </c>
      <c r="C3579">
        <f>BASE_EQUIPOS!B3579</f>
        <v/>
      </c>
      <c r="D3579">
        <f>BASE_EQUIPOS!D3579</f>
        <v/>
      </c>
      <c r="E3579">
        <f>BASE_EQUIPOS!G3579</f>
        <v/>
      </c>
      <c r="F3579">
        <f>BASE_EQUIPOS!H3579</f>
        <v/>
      </c>
      <c r="G3579">
        <f>BASE_EQUIPOS!M3579</f>
        <v/>
      </c>
      <c r="I3579" t="inlineStr">
        <is>
          <t>11/000026</t>
        </is>
      </c>
    </row>
    <row r="3580">
      <c r="A3580">
        <f>TRIM(BASE_EQUIPOS!N3580)</f>
        <v/>
      </c>
      <c r="B3580">
        <f>BASE_EQUIPOS!A3580</f>
        <v/>
      </c>
      <c r="C3580">
        <f>BASE_EQUIPOS!B3580</f>
        <v/>
      </c>
      <c r="D3580">
        <f>BASE_EQUIPOS!D3580</f>
        <v/>
      </c>
      <c r="E3580">
        <f>BASE_EQUIPOS!G3580</f>
        <v/>
      </c>
      <c r="F3580">
        <f>BASE_EQUIPOS!H3580</f>
        <v/>
      </c>
      <c r="G3580">
        <f>BASE_EQUIPOS!M3580</f>
        <v/>
      </c>
      <c r="I3580" t="inlineStr">
        <is>
          <t>12/009171</t>
        </is>
      </c>
    </row>
    <row r="3581">
      <c r="A3581">
        <f>TRIM(BASE_EQUIPOS!N3581)</f>
        <v/>
      </c>
      <c r="B3581">
        <f>BASE_EQUIPOS!A3581</f>
        <v/>
      </c>
      <c r="C3581">
        <f>BASE_EQUIPOS!B3581</f>
        <v/>
      </c>
      <c r="D3581">
        <f>BASE_EQUIPOS!D3581</f>
        <v/>
      </c>
      <c r="E3581">
        <f>BASE_EQUIPOS!G3581</f>
        <v/>
      </c>
      <c r="F3581">
        <f>BASE_EQUIPOS!H3581</f>
        <v/>
      </c>
      <c r="G3581">
        <f>BASE_EQUIPOS!M3581</f>
        <v/>
      </c>
      <c r="I3581" t="inlineStr">
        <is>
          <t>13/000094</t>
        </is>
      </c>
    </row>
    <row r="3582">
      <c r="A3582">
        <f>TRIM(BASE_EQUIPOS!N3582)</f>
        <v/>
      </c>
      <c r="B3582">
        <f>BASE_EQUIPOS!A3582</f>
        <v/>
      </c>
      <c r="C3582">
        <f>BASE_EQUIPOS!B3582</f>
        <v/>
      </c>
      <c r="D3582">
        <f>BASE_EQUIPOS!D3582</f>
        <v/>
      </c>
      <c r="E3582">
        <f>BASE_EQUIPOS!G3582</f>
        <v/>
      </c>
      <c r="F3582">
        <f>BASE_EQUIPOS!H3582</f>
        <v/>
      </c>
      <c r="G3582">
        <f>BASE_EQUIPOS!M3582</f>
        <v/>
      </c>
      <c r="I3582" t="inlineStr">
        <is>
          <t>14/001937</t>
        </is>
      </c>
    </row>
    <row r="3583">
      <c r="A3583">
        <f>TRIM(BASE_EQUIPOS!N3583)</f>
        <v/>
      </c>
      <c r="B3583">
        <f>BASE_EQUIPOS!A3583</f>
        <v/>
      </c>
      <c r="C3583">
        <f>BASE_EQUIPOS!B3583</f>
        <v/>
      </c>
      <c r="D3583">
        <f>BASE_EQUIPOS!D3583</f>
        <v/>
      </c>
      <c r="E3583">
        <f>BASE_EQUIPOS!G3583</f>
        <v/>
      </c>
      <c r="F3583">
        <f>BASE_EQUIPOS!H3583</f>
        <v/>
      </c>
      <c r="G3583">
        <f>BASE_EQUIPOS!M3583</f>
        <v/>
      </c>
      <c r="I3583" t="inlineStr">
        <is>
          <t>15/163801</t>
        </is>
      </c>
    </row>
    <row r="3584">
      <c r="A3584">
        <f>TRIM(BASE_EQUIPOS!N3584)</f>
        <v/>
      </c>
      <c r="B3584">
        <f>BASE_EQUIPOS!A3584</f>
        <v/>
      </c>
      <c r="C3584">
        <f>BASE_EQUIPOS!B3584</f>
        <v/>
      </c>
      <c r="D3584">
        <f>BASE_EQUIPOS!D3584</f>
        <v/>
      </c>
      <c r="E3584">
        <f>BASE_EQUIPOS!G3584</f>
        <v/>
      </c>
      <c r="F3584">
        <f>BASE_EQUIPOS!H3584</f>
        <v/>
      </c>
      <c r="G3584">
        <f>BASE_EQUIPOS!M3584</f>
        <v/>
      </c>
      <c r="I3584" t="inlineStr">
        <is>
          <t>E-032/000275</t>
        </is>
      </c>
    </row>
    <row r="3585">
      <c r="A3585">
        <f>TRIM(BASE_EQUIPOS!N3585)</f>
        <v/>
      </c>
      <c r="B3585">
        <f>BASE_EQUIPOS!A3585</f>
        <v/>
      </c>
      <c r="C3585">
        <f>BASE_EQUIPOS!B3585</f>
        <v/>
      </c>
      <c r="D3585">
        <f>BASE_EQUIPOS!D3585</f>
        <v/>
      </c>
      <c r="E3585">
        <f>BASE_EQUIPOS!G3585</f>
        <v/>
      </c>
      <c r="F3585">
        <f>BASE_EQUIPOS!H3585</f>
        <v/>
      </c>
      <c r="G3585">
        <f>BASE_EQUIPOS!M3585</f>
        <v/>
      </c>
      <c r="I3585" t="inlineStr">
        <is>
          <t>16/0001500</t>
        </is>
      </c>
    </row>
    <row r="3586">
      <c r="A3586">
        <f>TRIM(BASE_EQUIPOS!N3586)</f>
        <v/>
      </c>
      <c r="B3586">
        <f>BASE_EQUIPOS!A3586</f>
        <v/>
      </c>
      <c r="C3586">
        <f>BASE_EQUIPOS!B3586</f>
        <v/>
      </c>
      <c r="D3586">
        <f>BASE_EQUIPOS!D3586</f>
        <v/>
      </c>
      <c r="E3586">
        <f>BASE_EQUIPOS!G3586</f>
        <v/>
      </c>
      <c r="F3586">
        <f>BASE_EQUIPOS!H3586</f>
        <v/>
      </c>
      <c r="G3586">
        <f>BASE_EQUIPOS!M3586</f>
        <v/>
      </c>
      <c r="I3586" t="inlineStr">
        <is>
          <t>17/000057</t>
        </is>
      </c>
    </row>
    <row r="3587">
      <c r="A3587">
        <f>TRIM(BASE_EQUIPOS!N3587)</f>
        <v/>
      </c>
      <c r="B3587">
        <f>BASE_EQUIPOS!A3587</f>
        <v/>
      </c>
      <c r="C3587">
        <f>BASE_EQUIPOS!B3587</f>
        <v/>
      </c>
      <c r="D3587">
        <f>BASE_EQUIPOS!D3587</f>
        <v/>
      </c>
      <c r="E3587">
        <f>BASE_EQUIPOS!G3587</f>
        <v/>
      </c>
      <c r="F3587">
        <f>BASE_EQUIPOS!H3587</f>
        <v/>
      </c>
      <c r="G3587">
        <f>BASE_EQUIPOS!M3587</f>
        <v/>
      </c>
      <c r="I3587" t="inlineStr">
        <is>
          <t>18/002083</t>
        </is>
      </c>
    </row>
    <row r="3588">
      <c r="A3588">
        <f>TRIM(BASE_EQUIPOS!N3588)</f>
        <v/>
      </c>
      <c r="B3588">
        <f>BASE_EQUIPOS!A3588</f>
        <v/>
      </c>
      <c r="C3588">
        <f>BASE_EQUIPOS!B3588</f>
        <v/>
      </c>
      <c r="D3588">
        <f>BASE_EQUIPOS!D3588</f>
        <v/>
      </c>
      <c r="E3588">
        <f>BASE_EQUIPOS!G3588</f>
        <v/>
      </c>
      <c r="F3588">
        <f>BASE_EQUIPOS!H3588</f>
        <v/>
      </c>
      <c r="G3588">
        <f>BASE_EQUIPOS!M3588</f>
        <v/>
      </c>
      <c r="I3588" t="inlineStr">
        <is>
          <t>19/009557</t>
        </is>
      </c>
    </row>
    <row r="3589">
      <c r="A3589">
        <f>TRIM(BASE_EQUIPOS!N3589)</f>
        <v/>
      </c>
      <c r="B3589">
        <f>BASE_EQUIPOS!A3589</f>
        <v/>
      </c>
      <c r="C3589">
        <f>BASE_EQUIPOS!B3589</f>
        <v/>
      </c>
      <c r="D3589">
        <f>BASE_EQUIPOS!D3589</f>
        <v/>
      </c>
      <c r="E3589">
        <f>BASE_EQUIPOS!G3589</f>
        <v/>
      </c>
      <c r="F3589">
        <f>BASE_EQUIPOS!H3589</f>
        <v/>
      </c>
      <c r="G3589">
        <f>BASE_EQUIPOS!M3589</f>
        <v/>
      </c>
      <c r="I3589" t="inlineStr">
        <is>
          <t>20/000984</t>
        </is>
      </c>
    </row>
    <row r="3590">
      <c r="A3590">
        <f>TRIM(BASE_EQUIPOS!N3590)</f>
        <v/>
      </c>
      <c r="B3590">
        <f>BASE_EQUIPOS!A3590</f>
        <v/>
      </c>
      <c r="C3590">
        <f>BASE_EQUIPOS!B3590</f>
        <v/>
      </c>
      <c r="D3590">
        <f>BASE_EQUIPOS!D3590</f>
        <v/>
      </c>
      <c r="E3590">
        <f>BASE_EQUIPOS!G3590</f>
        <v/>
      </c>
      <c r="F3590">
        <f>BASE_EQUIPOS!H3590</f>
        <v/>
      </c>
      <c r="G3590">
        <f>BASE_EQUIPOS!M3590</f>
        <v/>
      </c>
      <c r="I3590" t="inlineStr">
        <is>
          <t>21/004393</t>
        </is>
      </c>
    </row>
    <row r="3591">
      <c r="A3591">
        <f>TRIM(BASE_EQUIPOS!N3591)</f>
        <v/>
      </c>
      <c r="B3591">
        <f>BASE_EQUIPOS!A3591</f>
        <v/>
      </c>
      <c r="C3591">
        <f>BASE_EQUIPOS!B3591</f>
        <v/>
      </c>
      <c r="D3591">
        <f>BASE_EQUIPOS!D3591</f>
        <v/>
      </c>
      <c r="E3591">
        <f>BASE_EQUIPOS!G3591</f>
        <v/>
      </c>
      <c r="F3591">
        <f>BASE_EQUIPOS!H3591</f>
        <v/>
      </c>
      <c r="G3591">
        <f>BASE_EQUIPOS!M3591</f>
        <v/>
      </c>
      <c r="I3591" t="inlineStr">
        <is>
          <t>23/000002</t>
        </is>
      </c>
    </row>
    <row r="3592">
      <c r="A3592">
        <f>TRIM(BASE_EQUIPOS!N3592)</f>
        <v/>
      </c>
      <c r="B3592">
        <f>BASE_EQUIPOS!A3592</f>
        <v/>
      </c>
      <c r="C3592">
        <f>BASE_EQUIPOS!B3592</f>
        <v/>
      </c>
      <c r="D3592">
        <f>BASE_EQUIPOS!D3592</f>
        <v/>
      </c>
      <c r="E3592">
        <f>BASE_EQUIPOS!G3592</f>
        <v/>
      </c>
      <c r="F3592">
        <f>BASE_EQUIPOS!H3592</f>
        <v/>
      </c>
      <c r="G3592">
        <f>BASE_EQUIPOS!M3592</f>
        <v/>
      </c>
      <c r="I3592" t="inlineStr">
        <is>
          <t>24/008759</t>
        </is>
      </c>
    </row>
    <row r="3593">
      <c r="A3593">
        <f>TRIM(BASE_EQUIPOS!N3593)</f>
        <v/>
      </c>
      <c r="B3593">
        <f>BASE_EQUIPOS!A3593</f>
        <v/>
      </c>
      <c r="C3593">
        <f>BASE_EQUIPOS!B3593</f>
        <v/>
      </c>
      <c r="D3593">
        <f>BASE_EQUIPOS!D3593</f>
        <v/>
      </c>
      <c r="E3593">
        <f>BASE_EQUIPOS!G3593</f>
        <v/>
      </c>
      <c r="F3593">
        <f>BASE_EQUIPOS!H3593</f>
        <v/>
      </c>
      <c r="G3593">
        <f>BASE_EQUIPOS!M3593</f>
        <v/>
      </c>
      <c r="I3593" t="inlineStr">
        <is>
          <t>25/001603</t>
        </is>
      </c>
    </row>
    <row r="3594">
      <c r="A3594">
        <f>TRIM(BASE_EQUIPOS!N3594)</f>
        <v/>
      </c>
      <c r="B3594">
        <f>BASE_EQUIPOS!A3594</f>
        <v/>
      </c>
      <c r="C3594">
        <f>BASE_EQUIPOS!B3594</f>
        <v/>
      </c>
      <c r="D3594">
        <f>BASE_EQUIPOS!D3594</f>
        <v/>
      </c>
      <c r="E3594">
        <f>BASE_EQUIPOS!G3594</f>
        <v/>
      </c>
      <c r="F3594">
        <f>BASE_EQUIPOS!H3594</f>
        <v/>
      </c>
      <c r="G3594">
        <f>BASE_EQUIPOS!M3594</f>
        <v/>
      </c>
      <c r="I3594" t="inlineStr">
        <is>
          <t>26/001190</t>
        </is>
      </c>
    </row>
    <row r="3595">
      <c r="A3595">
        <f>TRIM(BASE_EQUIPOS!N3595)</f>
        <v/>
      </c>
      <c r="B3595">
        <f>BASE_EQUIPOS!A3595</f>
        <v/>
      </c>
      <c r="C3595">
        <f>BASE_EQUIPOS!B3595</f>
        <v/>
      </c>
      <c r="D3595">
        <f>BASE_EQUIPOS!D3595</f>
        <v/>
      </c>
      <c r="E3595">
        <f>BASE_EQUIPOS!G3595</f>
        <v/>
      </c>
      <c r="F3595">
        <f>BASE_EQUIPOS!H3595</f>
        <v/>
      </c>
      <c r="G3595">
        <f>BASE_EQUIPOS!M3595</f>
        <v/>
      </c>
      <c r="I3595" t="inlineStr">
        <is>
          <t>27/000007</t>
        </is>
      </c>
    </row>
    <row r="3596">
      <c r="A3596">
        <f>TRIM(BASE_EQUIPOS!N3596)</f>
        <v/>
      </c>
      <c r="B3596">
        <f>BASE_EQUIPOS!A3596</f>
        <v/>
      </c>
      <c r="C3596">
        <f>BASE_EQUIPOS!B3596</f>
        <v/>
      </c>
      <c r="D3596">
        <f>BASE_EQUIPOS!D3596</f>
        <v/>
      </c>
      <c r="E3596">
        <f>BASE_EQUIPOS!G3596</f>
        <v/>
      </c>
      <c r="F3596">
        <f>BASE_EQUIPOS!H3596</f>
        <v/>
      </c>
      <c r="G3596">
        <f>BASE_EQUIPOS!M3596</f>
        <v/>
      </c>
      <c r="I3596" t="inlineStr">
        <is>
          <t>28/X995480</t>
        </is>
      </c>
    </row>
    <row r="3597">
      <c r="A3597">
        <f>TRIM(BASE_EQUIPOS!N3597)</f>
        <v/>
      </c>
      <c r="B3597">
        <f>BASE_EQUIPOS!A3597</f>
        <v/>
      </c>
      <c r="C3597">
        <f>BASE_EQUIPOS!B3597</f>
        <v/>
      </c>
      <c r="D3597">
        <f>BASE_EQUIPOS!D3597</f>
        <v/>
      </c>
      <c r="E3597">
        <f>BASE_EQUIPOS!G3597</f>
        <v/>
      </c>
      <c r="F3597">
        <f>BASE_EQUIPOS!H3597</f>
        <v/>
      </c>
      <c r="G3597">
        <f>BASE_EQUIPOS!M3597</f>
        <v/>
      </c>
      <c r="I3597" t="inlineStr">
        <is>
          <t>29/000021</t>
        </is>
      </c>
    </row>
    <row r="3598">
      <c r="A3598">
        <f>TRIM(BASE_EQUIPOS!N3598)</f>
        <v/>
      </c>
      <c r="B3598">
        <f>BASE_EQUIPOS!A3598</f>
        <v/>
      </c>
      <c r="C3598">
        <f>BASE_EQUIPOS!B3598</f>
        <v/>
      </c>
      <c r="D3598">
        <f>BASE_EQUIPOS!D3598</f>
        <v/>
      </c>
      <c r="E3598">
        <f>BASE_EQUIPOS!G3598</f>
        <v/>
      </c>
      <c r="F3598">
        <f>BASE_EQUIPOS!H3598</f>
        <v/>
      </c>
      <c r="G3598">
        <f>BASE_EQUIPOS!M3598</f>
        <v/>
      </c>
      <c r="I3598" t="inlineStr">
        <is>
          <t>30/000082</t>
        </is>
      </c>
    </row>
    <row r="3599">
      <c r="A3599">
        <f>TRIM(BASE_EQUIPOS!N3599)</f>
        <v/>
      </c>
      <c r="B3599">
        <f>BASE_EQUIPOS!A3599</f>
        <v/>
      </c>
      <c r="C3599">
        <f>BASE_EQUIPOS!B3599</f>
        <v/>
      </c>
      <c r="D3599">
        <f>BASE_EQUIPOS!D3599</f>
        <v/>
      </c>
      <c r="E3599">
        <f>BASE_EQUIPOS!G3599</f>
        <v/>
      </c>
      <c r="F3599">
        <f>BASE_EQUIPOS!H3599</f>
        <v/>
      </c>
      <c r="G3599">
        <f>BASE_EQUIPOS!M3599</f>
        <v/>
      </c>
      <c r="I3599" t="inlineStr">
        <is>
          <t>31/000736</t>
        </is>
      </c>
    </row>
    <row r="3600">
      <c r="A3600">
        <f>TRIM(BASE_EQUIPOS!N3600)</f>
        <v/>
      </c>
      <c r="B3600">
        <f>BASE_EQUIPOS!A3600</f>
        <v/>
      </c>
      <c r="C3600">
        <f>BASE_EQUIPOS!B3600</f>
        <v/>
      </c>
      <c r="D3600">
        <f>BASE_EQUIPOS!D3600</f>
        <v/>
      </c>
      <c r="E3600">
        <f>BASE_EQUIPOS!G3600</f>
        <v/>
      </c>
      <c r="F3600">
        <f>BASE_EQUIPOS!H3600</f>
        <v/>
      </c>
      <c r="G3600">
        <f>BASE_EQUIPOS!M3600</f>
        <v/>
      </c>
      <c r="I3600" t="inlineStr">
        <is>
          <t>32/026515</t>
        </is>
      </c>
    </row>
    <row r="3601">
      <c r="A3601">
        <f>TRIM(BASE_EQUIPOS!N3601)</f>
        <v/>
      </c>
      <c r="B3601">
        <f>BASE_EQUIPOS!A3601</f>
        <v/>
      </c>
      <c r="C3601">
        <f>BASE_EQUIPOS!B3601</f>
        <v/>
      </c>
      <c r="D3601">
        <f>BASE_EQUIPOS!D3601</f>
        <v/>
      </c>
      <c r="E3601">
        <f>BASE_EQUIPOS!G3601</f>
        <v/>
      </c>
      <c r="F3601">
        <f>BASE_EQUIPOS!H3601</f>
        <v/>
      </c>
      <c r="G3601">
        <f>BASE_EQUIPOS!M3601</f>
        <v/>
      </c>
      <c r="I3601" t="inlineStr">
        <is>
          <t>33/000360</t>
        </is>
      </c>
    </row>
    <row r="3602">
      <c r="A3602">
        <f>TRIM(BASE_EQUIPOS!N3602)</f>
        <v/>
      </c>
      <c r="B3602">
        <f>BASE_EQUIPOS!A3602</f>
        <v/>
      </c>
      <c r="C3602">
        <f>BASE_EQUIPOS!B3602</f>
        <v/>
      </c>
      <c r="D3602">
        <f>BASE_EQUIPOS!D3602</f>
        <v/>
      </c>
      <c r="E3602">
        <f>BASE_EQUIPOS!G3602</f>
        <v/>
      </c>
      <c r="F3602">
        <f>BASE_EQUIPOS!H3602</f>
        <v/>
      </c>
      <c r="G3602">
        <f>BASE_EQUIPOS!M3602</f>
        <v/>
      </c>
      <c r="I3602" t="inlineStr">
        <is>
          <t>34/189725</t>
        </is>
      </c>
    </row>
    <row r="3603">
      <c r="A3603">
        <f>TRIM(BASE_EQUIPOS!N3603)</f>
        <v/>
      </c>
      <c r="B3603">
        <f>BASE_EQUIPOS!A3603</f>
        <v/>
      </c>
      <c r="C3603">
        <f>BASE_EQUIPOS!B3603</f>
        <v/>
      </c>
      <c r="D3603">
        <f>BASE_EQUIPOS!D3603</f>
        <v/>
      </c>
      <c r="E3603">
        <f>BASE_EQUIPOS!G3603</f>
        <v/>
      </c>
      <c r="F3603">
        <f>BASE_EQUIPOS!H3603</f>
        <v/>
      </c>
      <c r="G3603">
        <f>BASE_EQUIPOS!M3603</f>
        <v/>
      </c>
      <c r="I3603" t="inlineStr">
        <is>
          <t>35/000003</t>
        </is>
      </c>
    </row>
    <row r="3604">
      <c r="A3604">
        <f>TRIM(BASE_EQUIPOS!N3604)</f>
        <v/>
      </c>
      <c r="B3604">
        <f>BASE_EQUIPOS!A3604</f>
        <v/>
      </c>
      <c r="C3604">
        <f>BASE_EQUIPOS!B3604</f>
        <v/>
      </c>
      <c r="D3604">
        <f>BASE_EQUIPOS!D3604</f>
        <v/>
      </c>
      <c r="E3604">
        <f>BASE_EQUIPOS!G3604</f>
        <v/>
      </c>
      <c r="F3604">
        <f>BASE_EQUIPOS!H3604</f>
        <v/>
      </c>
      <c r="G3604">
        <f>BASE_EQUIPOS!M3604</f>
        <v/>
      </c>
      <c r="I3604" t="inlineStr">
        <is>
          <t>03/003544</t>
        </is>
      </c>
    </row>
    <row r="3605">
      <c r="A3605">
        <f>TRIM(BASE_EQUIPOS!N3605)</f>
        <v/>
      </c>
      <c r="B3605">
        <f>BASE_EQUIPOS!A3605</f>
        <v/>
      </c>
      <c r="C3605">
        <f>BASE_EQUIPOS!B3605</f>
        <v/>
      </c>
      <c r="D3605">
        <f>BASE_EQUIPOS!D3605</f>
        <v/>
      </c>
      <c r="E3605">
        <f>BASE_EQUIPOS!G3605</f>
        <v/>
      </c>
      <c r="F3605">
        <f>BASE_EQUIPOS!H3605</f>
        <v/>
      </c>
      <c r="G3605">
        <f>BASE_EQUIPOS!M3605</f>
        <v/>
      </c>
      <c r="I3605" t="inlineStr">
        <is>
          <t>09/000866</t>
        </is>
      </c>
    </row>
    <row r="3606">
      <c r="A3606">
        <f>TRIM(BASE_EQUIPOS!N3606)</f>
        <v/>
      </c>
      <c r="B3606">
        <f>BASE_EQUIPOS!A3606</f>
        <v/>
      </c>
      <c r="C3606">
        <f>BASE_EQUIPOS!B3606</f>
        <v/>
      </c>
      <c r="D3606">
        <f>BASE_EQUIPOS!D3606</f>
        <v/>
      </c>
      <c r="E3606">
        <f>BASE_EQUIPOS!G3606</f>
        <v/>
      </c>
      <c r="F3606">
        <f>BASE_EQUIPOS!H3606</f>
        <v/>
      </c>
      <c r="G3606">
        <f>BASE_EQUIPOS!M3606</f>
        <v/>
      </c>
      <c r="I3606" t="inlineStr">
        <is>
          <t>08/004192</t>
        </is>
      </c>
    </row>
    <row r="3607">
      <c r="A3607">
        <f>TRIM(BASE_EQUIPOS!N3607)</f>
        <v/>
      </c>
      <c r="B3607">
        <f>BASE_EQUIPOS!A3607</f>
        <v/>
      </c>
      <c r="C3607">
        <f>BASE_EQUIPOS!B3607</f>
        <v/>
      </c>
      <c r="D3607">
        <f>BASE_EQUIPOS!D3607</f>
        <v/>
      </c>
      <c r="E3607">
        <f>BASE_EQUIPOS!G3607</f>
        <v/>
      </c>
      <c r="F3607">
        <f>BASE_EQUIPOS!H3607</f>
        <v/>
      </c>
      <c r="G3607">
        <f>BASE_EQUIPOS!M3607</f>
        <v/>
      </c>
      <c r="I3607" t="inlineStr">
        <is>
          <t>04/003553</t>
        </is>
      </c>
    </row>
    <row r="3608">
      <c r="A3608">
        <f>TRIM(BASE_EQUIPOS!N3608)</f>
        <v/>
      </c>
      <c r="B3608">
        <f>BASE_EQUIPOS!A3608</f>
        <v/>
      </c>
      <c r="C3608">
        <f>BASE_EQUIPOS!B3608</f>
        <v/>
      </c>
      <c r="D3608">
        <f>BASE_EQUIPOS!D3608</f>
        <v/>
      </c>
      <c r="E3608">
        <f>BASE_EQUIPOS!G3608</f>
        <v/>
      </c>
      <c r="F3608">
        <f>BASE_EQUIPOS!H3608</f>
        <v/>
      </c>
      <c r="G3608">
        <f>BASE_EQUIPOS!M3608</f>
        <v/>
      </c>
      <c r="I3608" t="inlineStr">
        <is>
          <t>13/974808</t>
        </is>
      </c>
    </row>
    <row r="3609">
      <c r="A3609">
        <f>TRIM(BASE_EQUIPOS!N3609)</f>
        <v/>
      </c>
      <c r="B3609">
        <f>BASE_EQUIPOS!A3609</f>
        <v/>
      </c>
      <c r="C3609">
        <f>BASE_EQUIPOS!B3609</f>
        <v/>
      </c>
      <c r="D3609">
        <f>BASE_EQUIPOS!D3609</f>
        <v/>
      </c>
      <c r="E3609">
        <f>BASE_EQUIPOS!G3609</f>
        <v/>
      </c>
      <c r="F3609">
        <f>BASE_EQUIPOS!H3609</f>
        <v/>
      </c>
      <c r="G3609">
        <f>BASE_EQUIPOS!M3609</f>
        <v/>
      </c>
      <c r="I3609" t="inlineStr">
        <is>
          <t>12/003907</t>
        </is>
      </c>
    </row>
    <row r="3610">
      <c r="A3610">
        <f>TRIM(BASE_EQUIPOS!N3610)</f>
        <v/>
      </c>
      <c r="B3610">
        <f>BASE_EQUIPOS!A3610</f>
        <v/>
      </c>
      <c r="C3610">
        <f>BASE_EQUIPOS!B3610</f>
        <v/>
      </c>
      <c r="D3610">
        <f>BASE_EQUIPOS!D3610</f>
        <v/>
      </c>
      <c r="E3610">
        <f>BASE_EQUIPOS!G3610</f>
        <v/>
      </c>
      <c r="F3610">
        <f>BASE_EQUIPOS!H3610</f>
        <v/>
      </c>
      <c r="G3610">
        <f>BASE_EQUIPOS!M3610</f>
        <v/>
      </c>
      <c r="I3610" t="inlineStr">
        <is>
          <t>15/003928</t>
        </is>
      </c>
    </row>
    <row r="3611">
      <c r="A3611">
        <f>TRIM(BASE_EQUIPOS!N3611)</f>
        <v/>
      </c>
      <c r="B3611">
        <f>BASE_EQUIPOS!A3611</f>
        <v/>
      </c>
      <c r="C3611">
        <f>BASE_EQUIPOS!B3611</f>
        <v/>
      </c>
      <c r="D3611">
        <f>BASE_EQUIPOS!D3611</f>
        <v/>
      </c>
      <c r="E3611">
        <f>BASE_EQUIPOS!G3611</f>
        <v/>
      </c>
      <c r="F3611">
        <f>BASE_EQUIPOS!H3611</f>
        <v/>
      </c>
      <c r="G3611">
        <f>BASE_EQUIPOS!M3611</f>
        <v/>
      </c>
      <c r="I3611" t="inlineStr">
        <is>
          <t>02/003800</t>
        </is>
      </c>
    </row>
    <row r="3612">
      <c r="A3612">
        <f>TRIM(BASE_EQUIPOS!N3612)</f>
        <v/>
      </c>
      <c r="B3612">
        <f>BASE_EQUIPOS!A3612</f>
        <v/>
      </c>
      <c r="C3612">
        <f>BASE_EQUIPOS!B3612</f>
        <v/>
      </c>
      <c r="D3612">
        <f>BASE_EQUIPOS!D3612</f>
        <v/>
      </c>
      <c r="E3612">
        <f>BASE_EQUIPOS!G3612</f>
        <v/>
      </c>
      <c r="F3612">
        <f>BASE_EQUIPOS!H3612</f>
        <v/>
      </c>
      <c r="G3612">
        <f>BASE_EQUIPOS!M3612</f>
        <v/>
      </c>
      <c r="I3612" t="inlineStr">
        <is>
          <t>000503</t>
        </is>
      </c>
    </row>
    <row r="3613">
      <c r="A3613">
        <f>TRIM(BASE_EQUIPOS!N3613)</f>
        <v/>
      </c>
      <c r="B3613">
        <f>BASE_EQUIPOS!A3613</f>
        <v/>
      </c>
      <c r="C3613">
        <f>BASE_EQUIPOS!B3613</f>
        <v/>
      </c>
      <c r="D3613">
        <f>BASE_EQUIPOS!D3613</f>
        <v/>
      </c>
      <c r="E3613">
        <f>BASE_EQUIPOS!G3613</f>
        <v/>
      </c>
      <c r="F3613">
        <f>BASE_EQUIPOS!H3613</f>
        <v/>
      </c>
      <c r="G3613">
        <f>BASE_EQUIPOS!M3613</f>
        <v/>
      </c>
      <c r="I3613" t="inlineStr">
        <is>
          <t>156270</t>
        </is>
      </c>
    </row>
    <row r="3614">
      <c r="A3614">
        <f>TRIM(BASE_EQUIPOS!N3614)</f>
        <v/>
      </c>
      <c r="B3614">
        <f>BASE_EQUIPOS!A3614</f>
        <v/>
      </c>
      <c r="C3614">
        <f>BASE_EQUIPOS!B3614</f>
        <v/>
      </c>
      <c r="D3614">
        <f>BASE_EQUIPOS!D3614</f>
        <v/>
      </c>
      <c r="E3614">
        <f>BASE_EQUIPOS!G3614</f>
        <v/>
      </c>
      <c r="F3614">
        <f>BASE_EQUIPOS!H3614</f>
        <v/>
      </c>
      <c r="G3614">
        <f>BASE_EQUIPOS!M3614</f>
        <v/>
      </c>
      <c r="I3614" t="inlineStr">
        <is>
          <t>156210</t>
        </is>
      </c>
    </row>
    <row r="3615">
      <c r="A3615">
        <f>TRIM(BASE_EQUIPOS!N3615)</f>
        <v/>
      </c>
      <c r="B3615">
        <f>BASE_EQUIPOS!A3615</f>
        <v/>
      </c>
      <c r="C3615">
        <f>BASE_EQUIPOS!B3615</f>
        <v/>
      </c>
      <c r="D3615">
        <f>BASE_EQUIPOS!D3615</f>
        <v/>
      </c>
      <c r="E3615">
        <f>BASE_EQUIPOS!G3615</f>
        <v/>
      </c>
      <c r="F3615">
        <f>BASE_EQUIPOS!H3615</f>
        <v/>
      </c>
      <c r="G3615">
        <f>BASE_EQUIPOS!M3615</f>
        <v/>
      </c>
      <c r="I3615" t="inlineStr">
        <is>
          <t>04/025341</t>
        </is>
      </c>
    </row>
    <row r="3616">
      <c r="A3616">
        <f>TRIM(BASE_EQUIPOS!N3616)</f>
        <v/>
      </c>
      <c r="B3616">
        <f>BASE_EQUIPOS!A3616</f>
        <v/>
      </c>
      <c r="C3616">
        <f>BASE_EQUIPOS!B3616</f>
        <v/>
      </c>
      <c r="D3616">
        <f>BASE_EQUIPOS!D3616</f>
        <v/>
      </c>
      <c r="E3616">
        <f>BASE_EQUIPOS!G3616</f>
        <v/>
      </c>
      <c r="F3616">
        <f>BASE_EQUIPOS!H3616</f>
        <v/>
      </c>
      <c r="G3616">
        <f>BASE_EQUIPOS!M3616</f>
        <v/>
      </c>
      <c r="I3616" t="inlineStr">
        <is>
          <t>56/000824</t>
        </is>
      </c>
    </row>
    <row r="3617">
      <c r="A3617">
        <f>TRIM(BASE_EQUIPOS!N3617)</f>
        <v/>
      </c>
      <c r="B3617">
        <f>BASE_EQUIPOS!A3617</f>
        <v/>
      </c>
      <c r="C3617">
        <f>BASE_EQUIPOS!B3617</f>
        <v/>
      </c>
      <c r="D3617">
        <f>BASE_EQUIPOS!D3617</f>
        <v/>
      </c>
      <c r="E3617">
        <f>BASE_EQUIPOS!G3617</f>
        <v/>
      </c>
      <c r="F3617">
        <f>BASE_EQUIPOS!H3617</f>
        <v/>
      </c>
      <c r="G3617">
        <f>BASE_EQUIPOS!M3617</f>
        <v/>
      </c>
      <c r="I3617" t="inlineStr">
        <is>
          <t>295/000054</t>
        </is>
      </c>
    </row>
    <row r="3618">
      <c r="A3618">
        <f>TRIM(BASE_EQUIPOS!N3618)</f>
        <v/>
      </c>
      <c r="B3618">
        <f>BASE_EQUIPOS!A3618</f>
        <v/>
      </c>
      <c r="C3618">
        <f>BASE_EQUIPOS!B3618</f>
        <v/>
      </c>
      <c r="D3618">
        <f>BASE_EQUIPOS!D3618</f>
        <v/>
      </c>
      <c r="E3618">
        <f>BASE_EQUIPOS!G3618</f>
        <v/>
      </c>
      <c r="F3618">
        <f>BASE_EQUIPOS!H3618</f>
        <v/>
      </c>
      <c r="G3618">
        <f>BASE_EQUIPOS!M3618</f>
        <v/>
      </c>
      <c r="I3618" t="inlineStr">
        <is>
          <t>71/000030</t>
        </is>
      </c>
    </row>
    <row r="3619">
      <c r="A3619">
        <f>TRIM(BASE_EQUIPOS!N3619)</f>
        <v/>
      </c>
      <c r="B3619">
        <f>BASE_EQUIPOS!A3619</f>
        <v/>
      </c>
      <c r="C3619">
        <f>BASE_EQUIPOS!B3619</f>
        <v/>
      </c>
      <c r="D3619">
        <f>BASE_EQUIPOS!D3619</f>
        <v/>
      </c>
      <c r="E3619">
        <f>BASE_EQUIPOS!G3619</f>
        <v/>
      </c>
      <c r="F3619">
        <f>BASE_EQUIPOS!H3619</f>
        <v/>
      </c>
      <c r="G3619">
        <f>BASE_EQUIPOS!M3619</f>
        <v/>
      </c>
      <c r="I3619" t="inlineStr">
        <is>
          <t>I79857059</t>
        </is>
      </c>
    </row>
    <row r="3620">
      <c r="A3620">
        <f>TRIM(BASE_EQUIPOS!N3620)</f>
        <v/>
      </c>
      <c r="B3620">
        <f>BASE_EQUIPOS!A3620</f>
        <v/>
      </c>
      <c r="C3620">
        <f>BASE_EQUIPOS!B3620</f>
        <v/>
      </c>
      <c r="D3620">
        <f>BASE_EQUIPOS!D3620</f>
        <v/>
      </c>
      <c r="E3620">
        <f>BASE_EQUIPOS!G3620</f>
        <v/>
      </c>
      <c r="F3620">
        <f>BASE_EQUIPOS!H3620</f>
        <v/>
      </c>
      <c r="G3620">
        <f>BASE_EQUIPOS!M3620</f>
        <v/>
      </c>
      <c r="I3620" t="inlineStr">
        <is>
          <t>I79857084</t>
        </is>
      </c>
    </row>
    <row r="3621">
      <c r="A3621">
        <f>TRIM(BASE_EQUIPOS!N3621)</f>
        <v/>
      </c>
      <c r="B3621">
        <f>BASE_EQUIPOS!A3621</f>
        <v/>
      </c>
      <c r="C3621">
        <f>BASE_EQUIPOS!B3621</f>
        <v/>
      </c>
      <c r="D3621">
        <f>BASE_EQUIPOS!D3621</f>
        <v/>
      </c>
      <c r="E3621">
        <f>BASE_EQUIPOS!G3621</f>
        <v/>
      </c>
      <c r="F3621">
        <f>BASE_EQUIPOS!H3621</f>
        <v/>
      </c>
      <c r="G3621">
        <f>BASE_EQUIPOS!M3621</f>
        <v/>
      </c>
      <c r="I3621" t="inlineStr">
        <is>
          <t>I79857066</t>
        </is>
      </c>
    </row>
    <row r="3622">
      <c r="A3622">
        <f>TRIM(BASE_EQUIPOS!N3622)</f>
        <v/>
      </c>
      <c r="B3622">
        <f>BASE_EQUIPOS!A3622</f>
        <v/>
      </c>
      <c r="C3622">
        <f>BASE_EQUIPOS!B3622</f>
        <v/>
      </c>
      <c r="D3622">
        <f>BASE_EQUIPOS!D3622</f>
        <v/>
      </c>
      <c r="E3622">
        <f>BASE_EQUIPOS!G3622</f>
        <v/>
      </c>
      <c r="F3622">
        <f>BASE_EQUIPOS!H3622</f>
        <v/>
      </c>
      <c r="G3622">
        <f>BASE_EQUIPOS!M3622</f>
        <v/>
      </c>
      <c r="I3622" t="inlineStr">
        <is>
          <t>I79857072</t>
        </is>
      </c>
    </row>
    <row r="3623">
      <c r="A3623">
        <f>TRIM(BASE_EQUIPOS!N3623)</f>
        <v/>
      </c>
      <c r="B3623">
        <f>BASE_EQUIPOS!A3623</f>
        <v/>
      </c>
      <c r="C3623">
        <f>BASE_EQUIPOS!B3623</f>
        <v/>
      </c>
      <c r="D3623">
        <f>BASE_EQUIPOS!D3623</f>
        <v/>
      </c>
      <c r="E3623">
        <f>BASE_EQUIPOS!G3623</f>
        <v/>
      </c>
      <c r="F3623">
        <f>BASE_EQUIPOS!H3623</f>
        <v/>
      </c>
      <c r="G3623">
        <f>BASE_EQUIPOS!M3623</f>
        <v/>
      </c>
      <c r="I3623" t="inlineStr">
        <is>
          <t>I79857085</t>
        </is>
      </c>
    </row>
    <row r="3624">
      <c r="A3624">
        <f>TRIM(BASE_EQUIPOS!N3624)</f>
        <v/>
      </c>
      <c r="B3624">
        <f>BASE_EQUIPOS!A3624</f>
        <v/>
      </c>
      <c r="C3624">
        <f>BASE_EQUIPOS!B3624</f>
        <v/>
      </c>
      <c r="D3624">
        <f>BASE_EQUIPOS!D3624</f>
        <v/>
      </c>
      <c r="E3624">
        <f>BASE_EQUIPOS!G3624</f>
        <v/>
      </c>
      <c r="F3624">
        <f>BASE_EQUIPOS!H3624</f>
        <v/>
      </c>
      <c r="G3624">
        <f>BASE_EQUIPOS!M3624</f>
        <v/>
      </c>
      <c r="I3624" t="inlineStr">
        <is>
          <t>H41356917</t>
        </is>
      </c>
    </row>
    <row r="3625">
      <c r="A3625">
        <f>TRIM(BASE_EQUIPOS!N3625)</f>
        <v/>
      </c>
      <c r="B3625">
        <f>BASE_EQUIPOS!A3625</f>
        <v/>
      </c>
      <c r="C3625">
        <f>BASE_EQUIPOS!B3625</f>
        <v/>
      </c>
      <c r="D3625">
        <f>BASE_EQUIPOS!D3625</f>
        <v/>
      </c>
      <c r="E3625">
        <f>BASE_EQUIPOS!G3625</f>
        <v/>
      </c>
      <c r="F3625">
        <f>BASE_EQUIPOS!H3625</f>
        <v/>
      </c>
      <c r="G3625">
        <f>BASE_EQUIPOS!M3625</f>
        <v/>
      </c>
      <c r="I3625" t="inlineStr">
        <is>
          <t>H41356915</t>
        </is>
      </c>
    </row>
    <row r="3626">
      <c r="A3626">
        <f>TRIM(BASE_EQUIPOS!N3626)</f>
        <v/>
      </c>
      <c r="B3626">
        <f>BASE_EQUIPOS!A3626</f>
        <v/>
      </c>
      <c r="C3626">
        <f>BASE_EQUIPOS!B3626</f>
        <v/>
      </c>
      <c r="D3626">
        <f>BASE_EQUIPOS!D3626</f>
        <v/>
      </c>
      <c r="E3626">
        <f>BASE_EQUIPOS!G3626</f>
        <v/>
      </c>
      <c r="F3626">
        <f>BASE_EQUIPOS!H3626</f>
        <v/>
      </c>
      <c r="G3626">
        <f>BASE_EQUIPOS!M3626</f>
        <v/>
      </c>
      <c r="I3626" t="inlineStr">
        <is>
          <t>216/000241</t>
        </is>
      </c>
    </row>
    <row r="3627">
      <c r="A3627">
        <f>TRIM(BASE_EQUIPOS!N3627)</f>
        <v/>
      </c>
      <c r="B3627">
        <f>BASE_EQUIPOS!A3627</f>
        <v/>
      </c>
      <c r="C3627">
        <f>BASE_EQUIPOS!B3627</f>
        <v/>
      </c>
      <c r="D3627">
        <f>BASE_EQUIPOS!D3627</f>
        <v/>
      </c>
      <c r="E3627">
        <f>BASE_EQUIPOS!G3627</f>
        <v/>
      </c>
      <c r="F3627">
        <f>BASE_EQUIPOS!H3627</f>
        <v/>
      </c>
      <c r="G3627">
        <f>BASE_EQUIPOS!M3627</f>
        <v/>
      </c>
      <c r="I3627" t="inlineStr">
        <is>
          <t>230/000597</t>
        </is>
      </c>
    </row>
    <row r="3628">
      <c r="A3628">
        <f>TRIM(BASE_EQUIPOS!N3628)</f>
        <v/>
      </c>
      <c r="B3628">
        <f>BASE_EQUIPOS!A3628</f>
        <v/>
      </c>
      <c r="C3628">
        <f>BASE_EQUIPOS!B3628</f>
        <v/>
      </c>
      <c r="D3628">
        <f>BASE_EQUIPOS!D3628</f>
        <v/>
      </c>
      <c r="E3628">
        <f>BASE_EQUIPOS!G3628</f>
        <v/>
      </c>
      <c r="F3628">
        <f>BASE_EQUIPOS!H3628</f>
        <v/>
      </c>
      <c r="G3628">
        <f>BASE_EQUIPOS!M3628</f>
        <v/>
      </c>
      <c r="I3628" t="inlineStr">
        <is>
          <t>01/169339</t>
        </is>
      </c>
    </row>
    <row r="3629">
      <c r="A3629">
        <f>TRIM(BASE_EQUIPOS!N3629)</f>
        <v/>
      </c>
      <c r="B3629">
        <f>BASE_EQUIPOS!A3629</f>
        <v/>
      </c>
      <c r="C3629">
        <f>BASE_EQUIPOS!B3629</f>
        <v/>
      </c>
      <c r="D3629">
        <f>BASE_EQUIPOS!D3629</f>
        <v/>
      </c>
      <c r="E3629">
        <f>BASE_EQUIPOS!G3629</f>
        <v/>
      </c>
      <c r="F3629">
        <f>BASE_EQUIPOS!H3629</f>
        <v/>
      </c>
      <c r="G3629">
        <f>BASE_EQUIPOS!M3629</f>
        <v/>
      </c>
      <c r="I3629" t="inlineStr">
        <is>
          <t>01/008997</t>
        </is>
      </c>
    </row>
    <row r="3630">
      <c r="A3630">
        <f>TRIM(BASE_EQUIPOS!N3630)</f>
        <v/>
      </c>
      <c r="B3630">
        <f>BASE_EQUIPOS!A3630</f>
        <v/>
      </c>
      <c r="C3630">
        <f>BASE_EQUIPOS!B3630</f>
        <v/>
      </c>
      <c r="D3630">
        <f>BASE_EQUIPOS!D3630</f>
        <v/>
      </c>
      <c r="E3630">
        <f>BASE_EQUIPOS!G3630</f>
        <v/>
      </c>
      <c r="F3630">
        <f>BASE_EQUIPOS!H3630</f>
        <v/>
      </c>
      <c r="G3630">
        <f>BASE_EQUIPOS!M3630</f>
        <v/>
      </c>
      <c r="I3630" t="inlineStr">
        <is>
          <t>03/002993</t>
        </is>
      </c>
    </row>
    <row r="3631">
      <c r="A3631">
        <f>TRIM(BASE_EQUIPOS!N3631)</f>
        <v/>
      </c>
      <c r="B3631">
        <f>BASE_EQUIPOS!A3631</f>
        <v/>
      </c>
      <c r="C3631">
        <f>BASE_EQUIPOS!B3631</f>
        <v/>
      </c>
      <c r="D3631">
        <f>BASE_EQUIPOS!D3631</f>
        <v/>
      </c>
      <c r="E3631">
        <f>BASE_EQUIPOS!G3631</f>
        <v/>
      </c>
      <c r="F3631">
        <f>BASE_EQUIPOS!H3631</f>
        <v/>
      </c>
      <c r="G3631">
        <f>BASE_EQUIPOS!M3631</f>
        <v/>
      </c>
      <c r="I3631" t="inlineStr">
        <is>
          <t>04/009044</t>
        </is>
      </c>
    </row>
    <row r="3632">
      <c r="A3632">
        <f>TRIM(BASE_EQUIPOS!N3632)</f>
        <v/>
      </c>
      <c r="B3632">
        <f>BASE_EQUIPOS!A3632</f>
        <v/>
      </c>
      <c r="C3632">
        <f>BASE_EQUIPOS!B3632</f>
        <v/>
      </c>
      <c r="D3632">
        <f>BASE_EQUIPOS!D3632</f>
        <v/>
      </c>
      <c r="E3632">
        <f>BASE_EQUIPOS!G3632</f>
        <v/>
      </c>
      <c r="F3632">
        <f>BASE_EQUIPOS!H3632</f>
        <v/>
      </c>
      <c r="G3632">
        <f>BASE_EQUIPOS!M3632</f>
        <v/>
      </c>
      <c r="I3632" t="inlineStr">
        <is>
          <t>05/000119</t>
        </is>
      </c>
    </row>
    <row r="3633">
      <c r="A3633">
        <f>TRIM(BASE_EQUIPOS!N3633)</f>
        <v/>
      </c>
      <c r="B3633">
        <f>BASE_EQUIPOS!A3633</f>
        <v/>
      </c>
      <c r="C3633">
        <f>BASE_EQUIPOS!B3633</f>
        <v/>
      </c>
      <c r="D3633">
        <f>BASE_EQUIPOS!D3633</f>
        <v/>
      </c>
      <c r="E3633">
        <f>BASE_EQUIPOS!G3633</f>
        <v/>
      </c>
      <c r="F3633">
        <f>BASE_EQUIPOS!H3633</f>
        <v/>
      </c>
      <c r="G3633">
        <f>BASE_EQUIPOS!M3633</f>
        <v/>
      </c>
      <c r="I3633" t="inlineStr">
        <is>
          <t>06/012152</t>
        </is>
      </c>
    </row>
    <row r="3634">
      <c r="A3634">
        <f>TRIM(BASE_EQUIPOS!N3634)</f>
        <v/>
      </c>
      <c r="B3634">
        <f>BASE_EQUIPOS!A3634</f>
        <v/>
      </c>
      <c r="C3634">
        <f>BASE_EQUIPOS!B3634</f>
        <v/>
      </c>
      <c r="D3634">
        <f>BASE_EQUIPOS!D3634</f>
        <v/>
      </c>
      <c r="E3634">
        <f>BASE_EQUIPOS!G3634</f>
        <v/>
      </c>
      <c r="F3634">
        <f>BASE_EQUIPOS!H3634</f>
        <v/>
      </c>
      <c r="G3634">
        <f>BASE_EQUIPOS!M3634</f>
        <v/>
      </c>
      <c r="I3634" t="inlineStr">
        <is>
          <t>07/002020</t>
        </is>
      </c>
    </row>
    <row r="3635">
      <c r="A3635">
        <f>TRIM(BASE_EQUIPOS!N3635)</f>
        <v/>
      </c>
      <c r="B3635">
        <f>BASE_EQUIPOS!A3635</f>
        <v/>
      </c>
      <c r="C3635">
        <f>BASE_EQUIPOS!B3635</f>
        <v/>
      </c>
      <c r="D3635">
        <f>BASE_EQUIPOS!D3635</f>
        <v/>
      </c>
      <c r="E3635">
        <f>BASE_EQUIPOS!G3635</f>
        <v/>
      </c>
      <c r="F3635">
        <f>BASE_EQUIPOS!H3635</f>
        <v/>
      </c>
      <c r="G3635">
        <f>BASE_EQUIPOS!M3635</f>
        <v/>
      </c>
      <c r="I3635" t="inlineStr">
        <is>
          <t>08/009082</t>
        </is>
      </c>
    </row>
    <row r="3636">
      <c r="A3636">
        <f>TRIM(BASE_EQUIPOS!N3636)</f>
        <v/>
      </c>
      <c r="B3636">
        <f>BASE_EQUIPOS!A3636</f>
        <v/>
      </c>
      <c r="C3636">
        <f>BASE_EQUIPOS!B3636</f>
        <v/>
      </c>
      <c r="D3636">
        <f>BASE_EQUIPOS!D3636</f>
        <v/>
      </c>
      <c r="E3636">
        <f>BASE_EQUIPOS!G3636</f>
        <v/>
      </c>
      <c r="F3636">
        <f>BASE_EQUIPOS!H3636</f>
        <v/>
      </c>
      <c r="G3636">
        <f>BASE_EQUIPOS!M3636</f>
        <v/>
      </c>
      <c r="I3636" t="inlineStr">
        <is>
          <t>000319</t>
        </is>
      </c>
    </row>
    <row r="3637">
      <c r="A3637">
        <f>TRIM(BASE_EQUIPOS!N3637)</f>
        <v/>
      </c>
      <c r="B3637">
        <f>BASE_EQUIPOS!A3637</f>
        <v/>
      </c>
      <c r="C3637">
        <f>BASE_EQUIPOS!B3637</f>
        <v/>
      </c>
      <c r="D3637">
        <f>BASE_EQUIPOS!D3637</f>
        <v/>
      </c>
      <c r="E3637">
        <f>BASE_EQUIPOS!G3637</f>
        <v/>
      </c>
      <c r="F3637">
        <f>BASE_EQUIPOS!H3637</f>
        <v/>
      </c>
      <c r="G3637">
        <f>BASE_EQUIPOS!M3637</f>
        <v/>
      </c>
      <c r="I3637" t="inlineStr">
        <is>
          <t>02/000160</t>
        </is>
      </c>
    </row>
    <row r="3638">
      <c r="A3638">
        <f>TRIM(BASE_EQUIPOS!N3638)</f>
        <v/>
      </c>
      <c r="B3638">
        <f>BASE_EQUIPOS!A3638</f>
        <v/>
      </c>
      <c r="C3638">
        <f>BASE_EQUIPOS!B3638</f>
        <v/>
      </c>
      <c r="D3638">
        <f>BASE_EQUIPOS!D3638</f>
        <v/>
      </c>
      <c r="E3638">
        <f>BASE_EQUIPOS!G3638</f>
        <v/>
      </c>
      <c r="F3638">
        <f>BASE_EQUIPOS!H3638</f>
        <v/>
      </c>
      <c r="G3638">
        <f>BASE_EQUIPOS!M3638</f>
        <v/>
      </c>
      <c r="I3638" t="inlineStr">
        <is>
          <t>03/000223</t>
        </is>
      </c>
    </row>
    <row r="3639">
      <c r="A3639">
        <f>TRIM(BASE_EQUIPOS!N3639)</f>
        <v/>
      </c>
      <c r="B3639">
        <f>BASE_EQUIPOS!A3639</f>
        <v/>
      </c>
      <c r="C3639">
        <f>BASE_EQUIPOS!B3639</f>
        <v/>
      </c>
      <c r="D3639">
        <f>BASE_EQUIPOS!D3639</f>
        <v/>
      </c>
      <c r="E3639">
        <f>BASE_EQUIPOS!G3639</f>
        <v/>
      </c>
      <c r="F3639">
        <f>BASE_EQUIPOS!H3639</f>
        <v/>
      </c>
      <c r="G3639">
        <f>BASE_EQUIPOS!M3639</f>
        <v/>
      </c>
      <c r="I3639" t="inlineStr">
        <is>
          <t>04/006370</t>
        </is>
      </c>
    </row>
    <row r="3640">
      <c r="A3640">
        <f>TRIM(BASE_EQUIPOS!N3640)</f>
        <v/>
      </c>
      <c r="B3640">
        <f>BASE_EQUIPOS!A3640</f>
        <v/>
      </c>
      <c r="C3640">
        <f>BASE_EQUIPOS!B3640</f>
        <v/>
      </c>
      <c r="D3640">
        <f>BASE_EQUIPOS!D3640</f>
        <v/>
      </c>
      <c r="E3640">
        <f>BASE_EQUIPOS!G3640</f>
        <v/>
      </c>
      <c r="F3640">
        <f>BASE_EQUIPOS!H3640</f>
        <v/>
      </c>
      <c r="G3640">
        <f>BASE_EQUIPOS!M3640</f>
        <v/>
      </c>
      <c r="I3640" t="inlineStr">
        <is>
          <t>05/000934</t>
        </is>
      </c>
    </row>
    <row r="3641">
      <c r="A3641">
        <f>TRIM(BASE_EQUIPOS!N3641)</f>
        <v/>
      </c>
      <c r="B3641">
        <f>BASE_EQUIPOS!A3641</f>
        <v/>
      </c>
      <c r="C3641">
        <f>BASE_EQUIPOS!B3641</f>
        <v/>
      </c>
      <c r="D3641">
        <f>BASE_EQUIPOS!D3641</f>
        <v/>
      </c>
      <c r="E3641">
        <f>BASE_EQUIPOS!G3641</f>
        <v/>
      </c>
      <c r="F3641">
        <f>BASE_EQUIPOS!H3641</f>
        <v/>
      </c>
      <c r="G3641">
        <f>BASE_EQUIPOS!M3641</f>
        <v/>
      </c>
      <c r="I3641" t="inlineStr">
        <is>
          <t>06/000046</t>
        </is>
      </c>
    </row>
    <row r="3642">
      <c r="A3642">
        <f>TRIM(BASE_EQUIPOS!N3642)</f>
        <v/>
      </c>
      <c r="B3642">
        <f>BASE_EQUIPOS!A3642</f>
        <v/>
      </c>
      <c r="C3642">
        <f>BASE_EQUIPOS!B3642</f>
        <v/>
      </c>
      <c r="D3642">
        <f>BASE_EQUIPOS!D3642</f>
        <v/>
      </c>
      <c r="E3642">
        <f>BASE_EQUIPOS!G3642</f>
        <v/>
      </c>
      <c r="F3642">
        <f>BASE_EQUIPOS!H3642</f>
        <v/>
      </c>
      <c r="G3642">
        <f>BASE_EQUIPOS!M3642</f>
        <v/>
      </c>
      <c r="I3642" t="inlineStr">
        <is>
          <t>02/356262</t>
        </is>
      </c>
    </row>
    <row r="3643">
      <c r="A3643">
        <f>TRIM(BASE_EQUIPOS!N3643)</f>
        <v/>
      </c>
      <c r="B3643">
        <f>BASE_EQUIPOS!A3643</f>
        <v/>
      </c>
      <c r="C3643">
        <f>BASE_EQUIPOS!B3643</f>
        <v/>
      </c>
      <c r="D3643">
        <f>BASE_EQUIPOS!D3643</f>
        <v/>
      </c>
      <c r="E3643">
        <f>BASE_EQUIPOS!G3643</f>
        <v/>
      </c>
      <c r="F3643">
        <f>BASE_EQUIPOS!H3643</f>
        <v/>
      </c>
      <c r="G3643">
        <f>BASE_EQUIPOS!M3643</f>
        <v/>
      </c>
      <c r="I3643" t="inlineStr">
        <is>
          <t>03/000932</t>
        </is>
      </c>
    </row>
    <row r="3644">
      <c r="A3644">
        <f>TRIM(BASE_EQUIPOS!N3644)</f>
        <v/>
      </c>
      <c r="B3644">
        <f>BASE_EQUIPOS!A3644</f>
        <v/>
      </c>
      <c r="C3644">
        <f>BASE_EQUIPOS!B3644</f>
        <v/>
      </c>
      <c r="D3644">
        <f>BASE_EQUIPOS!D3644</f>
        <v/>
      </c>
      <c r="E3644">
        <f>BASE_EQUIPOS!G3644</f>
        <v/>
      </c>
      <c r="F3644">
        <f>BASE_EQUIPOS!H3644</f>
        <v/>
      </c>
      <c r="G3644">
        <f>BASE_EQUIPOS!M3644</f>
        <v/>
      </c>
      <c r="I3644" t="inlineStr">
        <is>
          <t>04/000348</t>
        </is>
      </c>
    </row>
    <row r="3645">
      <c r="A3645">
        <f>TRIM(BASE_EQUIPOS!N3645)</f>
        <v/>
      </c>
      <c r="B3645">
        <f>BASE_EQUIPOS!A3645</f>
        <v/>
      </c>
      <c r="C3645">
        <f>BASE_EQUIPOS!B3645</f>
        <v/>
      </c>
      <c r="D3645">
        <f>BASE_EQUIPOS!D3645</f>
        <v/>
      </c>
      <c r="E3645">
        <f>BASE_EQUIPOS!G3645</f>
        <v/>
      </c>
      <c r="F3645">
        <f>BASE_EQUIPOS!H3645</f>
        <v/>
      </c>
      <c r="G3645">
        <f>BASE_EQUIPOS!M3645</f>
        <v/>
      </c>
      <c r="I3645" t="inlineStr">
        <is>
          <t>002363</t>
        </is>
      </c>
    </row>
    <row r="3646">
      <c r="A3646">
        <f>TRIM(BASE_EQUIPOS!N3646)</f>
        <v/>
      </c>
      <c r="B3646">
        <f>BASE_EQUIPOS!A3646</f>
        <v/>
      </c>
      <c r="C3646">
        <f>BASE_EQUIPOS!B3646</f>
        <v/>
      </c>
      <c r="D3646">
        <f>BASE_EQUIPOS!D3646</f>
        <v/>
      </c>
      <c r="E3646">
        <f>BASE_EQUIPOS!G3646</f>
        <v/>
      </c>
      <c r="F3646">
        <f>BASE_EQUIPOS!H3646</f>
        <v/>
      </c>
      <c r="G3646">
        <f>BASE_EQUIPOS!M3646</f>
        <v/>
      </c>
      <c r="I3646" t="inlineStr">
        <is>
          <t>01/156313</t>
        </is>
      </c>
    </row>
    <row r="3647">
      <c r="A3647">
        <f>TRIM(BASE_EQUIPOS!N3647)</f>
        <v/>
      </c>
      <c r="B3647">
        <f>BASE_EQUIPOS!A3647</f>
        <v/>
      </c>
      <c r="C3647">
        <f>BASE_EQUIPOS!B3647</f>
        <v/>
      </c>
      <c r="D3647">
        <f>BASE_EQUIPOS!D3647</f>
        <v/>
      </c>
      <c r="E3647">
        <f>BASE_EQUIPOS!G3647</f>
        <v/>
      </c>
      <c r="F3647">
        <f>BASE_EQUIPOS!H3647</f>
        <v/>
      </c>
      <c r="G3647">
        <f>BASE_EQUIPOS!M3647</f>
        <v/>
      </c>
      <c r="I3647" t="inlineStr">
        <is>
          <t>02/156314</t>
        </is>
      </c>
    </row>
    <row r="3648">
      <c r="A3648">
        <f>TRIM(BASE_EQUIPOS!N3648)</f>
        <v/>
      </c>
      <c r="B3648">
        <f>BASE_EQUIPOS!A3648</f>
        <v/>
      </c>
      <c r="C3648">
        <f>BASE_EQUIPOS!B3648</f>
        <v/>
      </c>
      <c r="D3648">
        <f>BASE_EQUIPOS!D3648</f>
        <v/>
      </c>
      <c r="E3648">
        <f>BASE_EQUIPOS!G3648</f>
        <v/>
      </c>
      <c r="F3648">
        <f>BASE_EQUIPOS!H3648</f>
        <v/>
      </c>
      <c r="G3648">
        <f>BASE_EQUIPOS!M3648</f>
        <v/>
      </c>
      <c r="I3648" t="inlineStr">
        <is>
          <t>903927-0048</t>
        </is>
      </c>
    </row>
    <row r="3649">
      <c r="A3649">
        <f>TRIM(BASE_EQUIPOS!N3649)</f>
        <v/>
      </c>
      <c r="B3649">
        <f>BASE_EQUIPOS!A3649</f>
        <v/>
      </c>
      <c r="C3649">
        <f>BASE_EQUIPOS!B3649</f>
        <v/>
      </c>
      <c r="D3649">
        <f>BASE_EQUIPOS!D3649</f>
        <v/>
      </c>
      <c r="E3649">
        <f>BASE_EQUIPOS!G3649</f>
        <v/>
      </c>
      <c r="F3649">
        <f>BASE_EQUIPOS!H3649</f>
        <v/>
      </c>
      <c r="G3649">
        <f>BASE_EQUIPOS!M3649</f>
        <v/>
      </c>
      <c r="I3649" t="inlineStr">
        <is>
          <t>862720</t>
        </is>
      </c>
    </row>
    <row r="3650">
      <c r="A3650">
        <f>TRIM(BASE_EQUIPOS!N3650)</f>
        <v/>
      </c>
      <c r="B3650">
        <f>BASE_EQUIPOS!A3650</f>
        <v/>
      </c>
      <c r="C3650">
        <f>BASE_EQUIPOS!B3650</f>
        <v/>
      </c>
      <c r="D3650">
        <f>BASE_EQUIPOS!D3650</f>
        <v/>
      </c>
      <c r="E3650">
        <f>BASE_EQUIPOS!G3650</f>
        <v/>
      </c>
      <c r="F3650">
        <f>BASE_EQUIPOS!H3650</f>
        <v/>
      </c>
      <c r="G3650">
        <f>BASE_EQUIPOS!M3650</f>
        <v/>
      </c>
      <c r="I3650" t="inlineStr">
        <is>
          <t>903927-00090</t>
        </is>
      </c>
    </row>
    <row r="3651">
      <c r="A3651">
        <f>TRIM(BASE_EQUIPOS!N3651)</f>
        <v/>
      </c>
      <c r="B3651">
        <f>BASE_EQUIPOS!A3651</f>
        <v/>
      </c>
      <c r="C3651">
        <f>BASE_EQUIPOS!B3651</f>
        <v/>
      </c>
      <c r="D3651">
        <f>BASE_EQUIPOS!D3651</f>
        <v/>
      </c>
      <c r="E3651">
        <f>BASE_EQUIPOS!G3651</f>
        <v/>
      </c>
      <c r="F3651">
        <f>BASE_EQUIPOS!H3651</f>
        <v/>
      </c>
      <c r="G3651">
        <f>BASE_EQUIPOS!M3651</f>
        <v/>
      </c>
      <c r="I3651" t="inlineStr">
        <is>
          <t>000040</t>
        </is>
      </c>
    </row>
    <row r="3652">
      <c r="A3652">
        <f>TRIM(BASE_EQUIPOS!N3652)</f>
        <v/>
      </c>
      <c r="B3652">
        <f>BASE_EQUIPOS!A3652</f>
        <v/>
      </c>
      <c r="C3652">
        <f>BASE_EQUIPOS!B3652</f>
        <v/>
      </c>
      <c r="D3652">
        <f>BASE_EQUIPOS!D3652</f>
        <v/>
      </c>
      <c r="E3652">
        <f>BASE_EQUIPOS!G3652</f>
        <v/>
      </c>
      <c r="F3652">
        <f>BASE_EQUIPOS!H3652</f>
        <v/>
      </c>
      <c r="G3652">
        <f>BASE_EQUIPOS!M3652</f>
        <v/>
      </c>
      <c r="I3652" t="inlineStr">
        <is>
          <t>903927-0084</t>
        </is>
      </c>
    </row>
    <row r="3653">
      <c r="A3653">
        <f>TRIM(BASE_EQUIPOS!N3653)</f>
        <v/>
      </c>
      <c r="B3653">
        <f>BASE_EQUIPOS!A3653</f>
        <v/>
      </c>
      <c r="C3653">
        <f>BASE_EQUIPOS!B3653</f>
        <v/>
      </c>
      <c r="D3653">
        <f>BASE_EQUIPOS!D3653</f>
        <v/>
      </c>
      <c r="E3653">
        <f>BASE_EQUIPOS!G3653</f>
        <v/>
      </c>
      <c r="F3653">
        <f>BASE_EQUIPOS!H3653</f>
        <v/>
      </c>
      <c r="G3653">
        <f>BASE_EQUIPOS!M3653</f>
        <v/>
      </c>
      <c r="I3653" t="inlineStr">
        <is>
          <t>218285</t>
        </is>
      </c>
    </row>
    <row r="3654">
      <c r="A3654">
        <f>TRIM(BASE_EQUIPOS!N3654)</f>
        <v/>
      </c>
      <c r="B3654">
        <f>BASE_EQUIPOS!A3654</f>
        <v/>
      </c>
      <c r="C3654">
        <f>BASE_EQUIPOS!B3654</f>
        <v/>
      </c>
      <c r="D3654">
        <f>BASE_EQUIPOS!D3654</f>
        <v/>
      </c>
      <c r="E3654">
        <f>BASE_EQUIPOS!G3654</f>
        <v/>
      </c>
      <c r="F3654">
        <f>BASE_EQUIPOS!H3654</f>
        <v/>
      </c>
      <c r="G3654">
        <f>BASE_EQUIPOS!M3654</f>
        <v/>
      </c>
      <c r="I3654" t="inlineStr">
        <is>
          <t>903927-0078</t>
        </is>
      </c>
    </row>
    <row r="3655">
      <c r="A3655">
        <f>TRIM(BASE_EQUIPOS!N3655)</f>
        <v/>
      </c>
      <c r="B3655">
        <f>BASE_EQUIPOS!A3655</f>
        <v/>
      </c>
      <c r="C3655">
        <f>BASE_EQUIPOS!B3655</f>
        <v/>
      </c>
      <c r="D3655">
        <f>BASE_EQUIPOS!D3655</f>
        <v/>
      </c>
      <c r="E3655">
        <f>BASE_EQUIPOS!G3655</f>
        <v/>
      </c>
      <c r="F3655">
        <f>BASE_EQUIPOS!H3655</f>
        <v/>
      </c>
      <c r="G3655">
        <f>BASE_EQUIPOS!M3655</f>
        <v/>
      </c>
      <c r="I3655" t="inlineStr">
        <is>
          <t>06/000956</t>
        </is>
      </c>
    </row>
    <row r="3656">
      <c r="A3656">
        <f>TRIM(BASE_EQUIPOS!N3656)</f>
        <v/>
      </c>
      <c r="B3656">
        <f>BASE_EQUIPOS!A3656</f>
        <v/>
      </c>
      <c r="C3656">
        <f>BASE_EQUIPOS!B3656</f>
        <v/>
      </c>
      <c r="D3656">
        <f>BASE_EQUIPOS!D3656</f>
        <v/>
      </c>
      <c r="E3656">
        <f>BASE_EQUIPOS!G3656</f>
        <v/>
      </c>
      <c r="F3656">
        <f>BASE_EQUIPOS!H3656</f>
        <v/>
      </c>
      <c r="G3656">
        <f>BASE_EQUIPOS!M3656</f>
        <v/>
      </c>
      <c r="I3656" t="inlineStr">
        <is>
          <t>39/000923</t>
        </is>
      </c>
    </row>
    <row r="3657">
      <c r="A3657">
        <f>TRIM(BASE_EQUIPOS!N3657)</f>
        <v/>
      </c>
      <c r="B3657">
        <f>BASE_EQUIPOS!A3657</f>
        <v/>
      </c>
      <c r="C3657">
        <f>BASE_EQUIPOS!B3657</f>
        <v/>
      </c>
      <c r="D3657">
        <f>BASE_EQUIPOS!D3657</f>
        <v/>
      </c>
      <c r="E3657">
        <f>BASE_EQUIPOS!G3657</f>
        <v/>
      </c>
      <c r="F3657">
        <f>BASE_EQUIPOS!H3657</f>
        <v/>
      </c>
      <c r="G3657">
        <f>BASE_EQUIPOS!M3657</f>
        <v/>
      </c>
      <c r="I3657" t="inlineStr">
        <is>
          <t>391/0020140</t>
        </is>
      </c>
    </row>
    <row r="3658">
      <c r="A3658">
        <f>TRIM(BASE_EQUIPOS!N3658)</f>
        <v/>
      </c>
      <c r="B3658">
        <f>BASE_EQUIPOS!A3658</f>
        <v/>
      </c>
      <c r="C3658">
        <f>BASE_EQUIPOS!B3658</f>
        <v/>
      </c>
      <c r="D3658">
        <f>BASE_EQUIPOS!D3658</f>
        <v/>
      </c>
      <c r="E3658">
        <f>BASE_EQUIPOS!G3658</f>
        <v/>
      </c>
      <c r="F3658">
        <f>BASE_EQUIPOS!H3658</f>
        <v/>
      </c>
      <c r="G3658">
        <f>BASE_EQUIPOS!M3658</f>
        <v/>
      </c>
      <c r="I3658" t="inlineStr">
        <is>
          <t>008657</t>
        </is>
      </c>
    </row>
    <row r="3659">
      <c r="A3659">
        <f>TRIM(BASE_EQUIPOS!N3659)</f>
        <v/>
      </c>
      <c r="B3659">
        <f>BASE_EQUIPOS!A3659</f>
        <v/>
      </c>
      <c r="C3659">
        <f>BASE_EQUIPOS!B3659</f>
        <v/>
      </c>
      <c r="D3659">
        <f>BASE_EQUIPOS!D3659</f>
        <v/>
      </c>
      <c r="E3659">
        <f>BASE_EQUIPOS!G3659</f>
        <v/>
      </c>
      <c r="F3659">
        <f>BASE_EQUIPOS!H3659</f>
        <v/>
      </c>
      <c r="G3659">
        <f>BASE_EQUIPOS!M3659</f>
        <v/>
      </c>
      <c r="I3659" t="inlineStr">
        <is>
          <t>000097</t>
        </is>
      </c>
    </row>
    <row r="3660">
      <c r="A3660">
        <f>TRIM(BASE_EQUIPOS!N3660)</f>
        <v/>
      </c>
      <c r="B3660">
        <f>BASE_EQUIPOS!A3660</f>
        <v/>
      </c>
      <c r="C3660">
        <f>BASE_EQUIPOS!B3660</f>
        <v/>
      </c>
      <c r="D3660">
        <f>BASE_EQUIPOS!D3660</f>
        <v/>
      </c>
      <c r="E3660">
        <f>BASE_EQUIPOS!G3660</f>
        <v/>
      </c>
      <c r="F3660">
        <f>BASE_EQUIPOS!H3660</f>
        <v/>
      </c>
      <c r="G3660">
        <f>BASE_EQUIPOS!M3660</f>
        <v/>
      </c>
      <c r="I3660" t="inlineStr">
        <is>
          <t>000131</t>
        </is>
      </c>
    </row>
    <row r="3661">
      <c r="A3661">
        <f>TRIM(BASE_EQUIPOS!N3661)</f>
        <v/>
      </c>
      <c r="B3661">
        <f>BASE_EQUIPOS!A3661</f>
        <v/>
      </c>
      <c r="C3661">
        <f>BASE_EQUIPOS!B3661</f>
        <v/>
      </c>
      <c r="D3661">
        <f>BASE_EQUIPOS!D3661</f>
        <v/>
      </c>
      <c r="E3661">
        <f>BASE_EQUIPOS!G3661</f>
        <v/>
      </c>
      <c r="F3661">
        <f>BASE_EQUIPOS!H3661</f>
        <v/>
      </c>
      <c r="G3661">
        <f>BASE_EQUIPOS!M3661</f>
        <v/>
      </c>
      <c r="I3661" t="inlineStr">
        <is>
          <t>000302</t>
        </is>
      </c>
    </row>
    <row r="3662">
      <c r="A3662">
        <f>TRIM(BASE_EQUIPOS!N3662)</f>
        <v/>
      </c>
      <c r="B3662">
        <f>BASE_EQUIPOS!A3662</f>
        <v/>
      </c>
      <c r="C3662">
        <f>BASE_EQUIPOS!B3662</f>
        <v/>
      </c>
      <c r="D3662">
        <f>BASE_EQUIPOS!D3662</f>
        <v/>
      </c>
      <c r="E3662">
        <f>BASE_EQUIPOS!G3662</f>
        <v/>
      </c>
      <c r="F3662">
        <f>BASE_EQUIPOS!H3662</f>
        <v/>
      </c>
      <c r="G3662">
        <f>BASE_EQUIPOS!M3662</f>
        <v/>
      </c>
      <c r="I3662" t="inlineStr">
        <is>
          <t>000109</t>
        </is>
      </c>
    </row>
    <row r="3663">
      <c r="A3663">
        <f>TRIM(BASE_EQUIPOS!N3663)</f>
        <v/>
      </c>
      <c r="B3663">
        <f>BASE_EQUIPOS!A3663</f>
        <v/>
      </c>
      <c r="C3663">
        <f>BASE_EQUIPOS!B3663</f>
        <v/>
      </c>
      <c r="D3663">
        <f>BASE_EQUIPOS!D3663</f>
        <v/>
      </c>
      <c r="E3663">
        <f>BASE_EQUIPOS!G3663</f>
        <v/>
      </c>
      <c r="F3663">
        <f>BASE_EQUIPOS!H3663</f>
        <v/>
      </c>
      <c r="G3663">
        <f>BASE_EQUIPOS!M3663</f>
        <v/>
      </c>
      <c r="I3663" t="inlineStr">
        <is>
          <t>321/001393</t>
        </is>
      </c>
    </row>
    <row r="3664">
      <c r="A3664">
        <f>TRIM(BASE_EQUIPOS!N3664)</f>
        <v/>
      </c>
      <c r="B3664">
        <f>BASE_EQUIPOS!A3664</f>
        <v/>
      </c>
      <c r="C3664">
        <f>BASE_EQUIPOS!B3664</f>
        <v/>
      </c>
      <c r="D3664">
        <f>BASE_EQUIPOS!D3664</f>
        <v/>
      </c>
      <c r="E3664">
        <f>BASE_EQUIPOS!G3664</f>
        <v/>
      </c>
      <c r="F3664">
        <f>BASE_EQUIPOS!H3664</f>
        <v/>
      </c>
      <c r="G3664">
        <f>BASE_EQUIPOS!M3664</f>
        <v/>
      </c>
      <c r="I3664" t="inlineStr">
        <is>
          <t>350/001028</t>
        </is>
      </c>
    </row>
    <row r="3665">
      <c r="A3665">
        <f>TRIM(BASE_EQUIPOS!N3665)</f>
        <v/>
      </c>
      <c r="B3665">
        <f>BASE_EQUIPOS!A3665</f>
        <v/>
      </c>
      <c r="C3665">
        <f>BASE_EQUIPOS!B3665</f>
        <v/>
      </c>
      <c r="D3665">
        <f>BASE_EQUIPOS!D3665</f>
        <v/>
      </c>
      <c r="E3665">
        <f>BASE_EQUIPOS!G3665</f>
        <v/>
      </c>
      <c r="F3665">
        <f>BASE_EQUIPOS!H3665</f>
        <v/>
      </c>
      <c r="G3665">
        <f>BASE_EQUIPOS!M3665</f>
        <v/>
      </c>
      <c r="I3665" t="inlineStr">
        <is>
          <t>389/000737</t>
        </is>
      </c>
    </row>
    <row r="3666">
      <c r="A3666">
        <f>TRIM(BASE_EQUIPOS!N3666)</f>
        <v/>
      </c>
      <c r="B3666">
        <f>BASE_EQUIPOS!A3666</f>
        <v/>
      </c>
      <c r="C3666">
        <f>BASE_EQUIPOS!B3666</f>
        <v/>
      </c>
      <c r="D3666">
        <f>BASE_EQUIPOS!D3666</f>
        <v/>
      </c>
      <c r="E3666">
        <f>BASE_EQUIPOS!G3666</f>
        <v/>
      </c>
      <c r="F3666">
        <f>BASE_EQUIPOS!H3666</f>
        <v/>
      </c>
      <c r="G3666">
        <f>BASE_EQUIPOS!M3666</f>
        <v/>
      </c>
      <c r="I3666" t="inlineStr">
        <is>
          <t>272/000593</t>
        </is>
      </c>
    </row>
    <row r="3667">
      <c r="A3667">
        <f>TRIM(BASE_EQUIPOS!N3667)</f>
        <v/>
      </c>
      <c r="B3667">
        <f>BASE_EQUIPOS!A3667</f>
        <v/>
      </c>
      <c r="C3667">
        <f>BASE_EQUIPOS!B3667</f>
        <v/>
      </c>
      <c r="D3667">
        <f>BASE_EQUIPOS!D3667</f>
        <v/>
      </c>
      <c r="E3667">
        <f>BASE_EQUIPOS!G3667</f>
        <v/>
      </c>
      <c r="F3667">
        <f>BASE_EQUIPOS!H3667</f>
        <v/>
      </c>
      <c r="G3667">
        <f>BASE_EQUIPOS!M3667</f>
        <v/>
      </c>
      <c r="I3667" t="inlineStr">
        <is>
          <t>000134</t>
        </is>
      </c>
    </row>
    <row r="3668">
      <c r="A3668">
        <f>TRIM(BASE_EQUIPOS!N3668)</f>
        <v/>
      </c>
      <c r="B3668">
        <f>BASE_EQUIPOS!A3668</f>
        <v/>
      </c>
      <c r="C3668">
        <f>BASE_EQUIPOS!B3668</f>
        <v/>
      </c>
      <c r="D3668">
        <f>BASE_EQUIPOS!D3668</f>
        <v/>
      </c>
      <c r="E3668">
        <f>BASE_EQUIPOS!G3668</f>
        <v/>
      </c>
      <c r="F3668">
        <f>BASE_EQUIPOS!H3668</f>
        <v/>
      </c>
      <c r="G3668">
        <f>BASE_EQUIPOS!M3668</f>
        <v/>
      </c>
      <c r="I3668" t="inlineStr">
        <is>
          <t>000226</t>
        </is>
      </c>
    </row>
    <row r="3669">
      <c r="A3669">
        <f>TRIM(BASE_EQUIPOS!N3669)</f>
        <v/>
      </c>
      <c r="B3669">
        <f>BASE_EQUIPOS!A3669</f>
        <v/>
      </c>
      <c r="C3669">
        <f>BASE_EQUIPOS!B3669</f>
        <v/>
      </c>
      <c r="D3669">
        <f>BASE_EQUIPOS!D3669</f>
        <v/>
      </c>
      <c r="E3669">
        <f>BASE_EQUIPOS!G3669</f>
        <v/>
      </c>
      <c r="F3669">
        <f>BASE_EQUIPOS!H3669</f>
        <v/>
      </c>
      <c r="G3669">
        <f>BASE_EQUIPOS!M3669</f>
        <v/>
      </c>
      <c r="I3669" t="inlineStr">
        <is>
          <t>000281</t>
        </is>
      </c>
    </row>
    <row r="3670">
      <c r="A3670">
        <f>TRIM(BASE_EQUIPOS!N3670)</f>
        <v/>
      </c>
      <c r="B3670">
        <f>BASE_EQUIPOS!A3670</f>
        <v/>
      </c>
      <c r="C3670">
        <f>BASE_EQUIPOS!B3670</f>
        <v/>
      </c>
      <c r="D3670">
        <f>BASE_EQUIPOS!D3670</f>
        <v/>
      </c>
      <c r="E3670">
        <f>BASE_EQUIPOS!G3670</f>
        <v/>
      </c>
      <c r="F3670">
        <f>BASE_EQUIPOS!H3670</f>
        <v/>
      </c>
      <c r="G3670">
        <f>BASE_EQUIPOS!M3670</f>
        <v/>
      </c>
      <c r="I3670" t="inlineStr">
        <is>
          <t>001359</t>
        </is>
      </c>
    </row>
    <row r="3671">
      <c r="A3671">
        <f>TRIM(BASE_EQUIPOS!N3671)</f>
        <v/>
      </c>
      <c r="B3671">
        <f>BASE_EQUIPOS!A3671</f>
        <v/>
      </c>
      <c r="C3671">
        <f>BASE_EQUIPOS!B3671</f>
        <v/>
      </c>
      <c r="D3671">
        <f>BASE_EQUIPOS!D3671</f>
        <v/>
      </c>
      <c r="E3671">
        <f>BASE_EQUIPOS!G3671</f>
        <v/>
      </c>
      <c r="F3671">
        <f>BASE_EQUIPOS!H3671</f>
        <v/>
      </c>
      <c r="G3671">
        <f>BASE_EQUIPOS!M3671</f>
        <v/>
      </c>
      <c r="I3671" t="inlineStr">
        <is>
          <t>000035</t>
        </is>
      </c>
    </row>
    <row r="3672">
      <c r="A3672">
        <f>TRIM(BASE_EQUIPOS!N3672)</f>
        <v/>
      </c>
      <c r="B3672">
        <f>BASE_EQUIPOS!A3672</f>
        <v/>
      </c>
      <c r="C3672">
        <f>BASE_EQUIPOS!B3672</f>
        <v/>
      </c>
      <c r="D3672">
        <f>BASE_EQUIPOS!D3672</f>
        <v/>
      </c>
      <c r="E3672">
        <f>BASE_EQUIPOS!G3672</f>
        <v/>
      </c>
      <c r="F3672">
        <f>BASE_EQUIPOS!H3672</f>
        <v/>
      </c>
      <c r="G3672">
        <f>BASE_EQUIPOS!M3672</f>
        <v/>
      </c>
      <c r="I3672" t="inlineStr">
        <is>
          <t>01/002771</t>
        </is>
      </c>
    </row>
    <row r="3673">
      <c r="A3673">
        <f>TRIM(BASE_EQUIPOS!N3673)</f>
        <v/>
      </c>
      <c r="B3673">
        <f>BASE_EQUIPOS!A3673</f>
        <v/>
      </c>
      <c r="C3673">
        <f>BASE_EQUIPOS!B3673</f>
        <v/>
      </c>
      <c r="D3673">
        <f>BASE_EQUIPOS!D3673</f>
        <v/>
      </c>
      <c r="E3673">
        <f>BASE_EQUIPOS!G3673</f>
        <v/>
      </c>
      <c r="F3673">
        <f>BASE_EQUIPOS!H3673</f>
        <v/>
      </c>
      <c r="G3673">
        <f>BASE_EQUIPOS!M3673</f>
        <v/>
      </c>
      <c r="I3673" t="inlineStr">
        <is>
          <t>02/003863</t>
        </is>
      </c>
    </row>
    <row r="3674">
      <c r="A3674">
        <f>TRIM(BASE_EQUIPOS!N3674)</f>
        <v/>
      </c>
      <c r="B3674">
        <f>BASE_EQUIPOS!A3674</f>
        <v/>
      </c>
      <c r="C3674">
        <f>BASE_EQUIPOS!B3674</f>
        <v/>
      </c>
      <c r="D3674">
        <f>BASE_EQUIPOS!D3674</f>
        <v/>
      </c>
      <c r="E3674">
        <f>BASE_EQUIPOS!G3674</f>
        <v/>
      </c>
      <c r="F3674">
        <f>BASE_EQUIPOS!H3674</f>
        <v/>
      </c>
      <c r="G3674">
        <f>BASE_EQUIPOS!M3674</f>
        <v/>
      </c>
      <c r="I3674" t="inlineStr">
        <is>
          <t>01/088015</t>
        </is>
      </c>
    </row>
    <row r="3675">
      <c r="A3675">
        <f>TRIM(BASE_EQUIPOS!N3675)</f>
        <v/>
      </c>
      <c r="B3675">
        <f>BASE_EQUIPOS!A3675</f>
        <v/>
      </c>
      <c r="C3675">
        <f>BASE_EQUIPOS!B3675</f>
        <v/>
      </c>
      <c r="D3675">
        <f>BASE_EQUIPOS!D3675</f>
        <v/>
      </c>
      <c r="E3675">
        <f>BASE_EQUIPOS!G3675</f>
        <v/>
      </c>
      <c r="F3675">
        <f>BASE_EQUIPOS!H3675</f>
        <v/>
      </c>
      <c r="G3675">
        <f>BASE_EQUIPOS!M3675</f>
        <v/>
      </c>
      <c r="I3675" t="inlineStr">
        <is>
          <t>21/00005</t>
        </is>
      </c>
    </row>
    <row r="3676">
      <c r="A3676">
        <f>TRIM(BASE_EQUIPOS!N3676)</f>
        <v/>
      </c>
      <c r="B3676">
        <f>BASE_EQUIPOS!A3676</f>
        <v/>
      </c>
      <c r="C3676">
        <f>BASE_EQUIPOS!B3676</f>
        <v/>
      </c>
      <c r="D3676">
        <f>BASE_EQUIPOS!D3676</f>
        <v/>
      </c>
      <c r="E3676">
        <f>BASE_EQUIPOS!G3676</f>
        <v/>
      </c>
      <c r="F3676">
        <f>BASE_EQUIPOS!H3676</f>
        <v/>
      </c>
      <c r="G3676">
        <f>BASE_EQUIPOS!M3676</f>
        <v/>
      </c>
      <c r="I3676" t="inlineStr">
        <is>
          <t>184/000689</t>
        </is>
      </c>
    </row>
    <row r="3677">
      <c r="A3677">
        <f>TRIM(BASE_EQUIPOS!N3677)</f>
        <v/>
      </c>
      <c r="B3677">
        <f>BASE_EQUIPOS!A3677</f>
        <v/>
      </c>
      <c r="C3677">
        <f>BASE_EQUIPOS!B3677</f>
        <v/>
      </c>
      <c r="D3677">
        <f>BASE_EQUIPOS!D3677</f>
        <v/>
      </c>
      <c r="E3677">
        <f>BASE_EQUIPOS!G3677</f>
        <v/>
      </c>
      <c r="F3677">
        <f>BASE_EQUIPOS!H3677</f>
        <v/>
      </c>
      <c r="G3677">
        <f>BASE_EQUIPOS!M3677</f>
        <v/>
      </c>
      <c r="I3677" t="inlineStr">
        <is>
          <t>006383</t>
        </is>
      </c>
    </row>
    <row r="3678">
      <c r="A3678">
        <f>TRIM(BASE_EQUIPOS!N3678)</f>
        <v/>
      </c>
      <c r="B3678">
        <f>BASE_EQUIPOS!A3678</f>
        <v/>
      </c>
      <c r="C3678">
        <f>BASE_EQUIPOS!B3678</f>
        <v/>
      </c>
      <c r="D3678">
        <f>BASE_EQUIPOS!D3678</f>
        <v/>
      </c>
      <c r="E3678">
        <f>BASE_EQUIPOS!G3678</f>
        <v/>
      </c>
      <c r="F3678">
        <f>BASE_EQUIPOS!H3678</f>
        <v/>
      </c>
      <c r="G3678">
        <f>BASE_EQUIPOS!M3678</f>
        <v/>
      </c>
      <c r="I3678" t="inlineStr">
        <is>
          <t>002594</t>
        </is>
      </c>
    </row>
    <row r="3679">
      <c r="A3679">
        <f>TRIM(BASE_EQUIPOS!N3679)</f>
        <v/>
      </c>
      <c r="B3679">
        <f>BASE_EQUIPOS!A3679</f>
        <v/>
      </c>
      <c r="C3679">
        <f>BASE_EQUIPOS!B3679</f>
        <v/>
      </c>
      <c r="D3679">
        <f>BASE_EQUIPOS!D3679</f>
        <v/>
      </c>
      <c r="E3679">
        <f>BASE_EQUIPOS!G3679</f>
        <v/>
      </c>
      <c r="F3679">
        <f>BASE_EQUIPOS!H3679</f>
        <v/>
      </c>
      <c r="G3679">
        <f>BASE_EQUIPOS!M3679</f>
        <v/>
      </c>
      <c r="I3679" t="inlineStr">
        <is>
          <t>049377</t>
        </is>
      </c>
    </row>
    <row r="3680">
      <c r="A3680">
        <f>TRIM(BASE_EQUIPOS!N3680)</f>
        <v/>
      </c>
      <c r="B3680">
        <f>BASE_EQUIPOS!A3680</f>
        <v/>
      </c>
      <c r="C3680">
        <f>BASE_EQUIPOS!B3680</f>
        <v/>
      </c>
      <c r="D3680">
        <f>BASE_EQUIPOS!D3680</f>
        <v/>
      </c>
      <c r="E3680">
        <f>BASE_EQUIPOS!G3680</f>
        <v/>
      </c>
      <c r="F3680">
        <f>BASE_EQUIPOS!H3680</f>
        <v/>
      </c>
      <c r="G3680">
        <f>BASE_EQUIPOS!M3680</f>
        <v/>
      </c>
      <c r="I3680" t="inlineStr">
        <is>
          <t>001458</t>
        </is>
      </c>
    </row>
    <row r="3681">
      <c r="A3681">
        <f>TRIM(BASE_EQUIPOS!N3681)</f>
        <v/>
      </c>
      <c r="B3681">
        <f>BASE_EQUIPOS!A3681</f>
        <v/>
      </c>
      <c r="C3681">
        <f>BASE_EQUIPOS!B3681</f>
        <v/>
      </c>
      <c r="D3681">
        <f>BASE_EQUIPOS!D3681</f>
        <v/>
      </c>
      <c r="E3681">
        <f>BASE_EQUIPOS!G3681</f>
        <v/>
      </c>
      <c r="F3681">
        <f>BASE_EQUIPOS!H3681</f>
        <v/>
      </c>
      <c r="G3681">
        <f>BASE_EQUIPOS!M3681</f>
        <v/>
      </c>
      <c r="I3681" t="inlineStr">
        <is>
          <t>049099</t>
        </is>
      </c>
    </row>
    <row r="3682">
      <c r="A3682">
        <f>TRIM(BASE_EQUIPOS!N3682)</f>
        <v/>
      </c>
      <c r="B3682">
        <f>BASE_EQUIPOS!A3682</f>
        <v/>
      </c>
      <c r="C3682">
        <f>BASE_EQUIPOS!B3682</f>
        <v/>
      </c>
      <c r="D3682">
        <f>BASE_EQUIPOS!D3682</f>
        <v/>
      </c>
      <c r="E3682">
        <f>BASE_EQUIPOS!G3682</f>
        <v/>
      </c>
      <c r="F3682">
        <f>BASE_EQUIPOS!H3682</f>
        <v/>
      </c>
      <c r="G3682">
        <f>BASE_EQUIPOS!M3682</f>
        <v/>
      </c>
      <c r="I3682" t="inlineStr">
        <is>
          <t>006508</t>
        </is>
      </c>
    </row>
    <row r="3683">
      <c r="A3683">
        <f>TRIM(BASE_EQUIPOS!N3683)</f>
        <v/>
      </c>
      <c r="B3683">
        <f>BASE_EQUIPOS!A3683</f>
        <v/>
      </c>
      <c r="C3683">
        <f>BASE_EQUIPOS!B3683</f>
        <v/>
      </c>
      <c r="D3683">
        <f>BASE_EQUIPOS!D3683</f>
        <v/>
      </c>
      <c r="E3683">
        <f>BASE_EQUIPOS!G3683</f>
        <v/>
      </c>
      <c r="F3683">
        <f>BASE_EQUIPOS!H3683</f>
        <v/>
      </c>
      <c r="G3683">
        <f>BASE_EQUIPOS!M3683</f>
        <v/>
      </c>
      <c r="I3683" t="inlineStr">
        <is>
          <t>006316</t>
        </is>
      </c>
    </row>
    <row r="3684">
      <c r="A3684">
        <f>TRIM(BASE_EQUIPOS!N3684)</f>
        <v/>
      </c>
      <c r="B3684">
        <f>BASE_EQUIPOS!A3684</f>
        <v/>
      </c>
      <c r="C3684">
        <f>BASE_EQUIPOS!B3684</f>
        <v/>
      </c>
      <c r="D3684">
        <f>BASE_EQUIPOS!D3684</f>
        <v/>
      </c>
      <c r="E3684">
        <f>BASE_EQUIPOS!G3684</f>
        <v/>
      </c>
      <c r="F3684">
        <f>BASE_EQUIPOS!H3684</f>
        <v/>
      </c>
      <c r="G3684">
        <f>BASE_EQUIPOS!M3684</f>
        <v/>
      </c>
      <c r="I3684" t="inlineStr">
        <is>
          <t>34/433915</t>
        </is>
      </c>
    </row>
    <row r="3685">
      <c r="A3685">
        <f>TRIM(BASE_EQUIPOS!N3685)</f>
        <v/>
      </c>
      <c r="B3685">
        <f>BASE_EQUIPOS!A3685</f>
        <v/>
      </c>
      <c r="C3685">
        <f>BASE_EQUIPOS!B3685</f>
        <v/>
      </c>
      <c r="D3685">
        <f>BASE_EQUIPOS!D3685</f>
        <v/>
      </c>
      <c r="E3685">
        <f>BASE_EQUIPOS!G3685</f>
        <v/>
      </c>
      <c r="F3685">
        <f>BASE_EQUIPOS!H3685</f>
        <v/>
      </c>
      <c r="G3685">
        <f>BASE_EQUIPOS!M3685</f>
        <v/>
      </c>
      <c r="I3685" t="inlineStr">
        <is>
          <t>35/849292</t>
        </is>
      </c>
    </row>
    <row r="3686">
      <c r="A3686">
        <f>TRIM(BASE_EQUIPOS!N3686)</f>
        <v/>
      </c>
      <c r="B3686">
        <f>BASE_EQUIPOS!A3686</f>
        <v/>
      </c>
      <c r="C3686">
        <f>BASE_EQUIPOS!B3686</f>
        <v/>
      </c>
      <c r="D3686">
        <f>BASE_EQUIPOS!D3686</f>
        <v/>
      </c>
      <c r="E3686">
        <f>BASE_EQUIPOS!G3686</f>
        <v/>
      </c>
      <c r="F3686">
        <f>BASE_EQUIPOS!H3686</f>
        <v/>
      </c>
      <c r="G3686">
        <f>BASE_EQUIPOS!M3686</f>
        <v/>
      </c>
      <c r="I3686" t="inlineStr">
        <is>
          <t>36/227542</t>
        </is>
      </c>
    </row>
    <row r="3687">
      <c r="A3687">
        <f>TRIM(BASE_EQUIPOS!N3687)</f>
        <v/>
      </c>
      <c r="B3687">
        <f>BASE_EQUIPOS!A3687</f>
        <v/>
      </c>
      <c r="C3687">
        <f>BASE_EQUIPOS!B3687</f>
        <v/>
      </c>
      <c r="D3687">
        <f>BASE_EQUIPOS!D3687</f>
        <v/>
      </c>
      <c r="E3687">
        <f>BASE_EQUIPOS!G3687</f>
        <v/>
      </c>
      <c r="F3687">
        <f>BASE_EQUIPOS!H3687</f>
        <v/>
      </c>
      <c r="G3687">
        <f>BASE_EQUIPOS!M3687</f>
        <v/>
      </c>
      <c r="I3687" t="inlineStr">
        <is>
          <t>37/112079</t>
        </is>
      </c>
    </row>
    <row r="3688">
      <c r="A3688">
        <f>TRIM(BASE_EQUIPOS!N3688)</f>
        <v/>
      </c>
      <c r="B3688">
        <f>BASE_EQUIPOS!A3688</f>
        <v/>
      </c>
      <c r="C3688">
        <f>BASE_EQUIPOS!B3688</f>
        <v/>
      </c>
      <c r="D3688">
        <f>BASE_EQUIPOS!D3688</f>
        <v/>
      </c>
      <c r="E3688">
        <f>BASE_EQUIPOS!G3688</f>
        <v/>
      </c>
      <c r="F3688">
        <f>BASE_EQUIPOS!H3688</f>
        <v/>
      </c>
      <c r="G3688">
        <f>BASE_EQUIPOS!M3688</f>
        <v/>
      </c>
      <c r="I3688" t="inlineStr">
        <is>
          <t>38/000018</t>
        </is>
      </c>
    </row>
    <row r="3689">
      <c r="A3689">
        <f>TRIM(BASE_EQUIPOS!N3689)</f>
        <v/>
      </c>
      <c r="B3689">
        <f>BASE_EQUIPOS!A3689</f>
        <v/>
      </c>
      <c r="C3689">
        <f>BASE_EQUIPOS!B3689</f>
        <v/>
      </c>
      <c r="D3689">
        <f>BASE_EQUIPOS!D3689</f>
        <v/>
      </c>
      <c r="E3689">
        <f>BASE_EQUIPOS!G3689</f>
        <v/>
      </c>
      <c r="F3689">
        <f>BASE_EQUIPOS!H3689</f>
        <v/>
      </c>
      <c r="G3689">
        <f>BASE_EQUIPOS!M3689</f>
        <v/>
      </c>
      <c r="I3689" t="inlineStr">
        <is>
          <t>39/000020</t>
        </is>
      </c>
    </row>
    <row r="3690">
      <c r="A3690">
        <f>TRIM(BASE_EQUIPOS!N3690)</f>
        <v/>
      </c>
      <c r="B3690">
        <f>BASE_EQUIPOS!A3690</f>
        <v/>
      </c>
      <c r="C3690">
        <f>BASE_EQUIPOS!B3690</f>
        <v/>
      </c>
      <c r="D3690">
        <f>BASE_EQUIPOS!D3690</f>
        <v/>
      </c>
      <c r="E3690">
        <f>BASE_EQUIPOS!G3690</f>
        <v/>
      </c>
      <c r="F3690">
        <f>BASE_EQUIPOS!H3690</f>
        <v/>
      </c>
      <c r="G3690">
        <f>BASE_EQUIPOS!M3690</f>
        <v/>
      </c>
      <c r="I3690" t="inlineStr">
        <is>
          <t>40/900755</t>
        </is>
      </c>
    </row>
    <row r="3691">
      <c r="A3691">
        <f>TRIM(BASE_EQUIPOS!N3691)</f>
        <v/>
      </c>
      <c r="B3691">
        <f>BASE_EQUIPOS!A3691</f>
        <v/>
      </c>
      <c r="C3691">
        <f>BASE_EQUIPOS!B3691</f>
        <v/>
      </c>
      <c r="D3691">
        <f>BASE_EQUIPOS!D3691</f>
        <v/>
      </c>
      <c r="E3691">
        <f>BASE_EQUIPOS!G3691</f>
        <v/>
      </c>
      <c r="F3691">
        <f>BASE_EQUIPOS!H3691</f>
        <v/>
      </c>
      <c r="G3691">
        <f>BASE_EQUIPOS!M3691</f>
        <v/>
      </c>
      <c r="I3691" t="inlineStr">
        <is>
          <t>E-020/000087</t>
        </is>
      </c>
    </row>
    <row r="3692">
      <c r="A3692">
        <f>TRIM(BASE_EQUIPOS!N3692)</f>
        <v/>
      </c>
      <c r="B3692">
        <f>BASE_EQUIPOS!A3692</f>
        <v/>
      </c>
      <c r="C3692">
        <f>BASE_EQUIPOS!B3692</f>
        <v/>
      </c>
      <c r="D3692">
        <f>BASE_EQUIPOS!D3692</f>
        <v/>
      </c>
      <c r="E3692">
        <f>BASE_EQUIPOS!G3692</f>
        <v/>
      </c>
      <c r="F3692">
        <f>BASE_EQUIPOS!H3692</f>
        <v/>
      </c>
      <c r="G3692">
        <f>BASE_EQUIPOS!M3692</f>
        <v/>
      </c>
      <c r="I3692" t="inlineStr">
        <is>
          <t>E-033/207522</t>
        </is>
      </c>
    </row>
    <row r="3693">
      <c r="A3693">
        <f>TRIM(BASE_EQUIPOS!N3693)</f>
        <v/>
      </c>
      <c r="B3693">
        <f>BASE_EQUIPOS!A3693</f>
        <v/>
      </c>
      <c r="C3693">
        <f>BASE_EQUIPOS!B3693</f>
        <v/>
      </c>
      <c r="D3693">
        <f>BASE_EQUIPOS!D3693</f>
        <v/>
      </c>
      <c r="E3693">
        <f>BASE_EQUIPOS!G3693</f>
        <v/>
      </c>
      <c r="F3693">
        <f>BASE_EQUIPOS!H3693</f>
        <v/>
      </c>
      <c r="G3693">
        <f>BASE_EQUIPOS!M3693</f>
        <v/>
      </c>
      <c r="I3693" t="inlineStr">
        <is>
          <t>E-031/000229</t>
        </is>
      </c>
    </row>
    <row r="3694">
      <c r="A3694">
        <f>TRIM(BASE_EQUIPOS!N3694)</f>
        <v/>
      </c>
      <c r="B3694">
        <f>BASE_EQUIPOS!A3694</f>
        <v/>
      </c>
      <c r="C3694">
        <f>BASE_EQUIPOS!B3694</f>
        <v/>
      </c>
      <c r="D3694">
        <f>BASE_EQUIPOS!D3694</f>
        <v/>
      </c>
      <c r="E3694">
        <f>BASE_EQUIPOS!G3694</f>
        <v/>
      </c>
      <c r="F3694">
        <f>BASE_EQUIPOS!H3694</f>
        <v/>
      </c>
      <c r="G3694">
        <f>BASE_EQUIPOS!M3694</f>
        <v/>
      </c>
      <c r="I3694" t="inlineStr">
        <is>
          <t>E-001/001011</t>
        </is>
      </c>
    </row>
    <row r="3695">
      <c r="A3695">
        <f>TRIM(BASE_EQUIPOS!N3695)</f>
        <v/>
      </c>
      <c r="B3695">
        <f>BASE_EQUIPOS!A3695</f>
        <v/>
      </c>
      <c r="C3695">
        <f>BASE_EQUIPOS!B3695</f>
        <v/>
      </c>
      <c r="D3695">
        <f>BASE_EQUIPOS!D3695</f>
        <v/>
      </c>
      <c r="E3695">
        <f>BASE_EQUIPOS!G3695</f>
        <v/>
      </c>
      <c r="F3695">
        <f>BASE_EQUIPOS!H3695</f>
        <v/>
      </c>
      <c r="G3695">
        <f>BASE_EQUIPOS!M3695</f>
        <v/>
      </c>
      <c r="I3695" t="inlineStr">
        <is>
          <t>E-007/006080</t>
        </is>
      </c>
    </row>
    <row r="3696">
      <c r="A3696">
        <f>TRIM(BASE_EQUIPOS!N3696)</f>
        <v/>
      </c>
      <c r="B3696">
        <f>BASE_EQUIPOS!A3696</f>
        <v/>
      </c>
      <c r="C3696">
        <f>BASE_EQUIPOS!B3696</f>
        <v/>
      </c>
      <c r="D3696">
        <f>BASE_EQUIPOS!D3696</f>
        <v/>
      </c>
      <c r="E3696">
        <f>BASE_EQUIPOS!G3696</f>
        <v/>
      </c>
      <c r="F3696">
        <f>BASE_EQUIPOS!H3696</f>
        <v/>
      </c>
      <c r="G3696">
        <f>BASE_EQUIPOS!M3696</f>
        <v/>
      </c>
      <c r="I3696" t="inlineStr">
        <is>
          <t>E-021/5614530</t>
        </is>
      </c>
    </row>
    <row r="3697">
      <c r="A3697">
        <f>TRIM(BASE_EQUIPOS!N3697)</f>
        <v/>
      </c>
      <c r="B3697">
        <f>BASE_EQUIPOS!A3697</f>
        <v/>
      </c>
      <c r="C3697">
        <f>BASE_EQUIPOS!B3697</f>
        <v/>
      </c>
      <c r="D3697">
        <f>BASE_EQUIPOS!D3697</f>
        <v/>
      </c>
      <c r="E3697">
        <f>BASE_EQUIPOS!G3697</f>
        <v/>
      </c>
      <c r="F3697">
        <f>BASE_EQUIPOS!H3697</f>
        <v/>
      </c>
      <c r="G3697">
        <f>BASE_EQUIPOS!M3697</f>
        <v/>
      </c>
      <c r="I3697" t="inlineStr">
        <is>
          <t>E-022/4193912</t>
        </is>
      </c>
    </row>
    <row r="3698">
      <c r="A3698">
        <f>TRIM(BASE_EQUIPOS!N3698)</f>
        <v/>
      </c>
      <c r="B3698">
        <f>BASE_EQUIPOS!A3698</f>
        <v/>
      </c>
      <c r="C3698">
        <f>BASE_EQUIPOS!B3698</f>
        <v/>
      </c>
      <c r="D3698">
        <f>BASE_EQUIPOS!D3698</f>
        <v/>
      </c>
      <c r="E3698">
        <f>BASE_EQUIPOS!G3698</f>
        <v/>
      </c>
      <c r="F3698">
        <f>BASE_EQUIPOS!H3698</f>
        <v/>
      </c>
      <c r="G3698">
        <f>BASE_EQUIPOS!M3698</f>
        <v/>
      </c>
      <c r="I3698" t="inlineStr">
        <is>
          <t>E-023/4193771</t>
        </is>
      </c>
    </row>
    <row r="3699">
      <c r="A3699">
        <f>TRIM(BASE_EQUIPOS!N3699)</f>
        <v/>
      </c>
      <c r="B3699">
        <f>BASE_EQUIPOS!A3699</f>
        <v/>
      </c>
      <c r="C3699">
        <f>BASE_EQUIPOS!B3699</f>
        <v/>
      </c>
      <c r="D3699">
        <f>BASE_EQUIPOS!D3699</f>
        <v/>
      </c>
      <c r="E3699">
        <f>BASE_EQUIPOS!G3699</f>
        <v/>
      </c>
      <c r="F3699">
        <f>BASE_EQUIPOS!H3699</f>
        <v/>
      </c>
      <c r="G3699">
        <f>BASE_EQUIPOS!M3699</f>
        <v/>
      </c>
      <c r="I3699" t="inlineStr">
        <is>
          <t>E-024/5615425</t>
        </is>
      </c>
    </row>
    <row r="3700">
      <c r="A3700">
        <f>TRIM(BASE_EQUIPOS!N3700)</f>
        <v/>
      </c>
      <c r="B3700">
        <f>BASE_EQUIPOS!A3700</f>
        <v/>
      </c>
      <c r="C3700">
        <f>BASE_EQUIPOS!B3700</f>
        <v/>
      </c>
      <c r="D3700">
        <f>BASE_EQUIPOS!D3700</f>
        <v/>
      </c>
      <c r="E3700">
        <f>BASE_EQUIPOS!G3700</f>
        <v/>
      </c>
      <c r="F3700">
        <f>BASE_EQUIPOS!H3700</f>
        <v/>
      </c>
      <c r="G3700">
        <f>BASE_EQUIPOS!M3700</f>
        <v/>
      </c>
      <c r="I3700" t="inlineStr">
        <is>
          <t>E-025/419311</t>
        </is>
      </c>
    </row>
    <row r="3701">
      <c r="A3701">
        <f>TRIM(BASE_EQUIPOS!N3701)</f>
        <v/>
      </c>
      <c r="B3701">
        <f>BASE_EQUIPOS!A3701</f>
        <v/>
      </c>
      <c r="C3701">
        <f>BASE_EQUIPOS!B3701</f>
        <v/>
      </c>
      <c r="D3701">
        <f>BASE_EQUIPOS!D3701</f>
        <v/>
      </c>
      <c r="E3701">
        <f>BASE_EQUIPOS!G3701</f>
        <v/>
      </c>
      <c r="F3701">
        <f>BASE_EQUIPOS!H3701</f>
        <v/>
      </c>
      <c r="G3701">
        <f>BASE_EQUIPOS!M3701</f>
        <v/>
      </c>
      <c r="I3701" t="inlineStr">
        <is>
          <t>E-026/5614963</t>
        </is>
      </c>
    </row>
    <row r="3702">
      <c r="A3702">
        <f>TRIM(BASE_EQUIPOS!N3702)</f>
        <v/>
      </c>
      <c r="B3702">
        <f>BASE_EQUIPOS!A3702</f>
        <v/>
      </c>
      <c r="C3702">
        <f>BASE_EQUIPOS!B3702</f>
        <v/>
      </c>
      <c r="D3702">
        <f>BASE_EQUIPOS!D3702</f>
        <v/>
      </c>
      <c r="E3702">
        <f>BASE_EQUIPOS!G3702</f>
        <v/>
      </c>
      <c r="F3702">
        <f>BASE_EQUIPOS!H3702</f>
        <v/>
      </c>
      <c r="G3702">
        <f>BASE_EQUIPOS!M3702</f>
        <v/>
      </c>
      <c r="I3702" t="inlineStr">
        <is>
          <t>E-027/5614988</t>
        </is>
      </c>
    </row>
    <row r="3703">
      <c r="A3703">
        <f>TRIM(BASE_EQUIPOS!N3703)</f>
        <v/>
      </c>
      <c r="B3703">
        <f>BASE_EQUIPOS!A3703</f>
        <v/>
      </c>
      <c r="C3703">
        <f>BASE_EQUIPOS!B3703</f>
        <v/>
      </c>
      <c r="D3703">
        <f>BASE_EQUIPOS!D3703</f>
        <v/>
      </c>
      <c r="E3703">
        <f>BASE_EQUIPOS!G3703</f>
        <v/>
      </c>
      <c r="F3703">
        <f>BASE_EQUIPOS!H3703</f>
        <v/>
      </c>
      <c r="G3703">
        <f>BASE_EQUIPOS!M3703</f>
        <v/>
      </c>
      <c r="I3703" t="inlineStr">
        <is>
          <t>E-028/5614961</t>
        </is>
      </c>
    </row>
    <row r="3704">
      <c r="A3704">
        <f>TRIM(BASE_EQUIPOS!N3704)</f>
        <v/>
      </c>
      <c r="B3704">
        <f>BASE_EQUIPOS!A3704</f>
        <v/>
      </c>
      <c r="C3704">
        <f>BASE_EQUIPOS!B3704</f>
        <v/>
      </c>
      <c r="D3704">
        <f>BASE_EQUIPOS!D3704</f>
        <v/>
      </c>
      <c r="E3704">
        <f>BASE_EQUIPOS!G3704</f>
        <v/>
      </c>
      <c r="F3704">
        <f>BASE_EQUIPOS!H3704</f>
        <v/>
      </c>
      <c r="G3704">
        <f>BASE_EQUIPOS!M3704</f>
        <v/>
      </c>
      <c r="I3704" t="inlineStr">
        <is>
          <t>000301</t>
        </is>
      </c>
    </row>
    <row r="3705">
      <c r="A3705">
        <f>TRIM(BASE_EQUIPOS!N3705)</f>
        <v/>
      </c>
      <c r="B3705">
        <f>BASE_EQUIPOS!A3705</f>
        <v/>
      </c>
      <c r="C3705">
        <f>BASE_EQUIPOS!B3705</f>
        <v/>
      </c>
      <c r="D3705">
        <f>BASE_EQUIPOS!D3705</f>
        <v/>
      </c>
      <c r="E3705">
        <f>BASE_EQUIPOS!G3705</f>
        <v/>
      </c>
      <c r="F3705">
        <f>BASE_EQUIPOS!H3705</f>
        <v/>
      </c>
      <c r="G3705">
        <f>BASE_EQUIPOS!M3705</f>
        <v/>
      </c>
      <c r="I3705" t="inlineStr">
        <is>
          <t>S/N/000761</t>
        </is>
      </c>
    </row>
    <row r="3706">
      <c r="A3706">
        <f>TRIM(BASE_EQUIPOS!N3706)</f>
        <v/>
      </c>
      <c r="B3706">
        <f>BASE_EQUIPOS!A3706</f>
        <v/>
      </c>
      <c r="C3706">
        <f>BASE_EQUIPOS!B3706</f>
        <v/>
      </c>
      <c r="D3706">
        <f>BASE_EQUIPOS!D3706</f>
        <v/>
      </c>
      <c r="E3706">
        <f>BASE_EQUIPOS!G3706</f>
        <v/>
      </c>
      <c r="F3706">
        <f>BASE_EQUIPOS!H3706</f>
        <v/>
      </c>
      <c r="G3706">
        <f>BASE_EQUIPOS!M3706</f>
        <v/>
      </c>
      <c r="I3706" t="inlineStr">
        <is>
          <t>E-107/001244</t>
        </is>
      </c>
    </row>
    <row r="3707">
      <c r="A3707">
        <f>TRIM(BASE_EQUIPOS!N3707)</f>
        <v/>
      </c>
      <c r="B3707">
        <f>BASE_EQUIPOS!A3707</f>
        <v/>
      </c>
      <c r="C3707">
        <f>BASE_EQUIPOS!B3707</f>
        <v/>
      </c>
      <c r="D3707">
        <f>BASE_EQUIPOS!D3707</f>
        <v/>
      </c>
      <c r="E3707">
        <f>BASE_EQUIPOS!G3707</f>
        <v/>
      </c>
      <c r="F3707">
        <f>BASE_EQUIPOS!H3707</f>
        <v/>
      </c>
      <c r="G3707">
        <f>BASE_EQUIPOS!M3707</f>
        <v/>
      </c>
      <c r="I3707" t="inlineStr">
        <is>
          <t>E-093/005048</t>
        </is>
      </c>
    </row>
    <row r="3708">
      <c r="A3708">
        <f>TRIM(BASE_EQUIPOS!N3708)</f>
        <v/>
      </c>
      <c r="B3708">
        <f>BASE_EQUIPOS!A3708</f>
        <v/>
      </c>
      <c r="C3708">
        <f>BASE_EQUIPOS!B3708</f>
        <v/>
      </c>
      <c r="D3708">
        <f>BASE_EQUIPOS!D3708</f>
        <v/>
      </c>
      <c r="E3708">
        <f>BASE_EQUIPOS!G3708</f>
        <v/>
      </c>
      <c r="F3708">
        <f>BASE_EQUIPOS!H3708</f>
        <v/>
      </c>
      <c r="G3708">
        <f>BASE_EQUIPOS!M3708</f>
        <v/>
      </c>
      <c r="I3708" t="inlineStr">
        <is>
          <t>S/N/932875</t>
        </is>
      </c>
    </row>
    <row r="3709">
      <c r="A3709">
        <f>TRIM(BASE_EQUIPOS!N3709)</f>
        <v/>
      </c>
      <c r="B3709">
        <f>BASE_EQUIPOS!A3709</f>
        <v/>
      </c>
      <c r="C3709">
        <f>BASE_EQUIPOS!B3709</f>
        <v/>
      </c>
      <c r="D3709">
        <f>BASE_EQUIPOS!D3709</f>
        <v/>
      </c>
      <c r="E3709">
        <f>BASE_EQUIPOS!G3709</f>
        <v/>
      </c>
      <c r="F3709">
        <f>BASE_EQUIPOS!H3709</f>
        <v/>
      </c>
      <c r="G3709">
        <f>BASE_EQUIPOS!M3709</f>
        <v/>
      </c>
      <c r="I3709" t="inlineStr">
        <is>
          <t>S/N901335</t>
        </is>
      </c>
    </row>
    <row r="3710">
      <c r="A3710">
        <f>TRIM(BASE_EQUIPOS!N3710)</f>
        <v/>
      </c>
      <c r="B3710">
        <f>BASE_EQUIPOS!A3710</f>
        <v/>
      </c>
      <c r="C3710">
        <f>BASE_EQUIPOS!B3710</f>
        <v/>
      </c>
      <c r="D3710">
        <f>BASE_EQUIPOS!D3710</f>
        <v/>
      </c>
      <c r="E3710">
        <f>BASE_EQUIPOS!G3710</f>
        <v/>
      </c>
      <c r="F3710">
        <f>BASE_EQUIPOS!H3710</f>
        <v/>
      </c>
      <c r="G3710">
        <f>BASE_EQUIPOS!M3710</f>
        <v/>
      </c>
      <c r="I3710" t="inlineStr">
        <is>
          <t>E-099/001942</t>
        </is>
      </c>
    </row>
    <row r="3711">
      <c r="A3711">
        <f>TRIM(BASE_EQUIPOS!N3711)</f>
        <v/>
      </c>
      <c r="B3711">
        <f>BASE_EQUIPOS!A3711</f>
        <v/>
      </c>
      <c r="C3711">
        <f>BASE_EQUIPOS!B3711</f>
        <v/>
      </c>
      <c r="D3711">
        <f>BASE_EQUIPOS!D3711</f>
        <v/>
      </c>
      <c r="E3711">
        <f>BASE_EQUIPOS!G3711</f>
        <v/>
      </c>
      <c r="F3711">
        <f>BASE_EQUIPOS!H3711</f>
        <v/>
      </c>
      <c r="G3711">
        <f>BASE_EQUIPOS!M3711</f>
        <v/>
      </c>
      <c r="I3711" t="inlineStr">
        <is>
          <t>E-051/000889</t>
        </is>
      </c>
    </row>
    <row r="3712">
      <c r="A3712">
        <f>TRIM(BASE_EQUIPOS!N3712)</f>
        <v/>
      </c>
      <c r="B3712">
        <f>BASE_EQUIPOS!A3712</f>
        <v/>
      </c>
      <c r="C3712">
        <f>BASE_EQUIPOS!B3712</f>
        <v/>
      </c>
      <c r="D3712">
        <f>BASE_EQUIPOS!D3712</f>
        <v/>
      </c>
      <c r="E3712">
        <f>BASE_EQUIPOS!G3712</f>
        <v/>
      </c>
      <c r="F3712">
        <f>BASE_EQUIPOS!H3712</f>
        <v/>
      </c>
      <c r="G3712">
        <f>BASE_EQUIPOS!M3712</f>
        <v/>
      </c>
      <c r="I3712" t="inlineStr">
        <is>
          <t>E-052/000207</t>
        </is>
      </c>
    </row>
    <row r="3713">
      <c r="A3713">
        <f>TRIM(BASE_EQUIPOS!N3713)</f>
        <v/>
      </c>
      <c r="B3713">
        <f>BASE_EQUIPOS!A3713</f>
        <v/>
      </c>
      <c r="C3713">
        <f>BASE_EQUIPOS!B3713</f>
        <v/>
      </c>
      <c r="D3713">
        <f>BASE_EQUIPOS!D3713</f>
        <v/>
      </c>
      <c r="E3713">
        <f>BASE_EQUIPOS!G3713</f>
        <v/>
      </c>
      <c r="F3713">
        <f>BASE_EQUIPOS!H3713</f>
        <v/>
      </c>
      <c r="G3713">
        <f>BASE_EQUIPOS!M3713</f>
        <v/>
      </c>
      <c r="I3713" t="inlineStr">
        <is>
          <t>E-122/000324</t>
        </is>
      </c>
    </row>
    <row r="3714">
      <c r="A3714">
        <f>TRIM(BASE_EQUIPOS!N3714)</f>
        <v/>
      </c>
      <c r="B3714">
        <f>BASE_EQUIPOS!A3714</f>
        <v/>
      </c>
      <c r="C3714">
        <f>BASE_EQUIPOS!B3714</f>
        <v/>
      </c>
      <c r="D3714">
        <f>BASE_EQUIPOS!D3714</f>
        <v/>
      </c>
      <c r="E3714">
        <f>BASE_EQUIPOS!G3714</f>
        <v/>
      </c>
      <c r="F3714">
        <f>BASE_EQUIPOS!H3714</f>
        <v/>
      </c>
      <c r="G3714">
        <f>BASE_EQUIPOS!M3714</f>
        <v/>
      </c>
      <c r="I3714" t="inlineStr">
        <is>
          <t>E-053/001075</t>
        </is>
      </c>
    </row>
    <row r="3715">
      <c r="A3715">
        <f>TRIM(BASE_EQUIPOS!N3715)</f>
        <v/>
      </c>
      <c r="B3715">
        <f>BASE_EQUIPOS!A3715</f>
        <v/>
      </c>
      <c r="C3715">
        <f>BASE_EQUIPOS!B3715</f>
        <v/>
      </c>
      <c r="D3715">
        <f>BASE_EQUIPOS!D3715</f>
        <v/>
      </c>
      <c r="E3715">
        <f>BASE_EQUIPOS!G3715</f>
        <v/>
      </c>
      <c r="F3715">
        <f>BASE_EQUIPOS!H3715</f>
        <v/>
      </c>
      <c r="G3715">
        <f>BASE_EQUIPOS!M3715</f>
        <v/>
      </c>
      <c r="I3715" t="inlineStr">
        <is>
          <t>E-018/000119</t>
        </is>
      </c>
    </row>
    <row r="3716">
      <c r="A3716">
        <f>TRIM(BASE_EQUIPOS!N3716)</f>
        <v/>
      </c>
      <c r="B3716">
        <f>BASE_EQUIPOS!A3716</f>
        <v/>
      </c>
      <c r="C3716">
        <f>BASE_EQUIPOS!B3716</f>
        <v/>
      </c>
      <c r="D3716">
        <f>BASE_EQUIPOS!D3716</f>
        <v/>
      </c>
      <c r="E3716">
        <f>BASE_EQUIPOS!G3716</f>
        <v/>
      </c>
      <c r="F3716">
        <f>BASE_EQUIPOS!H3716</f>
        <v/>
      </c>
      <c r="G3716">
        <f>BASE_EQUIPOS!M3716</f>
        <v/>
      </c>
      <c r="I3716" t="inlineStr">
        <is>
          <t>E-145/000166</t>
        </is>
      </c>
    </row>
    <row r="3717">
      <c r="A3717">
        <f>TRIM(BASE_EQUIPOS!N3717)</f>
        <v/>
      </c>
      <c r="B3717">
        <f>BASE_EQUIPOS!A3717</f>
        <v/>
      </c>
      <c r="C3717">
        <f>BASE_EQUIPOS!B3717</f>
        <v/>
      </c>
      <c r="D3717">
        <f>BASE_EQUIPOS!D3717</f>
        <v/>
      </c>
      <c r="E3717">
        <f>BASE_EQUIPOS!G3717</f>
        <v/>
      </c>
      <c r="F3717">
        <f>BASE_EQUIPOS!H3717</f>
        <v/>
      </c>
      <c r="G3717">
        <f>BASE_EQUIPOS!M3717</f>
        <v/>
      </c>
      <c r="I3717" t="inlineStr">
        <is>
          <t>E-004/000199</t>
        </is>
      </c>
    </row>
    <row r="3718">
      <c r="A3718">
        <f>TRIM(BASE_EQUIPOS!N3718)</f>
        <v/>
      </c>
      <c r="B3718">
        <f>BASE_EQUIPOS!A3718</f>
        <v/>
      </c>
      <c r="C3718">
        <f>BASE_EQUIPOS!B3718</f>
        <v/>
      </c>
      <c r="D3718">
        <f>BASE_EQUIPOS!D3718</f>
        <v/>
      </c>
      <c r="E3718">
        <f>BASE_EQUIPOS!G3718</f>
        <v/>
      </c>
      <c r="F3718">
        <f>BASE_EQUIPOS!H3718</f>
        <v/>
      </c>
      <c r="G3718">
        <f>BASE_EQUIPOS!M3718</f>
        <v/>
      </c>
      <c r="I3718" t="inlineStr">
        <is>
          <t>E-035/000336</t>
        </is>
      </c>
    </row>
    <row r="3719">
      <c r="A3719">
        <f>TRIM(BASE_EQUIPOS!N3719)</f>
        <v/>
      </c>
      <c r="B3719">
        <f>BASE_EQUIPOS!A3719</f>
        <v/>
      </c>
      <c r="C3719">
        <f>BASE_EQUIPOS!B3719</f>
        <v/>
      </c>
      <c r="D3719">
        <f>BASE_EQUIPOS!D3719</f>
        <v/>
      </c>
      <c r="E3719">
        <f>BASE_EQUIPOS!G3719</f>
        <v/>
      </c>
      <c r="F3719">
        <f>BASE_EQUIPOS!H3719</f>
        <v/>
      </c>
      <c r="G3719">
        <f>BASE_EQUIPOS!M3719</f>
        <v/>
      </c>
      <c r="I3719" t="inlineStr">
        <is>
          <t>E-126/001361</t>
        </is>
      </c>
    </row>
    <row r="3720">
      <c r="A3720">
        <f>TRIM(BASE_EQUIPOS!N3720)</f>
        <v/>
      </c>
      <c r="B3720">
        <f>BASE_EQUIPOS!A3720</f>
        <v/>
      </c>
      <c r="C3720">
        <f>BASE_EQUIPOS!B3720</f>
        <v/>
      </c>
      <c r="D3720">
        <f>BASE_EQUIPOS!D3720</f>
        <v/>
      </c>
      <c r="E3720">
        <f>BASE_EQUIPOS!G3720</f>
        <v/>
      </c>
      <c r="F3720">
        <f>BASE_EQUIPOS!H3720</f>
        <v/>
      </c>
      <c r="G3720">
        <f>BASE_EQUIPOS!M3720</f>
        <v/>
      </c>
      <c r="I3720" t="inlineStr">
        <is>
          <t>E-110/S/N</t>
        </is>
      </c>
    </row>
    <row r="3721">
      <c r="A3721">
        <f>TRIM(BASE_EQUIPOS!N3721)</f>
        <v/>
      </c>
      <c r="B3721">
        <f>BASE_EQUIPOS!A3721</f>
        <v/>
      </c>
      <c r="C3721">
        <f>BASE_EQUIPOS!B3721</f>
        <v/>
      </c>
      <c r="D3721">
        <f>BASE_EQUIPOS!D3721</f>
        <v/>
      </c>
      <c r="E3721">
        <f>BASE_EQUIPOS!G3721</f>
        <v/>
      </c>
      <c r="F3721">
        <f>BASE_EQUIPOS!H3721</f>
        <v/>
      </c>
      <c r="G3721">
        <f>BASE_EQUIPOS!M3721</f>
        <v/>
      </c>
      <c r="I3721" t="inlineStr">
        <is>
          <t>E-105/43930667</t>
        </is>
      </c>
    </row>
    <row r="3722">
      <c r="A3722">
        <f>TRIM(BASE_EQUIPOS!N3722)</f>
        <v/>
      </c>
      <c r="B3722">
        <f>BASE_EQUIPOS!A3722</f>
        <v/>
      </c>
      <c r="C3722">
        <f>BASE_EQUIPOS!B3722</f>
        <v/>
      </c>
      <c r="D3722">
        <f>BASE_EQUIPOS!D3722</f>
        <v/>
      </c>
      <c r="E3722">
        <f>BASE_EQUIPOS!G3722</f>
        <v/>
      </c>
      <c r="F3722">
        <f>BASE_EQUIPOS!H3722</f>
        <v/>
      </c>
      <c r="G3722">
        <f>BASE_EQUIPOS!M3722</f>
        <v/>
      </c>
      <c r="I3722" t="inlineStr">
        <is>
          <t>E-065/029306</t>
        </is>
      </c>
    </row>
    <row r="3723">
      <c r="A3723">
        <f>TRIM(BASE_EQUIPOS!N3723)</f>
        <v/>
      </c>
      <c r="B3723">
        <f>BASE_EQUIPOS!A3723</f>
        <v/>
      </c>
      <c r="C3723">
        <f>BASE_EQUIPOS!B3723</f>
        <v/>
      </c>
      <c r="D3723">
        <f>BASE_EQUIPOS!D3723</f>
        <v/>
      </c>
      <c r="E3723">
        <f>BASE_EQUIPOS!G3723</f>
        <v/>
      </c>
      <c r="F3723">
        <f>BASE_EQUIPOS!H3723</f>
        <v/>
      </c>
      <c r="G3723">
        <f>BASE_EQUIPOS!M3723</f>
        <v/>
      </c>
      <c r="I3723" t="inlineStr">
        <is>
          <t>E-062/000233</t>
        </is>
      </c>
    </row>
    <row r="3724">
      <c r="A3724">
        <f>TRIM(BASE_EQUIPOS!N3724)</f>
        <v/>
      </c>
      <c r="B3724">
        <f>BASE_EQUIPOS!A3724</f>
        <v/>
      </c>
      <c r="C3724">
        <f>BASE_EQUIPOS!B3724</f>
        <v/>
      </c>
      <c r="D3724">
        <f>BASE_EQUIPOS!D3724</f>
        <v/>
      </c>
      <c r="E3724">
        <f>BASE_EQUIPOS!G3724</f>
        <v/>
      </c>
      <c r="F3724">
        <f>BASE_EQUIPOS!H3724</f>
        <v/>
      </c>
      <c r="G3724">
        <f>BASE_EQUIPOS!M3724</f>
        <v/>
      </c>
      <c r="I3724" t="inlineStr">
        <is>
          <t>E-056/000126</t>
        </is>
      </c>
    </row>
    <row r="3725">
      <c r="A3725">
        <f>TRIM(BASE_EQUIPOS!N3725)</f>
        <v/>
      </c>
      <c r="B3725">
        <f>BASE_EQUIPOS!A3725</f>
        <v/>
      </c>
      <c r="C3725">
        <f>BASE_EQUIPOS!B3725</f>
        <v/>
      </c>
      <c r="D3725">
        <f>BASE_EQUIPOS!D3725</f>
        <v/>
      </c>
      <c r="E3725">
        <f>BASE_EQUIPOS!G3725</f>
        <v/>
      </c>
      <c r="F3725">
        <f>BASE_EQUIPOS!H3725</f>
        <v/>
      </c>
      <c r="G3725">
        <f>BASE_EQUIPOS!M3725</f>
        <v/>
      </c>
      <c r="I3725" t="inlineStr">
        <is>
          <t>E-086/003383</t>
        </is>
      </c>
    </row>
    <row r="3726">
      <c r="A3726">
        <f>TRIM(BASE_EQUIPOS!N3726)</f>
        <v/>
      </c>
      <c r="B3726">
        <f>BASE_EQUIPOS!A3726</f>
        <v/>
      </c>
      <c r="C3726">
        <f>BASE_EQUIPOS!B3726</f>
        <v/>
      </c>
      <c r="D3726">
        <f>BASE_EQUIPOS!D3726</f>
        <v/>
      </c>
      <c r="E3726">
        <f>BASE_EQUIPOS!G3726</f>
        <v/>
      </c>
      <c r="F3726">
        <f>BASE_EQUIPOS!H3726</f>
        <v/>
      </c>
      <c r="G3726">
        <f>BASE_EQUIPOS!M3726</f>
        <v/>
      </c>
      <c r="I3726" t="inlineStr">
        <is>
          <t>E-014/000119</t>
        </is>
      </c>
    </row>
    <row r="3727">
      <c r="A3727">
        <f>TRIM(BASE_EQUIPOS!N3727)</f>
        <v/>
      </c>
      <c r="B3727">
        <f>BASE_EQUIPOS!A3727</f>
        <v/>
      </c>
      <c r="C3727">
        <f>BASE_EQUIPOS!B3727</f>
        <v/>
      </c>
      <c r="D3727">
        <f>BASE_EQUIPOS!D3727</f>
        <v/>
      </c>
      <c r="E3727">
        <f>BASE_EQUIPOS!G3727</f>
        <v/>
      </c>
      <c r="F3727">
        <f>BASE_EQUIPOS!H3727</f>
        <v/>
      </c>
      <c r="G3727">
        <f>BASE_EQUIPOS!M3727</f>
        <v/>
      </c>
      <c r="I3727" t="inlineStr">
        <is>
          <t>E-069/000001</t>
        </is>
      </c>
    </row>
    <row r="3728">
      <c r="A3728">
        <f>TRIM(BASE_EQUIPOS!N3728)</f>
        <v/>
      </c>
      <c r="B3728">
        <f>BASE_EQUIPOS!A3728</f>
        <v/>
      </c>
      <c r="C3728">
        <f>BASE_EQUIPOS!B3728</f>
        <v/>
      </c>
      <c r="D3728">
        <f>BASE_EQUIPOS!D3728</f>
        <v/>
      </c>
      <c r="E3728">
        <f>BASE_EQUIPOS!G3728</f>
        <v/>
      </c>
      <c r="F3728">
        <f>BASE_EQUIPOS!H3728</f>
        <v/>
      </c>
      <c r="G3728">
        <f>BASE_EQUIPOS!M3728</f>
        <v/>
      </c>
      <c r="I3728" t="inlineStr">
        <is>
          <t>E-095/174848</t>
        </is>
      </c>
    </row>
    <row r="3729">
      <c r="A3729">
        <f>TRIM(BASE_EQUIPOS!N3729)</f>
        <v/>
      </c>
      <c r="B3729">
        <f>BASE_EQUIPOS!A3729</f>
        <v/>
      </c>
      <c r="C3729">
        <f>BASE_EQUIPOS!B3729</f>
        <v/>
      </c>
      <c r="D3729">
        <f>BASE_EQUIPOS!D3729</f>
        <v/>
      </c>
      <c r="E3729">
        <f>BASE_EQUIPOS!G3729</f>
        <v/>
      </c>
      <c r="F3729">
        <f>BASE_EQUIPOS!H3729</f>
        <v/>
      </c>
      <c r="G3729">
        <f>BASE_EQUIPOS!M3729</f>
        <v/>
      </c>
      <c r="I3729" t="inlineStr">
        <is>
          <t>E-312/000015</t>
        </is>
      </c>
    </row>
    <row r="3730">
      <c r="A3730">
        <f>TRIM(BASE_EQUIPOS!N3730)</f>
        <v/>
      </c>
      <c r="B3730">
        <f>BASE_EQUIPOS!A3730</f>
        <v/>
      </c>
      <c r="C3730">
        <f>BASE_EQUIPOS!B3730</f>
        <v/>
      </c>
      <c r="D3730">
        <f>BASE_EQUIPOS!D3730</f>
        <v/>
      </c>
      <c r="E3730">
        <f>BASE_EQUIPOS!G3730</f>
        <v/>
      </c>
      <c r="F3730">
        <f>BASE_EQUIPOS!H3730</f>
        <v/>
      </c>
      <c r="G3730">
        <f>BASE_EQUIPOS!M3730</f>
        <v/>
      </c>
      <c r="I3730" t="inlineStr">
        <is>
          <t>E-085/W611819</t>
        </is>
      </c>
    </row>
    <row r="3731">
      <c r="A3731">
        <f>TRIM(BASE_EQUIPOS!N3731)</f>
        <v/>
      </c>
      <c r="B3731">
        <f>BASE_EQUIPOS!A3731</f>
        <v/>
      </c>
      <c r="C3731">
        <f>BASE_EQUIPOS!B3731</f>
        <v/>
      </c>
      <c r="D3731">
        <f>BASE_EQUIPOS!D3731</f>
        <v/>
      </c>
      <c r="E3731">
        <f>BASE_EQUIPOS!G3731</f>
        <v/>
      </c>
      <c r="F3731">
        <f>BASE_EQUIPOS!H3731</f>
        <v/>
      </c>
      <c r="G3731">
        <f>BASE_EQUIPOS!M3731</f>
        <v/>
      </c>
      <c r="I3731" t="inlineStr">
        <is>
          <t>E-064/001249</t>
        </is>
      </c>
    </row>
    <row r="3732">
      <c r="A3732">
        <f>TRIM(BASE_EQUIPOS!N3732)</f>
        <v/>
      </c>
      <c r="B3732">
        <f>BASE_EQUIPOS!A3732</f>
        <v/>
      </c>
      <c r="C3732">
        <f>BASE_EQUIPOS!B3732</f>
        <v/>
      </c>
      <c r="D3732">
        <f>BASE_EQUIPOS!D3732</f>
        <v/>
      </c>
      <c r="E3732">
        <f>BASE_EQUIPOS!G3732</f>
        <v/>
      </c>
      <c r="F3732">
        <f>BASE_EQUIPOS!H3732</f>
        <v/>
      </c>
      <c r="G3732">
        <f>BASE_EQUIPOS!M3732</f>
        <v/>
      </c>
      <c r="I3732" t="inlineStr">
        <is>
          <t>E-061/999687</t>
        </is>
      </c>
    </row>
    <row r="3733">
      <c r="A3733">
        <f>TRIM(BASE_EQUIPOS!N3733)</f>
        <v/>
      </c>
      <c r="B3733">
        <f>BASE_EQUIPOS!A3733</f>
        <v/>
      </c>
      <c r="C3733">
        <f>BASE_EQUIPOS!B3733</f>
        <v/>
      </c>
      <c r="D3733">
        <f>BASE_EQUIPOS!D3733</f>
        <v/>
      </c>
      <c r="E3733">
        <f>BASE_EQUIPOS!G3733</f>
        <v/>
      </c>
      <c r="F3733">
        <f>BASE_EQUIPOS!H3733</f>
        <v/>
      </c>
      <c r="G3733">
        <f>BASE_EQUIPOS!M3733</f>
        <v/>
      </c>
      <c r="I3733" t="inlineStr">
        <is>
          <t>302/000059</t>
        </is>
      </c>
    </row>
    <row r="3734">
      <c r="A3734">
        <f>TRIM(BASE_EQUIPOS!N3734)</f>
        <v/>
      </c>
      <c r="B3734">
        <f>BASE_EQUIPOS!A3734</f>
        <v/>
      </c>
      <c r="C3734">
        <f>BASE_EQUIPOS!B3734</f>
        <v/>
      </c>
      <c r="D3734">
        <f>BASE_EQUIPOS!D3734</f>
        <v/>
      </c>
      <c r="E3734">
        <f>BASE_EQUIPOS!G3734</f>
        <v/>
      </c>
      <c r="F3734">
        <f>BASE_EQUIPOS!H3734</f>
        <v/>
      </c>
      <c r="G3734">
        <f>BASE_EQUIPOS!M3734</f>
        <v/>
      </c>
      <c r="I3734" t="inlineStr">
        <is>
          <t>343/01584</t>
        </is>
      </c>
    </row>
    <row r="3735">
      <c r="A3735">
        <f>TRIM(BASE_EQUIPOS!N3735)</f>
        <v/>
      </c>
      <c r="B3735">
        <f>BASE_EQUIPOS!A3735</f>
        <v/>
      </c>
      <c r="C3735">
        <f>BASE_EQUIPOS!B3735</f>
        <v/>
      </c>
      <c r="D3735">
        <f>BASE_EQUIPOS!D3735</f>
        <v/>
      </c>
      <c r="E3735">
        <f>BASE_EQUIPOS!G3735</f>
        <v/>
      </c>
      <c r="F3735">
        <f>BASE_EQUIPOS!H3735</f>
        <v/>
      </c>
      <c r="G3735">
        <f>BASE_EQUIPOS!M3735</f>
        <v/>
      </c>
      <c r="I3735" t="inlineStr">
        <is>
          <t>19/011779</t>
        </is>
      </c>
    </row>
    <row r="3736">
      <c r="A3736">
        <f>TRIM(BASE_EQUIPOS!N3736)</f>
        <v/>
      </c>
      <c r="B3736">
        <f>BASE_EQUIPOS!A3736</f>
        <v/>
      </c>
      <c r="C3736">
        <f>BASE_EQUIPOS!B3736</f>
        <v/>
      </c>
      <c r="D3736">
        <f>BASE_EQUIPOS!D3736</f>
        <v/>
      </c>
      <c r="E3736">
        <f>BASE_EQUIPOS!G3736</f>
        <v/>
      </c>
      <c r="F3736">
        <f>BASE_EQUIPOS!H3736</f>
        <v/>
      </c>
      <c r="G3736">
        <f>BASE_EQUIPOS!M3736</f>
        <v/>
      </c>
      <c r="I3736" t="inlineStr">
        <is>
          <t>04/422684</t>
        </is>
      </c>
    </row>
    <row r="3737">
      <c r="A3737">
        <f>TRIM(BASE_EQUIPOS!N3737)</f>
        <v/>
      </c>
      <c r="B3737">
        <f>BASE_EQUIPOS!A3737</f>
        <v/>
      </c>
      <c r="C3737">
        <f>BASE_EQUIPOS!B3737</f>
        <v/>
      </c>
      <c r="D3737">
        <f>BASE_EQUIPOS!D3737</f>
        <v/>
      </c>
      <c r="E3737">
        <f>BASE_EQUIPOS!G3737</f>
        <v/>
      </c>
      <c r="F3737">
        <f>BASE_EQUIPOS!H3737</f>
        <v/>
      </c>
      <c r="G3737">
        <f>BASE_EQUIPOS!M3737</f>
        <v/>
      </c>
      <c r="I3737" t="inlineStr">
        <is>
          <t>CO2 TIPO BC</t>
        </is>
      </c>
    </row>
    <row r="3738">
      <c r="A3738">
        <f>TRIM(BASE_EQUIPOS!N3738)</f>
        <v/>
      </c>
      <c r="B3738">
        <f>BASE_EQUIPOS!A3738</f>
        <v/>
      </c>
      <c r="C3738">
        <f>BASE_EQUIPOS!B3738</f>
        <v/>
      </c>
      <c r="D3738">
        <f>BASE_EQUIPOS!D3738</f>
        <v/>
      </c>
      <c r="E3738">
        <f>BASE_EQUIPOS!G3738</f>
        <v/>
      </c>
      <c r="F3738">
        <f>BASE_EQUIPOS!H3738</f>
        <v/>
      </c>
      <c r="G3738">
        <f>BASE_EQUIPOS!M3738</f>
        <v/>
      </c>
      <c r="I3738" t="inlineStr">
        <is>
          <t>03/000090</t>
        </is>
      </c>
    </row>
    <row r="3739">
      <c r="A3739">
        <f>TRIM(BASE_EQUIPOS!N3739)</f>
        <v/>
      </c>
      <c r="B3739">
        <f>BASE_EQUIPOS!A3739</f>
        <v/>
      </c>
      <c r="C3739">
        <f>BASE_EQUIPOS!B3739</f>
        <v/>
      </c>
      <c r="D3739">
        <f>BASE_EQUIPOS!D3739</f>
        <v/>
      </c>
      <c r="E3739">
        <f>BASE_EQUIPOS!G3739</f>
        <v/>
      </c>
      <c r="F3739">
        <f>BASE_EQUIPOS!H3739</f>
        <v/>
      </c>
      <c r="G3739">
        <f>BASE_EQUIPOS!M3739</f>
        <v/>
      </c>
      <c r="I3739" t="inlineStr">
        <is>
          <t>04/002652</t>
        </is>
      </c>
    </row>
    <row r="3740">
      <c r="A3740">
        <f>TRIM(BASE_EQUIPOS!N3740)</f>
        <v/>
      </c>
      <c r="B3740">
        <f>BASE_EQUIPOS!A3740</f>
        <v/>
      </c>
      <c r="C3740">
        <f>BASE_EQUIPOS!B3740</f>
        <v/>
      </c>
      <c r="D3740">
        <f>BASE_EQUIPOS!D3740</f>
        <v/>
      </c>
      <c r="E3740">
        <f>BASE_EQUIPOS!G3740</f>
        <v/>
      </c>
      <c r="F3740">
        <f>BASE_EQUIPOS!H3740</f>
        <v/>
      </c>
      <c r="G3740">
        <f>BASE_EQUIPOS!M3740</f>
        <v/>
      </c>
      <c r="I3740" t="inlineStr">
        <is>
          <t>05/000424</t>
        </is>
      </c>
    </row>
    <row r="3741">
      <c r="A3741">
        <f>TRIM(BASE_EQUIPOS!N3741)</f>
        <v/>
      </c>
      <c r="B3741">
        <f>BASE_EQUIPOS!A3741</f>
        <v/>
      </c>
      <c r="C3741">
        <f>BASE_EQUIPOS!B3741</f>
        <v/>
      </c>
      <c r="D3741">
        <f>BASE_EQUIPOS!D3741</f>
        <v/>
      </c>
      <c r="E3741">
        <f>BASE_EQUIPOS!G3741</f>
        <v/>
      </c>
      <c r="F3741">
        <f>BASE_EQUIPOS!H3741</f>
        <v/>
      </c>
      <c r="G3741">
        <f>BASE_EQUIPOS!M3741</f>
        <v/>
      </c>
      <c r="I3741" t="inlineStr">
        <is>
          <t>06/000314</t>
        </is>
      </c>
    </row>
    <row r="3742">
      <c r="A3742">
        <f>TRIM(BASE_EQUIPOS!N3742)</f>
        <v/>
      </c>
      <c r="B3742">
        <f>BASE_EQUIPOS!A3742</f>
        <v/>
      </c>
      <c r="C3742">
        <f>BASE_EQUIPOS!B3742</f>
        <v/>
      </c>
      <c r="D3742">
        <f>BASE_EQUIPOS!D3742</f>
        <v/>
      </c>
      <c r="E3742">
        <f>BASE_EQUIPOS!G3742</f>
        <v/>
      </c>
      <c r="F3742">
        <f>BASE_EQUIPOS!H3742</f>
        <v/>
      </c>
      <c r="G3742">
        <f>BASE_EQUIPOS!M3742</f>
        <v/>
      </c>
      <c r="I3742" t="inlineStr">
        <is>
          <t>07/000567</t>
        </is>
      </c>
    </row>
    <row r="3743">
      <c r="A3743">
        <f>TRIM(BASE_EQUIPOS!N3743)</f>
        <v/>
      </c>
      <c r="B3743">
        <f>BASE_EQUIPOS!A3743</f>
        <v/>
      </c>
      <c r="C3743">
        <f>BASE_EQUIPOS!B3743</f>
        <v/>
      </c>
      <c r="D3743">
        <f>BASE_EQUIPOS!D3743</f>
        <v/>
      </c>
      <c r="E3743">
        <f>BASE_EQUIPOS!G3743</f>
        <v/>
      </c>
      <c r="F3743">
        <f>BASE_EQUIPOS!H3743</f>
        <v/>
      </c>
      <c r="G3743">
        <f>BASE_EQUIPOS!M3743</f>
        <v/>
      </c>
      <c r="I3743" t="inlineStr">
        <is>
          <t>08/000285</t>
        </is>
      </c>
    </row>
    <row r="3744">
      <c r="A3744">
        <f>TRIM(BASE_EQUIPOS!N3744)</f>
        <v/>
      </c>
      <c r="B3744">
        <f>BASE_EQUIPOS!A3744</f>
        <v/>
      </c>
      <c r="C3744">
        <f>BASE_EQUIPOS!B3744</f>
        <v/>
      </c>
      <c r="D3744">
        <f>BASE_EQUIPOS!D3744</f>
        <v/>
      </c>
      <c r="E3744">
        <f>BASE_EQUIPOS!G3744</f>
        <v/>
      </c>
      <c r="F3744">
        <f>BASE_EQUIPOS!H3744</f>
        <v/>
      </c>
      <c r="G3744">
        <f>BASE_EQUIPOS!M3744</f>
        <v/>
      </c>
      <c r="I3744" t="inlineStr">
        <is>
          <t>09/000150</t>
        </is>
      </c>
    </row>
    <row r="3745">
      <c r="A3745">
        <f>TRIM(BASE_EQUIPOS!N3745)</f>
        <v/>
      </c>
      <c r="B3745">
        <f>BASE_EQUIPOS!A3745</f>
        <v/>
      </c>
      <c r="C3745">
        <f>BASE_EQUIPOS!B3745</f>
        <v/>
      </c>
      <c r="D3745">
        <f>BASE_EQUIPOS!D3745</f>
        <v/>
      </c>
      <c r="E3745">
        <f>BASE_EQUIPOS!G3745</f>
        <v/>
      </c>
      <c r="F3745">
        <f>BASE_EQUIPOS!H3745</f>
        <v/>
      </c>
      <c r="G3745">
        <f>BASE_EQUIPOS!M3745</f>
        <v/>
      </c>
      <c r="I3745" t="inlineStr">
        <is>
          <t>10/000518</t>
        </is>
      </c>
    </row>
    <row r="3746">
      <c r="A3746">
        <f>TRIM(BASE_EQUIPOS!N3746)</f>
        <v/>
      </c>
      <c r="B3746">
        <f>BASE_EQUIPOS!A3746</f>
        <v/>
      </c>
      <c r="C3746">
        <f>BASE_EQUIPOS!B3746</f>
        <v/>
      </c>
      <c r="D3746">
        <f>BASE_EQUIPOS!D3746</f>
        <v/>
      </c>
      <c r="E3746">
        <f>BASE_EQUIPOS!G3746</f>
        <v/>
      </c>
      <c r="F3746">
        <f>BASE_EQUIPOS!H3746</f>
        <v/>
      </c>
      <c r="G3746">
        <f>BASE_EQUIPOS!M3746</f>
        <v/>
      </c>
      <c r="I3746" t="inlineStr">
        <is>
          <t>11/000042</t>
        </is>
      </c>
    </row>
    <row r="3747">
      <c r="A3747">
        <f>TRIM(BASE_EQUIPOS!N3747)</f>
        <v/>
      </c>
      <c r="B3747">
        <f>BASE_EQUIPOS!A3747</f>
        <v/>
      </c>
      <c r="C3747">
        <f>BASE_EQUIPOS!B3747</f>
        <v/>
      </c>
      <c r="D3747">
        <f>BASE_EQUIPOS!D3747</f>
        <v/>
      </c>
      <c r="E3747">
        <f>BASE_EQUIPOS!G3747</f>
        <v/>
      </c>
      <c r="F3747">
        <f>BASE_EQUIPOS!H3747</f>
        <v/>
      </c>
      <c r="G3747">
        <f>BASE_EQUIPOS!M3747</f>
        <v/>
      </c>
      <c r="I3747" t="inlineStr">
        <is>
          <t>12/000124</t>
        </is>
      </c>
    </row>
    <row r="3748">
      <c r="A3748">
        <f>TRIM(BASE_EQUIPOS!N3748)</f>
        <v/>
      </c>
      <c r="B3748">
        <f>BASE_EQUIPOS!A3748</f>
        <v/>
      </c>
      <c r="C3748">
        <f>BASE_EQUIPOS!B3748</f>
        <v/>
      </c>
      <c r="D3748">
        <f>BASE_EQUIPOS!D3748</f>
        <v/>
      </c>
      <c r="E3748">
        <f>BASE_EQUIPOS!G3748</f>
        <v/>
      </c>
      <c r="F3748">
        <f>BASE_EQUIPOS!H3748</f>
        <v/>
      </c>
      <c r="G3748">
        <f>BASE_EQUIPOS!M3748</f>
        <v/>
      </c>
      <c r="I3748" t="inlineStr">
        <is>
          <t>13/S/N</t>
        </is>
      </c>
    </row>
    <row r="3749">
      <c r="A3749">
        <f>TRIM(BASE_EQUIPOS!N3749)</f>
        <v/>
      </c>
      <c r="B3749">
        <f>BASE_EQUIPOS!A3749</f>
        <v/>
      </c>
      <c r="C3749">
        <f>BASE_EQUIPOS!B3749</f>
        <v/>
      </c>
      <c r="D3749">
        <f>BASE_EQUIPOS!D3749</f>
        <v/>
      </c>
      <c r="E3749">
        <f>BASE_EQUIPOS!G3749</f>
        <v/>
      </c>
      <c r="F3749">
        <f>BASE_EQUIPOS!H3749</f>
        <v/>
      </c>
      <c r="G3749">
        <f>BASE_EQUIPOS!M3749</f>
        <v/>
      </c>
      <c r="I3749" t="inlineStr">
        <is>
          <t>14/000050</t>
        </is>
      </c>
    </row>
    <row r="3750">
      <c r="A3750">
        <f>TRIM(BASE_EQUIPOS!N3750)</f>
        <v/>
      </c>
      <c r="B3750">
        <f>BASE_EQUIPOS!A3750</f>
        <v/>
      </c>
      <c r="C3750">
        <f>BASE_EQUIPOS!B3750</f>
        <v/>
      </c>
      <c r="D3750">
        <f>BASE_EQUIPOS!D3750</f>
        <v/>
      </c>
      <c r="E3750">
        <f>BASE_EQUIPOS!G3750</f>
        <v/>
      </c>
      <c r="F3750">
        <f>BASE_EQUIPOS!H3750</f>
        <v/>
      </c>
      <c r="G3750">
        <f>BASE_EQUIPOS!M3750</f>
        <v/>
      </c>
      <c r="I3750" t="inlineStr">
        <is>
          <t>15/000033</t>
        </is>
      </c>
    </row>
    <row r="3751">
      <c r="A3751">
        <f>TRIM(BASE_EQUIPOS!N3751)</f>
        <v/>
      </c>
      <c r="B3751">
        <f>BASE_EQUIPOS!A3751</f>
        <v/>
      </c>
      <c r="C3751">
        <f>BASE_EQUIPOS!B3751</f>
        <v/>
      </c>
      <c r="D3751">
        <f>BASE_EQUIPOS!D3751</f>
        <v/>
      </c>
      <c r="E3751">
        <f>BASE_EQUIPOS!G3751</f>
        <v/>
      </c>
      <c r="F3751">
        <f>BASE_EQUIPOS!H3751</f>
        <v/>
      </c>
      <c r="G3751">
        <f>BASE_EQUIPOS!M3751</f>
        <v/>
      </c>
      <c r="I3751" t="inlineStr">
        <is>
          <t>16/000134</t>
        </is>
      </c>
    </row>
    <row r="3752">
      <c r="A3752">
        <f>TRIM(BASE_EQUIPOS!N3752)</f>
        <v/>
      </c>
      <c r="B3752">
        <f>BASE_EQUIPOS!A3752</f>
        <v/>
      </c>
      <c r="C3752">
        <f>BASE_EQUIPOS!B3752</f>
        <v/>
      </c>
      <c r="D3752">
        <f>BASE_EQUIPOS!D3752</f>
        <v/>
      </c>
      <c r="E3752">
        <f>BASE_EQUIPOS!G3752</f>
        <v/>
      </c>
      <c r="F3752">
        <f>BASE_EQUIPOS!H3752</f>
        <v/>
      </c>
      <c r="G3752">
        <f>BASE_EQUIPOS!M3752</f>
        <v/>
      </c>
      <c r="I3752" t="inlineStr">
        <is>
          <t>17/000013</t>
        </is>
      </c>
    </row>
    <row r="3753">
      <c r="A3753">
        <f>TRIM(BASE_EQUIPOS!N3753)</f>
        <v/>
      </c>
      <c r="B3753">
        <f>BASE_EQUIPOS!A3753</f>
        <v/>
      </c>
      <c r="C3753">
        <f>BASE_EQUIPOS!B3753</f>
        <v/>
      </c>
      <c r="D3753">
        <f>BASE_EQUIPOS!D3753</f>
        <v/>
      </c>
      <c r="E3753">
        <f>BASE_EQUIPOS!G3753</f>
        <v/>
      </c>
      <c r="F3753">
        <f>BASE_EQUIPOS!H3753</f>
        <v/>
      </c>
      <c r="G3753">
        <f>BASE_EQUIPOS!M3753</f>
        <v/>
      </c>
      <c r="I3753" t="inlineStr">
        <is>
          <t>18/000450</t>
        </is>
      </c>
    </row>
    <row r="3754">
      <c r="A3754">
        <f>TRIM(BASE_EQUIPOS!N3754)</f>
        <v/>
      </c>
      <c r="B3754">
        <f>BASE_EQUIPOS!A3754</f>
        <v/>
      </c>
      <c r="C3754">
        <f>BASE_EQUIPOS!B3754</f>
        <v/>
      </c>
      <c r="D3754">
        <f>BASE_EQUIPOS!D3754</f>
        <v/>
      </c>
      <c r="E3754">
        <f>BASE_EQUIPOS!G3754</f>
        <v/>
      </c>
      <c r="F3754">
        <f>BASE_EQUIPOS!H3754</f>
        <v/>
      </c>
      <c r="G3754">
        <f>BASE_EQUIPOS!M3754</f>
        <v/>
      </c>
      <c r="I3754" t="inlineStr">
        <is>
          <t>19/000237</t>
        </is>
      </c>
    </row>
    <row r="3755">
      <c r="A3755">
        <f>TRIM(BASE_EQUIPOS!N3755)</f>
        <v/>
      </c>
      <c r="B3755">
        <f>BASE_EQUIPOS!A3755</f>
        <v/>
      </c>
      <c r="C3755">
        <f>BASE_EQUIPOS!B3755</f>
        <v/>
      </c>
      <c r="D3755">
        <f>BASE_EQUIPOS!D3755</f>
        <v/>
      </c>
      <c r="E3755">
        <f>BASE_EQUIPOS!G3755</f>
        <v/>
      </c>
      <c r="F3755">
        <f>BASE_EQUIPOS!H3755</f>
        <v/>
      </c>
      <c r="G3755">
        <f>BASE_EQUIPOS!M3755</f>
        <v/>
      </c>
      <c r="I3755" t="inlineStr">
        <is>
          <t>21/000330</t>
        </is>
      </c>
    </row>
    <row r="3756">
      <c r="A3756">
        <f>TRIM(BASE_EQUIPOS!N3756)</f>
        <v/>
      </c>
      <c r="B3756">
        <f>BASE_EQUIPOS!A3756</f>
        <v/>
      </c>
      <c r="C3756">
        <f>BASE_EQUIPOS!B3756</f>
        <v/>
      </c>
      <c r="D3756">
        <f>BASE_EQUIPOS!D3756</f>
        <v/>
      </c>
      <c r="E3756">
        <f>BASE_EQUIPOS!G3756</f>
        <v/>
      </c>
      <c r="F3756">
        <f>BASE_EQUIPOS!H3756</f>
        <v/>
      </c>
      <c r="G3756">
        <f>BASE_EQUIPOS!M3756</f>
        <v/>
      </c>
      <c r="I3756" t="inlineStr">
        <is>
          <t>24/000028</t>
        </is>
      </c>
    </row>
    <row r="3757">
      <c r="A3757">
        <f>TRIM(BASE_EQUIPOS!N3757)</f>
        <v/>
      </c>
      <c r="B3757">
        <f>BASE_EQUIPOS!A3757</f>
        <v/>
      </c>
      <c r="C3757">
        <f>BASE_EQUIPOS!B3757</f>
        <v/>
      </c>
      <c r="D3757">
        <f>BASE_EQUIPOS!D3757</f>
        <v/>
      </c>
      <c r="E3757">
        <f>BASE_EQUIPOS!G3757</f>
        <v/>
      </c>
      <c r="F3757">
        <f>BASE_EQUIPOS!H3757</f>
        <v/>
      </c>
      <c r="G3757">
        <f>BASE_EQUIPOS!M3757</f>
        <v/>
      </c>
      <c r="I3757" t="inlineStr">
        <is>
          <t>25/000145</t>
        </is>
      </c>
    </row>
    <row r="3758">
      <c r="A3758">
        <f>TRIM(BASE_EQUIPOS!N3758)</f>
        <v/>
      </c>
      <c r="B3758">
        <f>BASE_EQUIPOS!A3758</f>
        <v/>
      </c>
      <c r="C3758">
        <f>BASE_EQUIPOS!B3758</f>
        <v/>
      </c>
      <c r="D3758">
        <f>BASE_EQUIPOS!D3758</f>
        <v/>
      </c>
      <c r="E3758">
        <f>BASE_EQUIPOS!G3758</f>
        <v/>
      </c>
      <c r="F3758">
        <f>BASE_EQUIPOS!H3758</f>
        <v/>
      </c>
      <c r="G3758">
        <f>BASE_EQUIPOS!M3758</f>
        <v/>
      </c>
      <c r="I3758" t="inlineStr">
        <is>
          <t>27/000030</t>
        </is>
      </c>
    </row>
    <row r="3759">
      <c r="A3759">
        <f>TRIM(BASE_EQUIPOS!N3759)</f>
        <v/>
      </c>
      <c r="B3759">
        <f>BASE_EQUIPOS!A3759</f>
        <v/>
      </c>
      <c r="C3759">
        <f>BASE_EQUIPOS!B3759</f>
        <v/>
      </c>
      <c r="D3759">
        <f>BASE_EQUIPOS!D3759</f>
        <v/>
      </c>
      <c r="E3759">
        <f>BASE_EQUIPOS!G3759</f>
        <v/>
      </c>
      <c r="F3759">
        <f>BASE_EQUIPOS!H3759</f>
        <v/>
      </c>
      <c r="G3759">
        <f>BASE_EQUIPOS!M3759</f>
        <v/>
      </c>
      <c r="I3759" t="inlineStr">
        <is>
          <t>29/000004</t>
        </is>
      </c>
    </row>
    <row r="3760">
      <c r="A3760">
        <f>TRIM(BASE_EQUIPOS!N3760)</f>
        <v/>
      </c>
      <c r="B3760">
        <f>BASE_EQUIPOS!A3760</f>
        <v/>
      </c>
      <c r="C3760">
        <f>BASE_EQUIPOS!B3760</f>
        <v/>
      </c>
      <c r="D3760">
        <f>BASE_EQUIPOS!D3760</f>
        <v/>
      </c>
      <c r="E3760">
        <f>BASE_EQUIPOS!G3760</f>
        <v/>
      </c>
      <c r="F3760">
        <f>BASE_EQUIPOS!H3760</f>
        <v/>
      </c>
      <c r="G3760">
        <f>BASE_EQUIPOS!M3760</f>
        <v/>
      </c>
      <c r="I3760" t="inlineStr">
        <is>
          <t>30/000249</t>
        </is>
      </c>
    </row>
    <row r="3761">
      <c r="A3761">
        <f>TRIM(BASE_EQUIPOS!N3761)</f>
        <v/>
      </c>
      <c r="B3761">
        <f>BASE_EQUIPOS!A3761</f>
        <v/>
      </c>
      <c r="C3761">
        <f>BASE_EQUIPOS!B3761</f>
        <v/>
      </c>
      <c r="D3761">
        <f>BASE_EQUIPOS!D3761</f>
        <v/>
      </c>
      <c r="E3761">
        <f>BASE_EQUIPOS!G3761</f>
        <v/>
      </c>
      <c r="F3761">
        <f>BASE_EQUIPOS!H3761</f>
        <v/>
      </c>
      <c r="G3761">
        <f>BASE_EQUIPOS!M3761</f>
        <v/>
      </c>
      <c r="I3761" t="inlineStr">
        <is>
          <t>33/000104</t>
        </is>
      </c>
    </row>
    <row r="3762">
      <c r="A3762">
        <f>TRIM(BASE_EQUIPOS!N3762)</f>
        <v/>
      </c>
      <c r="B3762">
        <f>BASE_EQUIPOS!A3762</f>
        <v/>
      </c>
      <c r="C3762">
        <f>BASE_EQUIPOS!B3762</f>
        <v/>
      </c>
      <c r="D3762">
        <f>BASE_EQUIPOS!D3762</f>
        <v/>
      </c>
      <c r="E3762">
        <f>BASE_EQUIPOS!G3762</f>
        <v/>
      </c>
      <c r="F3762">
        <f>BASE_EQUIPOS!H3762</f>
        <v/>
      </c>
      <c r="G3762">
        <f>BASE_EQUIPOS!M3762</f>
        <v/>
      </c>
      <c r="I3762" t="inlineStr">
        <is>
          <t>34/000086</t>
        </is>
      </c>
    </row>
    <row r="3763">
      <c r="A3763">
        <f>TRIM(BASE_EQUIPOS!N3763)</f>
        <v/>
      </c>
      <c r="B3763">
        <f>BASE_EQUIPOS!A3763</f>
        <v/>
      </c>
      <c r="C3763">
        <f>BASE_EQUIPOS!B3763</f>
        <v/>
      </c>
      <c r="D3763">
        <f>BASE_EQUIPOS!D3763</f>
        <v/>
      </c>
      <c r="E3763">
        <f>BASE_EQUIPOS!G3763</f>
        <v/>
      </c>
      <c r="F3763">
        <f>BASE_EQUIPOS!H3763</f>
        <v/>
      </c>
      <c r="G3763">
        <f>BASE_EQUIPOS!M3763</f>
        <v/>
      </c>
      <c r="I3763" t="inlineStr">
        <is>
          <t>35/000189</t>
        </is>
      </c>
    </row>
    <row r="3764">
      <c r="A3764">
        <f>TRIM(BASE_EQUIPOS!N3764)</f>
        <v/>
      </c>
      <c r="B3764">
        <f>BASE_EQUIPOS!A3764</f>
        <v/>
      </c>
      <c r="C3764">
        <f>BASE_EQUIPOS!B3764</f>
        <v/>
      </c>
      <c r="D3764">
        <f>BASE_EQUIPOS!D3764</f>
        <v/>
      </c>
      <c r="E3764">
        <f>BASE_EQUIPOS!G3764</f>
        <v/>
      </c>
      <c r="F3764">
        <f>BASE_EQUIPOS!H3764</f>
        <v/>
      </c>
      <c r="G3764">
        <f>BASE_EQUIPOS!M3764</f>
        <v/>
      </c>
      <c r="I3764" t="inlineStr">
        <is>
          <t>36/000125</t>
        </is>
      </c>
    </row>
    <row r="3765">
      <c r="A3765">
        <f>TRIM(BASE_EQUIPOS!N3765)</f>
        <v/>
      </c>
      <c r="B3765">
        <f>BASE_EQUIPOS!A3765</f>
        <v/>
      </c>
      <c r="C3765">
        <f>BASE_EQUIPOS!B3765</f>
        <v/>
      </c>
      <c r="D3765">
        <f>BASE_EQUIPOS!D3765</f>
        <v/>
      </c>
      <c r="E3765">
        <f>BASE_EQUIPOS!G3765</f>
        <v/>
      </c>
      <c r="F3765">
        <f>BASE_EQUIPOS!H3765</f>
        <v/>
      </c>
      <c r="G3765">
        <f>BASE_EQUIPOS!M3765</f>
        <v/>
      </c>
      <c r="I3765" t="inlineStr">
        <is>
          <t>37/023327</t>
        </is>
      </c>
    </row>
    <row r="3766">
      <c r="A3766">
        <f>TRIM(BASE_EQUIPOS!N3766)</f>
        <v/>
      </c>
      <c r="B3766">
        <f>BASE_EQUIPOS!A3766</f>
        <v/>
      </c>
      <c r="C3766">
        <f>BASE_EQUIPOS!B3766</f>
        <v/>
      </c>
      <c r="D3766">
        <f>BASE_EQUIPOS!D3766</f>
        <v/>
      </c>
      <c r="E3766">
        <f>BASE_EQUIPOS!G3766</f>
        <v/>
      </c>
      <c r="F3766">
        <f>BASE_EQUIPOS!H3766</f>
        <v/>
      </c>
      <c r="G3766">
        <f>BASE_EQUIPOS!M3766</f>
        <v/>
      </c>
      <c r="I3766" t="inlineStr">
        <is>
          <t>38/000643</t>
        </is>
      </c>
    </row>
    <row r="3767">
      <c r="A3767">
        <f>TRIM(BASE_EQUIPOS!N3767)</f>
        <v/>
      </c>
      <c r="B3767">
        <f>BASE_EQUIPOS!A3767</f>
        <v/>
      </c>
      <c r="C3767">
        <f>BASE_EQUIPOS!B3767</f>
        <v/>
      </c>
      <c r="D3767">
        <f>BASE_EQUIPOS!D3767</f>
        <v/>
      </c>
      <c r="E3767">
        <f>BASE_EQUIPOS!G3767</f>
        <v/>
      </c>
      <c r="F3767">
        <f>BASE_EQUIPOS!H3767</f>
        <v/>
      </c>
      <c r="G3767">
        <f>BASE_EQUIPOS!M3767</f>
        <v/>
      </c>
      <c r="I3767" t="inlineStr">
        <is>
          <t>39/000067</t>
        </is>
      </c>
    </row>
    <row r="3768">
      <c r="A3768">
        <f>TRIM(BASE_EQUIPOS!N3768)</f>
        <v/>
      </c>
      <c r="B3768">
        <f>BASE_EQUIPOS!A3768</f>
        <v/>
      </c>
      <c r="C3768">
        <f>BASE_EQUIPOS!B3768</f>
        <v/>
      </c>
      <c r="D3768">
        <f>BASE_EQUIPOS!D3768</f>
        <v/>
      </c>
      <c r="E3768">
        <f>BASE_EQUIPOS!G3768</f>
        <v/>
      </c>
      <c r="F3768">
        <f>BASE_EQUIPOS!H3768</f>
        <v/>
      </c>
      <c r="G3768">
        <f>BASE_EQUIPOS!M3768</f>
        <v/>
      </c>
      <c r="I3768" t="inlineStr">
        <is>
          <t>40/000016</t>
        </is>
      </c>
    </row>
    <row r="3769">
      <c r="A3769">
        <f>TRIM(BASE_EQUIPOS!N3769)</f>
        <v/>
      </c>
      <c r="B3769">
        <f>BASE_EQUIPOS!A3769</f>
        <v/>
      </c>
      <c r="C3769">
        <f>BASE_EQUIPOS!B3769</f>
        <v/>
      </c>
      <c r="D3769">
        <f>BASE_EQUIPOS!D3769</f>
        <v/>
      </c>
      <c r="E3769">
        <f>BASE_EQUIPOS!G3769</f>
        <v/>
      </c>
      <c r="F3769">
        <f>BASE_EQUIPOS!H3769</f>
        <v/>
      </c>
      <c r="G3769">
        <f>BASE_EQUIPOS!M3769</f>
        <v/>
      </c>
      <c r="I3769" t="inlineStr">
        <is>
          <t>41/000087</t>
        </is>
      </c>
    </row>
    <row r="3770">
      <c r="A3770">
        <f>TRIM(BASE_EQUIPOS!N3770)</f>
        <v/>
      </c>
      <c r="B3770">
        <f>BASE_EQUIPOS!A3770</f>
        <v/>
      </c>
      <c r="C3770">
        <f>BASE_EQUIPOS!B3770</f>
        <v/>
      </c>
      <c r="D3770">
        <f>BASE_EQUIPOS!D3770</f>
        <v/>
      </c>
      <c r="E3770">
        <f>BASE_EQUIPOS!G3770</f>
        <v/>
      </c>
      <c r="F3770">
        <f>BASE_EQUIPOS!H3770</f>
        <v/>
      </c>
      <c r="G3770">
        <f>BASE_EQUIPOS!M3770</f>
        <v/>
      </c>
      <c r="I3770" t="inlineStr">
        <is>
          <t>42/000495</t>
        </is>
      </c>
    </row>
    <row r="3771">
      <c r="A3771">
        <f>TRIM(BASE_EQUIPOS!N3771)</f>
        <v/>
      </c>
      <c r="B3771">
        <f>BASE_EQUIPOS!A3771</f>
        <v/>
      </c>
      <c r="C3771">
        <f>BASE_EQUIPOS!B3771</f>
        <v/>
      </c>
      <c r="D3771">
        <f>BASE_EQUIPOS!D3771</f>
        <v/>
      </c>
      <c r="E3771">
        <f>BASE_EQUIPOS!G3771</f>
        <v/>
      </c>
      <c r="F3771">
        <f>BASE_EQUIPOS!H3771</f>
        <v/>
      </c>
      <c r="G3771">
        <f>BASE_EQUIPOS!M3771</f>
        <v/>
      </c>
      <c r="I3771" t="inlineStr">
        <is>
          <t>42/000444</t>
        </is>
      </c>
    </row>
    <row r="3772">
      <c r="A3772">
        <f>TRIM(BASE_EQUIPOS!N3772)</f>
        <v/>
      </c>
      <c r="B3772">
        <f>BASE_EQUIPOS!A3772</f>
        <v/>
      </c>
      <c r="C3772">
        <f>BASE_EQUIPOS!B3772</f>
        <v/>
      </c>
      <c r="D3772">
        <f>BASE_EQUIPOS!D3772</f>
        <v/>
      </c>
      <c r="E3772">
        <f>BASE_EQUIPOS!G3772</f>
        <v/>
      </c>
      <c r="F3772">
        <f>BASE_EQUIPOS!H3772</f>
        <v/>
      </c>
      <c r="G3772">
        <f>BASE_EQUIPOS!M3772</f>
        <v/>
      </c>
      <c r="I3772" t="inlineStr">
        <is>
          <t>44/001281</t>
        </is>
      </c>
    </row>
    <row r="3773">
      <c r="A3773">
        <f>TRIM(BASE_EQUIPOS!N3773)</f>
        <v/>
      </c>
      <c r="B3773">
        <f>BASE_EQUIPOS!A3773</f>
        <v/>
      </c>
      <c r="C3773">
        <f>BASE_EQUIPOS!B3773</f>
        <v/>
      </c>
      <c r="D3773">
        <f>BASE_EQUIPOS!D3773</f>
        <v/>
      </c>
      <c r="E3773">
        <f>BASE_EQUIPOS!G3773</f>
        <v/>
      </c>
      <c r="F3773">
        <f>BASE_EQUIPOS!H3773</f>
        <v/>
      </c>
      <c r="G3773">
        <f>BASE_EQUIPOS!M3773</f>
        <v/>
      </c>
      <c r="I3773" t="inlineStr">
        <is>
          <t>46/000043</t>
        </is>
      </c>
    </row>
    <row r="3774">
      <c r="A3774">
        <f>TRIM(BASE_EQUIPOS!N3774)</f>
        <v/>
      </c>
      <c r="B3774">
        <f>BASE_EQUIPOS!A3774</f>
        <v/>
      </c>
      <c r="C3774">
        <f>BASE_EQUIPOS!B3774</f>
        <v/>
      </c>
      <c r="D3774">
        <f>BASE_EQUIPOS!D3774</f>
        <v/>
      </c>
      <c r="E3774">
        <f>BASE_EQUIPOS!G3774</f>
        <v/>
      </c>
      <c r="F3774">
        <f>BASE_EQUIPOS!H3774</f>
        <v/>
      </c>
      <c r="G3774">
        <f>BASE_EQUIPOS!M3774</f>
        <v/>
      </c>
      <c r="I3774" t="inlineStr">
        <is>
          <t>S.N/001199</t>
        </is>
      </c>
    </row>
    <row r="3775">
      <c r="A3775">
        <f>TRIM(BASE_EQUIPOS!N3775)</f>
        <v/>
      </c>
      <c r="B3775">
        <f>BASE_EQUIPOS!A3775</f>
        <v/>
      </c>
      <c r="C3775">
        <f>BASE_EQUIPOS!B3775</f>
        <v/>
      </c>
      <c r="D3775">
        <f>BASE_EQUIPOS!D3775</f>
        <v/>
      </c>
      <c r="E3775">
        <f>BASE_EQUIPOS!G3775</f>
        <v/>
      </c>
      <c r="F3775">
        <f>BASE_EQUIPOS!H3775</f>
        <v/>
      </c>
      <c r="G3775">
        <f>BASE_EQUIPOS!M3775</f>
        <v/>
      </c>
      <c r="I3775" t="inlineStr">
        <is>
          <t>S.N/000299</t>
        </is>
      </c>
    </row>
    <row r="3776">
      <c r="A3776">
        <f>TRIM(BASE_EQUIPOS!N3776)</f>
        <v/>
      </c>
      <c r="B3776">
        <f>BASE_EQUIPOS!A3776</f>
        <v/>
      </c>
      <c r="C3776">
        <f>BASE_EQUIPOS!B3776</f>
        <v/>
      </c>
      <c r="D3776">
        <f>BASE_EQUIPOS!D3776</f>
        <v/>
      </c>
      <c r="E3776">
        <f>BASE_EQUIPOS!G3776</f>
        <v/>
      </c>
      <c r="F3776">
        <f>BASE_EQUIPOS!H3776</f>
        <v/>
      </c>
      <c r="G3776">
        <f>BASE_EQUIPOS!M3776</f>
        <v/>
      </c>
      <c r="I3776" t="inlineStr">
        <is>
          <t>S.N/000649</t>
        </is>
      </c>
    </row>
    <row r="3777">
      <c r="A3777">
        <f>TRIM(BASE_EQUIPOS!N3777)</f>
        <v/>
      </c>
      <c r="B3777">
        <f>BASE_EQUIPOS!A3777</f>
        <v/>
      </c>
      <c r="C3777">
        <f>BASE_EQUIPOS!B3777</f>
        <v/>
      </c>
      <c r="D3777">
        <f>BASE_EQUIPOS!D3777</f>
        <v/>
      </c>
      <c r="E3777">
        <f>BASE_EQUIPOS!G3777</f>
        <v/>
      </c>
      <c r="F3777">
        <f>BASE_EQUIPOS!H3777</f>
        <v/>
      </c>
      <c r="G3777">
        <f>BASE_EQUIPOS!M3777</f>
        <v/>
      </c>
      <c r="I3777" t="inlineStr">
        <is>
          <t>S.N/000647</t>
        </is>
      </c>
    </row>
    <row r="3778">
      <c r="A3778">
        <f>TRIM(BASE_EQUIPOS!N3778)</f>
        <v/>
      </c>
      <c r="B3778">
        <f>BASE_EQUIPOS!A3778</f>
        <v/>
      </c>
      <c r="C3778">
        <f>BASE_EQUIPOS!B3778</f>
        <v/>
      </c>
      <c r="D3778">
        <f>BASE_EQUIPOS!D3778</f>
        <v/>
      </c>
      <c r="E3778">
        <f>BASE_EQUIPOS!G3778</f>
        <v/>
      </c>
      <c r="F3778">
        <f>BASE_EQUIPOS!H3778</f>
        <v/>
      </c>
      <c r="G3778">
        <f>BASE_EQUIPOS!M3778</f>
        <v/>
      </c>
      <c r="I3778" t="inlineStr">
        <is>
          <t>12/029077</t>
        </is>
      </c>
    </row>
    <row r="3779">
      <c r="A3779">
        <f>TRIM(BASE_EQUIPOS!N3779)</f>
        <v/>
      </c>
      <c r="B3779">
        <f>BASE_EQUIPOS!A3779</f>
        <v/>
      </c>
      <c r="C3779">
        <f>BASE_EQUIPOS!B3779</f>
        <v/>
      </c>
      <c r="D3779">
        <f>BASE_EQUIPOS!D3779</f>
        <v/>
      </c>
      <c r="E3779">
        <f>BASE_EQUIPOS!G3779</f>
        <v/>
      </c>
      <c r="F3779">
        <f>BASE_EQUIPOS!H3779</f>
        <v/>
      </c>
      <c r="G3779">
        <f>BASE_EQUIPOS!M3779</f>
        <v/>
      </c>
      <c r="I3779" t="inlineStr">
        <is>
          <t>04/001329</t>
        </is>
      </c>
    </row>
    <row r="3780">
      <c r="A3780">
        <f>TRIM(BASE_EQUIPOS!N3780)</f>
        <v/>
      </c>
      <c r="B3780">
        <f>BASE_EQUIPOS!A3780</f>
        <v/>
      </c>
      <c r="C3780">
        <f>BASE_EQUIPOS!B3780</f>
        <v/>
      </c>
      <c r="D3780">
        <f>BASE_EQUIPOS!D3780</f>
        <v/>
      </c>
      <c r="E3780">
        <f>BASE_EQUIPOS!G3780</f>
        <v/>
      </c>
      <c r="F3780">
        <f>BASE_EQUIPOS!H3780</f>
        <v/>
      </c>
      <c r="G3780">
        <f>BASE_EQUIPOS!M3780</f>
        <v/>
      </c>
      <c r="I3780" t="inlineStr">
        <is>
          <t>16/00346</t>
        </is>
      </c>
    </row>
    <row r="3781">
      <c r="A3781">
        <f>TRIM(BASE_EQUIPOS!N3781)</f>
        <v/>
      </c>
      <c r="B3781">
        <f>BASE_EQUIPOS!A3781</f>
        <v/>
      </c>
      <c r="C3781">
        <f>BASE_EQUIPOS!B3781</f>
        <v/>
      </c>
      <c r="D3781">
        <f>BASE_EQUIPOS!D3781</f>
        <v/>
      </c>
      <c r="E3781">
        <f>BASE_EQUIPOS!G3781</f>
        <v/>
      </c>
      <c r="F3781">
        <f>BASE_EQUIPOS!H3781</f>
        <v/>
      </c>
      <c r="G3781">
        <f>BASE_EQUIPOS!M3781</f>
        <v/>
      </c>
      <c r="I3781" t="inlineStr">
        <is>
          <t>18/00275</t>
        </is>
      </c>
    </row>
    <row r="3782">
      <c r="A3782">
        <f>TRIM(BASE_EQUIPOS!N3782)</f>
        <v/>
      </c>
      <c r="B3782">
        <f>BASE_EQUIPOS!A3782</f>
        <v/>
      </c>
      <c r="C3782">
        <f>BASE_EQUIPOS!B3782</f>
        <v/>
      </c>
      <c r="D3782">
        <f>BASE_EQUIPOS!D3782</f>
        <v/>
      </c>
      <c r="E3782">
        <f>BASE_EQUIPOS!G3782</f>
        <v/>
      </c>
      <c r="F3782">
        <f>BASE_EQUIPOS!H3782</f>
        <v/>
      </c>
      <c r="G3782">
        <f>BASE_EQUIPOS!M3782</f>
        <v/>
      </c>
      <c r="I3782" t="inlineStr">
        <is>
          <t>19/AC-336632</t>
        </is>
      </c>
    </row>
    <row r="3783">
      <c r="A3783">
        <f>TRIM(BASE_EQUIPOS!N3783)</f>
        <v/>
      </c>
      <c r="B3783">
        <f>BASE_EQUIPOS!A3783</f>
        <v/>
      </c>
      <c r="C3783">
        <f>BASE_EQUIPOS!B3783</f>
        <v/>
      </c>
      <c r="D3783">
        <f>BASE_EQUIPOS!D3783</f>
        <v/>
      </c>
      <c r="E3783">
        <f>BASE_EQUIPOS!G3783</f>
        <v/>
      </c>
      <c r="F3783">
        <f>BASE_EQUIPOS!H3783</f>
        <v/>
      </c>
      <c r="G3783">
        <f>BASE_EQUIPOS!M3783</f>
        <v/>
      </c>
      <c r="I3783" t="inlineStr">
        <is>
          <t>21/00359</t>
        </is>
      </c>
    </row>
    <row r="3784">
      <c r="A3784">
        <f>TRIM(BASE_EQUIPOS!N3784)</f>
        <v/>
      </c>
      <c r="B3784">
        <f>BASE_EQUIPOS!A3784</f>
        <v/>
      </c>
      <c r="C3784">
        <f>BASE_EQUIPOS!B3784</f>
        <v/>
      </c>
      <c r="D3784">
        <f>BASE_EQUIPOS!D3784</f>
        <v/>
      </c>
      <c r="E3784">
        <f>BASE_EQUIPOS!G3784</f>
        <v/>
      </c>
      <c r="F3784">
        <f>BASE_EQUIPOS!H3784</f>
        <v/>
      </c>
      <c r="G3784">
        <f>BASE_EQUIPOS!M3784</f>
        <v/>
      </c>
      <c r="I3784" t="inlineStr">
        <is>
          <t>23/000622</t>
        </is>
      </c>
    </row>
    <row r="3785">
      <c r="A3785">
        <f>TRIM(BASE_EQUIPOS!N3785)</f>
        <v/>
      </c>
      <c r="B3785">
        <f>BASE_EQUIPOS!A3785</f>
        <v/>
      </c>
      <c r="C3785">
        <f>BASE_EQUIPOS!B3785</f>
        <v/>
      </c>
      <c r="D3785">
        <f>BASE_EQUIPOS!D3785</f>
        <v/>
      </c>
      <c r="E3785">
        <f>BASE_EQUIPOS!G3785</f>
        <v/>
      </c>
      <c r="F3785">
        <f>BASE_EQUIPOS!H3785</f>
        <v/>
      </c>
      <c r="G3785">
        <f>BASE_EQUIPOS!M3785</f>
        <v/>
      </c>
      <c r="I3785" t="inlineStr">
        <is>
          <t>028/A-34185232</t>
        </is>
      </c>
    </row>
    <row r="3786">
      <c r="A3786">
        <f>TRIM(BASE_EQUIPOS!N3786)</f>
        <v/>
      </c>
      <c r="B3786">
        <f>BASE_EQUIPOS!A3786</f>
        <v/>
      </c>
      <c r="C3786">
        <f>BASE_EQUIPOS!B3786</f>
        <v/>
      </c>
      <c r="D3786">
        <f>BASE_EQUIPOS!D3786</f>
        <v/>
      </c>
      <c r="E3786">
        <f>BASE_EQUIPOS!G3786</f>
        <v/>
      </c>
      <c r="F3786">
        <f>BASE_EQUIPOS!H3786</f>
        <v/>
      </c>
      <c r="G3786">
        <f>BASE_EQUIPOS!M3786</f>
        <v/>
      </c>
      <c r="I3786" t="inlineStr">
        <is>
          <t>E-004/000091</t>
        </is>
      </c>
    </row>
    <row r="3787">
      <c r="A3787">
        <f>TRIM(BASE_EQUIPOS!N3787)</f>
        <v/>
      </c>
      <c r="B3787">
        <f>BASE_EQUIPOS!A3787</f>
        <v/>
      </c>
      <c r="C3787">
        <f>BASE_EQUIPOS!B3787</f>
        <v/>
      </c>
      <c r="D3787">
        <f>BASE_EQUIPOS!D3787</f>
        <v/>
      </c>
      <c r="E3787">
        <f>BASE_EQUIPOS!G3787</f>
        <v/>
      </c>
      <c r="F3787">
        <f>BASE_EQUIPOS!H3787</f>
        <v/>
      </c>
      <c r="G3787">
        <f>BASE_EQUIPOS!M3787</f>
        <v/>
      </c>
      <c r="I3787" t="inlineStr">
        <is>
          <t>004244</t>
        </is>
      </c>
    </row>
    <row r="3788">
      <c r="A3788">
        <f>TRIM(BASE_EQUIPOS!N3788)</f>
        <v/>
      </c>
      <c r="B3788">
        <f>BASE_EQUIPOS!A3788</f>
        <v/>
      </c>
      <c r="C3788">
        <f>BASE_EQUIPOS!B3788</f>
        <v/>
      </c>
      <c r="D3788">
        <f>BASE_EQUIPOS!D3788</f>
        <v/>
      </c>
      <c r="E3788">
        <f>BASE_EQUIPOS!G3788</f>
        <v/>
      </c>
      <c r="F3788">
        <f>BASE_EQUIPOS!H3788</f>
        <v/>
      </c>
      <c r="G3788">
        <f>BASE_EQUIPOS!M3788</f>
        <v/>
      </c>
      <c r="I3788" t="inlineStr">
        <is>
          <t>000925</t>
        </is>
      </c>
    </row>
    <row r="3789">
      <c r="A3789">
        <f>TRIM(BASE_EQUIPOS!N3789)</f>
        <v/>
      </c>
      <c r="B3789">
        <f>BASE_EQUIPOS!A3789</f>
        <v/>
      </c>
      <c r="C3789">
        <f>BASE_EQUIPOS!B3789</f>
        <v/>
      </c>
      <c r="D3789">
        <f>BASE_EQUIPOS!D3789</f>
        <v/>
      </c>
      <c r="E3789">
        <f>BASE_EQUIPOS!G3789</f>
        <v/>
      </c>
      <c r="F3789">
        <f>BASE_EQUIPOS!H3789</f>
        <v/>
      </c>
      <c r="G3789">
        <f>BASE_EQUIPOS!M3789</f>
        <v/>
      </c>
      <c r="I3789" t="inlineStr">
        <is>
          <t>000919</t>
        </is>
      </c>
    </row>
    <row r="3790">
      <c r="A3790">
        <f>TRIM(BASE_EQUIPOS!N3790)</f>
        <v/>
      </c>
      <c r="B3790">
        <f>BASE_EQUIPOS!A3790</f>
        <v/>
      </c>
      <c r="C3790">
        <f>BASE_EQUIPOS!B3790</f>
        <v/>
      </c>
      <c r="D3790">
        <f>BASE_EQUIPOS!D3790</f>
        <v/>
      </c>
      <c r="E3790">
        <f>BASE_EQUIPOS!G3790</f>
        <v/>
      </c>
      <c r="F3790">
        <f>BASE_EQUIPOS!H3790</f>
        <v/>
      </c>
      <c r="G3790">
        <f>BASE_EQUIPOS!M3790</f>
        <v/>
      </c>
      <c r="I3790" t="inlineStr">
        <is>
          <t>129/0001994</t>
        </is>
      </c>
    </row>
    <row r="3791">
      <c r="A3791">
        <f>TRIM(BASE_EQUIPOS!N3791)</f>
        <v/>
      </c>
      <c r="B3791">
        <f>BASE_EQUIPOS!A3791</f>
        <v/>
      </c>
      <c r="C3791">
        <f>BASE_EQUIPOS!B3791</f>
        <v/>
      </c>
      <c r="D3791">
        <f>BASE_EQUIPOS!D3791</f>
        <v/>
      </c>
      <c r="E3791">
        <f>BASE_EQUIPOS!G3791</f>
        <v/>
      </c>
      <c r="F3791">
        <f>BASE_EQUIPOS!H3791</f>
        <v/>
      </c>
      <c r="G3791">
        <f>BASE_EQUIPOS!M3791</f>
        <v/>
      </c>
      <c r="I3791" t="inlineStr">
        <is>
          <t>01/003993</t>
        </is>
      </c>
    </row>
    <row r="3792">
      <c r="A3792">
        <f>TRIM(BASE_EQUIPOS!N3792)</f>
        <v/>
      </c>
      <c r="B3792">
        <f>BASE_EQUIPOS!A3792</f>
        <v/>
      </c>
      <c r="C3792">
        <f>BASE_EQUIPOS!B3792</f>
        <v/>
      </c>
      <c r="D3792">
        <f>BASE_EQUIPOS!D3792</f>
        <v/>
      </c>
      <c r="E3792">
        <f>BASE_EQUIPOS!G3792</f>
        <v/>
      </c>
      <c r="F3792">
        <f>BASE_EQUIPOS!H3792</f>
        <v/>
      </c>
      <c r="G3792">
        <f>BASE_EQUIPOS!M3792</f>
        <v/>
      </c>
      <c r="I3792" t="inlineStr">
        <is>
          <t>02/000004</t>
        </is>
      </c>
    </row>
    <row r="3793">
      <c r="A3793">
        <f>TRIM(BASE_EQUIPOS!N3793)</f>
        <v/>
      </c>
      <c r="B3793">
        <f>BASE_EQUIPOS!A3793</f>
        <v/>
      </c>
      <c r="C3793">
        <f>BASE_EQUIPOS!B3793</f>
        <v/>
      </c>
      <c r="D3793">
        <f>BASE_EQUIPOS!D3793</f>
        <v/>
      </c>
      <c r="E3793">
        <f>BASE_EQUIPOS!G3793</f>
        <v/>
      </c>
      <c r="F3793">
        <f>BASE_EQUIPOS!H3793</f>
        <v/>
      </c>
      <c r="G3793">
        <f>BASE_EQUIPOS!M3793</f>
        <v/>
      </c>
      <c r="I3793" t="inlineStr">
        <is>
          <t>03/000383</t>
        </is>
      </c>
    </row>
    <row r="3794">
      <c r="A3794">
        <f>TRIM(BASE_EQUIPOS!N3794)</f>
        <v/>
      </c>
      <c r="B3794">
        <f>BASE_EQUIPOS!A3794</f>
        <v/>
      </c>
      <c r="C3794">
        <f>BASE_EQUIPOS!B3794</f>
        <v/>
      </c>
      <c r="D3794">
        <f>BASE_EQUIPOS!D3794</f>
        <v/>
      </c>
      <c r="E3794">
        <f>BASE_EQUIPOS!G3794</f>
        <v/>
      </c>
      <c r="F3794">
        <f>BASE_EQUIPOS!H3794</f>
        <v/>
      </c>
      <c r="G3794">
        <f>BASE_EQUIPOS!M3794</f>
        <v/>
      </c>
      <c r="I3794" t="inlineStr">
        <is>
          <t>22/369054</t>
        </is>
      </c>
    </row>
    <row r="3795">
      <c r="A3795">
        <f>TRIM(BASE_EQUIPOS!N3795)</f>
        <v/>
      </c>
      <c r="B3795">
        <f>BASE_EQUIPOS!A3795</f>
        <v/>
      </c>
      <c r="C3795">
        <f>BASE_EQUIPOS!B3795</f>
        <v/>
      </c>
      <c r="D3795">
        <f>BASE_EQUIPOS!D3795</f>
        <v/>
      </c>
      <c r="E3795">
        <f>BASE_EQUIPOS!G3795</f>
        <v/>
      </c>
      <c r="F3795">
        <f>BASE_EQUIPOS!H3795</f>
        <v/>
      </c>
      <c r="G3795">
        <f>BASE_EQUIPOS!M3795</f>
        <v/>
      </c>
      <c r="I3795" t="inlineStr">
        <is>
          <t>158/148783</t>
        </is>
      </c>
    </row>
    <row r="3796">
      <c r="A3796">
        <f>TRIM(BASE_EQUIPOS!N3796)</f>
        <v/>
      </c>
      <c r="B3796">
        <f>BASE_EQUIPOS!A3796</f>
        <v/>
      </c>
      <c r="C3796">
        <f>BASE_EQUIPOS!B3796</f>
        <v/>
      </c>
      <c r="D3796">
        <f>BASE_EQUIPOS!D3796</f>
        <v/>
      </c>
      <c r="E3796">
        <f>BASE_EQUIPOS!G3796</f>
        <v/>
      </c>
      <c r="F3796">
        <f>BASE_EQUIPOS!H3796</f>
        <v/>
      </c>
      <c r="G3796">
        <f>BASE_EQUIPOS!M3796</f>
        <v/>
      </c>
      <c r="I3796" t="inlineStr">
        <is>
          <t>156/152305</t>
        </is>
      </c>
    </row>
    <row r="3797">
      <c r="A3797">
        <f>TRIM(BASE_EQUIPOS!N3797)</f>
        <v/>
      </c>
      <c r="B3797">
        <f>BASE_EQUIPOS!A3797</f>
        <v/>
      </c>
      <c r="C3797">
        <f>BASE_EQUIPOS!B3797</f>
        <v/>
      </c>
      <c r="D3797">
        <f>BASE_EQUIPOS!D3797</f>
        <v/>
      </c>
      <c r="E3797">
        <f>BASE_EQUIPOS!G3797</f>
        <v/>
      </c>
      <c r="F3797">
        <f>BASE_EQUIPOS!H3797</f>
        <v/>
      </c>
      <c r="G3797">
        <f>BASE_EQUIPOS!M3797</f>
        <v/>
      </c>
      <c r="I3797" t="inlineStr">
        <is>
          <t>112/190881</t>
        </is>
      </c>
    </row>
    <row r="3798">
      <c r="A3798">
        <f>TRIM(BASE_EQUIPOS!N3798)</f>
        <v/>
      </c>
      <c r="B3798">
        <f>BASE_EQUIPOS!A3798</f>
        <v/>
      </c>
      <c r="C3798">
        <f>BASE_EQUIPOS!B3798</f>
        <v/>
      </c>
      <c r="D3798">
        <f>BASE_EQUIPOS!D3798</f>
        <v/>
      </c>
      <c r="E3798">
        <f>BASE_EQUIPOS!G3798</f>
        <v/>
      </c>
      <c r="F3798">
        <f>BASE_EQUIPOS!H3798</f>
        <v/>
      </c>
      <c r="G3798">
        <f>BASE_EQUIPOS!M3798</f>
        <v/>
      </c>
      <c r="I3798" t="inlineStr">
        <is>
          <t>118/179238</t>
        </is>
      </c>
    </row>
    <row r="3799">
      <c r="A3799">
        <f>TRIM(BASE_EQUIPOS!N3799)</f>
        <v/>
      </c>
      <c r="B3799">
        <f>BASE_EQUIPOS!A3799</f>
        <v/>
      </c>
      <c r="C3799">
        <f>BASE_EQUIPOS!B3799</f>
        <v/>
      </c>
      <c r="D3799">
        <f>BASE_EQUIPOS!D3799</f>
        <v/>
      </c>
      <c r="E3799">
        <f>BASE_EQUIPOS!G3799</f>
        <v/>
      </c>
      <c r="F3799">
        <f>BASE_EQUIPOS!H3799</f>
        <v/>
      </c>
      <c r="G3799">
        <f>BASE_EQUIPOS!M3799</f>
        <v/>
      </c>
      <c r="I3799" t="inlineStr">
        <is>
          <t>151/190709</t>
        </is>
      </c>
    </row>
    <row r="3800">
      <c r="A3800">
        <f>TRIM(BASE_EQUIPOS!N3800)</f>
        <v/>
      </c>
      <c r="B3800">
        <f>BASE_EQUIPOS!A3800</f>
        <v/>
      </c>
      <c r="C3800">
        <f>BASE_EQUIPOS!B3800</f>
        <v/>
      </c>
      <c r="D3800">
        <f>BASE_EQUIPOS!D3800</f>
        <v/>
      </c>
      <c r="E3800">
        <f>BASE_EQUIPOS!G3800</f>
        <v/>
      </c>
      <c r="F3800">
        <f>BASE_EQUIPOS!H3800</f>
        <v/>
      </c>
      <c r="G3800">
        <f>BASE_EQUIPOS!M3800</f>
        <v/>
      </c>
      <c r="I3800" t="inlineStr">
        <is>
          <t>155/190867</t>
        </is>
      </c>
    </row>
    <row r="3801">
      <c r="A3801">
        <f>TRIM(BASE_EQUIPOS!N3801)</f>
        <v/>
      </c>
      <c r="B3801">
        <f>BASE_EQUIPOS!A3801</f>
        <v/>
      </c>
      <c r="C3801">
        <f>BASE_EQUIPOS!B3801</f>
        <v/>
      </c>
      <c r="D3801">
        <f>BASE_EQUIPOS!D3801</f>
        <v/>
      </c>
      <c r="E3801">
        <f>BASE_EQUIPOS!G3801</f>
        <v/>
      </c>
      <c r="F3801">
        <f>BASE_EQUIPOS!H3801</f>
        <v/>
      </c>
      <c r="G3801">
        <f>BASE_EQUIPOS!M3801</f>
        <v/>
      </c>
      <c r="I3801" t="inlineStr">
        <is>
          <t>132/190875</t>
        </is>
      </c>
    </row>
    <row r="3802">
      <c r="A3802">
        <f>TRIM(BASE_EQUIPOS!N3802)</f>
        <v/>
      </c>
      <c r="B3802">
        <f>BASE_EQUIPOS!A3802</f>
        <v/>
      </c>
      <c r="C3802">
        <f>BASE_EQUIPOS!B3802</f>
        <v/>
      </c>
      <c r="D3802">
        <f>BASE_EQUIPOS!D3802</f>
        <v/>
      </c>
      <c r="E3802">
        <f>BASE_EQUIPOS!G3802</f>
        <v/>
      </c>
      <c r="F3802">
        <f>BASE_EQUIPOS!H3802</f>
        <v/>
      </c>
      <c r="G3802">
        <f>BASE_EQUIPOS!M3802</f>
        <v/>
      </c>
      <c r="I3802" t="inlineStr">
        <is>
          <t>154/191176</t>
        </is>
      </c>
    </row>
    <row r="3803">
      <c r="A3803">
        <f>TRIM(BASE_EQUIPOS!N3803)</f>
        <v/>
      </c>
      <c r="B3803">
        <f>BASE_EQUIPOS!A3803</f>
        <v/>
      </c>
      <c r="C3803">
        <f>BASE_EQUIPOS!B3803</f>
        <v/>
      </c>
      <c r="D3803">
        <f>BASE_EQUIPOS!D3803</f>
        <v/>
      </c>
      <c r="E3803">
        <f>BASE_EQUIPOS!G3803</f>
        <v/>
      </c>
      <c r="F3803">
        <f>BASE_EQUIPOS!H3803</f>
        <v/>
      </c>
      <c r="G3803">
        <f>BASE_EQUIPOS!M3803</f>
        <v/>
      </c>
      <c r="I3803" t="inlineStr">
        <is>
          <t>157/152419</t>
        </is>
      </c>
    </row>
    <row r="3804">
      <c r="A3804">
        <f>TRIM(BASE_EQUIPOS!N3804)</f>
        <v/>
      </c>
      <c r="B3804">
        <f>BASE_EQUIPOS!A3804</f>
        <v/>
      </c>
      <c r="C3804">
        <f>BASE_EQUIPOS!B3804</f>
        <v/>
      </c>
      <c r="D3804">
        <f>BASE_EQUIPOS!D3804</f>
        <v/>
      </c>
      <c r="E3804">
        <f>BASE_EQUIPOS!G3804</f>
        <v/>
      </c>
      <c r="F3804">
        <f>BASE_EQUIPOS!H3804</f>
        <v/>
      </c>
      <c r="G3804">
        <f>BASE_EQUIPOS!M3804</f>
        <v/>
      </c>
      <c r="I3804" t="inlineStr">
        <is>
          <t>121/178767</t>
        </is>
      </c>
    </row>
    <row r="3805">
      <c r="A3805">
        <f>TRIM(BASE_EQUIPOS!N3805)</f>
        <v/>
      </c>
      <c r="B3805">
        <f>BASE_EQUIPOS!A3805</f>
        <v/>
      </c>
      <c r="C3805">
        <f>BASE_EQUIPOS!B3805</f>
        <v/>
      </c>
      <c r="D3805">
        <f>BASE_EQUIPOS!D3805</f>
        <v/>
      </c>
      <c r="E3805">
        <f>BASE_EQUIPOS!G3805</f>
        <v/>
      </c>
      <c r="F3805">
        <f>BASE_EQUIPOS!H3805</f>
        <v/>
      </c>
      <c r="G3805">
        <f>BASE_EQUIPOS!M3805</f>
        <v/>
      </c>
      <c r="I3805" t="inlineStr">
        <is>
          <t>83/178859</t>
        </is>
      </c>
    </row>
    <row r="3806">
      <c r="A3806">
        <f>TRIM(BASE_EQUIPOS!N3806)</f>
        <v/>
      </c>
      <c r="B3806">
        <f>BASE_EQUIPOS!A3806</f>
        <v/>
      </c>
      <c r="C3806">
        <f>BASE_EQUIPOS!B3806</f>
        <v/>
      </c>
      <c r="D3806">
        <f>BASE_EQUIPOS!D3806</f>
        <v/>
      </c>
      <c r="E3806">
        <f>BASE_EQUIPOS!G3806</f>
        <v/>
      </c>
      <c r="F3806">
        <f>BASE_EQUIPOS!H3806</f>
        <v/>
      </c>
      <c r="G3806">
        <f>BASE_EQUIPOS!M3806</f>
        <v/>
      </c>
      <c r="I3806" t="inlineStr">
        <is>
          <t>30/190697</t>
        </is>
      </c>
    </row>
    <row r="3807">
      <c r="A3807">
        <f>TRIM(BASE_EQUIPOS!N3807)</f>
        <v/>
      </c>
      <c r="B3807">
        <f>BASE_EQUIPOS!A3807</f>
        <v/>
      </c>
      <c r="C3807">
        <f>BASE_EQUIPOS!B3807</f>
        <v/>
      </c>
      <c r="D3807">
        <f>BASE_EQUIPOS!D3807</f>
        <v/>
      </c>
      <c r="E3807">
        <f>BASE_EQUIPOS!G3807</f>
        <v/>
      </c>
      <c r="F3807">
        <f>BASE_EQUIPOS!H3807</f>
        <v/>
      </c>
      <c r="G3807">
        <f>BASE_EQUIPOS!M3807</f>
        <v/>
      </c>
      <c r="I3807" t="inlineStr">
        <is>
          <t>50/190717</t>
        </is>
      </c>
    </row>
    <row r="3808">
      <c r="A3808">
        <f>TRIM(BASE_EQUIPOS!N3808)</f>
        <v/>
      </c>
      <c r="B3808">
        <f>BASE_EQUIPOS!A3808</f>
        <v/>
      </c>
      <c r="C3808">
        <f>BASE_EQUIPOS!B3808</f>
        <v/>
      </c>
      <c r="D3808">
        <f>BASE_EQUIPOS!D3808</f>
        <v/>
      </c>
      <c r="E3808">
        <f>BASE_EQUIPOS!G3808</f>
        <v/>
      </c>
      <c r="F3808">
        <f>BASE_EQUIPOS!H3808</f>
        <v/>
      </c>
      <c r="G3808">
        <f>BASE_EQUIPOS!M3808</f>
        <v/>
      </c>
      <c r="I3808" t="inlineStr">
        <is>
          <t>09/001191</t>
        </is>
      </c>
    </row>
    <row r="3809">
      <c r="A3809">
        <f>TRIM(BASE_EQUIPOS!N3809)</f>
        <v/>
      </c>
      <c r="B3809">
        <f>BASE_EQUIPOS!A3809</f>
        <v/>
      </c>
      <c r="C3809">
        <f>BASE_EQUIPOS!B3809</f>
        <v/>
      </c>
      <c r="D3809">
        <f>BASE_EQUIPOS!D3809</f>
        <v/>
      </c>
      <c r="E3809">
        <f>BASE_EQUIPOS!G3809</f>
        <v/>
      </c>
      <c r="F3809">
        <f>BASE_EQUIPOS!H3809</f>
        <v/>
      </c>
      <c r="G3809">
        <f>BASE_EQUIPOS!M3809</f>
        <v/>
      </c>
      <c r="I3809" t="inlineStr">
        <is>
          <t>13/000143</t>
        </is>
      </c>
    </row>
    <row r="3810">
      <c r="A3810">
        <f>TRIM(BASE_EQUIPOS!N3810)</f>
        <v/>
      </c>
      <c r="B3810">
        <f>BASE_EQUIPOS!A3810</f>
        <v/>
      </c>
      <c r="C3810">
        <f>BASE_EQUIPOS!B3810</f>
        <v/>
      </c>
      <c r="D3810">
        <f>BASE_EQUIPOS!D3810</f>
        <v/>
      </c>
      <c r="E3810">
        <f>BASE_EQUIPOS!G3810</f>
        <v/>
      </c>
      <c r="F3810">
        <f>BASE_EQUIPOS!H3810</f>
        <v/>
      </c>
      <c r="G3810">
        <f>BASE_EQUIPOS!M3810</f>
        <v/>
      </c>
      <c r="I3810" t="inlineStr">
        <is>
          <t>10/000413</t>
        </is>
      </c>
    </row>
    <row r="3811">
      <c r="A3811">
        <f>TRIM(BASE_EQUIPOS!N3811)</f>
        <v/>
      </c>
      <c r="B3811">
        <f>BASE_EQUIPOS!A3811</f>
        <v/>
      </c>
      <c r="C3811">
        <f>BASE_EQUIPOS!B3811</f>
        <v/>
      </c>
      <c r="D3811">
        <f>BASE_EQUIPOS!D3811</f>
        <v/>
      </c>
      <c r="E3811">
        <f>BASE_EQUIPOS!G3811</f>
        <v/>
      </c>
      <c r="F3811">
        <f>BASE_EQUIPOS!H3811</f>
        <v/>
      </c>
      <c r="G3811">
        <f>BASE_EQUIPOS!M3811</f>
        <v/>
      </c>
      <c r="I3811" t="inlineStr">
        <is>
          <t>12/000239</t>
        </is>
      </c>
    </row>
    <row r="3812">
      <c r="A3812">
        <f>TRIM(BASE_EQUIPOS!N3812)</f>
        <v/>
      </c>
      <c r="B3812">
        <f>BASE_EQUIPOS!A3812</f>
        <v/>
      </c>
      <c r="C3812">
        <f>BASE_EQUIPOS!B3812</f>
        <v/>
      </c>
      <c r="D3812">
        <f>BASE_EQUIPOS!D3812</f>
        <v/>
      </c>
      <c r="E3812">
        <f>BASE_EQUIPOS!G3812</f>
        <v/>
      </c>
      <c r="F3812">
        <f>BASE_EQUIPOS!H3812</f>
        <v/>
      </c>
      <c r="G3812">
        <f>BASE_EQUIPOS!M3812</f>
        <v/>
      </c>
      <c r="I3812" t="inlineStr">
        <is>
          <t>11/000519</t>
        </is>
      </c>
    </row>
    <row r="3813">
      <c r="A3813">
        <f>TRIM(BASE_EQUIPOS!N3813)</f>
        <v/>
      </c>
      <c r="B3813">
        <f>BASE_EQUIPOS!A3813</f>
        <v/>
      </c>
      <c r="C3813">
        <f>BASE_EQUIPOS!B3813</f>
        <v/>
      </c>
      <c r="D3813">
        <f>BASE_EQUIPOS!D3813</f>
        <v/>
      </c>
      <c r="E3813">
        <f>BASE_EQUIPOS!G3813</f>
        <v/>
      </c>
      <c r="F3813">
        <f>BASE_EQUIPOS!H3813</f>
        <v/>
      </c>
      <c r="G3813">
        <f>BASE_EQUIPOS!M3813</f>
        <v/>
      </c>
      <c r="I3813" t="inlineStr">
        <is>
          <t>14/000052</t>
        </is>
      </c>
    </row>
    <row r="3814">
      <c r="A3814">
        <f>TRIM(BASE_EQUIPOS!N3814)</f>
        <v/>
      </c>
      <c r="B3814">
        <f>BASE_EQUIPOS!A3814</f>
        <v/>
      </c>
      <c r="C3814">
        <f>BASE_EQUIPOS!B3814</f>
        <v/>
      </c>
      <c r="D3814">
        <f>BASE_EQUIPOS!D3814</f>
        <v/>
      </c>
      <c r="E3814">
        <f>BASE_EQUIPOS!G3814</f>
        <v/>
      </c>
      <c r="F3814">
        <f>BASE_EQUIPOS!H3814</f>
        <v/>
      </c>
      <c r="G3814">
        <f>BASE_EQUIPOS!M3814</f>
        <v/>
      </c>
      <c r="I3814" t="inlineStr">
        <is>
          <t>15/000068</t>
        </is>
      </c>
    </row>
    <row r="3815">
      <c r="A3815">
        <f>TRIM(BASE_EQUIPOS!N3815)</f>
        <v/>
      </c>
      <c r="B3815">
        <f>BASE_EQUIPOS!A3815</f>
        <v/>
      </c>
      <c r="C3815">
        <f>BASE_EQUIPOS!B3815</f>
        <v/>
      </c>
      <c r="D3815">
        <f>BASE_EQUIPOS!D3815</f>
        <v/>
      </c>
      <c r="E3815">
        <f>BASE_EQUIPOS!G3815</f>
        <v/>
      </c>
      <c r="F3815">
        <f>BASE_EQUIPOS!H3815</f>
        <v/>
      </c>
      <c r="G3815">
        <f>BASE_EQUIPOS!M3815</f>
        <v/>
      </c>
      <c r="I3815" t="inlineStr">
        <is>
          <t>000168</t>
        </is>
      </c>
    </row>
    <row r="3816">
      <c r="A3816">
        <f>TRIM(BASE_EQUIPOS!N3816)</f>
        <v/>
      </c>
      <c r="B3816">
        <f>BASE_EQUIPOS!A3816</f>
        <v/>
      </c>
      <c r="C3816">
        <f>BASE_EQUIPOS!B3816</f>
        <v/>
      </c>
      <c r="D3816">
        <f>BASE_EQUIPOS!D3816</f>
        <v/>
      </c>
      <c r="E3816">
        <f>BASE_EQUIPOS!G3816</f>
        <v/>
      </c>
      <c r="F3816">
        <f>BASE_EQUIPOS!H3816</f>
        <v/>
      </c>
      <c r="G3816">
        <f>BASE_EQUIPOS!M3816</f>
        <v/>
      </c>
      <c r="I3816" t="inlineStr">
        <is>
          <t>000153</t>
        </is>
      </c>
    </row>
    <row r="3817">
      <c r="A3817">
        <f>TRIM(BASE_EQUIPOS!N3817)</f>
        <v/>
      </c>
      <c r="B3817">
        <f>BASE_EQUIPOS!A3817</f>
        <v/>
      </c>
      <c r="C3817">
        <f>BASE_EQUIPOS!B3817</f>
        <v/>
      </c>
      <c r="D3817">
        <f>BASE_EQUIPOS!D3817</f>
        <v/>
      </c>
      <c r="E3817">
        <f>BASE_EQUIPOS!G3817</f>
        <v/>
      </c>
      <c r="F3817">
        <f>BASE_EQUIPOS!H3817</f>
        <v/>
      </c>
      <c r="G3817">
        <f>BASE_EQUIPOS!M3817</f>
        <v/>
      </c>
      <c r="I3817" t="inlineStr">
        <is>
          <t>000563</t>
        </is>
      </c>
    </row>
    <row r="3818">
      <c r="A3818">
        <f>TRIM(BASE_EQUIPOS!N3818)</f>
        <v/>
      </c>
      <c r="B3818">
        <f>BASE_EQUIPOS!A3818</f>
        <v/>
      </c>
      <c r="C3818">
        <f>BASE_EQUIPOS!B3818</f>
        <v/>
      </c>
      <c r="D3818">
        <f>BASE_EQUIPOS!D3818</f>
        <v/>
      </c>
      <c r="E3818">
        <f>BASE_EQUIPOS!G3818</f>
        <v/>
      </c>
      <c r="F3818">
        <f>BASE_EQUIPOS!H3818</f>
        <v/>
      </c>
      <c r="G3818">
        <f>BASE_EQUIPOS!M3818</f>
        <v/>
      </c>
      <c r="I3818" t="inlineStr">
        <is>
          <t>000547</t>
        </is>
      </c>
    </row>
    <row r="3819">
      <c r="A3819">
        <f>TRIM(BASE_EQUIPOS!N3819)</f>
        <v/>
      </c>
      <c r="B3819">
        <f>BASE_EQUIPOS!A3819</f>
        <v/>
      </c>
      <c r="C3819">
        <f>BASE_EQUIPOS!B3819</f>
        <v/>
      </c>
      <c r="D3819">
        <f>BASE_EQUIPOS!D3819</f>
        <v/>
      </c>
      <c r="E3819">
        <f>BASE_EQUIPOS!G3819</f>
        <v/>
      </c>
      <c r="F3819">
        <f>BASE_EQUIPOS!H3819</f>
        <v/>
      </c>
      <c r="G3819">
        <f>BASE_EQUIPOS!M3819</f>
        <v/>
      </c>
      <c r="I3819" t="inlineStr">
        <is>
          <t>000116</t>
        </is>
      </c>
    </row>
    <row r="3820">
      <c r="A3820">
        <f>TRIM(BASE_EQUIPOS!N3820)</f>
        <v/>
      </c>
      <c r="B3820">
        <f>BASE_EQUIPOS!A3820</f>
        <v/>
      </c>
      <c r="C3820">
        <f>BASE_EQUIPOS!B3820</f>
        <v/>
      </c>
      <c r="D3820">
        <f>BASE_EQUIPOS!D3820</f>
        <v/>
      </c>
      <c r="E3820">
        <f>BASE_EQUIPOS!G3820</f>
        <v/>
      </c>
      <c r="F3820">
        <f>BASE_EQUIPOS!H3820</f>
        <v/>
      </c>
      <c r="G3820">
        <f>BASE_EQUIPOS!M3820</f>
        <v/>
      </c>
      <c r="I3820" t="inlineStr">
        <is>
          <t>000596</t>
        </is>
      </c>
    </row>
    <row r="3821">
      <c r="A3821">
        <f>TRIM(BASE_EQUIPOS!N3821)</f>
        <v/>
      </c>
      <c r="B3821">
        <f>BASE_EQUIPOS!A3821</f>
        <v/>
      </c>
      <c r="C3821">
        <f>BASE_EQUIPOS!B3821</f>
        <v/>
      </c>
      <c r="D3821">
        <f>BASE_EQUIPOS!D3821</f>
        <v/>
      </c>
      <c r="E3821">
        <f>BASE_EQUIPOS!G3821</f>
        <v/>
      </c>
      <c r="F3821">
        <f>BASE_EQUIPOS!H3821</f>
        <v/>
      </c>
      <c r="G3821">
        <f>BASE_EQUIPOS!M3821</f>
        <v/>
      </c>
      <c r="I3821" t="inlineStr">
        <is>
          <t>000599</t>
        </is>
      </c>
    </row>
    <row r="3822">
      <c r="A3822">
        <f>TRIM(BASE_EQUIPOS!N3822)</f>
        <v/>
      </c>
      <c r="B3822">
        <f>BASE_EQUIPOS!A3822</f>
        <v/>
      </c>
      <c r="C3822">
        <f>BASE_EQUIPOS!B3822</f>
        <v/>
      </c>
      <c r="D3822">
        <f>BASE_EQUIPOS!D3822</f>
        <v/>
      </c>
      <c r="E3822">
        <f>BASE_EQUIPOS!G3822</f>
        <v/>
      </c>
      <c r="F3822">
        <f>BASE_EQUIPOS!H3822</f>
        <v/>
      </c>
      <c r="G3822">
        <f>BASE_EQUIPOS!M3822</f>
        <v/>
      </c>
      <c r="I3822" t="inlineStr">
        <is>
          <t>000061</t>
        </is>
      </c>
    </row>
    <row r="3823">
      <c r="A3823">
        <f>TRIM(BASE_EQUIPOS!N3823)</f>
        <v/>
      </c>
      <c r="B3823">
        <f>BASE_EQUIPOS!A3823</f>
        <v/>
      </c>
      <c r="C3823">
        <f>BASE_EQUIPOS!B3823</f>
        <v/>
      </c>
      <c r="D3823">
        <f>BASE_EQUIPOS!D3823</f>
        <v/>
      </c>
      <c r="E3823">
        <f>BASE_EQUIPOS!G3823</f>
        <v/>
      </c>
      <c r="F3823">
        <f>BASE_EQUIPOS!H3823</f>
        <v/>
      </c>
      <c r="G3823">
        <f>BASE_EQUIPOS!M3823</f>
        <v/>
      </c>
      <c r="I3823" t="inlineStr">
        <is>
          <t>000597</t>
        </is>
      </c>
    </row>
    <row r="3824">
      <c r="A3824">
        <f>TRIM(BASE_EQUIPOS!N3824)</f>
        <v/>
      </c>
      <c r="B3824">
        <f>BASE_EQUIPOS!A3824</f>
        <v/>
      </c>
      <c r="C3824">
        <f>BASE_EQUIPOS!B3824</f>
        <v/>
      </c>
      <c r="D3824">
        <f>BASE_EQUIPOS!D3824</f>
        <v/>
      </c>
      <c r="E3824">
        <f>BASE_EQUIPOS!G3824</f>
        <v/>
      </c>
      <c r="F3824">
        <f>BASE_EQUIPOS!H3824</f>
        <v/>
      </c>
      <c r="G3824">
        <f>BASE_EQUIPOS!M3824</f>
        <v/>
      </c>
      <c r="I3824" t="inlineStr">
        <is>
          <t>000101</t>
        </is>
      </c>
    </row>
    <row r="3825">
      <c r="A3825">
        <f>TRIM(BASE_EQUIPOS!N3825)</f>
        <v/>
      </c>
      <c r="B3825">
        <f>BASE_EQUIPOS!A3825</f>
        <v/>
      </c>
      <c r="C3825">
        <f>BASE_EQUIPOS!B3825</f>
        <v/>
      </c>
      <c r="D3825">
        <f>BASE_EQUIPOS!D3825</f>
        <v/>
      </c>
      <c r="E3825">
        <f>BASE_EQUIPOS!G3825</f>
        <v/>
      </c>
      <c r="F3825">
        <f>BASE_EQUIPOS!H3825</f>
        <v/>
      </c>
      <c r="G3825">
        <f>BASE_EQUIPOS!M3825</f>
        <v/>
      </c>
      <c r="I3825" t="inlineStr">
        <is>
          <t>000683</t>
        </is>
      </c>
    </row>
    <row r="3826">
      <c r="A3826">
        <f>TRIM(BASE_EQUIPOS!N3826)</f>
        <v/>
      </c>
      <c r="B3826">
        <f>BASE_EQUIPOS!A3826</f>
        <v/>
      </c>
      <c r="C3826">
        <f>BASE_EQUIPOS!B3826</f>
        <v/>
      </c>
      <c r="D3826">
        <f>BASE_EQUIPOS!D3826</f>
        <v/>
      </c>
      <c r="E3826">
        <f>BASE_EQUIPOS!G3826</f>
        <v/>
      </c>
      <c r="F3826">
        <f>BASE_EQUIPOS!H3826</f>
        <v/>
      </c>
      <c r="G3826">
        <f>BASE_EQUIPOS!M3826</f>
        <v/>
      </c>
      <c r="I3826" t="inlineStr">
        <is>
          <t>000631</t>
        </is>
      </c>
    </row>
    <row r="3827">
      <c r="A3827">
        <f>TRIM(BASE_EQUIPOS!N3827)</f>
        <v/>
      </c>
      <c r="B3827">
        <f>BASE_EQUIPOS!A3827</f>
        <v/>
      </c>
      <c r="C3827">
        <f>BASE_EQUIPOS!B3827</f>
        <v/>
      </c>
      <c r="D3827">
        <f>BASE_EQUIPOS!D3827</f>
        <v/>
      </c>
      <c r="E3827">
        <f>BASE_EQUIPOS!G3827</f>
        <v/>
      </c>
      <c r="F3827">
        <f>BASE_EQUIPOS!H3827</f>
        <v/>
      </c>
      <c r="G3827">
        <f>BASE_EQUIPOS!M3827</f>
        <v/>
      </c>
      <c r="I3827" t="inlineStr">
        <is>
          <t>000898</t>
        </is>
      </c>
    </row>
    <row r="3828">
      <c r="A3828">
        <f>TRIM(BASE_EQUIPOS!N3828)</f>
        <v/>
      </c>
      <c r="B3828">
        <f>BASE_EQUIPOS!A3828</f>
        <v/>
      </c>
      <c r="C3828">
        <f>BASE_EQUIPOS!B3828</f>
        <v/>
      </c>
      <c r="D3828">
        <f>BASE_EQUIPOS!D3828</f>
        <v/>
      </c>
      <c r="E3828">
        <f>BASE_EQUIPOS!G3828</f>
        <v/>
      </c>
      <c r="F3828">
        <f>BASE_EQUIPOS!H3828</f>
        <v/>
      </c>
      <c r="G3828">
        <f>BASE_EQUIPOS!M3828</f>
        <v/>
      </c>
      <c r="I3828" t="inlineStr">
        <is>
          <t>021352</t>
        </is>
      </c>
    </row>
    <row r="3829">
      <c r="A3829">
        <f>TRIM(BASE_EQUIPOS!N3829)</f>
        <v/>
      </c>
      <c r="B3829">
        <f>BASE_EQUIPOS!A3829</f>
        <v/>
      </c>
      <c r="C3829">
        <f>BASE_EQUIPOS!B3829</f>
        <v/>
      </c>
      <c r="D3829">
        <f>BASE_EQUIPOS!D3829</f>
        <v/>
      </c>
      <c r="E3829">
        <f>BASE_EQUIPOS!G3829</f>
        <v/>
      </c>
      <c r="F3829">
        <f>BASE_EQUIPOS!H3829</f>
        <v/>
      </c>
      <c r="G3829">
        <f>BASE_EQUIPOS!M3829</f>
        <v/>
      </c>
      <c r="I3829" t="inlineStr">
        <is>
          <t>16/000450</t>
        </is>
      </c>
    </row>
    <row r="3830">
      <c r="A3830">
        <f>TRIM(BASE_EQUIPOS!N3830)</f>
        <v/>
      </c>
      <c r="B3830">
        <f>BASE_EQUIPOS!A3830</f>
        <v/>
      </c>
      <c r="C3830">
        <f>BASE_EQUIPOS!B3830</f>
        <v/>
      </c>
      <c r="D3830">
        <f>BASE_EQUIPOS!D3830</f>
        <v/>
      </c>
      <c r="E3830">
        <f>BASE_EQUIPOS!G3830</f>
        <v/>
      </c>
      <c r="F3830">
        <f>BASE_EQUIPOS!H3830</f>
        <v/>
      </c>
      <c r="G3830">
        <f>BASE_EQUIPOS!M3830</f>
        <v/>
      </c>
      <c r="I3830" t="inlineStr">
        <is>
          <t>15/004816</t>
        </is>
      </c>
    </row>
    <row r="3831">
      <c r="A3831">
        <f>TRIM(BASE_EQUIPOS!N3831)</f>
        <v/>
      </c>
      <c r="B3831">
        <f>BASE_EQUIPOS!A3831</f>
        <v/>
      </c>
      <c r="C3831">
        <f>BASE_EQUIPOS!B3831</f>
        <v/>
      </c>
      <c r="D3831">
        <f>BASE_EQUIPOS!D3831</f>
        <v/>
      </c>
      <c r="E3831">
        <f>BASE_EQUIPOS!G3831</f>
        <v/>
      </c>
      <c r="F3831">
        <f>BASE_EQUIPOS!H3831</f>
        <v/>
      </c>
      <c r="G3831">
        <f>BASE_EQUIPOS!M3831</f>
        <v/>
      </c>
      <c r="I3831" t="inlineStr">
        <is>
          <t>022610</t>
        </is>
      </c>
    </row>
    <row r="3832">
      <c r="A3832">
        <f>TRIM(BASE_EQUIPOS!N3832)</f>
        <v/>
      </c>
      <c r="B3832">
        <f>BASE_EQUIPOS!A3832</f>
        <v/>
      </c>
      <c r="C3832">
        <f>BASE_EQUIPOS!B3832</f>
        <v/>
      </c>
      <c r="D3832">
        <f>BASE_EQUIPOS!D3832</f>
        <v/>
      </c>
      <c r="E3832">
        <f>BASE_EQUIPOS!G3832</f>
        <v/>
      </c>
      <c r="F3832">
        <f>BASE_EQUIPOS!H3832</f>
        <v/>
      </c>
      <c r="G3832">
        <f>BASE_EQUIPOS!M3832</f>
        <v/>
      </c>
      <c r="I3832" t="inlineStr">
        <is>
          <t>12/C-92959553</t>
        </is>
      </c>
    </row>
    <row r="3833">
      <c r="A3833">
        <f>TRIM(BASE_EQUIPOS!N3833)</f>
        <v/>
      </c>
      <c r="B3833">
        <f>BASE_EQUIPOS!A3833</f>
        <v/>
      </c>
      <c r="C3833">
        <f>BASE_EQUIPOS!B3833</f>
        <v/>
      </c>
      <c r="D3833">
        <f>BASE_EQUIPOS!D3833</f>
        <v/>
      </c>
      <c r="E3833">
        <f>BASE_EQUIPOS!G3833</f>
        <v/>
      </c>
      <c r="F3833">
        <f>BASE_EQUIPOS!H3833</f>
        <v/>
      </c>
      <c r="G3833">
        <f>BASE_EQUIPOS!M3833</f>
        <v/>
      </c>
      <c r="I3833" t="inlineStr">
        <is>
          <t>01/000527</t>
        </is>
      </c>
    </row>
    <row r="3834">
      <c r="A3834">
        <f>TRIM(BASE_EQUIPOS!N3834)</f>
        <v/>
      </c>
      <c r="B3834">
        <f>BASE_EQUIPOS!A3834</f>
        <v/>
      </c>
      <c r="C3834">
        <f>BASE_EQUIPOS!B3834</f>
        <v/>
      </c>
      <c r="D3834">
        <f>BASE_EQUIPOS!D3834</f>
        <v/>
      </c>
      <c r="E3834">
        <f>BASE_EQUIPOS!G3834</f>
        <v/>
      </c>
      <c r="F3834">
        <f>BASE_EQUIPOS!H3834</f>
        <v/>
      </c>
      <c r="G3834">
        <f>BASE_EQUIPOS!M3834</f>
        <v/>
      </c>
      <c r="I3834" t="inlineStr">
        <is>
          <t>02/000037</t>
        </is>
      </c>
    </row>
    <row r="3835">
      <c r="A3835">
        <f>TRIM(BASE_EQUIPOS!N3835)</f>
        <v/>
      </c>
      <c r="B3835">
        <f>BASE_EQUIPOS!A3835</f>
        <v/>
      </c>
      <c r="C3835">
        <f>BASE_EQUIPOS!B3835</f>
        <v/>
      </c>
      <c r="D3835">
        <f>BASE_EQUIPOS!D3835</f>
        <v/>
      </c>
      <c r="E3835">
        <f>BASE_EQUIPOS!G3835</f>
        <v/>
      </c>
      <c r="F3835">
        <f>BASE_EQUIPOS!H3835</f>
        <v/>
      </c>
      <c r="G3835">
        <f>BASE_EQUIPOS!M3835</f>
        <v/>
      </c>
      <c r="I3835" t="inlineStr">
        <is>
          <t>03/000204</t>
        </is>
      </c>
    </row>
    <row r="3836">
      <c r="A3836">
        <f>TRIM(BASE_EQUIPOS!N3836)</f>
        <v/>
      </c>
      <c r="B3836">
        <f>BASE_EQUIPOS!A3836</f>
        <v/>
      </c>
      <c r="C3836">
        <f>BASE_EQUIPOS!B3836</f>
        <v/>
      </c>
      <c r="D3836">
        <f>BASE_EQUIPOS!D3836</f>
        <v/>
      </c>
      <c r="E3836">
        <f>BASE_EQUIPOS!G3836</f>
        <v/>
      </c>
      <c r="F3836">
        <f>BASE_EQUIPOS!H3836</f>
        <v/>
      </c>
      <c r="G3836">
        <f>BASE_EQUIPOS!M3836</f>
        <v/>
      </c>
      <c r="I3836" t="inlineStr">
        <is>
          <t>04/000035</t>
        </is>
      </c>
    </row>
    <row r="3837">
      <c r="A3837">
        <f>TRIM(BASE_EQUIPOS!N3837)</f>
        <v/>
      </c>
      <c r="B3837">
        <f>BASE_EQUIPOS!A3837</f>
        <v/>
      </c>
      <c r="C3837">
        <f>BASE_EQUIPOS!B3837</f>
        <v/>
      </c>
      <c r="D3837">
        <f>BASE_EQUIPOS!D3837</f>
        <v/>
      </c>
      <c r="E3837">
        <f>BASE_EQUIPOS!G3837</f>
        <v/>
      </c>
      <c r="F3837">
        <f>BASE_EQUIPOS!H3837</f>
        <v/>
      </c>
      <c r="G3837">
        <f>BASE_EQUIPOS!M3837</f>
        <v/>
      </c>
      <c r="I3837" t="inlineStr">
        <is>
          <t>05/000599</t>
        </is>
      </c>
    </row>
    <row r="3838">
      <c r="A3838">
        <f>TRIM(BASE_EQUIPOS!N3838)</f>
        <v/>
      </c>
      <c r="B3838">
        <f>BASE_EQUIPOS!A3838</f>
        <v/>
      </c>
      <c r="C3838">
        <f>BASE_EQUIPOS!B3838</f>
        <v/>
      </c>
      <c r="D3838">
        <f>BASE_EQUIPOS!D3838</f>
        <v/>
      </c>
      <c r="E3838">
        <f>BASE_EQUIPOS!G3838</f>
        <v/>
      </c>
      <c r="F3838">
        <f>BASE_EQUIPOS!H3838</f>
        <v/>
      </c>
      <c r="G3838">
        <f>BASE_EQUIPOS!M3838</f>
        <v/>
      </c>
      <c r="I3838" t="inlineStr">
        <is>
          <t>06/000336</t>
        </is>
      </c>
    </row>
    <row r="3839">
      <c r="A3839">
        <f>TRIM(BASE_EQUIPOS!N3839)</f>
        <v/>
      </c>
      <c r="B3839">
        <f>BASE_EQUIPOS!A3839</f>
        <v/>
      </c>
      <c r="C3839">
        <f>BASE_EQUIPOS!B3839</f>
        <v/>
      </c>
      <c r="D3839">
        <f>BASE_EQUIPOS!D3839</f>
        <v/>
      </c>
      <c r="E3839">
        <f>BASE_EQUIPOS!G3839</f>
        <v/>
      </c>
      <c r="F3839">
        <f>BASE_EQUIPOS!H3839</f>
        <v/>
      </c>
      <c r="G3839">
        <f>BASE_EQUIPOS!M3839</f>
        <v/>
      </c>
      <c r="I3839" t="inlineStr">
        <is>
          <t>08/000002</t>
        </is>
      </c>
    </row>
    <row r="3840">
      <c r="A3840">
        <f>TRIM(BASE_EQUIPOS!N3840)</f>
        <v/>
      </c>
      <c r="B3840">
        <f>BASE_EQUIPOS!A3840</f>
        <v/>
      </c>
      <c r="C3840">
        <f>BASE_EQUIPOS!B3840</f>
        <v/>
      </c>
      <c r="D3840">
        <f>BASE_EQUIPOS!D3840</f>
        <v/>
      </c>
      <c r="E3840">
        <f>BASE_EQUIPOS!G3840</f>
        <v/>
      </c>
      <c r="F3840">
        <f>BASE_EQUIPOS!H3840</f>
        <v/>
      </c>
      <c r="G3840">
        <f>BASE_EQUIPOS!M3840</f>
        <v/>
      </c>
      <c r="I3840" t="inlineStr">
        <is>
          <t>09/000154</t>
        </is>
      </c>
    </row>
    <row r="3841">
      <c r="A3841">
        <f>TRIM(BASE_EQUIPOS!N3841)</f>
        <v/>
      </c>
      <c r="B3841">
        <f>BASE_EQUIPOS!A3841</f>
        <v/>
      </c>
      <c r="C3841">
        <f>BASE_EQUIPOS!B3841</f>
        <v/>
      </c>
      <c r="D3841">
        <f>BASE_EQUIPOS!D3841</f>
        <v/>
      </c>
      <c r="E3841">
        <f>BASE_EQUIPOS!G3841</f>
        <v/>
      </c>
      <c r="F3841">
        <f>BASE_EQUIPOS!H3841</f>
        <v/>
      </c>
      <c r="G3841">
        <f>BASE_EQUIPOS!M3841</f>
        <v/>
      </c>
      <c r="I3841" t="inlineStr">
        <is>
          <t>10/000011</t>
        </is>
      </c>
    </row>
    <row r="3842">
      <c r="A3842">
        <f>TRIM(BASE_EQUIPOS!N3842)</f>
        <v/>
      </c>
      <c r="B3842">
        <f>BASE_EQUIPOS!A3842</f>
        <v/>
      </c>
      <c r="C3842">
        <f>BASE_EQUIPOS!B3842</f>
        <v/>
      </c>
      <c r="D3842">
        <f>BASE_EQUIPOS!D3842</f>
        <v/>
      </c>
      <c r="E3842">
        <f>BASE_EQUIPOS!G3842</f>
        <v/>
      </c>
      <c r="F3842">
        <f>BASE_EQUIPOS!H3842</f>
        <v/>
      </c>
      <c r="G3842">
        <f>BASE_EQUIPOS!M3842</f>
        <v/>
      </c>
      <c r="I3842" t="inlineStr">
        <is>
          <t>11/000432</t>
        </is>
      </c>
    </row>
    <row r="3843">
      <c r="A3843">
        <f>TRIM(BASE_EQUIPOS!N3843)</f>
        <v/>
      </c>
      <c r="B3843">
        <f>BASE_EQUIPOS!A3843</f>
        <v/>
      </c>
      <c r="C3843">
        <f>BASE_EQUIPOS!B3843</f>
        <v/>
      </c>
      <c r="D3843">
        <f>BASE_EQUIPOS!D3843</f>
        <v/>
      </c>
      <c r="E3843">
        <f>BASE_EQUIPOS!G3843</f>
        <v/>
      </c>
      <c r="F3843">
        <f>BASE_EQUIPOS!H3843</f>
        <v/>
      </c>
      <c r="G3843">
        <f>BASE_EQUIPOS!M3843</f>
        <v/>
      </c>
      <c r="I3843" t="inlineStr">
        <is>
          <t>12/000377</t>
        </is>
      </c>
    </row>
    <row r="3844">
      <c r="A3844">
        <f>TRIM(BASE_EQUIPOS!N3844)</f>
        <v/>
      </c>
      <c r="B3844">
        <f>BASE_EQUIPOS!A3844</f>
        <v/>
      </c>
      <c r="C3844">
        <f>BASE_EQUIPOS!B3844</f>
        <v/>
      </c>
      <c r="D3844">
        <f>BASE_EQUIPOS!D3844</f>
        <v/>
      </c>
      <c r="E3844">
        <f>BASE_EQUIPOS!G3844</f>
        <v/>
      </c>
      <c r="F3844">
        <f>BASE_EQUIPOS!H3844</f>
        <v/>
      </c>
      <c r="G3844">
        <f>BASE_EQUIPOS!M3844</f>
        <v/>
      </c>
      <c r="I3844" t="inlineStr">
        <is>
          <t>13/000217</t>
        </is>
      </c>
    </row>
    <row r="3845">
      <c r="A3845">
        <f>TRIM(BASE_EQUIPOS!N3845)</f>
        <v/>
      </c>
      <c r="B3845">
        <f>BASE_EQUIPOS!A3845</f>
        <v/>
      </c>
      <c r="C3845">
        <f>BASE_EQUIPOS!B3845</f>
        <v/>
      </c>
      <c r="D3845">
        <f>BASE_EQUIPOS!D3845</f>
        <v/>
      </c>
      <c r="E3845">
        <f>BASE_EQUIPOS!G3845</f>
        <v/>
      </c>
      <c r="F3845">
        <f>BASE_EQUIPOS!H3845</f>
        <v/>
      </c>
      <c r="G3845">
        <f>BASE_EQUIPOS!M3845</f>
        <v/>
      </c>
      <c r="I3845" t="inlineStr">
        <is>
          <t>14/156222</t>
        </is>
      </c>
    </row>
    <row r="3846">
      <c r="A3846">
        <f>TRIM(BASE_EQUIPOS!N3846)</f>
        <v/>
      </c>
      <c r="B3846">
        <f>BASE_EQUIPOS!A3846</f>
        <v/>
      </c>
      <c r="C3846">
        <f>BASE_EQUIPOS!B3846</f>
        <v/>
      </c>
      <c r="D3846">
        <f>BASE_EQUIPOS!D3846</f>
        <v/>
      </c>
      <c r="E3846">
        <f>BASE_EQUIPOS!G3846</f>
        <v/>
      </c>
      <c r="F3846">
        <f>BASE_EQUIPOS!H3846</f>
        <v/>
      </c>
      <c r="G3846">
        <f>BASE_EQUIPOS!M3846</f>
        <v/>
      </c>
      <c r="I3846" t="inlineStr">
        <is>
          <t>15/000015</t>
        </is>
      </c>
    </row>
    <row r="3847">
      <c r="A3847">
        <f>TRIM(BASE_EQUIPOS!N3847)</f>
        <v/>
      </c>
      <c r="B3847">
        <f>BASE_EQUIPOS!A3847</f>
        <v/>
      </c>
      <c r="C3847">
        <f>BASE_EQUIPOS!B3847</f>
        <v/>
      </c>
      <c r="D3847">
        <f>BASE_EQUIPOS!D3847</f>
        <v/>
      </c>
      <c r="E3847">
        <f>BASE_EQUIPOS!G3847</f>
        <v/>
      </c>
      <c r="F3847">
        <f>BASE_EQUIPOS!H3847</f>
        <v/>
      </c>
      <c r="G3847">
        <f>BASE_EQUIPOS!M3847</f>
        <v/>
      </c>
      <c r="I3847" t="inlineStr">
        <is>
          <t>16/000475</t>
        </is>
      </c>
    </row>
    <row r="3848">
      <c r="A3848">
        <f>TRIM(BASE_EQUIPOS!N3848)</f>
        <v/>
      </c>
      <c r="B3848">
        <f>BASE_EQUIPOS!A3848</f>
        <v/>
      </c>
      <c r="C3848">
        <f>BASE_EQUIPOS!B3848</f>
        <v/>
      </c>
      <c r="D3848">
        <f>BASE_EQUIPOS!D3848</f>
        <v/>
      </c>
      <c r="E3848">
        <f>BASE_EQUIPOS!G3848</f>
        <v/>
      </c>
      <c r="F3848">
        <f>BASE_EQUIPOS!H3848</f>
        <v/>
      </c>
      <c r="G3848">
        <f>BASE_EQUIPOS!M3848</f>
        <v/>
      </c>
      <c r="I3848" t="inlineStr">
        <is>
          <t>17/169291</t>
        </is>
      </c>
    </row>
    <row r="3849">
      <c r="A3849">
        <f>TRIM(BASE_EQUIPOS!N3849)</f>
        <v/>
      </c>
      <c r="B3849">
        <f>BASE_EQUIPOS!A3849</f>
        <v/>
      </c>
      <c r="C3849">
        <f>BASE_EQUIPOS!B3849</f>
        <v/>
      </c>
      <c r="D3849">
        <f>BASE_EQUIPOS!D3849</f>
        <v/>
      </c>
      <c r="E3849">
        <f>BASE_EQUIPOS!G3849</f>
        <v/>
      </c>
      <c r="F3849">
        <f>BASE_EQUIPOS!H3849</f>
        <v/>
      </c>
      <c r="G3849">
        <f>BASE_EQUIPOS!M3849</f>
        <v/>
      </c>
      <c r="I3849" t="inlineStr">
        <is>
          <t>18/169159</t>
        </is>
      </c>
    </row>
    <row r="3850">
      <c r="A3850">
        <f>TRIM(BASE_EQUIPOS!N3850)</f>
        <v/>
      </c>
      <c r="B3850">
        <f>BASE_EQUIPOS!A3850</f>
        <v/>
      </c>
      <c r="C3850">
        <f>BASE_EQUIPOS!B3850</f>
        <v/>
      </c>
      <c r="D3850">
        <f>BASE_EQUIPOS!D3850</f>
        <v/>
      </c>
      <c r="E3850">
        <f>BASE_EQUIPOS!G3850</f>
        <v/>
      </c>
      <c r="F3850">
        <f>BASE_EQUIPOS!H3850</f>
        <v/>
      </c>
      <c r="G3850">
        <f>BASE_EQUIPOS!M3850</f>
        <v/>
      </c>
      <c r="I3850" t="inlineStr">
        <is>
          <t>19/163815</t>
        </is>
      </c>
    </row>
    <row r="3851">
      <c r="A3851">
        <f>TRIM(BASE_EQUIPOS!N3851)</f>
        <v/>
      </c>
      <c r="B3851">
        <f>BASE_EQUIPOS!A3851</f>
        <v/>
      </c>
      <c r="C3851">
        <f>BASE_EQUIPOS!B3851</f>
        <v/>
      </c>
      <c r="D3851">
        <f>BASE_EQUIPOS!D3851</f>
        <v/>
      </c>
      <c r="E3851">
        <f>BASE_EQUIPOS!G3851</f>
        <v/>
      </c>
      <c r="F3851">
        <f>BASE_EQUIPOS!H3851</f>
        <v/>
      </c>
      <c r="G3851">
        <f>BASE_EQUIPOS!M3851</f>
        <v/>
      </c>
      <c r="I3851" t="inlineStr">
        <is>
          <t>20/002758</t>
        </is>
      </c>
    </row>
    <row r="3852">
      <c r="A3852">
        <f>TRIM(BASE_EQUIPOS!N3852)</f>
        <v/>
      </c>
      <c r="B3852">
        <f>BASE_EQUIPOS!A3852</f>
        <v/>
      </c>
      <c r="C3852">
        <f>BASE_EQUIPOS!B3852</f>
        <v/>
      </c>
      <c r="D3852">
        <f>BASE_EQUIPOS!D3852</f>
        <v/>
      </c>
      <c r="E3852">
        <f>BASE_EQUIPOS!G3852</f>
        <v/>
      </c>
      <c r="F3852">
        <f>BASE_EQUIPOS!H3852</f>
        <v/>
      </c>
      <c r="G3852">
        <f>BASE_EQUIPOS!M3852</f>
        <v/>
      </c>
      <c r="I3852" t="inlineStr">
        <is>
          <t>21/000083</t>
        </is>
      </c>
    </row>
    <row r="3853">
      <c r="A3853">
        <f>TRIM(BASE_EQUIPOS!N3853)</f>
        <v/>
      </c>
      <c r="B3853">
        <f>BASE_EQUIPOS!A3853</f>
        <v/>
      </c>
      <c r="C3853">
        <f>BASE_EQUIPOS!B3853</f>
        <v/>
      </c>
      <c r="D3853">
        <f>BASE_EQUIPOS!D3853</f>
        <v/>
      </c>
      <c r="E3853">
        <f>BASE_EQUIPOS!G3853</f>
        <v/>
      </c>
      <c r="F3853">
        <f>BASE_EQUIPOS!H3853</f>
        <v/>
      </c>
      <c r="G3853">
        <f>BASE_EQUIPOS!M3853</f>
        <v/>
      </c>
      <c r="I3853" t="inlineStr">
        <is>
          <t>22/000139</t>
        </is>
      </c>
    </row>
    <row r="3854">
      <c r="A3854">
        <f>TRIM(BASE_EQUIPOS!N3854)</f>
        <v/>
      </c>
      <c r="B3854">
        <f>BASE_EQUIPOS!A3854</f>
        <v/>
      </c>
      <c r="C3854">
        <f>BASE_EQUIPOS!B3854</f>
        <v/>
      </c>
      <c r="D3854">
        <f>BASE_EQUIPOS!D3854</f>
        <v/>
      </c>
      <c r="E3854">
        <f>BASE_EQUIPOS!G3854</f>
        <v/>
      </c>
      <c r="F3854">
        <f>BASE_EQUIPOS!H3854</f>
        <v/>
      </c>
      <c r="G3854">
        <f>BASE_EQUIPOS!M3854</f>
        <v/>
      </c>
      <c r="I3854" t="inlineStr">
        <is>
          <t>270/000338</t>
        </is>
      </c>
    </row>
    <row r="3855">
      <c r="A3855">
        <f>TRIM(BASE_EQUIPOS!N3855)</f>
        <v/>
      </c>
      <c r="B3855">
        <f>BASE_EQUIPOS!A3855</f>
        <v/>
      </c>
      <c r="C3855">
        <f>BASE_EQUIPOS!B3855</f>
        <v/>
      </c>
      <c r="D3855">
        <f>BASE_EQUIPOS!D3855</f>
        <v/>
      </c>
      <c r="E3855">
        <f>BASE_EQUIPOS!G3855</f>
        <v/>
      </c>
      <c r="F3855">
        <f>BASE_EQUIPOS!H3855</f>
        <v/>
      </c>
      <c r="G3855">
        <f>BASE_EQUIPOS!M3855</f>
        <v/>
      </c>
      <c r="I3855" t="inlineStr">
        <is>
          <t>357/000009</t>
        </is>
      </c>
    </row>
    <row r="3856">
      <c r="A3856">
        <f>TRIM(BASE_EQUIPOS!N3856)</f>
        <v/>
      </c>
      <c r="B3856">
        <f>BASE_EQUIPOS!A3856</f>
        <v/>
      </c>
      <c r="C3856">
        <f>BASE_EQUIPOS!B3856</f>
        <v/>
      </c>
      <c r="D3856">
        <f>BASE_EQUIPOS!D3856</f>
        <v/>
      </c>
      <c r="E3856">
        <f>BASE_EQUIPOS!G3856</f>
        <v/>
      </c>
      <c r="F3856">
        <f>BASE_EQUIPOS!H3856</f>
        <v/>
      </c>
      <c r="G3856">
        <f>BASE_EQUIPOS!M3856</f>
        <v/>
      </c>
      <c r="I3856" t="inlineStr">
        <is>
          <t>01/000743</t>
        </is>
      </c>
    </row>
    <row r="3857">
      <c r="A3857">
        <f>TRIM(BASE_EQUIPOS!N3857)</f>
        <v/>
      </c>
      <c r="B3857">
        <f>BASE_EQUIPOS!A3857</f>
        <v/>
      </c>
      <c r="C3857">
        <f>BASE_EQUIPOS!B3857</f>
        <v/>
      </c>
      <c r="D3857">
        <f>BASE_EQUIPOS!D3857</f>
        <v/>
      </c>
      <c r="E3857">
        <f>BASE_EQUIPOS!G3857</f>
        <v/>
      </c>
      <c r="F3857">
        <f>BASE_EQUIPOS!H3857</f>
        <v/>
      </c>
      <c r="G3857">
        <f>BASE_EQUIPOS!M3857</f>
        <v/>
      </c>
      <c r="I3857" t="inlineStr">
        <is>
          <t>02/001055</t>
        </is>
      </c>
    </row>
    <row r="3858">
      <c r="A3858">
        <f>TRIM(BASE_EQUIPOS!N3858)</f>
        <v/>
      </c>
      <c r="B3858">
        <f>BASE_EQUIPOS!A3858</f>
        <v/>
      </c>
      <c r="C3858">
        <f>BASE_EQUIPOS!B3858</f>
        <v/>
      </c>
      <c r="D3858">
        <f>BASE_EQUIPOS!D3858</f>
        <v/>
      </c>
      <c r="E3858">
        <f>BASE_EQUIPOS!G3858</f>
        <v/>
      </c>
      <c r="F3858">
        <f>BASE_EQUIPOS!H3858</f>
        <v/>
      </c>
      <c r="G3858">
        <f>BASE_EQUIPOS!M3858</f>
        <v/>
      </c>
      <c r="I3858" t="inlineStr">
        <is>
          <t>03/169355</t>
        </is>
      </c>
    </row>
    <row r="3859">
      <c r="A3859">
        <f>TRIM(BASE_EQUIPOS!N3859)</f>
        <v/>
      </c>
      <c r="B3859">
        <f>BASE_EQUIPOS!A3859</f>
        <v/>
      </c>
      <c r="C3859">
        <f>BASE_EQUIPOS!B3859</f>
        <v/>
      </c>
      <c r="D3859">
        <f>BASE_EQUIPOS!D3859</f>
        <v/>
      </c>
      <c r="E3859">
        <f>BASE_EQUIPOS!G3859</f>
        <v/>
      </c>
      <c r="F3859">
        <f>BASE_EQUIPOS!H3859</f>
        <v/>
      </c>
      <c r="G3859">
        <f>BASE_EQUIPOS!M3859</f>
        <v/>
      </c>
      <c r="I3859" t="inlineStr">
        <is>
          <t>S/N/00397</t>
        </is>
      </c>
    </row>
    <row r="3860">
      <c r="A3860">
        <f>TRIM(BASE_EQUIPOS!N3860)</f>
        <v/>
      </c>
      <c r="B3860">
        <f>BASE_EQUIPOS!A3860</f>
        <v/>
      </c>
      <c r="C3860">
        <f>BASE_EQUIPOS!B3860</f>
        <v/>
      </c>
      <c r="D3860">
        <f>BASE_EQUIPOS!D3860</f>
        <v/>
      </c>
      <c r="E3860">
        <f>BASE_EQUIPOS!G3860</f>
        <v/>
      </c>
      <c r="F3860">
        <f>BASE_EQUIPOS!H3860</f>
        <v/>
      </c>
      <c r="G3860">
        <f>BASE_EQUIPOS!M3860</f>
        <v/>
      </c>
      <c r="I3860" t="inlineStr">
        <is>
          <t>S/N/N/R</t>
        </is>
      </c>
    </row>
    <row r="3861">
      <c r="A3861">
        <f>TRIM(BASE_EQUIPOS!N3861)</f>
        <v/>
      </c>
      <c r="B3861">
        <f>BASE_EQUIPOS!A3861</f>
        <v/>
      </c>
      <c r="C3861">
        <f>BASE_EQUIPOS!B3861</f>
        <v/>
      </c>
      <c r="D3861">
        <f>BASE_EQUIPOS!D3861</f>
        <v/>
      </c>
      <c r="E3861">
        <f>BASE_EQUIPOS!G3861</f>
        <v/>
      </c>
      <c r="F3861">
        <f>BASE_EQUIPOS!H3861</f>
        <v/>
      </c>
      <c r="G3861">
        <f>BASE_EQUIPOS!M3861</f>
        <v/>
      </c>
      <c r="I3861" t="inlineStr">
        <is>
          <t>S/N/000471</t>
        </is>
      </c>
    </row>
    <row r="3862">
      <c r="A3862">
        <f>TRIM(BASE_EQUIPOS!N3862)</f>
        <v/>
      </c>
      <c r="B3862">
        <f>BASE_EQUIPOS!A3862</f>
        <v/>
      </c>
      <c r="C3862">
        <f>BASE_EQUIPOS!B3862</f>
        <v/>
      </c>
      <c r="D3862">
        <f>BASE_EQUIPOS!D3862</f>
        <v/>
      </c>
      <c r="E3862">
        <f>BASE_EQUIPOS!G3862</f>
        <v/>
      </c>
      <c r="F3862">
        <f>BASE_EQUIPOS!H3862</f>
        <v/>
      </c>
      <c r="G3862">
        <f>BASE_EQUIPOS!M3862</f>
        <v/>
      </c>
      <c r="I3862" t="inlineStr">
        <is>
          <t>S/N/000494</t>
        </is>
      </c>
    </row>
    <row r="3863">
      <c r="A3863">
        <f>TRIM(BASE_EQUIPOS!N3863)</f>
        <v/>
      </c>
      <c r="B3863">
        <f>BASE_EQUIPOS!A3863</f>
        <v/>
      </c>
      <c r="C3863">
        <f>BASE_EQUIPOS!B3863</f>
        <v/>
      </c>
      <c r="D3863">
        <f>BASE_EQUIPOS!D3863</f>
        <v/>
      </c>
      <c r="E3863">
        <f>BASE_EQUIPOS!G3863</f>
        <v/>
      </c>
      <c r="F3863">
        <f>BASE_EQUIPOS!H3863</f>
        <v/>
      </c>
      <c r="G3863">
        <f>BASE_EQUIPOS!M3863</f>
        <v/>
      </c>
      <c r="I3863" t="inlineStr">
        <is>
          <t>S/N/001273</t>
        </is>
      </c>
    </row>
    <row r="3864">
      <c r="A3864">
        <f>TRIM(BASE_EQUIPOS!N3864)</f>
        <v/>
      </c>
      <c r="B3864">
        <f>BASE_EQUIPOS!A3864</f>
        <v/>
      </c>
      <c r="C3864">
        <f>BASE_EQUIPOS!B3864</f>
        <v/>
      </c>
      <c r="D3864">
        <f>BASE_EQUIPOS!D3864</f>
        <v/>
      </c>
      <c r="E3864">
        <f>BASE_EQUIPOS!G3864</f>
        <v/>
      </c>
      <c r="F3864">
        <f>BASE_EQUIPOS!H3864</f>
        <v/>
      </c>
      <c r="G3864">
        <f>BASE_EQUIPOS!M3864</f>
        <v/>
      </c>
      <c r="I3864" t="inlineStr">
        <is>
          <t>S/N/003089</t>
        </is>
      </c>
    </row>
    <row r="3865">
      <c r="A3865">
        <f>TRIM(BASE_EQUIPOS!N3865)</f>
        <v/>
      </c>
      <c r="B3865">
        <f>BASE_EQUIPOS!A3865</f>
        <v/>
      </c>
      <c r="C3865">
        <f>BASE_EQUIPOS!B3865</f>
        <v/>
      </c>
      <c r="D3865">
        <f>BASE_EQUIPOS!D3865</f>
        <v/>
      </c>
      <c r="E3865">
        <f>BASE_EQUIPOS!G3865</f>
        <v/>
      </c>
      <c r="F3865">
        <f>BASE_EQUIPOS!H3865</f>
        <v/>
      </c>
      <c r="G3865">
        <f>BASE_EQUIPOS!M3865</f>
        <v/>
      </c>
      <c r="I3865" t="inlineStr">
        <is>
          <t>S/N/000163</t>
        </is>
      </c>
    </row>
    <row r="3866">
      <c r="A3866">
        <f>TRIM(BASE_EQUIPOS!N3866)</f>
        <v/>
      </c>
      <c r="B3866">
        <f>BASE_EQUIPOS!A3866</f>
        <v/>
      </c>
      <c r="C3866">
        <f>BASE_EQUIPOS!B3866</f>
        <v/>
      </c>
      <c r="D3866">
        <f>BASE_EQUIPOS!D3866</f>
        <v/>
      </c>
      <c r="E3866">
        <f>BASE_EQUIPOS!G3866</f>
        <v/>
      </c>
      <c r="F3866">
        <f>BASE_EQUIPOS!H3866</f>
        <v/>
      </c>
      <c r="G3866">
        <f>BASE_EQUIPOS!M3866</f>
        <v/>
      </c>
      <c r="I3866" t="inlineStr">
        <is>
          <t>S/N/000318</t>
        </is>
      </c>
    </row>
    <row r="3867">
      <c r="A3867">
        <f>TRIM(BASE_EQUIPOS!N3867)</f>
        <v/>
      </c>
      <c r="B3867">
        <f>BASE_EQUIPOS!A3867</f>
        <v/>
      </c>
      <c r="C3867">
        <f>BASE_EQUIPOS!B3867</f>
        <v/>
      </c>
      <c r="D3867">
        <f>BASE_EQUIPOS!D3867</f>
        <v/>
      </c>
      <c r="E3867">
        <f>BASE_EQUIPOS!G3867</f>
        <v/>
      </c>
      <c r="F3867">
        <f>BASE_EQUIPOS!H3867</f>
        <v/>
      </c>
      <c r="G3867">
        <f>BASE_EQUIPOS!M3867</f>
        <v/>
      </c>
      <c r="I3867" t="inlineStr">
        <is>
          <t>S/N/000140</t>
        </is>
      </c>
    </row>
    <row r="3868">
      <c r="A3868">
        <f>TRIM(BASE_EQUIPOS!N3868)</f>
        <v/>
      </c>
      <c r="B3868">
        <f>BASE_EQUIPOS!A3868</f>
        <v/>
      </c>
      <c r="C3868">
        <f>BASE_EQUIPOS!B3868</f>
        <v/>
      </c>
      <c r="D3868">
        <f>BASE_EQUIPOS!D3868</f>
        <v/>
      </c>
      <c r="E3868">
        <f>BASE_EQUIPOS!G3868</f>
        <v/>
      </c>
      <c r="F3868">
        <f>BASE_EQUIPOS!H3868</f>
        <v/>
      </c>
      <c r="G3868">
        <f>BASE_EQUIPOS!M3868</f>
        <v/>
      </c>
      <c r="I3868" t="inlineStr">
        <is>
          <t>S/N/000243</t>
        </is>
      </c>
    </row>
    <row r="3869">
      <c r="A3869">
        <f>TRIM(BASE_EQUIPOS!N3869)</f>
        <v/>
      </c>
      <c r="B3869">
        <f>BASE_EQUIPOS!A3869</f>
        <v/>
      </c>
      <c r="C3869">
        <f>BASE_EQUIPOS!B3869</f>
        <v/>
      </c>
      <c r="D3869">
        <f>BASE_EQUIPOS!D3869</f>
        <v/>
      </c>
      <c r="E3869">
        <f>BASE_EQUIPOS!G3869</f>
        <v/>
      </c>
      <c r="F3869">
        <f>BASE_EQUIPOS!H3869</f>
        <v/>
      </c>
      <c r="G3869">
        <f>BASE_EQUIPOS!M3869</f>
        <v/>
      </c>
      <c r="I3869" t="inlineStr">
        <is>
          <t>S/N/011194</t>
        </is>
      </c>
    </row>
    <row r="3870">
      <c r="A3870">
        <f>TRIM(BASE_EQUIPOS!N3870)</f>
        <v/>
      </c>
      <c r="B3870">
        <f>BASE_EQUIPOS!A3870</f>
        <v/>
      </c>
      <c r="C3870">
        <f>BASE_EQUIPOS!B3870</f>
        <v/>
      </c>
      <c r="D3870">
        <f>BASE_EQUIPOS!D3870</f>
        <v/>
      </c>
      <c r="E3870">
        <f>BASE_EQUIPOS!G3870</f>
        <v/>
      </c>
      <c r="F3870">
        <f>BASE_EQUIPOS!H3870</f>
        <v/>
      </c>
      <c r="G3870">
        <f>BASE_EQUIPOS!M3870</f>
        <v/>
      </c>
      <c r="I3870" t="inlineStr">
        <is>
          <t>S/N/011088</t>
        </is>
      </c>
    </row>
    <row r="3871">
      <c r="A3871">
        <f>TRIM(BASE_EQUIPOS!N3871)</f>
        <v/>
      </c>
      <c r="B3871">
        <f>BASE_EQUIPOS!A3871</f>
        <v/>
      </c>
      <c r="C3871">
        <f>BASE_EQUIPOS!B3871</f>
        <v/>
      </c>
      <c r="D3871">
        <f>BASE_EQUIPOS!D3871</f>
        <v/>
      </c>
      <c r="E3871">
        <f>BASE_EQUIPOS!G3871</f>
        <v/>
      </c>
      <c r="F3871">
        <f>BASE_EQUIPOS!H3871</f>
        <v/>
      </c>
      <c r="G3871">
        <f>BASE_EQUIPOS!M3871</f>
        <v/>
      </c>
      <c r="I3871" t="inlineStr">
        <is>
          <t>S/N/011552</t>
        </is>
      </c>
    </row>
    <row r="3872">
      <c r="A3872">
        <f>TRIM(BASE_EQUIPOS!N3872)</f>
        <v/>
      </c>
      <c r="B3872">
        <f>BASE_EQUIPOS!A3872</f>
        <v/>
      </c>
      <c r="C3872">
        <f>BASE_EQUIPOS!B3872</f>
        <v/>
      </c>
      <c r="D3872">
        <f>BASE_EQUIPOS!D3872</f>
        <v/>
      </c>
      <c r="E3872">
        <f>BASE_EQUIPOS!G3872</f>
        <v/>
      </c>
      <c r="F3872">
        <f>BASE_EQUIPOS!H3872</f>
        <v/>
      </c>
      <c r="G3872">
        <f>BASE_EQUIPOS!M3872</f>
        <v/>
      </c>
      <c r="I3872" t="inlineStr">
        <is>
          <t>S/N/000240</t>
        </is>
      </c>
    </row>
    <row r="3873">
      <c r="A3873">
        <f>TRIM(BASE_EQUIPOS!N3873)</f>
        <v/>
      </c>
      <c r="B3873">
        <f>BASE_EQUIPOS!A3873</f>
        <v/>
      </c>
      <c r="C3873">
        <f>BASE_EQUIPOS!B3873</f>
        <v/>
      </c>
      <c r="D3873">
        <f>BASE_EQUIPOS!D3873</f>
        <v/>
      </c>
      <c r="E3873">
        <f>BASE_EQUIPOS!G3873</f>
        <v/>
      </c>
      <c r="F3873">
        <f>BASE_EQUIPOS!H3873</f>
        <v/>
      </c>
      <c r="G3873">
        <f>BASE_EQUIPOS!M3873</f>
        <v/>
      </c>
      <c r="I3873" t="inlineStr">
        <is>
          <t>S/N/011428</t>
        </is>
      </c>
    </row>
    <row r="3874">
      <c r="A3874">
        <f>TRIM(BASE_EQUIPOS!N3874)</f>
        <v/>
      </c>
      <c r="B3874">
        <f>BASE_EQUIPOS!A3874</f>
        <v/>
      </c>
      <c r="C3874">
        <f>BASE_EQUIPOS!B3874</f>
        <v/>
      </c>
      <c r="D3874">
        <f>BASE_EQUIPOS!D3874</f>
        <v/>
      </c>
      <c r="E3874">
        <f>BASE_EQUIPOS!G3874</f>
        <v/>
      </c>
      <c r="F3874">
        <f>BASE_EQUIPOS!H3874</f>
        <v/>
      </c>
      <c r="G3874">
        <f>BASE_EQUIPOS!M3874</f>
        <v/>
      </c>
      <c r="I3874" t="inlineStr">
        <is>
          <t>177/00005</t>
        </is>
      </c>
    </row>
    <row r="3875">
      <c r="A3875">
        <f>TRIM(BASE_EQUIPOS!N3875)</f>
        <v/>
      </c>
      <c r="B3875">
        <f>BASE_EQUIPOS!A3875</f>
        <v/>
      </c>
      <c r="C3875">
        <f>BASE_EQUIPOS!B3875</f>
        <v/>
      </c>
      <c r="D3875">
        <f>BASE_EQUIPOS!D3875</f>
        <v/>
      </c>
      <c r="E3875">
        <f>BASE_EQUIPOS!G3875</f>
        <v/>
      </c>
      <c r="F3875">
        <f>BASE_EQUIPOS!H3875</f>
        <v/>
      </c>
      <c r="G3875">
        <f>BASE_EQUIPOS!M3875</f>
        <v/>
      </c>
      <c r="I3875" t="inlineStr">
        <is>
          <t>23/EF325559</t>
        </is>
      </c>
    </row>
    <row r="3876">
      <c r="A3876">
        <f>TRIM(BASE_EQUIPOS!N3876)</f>
        <v/>
      </c>
      <c r="B3876">
        <f>BASE_EQUIPOS!A3876</f>
        <v/>
      </c>
      <c r="C3876">
        <f>BASE_EQUIPOS!B3876</f>
        <v/>
      </c>
      <c r="D3876">
        <f>BASE_EQUIPOS!D3876</f>
        <v/>
      </c>
      <c r="E3876">
        <f>BASE_EQUIPOS!G3876</f>
        <v/>
      </c>
      <c r="F3876">
        <f>BASE_EQUIPOS!H3876</f>
        <v/>
      </c>
      <c r="G3876">
        <f>BASE_EQUIPOS!M3876</f>
        <v/>
      </c>
      <c r="I3876" t="inlineStr">
        <is>
          <t>43/000560</t>
        </is>
      </c>
    </row>
    <row r="3877">
      <c r="A3877">
        <f>TRIM(BASE_EQUIPOS!N3877)</f>
        <v/>
      </c>
      <c r="B3877">
        <f>BASE_EQUIPOS!A3877</f>
        <v/>
      </c>
      <c r="C3877">
        <f>BASE_EQUIPOS!B3877</f>
        <v/>
      </c>
      <c r="D3877">
        <f>BASE_EQUIPOS!D3877</f>
        <v/>
      </c>
      <c r="E3877">
        <f>BASE_EQUIPOS!G3877</f>
        <v/>
      </c>
      <c r="F3877">
        <f>BASE_EQUIPOS!H3877</f>
        <v/>
      </c>
      <c r="G3877">
        <f>BASE_EQUIPOS!M3877</f>
        <v/>
      </c>
      <c r="I3877" t="inlineStr">
        <is>
          <t>26/000041</t>
        </is>
      </c>
    </row>
    <row r="3878">
      <c r="A3878">
        <f>TRIM(BASE_EQUIPOS!N3878)</f>
        <v/>
      </c>
      <c r="B3878">
        <f>BASE_EQUIPOS!A3878</f>
        <v/>
      </c>
      <c r="C3878">
        <f>BASE_EQUIPOS!B3878</f>
        <v/>
      </c>
      <c r="D3878">
        <f>BASE_EQUIPOS!D3878</f>
        <v/>
      </c>
      <c r="E3878">
        <f>BASE_EQUIPOS!G3878</f>
        <v/>
      </c>
      <c r="F3878">
        <f>BASE_EQUIPOS!H3878</f>
        <v/>
      </c>
      <c r="G3878">
        <f>BASE_EQUIPOS!M3878</f>
        <v/>
      </c>
      <c r="I3878" t="inlineStr">
        <is>
          <t>22/000606</t>
        </is>
      </c>
    </row>
    <row r="3879">
      <c r="A3879">
        <f>TRIM(BASE_EQUIPOS!N3879)</f>
        <v/>
      </c>
      <c r="B3879">
        <f>BASE_EQUIPOS!A3879</f>
        <v/>
      </c>
      <c r="C3879">
        <f>BASE_EQUIPOS!B3879</f>
        <v/>
      </c>
      <c r="D3879">
        <f>BASE_EQUIPOS!D3879</f>
        <v/>
      </c>
      <c r="E3879">
        <f>BASE_EQUIPOS!G3879</f>
        <v/>
      </c>
      <c r="F3879">
        <f>BASE_EQUIPOS!H3879</f>
        <v/>
      </c>
      <c r="G3879">
        <f>BASE_EQUIPOS!M3879</f>
        <v/>
      </c>
      <c r="I3879" t="inlineStr">
        <is>
          <t>32/000606</t>
        </is>
      </c>
    </row>
    <row r="3880">
      <c r="A3880">
        <f>TRIM(BASE_EQUIPOS!N3880)</f>
        <v/>
      </c>
      <c r="B3880">
        <f>BASE_EQUIPOS!A3880</f>
        <v/>
      </c>
      <c r="C3880">
        <f>BASE_EQUIPOS!B3880</f>
        <v/>
      </c>
      <c r="D3880">
        <f>BASE_EQUIPOS!D3880</f>
        <v/>
      </c>
      <c r="E3880">
        <f>BASE_EQUIPOS!G3880</f>
        <v/>
      </c>
      <c r="F3880">
        <f>BASE_EQUIPOS!H3880</f>
        <v/>
      </c>
      <c r="G3880">
        <f>BASE_EQUIPOS!M3880</f>
        <v/>
      </c>
      <c r="I3880" t="inlineStr">
        <is>
          <t>20/000110</t>
        </is>
      </c>
    </row>
    <row r="3881">
      <c r="A3881">
        <f>TRIM(BASE_EQUIPOS!N3881)</f>
        <v/>
      </c>
      <c r="B3881">
        <f>BASE_EQUIPOS!A3881</f>
        <v/>
      </c>
      <c r="C3881">
        <f>BASE_EQUIPOS!B3881</f>
        <v/>
      </c>
      <c r="D3881">
        <f>BASE_EQUIPOS!D3881</f>
        <v/>
      </c>
      <c r="E3881">
        <f>BASE_EQUIPOS!G3881</f>
        <v/>
      </c>
      <c r="F3881">
        <f>BASE_EQUIPOS!H3881</f>
        <v/>
      </c>
      <c r="G3881">
        <f>BASE_EQUIPOS!M3881</f>
        <v/>
      </c>
      <c r="I3881" t="inlineStr">
        <is>
          <t>4/000934</t>
        </is>
      </c>
    </row>
    <row r="3882">
      <c r="A3882">
        <f>TRIM(BASE_EQUIPOS!N3882)</f>
        <v/>
      </c>
      <c r="B3882">
        <f>BASE_EQUIPOS!A3882</f>
        <v/>
      </c>
      <c r="C3882">
        <f>BASE_EQUIPOS!B3882</f>
        <v/>
      </c>
      <c r="D3882">
        <f>BASE_EQUIPOS!D3882</f>
        <v/>
      </c>
      <c r="E3882">
        <f>BASE_EQUIPOS!G3882</f>
        <v/>
      </c>
      <c r="F3882">
        <f>BASE_EQUIPOS!H3882</f>
        <v/>
      </c>
      <c r="G3882">
        <f>BASE_EQUIPOS!M3882</f>
        <v/>
      </c>
      <c r="I3882" t="inlineStr">
        <is>
          <t>S/N/ 000462</t>
        </is>
      </c>
    </row>
    <row r="3883">
      <c r="A3883">
        <f>TRIM(BASE_EQUIPOS!N3883)</f>
        <v/>
      </c>
      <c r="B3883">
        <f>BASE_EQUIPOS!A3883</f>
        <v/>
      </c>
      <c r="C3883">
        <f>BASE_EQUIPOS!B3883</f>
        <v/>
      </c>
      <c r="D3883">
        <f>BASE_EQUIPOS!D3883</f>
        <v/>
      </c>
      <c r="E3883">
        <f>BASE_EQUIPOS!G3883</f>
        <v/>
      </c>
      <c r="F3883">
        <f>BASE_EQUIPOS!H3883</f>
        <v/>
      </c>
      <c r="G3883">
        <f>BASE_EQUIPOS!M3883</f>
        <v/>
      </c>
      <c r="I3883" t="inlineStr">
        <is>
          <t>E-002/001170</t>
        </is>
      </c>
    </row>
    <row r="3884">
      <c r="A3884">
        <f>TRIM(BASE_EQUIPOS!N3884)</f>
        <v/>
      </c>
      <c r="B3884">
        <f>BASE_EQUIPOS!A3884</f>
        <v/>
      </c>
      <c r="C3884">
        <f>BASE_EQUIPOS!B3884</f>
        <v/>
      </c>
      <c r="D3884">
        <f>BASE_EQUIPOS!D3884</f>
        <v/>
      </c>
      <c r="E3884">
        <f>BASE_EQUIPOS!G3884</f>
        <v/>
      </c>
      <c r="F3884">
        <f>BASE_EQUIPOS!H3884</f>
        <v/>
      </c>
      <c r="G3884">
        <f>BASE_EQUIPOS!M3884</f>
        <v/>
      </c>
      <c r="I3884" t="inlineStr">
        <is>
          <t>E-121/000855</t>
        </is>
      </c>
    </row>
    <row r="3885">
      <c r="A3885">
        <f>TRIM(BASE_EQUIPOS!N3885)</f>
        <v/>
      </c>
      <c r="B3885">
        <f>BASE_EQUIPOS!A3885</f>
        <v/>
      </c>
      <c r="C3885">
        <f>BASE_EQUIPOS!B3885</f>
        <v/>
      </c>
      <c r="D3885">
        <f>BASE_EQUIPOS!D3885</f>
        <v/>
      </c>
      <c r="E3885">
        <f>BASE_EQUIPOS!G3885</f>
        <v/>
      </c>
      <c r="F3885">
        <f>BASE_EQUIPOS!H3885</f>
        <v/>
      </c>
      <c r="G3885">
        <f>BASE_EQUIPOS!M3885</f>
        <v/>
      </c>
      <c r="I3885" t="inlineStr">
        <is>
          <t>E-059/001917</t>
        </is>
      </c>
    </row>
    <row r="3886">
      <c r="A3886">
        <f>TRIM(BASE_EQUIPOS!N3886)</f>
        <v/>
      </c>
      <c r="B3886">
        <f>BASE_EQUIPOS!A3886</f>
        <v/>
      </c>
      <c r="C3886">
        <f>BASE_EQUIPOS!B3886</f>
        <v/>
      </c>
      <c r="D3886">
        <f>BASE_EQUIPOS!D3886</f>
        <v/>
      </c>
      <c r="E3886">
        <f>BASE_EQUIPOS!G3886</f>
        <v/>
      </c>
      <c r="F3886">
        <f>BASE_EQUIPOS!H3886</f>
        <v/>
      </c>
      <c r="G3886">
        <f>BASE_EQUIPOS!M3886</f>
        <v/>
      </c>
      <c r="I3886" t="inlineStr">
        <is>
          <t>E-001/001138</t>
        </is>
      </c>
    </row>
    <row r="3887">
      <c r="A3887">
        <f>TRIM(BASE_EQUIPOS!N3887)</f>
        <v/>
      </c>
      <c r="B3887">
        <f>BASE_EQUIPOS!A3887</f>
        <v/>
      </c>
      <c r="C3887">
        <f>BASE_EQUIPOS!B3887</f>
        <v/>
      </c>
      <c r="D3887">
        <f>BASE_EQUIPOS!D3887</f>
        <v/>
      </c>
      <c r="E3887">
        <f>BASE_EQUIPOS!G3887</f>
        <v/>
      </c>
      <c r="F3887">
        <f>BASE_EQUIPOS!H3887</f>
        <v/>
      </c>
      <c r="G3887">
        <f>BASE_EQUIPOS!M3887</f>
        <v/>
      </c>
      <c r="I3887" t="inlineStr">
        <is>
          <t>E-057/001763</t>
        </is>
      </c>
    </row>
    <row r="3888">
      <c r="A3888">
        <f>TRIM(BASE_EQUIPOS!N3888)</f>
        <v/>
      </c>
      <c r="B3888">
        <f>BASE_EQUIPOS!A3888</f>
        <v/>
      </c>
      <c r="C3888">
        <f>BASE_EQUIPOS!B3888</f>
        <v/>
      </c>
      <c r="D3888">
        <f>BASE_EQUIPOS!D3888</f>
        <v/>
      </c>
      <c r="E3888">
        <f>BASE_EQUIPOS!G3888</f>
        <v/>
      </c>
      <c r="F3888">
        <f>BASE_EQUIPOS!H3888</f>
        <v/>
      </c>
      <c r="G3888">
        <f>BASE_EQUIPOS!M3888</f>
        <v/>
      </c>
      <c r="I3888" t="inlineStr">
        <is>
          <t>E-100/000245</t>
        </is>
      </c>
    </row>
    <row r="3889">
      <c r="A3889">
        <f>TRIM(BASE_EQUIPOS!N3889)</f>
        <v/>
      </c>
      <c r="B3889">
        <f>BASE_EQUIPOS!A3889</f>
        <v/>
      </c>
      <c r="C3889">
        <f>BASE_EQUIPOS!B3889</f>
        <v/>
      </c>
      <c r="D3889">
        <f>BASE_EQUIPOS!D3889</f>
        <v/>
      </c>
      <c r="E3889">
        <f>BASE_EQUIPOS!G3889</f>
        <v/>
      </c>
      <c r="F3889">
        <f>BASE_EQUIPOS!H3889</f>
        <v/>
      </c>
      <c r="G3889">
        <f>BASE_EQUIPOS!M3889</f>
        <v/>
      </c>
      <c r="I3889" t="inlineStr">
        <is>
          <t>E-126/001003</t>
        </is>
      </c>
    </row>
    <row r="3890">
      <c r="A3890">
        <f>TRIM(BASE_EQUIPOS!N3890)</f>
        <v/>
      </c>
      <c r="B3890">
        <f>BASE_EQUIPOS!A3890</f>
        <v/>
      </c>
      <c r="C3890">
        <f>BASE_EQUIPOS!B3890</f>
        <v/>
      </c>
      <c r="D3890">
        <f>BASE_EQUIPOS!D3890</f>
        <v/>
      </c>
      <c r="E3890">
        <f>BASE_EQUIPOS!G3890</f>
        <v/>
      </c>
      <c r="F3890">
        <f>BASE_EQUIPOS!H3890</f>
        <v/>
      </c>
      <c r="G3890">
        <f>BASE_EQUIPOS!M3890</f>
        <v/>
      </c>
      <c r="I3890" t="inlineStr">
        <is>
          <t>E-149/000062</t>
        </is>
      </c>
    </row>
    <row r="3891">
      <c r="A3891">
        <f>TRIM(BASE_EQUIPOS!N3891)</f>
        <v/>
      </c>
      <c r="B3891">
        <f>BASE_EQUIPOS!A3891</f>
        <v/>
      </c>
      <c r="C3891">
        <f>BASE_EQUIPOS!B3891</f>
        <v/>
      </c>
      <c r="D3891">
        <f>BASE_EQUIPOS!D3891</f>
        <v/>
      </c>
      <c r="E3891">
        <f>BASE_EQUIPOS!G3891</f>
        <v/>
      </c>
      <c r="F3891">
        <f>BASE_EQUIPOS!H3891</f>
        <v/>
      </c>
      <c r="G3891">
        <f>BASE_EQUIPOS!M3891</f>
        <v/>
      </c>
      <c r="I3891" t="inlineStr">
        <is>
          <t>E-077/000702</t>
        </is>
      </c>
    </row>
    <row r="3892">
      <c r="A3892">
        <f>TRIM(BASE_EQUIPOS!N3892)</f>
        <v/>
      </c>
      <c r="B3892">
        <f>BASE_EQUIPOS!A3892</f>
        <v/>
      </c>
      <c r="C3892">
        <f>BASE_EQUIPOS!B3892</f>
        <v/>
      </c>
      <c r="D3892">
        <f>BASE_EQUIPOS!D3892</f>
        <v/>
      </c>
      <c r="E3892">
        <f>BASE_EQUIPOS!G3892</f>
        <v/>
      </c>
      <c r="F3892">
        <f>BASE_EQUIPOS!H3892</f>
        <v/>
      </c>
      <c r="G3892">
        <f>BASE_EQUIPOS!M3892</f>
        <v/>
      </c>
      <c r="I3892" t="inlineStr">
        <is>
          <t>E-123/000726</t>
        </is>
      </c>
    </row>
    <row r="3893">
      <c r="A3893">
        <f>TRIM(BASE_EQUIPOS!N3893)</f>
        <v/>
      </c>
      <c r="B3893">
        <f>BASE_EQUIPOS!A3893</f>
        <v/>
      </c>
      <c r="C3893">
        <f>BASE_EQUIPOS!B3893</f>
        <v/>
      </c>
      <c r="D3893">
        <f>BASE_EQUIPOS!D3893</f>
        <v/>
      </c>
      <c r="E3893">
        <f>BASE_EQUIPOS!G3893</f>
        <v/>
      </c>
      <c r="F3893">
        <f>BASE_EQUIPOS!H3893</f>
        <v/>
      </c>
      <c r="G3893">
        <f>BASE_EQUIPOS!M3893</f>
        <v/>
      </c>
      <c r="I3893" t="inlineStr">
        <is>
          <t>E-129/000644</t>
        </is>
      </c>
    </row>
    <row r="3894">
      <c r="A3894">
        <f>TRIM(BASE_EQUIPOS!N3894)</f>
        <v/>
      </c>
      <c r="B3894">
        <f>BASE_EQUIPOS!A3894</f>
        <v/>
      </c>
      <c r="C3894">
        <f>BASE_EQUIPOS!B3894</f>
        <v/>
      </c>
      <c r="D3894">
        <f>BASE_EQUIPOS!D3894</f>
        <v/>
      </c>
      <c r="E3894">
        <f>BASE_EQUIPOS!G3894</f>
        <v/>
      </c>
      <c r="F3894">
        <f>BASE_EQUIPOS!H3894</f>
        <v/>
      </c>
      <c r="G3894">
        <f>BASE_EQUIPOS!M3894</f>
        <v/>
      </c>
      <c r="I3894" t="inlineStr">
        <is>
          <t>E-058/001829</t>
        </is>
      </c>
    </row>
    <row r="3895">
      <c r="A3895">
        <f>TRIM(BASE_EQUIPOS!N3895)</f>
        <v/>
      </c>
      <c r="B3895">
        <f>BASE_EQUIPOS!A3895</f>
        <v/>
      </c>
      <c r="C3895">
        <f>BASE_EQUIPOS!B3895</f>
        <v/>
      </c>
      <c r="D3895">
        <f>BASE_EQUIPOS!D3895</f>
        <v/>
      </c>
      <c r="E3895">
        <f>BASE_EQUIPOS!G3895</f>
        <v/>
      </c>
      <c r="F3895">
        <f>BASE_EQUIPOS!H3895</f>
        <v/>
      </c>
      <c r="G3895">
        <f>BASE_EQUIPOS!M3895</f>
        <v/>
      </c>
      <c r="I3895" t="inlineStr">
        <is>
          <t>E-003/000752</t>
        </is>
      </c>
    </row>
    <row r="3896">
      <c r="A3896">
        <f>TRIM(BASE_EQUIPOS!N3896)</f>
        <v/>
      </c>
      <c r="B3896">
        <f>BASE_EQUIPOS!A3896</f>
        <v/>
      </c>
      <c r="C3896">
        <f>BASE_EQUIPOS!B3896</f>
        <v/>
      </c>
      <c r="D3896">
        <f>BASE_EQUIPOS!D3896</f>
        <v/>
      </c>
      <c r="E3896">
        <f>BASE_EQUIPOS!G3896</f>
        <v/>
      </c>
      <c r="F3896">
        <f>BASE_EQUIPOS!H3896</f>
        <v/>
      </c>
      <c r="G3896">
        <f>BASE_EQUIPOS!M3896</f>
        <v/>
      </c>
      <c r="I3896" t="inlineStr">
        <is>
          <t>E-004/000375</t>
        </is>
      </c>
    </row>
    <row r="3897">
      <c r="A3897">
        <f>TRIM(BASE_EQUIPOS!N3897)</f>
        <v/>
      </c>
      <c r="B3897">
        <f>BASE_EQUIPOS!A3897</f>
        <v/>
      </c>
      <c r="C3897">
        <f>BASE_EQUIPOS!B3897</f>
        <v/>
      </c>
      <c r="D3897">
        <f>BASE_EQUIPOS!D3897</f>
        <v/>
      </c>
      <c r="E3897">
        <f>BASE_EQUIPOS!G3897</f>
        <v/>
      </c>
      <c r="F3897">
        <f>BASE_EQUIPOS!H3897</f>
        <v/>
      </c>
      <c r="G3897">
        <f>BASE_EQUIPOS!M3897</f>
        <v/>
      </c>
      <c r="I3897" t="inlineStr">
        <is>
          <t>E-101/000877</t>
        </is>
      </c>
    </row>
    <row r="3898">
      <c r="A3898">
        <f>TRIM(BASE_EQUIPOS!N3898)</f>
        <v/>
      </c>
      <c r="B3898">
        <f>BASE_EQUIPOS!A3898</f>
        <v/>
      </c>
      <c r="C3898">
        <f>BASE_EQUIPOS!B3898</f>
        <v/>
      </c>
      <c r="D3898">
        <f>BASE_EQUIPOS!D3898</f>
        <v/>
      </c>
      <c r="E3898">
        <f>BASE_EQUIPOS!G3898</f>
        <v/>
      </c>
      <c r="F3898">
        <f>BASE_EQUIPOS!H3898</f>
        <v/>
      </c>
      <c r="G3898">
        <f>BASE_EQUIPOS!M3898</f>
        <v/>
      </c>
      <c r="I3898" t="inlineStr">
        <is>
          <t>E-130/002679</t>
        </is>
      </c>
    </row>
    <row r="3899">
      <c r="A3899">
        <f>TRIM(BASE_EQUIPOS!N3899)</f>
        <v/>
      </c>
      <c r="B3899">
        <f>BASE_EQUIPOS!A3899</f>
        <v/>
      </c>
      <c r="C3899">
        <f>BASE_EQUIPOS!B3899</f>
        <v/>
      </c>
      <c r="D3899">
        <f>BASE_EQUIPOS!D3899</f>
        <v/>
      </c>
      <c r="E3899">
        <f>BASE_EQUIPOS!G3899</f>
        <v/>
      </c>
      <c r="F3899">
        <f>BASE_EQUIPOS!H3899</f>
        <v/>
      </c>
      <c r="G3899">
        <f>BASE_EQUIPOS!M3899</f>
        <v/>
      </c>
      <c r="I3899" t="inlineStr">
        <is>
          <t>E-034/003112</t>
        </is>
      </c>
    </row>
    <row r="3900">
      <c r="A3900">
        <f>TRIM(BASE_EQUIPOS!N3900)</f>
        <v/>
      </c>
      <c r="B3900">
        <f>BASE_EQUIPOS!A3900</f>
        <v/>
      </c>
      <c r="C3900">
        <f>BASE_EQUIPOS!B3900</f>
        <v/>
      </c>
      <c r="D3900">
        <f>BASE_EQUIPOS!D3900</f>
        <v/>
      </c>
      <c r="E3900">
        <f>BASE_EQUIPOS!G3900</f>
        <v/>
      </c>
      <c r="F3900">
        <f>BASE_EQUIPOS!H3900</f>
        <v/>
      </c>
      <c r="G3900">
        <f>BASE_EQUIPOS!M3900</f>
        <v/>
      </c>
      <c r="I3900" t="inlineStr">
        <is>
          <t>E-032/003979</t>
        </is>
      </c>
    </row>
    <row r="3901">
      <c r="A3901">
        <f>TRIM(BASE_EQUIPOS!N3901)</f>
        <v/>
      </c>
      <c r="B3901">
        <f>BASE_EQUIPOS!A3901</f>
        <v/>
      </c>
      <c r="C3901">
        <f>BASE_EQUIPOS!B3901</f>
        <v/>
      </c>
      <c r="D3901">
        <f>BASE_EQUIPOS!D3901</f>
        <v/>
      </c>
      <c r="E3901">
        <f>BASE_EQUIPOS!G3901</f>
        <v/>
      </c>
      <c r="F3901">
        <f>BASE_EQUIPOS!H3901</f>
        <v/>
      </c>
      <c r="G3901">
        <f>BASE_EQUIPOS!M3901</f>
        <v/>
      </c>
      <c r="I3901" t="inlineStr">
        <is>
          <t>E-036/000638</t>
        </is>
      </c>
    </row>
    <row r="3902">
      <c r="A3902">
        <f>TRIM(BASE_EQUIPOS!N3902)</f>
        <v/>
      </c>
      <c r="B3902">
        <f>BASE_EQUIPOS!A3902</f>
        <v/>
      </c>
      <c r="C3902">
        <f>BASE_EQUIPOS!B3902</f>
        <v/>
      </c>
      <c r="D3902">
        <f>BASE_EQUIPOS!D3902</f>
        <v/>
      </c>
      <c r="E3902">
        <f>BASE_EQUIPOS!G3902</f>
        <v/>
      </c>
      <c r="F3902">
        <f>BASE_EQUIPOS!H3902</f>
        <v/>
      </c>
      <c r="G3902">
        <f>BASE_EQUIPOS!M3902</f>
        <v/>
      </c>
      <c r="I3902" t="inlineStr">
        <is>
          <t>E-026/350026</t>
        </is>
      </c>
    </row>
    <row r="3903">
      <c r="A3903">
        <f>TRIM(BASE_EQUIPOS!N3903)</f>
        <v/>
      </c>
      <c r="B3903">
        <f>BASE_EQUIPOS!A3903</f>
        <v/>
      </c>
      <c r="C3903">
        <f>BASE_EQUIPOS!B3903</f>
        <v/>
      </c>
      <c r="D3903">
        <f>BASE_EQUIPOS!D3903</f>
        <v/>
      </c>
      <c r="E3903">
        <f>BASE_EQUIPOS!G3903</f>
        <v/>
      </c>
      <c r="F3903">
        <f>BASE_EQUIPOS!H3903</f>
        <v/>
      </c>
      <c r="G3903">
        <f>BASE_EQUIPOS!M3903</f>
        <v/>
      </c>
      <c r="I3903" t="inlineStr">
        <is>
          <t>E-023/001101</t>
        </is>
      </c>
    </row>
    <row r="3904">
      <c r="A3904">
        <f>TRIM(BASE_EQUIPOS!N3904)</f>
        <v/>
      </c>
      <c r="B3904">
        <f>BASE_EQUIPOS!A3904</f>
        <v/>
      </c>
      <c r="C3904">
        <f>BASE_EQUIPOS!B3904</f>
        <v/>
      </c>
      <c r="D3904">
        <f>BASE_EQUIPOS!D3904</f>
        <v/>
      </c>
      <c r="E3904">
        <f>BASE_EQUIPOS!G3904</f>
        <v/>
      </c>
      <c r="F3904">
        <f>BASE_EQUIPOS!H3904</f>
        <v/>
      </c>
      <c r="G3904">
        <f>BASE_EQUIPOS!M3904</f>
        <v/>
      </c>
      <c r="I3904" t="inlineStr">
        <is>
          <t>E-151/000227</t>
        </is>
      </c>
    </row>
    <row r="3905">
      <c r="A3905">
        <f>TRIM(BASE_EQUIPOS!N3905)</f>
        <v/>
      </c>
      <c r="B3905">
        <f>BASE_EQUIPOS!A3905</f>
        <v/>
      </c>
      <c r="C3905">
        <f>BASE_EQUIPOS!B3905</f>
        <v/>
      </c>
      <c r="D3905">
        <f>BASE_EQUIPOS!D3905</f>
        <v/>
      </c>
      <c r="E3905">
        <f>BASE_EQUIPOS!G3905</f>
        <v/>
      </c>
      <c r="F3905">
        <f>BASE_EQUIPOS!H3905</f>
        <v/>
      </c>
      <c r="G3905">
        <f>BASE_EQUIPOS!M3905</f>
        <v/>
      </c>
      <c r="I3905" t="inlineStr">
        <is>
          <t>E-405/000564</t>
        </is>
      </c>
    </row>
    <row r="3906">
      <c r="A3906">
        <f>TRIM(BASE_EQUIPOS!N3906)</f>
        <v/>
      </c>
      <c r="B3906">
        <f>BASE_EQUIPOS!A3906</f>
        <v/>
      </c>
      <c r="C3906">
        <f>BASE_EQUIPOS!B3906</f>
        <v/>
      </c>
      <c r="D3906">
        <f>BASE_EQUIPOS!D3906</f>
        <v/>
      </c>
      <c r="E3906">
        <f>BASE_EQUIPOS!G3906</f>
        <v/>
      </c>
      <c r="F3906">
        <f>BASE_EQUIPOS!H3906</f>
        <v/>
      </c>
      <c r="G3906">
        <f>BASE_EQUIPOS!M3906</f>
        <v/>
      </c>
      <c r="I3906" t="inlineStr">
        <is>
          <t>E-116/G-439305</t>
        </is>
      </c>
    </row>
    <row r="3907">
      <c r="A3907">
        <f>TRIM(BASE_EQUIPOS!N3907)</f>
        <v/>
      </c>
      <c r="B3907">
        <f>BASE_EQUIPOS!A3907</f>
        <v/>
      </c>
      <c r="C3907">
        <f>BASE_EQUIPOS!B3907</f>
        <v/>
      </c>
      <c r="D3907">
        <f>BASE_EQUIPOS!D3907</f>
        <v/>
      </c>
      <c r="E3907">
        <f>BASE_EQUIPOS!G3907</f>
        <v/>
      </c>
      <c r="F3907">
        <f>BASE_EQUIPOS!H3907</f>
        <v/>
      </c>
      <c r="G3907">
        <f>BASE_EQUIPOS!M3907</f>
        <v/>
      </c>
      <c r="I3907" t="inlineStr">
        <is>
          <t>E-017/S/N</t>
        </is>
      </c>
    </row>
    <row r="3908">
      <c r="A3908">
        <f>TRIM(BASE_EQUIPOS!N3908)</f>
        <v/>
      </c>
      <c r="B3908">
        <f>BASE_EQUIPOS!A3908</f>
        <v/>
      </c>
      <c r="C3908">
        <f>BASE_EQUIPOS!B3908</f>
        <v/>
      </c>
      <c r="D3908">
        <f>BASE_EQUIPOS!D3908</f>
        <v/>
      </c>
      <c r="E3908">
        <f>BASE_EQUIPOS!G3908</f>
        <v/>
      </c>
      <c r="F3908">
        <f>BASE_EQUIPOS!H3908</f>
        <v/>
      </c>
      <c r="G3908">
        <f>BASE_EQUIPOS!M3908</f>
        <v/>
      </c>
      <c r="I3908" t="inlineStr">
        <is>
          <t>E-044/000131</t>
        </is>
      </c>
    </row>
    <row r="3909">
      <c r="A3909">
        <f>TRIM(BASE_EQUIPOS!N3909)</f>
        <v/>
      </c>
      <c r="B3909">
        <f>BASE_EQUIPOS!A3909</f>
        <v/>
      </c>
      <c r="C3909">
        <f>BASE_EQUIPOS!B3909</f>
        <v/>
      </c>
      <c r="D3909">
        <f>BASE_EQUIPOS!D3909</f>
        <v/>
      </c>
      <c r="E3909">
        <f>BASE_EQUIPOS!G3909</f>
        <v/>
      </c>
      <c r="F3909">
        <f>BASE_EQUIPOS!H3909</f>
        <v/>
      </c>
      <c r="G3909">
        <f>BASE_EQUIPOS!M3909</f>
        <v/>
      </c>
      <c r="I3909" t="inlineStr">
        <is>
          <t>E-410/000202</t>
        </is>
      </c>
    </row>
    <row r="3910">
      <c r="A3910">
        <f>TRIM(BASE_EQUIPOS!N3910)</f>
        <v/>
      </c>
      <c r="B3910">
        <f>BASE_EQUIPOS!A3910</f>
        <v/>
      </c>
      <c r="C3910">
        <f>BASE_EQUIPOS!B3910</f>
        <v/>
      </c>
      <c r="D3910">
        <f>BASE_EQUIPOS!D3910</f>
        <v/>
      </c>
      <c r="E3910">
        <f>BASE_EQUIPOS!G3910</f>
        <v/>
      </c>
      <c r="F3910">
        <f>BASE_EQUIPOS!H3910</f>
        <v/>
      </c>
      <c r="G3910">
        <f>BASE_EQUIPOS!M3910</f>
        <v/>
      </c>
      <c r="I3910" t="inlineStr">
        <is>
          <t>E-086/00042</t>
        </is>
      </c>
    </row>
    <row r="3911">
      <c r="A3911">
        <f>TRIM(BASE_EQUIPOS!N3911)</f>
        <v/>
      </c>
      <c r="B3911">
        <f>BASE_EQUIPOS!A3911</f>
        <v/>
      </c>
      <c r="C3911">
        <f>BASE_EQUIPOS!B3911</f>
        <v/>
      </c>
      <c r="D3911">
        <f>BASE_EQUIPOS!D3911</f>
        <v/>
      </c>
      <c r="E3911">
        <f>BASE_EQUIPOS!G3911</f>
        <v/>
      </c>
      <c r="F3911">
        <f>BASE_EQUIPOS!H3911</f>
        <v/>
      </c>
      <c r="G3911">
        <f>BASE_EQUIPOS!M3911</f>
        <v/>
      </c>
      <c r="I3911" t="inlineStr">
        <is>
          <t>S/N/000904</t>
        </is>
      </c>
    </row>
    <row r="3912">
      <c r="A3912">
        <f>TRIM(BASE_EQUIPOS!N3912)</f>
        <v/>
      </c>
      <c r="B3912">
        <f>BASE_EQUIPOS!A3912</f>
        <v/>
      </c>
      <c r="C3912">
        <f>BASE_EQUIPOS!B3912</f>
        <v/>
      </c>
      <c r="D3912">
        <f>BASE_EQUIPOS!D3912</f>
        <v/>
      </c>
      <c r="E3912">
        <f>BASE_EQUIPOS!G3912</f>
        <v/>
      </c>
      <c r="F3912">
        <f>BASE_EQUIPOS!H3912</f>
        <v/>
      </c>
      <c r="G3912">
        <f>BASE_EQUIPOS!M3912</f>
        <v/>
      </c>
      <c r="I3912" t="inlineStr">
        <is>
          <t>E-088/000081</t>
        </is>
      </c>
    </row>
    <row r="3913">
      <c r="A3913">
        <f>TRIM(BASE_EQUIPOS!N3913)</f>
        <v/>
      </c>
      <c r="B3913">
        <f>BASE_EQUIPOS!A3913</f>
        <v/>
      </c>
      <c r="C3913">
        <f>BASE_EQUIPOS!B3913</f>
        <v/>
      </c>
      <c r="D3913">
        <f>BASE_EQUIPOS!D3913</f>
        <v/>
      </c>
      <c r="E3913">
        <f>BASE_EQUIPOS!G3913</f>
        <v/>
      </c>
      <c r="F3913">
        <f>BASE_EQUIPOS!H3913</f>
        <v/>
      </c>
      <c r="G3913">
        <f>BASE_EQUIPOS!M3913</f>
        <v/>
      </c>
      <c r="I3913" t="inlineStr">
        <is>
          <t>10/000073</t>
        </is>
      </c>
    </row>
    <row r="3914">
      <c r="A3914">
        <f>TRIM(BASE_EQUIPOS!N3914)</f>
        <v/>
      </c>
      <c r="B3914">
        <f>BASE_EQUIPOS!A3914</f>
        <v/>
      </c>
      <c r="C3914">
        <f>BASE_EQUIPOS!B3914</f>
        <v/>
      </c>
      <c r="D3914">
        <f>BASE_EQUIPOS!D3914</f>
        <v/>
      </c>
      <c r="E3914">
        <f>BASE_EQUIPOS!G3914</f>
        <v/>
      </c>
      <c r="F3914">
        <f>BASE_EQUIPOS!H3914</f>
        <v/>
      </c>
      <c r="G3914">
        <f>BASE_EQUIPOS!M3914</f>
        <v/>
      </c>
      <c r="I3914" t="inlineStr">
        <is>
          <t>S/N/169197</t>
        </is>
      </c>
    </row>
    <row r="3915">
      <c r="A3915">
        <f>TRIM(BASE_EQUIPOS!N3915)</f>
        <v/>
      </c>
      <c r="B3915">
        <f>BASE_EQUIPOS!A3915</f>
        <v/>
      </c>
      <c r="C3915">
        <f>BASE_EQUIPOS!B3915</f>
        <v/>
      </c>
      <c r="D3915">
        <f>BASE_EQUIPOS!D3915</f>
        <v/>
      </c>
      <c r="E3915">
        <f>BASE_EQUIPOS!G3915</f>
        <v/>
      </c>
      <c r="F3915">
        <f>BASE_EQUIPOS!H3915</f>
        <v/>
      </c>
      <c r="G3915">
        <f>BASE_EQUIPOS!M3915</f>
        <v/>
      </c>
      <c r="I3915" t="inlineStr">
        <is>
          <t>000633</t>
        </is>
      </c>
    </row>
    <row r="3916">
      <c r="A3916">
        <f>TRIM(BASE_EQUIPOS!N3916)</f>
        <v/>
      </c>
      <c r="B3916">
        <f>BASE_EQUIPOS!A3916</f>
        <v/>
      </c>
      <c r="C3916">
        <f>BASE_EQUIPOS!B3916</f>
        <v/>
      </c>
      <c r="D3916">
        <f>BASE_EQUIPOS!D3916</f>
        <v/>
      </c>
      <c r="E3916">
        <f>BASE_EQUIPOS!G3916</f>
        <v/>
      </c>
      <c r="F3916">
        <f>BASE_EQUIPOS!H3916</f>
        <v/>
      </c>
      <c r="G3916">
        <f>BASE_EQUIPOS!M3916</f>
        <v/>
      </c>
      <c r="I3916" t="inlineStr">
        <is>
          <t>000177</t>
        </is>
      </c>
    </row>
    <row r="3917">
      <c r="A3917">
        <f>TRIM(BASE_EQUIPOS!N3917)</f>
        <v/>
      </c>
      <c r="B3917">
        <f>BASE_EQUIPOS!A3917</f>
        <v/>
      </c>
      <c r="C3917">
        <f>BASE_EQUIPOS!B3917</f>
        <v/>
      </c>
      <c r="D3917">
        <f>BASE_EQUIPOS!D3917</f>
        <v/>
      </c>
      <c r="E3917">
        <f>BASE_EQUIPOS!G3917</f>
        <v/>
      </c>
      <c r="F3917">
        <f>BASE_EQUIPOS!H3917</f>
        <v/>
      </c>
      <c r="G3917">
        <f>BASE_EQUIPOS!M3917</f>
        <v/>
      </c>
      <c r="I3917" t="inlineStr">
        <is>
          <t>000867</t>
        </is>
      </c>
    </row>
    <row r="3918">
      <c r="A3918">
        <f>TRIM(BASE_EQUIPOS!N3918)</f>
        <v/>
      </c>
      <c r="B3918">
        <f>BASE_EQUIPOS!A3918</f>
        <v/>
      </c>
      <c r="C3918">
        <f>BASE_EQUIPOS!B3918</f>
        <v/>
      </c>
      <c r="D3918">
        <f>BASE_EQUIPOS!D3918</f>
        <v/>
      </c>
      <c r="E3918">
        <f>BASE_EQUIPOS!G3918</f>
        <v/>
      </c>
      <c r="F3918">
        <f>BASE_EQUIPOS!H3918</f>
        <v/>
      </c>
      <c r="G3918">
        <f>BASE_EQUIPOS!M3918</f>
        <v/>
      </c>
      <c r="I3918" t="inlineStr">
        <is>
          <t>000479</t>
        </is>
      </c>
    </row>
    <row r="3919">
      <c r="A3919">
        <f>TRIM(BASE_EQUIPOS!N3919)</f>
        <v/>
      </c>
      <c r="B3919">
        <f>BASE_EQUIPOS!A3919</f>
        <v/>
      </c>
      <c r="C3919">
        <f>BASE_EQUIPOS!B3919</f>
        <v/>
      </c>
      <c r="D3919">
        <f>BASE_EQUIPOS!D3919</f>
        <v/>
      </c>
      <c r="E3919">
        <f>BASE_EQUIPOS!G3919</f>
        <v/>
      </c>
      <c r="F3919">
        <f>BASE_EQUIPOS!H3919</f>
        <v/>
      </c>
      <c r="G3919">
        <f>BASE_EQUIPOS!M3919</f>
        <v/>
      </c>
      <c r="I3919" t="inlineStr">
        <is>
          <t>001111</t>
        </is>
      </c>
    </row>
    <row r="3920">
      <c r="A3920">
        <f>TRIM(BASE_EQUIPOS!N3920)</f>
        <v/>
      </c>
      <c r="B3920">
        <f>BASE_EQUIPOS!A3920</f>
        <v/>
      </c>
      <c r="C3920">
        <f>BASE_EQUIPOS!B3920</f>
        <v/>
      </c>
      <c r="D3920">
        <f>BASE_EQUIPOS!D3920</f>
        <v/>
      </c>
      <c r="E3920">
        <f>BASE_EQUIPOS!G3920</f>
        <v/>
      </c>
      <c r="F3920">
        <f>BASE_EQUIPOS!H3920</f>
        <v/>
      </c>
      <c r="G3920">
        <f>BASE_EQUIPOS!M3920</f>
        <v/>
      </c>
      <c r="I3920" t="inlineStr">
        <is>
          <t>000085</t>
        </is>
      </c>
    </row>
    <row r="3921">
      <c r="A3921">
        <f>TRIM(BASE_EQUIPOS!N3921)</f>
        <v/>
      </c>
      <c r="B3921">
        <f>BASE_EQUIPOS!A3921</f>
        <v/>
      </c>
      <c r="C3921">
        <f>BASE_EQUIPOS!B3921</f>
        <v/>
      </c>
      <c r="D3921">
        <f>BASE_EQUIPOS!D3921</f>
        <v/>
      </c>
      <c r="E3921">
        <f>BASE_EQUIPOS!G3921</f>
        <v/>
      </c>
      <c r="F3921">
        <f>BASE_EQUIPOS!H3921</f>
        <v/>
      </c>
      <c r="G3921">
        <f>BASE_EQUIPOS!M3921</f>
        <v/>
      </c>
      <c r="I3921" t="inlineStr">
        <is>
          <t>219207</t>
        </is>
      </c>
    </row>
    <row r="3922">
      <c r="A3922">
        <f>TRIM(BASE_EQUIPOS!N3922)</f>
        <v/>
      </c>
      <c r="B3922">
        <f>BASE_EQUIPOS!A3922</f>
        <v/>
      </c>
      <c r="C3922">
        <f>BASE_EQUIPOS!B3922</f>
        <v/>
      </c>
      <c r="D3922">
        <f>BASE_EQUIPOS!D3922</f>
        <v/>
      </c>
      <c r="E3922">
        <f>BASE_EQUIPOS!G3922</f>
        <v/>
      </c>
      <c r="F3922">
        <f>BASE_EQUIPOS!H3922</f>
        <v/>
      </c>
      <c r="G3922">
        <f>BASE_EQUIPOS!M3922</f>
        <v/>
      </c>
      <c r="I3922" t="inlineStr">
        <is>
          <t>000174</t>
        </is>
      </c>
    </row>
    <row r="3923">
      <c r="A3923">
        <f>TRIM(BASE_EQUIPOS!N3923)</f>
        <v/>
      </c>
      <c r="B3923">
        <f>BASE_EQUIPOS!A3923</f>
        <v/>
      </c>
      <c r="C3923">
        <f>BASE_EQUIPOS!B3923</f>
        <v/>
      </c>
      <c r="D3923">
        <f>BASE_EQUIPOS!D3923</f>
        <v/>
      </c>
      <c r="E3923">
        <f>BASE_EQUIPOS!G3923</f>
        <v/>
      </c>
      <c r="F3923">
        <f>BASE_EQUIPOS!H3923</f>
        <v/>
      </c>
      <c r="G3923">
        <f>BASE_EQUIPOS!M3923</f>
        <v/>
      </c>
      <c r="I3923" t="inlineStr">
        <is>
          <t>000436</t>
        </is>
      </c>
    </row>
    <row r="3924">
      <c r="A3924">
        <f>TRIM(BASE_EQUIPOS!N3924)</f>
        <v/>
      </c>
      <c r="B3924">
        <f>BASE_EQUIPOS!A3924</f>
        <v/>
      </c>
      <c r="C3924">
        <f>BASE_EQUIPOS!B3924</f>
        <v/>
      </c>
      <c r="D3924">
        <f>BASE_EQUIPOS!D3924</f>
        <v/>
      </c>
      <c r="E3924">
        <f>BASE_EQUIPOS!G3924</f>
        <v/>
      </c>
      <c r="F3924">
        <f>BASE_EQUIPOS!H3924</f>
        <v/>
      </c>
      <c r="G3924">
        <f>BASE_EQUIPOS!M3924</f>
        <v/>
      </c>
      <c r="I3924" t="inlineStr">
        <is>
          <t>000161</t>
        </is>
      </c>
    </row>
    <row r="3925">
      <c r="A3925">
        <f>TRIM(BASE_EQUIPOS!N3925)</f>
        <v/>
      </c>
      <c r="B3925">
        <f>BASE_EQUIPOS!A3925</f>
        <v/>
      </c>
      <c r="C3925">
        <f>BASE_EQUIPOS!B3925</f>
        <v/>
      </c>
      <c r="D3925">
        <f>BASE_EQUIPOS!D3925</f>
        <v/>
      </c>
      <c r="E3925">
        <f>BASE_EQUIPOS!G3925</f>
        <v/>
      </c>
      <c r="F3925">
        <f>BASE_EQUIPOS!H3925</f>
        <v/>
      </c>
      <c r="G3925">
        <f>BASE_EQUIPOS!M3925</f>
        <v/>
      </c>
      <c r="I3925" t="inlineStr">
        <is>
          <t>000430</t>
        </is>
      </c>
    </row>
    <row r="3926">
      <c r="A3926">
        <f>TRIM(BASE_EQUIPOS!N3926)</f>
        <v/>
      </c>
      <c r="B3926">
        <f>BASE_EQUIPOS!A3926</f>
        <v/>
      </c>
      <c r="C3926">
        <f>BASE_EQUIPOS!B3926</f>
        <v/>
      </c>
      <c r="D3926">
        <f>BASE_EQUIPOS!D3926</f>
        <v/>
      </c>
      <c r="E3926">
        <f>BASE_EQUIPOS!G3926</f>
        <v/>
      </c>
      <c r="F3926">
        <f>BASE_EQUIPOS!H3926</f>
        <v/>
      </c>
      <c r="G3926">
        <f>BASE_EQUIPOS!M3926</f>
        <v/>
      </c>
      <c r="I3926" t="inlineStr">
        <is>
          <t>000052</t>
        </is>
      </c>
    </row>
    <row r="3927">
      <c r="A3927">
        <f>TRIM(BASE_EQUIPOS!N3927)</f>
        <v/>
      </c>
      <c r="B3927">
        <f>BASE_EQUIPOS!A3927</f>
        <v/>
      </c>
      <c r="C3927">
        <f>BASE_EQUIPOS!B3927</f>
        <v/>
      </c>
      <c r="D3927">
        <f>BASE_EQUIPOS!D3927</f>
        <v/>
      </c>
      <c r="E3927">
        <f>BASE_EQUIPOS!G3927</f>
        <v/>
      </c>
      <c r="F3927">
        <f>BASE_EQUIPOS!H3927</f>
        <v/>
      </c>
      <c r="G3927">
        <f>BASE_EQUIPOS!M3927</f>
        <v/>
      </c>
      <c r="I3927" t="inlineStr">
        <is>
          <t>001785</t>
        </is>
      </c>
    </row>
    <row r="3928">
      <c r="A3928">
        <f>TRIM(BASE_EQUIPOS!N3928)</f>
        <v/>
      </c>
      <c r="B3928">
        <f>BASE_EQUIPOS!A3928</f>
        <v/>
      </c>
      <c r="C3928">
        <f>BASE_EQUIPOS!B3928</f>
        <v/>
      </c>
      <c r="D3928">
        <f>BASE_EQUIPOS!D3928</f>
        <v/>
      </c>
      <c r="E3928">
        <f>BASE_EQUIPOS!G3928</f>
        <v/>
      </c>
      <c r="F3928">
        <f>BASE_EQUIPOS!H3928</f>
        <v/>
      </c>
      <c r="G3928">
        <f>BASE_EQUIPOS!M3928</f>
        <v/>
      </c>
      <c r="I3928" t="inlineStr">
        <is>
          <t>000170</t>
        </is>
      </c>
    </row>
    <row r="3929">
      <c r="A3929">
        <f>TRIM(BASE_EQUIPOS!N3929)</f>
        <v/>
      </c>
      <c r="B3929">
        <f>BASE_EQUIPOS!A3929</f>
        <v/>
      </c>
      <c r="C3929">
        <f>BASE_EQUIPOS!B3929</f>
        <v/>
      </c>
      <c r="D3929">
        <f>BASE_EQUIPOS!D3929</f>
        <v/>
      </c>
      <c r="E3929">
        <f>BASE_EQUIPOS!G3929</f>
        <v/>
      </c>
      <c r="F3929">
        <f>BASE_EQUIPOS!H3929</f>
        <v/>
      </c>
      <c r="G3929">
        <f>BASE_EQUIPOS!M3929</f>
        <v/>
      </c>
      <c r="I3929" t="inlineStr">
        <is>
          <t>000275</t>
        </is>
      </c>
    </row>
    <row r="3930">
      <c r="A3930">
        <f>TRIM(BASE_EQUIPOS!N3930)</f>
        <v/>
      </c>
      <c r="B3930">
        <f>BASE_EQUIPOS!A3930</f>
        <v/>
      </c>
      <c r="C3930">
        <f>BASE_EQUIPOS!B3930</f>
        <v/>
      </c>
      <c r="D3930">
        <f>BASE_EQUIPOS!D3930</f>
        <v/>
      </c>
      <c r="E3930">
        <f>BASE_EQUIPOS!G3930</f>
        <v/>
      </c>
      <c r="F3930">
        <f>BASE_EQUIPOS!H3930</f>
        <v/>
      </c>
      <c r="G3930">
        <f>BASE_EQUIPOS!M3930</f>
        <v/>
      </c>
      <c r="I3930" t="inlineStr">
        <is>
          <t>001572</t>
        </is>
      </c>
    </row>
    <row r="3931">
      <c r="A3931">
        <f>TRIM(BASE_EQUIPOS!N3931)</f>
        <v/>
      </c>
      <c r="B3931">
        <f>BASE_EQUIPOS!A3931</f>
        <v/>
      </c>
      <c r="C3931">
        <f>BASE_EQUIPOS!B3931</f>
        <v/>
      </c>
      <c r="D3931">
        <f>BASE_EQUIPOS!D3931</f>
        <v/>
      </c>
      <c r="E3931">
        <f>BASE_EQUIPOS!G3931</f>
        <v/>
      </c>
      <c r="F3931">
        <f>BASE_EQUIPOS!H3931</f>
        <v/>
      </c>
      <c r="G3931">
        <f>BASE_EQUIPOS!M3931</f>
        <v/>
      </c>
      <c r="I3931" t="inlineStr">
        <is>
          <t>000858</t>
        </is>
      </c>
    </row>
    <row r="3932">
      <c r="A3932">
        <f>TRIM(BASE_EQUIPOS!N3932)</f>
        <v/>
      </c>
      <c r="B3932">
        <f>BASE_EQUIPOS!A3932</f>
        <v/>
      </c>
      <c r="C3932">
        <f>BASE_EQUIPOS!B3932</f>
        <v/>
      </c>
      <c r="D3932">
        <f>BASE_EQUIPOS!D3932</f>
        <v/>
      </c>
      <c r="E3932">
        <f>BASE_EQUIPOS!G3932</f>
        <v/>
      </c>
      <c r="F3932">
        <f>BASE_EQUIPOS!H3932</f>
        <v/>
      </c>
      <c r="G3932">
        <f>BASE_EQUIPOS!M3932</f>
        <v/>
      </c>
      <c r="I3932" t="inlineStr">
        <is>
          <t>000238</t>
        </is>
      </c>
    </row>
    <row r="3933">
      <c r="A3933">
        <f>TRIM(BASE_EQUIPOS!N3933)</f>
        <v/>
      </c>
      <c r="B3933">
        <f>BASE_EQUIPOS!A3933</f>
        <v/>
      </c>
      <c r="C3933">
        <f>BASE_EQUIPOS!B3933</f>
        <v/>
      </c>
      <c r="D3933">
        <f>BASE_EQUIPOS!D3933</f>
        <v/>
      </c>
      <c r="E3933">
        <f>BASE_EQUIPOS!G3933</f>
        <v/>
      </c>
      <c r="F3933">
        <f>BASE_EQUIPOS!H3933</f>
        <v/>
      </c>
      <c r="G3933">
        <f>BASE_EQUIPOS!M3933</f>
        <v/>
      </c>
      <c r="I3933" t="inlineStr">
        <is>
          <t>000166</t>
        </is>
      </c>
    </row>
    <row r="3934">
      <c r="A3934">
        <f>TRIM(BASE_EQUIPOS!N3934)</f>
        <v/>
      </c>
      <c r="B3934">
        <f>BASE_EQUIPOS!A3934</f>
        <v/>
      </c>
      <c r="C3934">
        <f>BASE_EQUIPOS!B3934</f>
        <v/>
      </c>
      <c r="D3934">
        <f>BASE_EQUIPOS!D3934</f>
        <v/>
      </c>
      <c r="E3934">
        <f>BASE_EQUIPOS!G3934</f>
        <v/>
      </c>
      <c r="F3934">
        <f>BASE_EQUIPOS!H3934</f>
        <v/>
      </c>
      <c r="G3934">
        <f>BASE_EQUIPOS!M3934</f>
        <v/>
      </c>
      <c r="I3934" t="inlineStr">
        <is>
          <t>000269</t>
        </is>
      </c>
    </row>
    <row r="3935">
      <c r="A3935">
        <f>TRIM(BASE_EQUIPOS!N3935)</f>
        <v/>
      </c>
      <c r="B3935">
        <f>BASE_EQUIPOS!A3935</f>
        <v/>
      </c>
      <c r="C3935">
        <f>BASE_EQUIPOS!B3935</f>
        <v/>
      </c>
      <c r="D3935">
        <f>BASE_EQUIPOS!D3935</f>
        <v/>
      </c>
      <c r="E3935">
        <f>BASE_EQUIPOS!G3935</f>
        <v/>
      </c>
      <c r="F3935">
        <f>BASE_EQUIPOS!H3935</f>
        <v/>
      </c>
      <c r="G3935">
        <f>BASE_EQUIPOS!M3935</f>
        <v/>
      </c>
      <c r="I3935" t="inlineStr">
        <is>
          <t>000046</t>
        </is>
      </c>
    </row>
    <row r="3936">
      <c r="A3936">
        <f>TRIM(BASE_EQUIPOS!N3936)</f>
        <v/>
      </c>
      <c r="B3936">
        <f>BASE_EQUIPOS!A3936</f>
        <v/>
      </c>
      <c r="C3936">
        <f>BASE_EQUIPOS!B3936</f>
        <v/>
      </c>
      <c r="D3936">
        <f>BASE_EQUIPOS!D3936</f>
        <v/>
      </c>
      <c r="E3936">
        <f>BASE_EQUIPOS!G3936</f>
        <v/>
      </c>
      <c r="F3936">
        <f>BASE_EQUIPOS!H3936</f>
        <v/>
      </c>
      <c r="G3936">
        <f>BASE_EQUIPOS!M3936</f>
        <v/>
      </c>
      <c r="I3936" t="inlineStr">
        <is>
          <t>001128</t>
        </is>
      </c>
    </row>
    <row r="3937">
      <c r="A3937">
        <f>TRIM(BASE_EQUIPOS!N3937)</f>
        <v/>
      </c>
      <c r="B3937">
        <f>BASE_EQUIPOS!A3937</f>
        <v/>
      </c>
      <c r="C3937">
        <f>BASE_EQUIPOS!B3937</f>
        <v/>
      </c>
      <c r="D3937">
        <f>BASE_EQUIPOS!D3937</f>
        <v/>
      </c>
      <c r="E3937">
        <f>BASE_EQUIPOS!G3937</f>
        <v/>
      </c>
      <c r="F3937">
        <f>BASE_EQUIPOS!H3937</f>
        <v/>
      </c>
      <c r="G3937">
        <f>BASE_EQUIPOS!M3937</f>
        <v/>
      </c>
      <c r="I3937" t="inlineStr">
        <is>
          <t>018847</t>
        </is>
      </c>
    </row>
    <row r="3938">
      <c r="A3938">
        <f>TRIM(BASE_EQUIPOS!N3938)</f>
        <v/>
      </c>
      <c r="B3938">
        <f>BASE_EQUIPOS!A3938</f>
        <v/>
      </c>
      <c r="C3938">
        <f>BASE_EQUIPOS!B3938</f>
        <v/>
      </c>
      <c r="D3938">
        <f>BASE_EQUIPOS!D3938</f>
        <v/>
      </c>
      <c r="E3938">
        <f>BASE_EQUIPOS!G3938</f>
        <v/>
      </c>
      <c r="F3938">
        <f>BASE_EQUIPOS!H3938</f>
        <v/>
      </c>
      <c r="G3938">
        <f>BASE_EQUIPOS!M3938</f>
        <v/>
      </c>
      <c r="I3938" t="inlineStr">
        <is>
          <t>000478</t>
        </is>
      </c>
    </row>
    <row r="3939">
      <c r="A3939">
        <f>TRIM(BASE_EQUIPOS!N3939)</f>
        <v/>
      </c>
      <c r="B3939">
        <f>BASE_EQUIPOS!A3939</f>
        <v/>
      </c>
      <c r="C3939">
        <f>BASE_EQUIPOS!B3939</f>
        <v/>
      </c>
      <c r="D3939">
        <f>BASE_EQUIPOS!D3939</f>
        <v/>
      </c>
      <c r="E3939">
        <f>BASE_EQUIPOS!G3939</f>
        <v/>
      </c>
      <c r="F3939">
        <f>BASE_EQUIPOS!H3939</f>
        <v/>
      </c>
      <c r="G3939">
        <f>BASE_EQUIPOS!M3939</f>
        <v/>
      </c>
      <c r="I3939" t="inlineStr">
        <is>
          <t>000151</t>
        </is>
      </c>
    </row>
    <row r="3940">
      <c r="A3940">
        <f>TRIM(BASE_EQUIPOS!N3940)</f>
        <v/>
      </c>
      <c r="B3940">
        <f>BASE_EQUIPOS!A3940</f>
        <v/>
      </c>
      <c r="C3940">
        <f>BASE_EQUIPOS!B3940</f>
        <v/>
      </c>
      <c r="D3940">
        <f>BASE_EQUIPOS!D3940</f>
        <v/>
      </c>
      <c r="E3940">
        <f>BASE_EQUIPOS!G3940</f>
        <v/>
      </c>
      <c r="F3940">
        <f>BASE_EQUIPOS!H3940</f>
        <v/>
      </c>
      <c r="G3940">
        <f>BASE_EQUIPOS!M3940</f>
        <v/>
      </c>
      <c r="I3940" t="inlineStr">
        <is>
          <t>000957</t>
        </is>
      </c>
    </row>
    <row r="3941">
      <c r="A3941">
        <f>TRIM(BASE_EQUIPOS!N3941)</f>
        <v/>
      </c>
      <c r="B3941">
        <f>BASE_EQUIPOS!A3941</f>
        <v/>
      </c>
      <c r="C3941">
        <f>BASE_EQUIPOS!B3941</f>
        <v/>
      </c>
      <c r="D3941">
        <f>BASE_EQUIPOS!D3941</f>
        <v/>
      </c>
      <c r="E3941">
        <f>BASE_EQUIPOS!G3941</f>
        <v/>
      </c>
      <c r="F3941">
        <f>BASE_EQUIPOS!H3941</f>
        <v/>
      </c>
      <c r="G3941">
        <f>BASE_EQUIPOS!M3941</f>
        <v/>
      </c>
      <c r="I3941" t="inlineStr">
        <is>
          <t>000854</t>
        </is>
      </c>
    </row>
    <row r="3942">
      <c r="A3942">
        <f>TRIM(BASE_EQUIPOS!N3942)</f>
        <v/>
      </c>
      <c r="B3942">
        <f>BASE_EQUIPOS!A3942</f>
        <v/>
      </c>
      <c r="C3942">
        <f>BASE_EQUIPOS!B3942</f>
        <v/>
      </c>
      <c r="D3942">
        <f>BASE_EQUIPOS!D3942</f>
        <v/>
      </c>
      <c r="E3942">
        <f>BASE_EQUIPOS!G3942</f>
        <v/>
      </c>
      <c r="F3942">
        <f>BASE_EQUIPOS!H3942</f>
        <v/>
      </c>
      <c r="G3942">
        <f>BASE_EQUIPOS!M3942</f>
        <v/>
      </c>
      <c r="I3942" t="inlineStr">
        <is>
          <t>000905</t>
        </is>
      </c>
    </row>
    <row r="3943">
      <c r="A3943">
        <f>TRIM(BASE_EQUIPOS!N3943)</f>
        <v/>
      </c>
      <c r="B3943">
        <f>BASE_EQUIPOS!A3943</f>
        <v/>
      </c>
      <c r="C3943">
        <f>BASE_EQUIPOS!B3943</f>
        <v/>
      </c>
      <c r="D3943">
        <f>BASE_EQUIPOS!D3943</f>
        <v/>
      </c>
      <c r="E3943">
        <f>BASE_EQUIPOS!G3943</f>
        <v/>
      </c>
      <c r="F3943">
        <f>BASE_EQUIPOS!H3943</f>
        <v/>
      </c>
      <c r="G3943">
        <f>BASE_EQUIPOS!M3943</f>
        <v/>
      </c>
      <c r="I3943" t="inlineStr">
        <is>
          <t>000488</t>
        </is>
      </c>
    </row>
    <row r="3944">
      <c r="A3944">
        <f>TRIM(BASE_EQUIPOS!N3944)</f>
        <v/>
      </c>
      <c r="B3944">
        <f>BASE_EQUIPOS!A3944</f>
        <v/>
      </c>
      <c r="C3944">
        <f>BASE_EQUIPOS!B3944</f>
        <v/>
      </c>
      <c r="D3944">
        <f>BASE_EQUIPOS!D3944</f>
        <v/>
      </c>
      <c r="E3944">
        <f>BASE_EQUIPOS!G3944</f>
        <v/>
      </c>
      <c r="F3944">
        <f>BASE_EQUIPOS!H3944</f>
        <v/>
      </c>
      <c r="G3944">
        <f>BASE_EQUIPOS!M3944</f>
        <v/>
      </c>
      <c r="I3944" t="inlineStr">
        <is>
          <t>147793</t>
        </is>
      </c>
    </row>
    <row r="3945">
      <c r="A3945">
        <f>TRIM(BASE_EQUIPOS!N3945)</f>
        <v/>
      </c>
      <c r="B3945">
        <f>BASE_EQUIPOS!A3945</f>
        <v/>
      </c>
      <c r="C3945">
        <f>BASE_EQUIPOS!B3945</f>
        <v/>
      </c>
      <c r="D3945">
        <f>BASE_EQUIPOS!D3945</f>
        <v/>
      </c>
      <c r="E3945">
        <f>BASE_EQUIPOS!G3945</f>
        <v/>
      </c>
      <c r="F3945">
        <f>BASE_EQUIPOS!H3945</f>
        <v/>
      </c>
      <c r="G3945">
        <f>BASE_EQUIPOS!M3945</f>
        <v/>
      </c>
      <c r="I3945" t="inlineStr">
        <is>
          <t>001051</t>
        </is>
      </c>
    </row>
    <row r="3946">
      <c r="A3946">
        <f>TRIM(BASE_EQUIPOS!N3946)</f>
        <v/>
      </c>
      <c r="B3946">
        <f>BASE_EQUIPOS!A3946</f>
        <v/>
      </c>
      <c r="C3946">
        <f>BASE_EQUIPOS!B3946</f>
        <v/>
      </c>
      <c r="D3946">
        <f>BASE_EQUIPOS!D3946</f>
        <v/>
      </c>
      <c r="E3946">
        <f>BASE_EQUIPOS!G3946</f>
        <v/>
      </c>
      <c r="F3946">
        <f>BASE_EQUIPOS!H3946</f>
        <v/>
      </c>
      <c r="G3946">
        <f>BASE_EQUIPOS!M3946</f>
        <v/>
      </c>
      <c r="I3946" t="inlineStr">
        <is>
          <t>28/I41000066</t>
        </is>
      </c>
    </row>
    <row r="3947">
      <c r="A3947">
        <f>TRIM(BASE_EQUIPOS!N3947)</f>
        <v/>
      </c>
      <c r="B3947">
        <f>BASE_EQUIPOS!A3947</f>
        <v/>
      </c>
      <c r="C3947">
        <f>BASE_EQUIPOS!B3947</f>
        <v/>
      </c>
      <c r="D3947">
        <f>BASE_EQUIPOS!D3947</f>
        <v/>
      </c>
      <c r="E3947">
        <f>BASE_EQUIPOS!G3947</f>
        <v/>
      </c>
      <c r="F3947">
        <f>BASE_EQUIPOS!H3947</f>
        <v/>
      </c>
      <c r="G3947">
        <f>BASE_EQUIPOS!M3947</f>
        <v/>
      </c>
      <c r="I3947" t="inlineStr">
        <is>
          <t>31/000129</t>
        </is>
      </c>
    </row>
    <row r="3948">
      <c r="A3948">
        <f>TRIM(BASE_EQUIPOS!N3948)</f>
        <v/>
      </c>
      <c r="B3948">
        <f>BASE_EQUIPOS!A3948</f>
        <v/>
      </c>
      <c r="C3948">
        <f>BASE_EQUIPOS!B3948</f>
        <v/>
      </c>
      <c r="D3948">
        <f>BASE_EQUIPOS!D3948</f>
        <v/>
      </c>
      <c r="E3948">
        <f>BASE_EQUIPOS!G3948</f>
        <v/>
      </c>
      <c r="F3948">
        <f>BASE_EQUIPOS!H3948</f>
        <v/>
      </c>
      <c r="G3948">
        <f>BASE_EQUIPOS!M3948</f>
        <v/>
      </c>
      <c r="I3948" t="inlineStr">
        <is>
          <t>000491</t>
        </is>
      </c>
    </row>
    <row r="3949">
      <c r="A3949">
        <f>TRIM(BASE_EQUIPOS!N3949)</f>
        <v/>
      </c>
      <c r="B3949">
        <f>BASE_EQUIPOS!A3949</f>
        <v/>
      </c>
      <c r="C3949">
        <f>BASE_EQUIPOS!B3949</f>
        <v/>
      </c>
      <c r="D3949">
        <f>BASE_EQUIPOS!D3949</f>
        <v/>
      </c>
      <c r="E3949">
        <f>BASE_EQUIPOS!G3949</f>
        <v/>
      </c>
      <c r="F3949">
        <f>BASE_EQUIPOS!H3949</f>
        <v/>
      </c>
      <c r="G3949">
        <f>BASE_EQUIPOS!M3949</f>
        <v/>
      </c>
      <c r="I3949" t="inlineStr">
        <is>
          <t>023720</t>
        </is>
      </c>
    </row>
    <row r="3950">
      <c r="A3950">
        <f>TRIM(BASE_EQUIPOS!N3950)</f>
        <v/>
      </c>
      <c r="B3950">
        <f>BASE_EQUIPOS!A3950</f>
        <v/>
      </c>
      <c r="C3950">
        <f>BASE_EQUIPOS!B3950</f>
        <v/>
      </c>
      <c r="D3950">
        <f>BASE_EQUIPOS!D3950</f>
        <v/>
      </c>
      <c r="E3950">
        <f>BASE_EQUIPOS!G3950</f>
        <v/>
      </c>
      <c r="F3950">
        <f>BASE_EQUIPOS!H3950</f>
        <v/>
      </c>
      <c r="G3950">
        <f>BASE_EQUIPOS!M3950</f>
        <v/>
      </c>
      <c r="I3950" t="inlineStr">
        <is>
          <t>000696</t>
        </is>
      </c>
    </row>
    <row r="3951">
      <c r="A3951">
        <f>TRIM(BASE_EQUIPOS!N3951)</f>
        <v/>
      </c>
      <c r="B3951">
        <f>BASE_EQUIPOS!A3951</f>
        <v/>
      </c>
      <c r="C3951">
        <f>BASE_EQUIPOS!B3951</f>
        <v/>
      </c>
      <c r="D3951">
        <f>BASE_EQUIPOS!D3951</f>
        <v/>
      </c>
      <c r="E3951">
        <f>BASE_EQUIPOS!G3951</f>
        <v/>
      </c>
      <c r="F3951">
        <f>BASE_EQUIPOS!H3951</f>
        <v/>
      </c>
      <c r="G3951">
        <f>BASE_EQUIPOS!M3951</f>
        <v/>
      </c>
      <c r="I3951" t="inlineStr">
        <is>
          <t>002810</t>
        </is>
      </c>
    </row>
    <row r="3952">
      <c r="A3952">
        <f>TRIM(BASE_EQUIPOS!N3952)</f>
        <v/>
      </c>
      <c r="B3952">
        <f>BASE_EQUIPOS!A3952</f>
        <v/>
      </c>
      <c r="C3952">
        <f>BASE_EQUIPOS!B3952</f>
        <v/>
      </c>
      <c r="D3952">
        <f>BASE_EQUIPOS!D3952</f>
        <v/>
      </c>
      <c r="E3952">
        <f>BASE_EQUIPOS!G3952</f>
        <v/>
      </c>
      <c r="F3952">
        <f>BASE_EQUIPOS!H3952</f>
        <v/>
      </c>
      <c r="G3952">
        <f>BASE_EQUIPOS!M3952</f>
        <v/>
      </c>
      <c r="I3952" t="inlineStr">
        <is>
          <t>002601</t>
        </is>
      </c>
    </row>
    <row r="3953">
      <c r="A3953">
        <f>TRIM(BASE_EQUIPOS!N3953)</f>
        <v/>
      </c>
      <c r="B3953">
        <f>BASE_EQUIPOS!A3953</f>
        <v/>
      </c>
      <c r="C3953">
        <f>BASE_EQUIPOS!B3953</f>
        <v/>
      </c>
      <c r="D3953">
        <f>BASE_EQUIPOS!D3953</f>
        <v/>
      </c>
      <c r="E3953">
        <f>BASE_EQUIPOS!G3953</f>
        <v/>
      </c>
      <c r="F3953">
        <f>BASE_EQUIPOS!H3953</f>
        <v/>
      </c>
      <c r="G3953">
        <f>BASE_EQUIPOS!M3953</f>
        <v/>
      </c>
      <c r="I3953" t="inlineStr">
        <is>
          <t>002423</t>
        </is>
      </c>
    </row>
    <row r="3954">
      <c r="A3954">
        <f>TRIM(BASE_EQUIPOS!N3954)</f>
        <v/>
      </c>
      <c r="B3954">
        <f>BASE_EQUIPOS!A3954</f>
        <v/>
      </c>
      <c r="C3954">
        <f>BASE_EQUIPOS!B3954</f>
        <v/>
      </c>
      <c r="D3954">
        <f>BASE_EQUIPOS!D3954</f>
        <v/>
      </c>
      <c r="E3954">
        <f>BASE_EQUIPOS!G3954</f>
        <v/>
      </c>
      <c r="F3954">
        <f>BASE_EQUIPOS!H3954</f>
        <v/>
      </c>
      <c r="G3954">
        <f>BASE_EQUIPOS!M3954</f>
        <v/>
      </c>
      <c r="I3954" t="inlineStr">
        <is>
          <t>001021</t>
        </is>
      </c>
    </row>
    <row r="3955">
      <c r="A3955">
        <f>TRIM(BASE_EQUIPOS!N3955)</f>
        <v/>
      </c>
      <c r="B3955">
        <f>BASE_EQUIPOS!A3955</f>
        <v/>
      </c>
      <c r="C3955">
        <f>BASE_EQUIPOS!B3955</f>
        <v/>
      </c>
      <c r="D3955">
        <f>BASE_EQUIPOS!D3955</f>
        <v/>
      </c>
      <c r="E3955">
        <f>BASE_EQUIPOS!G3955</f>
        <v/>
      </c>
      <c r="F3955">
        <f>BASE_EQUIPOS!H3955</f>
        <v/>
      </c>
      <c r="G3955">
        <f>BASE_EQUIPOS!M3955</f>
        <v/>
      </c>
      <c r="I3955" t="inlineStr">
        <is>
          <t>068901</t>
        </is>
      </c>
    </row>
    <row r="3956">
      <c r="A3956">
        <f>TRIM(BASE_EQUIPOS!N3956)</f>
        <v/>
      </c>
      <c r="B3956">
        <f>BASE_EQUIPOS!A3956</f>
        <v/>
      </c>
      <c r="C3956">
        <f>BASE_EQUIPOS!B3956</f>
        <v/>
      </c>
      <c r="D3956">
        <f>BASE_EQUIPOS!D3956</f>
        <v/>
      </c>
      <c r="E3956">
        <f>BASE_EQUIPOS!G3956</f>
        <v/>
      </c>
      <c r="F3956">
        <f>BASE_EQUIPOS!H3956</f>
        <v/>
      </c>
      <c r="G3956">
        <f>BASE_EQUIPOS!M3956</f>
        <v/>
      </c>
      <c r="I3956" t="inlineStr">
        <is>
          <t>000193</t>
        </is>
      </c>
    </row>
    <row r="3957">
      <c r="A3957">
        <f>TRIM(BASE_EQUIPOS!N3957)</f>
        <v/>
      </c>
      <c r="B3957">
        <f>BASE_EQUIPOS!A3957</f>
        <v/>
      </c>
      <c r="C3957">
        <f>BASE_EQUIPOS!B3957</f>
        <v/>
      </c>
      <c r="D3957">
        <f>BASE_EQUIPOS!D3957</f>
        <v/>
      </c>
      <c r="E3957">
        <f>BASE_EQUIPOS!G3957</f>
        <v/>
      </c>
      <c r="F3957">
        <f>BASE_EQUIPOS!H3957</f>
        <v/>
      </c>
      <c r="G3957">
        <f>BASE_EQUIPOS!M3957</f>
        <v/>
      </c>
      <c r="I3957" t="inlineStr">
        <is>
          <t>000165</t>
        </is>
      </c>
    </row>
    <row r="3958">
      <c r="A3958">
        <f>TRIM(BASE_EQUIPOS!N3958)</f>
        <v/>
      </c>
      <c r="B3958">
        <f>BASE_EQUIPOS!A3958</f>
        <v/>
      </c>
      <c r="C3958">
        <f>BASE_EQUIPOS!B3958</f>
        <v/>
      </c>
      <c r="D3958">
        <f>BASE_EQUIPOS!D3958</f>
        <v/>
      </c>
      <c r="E3958">
        <f>BASE_EQUIPOS!G3958</f>
        <v/>
      </c>
      <c r="F3958">
        <f>BASE_EQUIPOS!H3958</f>
        <v/>
      </c>
      <c r="G3958">
        <f>BASE_EQUIPOS!M3958</f>
        <v/>
      </c>
      <c r="I3958" t="inlineStr">
        <is>
          <t>000477</t>
        </is>
      </c>
    </row>
    <row r="3959">
      <c r="A3959">
        <f>TRIM(BASE_EQUIPOS!N3959)</f>
        <v/>
      </c>
      <c r="B3959">
        <f>BASE_EQUIPOS!A3959</f>
        <v/>
      </c>
      <c r="C3959">
        <f>BASE_EQUIPOS!B3959</f>
        <v/>
      </c>
      <c r="D3959">
        <f>BASE_EQUIPOS!D3959</f>
        <v/>
      </c>
      <c r="E3959">
        <f>BASE_EQUIPOS!G3959</f>
        <v/>
      </c>
      <c r="F3959">
        <f>BASE_EQUIPOS!H3959</f>
        <v/>
      </c>
      <c r="G3959">
        <f>BASE_EQUIPOS!M3959</f>
        <v/>
      </c>
      <c r="I3959" t="inlineStr">
        <is>
          <t>04/422674</t>
        </is>
      </c>
    </row>
    <row r="3960">
      <c r="A3960">
        <f>TRIM(BASE_EQUIPOS!N3960)</f>
        <v/>
      </c>
      <c r="B3960">
        <f>BASE_EQUIPOS!A3960</f>
        <v/>
      </c>
      <c r="C3960">
        <f>BASE_EQUIPOS!B3960</f>
        <v/>
      </c>
      <c r="D3960">
        <f>BASE_EQUIPOS!D3960</f>
        <v/>
      </c>
      <c r="E3960">
        <f>BASE_EQUIPOS!G3960</f>
        <v/>
      </c>
      <c r="F3960">
        <f>BASE_EQUIPOS!H3960</f>
        <v/>
      </c>
      <c r="G3960">
        <f>BASE_EQUIPOS!M3960</f>
        <v/>
      </c>
      <c r="I3960" t="inlineStr">
        <is>
          <t>01/001570</t>
        </is>
      </c>
    </row>
    <row r="3961">
      <c r="A3961">
        <f>TRIM(BASE_EQUIPOS!N3961)</f>
        <v/>
      </c>
      <c r="B3961">
        <f>BASE_EQUIPOS!A3961</f>
        <v/>
      </c>
      <c r="C3961">
        <f>BASE_EQUIPOS!B3961</f>
        <v/>
      </c>
      <c r="D3961">
        <f>BASE_EQUIPOS!D3961</f>
        <v/>
      </c>
      <c r="E3961">
        <f>BASE_EQUIPOS!G3961</f>
        <v/>
      </c>
      <c r="F3961">
        <f>BASE_EQUIPOS!H3961</f>
        <v/>
      </c>
      <c r="G3961">
        <f>BASE_EQUIPOS!M3961</f>
        <v/>
      </c>
      <c r="I3961" t="inlineStr">
        <is>
          <t>00093</t>
        </is>
      </c>
    </row>
    <row r="3962">
      <c r="A3962">
        <f>TRIM(BASE_EQUIPOS!N3962)</f>
        <v/>
      </c>
      <c r="B3962">
        <f>BASE_EQUIPOS!A3962</f>
        <v/>
      </c>
      <c r="C3962">
        <f>BASE_EQUIPOS!B3962</f>
        <v/>
      </c>
      <c r="D3962">
        <f>BASE_EQUIPOS!D3962</f>
        <v/>
      </c>
      <c r="E3962">
        <f>BASE_EQUIPOS!G3962</f>
        <v/>
      </c>
      <c r="F3962">
        <f>BASE_EQUIPOS!H3962</f>
        <v/>
      </c>
      <c r="G3962">
        <f>BASE_EQUIPOS!M3962</f>
        <v/>
      </c>
      <c r="I3962" t="inlineStr">
        <is>
          <t>15/001151</t>
        </is>
      </c>
    </row>
    <row r="3963">
      <c r="A3963">
        <f>TRIM(BASE_EQUIPOS!N3963)</f>
        <v/>
      </c>
      <c r="B3963">
        <f>BASE_EQUIPOS!A3963</f>
        <v/>
      </c>
      <c r="C3963">
        <f>BASE_EQUIPOS!B3963</f>
        <v/>
      </c>
      <c r="D3963">
        <f>BASE_EQUIPOS!D3963</f>
        <v/>
      </c>
      <c r="E3963">
        <f>BASE_EQUIPOS!G3963</f>
        <v/>
      </c>
      <c r="F3963">
        <f>BASE_EQUIPOS!H3963</f>
        <v/>
      </c>
      <c r="G3963">
        <f>BASE_EQUIPOS!M3963</f>
        <v/>
      </c>
      <c r="I3963" t="inlineStr">
        <is>
          <t>270/000254</t>
        </is>
      </c>
    </row>
    <row r="3964">
      <c r="A3964">
        <f>TRIM(BASE_EQUIPOS!N3964)</f>
        <v/>
      </c>
      <c r="B3964">
        <f>BASE_EQUIPOS!A3964</f>
        <v/>
      </c>
      <c r="C3964">
        <f>BASE_EQUIPOS!B3964</f>
        <v/>
      </c>
      <c r="D3964">
        <f>BASE_EQUIPOS!D3964</f>
        <v/>
      </c>
      <c r="E3964">
        <f>BASE_EQUIPOS!G3964</f>
        <v/>
      </c>
      <c r="F3964">
        <f>BASE_EQUIPOS!H3964</f>
        <v/>
      </c>
      <c r="G3964">
        <f>BASE_EQUIPOS!M3964</f>
        <v/>
      </c>
      <c r="I3964" t="inlineStr">
        <is>
          <t>205/000291</t>
        </is>
      </c>
    </row>
    <row r="3965">
      <c r="A3965">
        <f>TRIM(BASE_EQUIPOS!N3965)</f>
        <v/>
      </c>
      <c r="B3965">
        <f>BASE_EQUIPOS!A3965</f>
        <v/>
      </c>
      <c r="C3965">
        <f>BASE_EQUIPOS!B3965</f>
        <v/>
      </c>
      <c r="D3965">
        <f>BASE_EQUIPOS!D3965</f>
        <v/>
      </c>
      <c r="E3965">
        <f>BASE_EQUIPOS!G3965</f>
        <v/>
      </c>
      <c r="F3965">
        <f>BASE_EQUIPOS!H3965</f>
        <v/>
      </c>
      <c r="G3965">
        <f>BASE_EQUIPOS!M3965</f>
        <v/>
      </c>
      <c r="I3965" t="inlineStr">
        <is>
          <t>281/002165</t>
        </is>
      </c>
    </row>
    <row r="3966">
      <c r="A3966">
        <f>TRIM(BASE_EQUIPOS!N3966)</f>
        <v/>
      </c>
      <c r="B3966">
        <f>BASE_EQUIPOS!A3966</f>
        <v/>
      </c>
      <c r="C3966">
        <f>BASE_EQUIPOS!B3966</f>
        <v/>
      </c>
      <c r="D3966">
        <f>BASE_EQUIPOS!D3966</f>
        <v/>
      </c>
      <c r="E3966">
        <f>BASE_EQUIPOS!G3966</f>
        <v/>
      </c>
      <c r="F3966">
        <f>BASE_EQUIPOS!H3966</f>
        <v/>
      </c>
      <c r="G3966">
        <f>BASE_EQUIPOS!M3966</f>
        <v/>
      </c>
      <c r="I3966" t="inlineStr">
        <is>
          <t>163736</t>
        </is>
      </c>
    </row>
    <row r="3967">
      <c r="A3967">
        <f>TRIM(BASE_EQUIPOS!N3967)</f>
        <v/>
      </c>
      <c r="B3967">
        <f>BASE_EQUIPOS!A3967</f>
        <v/>
      </c>
      <c r="C3967">
        <f>BASE_EQUIPOS!B3967</f>
        <v/>
      </c>
      <c r="D3967">
        <f>BASE_EQUIPOS!D3967</f>
        <v/>
      </c>
      <c r="E3967">
        <f>BASE_EQUIPOS!G3967</f>
        <v/>
      </c>
      <c r="F3967">
        <f>BASE_EQUIPOS!H3967</f>
        <v/>
      </c>
      <c r="G3967">
        <f>BASE_EQUIPOS!M3967</f>
        <v/>
      </c>
      <c r="I3967" t="inlineStr">
        <is>
          <t>E-303/Y-615312</t>
        </is>
      </c>
    </row>
    <row r="3968">
      <c r="A3968">
        <f>TRIM(BASE_EQUIPOS!N3968)</f>
        <v/>
      </c>
      <c r="B3968">
        <f>BASE_EQUIPOS!A3968</f>
        <v/>
      </c>
      <c r="C3968">
        <f>BASE_EQUIPOS!B3968</f>
        <v/>
      </c>
      <c r="D3968">
        <f>BASE_EQUIPOS!D3968</f>
        <v/>
      </c>
      <c r="E3968">
        <f>BASE_EQUIPOS!G3968</f>
        <v/>
      </c>
      <c r="F3968">
        <f>BASE_EQUIPOS!H3968</f>
        <v/>
      </c>
      <c r="G3968">
        <f>BASE_EQUIPOS!M3968</f>
        <v/>
      </c>
      <c r="I3968" t="inlineStr">
        <is>
          <t>E-078/I-42250744</t>
        </is>
      </c>
    </row>
    <row r="3969">
      <c r="A3969">
        <f>TRIM(BASE_EQUIPOS!N3969)</f>
        <v/>
      </c>
      <c r="B3969">
        <f>BASE_EQUIPOS!A3969</f>
        <v/>
      </c>
      <c r="C3969">
        <f>BASE_EQUIPOS!B3969</f>
        <v/>
      </c>
      <c r="D3969">
        <f>BASE_EQUIPOS!D3969</f>
        <v/>
      </c>
      <c r="E3969">
        <f>BASE_EQUIPOS!G3969</f>
        <v/>
      </c>
      <c r="F3969">
        <f>BASE_EQUIPOS!H3969</f>
        <v/>
      </c>
      <c r="G3969">
        <f>BASE_EQUIPOS!M3969</f>
        <v/>
      </c>
      <c r="I3969" t="inlineStr">
        <is>
          <t>E-111/W-379030</t>
        </is>
      </c>
    </row>
    <row r="3970">
      <c r="A3970">
        <f>TRIM(BASE_EQUIPOS!N3970)</f>
        <v/>
      </c>
      <c r="B3970">
        <f>BASE_EQUIPOS!A3970</f>
        <v/>
      </c>
      <c r="C3970">
        <f>BASE_EQUIPOS!B3970</f>
        <v/>
      </c>
      <c r="D3970">
        <f>BASE_EQUIPOS!D3970</f>
        <v/>
      </c>
      <c r="E3970">
        <f>BASE_EQUIPOS!G3970</f>
        <v/>
      </c>
      <c r="F3970">
        <f>BASE_EQUIPOS!H3970</f>
        <v/>
      </c>
      <c r="G3970">
        <f>BASE_EQUIPOS!M3970</f>
        <v/>
      </c>
      <c r="I3970" t="inlineStr">
        <is>
          <t>008779</t>
        </is>
      </c>
    </row>
    <row r="3971">
      <c r="A3971">
        <f>TRIM(BASE_EQUIPOS!N3971)</f>
        <v/>
      </c>
      <c r="B3971">
        <f>BASE_EQUIPOS!A3971</f>
        <v/>
      </c>
      <c r="C3971">
        <f>BASE_EQUIPOS!B3971</f>
        <v/>
      </c>
      <c r="D3971">
        <f>BASE_EQUIPOS!D3971</f>
        <v/>
      </c>
      <c r="E3971">
        <f>BASE_EQUIPOS!G3971</f>
        <v/>
      </c>
      <c r="F3971">
        <f>BASE_EQUIPOS!H3971</f>
        <v/>
      </c>
      <c r="G3971">
        <f>BASE_EQUIPOS!M3971</f>
        <v/>
      </c>
      <c r="I3971" t="inlineStr">
        <is>
          <t>000605</t>
        </is>
      </c>
    </row>
    <row r="3972">
      <c r="A3972">
        <f>TRIM(BASE_EQUIPOS!N3972)</f>
        <v/>
      </c>
      <c r="B3972">
        <f>BASE_EQUIPOS!A3972</f>
        <v/>
      </c>
      <c r="C3972">
        <f>BASE_EQUIPOS!B3972</f>
        <v/>
      </c>
      <c r="D3972">
        <f>BASE_EQUIPOS!D3972</f>
        <v/>
      </c>
      <c r="E3972">
        <f>BASE_EQUIPOS!G3972</f>
        <v/>
      </c>
      <c r="F3972">
        <f>BASE_EQUIPOS!H3972</f>
        <v/>
      </c>
      <c r="G3972">
        <f>BASE_EQUIPOS!M3972</f>
        <v/>
      </c>
      <c r="I3972" t="inlineStr">
        <is>
          <t>000615</t>
        </is>
      </c>
    </row>
    <row r="3973">
      <c r="A3973">
        <f>TRIM(BASE_EQUIPOS!N3973)</f>
        <v/>
      </c>
      <c r="B3973">
        <f>BASE_EQUIPOS!A3973</f>
        <v/>
      </c>
      <c r="C3973">
        <f>BASE_EQUIPOS!B3973</f>
        <v/>
      </c>
      <c r="D3973">
        <f>BASE_EQUIPOS!D3973</f>
        <v/>
      </c>
      <c r="E3973">
        <f>BASE_EQUIPOS!G3973</f>
        <v/>
      </c>
      <c r="F3973">
        <f>BASE_EQUIPOS!H3973</f>
        <v/>
      </c>
      <c r="G3973">
        <f>BASE_EQUIPOS!M3973</f>
        <v/>
      </c>
      <c r="I3973" t="inlineStr">
        <is>
          <t>001046</t>
        </is>
      </c>
    </row>
    <row r="3974">
      <c r="A3974">
        <f>TRIM(BASE_EQUIPOS!N3974)</f>
        <v/>
      </c>
      <c r="B3974">
        <f>BASE_EQUIPOS!A3974</f>
        <v/>
      </c>
      <c r="C3974">
        <f>BASE_EQUIPOS!B3974</f>
        <v/>
      </c>
      <c r="D3974">
        <f>BASE_EQUIPOS!D3974</f>
        <v/>
      </c>
      <c r="E3974">
        <f>BASE_EQUIPOS!G3974</f>
        <v/>
      </c>
      <c r="F3974">
        <f>BASE_EQUIPOS!H3974</f>
        <v/>
      </c>
      <c r="G3974">
        <f>BASE_EQUIPOS!M3974</f>
        <v/>
      </c>
      <c r="I3974" t="inlineStr">
        <is>
          <t>000292</t>
        </is>
      </c>
    </row>
    <row r="3975">
      <c r="A3975">
        <f>TRIM(BASE_EQUIPOS!N3975)</f>
        <v/>
      </c>
      <c r="B3975">
        <f>BASE_EQUIPOS!A3975</f>
        <v/>
      </c>
      <c r="C3975">
        <f>BASE_EQUIPOS!B3975</f>
        <v/>
      </c>
      <c r="D3975">
        <f>BASE_EQUIPOS!D3975</f>
        <v/>
      </c>
      <c r="E3975">
        <f>BASE_EQUIPOS!G3975</f>
        <v/>
      </c>
      <c r="F3975">
        <f>BASE_EQUIPOS!H3975</f>
        <v/>
      </c>
      <c r="G3975">
        <f>BASE_EQUIPOS!M3975</f>
        <v/>
      </c>
      <c r="I3975" t="inlineStr">
        <is>
          <t>003918</t>
        </is>
      </c>
    </row>
    <row r="3976">
      <c r="A3976">
        <f>TRIM(BASE_EQUIPOS!N3976)</f>
        <v/>
      </c>
      <c r="B3976">
        <f>BASE_EQUIPOS!A3976</f>
        <v/>
      </c>
      <c r="C3976">
        <f>BASE_EQUIPOS!B3976</f>
        <v/>
      </c>
      <c r="D3976">
        <f>BASE_EQUIPOS!D3976</f>
        <v/>
      </c>
      <c r="E3976">
        <f>BASE_EQUIPOS!G3976</f>
        <v/>
      </c>
      <c r="F3976">
        <f>BASE_EQUIPOS!H3976</f>
        <v/>
      </c>
      <c r="G3976">
        <f>BASE_EQUIPOS!M3976</f>
        <v/>
      </c>
      <c r="I3976" t="inlineStr">
        <is>
          <t>000423</t>
        </is>
      </c>
    </row>
    <row r="3977">
      <c r="A3977">
        <f>TRIM(BASE_EQUIPOS!N3977)</f>
        <v/>
      </c>
      <c r="B3977">
        <f>BASE_EQUIPOS!A3977</f>
        <v/>
      </c>
      <c r="C3977">
        <f>BASE_EQUIPOS!B3977</f>
        <v/>
      </c>
      <c r="D3977">
        <f>BASE_EQUIPOS!D3977</f>
        <v/>
      </c>
      <c r="E3977">
        <f>BASE_EQUIPOS!G3977</f>
        <v/>
      </c>
      <c r="F3977">
        <f>BASE_EQUIPOS!H3977</f>
        <v/>
      </c>
      <c r="G3977">
        <f>BASE_EQUIPOS!M3977</f>
        <v/>
      </c>
      <c r="I3977" t="inlineStr">
        <is>
          <t>000317</t>
        </is>
      </c>
    </row>
    <row r="3978">
      <c r="A3978">
        <f>TRIM(BASE_EQUIPOS!N3978)</f>
        <v/>
      </c>
      <c r="B3978">
        <f>BASE_EQUIPOS!A3978</f>
        <v/>
      </c>
      <c r="C3978">
        <f>BASE_EQUIPOS!B3978</f>
        <v/>
      </c>
      <c r="D3978">
        <f>BASE_EQUIPOS!D3978</f>
        <v/>
      </c>
      <c r="E3978">
        <f>BASE_EQUIPOS!G3978</f>
        <v/>
      </c>
      <c r="F3978">
        <f>BASE_EQUIPOS!H3978</f>
        <v/>
      </c>
      <c r="G3978">
        <f>BASE_EQUIPOS!M3978</f>
        <v/>
      </c>
      <c r="I3978" t="inlineStr">
        <is>
          <t>016822</t>
        </is>
      </c>
    </row>
    <row r="3979">
      <c r="A3979">
        <f>TRIM(BASE_EQUIPOS!N3979)</f>
        <v/>
      </c>
      <c r="B3979">
        <f>BASE_EQUIPOS!A3979</f>
        <v/>
      </c>
      <c r="C3979">
        <f>BASE_EQUIPOS!B3979</f>
        <v/>
      </c>
      <c r="D3979">
        <f>BASE_EQUIPOS!D3979</f>
        <v/>
      </c>
      <c r="E3979">
        <f>BASE_EQUIPOS!G3979</f>
        <v/>
      </c>
      <c r="F3979">
        <f>BASE_EQUIPOS!H3979</f>
        <v/>
      </c>
      <c r="G3979">
        <f>BASE_EQUIPOS!M3979</f>
        <v/>
      </c>
      <c r="I3979" t="inlineStr">
        <is>
          <t>001859</t>
        </is>
      </c>
    </row>
    <row r="3980">
      <c r="A3980">
        <f>TRIM(BASE_EQUIPOS!N3980)</f>
        <v/>
      </c>
      <c r="B3980">
        <f>BASE_EQUIPOS!A3980</f>
        <v/>
      </c>
      <c r="C3980">
        <f>BASE_EQUIPOS!B3980</f>
        <v/>
      </c>
      <c r="D3980">
        <f>BASE_EQUIPOS!D3980</f>
        <v/>
      </c>
      <c r="E3980">
        <f>BASE_EQUIPOS!G3980</f>
        <v/>
      </c>
      <c r="F3980">
        <f>BASE_EQUIPOS!H3980</f>
        <v/>
      </c>
      <c r="G3980">
        <f>BASE_EQUIPOS!M3980</f>
        <v/>
      </c>
      <c r="I3980" t="inlineStr">
        <is>
          <t>016260</t>
        </is>
      </c>
    </row>
    <row r="3981">
      <c r="A3981">
        <f>TRIM(BASE_EQUIPOS!N3981)</f>
        <v/>
      </c>
      <c r="B3981">
        <f>BASE_EQUIPOS!A3981</f>
        <v/>
      </c>
      <c r="C3981">
        <f>BASE_EQUIPOS!B3981</f>
        <v/>
      </c>
      <c r="D3981">
        <f>BASE_EQUIPOS!D3981</f>
        <v/>
      </c>
      <c r="E3981">
        <f>BASE_EQUIPOS!G3981</f>
        <v/>
      </c>
      <c r="F3981">
        <f>BASE_EQUIPOS!H3981</f>
        <v/>
      </c>
      <c r="G3981">
        <f>BASE_EQUIPOS!M3981</f>
        <v/>
      </c>
      <c r="I3981" t="inlineStr">
        <is>
          <t>162601</t>
        </is>
      </c>
    </row>
    <row r="3982">
      <c r="A3982">
        <f>TRIM(BASE_EQUIPOS!N3982)</f>
        <v/>
      </c>
      <c r="B3982">
        <f>BASE_EQUIPOS!A3982</f>
        <v/>
      </c>
      <c r="C3982">
        <f>BASE_EQUIPOS!B3982</f>
        <v/>
      </c>
      <c r="D3982">
        <f>BASE_EQUIPOS!D3982</f>
        <v/>
      </c>
      <c r="E3982">
        <f>BASE_EQUIPOS!G3982</f>
        <v/>
      </c>
      <c r="F3982">
        <f>BASE_EQUIPOS!H3982</f>
        <v/>
      </c>
      <c r="G3982">
        <f>BASE_EQUIPOS!M3982</f>
        <v/>
      </c>
      <c r="I3982" t="inlineStr">
        <is>
          <t>003507</t>
        </is>
      </c>
    </row>
    <row r="3983">
      <c r="A3983">
        <f>TRIM(BASE_EQUIPOS!N3983)</f>
        <v/>
      </c>
      <c r="B3983">
        <f>BASE_EQUIPOS!A3983</f>
        <v/>
      </c>
      <c r="C3983">
        <f>BASE_EQUIPOS!B3983</f>
        <v/>
      </c>
      <c r="D3983">
        <f>BASE_EQUIPOS!D3983</f>
        <v/>
      </c>
      <c r="E3983">
        <f>BASE_EQUIPOS!G3983</f>
        <v/>
      </c>
      <c r="F3983">
        <f>BASE_EQUIPOS!H3983</f>
        <v/>
      </c>
      <c r="G3983">
        <f>BASE_EQUIPOS!M3983</f>
        <v/>
      </c>
      <c r="I3983" t="inlineStr">
        <is>
          <t>003670</t>
        </is>
      </c>
    </row>
    <row r="3984">
      <c r="A3984">
        <f>TRIM(BASE_EQUIPOS!N3984)</f>
        <v/>
      </c>
      <c r="B3984">
        <f>BASE_EQUIPOS!A3984</f>
        <v/>
      </c>
      <c r="C3984">
        <f>BASE_EQUIPOS!B3984</f>
        <v/>
      </c>
      <c r="D3984">
        <f>BASE_EQUIPOS!D3984</f>
        <v/>
      </c>
      <c r="E3984">
        <f>BASE_EQUIPOS!G3984</f>
        <v/>
      </c>
      <c r="F3984">
        <f>BASE_EQUIPOS!H3984</f>
        <v/>
      </c>
      <c r="G3984">
        <f>BASE_EQUIPOS!M3984</f>
        <v/>
      </c>
      <c r="I3984" t="inlineStr">
        <is>
          <t>001189</t>
        </is>
      </c>
    </row>
    <row r="3985">
      <c r="A3985">
        <f>TRIM(BASE_EQUIPOS!N3985)</f>
        <v/>
      </c>
      <c r="B3985">
        <f>BASE_EQUIPOS!A3985</f>
        <v/>
      </c>
      <c r="C3985">
        <f>BASE_EQUIPOS!B3985</f>
        <v/>
      </c>
      <c r="D3985">
        <f>BASE_EQUIPOS!D3985</f>
        <v/>
      </c>
      <c r="E3985">
        <f>BASE_EQUIPOS!G3985</f>
        <v/>
      </c>
      <c r="F3985">
        <f>BASE_EQUIPOS!H3985</f>
        <v/>
      </c>
      <c r="G3985">
        <f>BASE_EQUIPOS!M3985</f>
        <v/>
      </c>
      <c r="I3985" t="inlineStr">
        <is>
          <t>000662</t>
        </is>
      </c>
    </row>
    <row r="3986">
      <c r="A3986">
        <f>TRIM(BASE_EQUIPOS!N3986)</f>
        <v/>
      </c>
      <c r="B3986">
        <f>BASE_EQUIPOS!A3986</f>
        <v/>
      </c>
      <c r="C3986">
        <f>BASE_EQUIPOS!B3986</f>
        <v/>
      </c>
      <c r="D3986">
        <f>BASE_EQUIPOS!D3986</f>
        <v/>
      </c>
      <c r="E3986">
        <f>BASE_EQUIPOS!G3986</f>
        <v/>
      </c>
      <c r="F3986">
        <f>BASE_EQUIPOS!H3986</f>
        <v/>
      </c>
      <c r="G3986">
        <f>BASE_EQUIPOS!M3986</f>
        <v/>
      </c>
      <c r="I3986" t="inlineStr">
        <is>
          <t>213/006476</t>
        </is>
      </c>
    </row>
    <row r="3987">
      <c r="A3987">
        <f>TRIM(BASE_EQUIPOS!N3987)</f>
        <v/>
      </c>
      <c r="B3987">
        <f>BASE_EQUIPOS!A3987</f>
        <v/>
      </c>
      <c r="C3987">
        <f>BASE_EQUIPOS!B3987</f>
        <v/>
      </c>
      <c r="D3987">
        <f>BASE_EQUIPOS!D3987</f>
        <v/>
      </c>
      <c r="E3987">
        <f>BASE_EQUIPOS!G3987</f>
        <v/>
      </c>
      <c r="F3987">
        <f>BASE_EQUIPOS!H3987</f>
        <v/>
      </c>
      <c r="G3987">
        <f>BASE_EQUIPOS!M3987</f>
        <v/>
      </c>
      <c r="I3987" t="inlineStr">
        <is>
          <t>05/004569</t>
        </is>
      </c>
    </row>
    <row r="3988">
      <c r="A3988">
        <f>TRIM(BASE_EQUIPOS!N3988)</f>
        <v/>
      </c>
      <c r="B3988">
        <f>BASE_EQUIPOS!A3988</f>
        <v/>
      </c>
      <c r="C3988">
        <f>BASE_EQUIPOS!B3988</f>
        <v/>
      </c>
      <c r="D3988">
        <f>BASE_EQUIPOS!D3988</f>
        <v/>
      </c>
      <c r="E3988">
        <f>BASE_EQUIPOS!G3988</f>
        <v/>
      </c>
      <c r="F3988">
        <f>BASE_EQUIPOS!H3988</f>
        <v/>
      </c>
      <c r="G3988">
        <f>BASE_EQUIPOS!M3988</f>
        <v/>
      </c>
      <c r="I3988" t="inlineStr">
        <is>
          <t>01/006199</t>
        </is>
      </c>
    </row>
    <row r="3989">
      <c r="A3989">
        <f>TRIM(BASE_EQUIPOS!N3989)</f>
        <v/>
      </c>
      <c r="B3989">
        <f>BASE_EQUIPOS!A3989</f>
        <v/>
      </c>
      <c r="C3989">
        <f>BASE_EQUIPOS!B3989</f>
        <v/>
      </c>
      <c r="D3989">
        <f>BASE_EQUIPOS!D3989</f>
        <v/>
      </c>
      <c r="E3989">
        <f>BASE_EQUIPOS!G3989</f>
        <v/>
      </c>
      <c r="F3989">
        <f>BASE_EQUIPOS!H3989</f>
        <v/>
      </c>
      <c r="G3989">
        <f>BASE_EQUIPOS!M3989</f>
        <v/>
      </c>
      <c r="I3989" t="inlineStr">
        <is>
          <t>04/006416</t>
        </is>
      </c>
    </row>
    <row r="3990">
      <c r="A3990">
        <f>TRIM(BASE_EQUIPOS!N3990)</f>
        <v/>
      </c>
      <c r="B3990">
        <f>BASE_EQUIPOS!A3990</f>
        <v/>
      </c>
      <c r="C3990">
        <f>BASE_EQUIPOS!B3990</f>
        <v/>
      </c>
      <c r="D3990">
        <f>BASE_EQUIPOS!D3990</f>
        <v/>
      </c>
      <c r="E3990">
        <f>BASE_EQUIPOS!G3990</f>
        <v/>
      </c>
      <c r="F3990">
        <f>BASE_EQUIPOS!H3990</f>
        <v/>
      </c>
      <c r="G3990">
        <f>BASE_EQUIPOS!M3990</f>
        <v/>
      </c>
      <c r="I3990" t="inlineStr">
        <is>
          <t>02/085660</t>
        </is>
      </c>
    </row>
    <row r="3991">
      <c r="A3991">
        <f>TRIM(BASE_EQUIPOS!N3991)</f>
        <v/>
      </c>
      <c r="B3991">
        <f>BASE_EQUIPOS!A3991</f>
        <v/>
      </c>
      <c r="C3991">
        <f>BASE_EQUIPOS!B3991</f>
        <v/>
      </c>
      <c r="D3991">
        <f>BASE_EQUIPOS!D3991</f>
        <v/>
      </c>
      <c r="E3991">
        <f>BASE_EQUIPOS!G3991</f>
        <v/>
      </c>
      <c r="F3991">
        <f>BASE_EQUIPOS!H3991</f>
        <v/>
      </c>
      <c r="G3991">
        <f>BASE_EQUIPOS!M3991</f>
        <v/>
      </c>
      <c r="I3991" t="inlineStr">
        <is>
          <t>06/006636</t>
        </is>
      </c>
    </row>
    <row r="3992">
      <c r="A3992">
        <f>TRIM(BASE_EQUIPOS!N3992)</f>
        <v/>
      </c>
      <c r="B3992">
        <f>BASE_EQUIPOS!A3992</f>
        <v/>
      </c>
      <c r="C3992">
        <f>BASE_EQUIPOS!B3992</f>
        <v/>
      </c>
      <c r="D3992">
        <f>BASE_EQUIPOS!D3992</f>
        <v/>
      </c>
      <c r="E3992">
        <f>BASE_EQUIPOS!G3992</f>
        <v/>
      </c>
      <c r="F3992">
        <f>BASE_EQUIPOS!H3992</f>
        <v/>
      </c>
      <c r="G3992">
        <f>BASE_EQUIPOS!M3992</f>
        <v/>
      </c>
      <c r="I3992" t="inlineStr">
        <is>
          <t>03/004337</t>
        </is>
      </c>
    </row>
    <row r="3993">
      <c r="A3993">
        <f>TRIM(BASE_EQUIPOS!N3993)</f>
        <v/>
      </c>
      <c r="B3993">
        <f>BASE_EQUIPOS!A3993</f>
        <v/>
      </c>
      <c r="C3993">
        <f>BASE_EQUIPOS!B3993</f>
        <v/>
      </c>
      <c r="D3993">
        <f>BASE_EQUIPOS!D3993</f>
        <v/>
      </c>
      <c r="E3993">
        <f>BASE_EQUIPOS!G3993</f>
        <v/>
      </c>
      <c r="F3993">
        <f>BASE_EQUIPOS!H3993</f>
        <v/>
      </c>
      <c r="G3993">
        <f>BASE_EQUIPOS!M3993</f>
        <v/>
      </c>
      <c r="I3993" t="inlineStr">
        <is>
          <t>07/000586</t>
        </is>
      </c>
    </row>
    <row r="3994">
      <c r="A3994">
        <f>TRIM(BASE_EQUIPOS!N3994)</f>
        <v/>
      </c>
      <c r="B3994">
        <f>BASE_EQUIPOS!A3994</f>
        <v/>
      </c>
      <c r="C3994">
        <f>BASE_EQUIPOS!B3994</f>
        <v/>
      </c>
      <c r="D3994">
        <f>BASE_EQUIPOS!D3994</f>
        <v/>
      </c>
      <c r="E3994">
        <f>BASE_EQUIPOS!G3994</f>
        <v/>
      </c>
      <c r="F3994">
        <f>BASE_EQUIPOS!H3994</f>
        <v/>
      </c>
      <c r="G3994">
        <f>BASE_EQUIPOS!M3994</f>
        <v/>
      </c>
    </row>
    <row r="3995">
      <c r="A3995">
        <f>TRIM(BASE_EQUIPOS!N3995)</f>
        <v/>
      </c>
      <c r="B3995">
        <f>BASE_EQUIPOS!A3995</f>
        <v/>
      </c>
      <c r="C3995">
        <f>BASE_EQUIPOS!B3995</f>
        <v/>
      </c>
      <c r="D3995">
        <f>BASE_EQUIPOS!D3995</f>
        <v/>
      </c>
      <c r="E3995">
        <f>BASE_EQUIPOS!G3995</f>
        <v/>
      </c>
      <c r="F3995">
        <f>BASE_EQUIPOS!H3995</f>
        <v/>
      </c>
      <c r="G3995">
        <f>BASE_EQUIPOS!M3995</f>
        <v/>
      </c>
    </row>
    <row r="3996">
      <c r="A3996">
        <f>TRIM(BASE_EQUIPOS!N3996)</f>
        <v/>
      </c>
      <c r="B3996">
        <f>BASE_EQUIPOS!A3996</f>
        <v/>
      </c>
      <c r="C3996">
        <f>BASE_EQUIPOS!B3996</f>
        <v/>
      </c>
      <c r="D3996">
        <f>BASE_EQUIPOS!D3996</f>
        <v/>
      </c>
      <c r="E3996">
        <f>BASE_EQUIPOS!G3996</f>
        <v/>
      </c>
      <c r="F3996">
        <f>BASE_EQUIPOS!H3996</f>
        <v/>
      </c>
      <c r="G3996">
        <f>BASE_EQUIPOS!M3996</f>
        <v/>
      </c>
    </row>
    <row r="3997">
      <c r="A3997">
        <f>TRIM(BASE_EQUIPOS!N3997)</f>
        <v/>
      </c>
      <c r="B3997">
        <f>BASE_EQUIPOS!A3997</f>
        <v/>
      </c>
      <c r="C3997">
        <f>BASE_EQUIPOS!B3997</f>
        <v/>
      </c>
      <c r="D3997">
        <f>BASE_EQUIPOS!D3997</f>
        <v/>
      </c>
      <c r="E3997">
        <f>BASE_EQUIPOS!G3997</f>
        <v/>
      </c>
      <c r="F3997">
        <f>BASE_EQUIPOS!H3997</f>
        <v/>
      </c>
      <c r="G3997">
        <f>BASE_EQUIPOS!M3997</f>
        <v/>
      </c>
    </row>
    <row r="3998">
      <c r="A3998">
        <f>TRIM(BASE_EQUIPOS!N3998)</f>
        <v/>
      </c>
      <c r="B3998">
        <f>BASE_EQUIPOS!A3998</f>
        <v/>
      </c>
      <c r="C3998">
        <f>BASE_EQUIPOS!B3998</f>
        <v/>
      </c>
      <c r="D3998">
        <f>BASE_EQUIPOS!D3998</f>
        <v/>
      </c>
      <c r="E3998">
        <f>BASE_EQUIPOS!G3998</f>
        <v/>
      </c>
      <c r="F3998">
        <f>BASE_EQUIPOS!H3998</f>
        <v/>
      </c>
      <c r="G3998">
        <f>BASE_EQUIPOS!M3998</f>
        <v/>
      </c>
    </row>
    <row r="3999">
      <c r="A3999">
        <f>TRIM(BASE_EQUIPOS!N3999)</f>
        <v/>
      </c>
      <c r="B3999">
        <f>BASE_EQUIPOS!A3999</f>
        <v/>
      </c>
      <c r="C3999">
        <f>BASE_EQUIPOS!B3999</f>
        <v/>
      </c>
      <c r="D3999">
        <f>BASE_EQUIPOS!D3999</f>
        <v/>
      </c>
      <c r="E3999">
        <f>BASE_EQUIPOS!G3999</f>
        <v/>
      </c>
      <c r="F3999">
        <f>BASE_EQUIPOS!H3999</f>
        <v/>
      </c>
      <c r="G3999">
        <f>BASE_EQUIPOS!M3999</f>
        <v/>
      </c>
    </row>
    <row r="4000">
      <c r="A4000">
        <f>TRIM(BASE_EQUIPOS!N4000)</f>
        <v/>
      </c>
      <c r="B4000">
        <f>BASE_EQUIPOS!A4000</f>
        <v/>
      </c>
      <c r="C4000">
        <f>BASE_EQUIPOS!B4000</f>
        <v/>
      </c>
      <c r="D4000">
        <f>BASE_EQUIPOS!D4000</f>
        <v/>
      </c>
      <c r="E4000">
        <f>BASE_EQUIPOS!G4000</f>
        <v/>
      </c>
      <c r="F4000">
        <f>BASE_EQUIPOS!H4000</f>
        <v/>
      </c>
      <c r="G4000">
        <f>BASE_EQUIPOS!M4000</f>
        <v/>
      </c>
    </row>
    <row r="4001">
      <c r="A4001">
        <f>TRIM(BASE_EQUIPOS!N4001)</f>
        <v/>
      </c>
      <c r="B4001">
        <f>BASE_EQUIPOS!A4001</f>
        <v/>
      </c>
      <c r="C4001">
        <f>BASE_EQUIPOS!B4001</f>
        <v/>
      </c>
      <c r="D4001">
        <f>BASE_EQUIPOS!D4001</f>
        <v/>
      </c>
      <c r="E4001">
        <f>BASE_EQUIPOS!G4001</f>
        <v/>
      </c>
      <c r="F4001">
        <f>BASE_EQUIPOS!H4001</f>
        <v/>
      </c>
      <c r="G4001">
        <f>BASE_EQUIPOS!M4001</f>
        <v/>
      </c>
    </row>
    <row r="4002">
      <c r="A4002">
        <f>TRIM(BASE_EQUIPOS!N4002)</f>
        <v/>
      </c>
      <c r="B4002">
        <f>BASE_EQUIPOS!A4002</f>
        <v/>
      </c>
      <c r="C4002">
        <f>BASE_EQUIPOS!B4002</f>
        <v/>
      </c>
      <c r="D4002">
        <f>BASE_EQUIPOS!D4002</f>
        <v/>
      </c>
      <c r="E4002">
        <f>BASE_EQUIPOS!G4002</f>
        <v/>
      </c>
      <c r="F4002">
        <f>BASE_EQUIPOS!H4002</f>
        <v/>
      </c>
      <c r="G4002">
        <f>BASE_EQUIPOS!M4002</f>
        <v/>
      </c>
    </row>
    <row r="4003">
      <c r="A4003">
        <f>TRIM(BASE_EQUIPOS!N4003)</f>
        <v/>
      </c>
      <c r="B4003">
        <f>BASE_EQUIPOS!A4003</f>
        <v/>
      </c>
      <c r="C4003">
        <f>BASE_EQUIPOS!B4003</f>
        <v/>
      </c>
      <c r="D4003">
        <f>BASE_EQUIPOS!D4003</f>
        <v/>
      </c>
      <c r="E4003">
        <f>BASE_EQUIPOS!G4003</f>
        <v/>
      </c>
      <c r="F4003">
        <f>BASE_EQUIPOS!H4003</f>
        <v/>
      </c>
      <c r="G4003">
        <f>BASE_EQUIPOS!M4003</f>
        <v/>
      </c>
    </row>
    <row r="4004">
      <c r="A4004">
        <f>TRIM(BASE_EQUIPOS!N4004)</f>
        <v/>
      </c>
      <c r="B4004">
        <f>BASE_EQUIPOS!A4004</f>
        <v/>
      </c>
      <c r="C4004">
        <f>BASE_EQUIPOS!B4004</f>
        <v/>
      </c>
      <c r="D4004">
        <f>BASE_EQUIPOS!D4004</f>
        <v/>
      </c>
      <c r="E4004">
        <f>BASE_EQUIPOS!G4004</f>
        <v/>
      </c>
      <c r="F4004">
        <f>BASE_EQUIPOS!H4004</f>
        <v/>
      </c>
      <c r="G4004">
        <f>BASE_EQUIPOS!M4004</f>
        <v/>
      </c>
    </row>
    <row r="4005">
      <c r="A4005">
        <f>TRIM(BASE_EQUIPOS!N4005)</f>
        <v/>
      </c>
      <c r="B4005">
        <f>BASE_EQUIPOS!A4005</f>
        <v/>
      </c>
      <c r="C4005">
        <f>BASE_EQUIPOS!B4005</f>
        <v/>
      </c>
      <c r="D4005">
        <f>BASE_EQUIPOS!D4005</f>
        <v/>
      </c>
      <c r="E4005">
        <f>BASE_EQUIPOS!G4005</f>
        <v/>
      </c>
      <c r="F4005">
        <f>BASE_EQUIPOS!H4005</f>
        <v/>
      </c>
      <c r="G4005">
        <f>BASE_EQUIPOS!M4005</f>
        <v/>
      </c>
    </row>
    <row r="4006">
      <c r="A4006">
        <f>TRIM(BASE_EQUIPOS!N4006)</f>
        <v/>
      </c>
      <c r="B4006">
        <f>BASE_EQUIPOS!A4006</f>
        <v/>
      </c>
      <c r="C4006">
        <f>BASE_EQUIPOS!B4006</f>
        <v/>
      </c>
      <c r="D4006">
        <f>BASE_EQUIPOS!D4006</f>
        <v/>
      </c>
      <c r="E4006">
        <f>BASE_EQUIPOS!G4006</f>
        <v/>
      </c>
      <c r="F4006">
        <f>BASE_EQUIPOS!H4006</f>
        <v/>
      </c>
      <c r="G4006">
        <f>BASE_EQUIPOS!M4006</f>
        <v/>
      </c>
    </row>
    <row r="4007">
      <c r="A4007">
        <f>TRIM(BASE_EQUIPOS!N4007)</f>
        <v/>
      </c>
      <c r="B4007">
        <f>BASE_EQUIPOS!A4007</f>
        <v/>
      </c>
      <c r="C4007">
        <f>BASE_EQUIPOS!B4007</f>
        <v/>
      </c>
      <c r="D4007">
        <f>BASE_EQUIPOS!D4007</f>
        <v/>
      </c>
      <c r="E4007">
        <f>BASE_EQUIPOS!G4007</f>
        <v/>
      </c>
      <c r="F4007">
        <f>BASE_EQUIPOS!H4007</f>
        <v/>
      </c>
      <c r="G4007">
        <f>BASE_EQUIPOS!M4007</f>
        <v/>
      </c>
    </row>
    <row r="4008">
      <c r="A4008">
        <f>TRIM(BASE_EQUIPOS!N4008)</f>
        <v/>
      </c>
      <c r="B4008">
        <f>BASE_EQUIPOS!A4008</f>
        <v/>
      </c>
      <c r="C4008">
        <f>BASE_EQUIPOS!B4008</f>
        <v/>
      </c>
      <c r="D4008">
        <f>BASE_EQUIPOS!D4008</f>
        <v/>
      </c>
      <c r="E4008">
        <f>BASE_EQUIPOS!G4008</f>
        <v/>
      </c>
      <c r="F4008">
        <f>BASE_EQUIPOS!H4008</f>
        <v/>
      </c>
      <c r="G4008">
        <f>BASE_EQUIPOS!M4008</f>
        <v/>
      </c>
    </row>
    <row r="4009">
      <c r="A4009">
        <f>TRIM(BASE_EQUIPOS!N4009)</f>
        <v/>
      </c>
      <c r="B4009">
        <f>BASE_EQUIPOS!A4009</f>
        <v/>
      </c>
      <c r="C4009">
        <f>BASE_EQUIPOS!B4009</f>
        <v/>
      </c>
      <c r="D4009">
        <f>BASE_EQUIPOS!D4009</f>
        <v/>
      </c>
      <c r="E4009">
        <f>BASE_EQUIPOS!G4009</f>
        <v/>
      </c>
      <c r="F4009">
        <f>BASE_EQUIPOS!H4009</f>
        <v/>
      </c>
      <c r="G4009">
        <f>BASE_EQUIPOS!M4009</f>
        <v/>
      </c>
    </row>
    <row r="4010">
      <c r="A4010">
        <f>TRIM(BASE_EQUIPOS!N4010)</f>
        <v/>
      </c>
      <c r="B4010">
        <f>BASE_EQUIPOS!A4010</f>
        <v/>
      </c>
      <c r="C4010">
        <f>BASE_EQUIPOS!B4010</f>
        <v/>
      </c>
      <c r="D4010">
        <f>BASE_EQUIPOS!D4010</f>
        <v/>
      </c>
      <c r="E4010">
        <f>BASE_EQUIPOS!G4010</f>
        <v/>
      </c>
      <c r="F4010">
        <f>BASE_EQUIPOS!H4010</f>
        <v/>
      </c>
      <c r="G4010">
        <f>BASE_EQUIPOS!M4010</f>
        <v/>
      </c>
    </row>
    <row r="4011">
      <c r="A4011">
        <f>TRIM(BASE_EQUIPOS!N4011)</f>
        <v/>
      </c>
      <c r="B4011">
        <f>BASE_EQUIPOS!A4011</f>
        <v/>
      </c>
      <c r="C4011">
        <f>BASE_EQUIPOS!B4011</f>
        <v/>
      </c>
      <c r="D4011">
        <f>BASE_EQUIPOS!D4011</f>
        <v/>
      </c>
      <c r="E4011">
        <f>BASE_EQUIPOS!G4011</f>
        <v/>
      </c>
      <c r="F4011">
        <f>BASE_EQUIPOS!H4011</f>
        <v/>
      </c>
      <c r="G4011">
        <f>BASE_EQUIPOS!M4011</f>
        <v/>
      </c>
    </row>
    <row r="4012">
      <c r="A4012">
        <f>TRIM(BASE_EQUIPOS!N4012)</f>
        <v/>
      </c>
      <c r="B4012">
        <f>BASE_EQUIPOS!A4012</f>
        <v/>
      </c>
      <c r="C4012">
        <f>BASE_EQUIPOS!B4012</f>
        <v/>
      </c>
      <c r="D4012">
        <f>BASE_EQUIPOS!D4012</f>
        <v/>
      </c>
      <c r="E4012">
        <f>BASE_EQUIPOS!G4012</f>
        <v/>
      </c>
      <c r="F4012">
        <f>BASE_EQUIPOS!H4012</f>
        <v/>
      </c>
      <c r="G4012">
        <f>BASE_EQUIPOS!M4012</f>
        <v/>
      </c>
    </row>
    <row r="4013">
      <c r="A4013">
        <f>TRIM(BASE_EQUIPOS!N4013)</f>
        <v/>
      </c>
      <c r="B4013">
        <f>BASE_EQUIPOS!A4013</f>
        <v/>
      </c>
      <c r="C4013">
        <f>BASE_EQUIPOS!B4013</f>
        <v/>
      </c>
      <c r="D4013">
        <f>BASE_EQUIPOS!D4013</f>
        <v/>
      </c>
      <c r="E4013">
        <f>BASE_EQUIPOS!G4013</f>
        <v/>
      </c>
      <c r="F4013">
        <f>BASE_EQUIPOS!H4013</f>
        <v/>
      </c>
      <c r="G4013">
        <f>BASE_EQUIPOS!M4013</f>
        <v/>
      </c>
    </row>
    <row r="4014">
      <c r="A4014">
        <f>TRIM(BASE_EQUIPOS!N4014)</f>
        <v/>
      </c>
      <c r="B4014">
        <f>BASE_EQUIPOS!A4014</f>
        <v/>
      </c>
      <c r="C4014">
        <f>BASE_EQUIPOS!B4014</f>
        <v/>
      </c>
      <c r="D4014">
        <f>BASE_EQUIPOS!D4014</f>
        <v/>
      </c>
      <c r="E4014">
        <f>BASE_EQUIPOS!G4014</f>
        <v/>
      </c>
      <c r="F4014">
        <f>BASE_EQUIPOS!H4014</f>
        <v/>
      </c>
      <c r="G4014">
        <f>BASE_EQUIPOS!M4014</f>
        <v/>
      </c>
    </row>
    <row r="4015">
      <c r="A4015">
        <f>TRIM(BASE_EQUIPOS!N4015)</f>
        <v/>
      </c>
      <c r="B4015">
        <f>BASE_EQUIPOS!A4015</f>
        <v/>
      </c>
      <c r="C4015">
        <f>BASE_EQUIPOS!B4015</f>
        <v/>
      </c>
      <c r="D4015">
        <f>BASE_EQUIPOS!D4015</f>
        <v/>
      </c>
      <c r="E4015">
        <f>BASE_EQUIPOS!G4015</f>
        <v/>
      </c>
      <c r="F4015">
        <f>BASE_EQUIPOS!H4015</f>
        <v/>
      </c>
      <c r="G4015">
        <f>BASE_EQUIPOS!M4015</f>
        <v/>
      </c>
    </row>
    <row r="4016">
      <c r="A4016">
        <f>TRIM(BASE_EQUIPOS!N4016)</f>
        <v/>
      </c>
      <c r="B4016">
        <f>BASE_EQUIPOS!A4016</f>
        <v/>
      </c>
      <c r="C4016">
        <f>BASE_EQUIPOS!B4016</f>
        <v/>
      </c>
      <c r="D4016">
        <f>BASE_EQUIPOS!D4016</f>
        <v/>
      </c>
      <c r="E4016">
        <f>BASE_EQUIPOS!G4016</f>
        <v/>
      </c>
      <c r="F4016">
        <f>BASE_EQUIPOS!H4016</f>
        <v/>
      </c>
      <c r="G4016">
        <f>BASE_EQUIPOS!M4016</f>
        <v/>
      </c>
    </row>
    <row r="4017">
      <c r="A4017">
        <f>TRIM(BASE_EQUIPOS!N4017)</f>
        <v/>
      </c>
      <c r="B4017">
        <f>BASE_EQUIPOS!A4017</f>
        <v/>
      </c>
      <c r="C4017">
        <f>BASE_EQUIPOS!B4017</f>
        <v/>
      </c>
      <c r="D4017">
        <f>BASE_EQUIPOS!D4017</f>
        <v/>
      </c>
      <c r="E4017">
        <f>BASE_EQUIPOS!G4017</f>
        <v/>
      </c>
      <c r="F4017">
        <f>BASE_EQUIPOS!H4017</f>
        <v/>
      </c>
      <c r="G4017">
        <f>BASE_EQUIPOS!M4017</f>
        <v/>
      </c>
    </row>
    <row r="4018">
      <c r="A4018">
        <f>TRIM(BASE_EQUIPOS!N4018)</f>
        <v/>
      </c>
      <c r="B4018">
        <f>BASE_EQUIPOS!A4018</f>
        <v/>
      </c>
      <c r="C4018">
        <f>BASE_EQUIPOS!B4018</f>
        <v/>
      </c>
      <c r="D4018">
        <f>BASE_EQUIPOS!D4018</f>
        <v/>
      </c>
      <c r="E4018">
        <f>BASE_EQUIPOS!G4018</f>
        <v/>
      </c>
      <c r="F4018">
        <f>BASE_EQUIPOS!H4018</f>
        <v/>
      </c>
      <c r="G4018">
        <f>BASE_EQUIPOS!M4018</f>
        <v/>
      </c>
    </row>
    <row r="4019">
      <c r="A4019">
        <f>TRIM(BASE_EQUIPOS!N4019)</f>
        <v/>
      </c>
      <c r="B4019">
        <f>BASE_EQUIPOS!A4019</f>
        <v/>
      </c>
      <c r="C4019">
        <f>BASE_EQUIPOS!B4019</f>
        <v/>
      </c>
      <c r="D4019">
        <f>BASE_EQUIPOS!D4019</f>
        <v/>
      </c>
      <c r="E4019">
        <f>BASE_EQUIPOS!G4019</f>
        <v/>
      </c>
      <c r="F4019">
        <f>BASE_EQUIPOS!H4019</f>
        <v/>
      </c>
      <c r="G4019">
        <f>BASE_EQUIPOS!M4019</f>
        <v/>
      </c>
    </row>
    <row r="4020">
      <c r="A4020">
        <f>TRIM(BASE_EQUIPOS!N4020)</f>
        <v/>
      </c>
      <c r="B4020">
        <f>BASE_EQUIPOS!A4020</f>
        <v/>
      </c>
      <c r="C4020">
        <f>BASE_EQUIPOS!B4020</f>
        <v/>
      </c>
      <c r="D4020">
        <f>BASE_EQUIPOS!D4020</f>
        <v/>
      </c>
      <c r="E4020">
        <f>BASE_EQUIPOS!G4020</f>
        <v/>
      </c>
      <c r="F4020">
        <f>BASE_EQUIPOS!H4020</f>
        <v/>
      </c>
      <c r="G4020">
        <f>BASE_EQUIPOS!M4020</f>
        <v/>
      </c>
    </row>
    <row r="4021">
      <c r="A4021">
        <f>TRIM(BASE_EQUIPOS!N4021)</f>
        <v/>
      </c>
      <c r="B4021">
        <f>BASE_EQUIPOS!A4021</f>
        <v/>
      </c>
      <c r="C4021">
        <f>BASE_EQUIPOS!B4021</f>
        <v/>
      </c>
      <c r="D4021">
        <f>BASE_EQUIPOS!D4021</f>
        <v/>
      </c>
      <c r="E4021">
        <f>BASE_EQUIPOS!G4021</f>
        <v/>
      </c>
      <c r="F4021">
        <f>BASE_EQUIPOS!H4021</f>
        <v/>
      </c>
      <c r="G4021">
        <f>BASE_EQUIPOS!M4021</f>
        <v/>
      </c>
    </row>
    <row r="4022">
      <c r="A4022">
        <f>TRIM(BASE_EQUIPOS!N4022)</f>
        <v/>
      </c>
      <c r="B4022">
        <f>BASE_EQUIPOS!A4022</f>
        <v/>
      </c>
      <c r="C4022">
        <f>BASE_EQUIPOS!B4022</f>
        <v/>
      </c>
      <c r="D4022">
        <f>BASE_EQUIPOS!D4022</f>
        <v/>
      </c>
      <c r="E4022">
        <f>BASE_EQUIPOS!G4022</f>
        <v/>
      </c>
      <c r="F4022">
        <f>BASE_EQUIPOS!H4022</f>
        <v/>
      </c>
      <c r="G4022">
        <f>BASE_EQUIPOS!M4022</f>
        <v/>
      </c>
    </row>
    <row r="4023">
      <c r="A4023">
        <f>TRIM(BASE_EQUIPOS!N4023)</f>
        <v/>
      </c>
      <c r="B4023">
        <f>BASE_EQUIPOS!A4023</f>
        <v/>
      </c>
      <c r="C4023">
        <f>BASE_EQUIPOS!B4023</f>
        <v/>
      </c>
      <c r="D4023">
        <f>BASE_EQUIPOS!D4023</f>
        <v/>
      </c>
      <c r="E4023">
        <f>BASE_EQUIPOS!G4023</f>
        <v/>
      </c>
      <c r="F4023">
        <f>BASE_EQUIPOS!H4023</f>
        <v/>
      </c>
      <c r="G4023">
        <f>BASE_EQUIPOS!M4023</f>
        <v/>
      </c>
    </row>
    <row r="4024">
      <c r="A4024">
        <f>TRIM(BASE_EQUIPOS!N4024)</f>
        <v/>
      </c>
      <c r="B4024">
        <f>BASE_EQUIPOS!A4024</f>
        <v/>
      </c>
      <c r="C4024">
        <f>BASE_EQUIPOS!B4024</f>
        <v/>
      </c>
      <c r="D4024">
        <f>BASE_EQUIPOS!D4024</f>
        <v/>
      </c>
      <c r="E4024">
        <f>BASE_EQUIPOS!G4024</f>
        <v/>
      </c>
      <c r="F4024">
        <f>BASE_EQUIPOS!H4024</f>
        <v/>
      </c>
      <c r="G4024">
        <f>BASE_EQUIPOS!M4024</f>
        <v/>
      </c>
    </row>
    <row r="4025">
      <c r="A4025">
        <f>TRIM(BASE_EQUIPOS!N4025)</f>
        <v/>
      </c>
      <c r="B4025">
        <f>BASE_EQUIPOS!A4025</f>
        <v/>
      </c>
      <c r="C4025">
        <f>BASE_EQUIPOS!B4025</f>
        <v/>
      </c>
      <c r="D4025">
        <f>BASE_EQUIPOS!D4025</f>
        <v/>
      </c>
      <c r="E4025">
        <f>BASE_EQUIPOS!G4025</f>
        <v/>
      </c>
      <c r="F4025">
        <f>BASE_EQUIPOS!H4025</f>
        <v/>
      </c>
      <c r="G4025">
        <f>BASE_EQUIPOS!M4025</f>
        <v/>
      </c>
    </row>
    <row r="4026">
      <c r="A4026">
        <f>TRIM(BASE_EQUIPOS!N4026)</f>
        <v/>
      </c>
      <c r="B4026">
        <f>BASE_EQUIPOS!A4026</f>
        <v/>
      </c>
      <c r="C4026">
        <f>BASE_EQUIPOS!B4026</f>
        <v/>
      </c>
      <c r="D4026">
        <f>BASE_EQUIPOS!D4026</f>
        <v/>
      </c>
      <c r="E4026">
        <f>BASE_EQUIPOS!G4026</f>
        <v/>
      </c>
      <c r="F4026">
        <f>BASE_EQUIPOS!H4026</f>
        <v/>
      </c>
      <c r="G4026">
        <f>BASE_EQUIPOS!M4026</f>
        <v/>
      </c>
    </row>
    <row r="4027">
      <c r="A4027">
        <f>TRIM(BASE_EQUIPOS!N4027)</f>
        <v/>
      </c>
      <c r="B4027">
        <f>BASE_EQUIPOS!A4027</f>
        <v/>
      </c>
      <c r="C4027">
        <f>BASE_EQUIPOS!B4027</f>
        <v/>
      </c>
      <c r="D4027">
        <f>BASE_EQUIPOS!D4027</f>
        <v/>
      </c>
      <c r="E4027">
        <f>BASE_EQUIPOS!G4027</f>
        <v/>
      </c>
      <c r="F4027">
        <f>BASE_EQUIPOS!H4027</f>
        <v/>
      </c>
      <c r="G4027">
        <f>BASE_EQUIPOS!M4027</f>
        <v/>
      </c>
    </row>
    <row r="4028">
      <c r="A4028">
        <f>TRIM(BASE_EQUIPOS!N4028)</f>
        <v/>
      </c>
      <c r="B4028">
        <f>BASE_EQUIPOS!A4028</f>
        <v/>
      </c>
      <c r="C4028">
        <f>BASE_EQUIPOS!B4028</f>
        <v/>
      </c>
      <c r="D4028">
        <f>BASE_EQUIPOS!D4028</f>
        <v/>
      </c>
      <c r="E4028">
        <f>BASE_EQUIPOS!G4028</f>
        <v/>
      </c>
      <c r="F4028">
        <f>BASE_EQUIPOS!H4028</f>
        <v/>
      </c>
      <c r="G4028">
        <f>BASE_EQUIPOS!M4028</f>
        <v/>
      </c>
    </row>
    <row r="4029">
      <c r="A4029">
        <f>TRIM(BASE_EQUIPOS!N4029)</f>
        <v/>
      </c>
      <c r="B4029">
        <f>BASE_EQUIPOS!A4029</f>
        <v/>
      </c>
      <c r="C4029">
        <f>BASE_EQUIPOS!B4029</f>
        <v/>
      </c>
      <c r="D4029">
        <f>BASE_EQUIPOS!D4029</f>
        <v/>
      </c>
      <c r="E4029">
        <f>BASE_EQUIPOS!G4029</f>
        <v/>
      </c>
      <c r="F4029">
        <f>BASE_EQUIPOS!H4029</f>
        <v/>
      </c>
      <c r="G4029">
        <f>BASE_EQUIPOS!M4029</f>
        <v/>
      </c>
    </row>
    <row r="4030">
      <c r="A4030">
        <f>TRIM(BASE_EQUIPOS!N4030)</f>
        <v/>
      </c>
      <c r="B4030">
        <f>BASE_EQUIPOS!A4030</f>
        <v/>
      </c>
      <c r="C4030">
        <f>BASE_EQUIPOS!B4030</f>
        <v/>
      </c>
      <c r="D4030">
        <f>BASE_EQUIPOS!D4030</f>
        <v/>
      </c>
      <c r="E4030">
        <f>BASE_EQUIPOS!G4030</f>
        <v/>
      </c>
      <c r="F4030">
        <f>BASE_EQUIPOS!H4030</f>
        <v/>
      </c>
      <c r="G4030">
        <f>BASE_EQUIPOS!M4030</f>
        <v/>
      </c>
    </row>
    <row r="4031">
      <c r="A4031">
        <f>TRIM(BASE_EQUIPOS!N4031)</f>
        <v/>
      </c>
      <c r="B4031">
        <f>BASE_EQUIPOS!A4031</f>
        <v/>
      </c>
      <c r="C4031">
        <f>BASE_EQUIPOS!B4031</f>
        <v/>
      </c>
      <c r="D4031">
        <f>BASE_EQUIPOS!D4031</f>
        <v/>
      </c>
      <c r="E4031">
        <f>BASE_EQUIPOS!G4031</f>
        <v/>
      </c>
      <c r="F4031">
        <f>BASE_EQUIPOS!H4031</f>
        <v/>
      </c>
      <c r="G4031">
        <f>BASE_EQUIPOS!M4031</f>
        <v/>
      </c>
    </row>
    <row r="4032">
      <c r="A4032">
        <f>TRIM(BASE_EQUIPOS!N4032)</f>
        <v/>
      </c>
      <c r="B4032">
        <f>BASE_EQUIPOS!A4032</f>
        <v/>
      </c>
      <c r="C4032">
        <f>BASE_EQUIPOS!B4032</f>
        <v/>
      </c>
      <c r="D4032">
        <f>BASE_EQUIPOS!D4032</f>
        <v/>
      </c>
      <c r="E4032">
        <f>BASE_EQUIPOS!G4032</f>
        <v/>
      </c>
      <c r="F4032">
        <f>BASE_EQUIPOS!H4032</f>
        <v/>
      </c>
      <c r="G4032">
        <f>BASE_EQUIPOS!M4032</f>
        <v/>
      </c>
    </row>
    <row r="4033">
      <c r="A4033">
        <f>TRIM(BASE_EQUIPOS!N4033)</f>
        <v/>
      </c>
      <c r="B4033">
        <f>BASE_EQUIPOS!A4033</f>
        <v/>
      </c>
      <c r="C4033">
        <f>BASE_EQUIPOS!B4033</f>
        <v/>
      </c>
      <c r="D4033">
        <f>BASE_EQUIPOS!D4033</f>
        <v/>
      </c>
      <c r="E4033">
        <f>BASE_EQUIPOS!G4033</f>
        <v/>
      </c>
      <c r="F4033">
        <f>BASE_EQUIPOS!H4033</f>
        <v/>
      </c>
      <c r="G4033">
        <f>BASE_EQUIPOS!M4033</f>
        <v/>
      </c>
    </row>
    <row r="4034">
      <c r="A4034">
        <f>TRIM(BASE_EQUIPOS!N4034)</f>
        <v/>
      </c>
      <c r="B4034">
        <f>BASE_EQUIPOS!A4034</f>
        <v/>
      </c>
      <c r="C4034">
        <f>BASE_EQUIPOS!B4034</f>
        <v/>
      </c>
      <c r="D4034">
        <f>BASE_EQUIPOS!D4034</f>
        <v/>
      </c>
      <c r="E4034">
        <f>BASE_EQUIPOS!G4034</f>
        <v/>
      </c>
      <c r="F4034">
        <f>BASE_EQUIPOS!H4034</f>
        <v/>
      </c>
      <c r="G4034">
        <f>BASE_EQUIPOS!M4034</f>
        <v/>
      </c>
    </row>
    <row r="4035">
      <c r="A4035">
        <f>TRIM(BASE_EQUIPOS!N4035)</f>
        <v/>
      </c>
      <c r="B4035">
        <f>BASE_EQUIPOS!A4035</f>
        <v/>
      </c>
      <c r="C4035">
        <f>BASE_EQUIPOS!B4035</f>
        <v/>
      </c>
      <c r="D4035">
        <f>BASE_EQUIPOS!D4035</f>
        <v/>
      </c>
      <c r="E4035">
        <f>BASE_EQUIPOS!G4035</f>
        <v/>
      </c>
      <c r="F4035">
        <f>BASE_EQUIPOS!H4035</f>
        <v/>
      </c>
      <c r="G4035">
        <f>BASE_EQUIPOS!M4035</f>
        <v/>
      </c>
    </row>
    <row r="4036">
      <c r="A4036">
        <f>TRIM(BASE_EQUIPOS!N4036)</f>
        <v/>
      </c>
      <c r="B4036">
        <f>BASE_EQUIPOS!A4036</f>
        <v/>
      </c>
      <c r="C4036">
        <f>BASE_EQUIPOS!B4036</f>
        <v/>
      </c>
      <c r="D4036">
        <f>BASE_EQUIPOS!D4036</f>
        <v/>
      </c>
      <c r="E4036">
        <f>BASE_EQUIPOS!G4036</f>
        <v/>
      </c>
      <c r="F4036">
        <f>BASE_EQUIPOS!H4036</f>
        <v/>
      </c>
      <c r="G4036">
        <f>BASE_EQUIPOS!M4036</f>
        <v/>
      </c>
    </row>
    <row r="4037">
      <c r="A4037">
        <f>TRIM(BASE_EQUIPOS!N4037)</f>
        <v/>
      </c>
      <c r="B4037">
        <f>BASE_EQUIPOS!A4037</f>
        <v/>
      </c>
      <c r="C4037">
        <f>BASE_EQUIPOS!B4037</f>
        <v/>
      </c>
      <c r="D4037">
        <f>BASE_EQUIPOS!D4037</f>
        <v/>
      </c>
      <c r="E4037">
        <f>BASE_EQUIPOS!G4037</f>
        <v/>
      </c>
      <c r="F4037">
        <f>BASE_EQUIPOS!H4037</f>
        <v/>
      </c>
      <c r="G4037">
        <f>BASE_EQUIPOS!M4037</f>
        <v/>
      </c>
    </row>
    <row r="4038">
      <c r="A4038">
        <f>TRIM(BASE_EQUIPOS!N4038)</f>
        <v/>
      </c>
      <c r="B4038">
        <f>BASE_EQUIPOS!A4038</f>
        <v/>
      </c>
      <c r="C4038">
        <f>BASE_EQUIPOS!B4038</f>
        <v/>
      </c>
      <c r="D4038">
        <f>BASE_EQUIPOS!D4038</f>
        <v/>
      </c>
      <c r="E4038">
        <f>BASE_EQUIPOS!G4038</f>
        <v/>
      </c>
      <c r="F4038">
        <f>BASE_EQUIPOS!H4038</f>
        <v/>
      </c>
      <c r="G4038">
        <f>BASE_EQUIPOS!M4038</f>
        <v/>
      </c>
    </row>
    <row r="4039">
      <c r="A4039">
        <f>TRIM(BASE_EQUIPOS!N4039)</f>
        <v/>
      </c>
      <c r="B4039">
        <f>BASE_EQUIPOS!A4039</f>
        <v/>
      </c>
      <c r="C4039">
        <f>BASE_EQUIPOS!B4039</f>
        <v/>
      </c>
      <c r="D4039">
        <f>BASE_EQUIPOS!D4039</f>
        <v/>
      </c>
      <c r="E4039">
        <f>BASE_EQUIPOS!G4039</f>
        <v/>
      </c>
      <c r="F4039">
        <f>BASE_EQUIPOS!H4039</f>
        <v/>
      </c>
      <c r="G4039">
        <f>BASE_EQUIPOS!M4039</f>
        <v/>
      </c>
    </row>
    <row r="4040">
      <c r="A4040">
        <f>TRIM(BASE_EQUIPOS!N4040)</f>
        <v/>
      </c>
      <c r="B4040">
        <f>BASE_EQUIPOS!A4040</f>
        <v/>
      </c>
      <c r="C4040">
        <f>BASE_EQUIPOS!B4040</f>
        <v/>
      </c>
      <c r="D4040">
        <f>BASE_EQUIPOS!D4040</f>
        <v/>
      </c>
      <c r="E4040">
        <f>BASE_EQUIPOS!G4040</f>
        <v/>
      </c>
      <c r="F4040">
        <f>BASE_EQUIPOS!H4040</f>
        <v/>
      </c>
      <c r="G4040">
        <f>BASE_EQUIPOS!M4040</f>
        <v/>
      </c>
    </row>
    <row r="4041">
      <c r="A4041">
        <f>TRIM(BASE_EQUIPOS!N4041)</f>
        <v/>
      </c>
      <c r="B4041">
        <f>BASE_EQUIPOS!A4041</f>
        <v/>
      </c>
      <c r="C4041">
        <f>BASE_EQUIPOS!B4041</f>
        <v/>
      </c>
      <c r="D4041">
        <f>BASE_EQUIPOS!D4041</f>
        <v/>
      </c>
      <c r="E4041">
        <f>BASE_EQUIPOS!G4041</f>
        <v/>
      </c>
      <c r="F4041">
        <f>BASE_EQUIPOS!H4041</f>
        <v/>
      </c>
      <c r="G4041">
        <f>BASE_EQUIPOS!M4041</f>
        <v/>
      </c>
    </row>
    <row r="4042">
      <c r="A4042">
        <f>TRIM(BASE_EQUIPOS!N4042)</f>
        <v/>
      </c>
      <c r="B4042">
        <f>BASE_EQUIPOS!A4042</f>
        <v/>
      </c>
      <c r="C4042">
        <f>BASE_EQUIPOS!B4042</f>
        <v/>
      </c>
      <c r="D4042">
        <f>BASE_EQUIPOS!D4042</f>
        <v/>
      </c>
      <c r="E4042">
        <f>BASE_EQUIPOS!G4042</f>
        <v/>
      </c>
      <c r="F4042">
        <f>BASE_EQUIPOS!H4042</f>
        <v/>
      </c>
      <c r="G4042">
        <f>BASE_EQUIPOS!M4042</f>
        <v/>
      </c>
    </row>
    <row r="4043">
      <c r="A4043">
        <f>TRIM(BASE_EQUIPOS!N4043)</f>
        <v/>
      </c>
      <c r="B4043">
        <f>BASE_EQUIPOS!A4043</f>
        <v/>
      </c>
      <c r="C4043">
        <f>BASE_EQUIPOS!B4043</f>
        <v/>
      </c>
      <c r="D4043">
        <f>BASE_EQUIPOS!D4043</f>
        <v/>
      </c>
      <c r="E4043">
        <f>BASE_EQUIPOS!G4043</f>
        <v/>
      </c>
      <c r="F4043">
        <f>BASE_EQUIPOS!H4043</f>
        <v/>
      </c>
      <c r="G4043">
        <f>BASE_EQUIPOS!M4043</f>
        <v/>
      </c>
    </row>
    <row r="4044">
      <c r="A4044">
        <f>TRIM(BASE_EQUIPOS!N4044)</f>
        <v/>
      </c>
      <c r="B4044">
        <f>BASE_EQUIPOS!A4044</f>
        <v/>
      </c>
      <c r="C4044">
        <f>BASE_EQUIPOS!B4044</f>
        <v/>
      </c>
      <c r="D4044">
        <f>BASE_EQUIPOS!D4044</f>
        <v/>
      </c>
      <c r="E4044">
        <f>BASE_EQUIPOS!G4044</f>
        <v/>
      </c>
      <c r="F4044">
        <f>BASE_EQUIPOS!H4044</f>
        <v/>
      </c>
      <c r="G4044">
        <f>BASE_EQUIPOS!M4044</f>
        <v/>
      </c>
    </row>
    <row r="4045">
      <c r="A4045">
        <f>TRIM(BASE_EQUIPOS!N4045)</f>
        <v/>
      </c>
      <c r="B4045">
        <f>BASE_EQUIPOS!A4045</f>
        <v/>
      </c>
      <c r="C4045">
        <f>BASE_EQUIPOS!B4045</f>
        <v/>
      </c>
      <c r="D4045">
        <f>BASE_EQUIPOS!D4045</f>
        <v/>
      </c>
      <c r="E4045">
        <f>BASE_EQUIPOS!G4045</f>
        <v/>
      </c>
      <c r="F4045">
        <f>BASE_EQUIPOS!H4045</f>
        <v/>
      </c>
      <c r="G4045">
        <f>BASE_EQUIPOS!M4045</f>
        <v/>
      </c>
    </row>
    <row r="4046">
      <c r="A4046">
        <f>TRIM(BASE_EQUIPOS!N4046)</f>
        <v/>
      </c>
      <c r="B4046">
        <f>BASE_EQUIPOS!A4046</f>
        <v/>
      </c>
      <c r="C4046">
        <f>BASE_EQUIPOS!B4046</f>
        <v/>
      </c>
      <c r="D4046">
        <f>BASE_EQUIPOS!D4046</f>
        <v/>
      </c>
      <c r="E4046">
        <f>BASE_EQUIPOS!G4046</f>
        <v/>
      </c>
      <c r="F4046">
        <f>BASE_EQUIPOS!H4046</f>
        <v/>
      </c>
      <c r="G4046">
        <f>BASE_EQUIPOS!M4046</f>
        <v/>
      </c>
    </row>
    <row r="4047">
      <c r="A4047">
        <f>TRIM(BASE_EQUIPOS!N4047)</f>
        <v/>
      </c>
      <c r="B4047">
        <f>BASE_EQUIPOS!A4047</f>
        <v/>
      </c>
      <c r="C4047">
        <f>BASE_EQUIPOS!B4047</f>
        <v/>
      </c>
      <c r="D4047">
        <f>BASE_EQUIPOS!D4047</f>
        <v/>
      </c>
      <c r="E4047">
        <f>BASE_EQUIPOS!G4047</f>
        <v/>
      </c>
      <c r="F4047">
        <f>BASE_EQUIPOS!H4047</f>
        <v/>
      </c>
      <c r="G4047">
        <f>BASE_EQUIPOS!M4047</f>
        <v/>
      </c>
    </row>
    <row r="4048">
      <c r="A4048">
        <f>TRIM(BASE_EQUIPOS!N4048)</f>
        <v/>
      </c>
      <c r="B4048">
        <f>BASE_EQUIPOS!A4048</f>
        <v/>
      </c>
      <c r="C4048">
        <f>BASE_EQUIPOS!B4048</f>
        <v/>
      </c>
      <c r="D4048">
        <f>BASE_EQUIPOS!D4048</f>
        <v/>
      </c>
      <c r="E4048">
        <f>BASE_EQUIPOS!G4048</f>
        <v/>
      </c>
      <c r="F4048">
        <f>BASE_EQUIPOS!H4048</f>
        <v/>
      </c>
      <c r="G4048">
        <f>BASE_EQUIPOS!M4048</f>
        <v/>
      </c>
    </row>
    <row r="4049">
      <c r="A4049">
        <f>TRIM(BASE_EQUIPOS!N4049)</f>
        <v/>
      </c>
      <c r="B4049">
        <f>BASE_EQUIPOS!A4049</f>
        <v/>
      </c>
      <c r="C4049">
        <f>BASE_EQUIPOS!B4049</f>
        <v/>
      </c>
      <c r="D4049">
        <f>BASE_EQUIPOS!D4049</f>
        <v/>
      </c>
      <c r="E4049">
        <f>BASE_EQUIPOS!G4049</f>
        <v/>
      </c>
      <c r="F4049">
        <f>BASE_EQUIPOS!H4049</f>
        <v/>
      </c>
      <c r="G4049">
        <f>BASE_EQUIPOS!M4049</f>
        <v/>
      </c>
    </row>
    <row r="4050">
      <c r="A4050">
        <f>TRIM(BASE_EQUIPOS!N4050)</f>
        <v/>
      </c>
      <c r="B4050">
        <f>BASE_EQUIPOS!A4050</f>
        <v/>
      </c>
      <c r="C4050">
        <f>BASE_EQUIPOS!B4050</f>
        <v/>
      </c>
      <c r="D4050">
        <f>BASE_EQUIPOS!D4050</f>
        <v/>
      </c>
      <c r="E4050">
        <f>BASE_EQUIPOS!G4050</f>
        <v/>
      </c>
      <c r="F4050">
        <f>BASE_EQUIPOS!H4050</f>
        <v/>
      </c>
      <c r="G4050">
        <f>BASE_EQUIPOS!M4050</f>
        <v/>
      </c>
    </row>
    <row r="4051">
      <c r="A4051">
        <f>TRIM(BASE_EQUIPOS!N4051)</f>
        <v/>
      </c>
      <c r="B4051">
        <f>BASE_EQUIPOS!A4051</f>
        <v/>
      </c>
      <c r="C4051">
        <f>BASE_EQUIPOS!B4051</f>
        <v/>
      </c>
      <c r="D4051">
        <f>BASE_EQUIPOS!D4051</f>
        <v/>
      </c>
      <c r="E4051">
        <f>BASE_EQUIPOS!G4051</f>
        <v/>
      </c>
      <c r="F4051">
        <f>BASE_EQUIPOS!H4051</f>
        <v/>
      </c>
      <c r="G4051">
        <f>BASE_EQUIPOS!M4051</f>
        <v/>
      </c>
    </row>
    <row r="4052">
      <c r="A4052">
        <f>TRIM(BASE_EQUIPOS!N4052)</f>
        <v/>
      </c>
      <c r="B4052">
        <f>BASE_EQUIPOS!A4052</f>
        <v/>
      </c>
      <c r="C4052">
        <f>BASE_EQUIPOS!B4052</f>
        <v/>
      </c>
      <c r="D4052">
        <f>BASE_EQUIPOS!D4052</f>
        <v/>
      </c>
      <c r="E4052">
        <f>BASE_EQUIPOS!G4052</f>
        <v/>
      </c>
      <c r="F4052">
        <f>BASE_EQUIPOS!H4052</f>
        <v/>
      </c>
      <c r="G4052">
        <f>BASE_EQUIPOS!M4052</f>
        <v/>
      </c>
    </row>
    <row r="4053">
      <c r="A4053">
        <f>TRIM(BASE_EQUIPOS!N4053)</f>
        <v/>
      </c>
      <c r="B4053">
        <f>BASE_EQUIPOS!A4053</f>
        <v/>
      </c>
      <c r="C4053">
        <f>BASE_EQUIPOS!B4053</f>
        <v/>
      </c>
      <c r="D4053">
        <f>BASE_EQUIPOS!D4053</f>
        <v/>
      </c>
      <c r="E4053">
        <f>BASE_EQUIPOS!G4053</f>
        <v/>
      </c>
      <c r="F4053">
        <f>BASE_EQUIPOS!H4053</f>
        <v/>
      </c>
      <c r="G4053">
        <f>BASE_EQUIPOS!M4053</f>
        <v/>
      </c>
    </row>
    <row r="4054">
      <c r="A4054">
        <f>TRIM(BASE_EQUIPOS!N4054)</f>
        <v/>
      </c>
      <c r="B4054">
        <f>BASE_EQUIPOS!A4054</f>
        <v/>
      </c>
      <c r="C4054">
        <f>BASE_EQUIPOS!B4054</f>
        <v/>
      </c>
      <c r="D4054">
        <f>BASE_EQUIPOS!D4054</f>
        <v/>
      </c>
      <c r="E4054">
        <f>BASE_EQUIPOS!G4054</f>
        <v/>
      </c>
      <c r="F4054">
        <f>BASE_EQUIPOS!H4054</f>
        <v/>
      </c>
      <c r="G4054">
        <f>BASE_EQUIPOS!M4054</f>
        <v/>
      </c>
    </row>
    <row r="4055">
      <c r="A4055">
        <f>TRIM(BASE_EQUIPOS!N4055)</f>
        <v/>
      </c>
      <c r="B4055">
        <f>BASE_EQUIPOS!A4055</f>
        <v/>
      </c>
      <c r="C4055">
        <f>BASE_EQUIPOS!B4055</f>
        <v/>
      </c>
      <c r="D4055">
        <f>BASE_EQUIPOS!D4055</f>
        <v/>
      </c>
      <c r="E4055">
        <f>BASE_EQUIPOS!G4055</f>
        <v/>
      </c>
      <c r="F4055">
        <f>BASE_EQUIPOS!H4055</f>
        <v/>
      </c>
      <c r="G4055">
        <f>BASE_EQUIPOS!M4055</f>
        <v/>
      </c>
    </row>
    <row r="4056">
      <c r="A4056">
        <f>TRIM(BASE_EQUIPOS!N4056)</f>
        <v/>
      </c>
      <c r="B4056">
        <f>BASE_EQUIPOS!A4056</f>
        <v/>
      </c>
      <c r="C4056">
        <f>BASE_EQUIPOS!B4056</f>
        <v/>
      </c>
      <c r="D4056">
        <f>BASE_EQUIPOS!D4056</f>
        <v/>
      </c>
      <c r="E4056">
        <f>BASE_EQUIPOS!G4056</f>
        <v/>
      </c>
      <c r="F4056">
        <f>BASE_EQUIPOS!H4056</f>
        <v/>
      </c>
      <c r="G4056">
        <f>BASE_EQUIPOS!M4056</f>
        <v/>
      </c>
    </row>
    <row r="4057">
      <c r="A4057">
        <f>TRIM(BASE_EQUIPOS!N4057)</f>
        <v/>
      </c>
      <c r="B4057">
        <f>BASE_EQUIPOS!A4057</f>
        <v/>
      </c>
      <c r="C4057">
        <f>BASE_EQUIPOS!B4057</f>
        <v/>
      </c>
      <c r="D4057">
        <f>BASE_EQUIPOS!D4057</f>
        <v/>
      </c>
      <c r="E4057">
        <f>BASE_EQUIPOS!G4057</f>
        <v/>
      </c>
      <c r="F4057">
        <f>BASE_EQUIPOS!H4057</f>
        <v/>
      </c>
      <c r="G4057">
        <f>BASE_EQUIPOS!M4057</f>
        <v/>
      </c>
    </row>
    <row r="4058">
      <c r="A4058">
        <f>TRIM(BASE_EQUIPOS!N4058)</f>
        <v/>
      </c>
      <c r="B4058">
        <f>BASE_EQUIPOS!A4058</f>
        <v/>
      </c>
      <c r="C4058">
        <f>BASE_EQUIPOS!B4058</f>
        <v/>
      </c>
      <c r="D4058">
        <f>BASE_EQUIPOS!D4058</f>
        <v/>
      </c>
      <c r="E4058">
        <f>BASE_EQUIPOS!G4058</f>
        <v/>
      </c>
      <c r="F4058">
        <f>BASE_EQUIPOS!H4058</f>
        <v/>
      </c>
      <c r="G4058">
        <f>BASE_EQUIPOS!M4058</f>
        <v/>
      </c>
    </row>
    <row r="4059">
      <c r="A4059">
        <f>TRIM(BASE_EQUIPOS!N4059)</f>
        <v/>
      </c>
      <c r="B4059">
        <f>BASE_EQUIPOS!A4059</f>
        <v/>
      </c>
      <c r="C4059">
        <f>BASE_EQUIPOS!B4059</f>
        <v/>
      </c>
      <c r="D4059">
        <f>BASE_EQUIPOS!D4059</f>
        <v/>
      </c>
      <c r="E4059">
        <f>BASE_EQUIPOS!G4059</f>
        <v/>
      </c>
      <c r="F4059">
        <f>BASE_EQUIPOS!H4059</f>
        <v/>
      </c>
      <c r="G4059">
        <f>BASE_EQUIPOS!M4059</f>
        <v/>
      </c>
    </row>
    <row r="4060">
      <c r="A4060">
        <f>TRIM(BASE_EQUIPOS!N4060)</f>
        <v/>
      </c>
      <c r="B4060">
        <f>BASE_EQUIPOS!A4060</f>
        <v/>
      </c>
      <c r="C4060">
        <f>BASE_EQUIPOS!B4060</f>
        <v/>
      </c>
      <c r="D4060">
        <f>BASE_EQUIPOS!D4060</f>
        <v/>
      </c>
      <c r="E4060">
        <f>BASE_EQUIPOS!G4060</f>
        <v/>
      </c>
      <c r="F4060">
        <f>BASE_EQUIPOS!H4060</f>
        <v/>
      </c>
      <c r="G4060">
        <f>BASE_EQUIPOS!M4060</f>
        <v/>
      </c>
    </row>
    <row r="4061">
      <c r="A4061">
        <f>TRIM(BASE_EQUIPOS!N4061)</f>
        <v/>
      </c>
      <c r="B4061">
        <f>BASE_EQUIPOS!A4061</f>
        <v/>
      </c>
      <c r="C4061">
        <f>BASE_EQUIPOS!B4061</f>
        <v/>
      </c>
      <c r="D4061">
        <f>BASE_EQUIPOS!D4061</f>
        <v/>
      </c>
      <c r="E4061">
        <f>BASE_EQUIPOS!G4061</f>
        <v/>
      </c>
      <c r="F4061">
        <f>BASE_EQUIPOS!H4061</f>
        <v/>
      </c>
      <c r="G4061">
        <f>BASE_EQUIPOS!M4061</f>
        <v/>
      </c>
    </row>
    <row r="4062">
      <c r="A4062">
        <f>TRIM(BASE_EQUIPOS!N4062)</f>
        <v/>
      </c>
      <c r="B4062">
        <f>BASE_EQUIPOS!A4062</f>
        <v/>
      </c>
      <c r="C4062">
        <f>BASE_EQUIPOS!B4062</f>
        <v/>
      </c>
      <c r="D4062">
        <f>BASE_EQUIPOS!D4062</f>
        <v/>
      </c>
      <c r="E4062">
        <f>BASE_EQUIPOS!G4062</f>
        <v/>
      </c>
      <c r="F4062">
        <f>BASE_EQUIPOS!H4062</f>
        <v/>
      </c>
      <c r="G4062">
        <f>BASE_EQUIPOS!M4062</f>
        <v/>
      </c>
    </row>
    <row r="4063">
      <c r="A4063">
        <f>TRIM(BASE_EQUIPOS!N4063)</f>
        <v/>
      </c>
      <c r="B4063">
        <f>BASE_EQUIPOS!A4063</f>
        <v/>
      </c>
      <c r="C4063">
        <f>BASE_EQUIPOS!B4063</f>
        <v/>
      </c>
      <c r="D4063">
        <f>BASE_EQUIPOS!D4063</f>
        <v/>
      </c>
      <c r="E4063">
        <f>BASE_EQUIPOS!G4063</f>
        <v/>
      </c>
      <c r="F4063">
        <f>BASE_EQUIPOS!H4063</f>
        <v/>
      </c>
      <c r="G4063">
        <f>BASE_EQUIPOS!M4063</f>
        <v/>
      </c>
    </row>
    <row r="4064">
      <c r="A4064">
        <f>TRIM(BASE_EQUIPOS!N4064)</f>
        <v/>
      </c>
      <c r="B4064">
        <f>BASE_EQUIPOS!A4064</f>
        <v/>
      </c>
      <c r="C4064">
        <f>BASE_EQUIPOS!B4064</f>
        <v/>
      </c>
      <c r="D4064">
        <f>BASE_EQUIPOS!D4064</f>
        <v/>
      </c>
      <c r="E4064">
        <f>BASE_EQUIPOS!G4064</f>
        <v/>
      </c>
      <c r="F4064">
        <f>BASE_EQUIPOS!H4064</f>
        <v/>
      </c>
      <c r="G4064">
        <f>BASE_EQUIPOS!M4064</f>
        <v/>
      </c>
    </row>
    <row r="4065">
      <c r="A4065">
        <f>TRIM(BASE_EQUIPOS!N4065)</f>
        <v/>
      </c>
      <c r="B4065">
        <f>BASE_EQUIPOS!A4065</f>
        <v/>
      </c>
      <c r="C4065">
        <f>BASE_EQUIPOS!B4065</f>
        <v/>
      </c>
      <c r="D4065">
        <f>BASE_EQUIPOS!D4065</f>
        <v/>
      </c>
      <c r="E4065">
        <f>BASE_EQUIPOS!G4065</f>
        <v/>
      </c>
      <c r="F4065">
        <f>BASE_EQUIPOS!H4065</f>
        <v/>
      </c>
      <c r="G4065">
        <f>BASE_EQUIPOS!M4065</f>
        <v/>
      </c>
    </row>
    <row r="4066">
      <c r="A4066">
        <f>TRIM(BASE_EQUIPOS!N4066)</f>
        <v/>
      </c>
      <c r="B4066">
        <f>BASE_EQUIPOS!A4066</f>
        <v/>
      </c>
      <c r="C4066">
        <f>BASE_EQUIPOS!B4066</f>
        <v/>
      </c>
      <c r="D4066">
        <f>BASE_EQUIPOS!D4066</f>
        <v/>
      </c>
      <c r="E4066">
        <f>BASE_EQUIPOS!G4066</f>
        <v/>
      </c>
      <c r="F4066">
        <f>BASE_EQUIPOS!H4066</f>
        <v/>
      </c>
      <c r="G4066">
        <f>BASE_EQUIPOS!M4066</f>
        <v/>
      </c>
    </row>
    <row r="4067">
      <c r="A4067">
        <f>TRIM(BASE_EQUIPOS!N4067)</f>
        <v/>
      </c>
      <c r="B4067">
        <f>BASE_EQUIPOS!A4067</f>
        <v/>
      </c>
      <c r="C4067">
        <f>BASE_EQUIPOS!B4067</f>
        <v/>
      </c>
      <c r="D4067">
        <f>BASE_EQUIPOS!D4067</f>
        <v/>
      </c>
      <c r="E4067">
        <f>BASE_EQUIPOS!G4067</f>
        <v/>
      </c>
      <c r="F4067">
        <f>BASE_EQUIPOS!H4067</f>
        <v/>
      </c>
      <c r="G4067">
        <f>BASE_EQUIPOS!M4067</f>
        <v/>
      </c>
    </row>
    <row r="4068">
      <c r="A4068">
        <f>TRIM(BASE_EQUIPOS!N4068)</f>
        <v/>
      </c>
      <c r="B4068">
        <f>BASE_EQUIPOS!A4068</f>
        <v/>
      </c>
      <c r="C4068">
        <f>BASE_EQUIPOS!B4068</f>
        <v/>
      </c>
      <c r="D4068">
        <f>BASE_EQUIPOS!D4068</f>
        <v/>
      </c>
      <c r="E4068">
        <f>BASE_EQUIPOS!G4068</f>
        <v/>
      </c>
      <c r="F4068">
        <f>BASE_EQUIPOS!H4068</f>
        <v/>
      </c>
      <c r="G4068">
        <f>BASE_EQUIPOS!M4068</f>
        <v/>
      </c>
    </row>
    <row r="4069">
      <c r="A4069">
        <f>TRIM(BASE_EQUIPOS!N4069)</f>
        <v/>
      </c>
      <c r="B4069">
        <f>BASE_EQUIPOS!A4069</f>
        <v/>
      </c>
      <c r="C4069">
        <f>BASE_EQUIPOS!B4069</f>
        <v/>
      </c>
      <c r="D4069">
        <f>BASE_EQUIPOS!D4069</f>
        <v/>
      </c>
      <c r="E4069">
        <f>BASE_EQUIPOS!G4069</f>
        <v/>
      </c>
      <c r="F4069">
        <f>BASE_EQUIPOS!H4069</f>
        <v/>
      </c>
      <c r="G4069">
        <f>BASE_EQUIPOS!M4069</f>
        <v/>
      </c>
    </row>
    <row r="4070">
      <c r="A4070">
        <f>TRIM(BASE_EQUIPOS!N4070)</f>
        <v/>
      </c>
      <c r="B4070">
        <f>BASE_EQUIPOS!A4070</f>
        <v/>
      </c>
      <c r="C4070">
        <f>BASE_EQUIPOS!B4070</f>
        <v/>
      </c>
      <c r="D4070">
        <f>BASE_EQUIPOS!D4070</f>
        <v/>
      </c>
      <c r="E4070">
        <f>BASE_EQUIPOS!G4070</f>
        <v/>
      </c>
      <c r="F4070">
        <f>BASE_EQUIPOS!H4070</f>
        <v/>
      </c>
      <c r="G4070">
        <f>BASE_EQUIPOS!M4070</f>
        <v/>
      </c>
    </row>
    <row r="4071">
      <c r="A4071">
        <f>TRIM(BASE_EQUIPOS!N4071)</f>
        <v/>
      </c>
      <c r="B4071">
        <f>BASE_EQUIPOS!A4071</f>
        <v/>
      </c>
      <c r="C4071">
        <f>BASE_EQUIPOS!B4071</f>
        <v/>
      </c>
      <c r="D4071">
        <f>BASE_EQUIPOS!D4071</f>
        <v/>
      </c>
      <c r="E4071">
        <f>BASE_EQUIPOS!G4071</f>
        <v/>
      </c>
      <c r="F4071">
        <f>BASE_EQUIPOS!H4071</f>
        <v/>
      </c>
      <c r="G4071">
        <f>BASE_EQUIPOS!M4071</f>
        <v/>
      </c>
    </row>
    <row r="4072">
      <c r="A4072">
        <f>TRIM(BASE_EQUIPOS!N4072)</f>
        <v/>
      </c>
      <c r="B4072">
        <f>BASE_EQUIPOS!A4072</f>
        <v/>
      </c>
      <c r="C4072">
        <f>BASE_EQUIPOS!B4072</f>
        <v/>
      </c>
      <c r="D4072">
        <f>BASE_EQUIPOS!D4072</f>
        <v/>
      </c>
      <c r="E4072">
        <f>BASE_EQUIPOS!G4072</f>
        <v/>
      </c>
      <c r="F4072">
        <f>BASE_EQUIPOS!H4072</f>
        <v/>
      </c>
      <c r="G4072">
        <f>BASE_EQUIPOS!M4072</f>
        <v/>
      </c>
    </row>
    <row r="4073">
      <c r="A4073">
        <f>TRIM(BASE_EQUIPOS!N4073)</f>
        <v/>
      </c>
      <c r="B4073">
        <f>BASE_EQUIPOS!A4073</f>
        <v/>
      </c>
      <c r="C4073">
        <f>BASE_EQUIPOS!B4073</f>
        <v/>
      </c>
      <c r="D4073">
        <f>BASE_EQUIPOS!D4073</f>
        <v/>
      </c>
      <c r="E4073">
        <f>BASE_EQUIPOS!G4073</f>
        <v/>
      </c>
      <c r="F4073">
        <f>BASE_EQUIPOS!H4073</f>
        <v/>
      </c>
      <c r="G4073">
        <f>BASE_EQUIPOS!M4073</f>
        <v/>
      </c>
    </row>
    <row r="4074">
      <c r="A4074">
        <f>TRIM(BASE_EQUIPOS!N4074)</f>
        <v/>
      </c>
      <c r="B4074">
        <f>BASE_EQUIPOS!A4074</f>
        <v/>
      </c>
      <c r="C4074">
        <f>BASE_EQUIPOS!B4074</f>
        <v/>
      </c>
      <c r="D4074">
        <f>BASE_EQUIPOS!D4074</f>
        <v/>
      </c>
      <c r="E4074">
        <f>BASE_EQUIPOS!G4074</f>
        <v/>
      </c>
      <c r="F4074">
        <f>BASE_EQUIPOS!H4074</f>
        <v/>
      </c>
      <c r="G4074">
        <f>BASE_EQUIPOS!M4074</f>
        <v/>
      </c>
    </row>
    <row r="4075">
      <c r="A4075">
        <f>TRIM(BASE_EQUIPOS!N4075)</f>
        <v/>
      </c>
      <c r="B4075">
        <f>BASE_EQUIPOS!A4075</f>
        <v/>
      </c>
      <c r="C4075">
        <f>BASE_EQUIPOS!B4075</f>
        <v/>
      </c>
      <c r="D4075">
        <f>BASE_EQUIPOS!D4075</f>
        <v/>
      </c>
      <c r="E4075">
        <f>BASE_EQUIPOS!G4075</f>
        <v/>
      </c>
      <c r="F4075">
        <f>BASE_EQUIPOS!H4075</f>
        <v/>
      </c>
      <c r="G4075">
        <f>BASE_EQUIPOS!M4075</f>
        <v/>
      </c>
    </row>
    <row r="4076">
      <c r="A4076">
        <f>TRIM(BASE_EQUIPOS!N4076)</f>
        <v/>
      </c>
      <c r="B4076">
        <f>BASE_EQUIPOS!A4076</f>
        <v/>
      </c>
      <c r="C4076">
        <f>BASE_EQUIPOS!B4076</f>
        <v/>
      </c>
      <c r="D4076">
        <f>BASE_EQUIPOS!D4076</f>
        <v/>
      </c>
      <c r="E4076">
        <f>BASE_EQUIPOS!G4076</f>
        <v/>
      </c>
      <c r="F4076">
        <f>BASE_EQUIPOS!H4076</f>
        <v/>
      </c>
      <c r="G4076">
        <f>BASE_EQUIPOS!M4076</f>
        <v/>
      </c>
    </row>
    <row r="4077">
      <c r="A4077">
        <f>TRIM(BASE_EQUIPOS!N4077)</f>
        <v/>
      </c>
      <c r="B4077">
        <f>BASE_EQUIPOS!A4077</f>
        <v/>
      </c>
      <c r="C4077">
        <f>BASE_EQUIPOS!B4077</f>
        <v/>
      </c>
      <c r="D4077">
        <f>BASE_EQUIPOS!D4077</f>
        <v/>
      </c>
      <c r="E4077">
        <f>BASE_EQUIPOS!G4077</f>
        <v/>
      </c>
      <c r="F4077">
        <f>BASE_EQUIPOS!H4077</f>
        <v/>
      </c>
      <c r="G4077">
        <f>BASE_EQUIPOS!M4077</f>
        <v/>
      </c>
    </row>
    <row r="4078">
      <c r="A4078">
        <f>TRIM(BASE_EQUIPOS!N4078)</f>
        <v/>
      </c>
      <c r="B4078">
        <f>BASE_EQUIPOS!A4078</f>
        <v/>
      </c>
      <c r="C4078">
        <f>BASE_EQUIPOS!B4078</f>
        <v/>
      </c>
      <c r="D4078">
        <f>BASE_EQUIPOS!D4078</f>
        <v/>
      </c>
      <c r="E4078">
        <f>BASE_EQUIPOS!G4078</f>
        <v/>
      </c>
      <c r="F4078">
        <f>BASE_EQUIPOS!H4078</f>
        <v/>
      </c>
      <c r="G4078">
        <f>BASE_EQUIPOS!M4078</f>
        <v/>
      </c>
    </row>
    <row r="4079">
      <c r="A4079">
        <f>TRIM(BASE_EQUIPOS!N4079)</f>
        <v/>
      </c>
      <c r="B4079">
        <f>BASE_EQUIPOS!A4079</f>
        <v/>
      </c>
      <c r="C4079">
        <f>BASE_EQUIPOS!B4079</f>
        <v/>
      </c>
      <c r="D4079">
        <f>BASE_EQUIPOS!D4079</f>
        <v/>
      </c>
      <c r="E4079">
        <f>BASE_EQUIPOS!G4079</f>
        <v/>
      </c>
      <c r="F4079">
        <f>BASE_EQUIPOS!H4079</f>
        <v/>
      </c>
      <c r="G4079">
        <f>BASE_EQUIPOS!M4079</f>
        <v/>
      </c>
    </row>
    <row r="4080">
      <c r="A4080">
        <f>TRIM(BASE_EQUIPOS!N4080)</f>
        <v/>
      </c>
      <c r="B4080">
        <f>BASE_EQUIPOS!A4080</f>
        <v/>
      </c>
      <c r="C4080">
        <f>BASE_EQUIPOS!B4080</f>
        <v/>
      </c>
      <c r="D4080">
        <f>BASE_EQUIPOS!D4080</f>
        <v/>
      </c>
      <c r="E4080">
        <f>BASE_EQUIPOS!G4080</f>
        <v/>
      </c>
      <c r="F4080">
        <f>BASE_EQUIPOS!H4080</f>
        <v/>
      </c>
      <c r="G4080">
        <f>BASE_EQUIPOS!M4080</f>
        <v/>
      </c>
    </row>
    <row r="4081">
      <c r="A4081">
        <f>TRIM(BASE_EQUIPOS!N4081)</f>
        <v/>
      </c>
      <c r="B4081">
        <f>BASE_EQUIPOS!A4081</f>
        <v/>
      </c>
      <c r="C4081">
        <f>BASE_EQUIPOS!B4081</f>
        <v/>
      </c>
      <c r="D4081">
        <f>BASE_EQUIPOS!D4081</f>
        <v/>
      </c>
      <c r="E4081">
        <f>BASE_EQUIPOS!G4081</f>
        <v/>
      </c>
      <c r="F4081">
        <f>BASE_EQUIPOS!H4081</f>
        <v/>
      </c>
      <c r="G4081">
        <f>BASE_EQUIPOS!M4081</f>
        <v/>
      </c>
    </row>
    <row r="4082">
      <c r="A4082">
        <f>TRIM(BASE_EQUIPOS!N4082)</f>
        <v/>
      </c>
      <c r="B4082">
        <f>BASE_EQUIPOS!A4082</f>
        <v/>
      </c>
      <c r="C4082">
        <f>BASE_EQUIPOS!B4082</f>
        <v/>
      </c>
      <c r="D4082">
        <f>BASE_EQUIPOS!D4082</f>
        <v/>
      </c>
      <c r="E4082">
        <f>BASE_EQUIPOS!G4082</f>
        <v/>
      </c>
      <c r="F4082">
        <f>BASE_EQUIPOS!H4082</f>
        <v/>
      </c>
      <c r="G4082">
        <f>BASE_EQUIPOS!M4082</f>
        <v/>
      </c>
    </row>
    <row r="4083">
      <c r="A4083">
        <f>TRIM(BASE_EQUIPOS!N4083)</f>
        <v/>
      </c>
      <c r="B4083">
        <f>BASE_EQUIPOS!A4083</f>
        <v/>
      </c>
      <c r="C4083">
        <f>BASE_EQUIPOS!B4083</f>
        <v/>
      </c>
      <c r="D4083">
        <f>BASE_EQUIPOS!D4083</f>
        <v/>
      </c>
      <c r="E4083">
        <f>BASE_EQUIPOS!G4083</f>
        <v/>
      </c>
      <c r="F4083">
        <f>BASE_EQUIPOS!H4083</f>
        <v/>
      </c>
      <c r="G4083">
        <f>BASE_EQUIPOS!M4083</f>
        <v/>
      </c>
    </row>
    <row r="4084">
      <c r="A4084">
        <f>TRIM(BASE_EQUIPOS!N4084)</f>
        <v/>
      </c>
      <c r="B4084">
        <f>BASE_EQUIPOS!A4084</f>
        <v/>
      </c>
      <c r="C4084">
        <f>BASE_EQUIPOS!B4084</f>
        <v/>
      </c>
      <c r="D4084">
        <f>BASE_EQUIPOS!D4084</f>
        <v/>
      </c>
      <c r="E4084">
        <f>BASE_EQUIPOS!G4084</f>
        <v/>
      </c>
      <c r="F4084">
        <f>BASE_EQUIPOS!H4084</f>
        <v/>
      </c>
      <c r="G4084">
        <f>BASE_EQUIPOS!M4084</f>
        <v/>
      </c>
    </row>
    <row r="4085">
      <c r="A4085">
        <f>TRIM(BASE_EQUIPOS!N4085)</f>
        <v/>
      </c>
      <c r="B4085">
        <f>BASE_EQUIPOS!A4085</f>
        <v/>
      </c>
      <c r="C4085">
        <f>BASE_EQUIPOS!B4085</f>
        <v/>
      </c>
      <c r="D4085">
        <f>BASE_EQUIPOS!D4085</f>
        <v/>
      </c>
      <c r="E4085">
        <f>BASE_EQUIPOS!G4085</f>
        <v/>
      </c>
      <c r="F4085">
        <f>BASE_EQUIPOS!H4085</f>
        <v/>
      </c>
      <c r="G4085">
        <f>BASE_EQUIPOS!M4085</f>
        <v/>
      </c>
    </row>
    <row r="4086">
      <c r="A4086">
        <f>TRIM(BASE_EQUIPOS!N4086)</f>
        <v/>
      </c>
      <c r="B4086">
        <f>BASE_EQUIPOS!A4086</f>
        <v/>
      </c>
      <c r="C4086">
        <f>BASE_EQUIPOS!B4086</f>
        <v/>
      </c>
      <c r="D4086">
        <f>BASE_EQUIPOS!D4086</f>
        <v/>
      </c>
      <c r="E4086">
        <f>BASE_EQUIPOS!G4086</f>
        <v/>
      </c>
      <c r="F4086">
        <f>BASE_EQUIPOS!H4086</f>
        <v/>
      </c>
      <c r="G4086">
        <f>BASE_EQUIPOS!M4086</f>
        <v/>
      </c>
    </row>
    <row r="4087">
      <c r="A4087">
        <f>TRIM(BASE_EQUIPOS!N4087)</f>
        <v/>
      </c>
      <c r="B4087">
        <f>BASE_EQUIPOS!A4087</f>
        <v/>
      </c>
      <c r="C4087">
        <f>BASE_EQUIPOS!B4087</f>
        <v/>
      </c>
      <c r="D4087">
        <f>BASE_EQUIPOS!D4087</f>
        <v/>
      </c>
      <c r="E4087">
        <f>BASE_EQUIPOS!G4087</f>
        <v/>
      </c>
      <c r="F4087">
        <f>BASE_EQUIPOS!H4087</f>
        <v/>
      </c>
      <c r="G4087">
        <f>BASE_EQUIPOS!M4087</f>
        <v/>
      </c>
    </row>
    <row r="4088">
      <c r="A4088">
        <f>TRIM(BASE_EQUIPOS!N4088)</f>
        <v/>
      </c>
      <c r="B4088">
        <f>BASE_EQUIPOS!A4088</f>
        <v/>
      </c>
      <c r="C4088">
        <f>BASE_EQUIPOS!B4088</f>
        <v/>
      </c>
      <c r="D4088">
        <f>BASE_EQUIPOS!D4088</f>
        <v/>
      </c>
      <c r="E4088">
        <f>BASE_EQUIPOS!G4088</f>
        <v/>
      </c>
      <c r="F4088">
        <f>BASE_EQUIPOS!H4088</f>
        <v/>
      </c>
      <c r="G4088">
        <f>BASE_EQUIPOS!M4088</f>
        <v/>
      </c>
    </row>
    <row r="4089">
      <c r="A4089">
        <f>TRIM(BASE_EQUIPOS!N4089)</f>
        <v/>
      </c>
      <c r="B4089">
        <f>BASE_EQUIPOS!A4089</f>
        <v/>
      </c>
      <c r="C4089">
        <f>BASE_EQUIPOS!B4089</f>
        <v/>
      </c>
      <c r="D4089">
        <f>BASE_EQUIPOS!D4089</f>
        <v/>
      </c>
      <c r="E4089">
        <f>BASE_EQUIPOS!G4089</f>
        <v/>
      </c>
      <c r="F4089">
        <f>BASE_EQUIPOS!H4089</f>
        <v/>
      </c>
      <c r="G4089">
        <f>BASE_EQUIPOS!M4089</f>
        <v/>
      </c>
    </row>
    <row r="4090">
      <c r="A4090">
        <f>TRIM(BASE_EQUIPOS!N4090)</f>
        <v/>
      </c>
      <c r="B4090">
        <f>BASE_EQUIPOS!A4090</f>
        <v/>
      </c>
      <c r="C4090">
        <f>BASE_EQUIPOS!B4090</f>
        <v/>
      </c>
      <c r="D4090">
        <f>BASE_EQUIPOS!D4090</f>
        <v/>
      </c>
      <c r="E4090">
        <f>BASE_EQUIPOS!G4090</f>
        <v/>
      </c>
      <c r="F4090">
        <f>BASE_EQUIPOS!H4090</f>
        <v/>
      </c>
      <c r="G4090">
        <f>BASE_EQUIPOS!M4090</f>
        <v/>
      </c>
    </row>
    <row r="4091">
      <c r="A4091">
        <f>TRIM(BASE_EQUIPOS!N4091)</f>
        <v/>
      </c>
      <c r="B4091">
        <f>BASE_EQUIPOS!A4091</f>
        <v/>
      </c>
      <c r="C4091">
        <f>BASE_EQUIPOS!B4091</f>
        <v/>
      </c>
      <c r="D4091">
        <f>BASE_EQUIPOS!D4091</f>
        <v/>
      </c>
      <c r="E4091">
        <f>BASE_EQUIPOS!G4091</f>
        <v/>
      </c>
      <c r="F4091">
        <f>BASE_EQUIPOS!H4091</f>
        <v/>
      </c>
      <c r="G4091">
        <f>BASE_EQUIPOS!M4091</f>
        <v/>
      </c>
    </row>
    <row r="4092">
      <c r="A4092">
        <f>TRIM(BASE_EQUIPOS!N4092)</f>
        <v/>
      </c>
      <c r="B4092">
        <f>BASE_EQUIPOS!A4092</f>
        <v/>
      </c>
      <c r="C4092">
        <f>BASE_EQUIPOS!B4092</f>
        <v/>
      </c>
      <c r="D4092">
        <f>BASE_EQUIPOS!D4092</f>
        <v/>
      </c>
      <c r="E4092">
        <f>BASE_EQUIPOS!G4092</f>
        <v/>
      </c>
      <c r="F4092">
        <f>BASE_EQUIPOS!H4092</f>
        <v/>
      </c>
      <c r="G4092">
        <f>BASE_EQUIPOS!M4092</f>
        <v/>
      </c>
    </row>
    <row r="4093">
      <c r="A4093">
        <f>TRIM(BASE_EQUIPOS!N4093)</f>
        <v/>
      </c>
      <c r="B4093">
        <f>BASE_EQUIPOS!A4093</f>
        <v/>
      </c>
      <c r="C4093">
        <f>BASE_EQUIPOS!B4093</f>
        <v/>
      </c>
      <c r="D4093">
        <f>BASE_EQUIPOS!D4093</f>
        <v/>
      </c>
      <c r="E4093">
        <f>BASE_EQUIPOS!G4093</f>
        <v/>
      </c>
      <c r="F4093">
        <f>BASE_EQUIPOS!H4093</f>
        <v/>
      </c>
      <c r="G4093">
        <f>BASE_EQUIPOS!M4093</f>
        <v/>
      </c>
    </row>
    <row r="4094">
      <c r="A4094">
        <f>TRIM(BASE_EQUIPOS!N4094)</f>
        <v/>
      </c>
      <c r="B4094">
        <f>BASE_EQUIPOS!A4094</f>
        <v/>
      </c>
      <c r="C4094">
        <f>BASE_EQUIPOS!B4094</f>
        <v/>
      </c>
      <c r="D4094">
        <f>BASE_EQUIPOS!D4094</f>
        <v/>
      </c>
      <c r="E4094">
        <f>BASE_EQUIPOS!G4094</f>
        <v/>
      </c>
      <c r="F4094">
        <f>BASE_EQUIPOS!H4094</f>
        <v/>
      </c>
      <c r="G4094">
        <f>BASE_EQUIPOS!M4094</f>
        <v/>
      </c>
    </row>
    <row r="4095">
      <c r="A4095">
        <f>TRIM(BASE_EQUIPOS!N4095)</f>
        <v/>
      </c>
      <c r="B4095">
        <f>BASE_EQUIPOS!A4095</f>
        <v/>
      </c>
      <c r="C4095">
        <f>BASE_EQUIPOS!B4095</f>
        <v/>
      </c>
      <c r="D4095">
        <f>BASE_EQUIPOS!D4095</f>
        <v/>
      </c>
      <c r="E4095">
        <f>BASE_EQUIPOS!G4095</f>
        <v/>
      </c>
      <c r="F4095">
        <f>BASE_EQUIPOS!H4095</f>
        <v/>
      </c>
      <c r="G4095">
        <f>BASE_EQUIPOS!M4095</f>
        <v/>
      </c>
    </row>
    <row r="4096">
      <c r="A4096">
        <f>TRIM(BASE_EQUIPOS!N4096)</f>
        <v/>
      </c>
      <c r="B4096">
        <f>BASE_EQUIPOS!A4096</f>
        <v/>
      </c>
      <c r="C4096">
        <f>BASE_EQUIPOS!B4096</f>
        <v/>
      </c>
      <c r="D4096">
        <f>BASE_EQUIPOS!D4096</f>
        <v/>
      </c>
      <c r="E4096">
        <f>BASE_EQUIPOS!G4096</f>
        <v/>
      </c>
      <c r="F4096">
        <f>BASE_EQUIPOS!H4096</f>
        <v/>
      </c>
      <c r="G4096">
        <f>BASE_EQUIPOS!M4096</f>
        <v/>
      </c>
    </row>
    <row r="4097">
      <c r="A4097">
        <f>TRIM(BASE_EQUIPOS!N4097)</f>
        <v/>
      </c>
      <c r="B4097">
        <f>BASE_EQUIPOS!A4097</f>
        <v/>
      </c>
      <c r="C4097">
        <f>BASE_EQUIPOS!B4097</f>
        <v/>
      </c>
      <c r="D4097">
        <f>BASE_EQUIPOS!D4097</f>
        <v/>
      </c>
      <c r="E4097">
        <f>BASE_EQUIPOS!G4097</f>
        <v/>
      </c>
      <c r="F4097">
        <f>BASE_EQUIPOS!H4097</f>
        <v/>
      </c>
      <c r="G4097">
        <f>BASE_EQUIPOS!M4097</f>
        <v/>
      </c>
    </row>
    <row r="4098">
      <c r="A4098">
        <f>TRIM(BASE_EQUIPOS!N4098)</f>
        <v/>
      </c>
      <c r="B4098">
        <f>BASE_EQUIPOS!A4098</f>
        <v/>
      </c>
      <c r="C4098">
        <f>BASE_EQUIPOS!B4098</f>
        <v/>
      </c>
      <c r="D4098">
        <f>BASE_EQUIPOS!D4098</f>
        <v/>
      </c>
      <c r="E4098">
        <f>BASE_EQUIPOS!G4098</f>
        <v/>
      </c>
      <c r="F4098">
        <f>BASE_EQUIPOS!H4098</f>
        <v/>
      </c>
      <c r="G4098">
        <f>BASE_EQUIPOS!M4098</f>
        <v/>
      </c>
    </row>
    <row r="4099">
      <c r="A4099">
        <f>TRIM(BASE_EQUIPOS!N4099)</f>
        <v/>
      </c>
      <c r="B4099">
        <f>BASE_EQUIPOS!A4099</f>
        <v/>
      </c>
      <c r="C4099">
        <f>BASE_EQUIPOS!B4099</f>
        <v/>
      </c>
      <c r="D4099">
        <f>BASE_EQUIPOS!D4099</f>
        <v/>
      </c>
      <c r="E4099">
        <f>BASE_EQUIPOS!G4099</f>
        <v/>
      </c>
      <c r="F4099">
        <f>BASE_EQUIPOS!H4099</f>
        <v/>
      </c>
      <c r="G4099">
        <f>BASE_EQUIPOS!M4099</f>
        <v/>
      </c>
    </row>
    <row r="4100">
      <c r="A4100">
        <f>TRIM(BASE_EQUIPOS!N4100)</f>
        <v/>
      </c>
      <c r="B4100">
        <f>BASE_EQUIPOS!A4100</f>
        <v/>
      </c>
      <c r="C4100">
        <f>BASE_EQUIPOS!B4100</f>
        <v/>
      </c>
      <c r="D4100">
        <f>BASE_EQUIPOS!D4100</f>
        <v/>
      </c>
      <c r="E4100">
        <f>BASE_EQUIPOS!G4100</f>
        <v/>
      </c>
      <c r="F4100">
        <f>BASE_EQUIPOS!H4100</f>
        <v/>
      </c>
      <c r="G4100">
        <f>BASE_EQUIPOS!M4100</f>
        <v/>
      </c>
    </row>
    <row r="4101">
      <c r="A4101">
        <f>TRIM(BASE_EQUIPOS!N4101)</f>
        <v/>
      </c>
      <c r="B4101">
        <f>BASE_EQUIPOS!A4101</f>
        <v/>
      </c>
      <c r="C4101">
        <f>BASE_EQUIPOS!B4101</f>
        <v/>
      </c>
      <c r="D4101">
        <f>BASE_EQUIPOS!D4101</f>
        <v/>
      </c>
      <c r="E4101">
        <f>BASE_EQUIPOS!G4101</f>
        <v/>
      </c>
      <c r="F4101">
        <f>BASE_EQUIPOS!H4101</f>
        <v/>
      </c>
      <c r="G4101">
        <f>BASE_EQUIPOS!M4101</f>
        <v/>
      </c>
    </row>
    <row r="4102">
      <c r="A4102">
        <f>TRIM(BASE_EQUIPOS!N4102)</f>
        <v/>
      </c>
      <c r="B4102">
        <f>BASE_EQUIPOS!A4102</f>
        <v/>
      </c>
      <c r="C4102">
        <f>BASE_EQUIPOS!B4102</f>
        <v/>
      </c>
      <c r="D4102">
        <f>BASE_EQUIPOS!D4102</f>
        <v/>
      </c>
      <c r="E4102">
        <f>BASE_EQUIPOS!G4102</f>
        <v/>
      </c>
      <c r="F4102">
        <f>BASE_EQUIPOS!H4102</f>
        <v/>
      </c>
      <c r="G4102">
        <f>BASE_EQUIPOS!M4102</f>
        <v/>
      </c>
    </row>
    <row r="4103">
      <c r="A4103">
        <f>TRIM(BASE_EQUIPOS!N4103)</f>
        <v/>
      </c>
      <c r="B4103">
        <f>BASE_EQUIPOS!A4103</f>
        <v/>
      </c>
      <c r="C4103">
        <f>BASE_EQUIPOS!B4103</f>
        <v/>
      </c>
      <c r="D4103">
        <f>BASE_EQUIPOS!D4103</f>
        <v/>
      </c>
      <c r="E4103">
        <f>BASE_EQUIPOS!G4103</f>
        <v/>
      </c>
      <c r="F4103">
        <f>BASE_EQUIPOS!H4103</f>
        <v/>
      </c>
      <c r="G4103">
        <f>BASE_EQUIPOS!M4103</f>
        <v/>
      </c>
    </row>
    <row r="4104">
      <c r="A4104">
        <f>TRIM(BASE_EQUIPOS!N4104)</f>
        <v/>
      </c>
      <c r="B4104">
        <f>BASE_EQUIPOS!A4104</f>
        <v/>
      </c>
      <c r="C4104">
        <f>BASE_EQUIPOS!B4104</f>
        <v/>
      </c>
      <c r="D4104">
        <f>BASE_EQUIPOS!D4104</f>
        <v/>
      </c>
      <c r="E4104">
        <f>BASE_EQUIPOS!G4104</f>
        <v/>
      </c>
      <c r="F4104">
        <f>BASE_EQUIPOS!H4104</f>
        <v/>
      </c>
      <c r="G4104">
        <f>BASE_EQUIPOS!M4104</f>
        <v/>
      </c>
    </row>
    <row r="4105">
      <c r="A4105">
        <f>TRIM(BASE_EQUIPOS!N4105)</f>
        <v/>
      </c>
      <c r="B4105">
        <f>BASE_EQUIPOS!A4105</f>
        <v/>
      </c>
      <c r="C4105">
        <f>BASE_EQUIPOS!B4105</f>
        <v/>
      </c>
      <c r="D4105">
        <f>BASE_EQUIPOS!D4105</f>
        <v/>
      </c>
      <c r="E4105">
        <f>BASE_EQUIPOS!G4105</f>
        <v/>
      </c>
      <c r="F4105">
        <f>BASE_EQUIPOS!H4105</f>
        <v/>
      </c>
      <c r="G4105">
        <f>BASE_EQUIPOS!M4105</f>
        <v/>
      </c>
    </row>
    <row r="4106">
      <c r="A4106">
        <f>TRIM(BASE_EQUIPOS!N4106)</f>
        <v/>
      </c>
      <c r="B4106">
        <f>BASE_EQUIPOS!A4106</f>
        <v/>
      </c>
      <c r="C4106">
        <f>BASE_EQUIPOS!B4106</f>
        <v/>
      </c>
      <c r="D4106">
        <f>BASE_EQUIPOS!D4106</f>
        <v/>
      </c>
      <c r="E4106">
        <f>BASE_EQUIPOS!G4106</f>
        <v/>
      </c>
      <c r="F4106">
        <f>BASE_EQUIPOS!H4106</f>
        <v/>
      </c>
      <c r="G4106">
        <f>BASE_EQUIPOS!M4106</f>
        <v/>
      </c>
    </row>
    <row r="4107">
      <c r="A4107">
        <f>TRIM(BASE_EQUIPOS!N4107)</f>
        <v/>
      </c>
      <c r="B4107">
        <f>BASE_EQUIPOS!A4107</f>
        <v/>
      </c>
      <c r="C4107">
        <f>BASE_EQUIPOS!B4107</f>
        <v/>
      </c>
      <c r="D4107">
        <f>BASE_EQUIPOS!D4107</f>
        <v/>
      </c>
      <c r="E4107">
        <f>BASE_EQUIPOS!G4107</f>
        <v/>
      </c>
      <c r="F4107">
        <f>BASE_EQUIPOS!H4107</f>
        <v/>
      </c>
      <c r="G4107">
        <f>BASE_EQUIPOS!M4107</f>
        <v/>
      </c>
    </row>
    <row r="4108">
      <c r="A4108">
        <f>TRIM(BASE_EQUIPOS!N4108)</f>
        <v/>
      </c>
      <c r="B4108">
        <f>BASE_EQUIPOS!A4108</f>
        <v/>
      </c>
      <c r="C4108">
        <f>BASE_EQUIPOS!B4108</f>
        <v/>
      </c>
      <c r="D4108">
        <f>BASE_EQUIPOS!D4108</f>
        <v/>
      </c>
      <c r="E4108">
        <f>BASE_EQUIPOS!G4108</f>
        <v/>
      </c>
      <c r="F4108">
        <f>BASE_EQUIPOS!H4108</f>
        <v/>
      </c>
      <c r="G4108">
        <f>BASE_EQUIPOS!M4108</f>
        <v/>
      </c>
    </row>
    <row r="4109">
      <c r="A4109">
        <f>TRIM(BASE_EQUIPOS!N4109)</f>
        <v/>
      </c>
      <c r="B4109">
        <f>BASE_EQUIPOS!A4109</f>
        <v/>
      </c>
      <c r="C4109">
        <f>BASE_EQUIPOS!B4109</f>
        <v/>
      </c>
      <c r="D4109">
        <f>BASE_EQUIPOS!D4109</f>
        <v/>
      </c>
      <c r="E4109">
        <f>BASE_EQUIPOS!G4109</f>
        <v/>
      </c>
      <c r="F4109">
        <f>BASE_EQUIPOS!H4109</f>
        <v/>
      </c>
      <c r="G4109">
        <f>BASE_EQUIPOS!M4109</f>
        <v/>
      </c>
    </row>
    <row r="4110">
      <c r="A4110">
        <f>TRIM(BASE_EQUIPOS!N4110)</f>
        <v/>
      </c>
      <c r="B4110">
        <f>BASE_EQUIPOS!A4110</f>
        <v/>
      </c>
      <c r="C4110">
        <f>BASE_EQUIPOS!B4110</f>
        <v/>
      </c>
      <c r="D4110">
        <f>BASE_EQUIPOS!D4110</f>
        <v/>
      </c>
      <c r="E4110">
        <f>BASE_EQUIPOS!G4110</f>
        <v/>
      </c>
      <c r="F4110">
        <f>BASE_EQUIPOS!H4110</f>
        <v/>
      </c>
      <c r="G4110">
        <f>BASE_EQUIPOS!M4110</f>
        <v/>
      </c>
    </row>
    <row r="4111">
      <c r="A4111">
        <f>TRIM(BASE_EQUIPOS!N4111)</f>
        <v/>
      </c>
      <c r="B4111">
        <f>BASE_EQUIPOS!A4111</f>
        <v/>
      </c>
      <c r="C4111">
        <f>BASE_EQUIPOS!B4111</f>
        <v/>
      </c>
      <c r="D4111">
        <f>BASE_EQUIPOS!D4111</f>
        <v/>
      </c>
      <c r="E4111">
        <f>BASE_EQUIPOS!G4111</f>
        <v/>
      </c>
      <c r="F4111">
        <f>BASE_EQUIPOS!H4111</f>
        <v/>
      </c>
      <c r="G4111">
        <f>BASE_EQUIPOS!M4111</f>
        <v/>
      </c>
    </row>
    <row r="4112">
      <c r="A4112">
        <f>TRIM(BASE_EQUIPOS!N4112)</f>
        <v/>
      </c>
      <c r="B4112">
        <f>BASE_EQUIPOS!A4112</f>
        <v/>
      </c>
      <c r="C4112">
        <f>BASE_EQUIPOS!B4112</f>
        <v/>
      </c>
      <c r="D4112">
        <f>BASE_EQUIPOS!D4112</f>
        <v/>
      </c>
      <c r="E4112">
        <f>BASE_EQUIPOS!G4112</f>
        <v/>
      </c>
      <c r="F4112">
        <f>BASE_EQUIPOS!H4112</f>
        <v/>
      </c>
      <c r="G4112">
        <f>BASE_EQUIPOS!M4112</f>
        <v/>
      </c>
    </row>
    <row r="4113">
      <c r="A4113">
        <f>TRIM(BASE_EQUIPOS!N4113)</f>
        <v/>
      </c>
      <c r="B4113">
        <f>BASE_EQUIPOS!A4113</f>
        <v/>
      </c>
      <c r="C4113">
        <f>BASE_EQUIPOS!B4113</f>
        <v/>
      </c>
      <c r="D4113">
        <f>BASE_EQUIPOS!D4113</f>
        <v/>
      </c>
      <c r="E4113">
        <f>BASE_EQUIPOS!G4113</f>
        <v/>
      </c>
      <c r="F4113">
        <f>BASE_EQUIPOS!H4113</f>
        <v/>
      </c>
      <c r="G4113">
        <f>BASE_EQUIPOS!M4113</f>
        <v/>
      </c>
    </row>
    <row r="4114">
      <c r="A4114">
        <f>TRIM(BASE_EQUIPOS!N4114)</f>
        <v/>
      </c>
      <c r="B4114">
        <f>BASE_EQUIPOS!A4114</f>
        <v/>
      </c>
      <c r="C4114">
        <f>BASE_EQUIPOS!B4114</f>
        <v/>
      </c>
      <c r="D4114">
        <f>BASE_EQUIPOS!D4114</f>
        <v/>
      </c>
      <c r="E4114">
        <f>BASE_EQUIPOS!G4114</f>
        <v/>
      </c>
      <c r="F4114">
        <f>BASE_EQUIPOS!H4114</f>
        <v/>
      </c>
      <c r="G4114">
        <f>BASE_EQUIPOS!M4114</f>
        <v/>
      </c>
    </row>
    <row r="4115">
      <c r="A4115">
        <f>TRIM(BASE_EQUIPOS!N4115)</f>
        <v/>
      </c>
      <c r="B4115">
        <f>BASE_EQUIPOS!A4115</f>
        <v/>
      </c>
      <c r="C4115">
        <f>BASE_EQUIPOS!B4115</f>
        <v/>
      </c>
      <c r="D4115">
        <f>BASE_EQUIPOS!D4115</f>
        <v/>
      </c>
      <c r="E4115">
        <f>BASE_EQUIPOS!G4115</f>
        <v/>
      </c>
      <c r="F4115">
        <f>BASE_EQUIPOS!H4115</f>
        <v/>
      </c>
      <c r="G4115">
        <f>BASE_EQUIPOS!M4115</f>
        <v/>
      </c>
    </row>
    <row r="4116">
      <c r="A4116">
        <f>TRIM(BASE_EQUIPOS!N4116)</f>
        <v/>
      </c>
      <c r="B4116">
        <f>BASE_EQUIPOS!A4116</f>
        <v/>
      </c>
      <c r="C4116">
        <f>BASE_EQUIPOS!B4116</f>
        <v/>
      </c>
      <c r="D4116">
        <f>BASE_EQUIPOS!D4116</f>
        <v/>
      </c>
      <c r="E4116">
        <f>BASE_EQUIPOS!G4116</f>
        <v/>
      </c>
      <c r="F4116">
        <f>BASE_EQUIPOS!H4116</f>
        <v/>
      </c>
      <c r="G4116">
        <f>BASE_EQUIPOS!M4116</f>
        <v/>
      </c>
    </row>
    <row r="4117">
      <c r="A4117">
        <f>TRIM(BASE_EQUIPOS!N4117)</f>
        <v/>
      </c>
      <c r="B4117">
        <f>BASE_EQUIPOS!A4117</f>
        <v/>
      </c>
      <c r="C4117">
        <f>BASE_EQUIPOS!B4117</f>
        <v/>
      </c>
      <c r="D4117">
        <f>BASE_EQUIPOS!D4117</f>
        <v/>
      </c>
      <c r="E4117">
        <f>BASE_EQUIPOS!G4117</f>
        <v/>
      </c>
      <c r="F4117">
        <f>BASE_EQUIPOS!H4117</f>
        <v/>
      </c>
      <c r="G4117">
        <f>BASE_EQUIPOS!M4117</f>
        <v/>
      </c>
    </row>
    <row r="4118">
      <c r="A4118">
        <f>TRIM(BASE_EQUIPOS!N4118)</f>
        <v/>
      </c>
      <c r="B4118">
        <f>BASE_EQUIPOS!A4118</f>
        <v/>
      </c>
      <c r="C4118">
        <f>BASE_EQUIPOS!B4118</f>
        <v/>
      </c>
      <c r="D4118">
        <f>BASE_EQUIPOS!D4118</f>
        <v/>
      </c>
      <c r="E4118">
        <f>BASE_EQUIPOS!G4118</f>
        <v/>
      </c>
      <c r="F4118">
        <f>BASE_EQUIPOS!H4118</f>
        <v/>
      </c>
      <c r="G4118">
        <f>BASE_EQUIPOS!M4118</f>
        <v/>
      </c>
    </row>
    <row r="4119">
      <c r="A4119">
        <f>TRIM(BASE_EQUIPOS!N4119)</f>
        <v/>
      </c>
      <c r="B4119">
        <f>BASE_EQUIPOS!A4119</f>
        <v/>
      </c>
      <c r="C4119">
        <f>BASE_EQUIPOS!B4119</f>
        <v/>
      </c>
      <c r="D4119">
        <f>BASE_EQUIPOS!D4119</f>
        <v/>
      </c>
      <c r="E4119">
        <f>BASE_EQUIPOS!G4119</f>
        <v/>
      </c>
      <c r="F4119">
        <f>BASE_EQUIPOS!H4119</f>
        <v/>
      </c>
      <c r="G4119">
        <f>BASE_EQUIPOS!M4119</f>
        <v/>
      </c>
    </row>
    <row r="4120">
      <c r="A4120">
        <f>TRIM(BASE_EQUIPOS!N4120)</f>
        <v/>
      </c>
      <c r="B4120">
        <f>BASE_EQUIPOS!A4120</f>
        <v/>
      </c>
      <c r="C4120">
        <f>BASE_EQUIPOS!B4120</f>
        <v/>
      </c>
      <c r="D4120">
        <f>BASE_EQUIPOS!D4120</f>
        <v/>
      </c>
      <c r="E4120">
        <f>BASE_EQUIPOS!G4120</f>
        <v/>
      </c>
      <c r="F4120">
        <f>BASE_EQUIPOS!H4120</f>
        <v/>
      </c>
      <c r="G4120">
        <f>BASE_EQUIPOS!M4120</f>
        <v/>
      </c>
    </row>
    <row r="4121">
      <c r="A4121">
        <f>TRIM(BASE_EQUIPOS!N4121)</f>
        <v/>
      </c>
      <c r="B4121">
        <f>BASE_EQUIPOS!A4121</f>
        <v/>
      </c>
      <c r="C4121">
        <f>BASE_EQUIPOS!B4121</f>
        <v/>
      </c>
      <c r="D4121">
        <f>BASE_EQUIPOS!D4121</f>
        <v/>
      </c>
      <c r="E4121">
        <f>BASE_EQUIPOS!G4121</f>
        <v/>
      </c>
      <c r="F4121">
        <f>BASE_EQUIPOS!H4121</f>
        <v/>
      </c>
      <c r="G4121">
        <f>BASE_EQUIPOS!M4121</f>
        <v/>
      </c>
    </row>
    <row r="4122">
      <c r="A4122">
        <f>TRIM(BASE_EQUIPOS!N4122)</f>
        <v/>
      </c>
      <c r="B4122">
        <f>BASE_EQUIPOS!A4122</f>
        <v/>
      </c>
      <c r="C4122">
        <f>BASE_EQUIPOS!B4122</f>
        <v/>
      </c>
      <c r="D4122">
        <f>BASE_EQUIPOS!D4122</f>
        <v/>
      </c>
      <c r="E4122">
        <f>BASE_EQUIPOS!G4122</f>
        <v/>
      </c>
      <c r="F4122">
        <f>BASE_EQUIPOS!H4122</f>
        <v/>
      </c>
      <c r="G4122">
        <f>BASE_EQUIPOS!M4122</f>
        <v/>
      </c>
    </row>
    <row r="4123">
      <c r="A4123">
        <f>TRIM(BASE_EQUIPOS!N4123)</f>
        <v/>
      </c>
      <c r="B4123">
        <f>BASE_EQUIPOS!A4123</f>
        <v/>
      </c>
      <c r="C4123">
        <f>BASE_EQUIPOS!B4123</f>
        <v/>
      </c>
      <c r="D4123">
        <f>BASE_EQUIPOS!D4123</f>
        <v/>
      </c>
      <c r="E4123">
        <f>BASE_EQUIPOS!G4123</f>
        <v/>
      </c>
      <c r="F4123">
        <f>BASE_EQUIPOS!H4123</f>
        <v/>
      </c>
      <c r="G4123">
        <f>BASE_EQUIPOS!M4123</f>
        <v/>
      </c>
    </row>
    <row r="4124">
      <c r="A4124">
        <f>TRIM(BASE_EQUIPOS!N4124)</f>
        <v/>
      </c>
      <c r="B4124">
        <f>BASE_EQUIPOS!A4124</f>
        <v/>
      </c>
      <c r="C4124">
        <f>BASE_EQUIPOS!B4124</f>
        <v/>
      </c>
      <c r="D4124">
        <f>BASE_EQUIPOS!D4124</f>
        <v/>
      </c>
      <c r="E4124">
        <f>BASE_EQUIPOS!G4124</f>
        <v/>
      </c>
      <c r="F4124">
        <f>BASE_EQUIPOS!H4124</f>
        <v/>
      </c>
      <c r="G4124">
        <f>BASE_EQUIPOS!M4124</f>
        <v/>
      </c>
    </row>
    <row r="4125">
      <c r="A4125">
        <f>TRIM(BASE_EQUIPOS!N4125)</f>
        <v/>
      </c>
      <c r="B4125">
        <f>BASE_EQUIPOS!A4125</f>
        <v/>
      </c>
      <c r="C4125">
        <f>BASE_EQUIPOS!B4125</f>
        <v/>
      </c>
      <c r="D4125">
        <f>BASE_EQUIPOS!D4125</f>
        <v/>
      </c>
      <c r="E4125">
        <f>BASE_EQUIPOS!G4125</f>
        <v/>
      </c>
      <c r="F4125">
        <f>BASE_EQUIPOS!H4125</f>
        <v/>
      </c>
      <c r="G4125">
        <f>BASE_EQUIPOS!M4125</f>
        <v/>
      </c>
    </row>
    <row r="4126">
      <c r="A4126">
        <f>TRIM(BASE_EQUIPOS!N4126)</f>
        <v/>
      </c>
      <c r="B4126">
        <f>BASE_EQUIPOS!A4126</f>
        <v/>
      </c>
      <c r="C4126">
        <f>BASE_EQUIPOS!B4126</f>
        <v/>
      </c>
      <c r="D4126">
        <f>BASE_EQUIPOS!D4126</f>
        <v/>
      </c>
      <c r="E4126">
        <f>BASE_EQUIPOS!G4126</f>
        <v/>
      </c>
      <c r="F4126">
        <f>BASE_EQUIPOS!H4126</f>
        <v/>
      </c>
      <c r="G4126">
        <f>BASE_EQUIPOS!M4126</f>
        <v/>
      </c>
    </row>
    <row r="4127">
      <c r="A4127">
        <f>TRIM(BASE_EQUIPOS!N4127)</f>
        <v/>
      </c>
      <c r="B4127">
        <f>BASE_EQUIPOS!A4127</f>
        <v/>
      </c>
      <c r="C4127">
        <f>BASE_EQUIPOS!B4127</f>
        <v/>
      </c>
      <c r="D4127">
        <f>BASE_EQUIPOS!D4127</f>
        <v/>
      </c>
      <c r="E4127">
        <f>BASE_EQUIPOS!G4127</f>
        <v/>
      </c>
      <c r="F4127">
        <f>BASE_EQUIPOS!H4127</f>
        <v/>
      </c>
      <c r="G4127">
        <f>BASE_EQUIPOS!M4127</f>
        <v/>
      </c>
    </row>
    <row r="4128">
      <c r="A4128">
        <f>TRIM(BASE_EQUIPOS!N4128)</f>
        <v/>
      </c>
      <c r="B4128">
        <f>BASE_EQUIPOS!A4128</f>
        <v/>
      </c>
      <c r="C4128">
        <f>BASE_EQUIPOS!B4128</f>
        <v/>
      </c>
      <c r="D4128">
        <f>BASE_EQUIPOS!D4128</f>
        <v/>
      </c>
      <c r="E4128">
        <f>BASE_EQUIPOS!G4128</f>
        <v/>
      </c>
      <c r="F4128">
        <f>BASE_EQUIPOS!H4128</f>
        <v/>
      </c>
      <c r="G4128">
        <f>BASE_EQUIPOS!M4128</f>
        <v/>
      </c>
    </row>
    <row r="4129">
      <c r="A4129">
        <f>TRIM(BASE_EQUIPOS!N4129)</f>
        <v/>
      </c>
      <c r="B4129">
        <f>BASE_EQUIPOS!A4129</f>
        <v/>
      </c>
      <c r="C4129">
        <f>BASE_EQUIPOS!B4129</f>
        <v/>
      </c>
      <c r="D4129">
        <f>BASE_EQUIPOS!D4129</f>
        <v/>
      </c>
      <c r="E4129">
        <f>BASE_EQUIPOS!G4129</f>
        <v/>
      </c>
      <c r="F4129">
        <f>BASE_EQUIPOS!H4129</f>
        <v/>
      </c>
      <c r="G4129">
        <f>BASE_EQUIPOS!M4129</f>
        <v/>
      </c>
    </row>
    <row r="4130">
      <c r="A4130">
        <f>TRIM(BASE_EQUIPOS!N4130)</f>
        <v/>
      </c>
      <c r="B4130">
        <f>BASE_EQUIPOS!A4130</f>
        <v/>
      </c>
      <c r="C4130">
        <f>BASE_EQUIPOS!B4130</f>
        <v/>
      </c>
      <c r="D4130">
        <f>BASE_EQUIPOS!D4130</f>
        <v/>
      </c>
      <c r="E4130">
        <f>BASE_EQUIPOS!G4130</f>
        <v/>
      </c>
      <c r="F4130">
        <f>BASE_EQUIPOS!H4130</f>
        <v/>
      </c>
      <c r="G4130">
        <f>BASE_EQUIPOS!M4130</f>
        <v/>
      </c>
    </row>
    <row r="4131">
      <c r="A4131">
        <f>TRIM(BASE_EQUIPOS!N4131)</f>
        <v/>
      </c>
      <c r="B4131">
        <f>BASE_EQUIPOS!A4131</f>
        <v/>
      </c>
      <c r="C4131">
        <f>BASE_EQUIPOS!B4131</f>
        <v/>
      </c>
      <c r="D4131">
        <f>BASE_EQUIPOS!D4131</f>
        <v/>
      </c>
      <c r="E4131">
        <f>BASE_EQUIPOS!G4131</f>
        <v/>
      </c>
      <c r="F4131">
        <f>BASE_EQUIPOS!H4131</f>
        <v/>
      </c>
      <c r="G4131">
        <f>BASE_EQUIPOS!M4131</f>
        <v/>
      </c>
    </row>
    <row r="4132">
      <c r="A4132">
        <f>TRIM(BASE_EQUIPOS!N4132)</f>
        <v/>
      </c>
      <c r="B4132">
        <f>BASE_EQUIPOS!A4132</f>
        <v/>
      </c>
      <c r="C4132">
        <f>BASE_EQUIPOS!B4132</f>
        <v/>
      </c>
      <c r="D4132">
        <f>BASE_EQUIPOS!D4132</f>
        <v/>
      </c>
      <c r="E4132">
        <f>BASE_EQUIPOS!G4132</f>
        <v/>
      </c>
      <c r="F4132">
        <f>BASE_EQUIPOS!H4132</f>
        <v/>
      </c>
      <c r="G4132">
        <f>BASE_EQUIPOS!M4132</f>
        <v/>
      </c>
    </row>
    <row r="4133">
      <c r="A4133">
        <f>TRIM(BASE_EQUIPOS!N4133)</f>
        <v/>
      </c>
      <c r="B4133">
        <f>BASE_EQUIPOS!A4133</f>
        <v/>
      </c>
      <c r="C4133">
        <f>BASE_EQUIPOS!B4133</f>
        <v/>
      </c>
      <c r="D4133">
        <f>BASE_EQUIPOS!D4133</f>
        <v/>
      </c>
      <c r="E4133">
        <f>BASE_EQUIPOS!G4133</f>
        <v/>
      </c>
      <c r="F4133">
        <f>BASE_EQUIPOS!H4133</f>
        <v/>
      </c>
      <c r="G4133">
        <f>BASE_EQUIPOS!M4133</f>
        <v/>
      </c>
    </row>
    <row r="4134">
      <c r="A4134">
        <f>TRIM(BASE_EQUIPOS!N4134)</f>
        <v/>
      </c>
      <c r="B4134">
        <f>BASE_EQUIPOS!A4134</f>
        <v/>
      </c>
      <c r="C4134">
        <f>BASE_EQUIPOS!B4134</f>
        <v/>
      </c>
      <c r="D4134">
        <f>BASE_EQUIPOS!D4134</f>
        <v/>
      </c>
      <c r="E4134">
        <f>BASE_EQUIPOS!G4134</f>
        <v/>
      </c>
      <c r="F4134">
        <f>BASE_EQUIPOS!H4134</f>
        <v/>
      </c>
      <c r="G4134">
        <f>BASE_EQUIPOS!M4134</f>
        <v/>
      </c>
    </row>
    <row r="4135">
      <c r="A4135">
        <f>TRIM(BASE_EQUIPOS!N4135)</f>
        <v/>
      </c>
      <c r="B4135">
        <f>BASE_EQUIPOS!A4135</f>
        <v/>
      </c>
      <c r="C4135">
        <f>BASE_EQUIPOS!B4135</f>
        <v/>
      </c>
      <c r="D4135">
        <f>BASE_EQUIPOS!D4135</f>
        <v/>
      </c>
      <c r="E4135">
        <f>BASE_EQUIPOS!G4135</f>
        <v/>
      </c>
      <c r="F4135">
        <f>BASE_EQUIPOS!H4135</f>
        <v/>
      </c>
      <c r="G4135">
        <f>BASE_EQUIPOS!M4135</f>
        <v/>
      </c>
    </row>
    <row r="4136">
      <c r="A4136">
        <f>TRIM(BASE_EQUIPOS!N4136)</f>
        <v/>
      </c>
      <c r="B4136">
        <f>BASE_EQUIPOS!A4136</f>
        <v/>
      </c>
      <c r="C4136">
        <f>BASE_EQUIPOS!B4136</f>
        <v/>
      </c>
      <c r="D4136">
        <f>BASE_EQUIPOS!D4136</f>
        <v/>
      </c>
      <c r="E4136">
        <f>BASE_EQUIPOS!G4136</f>
        <v/>
      </c>
      <c r="F4136">
        <f>BASE_EQUIPOS!H4136</f>
        <v/>
      </c>
      <c r="G4136">
        <f>BASE_EQUIPOS!M4136</f>
        <v/>
      </c>
    </row>
    <row r="4137">
      <c r="A4137">
        <f>TRIM(BASE_EQUIPOS!N4137)</f>
        <v/>
      </c>
      <c r="B4137">
        <f>BASE_EQUIPOS!A4137</f>
        <v/>
      </c>
      <c r="C4137">
        <f>BASE_EQUIPOS!B4137</f>
        <v/>
      </c>
      <c r="D4137">
        <f>BASE_EQUIPOS!D4137</f>
        <v/>
      </c>
      <c r="E4137">
        <f>BASE_EQUIPOS!G4137</f>
        <v/>
      </c>
      <c r="F4137">
        <f>BASE_EQUIPOS!H4137</f>
        <v/>
      </c>
      <c r="G4137">
        <f>BASE_EQUIPOS!M4137</f>
        <v/>
      </c>
    </row>
    <row r="4138">
      <c r="A4138">
        <f>TRIM(BASE_EQUIPOS!N4138)</f>
        <v/>
      </c>
      <c r="B4138">
        <f>BASE_EQUIPOS!A4138</f>
        <v/>
      </c>
      <c r="C4138">
        <f>BASE_EQUIPOS!B4138</f>
        <v/>
      </c>
      <c r="D4138">
        <f>BASE_EQUIPOS!D4138</f>
        <v/>
      </c>
      <c r="E4138">
        <f>BASE_EQUIPOS!G4138</f>
        <v/>
      </c>
      <c r="F4138">
        <f>BASE_EQUIPOS!H4138</f>
        <v/>
      </c>
      <c r="G4138">
        <f>BASE_EQUIPOS!M4138</f>
        <v/>
      </c>
    </row>
    <row r="4139">
      <c r="A4139">
        <f>TRIM(BASE_EQUIPOS!N4139)</f>
        <v/>
      </c>
      <c r="B4139">
        <f>BASE_EQUIPOS!A4139</f>
        <v/>
      </c>
      <c r="C4139">
        <f>BASE_EQUIPOS!B4139</f>
        <v/>
      </c>
      <c r="D4139">
        <f>BASE_EQUIPOS!D4139</f>
        <v/>
      </c>
      <c r="E4139">
        <f>BASE_EQUIPOS!G4139</f>
        <v/>
      </c>
      <c r="F4139">
        <f>BASE_EQUIPOS!H4139</f>
        <v/>
      </c>
      <c r="G4139">
        <f>BASE_EQUIPOS!M4139</f>
        <v/>
      </c>
    </row>
    <row r="4140">
      <c r="A4140">
        <f>TRIM(BASE_EQUIPOS!N4140)</f>
        <v/>
      </c>
      <c r="B4140">
        <f>BASE_EQUIPOS!A4140</f>
        <v/>
      </c>
      <c r="C4140">
        <f>BASE_EQUIPOS!B4140</f>
        <v/>
      </c>
      <c r="D4140">
        <f>BASE_EQUIPOS!D4140</f>
        <v/>
      </c>
      <c r="E4140">
        <f>BASE_EQUIPOS!G4140</f>
        <v/>
      </c>
      <c r="F4140">
        <f>BASE_EQUIPOS!H4140</f>
        <v/>
      </c>
      <c r="G4140">
        <f>BASE_EQUIPOS!M4140</f>
        <v/>
      </c>
    </row>
    <row r="4141">
      <c r="A4141">
        <f>TRIM(BASE_EQUIPOS!N4141)</f>
        <v/>
      </c>
      <c r="B4141">
        <f>BASE_EQUIPOS!A4141</f>
        <v/>
      </c>
      <c r="C4141">
        <f>BASE_EQUIPOS!B4141</f>
        <v/>
      </c>
      <c r="D4141">
        <f>BASE_EQUIPOS!D4141</f>
        <v/>
      </c>
      <c r="E4141">
        <f>BASE_EQUIPOS!G4141</f>
        <v/>
      </c>
      <c r="F4141">
        <f>BASE_EQUIPOS!H4141</f>
        <v/>
      </c>
      <c r="G4141">
        <f>BASE_EQUIPOS!M4141</f>
        <v/>
      </c>
    </row>
    <row r="4142">
      <c r="A4142">
        <f>TRIM(BASE_EQUIPOS!N4142)</f>
        <v/>
      </c>
      <c r="B4142">
        <f>BASE_EQUIPOS!A4142</f>
        <v/>
      </c>
      <c r="C4142">
        <f>BASE_EQUIPOS!B4142</f>
        <v/>
      </c>
      <c r="D4142">
        <f>BASE_EQUIPOS!D4142</f>
        <v/>
      </c>
      <c r="E4142">
        <f>BASE_EQUIPOS!G4142</f>
        <v/>
      </c>
      <c r="F4142">
        <f>BASE_EQUIPOS!H4142</f>
        <v/>
      </c>
      <c r="G4142">
        <f>BASE_EQUIPOS!M4142</f>
        <v/>
      </c>
    </row>
    <row r="4143">
      <c r="A4143">
        <f>TRIM(BASE_EQUIPOS!N4143)</f>
        <v/>
      </c>
      <c r="B4143">
        <f>BASE_EQUIPOS!A4143</f>
        <v/>
      </c>
      <c r="C4143">
        <f>BASE_EQUIPOS!B4143</f>
        <v/>
      </c>
      <c r="D4143">
        <f>BASE_EQUIPOS!D4143</f>
        <v/>
      </c>
      <c r="E4143">
        <f>BASE_EQUIPOS!G4143</f>
        <v/>
      </c>
      <c r="F4143">
        <f>BASE_EQUIPOS!H4143</f>
        <v/>
      </c>
      <c r="G4143">
        <f>BASE_EQUIPOS!M4143</f>
        <v/>
      </c>
    </row>
    <row r="4144">
      <c r="A4144">
        <f>TRIM(BASE_EQUIPOS!N4144)</f>
        <v/>
      </c>
      <c r="B4144">
        <f>BASE_EQUIPOS!A4144</f>
        <v/>
      </c>
      <c r="C4144">
        <f>BASE_EQUIPOS!B4144</f>
        <v/>
      </c>
      <c r="D4144">
        <f>BASE_EQUIPOS!D4144</f>
        <v/>
      </c>
      <c r="E4144">
        <f>BASE_EQUIPOS!G4144</f>
        <v/>
      </c>
      <c r="F4144">
        <f>BASE_EQUIPOS!H4144</f>
        <v/>
      </c>
      <c r="G4144">
        <f>BASE_EQUIPOS!M4144</f>
        <v/>
      </c>
    </row>
    <row r="4145">
      <c r="A4145">
        <f>TRIM(BASE_EQUIPOS!N4145)</f>
        <v/>
      </c>
      <c r="B4145">
        <f>BASE_EQUIPOS!A4145</f>
        <v/>
      </c>
      <c r="C4145">
        <f>BASE_EQUIPOS!B4145</f>
        <v/>
      </c>
      <c r="D4145">
        <f>BASE_EQUIPOS!D4145</f>
        <v/>
      </c>
      <c r="E4145">
        <f>BASE_EQUIPOS!G4145</f>
        <v/>
      </c>
      <c r="F4145">
        <f>BASE_EQUIPOS!H4145</f>
        <v/>
      </c>
      <c r="G4145">
        <f>BASE_EQUIPOS!M4145</f>
        <v/>
      </c>
    </row>
    <row r="4146">
      <c r="A4146">
        <f>TRIM(BASE_EQUIPOS!N4146)</f>
        <v/>
      </c>
      <c r="B4146">
        <f>BASE_EQUIPOS!A4146</f>
        <v/>
      </c>
      <c r="C4146">
        <f>BASE_EQUIPOS!B4146</f>
        <v/>
      </c>
      <c r="D4146">
        <f>BASE_EQUIPOS!D4146</f>
        <v/>
      </c>
      <c r="E4146">
        <f>BASE_EQUIPOS!G4146</f>
        <v/>
      </c>
      <c r="F4146">
        <f>BASE_EQUIPOS!H4146</f>
        <v/>
      </c>
      <c r="G4146">
        <f>BASE_EQUIPOS!M4146</f>
        <v/>
      </c>
    </row>
    <row r="4147">
      <c r="A4147">
        <f>TRIM(BASE_EQUIPOS!N4147)</f>
        <v/>
      </c>
      <c r="B4147">
        <f>BASE_EQUIPOS!A4147</f>
        <v/>
      </c>
      <c r="C4147">
        <f>BASE_EQUIPOS!B4147</f>
        <v/>
      </c>
      <c r="D4147">
        <f>BASE_EQUIPOS!D4147</f>
        <v/>
      </c>
      <c r="E4147">
        <f>BASE_EQUIPOS!G4147</f>
        <v/>
      </c>
      <c r="F4147">
        <f>BASE_EQUIPOS!H4147</f>
        <v/>
      </c>
      <c r="G4147">
        <f>BASE_EQUIPOS!M4147</f>
        <v/>
      </c>
    </row>
    <row r="4148">
      <c r="A4148">
        <f>TRIM(BASE_EQUIPOS!N4148)</f>
        <v/>
      </c>
      <c r="B4148">
        <f>BASE_EQUIPOS!A4148</f>
        <v/>
      </c>
      <c r="C4148">
        <f>BASE_EQUIPOS!B4148</f>
        <v/>
      </c>
      <c r="D4148">
        <f>BASE_EQUIPOS!D4148</f>
        <v/>
      </c>
      <c r="E4148">
        <f>BASE_EQUIPOS!G4148</f>
        <v/>
      </c>
      <c r="F4148">
        <f>BASE_EQUIPOS!H4148</f>
        <v/>
      </c>
      <c r="G4148">
        <f>BASE_EQUIPOS!M4148</f>
        <v/>
      </c>
    </row>
    <row r="4149">
      <c r="A4149">
        <f>TRIM(BASE_EQUIPOS!N4149)</f>
        <v/>
      </c>
      <c r="B4149">
        <f>BASE_EQUIPOS!A4149</f>
        <v/>
      </c>
      <c r="C4149">
        <f>BASE_EQUIPOS!B4149</f>
        <v/>
      </c>
      <c r="D4149">
        <f>BASE_EQUIPOS!D4149</f>
        <v/>
      </c>
      <c r="E4149">
        <f>BASE_EQUIPOS!G4149</f>
        <v/>
      </c>
      <c r="F4149">
        <f>BASE_EQUIPOS!H4149</f>
        <v/>
      </c>
      <c r="G4149">
        <f>BASE_EQUIPOS!M4149</f>
        <v/>
      </c>
    </row>
    <row r="4150">
      <c r="A4150">
        <f>TRIM(BASE_EQUIPOS!N4150)</f>
        <v/>
      </c>
      <c r="B4150">
        <f>BASE_EQUIPOS!A4150</f>
        <v/>
      </c>
      <c r="C4150">
        <f>BASE_EQUIPOS!B4150</f>
        <v/>
      </c>
      <c r="D4150">
        <f>BASE_EQUIPOS!D4150</f>
        <v/>
      </c>
      <c r="E4150">
        <f>BASE_EQUIPOS!G4150</f>
        <v/>
      </c>
      <c r="F4150">
        <f>BASE_EQUIPOS!H4150</f>
        <v/>
      </c>
      <c r="G4150">
        <f>BASE_EQUIPOS!M4150</f>
        <v/>
      </c>
    </row>
    <row r="4151">
      <c r="A4151">
        <f>TRIM(BASE_EQUIPOS!N4151)</f>
        <v/>
      </c>
      <c r="B4151">
        <f>BASE_EQUIPOS!A4151</f>
        <v/>
      </c>
      <c r="C4151">
        <f>BASE_EQUIPOS!B4151</f>
        <v/>
      </c>
      <c r="D4151">
        <f>BASE_EQUIPOS!D4151</f>
        <v/>
      </c>
      <c r="E4151">
        <f>BASE_EQUIPOS!G4151</f>
        <v/>
      </c>
      <c r="F4151">
        <f>BASE_EQUIPOS!H4151</f>
        <v/>
      </c>
      <c r="G4151">
        <f>BASE_EQUIPOS!M4151</f>
        <v/>
      </c>
    </row>
    <row r="4152">
      <c r="A4152">
        <f>TRIM(BASE_EQUIPOS!N4152)</f>
        <v/>
      </c>
      <c r="B4152">
        <f>BASE_EQUIPOS!A4152</f>
        <v/>
      </c>
      <c r="C4152">
        <f>BASE_EQUIPOS!B4152</f>
        <v/>
      </c>
      <c r="D4152">
        <f>BASE_EQUIPOS!D4152</f>
        <v/>
      </c>
      <c r="E4152">
        <f>BASE_EQUIPOS!G4152</f>
        <v/>
      </c>
      <c r="F4152">
        <f>BASE_EQUIPOS!H4152</f>
        <v/>
      </c>
      <c r="G4152">
        <f>BASE_EQUIPOS!M4152</f>
        <v/>
      </c>
    </row>
    <row r="4153">
      <c r="A4153">
        <f>TRIM(BASE_EQUIPOS!N4153)</f>
        <v/>
      </c>
      <c r="B4153">
        <f>BASE_EQUIPOS!A4153</f>
        <v/>
      </c>
      <c r="C4153">
        <f>BASE_EQUIPOS!B4153</f>
        <v/>
      </c>
      <c r="D4153">
        <f>BASE_EQUIPOS!D4153</f>
        <v/>
      </c>
      <c r="E4153">
        <f>BASE_EQUIPOS!G4153</f>
        <v/>
      </c>
      <c r="F4153">
        <f>BASE_EQUIPOS!H4153</f>
        <v/>
      </c>
      <c r="G4153">
        <f>BASE_EQUIPOS!M4153</f>
        <v/>
      </c>
    </row>
    <row r="4154">
      <c r="A4154">
        <f>TRIM(BASE_EQUIPOS!N4154)</f>
        <v/>
      </c>
      <c r="B4154">
        <f>BASE_EQUIPOS!A4154</f>
        <v/>
      </c>
      <c r="C4154">
        <f>BASE_EQUIPOS!B4154</f>
        <v/>
      </c>
      <c r="D4154">
        <f>BASE_EQUIPOS!D4154</f>
        <v/>
      </c>
      <c r="E4154">
        <f>BASE_EQUIPOS!G4154</f>
        <v/>
      </c>
      <c r="F4154">
        <f>BASE_EQUIPOS!H4154</f>
        <v/>
      </c>
      <c r="G4154">
        <f>BASE_EQUIPOS!M4154</f>
        <v/>
      </c>
    </row>
    <row r="4155">
      <c r="A4155">
        <f>TRIM(BASE_EQUIPOS!N4155)</f>
        <v/>
      </c>
      <c r="B4155">
        <f>BASE_EQUIPOS!A4155</f>
        <v/>
      </c>
      <c r="C4155">
        <f>BASE_EQUIPOS!B4155</f>
        <v/>
      </c>
      <c r="D4155">
        <f>BASE_EQUIPOS!D4155</f>
        <v/>
      </c>
      <c r="E4155">
        <f>BASE_EQUIPOS!G4155</f>
        <v/>
      </c>
      <c r="F4155">
        <f>BASE_EQUIPOS!H4155</f>
        <v/>
      </c>
      <c r="G4155">
        <f>BASE_EQUIPOS!M4155</f>
        <v/>
      </c>
    </row>
    <row r="4156">
      <c r="A4156">
        <f>TRIM(BASE_EQUIPOS!N4156)</f>
        <v/>
      </c>
      <c r="B4156">
        <f>BASE_EQUIPOS!A4156</f>
        <v/>
      </c>
      <c r="C4156">
        <f>BASE_EQUIPOS!B4156</f>
        <v/>
      </c>
      <c r="D4156">
        <f>BASE_EQUIPOS!D4156</f>
        <v/>
      </c>
      <c r="E4156">
        <f>BASE_EQUIPOS!G4156</f>
        <v/>
      </c>
      <c r="F4156">
        <f>BASE_EQUIPOS!H4156</f>
        <v/>
      </c>
      <c r="G4156">
        <f>BASE_EQUIPOS!M4156</f>
        <v/>
      </c>
    </row>
    <row r="4157">
      <c r="A4157">
        <f>TRIM(BASE_EQUIPOS!N4157)</f>
        <v/>
      </c>
      <c r="B4157">
        <f>BASE_EQUIPOS!A4157</f>
        <v/>
      </c>
      <c r="C4157">
        <f>BASE_EQUIPOS!B4157</f>
        <v/>
      </c>
      <c r="D4157">
        <f>BASE_EQUIPOS!D4157</f>
        <v/>
      </c>
      <c r="E4157">
        <f>BASE_EQUIPOS!G4157</f>
        <v/>
      </c>
      <c r="F4157">
        <f>BASE_EQUIPOS!H4157</f>
        <v/>
      </c>
      <c r="G4157">
        <f>BASE_EQUIPOS!M4157</f>
        <v/>
      </c>
    </row>
    <row r="4158">
      <c r="A4158">
        <f>TRIM(BASE_EQUIPOS!N4158)</f>
        <v/>
      </c>
      <c r="B4158">
        <f>BASE_EQUIPOS!A4158</f>
        <v/>
      </c>
      <c r="C4158">
        <f>BASE_EQUIPOS!B4158</f>
        <v/>
      </c>
      <c r="D4158">
        <f>BASE_EQUIPOS!D4158</f>
        <v/>
      </c>
      <c r="E4158">
        <f>BASE_EQUIPOS!G4158</f>
        <v/>
      </c>
      <c r="F4158">
        <f>BASE_EQUIPOS!H4158</f>
        <v/>
      </c>
      <c r="G4158">
        <f>BASE_EQUIPOS!M4158</f>
        <v/>
      </c>
    </row>
    <row r="4159">
      <c r="A4159">
        <f>TRIM(BASE_EQUIPOS!N4159)</f>
        <v/>
      </c>
      <c r="B4159">
        <f>BASE_EQUIPOS!A4159</f>
        <v/>
      </c>
      <c r="C4159">
        <f>BASE_EQUIPOS!B4159</f>
        <v/>
      </c>
      <c r="D4159">
        <f>BASE_EQUIPOS!D4159</f>
        <v/>
      </c>
      <c r="E4159">
        <f>BASE_EQUIPOS!G4159</f>
        <v/>
      </c>
      <c r="F4159">
        <f>BASE_EQUIPOS!H4159</f>
        <v/>
      </c>
      <c r="G4159">
        <f>BASE_EQUIPOS!M4159</f>
        <v/>
      </c>
    </row>
    <row r="4160">
      <c r="A4160">
        <f>TRIM(BASE_EQUIPOS!N4160)</f>
        <v/>
      </c>
      <c r="B4160">
        <f>BASE_EQUIPOS!A4160</f>
        <v/>
      </c>
      <c r="C4160">
        <f>BASE_EQUIPOS!B4160</f>
        <v/>
      </c>
      <c r="D4160">
        <f>BASE_EQUIPOS!D4160</f>
        <v/>
      </c>
      <c r="E4160">
        <f>BASE_EQUIPOS!G4160</f>
        <v/>
      </c>
      <c r="F4160">
        <f>BASE_EQUIPOS!H4160</f>
        <v/>
      </c>
      <c r="G4160">
        <f>BASE_EQUIPOS!M4160</f>
        <v/>
      </c>
    </row>
    <row r="4161">
      <c r="A4161">
        <f>TRIM(BASE_EQUIPOS!N4161)</f>
        <v/>
      </c>
      <c r="B4161">
        <f>BASE_EQUIPOS!A4161</f>
        <v/>
      </c>
      <c r="C4161">
        <f>BASE_EQUIPOS!B4161</f>
        <v/>
      </c>
      <c r="D4161">
        <f>BASE_EQUIPOS!D4161</f>
        <v/>
      </c>
      <c r="E4161">
        <f>BASE_EQUIPOS!G4161</f>
        <v/>
      </c>
      <c r="F4161">
        <f>BASE_EQUIPOS!H4161</f>
        <v/>
      </c>
      <c r="G4161">
        <f>BASE_EQUIPOS!M4161</f>
        <v/>
      </c>
    </row>
    <row r="4162">
      <c r="A4162">
        <f>TRIM(BASE_EQUIPOS!N4162)</f>
        <v/>
      </c>
      <c r="B4162">
        <f>BASE_EQUIPOS!A4162</f>
        <v/>
      </c>
      <c r="C4162">
        <f>BASE_EQUIPOS!B4162</f>
        <v/>
      </c>
      <c r="D4162">
        <f>BASE_EQUIPOS!D4162</f>
        <v/>
      </c>
      <c r="E4162">
        <f>BASE_EQUIPOS!G4162</f>
        <v/>
      </c>
      <c r="F4162">
        <f>BASE_EQUIPOS!H4162</f>
        <v/>
      </c>
      <c r="G4162">
        <f>BASE_EQUIPOS!M4162</f>
        <v/>
      </c>
    </row>
    <row r="4163">
      <c r="A4163">
        <f>TRIM(BASE_EQUIPOS!N4163)</f>
        <v/>
      </c>
      <c r="B4163">
        <f>BASE_EQUIPOS!A4163</f>
        <v/>
      </c>
      <c r="C4163">
        <f>BASE_EQUIPOS!B4163</f>
        <v/>
      </c>
      <c r="D4163">
        <f>BASE_EQUIPOS!D4163</f>
        <v/>
      </c>
      <c r="E4163">
        <f>BASE_EQUIPOS!G4163</f>
        <v/>
      </c>
      <c r="F4163">
        <f>BASE_EQUIPOS!H4163</f>
        <v/>
      </c>
      <c r="G4163">
        <f>BASE_EQUIPOS!M4163</f>
        <v/>
      </c>
    </row>
    <row r="4164">
      <c r="A4164">
        <f>TRIM(BASE_EQUIPOS!N4164)</f>
        <v/>
      </c>
      <c r="B4164">
        <f>BASE_EQUIPOS!A4164</f>
        <v/>
      </c>
      <c r="C4164">
        <f>BASE_EQUIPOS!B4164</f>
        <v/>
      </c>
      <c r="D4164">
        <f>BASE_EQUIPOS!D4164</f>
        <v/>
      </c>
      <c r="E4164">
        <f>BASE_EQUIPOS!G4164</f>
        <v/>
      </c>
      <c r="F4164">
        <f>BASE_EQUIPOS!H4164</f>
        <v/>
      </c>
      <c r="G4164">
        <f>BASE_EQUIPOS!M4164</f>
        <v/>
      </c>
    </row>
    <row r="4165">
      <c r="A4165">
        <f>TRIM(BASE_EQUIPOS!N4165)</f>
        <v/>
      </c>
      <c r="B4165">
        <f>BASE_EQUIPOS!A4165</f>
        <v/>
      </c>
      <c r="C4165">
        <f>BASE_EQUIPOS!B4165</f>
        <v/>
      </c>
      <c r="D4165">
        <f>BASE_EQUIPOS!D4165</f>
        <v/>
      </c>
      <c r="E4165">
        <f>BASE_EQUIPOS!G4165</f>
        <v/>
      </c>
      <c r="F4165">
        <f>BASE_EQUIPOS!H4165</f>
        <v/>
      </c>
      <c r="G4165">
        <f>BASE_EQUIPOS!M4165</f>
        <v/>
      </c>
    </row>
    <row r="4166">
      <c r="A4166">
        <f>TRIM(BASE_EQUIPOS!N4166)</f>
        <v/>
      </c>
      <c r="B4166">
        <f>BASE_EQUIPOS!A4166</f>
        <v/>
      </c>
      <c r="C4166">
        <f>BASE_EQUIPOS!B4166</f>
        <v/>
      </c>
      <c r="D4166">
        <f>BASE_EQUIPOS!D4166</f>
        <v/>
      </c>
      <c r="E4166">
        <f>BASE_EQUIPOS!G4166</f>
        <v/>
      </c>
      <c r="F4166">
        <f>BASE_EQUIPOS!H4166</f>
        <v/>
      </c>
      <c r="G4166">
        <f>BASE_EQUIPOS!M4166</f>
        <v/>
      </c>
    </row>
    <row r="4167">
      <c r="A4167">
        <f>TRIM(BASE_EQUIPOS!N4167)</f>
        <v/>
      </c>
      <c r="B4167">
        <f>BASE_EQUIPOS!A4167</f>
        <v/>
      </c>
      <c r="C4167">
        <f>BASE_EQUIPOS!B4167</f>
        <v/>
      </c>
      <c r="D4167">
        <f>BASE_EQUIPOS!D4167</f>
        <v/>
      </c>
      <c r="E4167">
        <f>BASE_EQUIPOS!G4167</f>
        <v/>
      </c>
      <c r="F4167">
        <f>BASE_EQUIPOS!H4167</f>
        <v/>
      </c>
      <c r="G4167">
        <f>BASE_EQUIPOS!M4167</f>
        <v/>
      </c>
    </row>
    <row r="4168">
      <c r="A4168">
        <f>TRIM(BASE_EQUIPOS!N4168)</f>
        <v/>
      </c>
      <c r="B4168">
        <f>BASE_EQUIPOS!A4168</f>
        <v/>
      </c>
      <c r="C4168">
        <f>BASE_EQUIPOS!B4168</f>
        <v/>
      </c>
      <c r="D4168">
        <f>BASE_EQUIPOS!D4168</f>
        <v/>
      </c>
      <c r="E4168">
        <f>BASE_EQUIPOS!G4168</f>
        <v/>
      </c>
      <c r="F4168">
        <f>BASE_EQUIPOS!H4168</f>
        <v/>
      </c>
      <c r="G4168">
        <f>BASE_EQUIPOS!M4168</f>
        <v/>
      </c>
    </row>
    <row r="4169">
      <c r="A4169">
        <f>TRIM(BASE_EQUIPOS!N4169)</f>
        <v/>
      </c>
      <c r="B4169">
        <f>BASE_EQUIPOS!A4169</f>
        <v/>
      </c>
      <c r="C4169">
        <f>BASE_EQUIPOS!B4169</f>
        <v/>
      </c>
      <c r="D4169">
        <f>BASE_EQUIPOS!D4169</f>
        <v/>
      </c>
      <c r="E4169">
        <f>BASE_EQUIPOS!G4169</f>
        <v/>
      </c>
      <c r="F4169">
        <f>BASE_EQUIPOS!H4169</f>
        <v/>
      </c>
      <c r="G4169">
        <f>BASE_EQUIPOS!M4169</f>
        <v/>
      </c>
    </row>
    <row r="4170">
      <c r="A4170">
        <f>TRIM(BASE_EQUIPOS!N4170)</f>
        <v/>
      </c>
      <c r="B4170">
        <f>BASE_EQUIPOS!A4170</f>
        <v/>
      </c>
      <c r="C4170">
        <f>BASE_EQUIPOS!B4170</f>
        <v/>
      </c>
      <c r="D4170">
        <f>BASE_EQUIPOS!D4170</f>
        <v/>
      </c>
      <c r="E4170">
        <f>BASE_EQUIPOS!G4170</f>
        <v/>
      </c>
      <c r="F4170">
        <f>BASE_EQUIPOS!H4170</f>
        <v/>
      </c>
      <c r="G4170">
        <f>BASE_EQUIPOS!M4170</f>
        <v/>
      </c>
    </row>
    <row r="4171">
      <c r="A4171">
        <f>TRIM(BASE_EQUIPOS!N4171)</f>
        <v/>
      </c>
      <c r="B4171">
        <f>BASE_EQUIPOS!A4171</f>
        <v/>
      </c>
      <c r="C4171">
        <f>BASE_EQUIPOS!B4171</f>
        <v/>
      </c>
      <c r="D4171">
        <f>BASE_EQUIPOS!D4171</f>
        <v/>
      </c>
      <c r="E4171">
        <f>BASE_EQUIPOS!G4171</f>
        <v/>
      </c>
      <c r="F4171">
        <f>BASE_EQUIPOS!H4171</f>
        <v/>
      </c>
      <c r="G4171">
        <f>BASE_EQUIPOS!M4171</f>
        <v/>
      </c>
    </row>
    <row r="4172">
      <c r="A4172">
        <f>TRIM(BASE_EQUIPOS!N4172)</f>
        <v/>
      </c>
      <c r="B4172">
        <f>BASE_EQUIPOS!A4172</f>
        <v/>
      </c>
      <c r="C4172">
        <f>BASE_EQUIPOS!B4172</f>
        <v/>
      </c>
      <c r="D4172">
        <f>BASE_EQUIPOS!D4172</f>
        <v/>
      </c>
      <c r="E4172">
        <f>BASE_EQUIPOS!G4172</f>
        <v/>
      </c>
      <c r="F4172">
        <f>BASE_EQUIPOS!H4172</f>
        <v/>
      </c>
      <c r="G4172">
        <f>BASE_EQUIPOS!M4172</f>
        <v/>
      </c>
    </row>
    <row r="4173">
      <c r="A4173">
        <f>TRIM(BASE_EQUIPOS!N4173)</f>
        <v/>
      </c>
      <c r="B4173">
        <f>BASE_EQUIPOS!A4173</f>
        <v/>
      </c>
      <c r="C4173">
        <f>BASE_EQUIPOS!B4173</f>
        <v/>
      </c>
      <c r="D4173">
        <f>BASE_EQUIPOS!D4173</f>
        <v/>
      </c>
      <c r="E4173">
        <f>BASE_EQUIPOS!G4173</f>
        <v/>
      </c>
      <c r="F4173">
        <f>BASE_EQUIPOS!H4173</f>
        <v/>
      </c>
      <c r="G4173">
        <f>BASE_EQUIPOS!M4173</f>
        <v/>
      </c>
    </row>
    <row r="4174">
      <c r="A4174">
        <f>TRIM(BASE_EQUIPOS!N4174)</f>
        <v/>
      </c>
      <c r="B4174">
        <f>BASE_EQUIPOS!A4174</f>
        <v/>
      </c>
      <c r="C4174">
        <f>BASE_EQUIPOS!B4174</f>
        <v/>
      </c>
      <c r="D4174">
        <f>BASE_EQUIPOS!D4174</f>
        <v/>
      </c>
      <c r="E4174">
        <f>BASE_EQUIPOS!G4174</f>
        <v/>
      </c>
      <c r="F4174">
        <f>BASE_EQUIPOS!H4174</f>
        <v/>
      </c>
      <c r="G4174">
        <f>BASE_EQUIPOS!M4174</f>
        <v/>
      </c>
    </row>
    <row r="4175">
      <c r="A4175">
        <f>TRIM(BASE_EQUIPOS!N4175)</f>
        <v/>
      </c>
      <c r="B4175">
        <f>BASE_EQUIPOS!A4175</f>
        <v/>
      </c>
      <c r="C4175">
        <f>BASE_EQUIPOS!B4175</f>
        <v/>
      </c>
      <c r="D4175">
        <f>BASE_EQUIPOS!D4175</f>
        <v/>
      </c>
      <c r="E4175">
        <f>BASE_EQUIPOS!G4175</f>
        <v/>
      </c>
      <c r="F4175">
        <f>BASE_EQUIPOS!H4175</f>
        <v/>
      </c>
      <c r="G4175">
        <f>BASE_EQUIPOS!M4175</f>
        <v/>
      </c>
    </row>
    <row r="4176">
      <c r="A4176">
        <f>TRIM(BASE_EQUIPOS!N4176)</f>
        <v/>
      </c>
      <c r="B4176">
        <f>BASE_EQUIPOS!A4176</f>
        <v/>
      </c>
      <c r="C4176">
        <f>BASE_EQUIPOS!B4176</f>
        <v/>
      </c>
      <c r="D4176">
        <f>BASE_EQUIPOS!D4176</f>
        <v/>
      </c>
      <c r="E4176">
        <f>BASE_EQUIPOS!G4176</f>
        <v/>
      </c>
      <c r="F4176">
        <f>BASE_EQUIPOS!H4176</f>
        <v/>
      </c>
      <c r="G4176">
        <f>BASE_EQUIPOS!M4176</f>
        <v/>
      </c>
    </row>
    <row r="4177">
      <c r="A4177">
        <f>TRIM(BASE_EQUIPOS!N4177)</f>
        <v/>
      </c>
      <c r="B4177">
        <f>BASE_EQUIPOS!A4177</f>
        <v/>
      </c>
      <c r="C4177">
        <f>BASE_EQUIPOS!B4177</f>
        <v/>
      </c>
      <c r="D4177">
        <f>BASE_EQUIPOS!D4177</f>
        <v/>
      </c>
      <c r="E4177">
        <f>BASE_EQUIPOS!G4177</f>
        <v/>
      </c>
      <c r="F4177">
        <f>BASE_EQUIPOS!H4177</f>
        <v/>
      </c>
      <c r="G4177">
        <f>BASE_EQUIPOS!M4177</f>
        <v/>
      </c>
    </row>
    <row r="4178">
      <c r="A4178">
        <f>TRIM(BASE_EQUIPOS!N4178)</f>
        <v/>
      </c>
      <c r="B4178">
        <f>BASE_EQUIPOS!A4178</f>
        <v/>
      </c>
      <c r="C4178">
        <f>BASE_EQUIPOS!B4178</f>
        <v/>
      </c>
      <c r="D4178">
        <f>BASE_EQUIPOS!D4178</f>
        <v/>
      </c>
      <c r="E4178">
        <f>BASE_EQUIPOS!G4178</f>
        <v/>
      </c>
      <c r="F4178">
        <f>BASE_EQUIPOS!H4178</f>
        <v/>
      </c>
      <c r="G4178">
        <f>BASE_EQUIPOS!M4178</f>
        <v/>
      </c>
    </row>
    <row r="4179">
      <c r="A4179">
        <f>TRIM(BASE_EQUIPOS!N4179)</f>
        <v/>
      </c>
      <c r="B4179">
        <f>BASE_EQUIPOS!A4179</f>
        <v/>
      </c>
      <c r="C4179">
        <f>BASE_EQUIPOS!B4179</f>
        <v/>
      </c>
      <c r="D4179">
        <f>BASE_EQUIPOS!D4179</f>
        <v/>
      </c>
      <c r="E4179">
        <f>BASE_EQUIPOS!G4179</f>
        <v/>
      </c>
      <c r="F4179">
        <f>BASE_EQUIPOS!H4179</f>
        <v/>
      </c>
      <c r="G4179">
        <f>BASE_EQUIPOS!M4179</f>
        <v/>
      </c>
    </row>
    <row r="4180">
      <c r="A4180">
        <f>TRIM(BASE_EQUIPOS!N4180)</f>
        <v/>
      </c>
      <c r="B4180">
        <f>BASE_EQUIPOS!A4180</f>
        <v/>
      </c>
      <c r="C4180">
        <f>BASE_EQUIPOS!B4180</f>
        <v/>
      </c>
      <c r="D4180">
        <f>BASE_EQUIPOS!D4180</f>
        <v/>
      </c>
      <c r="E4180">
        <f>BASE_EQUIPOS!G4180</f>
        <v/>
      </c>
      <c r="F4180">
        <f>BASE_EQUIPOS!H4180</f>
        <v/>
      </c>
      <c r="G4180">
        <f>BASE_EQUIPOS!M4180</f>
        <v/>
      </c>
    </row>
    <row r="4181">
      <c r="A4181">
        <f>TRIM(BASE_EQUIPOS!N4181)</f>
        <v/>
      </c>
      <c r="B4181">
        <f>BASE_EQUIPOS!A4181</f>
        <v/>
      </c>
      <c r="C4181">
        <f>BASE_EQUIPOS!B4181</f>
        <v/>
      </c>
      <c r="D4181">
        <f>BASE_EQUIPOS!D4181</f>
        <v/>
      </c>
      <c r="E4181">
        <f>BASE_EQUIPOS!G4181</f>
        <v/>
      </c>
      <c r="F4181">
        <f>BASE_EQUIPOS!H4181</f>
        <v/>
      </c>
      <c r="G4181">
        <f>BASE_EQUIPOS!M4181</f>
        <v/>
      </c>
    </row>
    <row r="4182">
      <c r="A4182">
        <f>TRIM(BASE_EQUIPOS!N4182)</f>
        <v/>
      </c>
      <c r="B4182">
        <f>BASE_EQUIPOS!A4182</f>
        <v/>
      </c>
      <c r="C4182">
        <f>BASE_EQUIPOS!B4182</f>
        <v/>
      </c>
      <c r="D4182">
        <f>BASE_EQUIPOS!D4182</f>
        <v/>
      </c>
      <c r="E4182">
        <f>BASE_EQUIPOS!G4182</f>
        <v/>
      </c>
      <c r="F4182">
        <f>BASE_EQUIPOS!H4182</f>
        <v/>
      </c>
      <c r="G4182">
        <f>BASE_EQUIPOS!M4182</f>
        <v/>
      </c>
    </row>
    <row r="4183">
      <c r="A4183">
        <f>TRIM(BASE_EQUIPOS!N4183)</f>
        <v/>
      </c>
      <c r="B4183">
        <f>BASE_EQUIPOS!A4183</f>
        <v/>
      </c>
      <c r="C4183">
        <f>BASE_EQUIPOS!B4183</f>
        <v/>
      </c>
      <c r="D4183">
        <f>BASE_EQUIPOS!D4183</f>
        <v/>
      </c>
      <c r="E4183">
        <f>BASE_EQUIPOS!G4183</f>
        <v/>
      </c>
      <c r="F4183">
        <f>BASE_EQUIPOS!H4183</f>
        <v/>
      </c>
      <c r="G4183">
        <f>BASE_EQUIPOS!M4183</f>
        <v/>
      </c>
    </row>
    <row r="4184">
      <c r="A4184">
        <f>TRIM(BASE_EQUIPOS!N4184)</f>
        <v/>
      </c>
      <c r="B4184">
        <f>BASE_EQUIPOS!A4184</f>
        <v/>
      </c>
      <c r="C4184">
        <f>BASE_EQUIPOS!B4184</f>
        <v/>
      </c>
      <c r="D4184">
        <f>BASE_EQUIPOS!D4184</f>
        <v/>
      </c>
      <c r="E4184">
        <f>BASE_EQUIPOS!G4184</f>
        <v/>
      </c>
      <c r="F4184">
        <f>BASE_EQUIPOS!H4184</f>
        <v/>
      </c>
      <c r="G4184">
        <f>BASE_EQUIPOS!M4184</f>
        <v/>
      </c>
    </row>
    <row r="4185">
      <c r="A4185">
        <f>TRIM(BASE_EQUIPOS!N4185)</f>
        <v/>
      </c>
      <c r="B4185">
        <f>BASE_EQUIPOS!A4185</f>
        <v/>
      </c>
      <c r="C4185">
        <f>BASE_EQUIPOS!B4185</f>
        <v/>
      </c>
      <c r="D4185">
        <f>BASE_EQUIPOS!D4185</f>
        <v/>
      </c>
      <c r="E4185">
        <f>BASE_EQUIPOS!G4185</f>
        <v/>
      </c>
      <c r="F4185">
        <f>BASE_EQUIPOS!H4185</f>
        <v/>
      </c>
      <c r="G4185">
        <f>BASE_EQUIPOS!M4185</f>
        <v/>
      </c>
    </row>
    <row r="4186">
      <c r="A4186">
        <f>TRIM(BASE_EQUIPOS!N4186)</f>
        <v/>
      </c>
      <c r="B4186">
        <f>BASE_EQUIPOS!A4186</f>
        <v/>
      </c>
      <c r="C4186">
        <f>BASE_EQUIPOS!B4186</f>
        <v/>
      </c>
      <c r="D4186">
        <f>BASE_EQUIPOS!D4186</f>
        <v/>
      </c>
      <c r="E4186">
        <f>BASE_EQUIPOS!G4186</f>
        <v/>
      </c>
      <c r="F4186">
        <f>BASE_EQUIPOS!H4186</f>
        <v/>
      </c>
      <c r="G4186">
        <f>BASE_EQUIPOS!M4186</f>
        <v/>
      </c>
    </row>
    <row r="4187">
      <c r="A4187">
        <f>TRIM(BASE_EQUIPOS!N4187)</f>
        <v/>
      </c>
      <c r="B4187">
        <f>BASE_EQUIPOS!A4187</f>
        <v/>
      </c>
      <c r="C4187">
        <f>BASE_EQUIPOS!B4187</f>
        <v/>
      </c>
      <c r="D4187">
        <f>BASE_EQUIPOS!D4187</f>
        <v/>
      </c>
      <c r="E4187">
        <f>BASE_EQUIPOS!G4187</f>
        <v/>
      </c>
      <c r="F4187">
        <f>BASE_EQUIPOS!H4187</f>
        <v/>
      </c>
      <c r="G4187">
        <f>BASE_EQUIPOS!M4187</f>
        <v/>
      </c>
    </row>
    <row r="4188">
      <c r="A4188">
        <f>TRIM(BASE_EQUIPOS!N4188)</f>
        <v/>
      </c>
      <c r="B4188">
        <f>BASE_EQUIPOS!A4188</f>
        <v/>
      </c>
      <c r="C4188">
        <f>BASE_EQUIPOS!B4188</f>
        <v/>
      </c>
      <c r="D4188">
        <f>BASE_EQUIPOS!D4188</f>
        <v/>
      </c>
      <c r="E4188">
        <f>BASE_EQUIPOS!G4188</f>
        <v/>
      </c>
      <c r="F4188">
        <f>BASE_EQUIPOS!H4188</f>
        <v/>
      </c>
      <c r="G4188">
        <f>BASE_EQUIPOS!M4188</f>
        <v/>
      </c>
    </row>
    <row r="4189">
      <c r="A4189">
        <f>TRIM(BASE_EQUIPOS!N4189)</f>
        <v/>
      </c>
      <c r="B4189">
        <f>BASE_EQUIPOS!A4189</f>
        <v/>
      </c>
      <c r="C4189">
        <f>BASE_EQUIPOS!B4189</f>
        <v/>
      </c>
      <c r="D4189">
        <f>BASE_EQUIPOS!D4189</f>
        <v/>
      </c>
      <c r="E4189">
        <f>BASE_EQUIPOS!G4189</f>
        <v/>
      </c>
      <c r="F4189">
        <f>BASE_EQUIPOS!H4189</f>
        <v/>
      </c>
      <c r="G4189">
        <f>BASE_EQUIPOS!M4189</f>
        <v/>
      </c>
    </row>
    <row r="4190">
      <c r="A4190">
        <f>TRIM(BASE_EQUIPOS!N4190)</f>
        <v/>
      </c>
      <c r="B4190">
        <f>BASE_EQUIPOS!A4190</f>
        <v/>
      </c>
      <c r="C4190">
        <f>BASE_EQUIPOS!B4190</f>
        <v/>
      </c>
      <c r="D4190">
        <f>BASE_EQUIPOS!D4190</f>
        <v/>
      </c>
      <c r="E4190">
        <f>BASE_EQUIPOS!G4190</f>
        <v/>
      </c>
      <c r="F4190">
        <f>BASE_EQUIPOS!H4190</f>
        <v/>
      </c>
      <c r="G4190">
        <f>BASE_EQUIPOS!M4190</f>
        <v/>
      </c>
    </row>
    <row r="4191">
      <c r="A4191">
        <f>TRIM(BASE_EQUIPOS!N4191)</f>
        <v/>
      </c>
      <c r="B4191">
        <f>BASE_EQUIPOS!A4191</f>
        <v/>
      </c>
      <c r="C4191">
        <f>BASE_EQUIPOS!B4191</f>
        <v/>
      </c>
      <c r="D4191">
        <f>BASE_EQUIPOS!D4191</f>
        <v/>
      </c>
      <c r="E4191">
        <f>BASE_EQUIPOS!G4191</f>
        <v/>
      </c>
      <c r="F4191">
        <f>BASE_EQUIPOS!H4191</f>
        <v/>
      </c>
      <c r="G4191">
        <f>BASE_EQUIPOS!M4191</f>
        <v/>
      </c>
    </row>
    <row r="4192">
      <c r="A4192">
        <f>TRIM(BASE_EQUIPOS!N4192)</f>
        <v/>
      </c>
      <c r="B4192">
        <f>BASE_EQUIPOS!A4192</f>
        <v/>
      </c>
      <c r="C4192">
        <f>BASE_EQUIPOS!B4192</f>
        <v/>
      </c>
      <c r="D4192">
        <f>BASE_EQUIPOS!D4192</f>
        <v/>
      </c>
      <c r="E4192">
        <f>BASE_EQUIPOS!G4192</f>
        <v/>
      </c>
      <c r="F4192">
        <f>BASE_EQUIPOS!H4192</f>
        <v/>
      </c>
      <c r="G4192">
        <f>BASE_EQUIPOS!M4192</f>
        <v/>
      </c>
    </row>
    <row r="4193">
      <c r="A4193">
        <f>TRIM(BASE_EQUIPOS!N4193)</f>
        <v/>
      </c>
      <c r="B4193">
        <f>BASE_EQUIPOS!A4193</f>
        <v/>
      </c>
      <c r="C4193">
        <f>BASE_EQUIPOS!B4193</f>
        <v/>
      </c>
      <c r="D4193">
        <f>BASE_EQUIPOS!D4193</f>
        <v/>
      </c>
      <c r="E4193">
        <f>BASE_EQUIPOS!G4193</f>
        <v/>
      </c>
      <c r="F4193">
        <f>BASE_EQUIPOS!H4193</f>
        <v/>
      </c>
      <c r="G4193">
        <f>BASE_EQUIPOS!M4193</f>
        <v/>
      </c>
    </row>
    <row r="4194">
      <c r="A4194">
        <f>TRIM(BASE_EQUIPOS!N4194)</f>
        <v/>
      </c>
      <c r="B4194">
        <f>BASE_EQUIPOS!A4194</f>
        <v/>
      </c>
      <c r="C4194">
        <f>BASE_EQUIPOS!B4194</f>
        <v/>
      </c>
      <c r="D4194">
        <f>BASE_EQUIPOS!D4194</f>
        <v/>
      </c>
      <c r="E4194">
        <f>BASE_EQUIPOS!G4194</f>
        <v/>
      </c>
      <c r="F4194">
        <f>BASE_EQUIPOS!H4194</f>
        <v/>
      </c>
      <c r="G4194">
        <f>BASE_EQUIPOS!M4194</f>
        <v/>
      </c>
    </row>
    <row r="4195">
      <c r="A4195">
        <f>TRIM(BASE_EQUIPOS!N4195)</f>
        <v/>
      </c>
      <c r="B4195">
        <f>BASE_EQUIPOS!A4195</f>
        <v/>
      </c>
      <c r="C4195">
        <f>BASE_EQUIPOS!B4195</f>
        <v/>
      </c>
      <c r="D4195">
        <f>BASE_EQUIPOS!D4195</f>
        <v/>
      </c>
      <c r="E4195">
        <f>BASE_EQUIPOS!G4195</f>
        <v/>
      </c>
      <c r="F4195">
        <f>BASE_EQUIPOS!H4195</f>
        <v/>
      </c>
      <c r="G4195">
        <f>BASE_EQUIPOS!M4195</f>
        <v/>
      </c>
    </row>
    <row r="4196">
      <c r="A4196">
        <f>TRIM(BASE_EQUIPOS!N4196)</f>
        <v/>
      </c>
      <c r="B4196">
        <f>BASE_EQUIPOS!A4196</f>
        <v/>
      </c>
      <c r="C4196">
        <f>BASE_EQUIPOS!B4196</f>
        <v/>
      </c>
      <c r="D4196">
        <f>BASE_EQUIPOS!D4196</f>
        <v/>
      </c>
      <c r="E4196">
        <f>BASE_EQUIPOS!G4196</f>
        <v/>
      </c>
      <c r="F4196">
        <f>BASE_EQUIPOS!H4196</f>
        <v/>
      </c>
      <c r="G4196">
        <f>BASE_EQUIPOS!M4196</f>
        <v/>
      </c>
    </row>
    <row r="4197">
      <c r="A4197">
        <f>TRIM(BASE_EQUIPOS!N4197)</f>
        <v/>
      </c>
      <c r="B4197">
        <f>BASE_EQUIPOS!A4197</f>
        <v/>
      </c>
      <c r="C4197">
        <f>BASE_EQUIPOS!B4197</f>
        <v/>
      </c>
      <c r="D4197">
        <f>BASE_EQUIPOS!D4197</f>
        <v/>
      </c>
      <c r="E4197">
        <f>BASE_EQUIPOS!G4197</f>
        <v/>
      </c>
      <c r="F4197">
        <f>BASE_EQUIPOS!H4197</f>
        <v/>
      </c>
      <c r="G4197">
        <f>BASE_EQUIPOS!M4197</f>
        <v/>
      </c>
    </row>
    <row r="4198">
      <c r="A4198">
        <f>TRIM(BASE_EQUIPOS!N4198)</f>
        <v/>
      </c>
      <c r="B4198">
        <f>BASE_EQUIPOS!A4198</f>
        <v/>
      </c>
      <c r="C4198">
        <f>BASE_EQUIPOS!B4198</f>
        <v/>
      </c>
      <c r="D4198">
        <f>BASE_EQUIPOS!D4198</f>
        <v/>
      </c>
      <c r="E4198">
        <f>BASE_EQUIPOS!G4198</f>
        <v/>
      </c>
      <c r="F4198">
        <f>BASE_EQUIPOS!H4198</f>
        <v/>
      </c>
      <c r="G4198">
        <f>BASE_EQUIPOS!M4198</f>
        <v/>
      </c>
    </row>
    <row r="4199">
      <c r="A4199">
        <f>TRIM(BASE_EQUIPOS!N4199)</f>
        <v/>
      </c>
      <c r="B4199">
        <f>BASE_EQUIPOS!A4199</f>
        <v/>
      </c>
      <c r="C4199">
        <f>BASE_EQUIPOS!B4199</f>
        <v/>
      </c>
      <c r="D4199">
        <f>BASE_EQUIPOS!D4199</f>
        <v/>
      </c>
      <c r="E4199">
        <f>BASE_EQUIPOS!G4199</f>
        <v/>
      </c>
      <c r="F4199">
        <f>BASE_EQUIPOS!H4199</f>
        <v/>
      </c>
      <c r="G4199">
        <f>BASE_EQUIPOS!M4199</f>
        <v/>
      </c>
    </row>
    <row r="4200">
      <c r="A4200">
        <f>TRIM(BASE_EQUIPOS!N4200)</f>
        <v/>
      </c>
      <c r="B4200">
        <f>BASE_EQUIPOS!A4200</f>
        <v/>
      </c>
      <c r="C4200">
        <f>BASE_EQUIPOS!B4200</f>
        <v/>
      </c>
      <c r="D4200">
        <f>BASE_EQUIPOS!D4200</f>
        <v/>
      </c>
      <c r="E4200">
        <f>BASE_EQUIPOS!G4200</f>
        <v/>
      </c>
      <c r="F4200">
        <f>BASE_EQUIPOS!H4200</f>
        <v/>
      </c>
      <c r="G4200">
        <f>BASE_EQUIPOS!M4200</f>
        <v/>
      </c>
    </row>
    <row r="4201">
      <c r="A4201">
        <f>TRIM(BASE_EQUIPOS!N4201)</f>
        <v/>
      </c>
      <c r="B4201">
        <f>BASE_EQUIPOS!A4201</f>
        <v/>
      </c>
      <c r="C4201">
        <f>BASE_EQUIPOS!B4201</f>
        <v/>
      </c>
      <c r="D4201">
        <f>BASE_EQUIPOS!D4201</f>
        <v/>
      </c>
      <c r="E4201">
        <f>BASE_EQUIPOS!G4201</f>
        <v/>
      </c>
      <c r="F4201">
        <f>BASE_EQUIPOS!H4201</f>
        <v/>
      </c>
      <c r="G4201">
        <f>BASE_EQUIPOS!M4201</f>
        <v/>
      </c>
    </row>
    <row r="4202">
      <c r="A4202">
        <f>TRIM(BASE_EQUIPOS!N4202)</f>
        <v/>
      </c>
      <c r="B4202">
        <f>BASE_EQUIPOS!A4202</f>
        <v/>
      </c>
      <c r="C4202">
        <f>BASE_EQUIPOS!B4202</f>
        <v/>
      </c>
      <c r="D4202">
        <f>BASE_EQUIPOS!D4202</f>
        <v/>
      </c>
      <c r="E4202">
        <f>BASE_EQUIPOS!G4202</f>
        <v/>
      </c>
      <c r="F4202">
        <f>BASE_EQUIPOS!H4202</f>
        <v/>
      </c>
      <c r="G4202">
        <f>BASE_EQUIPOS!M4202</f>
        <v/>
      </c>
    </row>
    <row r="4203">
      <c r="A4203">
        <f>TRIM(BASE_EQUIPOS!N4203)</f>
        <v/>
      </c>
      <c r="B4203">
        <f>BASE_EQUIPOS!A4203</f>
        <v/>
      </c>
      <c r="C4203">
        <f>BASE_EQUIPOS!B4203</f>
        <v/>
      </c>
      <c r="D4203">
        <f>BASE_EQUIPOS!D4203</f>
        <v/>
      </c>
      <c r="E4203">
        <f>BASE_EQUIPOS!G4203</f>
        <v/>
      </c>
      <c r="F4203">
        <f>BASE_EQUIPOS!H4203</f>
        <v/>
      </c>
      <c r="G4203">
        <f>BASE_EQUIPOS!M4203</f>
        <v/>
      </c>
    </row>
    <row r="4204">
      <c r="A4204">
        <f>TRIM(BASE_EQUIPOS!N4204)</f>
        <v/>
      </c>
      <c r="B4204">
        <f>BASE_EQUIPOS!A4204</f>
        <v/>
      </c>
      <c r="C4204">
        <f>BASE_EQUIPOS!B4204</f>
        <v/>
      </c>
      <c r="D4204">
        <f>BASE_EQUIPOS!D4204</f>
        <v/>
      </c>
      <c r="E4204">
        <f>BASE_EQUIPOS!G4204</f>
        <v/>
      </c>
      <c r="F4204">
        <f>BASE_EQUIPOS!H4204</f>
        <v/>
      </c>
      <c r="G4204">
        <f>BASE_EQUIPOS!M4204</f>
        <v/>
      </c>
    </row>
    <row r="4205">
      <c r="A4205">
        <f>TRIM(BASE_EQUIPOS!N4205)</f>
        <v/>
      </c>
      <c r="B4205">
        <f>BASE_EQUIPOS!A4205</f>
        <v/>
      </c>
      <c r="C4205">
        <f>BASE_EQUIPOS!B4205</f>
        <v/>
      </c>
      <c r="D4205">
        <f>BASE_EQUIPOS!D4205</f>
        <v/>
      </c>
      <c r="E4205">
        <f>BASE_EQUIPOS!G4205</f>
        <v/>
      </c>
      <c r="F4205">
        <f>BASE_EQUIPOS!H4205</f>
        <v/>
      </c>
      <c r="G4205">
        <f>BASE_EQUIPOS!M4205</f>
        <v/>
      </c>
    </row>
    <row r="4206">
      <c r="A4206">
        <f>TRIM(BASE_EQUIPOS!N4206)</f>
        <v/>
      </c>
      <c r="B4206">
        <f>BASE_EQUIPOS!A4206</f>
        <v/>
      </c>
      <c r="C4206">
        <f>BASE_EQUIPOS!B4206</f>
        <v/>
      </c>
      <c r="D4206">
        <f>BASE_EQUIPOS!D4206</f>
        <v/>
      </c>
      <c r="E4206">
        <f>BASE_EQUIPOS!G4206</f>
        <v/>
      </c>
      <c r="F4206">
        <f>BASE_EQUIPOS!H4206</f>
        <v/>
      </c>
      <c r="G4206">
        <f>BASE_EQUIPOS!M4206</f>
        <v/>
      </c>
    </row>
    <row r="4207">
      <c r="A4207">
        <f>TRIM(BASE_EQUIPOS!N4207)</f>
        <v/>
      </c>
      <c r="B4207">
        <f>BASE_EQUIPOS!A4207</f>
        <v/>
      </c>
      <c r="C4207">
        <f>BASE_EQUIPOS!B4207</f>
        <v/>
      </c>
      <c r="D4207">
        <f>BASE_EQUIPOS!D4207</f>
        <v/>
      </c>
      <c r="E4207">
        <f>BASE_EQUIPOS!G4207</f>
        <v/>
      </c>
      <c r="F4207">
        <f>BASE_EQUIPOS!H4207</f>
        <v/>
      </c>
      <c r="G4207">
        <f>BASE_EQUIPOS!M4207</f>
        <v/>
      </c>
    </row>
    <row r="4208">
      <c r="A4208">
        <f>TRIM(BASE_EQUIPOS!N4208)</f>
        <v/>
      </c>
      <c r="B4208">
        <f>BASE_EQUIPOS!A4208</f>
        <v/>
      </c>
      <c r="C4208">
        <f>BASE_EQUIPOS!B4208</f>
        <v/>
      </c>
      <c r="D4208">
        <f>BASE_EQUIPOS!D4208</f>
        <v/>
      </c>
      <c r="E4208">
        <f>BASE_EQUIPOS!G4208</f>
        <v/>
      </c>
      <c r="F4208">
        <f>BASE_EQUIPOS!H4208</f>
        <v/>
      </c>
      <c r="G4208">
        <f>BASE_EQUIPOS!M4208</f>
        <v/>
      </c>
    </row>
    <row r="4209">
      <c r="A4209">
        <f>TRIM(BASE_EQUIPOS!N4209)</f>
        <v/>
      </c>
      <c r="B4209">
        <f>BASE_EQUIPOS!A4209</f>
        <v/>
      </c>
      <c r="C4209">
        <f>BASE_EQUIPOS!B4209</f>
        <v/>
      </c>
      <c r="D4209">
        <f>BASE_EQUIPOS!D4209</f>
        <v/>
      </c>
      <c r="E4209">
        <f>BASE_EQUIPOS!G4209</f>
        <v/>
      </c>
      <c r="F4209">
        <f>BASE_EQUIPOS!H4209</f>
        <v/>
      </c>
      <c r="G4209">
        <f>BASE_EQUIPOS!M4209</f>
        <v/>
      </c>
    </row>
    <row r="4210">
      <c r="A4210">
        <f>TRIM(BASE_EQUIPOS!N4210)</f>
        <v/>
      </c>
      <c r="B4210">
        <f>BASE_EQUIPOS!A4210</f>
        <v/>
      </c>
      <c r="C4210">
        <f>BASE_EQUIPOS!B4210</f>
        <v/>
      </c>
      <c r="D4210">
        <f>BASE_EQUIPOS!D4210</f>
        <v/>
      </c>
      <c r="E4210">
        <f>BASE_EQUIPOS!G4210</f>
        <v/>
      </c>
      <c r="F4210">
        <f>BASE_EQUIPOS!H4210</f>
        <v/>
      </c>
      <c r="G4210">
        <f>BASE_EQUIPOS!M4210</f>
        <v/>
      </c>
    </row>
    <row r="4211">
      <c r="A4211">
        <f>TRIM(BASE_EQUIPOS!N4211)</f>
        <v/>
      </c>
      <c r="B4211">
        <f>BASE_EQUIPOS!A4211</f>
        <v/>
      </c>
      <c r="C4211">
        <f>BASE_EQUIPOS!B4211</f>
        <v/>
      </c>
      <c r="D4211">
        <f>BASE_EQUIPOS!D4211</f>
        <v/>
      </c>
      <c r="E4211">
        <f>BASE_EQUIPOS!G4211</f>
        <v/>
      </c>
      <c r="F4211">
        <f>BASE_EQUIPOS!H4211</f>
        <v/>
      </c>
      <c r="G4211">
        <f>BASE_EQUIPOS!M4211</f>
        <v/>
      </c>
    </row>
    <row r="4212">
      <c r="A4212">
        <f>TRIM(BASE_EQUIPOS!N4212)</f>
        <v/>
      </c>
      <c r="B4212">
        <f>BASE_EQUIPOS!A4212</f>
        <v/>
      </c>
      <c r="C4212">
        <f>BASE_EQUIPOS!B4212</f>
        <v/>
      </c>
      <c r="D4212">
        <f>BASE_EQUIPOS!D4212</f>
        <v/>
      </c>
      <c r="E4212">
        <f>BASE_EQUIPOS!G4212</f>
        <v/>
      </c>
      <c r="F4212">
        <f>BASE_EQUIPOS!H4212</f>
        <v/>
      </c>
      <c r="G4212">
        <f>BASE_EQUIPOS!M4212</f>
        <v/>
      </c>
    </row>
    <row r="4213">
      <c r="A4213">
        <f>TRIM(BASE_EQUIPOS!N4213)</f>
        <v/>
      </c>
      <c r="B4213">
        <f>BASE_EQUIPOS!A4213</f>
        <v/>
      </c>
      <c r="C4213">
        <f>BASE_EQUIPOS!B4213</f>
        <v/>
      </c>
      <c r="D4213">
        <f>BASE_EQUIPOS!D4213</f>
        <v/>
      </c>
      <c r="E4213">
        <f>BASE_EQUIPOS!G4213</f>
        <v/>
      </c>
      <c r="F4213">
        <f>BASE_EQUIPOS!H4213</f>
        <v/>
      </c>
      <c r="G4213">
        <f>BASE_EQUIPOS!M4213</f>
        <v/>
      </c>
    </row>
    <row r="4214">
      <c r="A4214">
        <f>TRIM(BASE_EQUIPOS!N4214)</f>
        <v/>
      </c>
      <c r="B4214">
        <f>BASE_EQUIPOS!A4214</f>
        <v/>
      </c>
      <c r="C4214">
        <f>BASE_EQUIPOS!B4214</f>
        <v/>
      </c>
      <c r="D4214">
        <f>BASE_EQUIPOS!D4214</f>
        <v/>
      </c>
      <c r="E4214">
        <f>BASE_EQUIPOS!G4214</f>
        <v/>
      </c>
      <c r="F4214">
        <f>BASE_EQUIPOS!H4214</f>
        <v/>
      </c>
      <c r="G4214">
        <f>BASE_EQUIPOS!M4214</f>
        <v/>
      </c>
    </row>
    <row r="4215">
      <c r="A4215">
        <f>TRIM(BASE_EQUIPOS!N4215)</f>
        <v/>
      </c>
      <c r="B4215">
        <f>BASE_EQUIPOS!A4215</f>
        <v/>
      </c>
      <c r="C4215">
        <f>BASE_EQUIPOS!B4215</f>
        <v/>
      </c>
      <c r="D4215">
        <f>BASE_EQUIPOS!D4215</f>
        <v/>
      </c>
      <c r="E4215">
        <f>BASE_EQUIPOS!G4215</f>
        <v/>
      </c>
      <c r="F4215">
        <f>BASE_EQUIPOS!H4215</f>
        <v/>
      </c>
      <c r="G4215">
        <f>BASE_EQUIPOS!M4215</f>
        <v/>
      </c>
    </row>
    <row r="4216">
      <c r="A4216">
        <f>TRIM(BASE_EQUIPOS!N4216)</f>
        <v/>
      </c>
      <c r="B4216">
        <f>BASE_EQUIPOS!A4216</f>
        <v/>
      </c>
      <c r="C4216">
        <f>BASE_EQUIPOS!B4216</f>
        <v/>
      </c>
      <c r="D4216">
        <f>BASE_EQUIPOS!D4216</f>
        <v/>
      </c>
      <c r="E4216">
        <f>BASE_EQUIPOS!G4216</f>
        <v/>
      </c>
      <c r="F4216">
        <f>BASE_EQUIPOS!H4216</f>
        <v/>
      </c>
      <c r="G4216">
        <f>BASE_EQUIPOS!M4216</f>
        <v/>
      </c>
    </row>
    <row r="4217">
      <c r="A4217">
        <f>TRIM(BASE_EQUIPOS!N4217)</f>
        <v/>
      </c>
      <c r="B4217">
        <f>BASE_EQUIPOS!A4217</f>
        <v/>
      </c>
      <c r="C4217">
        <f>BASE_EQUIPOS!B4217</f>
        <v/>
      </c>
      <c r="D4217">
        <f>BASE_EQUIPOS!D4217</f>
        <v/>
      </c>
      <c r="E4217">
        <f>BASE_EQUIPOS!G4217</f>
        <v/>
      </c>
      <c r="F4217">
        <f>BASE_EQUIPOS!H4217</f>
        <v/>
      </c>
      <c r="G4217">
        <f>BASE_EQUIPOS!M4217</f>
        <v/>
      </c>
    </row>
    <row r="4218">
      <c r="A4218">
        <f>TRIM(BASE_EQUIPOS!N4218)</f>
        <v/>
      </c>
      <c r="B4218">
        <f>BASE_EQUIPOS!A4218</f>
        <v/>
      </c>
      <c r="C4218">
        <f>BASE_EQUIPOS!B4218</f>
        <v/>
      </c>
      <c r="D4218">
        <f>BASE_EQUIPOS!D4218</f>
        <v/>
      </c>
      <c r="E4218">
        <f>BASE_EQUIPOS!G4218</f>
        <v/>
      </c>
      <c r="F4218">
        <f>BASE_EQUIPOS!H4218</f>
        <v/>
      </c>
      <c r="G4218">
        <f>BASE_EQUIPOS!M4218</f>
        <v/>
      </c>
    </row>
    <row r="4219">
      <c r="A4219">
        <f>TRIM(BASE_EQUIPOS!N4219)</f>
        <v/>
      </c>
      <c r="B4219">
        <f>BASE_EQUIPOS!A4219</f>
        <v/>
      </c>
      <c r="C4219">
        <f>BASE_EQUIPOS!B4219</f>
        <v/>
      </c>
      <c r="D4219">
        <f>BASE_EQUIPOS!D4219</f>
        <v/>
      </c>
      <c r="E4219">
        <f>BASE_EQUIPOS!G4219</f>
        <v/>
      </c>
      <c r="F4219">
        <f>BASE_EQUIPOS!H4219</f>
        <v/>
      </c>
      <c r="G4219">
        <f>BASE_EQUIPOS!M4219</f>
        <v/>
      </c>
    </row>
    <row r="4220">
      <c r="A4220">
        <f>TRIM(BASE_EQUIPOS!N4220)</f>
        <v/>
      </c>
      <c r="B4220">
        <f>BASE_EQUIPOS!A4220</f>
        <v/>
      </c>
      <c r="C4220">
        <f>BASE_EQUIPOS!B4220</f>
        <v/>
      </c>
      <c r="D4220">
        <f>BASE_EQUIPOS!D4220</f>
        <v/>
      </c>
      <c r="E4220">
        <f>BASE_EQUIPOS!G4220</f>
        <v/>
      </c>
      <c r="F4220">
        <f>BASE_EQUIPOS!H4220</f>
        <v/>
      </c>
      <c r="G4220">
        <f>BASE_EQUIPOS!M4220</f>
        <v/>
      </c>
    </row>
    <row r="4221">
      <c r="A4221">
        <f>TRIM(BASE_EQUIPOS!N4221)</f>
        <v/>
      </c>
      <c r="B4221">
        <f>BASE_EQUIPOS!A4221</f>
        <v/>
      </c>
      <c r="C4221">
        <f>BASE_EQUIPOS!B4221</f>
        <v/>
      </c>
      <c r="D4221">
        <f>BASE_EQUIPOS!D4221</f>
        <v/>
      </c>
      <c r="E4221">
        <f>BASE_EQUIPOS!G4221</f>
        <v/>
      </c>
      <c r="F4221">
        <f>BASE_EQUIPOS!H4221</f>
        <v/>
      </c>
      <c r="G4221">
        <f>BASE_EQUIPOS!M4221</f>
        <v/>
      </c>
    </row>
    <row r="4222">
      <c r="A4222">
        <f>TRIM(BASE_EQUIPOS!N4222)</f>
        <v/>
      </c>
      <c r="B4222">
        <f>BASE_EQUIPOS!A4222</f>
        <v/>
      </c>
      <c r="C4222">
        <f>BASE_EQUIPOS!B4222</f>
        <v/>
      </c>
      <c r="D4222">
        <f>BASE_EQUIPOS!D4222</f>
        <v/>
      </c>
      <c r="E4222">
        <f>BASE_EQUIPOS!G4222</f>
        <v/>
      </c>
      <c r="F4222">
        <f>BASE_EQUIPOS!H4222</f>
        <v/>
      </c>
      <c r="G4222">
        <f>BASE_EQUIPOS!M4222</f>
        <v/>
      </c>
    </row>
    <row r="4223">
      <c r="A4223">
        <f>TRIM(BASE_EQUIPOS!N4223)</f>
        <v/>
      </c>
      <c r="B4223">
        <f>BASE_EQUIPOS!A4223</f>
        <v/>
      </c>
      <c r="C4223">
        <f>BASE_EQUIPOS!B4223</f>
        <v/>
      </c>
      <c r="D4223">
        <f>BASE_EQUIPOS!D4223</f>
        <v/>
      </c>
      <c r="E4223">
        <f>BASE_EQUIPOS!G4223</f>
        <v/>
      </c>
      <c r="F4223">
        <f>BASE_EQUIPOS!H4223</f>
        <v/>
      </c>
      <c r="G4223">
        <f>BASE_EQUIPOS!M4223</f>
        <v/>
      </c>
    </row>
    <row r="4224">
      <c r="A4224">
        <f>TRIM(BASE_EQUIPOS!N4224)</f>
        <v/>
      </c>
      <c r="B4224">
        <f>BASE_EQUIPOS!A4224</f>
        <v/>
      </c>
      <c r="C4224">
        <f>BASE_EQUIPOS!B4224</f>
        <v/>
      </c>
      <c r="D4224">
        <f>BASE_EQUIPOS!D4224</f>
        <v/>
      </c>
      <c r="E4224">
        <f>BASE_EQUIPOS!G4224</f>
        <v/>
      </c>
      <c r="F4224">
        <f>BASE_EQUIPOS!H4224</f>
        <v/>
      </c>
      <c r="G4224">
        <f>BASE_EQUIPOS!M4224</f>
        <v/>
      </c>
    </row>
    <row r="4225">
      <c r="A4225">
        <f>TRIM(BASE_EQUIPOS!N4225)</f>
        <v/>
      </c>
      <c r="B4225">
        <f>BASE_EQUIPOS!A4225</f>
        <v/>
      </c>
      <c r="C4225">
        <f>BASE_EQUIPOS!B4225</f>
        <v/>
      </c>
      <c r="D4225">
        <f>BASE_EQUIPOS!D4225</f>
        <v/>
      </c>
      <c r="E4225">
        <f>BASE_EQUIPOS!G4225</f>
        <v/>
      </c>
      <c r="F4225">
        <f>BASE_EQUIPOS!H4225</f>
        <v/>
      </c>
      <c r="G4225">
        <f>BASE_EQUIPOS!M4225</f>
        <v/>
      </c>
    </row>
    <row r="4226">
      <c r="A4226">
        <f>TRIM(BASE_EQUIPOS!N4226)</f>
        <v/>
      </c>
      <c r="B4226">
        <f>BASE_EQUIPOS!A4226</f>
        <v/>
      </c>
      <c r="C4226">
        <f>BASE_EQUIPOS!B4226</f>
        <v/>
      </c>
      <c r="D4226">
        <f>BASE_EQUIPOS!D4226</f>
        <v/>
      </c>
      <c r="E4226">
        <f>BASE_EQUIPOS!G4226</f>
        <v/>
      </c>
      <c r="F4226">
        <f>BASE_EQUIPOS!H4226</f>
        <v/>
      </c>
      <c r="G4226">
        <f>BASE_EQUIPOS!M4226</f>
        <v/>
      </c>
    </row>
    <row r="4227">
      <c r="A4227">
        <f>TRIM(BASE_EQUIPOS!N4227)</f>
        <v/>
      </c>
      <c r="B4227">
        <f>BASE_EQUIPOS!A4227</f>
        <v/>
      </c>
      <c r="C4227">
        <f>BASE_EQUIPOS!B4227</f>
        <v/>
      </c>
      <c r="D4227">
        <f>BASE_EQUIPOS!D4227</f>
        <v/>
      </c>
      <c r="E4227">
        <f>BASE_EQUIPOS!G4227</f>
        <v/>
      </c>
      <c r="F4227">
        <f>BASE_EQUIPOS!H4227</f>
        <v/>
      </c>
      <c r="G4227">
        <f>BASE_EQUIPOS!M4227</f>
        <v/>
      </c>
    </row>
    <row r="4228">
      <c r="A4228">
        <f>TRIM(BASE_EQUIPOS!N4228)</f>
        <v/>
      </c>
      <c r="B4228">
        <f>BASE_EQUIPOS!A4228</f>
        <v/>
      </c>
      <c r="C4228">
        <f>BASE_EQUIPOS!B4228</f>
        <v/>
      </c>
      <c r="D4228">
        <f>BASE_EQUIPOS!D4228</f>
        <v/>
      </c>
      <c r="E4228">
        <f>BASE_EQUIPOS!G4228</f>
        <v/>
      </c>
      <c r="F4228">
        <f>BASE_EQUIPOS!H4228</f>
        <v/>
      </c>
      <c r="G4228">
        <f>BASE_EQUIPOS!M4228</f>
        <v/>
      </c>
    </row>
    <row r="4229">
      <c r="A4229">
        <f>TRIM(BASE_EQUIPOS!N4229)</f>
        <v/>
      </c>
      <c r="B4229">
        <f>BASE_EQUIPOS!A4229</f>
        <v/>
      </c>
      <c r="C4229">
        <f>BASE_EQUIPOS!B4229</f>
        <v/>
      </c>
      <c r="D4229">
        <f>BASE_EQUIPOS!D4229</f>
        <v/>
      </c>
      <c r="E4229">
        <f>BASE_EQUIPOS!G4229</f>
        <v/>
      </c>
      <c r="F4229">
        <f>BASE_EQUIPOS!H4229</f>
        <v/>
      </c>
      <c r="G4229">
        <f>BASE_EQUIPOS!M4229</f>
        <v/>
      </c>
    </row>
    <row r="4230">
      <c r="A4230">
        <f>TRIM(BASE_EQUIPOS!N4230)</f>
        <v/>
      </c>
      <c r="B4230">
        <f>BASE_EQUIPOS!A4230</f>
        <v/>
      </c>
      <c r="C4230">
        <f>BASE_EQUIPOS!B4230</f>
        <v/>
      </c>
      <c r="D4230">
        <f>BASE_EQUIPOS!D4230</f>
        <v/>
      </c>
      <c r="E4230">
        <f>BASE_EQUIPOS!G4230</f>
        <v/>
      </c>
      <c r="F4230">
        <f>BASE_EQUIPOS!H4230</f>
        <v/>
      </c>
      <c r="G4230">
        <f>BASE_EQUIPOS!M4230</f>
        <v/>
      </c>
    </row>
    <row r="4231">
      <c r="A4231">
        <f>TRIM(BASE_EQUIPOS!N4231)</f>
        <v/>
      </c>
      <c r="B4231">
        <f>BASE_EQUIPOS!A4231</f>
        <v/>
      </c>
      <c r="C4231">
        <f>BASE_EQUIPOS!B4231</f>
        <v/>
      </c>
      <c r="D4231">
        <f>BASE_EQUIPOS!D4231</f>
        <v/>
      </c>
      <c r="E4231">
        <f>BASE_EQUIPOS!G4231</f>
        <v/>
      </c>
      <c r="F4231">
        <f>BASE_EQUIPOS!H4231</f>
        <v/>
      </c>
      <c r="G4231">
        <f>BASE_EQUIPOS!M4231</f>
        <v/>
      </c>
    </row>
    <row r="4232">
      <c r="A4232">
        <f>TRIM(BASE_EQUIPOS!N4232)</f>
        <v/>
      </c>
      <c r="B4232">
        <f>BASE_EQUIPOS!A4232</f>
        <v/>
      </c>
      <c r="C4232">
        <f>BASE_EQUIPOS!B4232</f>
        <v/>
      </c>
      <c r="D4232">
        <f>BASE_EQUIPOS!D4232</f>
        <v/>
      </c>
      <c r="E4232">
        <f>BASE_EQUIPOS!G4232</f>
        <v/>
      </c>
      <c r="F4232">
        <f>BASE_EQUIPOS!H4232</f>
        <v/>
      </c>
      <c r="G4232">
        <f>BASE_EQUIPOS!M4232</f>
        <v/>
      </c>
    </row>
    <row r="4233">
      <c r="A4233">
        <f>TRIM(BASE_EQUIPOS!N4233)</f>
        <v/>
      </c>
      <c r="B4233">
        <f>BASE_EQUIPOS!A4233</f>
        <v/>
      </c>
      <c r="C4233">
        <f>BASE_EQUIPOS!B4233</f>
        <v/>
      </c>
      <c r="D4233">
        <f>BASE_EQUIPOS!D4233</f>
        <v/>
      </c>
      <c r="E4233">
        <f>BASE_EQUIPOS!G4233</f>
        <v/>
      </c>
      <c r="F4233">
        <f>BASE_EQUIPOS!H4233</f>
        <v/>
      </c>
      <c r="G4233">
        <f>BASE_EQUIPOS!M4233</f>
        <v/>
      </c>
    </row>
    <row r="4234">
      <c r="A4234">
        <f>TRIM(BASE_EQUIPOS!N4234)</f>
        <v/>
      </c>
      <c r="B4234">
        <f>BASE_EQUIPOS!A4234</f>
        <v/>
      </c>
      <c r="C4234">
        <f>BASE_EQUIPOS!B4234</f>
        <v/>
      </c>
      <c r="D4234">
        <f>BASE_EQUIPOS!D4234</f>
        <v/>
      </c>
      <c r="E4234">
        <f>BASE_EQUIPOS!G4234</f>
        <v/>
      </c>
      <c r="F4234">
        <f>BASE_EQUIPOS!H4234</f>
        <v/>
      </c>
      <c r="G4234">
        <f>BASE_EQUIPOS!M4234</f>
        <v/>
      </c>
    </row>
    <row r="4235">
      <c r="A4235">
        <f>TRIM(BASE_EQUIPOS!N4235)</f>
        <v/>
      </c>
      <c r="B4235">
        <f>BASE_EQUIPOS!A4235</f>
        <v/>
      </c>
      <c r="C4235">
        <f>BASE_EQUIPOS!B4235</f>
        <v/>
      </c>
      <c r="D4235">
        <f>BASE_EQUIPOS!D4235</f>
        <v/>
      </c>
      <c r="E4235">
        <f>BASE_EQUIPOS!G4235</f>
        <v/>
      </c>
      <c r="F4235">
        <f>BASE_EQUIPOS!H4235</f>
        <v/>
      </c>
      <c r="G4235">
        <f>BASE_EQUIPOS!M4235</f>
        <v/>
      </c>
    </row>
    <row r="4236">
      <c r="A4236">
        <f>TRIM(BASE_EQUIPOS!N4236)</f>
        <v/>
      </c>
      <c r="B4236">
        <f>BASE_EQUIPOS!A4236</f>
        <v/>
      </c>
      <c r="C4236">
        <f>BASE_EQUIPOS!B4236</f>
        <v/>
      </c>
      <c r="D4236">
        <f>BASE_EQUIPOS!D4236</f>
        <v/>
      </c>
      <c r="E4236">
        <f>BASE_EQUIPOS!G4236</f>
        <v/>
      </c>
      <c r="F4236">
        <f>BASE_EQUIPOS!H4236</f>
        <v/>
      </c>
      <c r="G4236">
        <f>BASE_EQUIPOS!M4236</f>
        <v/>
      </c>
    </row>
    <row r="4237">
      <c r="A4237">
        <f>TRIM(BASE_EQUIPOS!N4237)</f>
        <v/>
      </c>
      <c r="B4237">
        <f>BASE_EQUIPOS!A4237</f>
        <v/>
      </c>
      <c r="C4237">
        <f>BASE_EQUIPOS!B4237</f>
        <v/>
      </c>
      <c r="D4237">
        <f>BASE_EQUIPOS!D4237</f>
        <v/>
      </c>
      <c r="E4237">
        <f>BASE_EQUIPOS!G4237</f>
        <v/>
      </c>
      <c r="F4237">
        <f>BASE_EQUIPOS!H4237</f>
        <v/>
      </c>
      <c r="G4237">
        <f>BASE_EQUIPOS!M4237</f>
        <v/>
      </c>
    </row>
    <row r="4238">
      <c r="A4238">
        <f>TRIM(BASE_EQUIPOS!N4238)</f>
        <v/>
      </c>
      <c r="B4238">
        <f>BASE_EQUIPOS!A4238</f>
        <v/>
      </c>
      <c r="C4238">
        <f>BASE_EQUIPOS!B4238</f>
        <v/>
      </c>
      <c r="D4238">
        <f>BASE_EQUIPOS!D4238</f>
        <v/>
      </c>
      <c r="E4238">
        <f>BASE_EQUIPOS!G4238</f>
        <v/>
      </c>
      <c r="F4238">
        <f>BASE_EQUIPOS!H4238</f>
        <v/>
      </c>
      <c r="G4238">
        <f>BASE_EQUIPOS!M4238</f>
        <v/>
      </c>
    </row>
    <row r="4239">
      <c r="A4239">
        <f>TRIM(BASE_EQUIPOS!N4239)</f>
        <v/>
      </c>
      <c r="B4239">
        <f>BASE_EQUIPOS!A4239</f>
        <v/>
      </c>
      <c r="C4239">
        <f>BASE_EQUIPOS!B4239</f>
        <v/>
      </c>
      <c r="D4239">
        <f>BASE_EQUIPOS!D4239</f>
        <v/>
      </c>
      <c r="E4239">
        <f>BASE_EQUIPOS!G4239</f>
        <v/>
      </c>
      <c r="F4239">
        <f>BASE_EQUIPOS!H4239</f>
        <v/>
      </c>
      <c r="G4239">
        <f>BASE_EQUIPOS!M4239</f>
        <v/>
      </c>
    </row>
    <row r="4240">
      <c r="A4240">
        <f>TRIM(BASE_EQUIPOS!N4240)</f>
        <v/>
      </c>
      <c r="B4240">
        <f>BASE_EQUIPOS!A4240</f>
        <v/>
      </c>
      <c r="C4240">
        <f>BASE_EQUIPOS!B4240</f>
        <v/>
      </c>
      <c r="D4240">
        <f>BASE_EQUIPOS!D4240</f>
        <v/>
      </c>
      <c r="E4240">
        <f>BASE_EQUIPOS!G4240</f>
        <v/>
      </c>
      <c r="F4240">
        <f>BASE_EQUIPOS!H4240</f>
        <v/>
      </c>
      <c r="G4240">
        <f>BASE_EQUIPOS!M4240</f>
        <v/>
      </c>
    </row>
    <row r="4241">
      <c r="A4241">
        <f>TRIM(BASE_EQUIPOS!N4241)</f>
        <v/>
      </c>
      <c r="B4241">
        <f>BASE_EQUIPOS!A4241</f>
        <v/>
      </c>
      <c r="C4241">
        <f>BASE_EQUIPOS!B4241</f>
        <v/>
      </c>
      <c r="D4241">
        <f>BASE_EQUIPOS!D4241</f>
        <v/>
      </c>
      <c r="E4241">
        <f>BASE_EQUIPOS!G4241</f>
        <v/>
      </c>
      <c r="F4241">
        <f>BASE_EQUIPOS!H4241</f>
        <v/>
      </c>
      <c r="G4241">
        <f>BASE_EQUIPOS!M4241</f>
        <v/>
      </c>
    </row>
    <row r="4242">
      <c r="A4242">
        <f>TRIM(BASE_EQUIPOS!N4242)</f>
        <v/>
      </c>
      <c r="B4242">
        <f>BASE_EQUIPOS!A4242</f>
        <v/>
      </c>
      <c r="C4242">
        <f>BASE_EQUIPOS!B4242</f>
        <v/>
      </c>
      <c r="D4242">
        <f>BASE_EQUIPOS!D4242</f>
        <v/>
      </c>
      <c r="E4242">
        <f>BASE_EQUIPOS!G4242</f>
        <v/>
      </c>
      <c r="F4242">
        <f>BASE_EQUIPOS!H4242</f>
        <v/>
      </c>
      <c r="G4242">
        <f>BASE_EQUIPOS!M4242</f>
        <v/>
      </c>
    </row>
    <row r="4243">
      <c r="A4243">
        <f>TRIM(BASE_EQUIPOS!N4243)</f>
        <v/>
      </c>
      <c r="B4243">
        <f>BASE_EQUIPOS!A4243</f>
        <v/>
      </c>
      <c r="C4243">
        <f>BASE_EQUIPOS!B4243</f>
        <v/>
      </c>
      <c r="D4243">
        <f>BASE_EQUIPOS!D4243</f>
        <v/>
      </c>
      <c r="E4243">
        <f>BASE_EQUIPOS!G4243</f>
        <v/>
      </c>
      <c r="F4243">
        <f>BASE_EQUIPOS!H4243</f>
        <v/>
      </c>
      <c r="G4243">
        <f>BASE_EQUIPOS!M4243</f>
        <v/>
      </c>
    </row>
    <row r="4244">
      <c r="A4244">
        <f>TRIM(BASE_EQUIPOS!N4244)</f>
        <v/>
      </c>
      <c r="B4244">
        <f>BASE_EQUIPOS!A4244</f>
        <v/>
      </c>
      <c r="C4244">
        <f>BASE_EQUIPOS!B4244</f>
        <v/>
      </c>
      <c r="D4244">
        <f>BASE_EQUIPOS!D4244</f>
        <v/>
      </c>
      <c r="E4244">
        <f>BASE_EQUIPOS!G4244</f>
        <v/>
      </c>
      <c r="F4244">
        <f>BASE_EQUIPOS!H4244</f>
        <v/>
      </c>
      <c r="G4244">
        <f>BASE_EQUIPOS!M4244</f>
        <v/>
      </c>
    </row>
    <row r="4245">
      <c r="A4245">
        <f>TRIM(BASE_EQUIPOS!N4245)</f>
        <v/>
      </c>
      <c r="B4245">
        <f>BASE_EQUIPOS!A4245</f>
        <v/>
      </c>
      <c r="C4245">
        <f>BASE_EQUIPOS!B4245</f>
        <v/>
      </c>
      <c r="D4245">
        <f>BASE_EQUIPOS!D4245</f>
        <v/>
      </c>
      <c r="E4245">
        <f>BASE_EQUIPOS!G4245</f>
        <v/>
      </c>
      <c r="F4245">
        <f>BASE_EQUIPOS!H4245</f>
        <v/>
      </c>
      <c r="G4245">
        <f>BASE_EQUIPOS!M4245</f>
        <v/>
      </c>
    </row>
    <row r="4246">
      <c r="A4246">
        <f>TRIM(BASE_EQUIPOS!N4246)</f>
        <v/>
      </c>
      <c r="B4246">
        <f>BASE_EQUIPOS!A4246</f>
        <v/>
      </c>
      <c r="C4246">
        <f>BASE_EQUIPOS!B4246</f>
        <v/>
      </c>
      <c r="D4246">
        <f>BASE_EQUIPOS!D4246</f>
        <v/>
      </c>
      <c r="E4246">
        <f>BASE_EQUIPOS!G4246</f>
        <v/>
      </c>
      <c r="F4246">
        <f>BASE_EQUIPOS!H4246</f>
        <v/>
      </c>
      <c r="G4246">
        <f>BASE_EQUIPOS!M4246</f>
        <v/>
      </c>
    </row>
    <row r="4247">
      <c r="A4247">
        <f>TRIM(BASE_EQUIPOS!N4247)</f>
        <v/>
      </c>
      <c r="B4247">
        <f>BASE_EQUIPOS!A4247</f>
        <v/>
      </c>
      <c r="C4247">
        <f>BASE_EQUIPOS!B4247</f>
        <v/>
      </c>
      <c r="D4247">
        <f>BASE_EQUIPOS!D4247</f>
        <v/>
      </c>
      <c r="E4247">
        <f>BASE_EQUIPOS!G4247</f>
        <v/>
      </c>
      <c r="F4247">
        <f>BASE_EQUIPOS!H4247</f>
        <v/>
      </c>
      <c r="G4247">
        <f>BASE_EQUIPOS!M4247</f>
        <v/>
      </c>
    </row>
    <row r="4248">
      <c r="A4248">
        <f>TRIM(BASE_EQUIPOS!N4248)</f>
        <v/>
      </c>
      <c r="B4248">
        <f>BASE_EQUIPOS!A4248</f>
        <v/>
      </c>
      <c r="C4248">
        <f>BASE_EQUIPOS!B4248</f>
        <v/>
      </c>
      <c r="D4248">
        <f>BASE_EQUIPOS!D4248</f>
        <v/>
      </c>
      <c r="E4248">
        <f>BASE_EQUIPOS!G4248</f>
        <v/>
      </c>
      <c r="F4248">
        <f>BASE_EQUIPOS!H4248</f>
        <v/>
      </c>
      <c r="G4248">
        <f>BASE_EQUIPOS!M4248</f>
        <v/>
      </c>
    </row>
    <row r="4249">
      <c r="A4249">
        <f>TRIM(BASE_EQUIPOS!N4249)</f>
        <v/>
      </c>
      <c r="B4249">
        <f>BASE_EQUIPOS!A4249</f>
        <v/>
      </c>
      <c r="C4249">
        <f>BASE_EQUIPOS!B4249</f>
        <v/>
      </c>
      <c r="D4249">
        <f>BASE_EQUIPOS!D4249</f>
        <v/>
      </c>
      <c r="E4249">
        <f>BASE_EQUIPOS!G4249</f>
        <v/>
      </c>
      <c r="F4249">
        <f>BASE_EQUIPOS!H4249</f>
        <v/>
      </c>
      <c r="G4249">
        <f>BASE_EQUIPOS!M4249</f>
        <v/>
      </c>
    </row>
    <row r="4250">
      <c r="A4250">
        <f>TRIM(BASE_EQUIPOS!N4250)</f>
        <v/>
      </c>
      <c r="B4250">
        <f>BASE_EQUIPOS!A4250</f>
        <v/>
      </c>
      <c r="C4250">
        <f>BASE_EQUIPOS!B4250</f>
        <v/>
      </c>
      <c r="D4250">
        <f>BASE_EQUIPOS!D4250</f>
        <v/>
      </c>
      <c r="E4250">
        <f>BASE_EQUIPOS!G4250</f>
        <v/>
      </c>
      <c r="F4250">
        <f>BASE_EQUIPOS!H4250</f>
        <v/>
      </c>
      <c r="G4250">
        <f>BASE_EQUIPOS!M4250</f>
        <v/>
      </c>
    </row>
    <row r="4251">
      <c r="A4251">
        <f>TRIM(BASE_EQUIPOS!N4251)</f>
        <v/>
      </c>
      <c r="B4251">
        <f>BASE_EQUIPOS!A4251</f>
        <v/>
      </c>
      <c r="C4251">
        <f>BASE_EQUIPOS!B4251</f>
        <v/>
      </c>
      <c r="D4251">
        <f>BASE_EQUIPOS!D4251</f>
        <v/>
      </c>
      <c r="E4251">
        <f>BASE_EQUIPOS!G4251</f>
        <v/>
      </c>
      <c r="F4251">
        <f>BASE_EQUIPOS!H4251</f>
        <v/>
      </c>
      <c r="G4251">
        <f>BASE_EQUIPOS!M4251</f>
        <v/>
      </c>
    </row>
    <row r="4252">
      <c r="A4252">
        <f>TRIM(BASE_EQUIPOS!N4252)</f>
        <v/>
      </c>
      <c r="B4252">
        <f>BASE_EQUIPOS!A4252</f>
        <v/>
      </c>
      <c r="C4252">
        <f>BASE_EQUIPOS!B4252</f>
        <v/>
      </c>
      <c r="D4252">
        <f>BASE_EQUIPOS!D4252</f>
        <v/>
      </c>
      <c r="E4252">
        <f>BASE_EQUIPOS!G4252</f>
        <v/>
      </c>
      <c r="F4252">
        <f>BASE_EQUIPOS!H4252</f>
        <v/>
      </c>
      <c r="G4252">
        <f>BASE_EQUIPOS!M4252</f>
        <v/>
      </c>
    </row>
    <row r="4253">
      <c r="A4253">
        <f>TRIM(BASE_EQUIPOS!N4253)</f>
        <v/>
      </c>
      <c r="B4253">
        <f>BASE_EQUIPOS!A4253</f>
        <v/>
      </c>
      <c r="C4253">
        <f>BASE_EQUIPOS!B4253</f>
        <v/>
      </c>
      <c r="D4253">
        <f>BASE_EQUIPOS!D4253</f>
        <v/>
      </c>
      <c r="E4253">
        <f>BASE_EQUIPOS!G4253</f>
        <v/>
      </c>
      <c r="F4253">
        <f>BASE_EQUIPOS!H4253</f>
        <v/>
      </c>
      <c r="G4253">
        <f>BASE_EQUIPOS!M4253</f>
        <v/>
      </c>
    </row>
    <row r="4254">
      <c r="A4254">
        <f>TRIM(BASE_EQUIPOS!N4254)</f>
        <v/>
      </c>
      <c r="B4254">
        <f>BASE_EQUIPOS!A4254</f>
        <v/>
      </c>
      <c r="C4254">
        <f>BASE_EQUIPOS!B4254</f>
        <v/>
      </c>
      <c r="D4254">
        <f>BASE_EQUIPOS!D4254</f>
        <v/>
      </c>
      <c r="E4254">
        <f>BASE_EQUIPOS!G4254</f>
        <v/>
      </c>
      <c r="F4254">
        <f>BASE_EQUIPOS!H4254</f>
        <v/>
      </c>
      <c r="G4254">
        <f>BASE_EQUIPOS!M4254</f>
        <v/>
      </c>
    </row>
    <row r="4255">
      <c r="A4255">
        <f>TRIM(BASE_EQUIPOS!N4255)</f>
        <v/>
      </c>
      <c r="B4255">
        <f>BASE_EQUIPOS!A4255</f>
        <v/>
      </c>
      <c r="C4255">
        <f>BASE_EQUIPOS!B4255</f>
        <v/>
      </c>
      <c r="D4255">
        <f>BASE_EQUIPOS!D4255</f>
        <v/>
      </c>
      <c r="E4255">
        <f>BASE_EQUIPOS!G4255</f>
        <v/>
      </c>
      <c r="F4255">
        <f>BASE_EQUIPOS!H4255</f>
        <v/>
      </c>
      <c r="G4255">
        <f>BASE_EQUIPOS!M4255</f>
        <v/>
      </c>
    </row>
    <row r="4256">
      <c r="A4256">
        <f>TRIM(BASE_EQUIPOS!N4256)</f>
        <v/>
      </c>
      <c r="B4256">
        <f>BASE_EQUIPOS!A4256</f>
        <v/>
      </c>
      <c r="C4256">
        <f>BASE_EQUIPOS!B4256</f>
        <v/>
      </c>
      <c r="D4256">
        <f>BASE_EQUIPOS!D4256</f>
        <v/>
      </c>
      <c r="E4256">
        <f>BASE_EQUIPOS!G4256</f>
        <v/>
      </c>
      <c r="F4256">
        <f>BASE_EQUIPOS!H4256</f>
        <v/>
      </c>
      <c r="G4256">
        <f>BASE_EQUIPOS!M4256</f>
        <v/>
      </c>
    </row>
    <row r="4257">
      <c r="A4257">
        <f>TRIM(BASE_EQUIPOS!N4257)</f>
        <v/>
      </c>
      <c r="B4257">
        <f>BASE_EQUIPOS!A4257</f>
        <v/>
      </c>
      <c r="C4257">
        <f>BASE_EQUIPOS!B4257</f>
        <v/>
      </c>
      <c r="D4257">
        <f>BASE_EQUIPOS!D4257</f>
        <v/>
      </c>
      <c r="E4257">
        <f>BASE_EQUIPOS!G4257</f>
        <v/>
      </c>
      <c r="F4257">
        <f>BASE_EQUIPOS!H4257</f>
        <v/>
      </c>
      <c r="G4257">
        <f>BASE_EQUIPOS!M4257</f>
        <v/>
      </c>
    </row>
    <row r="4258">
      <c r="A4258">
        <f>TRIM(BASE_EQUIPOS!N4258)</f>
        <v/>
      </c>
      <c r="B4258">
        <f>BASE_EQUIPOS!A4258</f>
        <v/>
      </c>
      <c r="C4258">
        <f>BASE_EQUIPOS!B4258</f>
        <v/>
      </c>
      <c r="D4258">
        <f>BASE_EQUIPOS!D4258</f>
        <v/>
      </c>
      <c r="E4258">
        <f>BASE_EQUIPOS!G4258</f>
        <v/>
      </c>
      <c r="F4258">
        <f>BASE_EQUIPOS!H4258</f>
        <v/>
      </c>
      <c r="G4258">
        <f>BASE_EQUIPOS!M4258</f>
        <v/>
      </c>
    </row>
    <row r="4259">
      <c r="A4259">
        <f>TRIM(BASE_EQUIPOS!N4259)</f>
        <v/>
      </c>
      <c r="B4259">
        <f>BASE_EQUIPOS!A4259</f>
        <v/>
      </c>
      <c r="C4259">
        <f>BASE_EQUIPOS!B4259</f>
        <v/>
      </c>
      <c r="D4259">
        <f>BASE_EQUIPOS!D4259</f>
        <v/>
      </c>
      <c r="E4259">
        <f>BASE_EQUIPOS!G4259</f>
        <v/>
      </c>
      <c r="F4259">
        <f>BASE_EQUIPOS!H4259</f>
        <v/>
      </c>
      <c r="G4259">
        <f>BASE_EQUIPOS!M4259</f>
        <v/>
      </c>
    </row>
    <row r="4260">
      <c r="A4260">
        <f>TRIM(BASE_EQUIPOS!N4260)</f>
        <v/>
      </c>
      <c r="B4260">
        <f>BASE_EQUIPOS!A4260</f>
        <v/>
      </c>
      <c r="C4260">
        <f>BASE_EQUIPOS!B4260</f>
        <v/>
      </c>
      <c r="D4260">
        <f>BASE_EQUIPOS!D4260</f>
        <v/>
      </c>
      <c r="E4260">
        <f>BASE_EQUIPOS!G4260</f>
        <v/>
      </c>
      <c r="F4260">
        <f>BASE_EQUIPOS!H4260</f>
        <v/>
      </c>
      <c r="G4260">
        <f>BASE_EQUIPOS!M4260</f>
        <v/>
      </c>
    </row>
    <row r="4261">
      <c r="A4261">
        <f>TRIM(BASE_EQUIPOS!N4261)</f>
        <v/>
      </c>
      <c r="B4261">
        <f>BASE_EQUIPOS!A4261</f>
        <v/>
      </c>
      <c r="C4261">
        <f>BASE_EQUIPOS!B4261</f>
        <v/>
      </c>
      <c r="D4261">
        <f>BASE_EQUIPOS!D4261</f>
        <v/>
      </c>
      <c r="E4261">
        <f>BASE_EQUIPOS!G4261</f>
        <v/>
      </c>
      <c r="F4261">
        <f>BASE_EQUIPOS!H4261</f>
        <v/>
      </c>
      <c r="G4261">
        <f>BASE_EQUIPOS!M4261</f>
        <v/>
      </c>
    </row>
    <row r="4262">
      <c r="A4262">
        <f>TRIM(BASE_EQUIPOS!N4262)</f>
        <v/>
      </c>
      <c r="B4262">
        <f>BASE_EQUIPOS!A4262</f>
        <v/>
      </c>
      <c r="C4262">
        <f>BASE_EQUIPOS!B4262</f>
        <v/>
      </c>
      <c r="D4262">
        <f>BASE_EQUIPOS!D4262</f>
        <v/>
      </c>
      <c r="E4262">
        <f>BASE_EQUIPOS!G4262</f>
        <v/>
      </c>
      <c r="F4262">
        <f>BASE_EQUIPOS!H4262</f>
        <v/>
      </c>
      <c r="G4262">
        <f>BASE_EQUIPOS!M4262</f>
        <v/>
      </c>
    </row>
    <row r="4263">
      <c r="A4263">
        <f>TRIM(BASE_EQUIPOS!N4263)</f>
        <v/>
      </c>
      <c r="B4263">
        <f>BASE_EQUIPOS!A4263</f>
        <v/>
      </c>
      <c r="C4263">
        <f>BASE_EQUIPOS!B4263</f>
        <v/>
      </c>
      <c r="D4263">
        <f>BASE_EQUIPOS!D4263</f>
        <v/>
      </c>
      <c r="E4263">
        <f>BASE_EQUIPOS!G4263</f>
        <v/>
      </c>
      <c r="F4263">
        <f>BASE_EQUIPOS!H4263</f>
        <v/>
      </c>
      <c r="G4263">
        <f>BASE_EQUIPOS!M4263</f>
        <v/>
      </c>
    </row>
    <row r="4264">
      <c r="A4264">
        <f>TRIM(BASE_EQUIPOS!N4264)</f>
        <v/>
      </c>
      <c r="B4264">
        <f>BASE_EQUIPOS!A4264</f>
        <v/>
      </c>
      <c r="C4264">
        <f>BASE_EQUIPOS!B4264</f>
        <v/>
      </c>
      <c r="D4264">
        <f>BASE_EQUIPOS!D4264</f>
        <v/>
      </c>
      <c r="E4264">
        <f>BASE_EQUIPOS!G4264</f>
        <v/>
      </c>
      <c r="F4264">
        <f>BASE_EQUIPOS!H4264</f>
        <v/>
      </c>
      <c r="G4264">
        <f>BASE_EQUIPOS!M4264</f>
        <v/>
      </c>
    </row>
    <row r="4265">
      <c r="A4265">
        <f>TRIM(BASE_EQUIPOS!N4265)</f>
        <v/>
      </c>
      <c r="B4265">
        <f>BASE_EQUIPOS!A4265</f>
        <v/>
      </c>
      <c r="C4265">
        <f>BASE_EQUIPOS!B4265</f>
        <v/>
      </c>
      <c r="D4265">
        <f>BASE_EQUIPOS!D4265</f>
        <v/>
      </c>
      <c r="E4265">
        <f>BASE_EQUIPOS!G4265</f>
        <v/>
      </c>
      <c r="F4265">
        <f>BASE_EQUIPOS!H4265</f>
        <v/>
      </c>
      <c r="G4265">
        <f>BASE_EQUIPOS!M4265</f>
        <v/>
      </c>
    </row>
    <row r="4266">
      <c r="A4266">
        <f>TRIM(BASE_EQUIPOS!N4266)</f>
        <v/>
      </c>
      <c r="B4266">
        <f>BASE_EQUIPOS!A4266</f>
        <v/>
      </c>
      <c r="C4266">
        <f>BASE_EQUIPOS!B4266</f>
        <v/>
      </c>
      <c r="D4266">
        <f>BASE_EQUIPOS!D4266</f>
        <v/>
      </c>
      <c r="E4266">
        <f>BASE_EQUIPOS!G4266</f>
        <v/>
      </c>
      <c r="F4266">
        <f>BASE_EQUIPOS!H4266</f>
        <v/>
      </c>
      <c r="G4266">
        <f>BASE_EQUIPOS!M4266</f>
        <v/>
      </c>
    </row>
    <row r="4267">
      <c r="A4267">
        <f>TRIM(BASE_EQUIPOS!N4267)</f>
        <v/>
      </c>
      <c r="B4267">
        <f>BASE_EQUIPOS!A4267</f>
        <v/>
      </c>
      <c r="C4267">
        <f>BASE_EQUIPOS!B4267</f>
        <v/>
      </c>
      <c r="D4267">
        <f>BASE_EQUIPOS!D4267</f>
        <v/>
      </c>
      <c r="E4267">
        <f>BASE_EQUIPOS!G4267</f>
        <v/>
      </c>
      <c r="F4267">
        <f>BASE_EQUIPOS!H4267</f>
        <v/>
      </c>
      <c r="G4267">
        <f>BASE_EQUIPOS!M4267</f>
        <v/>
      </c>
    </row>
    <row r="4268">
      <c r="A4268">
        <f>TRIM(BASE_EQUIPOS!N4268)</f>
        <v/>
      </c>
      <c r="B4268">
        <f>BASE_EQUIPOS!A4268</f>
        <v/>
      </c>
      <c r="C4268">
        <f>BASE_EQUIPOS!B4268</f>
        <v/>
      </c>
      <c r="D4268">
        <f>BASE_EQUIPOS!D4268</f>
        <v/>
      </c>
      <c r="E4268">
        <f>BASE_EQUIPOS!G4268</f>
        <v/>
      </c>
      <c r="F4268">
        <f>BASE_EQUIPOS!H4268</f>
        <v/>
      </c>
      <c r="G4268">
        <f>BASE_EQUIPOS!M4268</f>
        <v/>
      </c>
    </row>
    <row r="4269">
      <c r="A4269">
        <f>TRIM(BASE_EQUIPOS!N4269)</f>
        <v/>
      </c>
      <c r="B4269">
        <f>BASE_EQUIPOS!A4269</f>
        <v/>
      </c>
      <c r="C4269">
        <f>BASE_EQUIPOS!B4269</f>
        <v/>
      </c>
      <c r="D4269">
        <f>BASE_EQUIPOS!D4269</f>
        <v/>
      </c>
      <c r="E4269">
        <f>BASE_EQUIPOS!G4269</f>
        <v/>
      </c>
      <c r="F4269">
        <f>BASE_EQUIPOS!H4269</f>
        <v/>
      </c>
      <c r="G4269">
        <f>BASE_EQUIPOS!M4269</f>
        <v/>
      </c>
    </row>
    <row r="4270">
      <c r="A4270">
        <f>TRIM(BASE_EQUIPOS!N4270)</f>
        <v/>
      </c>
      <c r="B4270">
        <f>BASE_EQUIPOS!A4270</f>
        <v/>
      </c>
      <c r="C4270">
        <f>BASE_EQUIPOS!B4270</f>
        <v/>
      </c>
      <c r="D4270">
        <f>BASE_EQUIPOS!D4270</f>
        <v/>
      </c>
      <c r="E4270">
        <f>BASE_EQUIPOS!G4270</f>
        <v/>
      </c>
      <c r="F4270">
        <f>BASE_EQUIPOS!H4270</f>
        <v/>
      </c>
      <c r="G4270">
        <f>BASE_EQUIPOS!M4270</f>
        <v/>
      </c>
    </row>
    <row r="4271">
      <c r="A4271">
        <f>TRIM(BASE_EQUIPOS!N4271)</f>
        <v/>
      </c>
      <c r="B4271">
        <f>BASE_EQUIPOS!A4271</f>
        <v/>
      </c>
      <c r="C4271">
        <f>BASE_EQUIPOS!B4271</f>
        <v/>
      </c>
      <c r="D4271">
        <f>BASE_EQUIPOS!D4271</f>
        <v/>
      </c>
      <c r="E4271">
        <f>BASE_EQUIPOS!G4271</f>
        <v/>
      </c>
      <c r="F4271">
        <f>BASE_EQUIPOS!H4271</f>
        <v/>
      </c>
      <c r="G4271">
        <f>BASE_EQUIPOS!M4271</f>
        <v/>
      </c>
    </row>
    <row r="4272">
      <c r="A4272">
        <f>TRIM(BASE_EQUIPOS!N4272)</f>
        <v/>
      </c>
      <c r="B4272">
        <f>BASE_EQUIPOS!A4272</f>
        <v/>
      </c>
      <c r="C4272">
        <f>BASE_EQUIPOS!B4272</f>
        <v/>
      </c>
      <c r="D4272">
        <f>BASE_EQUIPOS!D4272</f>
        <v/>
      </c>
      <c r="E4272">
        <f>BASE_EQUIPOS!G4272</f>
        <v/>
      </c>
      <c r="F4272">
        <f>BASE_EQUIPOS!H4272</f>
        <v/>
      </c>
      <c r="G4272">
        <f>BASE_EQUIPOS!M4272</f>
        <v/>
      </c>
    </row>
    <row r="4273">
      <c r="A4273">
        <f>TRIM(BASE_EQUIPOS!N4273)</f>
        <v/>
      </c>
      <c r="B4273">
        <f>BASE_EQUIPOS!A4273</f>
        <v/>
      </c>
      <c r="C4273">
        <f>BASE_EQUIPOS!B4273</f>
        <v/>
      </c>
      <c r="D4273">
        <f>BASE_EQUIPOS!D4273</f>
        <v/>
      </c>
      <c r="E4273">
        <f>BASE_EQUIPOS!G4273</f>
        <v/>
      </c>
      <c r="F4273">
        <f>BASE_EQUIPOS!H4273</f>
        <v/>
      </c>
      <c r="G4273">
        <f>BASE_EQUIPOS!M4273</f>
        <v/>
      </c>
    </row>
    <row r="4274">
      <c r="A4274">
        <f>TRIM(BASE_EQUIPOS!N4274)</f>
        <v/>
      </c>
      <c r="B4274">
        <f>BASE_EQUIPOS!A4274</f>
        <v/>
      </c>
      <c r="C4274">
        <f>BASE_EQUIPOS!B4274</f>
        <v/>
      </c>
      <c r="D4274">
        <f>BASE_EQUIPOS!D4274</f>
        <v/>
      </c>
      <c r="E4274">
        <f>BASE_EQUIPOS!G4274</f>
        <v/>
      </c>
      <c r="F4274">
        <f>BASE_EQUIPOS!H4274</f>
        <v/>
      </c>
      <c r="G4274">
        <f>BASE_EQUIPOS!M4274</f>
        <v/>
      </c>
    </row>
    <row r="4275">
      <c r="A4275">
        <f>TRIM(BASE_EQUIPOS!N4275)</f>
        <v/>
      </c>
      <c r="B4275">
        <f>BASE_EQUIPOS!A4275</f>
        <v/>
      </c>
      <c r="C4275">
        <f>BASE_EQUIPOS!B4275</f>
        <v/>
      </c>
      <c r="D4275">
        <f>BASE_EQUIPOS!D4275</f>
        <v/>
      </c>
      <c r="E4275">
        <f>BASE_EQUIPOS!G4275</f>
        <v/>
      </c>
      <c r="F4275">
        <f>BASE_EQUIPOS!H4275</f>
        <v/>
      </c>
      <c r="G4275">
        <f>BASE_EQUIPOS!M4275</f>
        <v/>
      </c>
    </row>
    <row r="4276">
      <c r="A4276">
        <f>TRIM(BASE_EQUIPOS!N4276)</f>
        <v/>
      </c>
      <c r="B4276">
        <f>BASE_EQUIPOS!A4276</f>
        <v/>
      </c>
      <c r="C4276">
        <f>BASE_EQUIPOS!B4276</f>
        <v/>
      </c>
      <c r="D4276">
        <f>BASE_EQUIPOS!D4276</f>
        <v/>
      </c>
      <c r="E4276">
        <f>BASE_EQUIPOS!G4276</f>
        <v/>
      </c>
      <c r="F4276">
        <f>BASE_EQUIPOS!H4276</f>
        <v/>
      </c>
      <c r="G4276">
        <f>BASE_EQUIPOS!M4276</f>
        <v/>
      </c>
    </row>
    <row r="4277">
      <c r="A4277">
        <f>TRIM(BASE_EQUIPOS!N4277)</f>
        <v/>
      </c>
      <c r="B4277">
        <f>BASE_EQUIPOS!A4277</f>
        <v/>
      </c>
      <c r="C4277">
        <f>BASE_EQUIPOS!B4277</f>
        <v/>
      </c>
      <c r="D4277">
        <f>BASE_EQUIPOS!D4277</f>
        <v/>
      </c>
      <c r="E4277">
        <f>BASE_EQUIPOS!G4277</f>
        <v/>
      </c>
      <c r="F4277">
        <f>BASE_EQUIPOS!H4277</f>
        <v/>
      </c>
      <c r="G4277">
        <f>BASE_EQUIPOS!M4277</f>
        <v/>
      </c>
    </row>
    <row r="4278">
      <c r="A4278">
        <f>TRIM(BASE_EQUIPOS!N4278)</f>
        <v/>
      </c>
      <c r="B4278">
        <f>BASE_EQUIPOS!A4278</f>
        <v/>
      </c>
      <c r="C4278">
        <f>BASE_EQUIPOS!B4278</f>
        <v/>
      </c>
      <c r="D4278">
        <f>BASE_EQUIPOS!D4278</f>
        <v/>
      </c>
      <c r="E4278">
        <f>BASE_EQUIPOS!G4278</f>
        <v/>
      </c>
      <c r="F4278">
        <f>BASE_EQUIPOS!H4278</f>
        <v/>
      </c>
      <c r="G4278">
        <f>BASE_EQUIPOS!M4278</f>
        <v/>
      </c>
    </row>
    <row r="4279">
      <c r="A4279">
        <f>TRIM(BASE_EQUIPOS!N4279)</f>
        <v/>
      </c>
      <c r="B4279">
        <f>BASE_EQUIPOS!A4279</f>
        <v/>
      </c>
      <c r="C4279">
        <f>BASE_EQUIPOS!B4279</f>
        <v/>
      </c>
      <c r="D4279">
        <f>BASE_EQUIPOS!D4279</f>
        <v/>
      </c>
      <c r="E4279">
        <f>BASE_EQUIPOS!G4279</f>
        <v/>
      </c>
      <c r="F4279">
        <f>BASE_EQUIPOS!H4279</f>
        <v/>
      </c>
      <c r="G4279">
        <f>BASE_EQUIPOS!M4279</f>
        <v/>
      </c>
    </row>
    <row r="4280">
      <c r="A4280">
        <f>TRIM(BASE_EQUIPOS!N4280)</f>
        <v/>
      </c>
      <c r="B4280">
        <f>BASE_EQUIPOS!A4280</f>
        <v/>
      </c>
      <c r="C4280">
        <f>BASE_EQUIPOS!B4280</f>
        <v/>
      </c>
      <c r="D4280">
        <f>BASE_EQUIPOS!D4280</f>
        <v/>
      </c>
      <c r="E4280">
        <f>BASE_EQUIPOS!G4280</f>
        <v/>
      </c>
      <c r="F4280">
        <f>BASE_EQUIPOS!H4280</f>
        <v/>
      </c>
      <c r="G4280">
        <f>BASE_EQUIPOS!M4280</f>
        <v/>
      </c>
    </row>
    <row r="4281">
      <c r="A4281">
        <f>TRIM(BASE_EQUIPOS!N4281)</f>
        <v/>
      </c>
      <c r="B4281">
        <f>BASE_EQUIPOS!A4281</f>
        <v/>
      </c>
      <c r="C4281">
        <f>BASE_EQUIPOS!B4281</f>
        <v/>
      </c>
      <c r="D4281">
        <f>BASE_EQUIPOS!D4281</f>
        <v/>
      </c>
      <c r="E4281">
        <f>BASE_EQUIPOS!G4281</f>
        <v/>
      </c>
      <c r="F4281">
        <f>BASE_EQUIPOS!H4281</f>
        <v/>
      </c>
      <c r="G4281">
        <f>BASE_EQUIPOS!M4281</f>
        <v/>
      </c>
    </row>
    <row r="4282">
      <c r="A4282">
        <f>TRIM(BASE_EQUIPOS!N4282)</f>
        <v/>
      </c>
      <c r="B4282">
        <f>BASE_EQUIPOS!A4282</f>
        <v/>
      </c>
      <c r="C4282">
        <f>BASE_EQUIPOS!B4282</f>
        <v/>
      </c>
      <c r="D4282">
        <f>BASE_EQUIPOS!D4282</f>
        <v/>
      </c>
      <c r="E4282">
        <f>BASE_EQUIPOS!G4282</f>
        <v/>
      </c>
      <c r="F4282">
        <f>BASE_EQUIPOS!H4282</f>
        <v/>
      </c>
      <c r="G4282">
        <f>BASE_EQUIPOS!M4282</f>
        <v/>
      </c>
    </row>
    <row r="4283">
      <c r="A4283">
        <f>TRIM(BASE_EQUIPOS!N4283)</f>
        <v/>
      </c>
      <c r="B4283">
        <f>BASE_EQUIPOS!A4283</f>
        <v/>
      </c>
      <c r="C4283">
        <f>BASE_EQUIPOS!B4283</f>
        <v/>
      </c>
      <c r="D4283">
        <f>BASE_EQUIPOS!D4283</f>
        <v/>
      </c>
      <c r="E4283">
        <f>BASE_EQUIPOS!G4283</f>
        <v/>
      </c>
      <c r="F4283">
        <f>BASE_EQUIPOS!H4283</f>
        <v/>
      </c>
      <c r="G4283">
        <f>BASE_EQUIPOS!M4283</f>
        <v/>
      </c>
    </row>
    <row r="4284">
      <c r="A4284">
        <f>TRIM(BASE_EQUIPOS!N4284)</f>
        <v/>
      </c>
      <c r="B4284">
        <f>BASE_EQUIPOS!A4284</f>
        <v/>
      </c>
      <c r="C4284">
        <f>BASE_EQUIPOS!B4284</f>
        <v/>
      </c>
      <c r="D4284">
        <f>BASE_EQUIPOS!D4284</f>
        <v/>
      </c>
      <c r="E4284">
        <f>BASE_EQUIPOS!G4284</f>
        <v/>
      </c>
      <c r="F4284">
        <f>BASE_EQUIPOS!H4284</f>
        <v/>
      </c>
      <c r="G4284">
        <f>BASE_EQUIPOS!M4284</f>
        <v/>
      </c>
    </row>
    <row r="4285">
      <c r="A4285">
        <f>TRIM(BASE_EQUIPOS!N4285)</f>
        <v/>
      </c>
      <c r="B4285">
        <f>BASE_EQUIPOS!A4285</f>
        <v/>
      </c>
      <c r="C4285">
        <f>BASE_EQUIPOS!B4285</f>
        <v/>
      </c>
      <c r="D4285">
        <f>BASE_EQUIPOS!D4285</f>
        <v/>
      </c>
      <c r="E4285">
        <f>BASE_EQUIPOS!G4285</f>
        <v/>
      </c>
      <c r="F4285">
        <f>BASE_EQUIPOS!H4285</f>
        <v/>
      </c>
      <c r="G4285">
        <f>BASE_EQUIPOS!M4285</f>
        <v/>
      </c>
    </row>
    <row r="4286">
      <c r="A4286">
        <f>TRIM(BASE_EQUIPOS!N4286)</f>
        <v/>
      </c>
      <c r="B4286">
        <f>BASE_EQUIPOS!A4286</f>
        <v/>
      </c>
      <c r="C4286">
        <f>BASE_EQUIPOS!B4286</f>
        <v/>
      </c>
      <c r="D4286">
        <f>BASE_EQUIPOS!D4286</f>
        <v/>
      </c>
      <c r="E4286">
        <f>BASE_EQUIPOS!G4286</f>
        <v/>
      </c>
      <c r="F4286">
        <f>BASE_EQUIPOS!H4286</f>
        <v/>
      </c>
      <c r="G4286">
        <f>BASE_EQUIPOS!M4286</f>
        <v/>
      </c>
    </row>
    <row r="4287">
      <c r="A4287">
        <f>TRIM(BASE_EQUIPOS!N4287)</f>
        <v/>
      </c>
      <c r="B4287">
        <f>BASE_EQUIPOS!A4287</f>
        <v/>
      </c>
      <c r="C4287">
        <f>BASE_EQUIPOS!B4287</f>
        <v/>
      </c>
      <c r="D4287">
        <f>BASE_EQUIPOS!D4287</f>
        <v/>
      </c>
      <c r="E4287">
        <f>BASE_EQUIPOS!G4287</f>
        <v/>
      </c>
      <c r="F4287">
        <f>BASE_EQUIPOS!H4287</f>
        <v/>
      </c>
      <c r="G4287">
        <f>BASE_EQUIPOS!M4287</f>
        <v/>
      </c>
    </row>
    <row r="4288">
      <c r="A4288">
        <f>TRIM(BASE_EQUIPOS!N4288)</f>
        <v/>
      </c>
      <c r="B4288">
        <f>BASE_EQUIPOS!A4288</f>
        <v/>
      </c>
      <c r="C4288">
        <f>BASE_EQUIPOS!B4288</f>
        <v/>
      </c>
      <c r="D4288">
        <f>BASE_EQUIPOS!D4288</f>
        <v/>
      </c>
      <c r="E4288">
        <f>BASE_EQUIPOS!G4288</f>
        <v/>
      </c>
      <c r="F4288">
        <f>BASE_EQUIPOS!H4288</f>
        <v/>
      </c>
      <c r="G4288">
        <f>BASE_EQUIPOS!M4288</f>
        <v/>
      </c>
    </row>
    <row r="4289">
      <c r="A4289">
        <f>TRIM(BASE_EQUIPOS!N4289)</f>
        <v/>
      </c>
      <c r="B4289">
        <f>BASE_EQUIPOS!A4289</f>
        <v/>
      </c>
      <c r="C4289">
        <f>BASE_EQUIPOS!B4289</f>
        <v/>
      </c>
      <c r="D4289">
        <f>BASE_EQUIPOS!D4289</f>
        <v/>
      </c>
      <c r="E4289">
        <f>BASE_EQUIPOS!G4289</f>
        <v/>
      </c>
      <c r="F4289">
        <f>BASE_EQUIPOS!H4289</f>
        <v/>
      </c>
      <c r="G4289">
        <f>BASE_EQUIPOS!M4289</f>
        <v/>
      </c>
    </row>
    <row r="4290">
      <c r="A4290">
        <f>TRIM(BASE_EQUIPOS!N4290)</f>
        <v/>
      </c>
      <c r="B4290">
        <f>BASE_EQUIPOS!A4290</f>
        <v/>
      </c>
      <c r="C4290">
        <f>BASE_EQUIPOS!B4290</f>
        <v/>
      </c>
      <c r="D4290">
        <f>BASE_EQUIPOS!D4290</f>
        <v/>
      </c>
      <c r="E4290">
        <f>BASE_EQUIPOS!G4290</f>
        <v/>
      </c>
      <c r="F4290">
        <f>BASE_EQUIPOS!H4290</f>
        <v/>
      </c>
      <c r="G4290">
        <f>BASE_EQUIPOS!M4290</f>
        <v/>
      </c>
    </row>
    <row r="4291">
      <c r="A4291">
        <f>TRIM(BASE_EQUIPOS!N4291)</f>
        <v/>
      </c>
      <c r="B4291">
        <f>BASE_EQUIPOS!A4291</f>
        <v/>
      </c>
      <c r="C4291">
        <f>BASE_EQUIPOS!B4291</f>
        <v/>
      </c>
      <c r="D4291">
        <f>BASE_EQUIPOS!D4291</f>
        <v/>
      </c>
      <c r="E4291">
        <f>BASE_EQUIPOS!G4291</f>
        <v/>
      </c>
      <c r="F4291">
        <f>BASE_EQUIPOS!H4291</f>
        <v/>
      </c>
      <c r="G4291">
        <f>BASE_EQUIPOS!M4291</f>
        <v/>
      </c>
    </row>
    <row r="4292">
      <c r="A4292">
        <f>TRIM(BASE_EQUIPOS!N4292)</f>
        <v/>
      </c>
      <c r="B4292">
        <f>BASE_EQUIPOS!A4292</f>
        <v/>
      </c>
      <c r="C4292">
        <f>BASE_EQUIPOS!B4292</f>
        <v/>
      </c>
      <c r="D4292">
        <f>BASE_EQUIPOS!D4292</f>
        <v/>
      </c>
      <c r="E4292">
        <f>BASE_EQUIPOS!G4292</f>
        <v/>
      </c>
      <c r="F4292">
        <f>BASE_EQUIPOS!H4292</f>
        <v/>
      </c>
      <c r="G4292">
        <f>BASE_EQUIPOS!M4292</f>
        <v/>
      </c>
    </row>
    <row r="4293">
      <c r="A4293">
        <f>TRIM(BASE_EQUIPOS!N4293)</f>
        <v/>
      </c>
      <c r="B4293">
        <f>BASE_EQUIPOS!A4293</f>
        <v/>
      </c>
      <c r="C4293">
        <f>BASE_EQUIPOS!B4293</f>
        <v/>
      </c>
      <c r="D4293">
        <f>BASE_EQUIPOS!D4293</f>
        <v/>
      </c>
      <c r="E4293">
        <f>BASE_EQUIPOS!G4293</f>
        <v/>
      </c>
      <c r="F4293">
        <f>BASE_EQUIPOS!H4293</f>
        <v/>
      </c>
      <c r="G4293">
        <f>BASE_EQUIPOS!M4293</f>
        <v/>
      </c>
    </row>
    <row r="4294">
      <c r="A4294">
        <f>TRIM(BASE_EQUIPOS!N4294)</f>
        <v/>
      </c>
      <c r="B4294">
        <f>BASE_EQUIPOS!A4294</f>
        <v/>
      </c>
      <c r="C4294">
        <f>BASE_EQUIPOS!B4294</f>
        <v/>
      </c>
      <c r="D4294">
        <f>BASE_EQUIPOS!D4294</f>
        <v/>
      </c>
      <c r="E4294">
        <f>BASE_EQUIPOS!G4294</f>
        <v/>
      </c>
      <c r="F4294">
        <f>BASE_EQUIPOS!H4294</f>
        <v/>
      </c>
      <c r="G4294">
        <f>BASE_EQUIPOS!M4294</f>
        <v/>
      </c>
    </row>
    <row r="4295">
      <c r="A4295">
        <f>TRIM(BASE_EQUIPOS!N4295)</f>
        <v/>
      </c>
      <c r="B4295">
        <f>BASE_EQUIPOS!A4295</f>
        <v/>
      </c>
      <c r="C4295">
        <f>BASE_EQUIPOS!B4295</f>
        <v/>
      </c>
      <c r="D4295">
        <f>BASE_EQUIPOS!D4295</f>
        <v/>
      </c>
      <c r="E4295">
        <f>BASE_EQUIPOS!G4295</f>
        <v/>
      </c>
      <c r="F4295">
        <f>BASE_EQUIPOS!H4295</f>
        <v/>
      </c>
      <c r="G4295">
        <f>BASE_EQUIPOS!M4295</f>
        <v/>
      </c>
    </row>
    <row r="4296">
      <c r="A4296">
        <f>TRIM(BASE_EQUIPOS!N4296)</f>
        <v/>
      </c>
      <c r="B4296">
        <f>BASE_EQUIPOS!A4296</f>
        <v/>
      </c>
      <c r="C4296">
        <f>BASE_EQUIPOS!B4296</f>
        <v/>
      </c>
      <c r="D4296">
        <f>BASE_EQUIPOS!D4296</f>
        <v/>
      </c>
      <c r="E4296">
        <f>BASE_EQUIPOS!G4296</f>
        <v/>
      </c>
      <c r="F4296">
        <f>BASE_EQUIPOS!H4296</f>
        <v/>
      </c>
      <c r="G4296">
        <f>BASE_EQUIPOS!M4296</f>
        <v/>
      </c>
    </row>
    <row r="4297">
      <c r="A4297">
        <f>TRIM(BASE_EQUIPOS!N4297)</f>
        <v/>
      </c>
      <c r="B4297">
        <f>BASE_EQUIPOS!A4297</f>
        <v/>
      </c>
      <c r="C4297">
        <f>BASE_EQUIPOS!B4297</f>
        <v/>
      </c>
      <c r="D4297">
        <f>BASE_EQUIPOS!D4297</f>
        <v/>
      </c>
      <c r="E4297">
        <f>BASE_EQUIPOS!G4297</f>
        <v/>
      </c>
      <c r="F4297">
        <f>BASE_EQUIPOS!H4297</f>
        <v/>
      </c>
      <c r="G4297">
        <f>BASE_EQUIPOS!M4297</f>
        <v/>
      </c>
    </row>
    <row r="4298">
      <c r="A4298">
        <f>TRIM(BASE_EQUIPOS!N4298)</f>
        <v/>
      </c>
      <c r="B4298">
        <f>BASE_EQUIPOS!A4298</f>
        <v/>
      </c>
      <c r="C4298">
        <f>BASE_EQUIPOS!B4298</f>
        <v/>
      </c>
      <c r="D4298">
        <f>BASE_EQUIPOS!D4298</f>
        <v/>
      </c>
      <c r="E4298">
        <f>BASE_EQUIPOS!G4298</f>
        <v/>
      </c>
      <c r="F4298">
        <f>BASE_EQUIPOS!H4298</f>
        <v/>
      </c>
      <c r="G4298">
        <f>BASE_EQUIPOS!M4298</f>
        <v/>
      </c>
    </row>
    <row r="4299">
      <c r="A4299">
        <f>TRIM(BASE_EQUIPOS!N4299)</f>
        <v/>
      </c>
      <c r="B4299">
        <f>BASE_EQUIPOS!A4299</f>
        <v/>
      </c>
      <c r="C4299">
        <f>BASE_EQUIPOS!B4299</f>
        <v/>
      </c>
      <c r="D4299">
        <f>BASE_EQUIPOS!D4299</f>
        <v/>
      </c>
      <c r="E4299">
        <f>BASE_EQUIPOS!G4299</f>
        <v/>
      </c>
      <c r="F4299">
        <f>BASE_EQUIPOS!H4299</f>
        <v/>
      </c>
      <c r="G4299">
        <f>BASE_EQUIPOS!M4299</f>
        <v/>
      </c>
    </row>
    <row r="4300">
      <c r="A4300">
        <f>TRIM(BASE_EQUIPOS!N4300)</f>
        <v/>
      </c>
      <c r="B4300">
        <f>BASE_EQUIPOS!A4300</f>
        <v/>
      </c>
      <c r="C4300">
        <f>BASE_EQUIPOS!B4300</f>
        <v/>
      </c>
      <c r="D4300">
        <f>BASE_EQUIPOS!D4300</f>
        <v/>
      </c>
      <c r="E4300">
        <f>BASE_EQUIPOS!G4300</f>
        <v/>
      </c>
      <c r="F4300">
        <f>BASE_EQUIPOS!H4300</f>
        <v/>
      </c>
      <c r="G4300">
        <f>BASE_EQUIPOS!M4300</f>
        <v/>
      </c>
    </row>
    <row r="4301">
      <c r="A4301">
        <f>TRIM(BASE_EQUIPOS!N4301)</f>
        <v/>
      </c>
      <c r="B4301">
        <f>BASE_EQUIPOS!A4301</f>
        <v/>
      </c>
      <c r="C4301">
        <f>BASE_EQUIPOS!B4301</f>
        <v/>
      </c>
      <c r="D4301">
        <f>BASE_EQUIPOS!D4301</f>
        <v/>
      </c>
      <c r="E4301">
        <f>BASE_EQUIPOS!G4301</f>
        <v/>
      </c>
      <c r="F4301">
        <f>BASE_EQUIPOS!H4301</f>
        <v/>
      </c>
      <c r="G4301">
        <f>BASE_EQUIPOS!M4301</f>
        <v/>
      </c>
    </row>
    <row r="4302">
      <c r="A4302">
        <f>TRIM(BASE_EQUIPOS!N4302)</f>
        <v/>
      </c>
      <c r="B4302">
        <f>BASE_EQUIPOS!A4302</f>
        <v/>
      </c>
      <c r="C4302">
        <f>BASE_EQUIPOS!B4302</f>
        <v/>
      </c>
      <c r="D4302">
        <f>BASE_EQUIPOS!D4302</f>
        <v/>
      </c>
      <c r="E4302">
        <f>BASE_EQUIPOS!G4302</f>
        <v/>
      </c>
      <c r="F4302">
        <f>BASE_EQUIPOS!H4302</f>
        <v/>
      </c>
      <c r="G4302">
        <f>BASE_EQUIPOS!M4302</f>
        <v/>
      </c>
    </row>
    <row r="4303">
      <c r="A4303">
        <f>TRIM(BASE_EQUIPOS!N4303)</f>
        <v/>
      </c>
      <c r="B4303">
        <f>BASE_EQUIPOS!A4303</f>
        <v/>
      </c>
      <c r="C4303">
        <f>BASE_EQUIPOS!B4303</f>
        <v/>
      </c>
      <c r="D4303">
        <f>BASE_EQUIPOS!D4303</f>
        <v/>
      </c>
      <c r="E4303">
        <f>BASE_EQUIPOS!G4303</f>
        <v/>
      </c>
      <c r="F4303">
        <f>BASE_EQUIPOS!H4303</f>
        <v/>
      </c>
      <c r="G4303">
        <f>BASE_EQUIPOS!M4303</f>
        <v/>
      </c>
    </row>
    <row r="4304">
      <c r="A4304">
        <f>TRIM(BASE_EQUIPOS!N4304)</f>
        <v/>
      </c>
      <c r="B4304">
        <f>BASE_EQUIPOS!A4304</f>
        <v/>
      </c>
      <c r="C4304">
        <f>BASE_EQUIPOS!B4304</f>
        <v/>
      </c>
      <c r="D4304">
        <f>BASE_EQUIPOS!D4304</f>
        <v/>
      </c>
      <c r="E4304">
        <f>BASE_EQUIPOS!G4304</f>
        <v/>
      </c>
      <c r="F4304">
        <f>BASE_EQUIPOS!H4304</f>
        <v/>
      </c>
      <c r="G4304">
        <f>BASE_EQUIPOS!M4304</f>
        <v/>
      </c>
    </row>
    <row r="4305">
      <c r="A4305">
        <f>TRIM(BASE_EQUIPOS!N4305)</f>
        <v/>
      </c>
      <c r="B4305">
        <f>BASE_EQUIPOS!A4305</f>
        <v/>
      </c>
      <c r="C4305">
        <f>BASE_EQUIPOS!B4305</f>
        <v/>
      </c>
      <c r="D4305">
        <f>BASE_EQUIPOS!D4305</f>
        <v/>
      </c>
      <c r="E4305">
        <f>BASE_EQUIPOS!G4305</f>
        <v/>
      </c>
      <c r="F4305">
        <f>BASE_EQUIPOS!H4305</f>
        <v/>
      </c>
      <c r="G4305">
        <f>BASE_EQUIPOS!M4305</f>
        <v/>
      </c>
    </row>
    <row r="4306">
      <c r="A4306">
        <f>TRIM(BASE_EQUIPOS!N4306)</f>
        <v/>
      </c>
      <c r="B4306">
        <f>BASE_EQUIPOS!A4306</f>
        <v/>
      </c>
      <c r="C4306">
        <f>BASE_EQUIPOS!B4306</f>
        <v/>
      </c>
      <c r="D4306">
        <f>BASE_EQUIPOS!D4306</f>
        <v/>
      </c>
      <c r="E4306">
        <f>BASE_EQUIPOS!G4306</f>
        <v/>
      </c>
      <c r="F4306">
        <f>BASE_EQUIPOS!H4306</f>
        <v/>
      </c>
      <c r="G4306">
        <f>BASE_EQUIPOS!M4306</f>
        <v/>
      </c>
    </row>
    <row r="4307">
      <c r="A4307">
        <f>TRIM(BASE_EQUIPOS!N4307)</f>
        <v/>
      </c>
      <c r="B4307">
        <f>BASE_EQUIPOS!A4307</f>
        <v/>
      </c>
      <c r="C4307">
        <f>BASE_EQUIPOS!B4307</f>
        <v/>
      </c>
      <c r="D4307">
        <f>BASE_EQUIPOS!D4307</f>
        <v/>
      </c>
      <c r="E4307">
        <f>BASE_EQUIPOS!G4307</f>
        <v/>
      </c>
      <c r="F4307">
        <f>BASE_EQUIPOS!H4307</f>
        <v/>
      </c>
      <c r="G4307">
        <f>BASE_EQUIPOS!M4307</f>
        <v/>
      </c>
    </row>
    <row r="4308">
      <c r="A4308">
        <f>TRIM(BASE_EQUIPOS!N4308)</f>
        <v/>
      </c>
      <c r="B4308">
        <f>BASE_EQUIPOS!A4308</f>
        <v/>
      </c>
      <c r="C4308">
        <f>BASE_EQUIPOS!B4308</f>
        <v/>
      </c>
      <c r="D4308">
        <f>BASE_EQUIPOS!D4308</f>
        <v/>
      </c>
      <c r="E4308">
        <f>BASE_EQUIPOS!G4308</f>
        <v/>
      </c>
      <c r="F4308">
        <f>BASE_EQUIPOS!H4308</f>
        <v/>
      </c>
      <c r="G4308">
        <f>BASE_EQUIPOS!M4308</f>
        <v/>
      </c>
    </row>
    <row r="4309">
      <c r="A4309">
        <f>TRIM(BASE_EQUIPOS!N4309)</f>
        <v/>
      </c>
      <c r="B4309">
        <f>BASE_EQUIPOS!A4309</f>
        <v/>
      </c>
      <c r="C4309">
        <f>BASE_EQUIPOS!B4309</f>
        <v/>
      </c>
      <c r="D4309">
        <f>BASE_EQUIPOS!D4309</f>
        <v/>
      </c>
      <c r="E4309">
        <f>BASE_EQUIPOS!G4309</f>
        <v/>
      </c>
      <c r="F4309">
        <f>BASE_EQUIPOS!H4309</f>
        <v/>
      </c>
      <c r="G4309">
        <f>BASE_EQUIPOS!M4309</f>
        <v/>
      </c>
    </row>
    <row r="4310">
      <c r="A4310">
        <f>TRIM(BASE_EQUIPOS!N4310)</f>
        <v/>
      </c>
      <c r="B4310">
        <f>BASE_EQUIPOS!A4310</f>
        <v/>
      </c>
      <c r="C4310">
        <f>BASE_EQUIPOS!B4310</f>
        <v/>
      </c>
      <c r="D4310">
        <f>BASE_EQUIPOS!D4310</f>
        <v/>
      </c>
      <c r="E4310">
        <f>BASE_EQUIPOS!G4310</f>
        <v/>
      </c>
      <c r="F4310">
        <f>BASE_EQUIPOS!H4310</f>
        <v/>
      </c>
      <c r="G4310">
        <f>BASE_EQUIPOS!M4310</f>
        <v/>
      </c>
    </row>
    <row r="4311">
      <c r="A4311">
        <f>TRIM(BASE_EQUIPOS!N4311)</f>
        <v/>
      </c>
      <c r="B4311">
        <f>BASE_EQUIPOS!A4311</f>
        <v/>
      </c>
      <c r="C4311">
        <f>BASE_EQUIPOS!B4311</f>
        <v/>
      </c>
      <c r="D4311">
        <f>BASE_EQUIPOS!D4311</f>
        <v/>
      </c>
      <c r="E4311">
        <f>BASE_EQUIPOS!G4311</f>
        <v/>
      </c>
      <c r="F4311">
        <f>BASE_EQUIPOS!H4311</f>
        <v/>
      </c>
      <c r="G4311">
        <f>BASE_EQUIPOS!M4311</f>
        <v/>
      </c>
    </row>
    <row r="4312">
      <c r="A4312">
        <f>TRIM(BASE_EQUIPOS!N4312)</f>
        <v/>
      </c>
      <c r="B4312">
        <f>BASE_EQUIPOS!A4312</f>
        <v/>
      </c>
      <c r="C4312">
        <f>BASE_EQUIPOS!B4312</f>
        <v/>
      </c>
      <c r="D4312">
        <f>BASE_EQUIPOS!D4312</f>
        <v/>
      </c>
      <c r="E4312">
        <f>BASE_EQUIPOS!G4312</f>
        <v/>
      </c>
      <c r="F4312">
        <f>BASE_EQUIPOS!H4312</f>
        <v/>
      </c>
      <c r="G4312">
        <f>BASE_EQUIPOS!M4312</f>
        <v/>
      </c>
    </row>
    <row r="4313">
      <c r="A4313">
        <f>TRIM(BASE_EQUIPOS!N4313)</f>
        <v/>
      </c>
      <c r="B4313">
        <f>BASE_EQUIPOS!A4313</f>
        <v/>
      </c>
      <c r="C4313">
        <f>BASE_EQUIPOS!B4313</f>
        <v/>
      </c>
      <c r="D4313">
        <f>BASE_EQUIPOS!D4313</f>
        <v/>
      </c>
      <c r="E4313">
        <f>BASE_EQUIPOS!G4313</f>
        <v/>
      </c>
      <c r="F4313">
        <f>BASE_EQUIPOS!H4313</f>
        <v/>
      </c>
      <c r="G4313">
        <f>BASE_EQUIPOS!M4313</f>
        <v/>
      </c>
    </row>
    <row r="4314">
      <c r="A4314">
        <f>TRIM(BASE_EQUIPOS!N4314)</f>
        <v/>
      </c>
      <c r="B4314">
        <f>BASE_EQUIPOS!A4314</f>
        <v/>
      </c>
      <c r="C4314">
        <f>BASE_EQUIPOS!B4314</f>
        <v/>
      </c>
      <c r="D4314">
        <f>BASE_EQUIPOS!D4314</f>
        <v/>
      </c>
      <c r="E4314">
        <f>BASE_EQUIPOS!G4314</f>
        <v/>
      </c>
      <c r="F4314">
        <f>BASE_EQUIPOS!H4314</f>
        <v/>
      </c>
      <c r="G4314">
        <f>BASE_EQUIPOS!M4314</f>
        <v/>
      </c>
    </row>
    <row r="4315">
      <c r="A4315">
        <f>TRIM(BASE_EQUIPOS!N4315)</f>
        <v/>
      </c>
      <c r="B4315">
        <f>BASE_EQUIPOS!A4315</f>
        <v/>
      </c>
      <c r="C4315">
        <f>BASE_EQUIPOS!B4315</f>
        <v/>
      </c>
      <c r="D4315">
        <f>BASE_EQUIPOS!D4315</f>
        <v/>
      </c>
      <c r="E4315">
        <f>BASE_EQUIPOS!G4315</f>
        <v/>
      </c>
      <c r="F4315">
        <f>BASE_EQUIPOS!H4315</f>
        <v/>
      </c>
      <c r="G4315">
        <f>BASE_EQUIPOS!M4315</f>
        <v/>
      </c>
    </row>
    <row r="4316">
      <c r="A4316">
        <f>TRIM(BASE_EQUIPOS!N4316)</f>
        <v/>
      </c>
      <c r="B4316">
        <f>BASE_EQUIPOS!A4316</f>
        <v/>
      </c>
      <c r="C4316">
        <f>BASE_EQUIPOS!B4316</f>
        <v/>
      </c>
      <c r="D4316">
        <f>BASE_EQUIPOS!D4316</f>
        <v/>
      </c>
      <c r="E4316">
        <f>BASE_EQUIPOS!G4316</f>
        <v/>
      </c>
      <c r="F4316">
        <f>BASE_EQUIPOS!H4316</f>
        <v/>
      </c>
      <c r="G4316">
        <f>BASE_EQUIPOS!M4316</f>
        <v/>
      </c>
    </row>
    <row r="4317">
      <c r="A4317">
        <f>TRIM(BASE_EQUIPOS!N4317)</f>
        <v/>
      </c>
      <c r="B4317">
        <f>BASE_EQUIPOS!A4317</f>
        <v/>
      </c>
      <c r="C4317">
        <f>BASE_EQUIPOS!B4317</f>
        <v/>
      </c>
      <c r="D4317">
        <f>BASE_EQUIPOS!D4317</f>
        <v/>
      </c>
      <c r="E4317">
        <f>BASE_EQUIPOS!G4317</f>
        <v/>
      </c>
      <c r="F4317">
        <f>BASE_EQUIPOS!H4317</f>
        <v/>
      </c>
      <c r="G4317">
        <f>BASE_EQUIPOS!M4317</f>
        <v/>
      </c>
    </row>
    <row r="4318">
      <c r="A4318">
        <f>TRIM(BASE_EQUIPOS!N4318)</f>
        <v/>
      </c>
      <c r="B4318">
        <f>BASE_EQUIPOS!A4318</f>
        <v/>
      </c>
      <c r="C4318">
        <f>BASE_EQUIPOS!B4318</f>
        <v/>
      </c>
      <c r="D4318">
        <f>BASE_EQUIPOS!D4318</f>
        <v/>
      </c>
      <c r="E4318">
        <f>BASE_EQUIPOS!G4318</f>
        <v/>
      </c>
      <c r="F4318">
        <f>BASE_EQUIPOS!H4318</f>
        <v/>
      </c>
      <c r="G4318">
        <f>BASE_EQUIPOS!M4318</f>
        <v/>
      </c>
    </row>
    <row r="4319">
      <c r="A4319">
        <f>TRIM(BASE_EQUIPOS!N4319)</f>
        <v/>
      </c>
      <c r="B4319">
        <f>BASE_EQUIPOS!A4319</f>
        <v/>
      </c>
      <c r="C4319">
        <f>BASE_EQUIPOS!B4319</f>
        <v/>
      </c>
      <c r="D4319">
        <f>BASE_EQUIPOS!D4319</f>
        <v/>
      </c>
      <c r="E4319">
        <f>BASE_EQUIPOS!G4319</f>
        <v/>
      </c>
      <c r="F4319">
        <f>BASE_EQUIPOS!H4319</f>
        <v/>
      </c>
      <c r="G4319">
        <f>BASE_EQUIPOS!M4319</f>
        <v/>
      </c>
    </row>
    <row r="4320">
      <c r="A4320">
        <f>TRIM(BASE_EQUIPOS!N4320)</f>
        <v/>
      </c>
      <c r="B4320">
        <f>BASE_EQUIPOS!A4320</f>
        <v/>
      </c>
      <c r="C4320">
        <f>BASE_EQUIPOS!B4320</f>
        <v/>
      </c>
      <c r="D4320">
        <f>BASE_EQUIPOS!D4320</f>
        <v/>
      </c>
      <c r="E4320">
        <f>BASE_EQUIPOS!G4320</f>
        <v/>
      </c>
      <c r="F4320">
        <f>BASE_EQUIPOS!H4320</f>
        <v/>
      </c>
      <c r="G4320">
        <f>BASE_EQUIPOS!M4320</f>
        <v/>
      </c>
    </row>
    <row r="4321">
      <c r="A4321">
        <f>TRIM(BASE_EQUIPOS!N4321)</f>
        <v/>
      </c>
      <c r="B4321">
        <f>BASE_EQUIPOS!A4321</f>
        <v/>
      </c>
      <c r="C4321">
        <f>BASE_EQUIPOS!B4321</f>
        <v/>
      </c>
      <c r="D4321">
        <f>BASE_EQUIPOS!D4321</f>
        <v/>
      </c>
      <c r="E4321">
        <f>BASE_EQUIPOS!G4321</f>
        <v/>
      </c>
      <c r="F4321">
        <f>BASE_EQUIPOS!H4321</f>
        <v/>
      </c>
      <c r="G4321">
        <f>BASE_EQUIPOS!M4321</f>
        <v/>
      </c>
    </row>
    <row r="4322">
      <c r="A4322">
        <f>TRIM(BASE_EQUIPOS!N4322)</f>
        <v/>
      </c>
      <c r="B4322">
        <f>BASE_EQUIPOS!A4322</f>
        <v/>
      </c>
      <c r="C4322">
        <f>BASE_EQUIPOS!B4322</f>
        <v/>
      </c>
      <c r="D4322">
        <f>BASE_EQUIPOS!D4322</f>
        <v/>
      </c>
      <c r="E4322">
        <f>BASE_EQUIPOS!G4322</f>
        <v/>
      </c>
      <c r="F4322">
        <f>BASE_EQUIPOS!H4322</f>
        <v/>
      </c>
      <c r="G4322">
        <f>BASE_EQUIPOS!M4322</f>
        <v/>
      </c>
    </row>
    <row r="4323">
      <c r="A4323">
        <f>TRIM(BASE_EQUIPOS!N4323)</f>
        <v/>
      </c>
      <c r="B4323">
        <f>BASE_EQUIPOS!A4323</f>
        <v/>
      </c>
      <c r="C4323">
        <f>BASE_EQUIPOS!B4323</f>
        <v/>
      </c>
      <c r="D4323">
        <f>BASE_EQUIPOS!D4323</f>
        <v/>
      </c>
      <c r="E4323">
        <f>BASE_EQUIPOS!G4323</f>
        <v/>
      </c>
      <c r="F4323">
        <f>BASE_EQUIPOS!H4323</f>
        <v/>
      </c>
      <c r="G4323">
        <f>BASE_EQUIPOS!M4323</f>
        <v/>
      </c>
    </row>
    <row r="4324">
      <c r="A4324">
        <f>TRIM(BASE_EQUIPOS!N4324)</f>
        <v/>
      </c>
      <c r="B4324">
        <f>BASE_EQUIPOS!A4324</f>
        <v/>
      </c>
      <c r="C4324">
        <f>BASE_EQUIPOS!B4324</f>
        <v/>
      </c>
      <c r="D4324">
        <f>BASE_EQUIPOS!D4324</f>
        <v/>
      </c>
      <c r="E4324">
        <f>BASE_EQUIPOS!G4324</f>
        <v/>
      </c>
      <c r="F4324">
        <f>BASE_EQUIPOS!H4324</f>
        <v/>
      </c>
      <c r="G4324">
        <f>BASE_EQUIPOS!M4324</f>
        <v/>
      </c>
    </row>
    <row r="4325">
      <c r="A4325">
        <f>TRIM(BASE_EQUIPOS!N4325)</f>
        <v/>
      </c>
      <c r="B4325">
        <f>BASE_EQUIPOS!A4325</f>
        <v/>
      </c>
      <c r="C4325">
        <f>BASE_EQUIPOS!B4325</f>
        <v/>
      </c>
      <c r="D4325">
        <f>BASE_EQUIPOS!D4325</f>
        <v/>
      </c>
      <c r="E4325">
        <f>BASE_EQUIPOS!G4325</f>
        <v/>
      </c>
      <c r="F4325">
        <f>BASE_EQUIPOS!H4325</f>
        <v/>
      </c>
      <c r="G4325">
        <f>BASE_EQUIPOS!M4325</f>
        <v/>
      </c>
    </row>
    <row r="4326">
      <c r="A4326">
        <f>TRIM(BASE_EQUIPOS!N4326)</f>
        <v/>
      </c>
      <c r="B4326">
        <f>BASE_EQUIPOS!A4326</f>
        <v/>
      </c>
      <c r="C4326">
        <f>BASE_EQUIPOS!B4326</f>
        <v/>
      </c>
      <c r="D4326">
        <f>BASE_EQUIPOS!D4326</f>
        <v/>
      </c>
      <c r="E4326">
        <f>BASE_EQUIPOS!G4326</f>
        <v/>
      </c>
      <c r="F4326">
        <f>BASE_EQUIPOS!H4326</f>
        <v/>
      </c>
      <c r="G4326">
        <f>BASE_EQUIPOS!M4326</f>
        <v/>
      </c>
    </row>
    <row r="4327">
      <c r="A4327">
        <f>TRIM(BASE_EQUIPOS!N4327)</f>
        <v/>
      </c>
      <c r="B4327">
        <f>BASE_EQUIPOS!A4327</f>
        <v/>
      </c>
      <c r="C4327">
        <f>BASE_EQUIPOS!B4327</f>
        <v/>
      </c>
      <c r="D4327">
        <f>BASE_EQUIPOS!D4327</f>
        <v/>
      </c>
      <c r="E4327">
        <f>BASE_EQUIPOS!G4327</f>
        <v/>
      </c>
      <c r="F4327">
        <f>BASE_EQUIPOS!H4327</f>
        <v/>
      </c>
      <c r="G4327">
        <f>BASE_EQUIPOS!M4327</f>
        <v/>
      </c>
    </row>
    <row r="4328">
      <c r="A4328">
        <f>TRIM(BASE_EQUIPOS!N4328)</f>
        <v/>
      </c>
      <c r="B4328">
        <f>BASE_EQUIPOS!A4328</f>
        <v/>
      </c>
      <c r="C4328">
        <f>BASE_EQUIPOS!B4328</f>
        <v/>
      </c>
      <c r="D4328">
        <f>BASE_EQUIPOS!D4328</f>
        <v/>
      </c>
      <c r="E4328">
        <f>BASE_EQUIPOS!G4328</f>
        <v/>
      </c>
      <c r="F4328">
        <f>BASE_EQUIPOS!H4328</f>
        <v/>
      </c>
      <c r="G4328">
        <f>BASE_EQUIPOS!M4328</f>
        <v/>
      </c>
    </row>
    <row r="4329">
      <c r="A4329">
        <f>TRIM(BASE_EQUIPOS!N4329)</f>
        <v/>
      </c>
      <c r="B4329">
        <f>BASE_EQUIPOS!A4329</f>
        <v/>
      </c>
      <c r="C4329">
        <f>BASE_EQUIPOS!B4329</f>
        <v/>
      </c>
      <c r="D4329">
        <f>BASE_EQUIPOS!D4329</f>
        <v/>
      </c>
      <c r="E4329">
        <f>BASE_EQUIPOS!G4329</f>
        <v/>
      </c>
      <c r="F4329">
        <f>BASE_EQUIPOS!H4329</f>
        <v/>
      </c>
      <c r="G4329">
        <f>BASE_EQUIPOS!M4329</f>
        <v/>
      </c>
    </row>
    <row r="4330">
      <c r="A4330">
        <f>TRIM(BASE_EQUIPOS!N4330)</f>
        <v/>
      </c>
      <c r="B4330">
        <f>BASE_EQUIPOS!A4330</f>
        <v/>
      </c>
      <c r="C4330">
        <f>BASE_EQUIPOS!B4330</f>
        <v/>
      </c>
      <c r="D4330">
        <f>BASE_EQUIPOS!D4330</f>
        <v/>
      </c>
      <c r="E4330">
        <f>BASE_EQUIPOS!G4330</f>
        <v/>
      </c>
      <c r="F4330">
        <f>BASE_EQUIPOS!H4330</f>
        <v/>
      </c>
      <c r="G4330">
        <f>BASE_EQUIPOS!M4330</f>
        <v/>
      </c>
    </row>
    <row r="4331">
      <c r="A4331">
        <f>TRIM(BASE_EQUIPOS!N4331)</f>
        <v/>
      </c>
      <c r="B4331">
        <f>BASE_EQUIPOS!A4331</f>
        <v/>
      </c>
      <c r="C4331">
        <f>BASE_EQUIPOS!B4331</f>
        <v/>
      </c>
      <c r="D4331">
        <f>BASE_EQUIPOS!D4331</f>
        <v/>
      </c>
      <c r="E4331">
        <f>BASE_EQUIPOS!G4331</f>
        <v/>
      </c>
      <c r="F4331">
        <f>BASE_EQUIPOS!H4331</f>
        <v/>
      </c>
      <c r="G4331">
        <f>BASE_EQUIPOS!M4331</f>
        <v/>
      </c>
    </row>
    <row r="4332">
      <c r="A4332">
        <f>TRIM(BASE_EQUIPOS!N4332)</f>
        <v/>
      </c>
      <c r="B4332">
        <f>BASE_EQUIPOS!A4332</f>
        <v/>
      </c>
      <c r="C4332">
        <f>BASE_EQUIPOS!B4332</f>
        <v/>
      </c>
      <c r="D4332">
        <f>BASE_EQUIPOS!D4332</f>
        <v/>
      </c>
      <c r="E4332">
        <f>BASE_EQUIPOS!G4332</f>
        <v/>
      </c>
      <c r="F4332">
        <f>BASE_EQUIPOS!H4332</f>
        <v/>
      </c>
      <c r="G4332">
        <f>BASE_EQUIPOS!M4332</f>
        <v/>
      </c>
    </row>
    <row r="4333">
      <c r="A4333">
        <f>TRIM(BASE_EQUIPOS!N4333)</f>
        <v/>
      </c>
      <c r="B4333">
        <f>BASE_EQUIPOS!A4333</f>
        <v/>
      </c>
      <c r="C4333">
        <f>BASE_EQUIPOS!B4333</f>
        <v/>
      </c>
      <c r="D4333">
        <f>BASE_EQUIPOS!D4333</f>
        <v/>
      </c>
      <c r="E4333">
        <f>BASE_EQUIPOS!G4333</f>
        <v/>
      </c>
      <c r="F4333">
        <f>BASE_EQUIPOS!H4333</f>
        <v/>
      </c>
      <c r="G4333">
        <f>BASE_EQUIPOS!M4333</f>
        <v/>
      </c>
    </row>
    <row r="4334">
      <c r="A4334">
        <f>TRIM(BASE_EQUIPOS!N4334)</f>
        <v/>
      </c>
      <c r="B4334">
        <f>BASE_EQUIPOS!A4334</f>
        <v/>
      </c>
      <c r="C4334">
        <f>BASE_EQUIPOS!B4334</f>
        <v/>
      </c>
      <c r="D4334">
        <f>BASE_EQUIPOS!D4334</f>
        <v/>
      </c>
      <c r="E4334">
        <f>BASE_EQUIPOS!G4334</f>
        <v/>
      </c>
      <c r="F4334">
        <f>BASE_EQUIPOS!H4334</f>
        <v/>
      </c>
      <c r="G4334">
        <f>BASE_EQUIPOS!M4334</f>
        <v/>
      </c>
    </row>
    <row r="4335">
      <c r="A4335">
        <f>TRIM(BASE_EQUIPOS!N4335)</f>
        <v/>
      </c>
      <c r="B4335">
        <f>BASE_EQUIPOS!A4335</f>
        <v/>
      </c>
      <c r="C4335">
        <f>BASE_EQUIPOS!B4335</f>
        <v/>
      </c>
      <c r="D4335">
        <f>BASE_EQUIPOS!D4335</f>
        <v/>
      </c>
      <c r="E4335">
        <f>BASE_EQUIPOS!G4335</f>
        <v/>
      </c>
      <c r="F4335">
        <f>BASE_EQUIPOS!H4335</f>
        <v/>
      </c>
      <c r="G4335">
        <f>BASE_EQUIPOS!M4335</f>
        <v/>
      </c>
    </row>
    <row r="4336">
      <c r="A4336">
        <f>TRIM(BASE_EQUIPOS!N4336)</f>
        <v/>
      </c>
      <c r="B4336">
        <f>BASE_EQUIPOS!A4336</f>
        <v/>
      </c>
      <c r="C4336">
        <f>BASE_EQUIPOS!B4336</f>
        <v/>
      </c>
      <c r="D4336">
        <f>BASE_EQUIPOS!D4336</f>
        <v/>
      </c>
      <c r="E4336">
        <f>BASE_EQUIPOS!G4336</f>
        <v/>
      </c>
      <c r="F4336">
        <f>BASE_EQUIPOS!H4336</f>
        <v/>
      </c>
      <c r="G4336">
        <f>BASE_EQUIPOS!M4336</f>
        <v/>
      </c>
    </row>
    <row r="4337">
      <c r="A4337">
        <f>TRIM(BASE_EQUIPOS!N4337)</f>
        <v/>
      </c>
      <c r="B4337">
        <f>BASE_EQUIPOS!A4337</f>
        <v/>
      </c>
      <c r="C4337">
        <f>BASE_EQUIPOS!B4337</f>
        <v/>
      </c>
      <c r="D4337">
        <f>BASE_EQUIPOS!D4337</f>
        <v/>
      </c>
      <c r="E4337">
        <f>BASE_EQUIPOS!G4337</f>
        <v/>
      </c>
      <c r="F4337">
        <f>BASE_EQUIPOS!H4337</f>
        <v/>
      </c>
      <c r="G4337">
        <f>BASE_EQUIPOS!M4337</f>
        <v/>
      </c>
    </row>
    <row r="4338">
      <c r="A4338">
        <f>TRIM(BASE_EQUIPOS!N4338)</f>
        <v/>
      </c>
      <c r="B4338">
        <f>BASE_EQUIPOS!A4338</f>
        <v/>
      </c>
      <c r="C4338">
        <f>BASE_EQUIPOS!B4338</f>
        <v/>
      </c>
      <c r="D4338">
        <f>BASE_EQUIPOS!D4338</f>
        <v/>
      </c>
      <c r="E4338">
        <f>BASE_EQUIPOS!G4338</f>
        <v/>
      </c>
      <c r="F4338">
        <f>BASE_EQUIPOS!H4338</f>
        <v/>
      </c>
      <c r="G4338">
        <f>BASE_EQUIPOS!M4338</f>
        <v/>
      </c>
    </row>
    <row r="4339">
      <c r="A4339">
        <f>TRIM(BASE_EQUIPOS!N4339)</f>
        <v/>
      </c>
      <c r="B4339">
        <f>BASE_EQUIPOS!A4339</f>
        <v/>
      </c>
      <c r="C4339">
        <f>BASE_EQUIPOS!B4339</f>
        <v/>
      </c>
      <c r="D4339">
        <f>BASE_EQUIPOS!D4339</f>
        <v/>
      </c>
      <c r="E4339">
        <f>BASE_EQUIPOS!G4339</f>
        <v/>
      </c>
      <c r="F4339">
        <f>BASE_EQUIPOS!H4339</f>
        <v/>
      </c>
      <c r="G4339">
        <f>BASE_EQUIPOS!M4339</f>
        <v/>
      </c>
    </row>
    <row r="4340">
      <c r="A4340">
        <f>TRIM(BASE_EQUIPOS!N4340)</f>
        <v/>
      </c>
      <c r="B4340">
        <f>BASE_EQUIPOS!A4340</f>
        <v/>
      </c>
      <c r="C4340">
        <f>BASE_EQUIPOS!B4340</f>
        <v/>
      </c>
      <c r="D4340">
        <f>BASE_EQUIPOS!D4340</f>
        <v/>
      </c>
      <c r="E4340">
        <f>BASE_EQUIPOS!G4340</f>
        <v/>
      </c>
      <c r="F4340">
        <f>BASE_EQUIPOS!H4340</f>
        <v/>
      </c>
      <c r="G4340">
        <f>BASE_EQUIPOS!M4340</f>
        <v/>
      </c>
    </row>
    <row r="4341">
      <c r="A4341">
        <f>TRIM(BASE_EQUIPOS!N4341)</f>
        <v/>
      </c>
      <c r="B4341">
        <f>BASE_EQUIPOS!A4341</f>
        <v/>
      </c>
      <c r="C4341">
        <f>BASE_EQUIPOS!B4341</f>
        <v/>
      </c>
      <c r="D4341">
        <f>BASE_EQUIPOS!D4341</f>
        <v/>
      </c>
      <c r="E4341">
        <f>BASE_EQUIPOS!G4341</f>
        <v/>
      </c>
      <c r="F4341">
        <f>BASE_EQUIPOS!H4341</f>
        <v/>
      </c>
      <c r="G4341">
        <f>BASE_EQUIPOS!M4341</f>
        <v/>
      </c>
    </row>
    <row r="4342">
      <c r="A4342">
        <f>TRIM(BASE_EQUIPOS!N4342)</f>
        <v/>
      </c>
      <c r="B4342">
        <f>BASE_EQUIPOS!A4342</f>
        <v/>
      </c>
      <c r="C4342">
        <f>BASE_EQUIPOS!B4342</f>
        <v/>
      </c>
      <c r="D4342">
        <f>BASE_EQUIPOS!D4342</f>
        <v/>
      </c>
      <c r="E4342">
        <f>BASE_EQUIPOS!G4342</f>
        <v/>
      </c>
      <c r="F4342">
        <f>BASE_EQUIPOS!H4342</f>
        <v/>
      </c>
      <c r="G4342">
        <f>BASE_EQUIPOS!M4342</f>
        <v/>
      </c>
    </row>
    <row r="4343">
      <c r="A4343">
        <f>TRIM(BASE_EQUIPOS!N4343)</f>
        <v/>
      </c>
      <c r="B4343">
        <f>BASE_EQUIPOS!A4343</f>
        <v/>
      </c>
      <c r="C4343">
        <f>BASE_EQUIPOS!B4343</f>
        <v/>
      </c>
      <c r="D4343">
        <f>BASE_EQUIPOS!D4343</f>
        <v/>
      </c>
      <c r="E4343">
        <f>BASE_EQUIPOS!G4343</f>
        <v/>
      </c>
      <c r="F4343">
        <f>BASE_EQUIPOS!H4343</f>
        <v/>
      </c>
      <c r="G4343">
        <f>BASE_EQUIPOS!M4343</f>
        <v/>
      </c>
    </row>
    <row r="4344">
      <c r="A4344">
        <f>TRIM(BASE_EQUIPOS!N4344)</f>
        <v/>
      </c>
      <c r="B4344">
        <f>BASE_EQUIPOS!A4344</f>
        <v/>
      </c>
      <c r="C4344">
        <f>BASE_EQUIPOS!B4344</f>
        <v/>
      </c>
      <c r="D4344">
        <f>BASE_EQUIPOS!D4344</f>
        <v/>
      </c>
      <c r="E4344">
        <f>BASE_EQUIPOS!G4344</f>
        <v/>
      </c>
      <c r="F4344">
        <f>BASE_EQUIPOS!H4344</f>
        <v/>
      </c>
      <c r="G4344">
        <f>BASE_EQUIPOS!M4344</f>
        <v/>
      </c>
    </row>
    <row r="4345">
      <c r="A4345">
        <f>TRIM(BASE_EQUIPOS!N4345)</f>
        <v/>
      </c>
      <c r="B4345">
        <f>BASE_EQUIPOS!A4345</f>
        <v/>
      </c>
      <c r="C4345">
        <f>BASE_EQUIPOS!B4345</f>
        <v/>
      </c>
      <c r="D4345">
        <f>BASE_EQUIPOS!D4345</f>
        <v/>
      </c>
      <c r="E4345">
        <f>BASE_EQUIPOS!G4345</f>
        <v/>
      </c>
      <c r="F4345">
        <f>BASE_EQUIPOS!H4345</f>
        <v/>
      </c>
      <c r="G4345">
        <f>BASE_EQUIPOS!M4345</f>
        <v/>
      </c>
    </row>
    <row r="4346">
      <c r="A4346">
        <f>TRIM(BASE_EQUIPOS!N4346)</f>
        <v/>
      </c>
      <c r="B4346">
        <f>BASE_EQUIPOS!A4346</f>
        <v/>
      </c>
      <c r="C4346">
        <f>BASE_EQUIPOS!B4346</f>
        <v/>
      </c>
      <c r="D4346">
        <f>BASE_EQUIPOS!D4346</f>
        <v/>
      </c>
      <c r="E4346">
        <f>BASE_EQUIPOS!G4346</f>
        <v/>
      </c>
      <c r="F4346">
        <f>BASE_EQUIPOS!H4346</f>
        <v/>
      </c>
      <c r="G4346">
        <f>BASE_EQUIPOS!M4346</f>
        <v/>
      </c>
    </row>
    <row r="4347">
      <c r="A4347">
        <f>TRIM(BASE_EQUIPOS!N4347)</f>
        <v/>
      </c>
      <c r="B4347">
        <f>BASE_EQUIPOS!A4347</f>
        <v/>
      </c>
      <c r="C4347">
        <f>BASE_EQUIPOS!B4347</f>
        <v/>
      </c>
      <c r="D4347">
        <f>BASE_EQUIPOS!D4347</f>
        <v/>
      </c>
      <c r="E4347">
        <f>BASE_EQUIPOS!G4347</f>
        <v/>
      </c>
      <c r="F4347">
        <f>BASE_EQUIPOS!H4347</f>
        <v/>
      </c>
      <c r="G4347">
        <f>BASE_EQUIPOS!M4347</f>
        <v/>
      </c>
    </row>
    <row r="4348">
      <c r="A4348">
        <f>TRIM(BASE_EQUIPOS!N4348)</f>
        <v/>
      </c>
      <c r="B4348">
        <f>BASE_EQUIPOS!A4348</f>
        <v/>
      </c>
      <c r="C4348">
        <f>BASE_EQUIPOS!B4348</f>
        <v/>
      </c>
      <c r="D4348">
        <f>BASE_EQUIPOS!D4348</f>
        <v/>
      </c>
      <c r="E4348">
        <f>BASE_EQUIPOS!G4348</f>
        <v/>
      </c>
      <c r="F4348">
        <f>BASE_EQUIPOS!H4348</f>
        <v/>
      </c>
      <c r="G4348">
        <f>BASE_EQUIPOS!M4348</f>
        <v/>
      </c>
    </row>
    <row r="4349">
      <c r="A4349">
        <f>TRIM(BASE_EQUIPOS!N4349)</f>
        <v/>
      </c>
      <c r="B4349">
        <f>BASE_EQUIPOS!A4349</f>
        <v/>
      </c>
      <c r="C4349">
        <f>BASE_EQUIPOS!B4349</f>
        <v/>
      </c>
      <c r="D4349">
        <f>BASE_EQUIPOS!D4349</f>
        <v/>
      </c>
      <c r="E4349">
        <f>BASE_EQUIPOS!G4349</f>
        <v/>
      </c>
      <c r="F4349">
        <f>BASE_EQUIPOS!H4349</f>
        <v/>
      </c>
      <c r="G4349">
        <f>BASE_EQUIPOS!M4349</f>
        <v/>
      </c>
    </row>
    <row r="4350">
      <c r="A4350">
        <f>TRIM(BASE_EQUIPOS!N4350)</f>
        <v/>
      </c>
      <c r="B4350">
        <f>BASE_EQUIPOS!A4350</f>
        <v/>
      </c>
      <c r="C4350">
        <f>BASE_EQUIPOS!B4350</f>
        <v/>
      </c>
      <c r="D4350">
        <f>BASE_EQUIPOS!D4350</f>
        <v/>
      </c>
      <c r="E4350">
        <f>BASE_EQUIPOS!G4350</f>
        <v/>
      </c>
      <c r="F4350">
        <f>BASE_EQUIPOS!H4350</f>
        <v/>
      </c>
      <c r="G4350">
        <f>BASE_EQUIPOS!M4350</f>
        <v/>
      </c>
    </row>
    <row r="4351">
      <c r="A4351">
        <f>TRIM(BASE_EQUIPOS!N4351)</f>
        <v/>
      </c>
      <c r="B4351">
        <f>BASE_EQUIPOS!A4351</f>
        <v/>
      </c>
      <c r="C4351">
        <f>BASE_EQUIPOS!B4351</f>
        <v/>
      </c>
      <c r="D4351">
        <f>BASE_EQUIPOS!D4351</f>
        <v/>
      </c>
      <c r="E4351">
        <f>BASE_EQUIPOS!G4351</f>
        <v/>
      </c>
      <c r="F4351">
        <f>BASE_EQUIPOS!H4351</f>
        <v/>
      </c>
      <c r="G4351">
        <f>BASE_EQUIPOS!M4351</f>
        <v/>
      </c>
    </row>
    <row r="4352">
      <c r="A4352">
        <f>TRIM(BASE_EQUIPOS!N4352)</f>
        <v/>
      </c>
      <c r="B4352">
        <f>BASE_EQUIPOS!A4352</f>
        <v/>
      </c>
      <c r="C4352">
        <f>BASE_EQUIPOS!B4352</f>
        <v/>
      </c>
      <c r="D4352">
        <f>BASE_EQUIPOS!D4352</f>
        <v/>
      </c>
      <c r="E4352">
        <f>BASE_EQUIPOS!G4352</f>
        <v/>
      </c>
      <c r="F4352">
        <f>BASE_EQUIPOS!H4352</f>
        <v/>
      </c>
      <c r="G4352">
        <f>BASE_EQUIPOS!M4352</f>
        <v/>
      </c>
    </row>
    <row r="4353">
      <c r="A4353">
        <f>TRIM(BASE_EQUIPOS!N4353)</f>
        <v/>
      </c>
      <c r="B4353">
        <f>BASE_EQUIPOS!A4353</f>
        <v/>
      </c>
      <c r="C4353">
        <f>BASE_EQUIPOS!B4353</f>
        <v/>
      </c>
      <c r="D4353">
        <f>BASE_EQUIPOS!D4353</f>
        <v/>
      </c>
      <c r="E4353">
        <f>BASE_EQUIPOS!G4353</f>
        <v/>
      </c>
      <c r="F4353">
        <f>BASE_EQUIPOS!H4353</f>
        <v/>
      </c>
      <c r="G4353">
        <f>BASE_EQUIPOS!M4353</f>
        <v/>
      </c>
    </row>
    <row r="4354">
      <c r="A4354">
        <f>TRIM(BASE_EQUIPOS!N4354)</f>
        <v/>
      </c>
      <c r="B4354">
        <f>BASE_EQUIPOS!A4354</f>
        <v/>
      </c>
      <c r="C4354">
        <f>BASE_EQUIPOS!B4354</f>
        <v/>
      </c>
      <c r="D4354">
        <f>BASE_EQUIPOS!D4354</f>
        <v/>
      </c>
      <c r="E4354">
        <f>BASE_EQUIPOS!G4354</f>
        <v/>
      </c>
      <c r="F4354">
        <f>BASE_EQUIPOS!H4354</f>
        <v/>
      </c>
      <c r="G4354">
        <f>BASE_EQUIPOS!M4354</f>
        <v/>
      </c>
    </row>
    <row r="4355">
      <c r="A4355">
        <f>TRIM(BASE_EQUIPOS!N4355)</f>
        <v/>
      </c>
      <c r="B4355">
        <f>BASE_EQUIPOS!A4355</f>
        <v/>
      </c>
      <c r="C4355">
        <f>BASE_EQUIPOS!B4355</f>
        <v/>
      </c>
      <c r="D4355">
        <f>BASE_EQUIPOS!D4355</f>
        <v/>
      </c>
      <c r="E4355">
        <f>BASE_EQUIPOS!G4355</f>
        <v/>
      </c>
      <c r="F4355">
        <f>BASE_EQUIPOS!H4355</f>
        <v/>
      </c>
      <c r="G4355">
        <f>BASE_EQUIPOS!M4355</f>
        <v/>
      </c>
    </row>
    <row r="4356">
      <c r="A4356">
        <f>TRIM(BASE_EQUIPOS!N4356)</f>
        <v/>
      </c>
      <c r="B4356">
        <f>BASE_EQUIPOS!A4356</f>
        <v/>
      </c>
      <c r="C4356">
        <f>BASE_EQUIPOS!B4356</f>
        <v/>
      </c>
      <c r="D4356">
        <f>BASE_EQUIPOS!D4356</f>
        <v/>
      </c>
      <c r="E4356">
        <f>BASE_EQUIPOS!G4356</f>
        <v/>
      </c>
      <c r="F4356">
        <f>BASE_EQUIPOS!H4356</f>
        <v/>
      </c>
      <c r="G4356">
        <f>BASE_EQUIPOS!M4356</f>
        <v/>
      </c>
    </row>
    <row r="4357">
      <c r="A4357">
        <f>TRIM(BASE_EQUIPOS!N4357)</f>
        <v/>
      </c>
      <c r="B4357">
        <f>BASE_EQUIPOS!A4357</f>
        <v/>
      </c>
      <c r="C4357">
        <f>BASE_EQUIPOS!B4357</f>
        <v/>
      </c>
      <c r="D4357">
        <f>BASE_EQUIPOS!D4357</f>
        <v/>
      </c>
      <c r="E4357">
        <f>BASE_EQUIPOS!G4357</f>
        <v/>
      </c>
      <c r="F4357">
        <f>BASE_EQUIPOS!H4357</f>
        <v/>
      </c>
      <c r="G4357">
        <f>BASE_EQUIPOS!M4357</f>
        <v/>
      </c>
    </row>
    <row r="4358">
      <c r="A4358">
        <f>TRIM(BASE_EQUIPOS!N4358)</f>
        <v/>
      </c>
      <c r="B4358">
        <f>BASE_EQUIPOS!A4358</f>
        <v/>
      </c>
      <c r="C4358">
        <f>BASE_EQUIPOS!B4358</f>
        <v/>
      </c>
      <c r="D4358">
        <f>BASE_EQUIPOS!D4358</f>
        <v/>
      </c>
      <c r="E4358">
        <f>BASE_EQUIPOS!G4358</f>
        <v/>
      </c>
      <c r="F4358">
        <f>BASE_EQUIPOS!H4358</f>
        <v/>
      </c>
      <c r="G4358">
        <f>BASE_EQUIPOS!M4358</f>
        <v/>
      </c>
    </row>
    <row r="4359">
      <c r="A4359">
        <f>TRIM(BASE_EQUIPOS!N4359)</f>
        <v/>
      </c>
      <c r="B4359">
        <f>BASE_EQUIPOS!A4359</f>
        <v/>
      </c>
      <c r="C4359">
        <f>BASE_EQUIPOS!B4359</f>
        <v/>
      </c>
      <c r="D4359">
        <f>BASE_EQUIPOS!D4359</f>
        <v/>
      </c>
      <c r="E4359">
        <f>BASE_EQUIPOS!G4359</f>
        <v/>
      </c>
      <c r="F4359">
        <f>BASE_EQUIPOS!H4359</f>
        <v/>
      </c>
      <c r="G4359">
        <f>BASE_EQUIPOS!M4359</f>
        <v/>
      </c>
    </row>
    <row r="4360">
      <c r="A4360">
        <f>TRIM(BASE_EQUIPOS!N4360)</f>
        <v/>
      </c>
      <c r="B4360">
        <f>BASE_EQUIPOS!A4360</f>
        <v/>
      </c>
      <c r="C4360">
        <f>BASE_EQUIPOS!B4360</f>
        <v/>
      </c>
      <c r="D4360">
        <f>BASE_EQUIPOS!D4360</f>
        <v/>
      </c>
      <c r="E4360">
        <f>BASE_EQUIPOS!G4360</f>
        <v/>
      </c>
      <c r="F4360">
        <f>BASE_EQUIPOS!H4360</f>
        <v/>
      </c>
      <c r="G4360">
        <f>BASE_EQUIPOS!M4360</f>
        <v/>
      </c>
    </row>
    <row r="4361">
      <c r="A4361">
        <f>TRIM(BASE_EQUIPOS!N4361)</f>
        <v/>
      </c>
      <c r="B4361">
        <f>BASE_EQUIPOS!A4361</f>
        <v/>
      </c>
      <c r="C4361">
        <f>BASE_EQUIPOS!B4361</f>
        <v/>
      </c>
      <c r="D4361">
        <f>BASE_EQUIPOS!D4361</f>
        <v/>
      </c>
      <c r="E4361">
        <f>BASE_EQUIPOS!G4361</f>
        <v/>
      </c>
      <c r="F4361">
        <f>BASE_EQUIPOS!H4361</f>
        <v/>
      </c>
      <c r="G4361">
        <f>BASE_EQUIPOS!M4361</f>
        <v/>
      </c>
    </row>
    <row r="4362">
      <c r="A4362">
        <f>TRIM(BASE_EQUIPOS!N4362)</f>
        <v/>
      </c>
      <c r="B4362">
        <f>BASE_EQUIPOS!A4362</f>
        <v/>
      </c>
      <c r="C4362">
        <f>BASE_EQUIPOS!B4362</f>
        <v/>
      </c>
      <c r="D4362">
        <f>BASE_EQUIPOS!D4362</f>
        <v/>
      </c>
      <c r="E4362">
        <f>BASE_EQUIPOS!G4362</f>
        <v/>
      </c>
      <c r="F4362">
        <f>BASE_EQUIPOS!H4362</f>
        <v/>
      </c>
      <c r="G4362">
        <f>BASE_EQUIPOS!M4362</f>
        <v/>
      </c>
    </row>
    <row r="4363">
      <c r="A4363">
        <f>TRIM(BASE_EQUIPOS!N4363)</f>
        <v/>
      </c>
      <c r="B4363">
        <f>BASE_EQUIPOS!A4363</f>
        <v/>
      </c>
      <c r="C4363">
        <f>BASE_EQUIPOS!B4363</f>
        <v/>
      </c>
      <c r="D4363">
        <f>BASE_EQUIPOS!D4363</f>
        <v/>
      </c>
      <c r="E4363">
        <f>BASE_EQUIPOS!G4363</f>
        <v/>
      </c>
      <c r="F4363">
        <f>BASE_EQUIPOS!H4363</f>
        <v/>
      </c>
      <c r="G4363">
        <f>BASE_EQUIPOS!M4363</f>
        <v/>
      </c>
    </row>
    <row r="4364">
      <c r="A4364">
        <f>TRIM(BASE_EQUIPOS!N4364)</f>
        <v/>
      </c>
      <c r="B4364">
        <f>BASE_EQUIPOS!A4364</f>
        <v/>
      </c>
      <c r="C4364">
        <f>BASE_EQUIPOS!B4364</f>
        <v/>
      </c>
      <c r="D4364">
        <f>BASE_EQUIPOS!D4364</f>
        <v/>
      </c>
      <c r="E4364">
        <f>BASE_EQUIPOS!G4364</f>
        <v/>
      </c>
      <c r="F4364">
        <f>BASE_EQUIPOS!H4364</f>
        <v/>
      </c>
      <c r="G4364">
        <f>BASE_EQUIPOS!M4364</f>
        <v/>
      </c>
    </row>
    <row r="4365">
      <c r="A4365">
        <f>TRIM(BASE_EQUIPOS!N4365)</f>
        <v/>
      </c>
      <c r="B4365">
        <f>BASE_EQUIPOS!A4365</f>
        <v/>
      </c>
      <c r="C4365">
        <f>BASE_EQUIPOS!B4365</f>
        <v/>
      </c>
      <c r="D4365">
        <f>BASE_EQUIPOS!D4365</f>
        <v/>
      </c>
      <c r="E4365">
        <f>BASE_EQUIPOS!G4365</f>
        <v/>
      </c>
      <c r="F4365">
        <f>BASE_EQUIPOS!H4365</f>
        <v/>
      </c>
      <c r="G4365">
        <f>BASE_EQUIPOS!M4365</f>
        <v/>
      </c>
    </row>
    <row r="4366">
      <c r="A4366">
        <f>TRIM(BASE_EQUIPOS!N4366)</f>
        <v/>
      </c>
      <c r="B4366">
        <f>BASE_EQUIPOS!A4366</f>
        <v/>
      </c>
      <c r="C4366">
        <f>BASE_EQUIPOS!B4366</f>
        <v/>
      </c>
      <c r="D4366">
        <f>BASE_EQUIPOS!D4366</f>
        <v/>
      </c>
      <c r="E4366">
        <f>BASE_EQUIPOS!G4366</f>
        <v/>
      </c>
      <c r="F4366">
        <f>BASE_EQUIPOS!H4366</f>
        <v/>
      </c>
      <c r="G4366">
        <f>BASE_EQUIPOS!M4366</f>
        <v/>
      </c>
    </row>
    <row r="4367">
      <c r="A4367">
        <f>TRIM(BASE_EQUIPOS!N4367)</f>
        <v/>
      </c>
      <c r="B4367">
        <f>BASE_EQUIPOS!A4367</f>
        <v/>
      </c>
      <c r="C4367">
        <f>BASE_EQUIPOS!B4367</f>
        <v/>
      </c>
      <c r="D4367">
        <f>BASE_EQUIPOS!D4367</f>
        <v/>
      </c>
      <c r="E4367">
        <f>BASE_EQUIPOS!G4367</f>
        <v/>
      </c>
      <c r="F4367">
        <f>BASE_EQUIPOS!H4367</f>
        <v/>
      </c>
      <c r="G4367">
        <f>BASE_EQUIPOS!M4367</f>
        <v/>
      </c>
    </row>
    <row r="4368">
      <c r="A4368">
        <f>TRIM(BASE_EQUIPOS!N4368)</f>
        <v/>
      </c>
      <c r="B4368">
        <f>BASE_EQUIPOS!A4368</f>
        <v/>
      </c>
      <c r="C4368">
        <f>BASE_EQUIPOS!B4368</f>
        <v/>
      </c>
      <c r="D4368">
        <f>BASE_EQUIPOS!D4368</f>
        <v/>
      </c>
      <c r="E4368">
        <f>BASE_EQUIPOS!G4368</f>
        <v/>
      </c>
      <c r="F4368">
        <f>BASE_EQUIPOS!H4368</f>
        <v/>
      </c>
      <c r="G4368">
        <f>BASE_EQUIPOS!M4368</f>
        <v/>
      </c>
    </row>
    <row r="4369">
      <c r="A4369">
        <f>TRIM(BASE_EQUIPOS!N4369)</f>
        <v/>
      </c>
      <c r="B4369">
        <f>BASE_EQUIPOS!A4369</f>
        <v/>
      </c>
      <c r="C4369">
        <f>BASE_EQUIPOS!B4369</f>
        <v/>
      </c>
      <c r="D4369">
        <f>BASE_EQUIPOS!D4369</f>
        <v/>
      </c>
      <c r="E4369">
        <f>BASE_EQUIPOS!G4369</f>
        <v/>
      </c>
      <c r="F4369">
        <f>BASE_EQUIPOS!H4369</f>
        <v/>
      </c>
      <c r="G4369">
        <f>BASE_EQUIPOS!M4369</f>
        <v/>
      </c>
    </row>
    <row r="4370">
      <c r="A4370">
        <f>TRIM(BASE_EQUIPOS!N4370)</f>
        <v/>
      </c>
      <c r="B4370">
        <f>BASE_EQUIPOS!A4370</f>
        <v/>
      </c>
      <c r="C4370">
        <f>BASE_EQUIPOS!B4370</f>
        <v/>
      </c>
      <c r="D4370">
        <f>BASE_EQUIPOS!D4370</f>
        <v/>
      </c>
      <c r="E4370">
        <f>BASE_EQUIPOS!G4370</f>
        <v/>
      </c>
      <c r="F4370">
        <f>BASE_EQUIPOS!H4370</f>
        <v/>
      </c>
      <c r="G4370">
        <f>BASE_EQUIPOS!M4370</f>
        <v/>
      </c>
    </row>
    <row r="4371">
      <c r="A4371">
        <f>TRIM(BASE_EQUIPOS!N4371)</f>
        <v/>
      </c>
      <c r="B4371">
        <f>BASE_EQUIPOS!A4371</f>
        <v/>
      </c>
      <c r="C4371">
        <f>BASE_EQUIPOS!B4371</f>
        <v/>
      </c>
      <c r="D4371">
        <f>BASE_EQUIPOS!D4371</f>
        <v/>
      </c>
      <c r="E4371">
        <f>BASE_EQUIPOS!G4371</f>
        <v/>
      </c>
      <c r="F4371">
        <f>BASE_EQUIPOS!H4371</f>
        <v/>
      </c>
      <c r="G4371">
        <f>BASE_EQUIPOS!M4371</f>
        <v/>
      </c>
    </row>
    <row r="4372">
      <c r="A4372">
        <f>TRIM(BASE_EQUIPOS!N4372)</f>
        <v/>
      </c>
      <c r="B4372">
        <f>BASE_EQUIPOS!A4372</f>
        <v/>
      </c>
      <c r="C4372">
        <f>BASE_EQUIPOS!B4372</f>
        <v/>
      </c>
      <c r="D4372">
        <f>BASE_EQUIPOS!D4372</f>
        <v/>
      </c>
      <c r="E4372">
        <f>BASE_EQUIPOS!G4372</f>
        <v/>
      </c>
      <c r="F4372">
        <f>BASE_EQUIPOS!H4372</f>
        <v/>
      </c>
      <c r="G4372">
        <f>BASE_EQUIPOS!M4372</f>
        <v/>
      </c>
    </row>
    <row r="4373">
      <c r="A4373">
        <f>TRIM(BASE_EQUIPOS!N4373)</f>
        <v/>
      </c>
      <c r="B4373">
        <f>BASE_EQUIPOS!A4373</f>
        <v/>
      </c>
      <c r="C4373">
        <f>BASE_EQUIPOS!B4373</f>
        <v/>
      </c>
      <c r="D4373">
        <f>BASE_EQUIPOS!D4373</f>
        <v/>
      </c>
      <c r="E4373">
        <f>BASE_EQUIPOS!G4373</f>
        <v/>
      </c>
      <c r="F4373">
        <f>BASE_EQUIPOS!H4373</f>
        <v/>
      </c>
      <c r="G4373">
        <f>BASE_EQUIPOS!M4373</f>
        <v/>
      </c>
    </row>
    <row r="4374">
      <c r="A4374">
        <f>TRIM(BASE_EQUIPOS!N4374)</f>
        <v/>
      </c>
      <c r="B4374">
        <f>BASE_EQUIPOS!A4374</f>
        <v/>
      </c>
      <c r="C4374">
        <f>BASE_EQUIPOS!B4374</f>
        <v/>
      </c>
      <c r="D4374">
        <f>BASE_EQUIPOS!D4374</f>
        <v/>
      </c>
      <c r="E4374">
        <f>BASE_EQUIPOS!G4374</f>
        <v/>
      </c>
      <c r="F4374">
        <f>BASE_EQUIPOS!H4374</f>
        <v/>
      </c>
      <c r="G4374">
        <f>BASE_EQUIPOS!M4374</f>
        <v/>
      </c>
    </row>
    <row r="4375">
      <c r="A4375">
        <f>TRIM(BASE_EQUIPOS!N4375)</f>
        <v/>
      </c>
      <c r="B4375">
        <f>BASE_EQUIPOS!A4375</f>
        <v/>
      </c>
      <c r="C4375">
        <f>BASE_EQUIPOS!B4375</f>
        <v/>
      </c>
      <c r="D4375">
        <f>BASE_EQUIPOS!D4375</f>
        <v/>
      </c>
      <c r="E4375">
        <f>BASE_EQUIPOS!G4375</f>
        <v/>
      </c>
      <c r="F4375">
        <f>BASE_EQUIPOS!H4375</f>
        <v/>
      </c>
      <c r="G4375">
        <f>BASE_EQUIPOS!M4375</f>
        <v/>
      </c>
    </row>
    <row r="4376">
      <c r="A4376">
        <f>TRIM(BASE_EQUIPOS!N4376)</f>
        <v/>
      </c>
      <c r="B4376">
        <f>BASE_EQUIPOS!A4376</f>
        <v/>
      </c>
      <c r="C4376">
        <f>BASE_EQUIPOS!B4376</f>
        <v/>
      </c>
      <c r="D4376">
        <f>BASE_EQUIPOS!D4376</f>
        <v/>
      </c>
      <c r="E4376">
        <f>BASE_EQUIPOS!G4376</f>
        <v/>
      </c>
      <c r="F4376">
        <f>BASE_EQUIPOS!H4376</f>
        <v/>
      </c>
      <c r="G4376">
        <f>BASE_EQUIPOS!M4376</f>
        <v/>
      </c>
    </row>
    <row r="4377">
      <c r="A4377">
        <f>TRIM(BASE_EQUIPOS!N4377)</f>
        <v/>
      </c>
      <c r="B4377">
        <f>BASE_EQUIPOS!A4377</f>
        <v/>
      </c>
      <c r="C4377">
        <f>BASE_EQUIPOS!B4377</f>
        <v/>
      </c>
      <c r="D4377">
        <f>BASE_EQUIPOS!D4377</f>
        <v/>
      </c>
      <c r="E4377">
        <f>BASE_EQUIPOS!G4377</f>
        <v/>
      </c>
      <c r="F4377">
        <f>BASE_EQUIPOS!H4377</f>
        <v/>
      </c>
      <c r="G4377">
        <f>BASE_EQUIPOS!M4377</f>
        <v/>
      </c>
    </row>
    <row r="4378">
      <c r="A4378">
        <f>TRIM(BASE_EQUIPOS!N4378)</f>
        <v/>
      </c>
      <c r="B4378">
        <f>BASE_EQUIPOS!A4378</f>
        <v/>
      </c>
      <c r="C4378">
        <f>BASE_EQUIPOS!B4378</f>
        <v/>
      </c>
      <c r="D4378">
        <f>BASE_EQUIPOS!D4378</f>
        <v/>
      </c>
      <c r="E4378">
        <f>BASE_EQUIPOS!G4378</f>
        <v/>
      </c>
      <c r="F4378">
        <f>BASE_EQUIPOS!H4378</f>
        <v/>
      </c>
      <c r="G4378">
        <f>BASE_EQUIPOS!M4378</f>
        <v/>
      </c>
    </row>
    <row r="4379">
      <c r="A4379">
        <f>TRIM(BASE_EQUIPOS!N4379)</f>
        <v/>
      </c>
      <c r="B4379">
        <f>BASE_EQUIPOS!A4379</f>
        <v/>
      </c>
      <c r="C4379">
        <f>BASE_EQUIPOS!B4379</f>
        <v/>
      </c>
      <c r="D4379">
        <f>BASE_EQUIPOS!D4379</f>
        <v/>
      </c>
      <c r="E4379">
        <f>BASE_EQUIPOS!G4379</f>
        <v/>
      </c>
      <c r="F4379">
        <f>BASE_EQUIPOS!H4379</f>
        <v/>
      </c>
      <c r="G4379">
        <f>BASE_EQUIPOS!M4379</f>
        <v/>
      </c>
    </row>
    <row r="4380">
      <c r="A4380">
        <f>TRIM(BASE_EQUIPOS!N4380)</f>
        <v/>
      </c>
      <c r="B4380">
        <f>BASE_EQUIPOS!A4380</f>
        <v/>
      </c>
      <c r="C4380">
        <f>BASE_EQUIPOS!B4380</f>
        <v/>
      </c>
      <c r="D4380">
        <f>BASE_EQUIPOS!D4380</f>
        <v/>
      </c>
      <c r="E4380">
        <f>BASE_EQUIPOS!G4380</f>
        <v/>
      </c>
      <c r="F4380">
        <f>BASE_EQUIPOS!H4380</f>
        <v/>
      </c>
      <c r="G4380">
        <f>BASE_EQUIPOS!M4380</f>
        <v/>
      </c>
    </row>
    <row r="4381">
      <c r="A4381">
        <f>TRIM(BASE_EQUIPOS!N4381)</f>
        <v/>
      </c>
      <c r="B4381">
        <f>BASE_EQUIPOS!A4381</f>
        <v/>
      </c>
      <c r="C4381">
        <f>BASE_EQUIPOS!B4381</f>
        <v/>
      </c>
      <c r="D4381">
        <f>BASE_EQUIPOS!D4381</f>
        <v/>
      </c>
      <c r="E4381">
        <f>BASE_EQUIPOS!G4381</f>
        <v/>
      </c>
      <c r="F4381">
        <f>BASE_EQUIPOS!H4381</f>
        <v/>
      </c>
      <c r="G4381">
        <f>BASE_EQUIPOS!M4381</f>
        <v/>
      </c>
    </row>
    <row r="4382">
      <c r="A4382">
        <f>TRIM(BASE_EQUIPOS!N4382)</f>
        <v/>
      </c>
      <c r="B4382">
        <f>BASE_EQUIPOS!A4382</f>
        <v/>
      </c>
      <c r="C4382">
        <f>BASE_EQUIPOS!B4382</f>
        <v/>
      </c>
      <c r="D4382">
        <f>BASE_EQUIPOS!D4382</f>
        <v/>
      </c>
      <c r="E4382">
        <f>BASE_EQUIPOS!G4382</f>
        <v/>
      </c>
      <c r="F4382">
        <f>BASE_EQUIPOS!H4382</f>
        <v/>
      </c>
      <c r="G4382">
        <f>BASE_EQUIPOS!M4382</f>
        <v/>
      </c>
    </row>
    <row r="4383">
      <c r="A4383">
        <f>TRIM(BASE_EQUIPOS!N4383)</f>
        <v/>
      </c>
      <c r="B4383">
        <f>BASE_EQUIPOS!A4383</f>
        <v/>
      </c>
      <c r="C4383">
        <f>BASE_EQUIPOS!B4383</f>
        <v/>
      </c>
      <c r="D4383">
        <f>BASE_EQUIPOS!D4383</f>
        <v/>
      </c>
      <c r="E4383">
        <f>BASE_EQUIPOS!G4383</f>
        <v/>
      </c>
      <c r="F4383">
        <f>BASE_EQUIPOS!H4383</f>
        <v/>
      </c>
      <c r="G4383">
        <f>BASE_EQUIPOS!M4383</f>
        <v/>
      </c>
    </row>
    <row r="4384">
      <c r="A4384">
        <f>TRIM(BASE_EQUIPOS!N4384)</f>
        <v/>
      </c>
      <c r="B4384">
        <f>BASE_EQUIPOS!A4384</f>
        <v/>
      </c>
      <c r="C4384">
        <f>BASE_EQUIPOS!B4384</f>
        <v/>
      </c>
      <c r="D4384">
        <f>BASE_EQUIPOS!D4384</f>
        <v/>
      </c>
      <c r="E4384">
        <f>BASE_EQUIPOS!G4384</f>
        <v/>
      </c>
      <c r="F4384">
        <f>BASE_EQUIPOS!H4384</f>
        <v/>
      </c>
      <c r="G4384">
        <f>BASE_EQUIPOS!M4384</f>
        <v/>
      </c>
    </row>
    <row r="4385">
      <c r="A4385">
        <f>TRIM(BASE_EQUIPOS!N4385)</f>
        <v/>
      </c>
      <c r="B4385">
        <f>BASE_EQUIPOS!A4385</f>
        <v/>
      </c>
      <c r="C4385">
        <f>BASE_EQUIPOS!B4385</f>
        <v/>
      </c>
      <c r="D4385">
        <f>BASE_EQUIPOS!D4385</f>
        <v/>
      </c>
      <c r="E4385">
        <f>BASE_EQUIPOS!G4385</f>
        <v/>
      </c>
      <c r="F4385">
        <f>BASE_EQUIPOS!H4385</f>
        <v/>
      </c>
      <c r="G4385">
        <f>BASE_EQUIPOS!M4385</f>
        <v/>
      </c>
    </row>
    <row r="4386">
      <c r="A4386">
        <f>TRIM(BASE_EQUIPOS!N4386)</f>
        <v/>
      </c>
      <c r="B4386">
        <f>BASE_EQUIPOS!A4386</f>
        <v/>
      </c>
      <c r="C4386">
        <f>BASE_EQUIPOS!B4386</f>
        <v/>
      </c>
      <c r="D4386">
        <f>BASE_EQUIPOS!D4386</f>
        <v/>
      </c>
      <c r="E4386">
        <f>BASE_EQUIPOS!G4386</f>
        <v/>
      </c>
      <c r="F4386">
        <f>BASE_EQUIPOS!H4386</f>
        <v/>
      </c>
      <c r="G4386">
        <f>BASE_EQUIPOS!M4386</f>
        <v/>
      </c>
    </row>
    <row r="4387">
      <c r="A4387">
        <f>TRIM(BASE_EQUIPOS!N4387)</f>
        <v/>
      </c>
      <c r="B4387">
        <f>BASE_EQUIPOS!A4387</f>
        <v/>
      </c>
      <c r="C4387">
        <f>BASE_EQUIPOS!B4387</f>
        <v/>
      </c>
      <c r="D4387">
        <f>BASE_EQUIPOS!D4387</f>
        <v/>
      </c>
      <c r="E4387">
        <f>BASE_EQUIPOS!G4387</f>
        <v/>
      </c>
      <c r="F4387">
        <f>BASE_EQUIPOS!H4387</f>
        <v/>
      </c>
      <c r="G4387">
        <f>BASE_EQUIPOS!M4387</f>
        <v/>
      </c>
    </row>
    <row r="4388">
      <c r="A4388">
        <f>TRIM(BASE_EQUIPOS!N4388)</f>
        <v/>
      </c>
      <c r="B4388">
        <f>BASE_EQUIPOS!A4388</f>
        <v/>
      </c>
      <c r="C4388">
        <f>BASE_EQUIPOS!B4388</f>
        <v/>
      </c>
      <c r="D4388">
        <f>BASE_EQUIPOS!D4388</f>
        <v/>
      </c>
      <c r="E4388">
        <f>BASE_EQUIPOS!G4388</f>
        <v/>
      </c>
      <c r="F4388">
        <f>BASE_EQUIPOS!H4388</f>
        <v/>
      </c>
      <c r="G4388">
        <f>BASE_EQUIPOS!M4388</f>
        <v/>
      </c>
    </row>
    <row r="4389">
      <c r="A4389">
        <f>TRIM(BASE_EQUIPOS!N4389)</f>
        <v/>
      </c>
      <c r="B4389">
        <f>BASE_EQUIPOS!A4389</f>
        <v/>
      </c>
      <c r="C4389">
        <f>BASE_EQUIPOS!B4389</f>
        <v/>
      </c>
      <c r="D4389">
        <f>BASE_EQUIPOS!D4389</f>
        <v/>
      </c>
      <c r="E4389">
        <f>BASE_EQUIPOS!G4389</f>
        <v/>
      </c>
      <c r="F4389">
        <f>BASE_EQUIPOS!H4389</f>
        <v/>
      </c>
      <c r="G4389">
        <f>BASE_EQUIPOS!M4389</f>
        <v/>
      </c>
    </row>
    <row r="4390">
      <c r="A4390">
        <f>TRIM(BASE_EQUIPOS!N4390)</f>
        <v/>
      </c>
      <c r="B4390">
        <f>BASE_EQUIPOS!A4390</f>
        <v/>
      </c>
      <c r="C4390">
        <f>BASE_EQUIPOS!B4390</f>
        <v/>
      </c>
      <c r="D4390">
        <f>BASE_EQUIPOS!D4390</f>
        <v/>
      </c>
      <c r="E4390">
        <f>BASE_EQUIPOS!G4390</f>
        <v/>
      </c>
      <c r="F4390">
        <f>BASE_EQUIPOS!H4390</f>
        <v/>
      </c>
      <c r="G4390">
        <f>BASE_EQUIPOS!M4390</f>
        <v/>
      </c>
    </row>
    <row r="4391">
      <c r="A4391">
        <f>TRIM(BASE_EQUIPOS!N4391)</f>
        <v/>
      </c>
      <c r="B4391">
        <f>BASE_EQUIPOS!A4391</f>
        <v/>
      </c>
      <c r="C4391">
        <f>BASE_EQUIPOS!B4391</f>
        <v/>
      </c>
      <c r="D4391">
        <f>BASE_EQUIPOS!D4391</f>
        <v/>
      </c>
      <c r="E4391">
        <f>BASE_EQUIPOS!G4391</f>
        <v/>
      </c>
      <c r="F4391">
        <f>BASE_EQUIPOS!H4391</f>
        <v/>
      </c>
      <c r="G4391">
        <f>BASE_EQUIPOS!M4391</f>
        <v/>
      </c>
    </row>
    <row r="4392">
      <c r="A4392">
        <f>TRIM(BASE_EQUIPOS!N4392)</f>
        <v/>
      </c>
      <c r="B4392">
        <f>BASE_EQUIPOS!A4392</f>
        <v/>
      </c>
      <c r="C4392">
        <f>BASE_EQUIPOS!B4392</f>
        <v/>
      </c>
      <c r="D4392">
        <f>BASE_EQUIPOS!D4392</f>
        <v/>
      </c>
      <c r="E4392">
        <f>BASE_EQUIPOS!G4392</f>
        <v/>
      </c>
      <c r="F4392">
        <f>BASE_EQUIPOS!H4392</f>
        <v/>
      </c>
      <c r="G4392">
        <f>BASE_EQUIPOS!M4392</f>
        <v/>
      </c>
    </row>
    <row r="4393">
      <c r="A4393">
        <f>TRIM(BASE_EQUIPOS!N4393)</f>
        <v/>
      </c>
      <c r="B4393">
        <f>BASE_EQUIPOS!A4393</f>
        <v/>
      </c>
      <c r="C4393">
        <f>BASE_EQUIPOS!B4393</f>
        <v/>
      </c>
      <c r="D4393">
        <f>BASE_EQUIPOS!D4393</f>
        <v/>
      </c>
      <c r="E4393">
        <f>BASE_EQUIPOS!G4393</f>
        <v/>
      </c>
      <c r="F4393">
        <f>BASE_EQUIPOS!H4393</f>
        <v/>
      </c>
      <c r="G4393">
        <f>BASE_EQUIPOS!M4393</f>
        <v/>
      </c>
    </row>
    <row r="4394">
      <c r="A4394">
        <f>TRIM(BASE_EQUIPOS!N4394)</f>
        <v/>
      </c>
      <c r="B4394">
        <f>BASE_EQUIPOS!A4394</f>
        <v/>
      </c>
      <c r="C4394">
        <f>BASE_EQUIPOS!B4394</f>
        <v/>
      </c>
      <c r="D4394">
        <f>BASE_EQUIPOS!D4394</f>
        <v/>
      </c>
      <c r="E4394">
        <f>BASE_EQUIPOS!G4394</f>
        <v/>
      </c>
      <c r="F4394">
        <f>BASE_EQUIPOS!H4394</f>
        <v/>
      </c>
      <c r="G4394">
        <f>BASE_EQUIPOS!M4394</f>
        <v/>
      </c>
    </row>
    <row r="4395">
      <c r="A4395">
        <f>TRIM(BASE_EQUIPOS!N4395)</f>
        <v/>
      </c>
      <c r="B4395">
        <f>BASE_EQUIPOS!A4395</f>
        <v/>
      </c>
      <c r="C4395">
        <f>BASE_EQUIPOS!B4395</f>
        <v/>
      </c>
      <c r="D4395">
        <f>BASE_EQUIPOS!D4395</f>
        <v/>
      </c>
      <c r="E4395">
        <f>BASE_EQUIPOS!G4395</f>
        <v/>
      </c>
      <c r="F4395">
        <f>BASE_EQUIPOS!H4395</f>
        <v/>
      </c>
      <c r="G4395">
        <f>BASE_EQUIPOS!M4395</f>
        <v/>
      </c>
    </row>
    <row r="4396">
      <c r="A4396">
        <f>TRIM(BASE_EQUIPOS!N4396)</f>
        <v/>
      </c>
      <c r="B4396">
        <f>BASE_EQUIPOS!A4396</f>
        <v/>
      </c>
      <c r="C4396">
        <f>BASE_EQUIPOS!B4396</f>
        <v/>
      </c>
      <c r="D4396">
        <f>BASE_EQUIPOS!D4396</f>
        <v/>
      </c>
      <c r="E4396">
        <f>BASE_EQUIPOS!G4396</f>
        <v/>
      </c>
      <c r="F4396">
        <f>BASE_EQUIPOS!H4396</f>
        <v/>
      </c>
      <c r="G4396">
        <f>BASE_EQUIPOS!M4396</f>
        <v/>
      </c>
    </row>
    <row r="4397">
      <c r="A4397">
        <f>TRIM(BASE_EQUIPOS!N4397)</f>
        <v/>
      </c>
      <c r="B4397">
        <f>BASE_EQUIPOS!A4397</f>
        <v/>
      </c>
      <c r="C4397">
        <f>BASE_EQUIPOS!B4397</f>
        <v/>
      </c>
      <c r="D4397">
        <f>BASE_EQUIPOS!D4397</f>
        <v/>
      </c>
      <c r="E4397">
        <f>BASE_EQUIPOS!G4397</f>
        <v/>
      </c>
      <c r="F4397">
        <f>BASE_EQUIPOS!H4397</f>
        <v/>
      </c>
      <c r="G4397">
        <f>BASE_EQUIPOS!M4397</f>
        <v/>
      </c>
    </row>
    <row r="4398">
      <c r="A4398">
        <f>TRIM(BASE_EQUIPOS!N4398)</f>
        <v/>
      </c>
      <c r="B4398">
        <f>BASE_EQUIPOS!A4398</f>
        <v/>
      </c>
      <c r="C4398">
        <f>BASE_EQUIPOS!B4398</f>
        <v/>
      </c>
      <c r="D4398">
        <f>BASE_EQUIPOS!D4398</f>
        <v/>
      </c>
      <c r="E4398">
        <f>BASE_EQUIPOS!G4398</f>
        <v/>
      </c>
      <c r="F4398">
        <f>BASE_EQUIPOS!H4398</f>
        <v/>
      </c>
      <c r="G4398">
        <f>BASE_EQUIPOS!M4398</f>
        <v/>
      </c>
    </row>
    <row r="4399">
      <c r="A4399">
        <f>TRIM(BASE_EQUIPOS!N4399)</f>
        <v/>
      </c>
      <c r="B4399">
        <f>BASE_EQUIPOS!A4399</f>
        <v/>
      </c>
      <c r="C4399">
        <f>BASE_EQUIPOS!B4399</f>
        <v/>
      </c>
      <c r="D4399">
        <f>BASE_EQUIPOS!D4399</f>
        <v/>
      </c>
      <c r="E4399">
        <f>BASE_EQUIPOS!G4399</f>
        <v/>
      </c>
      <c r="F4399">
        <f>BASE_EQUIPOS!H4399</f>
        <v/>
      </c>
      <c r="G4399">
        <f>BASE_EQUIPOS!M4399</f>
        <v/>
      </c>
    </row>
    <row r="4400">
      <c r="A4400">
        <f>TRIM(BASE_EQUIPOS!N4400)</f>
        <v/>
      </c>
      <c r="B4400">
        <f>BASE_EQUIPOS!A4400</f>
        <v/>
      </c>
      <c r="C4400">
        <f>BASE_EQUIPOS!B4400</f>
        <v/>
      </c>
      <c r="D4400">
        <f>BASE_EQUIPOS!D4400</f>
        <v/>
      </c>
      <c r="E4400">
        <f>BASE_EQUIPOS!G4400</f>
        <v/>
      </c>
      <c r="F4400">
        <f>BASE_EQUIPOS!H4400</f>
        <v/>
      </c>
      <c r="G4400">
        <f>BASE_EQUIPOS!M4400</f>
        <v/>
      </c>
    </row>
    <row r="4401">
      <c r="A4401">
        <f>TRIM(BASE_EQUIPOS!N4401)</f>
        <v/>
      </c>
      <c r="B4401">
        <f>BASE_EQUIPOS!A4401</f>
        <v/>
      </c>
      <c r="C4401">
        <f>BASE_EQUIPOS!B4401</f>
        <v/>
      </c>
      <c r="D4401">
        <f>BASE_EQUIPOS!D4401</f>
        <v/>
      </c>
      <c r="E4401">
        <f>BASE_EQUIPOS!G4401</f>
        <v/>
      </c>
      <c r="F4401">
        <f>BASE_EQUIPOS!H4401</f>
        <v/>
      </c>
      <c r="G4401">
        <f>BASE_EQUIPOS!M4401</f>
        <v/>
      </c>
    </row>
    <row r="4402">
      <c r="A4402">
        <f>TRIM(BASE_EQUIPOS!N4402)</f>
        <v/>
      </c>
      <c r="B4402">
        <f>BASE_EQUIPOS!A4402</f>
        <v/>
      </c>
      <c r="C4402">
        <f>BASE_EQUIPOS!B4402</f>
        <v/>
      </c>
      <c r="D4402">
        <f>BASE_EQUIPOS!D4402</f>
        <v/>
      </c>
      <c r="E4402">
        <f>BASE_EQUIPOS!G4402</f>
        <v/>
      </c>
      <c r="F4402">
        <f>BASE_EQUIPOS!H4402</f>
        <v/>
      </c>
      <c r="G4402">
        <f>BASE_EQUIPOS!M4402</f>
        <v/>
      </c>
    </row>
    <row r="4403">
      <c r="A4403">
        <f>TRIM(BASE_EQUIPOS!N4403)</f>
        <v/>
      </c>
      <c r="B4403">
        <f>BASE_EQUIPOS!A4403</f>
        <v/>
      </c>
      <c r="C4403">
        <f>BASE_EQUIPOS!B4403</f>
        <v/>
      </c>
      <c r="D4403">
        <f>BASE_EQUIPOS!D4403</f>
        <v/>
      </c>
      <c r="E4403">
        <f>BASE_EQUIPOS!G4403</f>
        <v/>
      </c>
      <c r="F4403">
        <f>BASE_EQUIPOS!H4403</f>
        <v/>
      </c>
      <c r="G4403">
        <f>BASE_EQUIPOS!M4403</f>
        <v/>
      </c>
    </row>
    <row r="4404">
      <c r="A4404">
        <f>TRIM(BASE_EQUIPOS!N4404)</f>
        <v/>
      </c>
      <c r="B4404">
        <f>BASE_EQUIPOS!A4404</f>
        <v/>
      </c>
      <c r="C4404">
        <f>BASE_EQUIPOS!B4404</f>
        <v/>
      </c>
      <c r="D4404">
        <f>BASE_EQUIPOS!D4404</f>
        <v/>
      </c>
      <c r="E4404">
        <f>BASE_EQUIPOS!G4404</f>
        <v/>
      </c>
      <c r="F4404">
        <f>BASE_EQUIPOS!H4404</f>
        <v/>
      </c>
      <c r="G4404">
        <f>BASE_EQUIPOS!M4404</f>
        <v/>
      </c>
    </row>
    <row r="4405">
      <c r="A4405">
        <f>TRIM(BASE_EQUIPOS!N4405)</f>
        <v/>
      </c>
      <c r="B4405">
        <f>BASE_EQUIPOS!A4405</f>
        <v/>
      </c>
      <c r="C4405">
        <f>BASE_EQUIPOS!B4405</f>
        <v/>
      </c>
      <c r="D4405">
        <f>BASE_EQUIPOS!D4405</f>
        <v/>
      </c>
      <c r="E4405">
        <f>BASE_EQUIPOS!G4405</f>
        <v/>
      </c>
      <c r="F4405">
        <f>BASE_EQUIPOS!H4405</f>
        <v/>
      </c>
      <c r="G4405">
        <f>BASE_EQUIPOS!M4405</f>
        <v/>
      </c>
    </row>
    <row r="4406">
      <c r="A4406">
        <f>TRIM(BASE_EQUIPOS!N4406)</f>
        <v/>
      </c>
      <c r="B4406">
        <f>BASE_EQUIPOS!A4406</f>
        <v/>
      </c>
      <c r="C4406">
        <f>BASE_EQUIPOS!B4406</f>
        <v/>
      </c>
      <c r="D4406">
        <f>BASE_EQUIPOS!D4406</f>
        <v/>
      </c>
      <c r="E4406">
        <f>BASE_EQUIPOS!G4406</f>
        <v/>
      </c>
      <c r="F4406">
        <f>BASE_EQUIPOS!H4406</f>
        <v/>
      </c>
      <c r="G4406">
        <f>BASE_EQUIPOS!M4406</f>
        <v/>
      </c>
    </row>
    <row r="4407">
      <c r="A4407">
        <f>TRIM(BASE_EQUIPOS!N4407)</f>
        <v/>
      </c>
      <c r="B4407">
        <f>BASE_EQUIPOS!A4407</f>
        <v/>
      </c>
      <c r="C4407">
        <f>BASE_EQUIPOS!B4407</f>
        <v/>
      </c>
      <c r="D4407">
        <f>BASE_EQUIPOS!D4407</f>
        <v/>
      </c>
      <c r="E4407">
        <f>BASE_EQUIPOS!G4407</f>
        <v/>
      </c>
      <c r="F4407">
        <f>BASE_EQUIPOS!H4407</f>
        <v/>
      </c>
      <c r="G4407">
        <f>BASE_EQUIPOS!M4407</f>
        <v/>
      </c>
    </row>
    <row r="4408">
      <c r="A4408">
        <f>TRIM(BASE_EQUIPOS!N4408)</f>
        <v/>
      </c>
      <c r="B4408">
        <f>BASE_EQUIPOS!A4408</f>
        <v/>
      </c>
      <c r="C4408">
        <f>BASE_EQUIPOS!B4408</f>
        <v/>
      </c>
      <c r="D4408">
        <f>BASE_EQUIPOS!D4408</f>
        <v/>
      </c>
      <c r="E4408">
        <f>BASE_EQUIPOS!G4408</f>
        <v/>
      </c>
      <c r="F4408">
        <f>BASE_EQUIPOS!H4408</f>
        <v/>
      </c>
      <c r="G4408">
        <f>BASE_EQUIPOS!M4408</f>
        <v/>
      </c>
    </row>
    <row r="4409">
      <c r="A4409">
        <f>TRIM(BASE_EQUIPOS!N4409)</f>
        <v/>
      </c>
      <c r="B4409">
        <f>BASE_EQUIPOS!A4409</f>
        <v/>
      </c>
      <c r="C4409">
        <f>BASE_EQUIPOS!B4409</f>
        <v/>
      </c>
      <c r="D4409">
        <f>BASE_EQUIPOS!D4409</f>
        <v/>
      </c>
      <c r="E4409">
        <f>BASE_EQUIPOS!G4409</f>
        <v/>
      </c>
      <c r="F4409">
        <f>BASE_EQUIPOS!H4409</f>
        <v/>
      </c>
      <c r="G4409">
        <f>BASE_EQUIPOS!M4409</f>
        <v/>
      </c>
    </row>
    <row r="4410">
      <c r="A4410">
        <f>TRIM(BASE_EQUIPOS!N4410)</f>
        <v/>
      </c>
      <c r="B4410">
        <f>BASE_EQUIPOS!A4410</f>
        <v/>
      </c>
      <c r="C4410">
        <f>BASE_EQUIPOS!B4410</f>
        <v/>
      </c>
      <c r="D4410">
        <f>BASE_EQUIPOS!D4410</f>
        <v/>
      </c>
      <c r="E4410">
        <f>BASE_EQUIPOS!G4410</f>
        <v/>
      </c>
      <c r="F4410">
        <f>BASE_EQUIPOS!H4410</f>
        <v/>
      </c>
      <c r="G4410">
        <f>BASE_EQUIPOS!M4410</f>
        <v/>
      </c>
    </row>
    <row r="4411">
      <c r="A4411">
        <f>TRIM(BASE_EQUIPOS!N4411)</f>
        <v/>
      </c>
      <c r="B4411">
        <f>BASE_EQUIPOS!A4411</f>
        <v/>
      </c>
      <c r="C4411">
        <f>BASE_EQUIPOS!B4411</f>
        <v/>
      </c>
      <c r="D4411">
        <f>BASE_EQUIPOS!D4411</f>
        <v/>
      </c>
      <c r="E4411">
        <f>BASE_EQUIPOS!G4411</f>
        <v/>
      </c>
      <c r="F4411">
        <f>BASE_EQUIPOS!H4411</f>
        <v/>
      </c>
      <c r="G4411">
        <f>BASE_EQUIPOS!M4411</f>
        <v/>
      </c>
    </row>
    <row r="4412">
      <c r="A4412">
        <f>TRIM(BASE_EQUIPOS!N4412)</f>
        <v/>
      </c>
      <c r="B4412">
        <f>BASE_EQUIPOS!A4412</f>
        <v/>
      </c>
      <c r="C4412">
        <f>BASE_EQUIPOS!B4412</f>
        <v/>
      </c>
      <c r="D4412">
        <f>BASE_EQUIPOS!D4412</f>
        <v/>
      </c>
      <c r="E4412">
        <f>BASE_EQUIPOS!G4412</f>
        <v/>
      </c>
      <c r="F4412">
        <f>BASE_EQUIPOS!H4412</f>
        <v/>
      </c>
      <c r="G4412">
        <f>BASE_EQUIPOS!M4412</f>
        <v/>
      </c>
    </row>
    <row r="4413">
      <c r="A4413">
        <f>TRIM(BASE_EQUIPOS!N4413)</f>
        <v/>
      </c>
      <c r="B4413">
        <f>BASE_EQUIPOS!A4413</f>
        <v/>
      </c>
      <c r="C4413">
        <f>BASE_EQUIPOS!B4413</f>
        <v/>
      </c>
      <c r="D4413">
        <f>BASE_EQUIPOS!D4413</f>
        <v/>
      </c>
      <c r="E4413">
        <f>BASE_EQUIPOS!G4413</f>
        <v/>
      </c>
      <c r="F4413">
        <f>BASE_EQUIPOS!H4413</f>
        <v/>
      </c>
      <c r="G4413">
        <f>BASE_EQUIPOS!M4413</f>
        <v/>
      </c>
    </row>
    <row r="4414">
      <c r="A4414">
        <f>TRIM(BASE_EQUIPOS!N4414)</f>
        <v/>
      </c>
      <c r="B4414">
        <f>BASE_EQUIPOS!A4414</f>
        <v/>
      </c>
      <c r="C4414">
        <f>BASE_EQUIPOS!B4414</f>
        <v/>
      </c>
      <c r="D4414">
        <f>BASE_EQUIPOS!D4414</f>
        <v/>
      </c>
      <c r="E4414">
        <f>BASE_EQUIPOS!G4414</f>
        <v/>
      </c>
      <c r="F4414">
        <f>BASE_EQUIPOS!H4414</f>
        <v/>
      </c>
      <c r="G4414">
        <f>BASE_EQUIPOS!M4414</f>
        <v/>
      </c>
    </row>
    <row r="4415">
      <c r="A4415">
        <f>TRIM(BASE_EQUIPOS!N4415)</f>
        <v/>
      </c>
      <c r="B4415">
        <f>BASE_EQUIPOS!A4415</f>
        <v/>
      </c>
      <c r="C4415">
        <f>BASE_EQUIPOS!B4415</f>
        <v/>
      </c>
      <c r="D4415">
        <f>BASE_EQUIPOS!D4415</f>
        <v/>
      </c>
      <c r="E4415">
        <f>BASE_EQUIPOS!G4415</f>
        <v/>
      </c>
      <c r="F4415">
        <f>BASE_EQUIPOS!H4415</f>
        <v/>
      </c>
      <c r="G4415">
        <f>BASE_EQUIPOS!M4415</f>
        <v/>
      </c>
    </row>
    <row r="4416">
      <c r="A4416">
        <f>TRIM(BASE_EQUIPOS!N4416)</f>
        <v/>
      </c>
      <c r="B4416">
        <f>BASE_EQUIPOS!A4416</f>
        <v/>
      </c>
      <c r="C4416">
        <f>BASE_EQUIPOS!B4416</f>
        <v/>
      </c>
      <c r="D4416">
        <f>BASE_EQUIPOS!D4416</f>
        <v/>
      </c>
      <c r="E4416">
        <f>BASE_EQUIPOS!G4416</f>
        <v/>
      </c>
      <c r="F4416">
        <f>BASE_EQUIPOS!H4416</f>
        <v/>
      </c>
      <c r="G4416">
        <f>BASE_EQUIPOS!M4416</f>
        <v/>
      </c>
    </row>
    <row r="4417">
      <c r="A4417">
        <f>TRIM(BASE_EQUIPOS!N4417)</f>
        <v/>
      </c>
      <c r="B4417">
        <f>BASE_EQUIPOS!A4417</f>
        <v/>
      </c>
      <c r="C4417">
        <f>BASE_EQUIPOS!B4417</f>
        <v/>
      </c>
      <c r="D4417">
        <f>BASE_EQUIPOS!D4417</f>
        <v/>
      </c>
      <c r="E4417">
        <f>BASE_EQUIPOS!G4417</f>
        <v/>
      </c>
      <c r="F4417">
        <f>BASE_EQUIPOS!H4417</f>
        <v/>
      </c>
      <c r="G4417">
        <f>BASE_EQUIPOS!M4417</f>
        <v/>
      </c>
    </row>
    <row r="4418">
      <c r="A4418">
        <f>TRIM(BASE_EQUIPOS!N4418)</f>
        <v/>
      </c>
      <c r="B4418">
        <f>BASE_EQUIPOS!A4418</f>
        <v/>
      </c>
      <c r="C4418">
        <f>BASE_EQUIPOS!B4418</f>
        <v/>
      </c>
      <c r="D4418">
        <f>BASE_EQUIPOS!D4418</f>
        <v/>
      </c>
      <c r="E4418">
        <f>BASE_EQUIPOS!G4418</f>
        <v/>
      </c>
      <c r="F4418">
        <f>BASE_EQUIPOS!H4418</f>
        <v/>
      </c>
      <c r="G4418">
        <f>BASE_EQUIPOS!M4418</f>
        <v/>
      </c>
    </row>
    <row r="4419">
      <c r="A4419">
        <f>TRIM(BASE_EQUIPOS!N4419)</f>
        <v/>
      </c>
      <c r="B4419">
        <f>BASE_EQUIPOS!A4419</f>
        <v/>
      </c>
      <c r="C4419">
        <f>BASE_EQUIPOS!B4419</f>
        <v/>
      </c>
      <c r="D4419">
        <f>BASE_EQUIPOS!D4419</f>
        <v/>
      </c>
      <c r="E4419">
        <f>BASE_EQUIPOS!G4419</f>
        <v/>
      </c>
      <c r="F4419">
        <f>BASE_EQUIPOS!H4419</f>
        <v/>
      </c>
      <c r="G4419">
        <f>BASE_EQUIPOS!M4419</f>
        <v/>
      </c>
    </row>
    <row r="4420">
      <c r="A4420">
        <f>TRIM(BASE_EQUIPOS!N4420)</f>
        <v/>
      </c>
      <c r="B4420">
        <f>BASE_EQUIPOS!A4420</f>
        <v/>
      </c>
      <c r="C4420">
        <f>BASE_EQUIPOS!B4420</f>
        <v/>
      </c>
      <c r="D4420">
        <f>BASE_EQUIPOS!D4420</f>
        <v/>
      </c>
      <c r="E4420">
        <f>BASE_EQUIPOS!G4420</f>
        <v/>
      </c>
      <c r="F4420">
        <f>BASE_EQUIPOS!H4420</f>
        <v/>
      </c>
      <c r="G4420">
        <f>BASE_EQUIPOS!M4420</f>
        <v/>
      </c>
    </row>
    <row r="4421">
      <c r="A4421">
        <f>TRIM(BASE_EQUIPOS!N4421)</f>
        <v/>
      </c>
      <c r="B4421">
        <f>BASE_EQUIPOS!A4421</f>
        <v/>
      </c>
      <c r="C4421">
        <f>BASE_EQUIPOS!B4421</f>
        <v/>
      </c>
      <c r="D4421">
        <f>BASE_EQUIPOS!D4421</f>
        <v/>
      </c>
      <c r="E4421">
        <f>BASE_EQUIPOS!G4421</f>
        <v/>
      </c>
      <c r="F4421">
        <f>BASE_EQUIPOS!H4421</f>
        <v/>
      </c>
      <c r="G4421">
        <f>BASE_EQUIPOS!M4421</f>
        <v/>
      </c>
    </row>
    <row r="4422">
      <c r="A4422">
        <f>TRIM(BASE_EQUIPOS!N4422)</f>
        <v/>
      </c>
      <c r="B4422">
        <f>BASE_EQUIPOS!A4422</f>
        <v/>
      </c>
      <c r="C4422">
        <f>BASE_EQUIPOS!B4422</f>
        <v/>
      </c>
      <c r="D4422">
        <f>BASE_EQUIPOS!D4422</f>
        <v/>
      </c>
      <c r="E4422">
        <f>BASE_EQUIPOS!G4422</f>
        <v/>
      </c>
      <c r="F4422">
        <f>BASE_EQUIPOS!H4422</f>
        <v/>
      </c>
      <c r="G4422">
        <f>BASE_EQUIPOS!M4422</f>
        <v/>
      </c>
    </row>
    <row r="4423">
      <c r="A4423">
        <f>TRIM(BASE_EQUIPOS!N4423)</f>
        <v/>
      </c>
      <c r="B4423">
        <f>BASE_EQUIPOS!A4423</f>
        <v/>
      </c>
      <c r="C4423">
        <f>BASE_EQUIPOS!B4423</f>
        <v/>
      </c>
      <c r="D4423">
        <f>BASE_EQUIPOS!D4423</f>
        <v/>
      </c>
      <c r="E4423">
        <f>BASE_EQUIPOS!G4423</f>
        <v/>
      </c>
      <c r="F4423">
        <f>BASE_EQUIPOS!H4423</f>
        <v/>
      </c>
      <c r="G4423">
        <f>BASE_EQUIPOS!M4423</f>
        <v/>
      </c>
    </row>
    <row r="4424">
      <c r="A4424">
        <f>TRIM(BASE_EQUIPOS!N4424)</f>
        <v/>
      </c>
      <c r="B4424">
        <f>BASE_EQUIPOS!A4424</f>
        <v/>
      </c>
      <c r="C4424">
        <f>BASE_EQUIPOS!B4424</f>
        <v/>
      </c>
      <c r="D4424">
        <f>BASE_EQUIPOS!D4424</f>
        <v/>
      </c>
      <c r="E4424">
        <f>BASE_EQUIPOS!G4424</f>
        <v/>
      </c>
      <c r="F4424">
        <f>BASE_EQUIPOS!H4424</f>
        <v/>
      </c>
      <c r="G4424">
        <f>BASE_EQUIPOS!M4424</f>
        <v/>
      </c>
    </row>
    <row r="4425">
      <c r="A4425">
        <f>TRIM(BASE_EQUIPOS!N4425)</f>
        <v/>
      </c>
      <c r="B4425">
        <f>BASE_EQUIPOS!A4425</f>
        <v/>
      </c>
      <c r="C4425">
        <f>BASE_EQUIPOS!B4425</f>
        <v/>
      </c>
      <c r="D4425">
        <f>BASE_EQUIPOS!D4425</f>
        <v/>
      </c>
      <c r="E4425">
        <f>BASE_EQUIPOS!G4425</f>
        <v/>
      </c>
      <c r="F4425">
        <f>BASE_EQUIPOS!H4425</f>
        <v/>
      </c>
      <c r="G4425">
        <f>BASE_EQUIPOS!M4425</f>
        <v/>
      </c>
    </row>
    <row r="4426">
      <c r="A4426">
        <f>TRIM(BASE_EQUIPOS!N4426)</f>
        <v/>
      </c>
      <c r="B4426">
        <f>BASE_EQUIPOS!A4426</f>
        <v/>
      </c>
      <c r="C4426">
        <f>BASE_EQUIPOS!B4426</f>
        <v/>
      </c>
      <c r="D4426">
        <f>BASE_EQUIPOS!D4426</f>
        <v/>
      </c>
      <c r="E4426">
        <f>BASE_EQUIPOS!G4426</f>
        <v/>
      </c>
      <c r="F4426">
        <f>BASE_EQUIPOS!H4426</f>
        <v/>
      </c>
      <c r="G4426">
        <f>BASE_EQUIPOS!M4426</f>
        <v/>
      </c>
    </row>
    <row r="4427">
      <c r="A4427">
        <f>TRIM(BASE_EQUIPOS!N4427)</f>
        <v/>
      </c>
      <c r="B4427">
        <f>BASE_EQUIPOS!A4427</f>
        <v/>
      </c>
      <c r="C4427">
        <f>BASE_EQUIPOS!B4427</f>
        <v/>
      </c>
      <c r="D4427">
        <f>BASE_EQUIPOS!D4427</f>
        <v/>
      </c>
      <c r="E4427">
        <f>BASE_EQUIPOS!G4427</f>
        <v/>
      </c>
      <c r="F4427">
        <f>BASE_EQUIPOS!H4427</f>
        <v/>
      </c>
      <c r="G4427">
        <f>BASE_EQUIPOS!M4427</f>
        <v/>
      </c>
    </row>
    <row r="4428">
      <c r="A4428">
        <f>TRIM(BASE_EQUIPOS!N4428)</f>
        <v/>
      </c>
      <c r="B4428">
        <f>BASE_EQUIPOS!A4428</f>
        <v/>
      </c>
      <c r="C4428">
        <f>BASE_EQUIPOS!B4428</f>
        <v/>
      </c>
      <c r="D4428">
        <f>BASE_EQUIPOS!D4428</f>
        <v/>
      </c>
      <c r="E4428">
        <f>BASE_EQUIPOS!G4428</f>
        <v/>
      </c>
      <c r="F4428">
        <f>BASE_EQUIPOS!H4428</f>
        <v/>
      </c>
      <c r="G4428">
        <f>BASE_EQUIPOS!M4428</f>
        <v/>
      </c>
    </row>
    <row r="4429">
      <c r="A4429">
        <f>TRIM(BASE_EQUIPOS!N4429)</f>
        <v/>
      </c>
      <c r="B4429">
        <f>BASE_EQUIPOS!A4429</f>
        <v/>
      </c>
      <c r="C4429">
        <f>BASE_EQUIPOS!B4429</f>
        <v/>
      </c>
      <c r="D4429">
        <f>BASE_EQUIPOS!D4429</f>
        <v/>
      </c>
      <c r="E4429">
        <f>BASE_EQUIPOS!G4429</f>
        <v/>
      </c>
      <c r="F4429">
        <f>BASE_EQUIPOS!H4429</f>
        <v/>
      </c>
      <c r="G4429">
        <f>BASE_EQUIPOS!M4429</f>
        <v/>
      </c>
    </row>
    <row r="4430">
      <c r="A4430">
        <f>TRIM(BASE_EQUIPOS!N4430)</f>
        <v/>
      </c>
      <c r="B4430">
        <f>BASE_EQUIPOS!A4430</f>
        <v/>
      </c>
      <c r="C4430">
        <f>BASE_EQUIPOS!B4430</f>
        <v/>
      </c>
      <c r="D4430">
        <f>BASE_EQUIPOS!D4430</f>
        <v/>
      </c>
      <c r="E4430">
        <f>BASE_EQUIPOS!G4430</f>
        <v/>
      </c>
      <c r="F4430">
        <f>BASE_EQUIPOS!H4430</f>
        <v/>
      </c>
      <c r="G4430">
        <f>BASE_EQUIPOS!M4430</f>
        <v/>
      </c>
    </row>
    <row r="4431">
      <c r="A4431">
        <f>TRIM(BASE_EQUIPOS!N4431)</f>
        <v/>
      </c>
      <c r="B4431">
        <f>BASE_EQUIPOS!A4431</f>
        <v/>
      </c>
      <c r="C4431">
        <f>BASE_EQUIPOS!B4431</f>
        <v/>
      </c>
      <c r="D4431">
        <f>BASE_EQUIPOS!D4431</f>
        <v/>
      </c>
      <c r="E4431">
        <f>BASE_EQUIPOS!G4431</f>
        <v/>
      </c>
      <c r="F4431">
        <f>BASE_EQUIPOS!H4431</f>
        <v/>
      </c>
      <c r="G4431">
        <f>BASE_EQUIPOS!M4431</f>
        <v/>
      </c>
    </row>
    <row r="4432">
      <c r="A4432">
        <f>TRIM(BASE_EQUIPOS!N4432)</f>
        <v/>
      </c>
      <c r="B4432">
        <f>BASE_EQUIPOS!A4432</f>
        <v/>
      </c>
      <c r="C4432">
        <f>BASE_EQUIPOS!B4432</f>
        <v/>
      </c>
      <c r="D4432">
        <f>BASE_EQUIPOS!D4432</f>
        <v/>
      </c>
      <c r="E4432">
        <f>BASE_EQUIPOS!G4432</f>
        <v/>
      </c>
      <c r="F4432">
        <f>BASE_EQUIPOS!H4432</f>
        <v/>
      </c>
      <c r="G4432">
        <f>BASE_EQUIPOS!M4432</f>
        <v/>
      </c>
    </row>
    <row r="4433">
      <c r="A4433">
        <f>TRIM(BASE_EQUIPOS!N4433)</f>
        <v/>
      </c>
      <c r="B4433">
        <f>BASE_EQUIPOS!A4433</f>
        <v/>
      </c>
      <c r="C4433">
        <f>BASE_EQUIPOS!B4433</f>
        <v/>
      </c>
      <c r="D4433">
        <f>BASE_EQUIPOS!D4433</f>
        <v/>
      </c>
      <c r="E4433">
        <f>BASE_EQUIPOS!G4433</f>
        <v/>
      </c>
      <c r="F4433">
        <f>BASE_EQUIPOS!H4433</f>
        <v/>
      </c>
      <c r="G4433">
        <f>BASE_EQUIPOS!M4433</f>
        <v/>
      </c>
    </row>
    <row r="4434">
      <c r="A4434">
        <f>TRIM(BASE_EQUIPOS!N4434)</f>
        <v/>
      </c>
      <c r="B4434">
        <f>BASE_EQUIPOS!A4434</f>
        <v/>
      </c>
      <c r="C4434">
        <f>BASE_EQUIPOS!B4434</f>
        <v/>
      </c>
      <c r="D4434">
        <f>BASE_EQUIPOS!D4434</f>
        <v/>
      </c>
      <c r="E4434">
        <f>BASE_EQUIPOS!G4434</f>
        <v/>
      </c>
      <c r="F4434">
        <f>BASE_EQUIPOS!H4434</f>
        <v/>
      </c>
      <c r="G4434">
        <f>BASE_EQUIPOS!M4434</f>
        <v/>
      </c>
    </row>
    <row r="4435">
      <c r="A4435">
        <f>TRIM(BASE_EQUIPOS!N4435)</f>
        <v/>
      </c>
      <c r="B4435">
        <f>BASE_EQUIPOS!A4435</f>
        <v/>
      </c>
      <c r="C4435">
        <f>BASE_EQUIPOS!B4435</f>
        <v/>
      </c>
      <c r="D4435">
        <f>BASE_EQUIPOS!D4435</f>
        <v/>
      </c>
      <c r="E4435">
        <f>BASE_EQUIPOS!G4435</f>
        <v/>
      </c>
      <c r="F4435">
        <f>BASE_EQUIPOS!H4435</f>
        <v/>
      </c>
      <c r="G4435">
        <f>BASE_EQUIPOS!M4435</f>
        <v/>
      </c>
    </row>
    <row r="4436">
      <c r="A4436">
        <f>TRIM(BASE_EQUIPOS!N4436)</f>
        <v/>
      </c>
      <c r="B4436">
        <f>BASE_EQUIPOS!A4436</f>
        <v/>
      </c>
      <c r="C4436">
        <f>BASE_EQUIPOS!B4436</f>
        <v/>
      </c>
      <c r="D4436">
        <f>BASE_EQUIPOS!D4436</f>
        <v/>
      </c>
      <c r="E4436">
        <f>BASE_EQUIPOS!G4436</f>
        <v/>
      </c>
      <c r="F4436">
        <f>BASE_EQUIPOS!H4436</f>
        <v/>
      </c>
      <c r="G4436">
        <f>BASE_EQUIPOS!M4436</f>
        <v/>
      </c>
    </row>
    <row r="4437">
      <c r="A4437">
        <f>TRIM(BASE_EQUIPOS!N4437)</f>
        <v/>
      </c>
      <c r="B4437">
        <f>BASE_EQUIPOS!A4437</f>
        <v/>
      </c>
      <c r="C4437">
        <f>BASE_EQUIPOS!B4437</f>
        <v/>
      </c>
      <c r="D4437">
        <f>BASE_EQUIPOS!D4437</f>
        <v/>
      </c>
      <c r="E4437">
        <f>BASE_EQUIPOS!G4437</f>
        <v/>
      </c>
      <c r="F4437">
        <f>BASE_EQUIPOS!H4437</f>
        <v/>
      </c>
      <c r="G4437">
        <f>BASE_EQUIPOS!M4437</f>
        <v/>
      </c>
    </row>
    <row r="4438">
      <c r="A4438">
        <f>TRIM(BASE_EQUIPOS!N4438)</f>
        <v/>
      </c>
      <c r="B4438">
        <f>BASE_EQUIPOS!A4438</f>
        <v/>
      </c>
      <c r="C4438">
        <f>BASE_EQUIPOS!B4438</f>
        <v/>
      </c>
      <c r="D4438">
        <f>BASE_EQUIPOS!D4438</f>
        <v/>
      </c>
      <c r="E4438">
        <f>BASE_EQUIPOS!G4438</f>
        <v/>
      </c>
      <c r="F4438">
        <f>BASE_EQUIPOS!H4438</f>
        <v/>
      </c>
      <c r="G4438">
        <f>BASE_EQUIPOS!M4438</f>
        <v/>
      </c>
    </row>
    <row r="4439">
      <c r="A4439">
        <f>TRIM(BASE_EQUIPOS!N4439)</f>
        <v/>
      </c>
      <c r="B4439">
        <f>BASE_EQUIPOS!A4439</f>
        <v/>
      </c>
      <c r="C4439">
        <f>BASE_EQUIPOS!B4439</f>
        <v/>
      </c>
      <c r="D4439">
        <f>BASE_EQUIPOS!D4439</f>
        <v/>
      </c>
      <c r="E4439">
        <f>BASE_EQUIPOS!G4439</f>
        <v/>
      </c>
      <c r="F4439">
        <f>BASE_EQUIPOS!H4439</f>
        <v/>
      </c>
      <c r="G4439">
        <f>BASE_EQUIPOS!M4439</f>
        <v/>
      </c>
    </row>
    <row r="4440">
      <c r="A4440">
        <f>TRIM(BASE_EQUIPOS!N4440)</f>
        <v/>
      </c>
      <c r="B4440">
        <f>BASE_EQUIPOS!A4440</f>
        <v/>
      </c>
      <c r="C4440">
        <f>BASE_EQUIPOS!B4440</f>
        <v/>
      </c>
      <c r="D4440">
        <f>BASE_EQUIPOS!D4440</f>
        <v/>
      </c>
      <c r="E4440">
        <f>BASE_EQUIPOS!G4440</f>
        <v/>
      </c>
      <c r="F4440">
        <f>BASE_EQUIPOS!H4440</f>
        <v/>
      </c>
      <c r="G4440">
        <f>BASE_EQUIPOS!M4440</f>
        <v/>
      </c>
    </row>
    <row r="4441">
      <c r="A4441">
        <f>TRIM(BASE_EQUIPOS!N4441)</f>
        <v/>
      </c>
      <c r="B4441">
        <f>BASE_EQUIPOS!A4441</f>
        <v/>
      </c>
      <c r="C4441">
        <f>BASE_EQUIPOS!B4441</f>
        <v/>
      </c>
      <c r="D4441">
        <f>BASE_EQUIPOS!D4441</f>
        <v/>
      </c>
      <c r="E4441">
        <f>BASE_EQUIPOS!G4441</f>
        <v/>
      </c>
      <c r="F4441">
        <f>BASE_EQUIPOS!H4441</f>
        <v/>
      </c>
      <c r="G4441">
        <f>BASE_EQUIPOS!M4441</f>
        <v/>
      </c>
    </row>
    <row r="4442">
      <c r="A4442">
        <f>TRIM(BASE_EQUIPOS!N4442)</f>
        <v/>
      </c>
      <c r="B4442">
        <f>BASE_EQUIPOS!A4442</f>
        <v/>
      </c>
      <c r="C4442">
        <f>BASE_EQUIPOS!B4442</f>
        <v/>
      </c>
      <c r="D4442">
        <f>BASE_EQUIPOS!D4442</f>
        <v/>
      </c>
      <c r="E4442">
        <f>BASE_EQUIPOS!G4442</f>
        <v/>
      </c>
      <c r="F4442">
        <f>BASE_EQUIPOS!H4442</f>
        <v/>
      </c>
      <c r="G4442">
        <f>BASE_EQUIPOS!M4442</f>
        <v/>
      </c>
    </row>
    <row r="4443">
      <c r="A4443">
        <f>TRIM(BASE_EQUIPOS!N4443)</f>
        <v/>
      </c>
      <c r="B4443">
        <f>BASE_EQUIPOS!A4443</f>
        <v/>
      </c>
      <c r="C4443">
        <f>BASE_EQUIPOS!B4443</f>
        <v/>
      </c>
      <c r="D4443">
        <f>BASE_EQUIPOS!D4443</f>
        <v/>
      </c>
      <c r="E4443">
        <f>BASE_EQUIPOS!G4443</f>
        <v/>
      </c>
      <c r="F4443">
        <f>BASE_EQUIPOS!H4443</f>
        <v/>
      </c>
      <c r="G4443">
        <f>BASE_EQUIPOS!M4443</f>
        <v/>
      </c>
    </row>
    <row r="4444">
      <c r="A4444">
        <f>TRIM(BASE_EQUIPOS!N4444)</f>
        <v/>
      </c>
      <c r="B4444">
        <f>BASE_EQUIPOS!A4444</f>
        <v/>
      </c>
      <c r="C4444">
        <f>BASE_EQUIPOS!B4444</f>
        <v/>
      </c>
      <c r="D4444">
        <f>BASE_EQUIPOS!D4444</f>
        <v/>
      </c>
      <c r="E4444">
        <f>BASE_EQUIPOS!G4444</f>
        <v/>
      </c>
      <c r="F4444">
        <f>BASE_EQUIPOS!H4444</f>
        <v/>
      </c>
      <c r="G4444">
        <f>BASE_EQUIPOS!M4444</f>
        <v/>
      </c>
    </row>
    <row r="4445">
      <c r="A4445">
        <f>TRIM(BASE_EQUIPOS!N4445)</f>
        <v/>
      </c>
      <c r="B4445">
        <f>BASE_EQUIPOS!A4445</f>
        <v/>
      </c>
      <c r="C4445">
        <f>BASE_EQUIPOS!B4445</f>
        <v/>
      </c>
      <c r="D4445">
        <f>BASE_EQUIPOS!D4445</f>
        <v/>
      </c>
      <c r="E4445">
        <f>BASE_EQUIPOS!G4445</f>
        <v/>
      </c>
      <c r="F4445">
        <f>BASE_EQUIPOS!H4445</f>
        <v/>
      </c>
      <c r="G4445">
        <f>BASE_EQUIPOS!M4445</f>
        <v/>
      </c>
    </row>
    <row r="4446">
      <c r="A4446">
        <f>TRIM(BASE_EQUIPOS!N4446)</f>
        <v/>
      </c>
      <c r="B4446">
        <f>BASE_EQUIPOS!A4446</f>
        <v/>
      </c>
      <c r="C4446">
        <f>BASE_EQUIPOS!B4446</f>
        <v/>
      </c>
      <c r="D4446">
        <f>BASE_EQUIPOS!D4446</f>
        <v/>
      </c>
      <c r="E4446">
        <f>BASE_EQUIPOS!G4446</f>
        <v/>
      </c>
      <c r="F4446">
        <f>BASE_EQUIPOS!H4446</f>
        <v/>
      </c>
      <c r="G4446">
        <f>BASE_EQUIPOS!M4446</f>
        <v/>
      </c>
    </row>
    <row r="4447">
      <c r="A4447">
        <f>TRIM(BASE_EQUIPOS!N4447)</f>
        <v/>
      </c>
      <c r="B4447">
        <f>BASE_EQUIPOS!A4447</f>
        <v/>
      </c>
      <c r="C4447">
        <f>BASE_EQUIPOS!B4447</f>
        <v/>
      </c>
      <c r="D4447">
        <f>BASE_EQUIPOS!D4447</f>
        <v/>
      </c>
      <c r="E4447">
        <f>BASE_EQUIPOS!G4447</f>
        <v/>
      </c>
      <c r="F4447">
        <f>BASE_EQUIPOS!H4447</f>
        <v/>
      </c>
      <c r="G4447">
        <f>BASE_EQUIPOS!M4447</f>
        <v/>
      </c>
    </row>
    <row r="4448">
      <c r="A4448">
        <f>TRIM(BASE_EQUIPOS!N4448)</f>
        <v/>
      </c>
      <c r="B4448">
        <f>BASE_EQUIPOS!A4448</f>
        <v/>
      </c>
      <c r="C4448">
        <f>BASE_EQUIPOS!B4448</f>
        <v/>
      </c>
      <c r="D4448">
        <f>BASE_EQUIPOS!D4448</f>
        <v/>
      </c>
      <c r="E4448">
        <f>BASE_EQUIPOS!G4448</f>
        <v/>
      </c>
      <c r="F4448">
        <f>BASE_EQUIPOS!H4448</f>
        <v/>
      </c>
      <c r="G4448">
        <f>BASE_EQUIPOS!M4448</f>
        <v/>
      </c>
    </row>
    <row r="4449">
      <c r="A4449">
        <f>TRIM(BASE_EQUIPOS!N4449)</f>
        <v/>
      </c>
      <c r="B4449">
        <f>BASE_EQUIPOS!A4449</f>
        <v/>
      </c>
      <c r="C4449">
        <f>BASE_EQUIPOS!B4449</f>
        <v/>
      </c>
      <c r="D4449">
        <f>BASE_EQUIPOS!D4449</f>
        <v/>
      </c>
      <c r="E4449">
        <f>BASE_EQUIPOS!G4449</f>
        <v/>
      </c>
      <c r="F4449">
        <f>BASE_EQUIPOS!H4449</f>
        <v/>
      </c>
      <c r="G4449">
        <f>BASE_EQUIPOS!M4449</f>
        <v/>
      </c>
    </row>
    <row r="4450">
      <c r="A4450">
        <f>TRIM(BASE_EQUIPOS!N4450)</f>
        <v/>
      </c>
      <c r="B4450">
        <f>BASE_EQUIPOS!A4450</f>
        <v/>
      </c>
      <c r="C4450">
        <f>BASE_EQUIPOS!B4450</f>
        <v/>
      </c>
      <c r="D4450">
        <f>BASE_EQUIPOS!D4450</f>
        <v/>
      </c>
      <c r="E4450">
        <f>BASE_EQUIPOS!G4450</f>
        <v/>
      </c>
      <c r="F4450">
        <f>BASE_EQUIPOS!H4450</f>
        <v/>
      </c>
      <c r="G4450">
        <f>BASE_EQUIPOS!M4450</f>
        <v/>
      </c>
    </row>
    <row r="4451">
      <c r="A4451">
        <f>TRIM(BASE_EQUIPOS!N4451)</f>
        <v/>
      </c>
      <c r="B4451">
        <f>BASE_EQUIPOS!A4451</f>
        <v/>
      </c>
      <c r="C4451">
        <f>BASE_EQUIPOS!B4451</f>
        <v/>
      </c>
      <c r="D4451">
        <f>BASE_EQUIPOS!D4451</f>
        <v/>
      </c>
      <c r="E4451">
        <f>BASE_EQUIPOS!G4451</f>
        <v/>
      </c>
      <c r="F4451">
        <f>BASE_EQUIPOS!H4451</f>
        <v/>
      </c>
      <c r="G4451">
        <f>BASE_EQUIPOS!M4451</f>
        <v/>
      </c>
    </row>
    <row r="4452">
      <c r="A4452">
        <f>TRIM(BASE_EQUIPOS!N4452)</f>
        <v/>
      </c>
      <c r="B4452">
        <f>BASE_EQUIPOS!A4452</f>
        <v/>
      </c>
      <c r="C4452">
        <f>BASE_EQUIPOS!B4452</f>
        <v/>
      </c>
      <c r="D4452">
        <f>BASE_EQUIPOS!D4452</f>
        <v/>
      </c>
      <c r="E4452">
        <f>BASE_EQUIPOS!G4452</f>
        <v/>
      </c>
      <c r="F4452">
        <f>BASE_EQUIPOS!H4452</f>
        <v/>
      </c>
      <c r="G4452">
        <f>BASE_EQUIPOS!M4452</f>
        <v/>
      </c>
    </row>
    <row r="4453">
      <c r="A4453">
        <f>TRIM(BASE_EQUIPOS!N4453)</f>
        <v/>
      </c>
      <c r="B4453">
        <f>BASE_EQUIPOS!A4453</f>
        <v/>
      </c>
      <c r="C4453">
        <f>BASE_EQUIPOS!B4453</f>
        <v/>
      </c>
      <c r="D4453">
        <f>BASE_EQUIPOS!D4453</f>
        <v/>
      </c>
      <c r="E4453">
        <f>BASE_EQUIPOS!G4453</f>
        <v/>
      </c>
      <c r="F4453">
        <f>BASE_EQUIPOS!H4453</f>
        <v/>
      </c>
      <c r="G4453">
        <f>BASE_EQUIPOS!M4453</f>
        <v/>
      </c>
    </row>
    <row r="4454">
      <c r="A4454">
        <f>TRIM(BASE_EQUIPOS!N4454)</f>
        <v/>
      </c>
      <c r="B4454">
        <f>BASE_EQUIPOS!A4454</f>
        <v/>
      </c>
      <c r="C4454">
        <f>BASE_EQUIPOS!B4454</f>
        <v/>
      </c>
      <c r="D4454">
        <f>BASE_EQUIPOS!D4454</f>
        <v/>
      </c>
      <c r="E4454">
        <f>BASE_EQUIPOS!G4454</f>
        <v/>
      </c>
      <c r="F4454">
        <f>BASE_EQUIPOS!H4454</f>
        <v/>
      </c>
      <c r="G4454">
        <f>BASE_EQUIPOS!M4454</f>
        <v/>
      </c>
    </row>
    <row r="4455">
      <c r="A4455">
        <f>TRIM(BASE_EQUIPOS!N4455)</f>
        <v/>
      </c>
      <c r="B4455">
        <f>BASE_EQUIPOS!A4455</f>
        <v/>
      </c>
      <c r="C4455">
        <f>BASE_EQUIPOS!B4455</f>
        <v/>
      </c>
      <c r="D4455">
        <f>BASE_EQUIPOS!D4455</f>
        <v/>
      </c>
      <c r="E4455">
        <f>BASE_EQUIPOS!G4455</f>
        <v/>
      </c>
      <c r="F4455">
        <f>BASE_EQUIPOS!H4455</f>
        <v/>
      </c>
      <c r="G4455">
        <f>BASE_EQUIPOS!M4455</f>
        <v/>
      </c>
    </row>
    <row r="4456">
      <c r="A4456">
        <f>TRIM(BASE_EQUIPOS!N4456)</f>
        <v/>
      </c>
      <c r="B4456">
        <f>BASE_EQUIPOS!A4456</f>
        <v/>
      </c>
      <c r="C4456">
        <f>BASE_EQUIPOS!B4456</f>
        <v/>
      </c>
      <c r="D4456">
        <f>BASE_EQUIPOS!D4456</f>
        <v/>
      </c>
      <c r="E4456">
        <f>BASE_EQUIPOS!G4456</f>
        <v/>
      </c>
      <c r="F4456">
        <f>BASE_EQUIPOS!H4456</f>
        <v/>
      </c>
      <c r="G4456">
        <f>BASE_EQUIPOS!M4456</f>
        <v/>
      </c>
    </row>
    <row r="4457">
      <c r="A4457">
        <f>TRIM(BASE_EQUIPOS!N4457)</f>
        <v/>
      </c>
      <c r="B4457">
        <f>BASE_EQUIPOS!A4457</f>
        <v/>
      </c>
      <c r="C4457">
        <f>BASE_EQUIPOS!B4457</f>
        <v/>
      </c>
      <c r="D4457">
        <f>BASE_EQUIPOS!D4457</f>
        <v/>
      </c>
      <c r="E4457">
        <f>BASE_EQUIPOS!G4457</f>
        <v/>
      </c>
      <c r="F4457">
        <f>BASE_EQUIPOS!H4457</f>
        <v/>
      </c>
      <c r="G4457">
        <f>BASE_EQUIPOS!M4457</f>
        <v/>
      </c>
    </row>
    <row r="4458">
      <c r="A4458">
        <f>TRIM(BASE_EQUIPOS!N4458)</f>
        <v/>
      </c>
      <c r="B4458">
        <f>BASE_EQUIPOS!A4458</f>
        <v/>
      </c>
      <c r="C4458">
        <f>BASE_EQUIPOS!B4458</f>
        <v/>
      </c>
      <c r="D4458">
        <f>BASE_EQUIPOS!D4458</f>
        <v/>
      </c>
      <c r="E4458">
        <f>BASE_EQUIPOS!G4458</f>
        <v/>
      </c>
      <c r="F4458">
        <f>BASE_EQUIPOS!H4458</f>
        <v/>
      </c>
      <c r="G4458">
        <f>BASE_EQUIPOS!M4458</f>
        <v/>
      </c>
    </row>
    <row r="4459">
      <c r="A4459">
        <f>TRIM(BASE_EQUIPOS!N4459)</f>
        <v/>
      </c>
      <c r="B4459">
        <f>BASE_EQUIPOS!A4459</f>
        <v/>
      </c>
      <c r="C4459">
        <f>BASE_EQUIPOS!B4459</f>
        <v/>
      </c>
      <c r="D4459">
        <f>BASE_EQUIPOS!D4459</f>
        <v/>
      </c>
      <c r="E4459">
        <f>BASE_EQUIPOS!G4459</f>
        <v/>
      </c>
      <c r="F4459">
        <f>BASE_EQUIPOS!H4459</f>
        <v/>
      </c>
      <c r="G4459">
        <f>BASE_EQUIPOS!M4459</f>
        <v/>
      </c>
    </row>
    <row r="4460">
      <c r="A4460">
        <f>TRIM(BASE_EQUIPOS!N4460)</f>
        <v/>
      </c>
      <c r="B4460">
        <f>BASE_EQUIPOS!A4460</f>
        <v/>
      </c>
      <c r="C4460">
        <f>BASE_EQUIPOS!B4460</f>
        <v/>
      </c>
      <c r="D4460">
        <f>BASE_EQUIPOS!D4460</f>
        <v/>
      </c>
      <c r="E4460">
        <f>BASE_EQUIPOS!G4460</f>
        <v/>
      </c>
      <c r="F4460">
        <f>BASE_EQUIPOS!H4460</f>
        <v/>
      </c>
      <c r="G4460">
        <f>BASE_EQUIPOS!M4460</f>
        <v/>
      </c>
    </row>
    <row r="4461">
      <c r="A4461">
        <f>TRIM(BASE_EQUIPOS!N4461)</f>
        <v/>
      </c>
      <c r="B4461">
        <f>BASE_EQUIPOS!A4461</f>
        <v/>
      </c>
      <c r="C4461">
        <f>BASE_EQUIPOS!B4461</f>
        <v/>
      </c>
      <c r="D4461">
        <f>BASE_EQUIPOS!D4461</f>
        <v/>
      </c>
      <c r="E4461">
        <f>BASE_EQUIPOS!G4461</f>
        <v/>
      </c>
      <c r="F4461">
        <f>BASE_EQUIPOS!H4461</f>
        <v/>
      </c>
      <c r="G4461">
        <f>BASE_EQUIPOS!M4461</f>
        <v/>
      </c>
    </row>
    <row r="4462">
      <c r="A4462">
        <f>TRIM(BASE_EQUIPOS!N4462)</f>
        <v/>
      </c>
      <c r="B4462">
        <f>BASE_EQUIPOS!A4462</f>
        <v/>
      </c>
      <c r="C4462">
        <f>BASE_EQUIPOS!B4462</f>
        <v/>
      </c>
      <c r="D4462">
        <f>BASE_EQUIPOS!D4462</f>
        <v/>
      </c>
      <c r="E4462">
        <f>BASE_EQUIPOS!G4462</f>
        <v/>
      </c>
      <c r="F4462">
        <f>BASE_EQUIPOS!H4462</f>
        <v/>
      </c>
      <c r="G4462">
        <f>BASE_EQUIPOS!M4462</f>
        <v/>
      </c>
    </row>
    <row r="4463">
      <c r="A4463">
        <f>TRIM(BASE_EQUIPOS!N4463)</f>
        <v/>
      </c>
      <c r="B4463">
        <f>BASE_EQUIPOS!A4463</f>
        <v/>
      </c>
      <c r="C4463">
        <f>BASE_EQUIPOS!B4463</f>
        <v/>
      </c>
      <c r="D4463">
        <f>BASE_EQUIPOS!D4463</f>
        <v/>
      </c>
      <c r="E4463">
        <f>BASE_EQUIPOS!G4463</f>
        <v/>
      </c>
      <c r="F4463">
        <f>BASE_EQUIPOS!H4463</f>
        <v/>
      </c>
      <c r="G4463">
        <f>BASE_EQUIPOS!M4463</f>
        <v/>
      </c>
    </row>
    <row r="4464">
      <c r="A4464">
        <f>TRIM(BASE_EQUIPOS!N4464)</f>
        <v/>
      </c>
      <c r="B4464">
        <f>BASE_EQUIPOS!A4464</f>
        <v/>
      </c>
      <c r="C4464">
        <f>BASE_EQUIPOS!B4464</f>
        <v/>
      </c>
      <c r="D4464">
        <f>BASE_EQUIPOS!D4464</f>
        <v/>
      </c>
      <c r="E4464">
        <f>BASE_EQUIPOS!G4464</f>
        <v/>
      </c>
      <c r="F4464">
        <f>BASE_EQUIPOS!H4464</f>
        <v/>
      </c>
      <c r="G4464">
        <f>BASE_EQUIPOS!M4464</f>
        <v/>
      </c>
    </row>
    <row r="4465">
      <c r="A4465">
        <f>TRIM(BASE_EQUIPOS!N4465)</f>
        <v/>
      </c>
      <c r="B4465">
        <f>BASE_EQUIPOS!A4465</f>
        <v/>
      </c>
      <c r="C4465">
        <f>BASE_EQUIPOS!B4465</f>
        <v/>
      </c>
      <c r="D4465">
        <f>BASE_EQUIPOS!D4465</f>
        <v/>
      </c>
      <c r="E4465">
        <f>BASE_EQUIPOS!G4465</f>
        <v/>
      </c>
      <c r="F4465">
        <f>BASE_EQUIPOS!H4465</f>
        <v/>
      </c>
      <c r="G4465">
        <f>BASE_EQUIPOS!M4465</f>
        <v/>
      </c>
    </row>
    <row r="4466">
      <c r="A4466">
        <f>TRIM(BASE_EQUIPOS!N4466)</f>
        <v/>
      </c>
      <c r="B4466">
        <f>BASE_EQUIPOS!A4466</f>
        <v/>
      </c>
      <c r="C4466">
        <f>BASE_EQUIPOS!B4466</f>
        <v/>
      </c>
      <c r="D4466">
        <f>BASE_EQUIPOS!D4466</f>
        <v/>
      </c>
      <c r="E4466">
        <f>BASE_EQUIPOS!G4466</f>
        <v/>
      </c>
      <c r="F4466">
        <f>BASE_EQUIPOS!H4466</f>
        <v/>
      </c>
      <c r="G4466">
        <f>BASE_EQUIPOS!M4466</f>
        <v/>
      </c>
    </row>
    <row r="4467">
      <c r="A4467">
        <f>TRIM(BASE_EQUIPOS!N4467)</f>
        <v/>
      </c>
      <c r="B4467">
        <f>BASE_EQUIPOS!A4467</f>
        <v/>
      </c>
      <c r="C4467">
        <f>BASE_EQUIPOS!B4467</f>
        <v/>
      </c>
      <c r="D4467">
        <f>BASE_EQUIPOS!D4467</f>
        <v/>
      </c>
      <c r="E4467">
        <f>BASE_EQUIPOS!G4467</f>
        <v/>
      </c>
      <c r="F4467">
        <f>BASE_EQUIPOS!H4467</f>
        <v/>
      </c>
      <c r="G4467">
        <f>BASE_EQUIPOS!M4467</f>
        <v/>
      </c>
    </row>
    <row r="4468">
      <c r="A4468">
        <f>TRIM(BASE_EQUIPOS!N4468)</f>
        <v/>
      </c>
      <c r="B4468">
        <f>BASE_EQUIPOS!A4468</f>
        <v/>
      </c>
      <c r="C4468">
        <f>BASE_EQUIPOS!B4468</f>
        <v/>
      </c>
      <c r="D4468">
        <f>BASE_EQUIPOS!D4468</f>
        <v/>
      </c>
      <c r="E4468">
        <f>BASE_EQUIPOS!G4468</f>
        <v/>
      </c>
      <c r="F4468">
        <f>BASE_EQUIPOS!H4468</f>
        <v/>
      </c>
      <c r="G4468">
        <f>BASE_EQUIPOS!M4468</f>
        <v/>
      </c>
    </row>
    <row r="4469">
      <c r="A4469">
        <f>TRIM(BASE_EQUIPOS!N4469)</f>
        <v/>
      </c>
      <c r="B4469">
        <f>BASE_EQUIPOS!A4469</f>
        <v/>
      </c>
      <c r="C4469">
        <f>BASE_EQUIPOS!B4469</f>
        <v/>
      </c>
      <c r="D4469">
        <f>BASE_EQUIPOS!D4469</f>
        <v/>
      </c>
      <c r="E4469">
        <f>BASE_EQUIPOS!G4469</f>
        <v/>
      </c>
      <c r="F4469">
        <f>BASE_EQUIPOS!H4469</f>
        <v/>
      </c>
      <c r="G4469">
        <f>BASE_EQUIPOS!M4469</f>
        <v/>
      </c>
    </row>
    <row r="4470">
      <c r="A4470">
        <f>TRIM(BASE_EQUIPOS!N4470)</f>
        <v/>
      </c>
      <c r="B4470">
        <f>BASE_EQUIPOS!A4470</f>
        <v/>
      </c>
      <c r="C4470">
        <f>BASE_EQUIPOS!B4470</f>
        <v/>
      </c>
      <c r="D4470">
        <f>BASE_EQUIPOS!D4470</f>
        <v/>
      </c>
      <c r="E4470">
        <f>BASE_EQUIPOS!G4470</f>
        <v/>
      </c>
      <c r="F4470">
        <f>BASE_EQUIPOS!H4470</f>
        <v/>
      </c>
      <c r="G4470">
        <f>BASE_EQUIPOS!M4470</f>
        <v/>
      </c>
    </row>
    <row r="4471">
      <c r="A4471">
        <f>TRIM(BASE_EQUIPOS!N4471)</f>
        <v/>
      </c>
      <c r="B4471">
        <f>BASE_EQUIPOS!A4471</f>
        <v/>
      </c>
      <c r="C4471">
        <f>BASE_EQUIPOS!B4471</f>
        <v/>
      </c>
      <c r="D4471">
        <f>BASE_EQUIPOS!D4471</f>
        <v/>
      </c>
      <c r="E4471">
        <f>BASE_EQUIPOS!G4471</f>
        <v/>
      </c>
      <c r="F4471">
        <f>BASE_EQUIPOS!H4471</f>
        <v/>
      </c>
      <c r="G4471">
        <f>BASE_EQUIPOS!M4471</f>
        <v/>
      </c>
    </row>
    <row r="4472">
      <c r="A4472">
        <f>TRIM(BASE_EQUIPOS!N4472)</f>
        <v/>
      </c>
      <c r="B4472">
        <f>BASE_EQUIPOS!A4472</f>
        <v/>
      </c>
      <c r="C4472">
        <f>BASE_EQUIPOS!B4472</f>
        <v/>
      </c>
      <c r="D4472">
        <f>BASE_EQUIPOS!D4472</f>
        <v/>
      </c>
      <c r="E4472">
        <f>BASE_EQUIPOS!G4472</f>
        <v/>
      </c>
      <c r="F4472">
        <f>BASE_EQUIPOS!H4472</f>
        <v/>
      </c>
      <c r="G4472">
        <f>BASE_EQUIPOS!M4472</f>
        <v/>
      </c>
    </row>
    <row r="4473">
      <c r="A4473">
        <f>TRIM(BASE_EQUIPOS!N4473)</f>
        <v/>
      </c>
      <c r="B4473">
        <f>BASE_EQUIPOS!A4473</f>
        <v/>
      </c>
      <c r="C4473">
        <f>BASE_EQUIPOS!B4473</f>
        <v/>
      </c>
      <c r="D4473">
        <f>BASE_EQUIPOS!D4473</f>
        <v/>
      </c>
      <c r="E4473">
        <f>BASE_EQUIPOS!G4473</f>
        <v/>
      </c>
      <c r="F4473">
        <f>BASE_EQUIPOS!H4473</f>
        <v/>
      </c>
      <c r="G4473">
        <f>BASE_EQUIPOS!M4473</f>
        <v/>
      </c>
    </row>
    <row r="4474">
      <c r="A4474">
        <f>TRIM(BASE_EQUIPOS!N4474)</f>
        <v/>
      </c>
      <c r="B4474">
        <f>BASE_EQUIPOS!A4474</f>
        <v/>
      </c>
      <c r="C4474">
        <f>BASE_EQUIPOS!B4474</f>
        <v/>
      </c>
      <c r="D4474">
        <f>BASE_EQUIPOS!D4474</f>
        <v/>
      </c>
      <c r="E4474">
        <f>BASE_EQUIPOS!G4474</f>
        <v/>
      </c>
      <c r="F4474">
        <f>BASE_EQUIPOS!H4474</f>
        <v/>
      </c>
      <c r="G4474">
        <f>BASE_EQUIPOS!M4474</f>
        <v/>
      </c>
    </row>
    <row r="4475">
      <c r="A4475">
        <f>TRIM(BASE_EQUIPOS!N4475)</f>
        <v/>
      </c>
      <c r="B4475">
        <f>BASE_EQUIPOS!A4475</f>
        <v/>
      </c>
      <c r="C4475">
        <f>BASE_EQUIPOS!B4475</f>
        <v/>
      </c>
      <c r="D4475">
        <f>BASE_EQUIPOS!D4475</f>
        <v/>
      </c>
      <c r="E4475">
        <f>BASE_EQUIPOS!G4475</f>
        <v/>
      </c>
      <c r="F4475">
        <f>BASE_EQUIPOS!H4475</f>
        <v/>
      </c>
      <c r="G4475">
        <f>BASE_EQUIPOS!M4475</f>
        <v/>
      </c>
    </row>
    <row r="4476">
      <c r="A4476">
        <f>TRIM(BASE_EQUIPOS!N4476)</f>
        <v/>
      </c>
      <c r="B4476">
        <f>BASE_EQUIPOS!A4476</f>
        <v/>
      </c>
      <c r="C4476">
        <f>BASE_EQUIPOS!B4476</f>
        <v/>
      </c>
      <c r="D4476">
        <f>BASE_EQUIPOS!D4476</f>
        <v/>
      </c>
      <c r="E4476">
        <f>BASE_EQUIPOS!G4476</f>
        <v/>
      </c>
      <c r="F4476">
        <f>BASE_EQUIPOS!H4476</f>
        <v/>
      </c>
      <c r="G4476">
        <f>BASE_EQUIPOS!M4476</f>
        <v/>
      </c>
    </row>
    <row r="4477">
      <c r="A4477">
        <f>TRIM(BASE_EQUIPOS!N4477)</f>
        <v/>
      </c>
      <c r="B4477">
        <f>BASE_EQUIPOS!A4477</f>
        <v/>
      </c>
      <c r="C4477">
        <f>BASE_EQUIPOS!B4477</f>
        <v/>
      </c>
      <c r="D4477">
        <f>BASE_EQUIPOS!D4477</f>
        <v/>
      </c>
      <c r="E4477">
        <f>BASE_EQUIPOS!G4477</f>
        <v/>
      </c>
      <c r="F4477">
        <f>BASE_EQUIPOS!H4477</f>
        <v/>
      </c>
      <c r="G4477">
        <f>BASE_EQUIPOS!M4477</f>
        <v/>
      </c>
    </row>
    <row r="4478">
      <c r="A4478">
        <f>TRIM(BASE_EQUIPOS!N4478)</f>
        <v/>
      </c>
      <c r="B4478">
        <f>BASE_EQUIPOS!A4478</f>
        <v/>
      </c>
      <c r="C4478">
        <f>BASE_EQUIPOS!B4478</f>
        <v/>
      </c>
      <c r="D4478">
        <f>BASE_EQUIPOS!D4478</f>
        <v/>
      </c>
      <c r="E4478">
        <f>BASE_EQUIPOS!G4478</f>
        <v/>
      </c>
      <c r="F4478">
        <f>BASE_EQUIPOS!H4478</f>
        <v/>
      </c>
      <c r="G4478">
        <f>BASE_EQUIPOS!M4478</f>
        <v/>
      </c>
    </row>
    <row r="4479">
      <c r="A4479">
        <f>TRIM(BASE_EQUIPOS!N4479)</f>
        <v/>
      </c>
      <c r="B4479">
        <f>BASE_EQUIPOS!A4479</f>
        <v/>
      </c>
      <c r="C4479">
        <f>BASE_EQUIPOS!B4479</f>
        <v/>
      </c>
      <c r="D4479">
        <f>BASE_EQUIPOS!D4479</f>
        <v/>
      </c>
      <c r="E4479">
        <f>BASE_EQUIPOS!G4479</f>
        <v/>
      </c>
      <c r="F4479">
        <f>BASE_EQUIPOS!H4479</f>
        <v/>
      </c>
      <c r="G4479">
        <f>BASE_EQUIPOS!M4479</f>
        <v/>
      </c>
    </row>
    <row r="4480">
      <c r="A4480">
        <f>TRIM(BASE_EQUIPOS!N4480)</f>
        <v/>
      </c>
      <c r="B4480">
        <f>BASE_EQUIPOS!A4480</f>
        <v/>
      </c>
      <c r="C4480">
        <f>BASE_EQUIPOS!B4480</f>
        <v/>
      </c>
      <c r="D4480">
        <f>BASE_EQUIPOS!D4480</f>
        <v/>
      </c>
      <c r="E4480">
        <f>BASE_EQUIPOS!G4480</f>
        <v/>
      </c>
      <c r="F4480">
        <f>BASE_EQUIPOS!H4480</f>
        <v/>
      </c>
      <c r="G4480">
        <f>BASE_EQUIPOS!M4480</f>
        <v/>
      </c>
    </row>
    <row r="4481">
      <c r="A4481">
        <f>TRIM(BASE_EQUIPOS!N4481)</f>
        <v/>
      </c>
      <c r="B4481">
        <f>BASE_EQUIPOS!A4481</f>
        <v/>
      </c>
      <c r="C4481">
        <f>BASE_EQUIPOS!B4481</f>
        <v/>
      </c>
      <c r="D4481">
        <f>BASE_EQUIPOS!D4481</f>
        <v/>
      </c>
      <c r="E4481">
        <f>BASE_EQUIPOS!G4481</f>
        <v/>
      </c>
      <c r="F4481">
        <f>BASE_EQUIPOS!H4481</f>
        <v/>
      </c>
      <c r="G4481">
        <f>BASE_EQUIPOS!M4481</f>
        <v/>
      </c>
    </row>
    <row r="4482">
      <c r="A4482">
        <f>TRIM(BASE_EQUIPOS!N4482)</f>
        <v/>
      </c>
      <c r="B4482">
        <f>BASE_EQUIPOS!A4482</f>
        <v/>
      </c>
      <c r="C4482">
        <f>BASE_EQUIPOS!B4482</f>
        <v/>
      </c>
      <c r="D4482">
        <f>BASE_EQUIPOS!D4482</f>
        <v/>
      </c>
      <c r="E4482">
        <f>BASE_EQUIPOS!G4482</f>
        <v/>
      </c>
      <c r="F4482">
        <f>BASE_EQUIPOS!H4482</f>
        <v/>
      </c>
      <c r="G4482">
        <f>BASE_EQUIPOS!M4482</f>
        <v/>
      </c>
    </row>
    <row r="4483">
      <c r="A4483">
        <f>TRIM(BASE_EQUIPOS!N4483)</f>
        <v/>
      </c>
      <c r="B4483">
        <f>BASE_EQUIPOS!A4483</f>
        <v/>
      </c>
      <c r="C4483">
        <f>BASE_EQUIPOS!B4483</f>
        <v/>
      </c>
      <c r="D4483">
        <f>BASE_EQUIPOS!D4483</f>
        <v/>
      </c>
      <c r="E4483">
        <f>BASE_EQUIPOS!G4483</f>
        <v/>
      </c>
      <c r="F4483">
        <f>BASE_EQUIPOS!H4483</f>
        <v/>
      </c>
      <c r="G4483">
        <f>BASE_EQUIPOS!M4483</f>
        <v/>
      </c>
    </row>
    <row r="4484">
      <c r="A4484">
        <f>TRIM(BASE_EQUIPOS!N4484)</f>
        <v/>
      </c>
      <c r="B4484">
        <f>BASE_EQUIPOS!A4484</f>
        <v/>
      </c>
      <c r="C4484">
        <f>BASE_EQUIPOS!B4484</f>
        <v/>
      </c>
      <c r="D4484">
        <f>BASE_EQUIPOS!D4484</f>
        <v/>
      </c>
      <c r="E4484">
        <f>BASE_EQUIPOS!G4484</f>
        <v/>
      </c>
      <c r="F4484">
        <f>BASE_EQUIPOS!H4484</f>
        <v/>
      </c>
      <c r="G4484">
        <f>BASE_EQUIPOS!M4484</f>
        <v/>
      </c>
    </row>
    <row r="4485">
      <c r="A4485">
        <f>TRIM(BASE_EQUIPOS!N4485)</f>
        <v/>
      </c>
      <c r="B4485">
        <f>BASE_EQUIPOS!A4485</f>
        <v/>
      </c>
      <c r="C4485">
        <f>BASE_EQUIPOS!B4485</f>
        <v/>
      </c>
      <c r="D4485">
        <f>BASE_EQUIPOS!D4485</f>
        <v/>
      </c>
      <c r="E4485">
        <f>BASE_EQUIPOS!G4485</f>
        <v/>
      </c>
      <c r="F4485">
        <f>BASE_EQUIPOS!H4485</f>
        <v/>
      </c>
      <c r="G4485">
        <f>BASE_EQUIPOS!M4485</f>
        <v/>
      </c>
    </row>
    <row r="4486">
      <c r="A4486">
        <f>TRIM(BASE_EQUIPOS!N4486)</f>
        <v/>
      </c>
      <c r="B4486">
        <f>BASE_EQUIPOS!A4486</f>
        <v/>
      </c>
      <c r="C4486">
        <f>BASE_EQUIPOS!B4486</f>
        <v/>
      </c>
      <c r="D4486">
        <f>BASE_EQUIPOS!D4486</f>
        <v/>
      </c>
      <c r="E4486">
        <f>BASE_EQUIPOS!G4486</f>
        <v/>
      </c>
      <c r="F4486">
        <f>BASE_EQUIPOS!H4486</f>
        <v/>
      </c>
      <c r="G4486">
        <f>BASE_EQUIPOS!M4486</f>
        <v/>
      </c>
    </row>
    <row r="4487">
      <c r="A4487">
        <f>TRIM(BASE_EQUIPOS!N4487)</f>
        <v/>
      </c>
      <c r="B4487">
        <f>BASE_EQUIPOS!A4487</f>
        <v/>
      </c>
      <c r="C4487">
        <f>BASE_EQUIPOS!B4487</f>
        <v/>
      </c>
      <c r="D4487">
        <f>BASE_EQUIPOS!D4487</f>
        <v/>
      </c>
      <c r="E4487">
        <f>BASE_EQUIPOS!G4487</f>
        <v/>
      </c>
      <c r="F4487">
        <f>BASE_EQUIPOS!H4487</f>
        <v/>
      </c>
      <c r="G4487">
        <f>BASE_EQUIPOS!M4487</f>
        <v/>
      </c>
    </row>
    <row r="4488">
      <c r="A4488">
        <f>TRIM(BASE_EQUIPOS!N4488)</f>
        <v/>
      </c>
      <c r="B4488">
        <f>BASE_EQUIPOS!A4488</f>
        <v/>
      </c>
      <c r="C4488">
        <f>BASE_EQUIPOS!B4488</f>
        <v/>
      </c>
      <c r="D4488">
        <f>BASE_EQUIPOS!D4488</f>
        <v/>
      </c>
      <c r="E4488">
        <f>BASE_EQUIPOS!G4488</f>
        <v/>
      </c>
      <c r="F4488">
        <f>BASE_EQUIPOS!H4488</f>
        <v/>
      </c>
      <c r="G4488">
        <f>BASE_EQUIPOS!M4488</f>
        <v/>
      </c>
    </row>
    <row r="4489">
      <c r="A4489">
        <f>TRIM(BASE_EQUIPOS!N4489)</f>
        <v/>
      </c>
      <c r="B4489">
        <f>BASE_EQUIPOS!A4489</f>
        <v/>
      </c>
      <c r="C4489">
        <f>BASE_EQUIPOS!B4489</f>
        <v/>
      </c>
      <c r="D4489">
        <f>BASE_EQUIPOS!D4489</f>
        <v/>
      </c>
      <c r="E4489">
        <f>BASE_EQUIPOS!G4489</f>
        <v/>
      </c>
      <c r="F4489">
        <f>BASE_EQUIPOS!H4489</f>
        <v/>
      </c>
      <c r="G4489">
        <f>BASE_EQUIPOS!M4489</f>
        <v/>
      </c>
    </row>
    <row r="4490">
      <c r="A4490">
        <f>TRIM(BASE_EQUIPOS!N4490)</f>
        <v/>
      </c>
      <c r="B4490">
        <f>BASE_EQUIPOS!A4490</f>
        <v/>
      </c>
      <c r="C4490">
        <f>BASE_EQUIPOS!B4490</f>
        <v/>
      </c>
      <c r="D4490">
        <f>BASE_EQUIPOS!D4490</f>
        <v/>
      </c>
      <c r="E4490">
        <f>BASE_EQUIPOS!G4490</f>
        <v/>
      </c>
      <c r="F4490">
        <f>BASE_EQUIPOS!H4490</f>
        <v/>
      </c>
      <c r="G4490">
        <f>BASE_EQUIPOS!M4490</f>
        <v/>
      </c>
    </row>
    <row r="4491">
      <c r="A4491">
        <f>TRIM(BASE_EQUIPOS!N4491)</f>
        <v/>
      </c>
      <c r="B4491">
        <f>BASE_EQUIPOS!A4491</f>
        <v/>
      </c>
      <c r="C4491">
        <f>BASE_EQUIPOS!B4491</f>
        <v/>
      </c>
      <c r="D4491">
        <f>BASE_EQUIPOS!D4491</f>
        <v/>
      </c>
      <c r="E4491">
        <f>BASE_EQUIPOS!G4491</f>
        <v/>
      </c>
      <c r="F4491">
        <f>BASE_EQUIPOS!H4491</f>
        <v/>
      </c>
      <c r="G4491">
        <f>BASE_EQUIPOS!M4491</f>
        <v/>
      </c>
    </row>
    <row r="4492">
      <c r="A4492">
        <f>TRIM(BASE_EQUIPOS!N4492)</f>
        <v/>
      </c>
      <c r="B4492">
        <f>BASE_EQUIPOS!A4492</f>
        <v/>
      </c>
      <c r="C4492">
        <f>BASE_EQUIPOS!B4492</f>
        <v/>
      </c>
      <c r="D4492">
        <f>BASE_EQUIPOS!D4492</f>
        <v/>
      </c>
      <c r="E4492">
        <f>BASE_EQUIPOS!G4492</f>
        <v/>
      </c>
      <c r="F4492">
        <f>BASE_EQUIPOS!H4492</f>
        <v/>
      </c>
      <c r="G4492">
        <f>BASE_EQUIPOS!M4492</f>
        <v/>
      </c>
    </row>
    <row r="4493">
      <c r="A4493">
        <f>TRIM(BASE_EQUIPOS!N4493)</f>
        <v/>
      </c>
      <c r="B4493">
        <f>BASE_EQUIPOS!A4493</f>
        <v/>
      </c>
      <c r="C4493">
        <f>BASE_EQUIPOS!B4493</f>
        <v/>
      </c>
      <c r="D4493">
        <f>BASE_EQUIPOS!D4493</f>
        <v/>
      </c>
      <c r="E4493">
        <f>BASE_EQUIPOS!G4493</f>
        <v/>
      </c>
      <c r="F4493">
        <f>BASE_EQUIPOS!H4493</f>
        <v/>
      </c>
      <c r="G4493">
        <f>BASE_EQUIPOS!M4493</f>
        <v/>
      </c>
    </row>
    <row r="4494">
      <c r="A4494">
        <f>TRIM(BASE_EQUIPOS!N4494)</f>
        <v/>
      </c>
      <c r="B4494">
        <f>BASE_EQUIPOS!A4494</f>
        <v/>
      </c>
      <c r="C4494">
        <f>BASE_EQUIPOS!B4494</f>
        <v/>
      </c>
      <c r="D4494">
        <f>BASE_EQUIPOS!D4494</f>
        <v/>
      </c>
      <c r="E4494">
        <f>BASE_EQUIPOS!G4494</f>
        <v/>
      </c>
      <c r="F4494">
        <f>BASE_EQUIPOS!H4494</f>
        <v/>
      </c>
      <c r="G4494">
        <f>BASE_EQUIPOS!M4494</f>
        <v/>
      </c>
    </row>
    <row r="4495">
      <c r="A4495">
        <f>TRIM(BASE_EQUIPOS!N4495)</f>
        <v/>
      </c>
      <c r="B4495">
        <f>BASE_EQUIPOS!A4495</f>
        <v/>
      </c>
      <c r="C4495">
        <f>BASE_EQUIPOS!B4495</f>
        <v/>
      </c>
      <c r="D4495">
        <f>BASE_EQUIPOS!D4495</f>
        <v/>
      </c>
      <c r="E4495">
        <f>BASE_EQUIPOS!G4495</f>
        <v/>
      </c>
      <c r="F4495">
        <f>BASE_EQUIPOS!H4495</f>
        <v/>
      </c>
      <c r="G4495">
        <f>BASE_EQUIPOS!M4495</f>
        <v/>
      </c>
    </row>
    <row r="4496">
      <c r="A4496">
        <f>TRIM(BASE_EQUIPOS!N4496)</f>
        <v/>
      </c>
      <c r="B4496">
        <f>BASE_EQUIPOS!A4496</f>
        <v/>
      </c>
      <c r="C4496">
        <f>BASE_EQUIPOS!B4496</f>
        <v/>
      </c>
      <c r="D4496">
        <f>BASE_EQUIPOS!D4496</f>
        <v/>
      </c>
      <c r="E4496">
        <f>BASE_EQUIPOS!G4496</f>
        <v/>
      </c>
      <c r="F4496">
        <f>BASE_EQUIPOS!H4496</f>
        <v/>
      </c>
      <c r="G4496">
        <f>BASE_EQUIPOS!M4496</f>
        <v/>
      </c>
    </row>
    <row r="4497">
      <c r="A4497">
        <f>TRIM(BASE_EQUIPOS!N4497)</f>
        <v/>
      </c>
      <c r="B4497">
        <f>BASE_EQUIPOS!A4497</f>
        <v/>
      </c>
      <c r="C4497">
        <f>BASE_EQUIPOS!B4497</f>
        <v/>
      </c>
      <c r="D4497">
        <f>BASE_EQUIPOS!D4497</f>
        <v/>
      </c>
      <c r="E4497">
        <f>BASE_EQUIPOS!G4497</f>
        <v/>
      </c>
      <c r="F4497">
        <f>BASE_EQUIPOS!H4497</f>
        <v/>
      </c>
      <c r="G4497">
        <f>BASE_EQUIPOS!M4497</f>
        <v/>
      </c>
    </row>
    <row r="4498">
      <c r="A4498">
        <f>TRIM(BASE_EQUIPOS!N4498)</f>
        <v/>
      </c>
      <c r="B4498">
        <f>BASE_EQUIPOS!A4498</f>
        <v/>
      </c>
      <c r="C4498">
        <f>BASE_EQUIPOS!B4498</f>
        <v/>
      </c>
      <c r="D4498">
        <f>BASE_EQUIPOS!D4498</f>
        <v/>
      </c>
      <c r="E4498">
        <f>BASE_EQUIPOS!G4498</f>
        <v/>
      </c>
      <c r="F4498">
        <f>BASE_EQUIPOS!H4498</f>
        <v/>
      </c>
      <c r="G4498">
        <f>BASE_EQUIPOS!M4498</f>
        <v/>
      </c>
    </row>
    <row r="4499">
      <c r="A4499">
        <f>TRIM(BASE_EQUIPOS!N4499)</f>
        <v/>
      </c>
      <c r="B4499">
        <f>BASE_EQUIPOS!A4499</f>
        <v/>
      </c>
      <c r="C4499">
        <f>BASE_EQUIPOS!B4499</f>
        <v/>
      </c>
      <c r="D4499">
        <f>BASE_EQUIPOS!D4499</f>
        <v/>
      </c>
      <c r="E4499">
        <f>BASE_EQUIPOS!G4499</f>
        <v/>
      </c>
      <c r="F4499">
        <f>BASE_EQUIPOS!H4499</f>
        <v/>
      </c>
      <c r="G4499">
        <f>BASE_EQUIPOS!M4499</f>
        <v/>
      </c>
    </row>
    <row r="4500">
      <c r="A4500">
        <f>TRIM(BASE_EQUIPOS!N4500)</f>
        <v/>
      </c>
      <c r="B4500">
        <f>BASE_EQUIPOS!A4500</f>
        <v/>
      </c>
      <c r="C4500">
        <f>BASE_EQUIPOS!B4500</f>
        <v/>
      </c>
      <c r="D4500">
        <f>BASE_EQUIPOS!D4500</f>
        <v/>
      </c>
      <c r="E4500">
        <f>BASE_EQUIPOS!G4500</f>
        <v/>
      </c>
      <c r="F4500">
        <f>BASE_EQUIPOS!H4500</f>
        <v/>
      </c>
      <c r="G4500">
        <f>BASE_EQUIPOS!M4500</f>
        <v/>
      </c>
    </row>
    <row r="4501">
      <c r="A4501">
        <f>TRIM(BASE_EQUIPOS!N4501)</f>
        <v/>
      </c>
      <c r="B4501">
        <f>BASE_EQUIPOS!A4501</f>
        <v/>
      </c>
      <c r="C4501">
        <f>BASE_EQUIPOS!B4501</f>
        <v/>
      </c>
      <c r="D4501">
        <f>BASE_EQUIPOS!D4501</f>
        <v/>
      </c>
      <c r="E4501">
        <f>BASE_EQUIPOS!G4501</f>
        <v/>
      </c>
      <c r="F4501">
        <f>BASE_EQUIPOS!H4501</f>
        <v/>
      </c>
      <c r="G4501">
        <f>BASE_EQUIPOS!M4501</f>
        <v/>
      </c>
    </row>
    <row r="4502">
      <c r="A4502">
        <f>TRIM(BASE_EQUIPOS!N4502)</f>
        <v/>
      </c>
      <c r="B4502">
        <f>BASE_EQUIPOS!A4502</f>
        <v/>
      </c>
      <c r="C4502">
        <f>BASE_EQUIPOS!B4502</f>
        <v/>
      </c>
      <c r="D4502">
        <f>BASE_EQUIPOS!D4502</f>
        <v/>
      </c>
      <c r="E4502">
        <f>BASE_EQUIPOS!G4502</f>
        <v/>
      </c>
      <c r="F4502">
        <f>BASE_EQUIPOS!H4502</f>
        <v/>
      </c>
      <c r="G4502">
        <f>BASE_EQUIPOS!M4502</f>
        <v/>
      </c>
    </row>
    <row r="4503">
      <c r="A4503">
        <f>TRIM(BASE_EQUIPOS!N4503)</f>
        <v/>
      </c>
      <c r="B4503">
        <f>BASE_EQUIPOS!A4503</f>
        <v/>
      </c>
      <c r="C4503">
        <f>BASE_EQUIPOS!B4503</f>
        <v/>
      </c>
      <c r="D4503">
        <f>BASE_EQUIPOS!D4503</f>
        <v/>
      </c>
      <c r="E4503">
        <f>BASE_EQUIPOS!G4503</f>
        <v/>
      </c>
      <c r="F4503">
        <f>BASE_EQUIPOS!H4503</f>
        <v/>
      </c>
      <c r="G4503">
        <f>BASE_EQUIPOS!M4503</f>
        <v/>
      </c>
    </row>
    <row r="4504">
      <c r="A4504">
        <f>TRIM(BASE_EQUIPOS!N4504)</f>
        <v/>
      </c>
      <c r="B4504">
        <f>BASE_EQUIPOS!A4504</f>
        <v/>
      </c>
      <c r="C4504">
        <f>BASE_EQUIPOS!B4504</f>
        <v/>
      </c>
      <c r="D4504">
        <f>BASE_EQUIPOS!D4504</f>
        <v/>
      </c>
      <c r="E4504">
        <f>BASE_EQUIPOS!G4504</f>
        <v/>
      </c>
      <c r="F4504">
        <f>BASE_EQUIPOS!H4504</f>
        <v/>
      </c>
      <c r="G4504">
        <f>BASE_EQUIPOS!M4504</f>
        <v/>
      </c>
    </row>
    <row r="4505">
      <c r="A4505">
        <f>TRIM(BASE_EQUIPOS!N4505)</f>
        <v/>
      </c>
      <c r="B4505">
        <f>BASE_EQUIPOS!A4505</f>
        <v/>
      </c>
      <c r="C4505">
        <f>BASE_EQUIPOS!B4505</f>
        <v/>
      </c>
      <c r="D4505">
        <f>BASE_EQUIPOS!D4505</f>
        <v/>
      </c>
      <c r="E4505">
        <f>BASE_EQUIPOS!G4505</f>
        <v/>
      </c>
      <c r="F4505">
        <f>BASE_EQUIPOS!H4505</f>
        <v/>
      </c>
      <c r="G4505">
        <f>BASE_EQUIPOS!M4505</f>
        <v/>
      </c>
    </row>
    <row r="4506">
      <c r="A4506">
        <f>TRIM(BASE_EQUIPOS!N4506)</f>
        <v/>
      </c>
      <c r="B4506">
        <f>BASE_EQUIPOS!A4506</f>
        <v/>
      </c>
      <c r="C4506">
        <f>BASE_EQUIPOS!B4506</f>
        <v/>
      </c>
      <c r="D4506">
        <f>BASE_EQUIPOS!D4506</f>
        <v/>
      </c>
      <c r="E4506">
        <f>BASE_EQUIPOS!G4506</f>
        <v/>
      </c>
      <c r="F4506">
        <f>BASE_EQUIPOS!H4506</f>
        <v/>
      </c>
      <c r="G4506">
        <f>BASE_EQUIPOS!M4506</f>
        <v/>
      </c>
    </row>
    <row r="4507">
      <c r="A4507">
        <f>TRIM(BASE_EQUIPOS!N4507)</f>
        <v/>
      </c>
      <c r="B4507">
        <f>BASE_EQUIPOS!A4507</f>
        <v/>
      </c>
      <c r="C4507">
        <f>BASE_EQUIPOS!B4507</f>
        <v/>
      </c>
      <c r="D4507">
        <f>BASE_EQUIPOS!D4507</f>
        <v/>
      </c>
      <c r="E4507">
        <f>BASE_EQUIPOS!G4507</f>
        <v/>
      </c>
      <c r="F4507">
        <f>BASE_EQUIPOS!H4507</f>
        <v/>
      </c>
      <c r="G4507">
        <f>BASE_EQUIPOS!M4507</f>
        <v/>
      </c>
    </row>
    <row r="4508">
      <c r="A4508">
        <f>TRIM(BASE_EQUIPOS!N4508)</f>
        <v/>
      </c>
      <c r="B4508">
        <f>BASE_EQUIPOS!A4508</f>
        <v/>
      </c>
      <c r="C4508">
        <f>BASE_EQUIPOS!B4508</f>
        <v/>
      </c>
      <c r="D4508">
        <f>BASE_EQUIPOS!D4508</f>
        <v/>
      </c>
      <c r="E4508">
        <f>BASE_EQUIPOS!G4508</f>
        <v/>
      </c>
      <c r="F4508">
        <f>BASE_EQUIPOS!H4508</f>
        <v/>
      </c>
      <c r="G4508">
        <f>BASE_EQUIPOS!M4508</f>
        <v/>
      </c>
    </row>
    <row r="4509">
      <c r="A4509">
        <f>TRIM(BASE_EQUIPOS!N4509)</f>
        <v/>
      </c>
      <c r="B4509">
        <f>BASE_EQUIPOS!A4509</f>
        <v/>
      </c>
      <c r="C4509">
        <f>BASE_EQUIPOS!B4509</f>
        <v/>
      </c>
      <c r="D4509">
        <f>BASE_EQUIPOS!D4509</f>
        <v/>
      </c>
      <c r="E4509">
        <f>BASE_EQUIPOS!G4509</f>
        <v/>
      </c>
      <c r="F4509">
        <f>BASE_EQUIPOS!H4509</f>
        <v/>
      </c>
      <c r="G4509">
        <f>BASE_EQUIPOS!M4509</f>
        <v/>
      </c>
    </row>
    <row r="4510">
      <c r="A4510">
        <f>TRIM(BASE_EQUIPOS!N4510)</f>
        <v/>
      </c>
      <c r="B4510">
        <f>BASE_EQUIPOS!A4510</f>
        <v/>
      </c>
      <c r="C4510">
        <f>BASE_EQUIPOS!B4510</f>
        <v/>
      </c>
      <c r="D4510">
        <f>BASE_EQUIPOS!D4510</f>
        <v/>
      </c>
      <c r="E4510">
        <f>BASE_EQUIPOS!G4510</f>
        <v/>
      </c>
      <c r="F4510">
        <f>BASE_EQUIPOS!H4510</f>
        <v/>
      </c>
      <c r="G4510">
        <f>BASE_EQUIPOS!M4510</f>
        <v/>
      </c>
    </row>
    <row r="4511">
      <c r="A4511">
        <f>TRIM(BASE_EQUIPOS!N4511)</f>
        <v/>
      </c>
      <c r="B4511">
        <f>BASE_EQUIPOS!A4511</f>
        <v/>
      </c>
      <c r="C4511">
        <f>BASE_EQUIPOS!B4511</f>
        <v/>
      </c>
      <c r="D4511">
        <f>BASE_EQUIPOS!D4511</f>
        <v/>
      </c>
      <c r="E4511">
        <f>BASE_EQUIPOS!G4511</f>
        <v/>
      </c>
      <c r="F4511">
        <f>BASE_EQUIPOS!H4511</f>
        <v/>
      </c>
      <c r="G4511">
        <f>BASE_EQUIPOS!M4511</f>
        <v/>
      </c>
    </row>
    <row r="4512">
      <c r="A4512">
        <f>TRIM(BASE_EQUIPOS!N4512)</f>
        <v/>
      </c>
      <c r="B4512">
        <f>BASE_EQUIPOS!A4512</f>
        <v/>
      </c>
      <c r="C4512">
        <f>BASE_EQUIPOS!B4512</f>
        <v/>
      </c>
      <c r="D4512">
        <f>BASE_EQUIPOS!D4512</f>
        <v/>
      </c>
      <c r="E4512">
        <f>BASE_EQUIPOS!G4512</f>
        <v/>
      </c>
      <c r="F4512">
        <f>BASE_EQUIPOS!H4512</f>
        <v/>
      </c>
      <c r="G4512">
        <f>BASE_EQUIPOS!M4512</f>
        <v/>
      </c>
    </row>
    <row r="4513">
      <c r="A4513">
        <f>TRIM(BASE_EQUIPOS!N4513)</f>
        <v/>
      </c>
      <c r="B4513">
        <f>BASE_EQUIPOS!A4513</f>
        <v/>
      </c>
      <c r="C4513">
        <f>BASE_EQUIPOS!B4513</f>
        <v/>
      </c>
      <c r="D4513">
        <f>BASE_EQUIPOS!D4513</f>
        <v/>
      </c>
      <c r="E4513">
        <f>BASE_EQUIPOS!G4513</f>
        <v/>
      </c>
      <c r="F4513">
        <f>BASE_EQUIPOS!H4513</f>
        <v/>
      </c>
      <c r="G4513">
        <f>BASE_EQUIPOS!M4513</f>
        <v/>
      </c>
    </row>
    <row r="4514">
      <c r="A4514">
        <f>TRIM(BASE_EQUIPOS!N4514)</f>
        <v/>
      </c>
      <c r="B4514">
        <f>BASE_EQUIPOS!A4514</f>
        <v/>
      </c>
      <c r="C4514">
        <f>BASE_EQUIPOS!B4514</f>
        <v/>
      </c>
      <c r="D4514">
        <f>BASE_EQUIPOS!D4514</f>
        <v/>
      </c>
      <c r="E4514">
        <f>BASE_EQUIPOS!G4514</f>
        <v/>
      </c>
      <c r="F4514">
        <f>BASE_EQUIPOS!H4514</f>
        <v/>
      </c>
      <c r="G4514">
        <f>BASE_EQUIPOS!M4514</f>
        <v/>
      </c>
    </row>
    <row r="4515">
      <c r="A4515">
        <f>TRIM(BASE_EQUIPOS!N4515)</f>
        <v/>
      </c>
      <c r="B4515">
        <f>BASE_EQUIPOS!A4515</f>
        <v/>
      </c>
      <c r="C4515">
        <f>BASE_EQUIPOS!B4515</f>
        <v/>
      </c>
      <c r="D4515">
        <f>BASE_EQUIPOS!D4515</f>
        <v/>
      </c>
      <c r="E4515">
        <f>BASE_EQUIPOS!G4515</f>
        <v/>
      </c>
      <c r="F4515">
        <f>BASE_EQUIPOS!H4515</f>
        <v/>
      </c>
      <c r="G4515">
        <f>BASE_EQUIPOS!M4515</f>
        <v/>
      </c>
    </row>
    <row r="4516">
      <c r="A4516">
        <f>TRIM(BASE_EQUIPOS!N4516)</f>
        <v/>
      </c>
      <c r="B4516">
        <f>BASE_EQUIPOS!A4516</f>
        <v/>
      </c>
      <c r="C4516">
        <f>BASE_EQUIPOS!B4516</f>
        <v/>
      </c>
      <c r="D4516">
        <f>BASE_EQUIPOS!D4516</f>
        <v/>
      </c>
      <c r="E4516">
        <f>BASE_EQUIPOS!G4516</f>
        <v/>
      </c>
      <c r="F4516">
        <f>BASE_EQUIPOS!H4516</f>
        <v/>
      </c>
      <c r="G4516">
        <f>BASE_EQUIPOS!M4516</f>
        <v/>
      </c>
    </row>
    <row r="4517">
      <c r="A4517">
        <f>TRIM(BASE_EQUIPOS!N4517)</f>
        <v/>
      </c>
      <c r="B4517">
        <f>BASE_EQUIPOS!A4517</f>
        <v/>
      </c>
      <c r="C4517">
        <f>BASE_EQUIPOS!B4517</f>
        <v/>
      </c>
      <c r="D4517">
        <f>BASE_EQUIPOS!D4517</f>
        <v/>
      </c>
      <c r="E4517">
        <f>BASE_EQUIPOS!G4517</f>
        <v/>
      </c>
      <c r="F4517">
        <f>BASE_EQUIPOS!H4517</f>
        <v/>
      </c>
      <c r="G4517">
        <f>BASE_EQUIPOS!M4517</f>
        <v/>
      </c>
    </row>
    <row r="4518">
      <c r="A4518">
        <f>TRIM(BASE_EQUIPOS!N4518)</f>
        <v/>
      </c>
      <c r="B4518">
        <f>BASE_EQUIPOS!A4518</f>
        <v/>
      </c>
      <c r="C4518">
        <f>BASE_EQUIPOS!B4518</f>
        <v/>
      </c>
      <c r="D4518">
        <f>BASE_EQUIPOS!D4518</f>
        <v/>
      </c>
      <c r="E4518">
        <f>BASE_EQUIPOS!G4518</f>
        <v/>
      </c>
      <c r="F4518">
        <f>BASE_EQUIPOS!H4518</f>
        <v/>
      </c>
      <c r="G4518">
        <f>BASE_EQUIPOS!M4518</f>
        <v/>
      </c>
    </row>
    <row r="4519">
      <c r="A4519">
        <f>TRIM(BASE_EQUIPOS!N4519)</f>
        <v/>
      </c>
      <c r="B4519">
        <f>BASE_EQUIPOS!A4519</f>
        <v/>
      </c>
      <c r="C4519">
        <f>BASE_EQUIPOS!B4519</f>
        <v/>
      </c>
      <c r="D4519">
        <f>BASE_EQUIPOS!D4519</f>
        <v/>
      </c>
      <c r="E4519">
        <f>BASE_EQUIPOS!G4519</f>
        <v/>
      </c>
      <c r="F4519">
        <f>BASE_EQUIPOS!H4519</f>
        <v/>
      </c>
      <c r="G4519">
        <f>BASE_EQUIPOS!M4519</f>
        <v/>
      </c>
    </row>
    <row r="4520">
      <c r="A4520">
        <f>TRIM(BASE_EQUIPOS!N4520)</f>
        <v/>
      </c>
      <c r="B4520">
        <f>BASE_EQUIPOS!A4520</f>
        <v/>
      </c>
      <c r="C4520">
        <f>BASE_EQUIPOS!B4520</f>
        <v/>
      </c>
      <c r="D4520">
        <f>BASE_EQUIPOS!D4520</f>
        <v/>
      </c>
      <c r="E4520">
        <f>BASE_EQUIPOS!G4520</f>
        <v/>
      </c>
      <c r="F4520">
        <f>BASE_EQUIPOS!H4520</f>
        <v/>
      </c>
      <c r="G4520">
        <f>BASE_EQUIPOS!M4520</f>
        <v/>
      </c>
    </row>
    <row r="4521">
      <c r="A4521">
        <f>TRIM(BASE_EQUIPOS!N4521)</f>
        <v/>
      </c>
      <c r="B4521">
        <f>BASE_EQUIPOS!A4521</f>
        <v/>
      </c>
      <c r="C4521">
        <f>BASE_EQUIPOS!B4521</f>
        <v/>
      </c>
      <c r="D4521">
        <f>BASE_EQUIPOS!D4521</f>
        <v/>
      </c>
      <c r="E4521">
        <f>BASE_EQUIPOS!G4521</f>
        <v/>
      </c>
      <c r="F4521">
        <f>BASE_EQUIPOS!H4521</f>
        <v/>
      </c>
      <c r="G4521">
        <f>BASE_EQUIPOS!M4521</f>
        <v/>
      </c>
    </row>
    <row r="4522">
      <c r="A4522">
        <f>TRIM(BASE_EQUIPOS!N4522)</f>
        <v/>
      </c>
      <c r="B4522">
        <f>BASE_EQUIPOS!A4522</f>
        <v/>
      </c>
      <c r="C4522">
        <f>BASE_EQUIPOS!B4522</f>
        <v/>
      </c>
      <c r="D4522">
        <f>BASE_EQUIPOS!D4522</f>
        <v/>
      </c>
      <c r="E4522">
        <f>BASE_EQUIPOS!G4522</f>
        <v/>
      </c>
      <c r="F4522">
        <f>BASE_EQUIPOS!H4522</f>
        <v/>
      </c>
      <c r="G4522">
        <f>BASE_EQUIPOS!M4522</f>
        <v/>
      </c>
    </row>
    <row r="4523">
      <c r="A4523">
        <f>TRIM(BASE_EQUIPOS!N4523)</f>
        <v/>
      </c>
      <c r="B4523">
        <f>BASE_EQUIPOS!A4523</f>
        <v/>
      </c>
      <c r="C4523">
        <f>BASE_EQUIPOS!B4523</f>
        <v/>
      </c>
      <c r="D4523">
        <f>BASE_EQUIPOS!D4523</f>
        <v/>
      </c>
      <c r="E4523">
        <f>BASE_EQUIPOS!G4523</f>
        <v/>
      </c>
      <c r="F4523">
        <f>BASE_EQUIPOS!H4523</f>
        <v/>
      </c>
      <c r="G4523">
        <f>BASE_EQUIPOS!M4523</f>
        <v/>
      </c>
    </row>
    <row r="4524">
      <c r="A4524">
        <f>TRIM(BASE_EQUIPOS!N4524)</f>
        <v/>
      </c>
      <c r="B4524">
        <f>BASE_EQUIPOS!A4524</f>
        <v/>
      </c>
      <c r="C4524">
        <f>BASE_EQUIPOS!B4524</f>
        <v/>
      </c>
      <c r="D4524">
        <f>BASE_EQUIPOS!D4524</f>
        <v/>
      </c>
      <c r="E4524">
        <f>BASE_EQUIPOS!G4524</f>
        <v/>
      </c>
      <c r="F4524">
        <f>BASE_EQUIPOS!H4524</f>
        <v/>
      </c>
      <c r="G4524">
        <f>BASE_EQUIPOS!M4524</f>
        <v/>
      </c>
    </row>
    <row r="4525">
      <c r="A4525">
        <f>TRIM(BASE_EQUIPOS!N4525)</f>
        <v/>
      </c>
      <c r="B4525">
        <f>BASE_EQUIPOS!A4525</f>
        <v/>
      </c>
      <c r="C4525">
        <f>BASE_EQUIPOS!B4525</f>
        <v/>
      </c>
      <c r="D4525">
        <f>BASE_EQUIPOS!D4525</f>
        <v/>
      </c>
      <c r="E4525">
        <f>BASE_EQUIPOS!G4525</f>
        <v/>
      </c>
      <c r="F4525">
        <f>BASE_EQUIPOS!H4525</f>
        <v/>
      </c>
      <c r="G4525">
        <f>BASE_EQUIPOS!M4525</f>
        <v/>
      </c>
    </row>
    <row r="4526">
      <c r="A4526">
        <f>TRIM(BASE_EQUIPOS!N4526)</f>
        <v/>
      </c>
      <c r="B4526">
        <f>BASE_EQUIPOS!A4526</f>
        <v/>
      </c>
      <c r="C4526">
        <f>BASE_EQUIPOS!B4526</f>
        <v/>
      </c>
      <c r="D4526">
        <f>BASE_EQUIPOS!D4526</f>
        <v/>
      </c>
      <c r="E4526">
        <f>BASE_EQUIPOS!G4526</f>
        <v/>
      </c>
      <c r="F4526">
        <f>BASE_EQUIPOS!H4526</f>
        <v/>
      </c>
      <c r="G4526">
        <f>BASE_EQUIPOS!M4526</f>
        <v/>
      </c>
    </row>
    <row r="4527">
      <c r="A4527">
        <f>TRIM(BASE_EQUIPOS!N4527)</f>
        <v/>
      </c>
      <c r="B4527">
        <f>BASE_EQUIPOS!A4527</f>
        <v/>
      </c>
      <c r="C4527">
        <f>BASE_EQUIPOS!B4527</f>
        <v/>
      </c>
      <c r="D4527">
        <f>BASE_EQUIPOS!D4527</f>
        <v/>
      </c>
      <c r="E4527">
        <f>BASE_EQUIPOS!G4527</f>
        <v/>
      </c>
      <c r="F4527">
        <f>BASE_EQUIPOS!H4527</f>
        <v/>
      </c>
      <c r="G4527">
        <f>BASE_EQUIPOS!M4527</f>
        <v/>
      </c>
    </row>
    <row r="4528">
      <c r="A4528">
        <f>TRIM(BASE_EQUIPOS!N4528)</f>
        <v/>
      </c>
      <c r="B4528">
        <f>BASE_EQUIPOS!A4528</f>
        <v/>
      </c>
      <c r="C4528">
        <f>BASE_EQUIPOS!B4528</f>
        <v/>
      </c>
      <c r="D4528">
        <f>BASE_EQUIPOS!D4528</f>
        <v/>
      </c>
      <c r="E4528">
        <f>BASE_EQUIPOS!G4528</f>
        <v/>
      </c>
      <c r="F4528">
        <f>BASE_EQUIPOS!H4528</f>
        <v/>
      </c>
      <c r="G4528">
        <f>BASE_EQUIPOS!M4528</f>
        <v/>
      </c>
    </row>
    <row r="4529">
      <c r="A4529">
        <f>TRIM(BASE_EQUIPOS!N4529)</f>
        <v/>
      </c>
      <c r="B4529">
        <f>BASE_EQUIPOS!A4529</f>
        <v/>
      </c>
      <c r="C4529">
        <f>BASE_EQUIPOS!B4529</f>
        <v/>
      </c>
      <c r="D4529">
        <f>BASE_EQUIPOS!D4529</f>
        <v/>
      </c>
      <c r="E4529">
        <f>BASE_EQUIPOS!G4529</f>
        <v/>
      </c>
      <c r="F4529">
        <f>BASE_EQUIPOS!H4529</f>
        <v/>
      </c>
      <c r="G4529">
        <f>BASE_EQUIPOS!M4529</f>
        <v/>
      </c>
    </row>
    <row r="4530">
      <c r="A4530">
        <f>TRIM(BASE_EQUIPOS!N4530)</f>
        <v/>
      </c>
      <c r="B4530">
        <f>BASE_EQUIPOS!A4530</f>
        <v/>
      </c>
      <c r="C4530">
        <f>BASE_EQUIPOS!B4530</f>
        <v/>
      </c>
      <c r="D4530">
        <f>BASE_EQUIPOS!D4530</f>
        <v/>
      </c>
      <c r="E4530">
        <f>BASE_EQUIPOS!G4530</f>
        <v/>
      </c>
      <c r="F4530">
        <f>BASE_EQUIPOS!H4530</f>
        <v/>
      </c>
      <c r="G4530">
        <f>BASE_EQUIPOS!M4530</f>
        <v/>
      </c>
    </row>
    <row r="4531">
      <c r="A4531">
        <f>TRIM(BASE_EQUIPOS!N4531)</f>
        <v/>
      </c>
      <c r="B4531">
        <f>BASE_EQUIPOS!A4531</f>
        <v/>
      </c>
      <c r="C4531">
        <f>BASE_EQUIPOS!B4531</f>
        <v/>
      </c>
      <c r="D4531">
        <f>BASE_EQUIPOS!D4531</f>
        <v/>
      </c>
      <c r="E4531">
        <f>BASE_EQUIPOS!G4531</f>
        <v/>
      </c>
      <c r="F4531">
        <f>BASE_EQUIPOS!H4531</f>
        <v/>
      </c>
      <c r="G4531">
        <f>BASE_EQUIPOS!M4531</f>
        <v/>
      </c>
    </row>
    <row r="4532">
      <c r="A4532">
        <f>TRIM(BASE_EQUIPOS!N4532)</f>
        <v/>
      </c>
      <c r="B4532">
        <f>BASE_EQUIPOS!A4532</f>
        <v/>
      </c>
      <c r="C4532">
        <f>BASE_EQUIPOS!B4532</f>
        <v/>
      </c>
      <c r="D4532">
        <f>BASE_EQUIPOS!D4532</f>
        <v/>
      </c>
      <c r="E4532">
        <f>BASE_EQUIPOS!G4532</f>
        <v/>
      </c>
      <c r="F4532">
        <f>BASE_EQUIPOS!H4532</f>
        <v/>
      </c>
      <c r="G4532">
        <f>BASE_EQUIPOS!M4532</f>
        <v/>
      </c>
    </row>
    <row r="4533">
      <c r="A4533">
        <f>TRIM(BASE_EQUIPOS!N4533)</f>
        <v/>
      </c>
      <c r="B4533">
        <f>BASE_EQUIPOS!A4533</f>
        <v/>
      </c>
      <c r="C4533">
        <f>BASE_EQUIPOS!B4533</f>
        <v/>
      </c>
      <c r="D4533">
        <f>BASE_EQUIPOS!D4533</f>
        <v/>
      </c>
      <c r="E4533">
        <f>BASE_EQUIPOS!G4533</f>
        <v/>
      </c>
      <c r="F4533">
        <f>BASE_EQUIPOS!H4533</f>
        <v/>
      </c>
      <c r="G4533">
        <f>BASE_EQUIPOS!M4533</f>
        <v/>
      </c>
    </row>
    <row r="4534">
      <c r="A4534">
        <f>TRIM(BASE_EQUIPOS!N4534)</f>
        <v/>
      </c>
      <c r="B4534">
        <f>BASE_EQUIPOS!A4534</f>
        <v/>
      </c>
      <c r="C4534">
        <f>BASE_EQUIPOS!B4534</f>
        <v/>
      </c>
      <c r="D4534">
        <f>BASE_EQUIPOS!D4534</f>
        <v/>
      </c>
      <c r="E4534">
        <f>BASE_EQUIPOS!G4534</f>
        <v/>
      </c>
      <c r="F4534">
        <f>BASE_EQUIPOS!H4534</f>
        <v/>
      </c>
      <c r="G4534">
        <f>BASE_EQUIPOS!M4534</f>
        <v/>
      </c>
    </row>
    <row r="4535">
      <c r="A4535">
        <f>TRIM(BASE_EQUIPOS!N4535)</f>
        <v/>
      </c>
      <c r="B4535">
        <f>BASE_EQUIPOS!A4535</f>
        <v/>
      </c>
      <c r="C4535">
        <f>BASE_EQUIPOS!B4535</f>
        <v/>
      </c>
      <c r="D4535">
        <f>BASE_EQUIPOS!D4535</f>
        <v/>
      </c>
      <c r="E4535">
        <f>BASE_EQUIPOS!G4535</f>
        <v/>
      </c>
      <c r="F4535">
        <f>BASE_EQUIPOS!H4535</f>
        <v/>
      </c>
      <c r="G4535">
        <f>BASE_EQUIPOS!M4535</f>
        <v/>
      </c>
    </row>
    <row r="4536">
      <c r="A4536">
        <f>TRIM(BASE_EQUIPOS!N4536)</f>
        <v/>
      </c>
      <c r="B4536">
        <f>BASE_EQUIPOS!A4536</f>
        <v/>
      </c>
      <c r="C4536">
        <f>BASE_EQUIPOS!B4536</f>
        <v/>
      </c>
      <c r="D4536">
        <f>BASE_EQUIPOS!D4536</f>
        <v/>
      </c>
      <c r="E4536">
        <f>BASE_EQUIPOS!G4536</f>
        <v/>
      </c>
      <c r="F4536">
        <f>BASE_EQUIPOS!H4536</f>
        <v/>
      </c>
      <c r="G4536">
        <f>BASE_EQUIPOS!M4536</f>
        <v/>
      </c>
    </row>
    <row r="4537">
      <c r="A4537">
        <f>TRIM(BASE_EQUIPOS!N4537)</f>
        <v/>
      </c>
      <c r="B4537">
        <f>BASE_EQUIPOS!A4537</f>
        <v/>
      </c>
      <c r="C4537">
        <f>BASE_EQUIPOS!B4537</f>
        <v/>
      </c>
      <c r="D4537">
        <f>BASE_EQUIPOS!D4537</f>
        <v/>
      </c>
      <c r="E4537">
        <f>BASE_EQUIPOS!G4537</f>
        <v/>
      </c>
      <c r="F4537">
        <f>BASE_EQUIPOS!H4537</f>
        <v/>
      </c>
      <c r="G4537">
        <f>BASE_EQUIPOS!M4537</f>
        <v/>
      </c>
    </row>
    <row r="4538">
      <c r="A4538">
        <f>TRIM(BASE_EQUIPOS!N4538)</f>
        <v/>
      </c>
      <c r="B4538">
        <f>BASE_EQUIPOS!A4538</f>
        <v/>
      </c>
      <c r="C4538">
        <f>BASE_EQUIPOS!B4538</f>
        <v/>
      </c>
      <c r="D4538">
        <f>BASE_EQUIPOS!D4538</f>
        <v/>
      </c>
      <c r="E4538">
        <f>BASE_EQUIPOS!G4538</f>
        <v/>
      </c>
      <c r="F4538">
        <f>BASE_EQUIPOS!H4538</f>
        <v/>
      </c>
      <c r="G4538">
        <f>BASE_EQUIPOS!M4538</f>
        <v/>
      </c>
    </row>
    <row r="4539">
      <c r="A4539">
        <f>TRIM(BASE_EQUIPOS!N4539)</f>
        <v/>
      </c>
      <c r="B4539">
        <f>BASE_EQUIPOS!A4539</f>
        <v/>
      </c>
      <c r="C4539">
        <f>BASE_EQUIPOS!B4539</f>
        <v/>
      </c>
      <c r="D4539">
        <f>BASE_EQUIPOS!D4539</f>
        <v/>
      </c>
      <c r="E4539">
        <f>BASE_EQUIPOS!G4539</f>
        <v/>
      </c>
      <c r="F4539">
        <f>BASE_EQUIPOS!H4539</f>
        <v/>
      </c>
      <c r="G4539">
        <f>BASE_EQUIPOS!M4539</f>
        <v/>
      </c>
    </row>
    <row r="4540">
      <c r="A4540">
        <f>TRIM(BASE_EQUIPOS!N4540)</f>
        <v/>
      </c>
      <c r="B4540">
        <f>BASE_EQUIPOS!A4540</f>
        <v/>
      </c>
      <c r="C4540">
        <f>BASE_EQUIPOS!B4540</f>
        <v/>
      </c>
      <c r="D4540">
        <f>BASE_EQUIPOS!D4540</f>
        <v/>
      </c>
      <c r="E4540">
        <f>BASE_EQUIPOS!G4540</f>
        <v/>
      </c>
      <c r="F4540">
        <f>BASE_EQUIPOS!H4540</f>
        <v/>
      </c>
      <c r="G4540">
        <f>BASE_EQUIPOS!M4540</f>
        <v/>
      </c>
    </row>
    <row r="4541">
      <c r="A4541">
        <f>TRIM(BASE_EQUIPOS!N4541)</f>
        <v/>
      </c>
      <c r="B4541">
        <f>BASE_EQUIPOS!A4541</f>
        <v/>
      </c>
      <c r="C4541">
        <f>BASE_EQUIPOS!B4541</f>
        <v/>
      </c>
      <c r="D4541">
        <f>BASE_EQUIPOS!D4541</f>
        <v/>
      </c>
      <c r="E4541">
        <f>BASE_EQUIPOS!G4541</f>
        <v/>
      </c>
      <c r="F4541">
        <f>BASE_EQUIPOS!H4541</f>
        <v/>
      </c>
      <c r="G4541">
        <f>BASE_EQUIPOS!M4541</f>
        <v/>
      </c>
    </row>
    <row r="4542">
      <c r="A4542">
        <f>TRIM(BASE_EQUIPOS!N4542)</f>
        <v/>
      </c>
      <c r="B4542">
        <f>BASE_EQUIPOS!A4542</f>
        <v/>
      </c>
      <c r="C4542">
        <f>BASE_EQUIPOS!B4542</f>
        <v/>
      </c>
      <c r="D4542">
        <f>BASE_EQUIPOS!D4542</f>
        <v/>
      </c>
      <c r="E4542">
        <f>BASE_EQUIPOS!G4542</f>
        <v/>
      </c>
      <c r="F4542">
        <f>BASE_EQUIPOS!H4542</f>
        <v/>
      </c>
      <c r="G4542">
        <f>BASE_EQUIPOS!M4542</f>
        <v/>
      </c>
    </row>
    <row r="4543">
      <c r="A4543">
        <f>TRIM(BASE_EQUIPOS!N4543)</f>
        <v/>
      </c>
      <c r="B4543">
        <f>BASE_EQUIPOS!A4543</f>
        <v/>
      </c>
      <c r="C4543">
        <f>BASE_EQUIPOS!B4543</f>
        <v/>
      </c>
      <c r="D4543">
        <f>BASE_EQUIPOS!D4543</f>
        <v/>
      </c>
      <c r="E4543">
        <f>BASE_EQUIPOS!G4543</f>
        <v/>
      </c>
      <c r="F4543">
        <f>BASE_EQUIPOS!H4543</f>
        <v/>
      </c>
      <c r="G4543">
        <f>BASE_EQUIPOS!M4543</f>
        <v/>
      </c>
    </row>
    <row r="4544">
      <c r="A4544">
        <f>TRIM(BASE_EQUIPOS!N4544)</f>
        <v/>
      </c>
      <c r="B4544">
        <f>BASE_EQUIPOS!A4544</f>
        <v/>
      </c>
      <c r="C4544">
        <f>BASE_EQUIPOS!B4544</f>
        <v/>
      </c>
      <c r="D4544">
        <f>BASE_EQUIPOS!D4544</f>
        <v/>
      </c>
      <c r="E4544">
        <f>BASE_EQUIPOS!G4544</f>
        <v/>
      </c>
      <c r="F4544">
        <f>BASE_EQUIPOS!H4544</f>
        <v/>
      </c>
      <c r="G4544">
        <f>BASE_EQUIPOS!M4544</f>
        <v/>
      </c>
    </row>
    <row r="4545">
      <c r="A4545">
        <f>TRIM(BASE_EQUIPOS!N4545)</f>
        <v/>
      </c>
      <c r="B4545">
        <f>BASE_EQUIPOS!A4545</f>
        <v/>
      </c>
      <c r="C4545">
        <f>BASE_EQUIPOS!B4545</f>
        <v/>
      </c>
      <c r="D4545">
        <f>BASE_EQUIPOS!D4545</f>
        <v/>
      </c>
      <c r="E4545">
        <f>BASE_EQUIPOS!G4545</f>
        <v/>
      </c>
      <c r="F4545">
        <f>BASE_EQUIPOS!H4545</f>
        <v/>
      </c>
      <c r="G4545">
        <f>BASE_EQUIPOS!M4545</f>
        <v/>
      </c>
    </row>
    <row r="4546">
      <c r="A4546">
        <f>TRIM(BASE_EQUIPOS!N4546)</f>
        <v/>
      </c>
      <c r="B4546">
        <f>BASE_EQUIPOS!A4546</f>
        <v/>
      </c>
      <c r="C4546">
        <f>BASE_EQUIPOS!B4546</f>
        <v/>
      </c>
      <c r="D4546">
        <f>BASE_EQUIPOS!D4546</f>
        <v/>
      </c>
      <c r="E4546">
        <f>BASE_EQUIPOS!G4546</f>
        <v/>
      </c>
      <c r="F4546">
        <f>BASE_EQUIPOS!H4546</f>
        <v/>
      </c>
      <c r="G4546">
        <f>BASE_EQUIPOS!M4546</f>
        <v/>
      </c>
    </row>
    <row r="4547">
      <c r="A4547">
        <f>TRIM(BASE_EQUIPOS!N4547)</f>
        <v/>
      </c>
      <c r="B4547">
        <f>BASE_EQUIPOS!A4547</f>
        <v/>
      </c>
      <c r="C4547">
        <f>BASE_EQUIPOS!B4547</f>
        <v/>
      </c>
      <c r="D4547">
        <f>BASE_EQUIPOS!D4547</f>
        <v/>
      </c>
      <c r="E4547">
        <f>BASE_EQUIPOS!G4547</f>
        <v/>
      </c>
      <c r="F4547">
        <f>BASE_EQUIPOS!H4547</f>
        <v/>
      </c>
      <c r="G4547">
        <f>BASE_EQUIPOS!M4547</f>
        <v/>
      </c>
    </row>
    <row r="4548">
      <c r="A4548">
        <f>TRIM(BASE_EQUIPOS!N4548)</f>
        <v/>
      </c>
      <c r="B4548">
        <f>BASE_EQUIPOS!A4548</f>
        <v/>
      </c>
      <c r="C4548">
        <f>BASE_EQUIPOS!B4548</f>
        <v/>
      </c>
      <c r="D4548">
        <f>BASE_EQUIPOS!D4548</f>
        <v/>
      </c>
      <c r="E4548">
        <f>BASE_EQUIPOS!G4548</f>
        <v/>
      </c>
      <c r="F4548">
        <f>BASE_EQUIPOS!H4548</f>
        <v/>
      </c>
      <c r="G4548">
        <f>BASE_EQUIPOS!M4548</f>
        <v/>
      </c>
    </row>
    <row r="4549">
      <c r="A4549">
        <f>TRIM(BASE_EQUIPOS!N4549)</f>
        <v/>
      </c>
      <c r="B4549">
        <f>BASE_EQUIPOS!A4549</f>
        <v/>
      </c>
      <c r="C4549">
        <f>BASE_EQUIPOS!B4549</f>
        <v/>
      </c>
      <c r="D4549">
        <f>BASE_EQUIPOS!D4549</f>
        <v/>
      </c>
      <c r="E4549">
        <f>BASE_EQUIPOS!G4549</f>
        <v/>
      </c>
      <c r="F4549">
        <f>BASE_EQUIPOS!H4549</f>
        <v/>
      </c>
      <c r="G4549">
        <f>BASE_EQUIPOS!M4549</f>
        <v/>
      </c>
    </row>
    <row r="4550">
      <c r="A4550">
        <f>TRIM(BASE_EQUIPOS!N4550)</f>
        <v/>
      </c>
      <c r="B4550">
        <f>BASE_EQUIPOS!A4550</f>
        <v/>
      </c>
      <c r="C4550">
        <f>BASE_EQUIPOS!B4550</f>
        <v/>
      </c>
      <c r="D4550">
        <f>BASE_EQUIPOS!D4550</f>
        <v/>
      </c>
      <c r="E4550">
        <f>BASE_EQUIPOS!G4550</f>
        <v/>
      </c>
      <c r="F4550">
        <f>BASE_EQUIPOS!H4550</f>
        <v/>
      </c>
      <c r="G4550">
        <f>BASE_EQUIPOS!M4550</f>
        <v/>
      </c>
    </row>
    <row r="4551">
      <c r="A4551">
        <f>TRIM(BASE_EQUIPOS!N4551)</f>
        <v/>
      </c>
      <c r="B4551">
        <f>BASE_EQUIPOS!A4551</f>
        <v/>
      </c>
      <c r="C4551">
        <f>BASE_EQUIPOS!B4551</f>
        <v/>
      </c>
      <c r="D4551">
        <f>BASE_EQUIPOS!D4551</f>
        <v/>
      </c>
      <c r="E4551">
        <f>BASE_EQUIPOS!G4551</f>
        <v/>
      </c>
      <c r="F4551">
        <f>BASE_EQUIPOS!H4551</f>
        <v/>
      </c>
      <c r="G4551">
        <f>BASE_EQUIPOS!M4551</f>
        <v/>
      </c>
    </row>
    <row r="4552">
      <c r="A4552">
        <f>TRIM(BASE_EQUIPOS!N4552)</f>
        <v/>
      </c>
      <c r="B4552">
        <f>BASE_EQUIPOS!A4552</f>
        <v/>
      </c>
      <c r="C4552">
        <f>BASE_EQUIPOS!B4552</f>
        <v/>
      </c>
      <c r="D4552">
        <f>BASE_EQUIPOS!D4552</f>
        <v/>
      </c>
      <c r="E4552">
        <f>BASE_EQUIPOS!G4552</f>
        <v/>
      </c>
      <c r="F4552">
        <f>BASE_EQUIPOS!H4552</f>
        <v/>
      </c>
      <c r="G4552">
        <f>BASE_EQUIPOS!M4552</f>
        <v/>
      </c>
    </row>
    <row r="4553">
      <c r="A4553">
        <f>TRIM(BASE_EQUIPOS!N4553)</f>
        <v/>
      </c>
      <c r="B4553">
        <f>BASE_EQUIPOS!A4553</f>
        <v/>
      </c>
      <c r="C4553">
        <f>BASE_EQUIPOS!B4553</f>
        <v/>
      </c>
      <c r="D4553">
        <f>BASE_EQUIPOS!D4553</f>
        <v/>
      </c>
      <c r="E4553">
        <f>BASE_EQUIPOS!G4553</f>
        <v/>
      </c>
      <c r="F4553">
        <f>BASE_EQUIPOS!H4553</f>
        <v/>
      </c>
      <c r="G4553">
        <f>BASE_EQUIPOS!M4553</f>
        <v/>
      </c>
    </row>
    <row r="4554">
      <c r="A4554">
        <f>TRIM(BASE_EQUIPOS!N4554)</f>
        <v/>
      </c>
      <c r="B4554">
        <f>BASE_EQUIPOS!A4554</f>
        <v/>
      </c>
      <c r="C4554">
        <f>BASE_EQUIPOS!B4554</f>
        <v/>
      </c>
      <c r="D4554">
        <f>BASE_EQUIPOS!D4554</f>
        <v/>
      </c>
      <c r="E4554">
        <f>BASE_EQUIPOS!G4554</f>
        <v/>
      </c>
      <c r="F4554">
        <f>BASE_EQUIPOS!H4554</f>
        <v/>
      </c>
      <c r="G4554">
        <f>BASE_EQUIPOS!M4554</f>
        <v/>
      </c>
    </row>
    <row r="4555">
      <c r="A4555">
        <f>TRIM(BASE_EQUIPOS!N4555)</f>
        <v/>
      </c>
      <c r="B4555">
        <f>BASE_EQUIPOS!A4555</f>
        <v/>
      </c>
      <c r="C4555">
        <f>BASE_EQUIPOS!B4555</f>
        <v/>
      </c>
      <c r="D4555">
        <f>BASE_EQUIPOS!D4555</f>
        <v/>
      </c>
      <c r="E4555">
        <f>BASE_EQUIPOS!G4555</f>
        <v/>
      </c>
      <c r="F4555">
        <f>BASE_EQUIPOS!H4555</f>
        <v/>
      </c>
      <c r="G4555">
        <f>BASE_EQUIPOS!M4555</f>
        <v/>
      </c>
    </row>
    <row r="4556">
      <c r="A4556">
        <f>TRIM(BASE_EQUIPOS!N4556)</f>
        <v/>
      </c>
      <c r="B4556">
        <f>BASE_EQUIPOS!A4556</f>
        <v/>
      </c>
      <c r="C4556">
        <f>BASE_EQUIPOS!B4556</f>
        <v/>
      </c>
      <c r="D4556">
        <f>BASE_EQUIPOS!D4556</f>
        <v/>
      </c>
      <c r="E4556">
        <f>BASE_EQUIPOS!G4556</f>
        <v/>
      </c>
      <c r="F4556">
        <f>BASE_EQUIPOS!H4556</f>
        <v/>
      </c>
      <c r="G4556">
        <f>BASE_EQUIPOS!M4556</f>
        <v/>
      </c>
    </row>
    <row r="4557">
      <c r="A4557">
        <f>TRIM(BASE_EQUIPOS!N4557)</f>
        <v/>
      </c>
      <c r="B4557">
        <f>BASE_EQUIPOS!A4557</f>
        <v/>
      </c>
      <c r="C4557">
        <f>BASE_EQUIPOS!B4557</f>
        <v/>
      </c>
      <c r="D4557">
        <f>BASE_EQUIPOS!D4557</f>
        <v/>
      </c>
      <c r="E4557">
        <f>BASE_EQUIPOS!G4557</f>
        <v/>
      </c>
      <c r="F4557">
        <f>BASE_EQUIPOS!H4557</f>
        <v/>
      </c>
      <c r="G4557">
        <f>BASE_EQUIPOS!M4557</f>
        <v/>
      </c>
    </row>
    <row r="4558">
      <c r="A4558">
        <f>TRIM(BASE_EQUIPOS!N4558)</f>
        <v/>
      </c>
      <c r="B4558">
        <f>BASE_EQUIPOS!A4558</f>
        <v/>
      </c>
      <c r="C4558">
        <f>BASE_EQUIPOS!B4558</f>
        <v/>
      </c>
      <c r="D4558">
        <f>BASE_EQUIPOS!D4558</f>
        <v/>
      </c>
      <c r="E4558">
        <f>BASE_EQUIPOS!G4558</f>
        <v/>
      </c>
      <c r="F4558">
        <f>BASE_EQUIPOS!H4558</f>
        <v/>
      </c>
      <c r="G4558">
        <f>BASE_EQUIPOS!M4558</f>
        <v/>
      </c>
    </row>
    <row r="4559">
      <c r="A4559">
        <f>TRIM(BASE_EQUIPOS!N4559)</f>
        <v/>
      </c>
      <c r="B4559">
        <f>BASE_EQUIPOS!A4559</f>
        <v/>
      </c>
      <c r="C4559">
        <f>BASE_EQUIPOS!B4559</f>
        <v/>
      </c>
      <c r="D4559">
        <f>BASE_EQUIPOS!D4559</f>
        <v/>
      </c>
      <c r="E4559">
        <f>BASE_EQUIPOS!G4559</f>
        <v/>
      </c>
      <c r="F4559">
        <f>BASE_EQUIPOS!H4559</f>
        <v/>
      </c>
      <c r="G4559">
        <f>BASE_EQUIPOS!M4559</f>
        <v/>
      </c>
    </row>
    <row r="4560">
      <c r="A4560">
        <f>TRIM(BASE_EQUIPOS!N4560)</f>
        <v/>
      </c>
      <c r="B4560">
        <f>BASE_EQUIPOS!A4560</f>
        <v/>
      </c>
      <c r="C4560">
        <f>BASE_EQUIPOS!B4560</f>
        <v/>
      </c>
      <c r="D4560">
        <f>BASE_EQUIPOS!D4560</f>
        <v/>
      </c>
      <c r="E4560">
        <f>BASE_EQUIPOS!G4560</f>
        <v/>
      </c>
      <c r="F4560">
        <f>BASE_EQUIPOS!H4560</f>
        <v/>
      </c>
      <c r="G4560">
        <f>BASE_EQUIPOS!M4560</f>
        <v/>
      </c>
    </row>
    <row r="4561">
      <c r="A4561">
        <f>TRIM(BASE_EQUIPOS!N4561)</f>
        <v/>
      </c>
      <c r="B4561">
        <f>BASE_EQUIPOS!A4561</f>
        <v/>
      </c>
      <c r="C4561">
        <f>BASE_EQUIPOS!B4561</f>
        <v/>
      </c>
      <c r="D4561">
        <f>BASE_EQUIPOS!D4561</f>
        <v/>
      </c>
      <c r="E4561">
        <f>BASE_EQUIPOS!G4561</f>
        <v/>
      </c>
      <c r="F4561">
        <f>BASE_EQUIPOS!H4561</f>
        <v/>
      </c>
      <c r="G4561">
        <f>BASE_EQUIPOS!M4561</f>
        <v/>
      </c>
    </row>
    <row r="4562">
      <c r="A4562">
        <f>TRIM(BASE_EQUIPOS!N4562)</f>
        <v/>
      </c>
      <c r="B4562">
        <f>BASE_EQUIPOS!A4562</f>
        <v/>
      </c>
      <c r="C4562">
        <f>BASE_EQUIPOS!B4562</f>
        <v/>
      </c>
      <c r="D4562">
        <f>BASE_EQUIPOS!D4562</f>
        <v/>
      </c>
      <c r="E4562">
        <f>BASE_EQUIPOS!G4562</f>
        <v/>
      </c>
      <c r="F4562">
        <f>BASE_EQUIPOS!H4562</f>
        <v/>
      </c>
      <c r="G4562">
        <f>BASE_EQUIPOS!M4562</f>
        <v/>
      </c>
    </row>
    <row r="4563">
      <c r="A4563">
        <f>TRIM(BASE_EQUIPOS!N4563)</f>
        <v/>
      </c>
      <c r="B4563">
        <f>BASE_EQUIPOS!A4563</f>
        <v/>
      </c>
      <c r="C4563">
        <f>BASE_EQUIPOS!B4563</f>
        <v/>
      </c>
      <c r="D4563">
        <f>BASE_EQUIPOS!D4563</f>
        <v/>
      </c>
      <c r="E4563">
        <f>BASE_EQUIPOS!G4563</f>
        <v/>
      </c>
      <c r="F4563">
        <f>BASE_EQUIPOS!H4563</f>
        <v/>
      </c>
      <c r="G4563">
        <f>BASE_EQUIPOS!M4563</f>
        <v/>
      </c>
    </row>
    <row r="4564">
      <c r="A4564">
        <f>TRIM(BASE_EQUIPOS!N4564)</f>
        <v/>
      </c>
      <c r="B4564">
        <f>BASE_EQUIPOS!A4564</f>
        <v/>
      </c>
      <c r="C4564">
        <f>BASE_EQUIPOS!B4564</f>
        <v/>
      </c>
      <c r="D4564">
        <f>BASE_EQUIPOS!D4564</f>
        <v/>
      </c>
      <c r="E4564">
        <f>BASE_EQUIPOS!G4564</f>
        <v/>
      </c>
      <c r="F4564">
        <f>BASE_EQUIPOS!H4564</f>
        <v/>
      </c>
      <c r="G4564">
        <f>BASE_EQUIPOS!M4564</f>
        <v/>
      </c>
    </row>
    <row r="4565">
      <c r="A4565">
        <f>TRIM(BASE_EQUIPOS!N4565)</f>
        <v/>
      </c>
      <c r="B4565">
        <f>BASE_EQUIPOS!A4565</f>
        <v/>
      </c>
      <c r="C4565">
        <f>BASE_EQUIPOS!B4565</f>
        <v/>
      </c>
      <c r="D4565">
        <f>BASE_EQUIPOS!D4565</f>
        <v/>
      </c>
      <c r="E4565">
        <f>BASE_EQUIPOS!G4565</f>
        <v/>
      </c>
      <c r="F4565">
        <f>BASE_EQUIPOS!H4565</f>
        <v/>
      </c>
      <c r="G4565">
        <f>BASE_EQUIPOS!M4565</f>
        <v/>
      </c>
    </row>
    <row r="4566">
      <c r="A4566">
        <f>TRIM(BASE_EQUIPOS!N4566)</f>
        <v/>
      </c>
      <c r="B4566">
        <f>BASE_EQUIPOS!A4566</f>
        <v/>
      </c>
      <c r="C4566">
        <f>BASE_EQUIPOS!B4566</f>
        <v/>
      </c>
      <c r="D4566">
        <f>BASE_EQUIPOS!D4566</f>
        <v/>
      </c>
      <c r="E4566">
        <f>BASE_EQUIPOS!G4566</f>
        <v/>
      </c>
      <c r="F4566">
        <f>BASE_EQUIPOS!H4566</f>
        <v/>
      </c>
      <c r="G4566">
        <f>BASE_EQUIPOS!M4566</f>
        <v/>
      </c>
    </row>
    <row r="4567">
      <c r="A4567">
        <f>TRIM(BASE_EQUIPOS!N4567)</f>
        <v/>
      </c>
      <c r="B4567">
        <f>BASE_EQUIPOS!A4567</f>
        <v/>
      </c>
      <c r="C4567">
        <f>BASE_EQUIPOS!B4567</f>
        <v/>
      </c>
      <c r="D4567">
        <f>BASE_EQUIPOS!D4567</f>
        <v/>
      </c>
      <c r="E4567">
        <f>BASE_EQUIPOS!G4567</f>
        <v/>
      </c>
      <c r="F4567">
        <f>BASE_EQUIPOS!H4567</f>
        <v/>
      </c>
      <c r="G4567">
        <f>BASE_EQUIPOS!M4567</f>
        <v/>
      </c>
    </row>
    <row r="4568">
      <c r="A4568">
        <f>TRIM(BASE_EQUIPOS!N4568)</f>
        <v/>
      </c>
      <c r="B4568">
        <f>BASE_EQUIPOS!A4568</f>
        <v/>
      </c>
      <c r="C4568">
        <f>BASE_EQUIPOS!B4568</f>
        <v/>
      </c>
      <c r="D4568">
        <f>BASE_EQUIPOS!D4568</f>
        <v/>
      </c>
      <c r="E4568">
        <f>BASE_EQUIPOS!G4568</f>
        <v/>
      </c>
      <c r="F4568">
        <f>BASE_EQUIPOS!H4568</f>
        <v/>
      </c>
      <c r="G4568">
        <f>BASE_EQUIPOS!M4568</f>
        <v/>
      </c>
    </row>
    <row r="4569">
      <c r="A4569">
        <f>TRIM(BASE_EQUIPOS!N4569)</f>
        <v/>
      </c>
      <c r="B4569">
        <f>BASE_EQUIPOS!A4569</f>
        <v/>
      </c>
      <c r="C4569">
        <f>BASE_EQUIPOS!B4569</f>
        <v/>
      </c>
      <c r="D4569">
        <f>BASE_EQUIPOS!D4569</f>
        <v/>
      </c>
      <c r="E4569">
        <f>BASE_EQUIPOS!G4569</f>
        <v/>
      </c>
      <c r="F4569">
        <f>BASE_EQUIPOS!H4569</f>
        <v/>
      </c>
      <c r="G4569">
        <f>BASE_EQUIPOS!M4569</f>
        <v/>
      </c>
    </row>
    <row r="4570">
      <c r="A4570">
        <f>TRIM(BASE_EQUIPOS!N4570)</f>
        <v/>
      </c>
      <c r="B4570">
        <f>BASE_EQUIPOS!A4570</f>
        <v/>
      </c>
      <c r="C4570">
        <f>BASE_EQUIPOS!B4570</f>
        <v/>
      </c>
      <c r="D4570">
        <f>BASE_EQUIPOS!D4570</f>
        <v/>
      </c>
      <c r="E4570">
        <f>BASE_EQUIPOS!G4570</f>
        <v/>
      </c>
      <c r="F4570">
        <f>BASE_EQUIPOS!H4570</f>
        <v/>
      </c>
      <c r="G4570">
        <f>BASE_EQUIPOS!M4570</f>
        <v/>
      </c>
    </row>
    <row r="4571">
      <c r="A4571">
        <f>TRIM(BASE_EQUIPOS!N4571)</f>
        <v/>
      </c>
      <c r="B4571">
        <f>BASE_EQUIPOS!A4571</f>
        <v/>
      </c>
      <c r="C4571">
        <f>BASE_EQUIPOS!B4571</f>
        <v/>
      </c>
      <c r="D4571">
        <f>BASE_EQUIPOS!D4571</f>
        <v/>
      </c>
      <c r="E4571">
        <f>BASE_EQUIPOS!G4571</f>
        <v/>
      </c>
      <c r="F4571">
        <f>BASE_EQUIPOS!H4571</f>
        <v/>
      </c>
      <c r="G4571">
        <f>BASE_EQUIPOS!M4571</f>
        <v/>
      </c>
    </row>
    <row r="4572">
      <c r="A4572">
        <f>TRIM(BASE_EQUIPOS!N4572)</f>
        <v/>
      </c>
      <c r="B4572">
        <f>BASE_EQUIPOS!A4572</f>
        <v/>
      </c>
      <c r="C4572">
        <f>BASE_EQUIPOS!B4572</f>
        <v/>
      </c>
      <c r="D4572">
        <f>BASE_EQUIPOS!D4572</f>
        <v/>
      </c>
      <c r="E4572">
        <f>BASE_EQUIPOS!G4572</f>
        <v/>
      </c>
      <c r="F4572">
        <f>BASE_EQUIPOS!H4572</f>
        <v/>
      </c>
      <c r="G4572">
        <f>BASE_EQUIPOS!M4572</f>
        <v/>
      </c>
    </row>
    <row r="4573">
      <c r="A4573">
        <f>TRIM(BASE_EQUIPOS!N4573)</f>
        <v/>
      </c>
      <c r="B4573">
        <f>BASE_EQUIPOS!A4573</f>
        <v/>
      </c>
      <c r="C4573">
        <f>BASE_EQUIPOS!B4573</f>
        <v/>
      </c>
      <c r="D4573">
        <f>BASE_EQUIPOS!D4573</f>
        <v/>
      </c>
      <c r="E4573">
        <f>BASE_EQUIPOS!G4573</f>
        <v/>
      </c>
      <c r="F4573">
        <f>BASE_EQUIPOS!H4573</f>
        <v/>
      </c>
      <c r="G4573">
        <f>BASE_EQUIPOS!M4573</f>
        <v/>
      </c>
    </row>
    <row r="4574">
      <c r="A4574">
        <f>TRIM(BASE_EQUIPOS!N4574)</f>
        <v/>
      </c>
      <c r="B4574">
        <f>BASE_EQUIPOS!A4574</f>
        <v/>
      </c>
      <c r="C4574">
        <f>BASE_EQUIPOS!B4574</f>
        <v/>
      </c>
      <c r="D4574">
        <f>BASE_EQUIPOS!D4574</f>
        <v/>
      </c>
      <c r="E4574">
        <f>BASE_EQUIPOS!G4574</f>
        <v/>
      </c>
      <c r="F4574">
        <f>BASE_EQUIPOS!H4574</f>
        <v/>
      </c>
      <c r="G4574">
        <f>BASE_EQUIPOS!M4574</f>
        <v/>
      </c>
    </row>
    <row r="4575">
      <c r="A4575">
        <f>TRIM(BASE_EQUIPOS!N4575)</f>
        <v/>
      </c>
      <c r="B4575">
        <f>BASE_EQUIPOS!A4575</f>
        <v/>
      </c>
      <c r="C4575">
        <f>BASE_EQUIPOS!B4575</f>
        <v/>
      </c>
      <c r="D4575">
        <f>BASE_EQUIPOS!D4575</f>
        <v/>
      </c>
      <c r="E4575">
        <f>BASE_EQUIPOS!G4575</f>
        <v/>
      </c>
      <c r="F4575">
        <f>BASE_EQUIPOS!H4575</f>
        <v/>
      </c>
      <c r="G4575">
        <f>BASE_EQUIPOS!M4575</f>
        <v/>
      </c>
    </row>
    <row r="4576">
      <c r="A4576">
        <f>TRIM(BASE_EQUIPOS!N4576)</f>
        <v/>
      </c>
      <c r="B4576">
        <f>BASE_EQUIPOS!A4576</f>
        <v/>
      </c>
      <c r="C4576">
        <f>BASE_EQUIPOS!B4576</f>
        <v/>
      </c>
      <c r="D4576">
        <f>BASE_EQUIPOS!D4576</f>
        <v/>
      </c>
      <c r="E4576">
        <f>BASE_EQUIPOS!G4576</f>
        <v/>
      </c>
      <c r="F4576">
        <f>BASE_EQUIPOS!H4576</f>
        <v/>
      </c>
      <c r="G4576">
        <f>BASE_EQUIPOS!M4576</f>
        <v/>
      </c>
    </row>
    <row r="4577">
      <c r="A4577">
        <f>TRIM(BASE_EQUIPOS!N4577)</f>
        <v/>
      </c>
      <c r="B4577">
        <f>BASE_EQUIPOS!A4577</f>
        <v/>
      </c>
      <c r="C4577">
        <f>BASE_EQUIPOS!B4577</f>
        <v/>
      </c>
      <c r="D4577">
        <f>BASE_EQUIPOS!D4577</f>
        <v/>
      </c>
      <c r="E4577">
        <f>BASE_EQUIPOS!G4577</f>
        <v/>
      </c>
      <c r="F4577">
        <f>BASE_EQUIPOS!H4577</f>
        <v/>
      </c>
      <c r="G4577">
        <f>BASE_EQUIPOS!M4577</f>
        <v/>
      </c>
    </row>
    <row r="4578">
      <c r="A4578">
        <f>TRIM(BASE_EQUIPOS!N4578)</f>
        <v/>
      </c>
      <c r="B4578">
        <f>BASE_EQUIPOS!A4578</f>
        <v/>
      </c>
      <c r="C4578">
        <f>BASE_EQUIPOS!B4578</f>
        <v/>
      </c>
      <c r="D4578">
        <f>BASE_EQUIPOS!D4578</f>
        <v/>
      </c>
      <c r="E4578">
        <f>BASE_EQUIPOS!G4578</f>
        <v/>
      </c>
      <c r="F4578">
        <f>BASE_EQUIPOS!H4578</f>
        <v/>
      </c>
      <c r="G4578">
        <f>BASE_EQUIPOS!M4578</f>
        <v/>
      </c>
    </row>
    <row r="4579">
      <c r="A4579">
        <f>TRIM(BASE_EQUIPOS!N4579)</f>
        <v/>
      </c>
      <c r="B4579">
        <f>BASE_EQUIPOS!A4579</f>
        <v/>
      </c>
      <c r="C4579">
        <f>BASE_EQUIPOS!B4579</f>
        <v/>
      </c>
      <c r="D4579">
        <f>BASE_EQUIPOS!D4579</f>
        <v/>
      </c>
      <c r="E4579">
        <f>BASE_EQUIPOS!G4579</f>
        <v/>
      </c>
      <c r="F4579">
        <f>BASE_EQUIPOS!H4579</f>
        <v/>
      </c>
      <c r="G4579">
        <f>BASE_EQUIPOS!M4579</f>
        <v/>
      </c>
    </row>
    <row r="4580">
      <c r="A4580">
        <f>TRIM(BASE_EQUIPOS!N4580)</f>
        <v/>
      </c>
      <c r="B4580">
        <f>BASE_EQUIPOS!A4580</f>
        <v/>
      </c>
      <c r="C4580">
        <f>BASE_EQUIPOS!B4580</f>
        <v/>
      </c>
      <c r="D4580">
        <f>BASE_EQUIPOS!D4580</f>
        <v/>
      </c>
      <c r="E4580">
        <f>BASE_EQUIPOS!G4580</f>
        <v/>
      </c>
      <c r="F4580">
        <f>BASE_EQUIPOS!H4580</f>
        <v/>
      </c>
      <c r="G4580">
        <f>BASE_EQUIPOS!M4580</f>
        <v/>
      </c>
    </row>
    <row r="4581">
      <c r="A4581">
        <f>TRIM(BASE_EQUIPOS!N4581)</f>
        <v/>
      </c>
      <c r="B4581">
        <f>BASE_EQUIPOS!A4581</f>
        <v/>
      </c>
      <c r="C4581">
        <f>BASE_EQUIPOS!B4581</f>
        <v/>
      </c>
      <c r="D4581">
        <f>BASE_EQUIPOS!D4581</f>
        <v/>
      </c>
      <c r="E4581">
        <f>BASE_EQUIPOS!G4581</f>
        <v/>
      </c>
      <c r="F4581">
        <f>BASE_EQUIPOS!H4581</f>
        <v/>
      </c>
      <c r="G4581">
        <f>BASE_EQUIPOS!M4581</f>
        <v/>
      </c>
    </row>
    <row r="4582">
      <c r="A4582">
        <f>TRIM(BASE_EQUIPOS!N4582)</f>
        <v/>
      </c>
      <c r="B4582">
        <f>BASE_EQUIPOS!A4582</f>
        <v/>
      </c>
      <c r="C4582">
        <f>BASE_EQUIPOS!B4582</f>
        <v/>
      </c>
      <c r="D4582">
        <f>BASE_EQUIPOS!D4582</f>
        <v/>
      </c>
      <c r="E4582">
        <f>BASE_EQUIPOS!G4582</f>
        <v/>
      </c>
      <c r="F4582">
        <f>BASE_EQUIPOS!H4582</f>
        <v/>
      </c>
      <c r="G4582">
        <f>BASE_EQUIPOS!M4582</f>
        <v/>
      </c>
    </row>
    <row r="4583">
      <c r="A4583">
        <f>TRIM(BASE_EQUIPOS!N4583)</f>
        <v/>
      </c>
      <c r="B4583">
        <f>BASE_EQUIPOS!A4583</f>
        <v/>
      </c>
      <c r="C4583">
        <f>BASE_EQUIPOS!B4583</f>
        <v/>
      </c>
      <c r="D4583">
        <f>BASE_EQUIPOS!D4583</f>
        <v/>
      </c>
      <c r="E4583">
        <f>BASE_EQUIPOS!G4583</f>
        <v/>
      </c>
      <c r="F4583">
        <f>BASE_EQUIPOS!H4583</f>
        <v/>
      </c>
      <c r="G4583">
        <f>BASE_EQUIPOS!M4583</f>
        <v/>
      </c>
    </row>
    <row r="4584">
      <c r="A4584">
        <f>TRIM(BASE_EQUIPOS!N4584)</f>
        <v/>
      </c>
      <c r="B4584">
        <f>BASE_EQUIPOS!A4584</f>
        <v/>
      </c>
      <c r="C4584">
        <f>BASE_EQUIPOS!B4584</f>
        <v/>
      </c>
      <c r="D4584">
        <f>BASE_EQUIPOS!D4584</f>
        <v/>
      </c>
      <c r="E4584">
        <f>BASE_EQUIPOS!G4584</f>
        <v/>
      </c>
      <c r="F4584">
        <f>BASE_EQUIPOS!H4584</f>
        <v/>
      </c>
      <c r="G4584">
        <f>BASE_EQUIPOS!M4584</f>
        <v/>
      </c>
    </row>
    <row r="4585">
      <c r="A4585">
        <f>TRIM(BASE_EQUIPOS!N4585)</f>
        <v/>
      </c>
      <c r="B4585">
        <f>BASE_EQUIPOS!A4585</f>
        <v/>
      </c>
      <c r="C4585">
        <f>BASE_EQUIPOS!B4585</f>
        <v/>
      </c>
      <c r="D4585">
        <f>BASE_EQUIPOS!D4585</f>
        <v/>
      </c>
      <c r="E4585">
        <f>BASE_EQUIPOS!G4585</f>
        <v/>
      </c>
      <c r="F4585">
        <f>BASE_EQUIPOS!H4585</f>
        <v/>
      </c>
      <c r="G4585">
        <f>BASE_EQUIPOS!M4585</f>
        <v/>
      </c>
    </row>
    <row r="4586">
      <c r="A4586">
        <f>TRIM(BASE_EQUIPOS!N4586)</f>
        <v/>
      </c>
      <c r="B4586">
        <f>BASE_EQUIPOS!A4586</f>
        <v/>
      </c>
      <c r="C4586">
        <f>BASE_EQUIPOS!B4586</f>
        <v/>
      </c>
      <c r="D4586">
        <f>BASE_EQUIPOS!D4586</f>
        <v/>
      </c>
      <c r="E4586">
        <f>BASE_EQUIPOS!G4586</f>
        <v/>
      </c>
      <c r="F4586">
        <f>BASE_EQUIPOS!H4586</f>
        <v/>
      </c>
      <c r="G4586">
        <f>BASE_EQUIPOS!M4586</f>
        <v/>
      </c>
    </row>
    <row r="4587">
      <c r="A4587">
        <f>TRIM(BASE_EQUIPOS!N4587)</f>
        <v/>
      </c>
      <c r="B4587">
        <f>BASE_EQUIPOS!A4587</f>
        <v/>
      </c>
      <c r="C4587">
        <f>BASE_EQUIPOS!B4587</f>
        <v/>
      </c>
      <c r="D4587">
        <f>BASE_EQUIPOS!D4587</f>
        <v/>
      </c>
      <c r="E4587">
        <f>BASE_EQUIPOS!G4587</f>
        <v/>
      </c>
      <c r="F4587">
        <f>BASE_EQUIPOS!H4587</f>
        <v/>
      </c>
      <c r="G4587">
        <f>BASE_EQUIPOS!M4587</f>
        <v/>
      </c>
    </row>
    <row r="4588">
      <c r="A4588">
        <f>TRIM(BASE_EQUIPOS!N4588)</f>
        <v/>
      </c>
      <c r="B4588">
        <f>BASE_EQUIPOS!A4588</f>
        <v/>
      </c>
      <c r="C4588">
        <f>BASE_EQUIPOS!B4588</f>
        <v/>
      </c>
      <c r="D4588">
        <f>BASE_EQUIPOS!D4588</f>
        <v/>
      </c>
      <c r="E4588">
        <f>BASE_EQUIPOS!G4588</f>
        <v/>
      </c>
      <c r="F4588">
        <f>BASE_EQUIPOS!H4588</f>
        <v/>
      </c>
      <c r="G4588">
        <f>BASE_EQUIPOS!M4588</f>
        <v/>
      </c>
    </row>
    <row r="4589">
      <c r="A4589">
        <f>TRIM(BASE_EQUIPOS!N4589)</f>
        <v/>
      </c>
      <c r="B4589">
        <f>BASE_EQUIPOS!A4589</f>
        <v/>
      </c>
      <c r="C4589">
        <f>BASE_EQUIPOS!B4589</f>
        <v/>
      </c>
      <c r="D4589">
        <f>BASE_EQUIPOS!D4589</f>
        <v/>
      </c>
      <c r="E4589">
        <f>BASE_EQUIPOS!G4589</f>
        <v/>
      </c>
      <c r="F4589">
        <f>BASE_EQUIPOS!H4589</f>
        <v/>
      </c>
      <c r="G4589">
        <f>BASE_EQUIPOS!M4589</f>
        <v/>
      </c>
    </row>
    <row r="4590">
      <c r="A4590">
        <f>TRIM(BASE_EQUIPOS!N4590)</f>
        <v/>
      </c>
      <c r="B4590">
        <f>BASE_EQUIPOS!A4590</f>
        <v/>
      </c>
      <c r="C4590">
        <f>BASE_EQUIPOS!B4590</f>
        <v/>
      </c>
      <c r="D4590">
        <f>BASE_EQUIPOS!D4590</f>
        <v/>
      </c>
      <c r="E4590">
        <f>BASE_EQUIPOS!G4590</f>
        <v/>
      </c>
      <c r="F4590">
        <f>BASE_EQUIPOS!H4590</f>
        <v/>
      </c>
      <c r="G4590">
        <f>BASE_EQUIPOS!M4590</f>
        <v/>
      </c>
    </row>
    <row r="4591">
      <c r="A4591">
        <f>TRIM(BASE_EQUIPOS!N4591)</f>
        <v/>
      </c>
      <c r="B4591">
        <f>BASE_EQUIPOS!A4591</f>
        <v/>
      </c>
      <c r="C4591">
        <f>BASE_EQUIPOS!B4591</f>
        <v/>
      </c>
      <c r="D4591">
        <f>BASE_EQUIPOS!D4591</f>
        <v/>
      </c>
      <c r="E4591">
        <f>BASE_EQUIPOS!G4591</f>
        <v/>
      </c>
      <c r="F4591">
        <f>BASE_EQUIPOS!H4591</f>
        <v/>
      </c>
      <c r="G4591">
        <f>BASE_EQUIPOS!M4591</f>
        <v/>
      </c>
    </row>
    <row r="4592">
      <c r="A4592">
        <f>TRIM(BASE_EQUIPOS!N4592)</f>
        <v/>
      </c>
      <c r="B4592">
        <f>BASE_EQUIPOS!A4592</f>
        <v/>
      </c>
      <c r="C4592">
        <f>BASE_EQUIPOS!B4592</f>
        <v/>
      </c>
      <c r="D4592">
        <f>BASE_EQUIPOS!D4592</f>
        <v/>
      </c>
      <c r="E4592">
        <f>BASE_EQUIPOS!G4592</f>
        <v/>
      </c>
      <c r="F4592">
        <f>BASE_EQUIPOS!H4592</f>
        <v/>
      </c>
      <c r="G4592">
        <f>BASE_EQUIPOS!M4592</f>
        <v/>
      </c>
    </row>
    <row r="4593">
      <c r="A4593">
        <f>TRIM(BASE_EQUIPOS!N4593)</f>
        <v/>
      </c>
      <c r="B4593">
        <f>BASE_EQUIPOS!A4593</f>
        <v/>
      </c>
      <c r="C4593">
        <f>BASE_EQUIPOS!B4593</f>
        <v/>
      </c>
      <c r="D4593">
        <f>BASE_EQUIPOS!D4593</f>
        <v/>
      </c>
      <c r="E4593">
        <f>BASE_EQUIPOS!G4593</f>
        <v/>
      </c>
      <c r="F4593">
        <f>BASE_EQUIPOS!H4593</f>
        <v/>
      </c>
      <c r="G4593">
        <f>BASE_EQUIPOS!M4593</f>
        <v/>
      </c>
    </row>
    <row r="4594">
      <c r="A4594">
        <f>TRIM(BASE_EQUIPOS!N4594)</f>
        <v/>
      </c>
      <c r="B4594">
        <f>BASE_EQUIPOS!A4594</f>
        <v/>
      </c>
      <c r="C4594">
        <f>BASE_EQUIPOS!B4594</f>
        <v/>
      </c>
      <c r="D4594">
        <f>BASE_EQUIPOS!D4594</f>
        <v/>
      </c>
      <c r="E4594">
        <f>BASE_EQUIPOS!G4594</f>
        <v/>
      </c>
      <c r="F4594">
        <f>BASE_EQUIPOS!H4594</f>
        <v/>
      </c>
      <c r="G4594">
        <f>BASE_EQUIPOS!M4594</f>
        <v/>
      </c>
    </row>
    <row r="4595">
      <c r="A4595">
        <f>TRIM(BASE_EQUIPOS!N4595)</f>
        <v/>
      </c>
      <c r="B4595">
        <f>BASE_EQUIPOS!A4595</f>
        <v/>
      </c>
      <c r="C4595">
        <f>BASE_EQUIPOS!B4595</f>
        <v/>
      </c>
      <c r="D4595">
        <f>BASE_EQUIPOS!D4595</f>
        <v/>
      </c>
      <c r="E4595">
        <f>BASE_EQUIPOS!G4595</f>
        <v/>
      </c>
      <c r="F4595">
        <f>BASE_EQUIPOS!H4595</f>
        <v/>
      </c>
      <c r="G4595">
        <f>BASE_EQUIPOS!M4595</f>
        <v/>
      </c>
    </row>
    <row r="4596">
      <c r="A4596">
        <f>TRIM(BASE_EQUIPOS!N4596)</f>
        <v/>
      </c>
      <c r="B4596">
        <f>BASE_EQUIPOS!A4596</f>
        <v/>
      </c>
      <c r="C4596">
        <f>BASE_EQUIPOS!B4596</f>
        <v/>
      </c>
      <c r="D4596">
        <f>BASE_EQUIPOS!D4596</f>
        <v/>
      </c>
      <c r="E4596">
        <f>BASE_EQUIPOS!G4596</f>
        <v/>
      </c>
      <c r="F4596">
        <f>BASE_EQUIPOS!H4596</f>
        <v/>
      </c>
      <c r="G4596">
        <f>BASE_EQUIPOS!M4596</f>
        <v/>
      </c>
    </row>
    <row r="4597">
      <c r="A4597">
        <f>TRIM(BASE_EQUIPOS!N4597)</f>
        <v/>
      </c>
      <c r="B4597">
        <f>BASE_EQUIPOS!A4597</f>
        <v/>
      </c>
      <c r="C4597">
        <f>BASE_EQUIPOS!B4597</f>
        <v/>
      </c>
      <c r="D4597">
        <f>BASE_EQUIPOS!D4597</f>
        <v/>
      </c>
      <c r="E4597">
        <f>BASE_EQUIPOS!G4597</f>
        <v/>
      </c>
      <c r="F4597">
        <f>BASE_EQUIPOS!H4597</f>
        <v/>
      </c>
      <c r="G4597">
        <f>BASE_EQUIPOS!M4597</f>
        <v/>
      </c>
    </row>
    <row r="4598">
      <c r="A4598">
        <f>TRIM(BASE_EQUIPOS!N4598)</f>
        <v/>
      </c>
      <c r="B4598">
        <f>BASE_EQUIPOS!A4598</f>
        <v/>
      </c>
      <c r="C4598">
        <f>BASE_EQUIPOS!B4598</f>
        <v/>
      </c>
      <c r="D4598">
        <f>BASE_EQUIPOS!D4598</f>
        <v/>
      </c>
      <c r="E4598">
        <f>BASE_EQUIPOS!G4598</f>
        <v/>
      </c>
      <c r="F4598">
        <f>BASE_EQUIPOS!H4598</f>
        <v/>
      </c>
      <c r="G4598">
        <f>BASE_EQUIPOS!M4598</f>
        <v/>
      </c>
    </row>
    <row r="4599">
      <c r="A4599">
        <f>TRIM(BASE_EQUIPOS!N4599)</f>
        <v/>
      </c>
      <c r="B4599">
        <f>BASE_EQUIPOS!A4599</f>
        <v/>
      </c>
      <c r="C4599">
        <f>BASE_EQUIPOS!B4599</f>
        <v/>
      </c>
      <c r="D4599">
        <f>BASE_EQUIPOS!D4599</f>
        <v/>
      </c>
      <c r="E4599">
        <f>BASE_EQUIPOS!G4599</f>
        <v/>
      </c>
      <c r="F4599">
        <f>BASE_EQUIPOS!H4599</f>
        <v/>
      </c>
      <c r="G4599">
        <f>BASE_EQUIPOS!M4599</f>
        <v/>
      </c>
    </row>
    <row r="4600">
      <c r="A4600">
        <f>TRIM(BASE_EQUIPOS!N4600)</f>
        <v/>
      </c>
      <c r="B4600">
        <f>BASE_EQUIPOS!A4600</f>
        <v/>
      </c>
      <c r="C4600">
        <f>BASE_EQUIPOS!B4600</f>
        <v/>
      </c>
      <c r="D4600">
        <f>BASE_EQUIPOS!D4600</f>
        <v/>
      </c>
      <c r="E4600">
        <f>BASE_EQUIPOS!G4600</f>
        <v/>
      </c>
      <c r="F4600">
        <f>BASE_EQUIPOS!H4600</f>
        <v/>
      </c>
      <c r="G4600">
        <f>BASE_EQUIPOS!M4600</f>
        <v/>
      </c>
    </row>
    <row r="4601">
      <c r="A4601">
        <f>TRIM(BASE_EQUIPOS!N4601)</f>
        <v/>
      </c>
      <c r="B4601">
        <f>BASE_EQUIPOS!A4601</f>
        <v/>
      </c>
      <c r="C4601">
        <f>BASE_EQUIPOS!B4601</f>
        <v/>
      </c>
      <c r="D4601">
        <f>BASE_EQUIPOS!D4601</f>
        <v/>
      </c>
      <c r="E4601">
        <f>BASE_EQUIPOS!G4601</f>
        <v/>
      </c>
      <c r="F4601">
        <f>BASE_EQUIPOS!H4601</f>
        <v/>
      </c>
      <c r="G4601">
        <f>BASE_EQUIPOS!M4601</f>
        <v/>
      </c>
    </row>
    <row r="4602">
      <c r="A4602">
        <f>TRIM(BASE_EQUIPOS!N4602)</f>
        <v/>
      </c>
      <c r="B4602">
        <f>BASE_EQUIPOS!A4602</f>
        <v/>
      </c>
      <c r="C4602">
        <f>BASE_EQUIPOS!B4602</f>
        <v/>
      </c>
      <c r="D4602">
        <f>BASE_EQUIPOS!D4602</f>
        <v/>
      </c>
      <c r="E4602">
        <f>BASE_EQUIPOS!G4602</f>
        <v/>
      </c>
      <c r="F4602">
        <f>BASE_EQUIPOS!H4602</f>
        <v/>
      </c>
      <c r="G4602">
        <f>BASE_EQUIPOS!M4602</f>
        <v/>
      </c>
    </row>
    <row r="4603">
      <c r="A4603">
        <f>TRIM(BASE_EQUIPOS!N4603)</f>
        <v/>
      </c>
      <c r="B4603">
        <f>BASE_EQUIPOS!A4603</f>
        <v/>
      </c>
      <c r="C4603">
        <f>BASE_EQUIPOS!B4603</f>
        <v/>
      </c>
      <c r="D4603">
        <f>BASE_EQUIPOS!D4603</f>
        <v/>
      </c>
      <c r="E4603">
        <f>BASE_EQUIPOS!G4603</f>
        <v/>
      </c>
      <c r="F4603">
        <f>BASE_EQUIPOS!H4603</f>
        <v/>
      </c>
      <c r="G4603">
        <f>BASE_EQUIPOS!M4603</f>
        <v/>
      </c>
    </row>
    <row r="4604">
      <c r="A4604">
        <f>TRIM(BASE_EQUIPOS!N4604)</f>
        <v/>
      </c>
      <c r="B4604">
        <f>BASE_EQUIPOS!A4604</f>
        <v/>
      </c>
      <c r="C4604">
        <f>BASE_EQUIPOS!B4604</f>
        <v/>
      </c>
      <c r="D4604">
        <f>BASE_EQUIPOS!D4604</f>
        <v/>
      </c>
      <c r="E4604">
        <f>BASE_EQUIPOS!G4604</f>
        <v/>
      </c>
      <c r="F4604">
        <f>BASE_EQUIPOS!H4604</f>
        <v/>
      </c>
      <c r="G4604">
        <f>BASE_EQUIPOS!M4604</f>
        <v/>
      </c>
    </row>
    <row r="4605">
      <c r="A4605">
        <f>TRIM(BASE_EQUIPOS!N4605)</f>
        <v/>
      </c>
      <c r="B4605">
        <f>BASE_EQUIPOS!A4605</f>
        <v/>
      </c>
      <c r="C4605">
        <f>BASE_EQUIPOS!B4605</f>
        <v/>
      </c>
      <c r="D4605">
        <f>BASE_EQUIPOS!D4605</f>
        <v/>
      </c>
      <c r="E4605">
        <f>BASE_EQUIPOS!G4605</f>
        <v/>
      </c>
      <c r="F4605">
        <f>BASE_EQUIPOS!H4605</f>
        <v/>
      </c>
      <c r="G4605">
        <f>BASE_EQUIPOS!M4605</f>
        <v/>
      </c>
    </row>
    <row r="4606">
      <c r="A4606">
        <f>TRIM(BASE_EQUIPOS!N4606)</f>
        <v/>
      </c>
      <c r="B4606">
        <f>BASE_EQUIPOS!A4606</f>
        <v/>
      </c>
      <c r="C4606">
        <f>BASE_EQUIPOS!B4606</f>
        <v/>
      </c>
      <c r="D4606">
        <f>BASE_EQUIPOS!D4606</f>
        <v/>
      </c>
      <c r="E4606">
        <f>BASE_EQUIPOS!G4606</f>
        <v/>
      </c>
      <c r="F4606">
        <f>BASE_EQUIPOS!H4606</f>
        <v/>
      </c>
      <c r="G4606">
        <f>BASE_EQUIPOS!M4606</f>
        <v/>
      </c>
    </row>
    <row r="4607">
      <c r="A4607">
        <f>TRIM(BASE_EQUIPOS!N4607)</f>
        <v/>
      </c>
      <c r="B4607">
        <f>BASE_EQUIPOS!A4607</f>
        <v/>
      </c>
      <c r="C4607">
        <f>BASE_EQUIPOS!B4607</f>
        <v/>
      </c>
      <c r="D4607">
        <f>BASE_EQUIPOS!D4607</f>
        <v/>
      </c>
      <c r="E4607">
        <f>BASE_EQUIPOS!G4607</f>
        <v/>
      </c>
      <c r="F4607">
        <f>BASE_EQUIPOS!H4607</f>
        <v/>
      </c>
      <c r="G4607">
        <f>BASE_EQUIPOS!M4607</f>
        <v/>
      </c>
    </row>
    <row r="4608">
      <c r="A4608">
        <f>TRIM(BASE_EQUIPOS!N4608)</f>
        <v/>
      </c>
      <c r="B4608">
        <f>BASE_EQUIPOS!A4608</f>
        <v/>
      </c>
      <c r="C4608">
        <f>BASE_EQUIPOS!B4608</f>
        <v/>
      </c>
      <c r="D4608">
        <f>BASE_EQUIPOS!D4608</f>
        <v/>
      </c>
      <c r="E4608">
        <f>BASE_EQUIPOS!G4608</f>
        <v/>
      </c>
      <c r="F4608">
        <f>BASE_EQUIPOS!H4608</f>
        <v/>
      </c>
      <c r="G4608">
        <f>BASE_EQUIPOS!M4608</f>
        <v/>
      </c>
    </row>
    <row r="4609">
      <c r="A4609">
        <f>TRIM(BASE_EQUIPOS!N4609)</f>
        <v/>
      </c>
      <c r="B4609">
        <f>BASE_EQUIPOS!A4609</f>
        <v/>
      </c>
      <c r="C4609">
        <f>BASE_EQUIPOS!B4609</f>
        <v/>
      </c>
      <c r="D4609">
        <f>BASE_EQUIPOS!D4609</f>
        <v/>
      </c>
      <c r="E4609">
        <f>BASE_EQUIPOS!G4609</f>
        <v/>
      </c>
      <c r="F4609">
        <f>BASE_EQUIPOS!H4609</f>
        <v/>
      </c>
      <c r="G4609">
        <f>BASE_EQUIPOS!M4609</f>
        <v/>
      </c>
    </row>
    <row r="4610">
      <c r="A4610">
        <f>TRIM(BASE_EQUIPOS!N4610)</f>
        <v/>
      </c>
      <c r="B4610">
        <f>BASE_EQUIPOS!A4610</f>
        <v/>
      </c>
      <c r="C4610">
        <f>BASE_EQUIPOS!B4610</f>
        <v/>
      </c>
      <c r="D4610">
        <f>BASE_EQUIPOS!D4610</f>
        <v/>
      </c>
      <c r="E4610">
        <f>BASE_EQUIPOS!G4610</f>
        <v/>
      </c>
      <c r="F4610">
        <f>BASE_EQUIPOS!H4610</f>
        <v/>
      </c>
      <c r="G4610">
        <f>BASE_EQUIPOS!M4610</f>
        <v/>
      </c>
    </row>
    <row r="4611">
      <c r="A4611">
        <f>TRIM(BASE_EQUIPOS!N4611)</f>
        <v/>
      </c>
      <c r="B4611">
        <f>BASE_EQUIPOS!A4611</f>
        <v/>
      </c>
      <c r="C4611">
        <f>BASE_EQUIPOS!B4611</f>
        <v/>
      </c>
      <c r="D4611">
        <f>BASE_EQUIPOS!D4611</f>
        <v/>
      </c>
      <c r="E4611">
        <f>BASE_EQUIPOS!G4611</f>
        <v/>
      </c>
      <c r="F4611">
        <f>BASE_EQUIPOS!H4611</f>
        <v/>
      </c>
      <c r="G4611">
        <f>BASE_EQUIPOS!M4611</f>
        <v/>
      </c>
    </row>
    <row r="4612">
      <c r="A4612">
        <f>TRIM(BASE_EQUIPOS!N4612)</f>
        <v/>
      </c>
      <c r="B4612">
        <f>BASE_EQUIPOS!A4612</f>
        <v/>
      </c>
      <c r="C4612">
        <f>BASE_EQUIPOS!B4612</f>
        <v/>
      </c>
      <c r="D4612">
        <f>BASE_EQUIPOS!D4612</f>
        <v/>
      </c>
      <c r="E4612">
        <f>BASE_EQUIPOS!G4612</f>
        <v/>
      </c>
      <c r="F4612">
        <f>BASE_EQUIPOS!H4612</f>
        <v/>
      </c>
      <c r="G4612">
        <f>BASE_EQUIPOS!M4612</f>
        <v/>
      </c>
    </row>
    <row r="4613">
      <c r="A4613">
        <f>TRIM(BASE_EQUIPOS!N4613)</f>
        <v/>
      </c>
      <c r="B4613">
        <f>BASE_EQUIPOS!A4613</f>
        <v/>
      </c>
      <c r="C4613">
        <f>BASE_EQUIPOS!B4613</f>
        <v/>
      </c>
      <c r="D4613">
        <f>BASE_EQUIPOS!D4613</f>
        <v/>
      </c>
      <c r="E4613">
        <f>BASE_EQUIPOS!G4613</f>
        <v/>
      </c>
      <c r="F4613">
        <f>BASE_EQUIPOS!H4613</f>
        <v/>
      </c>
      <c r="G4613">
        <f>BASE_EQUIPOS!M4613</f>
        <v/>
      </c>
    </row>
    <row r="4614">
      <c r="A4614">
        <f>TRIM(BASE_EQUIPOS!N4614)</f>
        <v/>
      </c>
      <c r="B4614">
        <f>BASE_EQUIPOS!A4614</f>
        <v/>
      </c>
      <c r="C4614">
        <f>BASE_EQUIPOS!B4614</f>
        <v/>
      </c>
      <c r="D4614">
        <f>BASE_EQUIPOS!D4614</f>
        <v/>
      </c>
      <c r="E4614">
        <f>BASE_EQUIPOS!G4614</f>
        <v/>
      </c>
      <c r="F4614">
        <f>BASE_EQUIPOS!H4614</f>
        <v/>
      </c>
      <c r="G4614">
        <f>BASE_EQUIPOS!M4614</f>
        <v/>
      </c>
    </row>
    <row r="4615">
      <c r="A4615">
        <f>TRIM(BASE_EQUIPOS!N4615)</f>
        <v/>
      </c>
      <c r="B4615">
        <f>BASE_EQUIPOS!A4615</f>
        <v/>
      </c>
      <c r="C4615">
        <f>BASE_EQUIPOS!B4615</f>
        <v/>
      </c>
      <c r="D4615">
        <f>BASE_EQUIPOS!D4615</f>
        <v/>
      </c>
      <c r="E4615">
        <f>BASE_EQUIPOS!G4615</f>
        <v/>
      </c>
      <c r="F4615">
        <f>BASE_EQUIPOS!H4615</f>
        <v/>
      </c>
      <c r="G4615">
        <f>BASE_EQUIPOS!M4615</f>
        <v/>
      </c>
    </row>
    <row r="4616">
      <c r="A4616">
        <f>TRIM(BASE_EQUIPOS!N4616)</f>
        <v/>
      </c>
      <c r="B4616">
        <f>BASE_EQUIPOS!A4616</f>
        <v/>
      </c>
      <c r="C4616">
        <f>BASE_EQUIPOS!B4616</f>
        <v/>
      </c>
      <c r="D4616">
        <f>BASE_EQUIPOS!D4616</f>
        <v/>
      </c>
      <c r="E4616">
        <f>BASE_EQUIPOS!G4616</f>
        <v/>
      </c>
      <c r="F4616">
        <f>BASE_EQUIPOS!H4616</f>
        <v/>
      </c>
      <c r="G4616">
        <f>BASE_EQUIPOS!M4616</f>
        <v/>
      </c>
    </row>
    <row r="4617">
      <c r="A4617">
        <f>TRIM(BASE_EQUIPOS!N4617)</f>
        <v/>
      </c>
      <c r="B4617">
        <f>BASE_EQUIPOS!A4617</f>
        <v/>
      </c>
      <c r="C4617">
        <f>BASE_EQUIPOS!B4617</f>
        <v/>
      </c>
      <c r="D4617">
        <f>BASE_EQUIPOS!D4617</f>
        <v/>
      </c>
      <c r="E4617">
        <f>BASE_EQUIPOS!G4617</f>
        <v/>
      </c>
      <c r="F4617">
        <f>BASE_EQUIPOS!H4617</f>
        <v/>
      </c>
      <c r="G4617">
        <f>BASE_EQUIPOS!M4617</f>
        <v/>
      </c>
    </row>
    <row r="4618">
      <c r="A4618">
        <f>TRIM(BASE_EQUIPOS!N4618)</f>
        <v/>
      </c>
      <c r="B4618">
        <f>BASE_EQUIPOS!A4618</f>
        <v/>
      </c>
      <c r="C4618">
        <f>BASE_EQUIPOS!B4618</f>
        <v/>
      </c>
      <c r="D4618">
        <f>BASE_EQUIPOS!D4618</f>
        <v/>
      </c>
      <c r="E4618">
        <f>BASE_EQUIPOS!G4618</f>
        <v/>
      </c>
      <c r="F4618">
        <f>BASE_EQUIPOS!H4618</f>
        <v/>
      </c>
      <c r="G4618">
        <f>BASE_EQUIPOS!M4618</f>
        <v/>
      </c>
    </row>
    <row r="4619">
      <c r="A4619">
        <f>TRIM(BASE_EQUIPOS!N4619)</f>
        <v/>
      </c>
      <c r="B4619">
        <f>BASE_EQUIPOS!A4619</f>
        <v/>
      </c>
      <c r="C4619">
        <f>BASE_EQUIPOS!B4619</f>
        <v/>
      </c>
      <c r="D4619">
        <f>BASE_EQUIPOS!D4619</f>
        <v/>
      </c>
      <c r="E4619">
        <f>BASE_EQUIPOS!G4619</f>
        <v/>
      </c>
      <c r="F4619">
        <f>BASE_EQUIPOS!H4619</f>
        <v/>
      </c>
      <c r="G4619">
        <f>BASE_EQUIPOS!M4619</f>
        <v/>
      </c>
    </row>
    <row r="4620">
      <c r="A4620">
        <f>TRIM(BASE_EQUIPOS!N4620)</f>
        <v/>
      </c>
      <c r="B4620">
        <f>BASE_EQUIPOS!A4620</f>
        <v/>
      </c>
      <c r="C4620">
        <f>BASE_EQUIPOS!B4620</f>
        <v/>
      </c>
      <c r="D4620">
        <f>BASE_EQUIPOS!D4620</f>
        <v/>
      </c>
      <c r="E4620">
        <f>BASE_EQUIPOS!G4620</f>
        <v/>
      </c>
      <c r="F4620">
        <f>BASE_EQUIPOS!H4620</f>
        <v/>
      </c>
      <c r="G4620">
        <f>BASE_EQUIPOS!M4620</f>
        <v/>
      </c>
    </row>
    <row r="4621">
      <c r="A4621">
        <f>TRIM(BASE_EQUIPOS!N4621)</f>
        <v/>
      </c>
      <c r="B4621">
        <f>BASE_EQUIPOS!A4621</f>
        <v/>
      </c>
      <c r="C4621">
        <f>BASE_EQUIPOS!B4621</f>
        <v/>
      </c>
      <c r="D4621">
        <f>BASE_EQUIPOS!D4621</f>
        <v/>
      </c>
      <c r="E4621">
        <f>BASE_EQUIPOS!G4621</f>
        <v/>
      </c>
      <c r="F4621">
        <f>BASE_EQUIPOS!H4621</f>
        <v/>
      </c>
      <c r="G4621">
        <f>BASE_EQUIPOS!M4621</f>
        <v/>
      </c>
    </row>
    <row r="4622">
      <c r="A4622">
        <f>TRIM(BASE_EQUIPOS!N4622)</f>
        <v/>
      </c>
      <c r="B4622">
        <f>BASE_EQUIPOS!A4622</f>
        <v/>
      </c>
      <c r="C4622">
        <f>BASE_EQUIPOS!B4622</f>
        <v/>
      </c>
      <c r="D4622">
        <f>BASE_EQUIPOS!D4622</f>
        <v/>
      </c>
      <c r="E4622">
        <f>BASE_EQUIPOS!G4622</f>
        <v/>
      </c>
      <c r="F4622">
        <f>BASE_EQUIPOS!H4622</f>
        <v/>
      </c>
      <c r="G4622">
        <f>BASE_EQUIPOS!M4622</f>
        <v/>
      </c>
    </row>
    <row r="4623">
      <c r="A4623">
        <f>TRIM(BASE_EQUIPOS!N4623)</f>
        <v/>
      </c>
      <c r="B4623">
        <f>BASE_EQUIPOS!A4623</f>
        <v/>
      </c>
      <c r="C4623">
        <f>BASE_EQUIPOS!B4623</f>
        <v/>
      </c>
      <c r="D4623">
        <f>BASE_EQUIPOS!D4623</f>
        <v/>
      </c>
      <c r="E4623">
        <f>BASE_EQUIPOS!G4623</f>
        <v/>
      </c>
      <c r="F4623">
        <f>BASE_EQUIPOS!H4623</f>
        <v/>
      </c>
      <c r="G4623">
        <f>BASE_EQUIPOS!M4623</f>
        <v/>
      </c>
    </row>
    <row r="4624">
      <c r="A4624">
        <f>TRIM(BASE_EQUIPOS!N4624)</f>
        <v/>
      </c>
      <c r="B4624">
        <f>BASE_EQUIPOS!A4624</f>
        <v/>
      </c>
      <c r="C4624">
        <f>BASE_EQUIPOS!B4624</f>
        <v/>
      </c>
      <c r="D4624">
        <f>BASE_EQUIPOS!D4624</f>
        <v/>
      </c>
      <c r="E4624">
        <f>BASE_EQUIPOS!G4624</f>
        <v/>
      </c>
      <c r="F4624">
        <f>BASE_EQUIPOS!H4624</f>
        <v/>
      </c>
      <c r="G4624">
        <f>BASE_EQUIPOS!M4624</f>
        <v/>
      </c>
    </row>
    <row r="4625">
      <c r="A4625">
        <f>TRIM(BASE_EQUIPOS!N4625)</f>
        <v/>
      </c>
      <c r="B4625">
        <f>BASE_EQUIPOS!A4625</f>
        <v/>
      </c>
      <c r="C4625">
        <f>BASE_EQUIPOS!B4625</f>
        <v/>
      </c>
      <c r="D4625">
        <f>BASE_EQUIPOS!D4625</f>
        <v/>
      </c>
      <c r="E4625">
        <f>BASE_EQUIPOS!G4625</f>
        <v/>
      </c>
      <c r="F4625">
        <f>BASE_EQUIPOS!H4625</f>
        <v/>
      </c>
      <c r="G4625">
        <f>BASE_EQUIPOS!M4625</f>
        <v/>
      </c>
    </row>
    <row r="4626">
      <c r="A4626">
        <f>TRIM(BASE_EQUIPOS!N4626)</f>
        <v/>
      </c>
      <c r="B4626">
        <f>BASE_EQUIPOS!A4626</f>
        <v/>
      </c>
      <c r="C4626">
        <f>BASE_EQUIPOS!B4626</f>
        <v/>
      </c>
      <c r="D4626">
        <f>BASE_EQUIPOS!D4626</f>
        <v/>
      </c>
      <c r="E4626">
        <f>BASE_EQUIPOS!G4626</f>
        <v/>
      </c>
      <c r="F4626">
        <f>BASE_EQUIPOS!H4626</f>
        <v/>
      </c>
      <c r="G4626">
        <f>BASE_EQUIPOS!M4626</f>
        <v/>
      </c>
    </row>
    <row r="4627">
      <c r="A4627">
        <f>TRIM(BASE_EQUIPOS!N4627)</f>
        <v/>
      </c>
      <c r="B4627">
        <f>BASE_EQUIPOS!A4627</f>
        <v/>
      </c>
      <c r="C4627">
        <f>BASE_EQUIPOS!B4627</f>
        <v/>
      </c>
      <c r="D4627">
        <f>BASE_EQUIPOS!D4627</f>
        <v/>
      </c>
      <c r="E4627">
        <f>BASE_EQUIPOS!G4627</f>
        <v/>
      </c>
      <c r="F4627">
        <f>BASE_EQUIPOS!H4627</f>
        <v/>
      </c>
      <c r="G4627">
        <f>BASE_EQUIPOS!M4627</f>
        <v/>
      </c>
    </row>
    <row r="4628">
      <c r="A4628">
        <f>TRIM(BASE_EQUIPOS!N4628)</f>
        <v/>
      </c>
      <c r="B4628">
        <f>BASE_EQUIPOS!A4628</f>
        <v/>
      </c>
      <c r="C4628">
        <f>BASE_EQUIPOS!B4628</f>
        <v/>
      </c>
      <c r="D4628">
        <f>BASE_EQUIPOS!D4628</f>
        <v/>
      </c>
      <c r="E4628">
        <f>BASE_EQUIPOS!G4628</f>
        <v/>
      </c>
      <c r="F4628">
        <f>BASE_EQUIPOS!H4628</f>
        <v/>
      </c>
      <c r="G4628">
        <f>BASE_EQUIPOS!M4628</f>
        <v/>
      </c>
    </row>
    <row r="4629">
      <c r="A4629">
        <f>TRIM(BASE_EQUIPOS!N4629)</f>
        <v/>
      </c>
      <c r="B4629">
        <f>BASE_EQUIPOS!A4629</f>
        <v/>
      </c>
      <c r="C4629">
        <f>BASE_EQUIPOS!B4629</f>
        <v/>
      </c>
      <c r="D4629">
        <f>BASE_EQUIPOS!D4629</f>
        <v/>
      </c>
      <c r="E4629">
        <f>BASE_EQUIPOS!G4629</f>
        <v/>
      </c>
      <c r="F4629">
        <f>BASE_EQUIPOS!H4629</f>
        <v/>
      </c>
      <c r="G4629">
        <f>BASE_EQUIPOS!M4629</f>
        <v/>
      </c>
    </row>
    <row r="4630">
      <c r="A4630">
        <f>TRIM(BASE_EQUIPOS!N4630)</f>
        <v/>
      </c>
      <c r="B4630">
        <f>BASE_EQUIPOS!A4630</f>
        <v/>
      </c>
      <c r="C4630">
        <f>BASE_EQUIPOS!B4630</f>
        <v/>
      </c>
      <c r="D4630">
        <f>BASE_EQUIPOS!D4630</f>
        <v/>
      </c>
      <c r="E4630">
        <f>BASE_EQUIPOS!G4630</f>
        <v/>
      </c>
      <c r="F4630">
        <f>BASE_EQUIPOS!H4630</f>
        <v/>
      </c>
      <c r="G4630">
        <f>BASE_EQUIPOS!M4630</f>
        <v/>
      </c>
    </row>
    <row r="4631">
      <c r="A4631">
        <f>TRIM(BASE_EQUIPOS!N4631)</f>
        <v/>
      </c>
      <c r="B4631">
        <f>BASE_EQUIPOS!A4631</f>
        <v/>
      </c>
      <c r="C4631">
        <f>BASE_EQUIPOS!B4631</f>
        <v/>
      </c>
      <c r="D4631">
        <f>BASE_EQUIPOS!D4631</f>
        <v/>
      </c>
      <c r="E4631">
        <f>BASE_EQUIPOS!G4631</f>
        <v/>
      </c>
      <c r="F4631">
        <f>BASE_EQUIPOS!H4631</f>
        <v/>
      </c>
      <c r="G4631">
        <f>BASE_EQUIPOS!M4631</f>
        <v/>
      </c>
    </row>
    <row r="4632">
      <c r="A4632">
        <f>TRIM(BASE_EQUIPOS!N4632)</f>
        <v/>
      </c>
      <c r="B4632">
        <f>BASE_EQUIPOS!A4632</f>
        <v/>
      </c>
      <c r="C4632">
        <f>BASE_EQUIPOS!B4632</f>
        <v/>
      </c>
      <c r="D4632">
        <f>BASE_EQUIPOS!D4632</f>
        <v/>
      </c>
      <c r="E4632">
        <f>BASE_EQUIPOS!G4632</f>
        <v/>
      </c>
      <c r="F4632">
        <f>BASE_EQUIPOS!H4632</f>
        <v/>
      </c>
      <c r="G4632">
        <f>BASE_EQUIPOS!M4632</f>
        <v/>
      </c>
    </row>
    <row r="4633">
      <c r="A4633">
        <f>TRIM(BASE_EQUIPOS!N4633)</f>
        <v/>
      </c>
      <c r="B4633">
        <f>BASE_EQUIPOS!A4633</f>
        <v/>
      </c>
      <c r="C4633">
        <f>BASE_EQUIPOS!B4633</f>
        <v/>
      </c>
      <c r="D4633">
        <f>BASE_EQUIPOS!D4633</f>
        <v/>
      </c>
      <c r="E4633">
        <f>BASE_EQUIPOS!G4633</f>
        <v/>
      </c>
      <c r="F4633">
        <f>BASE_EQUIPOS!H4633</f>
        <v/>
      </c>
      <c r="G4633">
        <f>BASE_EQUIPOS!M4633</f>
        <v/>
      </c>
    </row>
    <row r="4634">
      <c r="A4634">
        <f>TRIM(BASE_EQUIPOS!N4634)</f>
        <v/>
      </c>
      <c r="B4634">
        <f>BASE_EQUIPOS!A4634</f>
        <v/>
      </c>
      <c r="C4634">
        <f>BASE_EQUIPOS!B4634</f>
        <v/>
      </c>
      <c r="D4634">
        <f>BASE_EQUIPOS!D4634</f>
        <v/>
      </c>
      <c r="E4634">
        <f>BASE_EQUIPOS!G4634</f>
        <v/>
      </c>
      <c r="F4634">
        <f>BASE_EQUIPOS!H4634</f>
        <v/>
      </c>
      <c r="G4634">
        <f>BASE_EQUIPOS!M4634</f>
        <v/>
      </c>
    </row>
    <row r="4635">
      <c r="A4635">
        <f>TRIM(BASE_EQUIPOS!N4635)</f>
        <v/>
      </c>
      <c r="B4635">
        <f>BASE_EQUIPOS!A4635</f>
        <v/>
      </c>
      <c r="C4635">
        <f>BASE_EQUIPOS!B4635</f>
        <v/>
      </c>
      <c r="D4635">
        <f>BASE_EQUIPOS!D4635</f>
        <v/>
      </c>
      <c r="E4635">
        <f>BASE_EQUIPOS!G4635</f>
        <v/>
      </c>
      <c r="F4635">
        <f>BASE_EQUIPOS!H4635</f>
        <v/>
      </c>
      <c r="G4635">
        <f>BASE_EQUIPOS!M4635</f>
        <v/>
      </c>
    </row>
    <row r="4636">
      <c r="A4636">
        <f>TRIM(BASE_EQUIPOS!N4636)</f>
        <v/>
      </c>
      <c r="B4636">
        <f>BASE_EQUIPOS!A4636</f>
        <v/>
      </c>
      <c r="C4636">
        <f>BASE_EQUIPOS!B4636</f>
        <v/>
      </c>
      <c r="D4636">
        <f>BASE_EQUIPOS!D4636</f>
        <v/>
      </c>
      <c r="E4636">
        <f>BASE_EQUIPOS!G4636</f>
        <v/>
      </c>
      <c r="F4636">
        <f>BASE_EQUIPOS!H4636</f>
        <v/>
      </c>
      <c r="G4636">
        <f>BASE_EQUIPOS!M4636</f>
        <v/>
      </c>
    </row>
    <row r="4637">
      <c r="A4637">
        <f>TRIM(BASE_EQUIPOS!N4637)</f>
        <v/>
      </c>
      <c r="B4637">
        <f>BASE_EQUIPOS!A4637</f>
        <v/>
      </c>
      <c r="C4637">
        <f>BASE_EQUIPOS!B4637</f>
        <v/>
      </c>
      <c r="D4637">
        <f>BASE_EQUIPOS!D4637</f>
        <v/>
      </c>
      <c r="E4637">
        <f>BASE_EQUIPOS!G4637</f>
        <v/>
      </c>
      <c r="F4637">
        <f>BASE_EQUIPOS!H4637</f>
        <v/>
      </c>
      <c r="G4637">
        <f>BASE_EQUIPOS!M4637</f>
        <v/>
      </c>
    </row>
    <row r="4638">
      <c r="A4638">
        <f>TRIM(BASE_EQUIPOS!N4638)</f>
        <v/>
      </c>
      <c r="B4638">
        <f>BASE_EQUIPOS!A4638</f>
        <v/>
      </c>
      <c r="C4638">
        <f>BASE_EQUIPOS!B4638</f>
        <v/>
      </c>
      <c r="D4638">
        <f>BASE_EQUIPOS!D4638</f>
        <v/>
      </c>
      <c r="E4638">
        <f>BASE_EQUIPOS!G4638</f>
        <v/>
      </c>
      <c r="F4638">
        <f>BASE_EQUIPOS!H4638</f>
        <v/>
      </c>
      <c r="G4638">
        <f>BASE_EQUIPOS!M4638</f>
        <v/>
      </c>
    </row>
    <row r="4639">
      <c r="A4639">
        <f>TRIM(BASE_EQUIPOS!N4639)</f>
        <v/>
      </c>
      <c r="B4639">
        <f>BASE_EQUIPOS!A4639</f>
        <v/>
      </c>
      <c r="C4639">
        <f>BASE_EQUIPOS!B4639</f>
        <v/>
      </c>
      <c r="D4639">
        <f>BASE_EQUIPOS!D4639</f>
        <v/>
      </c>
      <c r="E4639">
        <f>BASE_EQUIPOS!G4639</f>
        <v/>
      </c>
      <c r="F4639">
        <f>BASE_EQUIPOS!H4639</f>
        <v/>
      </c>
      <c r="G4639">
        <f>BASE_EQUIPOS!M4639</f>
        <v/>
      </c>
    </row>
    <row r="4640">
      <c r="A4640">
        <f>TRIM(BASE_EQUIPOS!N4640)</f>
        <v/>
      </c>
      <c r="B4640">
        <f>BASE_EQUIPOS!A4640</f>
        <v/>
      </c>
      <c r="C4640">
        <f>BASE_EQUIPOS!B4640</f>
        <v/>
      </c>
      <c r="D4640">
        <f>BASE_EQUIPOS!D4640</f>
        <v/>
      </c>
      <c r="E4640">
        <f>BASE_EQUIPOS!G4640</f>
        <v/>
      </c>
      <c r="F4640">
        <f>BASE_EQUIPOS!H4640</f>
        <v/>
      </c>
      <c r="G4640">
        <f>BASE_EQUIPOS!M4640</f>
        <v/>
      </c>
    </row>
    <row r="4641">
      <c r="A4641">
        <f>TRIM(BASE_EQUIPOS!N4641)</f>
        <v/>
      </c>
      <c r="B4641">
        <f>BASE_EQUIPOS!A4641</f>
        <v/>
      </c>
      <c r="C4641">
        <f>BASE_EQUIPOS!B4641</f>
        <v/>
      </c>
      <c r="D4641">
        <f>BASE_EQUIPOS!D4641</f>
        <v/>
      </c>
      <c r="E4641">
        <f>BASE_EQUIPOS!G4641</f>
        <v/>
      </c>
      <c r="F4641">
        <f>BASE_EQUIPOS!H4641</f>
        <v/>
      </c>
      <c r="G4641">
        <f>BASE_EQUIPOS!M4641</f>
        <v/>
      </c>
    </row>
    <row r="4642">
      <c r="A4642">
        <f>TRIM(BASE_EQUIPOS!N4642)</f>
        <v/>
      </c>
      <c r="B4642">
        <f>BASE_EQUIPOS!A4642</f>
        <v/>
      </c>
      <c r="C4642">
        <f>BASE_EQUIPOS!B4642</f>
        <v/>
      </c>
      <c r="D4642">
        <f>BASE_EQUIPOS!D4642</f>
        <v/>
      </c>
      <c r="E4642">
        <f>BASE_EQUIPOS!G4642</f>
        <v/>
      </c>
      <c r="F4642">
        <f>BASE_EQUIPOS!H4642</f>
        <v/>
      </c>
      <c r="G4642">
        <f>BASE_EQUIPOS!M4642</f>
        <v/>
      </c>
    </row>
    <row r="4643">
      <c r="A4643">
        <f>TRIM(BASE_EQUIPOS!N4643)</f>
        <v/>
      </c>
      <c r="B4643">
        <f>BASE_EQUIPOS!A4643</f>
        <v/>
      </c>
      <c r="C4643">
        <f>BASE_EQUIPOS!B4643</f>
        <v/>
      </c>
      <c r="D4643">
        <f>BASE_EQUIPOS!D4643</f>
        <v/>
      </c>
      <c r="E4643">
        <f>BASE_EQUIPOS!G4643</f>
        <v/>
      </c>
      <c r="F4643">
        <f>BASE_EQUIPOS!H4643</f>
        <v/>
      </c>
      <c r="G4643">
        <f>BASE_EQUIPOS!M4643</f>
        <v/>
      </c>
    </row>
    <row r="4644">
      <c r="A4644">
        <f>TRIM(BASE_EQUIPOS!N4644)</f>
        <v/>
      </c>
      <c r="B4644">
        <f>BASE_EQUIPOS!A4644</f>
        <v/>
      </c>
      <c r="C4644">
        <f>BASE_EQUIPOS!B4644</f>
        <v/>
      </c>
      <c r="D4644">
        <f>BASE_EQUIPOS!D4644</f>
        <v/>
      </c>
      <c r="E4644">
        <f>BASE_EQUIPOS!G4644</f>
        <v/>
      </c>
      <c r="F4644">
        <f>BASE_EQUIPOS!H4644</f>
        <v/>
      </c>
      <c r="G4644">
        <f>BASE_EQUIPOS!M4644</f>
        <v/>
      </c>
    </row>
    <row r="4645">
      <c r="A4645">
        <f>TRIM(BASE_EQUIPOS!N4645)</f>
        <v/>
      </c>
      <c r="B4645">
        <f>BASE_EQUIPOS!A4645</f>
        <v/>
      </c>
      <c r="C4645">
        <f>BASE_EQUIPOS!B4645</f>
        <v/>
      </c>
      <c r="D4645">
        <f>BASE_EQUIPOS!D4645</f>
        <v/>
      </c>
      <c r="E4645">
        <f>BASE_EQUIPOS!G4645</f>
        <v/>
      </c>
      <c r="F4645">
        <f>BASE_EQUIPOS!H4645</f>
        <v/>
      </c>
      <c r="G4645">
        <f>BASE_EQUIPOS!M4645</f>
        <v/>
      </c>
    </row>
    <row r="4646">
      <c r="A4646">
        <f>TRIM(BASE_EQUIPOS!N4646)</f>
        <v/>
      </c>
      <c r="B4646">
        <f>BASE_EQUIPOS!A4646</f>
        <v/>
      </c>
      <c r="C4646">
        <f>BASE_EQUIPOS!B4646</f>
        <v/>
      </c>
      <c r="D4646">
        <f>BASE_EQUIPOS!D4646</f>
        <v/>
      </c>
      <c r="E4646">
        <f>BASE_EQUIPOS!G4646</f>
        <v/>
      </c>
      <c r="F4646">
        <f>BASE_EQUIPOS!H4646</f>
        <v/>
      </c>
      <c r="G4646">
        <f>BASE_EQUIPOS!M4646</f>
        <v/>
      </c>
    </row>
    <row r="4647">
      <c r="A4647">
        <f>TRIM(BASE_EQUIPOS!N4647)</f>
        <v/>
      </c>
      <c r="B4647">
        <f>BASE_EQUIPOS!A4647</f>
        <v/>
      </c>
      <c r="C4647">
        <f>BASE_EQUIPOS!B4647</f>
        <v/>
      </c>
      <c r="D4647">
        <f>BASE_EQUIPOS!D4647</f>
        <v/>
      </c>
      <c r="E4647">
        <f>BASE_EQUIPOS!G4647</f>
        <v/>
      </c>
      <c r="F4647">
        <f>BASE_EQUIPOS!H4647</f>
        <v/>
      </c>
      <c r="G4647">
        <f>BASE_EQUIPOS!M4647</f>
        <v/>
      </c>
    </row>
    <row r="4648">
      <c r="A4648">
        <f>TRIM(BASE_EQUIPOS!N4648)</f>
        <v/>
      </c>
      <c r="B4648">
        <f>BASE_EQUIPOS!A4648</f>
        <v/>
      </c>
      <c r="C4648">
        <f>BASE_EQUIPOS!B4648</f>
        <v/>
      </c>
      <c r="D4648">
        <f>BASE_EQUIPOS!D4648</f>
        <v/>
      </c>
      <c r="E4648">
        <f>BASE_EQUIPOS!G4648</f>
        <v/>
      </c>
      <c r="F4648">
        <f>BASE_EQUIPOS!H4648</f>
        <v/>
      </c>
      <c r="G4648">
        <f>BASE_EQUIPOS!M4648</f>
        <v/>
      </c>
    </row>
    <row r="4649">
      <c r="A4649">
        <f>TRIM(BASE_EQUIPOS!N4649)</f>
        <v/>
      </c>
      <c r="B4649">
        <f>BASE_EQUIPOS!A4649</f>
        <v/>
      </c>
      <c r="C4649">
        <f>BASE_EQUIPOS!B4649</f>
        <v/>
      </c>
      <c r="D4649">
        <f>BASE_EQUIPOS!D4649</f>
        <v/>
      </c>
      <c r="E4649">
        <f>BASE_EQUIPOS!G4649</f>
        <v/>
      </c>
      <c r="F4649">
        <f>BASE_EQUIPOS!H4649</f>
        <v/>
      </c>
      <c r="G4649">
        <f>BASE_EQUIPOS!M4649</f>
        <v/>
      </c>
    </row>
    <row r="4650">
      <c r="A4650">
        <f>TRIM(BASE_EQUIPOS!N4650)</f>
        <v/>
      </c>
      <c r="B4650">
        <f>BASE_EQUIPOS!A4650</f>
        <v/>
      </c>
      <c r="C4650">
        <f>BASE_EQUIPOS!B4650</f>
        <v/>
      </c>
      <c r="D4650">
        <f>BASE_EQUIPOS!D4650</f>
        <v/>
      </c>
      <c r="E4650">
        <f>BASE_EQUIPOS!G4650</f>
        <v/>
      </c>
      <c r="F4650">
        <f>BASE_EQUIPOS!H4650</f>
        <v/>
      </c>
      <c r="G4650">
        <f>BASE_EQUIPOS!M4650</f>
        <v/>
      </c>
    </row>
    <row r="4651">
      <c r="A4651">
        <f>TRIM(BASE_EQUIPOS!N4651)</f>
        <v/>
      </c>
      <c r="B4651">
        <f>BASE_EQUIPOS!A4651</f>
        <v/>
      </c>
      <c r="C4651">
        <f>BASE_EQUIPOS!B4651</f>
        <v/>
      </c>
      <c r="D4651">
        <f>BASE_EQUIPOS!D4651</f>
        <v/>
      </c>
      <c r="E4651">
        <f>BASE_EQUIPOS!G4651</f>
        <v/>
      </c>
      <c r="F4651">
        <f>BASE_EQUIPOS!H4651</f>
        <v/>
      </c>
      <c r="G4651">
        <f>BASE_EQUIPOS!M4651</f>
        <v/>
      </c>
    </row>
    <row r="4652">
      <c r="A4652">
        <f>TRIM(BASE_EQUIPOS!N4652)</f>
        <v/>
      </c>
      <c r="B4652">
        <f>BASE_EQUIPOS!A4652</f>
        <v/>
      </c>
      <c r="C4652">
        <f>BASE_EQUIPOS!B4652</f>
        <v/>
      </c>
      <c r="D4652">
        <f>BASE_EQUIPOS!D4652</f>
        <v/>
      </c>
      <c r="E4652">
        <f>BASE_EQUIPOS!G4652</f>
        <v/>
      </c>
      <c r="F4652">
        <f>BASE_EQUIPOS!H4652</f>
        <v/>
      </c>
      <c r="G4652">
        <f>BASE_EQUIPOS!M4652</f>
        <v/>
      </c>
    </row>
    <row r="4653">
      <c r="A4653">
        <f>TRIM(BASE_EQUIPOS!N4653)</f>
        <v/>
      </c>
      <c r="B4653">
        <f>BASE_EQUIPOS!A4653</f>
        <v/>
      </c>
      <c r="C4653">
        <f>BASE_EQUIPOS!B4653</f>
        <v/>
      </c>
      <c r="D4653">
        <f>BASE_EQUIPOS!D4653</f>
        <v/>
      </c>
      <c r="E4653">
        <f>BASE_EQUIPOS!G4653</f>
        <v/>
      </c>
      <c r="F4653">
        <f>BASE_EQUIPOS!H4653</f>
        <v/>
      </c>
      <c r="G4653">
        <f>BASE_EQUIPOS!M4653</f>
        <v/>
      </c>
    </row>
    <row r="4654">
      <c r="A4654">
        <f>TRIM(BASE_EQUIPOS!N4654)</f>
        <v/>
      </c>
      <c r="B4654">
        <f>BASE_EQUIPOS!A4654</f>
        <v/>
      </c>
      <c r="C4654">
        <f>BASE_EQUIPOS!B4654</f>
        <v/>
      </c>
      <c r="D4654">
        <f>BASE_EQUIPOS!D4654</f>
        <v/>
      </c>
      <c r="E4654">
        <f>BASE_EQUIPOS!G4654</f>
        <v/>
      </c>
      <c r="F4654">
        <f>BASE_EQUIPOS!H4654</f>
        <v/>
      </c>
      <c r="G4654">
        <f>BASE_EQUIPOS!M4654</f>
        <v/>
      </c>
    </row>
    <row r="4655">
      <c r="A4655">
        <f>TRIM(BASE_EQUIPOS!N4655)</f>
        <v/>
      </c>
      <c r="B4655">
        <f>BASE_EQUIPOS!A4655</f>
        <v/>
      </c>
      <c r="C4655">
        <f>BASE_EQUIPOS!B4655</f>
        <v/>
      </c>
      <c r="D4655">
        <f>BASE_EQUIPOS!D4655</f>
        <v/>
      </c>
      <c r="E4655">
        <f>BASE_EQUIPOS!G4655</f>
        <v/>
      </c>
      <c r="F4655">
        <f>BASE_EQUIPOS!H4655</f>
        <v/>
      </c>
      <c r="G4655">
        <f>BASE_EQUIPOS!M4655</f>
        <v/>
      </c>
    </row>
    <row r="4656">
      <c r="A4656">
        <f>TRIM(BASE_EQUIPOS!N4656)</f>
        <v/>
      </c>
      <c r="B4656">
        <f>BASE_EQUIPOS!A4656</f>
        <v/>
      </c>
      <c r="C4656">
        <f>BASE_EQUIPOS!B4656</f>
        <v/>
      </c>
      <c r="D4656">
        <f>BASE_EQUIPOS!D4656</f>
        <v/>
      </c>
      <c r="E4656">
        <f>BASE_EQUIPOS!G4656</f>
        <v/>
      </c>
      <c r="F4656">
        <f>BASE_EQUIPOS!H4656</f>
        <v/>
      </c>
      <c r="G4656">
        <f>BASE_EQUIPOS!M4656</f>
        <v/>
      </c>
    </row>
    <row r="4657">
      <c r="A4657">
        <f>TRIM(BASE_EQUIPOS!N4657)</f>
        <v/>
      </c>
      <c r="B4657">
        <f>BASE_EQUIPOS!A4657</f>
        <v/>
      </c>
      <c r="C4657">
        <f>BASE_EQUIPOS!B4657</f>
        <v/>
      </c>
      <c r="D4657">
        <f>BASE_EQUIPOS!D4657</f>
        <v/>
      </c>
      <c r="E4657">
        <f>BASE_EQUIPOS!G4657</f>
        <v/>
      </c>
      <c r="F4657">
        <f>BASE_EQUIPOS!H4657</f>
        <v/>
      </c>
      <c r="G4657">
        <f>BASE_EQUIPOS!M4657</f>
        <v/>
      </c>
    </row>
    <row r="4658">
      <c r="A4658">
        <f>TRIM(BASE_EQUIPOS!N4658)</f>
        <v/>
      </c>
      <c r="B4658">
        <f>BASE_EQUIPOS!A4658</f>
        <v/>
      </c>
      <c r="C4658">
        <f>BASE_EQUIPOS!B4658</f>
        <v/>
      </c>
      <c r="D4658">
        <f>BASE_EQUIPOS!D4658</f>
        <v/>
      </c>
      <c r="E4658">
        <f>BASE_EQUIPOS!G4658</f>
        <v/>
      </c>
      <c r="F4658">
        <f>BASE_EQUIPOS!H4658</f>
        <v/>
      </c>
      <c r="G4658">
        <f>BASE_EQUIPOS!M4658</f>
        <v/>
      </c>
    </row>
    <row r="4659">
      <c r="A4659">
        <f>TRIM(BASE_EQUIPOS!N4659)</f>
        <v/>
      </c>
      <c r="B4659">
        <f>BASE_EQUIPOS!A4659</f>
        <v/>
      </c>
      <c r="C4659">
        <f>BASE_EQUIPOS!B4659</f>
        <v/>
      </c>
      <c r="D4659">
        <f>BASE_EQUIPOS!D4659</f>
        <v/>
      </c>
      <c r="E4659">
        <f>BASE_EQUIPOS!G4659</f>
        <v/>
      </c>
      <c r="F4659">
        <f>BASE_EQUIPOS!H4659</f>
        <v/>
      </c>
      <c r="G4659">
        <f>BASE_EQUIPOS!M4659</f>
        <v/>
      </c>
    </row>
    <row r="4660">
      <c r="A4660">
        <f>TRIM(BASE_EQUIPOS!N4660)</f>
        <v/>
      </c>
      <c r="B4660">
        <f>BASE_EQUIPOS!A4660</f>
        <v/>
      </c>
      <c r="C4660">
        <f>BASE_EQUIPOS!B4660</f>
        <v/>
      </c>
      <c r="D4660">
        <f>BASE_EQUIPOS!D4660</f>
        <v/>
      </c>
      <c r="E4660">
        <f>BASE_EQUIPOS!G4660</f>
        <v/>
      </c>
      <c r="F4660">
        <f>BASE_EQUIPOS!H4660</f>
        <v/>
      </c>
      <c r="G4660">
        <f>BASE_EQUIPOS!M4660</f>
        <v/>
      </c>
    </row>
    <row r="4661">
      <c r="A4661">
        <f>TRIM(BASE_EQUIPOS!N4661)</f>
        <v/>
      </c>
      <c r="B4661">
        <f>BASE_EQUIPOS!A4661</f>
        <v/>
      </c>
      <c r="C4661">
        <f>BASE_EQUIPOS!B4661</f>
        <v/>
      </c>
      <c r="D4661">
        <f>BASE_EQUIPOS!D4661</f>
        <v/>
      </c>
      <c r="E4661">
        <f>BASE_EQUIPOS!G4661</f>
        <v/>
      </c>
      <c r="F4661">
        <f>BASE_EQUIPOS!H4661</f>
        <v/>
      </c>
      <c r="G4661">
        <f>BASE_EQUIPOS!M4661</f>
        <v/>
      </c>
    </row>
    <row r="4662">
      <c r="A4662">
        <f>TRIM(BASE_EQUIPOS!N4662)</f>
        <v/>
      </c>
      <c r="B4662">
        <f>BASE_EQUIPOS!A4662</f>
        <v/>
      </c>
      <c r="C4662">
        <f>BASE_EQUIPOS!B4662</f>
        <v/>
      </c>
      <c r="D4662">
        <f>BASE_EQUIPOS!D4662</f>
        <v/>
      </c>
      <c r="E4662">
        <f>BASE_EQUIPOS!G4662</f>
        <v/>
      </c>
      <c r="F4662">
        <f>BASE_EQUIPOS!H4662</f>
        <v/>
      </c>
      <c r="G4662">
        <f>BASE_EQUIPOS!M4662</f>
        <v/>
      </c>
    </row>
    <row r="4663">
      <c r="A4663">
        <f>TRIM(BASE_EQUIPOS!N4663)</f>
        <v/>
      </c>
      <c r="B4663">
        <f>BASE_EQUIPOS!A4663</f>
        <v/>
      </c>
      <c r="C4663">
        <f>BASE_EQUIPOS!B4663</f>
        <v/>
      </c>
      <c r="D4663">
        <f>BASE_EQUIPOS!D4663</f>
        <v/>
      </c>
      <c r="E4663">
        <f>BASE_EQUIPOS!G4663</f>
        <v/>
      </c>
      <c r="F4663">
        <f>BASE_EQUIPOS!H4663</f>
        <v/>
      </c>
      <c r="G4663">
        <f>BASE_EQUIPOS!M4663</f>
        <v/>
      </c>
    </row>
    <row r="4664">
      <c r="A4664">
        <f>TRIM(BASE_EQUIPOS!N4664)</f>
        <v/>
      </c>
      <c r="B4664">
        <f>BASE_EQUIPOS!A4664</f>
        <v/>
      </c>
      <c r="C4664">
        <f>BASE_EQUIPOS!B4664</f>
        <v/>
      </c>
      <c r="D4664">
        <f>BASE_EQUIPOS!D4664</f>
        <v/>
      </c>
      <c r="E4664">
        <f>BASE_EQUIPOS!G4664</f>
        <v/>
      </c>
      <c r="F4664">
        <f>BASE_EQUIPOS!H4664</f>
        <v/>
      </c>
      <c r="G4664">
        <f>BASE_EQUIPOS!M4664</f>
        <v/>
      </c>
    </row>
    <row r="4665">
      <c r="A4665">
        <f>TRIM(BASE_EQUIPOS!N4665)</f>
        <v/>
      </c>
      <c r="B4665">
        <f>BASE_EQUIPOS!A4665</f>
        <v/>
      </c>
      <c r="C4665">
        <f>BASE_EQUIPOS!B4665</f>
        <v/>
      </c>
      <c r="D4665">
        <f>BASE_EQUIPOS!D4665</f>
        <v/>
      </c>
      <c r="E4665">
        <f>BASE_EQUIPOS!G4665</f>
        <v/>
      </c>
      <c r="F4665">
        <f>BASE_EQUIPOS!H4665</f>
        <v/>
      </c>
      <c r="G4665">
        <f>BASE_EQUIPOS!M4665</f>
        <v/>
      </c>
    </row>
    <row r="4666">
      <c r="A4666">
        <f>TRIM(BASE_EQUIPOS!N4666)</f>
        <v/>
      </c>
      <c r="B4666">
        <f>BASE_EQUIPOS!A4666</f>
        <v/>
      </c>
      <c r="C4666">
        <f>BASE_EQUIPOS!B4666</f>
        <v/>
      </c>
      <c r="D4666">
        <f>BASE_EQUIPOS!D4666</f>
        <v/>
      </c>
      <c r="E4666">
        <f>BASE_EQUIPOS!G4666</f>
        <v/>
      </c>
      <c r="F4666">
        <f>BASE_EQUIPOS!H4666</f>
        <v/>
      </c>
      <c r="G4666">
        <f>BASE_EQUIPOS!M4666</f>
        <v/>
      </c>
    </row>
    <row r="4667">
      <c r="A4667">
        <f>TRIM(BASE_EQUIPOS!N4667)</f>
        <v/>
      </c>
      <c r="B4667">
        <f>BASE_EQUIPOS!A4667</f>
        <v/>
      </c>
      <c r="C4667">
        <f>BASE_EQUIPOS!B4667</f>
        <v/>
      </c>
      <c r="D4667">
        <f>BASE_EQUIPOS!D4667</f>
        <v/>
      </c>
      <c r="E4667">
        <f>BASE_EQUIPOS!G4667</f>
        <v/>
      </c>
      <c r="F4667">
        <f>BASE_EQUIPOS!H4667</f>
        <v/>
      </c>
      <c r="G4667">
        <f>BASE_EQUIPOS!M4667</f>
        <v/>
      </c>
    </row>
    <row r="4668">
      <c r="A4668">
        <f>TRIM(BASE_EQUIPOS!N4668)</f>
        <v/>
      </c>
      <c r="B4668">
        <f>BASE_EQUIPOS!A4668</f>
        <v/>
      </c>
      <c r="C4668">
        <f>BASE_EQUIPOS!B4668</f>
        <v/>
      </c>
      <c r="D4668">
        <f>BASE_EQUIPOS!D4668</f>
        <v/>
      </c>
      <c r="E4668">
        <f>BASE_EQUIPOS!G4668</f>
        <v/>
      </c>
      <c r="F4668">
        <f>BASE_EQUIPOS!H4668</f>
        <v/>
      </c>
      <c r="G4668">
        <f>BASE_EQUIPOS!M4668</f>
        <v/>
      </c>
    </row>
    <row r="4669">
      <c r="A4669">
        <f>TRIM(BASE_EQUIPOS!N4669)</f>
        <v/>
      </c>
      <c r="B4669">
        <f>BASE_EQUIPOS!A4669</f>
        <v/>
      </c>
      <c r="C4669">
        <f>BASE_EQUIPOS!B4669</f>
        <v/>
      </c>
      <c r="D4669">
        <f>BASE_EQUIPOS!D4669</f>
        <v/>
      </c>
      <c r="E4669">
        <f>BASE_EQUIPOS!G4669</f>
        <v/>
      </c>
      <c r="F4669">
        <f>BASE_EQUIPOS!H4669</f>
        <v/>
      </c>
      <c r="G4669">
        <f>BASE_EQUIPOS!M4669</f>
        <v/>
      </c>
    </row>
    <row r="4670">
      <c r="A4670">
        <f>TRIM(BASE_EQUIPOS!N4670)</f>
        <v/>
      </c>
      <c r="B4670">
        <f>BASE_EQUIPOS!A4670</f>
        <v/>
      </c>
      <c r="C4670">
        <f>BASE_EQUIPOS!B4670</f>
        <v/>
      </c>
      <c r="D4670">
        <f>BASE_EQUIPOS!D4670</f>
        <v/>
      </c>
      <c r="E4670">
        <f>BASE_EQUIPOS!G4670</f>
        <v/>
      </c>
      <c r="F4670">
        <f>BASE_EQUIPOS!H4670</f>
        <v/>
      </c>
      <c r="G4670">
        <f>BASE_EQUIPOS!M4670</f>
        <v/>
      </c>
    </row>
    <row r="4671">
      <c r="A4671">
        <f>TRIM(BASE_EQUIPOS!N4671)</f>
        <v/>
      </c>
      <c r="B4671">
        <f>BASE_EQUIPOS!A4671</f>
        <v/>
      </c>
      <c r="C4671">
        <f>BASE_EQUIPOS!B4671</f>
        <v/>
      </c>
      <c r="D4671">
        <f>BASE_EQUIPOS!D4671</f>
        <v/>
      </c>
      <c r="E4671">
        <f>BASE_EQUIPOS!G4671</f>
        <v/>
      </c>
      <c r="F4671">
        <f>BASE_EQUIPOS!H4671</f>
        <v/>
      </c>
      <c r="G4671">
        <f>BASE_EQUIPOS!M4671</f>
        <v/>
      </c>
    </row>
    <row r="4672">
      <c r="A4672">
        <f>TRIM(BASE_EQUIPOS!N4672)</f>
        <v/>
      </c>
      <c r="B4672">
        <f>BASE_EQUIPOS!A4672</f>
        <v/>
      </c>
      <c r="C4672">
        <f>BASE_EQUIPOS!B4672</f>
        <v/>
      </c>
      <c r="D4672">
        <f>BASE_EQUIPOS!D4672</f>
        <v/>
      </c>
      <c r="E4672">
        <f>BASE_EQUIPOS!G4672</f>
        <v/>
      </c>
      <c r="F4672">
        <f>BASE_EQUIPOS!H4672</f>
        <v/>
      </c>
      <c r="G4672">
        <f>BASE_EQUIPOS!M4672</f>
        <v/>
      </c>
    </row>
    <row r="4673">
      <c r="A4673">
        <f>TRIM(BASE_EQUIPOS!N4673)</f>
        <v/>
      </c>
      <c r="B4673">
        <f>BASE_EQUIPOS!A4673</f>
        <v/>
      </c>
      <c r="C4673">
        <f>BASE_EQUIPOS!B4673</f>
        <v/>
      </c>
      <c r="D4673">
        <f>BASE_EQUIPOS!D4673</f>
        <v/>
      </c>
      <c r="E4673">
        <f>BASE_EQUIPOS!G4673</f>
        <v/>
      </c>
      <c r="F4673">
        <f>BASE_EQUIPOS!H4673</f>
        <v/>
      </c>
      <c r="G4673">
        <f>BASE_EQUIPOS!M4673</f>
        <v/>
      </c>
    </row>
    <row r="4674">
      <c r="A4674">
        <f>TRIM(BASE_EQUIPOS!N4674)</f>
        <v/>
      </c>
      <c r="B4674">
        <f>BASE_EQUIPOS!A4674</f>
        <v/>
      </c>
      <c r="C4674">
        <f>BASE_EQUIPOS!B4674</f>
        <v/>
      </c>
      <c r="D4674">
        <f>BASE_EQUIPOS!D4674</f>
        <v/>
      </c>
      <c r="E4674">
        <f>BASE_EQUIPOS!G4674</f>
        <v/>
      </c>
      <c r="F4674">
        <f>BASE_EQUIPOS!H4674</f>
        <v/>
      </c>
      <c r="G4674">
        <f>BASE_EQUIPOS!M4674</f>
        <v/>
      </c>
    </row>
    <row r="4675">
      <c r="A4675">
        <f>TRIM(BASE_EQUIPOS!N4675)</f>
        <v/>
      </c>
      <c r="B4675">
        <f>BASE_EQUIPOS!A4675</f>
        <v/>
      </c>
      <c r="C4675">
        <f>BASE_EQUIPOS!B4675</f>
        <v/>
      </c>
      <c r="D4675">
        <f>BASE_EQUIPOS!D4675</f>
        <v/>
      </c>
      <c r="E4675">
        <f>BASE_EQUIPOS!G4675</f>
        <v/>
      </c>
      <c r="F4675">
        <f>BASE_EQUIPOS!H4675</f>
        <v/>
      </c>
      <c r="G4675">
        <f>BASE_EQUIPOS!M4675</f>
        <v/>
      </c>
    </row>
    <row r="4676">
      <c r="A4676">
        <f>TRIM(BASE_EQUIPOS!N4676)</f>
        <v/>
      </c>
      <c r="B4676">
        <f>BASE_EQUIPOS!A4676</f>
        <v/>
      </c>
      <c r="C4676">
        <f>BASE_EQUIPOS!B4676</f>
        <v/>
      </c>
      <c r="D4676">
        <f>BASE_EQUIPOS!D4676</f>
        <v/>
      </c>
      <c r="E4676">
        <f>BASE_EQUIPOS!G4676</f>
        <v/>
      </c>
      <c r="F4676">
        <f>BASE_EQUIPOS!H4676</f>
        <v/>
      </c>
      <c r="G4676">
        <f>BASE_EQUIPOS!M4676</f>
        <v/>
      </c>
    </row>
    <row r="4677">
      <c r="A4677">
        <f>TRIM(BASE_EQUIPOS!N4677)</f>
        <v/>
      </c>
      <c r="B4677">
        <f>BASE_EQUIPOS!A4677</f>
        <v/>
      </c>
      <c r="C4677">
        <f>BASE_EQUIPOS!B4677</f>
        <v/>
      </c>
      <c r="D4677">
        <f>BASE_EQUIPOS!D4677</f>
        <v/>
      </c>
      <c r="E4677">
        <f>BASE_EQUIPOS!G4677</f>
        <v/>
      </c>
      <c r="F4677">
        <f>BASE_EQUIPOS!H4677</f>
        <v/>
      </c>
      <c r="G4677">
        <f>BASE_EQUIPOS!M4677</f>
        <v/>
      </c>
    </row>
    <row r="4678">
      <c r="A4678">
        <f>TRIM(BASE_EQUIPOS!N4678)</f>
        <v/>
      </c>
      <c r="B4678">
        <f>BASE_EQUIPOS!A4678</f>
        <v/>
      </c>
      <c r="C4678">
        <f>BASE_EQUIPOS!B4678</f>
        <v/>
      </c>
      <c r="D4678">
        <f>BASE_EQUIPOS!D4678</f>
        <v/>
      </c>
      <c r="E4678">
        <f>BASE_EQUIPOS!G4678</f>
        <v/>
      </c>
      <c r="F4678">
        <f>BASE_EQUIPOS!H4678</f>
        <v/>
      </c>
      <c r="G4678">
        <f>BASE_EQUIPOS!M4678</f>
        <v/>
      </c>
    </row>
    <row r="4679">
      <c r="A4679">
        <f>TRIM(BASE_EQUIPOS!N4679)</f>
        <v/>
      </c>
      <c r="B4679">
        <f>BASE_EQUIPOS!A4679</f>
        <v/>
      </c>
      <c r="C4679">
        <f>BASE_EQUIPOS!B4679</f>
        <v/>
      </c>
      <c r="D4679">
        <f>BASE_EQUIPOS!D4679</f>
        <v/>
      </c>
      <c r="E4679">
        <f>BASE_EQUIPOS!G4679</f>
        <v/>
      </c>
      <c r="F4679">
        <f>BASE_EQUIPOS!H4679</f>
        <v/>
      </c>
      <c r="G4679">
        <f>BASE_EQUIPOS!M4679</f>
        <v/>
      </c>
    </row>
    <row r="4680">
      <c r="A4680">
        <f>TRIM(BASE_EQUIPOS!N4680)</f>
        <v/>
      </c>
      <c r="B4680">
        <f>BASE_EQUIPOS!A4680</f>
        <v/>
      </c>
      <c r="C4680">
        <f>BASE_EQUIPOS!B4680</f>
        <v/>
      </c>
      <c r="D4680">
        <f>BASE_EQUIPOS!D4680</f>
        <v/>
      </c>
      <c r="E4680">
        <f>BASE_EQUIPOS!G4680</f>
        <v/>
      </c>
      <c r="F4680">
        <f>BASE_EQUIPOS!H4680</f>
        <v/>
      </c>
      <c r="G4680">
        <f>BASE_EQUIPOS!M4680</f>
        <v/>
      </c>
    </row>
    <row r="4681">
      <c r="A4681">
        <f>TRIM(BASE_EQUIPOS!N4681)</f>
        <v/>
      </c>
      <c r="B4681">
        <f>BASE_EQUIPOS!A4681</f>
        <v/>
      </c>
      <c r="C4681">
        <f>BASE_EQUIPOS!B4681</f>
        <v/>
      </c>
      <c r="D4681">
        <f>BASE_EQUIPOS!D4681</f>
        <v/>
      </c>
      <c r="E4681">
        <f>BASE_EQUIPOS!G4681</f>
        <v/>
      </c>
      <c r="F4681">
        <f>BASE_EQUIPOS!H4681</f>
        <v/>
      </c>
      <c r="G4681">
        <f>BASE_EQUIPOS!M4681</f>
        <v/>
      </c>
    </row>
    <row r="4682">
      <c r="A4682">
        <f>TRIM(BASE_EQUIPOS!N4682)</f>
        <v/>
      </c>
      <c r="B4682">
        <f>BASE_EQUIPOS!A4682</f>
        <v/>
      </c>
      <c r="C4682">
        <f>BASE_EQUIPOS!B4682</f>
        <v/>
      </c>
      <c r="D4682">
        <f>BASE_EQUIPOS!D4682</f>
        <v/>
      </c>
      <c r="E4682">
        <f>BASE_EQUIPOS!G4682</f>
        <v/>
      </c>
      <c r="F4682">
        <f>BASE_EQUIPOS!H4682</f>
        <v/>
      </c>
      <c r="G4682">
        <f>BASE_EQUIPOS!M4682</f>
        <v/>
      </c>
    </row>
    <row r="4683">
      <c r="A4683">
        <f>TRIM(BASE_EQUIPOS!N4683)</f>
        <v/>
      </c>
      <c r="B4683">
        <f>BASE_EQUIPOS!A4683</f>
        <v/>
      </c>
      <c r="C4683">
        <f>BASE_EQUIPOS!B4683</f>
        <v/>
      </c>
      <c r="D4683">
        <f>BASE_EQUIPOS!D4683</f>
        <v/>
      </c>
      <c r="E4683">
        <f>BASE_EQUIPOS!G4683</f>
        <v/>
      </c>
      <c r="F4683">
        <f>BASE_EQUIPOS!H4683</f>
        <v/>
      </c>
      <c r="G4683">
        <f>BASE_EQUIPOS!M4683</f>
        <v/>
      </c>
    </row>
    <row r="4684">
      <c r="A4684">
        <f>TRIM(BASE_EQUIPOS!N4684)</f>
        <v/>
      </c>
      <c r="B4684">
        <f>BASE_EQUIPOS!A4684</f>
        <v/>
      </c>
      <c r="C4684">
        <f>BASE_EQUIPOS!B4684</f>
        <v/>
      </c>
      <c r="D4684">
        <f>BASE_EQUIPOS!D4684</f>
        <v/>
      </c>
      <c r="E4684">
        <f>BASE_EQUIPOS!G4684</f>
        <v/>
      </c>
      <c r="F4684">
        <f>BASE_EQUIPOS!H4684</f>
        <v/>
      </c>
      <c r="G4684">
        <f>BASE_EQUIPOS!M4684</f>
        <v/>
      </c>
    </row>
    <row r="4685">
      <c r="A4685">
        <f>TRIM(BASE_EQUIPOS!N4685)</f>
        <v/>
      </c>
      <c r="B4685">
        <f>BASE_EQUIPOS!A4685</f>
        <v/>
      </c>
      <c r="C4685">
        <f>BASE_EQUIPOS!B4685</f>
        <v/>
      </c>
      <c r="D4685">
        <f>BASE_EQUIPOS!D4685</f>
        <v/>
      </c>
      <c r="E4685">
        <f>BASE_EQUIPOS!G4685</f>
        <v/>
      </c>
      <c r="F4685">
        <f>BASE_EQUIPOS!H4685</f>
        <v/>
      </c>
      <c r="G4685">
        <f>BASE_EQUIPOS!M4685</f>
        <v/>
      </c>
    </row>
    <row r="4686">
      <c r="A4686">
        <f>TRIM(BASE_EQUIPOS!N4686)</f>
        <v/>
      </c>
      <c r="B4686">
        <f>BASE_EQUIPOS!A4686</f>
        <v/>
      </c>
      <c r="C4686">
        <f>BASE_EQUIPOS!B4686</f>
        <v/>
      </c>
      <c r="D4686">
        <f>BASE_EQUIPOS!D4686</f>
        <v/>
      </c>
      <c r="E4686">
        <f>BASE_EQUIPOS!G4686</f>
        <v/>
      </c>
      <c r="F4686">
        <f>BASE_EQUIPOS!H4686</f>
        <v/>
      </c>
      <c r="G4686">
        <f>BASE_EQUIPOS!M4686</f>
        <v/>
      </c>
    </row>
    <row r="4687">
      <c r="A4687">
        <f>TRIM(BASE_EQUIPOS!N4687)</f>
        <v/>
      </c>
      <c r="B4687">
        <f>BASE_EQUIPOS!A4687</f>
        <v/>
      </c>
      <c r="C4687">
        <f>BASE_EQUIPOS!B4687</f>
        <v/>
      </c>
      <c r="D4687">
        <f>BASE_EQUIPOS!D4687</f>
        <v/>
      </c>
      <c r="E4687">
        <f>BASE_EQUIPOS!G4687</f>
        <v/>
      </c>
      <c r="F4687">
        <f>BASE_EQUIPOS!H4687</f>
        <v/>
      </c>
      <c r="G4687">
        <f>BASE_EQUIPOS!M4687</f>
        <v/>
      </c>
    </row>
    <row r="4688">
      <c r="A4688">
        <f>TRIM(BASE_EQUIPOS!N4688)</f>
        <v/>
      </c>
      <c r="B4688">
        <f>BASE_EQUIPOS!A4688</f>
        <v/>
      </c>
      <c r="C4688">
        <f>BASE_EQUIPOS!B4688</f>
        <v/>
      </c>
      <c r="D4688">
        <f>BASE_EQUIPOS!D4688</f>
        <v/>
      </c>
      <c r="E4688">
        <f>BASE_EQUIPOS!G4688</f>
        <v/>
      </c>
      <c r="F4688">
        <f>BASE_EQUIPOS!H4688</f>
        <v/>
      </c>
      <c r="G4688">
        <f>BASE_EQUIPOS!M4688</f>
        <v/>
      </c>
    </row>
    <row r="4689">
      <c r="A4689">
        <f>TRIM(BASE_EQUIPOS!N4689)</f>
        <v/>
      </c>
      <c r="B4689">
        <f>BASE_EQUIPOS!A4689</f>
        <v/>
      </c>
      <c r="C4689">
        <f>BASE_EQUIPOS!B4689</f>
        <v/>
      </c>
      <c r="D4689">
        <f>BASE_EQUIPOS!D4689</f>
        <v/>
      </c>
      <c r="E4689">
        <f>BASE_EQUIPOS!G4689</f>
        <v/>
      </c>
      <c r="F4689">
        <f>BASE_EQUIPOS!H4689</f>
        <v/>
      </c>
      <c r="G4689">
        <f>BASE_EQUIPOS!M4689</f>
        <v/>
      </c>
    </row>
    <row r="4690">
      <c r="A4690">
        <f>TRIM(BASE_EQUIPOS!N4690)</f>
        <v/>
      </c>
      <c r="B4690">
        <f>BASE_EQUIPOS!A4690</f>
        <v/>
      </c>
      <c r="C4690">
        <f>BASE_EQUIPOS!B4690</f>
        <v/>
      </c>
      <c r="D4690">
        <f>BASE_EQUIPOS!D4690</f>
        <v/>
      </c>
      <c r="E4690">
        <f>BASE_EQUIPOS!G4690</f>
        <v/>
      </c>
      <c r="F4690">
        <f>BASE_EQUIPOS!H4690</f>
        <v/>
      </c>
      <c r="G4690">
        <f>BASE_EQUIPOS!M4690</f>
        <v/>
      </c>
    </row>
    <row r="4691">
      <c r="A4691">
        <f>TRIM(BASE_EQUIPOS!N4691)</f>
        <v/>
      </c>
      <c r="B4691">
        <f>BASE_EQUIPOS!A4691</f>
        <v/>
      </c>
      <c r="C4691">
        <f>BASE_EQUIPOS!B4691</f>
        <v/>
      </c>
      <c r="D4691">
        <f>BASE_EQUIPOS!D4691</f>
        <v/>
      </c>
      <c r="E4691">
        <f>BASE_EQUIPOS!G4691</f>
        <v/>
      </c>
      <c r="F4691">
        <f>BASE_EQUIPOS!H4691</f>
        <v/>
      </c>
      <c r="G4691">
        <f>BASE_EQUIPOS!M4691</f>
        <v/>
      </c>
    </row>
    <row r="4692">
      <c r="A4692">
        <f>TRIM(BASE_EQUIPOS!N4692)</f>
        <v/>
      </c>
      <c r="B4692">
        <f>BASE_EQUIPOS!A4692</f>
        <v/>
      </c>
      <c r="C4692">
        <f>BASE_EQUIPOS!B4692</f>
        <v/>
      </c>
      <c r="D4692">
        <f>BASE_EQUIPOS!D4692</f>
        <v/>
      </c>
      <c r="E4692">
        <f>BASE_EQUIPOS!G4692</f>
        <v/>
      </c>
      <c r="F4692">
        <f>BASE_EQUIPOS!H4692</f>
        <v/>
      </c>
      <c r="G4692">
        <f>BASE_EQUIPOS!M4692</f>
        <v/>
      </c>
    </row>
    <row r="4693">
      <c r="A4693">
        <f>TRIM(BASE_EQUIPOS!N4693)</f>
        <v/>
      </c>
      <c r="B4693">
        <f>BASE_EQUIPOS!A4693</f>
        <v/>
      </c>
      <c r="C4693">
        <f>BASE_EQUIPOS!B4693</f>
        <v/>
      </c>
      <c r="D4693">
        <f>BASE_EQUIPOS!D4693</f>
        <v/>
      </c>
      <c r="E4693">
        <f>BASE_EQUIPOS!G4693</f>
        <v/>
      </c>
      <c r="F4693">
        <f>BASE_EQUIPOS!H4693</f>
        <v/>
      </c>
      <c r="G4693">
        <f>BASE_EQUIPOS!M4693</f>
        <v/>
      </c>
    </row>
    <row r="4694">
      <c r="A4694">
        <f>TRIM(BASE_EQUIPOS!N4694)</f>
        <v/>
      </c>
      <c r="B4694">
        <f>BASE_EQUIPOS!A4694</f>
        <v/>
      </c>
      <c r="C4694">
        <f>BASE_EQUIPOS!B4694</f>
        <v/>
      </c>
      <c r="D4694">
        <f>BASE_EQUIPOS!D4694</f>
        <v/>
      </c>
      <c r="E4694">
        <f>BASE_EQUIPOS!G4694</f>
        <v/>
      </c>
      <c r="F4694">
        <f>BASE_EQUIPOS!H4694</f>
        <v/>
      </c>
      <c r="G4694">
        <f>BASE_EQUIPOS!M4694</f>
        <v/>
      </c>
    </row>
    <row r="4695">
      <c r="A4695">
        <f>TRIM(BASE_EQUIPOS!N4695)</f>
        <v/>
      </c>
      <c r="B4695">
        <f>BASE_EQUIPOS!A4695</f>
        <v/>
      </c>
      <c r="C4695">
        <f>BASE_EQUIPOS!B4695</f>
        <v/>
      </c>
      <c r="D4695">
        <f>BASE_EQUIPOS!D4695</f>
        <v/>
      </c>
      <c r="E4695">
        <f>BASE_EQUIPOS!G4695</f>
        <v/>
      </c>
      <c r="F4695">
        <f>BASE_EQUIPOS!H4695</f>
        <v/>
      </c>
      <c r="G4695">
        <f>BASE_EQUIPOS!M4695</f>
        <v/>
      </c>
    </row>
    <row r="4696">
      <c r="A4696">
        <f>TRIM(BASE_EQUIPOS!N4696)</f>
        <v/>
      </c>
      <c r="B4696">
        <f>BASE_EQUIPOS!A4696</f>
        <v/>
      </c>
      <c r="C4696">
        <f>BASE_EQUIPOS!B4696</f>
        <v/>
      </c>
      <c r="D4696">
        <f>BASE_EQUIPOS!D4696</f>
        <v/>
      </c>
      <c r="E4696">
        <f>BASE_EQUIPOS!G4696</f>
        <v/>
      </c>
      <c r="F4696">
        <f>BASE_EQUIPOS!H4696</f>
        <v/>
      </c>
      <c r="G4696">
        <f>BASE_EQUIPOS!M4696</f>
        <v/>
      </c>
    </row>
    <row r="4697">
      <c r="A4697">
        <f>TRIM(BASE_EQUIPOS!N4697)</f>
        <v/>
      </c>
      <c r="B4697">
        <f>BASE_EQUIPOS!A4697</f>
        <v/>
      </c>
      <c r="C4697">
        <f>BASE_EQUIPOS!B4697</f>
        <v/>
      </c>
      <c r="D4697">
        <f>BASE_EQUIPOS!D4697</f>
        <v/>
      </c>
      <c r="E4697">
        <f>BASE_EQUIPOS!G4697</f>
        <v/>
      </c>
      <c r="F4697">
        <f>BASE_EQUIPOS!H4697</f>
        <v/>
      </c>
      <c r="G4697">
        <f>BASE_EQUIPOS!M4697</f>
        <v/>
      </c>
    </row>
    <row r="4698">
      <c r="A4698">
        <f>TRIM(BASE_EQUIPOS!N4698)</f>
        <v/>
      </c>
      <c r="B4698">
        <f>BASE_EQUIPOS!A4698</f>
        <v/>
      </c>
      <c r="C4698">
        <f>BASE_EQUIPOS!B4698</f>
        <v/>
      </c>
      <c r="D4698">
        <f>BASE_EQUIPOS!D4698</f>
        <v/>
      </c>
      <c r="E4698">
        <f>BASE_EQUIPOS!G4698</f>
        <v/>
      </c>
      <c r="F4698">
        <f>BASE_EQUIPOS!H4698</f>
        <v/>
      </c>
      <c r="G4698">
        <f>BASE_EQUIPOS!M4698</f>
        <v/>
      </c>
    </row>
    <row r="4699">
      <c r="A4699">
        <f>TRIM(BASE_EQUIPOS!N4699)</f>
        <v/>
      </c>
      <c r="B4699">
        <f>BASE_EQUIPOS!A4699</f>
        <v/>
      </c>
      <c r="C4699">
        <f>BASE_EQUIPOS!B4699</f>
        <v/>
      </c>
      <c r="D4699">
        <f>BASE_EQUIPOS!D4699</f>
        <v/>
      </c>
      <c r="E4699">
        <f>BASE_EQUIPOS!G4699</f>
        <v/>
      </c>
      <c r="F4699">
        <f>BASE_EQUIPOS!H4699</f>
        <v/>
      </c>
      <c r="G4699">
        <f>BASE_EQUIPOS!M4699</f>
        <v/>
      </c>
    </row>
    <row r="4700">
      <c r="A4700">
        <f>TRIM(BASE_EQUIPOS!N4700)</f>
        <v/>
      </c>
      <c r="B4700">
        <f>BASE_EQUIPOS!A4700</f>
        <v/>
      </c>
      <c r="C4700">
        <f>BASE_EQUIPOS!B4700</f>
        <v/>
      </c>
      <c r="D4700">
        <f>BASE_EQUIPOS!D4700</f>
        <v/>
      </c>
      <c r="E4700">
        <f>BASE_EQUIPOS!G4700</f>
        <v/>
      </c>
      <c r="F4700">
        <f>BASE_EQUIPOS!H4700</f>
        <v/>
      </c>
      <c r="G4700">
        <f>BASE_EQUIPOS!M4700</f>
        <v/>
      </c>
    </row>
    <row r="4701">
      <c r="A4701">
        <f>TRIM(BASE_EQUIPOS!N4701)</f>
        <v/>
      </c>
      <c r="B4701">
        <f>BASE_EQUIPOS!A4701</f>
        <v/>
      </c>
      <c r="C4701">
        <f>BASE_EQUIPOS!B4701</f>
        <v/>
      </c>
      <c r="D4701">
        <f>BASE_EQUIPOS!D4701</f>
        <v/>
      </c>
      <c r="E4701">
        <f>BASE_EQUIPOS!G4701</f>
        <v/>
      </c>
      <c r="F4701">
        <f>BASE_EQUIPOS!H4701</f>
        <v/>
      </c>
      <c r="G4701">
        <f>BASE_EQUIPOS!M4701</f>
        <v/>
      </c>
    </row>
    <row r="4702">
      <c r="A4702">
        <f>TRIM(BASE_EQUIPOS!N4702)</f>
        <v/>
      </c>
      <c r="B4702">
        <f>BASE_EQUIPOS!A4702</f>
        <v/>
      </c>
      <c r="C4702">
        <f>BASE_EQUIPOS!B4702</f>
        <v/>
      </c>
      <c r="D4702">
        <f>BASE_EQUIPOS!D4702</f>
        <v/>
      </c>
      <c r="E4702">
        <f>BASE_EQUIPOS!G4702</f>
        <v/>
      </c>
      <c r="F4702">
        <f>BASE_EQUIPOS!H4702</f>
        <v/>
      </c>
      <c r="G4702">
        <f>BASE_EQUIPOS!M4702</f>
        <v/>
      </c>
    </row>
    <row r="4703">
      <c r="A4703">
        <f>TRIM(BASE_EQUIPOS!N4703)</f>
        <v/>
      </c>
      <c r="B4703">
        <f>BASE_EQUIPOS!A4703</f>
        <v/>
      </c>
      <c r="C4703">
        <f>BASE_EQUIPOS!B4703</f>
        <v/>
      </c>
      <c r="D4703">
        <f>BASE_EQUIPOS!D4703</f>
        <v/>
      </c>
      <c r="E4703">
        <f>BASE_EQUIPOS!G4703</f>
        <v/>
      </c>
      <c r="F4703">
        <f>BASE_EQUIPOS!H4703</f>
        <v/>
      </c>
      <c r="G4703">
        <f>BASE_EQUIPOS!M4703</f>
        <v/>
      </c>
    </row>
    <row r="4704">
      <c r="A4704">
        <f>TRIM(BASE_EQUIPOS!N4704)</f>
        <v/>
      </c>
      <c r="B4704">
        <f>BASE_EQUIPOS!A4704</f>
        <v/>
      </c>
      <c r="C4704">
        <f>BASE_EQUIPOS!B4704</f>
        <v/>
      </c>
      <c r="D4704">
        <f>BASE_EQUIPOS!D4704</f>
        <v/>
      </c>
      <c r="E4704">
        <f>BASE_EQUIPOS!G4704</f>
        <v/>
      </c>
      <c r="F4704">
        <f>BASE_EQUIPOS!H4704</f>
        <v/>
      </c>
      <c r="G4704">
        <f>BASE_EQUIPOS!M4704</f>
        <v/>
      </c>
    </row>
    <row r="4705">
      <c r="A4705">
        <f>TRIM(BASE_EQUIPOS!N4705)</f>
        <v/>
      </c>
      <c r="B4705">
        <f>BASE_EQUIPOS!A4705</f>
        <v/>
      </c>
      <c r="C4705">
        <f>BASE_EQUIPOS!B4705</f>
        <v/>
      </c>
      <c r="D4705">
        <f>BASE_EQUIPOS!D4705</f>
        <v/>
      </c>
      <c r="E4705">
        <f>BASE_EQUIPOS!G4705</f>
        <v/>
      </c>
      <c r="F4705">
        <f>BASE_EQUIPOS!H4705</f>
        <v/>
      </c>
      <c r="G4705">
        <f>BASE_EQUIPOS!M4705</f>
        <v/>
      </c>
    </row>
    <row r="4706">
      <c r="A4706">
        <f>TRIM(BASE_EQUIPOS!N4706)</f>
        <v/>
      </c>
      <c r="B4706">
        <f>BASE_EQUIPOS!A4706</f>
        <v/>
      </c>
      <c r="C4706">
        <f>BASE_EQUIPOS!B4706</f>
        <v/>
      </c>
      <c r="D4706">
        <f>BASE_EQUIPOS!D4706</f>
        <v/>
      </c>
      <c r="E4706">
        <f>BASE_EQUIPOS!G4706</f>
        <v/>
      </c>
      <c r="F4706">
        <f>BASE_EQUIPOS!H4706</f>
        <v/>
      </c>
      <c r="G4706">
        <f>BASE_EQUIPOS!M4706</f>
        <v/>
      </c>
    </row>
    <row r="4707">
      <c r="A4707">
        <f>TRIM(BASE_EQUIPOS!N4707)</f>
        <v/>
      </c>
      <c r="B4707">
        <f>BASE_EQUIPOS!A4707</f>
        <v/>
      </c>
      <c r="C4707">
        <f>BASE_EQUIPOS!B4707</f>
        <v/>
      </c>
      <c r="D4707">
        <f>BASE_EQUIPOS!D4707</f>
        <v/>
      </c>
      <c r="E4707">
        <f>BASE_EQUIPOS!G4707</f>
        <v/>
      </c>
      <c r="F4707">
        <f>BASE_EQUIPOS!H4707</f>
        <v/>
      </c>
      <c r="G4707">
        <f>BASE_EQUIPOS!M4707</f>
        <v/>
      </c>
    </row>
    <row r="4708">
      <c r="A4708">
        <f>TRIM(BASE_EQUIPOS!N4708)</f>
        <v/>
      </c>
      <c r="B4708">
        <f>BASE_EQUIPOS!A4708</f>
        <v/>
      </c>
      <c r="C4708">
        <f>BASE_EQUIPOS!B4708</f>
        <v/>
      </c>
      <c r="D4708">
        <f>BASE_EQUIPOS!D4708</f>
        <v/>
      </c>
      <c r="E4708">
        <f>BASE_EQUIPOS!G4708</f>
        <v/>
      </c>
      <c r="F4708">
        <f>BASE_EQUIPOS!H4708</f>
        <v/>
      </c>
      <c r="G4708">
        <f>BASE_EQUIPOS!M4708</f>
        <v/>
      </c>
    </row>
    <row r="4709">
      <c r="A4709">
        <f>TRIM(BASE_EQUIPOS!N4709)</f>
        <v/>
      </c>
      <c r="B4709">
        <f>BASE_EQUIPOS!A4709</f>
        <v/>
      </c>
      <c r="C4709">
        <f>BASE_EQUIPOS!B4709</f>
        <v/>
      </c>
      <c r="D4709">
        <f>BASE_EQUIPOS!D4709</f>
        <v/>
      </c>
      <c r="E4709">
        <f>BASE_EQUIPOS!G4709</f>
        <v/>
      </c>
      <c r="F4709">
        <f>BASE_EQUIPOS!H4709</f>
        <v/>
      </c>
      <c r="G4709">
        <f>BASE_EQUIPOS!M4709</f>
        <v/>
      </c>
    </row>
    <row r="4710">
      <c r="A4710">
        <f>TRIM(BASE_EQUIPOS!N4710)</f>
        <v/>
      </c>
      <c r="B4710">
        <f>BASE_EQUIPOS!A4710</f>
        <v/>
      </c>
      <c r="C4710">
        <f>BASE_EQUIPOS!B4710</f>
        <v/>
      </c>
      <c r="D4710">
        <f>BASE_EQUIPOS!D4710</f>
        <v/>
      </c>
      <c r="E4710">
        <f>BASE_EQUIPOS!G4710</f>
        <v/>
      </c>
      <c r="F4710">
        <f>BASE_EQUIPOS!H4710</f>
        <v/>
      </c>
      <c r="G4710">
        <f>BASE_EQUIPOS!M4710</f>
        <v/>
      </c>
    </row>
    <row r="4711">
      <c r="A4711">
        <f>TRIM(BASE_EQUIPOS!N4711)</f>
        <v/>
      </c>
      <c r="B4711">
        <f>BASE_EQUIPOS!A4711</f>
        <v/>
      </c>
      <c r="C4711">
        <f>BASE_EQUIPOS!B4711</f>
        <v/>
      </c>
      <c r="D4711">
        <f>BASE_EQUIPOS!D4711</f>
        <v/>
      </c>
      <c r="E4711">
        <f>BASE_EQUIPOS!G4711</f>
        <v/>
      </c>
      <c r="F4711">
        <f>BASE_EQUIPOS!H4711</f>
        <v/>
      </c>
      <c r="G4711">
        <f>BASE_EQUIPOS!M4711</f>
        <v/>
      </c>
    </row>
    <row r="4712">
      <c r="A4712">
        <f>TRIM(BASE_EQUIPOS!N4712)</f>
        <v/>
      </c>
      <c r="B4712">
        <f>BASE_EQUIPOS!A4712</f>
        <v/>
      </c>
      <c r="C4712">
        <f>BASE_EQUIPOS!B4712</f>
        <v/>
      </c>
      <c r="D4712">
        <f>BASE_EQUIPOS!D4712</f>
        <v/>
      </c>
      <c r="E4712">
        <f>BASE_EQUIPOS!G4712</f>
        <v/>
      </c>
      <c r="F4712">
        <f>BASE_EQUIPOS!H4712</f>
        <v/>
      </c>
      <c r="G4712">
        <f>BASE_EQUIPOS!M4712</f>
        <v/>
      </c>
    </row>
    <row r="4713">
      <c r="A4713">
        <f>TRIM(BASE_EQUIPOS!N4713)</f>
        <v/>
      </c>
      <c r="B4713">
        <f>BASE_EQUIPOS!A4713</f>
        <v/>
      </c>
      <c r="C4713">
        <f>BASE_EQUIPOS!B4713</f>
        <v/>
      </c>
      <c r="D4713">
        <f>BASE_EQUIPOS!D4713</f>
        <v/>
      </c>
      <c r="E4713">
        <f>BASE_EQUIPOS!G4713</f>
        <v/>
      </c>
      <c r="F4713">
        <f>BASE_EQUIPOS!H4713</f>
        <v/>
      </c>
      <c r="G4713">
        <f>BASE_EQUIPOS!M4713</f>
        <v/>
      </c>
    </row>
    <row r="4714">
      <c r="A4714">
        <f>TRIM(BASE_EQUIPOS!N4714)</f>
        <v/>
      </c>
      <c r="B4714">
        <f>BASE_EQUIPOS!A4714</f>
        <v/>
      </c>
      <c r="C4714">
        <f>BASE_EQUIPOS!B4714</f>
        <v/>
      </c>
      <c r="D4714">
        <f>BASE_EQUIPOS!D4714</f>
        <v/>
      </c>
      <c r="E4714">
        <f>BASE_EQUIPOS!G4714</f>
        <v/>
      </c>
      <c r="F4714">
        <f>BASE_EQUIPOS!H4714</f>
        <v/>
      </c>
      <c r="G4714">
        <f>BASE_EQUIPOS!M4714</f>
        <v/>
      </c>
    </row>
    <row r="4715">
      <c r="A4715">
        <f>TRIM(BASE_EQUIPOS!N4715)</f>
        <v/>
      </c>
      <c r="B4715">
        <f>BASE_EQUIPOS!A4715</f>
        <v/>
      </c>
      <c r="C4715">
        <f>BASE_EQUIPOS!B4715</f>
        <v/>
      </c>
      <c r="D4715">
        <f>BASE_EQUIPOS!D4715</f>
        <v/>
      </c>
      <c r="E4715">
        <f>BASE_EQUIPOS!G4715</f>
        <v/>
      </c>
      <c r="F4715">
        <f>BASE_EQUIPOS!H4715</f>
        <v/>
      </c>
      <c r="G4715">
        <f>BASE_EQUIPOS!M4715</f>
        <v/>
      </c>
    </row>
    <row r="4716">
      <c r="A4716">
        <f>TRIM(BASE_EQUIPOS!N4716)</f>
        <v/>
      </c>
      <c r="B4716">
        <f>BASE_EQUIPOS!A4716</f>
        <v/>
      </c>
      <c r="C4716">
        <f>BASE_EQUIPOS!B4716</f>
        <v/>
      </c>
      <c r="D4716">
        <f>BASE_EQUIPOS!D4716</f>
        <v/>
      </c>
      <c r="E4716">
        <f>BASE_EQUIPOS!G4716</f>
        <v/>
      </c>
      <c r="F4716">
        <f>BASE_EQUIPOS!H4716</f>
        <v/>
      </c>
      <c r="G4716">
        <f>BASE_EQUIPOS!M4716</f>
        <v/>
      </c>
    </row>
    <row r="4717">
      <c r="A4717">
        <f>TRIM(BASE_EQUIPOS!N4717)</f>
        <v/>
      </c>
      <c r="B4717">
        <f>BASE_EQUIPOS!A4717</f>
        <v/>
      </c>
      <c r="C4717">
        <f>BASE_EQUIPOS!B4717</f>
        <v/>
      </c>
      <c r="D4717">
        <f>BASE_EQUIPOS!D4717</f>
        <v/>
      </c>
      <c r="E4717">
        <f>BASE_EQUIPOS!G4717</f>
        <v/>
      </c>
      <c r="F4717">
        <f>BASE_EQUIPOS!H4717</f>
        <v/>
      </c>
      <c r="G4717">
        <f>BASE_EQUIPOS!M4717</f>
        <v/>
      </c>
    </row>
    <row r="4718">
      <c r="A4718">
        <f>TRIM(BASE_EQUIPOS!N4718)</f>
        <v/>
      </c>
      <c r="B4718">
        <f>BASE_EQUIPOS!A4718</f>
        <v/>
      </c>
      <c r="C4718">
        <f>BASE_EQUIPOS!B4718</f>
        <v/>
      </c>
      <c r="D4718">
        <f>BASE_EQUIPOS!D4718</f>
        <v/>
      </c>
      <c r="E4718">
        <f>BASE_EQUIPOS!G4718</f>
        <v/>
      </c>
      <c r="F4718">
        <f>BASE_EQUIPOS!H4718</f>
        <v/>
      </c>
      <c r="G4718">
        <f>BASE_EQUIPOS!M4718</f>
        <v/>
      </c>
    </row>
    <row r="4719">
      <c r="A4719">
        <f>TRIM(BASE_EQUIPOS!N4719)</f>
        <v/>
      </c>
      <c r="B4719">
        <f>BASE_EQUIPOS!A4719</f>
        <v/>
      </c>
      <c r="C4719">
        <f>BASE_EQUIPOS!B4719</f>
        <v/>
      </c>
      <c r="D4719">
        <f>BASE_EQUIPOS!D4719</f>
        <v/>
      </c>
      <c r="E4719">
        <f>BASE_EQUIPOS!G4719</f>
        <v/>
      </c>
      <c r="F4719">
        <f>BASE_EQUIPOS!H4719</f>
        <v/>
      </c>
      <c r="G4719">
        <f>BASE_EQUIPOS!M4719</f>
        <v/>
      </c>
    </row>
    <row r="4720">
      <c r="A4720">
        <f>TRIM(BASE_EQUIPOS!N4720)</f>
        <v/>
      </c>
      <c r="B4720">
        <f>BASE_EQUIPOS!A4720</f>
        <v/>
      </c>
      <c r="C4720">
        <f>BASE_EQUIPOS!B4720</f>
        <v/>
      </c>
      <c r="D4720">
        <f>BASE_EQUIPOS!D4720</f>
        <v/>
      </c>
      <c r="E4720">
        <f>BASE_EQUIPOS!G4720</f>
        <v/>
      </c>
      <c r="F4720">
        <f>BASE_EQUIPOS!H4720</f>
        <v/>
      </c>
      <c r="G4720">
        <f>BASE_EQUIPOS!M4720</f>
        <v/>
      </c>
    </row>
    <row r="4721">
      <c r="A4721">
        <f>TRIM(BASE_EQUIPOS!N4721)</f>
        <v/>
      </c>
      <c r="B4721">
        <f>BASE_EQUIPOS!A4721</f>
        <v/>
      </c>
      <c r="C4721">
        <f>BASE_EQUIPOS!B4721</f>
        <v/>
      </c>
      <c r="D4721">
        <f>BASE_EQUIPOS!D4721</f>
        <v/>
      </c>
      <c r="E4721">
        <f>BASE_EQUIPOS!G4721</f>
        <v/>
      </c>
      <c r="F4721">
        <f>BASE_EQUIPOS!H4721</f>
        <v/>
      </c>
      <c r="G4721">
        <f>BASE_EQUIPOS!M4721</f>
        <v/>
      </c>
    </row>
    <row r="4722">
      <c r="A4722">
        <f>TRIM(BASE_EQUIPOS!N4722)</f>
        <v/>
      </c>
      <c r="B4722">
        <f>BASE_EQUIPOS!A4722</f>
        <v/>
      </c>
      <c r="C4722">
        <f>BASE_EQUIPOS!B4722</f>
        <v/>
      </c>
      <c r="D4722">
        <f>BASE_EQUIPOS!D4722</f>
        <v/>
      </c>
      <c r="E4722">
        <f>BASE_EQUIPOS!G4722</f>
        <v/>
      </c>
      <c r="F4722">
        <f>BASE_EQUIPOS!H4722</f>
        <v/>
      </c>
      <c r="G4722">
        <f>BASE_EQUIPOS!M4722</f>
        <v/>
      </c>
    </row>
    <row r="4723">
      <c r="A4723">
        <f>TRIM(BASE_EQUIPOS!N4723)</f>
        <v/>
      </c>
      <c r="B4723">
        <f>BASE_EQUIPOS!A4723</f>
        <v/>
      </c>
      <c r="C4723">
        <f>BASE_EQUIPOS!B4723</f>
        <v/>
      </c>
      <c r="D4723">
        <f>BASE_EQUIPOS!D4723</f>
        <v/>
      </c>
      <c r="E4723">
        <f>BASE_EQUIPOS!G4723</f>
        <v/>
      </c>
      <c r="F4723">
        <f>BASE_EQUIPOS!H4723</f>
        <v/>
      </c>
      <c r="G4723">
        <f>BASE_EQUIPOS!M4723</f>
        <v/>
      </c>
    </row>
    <row r="4724">
      <c r="A4724">
        <f>TRIM(BASE_EQUIPOS!N4724)</f>
        <v/>
      </c>
      <c r="B4724">
        <f>BASE_EQUIPOS!A4724</f>
        <v/>
      </c>
      <c r="C4724">
        <f>BASE_EQUIPOS!B4724</f>
        <v/>
      </c>
      <c r="D4724">
        <f>BASE_EQUIPOS!D4724</f>
        <v/>
      </c>
      <c r="E4724">
        <f>BASE_EQUIPOS!G4724</f>
        <v/>
      </c>
      <c r="F4724">
        <f>BASE_EQUIPOS!H4724</f>
        <v/>
      </c>
      <c r="G4724">
        <f>BASE_EQUIPOS!M4724</f>
        <v/>
      </c>
    </row>
    <row r="4725">
      <c r="A4725">
        <f>TRIM(BASE_EQUIPOS!N4725)</f>
        <v/>
      </c>
      <c r="B4725">
        <f>BASE_EQUIPOS!A4725</f>
        <v/>
      </c>
      <c r="C4725">
        <f>BASE_EQUIPOS!B4725</f>
        <v/>
      </c>
      <c r="D4725">
        <f>BASE_EQUIPOS!D4725</f>
        <v/>
      </c>
      <c r="E4725">
        <f>BASE_EQUIPOS!G4725</f>
        <v/>
      </c>
      <c r="F4725">
        <f>BASE_EQUIPOS!H4725</f>
        <v/>
      </c>
      <c r="G4725">
        <f>BASE_EQUIPOS!M4725</f>
        <v/>
      </c>
    </row>
    <row r="4726">
      <c r="A4726">
        <f>TRIM(BASE_EQUIPOS!N4726)</f>
        <v/>
      </c>
      <c r="B4726">
        <f>BASE_EQUIPOS!A4726</f>
        <v/>
      </c>
      <c r="C4726">
        <f>BASE_EQUIPOS!B4726</f>
        <v/>
      </c>
      <c r="D4726">
        <f>BASE_EQUIPOS!D4726</f>
        <v/>
      </c>
      <c r="E4726">
        <f>BASE_EQUIPOS!G4726</f>
        <v/>
      </c>
      <c r="F4726">
        <f>BASE_EQUIPOS!H4726</f>
        <v/>
      </c>
      <c r="G4726">
        <f>BASE_EQUIPOS!M4726</f>
        <v/>
      </c>
    </row>
    <row r="4727">
      <c r="A4727">
        <f>TRIM(BASE_EQUIPOS!N4727)</f>
        <v/>
      </c>
      <c r="B4727">
        <f>BASE_EQUIPOS!A4727</f>
        <v/>
      </c>
      <c r="C4727">
        <f>BASE_EQUIPOS!B4727</f>
        <v/>
      </c>
      <c r="D4727">
        <f>BASE_EQUIPOS!D4727</f>
        <v/>
      </c>
      <c r="E4727">
        <f>BASE_EQUIPOS!G4727</f>
        <v/>
      </c>
      <c r="F4727">
        <f>BASE_EQUIPOS!H4727</f>
        <v/>
      </c>
      <c r="G4727">
        <f>BASE_EQUIPOS!M4727</f>
        <v/>
      </c>
    </row>
    <row r="4728">
      <c r="A4728">
        <f>TRIM(BASE_EQUIPOS!N4728)</f>
        <v/>
      </c>
      <c r="B4728">
        <f>BASE_EQUIPOS!A4728</f>
        <v/>
      </c>
      <c r="C4728">
        <f>BASE_EQUIPOS!B4728</f>
        <v/>
      </c>
      <c r="D4728">
        <f>BASE_EQUIPOS!D4728</f>
        <v/>
      </c>
      <c r="E4728">
        <f>BASE_EQUIPOS!G4728</f>
        <v/>
      </c>
      <c r="F4728">
        <f>BASE_EQUIPOS!H4728</f>
        <v/>
      </c>
      <c r="G4728">
        <f>BASE_EQUIPOS!M4728</f>
        <v/>
      </c>
    </row>
    <row r="4729">
      <c r="A4729">
        <f>TRIM(BASE_EQUIPOS!N4729)</f>
        <v/>
      </c>
      <c r="B4729">
        <f>BASE_EQUIPOS!A4729</f>
        <v/>
      </c>
      <c r="C4729">
        <f>BASE_EQUIPOS!B4729</f>
        <v/>
      </c>
      <c r="D4729">
        <f>BASE_EQUIPOS!D4729</f>
        <v/>
      </c>
      <c r="E4729">
        <f>BASE_EQUIPOS!G4729</f>
        <v/>
      </c>
      <c r="F4729">
        <f>BASE_EQUIPOS!H4729</f>
        <v/>
      </c>
      <c r="G4729">
        <f>BASE_EQUIPOS!M4729</f>
        <v/>
      </c>
    </row>
    <row r="4730">
      <c r="A4730">
        <f>TRIM(BASE_EQUIPOS!N4730)</f>
        <v/>
      </c>
      <c r="B4730">
        <f>BASE_EQUIPOS!A4730</f>
        <v/>
      </c>
      <c r="C4730">
        <f>BASE_EQUIPOS!B4730</f>
        <v/>
      </c>
      <c r="D4730">
        <f>BASE_EQUIPOS!D4730</f>
        <v/>
      </c>
      <c r="E4730">
        <f>BASE_EQUIPOS!G4730</f>
        <v/>
      </c>
      <c r="F4730">
        <f>BASE_EQUIPOS!H4730</f>
        <v/>
      </c>
      <c r="G4730">
        <f>BASE_EQUIPOS!M4730</f>
        <v/>
      </c>
    </row>
    <row r="4731">
      <c r="A4731">
        <f>TRIM(BASE_EQUIPOS!N4731)</f>
        <v/>
      </c>
      <c r="B4731">
        <f>BASE_EQUIPOS!A4731</f>
        <v/>
      </c>
      <c r="C4731">
        <f>BASE_EQUIPOS!B4731</f>
        <v/>
      </c>
      <c r="D4731">
        <f>BASE_EQUIPOS!D4731</f>
        <v/>
      </c>
      <c r="E4731">
        <f>BASE_EQUIPOS!G4731</f>
        <v/>
      </c>
      <c r="F4731">
        <f>BASE_EQUIPOS!H4731</f>
        <v/>
      </c>
      <c r="G4731">
        <f>BASE_EQUIPOS!M4731</f>
        <v/>
      </c>
    </row>
    <row r="4732">
      <c r="A4732">
        <f>TRIM(BASE_EQUIPOS!N4732)</f>
        <v/>
      </c>
      <c r="B4732">
        <f>BASE_EQUIPOS!A4732</f>
        <v/>
      </c>
      <c r="C4732">
        <f>BASE_EQUIPOS!B4732</f>
        <v/>
      </c>
      <c r="D4732">
        <f>BASE_EQUIPOS!D4732</f>
        <v/>
      </c>
      <c r="E4732">
        <f>BASE_EQUIPOS!G4732</f>
        <v/>
      </c>
      <c r="F4732">
        <f>BASE_EQUIPOS!H4732</f>
        <v/>
      </c>
      <c r="G4732">
        <f>BASE_EQUIPOS!M4732</f>
        <v/>
      </c>
    </row>
    <row r="4733">
      <c r="A4733">
        <f>TRIM(BASE_EQUIPOS!N4733)</f>
        <v/>
      </c>
      <c r="B4733">
        <f>BASE_EQUIPOS!A4733</f>
        <v/>
      </c>
      <c r="C4733">
        <f>BASE_EQUIPOS!B4733</f>
        <v/>
      </c>
      <c r="D4733">
        <f>BASE_EQUIPOS!D4733</f>
        <v/>
      </c>
      <c r="E4733">
        <f>BASE_EQUIPOS!G4733</f>
        <v/>
      </c>
      <c r="F4733">
        <f>BASE_EQUIPOS!H4733</f>
        <v/>
      </c>
      <c r="G4733">
        <f>BASE_EQUIPOS!M4733</f>
        <v/>
      </c>
    </row>
    <row r="4734">
      <c r="A4734">
        <f>TRIM(BASE_EQUIPOS!N4734)</f>
        <v/>
      </c>
      <c r="B4734">
        <f>BASE_EQUIPOS!A4734</f>
        <v/>
      </c>
      <c r="C4734">
        <f>BASE_EQUIPOS!B4734</f>
        <v/>
      </c>
      <c r="D4734">
        <f>BASE_EQUIPOS!D4734</f>
        <v/>
      </c>
      <c r="E4734">
        <f>BASE_EQUIPOS!G4734</f>
        <v/>
      </c>
      <c r="F4734">
        <f>BASE_EQUIPOS!H4734</f>
        <v/>
      </c>
      <c r="G4734">
        <f>BASE_EQUIPOS!M4734</f>
        <v/>
      </c>
    </row>
    <row r="4735">
      <c r="A4735">
        <f>TRIM(BASE_EQUIPOS!N4735)</f>
        <v/>
      </c>
      <c r="B4735">
        <f>BASE_EQUIPOS!A4735</f>
        <v/>
      </c>
      <c r="C4735">
        <f>BASE_EQUIPOS!B4735</f>
        <v/>
      </c>
      <c r="D4735">
        <f>BASE_EQUIPOS!D4735</f>
        <v/>
      </c>
      <c r="E4735">
        <f>BASE_EQUIPOS!G4735</f>
        <v/>
      </c>
      <c r="F4735">
        <f>BASE_EQUIPOS!H4735</f>
        <v/>
      </c>
      <c r="G4735">
        <f>BASE_EQUIPOS!M4735</f>
        <v/>
      </c>
    </row>
    <row r="4736">
      <c r="A4736">
        <f>TRIM(BASE_EQUIPOS!N4736)</f>
        <v/>
      </c>
      <c r="B4736">
        <f>BASE_EQUIPOS!A4736</f>
        <v/>
      </c>
      <c r="C4736">
        <f>BASE_EQUIPOS!B4736</f>
        <v/>
      </c>
      <c r="D4736">
        <f>BASE_EQUIPOS!D4736</f>
        <v/>
      </c>
      <c r="E4736">
        <f>BASE_EQUIPOS!G4736</f>
        <v/>
      </c>
      <c r="F4736">
        <f>BASE_EQUIPOS!H4736</f>
        <v/>
      </c>
      <c r="G4736">
        <f>BASE_EQUIPOS!M4736</f>
        <v/>
      </c>
    </row>
    <row r="4737">
      <c r="A4737">
        <f>TRIM(BASE_EQUIPOS!N4737)</f>
        <v/>
      </c>
      <c r="B4737">
        <f>BASE_EQUIPOS!A4737</f>
        <v/>
      </c>
      <c r="C4737">
        <f>BASE_EQUIPOS!B4737</f>
        <v/>
      </c>
      <c r="D4737">
        <f>BASE_EQUIPOS!D4737</f>
        <v/>
      </c>
      <c r="E4737">
        <f>BASE_EQUIPOS!G4737</f>
        <v/>
      </c>
      <c r="F4737">
        <f>BASE_EQUIPOS!H4737</f>
        <v/>
      </c>
      <c r="G4737">
        <f>BASE_EQUIPOS!M4737</f>
        <v/>
      </c>
    </row>
    <row r="4738">
      <c r="A4738">
        <f>TRIM(BASE_EQUIPOS!N4738)</f>
        <v/>
      </c>
      <c r="B4738">
        <f>BASE_EQUIPOS!A4738</f>
        <v/>
      </c>
      <c r="C4738">
        <f>BASE_EQUIPOS!B4738</f>
        <v/>
      </c>
      <c r="D4738">
        <f>BASE_EQUIPOS!D4738</f>
        <v/>
      </c>
      <c r="E4738">
        <f>BASE_EQUIPOS!G4738</f>
        <v/>
      </c>
      <c r="F4738">
        <f>BASE_EQUIPOS!H4738</f>
        <v/>
      </c>
      <c r="G4738">
        <f>BASE_EQUIPOS!M4738</f>
        <v/>
      </c>
    </row>
    <row r="4739">
      <c r="A4739">
        <f>TRIM(BASE_EQUIPOS!N4739)</f>
        <v/>
      </c>
      <c r="B4739">
        <f>BASE_EQUIPOS!A4739</f>
        <v/>
      </c>
      <c r="C4739">
        <f>BASE_EQUIPOS!B4739</f>
        <v/>
      </c>
      <c r="D4739">
        <f>BASE_EQUIPOS!D4739</f>
        <v/>
      </c>
      <c r="E4739">
        <f>BASE_EQUIPOS!G4739</f>
        <v/>
      </c>
      <c r="F4739">
        <f>BASE_EQUIPOS!H4739</f>
        <v/>
      </c>
      <c r="G4739">
        <f>BASE_EQUIPOS!M4739</f>
        <v/>
      </c>
    </row>
    <row r="4740">
      <c r="A4740">
        <f>TRIM(BASE_EQUIPOS!N4740)</f>
        <v/>
      </c>
      <c r="B4740">
        <f>BASE_EQUIPOS!A4740</f>
        <v/>
      </c>
      <c r="C4740">
        <f>BASE_EQUIPOS!B4740</f>
        <v/>
      </c>
      <c r="D4740">
        <f>BASE_EQUIPOS!D4740</f>
        <v/>
      </c>
      <c r="E4740">
        <f>BASE_EQUIPOS!G4740</f>
        <v/>
      </c>
      <c r="F4740">
        <f>BASE_EQUIPOS!H4740</f>
        <v/>
      </c>
      <c r="G4740">
        <f>BASE_EQUIPOS!M4740</f>
        <v/>
      </c>
    </row>
    <row r="4741">
      <c r="A4741">
        <f>TRIM(BASE_EQUIPOS!N4741)</f>
        <v/>
      </c>
      <c r="B4741">
        <f>BASE_EQUIPOS!A4741</f>
        <v/>
      </c>
      <c r="C4741">
        <f>BASE_EQUIPOS!B4741</f>
        <v/>
      </c>
      <c r="D4741">
        <f>BASE_EQUIPOS!D4741</f>
        <v/>
      </c>
      <c r="E4741">
        <f>BASE_EQUIPOS!G4741</f>
        <v/>
      </c>
      <c r="F4741">
        <f>BASE_EQUIPOS!H4741</f>
        <v/>
      </c>
      <c r="G4741">
        <f>BASE_EQUIPOS!M4741</f>
        <v/>
      </c>
    </row>
    <row r="4742">
      <c r="A4742">
        <f>TRIM(BASE_EQUIPOS!N4742)</f>
        <v/>
      </c>
      <c r="B4742">
        <f>BASE_EQUIPOS!A4742</f>
        <v/>
      </c>
      <c r="C4742">
        <f>BASE_EQUIPOS!B4742</f>
        <v/>
      </c>
      <c r="D4742">
        <f>BASE_EQUIPOS!D4742</f>
        <v/>
      </c>
      <c r="E4742">
        <f>BASE_EQUIPOS!G4742</f>
        <v/>
      </c>
      <c r="F4742">
        <f>BASE_EQUIPOS!H4742</f>
        <v/>
      </c>
      <c r="G4742">
        <f>BASE_EQUIPOS!M4742</f>
        <v/>
      </c>
    </row>
    <row r="4743">
      <c r="A4743">
        <f>TRIM(BASE_EQUIPOS!N4743)</f>
        <v/>
      </c>
      <c r="B4743">
        <f>BASE_EQUIPOS!A4743</f>
        <v/>
      </c>
      <c r="C4743">
        <f>BASE_EQUIPOS!B4743</f>
        <v/>
      </c>
      <c r="D4743">
        <f>BASE_EQUIPOS!D4743</f>
        <v/>
      </c>
      <c r="E4743">
        <f>BASE_EQUIPOS!G4743</f>
        <v/>
      </c>
      <c r="F4743">
        <f>BASE_EQUIPOS!H4743</f>
        <v/>
      </c>
      <c r="G4743">
        <f>BASE_EQUIPOS!M4743</f>
        <v/>
      </c>
    </row>
    <row r="4744">
      <c r="A4744">
        <f>TRIM(BASE_EQUIPOS!N4744)</f>
        <v/>
      </c>
      <c r="B4744">
        <f>BASE_EQUIPOS!A4744</f>
        <v/>
      </c>
      <c r="C4744">
        <f>BASE_EQUIPOS!B4744</f>
        <v/>
      </c>
      <c r="D4744">
        <f>BASE_EQUIPOS!D4744</f>
        <v/>
      </c>
      <c r="E4744">
        <f>BASE_EQUIPOS!G4744</f>
        <v/>
      </c>
      <c r="F4744">
        <f>BASE_EQUIPOS!H4744</f>
        <v/>
      </c>
      <c r="G4744">
        <f>BASE_EQUIPOS!M4744</f>
        <v/>
      </c>
    </row>
    <row r="4745">
      <c r="A4745">
        <f>TRIM(BASE_EQUIPOS!N4745)</f>
        <v/>
      </c>
      <c r="B4745">
        <f>BASE_EQUIPOS!A4745</f>
        <v/>
      </c>
      <c r="C4745">
        <f>BASE_EQUIPOS!B4745</f>
        <v/>
      </c>
      <c r="D4745">
        <f>BASE_EQUIPOS!D4745</f>
        <v/>
      </c>
      <c r="E4745">
        <f>BASE_EQUIPOS!G4745</f>
        <v/>
      </c>
      <c r="F4745">
        <f>BASE_EQUIPOS!H4745</f>
        <v/>
      </c>
      <c r="G4745">
        <f>BASE_EQUIPOS!M4745</f>
        <v/>
      </c>
    </row>
    <row r="4746">
      <c r="A4746">
        <f>TRIM(BASE_EQUIPOS!N4746)</f>
        <v/>
      </c>
      <c r="B4746">
        <f>BASE_EQUIPOS!A4746</f>
        <v/>
      </c>
      <c r="C4746">
        <f>BASE_EQUIPOS!B4746</f>
        <v/>
      </c>
      <c r="D4746">
        <f>BASE_EQUIPOS!D4746</f>
        <v/>
      </c>
      <c r="E4746">
        <f>BASE_EQUIPOS!G4746</f>
        <v/>
      </c>
      <c r="F4746">
        <f>BASE_EQUIPOS!H4746</f>
        <v/>
      </c>
      <c r="G4746">
        <f>BASE_EQUIPOS!M4746</f>
        <v/>
      </c>
    </row>
    <row r="4747">
      <c r="A4747">
        <f>TRIM(BASE_EQUIPOS!N4747)</f>
        <v/>
      </c>
      <c r="B4747">
        <f>BASE_EQUIPOS!A4747</f>
        <v/>
      </c>
      <c r="C4747">
        <f>BASE_EQUIPOS!B4747</f>
        <v/>
      </c>
      <c r="D4747">
        <f>BASE_EQUIPOS!D4747</f>
        <v/>
      </c>
      <c r="E4747">
        <f>BASE_EQUIPOS!G4747</f>
        <v/>
      </c>
      <c r="F4747">
        <f>BASE_EQUIPOS!H4747</f>
        <v/>
      </c>
      <c r="G4747">
        <f>BASE_EQUIPOS!M4747</f>
        <v/>
      </c>
    </row>
    <row r="4748">
      <c r="A4748">
        <f>TRIM(BASE_EQUIPOS!N4748)</f>
        <v/>
      </c>
      <c r="B4748">
        <f>BASE_EQUIPOS!A4748</f>
        <v/>
      </c>
      <c r="C4748">
        <f>BASE_EQUIPOS!B4748</f>
        <v/>
      </c>
      <c r="D4748">
        <f>BASE_EQUIPOS!D4748</f>
        <v/>
      </c>
      <c r="E4748">
        <f>BASE_EQUIPOS!G4748</f>
        <v/>
      </c>
      <c r="F4748">
        <f>BASE_EQUIPOS!H4748</f>
        <v/>
      </c>
      <c r="G4748">
        <f>BASE_EQUIPOS!M4748</f>
        <v/>
      </c>
    </row>
    <row r="4749">
      <c r="A4749">
        <f>TRIM(BASE_EQUIPOS!N4749)</f>
        <v/>
      </c>
      <c r="B4749">
        <f>BASE_EQUIPOS!A4749</f>
        <v/>
      </c>
      <c r="C4749">
        <f>BASE_EQUIPOS!B4749</f>
        <v/>
      </c>
      <c r="D4749">
        <f>BASE_EQUIPOS!D4749</f>
        <v/>
      </c>
      <c r="E4749">
        <f>BASE_EQUIPOS!G4749</f>
        <v/>
      </c>
      <c r="F4749">
        <f>BASE_EQUIPOS!H4749</f>
        <v/>
      </c>
      <c r="G4749">
        <f>BASE_EQUIPOS!M4749</f>
        <v/>
      </c>
    </row>
    <row r="4750">
      <c r="A4750">
        <f>TRIM(BASE_EQUIPOS!N4750)</f>
        <v/>
      </c>
      <c r="B4750">
        <f>BASE_EQUIPOS!A4750</f>
        <v/>
      </c>
      <c r="C4750">
        <f>BASE_EQUIPOS!B4750</f>
        <v/>
      </c>
      <c r="D4750">
        <f>BASE_EQUIPOS!D4750</f>
        <v/>
      </c>
      <c r="E4750">
        <f>BASE_EQUIPOS!G4750</f>
        <v/>
      </c>
      <c r="F4750">
        <f>BASE_EQUIPOS!H4750</f>
        <v/>
      </c>
      <c r="G4750">
        <f>BASE_EQUIPOS!M4750</f>
        <v/>
      </c>
    </row>
    <row r="4751">
      <c r="A4751">
        <f>TRIM(BASE_EQUIPOS!N4751)</f>
        <v/>
      </c>
      <c r="B4751">
        <f>BASE_EQUIPOS!A4751</f>
        <v/>
      </c>
      <c r="C4751">
        <f>BASE_EQUIPOS!B4751</f>
        <v/>
      </c>
      <c r="D4751">
        <f>BASE_EQUIPOS!D4751</f>
        <v/>
      </c>
      <c r="E4751">
        <f>BASE_EQUIPOS!G4751</f>
        <v/>
      </c>
      <c r="F4751">
        <f>BASE_EQUIPOS!H4751</f>
        <v/>
      </c>
      <c r="G4751">
        <f>BASE_EQUIPOS!M4751</f>
        <v/>
      </c>
    </row>
    <row r="4752">
      <c r="A4752">
        <f>TRIM(BASE_EQUIPOS!N4752)</f>
        <v/>
      </c>
      <c r="B4752">
        <f>BASE_EQUIPOS!A4752</f>
        <v/>
      </c>
      <c r="C4752">
        <f>BASE_EQUIPOS!B4752</f>
        <v/>
      </c>
      <c r="D4752">
        <f>BASE_EQUIPOS!D4752</f>
        <v/>
      </c>
      <c r="E4752">
        <f>BASE_EQUIPOS!G4752</f>
        <v/>
      </c>
      <c r="F4752">
        <f>BASE_EQUIPOS!H4752</f>
        <v/>
      </c>
      <c r="G4752">
        <f>BASE_EQUIPOS!M4752</f>
        <v/>
      </c>
    </row>
    <row r="4753">
      <c r="A4753">
        <f>TRIM(BASE_EQUIPOS!N4753)</f>
        <v/>
      </c>
      <c r="B4753">
        <f>BASE_EQUIPOS!A4753</f>
        <v/>
      </c>
      <c r="C4753">
        <f>BASE_EQUIPOS!B4753</f>
        <v/>
      </c>
      <c r="D4753">
        <f>BASE_EQUIPOS!D4753</f>
        <v/>
      </c>
      <c r="E4753">
        <f>BASE_EQUIPOS!G4753</f>
        <v/>
      </c>
      <c r="F4753">
        <f>BASE_EQUIPOS!H4753</f>
        <v/>
      </c>
      <c r="G4753">
        <f>BASE_EQUIPOS!M4753</f>
        <v/>
      </c>
    </row>
    <row r="4754">
      <c r="A4754">
        <f>TRIM(BASE_EQUIPOS!N4754)</f>
        <v/>
      </c>
      <c r="B4754">
        <f>BASE_EQUIPOS!A4754</f>
        <v/>
      </c>
      <c r="C4754">
        <f>BASE_EQUIPOS!B4754</f>
        <v/>
      </c>
      <c r="D4754">
        <f>BASE_EQUIPOS!D4754</f>
        <v/>
      </c>
      <c r="E4754">
        <f>BASE_EQUIPOS!G4754</f>
        <v/>
      </c>
      <c r="F4754">
        <f>BASE_EQUIPOS!H4754</f>
        <v/>
      </c>
      <c r="G4754">
        <f>BASE_EQUIPOS!M4754</f>
        <v/>
      </c>
    </row>
    <row r="4755">
      <c r="A4755">
        <f>TRIM(BASE_EQUIPOS!N4755)</f>
        <v/>
      </c>
      <c r="B4755">
        <f>BASE_EQUIPOS!A4755</f>
        <v/>
      </c>
      <c r="C4755">
        <f>BASE_EQUIPOS!B4755</f>
        <v/>
      </c>
      <c r="D4755">
        <f>BASE_EQUIPOS!D4755</f>
        <v/>
      </c>
      <c r="E4755">
        <f>BASE_EQUIPOS!G4755</f>
        <v/>
      </c>
      <c r="F4755">
        <f>BASE_EQUIPOS!H4755</f>
        <v/>
      </c>
      <c r="G4755">
        <f>BASE_EQUIPOS!M4755</f>
        <v/>
      </c>
    </row>
    <row r="4756">
      <c r="A4756">
        <f>TRIM(BASE_EQUIPOS!N4756)</f>
        <v/>
      </c>
      <c r="B4756">
        <f>BASE_EQUIPOS!A4756</f>
        <v/>
      </c>
      <c r="C4756">
        <f>BASE_EQUIPOS!B4756</f>
        <v/>
      </c>
      <c r="D4756">
        <f>BASE_EQUIPOS!D4756</f>
        <v/>
      </c>
      <c r="E4756">
        <f>BASE_EQUIPOS!G4756</f>
        <v/>
      </c>
      <c r="F4756">
        <f>BASE_EQUIPOS!H4756</f>
        <v/>
      </c>
      <c r="G4756">
        <f>BASE_EQUIPOS!M4756</f>
        <v/>
      </c>
    </row>
    <row r="4757">
      <c r="A4757">
        <f>TRIM(BASE_EQUIPOS!N4757)</f>
        <v/>
      </c>
      <c r="B4757">
        <f>BASE_EQUIPOS!A4757</f>
        <v/>
      </c>
      <c r="C4757">
        <f>BASE_EQUIPOS!B4757</f>
        <v/>
      </c>
      <c r="D4757">
        <f>BASE_EQUIPOS!D4757</f>
        <v/>
      </c>
      <c r="E4757">
        <f>BASE_EQUIPOS!G4757</f>
        <v/>
      </c>
      <c r="F4757">
        <f>BASE_EQUIPOS!H4757</f>
        <v/>
      </c>
      <c r="G4757">
        <f>BASE_EQUIPOS!M4757</f>
        <v/>
      </c>
    </row>
    <row r="4758">
      <c r="A4758">
        <f>TRIM(BASE_EQUIPOS!N4758)</f>
        <v/>
      </c>
      <c r="B4758">
        <f>BASE_EQUIPOS!A4758</f>
        <v/>
      </c>
      <c r="C4758">
        <f>BASE_EQUIPOS!B4758</f>
        <v/>
      </c>
      <c r="D4758">
        <f>BASE_EQUIPOS!D4758</f>
        <v/>
      </c>
      <c r="E4758">
        <f>BASE_EQUIPOS!G4758</f>
        <v/>
      </c>
      <c r="F4758">
        <f>BASE_EQUIPOS!H4758</f>
        <v/>
      </c>
      <c r="G4758">
        <f>BASE_EQUIPOS!M4758</f>
        <v/>
      </c>
    </row>
    <row r="4759">
      <c r="A4759">
        <f>TRIM(BASE_EQUIPOS!N4759)</f>
        <v/>
      </c>
      <c r="B4759">
        <f>BASE_EQUIPOS!A4759</f>
        <v/>
      </c>
      <c r="C4759">
        <f>BASE_EQUIPOS!B4759</f>
        <v/>
      </c>
      <c r="D4759">
        <f>BASE_EQUIPOS!D4759</f>
        <v/>
      </c>
      <c r="E4759">
        <f>BASE_EQUIPOS!G4759</f>
        <v/>
      </c>
      <c r="F4759">
        <f>BASE_EQUIPOS!H4759</f>
        <v/>
      </c>
      <c r="G4759">
        <f>BASE_EQUIPOS!M4759</f>
        <v/>
      </c>
    </row>
    <row r="4760">
      <c r="A4760">
        <f>TRIM(BASE_EQUIPOS!N4760)</f>
        <v/>
      </c>
      <c r="B4760">
        <f>BASE_EQUIPOS!A4760</f>
        <v/>
      </c>
      <c r="C4760">
        <f>BASE_EQUIPOS!B4760</f>
        <v/>
      </c>
      <c r="D4760">
        <f>BASE_EQUIPOS!D4760</f>
        <v/>
      </c>
      <c r="E4760">
        <f>BASE_EQUIPOS!G4760</f>
        <v/>
      </c>
      <c r="F4760">
        <f>BASE_EQUIPOS!H4760</f>
        <v/>
      </c>
      <c r="G4760">
        <f>BASE_EQUIPOS!M4760</f>
        <v/>
      </c>
    </row>
    <row r="4761">
      <c r="A4761">
        <f>TRIM(BASE_EQUIPOS!N4761)</f>
        <v/>
      </c>
      <c r="B4761">
        <f>BASE_EQUIPOS!A4761</f>
        <v/>
      </c>
      <c r="C4761">
        <f>BASE_EQUIPOS!B4761</f>
        <v/>
      </c>
      <c r="D4761">
        <f>BASE_EQUIPOS!D4761</f>
        <v/>
      </c>
      <c r="E4761">
        <f>BASE_EQUIPOS!G4761</f>
        <v/>
      </c>
      <c r="F4761">
        <f>BASE_EQUIPOS!H4761</f>
        <v/>
      </c>
      <c r="G4761">
        <f>BASE_EQUIPOS!M4761</f>
        <v/>
      </c>
    </row>
    <row r="4762">
      <c r="A4762">
        <f>TRIM(BASE_EQUIPOS!N4762)</f>
        <v/>
      </c>
      <c r="B4762">
        <f>BASE_EQUIPOS!A4762</f>
        <v/>
      </c>
      <c r="C4762">
        <f>BASE_EQUIPOS!B4762</f>
        <v/>
      </c>
      <c r="D4762">
        <f>BASE_EQUIPOS!D4762</f>
        <v/>
      </c>
      <c r="E4762">
        <f>BASE_EQUIPOS!G4762</f>
        <v/>
      </c>
      <c r="F4762">
        <f>BASE_EQUIPOS!H4762</f>
        <v/>
      </c>
      <c r="G4762">
        <f>BASE_EQUIPOS!M4762</f>
        <v/>
      </c>
    </row>
    <row r="4763">
      <c r="A4763">
        <f>TRIM(BASE_EQUIPOS!N4763)</f>
        <v/>
      </c>
      <c r="B4763">
        <f>BASE_EQUIPOS!A4763</f>
        <v/>
      </c>
      <c r="C4763">
        <f>BASE_EQUIPOS!B4763</f>
        <v/>
      </c>
      <c r="D4763">
        <f>BASE_EQUIPOS!D4763</f>
        <v/>
      </c>
      <c r="E4763">
        <f>BASE_EQUIPOS!G4763</f>
        <v/>
      </c>
      <c r="F4763">
        <f>BASE_EQUIPOS!H4763</f>
        <v/>
      </c>
      <c r="G4763">
        <f>BASE_EQUIPOS!M4763</f>
        <v/>
      </c>
    </row>
    <row r="4764">
      <c r="A4764">
        <f>TRIM(BASE_EQUIPOS!N4764)</f>
        <v/>
      </c>
      <c r="B4764">
        <f>BASE_EQUIPOS!A4764</f>
        <v/>
      </c>
      <c r="C4764">
        <f>BASE_EQUIPOS!B4764</f>
        <v/>
      </c>
      <c r="D4764">
        <f>BASE_EQUIPOS!D4764</f>
        <v/>
      </c>
      <c r="E4764">
        <f>BASE_EQUIPOS!G4764</f>
        <v/>
      </c>
      <c r="F4764">
        <f>BASE_EQUIPOS!H4764</f>
        <v/>
      </c>
      <c r="G4764">
        <f>BASE_EQUIPOS!M4764</f>
        <v/>
      </c>
    </row>
    <row r="4765">
      <c r="A4765">
        <f>TRIM(BASE_EQUIPOS!N4765)</f>
        <v/>
      </c>
      <c r="B4765">
        <f>BASE_EQUIPOS!A4765</f>
        <v/>
      </c>
      <c r="C4765">
        <f>BASE_EQUIPOS!B4765</f>
        <v/>
      </c>
      <c r="D4765">
        <f>BASE_EQUIPOS!D4765</f>
        <v/>
      </c>
      <c r="E4765">
        <f>BASE_EQUIPOS!G4765</f>
        <v/>
      </c>
      <c r="F4765">
        <f>BASE_EQUIPOS!H4765</f>
        <v/>
      </c>
      <c r="G4765">
        <f>BASE_EQUIPOS!M4765</f>
        <v/>
      </c>
    </row>
    <row r="4766">
      <c r="A4766">
        <f>TRIM(BASE_EQUIPOS!N4766)</f>
        <v/>
      </c>
      <c r="B4766">
        <f>BASE_EQUIPOS!A4766</f>
        <v/>
      </c>
      <c r="C4766">
        <f>BASE_EQUIPOS!B4766</f>
        <v/>
      </c>
      <c r="D4766">
        <f>BASE_EQUIPOS!D4766</f>
        <v/>
      </c>
      <c r="E4766">
        <f>BASE_EQUIPOS!G4766</f>
        <v/>
      </c>
      <c r="F4766">
        <f>BASE_EQUIPOS!H4766</f>
        <v/>
      </c>
      <c r="G4766">
        <f>BASE_EQUIPOS!M4766</f>
        <v/>
      </c>
    </row>
    <row r="4767">
      <c r="A4767">
        <f>TRIM(BASE_EQUIPOS!N4767)</f>
        <v/>
      </c>
      <c r="B4767">
        <f>BASE_EQUIPOS!A4767</f>
        <v/>
      </c>
      <c r="C4767">
        <f>BASE_EQUIPOS!B4767</f>
        <v/>
      </c>
      <c r="D4767">
        <f>BASE_EQUIPOS!D4767</f>
        <v/>
      </c>
      <c r="E4767">
        <f>BASE_EQUIPOS!G4767</f>
        <v/>
      </c>
      <c r="F4767">
        <f>BASE_EQUIPOS!H4767</f>
        <v/>
      </c>
      <c r="G4767">
        <f>BASE_EQUIPOS!M4767</f>
        <v/>
      </c>
    </row>
    <row r="4768">
      <c r="A4768">
        <f>TRIM(BASE_EQUIPOS!N4768)</f>
        <v/>
      </c>
      <c r="B4768">
        <f>BASE_EQUIPOS!A4768</f>
        <v/>
      </c>
      <c r="C4768">
        <f>BASE_EQUIPOS!B4768</f>
        <v/>
      </c>
      <c r="D4768">
        <f>BASE_EQUIPOS!D4768</f>
        <v/>
      </c>
      <c r="E4768">
        <f>BASE_EQUIPOS!G4768</f>
        <v/>
      </c>
      <c r="F4768">
        <f>BASE_EQUIPOS!H4768</f>
        <v/>
      </c>
      <c r="G4768">
        <f>BASE_EQUIPOS!M4768</f>
        <v/>
      </c>
    </row>
    <row r="4769">
      <c r="A4769">
        <f>TRIM(BASE_EQUIPOS!N4769)</f>
        <v/>
      </c>
      <c r="B4769">
        <f>BASE_EQUIPOS!A4769</f>
        <v/>
      </c>
      <c r="C4769">
        <f>BASE_EQUIPOS!B4769</f>
        <v/>
      </c>
      <c r="D4769">
        <f>BASE_EQUIPOS!D4769</f>
        <v/>
      </c>
      <c r="E4769">
        <f>BASE_EQUIPOS!G4769</f>
        <v/>
      </c>
      <c r="F4769">
        <f>BASE_EQUIPOS!H4769</f>
        <v/>
      </c>
      <c r="G4769">
        <f>BASE_EQUIPOS!M4769</f>
        <v/>
      </c>
    </row>
    <row r="4770">
      <c r="A4770">
        <f>TRIM(BASE_EQUIPOS!N4770)</f>
        <v/>
      </c>
      <c r="B4770">
        <f>BASE_EQUIPOS!A4770</f>
        <v/>
      </c>
      <c r="C4770">
        <f>BASE_EQUIPOS!B4770</f>
        <v/>
      </c>
      <c r="D4770">
        <f>BASE_EQUIPOS!D4770</f>
        <v/>
      </c>
      <c r="E4770">
        <f>BASE_EQUIPOS!G4770</f>
        <v/>
      </c>
      <c r="F4770">
        <f>BASE_EQUIPOS!H4770</f>
        <v/>
      </c>
      <c r="G4770">
        <f>BASE_EQUIPOS!M4770</f>
        <v/>
      </c>
    </row>
    <row r="4771">
      <c r="A4771">
        <f>TRIM(BASE_EQUIPOS!N4771)</f>
        <v/>
      </c>
      <c r="B4771">
        <f>BASE_EQUIPOS!A4771</f>
        <v/>
      </c>
      <c r="C4771">
        <f>BASE_EQUIPOS!B4771</f>
        <v/>
      </c>
      <c r="D4771">
        <f>BASE_EQUIPOS!D4771</f>
        <v/>
      </c>
      <c r="E4771">
        <f>BASE_EQUIPOS!G4771</f>
        <v/>
      </c>
      <c r="F4771">
        <f>BASE_EQUIPOS!H4771</f>
        <v/>
      </c>
      <c r="G4771">
        <f>BASE_EQUIPOS!M4771</f>
        <v/>
      </c>
    </row>
    <row r="4772">
      <c r="A4772">
        <f>TRIM(BASE_EQUIPOS!N4772)</f>
        <v/>
      </c>
      <c r="B4772">
        <f>BASE_EQUIPOS!A4772</f>
        <v/>
      </c>
      <c r="C4772">
        <f>BASE_EQUIPOS!B4772</f>
        <v/>
      </c>
      <c r="D4772">
        <f>BASE_EQUIPOS!D4772</f>
        <v/>
      </c>
      <c r="E4772">
        <f>BASE_EQUIPOS!G4772</f>
        <v/>
      </c>
      <c r="F4772">
        <f>BASE_EQUIPOS!H4772</f>
        <v/>
      </c>
      <c r="G4772">
        <f>BASE_EQUIPOS!M4772</f>
        <v/>
      </c>
    </row>
    <row r="4773">
      <c r="A4773">
        <f>TRIM(BASE_EQUIPOS!N4773)</f>
        <v/>
      </c>
      <c r="B4773">
        <f>BASE_EQUIPOS!A4773</f>
        <v/>
      </c>
      <c r="C4773">
        <f>BASE_EQUIPOS!B4773</f>
        <v/>
      </c>
      <c r="D4773">
        <f>BASE_EQUIPOS!D4773</f>
        <v/>
      </c>
      <c r="E4773">
        <f>BASE_EQUIPOS!G4773</f>
        <v/>
      </c>
      <c r="F4773">
        <f>BASE_EQUIPOS!H4773</f>
        <v/>
      </c>
      <c r="G4773">
        <f>BASE_EQUIPOS!M4773</f>
        <v/>
      </c>
    </row>
    <row r="4774">
      <c r="A4774">
        <f>TRIM(BASE_EQUIPOS!N4774)</f>
        <v/>
      </c>
      <c r="B4774">
        <f>BASE_EQUIPOS!A4774</f>
        <v/>
      </c>
      <c r="C4774">
        <f>BASE_EQUIPOS!B4774</f>
        <v/>
      </c>
      <c r="D4774">
        <f>BASE_EQUIPOS!D4774</f>
        <v/>
      </c>
      <c r="E4774">
        <f>BASE_EQUIPOS!G4774</f>
        <v/>
      </c>
      <c r="F4774">
        <f>BASE_EQUIPOS!H4774</f>
        <v/>
      </c>
      <c r="G4774">
        <f>BASE_EQUIPOS!M4774</f>
        <v/>
      </c>
    </row>
    <row r="4775">
      <c r="A4775">
        <f>TRIM(BASE_EQUIPOS!N4775)</f>
        <v/>
      </c>
      <c r="B4775">
        <f>BASE_EQUIPOS!A4775</f>
        <v/>
      </c>
      <c r="C4775">
        <f>BASE_EQUIPOS!B4775</f>
        <v/>
      </c>
      <c r="D4775">
        <f>BASE_EQUIPOS!D4775</f>
        <v/>
      </c>
      <c r="E4775">
        <f>BASE_EQUIPOS!G4775</f>
        <v/>
      </c>
      <c r="F4775">
        <f>BASE_EQUIPOS!H4775</f>
        <v/>
      </c>
      <c r="G4775">
        <f>BASE_EQUIPOS!M4775</f>
        <v/>
      </c>
    </row>
    <row r="4776">
      <c r="A4776">
        <f>TRIM(BASE_EQUIPOS!N4776)</f>
        <v/>
      </c>
      <c r="B4776">
        <f>BASE_EQUIPOS!A4776</f>
        <v/>
      </c>
      <c r="C4776">
        <f>BASE_EQUIPOS!B4776</f>
        <v/>
      </c>
      <c r="D4776">
        <f>BASE_EQUIPOS!D4776</f>
        <v/>
      </c>
      <c r="E4776">
        <f>BASE_EQUIPOS!G4776</f>
        <v/>
      </c>
      <c r="F4776">
        <f>BASE_EQUIPOS!H4776</f>
        <v/>
      </c>
      <c r="G4776">
        <f>BASE_EQUIPOS!M4776</f>
        <v/>
      </c>
    </row>
    <row r="4777">
      <c r="A4777">
        <f>TRIM(BASE_EQUIPOS!N4777)</f>
        <v/>
      </c>
      <c r="B4777">
        <f>BASE_EQUIPOS!A4777</f>
        <v/>
      </c>
      <c r="C4777">
        <f>BASE_EQUIPOS!B4777</f>
        <v/>
      </c>
      <c r="D4777">
        <f>BASE_EQUIPOS!D4777</f>
        <v/>
      </c>
      <c r="E4777">
        <f>BASE_EQUIPOS!G4777</f>
        <v/>
      </c>
      <c r="F4777">
        <f>BASE_EQUIPOS!H4777</f>
        <v/>
      </c>
      <c r="G4777">
        <f>BASE_EQUIPOS!M4777</f>
        <v/>
      </c>
    </row>
    <row r="4778">
      <c r="A4778">
        <f>TRIM(BASE_EQUIPOS!N4778)</f>
        <v/>
      </c>
      <c r="B4778">
        <f>BASE_EQUIPOS!A4778</f>
        <v/>
      </c>
      <c r="C4778">
        <f>BASE_EQUIPOS!B4778</f>
        <v/>
      </c>
      <c r="D4778">
        <f>BASE_EQUIPOS!D4778</f>
        <v/>
      </c>
      <c r="E4778">
        <f>BASE_EQUIPOS!G4778</f>
        <v/>
      </c>
      <c r="F4778">
        <f>BASE_EQUIPOS!H4778</f>
        <v/>
      </c>
      <c r="G4778">
        <f>BASE_EQUIPOS!M4778</f>
        <v/>
      </c>
    </row>
    <row r="4779">
      <c r="A4779">
        <f>TRIM(BASE_EQUIPOS!N4779)</f>
        <v/>
      </c>
      <c r="B4779">
        <f>BASE_EQUIPOS!A4779</f>
        <v/>
      </c>
      <c r="C4779">
        <f>BASE_EQUIPOS!B4779</f>
        <v/>
      </c>
      <c r="D4779">
        <f>BASE_EQUIPOS!D4779</f>
        <v/>
      </c>
      <c r="E4779">
        <f>BASE_EQUIPOS!G4779</f>
        <v/>
      </c>
      <c r="F4779">
        <f>BASE_EQUIPOS!H4779</f>
        <v/>
      </c>
      <c r="G4779">
        <f>BASE_EQUIPOS!M4779</f>
        <v/>
      </c>
    </row>
    <row r="4780">
      <c r="A4780">
        <f>TRIM(BASE_EQUIPOS!N4780)</f>
        <v/>
      </c>
      <c r="B4780">
        <f>BASE_EQUIPOS!A4780</f>
        <v/>
      </c>
      <c r="C4780">
        <f>BASE_EQUIPOS!B4780</f>
        <v/>
      </c>
      <c r="D4780">
        <f>BASE_EQUIPOS!D4780</f>
        <v/>
      </c>
      <c r="E4780">
        <f>BASE_EQUIPOS!G4780</f>
        <v/>
      </c>
      <c r="F4780">
        <f>BASE_EQUIPOS!H4780</f>
        <v/>
      </c>
      <c r="G4780">
        <f>BASE_EQUIPOS!M4780</f>
        <v/>
      </c>
    </row>
    <row r="4781">
      <c r="A4781">
        <f>TRIM(BASE_EQUIPOS!N4781)</f>
        <v/>
      </c>
      <c r="B4781">
        <f>BASE_EQUIPOS!A4781</f>
        <v/>
      </c>
      <c r="C4781">
        <f>BASE_EQUIPOS!B4781</f>
        <v/>
      </c>
      <c r="D4781">
        <f>BASE_EQUIPOS!D4781</f>
        <v/>
      </c>
      <c r="E4781">
        <f>BASE_EQUIPOS!G4781</f>
        <v/>
      </c>
      <c r="F4781">
        <f>BASE_EQUIPOS!H4781</f>
        <v/>
      </c>
      <c r="G4781">
        <f>BASE_EQUIPOS!M4781</f>
        <v/>
      </c>
    </row>
    <row r="4782">
      <c r="A4782">
        <f>TRIM(BASE_EQUIPOS!N4782)</f>
        <v/>
      </c>
      <c r="B4782">
        <f>BASE_EQUIPOS!A4782</f>
        <v/>
      </c>
      <c r="C4782">
        <f>BASE_EQUIPOS!B4782</f>
        <v/>
      </c>
      <c r="D4782">
        <f>BASE_EQUIPOS!D4782</f>
        <v/>
      </c>
      <c r="E4782">
        <f>BASE_EQUIPOS!G4782</f>
        <v/>
      </c>
      <c r="F4782">
        <f>BASE_EQUIPOS!H4782</f>
        <v/>
      </c>
      <c r="G4782">
        <f>BASE_EQUIPOS!M4782</f>
        <v/>
      </c>
    </row>
    <row r="4783">
      <c r="A4783">
        <f>TRIM(BASE_EQUIPOS!N4783)</f>
        <v/>
      </c>
      <c r="B4783">
        <f>BASE_EQUIPOS!A4783</f>
        <v/>
      </c>
      <c r="C4783">
        <f>BASE_EQUIPOS!B4783</f>
        <v/>
      </c>
      <c r="D4783">
        <f>BASE_EQUIPOS!D4783</f>
        <v/>
      </c>
      <c r="E4783">
        <f>BASE_EQUIPOS!G4783</f>
        <v/>
      </c>
      <c r="F4783">
        <f>BASE_EQUIPOS!H4783</f>
        <v/>
      </c>
      <c r="G4783">
        <f>BASE_EQUIPOS!M4783</f>
        <v/>
      </c>
    </row>
    <row r="4784">
      <c r="A4784">
        <f>TRIM(BASE_EQUIPOS!N4784)</f>
        <v/>
      </c>
      <c r="B4784">
        <f>BASE_EQUIPOS!A4784</f>
        <v/>
      </c>
      <c r="C4784">
        <f>BASE_EQUIPOS!B4784</f>
        <v/>
      </c>
      <c r="D4784">
        <f>BASE_EQUIPOS!D4784</f>
        <v/>
      </c>
      <c r="E4784">
        <f>BASE_EQUIPOS!G4784</f>
        <v/>
      </c>
      <c r="F4784">
        <f>BASE_EQUIPOS!H4784</f>
        <v/>
      </c>
      <c r="G4784">
        <f>BASE_EQUIPOS!M4784</f>
        <v/>
      </c>
    </row>
    <row r="4785">
      <c r="A4785">
        <f>TRIM(BASE_EQUIPOS!N4785)</f>
        <v/>
      </c>
      <c r="B4785">
        <f>BASE_EQUIPOS!A4785</f>
        <v/>
      </c>
      <c r="C4785">
        <f>BASE_EQUIPOS!B4785</f>
        <v/>
      </c>
      <c r="D4785">
        <f>BASE_EQUIPOS!D4785</f>
        <v/>
      </c>
      <c r="E4785">
        <f>BASE_EQUIPOS!G4785</f>
        <v/>
      </c>
      <c r="F4785">
        <f>BASE_EQUIPOS!H4785</f>
        <v/>
      </c>
      <c r="G4785">
        <f>BASE_EQUIPOS!M4785</f>
        <v/>
      </c>
    </row>
    <row r="4786">
      <c r="A4786">
        <f>TRIM(BASE_EQUIPOS!N4786)</f>
        <v/>
      </c>
      <c r="B4786">
        <f>BASE_EQUIPOS!A4786</f>
        <v/>
      </c>
      <c r="C4786">
        <f>BASE_EQUIPOS!B4786</f>
        <v/>
      </c>
      <c r="D4786">
        <f>BASE_EQUIPOS!D4786</f>
        <v/>
      </c>
      <c r="E4786">
        <f>BASE_EQUIPOS!G4786</f>
        <v/>
      </c>
      <c r="F4786">
        <f>BASE_EQUIPOS!H4786</f>
        <v/>
      </c>
      <c r="G4786">
        <f>BASE_EQUIPOS!M4786</f>
        <v/>
      </c>
    </row>
    <row r="4787">
      <c r="A4787">
        <f>TRIM(BASE_EQUIPOS!N4787)</f>
        <v/>
      </c>
      <c r="B4787">
        <f>BASE_EQUIPOS!A4787</f>
        <v/>
      </c>
      <c r="C4787">
        <f>BASE_EQUIPOS!B4787</f>
        <v/>
      </c>
      <c r="D4787">
        <f>BASE_EQUIPOS!D4787</f>
        <v/>
      </c>
      <c r="E4787">
        <f>BASE_EQUIPOS!G4787</f>
        <v/>
      </c>
      <c r="F4787">
        <f>BASE_EQUIPOS!H4787</f>
        <v/>
      </c>
      <c r="G4787">
        <f>BASE_EQUIPOS!M4787</f>
        <v/>
      </c>
    </row>
    <row r="4788">
      <c r="A4788">
        <f>TRIM(BASE_EQUIPOS!N4788)</f>
        <v/>
      </c>
      <c r="B4788">
        <f>BASE_EQUIPOS!A4788</f>
        <v/>
      </c>
      <c r="C4788">
        <f>BASE_EQUIPOS!B4788</f>
        <v/>
      </c>
      <c r="D4788">
        <f>BASE_EQUIPOS!D4788</f>
        <v/>
      </c>
      <c r="E4788">
        <f>BASE_EQUIPOS!G4788</f>
        <v/>
      </c>
      <c r="F4788">
        <f>BASE_EQUIPOS!H4788</f>
        <v/>
      </c>
      <c r="G4788">
        <f>BASE_EQUIPOS!M4788</f>
        <v/>
      </c>
    </row>
    <row r="4789">
      <c r="A4789">
        <f>TRIM(BASE_EQUIPOS!N4789)</f>
        <v/>
      </c>
      <c r="B4789">
        <f>BASE_EQUIPOS!A4789</f>
        <v/>
      </c>
      <c r="C4789">
        <f>BASE_EQUIPOS!B4789</f>
        <v/>
      </c>
      <c r="D4789">
        <f>BASE_EQUIPOS!D4789</f>
        <v/>
      </c>
      <c r="E4789">
        <f>BASE_EQUIPOS!G4789</f>
        <v/>
      </c>
      <c r="F4789">
        <f>BASE_EQUIPOS!H4789</f>
        <v/>
      </c>
      <c r="G4789">
        <f>BASE_EQUIPOS!M4789</f>
        <v/>
      </c>
    </row>
    <row r="4790">
      <c r="A4790">
        <f>TRIM(BASE_EQUIPOS!N4790)</f>
        <v/>
      </c>
      <c r="B4790">
        <f>BASE_EQUIPOS!A4790</f>
        <v/>
      </c>
      <c r="C4790">
        <f>BASE_EQUIPOS!B4790</f>
        <v/>
      </c>
      <c r="D4790">
        <f>BASE_EQUIPOS!D4790</f>
        <v/>
      </c>
      <c r="E4790">
        <f>BASE_EQUIPOS!G4790</f>
        <v/>
      </c>
      <c r="F4790">
        <f>BASE_EQUIPOS!H4790</f>
        <v/>
      </c>
      <c r="G4790">
        <f>BASE_EQUIPOS!M4790</f>
        <v/>
      </c>
    </row>
    <row r="4791">
      <c r="A4791">
        <f>TRIM(BASE_EQUIPOS!N4791)</f>
        <v/>
      </c>
      <c r="B4791">
        <f>BASE_EQUIPOS!A4791</f>
        <v/>
      </c>
      <c r="C4791">
        <f>BASE_EQUIPOS!B4791</f>
        <v/>
      </c>
      <c r="D4791">
        <f>BASE_EQUIPOS!D4791</f>
        <v/>
      </c>
      <c r="E4791">
        <f>BASE_EQUIPOS!G4791</f>
        <v/>
      </c>
      <c r="F4791">
        <f>BASE_EQUIPOS!H4791</f>
        <v/>
      </c>
      <c r="G4791">
        <f>BASE_EQUIPOS!M4791</f>
        <v/>
      </c>
    </row>
    <row r="4792">
      <c r="A4792">
        <f>TRIM(BASE_EQUIPOS!N4792)</f>
        <v/>
      </c>
      <c r="B4792">
        <f>BASE_EQUIPOS!A4792</f>
        <v/>
      </c>
      <c r="C4792">
        <f>BASE_EQUIPOS!B4792</f>
        <v/>
      </c>
      <c r="D4792">
        <f>BASE_EQUIPOS!D4792</f>
        <v/>
      </c>
      <c r="E4792">
        <f>BASE_EQUIPOS!G4792</f>
        <v/>
      </c>
      <c r="F4792">
        <f>BASE_EQUIPOS!H4792</f>
        <v/>
      </c>
      <c r="G4792">
        <f>BASE_EQUIPOS!M4792</f>
        <v/>
      </c>
    </row>
    <row r="4793">
      <c r="A4793">
        <f>TRIM(BASE_EQUIPOS!N4793)</f>
        <v/>
      </c>
      <c r="B4793">
        <f>BASE_EQUIPOS!A4793</f>
        <v/>
      </c>
      <c r="C4793">
        <f>BASE_EQUIPOS!B4793</f>
        <v/>
      </c>
      <c r="D4793">
        <f>BASE_EQUIPOS!D4793</f>
        <v/>
      </c>
      <c r="E4793">
        <f>BASE_EQUIPOS!G4793</f>
        <v/>
      </c>
      <c r="F4793">
        <f>BASE_EQUIPOS!H4793</f>
        <v/>
      </c>
      <c r="G4793">
        <f>BASE_EQUIPOS!M4793</f>
        <v/>
      </c>
    </row>
    <row r="4794">
      <c r="A4794">
        <f>TRIM(BASE_EQUIPOS!N4794)</f>
        <v/>
      </c>
      <c r="B4794">
        <f>BASE_EQUIPOS!A4794</f>
        <v/>
      </c>
      <c r="C4794">
        <f>BASE_EQUIPOS!B4794</f>
        <v/>
      </c>
      <c r="D4794">
        <f>BASE_EQUIPOS!D4794</f>
        <v/>
      </c>
      <c r="E4794">
        <f>BASE_EQUIPOS!G4794</f>
        <v/>
      </c>
      <c r="F4794">
        <f>BASE_EQUIPOS!H4794</f>
        <v/>
      </c>
      <c r="G4794">
        <f>BASE_EQUIPOS!M4794</f>
        <v/>
      </c>
    </row>
    <row r="4795">
      <c r="A4795">
        <f>TRIM(BASE_EQUIPOS!N4795)</f>
        <v/>
      </c>
      <c r="B4795">
        <f>BASE_EQUIPOS!A4795</f>
        <v/>
      </c>
      <c r="C4795">
        <f>BASE_EQUIPOS!B4795</f>
        <v/>
      </c>
      <c r="D4795">
        <f>BASE_EQUIPOS!D4795</f>
        <v/>
      </c>
      <c r="E4795">
        <f>BASE_EQUIPOS!G4795</f>
        <v/>
      </c>
      <c r="F4795">
        <f>BASE_EQUIPOS!H4795</f>
        <v/>
      </c>
      <c r="G4795">
        <f>BASE_EQUIPOS!M4795</f>
        <v/>
      </c>
    </row>
    <row r="4796">
      <c r="A4796">
        <f>TRIM(BASE_EQUIPOS!N4796)</f>
        <v/>
      </c>
      <c r="B4796">
        <f>BASE_EQUIPOS!A4796</f>
        <v/>
      </c>
      <c r="C4796">
        <f>BASE_EQUIPOS!B4796</f>
        <v/>
      </c>
      <c r="D4796">
        <f>BASE_EQUIPOS!D4796</f>
        <v/>
      </c>
      <c r="E4796">
        <f>BASE_EQUIPOS!G4796</f>
        <v/>
      </c>
      <c r="F4796">
        <f>BASE_EQUIPOS!H4796</f>
        <v/>
      </c>
      <c r="G4796">
        <f>BASE_EQUIPOS!M4796</f>
        <v/>
      </c>
    </row>
    <row r="4797">
      <c r="A4797">
        <f>TRIM(BASE_EQUIPOS!N4797)</f>
        <v/>
      </c>
      <c r="B4797">
        <f>BASE_EQUIPOS!A4797</f>
        <v/>
      </c>
      <c r="C4797">
        <f>BASE_EQUIPOS!B4797</f>
        <v/>
      </c>
      <c r="D4797">
        <f>BASE_EQUIPOS!D4797</f>
        <v/>
      </c>
      <c r="E4797">
        <f>BASE_EQUIPOS!G4797</f>
        <v/>
      </c>
      <c r="F4797">
        <f>BASE_EQUIPOS!H4797</f>
        <v/>
      </c>
      <c r="G4797">
        <f>BASE_EQUIPOS!M4797</f>
        <v/>
      </c>
    </row>
    <row r="4798">
      <c r="A4798">
        <f>TRIM(BASE_EQUIPOS!N4798)</f>
        <v/>
      </c>
      <c r="B4798">
        <f>BASE_EQUIPOS!A4798</f>
        <v/>
      </c>
      <c r="C4798">
        <f>BASE_EQUIPOS!B4798</f>
        <v/>
      </c>
      <c r="D4798">
        <f>BASE_EQUIPOS!D4798</f>
        <v/>
      </c>
      <c r="E4798">
        <f>BASE_EQUIPOS!G4798</f>
        <v/>
      </c>
      <c r="F4798">
        <f>BASE_EQUIPOS!H4798</f>
        <v/>
      </c>
      <c r="G4798">
        <f>BASE_EQUIPOS!M4798</f>
        <v/>
      </c>
    </row>
    <row r="4799">
      <c r="A4799">
        <f>TRIM(BASE_EQUIPOS!N4799)</f>
        <v/>
      </c>
      <c r="B4799">
        <f>BASE_EQUIPOS!A4799</f>
        <v/>
      </c>
      <c r="C4799">
        <f>BASE_EQUIPOS!B4799</f>
        <v/>
      </c>
      <c r="D4799">
        <f>BASE_EQUIPOS!D4799</f>
        <v/>
      </c>
      <c r="E4799">
        <f>BASE_EQUIPOS!G4799</f>
        <v/>
      </c>
      <c r="F4799">
        <f>BASE_EQUIPOS!H4799</f>
        <v/>
      </c>
      <c r="G4799">
        <f>BASE_EQUIPOS!M4799</f>
        <v/>
      </c>
    </row>
    <row r="4800">
      <c r="A4800">
        <f>TRIM(BASE_EQUIPOS!N4800)</f>
        <v/>
      </c>
      <c r="B4800">
        <f>BASE_EQUIPOS!A4800</f>
        <v/>
      </c>
      <c r="C4800">
        <f>BASE_EQUIPOS!B4800</f>
        <v/>
      </c>
      <c r="D4800">
        <f>BASE_EQUIPOS!D4800</f>
        <v/>
      </c>
      <c r="E4800">
        <f>BASE_EQUIPOS!G4800</f>
        <v/>
      </c>
      <c r="F4800">
        <f>BASE_EQUIPOS!H4800</f>
        <v/>
      </c>
      <c r="G4800">
        <f>BASE_EQUIPOS!M4800</f>
        <v/>
      </c>
    </row>
    <row r="4801">
      <c r="A4801">
        <f>TRIM(BASE_EQUIPOS!N4801)</f>
        <v/>
      </c>
      <c r="B4801">
        <f>BASE_EQUIPOS!A4801</f>
        <v/>
      </c>
      <c r="C4801">
        <f>BASE_EQUIPOS!B4801</f>
        <v/>
      </c>
      <c r="D4801">
        <f>BASE_EQUIPOS!D4801</f>
        <v/>
      </c>
      <c r="E4801">
        <f>BASE_EQUIPOS!G4801</f>
        <v/>
      </c>
      <c r="F4801">
        <f>BASE_EQUIPOS!H4801</f>
        <v/>
      </c>
      <c r="G4801">
        <f>BASE_EQUIPOS!M4801</f>
        <v/>
      </c>
    </row>
    <row r="4802">
      <c r="A4802">
        <f>TRIM(BASE_EQUIPOS!N4802)</f>
        <v/>
      </c>
      <c r="B4802">
        <f>BASE_EQUIPOS!A4802</f>
        <v/>
      </c>
      <c r="C4802">
        <f>BASE_EQUIPOS!B4802</f>
        <v/>
      </c>
      <c r="D4802">
        <f>BASE_EQUIPOS!D4802</f>
        <v/>
      </c>
      <c r="E4802">
        <f>BASE_EQUIPOS!G4802</f>
        <v/>
      </c>
      <c r="F4802">
        <f>BASE_EQUIPOS!H4802</f>
        <v/>
      </c>
      <c r="G4802">
        <f>BASE_EQUIPOS!M4802</f>
        <v/>
      </c>
    </row>
    <row r="4803">
      <c r="A4803">
        <f>TRIM(BASE_EQUIPOS!N4803)</f>
        <v/>
      </c>
      <c r="B4803">
        <f>BASE_EQUIPOS!A4803</f>
        <v/>
      </c>
      <c r="C4803">
        <f>BASE_EQUIPOS!B4803</f>
        <v/>
      </c>
      <c r="D4803">
        <f>BASE_EQUIPOS!D4803</f>
        <v/>
      </c>
      <c r="E4803">
        <f>BASE_EQUIPOS!G4803</f>
        <v/>
      </c>
      <c r="F4803">
        <f>BASE_EQUIPOS!H4803</f>
        <v/>
      </c>
      <c r="G4803">
        <f>BASE_EQUIPOS!M4803</f>
        <v/>
      </c>
    </row>
    <row r="4804">
      <c r="A4804">
        <f>TRIM(BASE_EQUIPOS!N4804)</f>
        <v/>
      </c>
      <c r="B4804">
        <f>BASE_EQUIPOS!A4804</f>
        <v/>
      </c>
      <c r="C4804">
        <f>BASE_EQUIPOS!B4804</f>
        <v/>
      </c>
      <c r="D4804">
        <f>BASE_EQUIPOS!D4804</f>
        <v/>
      </c>
      <c r="E4804">
        <f>BASE_EQUIPOS!G4804</f>
        <v/>
      </c>
      <c r="F4804">
        <f>BASE_EQUIPOS!H4804</f>
        <v/>
      </c>
      <c r="G4804">
        <f>BASE_EQUIPOS!M4804</f>
        <v/>
      </c>
    </row>
    <row r="4805">
      <c r="A4805">
        <f>TRIM(BASE_EQUIPOS!N4805)</f>
        <v/>
      </c>
      <c r="B4805">
        <f>BASE_EQUIPOS!A4805</f>
        <v/>
      </c>
      <c r="C4805">
        <f>BASE_EQUIPOS!B4805</f>
        <v/>
      </c>
      <c r="D4805">
        <f>BASE_EQUIPOS!D4805</f>
        <v/>
      </c>
      <c r="E4805">
        <f>BASE_EQUIPOS!G4805</f>
        <v/>
      </c>
      <c r="F4805">
        <f>BASE_EQUIPOS!H4805</f>
        <v/>
      </c>
      <c r="G4805">
        <f>BASE_EQUIPOS!M4805</f>
        <v/>
      </c>
    </row>
    <row r="4806">
      <c r="A4806">
        <f>TRIM(BASE_EQUIPOS!N4806)</f>
        <v/>
      </c>
      <c r="B4806">
        <f>BASE_EQUIPOS!A4806</f>
        <v/>
      </c>
      <c r="C4806">
        <f>BASE_EQUIPOS!B4806</f>
        <v/>
      </c>
      <c r="D4806">
        <f>BASE_EQUIPOS!D4806</f>
        <v/>
      </c>
      <c r="E4806">
        <f>BASE_EQUIPOS!G4806</f>
        <v/>
      </c>
      <c r="F4806">
        <f>BASE_EQUIPOS!H4806</f>
        <v/>
      </c>
      <c r="G4806">
        <f>BASE_EQUIPOS!M4806</f>
        <v/>
      </c>
    </row>
    <row r="4807">
      <c r="A4807">
        <f>TRIM(BASE_EQUIPOS!N4807)</f>
        <v/>
      </c>
      <c r="B4807">
        <f>BASE_EQUIPOS!A4807</f>
        <v/>
      </c>
      <c r="C4807">
        <f>BASE_EQUIPOS!B4807</f>
        <v/>
      </c>
      <c r="D4807">
        <f>BASE_EQUIPOS!D4807</f>
        <v/>
      </c>
      <c r="E4807">
        <f>BASE_EQUIPOS!G4807</f>
        <v/>
      </c>
      <c r="F4807">
        <f>BASE_EQUIPOS!H4807</f>
        <v/>
      </c>
      <c r="G4807">
        <f>BASE_EQUIPOS!M4807</f>
        <v/>
      </c>
    </row>
    <row r="4808">
      <c r="A4808">
        <f>TRIM(BASE_EQUIPOS!N4808)</f>
        <v/>
      </c>
      <c r="B4808">
        <f>BASE_EQUIPOS!A4808</f>
        <v/>
      </c>
      <c r="C4808">
        <f>BASE_EQUIPOS!B4808</f>
        <v/>
      </c>
      <c r="D4808">
        <f>BASE_EQUIPOS!D4808</f>
        <v/>
      </c>
      <c r="E4808">
        <f>BASE_EQUIPOS!G4808</f>
        <v/>
      </c>
      <c r="F4808">
        <f>BASE_EQUIPOS!H4808</f>
        <v/>
      </c>
      <c r="G4808">
        <f>BASE_EQUIPOS!M4808</f>
        <v/>
      </c>
    </row>
    <row r="4809">
      <c r="A4809">
        <f>TRIM(BASE_EQUIPOS!N4809)</f>
        <v/>
      </c>
      <c r="B4809">
        <f>BASE_EQUIPOS!A4809</f>
        <v/>
      </c>
      <c r="C4809">
        <f>BASE_EQUIPOS!B4809</f>
        <v/>
      </c>
      <c r="D4809">
        <f>BASE_EQUIPOS!D4809</f>
        <v/>
      </c>
      <c r="E4809">
        <f>BASE_EQUIPOS!G4809</f>
        <v/>
      </c>
      <c r="F4809">
        <f>BASE_EQUIPOS!H4809</f>
        <v/>
      </c>
      <c r="G4809">
        <f>BASE_EQUIPOS!M4809</f>
        <v/>
      </c>
    </row>
    <row r="4810">
      <c r="A4810">
        <f>TRIM(BASE_EQUIPOS!N4810)</f>
        <v/>
      </c>
      <c r="B4810">
        <f>BASE_EQUIPOS!A4810</f>
        <v/>
      </c>
      <c r="C4810">
        <f>BASE_EQUIPOS!B4810</f>
        <v/>
      </c>
      <c r="D4810">
        <f>BASE_EQUIPOS!D4810</f>
        <v/>
      </c>
      <c r="E4810">
        <f>BASE_EQUIPOS!G4810</f>
        <v/>
      </c>
      <c r="F4810">
        <f>BASE_EQUIPOS!H4810</f>
        <v/>
      </c>
      <c r="G4810">
        <f>BASE_EQUIPOS!M4810</f>
        <v/>
      </c>
    </row>
    <row r="4811">
      <c r="A4811">
        <f>TRIM(BASE_EQUIPOS!N4811)</f>
        <v/>
      </c>
      <c r="B4811">
        <f>BASE_EQUIPOS!A4811</f>
        <v/>
      </c>
      <c r="C4811">
        <f>BASE_EQUIPOS!B4811</f>
        <v/>
      </c>
      <c r="D4811">
        <f>BASE_EQUIPOS!D4811</f>
        <v/>
      </c>
      <c r="E4811">
        <f>BASE_EQUIPOS!G4811</f>
        <v/>
      </c>
      <c r="F4811">
        <f>BASE_EQUIPOS!H4811</f>
        <v/>
      </c>
      <c r="G4811">
        <f>BASE_EQUIPOS!M4811</f>
        <v/>
      </c>
    </row>
    <row r="4812">
      <c r="A4812">
        <f>TRIM(BASE_EQUIPOS!N4812)</f>
        <v/>
      </c>
      <c r="B4812">
        <f>BASE_EQUIPOS!A4812</f>
        <v/>
      </c>
      <c r="C4812">
        <f>BASE_EQUIPOS!B4812</f>
        <v/>
      </c>
      <c r="D4812">
        <f>BASE_EQUIPOS!D4812</f>
        <v/>
      </c>
      <c r="E4812">
        <f>BASE_EQUIPOS!G4812</f>
        <v/>
      </c>
      <c r="F4812">
        <f>BASE_EQUIPOS!H4812</f>
        <v/>
      </c>
      <c r="G4812">
        <f>BASE_EQUIPOS!M4812</f>
        <v/>
      </c>
    </row>
    <row r="4813">
      <c r="A4813">
        <f>TRIM(BASE_EQUIPOS!N4813)</f>
        <v/>
      </c>
      <c r="B4813">
        <f>BASE_EQUIPOS!A4813</f>
        <v/>
      </c>
      <c r="C4813">
        <f>BASE_EQUIPOS!B4813</f>
        <v/>
      </c>
      <c r="D4813">
        <f>BASE_EQUIPOS!D4813</f>
        <v/>
      </c>
      <c r="E4813">
        <f>BASE_EQUIPOS!G4813</f>
        <v/>
      </c>
      <c r="F4813">
        <f>BASE_EQUIPOS!H4813</f>
        <v/>
      </c>
      <c r="G4813">
        <f>BASE_EQUIPOS!M4813</f>
        <v/>
      </c>
    </row>
    <row r="4814">
      <c r="A4814">
        <f>TRIM(BASE_EQUIPOS!N4814)</f>
        <v/>
      </c>
      <c r="B4814">
        <f>BASE_EQUIPOS!A4814</f>
        <v/>
      </c>
      <c r="C4814">
        <f>BASE_EQUIPOS!B4814</f>
        <v/>
      </c>
      <c r="D4814">
        <f>BASE_EQUIPOS!D4814</f>
        <v/>
      </c>
      <c r="E4814">
        <f>BASE_EQUIPOS!G4814</f>
        <v/>
      </c>
      <c r="F4814">
        <f>BASE_EQUIPOS!H4814</f>
        <v/>
      </c>
      <c r="G4814">
        <f>BASE_EQUIPOS!M4814</f>
        <v/>
      </c>
    </row>
    <row r="4815">
      <c r="A4815">
        <f>TRIM(BASE_EQUIPOS!N4815)</f>
        <v/>
      </c>
      <c r="B4815">
        <f>BASE_EQUIPOS!A4815</f>
        <v/>
      </c>
      <c r="C4815">
        <f>BASE_EQUIPOS!B4815</f>
        <v/>
      </c>
      <c r="D4815">
        <f>BASE_EQUIPOS!D4815</f>
        <v/>
      </c>
      <c r="E4815">
        <f>BASE_EQUIPOS!G4815</f>
        <v/>
      </c>
      <c r="F4815">
        <f>BASE_EQUIPOS!H4815</f>
        <v/>
      </c>
      <c r="G4815">
        <f>BASE_EQUIPOS!M4815</f>
        <v/>
      </c>
    </row>
    <row r="4816">
      <c r="A4816">
        <f>TRIM(BASE_EQUIPOS!N4816)</f>
        <v/>
      </c>
      <c r="B4816">
        <f>BASE_EQUIPOS!A4816</f>
        <v/>
      </c>
      <c r="C4816">
        <f>BASE_EQUIPOS!B4816</f>
        <v/>
      </c>
      <c r="D4816">
        <f>BASE_EQUIPOS!D4816</f>
        <v/>
      </c>
      <c r="E4816">
        <f>BASE_EQUIPOS!G4816</f>
        <v/>
      </c>
      <c r="F4816">
        <f>BASE_EQUIPOS!H4816</f>
        <v/>
      </c>
      <c r="G4816">
        <f>BASE_EQUIPOS!M4816</f>
        <v/>
      </c>
    </row>
    <row r="4817">
      <c r="A4817">
        <f>TRIM(BASE_EQUIPOS!N4817)</f>
        <v/>
      </c>
      <c r="B4817">
        <f>BASE_EQUIPOS!A4817</f>
        <v/>
      </c>
      <c r="C4817">
        <f>BASE_EQUIPOS!B4817</f>
        <v/>
      </c>
      <c r="D4817">
        <f>BASE_EQUIPOS!D4817</f>
        <v/>
      </c>
      <c r="E4817">
        <f>BASE_EQUIPOS!G4817</f>
        <v/>
      </c>
      <c r="F4817">
        <f>BASE_EQUIPOS!H4817</f>
        <v/>
      </c>
      <c r="G4817">
        <f>BASE_EQUIPOS!M4817</f>
        <v/>
      </c>
    </row>
    <row r="4818">
      <c r="A4818">
        <f>TRIM(BASE_EQUIPOS!N4818)</f>
        <v/>
      </c>
      <c r="B4818">
        <f>BASE_EQUIPOS!A4818</f>
        <v/>
      </c>
      <c r="C4818">
        <f>BASE_EQUIPOS!B4818</f>
        <v/>
      </c>
      <c r="D4818">
        <f>BASE_EQUIPOS!D4818</f>
        <v/>
      </c>
      <c r="E4818">
        <f>BASE_EQUIPOS!G4818</f>
        <v/>
      </c>
      <c r="F4818">
        <f>BASE_EQUIPOS!H4818</f>
        <v/>
      </c>
      <c r="G4818">
        <f>BASE_EQUIPOS!M4818</f>
        <v/>
      </c>
    </row>
    <row r="4819">
      <c r="A4819">
        <f>TRIM(BASE_EQUIPOS!N4819)</f>
        <v/>
      </c>
      <c r="B4819">
        <f>BASE_EQUIPOS!A4819</f>
        <v/>
      </c>
      <c r="C4819">
        <f>BASE_EQUIPOS!B4819</f>
        <v/>
      </c>
      <c r="D4819">
        <f>BASE_EQUIPOS!D4819</f>
        <v/>
      </c>
      <c r="E4819">
        <f>BASE_EQUIPOS!G4819</f>
        <v/>
      </c>
      <c r="F4819">
        <f>BASE_EQUIPOS!H4819</f>
        <v/>
      </c>
      <c r="G4819">
        <f>BASE_EQUIPOS!M4819</f>
        <v/>
      </c>
    </row>
    <row r="4820">
      <c r="A4820">
        <f>TRIM(BASE_EQUIPOS!N4820)</f>
        <v/>
      </c>
      <c r="B4820">
        <f>BASE_EQUIPOS!A4820</f>
        <v/>
      </c>
      <c r="C4820">
        <f>BASE_EQUIPOS!B4820</f>
        <v/>
      </c>
      <c r="D4820">
        <f>BASE_EQUIPOS!D4820</f>
        <v/>
      </c>
      <c r="E4820">
        <f>BASE_EQUIPOS!G4820</f>
        <v/>
      </c>
      <c r="F4820">
        <f>BASE_EQUIPOS!H4820</f>
        <v/>
      </c>
      <c r="G4820">
        <f>BASE_EQUIPOS!M4820</f>
        <v/>
      </c>
    </row>
    <row r="4821">
      <c r="A4821">
        <f>TRIM(BASE_EQUIPOS!N4821)</f>
        <v/>
      </c>
      <c r="B4821">
        <f>BASE_EQUIPOS!A4821</f>
        <v/>
      </c>
      <c r="C4821">
        <f>BASE_EQUIPOS!B4821</f>
        <v/>
      </c>
      <c r="D4821">
        <f>BASE_EQUIPOS!D4821</f>
        <v/>
      </c>
      <c r="E4821">
        <f>BASE_EQUIPOS!G4821</f>
        <v/>
      </c>
      <c r="F4821">
        <f>BASE_EQUIPOS!H4821</f>
        <v/>
      </c>
      <c r="G4821">
        <f>BASE_EQUIPOS!M4821</f>
        <v/>
      </c>
    </row>
    <row r="4822">
      <c r="A4822">
        <f>TRIM(BASE_EQUIPOS!N4822)</f>
        <v/>
      </c>
      <c r="B4822">
        <f>BASE_EQUIPOS!A4822</f>
        <v/>
      </c>
      <c r="C4822">
        <f>BASE_EQUIPOS!B4822</f>
        <v/>
      </c>
      <c r="D4822">
        <f>BASE_EQUIPOS!D4822</f>
        <v/>
      </c>
      <c r="E4822">
        <f>BASE_EQUIPOS!G4822</f>
        <v/>
      </c>
      <c r="F4822">
        <f>BASE_EQUIPOS!H4822</f>
        <v/>
      </c>
      <c r="G4822">
        <f>BASE_EQUIPOS!M4822</f>
        <v/>
      </c>
    </row>
    <row r="4823">
      <c r="A4823">
        <f>TRIM(BASE_EQUIPOS!N4823)</f>
        <v/>
      </c>
      <c r="B4823">
        <f>BASE_EQUIPOS!A4823</f>
        <v/>
      </c>
      <c r="C4823">
        <f>BASE_EQUIPOS!B4823</f>
        <v/>
      </c>
      <c r="D4823">
        <f>BASE_EQUIPOS!D4823</f>
        <v/>
      </c>
      <c r="E4823">
        <f>BASE_EQUIPOS!G4823</f>
        <v/>
      </c>
      <c r="F4823">
        <f>BASE_EQUIPOS!H4823</f>
        <v/>
      </c>
      <c r="G4823">
        <f>BASE_EQUIPOS!M4823</f>
        <v/>
      </c>
    </row>
    <row r="4824">
      <c r="A4824">
        <f>TRIM(BASE_EQUIPOS!N4824)</f>
        <v/>
      </c>
      <c r="B4824">
        <f>BASE_EQUIPOS!A4824</f>
        <v/>
      </c>
      <c r="C4824">
        <f>BASE_EQUIPOS!B4824</f>
        <v/>
      </c>
      <c r="D4824">
        <f>BASE_EQUIPOS!D4824</f>
        <v/>
      </c>
      <c r="E4824">
        <f>BASE_EQUIPOS!G4824</f>
        <v/>
      </c>
      <c r="F4824">
        <f>BASE_EQUIPOS!H4824</f>
        <v/>
      </c>
      <c r="G4824">
        <f>BASE_EQUIPOS!M4824</f>
        <v/>
      </c>
    </row>
    <row r="4825">
      <c r="A4825">
        <f>TRIM(BASE_EQUIPOS!N4825)</f>
        <v/>
      </c>
      <c r="B4825">
        <f>BASE_EQUIPOS!A4825</f>
        <v/>
      </c>
      <c r="C4825">
        <f>BASE_EQUIPOS!B4825</f>
        <v/>
      </c>
      <c r="D4825">
        <f>BASE_EQUIPOS!D4825</f>
        <v/>
      </c>
      <c r="E4825">
        <f>BASE_EQUIPOS!G4825</f>
        <v/>
      </c>
      <c r="F4825">
        <f>BASE_EQUIPOS!H4825</f>
        <v/>
      </c>
      <c r="G4825">
        <f>BASE_EQUIPOS!M4825</f>
        <v/>
      </c>
    </row>
    <row r="4826">
      <c r="A4826">
        <f>TRIM(BASE_EQUIPOS!N4826)</f>
        <v/>
      </c>
      <c r="B4826">
        <f>BASE_EQUIPOS!A4826</f>
        <v/>
      </c>
      <c r="C4826">
        <f>BASE_EQUIPOS!B4826</f>
        <v/>
      </c>
      <c r="D4826">
        <f>BASE_EQUIPOS!D4826</f>
        <v/>
      </c>
      <c r="E4826">
        <f>BASE_EQUIPOS!G4826</f>
        <v/>
      </c>
      <c r="F4826">
        <f>BASE_EQUIPOS!H4826</f>
        <v/>
      </c>
      <c r="G4826">
        <f>BASE_EQUIPOS!M4826</f>
        <v/>
      </c>
    </row>
    <row r="4827">
      <c r="A4827">
        <f>TRIM(BASE_EQUIPOS!N4827)</f>
        <v/>
      </c>
      <c r="B4827">
        <f>BASE_EQUIPOS!A4827</f>
        <v/>
      </c>
      <c r="C4827">
        <f>BASE_EQUIPOS!B4827</f>
        <v/>
      </c>
      <c r="D4827">
        <f>BASE_EQUIPOS!D4827</f>
        <v/>
      </c>
      <c r="E4827">
        <f>BASE_EQUIPOS!G4827</f>
        <v/>
      </c>
      <c r="F4827">
        <f>BASE_EQUIPOS!H4827</f>
        <v/>
      </c>
      <c r="G4827">
        <f>BASE_EQUIPOS!M4827</f>
        <v/>
      </c>
    </row>
    <row r="4828">
      <c r="A4828">
        <f>TRIM(BASE_EQUIPOS!N4828)</f>
        <v/>
      </c>
      <c r="B4828">
        <f>BASE_EQUIPOS!A4828</f>
        <v/>
      </c>
      <c r="C4828">
        <f>BASE_EQUIPOS!B4828</f>
        <v/>
      </c>
      <c r="D4828">
        <f>BASE_EQUIPOS!D4828</f>
        <v/>
      </c>
      <c r="E4828">
        <f>BASE_EQUIPOS!G4828</f>
        <v/>
      </c>
      <c r="F4828">
        <f>BASE_EQUIPOS!H4828</f>
        <v/>
      </c>
      <c r="G4828">
        <f>BASE_EQUIPOS!M4828</f>
        <v/>
      </c>
    </row>
    <row r="4829">
      <c r="A4829">
        <f>TRIM(BASE_EQUIPOS!N4829)</f>
        <v/>
      </c>
      <c r="B4829">
        <f>BASE_EQUIPOS!A4829</f>
        <v/>
      </c>
      <c r="C4829">
        <f>BASE_EQUIPOS!B4829</f>
        <v/>
      </c>
      <c r="D4829">
        <f>BASE_EQUIPOS!D4829</f>
        <v/>
      </c>
      <c r="E4829">
        <f>BASE_EQUIPOS!G4829</f>
        <v/>
      </c>
      <c r="F4829">
        <f>BASE_EQUIPOS!H4829</f>
        <v/>
      </c>
      <c r="G4829">
        <f>BASE_EQUIPOS!M4829</f>
        <v/>
      </c>
    </row>
    <row r="4830">
      <c r="A4830">
        <f>TRIM(BASE_EQUIPOS!N4830)</f>
        <v/>
      </c>
      <c r="B4830">
        <f>BASE_EQUIPOS!A4830</f>
        <v/>
      </c>
      <c r="C4830">
        <f>BASE_EQUIPOS!B4830</f>
        <v/>
      </c>
      <c r="D4830">
        <f>BASE_EQUIPOS!D4830</f>
        <v/>
      </c>
      <c r="E4830">
        <f>BASE_EQUIPOS!G4830</f>
        <v/>
      </c>
      <c r="F4830">
        <f>BASE_EQUIPOS!H4830</f>
        <v/>
      </c>
      <c r="G4830">
        <f>BASE_EQUIPOS!M4830</f>
        <v/>
      </c>
    </row>
    <row r="4831">
      <c r="A4831">
        <f>TRIM(BASE_EQUIPOS!N4831)</f>
        <v/>
      </c>
      <c r="B4831">
        <f>BASE_EQUIPOS!A4831</f>
        <v/>
      </c>
      <c r="C4831">
        <f>BASE_EQUIPOS!B4831</f>
        <v/>
      </c>
      <c r="D4831">
        <f>BASE_EQUIPOS!D4831</f>
        <v/>
      </c>
      <c r="E4831">
        <f>BASE_EQUIPOS!G4831</f>
        <v/>
      </c>
      <c r="F4831">
        <f>BASE_EQUIPOS!H4831</f>
        <v/>
      </c>
      <c r="G4831">
        <f>BASE_EQUIPOS!M4831</f>
        <v/>
      </c>
    </row>
    <row r="4832">
      <c r="A4832">
        <f>TRIM(BASE_EQUIPOS!N4832)</f>
        <v/>
      </c>
      <c r="B4832">
        <f>BASE_EQUIPOS!A4832</f>
        <v/>
      </c>
      <c r="C4832">
        <f>BASE_EQUIPOS!B4832</f>
        <v/>
      </c>
      <c r="D4832">
        <f>BASE_EQUIPOS!D4832</f>
        <v/>
      </c>
      <c r="E4832">
        <f>BASE_EQUIPOS!G4832</f>
        <v/>
      </c>
      <c r="F4832">
        <f>BASE_EQUIPOS!H4832</f>
        <v/>
      </c>
      <c r="G4832">
        <f>BASE_EQUIPOS!M4832</f>
        <v/>
      </c>
    </row>
    <row r="4833">
      <c r="A4833">
        <f>TRIM(BASE_EQUIPOS!N4833)</f>
        <v/>
      </c>
      <c r="B4833">
        <f>BASE_EQUIPOS!A4833</f>
        <v/>
      </c>
      <c r="C4833">
        <f>BASE_EQUIPOS!B4833</f>
        <v/>
      </c>
      <c r="D4833">
        <f>BASE_EQUIPOS!D4833</f>
        <v/>
      </c>
      <c r="E4833">
        <f>BASE_EQUIPOS!G4833</f>
        <v/>
      </c>
      <c r="F4833">
        <f>BASE_EQUIPOS!H4833</f>
        <v/>
      </c>
      <c r="G4833">
        <f>BASE_EQUIPOS!M4833</f>
        <v/>
      </c>
    </row>
    <row r="4834">
      <c r="A4834">
        <f>TRIM(BASE_EQUIPOS!N4834)</f>
        <v/>
      </c>
      <c r="B4834">
        <f>BASE_EQUIPOS!A4834</f>
        <v/>
      </c>
      <c r="C4834">
        <f>BASE_EQUIPOS!B4834</f>
        <v/>
      </c>
      <c r="D4834">
        <f>BASE_EQUIPOS!D4834</f>
        <v/>
      </c>
      <c r="E4834">
        <f>BASE_EQUIPOS!G4834</f>
        <v/>
      </c>
      <c r="F4834">
        <f>BASE_EQUIPOS!H4834</f>
        <v/>
      </c>
      <c r="G4834">
        <f>BASE_EQUIPOS!M4834</f>
        <v/>
      </c>
    </row>
    <row r="4835">
      <c r="A4835">
        <f>TRIM(BASE_EQUIPOS!N4835)</f>
        <v/>
      </c>
      <c r="B4835">
        <f>BASE_EQUIPOS!A4835</f>
        <v/>
      </c>
      <c r="C4835">
        <f>BASE_EQUIPOS!B4835</f>
        <v/>
      </c>
      <c r="D4835">
        <f>BASE_EQUIPOS!D4835</f>
        <v/>
      </c>
      <c r="E4835">
        <f>BASE_EQUIPOS!G4835</f>
        <v/>
      </c>
      <c r="F4835">
        <f>BASE_EQUIPOS!H4835</f>
        <v/>
      </c>
      <c r="G4835">
        <f>BASE_EQUIPOS!M4835</f>
        <v/>
      </c>
    </row>
    <row r="4836">
      <c r="A4836">
        <f>TRIM(BASE_EQUIPOS!N4836)</f>
        <v/>
      </c>
      <c r="B4836">
        <f>BASE_EQUIPOS!A4836</f>
        <v/>
      </c>
      <c r="C4836">
        <f>BASE_EQUIPOS!B4836</f>
        <v/>
      </c>
      <c r="D4836">
        <f>BASE_EQUIPOS!D4836</f>
        <v/>
      </c>
      <c r="E4836">
        <f>BASE_EQUIPOS!G4836</f>
        <v/>
      </c>
      <c r="F4836">
        <f>BASE_EQUIPOS!H4836</f>
        <v/>
      </c>
      <c r="G4836">
        <f>BASE_EQUIPOS!M4836</f>
        <v/>
      </c>
    </row>
    <row r="4837">
      <c r="A4837">
        <f>TRIM(BASE_EQUIPOS!N4837)</f>
        <v/>
      </c>
      <c r="B4837">
        <f>BASE_EQUIPOS!A4837</f>
        <v/>
      </c>
      <c r="C4837">
        <f>BASE_EQUIPOS!B4837</f>
        <v/>
      </c>
      <c r="D4837">
        <f>BASE_EQUIPOS!D4837</f>
        <v/>
      </c>
      <c r="E4837">
        <f>BASE_EQUIPOS!G4837</f>
        <v/>
      </c>
      <c r="F4837">
        <f>BASE_EQUIPOS!H4837</f>
        <v/>
      </c>
      <c r="G4837">
        <f>BASE_EQUIPOS!M4837</f>
        <v/>
      </c>
    </row>
    <row r="4838">
      <c r="A4838">
        <f>TRIM(BASE_EQUIPOS!N4838)</f>
        <v/>
      </c>
      <c r="B4838">
        <f>BASE_EQUIPOS!A4838</f>
        <v/>
      </c>
      <c r="C4838">
        <f>BASE_EQUIPOS!B4838</f>
        <v/>
      </c>
      <c r="D4838">
        <f>BASE_EQUIPOS!D4838</f>
        <v/>
      </c>
      <c r="E4838">
        <f>BASE_EQUIPOS!G4838</f>
        <v/>
      </c>
      <c r="F4838">
        <f>BASE_EQUIPOS!H4838</f>
        <v/>
      </c>
      <c r="G4838">
        <f>BASE_EQUIPOS!M4838</f>
        <v/>
      </c>
    </row>
    <row r="4839">
      <c r="A4839">
        <f>TRIM(BASE_EQUIPOS!N4839)</f>
        <v/>
      </c>
      <c r="B4839">
        <f>BASE_EQUIPOS!A4839</f>
        <v/>
      </c>
      <c r="C4839">
        <f>BASE_EQUIPOS!B4839</f>
        <v/>
      </c>
      <c r="D4839">
        <f>BASE_EQUIPOS!D4839</f>
        <v/>
      </c>
      <c r="E4839">
        <f>BASE_EQUIPOS!G4839</f>
        <v/>
      </c>
      <c r="F4839">
        <f>BASE_EQUIPOS!H4839</f>
        <v/>
      </c>
      <c r="G4839">
        <f>BASE_EQUIPOS!M4839</f>
        <v/>
      </c>
    </row>
    <row r="4840">
      <c r="A4840">
        <f>TRIM(BASE_EQUIPOS!N4840)</f>
        <v/>
      </c>
      <c r="B4840">
        <f>BASE_EQUIPOS!A4840</f>
        <v/>
      </c>
      <c r="C4840">
        <f>BASE_EQUIPOS!B4840</f>
        <v/>
      </c>
      <c r="D4840">
        <f>BASE_EQUIPOS!D4840</f>
        <v/>
      </c>
      <c r="E4840">
        <f>BASE_EQUIPOS!G4840</f>
        <v/>
      </c>
      <c r="F4840">
        <f>BASE_EQUIPOS!H4840</f>
        <v/>
      </c>
      <c r="G4840">
        <f>BASE_EQUIPOS!M4840</f>
        <v/>
      </c>
    </row>
    <row r="4841">
      <c r="A4841">
        <f>TRIM(BASE_EQUIPOS!N4841)</f>
        <v/>
      </c>
      <c r="B4841">
        <f>BASE_EQUIPOS!A4841</f>
        <v/>
      </c>
      <c r="C4841">
        <f>BASE_EQUIPOS!B4841</f>
        <v/>
      </c>
      <c r="D4841">
        <f>BASE_EQUIPOS!D4841</f>
        <v/>
      </c>
      <c r="E4841">
        <f>BASE_EQUIPOS!G4841</f>
        <v/>
      </c>
      <c r="F4841">
        <f>BASE_EQUIPOS!H4841</f>
        <v/>
      </c>
      <c r="G4841">
        <f>BASE_EQUIPOS!M4841</f>
        <v/>
      </c>
    </row>
    <row r="4842">
      <c r="A4842">
        <f>TRIM(BASE_EQUIPOS!N4842)</f>
        <v/>
      </c>
      <c r="B4842">
        <f>BASE_EQUIPOS!A4842</f>
        <v/>
      </c>
      <c r="C4842">
        <f>BASE_EQUIPOS!B4842</f>
        <v/>
      </c>
      <c r="D4842">
        <f>BASE_EQUIPOS!D4842</f>
        <v/>
      </c>
      <c r="E4842">
        <f>BASE_EQUIPOS!G4842</f>
        <v/>
      </c>
      <c r="F4842">
        <f>BASE_EQUIPOS!H4842</f>
        <v/>
      </c>
      <c r="G4842">
        <f>BASE_EQUIPOS!M4842</f>
        <v/>
      </c>
    </row>
    <row r="4843">
      <c r="A4843">
        <f>TRIM(BASE_EQUIPOS!N4843)</f>
        <v/>
      </c>
      <c r="B4843">
        <f>BASE_EQUIPOS!A4843</f>
        <v/>
      </c>
      <c r="C4843">
        <f>BASE_EQUIPOS!B4843</f>
        <v/>
      </c>
      <c r="D4843">
        <f>BASE_EQUIPOS!D4843</f>
        <v/>
      </c>
      <c r="E4843">
        <f>BASE_EQUIPOS!G4843</f>
        <v/>
      </c>
      <c r="F4843">
        <f>BASE_EQUIPOS!H4843</f>
        <v/>
      </c>
      <c r="G4843">
        <f>BASE_EQUIPOS!M4843</f>
        <v/>
      </c>
    </row>
    <row r="4844">
      <c r="A4844">
        <f>TRIM(BASE_EQUIPOS!N4844)</f>
        <v/>
      </c>
      <c r="B4844">
        <f>BASE_EQUIPOS!A4844</f>
        <v/>
      </c>
      <c r="C4844">
        <f>BASE_EQUIPOS!B4844</f>
        <v/>
      </c>
      <c r="D4844">
        <f>BASE_EQUIPOS!D4844</f>
        <v/>
      </c>
      <c r="E4844">
        <f>BASE_EQUIPOS!G4844</f>
        <v/>
      </c>
      <c r="F4844">
        <f>BASE_EQUIPOS!H4844</f>
        <v/>
      </c>
      <c r="G4844">
        <f>BASE_EQUIPOS!M4844</f>
        <v/>
      </c>
    </row>
    <row r="4845">
      <c r="A4845">
        <f>TRIM(BASE_EQUIPOS!N4845)</f>
        <v/>
      </c>
      <c r="B4845">
        <f>BASE_EQUIPOS!A4845</f>
        <v/>
      </c>
      <c r="C4845">
        <f>BASE_EQUIPOS!B4845</f>
        <v/>
      </c>
      <c r="D4845">
        <f>BASE_EQUIPOS!D4845</f>
        <v/>
      </c>
      <c r="E4845">
        <f>BASE_EQUIPOS!G4845</f>
        <v/>
      </c>
      <c r="F4845">
        <f>BASE_EQUIPOS!H4845</f>
        <v/>
      </c>
      <c r="G4845">
        <f>BASE_EQUIPOS!M4845</f>
        <v/>
      </c>
    </row>
    <row r="4846">
      <c r="A4846">
        <f>TRIM(BASE_EQUIPOS!N4846)</f>
        <v/>
      </c>
      <c r="B4846">
        <f>BASE_EQUIPOS!A4846</f>
        <v/>
      </c>
      <c r="C4846">
        <f>BASE_EQUIPOS!B4846</f>
        <v/>
      </c>
      <c r="D4846">
        <f>BASE_EQUIPOS!D4846</f>
        <v/>
      </c>
      <c r="E4846">
        <f>BASE_EQUIPOS!G4846</f>
        <v/>
      </c>
      <c r="F4846">
        <f>BASE_EQUIPOS!H4846</f>
        <v/>
      </c>
      <c r="G4846">
        <f>BASE_EQUIPOS!M4846</f>
        <v/>
      </c>
    </row>
    <row r="4847">
      <c r="A4847">
        <f>TRIM(BASE_EQUIPOS!N4847)</f>
        <v/>
      </c>
      <c r="B4847">
        <f>BASE_EQUIPOS!A4847</f>
        <v/>
      </c>
      <c r="C4847">
        <f>BASE_EQUIPOS!B4847</f>
        <v/>
      </c>
      <c r="D4847">
        <f>BASE_EQUIPOS!D4847</f>
        <v/>
      </c>
      <c r="E4847">
        <f>BASE_EQUIPOS!G4847</f>
        <v/>
      </c>
      <c r="F4847">
        <f>BASE_EQUIPOS!H4847</f>
        <v/>
      </c>
      <c r="G4847">
        <f>BASE_EQUIPOS!M4847</f>
        <v/>
      </c>
    </row>
    <row r="4848">
      <c r="A4848">
        <f>TRIM(BASE_EQUIPOS!N4848)</f>
        <v/>
      </c>
      <c r="B4848">
        <f>BASE_EQUIPOS!A4848</f>
        <v/>
      </c>
      <c r="C4848">
        <f>BASE_EQUIPOS!B4848</f>
        <v/>
      </c>
      <c r="D4848">
        <f>BASE_EQUIPOS!D4848</f>
        <v/>
      </c>
      <c r="E4848">
        <f>BASE_EQUIPOS!G4848</f>
        <v/>
      </c>
      <c r="F4848">
        <f>BASE_EQUIPOS!H4848</f>
        <v/>
      </c>
      <c r="G4848">
        <f>BASE_EQUIPOS!M4848</f>
        <v/>
      </c>
    </row>
    <row r="4849">
      <c r="A4849">
        <f>TRIM(BASE_EQUIPOS!N4849)</f>
        <v/>
      </c>
      <c r="B4849">
        <f>BASE_EQUIPOS!A4849</f>
        <v/>
      </c>
      <c r="C4849">
        <f>BASE_EQUIPOS!B4849</f>
        <v/>
      </c>
      <c r="D4849">
        <f>BASE_EQUIPOS!D4849</f>
        <v/>
      </c>
      <c r="E4849">
        <f>BASE_EQUIPOS!G4849</f>
        <v/>
      </c>
      <c r="F4849">
        <f>BASE_EQUIPOS!H4849</f>
        <v/>
      </c>
      <c r="G4849">
        <f>BASE_EQUIPOS!M4849</f>
        <v/>
      </c>
    </row>
    <row r="4850">
      <c r="A4850">
        <f>TRIM(BASE_EQUIPOS!N4850)</f>
        <v/>
      </c>
      <c r="B4850">
        <f>BASE_EQUIPOS!A4850</f>
        <v/>
      </c>
      <c r="C4850">
        <f>BASE_EQUIPOS!B4850</f>
        <v/>
      </c>
      <c r="D4850">
        <f>BASE_EQUIPOS!D4850</f>
        <v/>
      </c>
      <c r="E4850">
        <f>BASE_EQUIPOS!G4850</f>
        <v/>
      </c>
      <c r="F4850">
        <f>BASE_EQUIPOS!H4850</f>
        <v/>
      </c>
      <c r="G4850">
        <f>BASE_EQUIPOS!M4850</f>
        <v/>
      </c>
    </row>
    <row r="4851">
      <c r="A4851">
        <f>TRIM(BASE_EQUIPOS!N4851)</f>
        <v/>
      </c>
      <c r="B4851">
        <f>BASE_EQUIPOS!A4851</f>
        <v/>
      </c>
      <c r="C4851">
        <f>BASE_EQUIPOS!B4851</f>
        <v/>
      </c>
      <c r="D4851">
        <f>BASE_EQUIPOS!D4851</f>
        <v/>
      </c>
      <c r="E4851">
        <f>BASE_EQUIPOS!G4851</f>
        <v/>
      </c>
      <c r="F4851">
        <f>BASE_EQUIPOS!H4851</f>
        <v/>
      </c>
      <c r="G4851">
        <f>BASE_EQUIPOS!M4851</f>
        <v/>
      </c>
    </row>
    <row r="4852">
      <c r="A4852">
        <f>TRIM(BASE_EQUIPOS!N4852)</f>
        <v/>
      </c>
      <c r="B4852">
        <f>BASE_EQUIPOS!A4852</f>
        <v/>
      </c>
      <c r="C4852">
        <f>BASE_EQUIPOS!B4852</f>
        <v/>
      </c>
      <c r="D4852">
        <f>BASE_EQUIPOS!D4852</f>
        <v/>
      </c>
      <c r="E4852">
        <f>BASE_EQUIPOS!G4852</f>
        <v/>
      </c>
      <c r="F4852">
        <f>BASE_EQUIPOS!H4852</f>
        <v/>
      </c>
      <c r="G4852">
        <f>BASE_EQUIPOS!M4852</f>
        <v/>
      </c>
    </row>
    <row r="4853">
      <c r="A4853">
        <f>TRIM(BASE_EQUIPOS!N4853)</f>
        <v/>
      </c>
      <c r="B4853">
        <f>BASE_EQUIPOS!A4853</f>
        <v/>
      </c>
      <c r="C4853">
        <f>BASE_EQUIPOS!B4853</f>
        <v/>
      </c>
      <c r="D4853">
        <f>BASE_EQUIPOS!D4853</f>
        <v/>
      </c>
      <c r="E4853">
        <f>BASE_EQUIPOS!G4853</f>
        <v/>
      </c>
      <c r="F4853">
        <f>BASE_EQUIPOS!H4853</f>
        <v/>
      </c>
      <c r="G4853">
        <f>BASE_EQUIPOS!M4853</f>
        <v/>
      </c>
    </row>
    <row r="4854">
      <c r="A4854">
        <f>TRIM(BASE_EQUIPOS!N4854)</f>
        <v/>
      </c>
      <c r="B4854">
        <f>BASE_EQUIPOS!A4854</f>
        <v/>
      </c>
      <c r="C4854">
        <f>BASE_EQUIPOS!B4854</f>
        <v/>
      </c>
      <c r="D4854">
        <f>BASE_EQUIPOS!D4854</f>
        <v/>
      </c>
      <c r="E4854">
        <f>BASE_EQUIPOS!G4854</f>
        <v/>
      </c>
      <c r="F4854">
        <f>BASE_EQUIPOS!H4854</f>
        <v/>
      </c>
      <c r="G4854">
        <f>BASE_EQUIPOS!M4854</f>
        <v/>
      </c>
    </row>
    <row r="4855">
      <c r="A4855">
        <f>TRIM(BASE_EQUIPOS!N4855)</f>
        <v/>
      </c>
      <c r="B4855">
        <f>BASE_EQUIPOS!A4855</f>
        <v/>
      </c>
      <c r="C4855">
        <f>BASE_EQUIPOS!B4855</f>
        <v/>
      </c>
      <c r="D4855">
        <f>BASE_EQUIPOS!D4855</f>
        <v/>
      </c>
      <c r="E4855">
        <f>BASE_EQUIPOS!G4855</f>
        <v/>
      </c>
      <c r="F4855">
        <f>BASE_EQUIPOS!H4855</f>
        <v/>
      </c>
      <c r="G4855">
        <f>BASE_EQUIPOS!M4855</f>
        <v/>
      </c>
    </row>
    <row r="4856">
      <c r="A4856">
        <f>TRIM(BASE_EQUIPOS!N4856)</f>
        <v/>
      </c>
      <c r="B4856">
        <f>BASE_EQUIPOS!A4856</f>
        <v/>
      </c>
      <c r="C4856">
        <f>BASE_EQUIPOS!B4856</f>
        <v/>
      </c>
      <c r="D4856">
        <f>BASE_EQUIPOS!D4856</f>
        <v/>
      </c>
      <c r="E4856">
        <f>BASE_EQUIPOS!G4856</f>
        <v/>
      </c>
      <c r="F4856">
        <f>BASE_EQUIPOS!H4856</f>
        <v/>
      </c>
      <c r="G4856">
        <f>BASE_EQUIPOS!M4856</f>
        <v/>
      </c>
    </row>
    <row r="4857">
      <c r="A4857">
        <f>TRIM(BASE_EQUIPOS!N4857)</f>
        <v/>
      </c>
      <c r="B4857">
        <f>BASE_EQUIPOS!A4857</f>
        <v/>
      </c>
      <c r="C4857">
        <f>BASE_EQUIPOS!B4857</f>
        <v/>
      </c>
      <c r="D4857">
        <f>BASE_EQUIPOS!D4857</f>
        <v/>
      </c>
      <c r="E4857">
        <f>BASE_EQUIPOS!G4857</f>
        <v/>
      </c>
      <c r="F4857">
        <f>BASE_EQUIPOS!H4857</f>
        <v/>
      </c>
      <c r="G4857">
        <f>BASE_EQUIPOS!M4857</f>
        <v/>
      </c>
    </row>
    <row r="4858">
      <c r="A4858">
        <f>TRIM(BASE_EQUIPOS!N4858)</f>
        <v/>
      </c>
      <c r="B4858">
        <f>BASE_EQUIPOS!A4858</f>
        <v/>
      </c>
      <c r="C4858">
        <f>BASE_EQUIPOS!B4858</f>
        <v/>
      </c>
      <c r="D4858">
        <f>BASE_EQUIPOS!D4858</f>
        <v/>
      </c>
      <c r="E4858">
        <f>BASE_EQUIPOS!G4858</f>
        <v/>
      </c>
      <c r="F4858">
        <f>BASE_EQUIPOS!H4858</f>
        <v/>
      </c>
      <c r="G4858">
        <f>BASE_EQUIPOS!M4858</f>
        <v/>
      </c>
    </row>
    <row r="4859">
      <c r="A4859">
        <f>TRIM(BASE_EQUIPOS!N4859)</f>
        <v/>
      </c>
      <c r="B4859">
        <f>BASE_EQUIPOS!A4859</f>
        <v/>
      </c>
      <c r="C4859">
        <f>BASE_EQUIPOS!B4859</f>
        <v/>
      </c>
      <c r="D4859">
        <f>BASE_EQUIPOS!D4859</f>
        <v/>
      </c>
      <c r="E4859">
        <f>BASE_EQUIPOS!G4859</f>
        <v/>
      </c>
      <c r="F4859">
        <f>BASE_EQUIPOS!H4859</f>
        <v/>
      </c>
      <c r="G4859">
        <f>BASE_EQUIPOS!M4859</f>
        <v/>
      </c>
    </row>
    <row r="4860">
      <c r="A4860">
        <f>TRIM(BASE_EQUIPOS!N4860)</f>
        <v/>
      </c>
      <c r="B4860">
        <f>BASE_EQUIPOS!A4860</f>
        <v/>
      </c>
      <c r="C4860">
        <f>BASE_EQUIPOS!B4860</f>
        <v/>
      </c>
      <c r="D4860">
        <f>BASE_EQUIPOS!D4860</f>
        <v/>
      </c>
      <c r="E4860">
        <f>BASE_EQUIPOS!G4860</f>
        <v/>
      </c>
      <c r="F4860">
        <f>BASE_EQUIPOS!H4860</f>
        <v/>
      </c>
      <c r="G4860">
        <f>BASE_EQUIPOS!M4860</f>
        <v/>
      </c>
    </row>
    <row r="4861">
      <c r="A4861">
        <f>TRIM(BASE_EQUIPOS!N4861)</f>
        <v/>
      </c>
      <c r="B4861">
        <f>BASE_EQUIPOS!A4861</f>
        <v/>
      </c>
      <c r="C4861">
        <f>BASE_EQUIPOS!B4861</f>
        <v/>
      </c>
      <c r="D4861">
        <f>BASE_EQUIPOS!D4861</f>
        <v/>
      </c>
      <c r="E4861">
        <f>BASE_EQUIPOS!G4861</f>
        <v/>
      </c>
      <c r="F4861">
        <f>BASE_EQUIPOS!H4861</f>
        <v/>
      </c>
      <c r="G4861">
        <f>BASE_EQUIPOS!M4861</f>
        <v/>
      </c>
    </row>
    <row r="4862">
      <c r="A4862">
        <f>TRIM(BASE_EQUIPOS!N4862)</f>
        <v/>
      </c>
      <c r="B4862">
        <f>BASE_EQUIPOS!A4862</f>
        <v/>
      </c>
      <c r="C4862">
        <f>BASE_EQUIPOS!B4862</f>
        <v/>
      </c>
      <c r="D4862">
        <f>BASE_EQUIPOS!D4862</f>
        <v/>
      </c>
      <c r="E4862">
        <f>BASE_EQUIPOS!G4862</f>
        <v/>
      </c>
      <c r="F4862">
        <f>BASE_EQUIPOS!H4862</f>
        <v/>
      </c>
      <c r="G4862">
        <f>BASE_EQUIPOS!M4862</f>
        <v/>
      </c>
    </row>
    <row r="4863">
      <c r="A4863">
        <f>TRIM(BASE_EQUIPOS!N4863)</f>
        <v/>
      </c>
      <c r="B4863">
        <f>BASE_EQUIPOS!A4863</f>
        <v/>
      </c>
      <c r="C4863">
        <f>BASE_EQUIPOS!B4863</f>
        <v/>
      </c>
      <c r="D4863">
        <f>BASE_EQUIPOS!D4863</f>
        <v/>
      </c>
      <c r="E4863">
        <f>BASE_EQUIPOS!G4863</f>
        <v/>
      </c>
      <c r="F4863">
        <f>BASE_EQUIPOS!H4863</f>
        <v/>
      </c>
      <c r="G4863">
        <f>BASE_EQUIPOS!M4863</f>
        <v/>
      </c>
    </row>
    <row r="4864">
      <c r="A4864">
        <f>TRIM(BASE_EQUIPOS!N4864)</f>
        <v/>
      </c>
      <c r="B4864">
        <f>BASE_EQUIPOS!A4864</f>
        <v/>
      </c>
      <c r="C4864">
        <f>BASE_EQUIPOS!B4864</f>
        <v/>
      </c>
      <c r="D4864">
        <f>BASE_EQUIPOS!D4864</f>
        <v/>
      </c>
      <c r="E4864">
        <f>BASE_EQUIPOS!G4864</f>
        <v/>
      </c>
      <c r="F4864">
        <f>BASE_EQUIPOS!H4864</f>
        <v/>
      </c>
      <c r="G4864">
        <f>BASE_EQUIPOS!M4864</f>
        <v/>
      </c>
    </row>
    <row r="4865">
      <c r="A4865">
        <f>TRIM(BASE_EQUIPOS!N4865)</f>
        <v/>
      </c>
      <c r="B4865">
        <f>BASE_EQUIPOS!A4865</f>
        <v/>
      </c>
      <c r="C4865">
        <f>BASE_EQUIPOS!B4865</f>
        <v/>
      </c>
      <c r="D4865">
        <f>BASE_EQUIPOS!D4865</f>
        <v/>
      </c>
      <c r="E4865">
        <f>BASE_EQUIPOS!G4865</f>
        <v/>
      </c>
      <c r="F4865">
        <f>BASE_EQUIPOS!H4865</f>
        <v/>
      </c>
      <c r="G4865">
        <f>BASE_EQUIPOS!M4865</f>
        <v/>
      </c>
    </row>
    <row r="4866">
      <c r="A4866">
        <f>TRIM(BASE_EQUIPOS!N4866)</f>
        <v/>
      </c>
      <c r="B4866">
        <f>BASE_EQUIPOS!A4866</f>
        <v/>
      </c>
      <c r="C4866">
        <f>BASE_EQUIPOS!B4866</f>
        <v/>
      </c>
      <c r="D4866">
        <f>BASE_EQUIPOS!D4866</f>
        <v/>
      </c>
      <c r="E4866">
        <f>BASE_EQUIPOS!G4866</f>
        <v/>
      </c>
      <c r="F4866">
        <f>BASE_EQUIPOS!H4866</f>
        <v/>
      </c>
      <c r="G4866">
        <f>BASE_EQUIPOS!M4866</f>
        <v/>
      </c>
    </row>
    <row r="4867">
      <c r="A4867">
        <f>TRIM(BASE_EQUIPOS!N4867)</f>
        <v/>
      </c>
      <c r="B4867">
        <f>BASE_EQUIPOS!A4867</f>
        <v/>
      </c>
      <c r="C4867">
        <f>BASE_EQUIPOS!B4867</f>
        <v/>
      </c>
      <c r="D4867">
        <f>BASE_EQUIPOS!D4867</f>
        <v/>
      </c>
      <c r="E4867">
        <f>BASE_EQUIPOS!G4867</f>
        <v/>
      </c>
      <c r="F4867">
        <f>BASE_EQUIPOS!H4867</f>
        <v/>
      </c>
      <c r="G4867">
        <f>BASE_EQUIPOS!M4867</f>
        <v/>
      </c>
    </row>
    <row r="4868">
      <c r="A4868">
        <f>TRIM(BASE_EQUIPOS!N4868)</f>
        <v/>
      </c>
      <c r="B4868">
        <f>BASE_EQUIPOS!A4868</f>
        <v/>
      </c>
      <c r="C4868">
        <f>BASE_EQUIPOS!B4868</f>
        <v/>
      </c>
      <c r="D4868">
        <f>BASE_EQUIPOS!D4868</f>
        <v/>
      </c>
      <c r="E4868">
        <f>BASE_EQUIPOS!G4868</f>
        <v/>
      </c>
      <c r="F4868">
        <f>BASE_EQUIPOS!H4868</f>
        <v/>
      </c>
      <c r="G4868">
        <f>BASE_EQUIPOS!M4868</f>
        <v/>
      </c>
    </row>
    <row r="4869">
      <c r="A4869">
        <f>TRIM(BASE_EQUIPOS!N4869)</f>
        <v/>
      </c>
      <c r="B4869">
        <f>BASE_EQUIPOS!A4869</f>
        <v/>
      </c>
      <c r="C4869">
        <f>BASE_EQUIPOS!B4869</f>
        <v/>
      </c>
      <c r="D4869">
        <f>BASE_EQUIPOS!D4869</f>
        <v/>
      </c>
      <c r="E4869">
        <f>BASE_EQUIPOS!G4869</f>
        <v/>
      </c>
      <c r="F4869">
        <f>BASE_EQUIPOS!H4869</f>
        <v/>
      </c>
      <c r="G4869">
        <f>BASE_EQUIPOS!M4869</f>
        <v/>
      </c>
    </row>
    <row r="4870">
      <c r="A4870">
        <f>TRIM(BASE_EQUIPOS!N4870)</f>
        <v/>
      </c>
      <c r="B4870">
        <f>BASE_EQUIPOS!A4870</f>
        <v/>
      </c>
      <c r="C4870">
        <f>BASE_EQUIPOS!B4870</f>
        <v/>
      </c>
      <c r="D4870">
        <f>BASE_EQUIPOS!D4870</f>
        <v/>
      </c>
      <c r="E4870">
        <f>BASE_EQUIPOS!G4870</f>
        <v/>
      </c>
      <c r="F4870">
        <f>BASE_EQUIPOS!H4870</f>
        <v/>
      </c>
      <c r="G4870">
        <f>BASE_EQUIPOS!M4870</f>
        <v/>
      </c>
    </row>
    <row r="4871">
      <c r="A4871">
        <f>TRIM(BASE_EQUIPOS!N4871)</f>
        <v/>
      </c>
      <c r="B4871">
        <f>BASE_EQUIPOS!A4871</f>
        <v/>
      </c>
      <c r="C4871">
        <f>BASE_EQUIPOS!B4871</f>
        <v/>
      </c>
      <c r="D4871">
        <f>BASE_EQUIPOS!D4871</f>
        <v/>
      </c>
      <c r="E4871">
        <f>BASE_EQUIPOS!G4871</f>
        <v/>
      </c>
      <c r="F4871">
        <f>BASE_EQUIPOS!H4871</f>
        <v/>
      </c>
      <c r="G4871">
        <f>BASE_EQUIPOS!M4871</f>
        <v/>
      </c>
    </row>
    <row r="4872">
      <c r="A4872">
        <f>TRIM(BASE_EQUIPOS!N4872)</f>
        <v/>
      </c>
      <c r="B4872">
        <f>BASE_EQUIPOS!A4872</f>
        <v/>
      </c>
      <c r="C4872">
        <f>BASE_EQUIPOS!B4872</f>
        <v/>
      </c>
      <c r="D4872">
        <f>BASE_EQUIPOS!D4872</f>
        <v/>
      </c>
      <c r="E4872">
        <f>BASE_EQUIPOS!G4872</f>
        <v/>
      </c>
      <c r="F4872">
        <f>BASE_EQUIPOS!H4872</f>
        <v/>
      </c>
      <c r="G4872">
        <f>BASE_EQUIPOS!M4872</f>
        <v/>
      </c>
    </row>
    <row r="4873">
      <c r="A4873">
        <f>TRIM(BASE_EQUIPOS!N4873)</f>
        <v/>
      </c>
      <c r="B4873">
        <f>BASE_EQUIPOS!A4873</f>
        <v/>
      </c>
      <c r="C4873">
        <f>BASE_EQUIPOS!B4873</f>
        <v/>
      </c>
      <c r="D4873">
        <f>BASE_EQUIPOS!D4873</f>
        <v/>
      </c>
      <c r="E4873">
        <f>BASE_EQUIPOS!G4873</f>
        <v/>
      </c>
      <c r="F4873">
        <f>BASE_EQUIPOS!H4873</f>
        <v/>
      </c>
      <c r="G4873">
        <f>BASE_EQUIPOS!M4873</f>
        <v/>
      </c>
    </row>
    <row r="4874">
      <c r="A4874">
        <f>TRIM(BASE_EQUIPOS!N4874)</f>
        <v/>
      </c>
      <c r="B4874">
        <f>BASE_EQUIPOS!A4874</f>
        <v/>
      </c>
      <c r="C4874">
        <f>BASE_EQUIPOS!B4874</f>
        <v/>
      </c>
      <c r="D4874">
        <f>BASE_EQUIPOS!D4874</f>
        <v/>
      </c>
      <c r="E4874">
        <f>BASE_EQUIPOS!G4874</f>
        <v/>
      </c>
      <c r="F4874">
        <f>BASE_EQUIPOS!H4874</f>
        <v/>
      </c>
      <c r="G4874">
        <f>BASE_EQUIPOS!M4874</f>
        <v/>
      </c>
    </row>
    <row r="4875">
      <c r="A4875">
        <f>TRIM(BASE_EQUIPOS!N4875)</f>
        <v/>
      </c>
      <c r="B4875">
        <f>BASE_EQUIPOS!A4875</f>
        <v/>
      </c>
      <c r="C4875">
        <f>BASE_EQUIPOS!B4875</f>
        <v/>
      </c>
      <c r="D4875">
        <f>BASE_EQUIPOS!D4875</f>
        <v/>
      </c>
      <c r="E4875">
        <f>BASE_EQUIPOS!G4875</f>
        <v/>
      </c>
      <c r="F4875">
        <f>BASE_EQUIPOS!H4875</f>
        <v/>
      </c>
      <c r="G4875">
        <f>BASE_EQUIPOS!M4875</f>
        <v/>
      </c>
    </row>
    <row r="4876">
      <c r="A4876">
        <f>TRIM(BASE_EQUIPOS!N4876)</f>
        <v/>
      </c>
      <c r="B4876">
        <f>BASE_EQUIPOS!A4876</f>
        <v/>
      </c>
      <c r="C4876">
        <f>BASE_EQUIPOS!B4876</f>
        <v/>
      </c>
      <c r="D4876">
        <f>BASE_EQUIPOS!D4876</f>
        <v/>
      </c>
      <c r="E4876">
        <f>BASE_EQUIPOS!G4876</f>
        <v/>
      </c>
      <c r="F4876">
        <f>BASE_EQUIPOS!H4876</f>
        <v/>
      </c>
      <c r="G4876">
        <f>BASE_EQUIPOS!M4876</f>
        <v/>
      </c>
    </row>
    <row r="4877">
      <c r="A4877">
        <f>TRIM(BASE_EQUIPOS!N4877)</f>
        <v/>
      </c>
      <c r="B4877">
        <f>BASE_EQUIPOS!A4877</f>
        <v/>
      </c>
      <c r="C4877">
        <f>BASE_EQUIPOS!B4877</f>
        <v/>
      </c>
      <c r="D4877">
        <f>BASE_EQUIPOS!D4877</f>
        <v/>
      </c>
      <c r="E4877">
        <f>BASE_EQUIPOS!G4877</f>
        <v/>
      </c>
      <c r="F4877">
        <f>BASE_EQUIPOS!H4877</f>
        <v/>
      </c>
      <c r="G4877">
        <f>BASE_EQUIPOS!M4877</f>
        <v/>
      </c>
    </row>
    <row r="4878">
      <c r="A4878">
        <f>TRIM(BASE_EQUIPOS!N4878)</f>
        <v/>
      </c>
      <c r="B4878">
        <f>BASE_EQUIPOS!A4878</f>
        <v/>
      </c>
      <c r="C4878">
        <f>BASE_EQUIPOS!B4878</f>
        <v/>
      </c>
      <c r="D4878">
        <f>BASE_EQUIPOS!D4878</f>
        <v/>
      </c>
      <c r="E4878">
        <f>BASE_EQUIPOS!G4878</f>
        <v/>
      </c>
      <c r="F4878">
        <f>BASE_EQUIPOS!H4878</f>
        <v/>
      </c>
      <c r="G4878">
        <f>BASE_EQUIPOS!M4878</f>
        <v/>
      </c>
    </row>
    <row r="4879">
      <c r="A4879">
        <f>TRIM(BASE_EQUIPOS!N4879)</f>
        <v/>
      </c>
      <c r="B4879">
        <f>BASE_EQUIPOS!A4879</f>
        <v/>
      </c>
      <c r="C4879">
        <f>BASE_EQUIPOS!B4879</f>
        <v/>
      </c>
      <c r="D4879">
        <f>BASE_EQUIPOS!D4879</f>
        <v/>
      </c>
      <c r="E4879">
        <f>BASE_EQUIPOS!G4879</f>
        <v/>
      </c>
      <c r="F4879">
        <f>BASE_EQUIPOS!H4879</f>
        <v/>
      </c>
      <c r="G4879">
        <f>BASE_EQUIPOS!M4879</f>
        <v/>
      </c>
    </row>
    <row r="4880">
      <c r="A4880">
        <f>TRIM(BASE_EQUIPOS!N4880)</f>
        <v/>
      </c>
      <c r="B4880">
        <f>BASE_EQUIPOS!A4880</f>
        <v/>
      </c>
      <c r="C4880">
        <f>BASE_EQUIPOS!B4880</f>
        <v/>
      </c>
      <c r="D4880">
        <f>BASE_EQUIPOS!D4880</f>
        <v/>
      </c>
      <c r="E4880">
        <f>BASE_EQUIPOS!G4880</f>
        <v/>
      </c>
      <c r="F4880">
        <f>BASE_EQUIPOS!H4880</f>
        <v/>
      </c>
      <c r="G4880">
        <f>BASE_EQUIPOS!M4880</f>
        <v/>
      </c>
    </row>
    <row r="4881">
      <c r="A4881">
        <f>TRIM(BASE_EQUIPOS!N4881)</f>
        <v/>
      </c>
      <c r="B4881">
        <f>BASE_EQUIPOS!A4881</f>
        <v/>
      </c>
      <c r="C4881">
        <f>BASE_EQUIPOS!B4881</f>
        <v/>
      </c>
      <c r="D4881">
        <f>BASE_EQUIPOS!D4881</f>
        <v/>
      </c>
      <c r="E4881">
        <f>BASE_EQUIPOS!G4881</f>
        <v/>
      </c>
      <c r="F4881">
        <f>BASE_EQUIPOS!H4881</f>
        <v/>
      </c>
      <c r="G4881">
        <f>BASE_EQUIPOS!M4881</f>
        <v/>
      </c>
    </row>
    <row r="4882">
      <c r="A4882">
        <f>TRIM(BASE_EQUIPOS!N4882)</f>
        <v/>
      </c>
      <c r="B4882">
        <f>BASE_EQUIPOS!A4882</f>
        <v/>
      </c>
      <c r="C4882">
        <f>BASE_EQUIPOS!B4882</f>
        <v/>
      </c>
      <c r="D4882">
        <f>BASE_EQUIPOS!D4882</f>
        <v/>
      </c>
      <c r="E4882">
        <f>BASE_EQUIPOS!G4882</f>
        <v/>
      </c>
      <c r="F4882">
        <f>BASE_EQUIPOS!H4882</f>
        <v/>
      </c>
      <c r="G4882">
        <f>BASE_EQUIPOS!M4882</f>
        <v/>
      </c>
    </row>
    <row r="4883">
      <c r="A4883">
        <f>TRIM(BASE_EQUIPOS!N4883)</f>
        <v/>
      </c>
      <c r="B4883">
        <f>BASE_EQUIPOS!A4883</f>
        <v/>
      </c>
      <c r="C4883">
        <f>BASE_EQUIPOS!B4883</f>
        <v/>
      </c>
      <c r="D4883">
        <f>BASE_EQUIPOS!D4883</f>
        <v/>
      </c>
      <c r="E4883">
        <f>BASE_EQUIPOS!G4883</f>
        <v/>
      </c>
      <c r="F4883">
        <f>BASE_EQUIPOS!H4883</f>
        <v/>
      </c>
      <c r="G4883">
        <f>BASE_EQUIPOS!M4883</f>
        <v/>
      </c>
    </row>
    <row r="4884">
      <c r="A4884">
        <f>TRIM(BASE_EQUIPOS!N4884)</f>
        <v/>
      </c>
      <c r="B4884">
        <f>BASE_EQUIPOS!A4884</f>
        <v/>
      </c>
      <c r="C4884">
        <f>BASE_EQUIPOS!B4884</f>
        <v/>
      </c>
      <c r="D4884">
        <f>BASE_EQUIPOS!D4884</f>
        <v/>
      </c>
      <c r="E4884">
        <f>BASE_EQUIPOS!G4884</f>
        <v/>
      </c>
      <c r="F4884">
        <f>BASE_EQUIPOS!H4884</f>
        <v/>
      </c>
      <c r="G4884">
        <f>BASE_EQUIPOS!M4884</f>
        <v/>
      </c>
    </row>
    <row r="4885">
      <c r="A4885">
        <f>TRIM(BASE_EQUIPOS!N4885)</f>
        <v/>
      </c>
      <c r="B4885">
        <f>BASE_EQUIPOS!A4885</f>
        <v/>
      </c>
      <c r="C4885">
        <f>BASE_EQUIPOS!B4885</f>
        <v/>
      </c>
      <c r="D4885">
        <f>BASE_EQUIPOS!D4885</f>
        <v/>
      </c>
      <c r="E4885">
        <f>BASE_EQUIPOS!G4885</f>
        <v/>
      </c>
      <c r="F4885">
        <f>BASE_EQUIPOS!H4885</f>
        <v/>
      </c>
      <c r="G4885">
        <f>BASE_EQUIPOS!M4885</f>
        <v/>
      </c>
    </row>
    <row r="4886">
      <c r="A4886">
        <f>TRIM(BASE_EQUIPOS!N4886)</f>
        <v/>
      </c>
      <c r="B4886">
        <f>BASE_EQUIPOS!A4886</f>
        <v/>
      </c>
      <c r="C4886">
        <f>BASE_EQUIPOS!B4886</f>
        <v/>
      </c>
      <c r="D4886">
        <f>BASE_EQUIPOS!D4886</f>
        <v/>
      </c>
      <c r="E4886">
        <f>BASE_EQUIPOS!G4886</f>
        <v/>
      </c>
      <c r="F4886">
        <f>BASE_EQUIPOS!H4886</f>
        <v/>
      </c>
      <c r="G4886">
        <f>BASE_EQUIPOS!M4886</f>
        <v/>
      </c>
    </row>
    <row r="4887">
      <c r="A4887">
        <f>TRIM(BASE_EQUIPOS!N4887)</f>
        <v/>
      </c>
      <c r="B4887">
        <f>BASE_EQUIPOS!A4887</f>
        <v/>
      </c>
      <c r="C4887">
        <f>BASE_EQUIPOS!B4887</f>
        <v/>
      </c>
      <c r="D4887">
        <f>BASE_EQUIPOS!D4887</f>
        <v/>
      </c>
      <c r="E4887">
        <f>BASE_EQUIPOS!G4887</f>
        <v/>
      </c>
      <c r="F4887">
        <f>BASE_EQUIPOS!H4887</f>
        <v/>
      </c>
      <c r="G4887">
        <f>BASE_EQUIPOS!M4887</f>
        <v/>
      </c>
    </row>
    <row r="4888">
      <c r="A4888">
        <f>TRIM(BASE_EQUIPOS!N4888)</f>
        <v/>
      </c>
      <c r="B4888">
        <f>BASE_EQUIPOS!A4888</f>
        <v/>
      </c>
      <c r="C4888">
        <f>BASE_EQUIPOS!B4888</f>
        <v/>
      </c>
      <c r="D4888">
        <f>BASE_EQUIPOS!D4888</f>
        <v/>
      </c>
      <c r="E4888">
        <f>BASE_EQUIPOS!G4888</f>
        <v/>
      </c>
      <c r="F4888">
        <f>BASE_EQUIPOS!H4888</f>
        <v/>
      </c>
      <c r="G4888">
        <f>BASE_EQUIPOS!M4888</f>
        <v/>
      </c>
    </row>
    <row r="4889">
      <c r="A4889">
        <f>TRIM(BASE_EQUIPOS!N4889)</f>
        <v/>
      </c>
      <c r="B4889">
        <f>BASE_EQUIPOS!A4889</f>
        <v/>
      </c>
      <c r="C4889">
        <f>BASE_EQUIPOS!B4889</f>
        <v/>
      </c>
      <c r="D4889">
        <f>BASE_EQUIPOS!D4889</f>
        <v/>
      </c>
      <c r="E4889">
        <f>BASE_EQUIPOS!G4889</f>
        <v/>
      </c>
      <c r="F4889">
        <f>BASE_EQUIPOS!H4889</f>
        <v/>
      </c>
      <c r="G4889">
        <f>BASE_EQUIPOS!M4889</f>
        <v/>
      </c>
    </row>
    <row r="4890">
      <c r="A4890">
        <f>TRIM(BASE_EQUIPOS!N4890)</f>
        <v/>
      </c>
      <c r="B4890">
        <f>BASE_EQUIPOS!A4890</f>
        <v/>
      </c>
      <c r="C4890">
        <f>BASE_EQUIPOS!B4890</f>
        <v/>
      </c>
      <c r="D4890">
        <f>BASE_EQUIPOS!D4890</f>
        <v/>
      </c>
      <c r="E4890">
        <f>BASE_EQUIPOS!G4890</f>
        <v/>
      </c>
      <c r="F4890">
        <f>BASE_EQUIPOS!H4890</f>
        <v/>
      </c>
      <c r="G4890">
        <f>BASE_EQUIPOS!M4890</f>
        <v/>
      </c>
    </row>
    <row r="4891">
      <c r="A4891">
        <f>TRIM(BASE_EQUIPOS!N4891)</f>
        <v/>
      </c>
      <c r="B4891">
        <f>BASE_EQUIPOS!A4891</f>
        <v/>
      </c>
      <c r="C4891">
        <f>BASE_EQUIPOS!B4891</f>
        <v/>
      </c>
      <c r="D4891">
        <f>BASE_EQUIPOS!D4891</f>
        <v/>
      </c>
      <c r="E4891">
        <f>BASE_EQUIPOS!G4891</f>
        <v/>
      </c>
      <c r="F4891">
        <f>BASE_EQUIPOS!H4891</f>
        <v/>
      </c>
      <c r="G4891">
        <f>BASE_EQUIPOS!M4891</f>
        <v/>
      </c>
    </row>
    <row r="4892">
      <c r="A4892">
        <f>TRIM(BASE_EQUIPOS!N4892)</f>
        <v/>
      </c>
      <c r="B4892">
        <f>BASE_EQUIPOS!A4892</f>
        <v/>
      </c>
      <c r="C4892">
        <f>BASE_EQUIPOS!B4892</f>
        <v/>
      </c>
      <c r="D4892">
        <f>BASE_EQUIPOS!D4892</f>
        <v/>
      </c>
      <c r="E4892">
        <f>BASE_EQUIPOS!G4892</f>
        <v/>
      </c>
      <c r="F4892">
        <f>BASE_EQUIPOS!H4892</f>
        <v/>
      </c>
      <c r="G4892">
        <f>BASE_EQUIPOS!M4892</f>
        <v/>
      </c>
    </row>
    <row r="4893">
      <c r="A4893">
        <f>TRIM(BASE_EQUIPOS!N4893)</f>
        <v/>
      </c>
      <c r="B4893">
        <f>BASE_EQUIPOS!A4893</f>
        <v/>
      </c>
      <c r="C4893">
        <f>BASE_EQUIPOS!B4893</f>
        <v/>
      </c>
      <c r="D4893">
        <f>BASE_EQUIPOS!D4893</f>
        <v/>
      </c>
      <c r="E4893">
        <f>BASE_EQUIPOS!G4893</f>
        <v/>
      </c>
      <c r="F4893">
        <f>BASE_EQUIPOS!H4893</f>
        <v/>
      </c>
      <c r="G4893">
        <f>BASE_EQUIPOS!M4893</f>
        <v/>
      </c>
    </row>
    <row r="4894">
      <c r="A4894">
        <f>TRIM(BASE_EQUIPOS!N4894)</f>
        <v/>
      </c>
      <c r="B4894">
        <f>BASE_EQUIPOS!A4894</f>
        <v/>
      </c>
      <c r="C4894">
        <f>BASE_EQUIPOS!B4894</f>
        <v/>
      </c>
      <c r="D4894">
        <f>BASE_EQUIPOS!D4894</f>
        <v/>
      </c>
      <c r="E4894">
        <f>BASE_EQUIPOS!G4894</f>
        <v/>
      </c>
      <c r="F4894">
        <f>BASE_EQUIPOS!H4894</f>
        <v/>
      </c>
      <c r="G4894">
        <f>BASE_EQUIPOS!M4894</f>
        <v/>
      </c>
    </row>
    <row r="4895">
      <c r="A4895">
        <f>TRIM(BASE_EQUIPOS!N4895)</f>
        <v/>
      </c>
      <c r="B4895">
        <f>BASE_EQUIPOS!A4895</f>
        <v/>
      </c>
      <c r="C4895">
        <f>BASE_EQUIPOS!B4895</f>
        <v/>
      </c>
      <c r="D4895">
        <f>BASE_EQUIPOS!D4895</f>
        <v/>
      </c>
      <c r="E4895">
        <f>BASE_EQUIPOS!G4895</f>
        <v/>
      </c>
      <c r="F4895">
        <f>BASE_EQUIPOS!H4895</f>
        <v/>
      </c>
      <c r="G4895">
        <f>BASE_EQUIPOS!M4895</f>
        <v/>
      </c>
    </row>
    <row r="4896">
      <c r="A4896">
        <f>TRIM(BASE_EQUIPOS!N4896)</f>
        <v/>
      </c>
      <c r="B4896">
        <f>BASE_EQUIPOS!A4896</f>
        <v/>
      </c>
      <c r="C4896">
        <f>BASE_EQUIPOS!B4896</f>
        <v/>
      </c>
      <c r="D4896">
        <f>BASE_EQUIPOS!D4896</f>
        <v/>
      </c>
      <c r="E4896">
        <f>BASE_EQUIPOS!G4896</f>
        <v/>
      </c>
      <c r="F4896">
        <f>BASE_EQUIPOS!H4896</f>
        <v/>
      </c>
      <c r="G4896">
        <f>BASE_EQUIPOS!M4896</f>
        <v/>
      </c>
    </row>
    <row r="4897">
      <c r="A4897">
        <f>TRIM(BASE_EQUIPOS!N4897)</f>
        <v/>
      </c>
      <c r="B4897">
        <f>BASE_EQUIPOS!A4897</f>
        <v/>
      </c>
      <c r="C4897">
        <f>BASE_EQUIPOS!B4897</f>
        <v/>
      </c>
      <c r="D4897">
        <f>BASE_EQUIPOS!D4897</f>
        <v/>
      </c>
      <c r="E4897">
        <f>BASE_EQUIPOS!G4897</f>
        <v/>
      </c>
      <c r="F4897">
        <f>BASE_EQUIPOS!H4897</f>
        <v/>
      </c>
      <c r="G4897">
        <f>BASE_EQUIPOS!M4897</f>
        <v/>
      </c>
    </row>
    <row r="4898">
      <c r="A4898">
        <f>TRIM(BASE_EQUIPOS!N4898)</f>
        <v/>
      </c>
      <c r="B4898">
        <f>BASE_EQUIPOS!A4898</f>
        <v/>
      </c>
      <c r="C4898">
        <f>BASE_EQUIPOS!B4898</f>
        <v/>
      </c>
      <c r="D4898">
        <f>BASE_EQUIPOS!D4898</f>
        <v/>
      </c>
      <c r="E4898">
        <f>BASE_EQUIPOS!G4898</f>
        <v/>
      </c>
      <c r="F4898">
        <f>BASE_EQUIPOS!H4898</f>
        <v/>
      </c>
      <c r="G4898">
        <f>BASE_EQUIPOS!M4898</f>
        <v/>
      </c>
    </row>
    <row r="4899">
      <c r="A4899">
        <f>TRIM(BASE_EQUIPOS!N4899)</f>
        <v/>
      </c>
      <c r="B4899">
        <f>BASE_EQUIPOS!A4899</f>
        <v/>
      </c>
      <c r="C4899">
        <f>BASE_EQUIPOS!B4899</f>
        <v/>
      </c>
      <c r="D4899">
        <f>BASE_EQUIPOS!D4899</f>
        <v/>
      </c>
      <c r="E4899">
        <f>BASE_EQUIPOS!G4899</f>
        <v/>
      </c>
      <c r="F4899">
        <f>BASE_EQUIPOS!H4899</f>
        <v/>
      </c>
      <c r="G4899">
        <f>BASE_EQUIPOS!M4899</f>
        <v/>
      </c>
    </row>
    <row r="4900">
      <c r="A4900">
        <f>TRIM(BASE_EQUIPOS!N4900)</f>
        <v/>
      </c>
      <c r="B4900">
        <f>BASE_EQUIPOS!A4900</f>
        <v/>
      </c>
      <c r="C4900">
        <f>BASE_EQUIPOS!B4900</f>
        <v/>
      </c>
      <c r="D4900">
        <f>BASE_EQUIPOS!D4900</f>
        <v/>
      </c>
      <c r="E4900">
        <f>BASE_EQUIPOS!G4900</f>
        <v/>
      </c>
      <c r="F4900">
        <f>BASE_EQUIPOS!H4900</f>
        <v/>
      </c>
      <c r="G4900">
        <f>BASE_EQUIPOS!M4900</f>
        <v/>
      </c>
    </row>
    <row r="4901">
      <c r="A4901">
        <f>TRIM(BASE_EQUIPOS!N4901)</f>
        <v/>
      </c>
      <c r="B4901">
        <f>BASE_EQUIPOS!A4901</f>
        <v/>
      </c>
      <c r="C4901">
        <f>BASE_EQUIPOS!B4901</f>
        <v/>
      </c>
      <c r="D4901">
        <f>BASE_EQUIPOS!D4901</f>
        <v/>
      </c>
      <c r="E4901">
        <f>BASE_EQUIPOS!G4901</f>
        <v/>
      </c>
      <c r="F4901">
        <f>BASE_EQUIPOS!H4901</f>
        <v/>
      </c>
      <c r="G4901">
        <f>BASE_EQUIPOS!M4901</f>
        <v/>
      </c>
    </row>
    <row r="4902">
      <c r="A4902">
        <f>TRIM(BASE_EQUIPOS!N4902)</f>
        <v/>
      </c>
      <c r="B4902">
        <f>BASE_EQUIPOS!A4902</f>
        <v/>
      </c>
      <c r="C4902">
        <f>BASE_EQUIPOS!B4902</f>
        <v/>
      </c>
      <c r="D4902">
        <f>BASE_EQUIPOS!D4902</f>
        <v/>
      </c>
      <c r="E4902">
        <f>BASE_EQUIPOS!G4902</f>
        <v/>
      </c>
      <c r="F4902">
        <f>BASE_EQUIPOS!H4902</f>
        <v/>
      </c>
      <c r="G4902">
        <f>BASE_EQUIPOS!M4902</f>
        <v/>
      </c>
    </row>
    <row r="4903">
      <c r="A4903">
        <f>TRIM(BASE_EQUIPOS!N4903)</f>
        <v/>
      </c>
      <c r="B4903">
        <f>BASE_EQUIPOS!A4903</f>
        <v/>
      </c>
      <c r="C4903">
        <f>BASE_EQUIPOS!B4903</f>
        <v/>
      </c>
      <c r="D4903">
        <f>BASE_EQUIPOS!D4903</f>
        <v/>
      </c>
      <c r="E4903">
        <f>BASE_EQUIPOS!G4903</f>
        <v/>
      </c>
      <c r="F4903">
        <f>BASE_EQUIPOS!H4903</f>
        <v/>
      </c>
      <c r="G4903">
        <f>BASE_EQUIPOS!M4903</f>
        <v/>
      </c>
    </row>
    <row r="4904">
      <c r="A4904">
        <f>TRIM(BASE_EQUIPOS!N4904)</f>
        <v/>
      </c>
      <c r="B4904">
        <f>BASE_EQUIPOS!A4904</f>
        <v/>
      </c>
      <c r="C4904">
        <f>BASE_EQUIPOS!B4904</f>
        <v/>
      </c>
      <c r="D4904">
        <f>BASE_EQUIPOS!D4904</f>
        <v/>
      </c>
      <c r="E4904">
        <f>BASE_EQUIPOS!G4904</f>
        <v/>
      </c>
      <c r="F4904">
        <f>BASE_EQUIPOS!H4904</f>
        <v/>
      </c>
      <c r="G4904">
        <f>BASE_EQUIPOS!M4904</f>
        <v/>
      </c>
    </row>
    <row r="4905">
      <c r="A4905">
        <f>TRIM(BASE_EQUIPOS!N4905)</f>
        <v/>
      </c>
      <c r="B4905">
        <f>BASE_EQUIPOS!A4905</f>
        <v/>
      </c>
      <c r="C4905">
        <f>BASE_EQUIPOS!B4905</f>
        <v/>
      </c>
      <c r="D4905">
        <f>BASE_EQUIPOS!D4905</f>
        <v/>
      </c>
      <c r="E4905">
        <f>BASE_EQUIPOS!G4905</f>
        <v/>
      </c>
      <c r="F4905">
        <f>BASE_EQUIPOS!H4905</f>
        <v/>
      </c>
      <c r="G4905">
        <f>BASE_EQUIPOS!M4905</f>
        <v/>
      </c>
    </row>
    <row r="4906">
      <c r="A4906">
        <f>TRIM(BASE_EQUIPOS!N4906)</f>
        <v/>
      </c>
      <c r="B4906">
        <f>BASE_EQUIPOS!A4906</f>
        <v/>
      </c>
      <c r="C4906">
        <f>BASE_EQUIPOS!B4906</f>
        <v/>
      </c>
      <c r="D4906">
        <f>BASE_EQUIPOS!D4906</f>
        <v/>
      </c>
      <c r="E4906">
        <f>BASE_EQUIPOS!G4906</f>
        <v/>
      </c>
      <c r="F4906">
        <f>BASE_EQUIPOS!H4906</f>
        <v/>
      </c>
      <c r="G4906">
        <f>BASE_EQUIPOS!M4906</f>
        <v/>
      </c>
    </row>
    <row r="4907">
      <c r="A4907">
        <f>TRIM(BASE_EQUIPOS!N4907)</f>
        <v/>
      </c>
      <c r="B4907">
        <f>BASE_EQUIPOS!A4907</f>
        <v/>
      </c>
      <c r="C4907">
        <f>BASE_EQUIPOS!B4907</f>
        <v/>
      </c>
      <c r="D4907">
        <f>BASE_EQUIPOS!D4907</f>
        <v/>
      </c>
      <c r="E4907">
        <f>BASE_EQUIPOS!G4907</f>
        <v/>
      </c>
      <c r="F4907">
        <f>BASE_EQUIPOS!H4907</f>
        <v/>
      </c>
      <c r="G4907">
        <f>BASE_EQUIPOS!M4907</f>
        <v/>
      </c>
    </row>
    <row r="4908">
      <c r="A4908">
        <f>TRIM(BASE_EQUIPOS!N4908)</f>
        <v/>
      </c>
      <c r="B4908">
        <f>BASE_EQUIPOS!A4908</f>
        <v/>
      </c>
      <c r="C4908">
        <f>BASE_EQUIPOS!B4908</f>
        <v/>
      </c>
      <c r="D4908">
        <f>BASE_EQUIPOS!D4908</f>
        <v/>
      </c>
      <c r="E4908">
        <f>BASE_EQUIPOS!G4908</f>
        <v/>
      </c>
      <c r="F4908">
        <f>BASE_EQUIPOS!H4908</f>
        <v/>
      </c>
      <c r="G4908">
        <f>BASE_EQUIPOS!M4908</f>
        <v/>
      </c>
    </row>
    <row r="4909">
      <c r="A4909">
        <f>TRIM(BASE_EQUIPOS!N4909)</f>
        <v/>
      </c>
      <c r="B4909">
        <f>BASE_EQUIPOS!A4909</f>
        <v/>
      </c>
      <c r="C4909">
        <f>BASE_EQUIPOS!B4909</f>
        <v/>
      </c>
      <c r="D4909">
        <f>BASE_EQUIPOS!D4909</f>
        <v/>
      </c>
      <c r="E4909">
        <f>BASE_EQUIPOS!G4909</f>
        <v/>
      </c>
      <c r="F4909">
        <f>BASE_EQUIPOS!H4909</f>
        <v/>
      </c>
      <c r="G4909">
        <f>BASE_EQUIPOS!M4909</f>
        <v/>
      </c>
    </row>
    <row r="4910">
      <c r="A4910">
        <f>TRIM(BASE_EQUIPOS!N4910)</f>
        <v/>
      </c>
      <c r="B4910">
        <f>BASE_EQUIPOS!A4910</f>
        <v/>
      </c>
      <c r="C4910">
        <f>BASE_EQUIPOS!B4910</f>
        <v/>
      </c>
      <c r="D4910">
        <f>BASE_EQUIPOS!D4910</f>
        <v/>
      </c>
      <c r="E4910">
        <f>BASE_EQUIPOS!G4910</f>
        <v/>
      </c>
      <c r="F4910">
        <f>BASE_EQUIPOS!H4910</f>
        <v/>
      </c>
      <c r="G4910">
        <f>BASE_EQUIPOS!M4910</f>
        <v/>
      </c>
    </row>
    <row r="4911">
      <c r="A4911">
        <f>TRIM(BASE_EQUIPOS!N4911)</f>
        <v/>
      </c>
      <c r="B4911">
        <f>BASE_EQUIPOS!A4911</f>
        <v/>
      </c>
      <c r="C4911">
        <f>BASE_EQUIPOS!B4911</f>
        <v/>
      </c>
      <c r="D4911">
        <f>BASE_EQUIPOS!D4911</f>
        <v/>
      </c>
      <c r="E4911">
        <f>BASE_EQUIPOS!G4911</f>
        <v/>
      </c>
      <c r="F4911">
        <f>BASE_EQUIPOS!H4911</f>
        <v/>
      </c>
      <c r="G4911">
        <f>BASE_EQUIPOS!M4911</f>
        <v/>
      </c>
    </row>
    <row r="4912">
      <c r="A4912">
        <f>TRIM(BASE_EQUIPOS!N4912)</f>
        <v/>
      </c>
      <c r="B4912">
        <f>BASE_EQUIPOS!A4912</f>
        <v/>
      </c>
      <c r="C4912">
        <f>BASE_EQUIPOS!B4912</f>
        <v/>
      </c>
      <c r="D4912">
        <f>BASE_EQUIPOS!D4912</f>
        <v/>
      </c>
      <c r="E4912">
        <f>BASE_EQUIPOS!G4912</f>
        <v/>
      </c>
      <c r="F4912">
        <f>BASE_EQUIPOS!H4912</f>
        <v/>
      </c>
      <c r="G4912">
        <f>BASE_EQUIPOS!M4912</f>
        <v/>
      </c>
    </row>
    <row r="4913">
      <c r="A4913">
        <f>TRIM(BASE_EQUIPOS!N4913)</f>
        <v/>
      </c>
      <c r="B4913">
        <f>BASE_EQUIPOS!A4913</f>
        <v/>
      </c>
      <c r="C4913">
        <f>BASE_EQUIPOS!B4913</f>
        <v/>
      </c>
      <c r="D4913">
        <f>BASE_EQUIPOS!D4913</f>
        <v/>
      </c>
      <c r="E4913">
        <f>BASE_EQUIPOS!G4913</f>
        <v/>
      </c>
      <c r="F4913">
        <f>BASE_EQUIPOS!H4913</f>
        <v/>
      </c>
      <c r="G4913">
        <f>BASE_EQUIPOS!M4913</f>
        <v/>
      </c>
    </row>
    <row r="4914">
      <c r="A4914">
        <f>TRIM(BASE_EQUIPOS!N4914)</f>
        <v/>
      </c>
      <c r="B4914">
        <f>BASE_EQUIPOS!A4914</f>
        <v/>
      </c>
      <c r="C4914">
        <f>BASE_EQUIPOS!B4914</f>
        <v/>
      </c>
      <c r="D4914">
        <f>BASE_EQUIPOS!D4914</f>
        <v/>
      </c>
      <c r="E4914">
        <f>BASE_EQUIPOS!G4914</f>
        <v/>
      </c>
      <c r="F4914">
        <f>BASE_EQUIPOS!H4914</f>
        <v/>
      </c>
      <c r="G4914">
        <f>BASE_EQUIPOS!M4914</f>
        <v/>
      </c>
    </row>
    <row r="4915">
      <c r="A4915">
        <f>TRIM(BASE_EQUIPOS!N4915)</f>
        <v/>
      </c>
      <c r="B4915">
        <f>BASE_EQUIPOS!A4915</f>
        <v/>
      </c>
      <c r="C4915">
        <f>BASE_EQUIPOS!B4915</f>
        <v/>
      </c>
      <c r="D4915">
        <f>BASE_EQUIPOS!D4915</f>
        <v/>
      </c>
      <c r="E4915">
        <f>BASE_EQUIPOS!G4915</f>
        <v/>
      </c>
      <c r="F4915">
        <f>BASE_EQUIPOS!H4915</f>
        <v/>
      </c>
      <c r="G4915">
        <f>BASE_EQUIPOS!M4915</f>
        <v/>
      </c>
    </row>
    <row r="4916">
      <c r="A4916">
        <f>TRIM(BASE_EQUIPOS!N4916)</f>
        <v/>
      </c>
      <c r="B4916">
        <f>BASE_EQUIPOS!A4916</f>
        <v/>
      </c>
      <c r="C4916">
        <f>BASE_EQUIPOS!B4916</f>
        <v/>
      </c>
      <c r="D4916">
        <f>BASE_EQUIPOS!D4916</f>
        <v/>
      </c>
      <c r="E4916">
        <f>BASE_EQUIPOS!G4916</f>
        <v/>
      </c>
      <c r="F4916">
        <f>BASE_EQUIPOS!H4916</f>
        <v/>
      </c>
      <c r="G4916">
        <f>BASE_EQUIPOS!M4916</f>
        <v/>
      </c>
    </row>
    <row r="4917">
      <c r="A4917">
        <f>TRIM(BASE_EQUIPOS!N4917)</f>
        <v/>
      </c>
      <c r="B4917">
        <f>BASE_EQUIPOS!A4917</f>
        <v/>
      </c>
      <c r="C4917">
        <f>BASE_EQUIPOS!B4917</f>
        <v/>
      </c>
      <c r="D4917">
        <f>BASE_EQUIPOS!D4917</f>
        <v/>
      </c>
      <c r="E4917">
        <f>BASE_EQUIPOS!G4917</f>
        <v/>
      </c>
      <c r="F4917">
        <f>BASE_EQUIPOS!H4917</f>
        <v/>
      </c>
      <c r="G4917">
        <f>BASE_EQUIPOS!M4917</f>
        <v/>
      </c>
    </row>
    <row r="4918">
      <c r="A4918">
        <f>TRIM(BASE_EQUIPOS!N4918)</f>
        <v/>
      </c>
      <c r="B4918">
        <f>BASE_EQUIPOS!A4918</f>
        <v/>
      </c>
      <c r="C4918">
        <f>BASE_EQUIPOS!B4918</f>
        <v/>
      </c>
      <c r="D4918">
        <f>BASE_EQUIPOS!D4918</f>
        <v/>
      </c>
      <c r="E4918">
        <f>BASE_EQUIPOS!G4918</f>
        <v/>
      </c>
      <c r="F4918">
        <f>BASE_EQUIPOS!H4918</f>
        <v/>
      </c>
      <c r="G4918">
        <f>BASE_EQUIPOS!M4918</f>
        <v/>
      </c>
    </row>
    <row r="4919">
      <c r="A4919">
        <f>TRIM(BASE_EQUIPOS!N4919)</f>
        <v/>
      </c>
      <c r="B4919">
        <f>BASE_EQUIPOS!A4919</f>
        <v/>
      </c>
      <c r="C4919">
        <f>BASE_EQUIPOS!B4919</f>
        <v/>
      </c>
      <c r="D4919">
        <f>BASE_EQUIPOS!D4919</f>
        <v/>
      </c>
      <c r="E4919">
        <f>BASE_EQUIPOS!G4919</f>
        <v/>
      </c>
      <c r="F4919">
        <f>BASE_EQUIPOS!H4919</f>
        <v/>
      </c>
      <c r="G4919">
        <f>BASE_EQUIPOS!M4919</f>
        <v/>
      </c>
    </row>
    <row r="4920">
      <c r="A4920">
        <f>TRIM(BASE_EQUIPOS!N4920)</f>
        <v/>
      </c>
      <c r="B4920">
        <f>BASE_EQUIPOS!A4920</f>
        <v/>
      </c>
      <c r="C4920">
        <f>BASE_EQUIPOS!B4920</f>
        <v/>
      </c>
      <c r="D4920">
        <f>BASE_EQUIPOS!D4920</f>
        <v/>
      </c>
      <c r="E4920">
        <f>BASE_EQUIPOS!G4920</f>
        <v/>
      </c>
      <c r="F4920">
        <f>BASE_EQUIPOS!H4920</f>
        <v/>
      </c>
      <c r="G4920">
        <f>BASE_EQUIPOS!M4920</f>
        <v/>
      </c>
    </row>
    <row r="4921">
      <c r="A4921">
        <f>TRIM(BASE_EQUIPOS!N4921)</f>
        <v/>
      </c>
      <c r="B4921">
        <f>BASE_EQUIPOS!A4921</f>
        <v/>
      </c>
      <c r="C4921">
        <f>BASE_EQUIPOS!B4921</f>
        <v/>
      </c>
      <c r="D4921">
        <f>BASE_EQUIPOS!D4921</f>
        <v/>
      </c>
      <c r="E4921">
        <f>BASE_EQUIPOS!G4921</f>
        <v/>
      </c>
      <c r="F4921">
        <f>BASE_EQUIPOS!H4921</f>
        <v/>
      </c>
      <c r="G4921">
        <f>BASE_EQUIPOS!M4921</f>
        <v/>
      </c>
    </row>
    <row r="4922">
      <c r="A4922">
        <f>TRIM(BASE_EQUIPOS!N4922)</f>
        <v/>
      </c>
      <c r="B4922">
        <f>BASE_EQUIPOS!A4922</f>
        <v/>
      </c>
      <c r="C4922">
        <f>BASE_EQUIPOS!B4922</f>
        <v/>
      </c>
      <c r="D4922">
        <f>BASE_EQUIPOS!D4922</f>
        <v/>
      </c>
      <c r="E4922">
        <f>BASE_EQUIPOS!G4922</f>
        <v/>
      </c>
      <c r="F4922">
        <f>BASE_EQUIPOS!H4922</f>
        <v/>
      </c>
      <c r="G4922">
        <f>BASE_EQUIPOS!M4922</f>
        <v/>
      </c>
    </row>
    <row r="4923">
      <c r="A4923">
        <f>TRIM(BASE_EQUIPOS!N4923)</f>
        <v/>
      </c>
      <c r="B4923">
        <f>BASE_EQUIPOS!A4923</f>
        <v/>
      </c>
      <c r="C4923">
        <f>BASE_EQUIPOS!B4923</f>
        <v/>
      </c>
      <c r="D4923">
        <f>BASE_EQUIPOS!D4923</f>
        <v/>
      </c>
      <c r="E4923">
        <f>BASE_EQUIPOS!G4923</f>
        <v/>
      </c>
      <c r="F4923">
        <f>BASE_EQUIPOS!H4923</f>
        <v/>
      </c>
      <c r="G4923">
        <f>BASE_EQUIPOS!M4923</f>
        <v/>
      </c>
    </row>
    <row r="4924">
      <c r="A4924">
        <f>TRIM(BASE_EQUIPOS!N4924)</f>
        <v/>
      </c>
      <c r="B4924">
        <f>BASE_EQUIPOS!A4924</f>
        <v/>
      </c>
      <c r="C4924">
        <f>BASE_EQUIPOS!B4924</f>
        <v/>
      </c>
      <c r="D4924">
        <f>BASE_EQUIPOS!D4924</f>
        <v/>
      </c>
      <c r="E4924">
        <f>BASE_EQUIPOS!G4924</f>
        <v/>
      </c>
      <c r="F4924">
        <f>BASE_EQUIPOS!H4924</f>
        <v/>
      </c>
      <c r="G4924">
        <f>BASE_EQUIPOS!M4924</f>
        <v/>
      </c>
    </row>
    <row r="4925">
      <c r="A4925">
        <f>TRIM(BASE_EQUIPOS!N4925)</f>
        <v/>
      </c>
      <c r="B4925">
        <f>BASE_EQUIPOS!A4925</f>
        <v/>
      </c>
      <c r="C4925">
        <f>BASE_EQUIPOS!B4925</f>
        <v/>
      </c>
      <c r="D4925">
        <f>BASE_EQUIPOS!D4925</f>
        <v/>
      </c>
      <c r="E4925">
        <f>BASE_EQUIPOS!G4925</f>
        <v/>
      </c>
      <c r="F4925">
        <f>BASE_EQUIPOS!H4925</f>
        <v/>
      </c>
      <c r="G4925">
        <f>BASE_EQUIPOS!M4925</f>
        <v/>
      </c>
    </row>
    <row r="4926">
      <c r="A4926">
        <f>TRIM(BASE_EQUIPOS!N4926)</f>
        <v/>
      </c>
      <c r="B4926">
        <f>BASE_EQUIPOS!A4926</f>
        <v/>
      </c>
      <c r="C4926">
        <f>BASE_EQUIPOS!B4926</f>
        <v/>
      </c>
      <c r="D4926">
        <f>BASE_EQUIPOS!D4926</f>
        <v/>
      </c>
      <c r="E4926">
        <f>BASE_EQUIPOS!G4926</f>
        <v/>
      </c>
      <c r="F4926">
        <f>BASE_EQUIPOS!H4926</f>
        <v/>
      </c>
      <c r="G4926">
        <f>BASE_EQUIPOS!M4926</f>
        <v/>
      </c>
    </row>
    <row r="4927">
      <c r="A4927">
        <f>TRIM(BASE_EQUIPOS!N4927)</f>
        <v/>
      </c>
      <c r="B4927">
        <f>BASE_EQUIPOS!A4927</f>
        <v/>
      </c>
      <c r="C4927">
        <f>BASE_EQUIPOS!B4927</f>
        <v/>
      </c>
      <c r="D4927">
        <f>BASE_EQUIPOS!D4927</f>
        <v/>
      </c>
      <c r="E4927">
        <f>BASE_EQUIPOS!G4927</f>
        <v/>
      </c>
      <c r="F4927">
        <f>BASE_EQUIPOS!H4927</f>
        <v/>
      </c>
      <c r="G4927">
        <f>BASE_EQUIPOS!M4927</f>
        <v/>
      </c>
    </row>
    <row r="4928">
      <c r="A4928">
        <f>TRIM(BASE_EQUIPOS!N4928)</f>
        <v/>
      </c>
      <c r="B4928">
        <f>BASE_EQUIPOS!A4928</f>
        <v/>
      </c>
      <c r="C4928">
        <f>BASE_EQUIPOS!B4928</f>
        <v/>
      </c>
      <c r="D4928">
        <f>BASE_EQUIPOS!D4928</f>
        <v/>
      </c>
      <c r="E4928">
        <f>BASE_EQUIPOS!G4928</f>
        <v/>
      </c>
      <c r="F4928">
        <f>BASE_EQUIPOS!H4928</f>
        <v/>
      </c>
      <c r="G4928">
        <f>BASE_EQUIPOS!M4928</f>
        <v/>
      </c>
    </row>
    <row r="4929">
      <c r="A4929">
        <f>TRIM(BASE_EQUIPOS!N4929)</f>
        <v/>
      </c>
      <c r="B4929">
        <f>BASE_EQUIPOS!A4929</f>
        <v/>
      </c>
      <c r="C4929">
        <f>BASE_EQUIPOS!B4929</f>
        <v/>
      </c>
      <c r="D4929">
        <f>BASE_EQUIPOS!D4929</f>
        <v/>
      </c>
      <c r="E4929">
        <f>BASE_EQUIPOS!G4929</f>
        <v/>
      </c>
      <c r="F4929">
        <f>BASE_EQUIPOS!H4929</f>
        <v/>
      </c>
      <c r="G4929">
        <f>BASE_EQUIPOS!M4929</f>
        <v/>
      </c>
    </row>
    <row r="4930">
      <c r="A4930">
        <f>TRIM(BASE_EQUIPOS!N4930)</f>
        <v/>
      </c>
      <c r="B4930">
        <f>BASE_EQUIPOS!A4930</f>
        <v/>
      </c>
      <c r="C4930">
        <f>BASE_EQUIPOS!B4930</f>
        <v/>
      </c>
      <c r="D4930">
        <f>BASE_EQUIPOS!D4930</f>
        <v/>
      </c>
      <c r="E4930">
        <f>BASE_EQUIPOS!G4930</f>
        <v/>
      </c>
      <c r="F4930">
        <f>BASE_EQUIPOS!H4930</f>
        <v/>
      </c>
      <c r="G4930">
        <f>BASE_EQUIPOS!M4930</f>
        <v/>
      </c>
    </row>
    <row r="4931">
      <c r="A4931">
        <f>TRIM(BASE_EQUIPOS!N4931)</f>
        <v/>
      </c>
      <c r="B4931">
        <f>BASE_EQUIPOS!A4931</f>
        <v/>
      </c>
      <c r="C4931">
        <f>BASE_EQUIPOS!B4931</f>
        <v/>
      </c>
      <c r="D4931">
        <f>BASE_EQUIPOS!D4931</f>
        <v/>
      </c>
      <c r="E4931">
        <f>BASE_EQUIPOS!G4931</f>
        <v/>
      </c>
      <c r="F4931">
        <f>BASE_EQUIPOS!H4931</f>
        <v/>
      </c>
      <c r="G4931">
        <f>BASE_EQUIPOS!M4931</f>
        <v/>
      </c>
    </row>
    <row r="4932">
      <c r="A4932">
        <f>TRIM(BASE_EQUIPOS!N4932)</f>
        <v/>
      </c>
      <c r="B4932">
        <f>BASE_EQUIPOS!A4932</f>
        <v/>
      </c>
      <c r="C4932">
        <f>BASE_EQUIPOS!B4932</f>
        <v/>
      </c>
      <c r="D4932">
        <f>BASE_EQUIPOS!D4932</f>
        <v/>
      </c>
      <c r="E4932">
        <f>BASE_EQUIPOS!G4932</f>
        <v/>
      </c>
      <c r="F4932">
        <f>BASE_EQUIPOS!H4932</f>
        <v/>
      </c>
      <c r="G4932">
        <f>BASE_EQUIPOS!M4932</f>
        <v/>
      </c>
    </row>
    <row r="4933">
      <c r="A4933">
        <f>TRIM(BASE_EQUIPOS!N4933)</f>
        <v/>
      </c>
      <c r="B4933">
        <f>BASE_EQUIPOS!A4933</f>
        <v/>
      </c>
      <c r="C4933">
        <f>BASE_EQUIPOS!B4933</f>
        <v/>
      </c>
      <c r="D4933">
        <f>BASE_EQUIPOS!D4933</f>
        <v/>
      </c>
      <c r="E4933">
        <f>BASE_EQUIPOS!G4933</f>
        <v/>
      </c>
      <c r="F4933">
        <f>BASE_EQUIPOS!H4933</f>
        <v/>
      </c>
      <c r="G4933">
        <f>BASE_EQUIPOS!M4933</f>
        <v/>
      </c>
    </row>
    <row r="4934">
      <c r="A4934">
        <f>TRIM(BASE_EQUIPOS!N4934)</f>
        <v/>
      </c>
      <c r="B4934">
        <f>BASE_EQUIPOS!A4934</f>
        <v/>
      </c>
      <c r="C4934">
        <f>BASE_EQUIPOS!B4934</f>
        <v/>
      </c>
      <c r="D4934">
        <f>BASE_EQUIPOS!D4934</f>
        <v/>
      </c>
      <c r="E4934">
        <f>BASE_EQUIPOS!G4934</f>
        <v/>
      </c>
      <c r="F4934">
        <f>BASE_EQUIPOS!H4934</f>
        <v/>
      </c>
      <c r="G4934">
        <f>BASE_EQUIPOS!M4934</f>
        <v/>
      </c>
    </row>
    <row r="4935">
      <c r="A4935">
        <f>TRIM(BASE_EQUIPOS!N4935)</f>
        <v/>
      </c>
      <c r="B4935">
        <f>BASE_EQUIPOS!A4935</f>
        <v/>
      </c>
      <c r="C4935">
        <f>BASE_EQUIPOS!B4935</f>
        <v/>
      </c>
      <c r="D4935">
        <f>BASE_EQUIPOS!D4935</f>
        <v/>
      </c>
      <c r="E4935">
        <f>BASE_EQUIPOS!G4935</f>
        <v/>
      </c>
      <c r="F4935">
        <f>BASE_EQUIPOS!H4935</f>
        <v/>
      </c>
      <c r="G4935">
        <f>BASE_EQUIPOS!M4935</f>
        <v/>
      </c>
    </row>
    <row r="4936">
      <c r="A4936">
        <f>TRIM(BASE_EQUIPOS!N4936)</f>
        <v/>
      </c>
      <c r="B4936">
        <f>BASE_EQUIPOS!A4936</f>
        <v/>
      </c>
      <c r="C4936">
        <f>BASE_EQUIPOS!B4936</f>
        <v/>
      </c>
      <c r="D4936">
        <f>BASE_EQUIPOS!D4936</f>
        <v/>
      </c>
      <c r="E4936">
        <f>BASE_EQUIPOS!G4936</f>
        <v/>
      </c>
      <c r="F4936">
        <f>BASE_EQUIPOS!H4936</f>
        <v/>
      </c>
      <c r="G4936">
        <f>BASE_EQUIPOS!M4936</f>
        <v/>
      </c>
    </row>
    <row r="4937">
      <c r="A4937">
        <f>TRIM(BASE_EQUIPOS!N4937)</f>
        <v/>
      </c>
      <c r="B4937">
        <f>BASE_EQUIPOS!A4937</f>
        <v/>
      </c>
      <c r="C4937">
        <f>BASE_EQUIPOS!B4937</f>
        <v/>
      </c>
      <c r="D4937">
        <f>BASE_EQUIPOS!D4937</f>
        <v/>
      </c>
      <c r="E4937">
        <f>BASE_EQUIPOS!G4937</f>
        <v/>
      </c>
      <c r="F4937">
        <f>BASE_EQUIPOS!H4937</f>
        <v/>
      </c>
      <c r="G4937">
        <f>BASE_EQUIPOS!M4937</f>
        <v/>
      </c>
    </row>
    <row r="4938">
      <c r="A4938">
        <f>TRIM(BASE_EQUIPOS!N4938)</f>
        <v/>
      </c>
      <c r="B4938">
        <f>BASE_EQUIPOS!A4938</f>
        <v/>
      </c>
      <c r="C4938">
        <f>BASE_EQUIPOS!B4938</f>
        <v/>
      </c>
      <c r="D4938">
        <f>BASE_EQUIPOS!D4938</f>
        <v/>
      </c>
      <c r="E4938">
        <f>BASE_EQUIPOS!G4938</f>
        <v/>
      </c>
      <c r="F4938">
        <f>BASE_EQUIPOS!H4938</f>
        <v/>
      </c>
      <c r="G4938">
        <f>BASE_EQUIPOS!M4938</f>
        <v/>
      </c>
    </row>
    <row r="4939">
      <c r="A4939">
        <f>TRIM(BASE_EQUIPOS!N4939)</f>
        <v/>
      </c>
      <c r="B4939">
        <f>BASE_EQUIPOS!A4939</f>
        <v/>
      </c>
      <c r="C4939">
        <f>BASE_EQUIPOS!B4939</f>
        <v/>
      </c>
      <c r="D4939">
        <f>BASE_EQUIPOS!D4939</f>
        <v/>
      </c>
      <c r="E4939">
        <f>BASE_EQUIPOS!G4939</f>
        <v/>
      </c>
      <c r="F4939">
        <f>BASE_EQUIPOS!H4939</f>
        <v/>
      </c>
      <c r="G4939">
        <f>BASE_EQUIPOS!M4939</f>
        <v/>
      </c>
    </row>
    <row r="4940">
      <c r="A4940">
        <f>TRIM(BASE_EQUIPOS!N4940)</f>
        <v/>
      </c>
      <c r="B4940">
        <f>BASE_EQUIPOS!A4940</f>
        <v/>
      </c>
      <c r="C4940">
        <f>BASE_EQUIPOS!B4940</f>
        <v/>
      </c>
      <c r="D4940">
        <f>BASE_EQUIPOS!D4940</f>
        <v/>
      </c>
      <c r="E4940">
        <f>BASE_EQUIPOS!G4940</f>
        <v/>
      </c>
      <c r="F4940">
        <f>BASE_EQUIPOS!H4940</f>
        <v/>
      </c>
      <c r="G4940">
        <f>BASE_EQUIPOS!M4940</f>
        <v/>
      </c>
    </row>
    <row r="4941">
      <c r="A4941">
        <f>TRIM(BASE_EQUIPOS!N4941)</f>
        <v/>
      </c>
      <c r="B4941">
        <f>BASE_EQUIPOS!A4941</f>
        <v/>
      </c>
      <c r="C4941">
        <f>BASE_EQUIPOS!B4941</f>
        <v/>
      </c>
      <c r="D4941">
        <f>BASE_EQUIPOS!D4941</f>
        <v/>
      </c>
      <c r="E4941">
        <f>BASE_EQUIPOS!G4941</f>
        <v/>
      </c>
      <c r="F4941">
        <f>BASE_EQUIPOS!H4941</f>
        <v/>
      </c>
      <c r="G4941">
        <f>BASE_EQUIPOS!M4941</f>
        <v/>
      </c>
    </row>
    <row r="4942">
      <c r="A4942">
        <f>TRIM(BASE_EQUIPOS!N4942)</f>
        <v/>
      </c>
      <c r="B4942">
        <f>BASE_EQUIPOS!A4942</f>
        <v/>
      </c>
      <c r="C4942">
        <f>BASE_EQUIPOS!B4942</f>
        <v/>
      </c>
      <c r="D4942">
        <f>BASE_EQUIPOS!D4942</f>
        <v/>
      </c>
      <c r="E4942">
        <f>BASE_EQUIPOS!G4942</f>
        <v/>
      </c>
      <c r="F4942">
        <f>BASE_EQUIPOS!H4942</f>
        <v/>
      </c>
      <c r="G4942">
        <f>BASE_EQUIPOS!M4942</f>
        <v/>
      </c>
    </row>
    <row r="4943">
      <c r="A4943">
        <f>TRIM(BASE_EQUIPOS!N4943)</f>
        <v/>
      </c>
      <c r="B4943">
        <f>BASE_EQUIPOS!A4943</f>
        <v/>
      </c>
      <c r="C4943">
        <f>BASE_EQUIPOS!B4943</f>
        <v/>
      </c>
      <c r="D4943">
        <f>BASE_EQUIPOS!D4943</f>
        <v/>
      </c>
      <c r="E4943">
        <f>BASE_EQUIPOS!G4943</f>
        <v/>
      </c>
      <c r="F4943">
        <f>BASE_EQUIPOS!H4943</f>
        <v/>
      </c>
      <c r="G4943">
        <f>BASE_EQUIPOS!M4943</f>
        <v/>
      </c>
    </row>
    <row r="4944">
      <c r="A4944">
        <f>TRIM(BASE_EQUIPOS!N4944)</f>
        <v/>
      </c>
      <c r="B4944">
        <f>BASE_EQUIPOS!A4944</f>
        <v/>
      </c>
      <c r="C4944">
        <f>BASE_EQUIPOS!B4944</f>
        <v/>
      </c>
      <c r="D4944">
        <f>BASE_EQUIPOS!D4944</f>
        <v/>
      </c>
      <c r="E4944">
        <f>BASE_EQUIPOS!G4944</f>
        <v/>
      </c>
      <c r="F4944">
        <f>BASE_EQUIPOS!H4944</f>
        <v/>
      </c>
      <c r="G4944">
        <f>BASE_EQUIPOS!M4944</f>
        <v/>
      </c>
    </row>
    <row r="4945">
      <c r="A4945">
        <f>TRIM(BASE_EQUIPOS!N4945)</f>
        <v/>
      </c>
      <c r="B4945">
        <f>BASE_EQUIPOS!A4945</f>
        <v/>
      </c>
      <c r="C4945">
        <f>BASE_EQUIPOS!B4945</f>
        <v/>
      </c>
      <c r="D4945">
        <f>BASE_EQUIPOS!D4945</f>
        <v/>
      </c>
      <c r="E4945">
        <f>BASE_EQUIPOS!G4945</f>
        <v/>
      </c>
      <c r="F4945">
        <f>BASE_EQUIPOS!H4945</f>
        <v/>
      </c>
      <c r="G4945">
        <f>BASE_EQUIPOS!M4945</f>
        <v/>
      </c>
    </row>
    <row r="4946">
      <c r="A4946">
        <f>TRIM(BASE_EQUIPOS!N4946)</f>
        <v/>
      </c>
      <c r="B4946">
        <f>BASE_EQUIPOS!A4946</f>
        <v/>
      </c>
      <c r="C4946">
        <f>BASE_EQUIPOS!B4946</f>
        <v/>
      </c>
      <c r="D4946">
        <f>BASE_EQUIPOS!D4946</f>
        <v/>
      </c>
      <c r="E4946">
        <f>BASE_EQUIPOS!G4946</f>
        <v/>
      </c>
      <c r="F4946">
        <f>BASE_EQUIPOS!H4946</f>
        <v/>
      </c>
      <c r="G4946">
        <f>BASE_EQUIPOS!M4946</f>
        <v/>
      </c>
    </row>
    <row r="4947">
      <c r="A4947">
        <f>TRIM(BASE_EQUIPOS!N4947)</f>
        <v/>
      </c>
      <c r="B4947">
        <f>BASE_EQUIPOS!A4947</f>
        <v/>
      </c>
      <c r="C4947">
        <f>BASE_EQUIPOS!B4947</f>
        <v/>
      </c>
      <c r="D4947">
        <f>BASE_EQUIPOS!D4947</f>
        <v/>
      </c>
      <c r="E4947">
        <f>BASE_EQUIPOS!G4947</f>
        <v/>
      </c>
      <c r="F4947">
        <f>BASE_EQUIPOS!H4947</f>
        <v/>
      </c>
      <c r="G4947">
        <f>BASE_EQUIPOS!M4947</f>
        <v/>
      </c>
    </row>
    <row r="4948">
      <c r="A4948">
        <f>TRIM(BASE_EQUIPOS!N4948)</f>
        <v/>
      </c>
      <c r="B4948">
        <f>BASE_EQUIPOS!A4948</f>
        <v/>
      </c>
      <c r="C4948">
        <f>BASE_EQUIPOS!B4948</f>
        <v/>
      </c>
      <c r="D4948">
        <f>BASE_EQUIPOS!D4948</f>
        <v/>
      </c>
      <c r="E4948">
        <f>BASE_EQUIPOS!G4948</f>
        <v/>
      </c>
      <c r="F4948">
        <f>BASE_EQUIPOS!H4948</f>
        <v/>
      </c>
      <c r="G4948">
        <f>BASE_EQUIPOS!M4948</f>
        <v/>
      </c>
    </row>
    <row r="4949">
      <c r="A4949">
        <f>TRIM(BASE_EQUIPOS!N4949)</f>
        <v/>
      </c>
      <c r="B4949">
        <f>BASE_EQUIPOS!A4949</f>
        <v/>
      </c>
      <c r="C4949">
        <f>BASE_EQUIPOS!B4949</f>
        <v/>
      </c>
      <c r="D4949">
        <f>BASE_EQUIPOS!D4949</f>
        <v/>
      </c>
      <c r="E4949">
        <f>BASE_EQUIPOS!G4949</f>
        <v/>
      </c>
      <c r="F4949">
        <f>BASE_EQUIPOS!H4949</f>
        <v/>
      </c>
      <c r="G4949">
        <f>BASE_EQUIPOS!M4949</f>
        <v/>
      </c>
    </row>
    <row r="4950">
      <c r="A4950">
        <f>TRIM(BASE_EQUIPOS!N4950)</f>
        <v/>
      </c>
      <c r="B4950">
        <f>BASE_EQUIPOS!A4950</f>
        <v/>
      </c>
      <c r="C4950">
        <f>BASE_EQUIPOS!B4950</f>
        <v/>
      </c>
      <c r="D4950">
        <f>BASE_EQUIPOS!D4950</f>
        <v/>
      </c>
      <c r="E4950">
        <f>BASE_EQUIPOS!G4950</f>
        <v/>
      </c>
      <c r="F4950">
        <f>BASE_EQUIPOS!H4950</f>
        <v/>
      </c>
      <c r="G4950">
        <f>BASE_EQUIPOS!M4950</f>
        <v/>
      </c>
    </row>
    <row r="4951">
      <c r="A4951">
        <f>TRIM(BASE_EQUIPOS!N4951)</f>
        <v/>
      </c>
      <c r="B4951">
        <f>BASE_EQUIPOS!A4951</f>
        <v/>
      </c>
      <c r="C4951">
        <f>BASE_EQUIPOS!B4951</f>
        <v/>
      </c>
      <c r="D4951">
        <f>BASE_EQUIPOS!D4951</f>
        <v/>
      </c>
      <c r="E4951">
        <f>BASE_EQUIPOS!G4951</f>
        <v/>
      </c>
      <c r="F4951">
        <f>BASE_EQUIPOS!H4951</f>
        <v/>
      </c>
      <c r="G4951">
        <f>BASE_EQUIPOS!M4951</f>
        <v/>
      </c>
    </row>
    <row r="4952">
      <c r="A4952">
        <f>TRIM(BASE_EQUIPOS!N4952)</f>
        <v/>
      </c>
      <c r="B4952">
        <f>BASE_EQUIPOS!A4952</f>
        <v/>
      </c>
      <c r="C4952">
        <f>BASE_EQUIPOS!B4952</f>
        <v/>
      </c>
      <c r="D4952">
        <f>BASE_EQUIPOS!D4952</f>
        <v/>
      </c>
      <c r="E4952">
        <f>BASE_EQUIPOS!G4952</f>
        <v/>
      </c>
      <c r="F4952">
        <f>BASE_EQUIPOS!H4952</f>
        <v/>
      </c>
      <c r="G4952">
        <f>BASE_EQUIPOS!M4952</f>
        <v/>
      </c>
    </row>
    <row r="4953">
      <c r="A4953">
        <f>TRIM(BASE_EQUIPOS!N4953)</f>
        <v/>
      </c>
      <c r="B4953">
        <f>BASE_EQUIPOS!A4953</f>
        <v/>
      </c>
      <c r="C4953">
        <f>BASE_EQUIPOS!B4953</f>
        <v/>
      </c>
      <c r="D4953">
        <f>BASE_EQUIPOS!D4953</f>
        <v/>
      </c>
      <c r="E4953">
        <f>BASE_EQUIPOS!G4953</f>
        <v/>
      </c>
      <c r="F4953">
        <f>BASE_EQUIPOS!H4953</f>
        <v/>
      </c>
      <c r="G4953">
        <f>BASE_EQUIPOS!M4953</f>
        <v/>
      </c>
    </row>
    <row r="4954">
      <c r="A4954">
        <f>TRIM(BASE_EQUIPOS!N4954)</f>
        <v/>
      </c>
      <c r="B4954">
        <f>BASE_EQUIPOS!A4954</f>
        <v/>
      </c>
      <c r="C4954">
        <f>BASE_EQUIPOS!B4954</f>
        <v/>
      </c>
      <c r="D4954">
        <f>BASE_EQUIPOS!D4954</f>
        <v/>
      </c>
      <c r="E4954">
        <f>BASE_EQUIPOS!G4954</f>
        <v/>
      </c>
      <c r="F4954">
        <f>BASE_EQUIPOS!H4954</f>
        <v/>
      </c>
      <c r="G4954">
        <f>BASE_EQUIPOS!M4954</f>
        <v/>
      </c>
    </row>
    <row r="4955">
      <c r="A4955">
        <f>TRIM(BASE_EQUIPOS!N4955)</f>
        <v/>
      </c>
      <c r="B4955">
        <f>BASE_EQUIPOS!A4955</f>
        <v/>
      </c>
      <c r="C4955">
        <f>BASE_EQUIPOS!B4955</f>
        <v/>
      </c>
      <c r="D4955">
        <f>BASE_EQUIPOS!D4955</f>
        <v/>
      </c>
      <c r="E4955">
        <f>BASE_EQUIPOS!G4955</f>
        <v/>
      </c>
      <c r="F4955">
        <f>BASE_EQUIPOS!H4955</f>
        <v/>
      </c>
      <c r="G4955">
        <f>BASE_EQUIPOS!M4955</f>
        <v/>
      </c>
    </row>
    <row r="4956">
      <c r="A4956">
        <f>TRIM(BASE_EQUIPOS!N4956)</f>
        <v/>
      </c>
      <c r="B4956">
        <f>BASE_EQUIPOS!A4956</f>
        <v/>
      </c>
      <c r="C4956">
        <f>BASE_EQUIPOS!B4956</f>
        <v/>
      </c>
      <c r="D4956">
        <f>BASE_EQUIPOS!D4956</f>
        <v/>
      </c>
      <c r="E4956">
        <f>BASE_EQUIPOS!G4956</f>
        <v/>
      </c>
      <c r="F4956">
        <f>BASE_EQUIPOS!H4956</f>
        <v/>
      </c>
      <c r="G4956">
        <f>BASE_EQUIPOS!M4956</f>
        <v/>
      </c>
    </row>
    <row r="4957">
      <c r="A4957">
        <f>TRIM(BASE_EQUIPOS!N4957)</f>
        <v/>
      </c>
      <c r="B4957">
        <f>BASE_EQUIPOS!A4957</f>
        <v/>
      </c>
      <c r="C4957">
        <f>BASE_EQUIPOS!B4957</f>
        <v/>
      </c>
      <c r="D4957">
        <f>BASE_EQUIPOS!D4957</f>
        <v/>
      </c>
      <c r="E4957">
        <f>BASE_EQUIPOS!G4957</f>
        <v/>
      </c>
      <c r="F4957">
        <f>BASE_EQUIPOS!H4957</f>
        <v/>
      </c>
      <c r="G4957">
        <f>BASE_EQUIPOS!M4957</f>
        <v/>
      </c>
    </row>
    <row r="4958">
      <c r="A4958">
        <f>TRIM(BASE_EQUIPOS!N4958)</f>
        <v/>
      </c>
      <c r="B4958">
        <f>BASE_EQUIPOS!A4958</f>
        <v/>
      </c>
      <c r="C4958">
        <f>BASE_EQUIPOS!B4958</f>
        <v/>
      </c>
      <c r="D4958">
        <f>BASE_EQUIPOS!D4958</f>
        <v/>
      </c>
      <c r="E4958">
        <f>BASE_EQUIPOS!G4958</f>
        <v/>
      </c>
      <c r="F4958">
        <f>BASE_EQUIPOS!H4958</f>
        <v/>
      </c>
      <c r="G4958">
        <f>BASE_EQUIPOS!M4958</f>
        <v/>
      </c>
    </row>
    <row r="4959">
      <c r="A4959">
        <f>TRIM(BASE_EQUIPOS!N4959)</f>
        <v/>
      </c>
      <c r="B4959">
        <f>BASE_EQUIPOS!A4959</f>
        <v/>
      </c>
      <c r="C4959">
        <f>BASE_EQUIPOS!B4959</f>
        <v/>
      </c>
      <c r="D4959">
        <f>BASE_EQUIPOS!D4959</f>
        <v/>
      </c>
      <c r="E4959">
        <f>BASE_EQUIPOS!G4959</f>
        <v/>
      </c>
      <c r="F4959">
        <f>BASE_EQUIPOS!H4959</f>
        <v/>
      </c>
      <c r="G4959">
        <f>BASE_EQUIPOS!M4959</f>
        <v/>
      </c>
    </row>
    <row r="4960">
      <c r="A4960">
        <f>TRIM(BASE_EQUIPOS!N4960)</f>
        <v/>
      </c>
      <c r="B4960">
        <f>BASE_EQUIPOS!A4960</f>
        <v/>
      </c>
      <c r="C4960">
        <f>BASE_EQUIPOS!B4960</f>
        <v/>
      </c>
      <c r="D4960">
        <f>BASE_EQUIPOS!D4960</f>
        <v/>
      </c>
      <c r="E4960">
        <f>BASE_EQUIPOS!G4960</f>
        <v/>
      </c>
      <c r="F4960">
        <f>BASE_EQUIPOS!H4960</f>
        <v/>
      </c>
      <c r="G4960">
        <f>BASE_EQUIPOS!M4960</f>
        <v/>
      </c>
    </row>
    <row r="4961">
      <c r="A4961">
        <f>TRIM(BASE_EQUIPOS!N4961)</f>
        <v/>
      </c>
      <c r="B4961">
        <f>BASE_EQUIPOS!A4961</f>
        <v/>
      </c>
      <c r="C4961">
        <f>BASE_EQUIPOS!B4961</f>
        <v/>
      </c>
      <c r="D4961">
        <f>BASE_EQUIPOS!D4961</f>
        <v/>
      </c>
      <c r="E4961">
        <f>BASE_EQUIPOS!G4961</f>
        <v/>
      </c>
      <c r="F4961">
        <f>BASE_EQUIPOS!H4961</f>
        <v/>
      </c>
      <c r="G4961">
        <f>BASE_EQUIPOS!M4961</f>
        <v/>
      </c>
    </row>
    <row r="4962">
      <c r="A4962">
        <f>TRIM(BASE_EQUIPOS!N4962)</f>
        <v/>
      </c>
      <c r="B4962">
        <f>BASE_EQUIPOS!A4962</f>
        <v/>
      </c>
      <c r="C4962">
        <f>BASE_EQUIPOS!B4962</f>
        <v/>
      </c>
      <c r="D4962">
        <f>BASE_EQUIPOS!D4962</f>
        <v/>
      </c>
      <c r="E4962">
        <f>BASE_EQUIPOS!G4962</f>
        <v/>
      </c>
      <c r="F4962">
        <f>BASE_EQUIPOS!H4962</f>
        <v/>
      </c>
      <c r="G4962">
        <f>BASE_EQUIPOS!M4962</f>
        <v/>
      </c>
    </row>
    <row r="4963">
      <c r="A4963">
        <f>TRIM(BASE_EQUIPOS!N4963)</f>
        <v/>
      </c>
      <c r="B4963">
        <f>BASE_EQUIPOS!A4963</f>
        <v/>
      </c>
      <c r="C4963">
        <f>BASE_EQUIPOS!B4963</f>
        <v/>
      </c>
      <c r="D4963">
        <f>BASE_EQUIPOS!D4963</f>
        <v/>
      </c>
      <c r="E4963">
        <f>BASE_EQUIPOS!G4963</f>
        <v/>
      </c>
      <c r="F4963">
        <f>BASE_EQUIPOS!H4963</f>
        <v/>
      </c>
      <c r="G4963">
        <f>BASE_EQUIPOS!M4963</f>
        <v/>
      </c>
    </row>
    <row r="4964">
      <c r="A4964">
        <f>TRIM(BASE_EQUIPOS!N4964)</f>
        <v/>
      </c>
      <c r="B4964">
        <f>BASE_EQUIPOS!A4964</f>
        <v/>
      </c>
      <c r="C4964">
        <f>BASE_EQUIPOS!B4964</f>
        <v/>
      </c>
      <c r="D4964">
        <f>BASE_EQUIPOS!D4964</f>
        <v/>
      </c>
      <c r="E4964">
        <f>BASE_EQUIPOS!G4964</f>
        <v/>
      </c>
      <c r="F4964">
        <f>BASE_EQUIPOS!H4964</f>
        <v/>
      </c>
      <c r="G4964">
        <f>BASE_EQUIPOS!M4964</f>
        <v/>
      </c>
    </row>
    <row r="4965">
      <c r="A4965">
        <f>TRIM(BASE_EQUIPOS!N4965)</f>
        <v/>
      </c>
      <c r="B4965">
        <f>BASE_EQUIPOS!A4965</f>
        <v/>
      </c>
      <c r="C4965">
        <f>BASE_EQUIPOS!B4965</f>
        <v/>
      </c>
      <c r="D4965">
        <f>BASE_EQUIPOS!D4965</f>
        <v/>
      </c>
      <c r="E4965">
        <f>BASE_EQUIPOS!G4965</f>
        <v/>
      </c>
      <c r="F4965">
        <f>BASE_EQUIPOS!H4965</f>
        <v/>
      </c>
      <c r="G4965">
        <f>BASE_EQUIPOS!M4965</f>
        <v/>
      </c>
    </row>
    <row r="4966">
      <c r="A4966">
        <f>TRIM(BASE_EQUIPOS!N4966)</f>
        <v/>
      </c>
      <c r="B4966">
        <f>BASE_EQUIPOS!A4966</f>
        <v/>
      </c>
      <c r="C4966">
        <f>BASE_EQUIPOS!B4966</f>
        <v/>
      </c>
      <c r="D4966">
        <f>BASE_EQUIPOS!D4966</f>
        <v/>
      </c>
      <c r="E4966">
        <f>BASE_EQUIPOS!G4966</f>
        <v/>
      </c>
      <c r="F4966">
        <f>BASE_EQUIPOS!H4966</f>
        <v/>
      </c>
      <c r="G4966">
        <f>BASE_EQUIPOS!M4966</f>
        <v/>
      </c>
    </row>
    <row r="4967">
      <c r="A4967">
        <f>TRIM(BASE_EQUIPOS!N4967)</f>
        <v/>
      </c>
      <c r="B4967">
        <f>BASE_EQUIPOS!A4967</f>
        <v/>
      </c>
      <c r="C4967">
        <f>BASE_EQUIPOS!B4967</f>
        <v/>
      </c>
      <c r="D4967">
        <f>BASE_EQUIPOS!D4967</f>
        <v/>
      </c>
      <c r="E4967">
        <f>BASE_EQUIPOS!G4967</f>
        <v/>
      </c>
      <c r="F4967">
        <f>BASE_EQUIPOS!H4967</f>
        <v/>
      </c>
      <c r="G4967">
        <f>BASE_EQUIPOS!M4967</f>
        <v/>
      </c>
    </row>
    <row r="4968">
      <c r="A4968">
        <f>TRIM(BASE_EQUIPOS!N4968)</f>
        <v/>
      </c>
      <c r="B4968">
        <f>BASE_EQUIPOS!A4968</f>
        <v/>
      </c>
      <c r="C4968">
        <f>BASE_EQUIPOS!B4968</f>
        <v/>
      </c>
      <c r="D4968">
        <f>BASE_EQUIPOS!D4968</f>
        <v/>
      </c>
      <c r="E4968">
        <f>BASE_EQUIPOS!G4968</f>
        <v/>
      </c>
      <c r="F4968">
        <f>BASE_EQUIPOS!H4968</f>
        <v/>
      </c>
      <c r="G4968">
        <f>BASE_EQUIPOS!M4968</f>
        <v/>
      </c>
    </row>
    <row r="4969">
      <c r="A4969">
        <f>TRIM(BASE_EQUIPOS!N4969)</f>
        <v/>
      </c>
      <c r="B4969">
        <f>BASE_EQUIPOS!A4969</f>
        <v/>
      </c>
      <c r="C4969">
        <f>BASE_EQUIPOS!B4969</f>
        <v/>
      </c>
      <c r="D4969">
        <f>BASE_EQUIPOS!D4969</f>
        <v/>
      </c>
      <c r="E4969">
        <f>BASE_EQUIPOS!G4969</f>
        <v/>
      </c>
      <c r="F4969">
        <f>BASE_EQUIPOS!H4969</f>
        <v/>
      </c>
      <c r="G4969">
        <f>BASE_EQUIPOS!M4969</f>
        <v/>
      </c>
    </row>
    <row r="4970">
      <c r="A4970">
        <f>TRIM(BASE_EQUIPOS!N4970)</f>
        <v/>
      </c>
      <c r="B4970">
        <f>BASE_EQUIPOS!A4970</f>
        <v/>
      </c>
      <c r="C4970">
        <f>BASE_EQUIPOS!B4970</f>
        <v/>
      </c>
      <c r="D4970">
        <f>BASE_EQUIPOS!D4970</f>
        <v/>
      </c>
      <c r="E4970">
        <f>BASE_EQUIPOS!G4970</f>
        <v/>
      </c>
      <c r="F4970">
        <f>BASE_EQUIPOS!H4970</f>
        <v/>
      </c>
      <c r="G4970">
        <f>BASE_EQUIPOS!M4970</f>
        <v/>
      </c>
    </row>
    <row r="4971">
      <c r="A4971">
        <f>TRIM(BASE_EQUIPOS!N4971)</f>
        <v/>
      </c>
      <c r="B4971">
        <f>BASE_EQUIPOS!A4971</f>
        <v/>
      </c>
      <c r="C4971">
        <f>BASE_EQUIPOS!B4971</f>
        <v/>
      </c>
      <c r="D4971">
        <f>BASE_EQUIPOS!D4971</f>
        <v/>
      </c>
      <c r="E4971">
        <f>BASE_EQUIPOS!G4971</f>
        <v/>
      </c>
      <c r="F4971">
        <f>BASE_EQUIPOS!H4971</f>
        <v/>
      </c>
      <c r="G4971">
        <f>BASE_EQUIPOS!M4971</f>
        <v/>
      </c>
    </row>
    <row r="4972">
      <c r="A4972">
        <f>TRIM(BASE_EQUIPOS!N4972)</f>
        <v/>
      </c>
      <c r="B4972">
        <f>BASE_EQUIPOS!A4972</f>
        <v/>
      </c>
      <c r="C4972">
        <f>BASE_EQUIPOS!B4972</f>
        <v/>
      </c>
      <c r="D4972">
        <f>BASE_EQUIPOS!D4972</f>
        <v/>
      </c>
      <c r="E4972">
        <f>BASE_EQUIPOS!G4972</f>
        <v/>
      </c>
      <c r="F4972">
        <f>BASE_EQUIPOS!H4972</f>
        <v/>
      </c>
      <c r="G4972">
        <f>BASE_EQUIPOS!M4972</f>
        <v/>
      </c>
    </row>
    <row r="4973">
      <c r="A4973">
        <f>TRIM(BASE_EQUIPOS!N4973)</f>
        <v/>
      </c>
      <c r="B4973">
        <f>BASE_EQUIPOS!A4973</f>
        <v/>
      </c>
      <c r="C4973">
        <f>BASE_EQUIPOS!B4973</f>
        <v/>
      </c>
      <c r="D4973">
        <f>BASE_EQUIPOS!D4973</f>
        <v/>
      </c>
      <c r="E4973">
        <f>BASE_EQUIPOS!G4973</f>
        <v/>
      </c>
      <c r="F4973">
        <f>BASE_EQUIPOS!H4973</f>
        <v/>
      </c>
      <c r="G4973">
        <f>BASE_EQUIPOS!M4973</f>
        <v/>
      </c>
    </row>
    <row r="4974">
      <c r="A4974">
        <f>TRIM(BASE_EQUIPOS!N4974)</f>
        <v/>
      </c>
      <c r="B4974">
        <f>BASE_EQUIPOS!A4974</f>
        <v/>
      </c>
      <c r="C4974">
        <f>BASE_EQUIPOS!B4974</f>
        <v/>
      </c>
      <c r="D4974">
        <f>BASE_EQUIPOS!D4974</f>
        <v/>
      </c>
      <c r="E4974">
        <f>BASE_EQUIPOS!G4974</f>
        <v/>
      </c>
      <c r="F4974">
        <f>BASE_EQUIPOS!H4974</f>
        <v/>
      </c>
      <c r="G4974">
        <f>BASE_EQUIPOS!M4974</f>
        <v/>
      </c>
    </row>
    <row r="4975">
      <c r="A4975">
        <f>TRIM(BASE_EQUIPOS!N4975)</f>
        <v/>
      </c>
      <c r="B4975">
        <f>BASE_EQUIPOS!A4975</f>
        <v/>
      </c>
      <c r="C4975">
        <f>BASE_EQUIPOS!B4975</f>
        <v/>
      </c>
      <c r="D4975">
        <f>BASE_EQUIPOS!D4975</f>
        <v/>
      </c>
      <c r="E4975">
        <f>BASE_EQUIPOS!G4975</f>
        <v/>
      </c>
      <c r="F4975">
        <f>BASE_EQUIPOS!H4975</f>
        <v/>
      </c>
      <c r="G4975">
        <f>BASE_EQUIPOS!M4975</f>
        <v/>
      </c>
    </row>
    <row r="4976">
      <c r="A4976">
        <f>TRIM(BASE_EQUIPOS!N4976)</f>
        <v/>
      </c>
      <c r="B4976">
        <f>BASE_EQUIPOS!A4976</f>
        <v/>
      </c>
      <c r="C4976">
        <f>BASE_EQUIPOS!B4976</f>
        <v/>
      </c>
      <c r="D4976">
        <f>BASE_EQUIPOS!D4976</f>
        <v/>
      </c>
      <c r="E4976">
        <f>BASE_EQUIPOS!G4976</f>
        <v/>
      </c>
      <c r="F4976">
        <f>BASE_EQUIPOS!H4976</f>
        <v/>
      </c>
      <c r="G4976">
        <f>BASE_EQUIPOS!M4976</f>
        <v/>
      </c>
    </row>
    <row r="4977">
      <c r="A4977">
        <f>TRIM(BASE_EQUIPOS!N4977)</f>
        <v/>
      </c>
      <c r="B4977">
        <f>BASE_EQUIPOS!A4977</f>
        <v/>
      </c>
      <c r="C4977">
        <f>BASE_EQUIPOS!B4977</f>
        <v/>
      </c>
      <c r="D4977">
        <f>BASE_EQUIPOS!D4977</f>
        <v/>
      </c>
      <c r="E4977">
        <f>BASE_EQUIPOS!G4977</f>
        <v/>
      </c>
      <c r="F4977">
        <f>BASE_EQUIPOS!H4977</f>
        <v/>
      </c>
      <c r="G4977">
        <f>BASE_EQUIPOS!M4977</f>
        <v/>
      </c>
    </row>
    <row r="4978">
      <c r="A4978">
        <f>TRIM(BASE_EQUIPOS!N4978)</f>
        <v/>
      </c>
      <c r="B4978">
        <f>BASE_EQUIPOS!A4978</f>
        <v/>
      </c>
      <c r="C4978">
        <f>BASE_EQUIPOS!B4978</f>
        <v/>
      </c>
      <c r="D4978">
        <f>BASE_EQUIPOS!D4978</f>
        <v/>
      </c>
      <c r="E4978">
        <f>BASE_EQUIPOS!G4978</f>
        <v/>
      </c>
      <c r="F4978">
        <f>BASE_EQUIPOS!H4978</f>
        <v/>
      </c>
      <c r="G4978">
        <f>BASE_EQUIPOS!M4978</f>
        <v/>
      </c>
    </row>
    <row r="4979">
      <c r="A4979">
        <f>TRIM(BASE_EQUIPOS!N4979)</f>
        <v/>
      </c>
      <c r="B4979">
        <f>BASE_EQUIPOS!A4979</f>
        <v/>
      </c>
      <c r="C4979">
        <f>BASE_EQUIPOS!B4979</f>
        <v/>
      </c>
      <c r="D4979">
        <f>BASE_EQUIPOS!D4979</f>
        <v/>
      </c>
      <c r="E4979">
        <f>BASE_EQUIPOS!G4979</f>
        <v/>
      </c>
      <c r="F4979">
        <f>BASE_EQUIPOS!H4979</f>
        <v/>
      </c>
      <c r="G4979">
        <f>BASE_EQUIPOS!M4979</f>
        <v/>
      </c>
    </row>
    <row r="4980">
      <c r="A4980">
        <f>TRIM(BASE_EQUIPOS!N4980)</f>
        <v/>
      </c>
      <c r="B4980">
        <f>BASE_EQUIPOS!A4980</f>
        <v/>
      </c>
      <c r="C4980">
        <f>BASE_EQUIPOS!B4980</f>
        <v/>
      </c>
      <c r="D4980">
        <f>BASE_EQUIPOS!D4980</f>
        <v/>
      </c>
      <c r="E4980">
        <f>BASE_EQUIPOS!G4980</f>
        <v/>
      </c>
      <c r="F4980">
        <f>BASE_EQUIPOS!H4980</f>
        <v/>
      </c>
      <c r="G4980">
        <f>BASE_EQUIPOS!M4980</f>
        <v/>
      </c>
    </row>
    <row r="4981">
      <c r="A4981">
        <f>TRIM(BASE_EQUIPOS!N4981)</f>
        <v/>
      </c>
      <c r="B4981">
        <f>BASE_EQUIPOS!A4981</f>
        <v/>
      </c>
      <c r="C4981">
        <f>BASE_EQUIPOS!B4981</f>
        <v/>
      </c>
      <c r="D4981">
        <f>BASE_EQUIPOS!D4981</f>
        <v/>
      </c>
      <c r="E4981">
        <f>BASE_EQUIPOS!G4981</f>
        <v/>
      </c>
      <c r="F4981">
        <f>BASE_EQUIPOS!H4981</f>
        <v/>
      </c>
      <c r="G4981">
        <f>BASE_EQUIPOS!M4981</f>
        <v/>
      </c>
    </row>
    <row r="4982">
      <c r="A4982">
        <f>TRIM(BASE_EQUIPOS!N4982)</f>
        <v/>
      </c>
      <c r="B4982">
        <f>BASE_EQUIPOS!A4982</f>
        <v/>
      </c>
      <c r="C4982">
        <f>BASE_EQUIPOS!B4982</f>
        <v/>
      </c>
      <c r="D4982">
        <f>BASE_EQUIPOS!D4982</f>
        <v/>
      </c>
      <c r="E4982">
        <f>BASE_EQUIPOS!G4982</f>
        <v/>
      </c>
      <c r="F4982">
        <f>BASE_EQUIPOS!H4982</f>
        <v/>
      </c>
      <c r="G4982">
        <f>BASE_EQUIPOS!M4982</f>
        <v/>
      </c>
    </row>
    <row r="4983">
      <c r="A4983">
        <f>TRIM(BASE_EQUIPOS!N4983)</f>
        <v/>
      </c>
      <c r="B4983">
        <f>BASE_EQUIPOS!A4983</f>
        <v/>
      </c>
      <c r="C4983">
        <f>BASE_EQUIPOS!B4983</f>
        <v/>
      </c>
      <c r="D4983">
        <f>BASE_EQUIPOS!D4983</f>
        <v/>
      </c>
      <c r="E4983">
        <f>BASE_EQUIPOS!G4983</f>
        <v/>
      </c>
      <c r="F4983">
        <f>BASE_EQUIPOS!H4983</f>
        <v/>
      </c>
      <c r="G4983">
        <f>BASE_EQUIPOS!M4983</f>
        <v/>
      </c>
    </row>
    <row r="4984">
      <c r="A4984">
        <f>TRIM(BASE_EQUIPOS!N4984)</f>
        <v/>
      </c>
      <c r="B4984">
        <f>BASE_EQUIPOS!A4984</f>
        <v/>
      </c>
      <c r="C4984">
        <f>BASE_EQUIPOS!B4984</f>
        <v/>
      </c>
      <c r="D4984">
        <f>BASE_EQUIPOS!D4984</f>
        <v/>
      </c>
      <c r="E4984">
        <f>BASE_EQUIPOS!G4984</f>
        <v/>
      </c>
      <c r="F4984">
        <f>BASE_EQUIPOS!H4984</f>
        <v/>
      </c>
      <c r="G4984">
        <f>BASE_EQUIPOS!M4984</f>
        <v/>
      </c>
    </row>
    <row r="4985">
      <c r="A4985">
        <f>TRIM(BASE_EQUIPOS!N4985)</f>
        <v/>
      </c>
      <c r="B4985">
        <f>BASE_EQUIPOS!A4985</f>
        <v/>
      </c>
      <c r="C4985">
        <f>BASE_EQUIPOS!B4985</f>
        <v/>
      </c>
      <c r="D4985">
        <f>BASE_EQUIPOS!D4985</f>
        <v/>
      </c>
      <c r="E4985">
        <f>BASE_EQUIPOS!G4985</f>
        <v/>
      </c>
      <c r="F4985">
        <f>BASE_EQUIPOS!H4985</f>
        <v/>
      </c>
      <c r="G4985">
        <f>BASE_EQUIPOS!M4985</f>
        <v/>
      </c>
    </row>
    <row r="4986">
      <c r="A4986">
        <f>TRIM(BASE_EQUIPOS!N4986)</f>
        <v/>
      </c>
      <c r="B4986">
        <f>BASE_EQUIPOS!A4986</f>
        <v/>
      </c>
      <c r="C4986">
        <f>BASE_EQUIPOS!B4986</f>
        <v/>
      </c>
      <c r="D4986">
        <f>BASE_EQUIPOS!D4986</f>
        <v/>
      </c>
      <c r="E4986">
        <f>BASE_EQUIPOS!G4986</f>
        <v/>
      </c>
      <c r="F4986">
        <f>BASE_EQUIPOS!H4986</f>
        <v/>
      </c>
      <c r="G4986">
        <f>BASE_EQUIPOS!M4986</f>
        <v/>
      </c>
    </row>
    <row r="4987">
      <c r="A4987">
        <f>TRIM(BASE_EQUIPOS!N4987)</f>
        <v/>
      </c>
      <c r="B4987">
        <f>BASE_EQUIPOS!A4987</f>
        <v/>
      </c>
      <c r="C4987">
        <f>BASE_EQUIPOS!B4987</f>
        <v/>
      </c>
      <c r="D4987">
        <f>BASE_EQUIPOS!D4987</f>
        <v/>
      </c>
      <c r="E4987">
        <f>BASE_EQUIPOS!G4987</f>
        <v/>
      </c>
      <c r="F4987">
        <f>BASE_EQUIPOS!H4987</f>
        <v/>
      </c>
      <c r="G4987">
        <f>BASE_EQUIPOS!M4987</f>
        <v/>
      </c>
    </row>
    <row r="4988">
      <c r="A4988">
        <f>TRIM(BASE_EQUIPOS!N4988)</f>
        <v/>
      </c>
      <c r="B4988">
        <f>BASE_EQUIPOS!A4988</f>
        <v/>
      </c>
      <c r="C4988">
        <f>BASE_EQUIPOS!B4988</f>
        <v/>
      </c>
      <c r="D4988">
        <f>BASE_EQUIPOS!D4988</f>
        <v/>
      </c>
      <c r="E4988">
        <f>BASE_EQUIPOS!G4988</f>
        <v/>
      </c>
      <c r="F4988">
        <f>BASE_EQUIPOS!H4988</f>
        <v/>
      </c>
      <c r="G4988">
        <f>BASE_EQUIPOS!M4988</f>
        <v/>
      </c>
    </row>
    <row r="4989">
      <c r="A4989">
        <f>TRIM(BASE_EQUIPOS!N4989)</f>
        <v/>
      </c>
      <c r="B4989">
        <f>BASE_EQUIPOS!A4989</f>
        <v/>
      </c>
      <c r="C4989">
        <f>BASE_EQUIPOS!B4989</f>
        <v/>
      </c>
      <c r="D4989">
        <f>BASE_EQUIPOS!D4989</f>
        <v/>
      </c>
      <c r="E4989">
        <f>BASE_EQUIPOS!G4989</f>
        <v/>
      </c>
      <c r="F4989">
        <f>BASE_EQUIPOS!H4989</f>
        <v/>
      </c>
      <c r="G4989">
        <f>BASE_EQUIPOS!M4989</f>
        <v/>
      </c>
    </row>
    <row r="4990">
      <c r="A4990">
        <f>TRIM(BASE_EQUIPOS!N4990)</f>
        <v/>
      </c>
      <c r="B4990">
        <f>BASE_EQUIPOS!A4990</f>
        <v/>
      </c>
      <c r="C4990">
        <f>BASE_EQUIPOS!B4990</f>
        <v/>
      </c>
      <c r="D4990">
        <f>BASE_EQUIPOS!D4990</f>
        <v/>
      </c>
      <c r="E4990">
        <f>BASE_EQUIPOS!G4990</f>
        <v/>
      </c>
      <c r="F4990">
        <f>BASE_EQUIPOS!H4990</f>
        <v/>
      </c>
      <c r="G4990">
        <f>BASE_EQUIPOS!M4990</f>
        <v/>
      </c>
    </row>
    <row r="4991">
      <c r="A4991">
        <f>TRIM(BASE_EQUIPOS!N4991)</f>
        <v/>
      </c>
      <c r="B4991">
        <f>BASE_EQUIPOS!A4991</f>
        <v/>
      </c>
      <c r="C4991">
        <f>BASE_EQUIPOS!B4991</f>
        <v/>
      </c>
      <c r="D4991">
        <f>BASE_EQUIPOS!D4991</f>
        <v/>
      </c>
      <c r="E4991">
        <f>BASE_EQUIPOS!G4991</f>
        <v/>
      </c>
      <c r="F4991">
        <f>BASE_EQUIPOS!H4991</f>
        <v/>
      </c>
      <c r="G4991">
        <f>BASE_EQUIPOS!M4991</f>
        <v/>
      </c>
    </row>
    <row r="4992">
      <c r="A4992">
        <f>TRIM(BASE_EQUIPOS!N4992)</f>
        <v/>
      </c>
      <c r="B4992">
        <f>BASE_EQUIPOS!A4992</f>
        <v/>
      </c>
      <c r="C4992">
        <f>BASE_EQUIPOS!B4992</f>
        <v/>
      </c>
      <c r="D4992">
        <f>BASE_EQUIPOS!D4992</f>
        <v/>
      </c>
      <c r="E4992">
        <f>BASE_EQUIPOS!G4992</f>
        <v/>
      </c>
      <c r="F4992">
        <f>BASE_EQUIPOS!H4992</f>
        <v/>
      </c>
      <c r="G4992">
        <f>BASE_EQUIPOS!M4992</f>
        <v/>
      </c>
    </row>
    <row r="4993">
      <c r="A4993">
        <f>TRIM(BASE_EQUIPOS!N4993)</f>
        <v/>
      </c>
      <c r="B4993">
        <f>BASE_EQUIPOS!A4993</f>
        <v/>
      </c>
      <c r="C4993">
        <f>BASE_EQUIPOS!B4993</f>
        <v/>
      </c>
      <c r="D4993">
        <f>BASE_EQUIPOS!D4993</f>
        <v/>
      </c>
      <c r="E4993">
        <f>BASE_EQUIPOS!G4993</f>
        <v/>
      </c>
      <c r="F4993">
        <f>BASE_EQUIPOS!H4993</f>
        <v/>
      </c>
      <c r="G4993">
        <f>BASE_EQUIPOS!M4993</f>
        <v/>
      </c>
    </row>
    <row r="4994">
      <c r="A4994">
        <f>TRIM(BASE_EQUIPOS!N4994)</f>
        <v/>
      </c>
      <c r="B4994">
        <f>BASE_EQUIPOS!A4994</f>
        <v/>
      </c>
      <c r="C4994">
        <f>BASE_EQUIPOS!B4994</f>
        <v/>
      </c>
      <c r="D4994">
        <f>BASE_EQUIPOS!D4994</f>
        <v/>
      </c>
      <c r="E4994">
        <f>BASE_EQUIPOS!G4994</f>
        <v/>
      </c>
      <c r="F4994">
        <f>BASE_EQUIPOS!H4994</f>
        <v/>
      </c>
      <c r="G4994">
        <f>BASE_EQUIPOS!M4994</f>
        <v/>
      </c>
    </row>
    <row r="4995">
      <c r="A4995">
        <f>TRIM(BASE_EQUIPOS!N4995)</f>
        <v/>
      </c>
      <c r="B4995">
        <f>BASE_EQUIPOS!A4995</f>
        <v/>
      </c>
      <c r="C4995">
        <f>BASE_EQUIPOS!B4995</f>
        <v/>
      </c>
      <c r="D4995">
        <f>BASE_EQUIPOS!D4995</f>
        <v/>
      </c>
      <c r="E4995">
        <f>BASE_EQUIPOS!G4995</f>
        <v/>
      </c>
      <c r="F4995">
        <f>BASE_EQUIPOS!H4995</f>
        <v/>
      </c>
      <c r="G4995">
        <f>BASE_EQUIPOS!M4995</f>
        <v/>
      </c>
    </row>
    <row r="4996">
      <c r="A4996">
        <f>TRIM(BASE_EQUIPOS!N4996)</f>
        <v/>
      </c>
      <c r="B4996">
        <f>BASE_EQUIPOS!A4996</f>
        <v/>
      </c>
      <c r="C4996">
        <f>BASE_EQUIPOS!B4996</f>
        <v/>
      </c>
      <c r="D4996">
        <f>BASE_EQUIPOS!D4996</f>
        <v/>
      </c>
      <c r="E4996">
        <f>BASE_EQUIPOS!G4996</f>
        <v/>
      </c>
      <c r="F4996">
        <f>BASE_EQUIPOS!H4996</f>
        <v/>
      </c>
      <c r="G4996">
        <f>BASE_EQUIPOS!M4996</f>
        <v/>
      </c>
    </row>
    <row r="4997">
      <c r="A4997">
        <f>TRIM(BASE_EQUIPOS!N4997)</f>
        <v/>
      </c>
      <c r="B4997">
        <f>BASE_EQUIPOS!A4997</f>
        <v/>
      </c>
      <c r="C4997">
        <f>BASE_EQUIPOS!B4997</f>
        <v/>
      </c>
      <c r="D4997">
        <f>BASE_EQUIPOS!D4997</f>
        <v/>
      </c>
      <c r="E4997">
        <f>BASE_EQUIPOS!G4997</f>
        <v/>
      </c>
      <c r="F4997">
        <f>BASE_EQUIPOS!H4997</f>
        <v/>
      </c>
      <c r="G4997">
        <f>BASE_EQUIPOS!M4997</f>
        <v/>
      </c>
    </row>
    <row r="4998">
      <c r="A4998">
        <f>TRIM(BASE_EQUIPOS!N4998)</f>
        <v/>
      </c>
      <c r="B4998">
        <f>BASE_EQUIPOS!A4998</f>
        <v/>
      </c>
      <c r="C4998">
        <f>BASE_EQUIPOS!B4998</f>
        <v/>
      </c>
      <c r="D4998">
        <f>BASE_EQUIPOS!D4998</f>
        <v/>
      </c>
      <c r="E4998">
        <f>BASE_EQUIPOS!G4998</f>
        <v/>
      </c>
      <c r="F4998">
        <f>BASE_EQUIPOS!H4998</f>
        <v/>
      </c>
      <c r="G4998">
        <f>BASE_EQUIPOS!M4998</f>
        <v/>
      </c>
    </row>
    <row r="4999">
      <c r="A4999">
        <f>TRIM(BASE_EQUIPOS!N4999)</f>
        <v/>
      </c>
      <c r="B4999">
        <f>BASE_EQUIPOS!A4999</f>
        <v/>
      </c>
      <c r="C4999">
        <f>BASE_EQUIPOS!B4999</f>
        <v/>
      </c>
      <c r="D4999">
        <f>BASE_EQUIPOS!D4999</f>
        <v/>
      </c>
      <c r="E4999">
        <f>BASE_EQUIPOS!G4999</f>
        <v/>
      </c>
      <c r="F4999">
        <f>BASE_EQUIPOS!H4999</f>
        <v/>
      </c>
      <c r="G4999">
        <f>BASE_EQUIPOS!M4999</f>
        <v/>
      </c>
    </row>
    <row r="5000">
      <c r="A5000">
        <f>TRIM(BASE_EQUIPOS!N5000)</f>
        <v/>
      </c>
      <c r="B5000">
        <f>BASE_EQUIPOS!A5000</f>
        <v/>
      </c>
      <c r="C5000">
        <f>BASE_EQUIPOS!B5000</f>
        <v/>
      </c>
      <c r="D5000">
        <f>BASE_EQUIPOS!D5000</f>
        <v/>
      </c>
      <c r="E5000">
        <f>BASE_EQUIPOS!G5000</f>
        <v/>
      </c>
      <c r="F5000">
        <f>BASE_EQUIPOS!H5000</f>
        <v/>
      </c>
      <c r="G5000">
        <f>BASE_EQUIPOS!M5000</f>
        <v/>
      </c>
    </row>
    <row r="5001">
      <c r="A5001">
        <f>TRIM(BASE_EQUIPOS!N5001)</f>
        <v/>
      </c>
      <c r="B5001">
        <f>BASE_EQUIPOS!A5001</f>
        <v/>
      </c>
      <c r="C5001">
        <f>BASE_EQUIPOS!B5001</f>
        <v/>
      </c>
      <c r="D5001">
        <f>BASE_EQUIPOS!D5001</f>
        <v/>
      </c>
      <c r="E5001">
        <f>BASE_EQUIPOS!G5001</f>
        <v/>
      </c>
      <c r="F5001">
        <f>BASE_EQUIPOS!H5001</f>
        <v/>
      </c>
      <c r="G5001">
        <f>BASE_EQUIPOS!M5001</f>
        <v/>
      </c>
    </row>
    <row r="5002">
      <c r="A5002">
        <f>TRIM(BASE_EQUIPOS!N5002)</f>
        <v/>
      </c>
      <c r="B5002">
        <f>BASE_EQUIPOS!A5002</f>
        <v/>
      </c>
      <c r="C5002">
        <f>BASE_EQUIPOS!B5002</f>
        <v/>
      </c>
      <c r="D5002">
        <f>BASE_EQUIPOS!D5002</f>
        <v/>
      </c>
      <c r="E5002">
        <f>BASE_EQUIPOS!G5002</f>
        <v/>
      </c>
      <c r="F5002">
        <f>BASE_EQUIPOS!H5002</f>
        <v/>
      </c>
      <c r="G5002">
        <f>BASE_EQUIPOS!M5002</f>
        <v/>
      </c>
    </row>
    <row r="5003">
      <c r="A5003">
        <f>TRIM(BASE_EQUIPOS!N5003)</f>
        <v/>
      </c>
      <c r="B5003">
        <f>BASE_EQUIPOS!A5003</f>
        <v/>
      </c>
      <c r="C5003">
        <f>BASE_EQUIPOS!B5003</f>
        <v/>
      </c>
      <c r="D5003">
        <f>BASE_EQUIPOS!D5003</f>
        <v/>
      </c>
      <c r="E5003">
        <f>BASE_EQUIPOS!G5003</f>
        <v/>
      </c>
      <c r="F5003">
        <f>BASE_EQUIPOS!H5003</f>
        <v/>
      </c>
      <c r="G5003">
        <f>BASE_EQUIPOS!M5003</f>
        <v/>
      </c>
    </row>
    <row r="5004">
      <c r="A5004">
        <f>TRIM(BASE_EQUIPOS!N5004)</f>
        <v/>
      </c>
      <c r="B5004">
        <f>BASE_EQUIPOS!A5004</f>
        <v/>
      </c>
      <c r="C5004">
        <f>BASE_EQUIPOS!B5004</f>
        <v/>
      </c>
      <c r="D5004">
        <f>BASE_EQUIPOS!D5004</f>
        <v/>
      </c>
      <c r="E5004">
        <f>BASE_EQUIPOS!G5004</f>
        <v/>
      </c>
      <c r="F5004">
        <f>BASE_EQUIPOS!H5004</f>
        <v/>
      </c>
      <c r="G5004">
        <f>BASE_EQUIPOS!M5004</f>
        <v/>
      </c>
    </row>
    <row r="5005">
      <c r="A5005">
        <f>TRIM(BASE_EQUIPOS!N5005)</f>
        <v/>
      </c>
      <c r="B5005">
        <f>BASE_EQUIPOS!A5005</f>
        <v/>
      </c>
      <c r="C5005">
        <f>BASE_EQUIPOS!B5005</f>
        <v/>
      </c>
      <c r="D5005">
        <f>BASE_EQUIPOS!D5005</f>
        <v/>
      </c>
      <c r="E5005">
        <f>BASE_EQUIPOS!G5005</f>
        <v/>
      </c>
      <c r="F5005">
        <f>BASE_EQUIPOS!H5005</f>
        <v/>
      </c>
      <c r="G5005">
        <f>BASE_EQUIPOS!M5005</f>
        <v/>
      </c>
    </row>
    <row r="5006">
      <c r="A5006">
        <f>TRIM(BASE_EQUIPOS!N5006)</f>
        <v/>
      </c>
      <c r="B5006">
        <f>BASE_EQUIPOS!A5006</f>
        <v/>
      </c>
      <c r="C5006">
        <f>BASE_EQUIPOS!B5006</f>
        <v/>
      </c>
      <c r="D5006">
        <f>BASE_EQUIPOS!D5006</f>
        <v/>
      </c>
      <c r="E5006">
        <f>BASE_EQUIPOS!G5006</f>
        <v/>
      </c>
      <c r="F5006">
        <f>BASE_EQUIPOS!H5006</f>
        <v/>
      </c>
      <c r="G5006">
        <f>BASE_EQUIPOS!M5006</f>
        <v/>
      </c>
    </row>
    <row r="5007">
      <c r="A5007">
        <f>TRIM(BASE_EQUIPOS!N5007)</f>
        <v/>
      </c>
      <c r="B5007">
        <f>BASE_EQUIPOS!A5007</f>
        <v/>
      </c>
      <c r="C5007">
        <f>BASE_EQUIPOS!B5007</f>
        <v/>
      </c>
      <c r="D5007">
        <f>BASE_EQUIPOS!D5007</f>
        <v/>
      </c>
      <c r="E5007">
        <f>BASE_EQUIPOS!G5007</f>
        <v/>
      </c>
      <c r="F5007">
        <f>BASE_EQUIPOS!H5007</f>
        <v/>
      </c>
      <c r="G5007">
        <f>BASE_EQUIPOS!M5007</f>
        <v/>
      </c>
    </row>
    <row r="5008">
      <c r="A5008">
        <f>TRIM(BASE_EQUIPOS!N5008)</f>
        <v/>
      </c>
      <c r="B5008">
        <f>BASE_EQUIPOS!A5008</f>
        <v/>
      </c>
      <c r="C5008">
        <f>BASE_EQUIPOS!B5008</f>
        <v/>
      </c>
      <c r="D5008">
        <f>BASE_EQUIPOS!D5008</f>
        <v/>
      </c>
      <c r="E5008">
        <f>BASE_EQUIPOS!G5008</f>
        <v/>
      </c>
      <c r="F5008">
        <f>BASE_EQUIPOS!H5008</f>
        <v/>
      </c>
      <c r="G5008">
        <f>BASE_EQUIPOS!M5008</f>
        <v/>
      </c>
    </row>
    <row r="5009">
      <c r="A5009">
        <f>TRIM(BASE_EQUIPOS!N5009)</f>
        <v/>
      </c>
      <c r="B5009">
        <f>BASE_EQUIPOS!A5009</f>
        <v/>
      </c>
      <c r="C5009">
        <f>BASE_EQUIPOS!B5009</f>
        <v/>
      </c>
      <c r="D5009">
        <f>BASE_EQUIPOS!D5009</f>
        <v/>
      </c>
      <c r="E5009">
        <f>BASE_EQUIPOS!G5009</f>
        <v/>
      </c>
      <c r="F5009">
        <f>BASE_EQUIPOS!H5009</f>
        <v/>
      </c>
      <c r="G5009">
        <f>BASE_EQUIPOS!M5009</f>
        <v/>
      </c>
    </row>
    <row r="5010">
      <c r="A5010">
        <f>TRIM(BASE_EQUIPOS!N5010)</f>
        <v/>
      </c>
      <c r="B5010">
        <f>BASE_EQUIPOS!A5010</f>
        <v/>
      </c>
      <c r="C5010">
        <f>BASE_EQUIPOS!B5010</f>
        <v/>
      </c>
      <c r="D5010">
        <f>BASE_EQUIPOS!D5010</f>
        <v/>
      </c>
      <c r="E5010">
        <f>BASE_EQUIPOS!G5010</f>
        <v/>
      </c>
      <c r="F5010">
        <f>BASE_EQUIPOS!H5010</f>
        <v/>
      </c>
      <c r="G5010">
        <f>BASE_EQUIPOS!M5010</f>
        <v/>
      </c>
    </row>
    <row r="5011">
      <c r="A5011">
        <f>TRIM(BASE_EQUIPOS!N5011)</f>
        <v/>
      </c>
      <c r="B5011">
        <f>BASE_EQUIPOS!A5011</f>
        <v/>
      </c>
      <c r="C5011">
        <f>BASE_EQUIPOS!B5011</f>
        <v/>
      </c>
      <c r="D5011">
        <f>BASE_EQUIPOS!D5011</f>
        <v/>
      </c>
      <c r="E5011">
        <f>BASE_EQUIPOS!G5011</f>
        <v/>
      </c>
      <c r="F5011">
        <f>BASE_EQUIPOS!H5011</f>
        <v/>
      </c>
      <c r="G5011">
        <f>BASE_EQUIPOS!M5011</f>
        <v/>
      </c>
    </row>
    <row r="5012">
      <c r="A5012">
        <f>TRIM(BASE_EQUIPOS!N5012)</f>
        <v/>
      </c>
      <c r="B5012">
        <f>BASE_EQUIPOS!A5012</f>
        <v/>
      </c>
      <c r="C5012">
        <f>BASE_EQUIPOS!B5012</f>
        <v/>
      </c>
      <c r="D5012">
        <f>BASE_EQUIPOS!D5012</f>
        <v/>
      </c>
      <c r="E5012">
        <f>BASE_EQUIPOS!G5012</f>
        <v/>
      </c>
      <c r="F5012">
        <f>BASE_EQUIPOS!H5012</f>
        <v/>
      </c>
      <c r="G5012">
        <f>BASE_EQUIPOS!M5012</f>
        <v/>
      </c>
    </row>
    <row r="5013">
      <c r="A5013">
        <f>TRIM(BASE_EQUIPOS!N5013)</f>
        <v/>
      </c>
      <c r="B5013">
        <f>BASE_EQUIPOS!A5013</f>
        <v/>
      </c>
      <c r="C5013">
        <f>BASE_EQUIPOS!B5013</f>
        <v/>
      </c>
      <c r="D5013">
        <f>BASE_EQUIPOS!D5013</f>
        <v/>
      </c>
      <c r="E5013">
        <f>BASE_EQUIPOS!G5013</f>
        <v/>
      </c>
      <c r="F5013">
        <f>BASE_EQUIPOS!H5013</f>
        <v/>
      </c>
      <c r="G5013">
        <f>BASE_EQUIPOS!M5013</f>
        <v/>
      </c>
    </row>
    <row r="5014">
      <c r="A5014">
        <f>TRIM(BASE_EQUIPOS!N5014)</f>
        <v/>
      </c>
      <c r="B5014">
        <f>BASE_EQUIPOS!A5014</f>
        <v/>
      </c>
      <c r="C5014">
        <f>BASE_EQUIPOS!B5014</f>
        <v/>
      </c>
      <c r="D5014">
        <f>BASE_EQUIPOS!D5014</f>
        <v/>
      </c>
      <c r="E5014">
        <f>BASE_EQUIPOS!G5014</f>
        <v/>
      </c>
      <c r="F5014">
        <f>BASE_EQUIPOS!H5014</f>
        <v/>
      </c>
      <c r="G5014">
        <f>BASE_EQUIPOS!M5014</f>
        <v/>
      </c>
    </row>
    <row r="5015">
      <c r="A5015">
        <f>TRIM(BASE_EQUIPOS!N5015)</f>
        <v/>
      </c>
      <c r="B5015">
        <f>BASE_EQUIPOS!A5015</f>
        <v/>
      </c>
      <c r="C5015">
        <f>BASE_EQUIPOS!B5015</f>
        <v/>
      </c>
      <c r="D5015">
        <f>BASE_EQUIPOS!D5015</f>
        <v/>
      </c>
      <c r="E5015">
        <f>BASE_EQUIPOS!G5015</f>
        <v/>
      </c>
      <c r="F5015">
        <f>BASE_EQUIPOS!H5015</f>
        <v/>
      </c>
      <c r="G5015">
        <f>BASE_EQUIPOS!M5015</f>
        <v/>
      </c>
    </row>
    <row r="5016">
      <c r="A5016">
        <f>TRIM(BASE_EQUIPOS!N5016)</f>
        <v/>
      </c>
      <c r="B5016">
        <f>BASE_EQUIPOS!A5016</f>
        <v/>
      </c>
      <c r="C5016">
        <f>BASE_EQUIPOS!B5016</f>
        <v/>
      </c>
      <c r="D5016">
        <f>BASE_EQUIPOS!D5016</f>
        <v/>
      </c>
      <c r="E5016">
        <f>BASE_EQUIPOS!G5016</f>
        <v/>
      </c>
      <c r="F5016">
        <f>BASE_EQUIPOS!H5016</f>
        <v/>
      </c>
      <c r="G5016">
        <f>BASE_EQUIPOS!M5016</f>
        <v/>
      </c>
    </row>
    <row r="5017">
      <c r="A5017">
        <f>TRIM(BASE_EQUIPOS!N5017)</f>
        <v/>
      </c>
      <c r="B5017">
        <f>BASE_EQUIPOS!A5017</f>
        <v/>
      </c>
      <c r="C5017">
        <f>BASE_EQUIPOS!B5017</f>
        <v/>
      </c>
      <c r="D5017">
        <f>BASE_EQUIPOS!D5017</f>
        <v/>
      </c>
      <c r="E5017">
        <f>BASE_EQUIPOS!G5017</f>
        <v/>
      </c>
      <c r="F5017">
        <f>BASE_EQUIPOS!H5017</f>
        <v/>
      </c>
      <c r="G5017">
        <f>BASE_EQUIPOS!M5017</f>
        <v/>
      </c>
    </row>
    <row r="5018">
      <c r="A5018">
        <f>TRIM(BASE_EQUIPOS!N5018)</f>
        <v/>
      </c>
      <c r="B5018">
        <f>BASE_EQUIPOS!A5018</f>
        <v/>
      </c>
      <c r="C5018">
        <f>BASE_EQUIPOS!B5018</f>
        <v/>
      </c>
      <c r="D5018">
        <f>BASE_EQUIPOS!D5018</f>
        <v/>
      </c>
      <c r="E5018">
        <f>BASE_EQUIPOS!G5018</f>
        <v/>
      </c>
      <c r="F5018">
        <f>BASE_EQUIPOS!H5018</f>
        <v/>
      </c>
      <c r="G5018">
        <f>BASE_EQUIPOS!M5018</f>
        <v/>
      </c>
    </row>
    <row r="5019">
      <c r="A5019">
        <f>TRIM(BASE_EQUIPOS!N5019)</f>
        <v/>
      </c>
      <c r="B5019">
        <f>BASE_EQUIPOS!A5019</f>
        <v/>
      </c>
      <c r="C5019">
        <f>BASE_EQUIPOS!B5019</f>
        <v/>
      </c>
      <c r="D5019">
        <f>BASE_EQUIPOS!D5019</f>
        <v/>
      </c>
      <c r="E5019">
        <f>BASE_EQUIPOS!G5019</f>
        <v/>
      </c>
      <c r="F5019">
        <f>BASE_EQUIPOS!H5019</f>
        <v/>
      </c>
      <c r="G5019">
        <f>BASE_EQUIPOS!M5019</f>
        <v/>
      </c>
    </row>
    <row r="5020">
      <c r="A5020">
        <f>TRIM(BASE_EQUIPOS!N5020)</f>
        <v/>
      </c>
      <c r="B5020">
        <f>BASE_EQUIPOS!A5020</f>
        <v/>
      </c>
      <c r="C5020">
        <f>BASE_EQUIPOS!B5020</f>
        <v/>
      </c>
      <c r="D5020">
        <f>BASE_EQUIPOS!D5020</f>
        <v/>
      </c>
      <c r="E5020">
        <f>BASE_EQUIPOS!G5020</f>
        <v/>
      </c>
      <c r="F5020">
        <f>BASE_EQUIPOS!H5020</f>
        <v/>
      </c>
      <c r="G5020">
        <f>BASE_EQUIPOS!M5020</f>
        <v/>
      </c>
    </row>
    <row r="5021">
      <c r="A5021">
        <f>TRIM(BASE_EQUIPOS!N5021)</f>
        <v/>
      </c>
      <c r="B5021">
        <f>BASE_EQUIPOS!A5021</f>
        <v/>
      </c>
      <c r="C5021">
        <f>BASE_EQUIPOS!B5021</f>
        <v/>
      </c>
      <c r="D5021">
        <f>BASE_EQUIPOS!D5021</f>
        <v/>
      </c>
      <c r="E5021">
        <f>BASE_EQUIPOS!G5021</f>
        <v/>
      </c>
      <c r="F5021">
        <f>BASE_EQUIPOS!H5021</f>
        <v/>
      </c>
      <c r="G5021">
        <f>BASE_EQUIPOS!M5021</f>
        <v/>
      </c>
    </row>
    <row r="5022">
      <c r="A5022">
        <f>TRIM(BASE_EQUIPOS!N5022)</f>
        <v/>
      </c>
      <c r="B5022">
        <f>BASE_EQUIPOS!A5022</f>
        <v/>
      </c>
      <c r="C5022">
        <f>BASE_EQUIPOS!B5022</f>
        <v/>
      </c>
      <c r="D5022">
        <f>BASE_EQUIPOS!D5022</f>
        <v/>
      </c>
      <c r="E5022">
        <f>BASE_EQUIPOS!G5022</f>
        <v/>
      </c>
      <c r="F5022">
        <f>BASE_EQUIPOS!H5022</f>
        <v/>
      </c>
      <c r="G5022">
        <f>BASE_EQUIPOS!M5022</f>
        <v/>
      </c>
    </row>
    <row r="5023">
      <c r="A5023">
        <f>TRIM(BASE_EQUIPOS!N5023)</f>
        <v/>
      </c>
      <c r="B5023">
        <f>BASE_EQUIPOS!A5023</f>
        <v/>
      </c>
      <c r="C5023">
        <f>BASE_EQUIPOS!B5023</f>
        <v/>
      </c>
      <c r="D5023">
        <f>BASE_EQUIPOS!D5023</f>
        <v/>
      </c>
      <c r="E5023">
        <f>BASE_EQUIPOS!G5023</f>
        <v/>
      </c>
      <c r="F5023">
        <f>BASE_EQUIPOS!H5023</f>
        <v/>
      </c>
      <c r="G5023">
        <f>BASE_EQUIPOS!M5023</f>
        <v/>
      </c>
    </row>
    <row r="5024">
      <c r="A5024">
        <f>TRIM(BASE_EQUIPOS!N5024)</f>
        <v/>
      </c>
      <c r="B5024">
        <f>BASE_EQUIPOS!A5024</f>
        <v/>
      </c>
      <c r="C5024">
        <f>BASE_EQUIPOS!B5024</f>
        <v/>
      </c>
      <c r="D5024">
        <f>BASE_EQUIPOS!D5024</f>
        <v/>
      </c>
      <c r="E5024">
        <f>BASE_EQUIPOS!G5024</f>
        <v/>
      </c>
      <c r="F5024">
        <f>BASE_EQUIPOS!H5024</f>
        <v/>
      </c>
      <c r="G5024">
        <f>BASE_EQUIPOS!M5024</f>
        <v/>
      </c>
    </row>
    <row r="5025">
      <c r="A5025">
        <f>TRIM(BASE_EQUIPOS!N5025)</f>
        <v/>
      </c>
      <c r="B5025">
        <f>BASE_EQUIPOS!A5025</f>
        <v/>
      </c>
      <c r="C5025">
        <f>BASE_EQUIPOS!B5025</f>
        <v/>
      </c>
      <c r="D5025">
        <f>BASE_EQUIPOS!D5025</f>
        <v/>
      </c>
      <c r="E5025">
        <f>BASE_EQUIPOS!G5025</f>
        <v/>
      </c>
      <c r="F5025">
        <f>BASE_EQUIPOS!H5025</f>
        <v/>
      </c>
      <c r="G5025">
        <f>BASE_EQUIPOS!M5025</f>
        <v/>
      </c>
    </row>
    <row r="5026">
      <c r="A5026">
        <f>TRIM(BASE_EQUIPOS!N5026)</f>
        <v/>
      </c>
      <c r="B5026">
        <f>BASE_EQUIPOS!A5026</f>
        <v/>
      </c>
      <c r="C5026">
        <f>BASE_EQUIPOS!B5026</f>
        <v/>
      </c>
      <c r="D5026">
        <f>BASE_EQUIPOS!D5026</f>
        <v/>
      </c>
      <c r="E5026">
        <f>BASE_EQUIPOS!G5026</f>
        <v/>
      </c>
      <c r="F5026">
        <f>BASE_EQUIPOS!H5026</f>
        <v/>
      </c>
      <c r="G5026">
        <f>BASE_EQUIPOS!M5026</f>
        <v/>
      </c>
    </row>
    <row r="5027">
      <c r="A5027">
        <f>TRIM(BASE_EQUIPOS!N5027)</f>
        <v/>
      </c>
      <c r="B5027">
        <f>BASE_EQUIPOS!A5027</f>
        <v/>
      </c>
      <c r="C5027">
        <f>BASE_EQUIPOS!B5027</f>
        <v/>
      </c>
      <c r="D5027">
        <f>BASE_EQUIPOS!D5027</f>
        <v/>
      </c>
      <c r="E5027">
        <f>BASE_EQUIPOS!G5027</f>
        <v/>
      </c>
      <c r="F5027">
        <f>BASE_EQUIPOS!H5027</f>
        <v/>
      </c>
      <c r="G5027">
        <f>BASE_EQUIPOS!M5027</f>
        <v/>
      </c>
    </row>
    <row r="5028">
      <c r="A5028">
        <f>TRIM(BASE_EQUIPOS!N5028)</f>
        <v/>
      </c>
      <c r="B5028">
        <f>BASE_EQUIPOS!A5028</f>
        <v/>
      </c>
      <c r="C5028">
        <f>BASE_EQUIPOS!B5028</f>
        <v/>
      </c>
      <c r="D5028">
        <f>BASE_EQUIPOS!D5028</f>
        <v/>
      </c>
      <c r="E5028">
        <f>BASE_EQUIPOS!G5028</f>
        <v/>
      </c>
      <c r="F5028">
        <f>BASE_EQUIPOS!H5028</f>
        <v/>
      </c>
      <c r="G5028">
        <f>BASE_EQUIPOS!M5028</f>
        <v/>
      </c>
    </row>
    <row r="5029">
      <c r="A5029">
        <f>TRIM(BASE_EQUIPOS!N5029)</f>
        <v/>
      </c>
      <c r="B5029">
        <f>BASE_EQUIPOS!A5029</f>
        <v/>
      </c>
      <c r="C5029">
        <f>BASE_EQUIPOS!B5029</f>
        <v/>
      </c>
      <c r="D5029">
        <f>BASE_EQUIPOS!D5029</f>
        <v/>
      </c>
      <c r="E5029">
        <f>BASE_EQUIPOS!G5029</f>
        <v/>
      </c>
      <c r="F5029">
        <f>BASE_EQUIPOS!H5029</f>
        <v/>
      </c>
      <c r="G5029">
        <f>BASE_EQUIPOS!M5029</f>
        <v/>
      </c>
    </row>
    <row r="5030">
      <c r="A5030">
        <f>TRIM(BASE_EQUIPOS!N5030)</f>
        <v/>
      </c>
      <c r="B5030">
        <f>BASE_EQUIPOS!A5030</f>
        <v/>
      </c>
      <c r="C5030">
        <f>BASE_EQUIPOS!B5030</f>
        <v/>
      </c>
      <c r="D5030">
        <f>BASE_EQUIPOS!D5030</f>
        <v/>
      </c>
      <c r="E5030">
        <f>BASE_EQUIPOS!G5030</f>
        <v/>
      </c>
      <c r="F5030">
        <f>BASE_EQUIPOS!H5030</f>
        <v/>
      </c>
      <c r="G5030">
        <f>BASE_EQUIPOS!M5030</f>
        <v/>
      </c>
    </row>
    <row r="5031">
      <c r="A5031">
        <f>TRIM(BASE_EQUIPOS!N5031)</f>
        <v/>
      </c>
      <c r="B5031">
        <f>BASE_EQUIPOS!A5031</f>
        <v/>
      </c>
      <c r="C5031">
        <f>BASE_EQUIPOS!B5031</f>
        <v/>
      </c>
      <c r="D5031">
        <f>BASE_EQUIPOS!D5031</f>
        <v/>
      </c>
      <c r="E5031">
        <f>BASE_EQUIPOS!G5031</f>
        <v/>
      </c>
      <c r="F5031">
        <f>BASE_EQUIPOS!H5031</f>
        <v/>
      </c>
      <c r="G5031">
        <f>BASE_EQUIPOS!M5031</f>
        <v/>
      </c>
    </row>
    <row r="5032">
      <c r="A5032">
        <f>TRIM(BASE_EQUIPOS!N5032)</f>
        <v/>
      </c>
      <c r="B5032">
        <f>BASE_EQUIPOS!A5032</f>
        <v/>
      </c>
      <c r="C5032">
        <f>BASE_EQUIPOS!B5032</f>
        <v/>
      </c>
      <c r="D5032">
        <f>BASE_EQUIPOS!D5032</f>
        <v/>
      </c>
      <c r="E5032">
        <f>BASE_EQUIPOS!G5032</f>
        <v/>
      </c>
      <c r="F5032">
        <f>BASE_EQUIPOS!H5032</f>
        <v/>
      </c>
      <c r="G5032">
        <f>BASE_EQUIPOS!M5032</f>
        <v/>
      </c>
    </row>
    <row r="5033">
      <c r="A5033">
        <f>TRIM(BASE_EQUIPOS!N5033)</f>
        <v/>
      </c>
      <c r="B5033">
        <f>BASE_EQUIPOS!A5033</f>
        <v/>
      </c>
      <c r="C5033">
        <f>BASE_EQUIPOS!B5033</f>
        <v/>
      </c>
      <c r="D5033">
        <f>BASE_EQUIPOS!D5033</f>
        <v/>
      </c>
      <c r="E5033">
        <f>BASE_EQUIPOS!G5033</f>
        <v/>
      </c>
      <c r="F5033">
        <f>BASE_EQUIPOS!H5033</f>
        <v/>
      </c>
      <c r="G5033">
        <f>BASE_EQUIPOS!M5033</f>
        <v/>
      </c>
    </row>
    <row r="5034">
      <c r="A5034">
        <f>TRIM(BASE_EQUIPOS!N5034)</f>
        <v/>
      </c>
      <c r="B5034">
        <f>BASE_EQUIPOS!A5034</f>
        <v/>
      </c>
      <c r="C5034">
        <f>BASE_EQUIPOS!B5034</f>
        <v/>
      </c>
      <c r="D5034">
        <f>BASE_EQUIPOS!D5034</f>
        <v/>
      </c>
      <c r="E5034">
        <f>BASE_EQUIPOS!G5034</f>
        <v/>
      </c>
      <c r="F5034">
        <f>BASE_EQUIPOS!H5034</f>
        <v/>
      </c>
      <c r="G5034">
        <f>BASE_EQUIPOS!M5034</f>
        <v/>
      </c>
    </row>
    <row r="5035">
      <c r="A5035">
        <f>TRIM(BASE_EQUIPOS!N5035)</f>
        <v/>
      </c>
      <c r="B5035">
        <f>BASE_EQUIPOS!A5035</f>
        <v/>
      </c>
      <c r="C5035">
        <f>BASE_EQUIPOS!B5035</f>
        <v/>
      </c>
      <c r="D5035">
        <f>BASE_EQUIPOS!D5035</f>
        <v/>
      </c>
      <c r="E5035">
        <f>BASE_EQUIPOS!G5035</f>
        <v/>
      </c>
      <c r="F5035">
        <f>BASE_EQUIPOS!H5035</f>
        <v/>
      </c>
      <c r="G5035">
        <f>BASE_EQUIPOS!M5035</f>
        <v/>
      </c>
    </row>
    <row r="5036">
      <c r="A5036">
        <f>TRIM(BASE_EQUIPOS!N5036)</f>
        <v/>
      </c>
      <c r="B5036">
        <f>BASE_EQUIPOS!A5036</f>
        <v/>
      </c>
      <c r="C5036">
        <f>BASE_EQUIPOS!B5036</f>
        <v/>
      </c>
      <c r="D5036">
        <f>BASE_EQUIPOS!D5036</f>
        <v/>
      </c>
      <c r="E5036">
        <f>BASE_EQUIPOS!G5036</f>
        <v/>
      </c>
      <c r="F5036">
        <f>BASE_EQUIPOS!H5036</f>
        <v/>
      </c>
      <c r="G5036">
        <f>BASE_EQUIPOS!M5036</f>
        <v/>
      </c>
    </row>
    <row r="5037">
      <c r="A5037">
        <f>TRIM(BASE_EQUIPOS!N5037)</f>
        <v/>
      </c>
      <c r="B5037">
        <f>BASE_EQUIPOS!A5037</f>
        <v/>
      </c>
      <c r="C5037">
        <f>BASE_EQUIPOS!B5037</f>
        <v/>
      </c>
      <c r="D5037">
        <f>BASE_EQUIPOS!D5037</f>
        <v/>
      </c>
      <c r="E5037">
        <f>BASE_EQUIPOS!G5037</f>
        <v/>
      </c>
      <c r="F5037">
        <f>BASE_EQUIPOS!H5037</f>
        <v/>
      </c>
      <c r="G5037">
        <f>BASE_EQUIPOS!M5037</f>
        <v/>
      </c>
    </row>
    <row r="5038">
      <c r="A5038">
        <f>TRIM(BASE_EQUIPOS!N5038)</f>
        <v/>
      </c>
      <c r="B5038">
        <f>BASE_EQUIPOS!A5038</f>
        <v/>
      </c>
      <c r="C5038">
        <f>BASE_EQUIPOS!B5038</f>
        <v/>
      </c>
      <c r="D5038">
        <f>BASE_EQUIPOS!D5038</f>
        <v/>
      </c>
      <c r="E5038">
        <f>BASE_EQUIPOS!G5038</f>
        <v/>
      </c>
      <c r="F5038">
        <f>BASE_EQUIPOS!H5038</f>
        <v/>
      </c>
      <c r="G5038">
        <f>BASE_EQUIPOS!M5038</f>
        <v/>
      </c>
    </row>
    <row r="5039">
      <c r="A5039">
        <f>TRIM(BASE_EQUIPOS!N5039)</f>
        <v/>
      </c>
      <c r="B5039">
        <f>BASE_EQUIPOS!A5039</f>
        <v/>
      </c>
      <c r="C5039">
        <f>BASE_EQUIPOS!B5039</f>
        <v/>
      </c>
      <c r="D5039">
        <f>BASE_EQUIPOS!D5039</f>
        <v/>
      </c>
      <c r="E5039">
        <f>BASE_EQUIPOS!G5039</f>
        <v/>
      </c>
      <c r="F5039">
        <f>BASE_EQUIPOS!H5039</f>
        <v/>
      </c>
      <c r="G5039">
        <f>BASE_EQUIPOS!M5039</f>
        <v/>
      </c>
    </row>
    <row r="5040">
      <c r="A5040">
        <f>TRIM(BASE_EQUIPOS!N5040)</f>
        <v/>
      </c>
      <c r="B5040">
        <f>BASE_EQUIPOS!A5040</f>
        <v/>
      </c>
      <c r="C5040">
        <f>BASE_EQUIPOS!B5040</f>
        <v/>
      </c>
      <c r="D5040">
        <f>BASE_EQUIPOS!D5040</f>
        <v/>
      </c>
      <c r="E5040">
        <f>BASE_EQUIPOS!G5040</f>
        <v/>
      </c>
      <c r="F5040">
        <f>BASE_EQUIPOS!H5040</f>
        <v/>
      </c>
      <c r="G5040">
        <f>BASE_EQUIPOS!M5040</f>
        <v/>
      </c>
    </row>
    <row r="5041">
      <c r="A5041">
        <f>TRIM(BASE_EQUIPOS!N5041)</f>
        <v/>
      </c>
      <c r="B5041">
        <f>BASE_EQUIPOS!A5041</f>
        <v/>
      </c>
      <c r="C5041">
        <f>BASE_EQUIPOS!B5041</f>
        <v/>
      </c>
      <c r="D5041">
        <f>BASE_EQUIPOS!D5041</f>
        <v/>
      </c>
      <c r="E5041">
        <f>BASE_EQUIPOS!G5041</f>
        <v/>
      </c>
      <c r="F5041">
        <f>BASE_EQUIPOS!H5041</f>
        <v/>
      </c>
      <c r="G5041">
        <f>BASE_EQUIPOS!M5041</f>
        <v/>
      </c>
    </row>
    <row r="5042">
      <c r="A5042">
        <f>TRIM(BASE_EQUIPOS!N5042)</f>
        <v/>
      </c>
      <c r="B5042">
        <f>BASE_EQUIPOS!A5042</f>
        <v/>
      </c>
      <c r="C5042">
        <f>BASE_EQUIPOS!B5042</f>
        <v/>
      </c>
      <c r="D5042">
        <f>BASE_EQUIPOS!D5042</f>
        <v/>
      </c>
      <c r="E5042">
        <f>BASE_EQUIPOS!G5042</f>
        <v/>
      </c>
      <c r="F5042">
        <f>BASE_EQUIPOS!H5042</f>
        <v/>
      </c>
      <c r="G5042">
        <f>BASE_EQUIPOS!M5042</f>
        <v/>
      </c>
    </row>
    <row r="5043">
      <c r="A5043">
        <f>TRIM(BASE_EQUIPOS!N5043)</f>
        <v/>
      </c>
      <c r="B5043">
        <f>BASE_EQUIPOS!A5043</f>
        <v/>
      </c>
      <c r="C5043">
        <f>BASE_EQUIPOS!B5043</f>
        <v/>
      </c>
      <c r="D5043">
        <f>BASE_EQUIPOS!D5043</f>
        <v/>
      </c>
      <c r="E5043">
        <f>BASE_EQUIPOS!G5043</f>
        <v/>
      </c>
      <c r="F5043">
        <f>BASE_EQUIPOS!H5043</f>
        <v/>
      </c>
      <c r="G5043">
        <f>BASE_EQUIPOS!M5043</f>
        <v/>
      </c>
    </row>
    <row r="5044">
      <c r="A5044">
        <f>TRIM(BASE_EQUIPOS!N5044)</f>
        <v/>
      </c>
      <c r="B5044">
        <f>BASE_EQUIPOS!A5044</f>
        <v/>
      </c>
      <c r="C5044">
        <f>BASE_EQUIPOS!B5044</f>
        <v/>
      </c>
      <c r="D5044">
        <f>BASE_EQUIPOS!D5044</f>
        <v/>
      </c>
      <c r="E5044">
        <f>BASE_EQUIPOS!G5044</f>
        <v/>
      </c>
      <c r="F5044">
        <f>BASE_EQUIPOS!H5044</f>
        <v/>
      </c>
      <c r="G5044">
        <f>BASE_EQUIPOS!M5044</f>
        <v/>
      </c>
    </row>
    <row r="5045">
      <c r="A5045">
        <f>TRIM(BASE_EQUIPOS!N5045)</f>
        <v/>
      </c>
      <c r="B5045">
        <f>BASE_EQUIPOS!A5045</f>
        <v/>
      </c>
      <c r="C5045">
        <f>BASE_EQUIPOS!B5045</f>
        <v/>
      </c>
      <c r="D5045">
        <f>BASE_EQUIPOS!D5045</f>
        <v/>
      </c>
      <c r="E5045">
        <f>BASE_EQUIPOS!G5045</f>
        <v/>
      </c>
      <c r="F5045">
        <f>BASE_EQUIPOS!H5045</f>
        <v/>
      </c>
      <c r="G5045">
        <f>BASE_EQUIPOS!M5045</f>
        <v/>
      </c>
    </row>
    <row r="5046">
      <c r="A5046">
        <f>TRIM(BASE_EQUIPOS!N5046)</f>
        <v/>
      </c>
      <c r="B5046">
        <f>BASE_EQUIPOS!A5046</f>
        <v/>
      </c>
      <c r="C5046">
        <f>BASE_EQUIPOS!B5046</f>
        <v/>
      </c>
      <c r="D5046">
        <f>BASE_EQUIPOS!D5046</f>
        <v/>
      </c>
      <c r="E5046">
        <f>BASE_EQUIPOS!G5046</f>
        <v/>
      </c>
      <c r="F5046">
        <f>BASE_EQUIPOS!H5046</f>
        <v/>
      </c>
      <c r="G5046">
        <f>BASE_EQUIPOS!M5046</f>
        <v/>
      </c>
    </row>
    <row r="5047">
      <c r="A5047">
        <f>TRIM(BASE_EQUIPOS!N5047)</f>
        <v/>
      </c>
      <c r="B5047">
        <f>BASE_EQUIPOS!A5047</f>
        <v/>
      </c>
      <c r="C5047">
        <f>BASE_EQUIPOS!B5047</f>
        <v/>
      </c>
      <c r="D5047">
        <f>BASE_EQUIPOS!D5047</f>
        <v/>
      </c>
      <c r="E5047">
        <f>BASE_EQUIPOS!G5047</f>
        <v/>
      </c>
      <c r="F5047">
        <f>BASE_EQUIPOS!H5047</f>
        <v/>
      </c>
      <c r="G5047">
        <f>BASE_EQUIPOS!M5047</f>
        <v/>
      </c>
    </row>
    <row r="5048">
      <c r="A5048">
        <f>TRIM(BASE_EQUIPOS!N5048)</f>
        <v/>
      </c>
      <c r="B5048">
        <f>BASE_EQUIPOS!A5048</f>
        <v/>
      </c>
      <c r="C5048">
        <f>BASE_EQUIPOS!B5048</f>
        <v/>
      </c>
      <c r="D5048">
        <f>BASE_EQUIPOS!D5048</f>
        <v/>
      </c>
      <c r="E5048">
        <f>BASE_EQUIPOS!G5048</f>
        <v/>
      </c>
      <c r="F5048">
        <f>BASE_EQUIPOS!H5048</f>
        <v/>
      </c>
      <c r="G5048">
        <f>BASE_EQUIPOS!M5048</f>
        <v/>
      </c>
    </row>
    <row r="5049">
      <c r="A5049">
        <f>TRIM(BASE_EQUIPOS!N5049)</f>
        <v/>
      </c>
      <c r="B5049">
        <f>BASE_EQUIPOS!A5049</f>
        <v/>
      </c>
      <c r="C5049">
        <f>BASE_EQUIPOS!B5049</f>
        <v/>
      </c>
      <c r="D5049">
        <f>BASE_EQUIPOS!D5049</f>
        <v/>
      </c>
      <c r="E5049">
        <f>BASE_EQUIPOS!G5049</f>
        <v/>
      </c>
      <c r="F5049">
        <f>BASE_EQUIPOS!H5049</f>
        <v/>
      </c>
      <c r="G5049">
        <f>BASE_EQUIPOS!M5049</f>
        <v/>
      </c>
    </row>
    <row r="5050">
      <c r="A5050">
        <f>TRIM(BASE_EQUIPOS!N5050)</f>
        <v/>
      </c>
      <c r="B5050">
        <f>BASE_EQUIPOS!A5050</f>
        <v/>
      </c>
      <c r="C5050">
        <f>BASE_EQUIPOS!B5050</f>
        <v/>
      </c>
      <c r="D5050">
        <f>BASE_EQUIPOS!D5050</f>
        <v/>
      </c>
      <c r="E5050">
        <f>BASE_EQUIPOS!G5050</f>
        <v/>
      </c>
      <c r="F5050">
        <f>BASE_EQUIPOS!H5050</f>
        <v/>
      </c>
      <c r="G5050">
        <f>BASE_EQUIPOS!M5050</f>
        <v/>
      </c>
    </row>
    <row r="5051">
      <c r="A5051">
        <f>TRIM(BASE_EQUIPOS!N5051)</f>
        <v/>
      </c>
      <c r="B5051">
        <f>BASE_EQUIPOS!A5051</f>
        <v/>
      </c>
      <c r="C5051">
        <f>BASE_EQUIPOS!B5051</f>
        <v/>
      </c>
      <c r="D5051">
        <f>BASE_EQUIPOS!D5051</f>
        <v/>
      </c>
      <c r="E5051">
        <f>BASE_EQUIPOS!G5051</f>
        <v/>
      </c>
      <c r="F5051">
        <f>BASE_EQUIPOS!H5051</f>
        <v/>
      </c>
      <c r="G5051">
        <f>BASE_EQUIPOS!M5051</f>
        <v/>
      </c>
    </row>
    <row r="5052">
      <c r="A5052">
        <f>TRIM(BASE_EQUIPOS!N5052)</f>
        <v/>
      </c>
      <c r="B5052">
        <f>BASE_EQUIPOS!A5052</f>
        <v/>
      </c>
      <c r="C5052">
        <f>BASE_EQUIPOS!B5052</f>
        <v/>
      </c>
      <c r="D5052">
        <f>BASE_EQUIPOS!D5052</f>
        <v/>
      </c>
      <c r="E5052">
        <f>BASE_EQUIPOS!G5052</f>
        <v/>
      </c>
      <c r="F5052">
        <f>BASE_EQUIPOS!H5052</f>
        <v/>
      </c>
      <c r="G5052">
        <f>BASE_EQUIPOS!M5052</f>
        <v/>
      </c>
    </row>
    <row r="5053">
      <c r="A5053">
        <f>TRIM(BASE_EQUIPOS!N5053)</f>
        <v/>
      </c>
      <c r="B5053">
        <f>BASE_EQUIPOS!A5053</f>
        <v/>
      </c>
      <c r="C5053">
        <f>BASE_EQUIPOS!B5053</f>
        <v/>
      </c>
      <c r="D5053">
        <f>BASE_EQUIPOS!D5053</f>
        <v/>
      </c>
      <c r="E5053">
        <f>BASE_EQUIPOS!G5053</f>
        <v/>
      </c>
      <c r="F5053">
        <f>BASE_EQUIPOS!H5053</f>
        <v/>
      </c>
      <c r="G5053">
        <f>BASE_EQUIPOS!M5053</f>
        <v/>
      </c>
    </row>
    <row r="5054">
      <c r="A5054">
        <f>TRIM(BASE_EQUIPOS!N5054)</f>
        <v/>
      </c>
      <c r="B5054">
        <f>BASE_EQUIPOS!A5054</f>
        <v/>
      </c>
      <c r="C5054">
        <f>BASE_EQUIPOS!B5054</f>
        <v/>
      </c>
      <c r="D5054">
        <f>BASE_EQUIPOS!D5054</f>
        <v/>
      </c>
      <c r="E5054">
        <f>BASE_EQUIPOS!G5054</f>
        <v/>
      </c>
      <c r="F5054">
        <f>BASE_EQUIPOS!H5054</f>
        <v/>
      </c>
      <c r="G5054">
        <f>BASE_EQUIPOS!M5054</f>
        <v/>
      </c>
    </row>
    <row r="5055">
      <c r="A5055">
        <f>TRIM(BASE_EQUIPOS!N5055)</f>
        <v/>
      </c>
      <c r="B5055">
        <f>BASE_EQUIPOS!A5055</f>
        <v/>
      </c>
      <c r="C5055">
        <f>BASE_EQUIPOS!B5055</f>
        <v/>
      </c>
      <c r="D5055">
        <f>BASE_EQUIPOS!D5055</f>
        <v/>
      </c>
      <c r="E5055">
        <f>BASE_EQUIPOS!G5055</f>
        <v/>
      </c>
      <c r="F5055">
        <f>BASE_EQUIPOS!H5055</f>
        <v/>
      </c>
      <c r="G5055">
        <f>BASE_EQUIPOS!M5055</f>
        <v/>
      </c>
    </row>
    <row r="5056">
      <c r="A5056">
        <f>TRIM(BASE_EQUIPOS!N5056)</f>
        <v/>
      </c>
      <c r="B5056">
        <f>BASE_EQUIPOS!A5056</f>
        <v/>
      </c>
      <c r="C5056">
        <f>BASE_EQUIPOS!B5056</f>
        <v/>
      </c>
      <c r="D5056">
        <f>BASE_EQUIPOS!D5056</f>
        <v/>
      </c>
      <c r="E5056">
        <f>BASE_EQUIPOS!G5056</f>
        <v/>
      </c>
      <c r="F5056">
        <f>BASE_EQUIPOS!H5056</f>
        <v/>
      </c>
      <c r="G5056">
        <f>BASE_EQUIPOS!M5056</f>
        <v/>
      </c>
    </row>
    <row r="5057">
      <c r="A5057">
        <f>TRIM(BASE_EQUIPOS!N5057)</f>
        <v/>
      </c>
      <c r="B5057">
        <f>BASE_EQUIPOS!A5057</f>
        <v/>
      </c>
      <c r="C5057">
        <f>BASE_EQUIPOS!B5057</f>
        <v/>
      </c>
      <c r="D5057">
        <f>BASE_EQUIPOS!D5057</f>
        <v/>
      </c>
      <c r="E5057">
        <f>BASE_EQUIPOS!G5057</f>
        <v/>
      </c>
      <c r="F5057">
        <f>BASE_EQUIPOS!H5057</f>
        <v/>
      </c>
      <c r="G5057">
        <f>BASE_EQUIPOS!M5057</f>
        <v/>
      </c>
    </row>
    <row r="5058">
      <c r="A5058">
        <f>TRIM(BASE_EQUIPOS!N5058)</f>
        <v/>
      </c>
      <c r="B5058">
        <f>BASE_EQUIPOS!A5058</f>
        <v/>
      </c>
      <c r="C5058">
        <f>BASE_EQUIPOS!B5058</f>
        <v/>
      </c>
      <c r="D5058">
        <f>BASE_EQUIPOS!D5058</f>
        <v/>
      </c>
      <c r="E5058">
        <f>BASE_EQUIPOS!G5058</f>
        <v/>
      </c>
      <c r="F5058">
        <f>BASE_EQUIPOS!H5058</f>
        <v/>
      </c>
      <c r="G5058">
        <f>BASE_EQUIPOS!M5058</f>
        <v/>
      </c>
    </row>
    <row r="5059">
      <c r="A5059">
        <f>TRIM(BASE_EQUIPOS!N5059)</f>
        <v/>
      </c>
      <c r="B5059">
        <f>BASE_EQUIPOS!A5059</f>
        <v/>
      </c>
      <c r="C5059">
        <f>BASE_EQUIPOS!B5059</f>
        <v/>
      </c>
      <c r="D5059">
        <f>BASE_EQUIPOS!D5059</f>
        <v/>
      </c>
      <c r="E5059">
        <f>BASE_EQUIPOS!G5059</f>
        <v/>
      </c>
      <c r="F5059">
        <f>BASE_EQUIPOS!H5059</f>
        <v/>
      </c>
      <c r="G5059">
        <f>BASE_EQUIPOS!M5059</f>
        <v/>
      </c>
    </row>
    <row r="5060">
      <c r="A5060">
        <f>TRIM(BASE_EQUIPOS!N5060)</f>
        <v/>
      </c>
      <c r="B5060">
        <f>BASE_EQUIPOS!A5060</f>
        <v/>
      </c>
      <c r="C5060">
        <f>BASE_EQUIPOS!B5060</f>
        <v/>
      </c>
      <c r="D5060">
        <f>BASE_EQUIPOS!D5060</f>
        <v/>
      </c>
      <c r="E5060">
        <f>BASE_EQUIPOS!G5060</f>
        <v/>
      </c>
      <c r="F5060">
        <f>BASE_EQUIPOS!H5060</f>
        <v/>
      </c>
      <c r="G5060">
        <f>BASE_EQUIPOS!M5060</f>
        <v/>
      </c>
    </row>
    <row r="5061">
      <c r="A5061">
        <f>TRIM(BASE_EQUIPOS!N5061)</f>
        <v/>
      </c>
      <c r="B5061">
        <f>BASE_EQUIPOS!A5061</f>
        <v/>
      </c>
      <c r="C5061">
        <f>BASE_EQUIPOS!B5061</f>
        <v/>
      </c>
      <c r="D5061">
        <f>BASE_EQUIPOS!D5061</f>
        <v/>
      </c>
      <c r="E5061">
        <f>BASE_EQUIPOS!G5061</f>
        <v/>
      </c>
      <c r="F5061">
        <f>BASE_EQUIPOS!H5061</f>
        <v/>
      </c>
      <c r="G5061">
        <f>BASE_EQUIPOS!M5061</f>
        <v/>
      </c>
    </row>
    <row r="5062">
      <c r="A5062">
        <f>TRIM(BASE_EQUIPOS!N5062)</f>
        <v/>
      </c>
      <c r="B5062">
        <f>BASE_EQUIPOS!A5062</f>
        <v/>
      </c>
      <c r="C5062">
        <f>BASE_EQUIPOS!B5062</f>
        <v/>
      </c>
      <c r="D5062">
        <f>BASE_EQUIPOS!D5062</f>
        <v/>
      </c>
      <c r="E5062">
        <f>BASE_EQUIPOS!G5062</f>
        <v/>
      </c>
      <c r="F5062">
        <f>BASE_EQUIPOS!H5062</f>
        <v/>
      </c>
      <c r="G5062">
        <f>BASE_EQUIPOS!M5062</f>
        <v/>
      </c>
    </row>
    <row r="5063">
      <c r="A5063">
        <f>TRIM(BASE_EQUIPOS!N5063)</f>
        <v/>
      </c>
      <c r="B5063">
        <f>BASE_EQUIPOS!A5063</f>
        <v/>
      </c>
      <c r="C5063">
        <f>BASE_EQUIPOS!B5063</f>
        <v/>
      </c>
      <c r="D5063">
        <f>BASE_EQUIPOS!D5063</f>
        <v/>
      </c>
      <c r="E5063">
        <f>BASE_EQUIPOS!G5063</f>
        <v/>
      </c>
      <c r="F5063">
        <f>BASE_EQUIPOS!H5063</f>
        <v/>
      </c>
      <c r="G5063">
        <f>BASE_EQUIPOS!M5063</f>
        <v/>
      </c>
    </row>
    <row r="5064">
      <c r="A5064">
        <f>TRIM(BASE_EQUIPOS!N5064)</f>
        <v/>
      </c>
      <c r="B5064">
        <f>BASE_EQUIPOS!A5064</f>
        <v/>
      </c>
      <c r="C5064">
        <f>BASE_EQUIPOS!B5064</f>
        <v/>
      </c>
      <c r="D5064">
        <f>BASE_EQUIPOS!D5064</f>
        <v/>
      </c>
      <c r="E5064">
        <f>BASE_EQUIPOS!G5064</f>
        <v/>
      </c>
      <c r="F5064">
        <f>BASE_EQUIPOS!H5064</f>
        <v/>
      </c>
      <c r="G5064">
        <f>BASE_EQUIPOS!M5064</f>
        <v/>
      </c>
    </row>
    <row r="5065">
      <c r="A5065">
        <f>TRIM(BASE_EQUIPOS!N5065)</f>
        <v/>
      </c>
      <c r="B5065">
        <f>BASE_EQUIPOS!A5065</f>
        <v/>
      </c>
      <c r="C5065">
        <f>BASE_EQUIPOS!B5065</f>
        <v/>
      </c>
      <c r="D5065">
        <f>BASE_EQUIPOS!D5065</f>
        <v/>
      </c>
      <c r="E5065">
        <f>BASE_EQUIPOS!G5065</f>
        <v/>
      </c>
      <c r="F5065">
        <f>BASE_EQUIPOS!H5065</f>
        <v/>
      </c>
      <c r="G5065">
        <f>BASE_EQUIPOS!M5065</f>
        <v/>
      </c>
    </row>
    <row r="5066">
      <c r="A5066">
        <f>TRIM(BASE_EQUIPOS!N5066)</f>
        <v/>
      </c>
      <c r="B5066">
        <f>BASE_EQUIPOS!A5066</f>
        <v/>
      </c>
      <c r="C5066">
        <f>BASE_EQUIPOS!B5066</f>
        <v/>
      </c>
      <c r="D5066">
        <f>BASE_EQUIPOS!D5066</f>
        <v/>
      </c>
      <c r="E5066">
        <f>BASE_EQUIPOS!G5066</f>
        <v/>
      </c>
      <c r="F5066">
        <f>BASE_EQUIPOS!H5066</f>
        <v/>
      </c>
      <c r="G5066">
        <f>BASE_EQUIPOS!M5066</f>
        <v/>
      </c>
    </row>
    <row r="5067">
      <c r="A5067">
        <f>TRIM(BASE_EQUIPOS!N5067)</f>
        <v/>
      </c>
      <c r="B5067">
        <f>BASE_EQUIPOS!A5067</f>
        <v/>
      </c>
      <c r="C5067">
        <f>BASE_EQUIPOS!B5067</f>
        <v/>
      </c>
      <c r="D5067">
        <f>BASE_EQUIPOS!D5067</f>
        <v/>
      </c>
      <c r="E5067">
        <f>BASE_EQUIPOS!G5067</f>
        <v/>
      </c>
      <c r="F5067">
        <f>BASE_EQUIPOS!H5067</f>
        <v/>
      </c>
      <c r="G5067">
        <f>BASE_EQUIPOS!M5067</f>
        <v/>
      </c>
    </row>
    <row r="5068">
      <c r="A5068">
        <f>TRIM(BASE_EQUIPOS!N5068)</f>
        <v/>
      </c>
      <c r="B5068">
        <f>BASE_EQUIPOS!A5068</f>
        <v/>
      </c>
      <c r="C5068">
        <f>BASE_EQUIPOS!B5068</f>
        <v/>
      </c>
      <c r="D5068">
        <f>BASE_EQUIPOS!D5068</f>
        <v/>
      </c>
      <c r="E5068">
        <f>BASE_EQUIPOS!G5068</f>
        <v/>
      </c>
      <c r="F5068">
        <f>BASE_EQUIPOS!H5068</f>
        <v/>
      </c>
      <c r="G5068">
        <f>BASE_EQUIPOS!M5068</f>
        <v/>
      </c>
    </row>
    <row r="5069">
      <c r="A5069">
        <f>TRIM(BASE_EQUIPOS!N5069)</f>
        <v/>
      </c>
      <c r="B5069">
        <f>BASE_EQUIPOS!A5069</f>
        <v/>
      </c>
      <c r="C5069">
        <f>BASE_EQUIPOS!B5069</f>
        <v/>
      </c>
      <c r="D5069">
        <f>BASE_EQUIPOS!D5069</f>
        <v/>
      </c>
      <c r="E5069">
        <f>BASE_EQUIPOS!G5069</f>
        <v/>
      </c>
      <c r="F5069">
        <f>BASE_EQUIPOS!H5069</f>
        <v/>
      </c>
      <c r="G5069">
        <f>BASE_EQUIPOS!M5069</f>
        <v/>
      </c>
    </row>
    <row r="5070">
      <c r="A5070">
        <f>TRIM(BASE_EQUIPOS!N5070)</f>
        <v/>
      </c>
      <c r="B5070">
        <f>BASE_EQUIPOS!A5070</f>
        <v/>
      </c>
      <c r="C5070">
        <f>BASE_EQUIPOS!B5070</f>
        <v/>
      </c>
      <c r="D5070">
        <f>BASE_EQUIPOS!D5070</f>
        <v/>
      </c>
      <c r="E5070">
        <f>BASE_EQUIPOS!G5070</f>
        <v/>
      </c>
      <c r="F5070">
        <f>BASE_EQUIPOS!H5070</f>
        <v/>
      </c>
      <c r="G5070">
        <f>BASE_EQUIPOS!M5070</f>
        <v/>
      </c>
    </row>
    <row r="5071">
      <c r="A5071">
        <f>TRIM(BASE_EQUIPOS!N5071)</f>
        <v/>
      </c>
      <c r="B5071">
        <f>BASE_EQUIPOS!A5071</f>
        <v/>
      </c>
      <c r="C5071">
        <f>BASE_EQUIPOS!B5071</f>
        <v/>
      </c>
      <c r="D5071">
        <f>BASE_EQUIPOS!D5071</f>
        <v/>
      </c>
      <c r="E5071">
        <f>BASE_EQUIPOS!G5071</f>
        <v/>
      </c>
      <c r="F5071">
        <f>BASE_EQUIPOS!H5071</f>
        <v/>
      </c>
      <c r="G5071">
        <f>BASE_EQUIPOS!M5071</f>
        <v/>
      </c>
    </row>
    <row r="5072">
      <c r="A5072">
        <f>TRIM(BASE_EQUIPOS!N5072)</f>
        <v/>
      </c>
      <c r="B5072">
        <f>BASE_EQUIPOS!A5072</f>
        <v/>
      </c>
      <c r="C5072">
        <f>BASE_EQUIPOS!B5072</f>
        <v/>
      </c>
      <c r="D5072">
        <f>BASE_EQUIPOS!D5072</f>
        <v/>
      </c>
      <c r="E5072">
        <f>BASE_EQUIPOS!G5072</f>
        <v/>
      </c>
      <c r="F5072">
        <f>BASE_EQUIPOS!H5072</f>
        <v/>
      </c>
      <c r="G5072">
        <f>BASE_EQUIPOS!M5072</f>
        <v/>
      </c>
    </row>
    <row r="5073">
      <c r="A5073">
        <f>TRIM(BASE_EQUIPOS!N5073)</f>
        <v/>
      </c>
      <c r="B5073">
        <f>BASE_EQUIPOS!A5073</f>
        <v/>
      </c>
      <c r="C5073">
        <f>BASE_EQUIPOS!B5073</f>
        <v/>
      </c>
      <c r="D5073">
        <f>BASE_EQUIPOS!D5073</f>
        <v/>
      </c>
      <c r="E5073">
        <f>BASE_EQUIPOS!G5073</f>
        <v/>
      </c>
      <c r="F5073">
        <f>BASE_EQUIPOS!H5073</f>
        <v/>
      </c>
      <c r="G5073">
        <f>BASE_EQUIPOS!M5073</f>
        <v/>
      </c>
    </row>
    <row r="5074">
      <c r="A5074">
        <f>TRIM(BASE_EQUIPOS!N5074)</f>
        <v/>
      </c>
      <c r="B5074">
        <f>BASE_EQUIPOS!A5074</f>
        <v/>
      </c>
      <c r="C5074">
        <f>BASE_EQUIPOS!B5074</f>
        <v/>
      </c>
      <c r="D5074">
        <f>BASE_EQUIPOS!D5074</f>
        <v/>
      </c>
      <c r="E5074">
        <f>BASE_EQUIPOS!G5074</f>
        <v/>
      </c>
      <c r="F5074">
        <f>BASE_EQUIPOS!H5074</f>
        <v/>
      </c>
      <c r="G5074">
        <f>BASE_EQUIPOS!M5074</f>
        <v/>
      </c>
    </row>
    <row r="5075">
      <c r="A5075">
        <f>TRIM(BASE_EQUIPOS!N5075)</f>
        <v/>
      </c>
      <c r="B5075">
        <f>BASE_EQUIPOS!A5075</f>
        <v/>
      </c>
      <c r="C5075">
        <f>BASE_EQUIPOS!B5075</f>
        <v/>
      </c>
      <c r="D5075">
        <f>BASE_EQUIPOS!D5075</f>
        <v/>
      </c>
      <c r="E5075">
        <f>BASE_EQUIPOS!G5075</f>
        <v/>
      </c>
      <c r="F5075">
        <f>BASE_EQUIPOS!H5075</f>
        <v/>
      </c>
      <c r="G5075">
        <f>BASE_EQUIPOS!M5075</f>
        <v/>
      </c>
    </row>
    <row r="5076">
      <c r="A5076">
        <f>TRIM(BASE_EQUIPOS!N5076)</f>
        <v/>
      </c>
      <c r="B5076">
        <f>BASE_EQUIPOS!A5076</f>
        <v/>
      </c>
      <c r="C5076">
        <f>BASE_EQUIPOS!B5076</f>
        <v/>
      </c>
      <c r="D5076">
        <f>BASE_EQUIPOS!D5076</f>
        <v/>
      </c>
      <c r="E5076">
        <f>BASE_EQUIPOS!G5076</f>
        <v/>
      </c>
      <c r="F5076">
        <f>BASE_EQUIPOS!H5076</f>
        <v/>
      </c>
      <c r="G5076">
        <f>BASE_EQUIPOS!M5076</f>
        <v/>
      </c>
    </row>
    <row r="5077">
      <c r="A5077">
        <f>TRIM(BASE_EQUIPOS!N5077)</f>
        <v/>
      </c>
      <c r="B5077">
        <f>BASE_EQUIPOS!A5077</f>
        <v/>
      </c>
      <c r="C5077">
        <f>BASE_EQUIPOS!B5077</f>
        <v/>
      </c>
      <c r="D5077">
        <f>BASE_EQUIPOS!D5077</f>
        <v/>
      </c>
      <c r="E5077">
        <f>BASE_EQUIPOS!G5077</f>
        <v/>
      </c>
      <c r="F5077">
        <f>BASE_EQUIPOS!H5077</f>
        <v/>
      </c>
      <c r="G5077">
        <f>BASE_EQUIPOS!M5077</f>
        <v/>
      </c>
    </row>
    <row r="5078">
      <c r="A5078">
        <f>TRIM(BASE_EQUIPOS!N5078)</f>
        <v/>
      </c>
      <c r="B5078">
        <f>BASE_EQUIPOS!A5078</f>
        <v/>
      </c>
      <c r="C5078">
        <f>BASE_EQUIPOS!B5078</f>
        <v/>
      </c>
      <c r="D5078">
        <f>BASE_EQUIPOS!D5078</f>
        <v/>
      </c>
      <c r="E5078">
        <f>BASE_EQUIPOS!G5078</f>
        <v/>
      </c>
      <c r="F5078">
        <f>BASE_EQUIPOS!H5078</f>
        <v/>
      </c>
      <c r="G5078">
        <f>BASE_EQUIPOS!M5078</f>
        <v/>
      </c>
    </row>
    <row r="5079">
      <c r="A5079">
        <f>TRIM(BASE_EQUIPOS!N5079)</f>
        <v/>
      </c>
      <c r="B5079">
        <f>BASE_EQUIPOS!A5079</f>
        <v/>
      </c>
      <c r="C5079">
        <f>BASE_EQUIPOS!B5079</f>
        <v/>
      </c>
      <c r="D5079">
        <f>BASE_EQUIPOS!D5079</f>
        <v/>
      </c>
      <c r="E5079">
        <f>BASE_EQUIPOS!G5079</f>
        <v/>
      </c>
      <c r="F5079">
        <f>BASE_EQUIPOS!H5079</f>
        <v/>
      </c>
      <c r="G5079">
        <f>BASE_EQUIPOS!M5079</f>
        <v/>
      </c>
    </row>
    <row r="5080">
      <c r="A5080">
        <f>TRIM(BASE_EQUIPOS!N5080)</f>
        <v/>
      </c>
      <c r="B5080">
        <f>BASE_EQUIPOS!A5080</f>
        <v/>
      </c>
      <c r="C5080">
        <f>BASE_EQUIPOS!B5080</f>
        <v/>
      </c>
      <c r="D5080">
        <f>BASE_EQUIPOS!D5080</f>
        <v/>
      </c>
      <c r="E5080">
        <f>BASE_EQUIPOS!G5080</f>
        <v/>
      </c>
      <c r="F5080">
        <f>BASE_EQUIPOS!H5080</f>
        <v/>
      </c>
      <c r="G5080">
        <f>BASE_EQUIPOS!M5080</f>
        <v/>
      </c>
    </row>
    <row r="5081">
      <c r="A5081">
        <f>TRIM(BASE_EQUIPOS!N5081)</f>
        <v/>
      </c>
      <c r="B5081">
        <f>BASE_EQUIPOS!A5081</f>
        <v/>
      </c>
      <c r="C5081">
        <f>BASE_EQUIPOS!B5081</f>
        <v/>
      </c>
      <c r="D5081">
        <f>BASE_EQUIPOS!D5081</f>
        <v/>
      </c>
      <c r="E5081">
        <f>BASE_EQUIPOS!G5081</f>
        <v/>
      </c>
      <c r="F5081">
        <f>BASE_EQUIPOS!H5081</f>
        <v/>
      </c>
      <c r="G5081">
        <f>BASE_EQUIPOS!M5081</f>
        <v/>
      </c>
    </row>
    <row r="5082">
      <c r="A5082">
        <f>TRIM(BASE_EQUIPOS!N5082)</f>
        <v/>
      </c>
      <c r="B5082">
        <f>BASE_EQUIPOS!A5082</f>
        <v/>
      </c>
      <c r="C5082">
        <f>BASE_EQUIPOS!B5082</f>
        <v/>
      </c>
      <c r="D5082">
        <f>BASE_EQUIPOS!D5082</f>
        <v/>
      </c>
      <c r="E5082">
        <f>BASE_EQUIPOS!G5082</f>
        <v/>
      </c>
      <c r="F5082">
        <f>BASE_EQUIPOS!H5082</f>
        <v/>
      </c>
      <c r="G5082">
        <f>BASE_EQUIPOS!M5082</f>
        <v/>
      </c>
    </row>
    <row r="5083">
      <c r="A5083">
        <f>TRIM(BASE_EQUIPOS!N5083)</f>
        <v/>
      </c>
      <c r="B5083">
        <f>BASE_EQUIPOS!A5083</f>
        <v/>
      </c>
      <c r="C5083">
        <f>BASE_EQUIPOS!B5083</f>
        <v/>
      </c>
      <c r="D5083">
        <f>BASE_EQUIPOS!D5083</f>
        <v/>
      </c>
      <c r="E5083">
        <f>BASE_EQUIPOS!G5083</f>
        <v/>
      </c>
      <c r="F5083">
        <f>BASE_EQUIPOS!H5083</f>
        <v/>
      </c>
      <c r="G5083">
        <f>BASE_EQUIPOS!M5083</f>
        <v/>
      </c>
    </row>
    <row r="5084">
      <c r="A5084">
        <f>TRIM(BASE_EQUIPOS!N5084)</f>
        <v/>
      </c>
      <c r="B5084">
        <f>BASE_EQUIPOS!A5084</f>
        <v/>
      </c>
      <c r="C5084">
        <f>BASE_EQUIPOS!B5084</f>
        <v/>
      </c>
      <c r="D5084">
        <f>BASE_EQUIPOS!D5084</f>
        <v/>
      </c>
      <c r="E5084">
        <f>BASE_EQUIPOS!G5084</f>
        <v/>
      </c>
      <c r="F5084">
        <f>BASE_EQUIPOS!H5084</f>
        <v/>
      </c>
      <c r="G5084">
        <f>BASE_EQUIPOS!M5084</f>
        <v/>
      </c>
    </row>
    <row r="5085">
      <c r="A5085">
        <f>TRIM(BASE_EQUIPOS!N5085)</f>
        <v/>
      </c>
      <c r="B5085">
        <f>BASE_EQUIPOS!A5085</f>
        <v/>
      </c>
      <c r="C5085">
        <f>BASE_EQUIPOS!B5085</f>
        <v/>
      </c>
      <c r="D5085">
        <f>BASE_EQUIPOS!D5085</f>
        <v/>
      </c>
      <c r="E5085">
        <f>BASE_EQUIPOS!G5085</f>
        <v/>
      </c>
      <c r="F5085">
        <f>BASE_EQUIPOS!H5085</f>
        <v/>
      </c>
      <c r="G5085">
        <f>BASE_EQUIPOS!M5085</f>
        <v/>
      </c>
    </row>
    <row r="5086">
      <c r="A5086">
        <f>TRIM(BASE_EQUIPOS!N5086)</f>
        <v/>
      </c>
      <c r="B5086">
        <f>BASE_EQUIPOS!A5086</f>
        <v/>
      </c>
      <c r="C5086">
        <f>BASE_EQUIPOS!B5086</f>
        <v/>
      </c>
      <c r="D5086">
        <f>BASE_EQUIPOS!D5086</f>
        <v/>
      </c>
      <c r="E5086">
        <f>BASE_EQUIPOS!G5086</f>
        <v/>
      </c>
      <c r="F5086">
        <f>BASE_EQUIPOS!H5086</f>
        <v/>
      </c>
      <c r="G5086">
        <f>BASE_EQUIPOS!M5086</f>
        <v/>
      </c>
    </row>
    <row r="5087">
      <c r="A5087">
        <f>TRIM(BASE_EQUIPOS!N5087)</f>
        <v/>
      </c>
      <c r="B5087">
        <f>BASE_EQUIPOS!A5087</f>
        <v/>
      </c>
      <c r="C5087">
        <f>BASE_EQUIPOS!B5087</f>
        <v/>
      </c>
      <c r="D5087">
        <f>BASE_EQUIPOS!D5087</f>
        <v/>
      </c>
      <c r="E5087">
        <f>BASE_EQUIPOS!G5087</f>
        <v/>
      </c>
      <c r="F5087">
        <f>BASE_EQUIPOS!H5087</f>
        <v/>
      </c>
      <c r="G5087">
        <f>BASE_EQUIPOS!M5087</f>
        <v/>
      </c>
    </row>
    <row r="5088">
      <c r="A5088">
        <f>TRIM(BASE_EQUIPOS!N5088)</f>
        <v/>
      </c>
      <c r="B5088">
        <f>BASE_EQUIPOS!A5088</f>
        <v/>
      </c>
      <c r="C5088">
        <f>BASE_EQUIPOS!B5088</f>
        <v/>
      </c>
      <c r="D5088">
        <f>BASE_EQUIPOS!D5088</f>
        <v/>
      </c>
      <c r="E5088">
        <f>BASE_EQUIPOS!G5088</f>
        <v/>
      </c>
      <c r="F5088">
        <f>BASE_EQUIPOS!H5088</f>
        <v/>
      </c>
      <c r="G5088">
        <f>BASE_EQUIPOS!M5088</f>
        <v/>
      </c>
    </row>
    <row r="5089">
      <c r="A5089">
        <f>TRIM(BASE_EQUIPOS!N5089)</f>
        <v/>
      </c>
      <c r="B5089">
        <f>BASE_EQUIPOS!A5089</f>
        <v/>
      </c>
      <c r="C5089">
        <f>BASE_EQUIPOS!B5089</f>
        <v/>
      </c>
      <c r="D5089">
        <f>BASE_EQUIPOS!D5089</f>
        <v/>
      </c>
      <c r="E5089">
        <f>BASE_EQUIPOS!G5089</f>
        <v/>
      </c>
      <c r="F5089">
        <f>BASE_EQUIPOS!H5089</f>
        <v/>
      </c>
      <c r="G5089">
        <f>BASE_EQUIPOS!M5089</f>
        <v/>
      </c>
    </row>
    <row r="5090">
      <c r="A5090">
        <f>TRIM(BASE_EQUIPOS!N5090)</f>
        <v/>
      </c>
      <c r="B5090">
        <f>BASE_EQUIPOS!A5090</f>
        <v/>
      </c>
      <c r="C5090">
        <f>BASE_EQUIPOS!B5090</f>
        <v/>
      </c>
      <c r="D5090">
        <f>BASE_EQUIPOS!D5090</f>
        <v/>
      </c>
      <c r="E5090">
        <f>BASE_EQUIPOS!G5090</f>
        <v/>
      </c>
      <c r="F5090">
        <f>BASE_EQUIPOS!H5090</f>
        <v/>
      </c>
      <c r="G5090">
        <f>BASE_EQUIPOS!M5090</f>
        <v/>
      </c>
    </row>
    <row r="5091">
      <c r="A5091">
        <f>TRIM(BASE_EQUIPOS!N5091)</f>
        <v/>
      </c>
      <c r="B5091">
        <f>BASE_EQUIPOS!A5091</f>
        <v/>
      </c>
      <c r="C5091">
        <f>BASE_EQUIPOS!B5091</f>
        <v/>
      </c>
      <c r="D5091">
        <f>BASE_EQUIPOS!D5091</f>
        <v/>
      </c>
      <c r="E5091">
        <f>BASE_EQUIPOS!G5091</f>
        <v/>
      </c>
      <c r="F5091">
        <f>BASE_EQUIPOS!H5091</f>
        <v/>
      </c>
      <c r="G5091">
        <f>BASE_EQUIPOS!M5091</f>
        <v/>
      </c>
    </row>
    <row r="5092">
      <c r="A5092">
        <f>TRIM(BASE_EQUIPOS!N5092)</f>
        <v/>
      </c>
      <c r="B5092">
        <f>BASE_EQUIPOS!A5092</f>
        <v/>
      </c>
      <c r="C5092">
        <f>BASE_EQUIPOS!B5092</f>
        <v/>
      </c>
      <c r="D5092">
        <f>BASE_EQUIPOS!D5092</f>
        <v/>
      </c>
      <c r="E5092">
        <f>BASE_EQUIPOS!G5092</f>
        <v/>
      </c>
      <c r="F5092">
        <f>BASE_EQUIPOS!H5092</f>
        <v/>
      </c>
      <c r="G5092">
        <f>BASE_EQUIPOS!M5092</f>
        <v/>
      </c>
    </row>
    <row r="5093">
      <c r="A5093">
        <f>TRIM(BASE_EQUIPOS!N5093)</f>
        <v/>
      </c>
      <c r="B5093">
        <f>BASE_EQUIPOS!A5093</f>
        <v/>
      </c>
      <c r="C5093">
        <f>BASE_EQUIPOS!B5093</f>
        <v/>
      </c>
      <c r="D5093">
        <f>BASE_EQUIPOS!D5093</f>
        <v/>
      </c>
      <c r="E5093">
        <f>BASE_EQUIPOS!G5093</f>
        <v/>
      </c>
      <c r="F5093">
        <f>BASE_EQUIPOS!H5093</f>
        <v/>
      </c>
      <c r="G5093">
        <f>BASE_EQUIPOS!M5093</f>
        <v/>
      </c>
    </row>
    <row r="5094">
      <c r="A5094">
        <f>TRIM(BASE_EQUIPOS!N5094)</f>
        <v/>
      </c>
      <c r="B5094">
        <f>BASE_EQUIPOS!A5094</f>
        <v/>
      </c>
      <c r="C5094">
        <f>BASE_EQUIPOS!B5094</f>
        <v/>
      </c>
      <c r="D5094">
        <f>BASE_EQUIPOS!D5094</f>
        <v/>
      </c>
      <c r="E5094">
        <f>BASE_EQUIPOS!G5094</f>
        <v/>
      </c>
      <c r="F5094">
        <f>BASE_EQUIPOS!H5094</f>
        <v/>
      </c>
      <c r="G5094">
        <f>BASE_EQUIPOS!M5094</f>
        <v/>
      </c>
    </row>
    <row r="5095">
      <c r="A5095">
        <f>TRIM(BASE_EQUIPOS!N5095)</f>
        <v/>
      </c>
      <c r="B5095">
        <f>BASE_EQUIPOS!A5095</f>
        <v/>
      </c>
      <c r="C5095">
        <f>BASE_EQUIPOS!B5095</f>
        <v/>
      </c>
      <c r="D5095">
        <f>BASE_EQUIPOS!D5095</f>
        <v/>
      </c>
      <c r="E5095">
        <f>BASE_EQUIPOS!G5095</f>
        <v/>
      </c>
      <c r="F5095">
        <f>BASE_EQUIPOS!H5095</f>
        <v/>
      </c>
      <c r="G5095">
        <f>BASE_EQUIPOS!M5095</f>
        <v/>
      </c>
    </row>
    <row r="5096">
      <c r="A5096">
        <f>TRIM(BASE_EQUIPOS!N5096)</f>
        <v/>
      </c>
      <c r="B5096">
        <f>BASE_EQUIPOS!A5096</f>
        <v/>
      </c>
      <c r="C5096">
        <f>BASE_EQUIPOS!B5096</f>
        <v/>
      </c>
      <c r="D5096">
        <f>BASE_EQUIPOS!D5096</f>
        <v/>
      </c>
      <c r="E5096">
        <f>BASE_EQUIPOS!G5096</f>
        <v/>
      </c>
      <c r="F5096">
        <f>BASE_EQUIPOS!H5096</f>
        <v/>
      </c>
      <c r="G5096">
        <f>BASE_EQUIPOS!M5096</f>
        <v/>
      </c>
    </row>
    <row r="5097">
      <c r="A5097">
        <f>TRIM(BASE_EQUIPOS!N5097)</f>
        <v/>
      </c>
      <c r="B5097">
        <f>BASE_EQUIPOS!A5097</f>
        <v/>
      </c>
      <c r="C5097">
        <f>BASE_EQUIPOS!B5097</f>
        <v/>
      </c>
      <c r="D5097">
        <f>BASE_EQUIPOS!D5097</f>
        <v/>
      </c>
      <c r="E5097">
        <f>BASE_EQUIPOS!G5097</f>
        <v/>
      </c>
      <c r="F5097">
        <f>BASE_EQUIPOS!H5097</f>
        <v/>
      </c>
      <c r="G5097">
        <f>BASE_EQUIPOS!M5097</f>
        <v/>
      </c>
    </row>
    <row r="5098">
      <c r="A5098">
        <f>TRIM(BASE_EQUIPOS!N5098)</f>
        <v/>
      </c>
      <c r="B5098">
        <f>BASE_EQUIPOS!A5098</f>
        <v/>
      </c>
      <c r="C5098">
        <f>BASE_EQUIPOS!B5098</f>
        <v/>
      </c>
      <c r="D5098">
        <f>BASE_EQUIPOS!D5098</f>
        <v/>
      </c>
      <c r="E5098">
        <f>BASE_EQUIPOS!G5098</f>
        <v/>
      </c>
      <c r="F5098">
        <f>BASE_EQUIPOS!H5098</f>
        <v/>
      </c>
      <c r="G5098">
        <f>BASE_EQUIPOS!M5098</f>
        <v/>
      </c>
    </row>
    <row r="5099">
      <c r="A5099">
        <f>TRIM(BASE_EQUIPOS!N5099)</f>
        <v/>
      </c>
      <c r="B5099">
        <f>BASE_EQUIPOS!A5099</f>
        <v/>
      </c>
      <c r="C5099">
        <f>BASE_EQUIPOS!B5099</f>
        <v/>
      </c>
      <c r="D5099">
        <f>BASE_EQUIPOS!D5099</f>
        <v/>
      </c>
      <c r="E5099">
        <f>BASE_EQUIPOS!G5099</f>
        <v/>
      </c>
      <c r="F5099">
        <f>BASE_EQUIPOS!H5099</f>
        <v/>
      </c>
      <c r="G5099">
        <f>BASE_EQUIPOS!M5099</f>
        <v/>
      </c>
    </row>
    <row r="5100">
      <c r="A5100">
        <f>TRIM(BASE_EQUIPOS!N5100)</f>
        <v/>
      </c>
      <c r="B5100">
        <f>BASE_EQUIPOS!A5100</f>
        <v/>
      </c>
      <c r="C5100">
        <f>BASE_EQUIPOS!B5100</f>
        <v/>
      </c>
      <c r="D5100">
        <f>BASE_EQUIPOS!D5100</f>
        <v/>
      </c>
      <c r="E5100">
        <f>BASE_EQUIPOS!G5100</f>
        <v/>
      </c>
      <c r="F5100">
        <f>BASE_EQUIPOS!H5100</f>
        <v/>
      </c>
      <c r="G5100">
        <f>BASE_EQUIPOS!M5100</f>
        <v/>
      </c>
    </row>
    <row r="5101">
      <c r="A5101">
        <f>TRIM(BASE_EQUIPOS!N5101)</f>
        <v/>
      </c>
      <c r="B5101">
        <f>BASE_EQUIPOS!A5101</f>
        <v/>
      </c>
      <c r="C5101">
        <f>BASE_EQUIPOS!B5101</f>
        <v/>
      </c>
      <c r="D5101">
        <f>BASE_EQUIPOS!D5101</f>
        <v/>
      </c>
      <c r="E5101">
        <f>BASE_EQUIPOS!G5101</f>
        <v/>
      </c>
      <c r="F5101">
        <f>BASE_EQUIPOS!H5101</f>
        <v/>
      </c>
      <c r="G5101">
        <f>BASE_EQUIPOS!M5101</f>
        <v/>
      </c>
    </row>
    <row r="5102">
      <c r="A5102">
        <f>TRIM(BASE_EQUIPOS!N5102)</f>
        <v/>
      </c>
      <c r="B5102">
        <f>BASE_EQUIPOS!A5102</f>
        <v/>
      </c>
      <c r="C5102">
        <f>BASE_EQUIPOS!B5102</f>
        <v/>
      </c>
      <c r="D5102">
        <f>BASE_EQUIPOS!D5102</f>
        <v/>
      </c>
      <c r="E5102">
        <f>BASE_EQUIPOS!G5102</f>
        <v/>
      </c>
      <c r="F5102">
        <f>BASE_EQUIPOS!H5102</f>
        <v/>
      </c>
      <c r="G5102">
        <f>BASE_EQUIPOS!M5102</f>
        <v/>
      </c>
    </row>
    <row r="5103">
      <c r="A5103">
        <f>TRIM(BASE_EQUIPOS!N5103)</f>
        <v/>
      </c>
      <c r="B5103">
        <f>BASE_EQUIPOS!A5103</f>
        <v/>
      </c>
      <c r="C5103">
        <f>BASE_EQUIPOS!B5103</f>
        <v/>
      </c>
      <c r="D5103">
        <f>BASE_EQUIPOS!D5103</f>
        <v/>
      </c>
      <c r="E5103">
        <f>BASE_EQUIPOS!G5103</f>
        <v/>
      </c>
      <c r="F5103">
        <f>BASE_EQUIPOS!H5103</f>
        <v/>
      </c>
      <c r="G5103">
        <f>BASE_EQUIPOS!M5103</f>
        <v/>
      </c>
    </row>
    <row r="5104">
      <c r="A5104">
        <f>TRIM(BASE_EQUIPOS!N5104)</f>
        <v/>
      </c>
      <c r="B5104">
        <f>BASE_EQUIPOS!A5104</f>
        <v/>
      </c>
      <c r="C5104">
        <f>BASE_EQUIPOS!B5104</f>
        <v/>
      </c>
      <c r="D5104">
        <f>BASE_EQUIPOS!D5104</f>
        <v/>
      </c>
      <c r="E5104">
        <f>BASE_EQUIPOS!G5104</f>
        <v/>
      </c>
      <c r="F5104">
        <f>BASE_EQUIPOS!H5104</f>
        <v/>
      </c>
      <c r="G5104">
        <f>BASE_EQUIPOS!M5104</f>
        <v/>
      </c>
    </row>
    <row r="5105">
      <c r="A5105">
        <f>TRIM(BASE_EQUIPOS!N5105)</f>
        <v/>
      </c>
      <c r="B5105">
        <f>BASE_EQUIPOS!A5105</f>
        <v/>
      </c>
      <c r="C5105">
        <f>BASE_EQUIPOS!B5105</f>
        <v/>
      </c>
      <c r="D5105">
        <f>BASE_EQUIPOS!D5105</f>
        <v/>
      </c>
      <c r="E5105">
        <f>BASE_EQUIPOS!G5105</f>
        <v/>
      </c>
      <c r="F5105">
        <f>BASE_EQUIPOS!H5105</f>
        <v/>
      </c>
      <c r="G5105">
        <f>BASE_EQUIPOS!M5105</f>
        <v/>
      </c>
    </row>
    <row r="5106">
      <c r="A5106">
        <f>TRIM(BASE_EQUIPOS!N5106)</f>
        <v/>
      </c>
      <c r="B5106">
        <f>BASE_EQUIPOS!A5106</f>
        <v/>
      </c>
      <c r="C5106">
        <f>BASE_EQUIPOS!B5106</f>
        <v/>
      </c>
      <c r="D5106">
        <f>BASE_EQUIPOS!D5106</f>
        <v/>
      </c>
      <c r="E5106">
        <f>BASE_EQUIPOS!G5106</f>
        <v/>
      </c>
      <c r="F5106">
        <f>BASE_EQUIPOS!H5106</f>
        <v/>
      </c>
      <c r="G5106">
        <f>BASE_EQUIPOS!M5106</f>
        <v/>
      </c>
    </row>
    <row r="5107">
      <c r="A5107">
        <f>TRIM(BASE_EQUIPOS!N5107)</f>
        <v/>
      </c>
      <c r="B5107">
        <f>BASE_EQUIPOS!A5107</f>
        <v/>
      </c>
      <c r="C5107">
        <f>BASE_EQUIPOS!B5107</f>
        <v/>
      </c>
      <c r="D5107">
        <f>BASE_EQUIPOS!D5107</f>
        <v/>
      </c>
      <c r="E5107">
        <f>BASE_EQUIPOS!G5107</f>
        <v/>
      </c>
      <c r="F5107">
        <f>BASE_EQUIPOS!H5107</f>
        <v/>
      </c>
      <c r="G5107">
        <f>BASE_EQUIPOS!M5107</f>
        <v/>
      </c>
    </row>
    <row r="5108">
      <c r="A5108">
        <f>TRIM(BASE_EQUIPOS!N5108)</f>
        <v/>
      </c>
      <c r="B5108">
        <f>BASE_EQUIPOS!A5108</f>
        <v/>
      </c>
      <c r="C5108">
        <f>BASE_EQUIPOS!B5108</f>
        <v/>
      </c>
      <c r="D5108">
        <f>BASE_EQUIPOS!D5108</f>
        <v/>
      </c>
      <c r="E5108">
        <f>BASE_EQUIPOS!G5108</f>
        <v/>
      </c>
      <c r="F5108">
        <f>BASE_EQUIPOS!H5108</f>
        <v/>
      </c>
      <c r="G5108">
        <f>BASE_EQUIPOS!M5108</f>
        <v/>
      </c>
    </row>
    <row r="5109">
      <c r="A5109">
        <f>TRIM(BASE_EQUIPOS!N5109)</f>
        <v/>
      </c>
      <c r="B5109">
        <f>BASE_EQUIPOS!A5109</f>
        <v/>
      </c>
      <c r="C5109">
        <f>BASE_EQUIPOS!B5109</f>
        <v/>
      </c>
      <c r="D5109">
        <f>BASE_EQUIPOS!D5109</f>
        <v/>
      </c>
      <c r="E5109">
        <f>BASE_EQUIPOS!G5109</f>
        <v/>
      </c>
      <c r="F5109">
        <f>BASE_EQUIPOS!H5109</f>
        <v/>
      </c>
      <c r="G5109">
        <f>BASE_EQUIPOS!M5109</f>
        <v/>
      </c>
    </row>
    <row r="5110">
      <c r="A5110">
        <f>TRIM(BASE_EQUIPOS!N5110)</f>
        <v/>
      </c>
      <c r="B5110">
        <f>BASE_EQUIPOS!A5110</f>
        <v/>
      </c>
      <c r="C5110">
        <f>BASE_EQUIPOS!B5110</f>
        <v/>
      </c>
      <c r="D5110">
        <f>BASE_EQUIPOS!D5110</f>
        <v/>
      </c>
      <c r="E5110">
        <f>BASE_EQUIPOS!G5110</f>
        <v/>
      </c>
      <c r="F5110">
        <f>BASE_EQUIPOS!H5110</f>
        <v/>
      </c>
      <c r="G5110">
        <f>BASE_EQUIPOS!M5110</f>
        <v/>
      </c>
    </row>
    <row r="5111">
      <c r="A5111">
        <f>TRIM(BASE_EQUIPOS!N5111)</f>
        <v/>
      </c>
      <c r="B5111">
        <f>BASE_EQUIPOS!A5111</f>
        <v/>
      </c>
      <c r="C5111">
        <f>BASE_EQUIPOS!B5111</f>
        <v/>
      </c>
      <c r="D5111">
        <f>BASE_EQUIPOS!D5111</f>
        <v/>
      </c>
      <c r="E5111">
        <f>BASE_EQUIPOS!G5111</f>
        <v/>
      </c>
      <c r="F5111">
        <f>BASE_EQUIPOS!H5111</f>
        <v/>
      </c>
      <c r="G5111">
        <f>BASE_EQUIPOS!M5111</f>
        <v/>
      </c>
    </row>
    <row r="5112">
      <c r="A5112">
        <f>TRIM(BASE_EQUIPOS!N5112)</f>
        <v/>
      </c>
      <c r="B5112">
        <f>BASE_EQUIPOS!A5112</f>
        <v/>
      </c>
      <c r="C5112">
        <f>BASE_EQUIPOS!B5112</f>
        <v/>
      </c>
      <c r="D5112">
        <f>BASE_EQUIPOS!D5112</f>
        <v/>
      </c>
      <c r="E5112">
        <f>BASE_EQUIPOS!G5112</f>
        <v/>
      </c>
      <c r="F5112">
        <f>BASE_EQUIPOS!H5112</f>
        <v/>
      </c>
      <c r="G5112">
        <f>BASE_EQUIPOS!M5112</f>
        <v/>
      </c>
    </row>
    <row r="5113">
      <c r="A5113">
        <f>TRIM(BASE_EQUIPOS!N5113)</f>
        <v/>
      </c>
      <c r="B5113">
        <f>BASE_EQUIPOS!A5113</f>
        <v/>
      </c>
      <c r="C5113">
        <f>BASE_EQUIPOS!B5113</f>
        <v/>
      </c>
      <c r="D5113">
        <f>BASE_EQUIPOS!D5113</f>
        <v/>
      </c>
      <c r="E5113">
        <f>BASE_EQUIPOS!G5113</f>
        <v/>
      </c>
      <c r="F5113">
        <f>BASE_EQUIPOS!H5113</f>
        <v/>
      </c>
      <c r="G5113">
        <f>BASE_EQUIPOS!M5113</f>
        <v/>
      </c>
    </row>
    <row r="5114">
      <c r="A5114">
        <f>TRIM(BASE_EQUIPOS!N5114)</f>
        <v/>
      </c>
      <c r="B5114">
        <f>BASE_EQUIPOS!A5114</f>
        <v/>
      </c>
      <c r="C5114">
        <f>BASE_EQUIPOS!B5114</f>
        <v/>
      </c>
      <c r="D5114">
        <f>BASE_EQUIPOS!D5114</f>
        <v/>
      </c>
      <c r="E5114">
        <f>BASE_EQUIPOS!G5114</f>
        <v/>
      </c>
      <c r="F5114">
        <f>BASE_EQUIPOS!H5114</f>
        <v/>
      </c>
      <c r="G5114">
        <f>BASE_EQUIPOS!M5114</f>
        <v/>
      </c>
    </row>
    <row r="5115">
      <c r="A5115">
        <f>TRIM(BASE_EQUIPOS!N5115)</f>
        <v/>
      </c>
      <c r="B5115">
        <f>BASE_EQUIPOS!A5115</f>
        <v/>
      </c>
      <c r="C5115">
        <f>BASE_EQUIPOS!B5115</f>
        <v/>
      </c>
      <c r="D5115">
        <f>BASE_EQUIPOS!D5115</f>
        <v/>
      </c>
      <c r="E5115">
        <f>BASE_EQUIPOS!G5115</f>
        <v/>
      </c>
      <c r="F5115">
        <f>BASE_EQUIPOS!H5115</f>
        <v/>
      </c>
      <c r="G5115">
        <f>BASE_EQUIPOS!M5115</f>
        <v/>
      </c>
    </row>
    <row r="5116">
      <c r="A5116">
        <f>TRIM(BASE_EQUIPOS!N5116)</f>
        <v/>
      </c>
      <c r="B5116">
        <f>BASE_EQUIPOS!A5116</f>
        <v/>
      </c>
      <c r="C5116">
        <f>BASE_EQUIPOS!B5116</f>
        <v/>
      </c>
      <c r="D5116">
        <f>BASE_EQUIPOS!D5116</f>
        <v/>
      </c>
      <c r="E5116">
        <f>BASE_EQUIPOS!G5116</f>
        <v/>
      </c>
      <c r="F5116">
        <f>BASE_EQUIPOS!H5116</f>
        <v/>
      </c>
      <c r="G5116">
        <f>BASE_EQUIPOS!M5116</f>
        <v/>
      </c>
    </row>
    <row r="5117">
      <c r="A5117">
        <f>TRIM(BASE_EQUIPOS!N5117)</f>
        <v/>
      </c>
      <c r="B5117">
        <f>BASE_EQUIPOS!A5117</f>
        <v/>
      </c>
      <c r="C5117">
        <f>BASE_EQUIPOS!B5117</f>
        <v/>
      </c>
      <c r="D5117">
        <f>BASE_EQUIPOS!D5117</f>
        <v/>
      </c>
      <c r="E5117">
        <f>BASE_EQUIPOS!G5117</f>
        <v/>
      </c>
      <c r="F5117">
        <f>BASE_EQUIPOS!H5117</f>
        <v/>
      </c>
      <c r="G5117">
        <f>BASE_EQUIPOS!M5117</f>
        <v/>
      </c>
    </row>
    <row r="5118">
      <c r="A5118">
        <f>TRIM(BASE_EQUIPOS!N5118)</f>
        <v/>
      </c>
      <c r="B5118">
        <f>BASE_EQUIPOS!A5118</f>
        <v/>
      </c>
      <c r="C5118">
        <f>BASE_EQUIPOS!B5118</f>
        <v/>
      </c>
      <c r="D5118">
        <f>BASE_EQUIPOS!D5118</f>
        <v/>
      </c>
      <c r="E5118">
        <f>BASE_EQUIPOS!G5118</f>
        <v/>
      </c>
      <c r="F5118">
        <f>BASE_EQUIPOS!H5118</f>
        <v/>
      </c>
      <c r="G5118">
        <f>BASE_EQUIPOS!M5118</f>
        <v/>
      </c>
    </row>
    <row r="5119">
      <c r="A5119">
        <f>TRIM(BASE_EQUIPOS!N5119)</f>
        <v/>
      </c>
      <c r="B5119">
        <f>BASE_EQUIPOS!A5119</f>
        <v/>
      </c>
      <c r="C5119">
        <f>BASE_EQUIPOS!B5119</f>
        <v/>
      </c>
      <c r="D5119">
        <f>BASE_EQUIPOS!D5119</f>
        <v/>
      </c>
      <c r="E5119">
        <f>BASE_EQUIPOS!G5119</f>
        <v/>
      </c>
      <c r="F5119">
        <f>BASE_EQUIPOS!H5119</f>
        <v/>
      </c>
      <c r="G5119">
        <f>BASE_EQUIPOS!M5119</f>
        <v/>
      </c>
    </row>
    <row r="5120">
      <c r="A5120">
        <f>TRIM(BASE_EQUIPOS!N5120)</f>
        <v/>
      </c>
      <c r="B5120">
        <f>BASE_EQUIPOS!A5120</f>
        <v/>
      </c>
      <c r="C5120">
        <f>BASE_EQUIPOS!B5120</f>
        <v/>
      </c>
      <c r="D5120">
        <f>BASE_EQUIPOS!D5120</f>
        <v/>
      </c>
      <c r="E5120">
        <f>BASE_EQUIPOS!G5120</f>
        <v/>
      </c>
      <c r="F5120">
        <f>BASE_EQUIPOS!H5120</f>
        <v/>
      </c>
      <c r="G5120">
        <f>BASE_EQUIPOS!M5120</f>
        <v/>
      </c>
    </row>
    <row r="5121">
      <c r="A5121">
        <f>TRIM(BASE_EQUIPOS!N5121)</f>
        <v/>
      </c>
      <c r="B5121">
        <f>BASE_EQUIPOS!A5121</f>
        <v/>
      </c>
      <c r="C5121">
        <f>BASE_EQUIPOS!B5121</f>
        <v/>
      </c>
      <c r="D5121">
        <f>BASE_EQUIPOS!D5121</f>
        <v/>
      </c>
      <c r="E5121">
        <f>BASE_EQUIPOS!G5121</f>
        <v/>
      </c>
      <c r="F5121">
        <f>BASE_EQUIPOS!H5121</f>
        <v/>
      </c>
      <c r="G5121">
        <f>BASE_EQUIPOS!M5121</f>
        <v/>
      </c>
    </row>
    <row r="5122">
      <c r="A5122">
        <f>TRIM(BASE_EQUIPOS!N5122)</f>
        <v/>
      </c>
      <c r="B5122">
        <f>BASE_EQUIPOS!A5122</f>
        <v/>
      </c>
      <c r="C5122">
        <f>BASE_EQUIPOS!B5122</f>
        <v/>
      </c>
      <c r="D5122">
        <f>BASE_EQUIPOS!D5122</f>
        <v/>
      </c>
      <c r="E5122">
        <f>BASE_EQUIPOS!G5122</f>
        <v/>
      </c>
      <c r="F5122">
        <f>BASE_EQUIPOS!H5122</f>
        <v/>
      </c>
      <c r="G5122">
        <f>BASE_EQUIPOS!M5122</f>
        <v/>
      </c>
    </row>
    <row r="5123">
      <c r="A5123">
        <f>TRIM(BASE_EQUIPOS!N5123)</f>
        <v/>
      </c>
      <c r="B5123">
        <f>BASE_EQUIPOS!A5123</f>
        <v/>
      </c>
      <c r="C5123">
        <f>BASE_EQUIPOS!B5123</f>
        <v/>
      </c>
      <c r="D5123">
        <f>BASE_EQUIPOS!D5123</f>
        <v/>
      </c>
      <c r="E5123">
        <f>BASE_EQUIPOS!G5123</f>
        <v/>
      </c>
      <c r="F5123">
        <f>BASE_EQUIPOS!H5123</f>
        <v/>
      </c>
      <c r="G5123">
        <f>BASE_EQUIPOS!M5123</f>
        <v/>
      </c>
    </row>
    <row r="5124">
      <c r="A5124">
        <f>TRIM(BASE_EQUIPOS!N5124)</f>
        <v/>
      </c>
      <c r="B5124">
        <f>BASE_EQUIPOS!A5124</f>
        <v/>
      </c>
      <c r="C5124">
        <f>BASE_EQUIPOS!B5124</f>
        <v/>
      </c>
      <c r="D5124">
        <f>BASE_EQUIPOS!D5124</f>
        <v/>
      </c>
      <c r="E5124">
        <f>BASE_EQUIPOS!G5124</f>
        <v/>
      </c>
      <c r="F5124">
        <f>BASE_EQUIPOS!H5124</f>
        <v/>
      </c>
      <c r="G5124">
        <f>BASE_EQUIPOS!M5124</f>
        <v/>
      </c>
    </row>
    <row r="5125">
      <c r="A5125">
        <f>TRIM(BASE_EQUIPOS!N5125)</f>
        <v/>
      </c>
      <c r="B5125">
        <f>BASE_EQUIPOS!A5125</f>
        <v/>
      </c>
      <c r="C5125">
        <f>BASE_EQUIPOS!B5125</f>
        <v/>
      </c>
      <c r="D5125">
        <f>BASE_EQUIPOS!D5125</f>
        <v/>
      </c>
      <c r="E5125">
        <f>BASE_EQUIPOS!G5125</f>
        <v/>
      </c>
      <c r="F5125">
        <f>BASE_EQUIPOS!H5125</f>
        <v/>
      </c>
      <c r="G5125">
        <f>BASE_EQUIPOS!M5125</f>
        <v/>
      </c>
    </row>
    <row r="5126">
      <c r="A5126">
        <f>TRIM(BASE_EQUIPOS!N5126)</f>
        <v/>
      </c>
      <c r="B5126">
        <f>BASE_EQUIPOS!A5126</f>
        <v/>
      </c>
      <c r="C5126">
        <f>BASE_EQUIPOS!B5126</f>
        <v/>
      </c>
      <c r="D5126">
        <f>BASE_EQUIPOS!D5126</f>
        <v/>
      </c>
      <c r="E5126">
        <f>BASE_EQUIPOS!G5126</f>
        <v/>
      </c>
      <c r="F5126">
        <f>BASE_EQUIPOS!H5126</f>
        <v/>
      </c>
      <c r="G5126">
        <f>BASE_EQUIPOS!M5126</f>
        <v/>
      </c>
    </row>
    <row r="5127">
      <c r="A5127">
        <f>TRIM(BASE_EQUIPOS!N5127)</f>
        <v/>
      </c>
      <c r="B5127">
        <f>BASE_EQUIPOS!A5127</f>
        <v/>
      </c>
      <c r="C5127">
        <f>BASE_EQUIPOS!B5127</f>
        <v/>
      </c>
      <c r="D5127">
        <f>BASE_EQUIPOS!D5127</f>
        <v/>
      </c>
      <c r="E5127">
        <f>BASE_EQUIPOS!G5127</f>
        <v/>
      </c>
      <c r="F5127">
        <f>BASE_EQUIPOS!H5127</f>
        <v/>
      </c>
      <c r="G5127">
        <f>BASE_EQUIPOS!M5127</f>
        <v/>
      </c>
    </row>
    <row r="5128">
      <c r="A5128">
        <f>TRIM(BASE_EQUIPOS!N5128)</f>
        <v/>
      </c>
      <c r="B5128">
        <f>BASE_EQUIPOS!A5128</f>
        <v/>
      </c>
      <c r="C5128">
        <f>BASE_EQUIPOS!B5128</f>
        <v/>
      </c>
      <c r="D5128">
        <f>BASE_EQUIPOS!D5128</f>
        <v/>
      </c>
      <c r="E5128">
        <f>BASE_EQUIPOS!G5128</f>
        <v/>
      </c>
      <c r="F5128">
        <f>BASE_EQUIPOS!H5128</f>
        <v/>
      </c>
      <c r="G5128">
        <f>BASE_EQUIPOS!M5128</f>
        <v/>
      </c>
    </row>
    <row r="5129">
      <c r="A5129">
        <f>TRIM(BASE_EQUIPOS!N5129)</f>
        <v/>
      </c>
      <c r="B5129">
        <f>BASE_EQUIPOS!A5129</f>
        <v/>
      </c>
      <c r="C5129">
        <f>BASE_EQUIPOS!B5129</f>
        <v/>
      </c>
      <c r="D5129">
        <f>BASE_EQUIPOS!D5129</f>
        <v/>
      </c>
      <c r="E5129">
        <f>BASE_EQUIPOS!G5129</f>
        <v/>
      </c>
      <c r="F5129">
        <f>BASE_EQUIPOS!H5129</f>
        <v/>
      </c>
      <c r="G5129">
        <f>BASE_EQUIPOS!M5129</f>
        <v/>
      </c>
    </row>
    <row r="5130">
      <c r="A5130">
        <f>TRIM(BASE_EQUIPOS!N5130)</f>
        <v/>
      </c>
      <c r="B5130">
        <f>BASE_EQUIPOS!A5130</f>
        <v/>
      </c>
      <c r="C5130">
        <f>BASE_EQUIPOS!B5130</f>
        <v/>
      </c>
      <c r="D5130">
        <f>BASE_EQUIPOS!D5130</f>
        <v/>
      </c>
      <c r="E5130">
        <f>BASE_EQUIPOS!G5130</f>
        <v/>
      </c>
      <c r="F5130">
        <f>BASE_EQUIPOS!H5130</f>
        <v/>
      </c>
      <c r="G5130">
        <f>BASE_EQUIPOS!M5130</f>
        <v/>
      </c>
    </row>
    <row r="5131">
      <c r="A5131">
        <f>TRIM(BASE_EQUIPOS!N5131)</f>
        <v/>
      </c>
      <c r="B5131">
        <f>BASE_EQUIPOS!A5131</f>
        <v/>
      </c>
      <c r="C5131">
        <f>BASE_EQUIPOS!B5131</f>
        <v/>
      </c>
      <c r="D5131">
        <f>BASE_EQUIPOS!D5131</f>
        <v/>
      </c>
      <c r="E5131">
        <f>BASE_EQUIPOS!G5131</f>
        <v/>
      </c>
      <c r="F5131">
        <f>BASE_EQUIPOS!H5131</f>
        <v/>
      </c>
      <c r="G5131">
        <f>BASE_EQUIPOS!M5131</f>
        <v/>
      </c>
    </row>
    <row r="5132">
      <c r="A5132">
        <f>TRIM(BASE_EQUIPOS!N5132)</f>
        <v/>
      </c>
      <c r="B5132">
        <f>BASE_EQUIPOS!A5132</f>
        <v/>
      </c>
      <c r="C5132">
        <f>BASE_EQUIPOS!B5132</f>
        <v/>
      </c>
      <c r="D5132">
        <f>BASE_EQUIPOS!D5132</f>
        <v/>
      </c>
      <c r="E5132">
        <f>BASE_EQUIPOS!G5132</f>
        <v/>
      </c>
      <c r="F5132">
        <f>BASE_EQUIPOS!H5132</f>
        <v/>
      </c>
      <c r="G5132">
        <f>BASE_EQUIPOS!M5132</f>
        <v/>
      </c>
    </row>
    <row r="5133">
      <c r="A5133">
        <f>TRIM(BASE_EQUIPOS!N5133)</f>
        <v/>
      </c>
      <c r="B5133">
        <f>BASE_EQUIPOS!A5133</f>
        <v/>
      </c>
      <c r="C5133">
        <f>BASE_EQUIPOS!B5133</f>
        <v/>
      </c>
      <c r="D5133">
        <f>BASE_EQUIPOS!D5133</f>
        <v/>
      </c>
      <c r="E5133">
        <f>BASE_EQUIPOS!G5133</f>
        <v/>
      </c>
      <c r="F5133">
        <f>BASE_EQUIPOS!H5133</f>
        <v/>
      </c>
      <c r="G5133">
        <f>BASE_EQUIPOS!M5133</f>
        <v/>
      </c>
    </row>
    <row r="5134">
      <c r="A5134">
        <f>TRIM(BASE_EQUIPOS!N5134)</f>
        <v/>
      </c>
      <c r="B5134">
        <f>BASE_EQUIPOS!A5134</f>
        <v/>
      </c>
      <c r="C5134">
        <f>BASE_EQUIPOS!B5134</f>
        <v/>
      </c>
      <c r="D5134">
        <f>BASE_EQUIPOS!D5134</f>
        <v/>
      </c>
      <c r="E5134">
        <f>BASE_EQUIPOS!G5134</f>
        <v/>
      </c>
      <c r="F5134">
        <f>BASE_EQUIPOS!H5134</f>
        <v/>
      </c>
      <c r="G5134">
        <f>BASE_EQUIPOS!M5134</f>
        <v/>
      </c>
    </row>
    <row r="5135">
      <c r="A5135">
        <f>TRIM(BASE_EQUIPOS!N5135)</f>
        <v/>
      </c>
      <c r="B5135">
        <f>BASE_EQUIPOS!A5135</f>
        <v/>
      </c>
      <c r="C5135">
        <f>BASE_EQUIPOS!B5135</f>
        <v/>
      </c>
      <c r="D5135">
        <f>BASE_EQUIPOS!D5135</f>
        <v/>
      </c>
      <c r="E5135">
        <f>BASE_EQUIPOS!G5135</f>
        <v/>
      </c>
      <c r="F5135">
        <f>BASE_EQUIPOS!H5135</f>
        <v/>
      </c>
      <c r="G5135">
        <f>BASE_EQUIPOS!M5135</f>
        <v/>
      </c>
    </row>
    <row r="5136">
      <c r="A5136">
        <f>TRIM(BASE_EQUIPOS!N5136)</f>
        <v/>
      </c>
      <c r="B5136">
        <f>BASE_EQUIPOS!A5136</f>
        <v/>
      </c>
      <c r="C5136">
        <f>BASE_EQUIPOS!B5136</f>
        <v/>
      </c>
      <c r="D5136">
        <f>BASE_EQUIPOS!D5136</f>
        <v/>
      </c>
      <c r="E5136">
        <f>BASE_EQUIPOS!G5136</f>
        <v/>
      </c>
      <c r="F5136">
        <f>BASE_EQUIPOS!H5136</f>
        <v/>
      </c>
      <c r="G5136">
        <f>BASE_EQUIPOS!M5136</f>
        <v/>
      </c>
    </row>
    <row r="5137">
      <c r="A5137">
        <f>TRIM(BASE_EQUIPOS!N5137)</f>
        <v/>
      </c>
      <c r="B5137">
        <f>BASE_EQUIPOS!A5137</f>
        <v/>
      </c>
      <c r="C5137">
        <f>BASE_EQUIPOS!B5137</f>
        <v/>
      </c>
      <c r="D5137">
        <f>BASE_EQUIPOS!D5137</f>
        <v/>
      </c>
      <c r="E5137">
        <f>BASE_EQUIPOS!G5137</f>
        <v/>
      </c>
      <c r="F5137">
        <f>BASE_EQUIPOS!H5137</f>
        <v/>
      </c>
      <c r="G5137">
        <f>BASE_EQUIPOS!M5137</f>
        <v/>
      </c>
    </row>
    <row r="5138">
      <c r="A5138">
        <f>TRIM(BASE_EQUIPOS!N5138)</f>
        <v/>
      </c>
      <c r="B5138">
        <f>BASE_EQUIPOS!A5138</f>
        <v/>
      </c>
      <c r="C5138">
        <f>BASE_EQUIPOS!B5138</f>
        <v/>
      </c>
      <c r="D5138">
        <f>BASE_EQUIPOS!D5138</f>
        <v/>
      </c>
      <c r="E5138">
        <f>BASE_EQUIPOS!G5138</f>
        <v/>
      </c>
      <c r="F5138">
        <f>BASE_EQUIPOS!H5138</f>
        <v/>
      </c>
      <c r="G5138">
        <f>BASE_EQUIPOS!M5138</f>
        <v/>
      </c>
    </row>
    <row r="5139">
      <c r="A5139">
        <f>TRIM(BASE_EQUIPOS!N5139)</f>
        <v/>
      </c>
      <c r="B5139">
        <f>BASE_EQUIPOS!A5139</f>
        <v/>
      </c>
      <c r="C5139">
        <f>BASE_EQUIPOS!B5139</f>
        <v/>
      </c>
      <c r="D5139">
        <f>BASE_EQUIPOS!D5139</f>
        <v/>
      </c>
      <c r="E5139">
        <f>BASE_EQUIPOS!G5139</f>
        <v/>
      </c>
      <c r="F5139">
        <f>BASE_EQUIPOS!H5139</f>
        <v/>
      </c>
      <c r="G5139">
        <f>BASE_EQUIPOS!M5139</f>
        <v/>
      </c>
    </row>
    <row r="5140">
      <c r="A5140">
        <f>TRIM(BASE_EQUIPOS!N5140)</f>
        <v/>
      </c>
      <c r="B5140">
        <f>BASE_EQUIPOS!A5140</f>
        <v/>
      </c>
      <c r="C5140">
        <f>BASE_EQUIPOS!B5140</f>
        <v/>
      </c>
      <c r="D5140">
        <f>BASE_EQUIPOS!D5140</f>
        <v/>
      </c>
      <c r="E5140">
        <f>BASE_EQUIPOS!G5140</f>
        <v/>
      </c>
      <c r="F5140">
        <f>BASE_EQUIPOS!H5140</f>
        <v/>
      </c>
      <c r="G5140">
        <f>BASE_EQUIPOS!M5140</f>
        <v/>
      </c>
    </row>
    <row r="5141">
      <c r="A5141">
        <f>TRIM(BASE_EQUIPOS!N5141)</f>
        <v/>
      </c>
      <c r="B5141">
        <f>BASE_EQUIPOS!A5141</f>
        <v/>
      </c>
      <c r="C5141">
        <f>BASE_EQUIPOS!B5141</f>
        <v/>
      </c>
      <c r="D5141">
        <f>BASE_EQUIPOS!D5141</f>
        <v/>
      </c>
      <c r="E5141">
        <f>BASE_EQUIPOS!G5141</f>
        <v/>
      </c>
      <c r="F5141">
        <f>BASE_EQUIPOS!H5141</f>
        <v/>
      </c>
      <c r="G5141">
        <f>BASE_EQUIPOS!M5141</f>
        <v/>
      </c>
    </row>
    <row r="5142">
      <c r="A5142">
        <f>TRIM(BASE_EQUIPOS!N5142)</f>
        <v/>
      </c>
      <c r="B5142">
        <f>BASE_EQUIPOS!A5142</f>
        <v/>
      </c>
      <c r="C5142">
        <f>BASE_EQUIPOS!B5142</f>
        <v/>
      </c>
      <c r="D5142">
        <f>BASE_EQUIPOS!D5142</f>
        <v/>
      </c>
      <c r="E5142">
        <f>BASE_EQUIPOS!G5142</f>
        <v/>
      </c>
      <c r="F5142">
        <f>BASE_EQUIPOS!H5142</f>
        <v/>
      </c>
      <c r="G5142">
        <f>BASE_EQUIPOS!M5142</f>
        <v/>
      </c>
    </row>
    <row r="5143">
      <c r="A5143">
        <f>TRIM(BASE_EQUIPOS!N5143)</f>
        <v/>
      </c>
      <c r="B5143">
        <f>BASE_EQUIPOS!A5143</f>
        <v/>
      </c>
      <c r="C5143">
        <f>BASE_EQUIPOS!B5143</f>
        <v/>
      </c>
      <c r="D5143">
        <f>BASE_EQUIPOS!D5143</f>
        <v/>
      </c>
      <c r="E5143">
        <f>BASE_EQUIPOS!G5143</f>
        <v/>
      </c>
      <c r="F5143">
        <f>BASE_EQUIPOS!H5143</f>
        <v/>
      </c>
      <c r="G5143">
        <f>BASE_EQUIPOS!M5143</f>
        <v/>
      </c>
    </row>
    <row r="5144">
      <c r="A5144">
        <f>TRIM(BASE_EQUIPOS!N5144)</f>
        <v/>
      </c>
      <c r="B5144">
        <f>BASE_EQUIPOS!A5144</f>
        <v/>
      </c>
      <c r="C5144">
        <f>BASE_EQUIPOS!B5144</f>
        <v/>
      </c>
      <c r="D5144">
        <f>BASE_EQUIPOS!D5144</f>
        <v/>
      </c>
      <c r="E5144">
        <f>BASE_EQUIPOS!G5144</f>
        <v/>
      </c>
      <c r="F5144">
        <f>BASE_EQUIPOS!H5144</f>
        <v/>
      </c>
      <c r="G5144">
        <f>BASE_EQUIPOS!M5144</f>
        <v/>
      </c>
    </row>
    <row r="5145">
      <c r="A5145">
        <f>TRIM(BASE_EQUIPOS!N5145)</f>
        <v/>
      </c>
      <c r="B5145">
        <f>BASE_EQUIPOS!A5145</f>
        <v/>
      </c>
      <c r="C5145">
        <f>BASE_EQUIPOS!B5145</f>
        <v/>
      </c>
      <c r="D5145">
        <f>BASE_EQUIPOS!D5145</f>
        <v/>
      </c>
      <c r="E5145">
        <f>BASE_EQUIPOS!G5145</f>
        <v/>
      </c>
      <c r="F5145">
        <f>BASE_EQUIPOS!H5145</f>
        <v/>
      </c>
      <c r="G5145">
        <f>BASE_EQUIPOS!M5145</f>
        <v/>
      </c>
    </row>
    <row r="5146">
      <c r="A5146">
        <f>TRIM(BASE_EQUIPOS!N5146)</f>
        <v/>
      </c>
      <c r="B5146">
        <f>BASE_EQUIPOS!A5146</f>
        <v/>
      </c>
      <c r="C5146">
        <f>BASE_EQUIPOS!B5146</f>
        <v/>
      </c>
      <c r="D5146">
        <f>BASE_EQUIPOS!D5146</f>
        <v/>
      </c>
      <c r="E5146">
        <f>BASE_EQUIPOS!G5146</f>
        <v/>
      </c>
      <c r="F5146">
        <f>BASE_EQUIPOS!H5146</f>
        <v/>
      </c>
      <c r="G5146">
        <f>BASE_EQUIPOS!M5146</f>
        <v/>
      </c>
    </row>
    <row r="5147">
      <c r="A5147">
        <f>TRIM(BASE_EQUIPOS!N5147)</f>
        <v/>
      </c>
      <c r="B5147">
        <f>BASE_EQUIPOS!A5147</f>
        <v/>
      </c>
      <c r="C5147">
        <f>BASE_EQUIPOS!B5147</f>
        <v/>
      </c>
      <c r="D5147">
        <f>BASE_EQUIPOS!D5147</f>
        <v/>
      </c>
      <c r="E5147">
        <f>BASE_EQUIPOS!G5147</f>
        <v/>
      </c>
      <c r="F5147">
        <f>BASE_EQUIPOS!H5147</f>
        <v/>
      </c>
      <c r="G5147">
        <f>BASE_EQUIPOS!M5147</f>
        <v/>
      </c>
    </row>
    <row r="5148">
      <c r="A5148">
        <f>TRIM(BASE_EQUIPOS!N5148)</f>
        <v/>
      </c>
      <c r="B5148">
        <f>BASE_EQUIPOS!A5148</f>
        <v/>
      </c>
      <c r="C5148">
        <f>BASE_EQUIPOS!B5148</f>
        <v/>
      </c>
      <c r="D5148">
        <f>BASE_EQUIPOS!D5148</f>
        <v/>
      </c>
      <c r="E5148">
        <f>BASE_EQUIPOS!G5148</f>
        <v/>
      </c>
      <c r="F5148">
        <f>BASE_EQUIPOS!H5148</f>
        <v/>
      </c>
      <c r="G5148">
        <f>BASE_EQUIPOS!M5148</f>
        <v/>
      </c>
    </row>
    <row r="5149">
      <c r="A5149">
        <f>TRIM(BASE_EQUIPOS!N5149)</f>
        <v/>
      </c>
      <c r="B5149">
        <f>BASE_EQUIPOS!A5149</f>
        <v/>
      </c>
      <c r="C5149">
        <f>BASE_EQUIPOS!B5149</f>
        <v/>
      </c>
      <c r="D5149">
        <f>BASE_EQUIPOS!D5149</f>
        <v/>
      </c>
      <c r="E5149">
        <f>BASE_EQUIPOS!G5149</f>
        <v/>
      </c>
      <c r="F5149">
        <f>BASE_EQUIPOS!H5149</f>
        <v/>
      </c>
      <c r="G5149">
        <f>BASE_EQUIPOS!M5149</f>
        <v/>
      </c>
    </row>
    <row r="5150">
      <c r="A5150">
        <f>TRIM(BASE_EQUIPOS!N5150)</f>
        <v/>
      </c>
      <c r="B5150">
        <f>BASE_EQUIPOS!A5150</f>
        <v/>
      </c>
      <c r="C5150">
        <f>BASE_EQUIPOS!B5150</f>
        <v/>
      </c>
      <c r="D5150">
        <f>BASE_EQUIPOS!D5150</f>
        <v/>
      </c>
      <c r="E5150">
        <f>BASE_EQUIPOS!G5150</f>
        <v/>
      </c>
      <c r="F5150">
        <f>BASE_EQUIPOS!H5150</f>
        <v/>
      </c>
      <c r="G5150">
        <f>BASE_EQUIPOS!M5150</f>
        <v/>
      </c>
    </row>
    <row r="5151">
      <c r="A5151">
        <f>TRIM(BASE_EQUIPOS!N5151)</f>
        <v/>
      </c>
      <c r="B5151">
        <f>BASE_EQUIPOS!A5151</f>
        <v/>
      </c>
      <c r="C5151">
        <f>BASE_EQUIPOS!B5151</f>
        <v/>
      </c>
      <c r="D5151">
        <f>BASE_EQUIPOS!D5151</f>
        <v/>
      </c>
      <c r="E5151">
        <f>BASE_EQUIPOS!G5151</f>
        <v/>
      </c>
      <c r="F5151">
        <f>BASE_EQUIPOS!H5151</f>
        <v/>
      </c>
      <c r="G5151">
        <f>BASE_EQUIPOS!M5151</f>
        <v/>
      </c>
    </row>
    <row r="5152">
      <c r="A5152">
        <f>TRIM(BASE_EQUIPOS!N5152)</f>
        <v/>
      </c>
      <c r="B5152">
        <f>BASE_EQUIPOS!A5152</f>
        <v/>
      </c>
      <c r="C5152">
        <f>BASE_EQUIPOS!B5152</f>
        <v/>
      </c>
      <c r="D5152">
        <f>BASE_EQUIPOS!D5152</f>
        <v/>
      </c>
      <c r="E5152">
        <f>BASE_EQUIPOS!G5152</f>
        <v/>
      </c>
      <c r="F5152">
        <f>BASE_EQUIPOS!H5152</f>
        <v/>
      </c>
      <c r="G5152">
        <f>BASE_EQUIPOS!M5152</f>
        <v/>
      </c>
    </row>
    <row r="5153">
      <c r="A5153">
        <f>TRIM(BASE_EQUIPOS!N5153)</f>
        <v/>
      </c>
      <c r="B5153">
        <f>BASE_EQUIPOS!A5153</f>
        <v/>
      </c>
      <c r="C5153">
        <f>BASE_EQUIPOS!B5153</f>
        <v/>
      </c>
      <c r="D5153">
        <f>BASE_EQUIPOS!D5153</f>
        <v/>
      </c>
      <c r="E5153">
        <f>BASE_EQUIPOS!G5153</f>
        <v/>
      </c>
      <c r="F5153">
        <f>BASE_EQUIPOS!H5153</f>
        <v/>
      </c>
      <c r="G5153">
        <f>BASE_EQUIPOS!M5153</f>
        <v/>
      </c>
    </row>
    <row r="5154">
      <c r="A5154">
        <f>TRIM(BASE_EQUIPOS!N5154)</f>
        <v/>
      </c>
      <c r="B5154">
        <f>BASE_EQUIPOS!A5154</f>
        <v/>
      </c>
      <c r="C5154">
        <f>BASE_EQUIPOS!B5154</f>
        <v/>
      </c>
      <c r="D5154">
        <f>BASE_EQUIPOS!D5154</f>
        <v/>
      </c>
      <c r="E5154">
        <f>BASE_EQUIPOS!G5154</f>
        <v/>
      </c>
      <c r="F5154">
        <f>BASE_EQUIPOS!H5154</f>
        <v/>
      </c>
      <c r="G5154">
        <f>BASE_EQUIPOS!M5154</f>
        <v/>
      </c>
    </row>
    <row r="5155">
      <c r="A5155">
        <f>TRIM(BASE_EQUIPOS!N5155)</f>
        <v/>
      </c>
      <c r="B5155">
        <f>BASE_EQUIPOS!A5155</f>
        <v/>
      </c>
      <c r="C5155">
        <f>BASE_EQUIPOS!B5155</f>
        <v/>
      </c>
      <c r="D5155">
        <f>BASE_EQUIPOS!D5155</f>
        <v/>
      </c>
      <c r="E5155">
        <f>BASE_EQUIPOS!G5155</f>
        <v/>
      </c>
      <c r="F5155">
        <f>BASE_EQUIPOS!H5155</f>
        <v/>
      </c>
      <c r="G5155">
        <f>BASE_EQUIPOS!M5155</f>
        <v/>
      </c>
    </row>
    <row r="5156">
      <c r="A5156">
        <f>TRIM(BASE_EQUIPOS!N5156)</f>
        <v/>
      </c>
      <c r="B5156">
        <f>BASE_EQUIPOS!A5156</f>
        <v/>
      </c>
      <c r="C5156">
        <f>BASE_EQUIPOS!B5156</f>
        <v/>
      </c>
      <c r="D5156">
        <f>BASE_EQUIPOS!D5156</f>
        <v/>
      </c>
      <c r="E5156">
        <f>BASE_EQUIPOS!G5156</f>
        <v/>
      </c>
      <c r="F5156">
        <f>BASE_EQUIPOS!H5156</f>
        <v/>
      </c>
      <c r="G5156">
        <f>BASE_EQUIPOS!M5156</f>
        <v/>
      </c>
    </row>
    <row r="5157">
      <c r="A5157">
        <f>TRIM(BASE_EQUIPOS!N5157)</f>
        <v/>
      </c>
      <c r="B5157">
        <f>BASE_EQUIPOS!A5157</f>
        <v/>
      </c>
      <c r="C5157">
        <f>BASE_EQUIPOS!B5157</f>
        <v/>
      </c>
      <c r="D5157">
        <f>BASE_EQUIPOS!D5157</f>
        <v/>
      </c>
      <c r="E5157">
        <f>BASE_EQUIPOS!G5157</f>
        <v/>
      </c>
      <c r="F5157">
        <f>BASE_EQUIPOS!H5157</f>
        <v/>
      </c>
      <c r="G5157">
        <f>BASE_EQUIPOS!M5157</f>
        <v/>
      </c>
    </row>
    <row r="5158">
      <c r="A5158">
        <f>TRIM(BASE_EQUIPOS!N5158)</f>
        <v/>
      </c>
      <c r="B5158">
        <f>BASE_EQUIPOS!A5158</f>
        <v/>
      </c>
      <c r="C5158">
        <f>BASE_EQUIPOS!B5158</f>
        <v/>
      </c>
      <c r="D5158">
        <f>BASE_EQUIPOS!D5158</f>
        <v/>
      </c>
      <c r="E5158">
        <f>BASE_EQUIPOS!G5158</f>
        <v/>
      </c>
      <c r="F5158">
        <f>BASE_EQUIPOS!H5158</f>
        <v/>
      </c>
      <c r="G5158">
        <f>BASE_EQUIPOS!M5158</f>
        <v/>
      </c>
    </row>
    <row r="5159">
      <c r="A5159">
        <f>TRIM(BASE_EQUIPOS!N5159)</f>
        <v/>
      </c>
      <c r="B5159">
        <f>BASE_EQUIPOS!A5159</f>
        <v/>
      </c>
      <c r="C5159">
        <f>BASE_EQUIPOS!B5159</f>
        <v/>
      </c>
      <c r="D5159">
        <f>BASE_EQUIPOS!D5159</f>
        <v/>
      </c>
      <c r="E5159">
        <f>BASE_EQUIPOS!G5159</f>
        <v/>
      </c>
      <c r="F5159">
        <f>BASE_EQUIPOS!H5159</f>
        <v/>
      </c>
      <c r="G5159">
        <f>BASE_EQUIPOS!M5159</f>
        <v/>
      </c>
    </row>
    <row r="5160">
      <c r="A5160">
        <f>TRIM(BASE_EQUIPOS!N5160)</f>
        <v/>
      </c>
      <c r="B5160">
        <f>BASE_EQUIPOS!A5160</f>
        <v/>
      </c>
      <c r="C5160">
        <f>BASE_EQUIPOS!B5160</f>
        <v/>
      </c>
      <c r="D5160">
        <f>BASE_EQUIPOS!D5160</f>
        <v/>
      </c>
      <c r="E5160">
        <f>BASE_EQUIPOS!G5160</f>
        <v/>
      </c>
      <c r="F5160">
        <f>BASE_EQUIPOS!H5160</f>
        <v/>
      </c>
      <c r="G5160">
        <f>BASE_EQUIPOS!M5160</f>
        <v/>
      </c>
    </row>
    <row r="5161">
      <c r="A5161">
        <f>TRIM(BASE_EQUIPOS!N5161)</f>
        <v/>
      </c>
      <c r="B5161">
        <f>BASE_EQUIPOS!A5161</f>
        <v/>
      </c>
      <c r="C5161">
        <f>BASE_EQUIPOS!B5161</f>
        <v/>
      </c>
      <c r="D5161">
        <f>BASE_EQUIPOS!D5161</f>
        <v/>
      </c>
      <c r="E5161">
        <f>BASE_EQUIPOS!G5161</f>
        <v/>
      </c>
      <c r="F5161">
        <f>BASE_EQUIPOS!H5161</f>
        <v/>
      </c>
      <c r="G5161">
        <f>BASE_EQUIPOS!M5161</f>
        <v/>
      </c>
    </row>
    <row r="5162">
      <c r="A5162">
        <f>TRIM(BASE_EQUIPOS!N5162)</f>
        <v/>
      </c>
      <c r="B5162">
        <f>BASE_EQUIPOS!A5162</f>
        <v/>
      </c>
      <c r="C5162">
        <f>BASE_EQUIPOS!B5162</f>
        <v/>
      </c>
      <c r="D5162">
        <f>BASE_EQUIPOS!D5162</f>
        <v/>
      </c>
      <c r="E5162">
        <f>BASE_EQUIPOS!G5162</f>
        <v/>
      </c>
      <c r="F5162">
        <f>BASE_EQUIPOS!H5162</f>
        <v/>
      </c>
      <c r="G5162">
        <f>BASE_EQUIPOS!M5162</f>
        <v/>
      </c>
    </row>
    <row r="5163">
      <c r="A5163">
        <f>TRIM(BASE_EQUIPOS!N5163)</f>
        <v/>
      </c>
      <c r="B5163">
        <f>BASE_EQUIPOS!A5163</f>
        <v/>
      </c>
      <c r="C5163">
        <f>BASE_EQUIPOS!B5163</f>
        <v/>
      </c>
      <c r="D5163">
        <f>BASE_EQUIPOS!D5163</f>
        <v/>
      </c>
      <c r="E5163">
        <f>BASE_EQUIPOS!G5163</f>
        <v/>
      </c>
      <c r="F5163">
        <f>BASE_EQUIPOS!H5163</f>
        <v/>
      </c>
      <c r="G5163">
        <f>BASE_EQUIPOS!M5163</f>
        <v/>
      </c>
    </row>
    <row r="5164">
      <c r="A5164">
        <f>TRIM(BASE_EQUIPOS!N5164)</f>
        <v/>
      </c>
      <c r="B5164">
        <f>BASE_EQUIPOS!A5164</f>
        <v/>
      </c>
      <c r="C5164">
        <f>BASE_EQUIPOS!B5164</f>
        <v/>
      </c>
      <c r="D5164">
        <f>BASE_EQUIPOS!D5164</f>
        <v/>
      </c>
      <c r="E5164">
        <f>BASE_EQUIPOS!G5164</f>
        <v/>
      </c>
      <c r="F5164">
        <f>BASE_EQUIPOS!H5164</f>
        <v/>
      </c>
      <c r="G5164">
        <f>BASE_EQUIPOS!M5164</f>
        <v/>
      </c>
    </row>
    <row r="5165">
      <c r="A5165">
        <f>TRIM(BASE_EQUIPOS!N5165)</f>
        <v/>
      </c>
      <c r="B5165">
        <f>BASE_EQUIPOS!A5165</f>
        <v/>
      </c>
      <c r="C5165">
        <f>BASE_EQUIPOS!B5165</f>
        <v/>
      </c>
      <c r="D5165">
        <f>BASE_EQUIPOS!D5165</f>
        <v/>
      </c>
      <c r="E5165">
        <f>BASE_EQUIPOS!G5165</f>
        <v/>
      </c>
      <c r="F5165">
        <f>BASE_EQUIPOS!H5165</f>
        <v/>
      </c>
      <c r="G5165">
        <f>BASE_EQUIPOS!M5165</f>
        <v/>
      </c>
    </row>
    <row r="5166">
      <c r="A5166">
        <f>TRIM(BASE_EQUIPOS!N5166)</f>
        <v/>
      </c>
      <c r="B5166">
        <f>BASE_EQUIPOS!A5166</f>
        <v/>
      </c>
      <c r="C5166">
        <f>BASE_EQUIPOS!B5166</f>
        <v/>
      </c>
      <c r="D5166">
        <f>BASE_EQUIPOS!D5166</f>
        <v/>
      </c>
      <c r="E5166">
        <f>BASE_EQUIPOS!G5166</f>
        <v/>
      </c>
      <c r="F5166">
        <f>BASE_EQUIPOS!H5166</f>
        <v/>
      </c>
      <c r="G5166">
        <f>BASE_EQUIPOS!M5166</f>
        <v/>
      </c>
    </row>
    <row r="5167">
      <c r="A5167">
        <f>TRIM(BASE_EQUIPOS!N5167)</f>
        <v/>
      </c>
      <c r="B5167">
        <f>BASE_EQUIPOS!A5167</f>
        <v/>
      </c>
      <c r="C5167">
        <f>BASE_EQUIPOS!B5167</f>
        <v/>
      </c>
      <c r="D5167">
        <f>BASE_EQUIPOS!D5167</f>
        <v/>
      </c>
      <c r="E5167">
        <f>BASE_EQUIPOS!G5167</f>
        <v/>
      </c>
      <c r="F5167">
        <f>BASE_EQUIPOS!H5167</f>
        <v/>
      </c>
      <c r="G5167">
        <f>BASE_EQUIPOS!M5167</f>
        <v/>
      </c>
    </row>
    <row r="5168">
      <c r="A5168">
        <f>TRIM(BASE_EQUIPOS!N5168)</f>
        <v/>
      </c>
      <c r="B5168">
        <f>BASE_EQUIPOS!A5168</f>
        <v/>
      </c>
      <c r="C5168">
        <f>BASE_EQUIPOS!B5168</f>
        <v/>
      </c>
      <c r="D5168">
        <f>BASE_EQUIPOS!D5168</f>
        <v/>
      </c>
      <c r="E5168">
        <f>BASE_EQUIPOS!G5168</f>
        <v/>
      </c>
      <c r="F5168">
        <f>BASE_EQUIPOS!H5168</f>
        <v/>
      </c>
      <c r="G5168">
        <f>BASE_EQUIPOS!M5168</f>
        <v/>
      </c>
    </row>
    <row r="5169">
      <c r="A5169">
        <f>TRIM(BASE_EQUIPOS!N5169)</f>
        <v/>
      </c>
      <c r="B5169">
        <f>BASE_EQUIPOS!A5169</f>
        <v/>
      </c>
      <c r="C5169">
        <f>BASE_EQUIPOS!B5169</f>
        <v/>
      </c>
      <c r="D5169">
        <f>BASE_EQUIPOS!D5169</f>
        <v/>
      </c>
      <c r="E5169">
        <f>BASE_EQUIPOS!G5169</f>
        <v/>
      </c>
      <c r="F5169">
        <f>BASE_EQUIPOS!H5169</f>
        <v/>
      </c>
      <c r="G5169">
        <f>BASE_EQUIPOS!M5169</f>
        <v/>
      </c>
    </row>
    <row r="5170">
      <c r="A5170">
        <f>TRIM(BASE_EQUIPOS!N5170)</f>
        <v/>
      </c>
      <c r="B5170">
        <f>BASE_EQUIPOS!A5170</f>
        <v/>
      </c>
      <c r="C5170">
        <f>BASE_EQUIPOS!B5170</f>
        <v/>
      </c>
      <c r="D5170">
        <f>BASE_EQUIPOS!D5170</f>
        <v/>
      </c>
      <c r="E5170">
        <f>BASE_EQUIPOS!G5170</f>
        <v/>
      </c>
      <c r="F5170">
        <f>BASE_EQUIPOS!H5170</f>
        <v/>
      </c>
      <c r="G5170">
        <f>BASE_EQUIPOS!M5170</f>
        <v/>
      </c>
    </row>
    <row r="5171">
      <c r="A5171">
        <f>TRIM(BASE_EQUIPOS!N5171)</f>
        <v/>
      </c>
      <c r="B5171">
        <f>BASE_EQUIPOS!A5171</f>
        <v/>
      </c>
      <c r="C5171">
        <f>BASE_EQUIPOS!B5171</f>
        <v/>
      </c>
      <c r="D5171">
        <f>BASE_EQUIPOS!D5171</f>
        <v/>
      </c>
      <c r="E5171">
        <f>BASE_EQUIPOS!G5171</f>
        <v/>
      </c>
      <c r="F5171">
        <f>BASE_EQUIPOS!H5171</f>
        <v/>
      </c>
      <c r="G5171">
        <f>BASE_EQUIPOS!M5171</f>
        <v/>
      </c>
    </row>
    <row r="5172">
      <c r="A5172">
        <f>TRIM(BASE_EQUIPOS!N5172)</f>
        <v/>
      </c>
      <c r="B5172">
        <f>BASE_EQUIPOS!A5172</f>
        <v/>
      </c>
      <c r="C5172">
        <f>BASE_EQUIPOS!B5172</f>
        <v/>
      </c>
      <c r="D5172">
        <f>BASE_EQUIPOS!D5172</f>
        <v/>
      </c>
      <c r="E5172">
        <f>BASE_EQUIPOS!G5172</f>
        <v/>
      </c>
      <c r="F5172">
        <f>BASE_EQUIPOS!H5172</f>
        <v/>
      </c>
      <c r="G5172">
        <f>BASE_EQUIPOS!M5172</f>
        <v/>
      </c>
    </row>
    <row r="5173">
      <c r="A5173">
        <f>TRIM(BASE_EQUIPOS!N5173)</f>
        <v/>
      </c>
      <c r="B5173">
        <f>BASE_EQUIPOS!A5173</f>
        <v/>
      </c>
      <c r="C5173">
        <f>BASE_EQUIPOS!B5173</f>
        <v/>
      </c>
      <c r="D5173">
        <f>BASE_EQUIPOS!D5173</f>
        <v/>
      </c>
      <c r="E5173">
        <f>BASE_EQUIPOS!G5173</f>
        <v/>
      </c>
      <c r="F5173">
        <f>BASE_EQUIPOS!H5173</f>
        <v/>
      </c>
      <c r="G5173">
        <f>BASE_EQUIPOS!M5173</f>
        <v/>
      </c>
    </row>
    <row r="5174">
      <c r="A5174">
        <f>TRIM(BASE_EQUIPOS!N5174)</f>
        <v/>
      </c>
      <c r="B5174">
        <f>BASE_EQUIPOS!A5174</f>
        <v/>
      </c>
      <c r="C5174">
        <f>BASE_EQUIPOS!B5174</f>
        <v/>
      </c>
      <c r="D5174">
        <f>BASE_EQUIPOS!D5174</f>
        <v/>
      </c>
      <c r="E5174">
        <f>BASE_EQUIPOS!G5174</f>
        <v/>
      </c>
      <c r="F5174">
        <f>BASE_EQUIPOS!H5174</f>
        <v/>
      </c>
      <c r="G5174">
        <f>BASE_EQUIPOS!M5174</f>
        <v/>
      </c>
    </row>
    <row r="5175">
      <c r="A5175">
        <f>TRIM(BASE_EQUIPOS!N5175)</f>
        <v/>
      </c>
      <c r="B5175">
        <f>BASE_EQUIPOS!A5175</f>
        <v/>
      </c>
      <c r="C5175">
        <f>BASE_EQUIPOS!B5175</f>
        <v/>
      </c>
      <c r="D5175">
        <f>BASE_EQUIPOS!D5175</f>
        <v/>
      </c>
      <c r="E5175">
        <f>BASE_EQUIPOS!G5175</f>
        <v/>
      </c>
      <c r="F5175">
        <f>BASE_EQUIPOS!H5175</f>
        <v/>
      </c>
      <c r="G5175">
        <f>BASE_EQUIPOS!M5175</f>
        <v/>
      </c>
    </row>
    <row r="5176">
      <c r="A5176">
        <f>TRIM(BASE_EQUIPOS!N5176)</f>
        <v/>
      </c>
      <c r="B5176">
        <f>BASE_EQUIPOS!A5176</f>
        <v/>
      </c>
      <c r="C5176">
        <f>BASE_EQUIPOS!B5176</f>
        <v/>
      </c>
      <c r="D5176">
        <f>BASE_EQUIPOS!D5176</f>
        <v/>
      </c>
      <c r="E5176">
        <f>BASE_EQUIPOS!G5176</f>
        <v/>
      </c>
      <c r="F5176">
        <f>BASE_EQUIPOS!H5176</f>
        <v/>
      </c>
      <c r="G5176">
        <f>BASE_EQUIPOS!M5176</f>
        <v/>
      </c>
    </row>
    <row r="5177">
      <c r="A5177">
        <f>TRIM(BASE_EQUIPOS!N5177)</f>
        <v/>
      </c>
      <c r="B5177">
        <f>BASE_EQUIPOS!A5177</f>
        <v/>
      </c>
      <c r="C5177">
        <f>BASE_EQUIPOS!B5177</f>
        <v/>
      </c>
      <c r="D5177">
        <f>BASE_EQUIPOS!D5177</f>
        <v/>
      </c>
      <c r="E5177">
        <f>BASE_EQUIPOS!G5177</f>
        <v/>
      </c>
      <c r="F5177">
        <f>BASE_EQUIPOS!H5177</f>
        <v/>
      </c>
      <c r="G5177">
        <f>BASE_EQUIPOS!M5177</f>
        <v/>
      </c>
    </row>
    <row r="5178">
      <c r="A5178">
        <f>TRIM(BASE_EQUIPOS!N5178)</f>
        <v/>
      </c>
      <c r="B5178">
        <f>BASE_EQUIPOS!A5178</f>
        <v/>
      </c>
      <c r="C5178">
        <f>BASE_EQUIPOS!B5178</f>
        <v/>
      </c>
      <c r="D5178">
        <f>BASE_EQUIPOS!D5178</f>
        <v/>
      </c>
      <c r="E5178">
        <f>BASE_EQUIPOS!G5178</f>
        <v/>
      </c>
      <c r="F5178">
        <f>BASE_EQUIPOS!H5178</f>
        <v/>
      </c>
      <c r="G5178">
        <f>BASE_EQUIPOS!M5178</f>
        <v/>
      </c>
    </row>
    <row r="5179">
      <c r="A5179">
        <f>TRIM(BASE_EQUIPOS!N5179)</f>
        <v/>
      </c>
      <c r="B5179">
        <f>BASE_EQUIPOS!A5179</f>
        <v/>
      </c>
      <c r="C5179">
        <f>BASE_EQUIPOS!B5179</f>
        <v/>
      </c>
      <c r="D5179">
        <f>BASE_EQUIPOS!D5179</f>
        <v/>
      </c>
      <c r="E5179">
        <f>BASE_EQUIPOS!G5179</f>
        <v/>
      </c>
      <c r="F5179">
        <f>BASE_EQUIPOS!H5179</f>
        <v/>
      </c>
      <c r="G5179">
        <f>BASE_EQUIPOS!M5179</f>
        <v/>
      </c>
    </row>
    <row r="5180">
      <c r="A5180">
        <f>TRIM(BASE_EQUIPOS!N5180)</f>
        <v/>
      </c>
      <c r="B5180">
        <f>BASE_EQUIPOS!A5180</f>
        <v/>
      </c>
      <c r="C5180">
        <f>BASE_EQUIPOS!B5180</f>
        <v/>
      </c>
      <c r="D5180">
        <f>BASE_EQUIPOS!D5180</f>
        <v/>
      </c>
      <c r="E5180">
        <f>BASE_EQUIPOS!G5180</f>
        <v/>
      </c>
      <c r="F5180">
        <f>BASE_EQUIPOS!H5180</f>
        <v/>
      </c>
      <c r="G5180">
        <f>BASE_EQUIPOS!M5180</f>
        <v/>
      </c>
    </row>
    <row r="5181">
      <c r="A5181">
        <f>TRIM(BASE_EQUIPOS!N5181)</f>
        <v/>
      </c>
      <c r="B5181">
        <f>BASE_EQUIPOS!A5181</f>
        <v/>
      </c>
      <c r="C5181">
        <f>BASE_EQUIPOS!B5181</f>
        <v/>
      </c>
      <c r="D5181">
        <f>BASE_EQUIPOS!D5181</f>
        <v/>
      </c>
      <c r="E5181">
        <f>BASE_EQUIPOS!G5181</f>
        <v/>
      </c>
      <c r="F5181">
        <f>BASE_EQUIPOS!H5181</f>
        <v/>
      </c>
      <c r="G5181">
        <f>BASE_EQUIPOS!M5181</f>
        <v/>
      </c>
    </row>
    <row r="5182">
      <c r="A5182">
        <f>TRIM(BASE_EQUIPOS!N5182)</f>
        <v/>
      </c>
      <c r="B5182">
        <f>BASE_EQUIPOS!A5182</f>
        <v/>
      </c>
      <c r="C5182">
        <f>BASE_EQUIPOS!B5182</f>
        <v/>
      </c>
      <c r="D5182">
        <f>BASE_EQUIPOS!D5182</f>
        <v/>
      </c>
      <c r="E5182">
        <f>BASE_EQUIPOS!G5182</f>
        <v/>
      </c>
      <c r="F5182">
        <f>BASE_EQUIPOS!H5182</f>
        <v/>
      </c>
      <c r="G5182">
        <f>BASE_EQUIPOS!M5182</f>
        <v/>
      </c>
    </row>
    <row r="5183">
      <c r="A5183">
        <f>TRIM(BASE_EQUIPOS!N5183)</f>
        <v/>
      </c>
      <c r="B5183">
        <f>BASE_EQUIPOS!A5183</f>
        <v/>
      </c>
      <c r="C5183">
        <f>BASE_EQUIPOS!B5183</f>
        <v/>
      </c>
      <c r="D5183">
        <f>BASE_EQUIPOS!D5183</f>
        <v/>
      </c>
      <c r="E5183">
        <f>BASE_EQUIPOS!G5183</f>
        <v/>
      </c>
      <c r="F5183">
        <f>BASE_EQUIPOS!H5183</f>
        <v/>
      </c>
      <c r="G5183">
        <f>BASE_EQUIPOS!M5183</f>
        <v/>
      </c>
    </row>
    <row r="5184">
      <c r="A5184">
        <f>TRIM(BASE_EQUIPOS!N5184)</f>
        <v/>
      </c>
      <c r="B5184">
        <f>BASE_EQUIPOS!A5184</f>
        <v/>
      </c>
      <c r="C5184">
        <f>BASE_EQUIPOS!B5184</f>
        <v/>
      </c>
      <c r="D5184">
        <f>BASE_EQUIPOS!D5184</f>
        <v/>
      </c>
      <c r="E5184">
        <f>BASE_EQUIPOS!G5184</f>
        <v/>
      </c>
      <c r="F5184">
        <f>BASE_EQUIPOS!H5184</f>
        <v/>
      </c>
      <c r="G5184">
        <f>BASE_EQUIPOS!M5184</f>
        <v/>
      </c>
    </row>
    <row r="5185">
      <c r="A5185">
        <f>TRIM(BASE_EQUIPOS!N5185)</f>
        <v/>
      </c>
      <c r="B5185">
        <f>BASE_EQUIPOS!A5185</f>
        <v/>
      </c>
      <c r="C5185">
        <f>BASE_EQUIPOS!B5185</f>
        <v/>
      </c>
      <c r="D5185">
        <f>BASE_EQUIPOS!D5185</f>
        <v/>
      </c>
      <c r="E5185">
        <f>BASE_EQUIPOS!G5185</f>
        <v/>
      </c>
      <c r="F5185">
        <f>BASE_EQUIPOS!H5185</f>
        <v/>
      </c>
      <c r="G5185">
        <f>BASE_EQUIPOS!M5185</f>
        <v/>
      </c>
    </row>
    <row r="5186">
      <c r="A5186">
        <f>TRIM(BASE_EQUIPOS!N5186)</f>
        <v/>
      </c>
      <c r="B5186">
        <f>BASE_EQUIPOS!A5186</f>
        <v/>
      </c>
      <c r="C5186">
        <f>BASE_EQUIPOS!B5186</f>
        <v/>
      </c>
      <c r="D5186">
        <f>BASE_EQUIPOS!D5186</f>
        <v/>
      </c>
      <c r="E5186">
        <f>BASE_EQUIPOS!G5186</f>
        <v/>
      </c>
      <c r="F5186">
        <f>BASE_EQUIPOS!H5186</f>
        <v/>
      </c>
      <c r="G5186">
        <f>BASE_EQUIPOS!M5186</f>
        <v/>
      </c>
    </row>
    <row r="5187">
      <c r="A5187">
        <f>TRIM(BASE_EQUIPOS!N5187)</f>
        <v/>
      </c>
      <c r="B5187">
        <f>BASE_EQUIPOS!A5187</f>
        <v/>
      </c>
      <c r="C5187">
        <f>BASE_EQUIPOS!B5187</f>
        <v/>
      </c>
      <c r="D5187">
        <f>BASE_EQUIPOS!D5187</f>
        <v/>
      </c>
      <c r="E5187">
        <f>BASE_EQUIPOS!G5187</f>
        <v/>
      </c>
      <c r="F5187">
        <f>BASE_EQUIPOS!H5187</f>
        <v/>
      </c>
      <c r="G5187">
        <f>BASE_EQUIPOS!M5187</f>
        <v/>
      </c>
    </row>
    <row r="5188">
      <c r="A5188">
        <f>TRIM(BASE_EQUIPOS!N5188)</f>
        <v/>
      </c>
      <c r="B5188">
        <f>BASE_EQUIPOS!A5188</f>
        <v/>
      </c>
      <c r="C5188">
        <f>BASE_EQUIPOS!B5188</f>
        <v/>
      </c>
      <c r="D5188">
        <f>BASE_EQUIPOS!D5188</f>
        <v/>
      </c>
      <c r="E5188">
        <f>BASE_EQUIPOS!G5188</f>
        <v/>
      </c>
      <c r="F5188">
        <f>BASE_EQUIPOS!H5188</f>
        <v/>
      </c>
      <c r="G5188">
        <f>BASE_EQUIPOS!M5188</f>
        <v/>
      </c>
    </row>
    <row r="5189">
      <c r="A5189">
        <f>TRIM(BASE_EQUIPOS!N5189)</f>
        <v/>
      </c>
      <c r="B5189">
        <f>BASE_EQUIPOS!A5189</f>
        <v/>
      </c>
      <c r="C5189">
        <f>BASE_EQUIPOS!B5189</f>
        <v/>
      </c>
      <c r="D5189">
        <f>BASE_EQUIPOS!D5189</f>
        <v/>
      </c>
      <c r="E5189">
        <f>BASE_EQUIPOS!G5189</f>
        <v/>
      </c>
      <c r="F5189">
        <f>BASE_EQUIPOS!H5189</f>
        <v/>
      </c>
      <c r="G5189">
        <f>BASE_EQUIPOS!M5189</f>
        <v/>
      </c>
    </row>
    <row r="5190">
      <c r="A5190">
        <f>TRIM(BASE_EQUIPOS!N5190)</f>
        <v/>
      </c>
      <c r="B5190">
        <f>BASE_EQUIPOS!A5190</f>
        <v/>
      </c>
      <c r="C5190">
        <f>BASE_EQUIPOS!B5190</f>
        <v/>
      </c>
      <c r="D5190">
        <f>BASE_EQUIPOS!D5190</f>
        <v/>
      </c>
      <c r="E5190">
        <f>BASE_EQUIPOS!G5190</f>
        <v/>
      </c>
      <c r="F5190">
        <f>BASE_EQUIPOS!H5190</f>
        <v/>
      </c>
      <c r="G5190">
        <f>BASE_EQUIPOS!M5190</f>
        <v/>
      </c>
    </row>
    <row r="5191">
      <c r="A5191">
        <f>TRIM(BASE_EQUIPOS!N5191)</f>
        <v/>
      </c>
      <c r="B5191">
        <f>BASE_EQUIPOS!A5191</f>
        <v/>
      </c>
      <c r="C5191">
        <f>BASE_EQUIPOS!B5191</f>
        <v/>
      </c>
      <c r="D5191">
        <f>BASE_EQUIPOS!D5191</f>
        <v/>
      </c>
      <c r="E5191">
        <f>BASE_EQUIPOS!G5191</f>
        <v/>
      </c>
      <c r="F5191">
        <f>BASE_EQUIPOS!H5191</f>
        <v/>
      </c>
      <c r="G5191">
        <f>BASE_EQUIPOS!M5191</f>
        <v/>
      </c>
    </row>
    <row r="5192">
      <c r="A5192">
        <f>TRIM(BASE_EQUIPOS!N5192)</f>
        <v/>
      </c>
      <c r="B5192">
        <f>BASE_EQUIPOS!A5192</f>
        <v/>
      </c>
      <c r="C5192">
        <f>BASE_EQUIPOS!B5192</f>
        <v/>
      </c>
      <c r="D5192">
        <f>BASE_EQUIPOS!D5192</f>
        <v/>
      </c>
      <c r="E5192">
        <f>BASE_EQUIPOS!G5192</f>
        <v/>
      </c>
      <c r="F5192">
        <f>BASE_EQUIPOS!H5192</f>
        <v/>
      </c>
      <c r="G5192">
        <f>BASE_EQUIPOS!M5192</f>
        <v/>
      </c>
    </row>
    <row r="5193">
      <c r="A5193">
        <f>TRIM(BASE_EQUIPOS!N5193)</f>
        <v/>
      </c>
      <c r="B5193">
        <f>BASE_EQUIPOS!A5193</f>
        <v/>
      </c>
      <c r="C5193">
        <f>BASE_EQUIPOS!B5193</f>
        <v/>
      </c>
      <c r="D5193">
        <f>BASE_EQUIPOS!D5193</f>
        <v/>
      </c>
      <c r="E5193">
        <f>BASE_EQUIPOS!G5193</f>
        <v/>
      </c>
      <c r="F5193">
        <f>BASE_EQUIPOS!H5193</f>
        <v/>
      </c>
      <c r="G5193">
        <f>BASE_EQUIPOS!M5193</f>
        <v/>
      </c>
    </row>
    <row r="5194">
      <c r="A5194">
        <f>TRIM(BASE_EQUIPOS!N5194)</f>
        <v/>
      </c>
      <c r="B5194">
        <f>BASE_EQUIPOS!A5194</f>
        <v/>
      </c>
      <c r="C5194">
        <f>BASE_EQUIPOS!B5194</f>
        <v/>
      </c>
      <c r="D5194">
        <f>BASE_EQUIPOS!D5194</f>
        <v/>
      </c>
      <c r="E5194">
        <f>BASE_EQUIPOS!G5194</f>
        <v/>
      </c>
      <c r="F5194">
        <f>BASE_EQUIPOS!H5194</f>
        <v/>
      </c>
      <c r="G5194">
        <f>BASE_EQUIPOS!M5194</f>
        <v/>
      </c>
    </row>
    <row r="5195">
      <c r="A5195">
        <f>TRIM(BASE_EQUIPOS!N5195)</f>
        <v/>
      </c>
      <c r="B5195">
        <f>BASE_EQUIPOS!A5195</f>
        <v/>
      </c>
      <c r="C5195">
        <f>BASE_EQUIPOS!B5195</f>
        <v/>
      </c>
      <c r="D5195">
        <f>BASE_EQUIPOS!D5195</f>
        <v/>
      </c>
      <c r="E5195">
        <f>BASE_EQUIPOS!G5195</f>
        <v/>
      </c>
      <c r="F5195">
        <f>BASE_EQUIPOS!H5195</f>
        <v/>
      </c>
      <c r="G5195">
        <f>BASE_EQUIPOS!M5195</f>
        <v/>
      </c>
    </row>
    <row r="5196">
      <c r="A5196">
        <f>TRIM(BASE_EQUIPOS!N5196)</f>
        <v/>
      </c>
      <c r="B5196">
        <f>BASE_EQUIPOS!A5196</f>
        <v/>
      </c>
      <c r="C5196">
        <f>BASE_EQUIPOS!B5196</f>
        <v/>
      </c>
      <c r="D5196">
        <f>BASE_EQUIPOS!D5196</f>
        <v/>
      </c>
      <c r="E5196">
        <f>BASE_EQUIPOS!G5196</f>
        <v/>
      </c>
      <c r="F5196">
        <f>BASE_EQUIPOS!H5196</f>
        <v/>
      </c>
      <c r="G5196">
        <f>BASE_EQUIPOS!M5196</f>
        <v/>
      </c>
    </row>
    <row r="5197">
      <c r="A5197">
        <f>TRIM(BASE_EQUIPOS!N5197)</f>
        <v/>
      </c>
      <c r="B5197">
        <f>BASE_EQUIPOS!A5197</f>
        <v/>
      </c>
      <c r="C5197">
        <f>BASE_EQUIPOS!B5197</f>
        <v/>
      </c>
      <c r="D5197">
        <f>BASE_EQUIPOS!D5197</f>
        <v/>
      </c>
      <c r="E5197">
        <f>BASE_EQUIPOS!G5197</f>
        <v/>
      </c>
      <c r="F5197">
        <f>BASE_EQUIPOS!H5197</f>
        <v/>
      </c>
      <c r="G5197">
        <f>BASE_EQUIPOS!M5197</f>
        <v/>
      </c>
    </row>
    <row r="5198">
      <c r="A5198">
        <f>TRIM(BASE_EQUIPOS!N5198)</f>
        <v/>
      </c>
      <c r="B5198">
        <f>BASE_EQUIPOS!A5198</f>
        <v/>
      </c>
      <c r="C5198">
        <f>BASE_EQUIPOS!B5198</f>
        <v/>
      </c>
      <c r="D5198">
        <f>BASE_EQUIPOS!D5198</f>
        <v/>
      </c>
      <c r="E5198">
        <f>BASE_EQUIPOS!G5198</f>
        <v/>
      </c>
      <c r="F5198">
        <f>BASE_EQUIPOS!H5198</f>
        <v/>
      </c>
      <c r="G5198">
        <f>BASE_EQUIPOS!M5198</f>
        <v/>
      </c>
    </row>
    <row r="5199">
      <c r="A5199">
        <f>TRIM(BASE_EQUIPOS!N5199)</f>
        <v/>
      </c>
      <c r="B5199">
        <f>BASE_EQUIPOS!A5199</f>
        <v/>
      </c>
      <c r="C5199">
        <f>BASE_EQUIPOS!B5199</f>
        <v/>
      </c>
      <c r="D5199">
        <f>BASE_EQUIPOS!D5199</f>
        <v/>
      </c>
      <c r="E5199">
        <f>BASE_EQUIPOS!G5199</f>
        <v/>
      </c>
      <c r="F5199">
        <f>BASE_EQUIPOS!H5199</f>
        <v/>
      </c>
      <c r="G5199">
        <f>BASE_EQUIPOS!M5199</f>
        <v/>
      </c>
    </row>
    <row r="5200">
      <c r="A5200">
        <f>TRIM(BASE_EQUIPOS!N5200)</f>
        <v/>
      </c>
      <c r="B5200">
        <f>BASE_EQUIPOS!A5200</f>
        <v/>
      </c>
      <c r="C5200">
        <f>BASE_EQUIPOS!B5200</f>
        <v/>
      </c>
      <c r="D5200">
        <f>BASE_EQUIPOS!D5200</f>
        <v/>
      </c>
      <c r="E5200">
        <f>BASE_EQUIPOS!G5200</f>
        <v/>
      </c>
      <c r="F5200">
        <f>BASE_EQUIPOS!H5200</f>
        <v/>
      </c>
      <c r="G5200">
        <f>BASE_EQUIPOS!M5200</f>
        <v/>
      </c>
    </row>
    <row r="5201">
      <c r="A5201">
        <f>TRIM(BASE_EQUIPOS!N5201)</f>
        <v/>
      </c>
      <c r="B5201">
        <f>BASE_EQUIPOS!A5201</f>
        <v/>
      </c>
      <c r="C5201">
        <f>BASE_EQUIPOS!B5201</f>
        <v/>
      </c>
      <c r="D5201">
        <f>BASE_EQUIPOS!D5201</f>
        <v/>
      </c>
      <c r="E5201">
        <f>BASE_EQUIPOS!G5201</f>
        <v/>
      </c>
      <c r="F5201">
        <f>BASE_EQUIPOS!H5201</f>
        <v/>
      </c>
      <c r="G5201">
        <f>BASE_EQUIPOS!M5201</f>
        <v/>
      </c>
    </row>
    <row r="5202">
      <c r="A5202">
        <f>TRIM(BASE_EQUIPOS!N5202)</f>
        <v/>
      </c>
      <c r="B5202">
        <f>BASE_EQUIPOS!A5202</f>
        <v/>
      </c>
      <c r="C5202">
        <f>BASE_EQUIPOS!B5202</f>
        <v/>
      </c>
      <c r="D5202">
        <f>BASE_EQUIPOS!D5202</f>
        <v/>
      </c>
      <c r="E5202">
        <f>BASE_EQUIPOS!G5202</f>
        <v/>
      </c>
      <c r="F5202">
        <f>BASE_EQUIPOS!H5202</f>
        <v/>
      </c>
      <c r="G5202">
        <f>BASE_EQUIPOS!M5202</f>
        <v/>
      </c>
    </row>
    <row r="5203">
      <c r="A5203">
        <f>TRIM(BASE_EQUIPOS!N5203)</f>
        <v/>
      </c>
      <c r="B5203">
        <f>BASE_EQUIPOS!A5203</f>
        <v/>
      </c>
      <c r="C5203">
        <f>BASE_EQUIPOS!B5203</f>
        <v/>
      </c>
      <c r="D5203">
        <f>BASE_EQUIPOS!D5203</f>
        <v/>
      </c>
      <c r="E5203">
        <f>BASE_EQUIPOS!G5203</f>
        <v/>
      </c>
      <c r="F5203">
        <f>BASE_EQUIPOS!H5203</f>
        <v/>
      </c>
      <c r="G5203">
        <f>BASE_EQUIPOS!M5203</f>
        <v/>
      </c>
    </row>
    <row r="5204">
      <c r="A5204">
        <f>TRIM(BASE_EQUIPOS!N5204)</f>
        <v/>
      </c>
      <c r="B5204">
        <f>BASE_EQUIPOS!A5204</f>
        <v/>
      </c>
      <c r="C5204">
        <f>BASE_EQUIPOS!B5204</f>
        <v/>
      </c>
      <c r="D5204">
        <f>BASE_EQUIPOS!D5204</f>
        <v/>
      </c>
      <c r="E5204">
        <f>BASE_EQUIPOS!G5204</f>
        <v/>
      </c>
      <c r="F5204">
        <f>BASE_EQUIPOS!H5204</f>
        <v/>
      </c>
      <c r="G5204">
        <f>BASE_EQUIPOS!M5204</f>
        <v/>
      </c>
    </row>
    <row r="5205">
      <c r="A5205">
        <f>TRIM(BASE_EQUIPOS!N5205)</f>
        <v/>
      </c>
      <c r="B5205">
        <f>BASE_EQUIPOS!A5205</f>
        <v/>
      </c>
      <c r="C5205">
        <f>BASE_EQUIPOS!B5205</f>
        <v/>
      </c>
      <c r="D5205">
        <f>BASE_EQUIPOS!D5205</f>
        <v/>
      </c>
      <c r="E5205">
        <f>BASE_EQUIPOS!G5205</f>
        <v/>
      </c>
      <c r="F5205">
        <f>BASE_EQUIPOS!H5205</f>
        <v/>
      </c>
      <c r="G5205">
        <f>BASE_EQUIPOS!M5205</f>
        <v/>
      </c>
    </row>
    <row r="5206">
      <c r="A5206">
        <f>TRIM(BASE_EQUIPOS!N5206)</f>
        <v/>
      </c>
      <c r="B5206">
        <f>BASE_EQUIPOS!A5206</f>
        <v/>
      </c>
      <c r="C5206">
        <f>BASE_EQUIPOS!B5206</f>
        <v/>
      </c>
      <c r="D5206">
        <f>BASE_EQUIPOS!D5206</f>
        <v/>
      </c>
      <c r="E5206">
        <f>BASE_EQUIPOS!G5206</f>
        <v/>
      </c>
      <c r="F5206">
        <f>BASE_EQUIPOS!H5206</f>
        <v/>
      </c>
      <c r="G5206">
        <f>BASE_EQUIPOS!M5206</f>
        <v/>
      </c>
    </row>
    <row r="5207">
      <c r="A5207">
        <f>TRIM(BASE_EQUIPOS!N5207)</f>
        <v/>
      </c>
      <c r="B5207">
        <f>BASE_EQUIPOS!A5207</f>
        <v/>
      </c>
      <c r="C5207">
        <f>BASE_EQUIPOS!B5207</f>
        <v/>
      </c>
      <c r="D5207">
        <f>BASE_EQUIPOS!D5207</f>
        <v/>
      </c>
      <c r="E5207">
        <f>BASE_EQUIPOS!G5207</f>
        <v/>
      </c>
      <c r="F5207">
        <f>BASE_EQUIPOS!H5207</f>
        <v/>
      </c>
      <c r="G5207">
        <f>BASE_EQUIPOS!M5207</f>
        <v/>
      </c>
    </row>
    <row r="5208">
      <c r="A5208">
        <f>TRIM(BASE_EQUIPOS!N5208)</f>
        <v/>
      </c>
      <c r="B5208">
        <f>BASE_EQUIPOS!A5208</f>
        <v/>
      </c>
      <c r="C5208">
        <f>BASE_EQUIPOS!B5208</f>
        <v/>
      </c>
      <c r="D5208">
        <f>BASE_EQUIPOS!D5208</f>
        <v/>
      </c>
      <c r="E5208">
        <f>BASE_EQUIPOS!G5208</f>
        <v/>
      </c>
      <c r="F5208">
        <f>BASE_EQUIPOS!H5208</f>
        <v/>
      </c>
      <c r="G5208">
        <f>BASE_EQUIPOS!M5208</f>
        <v/>
      </c>
    </row>
    <row r="5209">
      <c r="A5209">
        <f>TRIM(BASE_EQUIPOS!N5209)</f>
        <v/>
      </c>
      <c r="B5209">
        <f>BASE_EQUIPOS!A5209</f>
        <v/>
      </c>
      <c r="C5209">
        <f>BASE_EQUIPOS!B5209</f>
        <v/>
      </c>
      <c r="D5209">
        <f>BASE_EQUIPOS!D5209</f>
        <v/>
      </c>
      <c r="E5209">
        <f>BASE_EQUIPOS!G5209</f>
        <v/>
      </c>
      <c r="F5209">
        <f>BASE_EQUIPOS!H5209</f>
        <v/>
      </c>
      <c r="G5209">
        <f>BASE_EQUIPOS!M5209</f>
        <v/>
      </c>
    </row>
    <row r="5210">
      <c r="A5210">
        <f>TRIM(BASE_EQUIPOS!N5210)</f>
        <v/>
      </c>
      <c r="B5210">
        <f>BASE_EQUIPOS!A5210</f>
        <v/>
      </c>
      <c r="C5210">
        <f>BASE_EQUIPOS!B5210</f>
        <v/>
      </c>
      <c r="D5210">
        <f>BASE_EQUIPOS!D5210</f>
        <v/>
      </c>
      <c r="E5210">
        <f>BASE_EQUIPOS!G5210</f>
        <v/>
      </c>
      <c r="F5210">
        <f>BASE_EQUIPOS!H5210</f>
        <v/>
      </c>
      <c r="G5210">
        <f>BASE_EQUIPOS!M5210</f>
        <v/>
      </c>
    </row>
    <row r="5211">
      <c r="A5211">
        <f>TRIM(BASE_EQUIPOS!N5211)</f>
        <v/>
      </c>
      <c r="B5211">
        <f>BASE_EQUIPOS!A5211</f>
        <v/>
      </c>
      <c r="C5211">
        <f>BASE_EQUIPOS!B5211</f>
        <v/>
      </c>
      <c r="D5211">
        <f>BASE_EQUIPOS!D5211</f>
        <v/>
      </c>
      <c r="E5211">
        <f>BASE_EQUIPOS!G5211</f>
        <v/>
      </c>
      <c r="F5211">
        <f>BASE_EQUIPOS!H5211</f>
        <v/>
      </c>
      <c r="G5211">
        <f>BASE_EQUIPOS!M5211</f>
        <v/>
      </c>
    </row>
    <row r="5212">
      <c r="A5212">
        <f>TRIM(BASE_EQUIPOS!N5212)</f>
        <v/>
      </c>
      <c r="B5212">
        <f>BASE_EQUIPOS!A5212</f>
        <v/>
      </c>
      <c r="C5212">
        <f>BASE_EQUIPOS!B5212</f>
        <v/>
      </c>
      <c r="D5212">
        <f>BASE_EQUIPOS!D5212</f>
        <v/>
      </c>
      <c r="E5212">
        <f>BASE_EQUIPOS!G5212</f>
        <v/>
      </c>
      <c r="F5212">
        <f>BASE_EQUIPOS!H5212</f>
        <v/>
      </c>
      <c r="G5212">
        <f>BASE_EQUIPOS!M5212</f>
        <v/>
      </c>
    </row>
    <row r="5213">
      <c r="A5213">
        <f>TRIM(BASE_EQUIPOS!N5213)</f>
        <v/>
      </c>
      <c r="B5213">
        <f>BASE_EQUIPOS!A5213</f>
        <v/>
      </c>
      <c r="C5213">
        <f>BASE_EQUIPOS!B5213</f>
        <v/>
      </c>
      <c r="D5213">
        <f>BASE_EQUIPOS!D5213</f>
        <v/>
      </c>
      <c r="E5213">
        <f>BASE_EQUIPOS!G5213</f>
        <v/>
      </c>
      <c r="F5213">
        <f>BASE_EQUIPOS!H5213</f>
        <v/>
      </c>
      <c r="G5213">
        <f>BASE_EQUIPOS!M5213</f>
        <v/>
      </c>
    </row>
    <row r="5214">
      <c r="A5214">
        <f>TRIM(BASE_EQUIPOS!N5214)</f>
        <v/>
      </c>
      <c r="B5214">
        <f>BASE_EQUIPOS!A5214</f>
        <v/>
      </c>
      <c r="C5214">
        <f>BASE_EQUIPOS!B5214</f>
        <v/>
      </c>
      <c r="D5214">
        <f>BASE_EQUIPOS!D5214</f>
        <v/>
      </c>
      <c r="E5214">
        <f>BASE_EQUIPOS!G5214</f>
        <v/>
      </c>
      <c r="F5214">
        <f>BASE_EQUIPOS!H5214</f>
        <v/>
      </c>
      <c r="G5214">
        <f>BASE_EQUIPOS!M5214</f>
        <v/>
      </c>
    </row>
    <row r="5215">
      <c r="A5215">
        <f>TRIM(BASE_EQUIPOS!N5215)</f>
        <v/>
      </c>
      <c r="B5215">
        <f>BASE_EQUIPOS!A5215</f>
        <v/>
      </c>
      <c r="C5215">
        <f>BASE_EQUIPOS!B5215</f>
        <v/>
      </c>
      <c r="D5215">
        <f>BASE_EQUIPOS!D5215</f>
        <v/>
      </c>
      <c r="E5215">
        <f>BASE_EQUIPOS!G5215</f>
        <v/>
      </c>
      <c r="F5215">
        <f>BASE_EQUIPOS!H5215</f>
        <v/>
      </c>
      <c r="G5215">
        <f>BASE_EQUIPOS!M5215</f>
        <v/>
      </c>
    </row>
    <row r="5216">
      <c r="A5216">
        <f>TRIM(BASE_EQUIPOS!N5216)</f>
        <v/>
      </c>
      <c r="B5216">
        <f>BASE_EQUIPOS!A5216</f>
        <v/>
      </c>
      <c r="C5216">
        <f>BASE_EQUIPOS!B5216</f>
        <v/>
      </c>
      <c r="D5216">
        <f>BASE_EQUIPOS!D5216</f>
        <v/>
      </c>
      <c r="E5216">
        <f>BASE_EQUIPOS!G5216</f>
        <v/>
      </c>
      <c r="F5216">
        <f>BASE_EQUIPOS!H5216</f>
        <v/>
      </c>
      <c r="G5216">
        <f>BASE_EQUIPOS!M5216</f>
        <v/>
      </c>
    </row>
    <row r="5217">
      <c r="A5217">
        <f>TRIM(BASE_EQUIPOS!N5217)</f>
        <v/>
      </c>
      <c r="B5217">
        <f>BASE_EQUIPOS!A5217</f>
        <v/>
      </c>
      <c r="C5217">
        <f>BASE_EQUIPOS!B5217</f>
        <v/>
      </c>
      <c r="D5217">
        <f>BASE_EQUIPOS!D5217</f>
        <v/>
      </c>
      <c r="E5217">
        <f>BASE_EQUIPOS!G5217</f>
        <v/>
      </c>
      <c r="F5217">
        <f>BASE_EQUIPOS!H5217</f>
        <v/>
      </c>
      <c r="G5217">
        <f>BASE_EQUIPOS!M5217</f>
        <v/>
      </c>
    </row>
    <row r="5218">
      <c r="A5218">
        <f>TRIM(BASE_EQUIPOS!N5218)</f>
        <v/>
      </c>
      <c r="B5218">
        <f>BASE_EQUIPOS!A5218</f>
        <v/>
      </c>
      <c r="C5218">
        <f>BASE_EQUIPOS!B5218</f>
        <v/>
      </c>
      <c r="D5218">
        <f>BASE_EQUIPOS!D5218</f>
        <v/>
      </c>
      <c r="E5218">
        <f>BASE_EQUIPOS!G5218</f>
        <v/>
      </c>
      <c r="F5218">
        <f>BASE_EQUIPOS!H5218</f>
        <v/>
      </c>
      <c r="G5218">
        <f>BASE_EQUIPOS!M5218</f>
        <v/>
      </c>
    </row>
    <row r="5219">
      <c r="A5219">
        <f>TRIM(BASE_EQUIPOS!N5219)</f>
        <v/>
      </c>
      <c r="B5219">
        <f>BASE_EQUIPOS!A5219</f>
        <v/>
      </c>
      <c r="C5219">
        <f>BASE_EQUIPOS!B5219</f>
        <v/>
      </c>
      <c r="D5219">
        <f>BASE_EQUIPOS!D5219</f>
        <v/>
      </c>
      <c r="E5219">
        <f>BASE_EQUIPOS!G5219</f>
        <v/>
      </c>
      <c r="F5219">
        <f>BASE_EQUIPOS!H5219</f>
        <v/>
      </c>
      <c r="G5219">
        <f>BASE_EQUIPOS!M5219</f>
        <v/>
      </c>
    </row>
    <row r="5220">
      <c r="A5220">
        <f>TRIM(BASE_EQUIPOS!N5220)</f>
        <v/>
      </c>
      <c r="B5220">
        <f>BASE_EQUIPOS!A5220</f>
        <v/>
      </c>
      <c r="C5220">
        <f>BASE_EQUIPOS!B5220</f>
        <v/>
      </c>
      <c r="D5220">
        <f>BASE_EQUIPOS!D5220</f>
        <v/>
      </c>
      <c r="E5220">
        <f>BASE_EQUIPOS!G5220</f>
        <v/>
      </c>
      <c r="F5220">
        <f>BASE_EQUIPOS!H5220</f>
        <v/>
      </c>
      <c r="G5220">
        <f>BASE_EQUIPOS!M5220</f>
        <v/>
      </c>
    </row>
    <row r="5221">
      <c r="A5221">
        <f>TRIM(BASE_EQUIPOS!N5221)</f>
        <v/>
      </c>
      <c r="B5221">
        <f>BASE_EQUIPOS!A5221</f>
        <v/>
      </c>
      <c r="C5221">
        <f>BASE_EQUIPOS!B5221</f>
        <v/>
      </c>
      <c r="D5221">
        <f>BASE_EQUIPOS!D5221</f>
        <v/>
      </c>
      <c r="E5221">
        <f>BASE_EQUIPOS!G5221</f>
        <v/>
      </c>
      <c r="F5221">
        <f>BASE_EQUIPOS!H5221</f>
        <v/>
      </c>
      <c r="G5221">
        <f>BASE_EQUIPOS!M5221</f>
        <v/>
      </c>
    </row>
    <row r="5222">
      <c r="A5222">
        <f>TRIM(BASE_EQUIPOS!N5222)</f>
        <v/>
      </c>
      <c r="B5222">
        <f>BASE_EQUIPOS!A5222</f>
        <v/>
      </c>
      <c r="C5222">
        <f>BASE_EQUIPOS!B5222</f>
        <v/>
      </c>
      <c r="D5222">
        <f>BASE_EQUIPOS!D5222</f>
        <v/>
      </c>
      <c r="E5222">
        <f>BASE_EQUIPOS!G5222</f>
        <v/>
      </c>
      <c r="F5222">
        <f>BASE_EQUIPOS!H5222</f>
        <v/>
      </c>
      <c r="G5222">
        <f>BASE_EQUIPOS!M5222</f>
        <v/>
      </c>
    </row>
    <row r="5223">
      <c r="A5223">
        <f>TRIM(BASE_EQUIPOS!N5223)</f>
        <v/>
      </c>
      <c r="B5223">
        <f>BASE_EQUIPOS!A5223</f>
        <v/>
      </c>
      <c r="C5223">
        <f>BASE_EQUIPOS!B5223</f>
        <v/>
      </c>
      <c r="D5223">
        <f>BASE_EQUIPOS!D5223</f>
        <v/>
      </c>
      <c r="E5223">
        <f>BASE_EQUIPOS!G5223</f>
        <v/>
      </c>
      <c r="F5223">
        <f>BASE_EQUIPOS!H5223</f>
        <v/>
      </c>
      <c r="G5223">
        <f>BASE_EQUIPOS!M5223</f>
        <v/>
      </c>
    </row>
    <row r="5224">
      <c r="A5224">
        <f>TRIM(BASE_EQUIPOS!N5224)</f>
        <v/>
      </c>
      <c r="B5224">
        <f>BASE_EQUIPOS!A5224</f>
        <v/>
      </c>
      <c r="C5224">
        <f>BASE_EQUIPOS!B5224</f>
        <v/>
      </c>
      <c r="D5224">
        <f>BASE_EQUIPOS!D5224</f>
        <v/>
      </c>
      <c r="E5224">
        <f>BASE_EQUIPOS!G5224</f>
        <v/>
      </c>
      <c r="F5224">
        <f>BASE_EQUIPOS!H5224</f>
        <v/>
      </c>
      <c r="G5224">
        <f>BASE_EQUIPOS!M5224</f>
        <v/>
      </c>
    </row>
    <row r="5225">
      <c r="A5225">
        <f>TRIM(BASE_EQUIPOS!N5225)</f>
        <v/>
      </c>
      <c r="B5225">
        <f>BASE_EQUIPOS!A5225</f>
        <v/>
      </c>
      <c r="C5225">
        <f>BASE_EQUIPOS!B5225</f>
        <v/>
      </c>
      <c r="D5225">
        <f>BASE_EQUIPOS!D5225</f>
        <v/>
      </c>
      <c r="E5225">
        <f>BASE_EQUIPOS!G5225</f>
        <v/>
      </c>
      <c r="F5225">
        <f>BASE_EQUIPOS!H5225</f>
        <v/>
      </c>
      <c r="G5225">
        <f>BASE_EQUIPOS!M5225</f>
        <v/>
      </c>
    </row>
    <row r="5226">
      <c r="A5226">
        <f>TRIM(BASE_EQUIPOS!N5226)</f>
        <v/>
      </c>
      <c r="B5226">
        <f>BASE_EQUIPOS!A5226</f>
        <v/>
      </c>
      <c r="C5226">
        <f>BASE_EQUIPOS!B5226</f>
        <v/>
      </c>
      <c r="D5226">
        <f>BASE_EQUIPOS!D5226</f>
        <v/>
      </c>
      <c r="E5226">
        <f>BASE_EQUIPOS!G5226</f>
        <v/>
      </c>
      <c r="F5226">
        <f>BASE_EQUIPOS!H5226</f>
        <v/>
      </c>
      <c r="G5226">
        <f>BASE_EQUIPOS!M5226</f>
        <v/>
      </c>
    </row>
    <row r="5227">
      <c r="A5227">
        <f>TRIM(BASE_EQUIPOS!N5227)</f>
        <v/>
      </c>
      <c r="B5227">
        <f>BASE_EQUIPOS!A5227</f>
        <v/>
      </c>
      <c r="C5227">
        <f>BASE_EQUIPOS!B5227</f>
        <v/>
      </c>
      <c r="D5227">
        <f>BASE_EQUIPOS!D5227</f>
        <v/>
      </c>
      <c r="E5227">
        <f>BASE_EQUIPOS!G5227</f>
        <v/>
      </c>
      <c r="F5227">
        <f>BASE_EQUIPOS!H5227</f>
        <v/>
      </c>
      <c r="G5227">
        <f>BASE_EQUIPOS!M5227</f>
        <v/>
      </c>
    </row>
    <row r="5228">
      <c r="A5228">
        <f>TRIM(BASE_EQUIPOS!N5228)</f>
        <v/>
      </c>
      <c r="B5228">
        <f>BASE_EQUIPOS!A5228</f>
        <v/>
      </c>
      <c r="C5228">
        <f>BASE_EQUIPOS!B5228</f>
        <v/>
      </c>
      <c r="D5228">
        <f>BASE_EQUIPOS!D5228</f>
        <v/>
      </c>
      <c r="E5228">
        <f>BASE_EQUIPOS!G5228</f>
        <v/>
      </c>
      <c r="F5228">
        <f>BASE_EQUIPOS!H5228</f>
        <v/>
      </c>
      <c r="G5228">
        <f>BASE_EQUIPOS!M5228</f>
        <v/>
      </c>
    </row>
    <row r="5229">
      <c r="A5229">
        <f>TRIM(BASE_EQUIPOS!N5229)</f>
        <v/>
      </c>
      <c r="B5229">
        <f>BASE_EQUIPOS!A5229</f>
        <v/>
      </c>
      <c r="C5229">
        <f>BASE_EQUIPOS!B5229</f>
        <v/>
      </c>
      <c r="D5229">
        <f>BASE_EQUIPOS!D5229</f>
        <v/>
      </c>
      <c r="E5229">
        <f>BASE_EQUIPOS!G5229</f>
        <v/>
      </c>
      <c r="F5229">
        <f>BASE_EQUIPOS!H5229</f>
        <v/>
      </c>
      <c r="G5229">
        <f>BASE_EQUIPOS!M5229</f>
        <v/>
      </c>
    </row>
    <row r="5230">
      <c r="A5230">
        <f>TRIM(BASE_EQUIPOS!N5230)</f>
        <v/>
      </c>
      <c r="B5230">
        <f>BASE_EQUIPOS!A5230</f>
        <v/>
      </c>
      <c r="C5230">
        <f>BASE_EQUIPOS!B5230</f>
        <v/>
      </c>
      <c r="D5230">
        <f>BASE_EQUIPOS!D5230</f>
        <v/>
      </c>
      <c r="E5230">
        <f>BASE_EQUIPOS!G5230</f>
        <v/>
      </c>
      <c r="F5230">
        <f>BASE_EQUIPOS!H5230</f>
        <v/>
      </c>
      <c r="G5230">
        <f>BASE_EQUIPOS!M5230</f>
        <v/>
      </c>
    </row>
    <row r="5231">
      <c r="A5231">
        <f>TRIM(BASE_EQUIPOS!N5231)</f>
        <v/>
      </c>
      <c r="B5231">
        <f>BASE_EQUIPOS!A5231</f>
        <v/>
      </c>
      <c r="C5231">
        <f>BASE_EQUIPOS!B5231</f>
        <v/>
      </c>
      <c r="D5231">
        <f>BASE_EQUIPOS!D5231</f>
        <v/>
      </c>
      <c r="E5231">
        <f>BASE_EQUIPOS!G5231</f>
        <v/>
      </c>
      <c r="F5231">
        <f>BASE_EQUIPOS!H5231</f>
        <v/>
      </c>
      <c r="G5231">
        <f>BASE_EQUIPOS!M5231</f>
        <v/>
      </c>
    </row>
    <row r="5232">
      <c r="A5232">
        <f>TRIM(BASE_EQUIPOS!N5232)</f>
        <v/>
      </c>
      <c r="B5232">
        <f>BASE_EQUIPOS!A5232</f>
        <v/>
      </c>
      <c r="C5232">
        <f>BASE_EQUIPOS!B5232</f>
        <v/>
      </c>
      <c r="D5232">
        <f>BASE_EQUIPOS!D5232</f>
        <v/>
      </c>
      <c r="E5232">
        <f>BASE_EQUIPOS!G5232</f>
        <v/>
      </c>
      <c r="F5232">
        <f>BASE_EQUIPOS!H5232</f>
        <v/>
      </c>
      <c r="G5232">
        <f>BASE_EQUIPOS!M5232</f>
        <v/>
      </c>
    </row>
    <row r="5233">
      <c r="A5233">
        <f>TRIM(BASE_EQUIPOS!N5233)</f>
        <v/>
      </c>
      <c r="B5233">
        <f>BASE_EQUIPOS!A5233</f>
        <v/>
      </c>
      <c r="C5233">
        <f>BASE_EQUIPOS!B5233</f>
        <v/>
      </c>
      <c r="D5233">
        <f>BASE_EQUIPOS!D5233</f>
        <v/>
      </c>
      <c r="E5233">
        <f>BASE_EQUIPOS!G5233</f>
        <v/>
      </c>
      <c r="F5233">
        <f>BASE_EQUIPOS!H5233</f>
        <v/>
      </c>
      <c r="G5233">
        <f>BASE_EQUIPOS!M5233</f>
        <v/>
      </c>
    </row>
    <row r="5234">
      <c r="A5234">
        <f>TRIM(BASE_EQUIPOS!N5234)</f>
        <v/>
      </c>
      <c r="B5234">
        <f>BASE_EQUIPOS!A5234</f>
        <v/>
      </c>
      <c r="C5234">
        <f>BASE_EQUIPOS!B5234</f>
        <v/>
      </c>
      <c r="D5234">
        <f>BASE_EQUIPOS!D5234</f>
        <v/>
      </c>
      <c r="E5234">
        <f>BASE_EQUIPOS!G5234</f>
        <v/>
      </c>
      <c r="F5234">
        <f>BASE_EQUIPOS!H5234</f>
        <v/>
      </c>
      <c r="G5234">
        <f>BASE_EQUIPOS!M5234</f>
        <v/>
      </c>
    </row>
    <row r="5235">
      <c r="A5235">
        <f>TRIM(BASE_EQUIPOS!N5235)</f>
        <v/>
      </c>
      <c r="B5235">
        <f>BASE_EQUIPOS!A5235</f>
        <v/>
      </c>
      <c r="C5235">
        <f>BASE_EQUIPOS!B5235</f>
        <v/>
      </c>
      <c r="D5235">
        <f>BASE_EQUIPOS!D5235</f>
        <v/>
      </c>
      <c r="E5235">
        <f>BASE_EQUIPOS!G5235</f>
        <v/>
      </c>
      <c r="F5235">
        <f>BASE_EQUIPOS!H5235</f>
        <v/>
      </c>
      <c r="G5235">
        <f>BASE_EQUIPOS!M5235</f>
        <v/>
      </c>
    </row>
    <row r="5236">
      <c r="A5236">
        <f>TRIM(BASE_EQUIPOS!N5236)</f>
        <v/>
      </c>
      <c r="B5236">
        <f>BASE_EQUIPOS!A5236</f>
        <v/>
      </c>
      <c r="C5236">
        <f>BASE_EQUIPOS!B5236</f>
        <v/>
      </c>
      <c r="D5236">
        <f>BASE_EQUIPOS!D5236</f>
        <v/>
      </c>
      <c r="E5236">
        <f>BASE_EQUIPOS!G5236</f>
        <v/>
      </c>
      <c r="F5236">
        <f>BASE_EQUIPOS!H5236</f>
        <v/>
      </c>
      <c r="G5236">
        <f>BASE_EQUIPOS!M5236</f>
        <v/>
      </c>
    </row>
    <row r="5237">
      <c r="A5237">
        <f>TRIM(BASE_EQUIPOS!N5237)</f>
        <v/>
      </c>
      <c r="B5237">
        <f>BASE_EQUIPOS!A5237</f>
        <v/>
      </c>
      <c r="C5237">
        <f>BASE_EQUIPOS!B5237</f>
        <v/>
      </c>
      <c r="D5237">
        <f>BASE_EQUIPOS!D5237</f>
        <v/>
      </c>
      <c r="E5237">
        <f>BASE_EQUIPOS!G5237</f>
        <v/>
      </c>
      <c r="F5237">
        <f>BASE_EQUIPOS!H5237</f>
        <v/>
      </c>
      <c r="G5237">
        <f>BASE_EQUIPOS!M5237</f>
        <v/>
      </c>
    </row>
    <row r="5238">
      <c r="A5238">
        <f>TRIM(BASE_EQUIPOS!N5238)</f>
        <v/>
      </c>
      <c r="B5238">
        <f>BASE_EQUIPOS!A5238</f>
        <v/>
      </c>
      <c r="C5238">
        <f>BASE_EQUIPOS!B5238</f>
        <v/>
      </c>
      <c r="D5238">
        <f>BASE_EQUIPOS!D5238</f>
        <v/>
      </c>
      <c r="E5238">
        <f>BASE_EQUIPOS!G5238</f>
        <v/>
      </c>
      <c r="F5238">
        <f>BASE_EQUIPOS!H5238</f>
        <v/>
      </c>
      <c r="G5238">
        <f>BASE_EQUIPOS!M5238</f>
        <v/>
      </c>
    </row>
    <row r="5239">
      <c r="A5239">
        <f>TRIM(BASE_EQUIPOS!N5239)</f>
        <v/>
      </c>
      <c r="B5239">
        <f>BASE_EQUIPOS!A5239</f>
        <v/>
      </c>
      <c r="C5239">
        <f>BASE_EQUIPOS!B5239</f>
        <v/>
      </c>
      <c r="D5239">
        <f>BASE_EQUIPOS!D5239</f>
        <v/>
      </c>
      <c r="E5239">
        <f>BASE_EQUIPOS!G5239</f>
        <v/>
      </c>
      <c r="F5239">
        <f>BASE_EQUIPOS!H5239</f>
        <v/>
      </c>
      <c r="G5239">
        <f>BASE_EQUIPOS!M5239</f>
        <v/>
      </c>
    </row>
    <row r="5240">
      <c r="A5240">
        <f>TRIM(BASE_EQUIPOS!N5240)</f>
        <v/>
      </c>
      <c r="B5240">
        <f>BASE_EQUIPOS!A5240</f>
        <v/>
      </c>
      <c r="C5240">
        <f>BASE_EQUIPOS!B5240</f>
        <v/>
      </c>
      <c r="D5240">
        <f>BASE_EQUIPOS!D5240</f>
        <v/>
      </c>
      <c r="E5240">
        <f>BASE_EQUIPOS!G5240</f>
        <v/>
      </c>
      <c r="F5240">
        <f>BASE_EQUIPOS!H5240</f>
        <v/>
      </c>
      <c r="G5240">
        <f>BASE_EQUIPOS!M5240</f>
        <v/>
      </c>
    </row>
    <row r="5241">
      <c r="A5241">
        <f>TRIM(BASE_EQUIPOS!N5241)</f>
        <v/>
      </c>
      <c r="B5241">
        <f>BASE_EQUIPOS!A5241</f>
        <v/>
      </c>
      <c r="C5241">
        <f>BASE_EQUIPOS!B5241</f>
        <v/>
      </c>
      <c r="D5241">
        <f>BASE_EQUIPOS!D5241</f>
        <v/>
      </c>
      <c r="E5241">
        <f>BASE_EQUIPOS!G5241</f>
        <v/>
      </c>
      <c r="F5241">
        <f>BASE_EQUIPOS!H5241</f>
        <v/>
      </c>
      <c r="G5241">
        <f>BASE_EQUIPOS!M5241</f>
        <v/>
      </c>
    </row>
    <row r="5242">
      <c r="A5242">
        <f>TRIM(BASE_EQUIPOS!N5242)</f>
        <v/>
      </c>
      <c r="B5242">
        <f>BASE_EQUIPOS!A5242</f>
        <v/>
      </c>
      <c r="C5242">
        <f>BASE_EQUIPOS!B5242</f>
        <v/>
      </c>
      <c r="D5242">
        <f>BASE_EQUIPOS!D5242</f>
        <v/>
      </c>
      <c r="E5242">
        <f>BASE_EQUIPOS!G5242</f>
        <v/>
      </c>
      <c r="F5242">
        <f>BASE_EQUIPOS!H5242</f>
        <v/>
      </c>
      <c r="G5242">
        <f>BASE_EQUIPOS!M5242</f>
        <v/>
      </c>
    </row>
    <row r="5243">
      <c r="A5243">
        <f>TRIM(BASE_EQUIPOS!N5243)</f>
        <v/>
      </c>
      <c r="B5243">
        <f>BASE_EQUIPOS!A5243</f>
        <v/>
      </c>
      <c r="C5243">
        <f>BASE_EQUIPOS!B5243</f>
        <v/>
      </c>
      <c r="D5243">
        <f>BASE_EQUIPOS!D5243</f>
        <v/>
      </c>
      <c r="E5243">
        <f>BASE_EQUIPOS!G5243</f>
        <v/>
      </c>
      <c r="F5243">
        <f>BASE_EQUIPOS!H5243</f>
        <v/>
      </c>
      <c r="G5243">
        <f>BASE_EQUIPOS!M5243</f>
        <v/>
      </c>
    </row>
    <row r="5244">
      <c r="A5244">
        <f>TRIM(BASE_EQUIPOS!N5244)</f>
        <v/>
      </c>
      <c r="B5244">
        <f>BASE_EQUIPOS!A5244</f>
        <v/>
      </c>
      <c r="C5244">
        <f>BASE_EQUIPOS!B5244</f>
        <v/>
      </c>
      <c r="D5244">
        <f>BASE_EQUIPOS!D5244</f>
        <v/>
      </c>
      <c r="E5244">
        <f>BASE_EQUIPOS!G5244</f>
        <v/>
      </c>
      <c r="F5244">
        <f>BASE_EQUIPOS!H5244</f>
        <v/>
      </c>
      <c r="G5244">
        <f>BASE_EQUIPOS!M5244</f>
        <v/>
      </c>
    </row>
    <row r="5245">
      <c r="A5245">
        <f>TRIM(BASE_EQUIPOS!N5245)</f>
        <v/>
      </c>
      <c r="B5245">
        <f>BASE_EQUIPOS!A5245</f>
        <v/>
      </c>
      <c r="C5245">
        <f>BASE_EQUIPOS!B5245</f>
        <v/>
      </c>
      <c r="D5245">
        <f>BASE_EQUIPOS!D5245</f>
        <v/>
      </c>
      <c r="E5245">
        <f>BASE_EQUIPOS!G5245</f>
        <v/>
      </c>
      <c r="F5245">
        <f>BASE_EQUIPOS!H5245</f>
        <v/>
      </c>
      <c r="G5245">
        <f>BASE_EQUIPOS!M5245</f>
        <v/>
      </c>
    </row>
    <row r="5246">
      <c r="A5246">
        <f>TRIM(BASE_EQUIPOS!N5246)</f>
        <v/>
      </c>
      <c r="B5246">
        <f>BASE_EQUIPOS!A5246</f>
        <v/>
      </c>
      <c r="C5246">
        <f>BASE_EQUIPOS!B5246</f>
        <v/>
      </c>
      <c r="D5246">
        <f>BASE_EQUIPOS!D5246</f>
        <v/>
      </c>
      <c r="E5246">
        <f>BASE_EQUIPOS!G5246</f>
        <v/>
      </c>
      <c r="F5246">
        <f>BASE_EQUIPOS!H5246</f>
        <v/>
      </c>
      <c r="G5246">
        <f>BASE_EQUIPOS!M5246</f>
        <v/>
      </c>
    </row>
    <row r="5247">
      <c r="A5247">
        <f>TRIM(BASE_EQUIPOS!N5247)</f>
        <v/>
      </c>
      <c r="B5247">
        <f>BASE_EQUIPOS!A5247</f>
        <v/>
      </c>
      <c r="C5247">
        <f>BASE_EQUIPOS!B5247</f>
        <v/>
      </c>
      <c r="D5247">
        <f>BASE_EQUIPOS!D5247</f>
        <v/>
      </c>
      <c r="E5247">
        <f>BASE_EQUIPOS!G5247</f>
        <v/>
      </c>
      <c r="F5247">
        <f>BASE_EQUIPOS!H5247</f>
        <v/>
      </c>
      <c r="G5247">
        <f>BASE_EQUIPOS!M5247</f>
        <v/>
      </c>
    </row>
    <row r="5248">
      <c r="A5248">
        <f>TRIM(BASE_EQUIPOS!N5248)</f>
        <v/>
      </c>
      <c r="B5248">
        <f>BASE_EQUIPOS!A5248</f>
        <v/>
      </c>
      <c r="C5248">
        <f>BASE_EQUIPOS!B5248</f>
        <v/>
      </c>
      <c r="D5248">
        <f>BASE_EQUIPOS!D5248</f>
        <v/>
      </c>
      <c r="E5248">
        <f>BASE_EQUIPOS!G5248</f>
        <v/>
      </c>
      <c r="F5248">
        <f>BASE_EQUIPOS!H5248</f>
        <v/>
      </c>
      <c r="G5248">
        <f>BASE_EQUIPOS!M5248</f>
        <v/>
      </c>
    </row>
    <row r="5249">
      <c r="A5249">
        <f>TRIM(BASE_EQUIPOS!N5249)</f>
        <v/>
      </c>
      <c r="B5249">
        <f>BASE_EQUIPOS!A5249</f>
        <v/>
      </c>
      <c r="C5249">
        <f>BASE_EQUIPOS!B5249</f>
        <v/>
      </c>
      <c r="D5249">
        <f>BASE_EQUIPOS!D5249</f>
        <v/>
      </c>
      <c r="E5249">
        <f>BASE_EQUIPOS!G5249</f>
        <v/>
      </c>
      <c r="F5249">
        <f>BASE_EQUIPOS!H5249</f>
        <v/>
      </c>
      <c r="G5249">
        <f>BASE_EQUIPOS!M5249</f>
        <v/>
      </c>
    </row>
    <row r="5250">
      <c r="A5250">
        <f>TRIM(BASE_EQUIPOS!N5250)</f>
        <v/>
      </c>
      <c r="B5250">
        <f>BASE_EQUIPOS!A5250</f>
        <v/>
      </c>
      <c r="C5250">
        <f>BASE_EQUIPOS!B5250</f>
        <v/>
      </c>
      <c r="D5250">
        <f>BASE_EQUIPOS!D5250</f>
        <v/>
      </c>
      <c r="E5250">
        <f>BASE_EQUIPOS!G5250</f>
        <v/>
      </c>
      <c r="F5250">
        <f>BASE_EQUIPOS!H5250</f>
        <v/>
      </c>
      <c r="G5250">
        <f>BASE_EQUIPOS!M5250</f>
        <v/>
      </c>
    </row>
    <row r="5251">
      <c r="A5251">
        <f>TRIM(BASE_EQUIPOS!N5251)</f>
        <v/>
      </c>
      <c r="B5251">
        <f>BASE_EQUIPOS!A5251</f>
        <v/>
      </c>
      <c r="C5251">
        <f>BASE_EQUIPOS!B5251</f>
        <v/>
      </c>
      <c r="D5251">
        <f>BASE_EQUIPOS!D5251</f>
        <v/>
      </c>
      <c r="E5251">
        <f>BASE_EQUIPOS!G5251</f>
        <v/>
      </c>
      <c r="F5251">
        <f>BASE_EQUIPOS!H5251</f>
        <v/>
      </c>
      <c r="G5251">
        <f>BASE_EQUIPOS!M5251</f>
        <v/>
      </c>
    </row>
    <row r="5252">
      <c r="A5252">
        <f>TRIM(BASE_EQUIPOS!N5252)</f>
        <v/>
      </c>
      <c r="B5252">
        <f>BASE_EQUIPOS!A5252</f>
        <v/>
      </c>
      <c r="C5252">
        <f>BASE_EQUIPOS!B5252</f>
        <v/>
      </c>
      <c r="D5252">
        <f>BASE_EQUIPOS!D5252</f>
        <v/>
      </c>
      <c r="E5252">
        <f>BASE_EQUIPOS!G5252</f>
        <v/>
      </c>
      <c r="F5252">
        <f>BASE_EQUIPOS!H5252</f>
        <v/>
      </c>
      <c r="G5252">
        <f>BASE_EQUIPOS!M5252</f>
        <v/>
      </c>
    </row>
    <row r="5253">
      <c r="A5253">
        <f>TRIM(BASE_EQUIPOS!N5253)</f>
        <v/>
      </c>
      <c r="B5253">
        <f>BASE_EQUIPOS!A5253</f>
        <v/>
      </c>
      <c r="C5253">
        <f>BASE_EQUIPOS!B5253</f>
        <v/>
      </c>
      <c r="D5253">
        <f>BASE_EQUIPOS!D5253</f>
        <v/>
      </c>
      <c r="E5253">
        <f>BASE_EQUIPOS!G5253</f>
        <v/>
      </c>
      <c r="F5253">
        <f>BASE_EQUIPOS!H5253</f>
        <v/>
      </c>
      <c r="G5253">
        <f>BASE_EQUIPOS!M5253</f>
        <v/>
      </c>
    </row>
    <row r="5254">
      <c r="A5254">
        <f>TRIM(BASE_EQUIPOS!N5254)</f>
        <v/>
      </c>
      <c r="B5254">
        <f>BASE_EQUIPOS!A5254</f>
        <v/>
      </c>
      <c r="C5254">
        <f>BASE_EQUIPOS!B5254</f>
        <v/>
      </c>
      <c r="D5254">
        <f>BASE_EQUIPOS!D5254</f>
        <v/>
      </c>
      <c r="E5254">
        <f>BASE_EQUIPOS!G5254</f>
        <v/>
      </c>
      <c r="F5254">
        <f>BASE_EQUIPOS!H5254</f>
        <v/>
      </c>
      <c r="G5254">
        <f>BASE_EQUIPOS!M5254</f>
        <v/>
      </c>
    </row>
    <row r="5255">
      <c r="A5255">
        <f>TRIM(BASE_EQUIPOS!N5255)</f>
        <v/>
      </c>
      <c r="B5255">
        <f>BASE_EQUIPOS!A5255</f>
        <v/>
      </c>
      <c r="C5255">
        <f>BASE_EQUIPOS!B5255</f>
        <v/>
      </c>
      <c r="D5255">
        <f>BASE_EQUIPOS!D5255</f>
        <v/>
      </c>
      <c r="E5255">
        <f>BASE_EQUIPOS!G5255</f>
        <v/>
      </c>
      <c r="F5255">
        <f>BASE_EQUIPOS!H5255</f>
        <v/>
      </c>
      <c r="G5255">
        <f>BASE_EQUIPOS!M5255</f>
        <v/>
      </c>
    </row>
    <row r="5256">
      <c r="A5256">
        <f>TRIM(BASE_EQUIPOS!N5256)</f>
        <v/>
      </c>
      <c r="B5256">
        <f>BASE_EQUIPOS!A5256</f>
        <v/>
      </c>
      <c r="C5256">
        <f>BASE_EQUIPOS!B5256</f>
        <v/>
      </c>
      <c r="D5256">
        <f>BASE_EQUIPOS!D5256</f>
        <v/>
      </c>
      <c r="E5256">
        <f>BASE_EQUIPOS!G5256</f>
        <v/>
      </c>
      <c r="F5256">
        <f>BASE_EQUIPOS!H5256</f>
        <v/>
      </c>
      <c r="G5256">
        <f>BASE_EQUIPOS!M5256</f>
        <v/>
      </c>
    </row>
    <row r="5257">
      <c r="A5257">
        <f>TRIM(BASE_EQUIPOS!N5257)</f>
        <v/>
      </c>
      <c r="B5257">
        <f>BASE_EQUIPOS!A5257</f>
        <v/>
      </c>
      <c r="C5257">
        <f>BASE_EQUIPOS!B5257</f>
        <v/>
      </c>
      <c r="D5257">
        <f>BASE_EQUIPOS!D5257</f>
        <v/>
      </c>
      <c r="E5257">
        <f>BASE_EQUIPOS!G5257</f>
        <v/>
      </c>
      <c r="F5257">
        <f>BASE_EQUIPOS!H5257</f>
        <v/>
      </c>
      <c r="G5257">
        <f>BASE_EQUIPOS!M5257</f>
        <v/>
      </c>
    </row>
    <row r="5258">
      <c r="A5258">
        <f>TRIM(BASE_EQUIPOS!N5258)</f>
        <v/>
      </c>
      <c r="B5258">
        <f>BASE_EQUIPOS!A5258</f>
        <v/>
      </c>
      <c r="C5258">
        <f>BASE_EQUIPOS!B5258</f>
        <v/>
      </c>
      <c r="D5258">
        <f>BASE_EQUIPOS!D5258</f>
        <v/>
      </c>
      <c r="E5258">
        <f>BASE_EQUIPOS!G5258</f>
        <v/>
      </c>
      <c r="F5258">
        <f>BASE_EQUIPOS!H5258</f>
        <v/>
      </c>
      <c r="G5258">
        <f>BASE_EQUIPOS!M5258</f>
        <v/>
      </c>
    </row>
    <row r="5259">
      <c r="A5259">
        <f>TRIM(BASE_EQUIPOS!N5259)</f>
        <v/>
      </c>
      <c r="B5259">
        <f>BASE_EQUIPOS!A5259</f>
        <v/>
      </c>
      <c r="C5259">
        <f>BASE_EQUIPOS!B5259</f>
        <v/>
      </c>
      <c r="D5259">
        <f>BASE_EQUIPOS!D5259</f>
        <v/>
      </c>
      <c r="E5259">
        <f>BASE_EQUIPOS!G5259</f>
        <v/>
      </c>
      <c r="F5259">
        <f>BASE_EQUIPOS!H5259</f>
        <v/>
      </c>
      <c r="G5259">
        <f>BASE_EQUIPOS!M5259</f>
        <v/>
      </c>
    </row>
    <row r="5260">
      <c r="A5260">
        <f>TRIM(BASE_EQUIPOS!N5260)</f>
        <v/>
      </c>
      <c r="B5260">
        <f>BASE_EQUIPOS!A5260</f>
        <v/>
      </c>
      <c r="C5260">
        <f>BASE_EQUIPOS!B5260</f>
        <v/>
      </c>
      <c r="D5260">
        <f>BASE_EQUIPOS!D5260</f>
        <v/>
      </c>
      <c r="E5260">
        <f>BASE_EQUIPOS!G5260</f>
        <v/>
      </c>
      <c r="F5260">
        <f>BASE_EQUIPOS!H5260</f>
        <v/>
      </c>
      <c r="G5260">
        <f>BASE_EQUIPOS!M5260</f>
        <v/>
      </c>
    </row>
    <row r="5261">
      <c r="A5261">
        <f>TRIM(BASE_EQUIPOS!N5261)</f>
        <v/>
      </c>
      <c r="B5261">
        <f>BASE_EQUIPOS!A5261</f>
        <v/>
      </c>
      <c r="C5261">
        <f>BASE_EQUIPOS!B5261</f>
        <v/>
      </c>
      <c r="D5261">
        <f>BASE_EQUIPOS!D5261</f>
        <v/>
      </c>
      <c r="E5261">
        <f>BASE_EQUIPOS!G5261</f>
        <v/>
      </c>
      <c r="F5261">
        <f>BASE_EQUIPOS!H5261</f>
        <v/>
      </c>
      <c r="G5261">
        <f>BASE_EQUIPOS!M5261</f>
        <v/>
      </c>
    </row>
    <row r="5262">
      <c r="A5262">
        <f>TRIM(BASE_EQUIPOS!N5262)</f>
        <v/>
      </c>
      <c r="B5262">
        <f>BASE_EQUIPOS!A5262</f>
        <v/>
      </c>
      <c r="C5262">
        <f>BASE_EQUIPOS!B5262</f>
        <v/>
      </c>
      <c r="D5262">
        <f>BASE_EQUIPOS!D5262</f>
        <v/>
      </c>
      <c r="E5262">
        <f>BASE_EQUIPOS!G5262</f>
        <v/>
      </c>
      <c r="F5262">
        <f>BASE_EQUIPOS!H5262</f>
        <v/>
      </c>
      <c r="G5262">
        <f>BASE_EQUIPOS!M5262</f>
        <v/>
      </c>
    </row>
    <row r="5263">
      <c r="A5263">
        <f>TRIM(BASE_EQUIPOS!N5263)</f>
        <v/>
      </c>
      <c r="B5263">
        <f>BASE_EQUIPOS!A5263</f>
        <v/>
      </c>
      <c r="C5263">
        <f>BASE_EQUIPOS!B5263</f>
        <v/>
      </c>
      <c r="D5263">
        <f>BASE_EQUIPOS!D5263</f>
        <v/>
      </c>
      <c r="E5263">
        <f>BASE_EQUIPOS!G5263</f>
        <v/>
      </c>
      <c r="F5263">
        <f>BASE_EQUIPOS!H5263</f>
        <v/>
      </c>
      <c r="G5263">
        <f>BASE_EQUIPOS!M5263</f>
        <v/>
      </c>
    </row>
    <row r="5264">
      <c r="A5264">
        <f>TRIM(BASE_EQUIPOS!N5264)</f>
        <v/>
      </c>
      <c r="B5264">
        <f>BASE_EQUIPOS!A5264</f>
        <v/>
      </c>
      <c r="C5264">
        <f>BASE_EQUIPOS!B5264</f>
        <v/>
      </c>
      <c r="D5264">
        <f>BASE_EQUIPOS!D5264</f>
        <v/>
      </c>
      <c r="E5264">
        <f>BASE_EQUIPOS!G5264</f>
        <v/>
      </c>
      <c r="F5264">
        <f>BASE_EQUIPOS!H5264</f>
        <v/>
      </c>
      <c r="G5264">
        <f>BASE_EQUIPOS!M5264</f>
        <v/>
      </c>
    </row>
    <row r="5265">
      <c r="A5265">
        <f>TRIM(BASE_EQUIPOS!N5265)</f>
        <v/>
      </c>
      <c r="B5265">
        <f>BASE_EQUIPOS!A5265</f>
        <v/>
      </c>
      <c r="C5265">
        <f>BASE_EQUIPOS!B5265</f>
        <v/>
      </c>
      <c r="D5265">
        <f>BASE_EQUIPOS!D5265</f>
        <v/>
      </c>
      <c r="E5265">
        <f>BASE_EQUIPOS!G5265</f>
        <v/>
      </c>
      <c r="F5265">
        <f>BASE_EQUIPOS!H5265</f>
        <v/>
      </c>
      <c r="G5265">
        <f>BASE_EQUIPOS!M5265</f>
        <v/>
      </c>
    </row>
    <row r="5266">
      <c r="A5266">
        <f>TRIM(BASE_EQUIPOS!N5266)</f>
        <v/>
      </c>
      <c r="B5266">
        <f>BASE_EQUIPOS!A5266</f>
        <v/>
      </c>
      <c r="C5266">
        <f>BASE_EQUIPOS!B5266</f>
        <v/>
      </c>
      <c r="D5266">
        <f>BASE_EQUIPOS!D5266</f>
        <v/>
      </c>
      <c r="E5266">
        <f>BASE_EQUIPOS!G5266</f>
        <v/>
      </c>
      <c r="F5266">
        <f>BASE_EQUIPOS!H5266</f>
        <v/>
      </c>
      <c r="G5266">
        <f>BASE_EQUIPOS!M5266</f>
        <v/>
      </c>
    </row>
    <row r="5267">
      <c r="A5267">
        <f>TRIM(BASE_EQUIPOS!N5267)</f>
        <v/>
      </c>
      <c r="B5267">
        <f>BASE_EQUIPOS!A5267</f>
        <v/>
      </c>
      <c r="C5267">
        <f>BASE_EQUIPOS!B5267</f>
        <v/>
      </c>
      <c r="D5267">
        <f>BASE_EQUIPOS!D5267</f>
        <v/>
      </c>
      <c r="E5267">
        <f>BASE_EQUIPOS!G5267</f>
        <v/>
      </c>
      <c r="F5267">
        <f>BASE_EQUIPOS!H5267</f>
        <v/>
      </c>
      <c r="G5267">
        <f>BASE_EQUIPOS!M5267</f>
        <v/>
      </c>
    </row>
    <row r="5268">
      <c r="A5268">
        <f>TRIM(BASE_EQUIPOS!N5268)</f>
        <v/>
      </c>
      <c r="B5268">
        <f>BASE_EQUIPOS!A5268</f>
        <v/>
      </c>
      <c r="C5268">
        <f>BASE_EQUIPOS!B5268</f>
        <v/>
      </c>
      <c r="D5268">
        <f>BASE_EQUIPOS!D5268</f>
        <v/>
      </c>
      <c r="E5268">
        <f>BASE_EQUIPOS!G5268</f>
        <v/>
      </c>
      <c r="F5268">
        <f>BASE_EQUIPOS!H5268</f>
        <v/>
      </c>
      <c r="G5268">
        <f>BASE_EQUIPOS!M5268</f>
        <v/>
      </c>
    </row>
    <row r="5269">
      <c r="A5269">
        <f>TRIM(BASE_EQUIPOS!N5269)</f>
        <v/>
      </c>
      <c r="B5269">
        <f>BASE_EQUIPOS!A5269</f>
        <v/>
      </c>
      <c r="C5269">
        <f>BASE_EQUIPOS!B5269</f>
        <v/>
      </c>
      <c r="D5269">
        <f>BASE_EQUIPOS!D5269</f>
        <v/>
      </c>
      <c r="E5269">
        <f>BASE_EQUIPOS!G5269</f>
        <v/>
      </c>
      <c r="F5269">
        <f>BASE_EQUIPOS!H5269</f>
        <v/>
      </c>
      <c r="G5269">
        <f>BASE_EQUIPOS!M5269</f>
        <v/>
      </c>
    </row>
    <row r="5270">
      <c r="A5270">
        <f>TRIM(BASE_EQUIPOS!N5270)</f>
        <v/>
      </c>
      <c r="B5270">
        <f>BASE_EQUIPOS!A5270</f>
        <v/>
      </c>
      <c r="C5270">
        <f>BASE_EQUIPOS!B5270</f>
        <v/>
      </c>
      <c r="D5270">
        <f>BASE_EQUIPOS!D5270</f>
        <v/>
      </c>
      <c r="E5270">
        <f>BASE_EQUIPOS!G5270</f>
        <v/>
      </c>
      <c r="F5270">
        <f>BASE_EQUIPOS!H5270</f>
        <v/>
      </c>
      <c r="G5270">
        <f>BASE_EQUIPOS!M5270</f>
        <v/>
      </c>
    </row>
    <row r="5271">
      <c r="A5271">
        <f>TRIM(BASE_EQUIPOS!N5271)</f>
        <v/>
      </c>
      <c r="B5271">
        <f>BASE_EQUIPOS!A5271</f>
        <v/>
      </c>
      <c r="C5271">
        <f>BASE_EQUIPOS!B5271</f>
        <v/>
      </c>
      <c r="D5271">
        <f>BASE_EQUIPOS!D5271</f>
        <v/>
      </c>
      <c r="E5271">
        <f>BASE_EQUIPOS!G5271</f>
        <v/>
      </c>
      <c r="F5271">
        <f>BASE_EQUIPOS!H5271</f>
        <v/>
      </c>
      <c r="G5271">
        <f>BASE_EQUIPOS!M5271</f>
        <v/>
      </c>
    </row>
    <row r="5272">
      <c r="A5272">
        <f>TRIM(BASE_EQUIPOS!N5272)</f>
        <v/>
      </c>
      <c r="B5272">
        <f>BASE_EQUIPOS!A5272</f>
        <v/>
      </c>
      <c r="C5272">
        <f>BASE_EQUIPOS!B5272</f>
        <v/>
      </c>
      <c r="D5272">
        <f>BASE_EQUIPOS!D5272</f>
        <v/>
      </c>
      <c r="E5272">
        <f>BASE_EQUIPOS!G5272</f>
        <v/>
      </c>
      <c r="F5272">
        <f>BASE_EQUIPOS!H5272</f>
        <v/>
      </c>
      <c r="G5272">
        <f>BASE_EQUIPOS!M5272</f>
        <v/>
      </c>
    </row>
    <row r="5273">
      <c r="A5273">
        <f>TRIM(BASE_EQUIPOS!N5273)</f>
        <v/>
      </c>
      <c r="B5273">
        <f>BASE_EQUIPOS!A5273</f>
        <v/>
      </c>
      <c r="C5273">
        <f>BASE_EQUIPOS!B5273</f>
        <v/>
      </c>
      <c r="D5273">
        <f>BASE_EQUIPOS!D5273</f>
        <v/>
      </c>
      <c r="E5273">
        <f>BASE_EQUIPOS!G5273</f>
        <v/>
      </c>
      <c r="F5273">
        <f>BASE_EQUIPOS!H5273</f>
        <v/>
      </c>
      <c r="G5273">
        <f>BASE_EQUIPOS!M5273</f>
        <v/>
      </c>
    </row>
    <row r="5274">
      <c r="A5274">
        <f>TRIM(BASE_EQUIPOS!N5274)</f>
        <v/>
      </c>
      <c r="B5274">
        <f>BASE_EQUIPOS!A5274</f>
        <v/>
      </c>
      <c r="C5274">
        <f>BASE_EQUIPOS!B5274</f>
        <v/>
      </c>
      <c r="D5274">
        <f>BASE_EQUIPOS!D5274</f>
        <v/>
      </c>
      <c r="E5274">
        <f>BASE_EQUIPOS!G5274</f>
        <v/>
      </c>
      <c r="F5274">
        <f>BASE_EQUIPOS!H5274</f>
        <v/>
      </c>
      <c r="G5274">
        <f>BASE_EQUIPOS!M5274</f>
        <v/>
      </c>
    </row>
    <row r="5275">
      <c r="A5275">
        <f>TRIM(BASE_EQUIPOS!N5275)</f>
        <v/>
      </c>
      <c r="B5275">
        <f>BASE_EQUIPOS!A5275</f>
        <v/>
      </c>
      <c r="C5275">
        <f>BASE_EQUIPOS!B5275</f>
        <v/>
      </c>
      <c r="D5275">
        <f>BASE_EQUIPOS!D5275</f>
        <v/>
      </c>
      <c r="E5275">
        <f>BASE_EQUIPOS!G5275</f>
        <v/>
      </c>
      <c r="F5275">
        <f>BASE_EQUIPOS!H5275</f>
        <v/>
      </c>
      <c r="G5275">
        <f>BASE_EQUIPOS!M5275</f>
        <v/>
      </c>
    </row>
    <row r="5276">
      <c r="A5276">
        <f>TRIM(BASE_EQUIPOS!N5276)</f>
        <v/>
      </c>
      <c r="B5276">
        <f>BASE_EQUIPOS!A5276</f>
        <v/>
      </c>
      <c r="C5276">
        <f>BASE_EQUIPOS!B5276</f>
        <v/>
      </c>
      <c r="D5276">
        <f>BASE_EQUIPOS!D5276</f>
        <v/>
      </c>
      <c r="E5276">
        <f>BASE_EQUIPOS!G5276</f>
        <v/>
      </c>
      <c r="F5276">
        <f>BASE_EQUIPOS!H5276</f>
        <v/>
      </c>
      <c r="G5276">
        <f>BASE_EQUIPOS!M5276</f>
        <v/>
      </c>
    </row>
    <row r="5277">
      <c r="A5277">
        <f>TRIM(BASE_EQUIPOS!N5277)</f>
        <v/>
      </c>
      <c r="B5277">
        <f>BASE_EQUIPOS!A5277</f>
        <v/>
      </c>
      <c r="C5277">
        <f>BASE_EQUIPOS!B5277</f>
        <v/>
      </c>
      <c r="D5277">
        <f>BASE_EQUIPOS!D5277</f>
        <v/>
      </c>
      <c r="E5277">
        <f>BASE_EQUIPOS!G5277</f>
        <v/>
      </c>
      <c r="F5277">
        <f>BASE_EQUIPOS!H5277</f>
        <v/>
      </c>
      <c r="G5277">
        <f>BASE_EQUIPOS!M5277</f>
        <v/>
      </c>
    </row>
    <row r="5278">
      <c r="A5278">
        <f>TRIM(BASE_EQUIPOS!N5278)</f>
        <v/>
      </c>
      <c r="B5278">
        <f>BASE_EQUIPOS!A5278</f>
        <v/>
      </c>
      <c r="C5278">
        <f>BASE_EQUIPOS!B5278</f>
        <v/>
      </c>
      <c r="D5278">
        <f>BASE_EQUIPOS!D5278</f>
        <v/>
      </c>
      <c r="E5278">
        <f>BASE_EQUIPOS!G5278</f>
        <v/>
      </c>
      <c r="F5278">
        <f>BASE_EQUIPOS!H5278</f>
        <v/>
      </c>
      <c r="G5278">
        <f>BASE_EQUIPOS!M5278</f>
        <v/>
      </c>
    </row>
    <row r="5279">
      <c r="A5279">
        <f>TRIM(BASE_EQUIPOS!N5279)</f>
        <v/>
      </c>
      <c r="B5279">
        <f>BASE_EQUIPOS!A5279</f>
        <v/>
      </c>
      <c r="C5279">
        <f>BASE_EQUIPOS!B5279</f>
        <v/>
      </c>
      <c r="D5279">
        <f>BASE_EQUIPOS!D5279</f>
        <v/>
      </c>
      <c r="E5279">
        <f>BASE_EQUIPOS!G5279</f>
        <v/>
      </c>
      <c r="F5279">
        <f>BASE_EQUIPOS!H5279</f>
        <v/>
      </c>
      <c r="G5279">
        <f>BASE_EQUIPOS!M5279</f>
        <v/>
      </c>
    </row>
    <row r="5280">
      <c r="A5280">
        <f>TRIM(BASE_EQUIPOS!N5280)</f>
        <v/>
      </c>
      <c r="B5280">
        <f>BASE_EQUIPOS!A5280</f>
        <v/>
      </c>
      <c r="C5280">
        <f>BASE_EQUIPOS!B5280</f>
        <v/>
      </c>
      <c r="D5280">
        <f>BASE_EQUIPOS!D5280</f>
        <v/>
      </c>
      <c r="E5280">
        <f>BASE_EQUIPOS!G5280</f>
        <v/>
      </c>
      <c r="F5280">
        <f>BASE_EQUIPOS!H5280</f>
        <v/>
      </c>
      <c r="G5280">
        <f>BASE_EQUIPOS!M5280</f>
        <v/>
      </c>
    </row>
    <row r="5281">
      <c r="A5281">
        <f>TRIM(BASE_EQUIPOS!N5281)</f>
        <v/>
      </c>
      <c r="B5281">
        <f>BASE_EQUIPOS!A5281</f>
        <v/>
      </c>
      <c r="C5281">
        <f>BASE_EQUIPOS!B5281</f>
        <v/>
      </c>
      <c r="D5281">
        <f>BASE_EQUIPOS!D5281</f>
        <v/>
      </c>
      <c r="E5281">
        <f>BASE_EQUIPOS!G5281</f>
        <v/>
      </c>
      <c r="F5281">
        <f>BASE_EQUIPOS!H5281</f>
        <v/>
      </c>
      <c r="G5281">
        <f>BASE_EQUIPOS!M5281</f>
        <v/>
      </c>
    </row>
    <row r="5282">
      <c r="A5282">
        <f>TRIM(BASE_EQUIPOS!N5282)</f>
        <v/>
      </c>
      <c r="B5282">
        <f>BASE_EQUIPOS!A5282</f>
        <v/>
      </c>
      <c r="C5282">
        <f>BASE_EQUIPOS!B5282</f>
        <v/>
      </c>
      <c r="D5282">
        <f>BASE_EQUIPOS!D5282</f>
        <v/>
      </c>
      <c r="E5282">
        <f>BASE_EQUIPOS!G5282</f>
        <v/>
      </c>
      <c r="F5282">
        <f>BASE_EQUIPOS!H5282</f>
        <v/>
      </c>
      <c r="G5282">
        <f>BASE_EQUIPOS!M5282</f>
        <v/>
      </c>
    </row>
    <row r="5283">
      <c r="A5283">
        <f>TRIM(BASE_EQUIPOS!N5283)</f>
        <v/>
      </c>
      <c r="B5283">
        <f>BASE_EQUIPOS!A5283</f>
        <v/>
      </c>
      <c r="C5283">
        <f>BASE_EQUIPOS!B5283</f>
        <v/>
      </c>
      <c r="D5283">
        <f>BASE_EQUIPOS!D5283</f>
        <v/>
      </c>
      <c r="E5283">
        <f>BASE_EQUIPOS!G5283</f>
        <v/>
      </c>
      <c r="F5283">
        <f>BASE_EQUIPOS!H5283</f>
        <v/>
      </c>
      <c r="G5283">
        <f>BASE_EQUIPOS!M5283</f>
        <v/>
      </c>
    </row>
    <row r="5284">
      <c r="A5284">
        <f>TRIM(BASE_EQUIPOS!N5284)</f>
        <v/>
      </c>
      <c r="B5284">
        <f>BASE_EQUIPOS!A5284</f>
        <v/>
      </c>
      <c r="C5284">
        <f>BASE_EQUIPOS!B5284</f>
        <v/>
      </c>
      <c r="D5284">
        <f>BASE_EQUIPOS!D5284</f>
        <v/>
      </c>
      <c r="E5284">
        <f>BASE_EQUIPOS!G5284</f>
        <v/>
      </c>
      <c r="F5284">
        <f>BASE_EQUIPOS!H5284</f>
        <v/>
      </c>
      <c r="G5284">
        <f>BASE_EQUIPOS!M5284</f>
        <v/>
      </c>
    </row>
    <row r="5285">
      <c r="A5285">
        <f>TRIM(BASE_EQUIPOS!N5285)</f>
        <v/>
      </c>
      <c r="B5285">
        <f>BASE_EQUIPOS!A5285</f>
        <v/>
      </c>
      <c r="C5285">
        <f>BASE_EQUIPOS!B5285</f>
        <v/>
      </c>
      <c r="D5285">
        <f>BASE_EQUIPOS!D5285</f>
        <v/>
      </c>
      <c r="E5285">
        <f>BASE_EQUIPOS!G5285</f>
        <v/>
      </c>
      <c r="F5285">
        <f>BASE_EQUIPOS!H5285</f>
        <v/>
      </c>
      <c r="G5285">
        <f>BASE_EQUIPOS!M5285</f>
        <v/>
      </c>
    </row>
    <row r="5286">
      <c r="A5286">
        <f>TRIM(BASE_EQUIPOS!N5286)</f>
        <v/>
      </c>
      <c r="B5286">
        <f>BASE_EQUIPOS!A5286</f>
        <v/>
      </c>
      <c r="C5286">
        <f>BASE_EQUIPOS!B5286</f>
        <v/>
      </c>
      <c r="D5286">
        <f>BASE_EQUIPOS!D5286</f>
        <v/>
      </c>
      <c r="E5286">
        <f>BASE_EQUIPOS!G5286</f>
        <v/>
      </c>
      <c r="F5286">
        <f>BASE_EQUIPOS!H5286</f>
        <v/>
      </c>
      <c r="G5286">
        <f>BASE_EQUIPOS!M5286</f>
        <v/>
      </c>
    </row>
    <row r="5287">
      <c r="A5287">
        <f>TRIM(BASE_EQUIPOS!N5287)</f>
        <v/>
      </c>
      <c r="B5287">
        <f>BASE_EQUIPOS!A5287</f>
        <v/>
      </c>
      <c r="C5287">
        <f>BASE_EQUIPOS!B5287</f>
        <v/>
      </c>
      <c r="D5287">
        <f>BASE_EQUIPOS!D5287</f>
        <v/>
      </c>
      <c r="E5287">
        <f>BASE_EQUIPOS!G5287</f>
        <v/>
      </c>
      <c r="F5287">
        <f>BASE_EQUIPOS!H5287</f>
        <v/>
      </c>
      <c r="G5287">
        <f>BASE_EQUIPOS!M5287</f>
        <v/>
      </c>
    </row>
    <row r="5288">
      <c r="A5288">
        <f>TRIM(BASE_EQUIPOS!N5288)</f>
        <v/>
      </c>
      <c r="B5288">
        <f>BASE_EQUIPOS!A5288</f>
        <v/>
      </c>
      <c r="C5288">
        <f>BASE_EQUIPOS!B5288</f>
        <v/>
      </c>
      <c r="D5288">
        <f>BASE_EQUIPOS!D5288</f>
        <v/>
      </c>
      <c r="E5288">
        <f>BASE_EQUIPOS!G5288</f>
        <v/>
      </c>
      <c r="F5288">
        <f>BASE_EQUIPOS!H5288</f>
        <v/>
      </c>
      <c r="G5288">
        <f>BASE_EQUIPOS!M5288</f>
        <v/>
      </c>
    </row>
    <row r="5289">
      <c r="A5289">
        <f>TRIM(BASE_EQUIPOS!N5289)</f>
        <v/>
      </c>
      <c r="B5289">
        <f>BASE_EQUIPOS!A5289</f>
        <v/>
      </c>
      <c r="C5289">
        <f>BASE_EQUIPOS!B5289</f>
        <v/>
      </c>
      <c r="D5289">
        <f>BASE_EQUIPOS!D5289</f>
        <v/>
      </c>
      <c r="E5289">
        <f>BASE_EQUIPOS!G5289</f>
        <v/>
      </c>
      <c r="F5289">
        <f>BASE_EQUIPOS!H5289</f>
        <v/>
      </c>
      <c r="G5289">
        <f>BASE_EQUIPOS!M5289</f>
        <v/>
      </c>
    </row>
    <row r="5290">
      <c r="A5290">
        <f>TRIM(BASE_EQUIPOS!N5290)</f>
        <v/>
      </c>
      <c r="B5290">
        <f>BASE_EQUIPOS!A5290</f>
        <v/>
      </c>
      <c r="C5290">
        <f>BASE_EQUIPOS!B5290</f>
        <v/>
      </c>
      <c r="D5290">
        <f>BASE_EQUIPOS!D5290</f>
        <v/>
      </c>
      <c r="E5290">
        <f>BASE_EQUIPOS!G5290</f>
        <v/>
      </c>
      <c r="F5290">
        <f>BASE_EQUIPOS!H5290</f>
        <v/>
      </c>
      <c r="G5290">
        <f>BASE_EQUIPOS!M5290</f>
        <v/>
      </c>
    </row>
    <row r="5291">
      <c r="A5291">
        <f>TRIM(BASE_EQUIPOS!N5291)</f>
        <v/>
      </c>
      <c r="B5291">
        <f>BASE_EQUIPOS!A5291</f>
        <v/>
      </c>
      <c r="C5291">
        <f>BASE_EQUIPOS!B5291</f>
        <v/>
      </c>
      <c r="D5291">
        <f>BASE_EQUIPOS!D5291</f>
        <v/>
      </c>
      <c r="E5291">
        <f>BASE_EQUIPOS!G5291</f>
        <v/>
      </c>
      <c r="F5291">
        <f>BASE_EQUIPOS!H5291</f>
        <v/>
      </c>
      <c r="G5291">
        <f>BASE_EQUIPOS!M5291</f>
        <v/>
      </c>
    </row>
    <row r="5292">
      <c r="A5292">
        <f>TRIM(BASE_EQUIPOS!N5292)</f>
        <v/>
      </c>
      <c r="B5292">
        <f>BASE_EQUIPOS!A5292</f>
        <v/>
      </c>
      <c r="C5292">
        <f>BASE_EQUIPOS!B5292</f>
        <v/>
      </c>
      <c r="D5292">
        <f>BASE_EQUIPOS!D5292</f>
        <v/>
      </c>
      <c r="E5292">
        <f>BASE_EQUIPOS!G5292</f>
        <v/>
      </c>
      <c r="F5292">
        <f>BASE_EQUIPOS!H5292</f>
        <v/>
      </c>
      <c r="G5292">
        <f>BASE_EQUIPOS!M5292</f>
        <v/>
      </c>
    </row>
    <row r="5293">
      <c r="A5293">
        <f>TRIM(BASE_EQUIPOS!N5293)</f>
        <v/>
      </c>
      <c r="B5293">
        <f>BASE_EQUIPOS!A5293</f>
        <v/>
      </c>
      <c r="C5293">
        <f>BASE_EQUIPOS!B5293</f>
        <v/>
      </c>
      <c r="D5293">
        <f>BASE_EQUIPOS!D5293</f>
        <v/>
      </c>
      <c r="E5293">
        <f>BASE_EQUIPOS!G5293</f>
        <v/>
      </c>
      <c r="F5293">
        <f>BASE_EQUIPOS!H5293</f>
        <v/>
      </c>
      <c r="G5293">
        <f>BASE_EQUIPOS!M5293</f>
        <v/>
      </c>
    </row>
    <row r="5294">
      <c r="A5294">
        <f>TRIM(BASE_EQUIPOS!N5294)</f>
        <v/>
      </c>
      <c r="B5294">
        <f>BASE_EQUIPOS!A5294</f>
        <v/>
      </c>
      <c r="C5294">
        <f>BASE_EQUIPOS!B5294</f>
        <v/>
      </c>
      <c r="D5294">
        <f>BASE_EQUIPOS!D5294</f>
        <v/>
      </c>
      <c r="E5294">
        <f>BASE_EQUIPOS!G5294</f>
        <v/>
      </c>
      <c r="F5294">
        <f>BASE_EQUIPOS!H5294</f>
        <v/>
      </c>
      <c r="G5294">
        <f>BASE_EQUIPOS!M5294</f>
        <v/>
      </c>
    </row>
    <row r="5295">
      <c r="A5295">
        <f>TRIM(BASE_EQUIPOS!N5295)</f>
        <v/>
      </c>
      <c r="B5295">
        <f>BASE_EQUIPOS!A5295</f>
        <v/>
      </c>
      <c r="C5295">
        <f>BASE_EQUIPOS!B5295</f>
        <v/>
      </c>
      <c r="D5295">
        <f>BASE_EQUIPOS!D5295</f>
        <v/>
      </c>
      <c r="E5295">
        <f>BASE_EQUIPOS!G5295</f>
        <v/>
      </c>
      <c r="F5295">
        <f>BASE_EQUIPOS!H5295</f>
        <v/>
      </c>
      <c r="G5295">
        <f>BASE_EQUIPOS!M5295</f>
        <v/>
      </c>
    </row>
    <row r="5296">
      <c r="A5296">
        <f>TRIM(BASE_EQUIPOS!N5296)</f>
        <v/>
      </c>
      <c r="B5296">
        <f>BASE_EQUIPOS!A5296</f>
        <v/>
      </c>
      <c r="C5296">
        <f>BASE_EQUIPOS!B5296</f>
        <v/>
      </c>
      <c r="D5296">
        <f>BASE_EQUIPOS!D5296</f>
        <v/>
      </c>
      <c r="E5296">
        <f>BASE_EQUIPOS!G5296</f>
        <v/>
      </c>
      <c r="F5296">
        <f>BASE_EQUIPOS!H5296</f>
        <v/>
      </c>
      <c r="G5296">
        <f>BASE_EQUIPOS!M5296</f>
        <v/>
      </c>
    </row>
    <row r="5297">
      <c r="A5297">
        <f>TRIM(BASE_EQUIPOS!N5297)</f>
        <v/>
      </c>
      <c r="B5297">
        <f>BASE_EQUIPOS!A5297</f>
        <v/>
      </c>
      <c r="C5297">
        <f>BASE_EQUIPOS!B5297</f>
        <v/>
      </c>
      <c r="D5297">
        <f>BASE_EQUIPOS!D5297</f>
        <v/>
      </c>
      <c r="E5297">
        <f>BASE_EQUIPOS!G5297</f>
        <v/>
      </c>
      <c r="F5297">
        <f>BASE_EQUIPOS!H5297</f>
        <v/>
      </c>
      <c r="G5297">
        <f>BASE_EQUIPOS!M5297</f>
        <v/>
      </c>
    </row>
    <row r="5298">
      <c r="A5298">
        <f>TRIM(BASE_EQUIPOS!N5298)</f>
        <v/>
      </c>
      <c r="B5298">
        <f>BASE_EQUIPOS!A5298</f>
        <v/>
      </c>
      <c r="C5298">
        <f>BASE_EQUIPOS!B5298</f>
        <v/>
      </c>
      <c r="D5298">
        <f>BASE_EQUIPOS!D5298</f>
        <v/>
      </c>
      <c r="E5298">
        <f>BASE_EQUIPOS!G5298</f>
        <v/>
      </c>
      <c r="F5298">
        <f>BASE_EQUIPOS!H5298</f>
        <v/>
      </c>
      <c r="G5298">
        <f>BASE_EQUIPOS!M5298</f>
        <v/>
      </c>
    </row>
    <row r="5299">
      <c r="A5299">
        <f>TRIM(BASE_EQUIPOS!N5299)</f>
        <v/>
      </c>
      <c r="B5299">
        <f>BASE_EQUIPOS!A5299</f>
        <v/>
      </c>
      <c r="C5299">
        <f>BASE_EQUIPOS!B5299</f>
        <v/>
      </c>
      <c r="D5299">
        <f>BASE_EQUIPOS!D5299</f>
        <v/>
      </c>
      <c r="E5299">
        <f>BASE_EQUIPOS!G5299</f>
        <v/>
      </c>
      <c r="F5299">
        <f>BASE_EQUIPOS!H5299</f>
        <v/>
      </c>
      <c r="G5299">
        <f>BASE_EQUIPOS!M5299</f>
        <v/>
      </c>
    </row>
    <row r="5300">
      <c r="A5300">
        <f>TRIM(BASE_EQUIPOS!N5300)</f>
        <v/>
      </c>
      <c r="B5300">
        <f>BASE_EQUIPOS!A5300</f>
        <v/>
      </c>
      <c r="C5300">
        <f>BASE_EQUIPOS!B5300</f>
        <v/>
      </c>
      <c r="D5300">
        <f>BASE_EQUIPOS!D5300</f>
        <v/>
      </c>
      <c r="E5300">
        <f>BASE_EQUIPOS!G5300</f>
        <v/>
      </c>
      <c r="F5300">
        <f>BASE_EQUIPOS!H5300</f>
        <v/>
      </c>
      <c r="G5300">
        <f>BASE_EQUIPOS!M5300</f>
        <v/>
      </c>
    </row>
    <row r="5301">
      <c r="A5301">
        <f>TRIM(BASE_EQUIPOS!N5301)</f>
        <v/>
      </c>
      <c r="B5301">
        <f>BASE_EQUIPOS!A5301</f>
        <v/>
      </c>
      <c r="C5301">
        <f>BASE_EQUIPOS!B5301</f>
        <v/>
      </c>
      <c r="D5301">
        <f>BASE_EQUIPOS!D5301</f>
        <v/>
      </c>
      <c r="E5301">
        <f>BASE_EQUIPOS!G5301</f>
        <v/>
      </c>
      <c r="F5301">
        <f>BASE_EQUIPOS!H5301</f>
        <v/>
      </c>
      <c r="G5301">
        <f>BASE_EQUIPOS!M5301</f>
        <v/>
      </c>
    </row>
    <row r="5302">
      <c r="A5302">
        <f>TRIM(BASE_EQUIPOS!N5302)</f>
        <v/>
      </c>
      <c r="B5302">
        <f>BASE_EQUIPOS!A5302</f>
        <v/>
      </c>
      <c r="C5302">
        <f>BASE_EQUIPOS!B5302</f>
        <v/>
      </c>
      <c r="D5302">
        <f>BASE_EQUIPOS!D5302</f>
        <v/>
      </c>
      <c r="E5302">
        <f>BASE_EQUIPOS!G5302</f>
        <v/>
      </c>
      <c r="F5302">
        <f>BASE_EQUIPOS!H5302</f>
        <v/>
      </c>
      <c r="G5302">
        <f>BASE_EQUIPOS!M5302</f>
        <v/>
      </c>
    </row>
    <row r="5303">
      <c r="A5303">
        <f>TRIM(BASE_EQUIPOS!N5303)</f>
        <v/>
      </c>
      <c r="B5303">
        <f>BASE_EQUIPOS!A5303</f>
        <v/>
      </c>
      <c r="C5303">
        <f>BASE_EQUIPOS!B5303</f>
        <v/>
      </c>
      <c r="D5303">
        <f>BASE_EQUIPOS!D5303</f>
        <v/>
      </c>
      <c r="E5303">
        <f>BASE_EQUIPOS!G5303</f>
        <v/>
      </c>
      <c r="F5303">
        <f>BASE_EQUIPOS!H5303</f>
        <v/>
      </c>
      <c r="G5303">
        <f>BASE_EQUIPOS!M5303</f>
        <v/>
      </c>
    </row>
    <row r="5304">
      <c r="A5304">
        <f>TRIM(BASE_EQUIPOS!N5304)</f>
        <v/>
      </c>
      <c r="B5304">
        <f>BASE_EQUIPOS!A5304</f>
        <v/>
      </c>
      <c r="C5304">
        <f>BASE_EQUIPOS!B5304</f>
        <v/>
      </c>
      <c r="D5304">
        <f>BASE_EQUIPOS!D5304</f>
        <v/>
      </c>
      <c r="E5304">
        <f>BASE_EQUIPOS!G5304</f>
        <v/>
      </c>
      <c r="F5304">
        <f>BASE_EQUIPOS!H5304</f>
        <v/>
      </c>
      <c r="G5304">
        <f>BASE_EQUIPOS!M5304</f>
        <v/>
      </c>
    </row>
    <row r="5305">
      <c r="A5305">
        <f>TRIM(BASE_EQUIPOS!N5305)</f>
        <v/>
      </c>
      <c r="B5305">
        <f>BASE_EQUIPOS!A5305</f>
        <v/>
      </c>
      <c r="C5305">
        <f>BASE_EQUIPOS!B5305</f>
        <v/>
      </c>
      <c r="D5305">
        <f>BASE_EQUIPOS!D5305</f>
        <v/>
      </c>
      <c r="E5305">
        <f>BASE_EQUIPOS!G5305</f>
        <v/>
      </c>
      <c r="F5305">
        <f>BASE_EQUIPOS!H5305</f>
        <v/>
      </c>
      <c r="G5305">
        <f>BASE_EQUIPOS!M5305</f>
        <v/>
      </c>
    </row>
    <row r="5306">
      <c r="A5306">
        <f>TRIM(BASE_EQUIPOS!N5306)</f>
        <v/>
      </c>
      <c r="B5306">
        <f>BASE_EQUIPOS!A5306</f>
        <v/>
      </c>
      <c r="C5306">
        <f>BASE_EQUIPOS!B5306</f>
        <v/>
      </c>
      <c r="D5306">
        <f>BASE_EQUIPOS!D5306</f>
        <v/>
      </c>
      <c r="E5306">
        <f>BASE_EQUIPOS!G5306</f>
        <v/>
      </c>
      <c r="F5306">
        <f>BASE_EQUIPOS!H5306</f>
        <v/>
      </c>
      <c r="G5306">
        <f>BASE_EQUIPOS!M5306</f>
        <v/>
      </c>
    </row>
    <row r="5307">
      <c r="A5307">
        <f>TRIM(BASE_EQUIPOS!N5307)</f>
        <v/>
      </c>
      <c r="B5307">
        <f>BASE_EQUIPOS!A5307</f>
        <v/>
      </c>
      <c r="C5307">
        <f>BASE_EQUIPOS!B5307</f>
        <v/>
      </c>
      <c r="D5307">
        <f>BASE_EQUIPOS!D5307</f>
        <v/>
      </c>
      <c r="E5307">
        <f>BASE_EQUIPOS!G5307</f>
        <v/>
      </c>
      <c r="F5307">
        <f>BASE_EQUIPOS!H5307</f>
        <v/>
      </c>
      <c r="G5307">
        <f>BASE_EQUIPOS!M5307</f>
        <v/>
      </c>
    </row>
    <row r="5308">
      <c r="A5308">
        <f>TRIM(BASE_EQUIPOS!N5308)</f>
        <v/>
      </c>
      <c r="B5308">
        <f>BASE_EQUIPOS!A5308</f>
        <v/>
      </c>
      <c r="C5308">
        <f>BASE_EQUIPOS!B5308</f>
        <v/>
      </c>
      <c r="D5308">
        <f>BASE_EQUIPOS!D5308</f>
        <v/>
      </c>
      <c r="E5308">
        <f>BASE_EQUIPOS!G5308</f>
        <v/>
      </c>
      <c r="F5308">
        <f>BASE_EQUIPOS!H5308</f>
        <v/>
      </c>
      <c r="G5308">
        <f>BASE_EQUIPOS!M5308</f>
        <v/>
      </c>
    </row>
    <row r="5309">
      <c r="A5309">
        <f>TRIM(BASE_EQUIPOS!N5309)</f>
        <v/>
      </c>
      <c r="B5309">
        <f>BASE_EQUIPOS!A5309</f>
        <v/>
      </c>
      <c r="C5309">
        <f>BASE_EQUIPOS!B5309</f>
        <v/>
      </c>
      <c r="D5309">
        <f>BASE_EQUIPOS!D5309</f>
        <v/>
      </c>
      <c r="E5309">
        <f>BASE_EQUIPOS!G5309</f>
        <v/>
      </c>
      <c r="F5309">
        <f>BASE_EQUIPOS!H5309</f>
        <v/>
      </c>
      <c r="G5309">
        <f>BASE_EQUIPOS!M5309</f>
        <v/>
      </c>
    </row>
    <row r="5310">
      <c r="A5310">
        <f>TRIM(BASE_EQUIPOS!N5310)</f>
        <v/>
      </c>
      <c r="B5310">
        <f>BASE_EQUIPOS!A5310</f>
        <v/>
      </c>
      <c r="C5310">
        <f>BASE_EQUIPOS!B5310</f>
        <v/>
      </c>
      <c r="D5310">
        <f>BASE_EQUIPOS!D5310</f>
        <v/>
      </c>
      <c r="E5310">
        <f>BASE_EQUIPOS!G5310</f>
        <v/>
      </c>
      <c r="F5310">
        <f>BASE_EQUIPOS!H5310</f>
        <v/>
      </c>
      <c r="G5310">
        <f>BASE_EQUIPOS!M5310</f>
        <v/>
      </c>
    </row>
    <row r="5311">
      <c r="A5311">
        <f>TRIM(BASE_EQUIPOS!N5311)</f>
        <v/>
      </c>
      <c r="B5311">
        <f>BASE_EQUIPOS!A5311</f>
        <v/>
      </c>
      <c r="C5311">
        <f>BASE_EQUIPOS!B5311</f>
        <v/>
      </c>
      <c r="D5311">
        <f>BASE_EQUIPOS!D5311</f>
        <v/>
      </c>
      <c r="E5311">
        <f>BASE_EQUIPOS!G5311</f>
        <v/>
      </c>
      <c r="F5311">
        <f>BASE_EQUIPOS!H5311</f>
        <v/>
      </c>
      <c r="G5311">
        <f>BASE_EQUIPOS!M5311</f>
        <v/>
      </c>
    </row>
    <row r="5312">
      <c r="A5312">
        <f>TRIM(BASE_EQUIPOS!N5312)</f>
        <v/>
      </c>
      <c r="B5312">
        <f>BASE_EQUIPOS!A5312</f>
        <v/>
      </c>
      <c r="C5312">
        <f>BASE_EQUIPOS!B5312</f>
        <v/>
      </c>
      <c r="D5312">
        <f>BASE_EQUIPOS!D5312</f>
        <v/>
      </c>
      <c r="E5312">
        <f>BASE_EQUIPOS!G5312</f>
        <v/>
      </c>
      <c r="F5312">
        <f>BASE_EQUIPOS!H5312</f>
        <v/>
      </c>
      <c r="G5312">
        <f>BASE_EQUIPOS!M5312</f>
        <v/>
      </c>
    </row>
    <row r="5313">
      <c r="A5313">
        <f>TRIM(BASE_EQUIPOS!N5313)</f>
        <v/>
      </c>
      <c r="B5313">
        <f>BASE_EQUIPOS!A5313</f>
        <v/>
      </c>
      <c r="C5313">
        <f>BASE_EQUIPOS!B5313</f>
        <v/>
      </c>
      <c r="D5313">
        <f>BASE_EQUIPOS!D5313</f>
        <v/>
      </c>
      <c r="E5313">
        <f>BASE_EQUIPOS!G5313</f>
        <v/>
      </c>
      <c r="F5313">
        <f>BASE_EQUIPOS!H5313</f>
        <v/>
      </c>
      <c r="G5313">
        <f>BASE_EQUIPOS!M5313</f>
        <v/>
      </c>
    </row>
    <row r="5314">
      <c r="A5314">
        <f>TRIM(BASE_EQUIPOS!N5314)</f>
        <v/>
      </c>
      <c r="B5314">
        <f>BASE_EQUIPOS!A5314</f>
        <v/>
      </c>
      <c r="C5314">
        <f>BASE_EQUIPOS!B5314</f>
        <v/>
      </c>
      <c r="D5314">
        <f>BASE_EQUIPOS!D5314</f>
        <v/>
      </c>
      <c r="E5314">
        <f>BASE_EQUIPOS!G5314</f>
        <v/>
      </c>
      <c r="F5314">
        <f>BASE_EQUIPOS!H5314</f>
        <v/>
      </c>
      <c r="G5314">
        <f>BASE_EQUIPOS!M5314</f>
        <v/>
      </c>
    </row>
    <row r="5315">
      <c r="A5315">
        <f>TRIM(BASE_EQUIPOS!N5315)</f>
        <v/>
      </c>
      <c r="B5315">
        <f>BASE_EQUIPOS!A5315</f>
        <v/>
      </c>
      <c r="C5315">
        <f>BASE_EQUIPOS!B5315</f>
        <v/>
      </c>
      <c r="D5315">
        <f>BASE_EQUIPOS!D5315</f>
        <v/>
      </c>
      <c r="E5315">
        <f>BASE_EQUIPOS!G5315</f>
        <v/>
      </c>
      <c r="F5315">
        <f>BASE_EQUIPOS!H5315</f>
        <v/>
      </c>
      <c r="G5315">
        <f>BASE_EQUIPOS!M5315</f>
        <v/>
      </c>
    </row>
    <row r="5316">
      <c r="A5316">
        <f>TRIM(BASE_EQUIPOS!N5316)</f>
        <v/>
      </c>
      <c r="B5316">
        <f>BASE_EQUIPOS!A5316</f>
        <v/>
      </c>
      <c r="C5316">
        <f>BASE_EQUIPOS!B5316</f>
        <v/>
      </c>
      <c r="D5316">
        <f>BASE_EQUIPOS!D5316</f>
        <v/>
      </c>
      <c r="E5316">
        <f>BASE_EQUIPOS!G5316</f>
        <v/>
      </c>
      <c r="F5316">
        <f>BASE_EQUIPOS!H5316</f>
        <v/>
      </c>
      <c r="G5316">
        <f>BASE_EQUIPOS!M5316</f>
        <v/>
      </c>
    </row>
    <row r="5317">
      <c r="A5317">
        <f>TRIM(BASE_EQUIPOS!N5317)</f>
        <v/>
      </c>
      <c r="B5317">
        <f>BASE_EQUIPOS!A5317</f>
        <v/>
      </c>
      <c r="C5317">
        <f>BASE_EQUIPOS!B5317</f>
        <v/>
      </c>
      <c r="D5317">
        <f>BASE_EQUIPOS!D5317</f>
        <v/>
      </c>
      <c r="E5317">
        <f>BASE_EQUIPOS!G5317</f>
        <v/>
      </c>
      <c r="F5317">
        <f>BASE_EQUIPOS!H5317</f>
        <v/>
      </c>
      <c r="G5317">
        <f>BASE_EQUIPOS!M5317</f>
        <v/>
      </c>
    </row>
    <row r="5318">
      <c r="A5318">
        <f>TRIM(BASE_EQUIPOS!N5318)</f>
        <v/>
      </c>
      <c r="B5318">
        <f>BASE_EQUIPOS!A5318</f>
        <v/>
      </c>
      <c r="C5318">
        <f>BASE_EQUIPOS!B5318</f>
        <v/>
      </c>
      <c r="D5318">
        <f>BASE_EQUIPOS!D5318</f>
        <v/>
      </c>
      <c r="E5318">
        <f>BASE_EQUIPOS!G5318</f>
        <v/>
      </c>
      <c r="F5318">
        <f>BASE_EQUIPOS!H5318</f>
        <v/>
      </c>
      <c r="G5318">
        <f>BASE_EQUIPOS!M5318</f>
        <v/>
      </c>
    </row>
    <row r="5319">
      <c r="A5319">
        <f>TRIM(BASE_EQUIPOS!N5319)</f>
        <v/>
      </c>
      <c r="B5319">
        <f>BASE_EQUIPOS!A5319</f>
        <v/>
      </c>
      <c r="C5319">
        <f>BASE_EQUIPOS!B5319</f>
        <v/>
      </c>
      <c r="D5319">
        <f>BASE_EQUIPOS!D5319</f>
        <v/>
      </c>
      <c r="E5319">
        <f>BASE_EQUIPOS!G5319</f>
        <v/>
      </c>
      <c r="F5319">
        <f>BASE_EQUIPOS!H5319</f>
        <v/>
      </c>
      <c r="G5319">
        <f>BASE_EQUIPOS!M5319</f>
        <v/>
      </c>
    </row>
    <row r="5320">
      <c r="A5320">
        <f>TRIM(BASE_EQUIPOS!N5320)</f>
        <v/>
      </c>
      <c r="B5320">
        <f>BASE_EQUIPOS!A5320</f>
        <v/>
      </c>
      <c r="C5320">
        <f>BASE_EQUIPOS!B5320</f>
        <v/>
      </c>
      <c r="D5320">
        <f>BASE_EQUIPOS!D5320</f>
        <v/>
      </c>
      <c r="E5320">
        <f>BASE_EQUIPOS!G5320</f>
        <v/>
      </c>
      <c r="F5320">
        <f>BASE_EQUIPOS!H5320</f>
        <v/>
      </c>
      <c r="G5320">
        <f>BASE_EQUIPOS!M5320</f>
        <v/>
      </c>
    </row>
    <row r="5321">
      <c r="A5321">
        <f>TRIM(BASE_EQUIPOS!N5321)</f>
        <v/>
      </c>
      <c r="B5321">
        <f>BASE_EQUIPOS!A5321</f>
        <v/>
      </c>
      <c r="C5321">
        <f>BASE_EQUIPOS!B5321</f>
        <v/>
      </c>
      <c r="D5321">
        <f>BASE_EQUIPOS!D5321</f>
        <v/>
      </c>
      <c r="E5321">
        <f>BASE_EQUIPOS!G5321</f>
        <v/>
      </c>
      <c r="F5321">
        <f>BASE_EQUIPOS!H5321</f>
        <v/>
      </c>
      <c r="G5321">
        <f>BASE_EQUIPOS!M5321</f>
        <v/>
      </c>
    </row>
    <row r="5322">
      <c r="A5322">
        <f>TRIM(BASE_EQUIPOS!N5322)</f>
        <v/>
      </c>
      <c r="B5322">
        <f>BASE_EQUIPOS!A5322</f>
        <v/>
      </c>
      <c r="C5322">
        <f>BASE_EQUIPOS!B5322</f>
        <v/>
      </c>
      <c r="D5322">
        <f>BASE_EQUIPOS!D5322</f>
        <v/>
      </c>
      <c r="E5322">
        <f>BASE_EQUIPOS!G5322</f>
        <v/>
      </c>
      <c r="F5322">
        <f>BASE_EQUIPOS!H5322</f>
        <v/>
      </c>
      <c r="G5322">
        <f>BASE_EQUIPOS!M5322</f>
        <v/>
      </c>
    </row>
    <row r="5323">
      <c r="A5323">
        <f>TRIM(BASE_EQUIPOS!N5323)</f>
        <v/>
      </c>
      <c r="B5323">
        <f>BASE_EQUIPOS!A5323</f>
        <v/>
      </c>
      <c r="C5323">
        <f>BASE_EQUIPOS!B5323</f>
        <v/>
      </c>
      <c r="D5323">
        <f>BASE_EQUIPOS!D5323</f>
        <v/>
      </c>
      <c r="E5323">
        <f>BASE_EQUIPOS!G5323</f>
        <v/>
      </c>
      <c r="F5323">
        <f>BASE_EQUIPOS!H5323</f>
        <v/>
      </c>
      <c r="G5323">
        <f>BASE_EQUIPOS!M5323</f>
        <v/>
      </c>
    </row>
    <row r="5324">
      <c r="A5324">
        <f>TRIM(BASE_EQUIPOS!N5324)</f>
        <v/>
      </c>
      <c r="B5324">
        <f>BASE_EQUIPOS!A5324</f>
        <v/>
      </c>
      <c r="C5324">
        <f>BASE_EQUIPOS!B5324</f>
        <v/>
      </c>
      <c r="D5324">
        <f>BASE_EQUIPOS!D5324</f>
        <v/>
      </c>
      <c r="E5324">
        <f>BASE_EQUIPOS!G5324</f>
        <v/>
      </c>
      <c r="F5324">
        <f>BASE_EQUIPOS!H5324</f>
        <v/>
      </c>
      <c r="G5324">
        <f>BASE_EQUIPOS!M5324</f>
        <v/>
      </c>
    </row>
    <row r="5325">
      <c r="A5325">
        <f>TRIM(BASE_EQUIPOS!N5325)</f>
        <v/>
      </c>
      <c r="B5325">
        <f>BASE_EQUIPOS!A5325</f>
        <v/>
      </c>
      <c r="C5325">
        <f>BASE_EQUIPOS!B5325</f>
        <v/>
      </c>
      <c r="D5325">
        <f>BASE_EQUIPOS!D5325</f>
        <v/>
      </c>
      <c r="E5325">
        <f>BASE_EQUIPOS!G5325</f>
        <v/>
      </c>
      <c r="F5325">
        <f>BASE_EQUIPOS!H5325</f>
        <v/>
      </c>
      <c r="G5325">
        <f>BASE_EQUIPOS!M5325</f>
        <v/>
      </c>
    </row>
    <row r="5326">
      <c r="A5326">
        <f>TRIM(BASE_EQUIPOS!N5326)</f>
        <v/>
      </c>
      <c r="B5326">
        <f>BASE_EQUIPOS!A5326</f>
        <v/>
      </c>
      <c r="C5326">
        <f>BASE_EQUIPOS!B5326</f>
        <v/>
      </c>
      <c r="D5326">
        <f>BASE_EQUIPOS!D5326</f>
        <v/>
      </c>
      <c r="E5326">
        <f>BASE_EQUIPOS!G5326</f>
        <v/>
      </c>
      <c r="F5326">
        <f>BASE_EQUIPOS!H5326</f>
        <v/>
      </c>
      <c r="G5326">
        <f>BASE_EQUIPOS!M5326</f>
        <v/>
      </c>
    </row>
    <row r="5327">
      <c r="A5327">
        <f>TRIM(BASE_EQUIPOS!N5327)</f>
        <v/>
      </c>
      <c r="B5327">
        <f>BASE_EQUIPOS!A5327</f>
        <v/>
      </c>
      <c r="C5327">
        <f>BASE_EQUIPOS!B5327</f>
        <v/>
      </c>
      <c r="D5327">
        <f>BASE_EQUIPOS!D5327</f>
        <v/>
      </c>
      <c r="E5327">
        <f>BASE_EQUIPOS!G5327</f>
        <v/>
      </c>
      <c r="F5327">
        <f>BASE_EQUIPOS!H5327</f>
        <v/>
      </c>
      <c r="G5327">
        <f>BASE_EQUIPOS!M5327</f>
        <v/>
      </c>
    </row>
    <row r="5328">
      <c r="A5328">
        <f>TRIM(BASE_EQUIPOS!N5328)</f>
        <v/>
      </c>
      <c r="B5328">
        <f>BASE_EQUIPOS!A5328</f>
        <v/>
      </c>
      <c r="C5328">
        <f>BASE_EQUIPOS!B5328</f>
        <v/>
      </c>
      <c r="D5328">
        <f>BASE_EQUIPOS!D5328</f>
        <v/>
      </c>
      <c r="E5328">
        <f>BASE_EQUIPOS!G5328</f>
        <v/>
      </c>
      <c r="F5328">
        <f>BASE_EQUIPOS!H5328</f>
        <v/>
      </c>
      <c r="G5328">
        <f>BASE_EQUIPOS!M5328</f>
        <v/>
      </c>
    </row>
    <row r="5329">
      <c r="A5329">
        <f>TRIM(BASE_EQUIPOS!N5329)</f>
        <v/>
      </c>
      <c r="B5329">
        <f>BASE_EQUIPOS!A5329</f>
        <v/>
      </c>
      <c r="C5329">
        <f>BASE_EQUIPOS!B5329</f>
        <v/>
      </c>
      <c r="D5329">
        <f>BASE_EQUIPOS!D5329</f>
        <v/>
      </c>
      <c r="E5329">
        <f>BASE_EQUIPOS!G5329</f>
        <v/>
      </c>
      <c r="F5329">
        <f>BASE_EQUIPOS!H5329</f>
        <v/>
      </c>
      <c r="G5329">
        <f>BASE_EQUIPOS!M5329</f>
        <v/>
      </c>
    </row>
    <row r="5330">
      <c r="A5330">
        <f>TRIM(BASE_EQUIPOS!N5330)</f>
        <v/>
      </c>
      <c r="B5330">
        <f>BASE_EQUIPOS!A5330</f>
        <v/>
      </c>
      <c r="C5330">
        <f>BASE_EQUIPOS!B5330</f>
        <v/>
      </c>
      <c r="D5330">
        <f>BASE_EQUIPOS!D5330</f>
        <v/>
      </c>
      <c r="E5330">
        <f>BASE_EQUIPOS!G5330</f>
        <v/>
      </c>
      <c r="F5330">
        <f>BASE_EQUIPOS!H5330</f>
        <v/>
      </c>
      <c r="G5330">
        <f>BASE_EQUIPOS!M5330</f>
        <v/>
      </c>
    </row>
    <row r="5331">
      <c r="A5331">
        <f>TRIM(BASE_EQUIPOS!N5331)</f>
        <v/>
      </c>
      <c r="B5331">
        <f>BASE_EQUIPOS!A5331</f>
        <v/>
      </c>
      <c r="C5331">
        <f>BASE_EQUIPOS!B5331</f>
        <v/>
      </c>
      <c r="D5331">
        <f>BASE_EQUIPOS!D5331</f>
        <v/>
      </c>
      <c r="E5331">
        <f>BASE_EQUIPOS!G5331</f>
        <v/>
      </c>
      <c r="F5331">
        <f>BASE_EQUIPOS!H5331</f>
        <v/>
      </c>
      <c r="G5331">
        <f>BASE_EQUIPOS!M5331</f>
        <v/>
      </c>
    </row>
    <row r="5332">
      <c r="A5332">
        <f>TRIM(BASE_EQUIPOS!N5332)</f>
        <v/>
      </c>
      <c r="B5332">
        <f>BASE_EQUIPOS!A5332</f>
        <v/>
      </c>
      <c r="C5332">
        <f>BASE_EQUIPOS!B5332</f>
        <v/>
      </c>
      <c r="D5332">
        <f>BASE_EQUIPOS!D5332</f>
        <v/>
      </c>
      <c r="E5332">
        <f>BASE_EQUIPOS!G5332</f>
        <v/>
      </c>
      <c r="F5332">
        <f>BASE_EQUIPOS!H5332</f>
        <v/>
      </c>
      <c r="G5332">
        <f>BASE_EQUIPOS!M5332</f>
        <v/>
      </c>
    </row>
    <row r="5333">
      <c r="A5333">
        <f>TRIM(BASE_EQUIPOS!N5333)</f>
        <v/>
      </c>
      <c r="B5333">
        <f>BASE_EQUIPOS!A5333</f>
        <v/>
      </c>
      <c r="C5333">
        <f>BASE_EQUIPOS!B5333</f>
        <v/>
      </c>
      <c r="D5333">
        <f>BASE_EQUIPOS!D5333</f>
        <v/>
      </c>
      <c r="E5333">
        <f>BASE_EQUIPOS!G5333</f>
        <v/>
      </c>
      <c r="F5333">
        <f>BASE_EQUIPOS!H5333</f>
        <v/>
      </c>
      <c r="G5333">
        <f>BASE_EQUIPOS!M5333</f>
        <v/>
      </c>
    </row>
    <row r="5334">
      <c r="A5334">
        <f>TRIM(BASE_EQUIPOS!N5334)</f>
        <v/>
      </c>
      <c r="B5334">
        <f>BASE_EQUIPOS!A5334</f>
        <v/>
      </c>
      <c r="C5334">
        <f>BASE_EQUIPOS!B5334</f>
        <v/>
      </c>
      <c r="D5334">
        <f>BASE_EQUIPOS!D5334</f>
        <v/>
      </c>
      <c r="E5334">
        <f>BASE_EQUIPOS!G5334</f>
        <v/>
      </c>
      <c r="F5334">
        <f>BASE_EQUIPOS!H5334</f>
        <v/>
      </c>
      <c r="G5334">
        <f>BASE_EQUIPOS!M5334</f>
        <v/>
      </c>
    </row>
    <row r="5335">
      <c r="A5335">
        <f>TRIM(BASE_EQUIPOS!N5335)</f>
        <v/>
      </c>
      <c r="B5335">
        <f>BASE_EQUIPOS!A5335</f>
        <v/>
      </c>
      <c r="C5335">
        <f>BASE_EQUIPOS!B5335</f>
        <v/>
      </c>
      <c r="D5335">
        <f>BASE_EQUIPOS!D5335</f>
        <v/>
      </c>
      <c r="E5335">
        <f>BASE_EQUIPOS!G5335</f>
        <v/>
      </c>
      <c r="F5335">
        <f>BASE_EQUIPOS!H5335</f>
        <v/>
      </c>
      <c r="G5335">
        <f>BASE_EQUIPOS!M5335</f>
        <v/>
      </c>
    </row>
    <row r="5336">
      <c r="A5336">
        <f>TRIM(BASE_EQUIPOS!N5336)</f>
        <v/>
      </c>
      <c r="B5336">
        <f>BASE_EQUIPOS!A5336</f>
        <v/>
      </c>
      <c r="C5336">
        <f>BASE_EQUIPOS!B5336</f>
        <v/>
      </c>
      <c r="D5336">
        <f>BASE_EQUIPOS!D5336</f>
        <v/>
      </c>
      <c r="E5336">
        <f>BASE_EQUIPOS!G5336</f>
        <v/>
      </c>
      <c r="F5336">
        <f>BASE_EQUIPOS!H5336</f>
        <v/>
      </c>
      <c r="G5336">
        <f>BASE_EQUIPOS!M5336</f>
        <v/>
      </c>
    </row>
    <row r="5337">
      <c r="A5337">
        <f>TRIM(BASE_EQUIPOS!N5337)</f>
        <v/>
      </c>
      <c r="B5337">
        <f>BASE_EQUIPOS!A5337</f>
        <v/>
      </c>
      <c r="C5337">
        <f>BASE_EQUIPOS!B5337</f>
        <v/>
      </c>
      <c r="D5337">
        <f>BASE_EQUIPOS!D5337</f>
        <v/>
      </c>
      <c r="E5337">
        <f>BASE_EQUIPOS!G5337</f>
        <v/>
      </c>
      <c r="F5337">
        <f>BASE_EQUIPOS!H5337</f>
        <v/>
      </c>
      <c r="G5337">
        <f>BASE_EQUIPOS!M5337</f>
        <v/>
      </c>
    </row>
    <row r="5338">
      <c r="A5338">
        <f>TRIM(BASE_EQUIPOS!N5338)</f>
        <v/>
      </c>
      <c r="B5338">
        <f>BASE_EQUIPOS!A5338</f>
        <v/>
      </c>
      <c r="C5338">
        <f>BASE_EQUIPOS!B5338</f>
        <v/>
      </c>
      <c r="D5338">
        <f>BASE_EQUIPOS!D5338</f>
        <v/>
      </c>
      <c r="E5338">
        <f>BASE_EQUIPOS!G5338</f>
        <v/>
      </c>
      <c r="F5338">
        <f>BASE_EQUIPOS!H5338</f>
        <v/>
      </c>
      <c r="G5338">
        <f>BASE_EQUIPOS!M5338</f>
        <v/>
      </c>
    </row>
    <row r="5339">
      <c r="A5339">
        <f>TRIM(BASE_EQUIPOS!N5339)</f>
        <v/>
      </c>
      <c r="B5339">
        <f>BASE_EQUIPOS!A5339</f>
        <v/>
      </c>
      <c r="C5339">
        <f>BASE_EQUIPOS!B5339</f>
        <v/>
      </c>
      <c r="D5339">
        <f>BASE_EQUIPOS!D5339</f>
        <v/>
      </c>
      <c r="E5339">
        <f>BASE_EQUIPOS!G5339</f>
        <v/>
      </c>
      <c r="F5339">
        <f>BASE_EQUIPOS!H5339</f>
        <v/>
      </c>
      <c r="G5339">
        <f>BASE_EQUIPOS!M5339</f>
        <v/>
      </c>
    </row>
    <row r="5340">
      <c r="A5340">
        <f>TRIM(BASE_EQUIPOS!N5340)</f>
        <v/>
      </c>
      <c r="B5340">
        <f>BASE_EQUIPOS!A5340</f>
        <v/>
      </c>
      <c r="C5340">
        <f>BASE_EQUIPOS!B5340</f>
        <v/>
      </c>
      <c r="D5340">
        <f>BASE_EQUIPOS!D5340</f>
        <v/>
      </c>
      <c r="E5340">
        <f>BASE_EQUIPOS!G5340</f>
        <v/>
      </c>
      <c r="F5340">
        <f>BASE_EQUIPOS!H5340</f>
        <v/>
      </c>
      <c r="G5340">
        <f>BASE_EQUIPOS!M5340</f>
        <v/>
      </c>
    </row>
    <row r="5341">
      <c r="A5341">
        <f>TRIM(BASE_EQUIPOS!N5341)</f>
        <v/>
      </c>
      <c r="B5341">
        <f>BASE_EQUIPOS!A5341</f>
        <v/>
      </c>
      <c r="C5341">
        <f>BASE_EQUIPOS!B5341</f>
        <v/>
      </c>
      <c r="D5341">
        <f>BASE_EQUIPOS!D5341</f>
        <v/>
      </c>
      <c r="E5341">
        <f>BASE_EQUIPOS!G5341</f>
        <v/>
      </c>
      <c r="F5341">
        <f>BASE_EQUIPOS!H5341</f>
        <v/>
      </c>
      <c r="G5341">
        <f>BASE_EQUIPOS!M5341</f>
        <v/>
      </c>
    </row>
    <row r="5342">
      <c r="A5342">
        <f>TRIM(BASE_EQUIPOS!N5342)</f>
        <v/>
      </c>
      <c r="B5342">
        <f>BASE_EQUIPOS!A5342</f>
        <v/>
      </c>
      <c r="C5342">
        <f>BASE_EQUIPOS!B5342</f>
        <v/>
      </c>
      <c r="D5342">
        <f>BASE_EQUIPOS!D5342</f>
        <v/>
      </c>
      <c r="E5342">
        <f>BASE_EQUIPOS!G5342</f>
        <v/>
      </c>
      <c r="F5342">
        <f>BASE_EQUIPOS!H5342</f>
        <v/>
      </c>
      <c r="G5342">
        <f>BASE_EQUIPOS!M5342</f>
        <v/>
      </c>
    </row>
    <row r="5343">
      <c r="A5343">
        <f>TRIM(BASE_EQUIPOS!N5343)</f>
        <v/>
      </c>
      <c r="B5343">
        <f>BASE_EQUIPOS!A5343</f>
        <v/>
      </c>
      <c r="C5343">
        <f>BASE_EQUIPOS!B5343</f>
        <v/>
      </c>
      <c r="D5343">
        <f>BASE_EQUIPOS!D5343</f>
        <v/>
      </c>
      <c r="E5343">
        <f>BASE_EQUIPOS!G5343</f>
        <v/>
      </c>
      <c r="F5343">
        <f>BASE_EQUIPOS!H5343</f>
        <v/>
      </c>
      <c r="G5343">
        <f>BASE_EQUIPOS!M5343</f>
        <v/>
      </c>
    </row>
    <row r="5344">
      <c r="A5344">
        <f>TRIM(BASE_EQUIPOS!N5344)</f>
        <v/>
      </c>
      <c r="B5344">
        <f>BASE_EQUIPOS!A5344</f>
        <v/>
      </c>
      <c r="C5344">
        <f>BASE_EQUIPOS!B5344</f>
        <v/>
      </c>
      <c r="D5344">
        <f>BASE_EQUIPOS!D5344</f>
        <v/>
      </c>
      <c r="E5344">
        <f>BASE_EQUIPOS!G5344</f>
        <v/>
      </c>
      <c r="F5344">
        <f>BASE_EQUIPOS!H5344</f>
        <v/>
      </c>
      <c r="G5344">
        <f>BASE_EQUIPOS!M5344</f>
        <v/>
      </c>
    </row>
    <row r="5345">
      <c r="A5345">
        <f>TRIM(BASE_EQUIPOS!N5345)</f>
        <v/>
      </c>
      <c r="B5345">
        <f>BASE_EQUIPOS!A5345</f>
        <v/>
      </c>
      <c r="C5345">
        <f>BASE_EQUIPOS!B5345</f>
        <v/>
      </c>
      <c r="D5345">
        <f>BASE_EQUIPOS!D5345</f>
        <v/>
      </c>
      <c r="E5345">
        <f>BASE_EQUIPOS!G5345</f>
        <v/>
      </c>
      <c r="F5345">
        <f>BASE_EQUIPOS!H5345</f>
        <v/>
      </c>
      <c r="G5345">
        <f>BASE_EQUIPOS!M5345</f>
        <v/>
      </c>
    </row>
    <row r="5346">
      <c r="A5346">
        <f>TRIM(BASE_EQUIPOS!N5346)</f>
        <v/>
      </c>
      <c r="B5346">
        <f>BASE_EQUIPOS!A5346</f>
        <v/>
      </c>
      <c r="C5346">
        <f>BASE_EQUIPOS!B5346</f>
        <v/>
      </c>
      <c r="D5346">
        <f>BASE_EQUIPOS!D5346</f>
        <v/>
      </c>
      <c r="E5346">
        <f>BASE_EQUIPOS!G5346</f>
        <v/>
      </c>
      <c r="F5346">
        <f>BASE_EQUIPOS!H5346</f>
        <v/>
      </c>
      <c r="G5346">
        <f>BASE_EQUIPOS!M5346</f>
        <v/>
      </c>
    </row>
    <row r="5347">
      <c r="A5347">
        <f>TRIM(BASE_EQUIPOS!N5347)</f>
        <v/>
      </c>
      <c r="B5347">
        <f>BASE_EQUIPOS!A5347</f>
        <v/>
      </c>
      <c r="C5347">
        <f>BASE_EQUIPOS!B5347</f>
        <v/>
      </c>
      <c r="D5347">
        <f>BASE_EQUIPOS!D5347</f>
        <v/>
      </c>
      <c r="E5347">
        <f>BASE_EQUIPOS!G5347</f>
        <v/>
      </c>
      <c r="F5347">
        <f>BASE_EQUIPOS!H5347</f>
        <v/>
      </c>
      <c r="G5347">
        <f>BASE_EQUIPOS!M5347</f>
        <v/>
      </c>
    </row>
    <row r="5348">
      <c r="A5348">
        <f>TRIM(BASE_EQUIPOS!N5348)</f>
        <v/>
      </c>
      <c r="B5348">
        <f>BASE_EQUIPOS!A5348</f>
        <v/>
      </c>
      <c r="C5348">
        <f>BASE_EQUIPOS!B5348</f>
        <v/>
      </c>
      <c r="D5348">
        <f>BASE_EQUIPOS!D5348</f>
        <v/>
      </c>
      <c r="E5348">
        <f>BASE_EQUIPOS!G5348</f>
        <v/>
      </c>
      <c r="F5348">
        <f>BASE_EQUIPOS!H5348</f>
        <v/>
      </c>
      <c r="G5348">
        <f>BASE_EQUIPOS!M5348</f>
        <v/>
      </c>
    </row>
    <row r="5349">
      <c r="A5349">
        <f>TRIM(BASE_EQUIPOS!N5349)</f>
        <v/>
      </c>
      <c r="B5349">
        <f>BASE_EQUIPOS!A5349</f>
        <v/>
      </c>
      <c r="C5349">
        <f>BASE_EQUIPOS!B5349</f>
        <v/>
      </c>
      <c r="D5349">
        <f>BASE_EQUIPOS!D5349</f>
        <v/>
      </c>
      <c r="E5349">
        <f>BASE_EQUIPOS!G5349</f>
        <v/>
      </c>
      <c r="F5349">
        <f>BASE_EQUIPOS!H5349</f>
        <v/>
      </c>
      <c r="G5349">
        <f>BASE_EQUIPOS!M5349</f>
        <v/>
      </c>
    </row>
    <row r="5350">
      <c r="A5350">
        <f>TRIM(BASE_EQUIPOS!N5350)</f>
        <v/>
      </c>
      <c r="B5350">
        <f>BASE_EQUIPOS!A5350</f>
        <v/>
      </c>
      <c r="C5350">
        <f>BASE_EQUIPOS!B5350</f>
        <v/>
      </c>
      <c r="D5350">
        <f>BASE_EQUIPOS!D5350</f>
        <v/>
      </c>
      <c r="E5350">
        <f>BASE_EQUIPOS!G5350</f>
        <v/>
      </c>
      <c r="F5350">
        <f>BASE_EQUIPOS!H5350</f>
        <v/>
      </c>
      <c r="G5350">
        <f>BASE_EQUIPOS!M5350</f>
        <v/>
      </c>
    </row>
    <row r="5351">
      <c r="A5351">
        <f>TRIM(BASE_EQUIPOS!N5351)</f>
        <v/>
      </c>
      <c r="B5351">
        <f>BASE_EQUIPOS!A5351</f>
        <v/>
      </c>
      <c r="C5351">
        <f>BASE_EQUIPOS!B5351</f>
        <v/>
      </c>
      <c r="D5351">
        <f>BASE_EQUIPOS!D5351</f>
        <v/>
      </c>
      <c r="E5351">
        <f>BASE_EQUIPOS!G5351</f>
        <v/>
      </c>
      <c r="F5351">
        <f>BASE_EQUIPOS!H5351</f>
        <v/>
      </c>
      <c r="G5351">
        <f>BASE_EQUIPOS!M5351</f>
        <v/>
      </c>
    </row>
    <row r="5352">
      <c r="A5352">
        <f>TRIM(BASE_EQUIPOS!N5352)</f>
        <v/>
      </c>
      <c r="B5352">
        <f>BASE_EQUIPOS!A5352</f>
        <v/>
      </c>
      <c r="C5352">
        <f>BASE_EQUIPOS!B5352</f>
        <v/>
      </c>
      <c r="D5352">
        <f>BASE_EQUIPOS!D5352</f>
        <v/>
      </c>
      <c r="E5352">
        <f>BASE_EQUIPOS!G5352</f>
        <v/>
      </c>
      <c r="F5352">
        <f>BASE_EQUIPOS!H5352</f>
        <v/>
      </c>
      <c r="G5352">
        <f>BASE_EQUIPOS!M5352</f>
        <v/>
      </c>
    </row>
    <row r="5353">
      <c r="A5353">
        <f>TRIM(BASE_EQUIPOS!N5353)</f>
        <v/>
      </c>
      <c r="B5353">
        <f>BASE_EQUIPOS!A5353</f>
        <v/>
      </c>
      <c r="C5353">
        <f>BASE_EQUIPOS!B5353</f>
        <v/>
      </c>
      <c r="D5353">
        <f>BASE_EQUIPOS!D5353</f>
        <v/>
      </c>
      <c r="E5353">
        <f>BASE_EQUIPOS!G5353</f>
        <v/>
      </c>
      <c r="F5353">
        <f>BASE_EQUIPOS!H5353</f>
        <v/>
      </c>
      <c r="G5353">
        <f>BASE_EQUIPOS!M5353</f>
        <v/>
      </c>
    </row>
    <row r="5354">
      <c r="A5354">
        <f>TRIM(BASE_EQUIPOS!N5354)</f>
        <v/>
      </c>
      <c r="B5354">
        <f>BASE_EQUIPOS!A5354</f>
        <v/>
      </c>
      <c r="C5354">
        <f>BASE_EQUIPOS!B5354</f>
        <v/>
      </c>
      <c r="D5354">
        <f>BASE_EQUIPOS!D5354</f>
        <v/>
      </c>
      <c r="E5354">
        <f>BASE_EQUIPOS!G5354</f>
        <v/>
      </c>
      <c r="F5354">
        <f>BASE_EQUIPOS!H5354</f>
        <v/>
      </c>
      <c r="G5354">
        <f>BASE_EQUIPOS!M5354</f>
        <v/>
      </c>
    </row>
    <row r="5355">
      <c r="A5355">
        <f>TRIM(BASE_EQUIPOS!N5355)</f>
        <v/>
      </c>
      <c r="B5355">
        <f>BASE_EQUIPOS!A5355</f>
        <v/>
      </c>
      <c r="C5355">
        <f>BASE_EQUIPOS!B5355</f>
        <v/>
      </c>
      <c r="D5355">
        <f>BASE_EQUIPOS!D5355</f>
        <v/>
      </c>
      <c r="E5355">
        <f>BASE_EQUIPOS!G5355</f>
        <v/>
      </c>
      <c r="F5355">
        <f>BASE_EQUIPOS!H5355</f>
        <v/>
      </c>
      <c r="G5355">
        <f>BASE_EQUIPOS!M5355</f>
        <v/>
      </c>
    </row>
    <row r="5356">
      <c r="A5356">
        <f>TRIM(BASE_EQUIPOS!N5356)</f>
        <v/>
      </c>
      <c r="B5356">
        <f>BASE_EQUIPOS!A5356</f>
        <v/>
      </c>
      <c r="C5356">
        <f>BASE_EQUIPOS!B5356</f>
        <v/>
      </c>
      <c r="D5356">
        <f>BASE_EQUIPOS!D5356</f>
        <v/>
      </c>
      <c r="E5356">
        <f>BASE_EQUIPOS!G5356</f>
        <v/>
      </c>
      <c r="F5356">
        <f>BASE_EQUIPOS!H5356</f>
        <v/>
      </c>
      <c r="G5356">
        <f>BASE_EQUIPOS!M5356</f>
        <v/>
      </c>
    </row>
    <row r="5357">
      <c r="A5357">
        <f>TRIM(BASE_EQUIPOS!N5357)</f>
        <v/>
      </c>
      <c r="B5357">
        <f>BASE_EQUIPOS!A5357</f>
        <v/>
      </c>
      <c r="C5357">
        <f>BASE_EQUIPOS!B5357</f>
        <v/>
      </c>
      <c r="D5357">
        <f>BASE_EQUIPOS!D5357</f>
        <v/>
      </c>
      <c r="E5357">
        <f>BASE_EQUIPOS!G5357</f>
        <v/>
      </c>
      <c r="F5357">
        <f>BASE_EQUIPOS!H5357</f>
        <v/>
      </c>
      <c r="G5357">
        <f>BASE_EQUIPOS!M5357</f>
        <v/>
      </c>
    </row>
    <row r="5358">
      <c r="A5358">
        <f>TRIM(BASE_EQUIPOS!N5358)</f>
        <v/>
      </c>
      <c r="B5358">
        <f>BASE_EQUIPOS!A5358</f>
        <v/>
      </c>
      <c r="C5358">
        <f>BASE_EQUIPOS!B5358</f>
        <v/>
      </c>
      <c r="D5358">
        <f>BASE_EQUIPOS!D5358</f>
        <v/>
      </c>
      <c r="E5358">
        <f>BASE_EQUIPOS!G5358</f>
        <v/>
      </c>
      <c r="F5358">
        <f>BASE_EQUIPOS!H5358</f>
        <v/>
      </c>
      <c r="G5358">
        <f>BASE_EQUIPOS!M5358</f>
        <v/>
      </c>
    </row>
    <row r="5359">
      <c r="A5359">
        <f>TRIM(BASE_EQUIPOS!N5359)</f>
        <v/>
      </c>
      <c r="B5359">
        <f>BASE_EQUIPOS!A5359</f>
        <v/>
      </c>
      <c r="C5359">
        <f>BASE_EQUIPOS!B5359</f>
        <v/>
      </c>
      <c r="D5359">
        <f>BASE_EQUIPOS!D5359</f>
        <v/>
      </c>
      <c r="E5359">
        <f>BASE_EQUIPOS!G5359</f>
        <v/>
      </c>
      <c r="F5359">
        <f>BASE_EQUIPOS!H5359</f>
        <v/>
      </c>
      <c r="G5359">
        <f>BASE_EQUIPOS!M5359</f>
        <v/>
      </c>
    </row>
    <row r="5360">
      <c r="A5360">
        <f>TRIM(BASE_EQUIPOS!N5360)</f>
        <v/>
      </c>
      <c r="B5360">
        <f>BASE_EQUIPOS!A5360</f>
        <v/>
      </c>
      <c r="C5360">
        <f>BASE_EQUIPOS!B5360</f>
        <v/>
      </c>
      <c r="D5360">
        <f>BASE_EQUIPOS!D5360</f>
        <v/>
      </c>
      <c r="E5360">
        <f>BASE_EQUIPOS!G5360</f>
        <v/>
      </c>
      <c r="F5360">
        <f>BASE_EQUIPOS!H5360</f>
        <v/>
      </c>
      <c r="G5360">
        <f>BASE_EQUIPOS!M5360</f>
        <v/>
      </c>
    </row>
    <row r="5361">
      <c r="A5361">
        <f>TRIM(BASE_EQUIPOS!N5361)</f>
        <v/>
      </c>
      <c r="B5361">
        <f>BASE_EQUIPOS!A5361</f>
        <v/>
      </c>
      <c r="C5361">
        <f>BASE_EQUIPOS!B5361</f>
        <v/>
      </c>
      <c r="D5361">
        <f>BASE_EQUIPOS!D5361</f>
        <v/>
      </c>
      <c r="E5361">
        <f>BASE_EQUIPOS!G5361</f>
        <v/>
      </c>
      <c r="F5361">
        <f>BASE_EQUIPOS!H5361</f>
        <v/>
      </c>
      <c r="G5361">
        <f>BASE_EQUIPOS!M5361</f>
        <v/>
      </c>
    </row>
    <row r="5362">
      <c r="A5362">
        <f>TRIM(BASE_EQUIPOS!N5362)</f>
        <v/>
      </c>
      <c r="B5362">
        <f>BASE_EQUIPOS!A5362</f>
        <v/>
      </c>
      <c r="C5362">
        <f>BASE_EQUIPOS!B5362</f>
        <v/>
      </c>
      <c r="D5362">
        <f>BASE_EQUIPOS!D5362</f>
        <v/>
      </c>
      <c r="E5362">
        <f>BASE_EQUIPOS!G5362</f>
        <v/>
      </c>
      <c r="F5362">
        <f>BASE_EQUIPOS!H5362</f>
        <v/>
      </c>
      <c r="G5362">
        <f>BASE_EQUIPOS!M5362</f>
        <v/>
      </c>
    </row>
    <row r="5363">
      <c r="A5363">
        <f>TRIM(BASE_EQUIPOS!N5363)</f>
        <v/>
      </c>
      <c r="B5363">
        <f>BASE_EQUIPOS!A5363</f>
        <v/>
      </c>
      <c r="C5363">
        <f>BASE_EQUIPOS!B5363</f>
        <v/>
      </c>
      <c r="D5363">
        <f>BASE_EQUIPOS!D5363</f>
        <v/>
      </c>
      <c r="E5363">
        <f>BASE_EQUIPOS!G5363</f>
        <v/>
      </c>
      <c r="F5363">
        <f>BASE_EQUIPOS!H5363</f>
        <v/>
      </c>
      <c r="G5363">
        <f>BASE_EQUIPOS!M5363</f>
        <v/>
      </c>
    </row>
    <row r="5364">
      <c r="A5364">
        <f>TRIM(BASE_EQUIPOS!N5364)</f>
        <v/>
      </c>
      <c r="B5364">
        <f>BASE_EQUIPOS!A5364</f>
        <v/>
      </c>
      <c r="C5364">
        <f>BASE_EQUIPOS!B5364</f>
        <v/>
      </c>
      <c r="D5364">
        <f>BASE_EQUIPOS!D5364</f>
        <v/>
      </c>
      <c r="E5364">
        <f>BASE_EQUIPOS!G5364</f>
        <v/>
      </c>
      <c r="F5364">
        <f>BASE_EQUIPOS!H5364</f>
        <v/>
      </c>
      <c r="G5364">
        <f>BASE_EQUIPOS!M5364</f>
        <v/>
      </c>
    </row>
    <row r="5365">
      <c r="A5365">
        <f>TRIM(BASE_EQUIPOS!N5365)</f>
        <v/>
      </c>
      <c r="B5365">
        <f>BASE_EQUIPOS!A5365</f>
        <v/>
      </c>
      <c r="C5365">
        <f>BASE_EQUIPOS!B5365</f>
        <v/>
      </c>
      <c r="D5365">
        <f>BASE_EQUIPOS!D5365</f>
        <v/>
      </c>
      <c r="E5365">
        <f>BASE_EQUIPOS!G5365</f>
        <v/>
      </c>
      <c r="F5365">
        <f>BASE_EQUIPOS!H5365</f>
        <v/>
      </c>
      <c r="G5365">
        <f>BASE_EQUIPOS!M5365</f>
        <v/>
      </c>
    </row>
    <row r="5366">
      <c r="A5366">
        <f>TRIM(BASE_EQUIPOS!N5366)</f>
        <v/>
      </c>
      <c r="B5366">
        <f>BASE_EQUIPOS!A5366</f>
        <v/>
      </c>
      <c r="C5366">
        <f>BASE_EQUIPOS!B5366</f>
        <v/>
      </c>
      <c r="D5366">
        <f>BASE_EQUIPOS!D5366</f>
        <v/>
      </c>
      <c r="E5366">
        <f>BASE_EQUIPOS!G5366</f>
        <v/>
      </c>
      <c r="F5366">
        <f>BASE_EQUIPOS!H5366</f>
        <v/>
      </c>
      <c r="G5366">
        <f>BASE_EQUIPOS!M5366</f>
        <v/>
      </c>
    </row>
    <row r="5367">
      <c r="A5367">
        <f>TRIM(BASE_EQUIPOS!N5367)</f>
        <v/>
      </c>
      <c r="B5367">
        <f>BASE_EQUIPOS!A5367</f>
        <v/>
      </c>
      <c r="C5367">
        <f>BASE_EQUIPOS!B5367</f>
        <v/>
      </c>
      <c r="D5367">
        <f>BASE_EQUIPOS!D5367</f>
        <v/>
      </c>
      <c r="E5367">
        <f>BASE_EQUIPOS!G5367</f>
        <v/>
      </c>
      <c r="F5367">
        <f>BASE_EQUIPOS!H5367</f>
        <v/>
      </c>
      <c r="G5367">
        <f>BASE_EQUIPOS!M5367</f>
        <v/>
      </c>
    </row>
    <row r="5368">
      <c r="A5368">
        <f>TRIM(BASE_EQUIPOS!N5368)</f>
        <v/>
      </c>
      <c r="B5368">
        <f>BASE_EQUIPOS!A5368</f>
        <v/>
      </c>
      <c r="C5368">
        <f>BASE_EQUIPOS!B5368</f>
        <v/>
      </c>
      <c r="D5368">
        <f>BASE_EQUIPOS!D5368</f>
        <v/>
      </c>
      <c r="E5368">
        <f>BASE_EQUIPOS!G5368</f>
        <v/>
      </c>
      <c r="F5368">
        <f>BASE_EQUIPOS!H5368</f>
        <v/>
      </c>
      <c r="G5368">
        <f>BASE_EQUIPOS!M5368</f>
        <v/>
      </c>
    </row>
    <row r="5369">
      <c r="A5369">
        <f>TRIM(BASE_EQUIPOS!N5369)</f>
        <v/>
      </c>
      <c r="B5369">
        <f>BASE_EQUIPOS!A5369</f>
        <v/>
      </c>
      <c r="C5369">
        <f>BASE_EQUIPOS!B5369</f>
        <v/>
      </c>
      <c r="D5369">
        <f>BASE_EQUIPOS!D5369</f>
        <v/>
      </c>
      <c r="E5369">
        <f>BASE_EQUIPOS!G5369</f>
        <v/>
      </c>
      <c r="F5369">
        <f>BASE_EQUIPOS!H5369</f>
        <v/>
      </c>
      <c r="G5369">
        <f>BASE_EQUIPOS!M5369</f>
        <v/>
      </c>
    </row>
    <row r="5370">
      <c r="A5370">
        <f>TRIM(BASE_EQUIPOS!N5370)</f>
        <v/>
      </c>
      <c r="B5370">
        <f>BASE_EQUIPOS!A5370</f>
        <v/>
      </c>
      <c r="C5370">
        <f>BASE_EQUIPOS!B5370</f>
        <v/>
      </c>
      <c r="D5370">
        <f>BASE_EQUIPOS!D5370</f>
        <v/>
      </c>
      <c r="E5370">
        <f>BASE_EQUIPOS!G5370</f>
        <v/>
      </c>
      <c r="F5370">
        <f>BASE_EQUIPOS!H5370</f>
        <v/>
      </c>
      <c r="G5370">
        <f>BASE_EQUIPOS!M5370</f>
        <v/>
      </c>
    </row>
    <row r="5371">
      <c r="A5371">
        <f>TRIM(BASE_EQUIPOS!N5371)</f>
        <v/>
      </c>
      <c r="B5371">
        <f>BASE_EQUIPOS!A5371</f>
        <v/>
      </c>
      <c r="C5371">
        <f>BASE_EQUIPOS!B5371</f>
        <v/>
      </c>
      <c r="D5371">
        <f>BASE_EQUIPOS!D5371</f>
        <v/>
      </c>
      <c r="E5371">
        <f>BASE_EQUIPOS!G5371</f>
        <v/>
      </c>
      <c r="F5371">
        <f>BASE_EQUIPOS!H5371</f>
        <v/>
      </c>
      <c r="G5371">
        <f>BASE_EQUIPOS!M5371</f>
        <v/>
      </c>
    </row>
    <row r="5372">
      <c r="A5372">
        <f>TRIM(BASE_EQUIPOS!N5372)</f>
        <v/>
      </c>
      <c r="B5372">
        <f>BASE_EQUIPOS!A5372</f>
        <v/>
      </c>
      <c r="C5372">
        <f>BASE_EQUIPOS!B5372</f>
        <v/>
      </c>
      <c r="D5372">
        <f>BASE_EQUIPOS!D5372</f>
        <v/>
      </c>
      <c r="E5372">
        <f>BASE_EQUIPOS!G5372</f>
        <v/>
      </c>
      <c r="F5372">
        <f>BASE_EQUIPOS!H5372</f>
        <v/>
      </c>
      <c r="G5372">
        <f>BASE_EQUIPOS!M5372</f>
        <v/>
      </c>
    </row>
    <row r="5373">
      <c r="A5373">
        <f>TRIM(BASE_EQUIPOS!N5373)</f>
        <v/>
      </c>
      <c r="B5373">
        <f>BASE_EQUIPOS!A5373</f>
        <v/>
      </c>
      <c r="C5373">
        <f>BASE_EQUIPOS!B5373</f>
        <v/>
      </c>
      <c r="D5373">
        <f>BASE_EQUIPOS!D5373</f>
        <v/>
      </c>
      <c r="E5373">
        <f>BASE_EQUIPOS!G5373</f>
        <v/>
      </c>
      <c r="F5373">
        <f>BASE_EQUIPOS!H5373</f>
        <v/>
      </c>
      <c r="G5373">
        <f>BASE_EQUIPOS!M5373</f>
        <v/>
      </c>
    </row>
    <row r="5374">
      <c r="A5374">
        <f>TRIM(BASE_EQUIPOS!N5374)</f>
        <v/>
      </c>
      <c r="B5374">
        <f>BASE_EQUIPOS!A5374</f>
        <v/>
      </c>
      <c r="C5374">
        <f>BASE_EQUIPOS!B5374</f>
        <v/>
      </c>
      <c r="D5374">
        <f>BASE_EQUIPOS!D5374</f>
        <v/>
      </c>
      <c r="E5374">
        <f>BASE_EQUIPOS!G5374</f>
        <v/>
      </c>
      <c r="F5374">
        <f>BASE_EQUIPOS!H5374</f>
        <v/>
      </c>
      <c r="G5374">
        <f>BASE_EQUIPOS!M5374</f>
        <v/>
      </c>
    </row>
    <row r="5375">
      <c r="A5375">
        <f>TRIM(BASE_EQUIPOS!N5375)</f>
        <v/>
      </c>
      <c r="B5375">
        <f>BASE_EQUIPOS!A5375</f>
        <v/>
      </c>
      <c r="C5375">
        <f>BASE_EQUIPOS!B5375</f>
        <v/>
      </c>
      <c r="D5375">
        <f>BASE_EQUIPOS!D5375</f>
        <v/>
      </c>
      <c r="E5375">
        <f>BASE_EQUIPOS!G5375</f>
        <v/>
      </c>
      <c r="F5375">
        <f>BASE_EQUIPOS!H5375</f>
        <v/>
      </c>
      <c r="G5375">
        <f>BASE_EQUIPOS!M5375</f>
        <v/>
      </c>
    </row>
    <row r="5376">
      <c r="A5376">
        <f>TRIM(BASE_EQUIPOS!N5376)</f>
        <v/>
      </c>
      <c r="B5376">
        <f>BASE_EQUIPOS!A5376</f>
        <v/>
      </c>
      <c r="C5376">
        <f>BASE_EQUIPOS!B5376</f>
        <v/>
      </c>
      <c r="D5376">
        <f>BASE_EQUIPOS!D5376</f>
        <v/>
      </c>
      <c r="E5376">
        <f>BASE_EQUIPOS!G5376</f>
        <v/>
      </c>
      <c r="F5376">
        <f>BASE_EQUIPOS!H5376</f>
        <v/>
      </c>
      <c r="G5376">
        <f>BASE_EQUIPOS!M5376</f>
        <v/>
      </c>
    </row>
    <row r="5377">
      <c r="A5377">
        <f>TRIM(BASE_EQUIPOS!N5377)</f>
        <v/>
      </c>
      <c r="B5377">
        <f>BASE_EQUIPOS!A5377</f>
        <v/>
      </c>
      <c r="C5377">
        <f>BASE_EQUIPOS!B5377</f>
        <v/>
      </c>
      <c r="D5377">
        <f>BASE_EQUIPOS!D5377</f>
        <v/>
      </c>
      <c r="E5377">
        <f>BASE_EQUIPOS!G5377</f>
        <v/>
      </c>
      <c r="F5377">
        <f>BASE_EQUIPOS!H5377</f>
        <v/>
      </c>
      <c r="G5377">
        <f>BASE_EQUIPOS!M5377</f>
        <v/>
      </c>
    </row>
    <row r="5378">
      <c r="A5378">
        <f>TRIM(BASE_EQUIPOS!N5378)</f>
        <v/>
      </c>
      <c r="B5378">
        <f>BASE_EQUIPOS!A5378</f>
        <v/>
      </c>
      <c r="C5378">
        <f>BASE_EQUIPOS!B5378</f>
        <v/>
      </c>
      <c r="D5378">
        <f>BASE_EQUIPOS!D5378</f>
        <v/>
      </c>
      <c r="E5378">
        <f>BASE_EQUIPOS!G5378</f>
        <v/>
      </c>
      <c r="F5378">
        <f>BASE_EQUIPOS!H5378</f>
        <v/>
      </c>
      <c r="G5378">
        <f>BASE_EQUIPOS!M5378</f>
        <v/>
      </c>
    </row>
    <row r="5379">
      <c r="A5379">
        <f>TRIM(BASE_EQUIPOS!N5379)</f>
        <v/>
      </c>
      <c r="B5379">
        <f>BASE_EQUIPOS!A5379</f>
        <v/>
      </c>
      <c r="C5379">
        <f>BASE_EQUIPOS!B5379</f>
        <v/>
      </c>
      <c r="D5379">
        <f>BASE_EQUIPOS!D5379</f>
        <v/>
      </c>
      <c r="E5379">
        <f>BASE_EQUIPOS!G5379</f>
        <v/>
      </c>
      <c r="F5379">
        <f>BASE_EQUIPOS!H5379</f>
        <v/>
      </c>
      <c r="G5379">
        <f>BASE_EQUIPOS!M5379</f>
        <v/>
      </c>
    </row>
    <row r="5380">
      <c r="A5380">
        <f>TRIM(BASE_EQUIPOS!N5380)</f>
        <v/>
      </c>
      <c r="B5380">
        <f>BASE_EQUIPOS!A5380</f>
        <v/>
      </c>
      <c r="C5380">
        <f>BASE_EQUIPOS!B5380</f>
        <v/>
      </c>
      <c r="D5380">
        <f>BASE_EQUIPOS!D5380</f>
        <v/>
      </c>
      <c r="E5380">
        <f>BASE_EQUIPOS!G5380</f>
        <v/>
      </c>
      <c r="F5380">
        <f>BASE_EQUIPOS!H5380</f>
        <v/>
      </c>
      <c r="G5380">
        <f>BASE_EQUIPOS!M5380</f>
        <v/>
      </c>
    </row>
    <row r="5381">
      <c r="A5381">
        <f>TRIM(BASE_EQUIPOS!N5381)</f>
        <v/>
      </c>
      <c r="B5381">
        <f>BASE_EQUIPOS!A5381</f>
        <v/>
      </c>
      <c r="C5381">
        <f>BASE_EQUIPOS!B5381</f>
        <v/>
      </c>
      <c r="D5381">
        <f>BASE_EQUIPOS!D5381</f>
        <v/>
      </c>
      <c r="E5381">
        <f>BASE_EQUIPOS!G5381</f>
        <v/>
      </c>
      <c r="F5381">
        <f>BASE_EQUIPOS!H5381</f>
        <v/>
      </c>
      <c r="G5381">
        <f>BASE_EQUIPOS!M5381</f>
        <v/>
      </c>
    </row>
    <row r="5382">
      <c r="A5382">
        <f>TRIM(BASE_EQUIPOS!N5382)</f>
        <v/>
      </c>
      <c r="B5382">
        <f>BASE_EQUIPOS!A5382</f>
        <v/>
      </c>
      <c r="C5382">
        <f>BASE_EQUIPOS!B5382</f>
        <v/>
      </c>
      <c r="D5382">
        <f>BASE_EQUIPOS!D5382</f>
        <v/>
      </c>
      <c r="E5382">
        <f>BASE_EQUIPOS!G5382</f>
        <v/>
      </c>
      <c r="F5382">
        <f>BASE_EQUIPOS!H5382</f>
        <v/>
      </c>
      <c r="G5382">
        <f>BASE_EQUIPOS!M5382</f>
        <v/>
      </c>
    </row>
    <row r="5383">
      <c r="A5383">
        <f>TRIM(BASE_EQUIPOS!N5383)</f>
        <v/>
      </c>
      <c r="B5383">
        <f>BASE_EQUIPOS!A5383</f>
        <v/>
      </c>
      <c r="C5383">
        <f>BASE_EQUIPOS!B5383</f>
        <v/>
      </c>
      <c r="D5383">
        <f>BASE_EQUIPOS!D5383</f>
        <v/>
      </c>
      <c r="E5383">
        <f>BASE_EQUIPOS!G5383</f>
        <v/>
      </c>
      <c r="F5383">
        <f>BASE_EQUIPOS!H5383</f>
        <v/>
      </c>
      <c r="G5383">
        <f>BASE_EQUIPOS!M5383</f>
        <v/>
      </c>
    </row>
    <row r="5384">
      <c r="A5384">
        <f>TRIM(BASE_EQUIPOS!N5384)</f>
        <v/>
      </c>
      <c r="B5384">
        <f>BASE_EQUIPOS!A5384</f>
        <v/>
      </c>
      <c r="C5384">
        <f>BASE_EQUIPOS!B5384</f>
        <v/>
      </c>
      <c r="D5384">
        <f>BASE_EQUIPOS!D5384</f>
        <v/>
      </c>
      <c r="E5384">
        <f>BASE_EQUIPOS!G5384</f>
        <v/>
      </c>
      <c r="F5384">
        <f>BASE_EQUIPOS!H5384</f>
        <v/>
      </c>
      <c r="G5384">
        <f>BASE_EQUIPOS!M5384</f>
        <v/>
      </c>
    </row>
    <row r="5385">
      <c r="A5385">
        <f>TRIM(BASE_EQUIPOS!N5385)</f>
        <v/>
      </c>
      <c r="B5385">
        <f>BASE_EQUIPOS!A5385</f>
        <v/>
      </c>
      <c r="C5385">
        <f>BASE_EQUIPOS!B5385</f>
        <v/>
      </c>
      <c r="D5385">
        <f>BASE_EQUIPOS!D5385</f>
        <v/>
      </c>
      <c r="E5385">
        <f>BASE_EQUIPOS!G5385</f>
        <v/>
      </c>
      <c r="F5385">
        <f>BASE_EQUIPOS!H5385</f>
        <v/>
      </c>
      <c r="G5385">
        <f>BASE_EQUIPOS!M5385</f>
        <v/>
      </c>
    </row>
    <row r="5386">
      <c r="A5386">
        <f>TRIM(BASE_EQUIPOS!N5386)</f>
        <v/>
      </c>
      <c r="B5386">
        <f>BASE_EQUIPOS!A5386</f>
        <v/>
      </c>
      <c r="C5386">
        <f>BASE_EQUIPOS!B5386</f>
        <v/>
      </c>
      <c r="D5386">
        <f>BASE_EQUIPOS!D5386</f>
        <v/>
      </c>
      <c r="E5386">
        <f>BASE_EQUIPOS!G5386</f>
        <v/>
      </c>
      <c r="F5386">
        <f>BASE_EQUIPOS!H5386</f>
        <v/>
      </c>
      <c r="G5386">
        <f>BASE_EQUIPOS!M5386</f>
        <v/>
      </c>
    </row>
    <row r="5387">
      <c r="A5387">
        <f>TRIM(BASE_EQUIPOS!N5387)</f>
        <v/>
      </c>
      <c r="B5387">
        <f>BASE_EQUIPOS!A5387</f>
        <v/>
      </c>
      <c r="C5387">
        <f>BASE_EQUIPOS!B5387</f>
        <v/>
      </c>
      <c r="D5387">
        <f>BASE_EQUIPOS!D5387</f>
        <v/>
      </c>
      <c r="E5387">
        <f>BASE_EQUIPOS!G5387</f>
        <v/>
      </c>
      <c r="F5387">
        <f>BASE_EQUIPOS!H5387</f>
        <v/>
      </c>
      <c r="G5387">
        <f>BASE_EQUIPOS!M5387</f>
        <v/>
      </c>
    </row>
    <row r="5388">
      <c r="A5388">
        <f>TRIM(BASE_EQUIPOS!N5388)</f>
        <v/>
      </c>
      <c r="B5388">
        <f>BASE_EQUIPOS!A5388</f>
        <v/>
      </c>
      <c r="C5388">
        <f>BASE_EQUIPOS!B5388</f>
        <v/>
      </c>
      <c r="D5388">
        <f>BASE_EQUIPOS!D5388</f>
        <v/>
      </c>
      <c r="E5388">
        <f>BASE_EQUIPOS!G5388</f>
        <v/>
      </c>
      <c r="F5388">
        <f>BASE_EQUIPOS!H5388</f>
        <v/>
      </c>
      <c r="G5388">
        <f>BASE_EQUIPOS!M5388</f>
        <v/>
      </c>
    </row>
    <row r="5389">
      <c r="A5389">
        <f>TRIM(BASE_EQUIPOS!N5389)</f>
        <v/>
      </c>
      <c r="B5389">
        <f>BASE_EQUIPOS!A5389</f>
        <v/>
      </c>
      <c r="C5389">
        <f>BASE_EQUIPOS!B5389</f>
        <v/>
      </c>
      <c r="D5389">
        <f>BASE_EQUIPOS!D5389</f>
        <v/>
      </c>
      <c r="E5389">
        <f>BASE_EQUIPOS!G5389</f>
        <v/>
      </c>
      <c r="F5389">
        <f>BASE_EQUIPOS!H5389</f>
        <v/>
      </c>
      <c r="G5389">
        <f>BASE_EQUIPOS!M5389</f>
        <v/>
      </c>
    </row>
    <row r="5390">
      <c r="A5390">
        <f>TRIM(BASE_EQUIPOS!N5390)</f>
        <v/>
      </c>
      <c r="B5390">
        <f>BASE_EQUIPOS!A5390</f>
        <v/>
      </c>
      <c r="C5390">
        <f>BASE_EQUIPOS!B5390</f>
        <v/>
      </c>
      <c r="D5390">
        <f>BASE_EQUIPOS!D5390</f>
        <v/>
      </c>
      <c r="E5390">
        <f>BASE_EQUIPOS!G5390</f>
        <v/>
      </c>
      <c r="F5390">
        <f>BASE_EQUIPOS!H5390</f>
        <v/>
      </c>
      <c r="G5390">
        <f>BASE_EQUIPOS!M5390</f>
        <v/>
      </c>
    </row>
    <row r="5391">
      <c r="A5391">
        <f>TRIM(BASE_EQUIPOS!N5391)</f>
        <v/>
      </c>
      <c r="B5391">
        <f>BASE_EQUIPOS!A5391</f>
        <v/>
      </c>
      <c r="C5391">
        <f>BASE_EQUIPOS!B5391</f>
        <v/>
      </c>
      <c r="D5391">
        <f>BASE_EQUIPOS!D5391</f>
        <v/>
      </c>
      <c r="E5391">
        <f>BASE_EQUIPOS!G5391</f>
        <v/>
      </c>
      <c r="F5391">
        <f>BASE_EQUIPOS!H5391</f>
        <v/>
      </c>
      <c r="G5391">
        <f>BASE_EQUIPOS!M5391</f>
        <v/>
      </c>
    </row>
    <row r="5392">
      <c r="A5392">
        <f>TRIM(BASE_EQUIPOS!N5392)</f>
        <v/>
      </c>
      <c r="B5392">
        <f>BASE_EQUIPOS!A5392</f>
        <v/>
      </c>
      <c r="C5392">
        <f>BASE_EQUIPOS!B5392</f>
        <v/>
      </c>
      <c r="D5392">
        <f>BASE_EQUIPOS!D5392</f>
        <v/>
      </c>
      <c r="E5392">
        <f>BASE_EQUIPOS!G5392</f>
        <v/>
      </c>
      <c r="F5392">
        <f>BASE_EQUIPOS!H5392</f>
        <v/>
      </c>
      <c r="G5392">
        <f>BASE_EQUIPOS!M5392</f>
        <v/>
      </c>
    </row>
    <row r="5393">
      <c r="A5393">
        <f>TRIM(BASE_EQUIPOS!N5393)</f>
        <v/>
      </c>
      <c r="B5393">
        <f>BASE_EQUIPOS!A5393</f>
        <v/>
      </c>
      <c r="C5393">
        <f>BASE_EQUIPOS!B5393</f>
        <v/>
      </c>
      <c r="D5393">
        <f>BASE_EQUIPOS!D5393</f>
        <v/>
      </c>
      <c r="E5393">
        <f>BASE_EQUIPOS!G5393</f>
        <v/>
      </c>
      <c r="F5393">
        <f>BASE_EQUIPOS!H5393</f>
        <v/>
      </c>
      <c r="G5393">
        <f>BASE_EQUIPOS!M5393</f>
        <v/>
      </c>
    </row>
    <row r="5394">
      <c r="A5394">
        <f>TRIM(BASE_EQUIPOS!N5394)</f>
        <v/>
      </c>
      <c r="B5394">
        <f>BASE_EQUIPOS!A5394</f>
        <v/>
      </c>
      <c r="C5394">
        <f>BASE_EQUIPOS!B5394</f>
        <v/>
      </c>
      <c r="D5394">
        <f>BASE_EQUIPOS!D5394</f>
        <v/>
      </c>
      <c r="E5394">
        <f>BASE_EQUIPOS!G5394</f>
        <v/>
      </c>
      <c r="F5394">
        <f>BASE_EQUIPOS!H5394</f>
        <v/>
      </c>
      <c r="G5394">
        <f>BASE_EQUIPOS!M5394</f>
        <v/>
      </c>
    </row>
    <row r="5395">
      <c r="A5395">
        <f>TRIM(BASE_EQUIPOS!N5395)</f>
        <v/>
      </c>
      <c r="B5395">
        <f>BASE_EQUIPOS!A5395</f>
        <v/>
      </c>
      <c r="C5395">
        <f>BASE_EQUIPOS!B5395</f>
        <v/>
      </c>
      <c r="D5395">
        <f>BASE_EQUIPOS!D5395</f>
        <v/>
      </c>
      <c r="E5395">
        <f>BASE_EQUIPOS!G5395</f>
        <v/>
      </c>
      <c r="F5395">
        <f>BASE_EQUIPOS!H5395</f>
        <v/>
      </c>
      <c r="G5395">
        <f>BASE_EQUIPOS!M5395</f>
        <v/>
      </c>
    </row>
    <row r="5396">
      <c r="A5396">
        <f>TRIM(BASE_EQUIPOS!N5396)</f>
        <v/>
      </c>
      <c r="B5396">
        <f>BASE_EQUIPOS!A5396</f>
        <v/>
      </c>
      <c r="C5396">
        <f>BASE_EQUIPOS!B5396</f>
        <v/>
      </c>
      <c r="D5396">
        <f>BASE_EQUIPOS!D5396</f>
        <v/>
      </c>
      <c r="E5396">
        <f>BASE_EQUIPOS!G5396</f>
        <v/>
      </c>
      <c r="F5396">
        <f>BASE_EQUIPOS!H5396</f>
        <v/>
      </c>
      <c r="G5396">
        <f>BASE_EQUIPOS!M5396</f>
        <v/>
      </c>
    </row>
    <row r="5397">
      <c r="A5397">
        <f>TRIM(BASE_EQUIPOS!N5397)</f>
        <v/>
      </c>
      <c r="B5397">
        <f>BASE_EQUIPOS!A5397</f>
        <v/>
      </c>
      <c r="C5397">
        <f>BASE_EQUIPOS!B5397</f>
        <v/>
      </c>
      <c r="D5397">
        <f>BASE_EQUIPOS!D5397</f>
        <v/>
      </c>
      <c r="E5397">
        <f>BASE_EQUIPOS!G5397</f>
        <v/>
      </c>
      <c r="F5397">
        <f>BASE_EQUIPOS!H5397</f>
        <v/>
      </c>
      <c r="G5397">
        <f>BASE_EQUIPOS!M5397</f>
        <v/>
      </c>
    </row>
    <row r="5398">
      <c r="A5398">
        <f>TRIM(BASE_EQUIPOS!N5398)</f>
        <v/>
      </c>
      <c r="B5398">
        <f>BASE_EQUIPOS!A5398</f>
        <v/>
      </c>
      <c r="C5398">
        <f>BASE_EQUIPOS!B5398</f>
        <v/>
      </c>
      <c r="D5398">
        <f>BASE_EQUIPOS!D5398</f>
        <v/>
      </c>
      <c r="E5398">
        <f>BASE_EQUIPOS!G5398</f>
        <v/>
      </c>
      <c r="F5398">
        <f>BASE_EQUIPOS!H5398</f>
        <v/>
      </c>
      <c r="G5398">
        <f>BASE_EQUIPOS!M5398</f>
        <v/>
      </c>
    </row>
    <row r="5399">
      <c r="A5399">
        <f>TRIM(BASE_EQUIPOS!N5399)</f>
        <v/>
      </c>
      <c r="B5399">
        <f>BASE_EQUIPOS!A5399</f>
        <v/>
      </c>
      <c r="C5399">
        <f>BASE_EQUIPOS!B5399</f>
        <v/>
      </c>
      <c r="D5399">
        <f>BASE_EQUIPOS!D5399</f>
        <v/>
      </c>
      <c r="E5399">
        <f>BASE_EQUIPOS!G5399</f>
        <v/>
      </c>
      <c r="F5399">
        <f>BASE_EQUIPOS!H5399</f>
        <v/>
      </c>
      <c r="G5399">
        <f>BASE_EQUIPOS!M5399</f>
        <v/>
      </c>
    </row>
    <row r="5400">
      <c r="A5400">
        <f>TRIM(BASE_EQUIPOS!N5400)</f>
        <v/>
      </c>
      <c r="B5400">
        <f>BASE_EQUIPOS!A5400</f>
        <v/>
      </c>
      <c r="C5400">
        <f>BASE_EQUIPOS!B5400</f>
        <v/>
      </c>
      <c r="D5400">
        <f>BASE_EQUIPOS!D5400</f>
        <v/>
      </c>
      <c r="E5400">
        <f>BASE_EQUIPOS!G5400</f>
        <v/>
      </c>
      <c r="F5400">
        <f>BASE_EQUIPOS!H5400</f>
        <v/>
      </c>
      <c r="G5400">
        <f>BASE_EQUIPOS!M5400</f>
        <v/>
      </c>
    </row>
    <row r="5401">
      <c r="A5401">
        <f>TRIM(BASE_EQUIPOS!N5401)</f>
        <v/>
      </c>
      <c r="B5401">
        <f>BASE_EQUIPOS!A5401</f>
        <v/>
      </c>
      <c r="C5401">
        <f>BASE_EQUIPOS!B5401</f>
        <v/>
      </c>
      <c r="D5401">
        <f>BASE_EQUIPOS!D5401</f>
        <v/>
      </c>
      <c r="E5401">
        <f>BASE_EQUIPOS!G5401</f>
        <v/>
      </c>
      <c r="F5401">
        <f>BASE_EQUIPOS!H5401</f>
        <v/>
      </c>
      <c r="G5401">
        <f>BASE_EQUIPOS!M5401</f>
        <v/>
      </c>
    </row>
    <row r="5402">
      <c r="A5402">
        <f>TRIM(BASE_EQUIPOS!N5402)</f>
        <v/>
      </c>
      <c r="B5402">
        <f>BASE_EQUIPOS!A5402</f>
        <v/>
      </c>
      <c r="C5402">
        <f>BASE_EQUIPOS!B5402</f>
        <v/>
      </c>
      <c r="D5402">
        <f>BASE_EQUIPOS!D5402</f>
        <v/>
      </c>
      <c r="E5402">
        <f>BASE_EQUIPOS!G5402</f>
        <v/>
      </c>
      <c r="F5402">
        <f>BASE_EQUIPOS!H5402</f>
        <v/>
      </c>
      <c r="G5402">
        <f>BASE_EQUIPOS!M5402</f>
        <v/>
      </c>
    </row>
    <row r="5403">
      <c r="A5403">
        <f>TRIM(BASE_EQUIPOS!N5403)</f>
        <v/>
      </c>
      <c r="B5403">
        <f>BASE_EQUIPOS!A5403</f>
        <v/>
      </c>
      <c r="C5403">
        <f>BASE_EQUIPOS!B5403</f>
        <v/>
      </c>
      <c r="D5403">
        <f>BASE_EQUIPOS!D5403</f>
        <v/>
      </c>
      <c r="E5403">
        <f>BASE_EQUIPOS!G5403</f>
        <v/>
      </c>
      <c r="F5403">
        <f>BASE_EQUIPOS!H5403</f>
        <v/>
      </c>
      <c r="G5403">
        <f>BASE_EQUIPOS!M5403</f>
        <v/>
      </c>
    </row>
    <row r="5404">
      <c r="A5404">
        <f>TRIM(BASE_EQUIPOS!N5404)</f>
        <v/>
      </c>
      <c r="B5404">
        <f>BASE_EQUIPOS!A5404</f>
        <v/>
      </c>
      <c r="C5404">
        <f>BASE_EQUIPOS!B5404</f>
        <v/>
      </c>
      <c r="D5404">
        <f>BASE_EQUIPOS!D5404</f>
        <v/>
      </c>
      <c r="E5404">
        <f>BASE_EQUIPOS!G5404</f>
        <v/>
      </c>
      <c r="F5404">
        <f>BASE_EQUIPOS!H5404</f>
        <v/>
      </c>
      <c r="G5404">
        <f>BASE_EQUIPOS!M5404</f>
        <v/>
      </c>
    </row>
    <row r="5405">
      <c r="A5405">
        <f>TRIM(BASE_EQUIPOS!N5405)</f>
        <v/>
      </c>
      <c r="B5405">
        <f>BASE_EQUIPOS!A5405</f>
        <v/>
      </c>
      <c r="C5405">
        <f>BASE_EQUIPOS!B5405</f>
        <v/>
      </c>
      <c r="D5405">
        <f>BASE_EQUIPOS!D5405</f>
        <v/>
      </c>
      <c r="E5405">
        <f>BASE_EQUIPOS!G5405</f>
        <v/>
      </c>
      <c r="F5405">
        <f>BASE_EQUIPOS!H5405</f>
        <v/>
      </c>
      <c r="G5405">
        <f>BASE_EQUIPOS!M5405</f>
        <v/>
      </c>
    </row>
    <row r="5406">
      <c r="A5406">
        <f>TRIM(BASE_EQUIPOS!N5406)</f>
        <v/>
      </c>
      <c r="B5406">
        <f>BASE_EQUIPOS!A5406</f>
        <v/>
      </c>
      <c r="C5406">
        <f>BASE_EQUIPOS!B5406</f>
        <v/>
      </c>
      <c r="D5406">
        <f>BASE_EQUIPOS!D5406</f>
        <v/>
      </c>
      <c r="E5406">
        <f>BASE_EQUIPOS!G5406</f>
        <v/>
      </c>
      <c r="F5406">
        <f>BASE_EQUIPOS!H5406</f>
        <v/>
      </c>
      <c r="G5406">
        <f>BASE_EQUIPOS!M5406</f>
        <v/>
      </c>
    </row>
    <row r="5407">
      <c r="A5407">
        <f>TRIM(BASE_EQUIPOS!N5407)</f>
        <v/>
      </c>
      <c r="B5407">
        <f>BASE_EQUIPOS!A5407</f>
        <v/>
      </c>
      <c r="C5407">
        <f>BASE_EQUIPOS!B5407</f>
        <v/>
      </c>
      <c r="D5407">
        <f>BASE_EQUIPOS!D5407</f>
        <v/>
      </c>
      <c r="E5407">
        <f>BASE_EQUIPOS!G5407</f>
        <v/>
      </c>
      <c r="F5407">
        <f>BASE_EQUIPOS!H5407</f>
        <v/>
      </c>
      <c r="G5407">
        <f>BASE_EQUIPOS!M5407</f>
        <v/>
      </c>
    </row>
    <row r="5408">
      <c r="A5408">
        <f>TRIM(BASE_EQUIPOS!N5408)</f>
        <v/>
      </c>
      <c r="B5408">
        <f>BASE_EQUIPOS!A5408</f>
        <v/>
      </c>
      <c r="C5408">
        <f>BASE_EQUIPOS!B5408</f>
        <v/>
      </c>
      <c r="D5408">
        <f>BASE_EQUIPOS!D5408</f>
        <v/>
      </c>
      <c r="E5408">
        <f>BASE_EQUIPOS!G5408</f>
        <v/>
      </c>
      <c r="F5408">
        <f>BASE_EQUIPOS!H5408</f>
        <v/>
      </c>
      <c r="G5408">
        <f>BASE_EQUIPOS!M5408</f>
        <v/>
      </c>
    </row>
    <row r="5409">
      <c r="A5409">
        <f>TRIM(BASE_EQUIPOS!N5409)</f>
        <v/>
      </c>
      <c r="B5409">
        <f>BASE_EQUIPOS!A5409</f>
        <v/>
      </c>
      <c r="C5409">
        <f>BASE_EQUIPOS!B5409</f>
        <v/>
      </c>
      <c r="D5409">
        <f>BASE_EQUIPOS!D5409</f>
        <v/>
      </c>
      <c r="E5409">
        <f>BASE_EQUIPOS!G5409</f>
        <v/>
      </c>
      <c r="F5409">
        <f>BASE_EQUIPOS!H5409</f>
        <v/>
      </c>
      <c r="G5409">
        <f>BASE_EQUIPOS!M5409</f>
        <v/>
      </c>
    </row>
    <row r="5410">
      <c r="A5410">
        <f>TRIM(BASE_EQUIPOS!N5410)</f>
        <v/>
      </c>
      <c r="B5410">
        <f>BASE_EQUIPOS!A5410</f>
        <v/>
      </c>
      <c r="C5410">
        <f>BASE_EQUIPOS!B5410</f>
        <v/>
      </c>
      <c r="D5410">
        <f>BASE_EQUIPOS!D5410</f>
        <v/>
      </c>
      <c r="E5410">
        <f>BASE_EQUIPOS!G5410</f>
        <v/>
      </c>
      <c r="F5410">
        <f>BASE_EQUIPOS!H5410</f>
        <v/>
      </c>
      <c r="G5410">
        <f>BASE_EQUIPOS!M5410</f>
        <v/>
      </c>
    </row>
    <row r="5411">
      <c r="A5411">
        <f>TRIM(BASE_EQUIPOS!N5411)</f>
        <v/>
      </c>
      <c r="B5411">
        <f>BASE_EQUIPOS!A5411</f>
        <v/>
      </c>
      <c r="C5411">
        <f>BASE_EQUIPOS!B5411</f>
        <v/>
      </c>
      <c r="D5411">
        <f>BASE_EQUIPOS!D5411</f>
        <v/>
      </c>
      <c r="E5411">
        <f>BASE_EQUIPOS!G5411</f>
        <v/>
      </c>
      <c r="F5411">
        <f>BASE_EQUIPOS!H5411</f>
        <v/>
      </c>
      <c r="G5411">
        <f>BASE_EQUIPOS!M5411</f>
        <v/>
      </c>
    </row>
    <row r="5412">
      <c r="A5412">
        <f>TRIM(BASE_EQUIPOS!N5412)</f>
        <v/>
      </c>
      <c r="B5412">
        <f>BASE_EQUIPOS!A5412</f>
        <v/>
      </c>
      <c r="C5412">
        <f>BASE_EQUIPOS!B5412</f>
        <v/>
      </c>
      <c r="D5412">
        <f>BASE_EQUIPOS!D5412</f>
        <v/>
      </c>
      <c r="E5412">
        <f>BASE_EQUIPOS!G5412</f>
        <v/>
      </c>
      <c r="F5412">
        <f>BASE_EQUIPOS!H5412</f>
        <v/>
      </c>
      <c r="G5412">
        <f>BASE_EQUIPOS!M5412</f>
        <v/>
      </c>
    </row>
    <row r="5413">
      <c r="A5413">
        <f>TRIM(BASE_EQUIPOS!N5413)</f>
        <v/>
      </c>
      <c r="B5413">
        <f>BASE_EQUIPOS!A5413</f>
        <v/>
      </c>
      <c r="C5413">
        <f>BASE_EQUIPOS!B5413</f>
        <v/>
      </c>
      <c r="D5413">
        <f>BASE_EQUIPOS!D5413</f>
        <v/>
      </c>
      <c r="E5413">
        <f>BASE_EQUIPOS!G5413</f>
        <v/>
      </c>
      <c r="F5413">
        <f>BASE_EQUIPOS!H5413</f>
        <v/>
      </c>
      <c r="G5413">
        <f>BASE_EQUIPOS!M5413</f>
        <v/>
      </c>
    </row>
    <row r="5414">
      <c r="A5414">
        <f>TRIM(BASE_EQUIPOS!N5414)</f>
        <v/>
      </c>
      <c r="B5414">
        <f>BASE_EQUIPOS!A5414</f>
        <v/>
      </c>
      <c r="C5414">
        <f>BASE_EQUIPOS!B5414</f>
        <v/>
      </c>
      <c r="D5414">
        <f>BASE_EQUIPOS!D5414</f>
        <v/>
      </c>
      <c r="E5414">
        <f>BASE_EQUIPOS!G5414</f>
        <v/>
      </c>
      <c r="F5414">
        <f>BASE_EQUIPOS!H5414</f>
        <v/>
      </c>
      <c r="G5414">
        <f>BASE_EQUIPOS!M5414</f>
        <v/>
      </c>
    </row>
    <row r="5415">
      <c r="A5415">
        <f>TRIM(BASE_EQUIPOS!N5415)</f>
        <v/>
      </c>
      <c r="B5415">
        <f>BASE_EQUIPOS!A5415</f>
        <v/>
      </c>
      <c r="C5415">
        <f>BASE_EQUIPOS!B5415</f>
        <v/>
      </c>
      <c r="D5415">
        <f>BASE_EQUIPOS!D5415</f>
        <v/>
      </c>
      <c r="E5415">
        <f>BASE_EQUIPOS!G5415</f>
        <v/>
      </c>
      <c r="F5415">
        <f>BASE_EQUIPOS!H5415</f>
        <v/>
      </c>
      <c r="G5415">
        <f>BASE_EQUIPOS!M5415</f>
        <v/>
      </c>
    </row>
    <row r="5416">
      <c r="A5416">
        <f>TRIM(BASE_EQUIPOS!N5416)</f>
        <v/>
      </c>
      <c r="B5416">
        <f>BASE_EQUIPOS!A5416</f>
        <v/>
      </c>
      <c r="C5416">
        <f>BASE_EQUIPOS!B5416</f>
        <v/>
      </c>
      <c r="D5416">
        <f>BASE_EQUIPOS!D5416</f>
        <v/>
      </c>
      <c r="E5416">
        <f>BASE_EQUIPOS!G5416</f>
        <v/>
      </c>
      <c r="F5416">
        <f>BASE_EQUIPOS!H5416</f>
        <v/>
      </c>
      <c r="G5416">
        <f>BASE_EQUIPOS!M5416</f>
        <v/>
      </c>
    </row>
    <row r="5417">
      <c r="A5417">
        <f>TRIM(BASE_EQUIPOS!N5417)</f>
        <v/>
      </c>
      <c r="B5417">
        <f>BASE_EQUIPOS!A5417</f>
        <v/>
      </c>
      <c r="C5417">
        <f>BASE_EQUIPOS!B5417</f>
        <v/>
      </c>
      <c r="D5417">
        <f>BASE_EQUIPOS!D5417</f>
        <v/>
      </c>
      <c r="E5417">
        <f>BASE_EQUIPOS!G5417</f>
        <v/>
      </c>
      <c r="F5417">
        <f>BASE_EQUIPOS!H5417</f>
        <v/>
      </c>
      <c r="G5417">
        <f>BASE_EQUIPOS!M5417</f>
        <v/>
      </c>
    </row>
    <row r="5418">
      <c r="A5418">
        <f>TRIM(BASE_EQUIPOS!N5418)</f>
        <v/>
      </c>
      <c r="B5418">
        <f>BASE_EQUIPOS!A5418</f>
        <v/>
      </c>
      <c r="C5418">
        <f>BASE_EQUIPOS!B5418</f>
        <v/>
      </c>
      <c r="D5418">
        <f>BASE_EQUIPOS!D5418</f>
        <v/>
      </c>
      <c r="E5418">
        <f>BASE_EQUIPOS!G5418</f>
        <v/>
      </c>
      <c r="F5418">
        <f>BASE_EQUIPOS!H5418</f>
        <v/>
      </c>
      <c r="G5418">
        <f>BASE_EQUIPOS!M5418</f>
        <v/>
      </c>
    </row>
    <row r="5419">
      <c r="A5419">
        <f>TRIM(BASE_EQUIPOS!N5419)</f>
        <v/>
      </c>
      <c r="B5419">
        <f>BASE_EQUIPOS!A5419</f>
        <v/>
      </c>
      <c r="C5419">
        <f>BASE_EQUIPOS!B5419</f>
        <v/>
      </c>
      <c r="D5419">
        <f>BASE_EQUIPOS!D5419</f>
        <v/>
      </c>
      <c r="E5419">
        <f>BASE_EQUIPOS!G5419</f>
        <v/>
      </c>
      <c r="F5419">
        <f>BASE_EQUIPOS!H5419</f>
        <v/>
      </c>
      <c r="G5419">
        <f>BASE_EQUIPOS!M5419</f>
        <v/>
      </c>
    </row>
    <row r="5420">
      <c r="A5420">
        <f>TRIM(BASE_EQUIPOS!N5420)</f>
        <v/>
      </c>
      <c r="B5420">
        <f>BASE_EQUIPOS!A5420</f>
        <v/>
      </c>
      <c r="C5420">
        <f>BASE_EQUIPOS!B5420</f>
        <v/>
      </c>
      <c r="D5420">
        <f>BASE_EQUIPOS!D5420</f>
        <v/>
      </c>
      <c r="E5420">
        <f>BASE_EQUIPOS!G5420</f>
        <v/>
      </c>
      <c r="F5420">
        <f>BASE_EQUIPOS!H5420</f>
        <v/>
      </c>
      <c r="G5420">
        <f>BASE_EQUIPOS!M5420</f>
        <v/>
      </c>
    </row>
    <row r="5421">
      <c r="A5421">
        <f>TRIM(BASE_EQUIPOS!N5421)</f>
        <v/>
      </c>
      <c r="B5421">
        <f>BASE_EQUIPOS!A5421</f>
        <v/>
      </c>
      <c r="C5421">
        <f>BASE_EQUIPOS!B5421</f>
        <v/>
      </c>
      <c r="D5421">
        <f>BASE_EQUIPOS!D5421</f>
        <v/>
      </c>
      <c r="E5421">
        <f>BASE_EQUIPOS!G5421</f>
        <v/>
      </c>
      <c r="F5421">
        <f>BASE_EQUIPOS!H5421</f>
        <v/>
      </c>
      <c r="G5421">
        <f>BASE_EQUIPOS!M5421</f>
        <v/>
      </c>
    </row>
    <row r="5422">
      <c r="A5422">
        <f>TRIM(BASE_EQUIPOS!N5422)</f>
        <v/>
      </c>
      <c r="B5422">
        <f>BASE_EQUIPOS!A5422</f>
        <v/>
      </c>
      <c r="C5422">
        <f>BASE_EQUIPOS!B5422</f>
        <v/>
      </c>
      <c r="D5422">
        <f>BASE_EQUIPOS!D5422</f>
        <v/>
      </c>
      <c r="E5422">
        <f>BASE_EQUIPOS!G5422</f>
        <v/>
      </c>
      <c r="F5422">
        <f>BASE_EQUIPOS!H5422</f>
        <v/>
      </c>
      <c r="G5422">
        <f>BASE_EQUIPOS!M5422</f>
        <v/>
      </c>
    </row>
    <row r="5423">
      <c r="A5423">
        <f>TRIM(BASE_EQUIPOS!N5423)</f>
        <v/>
      </c>
      <c r="B5423">
        <f>BASE_EQUIPOS!A5423</f>
        <v/>
      </c>
      <c r="C5423">
        <f>BASE_EQUIPOS!B5423</f>
        <v/>
      </c>
      <c r="D5423">
        <f>BASE_EQUIPOS!D5423</f>
        <v/>
      </c>
      <c r="E5423">
        <f>BASE_EQUIPOS!G5423</f>
        <v/>
      </c>
      <c r="F5423">
        <f>BASE_EQUIPOS!H5423</f>
        <v/>
      </c>
      <c r="G5423">
        <f>BASE_EQUIPOS!M5423</f>
        <v/>
      </c>
    </row>
    <row r="5424">
      <c r="A5424">
        <f>TRIM(BASE_EQUIPOS!N5424)</f>
        <v/>
      </c>
      <c r="B5424">
        <f>BASE_EQUIPOS!A5424</f>
        <v/>
      </c>
      <c r="C5424">
        <f>BASE_EQUIPOS!B5424</f>
        <v/>
      </c>
      <c r="D5424">
        <f>BASE_EQUIPOS!D5424</f>
        <v/>
      </c>
      <c r="E5424">
        <f>BASE_EQUIPOS!G5424</f>
        <v/>
      </c>
      <c r="F5424">
        <f>BASE_EQUIPOS!H5424</f>
        <v/>
      </c>
      <c r="G5424">
        <f>BASE_EQUIPOS!M5424</f>
        <v/>
      </c>
    </row>
    <row r="5425">
      <c r="A5425">
        <f>TRIM(BASE_EQUIPOS!N5425)</f>
        <v/>
      </c>
      <c r="B5425">
        <f>BASE_EQUIPOS!A5425</f>
        <v/>
      </c>
      <c r="C5425">
        <f>BASE_EQUIPOS!B5425</f>
        <v/>
      </c>
      <c r="D5425">
        <f>BASE_EQUIPOS!D5425</f>
        <v/>
      </c>
      <c r="E5425">
        <f>BASE_EQUIPOS!G5425</f>
        <v/>
      </c>
      <c r="F5425">
        <f>BASE_EQUIPOS!H5425</f>
        <v/>
      </c>
      <c r="G5425">
        <f>BASE_EQUIPOS!M5425</f>
        <v/>
      </c>
    </row>
    <row r="5426">
      <c r="A5426">
        <f>TRIM(BASE_EQUIPOS!N5426)</f>
        <v/>
      </c>
      <c r="B5426">
        <f>BASE_EQUIPOS!A5426</f>
        <v/>
      </c>
      <c r="C5426">
        <f>BASE_EQUIPOS!B5426</f>
        <v/>
      </c>
      <c r="D5426">
        <f>BASE_EQUIPOS!D5426</f>
        <v/>
      </c>
      <c r="E5426">
        <f>BASE_EQUIPOS!G5426</f>
        <v/>
      </c>
      <c r="F5426">
        <f>BASE_EQUIPOS!H5426</f>
        <v/>
      </c>
      <c r="G5426">
        <f>BASE_EQUIPOS!M5426</f>
        <v/>
      </c>
    </row>
    <row r="5427">
      <c r="A5427">
        <f>TRIM(BASE_EQUIPOS!N5427)</f>
        <v/>
      </c>
      <c r="B5427">
        <f>BASE_EQUIPOS!A5427</f>
        <v/>
      </c>
      <c r="C5427">
        <f>BASE_EQUIPOS!B5427</f>
        <v/>
      </c>
      <c r="D5427">
        <f>BASE_EQUIPOS!D5427</f>
        <v/>
      </c>
      <c r="E5427">
        <f>BASE_EQUIPOS!G5427</f>
        <v/>
      </c>
      <c r="F5427">
        <f>BASE_EQUIPOS!H5427</f>
        <v/>
      </c>
      <c r="G5427">
        <f>BASE_EQUIPOS!M5427</f>
        <v/>
      </c>
    </row>
    <row r="5428">
      <c r="A5428">
        <f>TRIM(BASE_EQUIPOS!N5428)</f>
        <v/>
      </c>
      <c r="B5428">
        <f>BASE_EQUIPOS!A5428</f>
        <v/>
      </c>
      <c r="C5428">
        <f>BASE_EQUIPOS!B5428</f>
        <v/>
      </c>
      <c r="D5428">
        <f>BASE_EQUIPOS!D5428</f>
        <v/>
      </c>
      <c r="E5428">
        <f>BASE_EQUIPOS!G5428</f>
        <v/>
      </c>
      <c r="F5428">
        <f>BASE_EQUIPOS!H5428</f>
        <v/>
      </c>
      <c r="G5428">
        <f>BASE_EQUIPOS!M5428</f>
        <v/>
      </c>
    </row>
    <row r="5429">
      <c r="A5429">
        <f>TRIM(BASE_EQUIPOS!N5429)</f>
        <v/>
      </c>
      <c r="B5429">
        <f>BASE_EQUIPOS!A5429</f>
        <v/>
      </c>
      <c r="C5429">
        <f>BASE_EQUIPOS!B5429</f>
        <v/>
      </c>
      <c r="D5429">
        <f>BASE_EQUIPOS!D5429</f>
        <v/>
      </c>
      <c r="E5429">
        <f>BASE_EQUIPOS!G5429</f>
        <v/>
      </c>
      <c r="F5429">
        <f>BASE_EQUIPOS!H5429</f>
        <v/>
      </c>
      <c r="G5429">
        <f>BASE_EQUIPOS!M5429</f>
        <v/>
      </c>
    </row>
    <row r="5430">
      <c r="A5430">
        <f>TRIM(BASE_EQUIPOS!N5430)</f>
        <v/>
      </c>
      <c r="B5430">
        <f>BASE_EQUIPOS!A5430</f>
        <v/>
      </c>
      <c r="C5430">
        <f>BASE_EQUIPOS!B5430</f>
        <v/>
      </c>
      <c r="D5430">
        <f>BASE_EQUIPOS!D5430</f>
        <v/>
      </c>
      <c r="E5430">
        <f>BASE_EQUIPOS!G5430</f>
        <v/>
      </c>
      <c r="F5430">
        <f>BASE_EQUIPOS!H5430</f>
        <v/>
      </c>
      <c r="G5430">
        <f>BASE_EQUIPOS!M5430</f>
        <v/>
      </c>
    </row>
    <row r="5431">
      <c r="A5431">
        <f>TRIM(BASE_EQUIPOS!N5431)</f>
        <v/>
      </c>
      <c r="B5431">
        <f>BASE_EQUIPOS!A5431</f>
        <v/>
      </c>
      <c r="C5431">
        <f>BASE_EQUIPOS!B5431</f>
        <v/>
      </c>
      <c r="D5431">
        <f>BASE_EQUIPOS!D5431</f>
        <v/>
      </c>
      <c r="E5431">
        <f>BASE_EQUIPOS!G5431</f>
        <v/>
      </c>
      <c r="F5431">
        <f>BASE_EQUIPOS!H5431</f>
        <v/>
      </c>
      <c r="G5431">
        <f>BASE_EQUIPOS!M5431</f>
        <v/>
      </c>
    </row>
    <row r="5432">
      <c r="A5432">
        <f>TRIM(BASE_EQUIPOS!N5432)</f>
        <v/>
      </c>
      <c r="B5432">
        <f>BASE_EQUIPOS!A5432</f>
        <v/>
      </c>
      <c r="C5432">
        <f>BASE_EQUIPOS!B5432</f>
        <v/>
      </c>
      <c r="D5432">
        <f>BASE_EQUIPOS!D5432</f>
        <v/>
      </c>
      <c r="E5432">
        <f>BASE_EQUIPOS!G5432</f>
        <v/>
      </c>
      <c r="F5432">
        <f>BASE_EQUIPOS!H5432</f>
        <v/>
      </c>
      <c r="G5432">
        <f>BASE_EQUIPOS!M5432</f>
        <v/>
      </c>
    </row>
    <row r="5433">
      <c r="A5433">
        <f>TRIM(BASE_EQUIPOS!N5433)</f>
        <v/>
      </c>
      <c r="B5433">
        <f>BASE_EQUIPOS!A5433</f>
        <v/>
      </c>
      <c r="C5433">
        <f>BASE_EQUIPOS!B5433</f>
        <v/>
      </c>
      <c r="D5433">
        <f>BASE_EQUIPOS!D5433</f>
        <v/>
      </c>
      <c r="E5433">
        <f>BASE_EQUIPOS!G5433</f>
        <v/>
      </c>
      <c r="F5433">
        <f>BASE_EQUIPOS!H5433</f>
        <v/>
      </c>
      <c r="G5433">
        <f>BASE_EQUIPOS!M5433</f>
        <v/>
      </c>
    </row>
    <row r="5434">
      <c r="A5434">
        <f>TRIM(BASE_EQUIPOS!N5434)</f>
        <v/>
      </c>
      <c r="B5434">
        <f>BASE_EQUIPOS!A5434</f>
        <v/>
      </c>
      <c r="C5434">
        <f>BASE_EQUIPOS!B5434</f>
        <v/>
      </c>
      <c r="D5434">
        <f>BASE_EQUIPOS!D5434</f>
        <v/>
      </c>
      <c r="E5434">
        <f>BASE_EQUIPOS!G5434</f>
        <v/>
      </c>
      <c r="F5434">
        <f>BASE_EQUIPOS!H5434</f>
        <v/>
      </c>
      <c r="G5434">
        <f>BASE_EQUIPOS!M5434</f>
        <v/>
      </c>
    </row>
    <row r="5435">
      <c r="A5435">
        <f>TRIM(BASE_EQUIPOS!N5435)</f>
        <v/>
      </c>
      <c r="B5435">
        <f>BASE_EQUIPOS!A5435</f>
        <v/>
      </c>
      <c r="C5435">
        <f>BASE_EQUIPOS!B5435</f>
        <v/>
      </c>
      <c r="D5435">
        <f>BASE_EQUIPOS!D5435</f>
        <v/>
      </c>
      <c r="E5435">
        <f>BASE_EQUIPOS!G5435</f>
        <v/>
      </c>
      <c r="F5435">
        <f>BASE_EQUIPOS!H5435</f>
        <v/>
      </c>
      <c r="G5435">
        <f>BASE_EQUIPOS!M5435</f>
        <v/>
      </c>
    </row>
    <row r="5436">
      <c r="A5436">
        <f>TRIM(BASE_EQUIPOS!N5436)</f>
        <v/>
      </c>
      <c r="B5436">
        <f>BASE_EQUIPOS!A5436</f>
        <v/>
      </c>
      <c r="C5436">
        <f>BASE_EQUIPOS!B5436</f>
        <v/>
      </c>
      <c r="D5436">
        <f>BASE_EQUIPOS!D5436</f>
        <v/>
      </c>
      <c r="E5436">
        <f>BASE_EQUIPOS!G5436</f>
        <v/>
      </c>
      <c r="F5436">
        <f>BASE_EQUIPOS!H5436</f>
        <v/>
      </c>
      <c r="G5436">
        <f>BASE_EQUIPOS!M5436</f>
        <v/>
      </c>
    </row>
    <row r="5437">
      <c r="A5437">
        <f>TRIM(BASE_EQUIPOS!N5437)</f>
        <v/>
      </c>
      <c r="B5437">
        <f>BASE_EQUIPOS!A5437</f>
        <v/>
      </c>
      <c r="C5437">
        <f>BASE_EQUIPOS!B5437</f>
        <v/>
      </c>
      <c r="D5437">
        <f>BASE_EQUIPOS!D5437</f>
        <v/>
      </c>
      <c r="E5437">
        <f>BASE_EQUIPOS!G5437</f>
        <v/>
      </c>
      <c r="F5437">
        <f>BASE_EQUIPOS!H5437</f>
        <v/>
      </c>
      <c r="G5437">
        <f>BASE_EQUIPOS!M5437</f>
        <v/>
      </c>
    </row>
    <row r="5438">
      <c r="A5438">
        <f>TRIM(BASE_EQUIPOS!N5438)</f>
        <v/>
      </c>
      <c r="B5438">
        <f>BASE_EQUIPOS!A5438</f>
        <v/>
      </c>
      <c r="C5438">
        <f>BASE_EQUIPOS!B5438</f>
        <v/>
      </c>
      <c r="D5438">
        <f>BASE_EQUIPOS!D5438</f>
        <v/>
      </c>
      <c r="E5438">
        <f>BASE_EQUIPOS!G5438</f>
        <v/>
      </c>
      <c r="F5438">
        <f>BASE_EQUIPOS!H5438</f>
        <v/>
      </c>
      <c r="G5438">
        <f>BASE_EQUIPOS!M5438</f>
        <v/>
      </c>
    </row>
    <row r="5439">
      <c r="A5439">
        <f>TRIM(BASE_EQUIPOS!N5439)</f>
        <v/>
      </c>
      <c r="B5439">
        <f>BASE_EQUIPOS!A5439</f>
        <v/>
      </c>
      <c r="C5439">
        <f>BASE_EQUIPOS!B5439</f>
        <v/>
      </c>
      <c r="D5439">
        <f>BASE_EQUIPOS!D5439</f>
        <v/>
      </c>
      <c r="E5439">
        <f>BASE_EQUIPOS!G5439</f>
        <v/>
      </c>
      <c r="F5439">
        <f>BASE_EQUIPOS!H5439</f>
        <v/>
      </c>
      <c r="G5439">
        <f>BASE_EQUIPOS!M5439</f>
        <v/>
      </c>
    </row>
    <row r="5440">
      <c r="A5440">
        <f>TRIM(BASE_EQUIPOS!N5440)</f>
        <v/>
      </c>
      <c r="B5440">
        <f>BASE_EQUIPOS!A5440</f>
        <v/>
      </c>
      <c r="C5440">
        <f>BASE_EQUIPOS!B5440</f>
        <v/>
      </c>
      <c r="D5440">
        <f>BASE_EQUIPOS!D5440</f>
        <v/>
      </c>
      <c r="E5440">
        <f>BASE_EQUIPOS!G5440</f>
        <v/>
      </c>
      <c r="F5440">
        <f>BASE_EQUIPOS!H5440</f>
        <v/>
      </c>
      <c r="G5440">
        <f>BASE_EQUIPOS!M5440</f>
        <v/>
      </c>
    </row>
    <row r="5441">
      <c r="A5441">
        <f>TRIM(BASE_EQUIPOS!N5441)</f>
        <v/>
      </c>
      <c r="B5441">
        <f>BASE_EQUIPOS!A5441</f>
        <v/>
      </c>
      <c r="C5441">
        <f>BASE_EQUIPOS!B5441</f>
        <v/>
      </c>
      <c r="D5441">
        <f>BASE_EQUIPOS!D5441</f>
        <v/>
      </c>
      <c r="E5441">
        <f>BASE_EQUIPOS!G5441</f>
        <v/>
      </c>
      <c r="F5441">
        <f>BASE_EQUIPOS!H5441</f>
        <v/>
      </c>
      <c r="G5441">
        <f>BASE_EQUIPOS!M5441</f>
        <v/>
      </c>
    </row>
    <row r="5442">
      <c r="A5442">
        <f>TRIM(BASE_EQUIPOS!N5442)</f>
        <v/>
      </c>
      <c r="B5442">
        <f>BASE_EQUIPOS!A5442</f>
        <v/>
      </c>
      <c r="C5442">
        <f>BASE_EQUIPOS!B5442</f>
        <v/>
      </c>
      <c r="D5442">
        <f>BASE_EQUIPOS!D5442</f>
        <v/>
      </c>
      <c r="E5442">
        <f>BASE_EQUIPOS!G5442</f>
        <v/>
      </c>
      <c r="F5442">
        <f>BASE_EQUIPOS!H5442</f>
        <v/>
      </c>
      <c r="G5442">
        <f>BASE_EQUIPOS!M5442</f>
        <v/>
      </c>
    </row>
    <row r="5443">
      <c r="A5443">
        <f>TRIM(BASE_EQUIPOS!N5443)</f>
        <v/>
      </c>
      <c r="B5443">
        <f>BASE_EQUIPOS!A5443</f>
        <v/>
      </c>
      <c r="C5443">
        <f>BASE_EQUIPOS!B5443</f>
        <v/>
      </c>
      <c r="D5443">
        <f>BASE_EQUIPOS!D5443</f>
        <v/>
      </c>
      <c r="E5443">
        <f>BASE_EQUIPOS!G5443</f>
        <v/>
      </c>
      <c r="F5443">
        <f>BASE_EQUIPOS!H5443</f>
        <v/>
      </c>
      <c r="G5443">
        <f>BASE_EQUIPOS!M5443</f>
        <v/>
      </c>
    </row>
    <row r="5444">
      <c r="A5444">
        <f>TRIM(BASE_EQUIPOS!N5444)</f>
        <v/>
      </c>
      <c r="B5444">
        <f>BASE_EQUIPOS!A5444</f>
        <v/>
      </c>
      <c r="C5444">
        <f>BASE_EQUIPOS!B5444</f>
        <v/>
      </c>
      <c r="D5444">
        <f>BASE_EQUIPOS!D5444</f>
        <v/>
      </c>
      <c r="E5444">
        <f>BASE_EQUIPOS!G5444</f>
        <v/>
      </c>
      <c r="F5444">
        <f>BASE_EQUIPOS!H5444</f>
        <v/>
      </c>
      <c r="G5444">
        <f>BASE_EQUIPOS!M5444</f>
        <v/>
      </c>
    </row>
    <row r="5445">
      <c r="A5445">
        <f>TRIM(BASE_EQUIPOS!N5445)</f>
        <v/>
      </c>
      <c r="B5445">
        <f>BASE_EQUIPOS!A5445</f>
        <v/>
      </c>
      <c r="C5445">
        <f>BASE_EQUIPOS!B5445</f>
        <v/>
      </c>
      <c r="D5445">
        <f>BASE_EQUIPOS!D5445</f>
        <v/>
      </c>
      <c r="E5445">
        <f>BASE_EQUIPOS!G5445</f>
        <v/>
      </c>
      <c r="F5445">
        <f>BASE_EQUIPOS!H5445</f>
        <v/>
      </c>
      <c r="G5445">
        <f>BASE_EQUIPOS!M5445</f>
        <v/>
      </c>
    </row>
    <row r="5446">
      <c r="A5446">
        <f>TRIM(BASE_EQUIPOS!N5446)</f>
        <v/>
      </c>
      <c r="B5446">
        <f>BASE_EQUIPOS!A5446</f>
        <v/>
      </c>
      <c r="C5446">
        <f>BASE_EQUIPOS!B5446</f>
        <v/>
      </c>
      <c r="D5446">
        <f>BASE_EQUIPOS!D5446</f>
        <v/>
      </c>
      <c r="E5446">
        <f>BASE_EQUIPOS!G5446</f>
        <v/>
      </c>
      <c r="F5446">
        <f>BASE_EQUIPOS!H5446</f>
        <v/>
      </c>
      <c r="G5446">
        <f>BASE_EQUIPOS!M5446</f>
        <v/>
      </c>
    </row>
    <row r="5447">
      <c r="A5447">
        <f>TRIM(BASE_EQUIPOS!N5447)</f>
        <v/>
      </c>
      <c r="B5447">
        <f>BASE_EQUIPOS!A5447</f>
        <v/>
      </c>
      <c r="C5447">
        <f>BASE_EQUIPOS!B5447</f>
        <v/>
      </c>
      <c r="D5447">
        <f>BASE_EQUIPOS!D5447</f>
        <v/>
      </c>
      <c r="E5447">
        <f>BASE_EQUIPOS!G5447</f>
        <v/>
      </c>
      <c r="F5447">
        <f>BASE_EQUIPOS!H5447</f>
        <v/>
      </c>
      <c r="G5447">
        <f>BASE_EQUIPOS!M5447</f>
        <v/>
      </c>
    </row>
    <row r="5448">
      <c r="A5448">
        <f>TRIM(BASE_EQUIPOS!N5448)</f>
        <v/>
      </c>
      <c r="B5448">
        <f>BASE_EQUIPOS!A5448</f>
        <v/>
      </c>
      <c r="C5448">
        <f>BASE_EQUIPOS!B5448</f>
        <v/>
      </c>
      <c r="D5448">
        <f>BASE_EQUIPOS!D5448</f>
        <v/>
      </c>
      <c r="E5448">
        <f>BASE_EQUIPOS!G5448</f>
        <v/>
      </c>
      <c r="F5448">
        <f>BASE_EQUIPOS!H5448</f>
        <v/>
      </c>
      <c r="G5448">
        <f>BASE_EQUIPOS!M5448</f>
        <v/>
      </c>
    </row>
    <row r="5449">
      <c r="A5449">
        <f>TRIM(BASE_EQUIPOS!N5449)</f>
        <v/>
      </c>
      <c r="B5449">
        <f>BASE_EQUIPOS!A5449</f>
        <v/>
      </c>
      <c r="C5449">
        <f>BASE_EQUIPOS!B5449</f>
        <v/>
      </c>
      <c r="D5449">
        <f>BASE_EQUIPOS!D5449</f>
        <v/>
      </c>
      <c r="E5449">
        <f>BASE_EQUIPOS!G5449</f>
        <v/>
      </c>
      <c r="F5449">
        <f>BASE_EQUIPOS!H5449</f>
        <v/>
      </c>
      <c r="G5449">
        <f>BASE_EQUIPOS!M5449</f>
        <v/>
      </c>
    </row>
    <row r="5450">
      <c r="A5450">
        <f>TRIM(BASE_EQUIPOS!N5450)</f>
        <v/>
      </c>
      <c r="B5450">
        <f>BASE_EQUIPOS!A5450</f>
        <v/>
      </c>
      <c r="C5450">
        <f>BASE_EQUIPOS!B5450</f>
        <v/>
      </c>
      <c r="D5450">
        <f>BASE_EQUIPOS!D5450</f>
        <v/>
      </c>
      <c r="E5450">
        <f>BASE_EQUIPOS!G5450</f>
        <v/>
      </c>
      <c r="F5450">
        <f>BASE_EQUIPOS!H5450</f>
        <v/>
      </c>
      <c r="G5450">
        <f>BASE_EQUIPOS!M5450</f>
        <v/>
      </c>
    </row>
    <row r="5451">
      <c r="A5451">
        <f>TRIM(BASE_EQUIPOS!N5451)</f>
        <v/>
      </c>
      <c r="B5451">
        <f>BASE_EQUIPOS!A5451</f>
        <v/>
      </c>
      <c r="C5451">
        <f>BASE_EQUIPOS!B5451</f>
        <v/>
      </c>
      <c r="D5451">
        <f>BASE_EQUIPOS!D5451</f>
        <v/>
      </c>
      <c r="E5451">
        <f>BASE_EQUIPOS!G5451</f>
        <v/>
      </c>
      <c r="F5451">
        <f>BASE_EQUIPOS!H5451</f>
        <v/>
      </c>
      <c r="G5451">
        <f>BASE_EQUIPOS!M5451</f>
        <v/>
      </c>
    </row>
    <row r="5452">
      <c r="A5452">
        <f>TRIM(BASE_EQUIPOS!N5452)</f>
        <v/>
      </c>
      <c r="B5452">
        <f>BASE_EQUIPOS!A5452</f>
        <v/>
      </c>
      <c r="C5452">
        <f>BASE_EQUIPOS!B5452</f>
        <v/>
      </c>
      <c r="D5452">
        <f>BASE_EQUIPOS!D5452</f>
        <v/>
      </c>
      <c r="E5452">
        <f>BASE_EQUIPOS!G5452</f>
        <v/>
      </c>
      <c r="F5452">
        <f>BASE_EQUIPOS!H5452</f>
        <v/>
      </c>
      <c r="G5452">
        <f>BASE_EQUIPOS!M5452</f>
        <v/>
      </c>
    </row>
    <row r="5453">
      <c r="A5453">
        <f>TRIM(BASE_EQUIPOS!N5453)</f>
        <v/>
      </c>
      <c r="B5453">
        <f>BASE_EQUIPOS!A5453</f>
        <v/>
      </c>
      <c r="C5453">
        <f>BASE_EQUIPOS!B5453</f>
        <v/>
      </c>
      <c r="D5453">
        <f>BASE_EQUIPOS!D5453</f>
        <v/>
      </c>
      <c r="E5453">
        <f>BASE_EQUIPOS!G5453</f>
        <v/>
      </c>
      <c r="F5453">
        <f>BASE_EQUIPOS!H5453</f>
        <v/>
      </c>
      <c r="G5453">
        <f>BASE_EQUIPOS!M5453</f>
        <v/>
      </c>
    </row>
    <row r="5454">
      <c r="A5454">
        <f>TRIM(BASE_EQUIPOS!N5454)</f>
        <v/>
      </c>
      <c r="B5454">
        <f>BASE_EQUIPOS!A5454</f>
        <v/>
      </c>
      <c r="C5454">
        <f>BASE_EQUIPOS!B5454</f>
        <v/>
      </c>
      <c r="D5454">
        <f>BASE_EQUIPOS!D5454</f>
        <v/>
      </c>
      <c r="E5454">
        <f>BASE_EQUIPOS!G5454</f>
        <v/>
      </c>
      <c r="F5454">
        <f>BASE_EQUIPOS!H5454</f>
        <v/>
      </c>
      <c r="G5454">
        <f>BASE_EQUIPOS!M5454</f>
        <v/>
      </c>
    </row>
    <row r="5455">
      <c r="A5455">
        <f>TRIM(BASE_EQUIPOS!N5455)</f>
        <v/>
      </c>
      <c r="B5455">
        <f>BASE_EQUIPOS!A5455</f>
        <v/>
      </c>
      <c r="C5455">
        <f>BASE_EQUIPOS!B5455</f>
        <v/>
      </c>
      <c r="D5455">
        <f>BASE_EQUIPOS!D5455</f>
        <v/>
      </c>
      <c r="E5455">
        <f>BASE_EQUIPOS!G5455</f>
        <v/>
      </c>
      <c r="F5455">
        <f>BASE_EQUIPOS!H5455</f>
        <v/>
      </c>
      <c r="G5455">
        <f>BASE_EQUIPOS!M5455</f>
        <v/>
      </c>
    </row>
    <row r="5456">
      <c r="A5456">
        <f>TRIM(BASE_EQUIPOS!N5456)</f>
        <v/>
      </c>
      <c r="B5456">
        <f>BASE_EQUIPOS!A5456</f>
        <v/>
      </c>
      <c r="C5456">
        <f>BASE_EQUIPOS!B5456</f>
        <v/>
      </c>
      <c r="D5456">
        <f>BASE_EQUIPOS!D5456</f>
        <v/>
      </c>
      <c r="E5456">
        <f>BASE_EQUIPOS!G5456</f>
        <v/>
      </c>
      <c r="F5456">
        <f>BASE_EQUIPOS!H5456</f>
        <v/>
      </c>
      <c r="G5456">
        <f>BASE_EQUIPOS!M5456</f>
        <v/>
      </c>
    </row>
    <row r="5457">
      <c r="A5457">
        <f>TRIM(BASE_EQUIPOS!N5457)</f>
        <v/>
      </c>
      <c r="B5457">
        <f>BASE_EQUIPOS!A5457</f>
        <v/>
      </c>
      <c r="C5457">
        <f>BASE_EQUIPOS!B5457</f>
        <v/>
      </c>
      <c r="D5457">
        <f>BASE_EQUIPOS!D5457</f>
        <v/>
      </c>
      <c r="E5457">
        <f>BASE_EQUIPOS!G5457</f>
        <v/>
      </c>
      <c r="F5457">
        <f>BASE_EQUIPOS!H5457</f>
        <v/>
      </c>
      <c r="G5457">
        <f>BASE_EQUIPOS!M5457</f>
        <v/>
      </c>
    </row>
    <row r="5458">
      <c r="A5458">
        <f>TRIM(BASE_EQUIPOS!N5458)</f>
        <v/>
      </c>
      <c r="B5458">
        <f>BASE_EQUIPOS!A5458</f>
        <v/>
      </c>
      <c r="C5458">
        <f>BASE_EQUIPOS!B5458</f>
        <v/>
      </c>
      <c r="D5458">
        <f>BASE_EQUIPOS!D5458</f>
        <v/>
      </c>
      <c r="E5458">
        <f>BASE_EQUIPOS!G5458</f>
        <v/>
      </c>
      <c r="F5458">
        <f>BASE_EQUIPOS!H5458</f>
        <v/>
      </c>
      <c r="G5458">
        <f>BASE_EQUIPOS!M5458</f>
        <v/>
      </c>
    </row>
    <row r="5459">
      <c r="A5459">
        <f>TRIM(BASE_EQUIPOS!N5459)</f>
        <v/>
      </c>
      <c r="B5459">
        <f>BASE_EQUIPOS!A5459</f>
        <v/>
      </c>
      <c r="C5459">
        <f>BASE_EQUIPOS!B5459</f>
        <v/>
      </c>
      <c r="D5459">
        <f>BASE_EQUIPOS!D5459</f>
        <v/>
      </c>
      <c r="E5459">
        <f>BASE_EQUIPOS!G5459</f>
        <v/>
      </c>
      <c r="F5459">
        <f>BASE_EQUIPOS!H5459</f>
        <v/>
      </c>
      <c r="G5459">
        <f>BASE_EQUIPOS!M5459</f>
        <v/>
      </c>
    </row>
    <row r="5460">
      <c r="A5460">
        <f>TRIM(BASE_EQUIPOS!N5460)</f>
        <v/>
      </c>
      <c r="B5460">
        <f>BASE_EQUIPOS!A5460</f>
        <v/>
      </c>
      <c r="C5460">
        <f>BASE_EQUIPOS!B5460</f>
        <v/>
      </c>
      <c r="D5460">
        <f>BASE_EQUIPOS!D5460</f>
        <v/>
      </c>
      <c r="E5460">
        <f>BASE_EQUIPOS!G5460</f>
        <v/>
      </c>
      <c r="F5460">
        <f>BASE_EQUIPOS!H5460</f>
        <v/>
      </c>
      <c r="G5460">
        <f>BASE_EQUIPOS!M5460</f>
        <v/>
      </c>
    </row>
    <row r="5461">
      <c r="A5461">
        <f>TRIM(BASE_EQUIPOS!N5461)</f>
        <v/>
      </c>
      <c r="B5461">
        <f>BASE_EQUIPOS!A5461</f>
        <v/>
      </c>
      <c r="C5461">
        <f>BASE_EQUIPOS!B5461</f>
        <v/>
      </c>
      <c r="D5461">
        <f>BASE_EQUIPOS!D5461</f>
        <v/>
      </c>
      <c r="E5461">
        <f>BASE_EQUIPOS!G5461</f>
        <v/>
      </c>
      <c r="F5461">
        <f>BASE_EQUIPOS!H5461</f>
        <v/>
      </c>
      <c r="G5461">
        <f>BASE_EQUIPOS!M5461</f>
        <v/>
      </c>
    </row>
    <row r="5462">
      <c r="A5462">
        <f>TRIM(BASE_EQUIPOS!N5462)</f>
        <v/>
      </c>
      <c r="B5462">
        <f>BASE_EQUIPOS!A5462</f>
        <v/>
      </c>
      <c r="C5462">
        <f>BASE_EQUIPOS!B5462</f>
        <v/>
      </c>
      <c r="D5462">
        <f>BASE_EQUIPOS!D5462</f>
        <v/>
      </c>
      <c r="E5462">
        <f>BASE_EQUIPOS!G5462</f>
        <v/>
      </c>
      <c r="F5462">
        <f>BASE_EQUIPOS!H5462</f>
        <v/>
      </c>
      <c r="G5462">
        <f>BASE_EQUIPOS!M5462</f>
        <v/>
      </c>
    </row>
    <row r="5463">
      <c r="A5463">
        <f>TRIM(BASE_EQUIPOS!N5463)</f>
        <v/>
      </c>
      <c r="B5463">
        <f>BASE_EQUIPOS!A5463</f>
        <v/>
      </c>
      <c r="C5463">
        <f>BASE_EQUIPOS!B5463</f>
        <v/>
      </c>
      <c r="D5463">
        <f>BASE_EQUIPOS!D5463</f>
        <v/>
      </c>
      <c r="E5463">
        <f>BASE_EQUIPOS!G5463</f>
        <v/>
      </c>
      <c r="F5463">
        <f>BASE_EQUIPOS!H5463</f>
        <v/>
      </c>
      <c r="G5463">
        <f>BASE_EQUIPOS!M5463</f>
        <v/>
      </c>
    </row>
    <row r="5464">
      <c r="A5464">
        <f>TRIM(BASE_EQUIPOS!N5464)</f>
        <v/>
      </c>
      <c r="B5464">
        <f>BASE_EQUIPOS!A5464</f>
        <v/>
      </c>
      <c r="C5464">
        <f>BASE_EQUIPOS!B5464</f>
        <v/>
      </c>
      <c r="D5464">
        <f>BASE_EQUIPOS!D5464</f>
        <v/>
      </c>
      <c r="E5464">
        <f>BASE_EQUIPOS!G5464</f>
        <v/>
      </c>
      <c r="F5464">
        <f>BASE_EQUIPOS!H5464</f>
        <v/>
      </c>
      <c r="G5464">
        <f>BASE_EQUIPOS!M5464</f>
        <v/>
      </c>
    </row>
    <row r="5465">
      <c r="A5465">
        <f>TRIM(BASE_EQUIPOS!N5465)</f>
        <v/>
      </c>
      <c r="B5465">
        <f>BASE_EQUIPOS!A5465</f>
        <v/>
      </c>
      <c r="C5465">
        <f>BASE_EQUIPOS!B5465</f>
        <v/>
      </c>
      <c r="D5465">
        <f>BASE_EQUIPOS!D5465</f>
        <v/>
      </c>
      <c r="E5465">
        <f>BASE_EQUIPOS!G5465</f>
        <v/>
      </c>
      <c r="F5465">
        <f>BASE_EQUIPOS!H5465</f>
        <v/>
      </c>
      <c r="G5465">
        <f>BASE_EQUIPOS!M5465</f>
        <v/>
      </c>
    </row>
    <row r="5466">
      <c r="A5466">
        <f>TRIM(BASE_EQUIPOS!N5466)</f>
        <v/>
      </c>
      <c r="B5466">
        <f>BASE_EQUIPOS!A5466</f>
        <v/>
      </c>
      <c r="C5466">
        <f>BASE_EQUIPOS!B5466</f>
        <v/>
      </c>
      <c r="D5466">
        <f>BASE_EQUIPOS!D5466</f>
        <v/>
      </c>
      <c r="E5466">
        <f>BASE_EQUIPOS!G5466</f>
        <v/>
      </c>
      <c r="F5466">
        <f>BASE_EQUIPOS!H5466</f>
        <v/>
      </c>
      <c r="G5466">
        <f>BASE_EQUIPOS!M5466</f>
        <v/>
      </c>
    </row>
    <row r="5467">
      <c r="A5467">
        <f>TRIM(BASE_EQUIPOS!N5467)</f>
        <v/>
      </c>
      <c r="B5467">
        <f>BASE_EQUIPOS!A5467</f>
        <v/>
      </c>
      <c r="C5467">
        <f>BASE_EQUIPOS!B5467</f>
        <v/>
      </c>
      <c r="D5467">
        <f>BASE_EQUIPOS!D5467</f>
        <v/>
      </c>
      <c r="E5467">
        <f>BASE_EQUIPOS!G5467</f>
        <v/>
      </c>
      <c r="F5467">
        <f>BASE_EQUIPOS!H5467</f>
        <v/>
      </c>
      <c r="G5467">
        <f>BASE_EQUIPOS!M5467</f>
        <v/>
      </c>
    </row>
    <row r="5468">
      <c r="A5468">
        <f>TRIM(BASE_EQUIPOS!N5468)</f>
        <v/>
      </c>
      <c r="B5468">
        <f>BASE_EQUIPOS!A5468</f>
        <v/>
      </c>
      <c r="C5468">
        <f>BASE_EQUIPOS!B5468</f>
        <v/>
      </c>
      <c r="D5468">
        <f>BASE_EQUIPOS!D5468</f>
        <v/>
      </c>
      <c r="E5468">
        <f>BASE_EQUIPOS!G5468</f>
        <v/>
      </c>
      <c r="F5468">
        <f>BASE_EQUIPOS!H5468</f>
        <v/>
      </c>
      <c r="G5468">
        <f>BASE_EQUIPOS!M5468</f>
        <v/>
      </c>
    </row>
    <row r="5469">
      <c r="A5469">
        <f>TRIM(BASE_EQUIPOS!N5469)</f>
        <v/>
      </c>
      <c r="B5469">
        <f>BASE_EQUIPOS!A5469</f>
        <v/>
      </c>
      <c r="C5469">
        <f>BASE_EQUIPOS!B5469</f>
        <v/>
      </c>
      <c r="D5469">
        <f>BASE_EQUIPOS!D5469</f>
        <v/>
      </c>
      <c r="E5469">
        <f>BASE_EQUIPOS!G5469</f>
        <v/>
      </c>
      <c r="F5469">
        <f>BASE_EQUIPOS!H5469</f>
        <v/>
      </c>
      <c r="G5469">
        <f>BASE_EQUIPOS!M5469</f>
        <v/>
      </c>
    </row>
    <row r="5470">
      <c r="A5470">
        <f>TRIM(BASE_EQUIPOS!N5470)</f>
        <v/>
      </c>
      <c r="B5470">
        <f>BASE_EQUIPOS!A5470</f>
        <v/>
      </c>
      <c r="C5470">
        <f>BASE_EQUIPOS!B5470</f>
        <v/>
      </c>
      <c r="D5470">
        <f>BASE_EQUIPOS!D5470</f>
        <v/>
      </c>
      <c r="E5470">
        <f>BASE_EQUIPOS!G5470</f>
        <v/>
      </c>
      <c r="F5470">
        <f>BASE_EQUIPOS!H5470</f>
        <v/>
      </c>
      <c r="G5470">
        <f>BASE_EQUIPOS!M5470</f>
        <v/>
      </c>
    </row>
    <row r="5471">
      <c r="A5471">
        <f>TRIM(BASE_EQUIPOS!N5471)</f>
        <v/>
      </c>
      <c r="B5471">
        <f>BASE_EQUIPOS!A5471</f>
        <v/>
      </c>
      <c r="C5471">
        <f>BASE_EQUIPOS!B5471</f>
        <v/>
      </c>
      <c r="D5471">
        <f>BASE_EQUIPOS!D5471</f>
        <v/>
      </c>
      <c r="E5471">
        <f>BASE_EQUIPOS!G5471</f>
        <v/>
      </c>
      <c r="F5471">
        <f>BASE_EQUIPOS!H5471</f>
        <v/>
      </c>
      <c r="G5471">
        <f>BASE_EQUIPOS!M5471</f>
        <v/>
      </c>
    </row>
    <row r="5472">
      <c r="A5472">
        <f>TRIM(BASE_EQUIPOS!N5472)</f>
        <v/>
      </c>
      <c r="B5472">
        <f>BASE_EQUIPOS!A5472</f>
        <v/>
      </c>
      <c r="C5472">
        <f>BASE_EQUIPOS!B5472</f>
        <v/>
      </c>
      <c r="D5472">
        <f>BASE_EQUIPOS!D5472</f>
        <v/>
      </c>
      <c r="E5472">
        <f>BASE_EQUIPOS!G5472</f>
        <v/>
      </c>
      <c r="F5472">
        <f>BASE_EQUIPOS!H5472</f>
        <v/>
      </c>
      <c r="G5472">
        <f>BASE_EQUIPOS!M5472</f>
        <v/>
      </c>
    </row>
    <row r="5473">
      <c r="A5473">
        <f>TRIM(BASE_EQUIPOS!N5473)</f>
        <v/>
      </c>
      <c r="B5473">
        <f>BASE_EQUIPOS!A5473</f>
        <v/>
      </c>
      <c r="C5473">
        <f>BASE_EQUIPOS!B5473</f>
        <v/>
      </c>
      <c r="D5473">
        <f>BASE_EQUIPOS!D5473</f>
        <v/>
      </c>
      <c r="E5473">
        <f>BASE_EQUIPOS!G5473</f>
        <v/>
      </c>
      <c r="F5473">
        <f>BASE_EQUIPOS!H5473</f>
        <v/>
      </c>
      <c r="G5473">
        <f>BASE_EQUIPOS!M5473</f>
        <v/>
      </c>
    </row>
    <row r="5474">
      <c r="A5474">
        <f>TRIM(BASE_EQUIPOS!N5474)</f>
        <v/>
      </c>
      <c r="B5474">
        <f>BASE_EQUIPOS!A5474</f>
        <v/>
      </c>
      <c r="C5474">
        <f>BASE_EQUIPOS!B5474</f>
        <v/>
      </c>
      <c r="D5474">
        <f>BASE_EQUIPOS!D5474</f>
        <v/>
      </c>
      <c r="E5474">
        <f>BASE_EQUIPOS!G5474</f>
        <v/>
      </c>
      <c r="F5474">
        <f>BASE_EQUIPOS!H5474</f>
        <v/>
      </c>
      <c r="G5474">
        <f>BASE_EQUIPOS!M5474</f>
        <v/>
      </c>
    </row>
    <row r="5475">
      <c r="A5475">
        <f>TRIM(BASE_EQUIPOS!N5475)</f>
        <v/>
      </c>
      <c r="B5475">
        <f>BASE_EQUIPOS!A5475</f>
        <v/>
      </c>
      <c r="C5475">
        <f>BASE_EQUIPOS!B5475</f>
        <v/>
      </c>
      <c r="D5475">
        <f>BASE_EQUIPOS!D5475</f>
        <v/>
      </c>
      <c r="E5475">
        <f>BASE_EQUIPOS!G5475</f>
        <v/>
      </c>
      <c r="F5475">
        <f>BASE_EQUIPOS!H5475</f>
        <v/>
      </c>
      <c r="G5475">
        <f>BASE_EQUIPOS!M5475</f>
        <v/>
      </c>
    </row>
    <row r="5476">
      <c r="A5476">
        <f>TRIM(BASE_EQUIPOS!N5476)</f>
        <v/>
      </c>
      <c r="B5476">
        <f>BASE_EQUIPOS!A5476</f>
        <v/>
      </c>
      <c r="C5476">
        <f>BASE_EQUIPOS!B5476</f>
        <v/>
      </c>
      <c r="D5476">
        <f>BASE_EQUIPOS!D5476</f>
        <v/>
      </c>
      <c r="E5476">
        <f>BASE_EQUIPOS!G5476</f>
        <v/>
      </c>
      <c r="F5476">
        <f>BASE_EQUIPOS!H5476</f>
        <v/>
      </c>
      <c r="G5476">
        <f>BASE_EQUIPOS!M5476</f>
        <v/>
      </c>
    </row>
    <row r="5477">
      <c r="A5477">
        <f>TRIM(BASE_EQUIPOS!N5477)</f>
        <v/>
      </c>
      <c r="B5477">
        <f>BASE_EQUIPOS!A5477</f>
        <v/>
      </c>
      <c r="C5477">
        <f>BASE_EQUIPOS!B5477</f>
        <v/>
      </c>
      <c r="D5477">
        <f>BASE_EQUIPOS!D5477</f>
        <v/>
      </c>
      <c r="E5477">
        <f>BASE_EQUIPOS!G5477</f>
        <v/>
      </c>
      <c r="F5477">
        <f>BASE_EQUIPOS!H5477</f>
        <v/>
      </c>
      <c r="G5477">
        <f>BASE_EQUIPOS!M5477</f>
        <v/>
      </c>
    </row>
    <row r="5478">
      <c r="A5478">
        <f>TRIM(BASE_EQUIPOS!N5478)</f>
        <v/>
      </c>
      <c r="B5478">
        <f>BASE_EQUIPOS!A5478</f>
        <v/>
      </c>
      <c r="C5478">
        <f>BASE_EQUIPOS!B5478</f>
        <v/>
      </c>
      <c r="D5478">
        <f>BASE_EQUIPOS!D5478</f>
        <v/>
      </c>
      <c r="E5478">
        <f>BASE_EQUIPOS!G5478</f>
        <v/>
      </c>
      <c r="F5478">
        <f>BASE_EQUIPOS!H5478</f>
        <v/>
      </c>
      <c r="G5478">
        <f>BASE_EQUIPOS!M5478</f>
        <v/>
      </c>
    </row>
    <row r="5479">
      <c r="A5479">
        <f>TRIM(BASE_EQUIPOS!N5479)</f>
        <v/>
      </c>
      <c r="B5479">
        <f>BASE_EQUIPOS!A5479</f>
        <v/>
      </c>
      <c r="C5479">
        <f>BASE_EQUIPOS!B5479</f>
        <v/>
      </c>
      <c r="D5479">
        <f>BASE_EQUIPOS!D5479</f>
        <v/>
      </c>
      <c r="E5479">
        <f>BASE_EQUIPOS!G5479</f>
        <v/>
      </c>
      <c r="F5479">
        <f>BASE_EQUIPOS!H5479</f>
        <v/>
      </c>
      <c r="G5479">
        <f>BASE_EQUIPOS!M5479</f>
        <v/>
      </c>
    </row>
    <row r="5480">
      <c r="A5480">
        <f>TRIM(BASE_EQUIPOS!N5480)</f>
        <v/>
      </c>
      <c r="B5480">
        <f>BASE_EQUIPOS!A5480</f>
        <v/>
      </c>
      <c r="C5480">
        <f>BASE_EQUIPOS!B5480</f>
        <v/>
      </c>
      <c r="D5480">
        <f>BASE_EQUIPOS!D5480</f>
        <v/>
      </c>
      <c r="E5480">
        <f>BASE_EQUIPOS!G5480</f>
        <v/>
      </c>
      <c r="F5480">
        <f>BASE_EQUIPOS!H5480</f>
        <v/>
      </c>
      <c r="G5480">
        <f>BASE_EQUIPOS!M5480</f>
        <v/>
      </c>
    </row>
    <row r="5481">
      <c r="A5481">
        <f>TRIM(BASE_EQUIPOS!N5481)</f>
        <v/>
      </c>
      <c r="B5481">
        <f>BASE_EQUIPOS!A5481</f>
        <v/>
      </c>
      <c r="C5481">
        <f>BASE_EQUIPOS!B5481</f>
        <v/>
      </c>
      <c r="D5481">
        <f>BASE_EQUIPOS!D5481</f>
        <v/>
      </c>
      <c r="E5481">
        <f>BASE_EQUIPOS!G5481</f>
        <v/>
      </c>
      <c r="F5481">
        <f>BASE_EQUIPOS!H5481</f>
        <v/>
      </c>
      <c r="G5481">
        <f>BASE_EQUIPOS!M5481</f>
        <v/>
      </c>
    </row>
    <row r="5482">
      <c r="A5482">
        <f>TRIM(BASE_EQUIPOS!N5482)</f>
        <v/>
      </c>
      <c r="B5482">
        <f>BASE_EQUIPOS!A5482</f>
        <v/>
      </c>
      <c r="C5482">
        <f>BASE_EQUIPOS!B5482</f>
        <v/>
      </c>
      <c r="D5482">
        <f>BASE_EQUIPOS!D5482</f>
        <v/>
      </c>
      <c r="E5482">
        <f>BASE_EQUIPOS!G5482</f>
        <v/>
      </c>
      <c r="F5482">
        <f>BASE_EQUIPOS!H5482</f>
        <v/>
      </c>
      <c r="G5482">
        <f>BASE_EQUIPOS!M5482</f>
        <v/>
      </c>
    </row>
    <row r="5483">
      <c r="A5483">
        <f>TRIM(BASE_EQUIPOS!N5483)</f>
        <v/>
      </c>
      <c r="B5483">
        <f>BASE_EQUIPOS!A5483</f>
        <v/>
      </c>
      <c r="C5483">
        <f>BASE_EQUIPOS!B5483</f>
        <v/>
      </c>
      <c r="D5483">
        <f>BASE_EQUIPOS!D5483</f>
        <v/>
      </c>
      <c r="E5483">
        <f>BASE_EQUIPOS!G5483</f>
        <v/>
      </c>
      <c r="F5483">
        <f>BASE_EQUIPOS!H5483</f>
        <v/>
      </c>
      <c r="G5483">
        <f>BASE_EQUIPOS!M5483</f>
        <v/>
      </c>
    </row>
    <row r="5484">
      <c r="A5484">
        <f>TRIM(BASE_EQUIPOS!N5484)</f>
        <v/>
      </c>
      <c r="B5484">
        <f>BASE_EQUIPOS!A5484</f>
        <v/>
      </c>
      <c r="C5484">
        <f>BASE_EQUIPOS!B5484</f>
        <v/>
      </c>
      <c r="D5484">
        <f>BASE_EQUIPOS!D5484</f>
        <v/>
      </c>
      <c r="E5484">
        <f>BASE_EQUIPOS!G5484</f>
        <v/>
      </c>
      <c r="F5484">
        <f>BASE_EQUIPOS!H5484</f>
        <v/>
      </c>
      <c r="G5484">
        <f>BASE_EQUIPOS!M5484</f>
        <v/>
      </c>
    </row>
    <row r="5485">
      <c r="A5485">
        <f>TRIM(BASE_EQUIPOS!N5485)</f>
        <v/>
      </c>
      <c r="B5485">
        <f>BASE_EQUIPOS!A5485</f>
        <v/>
      </c>
      <c r="C5485">
        <f>BASE_EQUIPOS!B5485</f>
        <v/>
      </c>
      <c r="D5485">
        <f>BASE_EQUIPOS!D5485</f>
        <v/>
      </c>
      <c r="E5485">
        <f>BASE_EQUIPOS!G5485</f>
        <v/>
      </c>
      <c r="F5485">
        <f>BASE_EQUIPOS!H5485</f>
        <v/>
      </c>
      <c r="G5485">
        <f>BASE_EQUIPOS!M5485</f>
        <v/>
      </c>
    </row>
    <row r="5486">
      <c r="A5486">
        <f>TRIM(BASE_EQUIPOS!N5486)</f>
        <v/>
      </c>
      <c r="B5486">
        <f>BASE_EQUIPOS!A5486</f>
        <v/>
      </c>
      <c r="C5486">
        <f>BASE_EQUIPOS!B5486</f>
        <v/>
      </c>
      <c r="D5486">
        <f>BASE_EQUIPOS!D5486</f>
        <v/>
      </c>
      <c r="E5486">
        <f>BASE_EQUIPOS!G5486</f>
        <v/>
      </c>
      <c r="F5486">
        <f>BASE_EQUIPOS!H5486</f>
        <v/>
      </c>
      <c r="G5486">
        <f>BASE_EQUIPOS!M5486</f>
        <v/>
      </c>
    </row>
    <row r="5487">
      <c r="A5487">
        <f>TRIM(BASE_EQUIPOS!N5487)</f>
        <v/>
      </c>
      <c r="B5487">
        <f>BASE_EQUIPOS!A5487</f>
        <v/>
      </c>
      <c r="C5487">
        <f>BASE_EQUIPOS!B5487</f>
        <v/>
      </c>
      <c r="D5487">
        <f>BASE_EQUIPOS!D5487</f>
        <v/>
      </c>
      <c r="E5487">
        <f>BASE_EQUIPOS!G5487</f>
        <v/>
      </c>
      <c r="F5487">
        <f>BASE_EQUIPOS!H5487</f>
        <v/>
      </c>
      <c r="G5487">
        <f>BASE_EQUIPOS!M5487</f>
        <v/>
      </c>
    </row>
    <row r="5488">
      <c r="A5488">
        <f>TRIM(BASE_EQUIPOS!N5488)</f>
        <v/>
      </c>
      <c r="B5488">
        <f>BASE_EQUIPOS!A5488</f>
        <v/>
      </c>
      <c r="C5488">
        <f>BASE_EQUIPOS!B5488</f>
        <v/>
      </c>
      <c r="D5488">
        <f>BASE_EQUIPOS!D5488</f>
        <v/>
      </c>
      <c r="E5488">
        <f>BASE_EQUIPOS!G5488</f>
        <v/>
      </c>
      <c r="F5488">
        <f>BASE_EQUIPOS!H5488</f>
        <v/>
      </c>
      <c r="G5488">
        <f>BASE_EQUIPOS!M5488</f>
        <v/>
      </c>
    </row>
    <row r="5489">
      <c r="A5489">
        <f>TRIM(BASE_EQUIPOS!N5489)</f>
        <v/>
      </c>
      <c r="B5489">
        <f>BASE_EQUIPOS!A5489</f>
        <v/>
      </c>
      <c r="C5489">
        <f>BASE_EQUIPOS!B5489</f>
        <v/>
      </c>
      <c r="D5489">
        <f>BASE_EQUIPOS!D5489</f>
        <v/>
      </c>
      <c r="E5489">
        <f>BASE_EQUIPOS!G5489</f>
        <v/>
      </c>
      <c r="F5489">
        <f>BASE_EQUIPOS!H5489</f>
        <v/>
      </c>
      <c r="G5489">
        <f>BASE_EQUIPOS!M5489</f>
        <v/>
      </c>
    </row>
    <row r="5490">
      <c r="A5490">
        <f>TRIM(BASE_EQUIPOS!N5490)</f>
        <v/>
      </c>
      <c r="B5490">
        <f>BASE_EQUIPOS!A5490</f>
        <v/>
      </c>
      <c r="C5490">
        <f>BASE_EQUIPOS!B5490</f>
        <v/>
      </c>
      <c r="D5490">
        <f>BASE_EQUIPOS!D5490</f>
        <v/>
      </c>
      <c r="E5490">
        <f>BASE_EQUIPOS!G5490</f>
        <v/>
      </c>
      <c r="F5490">
        <f>BASE_EQUIPOS!H5490</f>
        <v/>
      </c>
      <c r="G5490">
        <f>BASE_EQUIPOS!M5490</f>
        <v/>
      </c>
    </row>
    <row r="5491">
      <c r="A5491">
        <f>TRIM(BASE_EQUIPOS!N5491)</f>
        <v/>
      </c>
      <c r="B5491">
        <f>BASE_EQUIPOS!A5491</f>
        <v/>
      </c>
      <c r="C5491">
        <f>BASE_EQUIPOS!B5491</f>
        <v/>
      </c>
      <c r="D5491">
        <f>BASE_EQUIPOS!D5491</f>
        <v/>
      </c>
      <c r="E5491">
        <f>BASE_EQUIPOS!G5491</f>
        <v/>
      </c>
      <c r="F5491">
        <f>BASE_EQUIPOS!H5491</f>
        <v/>
      </c>
      <c r="G5491">
        <f>BASE_EQUIPOS!M5491</f>
        <v/>
      </c>
    </row>
    <row r="5492">
      <c r="A5492">
        <f>TRIM(BASE_EQUIPOS!N5492)</f>
        <v/>
      </c>
      <c r="B5492">
        <f>BASE_EQUIPOS!A5492</f>
        <v/>
      </c>
      <c r="C5492">
        <f>BASE_EQUIPOS!B5492</f>
        <v/>
      </c>
      <c r="D5492">
        <f>BASE_EQUIPOS!D5492</f>
        <v/>
      </c>
      <c r="E5492">
        <f>BASE_EQUIPOS!G5492</f>
        <v/>
      </c>
      <c r="F5492">
        <f>BASE_EQUIPOS!H5492</f>
        <v/>
      </c>
      <c r="G5492">
        <f>BASE_EQUIPOS!M5492</f>
        <v/>
      </c>
    </row>
    <row r="5493">
      <c r="A5493">
        <f>TRIM(BASE_EQUIPOS!N5493)</f>
        <v/>
      </c>
      <c r="B5493">
        <f>BASE_EQUIPOS!A5493</f>
        <v/>
      </c>
      <c r="C5493">
        <f>BASE_EQUIPOS!B5493</f>
        <v/>
      </c>
      <c r="D5493">
        <f>BASE_EQUIPOS!D5493</f>
        <v/>
      </c>
      <c r="E5493">
        <f>BASE_EQUIPOS!G5493</f>
        <v/>
      </c>
      <c r="F5493">
        <f>BASE_EQUIPOS!H5493</f>
        <v/>
      </c>
      <c r="G5493">
        <f>BASE_EQUIPOS!M5493</f>
        <v/>
      </c>
    </row>
    <row r="5494">
      <c r="A5494">
        <f>TRIM(BASE_EQUIPOS!N5494)</f>
        <v/>
      </c>
      <c r="B5494">
        <f>BASE_EQUIPOS!A5494</f>
        <v/>
      </c>
      <c r="C5494">
        <f>BASE_EQUIPOS!B5494</f>
        <v/>
      </c>
      <c r="D5494">
        <f>BASE_EQUIPOS!D5494</f>
        <v/>
      </c>
      <c r="E5494">
        <f>BASE_EQUIPOS!G5494</f>
        <v/>
      </c>
      <c r="F5494">
        <f>BASE_EQUIPOS!H5494</f>
        <v/>
      </c>
      <c r="G5494">
        <f>BASE_EQUIPOS!M5494</f>
        <v/>
      </c>
    </row>
    <row r="5495">
      <c r="A5495">
        <f>TRIM(BASE_EQUIPOS!N5495)</f>
        <v/>
      </c>
      <c r="B5495">
        <f>BASE_EQUIPOS!A5495</f>
        <v/>
      </c>
      <c r="C5495">
        <f>BASE_EQUIPOS!B5495</f>
        <v/>
      </c>
      <c r="D5495">
        <f>BASE_EQUIPOS!D5495</f>
        <v/>
      </c>
      <c r="E5495">
        <f>BASE_EQUIPOS!G5495</f>
        <v/>
      </c>
      <c r="F5495">
        <f>BASE_EQUIPOS!H5495</f>
        <v/>
      </c>
      <c r="G5495">
        <f>BASE_EQUIPOS!M5495</f>
        <v/>
      </c>
    </row>
    <row r="5496">
      <c r="A5496">
        <f>TRIM(BASE_EQUIPOS!N5496)</f>
        <v/>
      </c>
      <c r="B5496">
        <f>BASE_EQUIPOS!A5496</f>
        <v/>
      </c>
      <c r="C5496">
        <f>BASE_EQUIPOS!B5496</f>
        <v/>
      </c>
      <c r="D5496">
        <f>BASE_EQUIPOS!D5496</f>
        <v/>
      </c>
      <c r="E5496">
        <f>BASE_EQUIPOS!G5496</f>
        <v/>
      </c>
      <c r="F5496">
        <f>BASE_EQUIPOS!H5496</f>
        <v/>
      </c>
      <c r="G5496">
        <f>BASE_EQUIPOS!M5496</f>
        <v/>
      </c>
    </row>
    <row r="5497">
      <c r="A5497">
        <f>TRIM(BASE_EQUIPOS!N5497)</f>
        <v/>
      </c>
      <c r="B5497">
        <f>BASE_EQUIPOS!A5497</f>
        <v/>
      </c>
      <c r="C5497">
        <f>BASE_EQUIPOS!B5497</f>
        <v/>
      </c>
      <c r="D5497">
        <f>BASE_EQUIPOS!D5497</f>
        <v/>
      </c>
      <c r="E5497">
        <f>BASE_EQUIPOS!G5497</f>
        <v/>
      </c>
      <c r="F5497">
        <f>BASE_EQUIPOS!H5497</f>
        <v/>
      </c>
      <c r="G5497">
        <f>BASE_EQUIPOS!M5497</f>
        <v/>
      </c>
    </row>
    <row r="5498">
      <c r="A5498">
        <f>TRIM(BASE_EQUIPOS!N5498)</f>
        <v/>
      </c>
      <c r="B5498">
        <f>BASE_EQUIPOS!A5498</f>
        <v/>
      </c>
      <c r="C5498">
        <f>BASE_EQUIPOS!B5498</f>
        <v/>
      </c>
      <c r="D5498">
        <f>BASE_EQUIPOS!D5498</f>
        <v/>
      </c>
      <c r="E5498">
        <f>BASE_EQUIPOS!G5498</f>
        <v/>
      </c>
      <c r="F5498">
        <f>BASE_EQUIPOS!H5498</f>
        <v/>
      </c>
      <c r="G5498">
        <f>BASE_EQUIPOS!M5498</f>
        <v/>
      </c>
    </row>
    <row r="5499">
      <c r="A5499">
        <f>TRIM(BASE_EQUIPOS!N5499)</f>
        <v/>
      </c>
      <c r="B5499">
        <f>BASE_EQUIPOS!A5499</f>
        <v/>
      </c>
      <c r="C5499">
        <f>BASE_EQUIPOS!B5499</f>
        <v/>
      </c>
      <c r="D5499">
        <f>BASE_EQUIPOS!D5499</f>
        <v/>
      </c>
      <c r="E5499">
        <f>BASE_EQUIPOS!G5499</f>
        <v/>
      </c>
      <c r="F5499">
        <f>BASE_EQUIPOS!H5499</f>
        <v/>
      </c>
      <c r="G5499">
        <f>BASE_EQUIPOS!M5499</f>
        <v/>
      </c>
    </row>
    <row r="5500">
      <c r="A5500">
        <f>TRIM(BASE_EQUIPOS!N5500)</f>
        <v/>
      </c>
      <c r="B5500">
        <f>BASE_EQUIPOS!A5500</f>
        <v/>
      </c>
      <c r="C5500">
        <f>BASE_EQUIPOS!B5500</f>
        <v/>
      </c>
      <c r="D5500">
        <f>BASE_EQUIPOS!D5500</f>
        <v/>
      </c>
      <c r="E5500">
        <f>BASE_EQUIPOS!G5500</f>
        <v/>
      </c>
      <c r="F5500">
        <f>BASE_EQUIPOS!H5500</f>
        <v/>
      </c>
      <c r="G5500">
        <f>BASE_EQUIPOS!M5500</f>
        <v/>
      </c>
    </row>
    <row r="5501">
      <c r="A5501">
        <f>TRIM(BASE_EQUIPOS!N5501)</f>
        <v/>
      </c>
      <c r="B5501">
        <f>BASE_EQUIPOS!A5501</f>
        <v/>
      </c>
      <c r="C5501">
        <f>BASE_EQUIPOS!B5501</f>
        <v/>
      </c>
      <c r="D5501">
        <f>BASE_EQUIPOS!D5501</f>
        <v/>
      </c>
      <c r="E5501">
        <f>BASE_EQUIPOS!G5501</f>
        <v/>
      </c>
      <c r="F5501">
        <f>BASE_EQUIPOS!H5501</f>
        <v/>
      </c>
      <c r="G5501">
        <f>BASE_EQUIPOS!M5501</f>
        <v/>
      </c>
    </row>
    <row r="5502">
      <c r="A5502">
        <f>TRIM(BASE_EQUIPOS!N5502)</f>
        <v/>
      </c>
      <c r="B5502">
        <f>BASE_EQUIPOS!A5502</f>
        <v/>
      </c>
      <c r="C5502">
        <f>BASE_EQUIPOS!B5502</f>
        <v/>
      </c>
      <c r="D5502">
        <f>BASE_EQUIPOS!D5502</f>
        <v/>
      </c>
      <c r="E5502">
        <f>BASE_EQUIPOS!G5502</f>
        <v/>
      </c>
      <c r="F5502">
        <f>BASE_EQUIPOS!H5502</f>
        <v/>
      </c>
      <c r="G5502">
        <f>BASE_EQUIPOS!M5502</f>
        <v/>
      </c>
    </row>
    <row r="5503">
      <c r="A5503">
        <f>TRIM(BASE_EQUIPOS!N5503)</f>
        <v/>
      </c>
      <c r="B5503">
        <f>BASE_EQUIPOS!A5503</f>
        <v/>
      </c>
      <c r="C5503">
        <f>BASE_EQUIPOS!B5503</f>
        <v/>
      </c>
      <c r="D5503">
        <f>BASE_EQUIPOS!D5503</f>
        <v/>
      </c>
      <c r="E5503">
        <f>BASE_EQUIPOS!G5503</f>
        <v/>
      </c>
      <c r="F5503">
        <f>BASE_EQUIPOS!H5503</f>
        <v/>
      </c>
      <c r="G5503">
        <f>BASE_EQUIPOS!M5503</f>
        <v/>
      </c>
    </row>
    <row r="5504">
      <c r="A5504">
        <f>TRIM(BASE_EQUIPOS!N5504)</f>
        <v/>
      </c>
      <c r="B5504">
        <f>BASE_EQUIPOS!A5504</f>
        <v/>
      </c>
      <c r="C5504">
        <f>BASE_EQUIPOS!B5504</f>
        <v/>
      </c>
      <c r="D5504">
        <f>BASE_EQUIPOS!D5504</f>
        <v/>
      </c>
      <c r="E5504">
        <f>BASE_EQUIPOS!G5504</f>
        <v/>
      </c>
      <c r="F5504">
        <f>BASE_EQUIPOS!H5504</f>
        <v/>
      </c>
      <c r="G5504">
        <f>BASE_EQUIPOS!M5504</f>
        <v/>
      </c>
    </row>
    <row r="5505">
      <c r="A5505">
        <f>TRIM(BASE_EQUIPOS!N5505)</f>
        <v/>
      </c>
      <c r="B5505">
        <f>BASE_EQUIPOS!A5505</f>
        <v/>
      </c>
      <c r="C5505">
        <f>BASE_EQUIPOS!B5505</f>
        <v/>
      </c>
      <c r="D5505">
        <f>BASE_EQUIPOS!D5505</f>
        <v/>
      </c>
      <c r="E5505">
        <f>BASE_EQUIPOS!G5505</f>
        <v/>
      </c>
      <c r="F5505">
        <f>BASE_EQUIPOS!H5505</f>
        <v/>
      </c>
      <c r="G5505">
        <f>BASE_EQUIPOS!M5505</f>
        <v/>
      </c>
    </row>
    <row r="5506">
      <c r="A5506">
        <f>TRIM(BASE_EQUIPOS!N5506)</f>
        <v/>
      </c>
      <c r="B5506">
        <f>BASE_EQUIPOS!A5506</f>
        <v/>
      </c>
      <c r="C5506">
        <f>BASE_EQUIPOS!B5506</f>
        <v/>
      </c>
      <c r="D5506">
        <f>BASE_EQUIPOS!D5506</f>
        <v/>
      </c>
      <c r="E5506">
        <f>BASE_EQUIPOS!G5506</f>
        <v/>
      </c>
      <c r="F5506">
        <f>BASE_EQUIPOS!H5506</f>
        <v/>
      </c>
      <c r="G5506">
        <f>BASE_EQUIPOS!M5506</f>
        <v/>
      </c>
    </row>
    <row r="5507">
      <c r="A5507">
        <f>TRIM(BASE_EQUIPOS!N5507)</f>
        <v/>
      </c>
      <c r="B5507">
        <f>BASE_EQUIPOS!A5507</f>
        <v/>
      </c>
      <c r="C5507">
        <f>BASE_EQUIPOS!B5507</f>
        <v/>
      </c>
      <c r="D5507">
        <f>BASE_EQUIPOS!D5507</f>
        <v/>
      </c>
      <c r="E5507">
        <f>BASE_EQUIPOS!G5507</f>
        <v/>
      </c>
      <c r="F5507">
        <f>BASE_EQUIPOS!H5507</f>
        <v/>
      </c>
      <c r="G5507">
        <f>BASE_EQUIPOS!M5507</f>
        <v/>
      </c>
    </row>
    <row r="5508">
      <c r="A5508">
        <f>TRIM(BASE_EQUIPOS!N5508)</f>
        <v/>
      </c>
      <c r="B5508">
        <f>BASE_EQUIPOS!A5508</f>
        <v/>
      </c>
      <c r="C5508">
        <f>BASE_EQUIPOS!B5508</f>
        <v/>
      </c>
      <c r="D5508">
        <f>BASE_EQUIPOS!D5508</f>
        <v/>
      </c>
      <c r="E5508">
        <f>BASE_EQUIPOS!G5508</f>
        <v/>
      </c>
      <c r="F5508">
        <f>BASE_EQUIPOS!H5508</f>
        <v/>
      </c>
      <c r="G5508">
        <f>BASE_EQUIPOS!M5508</f>
        <v/>
      </c>
    </row>
    <row r="5509">
      <c r="A5509">
        <f>TRIM(BASE_EQUIPOS!N5509)</f>
        <v/>
      </c>
      <c r="B5509">
        <f>BASE_EQUIPOS!A5509</f>
        <v/>
      </c>
      <c r="C5509">
        <f>BASE_EQUIPOS!B5509</f>
        <v/>
      </c>
      <c r="D5509">
        <f>BASE_EQUIPOS!D5509</f>
        <v/>
      </c>
      <c r="E5509">
        <f>BASE_EQUIPOS!G5509</f>
        <v/>
      </c>
      <c r="F5509">
        <f>BASE_EQUIPOS!H5509</f>
        <v/>
      </c>
      <c r="G5509">
        <f>BASE_EQUIPOS!M5509</f>
        <v/>
      </c>
    </row>
    <row r="5510">
      <c r="A5510">
        <f>TRIM(BASE_EQUIPOS!N5510)</f>
        <v/>
      </c>
      <c r="B5510">
        <f>BASE_EQUIPOS!A5510</f>
        <v/>
      </c>
      <c r="C5510">
        <f>BASE_EQUIPOS!B5510</f>
        <v/>
      </c>
      <c r="D5510">
        <f>BASE_EQUIPOS!D5510</f>
        <v/>
      </c>
      <c r="E5510">
        <f>BASE_EQUIPOS!G5510</f>
        <v/>
      </c>
      <c r="F5510">
        <f>BASE_EQUIPOS!H5510</f>
        <v/>
      </c>
      <c r="G5510">
        <f>BASE_EQUIPOS!M5510</f>
        <v/>
      </c>
    </row>
    <row r="5511">
      <c r="A5511">
        <f>TRIM(BASE_EQUIPOS!N5511)</f>
        <v/>
      </c>
      <c r="B5511">
        <f>BASE_EQUIPOS!A5511</f>
        <v/>
      </c>
      <c r="C5511">
        <f>BASE_EQUIPOS!B5511</f>
        <v/>
      </c>
      <c r="D5511">
        <f>BASE_EQUIPOS!D5511</f>
        <v/>
      </c>
      <c r="E5511">
        <f>BASE_EQUIPOS!G5511</f>
        <v/>
      </c>
      <c r="F5511">
        <f>BASE_EQUIPOS!H5511</f>
        <v/>
      </c>
      <c r="G5511">
        <f>BASE_EQUIPOS!M5511</f>
        <v/>
      </c>
    </row>
    <row r="5512">
      <c r="A5512">
        <f>TRIM(BASE_EQUIPOS!N5512)</f>
        <v/>
      </c>
      <c r="B5512">
        <f>BASE_EQUIPOS!A5512</f>
        <v/>
      </c>
      <c r="C5512">
        <f>BASE_EQUIPOS!B5512</f>
        <v/>
      </c>
      <c r="D5512">
        <f>BASE_EQUIPOS!D5512</f>
        <v/>
      </c>
      <c r="E5512">
        <f>BASE_EQUIPOS!G5512</f>
        <v/>
      </c>
      <c r="F5512">
        <f>BASE_EQUIPOS!H5512</f>
        <v/>
      </c>
      <c r="G5512">
        <f>BASE_EQUIPOS!M5512</f>
        <v/>
      </c>
    </row>
    <row r="5513">
      <c r="A5513">
        <f>TRIM(BASE_EQUIPOS!N5513)</f>
        <v/>
      </c>
      <c r="B5513">
        <f>BASE_EQUIPOS!A5513</f>
        <v/>
      </c>
      <c r="C5513">
        <f>BASE_EQUIPOS!B5513</f>
        <v/>
      </c>
      <c r="D5513">
        <f>BASE_EQUIPOS!D5513</f>
        <v/>
      </c>
      <c r="E5513">
        <f>BASE_EQUIPOS!G5513</f>
        <v/>
      </c>
      <c r="F5513">
        <f>BASE_EQUIPOS!H5513</f>
        <v/>
      </c>
      <c r="G5513">
        <f>BASE_EQUIPOS!M5513</f>
        <v/>
      </c>
    </row>
    <row r="5514">
      <c r="A5514">
        <f>TRIM(BASE_EQUIPOS!N5514)</f>
        <v/>
      </c>
      <c r="B5514">
        <f>BASE_EQUIPOS!A5514</f>
        <v/>
      </c>
      <c r="C5514">
        <f>BASE_EQUIPOS!B5514</f>
        <v/>
      </c>
      <c r="D5514">
        <f>BASE_EQUIPOS!D5514</f>
        <v/>
      </c>
      <c r="E5514">
        <f>BASE_EQUIPOS!G5514</f>
        <v/>
      </c>
      <c r="F5514">
        <f>BASE_EQUIPOS!H5514</f>
        <v/>
      </c>
      <c r="G5514">
        <f>BASE_EQUIPOS!M5514</f>
        <v/>
      </c>
    </row>
    <row r="5515">
      <c r="A5515">
        <f>TRIM(BASE_EQUIPOS!N5515)</f>
        <v/>
      </c>
      <c r="B5515">
        <f>BASE_EQUIPOS!A5515</f>
        <v/>
      </c>
      <c r="C5515">
        <f>BASE_EQUIPOS!B5515</f>
        <v/>
      </c>
      <c r="D5515">
        <f>BASE_EQUIPOS!D5515</f>
        <v/>
      </c>
      <c r="E5515">
        <f>BASE_EQUIPOS!G5515</f>
        <v/>
      </c>
      <c r="F5515">
        <f>BASE_EQUIPOS!H5515</f>
        <v/>
      </c>
      <c r="G5515">
        <f>BASE_EQUIPOS!M5515</f>
        <v/>
      </c>
    </row>
    <row r="5516">
      <c r="A5516">
        <f>TRIM(BASE_EQUIPOS!N5516)</f>
        <v/>
      </c>
      <c r="B5516">
        <f>BASE_EQUIPOS!A5516</f>
        <v/>
      </c>
      <c r="C5516">
        <f>BASE_EQUIPOS!B5516</f>
        <v/>
      </c>
      <c r="D5516">
        <f>BASE_EQUIPOS!D5516</f>
        <v/>
      </c>
      <c r="E5516">
        <f>BASE_EQUIPOS!G5516</f>
        <v/>
      </c>
      <c r="F5516">
        <f>BASE_EQUIPOS!H5516</f>
        <v/>
      </c>
      <c r="G5516">
        <f>BASE_EQUIPOS!M5516</f>
        <v/>
      </c>
    </row>
    <row r="5517">
      <c r="A5517">
        <f>TRIM(BASE_EQUIPOS!N5517)</f>
        <v/>
      </c>
      <c r="B5517">
        <f>BASE_EQUIPOS!A5517</f>
        <v/>
      </c>
      <c r="C5517">
        <f>BASE_EQUIPOS!B5517</f>
        <v/>
      </c>
      <c r="D5517">
        <f>BASE_EQUIPOS!D5517</f>
        <v/>
      </c>
      <c r="E5517">
        <f>BASE_EQUIPOS!G5517</f>
        <v/>
      </c>
      <c r="F5517">
        <f>BASE_EQUIPOS!H5517</f>
        <v/>
      </c>
      <c r="G5517">
        <f>BASE_EQUIPOS!M5517</f>
        <v/>
      </c>
    </row>
    <row r="5518">
      <c r="A5518">
        <f>TRIM(BASE_EQUIPOS!N5518)</f>
        <v/>
      </c>
      <c r="B5518">
        <f>BASE_EQUIPOS!A5518</f>
        <v/>
      </c>
      <c r="C5518">
        <f>BASE_EQUIPOS!B5518</f>
        <v/>
      </c>
      <c r="D5518">
        <f>BASE_EQUIPOS!D5518</f>
        <v/>
      </c>
      <c r="E5518">
        <f>BASE_EQUIPOS!G5518</f>
        <v/>
      </c>
      <c r="F5518">
        <f>BASE_EQUIPOS!H5518</f>
        <v/>
      </c>
      <c r="G5518">
        <f>BASE_EQUIPOS!M5518</f>
        <v/>
      </c>
    </row>
    <row r="5519">
      <c r="A5519">
        <f>TRIM(BASE_EQUIPOS!N5519)</f>
        <v/>
      </c>
      <c r="B5519">
        <f>BASE_EQUIPOS!A5519</f>
        <v/>
      </c>
      <c r="C5519">
        <f>BASE_EQUIPOS!B5519</f>
        <v/>
      </c>
      <c r="D5519">
        <f>BASE_EQUIPOS!D5519</f>
        <v/>
      </c>
      <c r="E5519">
        <f>BASE_EQUIPOS!G5519</f>
        <v/>
      </c>
      <c r="F5519">
        <f>BASE_EQUIPOS!H5519</f>
        <v/>
      </c>
      <c r="G5519">
        <f>BASE_EQUIPOS!M5519</f>
        <v/>
      </c>
    </row>
    <row r="5520">
      <c r="A5520">
        <f>TRIM(BASE_EQUIPOS!N5520)</f>
        <v/>
      </c>
      <c r="B5520">
        <f>BASE_EQUIPOS!A5520</f>
        <v/>
      </c>
      <c r="C5520">
        <f>BASE_EQUIPOS!B5520</f>
        <v/>
      </c>
      <c r="D5520">
        <f>BASE_EQUIPOS!D5520</f>
        <v/>
      </c>
      <c r="E5520">
        <f>BASE_EQUIPOS!G5520</f>
        <v/>
      </c>
      <c r="F5520">
        <f>BASE_EQUIPOS!H5520</f>
        <v/>
      </c>
      <c r="G5520">
        <f>BASE_EQUIPOS!M5520</f>
        <v/>
      </c>
    </row>
    <row r="5521">
      <c r="A5521">
        <f>TRIM(BASE_EQUIPOS!N5521)</f>
        <v/>
      </c>
      <c r="B5521">
        <f>BASE_EQUIPOS!A5521</f>
        <v/>
      </c>
      <c r="C5521">
        <f>BASE_EQUIPOS!B5521</f>
        <v/>
      </c>
      <c r="D5521">
        <f>BASE_EQUIPOS!D5521</f>
        <v/>
      </c>
      <c r="E5521">
        <f>BASE_EQUIPOS!G5521</f>
        <v/>
      </c>
      <c r="F5521">
        <f>BASE_EQUIPOS!H5521</f>
        <v/>
      </c>
      <c r="G5521">
        <f>BASE_EQUIPOS!M5521</f>
        <v/>
      </c>
    </row>
    <row r="5522">
      <c r="A5522">
        <f>TRIM(BASE_EQUIPOS!N5522)</f>
        <v/>
      </c>
      <c r="B5522">
        <f>BASE_EQUIPOS!A5522</f>
        <v/>
      </c>
      <c r="C5522">
        <f>BASE_EQUIPOS!B5522</f>
        <v/>
      </c>
      <c r="D5522">
        <f>BASE_EQUIPOS!D5522</f>
        <v/>
      </c>
      <c r="E5522">
        <f>BASE_EQUIPOS!G5522</f>
        <v/>
      </c>
      <c r="F5522">
        <f>BASE_EQUIPOS!H5522</f>
        <v/>
      </c>
      <c r="G5522">
        <f>BASE_EQUIPOS!M5522</f>
        <v/>
      </c>
    </row>
    <row r="5523">
      <c r="A5523">
        <f>TRIM(BASE_EQUIPOS!N5523)</f>
        <v/>
      </c>
      <c r="B5523">
        <f>BASE_EQUIPOS!A5523</f>
        <v/>
      </c>
      <c r="C5523">
        <f>BASE_EQUIPOS!B5523</f>
        <v/>
      </c>
      <c r="D5523">
        <f>BASE_EQUIPOS!D5523</f>
        <v/>
      </c>
      <c r="E5523">
        <f>BASE_EQUIPOS!G5523</f>
        <v/>
      </c>
      <c r="F5523">
        <f>BASE_EQUIPOS!H5523</f>
        <v/>
      </c>
      <c r="G5523">
        <f>BASE_EQUIPOS!M5523</f>
        <v/>
      </c>
    </row>
    <row r="5524">
      <c r="A5524">
        <f>TRIM(BASE_EQUIPOS!N5524)</f>
        <v/>
      </c>
      <c r="B5524">
        <f>BASE_EQUIPOS!A5524</f>
        <v/>
      </c>
      <c r="C5524">
        <f>BASE_EQUIPOS!B5524</f>
        <v/>
      </c>
      <c r="D5524">
        <f>BASE_EQUIPOS!D5524</f>
        <v/>
      </c>
      <c r="E5524">
        <f>BASE_EQUIPOS!G5524</f>
        <v/>
      </c>
      <c r="F5524">
        <f>BASE_EQUIPOS!H5524</f>
        <v/>
      </c>
      <c r="G5524">
        <f>BASE_EQUIPOS!M5524</f>
        <v/>
      </c>
    </row>
    <row r="5525">
      <c r="A5525">
        <f>TRIM(BASE_EQUIPOS!N5525)</f>
        <v/>
      </c>
      <c r="B5525">
        <f>BASE_EQUIPOS!A5525</f>
        <v/>
      </c>
      <c r="C5525">
        <f>BASE_EQUIPOS!B5525</f>
        <v/>
      </c>
      <c r="D5525">
        <f>BASE_EQUIPOS!D5525</f>
        <v/>
      </c>
      <c r="E5525">
        <f>BASE_EQUIPOS!G5525</f>
        <v/>
      </c>
      <c r="F5525">
        <f>BASE_EQUIPOS!H5525</f>
        <v/>
      </c>
      <c r="G5525">
        <f>BASE_EQUIPOS!M5525</f>
        <v/>
      </c>
    </row>
    <row r="5526">
      <c r="A5526">
        <f>TRIM(BASE_EQUIPOS!N5526)</f>
        <v/>
      </c>
      <c r="B5526">
        <f>BASE_EQUIPOS!A5526</f>
        <v/>
      </c>
      <c r="C5526">
        <f>BASE_EQUIPOS!B5526</f>
        <v/>
      </c>
      <c r="D5526">
        <f>BASE_EQUIPOS!D5526</f>
        <v/>
      </c>
      <c r="E5526">
        <f>BASE_EQUIPOS!G5526</f>
        <v/>
      </c>
      <c r="F5526">
        <f>BASE_EQUIPOS!H5526</f>
        <v/>
      </c>
      <c r="G5526">
        <f>BASE_EQUIPOS!M5526</f>
        <v/>
      </c>
    </row>
    <row r="5527">
      <c r="A5527">
        <f>TRIM(BASE_EQUIPOS!N5527)</f>
        <v/>
      </c>
      <c r="B5527">
        <f>BASE_EQUIPOS!A5527</f>
        <v/>
      </c>
      <c r="C5527">
        <f>BASE_EQUIPOS!B5527</f>
        <v/>
      </c>
      <c r="D5527">
        <f>BASE_EQUIPOS!D5527</f>
        <v/>
      </c>
      <c r="E5527">
        <f>BASE_EQUIPOS!G5527</f>
        <v/>
      </c>
      <c r="F5527">
        <f>BASE_EQUIPOS!H5527</f>
        <v/>
      </c>
      <c r="G5527">
        <f>BASE_EQUIPOS!M5527</f>
        <v/>
      </c>
    </row>
    <row r="5528">
      <c r="A5528">
        <f>TRIM(BASE_EQUIPOS!N5528)</f>
        <v/>
      </c>
      <c r="B5528">
        <f>BASE_EQUIPOS!A5528</f>
        <v/>
      </c>
      <c r="C5528">
        <f>BASE_EQUIPOS!B5528</f>
        <v/>
      </c>
      <c r="D5528">
        <f>BASE_EQUIPOS!D5528</f>
        <v/>
      </c>
      <c r="E5528">
        <f>BASE_EQUIPOS!G5528</f>
        <v/>
      </c>
      <c r="F5528">
        <f>BASE_EQUIPOS!H5528</f>
        <v/>
      </c>
      <c r="G5528">
        <f>BASE_EQUIPOS!M5528</f>
        <v/>
      </c>
    </row>
    <row r="5529">
      <c r="A5529">
        <f>TRIM(BASE_EQUIPOS!N5529)</f>
        <v/>
      </c>
      <c r="B5529">
        <f>BASE_EQUIPOS!A5529</f>
        <v/>
      </c>
      <c r="C5529">
        <f>BASE_EQUIPOS!B5529</f>
        <v/>
      </c>
      <c r="D5529">
        <f>BASE_EQUIPOS!D5529</f>
        <v/>
      </c>
      <c r="E5529">
        <f>BASE_EQUIPOS!G5529</f>
        <v/>
      </c>
      <c r="F5529">
        <f>BASE_EQUIPOS!H5529</f>
        <v/>
      </c>
      <c r="G5529">
        <f>BASE_EQUIPOS!M5529</f>
        <v/>
      </c>
    </row>
    <row r="5530">
      <c r="A5530">
        <f>TRIM(BASE_EQUIPOS!N5530)</f>
        <v/>
      </c>
      <c r="B5530">
        <f>BASE_EQUIPOS!A5530</f>
        <v/>
      </c>
      <c r="C5530">
        <f>BASE_EQUIPOS!B5530</f>
        <v/>
      </c>
      <c r="D5530">
        <f>BASE_EQUIPOS!D5530</f>
        <v/>
      </c>
      <c r="E5530">
        <f>BASE_EQUIPOS!G5530</f>
        <v/>
      </c>
      <c r="F5530">
        <f>BASE_EQUIPOS!H5530</f>
        <v/>
      </c>
      <c r="G5530">
        <f>BASE_EQUIPOS!M5530</f>
        <v/>
      </c>
    </row>
    <row r="5531">
      <c r="A5531">
        <f>TRIM(BASE_EQUIPOS!N5531)</f>
        <v/>
      </c>
      <c r="B5531">
        <f>BASE_EQUIPOS!A5531</f>
        <v/>
      </c>
      <c r="C5531">
        <f>BASE_EQUIPOS!B5531</f>
        <v/>
      </c>
      <c r="D5531">
        <f>BASE_EQUIPOS!D5531</f>
        <v/>
      </c>
      <c r="E5531">
        <f>BASE_EQUIPOS!G5531</f>
        <v/>
      </c>
      <c r="F5531">
        <f>BASE_EQUIPOS!H5531</f>
        <v/>
      </c>
      <c r="G5531">
        <f>BASE_EQUIPOS!M5531</f>
        <v/>
      </c>
    </row>
    <row r="5532">
      <c r="A5532">
        <f>TRIM(BASE_EQUIPOS!N5532)</f>
        <v/>
      </c>
      <c r="B5532">
        <f>BASE_EQUIPOS!A5532</f>
        <v/>
      </c>
      <c r="C5532">
        <f>BASE_EQUIPOS!B5532</f>
        <v/>
      </c>
      <c r="D5532">
        <f>BASE_EQUIPOS!D5532</f>
        <v/>
      </c>
      <c r="E5532">
        <f>BASE_EQUIPOS!G5532</f>
        <v/>
      </c>
      <c r="F5532">
        <f>BASE_EQUIPOS!H5532</f>
        <v/>
      </c>
      <c r="G5532">
        <f>BASE_EQUIPOS!M5532</f>
        <v/>
      </c>
    </row>
    <row r="5533">
      <c r="A5533">
        <f>TRIM(BASE_EQUIPOS!N5533)</f>
        <v/>
      </c>
      <c r="B5533">
        <f>BASE_EQUIPOS!A5533</f>
        <v/>
      </c>
      <c r="C5533">
        <f>BASE_EQUIPOS!B5533</f>
        <v/>
      </c>
      <c r="D5533">
        <f>BASE_EQUIPOS!D5533</f>
        <v/>
      </c>
      <c r="E5533">
        <f>BASE_EQUIPOS!G5533</f>
        <v/>
      </c>
      <c r="F5533">
        <f>BASE_EQUIPOS!H5533</f>
        <v/>
      </c>
      <c r="G5533">
        <f>BASE_EQUIPOS!M5533</f>
        <v/>
      </c>
    </row>
    <row r="5534">
      <c r="A5534">
        <f>TRIM(BASE_EQUIPOS!N5534)</f>
        <v/>
      </c>
      <c r="B5534">
        <f>BASE_EQUIPOS!A5534</f>
        <v/>
      </c>
      <c r="C5534">
        <f>BASE_EQUIPOS!B5534</f>
        <v/>
      </c>
      <c r="D5534">
        <f>BASE_EQUIPOS!D5534</f>
        <v/>
      </c>
      <c r="E5534">
        <f>BASE_EQUIPOS!G5534</f>
        <v/>
      </c>
      <c r="F5534">
        <f>BASE_EQUIPOS!H5534</f>
        <v/>
      </c>
      <c r="G5534">
        <f>BASE_EQUIPOS!M5534</f>
        <v/>
      </c>
    </row>
    <row r="5535">
      <c r="A5535">
        <f>TRIM(BASE_EQUIPOS!N5535)</f>
        <v/>
      </c>
      <c r="B5535">
        <f>BASE_EQUIPOS!A5535</f>
        <v/>
      </c>
      <c r="C5535">
        <f>BASE_EQUIPOS!B5535</f>
        <v/>
      </c>
      <c r="D5535">
        <f>BASE_EQUIPOS!D5535</f>
        <v/>
      </c>
      <c r="E5535">
        <f>BASE_EQUIPOS!G5535</f>
        <v/>
      </c>
      <c r="F5535">
        <f>BASE_EQUIPOS!H5535</f>
        <v/>
      </c>
      <c r="G5535">
        <f>BASE_EQUIPOS!M5535</f>
        <v/>
      </c>
    </row>
    <row r="5536">
      <c r="A5536">
        <f>TRIM(BASE_EQUIPOS!N5536)</f>
        <v/>
      </c>
      <c r="B5536">
        <f>BASE_EQUIPOS!A5536</f>
        <v/>
      </c>
      <c r="C5536">
        <f>BASE_EQUIPOS!B5536</f>
        <v/>
      </c>
      <c r="D5536">
        <f>BASE_EQUIPOS!D5536</f>
        <v/>
      </c>
      <c r="E5536">
        <f>BASE_EQUIPOS!G5536</f>
        <v/>
      </c>
      <c r="F5536">
        <f>BASE_EQUIPOS!H5536</f>
        <v/>
      </c>
      <c r="G5536">
        <f>BASE_EQUIPOS!M5536</f>
        <v/>
      </c>
    </row>
    <row r="5537">
      <c r="A5537">
        <f>TRIM(BASE_EQUIPOS!N5537)</f>
        <v/>
      </c>
      <c r="B5537">
        <f>BASE_EQUIPOS!A5537</f>
        <v/>
      </c>
      <c r="C5537">
        <f>BASE_EQUIPOS!B5537</f>
        <v/>
      </c>
      <c r="D5537">
        <f>BASE_EQUIPOS!D5537</f>
        <v/>
      </c>
      <c r="E5537">
        <f>BASE_EQUIPOS!G5537</f>
        <v/>
      </c>
      <c r="F5537">
        <f>BASE_EQUIPOS!H5537</f>
        <v/>
      </c>
      <c r="G5537">
        <f>BASE_EQUIPOS!M5537</f>
        <v/>
      </c>
    </row>
    <row r="5538">
      <c r="A5538">
        <f>TRIM(BASE_EQUIPOS!N5538)</f>
        <v/>
      </c>
      <c r="B5538">
        <f>BASE_EQUIPOS!A5538</f>
        <v/>
      </c>
      <c r="C5538">
        <f>BASE_EQUIPOS!B5538</f>
        <v/>
      </c>
      <c r="D5538">
        <f>BASE_EQUIPOS!D5538</f>
        <v/>
      </c>
      <c r="E5538">
        <f>BASE_EQUIPOS!G5538</f>
        <v/>
      </c>
      <c r="F5538">
        <f>BASE_EQUIPOS!H5538</f>
        <v/>
      </c>
      <c r="G5538">
        <f>BASE_EQUIPOS!M5538</f>
        <v/>
      </c>
    </row>
    <row r="5539">
      <c r="A5539">
        <f>TRIM(BASE_EQUIPOS!N5539)</f>
        <v/>
      </c>
      <c r="B5539">
        <f>BASE_EQUIPOS!A5539</f>
        <v/>
      </c>
      <c r="C5539">
        <f>BASE_EQUIPOS!B5539</f>
        <v/>
      </c>
      <c r="D5539">
        <f>BASE_EQUIPOS!D5539</f>
        <v/>
      </c>
      <c r="E5539">
        <f>BASE_EQUIPOS!G5539</f>
        <v/>
      </c>
      <c r="F5539">
        <f>BASE_EQUIPOS!H5539</f>
        <v/>
      </c>
      <c r="G5539">
        <f>BASE_EQUIPOS!M5539</f>
        <v/>
      </c>
    </row>
    <row r="5540">
      <c r="A5540">
        <f>TRIM(BASE_EQUIPOS!N5540)</f>
        <v/>
      </c>
      <c r="B5540">
        <f>BASE_EQUIPOS!A5540</f>
        <v/>
      </c>
      <c r="C5540">
        <f>BASE_EQUIPOS!B5540</f>
        <v/>
      </c>
      <c r="D5540">
        <f>BASE_EQUIPOS!D5540</f>
        <v/>
      </c>
      <c r="E5540">
        <f>BASE_EQUIPOS!G5540</f>
        <v/>
      </c>
      <c r="F5540">
        <f>BASE_EQUIPOS!H5540</f>
        <v/>
      </c>
      <c r="G5540">
        <f>BASE_EQUIPOS!M5540</f>
        <v/>
      </c>
    </row>
    <row r="5541">
      <c r="A5541">
        <f>TRIM(BASE_EQUIPOS!N5541)</f>
        <v/>
      </c>
      <c r="B5541">
        <f>BASE_EQUIPOS!A5541</f>
        <v/>
      </c>
      <c r="C5541">
        <f>BASE_EQUIPOS!B5541</f>
        <v/>
      </c>
      <c r="D5541">
        <f>BASE_EQUIPOS!D5541</f>
        <v/>
      </c>
      <c r="E5541">
        <f>BASE_EQUIPOS!G5541</f>
        <v/>
      </c>
      <c r="F5541">
        <f>BASE_EQUIPOS!H5541</f>
        <v/>
      </c>
      <c r="G5541">
        <f>BASE_EQUIPOS!M5541</f>
        <v/>
      </c>
    </row>
    <row r="5542">
      <c r="A5542">
        <f>TRIM(BASE_EQUIPOS!N5542)</f>
        <v/>
      </c>
      <c r="B5542">
        <f>BASE_EQUIPOS!A5542</f>
        <v/>
      </c>
      <c r="C5542">
        <f>BASE_EQUIPOS!B5542</f>
        <v/>
      </c>
      <c r="D5542">
        <f>BASE_EQUIPOS!D5542</f>
        <v/>
      </c>
      <c r="E5542">
        <f>BASE_EQUIPOS!G5542</f>
        <v/>
      </c>
      <c r="F5542">
        <f>BASE_EQUIPOS!H5542</f>
        <v/>
      </c>
      <c r="G5542">
        <f>BASE_EQUIPOS!M5542</f>
        <v/>
      </c>
    </row>
    <row r="5543">
      <c r="A5543">
        <f>TRIM(BASE_EQUIPOS!N5543)</f>
        <v/>
      </c>
      <c r="B5543">
        <f>BASE_EQUIPOS!A5543</f>
        <v/>
      </c>
      <c r="C5543">
        <f>BASE_EQUIPOS!B5543</f>
        <v/>
      </c>
      <c r="D5543">
        <f>BASE_EQUIPOS!D5543</f>
        <v/>
      </c>
      <c r="E5543">
        <f>BASE_EQUIPOS!G5543</f>
        <v/>
      </c>
      <c r="F5543">
        <f>BASE_EQUIPOS!H5543</f>
        <v/>
      </c>
      <c r="G5543">
        <f>BASE_EQUIPOS!M5543</f>
        <v/>
      </c>
    </row>
    <row r="5544">
      <c r="A5544">
        <f>TRIM(BASE_EQUIPOS!N5544)</f>
        <v/>
      </c>
      <c r="B5544">
        <f>BASE_EQUIPOS!A5544</f>
        <v/>
      </c>
      <c r="C5544">
        <f>BASE_EQUIPOS!B5544</f>
        <v/>
      </c>
      <c r="D5544">
        <f>BASE_EQUIPOS!D5544</f>
        <v/>
      </c>
      <c r="E5544">
        <f>BASE_EQUIPOS!G5544</f>
        <v/>
      </c>
      <c r="F5544">
        <f>BASE_EQUIPOS!H5544</f>
        <v/>
      </c>
      <c r="G5544">
        <f>BASE_EQUIPOS!M5544</f>
        <v/>
      </c>
    </row>
    <row r="5545">
      <c r="A5545">
        <f>TRIM(BASE_EQUIPOS!N5545)</f>
        <v/>
      </c>
      <c r="B5545">
        <f>BASE_EQUIPOS!A5545</f>
        <v/>
      </c>
      <c r="C5545">
        <f>BASE_EQUIPOS!B5545</f>
        <v/>
      </c>
      <c r="D5545">
        <f>BASE_EQUIPOS!D5545</f>
        <v/>
      </c>
      <c r="E5545">
        <f>BASE_EQUIPOS!G5545</f>
        <v/>
      </c>
      <c r="F5545">
        <f>BASE_EQUIPOS!H5545</f>
        <v/>
      </c>
      <c r="G5545">
        <f>BASE_EQUIPOS!M5545</f>
        <v/>
      </c>
    </row>
    <row r="5546">
      <c r="A5546">
        <f>TRIM(BASE_EQUIPOS!N5546)</f>
        <v/>
      </c>
      <c r="B5546">
        <f>BASE_EQUIPOS!A5546</f>
        <v/>
      </c>
      <c r="C5546">
        <f>BASE_EQUIPOS!B5546</f>
        <v/>
      </c>
      <c r="D5546">
        <f>BASE_EQUIPOS!D5546</f>
        <v/>
      </c>
      <c r="E5546">
        <f>BASE_EQUIPOS!G5546</f>
        <v/>
      </c>
      <c r="F5546">
        <f>BASE_EQUIPOS!H5546</f>
        <v/>
      </c>
      <c r="G5546">
        <f>BASE_EQUIPOS!M5546</f>
        <v/>
      </c>
    </row>
    <row r="5547">
      <c r="A5547">
        <f>TRIM(BASE_EQUIPOS!N5547)</f>
        <v/>
      </c>
      <c r="B5547">
        <f>BASE_EQUIPOS!A5547</f>
        <v/>
      </c>
      <c r="C5547">
        <f>BASE_EQUIPOS!B5547</f>
        <v/>
      </c>
      <c r="D5547">
        <f>BASE_EQUIPOS!D5547</f>
        <v/>
      </c>
      <c r="E5547">
        <f>BASE_EQUIPOS!G5547</f>
        <v/>
      </c>
      <c r="F5547">
        <f>BASE_EQUIPOS!H5547</f>
        <v/>
      </c>
      <c r="G5547">
        <f>BASE_EQUIPOS!M5547</f>
        <v/>
      </c>
    </row>
    <row r="5548">
      <c r="A5548">
        <f>TRIM(BASE_EQUIPOS!N5548)</f>
        <v/>
      </c>
      <c r="B5548">
        <f>BASE_EQUIPOS!A5548</f>
        <v/>
      </c>
      <c r="C5548">
        <f>BASE_EQUIPOS!B5548</f>
        <v/>
      </c>
      <c r="D5548">
        <f>BASE_EQUIPOS!D5548</f>
        <v/>
      </c>
      <c r="E5548">
        <f>BASE_EQUIPOS!G5548</f>
        <v/>
      </c>
      <c r="F5548">
        <f>BASE_EQUIPOS!H5548</f>
        <v/>
      </c>
      <c r="G5548">
        <f>BASE_EQUIPOS!M5548</f>
        <v/>
      </c>
    </row>
    <row r="5549">
      <c r="A5549">
        <f>TRIM(BASE_EQUIPOS!N5549)</f>
        <v/>
      </c>
      <c r="B5549">
        <f>BASE_EQUIPOS!A5549</f>
        <v/>
      </c>
      <c r="C5549">
        <f>BASE_EQUIPOS!B5549</f>
        <v/>
      </c>
      <c r="D5549">
        <f>BASE_EQUIPOS!D5549</f>
        <v/>
      </c>
      <c r="E5549">
        <f>BASE_EQUIPOS!G5549</f>
        <v/>
      </c>
      <c r="F5549">
        <f>BASE_EQUIPOS!H5549</f>
        <v/>
      </c>
      <c r="G5549">
        <f>BASE_EQUIPOS!M5549</f>
        <v/>
      </c>
    </row>
    <row r="5550">
      <c r="A5550">
        <f>TRIM(BASE_EQUIPOS!N5550)</f>
        <v/>
      </c>
      <c r="B5550">
        <f>BASE_EQUIPOS!A5550</f>
        <v/>
      </c>
      <c r="C5550">
        <f>BASE_EQUIPOS!B5550</f>
        <v/>
      </c>
      <c r="D5550">
        <f>BASE_EQUIPOS!D5550</f>
        <v/>
      </c>
      <c r="E5550">
        <f>BASE_EQUIPOS!G5550</f>
        <v/>
      </c>
      <c r="F5550">
        <f>BASE_EQUIPOS!H5550</f>
        <v/>
      </c>
      <c r="G5550">
        <f>BASE_EQUIPOS!M5550</f>
        <v/>
      </c>
    </row>
    <row r="5551">
      <c r="A5551">
        <f>TRIM(BASE_EQUIPOS!N5551)</f>
        <v/>
      </c>
      <c r="B5551">
        <f>BASE_EQUIPOS!A5551</f>
        <v/>
      </c>
      <c r="C5551">
        <f>BASE_EQUIPOS!B5551</f>
        <v/>
      </c>
      <c r="D5551">
        <f>BASE_EQUIPOS!D5551</f>
        <v/>
      </c>
      <c r="E5551">
        <f>BASE_EQUIPOS!G5551</f>
        <v/>
      </c>
      <c r="F5551">
        <f>BASE_EQUIPOS!H5551</f>
        <v/>
      </c>
      <c r="G5551">
        <f>BASE_EQUIPOS!M5551</f>
        <v/>
      </c>
    </row>
    <row r="5552">
      <c r="A5552">
        <f>TRIM(BASE_EQUIPOS!N5552)</f>
        <v/>
      </c>
      <c r="B5552">
        <f>BASE_EQUIPOS!A5552</f>
        <v/>
      </c>
      <c r="C5552">
        <f>BASE_EQUIPOS!B5552</f>
        <v/>
      </c>
      <c r="D5552">
        <f>BASE_EQUIPOS!D5552</f>
        <v/>
      </c>
      <c r="E5552">
        <f>BASE_EQUIPOS!G5552</f>
        <v/>
      </c>
      <c r="F5552">
        <f>BASE_EQUIPOS!H5552</f>
        <v/>
      </c>
      <c r="G5552">
        <f>BASE_EQUIPOS!M5552</f>
        <v/>
      </c>
    </row>
    <row r="5553">
      <c r="A5553">
        <f>TRIM(BASE_EQUIPOS!N5553)</f>
        <v/>
      </c>
      <c r="B5553">
        <f>BASE_EQUIPOS!A5553</f>
        <v/>
      </c>
      <c r="C5553">
        <f>BASE_EQUIPOS!B5553</f>
        <v/>
      </c>
      <c r="D5553">
        <f>BASE_EQUIPOS!D5553</f>
        <v/>
      </c>
      <c r="E5553">
        <f>BASE_EQUIPOS!G5553</f>
        <v/>
      </c>
      <c r="F5553">
        <f>BASE_EQUIPOS!H5553</f>
        <v/>
      </c>
      <c r="G5553">
        <f>BASE_EQUIPOS!M5553</f>
        <v/>
      </c>
    </row>
    <row r="5554">
      <c r="A5554">
        <f>TRIM(BASE_EQUIPOS!N5554)</f>
        <v/>
      </c>
      <c r="B5554">
        <f>BASE_EQUIPOS!A5554</f>
        <v/>
      </c>
      <c r="C5554">
        <f>BASE_EQUIPOS!B5554</f>
        <v/>
      </c>
      <c r="D5554">
        <f>BASE_EQUIPOS!D5554</f>
        <v/>
      </c>
      <c r="E5554">
        <f>BASE_EQUIPOS!G5554</f>
        <v/>
      </c>
      <c r="F5554">
        <f>BASE_EQUIPOS!H5554</f>
        <v/>
      </c>
      <c r="G5554">
        <f>BASE_EQUIPOS!M5554</f>
        <v/>
      </c>
    </row>
    <row r="5555">
      <c r="A5555">
        <f>TRIM(BASE_EQUIPOS!N5555)</f>
        <v/>
      </c>
      <c r="B5555">
        <f>BASE_EQUIPOS!A5555</f>
        <v/>
      </c>
      <c r="C5555">
        <f>BASE_EQUIPOS!B5555</f>
        <v/>
      </c>
      <c r="D5555">
        <f>BASE_EQUIPOS!D5555</f>
        <v/>
      </c>
      <c r="E5555">
        <f>BASE_EQUIPOS!G5555</f>
        <v/>
      </c>
      <c r="F5555">
        <f>BASE_EQUIPOS!H5555</f>
        <v/>
      </c>
      <c r="G5555">
        <f>BASE_EQUIPOS!M5555</f>
        <v/>
      </c>
    </row>
    <row r="5556">
      <c r="A5556">
        <f>TRIM(BASE_EQUIPOS!N5556)</f>
        <v/>
      </c>
      <c r="B5556">
        <f>BASE_EQUIPOS!A5556</f>
        <v/>
      </c>
      <c r="C5556">
        <f>BASE_EQUIPOS!B5556</f>
        <v/>
      </c>
      <c r="D5556">
        <f>BASE_EQUIPOS!D5556</f>
        <v/>
      </c>
      <c r="E5556">
        <f>BASE_EQUIPOS!G5556</f>
        <v/>
      </c>
      <c r="F5556">
        <f>BASE_EQUIPOS!H5556</f>
        <v/>
      </c>
      <c r="G5556">
        <f>BASE_EQUIPOS!M5556</f>
        <v/>
      </c>
    </row>
    <row r="5557">
      <c r="A5557">
        <f>TRIM(BASE_EQUIPOS!N5557)</f>
        <v/>
      </c>
      <c r="B5557">
        <f>BASE_EQUIPOS!A5557</f>
        <v/>
      </c>
      <c r="C5557">
        <f>BASE_EQUIPOS!B5557</f>
        <v/>
      </c>
      <c r="D5557">
        <f>BASE_EQUIPOS!D5557</f>
        <v/>
      </c>
      <c r="E5557">
        <f>BASE_EQUIPOS!G5557</f>
        <v/>
      </c>
      <c r="F5557">
        <f>BASE_EQUIPOS!H5557</f>
        <v/>
      </c>
      <c r="G5557">
        <f>BASE_EQUIPOS!M5557</f>
        <v/>
      </c>
    </row>
    <row r="5558">
      <c r="A5558">
        <f>TRIM(BASE_EQUIPOS!N5558)</f>
        <v/>
      </c>
      <c r="B5558">
        <f>BASE_EQUIPOS!A5558</f>
        <v/>
      </c>
      <c r="C5558">
        <f>BASE_EQUIPOS!B5558</f>
        <v/>
      </c>
      <c r="D5558">
        <f>BASE_EQUIPOS!D5558</f>
        <v/>
      </c>
      <c r="E5558">
        <f>BASE_EQUIPOS!G5558</f>
        <v/>
      </c>
      <c r="F5558">
        <f>BASE_EQUIPOS!H5558</f>
        <v/>
      </c>
      <c r="G5558">
        <f>BASE_EQUIPOS!M5558</f>
        <v/>
      </c>
    </row>
    <row r="5559">
      <c r="A5559">
        <f>TRIM(BASE_EQUIPOS!N5559)</f>
        <v/>
      </c>
      <c r="B5559">
        <f>BASE_EQUIPOS!A5559</f>
        <v/>
      </c>
      <c r="C5559">
        <f>BASE_EQUIPOS!B5559</f>
        <v/>
      </c>
      <c r="D5559">
        <f>BASE_EQUIPOS!D5559</f>
        <v/>
      </c>
      <c r="E5559">
        <f>BASE_EQUIPOS!G5559</f>
        <v/>
      </c>
      <c r="F5559">
        <f>BASE_EQUIPOS!H5559</f>
        <v/>
      </c>
      <c r="G5559">
        <f>BASE_EQUIPOS!M5559</f>
        <v/>
      </c>
    </row>
    <row r="5560">
      <c r="A5560">
        <f>TRIM(BASE_EQUIPOS!N5560)</f>
        <v/>
      </c>
      <c r="B5560">
        <f>BASE_EQUIPOS!A5560</f>
        <v/>
      </c>
      <c r="C5560">
        <f>BASE_EQUIPOS!B5560</f>
        <v/>
      </c>
      <c r="D5560">
        <f>BASE_EQUIPOS!D5560</f>
        <v/>
      </c>
      <c r="E5560">
        <f>BASE_EQUIPOS!G5560</f>
        <v/>
      </c>
      <c r="F5560">
        <f>BASE_EQUIPOS!H5560</f>
        <v/>
      </c>
      <c r="G5560">
        <f>BASE_EQUIPOS!M5560</f>
        <v/>
      </c>
    </row>
    <row r="5561">
      <c r="A5561">
        <f>TRIM(BASE_EQUIPOS!N5561)</f>
        <v/>
      </c>
      <c r="B5561">
        <f>BASE_EQUIPOS!A5561</f>
        <v/>
      </c>
      <c r="C5561">
        <f>BASE_EQUIPOS!B5561</f>
        <v/>
      </c>
      <c r="D5561">
        <f>BASE_EQUIPOS!D5561</f>
        <v/>
      </c>
      <c r="E5561">
        <f>BASE_EQUIPOS!G5561</f>
        <v/>
      </c>
      <c r="F5561">
        <f>BASE_EQUIPOS!H5561</f>
        <v/>
      </c>
      <c r="G5561">
        <f>BASE_EQUIPOS!M5561</f>
        <v/>
      </c>
    </row>
    <row r="5562">
      <c r="A5562">
        <f>TRIM(BASE_EQUIPOS!N5562)</f>
        <v/>
      </c>
      <c r="B5562">
        <f>BASE_EQUIPOS!A5562</f>
        <v/>
      </c>
      <c r="C5562">
        <f>BASE_EQUIPOS!B5562</f>
        <v/>
      </c>
      <c r="D5562">
        <f>BASE_EQUIPOS!D5562</f>
        <v/>
      </c>
      <c r="E5562">
        <f>BASE_EQUIPOS!G5562</f>
        <v/>
      </c>
      <c r="F5562">
        <f>BASE_EQUIPOS!H5562</f>
        <v/>
      </c>
      <c r="G5562">
        <f>BASE_EQUIPOS!M5562</f>
        <v/>
      </c>
    </row>
    <row r="5563">
      <c r="A5563">
        <f>TRIM(BASE_EQUIPOS!N5563)</f>
        <v/>
      </c>
      <c r="B5563">
        <f>BASE_EQUIPOS!A5563</f>
        <v/>
      </c>
      <c r="C5563">
        <f>BASE_EQUIPOS!B5563</f>
        <v/>
      </c>
      <c r="D5563">
        <f>BASE_EQUIPOS!D5563</f>
        <v/>
      </c>
      <c r="E5563">
        <f>BASE_EQUIPOS!G5563</f>
        <v/>
      </c>
      <c r="F5563">
        <f>BASE_EQUIPOS!H5563</f>
        <v/>
      </c>
      <c r="G5563">
        <f>BASE_EQUIPOS!M5563</f>
        <v/>
      </c>
    </row>
    <row r="5564">
      <c r="A5564">
        <f>TRIM(BASE_EQUIPOS!N5564)</f>
        <v/>
      </c>
      <c r="B5564">
        <f>BASE_EQUIPOS!A5564</f>
        <v/>
      </c>
      <c r="C5564">
        <f>BASE_EQUIPOS!B5564</f>
        <v/>
      </c>
      <c r="D5564">
        <f>BASE_EQUIPOS!D5564</f>
        <v/>
      </c>
      <c r="E5564">
        <f>BASE_EQUIPOS!G5564</f>
        <v/>
      </c>
      <c r="F5564">
        <f>BASE_EQUIPOS!H5564</f>
        <v/>
      </c>
      <c r="G5564">
        <f>BASE_EQUIPOS!M5564</f>
        <v/>
      </c>
    </row>
    <row r="5565">
      <c r="A5565">
        <f>TRIM(BASE_EQUIPOS!N5565)</f>
        <v/>
      </c>
      <c r="B5565">
        <f>BASE_EQUIPOS!A5565</f>
        <v/>
      </c>
      <c r="C5565">
        <f>BASE_EQUIPOS!B5565</f>
        <v/>
      </c>
      <c r="D5565">
        <f>BASE_EQUIPOS!D5565</f>
        <v/>
      </c>
      <c r="E5565">
        <f>BASE_EQUIPOS!G5565</f>
        <v/>
      </c>
      <c r="F5565">
        <f>BASE_EQUIPOS!H5565</f>
        <v/>
      </c>
      <c r="G5565">
        <f>BASE_EQUIPOS!M5565</f>
        <v/>
      </c>
    </row>
    <row r="5566">
      <c r="A5566">
        <f>TRIM(BASE_EQUIPOS!N5566)</f>
        <v/>
      </c>
      <c r="B5566">
        <f>BASE_EQUIPOS!A5566</f>
        <v/>
      </c>
      <c r="C5566">
        <f>BASE_EQUIPOS!B5566</f>
        <v/>
      </c>
      <c r="D5566">
        <f>BASE_EQUIPOS!D5566</f>
        <v/>
      </c>
      <c r="E5566">
        <f>BASE_EQUIPOS!G5566</f>
        <v/>
      </c>
      <c r="F5566">
        <f>BASE_EQUIPOS!H5566</f>
        <v/>
      </c>
      <c r="G5566">
        <f>BASE_EQUIPOS!M5566</f>
        <v/>
      </c>
    </row>
    <row r="5567">
      <c r="A5567">
        <f>TRIM(BASE_EQUIPOS!N5567)</f>
        <v/>
      </c>
      <c r="B5567">
        <f>BASE_EQUIPOS!A5567</f>
        <v/>
      </c>
      <c r="C5567">
        <f>BASE_EQUIPOS!B5567</f>
        <v/>
      </c>
      <c r="D5567">
        <f>BASE_EQUIPOS!D5567</f>
        <v/>
      </c>
      <c r="E5567">
        <f>BASE_EQUIPOS!G5567</f>
        <v/>
      </c>
      <c r="F5567">
        <f>BASE_EQUIPOS!H5567</f>
        <v/>
      </c>
      <c r="G5567">
        <f>BASE_EQUIPOS!M5567</f>
        <v/>
      </c>
    </row>
    <row r="5568">
      <c r="A5568">
        <f>TRIM(BASE_EQUIPOS!N5568)</f>
        <v/>
      </c>
      <c r="B5568">
        <f>BASE_EQUIPOS!A5568</f>
        <v/>
      </c>
      <c r="C5568">
        <f>BASE_EQUIPOS!B5568</f>
        <v/>
      </c>
      <c r="D5568">
        <f>BASE_EQUIPOS!D5568</f>
        <v/>
      </c>
      <c r="E5568">
        <f>BASE_EQUIPOS!G5568</f>
        <v/>
      </c>
      <c r="F5568">
        <f>BASE_EQUIPOS!H5568</f>
        <v/>
      </c>
      <c r="G5568">
        <f>BASE_EQUIPOS!M5568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2026-09-07T18:02:16Z</dcterms:created>
  <dcterms:modified xmlns:dcterms="http://purl.org/dc/terms/" xmlns:xsi="http://www.w3.org/2001/XMLSchema-instance" xsi:type="dcterms:W3CDTF">2026-09-07T20:10:28Z</dcterms:modified>
</cp:coreProperties>
</file>